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tables/table43.xml" ContentType="application/vnd.openxmlformats-officedocument.spreadsheetml.table+xml"/>
  <Override PartName="/xl/tables/table44.xml" ContentType="application/vnd.openxmlformats-officedocument.spreadsheetml.table+xml"/>
  <Override PartName="/xl/tables/table45.xml" ContentType="application/vnd.openxmlformats-officedocument.spreadsheetml.table+xml"/>
  <Override PartName="/xl/tables/table46.xml" ContentType="application/vnd.openxmlformats-officedocument.spreadsheetml.table+xml"/>
  <Override PartName="/xl/tables/table47.xml" ContentType="application/vnd.openxmlformats-officedocument.spreadsheetml.table+xml"/>
  <Override PartName="/xl/tables/table48.xml" ContentType="application/vnd.openxmlformats-officedocument.spreadsheetml.table+xml"/>
  <Override PartName="/xl/tables/table49.xml" ContentType="application/vnd.openxmlformats-officedocument.spreadsheetml.table+xml"/>
  <Override PartName="/xl/tables/table50.xml" ContentType="application/vnd.openxmlformats-officedocument.spreadsheetml.table+xml"/>
  <Override PartName="/xl/tables/table51.xml" ContentType="application/vnd.openxmlformats-officedocument.spreadsheetml.table+xml"/>
  <Override PartName="/xl/tables/table52.xml" ContentType="application/vnd.openxmlformats-officedocument.spreadsheetml.table+xml"/>
  <Override PartName="/xl/tables/table53.xml" ContentType="application/vnd.openxmlformats-officedocument.spreadsheetml.table+xml"/>
  <Override PartName="/xl/tables/table54.xml" ContentType="application/vnd.openxmlformats-officedocument.spreadsheetml.table+xml"/>
  <Override PartName="/xl/tables/table55.xml" ContentType="application/vnd.openxmlformats-officedocument.spreadsheetml.table+xml"/>
  <Override PartName="/xl/tables/table56.xml" ContentType="application/vnd.openxmlformats-officedocument.spreadsheetml.table+xml"/>
  <Override PartName="/xl/tables/table57.xml" ContentType="application/vnd.openxmlformats-officedocument.spreadsheetml.table+xml"/>
  <Override PartName="/xl/tables/table58.xml" ContentType="application/vnd.openxmlformats-officedocument.spreadsheetml.table+xml"/>
  <Override PartName="/xl/tables/table59.xml" ContentType="application/vnd.openxmlformats-officedocument.spreadsheetml.table+xml"/>
  <Override PartName="/xl/tables/table60.xml" ContentType="application/vnd.openxmlformats-officedocument.spreadsheetml.table+xml"/>
  <Override PartName="/xl/tables/table61.xml" ContentType="application/vnd.openxmlformats-officedocument.spreadsheetml.table+xml"/>
  <Override PartName="/xl/tables/table62.xml" ContentType="application/vnd.openxmlformats-officedocument.spreadsheetml.table+xml"/>
  <Override PartName="/xl/tables/table63.xml" ContentType="application/vnd.openxmlformats-officedocument.spreadsheetml.table+xml"/>
  <Override PartName="/xl/tables/table64.xml" ContentType="application/vnd.openxmlformats-officedocument.spreadsheetml.table+xml"/>
  <Override PartName="/xl/tables/table65.xml" ContentType="application/vnd.openxmlformats-officedocument.spreadsheetml.table+xml"/>
  <Override PartName="/xl/tables/table66.xml" ContentType="application/vnd.openxmlformats-officedocument.spreadsheetml.table+xml"/>
  <Override PartName="/xl/tables/table67.xml" ContentType="application/vnd.openxmlformats-officedocument.spreadsheetml.table+xml"/>
  <Override PartName="/xl/tables/table68.xml" ContentType="application/vnd.openxmlformats-officedocument.spreadsheetml.table+xml"/>
  <Override PartName="/xl/tables/table69.xml" ContentType="application/vnd.openxmlformats-officedocument.spreadsheetml.table+xml"/>
  <Override PartName="/xl/tables/table70.xml" ContentType="application/vnd.openxmlformats-officedocument.spreadsheetml.table+xml"/>
  <Override PartName="/xl/tables/table71.xml" ContentType="application/vnd.openxmlformats-officedocument.spreadsheetml.table+xml"/>
  <Override PartName="/xl/tables/table72.xml" ContentType="application/vnd.openxmlformats-officedocument.spreadsheetml.table+xml"/>
  <Override PartName="/xl/tables/table73.xml" ContentType="application/vnd.openxmlformats-officedocument.spreadsheetml.table+xml"/>
  <Override PartName="/xl/tables/table74.xml" ContentType="application/vnd.openxmlformats-officedocument.spreadsheetml.table+xml"/>
  <Override PartName="/xl/tables/table75.xml" ContentType="application/vnd.openxmlformats-officedocument.spreadsheetml.table+xml"/>
  <Override PartName="/xl/tables/table76.xml" ContentType="application/vnd.openxmlformats-officedocument.spreadsheetml.table+xml"/>
  <Override PartName="/xl/tables/table77.xml" ContentType="application/vnd.openxmlformats-officedocument.spreadsheetml.table+xml"/>
  <Override PartName="/xl/tables/table78.xml" ContentType="application/vnd.openxmlformats-officedocument.spreadsheetml.table+xml"/>
  <Override PartName="/xl/tables/table79.xml" ContentType="application/vnd.openxmlformats-officedocument.spreadsheetml.table+xml"/>
  <Override PartName="/xl/tables/table80.xml" ContentType="application/vnd.openxmlformats-officedocument.spreadsheetml.table+xml"/>
  <Override PartName="/xl/tables/table81.xml" ContentType="application/vnd.openxmlformats-officedocument.spreadsheetml.table+xml"/>
  <Override PartName="/xl/tables/table82.xml" ContentType="application/vnd.openxmlformats-officedocument.spreadsheetml.table+xml"/>
  <Override PartName="/xl/tables/table83.xml" ContentType="application/vnd.openxmlformats-officedocument.spreadsheetml.table+xml"/>
  <Override PartName="/xl/drawings/drawing1.xml" ContentType="application/vnd.openxmlformats-officedocument.drawing+xml"/>
  <Override PartName="/xl/tables/table84.xml" ContentType="application/vnd.openxmlformats-officedocument.spreadsheetml.table+xml"/>
  <Override PartName="/xl/tables/table85.xml" ContentType="application/vnd.openxmlformats-officedocument.spreadsheetml.table+xml"/>
  <Override PartName="/xl/tables/table86.xml" ContentType="application/vnd.openxmlformats-officedocument.spreadsheetml.table+xml"/>
  <Override PartName="/xl/tables/table87.xml" ContentType="application/vnd.openxmlformats-officedocument.spreadsheetml.table+xml"/>
  <Override PartName="/xl/tables/table88.xml" ContentType="application/vnd.openxmlformats-officedocument.spreadsheetml.table+xml"/>
  <Override PartName="/xl/tables/table89.xml" ContentType="application/vnd.openxmlformats-officedocument.spreadsheetml.table+xml"/>
  <Override PartName="/xl/tables/table90.xml" ContentType="application/vnd.openxmlformats-officedocument.spreadsheetml.table+xml"/>
  <Override PartName="/xl/tables/table91.xml" ContentType="application/vnd.openxmlformats-officedocument.spreadsheetml.table+xml"/>
  <Override PartName="/xl/tables/table92.xml" ContentType="application/vnd.openxmlformats-officedocument.spreadsheetml.table+xml"/>
  <Override PartName="/xl/tables/table93.xml" ContentType="application/vnd.openxmlformats-officedocument.spreadsheetml.table+xml"/>
  <Override PartName="/xl/tables/table94.xml" ContentType="application/vnd.openxmlformats-officedocument.spreadsheetml.table+xml"/>
  <Override PartName="/xl/tables/table95.xml" ContentType="application/vnd.openxmlformats-officedocument.spreadsheetml.table+xml"/>
  <Override PartName="/xl/tables/table96.xml" ContentType="application/vnd.openxmlformats-officedocument.spreadsheetml.table+xml"/>
  <Override PartName="/xl/tables/table97.xml" ContentType="application/vnd.openxmlformats-officedocument.spreadsheetml.table+xml"/>
  <Override PartName="/xl/tables/table98.xml" ContentType="application/vnd.openxmlformats-officedocument.spreadsheetml.table+xml"/>
  <Override PartName="/xl/tables/table99.xml" ContentType="application/vnd.openxmlformats-officedocument.spreadsheetml.table+xml"/>
  <Override PartName="/xl/tables/table100.xml" ContentType="application/vnd.openxmlformats-officedocument.spreadsheetml.table+xml"/>
  <Override PartName="/xl/tables/table101.xml" ContentType="application/vnd.openxmlformats-officedocument.spreadsheetml.table+xml"/>
  <Override PartName="/xl/tables/table102.xml" ContentType="application/vnd.openxmlformats-officedocument.spreadsheetml.table+xml"/>
  <Override PartName="/xl/tables/table103.xml" ContentType="application/vnd.openxmlformats-officedocument.spreadsheetml.table+xml"/>
  <Override PartName="/xl/tables/table104.xml" ContentType="application/vnd.openxmlformats-officedocument.spreadsheetml.table+xml"/>
  <Override PartName="/xl/tables/table105.xml" ContentType="application/vnd.openxmlformats-officedocument.spreadsheetml.table+xml"/>
  <Override PartName="/xl/tables/table106.xml" ContentType="application/vnd.openxmlformats-officedocument.spreadsheetml.table+xml"/>
  <Override PartName="/xl/tables/table107.xml" ContentType="application/vnd.openxmlformats-officedocument.spreadsheetml.table+xml"/>
  <Override PartName="/xl/tables/table108.xml" ContentType="application/vnd.openxmlformats-officedocument.spreadsheetml.table+xml"/>
  <Override PartName="/xl/tables/table109.xml" ContentType="application/vnd.openxmlformats-officedocument.spreadsheetml.table+xml"/>
  <Override PartName="/xl/tables/table110.xml" ContentType="application/vnd.openxmlformats-officedocument.spreadsheetml.table+xml"/>
  <Override PartName="/xl/tables/table111.xml" ContentType="application/vnd.openxmlformats-officedocument.spreadsheetml.table+xml"/>
  <Override PartName="/xl/tables/table112.xml" ContentType="application/vnd.openxmlformats-officedocument.spreadsheetml.table+xml"/>
  <Override PartName="/xl/tables/table113.xml" ContentType="application/vnd.openxmlformats-officedocument.spreadsheetml.table+xml"/>
  <Override PartName="/xl/tables/table114.xml" ContentType="application/vnd.openxmlformats-officedocument.spreadsheetml.table+xml"/>
  <Override PartName="/xl/tables/table115.xml" ContentType="application/vnd.openxmlformats-officedocument.spreadsheetml.table+xml"/>
  <Override PartName="/xl/tables/table116.xml" ContentType="application/vnd.openxmlformats-officedocument.spreadsheetml.table+xml"/>
  <Override PartName="/xl/tables/table117.xml" ContentType="application/vnd.openxmlformats-officedocument.spreadsheetml.table+xml"/>
  <Override PartName="/xl/tables/table118.xml" ContentType="application/vnd.openxmlformats-officedocument.spreadsheetml.table+xml"/>
  <Override PartName="/xl/tables/table119.xml" ContentType="application/vnd.openxmlformats-officedocument.spreadsheetml.table+xml"/>
  <Override PartName="/xl/tables/table120.xml" ContentType="application/vnd.openxmlformats-officedocument.spreadsheetml.table+xml"/>
  <Override PartName="/xl/tables/table121.xml" ContentType="application/vnd.openxmlformats-officedocument.spreadsheetml.table+xml"/>
  <Override PartName="/xl/tables/table122.xml" ContentType="application/vnd.openxmlformats-officedocument.spreadsheetml.table+xml"/>
  <Override PartName="/xl/tables/table123.xml" ContentType="application/vnd.openxmlformats-officedocument.spreadsheetml.table+xml"/>
  <Override PartName="/xl/tables/table124.xml" ContentType="application/vnd.openxmlformats-officedocument.spreadsheetml.table+xml"/>
  <Override PartName="/xl/tables/table125.xml" ContentType="application/vnd.openxmlformats-officedocument.spreadsheetml.table+xml"/>
  <Override PartName="/xl/tables/table126.xml" ContentType="application/vnd.openxmlformats-officedocument.spreadsheetml.table+xml"/>
  <Override PartName="/xl/tables/table127.xml" ContentType="application/vnd.openxmlformats-officedocument.spreadsheetml.table+xml"/>
  <Override PartName="/xl/tables/table128.xml" ContentType="application/vnd.openxmlformats-officedocument.spreadsheetml.table+xml"/>
  <Override PartName="/xl/tables/table129.xml" ContentType="application/vnd.openxmlformats-officedocument.spreadsheetml.table+xml"/>
  <Override PartName="/xl/tables/table130.xml" ContentType="application/vnd.openxmlformats-officedocument.spreadsheetml.table+xml"/>
  <Override PartName="/xl/tables/table131.xml" ContentType="application/vnd.openxmlformats-officedocument.spreadsheetml.table+xml"/>
  <Override PartName="/xl/tables/table132.xml" ContentType="application/vnd.openxmlformats-officedocument.spreadsheetml.table+xml"/>
  <Override PartName="/xl/tables/table133.xml" ContentType="application/vnd.openxmlformats-officedocument.spreadsheetml.table+xml"/>
  <Override PartName="/xl/tables/table134.xml" ContentType="application/vnd.openxmlformats-officedocument.spreadsheetml.table+xml"/>
  <Override PartName="/xl/tables/table135.xml" ContentType="application/vnd.openxmlformats-officedocument.spreadsheetml.table+xml"/>
  <Override PartName="/xl/tables/table136.xml" ContentType="application/vnd.openxmlformats-officedocument.spreadsheetml.table+xml"/>
  <Override PartName="/xl/tables/table137.xml" ContentType="application/vnd.openxmlformats-officedocument.spreadsheetml.table+xml"/>
  <Override PartName="/xl/tables/table138.xml" ContentType="application/vnd.openxmlformats-officedocument.spreadsheetml.table+xml"/>
  <Override PartName="/xl/tables/table139.xml" ContentType="application/vnd.openxmlformats-officedocument.spreadsheetml.table+xml"/>
  <Override PartName="/xl/tables/table140.xml" ContentType="application/vnd.openxmlformats-officedocument.spreadsheetml.table+xml"/>
  <Override PartName="/xl/tables/table141.xml" ContentType="application/vnd.openxmlformats-officedocument.spreadsheetml.table+xml"/>
  <Override PartName="/xl/tables/table142.xml" ContentType="application/vnd.openxmlformats-officedocument.spreadsheetml.table+xml"/>
  <Override PartName="/xl/tables/table143.xml" ContentType="application/vnd.openxmlformats-officedocument.spreadsheetml.table+xml"/>
  <Override PartName="/xl/tables/table144.xml" ContentType="application/vnd.openxmlformats-officedocument.spreadsheetml.table+xml"/>
  <Override PartName="/xl/tables/table145.xml" ContentType="application/vnd.openxmlformats-officedocument.spreadsheetml.table+xml"/>
  <Override PartName="/xl/tables/table146.xml" ContentType="application/vnd.openxmlformats-officedocument.spreadsheetml.table+xml"/>
  <Override PartName="/xl/tables/table147.xml" ContentType="application/vnd.openxmlformats-officedocument.spreadsheetml.table+xml"/>
  <Override PartName="/xl/tables/table148.xml" ContentType="application/vnd.openxmlformats-officedocument.spreadsheetml.table+xml"/>
  <Override PartName="/xl/tables/table149.xml" ContentType="application/vnd.openxmlformats-officedocument.spreadsheetml.table+xml"/>
  <Override PartName="/xl/tables/table150.xml" ContentType="application/vnd.openxmlformats-officedocument.spreadsheetml.table+xml"/>
  <Override PartName="/xl/tables/table151.xml" ContentType="application/vnd.openxmlformats-officedocument.spreadsheetml.table+xml"/>
  <Override PartName="/xl/tables/table152.xml" ContentType="application/vnd.openxmlformats-officedocument.spreadsheetml.table+xml"/>
  <Override PartName="/xl/tables/table153.xml" ContentType="application/vnd.openxmlformats-officedocument.spreadsheetml.table+xml"/>
  <Override PartName="/xl/tables/table154.xml" ContentType="application/vnd.openxmlformats-officedocument.spreadsheetml.table+xml"/>
  <Override PartName="/xl/tables/table155.xml" ContentType="application/vnd.openxmlformats-officedocument.spreadsheetml.table+xml"/>
  <Override PartName="/xl/tables/table156.xml" ContentType="application/vnd.openxmlformats-officedocument.spreadsheetml.table+xml"/>
  <Override PartName="/xl/tables/table157.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htdocs\zneagcrc\GAF-VEERG-Functions\Excel\"/>
    </mc:Choice>
  </mc:AlternateContent>
  <xr:revisionPtr revIDLastSave="0" documentId="13_ncr:1_{1A084189-89B1-45C2-B352-4211D32FF1AC}" xr6:coauthVersionLast="47" xr6:coauthVersionMax="47" xr10:uidLastSave="{00000000-0000-0000-0000-000000000000}"/>
  <bookViews>
    <workbookView xWindow="60" yWindow="135" windowWidth="28545" windowHeight="16965" activeTab="15" xr2:uid="{D37248E2-1193-4B5E-BE4F-D7532AB14CA0}"/>
  </bookViews>
  <sheets>
    <sheet name="Constants - Poultry" sheetId="26" r:id="rId1"/>
    <sheet name="Constants - Swine" sheetId="25" r:id="rId2"/>
    <sheet name="Constants - Dairy" sheetId="23" r:id="rId3"/>
    <sheet name="Constants - Pasture Beef" sheetId="22" r:id="rId4"/>
    <sheet name="Input - Site" sheetId="10" r:id="rId5"/>
    <sheet name="Input - Fertiliser" sheetId="7" r:id="rId6"/>
    <sheet name="Input - Feed" sheetId="15" r:id="rId7"/>
    <sheet name="Input - Farm Inputs" sheetId="13" r:id="rId8"/>
    <sheet name="Input - Fuel" sheetId="5" r:id="rId9"/>
    <sheet name="Input - Electricity" sheetId="9" r:id="rId10"/>
    <sheet name="Calcs scope 3" sheetId="19" r:id="rId11"/>
    <sheet name="Constants - Scope 3" sheetId="20" r:id="rId12"/>
    <sheet name="Constants - Common Livestock" sheetId="18" r:id="rId13"/>
    <sheet name="Sheet1" sheetId="1" r:id="rId14"/>
    <sheet name="Constants - Fertiliser" sheetId="6" r:id="rId15"/>
    <sheet name="Constants - Fuel" sheetId="4" r:id="rId16"/>
    <sheet name="Constants - Electricity" sheetId="8" r:id="rId17"/>
    <sheet name="Constants - Common" sheetId="3" r:id="rId18"/>
  </sheets>
  <definedNames>
    <definedName name="AgResidue_Equations_FieldBurning.VEERG_6_4_1_1__1__MethaneEmissionsFromBurningOfCropResidues">_xlfn.LAMBDA(_xlpm.Mburnc,_xlpm.CCc,_xlpm.EFCH4,_xlpm.C_CH4, _xlpm.Mburnc * _xlpm.CCc * _xlpm.EFCH4 * _xlpm.C_CH4 * 10 ^ (-3))</definedName>
    <definedName name="AgResidue_Equations_FieldBurning.VEERG_6_4_1_1__1__MethaneEmissionsFromBurningOfCropResidues_Arguments">_xlfn.LAMBDA(_xlfn.MAKEARRAY(5, 2, _xlfn.LAMBDA(_xlpm.r,_xlpm.c, INDEX({"Mburnc","mass of residue burnt for crop type c (kg)";"CCc","carbon mass fraction in the residues of crop type c (dimensionless)";"EFCH4","emission factor for methane from burning of crop residues (kg CH4/kg CH4 burnt)";"CCH4","factor to convert elemental mass of methane to molecular mass (dimensionless)";"c","Crop type"}, _xlpm.r, _xlpm.c))))</definedName>
    <definedName name="AgResidue_Equations_FieldBurning.VEERG_6_4_1_1__1__MethaneEmissionsFromBurningOfCropResidues_FunctionName">_xlfn.LAMBDA("VEERG_6_4_1_1__1__MethaneEmissionsFromBurningOfCropResidues")</definedName>
    <definedName name="AgResidue_Equations_FieldBurning.VEERG_6_4_1_1__1__MethaneEmissionsFromBurningOfCropResidues_LatexEquation">_xlfn.LAMBDA("E_{CH4}=\sum_{c}(M_{burn,c}\times CC_{c}\times EF_{CH4}\times C_{CH4}\times 10^{-3})")</definedName>
    <definedName name="AgResidue_Equations_FieldBurning.VEERG_6_4_1_1__1__MethaneEmissionsFromBurningOfCropResidues_NIRReference">_xlfn.LAMBDA("")</definedName>
    <definedName name="AgResidue_Equations_FieldBurning.VEERG_6_4_1_1__1__MethaneEmissionsFromBurningOfCropResidues_Source">_xlfn.LAMBDA("VEERG 2026: 6.4.1.1, Equation (1)")</definedName>
    <definedName name="AgResidue_Equations_FieldBurning.VEERG_6_4_1_1__1__MethaneEmissionsFromBurningOfCropResidues_Title">_xlfn.LAMBDA("Methane emissions from the burning of crop residues")</definedName>
    <definedName name="AgResidue_Equations_FieldBurning.VEERG_6_4_1_1__1__MethaneEmissionsFromBurningOfCropResidues_Unit">_xlfn.LAMBDA("t CH4")</definedName>
    <definedName name="AgResidue_Equations_FieldBurning.VEERG_6_4_1_1__1__MethaneEmissionsFromBurningOfCropResidues_Variable">_xlfn.LAMBDA("ECH4")</definedName>
    <definedName name="AgResidue_Equations_FieldBurning.VEERG_6_4_1_1__2__NitrousOxideEmissionsFromBurningOfCropResidues">_xlfn.LAMBDA(_xlpm.Mburnc,_xlpm.NCAGc,_xlpm.EFN2O,_xlpm.CN2O, _xlpm.Mburnc * _xlpm.NCAGc * _xlpm.EFN2O * _xlpm.CN2O * 10 ^ (-3))</definedName>
    <definedName name="AgResidue_Equations_FieldBurning.VEERG_6_4_1_1__2__NitrousOxideEmissionsFromBurningOfCropResidues_Arguments">_xlfn.LAMBDA(_xlfn.MAKEARRAY(5, 2, _xlfn.LAMBDA(_xlpm.r,_xlpm.c, INDEX({"Mburnc","mass of residue burnt for crop type c (kg)";"NCAGc","nitrogen content in the above-ground residue of crop type c (kg N/kg DM)";"EFN2O","emission factor for nitrous oxide from burning of crop residues (kg N2O/kg N2O burnt)";"CN2O","factor to convert elemental mass of nitrous oxide to molecular mass (dimensionless)";"c","Crop type"}, _xlpm.r, _xlpm.c))))</definedName>
    <definedName name="AgResidue_Equations_FieldBurning.VEERG_6_4_1_1__2__NitrousOxideEmissionsFromBurningOfCropResidues_FunctionName">_xlfn.LAMBDA("VEERG_6_4_1_1__2__NitrousOxideEmissionsFromBurningOfCropResidues")</definedName>
    <definedName name="AgResidue_Equations_FieldBurning.VEERG_6_4_1_1__2__NitrousOxideEmissionsFromBurningOfCropResidues_LatexEquation">_xlfn.LAMBDA("E_{N2O}=\sum_{c}(M_{burn,c}\times NC_{AGc}\times EF_{N2O}\times C_{N2O}\times 10^{-3})")</definedName>
    <definedName name="AgResidue_Equations_FieldBurning.VEERG_6_4_1_1__2__NitrousOxideEmissionsFromBurningOfCropResidues_NIRReference">_xlfn.LAMBDA("")</definedName>
    <definedName name="AgResidue_Equations_FieldBurning.VEERG_6_4_1_1__2__NitrousOxideEmissionsFromBurningOfCropResidues_Source">_xlfn.LAMBDA("VEERG 2026: 6.4.1.1, Equation (2)")</definedName>
    <definedName name="AgResidue_Equations_FieldBurning.VEERG_6_4_1_1__2__NitrousOxideEmissionsFromBurningOfCropResidues_Title">_xlfn.LAMBDA("Nitrous oxide emissions from the burning of crop residues")</definedName>
    <definedName name="AgResidue_Equations_FieldBurning.VEERG_6_4_1_1__2__NitrousOxideEmissionsFromBurningOfCropResidues_Unit">_xlfn.LAMBDA("t N2O")</definedName>
    <definedName name="AgResidue_Equations_FieldBurning.VEERG_6_4_1_1__2__NitrousOxideEmissionsFromBurningOfCropResidues_Variable">_xlfn.LAMBDA("EN2O")</definedName>
    <definedName name="AgResidue_Equations_FieldBurning.VEERG_6_4_1_1__3__MassOfCropResidueBurnt">_xlfn.LAMBDA(_xlpm.Pc,_xlpm.RAGc,_xlpm.Sc,_xlpm.DMc,_xlpm.Zc,_xlpm.Fc, _xlpm.Pc * _xlpm.RAGc * _xlpm.Sc * _xlpm.DMc * _xlpm.Zc * _xlpm.Fc)</definedName>
    <definedName name="AgResidue_Equations_FieldBurning.VEERG_6_4_1_1__3__MassOfCropResidueBurnt_Arguments">_xlfn.LAMBDA(_xlfn.MAKEARRAY(7, 2, _xlfn.LAMBDA(_xlpm.r,_xlpm.c, INDEX({"Pc","annual production of crop type c (kg)";"RAGc","residue to crop ratio of crop type c (kg crop residue/kg crop)";"Sc","fraction of residues of crop type c remaining at burning (dimensionless)";"DMc","dry matter content of crop type c (kg dry weight/kg crop residue)";"Zc","burning efficiency (ratio of fuel burnt to fuel load) of crop type c (dimensionless)";"Fc","fraction of the annual production of crop type c that is burnt (dimensionless)";"c","Crop type"}, _xlpm.r, _xlpm.c))))</definedName>
    <definedName name="AgResidue_Equations_FieldBurning.VEERG_6_4_1_1__3__MassOfCropResidueBurnt_FunctionName">_xlfn.LAMBDA("VEERG_6_4_1_1__3__MassOfCropResidueBurnt")</definedName>
    <definedName name="AgResidue_Equations_FieldBurning.VEERG_6_4_1_1__3__MassOfCropResidueBurnt_LatexEquation">_xlfn.LAMBDA("M_{burn,c}=P_{c}\times R_{AGc}\times S_{c}\times DM_{c}\times Z_{c}\times F_{c}")</definedName>
    <definedName name="AgResidue_Equations_FieldBurning.VEERG_6_4_1_1__3__MassOfCropResidueBurnt_NIRReference">_xlfn.LAMBDA("")</definedName>
    <definedName name="AgResidue_Equations_FieldBurning.VEERG_6_4_1_1__3__MassOfCropResidueBurnt_Source">_xlfn.LAMBDA("VEERG 2026: 6.4.1.1, Equation (3)")</definedName>
    <definedName name="AgResidue_Equations_FieldBurning.VEERG_6_4_1_1__3__MassOfCropResidueBurnt_Title">_xlfn.LAMBDA("Mass of residue of crop c burnt")</definedName>
    <definedName name="AgResidue_Equations_FieldBurning.VEERG_6_4_1_1__3__MassOfCropResidueBurnt_Unit">_xlfn.LAMBDA("kg")</definedName>
    <definedName name="AgResidue_Equations_FieldBurning.VEERG_6_4_1_1__3__MassOfCropResidueBurnt_Variable">_xlfn.LAMBDA("Mburnc")</definedName>
    <definedName name="AgResidues_Equations_CropResidues.VEERG_6_1_1_1__1__NitrousOxideEmissionsFromCropResidues">_xlfn.LAMBDA(_xlpm.Mc,_xlpm.EFNi,_xlpm.CgN2O, _xlpm.Mc * _xlpm.EFNi * _xlpm.CgN2O * 10 ^ (-3))</definedName>
    <definedName name="AgResidues_Equations_CropResidues.VEERG_6_1_1_1__1__NitrousOxideEmissionsFromCropResidues_Arguments">_xlfn.LAMBDA(_xlfn.MAKEARRAY(5, 2, _xlfn.LAMBDA(_xlpm.r,_xlpm.c, INDEX({"Mc","mass of nitrogen in crop c residues returned to the soil (kg N)";"EFNi","emission factor for crop residues returned to the soil (kg N2O-N/kg N)";"CgN2O","factor to convert elemental mass of nitrous oxide to molecular mass (dimensionless)";"c","Crop type";"i","Climate zone"}, _xlpm.r, _xlpm.c))))</definedName>
    <definedName name="AgResidues_Equations_CropResidues.VEERG_6_1_1_1__1__NitrousOxideEmissionsFromCropResidues_FunctionName">_xlfn.LAMBDA("VEERG_6_1_1_1__1__NitrousOxideEmissionsFromCropResidues")</definedName>
    <definedName name="AgResidues_Equations_CropResidues.VEERG_6_1_1_1__1__NitrousOxideEmissionsFromCropResidues_LatexEquation">_xlfn.LAMBDA("E=\sum_{c}{M_{c}\times EF_{N}\times C_{g,N2O}\times 10^{-3}}")</definedName>
    <definedName name="AgResidues_Equations_CropResidues.VEERG_6_1_1_1__1__NitrousOxideEmissionsFromCropResidues_NIRReference">_xlfn.LAMBDA("")</definedName>
    <definedName name="AgResidues_Equations_CropResidues.VEERG_6_1_1_1__1__NitrousOxideEmissionsFromCropResidues_Source">_xlfn.LAMBDA("VEERG 2026: 6.1.1.1, Equation (1)")</definedName>
    <definedName name="AgResidues_Equations_CropResidues.VEERG_6_1_1_1__1__NitrousOxideEmissionsFromCropResidues_Title">_xlfn.LAMBDA("Nitrous oxide emissions from the return of crop residues across all crops c to the soil")</definedName>
    <definedName name="AgResidues_Equations_CropResidues.VEERG_6_1_1_1__1__NitrousOxideEmissionsFromCropResidues_Unit">_xlfn.LAMBDA("t N2O")</definedName>
    <definedName name="AgResidues_Equations_CropResidues.VEERG_6_1_1_1__1__NitrousOxideEmissionsFromCropResidues_Variable">_xlfn.LAMBDA("E")</definedName>
    <definedName name="AgResidues_Equations_CropResidues.VEERG_6_1_1_1__2__MassOfNitrogenInCropResidues">_xlfn.LAMBDA(_xlpm.Pc,_xlpm.RAGc,_xlpm.Fc,_xlpm.FFODc,_xlpm.DMc,_xlpm.NCAGc,_xlpm.RBGc,_xlpm.NCBGc, (_xlpm.Pc * _xlpm.RAGc * (1 - _xlpm.Fc - _xlpm.FFODc) * _xlpm.DMc * _xlpm.NCAGc) + (_xlpm.Pc * _xlpm.RAGc * _xlpm.RBGc * _xlpm.DMc * _xlpm.NCBGc))</definedName>
    <definedName name="AgResidues_Equations_CropResidues.VEERG_6_1_1_1__2__MassOfNitrogenInCropResidues_Arguments">_xlfn.LAMBDA(_xlfn.MAKEARRAY(10, 2, _xlfn.LAMBDA(_xlpm.r,_xlpm.c, INDEX({"Pc","annual production of crop c (kg)";"RAGc","residue to crop ratio for crop c (dimensionless)";"RBGc","below ground-residue to above ground residue ratio for crop c (dimensionless)";"Fc","fraction of crop residue that is burnt for crop c (dimensionless)";"FFODc","fraction of the crop residue that is removed for crop c (dimensionless)";"DMc","dry matter content of crop c (kg dry weight/kg crop residue)";"NCAGc","nitrogen content of above-ground crop residue of crop c (kg N/kg DM)";"NCBGc","nitrogen content of below-ground crop residue of crop c (kg N/kg DM)";"c","Crop type";"State","State or territory"}, _xlpm.r, _xlpm.c))))</definedName>
    <definedName name="AgResidues_Equations_CropResidues.VEERG_6_1_1_1__2__MassOfNitrogenInCropResidues_LatexEquation">_xlfn.LAMBDA("M_{c}=(P_{c}\times R_{AGc}\times(1-F_{c}-FFOD_{c})\times DM_{c}\times NC_{AGc})+(P_{c}\times R_{AGc}\times R_{BGc}\times DM_{c}\times NC_{BGc})")</definedName>
    <definedName name="AgResidues_Equations_CropResidues.VEERG_6_1_1_1__2__MassOfNitrogenInCropResidues_NIRReference">_xlfn.LAMBDA("")</definedName>
    <definedName name="AgResidues_Equations_CropResidues.VEERG_6_1_1_1__2__MassOfNitrogenInCropResidues_Source">_xlfn.LAMBDA("VEERG 2026: 6.1.1.1, Equation (2)")</definedName>
    <definedName name="AgResidues_Equations_CropResidues.VEERG_6_1_1_1__2__MassOfNitrogenInCropResidues_Title">_xlfn.LAMBDA("Mass of nitrogen in crop residues returned to the soil")</definedName>
    <definedName name="AgResidues_Equations_CropResidues.VEERG_6_1_1_1__2__MassOfNitrogenInCropResidues_Unit">_xlfn.LAMBDA("kg N")</definedName>
    <definedName name="AgResidues_Equations_CropResidues.VEERG_6_1_1_1__2__MassOfNitrogenInCropResidues_Variable">_xlfn.LAMBDA("Mc")</definedName>
    <definedName name="AgResidues_Equations_CropResidues.VEERG_6_1_1_2__1__FractionOfCropResidueRemovedBaled">_xlfn.LAMBDA(_xlpm.B,_xlpm.MB,_xlpm.Pc,_xlpm.RAGc, IFERROR((_xlpm.B * _xlpm.MB) / (_xlpm.Pc * _xlpm.RAGc), 0))</definedName>
    <definedName name="AgResidues_Equations_CropResidues.VEERG_6_1_1_2__1__FractionOfCropResidueRemovedBaled_Arguments">_xlfn.LAMBDA(_xlfn.MAKEARRAY(5, 2, _xlfn.LAMBDA(_xlpm.r,_xlpm.c, INDEX({"B","number of bales generated (dimensionless)";"MB","mass of each bale (kg)";"Pc","annual production of crop c (kg)";"RAGc","residue to crop ratio for crop c (dimensionless)";"c","Crop type"}, _xlpm.r, _xlpm.c))))</definedName>
    <definedName name="AgResidues_Equations_CropResidues.VEERG_6_1_1_2__1__FractionOfCropResidueRemovedBaled_LatexEquation">_xlfn.LAMBDA("FFOD_{c,baled}=\frac{B\times M_{B}}{P_{c}\times R_{AG,c}}")</definedName>
    <definedName name="AgResidues_Equations_CropResidues.VEERG_6_1_1_2__1__FractionOfCropResidueRemovedBaled_NIRReference">_xlfn.LAMBDA("")</definedName>
    <definedName name="AgResidues_Equations_CropResidues.VEERG_6_1_1_2__1__FractionOfCropResidueRemovedBaled_Source">_xlfn.LAMBDA("VEERG 2026: 6.1.1.2, Equation (1)")</definedName>
    <definedName name="AgResidues_Equations_CropResidues.VEERG_6_1_1_2__1__FractionOfCropResidueRemovedBaled_Title">_xlfn.LAMBDA("Fraction of crop residue that is removed for crop c, calculated where residues are baled")</definedName>
    <definedName name="AgResidues_Equations_CropResidues.VEERG_6_1_1_2__1__FractionOfCropResidueRemovedBaled_Unit">_xlfn.LAMBDA("dimensionless")</definedName>
    <definedName name="AgResidues_Equations_CropResidues.VEERG_6_1_1_2__1__FractionOfCropResidueRemovedBaled_Variable">_xlfn.LAMBDA("FFODcbaled")</definedName>
    <definedName name="AgResidues_Equations_CropResidues.VEERG_6_1_1_2__1__FractionOfCropResidueRemovedBaled_Variation">_xlfn.LAMBDA("VARIATION FROM SOURCE: Added 'baled' to variable subscript")</definedName>
    <definedName name="AgResidues_Equations_CropResidues.VEERG_6_1_1_2__1a__FractionOfCropResidueRemoved">_xlfn.LAMBDA(_xlpm.FFODcbaled,_xlpm.FFODcother, _xlpm.FFODcbaled + _xlpm.FFODcother)</definedName>
    <definedName name="AgResidues_Equations_CropResidues.VEERG_6_1_1_2__1a__FractionOfCropResidueRemoved_Arguments">_xlfn.LAMBDA(_xlfn.MAKEARRAY(2, 2, _xlfn.LAMBDA(_xlpm.r,_xlpm.c, INDEX({"FFODcbaled","Fraction of crop residue that is removed for crop c, calculated where residues are baled";"FFODcother","Fraction of crop residue that is removed for crop c, calculated where residues are removed by other means"}, _xlpm.r, _xlpm.c))))</definedName>
    <definedName name="AgResidues_Equations_CropResidues.VEERG_6_1_1_2__1a__FractionOfCropResidueRemoved_LatexEquation">_xlfn.LAMBDA("FFOD_{c} = FFOD_{c,baled} + FFOD_{c,other}")</definedName>
    <definedName name="AgResidues_Equations_CropResidues.VEERG_6_1_1_2__1a__FractionOfCropResidueRemoved_NIRReference">_xlfn.LAMBDA("")</definedName>
    <definedName name="AgResidues_Equations_CropResidues.VEERG_6_1_1_2__1a__FractionOfCropResidueRemoved_Source">_xlfn.LAMBDA("")</definedName>
    <definedName name="AgResidues_Equations_CropResidues.VEERG_6_1_1_2__1a__FractionOfCropResidueRemoved_Title">_xlfn.LAMBDA("Fraction of crop residue that is removed for crop c")</definedName>
    <definedName name="AgResidues_Equations_CropResidues.VEERG_6_1_1_2__1a__FractionOfCropResidueRemoved_Unit">_xlfn.LAMBDA("dimensionless")</definedName>
    <definedName name="AgResidues_Equations_CropResidues.VEERG_6_1_1_2__1a__FractionOfCropResidueRemoved_Variable">_xlfn.LAMBDA("FFODc")</definedName>
    <definedName name="AgResidues_Equations_CropResidues.VEERG_6_1_1_2__1a__FractionOfCropResidueRemoved_Variation">_xlfn.LAMBDA("VARIATION FROM SOURCE: Added this equation to accommodate user-defined residue removal other than baling.")</definedName>
    <definedName name="AgResidues_Equations_Leaching.VEERG_6_3_1_1__1__LeachingAndRunoffEmissionsCropAndPastureResidue">_xlfn.LAMBDA(_xlpm.Mleachcp,_xlpm.EFleach,_xlpm.CgN2O, _xlpm.Mleachcp * _xlpm.EFleach * _xlpm.CgN2O * 10 ^ (-3))</definedName>
    <definedName name="AgResidues_Equations_Leaching.VEERG_6_3_1_1__1__LeachingAndRunoffEmissionsCropAndPastureResidue_Arguments">_xlfn.LAMBDA(_xlfn.MAKEARRAY(5, 2, _xlfn.LAMBDA(_xlpm.r,_xlpm.c, INDEX({"Mleachcp","mass of nitrogen lost through leaching and runoff from the crop residue c or pasture residue p (kg N)";"EFleach","emission factor for leaching and runoff (kg N2O-N/kg N)";"CgN2O","factor to convert elemental mass of nitrous oxide to molecular mass (dimensionless)";"c","Crop residue type";"p","Pasture residue type"}, _xlpm.r, _xlpm.c))))</definedName>
    <definedName name="AgResidues_Equations_Leaching.VEERG_6_3_1_1__1__LeachingAndRunoffEmissionsCropAndPastureResidue_LatexEquation">_xlfn.LAMBDA("E_{N2O}=\sum_{c}\sum_{p}(M_{leach,cp}\times EF_{leach}\times Cg_{N2O}\times 10^{-3})")</definedName>
    <definedName name="AgResidues_Equations_Leaching.VEERG_6_3_1_1__1__LeachingAndRunoffEmissionsCropAndPastureResidue_NIRReference">_xlfn.LAMBDA("")</definedName>
    <definedName name="AgResidues_Equations_Leaching.VEERG_6_3_1_1__1__LeachingAndRunoffEmissionsCropAndPastureResidue_Source">_xlfn.LAMBDA("VEERG 2026: 6.3.1.1, Equation (1)")</definedName>
    <definedName name="AgResidues_Equations_Leaching.VEERG_6_3_1_1__1__LeachingAndRunoffEmissionsCropAndPastureResidue_Title">_xlfn.LAMBDA("Nitrous oxide leaching and runoff emissions from crop and pasture residues returned to the soil")</definedName>
    <definedName name="AgResidues_Equations_Leaching.VEERG_6_3_1_1__1__LeachingAndRunoffEmissionsCropAndPastureResidue_Unit">_xlfn.LAMBDA("t N2O")</definedName>
    <definedName name="AgResidues_Equations_Leaching.VEERG_6_3_1_1__1__LeachingAndRunoffEmissionsCropAndPastureResidue_Variable">_xlfn.LAMBDA("EN2O")</definedName>
    <definedName name="AgResidues_Equations_Leaching.VEERG_6_3_1_1__2__MassOfNitrogenLostThroughLeachingAndRunoff">_xlfn.LAMBDA(_xlpm.Mcp,_xlpm.FracWETzir,_xlpm.FracLEACH, _xlpm.Mcp * _xlpm.FracWETzir * _xlpm.FracLEACH)</definedName>
    <definedName name="AgResidues_Equations_Leaching.VEERG_6_3_1_1__2__MassOfNitrogenLostThroughLeachingAndRunoff_Arguments">_xlfn.LAMBDA(_xlfn.MAKEARRAY(7, 2, _xlfn.LAMBDA(_xlpm.r,_xlpm.c, INDEX({"Mcp","mass of nitrogen in crop residues c or pasture residues p applied to soils (kg N)";"FracWETzir","fraction of N that is available for leaching and runoff from the leaching zone z and irrigation type ir (dimensionless)";"FracLEACH","fraction of N that is lost through leaching and runoff (dimensionless)";"z","Location in leaching zone (dimensionless)";"c","Crop residue type";"p","Pasture residue type";"ir","Irrigation type"}, _xlpm.r, _xlpm.c))))</definedName>
    <definedName name="AgResidues_Equations_Leaching.VEERG_6_3_1_1__2__MassOfNitrogenLostThroughLeachingAndRunoff_LatexEquation">_xlfn.LAMBDA("M_{leach,cp}=M_{cp}\times FracWET_{z,ir}\times FracLEACH")</definedName>
    <definedName name="AgResidues_Equations_Leaching.VEERG_6_3_1_1__2__MassOfNitrogenLostThroughLeachingAndRunoff_NIRReference">_xlfn.LAMBDA("")</definedName>
    <definedName name="AgResidues_Equations_Leaching.VEERG_6_3_1_1__2__MassOfNitrogenLostThroughLeachingAndRunoff_Source">_xlfn.LAMBDA("VEERG 2026: 6.3.1.1, Equation (2)")</definedName>
    <definedName name="AgResidues_Equations_Leaching.VEERG_6_3_1_1__2__MassOfNitrogenLostThroughLeachingAndRunoff_Title">_xlfn.LAMBDA("Mass of nitrogen lost through leaching and runoff")</definedName>
    <definedName name="AgResidues_Equations_Leaching.VEERG_6_3_1_1__2__MassOfNitrogenLostThroughLeachingAndRunoff_Unit">_xlfn.LAMBDA("kg N")</definedName>
    <definedName name="AgResidues_Equations_Leaching.VEERG_6_3_1_1__2__MassOfNitrogenLostThroughLeachingAndRunoff_Variable">_xlfn.LAMBDA("Mleachcp")</definedName>
    <definedName name="AgResidues_Equations_Leaching.VEERG_6_3_1_1__2__MassOfNitrogenLostThroughLeachingAndRunoff_Variation">_xlfn.LAMBDA("VARIATION FROM SOURCE: Added criteria for leaching zone z and irrigation type ir. Removed production system criteria j.")</definedName>
    <definedName name="AgResidues_Equations_PastureResidues.VEERG_6_2_1_1__1__NitrousOxideEmissionsFromPastureResidues">_xlfn.LAMBDA(_xlpm.Mp,_xlpm.EFNi,_xlpm.CN2O, _xlpm.Mp * _xlpm.EFNi * _xlpm.CN2O * 10 ^ (-3))</definedName>
    <definedName name="AgResidues_Equations_PastureResidues.VEERG_6_2_1_1__1__NitrousOxideEmissionsFromPastureResidues_Arguments">_xlfn.LAMBDA(_xlfn.MAKEARRAY(5, 2, _xlfn.LAMBDA(_xlpm.r,_xlpm.c, INDEX({"Mp","mass of nitrogen in pasture p residues returned to the soil (kg N)";"EFNi","emission factor for crop residues returned to the soil in climate zone i (kg N2O-N/kg N)";"CgN2O","factor to convert elemental mass of nitrous oxide to molecular mass (dimensionless)";"p","Pasture type";"i","Climate zone"}, _xlpm.r, _xlpm.c))))</definedName>
    <definedName name="AgResidues_Equations_PastureResidues.VEERG_6_2_1_1__1__NitrousOxideEmissionsFromPastureResidues_FunctionName">_xlfn.LAMBDA("VEERG_6_2_1_1__1__NitrousOxideEmissionsFromPastureResidues")</definedName>
    <definedName name="AgResidues_Equations_PastureResidues.VEERG_6_2_1_1__1__NitrousOxideEmissionsFromPastureResidues_LatexEquation">_xlfn.LAMBDA("E_{N2O}=\sum_{p}\left(M_p\times EF_{Ni}\times C_{N2O}\times{10}^{-3}\right)")</definedName>
    <definedName name="AgResidues_Equations_PastureResidues.VEERG_6_2_1_1__1__NitrousOxideEmissionsFromPastureResidues_NIRReference">_xlfn.LAMBDA("")</definedName>
    <definedName name="AgResidues_Equations_PastureResidues.VEERG_6_2_1_1__1__NitrousOxideEmissionsFromPastureResidues_Source">_xlfn.LAMBDA("VEERG 2026: 6.2.1.1, Equation (1)")</definedName>
    <definedName name="AgResidues_Equations_PastureResidues.VEERG_6_2_1_1__1__NitrousOxideEmissionsFromPastureResidues_Title">_xlfn.LAMBDA("Nitrous oxide emissions from the return of pasture residues from all pasture types to the soil")</definedName>
    <definedName name="AgResidues_Equations_PastureResidues.VEERG_6_2_1_1__1__NitrousOxideEmissionsFromPastureResidues_Unit">_xlfn.LAMBDA("t N2O")</definedName>
    <definedName name="AgResidues_Equations_PastureResidues.VEERG_6_2_1_1__1__NitrousOxideEmissionsFromPastureResidues_Variable">_xlfn.LAMBDA("EN2O")</definedName>
    <definedName name="AgResidues_Equations_PastureResidues.VEERG_6_2_1_1__2__MassOfNitrogenInPastureResidues">_xlfn.LAMBDA(_xlpm.Ap,_xlpm.Yp,_xlpm.FFODp,_xlpm.NCAGp,_xlpm.RBGp,_xlpm.NCBGp, (_xlpm.Ap * (_xlpm.Yp * 10 ^ (-3)) * (1 - _xlpm.FFODp) * _xlpm.NCAGp) + (_xlpm.Ap * (_xlpm.Yp * 10 ^ (-3)) * _xlpm.RBGp * _xlpm.NCBGp))</definedName>
    <definedName name="AgResidues_Equations_PastureResidues.VEERG_6_2_1_1__2__MassOfNitrogenInPastureResidues_Arguments">_xlfn.LAMBDA(_xlfn.MAKEARRAY(7, 2, _xlfn.LAMBDA(_xlpm.r,_xlpm.c, INDEX({"Ap","area of pasture renewed or removed (ha)";"Yp","average yield of pasture crop (t DM/ha)";"NCAGp","N content of above-ground pasture residue (kg N/kg DM)";"RBGp","below-ground residue to above-ground residue ratio for pasture crop (dimensionless)";"NCBGp","N content of below-ground pasture crop residue (kg N/kg DM)";"FFODp","fraction of pasture yield that is removed (dimensionless)";"p","Pasture type"}, _xlpm.r, _xlpm.c))))</definedName>
    <definedName name="AgResidues_Equations_PastureResidues.VEERG_6_2_1_1__2__MassOfNitrogenInPastureResidues_FunctionName">_xlfn.LAMBDA("VEERG_6_2_1_1__2__MassOfNitrogenInPastureResidues")</definedName>
    <definedName name="AgResidues_Equations_PastureResidues.VEERG_6_2_1_1__2__MassOfNitrogenInPastureResidues_LatexEquation">_xlfn.LAMBDA("M_p = (A_p \times (Y_p \times 10^{-3}) \times (1- FFOD_p) \times NC_{AGp}) + (A_p \times (Y_p \times 10^{-3})\times R_{BGp} \times NC_{BGp})")</definedName>
    <definedName name="AgResidues_Equations_PastureResidues.VEERG_6_2_1_1__2__MassOfNitrogenInPastureResidues_NIRReference">_xlfn.LAMBDA("")</definedName>
    <definedName name="AgResidues_Equations_PastureResidues.VEERG_6_2_1_1__2__MassOfNitrogenInPastureResidues_Source">_xlfn.LAMBDA("VEERG 2026: 6.2.1.1, Equation (2)")</definedName>
    <definedName name="AgResidues_Equations_PastureResidues.VEERG_6_2_1_1__2__MassOfNitrogenInPastureResidues_Title">_xlfn.LAMBDA("Mass of nitrogen in pasture residues returned to the soil")</definedName>
    <definedName name="AgResidues_Equations_PastureResidues.VEERG_6_2_1_1__2__MassOfNitrogenInPastureResidues_Unit">_xlfn.LAMBDA("kg N")</definedName>
    <definedName name="AgResidues_Equations_PastureResidues.VEERG_6_2_1_1__2__MassOfNitrogenInPastureResidues_Variable">_xlfn.LAMBDA("Mp")</definedName>
    <definedName name="AgResidues_SourceData.BurningOfAgriculturalResiduesEFs_Data">_xlfn.LAMBDA(_xlfn.MAKEARRAY(6, 3, _xlfn.LAMBDA(_xlpm.r,_xlpm.c, INDEX({"Gas species","Emission factor EFg (Gg element in species/ Gg element in fuel burnt)","Elemental to molecular mass conversion factor (Cg)";"CH4",0.0035,"16/12";"N2O",0.0076,"44/28";"NOx",0.21,"46/14";"CO",0.078,"28/12";"NMVOC",0.0091,"14/12"}, _xlpm.r, _xlpm.c))))</definedName>
    <definedName name="AgResidues_SourceData.BurningOfAgriculturalResiduesEFs_Description">_xlfn.LAMBDA(("Burning of agricultural residues - EFs"))</definedName>
    <definedName name="AgResidues_SourceData.BurningOfAgriculturalResiduesEFs_Source">_xlfn.LAMBDA(("National Inventory Report 2023 volume 2: Table 5.31: Burning of agricultural residues - EFs"))</definedName>
    <definedName name="AgResidues_SourceData.BurningOfAgriculturalResiduesEFs_Title">_xlfn.LAMBDA(("Table 5.31 Burning of agricultural residues - EFs"))</definedName>
    <definedName name="AgResidues_SourceData.CropAttributes_Data">_xlfn.LAMBDA(_xlfn.MAKEARRAY(20, 9, _xlfn.LAMBDA(_xlpm.r,_xlpm.c, INDEX({"Crop type","Residue: Crop ratio","Below-ground: above-ground residue ratio","Dry matter content","Carbon fraction in dry matter","N content above-ground","N content below-ground","Fraction of residue remaining at time of burning","Burning efficiencyt";"c","RAGc","RBGc","DMc","CCc","NCAGc","NCBGc","Sc","Zc";"Wheat",1.5,0.29,0.88,0.4,0.006,0.01,0.5,0.9;"Barley",1.24,0.32,0.88,0.4,0.007,0.01,0.5,0.85;"Maize",0.81,0.39,0.85,0.42,0.005,0.007,1,0.8;"Oats",1.42,0.43,0.88,0.4,0.006,0.01,0.5,0.85;"Rice",1.31,0.16,0.8,0.42,0.007,0.01,1,0.8;"Sorghum",1.5,0.22,0.8,0.4,0.008,0.007,0.5,0.85;"Triticale",1.5,0.42,0.88,0.4,0.006,0.01,0.5,0.85;"Other cereals",1.46,0.36,0.88,0.4,0.006,0.01,0.5,0.85;"Pulses",1.37,0.51,0.87,0.4,0.009,0.01,0.5,0.85;"Tubers and roots",0.34,0.43,0.25,0.4,0.02,0.01,"n/a",0.85;"Peanuts",1.07,0.2,0.8,0.42,0.016,0.014,0.5,0.85;"Sugar cane",0.25,0.45,0.2,0.4,0.005,0.007,1,0.8;"Cotton",1.9,0.3,0.9,0.4,0.01,0.01,"n/a",0.85;"Hops",1.5,0.29,0.88,0.4,0.006,"n/a","n/a",0.85;"Oilseeds",2.08,0.33,0.96,0.4,0.009,0.01,0.5,0.85;"Forage crops",1.34,0.37,0.88,0.4,0.006,0.01,"n/a",0.85;"Other annual crops",1,0.22,0.85,0.4,0.008,0.009,"n/a","n/a";"Other perennial crops",1.5,0.29,0.88,0.4,0.006,"n/a","n/a","n/a"}, _xlpm.r, _xlpm.c))))</definedName>
    <definedName name="AgResidues_SourceData.CropAttributes_Description">_xlfn.LAMBDA(("Crop attributes"))</definedName>
    <definedName name="AgResidues_SourceData.CropAttributes_Source">_xlfn.LAMBDA(("VEERG 2026: Table A.2.1.1: Crop attributes"))</definedName>
    <definedName name="AgResidues_SourceData.CropAttributes_Title">_xlfn.LAMBDA(("Table A.2.1.1: Crop attributes"))</definedName>
    <definedName name="AgResidues_SourceData.CropAttributes_Variation">_xlfn.LAMBDA(("VARIATION FROM SOURCE: 'N/A' values passed as zero for calculations."))</definedName>
    <definedName name="AgResidues_SourceData.CropFractionRemoved_CustomisedData">_xlfn.LAMBDA(_xlfn.MAKEARRAY(144, 3, _xlfn.LAMBDA(_xlpm.r,_xlpm.c, INDEX({"Crop type c","State","Fraction removed FFODc";"Rice","NSW",0.06;"Rice","VIC",0.06;"Rice","QLD",0.06;"Rice","SA",0.06;"Rice","WA",0.06;"Rice","TAS",0.06;"Rice","NT",0.06;"Rice","ACT",0.06;"Tubers and roots","NSW",1;"Tubers and roots","VIC",1;"Tubers and roots","QLD",1;"Tubers and roots","SA",1;"Tubers and roots","WA",1;"Tubers and roots","TAS",1;"Tubers and roots","NT",1;"Tubers and roots","ACT",1;"Cotton","NSW",0;"Cotton","VIC",0;"Cotton","QLD",0;"Cotton","SA",0;"Cotton","WA",0;"Cotton","TAS",0;"Cotton","NT",0;"Cotton","ACT",0;"Hops","NSW",0;"Hops","VIC",0;"Hops","QLD",0;"Hops","SA",0;"Hops","WA",0;"Hops","TAS",0;"Hops","NT",0;"Hops","ACT",0;"Forage crops","NSW",0.8;"Forage crops","VIC",0.8;"Forage crops","QLD",0.8;"Forage crops","SA",0.8;"Forage crops","WA",0.8;"Forage crops","TAS",0.8;"Forage crops","NT",0.8;"Forage crops","ACT",0.8;"Sugar Cane","NSW",0;"Sugar Cane","VIC","N/A";"Sugar Cane","QLD",0.03;"Sugar Cane","SA","N/A";"Sugar Cane","WA",0;"Sugar Cane","TAS","N/A";"Sugar Cane","NT","N/A";"Sugar Cane","ACT","N/A";"Wheat","NSW",0.05;"Wheat","VIC",0.07;"Wheat","QLD",0.04;"Wheat","SA",0.09;"Wheat","WA",0.11;"Wheat","TAS",0.16;"Wheat","NT",0.01;"Wheat","ACT",0;"Barley","NSW",0.05;"Barley","VIC",0.07;"Barley","QLD",0.04;"Barley","SA",0.09;"Barley","WA",0.11;"Barley","TAS",0.16;"Barley","NT",0.01;"Barley","ACT",0;"Maize","NSW",0.05;"Maize","VIC",0.07;"Maize","QLD",0.04;"Maize","SA",0.09;"Maize","WA",0.11;"Maize","TAS",0.16;"Maize","NT",0.01;"Maize","ACT",0;"Oats","NSW",0.05;"Oats","VIC",0.07;"Oats","QLD",0.04;"Oats","SA",0.09;"Oats","WA",0.11;"Oats","TAS",0.16;"Oats","NT",0.01;"Oats","ACT",0;"Sorghum","NSW",0.05;"Sorghum","VIC",0.07;"Sorghum","QLD",0.04;"Sorghum","SA",0.09;"Sorghum","WA",0.11;"Sorghum","TAS",0.16;"Sorghum","NT",0.01;"Sorghum","ACT",0;"Triticale","NSW",0.05;"Triticale","VIC",0.07;"Triticale","QLD",0.04;"Triticale","SA",0.09;"Triticale","WA",0.11;"Triticale","TAS",0.16;"Triticale","NT",0.01;"Triticale","ACT",0;"Other cereals","NSW",0.05;"Other cereals","VIC",0.07;"Other cereals","QLD",0.04;"Other cereals","SA",0.09;"Other cereals","WA",0.11;"Other cereals","TAS",0.16;"Other cereals","NT",0.01;"Other cereals","ACT",0;"Pulses","NSW",0.05;"Pulses","VIC",0.07;"Pulses","QLD",0.04;"Pulses","SA",0.09;"Pulses","WA",0.11;"Pulses","TAS",0.16;"Pulses","NT",0.01;"Pulses","ACT",0;"Peanuts","NSW",0.05;"Peanuts","VIC",0.07;"Peanuts","QLD",0.04;"Peanuts","SA",0.09;"Peanuts","WA",0.11;"Peanuts","TAS",0.16;"Peanuts","NT",0.01;"Peanuts","ACT",0;"Oilseeds","NSW",0.05;"Oilseeds","VIC",0.07;"Oilseeds","QLD",0.04;"Oilseeds","SA",0.09;"Oilseeds","WA",0.11;"Oilseeds","TAS",0.16;"Oilseeds","NT",0.01;"Oilseeds","ACT",0;"Other annual crops","NSW",0.05;"Other annual crops","VIC",0.07;"Other annual crops","QLD",0.04;"Other annual crops","SA",0.09;"Other annual crops","WA",0.11;"Other annual crops","TAS",0.16;"Other annual crops","NT",0.01;"Other annual crops","ACT",0;"Other perennial crops","NSW",0.05;"Other perennial crops","VIC",0.07;"Other perennial crops","QLD",0.04;"Other perennial crops","SA",0.09;"Other perennial crops","WA",0.11;"Other perennial crops","TAS",0.16;"Other perennial crops","NT",0.01;"Other perennial crops","ACT",0}, _xlpm.r, _xlpm.c))))</definedName>
    <definedName name="AgResidues_SourceData.CropFractionRemoved_Data">_xlfn.LAMBDA(_xlfn.MAKEARRAY(20, 3, _xlfn.LAMBDA(_xlpm.r,_xlpm.c, INDEX({"Crop type c","State","Fraction removed FFODc";"Rice","All states",0.06;"Tubers and roots","All states",1;"Cotton","All states",0;"Hops","All states",0;"Forage crops","All states",0.8;"Sugar Cane","NSW",0;"Sugar Cane","QLD",0.03;"Sugar Cane","WA",0;"All other crop types","NSW",0.05;"All other crop types","VIC",0.07;"All other crop types","QLD",0.04;"All other crop types","SA",0.09;"All other crop types","WA",0.11;"All other crop types","TAS",0.16;"All other crop types","NT",0.01;"All other crop types","ACT",0}, _xlpm.r, _xlpm.c))))</definedName>
    <definedName name="AgResidues_SourceData.CropFractionRemoved_Description">_xlfn.LAMBDA(("Crop attributes - Fraction removed (FFODc)"))</definedName>
    <definedName name="AgResidues_SourceData.CropFractionRemoved_Source">_xlfn.LAMBDA(("VEERG 2026: Table A.2.1.2: Crop attributes - Fraction removed (FFODc)"))</definedName>
    <definedName name="AgResidues_SourceData.CropFractionRemoved_Title">_xlfn.LAMBDA(("Table A.2.1.2: Crop attributes - Fraction removed (FFODc)"))</definedName>
    <definedName name="AgResidues_SourceData.CropFractionRemoved_Variation">_xlfn.LAMBDA(("VARIATION OF SOURCE DATA: Split 'All other crop types' into individual crop types for each state. Listed all states for Sugar Cane, with 'N/A' for states where it is not grown."))</definedName>
    <definedName name="AgResidues_SourceData.PastureAttributes_Data">_xlfn.LAMBDA(_xlfn.MAKEARRAY(6, 6, _xlfn.LAMBDA(_xlpm.r,_xlpm.c, INDEX({"Pasture type","Average Yield (t DM ha) Yp","Below-ground: above-ground residue ratio RBGp","N content Above-ground NCAGp","N content Below-ground NCBGp","Fraction of pasture yield that is removed FFODp";"Annual grass",4.41,0.4,0.015,0.012,0.8;"Grass clover mixture",8.34,0.8,0.025,0.016,0.8;"Lucerne",8.62,0.4,0.027,0.019,0.8;"Other legume",5.62,0.4,0.027,0.022,0.8;"Perennial pasture",8.35,0.8,0.015,0.012,0.8}, _xlpm.r, _xlpm.c))))</definedName>
    <definedName name="AgResidues_SourceData.PastureAttributes_Description">_xlfn.LAMBDA(("Pasture attributes"))</definedName>
    <definedName name="AgResidues_SourceData.PastureAttributes_Source">_xlfn.LAMBDA(("VEERG 2026: Table A.2.1.3: Pasture attributes"))</definedName>
    <definedName name="AgResidues_SourceData.PastureAttributes_Title">_xlfn.LAMBDA(("Table A.2.1.3 Pasture attributes"))</definedName>
    <definedName name="Common_Equations.Common_ConvertCH4ToCO2e">_xlfn.LAMBDA(_xlpm.E_CH4,_xlpm.GWP_CH4, _xlpm.E_CH4 * _xlpm.GWP_CH4)</definedName>
    <definedName name="Common_Equations.Common_ConvertCH4ToCO2e_Arguments">_xlfn.LAMBDA(_xlfn.MAKEARRAY(2, 2, _xlfn.LAMBDA(_xlpm.r,_xlpm.c, INDEX({"ECH4","Methane emissions (t CH4)";"GWPCH4","Global warming potential for methane (t CO2-e / t CH4)"}, _xlpm.r, _xlpm.c))))</definedName>
    <definedName name="Common_Equations.Common_ConvertCH4ToCO2e_LatexEquation">_xlfn.LAMBDA("CO2_e = E_{CH4} \times GWP_{CH4}")</definedName>
    <definedName name="Common_Equations.Common_ConvertCH4ToCO2e_NIRReference">_xlfn.LAMBDA("")</definedName>
    <definedName name="Common_Equations.Common_ConvertCH4ToCO2e_Title">_xlfn.LAMBDA("Convert methane emissions to carbon dioxide equivalent emissions")</definedName>
    <definedName name="Common_Equations.Common_ConvertCH4ToCO2e_Unit">_xlfn.LAMBDA("t CO2e")</definedName>
    <definedName name="Common_Equations.Common_ConvertCH4ToCO2e_Variable">_xlfn.LAMBDA("ECH4 CO2e")</definedName>
    <definedName name="Common_Equations.Common_ConvertN2OToCO2e">_xlfn.LAMBDA(_xlpm.E_N2O,_xlpm.GWP_N2O, _xlpm.E_N2O * _xlpm.GWP_N2O)</definedName>
    <definedName name="Common_Equations.Common_ConvertN2OToCO2e_Arguments">_xlfn.LAMBDA(_xlfn.MAKEARRAY(2, 2, _xlfn.LAMBDA(_xlpm.r,_xlpm.c, INDEX({"EN2O","Nitrous oxide emissions (t N2O)";"GWPN2O","Global warming potential for nitrous oxide (t CO2-e / t N2O)"}, _xlpm.r, _xlpm.c))))</definedName>
    <definedName name="Common_Equations.Common_ConvertN2OToCO2e_LatexEquation">_xlfn.LAMBDA("CO2_e = E_{N2O} \times GWP_{N2O}")</definedName>
    <definedName name="Common_Equations.Common_ConvertN2OToCO2e_NIRReference">_xlfn.LAMBDA("")</definedName>
    <definedName name="Common_Equations.Common_ConvertN2OToCO2e_Title">_xlfn.LAMBDA("Convert nitrous oxide emissions to carbon dioxide equivalent emissions")</definedName>
    <definedName name="Common_Equations.Common_ConvertN2OToCO2e_Unit">_xlfn.LAMBDA("t CO2e")</definedName>
    <definedName name="Common_Equations.Common_ConvertN2OToCO2e_Variable">_xlfn.LAMBDA("EN2O CO2e")</definedName>
    <definedName name="Common_InputFunctions.Common_GetMCFTemperatureZone">_xlfn.LAMBDA(_xlpm.Temperature,_xlpm.MMS,_xlpm.TemperatureArray,_xlpm.MMSArray,_xlpm.ReturnArray, _xlfn.XLOOKUP(MEDIAN(_xlpm.Temperature, MIN(_xlpm.TemperatureArray), MAX(_xlpm.TemperatureArray)), _xlpm.TemperatureArray, _xlfn.XLOOKUP(_xlpm.MMS, _xlpm.MMSArray, _xlpm.ReturnArray)))</definedName>
    <definedName name="Common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_InputFunctions.getOverlappingReportingCycle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MAX(0, _xlpm.lastYear - _xlpm.firstYear + 1)))</definedName>
    <definedName name="Common_InputFunctions.getOverlappingReportingPeriod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_xlpm.n, MAX(0, _xlpm.lastYear - _xlpm.firstYear + 1), _xlpm.yrs, _xlfn.SEQUENCE(_xlpm.n, 1, _xlpm.firstYear, 1), _xlpm.starts, DATE(_xlpm.yrs, _xlpm.m, _xlpm.d), _xlpm.ends, _xlfn.MAP(_xlpm.starts, _xlpm.PeriodEnd), _xlpm.tag, IF(_xlpm.starts = _xlpm.ReportingCycleStart, " (This reporting cycle)", ""), _xlpm.startsText, TEXT(_xlpm.starts, "dd mmm yyyy"), _xlpm.endsText, TEXT(_xlpm.ends, "dd mmm yyyy"), IF(_xlpm.n = 0, "", _xlfn.HSTACK(_xlpm.startsText &amp; " to " &amp; _xlpm.endsText &amp; _xlpm.tag))))</definedName>
    <definedName name="Common_InputFunctions.Utility_ConvertStateCommonNameToAbbreviation">_xlfn.LAMBDA(_xlpm.StateCommonName,_xlpm.StateCommonNameArray,_xlpm.StateAbbreviationArray, _xlfn.XLOOKUP(_xlpm.StateCommonName, _xlpm.StateCommonNameArray, _xlpm.StateAbbreviationArray, ""))</definedName>
    <definedName name="Common_InputFunctions.Utility_DisplayArguments_1_2">_xlfn.LAMBDA(_xlpm.ArgumentsArray, _xlfn.CHOOSECOLS(_xlpm.ArgumentsArray, 1, 2))</definedName>
    <definedName name="Common_InputFunctions.Utility_DisplayArguments_3_4">_xlfn.LAMBDA(_xlpm.ArgumentsArray, _xlfn.CHOOSECOLS(_xlpm.ArgumentsArray, 3, 4))</definedName>
    <definedName name="Common_InputFunctions.Utility_DisplayArrayInTable">_xlfn.LAMBDA(_xlpm.ArrayData,_xlpm.TableheaderCell,_xlpm.RowsBetweenHeaderandArray,_xlop.ColumnsBetweenHeaderAndArray, IFERROR(INDEX(_xlfn.UNIQUE(_xlpm.ArrayData), ROW() - Common_InputFunctions.Utility_GetArrayTableRowStartNumber(_xlpm.TableheaderCell, _xlpm.RowsBetweenHeaderandArray), COLUMN() - Common_InputFunctions.Utility_GetArrayTableColumnStartNumber(_xlpm.TableheaderCell) + IF(_xlfn.ISOMITTED(_xlpm.ColumnsBetweenHeaderAndArray), 1, _xlpm.ColumnsBetweenHeaderAndArray)), ""))</definedName>
    <definedName name="Common_InputFunctions.Utility_DisplayFunctionName">_xlfn.LAMBDA(_xlpm.Function, _xlfn.TEXTBEFORE(_xlfn.FORMULATEXT(_xlpm.Function), "("))</definedName>
    <definedName name="Common_InputFunctions.Utility_GetArrayTableColumnStartNumber">_xlfn.LAMBDA(_xlpm.TableHeaderCell, COLUMN(_xlpm.TableHeaderCell))</definedName>
    <definedName name="Common_InputFunctions.Utility_GetArrayTableRowStartNumber">_xlfn.LAMBDA(_xlpm.TableheaderCell,_xlpm.RowsBetweenHeaderandArray, ROW(_xlpm.TableheaderCell) + _xlpm.RowsBetweenHeaderandArray - 1)</definedName>
    <definedName name="Common_InputFunctions.Utility_GetClimateZone">_xlfn.LAMBDA(_xlpm.avgTemp,_xlpm.avgRain,_xlpm.frostDays,_xlpm.elev,_xlpm.map_pet,_xlpm.minTempArray,_xlpm.maxTempArray,_xlpm.minRainfallArray,_xlpm.maxRainfallArray,_xlpm.minFrostArray,_xlpm.maxFrostArray,_xlpm.minElevationArray,_xlpm.maxElevationArray,_xlpm.minPETArray,_xlpm.maxPETArray,_xlpm.climateZoneArray, _xlfn.LET(_xlpm.mask, (VALUE(_xlpm.minTempArray) &lt;= _xlpm.avgTemp) * (VALUE(_xlpm.maxTempArray) &gt;= _xlpm.avgTemp) * (VALUE(_xlpm.minRainfallArray) &lt;= _xlpm.avgRain) * (VALUE(_xlpm.maxRainfallArray) &gt;= _xlpm.avgRain) * (VALUE(_xlpm.minFrostArray) &lt;= _xlpm.frostDays) * (VALUE(_xlpm.maxFrostArray) &gt;= _xlpm.frostDays) * (VALUE(_xlpm.minElevationArray) &lt;= _xlpm.elev) * (VALUE(_xlpm.maxElevationArray) &gt;= _xlpm.elev) * (VALUE(_xlpm.minPETArray) &lt;= _xlpm.map_pet) * (VALUE(_xlpm.maxPETArray) &gt;= _xlpm.map_pet), _xlfn.TAKE(_xlfn._xlws.FILTER(_xlpm.climateZoneArray, _xlpm.mask, "No match"), 1)))</definedName>
    <definedName name="Common_InputFunctions.Utility_LookupItemFromMinMax">_xlfn.LAMBDA(_xlpm.LookupValue,_xlpm.MinArray,_xlpm.MaxArray,_xlpm.ItemArray, _xlfn.LET(_xlpm.mask, (VALUE(_xlpm.MinArray) &lt;= _xlpm.LookupValue) * (VALUE(_xlpm.MaxArray) &gt;= _xlpm.LookupValue), _xlfn._xlws.FILTER(_xlpm.ItemArray, _xlpm.mask, "No match")))</definedName>
    <definedName name="Common_InputFunctions.Utility_LookupN2OEFFromProdIrrigationRainfall">_xlfn.LAMBDA(_xlpm.ProductionSystem,_xlpm.IrrigationMethod,_xlpm.RainfallZone,_xlpm.ProductionSystemArray,_xlpm.IrrigationMethodArray,_xlpm.RainfallZoneArray,_xlpm.ReturnArray, _xlfn.LET(_xlpm.IrrigationMethod, IF(_xlpm.IrrigationMethod = "Not irrigated", "Not irrigated", "Any"), _xlpm.RainfallZone, IF(_xlpm.IrrigationMethod = "Not irrigated", _xlpm.RainfallZone, "Any"), _xlfn.XLOOKUP(1, (_xlpm.ProductionSystemArray = _xlpm.ProductionSystem) * (_xlpm.IrrigationMethodArray = _xlpm.IrrigationMethod) * (_xlpm.RainfallZoneArray = _xlpm.RainfallZone), _xlpm.ReturnArray)))</definedName>
    <definedName name="Common_InputFunctions.Utility_LookupValueInTable">_xlfn.LAMBDA(_xlpm.LookupValue,_xlpm.LookupArray,_xlpm.ReturnArray, _xlfn.XLOOKUP(_xlpm.LookupValue, _xlpm.LookupArray, _xlpm.ReturnArray, ""))</definedName>
    <definedName name="Common_InputFunctions.Utility_LookupValueInTableNumber">_xlfn.LAMBDA(_xlpm.LookupValue,_xlpm.LookupArray,_xlpm.ReturnArray, IF(ISNUMBER(_xlfn.XLOOKUP(_xlpm.LookupValue, _xlpm.LookupArray, _xlpm.ReturnArray, "")), _xlfn.XLOOKUP(_xlpm.LookupValue, _xlpm.LookupArray, _xlpm.ReturnArray, ""), 0))</definedName>
    <definedName name="Common_InputFunctions.Utility_LookupValueInTableOneColumnAndHeader">_xlfn.LAMBDA(_xlpm.LookupValue1,_xlpm.LookupValue2,_xlpm.LookupArray1,_xlpm.LookupArray2,_xlpm.ReturnArray,_xlop.ValueIfFalse, IFERROR(_xlfn.XLOOKUP(_xlpm.LookupValue1, _xlpm.LookupArray1, _xlfn.XLOOKUP(_xlpm.LookupValue2, _xlpm.LookupArray2, _xlpm.ReturnArray)), IF(_xlfn.ISOMITTED(_xlpm.ValueIfFalse), "", _xlpm.ValueIfFalse)))</definedName>
    <definedName name="Common_InputFunctions.Utility_LookupValueInTableTwoColumns">_xlfn.LAMBDA(_xlpm.LookupValue1,_xlpm.LookupValue2,_xlpm.LookupArray1,_xlpm.LookupArray2,_xlpm.ReturnArray,_xlop.ValueIFFalse, _xlfn.XLOOKUP(1, (_xlpm.LookupArray1 = _xlpm.LookupValue1) * (_xlpm.LookupArray2 = _xlpm.LookupValue2), _xlpm.ReturnArray, IF(_xlfn.ISOMITTED(_xlpm.ValueIFFalse), "", _xlpm.ValueIFFalse)))</definedName>
    <definedName name="Common_InputFunctions.Utility_SourceHyperlink">_xlfn.LAMBDA(_xlpm.TargetCell, _xlfn.LET(_xlpm.sh, _xlfn.TEXTAFTER(CELL("filename", _xlpm.TargetCell), "]"), _xlpm.addr, CELL("address", _xlpm.TargetCell), "#'" &amp; _xlpm.sh &amp; "'!" &amp; _xlpm.addr))</definedName>
    <definedName name="Common_InputFunctions.Utility_SplitStringIntoArray">_xlfn.LAMBDA(_xlpm.Cell,_xlpm.Delimiter,_xlop.CharacterToRemove1,_xlop.CharacterToRemove2, _xlfn.FILTERXML("&lt;t&gt;&lt;s&gt;" &amp; SUBSTITUTE(SUBSTITUTE(SUBSTITUTE(_xlpm.Cell, _xlpm.CharacterToRemove1, ""), _xlpm.CharacterToRemove2, ""), _xlpm.Delimiter, "&lt;/s&gt;&lt;s&gt;") &amp; "&lt;/s&gt;&lt;/t&gt;", "//s"))</definedName>
    <definedName name="Common_InputFunctions.Utility_SumQuantityFromCriteria">_xlfn.LAMBDA(_xlpm.Criteria1,_xlpm.Criteria1TypeArray,_xlpm.Quantity,_xlop.Multiplier,_xlop.Criteria2,_xlop.Criteria2Array, _xlfn.LET(_xlpm.multiplier, IF(_xlfn.ISOMITTED(_xlpm.Multiplier), 1, _xlpm.Multiplier), _xlpm.quantity, _xlpm.Quantity * _xlpm.multiplier, _xlpm.criteria1, --(_xlpm.Criteria1TypeArray = _xlpm.Criteria1), _xlpm.criteria2, IF(_xlfn.ISOMITTED(_xlpm.Criteria2), 1, --(_xlpm.Criteria2Array = _xlpm.Criteria2)), SUMPRODUCT(_xlpm.criteria1 * _xlpm.criteria2 * _xlpm.quantity)))</definedName>
    <definedName name="Common_SourceData.Common_SourceData_AustralianStatesTerritories_Data">_xlfn.LAMBDA(_xlfn.MAKEARRAY(9, 3, _xlfn.LAMBDA(_xlpm.r,_xlpm.c, INDEX({"State/Territory","Common Name","Abbreviation";"New South Wales","New South Wales","NSW";"Australian Capital Territory","ACT","ACT";"Victoria","Victoria","VIC";"Queensland","Queensland","QLD";"South Australia","South Australia","SA";"Western Australia","Western Australia","WA";"Tasmania","Tasmania","TAS";"Northern Territory","Northern Territory","NT"}, _xlpm.r, _xlpm.c))))</definedName>
    <definedName name="Common_SourceData.Common_SourceData_AustralianStatesTerritories_Source">_xlfn.LAMBDA("")</definedName>
    <definedName name="Common_SourceData.Common_SourceData_AustralianStatesTerritories_Title">_xlfn.LAMBDA("Australian states and territories")</definedName>
    <definedName name="Common_SourceData.Common_SourceData_AustralianStatesTerritories_Unit">_xlfn.LAMBDA("")</definedName>
    <definedName name="Common_SourceData.Common_SourceData_AustralianStatesTerritories_Variable">_xlfn.LAMBDA("")</definedName>
    <definedName name="Common_SourceData.Common_SourceData_ClimateZones_Appendices">_xlfn.LAMBDA(_xlfn.MAKEARRAY(4, 1, _xlfn.LAMBDA(_xlpm.r,_xlpm.c, INDEX({"Note:";"MAT = mean annual temperature";"MAP = mean annual precipitation";"PET = potential evapotranspiration"}, _xlpm.r, _xlpm.c))))</definedName>
    <definedName name="Common_SourceData.Common_SourceData_ClimateZones_Data">_xlfn.LAMBDA(_xlfn.MAKEARRAY(9, 16, _xlfn.LAMBDA(_xlpm.r,_xlpm.c, INDEX({"Climate Zone","MAT","MAP","Frost days per year","Elevation","MAP:PET","Min temp","Max temp","Min rainfall","Max rainfall","Min frost days","Max frost days","Min elevation","Max elevation","Min MAP:PET","Min MAP:PET";"Tropical montane","&gt; 18 C","Any","≤ 7","&gt; 1000 m","Any",18.001,999999,-999999,999999,-999999,7,1000,999999,-999999,999999;"Tropical wet","&gt; 18 C","&gt; 2000 mm","≤ 7","≤ 1000 m","Any",18.001,999999,2000.001,999999,-999999,7,-999999,999.999,-999999,999999;"Tropical moist","&gt; 18 C","&gt; 1000 mm - ≤ 2000 mm","≤ 7","≤ 1000 m","Any",18.001,999999,1000.001,2000,-999999,7,-999999,999.999,-999999,999999;"Tropical dry","&gt; 18 C","≤ 1000 mm","≤ 7","≤ 1000 m","Any",18.001,999999,-999999,1000,-999999,7,-999999,999.999,-999999,999999;"Warm temperate moist","&gt; 10 C","Any","Any","Any","&gt; 1",10.001,999999,-999999,999999,-999999,999999,-999999,999999,1.001,999999;"Warm temperate dry","&gt; 10 C","Any","Any","Any","≤ 1",10.001,999999,-999999,999999,-999999,999999,-999999,999999,-999999,1;"Cool temperate moist","&gt; 0 C - ≤ 10 C","Any","Any","Any","&gt; 1",-999999,10,-999999,999999,-999999,999999,-999999,999999,1.001,999999;"Cool temperate dry","&gt; 0 C - ≤ 10 C","Any","Any","Any","≤ 1",-999999,10,-999999,999999,-999999,999999,-999999,999999,-999999,1}, _xlpm.r, _xlpm.c))))</definedName>
    <definedName name="Common_SourceData.Common_SourceData_ClimateZones_Source">_xlfn.LAMBDA("VEERG 2026: Table 1.3: Climate and Rainfall zone classifications and definitions")</definedName>
    <definedName name="Common_SourceData.Common_SourceData_ClimateZones_Title">_xlfn.LAMBDA("VEERG Australian climate zones")</definedName>
    <definedName name="Common_SourceData.Common_SourceData_ClimateZones_Unit">_xlfn.LAMBDA("")</definedName>
    <definedName name="Common_SourceData.Common_SourceData_ClimateZones_Variable">_xlfn.LAMBDA("")</definedName>
    <definedName name="Common_SourceData.Common_SourceData_ClimateZones_Variation">_xlfn.LAMBDA(_xlfn.MAKEARRAY(5, 1, _xlfn.LAMBDA(_xlpm.r,_xlpm.c, INDEX({"VARIATION OF SOURCE DATA:";"Added warm / cool temperate moist / dry - low frost and high temp classes to accommodate climate scenarios excluded by VEERG criteria.";"Fixed typo in MAT value for warm temperate dry - changed 10 to 11.";"Added min and max columns for MAT, MAP, frost days per year, elevation, MAP:PET to calculate zones from real climate data.";"GAF accepts rainfall as a proxy for precipitation."}, _xlpm.r, _xlpm.c))))</definedName>
    <definedName name="Common_SourceData.Common_SourceData_ConvertGasElementalToMolecular_Data">_xlfn.LAMBDA(_xlfn.MAKEARRAY(8, 4, _xlfn.LAMBDA(_xlpm.r,_xlpm.c, INDEX({"Gas","Conversion factor","Conversion factor 1","Conversion factor 2";"CO2","44/12",44,12;"CH4","16/12",16,12;"N2O","44/28",44,28;"Nox","46/14",46,14;"CO","28/12",28,12;"CO2 Lime","44/12",44,12;"NMVOC","14/12",14,12}, _xlpm.r, _xlpm.c))))</definedName>
    <definedName name="Common_SourceData.Common_SourceData_ConvertGasElementalToMolecular_Source">_xlfn.LAMBDA("XXXXXXX")</definedName>
    <definedName name="Common_SourceData.Common_SourceData_ConvertGasElementalToMolecular_Title">_xlfn.LAMBDA("Factor to convert elemental mass of gas to molecular mass")</definedName>
    <definedName name="Common_SourceData.Common_SourceData_ConvertGasElementalToMolecular_Unit">_xlfn.LAMBDA("factor")</definedName>
    <definedName name="Common_SourceData.Common_SourceData_ConvertGasElementalToMolecular_Variable">_xlfn.LAMBDA("Cg")</definedName>
    <definedName name="Common_SourceData.Common_SourceData_ConvertN2oElementalToMolecularCg_Data">_xlfn.LAMBDA(44 / 28)</definedName>
    <definedName name="Common_SourceData.Common_SourceData_ConvertN2oElementalToMolecularCg_Source">_xlfn.LAMBDA("National Inventory Report 2023 Volume 1")</definedName>
    <definedName name="Common_SourceData.Common_SourceData_ConvertN2oElementalToMolecularCg_Title">_xlfn.LAMBDA("Factor to convert elemental mass of N2O to molecular mass")</definedName>
    <definedName name="Common_SourceData.Common_SourceData_ConvertN2oElementalToMolecularCg_Unit">_xlfn.LAMBDA("factor")</definedName>
    <definedName name="Common_SourceData.Common_SourceData_ConvertN2oElementalToMolecularCg_Variable">_xlfn.LAMBDA("CgN2O")</definedName>
    <definedName name="Common_SourceData.Common_SourceData_DataScores_Scope3_Data">_xlfn.LAMBDA(_xlfn.MAKEARRAY(6, 2, _xlfn.LAMBDA(_xlpm.r,_xlpm.c, INDEX({"Data source","Data score";"International scope 3 database",1;"Australian scope 3 database",2;"State or regional scope 3 database",3;"Emissions intensity calculated from approved method",4;"Verified credential matching ISO14067",5}, _xlpm.r, _xlpm.c))))</definedName>
    <definedName name="Common_SourceData.Common_SourceData_DataScores_Scope3_Source">_xlfn.LAMBDA("VEERG 2026: XXXXXXXX")</definedName>
    <definedName name="Common_SourceData.Common_SourceData_DataScores_Scope3_Title">_xlfn.LAMBDA("Australian data scores for scope 3")</definedName>
    <definedName name="Common_SourceData.Common_SourceData_DataScores_Scope3_Unit">_xlfn.LAMBDA("")</definedName>
    <definedName name="Common_SourceData.Common_SourceData_DataScores_Scope3_Variable">_xlfn.LAMBDA("")</definedName>
    <definedName name="Common_SourceData.Common_SourceData_DataScores_Scope3_Variation">_xlfn.LAMBDA("")</definedName>
    <definedName name="Common_SourceData.Common_SourceData_DensityOfMethane_Data">_xlfn.LAMBDA(0.6784)</definedName>
    <definedName name="Common_SourceData.Common_SourceData_DensityOfMethane_Source">_xlfn.LAMBDA("National Inventory Report 2023 Volume 1: Equations 3.B.1a_2, 3.B.1c_2, 3.B.3_1, 3.B.4g_2")</definedName>
    <definedName name="Common_SourceData.Common_SourceData_DensityOfMethane_Title">_xlfn.LAMBDA("p = density of methane")</definedName>
    <definedName name="Common_SourceData.Common_SourceData_DensityOfMethane_Unit">_xlfn.LAMBDA("kg/m3")</definedName>
    <definedName name="Common_SourceData.Common_SourceData_EFleach_Data">_xlfn.LAMBDA(_xlfn.MAKEARRAY(1, 2, _xlfn.LAMBDA(_xlpm.r,_xlpm.c, INDEX({"EFleach",0.011}, _xlpm.r, _xlpm.c))))</definedName>
    <definedName name="Common_SourceData.Common_SourceData_EFleach_NIRReference">_xlfn.LAMBDA("National Inventory Report Volume 1: Equation 3.D.B_10")</definedName>
    <definedName name="Common_SourceData.Common_SourceData_EFleach_Source">_xlfn.LAMBDA("VEERG 2026:5.5.2.3 Constant Parameters")</definedName>
    <definedName name="Common_SourceData.Common_SourceData_EFleach_Title">_xlfn.LAMBDA("Emission factor for nitrogen leaching and runoff")</definedName>
    <definedName name="Common_SourceData.Common_SourceData_EFleach_Unit">_xlfn.LAMBDA("(kg N2O-N / kg N")</definedName>
    <definedName name="Common_SourceData.Common_SourceData_EFleach_Variation">_xlfn.LAMBDA((""))</definedName>
    <definedName name="Common_SourceData.Common_SourceData_EFN2O_Data">_xlfn.LAMBDA(_xlfn.MAKEARRAY(15, 5, _xlfn.LAMBDA(_xlpm.r,_xlpm.c, INDEX({"Production system j","EFN2O","Production system only","Irrigation method","Rainfall zone";"Irrigated pasture",0.0059,"Pasture","Any","Any";"Irrigated crop",0.007,"Crop","Any","Any";"Non-irrigated pasture",0.0018,"Pasture","Not irrigated","Low rainfall";"Non-irrigated pasture",0.0018,"Pasture","Not irrigated","High rainfall";"Non-irrigated crop (low rainfall)",0.0029,"Crop","Not irrigated","Low rainfall";"Non-irrigated crop (high rainfall)",0.008,"Crop","Not irrigated","High rainfall";"Sugar",0.0199,"Sugar","Any","Any";"Cotton",0.0053,"Cotton","Any","Any";"Horticultural crops",0.0064,"Horticultural crops","Any","Any";"Rice (continuous flooding)",0.003,"Rice","Continuous flooding","Any";"Rice (single and multiple drainage, or alternate wetting and drying)",0.005,"Rice","Single and multiple drainage, or alternate wetting and drying","Any";"Aquaculture",0.0026,"Aquaculture","Any","Any";"Forestry",0.0018,"Forestry","Any","Any"}, _xlpm.r, _xlpm.c))))</definedName>
    <definedName name="Common_SourceData.Common_SourceData_EFN2O_NIRReference">_xlfn.LAMBDA("")</definedName>
    <definedName name="Common_SourceData.Common_SourceData_EFN2O_Source">_xlfn.LAMBDA("VEERG 2026: Table A.2.2.1")</definedName>
    <definedName name="Common_SourceData.Common_SourceData_EFN2O_Title">_xlfn.LAMBDA("Nitrous oxide emission factors for inorganic fertiliser application")</definedName>
    <definedName name="Common_SourceData.Common_SourceData_EFN2O_Unit">_xlfn.LAMBDA("(kg N2O-N / kg N")</definedName>
    <definedName name="Common_SourceData.Common_SourceData_EFN2O_Variation">_xlfn.LAMBDA(_xlfn.MAKEARRAY(5, 1, _xlfn.LAMBDA(_xlpm.r,_xlpm.c, INDEX({"VARIATION OF SOURCE DATA:";"Removed duplicate 'Aquaculture' row.";"Removed asterisks to aid lookup.";"Added 'production system only', 'rainfall zone' and 'irrigation method' columns to aid lookup.";"Duplicated 'non-irrigated pasture' row with same EF for low and high rainfall zones to aid lookup."}, _xlpm.r, _xlpm.c))))</definedName>
    <definedName name="Common_SourceData.Common_SourceData_EFOrganicFertiliserAndCropResidues_Data">_xlfn.LAMBDA(_xlfn.MAKEARRAY(3, 2, _xlfn.LAMBDA(_xlpm.r,_xlpm.c, INDEX({"Climate zone","EFNi &amp; EFN2O";"Wet climate zone",0.006;"Dry climate zone",0.005}, _xlpm.r, _xlpm.c))))</definedName>
    <definedName name="Common_SourceData.Common_SourceData_EFOrganicFertiliserAndCropResidues_NIRReference">_xlfn.LAMBDA("")</definedName>
    <definedName name="Common_SourceData.Common_SourceData_EFOrganicFertiliserAndCropResidues_Source">_xlfn.LAMBDA("VEERG 2026: Table A.2.1.4")</definedName>
    <definedName name="Common_SourceData.Common_SourceData_EFOrganicFertiliserAndCropResidues_Title">_xlfn.LAMBDA("Emission factor for organic fertiliser and crop residues returned to the soil")</definedName>
    <definedName name="Common_SourceData.Common_SourceData_EFOrganicFertiliserAndCropResidues_Unit">_xlfn.LAMBDA("kg N2O - N / kg N")</definedName>
    <definedName name="Common_SourceData.Common_SourceData_EFOrganicFertiliserAndCropResidues_Variable">_xlfn.LAMBDA("EFNi &amp; EFN2Oi")</definedName>
    <definedName name="Common_SourceData.Common_SourceData_EFOrganicFertiliserAndCropResidues_Variation">_xlfn.LAMBDA("")</definedName>
    <definedName name="Common_SourceData.Common_SourceData_EFPastureRangeAndPaddock_Data">_xlfn.LAMBDA(_xlfn.MAKEARRAY(3, 2, _xlfn.LAMBDA(_xlpm.r,_xlpm.c, INDEX({"Climate zone","EFPRP";"Wet climate zone",0.006;"Dry climate zone",0.002}, _xlpm.r, _xlpm.c))))</definedName>
    <definedName name="Common_SourceData.Common_SourceData_EFPastureRangeAndPaddock_NIRReference">_xlfn.LAMBDA("")</definedName>
    <definedName name="Common_SourceData.Common_SourceData_EFPastureRangeAndPaddock_Source">_xlfn.LAMBDA("VEERG 2026: Table A.2.2.2")</definedName>
    <definedName name="Common_SourceData.Common_SourceData_EFPastureRangeAndPaddock_Title">_xlfn.LAMBDA("Emission factor for urine and dung deposited on pasture, range or paddock")</definedName>
    <definedName name="Common_SourceData.Common_SourceData_EFPastureRangeAndPaddock_Unit">_xlfn.LAMBDA("kg N2O - N / kg N")</definedName>
    <definedName name="Common_SourceData.Common_SourceData_EFPastureRangeAndPaddock_Variation">_xlfn.LAMBDA("VARIATION FROM SOURCE DATA: Changed 'Dry climate zones' to singular 'Dry climate zone' to aid lookup.")</definedName>
    <definedName name="Common_SourceData.Common_SourceData_FracLEACH_Data">_xlfn.LAMBDA(_xlfn.MAKEARRAY(1, 2, _xlfn.LAMBDA(_xlpm.r,_xlpm.c, INDEX({"FracLEACH",0.24}, _xlpm.r, _xlpm.c))))</definedName>
    <definedName name="Common_SourceData.Common_SourceData_FracLEACH_NIRReference">_xlfn.LAMBDA("National Inventory Report Volume 1: Leaching and runoff (3.D.b.2)")</definedName>
    <definedName name="Common_SourceData.Common_SourceData_FracLEACH_Source">_xlfn.LAMBDA("VEERG 2026:5.5.2.3 Constant Parameters")</definedName>
    <definedName name="Common_SourceData.Common_SourceData_FracLEACH_Title">_xlfn.LAMBDA("Fraction of N that is available for leaching and runoff")</definedName>
    <definedName name="Common_SourceData.Common_SourceData_FracLEACH_Unit">_xlfn.LAMBDA("(Dimensionless")</definedName>
    <definedName name="Common_SourceData.Common_SourceData_FracLEACH_Variation">_xlfn.LAMBDA((""))</definedName>
    <definedName name="Common_SourceData.Common_SourceData_FracWET_Data">_xlfn.LAMBDA(_xlfn.MAKEARRAY(3, 2, _xlfn.LAMBDA(_xlpm.r,_xlpm.c, INDEX({"Is in leaching zone","FracWET";"Yes - in leaching zone",1;"No - not in leaching zone",0}, _xlpm.r, _xlpm.c))))</definedName>
    <definedName name="Common_SourceData.Common_SourceData_FracWET_NIRReference">_xlfn.LAMBDA("")</definedName>
    <definedName name="Common_SourceData.Common_SourceData_FracWET_Source">_xlfn.LAMBDA("VEERG 2026:5.5.2.3 Constant Parameters")</definedName>
    <definedName name="Common_SourceData.Common_SourceData_FracWET_Title">_xlfn.LAMBDA("Fraction of N that is available for leaching and runoff")</definedName>
    <definedName name="Common_SourceData.Common_SourceData_FracWET_Unit">_xlfn.LAMBDA("(Dimensionless")</definedName>
    <definedName name="Common_SourceData.Common_SourceData_FracWET_Variation">_xlfn.LAMBDA((""))</definedName>
    <definedName name="Common_SourceData.Common_SourceData_FracWETIrrigation_Data">_xlfn.LAMBDA(_xlfn.MAKEARRAY(6, 2, _xlfn.LAMBDA(_xlpm.r,_xlpm.c, INDEX({"Irrigation type ir","FracWET";"Not irrigated",0;"Drip irrigation",0;"Sprinkler irrigation",1;"Surface irrigation",1;"Other irrigation",1}, _xlpm.r, _xlpm.c))))</definedName>
    <definedName name="Common_SourceData.Common_SourceData_FracWETIrrigation_NIRReference">_xlfn.LAMBDA("IPCC 2019 Refinement Volume 4: Chapter 11: N2O Emissions from Managed Soils, and CO2 Emissions from Lime and Urea Application")</definedName>
    <definedName name="Common_SourceData.Common_SourceData_FracWETIrrigation_Source">_xlfn.LAMBDA("VEERG 2026: Chapter 1, section 1.8.2 Leaching, climate and rainfall zones")</definedName>
    <definedName name="Common_SourceData.Common_SourceData_FracWETIrrigation_Title">_xlfn.LAMBDA("FracWET for irrigation types")</definedName>
    <definedName name="Common_SourceData.Common_SourceData_FracWETIrrigation_Unit">_xlfn.LAMBDA("dimensionless")</definedName>
    <definedName name="Common_SourceData.Common_SourceData_FracWETIrrigation_Variation">_xlfn.LAMBDA("VARIATION FROM SOURCE DATA: Table created based on VEERG text 'Areas are subject to leaching (i.e., in the leaching zone) when... the land is irrigated (except drip irrigation).'")</definedName>
    <definedName name="Common_SourceData.Common_SourceData_GWP_Data">_xlfn.LAMBDA(_xlfn.MAKEARRAY(8, 2, _xlfn.LAMBDA(_xlpm.r,_xlpm.c, INDEX({"Gas","CO2-e factor";"CO2",1;"CH4",28;"N2O",265;"CF4",6630;"C2F6",12200;"SF6",22800;"NF3",17200}, _xlpm.r, _xlpm.c))))</definedName>
    <definedName name="Common_SourceData.Common_SourceData_GWP_Source">_xlfn.LAMBDA("XXXXXXX")</definedName>
    <definedName name="Common_SourceData.Common_SourceData_GWP_Title">_xlfn.LAMBDA("Global warming potential for greenhouse gases")</definedName>
    <definedName name="Common_SourceData.Common_SourceData_GWP_Unit">_xlfn.LAMBDA("factor")</definedName>
    <definedName name="Common_SourceData.Common_SourceData_GWP_Variable">_xlfn.LAMBDA("GWPN2O")</definedName>
    <definedName name="Common_SourceData.Common_SourceData_LeachingZones_Data">_xlfn.LAMBDA(_xlfn.MAKEARRAY(4, 2, _xlfn.LAMBDA(_xlpm.r,_xlpm.c, INDEX({"Leaching Zone","Leaching criteria";"Leaching occurs","Σ(𝑟𝑎𝑖𝑛)&gt;Σ(𝐸𝑇0)+𝑠𝑜𝑖𝑙 𝑤𝑎𝑡𝑒𝑟 ℎ𝑜𝑙𝑑𝑖𝑛𝑔 𝑐𝑎𝑝𝑎𝑐𝑖𝑡𝑦";"Leaching does not occur","Σ(𝑟𝑎𝑖𝑛)≤Σ(𝐸𝑇0)+𝑠𝑜𝑖𝑙 𝑤𝑎𝑡𝑒𝑟 ℎ𝑜𝑙𝑑𝑖𝑛𝑔 𝑐𝑎𝑝𝑎𝑐𝑖𝑡𝑦"}, _xlpm.r, _xlpm.c))))</definedName>
    <definedName name="Common_SourceData.Common_SourceData_LeachingZones_Source">_xlfn.LAMBDA("VEERG 2026: Table 1.3: Climate and Rainfall zone classifications and definitions")</definedName>
    <definedName name="Common_SourceData.Common_SourceData_LeachingZones_Title">_xlfn.LAMBDA("VEERG Australian leaching zones")</definedName>
    <definedName name="Common_SourceData.Common_SourceData_LeachingZones_Unit">_xlfn.LAMBDA("")</definedName>
    <definedName name="Common_SourceData.Common_SourceData_LeachingZones_Variable">_xlfn.LAMBDA("")</definedName>
    <definedName name="Common_SourceData.Common_SourceData_LeachingZones_Variation">_xlfn.LAMBDA("")</definedName>
    <definedName name="Common_SourceData.Common_SourceData_MCFTemperatureZone_Data">_xlfn.LAMBDA(_xlfn.MAKEARRAY(22, 16, _xlfn.LAMBDA(_xlpm.r,_xlpm.c, INDEX({"Temperature zone","MAT (ºC)","Uncovered anerobic lagoon","Covered lagoon","Liquid Slurry (without natural crust)","Daily spread (b)","Composting (passive windrow)","Solid Storage","Pit Storage &lt;1 month","Deep Litter","Poultry Manure (with/without litter)","","Direct processing into pelletized fertiliser","Direct application to soil","Pasture, Range and Paddock (c)(d)","MAT raw";"Cool","≤10",0.66,0.1,0.1,0.001,0.005,0.02,0.03,0.04,0.015,0.015,0,0,0.0047,10;"Cool",11,0.68,0.1,0.11,0.001,0.005,0.02,0.03,0.04,0.015,0.015,0,0,0.0047,11;"Cool",12,0.7,0.1,0.13,0.001,0.005,0.02,0.03,0.04,0.015,0.015,0,0,0.0047,12;"Cool",13,0.71,0.1,0.14,0.001,0.005,0.02,0.03,0.04,0.015,0.015,0,0,0.0047,13;"Cool",14,0.73,0.1,0.15,0.001,0.005,0.02,0.03,0.04,0.015,0.015,0,0,0.0047,14;"Temperate",15,0.74,0.1,0.17,0.005,0.01,0.02,0.03,0.04,0.015,0.015,0,0,0.0047,15;"Temperate",16,0.75,0.1,0.18,0.005,0.01,0.02,0.03,0.04,0.015,0.015,0,0,0.0047,16;"Temperate",17,0.76,0.1,0.2,0.005,0.01,0.02,0.03,0.04,0.015,0.015,0,0,0.0047,17;"Temperate",18,0.77,0.1,0.22,0.005,0.01,0.02,0.03,0.04,0.015,0.015,0,0,0.0047,18;"Temperate",19,0.77,0.1,0.24,0.005,0.01,0.02,0.03,0.04,0.015,0.015,0,0,0.0047,19;"Temperate",20,0.78,0.1,0.26,0.005,0.01,0.02,0.03,0.04,0.015,0.015,0,0,0.0047,20;"Temperate",21,0.78,0.1,0.29,0.005,0.01,0.02,0.03,0.04,0.015,0.015,0,0,0.0047,21;"Temperate",22,0.78,0.1,0.31,0.005,0.01,0.02,0.03,0.04,0.015,0.015,0,0,0.0047,22;"Temperate",23,0.79,0.1,0.34,0.005,0.01,0.02,0.03,0.04,0.015,0.015,0,0,0.0047,23;"Temperate",24,0.79,0.1,0.37,0.005,0.01,0.02,0.03,0.04,0.015,0.015,0,0,0.0047,24;"Temperate",25,0.79,0.1,0.41,0.005,0.01,0.02,0.03,0.04,0.015,0.015,0,0,0.0047,25;"Warm",26,0.79,0.1,0.44,0.01,0.015,0.02,0.03,0.04,0.015,0.015,0,0,0.0047,26;"Warm",27,0.8,0.1,0.48,0.01,0.015,0.02,0.03,0.04,0.015,0.015,0,0,0.0047,27;"Warm","≥28",0.8,0.1,0.5,0.01,0.015,0.02,0.03,0.04,0.015,0.015,0,0,0.0047,28;"","","Anaerobic lagoon","Digester / covered lagoons","Liquid systems","Daily spread","Composting (passive windrow)","Solid storage","Pit storage","Deep litter","Poultry manure with bedding","Poultry manure without bedding","Direct processing","Direct application","Pasture range and paddock","MAT raw"}, _xlpm.r, _xlpm.c))))</definedName>
    <definedName name="Common_SourceData.Common_SourceData_MCFTemperatureZone_Source">_xlfn.LAMBDA("VEERG 2026: Table A.1.8.1")</definedName>
    <definedName name="Common_SourceData.Common_SourceData_MCFTemperatureZone_Title">_xlfn.LAMBDA("Manure Management – Methane conversion factor per temperature zone (fraction) (MCFim)")</definedName>
    <definedName name="Common_SourceData.Common_SourceData_MCFTemperatureZone_Unit">_xlfn.LAMBDA("fraction")</definedName>
    <definedName name="Common_SourceData.Common_SourceData_MCFTemperatureZone_Variation">_xlfn.LAMBDA("VARIATION FROM SOURCE: Added row of NIR MMA definitions to aid lookup. Duplicated 'Poultry with and without litter' column with separate NIR definitions to aid lookup. Added 'MAT raw' column to allow lookup of numbers.")</definedName>
    <definedName name="Common_SourceData.Common_SourceData_MonthsToSeasons_Data">_xlfn.LAMBDA(_xlfn.MAKEARRAY(13, 2, _xlfn.LAMBDA(_xlpm.r,_xlpm.c, INDEX({"Month","Season";"January","Summer";"February","Summer";"March","Autumn";"April","Autumn";"May","Autumn";"June","Winter";"July","Winter";"August","Winter";"September","Spring";"October","Spring";"November","Spring";"December","Summer"}, _xlpm.r, _xlpm.c))))</definedName>
    <definedName name="Common_SourceData.Common_SourceData_MonthsToSeasons_NIRReference">_xlfn.LAMBDA("")</definedName>
    <definedName name="Common_SourceData.Common_SourceData_MonthsToSeasons_Source">_xlfn.LAMBDA("")</definedName>
    <definedName name="Common_SourceData.Common_SourceData_MonthsToSeasons_Title">_xlfn.LAMBDA("Months to Seasons Mapping")</definedName>
    <definedName name="Common_SourceData.Common_SourceData_MonthsToSeasons_Unit">_xlfn.LAMBDA("")</definedName>
    <definedName name="Common_SourceData.Common_SourceData_MonthsToSeasons_Variation">_xlfn.LAMBDA("")</definedName>
    <definedName name="Common_SourceData.Common_SourceData_RainfallZones_Data">_xlfn.LAMBDA(_xlfn.MAKEARRAY(3, 4, _xlfn.LAMBDA(_xlpm.r,_xlpm.c, INDEX({"Rainfall Zone","Annual rainfall","Rainfall min","Rainfall max";"High rainfall","Annual rainfall &gt; 600mm",600.001,999999;"Low rainfall","Annual rainfall ≤ 600mm",-999999,600}, _xlpm.r, _xlpm.c))))</definedName>
    <definedName name="Common_SourceData.Common_SourceData_RainfallZones_Source">_xlfn.LAMBDA("VEERG 2026: Table 1.3: Climate and Rainfall zone classifications and definitions")</definedName>
    <definedName name="Common_SourceData.Common_SourceData_RainfallZones_Title">_xlfn.LAMBDA("VEERG Australian rainfall zones")</definedName>
    <definedName name="Common_SourceData.Common_SourceData_RainfallZones_Unit">_xlfn.LAMBDA("")</definedName>
    <definedName name="Common_SourceData.Common_SourceData_RainfallZones_Variable">_xlfn.LAMBDA("")</definedName>
    <definedName name="Common_SourceData.Common_SourceData_RainfallZones_Variation">_xlfn.LAMBDA("VARIATION OF SOURCE DATA: Added extra Rainfall min and Rainfall max columns to calculate zone from real rainfall data.")</definedName>
    <definedName name="Common_SourceData.Common_SourceData_TemperatureZones_Data">_xlfn.LAMBDA(_xlfn.MAKEARRAY(4, 4, _xlfn.LAMBDA(_xlpm.r,_xlpm.c, INDEX({"Temperature Zone","Median Annual Temperature (MAT)","Min MAT","Max MAT";"Warm","≥ 26 C",26,999999;"Temperate","15 - 25 C",15,25.999;"Cool","≤ 14 C",-999999,14.999}, _xlpm.r, _xlpm.c))))</definedName>
    <definedName name="Common_SourceData.Common_SourceData_TemperatureZones_Source">_xlfn.LAMBDA("VEERG 2026: Table 1.3: Climate and Rainfall zone classifications and definitions")</definedName>
    <definedName name="Common_SourceData.Common_SourceData_TemperatureZones_Title">_xlfn.LAMBDA("VEERG Australian temperature zones")</definedName>
    <definedName name="Common_SourceData.Common_SourceData_TemperatureZones_Unit">_xlfn.LAMBDA("")</definedName>
    <definedName name="Common_SourceData.Common_SourceData_TemperatureZones_Variable">_xlfn.LAMBDA("")</definedName>
    <definedName name="Common_SourceData.Common_SourceData_TemperatureZones_Variation">_xlfn.LAMBDA("VARIATION OF SOURCE DATA: Added extra MAT min and MAT max columns to calculate zone from real temperature data.")</definedName>
    <definedName name="Common_SourceData.Common_SourceData_WASA4Areas_Data">_xlfn.LAMBDA(_xlfn.MAKEARRAY(11, 1, _xlfn.LAMBDA(_xlpm.r,_xlpm.c, INDEX({"SA 4 Name";"Bunbury";"Mandurah";"Perth - Inner";"Perth - North East";"Perth - North West";"Perth - South East";"Perth - South West";"Western Australia - Wheat Belt";"Western Australia - Outback (North)";"Western Australia - Outback (South)"}, _xlpm.r, _xlpm.c))))</definedName>
    <definedName name="Common_SourceData.Common_SourceData_WASA4Areas_Source">_xlfn.LAMBDA("Australian Bureau of Statistics (ABS) - Statistical Areas Level 2 - 2021 - Shapefile")</definedName>
    <definedName name="Common_SourceData.Common_SourceData_WASA4Areas_Title">_xlfn.LAMBDA("ABS Statistcal Areas Level 4 - Western Australia")</definedName>
    <definedName name="Common_SourceData.Common_SourceData_WASA4Areas_Unit">_xlfn.LAMBDA("")</definedName>
    <definedName name="Common_SourceData.Common_SourceData_WASA4Areas_Variable">_xlfn.LAMBDA("")</definedName>
    <definedName name="Common_SourceData.Common_SourceData_WetAndDryZones_Data">_xlfn.LAMBDA(_xlfn.MAKEARRAY(15, 2, _xlfn.LAMBDA(_xlpm.r,_xlpm.c, INDEX({"Climate Zone","Wet or Dry Zone";"Tropical montane","Wet climate zone";"Tropical wet","Wet climate zone";"Tropical moist","Wet climate zone";"Tropical dry","Dry climate zone";"Warm temperate moist","Wet climate zone";"Warm temperate dry","Dry climate zone";"Cool temperate moist","Wet climate zone";"Cool temperate dry","Dry climate zone";"Warm temperate moist - low frost","Wet climate zone";"Warm temperate dry - low frost","Dry climate zone";"Warm temperate moist - high temp","Wet climate zone";"Warm temperate dry - high temp","Dry climate zone";"Cool temperate moist - low frost","Wet climate zone";"Cool temperate dry - low frost","Dry climate zone"}, _xlpm.r, _xlpm.c))))</definedName>
    <definedName name="Common_SourceData.Common_SourceData_WetAndDryZones_Source">_xlfn.LAMBDA("VEERG 2026: Table 1.2: Translating climate zones to wet and dry zones")</definedName>
    <definedName name="Common_SourceData.Common_SourceData_WetAndDryZones_Title">_xlfn.LAMBDA("VEERG Australian wet and dry zones")</definedName>
    <definedName name="Common_SourceData.Common_SourceData_WetAndDryZones_Unit">_xlfn.LAMBDA("")</definedName>
    <definedName name="Common_SourceData.Common_SourceData_WetAndDryZones_Variable">_xlfn.LAMBDA("")</definedName>
    <definedName name="Common_SourceData.Common_SourceData_WetAndDryZones_Variation">_xlfn.LAMBDA(_xlfn.MAKEARRAY(3, 1, _xlfn.LAMBDA(_xlpm.r,_xlpm.c, INDEX({"VARIATION OF SOURCE DATA:";"Added warm / cool temperate moist / dry - low frost and high temp classes to accommodate climate scenarios excluded by VEERG criteria.";"Fixed typo - Changed 'Fry' to 'Dry'."}, _xlpm.r, _xlpm.c))))</definedName>
    <definedName name="CommonAgSoils_Equations.AgSoils_AtmosphericDeposition">_xlfn.LAMBDA(_xlpm.Mvolm,_xlpm.Efad,_xlpm.CgN2O, (_xlpm.Mvolm * _xlpm.Efad * _xlpm.CgN2O * 10 ^ -3))</definedName>
    <definedName name="CommonAgSoils_Equations.AgSoils_AtmosphericDeposition_Arguments">_xlfn.LAMBDA(_xlfn.MAKEARRAY(3, 3, _xlfn.LAMBDA(_xlpm.r,_xlpm.c, INDEX({"Mvolm","Mass of nitrogen volatilised from urine and faeces deposited on pasture","kg N";"EFad","Emission factor for atmospheric deposition","kg N2O-N/kg N";"CgN2O","Factor to convert elemental mass of N2O to molecular mass",""}, _xlpm.r, _xlpm.c))))</definedName>
    <definedName name="CommonAgSoils_Equations.AgSoils_AtmosphericDeposition_GWP">_xlfn.LAMBDA(_xlpm.EN2Oad,_xlpm.GWPN2O, (_xlpm.EN2Oad * _xlpm.GWPN2O))</definedName>
    <definedName name="CommonAgSoils_Equations.AgSoils_AtmosphericDeposition_NIRReference">_xlfn.LAMBDA("National Inventory Report Volume 1, 2023: 3.D.B_4")</definedName>
    <definedName name="CommonAgSoils_Equations.AgSoils_AtmosphericDeposition_ReadableEquation">_xlfn.LAMBDA("EN2Oad = Mvolm * EFad * CgN2O * 10 ^ - 3")</definedName>
    <definedName name="CommonAgSoils_Equations.AgSoils_AtmosphericDeposition_Title">_xlfn.LAMBDA("Atmospheric deposition emissions from urine and dung deposited by grazing animals on pasture, range and paddock")</definedName>
    <definedName name="CommonAgSoils_Equations.AgSoils_AtmosphericDeposition_Unit">_xlfn.LAMBDA("t N2O")</definedName>
    <definedName name="CommonAgSoils_Equations.AgSoils_AtmosphericDeposition_Variable">_xlfn.LAMBDA("EN2Oad")</definedName>
    <definedName name="CommonAgSoils_Equations.AgSoils_LeachingAndRunoff">_xlfn.LAMBDA(_xlpm.Mleach,_xlpm.EFleach,_xlpm.CgN2O, (_xlpm.Mleach * _xlpm.EFleach * _xlpm.CgN2O * 10 ^ -3))</definedName>
    <definedName name="CommonAgSoils_Equations.AgSoils_LeachingAndRunoff_Arguments">_xlfn.LAMBDA(_xlfn.MAKEARRAY(3, 3, _xlfn.LAMBDA(_xlpm.r,_xlpm.c, INDEX({"Mleach","Mass of nitrogen lost to leached and run off","kg N";"EFleach","Emission factor for leaching and runoff","kg N2O-N/kg N";"CgN2O","Factor to convert elemental mass of N2O to molecular mass",""}, _xlpm.r, _xlpm.c))))</definedName>
    <definedName name="CommonAgSoils_Equations.AgSoils_LeachingAndRunoff_GWP">_xlfn.LAMBDA(_xlpm.EN2Oleach,_xlpm.GWPN2O, (_xlpm.EN2Oleach * _xlpm.GWPN2O))</definedName>
    <definedName name="CommonAgSoils_Equations.AgSoils_LeachingAndRunoff_NIRReference">_xlfn.LAMBDA("National Inventory Report Volume 1, 2023: 3.D.B_10")</definedName>
    <definedName name="CommonAgSoils_Equations.AgSoils_LeachingAndRunoff_ReadableEquation">_xlfn.LAMBDA("EN2Oleach = Mleach * EFleach * CgN2O * 10 ^ - 3")</definedName>
    <definedName name="CommonAgSoils_Equations.AgSoils_LeachingAndRunoff_Title">_xlfn.LAMBDA("Leaching and runoff emissions from crop residue,inorganic and organic fertiliser applied to soil, urine and dung deposited on pasture")</definedName>
    <definedName name="CommonAgSoils_Equations.AgSoils_LeachingAndRunoff_Unit">_xlfn.LAMBDA("t N2O")</definedName>
    <definedName name="CommonAgSoils_Equations.AgSoils_LeachingAndRunoff_Variable">_xlfn.LAMBDA("EN2Oleach")</definedName>
    <definedName name="CommonAgSoils_Equations.AgSoils_MassAnimalWasteNLost">_xlfn.LAMBDA(_xlpm.MNjm,_xlpm.UNjm,_xlpm.FNjm,_xlpm.FracWET,_xlpm.FracLEACH, (_xlpm.MNjm + _xlpm.UNjm + _xlpm.FNjm) * _xlpm.FracWET * _xlpm.FracLEACH)</definedName>
    <definedName name="CommonAgSoils_Equations.AgSoils_MassAnimalWasteNLost_Arguments">_xlfn.LAMBDA(_xlfn.MAKEARRAY(3, 3, _xlfn.LAMBDA(_xlpm.r,_xlpm.c, INDEX({"MNjm","Mass of nitrogen in manure applied to soils","kg N";"UNjm","Mass of nitrogen in urine deposited on pasture, range and paddock","kg N";"FNjm","Mass of nitrogen in dung deposited on pasture,range and paddock","kg N";"FracWET","Fraction of nitrogen available for leaching and runoff in the climate zone of the entity","fraction";"FracLEACH","Fraction of nitrogen that is lost through leaching and runoff","fraction"}, _xlpm.r, _xlpm.c))))</definedName>
    <definedName name="CommonAgSoils_Equations.AgSoils_MassAnimalWasteNLost_NIRReference">_xlfn.LAMBDA("National Inventory Report Volume 1, 2023: 3.D.B_6")</definedName>
    <definedName name="CommonAgSoils_Equations.AgSoils_MassAnimalWasteNLost_ReadableEquation">_xlfn.LAMBDA("Mleachanimalwaste=(MNjm+UNjm+FNjm)*FracWET*FracLEACH")</definedName>
    <definedName name="CommonAgSoils_Equations.AgSoils_MassAnimalWasteNLost_Title">_xlfn.LAMBDA("Mass of nitrogen lost from manure, urine and dung to leaching and runoff")</definedName>
    <definedName name="CommonAgSoils_Equations.AgSoils_MassAnimalWasteNLost_Unit">_xlfn.LAMBDA("kg N")</definedName>
    <definedName name="CommonAgSoils_Equations.AgSoils_MassAnimalWasteNLost_Variable">_xlfn.LAMBDA("Mleachanimalwaste")</definedName>
    <definedName name="CommonAgSoils_Equations.AgSoils_MassCropResidueNLost">_xlfn.LAMBDA(_xlpm.M,_xlpm.FracWET,_xlpm.FracLEACH, _xlpm.M * _xlpm.FracWET * _xlpm.FracLEACH)</definedName>
    <definedName name="CommonAgSoils_Equations.AgSoils_MassCropResidueNLost_Arguments">_xlfn.LAMBDA(_xlfn.MAKEARRAY(3, 3, _xlfn.LAMBDA(_xlpm.r,_xlpm.c, INDEX({"M","Mass of nitrogen in crop residue applied to soils","kg N";"FracWET","Fraction of nitrogen available for leaching and runoff in the climate zone of the entity","fraction";"FracLEACH","Fraction of nitrogen that is lost through leaching and runoff","fraction"}, _xlpm.r, _xlpm.c))))</definedName>
    <definedName name="CommonAgSoils_Equations.AgSoils_MassCropResidueNLost_NIRReference">_xlfn.LAMBDA("National Inventory Report Volume 1, 2023: 3.D.B_8")</definedName>
    <definedName name="CommonAgSoils_Equations.AgSoils_MassCropResidueNLost_ReadableEquation">_xlfn.LAMBDA("Mleachresidue = M * FracWET * FracLEACH")</definedName>
    <definedName name="CommonAgSoils_Equations.AgSoils_MassCropResidueNLost_Title">_xlfn.LAMBDA("Mass of nitrogen lost from crop residue to leaching and runoff")</definedName>
    <definedName name="CommonAgSoils_Equations.AgSoils_MassCropResidueNLost_Unit">_xlfn.LAMBDA("kg N")</definedName>
    <definedName name="CommonAgSoils_Equations.AgSoils_MassCropResidueNLost_Variable">_xlfn.LAMBDA("Mleachresidue")</definedName>
    <definedName name="CommonAgSoils_Equations.AgSoils_MassInorganicFertiliserNLost">_xlfn.LAMBDA(_xlpm.M,_xlpm.FracWET,_xlpm.FracLEACH, _xlpm.M * _xlpm.FracWET * _xlpm.FracLEACH)</definedName>
    <definedName name="CommonAgSoils_Equations.AgSoils_MassInorganicFertiliserNLost_Arguments">_xlfn.LAMBDA(_xlfn.MAKEARRAY(3, 3, _xlfn.LAMBDA(_xlpm.r,_xlpm.c, INDEX({"M","Mass of nitrogen in inorganic fertiliser applied to soils","kg N";"FracWET","Fraction of nitrogen available for leaching and runoff in the climate zone of the entity","fraction";"FracLEACH","Fraction of nitrogen that is lost through leaching and runoff","fraction"}, _xlpm.r, _xlpm.c))))</definedName>
    <definedName name="CommonAgSoils_Equations.AgSoils_MassInorganicFertiliserNLost_NIRReference">_xlfn.LAMBDA("National Inventory Report Volume 1, 2023: 3.D.B_5")</definedName>
    <definedName name="CommonAgSoils_Equations.AgSoils_MassInorganicFertiliserNLost_ReadableEquation">_xlfn.LAMBDA("Mleachinorganic = M * FracWET * FracLEACH")</definedName>
    <definedName name="CommonAgSoils_Equations.AgSoils_MassInorganicFertiliserNLost_Title">_xlfn.LAMBDA("Mass of nitrogen lost from inorganic fertiliser to leaching and runoff")</definedName>
    <definedName name="CommonAgSoils_Equations.AgSoils_MassInorganicFertiliserNLost_Unit">_xlfn.LAMBDA("kg N")</definedName>
    <definedName name="CommonAgSoils_Equations.AgSoils_MassInorganicFertiliserNLost_Variable">_xlfn.LAMBDA("Mleachinorganic")</definedName>
    <definedName name="CommonAgSoils_Equations.AgSoils_MassVolatilisedAnimalWaste">_xlfn.LAMBDA(_xlpm.MNjm,_xlpm.UNjm,_xlpm.FNjm,_xlpm.FracGASMsoil, (_xlpm.MNjm + _xlpm.UNjm + _xlpm.FNjm) * _xlpm.FracGASMsoil)</definedName>
    <definedName name="CommonAgSoils_Equations.AgSoils_MassVolatilisedAnimalWaste_Arguments">_xlfn.LAMBDA(_xlfn.MAKEARRAY(4, 3, _xlfn.LAMBDA(_xlpm.r,_xlpm.c, INDEX({"MNjm","Mass of manure nitrogen applied to soils","kg N";"UNjm","Mass of urine nitrogen excreted on pasture, range and paddock for each dairy cattle class","kg N";"FNjm","Mass of faecal nitrogen excreted on pasture, range and paddock for each dairy cattle class","kg N";"FracGASMsoil","Fraction of nitrogen volatilised from urine and faeces deposited on pasture","(kg NH3-N + NOx-N)/kg N"}, _xlpm.r, _xlpm.c))))</definedName>
    <definedName name="CommonAgSoils_Equations.AgSoils_MassVolatilisedAnimalWaste_NIRReference">_xlfn.LAMBDA("National Inventory Report Volume 1, 2023: 3.D.B_2")</definedName>
    <definedName name="CommonAgSoils_Equations.AgSoils_MassVolatilisedAnimalWaste_ReadableEquation">_xlfn.LAMBDA("Mvolm = (MNjm + UNjm + FNjm) * FracGASMsoil")</definedName>
    <definedName name="CommonAgSoils_Equations.AgSoils_MassVolatilisedAnimalWaste_Title">_xlfn.LAMBDA("Mass of nitrogen volatilised from manure, urine and faeces deposited on soils")</definedName>
    <definedName name="CommonAgSoils_Equations.AgSoils_MassVolatilisedAnimalWaste_Unit">_xlfn.LAMBDA("kg N")</definedName>
    <definedName name="CommonAgSoils_Equations.AgSoils_MassVolatilisedAnimalWaste_Variable">_xlfn.LAMBDA("Mvolm")</definedName>
    <definedName name="CommonAgSoils_Equations.Agsoils_MassVolatilisedInorganicFertiliser">_xlfn.LAMBDA(_xlpm.MNf,_xlpm.FracGASFf, _xlpm.MNf * _xlpm.FracGASFf)</definedName>
    <definedName name="CommonAgSoils_Equations.Agsoils_MassVolatilisedInorganicFertiliser_Arguments">_xlfn.LAMBDA(_xlfn.MAKEARRAY(2, 3, _xlfn.LAMBDA(_xlpm.r,_xlpm.c, INDEX({"MNf","Mass of nitrogen in inorganic fertiliser applied","kg N";"FracGASFf","Fraction of inorganic fertiliser that volatilises","(kg NH3–N + NOx–N)/kg N"}, _xlpm.r, _xlpm.c))))</definedName>
    <definedName name="CommonAgSoils_Equations.Agsoils_MassVolatilisedInorganicFertiliser_NIRReference">_xlfn.LAMBDA("National Inventory Report Volume 1, 2023: 3.D.B_1")</definedName>
    <definedName name="CommonAgSoils_Equations.Agsoils_MassVolatilisedInorganicFertiliser_ReadableEquation">_xlfn.LAMBDA("Mvolinorganic = MNf * FracGASFf")</definedName>
    <definedName name="CommonAgSoils_Equations.Agsoils_MassVolatilisedInorganicFertiliser_Title">_xlfn.LAMBDA("Mass of nitrogen volatilised from inorganic fertiliser deposited on soils")</definedName>
    <definedName name="CommonAgSoils_Equations.Agsoils_MassVolatilisedInorganicFertiliser_Unit">_xlfn.LAMBDA("kg N")</definedName>
    <definedName name="CommonAgSoils_Equations.Agsoils_MassVolatilisedInorganicFertiliser_Variable">_xlfn.LAMBDA("Mvolinorganic")</definedName>
    <definedName name="CommonAgSoils_Equations.AgSoils_UrineAndDungDeposited">_xlfn.LAMBDA(_xlpm.AFjm,_xlpm.AUjm,_xlpm.EFPRP,_xlpm.CgN2O, ((_xlpm.AFjm * _xlpm.EFPRP * _xlpm.CgN2O) + (_xlpm.AUjm * _xlpm.EFPRP * _xlpm.CgN2O)) * 10 ^ -3)</definedName>
    <definedName name="CommonAgSoils_Equations.AgSoils_UrineAndDungDeposited_Arguments">_xlfn.LAMBDA(_xlfn.MAKEARRAY(4, 3, _xlfn.LAMBDA(_xlpm.r,_xlpm.c, INDEX({"AFjm","mass of N in dung deposited on pasture, range and paddock","kg N";"AUjm","mass of N in urine deposited on pasture, range and paddock","kg N";"EFPRP","direct N2O emission factor for pasture, range and paddock","kg N2O-N/kg N";"CgN2O","factor to convert elemental mass of N2O to molecular mass",""}, _xlpm.r, _xlpm.c))))</definedName>
    <definedName name="CommonAgSoils_Equations.AgSoils_UrineAndDungDeposited_GWP">_xlfn.LAMBDA(_xlpm.EN2Odir,_xlpm.GWPN2O, (_xlpm.EN2Odir * _xlpm.GWPN2O))</definedName>
    <definedName name="CommonAgSoils_Equations.AgSoils_UrineAndDungDeposited_NIRReference">_xlfn.LAMBDA("National Inventory Report Volume 1, 2023: 3.D.a.3")</definedName>
    <definedName name="CommonAgSoils_Equations.AgSoils_UrineAndDungDeposited_ReadableEquation">_xlfn.LAMBDA("EN2Odir = ((AFjm=14 * EFPRP * CgN2O) + (AUjm=14 * EFPRP * CgN2O)) * 10^-3")</definedName>
    <definedName name="CommonAgSoils_Equations.AgSoils_UrineAndDungDeposited_Title">_xlfn.LAMBDA("Nitrous oxide production from urine and dung deposited by grazing animals on pasture, range and paddock")</definedName>
    <definedName name="CommonAgSoils_Equations.AgSoils_UrineAndDungDeposited_Unit">_xlfn.LAMBDA("t N2O")</definedName>
    <definedName name="CommonAgSoils_Equations.AgSoils_UrineAndDungDeposited_Variable">_xlfn.LAMBDA("EN2Odir")</definedName>
    <definedName name="CommonCropping_InputFunctions.CommonCropping_CalculateFractionResidueRemoved">_xlfn.LAMBDA(_xlpm.TotalResidue,_xlpm.AmountRemoved, (_xlpm.AmountRemoved * 10 ^ 3) / (_xlpm.TotalResidue * 10 ^ 3))</definedName>
    <definedName name="CommonCropping_InputFunctions.CommonCropping_CalculateHarvestIndex">_xlfn.LAMBDA(_xlpm.CropType,_xlpm.CropTypeArray,_xlpm.ResidueCropRatioArray, 1 / (1 + [0]!Common_InputFunctions.Utility_LookupValueInTableNumber(_xlpm.CropType, _xlpm.CropTypeArray, _xlpm.ResidueCropRatioArray)))</definedName>
    <definedName name="CommonCropping_InputFunctions.CommonCropping_CalculateResidueCropRatio">_xlfn.LAMBDA(_xlpm.HarvestIndex, (1 - _xlpm.HarvestIndex) / _xlpm.HarvestIndex)</definedName>
    <definedName name="CommonCropping_InputFunctions.CommonCropping_GetFracWET">_xlfn.LAMBDA(_xlpm.LeachingZone,_xlpm.ProductionSystem,_xlpm.LeachingZoneLookup,_xlpm.LeachingZoneFracWETLookup,_xlpm.ProductionSystemLookup,_xlpm.ProductionSystemFracWETLookup, _xlfn.LET(_xlpm.LeachingZoneFracWET, [0]!Common_InputFunctions.Utility_LookupValueInTableNumber(_xlpm.LeachingZone, _xlpm.LeachingZoneLookup, _xlpm.LeachingZoneFracWETLookup), _xlpm.ProductionSystemFracWET, [0]!Common_InputFunctions.Utility_LookupValueInTableNumber(_xlpm.ProductionSystem, _xlpm.ProductionSystemLookup, _xlpm.ProductionSystemFracWETLookup), IF(_xlpm.LeachingZoneFracWET + _xlpm.ProductionSystemFracWET &gt; 0, 1, 0)))</definedName>
    <definedName name="CommonCropping_SourceData.CommonCropping_SourceData_FracGASFfInorganicFertiliser_Data">_xlfn.LAMBDA(_xlfn.MAKEARRAY(6, 3, _xlfn.LAMBDA(_xlpm.r,_xlpm.c, INDEX({"Fertiliser type f","FracGASFf","Basis";"Urea-based fertilisers",0.15,"Urea";"Ammonium-based fertilisers",0.08,"Ammonium";"Nitrate-based fertilisers",0.01,"Nitrate";"Ammonium-nitrate based fertilisers",0.05,"Ammonium-nitrate";"Other fertilisers",0.11,"Other"}, _xlpm.r, _xlpm.c))))</definedName>
    <definedName name="CommonCropping_SourceData.CommonCropping_SourceData_FracGASFfInorganicFertiliser_NIRReference">_xlfn.LAMBDA("IPCC 2019 Refinement Volume 4 Table 11.3 [1, p. 11]")</definedName>
    <definedName name="CommonCropping_SourceData.CommonCropping_SourceData_FracGASFfInorganicFertiliser_Source">_xlfn.LAMBDA("VEERG 2026:Table 12.2.2.9")</definedName>
    <definedName name="CommonCropping_SourceData.CommonCropping_SourceData_FracGASFfInorganicFertiliser_Title">_xlfn.LAMBDA("The direct nitrous oxide EF from the organic fertiliser when applied to soils")</definedName>
    <definedName name="CommonCropping_SourceData.CommonCropping_SourceData_FracGASFfInorganicFertiliser_Unit">_xlfn.LAMBDA("(kg NH3-N + NOx-N)/kg N")</definedName>
    <definedName name="CommonCropping_SourceData.CommonCropping_SourceData_FracGASFfInorganicFertiliser_Variation">_xlfn.LAMBDA(("VARIATION FROM SOURCE DATA: Added extra 'Basis' column with simplified naming to assis with lookups in equations"))</definedName>
    <definedName name="CommonCropping_SourceData.CommonCropping_SourceData_FracWETIrrigation_Data">_xlfn.LAMBDA(_xlfn.MAKEARRAY(6, 2, _xlfn.LAMBDA(_xlpm.r,_xlpm.c, INDEX({"Irrigation type ir","FracWET";"Not irrigated",0;"Drip irrigation",0;"Sprinkler irrigation",1;"Surface irrigation",1;"Other irrigation",1}, _xlpm.r, _xlpm.c))))</definedName>
    <definedName name="CommonCropping_SourceData.CommonCropping_SourceData_FracWETIrrigation_NIRReference">_xlfn.LAMBDA("IPCC 2019 Refinement Volume 4: Chapter 11: N2O Emissions from Managed Soils, and CO2 Emissions from Lime and Urea Application")</definedName>
    <definedName name="CommonCropping_SourceData.CommonCropping_SourceData_FracWETIrrigation_Source">_xlfn.LAMBDA("VEERG 2026: Chapter 1, section 1.8.2 Leaching, climate and rainfall zones")</definedName>
    <definedName name="CommonCropping_SourceData.CommonCropping_SourceData_FracWETIrrigation_Title">_xlfn.LAMBDA("FracWET for irrigation types")</definedName>
    <definedName name="CommonCropping_SourceData.CommonCropping_SourceData_FracWETIrrigation_Unit">_xlfn.LAMBDA("dimensionless")</definedName>
    <definedName name="CommonCropping_SourceData.CommonCropping_SourceData_FracWETIrrigation_Variation">_xlfn.LAMBDA("VARIATION FROM SOURCE DATA: Table created based on VEERG text 'Areas are subject to leaching (i.e., in the leaching zone) when... the land is irrigated (except drip irrigation).'")</definedName>
    <definedName name="CommonCropping_SourceData.CommonCropping_SourceData_N2OEFOrganicFertiliser_Data">_xlfn.LAMBDA(_xlfn.MAKEARRAY(3, 2, _xlfn.LAMBDA(_xlpm.r,_xlpm.c, INDEX({"Climate zone i","EF i N2O";"Wet climate zone",0.006;"Dry climate zone",0.005}, _xlpm.r, _xlpm.c))))</definedName>
    <definedName name="CommonCropping_SourceData.CommonCropping_SourceData_N2OEFOrganicFertiliser_NIRReference">_xlfn.LAMBDA("IPCC 2019 Refinement Volume 4 Table 11.1 [1, p. 11]")</definedName>
    <definedName name="CommonCropping_SourceData.CommonCropping_SourceData_N2OEFOrganicFertiliser_Source">_xlfn.LAMBDA("VEERG 2026: Table A.2.1.4")</definedName>
    <definedName name="CommonCropping_SourceData.CommonCropping_SourceData_N2OEFOrganicFertiliser_Title">_xlfn.LAMBDA("Emission factor for organic fertiliser and crop residues returned to the soil")</definedName>
    <definedName name="CommonCropping_SourceData.CommonCropping_SourceData_N2OEFOrganicFertiliser_Unit">_xlfn.LAMBDA("kg N2O - N / kg N")</definedName>
    <definedName name="CommonCropping_SourceData.CommonCropping_SourceData_N2OEFsInorganicFertiliser_Data">_xlfn.LAMBDA(_xlfn.MAKEARRAY(8, 2, _xlfn.LAMBDA(_xlpm.r,_xlpm.c, INDEX({"Production system","Emission factor";"Irrigated pasture",0.0059;"Irrigated crop",0.007;"Non-irrigated pasture",0.0018;"Non-irrigated crop",0.0041;"Sugar cane",0.0199;"Cotton",0.0053;"Horticulture",0.0064}, _xlpm.r, _xlpm.c))))</definedName>
    <definedName name="CommonCropping_SourceData.CommonCropping_SourceData_N2OEFsInorganicFertiliser_Source">_xlfn.LAMBDA("National Inventory Report 2023 Volume 1: Table 5.21")</definedName>
    <definedName name="CommonCropping_SourceData.CommonCropping_SourceData_N2OEFsInorganicFertiliser_Title">_xlfn.LAMBDA("Nitrous oxide EFs for inorganic fertiliser")</definedName>
    <definedName name="CommonCropping_SourceData.CommonCropping_SourceData_N2OEFsInorganicFertiliser_Unit">_xlfn.LAMBDA("Gg N2O-N/ Gg N")</definedName>
    <definedName name="CommonCropping_SourceData.CommonCropping_SourceData_UreaCO2EF_Data">_xlfn.LAMBDA(0.2)</definedName>
    <definedName name="CommonCropping_SourceData.CommonCropping_SourceData_UreaCO2EF_Source">_xlfn.LAMBDA("National Inventory Report 2023 Volume 1: Equation 3.H_1")</definedName>
    <definedName name="CommonCropping_SourceData.CommonCropping_SourceData_UreaCO2EF_Title">_xlfn.LAMBDA("Emission factor for carbon emissions from urea application")</definedName>
    <definedName name="CommonCropping_SourceData.CommonCropping_SourceData_UreaCO2EF_Unit">_xlfn.LAMBDA("tonne C/tonne urea")</definedName>
    <definedName name="CommonLivestock_InputFunctions.AverageLiveweightEndOfMonth">_xlfn.LAMBDA(_xlpm.Month,_xlpm.LivestockClass,_xlpm.HeadAtStart,_xlpm.LiveweightAtStart,_xlpm.LiveweightGain, [0]!CommonLivestock_InputFunctions.LivestockMovement_ProportionalAverageLiveweightAddedDuringMonth(_xlpm.Month, _xlpm.LivestockClass, _xlpm.HeadAtStart) + [0]!CommonLivestock_InputFunctions.LivestockMovement_ProportionalAverageLiveweightRemainingAtEndOfMonth(_xlpm.Month, _xlpm.LivestockClass, _xlpm.HeadAtStart, _xlpm.LiveweightAtStart, _xlpm.LiveweightGain))</definedName>
    <definedName name="CommonLivestock_InputFunctions.Livestock_LookupMCFState">_xlfn.LAMBDA(_xlpm.MMS,_xlpm.MMSArray,_xlpm.State,_xlpm.StateArray,_xlpm.ReturnArray, _xlfn.XLOOKUP(_xlpm.MMS, _xlpm.MMSArray, _xlfn.XLOOKUP(_xlpm.State, _xlpm.StateArray, _xlpm.ReturnArray)))</definedName>
    <definedName name="CommonLivestock_InputFunctions.LivestockMovement_AverageLiveweightAddedDuringMonth">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GetMovementLiveweightGain">_xlfn.LAMBDA(_xlpm.LivestockClass,_xlpm.MovementDate, _xlfn.LET(_xlpm.ym, TEXT(_xlpm.MovementDate, "yyyymm"), IFERROR(INDEX(_xlfn._xlws.FILTER(#REF!, (TEXT(#REF!, "yyyymm") = _xlpm.ym) * (#REF! = _xlpm.LivestockClass)), 1), "")))</definedName>
    <definedName name="CommonLivestock_InputFunctions.LivestockMovement_HeadAddedDuringMonth">_xlfn.LAMBDA(_xlpm.Month,_xlpm.LivestockClass, IFERROR(SUM(_xlfn._xlws.FILTER(#REF!, (#REF! &gt;= EOMONTH(_xlpm.Month, -1) + 1) * (#REF! &lt;= EOMONTH(_xlpm.Month, 0)) * (#REF! = _xlpm.LivestockClass))), 0))</definedName>
    <definedName name="CommonLivestock_InputFunctions.LivestockMovement_HeadAtEndOfMonth">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LostDuringMonth">_xlfn.LAMBDA(_xlpm.Month,_xlpm.LivestockClass, IFERROR(SUM(_xlfn._xlws.FILTER(#REF!, (#REF! &gt;= EOMONTH(_xlpm.Month, -1) + 1) * (#REF! &lt;= EOMONTH(_xlpm.Month, 0)) * (#REF! = _xlpm.LivestockClass))), 0))</definedName>
    <definedName name="CommonLivestock_InputFunctions.LivestockMovement_HeadRemainingAtMonthEnd">_xlfn.LAMBDA(_xlpm.Month,_xlpm.LivestockClass,_xlpm.HeadAtStartOfMonth, MAX(_xlpm.HeadAtStartOfMonth - [0]!CommonLivestock_InputFunctions.LivestockMovement_HeadLostDuringMonth(_xlpm.Month, _xlpm.LivestockClass), 0))</definedName>
    <definedName name="CommonLivestock_InputFunctions.LivestockMovement_LiveweightAddedDuringMonth">_xlfn.LAMBDA(_xlpm.LivestockClass,_xlpm.MovementDate,_xlpm.WeightAtMovementDate,_xlpm.Head, IFERROR(_xlpm.Head * (_xlpm.WeightAtMovementDate + [0]!CommonLivestock_InputFunctions.LivestockMovement_LiveweightGrownDuringMonthPerHead(_xlpm.LivestockClass, _xlpm.MovementDate)), 0))</definedName>
    <definedName name="CommonLivestock_InputFunctions.LivestockMovement_LiveweightGrownDuringMonthPerHead">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FromMonthStartPerHead">_xlfn.LAMBDA(_xlpm.LivestockClass,_xlpm.Month, [0]!CommonLivestock_InputFunctions.LivestockMovement_LiveweightGrownDuringMonthPerHead(_xlpm.LivestockClass, EOMONTH(_xlpm.Month, -1) + 1))</definedName>
    <definedName name="CommonLivestock_InputFunctions.LivestockMovement_LiveweightGrownFromMonthStartTotal">_xlfn.LAMBDA(_xlpm.LivestockClass,_xlpm.Month,_xlpm.HeadAtStartOfMonth, [0]!CommonLivestock_InputFunctions.LivestockMovement_HeadRemainingAtMonthEnd(_xlpm.Month, _xlpm.LivestockClass, _xlpm.HeadAtStartOfMonth) * [0]!CommonLivestock_InputFunctions.LivestockMovement_LiveweightGrownFromMonthStartPerHead(_xlpm.LivestockClass, _xlpm.Month))</definedName>
    <definedName name="CommonLivestock_InputFunctions.LivestockMovement_LiveweightGrownFromMovementDateTotal">_xlfn.LAMBDA(_xlpm.LivestockClass,_xlpm.MovementDate,_xlpm.Head, [0]!CommonLivestock_InputFunctions.LivestockMovement_LiveweightGrownDuringMonthPerHead(_xlpm.LivestockClass, _xlpm.MovementDate) * _xlpm.Head)</definedName>
    <definedName name="CommonLivestock_InputFunctions.LivestockMovement_ProportionalAverageLiveweightAddedDuringMonth">_xlfn.LAMBDA(_xlpm.Month,_xlpm.LivestockClass,_xlpm.HeadAtStart, [0]!CommonLivestock_InputFunctions.LivestockMovement_ProportionHeadAddedDuringMonth(_xlpm.Month, _xlpm.LivestockClass, _xlpm.HeadAtStart) * [0]!CommonLivestock_InputFunctions.LivestockMovement_AverageLiveweightAddedDuringMonth(_xlpm.Month, _xlpm.LivestockClass))</definedName>
    <definedName name="CommonLivestock_InputFunctions.LivestockMovement_ProportionalAverageLiveweightRemainingAtEndOfMonth">_xlfn.LAMBDA(_xlpm.Month,_xlpm.LivestockClass,_xlpm.HeadAtStart,_xlpm.LiveweightAtStart,_xlpm.LiveweightGain, [0]!CommonLivestock_InputFunctions.LivestockMovement_ProportionHeadRemainingAtEndOfMonth(_xlpm.Month,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HeadAddedDuringMonth">_xlfn.LAMBDA(_xlpm.Month,_xlpm.LivestockClass,_xlpm.HeadAtStart, IFERROR(MIN(1, [0]!CommonLivestock_InputFunctions.LivestockMovement_HeadAddedDuringMonth(_xlpm.Month, _xlpm.LivestockClass) / [0]!CommonLivestock_InputFunctions.LivestockMovement_HeadAtEndOfMonth(_xlpm.HeadAtStart, _xlpm.Month, _xlpm.LivestockClass)), 0))</definedName>
    <definedName name="CommonLivestock_InputFunctions.LivestockMovement_ProportionHeadRemainingAtEndOfMonth">_xlfn.LAMBDA(_xlpm.Month,_xlpm.LivestockClass,_xlpm.HeadAtStart, IFERROR(MIN(1, [0]!CommonLivestock_InputFunctions.LivestockMovement_HeadRemainingAtMonthEnd(_xlpm.Month, _xlpm.LivestockClass, _xlpm.HeadAtStart) / [0]!CommonLivestock_InputFunctions.LivestockMovement_HeadAtEndOfMonth(_xlpm.HeadAtStart, _xlpm.Month, _xlpm.LivestockClass)), 0))</definedName>
    <definedName name="CommonLivestock_InputFunctions.LivestockMovement_TotalLiveweightAddedDuringMonth">_xlfn.LAMBDA(_xlpm.Month,_xlpm.LivestockClass, IFERROR(SUM(_xlfn._xlws.FILTER(#REF!, (#REF! &gt;= EOMONTH(_xlpm.Month, -1) + 1) * (#REF! &lt;= EOMONTH(_xlpm.Month, 0)) * (#REF! = _xlpm.LivestockClass))), 0))</definedName>
    <definedName name="CommonLivestock_InputFunctions.LivestockMovement_TotalLiveweightGrownDuringMonth">_xlfn.LAMBDA(_xlpm.Month,_xlpm.LivestockClass, IFERROR(SUM(_xlfn._xlws.FILTER(#REF!, (#REF! &gt;= EOMONTH(_xlpm.Month, -1) + 1) * (#REF! &lt;= EOMONTH(_xlpm.Month, 0)) * (#REF! = _xlpm.LivestockClass))), 0))</definedName>
    <definedName name="CommonLivestock_InputFunctions.LivestockMovement_TotalLiveweightGrownDuringMonthAddedAndRemaining">_xlfn.LAMBDA(_xlpm.Month,_xlpm.LivestockClass,_xlpm.HeadAtStart, [0]!CommonLivestock_InputFunctions.LivestockMovement_LiveweightGrownFromMonthStartTotal(_xlpm.LivestockClass,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SourceData.SourceData_Livestock_Common_FracLEACH_MS_Data">_xlfn.LAMBDA(_xlfn.MAKEARRAY(8, 2, _xlfn.LAMBDA(_xlpm.r,_xlpm.c, INDEX({"Production system","Emission factor";"Irrigated pasture",0.0059;"Irrigated crop",0.007;"Non-irrigated pasture",0.0018;"Non-irrigated crop",0.0041;"Sugar cane",0.0199;"Cotton",0.0053;"Horticulture",0.0064}, _xlpm.r, _xlpm.c))))</definedName>
    <definedName name="CommonLivestock_SourceData.SourceData_Livestock_Common_FracLEACH_MS_Source">_xlfn.LAMBDA("National Inventory Report 2023 Volume 1: Equations 3.B.5a_3, 3.B.5c_3, 3.B.5d_3")</definedName>
    <definedName name="CommonLivestock_SourceData.SourceData_Livestock_Common_FracLEACH_MS_Title">_xlfn.LAMBDA("Fraction of N lost through leaching and runoff")</definedName>
    <definedName name="CommonLivestock_SourceData.SourceData_Livestock_Common_FracLEACH_MS_Unit">_xlfn.LAMBDA("Fraction")</definedName>
    <definedName name="CommonLivestock_SourceData.SourceData_Livestock_Common_FracWETMMS_Data">_xlfn.LAMBDA(1)</definedName>
    <definedName name="CommonLivestock_SourceData.SourceData_Livestock_Common_FracWETMMS_Source">_xlfn.LAMBDA("National Inventory Report 2023 Volume 1: Equations 3.B.5a_3, 3.B.5c_3, 3.B.5d_3")</definedName>
    <definedName name="CommonLivestock_SourceData.SourceData_Livestock_Common_FracWETMMS_Title">_xlfn.LAMBDA("Fraction of N available for leaching and runoff")</definedName>
    <definedName name="CommonLivestock_SourceData.SourceData_Livestock_Common_FracWETMMS_Unit">_xlfn.LAMBDA("Fraction")</definedName>
    <definedName name="CommonLivestock_SourceData.SourceData_Livestock_Common_SymbolsMMS_Data">_xlfn.LAMBDA(_xlfn.MAKEARRAY(19, 3, _xlfn.LAMBDA(_xlpm.r,_xlpm.c, INDEX({"Symbol","Manure management system","";"1","Anaerobic lagoon","Anaerobic lagoon (m=1)";"2","Liquid systems","Liquid systems (m=2)";"3","Daily spread","Daily spread (m=3)";"3a","Sump and dispersal system","Sump and dispersal system (m=3a)";"3b","Drains to paddock","Drains to paddock (m=3b)";"4","Solid storage","Solid storage (m=4)";"5","Drylot (feed pad)","Drylot (feed pad) (m=5)";"6","Composting (passive windrow)","Composting (passive windrow) (m=6)";"7","Digester / covered lagoons","Digester / covered lagoons (m=7)";"8","Deep litter","Deep litter (m=8)";"9","Pit storage","Pit storage (m=9)";"10","Poultry manure with bedding","Poultry manure with bedding (m=10)";"11","Poultry manure without bedding","Poultry manure without bedding (m=11)";"11a","Belt manure removal","Belt manure removal (m=11a)";"11b","Manure stored in house","Manure stored in house (m=11b)";"12","Direct processing","Direct processing (m=12)";"13","Direct application","Direct application (m=13)";"14","Pasture range and paddock","Pasture range and paddock (m=14)"}, _xlpm.r, _xlpm.c))))</definedName>
    <definedName name="CommonLivestock_SourceData.SourceData_Livestock_Common_SymbolsMMS_Source">_xlfn.LAMBDA("National Inventory Report 2023 Volume 1: Table 5.12")</definedName>
    <definedName name="CommonLivestock_SourceData.SourceData_Livestock_Common_SymbolsMMS_Title">_xlfn.LAMBDA("Table 5.12 Additional symbols used in algorithms for manure related emissions")</definedName>
    <definedName name="CommonLivestock_SourceData.SourceData_Livestock_Common_SymbolsMMS_Unit">_xlfn.LAMBDA("")</definedName>
    <definedName name="CommonLivestock_SourceData.SourceData_Livestock_Common_SymbolsMMS_Vairable">_xlfn.LAMBDA("MMS")</definedName>
    <definedName name="CommonLivestock_SourceData.SourceData_Livestock_Product_BeefCattle_Data">_xlfn.LAMBDA(_xlfn.MAKEARRAY(9, 2, _xlfn.LAMBDA(_xlpm.r,_xlpm.c, INDEX({"Product","Source region";"Cattle, for manufacturing beef","Australia";"Cattle, for prime beef","NSW";"Cattle, weaners","NT";"","QLD";"","SA";"","TAS";"","VIC";"","WA"}, _xlpm.r, _xlpm.c))))</definedName>
    <definedName name="CommonLivestock_SourceData.SourceData_Livestock_Product_BeefCattle_Source">_xlfn.LAMBDA("Lifecycles. (2026). Greenhouse Gas Emission Intensities for Material Inputs to Australian Agriculture, Fisheries and Forestry. Version 48. doi 10.5281/zenodo.19656580")</definedName>
    <definedName name="CommonLivestock_SourceData.SourceData_Livestock_Product_BeefCattle_Title">_xlfn.LAMBDA("Beef cattle products for scope 3")</definedName>
    <definedName name="CommonLivestock_SourceData.SourceData_Livestock_Product_BeefCattle_Unit">_xlfn.LAMBDA("")</definedName>
    <definedName name="CommonLivestock_SourceData.SourceData_Livestock_Product_BeefCattle_Vairable">_xlfn.LAMBDA("")</definedName>
    <definedName name="CommonLivestock_SourceData.SourceData_Livestock_Product_Chickens_Data">_xlfn.LAMBDA(_xlfn.MAKEARRAY(2, 2, _xlfn.LAMBDA(_xlpm.r,_xlpm.c, INDEX({"Product","Source region";"Chickens","Australia"}, _xlpm.r, _xlpm.c))))</definedName>
    <definedName name="CommonLivestock_SourceData.SourceData_Livestock_Product_Chickens_Source">_xlfn.LAMBDA("Lifecycles. (2026). Greenhouse Gas Emission Intensities for Material Inputs to Australian Agriculture, Fisheries and Forestry. Version 48. doi 10.5281/zenodo.19656580")</definedName>
    <definedName name="CommonLivestock_SourceData.SourceData_Livestock_Product_Chickens_Title">_xlfn.LAMBDA("Chickens products for scope 3")</definedName>
    <definedName name="CommonLivestock_SourceData.SourceData_Livestock_Product_Chickens_Unit">_xlfn.LAMBDA("")</definedName>
    <definedName name="CommonLivestock_SourceData.SourceData_Livestock_Product_Chickens_Vairable">_xlfn.LAMBDA("")</definedName>
    <definedName name="CommonLivestock_SourceData.SourceData_Livestock_Product_Dairycattle_Data">_xlfn.LAMBDA(_xlfn.MAKEARRAY(2, 2, _xlfn.LAMBDA(_xlpm.r,_xlpm.c, INDEX({"Product","Source region";"Dairy cows","VIC"}, _xlpm.r, _xlpm.c))))</definedName>
    <definedName name="CommonLivestock_SourceData.SourceData_Livestock_Product_Dairycattle_Source">_xlfn.LAMBDA("Lifecycles. (2026). Greenhouse Gas Emission Intensities for Material Inputs to Australian Agriculture, Fisheries and Forestry. Version 48. doi 10.5281/zenodo.19656580")</definedName>
    <definedName name="CommonLivestock_SourceData.SourceData_Livestock_Product_Dairycattle_Title">_xlfn.LAMBDA("Dairy cattle products for scope 3")</definedName>
    <definedName name="CommonLivestock_SourceData.SourceData_Livestock_Product_Dairycattle_Unit">_xlfn.LAMBDA("")</definedName>
    <definedName name="CommonLivestock_SourceData.SourceData_Livestock_Product_Dairycattle_Vairable">_xlfn.LAMBDA("")</definedName>
    <definedName name="CommonLivestock_SourceData.SourceData_Livestock_Product_Pigs_Data">_xlfn.LAMBDA(_xlfn.MAKEARRAY(2, 2, _xlfn.LAMBDA(_xlpm.r,_xlpm.c, INDEX({"Product","Source region";"Pigs","Australia"}, _xlpm.r, _xlpm.c))))</definedName>
    <definedName name="CommonLivestock_SourceData.SourceData_Livestock_Product_Pigs_Source">_xlfn.LAMBDA("Lifecycles. (2026). Greenhouse Gas Emission Intensities for Material Inputs to Australian Agriculture, Fisheries and Forestry. Version 48. doi 10.5281/zenodo.19656580")</definedName>
    <definedName name="CommonLivestock_SourceData.SourceData_Livestock_Product_Pigs_Title">_xlfn.LAMBDA("Pigs products for scope 3")</definedName>
    <definedName name="CommonLivestock_SourceData.SourceData_Livestock_Product_Pigs_Unit">_xlfn.LAMBDA("")</definedName>
    <definedName name="CommonLivestock_SourceData.SourceData_Livestock_Product_Pigs_Vairable">_xlfn.LAMBDA("")</definedName>
    <definedName name="CommonLivestock_SourceData.SourceData_Livestock_Product_Sheep_Data">_xlfn.LAMBDA(_xlfn.MAKEARRAY(8, 2, _xlfn.LAMBDA(_xlpm.r,_xlpm.c, INDEX({"Product","Source region";"Sheep, for mutton","Australia";"Sheep, for prime lamb","NSW";"","QLD";"","SA";"","TAS";"","VIC";"","WA"}, _xlpm.r, _xlpm.c))))</definedName>
    <definedName name="CommonLivestock_SourceData.SourceData_Livestock_Product_Sheep_Source">_xlfn.LAMBDA("Lifecycles. (2026). Greenhouse Gas Emission Intensities for Material Inputs to Australian Agriculture, Fisheries and Forestry. Version 48. doi 10.5281/zenodo.19656580")</definedName>
    <definedName name="CommonLivestock_SourceData.SourceData_Livestock_Product_Sheep_Title">_xlfn.LAMBDA("Sheep products for scope 3")</definedName>
    <definedName name="CommonLivestock_SourceData.SourceData_Livestock_Product_Sheep_Unit">_xlfn.LAMBDA("")</definedName>
    <definedName name="CommonLivestock_SourceData.SourceData_Livestock_Product_Sheep_Vairable">_xlfn.LAMBDA("")</definedName>
    <definedName name="Electricity_Equations.VEERG_10_1_1__1_Scope2Electricity_LocationBased">_xlfn.LAMBDA(_xlpm.Qelec,_xlpm.EF2elec, _xlpm.Qelec * _xlpm.EF2elec * 10 ^ -3)</definedName>
    <definedName name="Electricity_Equations.VEERG_10_1_1__1_Scope2Electricity_LocationBased_Arguments">_xlfn.LAMBDA(_xlfn.MAKEARRAY(3, 3, _xlfn.LAMBDA(_xlpm.r,_xlpm.c, INDEX({"Qelec","Amount of electricity purchased from the grid","kWh";"EF2,elec","Location - based Scope 2 emission factor for electricity","kg CO2e / kWh";"2","Scope 2",""}, _xlpm.r, _xlpm.c))))</definedName>
    <definedName name="Electricity_Equations.VEERG_10_1_1__1_Scope2Electricity_LocationBased_NIRReference">_xlfn.LAMBDA("Australian National Greenhouse Accounts Factors 2025 - 2.2 Estimating emissions from stationary energy sources")</definedName>
    <definedName name="Electricity_Equations.VEERG_10_1_1__1_Scope2Electricity_LocationBased_ReadableEquation">_xlfn.LAMBDA("E2,elec = Qelec * EF2,elec * 10 ^ - 3")</definedName>
    <definedName name="Electricity_Equations.VEERG_10_1_1__1_Scope2Electricity_LocationBased_Source">_xlfn.LAMBDA("VEERG 2026: 10.1.1, Equation (1)")</definedName>
    <definedName name="Electricity_Equations.VEERG_10_1_1__1_Scope2Electricity_LocationBased_Title">_xlfn.LAMBDA("Location-based Scope 2 emissions from purchased electricity")</definedName>
    <definedName name="Electricity_Equations.VEERG_10_1_1__1_Scope2Electricity_LocationBased_Unit">_xlfn.LAMBDA("t CO2-e")</definedName>
    <definedName name="Electricity_Equations.VEERG_10_1_1__1_Scope2Electricity_LocationBased_Variable">_xlfn.LAMBDA("E2elec")</definedName>
    <definedName name="Electricity_Equations.VEERG_11_9_1_1__1_Scope3Electricity_LocationBased">_xlfn.LAMBDA(_xlpm.Qelec,_xlpm.EF3elec, _xlpm.Qelec * _xlpm.EF3elec * 10 ^ -3)</definedName>
    <definedName name="Electricity_Equations.VEERG_11_9_1_1__1_Scope3Electricity_LocationBased_Arguments">_xlfn.LAMBDA(_xlfn.MAKEARRAY(3, 3, _xlfn.LAMBDA(_xlpm.r,_xlpm.c, INDEX({"Qelec","Amount of electricity purchased from the grid","kWh";"EF3,elec","Location - based Scope 3 emission factor for electricity","kg CO2e / kWh";"3","Scope 3",""}, _xlpm.r, _xlpm.c))))</definedName>
    <definedName name="Electricity_Equations.VEERG_11_9_1_1__1_Scope3Electricity_LocationBased_NIRReference">_xlfn.LAMBDA("Australian National Greenhouse Accounts Factors 2025 - 2.2 Estimating emissions from stationary energy sources")</definedName>
    <definedName name="Electricity_Equations.VEERG_11_9_1_1__1_Scope3Electricity_LocationBased_ReadableEquation">_xlfn.LAMBDA("E3,elec = Qelec * EF3,elec * 10 ^ - 3")</definedName>
    <definedName name="Electricity_Equations.VEERG_11_9_1_1__1_Scope3Electricity_LocationBased_Source">_xlfn.LAMBDA("VEERG 2026: 11.9.1.1, Equation (1)")</definedName>
    <definedName name="Electricity_Equations.VEERG_11_9_1_1__1_Scope3Electricity_LocationBased_Title">_xlfn.LAMBDA("Location-based Scope 3 emissions from purchased electricity")</definedName>
    <definedName name="Electricity_Equations.VEERG_11_9_1_1__1_Scope3Electricity_LocationBased_Unit">_xlfn.LAMBDA("t CO2-e")</definedName>
    <definedName name="Electricity_Equations.VEERG_11_9_1_1__1_Scope3Electricity_LocationBased_Variable">_xlfn.LAMBDA("E3elec")</definedName>
    <definedName name="Electricity_Equations.VEERG_14_1_1__1_LocationBasedScopeElectricityEmissions">_xlfn.LAMBDA(_xlpm.Q_elec,_xlpm.EF_2elec, _xlpm.Q_elec * _xlpm.EF_2elec * 10 ^ -3)</definedName>
    <definedName name="Electricity_Equations.VEERG_14_1_1__1_LocationBasedScopeElectricityEmissions_Arguments">_xlfn.LAMBDA(_xlfn.MAKEARRAY(3, 4, _xlfn.LAMBDA(_xlpm.r,_xlpm.c, INDEX({"Q_elec","amount of electricity purchased from the grid","kWh","Input";"EF_2elec","location-based Scope 2 emission factor for electricity","kg CO2e/kWh","Constant";"g","Grid electricity was purchased from","","Input"}, _xlpm.r, _xlpm.c))))</definedName>
    <definedName name="Electricity_Equations.VEERG_14_1_1__1_LocationBasedScopeElectricityEmissions_LatexEquation">_xlfn.LAMBDA("E_{2,elec}=Q_{elec}\times EF_{2,elec}\times 10^{-3}")</definedName>
    <definedName name="Electricity_Equations.VEERG_14_1_1__1_LocationBasedScopeElectricityEmissions_NIRReference">_xlfn.LAMBDA("")</definedName>
    <definedName name="Electricity_Equations.VEERG_14_1_1__1_LocationBasedScopeElectricityEmissions_Source">_xlfn.LAMBDA("VEERG 2026: 14.1.1, Equation (1)")</definedName>
    <definedName name="Electricity_Equations.VEERG_14_1_1__1_LocationBasedScopeElectricityEmissions_Title">_xlfn.LAMBDA("Location-based Scope 2 emissions from purchased electricity")</definedName>
    <definedName name="Electricity_Equations.VEERG_14_1_1__1_LocationBasedScopeElectricityEmissions_Unit">_xlfn.LAMBDA("t CO2e")</definedName>
    <definedName name="Electricity_Equations.VEERG_14_1_1__1_LocationBasedScopeElectricityEmissions_Variable">_xlfn.LAMBDA("E_2elec")</definedName>
    <definedName name="Electricity_Equations.VEERG_14_1_1__1_LocationBasedScopeElectricityEmissions_Variation">_xlfn.LAMBDA("Added g variable to capture which grid electricity was purchased from")</definedName>
    <definedName name="Electricity_Equations.VEERG_14_1_2__1_MarketBasedScopeElectricityEmissions">_xlfn.LAMBDA(_xlpm.Q_elec,_xlpm.RPP,_xlpm.JRPP,_xlpm.REC_surrendered,_xlpm.REC_onsite,_xlpm.EF_RMF2elec, ((_xlpm.Q_elec * (1 - (_xlpm.RPP + _xlpm.JRPP))) - ((_xlpm.REC_surrendered - _xlpm.REC_onsite) * 10 ^ -3)) * _xlpm.EF_RMF2elec * 10 ^ -3)</definedName>
    <definedName name="Electricity_Equations.VEERG_14_1_2__1_MarketBasedScopeElectricityEmissions_Arguments">_xlfn.LAMBDA(_xlfn.MAKEARRAY(7, 4, _xlfn.LAMBDA(_xlpm.r,_xlpm.c, INDEX({"Q_elec","amount of electricity purchased from the grid","kWh","Input";"RPP","Renewable Power Percentage under the Large-scale Renewable Energy Target (LRET)","per cent","Input";"JRPP","jurisdictional renewable power percentage for the applicable period (ACT only)","per cent","Input";"REC_surrendered","Renewable Energy Certificates voluntarily surrendered in the reporting year","MWh","Input";"REC_onsite","Renewable Energy Certificates issued for electricity produced on-site during the year and consumed by the entity","MWh","Input";"EF_RMF2elec","Scope 2 residual mix emission factor for electricity","kg CO2e/kWh","Constant";"i","state","","Input"}, _xlpm.r, _xlpm.c))))</definedName>
    <definedName name="Electricity_Equations.VEERG_14_1_2__1_MarketBasedScopeElectricityEmissions_LatexEquation">_xlfn.LAMBDA("E_{2,elec}=(Q_{elec} \times (1-(RPP+JRPP)) - ((REC_{surrendered}-REC_{onsite})\times 10^{-3})) \times EF_{RMF2,elec} \times 10^{-3}")</definedName>
    <definedName name="Electricity_Equations.VEERG_14_1_2__1_MarketBasedScopeElectricityEmissions_NIRReference">_xlfn.LAMBDA("")</definedName>
    <definedName name="Electricity_Equations.VEERG_14_1_2__1_MarketBasedScopeElectricityEmissions_Source">_xlfn.LAMBDA("VEERG 2026: 14.1.2, Equation (1)")</definedName>
    <definedName name="Electricity_Equations.VEERG_14_1_2__1_MarketBasedScopeElectricityEmissions_Title">_xlfn.LAMBDA("Market-based Scope 2 emissions from purchased electricity")</definedName>
    <definedName name="Electricity_Equations.VEERG_14_1_2__1_MarketBasedScopeElectricityEmissions_Unit">_xlfn.LAMBDA("t CO2e")</definedName>
    <definedName name="Electricity_Equations.VEERG_14_1_2__1_MarketBasedScopeElectricityEmissions_Variable">_xlfn.LAMBDA("E_2elec")</definedName>
    <definedName name="Electricity_Equations.VEERG_14_1_2__1_MarketBasedScopeElectricityEmissions_Variation">_xlfn.LAMBDA("VARIATION ON SOURCE: In order to convert megawatt hours to kilowatt hours, the REC_surrendered and REC_onsite variables are multiplied by 10^3 instead of 10^-3.")</definedName>
    <definedName name="Electricity_Equations.VEERG_14_1_2__1_MarketBasedScopeElectricityEmissionsVariation">_xlfn.LAMBDA(_xlpm.Q_elec,_xlpm.RPP,_xlpm.JRPP,_xlpm.REC_surrendered,_xlpm.REC_onsite,_xlpm.EF_RMF2elec, ((_xlpm.Q_elec * (1 - (_xlpm.RPP + _xlpm.JRPP))) - ((_xlpm.REC_surrendered - _xlpm.REC_onsite) * 10 ^ 3)) * _xlpm.EF_RMF2elec * 10 ^ -3)</definedName>
    <definedName name="Electricity_Equations.VEERG_14_1_2__1_MarketBasedScopeElectricityEmissionsVariation_LatexEquation">_xlfn.LAMBDA("E_{2,elec}=(Q_{elec} \times (1-(RPP+JRPP)) - ((REC_{surrendered}-REC_{onsite})\times 10^{3})) \times EF_{RMF2,elec} \times 10^{-3}")</definedName>
    <definedName name="Electricity_SourceData.Electricity_Scope2LocationBased_Description">_xlfn.LAMBDA(("Indirect (scope 2 and scope 3) location-based emission factors associated with the consumption and losses of purchased or acquired electricity"))</definedName>
    <definedName name="Electricity_SourceData.Electricity_Scope2MarketBased_Description">_xlfn.LAMBDA(("Table 2a Indirect (scope 2 and scope 3) emission factors from consumption of purchased or acquired electricity: market-based factors "))</definedName>
    <definedName name="Electricity_SourceData.Electricity_Scope2Scope3LocationBased_Data">_xlfn.LAMBDA(_xlfn.MAKEARRAY(11, 3, _xlfn.LAMBDA(_xlpm.r,_xlpm.c, INDEX({"State, Territory or grid description","Scope 2 Emission Factors (kg CO2-e/kWh)","Scope 3 Emission Factors (kg CO2-e/kWh)";"New South Wales",0.64,0.03;"ACT",0.64,0.03;"Victoria",0.78,0.09;"Queensland",0.67,0.09;"South Australia",0.22,0.04;"Western Australia - South West Interconnected System (SWIS)",0.5,0.06;"Western Australia - North Western Interconnected System (NWIS)",0.56,0.09;"Tasmania",0.2,0.03;"Northern Territory - Darwin Katherine Interconnected System (DKIS)",0.56,0.09;"National",0.62,0.07}, _xlpm.r, _xlpm.c))))</definedName>
    <definedName name="Electricity_SourceData.Electricity_Scope2Scope3LocationBased_Source">_xlfn.LAMBDA(("Australian National Greenhouse Accounts Factors 2025 - Table 1"))</definedName>
    <definedName name="Electricity_SourceData.Electricity_Scope2Scope3LocationBased_Title">_xlfn.LAMBDA(("Electricity scope 2 and scope 3 location-based emission factors"))</definedName>
    <definedName name="Electricity_SourceData.Electricity_Scope2Scope3LocationBased_Variation">_xlfn.LAMBDA(("VARIATION OF SOURCE DATA: NSW and ACT split into separate rows."))</definedName>
    <definedName name="Electricity_SourceData.Electricity_Scope2Scope3MarketBased_Data">_xlfn.LAMBDA(_xlfn.MAKEARRAY(2, 5, _xlfn.LAMBDA(_xlpm.r,_xlpm.c, INDEX({"State, Territory or grid description","Scope 2 Emission Factors (kg CO2-e/kWh)","Scope 2 Emission Factors (kg CO2-e/GJ)","Scope 3 Emission Factors (kg CO2 - e / kWh)","Scope 3 Emission Factors (kg CO2 - e / GJ)";"National",0.81,226,0.1,29}, _xlpm.r, _xlpm.c))))</definedName>
    <definedName name="Electricity_SourceData.Electricity_Scope2Scope3MarketBased_Source">_xlfn.LAMBDA(("Australian National Greenhouse Accounts Factors 2025 - Table 2a"))</definedName>
    <definedName name="Electricity_SourceData.Electricity_Scope2Scope3MarketBased_Title">_xlfn.LAMBDA(("Electricity scope 2 and scope 3 market-based emission factors"))</definedName>
    <definedName name="Electricity_SourceData.Electricity_Scope2Scope3MarketBased_Variation">_xlfn.LAMBDA((""))</definedName>
    <definedName name="EntericMethane_Dairy_Equations.VEERG_3_3_1_1__1_TotalAnnualMethaneFromEntericFermentation">_xlfn.LAMBDA(_xlpm.N_j124,_xlpm.M_j124,_xlpm.D_j124,_xlpm.N_j35,_xlpm.M_j35,_xlpm.D_j35,_xlpm.MPW_ENTERIC_j35, ((_xlpm.N_j124 * _xlpm.M_j124 * _xlpm.D_j124) + (_xlpm.N_j35 * _xlpm.M_j35 * _xlpm.D_j35) + (_xlpm.N_j35 * _xlpm.MPW_ENTERIC_j35 * _xlpm.D_j35)) * 10 ^ -3)</definedName>
    <definedName name="EntericMethane_Dairy_Equations.VEERG_3_3_1_1__1_TotalAnnualMethaneFromEntericFermentation_Arguments">_xlfn.LAMBDA(_xlfn.MAKEARRAY(8, 4, _xlfn.LAMBDA(_xlpm.r,_xlpm.c, INDEX({"N_j124","number of dairy cattle in classes j=1,2,4","head","Input";"M_j124","daily enteric methane production for classes j=1,2,4","kg CH4/head/day","Calculated from 3.3.1.1 (2)";"D_j124","duration of stay on the farm for classes j=1,2,4","days","Input";"N_j35","number of dairy cattle in classes j=3,5","head","Input";"M_j35","daily enteric methane production for weaned classes j=3,5","kg CH4/head/day","Calculated from 3.3.1.1 (2)";"D_j35","duration of stay on the farm for weaned classes j=3,5","days","Input";"DPW_j35","duration of stay on the farm for pre-weaned heifer and bull calves","days","Input";"MPW_ENTERIC_j35","daily methane production for pre-weaned heifer and bull calves","kg CH4/head/day","Constant"}, _xlpm.r, _xlpm.c))))</definedName>
    <definedName name="EntericMethane_Dairy_Equations.VEERG_3_3_1_1__1_TotalAnnualMethaneFromEntericFermentation_LatexEquation">_xlfn.LAMBDA("E_{enteric}=\sum\nolimits_j((N_{j=1,2,4}\times M_{j=1,2,4}\times D_{j=1,2,4})+(N_{j=3,5}\times M_{j=3,5}\times D_{j=3,5})+(N_{j=3,5}\times MPW_{ENTERIC,j=3,5}\times D_{j=3,5}))\times 10^{-3}")</definedName>
    <definedName name="EntericMethane_Dairy_Equations.VEERG_3_3_1_1__1_TotalAnnualMethaneFromEntericFermentation_LatexEquationVariation">_xlfn.LAMBDA("E_{enteric}=\sum\nolimits_j((N_{j=1,2,4}\times M_{j=1,2,4}\times D_{j=1,2,4})+(N_{j=3,5}\times M_{j=3,5}\times D_{j=3,5})+(N_{j=3,5}\times MPW_{ENTERIC,j=3,5}\times DPW_{j=3,5}))\times 10^{-3}")</definedName>
    <definedName name="EntericMethane_Dairy_Equations.VEERG_3_3_1_1__1_TotalAnnualMethaneFromEntericFermentation_NIRReference">_xlfn.LAMBDA("")</definedName>
    <definedName name="EntericMethane_Dairy_Equations.VEERG_3_3_1_1__1_TotalAnnualMethaneFromEntericFermentation_Source">_xlfn.LAMBDA("VEERG 2026: 3.3.1.1, Equation (1)")</definedName>
    <definedName name="EntericMethane_Dairy_Equations.VEERG_3_3_1_1__1_TotalAnnualMethaneFromEntericFermentation_Title">_xlfn.LAMBDA("Total annual methane production from enteric fermentation in dairy cattle")</definedName>
    <definedName name="EntericMethane_Dairy_Equations.VEERG_3_3_1_1__1_TotalAnnualMethaneFromEntericFermentation_Unit">_xlfn.LAMBDA("t CH4")</definedName>
    <definedName name="EntericMethane_Dairy_Equations.VEERG_3_3_1_1__1_TotalAnnualMethaneFromEntericFermentation_Variable">_xlfn.LAMBDA("E_enteric")</definedName>
    <definedName name="EntericMethane_Dairy_Equations.VEERG_3_3_1_1__1_TotalAnnualMethaneFromEntericFermentation_Variation">_xlfn.LAMBDA("VARIATION ON SOURCE: Added 'DPW' variable to allow for a separate handling of pre-weaned duration.")</definedName>
    <definedName name="EntericMethane_Dairy_Equations.VEERG_3_3_1_1__1_TotalAnnualMethaneFromEntericFermentationVariation">_xlfn.LAMBDA(_xlpm.N_j124,_xlpm.M_j124,_xlpm.D_j124,_xlpm.N_j35,_xlpm.M_j35,_xlpm.D_j35,_xlpm.DPW_j35,_xlpm.MPW_ENTERIC_j35, ((_xlpm.N_j124 * _xlpm.M_j124 * _xlpm.D_j124) + (_xlpm.N_j35 * _xlpm.M_j35 * _xlpm.D_j35) + (_xlpm.N_j35 * _xlpm.MPW_ENTERIC_j35 * _xlpm.DPW_j35)) * 10 ^ -3)</definedName>
    <definedName name="EntericMethane_Dairy_Equations.VEERG_3_3_1_1__2_DailyEntericMethaneProduction">_xlfn.LAMBDA(_xlpm.I_j, 20.7 * _xlpm.I_j * 10 ^ -3)</definedName>
    <definedName name="EntericMethane_Dairy_Equations.VEERG_3_3_1_1__2_DailyEntericMethaneProduction_Arguments">_xlfn.LAMBDA(_xlfn.MAKEARRAY(1, 4, _xlfn.LAMBDA(_xlpm.r,_xlpm.c, INDEX({"I_j","dry matter feed intake","kg DM/head/day","Calculated from 3.3.1.1 (3)"}, _xlpm.r, _xlpm.c))))</definedName>
    <definedName name="EntericMethane_Dairy_Equations.VEERG_3_3_1_1__2_DailyEntericMethaneProduction_LatexEquation">_xlfn.LAMBDA("M_j=20.7\times I_j\times 10^{-3}")</definedName>
    <definedName name="EntericMethane_Dairy_Equations.VEERG_3_3_1_1__2_DailyEntericMethaneProduction_NIRReference">_xlfn.LAMBDA("Charmley et al. (2015)")</definedName>
    <definedName name="EntericMethane_Dairy_Equations.VEERG_3_3_1_1__2_DailyEntericMethaneProduction_Source">_xlfn.LAMBDA("VEERG 2026: 3.3.1.1, Equation (2)")</definedName>
    <definedName name="EntericMethane_Dairy_Equations.VEERG_3_3_1_1__2_DailyEntericMethaneProduction_Title">_xlfn.LAMBDA("Daily production of enteric methane")</definedName>
    <definedName name="EntericMethane_Dairy_Equations.VEERG_3_3_1_1__2_DailyEntericMethaneProduction_Unit">_xlfn.LAMBDA("kg CH4/head/day")</definedName>
    <definedName name="EntericMethane_Dairy_Equations.VEERG_3_3_1_1__2_DailyEntericMethaneProduction_Variable">_xlfn.LAMBDA("M_j")</definedName>
    <definedName name="EntericMethane_Dairy_Equations.VEERG_3_3_1_1__3_DryMatterFeedIntake">_xlfn.LAMBDA(_xlpm.W_j,_xlpm.LWG_j,_xlpm.MR_j,_xlpm.MI_j, (1.185 + 0.00454 * _xlpm.W_j - 0.0000026 * _xlpm.W_j ^ 2 + 0.315 * _xlpm.LWG_j) ^ 2 * _xlpm.MR_j + _xlpm.MI_j)</definedName>
    <definedName name="EntericMethane_Dairy_Equations.VEERG_3_3_1_1__3_DryMatterFeedIntake_Arguments">_xlfn.LAMBDA(_xlfn.MAKEARRAY(4, 4, _xlfn.LAMBDA(_xlpm.r,_xlpm.c, INDEX({"W_j","liveweight","kg","Input";"LWG_j","liveweight gain","kg/head/day","Input";"MR_j","increase in metabolic rate when producing milk","fraction","Constant";"MI_j","additional intake required for milk production","kg DM/head/day","Calculated from 3.3.1.1 (4)"}, _xlpm.r, _xlpm.c))))</definedName>
    <definedName name="EntericMethane_Dairy_Equations.VEERG_3_3_1_1__3_DryMatterFeedIntake_LatexEquation">_xlfn.LAMBDA("I_j=(1.185+0.00454\times W_j-0.0000026\times W_j^2+0.315\times LWG_j)^2\times MR_j+MI_j")</definedName>
    <definedName name="EntericMethane_Dairy_Equations.VEERG_3_3_1_1__3_DryMatterFeedIntake_NIRReference">_xlfn.LAMBDA("")</definedName>
    <definedName name="EntericMethane_Dairy_Equations.VEERG_3_3_1_1__3_DryMatterFeedIntake_Source">_xlfn.LAMBDA("VEERG 2026: 3.3.1.1, Equation (3)")</definedName>
    <definedName name="EntericMethane_Dairy_Equations.VEERG_3_3_1_1__3_DryMatterFeedIntake_Title">_xlfn.LAMBDA("Feed intake")</definedName>
    <definedName name="EntericMethane_Dairy_Equations.VEERG_3_3_1_1__3_DryMatterFeedIntake_Unit">_xlfn.LAMBDA("kg DM/head/day")</definedName>
    <definedName name="EntericMethane_Dairy_Equations.VEERG_3_3_1_1__3_DryMatterFeedIntake_Variable">_xlfn.LAMBDA("I_j")</definedName>
    <definedName name="EntericMethane_Dairy_Equations.VEERG_3_3_1_1__4_AdditionalIntakeForMilkProduction">_xlfn.LAMBDA(_xlpm.MP_j,_xlpm.NE,_xlpm.GEC,_xlpm.k,_xlpm.qm_j, (_xlpm.MP_j * 1.03 * _xlpm.NE) / (_xlpm.GEC * _xlpm.k * _xlpm.qm_j))</definedName>
    <definedName name="EntericMethane_Dairy_Equations.VEERG_3_3_1_1__4_AdditionalIntakeForMilkProduction_Arguments">_xlfn.LAMBDA(_xlfn.MAKEARRAY(7, 4, _xlfn.LAMBDA(_xlpm.r,_xlpm.c, INDEX({"MPU","input milk production unit","","Input";"MP_j","milk production (if input as litres of milk)","L/head/day","Input";"MP_j","milk production (if input as milk solids)","L/head/day","Calculated from 3.3.1.1 (5)";"NE","net energy","MJ net energy/kg milk","Constant";"GEC","gross energy content","MJ/kgDM","Constant";"k","efficiency of metabolizable energy use for milk production","fraction","Constant";"qm_j","metabolisability of the diet","fraction","Calculated from 3.3.1.1 (6)"}, _xlpm.r, _xlpm.c))))</definedName>
    <definedName name="EntericMethane_Dairy_Equations.VEERG_3_3_1_1__4_AdditionalIntakeForMilkProduction_LatexEquation">_xlfn.LAMBDA("MI_j=\frac{MP_j\times 1.03\times NE}{GEC\times k\times qm_j}")</definedName>
    <definedName name="EntericMethane_Dairy_Equations.VEERG_3_3_1_1__4_AdditionalIntakeForMilkProduction_NIRReference">_xlfn.LAMBDA("")</definedName>
    <definedName name="EntericMethane_Dairy_Equations.VEERG_3_3_1_1__4_AdditionalIntakeForMilkProduction_Source">_xlfn.LAMBDA("VEERG 2026: 3.3.1.1, Equation (4)")</definedName>
    <definedName name="EntericMethane_Dairy_Equations.VEERG_3_3_1_1__4_AdditionalIntakeForMilkProduction_Title">_xlfn.LAMBDA("Additional intake required for milk production")</definedName>
    <definedName name="EntericMethane_Dairy_Equations.VEERG_3_3_1_1__4_AdditionalIntakeForMilkProduction_Unit">_xlfn.LAMBDA("kg DM/head/day")</definedName>
    <definedName name="EntericMethane_Dairy_Equations.VEERG_3_3_1_1__4_AdditionalIntakeForMilkProduction_Variable">_xlfn.LAMBDA("MI_j")</definedName>
    <definedName name="EntericMethane_Dairy_Equations.VEERG_3_3_1_1__4_AdditionalIntakeForMilkProduction_Variation">_xlfn.LAMBDA("VARATION ON SOURCE: Added milk production unit variable to allow for use of either milk solids or litres of milk.")</definedName>
    <definedName name="EntericMethane_Dairy_Equations.VEERG_3_3_1_1__5_MilkProductionFromMilkSolids">_xlfn.LAMBDA(_xlpm.MS_j,_xlpm.FC_j,_xlpm.PC_j, _xlpm.MS_j / (0.01 * (_xlpm.FC_j + _xlpm.PC_j)))</definedName>
    <definedName name="EntericMethane_Dairy_Equations.VEERG_3_3_1_1__5_MilkProductionFromMilkSolids_Arguments">_xlfn.LAMBDA(_xlfn.MAKEARRAY(4, 4, _xlfn.LAMBDA(_xlpm.r,_xlpm.c, INDEX({"MPU","input milk production unit","","Input";"MS_j","daily production of milk solids","kg MS/head/day","Input";"FC_j","fat content in fat and protein corrected milk","per cent","Constant";"PC_j","protein content in fat and protein corrected milk","per cent","Constant"}, _xlpm.r, _xlpm.c))))</definedName>
    <definedName name="EntericMethane_Dairy_Equations.VEERG_3_3_1_1__5_MilkProductionFromMilkSolids_Arguments_Method2">_xlfn.LAMBDA(_xlfn.MAKEARRAY(4, 4, _xlfn.LAMBDA(_xlpm.r,_xlpm.c, INDEX({"MPU","milk production unit","","Input";"MS_j","daily production of milk solids","kg MS/head/day","Input";"FC_j","fat content in fat and protein corrected milk","per cent","Input";"PC_j","protein content in fat and protein corrected milk","per cent","Input"}, _xlpm.r, _xlpm.c))))</definedName>
    <definedName name="EntericMethane_Dairy_Equations.VEERG_3_3_1_1__5_MilkProductionFromMilkSolids_LatexEquation">_xlfn.LAMBDA("MP_j=\frac{MS_j}{0.01\times (FC_j+PC_j)}")</definedName>
    <definedName name="EntericMethane_Dairy_Equations.VEERG_3_3_1_1__5_MilkProductionFromMilkSolids_NIRReference">_xlfn.LAMBDA("")</definedName>
    <definedName name="EntericMethane_Dairy_Equations.VEERG_3_3_1_1__5_MilkProductionFromMilkSolids_Source">_xlfn.LAMBDA("VEERG 2026: 3.3.1.1, Equation (5)")</definedName>
    <definedName name="EntericMethane_Dairy_Equations.VEERG_3_3_1_1__5_MilkProductionFromMilkSolids_Title">_xlfn.LAMBDA("Milk production converted from milk solids")</definedName>
    <definedName name="EntericMethane_Dairy_Equations.VEERG_3_3_1_1__5_MilkProductionFromMilkSolids_Unit">_xlfn.LAMBDA("L/head/day")</definedName>
    <definedName name="EntericMethane_Dairy_Equations.VEERG_3_3_1_1__5_MilkProductionFromMilkSolids_Variable">_xlfn.LAMBDA("MP_j")</definedName>
    <definedName name="EntericMethane_Dairy_Equations.VEERG_3_3_1_1__5_MilkProductionFromMilkSolids_Variation">_xlfn.LAMBDA("VARATION ON SOURCE: Added milk production unit variable to allow for use of either milk solids or litres of milk. Converted input FC and PC percent to integer.")</definedName>
    <definedName name="EntericMethane_Dairy_Equations.VEERG_3_3_1_1__6_MetabolisabilityOfDiet">_xlfn.LAMBDA(_xlpm.DMD_j, 0.795 * (_xlpm.DMD_j * 100) - 0.0014)</definedName>
    <definedName name="EntericMethane_Dairy_Equations.VEERG_3_3_1_1__6_MetabolisabilityOfDiet_Arguments">_xlfn.LAMBDA(_xlfn.MAKEARRAY(1, 4, _xlfn.LAMBDA(_xlpm.r,_xlpm.c, INDEX({"DMD_j","dry matter digestibility expressed as a fraction","fraction","Input"}, _xlpm.r, _xlpm.c))))</definedName>
    <definedName name="EntericMethane_Dairy_Equations.VEERG_3_3_1_1__6_MetabolisabilityOfDiet_LatexEquation">_xlfn.LAMBDA("qm_j=0.795\times (DMD_j\times 100)-0.0014")</definedName>
    <definedName name="EntericMethane_Dairy_Equations.VEERG_3_3_1_1__6_MetabolisabilityOfDiet_LatexEquationVariation">_xlfn.LAMBDA("qm_j=0.00795\times (DMD_j\times 100)-0.0014")</definedName>
    <definedName name="EntericMethane_Dairy_Equations.VEERG_3_3_1_1__6_MetabolisabilityOfDiet_NIRReference">_xlfn.LAMBDA("")</definedName>
    <definedName name="EntericMethane_Dairy_Equations.VEERG_3_3_1_1__6_MetabolisabilityOfDiet_Source">_xlfn.LAMBDA("VEERG 2026: 3.3.1.1, Equation (6)")</definedName>
    <definedName name="EntericMethane_Dairy_Equations.VEERG_3_3_1_1__6_MetabolisabilityOfDiet_Title">_xlfn.LAMBDA("Metabolisability of diet")</definedName>
    <definedName name="EntericMethane_Dairy_Equations.VEERG_3_3_1_1__6_MetabolisabilityOfDiet_Unit">_xlfn.LAMBDA("fraction")</definedName>
    <definedName name="EntericMethane_Dairy_Equations.VEERG_3_3_1_1__6_MetabolisabilityOfDiet_Variable">_xlfn.LAMBDA("qm_j")</definedName>
    <definedName name="EntericMethane_Dairy_Equations.VEERG_3_3_1_1__6_MetabolisabilityOfDiet_Variation">_xlfn.LAMBDA("VARIATION ON SOURCE: changed 0.795 to 0.00795 which is the value used in the National Inventory Report")</definedName>
    <definedName name="EntericMethane_Dairy_Equations.VEERG_3_3_1_1__6_MetabolisabilityOfDietVariation">_xlfn.LAMBDA(_xlpm.DMD_j, 0.00795 * (_xlpm.DMD_j * 100) - 0.0014)</definedName>
    <definedName name="EntericMethane_PastureBeef_Equations.VEERG_3_2_1_1__1_TotalAnnualMethaneFromEntericFermentation">_xlfn.LAMBDA(_xlpm.D_j,_xlpm.M_jkl,_xlpm.N_jkl, (_xlpm.D_j * _xlpm.M_jkl * _xlpm.N_jkl) * 10 ^ -3)</definedName>
    <definedName name="EntericMethane_PastureBeef_Equations.VEERG_3_2_1_1__1_TotalAnnualMethaneFromEntericFermentation_Arguments">_xlfn.LAMBDA(_xlfn.MAKEARRAY(3, 4, _xlfn.LAMBDA(_xlpm.r,_xlpm.c, INDEX({"D_j","number of days the animal is on the farm in each time-period","days","Input";"M_jkl","daily production of enteric methane in each time-period, class and subclass","kg CH4/head/day","Calculated from 3.2.1.1, (2)";"N_jkl","number of beef cattle in each time-period, class and subclass","head","Input"}, _xlpm.r, _xlpm.c))))</definedName>
    <definedName name="EntericMethane_PastureBeef_Equations.VEERG_3_2_1_1__1_TotalAnnualMethaneFromEntericFermentation_LatexEquation">_xlfn.LAMBDA("E_{enteric}=\sum_{j}\sum_{k}\sum_{l}(D_j\times M_{jkl}\times N_{jkl})\times 10^{-3}")</definedName>
    <definedName name="EntericMethane_PastureBeef_Equations.VEERG_3_2_1_1__1_TotalAnnualMethaneFromEntericFermentation_NIRReference">_xlfn.LAMBDA("")</definedName>
    <definedName name="EntericMethane_PastureBeef_Equations.VEERG_3_2_1_1__1_TotalAnnualMethaneFromEntericFermentation_Source">_xlfn.LAMBDA("VEERG 2026: 3.2.1.1, Equation (1)")</definedName>
    <definedName name="EntericMethane_PastureBeef_Equations.VEERG_3_2_1_1__1_TotalAnnualMethaneFromEntericFermentation_Title">_xlfn.LAMBDA("Total annual methane production from enteric fermentation in grazing beef cattle")</definedName>
    <definedName name="EntericMethane_PastureBeef_Equations.VEERG_3_2_1_1__1_TotalAnnualMethaneFromEntericFermentation_Unit">_xlfn.LAMBDA("t CH4")</definedName>
    <definedName name="EntericMethane_PastureBeef_Equations.VEERG_3_2_1_1__1_TotalAnnualMethaneFromEntericFermentation_Variable">_xlfn.LAMBDA("E_enteric")</definedName>
    <definedName name="EntericMethane_PastureBeef_Equations.VEERG_3_2_1_1__2_DailyEntericMethaneProduction">_xlfn.LAMBDA(_xlpm.I_jkl, 20.7 * _xlpm.I_jkl * 10 ^ -3)</definedName>
    <definedName name="EntericMethane_PastureBeef_Equations.VEERG_3_2_1_1__2_DailyEntericMethaneProduction_Arguments">_xlfn.LAMBDA(_xlfn.MAKEARRAY(1, 4, _xlfn.LAMBDA(_xlpm.r,_xlpm.c, INDEX({"I_jkl","dry matter intake","kg DM/head/day","Calculated from 3.2.1.1, (3)"}, _xlpm.r, _xlpm.c))))</definedName>
    <definedName name="EntericMethane_PastureBeef_Equations.VEERG_3_2_1_1__2_DailyEntericMethaneProduction_LatexEquation">_xlfn.LAMBDA("M_{jkl}=20.7\times I_{jkl}\times 10^{-3}")</definedName>
    <definedName name="EntericMethane_PastureBeef_Equations.VEERG_3_2_1_1__2_DailyEntericMethaneProduction_NIRReference">_xlfn.LAMBDA("Charmley et al. (2015)")</definedName>
    <definedName name="EntericMethane_PastureBeef_Equations.VEERG_3_2_1_1__2_DailyEntericMethaneProduction_Source">_xlfn.LAMBDA("VEERG 2026: 3.2.1.1, Equation (2)")</definedName>
    <definedName name="EntericMethane_PastureBeef_Equations.VEERG_3_2_1_1__2_DailyEntericMethaneProduction_Title">_xlfn.LAMBDA("Daily production of enteric methane")</definedName>
    <definedName name="EntericMethane_PastureBeef_Equations.VEERG_3_2_1_1__2_DailyEntericMethaneProduction_Unit">_xlfn.LAMBDA("kg CH4/head/day")</definedName>
    <definedName name="EntericMethane_PastureBeef_Equations.VEERG_3_2_1_1__2_DailyEntericMethaneProduction_Variable">_xlfn.LAMBDA("M_jkl")</definedName>
    <definedName name="EntericMethane_PastureBeef_Equations.VEERG_3_2_1_1__3_FeedIntakeForGrazingBeef">_xlfn.LAMBDA(_xlpm.W_jkl,_xlpm.LWG_jkl,_xlpm.MA_jk45, (1.185 + 0.00454 * _xlpm.W_jkl - 0.0000026 * _xlpm.W_jkl ^ 2 + 0.315 * _xlpm.LWG_jkl) ^ 2 * _xlpm.MA_jk45)</definedName>
    <definedName name="EntericMethane_PastureBeef_Equations.VEERG_3_2_1_1__3_FeedIntakeForGrazingBeef_Arguments">_xlfn.LAMBDA(_xlfn.MAKEARRAY(3, 4, _xlfn.LAMBDA(_xlpm.r,_xlpm.c, INDEX({"W_jkl","liveweight (kg)","kg","Input";"LWG_jkl","live weight gain (kg/head/day)","kg/head/day","Input";"MA_jk45","additional intake for milk production in cows greater than 2 years","kg/head/day","Calculated from 3.2.1.1, (4)"}, _xlpm.r, _xlpm.c))))</definedName>
    <definedName name="EntericMethane_PastureBeef_Equations.VEERG_3_2_1_1__3_FeedIntakeForGrazingBeef_LatexEquation">_xlfn.LAMBDA("I_{jkl}=(1.185+0.00454\times W_{jkl}-0.0000026\times W_{jkl}^{2}+0.315\times LWG_{jkl})^2\times MA_{jk=4,5}")</definedName>
    <definedName name="EntericMethane_PastureBeef_Equations.VEERG_3_2_1_1__3_FeedIntakeForGrazingBeef_NIRReference">_xlfn.LAMBDA("Minson and McDonald (1987)")</definedName>
    <definedName name="EntericMethane_PastureBeef_Equations.VEERG_3_2_1_1__3_FeedIntakeForGrazingBeef_Source">_xlfn.LAMBDA("VEERG 2026: 3.2.1.1, Equation (3)")</definedName>
    <definedName name="EntericMethane_PastureBeef_Equations.VEERG_3_2_1_1__3_FeedIntakeForGrazingBeef_Title">_xlfn.LAMBDA("Feed intake for grazing beef cattle")</definedName>
    <definedName name="EntericMethane_PastureBeef_Equations.VEERG_3_2_1_1__3_FeedIntakeForGrazingBeef_Unit">_xlfn.LAMBDA("kg DM/head/day")</definedName>
    <definedName name="EntericMethane_PastureBeef_Equations.VEERG_3_2_1_1__3_FeedIntakeForGrazingBeef_Variable">_xlfn.LAMBDA("I_jkl")</definedName>
    <definedName name="EntericMethane_PastureBeef_Equations.VEERG_3_2_1_1__4_AdditionalIntakeForMilkProduction">_xlfn.LAMBDA(_xlpm.LC_jk45,_xlpm.FA_jk45, (_xlpm.LC_jk45 * _xlpm.FA_jk45) + (1 - _xlpm.LC_jk45))</definedName>
    <definedName name="EntericMethane_PastureBeef_Equations.VEERG_3_2_1_1__4_AdditionalIntakeForMilkProduction_Arguments">_xlfn.LAMBDA(_xlfn.MAKEARRAY(3, 4, _xlfn.LAMBDA(_xlpm.r,_xlpm.c, INDEX({"LC_jk45","proportion of cows greater than 1 year in calf in the season of calving expressed as a fraction","fraction","Input";"FA_jk45","feed adjustment value for lactating cows in the season of calving and the season immediately after calving expressed as a fraction","fraction","Constant";"b","breed of cattle","","Input"}, _xlpm.r, _xlpm.c))))</definedName>
    <definedName name="EntericMethane_PastureBeef_Equations.VEERG_3_2_1_1__4_AdditionalIntakeForMilkProduction_ArgumentsVariation">_xlfn.LAMBDA(_xlfn.MAKEARRAY(4, 4, _xlfn.LAMBDA(_xlpm.r,_xlpm.c, INDEX({"LC_jk45","proportion of cows greater than 1 year in calf in the season of calving expressed as a fraction","fraction","Input";"FA_jk45calv","feed adjustment value for lactating cows in the season of calving expressed as a fraction","fraction","Constant";"FA_jk45after","feed adjustment value for lactating cows in the season immediately after calving expressed as a fraction","fraction","Constant";"b","breed of cattle","","Input"}, _xlpm.r, _xlpm.c))))</definedName>
    <definedName name="EntericMethane_PastureBeef_Equations.VEERG_3_2_1_1__4_AdditionalIntakeForMilkProduction_LatexEquation">_xlfn.LAMBDA("MA_{jk=4,5}=(LC_{jk=4,5}\times FA_{jk=4,5})+(1-LC_{jk=4,5})")</definedName>
    <definedName name="EntericMethane_PastureBeef_Equations.VEERG_3_2_1_1__4_AdditionalIntakeForMilkProduction_LatexEquationVariation">_xlfn.LAMBDA("MA_{jk=4,5}=((LC_{jk=4,5}\times FA_{jk=4,5,calv})+(LC_{jk=4,5}\times FA_{jk=4,5,after}))+(1-(LC_{jk=4,5}+LC_{jk=4,5}))")</definedName>
    <definedName name="EntericMethane_PastureBeef_Equations.VEERG_3_2_1_1__4_AdditionalIntakeForMilkProduction_NIRReference">_xlfn.LAMBDA("")</definedName>
    <definedName name="EntericMethane_PastureBeef_Equations.VEERG_3_2_1_1__4_AdditionalIntakeForMilkProduction_Source">_xlfn.LAMBDA("VEERG 2026: 3.2.1.1, Equation (4)")</definedName>
    <definedName name="EntericMethane_PastureBeef_Equations.VEERG_3_2_1_1__4_AdditionalIntakeForMilkProduction_Title">_xlfn.LAMBDA("Additional intake for milk production in the season of calving and the season after calving")</definedName>
    <definedName name="EntericMethane_PastureBeef_Equations.VEERG_3_2_1_1__4_AdditionalIntakeForMilkProduction_Unit">_xlfn.LAMBDA("fraction")</definedName>
    <definedName name="EntericMethane_PastureBeef_Equations.VEERG_3_2_1_1__4_AdditionalIntakeForMilkProduction_Variable">_xlfn.LAMBDA("MA_jk45")</definedName>
    <definedName name="EntericMethane_PastureBeef_Equations.VEERG_3_2_1_1__4_AdditionalIntakeForMilkProduction_Variation">_xlfn.LAMBDA("VARIATION ON SOURCE: Expanded equation to account for season after calving, rather than doing the same equation twice for both seasons")</definedName>
    <definedName name="EntericMethane_PastureBeef_Equations.VEERG_3_2_1_1__4_AdditionalIntakeForMilkProductionVariation">_xlfn.LAMBDA(_xlpm.LC_jk45,_xlpm.FA_jk45calv,_xlpm.FA_jk45after, ((_xlpm.LC_jk45 * _xlpm.FA_jk45calv) + (_xlpm.LC_jk45 * _xlpm.FA_jk45after)) + (1 - (_xlpm.LC_jk45 + _xlpm.LC_jk45)))</definedName>
    <definedName name="EntericMethane_Swine_Equations.VEERG_3_5_1_1__1_TotalAnnualMethaneFromEntericFermentation">_xlfn.LAMBDA(_xlpm.N_j,_xlpm.M_j,_xlpm.D_j, (_xlpm.N_j * _xlpm.M_j * _xlpm.D_j) * 10 ^ -3)</definedName>
    <definedName name="EntericMethane_Swine_Equations.VEERG_3_5_1_1__1_TotalAnnualMethaneFromEntericFermentation_Arguments">_xlfn.LAMBDA(_xlfn.MAKEARRAY(3, 4, _xlfn.LAMBDA(_xlpm.r,_xlpm.c, INDEX({"N_j","numbers of swine of each class","head","Input";"M_j","methane production","kg CH4/head/day","Calculated from 3.5.1.1, (2)";"D_j","the average number of days on farm for each swine class","days","Input"}, _xlpm.r, _xlpm.c))))</definedName>
    <definedName name="EntericMethane_Swine_Equations.VEERG_3_5_1_1__1_TotalAnnualMethaneFromEntericFermentation_LatexEquation">_xlfn.LAMBDA("E_{enteric}=\sum\nolimits_j(N_j\times M_j\times D_j)\times 10^{-3}")</definedName>
    <definedName name="EntericMethane_Swine_Equations.VEERG_3_5_1_1__1_TotalAnnualMethaneFromEntericFermentation_NIRReference">_xlfn.LAMBDA("")</definedName>
    <definedName name="EntericMethane_Swine_Equations.VEERG_3_5_1_1__1_TotalAnnualMethaneFromEntericFermentation_Source">_xlfn.LAMBDA("VEERG 2026: 3.5.1.1, Equation (1)")</definedName>
    <definedName name="EntericMethane_Swine_Equations.VEERG_3_5_1_1__1_TotalAnnualMethaneFromEntericFermentation_Title">_xlfn.LAMBDA("Total annual methane production from enteric fermentation in swine")</definedName>
    <definedName name="EntericMethane_Swine_Equations.VEERG_3_5_1_1__1_TotalAnnualMethaneFromEntericFermentation_Unit">_xlfn.LAMBDA("t CH4")</definedName>
    <definedName name="EntericMethane_Swine_Equations.VEERG_3_5_1_1__1_TotalAnnualMethaneFromEntericFermentation_Variable">_xlfn.LAMBDA("E_enteric")</definedName>
    <definedName name="EntericMethane_Swine_Equations.VEERG_3_5_1_1__2_DailyEntericMethaneProduction">_xlfn.LAMBDA(_xlpm.I_j,_xlpm.F, (_xlpm.I_j * 18.6 * 0.007) / _xlpm.F)</definedName>
    <definedName name="EntericMethane_Swine_Equations.VEERG_3_5_1_1__2_DailyEntericMethaneProduction_Arguments">_xlfn.LAMBDA(_xlfn.MAKEARRAY(4, 4, _xlfn.LAMBDA(_xlpm.r,_xlpm.c, INDEX({"I_j","daily feed ingested by each swine class","kg/head/day","Input";"18.6","gross energy (GE) content of feed","MJ GE/kg feed","Constant";"0.007","fraction of GE intake converted to methane by swine","fraction","Constant";"F","megajoules per kilogram of methane","MJ/kg CH4","Constant"}, _xlpm.r, _xlpm.c))))</definedName>
    <definedName name="EntericMethane_Swine_Equations.VEERG_3_5_1_1__2_DailyEntericMethaneProduction_LatexEquation">_xlfn.LAMBDA("M_j=\frac{I_j\times 18.6\times 0.007}{F}")</definedName>
    <definedName name="EntericMethane_Swine_Equations.VEERG_3_5_1_1__2_DailyEntericMethaneProduction_NIRReference">_xlfn.LAMBDA("")</definedName>
    <definedName name="EntericMethane_Swine_Equations.VEERG_3_5_1_1__2_DailyEntericMethaneProduction_Source">_xlfn.LAMBDA("VEERG 2026: 3.5.1.1, Equation (2)")</definedName>
    <definedName name="EntericMethane_Swine_Equations.VEERG_3_5_1_1__2_DailyEntericMethaneProduction_Title">_xlfn.LAMBDA("Total daily production of enteric methane of swine")</definedName>
    <definedName name="EntericMethane_Swine_Equations.VEERG_3_5_1_1__2_DailyEntericMethaneProduction_Unit">_xlfn.LAMBDA("kg CH4/head/day")</definedName>
    <definedName name="EntericMethane_Swine_Equations.VEERG_3_5_1_1__2_DailyEntericMethaneProduction_Variable">_xlfn.LAMBDA("M_j")</definedName>
    <definedName name="Fertiliser_Equations_AtmosphericDeposition.VEERG_5_4_1_1__1_AtmosphericDepositionInorganicFertiliser">_xlfn.LAMBDA(_xlpm.Mvolinorganicjf,_xlpm.EFadj,_xlpm.CgN2O, CommonAgSoils_Equations.AgSoils_AtmosphericDeposition(_xlpm.Mvolinorganicjf, _xlpm.EFadj, _xlpm.CgN2O))</definedName>
    <definedName name="Fertiliser_Equations_AtmosphericDeposition.VEERG_5_4_1_1__1_AtmosphericDepositionInorganicFertiliser_Arguments">_xlfn.LAMBDA(_xlfn.MAKEARRAY(6, 2, _xlfn.LAMBDA(_xlpm.r,_xlpm.c, INDEX({"Mvolinorganicjf","Mass of nitrogen volatised from inorganic fertiliser applied to soils: kg N";"EFadj","Emission factor for atmospheric deposition : kg N2O-N/kg N";"CgN2O","Factor to convert elemental mass of nitrous oxide to molecular mass : dimensionless";"j","Production system";"f","Inorganic fertiliser type";"GWPN2O","Global warming potential for nitrous oxide : t CO2-e / t N2O"}, _xlpm.r, _xlpm.c))))</definedName>
    <definedName name="Fertiliser_Equations_AtmosphericDeposition.VEERG_5_4_1_1__1_AtmosphericDepositionInorganicFertiliser_GWP">_xlfn.LAMBDA(_xlpm.EN2Oad,_xlpm.GWPN2O, CommonAgSoils_Equations.AgSoils_AtmosphericDeposition_GWP(_xlpm.EN2Oad, _xlpm.GWPN2O))</definedName>
    <definedName name="Fertiliser_Equations_AtmosphericDeposition.VEERG_5_4_1_1__1_AtmosphericDepositionInorganicFertiliser_NIRReference">_xlfn.LAMBDA(CommonAgSoils_Equations.AgSoils_AtmosphericDeposition_NIRReference())</definedName>
    <definedName name="Fertiliser_Equations_AtmosphericDeposition.VEERG_5_4_1_1__1_AtmosphericDepositionInorganicFertiliser_ReadableEquation">_xlfn.LAMBDA("Eadinorganic = Mvolinorganicjf * EFadj * CgN2O * 10 ^ - 3")</definedName>
    <definedName name="Fertiliser_Equations_AtmosphericDeposition.VEERG_5_4_1_1__1_AtmosphericDepositionInorganicFertiliser_Source">_xlfn.LAMBDA("VEERG 2026: 5.4.1.1, Equation (1)")</definedName>
    <definedName name="Fertiliser_Equations_AtmosphericDeposition.VEERG_5_4_1_1__1_AtmosphericDepositionInorganicFertiliser_Title">_xlfn.LAMBDA("Nitrous oxide emissions from atmospheric deposition from all inorganic fertiliser types f and all production systems j")</definedName>
    <definedName name="Fertiliser_Equations_AtmosphericDeposition.VEERG_5_4_1_1__1_AtmosphericDepositionInorganicFertiliser_Unit">_xlfn.LAMBDA("t N2O")</definedName>
    <definedName name="Fertiliser_Equations_AtmosphericDeposition.VEERG_5_4_1_1__1_AtmosphericDepositionInorganicFertiliser_Variable">_xlfn.LAMBDA("Eadinorganic")</definedName>
    <definedName name="Fertiliser_Equations_AtmosphericDeposition.VEERG_5_4_1_1__1_InorganicFertiliserAtmosphericDepositionN2OEmissions">_xlfn.LAMBDA(_xlpm.M_volinorganicjf,_xlpm.EF_N2Oj,_xlpm.C_N2O, (_xlpm.M_volinorganicjf * _xlpm.EF_N2Oj) * _xlpm.C_N2O * 10 ^ -3)</definedName>
    <definedName name="Fertiliser_Equations_AtmosphericDeposition.VEERG_5_4_1_1__1_InorganicFertiliserAtmosphericDepositionN2OEmissions_Arguments">_xlfn.LAMBDA(_xlfn.MAKEARRAY(6, 4, _xlfn.LAMBDA(_xlpm.r,_xlpm.c, INDEX({"M_volinorganicjf","mass of nitrogen volatilised from inorganic fertiliser applied to production system","kg N","Calculated from 5.4.1.1 (2)";"EF_N2Oj","emission factor for atmospheric deposition","kg N2O-N/kg N","Constant";"C_N2O","factor to convert elemental mass of nitrous oxide to molecular mass","","Constant";"j","Production system","","Input";"ir","irrigation method","","Input";"r","rainfall region","","Input"}, _xlpm.r, _xlpm.c))))</definedName>
    <definedName name="Fertiliser_Equations_AtmosphericDeposition.VEERG_5_4_1_1__1_InorganicFertiliserAtmosphericDepositionN2OEmissions_LatexEquation">_xlfn.LAMBDA("E_{ad,inorganic}=\sum\nolimits_{j}\sum\nolimits_{f}((M_{vol,inorganic,jf}\times EF_{N2O,j})\times C_{N2O}\times 10^{-3})")</definedName>
    <definedName name="Fertiliser_Equations_AtmosphericDeposition.VEERG_5_4_1_1__1_InorganicFertiliserAtmosphericDepositionN2OEmissions_NIRReference">_xlfn.LAMBDA("")</definedName>
    <definedName name="Fertiliser_Equations_AtmosphericDeposition.VEERG_5_4_1_1__1_InorganicFertiliserAtmosphericDepositionN2OEmissions_Source">_xlfn.LAMBDA("VEERG 2026: 5.4.1.1, Equation (1)")</definedName>
    <definedName name="Fertiliser_Equations_AtmosphericDeposition.VEERG_5_4_1_1__1_InorganicFertiliserAtmosphericDepositionN2OEmissions_Title">_xlfn.LAMBDA("Nitrous oxide emissions from atmospheric deposition from all inorganic fertiliser types f and all production systems j")</definedName>
    <definedName name="Fertiliser_Equations_AtmosphericDeposition.VEERG_5_4_1_1__1_InorganicFertiliserAtmosphericDepositionN2OEmissions_Unit">_xlfn.LAMBDA("t N2O")</definedName>
    <definedName name="Fertiliser_Equations_AtmosphericDeposition.VEERG_5_4_1_1__1_InorganicFertiliserAtmosphericDepositionN2OEmissions_Variable">_xlfn.LAMBDA("E_adinorganic")</definedName>
    <definedName name="Fertiliser_Equations_AtmosphericDeposition.VEERG_5_4_1_1__2_MassOfNitrogenVolatilisedFromInorganicFertiliser">_xlfn.LAMBDA(_xlpm.MN_jf,_xlpm.FracGASF_f, _xlpm.MN_jf * _xlpm.FracGASF_f)</definedName>
    <definedName name="Fertiliser_Equations_AtmosphericDeposition.VEERG_5_4_1_1__2_MassOfNitrogenVolatilisedFromInorganicFertiliser_Arguments">_xlfn.LAMBDA(_xlfn.MAKEARRAY(2, 4, _xlfn.LAMBDA(_xlpm.r,_xlpm.c, INDEX({"MN_jf","mass of nitrogen in inorganic fertiliser applied","kg N","Calculated from 5.1.1.1 (2)";"FracGASF_f","fraction of inorganic fertiliser that volatilises","(kg NH3-N + NOx-N)/kg N","Constant"}, _xlpm.r, _xlpm.c))))</definedName>
    <definedName name="Fertiliser_Equations_AtmosphericDeposition.VEERG_5_4_1_1__2_MassOfNitrogenVolatilisedFromInorganicFertiliser_LatexEquation">_xlfn.LAMBDA("M_{vol,inorganic,jf}={MN}_{jf}\times FracGASF_{f}")</definedName>
    <definedName name="Fertiliser_Equations_AtmosphericDeposition.VEERG_5_4_1_1__2_MassOfNitrogenVolatilisedFromInorganicFertiliser_NIRReference">_xlfn.LAMBDA("")</definedName>
    <definedName name="Fertiliser_Equations_AtmosphericDeposition.VEERG_5_4_1_1__2_MassOfNitrogenVolatilisedFromInorganicFertiliser_Source">_xlfn.LAMBDA("VEERG 2026: 5.4.1.1, Equation (2)")</definedName>
    <definedName name="Fertiliser_Equations_AtmosphericDeposition.VEERG_5_4_1_1__2_MassOfNitrogenVolatilisedFromInorganicFertiliser_Title">_xlfn.LAMBDA("Mass of nitrogen volatilised from inorganic fertiliser applied to production system")</definedName>
    <definedName name="Fertiliser_Equations_AtmosphericDeposition.VEERG_5_4_1_1__2_MassOfNitrogenVolatilisedFromInorganicFertiliser_Unit">_xlfn.LAMBDA("kg N")</definedName>
    <definedName name="Fertiliser_Equations_AtmosphericDeposition.VEERG_5_4_1_1__2_MassOfNitrogenVolatilisedFromInorganicFertiliser_Variable">_xlfn.LAMBDA("M_volinorganicjf")</definedName>
    <definedName name="Fertiliser_Equations_AtmosphericDeposition.VEERG_5_4_1_1__2_MassVolatilisedInorganicFertiliser">_xlfn.LAMBDA(_xlpm.MNjf,_xlpm.FracGASFf, CommonAgSoils_Equations.Agsoils_MassVolatilisedInorganicFertiliser(_xlpm.MNjf, _xlpm.FracGASFf))</definedName>
    <definedName name="Fertiliser_Equations_AtmosphericDeposition.VEERG_5_4_1_1__2_MassVolatilisedInorganicFertiliser_Arguments">_xlfn.LAMBDA(_xlfn.MAKEARRAY(2, 2, _xlfn.LAMBDA(_xlpm.r,_xlpm.c, INDEX({"MNjf","Mass of nitrogen in inorganic fertiliser applied : kg N";"FracGASFf","Fraction of inorganic fertiliser that volatilises : (kg NH3-N + NOx-N)/kg N"}, _xlpm.r, _xlpm.c))))</definedName>
    <definedName name="Fertiliser_Equations_AtmosphericDeposition.VEERG_5_4_1_1__2_MassVolatilisedInorganicFertiliser_NIRReference">_xlfn.LAMBDA(CommonAgSoils_Equations.Agsoils_MassVolatilisedInorganicFertiliser_NIRReference())</definedName>
    <definedName name="Fertiliser_Equations_AtmosphericDeposition.VEERG_5_4_1_1__2_MassVolatilisedInorganicFertiliser_ReadableEquation">_xlfn.LAMBDA("Mvolinorganicjf = MNjf * FracGASFf")</definedName>
    <definedName name="Fertiliser_Equations_AtmosphericDeposition.VEERG_5_4_1_1__2_MassVolatilisedInorganicFertiliser_Source">_xlfn.LAMBDA("VEERG 2026: 5.4.1.1, Equation (2)")</definedName>
    <definedName name="Fertiliser_Equations_AtmosphericDeposition.VEERG_5_4_1_1__2_MassVolatilisedInorganicFertiliser_Title">_xlfn.LAMBDA("Mass of nitrogen volatilised from inorganic fertiliser")</definedName>
    <definedName name="Fertiliser_Equations_AtmosphericDeposition.VEERG_5_4_1_1__2_MassVolatilisedInorganicFertiliser_Unit">_xlfn.LAMBDA("kg N")</definedName>
    <definedName name="Fertiliser_Equations_AtmosphericDeposition.VEERG_5_4_1_1__2_MassVolatilisedInorganicFertiliser_Variable">_xlfn.LAMBDA("Mvolinorganicjf")</definedName>
    <definedName name="Fertiliser_Equations_AtmosphericDeposition.VEERG_5_4_1_3__1_OrganicFertiliserAtmosphericDepositionN2OEmissions">_xlfn.LAMBDA(_xlpm.M_volorganicjf,_xlpm.EF_N2Oj,_xlpm.C_N2O, (_xlpm.M_volorganicjf * _xlpm.EF_N2Oj) * _xlpm.C_N2O * 10 ^ -3)</definedName>
    <definedName name="Fertiliser_Equations_AtmosphericDeposition.VEERG_5_4_1_3__1_OrganicFertiliserAtmosphericDepositionN2OEmissions_Arguments">_xlfn.LAMBDA(_xlfn.MAKEARRAY(6, 4, _xlfn.LAMBDA(_xlpm.r,_xlpm.c, INDEX({"M_volorganicjf","mass of nitrogen volatilised from organic fertiliser applied to production system","kg N","Calculated from 5.4.1.3 (2)";"EF_N2Oj","emission factor for atmospheric deposition in production system j","kg N2O-N/kg N","Constant";"C_N2O","factor to convert elemental mass of nitrous oxide to molecular mass","","Constant";"j","Production system","","Input";"ir","irrigation method","","Input";"r","rainfall region","","Input"}, _xlpm.r, _xlpm.c))))</definedName>
    <definedName name="Fertiliser_Equations_AtmosphericDeposition.VEERG_5_4_1_3__1_OrganicFertiliserAtmosphericDepositionN2OEmissions_LatexEquation">_xlfn.LAMBDA("E_{ad,organic}=\sum\nolimits_{j}\sum\nolimits_{f}((M_{vol,organic,jf}\times EF_{N2O,j})\times C_{N2O}\times 10^{-3})")</definedName>
    <definedName name="Fertiliser_Equations_AtmosphericDeposition.VEERG_5_4_1_3__1_OrganicFertiliserAtmosphericDepositionN2OEmissions_NIRReference">_xlfn.LAMBDA("")</definedName>
    <definedName name="Fertiliser_Equations_AtmosphericDeposition.VEERG_5_4_1_3__1_OrganicFertiliserAtmosphericDepositionN2OEmissions_Source">_xlfn.LAMBDA("VEERG 2026: 5.4.1.3, Equation (1)")</definedName>
    <definedName name="Fertiliser_Equations_AtmosphericDeposition.VEERG_5_4_1_3__1_OrganicFertiliserAtmosphericDepositionN2OEmissions_Title">_xlfn.LAMBDA("Nitrous oxide emissions from atmospheric deposition of all organic fertiliser types f and all production systems j")</definedName>
    <definedName name="Fertiliser_Equations_AtmosphericDeposition.VEERG_5_4_1_3__1_OrganicFertiliserAtmosphericDepositionN2OEmissions_Unit">_xlfn.LAMBDA("t N2O")</definedName>
    <definedName name="Fertiliser_Equations_AtmosphericDeposition.VEERG_5_4_1_3__1_OrganicFertiliserAtmosphericDepositionN2OEmissions_Variable">_xlfn.LAMBDA("E_adorganic")</definedName>
    <definedName name="Fertiliser_Equations_AtmosphericDeposition.VEERG_5_4_1_3__2_MassOfNitrogenVolatilisedFromOrganicFertiliser">_xlfn.LAMBDA(_xlpm.MNSoil_jf,_xlpm.FracGASM_soil, _xlpm.MNSoil_jf * _xlpm.FracGASM_soil)</definedName>
    <definedName name="Fertiliser_Equations_AtmosphericDeposition.VEERG_5_4_1_3__2_MassOfNitrogenVolatilisedFromOrganicFertiliser_Arguments">_xlfn.LAMBDA(_xlfn.MAKEARRAY(2, 4, _xlfn.LAMBDA(_xlpm.r,_xlpm.c, INDEX({"MNSoil_jf","mass of nitrogen in organic fertiliser type f applied to production system j","kg N","Calculated from 5.2.1.1 (2)";"FracGASM_soil","fraction of organic fertiliser N that volatilises","(kg NH3-N + NOx-N)/kg N","Constant"}, _xlpm.r, _xlpm.c))))</definedName>
    <definedName name="Fertiliser_Equations_AtmosphericDeposition.VEERG_5_4_1_3__2_MassOfNitrogenVolatilisedFromOrganicFertiliser_LatexEquation">_xlfn.LAMBDA("M_{vol,organic,jf}=MNSoil_{jf}\times FracGASM_{soil}")</definedName>
    <definedName name="Fertiliser_Equations_AtmosphericDeposition.VEERG_5_4_1_3__2_MassOfNitrogenVolatilisedFromOrganicFertiliser_NIRReference">_xlfn.LAMBDA("")</definedName>
    <definedName name="Fertiliser_Equations_AtmosphericDeposition.VEERG_5_4_1_3__2_MassOfNitrogenVolatilisedFromOrganicFertiliser_Source">_xlfn.LAMBDA("VEERG 2026: 5.4.1.3, Equation (2)")</definedName>
    <definedName name="Fertiliser_Equations_AtmosphericDeposition.VEERG_5_4_1_3__2_MassOfNitrogenVolatilisedFromOrganicFertiliser_Title">_xlfn.LAMBDA("Mass of nitrogen volatilised from organic fertiliser applied to production system")</definedName>
    <definedName name="Fertiliser_Equations_AtmosphericDeposition.VEERG_5_4_1_3__2_MassOfNitrogenVolatilisedFromOrganicFertiliser_Unit">_xlfn.LAMBDA("kg N")</definedName>
    <definedName name="Fertiliser_Equations_AtmosphericDeposition.VEERG_5_4_1_3__2_MassOfNitrogenVolatilisedFromOrganicFertiliser_Variable">_xlfn.LAMBDA("M_volorganicjf")</definedName>
    <definedName name="Fertiliser_Equations_Inorganic.VEERG_5_1_1_1__1_InorganicFertiliserApplication">_xlfn.LAMBDA(_xlpm.MNjf,_xlpm.EFjN2O,_xlpm.CgN2O, _xlpm.MNjf * _xlpm.EFjN2O * _xlpm.CgN2O * 10 ^ -3)</definedName>
    <definedName name="Fertiliser_Equations_Inorganic.VEERG_5_1_1_1__1_InorganicFertiliserApplication_Arguments">_xlfn.LAMBDA(_xlfn.MAKEARRAY(6, 2, _xlfn.LAMBDA(_xlpm.r,_xlpm.c, INDEX({"MNjf","Mass of nitrogen in inorganic fertiliser type f applied to soils in production system j : kg N";"EFjN2O","Emission factor for nitrous oxide for inorganic fertilisers : kg N2O-N/kg N applied";"CgN2O","Factor to convert elemental mass of nitrous oxide to molecular mass : dimensionless";"j","Production system";"f","Inorganic fertiliser type";"GWPN2O","Global warming potential for nitrous oxide : t CO2-e / t N2O"}, _xlpm.r, _xlpm.c))))</definedName>
    <definedName name="Fertiliser_Equations_Inorganic.VEERG_5_1_1_1__1_InorganicFertiliserApplication_GWP">_xlfn.LAMBDA(_xlpm.EN2O,_xlpm.GWPN2O, (_xlpm.EN2O * _xlpm.GWPN2O))</definedName>
    <definedName name="Fertiliser_Equations_Inorganic.VEERG_5_1_1_1__1_InorganicFertiliserApplication_NIRReference">_xlfn.LAMBDA("National Inventory Report Volume 1, 2023: Equation 3.D.A_2")</definedName>
    <definedName name="Fertiliser_Equations_Inorganic.VEERG_5_1_1_1__1_InorganicFertiliserApplication_ReadableEquation">_xlfn.LAMBDA("EN2O = MNjf * EFjN2O * CgN2O * 10 ^ - 3")</definedName>
    <definedName name="Fertiliser_Equations_Inorganic.VEERG_5_1_1_1__1_InorganicFertiliserApplication_Source">_xlfn.LAMBDA("VEERG 2026: 5.1.1.1, Equation (1)")</definedName>
    <definedName name="Fertiliser_Equations_Inorganic.VEERG_5_1_1_1__1_InorganicFertiliserApplication_Title">_xlfn.LAMBDA("Nitrous oxide emissions from the application of all inorganic fertiliser types f to all production systems")</definedName>
    <definedName name="Fertiliser_Equations_Inorganic.VEERG_5_1_1_1__1_InorganicFertiliserApplication_Unit">_xlfn.LAMBDA("t CO2-e")</definedName>
    <definedName name="Fertiliser_Equations_Inorganic.VEERG_5_1_1_1__1_InorganicFertiliserApplication_Variable">_xlfn.LAMBDA("EN2O")</definedName>
    <definedName name="Fertiliser_Equations_Inorganic.VEERG_5_1_1_1__2_MassOfNitrogenInInorganicFertiliser">_xlfn.LAMBDA(_xlpm.TMjf,_xlpm.FNinorganicf, _xlpm.TMjf * _xlpm.FNinorganicf)</definedName>
    <definedName name="Fertiliser_Equations_Inorganic.VEERG_5_1_1_1__2_MassOfNitrogenInInorganicFertiliser_Arguments">_xlfn.LAMBDA(_xlfn.MAKEARRAY(5, 2, _xlfn.LAMBDA(_xlpm.r,_xlpm.c, INDEX({"TMjf","Total mass of inorganic fertiliser type f applied to production system j : kg";"FNinorganicf","Fraction of nitrogen in inorganic fertiliser type f : kg N/kg";"j","Production system";"inorganic","Inorganic fertiliser";"f","Fertiliser type"}, _xlpm.r, _xlpm.c))))</definedName>
    <definedName name="Fertiliser_Equations_Inorganic.VEERG_5_1_1_1__2_MassOfNitrogenInInorganicFertiliser_NIRReference">_xlfn.LAMBDA("National Inventory Report Volume 1, 2023: Equation 3.D.A_1")</definedName>
    <definedName name="Fertiliser_Equations_Inorganic.VEERG_5_1_1_1__2_MassOfNitrogenInInorganicFertiliser_ReadableEquation">_xlfn.LAMBDA("MNjf = TMjf * FNinorganicf")</definedName>
    <definedName name="Fertiliser_Equations_Inorganic.VEERG_5_1_1_1__2_MassOfNitrogenInInorganicFertiliser_Source">_xlfn.LAMBDA("VEERG 2026: 5.1.1.1, Equation (2)")</definedName>
    <definedName name="Fertiliser_Equations_Inorganic.VEERG_5_1_1_1__2_MassOfNitrogenInInorganicFertiliser_Title">_xlfn.LAMBDA("Mass of nitrogen in inorganic fertiliser applied to soil")</definedName>
    <definedName name="Fertiliser_Equations_Inorganic.VEERG_5_1_1_1__2_MassOfNitrogenInInorganicFertiliser_Unit">_xlfn.LAMBDA("kg N")</definedName>
    <definedName name="Fertiliser_Equations_Inorganic.VEERG_5_1_1_1__2_MassOfNitrogenInInorganicFertiliser_Variable">_xlfn.LAMBDA("MNjf")</definedName>
    <definedName name="Fertiliser_Equations_Inorganic.VEERG_5_1_1_3__1_UreaFertiliserApplication">_xlfn.LAMBDA(_xlpm.MUjf,_xlpm.EFureaCO2,_xlpm.CgCO2, _xlpm.MUjf * _xlpm.EFureaCO2 * _xlpm.CgCO2 * 10 ^ -3)</definedName>
    <definedName name="Fertiliser_Equations_Inorganic.VEERG_5_1_1_3__1_UreaFertiliserApplication_Arguments">_xlfn.LAMBDA(_xlfn.MAKEARRAY(5, 2, _xlfn.LAMBDA(_xlpm.r,_xlpm.c, INDEX({"MUjf","Mass of urea of inorganic fertiliser type f applied to production system j : kg urea";"EFureaCO2","Emission factor for carbon emissions from urea-based fertilisers : kg C/kg urea";"CgCO2","Factor to convert elemental mass of carbon dioxide to molecular mass : dimensionless";"j","Production system";"f","Fertiliser type"}, _xlpm.r, _xlpm.c))))</definedName>
    <definedName name="Fertiliser_Equations_Inorganic.VEERG_5_1_1_3__1_UreaFertiliserApplication_LatexEquation">_xlfn.LAMBDA("E_{jf,CO2}={MU}_{jf}\times EF_{urea,CO2}\ \times\ C_{g,CO2}\times{10}^{-3}")</definedName>
    <definedName name="Fertiliser_Equations_Inorganic.VEERG_5_1_1_3__1_UreaFertiliserApplication_NIRReference">_xlfn.LAMBDA("National Inventory Report Volume 1, 2023: Equation 3.H_1")</definedName>
    <definedName name="Fertiliser_Equations_Inorganic.VEERG_5_1_1_3__1_UreaFertiliserApplication_ReadableEquation">_xlfn.LAMBDA("EjfCO2 = MUjf x EFureaCO2 x CgCO2 x 10^-3")</definedName>
    <definedName name="Fertiliser_Equations_Inorganic.VEERG_5_1_1_3__1_UreaFertiliserApplication_Source">_xlfn.LAMBDA("VEERG 2026: 5.1.1.3, Equation (1)")</definedName>
    <definedName name="Fertiliser_Equations_Inorganic.VEERG_5_1_1_3__1_UreaFertiliserApplication_Title">_xlfn.LAMBDA("Carbon dioxide emissions resulting from the use of inorganic, urea-based fertilisers")</definedName>
    <definedName name="Fertiliser_Equations_Inorganic.VEERG_5_1_1_3__1_UreaFertiliserApplication_Unit">_xlfn.LAMBDA("t CO2")</definedName>
    <definedName name="Fertiliser_Equations_Inorganic.VEERG_5_1_1_3__1_UreaFertiliserApplication_Variable">_xlfn.LAMBDA("EjfCO2")</definedName>
    <definedName name="Fertiliser_Equations_Inorganic.VEERG_5_1_1_3__2_MassOfUreaAppliedToSoils">_xlfn.LAMBDA(_xlpm.TMjf,_xlpm.FUf, _xlpm.TMjf * _xlpm.FUf)</definedName>
    <definedName name="Fertiliser_Equations_Inorganic.VEERG_5_1_1_3__2_MassOfUreaAppliedToSoils_Arguments">_xlfn.LAMBDA(_xlfn.MAKEARRAY(4, 2, _xlfn.LAMBDA(_xlpm.r,_xlpm.c, INDEX({"TMjf","the total mass of inorganic fertiliser type f applied to production system j : kg";"FUf","the fraction of urea in fertiliser type f : kg urea/kg";"j","Production system";"f","Fertiliser type"}, _xlpm.r, _xlpm.c))))</definedName>
    <definedName name="Fertiliser_Equations_Inorganic.VEERG_5_1_1_3__2_MassOfUreaAppliedToSoils_NIRReference">_xlfn.LAMBDA("")</definedName>
    <definedName name="Fertiliser_Equations_Inorganic.VEERG_5_1_1_3__2_MassOfUreaAppliedToSoils_ReadableEquation">_xlfn.LAMBDA("MUjf = TMjf × FUf")</definedName>
    <definedName name="Fertiliser_Equations_Inorganic.VEERG_5_1_1_3__2_MassOfUreaAppliedToSoils_Source">_xlfn.LAMBDA("VEERG 2026: 5.1.1.3, Equation (2)")</definedName>
    <definedName name="Fertiliser_Equations_Inorganic.VEERG_5_1_1_3__2_MassOfUreaAppliedToSoils_Title">_xlfn.LAMBDA("Mass of urea applied to soils")</definedName>
    <definedName name="Fertiliser_Equations_Inorganic.VEERG_5_1_1_3__2_MassOfUreaAppliedToSoils_Unit">_xlfn.LAMBDA("kg urea")</definedName>
    <definedName name="Fertiliser_Equations_Inorganic.VEERG_5_1_1_3__2_MassOfUreaAppliedToSoils_Variable">_xlfn.LAMBDA("MUjf")</definedName>
    <definedName name="Fertiliser_Equations_InorganicCO2.VEERG_5_1_1_3__1_InorganicFertiliserApplicationCO2Emissions">_xlfn.LAMBDA(_xlpm.MU_jf,_xlpm.EF_ureaCO2,_xlpm.C_CO2, (_xlpm.MU_jf * _xlpm.EF_ureaCO2 * _xlpm.C_CO2) * 10 ^ -3)</definedName>
    <definedName name="Fertiliser_Equations_InorganicCO2.VEERG_5_1_1_3__1_InorganicFertiliserApplicationCO2Emissions_Arguments">_xlfn.LAMBDA(_xlfn.MAKEARRAY(5, 4, _xlfn.LAMBDA(_xlpm.r,_xlpm.c, INDEX({"MU_jf","mass of urea of inorganic fertiliser type f applied to production system j","kg urea","Calculated";"EF_ureaCO2","emission factor for carbon emissions from urea-based fertilisers","kg C/kg urea","Constant";"C_CO2","factor to convert elemental mass of carbon to molecular mass of carbon dioxide","","Constant";"j","Production system","","Input";"f","Inorganic fertiliser type","","Lookup"}, _xlpm.r, _xlpm.c))))</definedName>
    <definedName name="Fertiliser_Equations_InorganicCO2.VEERG_5_1_1_3__1_InorganicFertiliserApplicationCO2Emissions_LatexEquation">_xlfn.LAMBDA("E_{CO2}=\sum_{j}\sum_{f}((MU_{jf}\times EF_{urea,CO2}\times C_{CO2})\times 10^{-3})")</definedName>
    <definedName name="Fertiliser_Equations_InorganicCO2.VEERG_5_1_1_3__1_InorganicFertiliserApplicationCO2Emissions_NIRReference">_xlfn.LAMBDA("")</definedName>
    <definedName name="Fertiliser_Equations_InorganicCO2.VEERG_5_1_1_3__1_InorganicFertiliserApplicationCO2Emissions_Source">_xlfn.LAMBDA("VEERG 2026: 5.1.1.3, Equation (1)")</definedName>
    <definedName name="Fertiliser_Equations_InorganicCO2.VEERG_5_1_1_3__1_InorganicFertiliserApplicationCO2Emissions_Title">_xlfn.LAMBDA("Carbon dioxide emissions resulting from the use of all inorganic, urea-based fertilisers")</definedName>
    <definedName name="Fertiliser_Equations_InorganicCO2.VEERG_5_1_1_3__1_InorganicFertiliserApplicationCO2Emissions_Unit">_xlfn.LAMBDA("t CO2")</definedName>
    <definedName name="Fertiliser_Equations_InorganicCO2.VEERG_5_1_1_3__1_InorganicFertiliserApplicationCO2Emissions_Variable">_xlfn.LAMBDA("E_CO2")</definedName>
    <definedName name="Fertiliser_Equations_InorganicCO2.VEERG_5_1_1_3__2_MassOfUreaInInorganicFertiliser">_xlfn.LAMBDA(_xlpm.TM_jf,_xlpm.FU_f, _xlpm.TM_jf * _xlpm.FU_f)</definedName>
    <definedName name="Fertiliser_Equations_InorganicCO2.VEERG_5_1_1_3__2_MassOfUreaInInorganicFertiliser_Arguments">_xlfn.LAMBDA(_xlfn.MAKEARRAY(2, 4, _xlfn.LAMBDA(_xlpm.r,_xlpm.c, INDEX({"TM_jf","total mass of inorganic fertiliser type f applied to production system j","kg","Input";"FU_f","fraction of urea in fertiliser type f","kg urea/kg","Lookup"}, _xlpm.r, _xlpm.c))))</definedName>
    <definedName name="Fertiliser_Equations_InorganicCO2.VEERG_5_1_1_3__2_MassOfUreaInInorganicFertiliser_LatexEquation">_xlfn.LAMBDA("{MU}_{jf}=TM_{jf}\times FU_f")</definedName>
    <definedName name="Fertiliser_Equations_InorganicCO2.VEERG_5_1_1_3__2_MassOfUreaInInorganicFertiliser_NIRReference">_xlfn.LAMBDA("")</definedName>
    <definedName name="Fertiliser_Equations_InorganicCO2.VEERG_5_1_1_3__2_MassOfUreaInInorganicFertiliser_Source">_xlfn.LAMBDA("VEERG 2026: 5.1.1.3, Equation (2)")</definedName>
    <definedName name="Fertiliser_Equations_InorganicCO2.VEERG_5_1_1_3__2_MassOfUreaInInorganicFertiliser_Title">_xlfn.LAMBDA("Mass of urea applied to production system")</definedName>
    <definedName name="Fertiliser_Equations_InorganicCO2.VEERG_5_1_1_3__2_MassOfUreaInInorganicFertiliser_Unit">_xlfn.LAMBDA("kg urea")</definedName>
    <definedName name="Fertiliser_Equations_InorganicCO2.VEERG_5_1_1_3__2_MassOfUreaInInorganicFertiliser_Variable">_xlfn.LAMBDA("MU_jf")</definedName>
    <definedName name="Fertiliser_Equations_InorganicN2O.VEERG_5_1_1_1__1_InorganicFertiliserApplicationN2OEmissions">_xlfn.LAMBDA(_xlpm.MN_jf,_xlpm.EF_jN2O,_xlpm.C_N2O, (_xlpm.MN_jf * _xlpm.EF_jN2O * _xlpm.C_N2O) * 10 ^ -3)</definedName>
    <definedName name="Fertiliser_Equations_InorganicN2O.VEERG_5_1_1_1__1_InorganicFertiliserApplicationN2OEmissions_Arguments">_xlfn.LAMBDA(_xlfn.MAKEARRAY(7, 4, _xlfn.LAMBDA(_xlpm.r,_xlpm.c, INDEX({"MN_jf","mass of nitrogen in inorganic fertiliser type f applied to production system j","kg N","Calculated from 5.1.1.1 (2)";"EF_jN2O","emission factor for nitrous oxide for inorganic fertilisers","kg N2O-N/kg N applied","Constant";"C_N2O","factor to convert elemental mass of nitrous oxide to molecular mass","","Constant";"j","Production system","","Input";"f","Inorganic fertiliser type","","Constant";"ir","irrigation method","","Input";"z","rainfall zone","","Input"}, _xlpm.r, _xlpm.c))))</definedName>
    <definedName name="Fertiliser_Equations_InorganicN2O.VEERG_5_1_1_1__1_InorganicFertiliserApplicationN2OEmissions_Arguments_Method2">_xlfn.LAMBDA(_xlfn.MAKEARRAY(8, 4, _xlfn.LAMBDA(_xlpm.r,_xlpm.c, INDEX({"MN_jf","mass of nitrogen in inorganic fertiliser type f applied to production system j","kg N","Calculated from 5.1.1.1 (2)";"EF_jN2O","emission factor for nitrous oxide for inorganic fertilisers","kg N2O-N/kg N applied","Calculated from 5.1.1.2 (1)(2)(3)";"C_N2O","factor to convert elemental mass of nitrous oxide to molecular mass","","Constant";"j","Production system","","Input";"c","Crop type","","Input";"f","Inorganic fertiliser type","","Constant";"ir","irrigation method","","Input";"z","rainfall zone","","Input"}, _xlpm.r, _xlpm.c))))</definedName>
    <definedName name="Fertiliser_Equations_InorganicN2O.VEERG_5_1_1_1__1_InorganicFertiliserApplicationN2OEmissions_LatexEquation">_xlfn.LAMBDA("E_{N2O}=\sum_{j}\sum_{f}((MN_{jf}\times EF_{j,N2O}\times C_{N2O})\times 10^{-3})")</definedName>
    <definedName name="Fertiliser_Equations_InorganicN2O.VEERG_5_1_1_1__1_InorganicFertiliserApplicationN2OEmissions_NIRReference">_xlfn.LAMBDA("")</definedName>
    <definedName name="Fertiliser_Equations_InorganicN2O.VEERG_5_1_1_1__1_InorganicFertiliserApplicationN2OEmissions_Source">_xlfn.LAMBDA("VEERG 2026: 5.1.1.1, Equation (1)")</definedName>
    <definedName name="Fertiliser_Equations_InorganicN2O.VEERG_5_1_1_1__1_InorganicFertiliserApplicationN2OEmissions_Title">_xlfn.LAMBDA("Nitrous oxide emissions from the application of all inorganic fertiliser types f to all production systems j")</definedName>
    <definedName name="Fertiliser_Equations_InorganicN2O.VEERG_5_1_1_1__1_InorganicFertiliserApplicationN2OEmissions_Unit">_xlfn.LAMBDA("t N2O")</definedName>
    <definedName name="Fertiliser_Equations_InorganicN2O.VEERG_5_1_1_1__1_InorganicFertiliserApplicationN2OEmissions_Variable">_xlfn.LAMBDA("E_N2O")</definedName>
    <definedName name="Fertiliser_Equations_InorganicN2O.VEERG_5_1_1_1__2_MassOfNitrogenInInorganicFertiliser">_xlfn.LAMBDA(_xlpm.TM_jf,_xlpm.FN_inorganicf, _xlpm.TM_jf * _xlpm.FN_inorganicf)</definedName>
    <definedName name="Fertiliser_Equations_InorganicN2O.VEERG_5_1_1_1__2_MassOfNitrogenInInorganicFertiliser_Arguments">_xlfn.LAMBDA(_xlfn.MAKEARRAY(2, 4, _xlfn.LAMBDA(_xlpm.r,_xlpm.c, INDEX({"TM_jf","total mass of inorganic fertiliser type f applied to production system j","kg","Input";"FN_inorganicf","fraction of nitrogen in inorganic fertiliser type f ","kg N/kg","Constant"}, _xlpm.r, _xlpm.c))))</definedName>
    <definedName name="Fertiliser_Equations_InorganicN2O.VEERG_5_1_1_1__2_MassOfNitrogenInInorganicFertiliser_LatexEquation">_xlfn.LAMBDA("{MN}_{jf}=TM_{jf}\times FN_{inorganic,f}")</definedName>
    <definedName name="Fertiliser_Equations_InorganicN2O.VEERG_5_1_1_1__2_MassOfNitrogenInInorganicFertiliser_NIRReference">_xlfn.LAMBDA("")</definedName>
    <definedName name="Fertiliser_Equations_InorganicN2O.VEERG_5_1_1_1__2_MassOfNitrogenInInorganicFertiliser_Source">_xlfn.LAMBDA("VEERG 2026: 5.1.1.1, Equation (2)")</definedName>
    <definedName name="Fertiliser_Equations_InorganicN2O.VEERG_5_1_1_1__2_MassOfNitrogenInInorganicFertiliser_Title">_xlfn.LAMBDA("Mass of nitrogen in inorganic fertiliser applied to production system")</definedName>
    <definedName name="Fertiliser_Equations_InorganicN2O.VEERG_5_1_1_1__2_MassOfNitrogenInInorganicFertiliser_Unit">_xlfn.LAMBDA("kg N")</definedName>
    <definedName name="Fertiliser_Equations_InorganicN2O.VEERG_5_1_1_1__2_MassOfNitrogenInInorganicFertiliser_Variable">_xlfn.LAMBDA("MN_jf")</definedName>
    <definedName name="Fertiliser_Equations_InorganicN2O.VEERG_5_1_1_2__1_EmissionFactorIrrigatedMaize">_xlfn.LAMBDA(_xlpm.N_fjIrrigatedMaize, (-0.1474 + (0.0061 * _xlpm.N_fjIrrigatedMaize)) * 10 ^ -2)</definedName>
    <definedName name="Fertiliser_Equations_InorganicN2O.VEERG_5_1_1_2__1_EmissionFactorIrrigatedMaize_Arguments">_xlfn.LAMBDA(_xlfn.MAKEARRAY(2, 4, _xlfn.LAMBDA(_xlpm.r,_xlpm.c, INDEX({"N_fjIrrigatedMaize","application rate of inorganic fertiliser type f in the irrigated maize crop","kg N/ha","Input";"f","Inorganic fertiliser type","","Constant"}, _xlpm.r, _xlpm.c))))</definedName>
    <definedName name="Fertiliser_Equations_InorganicN2O.VEERG_5_1_1_2__1_EmissionFactorIrrigatedMaize_LatexEquation">_xlfn.LAMBDA("EF_{fj=irrigatedmaize,N2O}=(-0.1474+(0.0061\times N_{fj=irrigatedmaize}))\times 10^{-2}")</definedName>
    <definedName name="Fertiliser_Equations_InorganicN2O.VEERG_5_1_1_2__1_EmissionFactorIrrigatedMaize_NIRReference">_xlfn.LAMBDA("")</definedName>
    <definedName name="Fertiliser_Equations_InorganicN2O.VEERG_5_1_1_2__1_EmissionFactorIrrigatedMaize_Source">_xlfn.LAMBDA("VEERG 2026: 5.1.1.2, Equation (1)")</definedName>
    <definedName name="Fertiliser_Equations_InorganicN2O.VEERG_5_1_1_2__1_EmissionFactorIrrigatedMaize_Title">_xlfn.LAMBDA("Emission factor for nitrous oxide for irrigated maize")</definedName>
    <definedName name="Fertiliser_Equations_InorganicN2O.VEERG_5_1_1_2__1_EmissionFactorIrrigatedMaize_Unit">_xlfn.LAMBDA("kg N2O-N/kg N applied")</definedName>
    <definedName name="Fertiliser_Equations_InorganicN2O.VEERG_5_1_1_2__1_EmissionFactorIrrigatedMaize_Variable">_xlfn.LAMBDA("EF_fjIrrigatedMaizeN2O")</definedName>
    <definedName name="Fertiliser_Equations_InorganicN2O.VEERG_5_1_1_2__2_EmissionFactorNonIrrigatedGrainsHighRainfall">_xlfn.LAMBDA(_xlpm.N_fjNonIrrigatedGrains, (0.0781 + (0.0075 * _xlpm.N_fjNonIrrigatedGrains)) * 10 ^ -2)</definedName>
    <definedName name="Fertiliser_Equations_InorganicN2O.VEERG_5_1_1_2__2_EmissionFactorNonIrrigatedGrainsHighRainfall_Arguments">_xlfn.LAMBDA(_xlfn.MAKEARRAY(2, 4, _xlfn.LAMBDA(_xlpm.r,_xlpm.c, INDEX({"N_fjNonIrrigatedGrains","application rate of inorganic fertiliser type f in the grains crop","kg N/ha","Input";"f","Inorganic fertiliser type","","Constant"}, _xlpm.r, _xlpm.c))))</definedName>
    <definedName name="Fertiliser_Equations_InorganicN2O.VEERG_5_1_1_2__2_EmissionFactorNonIrrigatedGrainsHighRainfall_LatexEquation">_xlfn.LAMBDA("EF_{fj=nonirrigatedgrains,N2O}=(0.0781+(0.0075\times N_{fj=nonirrigatedgrains}))\times 10^{-2}")</definedName>
    <definedName name="Fertiliser_Equations_InorganicN2O.VEERG_5_1_1_2__2_EmissionFactorNonIrrigatedGrainsHighRainfall_NIRReference">_xlfn.LAMBDA("")</definedName>
    <definedName name="Fertiliser_Equations_InorganicN2O.VEERG_5_1_1_2__2_EmissionFactorNonIrrigatedGrainsHighRainfall_Source">_xlfn.LAMBDA("VEERG 2026: 5.1.1.2, Equation (2)")</definedName>
    <definedName name="Fertiliser_Equations_InorganicN2O.VEERG_5_1_1_2__2_EmissionFactorNonIrrigatedGrainsHighRainfall_Title">_xlfn.LAMBDA("Emission factor for nitrous oxide for non-irrigated grains in high rainfall zone")</definedName>
    <definedName name="Fertiliser_Equations_InorganicN2O.VEERG_5_1_1_2__2_EmissionFactorNonIrrigatedGrainsHighRainfall_Unit">_xlfn.LAMBDA("kg N2O-N/kg N applied")</definedName>
    <definedName name="Fertiliser_Equations_InorganicN2O.VEERG_5_1_1_2__2_EmissionFactorNonIrrigatedGrainsHighRainfall_Variable">_xlfn.LAMBDA("EF_fjNonIrrigatedGrainsN2O")</definedName>
    <definedName name="Fertiliser_Equations_InorganicN2O.VEERG_5_1_1_2__3_EmissionFactorCotton">_xlfn.LAMBDA(_xlpm.N_fjCotton, (0.01 * (0.29 + ((0.007 * (EXP(0.037 * _xlpm.N_fjCotton) - 1)) / _xlpm.N_fjCotton))) * 10 ^ -2)</definedName>
    <definedName name="Fertiliser_Equations_InorganicN2O.VEERG_5_1_1_2__3_EmissionFactorCotton_Arguments">_xlfn.LAMBDA(_xlfn.MAKEARRAY(2, 4, _xlfn.LAMBDA(_xlpm.r,_xlpm.c, INDEX({"N_fjCotton","application rate of inorganic fertiliser type f in the cotton crop","kg N/ha","Input";"f","Inorganic fertiliser type","","Constant"}, _xlpm.r, _xlpm.c))))</definedName>
    <definedName name="Fertiliser_Equations_InorganicN2O.VEERG_5_1_1_2__3_EmissionFactorCotton_LatexEquation">_xlfn.LAMBDA("EF_{fj=cotton,N2O}=(0.01 \times (0.29 + \frac{0.007(e^{0.037 \times N_{fj=cotton}}-1)}{N_{fj=cotton}})) \times 10^{-2}
")</definedName>
    <definedName name="Fertiliser_Equations_InorganicN2O.VEERG_5_1_1_2__3_EmissionFactorCotton_NIRReference">_xlfn.LAMBDA("")</definedName>
    <definedName name="Fertiliser_Equations_InorganicN2O.VEERG_5_1_1_2__3_EmissionFactorCotton_Source">_xlfn.LAMBDA("VEERG 2026: 5.1.1.2, Equation (3)")</definedName>
    <definedName name="Fertiliser_Equations_InorganicN2O.VEERG_5_1_1_2__3_EmissionFactorCotton_Title">_xlfn.LAMBDA("Emission factor for nitrous oxide for cotton")</definedName>
    <definedName name="Fertiliser_Equations_InorganicN2O.VEERG_5_1_1_2__3_EmissionFactorCotton_Unit">_xlfn.LAMBDA("kg N2O-N/kg N applied")</definedName>
    <definedName name="Fertiliser_Equations_InorganicN2O.VEERG_5_1_1_2__3_EmissionFactorCotton_Variable">_xlfn.LAMBDA("EF_fjCottonN2O")</definedName>
    <definedName name="Fertiliser_Equations_LeachingAndRunoff.VEERG_5_5_1_1__1_FertiliserLeachingAndRunoffN2OEmissions">_xlfn.LAMBDA(_xlpm.M_leachinorganicj,_xlpm.M_leachorganicj,_xlpm.EF_leach,_xlpm.C_N2O, (_xlpm.M_leachinorganicj + _xlpm.M_leachorganicj) * _xlpm.EF_leach * _xlpm.C_N2O * 10 ^ -3)</definedName>
    <definedName name="Fertiliser_Equations_LeachingAndRunoff.VEERG_5_5_1_1__1_FertiliserLeachingAndRunoffN2OEmissions_Arguments">_xlfn.LAMBDA(_xlfn.MAKEARRAY(4, 4, _xlfn.LAMBDA(_xlpm.r,_xlpm.c, INDEX({"M_leachinorganicj","mass of nitrogen lost through leaching and runoff from inorganic fertiliser application in production system j","kg N","Calculated from 5.5.1.1 (2)";"M_leachorganicj","mass of nitrogen lost through leaching and runoff from organic fertiliser application","kg N","Calculated from 5.5.1.1 (3)";"EF_leach","emission factor for nitrogen leaching and runoff","kg N2O-N/kg N","Constant";"C_N2O","factor to convert elemental mass of nitrous oxide to molecular mass","","Constant"}, _xlpm.r, _xlpm.c))))</definedName>
    <definedName name="Fertiliser_Equations_LeachingAndRunoff.VEERG_5_5_1_1__1_FertiliserLeachingAndRunoffN2OEmissions_LatexEquation">_xlfn.LAMBDA("E_{fert,leach}=\sum_{j}((M_{leach,inorganic,j}+M_{leach,organic,j})\times EF_{leach}\times C_{N2O}\times 10^{-3})")</definedName>
    <definedName name="Fertiliser_Equations_LeachingAndRunoff.VEERG_5_5_1_1__1_FertiliserLeachingAndRunoffN2OEmissions_NIRReference">_xlfn.LAMBDA("")</definedName>
    <definedName name="Fertiliser_Equations_LeachingAndRunoff.VEERG_5_5_1_1__1_FertiliserLeachingAndRunoffN2OEmissions_Source">_xlfn.LAMBDA("VEERG 2026: 5.5, Equation (1)")</definedName>
    <definedName name="Fertiliser_Equations_LeachingAndRunoff.VEERG_5_5_1_1__1_FertiliserLeachingAndRunoffN2OEmissions_Title">_xlfn.LAMBDA("Nitrous oxide emissions from nitrogen leaching and runoff from the application of all fertilisers across all production systems j")</definedName>
    <definedName name="Fertiliser_Equations_LeachingAndRunoff.VEERG_5_5_1_1__1_FertiliserLeachingAndRunoffN2OEmissions_Unit">_xlfn.LAMBDA("t N2O")</definedName>
    <definedName name="Fertiliser_Equations_LeachingAndRunoff.VEERG_5_5_1_1__1_FertiliserLeachingAndRunoffN2OEmissions_Variable">_xlfn.LAMBDA("E_fertleach")</definedName>
    <definedName name="Fertiliser_Equations_LeachingAndRunoff.VEERG_5_5_1_1__2_MassOfNitrogenLeachedFromInorganicFertiliser">_xlfn.LAMBDA(_xlpm.MN_jf,_xlpm.FracWETj,_xlpm.FracLEACH, _xlpm.MN_jf * _xlpm.FracWETj * _xlpm.FracLEACH)</definedName>
    <definedName name="Fertiliser_Equations_LeachingAndRunoff.VEERG_5_5_1_1__2_MassOfNitrogenLeachedFromInorganicFertiliser_Arguments">_xlfn.LAMBDA(_xlfn.MAKEARRAY(6, 4, _xlfn.LAMBDA(_xlpm.r,_xlpm.c, INDEX({"MN_jf","mass of nitrogen in inorganic fertiliser","kg N","Calculated from 5.1.1.1 (2)";"FracWETj","fraction of N available for leaching and runoff","fraction","Constant";"FracLEACH","fraction of N that is lost through leaching and runoff","fraction","Constant";"z","location in leaching zone","","Input";"j","production system","","Input";"ir","irrigation method","","Input"}, _xlpm.r, _xlpm.c))))</definedName>
    <definedName name="Fertiliser_Equations_LeachingAndRunoff.VEERG_5_5_1_1__2_MassOfNitrogenLeachedFromInorganicFertiliser_LatexEquation">_xlfn.LAMBDA("M_{leach,inorganic,j}=\sum\nolimits_{f}\left({MN}_{jf}\times Frac_{WET,j}\times Frac_{LEACH}\right)")</definedName>
    <definedName name="Fertiliser_Equations_LeachingAndRunoff.VEERG_5_5_1_1__2_MassOfNitrogenLeachedFromInorganicFertiliser_NIRReference">_xlfn.LAMBDA("")</definedName>
    <definedName name="Fertiliser_Equations_LeachingAndRunoff.VEERG_5_5_1_1__2_MassOfNitrogenLeachedFromInorganicFertiliser_Source">_xlfn.LAMBDA("VEERG 2026: 5.5, Equation (2)")</definedName>
    <definedName name="Fertiliser_Equations_LeachingAndRunoff.VEERG_5_5_1_1__2_MassOfNitrogenLeachedFromInorganicFertiliser_Title">_xlfn.LAMBDA("Mass of nitrogen lost through leaching and runoff from inorganic fertiliser application in production system j")</definedName>
    <definedName name="Fertiliser_Equations_LeachingAndRunoff.VEERG_5_5_1_1__2_MassOfNitrogenLeachedFromInorganicFertiliser_Unit">_xlfn.LAMBDA("kg N")</definedName>
    <definedName name="Fertiliser_Equations_LeachingAndRunoff.VEERG_5_5_1_1__2_MassOfNitrogenLeachedFromInorganicFertiliser_Variable">_xlfn.LAMBDA("M_leachinorganicj")</definedName>
    <definedName name="Fertiliser_Equations_LeachingAndRunoff.VEERG_5_5_1_1__3_MassOfNitrogenLeachedFromOrganicFertiliser">_xlfn.LAMBDA(_xlpm.MNSoil_jf,_xlpm.FracWETj,_xlpm.FracLEACH, _xlpm.MNSoil_jf * _xlpm.FracWETj * _xlpm.FracLEACH)</definedName>
    <definedName name="Fertiliser_Equations_LeachingAndRunoff.VEERG_5_5_1_1__3_MassOfNitrogenLeachedFromOrganicFertiliser_Arguments">_xlfn.LAMBDA(_xlfn.MAKEARRAY(6, 4, _xlfn.LAMBDA(_xlpm.r,_xlpm.c, INDEX({"MNSoil_jf","mass of nitrogen in organic fertiliser","kg N","Calculated from 5.2.1.1 (2)";"FracWETj","fraction of N available for leaching and runoff","fraction","Constant";"FracLEACH","fraction of N that is lost through leaching and runoff","fraction","Constant";"z","location in leaching zone","","Input";"j","production system","","Input";"ir","irrigation method","","Input"}, _xlpm.r, _xlpm.c))))</definedName>
    <definedName name="Fertiliser_Equations_LeachingAndRunoff.VEERG_5_5_1_1__3_MassOfNitrogenLeachedFromOrganicFertiliser_LatexEquation">_xlfn.LAMBDA("M_{leach,organic,j}=\sum\nolimits_{f}\left({MNSoil}_{jf}\times Frac_{WET,j}\times Frac_{LEACH}\right)")</definedName>
    <definedName name="Fertiliser_Equations_LeachingAndRunoff.VEERG_5_5_1_1__3_MassOfNitrogenLeachedFromOrganicFertiliser_NIRReference">_xlfn.LAMBDA("")</definedName>
    <definedName name="Fertiliser_Equations_LeachingAndRunoff.VEERG_5_5_1_1__3_MassOfNitrogenLeachedFromOrganicFertiliser_Source">_xlfn.LAMBDA("VEERG 2026: 5.5, Equation (3)")</definedName>
    <definedName name="Fertiliser_Equations_LeachingAndRunoff.VEERG_5_5_1_1__3_MassOfNitrogenLeachedFromOrganicFertiliser_Title">_xlfn.LAMBDA("Mass of nitrogen lost through leaching and runoff from organic fertiliser application in production system j")</definedName>
    <definedName name="Fertiliser_Equations_LeachingAndRunoff.VEERG_5_5_1_1__3_MassOfNitrogenLeachedFromOrganicFertiliser_Unit">_xlfn.LAMBDA("kg N")</definedName>
    <definedName name="Fertiliser_Equations_LeachingAndRunoff.VEERG_5_5_1_1__3_MassOfNitrogenLeachedFromOrganicFertiliser_Variable">_xlfn.LAMBDA("M_leachorganicj")</definedName>
    <definedName name="Fertiliser_Equations_Lime.VEERG_5_3_1_1__1_LimeApplication">_xlfn.LAMBDA(_xlpm.Mlime,_xlpm.FracLime,_xlpm.Plime,_xlpm.EFlime,_xlpm.FracDol,_xlpm.Pdol,_xlpm.EFdol,_xlpm.CgCO2, ((_xlpm.Mlime * _xlpm.FracLime * _xlpm.Plime * _xlpm.EFlime) + (_xlpm.Mlime * _xlpm.FracDol * _xlpm.Pdol * _xlpm.EFdol)) * _xlpm.CgCO2 * 10 ^ -3)</definedName>
    <definedName name="Fertiliser_Equations_Lime.VEERG_5_3_1_1__1_LimeApplication_Arguments">_xlfn.LAMBDA(_xlfn.MAKEARRAY(8, 2, _xlfn.LAMBDA(_xlpm.r,_xlpm.c, INDEX({"Mlime","The total mass of lime applied to soils : kg";"FracLime","The fraction of lime as limestone (CaCO3) : dimensionless";"Plime","Fractional purity of limestone : dimensionless";"EFlime","Emission factor for limestone fraction of lime : kg C/kg";"FracDol","The fraction of lime as dolomite : dimensionless";"PPdol","Fractional purity of dolomite : dimensionless";"EFdol","Emission factor for dolomite fraction of lime : kg C/kg";"CgCO2","Factor to convert elemental mass of carbon dioxide to molecular mass : dimensionless"}, _xlpm.r, _xlpm.c))))</definedName>
    <definedName name="Fertiliser_Equations_Lime.VEERG_5_3_1_1__1_LimeApplication_NIRReference">_xlfn.LAMBDA("National Inventory Report Volume 1, 2023: Equation 3G_1")</definedName>
    <definedName name="Fertiliser_Equations_Lime.VEERG_5_3_1_1__1_LimeApplication_ReadableEquation">_xlfn.LAMBDA("Elime = ((Mlime *  FracLime * Plime * EFlime) + (Mlime * FracDol * Pdol * EFdol)) * CgCO2 * 10^-3")</definedName>
    <definedName name="Fertiliser_Equations_Lime.VEERG_5_3_1_1__1_LimeApplication_Source">_xlfn.LAMBDA("VEERG 2026: 5.3.1.1, Equation (1)")</definedName>
    <definedName name="Fertiliser_Equations_Lime.VEERG_5_3_1_1__1_LimeApplication_Title">_xlfn.LAMBDA("The emissions from the application of lime and dolomite to soils")</definedName>
    <definedName name="Fertiliser_Equations_Lime.VEERG_5_3_1_1__1_LimeApplication_Unit">_xlfn.LAMBDA("t CO2")</definedName>
    <definedName name="Fertiliser_Equations_Lime.VEERG_5_3_1_1__1_LimeApplication_Variable">_xlfn.LAMBDA("Elime")</definedName>
    <definedName name="Fertiliser_Equations_Lime.VEERG_5_3_1_1__1_LimeApplicationCO2Emissions">_xlfn.LAMBDA(_xlpm.M_lime,_xlpm.FracLime,_xlpm.P_lime,_xlpm.EF_lime,_xlpm.FracDol,_xlpm.P_dol,_xlpm.EF_dol,_xlpm.C_CO2, ((_xlpm.M_lime * _xlpm.FracLime * _xlpm.P_lime * _xlpm.EF_lime) + (_xlpm.M_lime * _xlpm.FracDol * _xlpm.P_dol * _xlpm.EF_dol)) * _xlpm.C_CO2 * 10 ^ -3)</definedName>
    <definedName name="Fertiliser_Equations_Lime.VEERG_5_3_1_1__1_LimeApplicationCO2Emissions_Arguments">_xlfn.LAMBDA(_xlfn.MAKEARRAY(8, 4, _xlfn.LAMBDA(_xlpm.r,_xlpm.c, INDEX({"M_lime","total mass of lime applied to production system","kg","Input";"FracLime","fraction of lime as limestone (CaCO3)","fraction","Input";"P_lime","fractional purity of limestone","fraction","Constant";"EF_lime","emission factor for limestone fraction of lime","kg C/kg","Constant";"FracDol","fraction of lime as dolomite","fraction","Input";"P_dol","fractional purity of dolomite","fraction","Constant";"EF_dol","emission factor for dolomite fraction of lime","kg C/kg","Constant";"C_CO2","factor to convert elemental mass of carbon dioxide to molecular mass","","Constant"}, _xlpm.r, _xlpm.c))))</definedName>
    <definedName name="Fertiliser_Equations_Lime.VEERG_5_3_1_1__1_LimeApplicationCO2Emissions_LatexEquation">_xlfn.LAMBDA("E_{lime}=[(M_{lime}\times FracLime\times P_{lime}\times EF_{lime})+(M_{lime}\times FracDol\times P_{dol}\times EF_{dol})]\times C_{CO2}\times 10^{-3}")</definedName>
    <definedName name="Fertiliser_Equations_Lime.VEERG_5_3_1_1__1_LimeApplicationCO2Emissions_NIRReference">_xlfn.LAMBDA("")</definedName>
    <definedName name="Fertiliser_Equations_Lime.VEERG_5_3_1_1__1_LimeApplicationCO2Emissions_Source">_xlfn.LAMBDA("VEERG 2026: 5.3.1.1, Equation (1)")</definedName>
    <definedName name="Fertiliser_Equations_Lime.VEERG_5_3_1_1__1_LimeApplicationCO2Emissions_Title">_xlfn.LAMBDA("Emissions from the application of lime and dolomite to production systems")</definedName>
    <definedName name="Fertiliser_Equations_Lime.VEERG_5_3_1_1__1_LimeApplicationCO2Emissions_Unit">_xlfn.LAMBDA("t CO2")</definedName>
    <definedName name="Fertiliser_Equations_Lime.VEERG_5_3_1_1__1_LimeApplicationCO2Emissions_Variable">_xlfn.LAMBDA("E_lime")</definedName>
    <definedName name="Fertiliser_Equations_Organic.VEERG_5_2_1_1__1_OrganicFertiliserApplication">_xlfn.LAMBDA(_xlpm.MNSoiljf,_xlpm.EFiN2O,_xlpm.CgN2O, _xlpm.MNSoiljf * _xlpm.EFiN2O * _xlpm.CgN2O * 10 ^ -3)</definedName>
    <definedName name="Fertiliser_Equations_Organic.VEERG_5_2_1_1__1_OrganicFertiliserApplication_Arguments">_xlfn.LAMBDA(_xlfn.MAKEARRAY(7, 2, _xlfn.LAMBDA(_xlpm.r,_xlpm.c, INDEX({"MNSoiljf","mass of nitrogen in organic fertiliser type f applied to soils in production system j : kg N";"EFiN2O","emission factor for direct nitrous oxide emissions from organic fertiliser applied to soils : kg N2O-N/kg N";"CgN2O","Factor to convert elemental mass of nitrous oxide to molecular mass : dimensionless";"j","Production system";"f","Organic fertiliser type";"i","Climate zone";"GWPN2O","Global warming potential for nitrous oxide : t CO2-e / t N2O"}, _xlpm.r, _xlpm.c))))</definedName>
    <definedName name="Fertiliser_Equations_Organic.VEERG_5_2_1_1__1_OrganicFertiliserApplication_GWP">_xlfn.LAMBDA(_xlpm.EN2O,_xlpm.GWPN2O, (_xlpm.EN2O * _xlpm.GWPN2O))</definedName>
    <definedName name="Fertiliser_Equations_Organic.VEERG_5_2_1_1__1_OrganicFertiliserApplication_NIRReference">_xlfn.LAMBDA("National Inventory Report Volume 1, 2023: Equation 3.D.A_4")</definedName>
    <definedName name="Fertiliser_Equations_Organic.VEERG_5_2_1_1__1_OrganicFertiliserApplication_ReadableEquation">_xlfn.LAMBDA("EN2O = MNSoiljf * EFiN2O * CgN2O * 10 ^ - 3")</definedName>
    <definedName name="Fertiliser_Equations_Organic.VEERG_5_2_1_1__1_OrganicFertiliserApplication_Source">_xlfn.LAMBDA("VEERG 2026: 5.2.1.1, Equation (1)")</definedName>
    <definedName name="Fertiliser_Equations_Organic.VEERG_5_2_1_1__1_OrganicFertiliserApplication_Title">_xlfn.LAMBDA("Nitrous oxide emissions from organic fertilisers applied to soils for all organic fertiliser types f and all production systems j")</definedName>
    <definedName name="Fertiliser_Equations_Organic.VEERG_5_2_1_1__1_OrganicFertiliserApplication_Unit">_xlfn.LAMBDA("t CO2-e")</definedName>
    <definedName name="Fertiliser_Equations_Organic.VEERG_5_2_1_1__1_OrganicFertiliserApplication_Variable">_xlfn.LAMBDA("EN2O")</definedName>
    <definedName name="Fertiliser_Equations_Organic.VEERG_5_2_1_1__2_MassOfNitrogenInOrganicFertiliser">_xlfn.LAMBDA(_xlpm.Morganicjf,_xlpm.FNorganicf, _xlpm.Morganicjf * _xlpm.FNorganicf)</definedName>
    <definedName name="Fertiliser_Equations_Organic.VEERG_5_2_1_1__2_MassOfNitrogenInOrganicFertiliser_Arguments">_xlfn.LAMBDA(_xlfn.MAKEARRAY(2, 2, _xlfn.LAMBDA(_xlpm.r,_xlpm.c, INDEX({"Morganicjf","mass of organic fertiliser type f applied to soils in production system j : kg";"FNorganicf","nitrogen fraction of organic fertiliser type f : kg N/kg"}, _xlpm.r, _xlpm.c))))</definedName>
    <definedName name="Fertiliser_Equations_Organic.VEERG_5_2_1_1__2_MassOfNitrogenInOrganicFertiliser_NIRReference">_xlfn.LAMBDA("")</definedName>
    <definedName name="Fertiliser_Equations_Organic.VEERG_5_2_1_1__2_MassOfNitrogenInOrganicFertiliser_ReadableEquation">_xlfn.LAMBDA("MNSoiljf = Morganicjf * FNorganicf")</definedName>
    <definedName name="Fertiliser_Equations_Organic.VEERG_5_2_1_1__2_MassOfNitrogenInOrganicFertiliser_Source">_xlfn.LAMBDA("VEERG 2026: 5.2.1.1, Equation (2)")</definedName>
    <definedName name="Fertiliser_Equations_Organic.VEERG_5_2_1_1__2_MassOfNitrogenInOrganicFertiliser_Title">_xlfn.LAMBDA("Mass of nitrogen in purchased organic fertilisers applied to soils")</definedName>
    <definedName name="Fertiliser_Equations_Organic.VEERG_5_2_1_1__2_MassOfNitrogenInOrganicFertiliser_Unit">_xlfn.LAMBDA("kg")</definedName>
    <definedName name="Fertiliser_Equations_Organic.VEERG_5_2_1_1__2_MassOfNitrogenInOrganicFertiliser_Variable">_xlfn.LAMBDA("MNSoiljf")</definedName>
    <definedName name="Fertiliser_Equations_OrganicN2O.VEERG_5_2_1_1__1_OrganicFertiliserApplicationN2OEmissions">_xlfn.LAMBDA(_xlpm.MNSoil_jf,_xlpm.EF_N2Oi,_xlpm.C_N2O, (_xlpm.MNSoil_jf * _xlpm.EF_N2Oi * _xlpm.C_N2O) * 10 ^ -3)</definedName>
    <definedName name="Fertiliser_Equations_OrganicN2O.VEERG_5_2_1_1__1_OrganicFertiliserApplicationN2OEmissions_Arguments">_xlfn.LAMBDA(_xlfn.MAKEARRAY(5, 4, _xlfn.LAMBDA(_xlpm.r,_xlpm.c, INDEX({"MNSoil_jf","mass of nitrogen in organic fertiliser type f applied to production system j","kg N","Calculated from 5.2.1.1 (2)";"EF_N2Oi","emission factor for direct nitrous oxide emissions from organic fertiliser applied to soils and aquatic systems in climate zone i","kg N2O-N/kg N","Lookup";"C_N2O","factor to convert elemental mass of nitrous oxide to molecular mass","","Constant";"j","Production system","","Input";"i","Wet or dry climate zone","","Input"}, _xlpm.r, _xlpm.c))))</definedName>
    <definedName name="Fertiliser_Equations_OrganicN2O.VEERG_5_2_1_1__1_OrganicFertiliserApplicationN2OEmissions_LatexEquation">_xlfn.LAMBDA("E_{N2O}=\sum_{j}\sum_{f}((MNSoil_{jf}\times EF_{N2O,i}\times C_{N2O})\times 10^{-3})")</definedName>
    <definedName name="Fertiliser_Equations_OrganicN2O.VEERG_5_2_1_1__1_OrganicFertiliserApplicationN2OEmissions_NIRReference">_xlfn.LAMBDA("")</definedName>
    <definedName name="Fertiliser_Equations_OrganicN2O.VEERG_5_2_1_1__1_OrganicFertiliserApplicationN2OEmissions_Source">_xlfn.LAMBDA("VEERG 2026: 5.2.1.1, Equation (1)")</definedName>
    <definedName name="Fertiliser_Equations_OrganicN2O.VEERG_5_2_1_1__1_OrganicFertiliserApplicationN2OEmissions_Title">_xlfn.LAMBDA("Nitrous oxide emissions from the application of all organic fertiliser types f to all production systems j")</definedName>
    <definedName name="Fertiliser_Equations_OrganicN2O.VEERG_5_2_1_1__1_OrganicFertiliserApplicationN2OEmissions_Unit">_xlfn.LAMBDA("t N2O")</definedName>
    <definedName name="Fertiliser_Equations_OrganicN2O.VEERG_5_2_1_1__1_OrganicFertiliserApplicationN2OEmissions_Variable">_xlfn.LAMBDA("E_N2O")</definedName>
    <definedName name="Fertiliser_Equations_OrganicN2O.VEERG_5_2_1_1__2_MassOfNitrogenInOrganicFertiliser">_xlfn.LAMBDA(_xlpm.M_organicjf,_xlpm.FN_organicf, _xlpm.M_organicjf * _xlpm.FN_organicf)</definedName>
    <definedName name="Fertiliser_Equations_OrganicN2O.VEERG_5_2_1_1__2_MassOfNitrogenInOrganicFertiliser_Arguments">_xlfn.LAMBDA(_xlfn.MAKEARRAY(3, 4, _xlfn.LAMBDA(_xlpm.r,_xlpm.c, INDEX({"M_organicjf","mass of organic fertiliser type f applied to production system j","kg","Input";"FN_organicf","nitrogen fraction of organic fertiliser type f","kg N/kg","Input";"f","Organic fertiliser type","","Input"}, _xlpm.r, _xlpm.c))))</definedName>
    <definedName name="Fertiliser_Equations_OrganicN2O.VEERG_5_2_1_1__2_MassOfNitrogenInOrganicFertiliser_LatexEquation">_xlfn.LAMBDA("MNSoil_{jf}=M_{organic,jf}\times FN_{organic,f}")</definedName>
    <definedName name="Fertiliser_Equations_OrganicN2O.VEERG_5_2_1_1__2_MassOfNitrogenInOrganicFertiliser_NIRReference">_xlfn.LAMBDA("")</definedName>
    <definedName name="Fertiliser_Equations_OrganicN2O.VEERG_5_2_1_1__2_MassOfNitrogenInOrganicFertiliser_Source">_xlfn.LAMBDA("VEERG 2026: 5.2.1.1, Equation (2)")</definedName>
    <definedName name="Fertiliser_Equations_OrganicN2O.VEERG_5_2_1_1__2_MassOfNitrogenInOrganicFertiliser_Title">_xlfn.LAMBDA("Mass of nitrogen in purchased organic fertilisers applied to production system")</definedName>
    <definedName name="Fertiliser_Equations_OrganicN2O.VEERG_5_2_1_1__2_MassOfNitrogenInOrganicFertiliser_Unit">_xlfn.LAMBDA("kg N")</definedName>
    <definedName name="Fertiliser_Equations_OrganicN2O.VEERG_5_2_1_1__2_MassOfNitrogenInOrganicFertiliser_Variable">_xlfn.LAMBDA("MNSoil_jf")</definedName>
    <definedName name="Fertiliser_InputFunctions.Fertiliser_FertiliserProductLookup">_xlfn.LAMBDA(_xlpm.Product,_xlpm.ProductAttribute,_xlpm.ProductArray,_xlpm.ProductArrayColumn,_xlpm.ProductArrayHeaders, IFERROR(INDEX(_xlpm.ProductArray, _xlfn.XMATCH(TRIM(_xlpm.Product), _xlpm.ProductArrayColumn, 0), _xlfn.XMATCH(TRIM(_xlpm.ProductAttribute), _xlpm.ProductArrayHeaders, 0)), ""))</definedName>
    <definedName name="Fertiliser_InputFunctions.Fertiliser_GetChemicalCompoundElementFraction">_xlfn.LAMBDA(_xlpm.ChemicalCompound,_xlpm.Element,_xlpm.ChemicalCompoundArray,_xlpm.ChemicalCompoundColumn,_xlpm.ElementRow, INDEX(_xlpm.ChemicalCompoundArray, MATCH(_xlpm.ChemicalCompound, _xlpm.ChemicalCompoundColumn, 0), MATCH(_xlpm.Element, _xlpm.ElementRow, 0)))</definedName>
    <definedName name="Fertiliser_InputFunctions.Fertiliser_GetScope3EF">_xlfn.LAMBDA(_xlpm.ChemicalCompound,_xlpm.Scope3Array,_xlpm.ChemicalCompoundColumn,_xlpm.Source,_xlpm.SourceRow, INDEX(_xlpm.Scope3Array, MATCH(_xlpm.ChemicalCompound, _xlpm.ChemicalCompoundColumn, 0), MATCH(_xlpm.Source, _xlpm.SourceRow, 0)))</definedName>
    <definedName name="Fertiliser_InputFunctions.Fertiliser_SumProductApplied">_xlfn.LAMBDA(_xlpm.LookupTarget1,_xlpm.LookupArray1,_xlpm.AmountApplied,_xlop.LookupTarget2,_xlop.LookupArray2, _xlfn.LET(_xlpm.criteria1, --(_xlpm.LookupArray1 = _xlpm.LookupTarget1), _xlpm.criteria2, IF(_xlfn.ISOMITTED(_xlpm.LookupTarget2), 1, --(_xlpm.LookupArray2 = _xlpm.LookupTarget2)), SUMPRODUCT(_xlpm.criteria1 * _xlpm.criteria2 * _xlpm.AmountApplied)))</definedName>
    <definedName name="Fertiliser_InputFunctions.Fertiliser_TotalActiveIngredientAppliedAllIngredients">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Fertiliser_InputFunctions.Fertiliser_SumProductApplied(_xlpm.ChemicalCompound, _xlpm.ProductIngredient1, _xlpm.calculatedAmount1) + IFERROR(Fertiliser_InputFunctions.Fertiliser_SumProductApplied(_xlpm.ChemicalCompound, _xlpm.ProductIngredient2, _xlpm.calculatedAmount2), 0) + IFERROR(Fertiliser_InputFunctions.Fertiliser_SumProductApplied(_xlpm.ChemicalCompound, _xlpm.ProductIngredient3, _xlpm.calculatedAmount3), 0)))</definedName>
    <definedName name="Fertiliser_InputFunctions.Fertiliser_TotalChemicalCompoundAppliedAllIngredients">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Fertiliser_InputFunctions.Fertiliser_SumProductApplied(_xlpm.ChemicalCompound, _xlpm.ProductIngredient1, _xlpm.calculatedAmount1) + IFERROR(Fertiliser_InputFunctions.Fertiliser_SumProductApplied(_xlpm.ChemicalCompound, _xlpm.ProductIngredient2, _xlpm.calculatedAmount2), 0) + IFERROR(Fertiliser_InputFunctions.Fertiliser_SumProductApplied(_xlpm.ChemicalCompound, _xlpm.ProductIngredient3, _xlpm.calculatedAmount3), 0) + IFERROR(Fertiliser_InputFunctions.Fertiliser_SumProductApplied(_xlpm.ChemicalCompound, _xlpm.ProductIngredient4, _xlpm.calculatedAmount4), 0) + IFERROR(Fertiliser_InputFunctions.Fertiliser_SumProductApplied(_xlpm.ChemicalCompound, _xlpm.ProductIngredient5, _xlpm.calculatedAmount5), 0) + IFERROR(Fertiliser_InputFunctions.Fertiliser_SumProductApplied(_xlpm.ChemicalCompound, _xlpm.ProductIngredient6, _xlpm.calculatedAmount6), 0)))</definedName>
    <definedName name="Fertiliser_InputFunctions.Fertiliser_TotalChemicalCompoundtAppliedBySourceAllIngredients">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Fertiliser_InputFunctions.Fertiliser_SumProductApplied(_xlpm.ChemicalCompound, _xlpm.ProductIngredient1, _xlpm.calculatedAmount1, _xlpm.Source, _xlpm.ProductIngredientSource) + IFERROR(Fertiliser_InputFunctions.Fertiliser_SumProductApplied(_xlpm.ChemicalCompound, _xlpm.ProductIngredient2, _xlpm.calculatedAmount2, _xlpm.Source, _xlpm.ProductIngredientSource), 0) + IFERROR(Fertiliser_InputFunctions.Fertiliser_SumProductApplied(_xlpm.ChemicalCompound, _xlpm.ProductIngredient3, _xlpm.calculatedAmount3, _xlpm.Source, _xlpm.ProductIngredientSource), 0) + IFERROR(Fertiliser_InputFunctions.Fertiliser_SumProductApplied(_xlpm.ChemicalCompound, _xlpm.ProductIngredient4, _xlpm.calculatedAmount4, _xlpm.Source, _xlpm.ProductIngredientSource), 0) + IFERROR(Fertiliser_InputFunctions.Fertiliser_SumProductApplied(_xlpm.ChemicalCompound, _xlpm.ProductIngredient5, _xlpm.calculatedAmount5, _xlpm.Source, _xlpm.ProductIngredientSource), 0) + IFERROR(Fertiliser_InputFunctions.Fertiliser_SumProductApplied(_xlpm.ChemicalCompound, _xlpm.ProductIngredient6, _xlpm.calculatedAmount6, _xlpm.Source, _xlpm.ProductIngredientSource), 0)))</definedName>
    <definedName name="Fertiliser_InputFunctions.Fertiliser_TotalSoilAmendmentApplied">_xlfn.LAMBDA(_xlpm.AmountApplied,_xlpm.AmendmentPercent, SUMPRODUCT(_xlpm.AmountApplied * _xlpm.AmendmentPercent))</definedName>
    <definedName name="Fertiliser_SourceData.Fertiliser_ChemicalCompoundElements_Data">_xlfn.LAMBDA(_xlfn.MAKEARRAY(20, 6, _xlfn.LAMBDA(_xlpm.r,_xlpm.c, INDEX({"Fertiliser Type f","FNinorganic,f","FUf","Basis","LifeCycles Scope 3 definition","Source";"Monoammonium phosphate (MAP)",0.1,0,"Ammonium-based fertilisers","Monoammonium phosphate (MAP)","VEERG";"Diammonium phosphate (DAP)",0.18,0,"Ammonium-based fertilisers","Diammonium phosphate (DAP)","VEERG";"Urea",0.46,1,"Urea-based fertilisers","Urea","VEERG";"Sulphate of ammonia (SOA)",0.21,0,"Ammonium-based fertilisers","Sulphate of ammonia (SOA)","VEERG";"Urea-ammonium nitrate (UAN)",0.32,0.35,"Urea-based fertilisers","Urea-ammonium nitrate (UAN)","VEERG";"Ammonium nitrate (AN)",0.337,0,"Ammonium-nitrate based fertilisers","Ammonium nitrate (AN)","VEERG";"Calcium ammonium nitrate (CAN)",0.27,0,"Ammonium-nitrate based fertilisers","Calcium ammonium nitrate (CAN)","VEERG";"Nitrogen - Ammoniacal",1,0,"Ammonium-based fertilisers","Nitrogen - Ammoniacal","LifeCycles";"Nitrogen - Nitrate",1,0,"Nitrate-based fertilisers","Nitrogen from Nitrate","LifeCycles";"Nitrogen - Generic",1,0,"Urea-based fertilisers","Nitrogen from fertiliser","LifeCycles";"Phosphorus - Generic",0,0,"Other fertilisers","Phosphorus from fertiliser","LifeCycles";"Potassium - Generic",0,0,"Other fertilisers","Potassium from fertiliser","LifeCycles";"Sulfur - Generic",0,0,"Other fertilisers","Sulfur from fertiliser","LifeCycles";"Zinc - Generic",0,0,"Other fertilisers","Zinc from fertiliser","LifeCycles";"Muriate of potash (MOP)",0,0,"Other fertilisers","Muriate of potash (MOP)","LifeCycles";"Double superphosphate",0,0,"Other fertilisers","Double superphosphate","LifeCycles";"Single superphosphate (SSP)",0,0,"Other fertilisers","Single superphosphate (SSP)","LifeCycles";"Ammonia",0.8235,0,"Ammonium-based fertilisers","Ammonia","LifeCycles";"Calcium nitrate",0.155,0,"Nitrate-based fertilisers","Calcium nitrate","VEERG"}, _xlpm.r, _xlpm.c))))</definedName>
    <definedName name="Fertiliser_SourceData.Fertiliser_ChemicalCompoundElements_Description">_xlfn.LAMBDA(("Chemical compounds used in fertilisers, along with their elemental composition"))</definedName>
    <definedName name="Fertiliser_SourceData.Fertiliser_ChemicalCompoundElements_Source">_xlfn.LAMBDA(("Table A.2.2.3: Fraction of nitrogen in common inorganic fertilisers (kgN/kg) (FNorganic,f) AND Table A.2.2.4: Fraction of urea in common inorganic fertilisers (kg urea/kg) (FUf)"))</definedName>
    <definedName name="Fertiliser_SourceData.Fertiliser_ChemicalCompoundElements_Title">_xlfn.LAMBDA(("Common inorganic fertilisers"))</definedName>
    <definedName name="Fertiliser_SourceData.Fertiliser_ChemicalCompoundElements_Variation">_xlfn.LAMBDA(_xlfn.MAKEARRAY(12, 1, _xlfn.LAMBDA(_xlpm.r,_xlpm.c, INDEX({"VARIATION ON SOURCE";"Added 'Basis' column to allow cross-referencing with table Table A.2.2.6: Fraction of inorganic fertiliser f that volatilises as NH3 and NOx ((kg NH3-N + NOx-N)/kg N) (FracGASFf)";"Added extra fertiliser types and generic chemical compounds to allow for custom NPKS blends";"Added extra 'Scope 3 definition' column to allow mapping with scope 3 data";"Added 'Source' column";"Combined data from Table A.2.2.3 and Table A.2.2.4 into one table to aid lookup.";"Excluded 'References' column";"Excluded 'Ammonium sulfate' as it is a duplicate of 'Sulphate of ammonia (SOA)'";"Excluded 'Calcium nitrate' as no scope 3 value available.";"Set 'Nitrogen - Generic' basis as 'Urea-based fertilisers, as urea is the most commonly used form of nitrogen in Australian fertilisers";"Set 'Urea-ammonium nitrate' basis as 'Urea-based fertiliser'";"Ammonia has an FN value of 0.8235 based on (14/17)x100, where 14 is the mass of nitrogen in ammonia and 17 is the molar mass of ammonia."}, _xlpm.r, _xlpm.c))))</definedName>
    <definedName name="Fertiliser_SourceData.Fertiliser_EFLeach_Data">_xlfn.LAMBDA(0.011)</definedName>
    <definedName name="Fertiliser_SourceData.Fertiliser_EFLeach_Source">_xlfn.LAMBDA(("VEERG 2026: 5.5.2.3 Constant Parameters"))</definedName>
    <definedName name="Fertiliser_SourceData.Fertiliser_EFLeach_Title">_xlfn.LAMBDA(("Emission factor for nitrogen leaching and runoff"))</definedName>
    <definedName name="Fertiliser_SourceData.Fertiliser_EFLeach_Unit">_xlfn.LAMBDA(("kg N2O-N / kg N"))</definedName>
    <definedName name="Fertiliser_SourceData.Fertiliser_EFLeach_Variable">_xlfn.LAMBDA(("EFLeach"))</definedName>
    <definedName name="Fertiliser_SourceData.Fertiliser_EFLeach_Variation">_xlfn.LAMBDA("")</definedName>
    <definedName name="Fertiliser_SourceData.Fertiliser_EFUreaCO2_Data">_xlfn.LAMBDA(0.2)</definedName>
    <definedName name="Fertiliser_SourceData.Fertiliser_EFUreaCO2_Source">_xlfn.LAMBDA(("VEERG 2026: 5.1.2.2 Constant Parameters"))</definedName>
    <definedName name="Fertiliser_SourceData.Fertiliser_EFUreaCO2_Title">_xlfn.LAMBDA(("Emission factor for carbon emissions from urea application"))</definedName>
    <definedName name="Fertiliser_SourceData.Fertiliser_EFUreaCO2_Unit">_xlfn.LAMBDA(("kg C/kg urea"))</definedName>
    <definedName name="Fertiliser_SourceData.Fertiliser_EFUreaCO2_Variable">_xlfn.LAMBDA(("EFureaCO2"))</definedName>
    <definedName name="Fertiliser_SourceData.Fertiliser_EFUreaCO2_Variation">_xlfn.LAMBDA("")</definedName>
    <definedName name="Fertiliser_SourceData.Fertiliser_FracGASF_Data">_xlfn.LAMBDA(_xlfn.MAKEARRAY(6, 2, _xlfn.LAMBDA(_xlpm.r,_xlpm.c, INDEX({"Fertiliser type f","FracGASFf";"Urea-based fertilisers",0.15;"Ammonium-based fertilisers",0.08;"Nitrate-based fertilisers",0.01;"Ammonium-nitrate based fertilisers",0.05;"Other fertilisers",0.11}, _xlpm.r, _xlpm.c))))</definedName>
    <definedName name="Fertiliser_SourceData.Fertiliser_FracGASF_Source">_xlfn.LAMBDA(("Table A.2.2.6: Fraction of inorganic fertiliser f that volatilises as NH3 and NOx ((kg NH3–N + NOx–N)/kg N) (FracGASFf)"))</definedName>
    <definedName name="Fertiliser_SourceData.Fertiliser_FracGASF_Title">_xlfn.LAMBDA(("Fraction of inorganic fertiliser that volatilises as NH3 and NOx"))</definedName>
    <definedName name="Fertiliser_SourceData.Fertiliser_FracGASF_Variation">_xlfn.LAMBDA("")</definedName>
    <definedName name="Fertiliser_SourceData.Fertiliser_FracGASMSoil_Data">_xlfn.LAMBDA(0.21)</definedName>
    <definedName name="Fertiliser_SourceData.Fertiliser_FracGASMSoil_Source">_xlfn.LAMBDA(("VEERG 2026: 5.4.2.3 Constant Parameters"))</definedName>
    <definedName name="Fertiliser_SourceData.Fertiliser_FracGASMSoil_Title">_xlfn.LAMBDA(("Fraction of organic fertiliser that volatilises as NH3 and NOx"))</definedName>
    <definedName name="Fertiliser_SourceData.Fertiliser_FracGASMSoil_Unit">_xlfn.LAMBDA(("(kg NH3-N + NOx-N)/kg N"))</definedName>
    <definedName name="Fertiliser_SourceData.Fertiliser_FracGASMSoil_Variable">_xlfn.LAMBDA(("FracGASMsoil"))</definedName>
    <definedName name="Fertiliser_SourceData.Fertiliser_FracGASMSoil_Variation">_xlfn.LAMBDA("")</definedName>
    <definedName name="Fertiliser_SourceData.Fertiliser_FracLEACH_Data">_xlfn.LAMBDA(0.24)</definedName>
    <definedName name="Fertiliser_SourceData.Fertiliser_FracLEACH_Source">_xlfn.LAMBDA(("VEERG 2026: 5.5.2.3 Constant Parameters"))</definedName>
    <definedName name="Fertiliser_SourceData.Fertiliser_FracLEACH_Title">_xlfn.LAMBDA(("Fraction of nitrogen that is lost through leaching and runoff"))</definedName>
    <definedName name="Fertiliser_SourceData.Fertiliser_FracLEACH_Unit">_xlfn.LAMBDA(("fraction"))</definedName>
    <definedName name="Fertiliser_SourceData.Fertiliser_FracLEACH_Variable">_xlfn.LAMBDA(("FracLEACH"))</definedName>
    <definedName name="Fertiliser_SourceData.Fertiliser_FracLEACH_Variation">_xlfn.LAMBDA("")</definedName>
    <definedName name="Fertiliser_SourceData.Fertiliser_FractionNCommonFertilisers_Data">_xlfn.LAMBDA(_xlfn.MAKEARRAY(10, 2, _xlfn.LAMBDA(_xlpm.r,_xlpm.c, INDEX({"Fertiliser Type f","FNinorganicf";"Monoammonium phosphate (MAP)",0.1;"Diammonium phosphate (DAP)",0.18;"Urea",0.46;"Sulphate of ammonia (SOA)",0.21;"Urea-ammonium nitrate (UAN)",0.32;"Ammonium nitrate (AN)",0.337;"Calcium ammonium nitrate (CAN)",0.27;"Ammonium Sulfate",0.21;"Calcium Nitrate",0.155}, _xlpm.r, _xlpm.c))))</definedName>
    <definedName name="Fertiliser_SourceData.Fertiliser_FractionNCommonFertilisers_Source">_xlfn.LAMBDA(("VEERG 2026: Table A.2.2.3"))</definedName>
    <definedName name="Fertiliser_SourceData.Fertiliser_FractionNCommonFertilisers_Title">_xlfn.LAMBDA(("Fraction of nitrogen in common inorganic fertilisers (kgN/kg) (FNorganic,f)"))</definedName>
    <definedName name="Fertiliser_SourceData.Fertiliser_FractionNCommonFertilisers_Variation">_xlfn.LAMBDA((""))</definedName>
    <definedName name="Fertiliser_SourceData.Fertiliser_FractionUreaCommonFertilisers_Data">_xlfn.LAMBDA(_xlfn.MAKEARRAY(10, 2, _xlfn.LAMBDA(_xlpm.r,_xlpm.c, INDEX({"Fertiliser Type f","FUf";"Monoammonium phosphate (MAP)",0;"Diammonium phosphate (DAP)",0;"Urea",1;"Sulphate of ammonia (SOA)",0;"Urea-ammonium nitrate (UAN)",0.35;"Ammonium nitrate (AN)",0;"Calcium ammonium nitrate (CAN)",0;"Ammonium Sulfate",0;"Calcium Nitrate",0}, _xlpm.r, _xlpm.c))))</definedName>
    <definedName name="Fertiliser_SourceData.Fertiliser_FractionUreaCommonFertilisers_Source">_xlfn.LAMBDA(("VEERG 2026: Table A.2.2.4"))</definedName>
    <definedName name="Fertiliser_SourceData.Fertiliser_FractionUreaCommonFertilisers_Title">_xlfn.LAMBDA(("Fraction of urea in common inorganic fertilisers (kg urea/kg) (FUf)"))</definedName>
    <definedName name="Fertiliser_SourceData.Fertiliser_FractionUreaCommonFertilisers_Variation">_xlfn.LAMBDA((""))</definedName>
    <definedName name="Fertiliser_SourceData.Fertiliser_LimeDolomiteGypsumConstants_Data">_xlfn.LAMBDA(_xlfn.MAKEARRAY(4, 3, _xlfn.LAMBDA(_xlpm.r,_xlpm.c, INDEX({"Element","P","EF";"Lime (Calcium carbonate)",0.9,0.12;"Dolomite (Magnesium carbonate)",0.95,0.13;"Gypsum",0,0}, _xlpm.r, _xlpm.c))))</definedName>
    <definedName name="Fertiliser_SourceData.Fertiliser_LimeDolomiteGypsumConstants_Description">_xlfn.LAMBDA(("Constants for lime, dolomite and gypsum"))</definedName>
    <definedName name="Fertiliser_SourceData.Fertiliser_LimeDolomiteGypsumConstants_Source">_xlfn.LAMBDA(("VEERG 2026: 5.3.2.3 Constant Parameters"))</definedName>
    <definedName name="Fertiliser_SourceData.Fertiliser_LimeDolomiteGypsumConstants_Title">_xlfn.LAMBDA(("Constants for lime, dolomite and gypsum"))</definedName>
    <definedName name="Fertiliser_SourceData.Fertiliser_LimeDolomiteGypsumConstants_Variation">_xlfn.LAMBDA(("VARIATION FROM SOURCE DATA: Gypsum has been added with placeholder values of 0 for P and EF."))</definedName>
    <definedName name="Fertiliser_SourceData.Fertiliser_Products_Data1">_xlfn.LAMBDA(_xlfn.MAKEARRAY(12, 28, _xlfn.LAMBDA(_xlpm.r,_xlpm.c, INDEX({"Include or exclude","Notes","Company","Product Name","Unit","Density","Urea source","Ammonia source","Ingredient 1","Ingredient 1 percent","Ingredient 2","Ingredient 2 percent","Ingredient 3","Ingredient 3 percent","Ingredient 4","Ingredient 4 percent","Ingredient 5","Ingredient 5 percent","Ingredient 6","Ingredient 6 percent","Ingredient 7","Ingredient 7 percent","Ingredient 8","Ingredient 8 percent","Ingredient 9","Ingredient 9 percent","Ingredient 10","Ingredient 10 percent";"Include","","Campbells fertilisers Australia","Aqua Finish","L",1.26,"","","Potassium - Generic",0.225,"Phosphorus - Generic",0.04,"Nitrogen - Generic",0.026,"","","","","","","","","","","","","","";"Include","","Campbells fertilisers Australia","Aqua Grow","L",1.26,"","","Potassium - Generic",0.105,"Nitrogen - Generic",0.096,"Phosphorus - Generic",0.05,"","","","","","","","","","","","","","";"Include","","Campbells fertilisers Australia","Aqua Nitro AN","L",1.24,"","","Nitrogen - Ammoniacal",0.223,"","","","","","","","","","","","","","","","","","";"Include","","Campbells fertilisers Australia","Aqua Start","L",1.25,"","","Nitrogen - Generic",0.103,"Phosphorus - Generic",0.1,"Potassium - Generic",0.034,"","","","","","","","","","","","","","";"Include","","Campbells fertilisers Australia","Aqua Thio-Complete","L",1.43,"","","Potassium - Generic",0.225,"Phosphorus - Generic",0.038,"Nitrogen - Generic",0.025,"","","","","","","","","","","","","","";"Include","","Campbells fertilisers Australia","Aqua Thio-Emerge","L",1.29,"","","Nitrogen - Generic",0.105,"Phosphorus - Generic",0.094,"Potassium - Generic",0.04,"Sulfur - Generic",0.03,"","","","","","","","","","","","";"Include","","Campbells fertilisers Australia","Aqua Thio-Flourish","L",1.32,"","","Potassium - Generic",0.108,"Nitrogen - Generic",0.095,"Sulfur - Generic",0.081,"Phosphorus - Generic",0.047,"","","","","","","","","","","","";"Include - Absent ingredients &lt; 2%","Amount of urea calculated from urea nitrogen amount","Campbells fertilisers Australia","Boost-It","kg",1,"","","Urea",0.52173913,"Potassium - Generic",0.08,"Sulfur - Generic",0.053,"Phosphorus - Generic",0.052,"Magnesium",0.013,"Zinc",0.002,"Manganese",0.0035,"Iron",0.0013,"Copper",0.0007,"Boron",0.0007;"Include","","Campbells fertilisers Australia","Bronze","kg",1,"","","Muriate of Potash (MOP)",0.232,"Nitrogen - Generic",0.17,"Sulfur - Generic",0.005,"Magnesium",0.0024,"Phosphorus - Generic",0.0004,"","","","","","","","","","";"Include","50/50 nitrate and ammoniacal nitrogen (ammonium nitrate)","Campbells fertilisers Australia","Compass","kg",1,"","","Nitrogen - Ammoniacal",0.075,"Nitrogen - Nitrate",0.075,"Potassium - Generic",0.125,"Phosphorus-Generic",0.065,"Sulfur - Generic",0.06,"","","","","","","","","","";"Include - Absent ingredients &lt; 2%","Controlled release N treated as generic, Amount of urea calculated from urea nitrogen amount","Campbells fertilisers Australia","CoRoN 12-0-10","L",1.215,"","","Urea",0.195652174,"Potassium - Generic",0.1,"Nitrogen - Generic",0.03,"Boron",0.005,"","","","","","","","","","","",""}, _xlpm.r, _xlpm.c))))</definedName>
    <definedName name="Fertiliser_SourceData.Fertiliser_Products_Data2">_xlfn.LAMBDA(_xlfn.MAKEARRAY(31, 20, _xlfn.LAMBDA(_xlpm.r,_xlpm.c, INDEX({"Product","Ingredient 1","Ingredient 1 percent","Ingredient 1 source","Ingredient 2","Ingredient 2 percent","Ingredient 2 source","Ingredient 3","Ingredient 3 percent","Ingredient 3 source","Ingredient 4","Ingredient 4 percent","Ingredient 4 source","Ingredient 5","Ingredient 5 percent","Ingredient 5 source","Ingredient 6","Ingredient 6 percent","Ingredient 6 source","Product info link";"Manganese Sulphate","","","","","","","","","","","","","","","","","","","Incitec Pivot Fertilisers";"MAP","","","","","","","","","","","","","","","","","","","Incitec Pivot Fertilisers";"MAP Impact","","","","","","","","","","","","","","","","","","","Impact fertilisers";"MAPSZC","","","","","","","","","","","","","","","","","","","Summit Fertilizers";"Maximum N-Pact 29-0-0","","","","","","","","","","","","","","","","","","","Maximum N-Pact | Loveland (lovelandagriproducts.com.au)";"Microsol 12-6-44","","","","","","","","","","","","","","","","","","","Rigbytaylor Microsol Range";"Microsol 16-32-16","","","","","","","","","","","","","","","","","","","Rigbytaylor Microsol Range";"Microsol 25-5-10","","","","","","","","","","","","","","","","","","","Rigbytaylor Microsol Range";"Microsol 28-0-14","","","","","","","","","","","","","","","","","","","Rigbytaylor Microsol Range";"Mono Potassium Phosphate MKP","","","","","","","","","","","","","","","","","","","Swancrop";"Muriate Of Potash MOP","","","","","","","","","","","","","","","","","","","MountCompass Fertilisers Blends";"NitroPlus","","","","","","","","","","","","","","","","","","","AgroStock Group Nitro Plus";"NutraGold","","","","","","","","","","","","","","","","","","","Swancrop";"Pro Performance 18-3-6","","","","","","","","","","","","","","","","","","","Pro Turf Formula";"SOA","","","","","","","","","","","","","","","","","","","MountCompass Fertilisers Blends";"SSP","","","","","","","","","","","","","","","","","","","Impact fertilisers";"Super Phos","","","","","","","","","","","","","","","","","","","CSBP Super PHOS";"Super SR Extra","","","","","","","","","","","","","","","","","","","CSBP Super Potash";"SuPerfect","","","","","","","","","","","","","","","","","","","Incitec Pivot Fertilisers";"SuperPasture Potash 5:1","","","","","","","","","","","","","","","","","","","CSBP Super Potash";"Trace-it Mn","","","","","","","","","","","","","","","","","","","Campbells fertilisers Australia";"UniSZon","","","","","","","","","","","","","","","","","","","WengfuAustralia uniSZon";"Urea","","","","","","","","","","","","","","","","","","","ProductCard_Adelaide_web.pdf (incitecpivotfertilisers.com.au)";"Wengfu Slam Granular","","","","","","","","","","","","","","","","","","","Straights (wengfu.com.au)";"Yara FlowPhos 10","","","","","","","","","","","","","","","","","","","Crop Nutrition Solutions (Yara Australia)";"Yara FlowPhos 13Z","","","","","","","","","","","","","","","","","","","Crop Nutrition Solutions (Yara Australia)";"Yara FlowPhos 15","","","","","","","","","","","","","","","","","","","Crop Nutrition Solutions (Yara Australia)";"Yara FlowPhos KZ","","","","","","","","","","","","","","","","","","","Crop Nutrition Solutions (Yara Australia)";"Yara KeyPro Trace","","","","","","","","","","","","","","","","","","","Crop Nutrition Solutions (Yara Australia)";"Yara KeyPro Zinc","","","","","","","","","","","","","","","","","","","Crop Nutrition Solutions (Yara Australia)"}, _xlpm.r, _xlpm.c))))</definedName>
    <definedName name="Fertiliser_SourceData.Fertiliser_Products_Data3">_xlfn.LAMBDA(_xlfn.MAKEARRAY(31, 20, _xlfn.LAMBDA(_xlpm.r,_xlpm.c, INDEX({"Product","Ingredient 1","Ingredient 1 percent","Ingredient 1 source","Ingredient 2","Ingredient 2 percent","Ingredient 2 source","Ingredient 3","Ingredient 3 percent","Ingredient 3 source","Ingredient 4","Ingredient 4 percent","Ingredient 4 source","Ingredient 5","Ingredient 5 percent","Ingredient 5 source","Ingredient 6","Ingredient 6 percent","Ingredient 6 source","Product info link";"Yara K-Flow 0-0-15","","","","","","","","","","","","","","","","","","","Crop Nutrition Solutions (Yara Australia)";"Yara K-Flow 0-14-30","","","","","","","","","","","","","","","","","","","Crop Nutrition Solutions (Yara Australia)";"Yara K-Flow 0-7-36","","","","","","","","","","","","","","","","","","","Crop Nutrition Solutions (Yara Australia)";"Yara K-Flow 13-0-7","","","","","","","","","","","","","","","","","","","Crop Nutrition Solutions (Yara Australia)";"Yara K-Flow 4-0-12","","","","","","","","","","","","","","","","","","","Crop Nutrition Solutions (Yara Australia)";"Yara Liquids MICRO-SUL","","","","","","","","","","","","","","","","","","","Crop Nutrition Solutions (Yara Australia)";"Yara Liquids N24","","","","","","","","","","","","","","","","","","","Crop Nutrition Solutions (Yara Australia)";"Yara Liquids N25","","","","","","","","","","","","","","","","","","","Crop Nutrition Solutions (Yara Australia)";"Yara Liquids N26","","","","","","","","","","","","","","","","","","","Crop Nutrition Solutions (Yara Australia)";"Yara Liquids N42","","","","","","","","","","","","","","","","","","","Crop Nutrition Solutions (Yara Australia)";"Yara Liquids N-CAL 15+18Ca","","","","","","","","","","","","","","","","","","","Crop Nutrition Solutions (Yara Australia)";"Yara Liquids N-CAL 20+10Ca+B","","","","","","","","","","","","","","","","","","","Crop Nutrition Solutions (Yara Australia)";"Yara Liquids N-CAL 35+6Ca","","","","","","","","","","","","","","","","","","","Crop Nutrition Solutions (Yara Australia)";"Yara Liquids N-FOL 24","","","","","","","","","","","","","","","","","","","Crop Nutrition Solutions (Yara Australia)";"Yara Liquids N-FOL 24+TE","","","","","","","","","","","","","","","","","","","Crop Nutrition Solutions (Yara Australia)";"Yara Liquids P-FOL Zinc","","","","","","","","","","","","","","","","","","","Crop Nutrition Solutions (Yara Australia)";"Yara Liquids SULSA 11-0-0+12S","","","","","","","","","","","","","","","","","","","Crop Nutrition Solutions (Yara Australia)";"Yara Liquids SULSA 24-3-0+6S","","","","","","","","","","","","","","","","","","","Crop Nutrition Solutions (Yara Australia)";"Yara Liquids SULSA 27-0-0+7S","","","","","","","","","","","","","","","","","","","Crop Nutrition Solutions (Yara Australia)";"Yara Liquids SULSA 36-0-0+3S","","","","","","","","","","","","","","","","","","","Crop Nutrition Solutions (Yara Australia)";"YaraLiva CALCINIT B","","","","","","","","","","","","","","","","","","","Crop Nutrition Solutions (Yara Australia)";"YaraLiva NITRABOR","","","","","","","","","","","","","","","","","","","YaraLiva NITRABOR | Yara Australia";"YaraLiva TROPICOTE","","","","","","","","","","","","","","","","","","","Crop Nutrition Solutions (Yara Australia)";"YaraMila Complex","","","","","","","","","","","","","","","","","","","Crop Nutrition Solutions (Yara Australia)";"YaraMila Complex 17-5-10(4)","","","","","","","","","","","","","","","","","","","Crop Nutrition Solutions (Yara Australia)";"YaraMila Complex 21-7-3(4)","","","","","","","","","","","","","","","","","","","Crop Nutrition Solutions (Yara Australia)";"YaraMila UNIVERSAL","","","","","","","","","","","","","","","","","","","Crop Nutrition Solutions (Yara Australia)";"YaraRega 13-2-21","","","","","","","","","","","","","","","","","","","Crop Nutrition Solutions (Yara Australia)";"YaraVita BORTRAC","","","","","","","","","","","","","","","","","","","Crop Nutrition Solutions (Yara Australia)";"YaraVita BRASSITREL DF","","","","","","","","","","","","","","","","","","","Crop Nutrition Solutions (Yara Australia)"}, _xlpm.r, _xlpm.c))))</definedName>
    <definedName name="Fertiliser_SourceData.Fertiliser_Products_Data4">_xlfn.LAMBDA(_xlfn.MAKEARRAY(16, 20, _xlfn.LAMBDA(_xlpm.r,_xlpm.c, INDEX({"Product","Ingredient 1","Ingredient 1 percent","Ingredient 1 source","Ingredient 2","Ingredient 2 percent","Ingredient 2 source","Ingredient 3","Ingredient 3 percent","Ingredient 3 source","Ingredient 4","Ingredient 4 percent","Ingredient 4 source","Ingredient 5","Ingredient 5 percent","Ingredient 5 source","Ingredient 6","Ingredient 6 percent","Ingredient 6 source","Product info link";"YaraVita BRASSITREL PRO","","","","","","","","","","","","","","","","","","","Crop Nutrition Solutions (Yara Australia)";"YaraVita BUD BUILDER FL","","","","","","","","","","","","","","","","","","","Crop Nutrition Solutions (Yara Australia)";"YaraVita FRUTREL","","","","","","","","","","","","","","","","","","","Crop Nutrition Solutions (Yara Australia)";"YaraVita GLYTREL ZnP","","","","","","","","","","","","","","","","","","","Crop Nutrition Solutions (Yara Australia)";"YaraVita GRAMITREL","","","","","","","","","","","","","","","","","","","Crop Nutrition Solutions (Yara Australia)";"YaraVita KOMBIPHOS","","","","","","","","","","","","","","","","","","","Crop Nutrition Solutions (Yara Australia)";"YaraVita MANGZINC","","","","","","","","","","","","","","","","","","","Crop Nutrition Solutions (Yara Australia)";"YaraVita MOLYTRAC","","","","","","","","","","","","","","","","","","","Crop Nutrition Solutions (Yara Australia)";"YaraVita SENIPHOS","","","","","","","","","","","","","","","","","","","Crop Nutrition Solutions (Yara Australia)";"YaraVita ZINTRAC","","","","","","","","","","","","","","","","","","","Crop Nutrition Solutions (Yara Australia)";"Zinc Sulphate Monohydrate","","","","","","","","","","","","","","","","","","","Incitec Pivot Fertilisers";"Zincsol","","","","","","","","","","","","","","","","","","","Sulfate Zincsol";"ZincStar","","","","","","","","","","","","","","","","","","","Impact fertilisers";"ZMC-1","","","","","","","","","","","","","","","","","","","Kemgro ZMC-1";"Zn 7000","","","","","","","","","","","","","","","","","","","Rutec Zn 7000"}, _xlpm.r, _xlpm.c))))</definedName>
    <definedName name="Fertiliser_SourceData.Fertiliser_Products_Description">_xlfn.LAMBDA(("Popular fertiliser products used in Australia, along with their chemical compound composition"))</definedName>
    <definedName name="Fertiliser_SourceData.Fertiliser_Products_Source">_xlfn.LAMBDA((""))</definedName>
    <definedName name="Fertiliser_SourceData.Fertiliser_Products_Title">_xlfn.LAMBDA(("Branded fertiliser products and their chemical composition"))</definedName>
    <definedName name="Fertiliser_SourceData.Fertiliser_UreaAmmoniaSourceRegions_Data">_xlfn.LAMBDA(_xlfn.MAKEARRAY(5, 1, _xlfn.LAMBDA(_xlpm.r,_xlpm.c, INDEX({"Source";"Global";"Canada";"China";"Yemen"}, _xlpm.r, _xlpm.c))))</definedName>
    <definedName name="Fertiliser_SourceData.Fertiliser_UreaAmmoniaSourceRegions_Source">_xlfn.LAMBDA("Lifecycles. (2026). Greenhouse Gas Emission Intensities for Material Inputs to Australian Agriculture, Fisheries and Forestry. Version 48. doi 10.5281/zenodo.19656580")</definedName>
    <definedName name="Fertiliser_SourceData.Fertiliser_UreaAmmoniaSourceRegions_Title">_xlfn.LAMBDA("Source regions for urea and ammonia")</definedName>
    <definedName name="Fuel_Equations.VEERG_8_1_1_1__1_FuelCombustionTransport">_xlfn.LAMBDA(_xlpm.Q_Transtq,_xlpm.EC_Transq,_xlpm.EF_Trans1tqg, Fuel_Equations.VEERG_8_FuelCombustion(_xlpm.Q_Transtq, _xlpm.EC_Transq, _xlpm.EF_Trans1tqg))</definedName>
    <definedName name="Fuel_Equations.VEERG_8_1_1_1__1_FuelCombustionTransport_Arguments">_xlfn.LAMBDA(_xlfn.MAKEARRAY(7, 4, _xlfn.LAMBDA(_xlpm.r,_xlpm.c, INDEX({"Q_Transtq","Amount of fuel type q combusted for transport energy purposes","Varies based on fuel type: kL, m3, GJ","Input";"EC_Transq","Energy content factor for transport energy purposes","GJ / unit of fuel","Constant";"EF_Trans1tqg","Scope 1 emission factor for transport energy purposes for each greenhouse gas","kg CO2e / GJ","Constant";"q","Fuel type","","Constant";"Trans","Transport combustion","","Constant";"g","Greenhouse gas","","Constant";"1","Scope 1","","Constant"}, _xlpm.r, _xlpm.c))))</definedName>
    <definedName name="Fuel_Equations.VEERG_8_1_1_1__1_FuelCombustionTransport_LatexEquation">_xlfn.LAMBDA("E_g=\sum\nolimits_t \sum\nolimits_q\left(Q_{Trans,tq}\times EC_{Trans,q}\times EF_{Trans,1,tqg}\right)\times 10^{-3}")</definedName>
    <definedName name="Fuel_Equations.VEERG_8_1_1_1__1_FuelCombustionTransport_NIRReference">_xlfn.LAMBDA("Australian National Greenhouse Accounts Factors 2025 - 2.3 Estimating emissions from transport fuels")</definedName>
    <definedName name="Fuel_Equations.VEERG_8_1_1_1__1_FuelCombustionTransport_ReadableEquation">_xlfn.LAMBDA("E = Q * EC * EF * 10 ^ - 3")</definedName>
    <definedName name="Fuel_Equations.VEERG_8_1_1_1__1_FuelCombustionTransport_Source">_xlfn.LAMBDA("VEERG 2026: 8.1.1.1, Equation (1)")</definedName>
    <definedName name="Fuel_Equations.VEERG_8_1_1_1__1_FuelCombustionTransport_Title">_xlfn.LAMBDA("Emissions for each GHG from the combustion of fuels for transport energy purposes")</definedName>
    <definedName name="Fuel_Equations.VEERG_8_1_1_1__1_FuelCombustionTransport_Unit">_xlfn.LAMBDA("t CO2-e")</definedName>
    <definedName name="Fuel_Equations.VEERG_8_1_1_1__1_FuelCombustionTransport_Variable">_xlfn.LAMBDA("E_g")</definedName>
    <definedName name="Fuel_Equations.VEERG_8_2_1_1__1_FuelCombustionStationary">_xlfn.LAMBDA(_xlpm.Q_SCq,_xlpm.EC_SCq,_xlpm.EF_SC1qg, Fuel_Equations.VEERG_8_FuelCombustion(_xlpm.Q_SCq, _xlpm.EC_SCq, _xlpm.EF_SC1qg))</definedName>
    <definedName name="Fuel_Equations.VEERG_8_2_1_1__1_FuelCombustionStationary_Arguments">_xlfn.LAMBDA(_xlfn.MAKEARRAY(7, 4, _xlfn.LAMBDA(_xlpm.r,_xlpm.c, INDEX({"Q_SCq","Amount of fuel type q used for stationary combustion operations","Varies based on fuel type: kL, m3, GJ","Input";"EC_SCq","Energy content factor for stationary combustion operations","GJ / unit of fuel","Constant";"EF_SC1qg","Scope 1 emission factor for stationary combustion for each greenhouse gas","kg CO2e / GJ","Constant";"q","Fuel type","","Constant";"SC","Stationary combustion","","Constant";"g","Greenhouse gas","","Constant";"1","Scope 1","","Constant"}, _xlpm.r, _xlpm.c))))</definedName>
    <definedName name="Fuel_Equations.VEERG_8_2_1_1__1_FuelCombustionStationary_LatexEquation">_xlfn.LAMBDA("E_g=\sum\nolimits_t \sum\nolimits_q\left(Q_{SC,q}\times EC_{SC,q}\times EF_{SC,1,qg}\right)\times 10^{-3}")</definedName>
    <definedName name="Fuel_Equations.VEERG_8_2_1_1__1_FuelCombustionStationary_NIRReference">_xlfn.LAMBDA("Australian National Greenhouse Accounts Factors 2025 - 2.2 Estimating emissions from stationary energy sources - Calculating emissions from stationary combustion of liquid fuels")</definedName>
    <definedName name="Fuel_Equations.VEERG_8_2_1_1__1_FuelCombustionStationary_ReadableEquation">_xlfn.LAMBDA("E = Q * EC * EF * 10 ^ - 3")</definedName>
    <definedName name="Fuel_Equations.VEERG_8_2_1_1__1_FuelCombustionStationary_Source">_xlfn.LAMBDA("VEERG 2026: 8.2.1.1, Equation (1)")</definedName>
    <definedName name="Fuel_Equations.VEERG_8_2_1_1__1_FuelCombustionStationary_Title">_xlfn.LAMBDA("Emissions for each GHG from the stationary combustion of fuels")</definedName>
    <definedName name="Fuel_Equations.VEERG_8_2_1_1__1_FuelCombustionStationary_Unit">_xlfn.LAMBDA("t CO2-e")</definedName>
    <definedName name="Fuel_Equations.VEERG_8_2_1_1__1_FuelCombustionStationary_Variable">_xlfn.LAMBDA("E_g")</definedName>
    <definedName name="Fuel_Equations.VEERG_8_FuelCombustion">_xlfn.LAMBDA(_xlpm.Q,_xlpm.EC,_xlpm.EF, (_xlpm.Q * _xlpm.EC * _xlpm.EF) * 10 ^ -3)</definedName>
    <definedName name="Fuel_Equations.VEERG_8_X_FuelCombustionGeneric">_xlfn.LAMBDA(_xlpm.Q_GCq,_xlpm.EC_GCq,_xlpm.EF_GC1qg, Fuel_Equations.VEERG_8_FuelCombustion(_xlpm.Q_GCq, _xlpm.EC_GCq, _xlpm.EF_GC1qg))</definedName>
    <definedName name="Fuel_Equations.VEERG_8_X_FuelCombustionGeneric_Arguments">_xlfn.LAMBDA(_xlfn.MAKEARRAY(7, 4, _xlfn.LAMBDA(_xlpm.r,_xlpm.c, INDEX({"Q_GCq","Amount of fuel type q used for generic combustion operations","Varies based on fuel type: kL, m3, GJ","Input";"EC_GCq","Energy content factor for generic combustion operations","GJ / unit of fuel","Constant";"EF_GC1qg","Scope 1 emission factor for generic combustion for each greenhouse gas","kg CO2e / GJ","Constant";"q","Fuel type","","Constant";"GC","Generic combustion","","Constant";"g","Greenhouse gas","","Constant";"1","Scope 1","","Constant"}, _xlpm.r, _xlpm.c))))</definedName>
    <definedName name="Fuel_Equations.VEERG_8_X_FuelCombustionGeneric_LatexEquation">_xlfn.LAMBDA("E_g=\sum\nolimits_t \sum\nolimits_q\left(Q_{GC,q}\times EC_{GC,q}\times EF_{GC,1,qg}\right)\times 10^{-3}")</definedName>
    <definedName name="Fuel_Equations.VEERG_8_X_FuelCombustionGeneric_NIRReference">_xlfn.LAMBDA("Australian National Greenhouse Accounts Factors 2025 - 2.2 Estimating emissions from generic energy sources - Calculating emissions from generic combustion of liquid fuels and 2.3 Estimating emissions from transport fuels")</definedName>
    <definedName name="Fuel_Equations.VEERG_8_X_FuelCombustionGeneric_ReadableEquation">_xlfn.LAMBDA("E = Q * EC * EF * 10 ^ - 3")</definedName>
    <definedName name="Fuel_Equations.VEERG_8_X_FuelCombustionGeneric_Source">_xlfn.LAMBDA("Uses VEERG 2026: 8.1.1.1, Equation (1), 8.2.1.1, Equation (1) and everages the Australian National Greenhouse Accounts Factors 2025 for transport and stationary fuel combustion")</definedName>
    <definedName name="Fuel_Equations.VEERG_8_X_FuelCombustionGeneric_Title">_xlfn.LAMBDA("Emissions for each GHG from the generic combustion of fuels")</definedName>
    <definedName name="Fuel_Equations.VEERG_8_X_FuelCombustionGeneric_Unit">_xlfn.LAMBDA("t CO2-e")</definedName>
    <definedName name="Fuel_Equations.VEERG_8_X_FuelCombustionGeneric_Variable">_xlfn.LAMBDA("E_g")</definedName>
    <definedName name="Fuel_Equations.VEERG_8_X_FuelCombustionGeneric_Variation">_xlfn.LAMBDA("VARIATION ON SOURCE: This calculation uses averages of transport and stationary emission factors for fuel combustion where the usage is not known.")</definedName>
    <definedName name="Fuel_InputFunctions.Fuel_GetStationaryFuelString">_xlfn.LAMBDA(_xlpm.Cell, RIGHT(_xlpm.Cell, LEN(_xlpm.Cell) - FIND(", ", _xlpm.Cell)))</definedName>
    <definedName name="Fuel_InputFunctions.Fuel_GetTransportFuelString">_xlfn.LAMBDA(_xlpm.Cell, LEFT(_xlpm.Cell, FIND(", ", _xlpm.Cell) - 1))</definedName>
    <definedName name="Fuel_InputFunctions.Fuel_TotalConsumption">_xlfn.LAMBDA(_xlpm.FuelConsumptionArray,_xlpm.FuelUseArray,_xlpm.FuelUse,_xlpm.FuelTypeArray,_xlpm.FuelType, IFERROR(SUM(_xlfn._xlws.FILTER(_xlpm.FuelConsumptionArray, (_xlpm.FuelTypeArray = _xlpm.FuelType) * (_xlpm.FuelUseArray = _xlpm.FuelUse))), 0))</definedName>
    <definedName name="Fuel_SourceData.Fuel_Scope1EmissionFactorsStationaryGaseous_Data">_xlfn.LAMBDA(_xlfn.MAKEARRAY(19, 7, _xlfn.LAMBDA(_xlpm.r,_xlpm.c, INDEX({"Fuel combusted","Energy Content Factor (GJ per unit of fuel)","Fuel unit","Scope 1 Emission Factor (kg CO2 - e / GJ) CO2","Scope 1 Emission Factor (kg CO2 - e / GJ) CH4","Scope 1 Emission Factor (kg CO2 - e / GJ) N2O","Scope 1 Emission Factor (kg CO2 - e / GJ) Combined gases";"Natural gas distributed in a pipeline",0.0393,"m3",51.4,0.1,0.03,51.53;"Coal seam methane that is captured for combustion",0.0377,"m3",51.4,0.2,0.03,51.63;"Coal mine waste gas that is captured for combustion",0.0377,"m3",51.9,4.6,0.3,56.8;"Compressed natural gas(reverting to standard conditions)",0.0393,"m3",51.4,0.1,0.03,51.53;"Unprocessed natural gas",0.0393,"m3",51.4,0.1,0.03,51.53;"Ethane",0.0629,"m3",56.5,0.03,0.03,56.56;"Coke oven gas",0.0181,"m3",37,0.03,0.05,37.08;"Blast furnace gas",0.004,"m3",234,0.03,0.02,234.05;"Town gas",0.039,"m3",60.2,0.04,0.03,60.27;"Liquefied natural gas",25.3,"kL",51.4,0.1,0.03,51.53;"Gaseous fossil fuels other than those mentioned in the items above",0.039,"m3",51.4,0.1,0.03,51.53;"Landfill biogas that is captured for combustion (methane only)",0.0377,"m3",0,6.4,0.03,6.43;"Sludge biogas that is captured for combustion (methane only)",0.0377,"m3",0,6.4,0.03,6.43;"A biogas that is captured for combustion, other than those mentioned in the items above",0.037,"m3",0,6.4,0.03,6.43;"Biomethane",0.0393,"m3",0,0.1,0.03,0.13;"Hydrogen",0.0122,"m3",0,0,0.5,0.5;"Natural gas distributed in a pipeline - Gigajoules",1,"GJ",51.4,0.1,0.03,51.53;"Town gas - Gigajoules",1,"GJ",60.2,0.04,0.03,60.27}, _xlpm.r, _xlpm.c))))</definedName>
    <definedName name="Fuel_SourceData.Fuel_Scope1EmissionFactorsStationaryGaseous_Description">_xlfn.LAMBDA(("Direct (Scope 1) emission factors for the consumption of gaseous fuels including liquefied natural gas  "))</definedName>
    <definedName name="Fuel_SourceData.Fuel_Scope1EmissionFactorsStationaryGaseous_Source">_xlfn.LAMBDA(("Australian National Greenhouse Accounts Factors 2025 - Table 5"))</definedName>
    <definedName name="Fuel_SourceData.Fuel_Scope1EmissionFactorsStationaryGaseous_Title">_xlfn.LAMBDA(("Fuel scope 1 emission factors - Stationary gaseous fuels"))</definedName>
    <definedName name="Fuel_SourceData.Fuel_Scope1EmissionFactorsStationaryGaseous_Variation">_xlfn.LAMBDA(("VARIATION OF SOURCE DATA: 'Natural gas distributed in a pipeline - Gigajoules' and 'Town gas - Gigajoules' were added, each with an energy content factor of 1 GJ per unit of fuel. This is for users who have fuel consumption data in GJ rather than m3."))</definedName>
    <definedName name="Fuel_SourceData.Fuel_Scope1Scope3EmissionFactorsStationaryLiquid_Data">_xlfn.LAMBDA(_xlfn.MAKEARRAY(25, 8, _xlfn.LAMBDA(_xlpm.r,_xlpm.c, INDEX({"Fuel combusted","Energy Content Factor (GJ per unit of fuel)","Fuel unit","Scope 1 Emission Factor (kg CO2 - e / GJ) CO2","Scope 1 Emission Factor (kg CO2 - e / GJ) CH4","Scope 1 Emission Factor (kg CO2 - e / GJ) N2O","Scope 1 Emission Factor (kg CO2 - e / GJ) Combined gases","Scope 3 Emission Factor (kg CO2 - e / GJ)";"Petroleum based oils (other than petroleum based oil used as fuel), e.g. lubricants",38.8,"kl",13.9,0,0,13.9,18;"Petroleum based greases",38.8,"kl",3.5,0,0,3.5,18;"Crude oil including crude oil condensates",45.3,"t",69.6,0.08,0.2,69.88,"NE";"Other natural gas liquids",46.5,"t",61,0.08,0.2,61.28,"NE";"Automotive gasoline / petrol (other than for use as fuel in an aircraft)",34.2,"kL",67.4,0.2,0.2,67.8,17.2;"Aviation gasoline",33.1,"kL",67,0.2,0.2,67.4,18;"Kerosene (other than for use as fuel in an aircraft)",37.5,"kL",68.9,0.01,0.2,69.11,18;"Aviation turbine fuel / kerosene",36.8,"kL",69.6,0.02,0.2,69.82,18;"Heating oil",37.3,"kL",69.5,0.03,0.2,69.73,18;"Diesel oil",38.6,"kL",69.9,0.1,0.2,70.2,17.3;"Fuel oil",39.7,"kL",73.6,0.04,0.2,73.84,18;"Liquefied aromatic hydrocarbons",34.4,"kL",69.7,0.03,0.2,69.93,18;"Solvents: mineral turpentine or white spirits",34.4,"kL",69.7,0.03,0.2,69.93,18;"Liquefied petroleum gas (LPG)",25.7,"kL",60.2,0.2,0.2,60.6,20.2;"Naphtha",31.4,"kL",69.8,0.01,0.01,69.82,18;"Petroleum coke",34.2,"t",92.6,0.08,0.2,92.88,18;"Refinery gas and liquids",42.9,"t",54.7,0.03,0.03,54.76,18;"Refinery coke",34.2,"t",92.6,0.08,0.2,92.88,18;"Petroleum based products other than mentioned in the items above",34.4,"kL",69.8,0.02,0.1,69.92,18;"Biodiesel",34.6,"kL",0,0.08,0.2,0.28,"NE";"Ethanol for use as a fuel in an internal combustion engine",23.4,"kL",0,0.08,0.2,0.28,"NE";"Biofuels other than those mentioned in the items above and below",23.4,"kL",0,0.08,0.2,0.28,"NE";"Renewable aviation kerosene",36.8,"kL",0,0.02,0.2,0.22,"NE";"Renewable diesel",38.6,"kL",0,0.1,0.2,0.3,"NE"}, _xlpm.r, _xlpm.c))))</definedName>
    <definedName name="Fuel_SourceData.Fuel_Scope1Scope3EmissionFactorsStationaryLiquid_Description">_xlfn.LAMBDA(("Direct (Scope 1) and indirect (scope 3) emission factors for the consumption of liquid fuels, including certain petroleum based products for stationary energy purposes."))</definedName>
    <definedName name="Fuel_SourceData.Fuel_Scope1Scope3EmissionFactorsStationaryLiquid_Source">_xlfn.LAMBDA(("Australian National Greenhouse Accounts Factors 2025 - Table 8"))</definedName>
    <definedName name="Fuel_SourceData.Fuel_Scope1Scope3EmissionFactorsStationaryLiquid_Title">_xlfn.LAMBDA(("Fuel scope 1 and 3 emission factors - Stationary liquid fuels"))</definedName>
    <definedName name="Fuel_SourceData.Fuel_Scope1Scope3EmissionFactorsStationaryLiquid_Variation">_xlfn.LAMBDA("VARIATION OF SOURCE DATA: 'NE' values returned as zero for calculations.")</definedName>
    <definedName name="Fuel_SourceData.Fuel_Scope1Scope3EmissionFactorsTransport_Data">_xlfn.LAMBDA(_xlfn.MAKEARRAY(26, 10, _xlfn.LAMBDA(_xlpm.r,_xlpm.c, INDEX({"Transport type","Fuel combusted","Energy Content Factor(GJ per unit of fuel)","Fuel unit","Scope 1 Emission Factor (kg CO2 - e / GJ) CO2","Scope 1 Emission Factor (kg CO2 - e / GJ) CH4","Scope 1 Emission Factor (kg CO2 - e / GJ) N2O","Scope 1 Emission Factor (kg CO2 - e / GJ) Combined gases","Scope 3 Emission Factor (kg CO2 - e / GJ)","Source";"Cars and light commercial vehicles","Gasoline",34.2,"kl",67.4,0.02,0.2,67.62,17.2,"NGAF 2025: Table 9";"Cars and light commercial vehicles","Diesel oil",38.6,"kl",69.9,0.01,0.5,70.41,17.3,"NGAF 2025: Table 9";"Cars and light commercial vehicles","Liquefied petroleum gas (LPG)",26.2,"kl",60.2,0.5,0.3,61,20.2,"NGAF 2025: Table 9";"Cars and light commercial vehicles","Fuel oil",39.7,"kl",73.6,0.08,0.5,74.18,18,"NGAF 2025: Table 9";"Cars and light commercial vehicles","Ethanol",23.4,"kl",0,0.2,0.2,0.4,"NE","NGAF 2025: Table 9";"Cars and light commercial vehicles","Biodiesel",34.6,"kl",0,0.8,1.7,2.5,"NE","NGAF 2025: Table 9";"Cars and light commercial vehicles","Renewable diesel",38.6,"kl",0,0.01,0.5,0.51,"NE","NGAF 2025: Table 9";"Cars and light commercial vehicles","Other biofuels",23.4,"kl",0,0.8,1.7,2.5,"NE","NGAF 2025: Table 9";"Light duty vehicles","Compressed natural gas",0.0393,"m3",51.4,7.3,0.3,59,18,"NGAF 2025: Table 9";"Light duty vehicles","Liquefied natural gas",25.3,"kl",51.4,7.3,0.3,59,18,"NGAF 2025: Table 9";"Heavy duty vehicles","Compressed natural gas",0.0393,"m3",51.4,2.8,0.3,54.5,18,"NGAF 2025: Table 9";"Heavy duty vehicles","Liquefied natural gas",25.3,"kl",51.4,2.8,0.3,54.5,18,"NGAF 2025: Table 9";"Heavy duty vehicles","Diesel oil - Euro iv or higher",38.6,"kl",69.9,0.07,0.4,70.37,17.3,"NGAF 2025: Table 9";"Heavy duty vehicles","Diesel oil - Euro iii",38.6,"kl",69.9,0.1,0.4,70.4,17.3,"NGAF 2025: Table 9";"Heavy duty vehicles","Diesel oil - Euro i",38.6,"kl",69.9,0.2,0.4,70.5,17.3,"NGAF 2025: Table 9";"Heavy duty vehicles","Renewable diesel – Euro iv or higher",38.6,"kl",0,0.07,0.4,0.47,"NE","NGAF 2025: Table 9";"Heavy duty vehicles","Renewable diesel – Euro iii",38.6,"kl",0,0.1,0.4,0.5,"NE","NGAF 2025: Table 9";"Heavy duty vehicles","Renewable diesel – Euro i",38.6,"kl",0,0.2,0.4,0.6,"NE","NGAF 2025: Table 9";"Aviation","Gasoline for use as fuel in an aircraft",33.1,"kl",67,0.06,0.6,67.66,18,"NGAF 2025: Table 9";"Aviation","Kerosene for use as fuel in an aircraft",36.8,"kl",69.6,0.01,0.6,70.21,18,"NGAF 2025: Table 9";"Aviation","Renewable aviation kerosene",36.8,"kl",0,0.01,0.6,0.61,"NE","NGAF 2025: Table 9";"Vessels","Gasoline",34.2,"kL",67.4,10.1,0.3,"",17.2,"VEERG 2026: Table A.4.2.1";"Vessels","Diesel oil",38.6,"kL",69.9,0.2,0.5,"",17.3,"VEERG 2026: Table A.4.2.1";"Vessels","Fuel Oil",39.7,"kL",73.6,0.2,0.5,"",18,"VEERG 2026: Table A.4.2.1";"Off-road Agriculture and forestry equipment","Diesel oil",38.6,"kL",69.9,0.3,0.5,"",17.3,"VEERG 2026: Table A.4.2.1"}, _xlpm.r, _xlpm.c))))</definedName>
    <definedName name="Fuel_SourceData.Fuel_Scope1Scope3EmissionFactorsTransport_Description">_xlfn.LAMBDA(("Direct (scope 1) and indirect (scope 3) emission factors for the consumption of transport fuels in different transport equipment"))</definedName>
    <definedName name="Fuel_SourceData.Fuel_Scope1Scope3EmissionFactorsTransport_Source">_xlfn.LAMBDA(("Australian National Greenhouse Accounts Factors 2025 - Table 9"))</definedName>
    <definedName name="Fuel_SourceData.Fuel_Scope1Scope3EmissionFactorsTransport_Title">_xlfn.LAMBDA(("Fuel scope 1 and 3 emission factors - Transport"))</definedName>
    <definedName name="Fuel_SourceData.Fuel_Scope1Scope3EmissionFactorsTransport_Variation">_xlfn.LAMBDA("VARIATION OF SOURCE DATA: 'NE' values returned as zero for calculations.")</definedName>
    <definedName name="Fuel_SourceData.Fuel_Scope1Scope3EmissionFactorsTransportOffRoad_Data">_xlfn.LAMBDA(_xlfn.MAKEARRAY(5, 7, _xlfn.LAMBDA(_xlpm.r,_xlpm.c, INDEX({"Transport type t","Fuel type q","ECTrans,q (GJ/kL)","Scope 1 CO2 EFTran,1,tqg (kg CO2-e/GJ)","Scope 1 CH4 EFTran,1,tgg (kg CO2-e/GJ)","Scope 1 N2O EFTran,1,tgg (kg CO2-e/GJ)","Scope 3 EFTrans,3,q (kg CO2-e/GJ)";"Vessel","Petrol",34.2,67.4,10.1,0.3,17.2;"Vessel","Diesel",38.6,69.9,0.2,0.5,17.3;"Vessel","Fuel Oil",39.7,73.6,0.2,0.5,18;"Off-road Agriculture and forestry equipment","Diesel",38.6,69.9,0.3,0.5,17.3}, _xlpm.r, _xlpm.c))))</definedName>
    <definedName name="Fuel_SourceData.Fuel_Scope1Scope3EmissionFactorsTransportOffRoad_Description">_xlfn.LAMBDA(("Direct (scope 1) and indirect (scope 3) emission factors for the consumption of fuels in off-road equipment and vessels"))</definedName>
    <definedName name="Fuel_SourceData.Fuel_Scope1Scope3EmissionFactorsTransportOffRoad_Source">_xlfn.LAMBDA(("VEERG 2026: Table A.4.2.1"))</definedName>
    <definedName name="Fuel_SourceData.Fuel_Scope1Scope3EmissionFactorsTransportOffRoad_Title">_xlfn.LAMBDA(("Fuel scope 1 and 3 emission factors - Off-road equipment and vessels"))</definedName>
    <definedName name="Fuel_SourceData.Fuel_Scope3EmissionFactorsStationaryGaseous_Appendices">_xlfn.LAMBDA(_xlfn.MAKEARRAY(12, 2, _xlfn.LAMBDA(_xlpm.r,_xlpm.c, INDEX({"-","As Scope 3 factors are calculated at the point where natural gas is delivered to end users, it is necessary to calculate consumption at each of the load centres.";"","Gas reaches end users either from the metro distribution networks or direct from the high - pressure distribution pipelines.";"","Households and commercial users tend to be served by the former, and electricity generators and large industrial plants from the latter.";"-","Metro is defined as located on or east of the dividing range in NSW, including Canberra and Queanbeyan, Melbourne, Brisbane, Adelaide or Perth.";"","Otherwise, the non - metro factor should be used.";"-","Factors are calculated for all natural gas distributed in a pipeline which may include coal seam methane.";"-","Table 6 is not applicable to ethane. See Table 7 Indirect (Scope 3) emissions from the consumption of ethane.";"-","C = Confidential. Scope 3 emission factors for Tasmania and the Northern Territory are not available due to confidentiality constraints that arise";"","from the use of a limited number of NGER data inputs. It is suggested that for Tasmania the use of the Victorian emission factors is appropriate,";"","while for Northern Territory the use of the Western Australian emission factors is appropriate.";"-","Scope 3 emission factors do not include fugitive emission leakage from low pressure natural gas distribution pipeline networks while those from high pressure";"","gas networks are considered negligible."}, _xlpm.r, _xlpm.c))))</definedName>
    <definedName name="Fuel_SourceData.Fuel_Scope3EmissionFactorsStationaryGaseous_Data">_xlfn.LAMBDA(_xlfn.MAKEARRAY(9, 3, _xlfn.LAMBDA(_xlpm.r,_xlpm.c, INDEX({"State or territory","Scope 3 Emission Factors for Natural Gas (kg CO2 - e / GJ) Metro","Scope 3 Emission Factors for Natural Gas (kg CO2 - e / GJ) Non - Metro";"New South Wales",13.1,14;"ACT",13.1,14;"Victoria",4,4;"Queensland",8.8,7.9;"South Australia",10.7,10.6;"Western Australia",4.1,4;"Tasmania",4,4;"Northern Territory",4.1,4}, _xlpm.r, _xlpm.c))))</definedName>
    <definedName name="Fuel_SourceData.Fuel_Scope3EmissionFactorsStationaryGaseous_Description">_xlfn.LAMBDA(("Indirect (Scope 3) emission factors for the consumption of natural gas."))</definedName>
    <definedName name="Fuel_SourceData.Fuel_Scope3EmissionFactorsStationaryGaseous_Source">_xlfn.LAMBDA(("Australian National Greenhouse Accounts Factors 2025 - Table 6"))</definedName>
    <definedName name="Fuel_SourceData.Fuel_Scope3EmissionFactorsStationaryGaseous_Title">_xlfn.LAMBDA(("Fuel scope 3 emission factors - Stationary gaseous fuels"))</definedName>
    <definedName name="Fuel_SourceData.Fuel_Scope3EmissionFactorsStationaryGaseous_Variation">_xlfn.LAMBDA(("VARIATION OF SOURCE DATA: NSW and ACT split into separate rows. 'C' Values for Tasmania and Northern Territory replaced with those for Victoria and Western Australia respectively. (See appendices)"))</definedName>
    <definedName name="getOverlappingReportingCycles">_xlfn.LAMBDA(_xlpm.ProductionCycleStart,_xlpm.ProductionCycleEnd,_xlpm.ReportingStartMonth,_xlpm.ReportingStartDay, _xlfn.LET(_xlpm.S, _xlpm.ProductionCycleStart, _xlpm.E, _xlpm.ProductionCycleEnd, _xlpm.m, _xlpm.ReportingStartMonth, _xlpm.d, _xlpm.ReportingStartDay, _xlpm.A, _xlpm.S - 364, _xlpm.ya, YEAR(_xlpm.A), _xlpm.yb, YEAR(_xlpm.E), _xlpm.firstYear, _xlpm.ya + (DATE(_xlpm.ya, _xlpm.m, _xlpm.d) &lt; _xlpm.A), _xlpm.lastYear, _xlpm.yb - (DATE(_xlpm.yb, _xlpm.m, _xlpm.d) &gt; _xlpm.E), MAX(0, _xlpm.lastYear - _xlpm.firstYear + 1)))</definedName>
    <definedName name="Inoput_Cell_Livestock_antibiotics">#REF!</definedName>
    <definedName name="Inoput_Cell_Livestockantibiotics">#REF!</definedName>
    <definedName name="Input_Cell_CO2_for_carbonation">#REF!</definedName>
    <definedName name="Input_Cell_CO2forcarbonation">#REF!</definedName>
    <definedName name="Input_Cell_Livestock_antibiotics">#REF!</definedName>
    <definedName name="Input_Cell_Livestock_tags">#REF!</definedName>
    <definedName name="Input_Cell_LivestockAntibiotics">#REF!</definedName>
    <definedName name="Input_Cell_Nylon_netting_for_horticulture">#REF!</definedName>
    <definedName name="Input_Cell_Nylonnettingforhorticulture">#REF!</definedName>
    <definedName name="Input_Cell_Pallets__Plastic">#REF!</definedName>
    <definedName name="Input_Cell_Pallets__Wood">#REF!</definedName>
    <definedName name="Input_Cell_Pallets_Plastic">#REF!</definedName>
    <definedName name="Input_Cell_Pallets_Wood">#REF!</definedName>
    <definedName name="InputFunctions_Dairy.CalculateFractionInMMSAfterSolidSeparation">_xlfn.LAMBDA(_xlpm.ProductionSystem,_xlpm.MMSFraction,_xlpm.FractionSeparated, _xlpm.ProductionSystem * (_xlpm.MMSFraction - (_xlpm.MMSFraction * _xlpm.FractionSeparated)))</definedName>
    <definedName name="InputFunctions_Dairy.CalculateFractionInSolidStorage">_xlfn.LAMBDA(_xlpm.ProductionSystem,_xlpm.InitalSolidStorageFraction,_xlpm.MMS1Fraction,_xlpm.MMS1Separated,_xlpm.MMS2Fraction,_xlpm.MMS2Separated,_xlpm.MMS3Fraction,_xlpm.MMS3Separated, _xlpm.ProductionSystem * (_xlpm.InitalSolidStorageFraction + (_xlpm.MMS1Fraction * _xlpm.MMS1Separated) + (_xlpm.MMS2Fraction * _xlpm.MMS2Separated) + (_xlpm.MMS3Fraction * _xlpm.MMS3Separated)))</definedName>
    <definedName name="InputFunctions_PastureBeef.ConvertMonthlyCalvingToSeason">_xlfn.LAMBDA(_xlpm.Season,_xlpm.SumArray,_xlpm.CalvingMonthArray,_xlpm.MonthArray,_xlpm.MonthToSeasonArray, _xlfn.LET(_xlpm.MonthText, TEXT(_xlpm.CalvingMonthArray, "mmmm"), _xlpm.SeasonPerRow, _xlfn.XLOOKUP(_xlpm.MonthText, _xlpm.MonthArray, _xlpm.MonthToSeasonArray, "", 0), SUM(_xlpm.SumArray * (_xlpm.SeasonPerRow = _xlpm.Season))))</definedName>
    <definedName name="InputFunctions_PastureBeef.LookupLiveweightFromMonth">_xlfn.LAMBDA(_xlpm.State,_xlpm.Region,_xlpm.Month,_xlpm.LivestockClass,_xlpm.StateArray,_xlpm.RegionArray,_xlpm.SeasonArray,_xlpm.LivestockClassArray,_xlpm.ReturnArray,_xlpm.StateCommonNameArray,_xlpm.StateAbbreviationArray,_xlpm.MonthArray,_xlpm.MonthToSeasonArray, _xlfn.LET(_xlpm.Month, TEXT(_xlpm.Month, "mmmm"), _xlpm.State, _xlfn.XLOOKUP(_xlpm.State, _xlpm.StateCommonNameArray, _xlpm.StateAbbreviationArray), _xlpm.Season, _xlfn.XLOOKUP(_xlpm.Month, _xlpm.MonthArray, _xlpm.MonthToSeasonArray), _xlfn.XLOOKUP(1, (_xlpm.StateArray = _xlpm.State) * (_xlpm.RegionArray = _xlpm.Region) * (_xlpm.SeasonArray = _xlpm.Season), _xlfn.XLOOKUP(_xlpm.LivestockClass, _xlpm.LivestockClassArray, _xlpm.ReturnArray))))</definedName>
    <definedName name="InputFunctions_PastureBeef.LookupLiveweightFromSeason">_xlfn.LAMBDA(_xlpm.State,_xlpm.Region,_xlpm.Season,_xlpm.LivestockClass,_xlpm.StateArray,_xlpm.RegionArray,_xlpm.SeasonArray,_xlpm.LivestockClassArray,_xlpm.ReturnArray,_xlpm.StateCommonNameArray,_xlpm.StateAbbreviationArray, _xlfn.LET(_xlpm.State, _xlfn.XLOOKUP(_xlpm.State, _xlpm.StateCommonNameArray, _xlpm.StateAbbreviationArray), _xlfn.XLOOKUP(1, (_xlpm.StateArray = _xlpm.State) * (_xlpm.RegionArray = _xlpm.Region) * (_xlpm.SeasonArray = _xlpm.Season), _xlfn.XLOOKUP(_xlpm.LivestockClass, _xlpm.LivestockClassArray, _xlpm.ReturnArray))))</definedName>
    <definedName name="InputFunctions_PastureBeef.LookupValueFromStateRegionMonth">_xlfn.LAMBDA(_xlpm.State,_xlpm.Region,_xlpm.Month,_xlpm.StateArray,_xlpm.RegionArray,_xlpm.SeasonArray,_xlpm.ReturnArray,_xlpm.StateCommonNameArray,_xlpm.StateAbbreviationArray,_xlpm.MonthArray,_xlpm.MonthToSeasonArray, _xlfn.LET(_xlpm.State, _xlfn.XLOOKUP(_xlpm.State, _xlpm.StateCommonNameArray, _xlpm.StateAbbreviationArray), _xlpm.Season, _xlfn.XLOOKUP(TEXT(_xlpm.Month, "mmmm"), _xlpm.MonthArray, _xlpm.MonthToSeasonArray), _xlfn.XLOOKUP(1, (_xlpm.StateArray = _xlpm.State) * (_xlpm.RegionArray = _xlpm.Region), _xlfn.XLOOKUP(_xlpm.Season, _xlpm.SeasonArray, _xlpm.ReturnArray))))</definedName>
    <definedName name="InputFunctions_PastureBeef.LookupValueFromStateRegionSeason">_xlfn.LAMBDA(_xlpm.State,_xlpm.Region,_xlpm.Season,_xlpm.StateArray,_xlpm.RegionArray,_xlpm.SeasonArray,_xlpm.ReturnArray,_xlpm.StateCommonNameArray,_xlpm.StateAbbreviationArray, _xlfn.LET(_xlpm.State, _xlfn.XLOOKUP(_xlpm.State, _xlpm.StateCommonNameArray, _xlpm.StateAbbreviationArray), _xlfn.XLOOKUP(1, (_xlpm.StateArray = _xlpm.State) * (_xlpm.RegionArray = _xlpm.Region), _xlfn.XLOOKUP(_xlpm.Season, _xlpm.SeasonArray, _xlpm.ReturnArray))))</definedName>
    <definedName name="ManureManagement_Swine_Methane.VEERG_4_5_1_1__1_TotalAnnualMethaneEmissions">_xlfn.LAMBDA(_xlpm.Dj,_xlpm.Mmj,_xlpm.Nj, _xlpm.Dj * _xlpm.Mmj * _xlpm.Nj * 10 ^ -3)</definedName>
    <definedName name="ManureManagement_Swine_Methane.VEERG_4_5_1_1__1_TotalAnnualMethaneEmissions_Arguments">_xlfn.LAMBDA(_xlfn.MAKEARRAY(3, 2, _xlfn.LAMBDA(_xlpm.r,_xlpm.c, INDEX({"Dj","length of stay of each class of swine : days";"Mmj","methane production from manure in each swine class : kg CH4/head/day";"Nj","numbers of swine in each class : head"}, _xlpm.r, _xlpm.c))))</definedName>
    <definedName name="ManureManagement_Swine_Methane.VEERG_4_5_1_1__1_TotalAnnualMethaneEmissions_Source">_xlfn.LAMBDA("VEERG 2026: 4.5.1.1, Equation (1)")</definedName>
    <definedName name="ManureManagement_Swine_Methane.VEERG_4_5_1_1__1_TotalAnnualMethaneEmissions_Title">_xlfn.LAMBDA("Total annual methane emissions from manure management")</definedName>
    <definedName name="ManureManagement_Swine_Methane.VEERG_4_5_1_1__1_TotalAnnualMethaneEmissions_Unit">_xlfn.LAMBDA("t CH4")</definedName>
    <definedName name="ManureManagement_Swine_Methane.VEERG_4_5_1_1__1_TotalAnnualMethaneEmissions_Variable">_xlfn.LAMBDA("ECH4")</definedName>
    <definedName name="ManureManagement_Swine_Methane.VEERG_4_5_1_1__2_MethaneProductionPerClass_Arguments">_xlfn.LAMBDA(_xlfn.MAKEARRAY(1, 2, _xlfn.LAMBDA(_xlpm.r,_xlpm.c, INDEX({"MjmT","methane production from manure per class, MMS, and treatment stage : kg CH4/head/day"}, _xlpm.r, _xlpm.c))))</definedName>
    <definedName name="ManureManagement_Swine_Methane.VEERG_4_5_1_1__2_MethaneProductionPerClass_Source">_xlfn.LAMBDA("VEERG 2026: 4.5.1.1, Equation (2)")</definedName>
    <definedName name="ManureManagement_Swine_Methane.VEERG_4_5_1_1__2_MethaneProductionPerClass_Title">_xlfn.LAMBDA("Methane production from the manure of each class of swine")</definedName>
    <definedName name="ManureManagement_Swine_Methane.VEERG_4_5_1_1__2_MethaneProductionPerClass_Unit">_xlfn.LAMBDA("kg CH4/head/day")</definedName>
    <definedName name="ManureManagement_Swine_Methane.VEERG_4_5_1_1__2_MethaneProductionPerClass_Variable">_xlfn.LAMBDA("Mmj")</definedName>
    <definedName name="ManureManagement_Swine_Methane.VEERG_4_5_1_1__2_MethaneProductionPerClass_Variation">_xlfn.LAMBDA("VARIATION ON SOURCE: Split variable Mjm into MjmT1 and MjmT2 for stage 1 and 2 MMS.")</definedName>
    <definedName name="ManureManagement_Swine_Methane.VEERG_4_5_1_1__2_MethaneProductionPerClassVariation">_xlfn.LAMBDA(_xlpm.MjmT1,_xlpm.MjmT2, SUM(_xlpm.MjmT1, _xlpm.MjmT2))</definedName>
    <definedName name="ManureManagement_Swine_Methane.VEERG_4_5_1_1__3_Stage1MethaneProduction">_xlfn.LAMBDA(_xlpm.VSj,_xlpm.FVSjmT1,_xlpm.MCFim,_xlpm.BO,_xlpm.rho, _xlpm.VSj * _xlpm.FVSjmT1 * _xlpm.MCFim * _xlpm.BO * _xlpm.rho)</definedName>
    <definedName name="ManureManagement_Swine_Methane.VEERG_4_5_1_1__3_Stage1MethaneProduction_Arguments">_xlfn.LAMBDA(_xlfn.MAKEARRAY(5, 2, _xlfn.LAMBDA(_xlpm.r,_xlpm.c, INDEX({"VSj","volatile solid production from swine in each class : kg/head/day";"FVSjmT1","fraction of volatile solids in each primary system : fraction";"MCFim","methane conversion factor for temperate zone and system : fraction";"BO","emissions potential : m3 CH4/kg VS";"rho","density of methane : kg/m3"}, _xlpm.r, _xlpm.c))))</definedName>
    <definedName name="ManureManagement_Swine_Methane.VEERG_4_5_1_1__3_Stage1MethaneProduction_Source">_xlfn.LAMBDA("VEERG 2026: 4.5.1.1, Equation (3)")</definedName>
    <definedName name="ManureManagement_Swine_Methane.VEERG_4_5_1_1__3_Stage1MethaneProduction_Title">_xlfn.LAMBDA("Production of methane in treatment stage 1 MMS")</definedName>
    <definedName name="ManureManagement_Swine_Methane.VEERG_4_5_1_1__3_Stage1MethaneProduction_Unit">_xlfn.LAMBDA("kg CH4/head/day")</definedName>
    <definedName name="ManureManagement_Swine_Methane.VEERG_4_5_1_1__3_Stage1MethaneProduction_Variable">_xlfn.LAMBDA("MijmT1")</definedName>
    <definedName name="ManureManagement_Swine_Methane.VEERG_4_5_1_1__4_FractionVolatileSolidsPrimarySystem">_xlfn.LAMBDA(_xlpm.MMSjmT1,_xlpm.SSm, _xlfn.LET(_xlpm.ssm, IF(ISNUMBER(_xlpm.SSm), _xlpm.SSm, 0), _xlpm.MMSjmT1 * (1 - _xlpm.ssm)))</definedName>
    <definedName name="ManureManagement_Swine_Methane.VEERG_4_5_1_1__4_FractionVolatileSolidsPrimarySystem_Arguments">_xlfn.LAMBDA(_xlfn.MAKEARRAY(2, 2, _xlfn.LAMBDA(_xlpm.r,_xlpm.c, INDEX({"MMSjmT1","fraction of manure to each primary MMS for each class prior to solid separation : fraction";"SSm","fraction of volatile solids separated to solid storage for each MMS : fraction"}, _xlpm.r, _xlpm.c))))</definedName>
    <definedName name="ManureManagement_Swine_Methane.VEERG_4_5_1_1__4_FractionVolatileSolidsPrimarySystem_Source">_xlfn.LAMBDA("VEERG 2026: 4.5.1.1, Equation (4)")</definedName>
    <definedName name="ManureManagement_Swine_Methane.VEERG_4_5_1_1__4_FractionVolatileSolidsPrimarySystem_Title">_xlfn.LAMBDA("Fraction of volatile solids in each primary system other than solid storage")</definedName>
    <definedName name="ManureManagement_Swine_Methane.VEERG_4_5_1_1__4_FractionVolatileSolidsPrimarySystem_Unit">_xlfn.LAMBDA("fraction")</definedName>
    <definedName name="ManureManagement_Swine_Methane.VEERG_4_5_1_1__4_FractionVolatileSolidsPrimarySystem_Variable">_xlfn.LAMBDA("FVSjmT1")</definedName>
    <definedName name="ManureManagement_Swine_Methane.VEERG_4_5_1_1__4_FractionVolatileSolidsPrimarySystem_Variation">_xlfn.LAMBDA("VARIATION ON SOURCE: Added check to convert 'N/A' value to zero.")</definedName>
    <definedName name="ManureManagement_Swine_Methane.VEERG_4_5_1_1__5_FractionVolatileSolidsSolidStorage">_xlfn.LAMBDA(_xlpm.MMSjm4T1,_xlpm.MMSjm179T1,_xlpm.SSm, _xlfn.LET(_xlpm.MMSjm4T1, IF(ISNUMBER(_xlpm.MMSjm4T1), _xlpm.MMSjm4T1, 0), _xlpm.MMSjm179T1, IF(ISNUMBER(_xlpm.MMSjm179T1), _xlpm.MMSjm179T1, 0), _xlpm.SSm, IF(ISNUMBER(_xlpm.SSm), _xlpm.SSm, 0), _xlpm.MMSjm4T1 + (_xlpm.MMSjm179T1 * _xlpm.SSm)))</definedName>
    <definedName name="ManureManagement_Swine_Methane.VEERG_4_5_1_1__5_FractionVolatileSolidsSolidStorage_Arguments">_xlfn.LAMBDA(_xlfn.MAKEARRAY(3, 2, _xlfn.LAMBDA(_xlpm.r,_xlpm.c, INDEX({"MMSjm4T1","fraction of manure in solid storage primary system : fraction";"MMSjm179T1","fraction of manure in MMS 1, 7, and 9 in treatment stage 1 : fraction";"SSm","fraction of volatile solids separated to solid storage for each MMS : fraction"}, _xlpm.r, _xlpm.c))))</definedName>
    <definedName name="ManureManagement_Swine_Methane.VEERG_4_5_1_1__5_FractionVolatileSolidsSolidStorage_Source">_xlfn.LAMBDA("VEERG 2026: 4.5.1.1, Equation (5)")</definedName>
    <definedName name="ManureManagement_Swine_Methane.VEERG_4_5_1_1__5_FractionVolatileSolidsSolidStorage_Title">_xlfn.LAMBDA("Fraction of volatile solids in solid storage")</definedName>
    <definedName name="ManureManagement_Swine_Methane.VEERG_4_5_1_1__5_FractionVolatileSolidsSolidStorage_Unit">_xlfn.LAMBDA("fraction")</definedName>
    <definedName name="ManureManagement_Swine_Methane.VEERG_4_5_1_1__5_FractionVolatileSolidsSolidStorage_Variable">_xlfn.LAMBDA("FVSjm4T1")</definedName>
    <definedName name="ManureManagement_Swine_Methane.VEERG_4_5_1_1__6_Stage2MethaneProduction">_xlfn.LAMBDA(_xlpm.VSTjmT2,_xlpm.BO,_xlpm.MMSjmT2,_xlpm.MCFim,_xlpm.rho, _xlfn.LET(_xlpm.VSTjmT2, IF(ISNUMBER(_xlpm.VSTjmT2), _xlpm.VSTjmT2, 0), _xlpm.MMSjmT2, IF(ISNUMBER(_xlpm.MMSjmT2), _xlpm.MMSjmT2, 0), _xlpm.VSTjmT2 * _xlpm.BO * _xlpm.MMSjmT2 * _xlpm.MCFim * _xlpm.rho))</definedName>
    <definedName name="ManureManagement_Swine_Methane.VEERG_4_5_1_1__6_Stage2MethaneProduction_Arguments">_xlfn.LAMBDA(_xlfn.MAKEARRAY(6, 2, _xlfn.LAMBDA(_xlpm.r,_xlpm.c, INDEX({"VSTjmT2","volatile solids transferred to treatment stage 2 MMS : kg/head/day";"BO","emissions potential : m3 CH4/kg VS";"MMSjmT2","fraction of manure in each secondary system : fraction";"MCFim","methane conversion factor for temperate zone and system : fraction";"rho","density of methane : kg/m3";"i","state"}, _xlpm.r, _xlpm.c))))</definedName>
    <definedName name="ManureManagement_Swine_Methane.VEERG_4_5_1_1__6_Stage2MethaneProduction_Source">_xlfn.LAMBDA("VEERG 2026: 4.5.1.1, Equation (6)")</definedName>
    <definedName name="ManureManagement_Swine_Methane.VEERG_4_5_1_1__6_Stage2MethaneProduction_Title">_xlfn.LAMBDA("Production of methane in each treatment stage 2 MMS")</definedName>
    <definedName name="ManureManagement_Swine_Methane.VEERG_4_5_1_1__6_Stage2MethaneProduction_Unit">_xlfn.LAMBDA("kg CH4/head/day")</definedName>
    <definedName name="ManureManagement_Swine_Methane.VEERG_4_5_1_1__6_Stage2MethaneProduction_Variable">_xlfn.LAMBDA("MijmT2")</definedName>
    <definedName name="ManureManagement_Swine_Methane.VEERG_4_5_1_1__7_VolatileSolidsTransferredStage2">_xlfn.LAMBDA(_xlpm.VSj,_xlpm.FVSjmT1,_xlpm.VSLmT1, _xlpm.VSj * _xlpm.FVSjmT1 * (1 - _xlpm.VSLmT1))</definedName>
    <definedName name="ManureManagement_Swine_Methane.VEERG_4_5_1_1__7_VolatileSolidsTransferredStage2_Arguments">_xlfn.LAMBDA(_xlfn.MAKEARRAY(3, 2, _xlfn.LAMBDA(_xlpm.r,_xlpm.c, INDEX({"VSj","volatile solid production from swine in each class : kg/head/day";"FVSjmT1","fraction of volatile solids in each primary system : fraction";"VSLmT1","fraction of volatile solids lost during storage in the primary system : fraction"}, _xlpm.r, _xlpm.c))))</definedName>
    <definedName name="ManureManagement_Swine_Methane.VEERG_4_5_1_1__7_VolatileSolidsTransferredStage2_Source">_xlfn.LAMBDA("VEERG 2026: 4.5.1.1, Equation (7)")</definedName>
    <definedName name="ManureManagement_Swine_Methane.VEERG_4_5_1_1__7_VolatileSolidsTransferredStage2_Title">_xlfn.LAMBDA("Volatile solids transferred to treatment stage 2 MMS")</definedName>
    <definedName name="ManureManagement_Swine_Methane.VEERG_4_5_1_1__7_VolatileSolidsTransferredStage2_Unit">_xlfn.LAMBDA("kg VS")</definedName>
    <definedName name="ManureManagement_Swine_Methane.VEERG_4_5_1_1__7_VolatileSolidsTransferredStage2_Variable">_xlfn.LAMBDA("VSTijmT2")</definedName>
    <definedName name="MMS_Dairy_AtmosphericDeposition_Equations.VEERG_4_3_1_5__1_AnnualAtmosphericDepositionEmissionsFromMMS">_xlfn.LAMBDA(_xlpm.MN_ATMOS,_xlpm.EF_N2O,_xlpm.C_N2O, _xlpm.MN_ATMOS * _xlpm.EF_N2O * _xlpm.C_N2O * 10 ^ -3)</definedName>
    <definedName name="MMS_Poultry_AtmosphericDeposition_Equations.VEERG_4_6_1_5__1_TotalAnnualAtmosphericDepositionEmissionsFromMMS">_xlfn.LAMBDA(_xlpm.MMS_ATMOS,_xlpm.EF_N2O,_xlpm.C_N2O, (_xlpm.MMS_ATMOS * _xlpm.EF_N2O * _xlpm.C_N2O) * 10 ^ -3)</definedName>
    <definedName name="MMS_Poultry_AtmosphericDeposition_Equations.VEERG_4_6_1_5__1_TotalAnnualAtmosphericDepositionEmissionsFromMMS_Arguments">_xlfn.LAMBDA(_xlfn.MAKEARRAY(6, 4, _xlfn.LAMBDA(_xlpm.r,_xlpm.c, INDEX({"MMS_ATMOS","mass of N volatilised from MMS","kg N","Calculated from 4.6.1.5 (2)";"EF_N2O","nitrous oxide emission factor for atmospheric deposition","kg N2O-N/kg N","Constant";"C_N2O","factor to convert elemental mass of nitrous oxide to molecular mass","ratio","Constant";"j","production system","","Input";"ir","irrigation method","","Input";"r","rainfall region","","Input"}, _xlpm.r, _xlpm.c))))</definedName>
    <definedName name="MMS_Poultry_AtmosphericDeposition_Equations.VEERG_4_6_1_5__1_TotalAnnualAtmosphericDepositionEmissionsFromMMS_LatexEquation">_xlfn.LAMBDA("E_{N2O,ad}=(MMS_{ATMOS}\times EF_{N2O}\times C_{N2O})\times10^{-3}")</definedName>
    <definedName name="MMS_Poultry_AtmosphericDeposition_Equations.VEERG_4_6_1_5__1_TotalAnnualAtmosphericDepositionEmissionsFromMMS_NIRReference">_xlfn.LAMBDA("")</definedName>
    <definedName name="MMS_Poultry_AtmosphericDeposition_Equations.VEERG_4_6_1_5__1_TotalAnnualAtmosphericDepositionEmissionsFromMMS_Source">_xlfn.LAMBDA("VEERG 2026: 4.6.1.5, Equation (1)")</definedName>
    <definedName name="MMS_Poultry_AtmosphericDeposition_Equations.VEERG_4_6_1_5__1_TotalAnnualAtmosphericDepositionEmissionsFromMMS_Title">_xlfn.LAMBDA("Total annual atmospheric deposition emissions from manure management")</definedName>
    <definedName name="MMS_Poultry_AtmosphericDeposition_Equations.VEERG_4_6_1_5__1_TotalAnnualAtmosphericDepositionEmissionsFromMMS_Unit">_xlfn.LAMBDA("t N2O")</definedName>
    <definedName name="MMS_Poultry_AtmosphericDeposition_Equations.VEERG_4_6_1_5__1_TotalAnnualAtmosphericDepositionEmissionsFromMMS_Variable">_xlfn.LAMBDA("E_N2Oad")</definedName>
    <definedName name="MMS_Poultry_AtmosphericDeposition_Equations.VEERG_4_6_1_5__2_TotalNitrogenVolatilisedFromMMS">_xlfn.LAMBDA(_xlpm.MN_jkmT,_xlpm.FracGASM_mT, _xlpm.MN_jkmT * _xlpm.FracGASM_mT)</definedName>
    <definedName name="MMS_Poultry_AtmosphericDeposition_Equations.VEERG_4_6_1_5__2_TotalNitrogenVolatilisedFromMMS_Arguments">_xlfn.LAMBDA(_xlfn.MAKEARRAY(2, 4, _xlfn.LAMBDA(_xlpm.r,_xlpm.c, INDEX({"MN_jkmT","nitrogen in each treatment stage MMS (excluding MN_jkm13T2)","kg N","Calculated from 4.6.1.3 (2)(6)";"FracGASM_mT","fraction of N volatilised in each MMS","(kg NH3-N + NOx-N)/kg N","Constant"}, _xlpm.r, _xlpm.c))))</definedName>
    <definedName name="MMS_Poultry_AtmosphericDeposition_Equations.VEERG_4_6_1_5__2_TotalNitrogenVolatilisedFromMMS_LatexEquation">_xlfn.LAMBDA("MMS_{ATMOS}=\sum_{j}\sum_{k}\sum_{m}\sum_{T}(MN_{jkmT}\times FracGASM_{mT})")</definedName>
    <definedName name="MMS_Poultry_AtmosphericDeposition_Equations.VEERG_4_6_1_5__2_TotalNitrogenVolatilisedFromMMS_NIRReference">_xlfn.LAMBDA("")</definedName>
    <definedName name="MMS_Poultry_AtmosphericDeposition_Equations.VEERG_4_6_1_5__2_TotalNitrogenVolatilisedFromMMS_Source">_xlfn.LAMBDA("VEERG 2026: 4.6.1.5, Equation (2)")</definedName>
    <definedName name="MMS_Poultry_AtmosphericDeposition_Equations.VEERG_4_6_1_5__2_TotalNitrogenVolatilisedFromMMS_Title">_xlfn.LAMBDA("Total nitrogen volatilised from manure management systems")</definedName>
    <definedName name="MMS_Poultry_AtmosphericDeposition_Equations.VEERG_4_6_1_5__2_TotalNitrogenVolatilisedFromMMS_Unit">_xlfn.LAMBDA("kg N")</definedName>
    <definedName name="MMS_Poultry_AtmosphericDeposition_Equations.VEERG_4_6_1_5__2_TotalNitrogenVolatilisedFromMMS_Variable">_xlfn.LAMBDA("MMS_ATMOS")</definedName>
    <definedName name="MMS_Poultry_LeachingAndRunoff_Equations.VEERG_4_6_1_7__1_AnnualEmissionsFromLeachingAndRunoffFromMMS">_xlfn.LAMBDA(_xlpm.MNLeach_jkm4,_xlpm.EF_leach,_xlpm.C_N2O, (_xlpm.MNLeach_jkm4 * _xlpm.EF_leach * _xlpm.C_N2O) * 10 ^ -3)</definedName>
    <definedName name="MMS_Poultry_LeachingAndRunoff_Equations.VEERG_4_6_1_7__1_AnnualEmissionsFromLeachingAndRunoffFromMMS_Arguments">_xlfn.LAMBDA(_xlfn.MAKEARRAY(3, 4, _xlfn.LAMBDA(_xlpm.r,_xlpm.c, INDEX({"MNLeach_jkm4","mass of N lost through leaching and runoff from each MMS","kg N","Calculated from 4.6.1.7 (2)";"EF_leach","emission factor for leaching and runoff","kg N2O-N/kg N","Constant";"C_N2O","factor to convert elemental mass of N2O to molecular mass","ratio","Constant"}, _xlpm.r, _xlpm.c))))</definedName>
    <definedName name="MMS_Poultry_LeachingAndRunoff_Equations.VEERG_4_6_1_7__1_AnnualEmissionsFromLeachingAndRunoffFromMMS_LatexEquation">_xlfn.LAMBDA("E_{N2O,leach}=MNLeach_{jkm=4}\times EF_{leach}\times C_{N2O}\times10^{-3}")</definedName>
    <definedName name="MMS_Poultry_LeachingAndRunoff_Equations.VEERG_4_6_1_7__1_AnnualEmissionsFromLeachingAndRunoffFromMMS_NIRReference">_xlfn.LAMBDA("")</definedName>
    <definedName name="MMS_Poultry_LeachingAndRunoff_Equations.VEERG_4_6_1_7__1_AnnualEmissionsFromLeachingAndRunoffFromMMS_Source">_xlfn.LAMBDA("VEERG 2026: 4.6.1.7, Equation (1)")</definedName>
    <definedName name="MMS_Poultry_LeachingAndRunoff_Equations.VEERG_4_6_1_7__1_AnnualEmissionsFromLeachingAndRunoffFromMMS_Title">_xlfn.LAMBDA("Annual emissions from leaching and runoff from each MMS")</definedName>
    <definedName name="MMS_Poultry_LeachingAndRunoff_Equations.VEERG_4_6_1_7__1_AnnualEmissionsFromLeachingAndRunoffFromMMS_Unit">_xlfn.LAMBDA("t N2O")</definedName>
    <definedName name="MMS_Poultry_LeachingAndRunoff_Equations.VEERG_4_6_1_7__1_AnnualEmissionsFromLeachingAndRunoffFromMMS_Variable">_xlfn.LAMBDA("E_N2Oleach")</definedName>
    <definedName name="MMS_Poultry_LeachingAndRunoff_Equations.VEERG_4_6_1_7__2_MassOfNitrogenLostToLeachingAndRunoffFromSolidStorage">_xlfn.LAMBDA(_xlpm.MN_jkm4T2,_xlpm.FracWET,_xlpm.FracLEACH_MS, _xlpm.MN_jkm4T2 * _xlpm.FracWET * _xlpm.FracLEACH_MS)</definedName>
    <definedName name="MMS_Poultry_LeachingAndRunoff_Equations.VEERG_4_6_1_7__2_MassOfNitrogenLostToLeachingAndRunoffFromSolidStorage_Arguments">_xlfn.LAMBDA(_xlfn.MAKEARRAY(6, 4, _xlfn.LAMBDA(_xlpm.r,_xlpm.c, INDEX({"MN_jkm4T2","nitrogen in solid storage MMS treatment stage 2","kg N","Calculated from 4.6.1.3 (6)";"FracWET","fraction of N available for leaching and runoff","fraction","Input";"FracLEACH_MS","fraction of N lost through leaching and runoff","fraction","Input";"z","location in leaching zone","","Input";"j","production system","","Input";"ir","irrigation method","","Input"}, _xlpm.r, _xlpm.c))))</definedName>
    <definedName name="MMS_Poultry_LeachingAndRunoff_Equations.VEERG_4_6_1_7__2_MassOfNitrogenLostToLeachingAndRunoffFromSolidStorage_LatexEquation">_xlfn.LAMBDA("MNLeach_{jkm=4}=MN_{jkm=4,T=2}\times FracWET\times FracLEACH_{MS}")</definedName>
    <definedName name="MMS_Poultry_LeachingAndRunoff_Equations.VEERG_4_6_1_7__2_MassOfNitrogenLostToLeachingAndRunoffFromSolidStorage_NIRReference">_xlfn.LAMBDA("")</definedName>
    <definedName name="MMS_Poultry_LeachingAndRunoff_Equations.VEERG_4_6_1_7__2_MassOfNitrogenLostToLeachingAndRunoffFromSolidStorage_Source">_xlfn.LAMBDA("VEERG 2026: 4.6.1.7, Equation (2)")</definedName>
    <definedName name="MMS_Poultry_LeachingAndRunoff_Equations.VEERG_4_6_1_7__2_MassOfNitrogenLostToLeachingAndRunoffFromSolidStorage_Title">_xlfn.LAMBDA("Mass of nitrogen lost to leaching and runoff from solid storage systems")</definedName>
    <definedName name="MMS_Poultry_LeachingAndRunoff_Equations.VEERG_4_6_1_7__2_MassOfNitrogenLostToLeachingAndRunoffFromSolidStorage_Unit">_xlfn.LAMBDA("kg N")</definedName>
    <definedName name="MMS_Poultry_LeachingAndRunoff_Equations.VEERG_4_6_1_7__2_MassOfNitrogenLostToLeachingAndRunoffFromSolidStorage_Variable">_xlfn.LAMBDA("MNLeach_jkm4")</definedName>
    <definedName name="MMS_Poultry_ManureAppliedToSoils_Equations.VEERG_4_6_1_9__1_MassOfNitrogenAppliedToSoilsScope1">_xlfn.LAMBDA(_xlpm.MN_jmT2,_xlpm.EF_mT2,_xlpm.FracGASM_mT2,_xlpm.MNLeach_MMS,_xlpm.PF, (_xlpm.MN_jmT2 * (1 - _xlpm.EF_mT2 - _xlpm.FracGASM_mT2) - _xlpm.MNLeach_MMS) * _xlpm.PF)</definedName>
    <definedName name="MMS_Poultry_ManureAppliedToSoils_Equations.VEERG_4_6_1_9__1_MassOfNitrogenAppliedToSoilsScope1_Arguments">_xlfn.LAMBDA(_xlfn.MAKEARRAY(5, 4, _xlfn.LAMBDA(_xlpm.r,_xlpm.c, INDEX({"MN_jmT2","mass of N in secondary treatment stage as calculated for manure management","kg N","Calculated from 4.6.1.3 (6)";"EF_mT2","nitrous oxide emission factor for each MMS","kg N2O-N/kg N","Constant";"FracGASM_mT2","fraction of animal waste N volatilised in each MMS","(kg NH3-N + NOx-N)/kg N","Constant";"MNLeach_MMS","mass of N lost through leaching and runoff from MMS","kg N","Calculated from 4.6.1.7 (2)";"PF","fraction of manure applied to soil within the farm boundary","fraction","Input"}, _xlpm.r, _xlpm.c))))</definedName>
    <definedName name="MMS_Poultry_ManureAppliedToSoils_Equations.VEERG_4_6_1_9__1_MassOfNitrogenAppliedToSoilsScope1_LatexEquation">_xlfn.LAMBDA("MNSoil_{scope1}=\sum_{j}\sum_{m}(MN_{jm,T=2}\times(1-EF_{mT=2}-FracGASM_{mT=2})-MNLeach_{MMS})\times PF")</definedName>
    <definedName name="MMS_Poultry_ManureAppliedToSoils_Equations.VEERG_4_6_1_9__1_MassOfNitrogenAppliedToSoilsScope1_NIRReference">_xlfn.LAMBDA("")</definedName>
    <definedName name="MMS_Poultry_ManureAppliedToSoils_Equations.VEERG_4_6_1_9__1_MassOfNitrogenAppliedToSoilsScope1_Source">_xlfn.LAMBDA("VEERG 2026: 4.6.1.9, Equation (1)")</definedName>
    <definedName name="MMS_Poultry_ManureAppliedToSoils_Equations.VEERG_4_6_1_9__1_MassOfNitrogenAppliedToSoilsScope1_Title">_xlfn.LAMBDA("Mass of nitrogen applied to soils for scope 1 emissions")</definedName>
    <definedName name="MMS_Poultry_ManureAppliedToSoils_Equations.VEERG_4_6_1_9__1_MassOfNitrogenAppliedToSoilsScope1_Unit">_xlfn.LAMBDA("kg N")</definedName>
    <definedName name="MMS_Poultry_ManureAppliedToSoils_Equations.VEERG_4_6_1_9__1_MassOfNitrogenAppliedToSoilsScope1_Variable">_xlfn.LAMBDA("MNSoil_scope1")</definedName>
    <definedName name="MMS_Poultry_ManureAppliedToSoils_Equations.VEERG_4_6_1_9__2_MassOfNitrogenAppliedToSoilsScope3">_xlfn.LAMBDA(_xlpm.MN_jmT2,_xlpm.EF_mT2,_xlpm.FracGASM_mT2,_xlpm.MNLeach_MMS,_xlpm.PF, (_xlpm.MN_jmT2 * (1 - _xlpm.EF_mT2 - _xlpm.FracGASM_mT2) - _xlpm.MNLeach_MMS) * (1 - _xlpm.PF))</definedName>
    <definedName name="MMS_Poultry_ManureAppliedToSoils_Equations.VEERG_4_6_1_9__2_MassOfNitrogenAppliedToSoilsScope3_Arguments">_xlfn.LAMBDA(_xlfn.MAKEARRAY(5, 4, _xlfn.LAMBDA(_xlpm.r,_xlpm.c, INDEX({"MN_jmT2","mass of N in secondary treatment stage as calculated for manure management","kg N","Calculated from 4.6.1.3 (6)";"EF_mT2","nitrous oxide emission factor for each MMS","kg N2O-N/kg N","Constant";"FracGASM_mT2","fraction of animal waste N volatilised in each MMS","(kg NH3-N + NOx-N)/kg N","Constant";"MNLeach_MMS","mass of N lost through leaching and runoff from MMS","kg N","Calculated from 4.6.1.7 (2)";"PF","fraction of manure applied to soil within the farm boundary","fraction","Input"}, _xlpm.r, _xlpm.c))))</definedName>
    <definedName name="MMS_Poultry_ManureAppliedToSoils_Equations.VEERG_4_6_1_9__2_MassOfNitrogenAppliedToSoilsScope3_LatexEquation">_xlfn.LAMBDA("MNSoil_{scope3}=\sum_{j}\sum_{m}(MN_{jm,T=2}\times(1-EF_{mT=2}-FracGASM_{mT=2})-MNLeach_{MMS})\times(1-PF)")</definedName>
    <definedName name="MMS_Poultry_ManureAppliedToSoils_Equations.VEERG_4_6_1_9__2_MassOfNitrogenAppliedToSoilsScope3_NIRReference">_xlfn.LAMBDA("")</definedName>
    <definedName name="MMS_Poultry_ManureAppliedToSoils_Equations.VEERG_4_6_1_9__2_MassOfNitrogenAppliedToSoilsScope3_Source">_xlfn.LAMBDA("VEERG 2026: 4.6.1.9, Equation (2)")</definedName>
    <definedName name="MMS_Poultry_ManureAppliedToSoils_Equations.VEERG_4_6_1_9__2_MassOfNitrogenAppliedToSoilsScope3_Title">_xlfn.LAMBDA("Mass of nitrogen applied to soils for scope 3 emissions")</definedName>
    <definedName name="MMS_Poultry_ManureAppliedToSoils_Equations.VEERG_4_6_1_9__2_MassOfNitrogenAppliedToSoilsScope3_Unit">_xlfn.LAMBDA("kg N")</definedName>
    <definedName name="MMS_Poultry_ManureAppliedToSoils_Equations.VEERG_4_6_1_9__2_MassOfNitrogenAppliedToSoilsScope3_Variable">_xlfn.LAMBDA("MNSoil_scope3")</definedName>
    <definedName name="MMS_Poultry_Methane_Equations.VEERG_4_6_1_1__1_TotalAnnualMethaneEmissions">_xlfn.LAMBDA(_xlpm.D_jk,_xlpm.M_jkmT,_xlpm.N_jk, (_xlpm.D_jk * _xlpm.M_jkmT * _xlpm.N_jk) * 10 ^ -3)</definedName>
    <definedName name="MMS_Poultry_Methane_Equations.VEERG_4_6_1_1__1_TotalAnnualMethaneEmissions_Arguments">_xlfn.LAMBDA(_xlfn.MAKEARRAY(3, 4, _xlfn.LAMBDA(_xlpm.r,_xlpm.c, INDEX({"D_jk","duration of stay of each class and subclass of poultry","days","Input";"M_jkmT","methane production from manure per class, subclass, MMS, and treatment stage","kg CH4/bird/day","Calculated from 4.6.1.1 (2)(3)";"N_jk","numbers of poultry in each class and subclass","birds","Input"}, _xlpm.r, _xlpm.c))))</definedName>
    <definedName name="MMS_Poultry_Methane_Equations.VEERG_4_6_1_1__1_TotalAnnualMethaneEmissions_LatexEquation">_xlfn.LAMBDA("E_{CH4}=\sum_{j}\sum_{k}\sum_{m}\sum_{T}(D_{jk}\times M_{jkmT}\times N_{jk})\times10^{-3}")</definedName>
    <definedName name="MMS_Poultry_Methane_Equations.VEERG_4_6_1_1__1_TotalAnnualMethaneEmissions_NIRReference">_xlfn.LAMBDA("")</definedName>
    <definedName name="MMS_Poultry_Methane_Equations.VEERG_4_6_1_1__1_TotalAnnualMethaneEmissions_Source">_xlfn.LAMBDA("VEERG 2026: 4.4.1.1, Equation (1)")</definedName>
    <definedName name="MMS_Poultry_Methane_Equations.VEERG_4_6_1_1__1_TotalAnnualMethaneEmissions_Title">_xlfn.LAMBDA("Total annual methane emissions from manure management")</definedName>
    <definedName name="MMS_Poultry_Methane_Equations.VEERG_4_6_1_1__1_TotalAnnualMethaneEmissions_Unit">_xlfn.LAMBDA("t CH4")</definedName>
    <definedName name="MMS_Poultry_Methane_Equations.VEERG_4_6_1_1__1_TotalAnnualMethaneEmissions_Variable">_xlfn.LAMBDA("E_CH4")</definedName>
    <definedName name="MMS_Poultry_Methane_Equations.VEERG_4_6_1_1__2_Stage1MethaneProduction">_xlfn.LAMBDA(_xlpm.VS_jk,_xlpm.BO_j,_xlpm.MMS_jmT1,_xlpm.MCF_im,_xlpm.rho, _xlpm.VS_jk * _xlpm.BO_j * _xlpm.MMS_jmT1 * _xlpm.MCF_im * _xlpm.rho)</definedName>
    <definedName name="MMS_Poultry_Methane_Equations.VEERG_4_6_1_1__2_Stage1MethaneProduction_Arguments">_xlfn.LAMBDA(_xlfn.MAKEARRAY(6, 4, _xlfn.LAMBDA(_xlpm.r,_xlpm.c, INDEX({"VS_jk","volatile solid production poultry classes","kg VS/bird/day","Calculated from 4.6.1.1 (5)";"BO_j","emissions potential per class","m3 CH4/kg VS","Constant";"MMS_jmT1","fraction of manure in each primary system","fraction","Input";"MCF_im","methane conversion factor for temperature zone and MMS","fraction","Constant";"rho","density of methane","kg/m3","Constant";"i","state","","Input"}, _xlpm.r, _xlpm.c))))</definedName>
    <definedName name="MMS_Poultry_Methane_Equations.VEERG_4_6_1_1__2_Stage1MethaneProduction_Arguments_Method2">_xlfn.LAMBDA(_xlfn.MAKEARRAY(6, 4, _xlfn.LAMBDA(_xlpm.r,_xlpm.c, INDEX({"VS_jk","volatile solid production poultry classes","kg VS/bird/day","Calculated from 4.6.1.1 (5)";"BO_j","emissions potential per class","m3 CH4/kg VS","Constant";"MMS_jmT1","fraction of manure in each primary system","fraction","Input";"MCF_im","methane conversion factor for temperature zone and MMS","fraction","Constant";"rho","density of methane","kg/m3","Constant";"i","mean annual temperature","°C","Input"}, _xlpm.r, _xlpm.c))))</definedName>
    <definedName name="MMS_Poultry_Methane_Equations.VEERG_4_6_1_1__2_Stage1MethaneProduction_LatexEquation">_xlfn.LAMBDA("M_{jkmT=1}=VS_{jk}\times BO_{j}\times MMS_{jmT=1}\times MCF_{im}\times \rho")</definedName>
    <definedName name="MMS_Poultry_Methane_Equations.VEERG_4_6_1_1__2_Stage1MethaneProduction_NIRReference">_xlfn.LAMBDA("")</definedName>
    <definedName name="MMS_Poultry_Methane_Equations.VEERG_4_6_1_1__2_Stage1MethaneProduction_Source">_xlfn.LAMBDA("VEERG 2026: 4.4.1.1, Equation (2)")</definedName>
    <definedName name="MMS_Poultry_Methane_Equations.VEERG_4_6_1_1__2_Stage1MethaneProduction_Title">_xlfn.LAMBDA("Production of methane in treatment stage 1 MMS")</definedName>
    <definedName name="MMS_Poultry_Methane_Equations.VEERG_4_6_1_1__2_Stage1MethaneProduction_Unit">_xlfn.LAMBDA("kg CH4/bird/day")</definedName>
    <definedName name="MMS_Poultry_Methane_Equations.VEERG_4_6_1_1__2_Stage1MethaneProduction_Variable">_xlfn.LAMBDA("M_jkmT1")</definedName>
    <definedName name="MMS_Poultry_Methane_Equations.VEERG_4_6_1_1__2_Stage1MethaneProduction_Variation">_xlfn.LAMBDA(_xlfn.MAKEARRAY(3, 1, _xlfn.LAMBDA(_xlpm.r,_xlpm.c, INDEX({"VARIATION ON SOURCE:";"Used mean annual temperature instead of temperature zone to determine MCF as MCF values are specific to temperature";"Method 2: Used state based MCF values for 'Belt manure removal' and 'Manure stored in house' MMS as no temperature values exist in Table A.1.8.1"}, _xlpm.r, _xlpm.c))))</definedName>
    <definedName name="MMS_Poultry_Methane_Equations.VEERG_4_6_1_1__3_Stage2MethaneProduction">_xlfn.LAMBDA(_xlpm.VST_jk,_xlpm.BO,_xlpm.MMS_jmT2,_xlpm.MCF_im,_xlpm.rho, _xlpm.VST_jk * _xlpm.BO * _xlpm.MMS_jmT2 * _xlpm.MCF_im * _xlpm.rho)</definedName>
    <definedName name="MMS_Poultry_Methane_Equations.VEERG_4_6_1_1__3_Stage2MethaneProduction_Arguments">_xlfn.LAMBDA(_xlfn.MAKEARRAY(6, 4, _xlfn.LAMBDA(_xlpm.r,_xlpm.c, INDEX({"VST_jk","volatile solids transferred to treatment stage 2 MMS","kg VS/bird/day","Calculated from 4.6.1.1 (4)";"BO","emissions potential","m3 CH4/kg VS","Constant";"MMS_jmT2","fraction of manure in each secondary system","fraction","Input";"MCF_im","methane conversion factor for temperature zone and MMS","fraction","Constant";"rho","density of methane","kg/m3","Constant";"i","state","","Input"}, _xlpm.r, _xlpm.c))))</definedName>
    <definedName name="MMS_Poultry_Methane_Equations.VEERG_4_6_1_1__3_Stage2MethaneProduction_Arguments_Method2">_xlfn.LAMBDA(_xlfn.MAKEARRAY(6, 4, _xlfn.LAMBDA(_xlpm.r,_xlpm.c, INDEX({"VST_jk","volatile solids transferred to treatment stage 2 MMS","kg VS/bird/day","Calculated from 4.6.1.1 (4)";"BO","emissions potential","m3 CH4/kg VS","Constant";"MMS_jmT2","fraction of manure in each secondary system","fraction","Input";"MCF_im","methane conversion factor for temperature zone and MMS","fraction","Constant";"rho","density of methane","kg/m3","Constant";"i","mean annual temperature","°C","Input"}, _xlpm.r, _xlpm.c))))</definedName>
    <definedName name="MMS_Poultry_Methane_Equations.VEERG_4_6_1_1__3_Stage2MethaneProduction_LatexEquation">_xlfn.LAMBDA("M_{jkmT=2}=VST_{jk}\times BO\times MMS_{jmT=2}\times MCF_{im}\times \rho")</definedName>
    <definedName name="MMS_Poultry_Methane_Equations.VEERG_4_6_1_1__3_Stage2MethaneProduction_NIRReference">_xlfn.LAMBDA("")</definedName>
    <definedName name="MMS_Poultry_Methane_Equations.VEERG_4_6_1_1__3_Stage2MethaneProduction_Source">_xlfn.LAMBDA("VEERG 2026: 4.4.1.1, Equation (3)")</definedName>
    <definedName name="MMS_Poultry_Methane_Equations.VEERG_4_6_1_1__3_Stage2MethaneProduction_Title">_xlfn.LAMBDA("Production of methane in treatment stage 2 MMS")</definedName>
    <definedName name="MMS_Poultry_Methane_Equations.VEERG_4_6_1_1__3_Stage2MethaneProduction_Unit">_xlfn.LAMBDA("kg CH4/bird/day")</definedName>
    <definedName name="MMS_Poultry_Methane_Equations.VEERG_4_6_1_1__3_Stage2MethaneProduction_Variable">_xlfn.LAMBDA("M_jkmT2")</definedName>
    <definedName name="MMS_Poultry_Methane_Equations.VEERG_4_6_1_1__3_Stage2MethaneProduction_Variation">_xlfn.LAMBDA("VARIATION ON SOURCE: Used mean annual temperature instead of temperature zone to determine MCF as MCF values are specific to temperature")</definedName>
    <definedName name="MMS_Poultry_Methane_Equations.VEERG_4_6_1_1__4_VolatileSolidsTransferred">_xlfn.LAMBDA(_xlpm.VS_jk,_xlpm.MMS_jmT1,_xlpm.VSL_mT1, _xlpm.VS_jk * _xlpm.MMS_jmT1 * (1 - _xlpm.VSL_mT1))</definedName>
    <definedName name="MMS_Poultry_Methane_Equations.VEERG_4_6_1_1__4_VolatileSolidsTransferred_Arguments">_xlfn.LAMBDA(_xlfn.MAKEARRAY(3, 4, _xlfn.LAMBDA(_xlpm.r,_xlpm.c, INDEX({"VS_jk","volatile solid production poultry classes","kg VS/bird/day","Calculated from 4.6.1.1 (5)";"MMS_jmT1","fraction of manure in each primary system","fraction","Input";"VSL_mT1","fraction of volatile solids lost during storage in the primary system","fraction","Constant"}, _xlpm.r, _xlpm.c))))</definedName>
    <definedName name="MMS_Poultry_Methane_Equations.VEERG_4_6_1_1__4_VolatileSolidsTransferred_LatexEquation">_xlfn.LAMBDA("VST_{jk}=VS_{jk}\times MMS_{jmT=1}\times (1-VSL_{mT=1})")</definedName>
    <definedName name="MMS_Poultry_Methane_Equations.VEERG_4_6_1_1__4_VolatileSolidsTransferred_NIRReference">_xlfn.LAMBDA("")</definedName>
    <definedName name="MMS_Poultry_Methane_Equations.VEERG_4_6_1_1__4_VolatileSolidsTransferred_Source">_xlfn.LAMBDA("VEERG 2026: 4.4.1.1, Equation (4)")</definedName>
    <definedName name="MMS_Poultry_Methane_Equations.VEERG_4_6_1_1__4_VolatileSolidsTransferred_Title">_xlfn.LAMBDA("Volatile solids transferred to treatment stage 2 MMS")</definedName>
    <definedName name="MMS_Poultry_Methane_Equations.VEERG_4_6_1_1__4_VolatileSolidsTransferred_Unit">_xlfn.LAMBDA("kg VS/bird/day")</definedName>
    <definedName name="MMS_Poultry_Methane_Equations.VEERG_4_6_1_1__4_VolatileSolidsTransferred_Variable">_xlfn.LAMBDA("VST_jk")</definedName>
    <definedName name="MMS_Poultry_Methane_Equations.VEERG_4_6_1_1__5_VolatileSolidProduction">_xlfn.LAMBDA(_xlpm.I_jk,_xlpm.DMD_jk,_xlpm.A_j, _xlpm.I_jk * (1 - _xlpm.DMD_jk) * (1 - _xlpm.A_j))</definedName>
    <definedName name="MMS_Poultry_Methane_Equations.VEERG_4_6_1_1__5_VolatileSolidProduction_Arguments">_xlfn.LAMBDA(_xlfn.MAKEARRAY(3, 4, _xlfn.LAMBDA(_xlpm.r,_xlpm.c, INDEX({"I_jk","dry matter intake for each class and subclass","kg DM/bird/day","Input";"DMD_jk","dry matter digestibility for each class and subclass","fraction","Input";"A_j","ash content of manure for each class and subclass","fraction","Constant"}, _xlpm.r, _xlpm.c))))</definedName>
    <definedName name="MMS_Poultry_Methane_Equations.VEERG_4_6_1_1__5_VolatileSolidProduction_LatexEquation">_xlfn.LAMBDA("VS_{jk}=I_{jk}\times (1-DMD_{jk})\times (1-A_{j})")</definedName>
    <definedName name="MMS_Poultry_Methane_Equations.VEERG_4_6_1_1__5_VolatileSolidProduction_NIRReference">_xlfn.LAMBDA("")</definedName>
    <definedName name="MMS_Poultry_Methane_Equations.VEERG_4_6_1_1__5_VolatileSolidProduction_Source">_xlfn.LAMBDA("VEERG 2026: 4.4.1.1, Equation (5)")</definedName>
    <definedName name="MMS_Poultry_Methane_Equations.VEERG_4_6_1_1__5_VolatileSolidProduction_Title">_xlfn.LAMBDA("Volatile solid production poultry classes")</definedName>
    <definedName name="MMS_Poultry_Methane_Equations.VEERG_4_6_1_1__5_VolatileSolidProduction_Unit">_xlfn.LAMBDA("kg VS/bird/day")</definedName>
    <definedName name="MMS_Poultry_Methane_Equations.VEERG_4_6_1_1__5_VolatileSolidProduction_Variable">_xlfn.LAMBDA("VS_jk")</definedName>
    <definedName name="MMS_Poultry_N2ODirect_Equations.VEERG_4_6_1_3__1_TotalAnnualDirectNitrousOxideEmissionsFromMMS">_xlfn.LAMBDA(_xlpm.MN_jkmT,_xlpm.EF_jm,_xlpm.C_N2O, _xlpm.MN_jkmT * _xlpm.EF_jm * _xlpm.C_N2O * 10 ^ -3)</definedName>
    <definedName name="MMS_Poultry_N2ODirect_Equations.VEERG_4_6_1_3__1_TotalAnnualDirectNitrousOxideEmissionsFromMMS_Arguments">_xlfn.LAMBDA(_xlfn.MAKEARRAY(3, 4, _xlfn.LAMBDA(_xlpm.r,_xlpm.c, INDEX({"MN_jkmT","nitrogen per poultry class, subclass, MMS and treatment stage","kg N","Calculated from 4.6.1.3 (2)(6)";"EF_jm","nitrous oxide emission factor for MMS","kg N2O-N/kg N","Constant";"C_N2O","factor to convert elemental mass of nitrous oxide to molecular mass","ratio","Constant"}, _xlpm.r, _xlpm.c))))</definedName>
    <definedName name="MMS_Poultry_N2ODirect_Equations.VEERG_4_6_1_3__1_TotalAnnualDirectNitrousOxideEmissionsFromMMS_LatexEquation">_xlfn.LAMBDA("E_{N2O,dir}=\sum_{j}\sum_{k}\sum_{m}\sum_{T}(MN_{jkmT}\times EF_{jm}\times C_{N2O})\times10^{-3}")</definedName>
    <definedName name="MMS_Poultry_N2ODirect_Equations.VEERG_4_6_1_3__1_TotalAnnualDirectNitrousOxideEmissionsFromMMS_NIRReference">_xlfn.LAMBDA("")</definedName>
    <definedName name="MMS_Poultry_N2ODirect_Equations.VEERG_4_6_1_3__1_TotalAnnualDirectNitrousOxideEmissionsFromMMS_Source">_xlfn.LAMBDA("VEERG 2026: 4.6.1.3, Equation (1)")</definedName>
    <definedName name="MMS_Poultry_N2ODirect_Equations.VEERG_4_6_1_3__1_TotalAnnualDirectNitrousOxideEmissionsFromMMS_Title">_xlfn.LAMBDA("Total annual direct nitrous oxide emissions from manure management systems")</definedName>
    <definedName name="MMS_Poultry_N2ODirect_Equations.VEERG_4_6_1_3__1_TotalAnnualDirectNitrousOxideEmissionsFromMMS_Unit">_xlfn.LAMBDA("t N2O")</definedName>
    <definedName name="MMS_Poultry_N2ODirect_Equations.VEERG_4_6_1_3__1_TotalAnnualDirectNitrousOxideEmissionsFromMMS_Variable">_xlfn.LAMBDA("E_N2Odir")</definedName>
    <definedName name="MMS_Poultry_N2ODirect_Equations.VEERG_4_6_1_3__2_Stage1NitrogenInMMS">_xlfn.LAMBDA(_xlpm.AE_jk,_xlpm.MMS_jmT1, _xlpm.AE_jk * _xlpm.MMS_jmT1)</definedName>
    <definedName name="MMS_Poultry_N2ODirect_Equations.VEERG_4_6_1_3__2_Stage1NitrogenInMMS_Arguments">_xlfn.LAMBDA(_xlfn.MAKEARRAY(2, 4, _xlfn.LAMBDA(_xlpm.r,_xlpm.c, INDEX({"AE_jk","total nitrogen excreted by each poultry class and subclass","kg N","Calculated from 4.6.1.3 (3)";"MMS_jmT1","fraction of manure in each primary system","fraction","Input"}, _xlpm.r, _xlpm.c))))</definedName>
    <definedName name="MMS_Poultry_N2ODirect_Equations.VEERG_4_6_1_3__2_Stage1NitrogenInMMS_LatexEquation">_xlfn.LAMBDA("MN_{jkm,T=1}=AE_{jk}\times MMS_{jm,T=1}")</definedName>
    <definedName name="MMS_Poultry_N2ODirect_Equations.VEERG_4_6_1_3__2_Stage1NitrogenInMMS_NIRReference">_xlfn.LAMBDA("")</definedName>
    <definedName name="MMS_Poultry_N2ODirect_Equations.VEERG_4_6_1_3__2_Stage1NitrogenInMMS_Source">_xlfn.LAMBDA("VEERG 2026: 4.6.1.3, Equation (2)")</definedName>
    <definedName name="MMS_Poultry_N2ODirect_Equations.VEERG_4_6_1_3__2_Stage1NitrogenInMMS_Title">_xlfn.LAMBDA("Nitrogen in treatment stage 1 MMS")</definedName>
    <definedName name="MMS_Poultry_N2ODirect_Equations.VEERG_4_6_1_3__2_Stage1NitrogenInMMS_Unit">_xlfn.LAMBDA("kg N")</definedName>
    <definedName name="MMS_Poultry_N2ODirect_Equations.VEERG_4_6_1_3__2_Stage1NitrogenInMMS_Variable">_xlfn.LAMBDA("MN_jkmT1")</definedName>
    <definedName name="MMS_Poultry_N2ODirect_Equations.VEERG_4_6_1_3__3_AnnualNitrogenExcretion">_xlfn.LAMBDA(_xlpm.N_jk,_xlpm.NE_jk,_xlpm.D_jk, _xlpm.N_jk * _xlpm.NE_jk * _xlpm.D_jk)</definedName>
    <definedName name="MMS_Poultry_N2ODirect_Equations.VEERG_4_6_1_3__3_AnnualNitrogenExcretion_Arguments">_xlfn.LAMBDA(_xlfn.MAKEARRAY(3, 4, _xlfn.LAMBDA(_xlpm.r,_xlpm.c, INDEX({"N_jk","number of poultry in each class and subclass","bird","Input";"NE_jk","nitrogen excretion","kg N/bird/day","Calculated from 4.6.1.3 (4)";"D_jk","duration of stay of each class and subclass","days","Input"}, _xlpm.r, _xlpm.c))))</definedName>
    <definedName name="MMS_Poultry_N2ODirect_Equations.VEERG_4_6_1_3__3_AnnualNitrogenExcretion_LatexEquation">_xlfn.LAMBDA("AE_{jk}=N_{jk}\times NE_{jk}\times D_{jk}")</definedName>
    <definedName name="MMS_Poultry_N2ODirect_Equations.VEERG_4_6_1_3__3_AnnualNitrogenExcretion_NIRReference">_xlfn.LAMBDA("")</definedName>
    <definedName name="MMS_Poultry_N2ODirect_Equations.VEERG_4_6_1_3__3_AnnualNitrogenExcretion_Source">_xlfn.LAMBDA("VEERG 2026: 4.6.1.3, Equation (3)")</definedName>
    <definedName name="MMS_Poultry_N2ODirect_Equations.VEERG_4_6_1_3__3_AnnualNitrogenExcretion_Title">_xlfn.LAMBDA("Annual nitrogen excretion for each poultry class and subclass")</definedName>
    <definedName name="MMS_Poultry_N2ODirect_Equations.VEERG_4_6_1_3__3_AnnualNitrogenExcretion_Unit">_xlfn.LAMBDA("kg N")</definedName>
    <definedName name="MMS_Poultry_N2ODirect_Equations.VEERG_4_6_1_3__3_AnnualNitrogenExcretion_Variable">_xlfn.LAMBDA("AE_jk")</definedName>
    <definedName name="MMS_Poultry_N2ODirect_Equations.VEERG_4_6_1_3__4_NitrogenExcretionPerBird">_xlfn.LAMBDA(_xlpm.NI_jk,_xlpm.NR_jk, _xlpm.NI_jk * (1 - _xlpm.NR_jk))</definedName>
    <definedName name="MMS_Poultry_N2ODirect_Equations.VEERG_4_6_1_3__4_NitrogenExcretionPerBird_Arguments">_xlfn.LAMBDA(_xlfn.MAKEARRAY(2, 4, _xlfn.LAMBDA(_xlpm.r,_xlpm.c, INDEX({"NI_jk","nitrogen intake","kg N/bird/day","Calculated from 4.6.1.3 (5)";"NR_jk","nitrogen retention expressed as a fraction of intake","fraction","Constant"}, _xlpm.r, _xlpm.c))))</definedName>
    <definedName name="MMS_Poultry_N2ODirect_Equations.VEERG_4_6_1_3__4_NitrogenExcretionPerBird_LatexEquation">_xlfn.LAMBDA("NE_{jk}=NI_{jk}\times(1-NR_{jk})")</definedName>
    <definedName name="MMS_Poultry_N2ODirect_Equations.VEERG_4_6_1_3__4_NitrogenExcretionPerBird_NIRReference">_xlfn.LAMBDA("")</definedName>
    <definedName name="MMS_Poultry_N2ODirect_Equations.VEERG_4_6_1_3__4_NitrogenExcretionPerBird_Source">_xlfn.LAMBDA("VEERG 2026: 4.6.1.3, Equation (4)")</definedName>
    <definedName name="MMS_Poultry_N2ODirect_Equations.VEERG_4_6_1_3__4_NitrogenExcretionPerBird_Title">_xlfn.LAMBDA("Nitrogen excretion per bird per day")</definedName>
    <definedName name="MMS_Poultry_N2ODirect_Equations.VEERG_4_6_1_3__4_NitrogenExcretionPerBird_Unit">_xlfn.LAMBDA("kg N/bird/day")</definedName>
    <definedName name="MMS_Poultry_N2ODirect_Equations.VEERG_4_6_1_3__4_NitrogenExcretionPerBird_Variable">_xlfn.LAMBDA("NE_jk")</definedName>
    <definedName name="MMS_Poultry_N2ODirect_Equations.VEERG_4_6_1_3__5_NitrogenIntake">_xlfn.LAMBDA(_xlpm.I_jk,_xlpm.CP_jk, _xlpm.I_jk * _xlpm.CP_jk / 6.25)</definedName>
    <definedName name="MMS_Poultry_N2ODirect_Equations.VEERG_4_6_1_3__5_NitrogenIntake_Arguments">_xlfn.LAMBDA(_xlfn.MAKEARRAY(3, 4, _xlfn.LAMBDA(_xlpm.r,_xlpm.c, INDEX({"I_jk","dry matter intake for each class and subclass","kg DM/bird/day","Input";"CP_jk","crude protein content of feed","fraction","Input";"6.25","factor for converting crude protein into nitrogen","ratio","Constant"}, _xlpm.r, _xlpm.c))))</definedName>
    <definedName name="MMS_Poultry_N2ODirect_Equations.VEERG_4_6_1_3__5_NitrogenIntake_LatexEquation">_xlfn.LAMBDA("NI_{jk}=I_{jk}\times CP_{jk}\div 6.25")</definedName>
    <definedName name="MMS_Poultry_N2ODirect_Equations.VEERG_4_6_1_3__5_NitrogenIntake_NIRReference">_xlfn.LAMBDA("")</definedName>
    <definedName name="MMS_Poultry_N2ODirect_Equations.VEERG_4_6_1_3__5_NitrogenIntake_Source">_xlfn.LAMBDA("VEERG 2026: 4.6.1.3, Equation (5)")</definedName>
    <definedName name="MMS_Poultry_N2ODirect_Equations.VEERG_4_6_1_3__5_NitrogenIntake_Title">_xlfn.LAMBDA("Nitrogen intake of poultry")</definedName>
    <definedName name="MMS_Poultry_N2ODirect_Equations.VEERG_4_6_1_3__5_NitrogenIntake_Unit">_xlfn.LAMBDA("kg N/bird/day")</definedName>
    <definedName name="MMS_Poultry_N2ODirect_Equations.VEERG_4_6_1_3__5_NitrogenIntake_Variable">_xlfn.LAMBDA("NI_jk")</definedName>
    <definedName name="MMS_Poultry_N2ODirect_Equations.VEERG_4_6_1_3__6_Stage2NitrogenInMMS">_xlfn.LAMBDA(_xlpm.NT_jkmT2,_xlpm.MMS_mT2, _xlpm.NT_jkmT2 * _xlpm.MMS_mT2)</definedName>
    <definedName name="MMS_Poultry_N2ODirect_Equations.VEERG_4_6_1_3__6_Stage2NitrogenInMMS_Arguments">_xlfn.LAMBDA(_xlfn.MAKEARRAY(2, 4, _xlfn.LAMBDA(_xlpm.r,_xlpm.c, INDEX({"NT_jkmT2","nitrogen transferred to secondary treatment MMS","kg N","Calculated from 4.6.1.3 (7)";"MMS_mT2","fraction of manure in each secondary system","fraction","Input"}, _xlpm.r, _xlpm.c))))</definedName>
    <definedName name="MMS_Poultry_N2ODirect_Equations.VEERG_4_6_1_3__6_Stage2NitrogenInMMS_LatexEquation">_xlfn.LAMBDA("MN_{jkm,T=2}=NT_{jkm,T=2}\times MMS_{m,T=2}")</definedName>
    <definedName name="MMS_Poultry_N2ODirect_Equations.VEERG_4_6_1_3__6_Stage2NitrogenInMMS_NIRReference">_xlfn.LAMBDA("")</definedName>
    <definedName name="MMS_Poultry_N2ODirect_Equations.VEERG_4_6_1_3__6_Stage2NitrogenInMMS_Source">_xlfn.LAMBDA("VEERG 2026: 4.6.1.3, Equation (6)")</definedName>
    <definedName name="MMS_Poultry_N2ODirect_Equations.VEERG_4_6_1_3__6_Stage2NitrogenInMMS_Title">_xlfn.LAMBDA("Nitrogen in treatment stage 2 MMS")</definedName>
    <definedName name="MMS_Poultry_N2ODirect_Equations.VEERG_4_6_1_3__6_Stage2NitrogenInMMS_Unit">_xlfn.LAMBDA("kg N")</definedName>
    <definedName name="MMS_Poultry_N2ODirect_Equations.VEERG_4_6_1_3__6_Stage2NitrogenInMMS_Variable">_xlfn.LAMBDA("MN_jkmT2")</definedName>
    <definedName name="MMS_Poultry_N2ODirect_Equations.VEERG_4_6_1_3__7_NitrogenTransferredToStage2MMS">_xlfn.LAMBDA(_xlpm.MN_jkmT1,_xlpm.FracGASM_mT1,_xlpm.EF_mT1, _xlpm.MN_jkmT1 * (1 - _xlpm.FracGASM_mT1 - _xlpm.EF_mT1))</definedName>
    <definedName name="MMS_Poultry_N2ODirect_Equations.VEERG_4_6_1_3__7_NitrogenTransferredToStage2MMS_Arguments">_xlfn.LAMBDA(_xlfn.MAKEARRAY(3, 4, _xlfn.LAMBDA(_xlpm.r,_xlpm.c, INDEX({"MN_jkmT1","nitrogen in MMS treatment stage 1","kg N","Calculated from 4.6.1.3 (6)";"FracGASM_mT1","fraction of N volatilised from MMS treatment at stage 1","fraction","Constant";"EF_mT1","nitrous oxide emission factor for MMS treatment at stage 1","kg N2O-N/kg N","Constant"}, _xlpm.r, _xlpm.c))))</definedName>
    <definedName name="MMS_Poultry_N2ODirect_Equations.VEERG_4_6_1_3__7_NitrogenTransferredToStage2MMS_LatexEquation">_xlfn.LAMBDA("NT_{jkm,T=2}=MN_{jkm,T=1}\times(1-FracGASM_{m,T=1}-EF_{m,T=1})")</definedName>
    <definedName name="MMS_Poultry_N2ODirect_Equations.VEERG_4_6_1_3__7_NitrogenTransferredToStage2MMS_NIRReference">_xlfn.LAMBDA("")</definedName>
    <definedName name="MMS_Poultry_N2ODirect_Equations.VEERG_4_6_1_3__7_NitrogenTransferredToStage2MMS_Source">_xlfn.LAMBDA("VEERG 2026: 4.6.1.3, Equation (7)")</definedName>
    <definedName name="MMS_Poultry_N2ODirect_Equations.VEERG_4_6_1_3__7_NitrogenTransferredToStage2MMS_Title">_xlfn.LAMBDA("Nitrogen transferred to treatment stage 2 MMS")</definedName>
    <definedName name="MMS_Poultry_N2ODirect_Equations.VEERG_4_6_1_3__7_NitrogenTransferredToStage2MMS_Unit">_xlfn.LAMBDA("kg N")</definedName>
    <definedName name="MMS_Poultry_N2ODirect_Equations.VEERG_4_6_1_3__7_NitrogenTransferredToStage2MMS_Variable">_xlfn.LAMBDA("NT_jkmT2")</definedName>
    <definedName name="MMS_Poultry_Soil_AtmosphericDeposition_Equations.VEERG_4_6_1_12__1_AtmosphericDepositionEmissionsFromPoultryManureOnPasture">_xlfn.LAMBDA(_xlpm.M_vol_m14,_xlpm.EF_N2O,_xlpm.C_N2O, _xlpm.M_vol_m14 * _xlpm.EF_N2O * _xlpm.C_N2O * 10 ^ -3)</definedName>
    <definedName name="MMS_Poultry_Soil_AtmosphericDeposition_Equations.VEERG_4_6_1_12__1_AtmosphericDepositionEmissionsFromPoultryManureOnPasture_Arguments">_xlfn.LAMBDA(_xlfn.MAKEARRAY(6, 4, _xlfn.LAMBDA(_xlpm.r,_xlpm.c, INDEX({"M_vol_m14","mass of nitrogen volatilised from manure deposited on pasture","kg N","Calculated from 4.6.1.12 (2)";"EF_N2O","emission factor for atmospheric deposition (kg N2O-N/kg N)","kg N2O-N/kg N","Constant";"C_N2O","factor to convert elemental mass of N2O to molecular mass","ratio","Constant";"j","production system","dimensionless","Input";"ir","irrigation method","dimensionless","Input";"r","rainfall region","dimensionless","Input"}, _xlpm.r, _xlpm.c))))</definedName>
    <definedName name="MMS_Poultry_Soil_AtmosphericDeposition_Equations.VEERG_4_6_1_12__1_AtmosphericDepositionEmissionsFromPoultryManureOnPasture_LatexEquation">_xlfn.LAMBDA("E_{N2O,ad}=M_{vol,m=14}\times EF_{N2O}\times C_{N2O}\times 10^{-3}")</definedName>
    <definedName name="MMS_Poultry_Soil_AtmosphericDeposition_Equations.VEERG_4_6_1_12__1_AtmosphericDepositionEmissionsFromPoultryManureOnPasture_NIRReference">_xlfn.LAMBDA("")</definedName>
    <definedName name="MMS_Poultry_Soil_AtmosphericDeposition_Equations.VEERG_4_6_1_12__1_AtmosphericDepositionEmissionsFromPoultryManureOnPasture_Source">_xlfn.LAMBDA("VEERG 2026: 4.6.1.12, Equation (1)")</definedName>
    <definedName name="MMS_Poultry_Soil_AtmosphericDeposition_Equations.VEERG_4_6_1_12__1_AtmosphericDepositionEmissionsFromPoultryManureOnPasture_Title">_xlfn.LAMBDA("Atmospheric deposition emissions from poultry manure deposited on pasture")</definedName>
    <definedName name="MMS_Poultry_Soil_AtmosphericDeposition_Equations.VEERG_4_6_1_12__1_AtmosphericDepositionEmissionsFromPoultryManureOnPasture_Unit">_xlfn.LAMBDA("t N2O")</definedName>
    <definedName name="MMS_Poultry_Soil_AtmosphericDeposition_Equations.VEERG_4_6_1_12__1_AtmosphericDepositionEmissionsFromPoultryManureOnPasture_Variable">_xlfn.LAMBDA("E_N2Oad")</definedName>
    <definedName name="MMS_Poultry_Soil_AtmosphericDeposition_Equations.VEERG_4_6_1_12__2_MassOfNitrogenVolatilisedFromPoultryManureOnPasture">_xlfn.LAMBDA(_xlpm.MN_jkm14T1,_xlpm.FracGASMsoil, _xlpm.MN_jkm14T1 * _xlpm.FracGASMsoil)</definedName>
    <definedName name="MMS_Poultry_Soil_AtmosphericDeposition_Equations.VEERG_4_6_1_12__2_MassOfNitrogenVolatilisedFromPoultryManureOnPasture_Arguments">_xlfn.LAMBDA(_xlfn.MAKEARRAY(2, 4, _xlfn.LAMBDA(_xlpm.r,_xlpm.c, INDEX({"MN_jkm14T1","mass of nitrogen excreted directly on pasture by poultry class and subclass","kg N","Calculated from 4.6.1.3 (2)";"FracGASMsoil","fraction of nitrogen volatilised from manure deposited on pasture","(kg NH3-N + NOx-N)/kg N","Constant"}, _xlpm.r, _xlpm.c))))</definedName>
    <definedName name="MMS_Poultry_Soil_AtmosphericDeposition_Equations.VEERG_4_6_1_12__2_MassOfNitrogenVolatilisedFromPoultryManureOnPasture_LatexEquation">_xlfn.LAMBDA("M_{vol,m=14}=\sum_{j}\sum_{k}(MN_{jkm=14,T=1}\times FracGASMsoil)")</definedName>
    <definedName name="MMS_Poultry_Soil_AtmosphericDeposition_Equations.VEERG_4_6_1_12__2_MassOfNitrogenVolatilisedFromPoultryManureOnPasture_NIRReference">_xlfn.LAMBDA("")</definedName>
    <definedName name="MMS_Poultry_Soil_AtmosphericDeposition_Equations.VEERG_4_6_1_12__2_MassOfNitrogenVolatilisedFromPoultryManureOnPasture_Source">_xlfn.LAMBDA("VEERG 2026: 4.6.1.12, Equation (2)")</definedName>
    <definedName name="MMS_Poultry_Soil_AtmosphericDeposition_Equations.VEERG_4_6_1_12__2_MassOfNitrogenVolatilisedFromPoultryManureOnPasture_Title">_xlfn.LAMBDA("Mass of nitrogen volatilised from poultry manure deposited on pasture")</definedName>
    <definedName name="MMS_Poultry_Soil_AtmosphericDeposition_Equations.VEERG_4_6_1_12__2_MassOfNitrogenVolatilisedFromPoultryManureOnPasture_Unit">_xlfn.LAMBDA("kg N")</definedName>
    <definedName name="MMS_Poultry_Soil_AtmosphericDeposition_Equations.VEERG_4_6_1_12__2_MassOfNitrogenVolatilisedFromPoultryManureOnPasture_Variable">_xlfn.LAMBDA("M_vol_m14")</definedName>
    <definedName name="MMS_Poultry_Soil_LeachingAndRunoff_Equations.VEERG_4_6_1_14__1_LeachingAndRunoffEmissionsFromPoultryManureOnPasture">_xlfn.LAMBDA(_xlpm.M_leach_m14,_xlpm.EF_leach,_xlpm.C_N2O, _xlpm.M_leach_m14 * _xlpm.EF_leach * _xlpm.C_N2O * 10 ^ -3)</definedName>
    <definedName name="MMS_Poultry_Soil_LeachingAndRunoff_Equations.VEERG_4_6_1_14__1_LeachingAndRunoffEmissionsFromPoultryManureOnPasture_Arguments">_xlfn.LAMBDA(_xlfn.MAKEARRAY(3, 4, _xlfn.LAMBDA(_xlpm.r,_xlpm.c, INDEX({"M_leach_m14","mass of nitrogen lost to leaching and runoff from poultry manure deposited on pasture","kg N","Calculated from 4.6.1.14 (2)";"EF_leach","emission factor for leaching and runoff (kg N2O-N/kg N)","kg N2O-N/kg N","Constant";"C_N2O","factor to convert elemental mass of N2O to molecular mass","ratio","Constant"}, _xlpm.r, _xlpm.c))))</definedName>
    <definedName name="MMS_Poultry_Soil_LeachingAndRunoff_Equations.VEERG_4_6_1_14__1_LeachingAndRunoffEmissionsFromPoultryManureOnPasture_LatexEquation">_xlfn.LAMBDA("E_{N2O,leach}=M_{leach,m=14}\times EF_{leach}\times C_{N2O}\times 10^{-3}")</definedName>
    <definedName name="MMS_Poultry_Soil_LeachingAndRunoff_Equations.VEERG_4_6_1_14__1_LeachingAndRunoffEmissionsFromPoultryManureOnPasture_NIRReference">_xlfn.LAMBDA("")</definedName>
    <definedName name="MMS_Poultry_Soil_LeachingAndRunoff_Equations.VEERG_4_6_1_14__1_LeachingAndRunoffEmissionsFromPoultryManureOnPasture_Source">_xlfn.LAMBDA("VEERG 2026: 4.6.1.14, Equation (1)")</definedName>
    <definedName name="MMS_Poultry_Soil_LeachingAndRunoff_Equations.VEERG_4_6_1_14__1_LeachingAndRunoffEmissionsFromPoultryManureOnPasture_Title">_xlfn.LAMBDA("Leaching and runoff emissions from poultry manure deposited on pasture")</definedName>
    <definedName name="MMS_Poultry_Soil_LeachingAndRunoff_Equations.VEERG_4_6_1_14__1_LeachingAndRunoffEmissionsFromPoultryManureOnPasture_Unit">_xlfn.LAMBDA("t N2O")</definedName>
    <definedName name="MMS_Poultry_Soil_LeachingAndRunoff_Equations.VEERG_4_6_1_14__1_LeachingAndRunoffEmissionsFromPoultryManureOnPasture_Variable">_xlfn.LAMBDA("E_N2Oleach")</definedName>
    <definedName name="MMS_Poultry_Soil_LeachingAndRunoff_Equations.VEERG_4_6_1_14__2_MassOfNitrogenLostToLeachingAndRunoffFromPoultryManureOnPasture">_xlfn.LAMBDA(_xlpm.MN_jkm14T1,_xlpm.FracWet,_xlpm.FracLEACH_MS, _xlpm.MN_jkm14T1 * _xlpm.FracWet * _xlpm.FracLEACH_MS)</definedName>
    <definedName name="MMS_Poultry_Soil_LeachingAndRunoff_Equations.VEERG_4_6_1_14__2_MassOfNitrogenLostToLeachingAndRunoffFromPoultryManureOnPasture_Arguments">_xlfn.LAMBDA(_xlfn.MAKEARRAY(6, 4, _xlfn.LAMBDA(_xlpm.r,_xlpm.c, INDEX({"MN_jkm14T1","mass of nitrogen excreted directly on pasture by poultry class and subclass","kg N","Calculated from 4.6.1.3 (2)";"FracWet","fraction of N available for leaching and runoff","fraction","Constant";"FracLEACH_MS","fraction of N that is lost through leaching and runoff","fraction","Constant";"z","location in leaching zone","","Input";"j","production system","","Input";"ir","irrigation method","","Input"}, _xlpm.r, _xlpm.c))))</definedName>
    <definedName name="MMS_Poultry_Soil_LeachingAndRunoff_Equations.VEERG_4_6_1_14__2_MassOfNitrogenLostToLeachingAndRunoffFromPoultryManureOnPasture_LatexEquation">_xlfn.LAMBDA("M_{leach,m=14}=\sum_{j}\sum_{k}(MN_{jkm=14,T=1}\times FracWet\times FracLEACH_MS)")</definedName>
    <definedName name="MMS_Poultry_Soil_LeachingAndRunoff_Equations.VEERG_4_6_1_14__2_MassOfNitrogenLostToLeachingAndRunoffFromPoultryManureOnPasture_NIRReference">_xlfn.LAMBDA("")</definedName>
    <definedName name="MMS_Poultry_Soil_LeachingAndRunoff_Equations.VEERG_4_6_1_14__2_MassOfNitrogenLostToLeachingAndRunoffFromPoultryManureOnPasture_Source">_xlfn.LAMBDA("VEERG 2026: 4.6.1.14, Equation (2)")</definedName>
    <definedName name="MMS_Poultry_Soil_LeachingAndRunoff_Equations.VEERG_4_6_1_14__2_MassOfNitrogenLostToLeachingAndRunoffFromPoultryManureOnPasture_Title">_xlfn.LAMBDA("Mass of nitrogen lost to leaching and runoff from poultry manure deposited on pasture")</definedName>
    <definedName name="MMS_Poultry_Soil_LeachingAndRunoff_Equations.VEERG_4_6_1_14__2_MassOfNitrogenLostToLeachingAndRunoffFromPoultryManureOnPasture_Unit">_xlfn.LAMBDA("kg N")</definedName>
    <definedName name="MMS_Poultry_Soil_LeachingAndRunoff_Equations.VEERG_4_6_1_14__2_MassOfNitrogenLostToLeachingAndRunoffFromPoultryManureOnPasture_Variable">_xlfn.LAMBDA("M_leach_m14")</definedName>
    <definedName name="MMS_Poultry_Soil_N2ODirect_Equations.VEERG_4_6_1_10__1_DirectNitrousOxideEmissionsFromPoultryManure">_xlfn.LAMBDA(_xlpm.MN_jkm14T1,_xlpm.EF_PRP,_xlpm.C_N2O, _xlpm.MN_jkm14T1 * _xlpm.EF_PRP * _xlpm.C_N2O * 10 ^ -3)</definedName>
    <definedName name="MMS_Poultry_Soil_N2ODirect_Equations.VEERG_4_6_1_10__1_DirectNitrousOxideEmissionsFromPoultryManure_Arguments">_xlfn.LAMBDA(_xlfn.MAKEARRAY(3, 4, _xlfn.LAMBDA(_xlpm.r,_xlpm.c, INDEX({"MN_jkm14T1","mass of nitrogen excreted directly on pasture by poultry class and subclass","kg N","Calculated from 4.6.1.3 (2)";"EF_PRP","nitrous oxide emission factor for manure deposited on pasture","kg N2O-N/kg N deposited","Constant";"C_N2O","factor to convert elemental mass of N2O to molecular mass","ratio","Constant"}, _xlpm.r, _xlpm.c))))</definedName>
    <definedName name="MMS_Poultry_Soil_N2ODirect_Equations.VEERG_4_6_1_10__1_DirectNitrousOxideEmissionsFromPoultryManure_LatexEquation">_xlfn.LAMBDA("EM_{N2O,PRP,dir}=\sum_{j}\sum_{k}(MN_{jkm=14,T=1}\times EF_{PRP}\times C_{N2O})\times 10^{-3}")</definedName>
    <definedName name="MMS_Poultry_Soil_N2ODirect_Equations.VEERG_4_6_1_10__1_DirectNitrousOxideEmissionsFromPoultryManure_NIRReference">_xlfn.LAMBDA("")</definedName>
    <definedName name="MMS_Poultry_Soil_N2ODirect_Equations.VEERG_4_6_1_10__1_DirectNitrousOxideEmissionsFromPoultryManure_Source">_xlfn.LAMBDA("VEERG 2026: 4.6.1.10, Equation (1)")</definedName>
    <definedName name="MMS_Poultry_Soil_N2ODirect_Equations.VEERG_4_6_1_10__1_DirectNitrousOxideEmissionsFromPoultryManure_Title">_xlfn.LAMBDA("Direct nitrous oxide emissions from poultry manure on pasture")</definedName>
    <definedName name="MMS_Poultry_Soil_N2ODirect_Equations.VEERG_4_6_1_10__1_DirectNitrousOxideEmissionsFromPoultryManure_Unit">_xlfn.LAMBDA("t N2O")</definedName>
    <definedName name="MMS_Poultry_Soil_N2ODirect_Equations.VEERG_4_6_1_10__1_DirectNitrousOxideEmissionsFromPoultryManure_Variable">_xlfn.LAMBDA("EM_N2OPRPdir")</definedName>
    <definedName name="MMS_Swine_AtmosphericDeposition_Equations.VEERG_4_5_1_5__1_AnnualAtmosphericDepositionEmissionsFromMMS">_xlfn.LAMBDA(_xlpm.MMS_ATMOS,_xlpm.EF_N2O,_xlpm.C_N2O, _xlpm.MMS_ATMOS * _xlpm.EF_N2O * _xlpm.C_N2O * 10 ^ -3)</definedName>
    <definedName name="MMS_Swine_AtmosphericDeposition_Equations.VEERG_4_5_1_5__1_AnnualAtmosphericDepositionEmissionsFromMMS_Arguments">_xlfn.LAMBDA(_xlfn.MAKEARRAY(6, 4, _xlfn.LAMBDA(_xlpm.r,_xlpm.c, INDEX({"MMS_ATMOS","mass of N volatilised from MMS","kg N","Calculated from 4.5.1.5 (2)";"EF_N2O","nitrous oxide emission factor for atmospheric deposition","kg N2O-N/kg N","Constant";"C_N2O","factor to convert elemental mass of N2O to molecular mass","","Constant";"j","production system","","Input";"ir","irrigation method","","Input";"r","rainfall region","","Input"}, _xlpm.r, _xlpm.c))))</definedName>
    <definedName name="MMS_Swine_AtmosphericDeposition_Equations.VEERG_4_5_1_5__1_AnnualAtmosphericDepositionEmissionsFromMMS_LatexEquation">_xlfn.LAMBDA("E_{N2O,ad}=MMS_{ATMOS}\times EF_{N2O}\times C_{N2O}\times 10^{-3}")</definedName>
    <definedName name="MMS_Swine_AtmosphericDeposition_Equations.VEERG_4_5_1_5__1_AnnualAtmosphericDepositionEmissionsFromMMS_NIRReference">_xlfn.LAMBDA("")</definedName>
    <definedName name="MMS_Swine_AtmosphericDeposition_Equations.VEERG_4_5_1_5__1_AnnualAtmosphericDepositionEmissionsFromMMS_Source">_xlfn.LAMBDA("VEERG 2026: 4.5.1.1, Equation (1)")</definedName>
    <definedName name="MMS_Swine_AtmosphericDeposition_Equations.VEERG_4_5_1_5__1_AnnualAtmosphericDepositionEmissionsFromMMS_Title">_xlfn.LAMBDA("Annual atmospheric deposition emissions from MMS")</definedName>
    <definedName name="MMS_Swine_AtmosphericDeposition_Equations.VEERG_4_5_1_5__1_AnnualAtmosphericDepositionEmissionsFromMMS_Unit">_xlfn.LAMBDA("t N2O")</definedName>
    <definedName name="MMS_Swine_AtmosphericDeposition_Equations.VEERG_4_5_1_5__1_AnnualAtmosphericDepositionEmissionsFromMMS_Variable">_xlfn.LAMBDA("E_N2OMMSad")</definedName>
    <definedName name="MMS_Swine_AtmosphericDeposition_Equations.VEERG_4_5_1_5__2_TotalNitrogenVolatilisedFromMMS">_xlfn.LAMBDA(_xlpm.MN_jmT,_xlpm.FracGASMmT, _xlpm.MN_jmT * _xlpm.FracGASMmT)</definedName>
    <definedName name="MMS_Swine_AtmosphericDeposition_Equations.VEERG_4_5_1_5__2_TotalNitrogenVolatilisedFromMMS_Arguments">_xlfn.LAMBDA(_xlfn.MAKEARRAY(2, 4, _xlfn.LAMBDA(_xlpm.r,_xlpm.c, INDEX({"MN_jmT","nitrogen per swine class, MMS and treatment stage","kg N","Calculated from 4.5.1.3 (2)(6)";"FracGASMmT","fraction of N volatilised in each MMS","(kg NH3-N + NOx-N)/kg N","Constant"}, _xlpm.r, _xlpm.c))))</definedName>
    <definedName name="MMS_Swine_AtmosphericDeposition_Equations.VEERG_4_5_1_5__2_TotalNitrogenVolatilisedFromMMS_LatexEquation">_xlfn.LAMBDA("MMS_{ATMOS}=\sum_{j}\sum_{m}\sum_{T}(MN_{jmT}\times FracGASM_{mT})")</definedName>
    <definedName name="MMS_Swine_AtmosphericDeposition_Equations.VEERG_4_5_1_5__2_TotalNitrogenVolatilisedFromMMS_NIRReference">_xlfn.LAMBDA("")</definedName>
    <definedName name="MMS_Swine_AtmosphericDeposition_Equations.VEERG_4_5_1_5__2_TotalNitrogenVolatilisedFromMMS_Source">_xlfn.LAMBDA("VEERG 2026: 4.5.1.1, Equation (2)")</definedName>
    <definedName name="MMS_Swine_AtmosphericDeposition_Equations.VEERG_4_5_1_5__2_TotalNitrogenVolatilisedFromMMS_Title">_xlfn.LAMBDA("Total nitrogen volatilised from MMS")</definedName>
    <definedName name="MMS_Swine_AtmosphericDeposition_Equations.VEERG_4_5_1_5__2_TotalNitrogenVolatilisedFromMMS_Unit">_xlfn.LAMBDA("kg N")</definedName>
    <definedName name="MMS_Swine_AtmosphericDeposition_Equations.VEERG_4_5_1_5__2_TotalNitrogenVolatilisedFromMMS_Variable">_xlfn.LAMBDA("MMS_ATMOS")</definedName>
    <definedName name="MMS_Swine_LeachingAndRunoff_Equations.VEERG_4_5_1_7__1_AnnualEmissionsFromLeachingAndRunoffFromMMS">_xlfn.LAMBDA(_xlpm.MNLeach_jm5,_xlpm.EF_leach,_xlpm.C_N2O, _xlpm.MNLeach_jm5 * _xlpm.EF_leach * _xlpm.C_N2O * 10 ^ -3)</definedName>
    <definedName name="MMS_Swine_LeachingAndRunoff_Equations.VEERG_4_5_1_7__1_AnnualEmissionsFromLeachingAndRunoffFromMMS_Arguments">_xlfn.LAMBDA(_xlfn.MAKEARRAY(3, 4, _xlfn.LAMBDA(_xlpm.r,_xlpm.c, INDEX({"MNLeach_jm5","mass of N lost through leaching and runoff from drylot MMS","kg N","Calculated from 4.5.1.7 (2)";"EF_leach","emission factor for leaching and runoff","kg N2O-N/kg N","Constant";"C_N2O","factor to convert elemental mass of N2O to molecular mass","","Constant"}, _xlpm.r, _xlpm.c))))</definedName>
    <definedName name="MMS_Swine_LeachingAndRunoff_Equations.VEERG_4_5_1_7__1_AnnualEmissionsFromLeachingAndRunoffFromMMS_LatexEquation">_xlfn.LAMBDA("E_{N2O,leach}=MNLeach_{jm=5}\times EF_{leach}\times C_{N2O}\times 10^{-3}")</definedName>
    <definedName name="MMS_Swine_LeachingAndRunoff_Equations.VEERG_4_5_1_7__1_AnnualEmissionsFromLeachingAndRunoffFromMMS_NIRReference">_xlfn.LAMBDA("")</definedName>
    <definedName name="MMS_Swine_LeachingAndRunoff_Equations.VEERG_4_5_1_7__1_AnnualEmissionsFromLeachingAndRunoffFromMMS_Source">_xlfn.LAMBDA("VEERG 2026: 4.5.1.7, Equation (1)")</definedName>
    <definedName name="MMS_Swine_LeachingAndRunoff_Equations.VEERG_4_5_1_7__1_AnnualEmissionsFromLeachingAndRunoffFromMMS_Title">_xlfn.LAMBDA("Annual emissions from leaching and runoff from each MMS")</definedName>
    <definedName name="MMS_Swine_LeachingAndRunoff_Equations.VEERG_4_5_1_7__1_AnnualEmissionsFromLeachingAndRunoffFromMMS_Unit">_xlfn.LAMBDA("t N2O")</definedName>
    <definedName name="MMS_Swine_LeachingAndRunoff_Equations.VEERG_4_5_1_7__1_AnnualEmissionsFromLeachingAndRunoffFromMMS_Variable">_xlfn.LAMBDA("E_N2Oleach")</definedName>
    <definedName name="MMS_Swine_LeachingAndRunoff_Equations.VEERG_4_5_1_7__2_MassOfNitrogenLostToLeachingAndRunoffFromDrylotMMS">_xlfn.LAMBDA(_xlpm.MN_jm5T1,_xlpm.FracWET,_xlpm.FracLEACH_MS, _xlpm.MN_jm5T1 * _xlpm.FracWET * _xlpm.FracLEACH_MS)</definedName>
    <definedName name="MMS_Swine_LeachingAndRunoff_Equations.VEERG_4_5_1_7__2_MassOfNitrogenLostToLeachingAndRunoffFromDrylotMMS_Arguments">_xlfn.LAMBDA(_xlfn.MAKEARRAY(6, 4, _xlfn.LAMBDA(_xlpm.r,_xlpm.c, INDEX({"MN_jm5T1","nitrogen in treatment stage 1 drylot MMS","kg N","Calculated from 4.5.1.3 (2)";"FracWET","fraction of N available for leaching and runoff","fraction","Constant";"FracLEACH_MS","fraction of N lost through leaching and runoff","fraction","Constant";"z","location in leaching zone","","Input";"j","production system","","Input";"ir","irrigation method","","Input"}, _xlpm.r, _xlpm.c))))</definedName>
    <definedName name="MMS_Swine_LeachingAndRunoff_Equations.VEERG_4_5_1_7__2_MassOfNitrogenLostToLeachingAndRunoffFromDrylotMMS_LatexEquation">_xlfn.LAMBDA("MNLeach_{jm=5}=MN_{jm=5,T=1}\times FracWET\times FracLEACH_{MS}")</definedName>
    <definedName name="MMS_Swine_LeachingAndRunoff_Equations.VEERG_4_5_1_7__2_MassOfNitrogenLostToLeachingAndRunoffFromDrylotMMS_NIRReference">_xlfn.LAMBDA("")</definedName>
    <definedName name="MMS_Swine_LeachingAndRunoff_Equations.VEERG_4_5_1_7__2_MassOfNitrogenLostToLeachingAndRunoffFromDrylotMMS_Source">_xlfn.LAMBDA("VEERG 2026: 4.5.1.7, Equation (2)")</definedName>
    <definedName name="MMS_Swine_LeachingAndRunoff_Equations.VEERG_4_5_1_7__2_MassOfNitrogenLostToLeachingAndRunoffFromDrylotMMS_Title">_xlfn.LAMBDA("Mass of nitrogen lost to leaching and runoff from drylot MMS")</definedName>
    <definedName name="MMS_Swine_LeachingAndRunoff_Equations.VEERG_4_5_1_7__2_MassOfNitrogenLostToLeachingAndRunoffFromDrylotMMS_Unit">_xlfn.LAMBDA("kg N")</definedName>
    <definedName name="MMS_Swine_LeachingAndRunoff_Equations.VEERG_4_5_1_7__2_MassOfNitrogenLostToLeachingAndRunoffFromDrylotMMS_Variable">_xlfn.LAMBDA("MNLeach_jm5")</definedName>
    <definedName name="MMS_Swine_ManureAppliedToSoils_Equations.VEERG_4_5_1_9__1_MassOfNitrogenAppliedToSoilsScope1">_xlfn.LAMBDA(_xlpm.MN_jmT2,_xlpm.EF_mT2,_xlpm.FracGASM_mT2,_xlpm.MNLeach_jm5,_xlpm.PF, (_xlpm.MN_jmT2 * (1 - _xlpm.EF_mT2 - _xlpm.FracGASM_mT2) - _xlpm.MNLeach_jm5) * _xlpm.PF)</definedName>
    <definedName name="MMS_Swine_ManureAppliedToSoils_Equations.VEERG_4_5_1_9__1_MassOfNitrogenAppliedToSoilsScope1_Arguments">_xlfn.LAMBDA(_xlfn.MAKEARRAY(5, 4, _xlfn.LAMBDA(_xlpm.r,_xlpm.c, INDEX({"MN_jmT2","mass of N in MMS at treatment stage 2","kg N","Calculated from 4.5.1.3 (6)";"EF_mT2","nitrous oxide emission factor for each MMS at treatment stage 2","kg N2O-N/kg N","Constant";"FracGASM_mT2","fraction of animal waste N volatilised in each MMS at treatment stage 2","(kg NH3-N + NOx-N)/kg N","Constant";"MNLeach_jm5","mass of N lost to leaching and runoff from drylot MMS","kg N","Calculated from 4.5.1.7 (2)";"PF","fraction of manure applied to soil within the piggery boundary","fraction","Input"}, _xlpm.r, _xlpm.c))))</definedName>
    <definedName name="MMS_Swine_ManureAppliedToSoils_Equations.VEERG_4_5_1_9__1_MassOfNitrogenAppliedToSoilsScope1_LatexEquation">_xlfn.LAMBDA("MNSoil_{scope1}=\sum_{j}\sum_{m}(MN_{jmT=2}\times(1-EF_{mT=2}-FracGASM_{mT=2})-MNLeach_{jm=5})\times PF")</definedName>
    <definedName name="MMS_Swine_ManureAppliedToSoils_Equations.VEERG_4_5_1_9__1_MassOfNitrogenAppliedToSoilsScope1_NIRReference">_xlfn.LAMBDA("")</definedName>
    <definedName name="MMS_Swine_ManureAppliedToSoils_Equations.VEERG_4_5_1_9__1_MassOfNitrogenAppliedToSoilsScope1_Source">_xlfn.LAMBDA("VEERG 2026: 4.5.1.9, Equation (1)")</definedName>
    <definedName name="MMS_Swine_ManureAppliedToSoils_Equations.VEERG_4_5_1_9__1_MassOfNitrogenAppliedToSoilsScope1_Title">_xlfn.LAMBDA("Mass of nitrogen applied to soils for scope 1 emissions")</definedName>
    <definedName name="MMS_Swine_ManureAppliedToSoils_Equations.VEERG_4_5_1_9__1_MassOfNitrogenAppliedToSoilsScope1_Unit">_xlfn.LAMBDA("kg N")</definedName>
    <definedName name="MMS_Swine_ManureAppliedToSoils_Equations.VEERG_4_5_1_9__1_MassOfNitrogenAppliedToSoilsScope1_Variable">_xlfn.LAMBDA("MNSoil_scope1")</definedName>
    <definedName name="MMS_Swine_ManureAppliedToSoils_Equations.VEERG_4_5_1_9__2_MassOfNitrogenAppliedToSoilsScope3">_xlfn.LAMBDA(_xlpm.MN_jmT2,_xlpm.EF_mT2,_xlpm.FracGASM_mT2,_xlpm.MNLeach_jm5,_xlpm.PF, (_xlpm.MN_jmT2 * (1 - _xlpm.EF_mT2 - _xlpm.FracGASM_mT2) - _xlpm.MNLeach_jm5) * (1 - _xlpm.PF))</definedName>
    <definedName name="MMS_Swine_ManureAppliedToSoils_Equations.VEERG_4_5_1_9__2_MassOfNitrogenAppliedToSoilsScope3_Arguments">_xlfn.LAMBDA(_xlfn.MAKEARRAY(5, 4, _xlfn.LAMBDA(_xlpm.r,_xlpm.c, INDEX({"MN_jmT2","mass of N in MMS at treatment stage 2","kg N","Calculated from 4.5.1.3 (6)";"EF_mT2","nitrous oxide emission factor for each MMS at treatment stage 2","kg N2O-N/kg N","Constant";"FracGASM_mT2","fraction of animal waste N volatilised in each MMS at treatment stage 2","(kg NH3-N + NOx-N)/kg N","Constant";"MNLeach_jm5","mass of N lost to leaching and runoff from drylot MMS","kg N","Calculated from 4.5.1.7 (2)";"PF","fraction of manure applied to soil within the piggery boundary","fraction","Input"}, _xlpm.r, _xlpm.c))))</definedName>
    <definedName name="MMS_Swine_ManureAppliedToSoils_Equations.VEERG_4_5_1_9__2_MassOfNitrogenAppliedToSoilsScope3_LatexEquation">_xlfn.LAMBDA("MNSoil_{scope3}=\sum_{j}\sum_{m}(MN_{jmT=2}\times(1-EF_{mT=2}-FracGASM_{mT=2})-MNLeach_{jm=5})\times(1-PF)")</definedName>
    <definedName name="MMS_Swine_ManureAppliedToSoils_Equations.VEERG_4_5_1_9__2_MassOfNitrogenAppliedToSoilsScope3_NIRReference">_xlfn.LAMBDA("")</definedName>
    <definedName name="MMS_Swine_ManureAppliedToSoils_Equations.VEERG_4_5_1_9__2_MassOfNitrogenAppliedToSoilsScope3_Source">_xlfn.LAMBDA("VEERG 2026: 4.5.1.9, Equation (2)")</definedName>
    <definedName name="MMS_Swine_ManureAppliedToSoils_Equations.VEERG_4_5_1_9__2_MassOfNitrogenAppliedToSoilsScope3_Title">_xlfn.LAMBDA("Mass of nitrogen applied to soils for scope 3 emissions")</definedName>
    <definedName name="MMS_Swine_ManureAppliedToSoils_Equations.VEERG_4_5_1_9__2_MassOfNitrogenAppliedToSoilsScope3_Unit">_xlfn.LAMBDA("kg N")</definedName>
    <definedName name="MMS_Swine_ManureAppliedToSoils_Equations.VEERG_4_5_1_9__2_MassOfNitrogenAppliedToSoilsScope3_Variable">_xlfn.LAMBDA("MNSoil_scope3")</definedName>
    <definedName name="MMS_Swine_Methane_Equations.VEERG_4_5_1_1__1_TotalAnnualMethaneEmissions">_xlfn.LAMBDA(_xlpm.Dj,_xlpm.Mmj,_xlpm.Nj, _xlpm.Dj * _xlpm.Mmj * _xlpm.Nj * 10 ^ -3)</definedName>
    <definedName name="MMS_Swine_Methane_Equations.VEERG_4_5_1_1__1_TotalAnnualMethaneEmissions_Arguments">_xlfn.LAMBDA(_xlfn.MAKEARRAY(3, 4, _xlfn.LAMBDA(_xlpm.r,_xlpm.c, INDEX({"Dj","length of stay of each class of swine","days","Input";"Mmj","methane production from manure in each swine class","kg CH4/head/day","Calculated from 4.5.1.1 (2)";"Nj","numbers of swine in each class","head","Input"}, _xlpm.r, _xlpm.c))))</definedName>
    <definedName name="MMS_Swine_Methane_Equations.VEERG_4_5_1_1__1_TotalAnnualMethaneEmissions_LatexEquation">_xlfn.LAMBDA("{E}_{CH4}=\sum_{j}(D_{j}\times M_{mj}\times N_{j})\times10^{-3}")</definedName>
    <definedName name="MMS_Swine_Methane_Equations.VEERG_4_5_1_1__1_TotalAnnualMethaneEmissions_NIRReference">_xlfn.LAMBDA("")</definedName>
    <definedName name="MMS_Swine_Methane_Equations.VEERG_4_5_1_1__1_TotalAnnualMethaneEmissions_Source">_xlfn.LAMBDA("VEERG 2026: 4.5.1.1, Equation (1)")</definedName>
    <definedName name="MMS_Swine_Methane_Equations.VEERG_4_5_1_1__1_TotalAnnualMethaneEmissions_Title">_xlfn.LAMBDA("Total annual methane emissions from manure management")</definedName>
    <definedName name="MMS_Swine_Methane_Equations.VEERG_4_5_1_1__1_TotalAnnualMethaneEmissions_Unit">_xlfn.LAMBDA("t CH4")</definedName>
    <definedName name="MMS_Swine_Methane_Equations.VEERG_4_5_1_1__1_TotalAnnualMethaneEmissions_Variable">_xlfn.LAMBDA("ECH4")</definedName>
    <definedName name="MMS_Swine_Methane_Equations.VEERG_4_5_1_1__2_MethaneProductionPerClass">_xlfn.LAMBDA(_xlpm.MjmT, SUM(_xlpm.MjmT))</definedName>
    <definedName name="MMS_Swine_Methane_Equations.VEERG_4_5_1_1__2_MethaneProductionPerClass_Arguments">_xlfn.LAMBDA(_xlfn.MAKEARRAY(1, 4, _xlfn.LAMBDA(_xlpm.r,_xlpm.c, INDEX({"MjmT","methane production from manure per class, MMS, and treatment stage","kg CH4/head/day","Calculated from 4.5.1.1 (3) and (6)"}, _xlpm.r, _xlpm.c))))</definedName>
    <definedName name="MMS_Swine_Methane_Equations.VEERG_4_5_1_1__2_MethaneProductionPerClass_LatexEquation">_xlfn.LAMBDA("M_{mj}=\sum_{m}\sum_{T}M_{jmT}")</definedName>
    <definedName name="MMS_Swine_Methane_Equations.VEERG_4_5_1_1__2_MethaneProductionPerClass_NIRReference">_xlfn.LAMBDA("")</definedName>
    <definedName name="MMS_Swine_Methane_Equations.VEERG_4_5_1_1__2_MethaneProductionPerClass_Source">_xlfn.LAMBDA("VEERG 2026: 4.5.1.1, Equation (2)")</definedName>
    <definedName name="MMS_Swine_Methane_Equations.VEERG_4_5_1_1__2_MethaneProductionPerClass_Title">_xlfn.LAMBDA("Methane production from the manure of each class of swine")</definedName>
    <definedName name="MMS_Swine_Methane_Equations.VEERG_4_5_1_1__2_MethaneProductionPerClass_Unit">_xlfn.LAMBDA("kg CH4/head/day")</definedName>
    <definedName name="MMS_Swine_Methane_Equations.VEERG_4_5_1_1__2_MethaneProductionPerClass_Variable">_xlfn.LAMBDA("Mmj")</definedName>
    <definedName name="MMS_Swine_Methane_Equations.VEERG_4_5_1_1__2_MethaneProductionPerClass_Variation">_xlfn.LAMBDA("VARIATION ON SOURCE: Split variable Mjm into MjmT1 and MjmT2 for stage 1 and 2 MMS.")</definedName>
    <definedName name="MMS_Swine_Methane_Equations.VEERG_4_5_1_1__2_MethaneProductionPerClassVariation">_xlfn.LAMBDA(_xlpm.MjmT1,_xlpm.MjmT2, SUM(_xlpm.MjmT1, _xlpm.MjmT2))</definedName>
    <definedName name="MMS_Swine_Methane_Equations.VEERG_4_5_1_1__3_Stage1MethaneProduction">_xlfn.LAMBDA(_xlpm.VSj,_xlpm.FVSjmT1,_xlpm.MCFim,_xlpm.BO,_xlpm.rho, _xlpm.VSj * _xlpm.FVSjmT1 * _xlpm.MCFim * _xlpm.BO * _xlpm.rho)</definedName>
    <definedName name="MMS_Swine_Methane_Equations.VEERG_4_5_1_1__3_Stage1MethaneProduction_Arguments">_xlfn.LAMBDA(_xlfn.MAKEARRAY(5, 4, _xlfn.LAMBDA(_xlpm.r,_xlpm.c, INDEX({"VSj","volatile solid production from swine in each class","kg/head/day","Input";"FVSjmT1","fraction of volatile solids in each primary system","fraction","Calculated from 4.5.1.1 (4)(5)";"MCFim","methane conversion factor for temperate zone and system","fraction","Constant";"BO","emissions potential","m3 CH4/kg VS","Constant";"rho","density of methane","kg/m3","Constant"}, _xlpm.r, _xlpm.c))))</definedName>
    <definedName name="MMS_Swine_Methane_Equations.VEERG_4_5_1_1__3_Stage1MethaneProduction_LatexEquation">_xlfn.LAMBDA("M_{ijm,T=1}=VS_{j}\times FVS_{jm,T=1}\times MCF_{im}\times BO\times \rho")</definedName>
    <definedName name="MMS_Swine_Methane_Equations.VEERG_4_5_1_1__3_Stage1MethaneProduction_NIRReference">_xlfn.LAMBDA("")</definedName>
    <definedName name="MMS_Swine_Methane_Equations.VEERG_4_5_1_1__3_Stage1MethaneProduction_Source">_xlfn.LAMBDA("VEERG 2026: 4.5.1.1, Equation (3)")</definedName>
    <definedName name="MMS_Swine_Methane_Equations.VEERG_4_5_1_1__3_Stage1MethaneProduction_Title">_xlfn.LAMBDA("Production of methane in treatment stage 1 MMS")</definedName>
    <definedName name="MMS_Swine_Methane_Equations.VEERG_4_5_1_1__3_Stage1MethaneProduction_Unit">_xlfn.LAMBDA("kg CH4/head/day")</definedName>
    <definedName name="MMS_Swine_Methane_Equations.VEERG_4_5_1_1__3_Stage1MethaneProduction_Variable">_xlfn.LAMBDA("MijmT1")</definedName>
    <definedName name="MMS_Swine_Methane_Equations.VEERG_4_5_1_1__4_FractionVolatileSolidsPrimarySystem">_xlfn.LAMBDA(_xlpm.MMSjmT1,_xlpm.SSm, _xlpm.MMSjmT1 * (1 - _xlpm.SSm))</definedName>
    <definedName name="MMS_Swine_Methane_Equations.VEERG_4_5_1_1__4_FractionVolatileSolidsPrimarySystem_Arguments">_xlfn.LAMBDA(_xlfn.MAKEARRAY(2, 4, _xlfn.LAMBDA(_xlpm.r,_xlpm.c, INDEX({"MMSjmT1","fraction of manure to each primary MMS for each class prior to solid separation","fraction","Input";"SSm","fraction of volatile solids separated to solid storage for each MMS","fraction","Input"}, _xlpm.r, _xlpm.c))))</definedName>
    <definedName name="MMS_Swine_Methane_Equations.VEERG_4_5_1_1__4_FractionVolatileSolidsPrimarySystem_LatexEquation">_xlfn.LAMBDA("FVS_{jm,T=1}=MMS_{jm,T=1}\times(1-SS_{m})")</definedName>
    <definedName name="MMS_Swine_Methane_Equations.VEERG_4_5_1_1__4_FractionVolatileSolidsPrimarySystem_NIRReference">_xlfn.LAMBDA("")</definedName>
    <definedName name="MMS_Swine_Methane_Equations.VEERG_4_5_1_1__4_FractionVolatileSolidsPrimarySystem_Source">_xlfn.LAMBDA("VEERG 2026: 4.5.1.1, Equation (4)")</definedName>
    <definedName name="MMS_Swine_Methane_Equations.VEERG_4_5_1_1__4_FractionVolatileSolidsPrimarySystem_Title">_xlfn.LAMBDA("Fraction of volatile solids in each primary system other than solid storage")</definedName>
    <definedName name="MMS_Swine_Methane_Equations.VEERG_4_5_1_1__4_FractionVolatileSolidsPrimarySystem_Unit">_xlfn.LAMBDA("fraction")</definedName>
    <definedName name="MMS_Swine_Methane_Equations.VEERG_4_5_1_1__4_FractionVolatileSolidsPrimarySystem_Variable">_xlfn.LAMBDA("FVSjmT1")</definedName>
    <definedName name="MMS_Swine_Methane_Equations.VEERG_4_5_1_1__4_FractionVolatileSolidsPrimarySystem_Variation">_xlfn.LAMBDA("")</definedName>
    <definedName name="MMS_Swine_Methane_Equations.VEERG_4_5_1_1__5_FractionVolatileSolidsSolidStorage">_xlfn.LAMBDA(_xlpm.MMSjm4T1,_xlpm.MMSjm179T1,_xlpm.SSm, _xlpm.MMSjm4T1 + (_xlpm.MMSjm179T1 * _xlpm.SSm))</definedName>
    <definedName name="MMS_Swine_Methane_Equations.VEERG_4_5_1_1__5_FractionVolatileSolidsSolidStorage_Arguments">_xlfn.LAMBDA(_xlfn.MAKEARRAY(3, 4, _xlfn.LAMBDA(_xlpm.r,_xlpm.c, INDEX({"MMSjm4T1","fraction of manure in solid storage primary system","fraction","Input";"MMSjm179T1","fraction of manure in MMS 1, 7, and 9 in treatment stage 1","fraction","Input";"SSm","fraction of volatile solids separated to solid storage for each MMS","fraction","Input"}, _xlpm.r, _xlpm.c))))</definedName>
    <definedName name="MMS_Swine_Methane_Equations.VEERG_4_5_1_1__5_FractionVolatileSolidsSolidStorage_LatexEquation">_xlfn.LAMBDA("FVS_{j,m=4,T=1}=MMS_{j,m=4,T=1}+(MMS_{j,m=1,7,9,T=1}\times SS_{m})")</definedName>
    <definedName name="MMS_Swine_Methane_Equations.VEERG_4_5_1_1__5_FractionVolatileSolidsSolidStorage_LatexEquationVariation">_xlfn.LAMBDA("FVS_{j,m=4,T=1}=MMS_{j,m=4,T=1}+(MMS_{j,m=1,T=1}\times SS_{m=1,T=1})+(MMS_{j,m=7,T=1}\times SS_{m=7,T=1})+(MMS_{j,m=9,T=1}\times SS_{m=9,T=1})")</definedName>
    <definedName name="MMS_Swine_Methane_Equations.VEERG_4_5_1_1__5_FractionVolatileSolidsSolidStorage_NIRReference">_xlfn.LAMBDA("")</definedName>
    <definedName name="MMS_Swine_Methane_Equations.VEERG_4_5_1_1__5_FractionVolatileSolidsSolidStorage_Source">_xlfn.LAMBDA("VEERG 2026: 4.5.1.1, Equation (5)")</definedName>
    <definedName name="MMS_Swine_Methane_Equations.VEERG_4_5_1_1__5_FractionVolatileSolidsSolidStorage_Title">_xlfn.LAMBDA("Fraction of volatile solids in solid storage")</definedName>
    <definedName name="MMS_Swine_Methane_Equations.VEERG_4_5_1_1__5_FractionVolatileSolidsSolidStorage_Unit">_xlfn.LAMBDA("fraction")</definedName>
    <definedName name="MMS_Swine_Methane_Equations.VEERG_4_5_1_1__5_FractionVolatileSolidsSolidStorage_Variable">_xlfn.LAMBDA("FVSjm4T1")</definedName>
    <definedName name="MMS_Swine_Methane_Equations.VEERG_4_5_1_1__5_FractionVolatileSolidsSolidStorage_Variation">_xlfn.LAMBDA("VARIATION ON SOURCE: Split equation for MMSm=1,7,9 into separate items to allow for calculation")</definedName>
    <definedName name="MMS_Swine_Methane_Equations.VEERG_4_5_1_1__5_FractionVolatileSolidsSolidStorageVariation">_xlfn.LAMBDA(_xlpm.MMSjm4T1,_xlpm.MMSjmT1_1,_xlpm.MMSjmT1_2,_xlpm.MMSjmT1_3,_xlpm.MMSjmT1_4,_xlpm.MMSjmT1_5,_xlpm.SSjmT1_1,_xlpm.SSjmT1_2,_xlpm.SSjmT1_3,_xlpm.SSjmT1_4,_xlpm.SSjmT1_5, _xlpm.MMSjm4T1 + (_xlpm.MMSjmT1_1 * _xlpm.SSjmT1_1) + (_xlpm.MMSjmT1_2 * _xlpm.SSjmT1_2) + (_xlpm.MMSjmT1_3 * _xlpm.SSjmT1_3) + (_xlpm.MMSjmT1_4 * _xlpm.SSjmT1_4) + (_xlpm.MMSjmT1_5 * _xlpm.SSjmT1_5))</definedName>
    <definedName name="MMS_Swine_Methane_Equations.VEERG_4_5_1_1__6_Stage2MethaneProduction">_xlfn.LAMBDA(_xlpm.VSTjmT2,_xlpm.BO,_xlpm.MMSjmT2,_xlpm.MCFim,_xlpm.rho, _xlfn.LET(_xlpm.VSTjmT2, IF(ISNUMBER(_xlpm.VSTjmT2), _xlpm.VSTjmT2, 0), _xlpm.MMSjmT2, IF(ISNUMBER(_xlpm.MMSjmT2), _xlpm.MMSjmT2, 0), _xlpm.VSTjmT2 * _xlpm.BO * _xlpm.MMSjmT2 * _xlpm.MCFim * _xlpm.rho))</definedName>
    <definedName name="MMS_Swine_Methane_Equations.VEERG_4_5_1_1__6_Stage2MethaneProduction_Arguments">_xlfn.LAMBDA(_xlfn.MAKEARRAY(6, 4, _xlfn.LAMBDA(_xlpm.r,_xlpm.c, INDEX({"VSTjmT2","volatile solids transferred to treatment stage 2 MMS","kg/head/day","Calculated from 4.5.1.1 (7)";"BO","emissions potential","m3 CH4/kg VS","Constant";"MMSjmT2","fraction of manure in each secondary system","fraction","Input";"MCFim","methane conversion factor for temperate zone and system","fraction","Constant";"rho","density of methane","kg/m3","Constant";"i","state","","Input"}, _xlpm.r, _xlpm.c))))</definedName>
    <definedName name="MMS_Swine_Methane_Equations.VEERG_4_5_1_1__6_Stage2MethaneProduction_Arguments_Method2">_xlfn.LAMBDA(_xlfn.MAKEARRAY(6, 4, _xlfn.LAMBDA(_xlpm.r,_xlpm.c, INDEX({"VSTjmT2","volatile solids transferred to treatment stage 2 MMS","kg/head/day","Calculated from 4.5.1.1 (7)";"BO","emissions potential","m3 CH4/kg VS","Constant";"MMSjmT2","fraction of manure in each secondary system","fraction","Input";"MCFim","methane conversion factor for temperate zone and system","fraction","Constant";"rho","density of methane","kg/m3","Constant";"MAT","Mean annual temperature","°C","Input"}, _xlpm.r, _xlpm.c))))</definedName>
    <definedName name="MMS_Swine_Methane_Equations.VEERG_4_5_1_1__6_Stage2MethaneProduction_LatexEquation">_xlfn.LAMBDA("M_{ijm,T=2}=VST_{jm,T=2}\times BO\times MMS_{jm,T=2}\times MCF_{im}\times \rho")</definedName>
    <definedName name="MMS_Swine_Methane_Equations.VEERG_4_5_1_1__6_Stage2MethaneProduction_NIRReference">_xlfn.LAMBDA("")</definedName>
    <definedName name="MMS_Swine_Methane_Equations.VEERG_4_5_1_1__6_Stage2MethaneProduction_Source">_xlfn.LAMBDA("VEERG 2026: 4.5.1.1, Equation (6)")</definedName>
    <definedName name="MMS_Swine_Methane_Equations.VEERG_4_5_1_1__6_Stage2MethaneProduction_Title">_xlfn.LAMBDA("Production of methane in each treatment stage 2 MMS")</definedName>
    <definedName name="MMS_Swine_Methane_Equations.VEERG_4_5_1_1__6_Stage2MethaneProduction_Unit">_xlfn.LAMBDA("kg CH4/head/day")</definedName>
    <definedName name="MMS_Swine_Methane_Equations.VEERG_4_5_1_1__6_Stage2MethaneProduction_Variable">_xlfn.LAMBDA("MijmT2")</definedName>
    <definedName name="MMS_Swine_Methane_Equations.VEERG_4_5_1_1__7_VolatileSolidsTransferredStage2">_xlfn.LAMBDA(_xlpm.VSj,_xlpm.FVSjmT1,_xlpm.VSLmT1, _xlpm.VSj * _xlpm.FVSjmT1 * (1 - _xlpm.VSLmT1))</definedName>
    <definedName name="MMS_Swine_Methane_Equations.VEERG_4_5_1_1__7_VolatileSolidsTransferredStage2_Arguments">_xlfn.LAMBDA(_xlfn.MAKEARRAY(3, 4, _xlfn.LAMBDA(_xlpm.r,_xlpm.c, INDEX({"VSj","volatile solid production from swine in each class","kg/head/day","Input";"FVSjmT1","fraction of volatile solids in each primary system","fraction","Calculated from 4.5.1.1 (4)(5)";"VSLmT1","fraction of volatile solids lost during storage in the primary system","fraction","Lookup"}, _xlpm.r, _xlpm.c))))</definedName>
    <definedName name="MMS_Swine_Methane_Equations.VEERG_4_5_1_1__7_VolatileSolidsTransferredStage2_LatexEquation">_xlfn.LAMBDA("VST_{ijm,T=2}=VS_{j}\times FVS_{jm,T=1}\times(1-VSL_{m,T=1})")</definedName>
    <definedName name="MMS_Swine_Methane_Equations.VEERG_4_5_1_1__7_VolatileSolidsTransferredStage2_NIRReference">_xlfn.LAMBDA("")</definedName>
    <definedName name="MMS_Swine_Methane_Equations.VEERG_4_5_1_1__7_VolatileSolidsTransferredStage2_Source">_xlfn.LAMBDA("VEERG 2026: 4.5.1.1, Equation (7)")</definedName>
    <definedName name="MMS_Swine_Methane_Equations.VEERG_4_5_1_1__7_VolatileSolidsTransferredStage2_Title">_xlfn.LAMBDA("Volatile solids transferred to treatment stage 2 MMS")</definedName>
    <definedName name="MMS_Swine_Methane_Equations.VEERG_4_5_1_1__7_VolatileSolidsTransferredStage2_Unit">_xlfn.LAMBDA("kg VS")</definedName>
    <definedName name="MMS_Swine_Methane_Equations.VEERG_4_5_1_1__7_VolatileSolidsTransferredStage2_Variable">_xlfn.LAMBDA("VSTijmT2")</definedName>
    <definedName name="MMS_Swine_N2ODirect_Equations.VEERG_4_5_1_3__1_TotalAnnualDirectNitrousOxideEmissionsFromMMS">_xlfn.LAMBDA(_xlpm.MN_jmT,_xlpm.EF_jm,_xlpm.C_N2O, _xlpm.MN_jmT * _xlpm.EF_jm * _xlpm.C_N2O * 10 ^ -3)</definedName>
    <definedName name="MMS_Swine_N2ODirect_Equations.VEERG_4_5_1_3__1_TotalAnnualDirectNitrousOxideEmissionsFromMMS_Arguments">_xlfn.LAMBDA(_xlfn.MAKEARRAY(3, 4, _xlfn.LAMBDA(_xlpm.r,_xlpm.c, INDEX({"MN_jmT","nitrogen per swine class, MMS and treatment stage","kg N","Calculated from 4.5.1.3 (2)(6)";"EF_jm","nitrous oxide emission factor for MMS","kg N2O-N/kg N","Constant";"C_N2O","factor to convert elemental mass of nitrous oxide to molecular mass","","Constant"}, _xlpm.r, _xlpm.c))))</definedName>
    <definedName name="MMS_Swine_N2ODirect_Equations.VEERG_4_5_1_3__1_TotalAnnualDirectNitrousOxideEmissionsFromMMS_LatexEquation">_xlfn.LAMBDA("E_{N2O,dir}=\sum_{j}\sum_{m}\sum_{T}(MN_{jmT}\times EF_{jm}\times C_{N2O})\times10^{-3}")</definedName>
    <definedName name="MMS_Swine_N2ODirect_Equations.VEERG_4_5_1_3__1_TotalAnnualDirectNitrousOxideEmissionsFromMMS_NIRReference">_xlfn.LAMBDA("")</definedName>
    <definedName name="MMS_Swine_N2ODirect_Equations.VEERG_4_5_1_3__1_TotalAnnualDirectNitrousOxideEmissionsFromMMS_Source">_xlfn.LAMBDA("VEERG 2026: 4.5.1.3, Equation (1)")</definedName>
    <definedName name="MMS_Swine_N2ODirect_Equations.VEERG_4_5_1_3__1_TotalAnnualDirectNitrousOxideEmissionsFromMMS_Title">_xlfn.LAMBDA("Total annual direct nitrous oxide emissions from manure management systems")</definedName>
    <definedName name="MMS_Swine_N2ODirect_Equations.VEERG_4_5_1_3__1_TotalAnnualDirectNitrousOxideEmissionsFromMMS_Unit">_xlfn.LAMBDA("t N2O")</definedName>
    <definedName name="MMS_Swine_N2ODirect_Equations.VEERG_4_5_1_3__1_TotalAnnualDirectNitrousOxideEmissionsFromMMS_Variable">_xlfn.LAMBDA("E_N2Odir")</definedName>
    <definedName name="MMS_Swine_N2ODirect_Equations.VEERG_4_5_1_3__2_Stage1NitrogenInMMS">_xlfn.LAMBDA(_xlpm.AE_j,_xlpm.FN_jmT1, _xlpm.AE_j * _xlpm.FN_jmT1)</definedName>
    <definedName name="MMS_Swine_N2ODirect_Equations.VEERG_4_5_1_3__2_Stage1NitrogenInMMS_Arguments">_xlfn.LAMBDA(_xlfn.MAKEARRAY(2, 4, _xlfn.LAMBDA(_xlpm.r,_xlpm.c, INDEX({"AE_j","total nitrogen excreted by each swine class","kg N","Calculated from 4.5.1.3 (5)";"FN_jmT1","fraction of nitrogen in each primary MMS system","fraction","Calculated from 4.5.1.3 (3)(4)"}, _xlpm.r, _xlpm.c))))</definedName>
    <definedName name="MMS_Swine_N2ODirect_Equations.VEERG_4_5_1_3__2_Stage1NitrogenInMMS_LatexEquation">_xlfn.LAMBDA("MN_{jm,T=1}=AE_{j}\times FN_{jm,T=1}")</definedName>
    <definedName name="MMS_Swine_N2ODirect_Equations.VEERG_4_5_1_3__2_Stage1NitrogenInMMS_NIRReference">_xlfn.LAMBDA("")</definedName>
    <definedName name="MMS_Swine_N2ODirect_Equations.VEERG_4_5_1_3__2_Stage1NitrogenInMMS_Source">_xlfn.LAMBDA("VEERG 2026: 4.5.1.3, Equation (2)")</definedName>
    <definedName name="MMS_Swine_N2ODirect_Equations.VEERG_4_5_1_3__2_Stage1NitrogenInMMS_Title">_xlfn.LAMBDA("Nitrogen in treatment stage 1 MMS")</definedName>
    <definedName name="MMS_Swine_N2ODirect_Equations.VEERG_4_5_1_3__2_Stage1NitrogenInMMS_Unit">_xlfn.LAMBDA("kg N")</definedName>
    <definedName name="MMS_Swine_N2ODirect_Equations.VEERG_4_5_1_3__2_Stage1NitrogenInMMS_Variable">_xlfn.LAMBDA("MN_jmT1")</definedName>
    <definedName name="MMS_Swine_N2ODirect_Equations.VEERG_4_5_1_3__3_FractionOfNitrogenInPrimaryMMS">_xlfn.LAMBDA(_xlpm.MMS_jmT1,_xlpm.SN_m, _xlpm.MMS_jmT1 * (1 - _xlpm.SN_m))</definedName>
    <definedName name="MMS_Swine_N2ODirect_Equations.VEERG_4_5_1_3__3_FractionOfNitrogenInPrimaryMMS_Arguments">_xlfn.LAMBDA(_xlfn.MAKEARRAY(2, 4, _xlfn.LAMBDA(_xlpm.r,_xlpm.c, INDEX({"MMS_jmT1","fraction of manure in primary MMS","fraction","Input";"SN_m","fraction of nitrogen separated to solid storage for each MMS","fraction","Input"}, _xlpm.r, _xlpm.c))))</definedName>
    <definedName name="MMS_Swine_N2ODirect_Equations.VEERG_4_5_1_3__3_FractionOfNitrogenInPrimaryMMS_LatexEquation">_xlfn.LAMBDA("FN_{jm,T=1}=MMS_{jm,T=1}\times(1-SN_{m})")</definedName>
    <definedName name="MMS_Swine_N2ODirect_Equations.VEERG_4_5_1_3__3_FractionOfNitrogenInPrimaryMMS_NIRReference">_xlfn.LAMBDA("")</definedName>
    <definedName name="MMS_Swine_N2ODirect_Equations.VEERG_4_5_1_3__3_FractionOfNitrogenInPrimaryMMS_Source">_xlfn.LAMBDA("VEERG 2026: 4.5.1.3, Equation (3)")</definedName>
    <definedName name="MMS_Swine_N2ODirect_Equations.VEERG_4_5_1_3__3_FractionOfNitrogenInPrimaryMMS_Title">_xlfn.LAMBDA("Fraction of nitrogen in each primary MMS (excluding solid storage)")</definedName>
    <definedName name="MMS_Swine_N2ODirect_Equations.VEERG_4_5_1_3__3_FractionOfNitrogenInPrimaryMMS_Unit">_xlfn.LAMBDA("fraction")</definedName>
    <definedName name="MMS_Swine_N2ODirect_Equations.VEERG_4_5_1_3__3_FractionOfNitrogenInPrimaryMMS_Variable">_xlfn.LAMBDA("FN_jmT1")</definedName>
    <definedName name="MMS_Swine_N2ODirect_Equations.VEERG_4_5_1_3__4_FractionOfNitrogenInSolidStorage">_xlfn.LAMBDA(_xlpm.MMS_jm4T1,_xlpm.MMS_jm179T1,_xlpm.SN_m, _xlpm.MMS_jm4T1 + (_xlpm.MMS_jm179T1 * _xlpm.SN_m))</definedName>
    <definedName name="MMS_Swine_N2ODirect_Equations.VEERG_4_5_1_3__4_FractionOfNitrogenInSolidStorage_Arguments">_xlfn.LAMBDA(_xlfn.MAKEARRAY(3, 4, _xlfn.LAMBDA(_xlpm.r,_xlpm.c, INDEX({"MMS_jm4T1","fraction of manure in solid storage MMS","fraction","Input";"MMS_jm179T1","fraction of manure in primary liquid systems (m=1,7,9)","fraction","Input";"SN_m","fraction of nitrogen separated to solid storage for each MMS","fraction","Input"}, _xlpm.r, _xlpm.c))))</definedName>
    <definedName name="MMS_Swine_N2ODirect_Equations.VEERG_4_5_1_3__4_FractionOfNitrogenInSolidStorage_LatexEquation">_xlfn.LAMBDA("FN_{jm=4,T=1}=MMS_{jm=4,T=1}+(MMS_{jm=1,7,9,T=1}\times SN_{m})")</definedName>
    <definedName name="MMS_Swine_N2ODirect_Equations.VEERG_4_5_1_3__4_FractionOfNitrogenInSolidStorage_LatexEquationVariation">_xlfn.LAMBDA("FN_{jm=4,T=1}=MMS_{jm=4,T=1}+(MMS_{j,m=1,T=1}\times SS_{m=1,T=1})+(MMS_{j,m=7,T=1}\times SS_{m=7,T=1})+(MMS_{j,m=9,T=1}\times SS_{m=9,T=1})")</definedName>
    <definedName name="MMS_Swine_N2ODirect_Equations.VEERG_4_5_1_3__4_FractionOfNitrogenInSolidStorage_NIRReference">_xlfn.LAMBDA("")</definedName>
    <definedName name="MMS_Swine_N2ODirect_Equations.VEERG_4_5_1_3__4_FractionOfNitrogenInSolidStorage_Source">_xlfn.LAMBDA("VEERG 2026: 4.5.1.3, Equation (4)")</definedName>
    <definedName name="MMS_Swine_N2ODirect_Equations.VEERG_4_5_1_3__4_FractionOfNitrogenInSolidStorage_Title">_xlfn.LAMBDA("Fraction of nitrogen in solid storage")</definedName>
    <definedName name="MMS_Swine_N2ODirect_Equations.VEERG_4_5_1_3__4_FractionOfNitrogenInSolidStorage_Unit">_xlfn.LAMBDA("fraction")</definedName>
    <definedName name="MMS_Swine_N2ODirect_Equations.VEERG_4_5_1_3__4_FractionOfNitrogenInSolidStorage_Variable">_xlfn.LAMBDA("FN_jm4T1")</definedName>
    <definedName name="MMS_Swine_N2ODirect_Equations.VEERG_4_5_1_3__4_FractionOfNitrogenInSolidStorage_Variation">_xlfn.LAMBDA("VARIATION ON SOURCE: Split equation for MMSm=1,7,9 into separate items to allow for calculation")</definedName>
    <definedName name="MMS_Swine_N2ODirect_Equations.VEERG_4_5_1_3__4_FractionOfNitrogenInSolidStorageVariation">_xlfn.LAMBDA(_xlpm.MMS_jm4T1,_xlpm.MMSjmT1_1,_xlpm.MMSjmT1_2,_xlpm.MMSjmT1_3,_xlpm.MMSjmT1_4,_xlpm.MMSjmT1_5,_xlpm.SSjmT1_1,_xlpm.SSjmT1_2,_xlpm.SSjmT1_3,_xlpm.SSjmT1_4,_xlpm.SSjmT1_5, _xlpm.MMS_jm4T1 + (_xlpm.MMSjmT1_1 * _xlpm.SSjmT1_1) + (_xlpm.MMSjmT1_2 * _xlpm.SSjmT1_2) + (_xlpm.MMSjmT1_3 * _xlpm.SSjmT1_3) + (_xlpm.MMSjmT1_4 * _xlpm.SSjmT1_4) + (_xlpm.MMSjmT1_5 * _xlpm.SSjmT1_5))</definedName>
    <definedName name="MMS_Swine_N2ODirect_Equations.VEERG_4_5_1_3__5_AnnualNitrogenExcretion">_xlfn.LAMBDA(_xlpm.N_j,_xlpm.NW_j,_xlpm.D_j, _xlpm.N_j * _xlpm.NW_j * _xlpm.D_j)</definedName>
    <definedName name="MMS_Swine_N2ODirect_Equations.VEERG_4_5_1_3__5_AnnualNitrogenExcretion_Arguments">_xlfn.LAMBDA(_xlfn.MAKEARRAY(3, 4, _xlfn.LAMBDA(_xlpm.r,_xlpm.c, INDEX({"N_j","number of swine in each group","head","Input";"NW_j","nitrogen produced in swine manure and waste feed in each class","kg N/head/day","Input";"D_j","duration of stay of swine group","days","Input"}, _xlpm.r, _xlpm.c))))</definedName>
    <definedName name="MMS_Swine_N2ODirect_Equations.VEERG_4_5_1_3__5_AnnualNitrogenExcretion_LatexEquation">_xlfn.LAMBDA("AE_{j}=N_{j}\times NW_{j}\times D_{j}")</definedName>
    <definedName name="MMS_Swine_N2ODirect_Equations.VEERG_4_5_1_3__5_AnnualNitrogenExcretion_NIRReference">_xlfn.LAMBDA("")</definedName>
    <definedName name="MMS_Swine_N2ODirect_Equations.VEERG_4_5_1_3__5_AnnualNitrogenExcretion_Source">_xlfn.LAMBDA("VEERG 2026: 4.5.1.3, Equation (5)")</definedName>
    <definedName name="MMS_Swine_N2ODirect_Equations.VEERG_4_5_1_3__5_AnnualNitrogenExcretion_Title">_xlfn.LAMBDA("Annual nitrogen excretion from each swine group")</definedName>
    <definedName name="MMS_Swine_N2ODirect_Equations.VEERG_4_5_1_3__5_AnnualNitrogenExcretion_Unit">_xlfn.LAMBDA("kg N")</definedName>
    <definedName name="MMS_Swine_N2ODirect_Equations.VEERG_4_5_1_3__5_AnnualNitrogenExcretion_Variable">_xlfn.LAMBDA("AE_j")</definedName>
    <definedName name="MMS_Swine_N2ODirect_Equations.VEERG_4_5_1_3__6_Stage2NitrogenInMMS">_xlfn.LAMBDA(_xlpm.NT_jmT2,_xlpm.MMS_jmT2, _xlpm.NT_jmT2 * _xlpm.MMS_jmT2)</definedName>
    <definedName name="MMS_Swine_N2ODirect_Equations.VEERG_4_5_1_3__6_Stage2NitrogenInMMS_Arguments">_xlfn.LAMBDA(_xlfn.MAKEARRAY(2, 4, _xlfn.LAMBDA(_xlpm.r,_xlpm.c, INDEX({"NT_jmT2","nitrogen transferred to secondary treatment MMS","kg N","Calculated from 4.5.1.3 (7)";"MMS_jmT2","fraction of manure in each secondary system","fraction","Input"}, _xlpm.r, _xlpm.c))))</definedName>
    <definedName name="MMS_Swine_N2ODirect_Equations.VEERG_4_5_1_3__6_Stage2NitrogenInMMS_LatexEquation">_xlfn.LAMBDA("MN_{jm,T=2}=NT_{jm,T=2}\times MMS_{jm,T=2}")</definedName>
    <definedName name="MMS_Swine_N2ODirect_Equations.VEERG_4_5_1_3__6_Stage2NitrogenInMMS_NIRReference">_xlfn.LAMBDA("")</definedName>
    <definedName name="MMS_Swine_N2ODirect_Equations.VEERG_4_5_1_3__6_Stage2NitrogenInMMS_Source">_xlfn.LAMBDA("VEERG 2026: 4.5.1.3, Equation (6)")</definedName>
    <definedName name="MMS_Swine_N2ODirect_Equations.VEERG_4_5_1_3__6_Stage2NitrogenInMMS_Title">_xlfn.LAMBDA("Nitrogen in treatment stage 2 MMS")</definedName>
    <definedName name="MMS_Swine_N2ODirect_Equations.VEERG_4_5_1_3__6_Stage2NitrogenInMMS_Unit">_xlfn.LAMBDA("kg N")</definedName>
    <definedName name="MMS_Swine_N2ODirect_Equations.VEERG_4_5_1_3__6_Stage2NitrogenInMMS_Variable">_xlfn.LAMBDA("MN_jmT2")</definedName>
    <definedName name="MMS_Swine_N2ODirect_Equations.VEERG_4_5_1_3__7_NitrogenTransferredToStage2MMS">_xlfn.LAMBDA(_xlpm.MN_jmT1,_xlpm.FracGASMmT1,_xlpm.EF_mT1, _xlpm.MN_jmT1 * (1 - _xlpm.FracGASMmT1 - _xlpm.EF_mT1))</definedName>
    <definedName name="MMS_Swine_N2ODirect_Equations.VEERG_4_5_1_3__7_NitrogenTransferredToStage2MMS_Arguments">_xlfn.LAMBDA(_xlfn.MAKEARRAY(3, 4, _xlfn.LAMBDA(_xlpm.r,_xlpm.c, INDEX({"MN_jmT1","nitrogen per swine class in treatment stage 1 MMS","kg N","Calculated from 4.5.1.3 (2)(6)";"FracGASMmT1","fraction of N volatilised from MMS treatment at stage 1","fraction","Lookup";"EF_mT1","nitrous oxide emission factor for MMS treatment at stage 1","kg N2O-N/kg N","Lookup"}, _xlpm.r, _xlpm.c))))</definedName>
    <definedName name="MMS_Swine_N2ODirect_Equations.VEERG_4_5_1_3__7_NitrogenTransferredToStage2MMS_LatexEquation">_xlfn.LAMBDA("NT_{jm,T=2}=MN_{jm,T=1}\times(1-FracGASM_{m,T=1}-EF_{m,T=1})")</definedName>
    <definedName name="MMS_Swine_N2ODirect_Equations.VEERG_4_5_1_3__7_NitrogenTransferredToStage2MMS_NIRReference">_xlfn.LAMBDA("")</definedName>
    <definedName name="MMS_Swine_N2ODirect_Equations.VEERG_4_5_1_3__7_NitrogenTransferredToStage2MMS_Source">_xlfn.LAMBDA("VEERG 2026: 4.5.1.3, Equation (7)")</definedName>
    <definedName name="MMS_Swine_N2ODirect_Equations.VEERG_4_5_1_3__7_NitrogenTransferredToStage2MMS_Title">_xlfn.LAMBDA("Nitrogen transferred to treatment stage 2 MMS")</definedName>
    <definedName name="MMS_Swine_N2ODirect_Equations.VEERG_4_5_1_3__7_NitrogenTransferredToStage2MMS_Unit">_xlfn.LAMBDA("kg N")</definedName>
    <definedName name="MMS_Swine_N2ODirect_Equations.VEERG_4_5_1_3__7_NitrogenTransferredToStage2MMS_Variable">_xlfn.LAMBDA("NT_jmT2")</definedName>
    <definedName name="Range_LivestockStartingValues">#REF!</definedName>
    <definedName name="Scope3_Equations.VEERG_15_1_1_1__1_EmissionsFromPurchasedLivestock">_xlfn.LAMBDA(_xlpm.N_co,_xlpm.W_co,_xlpm.EF_co, (_xlpm.N_co * _xlpm.W_co * _xlpm.EF_co) * 10 ^ -3)</definedName>
    <definedName name="Scope3_Equations.VEERG_15_1_1_1__1_EmissionsFromPurchasedLivestock_Arguments">_xlfn.LAMBDA(_xlfn.MAKEARRAY(5, 4, _xlfn.LAMBDA(_xlpm.r,_xlpm.c, INDEX({"N_co","number of animals purchased in livestock type c from origin o","head","Input";"W_co","average liveweight of purchased livestock at point of purchase","kg/head","Input";"EF_co","emission factor per livestock type and origin","kg CO2e/kg","Constant";"c","livestock type","","Input";"o","origin","","Input"}, _xlpm.r, _xlpm.c))))</definedName>
    <definedName name="Scope3_Equations.VEERG_15_1_1_1__1_EmissionsFromPurchasedLivestock_LatexEquation">_xlfn.LAMBDA("E=\sum\nolimits_c\sum\nolimits_o\left(N_{co}\times W_{co}\times EF_{co}\right)\times 10^{-3}")</definedName>
    <definedName name="Scope3_Equations.VEERG_15_1_1_1__1_EmissionsFromPurchasedLivestock_NIRReference">_xlfn.LAMBDA("")</definedName>
    <definedName name="Scope3_Equations.VEERG_15_1_1_1__1_EmissionsFromPurchasedLivestock_Source">_xlfn.LAMBDA("VEERG 2026: 15.1.1.1, Equation (1)")</definedName>
    <definedName name="Scope3_Equations.VEERG_15_1_1_1__1_EmissionsFromPurchasedLivestock_Title">_xlfn.LAMBDA("Total emissions from purchased livestock")</definedName>
    <definedName name="Scope3_Equations.VEERG_15_1_1_1__1_EmissionsFromPurchasedLivestock_Unit">_xlfn.LAMBDA("t CO2e")</definedName>
    <definedName name="Scope3_Equations.VEERG_15_1_1_1__1_EmissionsFromPurchasedLivestock_Variable">_xlfn.LAMBDA("E")</definedName>
    <definedName name="Scope3_Equations.VEERG_15_10_1_1__1_OtherPurchasedGoodsAndServices">_xlfn.LAMBDA(_xlpm.activity_data,_xlpm.emission_factor, _xlpm.activity_data * _xlpm.emission_factor)</definedName>
    <definedName name="Scope3_Equations.VEERG_15_10_1_1__1_OtherPurchasedGoodsAndServices_Arguments">_xlfn.LAMBDA(_xlfn.MAKEARRAY(2, 4, _xlfn.LAMBDA(_xlpm.r,_xlpm.c, INDEX({"activity_data","measured activity for the purchased good or service","varies","Input";"emission_factor","lifecycle emissions per unit of activity","varies","Constant"}, _xlpm.r, _xlpm.c))))</definedName>
    <definedName name="Scope3_Equations.VEERG_15_10_1_1__1_OtherPurchasedGoodsAndServices_LatexEquation">_xlfn.LAMBDA("emissions=activity\_data\times emission\_factor")</definedName>
    <definedName name="Scope3_Equations.VEERG_15_10_1_1__1_OtherPurchasedGoodsAndServices_NIRReference">_xlfn.LAMBDA("")</definedName>
    <definedName name="Scope3_Equations.VEERG_15_10_1_1__1_OtherPurchasedGoodsAndServices_Source">_xlfn.LAMBDA("VEERG 2026: 15.10, generic placeholder equation")</definedName>
    <definedName name="Scope3_Equations.VEERG_15_10_1_1__1_OtherPurchasedGoodsAndServices_Title">_xlfn.LAMBDA("Other purchased goods and services generic estimate")</definedName>
    <definedName name="Scope3_Equations.VEERG_15_10_1_1__1_OtherPurchasedGoodsAndServices_Unit">_xlfn.LAMBDA("t CO2e")</definedName>
    <definedName name="Scope3_Equations.VEERG_15_10_1_1__1_OtherPurchasedGoodsAndServices_Variable">_xlfn.LAMBDA("emissions")</definedName>
    <definedName name="Scope3_Equations.VEERG_15_11_1_1__1_TotalUpstreamEmissionsFromFuel">_xlfn.LAMBDA(_xlpm.E_WTTtransq,_xlpm.E_WTTSCq, _xlpm.E_WTTtransq + _xlpm.E_WTTSCq)</definedName>
    <definedName name="Scope3_Equations.VEERG_15_11_1_1__1_TotalUpstreamEmissionsFromFuel_Arguments">_xlfn.LAMBDA(_xlfn.MAKEARRAY(4, 4, _xlfn.LAMBDA(_xlpm.r,_xlpm.c, INDEX({"E_WTTtransq","upstream emissions from scope 1 transport fuel use","t CO2e","Calculated by 15.11.1.1 (2)";"E_WTTSCq","upstream emissions from scope 1 stationary combustion fuel use","t CO2e","Calculated by 15.11.1.1 (3)";"WTT","well to tank","","Constant";"q","fuel type","","Input"}, _xlpm.r, _xlpm.c))))</definedName>
    <definedName name="Scope3_Equations.VEERG_15_11_1_1__1_TotalUpstreamEmissionsFromFuel_LatexEquation">_xlfn.LAMBDA("E=\sum\nolimits_qE_{WTT,trans,q}+\sum\nolimits_qE_{WTT,SC,q}")</definedName>
    <definedName name="Scope3_Equations.VEERG_15_11_1_1__1_TotalUpstreamEmissionsFromFuel_NIRReference">_xlfn.LAMBDA("")</definedName>
    <definedName name="Scope3_Equations.VEERG_15_11_1_1__1_TotalUpstreamEmissionsFromFuel_Source">_xlfn.LAMBDA("VEERG 2026: 15.11.1.1, Equation (1)")</definedName>
    <definedName name="Scope3_Equations.VEERG_15_11_1_1__1_TotalUpstreamEmissionsFromFuel_Title">_xlfn.LAMBDA("Total upstream emissions from scope 1 fuel consumption")</definedName>
    <definedName name="Scope3_Equations.VEERG_15_11_1_1__1_TotalUpstreamEmissionsFromFuel_Unit">_xlfn.LAMBDA("t CO2e")</definedName>
    <definedName name="Scope3_Equations.VEERG_15_11_1_1__1_TotalUpstreamEmissionsFromFuel_Variable">_xlfn.LAMBDA("E")</definedName>
    <definedName name="Scope3_Equations.VEERG_15_11_1_1__2_UpstreamTransportFuelEmissions">_xlfn.LAMBDA(_xlpm.Q_Transq,_xlpm.EC_Transq,_xlpm.EF_Trans3q, (_xlpm.Q_Transq * _xlpm.EC_Transq * _xlpm.EF_Trans3q) * 10 ^ -3)</definedName>
    <definedName name="Scope3_Equations.VEERG_15_11_1_1__2_UpstreamTransportFuelEmissions_Arguments">_xlfn.LAMBDA(_xlfn.MAKEARRAY(3, 4, _xlfn.LAMBDA(_xlpm.r,_xlpm.c, INDEX({"Q_Transq","amount of fuel q combusted for transport energy purposes","kL","Input";"EC_Transq","energy content factor for transport energy purposes","GJ/kL or GJ/m3","Constant";"EF_Trans3q","scope 3 emission factor for transport energy purposes","kg CO2e/GJ","Constant"}, _xlpm.r, _xlpm.c))))</definedName>
    <definedName name="Scope3_Equations.VEERG_15_11_1_1__2_UpstreamTransportFuelEmissions_LatexEquation">_xlfn.LAMBDA("E_{WTT,trans,q}=Q_{Trans,q}\times EC_{Trans,q}\times EF_{Trans,3,q}\times 10^{-3}")</definedName>
    <definedName name="Scope3_Equations.VEERG_15_11_1_1__2_UpstreamTransportFuelEmissions_NIRReference">_xlfn.LAMBDA("")</definedName>
    <definedName name="Scope3_Equations.VEERG_15_11_1_1__2_UpstreamTransportFuelEmissions_Source">_xlfn.LAMBDA("VEERG 2026: 15.11.1.1, Equation (2)")</definedName>
    <definedName name="Scope3_Equations.VEERG_15_11_1_1__2_UpstreamTransportFuelEmissions_Title">_xlfn.LAMBDA("Upstream emissions from scope 1 fuel use for transport purposes")</definedName>
    <definedName name="Scope3_Equations.VEERG_15_11_1_1__2_UpstreamTransportFuelEmissions_Unit">_xlfn.LAMBDA("t CO2e")</definedName>
    <definedName name="Scope3_Equations.VEERG_15_11_1_1__2_UpstreamTransportFuelEmissions_Variable">_xlfn.LAMBDA("E_WTTtransq")</definedName>
    <definedName name="Scope3_Equations.VEERG_15_11_1_1__3_UpstreamStationaryFuelEmissions">_xlfn.LAMBDA(_xlpm.Q_SCq,_xlpm.EC_SCq,_xlpm.EF_SC3q, (_xlpm.Q_SCq * _xlpm.EC_SCq * _xlpm.EF_SC3q) * 10 ^ -3)</definedName>
    <definedName name="Scope3_Equations.VEERG_15_11_1_1__3_UpstreamStationaryFuelEmissions_Arguments">_xlfn.LAMBDA(_xlfn.MAKEARRAY(3, 4, _xlfn.LAMBDA(_xlpm.r,_xlpm.c, INDEX({"Q_SCq","amount of fuel q used for stationary combustion operations","kL","Input";"EC_SCq","energy content factor for stationary combustion operations","GJ/kL","Constant";"EF_SC3q","scope 3 emission factor for stationary combustion operations","kg CO2e/GJ","Constant"}, _xlpm.r, _xlpm.c))))</definedName>
    <definedName name="Scope3_Equations.VEERG_15_11_1_1__3_UpstreamStationaryFuelEmissions_LatexEquation">_xlfn.LAMBDA("E_{WTT,SC,q}=Q_{SC,q}\times EC_{SC,q}\times EF_{SC,3,q}\times 10^{-3}")</definedName>
    <definedName name="Scope3_Equations.VEERG_15_11_1_1__3_UpstreamStationaryFuelEmissions_NIRReference">_xlfn.LAMBDA("")</definedName>
    <definedName name="Scope3_Equations.VEERG_15_11_1_1__3_UpstreamStationaryFuelEmissions_Source">_xlfn.LAMBDA("VEERG 2026: 15.11.1.1, Equation (3)")</definedName>
    <definedName name="Scope3_Equations.VEERG_15_11_1_1__3_UpstreamStationaryFuelEmissions_Title">_xlfn.LAMBDA("Upstream emissions from scope 1 stationary combustion fuel use")</definedName>
    <definedName name="Scope3_Equations.VEERG_15_11_1_1__3_UpstreamStationaryFuelEmissions_Unit">_xlfn.LAMBDA("t CO2e")</definedName>
    <definedName name="Scope3_Equations.VEERG_15_11_1_1__3_UpstreamStationaryFuelEmissions_Variable">_xlfn.LAMBDA("E_WTTSCq")</definedName>
    <definedName name="Scope3_Equations.VEERG_15_12_1_1__1_UpstreamPurchasedElectricityLocationBased">_xlfn.LAMBDA(_xlpm.Q_elec,_xlpm.EF_3elec, (_xlpm.Q_elec * _xlpm.EF_3elec) * 10 ^ -3)</definedName>
    <definedName name="Scope3_Equations.VEERG_15_12_1_1__1_UpstreamPurchasedElectricityLocationBased_Arguments">_xlfn.LAMBDA(_xlfn.MAKEARRAY(2, 4, _xlfn.LAMBDA(_xlpm.r,_xlpm.c, INDEX({"Q_elec","amount of electricity purchased from the grid","kWh","Input";"EF_3elec","scope 3 emission factor for purchased electricity","kg CO2e/kWh","Constant"}, _xlpm.r, _xlpm.c))))</definedName>
    <definedName name="Scope3_Equations.VEERG_15_12_1_1__1_UpstreamPurchasedElectricityLocationBased_LatexEquation">_xlfn.LAMBDA("E_{3,elec}=Q_{elec}\times EF_{3,elec}\times 10^{-3}")</definedName>
    <definedName name="Scope3_Equations.VEERG_15_12_1_1__1_UpstreamPurchasedElectricityLocationBased_NIRReference">_xlfn.LAMBDA("")</definedName>
    <definedName name="Scope3_Equations.VEERG_15_12_1_1__1_UpstreamPurchasedElectricityLocationBased_Source">_xlfn.LAMBDA("VEERG 2026: 15.12.1.1, Equation (1)")</definedName>
    <definedName name="Scope3_Equations.VEERG_15_12_1_1__1_UpstreamPurchasedElectricityLocationBased_Title">_xlfn.LAMBDA("Scope 3 emissions from purchased electricity location based")</definedName>
    <definedName name="Scope3_Equations.VEERG_15_12_1_1__1_UpstreamPurchasedElectricityLocationBased_Unit">_xlfn.LAMBDA("t CO2e")</definedName>
    <definedName name="Scope3_Equations.VEERG_15_12_1_1__1_UpstreamPurchasedElectricityLocationBased_Variable">_xlfn.LAMBDA("E_3elec")</definedName>
    <definedName name="Scope3_Equations.VEERG_15_12_1_2__1_UpstreamPurchasedElectricityMarketBased">_xlfn.LAMBDA(_xlpm.Q_elec,_xlpm.RPP,_xlpm.JRPP,_xlpm.REC_surrendered,_xlpm.REC_onsite,_xlpm.EF_RMF3elec, ((_xlpm.Q_elec * (1 - (_xlpm.RPP + _xlpm.JRPP))) - ((_xlpm.REC_surrendered - _xlpm.REC_onsite) * 10 ^ -3)) * _xlpm.EF_RMF3elec * 10 ^ -3)</definedName>
    <definedName name="Scope3_Equations.VEERG_15_12_1_2__1_UpstreamPurchasedElectricityMarketBased_Arguments">_xlfn.LAMBDA(_xlfn.MAKEARRAY(6, 4, _xlfn.LAMBDA(_xlpm.r,_xlpm.c, INDEX({"Q_elec","amount of electricity purchased from the grid","kWh","Input";"RPP","renewable power percentage under LRET for the applicable period","fraction","Input";"JRPP","jurisdictional renewable power percentage for the applicable period","fraction","Input";"REC_surrendered","eligible renewable energy certificates voluntarily surrendered","MWh","Input";"REC_onsite","eligible renewable energy certificates issued for onsite generated electricity","MWh","Input";"EF_RMF3elec","scope 3 residual mix emission factor for electricity","kg CO2e/kWh","Constant"}, _xlpm.r, _xlpm.c))))</definedName>
    <definedName name="Scope3_Equations.VEERG_15_12_1_2__1_UpstreamPurchasedElectricityMarketBased_LatexEquation">_xlfn.LAMBDA("E_{3,elec}=\left[Q_{elec}\times\left(1-(RPP+JRPP)\right)-\left(REC_{surrendered}-REC_{onsite}\right)\times 10^{-3}\right]\times EF_{RMF3,elec}\times 10^{-3}")</definedName>
    <definedName name="Scope3_Equations.VEERG_15_12_1_2__1_UpstreamPurchasedElectricityMarketBased_NIRReference">_xlfn.LAMBDA("")</definedName>
    <definedName name="Scope3_Equations.VEERG_15_12_1_2__1_UpstreamPurchasedElectricityMarketBased_Source">_xlfn.LAMBDA("VEERG 2026: 15.12.1.2, Equation (1)")</definedName>
    <definedName name="Scope3_Equations.VEERG_15_12_1_2__1_UpstreamPurchasedElectricityMarketBased_Title">_xlfn.LAMBDA("Scope 3 emissions from purchased electricity market based")</definedName>
    <definedName name="Scope3_Equations.VEERG_15_12_1_2__1_UpstreamPurchasedElectricityMarketBased_Unit">_xlfn.LAMBDA("t CO2e")</definedName>
    <definedName name="Scope3_Equations.VEERG_15_12_1_2__1_UpstreamPurchasedElectricityMarketBased_Variable">_xlfn.LAMBDA("E_3elec")</definedName>
    <definedName name="Scope3_Equations.VEERG_15_13_1_1__1_EmissionsFromManureSentOffSite">_xlfn.LAMBDA(_xlpm.E_N2O,_xlpm.E_ad,_xlpm.E_leach, _xlpm.E_N2O + _xlpm.E_ad + _xlpm.E_leach)</definedName>
    <definedName name="Scope3_Equations.VEERG_15_13_1_1__1_EmissionsFromManureSentOffSite_Arguments">_xlfn.LAMBDA(_xlfn.MAKEARRAY(3, 4, _xlfn.LAMBDA(_xlpm.r,_xlpm.c, INDEX({"E_N2O","direct nitrous oxide emissions from application of manure to soils outside of scope 1 boundary","t N2O","Calculated";"E_ad","nitrous oxide emissions from atmospheric deposition of manure to soils","t N2O","Calculated";"E_leach","nitrous oxide emissions from nitrogen leaching and runoff of manure to soils","t N2O","Calculated"}, _xlpm.r, _xlpm.c))))</definedName>
    <definedName name="Scope3_Equations.VEERG_15_13_1_1__1_EmissionsFromManureSentOffSite_LatexEquation">_xlfn.LAMBDA("E=E_{N2O}+E_{ad}+E_{leach}")</definedName>
    <definedName name="Scope3_Equations.VEERG_15_13_1_1__1_EmissionsFromManureSentOffSite_NIRReference">_xlfn.LAMBDA("")</definedName>
    <definedName name="Scope3_Equations.VEERG_15_13_1_1__1_EmissionsFromManureSentOffSite_Source">_xlfn.LAMBDA("VEERG 2026: 15.13.1.1, Equation (1)")</definedName>
    <definedName name="Scope3_Equations.VEERG_15_13_1_1__1_EmissionsFromManureSentOffSite_Title">_xlfn.LAMBDA("Emissions from manure sent off site applied to soils in another farming system or enterprise")</definedName>
    <definedName name="Scope3_Equations.VEERG_15_13_1_1__1_EmissionsFromManureSentOffSite_Unit">_xlfn.LAMBDA("t N2O")</definedName>
    <definedName name="Scope3_Equations.VEERG_15_13_1_1__1_EmissionsFromManureSentOffSite_Variable">_xlfn.LAMBDA("E")</definedName>
    <definedName name="Scope3_Equations.VEERG_15_14_1_1__1_EmbeddedEmissionsFromUpstreamFreight">_xlfn.LAMBDA(_xlpm.W_f,_xlpm.D_f,_xlpm.EF_f, (_xlpm.W_f * _xlpm.D_f) * _xlpm.EF_f)</definedName>
    <definedName name="Scope3_Equations.VEERG_15_14_1_1__1_EmbeddedEmissionsFromUpstreamFreight_Arguments">_xlfn.LAMBDA(_xlfn.MAKEARRAY(4, 4, _xlfn.LAMBDA(_xlpm.r,_xlpm.c, INDEX({"W_f","total mass of goods transported per freight type f","t","Input";"D_f","total distance transported per freight type f","km","Input";"EF_f","emission factor for freight type f","t CO2e/(t km)","Constant";"f","freight type","","Input"}, _xlpm.r, _xlpm.c))))</definedName>
    <definedName name="Scope3_Equations.VEERG_15_14_1_1__1_EmbeddedEmissionsFromUpstreamFreight_LatexEquation">_xlfn.LAMBDA("E=\sum\nolimits_f\left((W_f\times D_f)\times EF_f\right)")</definedName>
    <definedName name="Scope3_Equations.VEERG_15_14_1_1__1_EmbeddedEmissionsFromUpstreamFreight_NIRReference">_xlfn.LAMBDA("")</definedName>
    <definedName name="Scope3_Equations.VEERG_15_14_1_1__1_EmbeddedEmissionsFromUpstreamFreight_Source">_xlfn.LAMBDA("VEERG 2026: 15.14.1.1, Equation (1)")</definedName>
    <definedName name="Scope3_Equations.VEERG_15_14_1_1__1_EmbeddedEmissionsFromUpstreamFreight_Title">_xlfn.LAMBDA("Embedded emissions from upstream freight")</definedName>
    <definedName name="Scope3_Equations.VEERG_15_14_1_1__1_EmbeddedEmissionsFromUpstreamFreight_Unit">_xlfn.LAMBDA("t CO2e")</definedName>
    <definedName name="Scope3_Equations.VEERG_15_14_1_1__1_EmbeddedEmissionsFromUpstreamFreight_Variable">_xlfn.LAMBDA("E")</definedName>
    <definedName name="Scope3_Equations.VEERG_15_2_1_1__1_EmissionsFromPurchasedFeed">_xlfn.LAMBDA(_xlpm.Q_j,_xlpm.EF_j, _xlpm.Q_j * _xlpm.EF_j)</definedName>
    <definedName name="Scope3_Equations.VEERG_15_2_1_1__1_EmissionsFromPurchasedFeed_Arguments">_xlfn.LAMBDA(_xlfn.MAKEARRAY(3, 4, _xlfn.LAMBDA(_xlpm.r,_xlpm.c, INDEX({"Q_j","quantity of feed type j purchased","t","Input";"EF_j","emission factor of purchased feed","kg CO2e/kg","Constant";"j","feed type","","Input"}, _xlpm.r, _xlpm.c))))</definedName>
    <definedName name="Scope3_Equations.VEERG_15_2_1_1__1_EmissionsFromPurchasedFeed_LatexEquation">_xlfn.LAMBDA("E=\sum\nolimits_j\left(Q_j\times EF_j\right)")</definedName>
    <definedName name="Scope3_Equations.VEERG_15_2_1_1__1_EmissionsFromPurchasedFeed_NIRReference">_xlfn.LAMBDA("")</definedName>
    <definedName name="Scope3_Equations.VEERG_15_2_1_1__1_EmissionsFromPurchasedFeed_Source">_xlfn.LAMBDA("VEERG 2026: 15.2.1.1, Equation (1)")</definedName>
    <definedName name="Scope3_Equations.VEERG_15_2_1_1__1_EmissionsFromPurchasedFeed_Title">_xlfn.LAMBDA("Emissions from purchased feed")</definedName>
    <definedName name="Scope3_Equations.VEERG_15_2_1_1__1_EmissionsFromPurchasedFeed_Unit">_xlfn.LAMBDA("t CO2e")</definedName>
    <definedName name="Scope3_Equations.VEERG_15_2_1_1__1_EmissionsFromPurchasedFeed_Variable">_xlfn.LAMBDA("E")</definedName>
    <definedName name="Scope3_Equations.VEERG_15_3_1_1__1_EmissionsFromPurchasedMineralSupplements">_xlfn.LAMBDA(_xlpm.Q_m,_xlpm.EF_m, _xlpm.Q_m * _xlpm.EF_m)</definedName>
    <definedName name="Scope3_Equations.VEERG_15_3_1_1__1_EmissionsFromPurchasedMineralSupplements_Arguments">_xlfn.LAMBDA(_xlfn.MAKEARRAY(3, 4, _xlfn.LAMBDA(_xlpm.r,_xlpm.c, INDEX({"Q_m","total quantity of mineral supplement type m used","t","Input";"EF_m","emission factor of purchased mineral supplement","kg CO2e/kg","Constant";"m","mineral supplement type","","Input"}, _xlpm.r, _xlpm.c))))</definedName>
    <definedName name="Scope3_Equations.VEERG_15_3_1_1__1_EmissionsFromPurchasedMineralSupplements_LatexEquation">_xlfn.LAMBDA("E=\sum\nolimits_m\left(Q_m\times EF_m\right)")</definedName>
    <definedName name="Scope3_Equations.VEERG_15_3_1_1__1_EmissionsFromPurchasedMineralSupplements_NIRReference">_xlfn.LAMBDA("")</definedName>
    <definedName name="Scope3_Equations.VEERG_15_3_1_1__1_EmissionsFromPurchasedMineralSupplements_Source">_xlfn.LAMBDA("VEERG 2026: 15.3.1.1, Equation (1)")</definedName>
    <definedName name="Scope3_Equations.VEERG_15_3_1_1__1_EmissionsFromPurchasedMineralSupplements_Title">_xlfn.LAMBDA("Total emissions from purchased mineral supplements")</definedName>
    <definedName name="Scope3_Equations.VEERG_15_3_1_1__1_EmissionsFromPurchasedMineralSupplements_Unit">_xlfn.LAMBDA("t CO2e")</definedName>
    <definedName name="Scope3_Equations.VEERG_15_3_1_1__1_EmissionsFromPurchasedMineralSupplements_Variable">_xlfn.LAMBDA("E")</definedName>
    <definedName name="Scope3_Equations.VEERG_15_4_1_1__1_EmissionsFromPurchasedFertiliser">_xlfn.LAMBDA(_xlpm.TM_jf,_xlpm.EF_f, (_xlpm.TM_jf * _xlpm.EF_f) * 10 ^ -3)</definedName>
    <definedName name="Scope3_Equations.VEERG_15_4_1_1__1_EmissionsFromPurchasedFertiliser_Arguments">_xlfn.LAMBDA(_xlfn.MAKEARRAY(4, 4, _xlfn.LAMBDA(_xlpm.r,_xlpm.c, INDEX({"TM_jf","quantity of inorganic fertiliser type f purchased and applied to production system j","kg","Input";"EF_f","emission factor of purchased inorganic fertiliser","kg CO2e/kg","Constant";"j","production system","","Input";"f","inorganic fertiliser type","","Input"}, _xlpm.r, _xlpm.c))))</definedName>
    <definedName name="Scope3_Equations.VEERG_15_4_1_1__1_EmissionsFromPurchasedFertiliser_LatexEquation">_xlfn.LAMBDA("E=\sum\nolimits_f\sum\nolimits_j\left(TM_{jf}\times EF_f\right)\times 10^{-3}")</definedName>
    <definedName name="Scope3_Equations.VEERG_15_4_1_1__1_EmissionsFromPurchasedFertiliser_NIRReference">_xlfn.LAMBDA("")</definedName>
    <definedName name="Scope3_Equations.VEERG_15_4_1_1__1_EmissionsFromPurchasedFertiliser_Source">_xlfn.LAMBDA("VEERG 2026: 15.4.1.1, Equation (1)")</definedName>
    <definedName name="Scope3_Equations.VEERG_15_4_1_1__1_EmissionsFromPurchasedFertiliser_Title">_xlfn.LAMBDA("Emissions from purchased fertiliser")</definedName>
    <definedName name="Scope3_Equations.VEERG_15_4_1_1__1_EmissionsFromPurchasedFertiliser_Unit">_xlfn.LAMBDA("t CO2e")</definedName>
    <definedName name="Scope3_Equations.VEERG_15_4_1_1__1_EmissionsFromPurchasedFertiliser_Variable">_xlfn.LAMBDA("E")</definedName>
    <definedName name="Scope3_Equations.VEERG_15_4_1_1__2_EmissionsFromPurchasedFertiliserComponents">_xlfn.LAMBDA(_xlpm.F_cf,_xlpm.TM_jf,_xlpm.EF_c, ((_xlpm.F_cf * _xlpm.TM_jf) / 100) * _xlpm.EF_c)</definedName>
    <definedName name="Scope3_Equations.VEERG_15_4_1_1__2_EmissionsFromPurchasedFertiliserComponents_Arguments">_xlfn.LAMBDA(_xlfn.MAKEARRAY(6, 4, _xlfn.LAMBDA(_xlpm.r,_xlpm.c, INDEX({"F_cf","fraction of component c contained within the inorganic fertiliser f","wt%","Input";"TM_jf","quantity of inorganic fertiliser type f purchased and applied to production system j","kg","Input";"EF_c","emission factor for the production of component c","kg CO2e/kg component","Constant";"c","fertiliser component","","Input";"f","inorganic fertiliser type","","Input";"j","production system","","Input"}, _xlpm.r, _xlpm.c))))</definedName>
    <definedName name="Scope3_Equations.VEERG_15_4_1_1__2_EmissionsFromPurchasedFertiliserComponents_LatexEquation">_xlfn.LAMBDA("E=\sum\nolimits_f\sum\nolimits_c\sum\nolimits_j\left(\frac{F_{cf}\times TM_{jf}}{100}\times EF_c\right)")</definedName>
    <definedName name="Scope3_Equations.VEERG_15_4_1_1__2_EmissionsFromPurchasedFertiliserComponents_LatexEquationVariation">_xlfn.LAMBDA("E=\sum\nolimits_f\sum\nolimits_c\sum\nolimits_j\left(F_{cf}\times TM_{jf}\times EF_c\right)\times 10^{-3}")</definedName>
    <definedName name="Scope3_Equations.VEERG_15_4_1_1__2_EmissionsFromPurchasedFertiliserComponents_NIRReference">_xlfn.LAMBDA("")</definedName>
    <definedName name="Scope3_Equations.VEERG_15_4_1_1__2_EmissionsFromPurchasedFertiliserComponents_Source">_xlfn.LAMBDA("VEERG 2026: 15.4.1.1, Equation (2)")</definedName>
    <definedName name="Scope3_Equations.VEERG_15_4_1_1__2_EmissionsFromPurchasedFertiliserComponents_Title">_xlfn.LAMBDA("Emissions from purchased fertiliser components")</definedName>
    <definedName name="Scope3_Equations.VEERG_15_4_1_1__2_EmissionsFromPurchasedFertiliserComponents_Unit">_xlfn.LAMBDA("t CO2e")</definedName>
    <definedName name="Scope3_Equations.VEERG_15_4_1_1__2_EmissionsFromPurchasedFertiliserComponents_Variable">_xlfn.LAMBDA("E")</definedName>
    <definedName name="Scope3_Equations.VEERG_15_4_1_1__2_EmissionsFromPurchasedFertiliserComponents_Variation">_xlfn.LAMBDA("VARIATION ON SOURCE: removes division by 100 for F_cf, treating F_cf as fraction instead of percent because it is a fraction in scope 1 equations. Convert kg to tonnes by mutiplying by 10^-3.")</definedName>
    <definedName name="Scope3_Equations.VEERG_15_4_1_1__2_EmissionsFromPurchasedFertiliserComponentsVariation">_xlfn.LAMBDA(_xlpm.F_cf,_xlpm.TM_jf,_xlpm.EF_c, (_xlpm.F_cf * _xlpm.TM_jf) * _xlpm.EF_c * 10 ^ -3)</definedName>
    <definedName name="Scope3_Equations.VEERG_15_4_1_1__X_EmissionFactorFromPurchasedFertiliserComponents">_xlfn.LAMBDA(_xlpm.F_cf,_xlpm.EF_c, _xlpm.F_cf * _xlpm.EF_c)</definedName>
    <definedName name="Scope3_Equations.VEERG_15_4_1_1__X_EmissionFactorFromPurchasedFertiliserComponents_Arguments">_xlfn.LAMBDA(_xlfn.MAKEARRAY(4, 4, _xlfn.LAMBDA(_xlpm.r,_xlpm.c, INDEX({"F_cf","fraction of component c contained within the inorganic fertiliser f","wt%","Input";"EF_c","emission factor for the production of component c","kg CO2e/kg component","Constant";"c","fertiliser component","","Input";"f","inorganic fertiliser type","","Input"}, _xlpm.r, _xlpm.c))))</definedName>
    <definedName name="Scope3_Equations.VEERG_15_4_1_1__X_EmissionFactorFromPurchasedFertiliserComponents_LatexEquation">_xlfn.LAMBDA("EF_f=\sum\nolimits_c\left(F_{cf}\times EF_c\right)")</definedName>
    <definedName name="Scope3_Equations.VEERG_15_4_1_1__X_EmissionFactorFromPurchasedFertiliserComponents_NIRReference">_xlfn.LAMBDA("")</definedName>
    <definedName name="Scope3_Equations.VEERG_15_4_1_1__X_EmissionFactorFromPurchasedFertiliserComponents_Source">_xlfn.LAMBDA("GAF")</definedName>
    <definedName name="Scope3_Equations.VEERG_15_4_1_1__X_EmissionFactorFromPurchasedFertiliserComponents_Title">_xlfn.LAMBDA("Emission factor for fertiliser product derived from components")</definedName>
    <definedName name="Scope3_Equations.VEERG_15_4_1_1__X_EmissionFactorFromPurchasedFertiliserComponents_Unit">_xlfn.LAMBDA("kg CO2e/kg fertiliser")</definedName>
    <definedName name="Scope3_Equations.VEERG_15_4_1_1__X_EmissionFactorFromPurchasedFertiliserComponents_Variable">_xlfn.LAMBDA("EF_f")</definedName>
    <definedName name="Scope3_Equations.VEERG_15_4_1_1__X_EmissionFactorFromPurchasedFertiliserComponents_Variation">_xlfn.LAMBDA("VARIATION ON SOURCE: This equation is added to calculate an EF value from fertiliser components that can be used in 15.4.1.1 (1)")</definedName>
    <definedName name="Scope3_Equations.VEERG_15_5_1_1__1_EmissionsFromPurchasedAgrichemicals">_xlfn.LAMBDA(_xlpm.Q_h,_xlpm.EF_h, (_xlpm.Q_h * _xlpm.EF_h) * 10 ^ -3)</definedName>
    <definedName name="Scope3_Equations.VEERG_15_5_1_1__1_EmissionsFromPurchasedAgrichemicals_Arguments">_xlfn.LAMBDA(_xlfn.MAKEARRAY(3, 4, _xlfn.LAMBDA(_xlpm.r,_xlpm.c, INDEX({"Q_h","quantity of active ingredients in agrichemical type h purchased and applied to soils","kg ai","Input";"EF_h","emission factor for purchased agrichemical active ingredient","kg CO2e/kg ai","Constant";"h","agrichemical type","","Input"}, _xlpm.r, _xlpm.c))))</definedName>
    <definedName name="Scope3_Equations.VEERG_15_5_1_1__1_EmissionsFromPurchasedAgrichemicals_LatexEquation">_xlfn.LAMBDA("E=\sum\nolimits_h\left(Q_h\times EF_h\right)\times 10^{-3}")</definedName>
    <definedName name="Scope3_Equations.VEERG_15_5_1_1__1_EmissionsFromPurchasedAgrichemicals_NIRReference">_xlfn.LAMBDA("")</definedName>
    <definedName name="Scope3_Equations.VEERG_15_5_1_1__1_EmissionsFromPurchasedAgrichemicals_Source">_xlfn.LAMBDA("VEERG 2026: 15.5.1.1, Equation (1)")</definedName>
    <definedName name="Scope3_Equations.VEERG_15_5_1_1__1_EmissionsFromPurchasedAgrichemicals_Title">_xlfn.LAMBDA("Total emissions from purchased agrichemicals")</definedName>
    <definedName name="Scope3_Equations.VEERG_15_5_1_1__1_EmissionsFromPurchasedAgrichemicals_Unit">_xlfn.LAMBDA("t CO2e")</definedName>
    <definedName name="Scope3_Equations.VEERG_15_5_1_1__1_EmissionsFromPurchasedAgrichemicals_Variable">_xlfn.LAMBDA("E")</definedName>
    <definedName name="Scope3_Equations.VEERG_15_6_1_1__1_EmissionsFromPurchasedLime">_xlfn.LAMBDA(_xlpm.M_lime,_xlpm.EF_l, _xlpm.M_lime * _xlpm.EF_l)</definedName>
    <definedName name="Scope3_Equations.VEERG_15_6_1_1__1_EmissionsFromPurchasedLime_Arguments">_xlfn.LAMBDA(_xlfn.MAKEARRAY(2, 4, _xlfn.LAMBDA(_xlpm.r,_xlpm.c, INDEX({"M_lime","total quantity of lime applied to soils","t","Input";"EF_l","emission factor for purchased lime","t CO2e/t","Constant"}, _xlpm.r, _xlpm.c))))</definedName>
    <definedName name="Scope3_Equations.VEERG_15_6_1_1__1_EmissionsFromPurchasedLime_LatexEquation">_xlfn.LAMBDA("E=M_{lime}\times EF_l")</definedName>
    <definedName name="Scope3_Equations.VEERG_15_6_1_1__1_EmissionsFromPurchasedLime_NIRReference">_xlfn.LAMBDA("")</definedName>
    <definedName name="Scope3_Equations.VEERG_15_6_1_1__1_EmissionsFromPurchasedLime_Source">_xlfn.LAMBDA("VEERG 2026: 15.6.1.1, Equation (1)")</definedName>
    <definedName name="Scope3_Equations.VEERG_15_6_1_1__1_EmissionsFromPurchasedLime_Title">_xlfn.LAMBDA("Embedded emissions for purchased lime")</definedName>
    <definedName name="Scope3_Equations.VEERG_15_6_1_1__1_EmissionsFromPurchasedLime_Unit">_xlfn.LAMBDA("t CO2e")</definedName>
    <definedName name="Scope3_Equations.VEERG_15_6_1_1__1_EmissionsFromPurchasedLime_Variable">_xlfn.LAMBDA("E")</definedName>
    <definedName name="Scope3_Equations.VEERG_15_7_1_1__1_EmissionsFromPurchasedServices">_xlfn.LAMBDA(_xlpm.A_p,_xlpm.EF_p, (_xlpm.A_p * _xlpm.EF_p) * 10 ^ -3)</definedName>
    <definedName name="Scope3_Equations.VEERG_15_7_1_1__1_EmissionsFromPurchasedServices_Arguments">_xlfn.LAMBDA(_xlfn.MAKEARRAY(3, 4, _xlfn.LAMBDA(_xlpm.r,_xlpm.c, INDEX({"A_p","activity data of the service that was purchased","ha or h","Input";"EF_p","life cycle emission factor for the purchased service","kg CO2e/ha or kg CO2e/h","Constant";"p","service type","","Input"}, _xlpm.r, _xlpm.c))))</definedName>
    <definedName name="Scope3_Equations.VEERG_15_7_1_1__1_EmissionsFromPurchasedServices_LatexEquation">_xlfn.LAMBDA("E=\sum\nolimits_p\left(A_p\times EF_p\right)\times 10^{-3}")</definedName>
    <definedName name="Scope3_Equations.VEERG_15_7_1_1__1_EmissionsFromPurchasedServices_NIRReference">_xlfn.LAMBDA("")</definedName>
    <definedName name="Scope3_Equations.VEERG_15_7_1_1__1_EmissionsFromPurchasedServices_Source">_xlfn.LAMBDA("VEERG 2026: 15.7.1.1, Equation (1)")</definedName>
    <definedName name="Scope3_Equations.VEERG_15_7_1_1__1_EmissionsFromPurchasedServices_Title">_xlfn.LAMBDA("Emissions of purchased services and contractor operations")</definedName>
    <definedName name="Scope3_Equations.VEERG_15_7_1_1__1_EmissionsFromPurchasedServices_Unit">_xlfn.LAMBDA("t CO2e")</definedName>
    <definedName name="Scope3_Equations.VEERG_15_7_1_1__1_EmissionsFromPurchasedServices_Variable">_xlfn.LAMBDA("E")</definedName>
    <definedName name="Scope3_Equations.VEERG_15_8_1_1__1_EmissionsFromPurchasedPackaging">_xlfn.LAMBDA(_xlpm.Q_p,_xlpm.EF_p, (_xlpm.Q_p * _xlpm.EF_p) * 10 ^ -3)</definedName>
    <definedName name="Scope3_Equations.VEERG_15_8_1_1__1_EmissionsFromPurchasedPackaging_Arguments">_xlfn.LAMBDA(_xlfn.MAKEARRAY(3, 4, _xlfn.LAMBDA(_xlpm.r,_xlpm.c, INDEX({"Q_p","units of packaging type p","units","Input";"EF_p","emission factor for packaging type p","kg CO2e/unit","Constant";"p","packaging type","","Input"}, _xlpm.r, _xlpm.c))))</definedName>
    <definedName name="Scope3_Equations.VEERG_15_8_1_1__1_EmissionsFromPurchasedPackaging_LatexEquation">_xlfn.LAMBDA("E=\sum\nolimits_p\left(Q_p\times EF_p\right)\times 10^{-3}")</definedName>
    <definedName name="Scope3_Equations.VEERG_15_8_1_1__1_EmissionsFromPurchasedPackaging_NIRReference">_xlfn.LAMBDA("")</definedName>
    <definedName name="Scope3_Equations.VEERG_15_8_1_1__1_EmissionsFromPurchasedPackaging_Source">_xlfn.LAMBDA("VEERG 2026: 15.8.1.1, Equation (1)")</definedName>
    <definedName name="Scope3_Equations.VEERG_15_8_1_1__1_EmissionsFromPurchasedPackaging_Title">_xlfn.LAMBDA("Embedded emissions from use of packaging materials")</definedName>
    <definedName name="Scope3_Equations.VEERG_15_8_1_1__1_EmissionsFromPurchasedPackaging_Unit">_xlfn.LAMBDA("t CO2e")</definedName>
    <definedName name="Scope3_Equations.VEERG_15_8_1_1__1_EmissionsFromPurchasedPackaging_Variable">_xlfn.LAMBDA("E")</definedName>
    <definedName name="Scope3_Equations.VEERG_15_8_1_1__1_EmissionsFromPurchasedPackaging_Variation">_xlfn.LAMBDA("VARIATION ON SOURCE: Changed unit of Q from 'units' to 'kg' as EF data is in kg.")</definedName>
    <definedName name="Scope3_Equations.VEERG_15_9_1_1__1_EmissionsFromPurchasedGrowMedia">_xlfn.LAMBDA(_xlpm.Q_g,_xlpm.EF_g, (_xlpm.Q_g * _xlpm.EF_g) * 10 ^ -3)</definedName>
    <definedName name="Scope3_Equations.VEERG_15_9_1_1__1_EmissionsFromPurchasedGrowMedia_Arguments">_xlfn.LAMBDA(_xlfn.MAKEARRAY(3, 4, _xlfn.LAMBDA(_xlpm.r,_xlpm.c, INDEX({"Q_g","total quantity of grow media type g","kg or m3","Input";"EF_g","emission factor for grow media type g","kg CO2e/kg or kg CO2e/m3","Constant";"g","grow media type","","Input"}, _xlpm.r, _xlpm.c))))</definedName>
    <definedName name="Scope3_Equations.VEERG_15_9_1_1__1_EmissionsFromPurchasedGrowMedia_LatexEquation">_xlfn.LAMBDA("E=\sum\nolimits_g\left(Q_g\times EF_g\right)\times 10^{-3}")</definedName>
    <definedName name="Scope3_Equations.VEERG_15_9_1_1__1_EmissionsFromPurchasedGrowMedia_NIRReference">_xlfn.LAMBDA("")</definedName>
    <definedName name="Scope3_Equations.VEERG_15_9_1_1__1_EmissionsFromPurchasedGrowMedia_Source">_xlfn.LAMBDA("VEERG 2026: 15.9.1.1, Equation (1)")</definedName>
    <definedName name="Scope3_Equations.VEERG_15_9_1_1__1_EmissionsFromPurchasedGrowMedia_Title">_xlfn.LAMBDA("Embedded emissions from use of grow media products")</definedName>
    <definedName name="Scope3_Equations.VEERG_15_9_1_1__1_EmissionsFromPurchasedGrowMedia_Unit">_xlfn.LAMBDA("t CO2e")</definedName>
    <definedName name="Scope3_Equations.VEERG_15_9_1_1__1_EmissionsFromPurchasedGrowMedia_Variable">_xlfn.LAMBDA("E")</definedName>
    <definedName name="Scope3_InputFunctions.GetLiveweight_PastureBeef">_xlfn.LAMBDA(_xlpm.PurchaseDate,_xlpm.LivestockClass,_xlpm.SourceRegion,_xlpm.SourceRegionLeftArray,_xlpm.SourceRegionRightArray,_xlpm.SeasonArray,_xlpm.LivestockClassArray,_xlpm.LiveweightArray, _xlfn.LET(_xlpm.Season, _xlfn.IFS(MONTH(_xlpm.PurchaseDate) &lt;= 2, "Summer", MONTH(_xlpm.PurchaseDate) &lt;= 5, "Autumn", MONTH(_xlpm.PurchaseDate) &lt;= 8, "Winter", MONTH(_xlpm.PurchaseDate) &lt;= 11, "Spring", MONTH(_xlpm.PurchaseDate) = 12, "Summer"), _xlpm.SourceRegionRight, IF(ISNUMBER(FIND(" - ", _xlpm.SourceRegion)), MID(_xlpm.SourceRegion, FIND(" - ", _xlpm.SourceRegion) + 3, LEN(_xlpm.SourceRegion)), "n/a"), _xlpm.SourceRegionLeft, IF(ISNUMBER(FIND(" - ", _xlpm.SourceRegion)), LEFT(_xlpm.SourceRegion, FIND(" - ", _xlpm.SourceRegion) - 1), _xlpm.SourceRegion), IFERROR(_xlfn.XLOOKUP(1, (_xlpm.SourceRegionLeftArray = _xlpm.SourceRegionLeft) * (_xlpm.SourceRegionRightArray = _xlpm.SourceRegionRight) * (_xlpm.SeasonArray = _xlpm.Season), _xlfn.XLOOKUP(_xlpm.LivestockClass, _xlpm.LivestockClassArray, _xlpm.LiveweightArray, 0), 0), 0)))</definedName>
    <definedName name="Scope3_SourceData.Scope3_Chemicals_Data">_xlfn.LAMBDA(_xlfn.MAKEARRAY(8, 7, _xlfn.LAMBDA(_xlpm.r,_xlpm.c, INDEX({"Category","Sub-category","Product name","Region of origin","Product Unit","GHG emission intensity","System boundary";"Chemicals","Cleaning chemicals","Alkaline cleaner","Global","kg",0.722,"at manufacturer";"Chemicals","Cleaning chemicals","Bleach","Global","kg",0.804,"at manufacturer";"Chemicals","Cleaning chemicals","Phosphoric acid","Global","kg",0.907,"at manufacturer";"Chemicals","Pharmacy chemicals","Parasite control for cattle (external), dipping","Global","p (head)",0.0547,"at manufacturer";"Chemicals","Pharmacy chemicals","Parasite control for cattle (internal)","Global","p (head)",0.0142,"at manufacturer";"Chemicals","Pharmacy chemicals","Parasite control for sheep (external)","Global","p (head)",0.0143,"at manufacturer";"Chemicals","Pharmacy chemicals","Parasite control for sheep (internal)","Global","p (head)",0.00426,"at manufacturer"}, _xlpm.r, _xlpm.c))))</definedName>
    <definedName name="Scope3_SourceData.Scope3_Chemicals_Source">_xlfn.LAMBDA(("Lifecycles. (2026). Greenhouse Gas Emission Intensities for Material Inputs to Australian Agriculture, Fisheries and Forestry. Version 48. doi 10.5281/zenodo.19656580"))</definedName>
    <definedName name="Scope3_SourceData.Scope3_Chemicals_Title">_xlfn.LAMBDA(("Chemicals scope 3"))</definedName>
    <definedName name="Scope3_SourceData.Scope3_Chemicals_Variation">_xlfn.LAMBDA((""))</definedName>
    <definedName name="Scope3_SourceData.Scope3_Feed_Data">_xlfn.LAMBDA(_xlfn.MAKEARRAY(78, 7, _xlfn.LAMBDA(_xlpm.r,_xlpm.c, INDEX({"Category","Sub-category","Product name","Region of origin","Product Unit","GHG emission intensity","System boundary";"Feed","Aquaculture feed","Sardines (whole)","SA","kg",0.376,"at market";"Feed","Grain","Barley grain","Australia","kg",0.239,"at market";"Feed","Grain","Barley grain","NSW","kg",0.256,"at market";"Feed","Grain","Barley grain","NT","kg",0.332,"at market";"Feed","Grain","Barley grain","QLD","kg",0.269,"at market";"Feed","Grain","Barley grain","SA","kg",0.223,"at market";"Feed","Grain","Barley grain","TAS","kg",0.307,"at market";"Feed","Grain","Barley grain","VIC","kg",0.241,"at market";"Feed","Grain","Barley grain","WA","kg",0.236,"at market";"Feed","Grain","Maize grain","Australia","kg",0.181,"at market";"Feed","Grain","Maize grain","NSW","kg",0.169,"at market";"Feed","Grain","Maize grain","NT","kg",0.256,"at market";"Feed","Grain","Maize grain","QLD","kg",0.186,"at market";"Feed","Grain","Maize grain","SA","kg",0.176,"at market";"Feed","Grain","Maize grain","VIC","kg",0.159,"at market";"Feed","Grain","Maize grain","WA","kg",0.285,"at market";"Feed","Grain","Sorghum grain","Australia","kg",0.232,"at market";"Feed","Grain","Sorghum grain","NSW","kg",0.232,"at market";"Feed","Grain","Sorghum grain","QLD","kg",0.231,"at market";"Feed","Grain","Sorghum grain","SA","kg",0.218,"at market";"Feed","Grain","Sorghum grain","VIC","kg",0.246,"at market";"Feed","Grain","Wheat grain","Australia","kg",0.268,"at market";"Feed","Grain","Wheat grain","NSW","kg",0.282,"at market";"Feed","Grain","Wheat grain","NT","kg",0.385,"at market";"Feed","Grain","Wheat grain","QLD","kg",0.296,"at market";"Feed","Grain","Wheat grain","SA","kg",0.241,"at market";"Feed","Grain","Wheat grain","TAS","kg",0.338,"at market";"Feed","Grain","Wheat grain","VIC","kg",0.266,"at market";"Feed","Grain","Wheat grain","WA","kg",0.261,"at market";"Feed","Hay","Cereal hay","Australia","kg",0.117,"at market";"Feed","Hay","Cereal hay","NSW","kg",0.116,"at market";"Feed","Hay","Cereal hay","QLD","kg",0.118,"at market";"Feed","Hay","Cereal hay","SA","kg",0.111,"at market";"Feed","Hay","Cereal hay","TAS","kg",0.139,"at market";"Feed","Hay","Cereal hay","VIC","kg",0.116,"at market";"Feed","Hay","Cereal hay","WA","kg",0.122,"at market";"Feed","Hay","Cereal silage","Australia","kg",0.0744,"at market";"Feed","Hay","Cereal silage","NSW","kg",0.0739,"at market";"Feed","Hay","Cereal silage","QLD","kg",0.079,"at market";"Feed","Hay","Cereal silage","SA","kg",0.0706,"at market";"Feed","Hay","Cereal silage","TAS","kg",0.0808,"at market";"Feed","Hay","Cereal silage","VIC","kg",0.0736,"at market";"Feed","Hay","Lucerne hay","Australia","kg",0.117,"at market";"Feed","Hay","Lucerne hay","NSW","kg",0.113,"at market";"Feed","Hay","Lucerne hay","QLD","kg",0.143,"at market";"Feed","Hay","Lucerne hay","SA","kg",0.106,"at market";"Feed","Hay","Lucerne hay","TAS","kg",0.113,"at market";"Feed","Hay","Lucerne hay","VIC","kg",0.106,"at market";"Feed","Hay","Maize silage","VIC","kg",0.163,"at market";"Feed","Hay","Oaten hay","Australia","kg",0.12,"at market";"Feed","Hay","Oaten hay","NSW","kg",0.119,"at market";"Feed","Hay","Oaten hay","QLD","kg",0.117,"at market";"Feed","Hay","Oaten hay","SA","kg",0.114,"at market";"Feed","Hay","Oaten hay","VIC","kg",0.118,"at market";"Feed","Hay","Oaten hay","WA","kg",0.124,"at market";"Feed","Hay","Pasture hay","Australia","kg",0.339,"at market";"Feed","Hay","Pasture hay","NSW","kg",0.311,"at market";"Feed","Hay","Pasture hay","QLD","kg",0.254,"at market";"Feed","Hay","Pasture hay","SA","kg",0.313,"at market";"Feed","Hay","Pasture hay","TAS","kg",0.398,"at market";"Feed","Hay","Pasture hay","VIC","kg",0.345,"at market";"Feed","Hay","Pasture hay","WA","kg",0.368,"at market";"Feed","Meal","Canola meal","Australia","kg",0.244,"at market";"Feed","Meal","Meat meal","Australia","kg",0.408,"at market";"Feed","Meal","Soybean meal","Brazil","kg",0.426,"at market";"Feed","Meal","Wheat bran","Australia","kg",0.196,"at market";"Feed","Mixed rations","Feed for chickens","Australia","kg",0.594,"at market";"Feed","Mixed rations","Feed for dairy calves","Australia","kg",0.419,"at market";"Feed","Mixed rations","Feed for dairy cows","Australia","kg",0.333,"at market";"Feed","Mixed rations","Feed for pigs","Australia","kg",0.403,"at market";"Feed","Other","Bentonite","Australia","kg",0.0652,"at market";"Feed","Other","Canola oil","Australia","kg",0.87,"at market";"Feed","Other","Cotton seed","Australia","kg",0.197,"at market";"Feed","Other","Lick block, dry season mix","Australia","kg",0.881,"at market";"Feed","Other","Lick block, mineral","Australia","kg",0.677,"at market";"Feed","Other","Lick block, weaner","Australia","kg",0.231,"at market";"Feed","Other","Molasses","QLD","kg",0.184,"at market"}, _xlpm.r, _xlpm.c))))</definedName>
    <definedName name="Scope3_SourceData.Scope3_Feed_Source">_xlfn.LAMBDA(("Lifecycles. (2026). Greenhouse Gas Emission Intensities for Material Inputs to Australian Agriculture, Fisheries and Forestry. Version 48. doi 10.5281/zenodo.19656580"))</definedName>
    <definedName name="Scope3_SourceData.Scope3_Feed_Title">_xlfn.LAMBDA(("Feed scope 3"))</definedName>
    <definedName name="Scope3_SourceData.Scope3_Feed_Variation">_xlfn.LAMBDA((""))</definedName>
    <definedName name="Scope3_SourceData.Scope3_InorganicFertilisers_Data">_xlfn.LAMBDA(_xlfn.MAKEARRAY(26, 7, _xlfn.LAMBDA(_xlpm.r,_xlpm.c, INDEX({"Category","Sub-category","Product name","Region of origin","Product Unit","GHG emission intensity","System boundary";"Fertilisers","Inorganic fertilisers","Ammonia, AU market mix","Global","kg",2.32,"at market";"Fertilisers","Inorganic fertilisers","Ammonia, Canada","Canada","kg",2.12,"at market";"Fertilisers","Inorganic fertilisers","Ammonia, China","China","kg",4.17,"at market";"Fertilisers","Inorganic fertilisers","Ammonia, Yemen","Yemen","kg",2.26,"at market";"Fertilisers","Inorganic fertilisers","Ammonium nitrate, AU market mix","Global","kg",2.21,"at market";"Fertilisers","Inorganic fertilisers","Calcium ammonium nitrate, AU market mix","Global","kg",1.15,"at market";"Fertilisers","Inorganic fertilisers","Calcium nitrate","Global","kg",0.75,"at market";"Fertilisers","Inorganic fertilisers","Diammonium phosphate, AU market mix","Global","kg",1.34,"at market";"Fertilisers","Inorganic fertilisers","Double superphosphate, AU market mix","Global","kg",0.392,"at market";"Fertilisers","Inorganic fertilisers","Monoammonium phosphate, AU market mix","Global","kg",0.827,"at market";"Fertilisers","Inorganic fertilisers","Muriate of potash, AU market mix","Global","kg",0.549,"at market";"Fertilisers","Inorganic fertilisers","Nitrogen from ammonia, AU market mix","Global","kg N",2.83,"at market";"Fertilisers","Inorganic fertilisers","Nitrogen from fertilizer, AU market mix","Global","kg N",4.2,"at market";"Fertilisers","Inorganic fertilisers","Nitrogen from nitrate fertilizer, AU market mix","Global","kg N",5.47,"at market";"Fertilisers","Inorganic fertilisers","Phosphorus from fertilizer, AU market mix","Global","kg P",3.96,"at market";"Fertilisers","Inorganic fertilisers","Potassium from fertilizer, AU market mix","Global","kg K",0.909,"at market";"Fertilisers","Inorganic fertilisers","Single superphosphate, AU market mix","Global","kg",0.227,"at market";"Fertilisers","Inorganic fertilisers","Sulfur from fertilizer, AU market mix","Global","kg S",2.5,"at market";"Fertilisers","Inorganic fertilisers","Ammonium sulphate, AU market mix","Global","kg",0.865,"at market";"Fertilisers","Inorganic fertilisers","Urea ammonium nitrate, AU market mix","Global","kg",1.75,"at market";"Fertilisers","Inorganic fertilisers","Urea, AU market mix","Global","kg",0.968,"at market";"Fertilisers","Inorganic fertilisers","Urea, Canada","Canada","kg",0.823,"at market";"Fertilisers","Inorganic fertilisers","Urea, China","China","kg",2.09,"at market";"Fertilisers","Inorganic fertilisers","Urea, Yemen","Yemen","kg",0.963,"at market";"Fertilisers","Inorganic fertilisers","Zinc from fertilizer","Global","kg Zn",4.82,"at market"}, _xlpm.r, _xlpm.c))))</definedName>
    <definedName name="Scope3_SourceData.Scope3_InorganicFertilisers_Source">_xlfn.LAMBDA(("Lifecycles. (2026). Greenhouse Gas Emission Intensities for Material Inputs to Australian Agriculture, Fisheries and Forestry. Version 48. doi 10.5281/zenodo.19656580"))</definedName>
    <definedName name="Scope3_SourceData.Scope3_InorganicFertilisers_Title">_xlfn.LAMBDA(("Inorganic fertiliser chemical compound scope 3"))</definedName>
    <definedName name="Scope3_SourceData.Scope3_InorganicFertilisers_Variation">_xlfn.LAMBDA((""))</definedName>
    <definedName name="Scope3_SourceData.Scope3_Livestock_Data">_xlfn.LAMBDA(_xlfn.MAKEARRAY(42, 7, _xlfn.LAMBDA(_xlpm.r,_xlpm.c, INDEX({"Category","Sub-category","Product name","Region of origin","Product Unit","GHG emission intensity","System boundary";"Animals","Beef cattle","Cattle, for manufacturing beef","Australia","kg liveweight",11,"at market";"Animals","Beef cattle","Cattle, for manufacturing beef","NSW","kg liveweight",8.21,"at market";"Animals","Beef cattle","Cattle, for manufacturing beef","NT","kg liveweight",12.2,"at market";"Animals","Beef cattle","Cattle, for manufacturing beef","QLD","kg liveweight",10.9,"at market";"Animals","Beef cattle","Cattle, for manufacturing beef","SA","kg liveweight",7.63,"at market";"Animals","Beef cattle","Cattle, for manufacturing beef","TAS","kg liveweight",8.75,"at market";"Animals","Beef cattle","Cattle, for manufacturing beef","VIC","kg liveweight",8.17,"at market";"Animals","Beef cattle","Cattle, for manufacturing beef","WA","kg liveweight",13.1,"at market";"Animals","Beef cattle","Cattle, for prime beef","Australia","kg liveweight",14.5,"at market";"Animals","Beef cattle","Cattle, for prime beef","NSW","kg liveweight",11.3,"at market";"Animals","Beef cattle","Cattle, for prime beef","NT","kg liveweight",18.9,"at market";"Animals","Beef cattle","Cattle, for prime beef","QLD","kg liveweight",13.9,"at market";"Animals","Beef cattle","Cattle, for prime beef","SA","kg liveweight",12.3,"at market";"Animals","Beef cattle","Cattle, for prime beef","TAS","kg liveweight",11.5,"at market";"Animals","Beef cattle","Cattle, for prime beef","VIC","kg liveweight",11.5,"at market";"Animals","Beef cattle","Cattle, for prime beef","WA","kg liveweight",20.8,"at market";"Animals","Beef cattle","Cattle, weaners","Australia","kg liveweight",15.5,"at market";"Animals","Beef cattle","Cattle, weaners","NSW","kg liveweight",12.7,"at market";"Animals","Beef cattle","Cattle, weaners","NT","kg liveweight",19.1,"at market";"Animals","Beef cattle","Cattle, weaners","QLD","kg liveweight",20.5,"at market";"Animals","Beef cattle","Cattle, weaners","SA","kg liveweight",10.8,"at market";"Animals","Beef cattle","Cattle, weaners","TAS","kg liveweight",13.4,"at market";"Animals","Beef cattle","Cattle, weaners","VIC","kg liveweight",12,"at market";"Animals","Beef cattle","Cattle, weaners","WA","kg liveweight",12.4,"at market";"Animals","Chickens","Chickens","Australia","kg liveweight",1.36,"at market";"Animals","Dairy cattle","Dairy cows","VIC","kg liveweight",4.41,"at market";"Animals","Pigs","Pigs","Australia","kg liveweight",3.38,"at market";"Animals","Sheep","Sheep, for mutton","Australia","kg liveweight",6.81,"at market";"Animals","Sheep","Sheep, for mutton","NSW","kg liveweight",2.26,"at market";"Animals","Sheep","Sheep, for mutton","QLD","kg liveweight",6.33,"at market";"Animals","Sheep","Sheep, for mutton","SA","kg liveweight",6.18,"at market";"Animals","Sheep","Sheep, for mutton","TAS","kg liveweight",7.5,"at market";"Animals","Sheep","Sheep, for mutton","VIC","kg liveweight",8.08,"at market";"Animals","Sheep","Sheep, for mutton","WA","kg liveweight",5.45,"at market";"Animals","Sheep","Sheep, for prime lamb","Australia","kg liveweight",7.15,"at market";"Animals","Sheep","Sheep, for prime lamb","NSW","kg liveweight",8.29,"at market";"Animals","Sheep","Sheep, for prime lamb","QLD","kg liveweight",6.39,"at market";"Animals","Sheep","Sheep, for prime lamb","SA","kg liveweight",6.87,"at market";"Animals","Sheep","Sheep, for prime lamb","TAS","kg liveweight",8.66,"at market";"Animals","Sheep","Sheep, for prime lamb","VIC","kg liveweight",10,"at market";"Animals","Sheep","Sheep, for prime lamb","WA","kg liveweight",5.67,"at market"}, _xlpm.r, _xlpm.c))))</definedName>
    <definedName name="Scope3_SourceData.Scope3_Livestock_Source">_xlfn.LAMBDA(("Lifecycles. (2026). Greenhouse Gas Emission Intensities for Material Inputs to Australian Agriculture, Fisheries and Forestry. Version 48. doi 10.5281/zenodo.19656580"))</definedName>
    <definedName name="Scope3_SourceData.Scope3_Livestock_Title">_xlfn.LAMBDA(("Livestock scope 3"))</definedName>
    <definedName name="Scope3_SourceData.Scope3_Livestock_Variation">_xlfn.LAMBDA((""))</definedName>
    <definedName name="Scope3_SourceData.Scope3_Other_Data">_xlfn.LAMBDA(_xlfn.MAKEARRAY(9, 7, _xlfn.LAMBDA(_xlpm.r,_xlpm.c, INDEX({"Category","Sub-category","Product name","Region of origin","Product Unit","GHG emission intensity","System boundary";"Other","Other","Animal ear tags (large)","Australia","p",0.0424,"at market";"Other","Other","Animal ear tags (small)","Australia","p",0.0293,"at market";"Other","Other","Barley grain (for seed)","Australia","kg",0.239,"at market";"Other","Other","Maize grain (for seed)","Australia","kg",0.181,"at market";"Other","Other","Nylon netting","Global","kg",9.81,"at market";"Other","Other","Oat grain (for seed)","Australia","kg",0.27,"at market";"Other","Other","Sorghum grain (for seed)","Australia","kg",0.232,"at market";"Other","Other","Wheat grain (for seed)","Australia","kg",0.268,"at market"}, _xlpm.r, _xlpm.c))))</definedName>
    <definedName name="Scope3_SourceData.Scope3_Other_Source">_xlfn.LAMBDA(("Lifecycles. (2026). Greenhouse Gas Emission Intensities for Material Inputs to Australian Agriculture, Fisheries and Forestry. Version 48. doi 10.5281/zenodo.19656580"))</definedName>
    <definedName name="Scope3_SourceData.Scope3_Other_Title">_xlfn.LAMBDA(("Other agricultural inputs scope 3"))</definedName>
    <definedName name="Scope3_SourceData.Scope3_Other_Variation">_xlfn.LAMBDA((""))</definedName>
    <definedName name="Scope3_SourceData.Scope3_Packaging_Data">_xlfn.LAMBDA(_xlfn.MAKEARRAY(5, 7, _xlfn.LAMBDA(_xlpm.r,_xlpm.c, INDEX({"Category","Sub-category","Product name","Region of origin","Product Unit","GHG emission intensity","System boundary";"Packaging","Packaging","Corrugated board","Global","kg",1.05,"at manufacturer";"Packaging","Packaging","Plastic crate polypropylene","Global","p",3.99,"at manufacturer";"Packaging","Packaging","Plastic film LDPE","Global","kg",3.44,"at manufacturer";"Packaging","Packaging","Plastic sheet HDPE","Global","kg",3.72,"at manufacturer"}, _xlpm.r, _xlpm.c))))</definedName>
    <definedName name="Scope3_SourceData.Scope3_Packaging_Source">_xlfn.LAMBDA(("Lifecycles. (2026). Greenhouse Gas Emission Intensities for Material Inputs to Australian Agriculture, Fisheries and Forestry. Version 48. doi 10.5281/zenodo.19656580"))</definedName>
    <definedName name="Scope3_SourceData.Scope3_Packaging_Title">_xlfn.LAMBDA(("Packaging scope 3"))</definedName>
    <definedName name="Scope3_SourceData.Scope3_Packaging_Variation">_xlfn.LAMBDA((""))</definedName>
    <definedName name="Scope3_SourceData.Scope3_Pesticides_Data">_xlfn.LAMBDA(_xlfn.MAKEARRAY(13, 7, _xlfn.LAMBDA(_xlpm.r,_xlpm.c, INDEX({"Category","Sub-category","Product name","Region of origin","Product Unit","GHG emission intensity","System boundary";"Pesticides","Pesticides","2,4-D","Global","kg AI",5.2,"at market";"Pesticides","Pesticides","Atrazine","Global","kg AI",8.38,"at market";"Pesticides","Pesticides","Diuron","Global","kg AI",8.8,"at market";"Pesticides","Pesticides","Glyphosate","Global","kg AI",10.3,"at market";"Pesticides","Pesticides","Mancozeb","Global","kg AI",4.55,"at market";"Pesticides","Pesticides","MCPA","Global","kg AI",5.6,"at market";"Pesticides","Pesticides","Metolachlor","Global","kg AI",8.06,"at market";"Pesticides","Pesticides","Metsulfuron-methyl","Global","kg AI",8.8,"at market";"Pesticides","Pesticides","Pesticides (generic)","Global","kg AI",9.16,"at market";"Pesticides","Pesticides","Tri-allate","Global","kg AI",8.57,"at market";"Pesticides","Pesticides","Tribenuron methyl","Global","kg AI",8.8,"at market";"Pesticides","Pesticides","Trifluralin","Global","kg AI",6.16,"at market"}, _xlpm.r, _xlpm.c))))</definedName>
    <definedName name="Scope3_SourceData.Scope3_Pesticides_Source">_xlfn.LAMBDA(("Lifecycles. (2026). Greenhouse Gas Emission Intensities for Material Inputs to Australian Agriculture, Fisheries and Forestry. Version 48. doi 10.5281/zenodo.19656580"))</definedName>
    <definedName name="Scope3_SourceData.Scope3_Pesticides_Title">_xlfn.LAMBDA(("Pesticides scope 3"))</definedName>
    <definedName name="Scope3_SourceData.Scope3_Pesticides_Variation">_xlfn.LAMBDA((""))</definedName>
    <definedName name="Scope3_SourceData.Scope3_SoilAmendments_Data">_xlfn.LAMBDA(_xlfn.MAKEARRAY(4, 7, _xlfn.LAMBDA(_xlpm.r,_xlpm.c, INDEX({"Category","Sub-category","Product name","Region of origin","Product Unit","GHG emission intensity","System boundary";"Soil ameliorants","Soil ameliorants","Dolomite","Australia","kg",0.0652,"at market";"Soil ameliorants","Soil ameliorants","Gypsum","Australia","kg",0.0652,"at market";"Soil ameliorants","Soil ameliorants","Limestone (crushed)","Australia","kg",0.0485,"at market"}, _xlpm.r, _xlpm.c))))</definedName>
    <definedName name="Scope3_SourceData.Scope3_SoilAmendments_Source">_xlfn.LAMBDA(("Lifecycles. (2026). Greenhouse Gas Emission Intensities for Material Inputs to Australian Agriculture, Fisheries and Forestry. Version 48. doi 10.5281/zenodo.19656580"))</definedName>
    <definedName name="Scope3_SourceData.Scope3_SoilAmendments_Title">_xlfn.LAMBDA(("Soil amendments scope 3"))</definedName>
    <definedName name="Scope3_SourceData.Scope3_SoilAmendments_Variation">_xlfn.LAMBDA((""))</definedName>
    <definedName name="SourceData_Dairy.NIR_2023_Vol1_Dairy_3_B_1_a_AshContent_Data">_xlfn.LAMBDA(0.8)</definedName>
    <definedName name="SourceData_Dairy.NIR_2023_Vol1_Dairy_3_B_1_a_AshContent_Source">_xlfn.LAMBDA("Equation 3.B.1a_2")</definedName>
    <definedName name="SourceData_Dairy.NIR_2023_Vol1_Dairy_3_B_1_a_AshContent_Title">_xlfn.LAMBDA("A = ash content expressed as a fraction")</definedName>
    <definedName name="SourceData_Dairy.NIR_2023_Vol1_Dairy_3_B_1_a_AshContent_Unit">_xlfn.LAMBDA("fraction")</definedName>
    <definedName name="SourceData_Dairy.NIR_2023_Vol1_Dairy_3_B_1_a_EmissionsPotential_Data">_xlfn.LAMBDA(0.24)</definedName>
    <definedName name="SourceData_Dairy.NIR_2023_Vol1_Dairy_3_B_1_a_EmissionsPotential_Source">_xlfn.LAMBDA("Equation 3.B.1a_2")</definedName>
    <definedName name="SourceData_Dairy.NIR_2023_Vol1_Dairy_3_B_1_a_EmissionsPotential_Title">_xlfn.LAMBDA("B0 = emissions potential")</definedName>
    <definedName name="SourceData_Dairy.NIR_2023_Vol1_Dairy_3_B_1_a_EmissionsPotential_Unit">_xlfn.LAMBDA("m3 CH4/kg VS")</definedName>
    <definedName name="SourceData_Dairy.NIR_2023_Vol2_A5_5_1_1_DairyCattleLiveWeight_Data">_xlfn.LAMBDA(_xlfn.MAKEARRAY(2, 6, _xlfn.LAMBDA(_xlpm.r,_xlpm.c, INDEX({"Time period","Milking Cows","Heifers &gt;1","Heifers &lt;1 (weaned)","Bulls &gt;1","Bulls &lt;1 (weaned)";"2020–2023",550,370,179,600,225}, _xlpm.r, _xlpm.c))))</definedName>
    <definedName name="SourceData_Dairy.NIR_2023_Vol2_A5_5_1_1_DairyCattleLiveWeight_Source">_xlfn.LAMBDA("National Inventory Report 2023 Volume 2: Table A5.5.1.1")</definedName>
    <definedName name="SourceData_Dairy.NIR_2023_Vol2_A5_5_1_1_DairyCattleLiveWeight_Title">_xlfn.LAMBDA("Table A5.5.1.1 Dairy cattle – Liveweight")</definedName>
    <definedName name="SourceData_Dairy.NIR_2023_Vol2_A5_5_1_1_DairyCattleLiveWeight_Unit">_xlfn.LAMBDA("kg")</definedName>
    <definedName name="SourceData_Dairy.NIR_2023_Vol2_A5_5_1_2_DairyCattleLiveWeightGain_Data">_xlfn.LAMBDA(_xlfn.MAKEARRAY(2, 6, _xlfn.LAMBDA(_xlpm.r,_xlpm.c, INDEX({"Time period","Milking Cows","Heifers &gt;1","Heifers &lt;1 (weaned)","Bulls &gt;1","Bulls &lt;1 (weaned)";"2020–2023",0.016,0.6,0.57,0.1,0.8}, _xlpm.r, _xlpm.c))))</definedName>
    <definedName name="SourceData_Dairy.NIR_2023_Vol2_A5_5_1_2_DairyCattleLiveWeightGain_Source">_xlfn.LAMBDA("National Inventory Report 2023 Volume 2: Table A5.5.1.2")</definedName>
    <definedName name="SourceData_Dairy.NIR_2023_Vol2_A5_5_1_2_DairyCattleLiveWeightGain_Title">_xlfn.LAMBDA("Table A5.5.1.2 Dairy cattle – Liveweight gain")</definedName>
    <definedName name="SourceData_Dairy.NIR_2023_Vol2_A5_5_1_2_DairyCattleLiveWeightGain_Unit">_xlfn.LAMBDA("kg/day")</definedName>
    <definedName name="SourceData_Dairy.NIR_2023_Vol2_A5_5_1_3_DairyCattleStandardReferenceWeight_Data">_xlfn.LAMBDA(_xlfn.MAKEARRAY(2, 6, _xlfn.LAMBDA(_xlpm.r,_xlpm.c, INDEX({"Time period","Milking Cows","Heifers &gt;1","Heifers &lt;1 (weaned)","Bulls &gt;1","Bulls &lt;1 (weaned)";"2020–2023",590,590,590,770,770}, _xlpm.r, _xlpm.c))))</definedName>
    <definedName name="SourceData_Dairy.NIR_2023_Vol2_A5_5_1_3_DairyCattleStandardReferenceWeight_Source">_xlfn.LAMBDA("National Inventory Report 2023 Volume 2: Table A5.5.1.3")</definedName>
    <definedName name="SourceData_Dairy.NIR_2023_Vol2_A5_5_1_3_DairyCattleStandardReferenceWeight_Title">_xlfn.LAMBDA("Table A5.5.1.3 Dairy cattle – Standard reference weights")</definedName>
    <definedName name="SourceData_Dairy.NIR_2023_Vol2_A5_5_1_3_DairyCattleStandardReferenceWeight_Unit">_xlfn.LAMBDA("kg")</definedName>
    <definedName name="SourceData_Dairy.NIR_2023_Vol2_A5_5_1_4_DairyCattleDMDAndCP_Data">_xlfn.LAMBDA(_xlfn.MAKEARRAY(2, 3, _xlfn.LAMBDA(_xlpm.r,_xlpm.c, INDEX({"State","DMD","CP";"All",75,20}, _xlpm.r, _xlpm.c))))</definedName>
    <definedName name="SourceData_Dairy.NIR_2023_Vol2_A5_5_1_4_DairyCattleDMDAndCP_Source">_xlfn.LAMBDA("National Inventory Report 2023 Volume 2: Table A5.5.1.4")</definedName>
    <definedName name="SourceData_Dairy.NIR_2023_Vol2_A5_5_1_4_DairyCattleDMDAndCP_Title">_xlfn.LAMBDA("Table A5.5.1.4 Dairy cattle – Dry matter digestibility and crude protein content of feed intake")</definedName>
    <definedName name="SourceData_Dairy.NIR_2023_Vol2_A5_5_1_4_DairyCattleDMDAndCP_Unit">_xlfn.LAMBDA("per cent")</definedName>
    <definedName name="SourceData_Dairy.NIR_2023_Vol2_A5_5_1_5_DairyCattlePreWeanedData_Data">_xlfn.LAMBDA(_xlfn.MAKEARRAY(3, 6, _xlfn.LAMBDA(_xlpm.r,_xlpm.c, INDEX({"Date range","Class","CH4 production","Volatile solids","Faecal N","Urinary N";"2005+","Heifers&lt;1",0.0176,0.2685,0.0055,0.0082;"All years","Bulls&lt;1",0.0204,0.3003,0.005,0.0042}, _xlpm.r, _xlpm.c))))</definedName>
    <definedName name="SourceData_Dairy.NIR_2023_Vol2_A5_5_1_5_DairyCattlePreWeanedData_Source">_xlfn.LAMBDA("National Inventory Report 2023 Volume 2: Table A5.5.1.5")</definedName>
    <definedName name="SourceData_Dairy.NIR_2023_Vol2_A5_5_1_5_DairyCattlePreWeanedData_Title">_xlfn.LAMBDA("Table A5.5.1.5 Dairy cattle – Data for pre-weaned calves")</definedName>
    <definedName name="SourceData_Dairy.NIR_2023_Vol2_A5_5_1_5_DairyCattlePreWeanedData_Unit">_xlfn.LAMBDA("kg/day")</definedName>
    <definedName name="SourceData_Dairy.NIR_2023_Vol2_A5_5_1_7_DairyCattleMCFsForMMS_Data">_xlfn.LAMBDA(_xlfn.MAKEARRAY(6, 9, _xlfn.LAMBDA(_xlpm.r,_xlpm.c, INDEX({"MMS","ACT","NSW","NT","QLD","SA","TAS","VIC","WA";"Pasture",0.01,0.01,0.02,0.01,0.01,0.01,0.01,0.01;"Anaerobic lagoon",0.72,0.76,0.8,0.78,0.74,0.69,0.73,0.76;"Sump and dispersal systems (b)",0.005,0.005,0.01,0.005,0.005,0.001,0.005,0.005;"Drains to paddocks (c)",0.15,0.18,0.5,0.24,0.17,0.13,0.17,0.18;"Solid Storage",0.02,0.02,0.02,0.02,0.02,0.02,0.02,0.02}, _xlpm.r, _xlpm.c))))</definedName>
    <definedName name="SourceData_Dairy.NIR_2023_Vol2_A5_5_1_7_DairyCattleMCFsForMMS_Source">_xlfn.LAMBDA("National Inventory Report 2023 Volume 2: Table A5.5.1.7")</definedName>
    <definedName name="SourceData_Dairy.NIR_2023_Vol2_A5_5_1_7_DairyCattleMCFsForMMS_Title">_xlfn.LAMBDA("Table A5.5.1.7 Dairy cattle – MCFs")</definedName>
    <definedName name="SourceData_Dairy.NIR_2023_Vol2_A5_5_1_7_DairyCattleMCFsForMMS_Unit">_xlfn.LAMBDA("")</definedName>
    <definedName name="SourceData_Dairy.NIR_2023_Vol2_A5_5_1_9_DairyCattleNO2EFAndFracN_Data">_xlfn.LAMBDA(_xlfn.MAKEARRAY(6, 3, _xlfn.LAMBDA(_xlpm.r,_xlpm.c, INDEX({"MMS","EF (kg N2O-N/kg N excreted)","FracGASMm (kg N2O-N/kg N excreted)";"Void at Pasture",0,0;"Anaerobic lagoon",0,0.35;"Daily Spread – Sump and Dispersal",0,0.07;"Daily Spread – Drains to Paddock",0,0.2;"Solid Storage",0.005,0.3}, _xlpm.r, _xlpm.c))))</definedName>
    <definedName name="SourceData_Dairy.NIR_2023_Vol2_A5_5_1_9_DairyCattleNO2EFAndFracN_Source">_xlfn.LAMBDA("National Inventory Report 2023 Volume 2: Table A5.5.1.9")</definedName>
    <definedName name="SourceData_Dairy.NIR_2023_Vol2_A5_5_1_9_DairyCattleNO2EFAndFracN_Title">_xlfn.LAMBDA("Table A5.5.1.9 Dairy cattle – Nitrous oxide EFs and fraction of N volatilised by MMS")</definedName>
    <definedName name="SourceData_Dairy.NIR_2023_Vol2_A5_5_1_9_DairyCattleNO2EFAndFracN_Unit">_xlfn.LAMBDA("kg N2O-N/kg N excreted")</definedName>
    <definedName name="SourceData_Dairy.SourceData_Dairy_AllocationOfWasteToMMS_Data">_xlfn.LAMBDA(_xlfn.MAKEARRAY(6, 10, _xlfn.LAMBDA(_xlpm.r,_xlpm.c, INDEX({"MMSSymbol","MMS","ACT","NSW","NT","QLD","SA","TAS","VIC","WA";"14","Pasture",78.6,78.6,78.7,78.7,80.5,86.5,83.9,79.9;"1","Anaerobic lagoon",9,9,7.3,7.3,10.4,8.4,10.8,10;"3a","Daily Spread: Sump and dispersal",2,2,3.3,3.3,1.4,2.4,0.9,1.9;"3b","Daily Spread: Drains to paddocks",1.9,1.9,2.4,2.4,0.8,0.8,0.2,0.9;"4","Solid Storage",8.4,8.4,8.4,8.4,6.9,2,4.2,7.4}, _xlpm.r, _xlpm.c))))</definedName>
    <definedName name="SourceData_Dairy.SourceData_Dairy_AllocationOfWasteToMMS_Source">_xlfn.LAMBDA("National Inventory Report 2023 Volume 2 Table A5.5.1.8")</definedName>
    <definedName name="SourceData_Dairy.SourceData_Dairy_AllocationOfWasteToMMS_Title">_xlfn.LAMBDA("Table A5.5.1.8 Dairy cattle – Allocation of waste to MMS – Milking cows (per cent)")</definedName>
    <definedName name="SourceData_Dairy.SourceData_Dairy_AllocationOfWasteToMMS_Unit">_xlfn.LAMBDA("percent")</definedName>
    <definedName name="SourceData_Dairy.SourceData_Dairy_AllocationOfWasteToMMS_Variable">_xlfn.LAMBDA("")</definedName>
    <definedName name="SourceData_Dairy.SourceData_Dairy_AshContent_Data">_xlfn.LAMBDA(0.08)</definedName>
    <definedName name="SourceData_Dairy.SourceData_Dairy_AshContent_Source">_xlfn.LAMBDA("VEERG 2026: 4.3.2.3 CONSTANTS")</definedName>
    <definedName name="SourceData_Dairy.SourceData_Dairy_AshContent_Title">_xlfn.LAMBDA("Ash content of manure")</definedName>
    <definedName name="SourceData_Dairy.SourceData_Dairy_AshContent_Unit">_xlfn.LAMBDA("fraction")</definedName>
    <definedName name="SourceData_Dairy.SourceData_Dairy_AshContent_Variable">_xlfn.LAMBDA("A")</definedName>
    <definedName name="SourceData_Dairy.SourceData_Dairy_AshContent_Variation">_xlfn.LAMBDA("")</definedName>
    <definedName name="SourceData_Dairy.SourceData_Dairy_CrudeProtein_Data">_xlfn.LAMBDA(0.2)</definedName>
    <definedName name="SourceData_Dairy.SourceData_Dairy_CrudeProtein_Source">_xlfn.LAMBDA("VEERG 2026: 4.3.2.2	DATA (METHOD 1 AND 2 OPTIONS)")</definedName>
    <definedName name="SourceData_Dairy.SourceData_Dairy_CrudeProtein_Title">_xlfn.LAMBDA("Crude protein content of feed intake")</definedName>
    <definedName name="SourceData_Dairy.SourceData_Dairy_CrudeProtein_Unit">_xlfn.LAMBDA("fraction")</definedName>
    <definedName name="SourceData_Dairy.SourceData_Dairy_CrudeProtein_Variable">_xlfn.LAMBDA("CP")</definedName>
    <definedName name="SourceData_Dairy.SourceData_Dairy_CrudeProtein_Variation">_xlfn.LAMBDA("")</definedName>
    <definedName name="SourceData_Dairy.SourceData_Dairy_DryMatterDigestibility_Data">_xlfn.LAMBDA(0.75)</definedName>
    <definedName name="SourceData_Dairy.SourceData_Dairy_DryMatterDigestibility_Source">_xlfn.LAMBDA("VEERG 2026: 3.3.2.2	DATA (METHOD 1 AND 2 OPTIONS)")</definedName>
    <definedName name="SourceData_Dairy.SourceData_Dairy_DryMatterDigestibility_Title">_xlfn.LAMBDA("Dry matter digestibility")</definedName>
    <definedName name="SourceData_Dairy.SourceData_Dairy_DryMatterDigestibility_Unit">_xlfn.LAMBDA("fraction")</definedName>
    <definedName name="SourceData_Dairy.SourceData_Dairy_DryMatterDigestibility_Variable">_xlfn.LAMBDA("DMD")</definedName>
    <definedName name="SourceData_Dairy.SourceData_Dairy_DryMatterDigestibility_Variation">_xlfn.LAMBDA("")</definedName>
    <definedName name="SourceData_Dairy.SourceData_Dairy_DurationOfStay_Data">_xlfn.LAMBDA(_xlfn.MAKEARRAY(6, 3, _xlfn.LAMBDA(_xlpm.r,_xlpm.c, INDEX({"Animal class j","Duration (weaned)","Duration (pre-weaned)";"Milking cows",365,0;"Heifers &gt; 1 year",365,0;"Heifers &lt; 1 year",281,84;"Bulls &gt; 1 year",365,0;"Bulls &lt; 1 year",281,84}, _xlpm.r, _xlpm.c))))</definedName>
    <definedName name="SourceData_Dairy.SourceData_Dairy_DurationOfStay_Source">_xlfn.LAMBDA("VEERG 2026: 4.3.2.2	DATA (METHOD 1 AND 2 OPTIONS)")</definedName>
    <definedName name="SourceData_Dairy.SourceData_Dairy_DurationOfStay_Title">_xlfn.LAMBDA("Duration of stay for each dairy cattle input class")</definedName>
    <definedName name="SourceData_Dairy.SourceData_Dairy_DurationOfStay_Unit">_xlfn.LAMBDA("days")</definedName>
    <definedName name="SourceData_Dairy.SourceData_Dairy_DurationOfStay_Variable">_xlfn.LAMBDA("D")</definedName>
    <definedName name="SourceData_Dairy.SourceData_Dairy_DurationOfStay_Variation">_xlfn.LAMBDA("VARIATION OF SOURCE: Converted free text in document to table, matching livestock class names.")</definedName>
    <definedName name="SourceData_Dairy.SourceData_Dairy_EfficiencyOfUseOfMetabolizableEnergy_Data">_xlfn.LAMBDA(0.6)</definedName>
    <definedName name="SourceData_Dairy.SourceData_Dairy_EfficiencyOfUseOfMetabolizableEnergy_Source">_xlfn.LAMBDA("VEERG 2026: 3.3.2.3 CONSTANTS")</definedName>
    <definedName name="SourceData_Dairy.SourceData_Dairy_EfficiencyOfUseOfMetabolizableEnergy_Title">_xlfn.LAMBDA("Efficiency of use of metabolizable energy for milk production")</definedName>
    <definedName name="SourceData_Dairy.SourceData_Dairy_EfficiencyOfUseOfMetabolizableEnergy_Unit">_xlfn.LAMBDA("fraction")</definedName>
    <definedName name="SourceData_Dairy.SourceData_Dairy_EfficiencyOfUseOfMetabolizableEnergy_Variable">_xlfn.LAMBDA("k")</definedName>
    <definedName name="SourceData_Dairy.SourceData_Dairy_EfficiencyOfUseOfMetabolizableEnergy_Variation">_xlfn.LAMBDA("")</definedName>
    <definedName name="SourceData_Dairy.SourceData_Dairy_EFNitrousOxidePerMMS_Data">_xlfn.LAMBDA(_xlfn.MAKEARRAY(6, 3, _xlfn.LAMBDA(_xlpm.r,_xlpm.c, INDEX({"MMS m","EFm","NIR reference";"m=14 Pasture",0,"Pasture range and paddock";"m=1 Anerobic Lagoon",0,"Anaerobic lagoon";"m=2 Daily Spread: Sump and dispersal",0,"Sump and dispersal system";"m=3 Daily Spread: Drains to paddocks",0,"Drains to paddock";"m=4 Solid Storage",0.005,"Solid storage"}, _xlpm.r, _xlpm.c))))</definedName>
    <definedName name="SourceData_Dairy.SourceData_Dairy_EFNitrousOxidePerMMS_Source">_xlfn.LAMBDA("VEERG 2026: Table A.1.3.11")</definedName>
    <definedName name="SourceData_Dairy.SourceData_Dairy_EFNitrousOxidePerMMS_Title">_xlfn.LAMBDA("Table A.1.3.11: Dairy cattle - EF for nitrous oxide per MMS (kg N2O-N/kg N) (EFm)")</definedName>
    <definedName name="SourceData_Dairy.SourceData_Dairy_EFNitrousOxidePerMMS_Unit">_xlfn.LAMBDA("kg N2O-N/kg N")</definedName>
    <definedName name="SourceData_Dairy.SourceData_Dairy_EFNitrousOxidePerMMS_Variable">_xlfn.LAMBDA("EFm")</definedName>
    <definedName name="SourceData_Dairy.SourceData_Dairy_EFNitrousOxidePerMMS_Variation">_xlfn.LAMBDA("VARIATION OF SOURCE: Added 'NIR reference' column to aid lookup")</definedName>
    <definedName name="SourceData_Dairy.SourceData_Dairy_EmissionFactorForLeachingAndRunoff_Data">_xlfn.LAMBDA(0.011)</definedName>
    <definedName name="SourceData_Dairy.SourceData_Dairy_EmissionFactorForLeachingAndRunoff_Source">_xlfn.LAMBDA("VEERG 2026: 4.3.2.3 CONSTANTS")</definedName>
    <definedName name="SourceData_Dairy.SourceData_Dairy_EmissionFactorForLeachingAndRunoff_Title">_xlfn.LAMBDA("Emission factor for leaching and runoff")</definedName>
    <definedName name="SourceData_Dairy.SourceData_Dairy_EmissionFactorForLeachingAndRunoff_Unit">_xlfn.LAMBDA("kg N2O-N/kg N")</definedName>
    <definedName name="SourceData_Dairy.SourceData_Dairy_EmissionFactorForLeachingAndRunoff_Variable">_xlfn.LAMBDA("EF_leach")</definedName>
    <definedName name="SourceData_Dairy.SourceData_Dairy_EmissionFactorForLeachingAndRunoff_Variation">_xlfn.LAMBDA("")</definedName>
    <definedName name="SourceData_Dairy.SourceData_Dairy_FatContentInMilk_Data">_xlfn.LAMBDA(4)</definedName>
    <definedName name="SourceData_Dairy.SourceData_Dairy_FatContentInMilk_Source">_xlfn.LAMBDA("VEERG 2026: 3.3.2.2 DATA (METHOD 1 AND 2 OPTIONS)")</definedName>
    <definedName name="SourceData_Dairy.SourceData_Dairy_FatContentInMilk_Title">_xlfn.LAMBDA("Fat content in fat and protein corrected milk")</definedName>
    <definedName name="SourceData_Dairy.SourceData_Dairy_FatContentInMilk_Unit">_xlfn.LAMBDA("percent")</definedName>
    <definedName name="SourceData_Dairy.SourceData_Dairy_FatContentInMilk_Variable">_xlfn.LAMBDA("FC_j")</definedName>
    <definedName name="SourceData_Dairy.SourceData_Dairy_FatContentInMilk_Variation">_xlfn.LAMBDA("")</definedName>
    <definedName name="SourceData_Dairy.SourceData_Dairy_FracGASMSoil_Data">_xlfn.LAMBDA(0.21)</definedName>
    <definedName name="SourceData_Dairy.SourceData_Dairy_FracGASMSoil_Source">_xlfn.LAMBDA("VEERG 2026: 4.3.2.3 CONSTANTS")</definedName>
    <definedName name="SourceData_Dairy.SourceData_Dairy_FracGASMSoil_Title">_xlfn.LAMBDA("Fraction of nitrogen volatilized from urine and faeces deposited on pasture")</definedName>
    <definedName name="SourceData_Dairy.SourceData_Dairy_FracGASMSoil_Unit">_xlfn.LAMBDA("(kg NH3-N + NOx-N)/kg N")</definedName>
    <definedName name="SourceData_Dairy.SourceData_Dairy_FracGASMSoil_Variable">_xlfn.LAMBDA("FracGASMsoil")</definedName>
    <definedName name="SourceData_Dairy.SourceData_Dairy_FracGASMSoil_Variation">_xlfn.LAMBDA("")</definedName>
    <definedName name="SourceData_Dairy.SourceData_Dairy_FractionOfNitrogenLostThroughLeachingAndRunoff_Data">_xlfn.LAMBDA(0.02)</definedName>
    <definedName name="SourceData_Dairy.SourceData_Dairy_FractionOfNitrogenLostThroughLeachingAndRunoff_Source">_xlfn.LAMBDA("VEERG 2026: 4.3.2.3 CONSTANTS")</definedName>
    <definedName name="SourceData_Dairy.SourceData_Dairy_FractionOfNitrogenLostThroughLeachingAndRunoff_Title">_xlfn.LAMBDA("Fraction of N that is lost through leaching and runoff")</definedName>
    <definedName name="SourceData_Dairy.SourceData_Dairy_FractionOfNitrogenLostThroughLeachingAndRunoff_Unit">_xlfn.LAMBDA("Dimensionless")</definedName>
    <definedName name="SourceData_Dairy.SourceData_Dairy_FractionOfNitrogenLostThroughLeachingAndRunoff_Variable">_xlfn.LAMBDA("Frac_LEACH_MS")</definedName>
    <definedName name="SourceData_Dairy.SourceData_Dairy_FractionOfNitrogenLostThroughLeachingAndRunoff_Variation">_xlfn.LAMBDA("")</definedName>
    <definedName name="SourceData_Dairy.SourceData_Dairy_FractionVolatileSolidsVoidedMMS_Data">_xlfn.LAMBDA(_xlfn.MAKEARRAY(5, 4, _xlfn.LAMBDA(_xlpm.r,_xlpm.c, INDEX({"Area","Pasture","Milking Shed","Feedpad";"System 1: Grazed Only",0.89,0.11,0;"System 2: On feedpad for &lt;10 hr/day for &lt;3 months/year",0.79,0.11,0.1;"System 3: Pasture-grazed 3-9 months/year",0.534,0.11,0.356;"System 4: Zero grazing",0,0.11,0.89}, _xlpm.r, _xlpm.c))))</definedName>
    <definedName name="SourceData_Dairy.SourceData_Dairy_FractionVolatileSolidsVoidedMMS_Source">_xlfn.LAMBDA("VEERG 2026: Table A.1.3.10")</definedName>
    <definedName name="SourceData_Dairy.SourceData_Dairy_FractionVolatileSolidsVoidedMMS_Title">_xlfn.LAMBDA("Table A.1.3.10: Dairy cattle - Fraction of volatile solids voided to each manure management system (fraction) (MMSjm)")</definedName>
    <definedName name="SourceData_Dairy.SourceData_Dairy_FractionVolatileSolidsVoidedMMS_Unit">_xlfn.LAMBDA("fraction")</definedName>
    <definedName name="SourceData_Dairy.SourceData_Dairy_FractionVolatileSolidsVoidedMMS_Variable">_xlfn.LAMBDA("MMSjm")</definedName>
    <definedName name="SourceData_Dairy.SourceData_Dairy_FractionVolatileSolidsVoidedMMS_Variation">_xlfn.LAMBDA("VARIATION OF SOURCE: Excluded 'Annual fraction of time spent per area' row as this information is in the table title.")</definedName>
    <definedName name="SourceData_Dairy.SourceData_Dairy_GrossEnergyContent_Data">_xlfn.LAMBDA(18.4)</definedName>
    <definedName name="SourceData_Dairy.SourceData_Dairy_GrossEnergyContent_Source">_xlfn.LAMBDA("VEERG 2026: 3.3.2.3 CONSTANTS")</definedName>
    <definedName name="SourceData_Dairy.SourceData_Dairy_GrossEnergyContent_Title">_xlfn.LAMBDA("Gross energy content of feed dry matter")</definedName>
    <definedName name="SourceData_Dairy.SourceData_Dairy_GrossEnergyContent_Unit">_xlfn.LAMBDA("MJ / kgDM")</definedName>
    <definedName name="SourceData_Dairy.SourceData_Dairy_GrossEnergyContent_Variable">_xlfn.LAMBDA("GEC")</definedName>
    <definedName name="SourceData_Dairy.SourceData_Dairy_GrossEnergyContent_Variation">_xlfn.LAMBDA("")</definedName>
    <definedName name="SourceData_Dairy.SourceData_Dairy_IncreasedMetabolicRateMilk_Data">_xlfn.LAMBDA(_xlfn.MAKEARRAY(3, 2, _xlfn.LAMBDA(_xlpm.r,_xlpm.c, INDEX({"Animal Class j","MRj";"Milking cows, and house cows",1.1;"All other cattle classes",1}, _xlpm.r, _xlpm.c))))</definedName>
    <definedName name="SourceData_Dairy.SourceData_Dairy_IncreasedMetabolicRateMilk_Source">_xlfn.LAMBDA("VEERG 2026: Table A.1.3.9")</definedName>
    <definedName name="SourceData_Dairy.SourceData_Dairy_IncreasedMetabolicRateMilk_Title">_xlfn.LAMBDA("Table A.1.3.9: Dairy cattle - Increased metabolic rate when producing milk (MRj)")</definedName>
    <definedName name="SourceData_Dairy.SourceData_Dairy_IncreasedMetabolicRateMilk_Unit">_xlfn.LAMBDA("")</definedName>
    <definedName name="SourceData_Dairy.SourceData_Dairy_IncreasedMetabolicRateMilk_Variable">_xlfn.LAMBDA("MRj")</definedName>
    <definedName name="SourceData_Dairy.SourceData_Dairy_IncreasedMetabolicRateMilk_Variation">_xlfn.LAMBDA("")</definedName>
    <definedName name="SourceData_Dairy.SourceData_Dairy_LiveweightBulls_Data">_xlfn.LAMBDA(_xlfn.MAKEARRAY(2, 3, _xlfn.LAMBDA(_xlpm.r,_xlpm.c, INDEX({"Breed","Bulls &gt;1","Bulls &lt;1 (weaned)";"All breeds",600,225}, _xlpm.r, _xlpm.c))))</definedName>
    <definedName name="SourceData_Dairy.SourceData_Dairy_LiveweightBulls_Source">_xlfn.LAMBDA("VEERG 2026: Table A.1.3.2")</definedName>
    <definedName name="SourceData_Dairy.SourceData_Dairy_LiveweightBulls_Title">_xlfn.LAMBDA("Table A.1.3.2: Dairy cattle - Liveweight (kg) - Bulls (Wj)")</definedName>
    <definedName name="SourceData_Dairy.SourceData_Dairy_LiveweightBulls_Unit">_xlfn.LAMBDA("kg")</definedName>
    <definedName name="SourceData_Dairy.SourceData_Dairy_LiveweightBulls_Variable">_xlfn.LAMBDA("Wj")</definedName>
    <definedName name="SourceData_Dairy.SourceData_Dairy_LiveweightBulls_Variation">_xlfn.LAMBDA("")</definedName>
    <definedName name="SourceData_Dairy.SourceData_Dairy_LiveweightCowsAndHeifers_Data">_xlfn.LAMBDA(_xlfn.MAKEARRAY(11, 4, _xlfn.LAMBDA(_xlpm.r,_xlpm.c, INDEX({"Breed","Milking Cows","Heifers &gt;1","Heifers &lt;1 (weaned)";"Medium Friesian",550,380,155;"Large Friesian",600,415,170;"Holstein-Friesian",650,450,185;"Friesian crossbred",500,350,145;"Jersey",400,275,115;"Jersey crossbred",450,315,130;"Ayrshire",540,375,150;"Guernsey",480,335,140;"Brown Swiss",600,415,170;"Illawarra/Aussie Red",550,375,150}, _xlpm.r, _xlpm.c))))</definedName>
    <definedName name="SourceData_Dairy.SourceData_Dairy_LiveweightCowsAndHeifers_Source">_xlfn.LAMBDA("VEERG 2026: Table A.1.3.1")</definedName>
    <definedName name="SourceData_Dairy.SourceData_Dairy_LiveweightCowsAndHeifers_Title">_xlfn.LAMBDA("Table A.1.3.1: Dairy cattle - Liveweight (kg) - Cows and Heifers (Wj)")</definedName>
    <definedName name="SourceData_Dairy.SourceData_Dairy_LiveweightCowsAndHeifers_Unit">_xlfn.LAMBDA("kg")</definedName>
    <definedName name="SourceData_Dairy.SourceData_Dairy_LiveweightCowsAndHeifers_Variable">_xlfn.LAMBDA("Wj")</definedName>
    <definedName name="SourceData_Dairy.SourceData_Dairy_LiveweightCowsAndHeifers_Variation">_xlfn.LAMBDA("VARIATION OF SOURCE: Excluded 'Reference', as the value is consistently 'Dairy Australia [1]' and is not used in calculation.")</definedName>
    <definedName name="SourceData_Dairy.SourceData_Dairy_LiveweightGain_Data">_xlfn.LAMBDA(_xlfn.MAKEARRAY(2, 5, _xlfn.LAMBDA(_xlpm.r,_xlpm.c, INDEX({"Milking Cows","Heifers &gt;1","Heifers &lt;1 (weaned)","Bulls &gt;1","Bulls &lt;1 (weaned)";0.016,0.6,0.57,0.1,0.8}, _xlpm.r, _xlpm.c))))</definedName>
    <definedName name="SourceData_Dairy.SourceData_Dairy_LiveweightGain_Source">_xlfn.LAMBDA("VEERG 2026: Table A.1.3.3")</definedName>
    <definedName name="SourceData_Dairy.SourceData_Dairy_LiveweightGain_Title">_xlfn.LAMBDA("Table A.1.3.3: Dairy cattle - Liveweight gain (kg) (LWGj)")</definedName>
    <definedName name="SourceData_Dairy.SourceData_Dairy_LiveweightGain_Unit">_xlfn.LAMBDA("kg")</definedName>
    <definedName name="SourceData_Dairy.SourceData_Dairy_LiveweightGain_Variable">_xlfn.LAMBDA("LWGj")</definedName>
    <definedName name="SourceData_Dairy.SourceData_Dairy_LiveweightGain_Variation">_xlfn.LAMBDA("")</definedName>
    <definedName name="SourceData_Dairy.SourceData_Dairy_MCF_Data">_xlfn.LAMBDA(_xlfn.MAKEARRAY(7, 10, _xlfn.LAMBDA(_xlpm.r,_xlpm.c, INDEX({"MMS m","ACT","NSW","NT","QLD","SA","TAS","VIC","WA","NIR reference";"Pasture",0.01,0.01,0.02,0.01,0.01,0.01,0.01,0.01,"Pasture range and paddock";"Anaerobic lagoon",0.72,0.76,0.8,0.78,0.74,0.69,0.73,0.76,"Anaerobic lagoon";"Daily spread - Sump and dispersal systems",0.005,0.005,0.01,0.005,0.005,0.001,0.005,0.005,"Sump and dispersal system";"Daily spread - Drains to paddocks (a)",0.15,0.18,0.5,0.24,0.17,0.13,0.17,0.18,"Drains to paddock";"Solid Storage",0.02,0.02,0.02,0.02,0.02,0.02,0.02,0.02,"Solid storage";"Direct Application to soil",0,0,0,0,0,0,0,0,"Direct application"}, _xlpm.r, _xlpm.c))))</definedName>
    <definedName name="SourceData_Dairy.SourceData_Dairy_MCF_Source">_xlfn.LAMBDA("VEERG 2026: Table A.1.3.6")</definedName>
    <definedName name="SourceData_Dairy.SourceData_Dairy_MCF_Title">_xlfn.LAMBDA("Table A.1.3.6: Dairy cattle - Dairy cattle - MCFs (fraction) (MCFjm)")</definedName>
    <definedName name="SourceData_Dairy.SourceData_Dairy_MCF_Unit">_xlfn.LAMBDA("fraction")</definedName>
    <definedName name="SourceData_Dairy.SourceData_Dairy_MCF_Variable">_xlfn.LAMBDA("MCFjm")</definedName>
    <definedName name="SourceData_Dairy.SourceData_Dairy_MCF_Variation">_xlfn.LAMBDA("VARIATION OF SOURCE: Added 'NIR reference' column to aid lookup")</definedName>
    <definedName name="SourceData_Dairy.SourceData_Dairy_MethaneEmissionsPotential_Data">_xlfn.LAMBDA(0.24)</definedName>
    <definedName name="SourceData_Dairy.SourceData_Dairy_MethaneEmissionsPotential_Source">_xlfn.LAMBDA("VEERG 2026: 4.3.2.3 CONSTANTS")</definedName>
    <definedName name="SourceData_Dairy.SourceData_Dairy_MethaneEmissionsPotential_Title">_xlfn.LAMBDA("Methane emissions potential")</definedName>
    <definedName name="SourceData_Dairy.SourceData_Dairy_MethaneEmissionsPotential_Unit">_xlfn.LAMBDA("m3 CH4/kgVS")</definedName>
    <definedName name="SourceData_Dairy.SourceData_Dairy_MethaneEmissionsPotential_Variable">_xlfn.LAMBDA("B_o")</definedName>
    <definedName name="SourceData_Dairy.SourceData_Dairy_MethaneEmissionsPotential_Variation">_xlfn.LAMBDA("")</definedName>
    <definedName name="SourceData_Dairy.SourceData_Dairy_MethaneProductionPreWeanedCalves_Data">_xlfn.LAMBDA(_xlfn.MAKEARRAY(3, 2, _xlfn.LAMBDA(_xlpm.r,_xlpm.c, INDEX({"Animal Class j","MPWENTERIC";"Heifers &lt; 1 year",0.0176;"Bulls &lt; 1 year",0.0204}, _xlpm.r, _xlpm.c))))</definedName>
    <definedName name="SourceData_Dairy.SourceData_Dairy_MethaneProductionPreWeanedCalves_Source">_xlfn.LAMBDA("VEERG 2026: Table A.1.3.8")</definedName>
    <definedName name="SourceData_Dairy.SourceData_Dairy_MethaneProductionPreWeanedCalves_Title">_xlfn.LAMBDA("Table A.1.3.8: Dairy cattle - Methane production for pre-weaned heifer and bull calves (kg CH4/head/day) (MPWENTERIC,j=3,5)")</definedName>
    <definedName name="SourceData_Dairy.SourceData_Dairy_MethaneProductionPreWeanedCalves_Unit">_xlfn.LAMBDA("kg CH4/head/day")</definedName>
    <definedName name="SourceData_Dairy.SourceData_Dairy_MethaneProductionPreWeanedCalves_Variable">_xlfn.LAMBDA("MPWENTERIC,j=3,5")</definedName>
    <definedName name="SourceData_Dairy.SourceData_Dairy_MethaneProductionPreWeanedCalves_Variation">_xlfn.LAMBDA("")</definedName>
    <definedName name="SourceData_Dairy.SourceData_Dairy_NetEnergy_Data">_xlfn.LAMBDA(3.054)</definedName>
    <definedName name="SourceData_Dairy.SourceData_Dairy_NetEnergy_Source">_xlfn.LAMBDA("VEERG 2026: 3.3.2.3 CONSTANTS")</definedName>
    <definedName name="SourceData_Dairy.SourceData_Dairy_NetEnergy_Title">_xlfn.LAMBDA("Net energy required for milk production")</definedName>
    <definedName name="SourceData_Dairy.SourceData_Dairy_NetEnergy_Unit">_xlfn.LAMBDA("MJ net energy / kg milk")</definedName>
    <definedName name="SourceData_Dairy.SourceData_Dairy_NetEnergy_Variable">_xlfn.LAMBDA("NE")</definedName>
    <definedName name="SourceData_Dairy.SourceData_Dairy_NetEnergy_Variation">_xlfn.LAMBDA("")</definedName>
    <definedName name="SourceData_Dairy.SourceData_Dairy_NitrousOxideEFsAndFracGASM_Data">_xlfn.LAMBDA(_xlfn.MAKEARRAY(6, 4, _xlfn.LAMBDA(_xlpm.r,_xlpm.c, INDEX({"MMS m","EFm (kg N2O-N/kg N excreted)","FracGASMm (kg N2O-N/kg N excreted)","NIR reference";"M=14 Pasture",0,0,"Pasture range and paddock";"M=1 Anaerobic lagoon",0,0.35,"Anaerobic lagoon";"M=2 Daily Spread - Sump and Dispersal",0,0.07,"Sump and dispersal system";"M=3 Daily Spread - Drains to Paddock",0,0.2,"Drains to paddock";"M=3 Solid Storage",0.005,0.3,"Solid storage"}, _xlpm.r, _xlpm.c))))</definedName>
    <definedName name="SourceData_Dairy.SourceData_Dairy_NitrousOxideEFsAndFracGASM_Source">_xlfn.LAMBDA("VEERG 2026: Table A.1.3.7")</definedName>
    <definedName name="SourceData_Dairy.SourceData_Dairy_NitrousOxideEFsAndFracGASM_Title">_xlfn.LAMBDA("Table A.1.3.7: Dairy cattle - Nitrous oxide EFs and fraction of N volatilised by MMS")</definedName>
    <definedName name="SourceData_Dairy.SourceData_Dairy_NitrousOxideEFsAndFracGASM_Unit">_xlfn.LAMBDA("kg N2O-N/kg N excreted")</definedName>
    <definedName name="SourceData_Dairy.SourceData_Dairy_NitrousOxideEFsAndFracGASM_Variable">_xlfn.LAMBDA("EFm; FracGASMm")</definedName>
    <definedName name="SourceData_Dairy.SourceData_Dairy_NitrousOxideEFsAndFracGASM_Variation">_xlfn.LAMBDA("VARIATION OF SOURCE: Added 'NIR reference' column to aid lookup")</definedName>
    <definedName name="SourceData_Dairy.SourceData_Dairy_PreWeanedCalves_Data">_xlfn.LAMBDA(_xlfn.MAKEARRAY(4, 4, _xlfn.LAMBDA(_xlpm.r,_xlpm.c, INDEX({"Animal class j","CH4 production","Volatile solids (VSj=3,5)","Nitrogen Excreted (NPWj=3,5)";"","(kg/day)","(kg/day)","(kg/day)";"Heifers&lt;1",0.0176,0.2685,0.0137;"Bulls&lt;1",0.0204,0.3003,0.0092}, _xlpm.r, _xlpm.c))))</definedName>
    <definedName name="SourceData_Dairy.SourceData_Dairy_PreWeanedCalves_Source">_xlfn.LAMBDA("VEERG 2026: Table A.1.3.5")</definedName>
    <definedName name="SourceData_Dairy.SourceData_Dairy_PreWeanedCalves_Title">_xlfn.LAMBDA("Table A.1.3.5: Dairy cattle - Data for pre - weaned calves")</definedName>
    <definedName name="SourceData_Dairy.SourceData_Dairy_PreWeanedCalves_Unit">_xlfn.LAMBDA("kg/day")</definedName>
    <definedName name="SourceData_Dairy.SourceData_Dairy_PreWeanedCalves_Variable">_xlfn.LAMBDA("VSj=3,5; NPWj=3,5")</definedName>
    <definedName name="SourceData_Dairy.SourceData_Dairy_PreWeanedCalves_Variation">_xlfn.LAMBDA("VARIATION OF SOURCE: Added 'Animal class j' column header")</definedName>
    <definedName name="SourceData_Dairy.SourceData_Dairy_ProteinContentInMilk_Data">_xlfn.LAMBDA(3.3)</definedName>
    <definedName name="SourceData_Dairy.SourceData_Dairy_ProteinContentInMilk_Source">_xlfn.LAMBDA("VEERG 2026: 3.3.2.2 DATA (METHOD 1 AND 2 OPTIONS)")</definedName>
    <definedName name="SourceData_Dairy.SourceData_Dairy_ProteinContentInMilk_Title">_xlfn.LAMBDA("Protein content in fat and protein corrected milk")</definedName>
    <definedName name="SourceData_Dairy.SourceData_Dairy_ProteinContentInMilk_Unit">_xlfn.LAMBDA("percent")</definedName>
    <definedName name="SourceData_Dairy.SourceData_Dairy_ProteinContentInMilk_Variable">_xlfn.LAMBDA("PC_j")</definedName>
    <definedName name="SourceData_Dairy.SourceData_Dairy_ProteinContentInMilk_Variation">_xlfn.LAMBDA("")</definedName>
    <definedName name="SourceData_Dairy.SourceData_Dairy_ReferenceWeights_Data">_xlfn.LAMBDA(_xlfn.MAKEARRAY(2, 5, _xlfn.LAMBDA(_xlpm.r,_xlpm.c, INDEX({"Milking Cows","Heifers &gt;1","Heifers &lt;1 (weaned)","Bulls &gt;1","Bulls &lt;1 (weaned)";590,590,590,770,770}, _xlpm.r, _xlpm.c))))</definedName>
    <definedName name="SourceData_Dairy.SourceData_Dairy_ReferenceWeights_Source">_xlfn.LAMBDA("VEERG 2026: Table A.1.3.4")</definedName>
    <definedName name="SourceData_Dairy.SourceData_Dairy_ReferenceWeights_Title">_xlfn.LAMBDA("Table A.1.3.4: Dairy cattle - Reference weights (kg) (WRj)")</definedName>
    <definedName name="SourceData_Dairy.SourceData_Dairy_ReferenceWeights_Unit">_xlfn.LAMBDA("kg")</definedName>
    <definedName name="SourceData_Dairy.SourceData_Dairy_ReferenceWeights_Variable">_xlfn.LAMBDA("WRj")</definedName>
    <definedName name="SourceData_Dairy.SourceData_Dairy_ReferenceWeights_Variation">_xlfn.LAMBDA("")</definedName>
    <definedName name="SourceData_Dairy.SourceData_Dairy_Symbols_Livestock_Dairy_DairyCattleClasses_Data">_xlfn.LAMBDA(_xlfn.MAKEARRAY(6, 3, _xlfn.LAMBDA(_xlpm.r,_xlpm.c, INDEX({"Symbol","State/ territory (i)","";1,"Milking cows","Milking cows (1)";2,"Heifers &gt; 1 year","Heifers &gt; 1 year (2)";3,"Heifers &lt; 1 year","Heifers &lt; 1 year (3)";4,"Bulls &gt; 1 year","Bulls &gt; 1 year (4)";5,"Bulls &lt; 1 year","Bulls &lt; 1 year (5)"}, _xlpm.r, _xlpm.c))))</definedName>
    <definedName name="SourceData_Dairy.SourceData_Dairy_Symbols_Livestock_Dairy_DairyCattleClasses_Source">_xlfn.LAMBDA("National Inventory Report 2023 Volume 1")</definedName>
    <definedName name="SourceData_Dairy.SourceData_Dairy_Symbols_Livestock_Dairy_DairyCattleClasses_Title">_xlfn.LAMBDA("Table 5.2 Symbols used in algorithms for dairy cattle - Dairy cattle classes (j)")</definedName>
    <definedName name="SourceData_Dairy.SourceData_Dairy_Symbols_Livestock_Dairy_DairyCattleClasses_Unit">_xlfn.LAMBDA("")</definedName>
    <definedName name="SourceData_Dairy.SourceData_Dairy_Symbols_Livestock_Dairy_DairyCattleClasses_Variable">_xlfn.LAMBDA("j")</definedName>
    <definedName name="SourceData_Dairy.SourceData_Dairy_Symbols_Livestock_Dairy_StateTerritory_Data">_xlfn.LAMBDA(_xlfn.MAKEARRAY(9, 2, _xlfn.LAMBDA(_xlpm.r,_xlpm.c, INDEX({"Symbol","State/ territory (i)";1,"ACT";2,"Northern Territory";3,"NSW";4,"Queensland";5,"Tasmania";6,"South Australia";7,"Victoria";8,"Western Australia"}, _xlpm.r, _xlpm.c))))</definedName>
    <definedName name="SourceData_Dairy.SourceData_Dairy_Symbols_Livestock_Dairy_StateTerritory_Source">_xlfn.LAMBDA("National Inventory Report 2023 Volume 1")</definedName>
    <definedName name="SourceData_Dairy.SourceData_Dairy_Symbols_Livestock_Dairy_StateTerritory_Title">_xlfn.LAMBDA("Table 5.2 Symbols used in algorithms for dairy cattle - State/Territory (i)")</definedName>
    <definedName name="SourceData_Dairy.SourceData_Dairy_Symbols_Livestock_Dairy_StateTerritory_Unit">_xlfn.LAMBDA("")</definedName>
    <definedName name="SourceData_Dairy.SourceData_Dairy_Symbols_Livestock_Dairy_StateTerritory_Variable">_xlfn.LAMBDA("s")</definedName>
    <definedName name="SourceData_Feedlot.SourceData_Feedlot_AshContent_Data">_xlfn.LAMBDA(0.16)</definedName>
    <definedName name="SourceData_Feedlot.SourceData_Feedlot_AshContent_Source">_xlfn.LAMBDA("VEERG 2026: 4.1.2.3 CONSTANTS")</definedName>
    <definedName name="SourceData_Feedlot.SourceData_Feedlot_AshContent_Title">_xlfn.LAMBDA("Ash content of manure.")</definedName>
    <definedName name="SourceData_Feedlot.SourceData_Feedlot_AshContent_Unit">_xlfn.LAMBDA("Fraction")</definedName>
    <definedName name="SourceData_Feedlot.SourceData_Feedlot_AshContent_Variable">_xlfn.LAMBDA("A")</definedName>
    <definedName name="SourceData_Feedlot.SourceData_Feedlot_AshContent_Variation">_xlfn.LAMBDA("")</definedName>
    <definedName name="SourceData_Feedlot.SourceData_Feedlot_MCF_Data">_xlfn.LAMBDA(_xlfn.MAKEARRAY(6, 11, _xlfn.LAMBDA(_xlpm.r,_xlpm.c, INDEX({"Treatment stage T","MMS m","NSW","ACT","QLD","NT","SA","VIC","WA","TAS","NIR definition";"Primary","Dry lot (Feedpad)",0.01,0.01,0.03,"No data",0.01,0.01,0.01,"No data","Drylot (feed pad)";"Secondary","Solid Storage (Stockpile)",0.02,0.02,0.02,"No data",0.02,0.02,0.02,"No data","Solid storage";"Secondary","Composting (Passive Windrow)",0.01,0.01,0.01,"No data",0.01,0.01,0.01,"No data","Composting (passive windrow)";"Secondary","Direct Application to soil",0,0,0,"No data",0,0,0,"No data","Direct application";"Tertiary","Uncovered anaerobic lagoon (Effluent pond)",0.75,0.75,0.77,"No data",0.75,0.75,0.77,"No data","Anaerobic lagoon"}, _xlpm.r, _xlpm.c))))</definedName>
    <definedName name="SourceData_Feedlot.SourceData_Feedlot_MCF_Source">_xlfn.LAMBDA("VEERG 2026: Table A.1.7.4: Feedlot - MCFs")</definedName>
    <definedName name="SourceData_Feedlot.SourceData_Feedlot_MCF_Title">_xlfn.LAMBDA("Feedlot - MCFs")</definedName>
    <definedName name="SourceData_Feedlot.SourceData_Feedlot_MCF_Unit">_xlfn.LAMBDA("")</definedName>
    <definedName name="SourceData_Feedlot.SourceData_Feedlot_MCF_Variation">_xlfn.LAMBDA(_xlfn.MAKEARRAY(4, 1, _xlfn.LAMBDA(_xlpm.r,_xlpm.c, INDEX({"VARIATION ON SOURCE:";"Duplicated NSW values for ACT";"Added NT and TAS columns with 'no data' values";"Added 'NIR definition' column with MMS names that match NIR definitions."}, _xlpm.r, _xlpm.c))))</definedName>
    <definedName name="SourceData_Feedlot.SourceData_Feedlot_MethaneEmissionsPotential_Data">_xlfn.LAMBDA(0.19)</definedName>
    <definedName name="SourceData_Feedlot.SourceData_Feedlot_MethaneEmissionsPotential_Source">_xlfn.LAMBDA("VEERG 2026: 4.1.2.3 CONSTANTS")</definedName>
    <definedName name="SourceData_Feedlot.SourceData_Feedlot_MethaneEmissionsPotential_Title">_xlfn.LAMBDA("Methane emissions potential.")</definedName>
    <definedName name="SourceData_Feedlot.SourceData_Feedlot_MethaneEmissionsPotential_Unit">_xlfn.LAMBDA("m3 CH4 / kg VS")</definedName>
    <definedName name="SourceData_Feedlot.SourceData_Feedlot_MethaneEmissionsPotential_Variable">_xlfn.LAMBDA("B0")</definedName>
    <definedName name="SourceData_Feedlot.SourceData_Feedlot_MethaneEmissionsPotential_Variation">_xlfn.LAMBDA("")</definedName>
    <definedName name="SourceData_Feedlot.SourceData_Feedlot_MMSm1T3_Data">_xlfn.LAMBDA(0.02)</definedName>
    <definedName name="SourceData_Feedlot.SourceData_Feedlot_MMSm1T3_Source">_xlfn.LAMBDA("VEERG 2026: 4.1.2.3 CONSTANTS")</definedName>
    <definedName name="SourceData_Feedlot.SourceData_Feedlot_MMSm1T3_Title">_xlfn.LAMBDA("Fraction of volatile solids to each tertiary system assumed that 2 per cent is run - off from the feed pad.")</definedName>
    <definedName name="SourceData_Feedlot.SourceData_Feedlot_MMSm1T3_Unit">_xlfn.LAMBDA("Fraction")</definedName>
    <definedName name="SourceData_Feedlot.SourceData_Feedlot_MMSm1T3_Variable">_xlfn.LAMBDA("MMSm1T3")</definedName>
    <definedName name="SourceData_Feedlot.SourceData_Feedlot_MMSm1T3_Variation">_xlfn.LAMBDA("")</definedName>
    <definedName name="SourceData_Feedlot.SourceData_Feedlot_VSL_Data">_xlfn.LAMBDA(0.5)</definedName>
    <definedName name="SourceData_Feedlot.SourceData_Feedlot_VSL_Source">_xlfn.LAMBDA("VEERG 2026: 4.1.2.3 CONSTANTS")</definedName>
    <definedName name="SourceData_Feedlot.SourceData_Feedlot_VSL_Title">_xlfn.LAMBDA("Feedlot - Fraction of volatile solids lost during storage in the primary system")</definedName>
    <definedName name="SourceData_Feedlot.SourceData_Feedlot_VSL_Unit">_xlfn.LAMBDA("Fraction")</definedName>
    <definedName name="SourceData_Feedlot.SourceData_Feedlot_VSL_Variable">_xlfn.LAMBDA("VSL")</definedName>
    <definedName name="SourceData_Feedlot.SourceData_Feedlot_VSL_Variation">_xlfn.LAMBDA("")</definedName>
    <definedName name="SourceData_PastureBeef.NIR_2023_Vol2_A5_5_2_1_PastureBeef_Liveweight_Data">_xlfn.LAMBDA(_xlfn.MAKEARRAY(61, 15, _xlfn.LAMBDA(_xlpm.r,_xlpm.c, INDEX({"State","Region","Season","Bulls &lt; 1","Bulls &gt; 1","Cows &lt; 1","Cows 1-2","Cows &gt; 2","Cows 2-3","Cows &gt; 3","Steers &lt; 1","Steers &gt; 1","Steers 1-2","Steers 2-3","Steers &gt; 3";"ACT","","Spring",80,480,75,300,440,"","",75,380,"","","";"ACT","","Summer",170,520,160,360,470,"","",160,420,"","","";"ACT","","Autumn",240,550,220,390,490,"","",220,450,"","","";"ACT","","Winter",280,560,260,410,500,"","",260,460,"","","";"NSW","","Spring",80,480,75,300,440,"","",75,380,"","","";"NSW","","Summer",170,520,160,360,470,"","",160,420,"","","";"NSW","","Autumn",240,550,220,390,490,"","",220,450,"","","";"NSW","","Winter",280,560,260,410,500,"","",260,460,"","","";"SA","","Spring",250,800,220,400,500,"","",230,420,"","","";"SA","","Summer",320,800,280,420,500,"","",290,420,"","","";"SA","","Autumn",80,700,70,300,450,"","",75,400,"","","";"SA","","Winter",160,700,140,350,450,"","",150,400,"","","";"TAS","","Spring",105,700,85,300,490,"","",90,480,"","","";"TAS","","Summer",480,750,150,350,530,"","",160,460,"","","";"TAS","","Autumn",250,725,200,360,500,"","",215,490,"","","";"TAS","","Winter",260,700,210,380,460,"","",230,470,"","","";"VIC","","Spring",250,820,240,410,560,"","",240,510,"","","";"VIC","","Summer",280,850,260,440,550,"","",270,520,"","","";"VIC","","Autumn",100,700,95,300,450,"","",95,410,"","","";"VIC","","Winter",150,720,140,320,470,"","",140,440,"","","";"WA","South West","Spring",340,800,260,420,550,"","",300,480,"","","";"WA","South West","Summer",380,780,300,450,530,"","",340,470,"","","";"WA","South West","Autumn",100,680,80,320,480,"","",100,340,"","","";"WA","South West","Winter",190,700,150,330,490,"","",170,360,"","","";"WA","Pilbara","Spring",80,450,70,260,340,"","",80,370,"","","";"WA","Pilbara","Summer",150,500,140,310,360,"","",150,400,"","","";"WA","Pilbara","Autumn",230,550,220,330,380,"","",230,420,"","","";"WA","Pilbara","Winter",250,500,240,340,360,"","",250,390,"","","";"WA","Kimberley","Spring:",220,500,180,300,320,"","",210,340,"","","";"WA","Kimberley","Summer:",110,550,90,220,380,"","",100,390,"","","";"WA","Kimberley","Autumn:",170,600,140,270,390,"","",160,430,"","","";"WA","Kimberley","Winter:",200,550,150,280,350,"","",190,400,"","","";"NT","Alice Springs","Spring",220,706,208,323,"",415,467,223,"",371,493,585;"NT","Alice Springs","Summer",110,703,112,256,"",368,465,108,"",280,421,543;"NT","Alice Springs","Autumn",170,721,169,306,"",392,464,176,"",339,470,580;"NT","Alice Springs","Winter",200,727,211,338,"",432,492,222,"",377,498,590;"NT","Barkly","Spring",220,620,227,319,"",398,452,216,"",334,0,0;"NT","Barkly","Summer",110,650,108,262,"",346,430,111,"",236,0,0;"NT","Barkly","Autumn",170,670,170,266,"",363,444,169,"",282,0,0;"NT","Barkly","Winter",200,660,225,307,"",398,452,214,"",326,0,0;"NT","Northern","Spring",220,620,177,267,"",365,406,231,"",249,324,0;"NT","Northern","Summer",110,650,102,203,"",299,380,102,"",218,263,0;"NT","Northern","Autumn",170,670,173,250,"",336,414,175,"",243,304,0;"NT","Northern","Winter",200,660,202,272,"",365,390,208,"",260,337,0;"QLD","High","Spring",260,705,215,302,"",416,519,234,"",455,551,660;"QLD","High","Summer",153,703,118,277,"",397,483,111,"",304,521,547;"QLD","High","Autumn",168,718,191,319,"",440,506,188,"",326,520,582;"QLD","High","Winter",235,722,207,352,"",470,514,209,"",421,512,605;"QLD","Moderate/High","Spring",230,674,217,"",344,357,467,242,"",370,550,620;"QLD","Moderate/High","Summer",113,669,113,"",283,361,477,120,"",273,545,553;"QLD","Moderate/High","Autumn",172,685,172,"",309,376,471,238,"",329,573,620;"QLD","Moderate/High","Winter",241,692,208,"",344,364,484,260,"",350,567,620;"QLD","Moderate/Low","Spring",236,674,178,"",310,428,466,193,"",370,519,565;"QLD","Moderate/Low","Summer",120,669,112,"",250,390,448,115,"",273,433,556;"QLD","Moderate/Low","Autumn",125,685,140,"",277,407,455,141,"",296,445,593;"QLD","Moderate/Low","Winter",180,692,183,"",316,438,468,189,"",354,500,553;"QLD","Low","Spring",190,617,174,"",265,371,415,170,"",272,392,531;"QLD","Low","Summer",119,591,140,"",205,310,405,133,"",218,315,445;"QLD","Low","Autumn",175,610,163,"",232,351,427,146,"",242,320,471;"QLD","Low","Winter",192,615,162,"",255,364,420,157,"",261,342,484}, _xlpm.r, _xlpm.c))))</definedName>
    <definedName name="SourceData_PastureBeef.NIR_2023_Vol2_A5_5_2_1_PastureBeef_Liveweight_Source">_xlfn.LAMBDA("National Inventory Report 2023 Volume 2 - Table A5.5.2.1")</definedName>
    <definedName name="SourceData_PastureBeef.NIR_2023_Vol2_A5_5_2_1_PastureBeef_Liveweight_Title">_xlfn.LAMBDA("Beef cattle - Liveweight")</definedName>
    <definedName name="SourceData_PastureBeef.NIR_2023_Vol2_A5_5_2_1_PastureBeef_Liveweight_Unit">_xlfn.LAMBDA("kg/head/day")</definedName>
    <definedName name="SourceData_PastureBeef.NIR_2023_Vol2_A5_5_2_1_PastureBeef_Liveweight_Variation">_xlfn.LAMBDA("")</definedName>
    <definedName name="SourceData_PastureBeef.NIR_2023_Vol2_A5_5_2_2_PastureBeef_LiveweightGain_Data">_xlfn.LAMBDA(_xlfn.MAKEARRAY(61, 15, _xlfn.LAMBDA(_xlpm.r,_xlpm.c, INDEX({"State","Region","Season","Bulls &lt; 1","Bulls &gt; 1","Cows &lt; 1","Cows 1-2","Cows &gt; 2","Cows 2-3","Cows &gt; 3","Steers &lt; 1","Steers &gt; 1","Steers 1-2","Steers 2-3","Steers &gt; 3";"ACT","","Spring",0.5,0.2,0.5,0.4,0.3,"","",0.5,0.4,"","","";"ACT","","Summer",1,0.4,0.9,0.7,0.3,"","",0.9,0.4,"","","";"ACT","","Autumn",0.8,0.3,0.7,0.3,0.2,"","",0.7,0.3,"","","";"ACT","","Winter",0.4,0.1,0.4,0.2,0.1,"","",0.4,0.1,"","","";"NSW","","Spring",0.5,0.2,0.5,0.4,0.3,"","",0.5,0.4,"","","";"NSW","","Summer",1,0.4,0.9,0.7,0.3,"","",0.9,0.4,"","","";"NSW","","Autumn",0.8,0.3,0.7,0.3,0.2,"","",0.7,0.3,"","","";"NSW","","Winter",0.4,0.1,0.4,0.2,0.1,"","",0.4,0.1,"","","";"SA","","Spring",0.99,1.1,0.88,0.55,0.55,"","",0.88,0.22,"","","";"SA","","Summer",0.77,0,0.66,0.22,0,"","",0.66,0,"","","";"SA","","Autumn",0.9,-1.1,0.7,0.22,-0.55,"","",0.8,-0.22,"","","";"SA","","Winter",0.88,0,0.77,0.55,0,"","",0.82,0,"","","";"TAS","","Spring",1,0.5,1,1,-0.44,"","",1,0.5,"","","";"TAS","","Summer",0.82,0.55,0.71,0.55,0.99,"","",0.77,0.5,"","","";"TAS","","Autumn",0.77,0.5,0.55,0.11,-0.33,"","",0.6,0.33,"","","";"TAS","","Winter",0.11,-0.27,0.11,0.22,-0.44,"","",0.16,-0.22,"","","";"VIC","","Spring",1.1,1.1,1.1,0.99,0.99,"","",1.1,0.77,"","","";"VIC","","Summer",0.33,0.33,0.22,0.33,-0.1,"","",0.33,0.11,"","","";"VIC","","Autumn",0.5,0.2,0.55,0.44,0.2,"","",0.55,0.2,"","","";"VIC","","Winter",0.55,0.22,0.49,0.22,0.22,"","",0.49,0.33,"","","";"WA","South West","Spring",1.64,1.1,1.21,0.99,0.66,"","",1.42,1.1,"","","";"WA","South West","Summer",0.44,-0.22,0.44,0.33,-0.22,"","",0.44,-0.11,"","","";"WA","South West","Autumn",0.6,0,0.6,0.22,-0.55,"","",0.6,0,"","","";"WA","South West","Winter",0.99,0.22,0.77,0.11,0.11,"","",0.77,0.44,"","","";"WA","Pilbara","Spring",0.7,-0.55,0.7,0.22,-0.22,"","",0.7,-0.22,"","","";"WA","Pilbara","Summer",0.77,0.55,0.77,0.66,0.55,"","",0.77,0.33,"","","";"WA","Pilbara","Autumn",0.88,0.55,0.88,0.22,0.22,"","",0.88,0.22,"","","";"WA","Pilbara","Winter",0.22,-0.55,0.22,0.11,-0.22,"","",0.22,-0.33,"","","";"WA","Kimberley","Spring",0.22,-0.55,0.33,0.22,-0.33,"","",0.22,-0.55,"","","";"WA","Kimberley","Summer",0.8,0.55,0.7,0.44,0.66,"","",0.8,0.55,"","","";"WA","Kimberley","Autumn",0.66,0.55,0.55,0.55,0.11,"","",0.66,0.55,"","","";"WA","Kimberley","Winter",0.33,-0.55,0.11,0.11,-0.44,"","",0.33,-0.55,"","","";"NT","Alice Springs","Spring",0.22,-0.23,0.25,0.17,"",0.18,-0.28,0.32,"",0.24,0.25,-0.05;"NT","Alice Springs","Summer",0.66,0.2,0.62,0.54,"",0.38,0.27,0.75,"",0.64,0.55,0.48;"NT","Alice Springs","Autumn",0.49,0.13,0.54,0.45,"",0.35,0.15,0.63,"",0.54,0.42,0.26;"NT","Alice Springs","Winter",0.27,-0.8,0.22,0.09,"",0.12,0.02,0.25,"",0.18,0.12,0.03;"NT","Barkly","Spring",0.22,-0.44,0.2,0.21,"",0.18,0.01,0.12,"",0.09,0,0;"NT","Barkly","Summer",0.66,0.22,0.68,0.22,"",0.24,0.25,0.64,"",0.37,0,0;"NT","Barkly","Autumn",0.49,0.05,0.64,0.25,"",0.29,0.12,0.57,"",0.49,0,0;"NT","Barkly","Winter",0.27,-0.27,0.31,0.29,"",0.19,0.04,0.26,"",0.28,0,0;"NT","Northern","Spring",0.22,-0.44,0,0.15,"",0.08,0.17,0.06,"",0.02,-0.14,0;"NT","Northern","Summer",0.66,0.22,0.79,0.4,"",0.38,0.27,0.8,"",0.16,0.3,0;"NT","Northern","Autumn",0.49,0.05,0.55,0.38,"",0.36,0.06,0.58,"",0.23,0.4,0;"NT","Northern","Winter",0.27,-0.27,0.02,0.09,"",0.16,-0.04,0.21,"",0.03,0.11,0;"QLD","High","Spring",0.27,-0.19,0.38,0.25,"",0.07,0.05,0.52,"",0.55,0.19,0.6;"QLD","High","Summer",0.16,0.16,0.8,0.57,"",0.76,0.49,0.84,"",0.51,0.36,0.17;"QLD","High","Autumn",0.45,0.1,0.49,0.41,"",0.4,0.17,0.54,"",0.64,-0.05,0.32;"QLD","High","Winter",0.51,-0.07,0.13,-0.09,"",-0.13,0.07,0.25,"",0.71,0.17,0.43;"QLD","Moderate/High","Spring",-0.12,-0.19,0.41,0.09,"",0.41,-0.19,0.07,"",1.07,-0.08,0;"QLD","Moderate/High","Summer",0.65,0.19,0.65,0.51,"",0.18,0.63,1.3,"",0.48,1.12,0.38;"QLD","Moderate/High","Autumn",0.7,0.13,0.52,0.34,"",0.02,0.04,0.77,"",0.42,0.12,0.74;"QLD","Moderate/High","Winter",0.32,-0.06,0.25,0.19,"",-0.1,-0.02,0.02,"",0.23,-0.13,0;"QLD","Moderate/Low","Spring",0.62,-0.19,0.37,0.41,"",0.06,-0.02,0.47,"",0.44,0.3,0.13;"QLD","Moderate/Low","Summer",0.05,0.19,0.31,0.54,"",0.53,0.15,0.28,"",0.57,0.42,0.4;"QLD","Moderate/Low","Autumn",0.33,0.13,0.39,0.36,"",0.26,0.11,0.4,"",0.44,0.37,-0.01;"QLD","Moderate/Low","Winter",0.61,-0.06,0.21,0.18,"",0.12,0.06,0.29,"",0.41,0.41,-0.15;"QLD","Low","Spring",-0.2,0.02,0.24,0.3,"",0.23,-0.05,0.34,"",0.3,0.57,0.52;"QLD","Low","Summer",0.62,0.21,0.25,0.32,"",0.47,0.31,0.14,"",0.4,0.26,0.43;"QLD","Low","Autumn",0.4,0.13,0.12,0.27,"",0.3,0.08,0.13,"",0.24,0.15,0.21;"QLD","Low","Winter",0.08,0.04,0.06,0.18,"",0.11,-0.07,0.13,"",0.16,0.4,0.33}, _xlpm.r, _xlpm.c))))</definedName>
    <definedName name="SourceData_PastureBeef.NIR_2023_Vol2_A5_5_2_2_PastureBeef_LiveweightGain_Source">_xlfn.LAMBDA("National Inventory Report 2023 Volume 2 - Table A5.5.2.2")</definedName>
    <definedName name="SourceData_PastureBeef.NIR_2023_Vol2_A5_5_2_2_PastureBeef_LiveweightGain_Title">_xlfn.LAMBDA("Beef cattle - Liveweight gain")</definedName>
    <definedName name="SourceData_PastureBeef.NIR_2023_Vol2_A5_5_2_2_PastureBeef_LiveweightGain_Unit">_xlfn.LAMBDA("kg/head/day")</definedName>
    <definedName name="SourceData_PastureBeef.NIR_2023_Vol2_A5_5_2_2_PastureBeef_LiveweightGain_Variation">_xlfn.LAMBDA("VARIATION OF SOURCE DATA: ACT and NSW split. 'NO' replaced with 0.")</definedName>
    <definedName name="SourceData_PastureBeef.NIR_2023_Vol2_A5_5_2_3_PastureBeef_DryMatterDigestibility_Data">_xlfn.LAMBDA(_xlfn.MAKEARRAY(11, 6, _xlfn.LAMBDA(_xlpm.r,_xlpm.c, INDEX({"State","Region","Spring","Summer","Autumn","Winter";"ACT","",55,65,60,50;"NSW","",55,65,60,50;"NT","",55,61,57,54;"QLD","",53,57,55,51;"SA","",70,55,55,75;"TAS","",75,60,70,75;"VIC","",80,55,60,76;"WA","South West",80,58,50,75;"WA","Pilbara",40,65,55,45;"WA","Kimberley",40,65,55,45}, _xlpm.r, _xlpm.c))))</definedName>
    <definedName name="SourceData_PastureBeef.NIR_2023_Vol2_A5_5_2_3_PastureBeef_DryMatterDigestibility_Source">_xlfn.LAMBDA("National Inventory Report 2023 Volume 2 - Table A5.5.2.3")</definedName>
    <definedName name="SourceData_PastureBeef.NIR_2023_Vol2_A5_5_2_3_PastureBeef_DryMatterDigestibility_Title">_xlfn.LAMBDA("Beef cattle - Dry matter digestibility of feed intake (per cent)")</definedName>
    <definedName name="SourceData_PastureBeef.NIR_2023_Vol2_A5_5_2_3_PastureBeef_DryMatterDigestibility_Unit">_xlfn.LAMBDA("per cent")</definedName>
    <definedName name="SourceData_PastureBeef.NIR_2023_Vol2_A5_5_2_3_PastureBeef_DryMatterDigestibility_Variation">_xlfn.LAMBDA("VARIATION OF SOURCE DATA: ACT and NSW split.")</definedName>
    <definedName name="SourceData_PastureBeef.NIR_2023_Vol2_A5_5_2_4_PastureBeef_CrudeProteinContent_Data">_xlfn.LAMBDA(_xlfn.MAKEARRAY(11, 6, _xlfn.LAMBDA(_xlpm.r,_xlpm.c, INDEX({"State","Region","Spring","Summer","Autumn","Winter";"ACT","",0.07,0.13,0.1,0.06;"NSW","",0.07,0.13,0.1,0.06;"NT","",0.058,0.092,0.075,0.053;"QLD","",0.072,0.099,0.078,0.059;"SA","",0.16,0.07,0.09,0.2;"TAS","",0.2,0.1,0.16,0.2;"VIC","",0.25,0.07,0.1,0.21;"WA","South West",0.2,0.09,0.06,0.2;"WA","Pilbara",0.04,0.12,0.09,0.06;"WA","Kimberley",0.04,0.12,0.09,0.06}, _xlpm.r, _xlpm.c))))</definedName>
    <definedName name="SourceData_PastureBeef.NIR_2023_Vol2_A5_5_2_4_PastureBeef_CrudeProteinContent_Source">_xlfn.LAMBDA("National Inventory Report 2023 Volume 2 - Table A5.5.2.4")</definedName>
    <definedName name="SourceData_PastureBeef.NIR_2023_Vol2_A5_5_2_4_PastureBeef_CrudeProteinContent_Title">_xlfn.LAMBDA("Beef cattle - Crude protein content of feed intake (fraction)")</definedName>
    <definedName name="SourceData_PastureBeef.NIR_2023_Vol2_A5_5_2_4_PastureBeef_CrudeProteinContent_Unit">_xlfn.LAMBDA("fraction")</definedName>
    <definedName name="SourceData_PastureBeef.NIR_2023_Vol2_A5_5_2_4_PastureBeef_CrudeProteinContent_Variation">_xlfn.LAMBDA("VARIATION OF SOURCE DATA: ACT and NSW split.")</definedName>
    <definedName name="SourceData_PastureBeef.NIR_2023_Vol2_A5_5_2_5_PastureBeef_CrudeProteinContent_Data">_xlfn.LAMBDA(_xlfn.MAKEARRAY(41, 5, _xlfn.LAMBDA(_xlpm.r,_xlpm.c, INDEX({"State","Region","Season","Feed adjustment","Milk intake / production (kg/day)";"ACT","","Spring",1.3,6;"ACT","","Summer",1.1,4;"ACT","","Autumn",0,0;"ACT","","Winter",0,0;"NSW","","Spring",1.3,6;"NSW","","Summer",1.1,4;"NSW","","Autumn",0,0;"NSW","","Winter",0,0;"NT","","Spring",0,0;"NT","","Summer",1.3,4;"NT","","Autumn",1.1,3;"NT","","Winter",0,0;"QLD","","Spring",0,0;"QLD","","Summer",1.3,4;"QLD","","Autumn",1.1,3;"QLD","","Winter",0,0;"SA","","Spring",0,0;"SA","","Summer",0,0;"SA","","Autumn",1.3,6;"SA","","Winter",1.1,4;"TAS","","Spring",1.3,6;"TAS","","Summer",1.1,4;"TAS","","Autumn",0,0;"TAS","","Winter",0,0;"VIC","","Spring",0,0;"VIC","","Summer",0,0;"VIC","","Autumn",1.3,6;"VIC","","Winter",1.1,4;"WA","South West","Spring",0,0;"WA","South West","Summer",0,0;"WA","South West","Autumn",1.3,6;"WA","South West","Winter",1.1,4;"WA","Pilbara","Spring",1.3,4;"WA","Pilbara","Summer",1.1,3;"WA","Pilbara","Autumn",0,0;"WA","Pilbara","Winter",0,0;"WA","Kimberley","Spring",0,0;"WA","Kimberley","Summer",1.3,4;"WA","Kimberley","Autumn",1.1,3;"WA","Kimberley","Winter",0,0}, _xlpm.r, _xlpm.c))))</definedName>
    <definedName name="SourceData_PastureBeef.NIR_2023_Vol2_A5_5_2_5_PastureBeef_CrudeProteinContent_Source">_xlfn.LAMBDA("National Inventory Report 2023 Volume 2 - Table A5.5.2.5")</definedName>
    <definedName name="SourceData_PastureBeef.NIR_2023_Vol2_A5_5_2_5_PastureBeef_CrudeProteinContent_Title">_xlfn.LAMBDA("Beef Cattle - Feed intake adjustment and milk production and production")</definedName>
    <definedName name="SourceData_PastureBeef.NIR_2023_Vol2_A5_5_2_5_PastureBeef_CrudeProteinContent_Unit">_xlfn.LAMBDA("")</definedName>
    <definedName name="SourceData_PastureBeef.NIR_2023_Vol2_A5_5_2_5_PastureBeef_CrudeProteinContent_Variation">_xlfn.LAMBDA("VARIATION OF SOURCE DATA: ACT and NSW split. State names replaced by abbreviations to aid data lookup.")</definedName>
    <definedName name="SourceData_PastureBeef.NIR_2023_Vol2_A5_5_2_6_PastureBeef_StandardReferenceWeights_Data">_xlfn.LAMBDA(_xlfn.MAKEARRAY(9, 8, _xlfn.LAMBDA(_xlpm.r,_xlpm.c, INDEX({"State","Bulls &lt; 1","Bulls &gt; 1","Cows &lt; 1","Cows 1-2","Cows &gt; 2","Steers &lt; 1","Steers &gt; 1";"ACT",700,700,600,500,500,500,600;"NSW",700,700,600,500,500,500,600;"Northern Territory",770,770,660,550,550,550,660;"Queensland",770,770,660,550,550,550,660;"South Australia",770,770,660,550,550,550,660;"Tasmania",770,770,660,550,550,550,660;"Victoria",770,770,660,550,550,550,660;"Western Australia",770,770,660,550,550,550,660}, _xlpm.r, _xlpm.c))))</definedName>
    <definedName name="SourceData_PastureBeef.NIR_2023_Vol2_A5_5_2_6_PastureBeef_StandardReferenceWeights_Source">_xlfn.LAMBDA("National Inventory Report 2023 Volume 2 - Table A5.5.2.6")</definedName>
    <definedName name="SourceData_PastureBeef.NIR_2023_Vol2_A5_5_2_6_PastureBeef_StandardReferenceWeights_Title">_xlfn.LAMBDA("Beef cattle - Standard reference weights (kg)")</definedName>
    <definedName name="SourceData_PastureBeef.NIR_2023_Vol2_A5_5_2_6_PastureBeef_StandardReferenceWeights_Unit">_xlfn.LAMBDA("kg")</definedName>
    <definedName name="SourceData_PastureBeef.NIR_2023_Vol2_A5_5_2_6_PastureBeef_StandardReferenceWeights_Variation">_xlfn.LAMBDA(_xlfn.MAKEARRAY(4, 1, _xlfn.LAMBDA(_xlpm.r,_xlpm.c, INDEX({"VARIATION OF SOURCE DATA:";"ACT and NSW split.";"State names replaced by abbreviations to aid data lookup.";"Pluralised 'Steer' to 'Steers' for consistency."}, _xlpm.r, _xlpm.c))))</definedName>
    <definedName name="SourceData_PastureBeef.SourceData_PastureBeef_AshContentOfFeedIntake_Data">_xlfn.LAMBDA(0.08)</definedName>
    <definedName name="SourceData_PastureBeef.SourceData_PastureBeef_AshContentOfFeedIntake_Source">_xlfn.LAMBDA("VEERG 2026: 4.2.2.3 CONSTANTS")</definedName>
    <definedName name="SourceData_PastureBeef.SourceData_PastureBeef_AshContentOfFeedIntake_Title">_xlfn.LAMBDA("Ash content of feed intake")</definedName>
    <definedName name="SourceData_PastureBeef.SourceData_PastureBeef_AshContentOfFeedIntake_Unit">_xlfn.LAMBDA("fraction")</definedName>
    <definedName name="SourceData_PastureBeef.SourceData_PastureBeef_AshContentOfFeedIntake_Variable">_xlfn.LAMBDA("A")</definedName>
    <definedName name="SourceData_PastureBeef.SourceData_PastureBeef_AshContentOfFeedIntake_Variation">_xlfn.LAMBDA("")</definedName>
    <definedName name="SourceData_PastureBeef.SourceData_PastureBeef_CrudeProteinContent_Data">_xlfn.LAMBDA(_xlfn.MAKEARRAY(16, 6, _xlfn.LAMBDA(_xlpm.r,_xlpm.c, INDEX({"State","Region","Spring","Summer","Autumn","Winter";"ACT","n/a",0.07,0.13,0.1,0.06;"NSW","n/a",0.07,0.13,0.1,0.06;"NT","Alice Springs",0.058,0.092,0.075,0.053;"NT","Barkly",0.058,0.092,0.075,0.053;"NT","Northern",0.058,0.092,0.075,0.053;"QLD","High",0.072,0.099,0.078,0.059;"QLD","Moderate/High",0.072,0.099,0.078,0.059;"QLD","Moderate/Low",0.072,0.099,0.078,0.059;"QLD","Low",0.072,0.099,0.078,0.059;"SA","n/a",0.16,0.07,0.09,0.2;"TAS","n/a",0.2,0.1,0.16,0.2;"VIC","n/a",0.25,0.07,0.1,0.21;"WA","South West",0.2,0.09,0.06,0.2;"WA","Pilbara",0.04,0.12,0.09,0.06;"WA","Kimberley",0.04,0.12,0.09,0.06}, _xlpm.r, _xlpm.c))))</definedName>
    <definedName name="SourceData_PastureBeef.SourceData_PastureBeef_CrudeProteinContent_Source">_xlfn.LAMBDA("VEERG 2026: Table A.1.2.6")</definedName>
    <definedName name="SourceData_PastureBeef.SourceData_PastureBeef_CrudeProteinContent_Title">_xlfn.LAMBDA("Beef pasture cattle - Crude protein content of feed intake (fraction) (CPj)")</definedName>
    <definedName name="SourceData_PastureBeef.SourceData_PastureBeef_CrudeProteinContent_Unit">_xlfn.LAMBDA("fraction")</definedName>
    <definedName name="SourceData_PastureBeef.SourceData_PastureBeef_CrudeProteinContent_Variable">_xlfn.LAMBDA("CPj")</definedName>
    <definedName name="SourceData_PastureBeef.SourceData_PastureBeef_CrudeProteinContent_Variation">_xlfn.LAMBDA("VARIATION ON SOURCE: Split ACT and NSW into separate rows. Duplicated QLD and NT rows with regions from table A.1.2.2 to aid lookup")</definedName>
    <definedName name="SourceData_PastureBeef.SourceData_PastureBeef_DryMatterDigestibility_Data">_xlfn.LAMBDA(_xlfn.MAKEARRAY(16, 6, _xlfn.LAMBDA(_xlpm.r,_xlpm.c, INDEX({"State","Region","Spring","Summer","Autumn","Winter";"ACT","n/a",0.55,0.65,0.6,0.5;"NSW","n/a",0.55,0.65,0.6,0.5;"NT","Alice Springs",0.55,0.61,0.57,0.54;"NT","Barkly",0.55,0.61,0.57,0.54;"NT","Northern",0.55,0.61,0.57,0.54;"QLD","High",0.53,0.57,0.55,0.51;"QLD","Moderate/High",0.53,0.57,0.55,0.51;"QLD","Moderate/Low",0.53,0.57,0.55,0.51;"QLD","Low",0.53,0.57,0.55,0.51;"SA","n/a",0.7,0.55,0.55,0.75;"TAS","n/a",0.75,0.6,0.7,0.75;"VIC","n/a",0.8,0.55,0.6,0.76;"WA","South West",0.8,0.58,0.5,0.75;"WA","Pilbara",0.4,0.65,0.55,0.45;"WA","Kimberley",0.4,0.65,0.55,0.45}, _xlpm.r, _xlpm.c))))</definedName>
    <definedName name="SourceData_PastureBeef.SourceData_PastureBeef_DryMatterDigestibility_Source">_xlfn.LAMBDA("VEERG 2026: Table A.1.2.5")</definedName>
    <definedName name="SourceData_PastureBeef.SourceData_PastureBeef_DryMatterDigestibility_Title">_xlfn.LAMBDA("Beef pasture cattle - Dry matter digestibility of feed intake (fraction) (DMDj)")</definedName>
    <definedName name="SourceData_PastureBeef.SourceData_PastureBeef_DryMatterDigestibility_Unit">_xlfn.LAMBDA("fraction")</definedName>
    <definedName name="SourceData_PastureBeef.SourceData_PastureBeef_DryMatterDigestibility_Variable">_xlfn.LAMBDA("DMDj")</definedName>
    <definedName name="SourceData_PastureBeef.SourceData_PastureBeef_DryMatterDigestibility_Variation">_xlfn.LAMBDA("VARIATION ON SOURCE: Split ACT and NSW into separate rows. Duplicated QLD and NT rows with regions from table A.1.2.2 to aid lookup")</definedName>
    <definedName name="SourceData_PastureBeef.SourceData_PastureBeef_FeedAdjustmentAndMilkProduction_Data">_xlfn.LAMBDA(_xlfn.MAKEARRAY(9, 4, _xlfn.LAMBDA(_xlpm.r,_xlpm.c, INDEX({"Breed","Season","Feed adjustment (MCjk=1,3,6)","Milk intake / production (DMPjk=5)";"Hereford or Shorthorn breeds","Spring",1.3,6;"Hereford or Shorthorn breeds","Summer",1.1,4;"Hereford or Shorthorn breeds","Autumn",0,0;"Hereford or Shorthorn breeds","Winter",0,0;"Northern Brahman cross breed","Spring",0,0;"Northern Brahman cross breed","Summer",1.3,4;"Northern Brahman cross breed","Autumn",1.1,3;"Northern Brahman cross breed","Winter",0,0}, _xlpm.r, _xlpm.c))))</definedName>
    <definedName name="SourceData_PastureBeef.SourceData_PastureBeef_FeedAdjustmentAndMilkProduction_Source">_xlfn.LAMBDA("VEERG 2026: Table A.1.2.7")</definedName>
    <definedName name="SourceData_PastureBeef.SourceData_PastureBeef_FeedAdjustmentAndMilkProduction_Title">_xlfn.LAMBDA("Beef pasture cattle - Feed intake adjustment and milk production (kg/head/day)")</definedName>
    <definedName name="SourceData_PastureBeef.SourceData_PastureBeef_FeedAdjustmentAndMilkProduction_Unit">_xlfn.LAMBDA("")</definedName>
    <definedName name="SourceData_PastureBeef.SourceData_PastureBeef_FeedAdjustmentAndMilkProduction_Variable">_xlfn.LAMBDA("MCjk=1,3,6; DMPjk=5")</definedName>
    <definedName name="SourceData_PastureBeef.SourceData_PastureBeef_FeedAdjustmentAndMilkProduction_Variation">_xlfn.LAMBDA("")</definedName>
    <definedName name="SourceData_PastureBeef.SourceData_PastureBeef_FracGASMSoil_Data">_xlfn.LAMBDA(0.21)</definedName>
    <definedName name="SourceData_PastureBeef.SourceData_PastureBeef_FracGASMSoil_Source">_xlfn.LAMBDA("VEERG 2026: 4.2.2.3 CONSTANTS")</definedName>
    <definedName name="SourceData_PastureBeef.SourceData_PastureBeef_FracGASMSoil_Title">_xlfn.LAMBDA("Fraction of nitrogen volatilised from urine and faeces deposited on pasture")</definedName>
    <definedName name="SourceData_PastureBeef.SourceData_PastureBeef_FracGASMSoil_Unit">_xlfn.LAMBDA("fraction")</definedName>
    <definedName name="SourceData_PastureBeef.SourceData_PastureBeef_FracGASMSoil_Variable">_xlfn.LAMBDA("FracGASMSoil")</definedName>
    <definedName name="SourceData_PastureBeef.SourceData_PastureBeef_FracGASMSoil_Variation">_xlfn.LAMBDA("")</definedName>
    <definedName name="SourceData_PastureBeef.SourceData_PastureBeef_FracLEACH_Data">_xlfn.LAMBDA(0.24)</definedName>
    <definedName name="SourceData_PastureBeef.SourceData_PastureBeef_FracLEACH_Source">_xlfn.LAMBDA("VEERG 2026: 4.2.2.3 CONSTANTS")</definedName>
    <definedName name="SourceData_PastureBeef.SourceData_PastureBeef_FracLEACH_Title">_xlfn.LAMBDA("Default fraction of N that is lost through leaching and runoff")</definedName>
    <definedName name="SourceData_PastureBeef.SourceData_PastureBeef_FracLEACH_Unit">_xlfn.LAMBDA("fraction")</definedName>
    <definedName name="SourceData_PastureBeef.SourceData_PastureBeef_FracLEACH_Variable">_xlfn.LAMBDA("FracLEACH")</definedName>
    <definedName name="SourceData_PastureBeef.SourceData_PastureBeef_FracLEACH_Variation">_xlfn.LAMBDA("")</definedName>
    <definedName name="SourceData_PastureBeef.SourceData_PastureBeef_FractionOfManureToMMS_Data">_xlfn.LAMBDA(_xlfn.MAKEARRAY(16, 4, _xlfn.LAMBDA(_xlpm.r,_xlpm.c, INDEX({"State","Region","Pasture range and paddock","Uncovered Anaerobic lagoon";"ACT","n/a",99.192,0.808;"NSW","n/a",99.452,0.548;"SA","n/a",99.759,0.241;"TAS","n/a",99.122,0.878;"VIC","n/a",98.894,1.106;"WA","South West",99.622,0.378;"WA","Pilbara",99.999,0.001;"WA","Kimberley",99.999,0.001;"NT","Alice Springs",99.999,0.001;"NT","Barkly",99.994,0.006;"NT","Northern",99.999,0.001;"QLD","High",99.773,0.227;"QLD","Moderate/High",99.898,0.102;"QLD","Moderate/Low",99.979,0.021;"QLD","Low",99.977,0.023}, _xlpm.r, _xlpm.c))))</definedName>
    <definedName name="SourceData_PastureBeef.SourceData_PastureBeef_FractionOfManureToMMS_Source">_xlfn.LAMBDA("VEERG 2026: Table A.1.2.9")</definedName>
    <definedName name="SourceData_PastureBeef.SourceData_PastureBeef_FractionOfManureToMMS_Title">_xlfn.LAMBDA("Beef pasture cattle - Fraction of manure to each manure management system (fraction) (MMSm)")</definedName>
    <definedName name="SourceData_PastureBeef.SourceData_PastureBeef_FractionOfManureToMMS_Unit">_xlfn.LAMBDA("fraction")</definedName>
    <definedName name="SourceData_PastureBeef.SourceData_PastureBeef_FractionOfManureToMMS_Variable">_xlfn.LAMBDA("MMSm")</definedName>
    <definedName name="SourceData_PastureBeef.SourceData_PastureBeef_FractionOfManureToMMS_Variation">_xlfn.LAMBDA("VARIATION ON SOURCE: Removed comma from 'Pasture range and paddock' to aid lookup")</definedName>
    <definedName name="SourceData_PastureBeef.SourceData_PastureBeef_Liveweight_Data">_xlfn.LAMBDA(_xlfn.MAKEARRAY(29, 10, _xlfn.LAMBDA(_xlpm.r,_xlpm.c, INDEX({"State","Region","Season","Bull &lt; 1","Bull &gt; 1","Cow &lt; 1","Cow 1-2","Cow &gt; 2","Steer &lt; 1","Steer &gt; 1";"ACT/NSW","n/a","Spring",80,480,75,300,440,75,380;"ACT/NSW","n/a","Summer",170,520,160,360,470,160,420;"ACT/NSW","n/a","Autumn",240,550,220,390,490,220,450;"ACT/NSW","n/a","Winter",280,560,260,410,500,260,460;"South Australia","n/a","Spring",250,800,220,400,500,230,420;"South Australia","n/a","Summer",320,800,280,420,500,290,420;"South Australia","n/a","Autumn",80,700,70,300,450,75,400;"South Australia","n/a","Winter",160,700,140,350,450,150,400;"Tasmania","n/a","Spring",105,700,85,300,490,90,480;"Tasmania","n/a","Summer",480,750,150,350,530,160,460;"Tasmania","n/a","Autumn",250,725,200,360,500,215,490;"Tasmania","n/a","Winter",260,700,210,380,460,230,470;"Victoria","n/a","Spring",250,820,240,410,560,240,510;"Victoria","n/a","Summer",280,850,260,440,550,270,520;"Victoria","n/a","Autumn",100,700,95,300,450,95,410;"Victoria","n/a","Winter",150,720,140,320,470,140,440;"Western Australia","South West","Spring",340,800,260,420,550,300,480;"Western Australia","South West","Summer",380,780,300,450,530,340,470;"Western Australia","South West","Autumn",100,680,80,320,480,100,340;"Western Australia","South West","Winter",190,700,150,330,490,170,360;"Western Australia","Pilbara","Spring",80,450,70,260,340,80,370;"Western Australia","Pilbara","Summer",150,500,140,310,360,150,400;"Western Australia","Pilbara","Autumn",230,550,220,330,380,230,420;"Western Australia","Pilbara","Winter",250,500,240,340,360,250,390;"Western Australia","Kimberley","Spring",220,500,180,300,320,210,340;"Western Australia","Kimberley","Summer",110,550,90,220,380,100,390;"Western Australia","Kimberley","Autumn",170,600,140,270,390,160,430;"Western Australia","Kimberley","Winter",200,550,150,280,350,190,400}, _xlpm.r, _xlpm.c))))</definedName>
    <definedName name="SourceData_PastureBeef.SourceData_PastureBeef_Liveweight_Source">_xlfn.LAMBDA("VEERG 2026: Table A.1.2.1")</definedName>
    <definedName name="SourceData_PastureBeef.SourceData_PastureBeef_Liveweight_Title">_xlfn.LAMBDA("Beef pasture cattle - Liveweight (kg) (Wjkl)")</definedName>
    <definedName name="SourceData_PastureBeef.SourceData_PastureBeef_Liveweight_Unit">_xlfn.LAMBDA("kg")</definedName>
    <definedName name="SourceData_PastureBeef.SourceData_PastureBeef_Liveweight_Variable">_xlfn.LAMBDA("Wjkl")</definedName>
    <definedName name="SourceData_PastureBeef.SourceData_PastureBeef_Liveweight_Variation">_xlfn.LAMBDA("")</definedName>
    <definedName name="SourceData_PastureBeef.SourceData_PastureBeef_LiveweightGain_Data">_xlfn.LAMBDA(_xlfn.MAKEARRAY(29, 10, _xlfn.LAMBDA(_xlpm.r,_xlpm.c, INDEX({"State","Region","Season","Bull &lt;1","Bull &gt;1","Cow &lt;1","Cow 1-2","Cow &gt;2","Steer &lt;1","Steer &gt;1";"ACT/NSW","n/a","Spring",0.5,0.2,0.5,0.4,0.3,0.5,0.4;"ACT/NSW","n/a","Summer",1,0.4,0.9,0.7,0.3,0.9,0.4;"ACT/NSW","n/a","Autumn",0.8,0.3,0.7,0.3,0.2,0.7,0.3;"ACT/NSW","n/a","Winter",0.4,0.1,0.4,0.2,0.1,0.4,0.1;"South Australia","n/a","Spring",0.99,1.1,0.88,0.55,0.55,0.88,0.22;"South Australia","n/a","Summer",0.77,0,0.66,0.22,0,0.66,0;"South Australia","n/a","Autumn",0.9,-1.1,0.7,0.22,-0.55,0.8,-0.22;"South Australia","n/a","Winter",0.88,0,0.77,0.55,0,0.82,0;"Tasmania","n/a","Spring",1,0.5,1,1,-0.44,1,0.5;"Tasmania","n/a","Summer",0.82,0.55,0.71,0.55,0.99,0.77,0.5;"Tasmania","n/a","Autumn",0.77,0.5,0.55,0.11,-0.33,0.6,0.33;"Tasmania","n/a","Winter",0.11,-0.27,0.11,0.22,-0.44,0.16,-0.22;"Victoria","n/a","Spring",1.1,1.1,1.1,0.99,0.99,1.1,0.77;"Victoria","n/a","Summer",0.33,0.33,0.22,0.33,-0.1,0.33,0.11;"Victoria","n/a","Autumn",0.5,0.2,0.55,0.44,0.2,0.55,0.2;"Victoria","n/a","Winter",0.55,0.22,0.49,0.22,0.22,0.49,0.33;"Western Australia","South West","Spring",1.64,1.1,1.21,0.99,0.66,1.42,1.1;"Western Australia","South West","Summer",0.44,-0.22,0.44,0.33,-0.22,0.44,-0.11;"Western Australia","South West","Autumn",0.6,0,0.6,0.22,-0.55,0.6,0;"Western Australia","South West","Winter",0.99,0.22,0.77,0.11,0.11,0.77,0.44;"Western Australia","Pilbara","Spring",0.7,-0.55,0.7,0.22,-0.22,0.7,-0.22;"Western Australia","Pilbara","Summer",0.77,0.55,0.77,0.66,0.55,0.77,0.33;"Western Australia","Pilbara","Autumn",0.88,0.55,0.88,0.22,0.22,0.88,0.22;"Western Australia","Pilbara","Winter",0.22,-0.55,0.22,0.11,-0.22,0.22,-0.33;"Western Australia","Kimberley","Spring",0.22,-0.55,0.33,0.22,-0.33,0.22,-0.55;"Western Australia","Kimberley","Summer",0.8,0.55,0.7,0.44,0.66,0.8,0.55;"Western Australia","Kimberley","Autumn",0.66,0.55,0.55,0.55,0.11,0.66,0.55;"Western Australia","Kimberley","Winter",0.33,-0.55,0.11,0.11,-0.44,0.33,-0.55}, _xlpm.r, _xlpm.c))))</definedName>
    <definedName name="SourceData_PastureBeef.SourceData_PastureBeef_LiveweightGain_Source">_xlfn.LAMBDA("VEERG 2026: Table A.1.2.3")</definedName>
    <definedName name="SourceData_PastureBeef.SourceData_PastureBeef_LiveweightGain_Title">_xlfn.LAMBDA("Beef pasture cattle - Liveweight gain (kg) (LWGjkl)")</definedName>
    <definedName name="SourceData_PastureBeef.SourceData_PastureBeef_LiveweightGain_Unit">_xlfn.LAMBDA("kg")</definedName>
    <definedName name="SourceData_PastureBeef.SourceData_PastureBeef_LiveweightGain_Variable">_xlfn.LAMBDA("LWGjkl")</definedName>
    <definedName name="SourceData_PastureBeef.SourceData_PastureBeef_LiveweightGain_Variation">_xlfn.LAMBDA("VARIATION ON SOURCE: Replaced 'n/a' with 'South West' for first four rows of Western Australia to be consistent with table A.1.2.1")</definedName>
    <definedName name="SourceData_PastureBeef.SourceData_PastureBeef_LiveweightGainNTQLD_Data">_xlfn.LAMBDA(_xlfn.MAKEARRAY(29, 13, _xlfn.LAMBDA(_xlpm.r,_xlpm.c, INDEX({"State","Region","Season","Bull &lt;1","Bull &gt;1","Cow &lt;1","Cow 1-2","Cow 2-3","Cow &gt;3","Steer &lt;1","Steer 1-2","Steer 2-3","Steer &gt;3";"Northern Territory","Alice Springs","Spring",0.22,-0.23,0.25,0.17,0.18,-0.28,0.32,0.24,0.25,-0.05;"Northern Territory","Alice Springs","Summer",0.66,0.2,0.62,0.54,0.38,0.27,0.75,0.64,0.55,0.48;"Northern Territory","Alice Springs","Autumn",0.49,0.13,0.54,0.45,0.35,0.15,0.63,0.54,0.42,0.26;"Northern Territory","Alice Springs","Winter",0.27,-0.8,0.22,0.09,0.12,0.02,0.25,0.18,0.12,0.03;"Northern Territory","Barkly","Spring",0.22,-0.44,0.2,0.21,0.18,0.01,0.12,0.09,"NO","NO";"Northern Territory","Barkly","Summer",0.66,0.22,0.68,0.22,0.24,0.25,0.64,0.37,"NO","NO";"Northern Territory","Barkly","Autumn",0.49,0.05,0.64,0.25,0.29,0.12,0.57,0.49,"NO","NO";"Northern Territory","Barkly","Winter",0.27,-0.27,0.31,0.29,0.19,0.04,0.26,0.28,"NO","NO";"Northern Territory","Northern","Spring",0.22,-0.44,0,0.15,0.08,0.17,0.06,0.02,-0.14,"NO";"Northern Territory","Northern","Summer",0.66,0.22,0.79,0.4,0.38,0.27,0.8,0.16,0.3,"NO";"Northern Territory","Northern","Autumn",0.49,0.05,0.55,0.38,0.36,0.06,0.58,0.23,0.4,"NO";"Northern Territory","Northern","Winter",0.27,-0.27,0.02,0.09,0.16,-0.04,0.21,0.03,0.11,"NO";"Queensland","High","Spring",0.27,-0.19,0.38,0.25,0.07,0.05,0.52,0.55,0.19,0.6;"Queensland","High","Summer",0.16,0.16,0.8,0.57,0.76,0.49,0.84,0.51,0.36,0.17;"Queensland","High","Autumn",0.45,0.1,0.49,0.41,0.4,0.17,0.54,0.64,-0.05,0.32;"Queensland","High","Winter",0.51,-0.07,0.13,-0.09,-0.13,0.07,0.25,0.71,0.17,0.43;"Queensland","Moderate/High","Spring",-0.12,-0.19,0.41,0.09,0.41,-0.19,0.07,1.07,-0.08,0;"Queensland","Moderate/High","Summer",0.65,0.19,0.65,0.51,0.18,0.63,1.3,0.48,1.12,0.38;"Queensland","Moderate/High","Autumn",0.7,0.13,0.52,0.34,0.02,0.04,0.77,0.42,0.12,0.74;"Queensland","Moderate/High","Winter",0.32,-0.06,0.25,0.19,-0.1,-0.02,0.02,0.23,-0.13,0;"Queensland","Moderate/Low","Spring",0.62,-0.19,0.37,0.41,0.06,-0.02,0.47,0.44,0.3,0.13;"Queensland","Moderate/Low","Summer",0.05,0.19,0.31,0.54,0.53,0.15,0.28,0.57,0.42,0.4;"Queensland","Moderate/Low","Autumn",0.33,0.13,0.39,0.36,0.26,0.11,0.4,0.44,0.37,-0.01;"Queensland","Moderate/Low","Winter",0.61,-0.06,0.21,0.18,0.12,0.06,0.29,0.41,0.41,-0.15;"Queensland","Low","Spring",-0.2,0.02,0.24,0.3,0.23,-0.05,0.34,0.3,0.57,0.52;"Queensland","Low","Summer",0.62,0.21,0.25,0.32,0.47,0.31,0.14,0.4,0.26,0.43;"Queensland","Low","Autumn",0.4,0.13,0.12,0.27,0.3,0.08,0.13,0.24,0.15,0.21;"Queensland","Low","Winter",0.08,0.04,0.06,0.18,0.11,-0.07,0.13,0.16,0.4,0.33}, _xlpm.r, _xlpm.c))))</definedName>
    <definedName name="SourceData_PastureBeef.SourceData_PastureBeef_LiveweightGainNTQLD_Source">_xlfn.LAMBDA("VEERG 2026: Table A.1.2.4")</definedName>
    <definedName name="SourceData_PastureBeef.SourceData_PastureBeef_LiveweightGainNTQLD_Title">_xlfn.LAMBDA("Beef pasture cattle - Liveweight gain (kg) (LWGjkl) for NT and QLD")</definedName>
    <definedName name="SourceData_PastureBeef.SourceData_PastureBeef_LiveweightGainNTQLD_Unit">_xlfn.LAMBDA("kg")</definedName>
    <definedName name="SourceData_PastureBeef.SourceData_PastureBeef_LiveweightGainNTQLD_Variable">_xlfn.LAMBDA("LWGjkl")</definedName>
    <definedName name="SourceData_PastureBeef.SourceData_PastureBeef_LiveweightGainNTQLD_Variation">_xlfn.LAMBDA("")</definedName>
    <definedName name="SourceData_PastureBeef.SourceData_PastureBeef_LiveweightNTQLD_Data">_xlfn.LAMBDA(_xlfn.MAKEARRAY(29, 13, _xlfn.LAMBDA(_xlpm.r,_xlpm.c, INDEX({"State","Region","Season","Bull &lt;1","Bull &gt;1","Cows &lt;1","Cows 1-2","Cows 2-3","Cows &gt;3","Steer &lt;1","Steer 1-2","Steer 2-3","Steer &gt;3";"Northern Territory","Alice Springs","Spring",220,706,208,323,415,467,223,371,493,585;"Northern Territory","Alice Springs","Summer",110,703,112,256,368,465,108,280,421,543;"Northern Territory","Alice Springs","Autumn",170,721,169,306,392,464,176,339,470,580;"Northern Territory","Alice Springs","Winter",200,727,211,338,432,492,222,377,498,590;"Northern Territory","Barkly","Spring",220,620,227,319,398,452,216,334,"NO","NO";"Northern Territory","Barkly","Summer",110,650,108,262,346,430,111,236,"NO","NO";"Northern Territory","Barkly","Autumn",170,670,170,266,363,444,169,282,"NO","NO";"Northern Territory","Barkly","Winter",200,660,225,307,398,452,214,326,"NO","NO";"Northern Territory","Northern","Spring",220,620,177,267,365,406,231,249,324,"NO";"Northern Territory","Northern","Summer",110,650,102,203,299,380,102,218,263,"NO";"Northern Territory","Northern","Autumn",170,670,173,250,336,414,175,243,304,"NO";"Northern Territory","Northern","Winter",200,660,202,272,365,390,208,260,337,"NO";"Queensland","High","Spring",260,705,215,302,416,519,234,455,551,660;"Queensland","High","Summer",153,703,118,277,397,483,111,304,521,547;"Queensland","High","Autumn",168,718,191,319,440,506,188,326,520,582;"Queensland","High","Winter",235,722,207,352,470,514,209,421,512,605;"Queensland","Moderate/High","Spring",230,674,217,344,357,467,242,370,550,620;"Queensland","Moderate/High","Summer",113,669,113,283,361,477,120,273,545,553;"Queensland","Moderate/High","Autumn",172,685,172,309,376,471,238,329,573,620;"Queensland","Moderate/High","Winter",241,692,208,344,364,484,260,350,567,620;"Queensland","Moderate/Low","Spring",236,674,178,310,428,466,193,370,519,565;"Queensland","Moderate/Low","Summer",120,669,112,250,390,448,115,273,433,556;"Queensland","Moderate/Low","Autumn",125,685,140,277,407,455,141,296,445,593;"Queensland","Moderate/Low","Winter",180,692,183,316,438,468,189,354,500,553;"Queensland","Low","Spring",190,617,174,265,371,415,170,272,392,531;"Queensland","Low","Summer",119,591,140,205,310,405,133,218,315,445;"Queensland","Low","Autumn",175,610,163,232,351,427,146,242,320,471;"Queensland","Low","Winter",192,615,162,255,364,420,157,261,342,484}, _xlpm.r, _xlpm.c))))</definedName>
    <definedName name="SourceData_PastureBeef.SourceData_PastureBeef_LiveweightNTQLD_Source">_xlfn.LAMBDA("VEERG 2026: Table A.1.2.2")</definedName>
    <definedName name="SourceData_PastureBeef.SourceData_PastureBeef_LiveweightNTQLD_Title">_xlfn.LAMBDA("Beef pasture cattle - Liveweight (kg) (Wjkl) for NT and QLD")</definedName>
    <definedName name="SourceData_PastureBeef.SourceData_PastureBeef_LiveweightNTQLD_Unit">_xlfn.LAMBDA("kg")</definedName>
    <definedName name="SourceData_PastureBeef.SourceData_PastureBeef_LiveweightNTQLD_Variable">_xlfn.LAMBDA("Wjkl")</definedName>
    <definedName name="SourceData_PastureBeef.SourceData_PastureBeef_LiveweightNTQLD_Variation">_xlfn.LAMBDA("")</definedName>
    <definedName name="SourceData_PastureBeef.SourceData_PastureBeef_MethaneConversionFactorPerRegion_Data">_xlfn.LAMBDA(_xlfn.MAKEARRAY(16, 4, _xlfn.LAMBDA(_xlpm.r,_xlpm.c, INDEX({"State","Region","Pasture range and paddock","Uncovered Anaerobic lagoon";"ACT","n/a",0.0047,0.71;"NSW","n/a",0.0047,0.75;"SA","n/a",0.0047,0.74;"TAS","n/a",0.0047,0.7;"VIC","n/a",0.0047,0.74;"WA","South West",0.0047,0.76;"WA","Pilbara",0.0047,0.76;"WA","Kimberley",0.0047,0.76;"NT","Alice Springs",0.0047,0.8;"NT","Barkly",0.0047,0.8;"NT","Northern",0.0047,0.8;"QLD","High",0.0047,0.78;"QLD","Moderate/High",0.0047,0.78;"QLD","Moderate/Low",0.0047,0.78;"QLD","Low",0.0047,0.78}, _xlpm.r, _xlpm.c))))</definedName>
    <definedName name="SourceData_PastureBeef.SourceData_PastureBeef_MethaneConversionFactorPerRegion_Source">_xlfn.LAMBDA("VEERG 2026: Table A.1.2.10")</definedName>
    <definedName name="SourceData_PastureBeef.SourceData_PastureBeef_MethaneConversionFactorPerRegion_Title">_xlfn.LAMBDA("Beef pasture cattle - Methane conversion factor per region (fraction) (MCFim)")</definedName>
    <definedName name="SourceData_PastureBeef.SourceData_PastureBeef_MethaneConversionFactorPerRegion_Unit">_xlfn.LAMBDA("fraction")</definedName>
    <definedName name="SourceData_PastureBeef.SourceData_PastureBeef_MethaneConversionFactorPerRegion_Variable">_xlfn.LAMBDA("MCFim")</definedName>
    <definedName name="SourceData_PastureBeef.SourceData_PastureBeef_MethaneConversionFactorPerRegion_Variation">_xlfn.LAMBDA("VARIATION ON SOURCE: Removed comma from 'Pasture range and paddock' to aid lookup")</definedName>
    <definedName name="SourceData_PastureBeef.SourceData_PastureBeef_MethaneEmissionsPotential_Data">_xlfn.LAMBDA(0.19)</definedName>
    <definedName name="SourceData_PastureBeef.SourceData_PastureBeef_MethaneEmissionsPotential_Source">_xlfn.LAMBDA("VEERG 2026: 4.2.2.3 CONSTANTS")</definedName>
    <definedName name="SourceData_PastureBeef.SourceData_PastureBeef_MethaneEmissionsPotential_Title">_xlfn.LAMBDA("Methane emissions potential")</definedName>
    <definedName name="SourceData_PastureBeef.SourceData_PastureBeef_MethaneEmissionsPotential_Unit">_xlfn.LAMBDA("m3 CH4 / kg VS")</definedName>
    <definedName name="SourceData_PastureBeef.SourceData_PastureBeef_MethaneEmissionsPotential_Variable">_xlfn.LAMBDA("B0")</definedName>
    <definedName name="SourceData_PastureBeef.SourceData_PastureBeef_MethaneEmissionsPotential_Variation">_xlfn.LAMBDA("")</definedName>
    <definedName name="SourceData_PastureBeef.SourceData_PastureBeef_StandardReferenceWeights_Data">_xlfn.LAMBDA(_xlfn.MAKEARRAY(9, 9, _xlfn.LAMBDA(_xlpm.r,_xlpm.c, INDEX({"State","Bulls &lt;1","Bulls &gt;1","Cows &lt;1","Cows 1-2","Cows &gt;2","Steer &lt;1","Steer &gt;1","State abbreviation";"ACT",700,700,500,500,500,600,600,"ACT";"NSW",700,700,500,500,500,600,600,"NSW";"Northern Territory",770,770,550,550,550,660,660,"NT";"Queensland",770,770,550,550,550,660,660,"QLD";"South Australia",770,770,550,550,550,660,660,"SA";"Tasmania",770,770,550,550,550,660,660,"TAS";"Victoria",770,770,550,550,550,660,660,"VIC";"Western Australia",770,770,550,550,550,660,660,"WA"}, _xlpm.r, _xlpm.c))))</definedName>
    <definedName name="SourceData_PastureBeef.SourceData_PastureBeef_StandardReferenceWeights_Source">_xlfn.LAMBDA("VEERG 2026: Table A.1.2.8")</definedName>
    <definedName name="SourceData_PastureBeef.SourceData_PastureBeef_StandardReferenceWeights_Title">_xlfn.LAMBDA("Beef pasture cattle - Standard reference weights (kg) (SRWk)")</definedName>
    <definedName name="SourceData_PastureBeef.SourceData_PastureBeef_StandardReferenceWeights_Unit">_xlfn.LAMBDA("kg")</definedName>
    <definedName name="SourceData_PastureBeef.SourceData_PastureBeef_StandardReferenceWeights_Variable">_xlfn.LAMBDA("SRWk")</definedName>
    <definedName name="SourceData_PastureBeef.SourceData_PastureBeef_StandardReferenceWeights_Variation">_xlfn.LAMBDA("VARIATION ON SOURCE: Split ACT and NSW into separate rows. Added 'State abbreviation' column to aid lookup.")</definedName>
    <definedName name="SourceData_Poultry.SourceData_Poultry_DietProperties_Data">_xlfn.LAMBDA(_xlfn.MAKEARRAY(6, 5, _xlfn.LAMBDA(_xlpm.r,_xlpm.c, INDEX({"Nutrient analysis","Layers","Meat chicken growers","Meat chicken breeder","Meat other";"Dry matter intake (kg/head/day)",0.086,0.093,0.103,0.093;"Dry matter digestibility",0.8,0.8,0.8,0.8;"Crude protein",0.19,0.23,0.19,0.23;"Nitrogen retention rate",0.35,0.47,0.32,0.47;"Manure ash",0.18,0.15,0.18,0.15}, _xlpm.r, _xlpm.c))))</definedName>
    <definedName name="SourceData_Poultry.SourceData_Poultry_DietProperties_Source">_xlfn.LAMBDA("VEERG 2026: Table A.1.7.1: Poultry - Diet properties")</definedName>
    <definedName name="SourceData_Poultry.SourceData_Poultry_DietProperties_Title">_xlfn.LAMBDA("Poultry - Diet properties")</definedName>
    <definedName name="SourceData_Poultry.SourceData_Poultry_DietProperties_Unit">_xlfn.LAMBDA("")</definedName>
    <definedName name="SourceData_Poultry.SourceData_Poultry_DietProperties_Variation">_xlfn.LAMBDA("")</definedName>
    <definedName name="SourceData_Poultry.SourceData_Poultry_EFmT_Data">_xlfn.LAMBDA(_xlfn.MAKEARRAY(9, 3, _xlfn.LAMBDA(_xlpm.r,_xlpm.c, INDEX({"MMS m","EFmT","NIR reference";"Poultry manure with litter (housing)",0.001,"Poultry manure with bedding";"Poultry manure without litter (housing)",0.001,"Belt manure removal";"Poultry manure without litter (housing)",0.001,"Manure stored in house";"Pasture range and paddock (free range)",0.02,"Pasture range and paddock";"Solid storage (stockpile)",0.005,"Solid storage";"Composting (passive windrow)",0.01,"Composting (passive windrow)";"Direct processing",0,"Direct processing";"Anaerobic digester / covered pond",0,"Digester / covered lagoons"}, _xlpm.r, _xlpm.c))))</definedName>
    <definedName name="SourceData_Poultry.SourceData_Poultry_EFmT_Source">_xlfn.LAMBDA("VEERG 2026: Table A.1.7.3")</definedName>
    <definedName name="SourceData_Poultry.SourceData_Poultry_EFmT_Title">_xlfn.LAMBDA("Poultry - Nitrous oxide EFs by MMS (kgN2O-N/kgN) (EFmT)")</definedName>
    <definedName name="SourceData_Poultry.SourceData_Poultry_EFmT_Unit">_xlfn.LAMBDA("kgN2O - N / kgN")</definedName>
    <definedName name="SourceData_Poultry.SourceData_Poultry_EFmT_Variation">_xlfn.LAMBDA("VARIATION ON SOURCE: Added 'NIR definition column'. Duplicated 'Poultry manure without litter' row for NIR MMS 'Belt manure removal' and 'Manure stored in house'.")</definedName>
    <definedName name="SourceData_Poultry.SourceData_Poultry_FracGAMSSoil_Data">_xlfn.LAMBDA(0.21)</definedName>
    <definedName name="SourceData_Poultry.SourceData_Poultry_FracGAMSSoil_Source">_xlfn.LAMBDA("VEERG 2026: 4.6.2.3 CONSTANTS")</definedName>
    <definedName name="SourceData_Poultry.SourceData_Poultry_FracGAMSSoil_Title">_xlfn.LAMBDA("Fraction of nitrogen volatilised from urine and faeces deposited on pasture")</definedName>
    <definedName name="SourceData_Poultry.SourceData_Poultry_FracGAMSSoil_Unit">_xlfn.LAMBDA("(kg NH3-N + NOx-N)/kg N")</definedName>
    <definedName name="SourceData_Poultry.SourceData_Poultry_FracGAMSSoil_Variable">_xlfn.LAMBDA("FracGASM_soil")</definedName>
    <definedName name="SourceData_Poultry.SourceData_Poultry_FracGAMSSoil_Variation">_xlfn.LAMBDA("VARIATION ON SOURCE: This constant is not documented in the draft, used the same value of 0.21 as all other livestock.")</definedName>
    <definedName name="SourceData_Poultry.SourceData_Poultry_FracGASMmT_Data">_xlfn.LAMBDA(_xlfn.MAKEARRAY(8, 3, _xlfn.LAMBDA(_xlpm.r,_xlpm.c, INDEX({"MMS m","FracGASMmT","NIR reference";"Poultry manure with litter (housing)",0.3,"Poultry manure with bedding";"Poultry manure without litter (housing) Belt manure removal",0.05,"Belt manure removal";"Poultry manure without litter (housing) Manure stored in house under cages or slat",0.4,"Manure stored in house";"Solid storage (stockpile)",0.2,"Solid storage";"Composting (passive windrow)",0.2,"Composting (passive windrow)";"Direct processing",0,"Direct processing";"Anaerobic digester / covered pond",0,"Digester / covered lagoons"}, _xlpm.r, _xlpm.c))))</definedName>
    <definedName name="SourceData_Poultry.SourceData_Poultry_FracGASMmT_Source">_xlfn.LAMBDA("VEERG 2026: Table A.1.7.2")</definedName>
    <definedName name="SourceData_Poultry.SourceData_Poultry_FracGASMmT_Title">_xlfn.LAMBDA("Poultry - Fraction of N volatilised by MMS ((kg NH3-N + NOx-N)/kgN) (FracGASMmT)")</definedName>
    <definedName name="SourceData_Poultry.SourceData_Poultry_FracGASMmT_Unit">_xlfn.LAMBDA("(kg NH3-N + NOx-N)/kgN")</definedName>
    <definedName name="SourceData_Poultry.SourceData_Poultry_FracGASMmT_Variation">_xlfn.LAMBDA("VARIATION ON SOURCE: Added 'NIR definition column'.")</definedName>
    <definedName name="SourceData_Poultry.SourceData_Poultry_FractionOfNitrogenLostThroughLeachingAndRunoff_Data">_xlfn.LAMBDA(0.02)</definedName>
    <definedName name="SourceData_Poultry.SourceData_Poultry_FractionOfNitrogenLostThroughLeachingAndRunoff_Source">_xlfn.LAMBDA("VEERG 2026: 4.6.2.3 CONSTANTS")</definedName>
    <definedName name="SourceData_Poultry.SourceData_Poultry_FractionOfNitrogenLostThroughLeachingAndRunoff_Title">_xlfn.LAMBDA("Fraction of N that is lost through leaching and runoff")</definedName>
    <definedName name="SourceData_Poultry.SourceData_Poultry_FractionOfNitrogenLostThroughLeachingAndRunoff_Unit">_xlfn.LAMBDA("Dimensionless")</definedName>
    <definedName name="SourceData_Poultry.SourceData_Poultry_FractionOfNitrogenLostThroughLeachingAndRunoff_Variable">_xlfn.LAMBDA("Frac_LEACH_MS")</definedName>
    <definedName name="SourceData_Poultry.SourceData_Poultry_FractionOfNitrogenLostThroughLeachingAndRunoff_Variation">_xlfn.LAMBDA("")</definedName>
    <definedName name="SourceData_Poultry.SourceData_Poultry_Liveweights_Data">_xlfn.LAMBDA(_xlfn.MAKEARRAY(9, 3, _xlfn.LAMBDA(_xlpm.r,_xlpm.c, INDEX({"Livestock Class j","Average Liveweight (kg)";"Chicken",1.3;"Hen &gt;/=1 yr",2;"Pullets",1.4;"Broilers",1.2}, _xlpm.r, _xlpm.c))))</definedName>
    <definedName name="SourceData_Poultry.SourceData_Poultry_Liveweights_Source">_xlfn.LAMBDA("VEERG 2026: Table A.1.7.5")</definedName>
    <definedName name="SourceData_Poultry.SourceData_Poultry_Liveweights_Title">_xlfn.LAMBDA("Poultry - Liveweights (Wco) (kg)")</definedName>
    <definedName name="SourceData_Poultry.SourceData_Poultry_Liveweights_Unit">_xlfn.LAMBDA("kg")</definedName>
    <definedName name="SourceData_Poultry.SourceData_Poultry_Liveweights_Variation">_xlfn.LAMBDA("")</definedName>
    <definedName name="SourceData_Poultry.SourceData_Poultry_MCF_Data">_xlfn.LAMBDA(_xlfn.MAKEARRAY(10, 11, _xlfn.LAMBDA(_xlpm.r,_xlpm.c, INDEX({"MMS m","All states","NSW","ACT","QLD","NT","VIC","SA","WA","TAS","NIR definition";"Poultry manure with litter",0.015,0.015,0.015,0.015,0.015,0.015,0.015,0.015,0.015,"Poultry manure with bedding";"Poultry manure without litter",0.015,0.015,0.015,0.015,0.015,0.015,0.015,0.015,0.015,"Belt manure removal";"Poultry manure without litter",0.015,0.015,0.015,0.015,0.015,0.015,0.015,0.015,0.015,"Manure stored in house";"Pasture range and paddock","n/a",0.01,0.01,0.03,0.03,0.01,0.01,0.01,0.01,"Pasture range and paddock";"Solid storage",0.02,0.02,0.02,0.02,0.02,0.02,0.02,0.02,0.02,"Solid storage";"Composting (passive windrow)","n/a",0.01,0.01,0.01,0.01,0.01,0.01,0.01,0.005,"Composting (passive windrow)";"Anaerobic digester / Covered pond",0.1,0.1,0.1,0.1,0.1,0.1,0.1,0.1,0.1,"Digester / covered lagoons";"Direct processing",0,0,0,0,0,0,0,0,0,"Direct processing";"Direct application to soil",0,0,0,0,0,0,0,0,0,"Direct application"}, _xlpm.r, _xlpm.c))))</definedName>
    <definedName name="SourceData_Poultry.SourceData_Poultry_MCF_Notes">_xlfn.LAMBDA("'Pasture range and paddock' applies MCF for drylot.")</definedName>
    <definedName name="SourceData_Poultry.SourceData_Poultry_MCF_Source">_xlfn.LAMBDA("VEERG 2026: Table A.1.7.4: Poultry - MCFs")</definedName>
    <definedName name="SourceData_Poultry.SourceData_Poultry_MCF_Title">_xlfn.LAMBDA("Poultry - MCFs")</definedName>
    <definedName name="SourceData_Poultry.SourceData_Poultry_MCF_Unit">_xlfn.LAMBDA("")</definedName>
    <definedName name="SourceData_Poultry.SourceData_Poultry_MCF_Variation">_xlfn.LAMBDA(_xlfn.MAKEARRAY(5, 1, _xlfn.LAMBDA(_xlpm.r,_xlpm.c, INDEX({"VARIATION ON SOURCE:";"Split NSW and ACT into separate states. Split QLD and NT into separate states.";"Included values for each state when 'All states' value is given.";"Added 'NIR definition' column with MMS names that match NIR definitions.";"Duplicated 'Poultry manure without litter' row for NIR MMS 'Belt manure removal' and 'Manure stored in house'"}, _xlpm.r, _xlpm.c))))</definedName>
    <definedName name="SourceData_Poultry.SourceData_Poultry_MethaneEmissionsPotential_Data">_xlfn.LAMBDA(_xlfn.MAKEARRAY(3, 2, _xlfn.LAMBDA(_xlpm.r,_xlpm.c, INDEX({"Poultry class","B0";"Layers",0.39;"Meat chickens",0.36}, _xlpm.r, _xlpm.c))))</definedName>
    <definedName name="SourceData_Poultry.SourceData_Poultry_MethaneEmissionsPotential_Source">_xlfn.LAMBDA("VEERG 2026: 4.6.2.3 CONSTANT: Poultry - Methane emissions potential per class")</definedName>
    <definedName name="SourceData_Poultry.SourceData_Poultry_MethaneEmissionsPotential_Title">_xlfn.LAMBDA("Poultry - Methane emissions potential per class")</definedName>
    <definedName name="SourceData_Poultry.SourceData_Poultry_MethaneEmissionsPotential_Unit">_xlfn.LAMBDA("m3 CH4/kg VS")</definedName>
    <definedName name="SourceData_Poultry.SourceData_Poultry_MethaneEmissionsPotential_Variation">_xlfn.LAMBDA("")</definedName>
    <definedName name="SourceData_Poultry.SourceData_Poultry_ProductionSystems_Data">_xlfn.LAMBDA(_xlfn.MAKEARRAY(4, 1, _xlfn.LAMBDA(_xlpm.r,_xlpm.c, INDEX({"Production system";"Free range";"Barn";"Cage"}, _xlpm.r, _xlpm.c))))</definedName>
    <definedName name="SourceData_Poultry.SourceData_Poultry_ProductionSystems_Source">_xlfn.LAMBDA("VEERG 2026: 4.6 Poultry")</definedName>
    <definedName name="SourceData_Poultry.SourceData_Poultry_ProductionSystems_Title">_xlfn.LAMBDA("Poultry - Production systems")</definedName>
    <definedName name="SourceData_Poultry.SourceData_Poultry_ProductionSystems_Unit">_xlfn.LAMBDA("")</definedName>
    <definedName name="SourceData_Poultry.SourceData_Poultry_ProductionSystems_Variation">_xlfn.LAMBDA("")</definedName>
    <definedName name="SourceData_Poultry.SourceData_Poultry_VSL_Data">_xlfn.LAMBDA(_xlfn.MAKEARRAY(4, 3, _xlfn.LAMBDA(_xlpm.r,_xlpm.c, INDEX({"MMS","VSL","NIR definition";"Poultry manure with litter",0.15,"Poultry manure with bedding";"Poultry manure without litter - stored in house",0.2,"Manure stored in house";"Poultry manure without litter - belt removal",0,"Belt manure removal"}, _xlpm.r, _xlpm.c))))</definedName>
    <definedName name="SourceData_Poultry.SourceData_Poultry_VSL_Source">_xlfn.LAMBDA("VEERG 2026: 4.6.2.3 CONSTANT")</definedName>
    <definedName name="SourceData_Poultry.SourceData_Poultry_VSL_Title">_xlfn.LAMBDA("Poultry - Fraction of volatile solids lost in the primary MMS")</definedName>
    <definedName name="SourceData_Poultry.SourceData_Poultry_VSL_Unit">_xlfn.LAMBDA("")</definedName>
    <definedName name="SourceData_Poultry.SourceData_Poultry_VSL_Variation">_xlfn.LAMBDA("VARIATION ON SOURCE: Table generated from line items. Added 'NIR definition column'.")</definedName>
    <definedName name="SourceData_Swine.SourceData_Swine_AverageLiveweight_Data">_xlfn.LAMBDA(_xlfn.MAKEARRAY(6, 2, _xlfn.LAMBDA(_xlpm.r,_xlpm.c, INDEX({"Livestock Type j","Average Liveweight (kg)";"Sows",188;"Boars",206;"Gilts",125;"Slaughter pigs",39;"Slaughter pigs at turnoff",97}, _xlpm.r, _xlpm.c))))</definedName>
    <definedName name="SourceData_Swine.SourceData_Swine_AverageLiveweight_Source">_xlfn.LAMBDA("VEERG 2026: Table A.1.6.5: Swine - Average liveweight (inventory defaults) (kg) (Wco)")</definedName>
    <definedName name="SourceData_Swine.SourceData_Swine_AverageLiveweight_Title">_xlfn.LAMBDA("Swine - Average liveweight (inventory defaults) (kg) (Wco)")</definedName>
    <definedName name="SourceData_Swine.SourceData_Swine_AverageLiveweight_Unit">_xlfn.LAMBDA("kg")</definedName>
    <definedName name="SourceData_Swine.SourceData_Swine_AverageLiveweight_Variation">_xlfn.LAMBDA(".")</definedName>
    <definedName name="SourceData_Swine.SourceData_Swine_FeedIntake_Data">_xlfn.LAMBDA(_xlfn.MAKEARRAY(5, 2, _xlfn.LAMBDA(_xlpm.r,_xlpm.c, INDEX({"Class","Ij";"Boars",2.62;"Sows",2.3;"Gilts",2.5;"Others",1.71}, _xlpm.r, _xlpm.c))))</definedName>
    <definedName name="SourceData_Swine.SourceData_Swine_FeedIntake_Source">_xlfn.LAMBDA("VEERG 2026: Table A.1.6.1: Swine - Intake and manure characteristics derived from PigBal")</definedName>
    <definedName name="SourceData_Swine.SourceData_Swine_FeedIntake_Title">_xlfn.LAMBDA("Swine - Feed intake - ingested as fed  (Ij) - 2020 to 2024")</definedName>
    <definedName name="SourceData_Swine.SourceData_Swine_FeedIntake_Unit">_xlfn.LAMBDA("kg/head/day")</definedName>
    <definedName name="SourceData_Swine.SourceData_Swine_FeedIntake_Variation">_xlfn.LAMBDA("VARIATION ON SOURCE DATA: Only uses data for 2020-2024. Use 'Slaughter pigs' data for 'Other j=4' class.")</definedName>
    <definedName name="SourceData_Swine.SourceData_Swine_FracLEACH_DrylotMMS_Data">_xlfn.LAMBDA(0.02)</definedName>
    <definedName name="SourceData_Swine.SourceData_Swine_FracLEACH_DrylotMMS_Source">_xlfn.LAMBDA("VEERG 2026: 4.5.2.3 CONSTANT")</definedName>
    <definedName name="SourceData_Swine.SourceData_Swine_FracLEACH_DrylotMMS_Title">_xlfn.LAMBDA("Fraction of nitrogen lost through leaching and runoff for drylot MMS")</definedName>
    <definedName name="SourceData_Swine.SourceData_Swine_FracLEACH_DrylotMMS_Unit">_xlfn.LAMBDA("fraction")</definedName>
    <definedName name="SourceData_Swine.SourceData_Swine_FracLEACH_DrylotMMS_Variable">_xlfn.LAMBDA("FracLEACH_MS")</definedName>
    <definedName name="SourceData_Swine.SourceData_Swine_FracLEACH_DrylotMMS_Variation">_xlfn.LAMBDA("VARIATION ON SOURCE: Text refers to 'solid storage' MMS, but equation refers to 'drylot' MMS.")</definedName>
    <definedName name="SourceData_Swine.SourceData_Swine_FractionNVolatilised_Data">_xlfn.LAMBDA(_xlfn.MAKEARRAY(7, 3, _xlfn.LAMBDA(_xlpm.r,_xlpm.c, INDEX({"MMSm","FracGASMmT","NIR reference";"Outdoor (Dry lot)",0.3,"Drylot (feed pad)";"Deep litter",0.125,"Deep litter";"Stockpile (Solid storage)",0.2,"Solid storage";"Effluent pond (Uncovered anaerobic lagoon)",0.55,"Anaerobic lagoon";"Anaerobic digester / Covered lagoon",0,"Digester / covered lagoons";"Short HRT tank storage &lt; 1 month (pit storage)",0.25,"Pit storage"}, _xlpm.r, _xlpm.c))))</definedName>
    <definedName name="SourceData_Swine.SourceData_Swine_FractionNVolatilised_Source">_xlfn.LAMBDA("VEERG 2026: Table A.1.6.2: Swine - Fraction of N volatilised by MMS ((kg NH3-N + NOx-N)/kgN) (FracGASMmT)")</definedName>
    <definedName name="SourceData_Swine.SourceData_Swine_FractionNVolatilised_Title">_xlfn.LAMBDA("Swine - Fraction of nitrogen volatilised (FracGASMmT)")</definedName>
    <definedName name="SourceData_Swine.SourceData_Swine_FractionNVolatilised_Unit">_xlfn.LAMBDA("(kg NH3-N + NOx-N)/kgN")</definedName>
    <definedName name="SourceData_Swine.SourceData_Swine_FractionNVolatilised_Variation">_xlfn.LAMBDA("VARIATION ON SOURCE DATA: Added 'NIR reference column to aid lookup.")</definedName>
    <definedName name="SourceData_Swine.SourceData_Swine_MegajoulesPerKilogramMethane_Data">_xlfn.LAMBDA(55.22)</definedName>
    <definedName name="SourceData_Swine.SourceData_Swine_MegajoulesPerKilogramMethane_Source">_xlfn.LAMBDA("VEERG 2026: 3.5.2.3 CONSTANT")</definedName>
    <definedName name="SourceData_Swine.SourceData_Swine_MegajoulesPerKilogramMethane_Title">_xlfn.LAMBDA("Megajoules per kilogram of methane")</definedName>
    <definedName name="SourceData_Swine.SourceData_Swine_MegajoulesPerKilogramMethane_Unit">_xlfn.LAMBDA("MJ / kg CH4")</definedName>
    <definedName name="SourceData_Swine.SourceData_Swine_MegajoulesPerKilogramMethane_Variable">_xlfn.LAMBDA("F")</definedName>
    <definedName name="SourceData_Swine.SourceData_Swine_MegajoulesPerKilogramMethane_Variation">_xlfn.LAMBDA("")</definedName>
    <definedName name="SourceData_Swine.SourceData_Swine_MethaneVolatileSolidsEmissionsPotential_Data">_xlfn.LAMBDA(0.19)</definedName>
    <definedName name="SourceData_Swine.SourceData_Swine_MethaneVolatileSolidsEmissionsPotential_Source">_xlfn.LAMBDA("IPCC (2019), Chapter 10 [4]")</definedName>
    <definedName name="SourceData_Swine.SourceData_Swine_MethaneVolatileSolidsEmissionsPotential_Title">_xlfn.LAMBDA("Emissions potential of methane per kilogram of volatile solids")</definedName>
    <definedName name="SourceData_Swine.SourceData_Swine_MethaneVolatileSolidsEmissionsPotential_Unit">_xlfn.LAMBDA("m3 CH4 / kg VS")</definedName>
    <definedName name="SourceData_Swine.SourceData_Swine_MethaneVolatileSolidsEmissionsPotential_Variable">_xlfn.LAMBDA("B0")</definedName>
    <definedName name="SourceData_Swine.SourceData_Swine_MethaneVolatileSolidsEmissionsPotential_Variation">_xlfn.LAMBDA("")</definedName>
    <definedName name="SourceData_Swine.SourceData_Swine_MMS_MCFs_Data">_xlfn.LAMBDA(_xlfn.MAKEARRAY(8, 10, _xlfn.LAMBDA(_xlpm.r,_xlpm.c, INDEX({"MMS","NSW","ACT","QLD","NT","SA","TAS","VIC","WA","NIR definition";"Outdoor (Dry lot)",0.01,0.01,0.03,0.03,0.01,0.01,0.01,0.01,"Drylot (feed pad)";"Deep litter",0.04,0.04,0.04,0.04,0.04,0.04,0.04,0.04,"Deep litter";"Stockpile (Solid storage)",0.02,0.02,0.02,0.02,0.02,0.02,0.02,0.02,"Solid storage";"Effluent pond (Uncovered anaerobic lagoon)",0.75,0.75,0.78,0.78,0.75,0.7,0.74,0.76,"Anaerobic lagoon";"Anaerobic digester / Covered lagoon",0.1,0.1,0.1,0.1,0.1,0.1,0.1,0.1,"Digester / covered lagoons";"Short HRT tank storage &lt; 1 month (pit storage)",0.03,0.03,0.03,0.03,0.03,0.03,0.03,0.03,"Pit storage";"Direct Application to soil",0,0,0,0,0,0,0,0,"Direct application"}, _xlpm.r, _xlpm.c))))</definedName>
    <definedName name="SourceData_Swine.SourceData_Swine_MMS_MCFs_Source">_xlfn.LAMBDA("VEERG 2026: Table A.1.6.4: Swine - MCFs (MCFim)")</definedName>
    <definedName name="SourceData_Swine.SourceData_Swine_MMS_MCFs_Title">_xlfn.LAMBDA("Methane conversion factor for temperature zone and manure management system.")</definedName>
    <definedName name="SourceData_Swine.SourceData_Swine_MMS_MCFs_Unit">_xlfn.LAMBDA("")</definedName>
    <definedName name="SourceData_Swine.SourceData_Swine_MMS_MCFs_Variation">_xlfn.LAMBDA("VARIATION ON SOURCE DATA: Added columns for ACT, split QLD and NT. Added extra column with MMS names that match NIR definitions")</definedName>
    <definedName name="SourceData_Swine.SourceData_Swine_NitrogenInWaste_Data">_xlfn.LAMBDA(_xlfn.MAKEARRAY(5, 4, _xlfn.LAMBDA(_xlpm.r,_xlpm.c, INDEX({"Class","NWj","NWj daily","Class name";"Boars",0.046,0.046,"Boars";"Sows",0.049,0.049,"Sows";"Gilts",0.046,0.046,"Gilts";"Others (kg/head/year)",11.4,0.0312,"Others"}, _xlpm.r, _xlpm.c))))</definedName>
    <definedName name="SourceData_Swine.SourceData_Swine_NitrogenInWaste_Source">_xlfn.LAMBDA("VEERG 2026: Table A.1.6.1: Swine - Intake and manure characteristics derived from PigBal")</definedName>
    <definedName name="SourceData_Swine.SourceData_Swine_NitrogenInWaste_Title">_xlfn.LAMBDA("Swine - Nitrogen in waste (NWj) - 2020 to 2024")</definedName>
    <definedName name="SourceData_Swine.SourceData_Swine_NitrogenInWaste_Unit">_xlfn.LAMBDA("kg/head/day")</definedName>
    <definedName name="SourceData_Swine.SourceData_Swine_NitrogenInWaste_Variation">_xlfn.LAMBDA("VARIATION ON SOURCE DATA: Only uses data for 2020-2024. Use 'Slaughter pigs' data for 'Other j=4' class. Added 'NWj daily' column to provide daily value for Others class. Added 'Class name' column to aid lookup.")</definedName>
    <definedName name="SourceData_Swine.SourceData_Swine_NitrousOxideEFs_Data">_xlfn.LAMBDA(_xlfn.MAKEARRAY(7, 3, _xlfn.LAMBDA(_xlpm.r,_xlpm.c, INDEX({"MMSm","EFmT","NIR reference";"Outdoor (Dry lot)",0.02,"Drylot (feed pad)";"Deep litter",0.01,"Deep litter";"Stockpile (Solid storage)",0.005,"Solid storage";"Effluent pond (Uncovered anaerobic lagoon)",0,"Anaerobic lagoon";"Anaerobic digestor / Covered lagoon",0,"Digester / covered lagoons";"Short HRT tank storage &lt; 1 month (pit storage)",0.002,"Pit storage"}, _xlpm.r, _xlpm.c))))</definedName>
    <definedName name="SourceData_Swine.SourceData_Swine_NitrousOxideEFs_Source">_xlfn.LAMBDA("VEERG 2026: Table A.1.6.3: Swine - Nitrous oxide EFs by MMS (kgN2O-N/kgN) (EFmT)")</definedName>
    <definedName name="SourceData_Swine.SourceData_Swine_NitrousOxideEFs_Title">_xlfn.LAMBDA("Swine - Nitrous oxide EFs by MMS (EFmT)")</definedName>
    <definedName name="SourceData_Swine.SourceData_Swine_NitrousOxideEFs_Unit">_xlfn.LAMBDA("kgN2O - N / kgN")</definedName>
    <definedName name="SourceData_Swine.SourceData_Swine_NitrousOxideEFs_Variation">_xlfn.LAMBDA("VARIATION ON SOURCE DATA: Added 'NIR reference column to aid lookup.")</definedName>
    <definedName name="SourceData_Swine.SourceData_Swine_ProductionSystems_Data">_xlfn.LAMBDA(_xlfn.MAKEARRAY(4, 1, _xlfn.LAMBDA(_xlpm.r,_xlpm.c, INDEX({"Production system";"Conventional housing";"Deep litter housing";"Outdoor/free range"}, _xlpm.r, _xlpm.c))))</definedName>
    <definedName name="SourceData_Swine.SourceData_Swine_ProductionSystems_Source">_xlfn.LAMBDA("VEERG 2026: 4.5 Swine Figure 4.8")</definedName>
    <definedName name="SourceData_Swine.SourceData_Swine_ProductionSystems_Title">_xlfn.LAMBDA("Swine production systems")</definedName>
    <definedName name="SourceData_Swine.SourceData_Swine_ProductionSystems_Unit">_xlfn.LAMBDA("")</definedName>
    <definedName name="SourceData_Swine.SourceData_Swine_ProductionSystems_Variation">_xlfn.LAMBDA("")</definedName>
    <definedName name="SourceData_Swine.SourceData_Swine_VolatileSolids_Data">_xlfn.LAMBDA(_xlfn.MAKEARRAY(5, 2, _xlfn.LAMBDA(_xlpm.r,_xlpm.c, INDEX({"Class","VSj";"Boars",0.4;"Sows",0.46;"Gilts",0.55;"Others",0.39}, _xlpm.r, _xlpm.c))))</definedName>
    <definedName name="SourceData_Swine.SourceData_Swine_VolatileSolids_Source">_xlfn.LAMBDA("VEERG 2026: Table A.1.6.1: Swine - Intake and manure characteristics derived from PigBal")</definedName>
    <definedName name="SourceData_Swine.SourceData_Swine_VolatileSolids_Title">_xlfn.LAMBDA("Swine - Volatile solids (VSj) - 2020 to 2024")</definedName>
    <definedName name="SourceData_Swine.SourceData_Swine_VolatileSolids_Unit">_xlfn.LAMBDA("kg/head/day")</definedName>
    <definedName name="SourceData_Swine.SourceData_Swine_VolatileSolids_Variation">_xlfn.LAMBDA("VARIATION ON SOURCE DATA: Only uses data for 2020-2024. Use 'Slaughter pigs' data for 'Other j=4' class.")</definedName>
    <definedName name="Step1">#REF!</definedName>
    <definedName name="Step2">#REF!</definedName>
    <definedName name="Step3">#REF!</definedName>
    <definedName name="ValidLivestockClass">_xlfn.UNIQUE(_xlfn._xlws.FILTER(#REF!,#REF! =#REF!))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warnBelowVersion="2" setVersion="2"/>
    </ext>
  </extLst>
</workbook>
</file>

<file path=xl/calcChain.xml><?xml version="1.0" encoding="utf-8"?>
<calcChain xmlns="http://schemas.openxmlformats.org/spreadsheetml/2006/main">
  <c r="J139" i="4" l="1"/>
  <c r="E139" i="4"/>
  <c r="J138" i="4"/>
  <c r="G138" i="4"/>
  <c r="E138" i="4"/>
  <c r="J137" i="4"/>
  <c r="G137" i="4"/>
  <c r="E137" i="4"/>
  <c r="D137" i="4"/>
  <c r="J136" i="4"/>
  <c r="G136" i="4"/>
  <c r="E136" i="4"/>
  <c r="D136" i="4"/>
  <c r="J135" i="4"/>
  <c r="G135" i="4"/>
  <c r="E135" i="4"/>
  <c r="D135" i="4"/>
  <c r="J134" i="4"/>
  <c r="G134" i="4"/>
  <c r="E134" i="4"/>
  <c r="D134" i="4"/>
  <c r="J133" i="4"/>
  <c r="G133" i="4"/>
  <c r="F133" i="4"/>
  <c r="E133" i="4"/>
  <c r="D133" i="4"/>
  <c r="J132" i="4"/>
  <c r="I132" i="4"/>
  <c r="G132" i="4"/>
  <c r="F132" i="4"/>
  <c r="E132" i="4"/>
  <c r="D132" i="4"/>
  <c r="J131" i="4"/>
  <c r="I131" i="4"/>
  <c r="H131" i="4"/>
  <c r="G131" i="4"/>
  <c r="F131" i="4"/>
  <c r="E131" i="4"/>
  <c r="D131" i="4"/>
  <c r="F120" i="4" a="1"/>
  <c r="F120" i="4" s="1"/>
  <c r="E120" i="4" a="1"/>
  <c r="E120" i="4" s="1"/>
  <c r="D120" i="4" a="1"/>
  <c r="D120" i="4" s="1"/>
  <c r="F119" i="4" a="1"/>
  <c r="F119" i="4" s="1"/>
  <c r="E119" i="4" a="1"/>
  <c r="E119" i="4" s="1"/>
  <c r="D119" i="4" a="1"/>
  <c r="D119" i="4" s="1"/>
  <c r="F118" i="4" a="1"/>
  <c r="F118" i="4" s="1"/>
  <c r="E118" i="4" a="1"/>
  <c r="E118" i="4" s="1"/>
  <c r="D118" i="4" a="1"/>
  <c r="D118" i="4" s="1"/>
  <c r="F117" i="4" a="1"/>
  <c r="F117" i="4" s="1"/>
  <c r="E117" i="4" a="1"/>
  <c r="E117" i="4" s="1"/>
  <c r="D117" i="4" a="1"/>
  <c r="D117" i="4" s="1"/>
  <c r="F116" i="4" a="1"/>
  <c r="F116" i="4" s="1"/>
  <c r="E116" i="4" a="1"/>
  <c r="E116" i="4" s="1"/>
  <c r="D116" i="4" a="1"/>
  <c r="D116" i="4" s="1"/>
  <c r="F115" i="4" a="1"/>
  <c r="F115" i="4" s="1"/>
  <c r="E115" i="4" a="1"/>
  <c r="E115" i="4" s="1"/>
  <c r="D115" i="4" a="1"/>
  <c r="D115" i="4" s="1"/>
  <c r="F114" i="4" a="1"/>
  <c r="F114" i="4" s="1"/>
  <c r="E114" i="4" a="1"/>
  <c r="E114" i="4" s="1"/>
  <c r="D114" i="4" a="1"/>
  <c r="D114" i="4" s="1"/>
  <c r="G113" i="4" a="1"/>
  <c r="G113" i="4" s="1"/>
  <c r="F113" i="4" a="1"/>
  <c r="F113" i="4" s="1"/>
  <c r="E113" i="4" a="1"/>
  <c r="E113" i="4" s="1"/>
  <c r="D113" i="4" a="1"/>
  <c r="D113" i="4" s="1"/>
  <c r="D110" i="4" a="1"/>
  <c r="D110" i="4" s="1"/>
  <c r="D109" i="4" a="1"/>
  <c r="D109" i="4" s="1"/>
  <c r="D108" i="4" a="1"/>
  <c r="D108" i="4" s="1"/>
  <c r="D107" i="4" a="1"/>
  <c r="D107" i="4" s="1"/>
  <c r="J104" i="4" a="1"/>
  <c r="J104" i="4" s="1"/>
  <c r="I104" i="4" a="1"/>
  <c r="I104" i="4" s="1"/>
  <c r="H104" i="4" a="1"/>
  <c r="H104" i="4" s="1"/>
  <c r="G104" i="4" a="1"/>
  <c r="G104" i="4" s="1"/>
  <c r="F104" i="4" a="1"/>
  <c r="F104" i="4" s="1"/>
  <c r="E104" i="4" a="1"/>
  <c r="E104" i="4" s="1"/>
  <c r="D104" i="4" a="1"/>
  <c r="D104" i="4" s="1"/>
  <c r="J103" i="4" a="1"/>
  <c r="J103" i="4" s="1"/>
  <c r="I103" i="4" a="1"/>
  <c r="I103" i="4" s="1"/>
  <c r="H103" i="4" a="1"/>
  <c r="H103" i="4" s="1"/>
  <c r="G103" i="4" a="1"/>
  <c r="G103" i="4" s="1"/>
  <c r="F103" i="4" a="1"/>
  <c r="F103" i="4" s="1"/>
  <c r="E103" i="4" a="1"/>
  <c r="E103" i="4" s="1"/>
  <c r="D103" i="4" a="1"/>
  <c r="D103" i="4" s="1"/>
  <c r="J102" i="4" a="1"/>
  <c r="J102" i="4" s="1"/>
  <c r="I102" i="4" a="1"/>
  <c r="I102" i="4" s="1"/>
  <c r="H102" i="4" a="1"/>
  <c r="H102" i="4" s="1"/>
  <c r="G102" i="4" a="1"/>
  <c r="G102" i="4" s="1"/>
  <c r="F102" i="4" a="1"/>
  <c r="F102" i="4" s="1"/>
  <c r="E102" i="4" a="1"/>
  <c r="E102" i="4" s="1"/>
  <c r="D102" i="4" a="1"/>
  <c r="D102" i="4" s="1"/>
  <c r="J101" i="4" a="1"/>
  <c r="J101" i="4" s="1"/>
  <c r="I101" i="4" a="1"/>
  <c r="I101" i="4" s="1"/>
  <c r="H101" i="4" a="1"/>
  <c r="H101" i="4" s="1"/>
  <c r="G101" i="4" a="1"/>
  <c r="G101" i="4" s="1"/>
  <c r="F101" i="4" a="1"/>
  <c r="F101" i="4" s="1"/>
  <c r="E101" i="4" a="1"/>
  <c r="E101" i="4" s="1"/>
  <c r="D101" i="4" a="1"/>
  <c r="D101" i="4" s="1"/>
  <c r="J100" i="4" a="1"/>
  <c r="J100" i="4" s="1"/>
  <c r="I100" i="4" a="1"/>
  <c r="I100" i="4" s="1"/>
  <c r="H100" i="4" a="1"/>
  <c r="H100" i="4" s="1"/>
  <c r="G100" i="4" a="1"/>
  <c r="G100" i="4" s="1"/>
  <c r="F100" i="4" a="1"/>
  <c r="F100" i="4" s="1"/>
  <c r="E100" i="4" a="1"/>
  <c r="E100" i="4" s="1"/>
  <c r="D100" i="4" a="1"/>
  <c r="D100" i="4" s="1"/>
  <c r="J99" i="4" a="1"/>
  <c r="J99" i="4" s="1"/>
  <c r="I99" i="4" a="1"/>
  <c r="I99" i="4" s="1"/>
  <c r="H99" i="4" a="1"/>
  <c r="H99" i="4" s="1"/>
  <c r="G99" i="4" a="1"/>
  <c r="G99" i="4" s="1"/>
  <c r="F99" i="4" a="1"/>
  <c r="F99" i="4" s="1"/>
  <c r="E99" i="4" a="1"/>
  <c r="E99" i="4" s="1"/>
  <c r="D99" i="4" a="1"/>
  <c r="D99" i="4" s="1"/>
  <c r="J98" i="4" a="1"/>
  <c r="J98" i="4" s="1"/>
  <c r="I98" i="4" a="1"/>
  <c r="I98" i="4" s="1"/>
  <c r="H98" i="4" a="1"/>
  <c r="H98" i="4" s="1"/>
  <c r="G98" i="4" a="1"/>
  <c r="G98" i="4" s="1"/>
  <c r="F98" i="4" a="1"/>
  <c r="F98" i="4" s="1"/>
  <c r="E98" i="4" a="1"/>
  <c r="E98" i="4" s="1"/>
  <c r="D98" i="4" a="1"/>
  <c r="D98" i="4" s="1"/>
  <c r="J97" i="4" a="1"/>
  <c r="J97" i="4" s="1"/>
  <c r="I97" i="4" a="1"/>
  <c r="I97" i="4" s="1"/>
  <c r="H97" i="4" a="1"/>
  <c r="H97" i="4" s="1"/>
  <c r="G97" i="4" a="1"/>
  <c r="G97" i="4" s="1"/>
  <c r="F97" i="4" a="1"/>
  <c r="F97" i="4" s="1"/>
  <c r="E97" i="4" a="1"/>
  <c r="E97" i="4" s="1"/>
  <c r="D97" i="4" a="1"/>
  <c r="D97" i="4" s="1"/>
  <c r="J96" i="4" a="1"/>
  <c r="J96" i="4" s="1"/>
  <c r="I96" i="4" a="1"/>
  <c r="I96" i="4" s="1"/>
  <c r="H96" i="4" a="1"/>
  <c r="H96" i="4" s="1"/>
  <c r="G96" i="4" a="1"/>
  <c r="G96" i="4" s="1"/>
  <c r="F96" i="4" a="1"/>
  <c r="F96" i="4" s="1"/>
  <c r="E96" i="4" a="1"/>
  <c r="E96" i="4" s="1"/>
  <c r="D96" i="4" a="1"/>
  <c r="D96" i="4" s="1"/>
  <c r="J95" i="4" a="1"/>
  <c r="J95" i="4" s="1"/>
  <c r="I95" i="4" a="1"/>
  <c r="I95" i="4" s="1"/>
  <c r="H95" i="4" a="1"/>
  <c r="H95" i="4" s="1"/>
  <c r="G95" i="4" a="1"/>
  <c r="G95" i="4" s="1"/>
  <c r="F95" i="4" a="1"/>
  <c r="F95" i="4" s="1"/>
  <c r="E95" i="4" a="1"/>
  <c r="E95" i="4" s="1"/>
  <c r="D95" i="4" a="1"/>
  <c r="D95" i="4" s="1"/>
  <c r="J94" i="4" a="1"/>
  <c r="J94" i="4" s="1"/>
  <c r="I94" i="4" a="1"/>
  <c r="I94" i="4" s="1"/>
  <c r="H94" i="4" a="1"/>
  <c r="H94" i="4" s="1"/>
  <c r="G94" i="4" a="1"/>
  <c r="G94" i="4" s="1"/>
  <c r="F94" i="4" a="1"/>
  <c r="F94" i="4" s="1"/>
  <c r="E94" i="4" a="1"/>
  <c r="E94" i="4" s="1"/>
  <c r="D94" i="4" a="1"/>
  <c r="D94" i="4" s="1"/>
  <c r="J93" i="4" a="1"/>
  <c r="J93" i="4" s="1"/>
  <c r="I93" i="4" a="1"/>
  <c r="I93" i="4" s="1"/>
  <c r="H93" i="4" a="1"/>
  <c r="H93" i="4" s="1"/>
  <c r="G93" i="4" a="1"/>
  <c r="G93" i="4" s="1"/>
  <c r="F93" i="4" a="1"/>
  <c r="F93" i="4" s="1"/>
  <c r="E93" i="4" a="1"/>
  <c r="E93" i="4" s="1"/>
  <c r="D93" i="4" a="1"/>
  <c r="D93" i="4" s="1"/>
  <c r="J92" i="4" a="1"/>
  <c r="J92" i="4" s="1"/>
  <c r="I92" i="4" a="1"/>
  <c r="I92" i="4" s="1"/>
  <c r="H92" i="4" a="1"/>
  <c r="H92" i="4" s="1"/>
  <c r="G92" i="4" a="1"/>
  <c r="G92" i="4" s="1"/>
  <c r="F92" i="4" a="1"/>
  <c r="F92" i="4" s="1"/>
  <c r="E92" i="4" a="1"/>
  <c r="E92" i="4" s="1"/>
  <c r="D92" i="4" a="1"/>
  <c r="D92" i="4" s="1"/>
  <c r="J91" i="4" a="1"/>
  <c r="J91" i="4" s="1"/>
  <c r="I91" i="4" a="1"/>
  <c r="I91" i="4" s="1"/>
  <c r="H91" i="4" a="1"/>
  <c r="H91" i="4" s="1"/>
  <c r="G91" i="4" a="1"/>
  <c r="G91" i="4" s="1"/>
  <c r="F91" i="4" a="1"/>
  <c r="F91" i="4" s="1"/>
  <c r="E91" i="4" a="1"/>
  <c r="E91" i="4" s="1"/>
  <c r="D91" i="4" a="1"/>
  <c r="D91" i="4" s="1"/>
  <c r="J90" i="4" a="1"/>
  <c r="J90" i="4" s="1"/>
  <c r="I90" i="4" a="1"/>
  <c r="I90" i="4" s="1"/>
  <c r="H90" i="4" a="1"/>
  <c r="H90" i="4" s="1"/>
  <c r="G90" i="4" a="1"/>
  <c r="G90" i="4" s="1"/>
  <c r="F90" i="4" a="1"/>
  <c r="F90" i="4" s="1"/>
  <c r="E90" i="4" a="1"/>
  <c r="E90" i="4" s="1"/>
  <c r="D90" i="4" a="1"/>
  <c r="D90" i="4" s="1"/>
  <c r="J89" i="4" a="1"/>
  <c r="J89" i="4" s="1"/>
  <c r="I89" i="4" a="1"/>
  <c r="I89" i="4" s="1"/>
  <c r="H89" i="4" a="1"/>
  <c r="H89" i="4" s="1"/>
  <c r="G89" i="4" a="1"/>
  <c r="G89" i="4" s="1"/>
  <c r="F89" i="4" a="1"/>
  <c r="F89" i="4" s="1"/>
  <c r="E89" i="4" a="1"/>
  <c r="E89" i="4" s="1"/>
  <c r="D89" i="4" a="1"/>
  <c r="D89" i="4" s="1"/>
  <c r="J88" i="4" a="1"/>
  <c r="J88" i="4" s="1"/>
  <c r="I88" i="4" a="1"/>
  <c r="I88" i="4" s="1"/>
  <c r="H88" i="4" a="1"/>
  <c r="H88" i="4" s="1"/>
  <c r="G88" i="4" a="1"/>
  <c r="G88" i="4" s="1"/>
  <c r="F88" i="4" a="1"/>
  <c r="F88" i="4" s="1"/>
  <c r="E88" i="4" a="1"/>
  <c r="E88" i="4" s="1"/>
  <c r="D88" i="4" a="1"/>
  <c r="D88" i="4" s="1"/>
  <c r="J87" i="4" a="1"/>
  <c r="J87" i="4" s="1"/>
  <c r="I87" i="4" a="1"/>
  <c r="I87" i="4" s="1"/>
  <c r="H87" i="4" a="1"/>
  <c r="H87" i="4" s="1"/>
  <c r="G87" i="4" a="1"/>
  <c r="G87" i="4" s="1"/>
  <c r="F87" i="4" a="1"/>
  <c r="F87" i="4" s="1"/>
  <c r="E87" i="4" a="1"/>
  <c r="E87" i="4" s="1"/>
  <c r="D87" i="4" a="1"/>
  <c r="D87" i="4" s="1"/>
  <c r="D84" i="4" a="1"/>
  <c r="D84" i="4" s="1"/>
  <c r="D83" i="4" a="1"/>
  <c r="D83" i="4" s="1"/>
  <c r="D82" i="4" a="1"/>
  <c r="D82" i="4" s="1"/>
  <c r="D81" i="4" a="1"/>
  <c r="D81" i="4" s="1"/>
  <c r="K77" i="4" a="1"/>
  <c r="K77" i="4" s="1"/>
  <c r="J77" i="4" a="1"/>
  <c r="J77" i="4" s="1"/>
  <c r="I77" i="4" a="1"/>
  <c r="I77" i="4" s="1"/>
  <c r="H77" i="4" a="1"/>
  <c r="H77" i="4" s="1"/>
  <c r="G77" i="4" a="1"/>
  <c r="G77" i="4" s="1"/>
  <c r="F77" i="4" a="1"/>
  <c r="F77" i="4" s="1"/>
  <c r="E77" i="4" a="1"/>
  <c r="E77" i="4" s="1"/>
  <c r="D77" i="4" a="1"/>
  <c r="D77" i="4" s="1"/>
  <c r="K76" i="4" a="1"/>
  <c r="K76" i="4" s="1"/>
  <c r="J76" i="4" a="1"/>
  <c r="J76" i="4" s="1"/>
  <c r="I76" i="4" a="1"/>
  <c r="I76" i="4" s="1"/>
  <c r="H76" i="4" a="1"/>
  <c r="H76" i="4" s="1"/>
  <c r="G76" i="4" a="1"/>
  <c r="G76" i="4" s="1"/>
  <c r="F76" i="4" a="1"/>
  <c r="F76" i="4" s="1"/>
  <c r="E76" i="4" a="1"/>
  <c r="E76" i="4" s="1"/>
  <c r="D76" i="4" a="1"/>
  <c r="D76" i="4" s="1"/>
  <c r="K75" i="4" a="1"/>
  <c r="K75" i="4" s="1"/>
  <c r="J75" i="4" a="1"/>
  <c r="J75" i="4" s="1"/>
  <c r="I75" i="4" a="1"/>
  <c r="I75" i="4" s="1"/>
  <c r="H75" i="4" a="1"/>
  <c r="H75" i="4" s="1"/>
  <c r="G75" i="4" a="1"/>
  <c r="G75" i="4" s="1"/>
  <c r="F75" i="4" a="1"/>
  <c r="F75" i="4" s="1"/>
  <c r="E75" i="4" a="1"/>
  <c r="E75" i="4" s="1"/>
  <c r="D75" i="4" a="1"/>
  <c r="D75" i="4" s="1"/>
  <c r="K74" i="4" a="1"/>
  <c r="K74" i="4" s="1"/>
  <c r="J74" i="4" a="1"/>
  <c r="J74" i="4" s="1"/>
  <c r="I74" i="4" a="1"/>
  <c r="I74" i="4" s="1"/>
  <c r="H74" i="4" a="1"/>
  <c r="H74" i="4" s="1"/>
  <c r="G74" i="4" a="1"/>
  <c r="G74" i="4" s="1"/>
  <c r="F74" i="4" a="1"/>
  <c r="F74" i="4" s="1"/>
  <c r="E74" i="4" a="1"/>
  <c r="E74" i="4" s="1"/>
  <c r="D74" i="4" a="1"/>
  <c r="D74" i="4" s="1"/>
  <c r="K73" i="4" a="1"/>
  <c r="K73" i="4" s="1"/>
  <c r="J73" i="4" a="1"/>
  <c r="J73" i="4" s="1"/>
  <c r="I73" i="4" a="1"/>
  <c r="I73" i="4" s="1"/>
  <c r="H73" i="4" a="1"/>
  <c r="H73" i="4" s="1"/>
  <c r="G73" i="4" a="1"/>
  <c r="G73" i="4" s="1"/>
  <c r="F73" i="4" a="1"/>
  <c r="F73" i="4" s="1"/>
  <c r="E73" i="4" a="1"/>
  <c r="E73" i="4" s="1"/>
  <c r="D73" i="4" a="1"/>
  <c r="D73" i="4" s="1"/>
  <c r="K72" i="4" a="1"/>
  <c r="K72" i="4" s="1"/>
  <c r="J72" i="4" a="1"/>
  <c r="J72" i="4" s="1"/>
  <c r="I72" i="4" a="1"/>
  <c r="I72" i="4" s="1"/>
  <c r="H72" i="4" a="1"/>
  <c r="H72" i="4" s="1"/>
  <c r="G72" i="4" a="1"/>
  <c r="G72" i="4" s="1"/>
  <c r="F72" i="4" a="1"/>
  <c r="F72" i="4" s="1"/>
  <c r="E72" i="4" a="1"/>
  <c r="E72" i="4" s="1"/>
  <c r="D72" i="4" a="1"/>
  <c r="D72" i="4" s="1"/>
  <c r="K71" i="4" a="1"/>
  <c r="K71" i="4" s="1"/>
  <c r="J71" i="4" a="1"/>
  <c r="J71" i="4" s="1"/>
  <c r="I71" i="4" a="1"/>
  <c r="I71" i="4" s="1"/>
  <c r="H71" i="4" a="1"/>
  <c r="H71" i="4" s="1"/>
  <c r="G71" i="4" a="1"/>
  <c r="G71" i="4" s="1"/>
  <c r="F71" i="4" a="1"/>
  <c r="F71" i="4" s="1"/>
  <c r="E71" i="4" a="1"/>
  <c r="E71" i="4" s="1"/>
  <c r="D71" i="4" a="1"/>
  <c r="D71" i="4" s="1"/>
  <c r="K70" i="4" a="1"/>
  <c r="K70" i="4" s="1"/>
  <c r="J70" i="4" a="1"/>
  <c r="J70" i="4" s="1"/>
  <c r="I70" i="4" a="1"/>
  <c r="I70" i="4" s="1"/>
  <c r="H70" i="4" a="1"/>
  <c r="H70" i="4" s="1"/>
  <c r="G70" i="4" a="1"/>
  <c r="G70" i="4" s="1"/>
  <c r="F70" i="4" a="1"/>
  <c r="F70" i="4" s="1"/>
  <c r="E70" i="4" a="1"/>
  <c r="E70" i="4" s="1"/>
  <c r="D70" i="4" a="1"/>
  <c r="D70" i="4" s="1"/>
  <c r="K69" i="4" a="1"/>
  <c r="K69" i="4" s="1"/>
  <c r="J69" i="4" a="1"/>
  <c r="J69" i="4" s="1"/>
  <c r="I69" i="4" a="1"/>
  <c r="I69" i="4" s="1"/>
  <c r="H69" i="4" a="1"/>
  <c r="H69" i="4" s="1"/>
  <c r="G69" i="4" a="1"/>
  <c r="G69" i="4" s="1"/>
  <c r="F69" i="4" a="1"/>
  <c r="F69" i="4" s="1"/>
  <c r="E69" i="4" a="1"/>
  <c r="E69" i="4" s="1"/>
  <c r="D69" i="4" a="1"/>
  <c r="D69" i="4" s="1"/>
  <c r="K68" i="4" a="1"/>
  <c r="K68" i="4" s="1"/>
  <c r="J68" i="4" a="1"/>
  <c r="J68" i="4" s="1"/>
  <c r="I68" i="4" a="1"/>
  <c r="I68" i="4" s="1"/>
  <c r="H68" i="4" a="1"/>
  <c r="H68" i="4" s="1"/>
  <c r="G68" i="4" a="1"/>
  <c r="G68" i="4" s="1"/>
  <c r="F68" i="4" a="1"/>
  <c r="F68" i="4" s="1"/>
  <c r="E68" i="4" a="1"/>
  <c r="E68" i="4" s="1"/>
  <c r="D68" i="4" a="1"/>
  <c r="D68" i="4" s="1"/>
  <c r="K67" i="4" a="1"/>
  <c r="K67" i="4" s="1"/>
  <c r="J67" i="4" a="1"/>
  <c r="J67" i="4" s="1"/>
  <c r="I67" i="4" a="1"/>
  <c r="I67" i="4" s="1"/>
  <c r="H67" i="4" a="1"/>
  <c r="H67" i="4" s="1"/>
  <c r="G67" i="4" a="1"/>
  <c r="G67" i="4" s="1"/>
  <c r="F67" i="4" a="1"/>
  <c r="F67" i="4" s="1"/>
  <c r="E67" i="4" a="1"/>
  <c r="E67" i="4" s="1"/>
  <c r="D67" i="4" a="1"/>
  <c r="D67" i="4" s="1"/>
  <c r="K66" i="4" a="1"/>
  <c r="K66" i="4" s="1"/>
  <c r="J66" i="4" a="1"/>
  <c r="J66" i="4" s="1"/>
  <c r="I66" i="4" a="1"/>
  <c r="I66" i="4" s="1"/>
  <c r="H66" i="4" a="1"/>
  <c r="H66" i="4" s="1"/>
  <c r="G66" i="4" a="1"/>
  <c r="G66" i="4" s="1"/>
  <c r="F66" i="4" a="1"/>
  <c r="F66" i="4" s="1"/>
  <c r="E66" i="4" a="1"/>
  <c r="E66" i="4" s="1"/>
  <c r="D66" i="4" a="1"/>
  <c r="D66" i="4" s="1"/>
  <c r="K65" i="4" a="1"/>
  <c r="K65" i="4" s="1"/>
  <c r="J65" i="4" a="1"/>
  <c r="J65" i="4" s="1"/>
  <c r="I65" i="4" a="1"/>
  <c r="I65" i="4" s="1"/>
  <c r="H65" i="4" a="1"/>
  <c r="H65" i="4" s="1"/>
  <c r="G65" i="4" a="1"/>
  <c r="G65" i="4" s="1"/>
  <c r="F65" i="4" a="1"/>
  <c r="F65" i="4" s="1"/>
  <c r="E65" i="4" a="1"/>
  <c r="E65" i="4" s="1"/>
  <c r="D65" i="4" a="1"/>
  <c r="D65" i="4" s="1"/>
  <c r="K64" i="4" a="1"/>
  <c r="K64" i="4" s="1"/>
  <c r="J64" i="4" a="1"/>
  <c r="J64" i="4" s="1"/>
  <c r="I64" i="4" a="1"/>
  <c r="I64" i="4" s="1"/>
  <c r="H64" i="4" a="1"/>
  <c r="H64" i="4" s="1"/>
  <c r="G64" i="4" a="1"/>
  <c r="G64" i="4" s="1"/>
  <c r="F64" i="4" a="1"/>
  <c r="F64" i="4" s="1"/>
  <c r="E64" i="4" a="1"/>
  <c r="E64" i="4" s="1"/>
  <c r="D64" i="4" a="1"/>
  <c r="D64" i="4" s="1"/>
  <c r="K63" i="4" a="1"/>
  <c r="K63" i="4" s="1"/>
  <c r="J63" i="4" a="1"/>
  <c r="J63" i="4" s="1"/>
  <c r="I63" i="4" a="1"/>
  <c r="I63" i="4" s="1"/>
  <c r="H63" i="4" a="1"/>
  <c r="H63" i="4" s="1"/>
  <c r="G63" i="4" a="1"/>
  <c r="G63" i="4" s="1"/>
  <c r="F63" i="4" a="1"/>
  <c r="F63" i="4" s="1"/>
  <c r="E63" i="4" a="1"/>
  <c r="E63" i="4" s="1"/>
  <c r="D63" i="4" a="1"/>
  <c r="D63" i="4" s="1"/>
  <c r="K62" i="4" a="1"/>
  <c r="K62" i="4" s="1"/>
  <c r="J62" i="4" a="1"/>
  <c r="J62" i="4" s="1"/>
  <c r="I62" i="4" a="1"/>
  <c r="I62" i="4" s="1"/>
  <c r="H62" i="4" a="1"/>
  <c r="H62" i="4" s="1"/>
  <c r="G62" i="4" a="1"/>
  <c r="G62" i="4" s="1"/>
  <c r="F62" i="4" a="1"/>
  <c r="F62" i="4" s="1"/>
  <c r="E62" i="4" a="1"/>
  <c r="E62" i="4" s="1"/>
  <c r="D62" i="4" a="1"/>
  <c r="D62" i="4" s="1"/>
  <c r="K61" i="4" a="1"/>
  <c r="K61" i="4" s="1"/>
  <c r="J61" i="4" a="1"/>
  <c r="J61" i="4" s="1"/>
  <c r="I61" i="4" a="1"/>
  <c r="I61" i="4" s="1"/>
  <c r="H61" i="4" a="1"/>
  <c r="H61" i="4" s="1"/>
  <c r="G61" i="4" a="1"/>
  <c r="G61" i="4" s="1"/>
  <c r="F61" i="4" a="1"/>
  <c r="F61" i="4" s="1"/>
  <c r="E61" i="4" a="1"/>
  <c r="E61" i="4" s="1"/>
  <c r="D61" i="4" a="1"/>
  <c r="D61" i="4" s="1"/>
  <c r="K60" i="4" a="1"/>
  <c r="K60" i="4" s="1"/>
  <c r="J60" i="4" a="1"/>
  <c r="J60" i="4" s="1"/>
  <c r="I60" i="4" a="1"/>
  <c r="I60" i="4" s="1"/>
  <c r="H60" i="4" a="1"/>
  <c r="H60" i="4" s="1"/>
  <c r="G60" i="4" a="1"/>
  <c r="G60" i="4" s="1"/>
  <c r="F60" i="4" a="1"/>
  <c r="F60" i="4" s="1"/>
  <c r="E60" i="4" a="1"/>
  <c r="E60" i="4" s="1"/>
  <c r="D60" i="4" a="1"/>
  <c r="D60" i="4" s="1"/>
  <c r="K59" i="4" a="1"/>
  <c r="K59" i="4" s="1"/>
  <c r="J59" i="4" a="1"/>
  <c r="J59" i="4" s="1"/>
  <c r="I59" i="4" a="1"/>
  <c r="I59" i="4" s="1"/>
  <c r="H59" i="4" a="1"/>
  <c r="H59" i="4" s="1"/>
  <c r="G59" i="4" a="1"/>
  <c r="G59" i="4" s="1"/>
  <c r="F59" i="4" a="1"/>
  <c r="F59" i="4" s="1"/>
  <c r="E59" i="4" a="1"/>
  <c r="E59" i="4" s="1"/>
  <c r="D59" i="4" a="1"/>
  <c r="D59" i="4" s="1"/>
  <c r="K58" i="4" a="1"/>
  <c r="K58" i="4" s="1"/>
  <c r="J58" i="4" a="1"/>
  <c r="J58" i="4" s="1"/>
  <c r="I58" i="4" a="1"/>
  <c r="I58" i="4" s="1"/>
  <c r="H58" i="4" a="1"/>
  <c r="H58" i="4" s="1"/>
  <c r="G58" i="4" a="1"/>
  <c r="G58" i="4" s="1"/>
  <c r="F58" i="4" a="1"/>
  <c r="F58" i="4" s="1"/>
  <c r="E58" i="4" a="1"/>
  <c r="E58" i="4" s="1"/>
  <c r="D58" i="4" a="1"/>
  <c r="D58" i="4" s="1"/>
  <c r="K57" i="4" a="1"/>
  <c r="K57" i="4" s="1"/>
  <c r="J57" i="4" a="1"/>
  <c r="J57" i="4" s="1"/>
  <c r="I57" i="4" a="1"/>
  <c r="I57" i="4" s="1"/>
  <c r="H57" i="4" a="1"/>
  <c r="H57" i="4" s="1"/>
  <c r="G57" i="4" a="1"/>
  <c r="G57" i="4" s="1"/>
  <c r="F57" i="4" a="1"/>
  <c r="F57" i="4" s="1"/>
  <c r="E57" i="4" a="1"/>
  <c r="E57" i="4" s="1"/>
  <c r="D57" i="4" a="1"/>
  <c r="D57" i="4" s="1"/>
  <c r="K56" i="4" a="1"/>
  <c r="K56" i="4" s="1"/>
  <c r="J56" i="4" a="1"/>
  <c r="J56" i="4" s="1"/>
  <c r="I56" i="4" a="1"/>
  <c r="I56" i="4" s="1"/>
  <c r="H56" i="4" a="1"/>
  <c r="H56" i="4" s="1"/>
  <c r="G56" i="4" a="1"/>
  <c r="G56" i="4" s="1"/>
  <c r="F56" i="4" a="1"/>
  <c r="F56" i="4" s="1"/>
  <c r="E56" i="4" a="1"/>
  <c r="E56" i="4" s="1"/>
  <c r="D56" i="4" a="1"/>
  <c r="D56" i="4" s="1"/>
  <c r="K55" i="4" a="1"/>
  <c r="K55" i="4" s="1"/>
  <c r="J55" i="4" a="1"/>
  <c r="J55" i="4" s="1"/>
  <c r="I55" i="4" a="1"/>
  <c r="I55" i="4" s="1"/>
  <c r="H55" i="4" a="1"/>
  <c r="H55" i="4" s="1"/>
  <c r="G55" i="4" a="1"/>
  <c r="G55" i="4" s="1"/>
  <c r="F55" i="4" a="1"/>
  <c r="F55" i="4" s="1"/>
  <c r="E55" i="4" a="1"/>
  <c r="E55" i="4" s="1"/>
  <c r="D55" i="4" a="1"/>
  <c r="D55" i="4" s="1"/>
  <c r="K54" i="4" a="1"/>
  <c r="K54" i="4" s="1"/>
  <c r="J54" i="4" a="1"/>
  <c r="J54" i="4" s="1"/>
  <c r="I54" i="4" a="1"/>
  <c r="I54" i="4" s="1"/>
  <c r="H54" i="4" a="1"/>
  <c r="H54" i="4" s="1"/>
  <c r="G54" i="4" a="1"/>
  <c r="G54" i="4" s="1"/>
  <c r="F54" i="4" a="1"/>
  <c r="F54" i="4" s="1"/>
  <c r="E54" i="4" a="1"/>
  <c r="E54" i="4" s="1"/>
  <c r="D54" i="4" a="1"/>
  <c r="D54" i="4" s="1"/>
  <c r="D52" i="4" a="1"/>
  <c r="D52" i="4" s="1"/>
  <c r="D51" i="4" a="1"/>
  <c r="D51" i="4" s="1"/>
  <c r="D50" i="4" a="1"/>
  <c r="D50" i="4" s="1"/>
  <c r="D49" i="4" a="1"/>
  <c r="D49" i="4" s="1"/>
  <c r="J43" i="4" a="1"/>
  <c r="J43" i="4" s="1"/>
  <c r="I43" i="4" a="1"/>
  <c r="I43" i="4" s="1"/>
  <c r="H43" i="4" a="1"/>
  <c r="H43" i="4" s="1"/>
  <c r="G43" i="4" a="1"/>
  <c r="G43" i="4" s="1"/>
  <c r="F43" i="4" a="1"/>
  <c r="F43" i="4" s="1"/>
  <c r="E43" i="4" a="1"/>
  <c r="E43" i="4" s="1"/>
  <c r="D43" i="4" a="1"/>
  <c r="D43" i="4" s="1"/>
  <c r="J42" i="4" a="1"/>
  <c r="J42" i="4" s="1"/>
  <c r="I42" i="4" a="1"/>
  <c r="I42" i="4" s="1"/>
  <c r="H42" i="4" a="1"/>
  <c r="H42" i="4" s="1"/>
  <c r="G42" i="4" a="1"/>
  <c r="G42" i="4" s="1"/>
  <c r="F42" i="4" a="1"/>
  <c r="F42" i="4" s="1"/>
  <c r="E42" i="4" a="1"/>
  <c r="E42" i="4" s="1"/>
  <c r="D42" i="4" a="1"/>
  <c r="D42" i="4" s="1"/>
  <c r="J41" i="4" a="1"/>
  <c r="J41" i="4" s="1"/>
  <c r="I41" i="4" a="1"/>
  <c r="I41" i="4" s="1"/>
  <c r="H41" i="4" a="1"/>
  <c r="H41" i="4" s="1"/>
  <c r="G41" i="4" a="1"/>
  <c r="G41" i="4" s="1"/>
  <c r="F41" i="4" a="1"/>
  <c r="F41" i="4" s="1"/>
  <c r="E41" i="4" a="1"/>
  <c r="E41" i="4" s="1"/>
  <c r="D41" i="4" a="1"/>
  <c r="D41" i="4" s="1"/>
  <c r="J40" i="4" a="1"/>
  <c r="J40" i="4" s="1"/>
  <c r="I40" i="4" a="1"/>
  <c r="I40" i="4" s="1"/>
  <c r="H40" i="4" a="1"/>
  <c r="H40" i="4" s="1"/>
  <c r="G40" i="4" a="1"/>
  <c r="G40" i="4" s="1"/>
  <c r="F40" i="4" a="1"/>
  <c r="F40" i="4" s="1"/>
  <c r="E40" i="4" a="1"/>
  <c r="E40" i="4" s="1"/>
  <c r="D40" i="4" a="1"/>
  <c r="D40" i="4" s="1"/>
  <c r="D38" i="4" a="1"/>
  <c r="D38" i="4" s="1"/>
  <c r="D37" i="4" a="1"/>
  <c r="D37" i="4" s="1"/>
  <c r="L34" i="4" a="1"/>
  <c r="L34" i="4" s="1"/>
  <c r="K34" i="4" a="1"/>
  <c r="K34" i="4" s="1"/>
  <c r="J34" i="4" a="1"/>
  <c r="J34" i="4" s="1"/>
  <c r="I34" i="4" a="1"/>
  <c r="I34" i="4" s="1"/>
  <c r="H34" i="4" a="1"/>
  <c r="H34" i="4" s="1"/>
  <c r="G34" i="4" a="1"/>
  <c r="G34" i="4" s="1"/>
  <c r="F34" i="4" a="1"/>
  <c r="F34" i="4" s="1"/>
  <c r="E34" i="4" a="1"/>
  <c r="E34" i="4" s="1"/>
  <c r="D34" i="4" a="1"/>
  <c r="D34" i="4" s="1"/>
  <c r="L33" i="4" a="1"/>
  <c r="L33" i="4" s="1"/>
  <c r="K33" i="4" a="1"/>
  <c r="K33" i="4" s="1"/>
  <c r="J33" i="4" a="1"/>
  <c r="J33" i="4" s="1"/>
  <c r="I33" i="4" a="1"/>
  <c r="I33" i="4" s="1"/>
  <c r="H33" i="4" a="1"/>
  <c r="H33" i="4" s="1"/>
  <c r="G33" i="4" a="1"/>
  <c r="G33" i="4" s="1"/>
  <c r="F33" i="4" a="1"/>
  <c r="F33" i="4" s="1"/>
  <c r="E33" i="4" a="1"/>
  <c r="E33" i="4" s="1"/>
  <c r="D33" i="4" a="1"/>
  <c r="D33" i="4" s="1"/>
  <c r="L32" i="4" a="1"/>
  <c r="L32" i="4" s="1"/>
  <c r="K32" i="4" a="1"/>
  <c r="K32" i="4" s="1"/>
  <c r="J32" i="4" a="1"/>
  <c r="J32" i="4" s="1"/>
  <c r="I32" i="4" a="1"/>
  <c r="I32" i="4" s="1"/>
  <c r="H32" i="4" a="1"/>
  <c r="H32" i="4" s="1"/>
  <c r="G32" i="4" a="1"/>
  <c r="G32" i="4" s="1"/>
  <c r="F32" i="4" a="1"/>
  <c r="F32" i="4" s="1"/>
  <c r="E32" i="4" a="1"/>
  <c r="E32" i="4" s="1"/>
  <c r="D32" i="4" a="1"/>
  <c r="D32" i="4" s="1"/>
  <c r="L31" i="4" a="1"/>
  <c r="L31" i="4" s="1"/>
  <c r="K31" i="4" a="1"/>
  <c r="K31" i="4" s="1"/>
  <c r="J31" i="4" a="1"/>
  <c r="J31" i="4" s="1"/>
  <c r="I31" i="4" a="1"/>
  <c r="I31" i="4" s="1"/>
  <c r="H31" i="4" a="1"/>
  <c r="H31" i="4" s="1"/>
  <c r="G31" i="4" a="1"/>
  <c r="G31" i="4" s="1"/>
  <c r="F31" i="4" a="1"/>
  <c r="F31" i="4" s="1"/>
  <c r="E31" i="4" a="1"/>
  <c r="E31" i="4" s="1"/>
  <c r="D31" i="4" a="1"/>
  <c r="D31" i="4" s="1"/>
  <c r="L30" i="4" a="1"/>
  <c r="L30" i="4" s="1"/>
  <c r="K30" i="4" a="1"/>
  <c r="K30" i="4" s="1"/>
  <c r="J30" i="4" a="1"/>
  <c r="J30" i="4" s="1"/>
  <c r="I30" i="4" a="1"/>
  <c r="I30" i="4" s="1"/>
  <c r="H30" i="4" a="1"/>
  <c r="H30" i="4" s="1"/>
  <c r="G30" i="4" a="1"/>
  <c r="G30" i="4" s="1"/>
  <c r="F30" i="4" a="1"/>
  <c r="F30" i="4" s="1"/>
  <c r="E30" i="4" a="1"/>
  <c r="E30" i="4" s="1"/>
  <c r="D30" i="4" a="1"/>
  <c r="D30" i="4" s="1"/>
  <c r="L29" i="4" a="1"/>
  <c r="L29" i="4" s="1"/>
  <c r="K29" i="4" a="1"/>
  <c r="K29" i="4" s="1"/>
  <c r="J29" i="4" a="1"/>
  <c r="J29" i="4" s="1"/>
  <c r="I29" i="4" a="1"/>
  <c r="I29" i="4" s="1"/>
  <c r="H29" i="4" a="1"/>
  <c r="H29" i="4" s="1"/>
  <c r="G29" i="4" a="1"/>
  <c r="G29" i="4" s="1"/>
  <c r="F29" i="4" a="1"/>
  <c r="F29" i="4" s="1"/>
  <c r="E29" i="4" a="1"/>
  <c r="E29" i="4" s="1"/>
  <c r="D29" i="4" a="1"/>
  <c r="D29" i="4" s="1"/>
  <c r="L28" i="4" a="1"/>
  <c r="L28" i="4" s="1"/>
  <c r="K28" i="4" a="1"/>
  <c r="K28" i="4" s="1"/>
  <c r="J28" i="4" a="1"/>
  <c r="J28" i="4" s="1"/>
  <c r="I28" i="4" a="1"/>
  <c r="I28" i="4" s="1"/>
  <c r="H28" i="4" a="1"/>
  <c r="H28" i="4" s="1"/>
  <c r="G28" i="4" a="1"/>
  <c r="G28" i="4" s="1"/>
  <c r="F28" i="4" a="1"/>
  <c r="F28" i="4" s="1"/>
  <c r="E28" i="4" a="1"/>
  <c r="E28" i="4" s="1"/>
  <c r="D28" i="4" a="1"/>
  <c r="D28" i="4" s="1"/>
  <c r="L27" i="4" a="1"/>
  <c r="L27" i="4" s="1"/>
  <c r="K27" i="4" a="1"/>
  <c r="K27" i="4" s="1"/>
  <c r="J27" i="4" a="1"/>
  <c r="J27" i="4" s="1"/>
  <c r="I27" i="4" a="1"/>
  <c r="I27" i="4" s="1"/>
  <c r="H27" i="4" a="1"/>
  <c r="H27" i="4" s="1"/>
  <c r="G27" i="4" a="1"/>
  <c r="G27" i="4" s="1"/>
  <c r="F27" i="4" a="1"/>
  <c r="F27" i="4" s="1"/>
  <c r="E27" i="4" a="1"/>
  <c r="E27" i="4" s="1"/>
  <c r="D27" i="4" a="1"/>
  <c r="D27" i="4" s="1"/>
  <c r="L26" i="4" a="1"/>
  <c r="L26" i="4" s="1"/>
  <c r="K26" i="4" a="1"/>
  <c r="K26" i="4" s="1"/>
  <c r="J26" i="4" a="1"/>
  <c r="J26" i="4" s="1"/>
  <c r="I26" i="4" a="1"/>
  <c r="I26" i="4" s="1"/>
  <c r="H26" i="4" a="1"/>
  <c r="H26" i="4" s="1"/>
  <c r="G26" i="4" a="1"/>
  <c r="G26" i="4" s="1"/>
  <c r="F26" i="4" a="1"/>
  <c r="F26" i="4" s="1"/>
  <c r="E26" i="4" a="1"/>
  <c r="E26" i="4" s="1"/>
  <c r="D26" i="4" a="1"/>
  <c r="D26" i="4" s="1"/>
  <c r="L25" i="4" a="1"/>
  <c r="L25" i="4" s="1"/>
  <c r="K25" i="4" a="1"/>
  <c r="K25" i="4" s="1"/>
  <c r="J25" i="4" a="1"/>
  <c r="J25" i="4" s="1"/>
  <c r="I25" i="4" a="1"/>
  <c r="I25" i="4" s="1"/>
  <c r="H25" i="4" a="1"/>
  <c r="H25" i="4" s="1"/>
  <c r="G25" i="4" a="1"/>
  <c r="G25" i="4" s="1"/>
  <c r="F25" i="4" a="1"/>
  <c r="F25" i="4" s="1"/>
  <c r="E25" i="4" a="1"/>
  <c r="E25" i="4" s="1"/>
  <c r="D25" i="4" a="1"/>
  <c r="D25" i="4" s="1"/>
  <c r="L24" i="4" a="1"/>
  <c r="L24" i="4" s="1"/>
  <c r="K24" i="4" a="1"/>
  <c r="K24" i="4" s="1"/>
  <c r="J24" i="4" a="1"/>
  <c r="J24" i="4" s="1"/>
  <c r="I24" i="4" a="1"/>
  <c r="I24" i="4" s="1"/>
  <c r="H24" i="4" a="1"/>
  <c r="H24" i="4" s="1"/>
  <c r="G24" i="4" a="1"/>
  <c r="G24" i="4" s="1"/>
  <c r="F24" i="4" a="1"/>
  <c r="F24" i="4" s="1"/>
  <c r="E24" i="4" a="1"/>
  <c r="E24" i="4" s="1"/>
  <c r="D24" i="4" a="1"/>
  <c r="D24" i="4" s="1"/>
  <c r="L23" i="4" a="1"/>
  <c r="L23" i="4" s="1"/>
  <c r="K23" i="4" a="1"/>
  <c r="K23" i="4" s="1"/>
  <c r="J23" i="4" a="1"/>
  <c r="J23" i="4" s="1"/>
  <c r="I23" i="4" a="1"/>
  <c r="I23" i="4" s="1"/>
  <c r="H23" i="4" a="1"/>
  <c r="H23" i="4" s="1"/>
  <c r="G23" i="4" a="1"/>
  <c r="G23" i="4" s="1"/>
  <c r="F23" i="4" a="1"/>
  <c r="F23" i="4" s="1"/>
  <c r="E23" i="4" a="1"/>
  <c r="E23" i="4" s="1"/>
  <c r="D23" i="4" a="1"/>
  <c r="D23" i="4" s="1"/>
  <c r="L22" i="4" a="1"/>
  <c r="L22" i="4" s="1"/>
  <c r="K22" i="4" a="1"/>
  <c r="K22" i="4" s="1"/>
  <c r="J22" i="4" a="1"/>
  <c r="J22" i="4" s="1"/>
  <c r="I22" i="4" a="1"/>
  <c r="I22" i="4" s="1"/>
  <c r="H22" i="4" a="1"/>
  <c r="H22" i="4" s="1"/>
  <c r="G22" i="4" a="1"/>
  <c r="G22" i="4" s="1"/>
  <c r="F22" i="4" a="1"/>
  <c r="F22" i="4" s="1"/>
  <c r="E22" i="4" a="1"/>
  <c r="E22" i="4" s="1"/>
  <c r="D22" i="4" a="1"/>
  <c r="D22" i="4" s="1"/>
  <c r="L21" i="4" a="1"/>
  <c r="L21" i="4" s="1"/>
  <c r="K21" i="4" a="1"/>
  <c r="K21" i="4" s="1"/>
  <c r="J21" i="4" a="1"/>
  <c r="J21" i="4" s="1"/>
  <c r="I21" i="4" a="1"/>
  <c r="I21" i="4" s="1"/>
  <c r="H21" i="4" a="1"/>
  <c r="H21" i="4" s="1"/>
  <c r="G21" i="4" a="1"/>
  <c r="G21" i="4" s="1"/>
  <c r="F21" i="4" a="1"/>
  <c r="F21" i="4" s="1"/>
  <c r="E21" i="4" a="1"/>
  <c r="E21" i="4" s="1"/>
  <c r="D21" i="4" a="1"/>
  <c r="D21" i="4" s="1"/>
  <c r="L20" i="4" a="1"/>
  <c r="L20" i="4" s="1"/>
  <c r="K20" i="4" a="1"/>
  <c r="K20" i="4" s="1"/>
  <c r="J20" i="4" a="1"/>
  <c r="J20" i="4" s="1"/>
  <c r="I20" i="4" a="1"/>
  <c r="I20" i="4" s="1"/>
  <c r="H20" i="4" a="1"/>
  <c r="H20" i="4" s="1"/>
  <c r="G20" i="4" a="1"/>
  <c r="G20" i="4" s="1"/>
  <c r="F20" i="4" a="1"/>
  <c r="F20" i="4" s="1"/>
  <c r="E20" i="4" a="1"/>
  <c r="E20" i="4" s="1"/>
  <c r="D20" i="4" a="1"/>
  <c r="D20" i="4" s="1"/>
  <c r="L19" i="4" a="1"/>
  <c r="L19" i="4" s="1"/>
  <c r="K19" i="4" a="1"/>
  <c r="K19" i="4" s="1"/>
  <c r="J19" i="4" a="1"/>
  <c r="J19" i="4" s="1"/>
  <c r="I19" i="4" a="1"/>
  <c r="I19" i="4" s="1"/>
  <c r="H19" i="4" a="1"/>
  <c r="H19" i="4" s="1"/>
  <c r="G19" i="4" a="1"/>
  <c r="G19" i="4" s="1"/>
  <c r="F19" i="4" a="1"/>
  <c r="F19" i="4" s="1"/>
  <c r="E19" i="4" a="1"/>
  <c r="E19" i="4" s="1"/>
  <c r="D19" i="4" a="1"/>
  <c r="D19" i="4" s="1"/>
  <c r="L18" i="4" a="1"/>
  <c r="L18" i="4" s="1"/>
  <c r="K18" i="4" a="1"/>
  <c r="K18" i="4" s="1"/>
  <c r="J18" i="4" a="1"/>
  <c r="J18" i="4" s="1"/>
  <c r="I18" i="4" a="1"/>
  <c r="I18" i="4" s="1"/>
  <c r="H18" i="4" a="1"/>
  <c r="H18" i="4" s="1"/>
  <c r="G18" i="4" a="1"/>
  <c r="G18" i="4" s="1"/>
  <c r="F18" i="4" a="1"/>
  <c r="F18" i="4" s="1"/>
  <c r="E18" i="4" a="1"/>
  <c r="E18" i="4" s="1"/>
  <c r="D18" i="4" a="1"/>
  <c r="D18" i="4" s="1"/>
  <c r="L17" i="4" a="1"/>
  <c r="L17" i="4" s="1"/>
  <c r="K17" i="4" a="1"/>
  <c r="K17" i="4" s="1"/>
  <c r="J17" i="4" a="1"/>
  <c r="J17" i="4" s="1"/>
  <c r="I17" i="4" a="1"/>
  <c r="I17" i="4" s="1"/>
  <c r="H17" i="4" a="1"/>
  <c r="H17" i="4" s="1"/>
  <c r="G17" i="4" a="1"/>
  <c r="G17" i="4" s="1"/>
  <c r="F17" i="4" a="1"/>
  <c r="F17" i="4" s="1"/>
  <c r="E17" i="4" a="1"/>
  <c r="E17" i="4" s="1"/>
  <c r="D17" i="4" a="1"/>
  <c r="D17" i="4" s="1"/>
  <c r="A17" i="4"/>
  <c r="L16" i="4"/>
  <c r="L16" i="4" a="1"/>
  <c r="K16" i="4"/>
  <c r="K16" i="4" a="1"/>
  <c r="J16" i="4"/>
  <c r="J16" i="4" a="1"/>
  <c r="I16" i="4"/>
  <c r="I16" i="4" a="1"/>
  <c r="H16" i="4"/>
  <c r="H16" i="4" a="1"/>
  <c r="G16" i="4"/>
  <c r="G16" i="4" a="1"/>
  <c r="F16" i="4"/>
  <c r="F16" i="4" a="1"/>
  <c r="E16" i="4"/>
  <c r="E16" i="4" a="1"/>
  <c r="D16" i="4"/>
  <c r="D16" i="4" a="1"/>
  <c r="A16" i="4"/>
  <c r="L15" i="4" a="1"/>
  <c r="L15" i="4" s="1"/>
  <c r="K15" i="4" a="1"/>
  <c r="K15" i="4" s="1"/>
  <c r="J15" i="4" a="1"/>
  <c r="J15" i="4" s="1"/>
  <c r="I15" i="4" a="1"/>
  <c r="I15" i="4" s="1"/>
  <c r="H15" i="4" a="1"/>
  <c r="H15" i="4" s="1"/>
  <c r="G15" i="4"/>
  <c r="G15" i="4" a="1"/>
  <c r="F15" i="4" a="1"/>
  <c r="F15" i="4" s="1"/>
  <c r="E15" i="4" a="1"/>
  <c r="E15" i="4" s="1"/>
  <c r="D15" i="4" a="1"/>
  <c r="D15" i="4" s="1"/>
  <c r="L14" i="4" a="1"/>
  <c r="L14" i="4" s="1"/>
  <c r="K14" i="4" a="1"/>
  <c r="K14" i="4" s="1"/>
  <c r="J14" i="4" a="1"/>
  <c r="J14" i="4" s="1"/>
  <c r="I14" i="4" a="1"/>
  <c r="I14" i="4" s="1"/>
  <c r="H14" i="4" a="1"/>
  <c r="H14" i="4" s="1"/>
  <c r="G14" i="4" a="1"/>
  <c r="G14" i="4" s="1"/>
  <c r="F14" i="4" a="1"/>
  <c r="F14" i="4" s="1"/>
  <c r="E14" i="4" a="1"/>
  <c r="E14" i="4" s="1"/>
  <c r="D14" i="4" a="1"/>
  <c r="D14" i="4" s="1"/>
  <c r="L13" i="4" a="1"/>
  <c r="L13" i="4" s="1"/>
  <c r="K13" i="4" a="1"/>
  <c r="K13" i="4" s="1"/>
  <c r="J13" i="4" a="1"/>
  <c r="J13" i="4" s="1"/>
  <c r="I13" i="4" a="1"/>
  <c r="I13" i="4" s="1"/>
  <c r="H13" i="4" a="1"/>
  <c r="H13" i="4" s="1"/>
  <c r="G13" i="4" a="1"/>
  <c r="G13" i="4" s="1"/>
  <c r="F13" i="4" a="1"/>
  <c r="F13" i="4" s="1"/>
  <c r="E13" i="4" a="1"/>
  <c r="E13" i="4" s="1"/>
  <c r="D13" i="4"/>
  <c r="D13" i="4" a="1"/>
  <c r="A13" i="4"/>
  <c r="L12" i="4"/>
  <c r="L12" i="4" a="1"/>
  <c r="K12" i="4"/>
  <c r="K12" i="4" a="1"/>
  <c r="J12" i="4"/>
  <c r="J12" i="4" a="1"/>
  <c r="I12" i="4"/>
  <c r="I12" i="4" a="1"/>
  <c r="H12" i="4"/>
  <c r="H12" i="4" a="1"/>
  <c r="G12" i="4"/>
  <c r="G12" i="4" a="1"/>
  <c r="F12" i="4"/>
  <c r="F12" i="4" a="1"/>
  <c r="E12" i="4"/>
  <c r="E12" i="4" a="1"/>
  <c r="D12" i="4"/>
  <c r="D12" i="4" a="1"/>
  <c r="A12" i="4"/>
  <c r="L11" i="4" a="1"/>
  <c r="L11" i="4" s="1"/>
  <c r="K11" i="4" a="1"/>
  <c r="K11" i="4" s="1"/>
  <c r="J11" i="4" a="1"/>
  <c r="J11" i="4" s="1"/>
  <c r="I11" i="4"/>
  <c r="I11" i="4" a="1"/>
  <c r="H11" i="4" a="1"/>
  <c r="H11" i="4" s="1"/>
  <c r="G11" i="4"/>
  <c r="G11" i="4" a="1"/>
  <c r="F11" i="4" a="1"/>
  <c r="F11" i="4" s="1"/>
  <c r="E11" i="4" a="1"/>
  <c r="E11" i="4" s="1"/>
  <c r="D11" i="4" a="1"/>
  <c r="D11" i="4" s="1"/>
  <c r="A11" i="4"/>
  <c r="L10" i="4" a="1"/>
  <c r="L10" i="4" s="1"/>
  <c r="K10" i="4"/>
  <c r="K10" i="4" a="1"/>
  <c r="J10" i="4" a="1"/>
  <c r="J10" i="4" s="1"/>
  <c r="I10" i="4"/>
  <c r="I10" i="4" a="1"/>
  <c r="H10" i="4" a="1"/>
  <c r="H10" i="4" s="1"/>
  <c r="G10" i="4" a="1"/>
  <c r="G10" i="4" s="1"/>
  <c r="F10" i="4" a="1"/>
  <c r="F10" i="4" s="1"/>
  <c r="E10" i="4" a="1"/>
  <c r="E10" i="4" s="1"/>
  <c r="D10" i="4" a="1"/>
  <c r="D10" i="4" s="1"/>
  <c r="D8" i="4" a="1"/>
  <c r="D8" i="4" s="1"/>
  <c r="A8" i="4"/>
  <c r="D7" i="4"/>
  <c r="D7" i="4" a="1"/>
  <c r="D6" i="4" a="1"/>
  <c r="D6" i="4" s="1"/>
  <c r="D5" i="4" a="1"/>
  <c r="D5" i="4" s="1"/>
  <c r="A5" i="4"/>
  <c r="A4" i="4"/>
  <c r="A3" i="4"/>
  <c r="AL221" i="19" l="1" a="1"/>
  <c r="AL221" i="19" s="1"/>
  <c r="AK221" i="19" a="1"/>
  <c r="AK221" i="19" s="1"/>
  <c r="AH221" i="19" a="1"/>
  <c r="AH221" i="19" s="1"/>
  <c r="AG221" i="19" a="1"/>
  <c r="AG221" i="19" s="1"/>
  <c r="AD221" i="19" a="1"/>
  <c r="AD221" i="19" s="1"/>
  <c r="AC221" i="19" a="1"/>
  <c r="AC221" i="19" s="1"/>
  <c r="Z221" i="19" a="1"/>
  <c r="Z221" i="19" s="1"/>
  <c r="Y221" i="19" a="1"/>
  <c r="Y221" i="19" s="1"/>
  <c r="V221" i="19" a="1"/>
  <c r="V221" i="19" s="1"/>
  <c r="U221" i="19" a="1"/>
  <c r="U221" i="19" s="1"/>
  <c r="R221" i="19" a="1"/>
  <c r="R221" i="19" s="1"/>
  <c r="Q221" i="19" a="1"/>
  <c r="Q221" i="19" s="1"/>
  <c r="P221" i="19" a="1"/>
  <c r="P221" i="19" s="1"/>
  <c r="O221" i="19" a="1"/>
  <c r="O221" i="19" s="1"/>
  <c r="E221" i="19" a="1"/>
  <c r="E221" i="19" s="1"/>
  <c r="J221" i="19" s="1" a="1"/>
  <c r="J221" i="19" s="1"/>
  <c r="D221" i="19" a="1"/>
  <c r="D221" i="19" s="1"/>
  <c r="E481" i="19"/>
  <c r="I481" i="19" s="1" a="1"/>
  <c r="I481" i="19" s="1"/>
  <c r="E480" i="19"/>
  <c r="E479" i="19"/>
  <c r="I479" i="19" s="1" a="1"/>
  <c r="I479" i="19" s="1"/>
  <c r="D481" i="19"/>
  <c r="F481" i="19" s="1" a="1"/>
  <c r="F481" i="19" s="1"/>
  <c r="G481" i="19" s="1" a="1"/>
  <c r="G481" i="19" s="1"/>
  <c r="D480" i="19"/>
  <c r="F480" i="19" s="1" a="1"/>
  <c r="F480" i="19" s="1"/>
  <c r="D479" i="19"/>
  <c r="F479" i="19" s="1" a="1"/>
  <c r="F479" i="19" s="1"/>
  <c r="E470" i="19"/>
  <c r="I470" i="19" s="1" a="1"/>
  <c r="I470" i="19" s="1"/>
  <c r="E469" i="19"/>
  <c r="E468" i="19"/>
  <c r="I468" i="19" s="1" a="1"/>
  <c r="I468" i="19" s="1"/>
  <c r="E467" i="19"/>
  <c r="E466" i="19"/>
  <c r="I466" i="19" s="1" a="1"/>
  <c r="I466" i="19" s="1"/>
  <c r="D470" i="19"/>
  <c r="F470" i="19" s="1" a="1"/>
  <c r="F470" i="19" s="1"/>
  <c r="D469" i="19"/>
  <c r="F469" i="19" s="1" a="1"/>
  <c r="F469" i="19" s="1"/>
  <c r="D468" i="19"/>
  <c r="F468" i="19" s="1" a="1"/>
  <c r="F468" i="19" s="1"/>
  <c r="D467" i="19"/>
  <c r="F467" i="19" s="1" a="1"/>
  <c r="F467" i="19" s="1"/>
  <c r="D466" i="19"/>
  <c r="F466" i="19" s="1" a="1"/>
  <c r="F466" i="19" s="1"/>
  <c r="G466" i="19" s="1" a="1"/>
  <c r="G466" i="19" s="1"/>
  <c r="G424" i="19" a="1"/>
  <c r="G424" i="19" s="1"/>
  <c r="D424" i="19" a="1"/>
  <c r="D424" i="19" s="1"/>
  <c r="E422" i="19" a="1"/>
  <c r="E422" i="19" s="1"/>
  <c r="E421" i="19" a="1"/>
  <c r="E421" i="19" s="1"/>
  <c r="D416" i="19" a="1"/>
  <c r="D416" i="19" s="1"/>
  <c r="D415" i="19" a="1"/>
  <c r="D415" i="19" s="1"/>
  <c r="F399" i="19" a="1"/>
  <c r="F399" i="19" s="1"/>
  <c r="E399" i="19" a="1"/>
  <c r="E399" i="19" s="1"/>
  <c r="J399" i="19" s="1" a="1"/>
  <c r="J399" i="19" s="1"/>
  <c r="D399" i="19" a="1"/>
  <c r="D399" i="19" s="1"/>
  <c r="F392" i="19" a="1"/>
  <c r="F392" i="19" s="1"/>
  <c r="D392" i="19" a="1"/>
  <c r="D392" i="19" s="1"/>
  <c r="E390" i="19" a="1"/>
  <c r="E390" i="19" s="1"/>
  <c r="E389" i="19" a="1"/>
  <c r="E389" i="19" s="1"/>
  <c r="D384" i="19" a="1"/>
  <c r="D384" i="19" s="1"/>
  <c r="D383" i="19" a="1"/>
  <c r="D383" i="19" s="1"/>
  <c r="D354" i="19" a="1"/>
  <c r="D354" i="19" s="1"/>
  <c r="F362" i="19" a="1"/>
  <c r="F362" i="19" s="1"/>
  <c r="D362" i="19" a="1"/>
  <c r="D362" i="19" s="1"/>
  <c r="E360" i="19" a="1"/>
  <c r="E360" i="19" s="1"/>
  <c r="E359" i="19" a="1"/>
  <c r="E359" i="19" s="1"/>
  <c r="D353" i="19" a="1"/>
  <c r="D353" i="19" s="1"/>
  <c r="D352" i="19" a="1"/>
  <c r="D352" i="19" s="1"/>
  <c r="G329" i="19" a="1"/>
  <c r="G329" i="19" s="1"/>
  <c r="D329" i="19" a="1"/>
  <c r="D329" i="19" s="1"/>
  <c r="E327" i="19" a="1"/>
  <c r="E327" i="19" s="1"/>
  <c r="E326" i="19" a="1"/>
  <c r="E326" i="19" s="1"/>
  <c r="D322" i="19" a="1"/>
  <c r="D322" i="19" s="1"/>
  <c r="D321" i="19" a="1"/>
  <c r="D321" i="19" s="1"/>
  <c r="E305" i="19" a="1"/>
  <c r="E305" i="19" s="1"/>
  <c r="F296" i="19" a="1"/>
  <c r="F296" i="19" s="1"/>
  <c r="D296" i="19" a="1"/>
  <c r="D296" i="19" s="1"/>
  <c r="E294" i="19" a="1"/>
  <c r="E294" i="19" s="1"/>
  <c r="E293" i="19" a="1"/>
  <c r="E293" i="19" s="1"/>
  <c r="D289" i="19" a="1"/>
  <c r="D289" i="19" s="1"/>
  <c r="D288" i="19" a="1"/>
  <c r="D288" i="19" s="1"/>
  <c r="G265" i="19" a="1"/>
  <c r="G265" i="19" s="1"/>
  <c r="D265" i="19" a="1"/>
  <c r="D265" i="19" s="1"/>
  <c r="E263" i="19" a="1"/>
  <c r="E263" i="19" s="1"/>
  <c r="E262" i="19" a="1"/>
  <c r="E262" i="19" s="1"/>
  <c r="D257" i="19" a="1"/>
  <c r="D257" i="19" s="1"/>
  <c r="D256" i="19" a="1"/>
  <c r="D256" i="19" s="1"/>
  <c r="G180" i="19" a="1"/>
  <c r="G180" i="19" s="1"/>
  <c r="D180" i="19" a="1"/>
  <c r="D180" i="19" s="1"/>
  <c r="G194" i="19" a="1"/>
  <c r="G194" i="19" s="1"/>
  <c r="D194" i="19" a="1"/>
  <c r="D194" i="19" s="1"/>
  <c r="G209" i="19" a="1"/>
  <c r="G209" i="19" s="1"/>
  <c r="D209" i="19" a="1"/>
  <c r="D209" i="19" s="1"/>
  <c r="E178" i="19" a="1"/>
  <c r="E178" i="19" s="1"/>
  <c r="E177" i="19" a="1"/>
  <c r="E177" i="19" s="1"/>
  <c r="D173" i="19" a="1"/>
  <c r="D173" i="19" s="1"/>
  <c r="D172" i="19" a="1"/>
  <c r="D172" i="19" s="1"/>
  <c r="D171" i="19" a="1"/>
  <c r="D171" i="19" s="1"/>
  <c r="AD237" i="19" a="1"/>
  <c r="AD237" i="19" s="1"/>
  <c r="AC237" i="19" a="1"/>
  <c r="AC237" i="19" s="1"/>
  <c r="Z237" i="19" a="1"/>
  <c r="Z237" i="19" s="1"/>
  <c r="Y237" i="19" a="1"/>
  <c r="Y237" i="19" s="1"/>
  <c r="V237" i="19" a="1"/>
  <c r="V237" i="19" s="1"/>
  <c r="U237" i="19" a="1"/>
  <c r="U237" i="19" s="1"/>
  <c r="R237" i="19" a="1"/>
  <c r="R237" i="19" s="1"/>
  <c r="Q237" i="19" a="1"/>
  <c r="Q237" i="19" s="1"/>
  <c r="P237" i="19" a="1"/>
  <c r="P237" i="19" s="1"/>
  <c r="O237" i="19" a="1"/>
  <c r="O237" i="19" s="1"/>
  <c r="E237" i="19" a="1"/>
  <c r="E237" i="19" s="1"/>
  <c r="D237" i="19" a="1"/>
  <c r="D237" i="19" s="1"/>
  <c r="D202" i="19" a="1"/>
  <c r="D202" i="19" s="1"/>
  <c r="E207" i="19" a="1"/>
  <c r="E207" i="19" s="1"/>
  <c r="E206" i="19" a="1"/>
  <c r="E206" i="19" s="1"/>
  <c r="D201" i="19" a="1"/>
  <c r="D201" i="19" s="1"/>
  <c r="D200" i="19" a="1"/>
  <c r="D200" i="19" s="1"/>
  <c r="D430" i="19" a="1"/>
  <c r="D430" i="19" s="1"/>
  <c r="E430" i="19" a="1"/>
  <c r="F430" i="19" a="1"/>
  <c r="J435" i="19" s="1" a="1"/>
  <c r="J435" i="19" s="1"/>
  <c r="E418" i="19" a="1"/>
  <c r="E385" i="19" a="1"/>
  <c r="E355" i="19" a="1"/>
  <c r="E323" i="19" a="1"/>
  <c r="E290" i="19" a="1"/>
  <c r="E258" i="19" a="1"/>
  <c r="E174" i="19" a="1"/>
  <c r="E188" i="19" a="1"/>
  <c r="E203" i="19" a="1"/>
  <c r="E100" i="19" a="1"/>
  <c r="E418" i="19" l="1"/>
  <c r="I469" i="19" a="1"/>
  <c r="I469" i="19" s="1"/>
  <c r="G468" i="19" a="1"/>
  <c r="G468" i="19" s="1"/>
  <c r="J230" i="19" a="1"/>
  <c r="J230" i="19" s="1"/>
  <c r="G470" i="19" a="1"/>
  <c r="G470" i="19" s="1"/>
  <c r="I467" i="19" a="1"/>
  <c r="I467" i="19" s="1"/>
  <c r="E473" i="19" s="1"/>
  <c r="G467" i="19" a="1"/>
  <c r="G467" i="19" s="1"/>
  <c r="J223" i="19" a="1"/>
  <c r="J223" i="19" s="1"/>
  <c r="J225" i="19" a="1"/>
  <c r="J225" i="19" s="1"/>
  <c r="J408" i="19" a="1"/>
  <c r="J408" i="19" s="1"/>
  <c r="J224" i="19" a="1"/>
  <c r="J224" i="19" s="1"/>
  <c r="J227" i="19" a="1"/>
  <c r="J227" i="19" s="1"/>
  <c r="J431" i="19" a="1"/>
  <c r="J431" i="19" s="1"/>
  <c r="J226" i="19" a="1"/>
  <c r="J226" i="19" s="1"/>
  <c r="G300" i="19"/>
  <c r="J228" i="19" a="1"/>
  <c r="J228" i="19" s="1"/>
  <c r="J229" i="19" a="1"/>
  <c r="J229" i="19" s="1"/>
  <c r="J432" i="19" a="1"/>
  <c r="J432" i="19" s="1"/>
  <c r="G469" i="19" a="1"/>
  <c r="G469" i="19" s="1"/>
  <c r="J433" i="19" a="1"/>
  <c r="J433" i="19" s="1"/>
  <c r="J434" i="19" a="1"/>
  <c r="J434" i="19" s="1"/>
  <c r="J222" i="19" a="1"/>
  <c r="J222" i="19" s="1"/>
  <c r="G479" i="19" a="1"/>
  <c r="G479" i="19" s="1"/>
  <c r="G480" i="19" a="1"/>
  <c r="G480" i="19" s="1"/>
  <c r="I480" i="19" a="1"/>
  <c r="I480" i="19" s="1"/>
  <c r="E484" i="19" s="1"/>
  <c r="K405" i="19"/>
  <c r="K406" i="19"/>
  <c r="J400" i="19" a="1"/>
  <c r="J400" i="19" s="1"/>
  <c r="J402" i="19" a="1"/>
  <c r="J402" i="19" s="1"/>
  <c r="K408" i="19"/>
  <c r="J404" i="19" a="1"/>
  <c r="J404" i="19" s="1"/>
  <c r="K400" i="19"/>
  <c r="J405" i="19" a="1"/>
  <c r="J405" i="19" s="1"/>
  <c r="J403" i="19" a="1"/>
  <c r="J403" i="19" s="1"/>
  <c r="K401" i="19"/>
  <c r="J406" i="19" a="1"/>
  <c r="J406" i="19" s="1"/>
  <c r="J401" i="19" a="1"/>
  <c r="J401" i="19" s="1"/>
  <c r="K404" i="19"/>
  <c r="J407" i="19" a="1"/>
  <c r="J407" i="19" s="1"/>
  <c r="E385" i="19"/>
  <c r="K402" i="19"/>
  <c r="K403" i="19"/>
  <c r="K407" i="19"/>
  <c r="K399" i="19"/>
  <c r="E355" i="19"/>
  <c r="E323" i="19"/>
  <c r="E290" i="19"/>
  <c r="F305" i="19" a="1"/>
  <c r="H305" i="19" a="1"/>
  <c r="H305" i="19" s="1"/>
  <c r="G305" i="19" a="1"/>
  <c r="E258" i="19"/>
  <c r="E174" i="19"/>
  <c r="J241" i="19" a="1"/>
  <c r="J241" i="19" s="1"/>
  <c r="J239" i="19" a="1"/>
  <c r="J239" i="19" s="1"/>
  <c r="J243" i="19" a="1"/>
  <c r="J243" i="19" s="1"/>
  <c r="J245" i="19" a="1"/>
  <c r="J245" i="19" s="1"/>
  <c r="J238" i="19" a="1"/>
  <c r="J238" i="19" s="1"/>
  <c r="J240" i="19" a="1"/>
  <c r="J240" i="19" s="1"/>
  <c r="J242" i="19" a="1"/>
  <c r="J242" i="19" s="1"/>
  <c r="J244" i="19" a="1"/>
  <c r="J244" i="19" s="1"/>
  <c r="J246" i="19" a="1"/>
  <c r="J246" i="19" s="1"/>
  <c r="E188" i="19"/>
  <c r="E203" i="19"/>
  <c r="F430" i="19"/>
  <c r="J430" i="19" s="1" a="1"/>
  <c r="J430" i="19" s="1"/>
  <c r="E430" i="19"/>
  <c r="E100" i="19"/>
  <c r="E103" i="19" a="1"/>
  <c r="E103" i="19" s="1"/>
  <c r="E104" i="19" a="1"/>
  <c r="E104" i="19" s="1"/>
  <c r="G106" i="19" a="1"/>
  <c r="G106" i="19" s="1"/>
  <c r="E119" i="19" a="1"/>
  <c r="M119" i="19" a="1"/>
  <c r="N119" i="19" a="1"/>
  <c r="N119" i="19" s="1"/>
  <c r="O119" i="19" a="1"/>
  <c r="Q119" i="19" a="1"/>
  <c r="R119" i="19" a="1"/>
  <c r="R119" i="19" s="1"/>
  <c r="S119" i="19" a="1"/>
  <c r="S119" i="19" s="1"/>
  <c r="U119" i="19" a="1"/>
  <c r="V119" i="19" a="1"/>
  <c r="V119" i="19" s="1"/>
  <c r="W119" i="19" a="1"/>
  <c r="W119" i="19" s="1"/>
  <c r="Y119" i="19" a="1"/>
  <c r="Y119" i="19" s="1"/>
  <c r="Z119" i="19" a="1"/>
  <c r="Z119" i="19" s="1"/>
  <c r="AA119" i="19" a="1"/>
  <c r="AA119" i="19" s="1"/>
  <c r="E136" i="19"/>
  <c r="I136" i="19" s="1" a="1"/>
  <c r="I136" i="19" s="1"/>
  <c r="E137" i="19"/>
  <c r="I137" i="19" s="1" a="1"/>
  <c r="I137" i="19" s="1"/>
  <c r="E138" i="19"/>
  <c r="E139" i="19"/>
  <c r="E151" i="19" a="1"/>
  <c r="E472" i="19" l="1"/>
  <c r="E483" i="19"/>
  <c r="F305" i="19"/>
  <c r="J312" i="19" a="1"/>
  <c r="J312" i="19" s="1"/>
  <c r="J311" i="19" a="1"/>
  <c r="J311" i="19" s="1"/>
  <c r="J310" i="19" a="1"/>
  <c r="J310" i="19" s="1"/>
  <c r="J309" i="19" a="1"/>
  <c r="J309" i="19" s="1"/>
  <c r="J308" i="19" a="1"/>
  <c r="J308" i="19" s="1"/>
  <c r="J307" i="19" a="1"/>
  <c r="J307" i="19" s="1"/>
  <c r="J306" i="19" a="1"/>
  <c r="J306" i="19" s="1"/>
  <c r="J314" i="19" a="1"/>
  <c r="J314" i="19" s="1"/>
  <c r="J313" i="19" a="1"/>
  <c r="J313" i="19" s="1"/>
  <c r="E411" i="19"/>
  <c r="G305" i="19"/>
  <c r="J237" i="19" a="1"/>
  <c r="J237" i="19" s="1"/>
  <c r="E249" i="19" s="1"/>
  <c r="U119" i="19"/>
  <c r="F141" i="19"/>
  <c r="F130" i="19"/>
  <c r="F142" i="19"/>
  <c r="F144" i="19"/>
  <c r="F145" i="19"/>
  <c r="F131" i="19"/>
  <c r="M119" i="19"/>
  <c r="E119" i="19"/>
  <c r="Q119" i="19"/>
  <c r="O119" i="19"/>
  <c r="I120" i="19" a="1"/>
  <c r="I120" i="19" s="1"/>
  <c r="I121" i="19" a="1"/>
  <c r="I121" i="19" s="1"/>
  <c r="E151" i="19"/>
  <c r="E154" i="19" a="1"/>
  <c r="E154" i="19" s="1"/>
  <c r="E155" i="19" a="1"/>
  <c r="E155" i="19" s="1"/>
  <c r="G157" i="19" a="1"/>
  <c r="G157" i="19" s="1"/>
  <c r="E162" i="19"/>
  <c r="I162" i="19" s="1" a="1"/>
  <c r="I162" i="19" s="1"/>
  <c r="E163" i="19"/>
  <c r="I163" i="19" s="1" a="1"/>
  <c r="I163" i="19" s="1"/>
  <c r="E164" i="19"/>
  <c r="I164" i="19" s="1" a="1"/>
  <c r="I164" i="19" s="1"/>
  <c r="E192" i="19" a="1"/>
  <c r="E192" i="19" s="1"/>
  <c r="E191" i="19" a="1"/>
  <c r="E191" i="19" s="1"/>
  <c r="D187" i="19" a="1"/>
  <c r="D187" i="19" s="1"/>
  <c r="D186" i="19" a="1"/>
  <c r="D186" i="19" s="1"/>
  <c r="D157" i="19" a="1"/>
  <c r="D157" i="19" s="1"/>
  <c r="D150" i="19" a="1"/>
  <c r="D150" i="19" s="1"/>
  <c r="D149" i="19" a="1"/>
  <c r="D149" i="19" s="1"/>
  <c r="D106" i="19" a="1"/>
  <c r="D106" i="19" s="1"/>
  <c r="D99" i="19" a="1"/>
  <c r="D99" i="19" s="1"/>
  <c r="D98" i="19" a="1"/>
  <c r="D98" i="19" s="1"/>
  <c r="J80" i="13" a="1"/>
  <c r="J80" i="13" s="1"/>
  <c r="J78" i="13" a="1"/>
  <c r="J78" i="13" s="1"/>
  <c r="G126" i="13" a="1"/>
  <c r="G126" i="13" s="1"/>
  <c r="G125" i="13" a="1"/>
  <c r="G125" i="13" s="1"/>
  <c r="G124" i="13" a="1"/>
  <c r="G124" i="13" s="1"/>
  <c r="G123" i="13" a="1"/>
  <c r="G123" i="13" s="1"/>
  <c r="G122" i="13" a="1"/>
  <c r="G122" i="13" s="1"/>
  <c r="G121" i="13" a="1"/>
  <c r="G121" i="13" s="1"/>
  <c r="G120" i="13" a="1"/>
  <c r="G120" i="13" s="1"/>
  <c r="G119" i="13" a="1"/>
  <c r="G119" i="13" s="1"/>
  <c r="G118" i="13" a="1"/>
  <c r="G118" i="13" s="1"/>
  <c r="G117" i="13" a="1"/>
  <c r="G117" i="13" s="1"/>
  <c r="G113" i="13" a="1"/>
  <c r="G113" i="13" s="1"/>
  <c r="G112" i="13" a="1"/>
  <c r="G112" i="13" s="1"/>
  <c r="G111" i="13" a="1"/>
  <c r="G111" i="13" s="1"/>
  <c r="G110" i="13" a="1"/>
  <c r="G110" i="13" s="1"/>
  <c r="G109" i="13" a="1"/>
  <c r="G109" i="13" s="1"/>
  <c r="G108" i="13" a="1"/>
  <c r="G108" i="13" s="1"/>
  <c r="G107" i="13" a="1"/>
  <c r="G107" i="13" s="1"/>
  <c r="G106" i="13" a="1"/>
  <c r="G106" i="13" s="1"/>
  <c r="G105" i="13" a="1"/>
  <c r="G105" i="13" s="1"/>
  <c r="H100" i="13" a="1"/>
  <c r="H100" i="13" s="1"/>
  <c r="H99" i="13" a="1"/>
  <c r="H99" i="13" s="1"/>
  <c r="H98" i="13" a="1"/>
  <c r="H98" i="13" s="1"/>
  <c r="H97" i="13" a="1"/>
  <c r="H97" i="13" s="1"/>
  <c r="H96" i="13" a="1"/>
  <c r="H96" i="13" s="1"/>
  <c r="H95" i="13" a="1"/>
  <c r="H95" i="13" s="1"/>
  <c r="H94" i="13" a="1"/>
  <c r="H94" i="13" s="1"/>
  <c r="H61" i="19" a="1"/>
  <c r="H61" i="19" s="1"/>
  <c r="E61" i="19" a="1"/>
  <c r="E61" i="19" s="1"/>
  <c r="E42" i="19" a="1"/>
  <c r="E42" i="19" s="1"/>
  <c r="E11" i="19" a="1"/>
  <c r="E11" i="19" s="1"/>
  <c r="F91" i="19" s="1"/>
  <c r="E10" i="19" a="1"/>
  <c r="E10" i="19" s="1"/>
  <c r="G13" i="19" a="1"/>
  <c r="G13" i="19" s="1"/>
  <c r="D13" i="19" a="1"/>
  <c r="D13" i="19" s="1"/>
  <c r="D6" i="19" a="1"/>
  <c r="D6" i="19" s="1"/>
  <c r="D5" i="19" a="1"/>
  <c r="D5" i="19" s="1"/>
  <c r="E7" i="19" a="1"/>
  <c r="F166" i="19" l="1"/>
  <c r="F459" i="19"/>
  <c r="F473" i="19"/>
  <c r="F502" i="19"/>
  <c r="F248" i="19"/>
  <c r="F472" i="19"/>
  <c r="F501" i="19"/>
  <c r="F348" i="19"/>
  <c r="F347" i="19"/>
  <c r="F284" i="19"/>
  <c r="F283" i="19"/>
  <c r="F411" i="19"/>
  <c r="F410" i="19"/>
  <c r="F484" i="19"/>
  <c r="F379" i="19"/>
  <c r="F249" i="19"/>
  <c r="F483" i="19"/>
  <c r="F378" i="19"/>
  <c r="F442" i="19"/>
  <c r="F317" i="19"/>
  <c r="F441" i="19"/>
  <c r="F316" i="19"/>
  <c r="F252" i="19"/>
  <c r="F251" i="19"/>
  <c r="F460" i="19"/>
  <c r="J305" i="19" a="1"/>
  <c r="J305" i="19" s="1"/>
  <c r="E317" i="19" s="1"/>
  <c r="E167" i="19"/>
  <c r="F167" i="19"/>
  <c r="I119" i="19" a="1"/>
  <c r="I119" i="19" s="1"/>
  <c r="F35" i="19"/>
  <c r="F34" i="19"/>
  <c r="F93" i="19"/>
  <c r="F94" i="19"/>
  <c r="J61" i="19" a="1"/>
  <c r="J61" i="19" s="1"/>
  <c r="F72" i="19"/>
  <c r="F73" i="19"/>
  <c r="F53" i="19"/>
  <c r="F54" i="19"/>
  <c r="F90" i="19"/>
  <c r="J62" i="19" a="1"/>
  <c r="J62" i="19" s="1"/>
  <c r="E7" i="19"/>
  <c r="J87" i="13" l="1" a="1"/>
  <c r="J87" i="13" s="1"/>
  <c r="J86" i="13" a="1"/>
  <c r="J86" i="13" s="1"/>
  <c r="J85" i="13" a="1"/>
  <c r="J85" i="13" s="1"/>
  <c r="J84" i="13" a="1"/>
  <c r="J84" i="13" s="1"/>
  <c r="J83" i="13" a="1"/>
  <c r="J83" i="13" s="1"/>
  <c r="J82" i="13" a="1"/>
  <c r="J82" i="13" s="1"/>
  <c r="J81" i="13" a="1"/>
  <c r="J81" i="13" s="1"/>
  <c r="G175" i="13"/>
  <c r="I175" i="13" s="1"/>
  <c r="G174" i="13"/>
  <c r="I174" i="13" s="1"/>
  <c r="G173" i="13"/>
  <c r="I173" i="13" s="1"/>
  <c r="G172" i="13"/>
  <c r="I172" i="13" s="1"/>
  <c r="G171" i="13"/>
  <c r="I171" i="13" s="1"/>
  <c r="G170" i="13"/>
  <c r="I170" i="13" s="1"/>
  <c r="G169" i="13"/>
  <c r="I169" i="13" s="1"/>
  <c r="G168" i="13"/>
  <c r="I168" i="13" s="1"/>
  <c r="G167" i="13"/>
  <c r="I167" i="13" s="1"/>
  <c r="H20" i="13"/>
  <c r="L20" i="13" s="1"/>
  <c r="H19" i="13"/>
  <c r="L19" i="13" s="1"/>
  <c r="H18" i="13"/>
  <c r="L18" i="13" s="1"/>
  <c r="H17" i="13"/>
  <c r="L17" i="13" s="1"/>
  <c r="H16" i="13"/>
  <c r="L16" i="13" s="1"/>
  <c r="H15" i="13"/>
  <c r="L15" i="13" s="1"/>
  <c r="H14" i="13"/>
  <c r="L14" i="13" s="1"/>
  <c r="H79" i="19" a="1"/>
  <c r="H79" i="19" s="1"/>
  <c r="E79" i="19" a="1"/>
  <c r="H42" i="19" a="1"/>
  <c r="H42" i="19" s="1"/>
  <c r="J42" i="19" s="1" a="1"/>
  <c r="J42" i="19" s="1"/>
  <c r="G23" i="19" a="1"/>
  <c r="K23" i="19" a="1"/>
  <c r="K23" i="19" s="1"/>
  <c r="G336" i="19" a="1"/>
  <c r="G336" i="19" s="1"/>
  <c r="L336" i="19" s="1"/>
  <c r="F336" i="19" a="1"/>
  <c r="E336" i="19" a="1"/>
  <c r="E336" i="19" s="1"/>
  <c r="D336" i="19" a="1"/>
  <c r="D336" i="19" s="1"/>
  <c r="F490" i="19" a="1"/>
  <c r="F490" i="19" s="1"/>
  <c r="E490" i="19" a="1"/>
  <c r="D490" i="19" a="1"/>
  <c r="D490" i="19" s="1"/>
  <c r="K499" i="19" l="1" a="1"/>
  <c r="K499" i="19" s="1"/>
  <c r="K498" i="19" a="1"/>
  <c r="K498" i="19" s="1"/>
  <c r="K497" i="19" a="1"/>
  <c r="K497" i="19" s="1"/>
  <c r="K496" i="19" a="1"/>
  <c r="K496" i="19" s="1"/>
  <c r="K495" i="19" a="1"/>
  <c r="K495" i="19" s="1"/>
  <c r="K494" i="19" a="1"/>
  <c r="K494" i="19" s="1"/>
  <c r="K493" i="19" a="1"/>
  <c r="K493" i="19" s="1"/>
  <c r="K492" i="19" a="1"/>
  <c r="K492" i="19" s="1"/>
  <c r="K491" i="19" a="1"/>
  <c r="K491" i="19" s="1"/>
  <c r="F336" i="19"/>
  <c r="K336" i="19" s="1" a="1"/>
  <c r="K336" i="19" s="1"/>
  <c r="K340" i="19" a="1"/>
  <c r="K340" i="19" s="1"/>
  <c r="K345" i="19" a="1"/>
  <c r="K345" i="19" s="1"/>
  <c r="K344" i="19" a="1"/>
  <c r="K344" i="19" s="1"/>
  <c r="K341" i="19" a="1"/>
  <c r="K341" i="19" s="1"/>
  <c r="K339" i="19" a="1"/>
  <c r="K339" i="19" s="1"/>
  <c r="K342" i="19" a="1"/>
  <c r="K342" i="19" s="1"/>
  <c r="K338" i="19" a="1"/>
  <c r="K338" i="19" s="1"/>
  <c r="K337" i="19" a="1"/>
  <c r="K337" i="19" s="1"/>
  <c r="K343" i="19" a="1"/>
  <c r="K343" i="19" s="1"/>
  <c r="E79" i="19"/>
  <c r="G23" i="19"/>
  <c r="M23" i="19" s="1" a="1"/>
  <c r="M23" i="19" s="1"/>
  <c r="M24" i="19" a="1"/>
  <c r="M24" i="19" s="1"/>
  <c r="R16" i="13"/>
  <c r="R19" i="13"/>
  <c r="R20" i="13"/>
  <c r="O20" i="13"/>
  <c r="R18" i="13"/>
  <c r="O18" i="13"/>
  <c r="O19" i="13"/>
  <c r="R17" i="13"/>
  <c r="O17" i="13"/>
  <c r="O15" i="13"/>
  <c r="O16" i="13"/>
  <c r="R14" i="13"/>
  <c r="R15" i="13"/>
  <c r="O14" i="13"/>
  <c r="L341" i="19"/>
  <c r="L337" i="19"/>
  <c r="L339" i="19"/>
  <c r="L338" i="19"/>
  <c r="L340" i="19"/>
  <c r="L342" i="19"/>
  <c r="L343" i="19"/>
  <c r="L344" i="19"/>
  <c r="L345" i="19"/>
  <c r="E490" i="19"/>
  <c r="K490" i="19" s="1" a="1"/>
  <c r="K490" i="19" s="1"/>
  <c r="E502" i="19" l="1"/>
  <c r="E348" i="19"/>
  <c r="J79" i="19" a="1"/>
  <c r="J79" i="19" s="1"/>
  <c r="G166" i="13" l="1"/>
  <c r="I166" i="13" s="1"/>
  <c r="D79" i="19" a="1"/>
  <c r="D79" i="19" s="1"/>
  <c r="E123" i="26" a="1"/>
  <c r="E123" i="26" s="1"/>
  <c r="D123" i="26" a="1"/>
  <c r="D123" i="26" s="1"/>
  <c r="E122" i="26" a="1"/>
  <c r="E122" i="26" s="1"/>
  <c r="D122" i="26" a="1"/>
  <c r="D122" i="26" s="1"/>
  <c r="E121" i="26" a="1"/>
  <c r="E121" i="26" s="1"/>
  <c r="D121" i="26" a="1"/>
  <c r="D121" i="26" s="1"/>
  <c r="E120" i="26" a="1"/>
  <c r="E120" i="26" s="1"/>
  <c r="D120" i="26" a="1"/>
  <c r="D120" i="26" s="1"/>
  <c r="D118" i="26" a="1"/>
  <c r="D118" i="26" s="1"/>
  <c r="D117" i="26" a="1"/>
  <c r="D117" i="26" s="1"/>
  <c r="F115" i="26" a="1"/>
  <c r="F115" i="26" s="1"/>
  <c r="E115" i="26" a="1"/>
  <c r="E115" i="26" s="1"/>
  <c r="D115" i="26" a="1"/>
  <c r="D115" i="26" s="1"/>
  <c r="D114" i="26" a="1"/>
  <c r="D114" i="26" s="1"/>
  <c r="D113" i="26" a="1"/>
  <c r="D113" i="26" s="1"/>
  <c r="D112" i="26" a="1"/>
  <c r="D112" i="26" s="1"/>
  <c r="E110" i="26" a="1"/>
  <c r="E110" i="26" s="1"/>
  <c r="D110" i="26" a="1"/>
  <c r="D110" i="26" s="1"/>
  <c r="D109" i="26" a="1"/>
  <c r="D109" i="26" s="1"/>
  <c r="D108" i="26" a="1"/>
  <c r="D108" i="26" s="1"/>
  <c r="F105" i="26" a="1"/>
  <c r="F105" i="26" s="1"/>
  <c r="E105" i="26" a="1"/>
  <c r="E105" i="26" s="1"/>
  <c r="D105" i="26" a="1"/>
  <c r="D105" i="26" s="1"/>
  <c r="F104" i="26" a="1"/>
  <c r="F104" i="26" s="1"/>
  <c r="E104" i="26" a="1"/>
  <c r="E104" i="26" s="1"/>
  <c r="D104" i="26" a="1"/>
  <c r="D104" i="26" s="1"/>
  <c r="F103" i="26" a="1"/>
  <c r="F103" i="26" s="1"/>
  <c r="E103" i="26" a="1"/>
  <c r="E103" i="26" s="1"/>
  <c r="D103" i="26" a="1"/>
  <c r="D103" i="26" s="1"/>
  <c r="F102" i="26" a="1"/>
  <c r="F102" i="26" s="1"/>
  <c r="E102" i="26" a="1"/>
  <c r="E102" i="26" s="1"/>
  <c r="D102" i="26" a="1"/>
  <c r="D102" i="26" s="1"/>
  <c r="F101" i="26" a="1"/>
  <c r="F101" i="26" s="1"/>
  <c r="E101" i="26" a="1"/>
  <c r="E101" i="26" s="1"/>
  <c r="D101" i="26" a="1"/>
  <c r="D101" i="26" s="1"/>
  <c r="F100" i="26" a="1"/>
  <c r="F100" i="26" s="1"/>
  <c r="E100" i="26" a="1"/>
  <c r="E100" i="26" s="1"/>
  <c r="D100" i="26" a="1"/>
  <c r="D100" i="26" s="1"/>
  <c r="F99" i="26" a="1"/>
  <c r="F99" i="26" s="1"/>
  <c r="E99" i="26" a="1"/>
  <c r="E99" i="26" s="1"/>
  <c r="D99" i="26" a="1"/>
  <c r="D99" i="26" s="1"/>
  <c r="F98" i="26" a="1"/>
  <c r="F98" i="26" s="1"/>
  <c r="E98" i="26" a="1"/>
  <c r="E98" i="26" s="1"/>
  <c r="D98" i="26" a="1"/>
  <c r="D98" i="26" s="1"/>
  <c r="D96" i="26" a="1"/>
  <c r="D96" i="26" s="1"/>
  <c r="D95" i="26" a="1"/>
  <c r="D95" i="26" s="1"/>
  <c r="D94" i="26" a="1"/>
  <c r="D94" i="26" s="1"/>
  <c r="F91" i="26" a="1"/>
  <c r="F91" i="26" s="1"/>
  <c r="E91" i="26" a="1"/>
  <c r="E91" i="26" s="1"/>
  <c r="D91" i="26" a="1"/>
  <c r="D91" i="26" s="1"/>
  <c r="F90" i="26" a="1"/>
  <c r="F90" i="26" s="1"/>
  <c r="E90" i="26" a="1"/>
  <c r="E90" i="26" s="1"/>
  <c r="D90" i="26" a="1"/>
  <c r="D90" i="26" s="1"/>
  <c r="F89" i="26" a="1"/>
  <c r="F89" i="26" s="1"/>
  <c r="E89" i="26" a="1"/>
  <c r="E89" i="26" s="1"/>
  <c r="D89" i="26" a="1"/>
  <c r="D89" i="26" s="1"/>
  <c r="F88" i="26" a="1"/>
  <c r="F88" i="26" s="1"/>
  <c r="E88" i="26" a="1"/>
  <c r="E88" i="26" s="1"/>
  <c r="D88" i="26" a="1"/>
  <c r="D88" i="26" s="1"/>
  <c r="F87" i="26" a="1"/>
  <c r="F87" i="26" s="1"/>
  <c r="E87" i="26" a="1"/>
  <c r="E87" i="26" s="1"/>
  <c r="D87" i="26" a="1"/>
  <c r="D87" i="26" s="1"/>
  <c r="F86" i="26" a="1"/>
  <c r="F86" i="26" s="1"/>
  <c r="E86" i="26" a="1"/>
  <c r="E86" i="26" s="1"/>
  <c r="D86" i="26" a="1"/>
  <c r="D86" i="26" s="1"/>
  <c r="F85" i="26" a="1"/>
  <c r="F85" i="26" s="1"/>
  <c r="E85" i="26" a="1"/>
  <c r="E85" i="26" s="1"/>
  <c r="D85" i="26" a="1"/>
  <c r="D85" i="26" s="1"/>
  <c r="D83" i="26" a="1"/>
  <c r="D83" i="26" s="1"/>
  <c r="D82" i="26" a="1"/>
  <c r="D82" i="26" s="1"/>
  <c r="D81" i="26" a="1"/>
  <c r="D81" i="26" s="1"/>
  <c r="F78" i="26" a="1"/>
  <c r="F78" i="26" s="1"/>
  <c r="E78" i="26" a="1"/>
  <c r="E78" i="26" s="1"/>
  <c r="D78" i="26" a="1"/>
  <c r="D78" i="26" s="1"/>
  <c r="F77" i="26" a="1"/>
  <c r="F77" i="26" s="1"/>
  <c r="E77" i="26" a="1"/>
  <c r="E77" i="26" s="1"/>
  <c r="D77" i="26" a="1"/>
  <c r="D77" i="26" s="1"/>
  <c r="F76" i="26" a="1"/>
  <c r="F76" i="26" s="1"/>
  <c r="E76" i="26" a="1"/>
  <c r="E76" i="26" s="1"/>
  <c r="D76" i="26" a="1"/>
  <c r="D76" i="26" s="1"/>
  <c r="D74" i="26" a="1"/>
  <c r="D74" i="26" s="1"/>
  <c r="D73" i="26" a="1"/>
  <c r="D73" i="26" s="1"/>
  <c r="D72" i="26" a="1"/>
  <c r="D72" i="26" s="1"/>
  <c r="N68" i="26" a="1"/>
  <c r="N68" i="26" s="1"/>
  <c r="M68" i="26" a="1"/>
  <c r="M68" i="26" s="1"/>
  <c r="L68" i="26" a="1"/>
  <c r="L68" i="26" s="1"/>
  <c r="K68" i="26" a="1"/>
  <c r="K68" i="26" s="1"/>
  <c r="J68" i="26" a="1"/>
  <c r="J68" i="26" s="1"/>
  <c r="I68" i="26" a="1"/>
  <c r="I68" i="26" s="1"/>
  <c r="H68" i="26" a="1"/>
  <c r="H68" i="26" s="1"/>
  <c r="G68" i="26" a="1"/>
  <c r="G68" i="26" s="1"/>
  <c r="F68" i="26" a="1"/>
  <c r="F68" i="26" s="1"/>
  <c r="E68" i="26" a="1"/>
  <c r="E68" i="26" s="1"/>
  <c r="D68" i="26" a="1"/>
  <c r="D68" i="26" s="1"/>
  <c r="N67" i="26" a="1"/>
  <c r="N67" i="26" s="1"/>
  <c r="M67" i="26" a="1"/>
  <c r="M67" i="26" s="1"/>
  <c r="L67" i="26" a="1"/>
  <c r="L67" i="26" s="1"/>
  <c r="K67" i="26" a="1"/>
  <c r="K67" i="26" s="1"/>
  <c r="J67" i="26" a="1"/>
  <c r="J67" i="26" s="1"/>
  <c r="I67" i="26" a="1"/>
  <c r="I67" i="26" s="1"/>
  <c r="H67" i="26" a="1"/>
  <c r="H67" i="26" s="1"/>
  <c r="G67" i="26" a="1"/>
  <c r="G67" i="26" s="1"/>
  <c r="F67" i="26" a="1"/>
  <c r="F67" i="26" s="1"/>
  <c r="E67" i="26" a="1"/>
  <c r="E67" i="26" s="1"/>
  <c r="D67" i="26" a="1"/>
  <c r="D67" i="26" s="1"/>
  <c r="N66" i="26" a="1"/>
  <c r="N66" i="26" s="1"/>
  <c r="M66" i="26" a="1"/>
  <c r="M66" i="26" s="1"/>
  <c r="L66" i="26" a="1"/>
  <c r="L66" i="26" s="1"/>
  <c r="K66" i="26" a="1"/>
  <c r="K66" i="26" s="1"/>
  <c r="J66" i="26" a="1"/>
  <c r="J66" i="26" s="1"/>
  <c r="I66" i="26" a="1"/>
  <c r="I66" i="26" s="1"/>
  <c r="H66" i="26" a="1"/>
  <c r="H66" i="26" s="1"/>
  <c r="G66" i="26" a="1"/>
  <c r="G66" i="26" s="1"/>
  <c r="F66" i="26" a="1"/>
  <c r="F66" i="26" s="1"/>
  <c r="E66" i="26" a="1"/>
  <c r="E66" i="26" s="1"/>
  <c r="D66" i="26" a="1"/>
  <c r="D66" i="26" s="1"/>
  <c r="N65" i="26" a="1"/>
  <c r="N65" i="26" s="1"/>
  <c r="M65" i="26" a="1"/>
  <c r="M65" i="26" s="1"/>
  <c r="L65" i="26" a="1"/>
  <c r="L65" i="26" s="1"/>
  <c r="K65" i="26" a="1"/>
  <c r="K65" i="26" s="1"/>
  <c r="J65" i="26" a="1"/>
  <c r="J65" i="26" s="1"/>
  <c r="I65" i="26" a="1"/>
  <c r="I65" i="26" s="1"/>
  <c r="H65" i="26" a="1"/>
  <c r="H65" i="26" s="1"/>
  <c r="G65" i="26" a="1"/>
  <c r="G65" i="26" s="1"/>
  <c r="F65" i="26" a="1"/>
  <c r="F65" i="26" s="1"/>
  <c r="E65" i="26" a="1"/>
  <c r="E65" i="26" s="1"/>
  <c r="D65" i="26" a="1"/>
  <c r="D65" i="26" s="1"/>
  <c r="N64" i="26" a="1"/>
  <c r="N64" i="26" s="1"/>
  <c r="M64" i="26" a="1"/>
  <c r="M64" i="26" s="1"/>
  <c r="L64" i="26" a="1"/>
  <c r="L64" i="26" s="1"/>
  <c r="K64" i="26" a="1"/>
  <c r="K64" i="26" s="1"/>
  <c r="J64" i="26" a="1"/>
  <c r="J64" i="26" s="1"/>
  <c r="I64" i="26" a="1"/>
  <c r="I64" i="26" s="1"/>
  <c r="H64" i="26" a="1"/>
  <c r="H64" i="26" s="1"/>
  <c r="G64" i="26" a="1"/>
  <c r="G64" i="26" s="1"/>
  <c r="F64" i="26" a="1"/>
  <c r="F64" i="26" s="1"/>
  <c r="E64" i="26" a="1"/>
  <c r="E64" i="26" s="1"/>
  <c r="D64" i="26" a="1"/>
  <c r="D64" i="26" s="1"/>
  <c r="N63" i="26" a="1"/>
  <c r="N63" i="26" s="1"/>
  <c r="M63" i="26" a="1"/>
  <c r="M63" i="26" s="1"/>
  <c r="L63" i="26" a="1"/>
  <c r="L63" i="26" s="1"/>
  <c r="K63" i="26" a="1"/>
  <c r="K63" i="26" s="1"/>
  <c r="J63" i="26" a="1"/>
  <c r="J63" i="26" s="1"/>
  <c r="I63" i="26" a="1"/>
  <c r="I63" i="26" s="1"/>
  <c r="H63" i="26" a="1"/>
  <c r="H63" i="26" s="1"/>
  <c r="G63" i="26" a="1"/>
  <c r="G63" i="26" s="1"/>
  <c r="F63" i="26" a="1"/>
  <c r="F63" i="26" s="1"/>
  <c r="E63" i="26" a="1"/>
  <c r="E63" i="26" s="1"/>
  <c r="D63" i="26" a="1"/>
  <c r="D63" i="26" s="1"/>
  <c r="N62" i="26" a="1"/>
  <c r="N62" i="26" s="1"/>
  <c r="M62" i="26" a="1"/>
  <c r="M62" i="26" s="1"/>
  <c r="L62" i="26" a="1"/>
  <c r="L62" i="26" s="1"/>
  <c r="K62" i="26" a="1"/>
  <c r="K62" i="26" s="1"/>
  <c r="J62" i="26" a="1"/>
  <c r="J62" i="26" s="1"/>
  <c r="I62" i="26" a="1"/>
  <c r="I62" i="26" s="1"/>
  <c r="H62" i="26" a="1"/>
  <c r="H62" i="26" s="1"/>
  <c r="G62" i="26" a="1"/>
  <c r="G62" i="26" s="1"/>
  <c r="F62" i="26" a="1"/>
  <c r="F62" i="26" s="1"/>
  <c r="E62" i="26" a="1"/>
  <c r="E62" i="26" s="1"/>
  <c r="D62" i="26" a="1"/>
  <c r="D62" i="26" s="1"/>
  <c r="N61" i="26" a="1"/>
  <c r="N61" i="26" s="1"/>
  <c r="M61" i="26" a="1"/>
  <c r="M61" i="26" s="1"/>
  <c r="L61" i="26" a="1"/>
  <c r="L61" i="26" s="1"/>
  <c r="K61" i="26" a="1"/>
  <c r="K61" i="26" s="1"/>
  <c r="J61" i="26" a="1"/>
  <c r="J61" i="26" s="1"/>
  <c r="I61" i="26" a="1"/>
  <c r="I61" i="26" s="1"/>
  <c r="H61" i="26" a="1"/>
  <c r="H61" i="26" s="1"/>
  <c r="G61" i="26" a="1"/>
  <c r="G61" i="26" s="1"/>
  <c r="F61" i="26" a="1"/>
  <c r="F61" i="26" s="1"/>
  <c r="E61" i="26" a="1"/>
  <c r="E61" i="26" s="1"/>
  <c r="D61" i="26" a="1"/>
  <c r="D61" i="26" s="1"/>
  <c r="N60" i="26" a="1"/>
  <c r="N60" i="26" s="1"/>
  <c r="M60" i="26" a="1"/>
  <c r="M60" i="26" s="1"/>
  <c r="L60" i="26" a="1"/>
  <c r="L60" i="26" s="1"/>
  <c r="K60" i="26" a="1"/>
  <c r="K60" i="26" s="1"/>
  <c r="J60" i="26" a="1"/>
  <c r="J60" i="26" s="1"/>
  <c r="I60" i="26" a="1"/>
  <c r="I60" i="26" s="1"/>
  <c r="H60" i="26" a="1"/>
  <c r="H60" i="26" s="1"/>
  <c r="G60" i="26" a="1"/>
  <c r="G60" i="26" s="1"/>
  <c r="F60" i="26" a="1"/>
  <c r="F60" i="26" s="1"/>
  <c r="E60" i="26" a="1"/>
  <c r="E60" i="26" s="1"/>
  <c r="D60" i="26" a="1"/>
  <c r="D60" i="26" s="1"/>
  <c r="D53" i="26" a="1"/>
  <c r="D53" i="26" s="1"/>
  <c r="D52" i="26" a="1"/>
  <c r="D52" i="26" s="1"/>
  <c r="D51" i="26" a="1"/>
  <c r="D51" i="26" s="1"/>
  <c r="D47" i="26" a="1"/>
  <c r="D47" i="26" s="1"/>
  <c r="D46" i="26" a="1"/>
  <c r="D46" i="26" s="1"/>
  <c r="D45" i="26" a="1"/>
  <c r="D45" i="26" s="1"/>
  <c r="A24" i="26"/>
  <c r="A23" i="26"/>
  <c r="A22" i="26"/>
  <c r="E21" i="26" a="1"/>
  <c r="E21" i="26" s="1"/>
  <c r="D21" i="26" a="1"/>
  <c r="D21" i="26" s="1"/>
  <c r="E20" i="26" a="1"/>
  <c r="E20" i="26" s="1"/>
  <c r="D20" i="26" a="1"/>
  <c r="D20" i="26" s="1"/>
  <c r="A19" i="26"/>
  <c r="D18" i="26" a="1"/>
  <c r="D18" i="26" s="1"/>
  <c r="A18" i="26"/>
  <c r="D17" i="26"/>
  <c r="D17" i="26" a="1"/>
  <c r="A17" i="26"/>
  <c r="A16" i="26"/>
  <c r="A15" i="26"/>
  <c r="A14" i="26"/>
  <c r="H13" i="26" a="1"/>
  <c r="H13" i="26" s="1"/>
  <c r="G13" i="26" a="1"/>
  <c r="G13" i="26" s="1"/>
  <c r="F13" i="26" a="1"/>
  <c r="F13" i="26" s="1"/>
  <c r="E13" i="26" a="1"/>
  <c r="E13" i="26" s="1"/>
  <c r="D13" i="26" a="1"/>
  <c r="D13" i="26" s="1"/>
  <c r="A13" i="26"/>
  <c r="H12" i="26" a="1"/>
  <c r="H12" i="26" s="1"/>
  <c r="G12" i="26" a="1"/>
  <c r="G12" i="26" s="1"/>
  <c r="F12" i="26" a="1"/>
  <c r="F12" i="26" s="1"/>
  <c r="E12" i="26" a="1"/>
  <c r="E12" i="26" s="1"/>
  <c r="D12" i="26" a="1"/>
  <c r="D12" i="26" s="1"/>
  <c r="A12" i="26"/>
  <c r="H11" i="26" a="1"/>
  <c r="H11" i="26" s="1"/>
  <c r="G11" i="26" a="1"/>
  <c r="G11" i="26" s="1"/>
  <c r="F11" i="26" a="1"/>
  <c r="F11" i="26" s="1"/>
  <c r="E11" i="26" a="1"/>
  <c r="E11" i="26" s="1"/>
  <c r="D11" i="26" a="1"/>
  <c r="D11" i="26" s="1"/>
  <c r="H10" i="26" a="1"/>
  <c r="H10" i="26" s="1"/>
  <c r="G10" i="26" a="1"/>
  <c r="G10" i="26" s="1"/>
  <c r="F10" i="26" a="1"/>
  <c r="F10" i="26" s="1"/>
  <c r="E10" i="26" a="1"/>
  <c r="E10" i="26" s="1"/>
  <c r="D10" i="26" a="1"/>
  <c r="D10" i="26" s="1"/>
  <c r="H9" i="26" a="1"/>
  <c r="H9" i="26" s="1"/>
  <c r="G9" i="26" a="1"/>
  <c r="G9" i="26" s="1"/>
  <c r="F9" i="26" a="1"/>
  <c r="F9" i="26" s="1"/>
  <c r="E9" i="26" a="1"/>
  <c r="E9" i="26" s="1"/>
  <c r="D9" i="26" a="1"/>
  <c r="D9" i="26" s="1"/>
  <c r="A9" i="26"/>
  <c r="A8" i="26"/>
  <c r="D6" i="26"/>
  <c r="D6" i="26" a="1"/>
  <c r="D5" i="26" a="1"/>
  <c r="D5" i="26" s="1"/>
  <c r="A5" i="26"/>
  <c r="A4" i="26"/>
  <c r="A3" i="26"/>
  <c r="D61" i="19" l="1" a="1"/>
  <c r="D61" i="19" s="1"/>
  <c r="E132" i="25" a="1"/>
  <c r="E132" i="25" s="1"/>
  <c r="D132" i="25" a="1"/>
  <c r="D132" i="25" s="1"/>
  <c r="E131" i="25" a="1"/>
  <c r="E131" i="25" s="1"/>
  <c r="D131" i="25" a="1"/>
  <c r="D131" i="25" s="1"/>
  <c r="E130" i="25" a="1"/>
  <c r="E130" i="25" s="1"/>
  <c r="D130" i="25" a="1"/>
  <c r="D130" i="25" s="1"/>
  <c r="E129" i="25" a="1"/>
  <c r="E129" i="25" s="1"/>
  <c r="D129" i="25" a="1"/>
  <c r="D129" i="25" s="1"/>
  <c r="E128" i="25" a="1"/>
  <c r="E128" i="25" s="1"/>
  <c r="D128" i="25" a="1"/>
  <c r="D128" i="25" s="1"/>
  <c r="G104" i="13" s="1" a="1"/>
  <c r="G104" i="13" s="1"/>
  <c r="D126" i="25" a="1"/>
  <c r="D126" i="25" s="1"/>
  <c r="D125" i="25" a="1"/>
  <c r="D125" i="25" s="1"/>
  <c r="F122" i="25" a="1"/>
  <c r="F122" i="25" s="1"/>
  <c r="E122" i="25" a="1"/>
  <c r="E122" i="25" s="1"/>
  <c r="D122" i="25" a="1"/>
  <c r="D122" i="25" s="1"/>
  <c r="D121" i="25" a="1"/>
  <c r="D121" i="25" s="1"/>
  <c r="D120" i="25" a="1"/>
  <c r="D120" i="25" s="1"/>
  <c r="F117" i="25" a="1"/>
  <c r="F117" i="25" s="1"/>
  <c r="E117" i="25" a="1"/>
  <c r="E117" i="25" s="1"/>
  <c r="D117" i="25" a="1"/>
  <c r="D117" i="25" s="1"/>
  <c r="A117" i="25"/>
  <c r="F116" i="25" a="1"/>
  <c r="F116" i="25" s="1"/>
  <c r="E116" i="25" a="1"/>
  <c r="E116" i="25" s="1"/>
  <c r="D116" i="25" a="1"/>
  <c r="D116" i="25" s="1"/>
  <c r="F115" i="25" a="1"/>
  <c r="F115" i="25" s="1"/>
  <c r="E115" i="25" a="1"/>
  <c r="E115" i="25" s="1"/>
  <c r="D115" i="25" a="1"/>
  <c r="D115" i="25" s="1"/>
  <c r="F114" i="25" a="1"/>
  <c r="F114" i="25" s="1"/>
  <c r="E114" i="25" a="1"/>
  <c r="E114" i="25" s="1"/>
  <c r="D114" i="25" a="1"/>
  <c r="D114" i="25" s="1"/>
  <c r="F113" i="25" a="1"/>
  <c r="F113" i="25" s="1"/>
  <c r="E113" i="25" a="1"/>
  <c r="E113" i="25" s="1"/>
  <c r="D113" i="25" a="1"/>
  <c r="D113" i="25" s="1"/>
  <c r="F112" i="25" a="1"/>
  <c r="F112" i="25" s="1"/>
  <c r="E112" i="25" a="1"/>
  <c r="E112" i="25" s="1"/>
  <c r="D112" i="25" a="1"/>
  <c r="D112" i="25" s="1"/>
  <c r="D110" i="25" a="1"/>
  <c r="D110" i="25" s="1"/>
  <c r="D109" i="25" a="1"/>
  <c r="D109" i="25" s="1"/>
  <c r="D108" i="25" a="1"/>
  <c r="D108" i="25" s="1"/>
  <c r="F105" i="25" a="1"/>
  <c r="F105" i="25" s="1"/>
  <c r="E105" i="25" a="1"/>
  <c r="E105" i="25" s="1"/>
  <c r="D105" i="25" a="1"/>
  <c r="D105" i="25" s="1"/>
  <c r="F104" i="25" a="1"/>
  <c r="F104" i="25" s="1"/>
  <c r="E104" i="25" a="1"/>
  <c r="E104" i="25" s="1"/>
  <c r="D104" i="25" a="1"/>
  <c r="D104" i="25" s="1"/>
  <c r="F103" i="25" a="1"/>
  <c r="F103" i="25" s="1"/>
  <c r="E103" i="25" a="1"/>
  <c r="E103" i="25" s="1"/>
  <c r="D103" i="25" a="1"/>
  <c r="D103" i="25" s="1"/>
  <c r="F102" i="25" a="1"/>
  <c r="F102" i="25" s="1"/>
  <c r="E102" i="25" a="1"/>
  <c r="E102" i="25" s="1"/>
  <c r="D102" i="25" a="1"/>
  <c r="D102" i="25" s="1"/>
  <c r="F101" i="25" a="1"/>
  <c r="F101" i="25" s="1"/>
  <c r="E101" i="25" a="1"/>
  <c r="E101" i="25" s="1"/>
  <c r="D101" i="25" a="1"/>
  <c r="D101" i="25" s="1"/>
  <c r="F100" i="25" a="1"/>
  <c r="F100" i="25" s="1"/>
  <c r="E100" i="25" a="1"/>
  <c r="E100" i="25" s="1"/>
  <c r="D100" i="25" a="1"/>
  <c r="D100" i="25" s="1"/>
  <c r="D98" i="25" a="1"/>
  <c r="D98" i="25" s="1"/>
  <c r="D97" i="25" a="1"/>
  <c r="D97" i="25" s="1"/>
  <c r="D96" i="25" a="1"/>
  <c r="D96" i="25" s="1"/>
  <c r="G93" i="25" a="1"/>
  <c r="G93" i="25" s="1"/>
  <c r="F93" i="25" a="1"/>
  <c r="F93" i="25" s="1"/>
  <c r="E93" i="25" a="1"/>
  <c r="E93" i="25" s="1"/>
  <c r="D93" i="25" a="1"/>
  <c r="D93" i="25" s="1"/>
  <c r="G92" i="25" a="1"/>
  <c r="G92" i="25" s="1"/>
  <c r="F92" i="25" a="1"/>
  <c r="F92" i="25" s="1"/>
  <c r="E92" i="25" a="1"/>
  <c r="E92" i="25" s="1"/>
  <c r="D92" i="25" a="1"/>
  <c r="D92" i="25" s="1"/>
  <c r="G91" i="25" a="1"/>
  <c r="G91" i="25" s="1"/>
  <c r="F91" i="25" a="1"/>
  <c r="F91" i="25" s="1"/>
  <c r="E91" i="25" a="1"/>
  <c r="E91" i="25" s="1"/>
  <c r="D91" i="25" a="1"/>
  <c r="D91" i="25" s="1"/>
  <c r="G90" i="25" a="1"/>
  <c r="G90" i="25" s="1"/>
  <c r="F90" i="25" a="1"/>
  <c r="F90" i="25" s="1"/>
  <c r="E90" i="25" a="1"/>
  <c r="E90" i="25" s="1"/>
  <c r="D90" i="25" a="1"/>
  <c r="D90" i="25" s="1"/>
  <c r="D87" i="25" a="1"/>
  <c r="D87" i="25" s="1"/>
  <c r="D86" i="25" a="1"/>
  <c r="D86" i="25" s="1"/>
  <c r="D85" i="25" a="1"/>
  <c r="D85" i="25" s="1"/>
  <c r="E82" i="25" a="1"/>
  <c r="E82" i="25" s="1"/>
  <c r="D82" i="25" a="1"/>
  <c r="D82" i="25" s="1"/>
  <c r="E81" i="25" a="1"/>
  <c r="E81" i="25" s="1"/>
  <c r="D81" i="25" a="1"/>
  <c r="D81" i="25" s="1"/>
  <c r="E80" i="25" a="1"/>
  <c r="E80" i="25" s="1"/>
  <c r="D80" i="25" a="1"/>
  <c r="D80" i="25" s="1"/>
  <c r="E79" i="25" a="1"/>
  <c r="E79" i="25" s="1"/>
  <c r="D79" i="25" a="1"/>
  <c r="D79" i="25" s="1"/>
  <c r="D76" i="25" a="1"/>
  <c r="D76" i="25" s="1"/>
  <c r="D75" i="25" a="1"/>
  <c r="D75" i="25" s="1"/>
  <c r="D74" i="25" a="1"/>
  <c r="D74" i="25" s="1"/>
  <c r="E71" i="25" a="1"/>
  <c r="E71" i="25" s="1"/>
  <c r="D71" i="25" a="1"/>
  <c r="D71" i="25" s="1"/>
  <c r="E70" i="25" a="1"/>
  <c r="E70" i="25" s="1"/>
  <c r="D70" i="25" a="1"/>
  <c r="D70" i="25" s="1"/>
  <c r="E69" i="25" a="1"/>
  <c r="E69" i="25" s="1"/>
  <c r="D69" i="25" a="1"/>
  <c r="D69" i="25" s="1"/>
  <c r="E68" i="25" a="1"/>
  <c r="E68" i="25" s="1"/>
  <c r="D68" i="25" a="1"/>
  <c r="D68" i="25" s="1"/>
  <c r="D65" i="25" a="1"/>
  <c r="D65" i="25" s="1"/>
  <c r="D64" i="25" a="1"/>
  <c r="D64" i="25" s="1"/>
  <c r="D63" i="25" a="1"/>
  <c r="D63" i="25" s="1"/>
  <c r="A63" i="25"/>
  <c r="G56" i="25" a="1"/>
  <c r="G56" i="25" s="1"/>
  <c r="G55" i="25" a="1"/>
  <c r="G55" i="25" s="1"/>
  <c r="G54" i="25" a="1"/>
  <c r="G54" i="25" s="1"/>
  <c r="M35" i="25" a="1"/>
  <c r="M35" i="25" s="1"/>
  <c r="L35" i="25" a="1"/>
  <c r="L35" i="25" s="1"/>
  <c r="K35" i="25" a="1"/>
  <c r="K35" i="25" s="1"/>
  <c r="J35" i="25" a="1"/>
  <c r="J35" i="25" s="1"/>
  <c r="I35" i="25" a="1"/>
  <c r="I35" i="25" s="1"/>
  <c r="H35" i="25" a="1"/>
  <c r="H35" i="25" s="1"/>
  <c r="G35" i="25" a="1"/>
  <c r="G35" i="25" s="1"/>
  <c r="F35" i="25" a="1"/>
  <c r="F35" i="25" s="1"/>
  <c r="E35" i="25" a="1"/>
  <c r="E35" i="25" s="1"/>
  <c r="D35" i="25" a="1"/>
  <c r="D35" i="25" s="1"/>
  <c r="M34" i="25" a="1"/>
  <c r="M34" i="25" s="1"/>
  <c r="L34" i="25" a="1"/>
  <c r="L34" i="25" s="1"/>
  <c r="K34" i="25" a="1"/>
  <c r="K34" i="25" s="1"/>
  <c r="J34" i="25" a="1"/>
  <c r="J34" i="25" s="1"/>
  <c r="I34" i="25" a="1"/>
  <c r="I34" i="25" s="1"/>
  <c r="H34" i="25" a="1"/>
  <c r="H34" i="25" s="1"/>
  <c r="G34" i="25" a="1"/>
  <c r="G34" i="25" s="1"/>
  <c r="F34" i="25" a="1"/>
  <c r="F34" i="25" s="1"/>
  <c r="E34" i="25" a="1"/>
  <c r="E34" i="25" s="1"/>
  <c r="D34" i="25" a="1"/>
  <c r="D34" i="25" s="1"/>
  <c r="M33" i="25" a="1"/>
  <c r="M33" i="25" s="1"/>
  <c r="L33" i="25" a="1"/>
  <c r="L33" i="25" s="1"/>
  <c r="K33" i="25" a="1"/>
  <c r="K33" i="25" s="1"/>
  <c r="J33" i="25" a="1"/>
  <c r="J33" i="25" s="1"/>
  <c r="I33" i="25" a="1"/>
  <c r="I33" i="25" s="1"/>
  <c r="H33" i="25" a="1"/>
  <c r="H33" i="25" s="1"/>
  <c r="G33" i="25" a="1"/>
  <c r="G33" i="25" s="1"/>
  <c r="F33" i="25" a="1"/>
  <c r="F33" i="25" s="1"/>
  <c r="E33" i="25" a="1"/>
  <c r="E33" i="25" s="1"/>
  <c r="D33" i="25" a="1"/>
  <c r="D33" i="25" s="1"/>
  <c r="M32" i="25" a="1"/>
  <c r="M32" i="25" s="1"/>
  <c r="L32" i="25" a="1"/>
  <c r="L32" i="25" s="1"/>
  <c r="K32" i="25" a="1"/>
  <c r="K32" i="25" s="1"/>
  <c r="J32" i="25" a="1"/>
  <c r="J32" i="25" s="1"/>
  <c r="I32" i="25" a="1"/>
  <c r="I32" i="25" s="1"/>
  <c r="H32" i="25" a="1"/>
  <c r="H32" i="25" s="1"/>
  <c r="G32" i="25" a="1"/>
  <c r="G32" i="25" s="1"/>
  <c r="F32" i="25" a="1"/>
  <c r="F32" i="25" s="1"/>
  <c r="E32" i="25" a="1"/>
  <c r="E32" i="25" s="1"/>
  <c r="D32" i="25" a="1"/>
  <c r="D32" i="25" s="1"/>
  <c r="M31" i="25" a="1"/>
  <c r="M31" i="25" s="1"/>
  <c r="L31" i="25" a="1"/>
  <c r="L31" i="25" s="1"/>
  <c r="K31" i="25" a="1"/>
  <c r="K31" i="25" s="1"/>
  <c r="J31" i="25" a="1"/>
  <c r="J31" i="25" s="1"/>
  <c r="I31" i="25" a="1"/>
  <c r="I31" i="25" s="1"/>
  <c r="H31" i="25" a="1"/>
  <c r="H31" i="25" s="1"/>
  <c r="G31" i="25" a="1"/>
  <c r="G31" i="25" s="1"/>
  <c r="F31" i="25" a="1"/>
  <c r="F31" i="25" s="1"/>
  <c r="E31" i="25" a="1"/>
  <c r="E31" i="25" s="1"/>
  <c r="D31" i="25" a="1"/>
  <c r="D31" i="25" s="1"/>
  <c r="M30" i="25" a="1"/>
  <c r="M30" i="25" s="1"/>
  <c r="L30" i="25" a="1"/>
  <c r="L30" i="25" s="1"/>
  <c r="K30" i="25" a="1"/>
  <c r="K30" i="25" s="1"/>
  <c r="J30" i="25" a="1"/>
  <c r="J30" i="25" s="1"/>
  <c r="I30" i="25" a="1"/>
  <c r="I30" i="25" s="1"/>
  <c r="H30" i="25" a="1"/>
  <c r="H30" i="25" s="1"/>
  <c r="G30" i="25" a="1"/>
  <c r="G30" i="25" s="1"/>
  <c r="F30" i="25" a="1"/>
  <c r="F30" i="25" s="1"/>
  <c r="E30" i="25" a="1"/>
  <c r="E30" i="25" s="1"/>
  <c r="D30" i="25" a="1"/>
  <c r="D30" i="25" s="1"/>
  <c r="M29" i="25" a="1"/>
  <c r="M29" i="25" s="1"/>
  <c r="L29" i="25" a="1"/>
  <c r="L29" i="25" s="1"/>
  <c r="K29" i="25" a="1"/>
  <c r="K29" i="25" s="1"/>
  <c r="J29" i="25" a="1"/>
  <c r="J29" i="25" s="1"/>
  <c r="I29" i="25" a="1"/>
  <c r="I29" i="25" s="1"/>
  <c r="H29" i="25" a="1"/>
  <c r="H29" i="25" s="1"/>
  <c r="G29" i="25" a="1"/>
  <c r="G29" i="25" s="1"/>
  <c r="F29" i="25" a="1"/>
  <c r="F29" i="25" s="1"/>
  <c r="E29" i="25" a="1"/>
  <c r="E29" i="25" s="1"/>
  <c r="D29" i="25" a="1"/>
  <c r="D29" i="25" s="1"/>
  <c r="D26" i="25" a="1"/>
  <c r="D26" i="25" s="1"/>
  <c r="D25" i="25" a="1"/>
  <c r="D25" i="25" s="1"/>
  <c r="D24" i="25" a="1"/>
  <c r="D24" i="25" s="1"/>
  <c r="F21" i="25" a="1"/>
  <c r="F21" i="25" s="1"/>
  <c r="E21" i="25" a="1"/>
  <c r="E21" i="25" s="1"/>
  <c r="D21" i="25" a="1"/>
  <c r="D21" i="25" s="1"/>
  <c r="D20" i="25" a="1"/>
  <c r="D20" i="25" s="1"/>
  <c r="D19" i="25" a="1"/>
  <c r="D19" i="25" s="1"/>
  <c r="A18" i="25"/>
  <c r="F17" i="25" a="1"/>
  <c r="F17" i="25" s="1"/>
  <c r="E17" i="25" a="1"/>
  <c r="E17" i="25" s="1"/>
  <c r="D17" i="25" a="1"/>
  <c r="D17" i="25" s="1"/>
  <c r="A17" i="25"/>
  <c r="D16" i="25" a="1"/>
  <c r="D16" i="25" s="1"/>
  <c r="A16" i="25"/>
  <c r="D15" i="25" a="1"/>
  <c r="D15" i="25" s="1"/>
  <c r="A15" i="25"/>
  <c r="D14" i="25" a="1"/>
  <c r="D14" i="25" s="1"/>
  <c r="A12" i="25"/>
  <c r="A9" i="25"/>
  <c r="A8" i="25"/>
  <c r="A5" i="25"/>
  <c r="A4" i="25"/>
  <c r="A3" i="25"/>
  <c r="F79" i="19" l="1" a="1"/>
  <c r="D42" i="19" a="1"/>
  <c r="D42" i="19" s="1"/>
  <c r="D227" i="23" a="1"/>
  <c r="D227" i="23" s="1"/>
  <c r="D226" i="23" a="1"/>
  <c r="D226" i="23" s="1"/>
  <c r="D225" i="23" a="1"/>
  <c r="D225" i="23" s="1"/>
  <c r="D224" i="23" a="1"/>
  <c r="D224" i="23" s="1"/>
  <c r="D223" i="23" a="1"/>
  <c r="D223" i="23" s="1"/>
  <c r="D221" i="23" a="1"/>
  <c r="D221" i="23" s="1"/>
  <c r="D220" i="23" a="1"/>
  <c r="D220" i="23" s="1"/>
  <c r="D219" i="23" a="1"/>
  <c r="D219" i="23" s="1"/>
  <c r="D218" i="23" a="1"/>
  <c r="D218" i="23" s="1"/>
  <c r="D217" i="23" a="1"/>
  <c r="D217" i="23" s="1"/>
  <c r="D215" i="23" a="1"/>
  <c r="D215" i="23" s="1"/>
  <c r="A215" i="23"/>
  <c r="D214" i="23" a="1"/>
  <c r="D214" i="23" s="1"/>
  <c r="D213" i="23" a="1"/>
  <c r="D213" i="23" s="1"/>
  <c r="D212" i="23" a="1"/>
  <c r="D212" i="23" s="1"/>
  <c r="D211" i="23" a="1"/>
  <c r="D211" i="23" s="1"/>
  <c r="D209" i="23" a="1"/>
  <c r="D209" i="23" s="1"/>
  <c r="D208" i="23" a="1"/>
  <c r="D208" i="23" s="1"/>
  <c r="D207" i="23" a="1"/>
  <c r="D207" i="23" s="1"/>
  <c r="D206" i="23" a="1"/>
  <c r="D206" i="23" s="1"/>
  <c r="D205" i="23" a="1"/>
  <c r="D205" i="23" s="1"/>
  <c r="D202" i="23" a="1"/>
  <c r="D202" i="23" s="1"/>
  <c r="D201" i="23" a="1"/>
  <c r="D201" i="23" s="1"/>
  <c r="D200" i="23" a="1"/>
  <c r="D200" i="23" s="1"/>
  <c r="D199" i="23" a="1"/>
  <c r="D199" i="23" s="1"/>
  <c r="D198" i="23" a="1"/>
  <c r="D198" i="23" s="1"/>
  <c r="D195" i="23" a="1"/>
  <c r="D195" i="23" s="1"/>
  <c r="D194" i="23" a="1"/>
  <c r="D194" i="23" s="1"/>
  <c r="D193" i="23" a="1"/>
  <c r="D193" i="23" s="1"/>
  <c r="D192" i="23" a="1"/>
  <c r="D192" i="23" s="1"/>
  <c r="D191" i="23" a="1"/>
  <c r="D191" i="23" s="1"/>
  <c r="D188" i="23" a="1"/>
  <c r="D188" i="23" s="1"/>
  <c r="D187" i="23" a="1"/>
  <c r="D187" i="23" s="1"/>
  <c r="D186" i="23" a="1"/>
  <c r="D186" i="23" s="1"/>
  <c r="D185" i="23" a="1"/>
  <c r="D185" i="23" s="1"/>
  <c r="D184" i="23" a="1"/>
  <c r="D184" i="23" s="1"/>
  <c r="D181" i="23" a="1"/>
  <c r="D181" i="23" s="1"/>
  <c r="D180" i="23" a="1"/>
  <c r="D180" i="23" s="1"/>
  <c r="D179" i="23" a="1"/>
  <c r="D179" i="23" s="1"/>
  <c r="D178" i="23" a="1"/>
  <c r="D178" i="23" s="1"/>
  <c r="D177" i="23" a="1"/>
  <c r="D177" i="23" s="1"/>
  <c r="D174" i="23" a="1"/>
  <c r="D174" i="23" s="1"/>
  <c r="A174" i="23"/>
  <c r="D173" i="23" a="1"/>
  <c r="D173" i="23" s="1"/>
  <c r="D172" i="23" a="1"/>
  <c r="D172" i="23" s="1"/>
  <c r="D171" i="23" a="1"/>
  <c r="D171" i="23" s="1"/>
  <c r="D170" i="23" a="1"/>
  <c r="D170" i="23" s="1"/>
  <c r="D167" i="23" a="1"/>
  <c r="D167" i="23" s="1"/>
  <c r="D166" i="23" a="1"/>
  <c r="D166" i="23" s="1"/>
  <c r="D165" i="23" a="1"/>
  <c r="D165" i="23" s="1"/>
  <c r="D164" i="23" a="1"/>
  <c r="D164" i="23" s="1"/>
  <c r="D163" i="23" a="1"/>
  <c r="D163" i="23" s="1"/>
  <c r="D160" i="23" a="1"/>
  <c r="D160" i="23" s="1"/>
  <c r="D159" i="23" a="1"/>
  <c r="D159" i="23" s="1"/>
  <c r="D158" i="23" a="1"/>
  <c r="D158" i="23" s="1"/>
  <c r="D157" i="23" a="1"/>
  <c r="D157" i="23" s="1"/>
  <c r="D156" i="23" a="1"/>
  <c r="D156" i="23" s="1"/>
  <c r="D153" i="23" a="1"/>
  <c r="D153" i="23" s="1"/>
  <c r="D152" i="23" a="1"/>
  <c r="D152" i="23" s="1"/>
  <c r="D151" i="23" a="1"/>
  <c r="D151" i="23" s="1"/>
  <c r="D150" i="23" a="1"/>
  <c r="D150" i="23" s="1"/>
  <c r="D149" i="23" a="1"/>
  <c r="D149" i="23" s="1"/>
  <c r="F146" i="23" a="1"/>
  <c r="F146" i="23" s="1"/>
  <c r="E146" i="23" a="1"/>
  <c r="E146" i="23" s="1"/>
  <c r="D146" i="23" a="1"/>
  <c r="D146" i="23" s="1"/>
  <c r="F145" i="23" a="1"/>
  <c r="F145" i="23" s="1"/>
  <c r="E145" i="23" a="1"/>
  <c r="E145" i="23" s="1"/>
  <c r="D145" i="23" a="1"/>
  <c r="D145" i="23" s="1"/>
  <c r="F144" i="23" a="1"/>
  <c r="F144" i="23" s="1"/>
  <c r="E144" i="23" a="1"/>
  <c r="E144" i="23" s="1"/>
  <c r="D144" i="23" a="1"/>
  <c r="D144" i="23" s="1"/>
  <c r="F143" i="23" a="1"/>
  <c r="F143" i="23" s="1"/>
  <c r="E143" i="23" a="1"/>
  <c r="E143" i="23" s="1"/>
  <c r="D143" i="23" a="1"/>
  <c r="D143" i="23" s="1"/>
  <c r="F142" i="23" a="1"/>
  <c r="F142" i="23" s="1"/>
  <c r="E142" i="23" a="1"/>
  <c r="E142" i="23" s="1"/>
  <c r="D142" i="23" a="1"/>
  <c r="D142" i="23" s="1"/>
  <c r="D140" i="23" a="1"/>
  <c r="D140" i="23" s="1"/>
  <c r="D139" i="23" a="1"/>
  <c r="D139" i="23" s="1"/>
  <c r="D138" i="23" a="1"/>
  <c r="D138" i="23" s="1"/>
  <c r="D137" i="23" a="1"/>
  <c r="D137" i="23" s="1"/>
  <c r="A137" i="23"/>
  <c r="D136" i="23" a="1"/>
  <c r="D136" i="23" s="1"/>
  <c r="F133" i="23" a="1"/>
  <c r="F133" i="23" s="1"/>
  <c r="E133" i="23" a="1"/>
  <c r="E133" i="23" s="1"/>
  <c r="D133" i="23" a="1"/>
  <c r="D133" i="23" s="1"/>
  <c r="F132" i="23" a="1"/>
  <c r="F132" i="23" s="1"/>
  <c r="E132" i="23" a="1"/>
  <c r="E132" i="23" s="1"/>
  <c r="D132" i="23" a="1"/>
  <c r="D132" i="23" s="1"/>
  <c r="F131" i="23" a="1"/>
  <c r="F131" i="23" s="1"/>
  <c r="E131" i="23" a="1"/>
  <c r="E131" i="23" s="1"/>
  <c r="D131" i="23" a="1"/>
  <c r="D131" i="23" s="1"/>
  <c r="F130" i="23" a="1"/>
  <c r="F130" i="23" s="1"/>
  <c r="E130" i="23" a="1"/>
  <c r="E130" i="23" s="1"/>
  <c r="D130" i="23" a="1"/>
  <c r="D130" i="23" s="1"/>
  <c r="F129" i="23" a="1"/>
  <c r="F129" i="23" s="1"/>
  <c r="E129" i="23" a="1"/>
  <c r="E129" i="23" s="1"/>
  <c r="D129" i="23" a="1"/>
  <c r="D129" i="23" s="1"/>
  <c r="D127" i="23" a="1"/>
  <c r="D127" i="23" s="1"/>
  <c r="D126" i="23" a="1"/>
  <c r="D126" i="23" s="1"/>
  <c r="D125" i="23" a="1"/>
  <c r="D125" i="23" s="1"/>
  <c r="D124" i="23" a="1"/>
  <c r="D124" i="23" s="1"/>
  <c r="D123" i="23" a="1"/>
  <c r="D123" i="23" s="1"/>
  <c r="G120" i="23" a="1"/>
  <c r="G120" i="23" s="1"/>
  <c r="F120" i="23" a="1"/>
  <c r="F120" i="23" s="1"/>
  <c r="E120" i="23" a="1"/>
  <c r="E120" i="23" s="1"/>
  <c r="D120" i="23" a="1"/>
  <c r="D120" i="23" s="1"/>
  <c r="G119" i="23" a="1"/>
  <c r="G119" i="23" s="1"/>
  <c r="F119" i="23" a="1"/>
  <c r="F119" i="23" s="1"/>
  <c r="E119" i="23" a="1"/>
  <c r="E119" i="23" s="1"/>
  <c r="D119" i="23" a="1"/>
  <c r="D119" i="23" s="1"/>
  <c r="G118" i="23" a="1"/>
  <c r="G118" i="23" s="1"/>
  <c r="F118" i="23" a="1"/>
  <c r="F118" i="23" s="1"/>
  <c r="E118" i="23" a="1"/>
  <c r="E118" i="23" s="1"/>
  <c r="D118" i="23" a="1"/>
  <c r="D118" i="23" s="1"/>
  <c r="G117" i="23" a="1"/>
  <c r="G117" i="23" s="1"/>
  <c r="F117" i="23" a="1"/>
  <c r="F117" i="23" s="1"/>
  <c r="E117" i="23" a="1"/>
  <c r="E117" i="23" s="1"/>
  <c r="D117" i="23" a="1"/>
  <c r="D117" i="23" s="1"/>
  <c r="D115" i="23" a="1"/>
  <c r="D115" i="23" s="1"/>
  <c r="D114" i="23" a="1"/>
  <c r="D114" i="23" s="1"/>
  <c r="D113" i="23" a="1"/>
  <c r="D113" i="23" s="1"/>
  <c r="D112" i="23" a="1"/>
  <c r="D112" i="23" s="1"/>
  <c r="E109" i="23" a="1"/>
  <c r="E109" i="23" s="1"/>
  <c r="D109" i="23" a="1"/>
  <c r="D109" i="23" s="1"/>
  <c r="E108" i="23" a="1"/>
  <c r="E108" i="23" s="1"/>
  <c r="D108" i="23" a="1"/>
  <c r="D108" i="23" s="1"/>
  <c r="D106" i="23" a="1"/>
  <c r="D106" i="23" s="1"/>
  <c r="D105" i="23" a="1"/>
  <c r="D105" i="23" s="1"/>
  <c r="D104" i="23" a="1"/>
  <c r="D104" i="23" s="1"/>
  <c r="A104" i="23"/>
  <c r="D103" i="23" a="1"/>
  <c r="D103" i="23" s="1"/>
  <c r="E100" i="23" a="1"/>
  <c r="E100" i="23" s="1"/>
  <c r="D100" i="23" a="1"/>
  <c r="D100" i="23" s="1"/>
  <c r="E99" i="23" a="1"/>
  <c r="E99" i="23" s="1"/>
  <c r="D99" i="23" a="1"/>
  <c r="D99" i="23" s="1"/>
  <c r="D97" i="23" a="1"/>
  <c r="D97" i="23" s="1"/>
  <c r="D96" i="23" a="1"/>
  <c r="D96" i="23" s="1"/>
  <c r="D95" i="23" a="1"/>
  <c r="D95" i="23" s="1"/>
  <c r="D94" i="23" a="1"/>
  <c r="D94" i="23" s="1"/>
  <c r="G91" i="23" a="1"/>
  <c r="G91" i="23" s="1"/>
  <c r="F91" i="23" a="1"/>
  <c r="F91" i="23" s="1"/>
  <c r="E91" i="23" a="1"/>
  <c r="E91" i="23" s="1"/>
  <c r="D91" i="23" a="1"/>
  <c r="D91" i="23" s="1"/>
  <c r="G90" i="23" a="1"/>
  <c r="G90" i="23" s="1"/>
  <c r="F90" i="23" a="1"/>
  <c r="F90" i="23" s="1"/>
  <c r="E90" i="23" a="1"/>
  <c r="E90" i="23" s="1"/>
  <c r="D90" i="23" a="1"/>
  <c r="D90" i="23" s="1"/>
  <c r="G89" i="23" a="1"/>
  <c r="G89" i="23" s="1"/>
  <c r="F89" i="23" a="1"/>
  <c r="F89" i="23" s="1"/>
  <c r="E89" i="23" a="1"/>
  <c r="E89" i="23" s="1"/>
  <c r="D89" i="23" a="1"/>
  <c r="D89" i="23" s="1"/>
  <c r="G88" i="23" a="1"/>
  <c r="G88" i="23" s="1"/>
  <c r="F88" i="23" a="1"/>
  <c r="F88" i="23" s="1"/>
  <c r="E88" i="23" a="1"/>
  <c r="E88" i="23" s="1"/>
  <c r="D88" i="23" a="1"/>
  <c r="D88" i="23" s="1"/>
  <c r="G87" i="23" a="1"/>
  <c r="G87" i="23" s="1"/>
  <c r="F87" i="23" a="1"/>
  <c r="F87" i="23" s="1"/>
  <c r="E87" i="23" a="1"/>
  <c r="E87" i="23" s="1"/>
  <c r="D87" i="23" a="1"/>
  <c r="D87" i="23" s="1"/>
  <c r="D85" i="23" a="1"/>
  <c r="D85" i="23" s="1"/>
  <c r="D84" i="23" a="1"/>
  <c r="D84" i="23" s="1"/>
  <c r="D83" i="23" a="1"/>
  <c r="D83" i="23" s="1"/>
  <c r="D82" i="23"/>
  <c r="D82" i="23" a="1"/>
  <c r="D81" i="23" a="1"/>
  <c r="D81" i="23" s="1"/>
  <c r="A79" i="23"/>
  <c r="M78" i="23" a="1"/>
  <c r="M78" i="23" s="1"/>
  <c r="L78" i="23" a="1"/>
  <c r="L78" i="23" s="1"/>
  <c r="K78" i="23" a="1"/>
  <c r="K78" i="23" s="1"/>
  <c r="J78" i="23" a="1"/>
  <c r="J78" i="23" s="1"/>
  <c r="I78" i="23" a="1"/>
  <c r="I78" i="23" s="1"/>
  <c r="H78" i="23" a="1"/>
  <c r="H78" i="23" s="1"/>
  <c r="G78" i="23" a="1"/>
  <c r="G78" i="23" s="1"/>
  <c r="F78" i="23" a="1"/>
  <c r="F78" i="23" s="1"/>
  <c r="E78" i="23" a="1"/>
  <c r="E78" i="23" s="1"/>
  <c r="D78" i="23" a="1"/>
  <c r="D78" i="23" s="1"/>
  <c r="M77" i="23" a="1"/>
  <c r="M77" i="23" s="1"/>
  <c r="L77" i="23" a="1"/>
  <c r="L77" i="23" s="1"/>
  <c r="K77" i="23" a="1"/>
  <c r="K77" i="23" s="1"/>
  <c r="J77" i="23" a="1"/>
  <c r="J77" i="23" s="1"/>
  <c r="I77" i="23" a="1"/>
  <c r="I77" i="23" s="1"/>
  <c r="H77" i="23" a="1"/>
  <c r="H77" i="23" s="1"/>
  <c r="G77" i="23" a="1"/>
  <c r="G77" i="23" s="1"/>
  <c r="F77" i="23" a="1"/>
  <c r="F77" i="23" s="1"/>
  <c r="E77" i="23" a="1"/>
  <c r="E77" i="23" s="1"/>
  <c r="D77" i="23" a="1"/>
  <c r="D77" i="23" s="1"/>
  <c r="M76" i="23" a="1"/>
  <c r="M76" i="23" s="1"/>
  <c r="L76" i="23" a="1"/>
  <c r="L76" i="23" s="1"/>
  <c r="K76" i="23" a="1"/>
  <c r="K76" i="23" s="1"/>
  <c r="J76" i="23" a="1"/>
  <c r="J76" i="23" s="1"/>
  <c r="I76" i="23" a="1"/>
  <c r="I76" i="23" s="1"/>
  <c r="H76" i="23" a="1"/>
  <c r="H76" i="23" s="1"/>
  <c r="G76" i="23" a="1"/>
  <c r="G76" i="23" s="1"/>
  <c r="F76" i="23" a="1"/>
  <c r="F76" i="23" s="1"/>
  <c r="E76" i="23" a="1"/>
  <c r="E76" i="23" s="1"/>
  <c r="D76" i="23" a="1"/>
  <c r="D76" i="23" s="1"/>
  <c r="M75" i="23" a="1"/>
  <c r="M75" i="23" s="1"/>
  <c r="L75" i="23" a="1"/>
  <c r="L75" i="23" s="1"/>
  <c r="K75" i="23" a="1"/>
  <c r="K75" i="23" s="1"/>
  <c r="J75" i="23" a="1"/>
  <c r="J75" i="23" s="1"/>
  <c r="I75" i="23" a="1"/>
  <c r="I75" i="23" s="1"/>
  <c r="H75" i="23" a="1"/>
  <c r="H75" i="23" s="1"/>
  <c r="G75" i="23" a="1"/>
  <c r="G75" i="23" s="1"/>
  <c r="F75" i="23" a="1"/>
  <c r="F75" i="23" s="1"/>
  <c r="E75" i="23" a="1"/>
  <c r="E75" i="23" s="1"/>
  <c r="D75" i="23" a="1"/>
  <c r="D75" i="23" s="1"/>
  <c r="M74" i="23" a="1"/>
  <c r="M74" i="23" s="1"/>
  <c r="L74" i="23" a="1"/>
  <c r="L74" i="23" s="1"/>
  <c r="K74" i="23" a="1"/>
  <c r="K74" i="23" s="1"/>
  <c r="J74" i="23" a="1"/>
  <c r="J74" i="23" s="1"/>
  <c r="I74" i="23" a="1"/>
  <c r="I74" i="23" s="1"/>
  <c r="H74" i="23" a="1"/>
  <c r="H74" i="23" s="1"/>
  <c r="G74" i="23" a="1"/>
  <c r="G74" i="23" s="1"/>
  <c r="F74" i="23" a="1"/>
  <c r="F74" i="23" s="1"/>
  <c r="E74" i="23" a="1"/>
  <c r="E74" i="23" s="1"/>
  <c r="D74" i="23" a="1"/>
  <c r="D74" i="23" s="1"/>
  <c r="M73" i="23" a="1"/>
  <c r="M73" i="23" s="1"/>
  <c r="L73" i="23" a="1"/>
  <c r="L73" i="23" s="1"/>
  <c r="K73" i="23" a="1"/>
  <c r="K73" i="23" s="1"/>
  <c r="J73" i="23" a="1"/>
  <c r="J73" i="23" s="1"/>
  <c r="I73" i="23" a="1"/>
  <c r="I73" i="23" s="1"/>
  <c r="H73" i="23" a="1"/>
  <c r="H73" i="23" s="1"/>
  <c r="G73" i="23" a="1"/>
  <c r="G73" i="23" s="1"/>
  <c r="F73" i="23" a="1"/>
  <c r="F73" i="23" s="1"/>
  <c r="E73" i="23" a="1"/>
  <c r="E73" i="23" s="1"/>
  <c r="D73" i="23" a="1"/>
  <c r="D73" i="23" s="1"/>
  <c r="D71" i="23" a="1"/>
  <c r="D71" i="23" s="1"/>
  <c r="D70" i="23" a="1"/>
  <c r="D70" i="23" s="1"/>
  <c r="D69" i="23" a="1"/>
  <c r="D69" i="23" s="1"/>
  <c r="D68" i="23" a="1"/>
  <c r="D68" i="23" s="1"/>
  <c r="D67" i="23" a="1"/>
  <c r="D67" i="23" s="1"/>
  <c r="G64" i="23" a="1"/>
  <c r="G64" i="23" s="1"/>
  <c r="F64" i="23" a="1"/>
  <c r="F64" i="23" s="1"/>
  <c r="E64" i="23" a="1"/>
  <c r="E64" i="23" s="1"/>
  <c r="D64" i="23" a="1"/>
  <c r="D64" i="23" s="1"/>
  <c r="G63" i="23" a="1"/>
  <c r="G63" i="23" s="1"/>
  <c r="F63" i="23" a="1"/>
  <c r="F63" i="23" s="1"/>
  <c r="E63" i="23" a="1"/>
  <c r="E63" i="23" s="1"/>
  <c r="D63" i="23" a="1"/>
  <c r="D63" i="23" s="1"/>
  <c r="D61" i="23" a="1"/>
  <c r="D61" i="23" s="1"/>
  <c r="D60" i="23" a="1"/>
  <c r="D60" i="23" s="1"/>
  <c r="D59" i="23" a="1"/>
  <c r="D59" i="23" s="1"/>
  <c r="D58" i="23" a="1"/>
  <c r="D58" i="23" s="1"/>
  <c r="H55" i="23" a="1"/>
  <c r="H55" i="23" s="1"/>
  <c r="G55" i="23" a="1"/>
  <c r="G55" i="23" s="1"/>
  <c r="F55" i="23" a="1"/>
  <c r="F55" i="23" s="1"/>
  <c r="E55" i="23" a="1"/>
  <c r="E55" i="23" s="1"/>
  <c r="D55" i="23" a="1"/>
  <c r="D55" i="23" s="1"/>
  <c r="A55" i="23"/>
  <c r="D53" i="23" a="1"/>
  <c r="D53" i="23" s="1"/>
  <c r="D52" i="23" a="1"/>
  <c r="D52" i="23" s="1"/>
  <c r="D51" i="23" a="1"/>
  <c r="D51" i="23" s="1"/>
  <c r="D50" i="23" a="1"/>
  <c r="D50" i="23" s="1"/>
  <c r="H47" i="23" a="1"/>
  <c r="H47" i="23" s="1"/>
  <c r="G47" i="23" a="1"/>
  <c r="G47" i="23" s="1"/>
  <c r="F47" i="23" a="1"/>
  <c r="F47" i="23" s="1"/>
  <c r="E47" i="23" a="1"/>
  <c r="E47" i="23" s="1"/>
  <c r="D47" i="23" a="1"/>
  <c r="D47" i="23" s="1"/>
  <c r="D45" i="23" a="1"/>
  <c r="D45" i="23" s="1"/>
  <c r="D44" i="23" a="1"/>
  <c r="D44" i="23" s="1"/>
  <c r="D43" i="23" a="1"/>
  <c r="D43" i="23" s="1"/>
  <c r="D42" i="23" a="1"/>
  <c r="D42" i="23" s="1"/>
  <c r="F39" i="23" a="1"/>
  <c r="F39" i="23" s="1"/>
  <c r="E39" i="23" a="1"/>
  <c r="E39" i="23" s="1"/>
  <c r="D39" i="23" a="1"/>
  <c r="D39" i="23" s="1"/>
  <c r="D37" i="23" a="1"/>
  <c r="D37" i="23" s="1"/>
  <c r="D36" i="23" a="1"/>
  <c r="D36" i="23" s="1"/>
  <c r="D35" i="23" a="1"/>
  <c r="D35" i="23" s="1"/>
  <c r="D34" i="23" a="1"/>
  <c r="D34" i="23" s="1"/>
  <c r="G31" i="23" a="1"/>
  <c r="G31" i="23" s="1"/>
  <c r="F31" i="23" a="1"/>
  <c r="F31" i="23" s="1"/>
  <c r="E31" i="23" a="1"/>
  <c r="E31" i="23" s="1"/>
  <c r="D31" i="23" a="1"/>
  <c r="D31" i="23" s="1"/>
  <c r="G30" i="23" a="1"/>
  <c r="G30" i="23" s="1"/>
  <c r="F30" i="23" a="1"/>
  <c r="F30" i="23" s="1"/>
  <c r="E30" i="23" a="1"/>
  <c r="E30" i="23" s="1"/>
  <c r="D30" i="23" a="1"/>
  <c r="D30" i="23" s="1"/>
  <c r="G29" i="23" a="1"/>
  <c r="G29" i="23" s="1"/>
  <c r="F29" i="23" a="1"/>
  <c r="F29" i="23" s="1"/>
  <c r="E29" i="23" a="1"/>
  <c r="E29" i="23" s="1"/>
  <c r="D29" i="23" a="1"/>
  <c r="D29" i="23" s="1"/>
  <c r="G28" i="23" a="1"/>
  <c r="G28" i="23" s="1"/>
  <c r="F28" i="23" a="1"/>
  <c r="F28" i="23" s="1"/>
  <c r="E28" i="23" a="1"/>
  <c r="E28" i="23" s="1"/>
  <c r="D28" i="23" a="1"/>
  <c r="D28" i="23" s="1"/>
  <c r="G27" i="23" a="1"/>
  <c r="G27" i="23" s="1"/>
  <c r="F27" i="23" a="1"/>
  <c r="F27" i="23" s="1"/>
  <c r="E27" i="23" a="1"/>
  <c r="E27" i="23" s="1"/>
  <c r="D27" i="23" a="1"/>
  <c r="D27" i="23" s="1"/>
  <c r="G26" i="23" a="1"/>
  <c r="G26" i="23" s="1"/>
  <c r="F26" i="23" a="1"/>
  <c r="F26" i="23" s="1"/>
  <c r="E26" i="23" a="1"/>
  <c r="E26" i="23" s="1"/>
  <c r="D26" i="23" a="1"/>
  <c r="D26" i="23" s="1"/>
  <c r="G25" i="23" a="1"/>
  <c r="G25" i="23" s="1"/>
  <c r="F25" i="23" a="1"/>
  <c r="F25" i="23" s="1"/>
  <c r="E25" i="23" a="1"/>
  <c r="E25" i="23" s="1"/>
  <c r="D25" i="23" a="1"/>
  <c r="D25" i="23" s="1"/>
  <c r="G24" i="23" a="1"/>
  <c r="G24" i="23" s="1"/>
  <c r="F24" i="23" a="1"/>
  <c r="F24" i="23" s="1"/>
  <c r="E24" i="23" a="1"/>
  <c r="E24" i="23" s="1"/>
  <c r="D24" i="23" a="1"/>
  <c r="D24" i="23" s="1"/>
  <c r="G23" i="23" a="1"/>
  <c r="G23" i="23" s="1"/>
  <c r="F23" i="23" a="1"/>
  <c r="F23" i="23" s="1"/>
  <c r="E23" i="23" a="1"/>
  <c r="E23" i="23" s="1"/>
  <c r="D23" i="23" a="1"/>
  <c r="D23" i="23" s="1"/>
  <c r="G22" i="23" a="1"/>
  <c r="G22" i="23" s="1"/>
  <c r="F22" i="23" a="1"/>
  <c r="F22" i="23" s="1"/>
  <c r="E22" i="23" a="1"/>
  <c r="E22" i="23" s="1"/>
  <c r="D22" i="23" a="1"/>
  <c r="D22" i="23" s="1"/>
  <c r="D20" i="23" a="1"/>
  <c r="D20" i="23" s="1"/>
  <c r="D19" i="23" a="1"/>
  <c r="D19" i="23" s="1"/>
  <c r="D18" i="23" a="1"/>
  <c r="D18" i="23" s="1"/>
  <c r="D17" i="23" a="1"/>
  <c r="D17" i="23" s="1"/>
  <c r="D16" i="23" a="1"/>
  <c r="D16" i="23" s="1"/>
  <c r="F79" i="19" l="1"/>
  <c r="H93" i="13" a="1"/>
  <c r="H93" i="13" s="1"/>
  <c r="H92" i="13" a="1"/>
  <c r="H92" i="13" s="1"/>
  <c r="H91" i="13" a="1"/>
  <c r="H91" i="13" s="1"/>
  <c r="F61" i="19" a="1"/>
  <c r="K62" i="20"/>
  <c r="K61" i="20"/>
  <c r="K60" i="20"/>
  <c r="K59" i="20"/>
  <c r="K58" i="20"/>
  <c r="K57" i="20"/>
  <c r="K56" i="20"/>
  <c r="K55" i="20"/>
  <c r="K54" i="20"/>
  <c r="K53" i="20"/>
  <c r="D440" i="22" a="1"/>
  <c r="D440" i="22" s="1"/>
  <c r="D439" i="22" a="1"/>
  <c r="D439" i="22" s="1"/>
  <c r="D438" i="22" a="1"/>
  <c r="D438" i="22" s="1"/>
  <c r="D437" i="22" a="1"/>
  <c r="D437" i="22" s="1"/>
  <c r="D436" i="22" a="1"/>
  <c r="D436" i="22" s="1"/>
  <c r="D434" i="22" a="1"/>
  <c r="D434" i="22" s="1"/>
  <c r="D433" i="22" a="1"/>
  <c r="D433" i="22" s="1"/>
  <c r="D432" i="22" a="1"/>
  <c r="D432" i="22" s="1"/>
  <c r="D431" i="22" a="1"/>
  <c r="D431" i="22" s="1"/>
  <c r="D430" i="22" a="1"/>
  <c r="D430" i="22" s="1"/>
  <c r="D428" i="22" a="1"/>
  <c r="D428" i="22" s="1"/>
  <c r="D427" i="22" a="1"/>
  <c r="D427" i="22" s="1"/>
  <c r="D426" i="22" a="1"/>
  <c r="D426" i="22" s="1"/>
  <c r="D425" i="22" a="1"/>
  <c r="D425" i="22" s="1"/>
  <c r="D424" i="22" a="1"/>
  <c r="D424" i="22" s="1"/>
  <c r="D422" i="22" a="1"/>
  <c r="D422" i="22" s="1"/>
  <c r="D421" i="22" a="1"/>
  <c r="D421" i="22" s="1"/>
  <c r="D420" i="22" a="1"/>
  <c r="D420" i="22" s="1"/>
  <c r="D419" i="22" a="1"/>
  <c r="D419" i="22" s="1"/>
  <c r="D418" i="22" a="1"/>
  <c r="D418" i="22" s="1"/>
  <c r="G415" i="22" a="1"/>
  <c r="G415" i="22" s="1"/>
  <c r="F415" i="22" a="1"/>
  <c r="F415" i="22" s="1"/>
  <c r="E415" i="22" a="1"/>
  <c r="E415" i="22" s="1"/>
  <c r="D415" i="22" a="1"/>
  <c r="D415" i="22" s="1"/>
  <c r="G414" i="22" a="1"/>
  <c r="G414" i="22" s="1"/>
  <c r="F414" i="22" a="1"/>
  <c r="F414" i="22" s="1"/>
  <c r="E414" i="22" a="1"/>
  <c r="E414" i="22" s="1"/>
  <c r="D414" i="22" a="1"/>
  <c r="D414" i="22" s="1"/>
  <c r="G413" i="22" a="1"/>
  <c r="G413" i="22" s="1"/>
  <c r="F413" i="22" a="1"/>
  <c r="F413" i="22" s="1"/>
  <c r="E413" i="22" a="1"/>
  <c r="E413" i="22" s="1"/>
  <c r="D413" i="22" a="1"/>
  <c r="D413" i="22" s="1"/>
  <c r="G412" i="22" a="1"/>
  <c r="G412" i="22" s="1"/>
  <c r="F412" i="22" a="1"/>
  <c r="F412" i="22" s="1"/>
  <c r="E412" i="22" a="1"/>
  <c r="E412" i="22" s="1"/>
  <c r="D412" i="22" a="1"/>
  <c r="D412" i="22" s="1"/>
  <c r="G411" i="22" a="1"/>
  <c r="G411" i="22" s="1"/>
  <c r="F411" i="22" a="1"/>
  <c r="F411" i="22" s="1"/>
  <c r="E411" i="22" a="1"/>
  <c r="E411" i="22" s="1"/>
  <c r="D411" i="22" a="1"/>
  <c r="D411" i="22" s="1"/>
  <c r="G410" i="22" a="1"/>
  <c r="G410" i="22" s="1"/>
  <c r="F410" i="22" a="1"/>
  <c r="F410" i="22" s="1"/>
  <c r="E410" i="22" a="1"/>
  <c r="E410" i="22" s="1"/>
  <c r="D410" i="22" a="1"/>
  <c r="D410" i="22" s="1"/>
  <c r="G409" i="22" a="1"/>
  <c r="G409" i="22" s="1"/>
  <c r="F409" i="22" a="1"/>
  <c r="F409" i="22" s="1"/>
  <c r="E409" i="22" a="1"/>
  <c r="E409" i="22" s="1"/>
  <c r="D409" i="22" a="1"/>
  <c r="D409" i="22" s="1"/>
  <c r="G408" i="22" a="1"/>
  <c r="G408" i="22" s="1"/>
  <c r="F408" i="22" a="1"/>
  <c r="F408" i="22" s="1"/>
  <c r="E408" i="22" a="1"/>
  <c r="E408" i="22" s="1"/>
  <c r="D408" i="22" a="1"/>
  <c r="D408" i="22" s="1"/>
  <c r="G407" i="22" a="1"/>
  <c r="G407" i="22" s="1"/>
  <c r="F407" i="22" a="1"/>
  <c r="F407" i="22" s="1"/>
  <c r="E407" i="22" a="1"/>
  <c r="E407" i="22" s="1"/>
  <c r="D407" i="22" a="1"/>
  <c r="D407" i="22" s="1"/>
  <c r="G406" i="22" a="1"/>
  <c r="G406" i="22" s="1"/>
  <c r="F406" i="22" a="1"/>
  <c r="F406" i="22" s="1"/>
  <c r="E406" i="22" a="1"/>
  <c r="E406" i="22" s="1"/>
  <c r="D406" i="22" a="1"/>
  <c r="D406" i="22" s="1"/>
  <c r="G405" i="22" a="1"/>
  <c r="G405" i="22" s="1"/>
  <c r="F405" i="22" a="1"/>
  <c r="F405" i="22" s="1"/>
  <c r="E405" i="22" a="1"/>
  <c r="E405" i="22" s="1"/>
  <c r="D405" i="22" a="1"/>
  <c r="D405" i="22" s="1"/>
  <c r="G404" i="22" a="1"/>
  <c r="G404" i="22" s="1"/>
  <c r="F404" i="22" a="1"/>
  <c r="F404" i="22" s="1"/>
  <c r="E404" i="22" a="1"/>
  <c r="E404" i="22" s="1"/>
  <c r="D404" i="22" a="1"/>
  <c r="D404" i="22" s="1"/>
  <c r="G403" i="22" a="1"/>
  <c r="G403" i="22" s="1"/>
  <c r="F403" i="22" a="1"/>
  <c r="F403" i="22" s="1"/>
  <c r="E403" i="22" a="1"/>
  <c r="E403" i="22" s="1"/>
  <c r="D403" i="22" a="1"/>
  <c r="D403" i="22" s="1"/>
  <c r="G402" i="22" a="1"/>
  <c r="G402" i="22" s="1"/>
  <c r="F402" i="22" a="1"/>
  <c r="F402" i="22" s="1"/>
  <c r="E402" i="22" a="1"/>
  <c r="E402" i="22" s="1"/>
  <c r="D402" i="22" a="1"/>
  <c r="D402" i="22" s="1"/>
  <c r="G401" i="22" a="1"/>
  <c r="G401" i="22" s="1"/>
  <c r="F401" i="22" a="1"/>
  <c r="F401" i="22" s="1"/>
  <c r="E401" i="22" a="1"/>
  <c r="E401" i="22" s="1"/>
  <c r="D401" i="22" a="1"/>
  <c r="D401" i="22" s="1"/>
  <c r="D399" i="22" a="1"/>
  <c r="D399" i="22" s="1"/>
  <c r="D398" i="22" a="1"/>
  <c r="D398" i="22" s="1"/>
  <c r="D397" i="22" a="1"/>
  <c r="D397" i="22" s="1"/>
  <c r="D396" i="22" a="1"/>
  <c r="D396" i="22" s="1"/>
  <c r="D395" i="22" a="1"/>
  <c r="D395" i="22" s="1"/>
  <c r="G392" i="22" a="1"/>
  <c r="G392" i="22" s="1"/>
  <c r="F392" i="22" a="1"/>
  <c r="F392" i="22" s="1"/>
  <c r="E392" i="22" a="1"/>
  <c r="E392" i="22" s="1"/>
  <c r="D392" i="22" a="1"/>
  <c r="D392" i="22" s="1"/>
  <c r="G391" i="22" a="1"/>
  <c r="G391" i="22" s="1"/>
  <c r="F391" i="22" a="1"/>
  <c r="F391" i="22" s="1"/>
  <c r="E391" i="22" a="1"/>
  <c r="E391" i="22" s="1"/>
  <c r="D391" i="22" a="1"/>
  <c r="D391" i="22" s="1"/>
  <c r="G390" i="22" a="1"/>
  <c r="G390" i="22" s="1"/>
  <c r="F390" i="22" a="1"/>
  <c r="F390" i="22" s="1"/>
  <c r="E390" i="22" a="1"/>
  <c r="E390" i="22" s="1"/>
  <c r="D390" i="22" a="1"/>
  <c r="D390" i="22" s="1"/>
  <c r="G389" i="22" a="1"/>
  <c r="G389" i="22" s="1"/>
  <c r="F389" i="22" a="1"/>
  <c r="F389" i="22" s="1"/>
  <c r="E389" i="22" a="1"/>
  <c r="E389" i="22" s="1"/>
  <c r="D389" i="22" a="1"/>
  <c r="D389" i="22" s="1"/>
  <c r="G388" i="22" a="1"/>
  <c r="G388" i="22" s="1"/>
  <c r="F388" i="22" a="1"/>
  <c r="F388" i="22" s="1"/>
  <c r="E388" i="22" a="1"/>
  <c r="E388" i="22" s="1"/>
  <c r="D388" i="22" a="1"/>
  <c r="D388" i="22" s="1"/>
  <c r="G387" i="22" a="1"/>
  <c r="G387" i="22" s="1"/>
  <c r="F387" i="22" a="1"/>
  <c r="F387" i="22" s="1"/>
  <c r="E387" i="22" a="1"/>
  <c r="E387" i="22" s="1"/>
  <c r="D387" i="22" a="1"/>
  <c r="D387" i="22" s="1"/>
  <c r="G386" i="22" a="1"/>
  <c r="G386" i="22" s="1"/>
  <c r="F386" i="22" a="1"/>
  <c r="F386" i="22" s="1"/>
  <c r="E386" i="22" a="1"/>
  <c r="E386" i="22" s="1"/>
  <c r="D386" i="22" a="1"/>
  <c r="D386" i="22" s="1"/>
  <c r="G385" i="22" a="1"/>
  <c r="G385" i="22" s="1"/>
  <c r="F385" i="22" a="1"/>
  <c r="F385" i="22" s="1"/>
  <c r="E385" i="22" a="1"/>
  <c r="E385" i="22" s="1"/>
  <c r="D385" i="22" a="1"/>
  <c r="D385" i="22" s="1"/>
  <c r="G384" i="22" a="1"/>
  <c r="G384" i="22" s="1"/>
  <c r="F384" i="22" a="1"/>
  <c r="F384" i="22" s="1"/>
  <c r="E384" i="22" a="1"/>
  <c r="E384" i="22" s="1"/>
  <c r="D384" i="22" a="1"/>
  <c r="D384" i="22" s="1"/>
  <c r="G383" i="22" a="1"/>
  <c r="G383" i="22" s="1"/>
  <c r="F383" i="22" a="1"/>
  <c r="F383" i="22" s="1"/>
  <c r="E383" i="22" a="1"/>
  <c r="E383" i="22" s="1"/>
  <c r="D383" i="22" a="1"/>
  <c r="D383" i="22" s="1"/>
  <c r="G382" i="22" a="1"/>
  <c r="G382" i="22" s="1"/>
  <c r="F382" i="22" a="1"/>
  <c r="F382" i="22" s="1"/>
  <c r="E382" i="22" a="1"/>
  <c r="E382" i="22" s="1"/>
  <c r="D382" i="22" a="1"/>
  <c r="D382" i="22" s="1"/>
  <c r="G381" i="22" a="1"/>
  <c r="G381" i="22" s="1"/>
  <c r="F381" i="22" a="1"/>
  <c r="F381" i="22" s="1"/>
  <c r="E381" i="22" a="1"/>
  <c r="E381" i="22" s="1"/>
  <c r="D381" i="22" a="1"/>
  <c r="D381" i="22" s="1"/>
  <c r="G380" i="22" a="1"/>
  <c r="G380" i="22" s="1"/>
  <c r="F380" i="22" a="1"/>
  <c r="F380" i="22" s="1"/>
  <c r="E380" i="22" a="1"/>
  <c r="E380" i="22" s="1"/>
  <c r="D380" i="22" a="1"/>
  <c r="D380" i="22" s="1"/>
  <c r="G379" i="22" a="1"/>
  <c r="G379" i="22" s="1"/>
  <c r="F379" i="22" a="1"/>
  <c r="F379" i="22" s="1"/>
  <c r="E379" i="22" a="1"/>
  <c r="E379" i="22" s="1"/>
  <c r="D379" i="22" a="1"/>
  <c r="D379" i="22" s="1"/>
  <c r="G378" i="22" a="1"/>
  <c r="G378" i="22" s="1"/>
  <c r="F378" i="22" a="1"/>
  <c r="F378" i="22" s="1"/>
  <c r="E378" i="22" a="1"/>
  <c r="E378" i="22" s="1"/>
  <c r="D378" i="22" a="1"/>
  <c r="D378" i="22" s="1"/>
  <c r="D376" i="22" a="1"/>
  <c r="D376" i="22" s="1"/>
  <c r="D375" i="22" a="1"/>
  <c r="D375" i="22" s="1"/>
  <c r="D374" i="22" a="1"/>
  <c r="D374" i="22" s="1"/>
  <c r="D373" i="22" a="1"/>
  <c r="D373" i="22" s="1"/>
  <c r="D372" i="22" a="1"/>
  <c r="D372" i="22" s="1"/>
  <c r="L358" i="22" a="1"/>
  <c r="L358" i="22" s="1"/>
  <c r="O369" i="22" s="1"/>
  <c r="K358" i="22" a="1"/>
  <c r="K358" i="22" s="1"/>
  <c r="M369" i="22" s="1"/>
  <c r="J358" i="22" a="1"/>
  <c r="J358" i="22" s="1"/>
  <c r="K369" i="22" s="1"/>
  <c r="I358" i="22" a="1"/>
  <c r="I358" i="22" s="1"/>
  <c r="H358" i="22" a="1"/>
  <c r="H358" i="22" s="1"/>
  <c r="H369" i="22" s="1"/>
  <c r="G358" i="22" a="1"/>
  <c r="G358" i="22" s="1"/>
  <c r="G369" i="22" s="1"/>
  <c r="F358" i="22" a="1"/>
  <c r="F358" i="22" s="1"/>
  <c r="F369" i="22" s="1"/>
  <c r="E358" i="22" a="1"/>
  <c r="E358" i="22" s="1"/>
  <c r="E369" i="22" s="1"/>
  <c r="D358" i="22" a="1"/>
  <c r="D358" i="22" s="1"/>
  <c r="D369" i="22" s="1"/>
  <c r="L357" i="22" a="1"/>
  <c r="L357" i="22" s="1"/>
  <c r="O368" i="22" s="1"/>
  <c r="K357" i="22" a="1"/>
  <c r="K357" i="22" s="1"/>
  <c r="J357" i="22" a="1"/>
  <c r="J357" i="22" s="1"/>
  <c r="K368" i="22" s="1"/>
  <c r="I357" i="22" a="1"/>
  <c r="I357" i="22" s="1"/>
  <c r="J368" i="22" s="1"/>
  <c r="H357" i="22" a="1"/>
  <c r="H357" i="22" s="1"/>
  <c r="H368" i="22" s="1"/>
  <c r="G357" i="22" a="1"/>
  <c r="G357" i="22" s="1"/>
  <c r="G368" i="22" s="1"/>
  <c r="F357" i="22" a="1"/>
  <c r="F357" i="22" s="1"/>
  <c r="F368" i="22" s="1"/>
  <c r="E357" i="22" a="1"/>
  <c r="E357" i="22" s="1"/>
  <c r="E368" i="22" s="1"/>
  <c r="D357" i="22" a="1"/>
  <c r="D357" i="22" s="1"/>
  <c r="D368" i="22" s="1"/>
  <c r="L356" i="22" a="1"/>
  <c r="L356" i="22" s="1"/>
  <c r="O367" i="22" s="1"/>
  <c r="K356" i="22" a="1"/>
  <c r="K356" i="22" s="1"/>
  <c r="M367" i="22" s="1"/>
  <c r="J356" i="22" a="1"/>
  <c r="J356" i="22" s="1"/>
  <c r="K367" i="22" s="1"/>
  <c r="I356" i="22" a="1"/>
  <c r="I356" i="22" s="1"/>
  <c r="I367" i="22" s="1"/>
  <c r="H356" i="22" a="1"/>
  <c r="H356" i="22" s="1"/>
  <c r="H367" i="22" s="1"/>
  <c r="G356" i="22" a="1"/>
  <c r="G356" i="22" s="1"/>
  <c r="G367" i="22" s="1"/>
  <c r="F356" i="22" a="1"/>
  <c r="F356" i="22" s="1"/>
  <c r="F367" i="22" s="1"/>
  <c r="E356" i="22" a="1"/>
  <c r="E356" i="22" s="1"/>
  <c r="E367" i="22" s="1"/>
  <c r="D356" i="22" a="1"/>
  <c r="D356" i="22" s="1"/>
  <c r="D367" i="22" s="1"/>
  <c r="L355" i="22" a="1"/>
  <c r="L355" i="22" s="1"/>
  <c r="O366" i="22" s="1"/>
  <c r="K355" i="22" a="1"/>
  <c r="K355" i="22" s="1"/>
  <c r="L366" i="22" s="1"/>
  <c r="J355" i="22" a="1"/>
  <c r="J355" i="22" s="1"/>
  <c r="K366" i="22" s="1"/>
  <c r="I355" i="22" a="1"/>
  <c r="I355" i="22" s="1"/>
  <c r="I366" i="22" s="1"/>
  <c r="H355" i="22" a="1"/>
  <c r="H355" i="22" s="1"/>
  <c r="H366" i="22" s="1"/>
  <c r="G355" i="22" a="1"/>
  <c r="G355" i="22" s="1"/>
  <c r="G366" i="22" s="1"/>
  <c r="F355" i="22" a="1"/>
  <c r="F355" i="22" s="1"/>
  <c r="F366" i="22" s="1"/>
  <c r="E355" i="22" a="1"/>
  <c r="E355" i="22" s="1"/>
  <c r="E366" i="22" s="1"/>
  <c r="D355" i="22" a="1"/>
  <c r="D355" i="22" s="1"/>
  <c r="D366" i="22" s="1"/>
  <c r="L354" i="22" a="1"/>
  <c r="L354" i="22" s="1"/>
  <c r="O365" i="22" s="1"/>
  <c r="K354" i="22" a="1"/>
  <c r="K354" i="22" s="1"/>
  <c r="M365" i="22" s="1"/>
  <c r="J354" i="22" a="1"/>
  <c r="J354" i="22" s="1"/>
  <c r="K365" i="22" s="1"/>
  <c r="I354" i="22" a="1"/>
  <c r="I354" i="22" s="1"/>
  <c r="J365" i="22" s="1"/>
  <c r="H354" i="22" a="1"/>
  <c r="H354" i="22" s="1"/>
  <c r="H365" i="22" s="1"/>
  <c r="G354" i="22" a="1"/>
  <c r="G354" i="22" s="1"/>
  <c r="G365" i="22" s="1"/>
  <c r="F354" i="22" a="1"/>
  <c r="F354" i="22" s="1"/>
  <c r="F365" i="22" s="1"/>
  <c r="E354" i="22" a="1"/>
  <c r="E354" i="22" s="1"/>
  <c r="E365" i="22" s="1"/>
  <c r="D354" i="22" a="1"/>
  <c r="D354" i="22" s="1"/>
  <c r="D365" i="22" s="1"/>
  <c r="L353" i="22" a="1"/>
  <c r="L353" i="22" s="1"/>
  <c r="O364" i="22" s="1"/>
  <c r="K353" i="22" a="1"/>
  <c r="K353" i="22" s="1"/>
  <c r="M364" i="22" s="1"/>
  <c r="J353" i="22" a="1"/>
  <c r="J353" i="22" s="1"/>
  <c r="K364" i="22" s="1"/>
  <c r="I353" i="22" a="1"/>
  <c r="I353" i="22" s="1"/>
  <c r="I364" i="22" s="1"/>
  <c r="H353" i="22" a="1"/>
  <c r="H353" i="22" s="1"/>
  <c r="H364" i="22" s="1"/>
  <c r="G353" i="22" a="1"/>
  <c r="G353" i="22" s="1"/>
  <c r="G364" i="22" s="1"/>
  <c r="F353" i="22" a="1"/>
  <c r="F353" i="22" s="1"/>
  <c r="F364" i="22" s="1"/>
  <c r="E353" i="22" a="1"/>
  <c r="E353" i="22" s="1"/>
  <c r="E364" i="22" s="1"/>
  <c r="D353" i="22" a="1"/>
  <c r="D353" i="22" s="1"/>
  <c r="D364" i="22" s="1"/>
  <c r="L352" i="22" a="1"/>
  <c r="L352" i="22" s="1"/>
  <c r="O363" i="22" s="1"/>
  <c r="K352" i="22" a="1"/>
  <c r="K352" i="22" s="1"/>
  <c r="N363" i="22" s="1"/>
  <c r="J352" i="22" a="1"/>
  <c r="J352" i="22" s="1"/>
  <c r="K363" i="22" s="1"/>
  <c r="I352" i="22" a="1"/>
  <c r="I352" i="22" s="1"/>
  <c r="I363" i="22" s="1"/>
  <c r="H352" i="22" a="1"/>
  <c r="H352" i="22" s="1"/>
  <c r="H363" i="22" s="1"/>
  <c r="G352" i="22" a="1"/>
  <c r="G352" i="22" s="1"/>
  <c r="G363" i="22" s="1"/>
  <c r="F352" i="22" a="1"/>
  <c r="F352" i="22" s="1"/>
  <c r="F363" i="22" s="1"/>
  <c r="E352" i="22" a="1"/>
  <c r="E352" i="22" s="1"/>
  <c r="E363" i="22" s="1"/>
  <c r="D352" i="22" a="1"/>
  <c r="D352" i="22" s="1"/>
  <c r="D363" i="22" s="1"/>
  <c r="L351" i="22" a="1"/>
  <c r="L351" i="22" s="1"/>
  <c r="O362" i="22" s="1"/>
  <c r="K351" i="22" a="1"/>
  <c r="K351" i="22" s="1"/>
  <c r="M362" i="22" s="1"/>
  <c r="J351" i="22" a="1"/>
  <c r="J351" i="22" s="1"/>
  <c r="K362" i="22" s="1"/>
  <c r="I351" i="22" a="1"/>
  <c r="I351" i="22" s="1"/>
  <c r="I362" i="22" s="1"/>
  <c r="H351" i="22" a="1"/>
  <c r="H351" i="22" s="1"/>
  <c r="H362" i="22" s="1"/>
  <c r="G351" i="22" a="1"/>
  <c r="G351" i="22" s="1"/>
  <c r="G362" i="22" s="1"/>
  <c r="F351" i="22" a="1"/>
  <c r="F351" i="22" s="1"/>
  <c r="F362" i="22" s="1"/>
  <c r="E351" i="22" a="1"/>
  <c r="E351" i="22" s="1"/>
  <c r="E362" i="22" s="1"/>
  <c r="D351" i="22" a="1"/>
  <c r="D351" i="22" s="1"/>
  <c r="D362" i="22" s="1"/>
  <c r="D349" i="22" a="1"/>
  <c r="D349" i="22" s="1"/>
  <c r="D348" i="22" a="1"/>
  <c r="D348" i="22" s="1"/>
  <c r="D347" i="22" a="1"/>
  <c r="D347" i="22" s="1"/>
  <c r="D346" i="22" a="1"/>
  <c r="D346" i="22" s="1"/>
  <c r="D345" i="22" a="1"/>
  <c r="D345" i="22" s="1"/>
  <c r="G342" i="22" a="1"/>
  <c r="G342" i="22" s="1"/>
  <c r="F342" i="22" a="1"/>
  <c r="F342" i="22" s="1"/>
  <c r="E342" i="22" a="1"/>
  <c r="E342" i="22" s="1"/>
  <c r="D342" i="22" a="1"/>
  <c r="D342" i="22" s="1"/>
  <c r="G341" i="22" a="1"/>
  <c r="G341" i="22" s="1"/>
  <c r="L338" i="22" s="1"/>
  <c r="F341" i="22" a="1"/>
  <c r="F341" i="22" s="1"/>
  <c r="K338" i="22" s="1"/>
  <c r="E341" i="22" a="1"/>
  <c r="E341" i="22" s="1"/>
  <c r="D341" i="22" a="1"/>
  <c r="D341" i="22" s="1"/>
  <c r="I338" i="22" s="1"/>
  <c r="G340" i="22" a="1"/>
  <c r="G340" i="22" s="1"/>
  <c r="L337" i="22" s="1"/>
  <c r="F340" i="22" a="1"/>
  <c r="F340" i="22" s="1"/>
  <c r="K337" i="22" s="1"/>
  <c r="E340" i="22" a="1"/>
  <c r="E340" i="22" s="1"/>
  <c r="D340" i="22" a="1"/>
  <c r="D340" i="22" s="1"/>
  <c r="I337" i="22" s="1"/>
  <c r="G339" i="22" a="1"/>
  <c r="G339" i="22" s="1"/>
  <c r="F339" i="22" a="1"/>
  <c r="F339" i="22" s="1"/>
  <c r="E339" i="22" a="1"/>
  <c r="E339" i="22" s="1"/>
  <c r="D339" i="22" a="1"/>
  <c r="D339" i="22" s="1"/>
  <c r="G338" i="22" a="1"/>
  <c r="G338" i="22" s="1"/>
  <c r="F338" i="22" a="1"/>
  <c r="F338" i="22" s="1"/>
  <c r="E338" i="22" a="1"/>
  <c r="E338" i="22" s="1"/>
  <c r="D338" i="22" a="1"/>
  <c r="D338" i="22" s="1"/>
  <c r="G337" i="22" a="1"/>
  <c r="G337" i="22" s="1"/>
  <c r="F337" i="22" a="1"/>
  <c r="F337" i="22" s="1"/>
  <c r="E337" i="22" a="1"/>
  <c r="E337" i="22" s="1"/>
  <c r="D337" i="22" a="1"/>
  <c r="D337" i="22" s="1"/>
  <c r="G336" i="22" a="1"/>
  <c r="G336" i="22" s="1"/>
  <c r="L336" i="22" s="1"/>
  <c r="F336" i="22" a="1"/>
  <c r="F336" i="22" s="1"/>
  <c r="K336" i="22" s="1"/>
  <c r="E336" i="22" a="1"/>
  <c r="E336" i="22" s="1"/>
  <c r="D336" i="22" a="1"/>
  <c r="D336" i="22" s="1"/>
  <c r="I336" i="22" s="1"/>
  <c r="G335" i="22" a="1"/>
  <c r="G335" i="22" s="1"/>
  <c r="L335" i="22" s="1"/>
  <c r="F335" i="22" a="1"/>
  <c r="F335" i="22" s="1"/>
  <c r="K335" i="22" s="1"/>
  <c r="E335" i="22" a="1"/>
  <c r="E335" i="22" s="1"/>
  <c r="D335" i="22" a="1"/>
  <c r="D335" i="22" s="1"/>
  <c r="I335" i="22" s="1"/>
  <c r="D333" i="22" a="1"/>
  <c r="D333" i="22" s="1"/>
  <c r="D332" i="22" a="1"/>
  <c r="D332" i="22" s="1"/>
  <c r="D331" i="22" a="1"/>
  <c r="D331" i="22" s="1"/>
  <c r="I328" i="22" a="1"/>
  <c r="I328" i="22" s="1"/>
  <c r="H328" i="22" a="1"/>
  <c r="H328" i="22" s="1"/>
  <c r="G328" i="22" a="1"/>
  <c r="G328" i="22" s="1"/>
  <c r="F328" i="22" a="1"/>
  <c r="F328" i="22" s="1"/>
  <c r="E328" i="22" a="1"/>
  <c r="E328" i="22" s="1"/>
  <c r="D328" i="22" a="1"/>
  <c r="D328" i="22" s="1"/>
  <c r="I327" i="22" a="1"/>
  <c r="I327" i="22" s="1"/>
  <c r="H327" i="22" a="1"/>
  <c r="H327" i="22" s="1"/>
  <c r="G327" i="22" a="1"/>
  <c r="G327" i="22" s="1"/>
  <c r="F327" i="22" a="1"/>
  <c r="F327" i="22" s="1"/>
  <c r="E327" i="22" a="1"/>
  <c r="E327" i="22" s="1"/>
  <c r="D327" i="22" a="1"/>
  <c r="D327" i="22" s="1"/>
  <c r="I326" i="22" a="1"/>
  <c r="I326" i="22" s="1"/>
  <c r="H326" i="22" a="1"/>
  <c r="H326" i="22" s="1"/>
  <c r="G326" i="22" a="1"/>
  <c r="G326" i="22" s="1"/>
  <c r="F326" i="22" a="1"/>
  <c r="F326" i="22" s="1"/>
  <c r="E326" i="22" a="1"/>
  <c r="E326" i="22" s="1"/>
  <c r="D326" i="22" a="1"/>
  <c r="D326" i="22" s="1"/>
  <c r="I325" i="22" a="1"/>
  <c r="I325" i="22" s="1"/>
  <c r="H325" i="22" a="1"/>
  <c r="H325" i="22" s="1"/>
  <c r="G325" i="22" a="1"/>
  <c r="G325" i="22" s="1"/>
  <c r="F325" i="22" a="1"/>
  <c r="F325" i="22" s="1"/>
  <c r="E325" i="22" a="1"/>
  <c r="E325" i="22" s="1"/>
  <c r="D325" i="22" a="1"/>
  <c r="D325" i="22" s="1"/>
  <c r="I324" i="22" a="1"/>
  <c r="I324" i="22" s="1"/>
  <c r="H324" i="22" a="1"/>
  <c r="H324" i="22" s="1"/>
  <c r="G324" i="22" a="1"/>
  <c r="G324" i="22" s="1"/>
  <c r="F324" i="22" a="1"/>
  <c r="F324" i="22" s="1"/>
  <c r="E324" i="22" a="1"/>
  <c r="E324" i="22" s="1"/>
  <c r="D324" i="22" a="1"/>
  <c r="D324" i="22" s="1"/>
  <c r="I323" i="22" a="1"/>
  <c r="I323" i="22" s="1"/>
  <c r="H323" i="22" a="1"/>
  <c r="H323" i="22" s="1"/>
  <c r="G323" i="22" a="1"/>
  <c r="G323" i="22" s="1"/>
  <c r="F323" i="22" a="1"/>
  <c r="F323" i="22" s="1"/>
  <c r="E323" i="22" a="1"/>
  <c r="E323" i="22" s="1"/>
  <c r="D323" i="22" a="1"/>
  <c r="D323" i="22" s="1"/>
  <c r="I322" i="22" a="1"/>
  <c r="I322" i="22" s="1"/>
  <c r="H322" i="22" a="1"/>
  <c r="H322" i="22" s="1"/>
  <c r="G322" i="22" a="1"/>
  <c r="G322" i="22" s="1"/>
  <c r="F322" i="22" a="1"/>
  <c r="F322" i="22" s="1"/>
  <c r="E322" i="22" a="1"/>
  <c r="E322" i="22" s="1"/>
  <c r="D322" i="22" a="1"/>
  <c r="D322" i="22" s="1"/>
  <c r="I321" i="22" a="1"/>
  <c r="I321" i="22" s="1"/>
  <c r="H321" i="22" a="1"/>
  <c r="H321" i="22" s="1"/>
  <c r="G321" i="22" a="1"/>
  <c r="G321" i="22" s="1"/>
  <c r="F321" i="22" a="1"/>
  <c r="F321" i="22" s="1"/>
  <c r="E321" i="22" a="1"/>
  <c r="E321" i="22" s="1"/>
  <c r="D321" i="22" a="1"/>
  <c r="D321" i="22" s="1"/>
  <c r="I320" i="22" a="1"/>
  <c r="I320" i="22" s="1"/>
  <c r="H320" i="22" a="1"/>
  <c r="H320" i="22" s="1"/>
  <c r="G320" i="22" a="1"/>
  <c r="G320" i="22" s="1"/>
  <c r="F320" i="22" a="1"/>
  <c r="F320" i="22" s="1"/>
  <c r="E320" i="22" a="1"/>
  <c r="E320" i="22" s="1"/>
  <c r="D320" i="22" a="1"/>
  <c r="D320" i="22" s="1"/>
  <c r="I319" i="22" a="1"/>
  <c r="I319" i="22" s="1"/>
  <c r="H319" i="22" a="1"/>
  <c r="H319" i="22" s="1"/>
  <c r="G319" i="22" a="1"/>
  <c r="G319" i="22" s="1"/>
  <c r="F319" i="22" a="1"/>
  <c r="F319" i="22" s="1"/>
  <c r="E319" i="22" a="1"/>
  <c r="E319" i="22" s="1"/>
  <c r="D319" i="22" a="1"/>
  <c r="D319" i="22" s="1"/>
  <c r="I318" i="22" a="1"/>
  <c r="I318" i="22" s="1"/>
  <c r="H318" i="22" a="1"/>
  <c r="H318" i="22" s="1"/>
  <c r="G318" i="22" a="1"/>
  <c r="G318" i="22" s="1"/>
  <c r="F318" i="22" a="1"/>
  <c r="F318" i="22" s="1"/>
  <c r="E318" i="22" a="1"/>
  <c r="E318" i="22" s="1"/>
  <c r="D318" i="22" a="1"/>
  <c r="D318" i="22" s="1"/>
  <c r="I317" i="22" a="1"/>
  <c r="I317" i="22" s="1"/>
  <c r="H317" i="22" a="1"/>
  <c r="H317" i="22" s="1"/>
  <c r="G317" i="22" a="1"/>
  <c r="G317" i="22" s="1"/>
  <c r="F317" i="22" a="1"/>
  <c r="F317" i="22" s="1"/>
  <c r="E317" i="22" a="1"/>
  <c r="E317" i="22" s="1"/>
  <c r="D317" i="22" a="1"/>
  <c r="D317" i="22" s="1"/>
  <c r="I316" i="22" a="1"/>
  <c r="I316" i="22" s="1"/>
  <c r="H316" i="22" a="1"/>
  <c r="H316" i="22" s="1"/>
  <c r="G316" i="22" a="1"/>
  <c r="G316" i="22" s="1"/>
  <c r="F316" i="22" a="1"/>
  <c r="F316" i="22" s="1"/>
  <c r="E316" i="22" a="1"/>
  <c r="E316" i="22" s="1"/>
  <c r="D316" i="22" a="1"/>
  <c r="D316" i="22" s="1"/>
  <c r="I315" i="22" a="1"/>
  <c r="I315" i="22" s="1"/>
  <c r="H315" i="22" a="1"/>
  <c r="H315" i="22" s="1"/>
  <c r="G315" i="22" a="1"/>
  <c r="G315" i="22" s="1"/>
  <c r="F315" i="22" a="1"/>
  <c r="F315" i="22" s="1"/>
  <c r="E315" i="22" a="1"/>
  <c r="E315" i="22" s="1"/>
  <c r="D315" i="22" a="1"/>
  <c r="D315" i="22" s="1"/>
  <c r="I314" i="22" a="1"/>
  <c r="I314" i="22" s="1"/>
  <c r="H314" i="22" a="1"/>
  <c r="H314" i="22" s="1"/>
  <c r="G314" i="22" a="1"/>
  <c r="G314" i="22" s="1"/>
  <c r="F314" i="22" a="1"/>
  <c r="F314" i="22" s="1"/>
  <c r="E314" i="22" a="1"/>
  <c r="E314" i="22" s="1"/>
  <c r="D314" i="22" a="1"/>
  <c r="D314" i="22" s="1"/>
  <c r="D312" i="22" a="1"/>
  <c r="D312" i="22" s="1"/>
  <c r="D311" i="22" a="1"/>
  <c r="D311" i="22" s="1"/>
  <c r="D310" i="22" a="1"/>
  <c r="D310" i="22" s="1"/>
  <c r="D309" i="22" a="1"/>
  <c r="D309" i="22" s="1"/>
  <c r="D308" i="22" a="1"/>
  <c r="D308" i="22" s="1"/>
  <c r="I305" i="22" a="1"/>
  <c r="I305" i="22" s="1"/>
  <c r="H305" i="22" a="1"/>
  <c r="H305" i="22" s="1"/>
  <c r="G305" i="22" a="1"/>
  <c r="G305" i="22" s="1"/>
  <c r="F305" i="22" a="1"/>
  <c r="F305" i="22" s="1"/>
  <c r="E305" i="22" a="1"/>
  <c r="E305" i="22" s="1"/>
  <c r="D305" i="22" a="1"/>
  <c r="D305" i="22" s="1"/>
  <c r="I304" i="22" a="1"/>
  <c r="I304" i="22" s="1"/>
  <c r="H304" i="22" a="1"/>
  <c r="H304" i="22" s="1"/>
  <c r="G304" i="22" a="1"/>
  <c r="G304" i="22" s="1"/>
  <c r="F304" i="22" a="1"/>
  <c r="F304" i="22" s="1"/>
  <c r="E304" i="22" a="1"/>
  <c r="E304" i="22" s="1"/>
  <c r="D304" i="22" a="1"/>
  <c r="D304" i="22" s="1"/>
  <c r="I303" i="22" a="1"/>
  <c r="I303" i="22" s="1"/>
  <c r="H303" i="22" a="1"/>
  <c r="H303" i="22" s="1"/>
  <c r="G303" i="22" a="1"/>
  <c r="G303" i="22" s="1"/>
  <c r="F303" i="22" a="1"/>
  <c r="F303" i="22" s="1"/>
  <c r="E303" i="22" a="1"/>
  <c r="E303" i="22" s="1"/>
  <c r="D303" i="22" a="1"/>
  <c r="D303" i="22" s="1"/>
  <c r="I302" i="22" a="1"/>
  <c r="I302" i="22" s="1"/>
  <c r="H302" i="22" a="1"/>
  <c r="H302" i="22" s="1"/>
  <c r="G302" i="22" a="1"/>
  <c r="G302" i="22" s="1"/>
  <c r="F302" i="22" a="1"/>
  <c r="F302" i="22" s="1"/>
  <c r="E302" i="22" a="1"/>
  <c r="E302" i="22" s="1"/>
  <c r="D302" i="22" a="1"/>
  <c r="D302" i="22" s="1"/>
  <c r="I301" i="22" a="1"/>
  <c r="I301" i="22" s="1"/>
  <c r="H301" i="22" a="1"/>
  <c r="H301" i="22" s="1"/>
  <c r="G301" i="22" a="1"/>
  <c r="G301" i="22" s="1"/>
  <c r="F301" i="22" a="1"/>
  <c r="F301" i="22" s="1"/>
  <c r="E301" i="22" a="1"/>
  <c r="E301" i="22" s="1"/>
  <c r="D301" i="22" a="1"/>
  <c r="D301" i="22" s="1"/>
  <c r="I300" i="22" a="1"/>
  <c r="I300" i="22" s="1"/>
  <c r="H300" i="22" a="1"/>
  <c r="H300" i="22" s="1"/>
  <c r="G300" i="22" a="1"/>
  <c r="G300" i="22" s="1"/>
  <c r="F300" i="22" a="1"/>
  <c r="F300" i="22" s="1"/>
  <c r="E300" i="22" a="1"/>
  <c r="E300" i="22" s="1"/>
  <c r="D300" i="22" a="1"/>
  <c r="D300" i="22" s="1"/>
  <c r="I299" i="22" a="1"/>
  <c r="I299" i="22" s="1"/>
  <c r="H299" i="22" a="1"/>
  <c r="H299" i="22" s="1"/>
  <c r="G299" i="22" a="1"/>
  <c r="G299" i="22" s="1"/>
  <c r="F299" i="22" a="1"/>
  <c r="F299" i="22" s="1"/>
  <c r="E299" i="22" a="1"/>
  <c r="E299" i="22" s="1"/>
  <c r="D299" i="22" a="1"/>
  <c r="D299" i="22" s="1"/>
  <c r="I298" i="22" a="1"/>
  <c r="I298" i="22" s="1"/>
  <c r="H298" i="22" a="1"/>
  <c r="H298" i="22" s="1"/>
  <c r="G298" i="22" a="1"/>
  <c r="G298" i="22" s="1"/>
  <c r="F298" i="22" a="1"/>
  <c r="F298" i="22" s="1"/>
  <c r="E298" i="22" a="1"/>
  <c r="E298" i="22" s="1"/>
  <c r="D298" i="22" a="1"/>
  <c r="D298" i="22" s="1"/>
  <c r="I297" i="22" a="1"/>
  <c r="I297" i="22" s="1"/>
  <c r="H297" i="22" a="1"/>
  <c r="H297" i="22" s="1"/>
  <c r="G297" i="22" a="1"/>
  <c r="G297" i="22" s="1"/>
  <c r="F297" i="22" a="1"/>
  <c r="F297" i="22" s="1"/>
  <c r="E297" i="22" a="1"/>
  <c r="E297" i="22" s="1"/>
  <c r="D297" i="22" a="1"/>
  <c r="D297" i="22" s="1"/>
  <c r="I296" i="22" a="1"/>
  <c r="I296" i="22" s="1"/>
  <c r="H296" i="22" a="1"/>
  <c r="H296" i="22" s="1"/>
  <c r="G296" i="22" a="1"/>
  <c r="G296" i="22" s="1"/>
  <c r="F296" i="22" a="1"/>
  <c r="F296" i="22" s="1"/>
  <c r="E296" i="22" a="1"/>
  <c r="E296" i="22" s="1"/>
  <c r="D296" i="22" a="1"/>
  <c r="D296" i="22" s="1"/>
  <c r="I295" i="22" a="1"/>
  <c r="I295" i="22" s="1"/>
  <c r="H295" i="22" a="1"/>
  <c r="H295" i="22" s="1"/>
  <c r="G295" i="22" a="1"/>
  <c r="G295" i="22" s="1"/>
  <c r="F295" i="22" a="1"/>
  <c r="F295" i="22" s="1"/>
  <c r="E295" i="22" a="1"/>
  <c r="E295" i="22" s="1"/>
  <c r="D295" i="22" a="1"/>
  <c r="D295" i="22" s="1"/>
  <c r="I294" i="22" a="1"/>
  <c r="I294" i="22" s="1"/>
  <c r="H294" i="22" a="1"/>
  <c r="H294" i="22" s="1"/>
  <c r="G294" i="22" a="1"/>
  <c r="G294" i="22" s="1"/>
  <c r="F294" i="22" a="1"/>
  <c r="F294" i="22" s="1"/>
  <c r="E294" i="22" a="1"/>
  <c r="E294" i="22" s="1"/>
  <c r="D294" i="22" a="1"/>
  <c r="D294" i="22" s="1"/>
  <c r="I293" i="22" a="1"/>
  <c r="I293" i="22" s="1"/>
  <c r="H293" i="22" a="1"/>
  <c r="H293" i="22" s="1"/>
  <c r="G293" i="22" a="1"/>
  <c r="G293" i="22" s="1"/>
  <c r="F293" i="22" a="1"/>
  <c r="F293" i="22" s="1"/>
  <c r="E293" i="22" a="1"/>
  <c r="E293" i="22" s="1"/>
  <c r="D293" i="22" a="1"/>
  <c r="D293" i="22" s="1"/>
  <c r="I292" i="22" a="1"/>
  <c r="I292" i="22" s="1"/>
  <c r="H292" i="22" a="1"/>
  <c r="H292" i="22" s="1"/>
  <c r="G292" i="22" a="1"/>
  <c r="G292" i="22" s="1"/>
  <c r="F292" i="22" a="1"/>
  <c r="F292" i="22" s="1"/>
  <c r="E292" i="22" a="1"/>
  <c r="E292" i="22" s="1"/>
  <c r="D292" i="22" a="1"/>
  <c r="D292" i="22" s="1"/>
  <c r="I291" i="22" a="1"/>
  <c r="I291" i="22" s="1"/>
  <c r="H291" i="22" a="1"/>
  <c r="H291" i="22" s="1"/>
  <c r="G291" i="22" a="1"/>
  <c r="G291" i="22" s="1"/>
  <c r="F291" i="22" a="1"/>
  <c r="F291" i="22" s="1"/>
  <c r="E291" i="22" a="1"/>
  <c r="E291" i="22" s="1"/>
  <c r="D291" i="22" a="1"/>
  <c r="D291" i="22" s="1"/>
  <c r="D289" i="22" a="1"/>
  <c r="D289" i="22" s="1"/>
  <c r="D288" i="22" a="1"/>
  <c r="D288" i="22" s="1"/>
  <c r="D287" i="22" a="1"/>
  <c r="D287" i="22" s="1"/>
  <c r="D286" i="22" a="1"/>
  <c r="D286" i="22" s="1"/>
  <c r="D285" i="22" a="1"/>
  <c r="D285" i="22" s="1"/>
  <c r="P217" i="22" a="1"/>
  <c r="P217" i="22" s="1"/>
  <c r="P282" i="22" s="1"/>
  <c r="O217" i="22" a="1"/>
  <c r="O217" i="22" s="1"/>
  <c r="O282" i="22" s="1"/>
  <c r="N217" i="22" a="1"/>
  <c r="N217" i="22" s="1"/>
  <c r="N282" i="22" s="1"/>
  <c r="M217" i="22" a="1"/>
  <c r="M217" i="22" s="1"/>
  <c r="M282" i="22" s="1"/>
  <c r="L217" i="22" a="1"/>
  <c r="L217" i="22" s="1"/>
  <c r="L282" i="22" s="1"/>
  <c r="K217" i="22" a="1"/>
  <c r="K217" i="22" s="1"/>
  <c r="K282" i="22" s="1"/>
  <c r="J217" i="22" a="1"/>
  <c r="J217" i="22" s="1"/>
  <c r="J282" i="22" s="1"/>
  <c r="I217" i="22" a="1"/>
  <c r="I217" i="22" s="1"/>
  <c r="I282" i="22" s="1"/>
  <c r="H217" i="22" a="1"/>
  <c r="H217" i="22" s="1"/>
  <c r="H282" i="22" s="1"/>
  <c r="G217" i="22" a="1"/>
  <c r="G217" i="22" s="1"/>
  <c r="G282" i="22" s="1"/>
  <c r="F217" i="22" a="1"/>
  <c r="F217" i="22" s="1"/>
  <c r="F282" i="22" s="1"/>
  <c r="E217" i="22" a="1"/>
  <c r="E217" i="22" s="1"/>
  <c r="E282" i="22" s="1"/>
  <c r="D217" i="22" a="1"/>
  <c r="D217" i="22" s="1"/>
  <c r="P216" i="22" a="1"/>
  <c r="P216" i="22" s="1"/>
  <c r="P281" i="22" s="1"/>
  <c r="O216" i="22" a="1"/>
  <c r="O216" i="22" s="1"/>
  <c r="O281" i="22" s="1"/>
  <c r="N216" i="22" a="1"/>
  <c r="N216" i="22" s="1"/>
  <c r="N281" i="22" s="1"/>
  <c r="M216" i="22" a="1"/>
  <c r="M216" i="22" s="1"/>
  <c r="M281" i="22" s="1"/>
  <c r="L216" i="22" a="1"/>
  <c r="L216" i="22" s="1"/>
  <c r="L281" i="22" s="1"/>
  <c r="K216" i="22" a="1"/>
  <c r="K216" i="22" s="1"/>
  <c r="K281" i="22" s="1"/>
  <c r="J216" i="22" a="1"/>
  <c r="J216" i="22" s="1"/>
  <c r="J281" i="22" s="1"/>
  <c r="I216" i="22" a="1"/>
  <c r="I216" i="22" s="1"/>
  <c r="I281" i="22" s="1"/>
  <c r="H216" i="22" a="1"/>
  <c r="H216" i="22" s="1"/>
  <c r="H281" i="22" s="1"/>
  <c r="G216" i="22" a="1"/>
  <c r="G216" i="22" s="1"/>
  <c r="G281" i="22" s="1"/>
  <c r="F216" i="22" a="1"/>
  <c r="F216" i="22" s="1"/>
  <c r="F281" i="22" s="1"/>
  <c r="E216" i="22" a="1"/>
  <c r="E216" i="22" s="1"/>
  <c r="E281" i="22" s="1"/>
  <c r="D216" i="22" a="1"/>
  <c r="D216" i="22" s="1"/>
  <c r="P215" i="22" a="1"/>
  <c r="P215" i="22" s="1"/>
  <c r="P280" i="22" s="1"/>
  <c r="O215" i="22" a="1"/>
  <c r="O215" i="22" s="1"/>
  <c r="O280" i="22" s="1"/>
  <c r="N215" i="22" a="1"/>
  <c r="N215" i="22" s="1"/>
  <c r="N280" i="22" s="1"/>
  <c r="M215" i="22" a="1"/>
  <c r="M215" i="22" s="1"/>
  <c r="M280" i="22" s="1"/>
  <c r="L215" i="22" a="1"/>
  <c r="L215" i="22" s="1"/>
  <c r="L280" i="22" s="1"/>
  <c r="K215" i="22" a="1"/>
  <c r="K215" i="22" s="1"/>
  <c r="K280" i="22" s="1"/>
  <c r="J215" i="22" a="1"/>
  <c r="J215" i="22" s="1"/>
  <c r="J280" i="22" s="1"/>
  <c r="I215" i="22" a="1"/>
  <c r="I215" i="22" s="1"/>
  <c r="I280" i="22" s="1"/>
  <c r="H215" i="22" a="1"/>
  <c r="H215" i="22" s="1"/>
  <c r="H280" i="22" s="1"/>
  <c r="G215" i="22" a="1"/>
  <c r="G215" i="22" s="1"/>
  <c r="G280" i="22" s="1"/>
  <c r="F215" i="22" a="1"/>
  <c r="F215" i="22" s="1"/>
  <c r="F280" i="22" s="1"/>
  <c r="E215" i="22" a="1"/>
  <c r="E215" i="22" s="1"/>
  <c r="E280" i="22" s="1"/>
  <c r="D215" i="22" a="1"/>
  <c r="D215" i="22" s="1"/>
  <c r="P214" i="22" a="1"/>
  <c r="P214" i="22" s="1"/>
  <c r="P279" i="22" s="1"/>
  <c r="O214" i="22" a="1"/>
  <c r="O214" i="22" s="1"/>
  <c r="O279" i="22" s="1"/>
  <c r="N214" i="22" a="1"/>
  <c r="N214" i="22" s="1"/>
  <c r="N279" i="22" s="1"/>
  <c r="M214" i="22" a="1"/>
  <c r="M214" i="22" s="1"/>
  <c r="M279" i="22" s="1"/>
  <c r="L214" i="22" a="1"/>
  <c r="L214" i="22" s="1"/>
  <c r="L279" i="22" s="1"/>
  <c r="K214" i="22" a="1"/>
  <c r="K214" i="22" s="1"/>
  <c r="K279" i="22" s="1"/>
  <c r="J214" i="22" a="1"/>
  <c r="J214" i="22" s="1"/>
  <c r="J279" i="22" s="1"/>
  <c r="I214" i="22" a="1"/>
  <c r="I214" i="22" s="1"/>
  <c r="I279" i="22" s="1"/>
  <c r="H214" i="22" a="1"/>
  <c r="H214" i="22" s="1"/>
  <c r="H279" i="22" s="1"/>
  <c r="G214" i="22" a="1"/>
  <c r="G214" i="22" s="1"/>
  <c r="G279" i="22" s="1"/>
  <c r="F214" i="22" a="1"/>
  <c r="F214" i="22" s="1"/>
  <c r="F279" i="22" s="1"/>
  <c r="E214" i="22" a="1"/>
  <c r="E214" i="22" s="1"/>
  <c r="E279" i="22" s="1"/>
  <c r="D214" i="22" a="1"/>
  <c r="D214" i="22" s="1"/>
  <c r="P213" i="22" a="1"/>
  <c r="P213" i="22" s="1"/>
  <c r="P278" i="22" s="1"/>
  <c r="O213" i="22" a="1"/>
  <c r="O213" i="22" s="1"/>
  <c r="O278" i="22" s="1"/>
  <c r="N213" i="22" a="1"/>
  <c r="N213" i="22" s="1"/>
  <c r="N278" i="22" s="1"/>
  <c r="M213" i="22" a="1"/>
  <c r="M213" i="22" s="1"/>
  <c r="M278" i="22" s="1"/>
  <c r="L213" i="22" a="1"/>
  <c r="L213" i="22" s="1"/>
  <c r="L278" i="22" s="1"/>
  <c r="K213" i="22" a="1"/>
  <c r="K213" i="22" s="1"/>
  <c r="K278" i="22" s="1"/>
  <c r="J213" i="22" a="1"/>
  <c r="J213" i="22" s="1"/>
  <c r="J278" i="22" s="1"/>
  <c r="I213" i="22" a="1"/>
  <c r="I213" i="22" s="1"/>
  <c r="I278" i="22" s="1"/>
  <c r="H213" i="22" a="1"/>
  <c r="H213" i="22" s="1"/>
  <c r="H278" i="22" s="1"/>
  <c r="G213" i="22" a="1"/>
  <c r="G213" i="22" s="1"/>
  <c r="G278" i="22" s="1"/>
  <c r="F213" i="22" a="1"/>
  <c r="F213" i="22" s="1"/>
  <c r="F278" i="22" s="1"/>
  <c r="E213" i="22" a="1"/>
  <c r="E213" i="22" s="1"/>
  <c r="E278" i="22" s="1"/>
  <c r="D213" i="22" a="1"/>
  <c r="D213" i="22" s="1"/>
  <c r="P212" i="22" a="1"/>
  <c r="P212" i="22" s="1"/>
  <c r="P277" i="22" s="1"/>
  <c r="O212" i="22" a="1"/>
  <c r="O212" i="22" s="1"/>
  <c r="O277" i="22" s="1"/>
  <c r="N212" i="22" a="1"/>
  <c r="N212" i="22" s="1"/>
  <c r="N277" i="22" s="1"/>
  <c r="M212" i="22" a="1"/>
  <c r="M212" i="22" s="1"/>
  <c r="M277" i="22" s="1"/>
  <c r="L212" i="22" a="1"/>
  <c r="L212" i="22" s="1"/>
  <c r="L277" i="22" s="1"/>
  <c r="K212" i="22" a="1"/>
  <c r="K212" i="22" s="1"/>
  <c r="K277" i="22" s="1"/>
  <c r="J212" i="22" a="1"/>
  <c r="J212" i="22" s="1"/>
  <c r="J277" i="22" s="1"/>
  <c r="I212" i="22" a="1"/>
  <c r="I212" i="22" s="1"/>
  <c r="I277" i="22" s="1"/>
  <c r="H212" i="22" a="1"/>
  <c r="H212" i="22" s="1"/>
  <c r="H277" i="22" s="1"/>
  <c r="G212" i="22" a="1"/>
  <c r="G212" i="22" s="1"/>
  <c r="G277" i="22" s="1"/>
  <c r="F212" i="22" a="1"/>
  <c r="F212" i="22" s="1"/>
  <c r="F277" i="22" s="1"/>
  <c r="E212" i="22" a="1"/>
  <c r="E212" i="22" s="1"/>
  <c r="E277" i="22" s="1"/>
  <c r="D212" i="22" a="1"/>
  <c r="D212" i="22" s="1"/>
  <c r="P211" i="22" a="1"/>
  <c r="P211" i="22" s="1"/>
  <c r="P276" i="22" s="1"/>
  <c r="O211" i="22" a="1"/>
  <c r="O211" i="22" s="1"/>
  <c r="O276" i="22" s="1"/>
  <c r="N211" i="22" a="1"/>
  <c r="N211" i="22" s="1"/>
  <c r="N276" i="22" s="1"/>
  <c r="M211" i="22" a="1"/>
  <c r="M211" i="22" s="1"/>
  <c r="M276" i="22" s="1"/>
  <c r="L211" i="22" a="1"/>
  <c r="L211" i="22" s="1"/>
  <c r="L276" i="22" s="1"/>
  <c r="K211" i="22" a="1"/>
  <c r="K211" i="22" s="1"/>
  <c r="K276" i="22" s="1"/>
  <c r="J211" i="22" a="1"/>
  <c r="J211" i="22" s="1"/>
  <c r="J276" i="22" s="1"/>
  <c r="I211" i="22" a="1"/>
  <c r="I211" i="22" s="1"/>
  <c r="I276" i="22" s="1"/>
  <c r="H211" i="22" a="1"/>
  <c r="H211" i="22" s="1"/>
  <c r="H276" i="22" s="1"/>
  <c r="G211" i="22" a="1"/>
  <c r="G211" i="22" s="1"/>
  <c r="G276" i="22" s="1"/>
  <c r="F211" i="22" a="1"/>
  <c r="F211" i="22" s="1"/>
  <c r="F276" i="22" s="1"/>
  <c r="E211" i="22" a="1"/>
  <c r="E211" i="22" s="1"/>
  <c r="E276" i="22" s="1"/>
  <c r="D211" i="22" a="1"/>
  <c r="D211" i="22" s="1"/>
  <c r="P210" i="22" a="1"/>
  <c r="P210" i="22" s="1"/>
  <c r="P275" i="22" s="1"/>
  <c r="O210" i="22" a="1"/>
  <c r="O210" i="22" s="1"/>
  <c r="O275" i="22" s="1"/>
  <c r="N210" i="22" a="1"/>
  <c r="N210" i="22" s="1"/>
  <c r="N275" i="22" s="1"/>
  <c r="M210" i="22" a="1"/>
  <c r="M210" i="22" s="1"/>
  <c r="M275" i="22" s="1"/>
  <c r="L210" i="22" a="1"/>
  <c r="L210" i="22" s="1"/>
  <c r="L275" i="22" s="1"/>
  <c r="K210" i="22" a="1"/>
  <c r="K210" i="22" s="1"/>
  <c r="K275" i="22" s="1"/>
  <c r="J210" i="22" a="1"/>
  <c r="J210" i="22" s="1"/>
  <c r="J275" i="22" s="1"/>
  <c r="I210" i="22" a="1"/>
  <c r="I210" i="22" s="1"/>
  <c r="I275" i="22" s="1"/>
  <c r="H210" i="22" a="1"/>
  <c r="H210" i="22" s="1"/>
  <c r="H275" i="22" s="1"/>
  <c r="G210" i="22" a="1"/>
  <c r="G210" i="22" s="1"/>
  <c r="G275" i="22" s="1"/>
  <c r="F210" i="22" a="1"/>
  <c r="F210" i="22" s="1"/>
  <c r="F275" i="22" s="1"/>
  <c r="E210" i="22" a="1"/>
  <c r="E210" i="22" s="1"/>
  <c r="E275" i="22" s="1"/>
  <c r="D210" i="22" a="1"/>
  <c r="D210" i="22" s="1"/>
  <c r="P209" i="22" a="1"/>
  <c r="P209" i="22" s="1"/>
  <c r="P274" i="22" s="1"/>
  <c r="O209" i="22" a="1"/>
  <c r="O209" i="22" s="1"/>
  <c r="O274" i="22" s="1"/>
  <c r="N209" i="22" a="1"/>
  <c r="N209" i="22" s="1"/>
  <c r="N274" i="22" s="1"/>
  <c r="M209" i="22" a="1"/>
  <c r="M209" i="22" s="1"/>
  <c r="M274" i="22" s="1"/>
  <c r="L209" i="22" a="1"/>
  <c r="L209" i="22" s="1"/>
  <c r="L274" i="22" s="1"/>
  <c r="K209" i="22" a="1"/>
  <c r="K209" i="22" s="1"/>
  <c r="K274" i="22" s="1"/>
  <c r="J209" i="22" a="1"/>
  <c r="J209" i="22" s="1"/>
  <c r="J274" i="22" s="1"/>
  <c r="I209" i="22" a="1"/>
  <c r="I209" i="22" s="1"/>
  <c r="I274" i="22" s="1"/>
  <c r="H209" i="22" a="1"/>
  <c r="H209" i="22" s="1"/>
  <c r="H274" i="22" s="1"/>
  <c r="G209" i="22" a="1"/>
  <c r="G209" i="22" s="1"/>
  <c r="G274" i="22" s="1"/>
  <c r="F209" i="22" a="1"/>
  <c r="F209" i="22" s="1"/>
  <c r="F274" i="22" s="1"/>
  <c r="E209" i="22" a="1"/>
  <c r="E209" i="22" s="1"/>
  <c r="E274" i="22" s="1"/>
  <c r="D209" i="22" a="1"/>
  <c r="D209" i="22" s="1"/>
  <c r="P208" i="22" a="1"/>
  <c r="P208" i="22" s="1"/>
  <c r="P273" i="22" s="1"/>
  <c r="O208" i="22" a="1"/>
  <c r="O208" i="22" s="1"/>
  <c r="O273" i="22" s="1"/>
  <c r="N208" i="22" a="1"/>
  <c r="N208" i="22" s="1"/>
  <c r="N273" i="22" s="1"/>
  <c r="M208" i="22" a="1"/>
  <c r="M208" i="22" s="1"/>
  <c r="M273" i="22" s="1"/>
  <c r="L208" i="22" a="1"/>
  <c r="L208" i="22" s="1"/>
  <c r="L273" i="22" s="1"/>
  <c r="K208" i="22" a="1"/>
  <c r="K208" i="22" s="1"/>
  <c r="K273" i="22" s="1"/>
  <c r="J208" i="22" a="1"/>
  <c r="J208" i="22" s="1"/>
  <c r="J273" i="22" s="1"/>
  <c r="I208" i="22" a="1"/>
  <c r="I208" i="22" s="1"/>
  <c r="I273" i="22" s="1"/>
  <c r="H208" i="22" a="1"/>
  <c r="H208" i="22" s="1"/>
  <c r="H273" i="22" s="1"/>
  <c r="G208" i="22" a="1"/>
  <c r="G208" i="22" s="1"/>
  <c r="G273" i="22" s="1"/>
  <c r="F208" i="22" a="1"/>
  <c r="F208" i="22" s="1"/>
  <c r="F273" i="22" s="1"/>
  <c r="E208" i="22" a="1"/>
  <c r="E208" i="22" s="1"/>
  <c r="E273" i="22" s="1"/>
  <c r="D208" i="22" a="1"/>
  <c r="D208" i="22" s="1"/>
  <c r="P207" i="22" a="1"/>
  <c r="P207" i="22" s="1"/>
  <c r="P272" i="22" s="1"/>
  <c r="O207" i="22" a="1"/>
  <c r="O207" i="22" s="1"/>
  <c r="O272" i="22" s="1"/>
  <c r="N207" i="22" a="1"/>
  <c r="N207" i="22" s="1"/>
  <c r="N272" i="22" s="1"/>
  <c r="M207" i="22" a="1"/>
  <c r="M207" i="22" s="1"/>
  <c r="M272" i="22" s="1"/>
  <c r="L207" i="22" a="1"/>
  <c r="L207" i="22" s="1"/>
  <c r="L272" i="22" s="1"/>
  <c r="K207" i="22" a="1"/>
  <c r="K207" i="22" s="1"/>
  <c r="K272" i="22" s="1"/>
  <c r="J207" i="22" a="1"/>
  <c r="J207" i="22" s="1"/>
  <c r="J272" i="22" s="1"/>
  <c r="I207" i="22" a="1"/>
  <c r="I207" i="22" s="1"/>
  <c r="I272" i="22" s="1"/>
  <c r="H207" i="22" a="1"/>
  <c r="H207" i="22" s="1"/>
  <c r="H272" i="22" s="1"/>
  <c r="G207" i="22" a="1"/>
  <c r="G207" i="22" s="1"/>
  <c r="G272" i="22" s="1"/>
  <c r="F207" i="22" a="1"/>
  <c r="F207" i="22" s="1"/>
  <c r="F272" i="22" s="1"/>
  <c r="E207" i="22" a="1"/>
  <c r="E207" i="22" s="1"/>
  <c r="E272" i="22" s="1"/>
  <c r="D207" i="22" a="1"/>
  <c r="D207" i="22" s="1"/>
  <c r="P206" i="22" a="1"/>
  <c r="P206" i="22" s="1"/>
  <c r="P271" i="22" s="1"/>
  <c r="O206" i="22" a="1"/>
  <c r="O206" i="22" s="1"/>
  <c r="O271" i="22" s="1"/>
  <c r="N206" i="22" a="1"/>
  <c r="N206" i="22" s="1"/>
  <c r="N271" i="22" s="1"/>
  <c r="M206" i="22" a="1"/>
  <c r="M206" i="22" s="1"/>
  <c r="M271" i="22" s="1"/>
  <c r="L206" i="22" a="1"/>
  <c r="L206" i="22" s="1"/>
  <c r="L271" i="22" s="1"/>
  <c r="K206" i="22" a="1"/>
  <c r="K206" i="22" s="1"/>
  <c r="K271" i="22" s="1"/>
  <c r="J206" i="22" a="1"/>
  <c r="J206" i="22" s="1"/>
  <c r="J271" i="22" s="1"/>
  <c r="I206" i="22" a="1"/>
  <c r="I206" i="22" s="1"/>
  <c r="I271" i="22" s="1"/>
  <c r="H206" i="22" a="1"/>
  <c r="H206" i="22" s="1"/>
  <c r="H271" i="22" s="1"/>
  <c r="G206" i="22" a="1"/>
  <c r="G206" i="22" s="1"/>
  <c r="G271" i="22" s="1"/>
  <c r="F206" i="22" a="1"/>
  <c r="F206" i="22" s="1"/>
  <c r="F271" i="22" s="1"/>
  <c r="E206" i="22" a="1"/>
  <c r="E206" i="22" s="1"/>
  <c r="E271" i="22" s="1"/>
  <c r="D206" i="22" a="1"/>
  <c r="D206" i="22" s="1"/>
  <c r="P205" i="22" a="1"/>
  <c r="P205" i="22" s="1"/>
  <c r="P270" i="22" s="1"/>
  <c r="O205" i="22" a="1"/>
  <c r="O205" i="22" s="1"/>
  <c r="O270" i="22" s="1"/>
  <c r="N205" i="22" a="1"/>
  <c r="N205" i="22" s="1"/>
  <c r="N270" i="22" s="1"/>
  <c r="M205" i="22" a="1"/>
  <c r="M205" i="22" s="1"/>
  <c r="M270" i="22" s="1"/>
  <c r="L205" i="22" a="1"/>
  <c r="L205" i="22" s="1"/>
  <c r="L270" i="22" s="1"/>
  <c r="K205" i="22" a="1"/>
  <c r="K205" i="22" s="1"/>
  <c r="K270" i="22" s="1"/>
  <c r="J205" i="22" a="1"/>
  <c r="J205" i="22" s="1"/>
  <c r="J270" i="22" s="1"/>
  <c r="I205" i="22" a="1"/>
  <c r="I205" i="22" s="1"/>
  <c r="I270" i="22" s="1"/>
  <c r="H205" i="22" a="1"/>
  <c r="H205" i="22" s="1"/>
  <c r="H270" i="22" s="1"/>
  <c r="G205" i="22" a="1"/>
  <c r="G205" i="22" s="1"/>
  <c r="G270" i="22" s="1"/>
  <c r="F205" i="22" a="1"/>
  <c r="F205" i="22" s="1"/>
  <c r="F270" i="22" s="1"/>
  <c r="E205" i="22" a="1"/>
  <c r="E205" i="22" s="1"/>
  <c r="E270" i="22" s="1"/>
  <c r="D205" i="22" a="1"/>
  <c r="D205" i="22" s="1"/>
  <c r="P204" i="22" a="1"/>
  <c r="P204" i="22" s="1"/>
  <c r="P269" i="22" s="1"/>
  <c r="O204" i="22" a="1"/>
  <c r="O204" i="22" s="1"/>
  <c r="O269" i="22" s="1"/>
  <c r="N204" i="22" a="1"/>
  <c r="N204" i="22" s="1"/>
  <c r="N269" i="22" s="1"/>
  <c r="M204" i="22" a="1"/>
  <c r="M204" i="22" s="1"/>
  <c r="M269" i="22" s="1"/>
  <c r="L204" i="22" a="1"/>
  <c r="L204" i="22" s="1"/>
  <c r="L269" i="22" s="1"/>
  <c r="K204" i="22" a="1"/>
  <c r="K204" i="22" s="1"/>
  <c r="K269" i="22" s="1"/>
  <c r="J204" i="22" a="1"/>
  <c r="J204" i="22" s="1"/>
  <c r="J269" i="22" s="1"/>
  <c r="I204" i="22" a="1"/>
  <c r="I204" i="22" s="1"/>
  <c r="I269" i="22" s="1"/>
  <c r="H204" i="22" a="1"/>
  <c r="H204" i="22" s="1"/>
  <c r="H269" i="22" s="1"/>
  <c r="G204" i="22" a="1"/>
  <c r="G204" i="22" s="1"/>
  <c r="G269" i="22" s="1"/>
  <c r="F204" i="22" a="1"/>
  <c r="F204" i="22" s="1"/>
  <c r="F269" i="22" s="1"/>
  <c r="E204" i="22" a="1"/>
  <c r="E204" i="22" s="1"/>
  <c r="E269" i="22" s="1"/>
  <c r="D204" i="22" a="1"/>
  <c r="D204" i="22" s="1"/>
  <c r="P203" i="22" a="1"/>
  <c r="P203" i="22" s="1"/>
  <c r="P268" i="22" s="1"/>
  <c r="O203" i="22" a="1"/>
  <c r="O203" i="22" s="1"/>
  <c r="O268" i="22" s="1"/>
  <c r="N203" i="22" a="1"/>
  <c r="N203" i="22" s="1"/>
  <c r="N268" i="22" s="1"/>
  <c r="M203" i="22" a="1"/>
  <c r="M203" i="22" s="1"/>
  <c r="M268" i="22" s="1"/>
  <c r="L203" i="22" a="1"/>
  <c r="L203" i="22" s="1"/>
  <c r="L268" i="22" s="1"/>
  <c r="K203" i="22" a="1"/>
  <c r="K203" i="22" s="1"/>
  <c r="K268" i="22" s="1"/>
  <c r="J203" i="22" a="1"/>
  <c r="J203" i="22" s="1"/>
  <c r="J268" i="22" s="1"/>
  <c r="I203" i="22" a="1"/>
  <c r="I203" i="22" s="1"/>
  <c r="I268" i="22" s="1"/>
  <c r="H203" i="22" a="1"/>
  <c r="H203" i="22" s="1"/>
  <c r="H268" i="22" s="1"/>
  <c r="G203" i="22" a="1"/>
  <c r="G203" i="22" s="1"/>
  <c r="G268" i="22" s="1"/>
  <c r="F203" i="22" a="1"/>
  <c r="F203" i="22" s="1"/>
  <c r="F268" i="22" s="1"/>
  <c r="E203" i="22" a="1"/>
  <c r="E203" i="22" s="1"/>
  <c r="E268" i="22" s="1"/>
  <c r="D203" i="22" a="1"/>
  <c r="D203" i="22" s="1"/>
  <c r="P202" i="22" a="1"/>
  <c r="P202" i="22" s="1"/>
  <c r="P267" i="22" s="1"/>
  <c r="O202" i="22" a="1"/>
  <c r="O202" i="22" s="1"/>
  <c r="O267" i="22" s="1"/>
  <c r="N202" i="22" a="1"/>
  <c r="N202" i="22" s="1"/>
  <c r="N267" i="22" s="1"/>
  <c r="M202" i="22" a="1"/>
  <c r="M202" i="22" s="1"/>
  <c r="M267" i="22" s="1"/>
  <c r="L202" i="22" a="1"/>
  <c r="L202" i="22" s="1"/>
  <c r="L267" i="22" s="1"/>
  <c r="K202" i="22" a="1"/>
  <c r="K202" i="22" s="1"/>
  <c r="K267" i="22" s="1"/>
  <c r="J202" i="22" a="1"/>
  <c r="J202" i="22" s="1"/>
  <c r="J267" i="22" s="1"/>
  <c r="I202" i="22" a="1"/>
  <c r="I202" i="22" s="1"/>
  <c r="I267" i="22" s="1"/>
  <c r="H202" i="22" a="1"/>
  <c r="H202" i="22" s="1"/>
  <c r="H267" i="22" s="1"/>
  <c r="G202" i="22" a="1"/>
  <c r="G202" i="22" s="1"/>
  <c r="G267" i="22" s="1"/>
  <c r="F202" i="22" a="1"/>
  <c r="F202" i="22" s="1"/>
  <c r="F267" i="22" s="1"/>
  <c r="E202" i="22" a="1"/>
  <c r="E202" i="22" s="1"/>
  <c r="E267" i="22" s="1"/>
  <c r="D202" i="22" a="1"/>
  <c r="D202" i="22" s="1"/>
  <c r="P201" i="22" a="1"/>
  <c r="P201" i="22" s="1"/>
  <c r="P266" i="22" s="1"/>
  <c r="O201" i="22" a="1"/>
  <c r="O201" i="22" s="1"/>
  <c r="O266" i="22" s="1"/>
  <c r="N201" i="22" a="1"/>
  <c r="N201" i="22" s="1"/>
  <c r="N266" i="22" s="1"/>
  <c r="M201" i="22" a="1"/>
  <c r="M201" i="22" s="1"/>
  <c r="M266" i="22" s="1"/>
  <c r="L201" i="22" a="1"/>
  <c r="L201" i="22" s="1"/>
  <c r="L266" i="22" s="1"/>
  <c r="K201" i="22" a="1"/>
  <c r="K201" i="22" s="1"/>
  <c r="K266" i="22" s="1"/>
  <c r="J201" i="22" a="1"/>
  <c r="J201" i="22" s="1"/>
  <c r="J266" i="22" s="1"/>
  <c r="I201" i="22" a="1"/>
  <c r="I201" i="22" s="1"/>
  <c r="I266" i="22" s="1"/>
  <c r="H201" i="22" a="1"/>
  <c r="H201" i="22" s="1"/>
  <c r="H266" i="22" s="1"/>
  <c r="G201" i="22" a="1"/>
  <c r="G201" i="22" s="1"/>
  <c r="G266" i="22" s="1"/>
  <c r="F201" i="22" a="1"/>
  <c r="F201" i="22" s="1"/>
  <c r="F266" i="22" s="1"/>
  <c r="E201" i="22" a="1"/>
  <c r="E201" i="22" s="1"/>
  <c r="E266" i="22" s="1"/>
  <c r="D201" i="22" a="1"/>
  <c r="D201" i="22" s="1"/>
  <c r="P200" i="22" a="1"/>
  <c r="P200" i="22" s="1"/>
  <c r="P265" i="22" s="1"/>
  <c r="O200" i="22" a="1"/>
  <c r="O200" i="22" s="1"/>
  <c r="O265" i="22" s="1"/>
  <c r="N200" i="22" a="1"/>
  <c r="N200" i="22" s="1"/>
  <c r="N265" i="22" s="1"/>
  <c r="M200" i="22" a="1"/>
  <c r="M200" i="22" s="1"/>
  <c r="M265" i="22" s="1"/>
  <c r="L200" i="22" a="1"/>
  <c r="L200" i="22" s="1"/>
  <c r="L265" i="22" s="1"/>
  <c r="K200" i="22" a="1"/>
  <c r="K200" i="22" s="1"/>
  <c r="K265" i="22" s="1"/>
  <c r="J200" i="22" a="1"/>
  <c r="J200" i="22" s="1"/>
  <c r="J265" i="22" s="1"/>
  <c r="I200" i="22" a="1"/>
  <c r="I200" i="22" s="1"/>
  <c r="I265" i="22" s="1"/>
  <c r="H200" i="22" a="1"/>
  <c r="H200" i="22" s="1"/>
  <c r="H265" i="22" s="1"/>
  <c r="G200" i="22" a="1"/>
  <c r="G200" i="22" s="1"/>
  <c r="G265" i="22" s="1"/>
  <c r="F200" i="22" a="1"/>
  <c r="F200" i="22" s="1"/>
  <c r="F265" i="22" s="1"/>
  <c r="E200" i="22" a="1"/>
  <c r="E200" i="22" s="1"/>
  <c r="E265" i="22" s="1"/>
  <c r="D200" i="22" a="1"/>
  <c r="D200" i="22" s="1"/>
  <c r="P199" i="22" a="1"/>
  <c r="P199" i="22" s="1"/>
  <c r="P264" i="22" s="1"/>
  <c r="O199" i="22" a="1"/>
  <c r="O199" i="22" s="1"/>
  <c r="O264" i="22" s="1"/>
  <c r="N199" i="22" a="1"/>
  <c r="N199" i="22" s="1"/>
  <c r="N264" i="22" s="1"/>
  <c r="M199" i="22" a="1"/>
  <c r="M199" i="22" s="1"/>
  <c r="M264" i="22" s="1"/>
  <c r="L199" i="22" a="1"/>
  <c r="L199" i="22" s="1"/>
  <c r="L264" i="22" s="1"/>
  <c r="K199" i="22" a="1"/>
  <c r="K199" i="22" s="1"/>
  <c r="K264" i="22" s="1"/>
  <c r="J199" i="22" a="1"/>
  <c r="J199" i="22" s="1"/>
  <c r="J264" i="22" s="1"/>
  <c r="I199" i="22" a="1"/>
  <c r="I199" i="22" s="1"/>
  <c r="I264" i="22" s="1"/>
  <c r="H199" i="22" a="1"/>
  <c r="H199" i="22" s="1"/>
  <c r="H264" i="22" s="1"/>
  <c r="G199" i="22" a="1"/>
  <c r="G199" i="22" s="1"/>
  <c r="G264" i="22" s="1"/>
  <c r="F199" i="22" a="1"/>
  <c r="F199" i="22" s="1"/>
  <c r="F264" i="22" s="1"/>
  <c r="E199" i="22" a="1"/>
  <c r="E199" i="22" s="1"/>
  <c r="E264" i="22" s="1"/>
  <c r="D199" i="22" a="1"/>
  <c r="D199" i="22" s="1"/>
  <c r="P198" i="22" a="1"/>
  <c r="P198" i="22" s="1"/>
  <c r="P263" i="22" s="1"/>
  <c r="O198" i="22" a="1"/>
  <c r="O198" i="22" s="1"/>
  <c r="O263" i="22" s="1"/>
  <c r="N198" i="22" a="1"/>
  <c r="N198" i="22" s="1"/>
  <c r="N263" i="22" s="1"/>
  <c r="M198" i="22" a="1"/>
  <c r="M198" i="22" s="1"/>
  <c r="M263" i="22" s="1"/>
  <c r="L198" i="22" a="1"/>
  <c r="L198" i="22" s="1"/>
  <c r="L263" i="22" s="1"/>
  <c r="K198" i="22" a="1"/>
  <c r="K198" i="22" s="1"/>
  <c r="K263" i="22" s="1"/>
  <c r="J198" i="22" a="1"/>
  <c r="J198" i="22" s="1"/>
  <c r="J263" i="22" s="1"/>
  <c r="I198" i="22" a="1"/>
  <c r="I198" i="22" s="1"/>
  <c r="I263" i="22" s="1"/>
  <c r="H198" i="22" a="1"/>
  <c r="H198" i="22" s="1"/>
  <c r="H263" i="22" s="1"/>
  <c r="G198" i="22" a="1"/>
  <c r="G198" i="22" s="1"/>
  <c r="G263" i="22" s="1"/>
  <c r="F198" i="22" a="1"/>
  <c r="F198" i="22" s="1"/>
  <c r="F263" i="22" s="1"/>
  <c r="E198" i="22" a="1"/>
  <c r="E198" i="22" s="1"/>
  <c r="E263" i="22" s="1"/>
  <c r="D198" i="22" a="1"/>
  <c r="D198" i="22" s="1"/>
  <c r="P197" i="22" a="1"/>
  <c r="P197" i="22" s="1"/>
  <c r="P262" i="22" s="1"/>
  <c r="O197" i="22" a="1"/>
  <c r="O197" i="22" s="1"/>
  <c r="O262" i="22" s="1"/>
  <c r="N197" i="22" a="1"/>
  <c r="N197" i="22" s="1"/>
  <c r="N262" i="22" s="1"/>
  <c r="M197" i="22" a="1"/>
  <c r="M197" i="22" s="1"/>
  <c r="M262" i="22" s="1"/>
  <c r="L197" i="22" a="1"/>
  <c r="L197" i="22" s="1"/>
  <c r="L262" i="22" s="1"/>
  <c r="K197" i="22" a="1"/>
  <c r="K197" i="22" s="1"/>
  <c r="K262" i="22" s="1"/>
  <c r="J197" i="22" a="1"/>
  <c r="J197" i="22" s="1"/>
  <c r="J262" i="22" s="1"/>
  <c r="I197" i="22" a="1"/>
  <c r="I197" i="22" s="1"/>
  <c r="I262" i="22" s="1"/>
  <c r="H197" i="22" a="1"/>
  <c r="H197" i="22" s="1"/>
  <c r="H262" i="22" s="1"/>
  <c r="G197" i="22" a="1"/>
  <c r="G197" i="22" s="1"/>
  <c r="G262" i="22" s="1"/>
  <c r="F197" i="22" a="1"/>
  <c r="F197" i="22" s="1"/>
  <c r="F262" i="22" s="1"/>
  <c r="E197" i="22" a="1"/>
  <c r="E197" i="22" s="1"/>
  <c r="E262" i="22" s="1"/>
  <c r="D197" i="22" a="1"/>
  <c r="D197" i="22" s="1"/>
  <c r="P196" i="22" a="1"/>
  <c r="P196" i="22" s="1"/>
  <c r="P261" i="22" s="1"/>
  <c r="O196" i="22" a="1"/>
  <c r="O196" i="22" s="1"/>
  <c r="O261" i="22" s="1"/>
  <c r="N196" i="22" a="1"/>
  <c r="N196" i="22" s="1"/>
  <c r="N261" i="22" s="1"/>
  <c r="M196" i="22" a="1"/>
  <c r="M196" i="22" s="1"/>
  <c r="M261" i="22" s="1"/>
  <c r="L196" i="22" a="1"/>
  <c r="L196" i="22" s="1"/>
  <c r="L261" i="22" s="1"/>
  <c r="K196" i="22" a="1"/>
  <c r="K196" i="22" s="1"/>
  <c r="K261" i="22" s="1"/>
  <c r="J196" i="22" a="1"/>
  <c r="J196" i="22" s="1"/>
  <c r="J261" i="22" s="1"/>
  <c r="I196" i="22" a="1"/>
  <c r="I196" i="22" s="1"/>
  <c r="I261" i="22" s="1"/>
  <c r="H196" i="22" a="1"/>
  <c r="H196" i="22" s="1"/>
  <c r="H261" i="22" s="1"/>
  <c r="G196" i="22" a="1"/>
  <c r="G196" i="22" s="1"/>
  <c r="G261" i="22" s="1"/>
  <c r="F196" i="22" a="1"/>
  <c r="F196" i="22" s="1"/>
  <c r="F261" i="22" s="1"/>
  <c r="E196" i="22" a="1"/>
  <c r="E196" i="22" s="1"/>
  <c r="E261" i="22" s="1"/>
  <c r="D196" i="22" a="1"/>
  <c r="D196" i="22" s="1"/>
  <c r="P195" i="22" a="1"/>
  <c r="P195" i="22" s="1"/>
  <c r="P260" i="22" s="1"/>
  <c r="O195" i="22" a="1"/>
  <c r="O195" i="22" s="1"/>
  <c r="O260" i="22" s="1"/>
  <c r="N195" i="22" a="1"/>
  <c r="N195" i="22" s="1"/>
  <c r="N260" i="22" s="1"/>
  <c r="M195" i="22" a="1"/>
  <c r="M195" i="22" s="1"/>
  <c r="M260" i="22" s="1"/>
  <c r="L195" i="22" a="1"/>
  <c r="L195" i="22" s="1"/>
  <c r="L260" i="22" s="1"/>
  <c r="K195" i="22" a="1"/>
  <c r="K195" i="22" s="1"/>
  <c r="K260" i="22" s="1"/>
  <c r="J195" i="22" a="1"/>
  <c r="J195" i="22" s="1"/>
  <c r="J260" i="22" s="1"/>
  <c r="I195" i="22" a="1"/>
  <c r="I195" i="22" s="1"/>
  <c r="I260" i="22" s="1"/>
  <c r="H195" i="22" a="1"/>
  <c r="H195" i="22" s="1"/>
  <c r="H260" i="22" s="1"/>
  <c r="G195" i="22" a="1"/>
  <c r="G195" i="22" s="1"/>
  <c r="G260" i="22" s="1"/>
  <c r="F195" i="22" a="1"/>
  <c r="F195" i="22" s="1"/>
  <c r="F260" i="22" s="1"/>
  <c r="E195" i="22" a="1"/>
  <c r="E195" i="22" s="1"/>
  <c r="E260" i="22" s="1"/>
  <c r="D195" i="22" a="1"/>
  <c r="D195" i="22" s="1"/>
  <c r="P194" i="22" a="1"/>
  <c r="P194" i="22" s="1"/>
  <c r="P259" i="22" s="1"/>
  <c r="O194" i="22" a="1"/>
  <c r="O194" i="22" s="1"/>
  <c r="O259" i="22" s="1"/>
  <c r="N194" i="22" a="1"/>
  <c r="N194" i="22" s="1"/>
  <c r="N259" i="22" s="1"/>
  <c r="M194" i="22" a="1"/>
  <c r="M194" i="22" s="1"/>
  <c r="M259" i="22" s="1"/>
  <c r="L194" i="22" a="1"/>
  <c r="L194" i="22" s="1"/>
  <c r="L259" i="22" s="1"/>
  <c r="K194" i="22" a="1"/>
  <c r="K194" i="22" s="1"/>
  <c r="K259" i="22" s="1"/>
  <c r="J194" i="22" a="1"/>
  <c r="J194" i="22" s="1"/>
  <c r="J259" i="22" s="1"/>
  <c r="I194" i="22" a="1"/>
  <c r="I194" i="22" s="1"/>
  <c r="I259" i="22" s="1"/>
  <c r="H194" i="22" a="1"/>
  <c r="H194" i="22" s="1"/>
  <c r="H259" i="22" s="1"/>
  <c r="G194" i="22" a="1"/>
  <c r="G194" i="22" s="1"/>
  <c r="G259" i="22" s="1"/>
  <c r="F194" i="22" a="1"/>
  <c r="F194" i="22" s="1"/>
  <c r="F259" i="22" s="1"/>
  <c r="E194" i="22" a="1"/>
  <c r="E194" i="22" s="1"/>
  <c r="E259" i="22" s="1"/>
  <c r="D194" i="22" a="1"/>
  <c r="D194" i="22" s="1"/>
  <c r="P193" i="22" a="1"/>
  <c r="P193" i="22" s="1"/>
  <c r="P258" i="22" s="1"/>
  <c r="O193" i="22" a="1"/>
  <c r="O193" i="22" s="1"/>
  <c r="O258" i="22" s="1"/>
  <c r="N193" i="22" a="1"/>
  <c r="N193" i="22" s="1"/>
  <c r="N258" i="22" s="1"/>
  <c r="M193" i="22" a="1"/>
  <c r="M193" i="22" s="1"/>
  <c r="M258" i="22" s="1"/>
  <c r="L193" i="22" a="1"/>
  <c r="L193" i="22" s="1"/>
  <c r="L258" i="22" s="1"/>
  <c r="K193" i="22" a="1"/>
  <c r="K193" i="22" s="1"/>
  <c r="K258" i="22" s="1"/>
  <c r="J193" i="22" a="1"/>
  <c r="J193" i="22" s="1"/>
  <c r="J258" i="22" s="1"/>
  <c r="I193" i="22" a="1"/>
  <c r="I193" i="22" s="1"/>
  <c r="I258" i="22" s="1"/>
  <c r="H193" i="22" a="1"/>
  <c r="H193" i="22" s="1"/>
  <c r="H258" i="22" s="1"/>
  <c r="G193" i="22" a="1"/>
  <c r="G193" i="22" s="1"/>
  <c r="G258" i="22" s="1"/>
  <c r="F193" i="22" a="1"/>
  <c r="F193" i="22" s="1"/>
  <c r="F258" i="22" s="1"/>
  <c r="E193" i="22" a="1"/>
  <c r="E193" i="22" s="1"/>
  <c r="E258" i="22" s="1"/>
  <c r="D193" i="22" a="1"/>
  <c r="D193" i="22" s="1"/>
  <c r="P192" i="22" a="1"/>
  <c r="P192" i="22" s="1"/>
  <c r="P257" i="22" s="1"/>
  <c r="O192" i="22" a="1"/>
  <c r="O192" i="22" s="1"/>
  <c r="O257" i="22" s="1"/>
  <c r="N192" i="22" a="1"/>
  <c r="N192" i="22" s="1"/>
  <c r="N257" i="22" s="1"/>
  <c r="M192" i="22" a="1"/>
  <c r="M192" i="22" s="1"/>
  <c r="M257" i="22" s="1"/>
  <c r="L192" i="22" a="1"/>
  <c r="L192" i="22" s="1"/>
  <c r="L257" i="22" s="1"/>
  <c r="K192" i="22" a="1"/>
  <c r="K192" i="22" s="1"/>
  <c r="K257" i="22" s="1"/>
  <c r="J192" i="22" a="1"/>
  <c r="J192" i="22" s="1"/>
  <c r="J257" i="22" s="1"/>
  <c r="I192" i="22" a="1"/>
  <c r="I192" i="22" s="1"/>
  <c r="I257" i="22" s="1"/>
  <c r="H192" i="22" a="1"/>
  <c r="H192" i="22" s="1"/>
  <c r="H257" i="22" s="1"/>
  <c r="G192" i="22" a="1"/>
  <c r="G192" i="22" s="1"/>
  <c r="G257" i="22" s="1"/>
  <c r="F192" i="22" a="1"/>
  <c r="F192" i="22" s="1"/>
  <c r="F257" i="22" s="1"/>
  <c r="E192" i="22" a="1"/>
  <c r="E192" i="22" s="1"/>
  <c r="E257" i="22" s="1"/>
  <c r="D192" i="22" a="1"/>
  <c r="D192" i="22" s="1"/>
  <c r="P191" i="22" a="1"/>
  <c r="P191" i="22" s="1"/>
  <c r="P256" i="22" s="1"/>
  <c r="O191" i="22" a="1"/>
  <c r="O191" i="22" s="1"/>
  <c r="O256" i="22" s="1"/>
  <c r="N191" i="22" a="1"/>
  <c r="N191" i="22" s="1"/>
  <c r="N256" i="22" s="1"/>
  <c r="M191" i="22" a="1"/>
  <c r="M191" i="22" s="1"/>
  <c r="M256" i="22" s="1"/>
  <c r="L191" i="22" a="1"/>
  <c r="L191" i="22" s="1"/>
  <c r="L256" i="22" s="1"/>
  <c r="K191" i="22" a="1"/>
  <c r="K191" i="22" s="1"/>
  <c r="K256" i="22" s="1"/>
  <c r="J191" i="22" a="1"/>
  <c r="J191" i="22" s="1"/>
  <c r="J256" i="22" s="1"/>
  <c r="I191" i="22" a="1"/>
  <c r="I191" i="22" s="1"/>
  <c r="I256" i="22" s="1"/>
  <c r="H191" i="22" a="1"/>
  <c r="H191" i="22" s="1"/>
  <c r="H256" i="22" s="1"/>
  <c r="G191" i="22" a="1"/>
  <c r="G191" i="22" s="1"/>
  <c r="G256" i="22" s="1"/>
  <c r="F191" i="22" a="1"/>
  <c r="F191" i="22" s="1"/>
  <c r="F256" i="22" s="1"/>
  <c r="E191" i="22" a="1"/>
  <c r="E191" i="22" s="1"/>
  <c r="E256" i="22" s="1"/>
  <c r="D191" i="22" a="1"/>
  <c r="D191" i="22" s="1"/>
  <c r="P190" i="22" a="1"/>
  <c r="P190" i="22" s="1"/>
  <c r="P255" i="22" s="1"/>
  <c r="O190" i="22" a="1"/>
  <c r="O190" i="22" s="1"/>
  <c r="O255" i="22" s="1"/>
  <c r="N190" i="22" a="1"/>
  <c r="N190" i="22" s="1"/>
  <c r="N255" i="22" s="1"/>
  <c r="M190" i="22" a="1"/>
  <c r="M190" i="22" s="1"/>
  <c r="M255" i="22" s="1"/>
  <c r="L190" i="22" a="1"/>
  <c r="L190" i="22" s="1"/>
  <c r="L255" i="22" s="1"/>
  <c r="K190" i="22" a="1"/>
  <c r="K190" i="22" s="1"/>
  <c r="K255" i="22" s="1"/>
  <c r="J190" i="22" a="1"/>
  <c r="J190" i="22" s="1"/>
  <c r="J255" i="22" s="1"/>
  <c r="I190" i="22" a="1"/>
  <c r="I190" i="22" s="1"/>
  <c r="I255" i="22" s="1"/>
  <c r="H190" i="22" a="1"/>
  <c r="H190" i="22" s="1"/>
  <c r="H255" i="22" s="1"/>
  <c r="G190" i="22" a="1"/>
  <c r="G190" i="22" s="1"/>
  <c r="G255" i="22" s="1"/>
  <c r="F190" i="22" a="1"/>
  <c r="F190" i="22" s="1"/>
  <c r="F255" i="22" s="1"/>
  <c r="E190" i="22" a="1"/>
  <c r="E190" i="22" s="1"/>
  <c r="E255" i="22" s="1"/>
  <c r="D190" i="22" a="1"/>
  <c r="D190" i="22" s="1"/>
  <c r="D188" i="22" a="1"/>
  <c r="D188" i="22" s="1"/>
  <c r="D187" i="22" a="1"/>
  <c r="D187" i="22" s="1"/>
  <c r="D186" i="22" a="1"/>
  <c r="D186" i="22" s="1"/>
  <c r="D185" i="22" a="1"/>
  <c r="D185" i="22" s="1"/>
  <c r="M182" i="22" a="1"/>
  <c r="M182" i="22" s="1"/>
  <c r="L182" i="22" a="1"/>
  <c r="L182" i="22" s="1"/>
  <c r="M254" i="22" s="1"/>
  <c r="K182" i="22" a="1"/>
  <c r="K182" i="22" s="1"/>
  <c r="J182" i="22" a="1"/>
  <c r="J182" i="22" s="1"/>
  <c r="J254" i="22" s="1"/>
  <c r="I182" i="22" a="1"/>
  <c r="I182" i="22" s="1"/>
  <c r="I254" i="22" s="1"/>
  <c r="H182" i="22" a="1"/>
  <c r="H182" i="22" s="1"/>
  <c r="H254" i="22" s="1"/>
  <c r="G182" i="22" a="1"/>
  <c r="G182" i="22" s="1"/>
  <c r="G254" i="22" s="1"/>
  <c r="F182" i="22" a="1"/>
  <c r="F182" i="22" s="1"/>
  <c r="F254" i="22" s="1"/>
  <c r="E182" i="22" a="1"/>
  <c r="E182" i="22" s="1"/>
  <c r="E254" i="22" s="1"/>
  <c r="D182" i="22" a="1"/>
  <c r="D182" i="22" s="1"/>
  <c r="M181" i="22" a="1"/>
  <c r="M181" i="22" s="1"/>
  <c r="L181" i="22" a="1"/>
  <c r="L181" i="22" s="1"/>
  <c r="M253" i="22" s="1"/>
  <c r="K181" i="22" a="1"/>
  <c r="K181" i="22" s="1"/>
  <c r="J181" i="22" a="1"/>
  <c r="J181" i="22" s="1"/>
  <c r="J253" i="22" s="1"/>
  <c r="I181" i="22" a="1"/>
  <c r="I181" i="22" s="1"/>
  <c r="I253" i="22" s="1"/>
  <c r="H181" i="22" a="1"/>
  <c r="H181" i="22" s="1"/>
  <c r="H253" i="22" s="1"/>
  <c r="G181" i="22" a="1"/>
  <c r="G181" i="22" s="1"/>
  <c r="G253" i="22" s="1"/>
  <c r="F181" i="22" a="1"/>
  <c r="F181" i="22" s="1"/>
  <c r="F253" i="22" s="1"/>
  <c r="E181" i="22" a="1"/>
  <c r="E181" i="22" s="1"/>
  <c r="E253" i="22" s="1"/>
  <c r="D181" i="22" a="1"/>
  <c r="D181" i="22" s="1"/>
  <c r="M180" i="22" a="1"/>
  <c r="M180" i="22" s="1"/>
  <c r="L180" i="22" a="1"/>
  <c r="L180" i="22" s="1"/>
  <c r="M252" i="22" s="1"/>
  <c r="K180" i="22" a="1"/>
  <c r="K180" i="22" s="1"/>
  <c r="J180" i="22" a="1"/>
  <c r="J180" i="22" s="1"/>
  <c r="J252" i="22" s="1"/>
  <c r="I180" i="22" a="1"/>
  <c r="I180" i="22" s="1"/>
  <c r="I252" i="22" s="1"/>
  <c r="H180" i="22" a="1"/>
  <c r="H180" i="22" s="1"/>
  <c r="H252" i="22" s="1"/>
  <c r="G180" i="22" a="1"/>
  <c r="G180" i="22" s="1"/>
  <c r="G252" i="22" s="1"/>
  <c r="F180" i="22" a="1"/>
  <c r="F180" i="22" s="1"/>
  <c r="F252" i="22" s="1"/>
  <c r="E180" i="22" a="1"/>
  <c r="E180" i="22" s="1"/>
  <c r="E252" i="22" s="1"/>
  <c r="D180" i="22" a="1"/>
  <c r="D180" i="22" s="1"/>
  <c r="M179" i="22" a="1"/>
  <c r="M179" i="22" s="1"/>
  <c r="L179" i="22" a="1"/>
  <c r="L179" i="22" s="1"/>
  <c r="M251" i="22" s="1"/>
  <c r="K179" i="22" a="1"/>
  <c r="K179" i="22" s="1"/>
  <c r="J179" i="22" a="1"/>
  <c r="J179" i="22" s="1"/>
  <c r="J251" i="22" s="1"/>
  <c r="I179" i="22" a="1"/>
  <c r="I179" i="22" s="1"/>
  <c r="I251" i="22" s="1"/>
  <c r="H179" i="22" a="1"/>
  <c r="H179" i="22" s="1"/>
  <c r="H251" i="22" s="1"/>
  <c r="G179" i="22" a="1"/>
  <c r="G179" i="22" s="1"/>
  <c r="G251" i="22" s="1"/>
  <c r="F179" i="22" a="1"/>
  <c r="F179" i="22" s="1"/>
  <c r="F251" i="22" s="1"/>
  <c r="E179" i="22" a="1"/>
  <c r="E179" i="22" s="1"/>
  <c r="E251" i="22" s="1"/>
  <c r="D179" i="22" a="1"/>
  <c r="D179" i="22" s="1"/>
  <c r="M178" i="22" a="1"/>
  <c r="M178" i="22" s="1"/>
  <c r="L178" i="22" a="1"/>
  <c r="L178" i="22" s="1"/>
  <c r="M250" i="22" s="1"/>
  <c r="K178" i="22" a="1"/>
  <c r="K178" i="22" s="1"/>
  <c r="J178" i="22" a="1"/>
  <c r="J178" i="22" s="1"/>
  <c r="J250" i="22" s="1"/>
  <c r="I178" i="22" a="1"/>
  <c r="I178" i="22" s="1"/>
  <c r="I250" i="22" s="1"/>
  <c r="H178" i="22" a="1"/>
  <c r="H178" i="22" s="1"/>
  <c r="H250" i="22" s="1"/>
  <c r="G178" i="22" a="1"/>
  <c r="G178" i="22" s="1"/>
  <c r="G250" i="22" s="1"/>
  <c r="F178" i="22" a="1"/>
  <c r="F178" i="22" s="1"/>
  <c r="F250" i="22" s="1"/>
  <c r="E178" i="22" a="1"/>
  <c r="E178" i="22" s="1"/>
  <c r="E250" i="22" s="1"/>
  <c r="D178" i="22" a="1"/>
  <c r="D178" i="22" s="1"/>
  <c r="M177" i="22" a="1"/>
  <c r="M177" i="22" s="1"/>
  <c r="L177" i="22" a="1"/>
  <c r="L177" i="22" s="1"/>
  <c r="M249" i="22" s="1"/>
  <c r="K177" i="22" a="1"/>
  <c r="K177" i="22" s="1"/>
  <c r="J177" i="22" a="1"/>
  <c r="J177" i="22" s="1"/>
  <c r="J249" i="22" s="1"/>
  <c r="I177" i="22" a="1"/>
  <c r="I177" i="22" s="1"/>
  <c r="I249" i="22" s="1"/>
  <c r="H177" i="22" a="1"/>
  <c r="H177" i="22" s="1"/>
  <c r="H249" i="22" s="1"/>
  <c r="G177" i="22" a="1"/>
  <c r="G177" i="22" s="1"/>
  <c r="G249" i="22" s="1"/>
  <c r="F177" i="22" a="1"/>
  <c r="F177" i="22" s="1"/>
  <c r="F249" i="22" s="1"/>
  <c r="E177" i="22" a="1"/>
  <c r="E177" i="22" s="1"/>
  <c r="E249" i="22" s="1"/>
  <c r="D177" i="22" a="1"/>
  <c r="D177" i="22" s="1"/>
  <c r="M176" i="22" a="1"/>
  <c r="M176" i="22" s="1"/>
  <c r="L176" i="22" a="1"/>
  <c r="L176" i="22" s="1"/>
  <c r="M248" i="22" s="1"/>
  <c r="K176" i="22" a="1"/>
  <c r="K176" i="22" s="1"/>
  <c r="J176" i="22" a="1"/>
  <c r="J176" i="22" s="1"/>
  <c r="J248" i="22" s="1"/>
  <c r="I176" i="22" a="1"/>
  <c r="I176" i="22" s="1"/>
  <c r="I248" i="22" s="1"/>
  <c r="H176" i="22" a="1"/>
  <c r="H176" i="22" s="1"/>
  <c r="H248" i="22" s="1"/>
  <c r="G176" i="22" a="1"/>
  <c r="G176" i="22" s="1"/>
  <c r="G248" i="22" s="1"/>
  <c r="F176" i="22" a="1"/>
  <c r="F176" i="22" s="1"/>
  <c r="F248" i="22" s="1"/>
  <c r="E176" i="22" a="1"/>
  <c r="E176" i="22" s="1"/>
  <c r="E248" i="22" s="1"/>
  <c r="D176" i="22" a="1"/>
  <c r="D176" i="22" s="1"/>
  <c r="M175" i="22" a="1"/>
  <c r="M175" i="22" s="1"/>
  <c r="L175" i="22" a="1"/>
  <c r="L175" i="22" s="1"/>
  <c r="M247" i="22" s="1"/>
  <c r="K175" i="22" a="1"/>
  <c r="K175" i="22" s="1"/>
  <c r="J175" i="22" a="1"/>
  <c r="J175" i="22" s="1"/>
  <c r="J247" i="22" s="1"/>
  <c r="I175" i="22" a="1"/>
  <c r="I175" i="22" s="1"/>
  <c r="I247" i="22" s="1"/>
  <c r="H175" i="22" a="1"/>
  <c r="H175" i="22" s="1"/>
  <c r="H247" i="22" s="1"/>
  <c r="G175" i="22" a="1"/>
  <c r="G175" i="22" s="1"/>
  <c r="G247" i="22" s="1"/>
  <c r="F175" i="22" a="1"/>
  <c r="F175" i="22" s="1"/>
  <c r="F247" i="22" s="1"/>
  <c r="E175" i="22" a="1"/>
  <c r="E175" i="22" s="1"/>
  <c r="E247" i="22" s="1"/>
  <c r="D175" i="22" a="1"/>
  <c r="D175" i="22" s="1"/>
  <c r="M174" i="22" a="1"/>
  <c r="M174" i="22" s="1"/>
  <c r="L174" i="22" a="1"/>
  <c r="L174" i="22" s="1"/>
  <c r="M246" i="22" s="1"/>
  <c r="K174" i="22" a="1"/>
  <c r="K174" i="22" s="1"/>
  <c r="J174" i="22" a="1"/>
  <c r="J174" i="22" s="1"/>
  <c r="J246" i="22" s="1"/>
  <c r="I174" i="22" a="1"/>
  <c r="I174" i="22" s="1"/>
  <c r="I246" i="22" s="1"/>
  <c r="H174" i="22" a="1"/>
  <c r="H174" i="22" s="1"/>
  <c r="H246" i="22" s="1"/>
  <c r="G174" i="22" a="1"/>
  <c r="G174" i="22" s="1"/>
  <c r="G246" i="22" s="1"/>
  <c r="F174" i="22" a="1"/>
  <c r="F174" i="22" s="1"/>
  <c r="F246" i="22" s="1"/>
  <c r="E174" i="22" a="1"/>
  <c r="E174" i="22" s="1"/>
  <c r="E246" i="22" s="1"/>
  <c r="D174" i="22" a="1"/>
  <c r="D174" i="22" s="1"/>
  <c r="M173" i="22" a="1"/>
  <c r="M173" i="22" s="1"/>
  <c r="L173" i="22" a="1"/>
  <c r="L173" i="22" s="1"/>
  <c r="M245" i="22" s="1"/>
  <c r="K173" i="22" a="1"/>
  <c r="K173" i="22" s="1"/>
  <c r="J173" i="22" a="1"/>
  <c r="J173" i="22" s="1"/>
  <c r="J245" i="22" s="1"/>
  <c r="I173" i="22" a="1"/>
  <c r="I173" i="22" s="1"/>
  <c r="I245" i="22" s="1"/>
  <c r="H173" i="22" a="1"/>
  <c r="H173" i="22" s="1"/>
  <c r="H245" i="22" s="1"/>
  <c r="G173" i="22" a="1"/>
  <c r="G173" i="22" s="1"/>
  <c r="G245" i="22" s="1"/>
  <c r="F173" i="22" a="1"/>
  <c r="F173" i="22" s="1"/>
  <c r="F245" i="22" s="1"/>
  <c r="E173" i="22" a="1"/>
  <c r="E173" i="22" s="1"/>
  <c r="E245" i="22" s="1"/>
  <c r="D173" i="22" a="1"/>
  <c r="D173" i="22" s="1"/>
  <c r="M172" i="22" a="1"/>
  <c r="M172" i="22" s="1"/>
  <c r="L172" i="22" a="1"/>
  <c r="L172" i="22" s="1"/>
  <c r="M244" i="22" s="1"/>
  <c r="K172" i="22" a="1"/>
  <c r="K172" i="22" s="1"/>
  <c r="J172" i="22" a="1"/>
  <c r="J172" i="22" s="1"/>
  <c r="J244" i="22" s="1"/>
  <c r="I172" i="22" a="1"/>
  <c r="I172" i="22" s="1"/>
  <c r="I244" i="22" s="1"/>
  <c r="H172" i="22" a="1"/>
  <c r="H172" i="22" s="1"/>
  <c r="H244" i="22" s="1"/>
  <c r="G172" i="22" a="1"/>
  <c r="G172" i="22" s="1"/>
  <c r="G244" i="22" s="1"/>
  <c r="F172" i="22" a="1"/>
  <c r="F172" i="22" s="1"/>
  <c r="F244" i="22" s="1"/>
  <c r="E172" i="22" a="1"/>
  <c r="E172" i="22" s="1"/>
  <c r="E244" i="22" s="1"/>
  <c r="D172" i="22" a="1"/>
  <c r="D172" i="22" s="1"/>
  <c r="M171" i="22" a="1"/>
  <c r="M171" i="22" s="1"/>
  <c r="L171" i="22" a="1"/>
  <c r="L171" i="22" s="1"/>
  <c r="M243" i="22" s="1"/>
  <c r="K171" i="22" a="1"/>
  <c r="K171" i="22" s="1"/>
  <c r="J171" i="22" a="1"/>
  <c r="J171" i="22" s="1"/>
  <c r="J243" i="22" s="1"/>
  <c r="I171" i="22" a="1"/>
  <c r="I171" i="22" s="1"/>
  <c r="I243" i="22" s="1"/>
  <c r="H171" i="22" a="1"/>
  <c r="H171" i="22" s="1"/>
  <c r="H243" i="22" s="1"/>
  <c r="G171" i="22" a="1"/>
  <c r="G171" i="22" s="1"/>
  <c r="G243" i="22" s="1"/>
  <c r="F171" i="22" a="1"/>
  <c r="F171" i="22" s="1"/>
  <c r="F243" i="22" s="1"/>
  <c r="E171" i="22" a="1"/>
  <c r="E171" i="22" s="1"/>
  <c r="E243" i="22" s="1"/>
  <c r="D171" i="22" a="1"/>
  <c r="D171" i="22" s="1"/>
  <c r="M170" i="22" a="1"/>
  <c r="M170" i="22" s="1"/>
  <c r="L170" i="22" a="1"/>
  <c r="L170" i="22" s="1"/>
  <c r="M242" i="22" s="1"/>
  <c r="K170" i="22" a="1"/>
  <c r="K170" i="22" s="1"/>
  <c r="J170" i="22" a="1"/>
  <c r="J170" i="22" s="1"/>
  <c r="J242" i="22" s="1"/>
  <c r="I170" i="22" a="1"/>
  <c r="I170" i="22" s="1"/>
  <c r="I242" i="22" s="1"/>
  <c r="H170" i="22" a="1"/>
  <c r="H170" i="22" s="1"/>
  <c r="H242" i="22" s="1"/>
  <c r="G170" i="22" a="1"/>
  <c r="G170" i="22" s="1"/>
  <c r="G242" i="22" s="1"/>
  <c r="F170" i="22" a="1"/>
  <c r="F170" i="22" s="1"/>
  <c r="F242" i="22" s="1"/>
  <c r="E170" i="22" a="1"/>
  <c r="E170" i="22" s="1"/>
  <c r="D170" i="22" a="1"/>
  <c r="D170" i="22" s="1"/>
  <c r="M169" i="22" a="1"/>
  <c r="M169" i="22" s="1"/>
  <c r="L169" i="22" a="1"/>
  <c r="L169" i="22" s="1"/>
  <c r="M241" i="22" s="1"/>
  <c r="K169" i="22" a="1"/>
  <c r="K169" i="22" s="1"/>
  <c r="J169" i="22" a="1"/>
  <c r="J169" i="22" s="1"/>
  <c r="J241" i="22" s="1"/>
  <c r="I169" i="22" a="1"/>
  <c r="I169" i="22" s="1"/>
  <c r="I241" i="22" s="1"/>
  <c r="H169" i="22" a="1"/>
  <c r="H169" i="22" s="1"/>
  <c r="H241" i="22" s="1"/>
  <c r="G169" i="22" a="1"/>
  <c r="G169" i="22" s="1"/>
  <c r="G241" i="22" s="1"/>
  <c r="F169" i="22" a="1"/>
  <c r="F169" i="22" s="1"/>
  <c r="F241" i="22" s="1"/>
  <c r="E169" i="22" a="1"/>
  <c r="E169" i="22" s="1"/>
  <c r="D169" i="22" a="1"/>
  <c r="D169" i="22" s="1"/>
  <c r="M168" i="22" a="1"/>
  <c r="M168" i="22" s="1"/>
  <c r="L168" i="22" a="1"/>
  <c r="L168" i="22" s="1"/>
  <c r="M240" i="22" s="1"/>
  <c r="K168" i="22" a="1"/>
  <c r="K168" i="22" s="1"/>
  <c r="J168" i="22" a="1"/>
  <c r="J168" i="22" s="1"/>
  <c r="J240" i="22" s="1"/>
  <c r="I168" i="22" a="1"/>
  <c r="I168" i="22" s="1"/>
  <c r="I240" i="22" s="1"/>
  <c r="H168" i="22" a="1"/>
  <c r="H168" i="22" s="1"/>
  <c r="H240" i="22" s="1"/>
  <c r="G168" i="22" a="1"/>
  <c r="G168" i="22" s="1"/>
  <c r="G240" i="22" s="1"/>
  <c r="F168" i="22" a="1"/>
  <c r="F168" i="22" s="1"/>
  <c r="F240" i="22" s="1"/>
  <c r="E168" i="22" a="1"/>
  <c r="E168" i="22" s="1"/>
  <c r="D168" i="22" a="1"/>
  <c r="D168" i="22" s="1"/>
  <c r="M167" i="22" a="1"/>
  <c r="M167" i="22" s="1"/>
  <c r="L167" i="22" a="1"/>
  <c r="L167" i="22" s="1"/>
  <c r="M239" i="22" s="1"/>
  <c r="K167" i="22" a="1"/>
  <c r="K167" i="22" s="1"/>
  <c r="J167" i="22" a="1"/>
  <c r="J167" i="22" s="1"/>
  <c r="J239" i="22" s="1"/>
  <c r="I167" i="22" a="1"/>
  <c r="I167" i="22" s="1"/>
  <c r="I239" i="22" s="1"/>
  <c r="H167" i="22" a="1"/>
  <c r="H167" i="22" s="1"/>
  <c r="H239" i="22" s="1"/>
  <c r="G167" i="22" a="1"/>
  <c r="G167" i="22" s="1"/>
  <c r="G239" i="22" s="1"/>
  <c r="F167" i="22" a="1"/>
  <c r="F167" i="22" s="1"/>
  <c r="F239" i="22" s="1"/>
  <c r="E167" i="22" a="1"/>
  <c r="E167" i="22" s="1"/>
  <c r="D167" i="22" a="1"/>
  <c r="D167" i="22" s="1"/>
  <c r="M166" i="22" a="1"/>
  <c r="M166" i="22" s="1"/>
  <c r="L166" i="22" a="1"/>
  <c r="L166" i="22" s="1"/>
  <c r="M238" i="22" s="1"/>
  <c r="K166" i="22" a="1"/>
  <c r="K166" i="22" s="1"/>
  <c r="J166" i="22" a="1"/>
  <c r="J166" i="22" s="1"/>
  <c r="J238" i="22" s="1"/>
  <c r="I166" i="22" a="1"/>
  <c r="I166" i="22" s="1"/>
  <c r="I238" i="22" s="1"/>
  <c r="H166" i="22" a="1"/>
  <c r="H166" i="22" s="1"/>
  <c r="H238" i="22" s="1"/>
  <c r="G166" i="22" a="1"/>
  <c r="G166" i="22" s="1"/>
  <c r="G238" i="22" s="1"/>
  <c r="F166" i="22" a="1"/>
  <c r="F166" i="22" s="1"/>
  <c r="F238" i="22" s="1"/>
  <c r="E166" i="22" a="1"/>
  <c r="E166" i="22" s="1"/>
  <c r="D166" i="22" a="1"/>
  <c r="D166" i="22" s="1"/>
  <c r="M165" i="22" a="1"/>
  <c r="M165" i="22" s="1"/>
  <c r="L165" i="22" a="1"/>
  <c r="L165" i="22" s="1"/>
  <c r="M237" i="22" s="1"/>
  <c r="K165" i="22" a="1"/>
  <c r="K165" i="22" s="1"/>
  <c r="J165" i="22" a="1"/>
  <c r="J165" i="22" s="1"/>
  <c r="J237" i="22" s="1"/>
  <c r="I165" i="22" a="1"/>
  <c r="I165" i="22" s="1"/>
  <c r="I237" i="22" s="1"/>
  <c r="H165" i="22" a="1"/>
  <c r="H165" i="22" s="1"/>
  <c r="H237" i="22" s="1"/>
  <c r="G165" i="22" a="1"/>
  <c r="G165" i="22" s="1"/>
  <c r="G237" i="22" s="1"/>
  <c r="F165" i="22" a="1"/>
  <c r="F165" i="22" s="1"/>
  <c r="F237" i="22" s="1"/>
  <c r="E165" i="22" a="1"/>
  <c r="E165" i="22" s="1"/>
  <c r="D165" i="22" a="1"/>
  <c r="D165" i="22" s="1"/>
  <c r="M164" i="22" a="1"/>
  <c r="M164" i="22" s="1"/>
  <c r="L164" i="22" a="1"/>
  <c r="L164" i="22" s="1"/>
  <c r="M236" i="22" s="1"/>
  <c r="K164" i="22" a="1"/>
  <c r="K164" i="22" s="1"/>
  <c r="J164" i="22" a="1"/>
  <c r="J164" i="22" s="1"/>
  <c r="J236" i="22" s="1"/>
  <c r="I164" i="22" a="1"/>
  <c r="I164" i="22" s="1"/>
  <c r="I236" i="22" s="1"/>
  <c r="H164" i="22" a="1"/>
  <c r="H164" i="22" s="1"/>
  <c r="H236" i="22" s="1"/>
  <c r="G164" i="22" a="1"/>
  <c r="G164" i="22" s="1"/>
  <c r="G236" i="22" s="1"/>
  <c r="F164" i="22" a="1"/>
  <c r="F164" i="22" s="1"/>
  <c r="F236" i="22" s="1"/>
  <c r="E164" i="22" a="1"/>
  <c r="E164" i="22" s="1"/>
  <c r="D164" i="22" a="1"/>
  <c r="D164" i="22" s="1"/>
  <c r="M163" i="22" a="1"/>
  <c r="M163" i="22" s="1"/>
  <c r="L163" i="22" a="1"/>
  <c r="L163" i="22" s="1"/>
  <c r="M235" i="22" s="1"/>
  <c r="K163" i="22" a="1"/>
  <c r="K163" i="22" s="1"/>
  <c r="J163" i="22" a="1"/>
  <c r="J163" i="22" s="1"/>
  <c r="J235" i="22" s="1"/>
  <c r="I163" i="22" a="1"/>
  <c r="I163" i="22" s="1"/>
  <c r="I235" i="22" s="1"/>
  <c r="H163" i="22" a="1"/>
  <c r="H163" i="22" s="1"/>
  <c r="H235" i="22" s="1"/>
  <c r="G163" i="22" a="1"/>
  <c r="G163" i="22" s="1"/>
  <c r="G235" i="22" s="1"/>
  <c r="F163" i="22" a="1"/>
  <c r="F163" i="22" s="1"/>
  <c r="F235" i="22" s="1"/>
  <c r="E163" i="22" a="1"/>
  <c r="E163" i="22" s="1"/>
  <c r="D163" i="22" a="1"/>
  <c r="D163" i="22" s="1"/>
  <c r="M162" i="22" a="1"/>
  <c r="M162" i="22" s="1"/>
  <c r="L162" i="22" a="1"/>
  <c r="L162" i="22" s="1"/>
  <c r="M234" i="22" s="1"/>
  <c r="K162" i="22" a="1"/>
  <c r="K162" i="22" s="1"/>
  <c r="J162" i="22" a="1"/>
  <c r="J162" i="22" s="1"/>
  <c r="J234" i="22" s="1"/>
  <c r="I162" i="22" a="1"/>
  <c r="I162" i="22" s="1"/>
  <c r="I234" i="22" s="1"/>
  <c r="H162" i="22" a="1"/>
  <c r="H162" i="22" s="1"/>
  <c r="H234" i="22" s="1"/>
  <c r="G162" i="22" a="1"/>
  <c r="G162" i="22" s="1"/>
  <c r="G234" i="22" s="1"/>
  <c r="F162" i="22" a="1"/>
  <c r="F162" i="22" s="1"/>
  <c r="F234" i="22" s="1"/>
  <c r="E162" i="22" a="1"/>
  <c r="E162" i="22" s="1"/>
  <c r="D162" i="22" a="1"/>
  <c r="D162" i="22" s="1"/>
  <c r="M161" i="22" a="1"/>
  <c r="M161" i="22" s="1"/>
  <c r="L161" i="22" a="1"/>
  <c r="L161" i="22" s="1"/>
  <c r="M233" i="22" s="1"/>
  <c r="K161" i="22" a="1"/>
  <c r="K161" i="22" s="1"/>
  <c r="J161" i="22" a="1"/>
  <c r="J161" i="22" s="1"/>
  <c r="J233" i="22" s="1"/>
  <c r="I161" i="22" a="1"/>
  <c r="I161" i="22" s="1"/>
  <c r="I233" i="22" s="1"/>
  <c r="H161" i="22" a="1"/>
  <c r="H161" i="22" s="1"/>
  <c r="H233" i="22" s="1"/>
  <c r="G161" i="22" a="1"/>
  <c r="G161" i="22" s="1"/>
  <c r="G233" i="22" s="1"/>
  <c r="F161" i="22" a="1"/>
  <c r="F161" i="22" s="1"/>
  <c r="F233" i="22" s="1"/>
  <c r="E161" i="22" a="1"/>
  <c r="E161" i="22" s="1"/>
  <c r="D161" i="22" a="1"/>
  <c r="D161" i="22" s="1"/>
  <c r="M160" i="22" a="1"/>
  <c r="M160" i="22" s="1"/>
  <c r="L160" i="22" a="1"/>
  <c r="L160" i="22" s="1"/>
  <c r="M232" i="22" s="1"/>
  <c r="K160" i="22" a="1"/>
  <c r="K160" i="22" s="1"/>
  <c r="J160" i="22" a="1"/>
  <c r="J160" i="22" s="1"/>
  <c r="J232" i="22" s="1"/>
  <c r="I160" i="22" a="1"/>
  <c r="I160" i="22" s="1"/>
  <c r="I232" i="22" s="1"/>
  <c r="H160" i="22" a="1"/>
  <c r="H160" i="22" s="1"/>
  <c r="H232" i="22" s="1"/>
  <c r="G160" i="22" a="1"/>
  <c r="G160" i="22" s="1"/>
  <c r="G232" i="22" s="1"/>
  <c r="F160" i="22" a="1"/>
  <c r="F160" i="22" s="1"/>
  <c r="F232" i="22" s="1"/>
  <c r="E160" i="22" a="1"/>
  <c r="E160" i="22" s="1"/>
  <c r="D160" i="22" a="1"/>
  <c r="D160" i="22" s="1"/>
  <c r="M159" i="22" a="1"/>
  <c r="M159" i="22" s="1"/>
  <c r="L159" i="22" a="1"/>
  <c r="L159" i="22" s="1"/>
  <c r="M231" i="22" s="1"/>
  <c r="K159" i="22" a="1"/>
  <c r="K159" i="22" s="1"/>
  <c r="J159" i="22" a="1"/>
  <c r="J159" i="22" s="1"/>
  <c r="J231" i="22" s="1"/>
  <c r="I159" i="22" a="1"/>
  <c r="I159" i="22" s="1"/>
  <c r="I231" i="22" s="1"/>
  <c r="H159" i="22" a="1"/>
  <c r="H159" i="22" s="1"/>
  <c r="H231" i="22" s="1"/>
  <c r="G159" i="22" a="1"/>
  <c r="G159" i="22" s="1"/>
  <c r="G231" i="22" s="1"/>
  <c r="F159" i="22" a="1"/>
  <c r="F159" i="22" s="1"/>
  <c r="F231" i="22" s="1"/>
  <c r="E159" i="22" a="1"/>
  <c r="E159" i="22" s="1"/>
  <c r="D159" i="22" a="1"/>
  <c r="D159" i="22" s="1"/>
  <c r="M158" i="22" a="1"/>
  <c r="M158" i="22" s="1"/>
  <c r="L158" i="22" a="1"/>
  <c r="L158" i="22" s="1"/>
  <c r="K158" i="22" a="1"/>
  <c r="K158" i="22" s="1"/>
  <c r="J158" i="22" a="1"/>
  <c r="J158" i="22" s="1"/>
  <c r="I158" i="22" a="1"/>
  <c r="I158" i="22" s="1"/>
  <c r="H158" i="22" a="1"/>
  <c r="H158" i="22" s="1"/>
  <c r="G158" i="22" a="1"/>
  <c r="G158" i="22" s="1"/>
  <c r="F158" i="22" a="1"/>
  <c r="F158" i="22" s="1"/>
  <c r="E158" i="22" a="1"/>
  <c r="E158" i="22" s="1"/>
  <c r="D158" i="22" a="1"/>
  <c r="D158" i="22" s="1"/>
  <c r="M157" i="22" a="1"/>
  <c r="M157" i="22" s="1"/>
  <c r="L157" i="22" a="1"/>
  <c r="L157" i="22" s="1"/>
  <c r="K157" i="22" a="1"/>
  <c r="K157" i="22" s="1"/>
  <c r="J157" i="22" a="1"/>
  <c r="J157" i="22" s="1"/>
  <c r="I157" i="22" a="1"/>
  <c r="I157" i="22" s="1"/>
  <c r="H157" i="22" a="1"/>
  <c r="H157" i="22" s="1"/>
  <c r="G157" i="22" a="1"/>
  <c r="G157" i="22" s="1"/>
  <c r="F157" i="22" a="1"/>
  <c r="F157" i="22" s="1"/>
  <c r="E157" i="22" a="1"/>
  <c r="E157" i="22" s="1"/>
  <c r="D157" i="22" a="1"/>
  <c r="D157" i="22" s="1"/>
  <c r="M156" i="22" a="1"/>
  <c r="M156" i="22" s="1"/>
  <c r="L156" i="22" a="1"/>
  <c r="L156" i="22" s="1"/>
  <c r="K156" i="22" a="1"/>
  <c r="K156" i="22" s="1"/>
  <c r="J156" i="22" a="1"/>
  <c r="J156" i="22" s="1"/>
  <c r="I156" i="22" a="1"/>
  <c r="I156" i="22" s="1"/>
  <c r="H156" i="22" a="1"/>
  <c r="H156" i="22" s="1"/>
  <c r="G156" i="22" a="1"/>
  <c r="G156" i="22" s="1"/>
  <c r="F156" i="22" a="1"/>
  <c r="F156" i="22" s="1"/>
  <c r="E156" i="22" a="1"/>
  <c r="E156" i="22" s="1"/>
  <c r="D156" i="22" a="1"/>
  <c r="D156" i="22" s="1"/>
  <c r="M155" i="22" a="1"/>
  <c r="M155" i="22" s="1"/>
  <c r="L155" i="22" a="1"/>
  <c r="L155" i="22" s="1"/>
  <c r="K155" i="22" a="1"/>
  <c r="K155" i="22" s="1"/>
  <c r="J155" i="22" a="1"/>
  <c r="J155" i="22" s="1"/>
  <c r="I155" i="22" a="1"/>
  <c r="I155" i="22" s="1"/>
  <c r="H155" i="22" a="1"/>
  <c r="H155" i="22" s="1"/>
  <c r="G155" i="22" a="1"/>
  <c r="G155" i="22" s="1"/>
  <c r="F155" i="22" a="1"/>
  <c r="F155" i="22" s="1"/>
  <c r="E155" i="22" a="1"/>
  <c r="E155" i="22" s="1"/>
  <c r="D155" i="22" a="1"/>
  <c r="D155" i="22" s="1"/>
  <c r="D153" i="22" a="1"/>
  <c r="D153" i="22" s="1"/>
  <c r="D152" i="22" a="1"/>
  <c r="D152" i="22" s="1"/>
  <c r="D151" i="22" a="1"/>
  <c r="D151" i="22" s="1"/>
  <c r="D150" i="22" a="1"/>
  <c r="D150" i="22" s="1"/>
  <c r="P81" i="22" a="1"/>
  <c r="P81" i="22" s="1"/>
  <c r="P145" i="22" s="1"/>
  <c r="O81" i="22" a="1"/>
  <c r="O81" i="22" s="1"/>
  <c r="O145" i="22" s="1"/>
  <c r="N81" i="22" a="1"/>
  <c r="N81" i="22" s="1"/>
  <c r="N145" i="22" s="1"/>
  <c r="M81" i="22" a="1"/>
  <c r="M81" i="22" s="1"/>
  <c r="M145" i="22" s="1"/>
  <c r="L81" i="22" a="1"/>
  <c r="L81" i="22" s="1"/>
  <c r="L145" i="22" s="1"/>
  <c r="K81" i="22" a="1"/>
  <c r="K81" i="22" s="1"/>
  <c r="K145" i="22" s="1"/>
  <c r="J81" i="22" a="1"/>
  <c r="J81" i="22" s="1"/>
  <c r="J145" i="22" s="1"/>
  <c r="I81" i="22" a="1"/>
  <c r="I81" i="22" s="1"/>
  <c r="I145" i="22" s="1"/>
  <c r="H81" i="22" a="1"/>
  <c r="H81" i="22" s="1"/>
  <c r="H145" i="22" s="1"/>
  <c r="G81" i="22" a="1"/>
  <c r="G81" i="22" s="1"/>
  <c r="G145" i="22" s="1"/>
  <c r="F81" i="22" a="1"/>
  <c r="F81" i="22" s="1"/>
  <c r="F145" i="22" s="1"/>
  <c r="F149" i="22" s="1"/>
  <c r="E81" i="22" a="1"/>
  <c r="E81" i="22" s="1"/>
  <c r="E145" i="22" s="1"/>
  <c r="D81" i="22" a="1"/>
  <c r="D81" i="22" s="1"/>
  <c r="P80" i="22" a="1"/>
  <c r="P80" i="22" s="1"/>
  <c r="P144" i="22" s="1"/>
  <c r="O80" i="22" a="1"/>
  <c r="O80" i="22" s="1"/>
  <c r="O144" i="22" s="1"/>
  <c r="N80" i="22" a="1"/>
  <c r="N80" i="22" s="1"/>
  <c r="N144" i="22" s="1"/>
  <c r="M80" i="22" a="1"/>
  <c r="M80" i="22" s="1"/>
  <c r="M144" i="22" s="1"/>
  <c r="L80" i="22" a="1"/>
  <c r="L80" i="22" s="1"/>
  <c r="L144" i="22" s="1"/>
  <c r="K80" i="22" a="1"/>
  <c r="K80" i="22" s="1"/>
  <c r="K144" i="22" s="1"/>
  <c r="J80" i="22" a="1"/>
  <c r="J80" i="22" s="1"/>
  <c r="J144" i="22" s="1"/>
  <c r="I80" i="22" a="1"/>
  <c r="I80" i="22" s="1"/>
  <c r="I144" i="22" s="1"/>
  <c r="H80" i="22" a="1"/>
  <c r="H80" i="22" s="1"/>
  <c r="H144" i="22" s="1"/>
  <c r="G80" i="22" a="1"/>
  <c r="G80" i="22" s="1"/>
  <c r="G144" i="22" s="1"/>
  <c r="F80" i="22" a="1"/>
  <c r="F80" i="22" s="1"/>
  <c r="F144" i="22" s="1"/>
  <c r="F148" i="22" s="1"/>
  <c r="E80" i="22" a="1"/>
  <c r="E80" i="22" s="1"/>
  <c r="E144" i="22" s="1"/>
  <c r="D80" i="22" a="1"/>
  <c r="D80" i="22" s="1"/>
  <c r="P79" i="22" a="1"/>
  <c r="P79" i="22" s="1"/>
  <c r="P143" i="22" s="1"/>
  <c r="O79" i="22" a="1"/>
  <c r="O79" i="22" s="1"/>
  <c r="O143" i="22" s="1"/>
  <c r="N79" i="22" a="1"/>
  <c r="N79" i="22" s="1"/>
  <c r="N143" i="22" s="1"/>
  <c r="M79" i="22" a="1"/>
  <c r="M79" i="22" s="1"/>
  <c r="M143" i="22" s="1"/>
  <c r="L79" i="22" a="1"/>
  <c r="L79" i="22" s="1"/>
  <c r="L143" i="22" s="1"/>
  <c r="K79" i="22" a="1"/>
  <c r="K79" i="22" s="1"/>
  <c r="K143" i="22" s="1"/>
  <c r="J79" i="22" a="1"/>
  <c r="J79" i="22" s="1"/>
  <c r="J143" i="22" s="1"/>
  <c r="I79" i="22" a="1"/>
  <c r="I79" i="22" s="1"/>
  <c r="I143" i="22" s="1"/>
  <c r="H79" i="22" a="1"/>
  <c r="H79" i="22" s="1"/>
  <c r="H143" i="22" s="1"/>
  <c r="G79" i="22" a="1"/>
  <c r="G79" i="22" s="1"/>
  <c r="G143" i="22" s="1"/>
  <c r="F79" i="22" a="1"/>
  <c r="F79" i="22" s="1"/>
  <c r="F143" i="22" s="1"/>
  <c r="F147" i="22" s="1"/>
  <c r="E79" i="22" a="1"/>
  <c r="E79" i="22" s="1"/>
  <c r="E143" i="22" s="1"/>
  <c r="D79" i="22" a="1"/>
  <c r="D79" i="22" s="1"/>
  <c r="P78" i="22" a="1"/>
  <c r="P78" i="22" s="1"/>
  <c r="P142" i="22" s="1"/>
  <c r="O78" i="22" a="1"/>
  <c r="O78" i="22" s="1"/>
  <c r="O142" i="22" s="1"/>
  <c r="N78" i="22" a="1"/>
  <c r="N78" i="22" s="1"/>
  <c r="N142" i="22" s="1"/>
  <c r="M78" i="22" a="1"/>
  <c r="M78" i="22" s="1"/>
  <c r="M142" i="22" s="1"/>
  <c r="L78" i="22" a="1"/>
  <c r="L78" i="22" s="1"/>
  <c r="L142" i="22" s="1"/>
  <c r="K78" i="22" a="1"/>
  <c r="K78" i="22" s="1"/>
  <c r="K142" i="22" s="1"/>
  <c r="J78" i="22" a="1"/>
  <c r="J78" i="22" s="1"/>
  <c r="J142" i="22" s="1"/>
  <c r="I78" i="22" a="1"/>
  <c r="I78" i="22" s="1"/>
  <c r="I142" i="22" s="1"/>
  <c r="H78" i="22" a="1"/>
  <c r="H78" i="22" s="1"/>
  <c r="H142" i="22" s="1"/>
  <c r="G78" i="22" a="1"/>
  <c r="G78" i="22" s="1"/>
  <c r="G142" i="22" s="1"/>
  <c r="F78" i="22" a="1"/>
  <c r="F78" i="22" s="1"/>
  <c r="F142" i="22" s="1"/>
  <c r="F146" i="22" s="1"/>
  <c r="E78" i="22" a="1"/>
  <c r="E78" i="22" s="1"/>
  <c r="E142" i="22" s="1"/>
  <c r="D78" i="22" a="1"/>
  <c r="D78" i="22" s="1"/>
  <c r="P77" i="22" a="1"/>
  <c r="P77" i="22" s="1"/>
  <c r="P141" i="22" s="1"/>
  <c r="O77" i="22" a="1"/>
  <c r="O77" i="22" s="1"/>
  <c r="O141" i="22" s="1"/>
  <c r="N77" i="22" a="1"/>
  <c r="N77" i="22" s="1"/>
  <c r="N141" i="22" s="1"/>
  <c r="M77" i="22" a="1"/>
  <c r="M77" i="22" s="1"/>
  <c r="M141" i="22" s="1"/>
  <c r="L77" i="22" a="1"/>
  <c r="L77" i="22" s="1"/>
  <c r="L141" i="22" s="1"/>
  <c r="K77" i="22" a="1"/>
  <c r="K77" i="22" s="1"/>
  <c r="K141" i="22" s="1"/>
  <c r="J77" i="22" a="1"/>
  <c r="J77" i="22" s="1"/>
  <c r="J141" i="22" s="1"/>
  <c r="I77" i="22" a="1"/>
  <c r="I77" i="22" s="1"/>
  <c r="I141" i="22" s="1"/>
  <c r="H77" i="22" a="1"/>
  <c r="H77" i="22" s="1"/>
  <c r="H141" i="22" s="1"/>
  <c r="G77" i="22" a="1"/>
  <c r="G77" i="22" s="1"/>
  <c r="G141" i="22" s="1"/>
  <c r="F77" i="22" a="1"/>
  <c r="F77" i="22" s="1"/>
  <c r="F141" i="22" s="1"/>
  <c r="E77" i="22" a="1"/>
  <c r="E77" i="22" s="1"/>
  <c r="E141" i="22" s="1"/>
  <c r="D77" i="22" a="1"/>
  <c r="D77" i="22" s="1"/>
  <c r="P76" i="22" a="1"/>
  <c r="P76" i="22" s="1"/>
  <c r="P140" i="22" s="1"/>
  <c r="O76" i="22" a="1"/>
  <c r="O76" i="22" s="1"/>
  <c r="O140" i="22" s="1"/>
  <c r="N76" i="22" a="1"/>
  <c r="N76" i="22" s="1"/>
  <c r="N140" i="22" s="1"/>
  <c r="M76" i="22" a="1"/>
  <c r="M76" i="22" s="1"/>
  <c r="M140" i="22" s="1"/>
  <c r="L76" i="22" a="1"/>
  <c r="L76" i="22" s="1"/>
  <c r="L140" i="22" s="1"/>
  <c r="K76" i="22" a="1"/>
  <c r="K76" i="22" s="1"/>
  <c r="K140" i="22" s="1"/>
  <c r="J76" i="22" a="1"/>
  <c r="J76" i="22" s="1"/>
  <c r="J140" i="22" s="1"/>
  <c r="I76" i="22" a="1"/>
  <c r="I76" i="22" s="1"/>
  <c r="I140" i="22" s="1"/>
  <c r="H76" i="22" a="1"/>
  <c r="H76" i="22" s="1"/>
  <c r="H140" i="22" s="1"/>
  <c r="G76" i="22" a="1"/>
  <c r="G76" i="22" s="1"/>
  <c r="G140" i="22" s="1"/>
  <c r="F76" i="22" a="1"/>
  <c r="F76" i="22" s="1"/>
  <c r="F140" i="22" s="1"/>
  <c r="E76" i="22" a="1"/>
  <c r="E76" i="22" s="1"/>
  <c r="E140" i="22" s="1"/>
  <c r="D76" i="22" a="1"/>
  <c r="D76" i="22" s="1"/>
  <c r="P75" i="22" a="1"/>
  <c r="P75" i="22" s="1"/>
  <c r="P139" i="22" s="1"/>
  <c r="O75" i="22" a="1"/>
  <c r="O75" i="22" s="1"/>
  <c r="O139" i="22" s="1"/>
  <c r="N75" i="22" a="1"/>
  <c r="N75" i="22" s="1"/>
  <c r="N139" i="22" s="1"/>
  <c r="M75" i="22" a="1"/>
  <c r="M75" i="22" s="1"/>
  <c r="M139" i="22" s="1"/>
  <c r="L75" i="22" a="1"/>
  <c r="L75" i="22" s="1"/>
  <c r="L139" i="22" s="1"/>
  <c r="K75" i="22" a="1"/>
  <c r="K75" i="22" s="1"/>
  <c r="K139" i="22" s="1"/>
  <c r="J75" i="22" a="1"/>
  <c r="J75" i="22" s="1"/>
  <c r="J139" i="22" s="1"/>
  <c r="I75" i="22" a="1"/>
  <c r="I75" i="22" s="1"/>
  <c r="I139" i="22" s="1"/>
  <c r="H75" i="22" a="1"/>
  <c r="H75" i="22" s="1"/>
  <c r="H139" i="22" s="1"/>
  <c r="G75" i="22" a="1"/>
  <c r="G75" i="22" s="1"/>
  <c r="G139" i="22" s="1"/>
  <c r="F75" i="22" a="1"/>
  <c r="F75" i="22" s="1"/>
  <c r="F139" i="22" s="1"/>
  <c r="E75" i="22" a="1"/>
  <c r="E75" i="22" s="1"/>
  <c r="E139" i="22" s="1"/>
  <c r="D75" i="22" a="1"/>
  <c r="D75" i="22" s="1"/>
  <c r="P74" i="22" a="1"/>
  <c r="P74" i="22" s="1"/>
  <c r="P138" i="22" s="1"/>
  <c r="O74" i="22" a="1"/>
  <c r="O74" i="22" s="1"/>
  <c r="O138" i="22" s="1"/>
  <c r="N74" i="22" a="1"/>
  <c r="N74" i="22" s="1"/>
  <c r="N138" i="22" s="1"/>
  <c r="M74" i="22" a="1"/>
  <c r="M74" i="22" s="1"/>
  <c r="M138" i="22" s="1"/>
  <c r="L74" i="22" a="1"/>
  <c r="L74" i="22" s="1"/>
  <c r="L138" i="22" s="1"/>
  <c r="K74" i="22" a="1"/>
  <c r="K74" i="22" s="1"/>
  <c r="K138" i="22" s="1"/>
  <c r="J74" i="22" a="1"/>
  <c r="J74" i="22" s="1"/>
  <c r="J138" i="22" s="1"/>
  <c r="I74" i="22" a="1"/>
  <c r="I74" i="22" s="1"/>
  <c r="I138" i="22" s="1"/>
  <c r="H74" i="22" a="1"/>
  <c r="H74" i="22" s="1"/>
  <c r="H138" i="22" s="1"/>
  <c r="G74" i="22" a="1"/>
  <c r="G74" i="22" s="1"/>
  <c r="G138" i="22" s="1"/>
  <c r="F74" i="22" a="1"/>
  <c r="F74" i="22" s="1"/>
  <c r="F138" i="22" s="1"/>
  <c r="E74" i="22" a="1"/>
  <c r="E74" i="22" s="1"/>
  <c r="E138" i="22" s="1"/>
  <c r="D74" i="22" a="1"/>
  <c r="D74" i="22" s="1"/>
  <c r="P73" i="22" a="1"/>
  <c r="P73" i="22" s="1"/>
  <c r="P137" i="22" s="1"/>
  <c r="O73" i="22" a="1"/>
  <c r="O73" i="22" s="1"/>
  <c r="O137" i="22" s="1"/>
  <c r="N73" i="22" a="1"/>
  <c r="N73" i="22" s="1"/>
  <c r="N137" i="22" s="1"/>
  <c r="M73" i="22" a="1"/>
  <c r="M73" i="22" s="1"/>
  <c r="M137" i="22" s="1"/>
  <c r="L73" i="22" a="1"/>
  <c r="L73" i="22" s="1"/>
  <c r="L137" i="22" s="1"/>
  <c r="K73" i="22" a="1"/>
  <c r="K73" i="22" s="1"/>
  <c r="K137" i="22" s="1"/>
  <c r="J73" i="22" a="1"/>
  <c r="J73" i="22" s="1"/>
  <c r="J137" i="22" s="1"/>
  <c r="I73" i="22" a="1"/>
  <c r="I73" i="22" s="1"/>
  <c r="I137" i="22" s="1"/>
  <c r="H73" i="22" a="1"/>
  <c r="H73" i="22" s="1"/>
  <c r="H137" i="22" s="1"/>
  <c r="G73" i="22" a="1"/>
  <c r="G73" i="22" s="1"/>
  <c r="G137" i="22" s="1"/>
  <c r="F73" i="22" a="1"/>
  <c r="F73" i="22" s="1"/>
  <c r="F137" i="22" s="1"/>
  <c r="E73" i="22" a="1"/>
  <c r="E73" i="22" s="1"/>
  <c r="E137" i="22" s="1"/>
  <c r="D73" i="22" a="1"/>
  <c r="D73" i="22" s="1"/>
  <c r="P72" i="22" a="1"/>
  <c r="P72" i="22" s="1"/>
  <c r="P136" i="22" s="1"/>
  <c r="O72" i="22" a="1"/>
  <c r="O72" i="22" s="1"/>
  <c r="O136" i="22" s="1"/>
  <c r="N72" i="22" a="1"/>
  <c r="N72" i="22" s="1"/>
  <c r="N136" i="22" s="1"/>
  <c r="M72" i="22" a="1"/>
  <c r="M72" i="22" s="1"/>
  <c r="M136" i="22" s="1"/>
  <c r="L72" i="22" a="1"/>
  <c r="L72" i="22" s="1"/>
  <c r="L136" i="22" s="1"/>
  <c r="K72" i="22" a="1"/>
  <c r="K72" i="22" s="1"/>
  <c r="K136" i="22" s="1"/>
  <c r="J72" i="22" a="1"/>
  <c r="J72" i="22" s="1"/>
  <c r="J136" i="22" s="1"/>
  <c r="I72" i="22" a="1"/>
  <c r="I72" i="22" s="1"/>
  <c r="I136" i="22" s="1"/>
  <c r="H72" i="22" a="1"/>
  <c r="H72" i="22" s="1"/>
  <c r="H136" i="22" s="1"/>
  <c r="G72" i="22" a="1"/>
  <c r="G72" i="22" s="1"/>
  <c r="G136" i="22" s="1"/>
  <c r="F72" i="22" a="1"/>
  <c r="F72" i="22" s="1"/>
  <c r="F136" i="22" s="1"/>
  <c r="E72" i="22" a="1"/>
  <c r="E72" i="22" s="1"/>
  <c r="E136" i="22" s="1"/>
  <c r="D72" i="22" a="1"/>
  <c r="D72" i="22" s="1"/>
  <c r="P71" i="22" a="1"/>
  <c r="P71" i="22" s="1"/>
  <c r="P135" i="22" s="1"/>
  <c r="O71" i="22" a="1"/>
  <c r="O71" i="22" s="1"/>
  <c r="O135" i="22" s="1"/>
  <c r="N71" i="22" a="1"/>
  <c r="N71" i="22" s="1"/>
  <c r="N135" i="22" s="1"/>
  <c r="M71" i="22" a="1"/>
  <c r="M71" i="22" s="1"/>
  <c r="M135" i="22" s="1"/>
  <c r="L71" i="22" a="1"/>
  <c r="L71" i="22" s="1"/>
  <c r="L135" i="22" s="1"/>
  <c r="K71" i="22" a="1"/>
  <c r="K71" i="22" s="1"/>
  <c r="K135" i="22" s="1"/>
  <c r="J71" i="22" a="1"/>
  <c r="J71" i="22" s="1"/>
  <c r="J135" i="22" s="1"/>
  <c r="I71" i="22" a="1"/>
  <c r="I71" i="22" s="1"/>
  <c r="I135" i="22" s="1"/>
  <c r="H71" i="22" a="1"/>
  <c r="H71" i="22" s="1"/>
  <c r="H135" i="22" s="1"/>
  <c r="G71" i="22" a="1"/>
  <c r="G71" i="22" s="1"/>
  <c r="G135" i="22" s="1"/>
  <c r="F71" i="22" a="1"/>
  <c r="F71" i="22" s="1"/>
  <c r="F135" i="22" s="1"/>
  <c r="E71" i="22" a="1"/>
  <c r="E71" i="22" s="1"/>
  <c r="E135" i="22" s="1"/>
  <c r="D71" i="22" a="1"/>
  <c r="D71" i="22" s="1"/>
  <c r="P70" i="22" a="1"/>
  <c r="P70" i="22" s="1"/>
  <c r="P134" i="22" s="1"/>
  <c r="O70" i="22" a="1"/>
  <c r="O70" i="22" s="1"/>
  <c r="O134" i="22" s="1"/>
  <c r="N70" i="22" a="1"/>
  <c r="N70" i="22" s="1"/>
  <c r="N134" i="22" s="1"/>
  <c r="M70" i="22" a="1"/>
  <c r="M70" i="22" s="1"/>
  <c r="M134" i="22" s="1"/>
  <c r="L70" i="22" a="1"/>
  <c r="L70" i="22" s="1"/>
  <c r="L134" i="22" s="1"/>
  <c r="K70" i="22" a="1"/>
  <c r="K70" i="22" s="1"/>
  <c r="K134" i="22" s="1"/>
  <c r="J70" i="22" a="1"/>
  <c r="J70" i="22" s="1"/>
  <c r="J134" i="22" s="1"/>
  <c r="I70" i="22" a="1"/>
  <c r="I70" i="22" s="1"/>
  <c r="I134" i="22" s="1"/>
  <c r="H70" i="22" a="1"/>
  <c r="H70" i="22" s="1"/>
  <c r="H134" i="22" s="1"/>
  <c r="G70" i="22" a="1"/>
  <c r="G70" i="22" s="1"/>
  <c r="G134" i="22" s="1"/>
  <c r="F70" i="22" a="1"/>
  <c r="F70" i="22" s="1"/>
  <c r="F134" i="22" s="1"/>
  <c r="E70" i="22" a="1"/>
  <c r="E70" i="22" s="1"/>
  <c r="E134" i="22" s="1"/>
  <c r="D70" i="22" a="1"/>
  <c r="D70" i="22" s="1"/>
  <c r="P69" i="22" a="1"/>
  <c r="P69" i="22" s="1"/>
  <c r="P133" i="22" s="1"/>
  <c r="O69" i="22" a="1"/>
  <c r="O69" i="22" s="1"/>
  <c r="O133" i="22" s="1"/>
  <c r="N69" i="22" a="1"/>
  <c r="N69" i="22" s="1"/>
  <c r="N133" i="22" s="1"/>
  <c r="M69" i="22" a="1"/>
  <c r="M69" i="22" s="1"/>
  <c r="M133" i="22" s="1"/>
  <c r="L69" i="22" a="1"/>
  <c r="L69" i="22" s="1"/>
  <c r="L133" i="22" s="1"/>
  <c r="K69" i="22" a="1"/>
  <c r="K69" i="22" s="1"/>
  <c r="K133" i="22" s="1"/>
  <c r="J69" i="22" a="1"/>
  <c r="J69" i="22" s="1"/>
  <c r="J133" i="22" s="1"/>
  <c r="I69" i="22" a="1"/>
  <c r="I69" i="22" s="1"/>
  <c r="I133" i="22" s="1"/>
  <c r="H69" i="22" a="1"/>
  <c r="H69" i="22" s="1"/>
  <c r="H133" i="22" s="1"/>
  <c r="G69" i="22" a="1"/>
  <c r="G69" i="22" s="1"/>
  <c r="G133" i="22" s="1"/>
  <c r="F69" i="22" a="1"/>
  <c r="F69" i="22" s="1"/>
  <c r="F133" i="22" s="1"/>
  <c r="E69" i="22" a="1"/>
  <c r="E69" i="22" s="1"/>
  <c r="E133" i="22" s="1"/>
  <c r="D69" i="22" a="1"/>
  <c r="D69" i="22" s="1"/>
  <c r="P68" i="22" a="1"/>
  <c r="P68" i="22" s="1"/>
  <c r="P132" i="22" s="1"/>
  <c r="O68" i="22" a="1"/>
  <c r="O68" i="22" s="1"/>
  <c r="O132" i="22" s="1"/>
  <c r="N68" i="22" a="1"/>
  <c r="N68" i="22" s="1"/>
  <c r="N132" i="22" s="1"/>
  <c r="M68" i="22" a="1"/>
  <c r="M68" i="22" s="1"/>
  <c r="M132" i="22" s="1"/>
  <c r="L68" i="22" a="1"/>
  <c r="L68" i="22" s="1"/>
  <c r="L132" i="22" s="1"/>
  <c r="K68" i="22" a="1"/>
  <c r="K68" i="22" s="1"/>
  <c r="K132" i="22" s="1"/>
  <c r="J68" i="22" a="1"/>
  <c r="J68" i="22" s="1"/>
  <c r="J132" i="22" s="1"/>
  <c r="I68" i="22" a="1"/>
  <c r="I68" i="22" s="1"/>
  <c r="I132" i="22" s="1"/>
  <c r="H68" i="22" a="1"/>
  <c r="H68" i="22" s="1"/>
  <c r="H132" i="22" s="1"/>
  <c r="G68" i="22" a="1"/>
  <c r="G68" i="22" s="1"/>
  <c r="G132" i="22" s="1"/>
  <c r="F68" i="22" a="1"/>
  <c r="F68" i="22" s="1"/>
  <c r="F132" i="22" s="1"/>
  <c r="E68" i="22" a="1"/>
  <c r="E68" i="22" s="1"/>
  <c r="E132" i="22" s="1"/>
  <c r="D68" i="22" a="1"/>
  <c r="D68" i="22" s="1"/>
  <c r="P67" i="22" a="1"/>
  <c r="P67" i="22" s="1"/>
  <c r="P131" i="22" s="1"/>
  <c r="O67" i="22" a="1"/>
  <c r="O67" i="22" s="1"/>
  <c r="O131" i="22" s="1"/>
  <c r="N67" i="22" a="1"/>
  <c r="N67" i="22" s="1"/>
  <c r="N131" i="22" s="1"/>
  <c r="M67" i="22" a="1"/>
  <c r="M67" i="22" s="1"/>
  <c r="M131" i="22" s="1"/>
  <c r="L67" i="22" a="1"/>
  <c r="L67" i="22" s="1"/>
  <c r="L131" i="22" s="1"/>
  <c r="K67" i="22" a="1"/>
  <c r="K67" i="22" s="1"/>
  <c r="K131" i="22" s="1"/>
  <c r="J67" i="22" a="1"/>
  <c r="J67" i="22" s="1"/>
  <c r="J131" i="22" s="1"/>
  <c r="I67" i="22" a="1"/>
  <c r="I67" i="22" s="1"/>
  <c r="I131" i="22" s="1"/>
  <c r="H67" i="22" a="1"/>
  <c r="H67" i="22" s="1"/>
  <c r="H131" i="22" s="1"/>
  <c r="G67" i="22" a="1"/>
  <c r="G67" i="22" s="1"/>
  <c r="G131" i="22" s="1"/>
  <c r="F67" i="22" a="1"/>
  <c r="F67" i="22" s="1"/>
  <c r="F131" i="22" s="1"/>
  <c r="E67" i="22" a="1"/>
  <c r="E67" i="22" s="1"/>
  <c r="E131" i="22" s="1"/>
  <c r="D67" i="22" a="1"/>
  <c r="D67" i="22" s="1"/>
  <c r="P66" i="22" a="1"/>
  <c r="P66" i="22" s="1"/>
  <c r="P130" i="22" s="1"/>
  <c r="O66" i="22" a="1"/>
  <c r="O66" i="22" s="1"/>
  <c r="O130" i="22" s="1"/>
  <c r="N66" i="22" a="1"/>
  <c r="N66" i="22" s="1"/>
  <c r="N130" i="22" s="1"/>
  <c r="M66" i="22" a="1"/>
  <c r="M66" i="22" s="1"/>
  <c r="M130" i="22" s="1"/>
  <c r="L66" i="22" a="1"/>
  <c r="L66" i="22" s="1"/>
  <c r="L130" i="22" s="1"/>
  <c r="K66" i="22" a="1"/>
  <c r="K66" i="22" s="1"/>
  <c r="K130" i="22" s="1"/>
  <c r="J66" i="22" a="1"/>
  <c r="J66" i="22" s="1"/>
  <c r="J130" i="22" s="1"/>
  <c r="I66" i="22" a="1"/>
  <c r="I66" i="22" s="1"/>
  <c r="I130" i="22" s="1"/>
  <c r="H66" i="22" a="1"/>
  <c r="H66" i="22" s="1"/>
  <c r="H130" i="22" s="1"/>
  <c r="G66" i="22" a="1"/>
  <c r="G66" i="22" s="1"/>
  <c r="G130" i="22" s="1"/>
  <c r="F66" i="22" a="1"/>
  <c r="F66" i="22" s="1"/>
  <c r="F130" i="22" s="1"/>
  <c r="E66" i="22" a="1"/>
  <c r="E66" i="22" s="1"/>
  <c r="E130" i="22" s="1"/>
  <c r="D66" i="22" a="1"/>
  <c r="D66" i="22" s="1"/>
  <c r="P65" i="22" a="1"/>
  <c r="P65" i="22" s="1"/>
  <c r="P129" i="22" s="1"/>
  <c r="O65" i="22" a="1"/>
  <c r="O65" i="22" s="1"/>
  <c r="O129" i="22" s="1"/>
  <c r="N65" i="22" a="1"/>
  <c r="N65" i="22" s="1"/>
  <c r="N129" i="22" s="1"/>
  <c r="M65" i="22" a="1"/>
  <c r="M65" i="22" s="1"/>
  <c r="M129" i="22" s="1"/>
  <c r="L65" i="22" a="1"/>
  <c r="L65" i="22" s="1"/>
  <c r="L129" i="22" s="1"/>
  <c r="K65" i="22" a="1"/>
  <c r="K65" i="22" s="1"/>
  <c r="K129" i="22" s="1"/>
  <c r="J65" i="22" a="1"/>
  <c r="J65" i="22" s="1"/>
  <c r="J129" i="22" s="1"/>
  <c r="I65" i="22" a="1"/>
  <c r="I65" i="22" s="1"/>
  <c r="I129" i="22" s="1"/>
  <c r="H65" i="22" a="1"/>
  <c r="H65" i="22" s="1"/>
  <c r="H129" i="22" s="1"/>
  <c r="G65" i="22" a="1"/>
  <c r="G65" i="22" s="1"/>
  <c r="G129" i="22" s="1"/>
  <c r="F65" i="22" a="1"/>
  <c r="F65" i="22" s="1"/>
  <c r="F129" i="22" s="1"/>
  <c r="E65" i="22" a="1"/>
  <c r="E65" i="22" s="1"/>
  <c r="E129" i="22" s="1"/>
  <c r="D65" i="22" a="1"/>
  <c r="D65" i="22" s="1"/>
  <c r="P64" i="22" a="1"/>
  <c r="P64" i="22" s="1"/>
  <c r="P128" i="22" s="1"/>
  <c r="O64" i="22" a="1"/>
  <c r="O64" i="22" s="1"/>
  <c r="O128" i="22" s="1"/>
  <c r="N64" i="22" a="1"/>
  <c r="N64" i="22" s="1"/>
  <c r="N128" i="22" s="1"/>
  <c r="M64" i="22" a="1"/>
  <c r="M64" i="22" s="1"/>
  <c r="M128" i="22" s="1"/>
  <c r="L64" i="22" a="1"/>
  <c r="L64" i="22" s="1"/>
  <c r="L128" i="22" s="1"/>
  <c r="K64" i="22" a="1"/>
  <c r="K64" i="22" s="1"/>
  <c r="K128" i="22" s="1"/>
  <c r="J64" i="22" a="1"/>
  <c r="J64" i="22" s="1"/>
  <c r="J128" i="22" s="1"/>
  <c r="I64" i="22" a="1"/>
  <c r="I64" i="22" s="1"/>
  <c r="I128" i="22" s="1"/>
  <c r="H64" i="22" a="1"/>
  <c r="H64" i="22" s="1"/>
  <c r="H128" i="22" s="1"/>
  <c r="G64" i="22" a="1"/>
  <c r="G64" i="22" s="1"/>
  <c r="G128" i="22" s="1"/>
  <c r="F64" i="22" a="1"/>
  <c r="F64" i="22" s="1"/>
  <c r="F128" i="22" s="1"/>
  <c r="E64" i="22" a="1"/>
  <c r="E64" i="22" s="1"/>
  <c r="E128" i="22" s="1"/>
  <c r="D64" i="22" a="1"/>
  <c r="D64" i="22" s="1"/>
  <c r="P63" i="22" a="1"/>
  <c r="P63" i="22" s="1"/>
  <c r="P127" i="22" s="1"/>
  <c r="O63" i="22" a="1"/>
  <c r="O63" i="22" s="1"/>
  <c r="O127" i="22" s="1"/>
  <c r="N63" i="22" a="1"/>
  <c r="N63" i="22" s="1"/>
  <c r="N127" i="22" s="1"/>
  <c r="M63" i="22" a="1"/>
  <c r="M63" i="22" s="1"/>
  <c r="M127" i="22" s="1"/>
  <c r="L63" i="22" a="1"/>
  <c r="L63" i="22" s="1"/>
  <c r="L127" i="22" s="1"/>
  <c r="K63" i="22" a="1"/>
  <c r="K63" i="22" s="1"/>
  <c r="K127" i="22" s="1"/>
  <c r="J63" i="22" a="1"/>
  <c r="J63" i="22" s="1"/>
  <c r="J127" i="22" s="1"/>
  <c r="I63" i="22" a="1"/>
  <c r="I63" i="22" s="1"/>
  <c r="I127" i="22" s="1"/>
  <c r="H63" i="22" a="1"/>
  <c r="H63" i="22" s="1"/>
  <c r="H127" i="22" s="1"/>
  <c r="G63" i="22" a="1"/>
  <c r="G63" i="22" s="1"/>
  <c r="G127" i="22" s="1"/>
  <c r="F63" i="22" a="1"/>
  <c r="F63" i="22" s="1"/>
  <c r="F127" i="22" s="1"/>
  <c r="E63" i="22" a="1"/>
  <c r="E63" i="22" s="1"/>
  <c r="E127" i="22" s="1"/>
  <c r="D63" i="22" a="1"/>
  <c r="D63" i="22" s="1"/>
  <c r="P62" i="22" a="1"/>
  <c r="P62" i="22" s="1"/>
  <c r="P126" i="22" s="1"/>
  <c r="O62" i="22" a="1"/>
  <c r="O62" i="22" s="1"/>
  <c r="O126" i="22" s="1"/>
  <c r="N62" i="22" a="1"/>
  <c r="N62" i="22" s="1"/>
  <c r="N126" i="22" s="1"/>
  <c r="M62" i="22" a="1"/>
  <c r="M62" i="22" s="1"/>
  <c r="M126" i="22" s="1"/>
  <c r="L62" i="22" a="1"/>
  <c r="L62" i="22" s="1"/>
  <c r="L126" i="22" s="1"/>
  <c r="K62" i="22" a="1"/>
  <c r="K62" i="22" s="1"/>
  <c r="K126" i="22" s="1"/>
  <c r="J62" i="22" a="1"/>
  <c r="J62" i="22" s="1"/>
  <c r="J126" i="22" s="1"/>
  <c r="I62" i="22" a="1"/>
  <c r="I62" i="22" s="1"/>
  <c r="I126" i="22" s="1"/>
  <c r="H62" i="22" a="1"/>
  <c r="H62" i="22" s="1"/>
  <c r="H126" i="22" s="1"/>
  <c r="G62" i="22" a="1"/>
  <c r="G62" i="22" s="1"/>
  <c r="G126" i="22" s="1"/>
  <c r="F62" i="22" a="1"/>
  <c r="F62" i="22" s="1"/>
  <c r="F126" i="22" s="1"/>
  <c r="E62" i="22" a="1"/>
  <c r="E62" i="22" s="1"/>
  <c r="E126" i="22" s="1"/>
  <c r="D62" i="22" a="1"/>
  <c r="D62" i="22" s="1"/>
  <c r="P61" i="22" a="1"/>
  <c r="P61" i="22" s="1"/>
  <c r="P125" i="22" s="1"/>
  <c r="O61" i="22" a="1"/>
  <c r="O61" i="22" s="1"/>
  <c r="O125" i="22" s="1"/>
  <c r="N61" i="22" a="1"/>
  <c r="N61" i="22" s="1"/>
  <c r="N125" i="22" s="1"/>
  <c r="M61" i="22" a="1"/>
  <c r="M61" i="22" s="1"/>
  <c r="M125" i="22" s="1"/>
  <c r="L61" i="22" a="1"/>
  <c r="L61" i="22" s="1"/>
  <c r="L125" i="22" s="1"/>
  <c r="K61" i="22" a="1"/>
  <c r="K61" i="22" s="1"/>
  <c r="K125" i="22" s="1"/>
  <c r="J61" i="22" a="1"/>
  <c r="J61" i="22" s="1"/>
  <c r="J125" i="22" s="1"/>
  <c r="I61" i="22" a="1"/>
  <c r="I61" i="22" s="1"/>
  <c r="I125" i="22" s="1"/>
  <c r="H61" i="22" a="1"/>
  <c r="H61" i="22" s="1"/>
  <c r="H125" i="22" s="1"/>
  <c r="G61" i="22" a="1"/>
  <c r="G61" i="22" s="1"/>
  <c r="G125" i="22" s="1"/>
  <c r="F61" i="22" a="1"/>
  <c r="F61" i="22" s="1"/>
  <c r="F125" i="22" s="1"/>
  <c r="E61" i="22" a="1"/>
  <c r="E61" i="22" s="1"/>
  <c r="E125" i="22" s="1"/>
  <c r="D61" i="22" a="1"/>
  <c r="D61" i="22" s="1"/>
  <c r="P60" i="22" a="1"/>
  <c r="P60" i="22" s="1"/>
  <c r="P124" i="22" s="1"/>
  <c r="O60" i="22" a="1"/>
  <c r="O60" i="22" s="1"/>
  <c r="O124" i="22" s="1"/>
  <c r="N60" i="22" a="1"/>
  <c r="N60" i="22" s="1"/>
  <c r="N124" i="22" s="1"/>
  <c r="M60" i="22" a="1"/>
  <c r="M60" i="22" s="1"/>
  <c r="M124" i="22" s="1"/>
  <c r="L60" i="22" a="1"/>
  <c r="L60" i="22" s="1"/>
  <c r="L124" i="22" s="1"/>
  <c r="K60" i="22" a="1"/>
  <c r="K60" i="22" s="1"/>
  <c r="K124" i="22" s="1"/>
  <c r="J60" i="22" a="1"/>
  <c r="J60" i="22" s="1"/>
  <c r="J124" i="22" s="1"/>
  <c r="I60" i="22" a="1"/>
  <c r="I60" i="22" s="1"/>
  <c r="I124" i="22" s="1"/>
  <c r="H60" i="22" a="1"/>
  <c r="H60" i="22" s="1"/>
  <c r="H124" i="22" s="1"/>
  <c r="G60" i="22" a="1"/>
  <c r="G60" i="22" s="1"/>
  <c r="G124" i="22" s="1"/>
  <c r="F60" i="22" a="1"/>
  <c r="F60" i="22" s="1"/>
  <c r="F124" i="22" s="1"/>
  <c r="E60" i="22" a="1"/>
  <c r="E60" i="22" s="1"/>
  <c r="E124" i="22" s="1"/>
  <c r="D60" i="22" a="1"/>
  <c r="D60" i="22" s="1"/>
  <c r="P59" i="22" a="1"/>
  <c r="P59" i="22" s="1"/>
  <c r="P123" i="22" s="1"/>
  <c r="O59" i="22" a="1"/>
  <c r="O59" i="22" s="1"/>
  <c r="O123" i="22" s="1"/>
  <c r="N59" i="22" a="1"/>
  <c r="N59" i="22" s="1"/>
  <c r="N123" i="22" s="1"/>
  <c r="M59" i="22" a="1"/>
  <c r="M59" i="22" s="1"/>
  <c r="M123" i="22" s="1"/>
  <c r="L59" i="22" a="1"/>
  <c r="L59" i="22" s="1"/>
  <c r="L123" i="22" s="1"/>
  <c r="K59" i="22" a="1"/>
  <c r="K59" i="22" s="1"/>
  <c r="K123" i="22" s="1"/>
  <c r="J59" i="22" a="1"/>
  <c r="J59" i="22" s="1"/>
  <c r="J123" i="22" s="1"/>
  <c r="I59" i="22" a="1"/>
  <c r="I59" i="22" s="1"/>
  <c r="I123" i="22" s="1"/>
  <c r="H59" i="22" a="1"/>
  <c r="H59" i="22" s="1"/>
  <c r="H123" i="22" s="1"/>
  <c r="G59" i="22" a="1"/>
  <c r="G59" i="22" s="1"/>
  <c r="G123" i="22" s="1"/>
  <c r="F59" i="22" a="1"/>
  <c r="F59" i="22" s="1"/>
  <c r="F123" i="22" s="1"/>
  <c r="E59" i="22" a="1"/>
  <c r="E59" i="22" s="1"/>
  <c r="E123" i="22" s="1"/>
  <c r="D59" i="22" a="1"/>
  <c r="D59" i="22" s="1"/>
  <c r="P58" i="22" a="1"/>
  <c r="P58" i="22" s="1"/>
  <c r="P122" i="22" s="1"/>
  <c r="O58" i="22" a="1"/>
  <c r="O58" i="22" s="1"/>
  <c r="O122" i="22" s="1"/>
  <c r="N58" i="22" a="1"/>
  <c r="N58" i="22" s="1"/>
  <c r="N122" i="22" s="1"/>
  <c r="M58" i="22" a="1"/>
  <c r="M58" i="22" s="1"/>
  <c r="M122" i="22" s="1"/>
  <c r="L58" i="22" a="1"/>
  <c r="L58" i="22" s="1"/>
  <c r="L122" i="22" s="1"/>
  <c r="K58" i="22" a="1"/>
  <c r="K58" i="22" s="1"/>
  <c r="K122" i="22" s="1"/>
  <c r="J58" i="22" a="1"/>
  <c r="J58" i="22" s="1"/>
  <c r="J122" i="22" s="1"/>
  <c r="I58" i="22" a="1"/>
  <c r="I58" i="22" s="1"/>
  <c r="I122" i="22" s="1"/>
  <c r="H58" i="22" a="1"/>
  <c r="H58" i="22" s="1"/>
  <c r="H122" i="22" s="1"/>
  <c r="G58" i="22" a="1"/>
  <c r="G58" i="22" s="1"/>
  <c r="G122" i="22" s="1"/>
  <c r="F58" i="22" a="1"/>
  <c r="F58" i="22" s="1"/>
  <c r="F122" i="22" s="1"/>
  <c r="E58" i="22" a="1"/>
  <c r="E58" i="22" s="1"/>
  <c r="E122" i="22" s="1"/>
  <c r="D58" i="22" a="1"/>
  <c r="D58" i="22" s="1"/>
  <c r="P57" i="22" a="1"/>
  <c r="P57" i="22" s="1"/>
  <c r="P121" i="22" s="1"/>
  <c r="O57" i="22" a="1"/>
  <c r="O57" i="22" s="1"/>
  <c r="O121" i="22" s="1"/>
  <c r="N57" i="22" a="1"/>
  <c r="N57" i="22" s="1"/>
  <c r="N121" i="22" s="1"/>
  <c r="M57" i="22" a="1"/>
  <c r="M57" i="22" s="1"/>
  <c r="M121" i="22" s="1"/>
  <c r="L57" i="22" a="1"/>
  <c r="L57" i="22" s="1"/>
  <c r="L121" i="22" s="1"/>
  <c r="K57" i="22" a="1"/>
  <c r="K57" i="22" s="1"/>
  <c r="K121" i="22" s="1"/>
  <c r="J57" i="22" a="1"/>
  <c r="J57" i="22" s="1"/>
  <c r="J121" i="22" s="1"/>
  <c r="I57" i="22" a="1"/>
  <c r="I57" i="22" s="1"/>
  <c r="I121" i="22" s="1"/>
  <c r="H57" i="22" a="1"/>
  <c r="H57" i="22" s="1"/>
  <c r="H121" i="22" s="1"/>
  <c r="G57" i="22" a="1"/>
  <c r="G57" i="22" s="1"/>
  <c r="G121" i="22" s="1"/>
  <c r="F57" i="22" a="1"/>
  <c r="F57" i="22" s="1"/>
  <c r="F121" i="22" s="1"/>
  <c r="E57" i="22" a="1"/>
  <c r="E57" i="22" s="1"/>
  <c r="E121" i="22" s="1"/>
  <c r="D57" i="22" a="1"/>
  <c r="D57" i="22" s="1"/>
  <c r="P56" i="22" a="1"/>
  <c r="P56" i="22" s="1"/>
  <c r="P120" i="22" s="1"/>
  <c r="O56" i="22" a="1"/>
  <c r="O56" i="22" s="1"/>
  <c r="O120" i="22" s="1"/>
  <c r="N56" i="22" a="1"/>
  <c r="N56" i="22" s="1"/>
  <c r="N120" i="22" s="1"/>
  <c r="M56" i="22" a="1"/>
  <c r="M56" i="22" s="1"/>
  <c r="M120" i="22" s="1"/>
  <c r="L56" i="22" a="1"/>
  <c r="L56" i="22" s="1"/>
  <c r="L120" i="22" s="1"/>
  <c r="K56" i="22" a="1"/>
  <c r="K56" i="22" s="1"/>
  <c r="K120" i="22" s="1"/>
  <c r="J56" i="22" a="1"/>
  <c r="J56" i="22" s="1"/>
  <c r="J120" i="22" s="1"/>
  <c r="I56" i="22" a="1"/>
  <c r="I56" i="22" s="1"/>
  <c r="I120" i="22" s="1"/>
  <c r="H56" i="22" a="1"/>
  <c r="H56" i="22" s="1"/>
  <c r="H120" i="22" s="1"/>
  <c r="G56" i="22" a="1"/>
  <c r="G56" i="22" s="1"/>
  <c r="G120" i="22" s="1"/>
  <c r="F56" i="22" a="1"/>
  <c r="F56" i="22" s="1"/>
  <c r="F120" i="22" s="1"/>
  <c r="E56" i="22" a="1"/>
  <c r="E56" i="22" s="1"/>
  <c r="E120" i="22" s="1"/>
  <c r="D56" i="22" a="1"/>
  <c r="D56" i="22" s="1"/>
  <c r="P55" i="22" a="1"/>
  <c r="P55" i="22" s="1"/>
  <c r="P119" i="22" s="1"/>
  <c r="O55" i="22" a="1"/>
  <c r="O55" i="22" s="1"/>
  <c r="O119" i="22" s="1"/>
  <c r="N55" i="22" a="1"/>
  <c r="N55" i="22" s="1"/>
  <c r="N119" i="22" s="1"/>
  <c r="M55" i="22" a="1"/>
  <c r="M55" i="22" s="1"/>
  <c r="M119" i="22" s="1"/>
  <c r="L55" i="22" a="1"/>
  <c r="L55" i="22" s="1"/>
  <c r="L119" i="22" s="1"/>
  <c r="K55" i="22" a="1"/>
  <c r="K55" i="22" s="1"/>
  <c r="K119" i="22" s="1"/>
  <c r="J55" i="22" a="1"/>
  <c r="J55" i="22" s="1"/>
  <c r="J119" i="22" s="1"/>
  <c r="I55" i="22" a="1"/>
  <c r="I55" i="22" s="1"/>
  <c r="I119" i="22" s="1"/>
  <c r="H55" i="22" a="1"/>
  <c r="H55" i="22" s="1"/>
  <c r="H119" i="22" s="1"/>
  <c r="G55" i="22" a="1"/>
  <c r="G55" i="22" s="1"/>
  <c r="G119" i="22" s="1"/>
  <c r="F55" i="22" a="1"/>
  <c r="F55" i="22" s="1"/>
  <c r="F119" i="22" s="1"/>
  <c r="E55" i="22" a="1"/>
  <c r="E55" i="22" s="1"/>
  <c r="E119" i="22" s="1"/>
  <c r="D55" i="22" a="1"/>
  <c r="D55" i="22" s="1"/>
  <c r="P54" i="22" a="1"/>
  <c r="P54" i="22" s="1"/>
  <c r="P118" i="22" s="1"/>
  <c r="O54" i="22" a="1"/>
  <c r="O54" i="22" s="1"/>
  <c r="O118" i="22" s="1"/>
  <c r="N54" i="22" a="1"/>
  <c r="N54" i="22" s="1"/>
  <c r="N118" i="22" s="1"/>
  <c r="M54" i="22" a="1"/>
  <c r="M54" i="22" s="1"/>
  <c r="M118" i="22" s="1"/>
  <c r="L54" i="22" a="1"/>
  <c r="L54" i="22" s="1"/>
  <c r="L118" i="22" s="1"/>
  <c r="K54" i="22" a="1"/>
  <c r="K54" i="22" s="1"/>
  <c r="K118" i="22" s="1"/>
  <c r="J54" i="22" a="1"/>
  <c r="J54" i="22" s="1"/>
  <c r="J118" i="22" s="1"/>
  <c r="I54" i="22" a="1"/>
  <c r="I54" i="22" s="1"/>
  <c r="I118" i="22" s="1"/>
  <c r="H54" i="22" a="1"/>
  <c r="H54" i="22" s="1"/>
  <c r="H118" i="22" s="1"/>
  <c r="G54" i="22" a="1"/>
  <c r="G54" i="22" s="1"/>
  <c r="G118" i="22" s="1"/>
  <c r="F54" i="22" a="1"/>
  <c r="F54" i="22" s="1"/>
  <c r="F118" i="22" s="1"/>
  <c r="E54" i="22" a="1"/>
  <c r="E54" i="22" s="1"/>
  <c r="E118" i="22" s="1"/>
  <c r="D54" i="22" a="1"/>
  <c r="D54" i="22" s="1"/>
  <c r="D52" i="22" a="1"/>
  <c r="D52" i="22" s="1"/>
  <c r="D51" i="22" a="1"/>
  <c r="D51" i="22" s="1"/>
  <c r="D50" i="22" a="1"/>
  <c r="D50" i="22" s="1"/>
  <c r="D49" i="22" a="1"/>
  <c r="D49" i="22" s="1"/>
  <c r="M46" i="22" a="1"/>
  <c r="M46" i="22" s="1"/>
  <c r="L46" i="22" a="1"/>
  <c r="L46" i="22" s="1"/>
  <c r="M117" i="22" s="1"/>
  <c r="K46" i="22" a="1"/>
  <c r="K46" i="22" s="1"/>
  <c r="J46" i="22" a="1"/>
  <c r="J46" i="22" s="1"/>
  <c r="J117" i="22" s="1"/>
  <c r="I46" i="22" a="1"/>
  <c r="I46" i="22" s="1"/>
  <c r="I117" i="22" s="1"/>
  <c r="H46" i="22" a="1"/>
  <c r="H46" i="22" s="1"/>
  <c r="H117" i="22" s="1"/>
  <c r="G46" i="22" a="1"/>
  <c r="G46" i="22" s="1"/>
  <c r="G117" i="22" s="1"/>
  <c r="F46" i="22" a="1"/>
  <c r="F46" i="22" s="1"/>
  <c r="F117" i="22" s="1"/>
  <c r="E46" i="22" a="1"/>
  <c r="E46" i="22" s="1"/>
  <c r="E117" i="22" s="1"/>
  <c r="D46" i="22" a="1"/>
  <c r="D46" i="22" s="1"/>
  <c r="M45" i="22" a="1"/>
  <c r="M45" i="22" s="1"/>
  <c r="L45" i="22" a="1"/>
  <c r="L45" i="22" s="1"/>
  <c r="M116" i="22" s="1"/>
  <c r="K45" i="22" a="1"/>
  <c r="K45" i="22" s="1"/>
  <c r="L116" i="22" s="1"/>
  <c r="J45" i="22" a="1"/>
  <c r="J45" i="22" s="1"/>
  <c r="J116" i="22" s="1"/>
  <c r="I45" i="22" a="1"/>
  <c r="I45" i="22" s="1"/>
  <c r="I116" i="22" s="1"/>
  <c r="H45" i="22" a="1"/>
  <c r="H45" i="22" s="1"/>
  <c r="H116" i="22" s="1"/>
  <c r="G45" i="22" a="1"/>
  <c r="G45" i="22" s="1"/>
  <c r="G116" i="22" s="1"/>
  <c r="F45" i="22" a="1"/>
  <c r="F45" i="22" s="1"/>
  <c r="F116" i="22" s="1"/>
  <c r="E45" i="22" a="1"/>
  <c r="E45" i="22" s="1"/>
  <c r="E116" i="22" s="1"/>
  <c r="D45" i="22" a="1"/>
  <c r="D45" i="22" s="1"/>
  <c r="M44" i="22" a="1"/>
  <c r="M44" i="22" s="1"/>
  <c r="L44" i="22" a="1"/>
  <c r="L44" i="22" s="1"/>
  <c r="M115" i="22" s="1"/>
  <c r="K44" i="22" a="1"/>
  <c r="K44" i="22" s="1"/>
  <c r="J44" i="22" a="1"/>
  <c r="J44" i="22" s="1"/>
  <c r="J115" i="22" s="1"/>
  <c r="I44" i="22" a="1"/>
  <c r="I44" i="22" s="1"/>
  <c r="I115" i="22" s="1"/>
  <c r="H44" i="22" a="1"/>
  <c r="H44" i="22" s="1"/>
  <c r="H115" i="22" s="1"/>
  <c r="G44" i="22" a="1"/>
  <c r="G44" i="22" s="1"/>
  <c r="G115" i="22" s="1"/>
  <c r="F44" i="22" a="1"/>
  <c r="F44" i="22" s="1"/>
  <c r="F115" i="22" s="1"/>
  <c r="E44" i="22" a="1"/>
  <c r="E44" i="22" s="1"/>
  <c r="E115" i="22" s="1"/>
  <c r="D44" i="22" a="1"/>
  <c r="D44" i="22" s="1"/>
  <c r="M43" i="22" a="1"/>
  <c r="M43" i="22" s="1"/>
  <c r="L43" i="22" a="1"/>
  <c r="L43" i="22" s="1"/>
  <c r="M114" i="22" s="1"/>
  <c r="K43" i="22" a="1"/>
  <c r="K43" i="22" s="1"/>
  <c r="J43" i="22" a="1"/>
  <c r="J43" i="22" s="1"/>
  <c r="J114" i="22" s="1"/>
  <c r="I43" i="22" a="1"/>
  <c r="I43" i="22" s="1"/>
  <c r="I114" i="22" s="1"/>
  <c r="H43" i="22" a="1"/>
  <c r="H43" i="22" s="1"/>
  <c r="H114" i="22" s="1"/>
  <c r="G43" i="22" a="1"/>
  <c r="G43" i="22" s="1"/>
  <c r="G114" i="22" s="1"/>
  <c r="F43" i="22" a="1"/>
  <c r="F43" i="22" s="1"/>
  <c r="F114" i="22" s="1"/>
  <c r="E43" i="22" a="1"/>
  <c r="E43" i="22" s="1"/>
  <c r="E114" i="22" s="1"/>
  <c r="D43" i="22" a="1"/>
  <c r="D43" i="22" s="1"/>
  <c r="M42" i="22" a="1"/>
  <c r="M42" i="22" s="1"/>
  <c r="L42" i="22" a="1"/>
  <c r="L42" i="22" s="1"/>
  <c r="M113" i="22" s="1"/>
  <c r="K42" i="22" a="1"/>
  <c r="K42" i="22" s="1"/>
  <c r="J42" i="22" a="1"/>
  <c r="J42" i="22" s="1"/>
  <c r="J113" i="22" s="1"/>
  <c r="I42" i="22" a="1"/>
  <c r="I42" i="22" s="1"/>
  <c r="I113" i="22" s="1"/>
  <c r="H42" i="22" a="1"/>
  <c r="H42" i="22" s="1"/>
  <c r="H113" i="22" s="1"/>
  <c r="G42" i="22" a="1"/>
  <c r="G42" i="22" s="1"/>
  <c r="G113" i="22" s="1"/>
  <c r="F42" i="22" a="1"/>
  <c r="F42" i="22" s="1"/>
  <c r="F113" i="22" s="1"/>
  <c r="E42" i="22" a="1"/>
  <c r="E42" i="22" s="1"/>
  <c r="E113" i="22" s="1"/>
  <c r="D42" i="22" a="1"/>
  <c r="D42" i="22" s="1"/>
  <c r="M41" i="22" a="1"/>
  <c r="M41" i="22" s="1"/>
  <c r="L41" i="22" a="1"/>
  <c r="L41" i="22" s="1"/>
  <c r="M112" i="22" s="1"/>
  <c r="K41" i="22" a="1"/>
  <c r="K41" i="22" s="1"/>
  <c r="J41" i="22" a="1"/>
  <c r="J41" i="22" s="1"/>
  <c r="J112" i="22" s="1"/>
  <c r="I41" i="22" a="1"/>
  <c r="I41" i="22" s="1"/>
  <c r="I112" i="22" s="1"/>
  <c r="H41" i="22" a="1"/>
  <c r="H41" i="22" s="1"/>
  <c r="H112" i="22" s="1"/>
  <c r="G41" i="22" a="1"/>
  <c r="G41" i="22" s="1"/>
  <c r="G112" i="22" s="1"/>
  <c r="F41" i="22" a="1"/>
  <c r="F41" i="22" s="1"/>
  <c r="F112" i="22" s="1"/>
  <c r="E41" i="22" a="1"/>
  <c r="E41" i="22" s="1"/>
  <c r="E112" i="22" s="1"/>
  <c r="D41" i="22" a="1"/>
  <c r="D41" i="22" s="1"/>
  <c r="M40" i="22" a="1"/>
  <c r="M40" i="22" s="1"/>
  <c r="L40" i="22" a="1"/>
  <c r="L40" i="22" s="1"/>
  <c r="M111" i="22" s="1"/>
  <c r="K40" i="22" a="1"/>
  <c r="K40" i="22" s="1"/>
  <c r="J40" i="22" a="1"/>
  <c r="J40" i="22" s="1"/>
  <c r="J111" i="22" s="1"/>
  <c r="I40" i="22" a="1"/>
  <c r="I40" i="22" s="1"/>
  <c r="I111" i="22" s="1"/>
  <c r="H40" i="22" a="1"/>
  <c r="H40" i="22" s="1"/>
  <c r="H111" i="22" s="1"/>
  <c r="G40" i="22" a="1"/>
  <c r="G40" i="22" s="1"/>
  <c r="G111" i="22" s="1"/>
  <c r="F40" i="22" a="1"/>
  <c r="F40" i="22" s="1"/>
  <c r="F111" i="22" s="1"/>
  <c r="E40" i="22" a="1"/>
  <c r="E40" i="22" s="1"/>
  <c r="E111" i="22" s="1"/>
  <c r="D40" i="22" a="1"/>
  <c r="D40" i="22" s="1"/>
  <c r="M39" i="22" a="1"/>
  <c r="M39" i="22" s="1"/>
  <c r="O110" i="22" s="1"/>
  <c r="L39" i="22" a="1"/>
  <c r="L39" i="22" s="1"/>
  <c r="M110" i="22" s="1"/>
  <c r="K39" i="22" a="1"/>
  <c r="K39" i="22" s="1"/>
  <c r="J39" i="22" a="1"/>
  <c r="J39" i="22" s="1"/>
  <c r="J110" i="22" s="1"/>
  <c r="I39" i="22" a="1"/>
  <c r="I39" i="22" s="1"/>
  <c r="I110" i="22" s="1"/>
  <c r="H39" i="22" a="1"/>
  <c r="H39" i="22" s="1"/>
  <c r="H110" i="22" s="1"/>
  <c r="G39" i="22" a="1"/>
  <c r="G39" i="22" s="1"/>
  <c r="G110" i="22" s="1"/>
  <c r="F39" i="22" a="1"/>
  <c r="F39" i="22" s="1"/>
  <c r="F110" i="22" s="1"/>
  <c r="E39" i="22" a="1"/>
  <c r="E39" i="22" s="1"/>
  <c r="E110" i="22" s="1"/>
  <c r="D39" i="22" a="1"/>
  <c r="D39" i="22" s="1"/>
  <c r="M38" i="22" a="1"/>
  <c r="M38" i="22" s="1"/>
  <c r="L38" i="22" a="1"/>
  <c r="L38" i="22" s="1"/>
  <c r="M109" i="22" s="1"/>
  <c r="K38" i="22" a="1"/>
  <c r="K38" i="22" s="1"/>
  <c r="L109" i="22" s="1"/>
  <c r="J38" i="22" a="1"/>
  <c r="J38" i="22" s="1"/>
  <c r="J109" i="22" s="1"/>
  <c r="I38" i="22" a="1"/>
  <c r="I38" i="22" s="1"/>
  <c r="I109" i="22" s="1"/>
  <c r="H38" i="22" a="1"/>
  <c r="H38" i="22" s="1"/>
  <c r="H109" i="22" s="1"/>
  <c r="G38" i="22" a="1"/>
  <c r="G38" i="22" s="1"/>
  <c r="G109" i="22" s="1"/>
  <c r="F38" i="22" a="1"/>
  <c r="F38" i="22" s="1"/>
  <c r="F109" i="22" s="1"/>
  <c r="E38" i="22" a="1"/>
  <c r="E38" i="22" s="1"/>
  <c r="E109" i="22" s="1"/>
  <c r="D38" i="22" a="1"/>
  <c r="D38" i="22" s="1"/>
  <c r="M37" i="22" a="1"/>
  <c r="M37" i="22" s="1"/>
  <c r="L37" i="22" a="1"/>
  <c r="L37" i="22" s="1"/>
  <c r="M108" i="22" s="1"/>
  <c r="K37" i="22" a="1"/>
  <c r="K37" i="22" s="1"/>
  <c r="J37" i="22" a="1"/>
  <c r="J37" i="22" s="1"/>
  <c r="J108" i="22" s="1"/>
  <c r="I37" i="22" a="1"/>
  <c r="I37" i="22" s="1"/>
  <c r="I108" i="22" s="1"/>
  <c r="H37" i="22" a="1"/>
  <c r="H37" i="22" s="1"/>
  <c r="H108" i="22" s="1"/>
  <c r="G37" i="22" a="1"/>
  <c r="G37" i="22" s="1"/>
  <c r="G108" i="22" s="1"/>
  <c r="F37" i="22" a="1"/>
  <c r="F37" i="22" s="1"/>
  <c r="F108" i="22" s="1"/>
  <c r="E37" i="22" a="1"/>
  <c r="E37" i="22" s="1"/>
  <c r="E108" i="22" s="1"/>
  <c r="D37" i="22" a="1"/>
  <c r="D37" i="22" s="1"/>
  <c r="M36" i="22" a="1"/>
  <c r="M36" i="22" s="1"/>
  <c r="L36" i="22" a="1"/>
  <c r="L36" i="22" s="1"/>
  <c r="M107" i="22" s="1"/>
  <c r="K36" i="22" a="1"/>
  <c r="K36" i="22" s="1"/>
  <c r="J36" i="22" a="1"/>
  <c r="J36" i="22" s="1"/>
  <c r="J107" i="22" s="1"/>
  <c r="I36" i="22" a="1"/>
  <c r="I36" i="22" s="1"/>
  <c r="I107" i="22" s="1"/>
  <c r="H36" i="22" a="1"/>
  <c r="H36" i="22" s="1"/>
  <c r="H107" i="22" s="1"/>
  <c r="G36" i="22" a="1"/>
  <c r="G36" i="22" s="1"/>
  <c r="G107" i="22" s="1"/>
  <c r="F36" i="22" a="1"/>
  <c r="F36" i="22" s="1"/>
  <c r="F107" i="22" s="1"/>
  <c r="E36" i="22" a="1"/>
  <c r="E36" i="22" s="1"/>
  <c r="E107" i="22" s="1"/>
  <c r="D36" i="22" a="1"/>
  <c r="D36" i="22" s="1"/>
  <c r="M35" i="22" a="1"/>
  <c r="M35" i="22" s="1"/>
  <c r="L35" i="22" a="1"/>
  <c r="L35" i="22" s="1"/>
  <c r="M106" i="22" s="1"/>
  <c r="K35" i="22" a="1"/>
  <c r="K35" i="22" s="1"/>
  <c r="J35" i="22" a="1"/>
  <c r="J35" i="22" s="1"/>
  <c r="J106" i="22" s="1"/>
  <c r="I35" i="22" a="1"/>
  <c r="I35" i="22" s="1"/>
  <c r="I106" i="22" s="1"/>
  <c r="H35" i="22" a="1"/>
  <c r="H35" i="22" s="1"/>
  <c r="H106" i="22" s="1"/>
  <c r="G35" i="22" a="1"/>
  <c r="G35" i="22" s="1"/>
  <c r="G106" i="22" s="1"/>
  <c r="F35" i="22" a="1"/>
  <c r="F35" i="22" s="1"/>
  <c r="E35" i="22" a="1"/>
  <c r="E35" i="22" s="1"/>
  <c r="E106" i="22" s="1"/>
  <c r="D35" i="22" a="1"/>
  <c r="D35" i="22" s="1"/>
  <c r="M34" i="22" a="1"/>
  <c r="M34" i="22" s="1"/>
  <c r="L34" i="22" a="1"/>
  <c r="L34" i="22" s="1"/>
  <c r="M105" i="22" s="1"/>
  <c r="K34" i="22" a="1"/>
  <c r="K34" i="22" s="1"/>
  <c r="J34" i="22" a="1"/>
  <c r="J34" i="22" s="1"/>
  <c r="J105" i="22" s="1"/>
  <c r="I34" i="22" a="1"/>
  <c r="I34" i="22" s="1"/>
  <c r="I105" i="22" s="1"/>
  <c r="H34" i="22" a="1"/>
  <c r="H34" i="22" s="1"/>
  <c r="H105" i="22" s="1"/>
  <c r="G34" i="22" a="1"/>
  <c r="G34" i="22" s="1"/>
  <c r="G105" i="22" s="1"/>
  <c r="F34" i="22" a="1"/>
  <c r="F34" i="22" s="1"/>
  <c r="E34" i="22" a="1"/>
  <c r="E34" i="22" s="1"/>
  <c r="D34" i="22" a="1"/>
  <c r="D34" i="22" s="1"/>
  <c r="M33" i="22" a="1"/>
  <c r="M33" i="22" s="1"/>
  <c r="L33" i="22" a="1"/>
  <c r="L33" i="22" s="1"/>
  <c r="M104" i="22" s="1"/>
  <c r="K33" i="22" a="1"/>
  <c r="K33" i="22" s="1"/>
  <c r="J33" i="22" a="1"/>
  <c r="J33" i="22" s="1"/>
  <c r="J104" i="22" s="1"/>
  <c r="I33" i="22" a="1"/>
  <c r="I33" i="22" s="1"/>
  <c r="I104" i="22" s="1"/>
  <c r="H33" i="22" a="1"/>
  <c r="H33" i="22" s="1"/>
  <c r="H104" i="22" s="1"/>
  <c r="G33" i="22" a="1"/>
  <c r="G33" i="22" s="1"/>
  <c r="G104" i="22" s="1"/>
  <c r="F33" i="22" a="1"/>
  <c r="F33" i="22" s="1"/>
  <c r="E33" i="22" a="1"/>
  <c r="E33" i="22" s="1"/>
  <c r="D33" i="22" a="1"/>
  <c r="D33" i="22" s="1"/>
  <c r="M32" i="22" a="1"/>
  <c r="M32" i="22" s="1"/>
  <c r="L32" i="22" a="1"/>
  <c r="L32" i="22" s="1"/>
  <c r="M103" i="22" s="1"/>
  <c r="K32" i="22" a="1"/>
  <c r="K32" i="22" s="1"/>
  <c r="J32" i="22" a="1"/>
  <c r="J32" i="22" s="1"/>
  <c r="J103" i="22" s="1"/>
  <c r="I32" i="22" a="1"/>
  <c r="I32" i="22" s="1"/>
  <c r="I103" i="22" s="1"/>
  <c r="H32" i="22" a="1"/>
  <c r="H32" i="22" s="1"/>
  <c r="H103" i="22" s="1"/>
  <c r="G32" i="22" a="1"/>
  <c r="G32" i="22" s="1"/>
  <c r="G103" i="22" s="1"/>
  <c r="F32" i="22" a="1"/>
  <c r="F32" i="22" s="1"/>
  <c r="E32" i="22" a="1"/>
  <c r="E32" i="22" s="1"/>
  <c r="D32" i="22" a="1"/>
  <c r="D32" i="22" s="1"/>
  <c r="M31" i="22" a="1"/>
  <c r="M31" i="22" s="1"/>
  <c r="L31" i="22" a="1"/>
  <c r="L31" i="22" s="1"/>
  <c r="M102" i="22" s="1"/>
  <c r="K31" i="22" a="1"/>
  <c r="K31" i="22" s="1"/>
  <c r="J31" i="22" a="1"/>
  <c r="J31" i="22" s="1"/>
  <c r="J102" i="22" s="1"/>
  <c r="I31" i="22" a="1"/>
  <c r="I31" i="22" s="1"/>
  <c r="I102" i="22" s="1"/>
  <c r="H31" i="22" a="1"/>
  <c r="H31" i="22" s="1"/>
  <c r="H102" i="22" s="1"/>
  <c r="G31" i="22" a="1"/>
  <c r="G31" i="22" s="1"/>
  <c r="G102" i="22" s="1"/>
  <c r="F31" i="22" a="1"/>
  <c r="F31" i="22" s="1"/>
  <c r="F98" i="22" s="1"/>
  <c r="E31" i="22" a="1"/>
  <c r="E31" i="22" s="1"/>
  <c r="D31" i="22" a="1"/>
  <c r="D31" i="22" s="1"/>
  <c r="M30" i="22" a="1"/>
  <c r="M30" i="22" s="1"/>
  <c r="L30" i="22" a="1"/>
  <c r="L30" i="22" s="1"/>
  <c r="M101" i="22" s="1"/>
  <c r="K30" i="22" a="1"/>
  <c r="K30" i="22" s="1"/>
  <c r="J30" i="22" a="1"/>
  <c r="J30" i="22" s="1"/>
  <c r="J101" i="22" s="1"/>
  <c r="I30" i="22" a="1"/>
  <c r="I30" i="22" s="1"/>
  <c r="I101" i="22" s="1"/>
  <c r="H30" i="22" a="1"/>
  <c r="H30" i="22" s="1"/>
  <c r="H101" i="22" s="1"/>
  <c r="G30" i="22" a="1"/>
  <c r="G30" i="22" s="1"/>
  <c r="G101" i="22" s="1"/>
  <c r="F30" i="22" a="1"/>
  <c r="F30" i="22" s="1"/>
  <c r="E30" i="22" a="1"/>
  <c r="E30" i="22" s="1"/>
  <c r="D30" i="22" a="1"/>
  <c r="D30" i="22" s="1"/>
  <c r="M29" i="22" a="1"/>
  <c r="M29" i="22" s="1"/>
  <c r="L29" i="22" a="1"/>
  <c r="L29" i="22" s="1"/>
  <c r="M100" i="22" s="1"/>
  <c r="K29" i="22" a="1"/>
  <c r="K29" i="22" s="1"/>
  <c r="J29" i="22" a="1"/>
  <c r="J29" i="22" s="1"/>
  <c r="J100" i="22" s="1"/>
  <c r="I29" i="22" a="1"/>
  <c r="I29" i="22" s="1"/>
  <c r="I100" i="22" s="1"/>
  <c r="H29" i="22" a="1"/>
  <c r="H29" i="22" s="1"/>
  <c r="H100" i="22" s="1"/>
  <c r="G29" i="22" a="1"/>
  <c r="G29" i="22" s="1"/>
  <c r="G100" i="22" s="1"/>
  <c r="F29" i="22" a="1"/>
  <c r="F29" i="22" s="1"/>
  <c r="E29" i="22" a="1"/>
  <c r="E29" i="22" s="1"/>
  <c r="D29" i="22" a="1"/>
  <c r="D29" i="22" s="1"/>
  <c r="M28" i="22" a="1"/>
  <c r="M28" i="22" s="1"/>
  <c r="L28" i="22" a="1"/>
  <c r="L28" i="22" s="1"/>
  <c r="M99" i="22" s="1"/>
  <c r="K28" i="22" a="1"/>
  <c r="K28" i="22" s="1"/>
  <c r="J28" i="22" a="1"/>
  <c r="J28" i="22" s="1"/>
  <c r="J99" i="22" s="1"/>
  <c r="I28" i="22" a="1"/>
  <c r="I28" i="22" s="1"/>
  <c r="I99" i="22" s="1"/>
  <c r="H28" i="22" a="1"/>
  <c r="H28" i="22" s="1"/>
  <c r="H99" i="22" s="1"/>
  <c r="G28" i="22" a="1"/>
  <c r="G28" i="22" s="1"/>
  <c r="G99" i="22" s="1"/>
  <c r="F28" i="22" a="1"/>
  <c r="F28" i="22" s="1"/>
  <c r="E28" i="22" a="1"/>
  <c r="E28" i="22" s="1"/>
  <c r="D28" i="22" a="1"/>
  <c r="D28" i="22" s="1"/>
  <c r="M27" i="22" a="1"/>
  <c r="M27" i="22" s="1"/>
  <c r="L27" i="22" a="1"/>
  <c r="L27" i="22" s="1"/>
  <c r="M98" i="22" s="1"/>
  <c r="K27" i="22" a="1"/>
  <c r="K27" i="22" s="1"/>
  <c r="J27" i="22" a="1"/>
  <c r="J27" i="22" s="1"/>
  <c r="J98" i="22" s="1"/>
  <c r="I27" i="22" a="1"/>
  <c r="I27" i="22" s="1"/>
  <c r="I98" i="22" s="1"/>
  <c r="H27" i="22" a="1"/>
  <c r="H27" i="22" s="1"/>
  <c r="H98" i="22" s="1"/>
  <c r="G27" i="22" a="1"/>
  <c r="G27" i="22" s="1"/>
  <c r="G98" i="22" s="1"/>
  <c r="F27" i="22" a="1"/>
  <c r="F27" i="22" s="1"/>
  <c r="F94" i="22" s="1"/>
  <c r="E27" i="22" a="1"/>
  <c r="E27" i="22" s="1"/>
  <c r="D27" i="22" a="1"/>
  <c r="D27" i="22" s="1"/>
  <c r="M26" i="22" a="1"/>
  <c r="M26" i="22" s="1"/>
  <c r="L26" i="22" a="1"/>
  <c r="L26" i="22" s="1"/>
  <c r="M97" i="22" s="1"/>
  <c r="K26" i="22" a="1"/>
  <c r="K26" i="22" s="1"/>
  <c r="J26" i="22" a="1"/>
  <c r="J26" i="22" s="1"/>
  <c r="J97" i="22" s="1"/>
  <c r="I26" i="22" a="1"/>
  <c r="I26" i="22" s="1"/>
  <c r="I97" i="22" s="1"/>
  <c r="H26" i="22" a="1"/>
  <c r="H26" i="22" s="1"/>
  <c r="H97" i="22" s="1"/>
  <c r="G26" i="22" a="1"/>
  <c r="G26" i="22" s="1"/>
  <c r="G97" i="22" s="1"/>
  <c r="F26" i="22" a="1"/>
  <c r="F26" i="22" s="1"/>
  <c r="E26" i="22" a="1"/>
  <c r="E26" i="22" s="1"/>
  <c r="D26" i="22" a="1"/>
  <c r="D26" i="22" s="1"/>
  <c r="M25" i="22" a="1"/>
  <c r="M25" i="22" s="1"/>
  <c r="L25" i="22" a="1"/>
  <c r="L25" i="22" s="1"/>
  <c r="M96" i="22" s="1"/>
  <c r="K25" i="22" a="1"/>
  <c r="K25" i="22" s="1"/>
  <c r="J25" i="22" a="1"/>
  <c r="J25" i="22" s="1"/>
  <c r="J96" i="22" s="1"/>
  <c r="I25" i="22" a="1"/>
  <c r="I25" i="22" s="1"/>
  <c r="I96" i="22" s="1"/>
  <c r="H25" i="22" a="1"/>
  <c r="H25" i="22" s="1"/>
  <c r="H96" i="22" s="1"/>
  <c r="G25" i="22" a="1"/>
  <c r="G25" i="22" s="1"/>
  <c r="G96" i="22" s="1"/>
  <c r="F25" i="22" a="1"/>
  <c r="F25" i="22" s="1"/>
  <c r="E25" i="22" a="1"/>
  <c r="E25" i="22" s="1"/>
  <c r="D25" i="22" a="1"/>
  <c r="D25" i="22" s="1"/>
  <c r="M24" i="22" a="1"/>
  <c r="M24" i="22" s="1"/>
  <c r="L24" i="22" a="1"/>
  <c r="L24" i="22" s="1"/>
  <c r="M95" i="22" s="1"/>
  <c r="K24" i="22" a="1"/>
  <c r="K24" i="22" s="1"/>
  <c r="J24" i="22" a="1"/>
  <c r="J24" i="22" s="1"/>
  <c r="J95" i="22" s="1"/>
  <c r="I24" i="22" a="1"/>
  <c r="I24" i="22" s="1"/>
  <c r="I95" i="22" s="1"/>
  <c r="H24" i="22" a="1"/>
  <c r="H24" i="22" s="1"/>
  <c r="H95" i="22" s="1"/>
  <c r="G24" i="22" a="1"/>
  <c r="G24" i="22" s="1"/>
  <c r="G95" i="22" s="1"/>
  <c r="F24" i="22" a="1"/>
  <c r="F24" i="22" s="1"/>
  <c r="E24" i="22" a="1"/>
  <c r="E24" i="22" s="1"/>
  <c r="D24" i="22" a="1"/>
  <c r="D24" i="22" s="1"/>
  <c r="M23" i="22" a="1"/>
  <c r="M23" i="22" s="1"/>
  <c r="L23" i="22" a="1"/>
  <c r="L23" i="22" s="1"/>
  <c r="M94" i="22" s="1"/>
  <c r="K23" i="22" a="1"/>
  <c r="K23" i="22" s="1"/>
  <c r="J23" i="22" a="1"/>
  <c r="J23" i="22" s="1"/>
  <c r="J94" i="22" s="1"/>
  <c r="I23" i="22" a="1"/>
  <c r="I23" i="22" s="1"/>
  <c r="I94" i="22" s="1"/>
  <c r="H23" i="22" a="1"/>
  <c r="H23" i="22" s="1"/>
  <c r="H94" i="22" s="1"/>
  <c r="G23" i="22" a="1"/>
  <c r="G23" i="22" s="1"/>
  <c r="G94" i="22" s="1"/>
  <c r="F23" i="22" a="1"/>
  <c r="F23" i="22" s="1"/>
  <c r="F90" i="22" s="1"/>
  <c r="E23" i="22" a="1"/>
  <c r="E23" i="22" s="1"/>
  <c r="D23" i="22" a="1"/>
  <c r="D23" i="22" s="1"/>
  <c r="M22" i="22" a="1"/>
  <c r="M22" i="22" s="1"/>
  <c r="L22" i="22" a="1"/>
  <c r="L22" i="22" s="1"/>
  <c r="K22" i="22" a="1"/>
  <c r="K22" i="22" s="1"/>
  <c r="J22" i="22" a="1"/>
  <c r="J22" i="22" s="1"/>
  <c r="I22" i="22" a="1"/>
  <c r="I22" i="22" s="1"/>
  <c r="H22" i="22" a="1"/>
  <c r="H22" i="22" s="1"/>
  <c r="G22" i="22" a="1"/>
  <c r="G22" i="22" s="1"/>
  <c r="F22" i="22" a="1"/>
  <c r="F22" i="22" s="1"/>
  <c r="E22" i="22" a="1"/>
  <c r="E22" i="22" s="1"/>
  <c r="D22" i="22" a="1"/>
  <c r="D22" i="22" s="1"/>
  <c r="M21" i="22" a="1"/>
  <c r="M21" i="22" s="1"/>
  <c r="L21" i="22" a="1"/>
  <c r="L21" i="22" s="1"/>
  <c r="K21" i="22" a="1"/>
  <c r="K21" i="22" s="1"/>
  <c r="J21" i="22" a="1"/>
  <c r="J21" i="22" s="1"/>
  <c r="I21" i="22" a="1"/>
  <c r="I21" i="22" s="1"/>
  <c r="H21" i="22" a="1"/>
  <c r="H21" i="22" s="1"/>
  <c r="G21" i="22" a="1"/>
  <c r="G21" i="22" s="1"/>
  <c r="F21" i="22" a="1"/>
  <c r="F21" i="22" s="1"/>
  <c r="E21" i="22" a="1"/>
  <c r="E21" i="22" s="1"/>
  <c r="D21" i="22" a="1"/>
  <c r="D21" i="22" s="1"/>
  <c r="M20" i="22" a="1"/>
  <c r="M20" i="22" s="1"/>
  <c r="L20" i="22" a="1"/>
  <c r="L20" i="22" s="1"/>
  <c r="K20" i="22" a="1"/>
  <c r="K20" i="22" s="1"/>
  <c r="J20" i="22" a="1"/>
  <c r="J20" i="22" s="1"/>
  <c r="I20" i="22" a="1"/>
  <c r="I20" i="22" s="1"/>
  <c r="H20" i="22" a="1"/>
  <c r="H20" i="22" s="1"/>
  <c r="G20" i="22" a="1"/>
  <c r="G20" i="22" s="1"/>
  <c r="F20" i="22" a="1"/>
  <c r="F20" i="22" s="1"/>
  <c r="E20" i="22" a="1"/>
  <c r="E20" i="22" s="1"/>
  <c r="D20" i="22" a="1"/>
  <c r="D20" i="22" s="1"/>
  <c r="M19" i="22" a="1"/>
  <c r="M19" i="22" s="1"/>
  <c r="L19" i="22" a="1"/>
  <c r="L19" i="22" s="1"/>
  <c r="K19" i="22" a="1"/>
  <c r="K19" i="22" s="1"/>
  <c r="J19" i="22" a="1"/>
  <c r="J19" i="22" s="1"/>
  <c r="I19" i="22" a="1"/>
  <c r="I19" i="22" s="1"/>
  <c r="H19" i="22" a="1"/>
  <c r="H19" i="22" s="1"/>
  <c r="G19" i="22" a="1"/>
  <c r="G19" i="22" s="1"/>
  <c r="F19" i="22" a="1"/>
  <c r="F19" i="22" s="1"/>
  <c r="F86" i="22" s="1"/>
  <c r="E19" i="22" a="1"/>
  <c r="E19" i="22" s="1"/>
  <c r="D19" i="22" a="1"/>
  <c r="D19" i="22" s="1"/>
  <c r="D17" i="22" a="1"/>
  <c r="D17" i="22" s="1"/>
  <c r="A17" i="22"/>
  <c r="D16" i="22" a="1"/>
  <c r="D16" i="22" s="1"/>
  <c r="A16" i="22"/>
  <c r="D15" i="22" a="1"/>
  <c r="D15" i="22" s="1"/>
  <c r="A15" i="22"/>
  <c r="D14" i="22" a="1"/>
  <c r="D14" i="22" s="1"/>
  <c r="A14" i="22"/>
  <c r="A11" i="22"/>
  <c r="A8" i="22"/>
  <c r="A7" i="22"/>
  <c r="A4" i="22"/>
  <c r="A3" i="22"/>
  <c r="F42" i="19" l="1" a="1"/>
  <c r="F61" i="19"/>
  <c r="M368" i="22"/>
  <c r="N368" i="22"/>
  <c r="L362" i="22"/>
  <c r="I368" i="22"/>
  <c r="L369" i="22"/>
  <c r="J364" i="22"/>
  <c r="N367" i="22"/>
  <c r="I87" i="22"/>
  <c r="I91" i="22"/>
  <c r="P88" i="22"/>
  <c r="O88" i="22"/>
  <c r="N88" i="22"/>
  <c r="P92" i="22"/>
  <c r="O92" i="22"/>
  <c r="N92" i="22"/>
  <c r="K95" i="22"/>
  <c r="L95" i="22"/>
  <c r="L102" i="22"/>
  <c r="K102" i="22"/>
  <c r="L104" i="22"/>
  <c r="K104" i="22"/>
  <c r="J87" i="22"/>
  <c r="J91" i="22"/>
  <c r="L101" i="22"/>
  <c r="K101" i="22"/>
  <c r="L111" i="22"/>
  <c r="K111" i="22"/>
  <c r="G90" i="22"/>
  <c r="G86" i="22"/>
  <c r="K87" i="22"/>
  <c r="L91" i="22"/>
  <c r="K91" i="22"/>
  <c r="L87" i="22"/>
  <c r="P95" i="22"/>
  <c r="O95" i="22"/>
  <c r="N95" i="22"/>
  <c r="K100" i="22"/>
  <c r="L100" i="22"/>
  <c r="P102" i="22"/>
  <c r="O102" i="22"/>
  <c r="N102" i="22"/>
  <c r="P104" i="22"/>
  <c r="O104" i="22"/>
  <c r="N104" i="22"/>
  <c r="M91" i="22"/>
  <c r="M87" i="22"/>
  <c r="P105" i="22"/>
  <c r="O105" i="22"/>
  <c r="N105" i="22"/>
  <c r="L107" i="22"/>
  <c r="K107" i="22"/>
  <c r="G89" i="22"/>
  <c r="G93" i="22"/>
  <c r="L94" i="22"/>
  <c r="K94" i="22"/>
  <c r="L98" i="22"/>
  <c r="K98" i="22"/>
  <c r="O101" i="22"/>
  <c r="N101" i="22"/>
  <c r="P101" i="22"/>
  <c r="N111" i="22"/>
  <c r="P111" i="22"/>
  <c r="O111" i="22"/>
  <c r="K113" i="22"/>
  <c r="L113" i="22"/>
  <c r="J90" i="22"/>
  <c r="J86" i="22"/>
  <c r="H93" i="22"/>
  <c r="H89" i="22"/>
  <c r="M86" i="22"/>
  <c r="M90" i="22"/>
  <c r="O90" i="22"/>
  <c r="N86" i="22"/>
  <c r="N90" i="22"/>
  <c r="P86" i="22"/>
  <c r="O86" i="22"/>
  <c r="P90" i="22"/>
  <c r="G88" i="22"/>
  <c r="G92" i="22"/>
  <c r="L89" i="22"/>
  <c r="L93" i="22"/>
  <c r="K89" i="22"/>
  <c r="K93" i="22"/>
  <c r="P114" i="22"/>
  <c r="O114" i="22"/>
  <c r="N114" i="22"/>
  <c r="N116" i="22"/>
  <c r="O116" i="22"/>
  <c r="P116" i="22"/>
  <c r="P117" i="22"/>
  <c r="N117" i="22"/>
  <c r="O117" i="22"/>
  <c r="P99" i="22"/>
  <c r="O99" i="22"/>
  <c r="N99" i="22"/>
  <c r="P108" i="22"/>
  <c r="O108" i="22"/>
  <c r="N108" i="22"/>
  <c r="I93" i="22"/>
  <c r="I89" i="22"/>
  <c r="I149" i="22" s="1"/>
  <c r="P98" i="22"/>
  <c r="O98" i="22"/>
  <c r="N98" i="22"/>
  <c r="M93" i="22"/>
  <c r="M89" i="22"/>
  <c r="N97" i="22"/>
  <c r="P97" i="22"/>
  <c r="O97" i="22"/>
  <c r="I92" i="22"/>
  <c r="I88" i="22"/>
  <c r="P93" i="22"/>
  <c r="O93" i="22"/>
  <c r="N93" i="22"/>
  <c r="P89" i="22"/>
  <c r="O89" i="22"/>
  <c r="N89" i="22"/>
  <c r="L96" i="22"/>
  <c r="K96" i="22"/>
  <c r="H90" i="22"/>
  <c r="H86" i="22"/>
  <c r="I90" i="22"/>
  <c r="I86" i="22"/>
  <c r="P91" i="22"/>
  <c r="O91" i="22"/>
  <c r="N91" i="22"/>
  <c r="P87" i="22"/>
  <c r="O87" i="22"/>
  <c r="N87" i="22"/>
  <c r="L90" i="22"/>
  <c r="K90" i="22"/>
  <c r="L86" i="22"/>
  <c r="K86" i="22"/>
  <c r="P94" i="22"/>
  <c r="O94" i="22"/>
  <c r="N94" i="22"/>
  <c r="P113" i="22"/>
  <c r="O113" i="22"/>
  <c r="N113" i="22"/>
  <c r="L97" i="22"/>
  <c r="K97" i="22"/>
  <c r="J92" i="22"/>
  <c r="J88" i="22"/>
  <c r="J148" i="22" s="1"/>
  <c r="G87" i="22"/>
  <c r="G91" i="22"/>
  <c r="L88" i="22"/>
  <c r="K88" i="22"/>
  <c r="K92" i="22"/>
  <c r="L92" i="22"/>
  <c r="P96" i="22"/>
  <c r="O96" i="22"/>
  <c r="N96" i="22"/>
  <c r="J93" i="22"/>
  <c r="J89" i="22"/>
  <c r="H88" i="22"/>
  <c r="H92" i="22"/>
  <c r="H87" i="22"/>
  <c r="H91" i="22"/>
  <c r="M88" i="22"/>
  <c r="M92" i="22"/>
  <c r="K109" i="22"/>
  <c r="H227" i="22"/>
  <c r="H223" i="22"/>
  <c r="H224" i="22"/>
  <c r="H228" i="22"/>
  <c r="L233" i="22"/>
  <c r="K233" i="22"/>
  <c r="J229" i="22"/>
  <c r="J225" i="22"/>
  <c r="J224" i="22"/>
  <c r="J228" i="22"/>
  <c r="L225" i="22"/>
  <c r="K225" i="22"/>
  <c r="K229" i="22"/>
  <c r="L229" i="22"/>
  <c r="P231" i="22"/>
  <c r="O231" i="22"/>
  <c r="N231" i="22"/>
  <c r="P234" i="22"/>
  <c r="O234" i="22"/>
  <c r="N234" i="22"/>
  <c r="L105" i="22"/>
  <c r="K105" i="22"/>
  <c r="P109" i="22"/>
  <c r="O109" i="22"/>
  <c r="N109" i="22"/>
  <c r="L112" i="22"/>
  <c r="K112" i="22"/>
  <c r="L115" i="22"/>
  <c r="K115" i="22"/>
  <c r="J227" i="22"/>
  <c r="J223" i="22"/>
  <c r="M225" i="22"/>
  <c r="M229" i="22"/>
  <c r="P232" i="22"/>
  <c r="O232" i="22"/>
  <c r="N232" i="22"/>
  <c r="M228" i="22"/>
  <c r="M224" i="22"/>
  <c r="K116" i="22"/>
  <c r="K227" i="22"/>
  <c r="L223" i="22"/>
  <c r="K223" i="22"/>
  <c r="L227" i="22"/>
  <c r="P228" i="22"/>
  <c r="O228" i="22"/>
  <c r="N228" i="22"/>
  <c r="P224" i="22"/>
  <c r="O224" i="22"/>
  <c r="N224" i="22"/>
  <c r="P115" i="22"/>
  <c r="O115" i="22"/>
  <c r="N115" i="22"/>
  <c r="L108" i="22"/>
  <c r="K108" i="22"/>
  <c r="P112" i="22"/>
  <c r="O112" i="22"/>
  <c r="N112" i="22"/>
  <c r="P100" i="22"/>
  <c r="O100" i="22"/>
  <c r="N100" i="22"/>
  <c r="K103" i="22"/>
  <c r="L103" i="22"/>
  <c r="O107" i="22"/>
  <c r="N107" i="22"/>
  <c r="J79" i="13" s="1" a="1"/>
  <c r="J79" i="13" s="1"/>
  <c r="P107" i="22"/>
  <c r="L110" i="22"/>
  <c r="K110" i="22"/>
  <c r="G230" i="22"/>
  <c r="G226" i="22"/>
  <c r="O238" i="22"/>
  <c r="N238" i="22"/>
  <c r="P238" i="22"/>
  <c r="K244" i="22"/>
  <c r="L244" i="22"/>
  <c r="L99" i="22"/>
  <c r="K99" i="22"/>
  <c r="P103" i="22"/>
  <c r="O103" i="22"/>
  <c r="N103" i="22"/>
  <c r="K106" i="22"/>
  <c r="L106" i="22"/>
  <c r="P110" i="22"/>
  <c r="N110" i="22"/>
  <c r="H230" i="22"/>
  <c r="H226" i="22"/>
  <c r="O240" i="22"/>
  <c r="N240" i="22"/>
  <c r="P240" i="22"/>
  <c r="F228" i="22"/>
  <c r="F224" i="22"/>
  <c r="L114" i="22"/>
  <c r="K114" i="22"/>
  <c r="L117" i="22"/>
  <c r="K117" i="22"/>
  <c r="H229" i="22"/>
  <c r="H225" i="22"/>
  <c r="F106" i="22"/>
  <c r="F102" i="22"/>
  <c r="P106" i="22"/>
  <c r="O106" i="22"/>
  <c r="N106" i="22"/>
  <c r="G227" i="22"/>
  <c r="G223" i="22"/>
  <c r="L230" i="22"/>
  <c r="K230" i="22"/>
  <c r="L226" i="22"/>
  <c r="K226" i="22"/>
  <c r="I224" i="22"/>
  <c r="I228" i="22"/>
  <c r="G225" i="22"/>
  <c r="G229" i="22"/>
  <c r="F230" i="22"/>
  <c r="F226" i="22"/>
  <c r="P236" i="22"/>
  <c r="O236" i="22"/>
  <c r="N236" i="22"/>
  <c r="L232" i="22"/>
  <c r="K232" i="22"/>
  <c r="P237" i="22"/>
  <c r="O237" i="22"/>
  <c r="N237" i="22"/>
  <c r="L238" i="22"/>
  <c r="K238" i="22"/>
  <c r="M223" i="22"/>
  <c r="M227" i="22"/>
  <c r="P227" i="22"/>
  <c r="P223" i="22"/>
  <c r="O223" i="22"/>
  <c r="N223" i="22"/>
  <c r="O227" i="22"/>
  <c r="N227" i="22"/>
  <c r="L228" i="22"/>
  <c r="K228" i="22"/>
  <c r="L224" i="22"/>
  <c r="K224" i="22"/>
  <c r="I229" i="22"/>
  <c r="I225" i="22"/>
  <c r="L239" i="22"/>
  <c r="K239" i="22"/>
  <c r="L240" i="22"/>
  <c r="K240" i="22"/>
  <c r="F223" i="22"/>
  <c r="F227" i="22"/>
  <c r="I230" i="22"/>
  <c r="I226" i="22"/>
  <c r="P239" i="22"/>
  <c r="O239" i="22"/>
  <c r="N239" i="22"/>
  <c r="L241" i="22"/>
  <c r="K241" i="22"/>
  <c r="J230" i="22"/>
  <c r="J226" i="22"/>
  <c r="L242" i="22"/>
  <c r="K242" i="22"/>
  <c r="L245" i="22"/>
  <c r="K245" i="22"/>
  <c r="K246" i="22"/>
  <c r="L246" i="22"/>
  <c r="L247" i="22"/>
  <c r="K247" i="22"/>
  <c r="L249" i="22"/>
  <c r="K249" i="22"/>
  <c r="L250" i="22"/>
  <c r="K250" i="22"/>
  <c r="L252" i="22"/>
  <c r="K252" i="22"/>
  <c r="P233" i="22"/>
  <c r="O233" i="22"/>
  <c r="N233" i="22"/>
  <c r="L235" i="22"/>
  <c r="K235" i="22"/>
  <c r="L243" i="22"/>
  <c r="K243" i="22"/>
  <c r="L248" i="22"/>
  <c r="K248" i="22"/>
  <c r="L254" i="22"/>
  <c r="K254" i="22"/>
  <c r="P241" i="22"/>
  <c r="O241" i="22"/>
  <c r="N241" i="22"/>
  <c r="P225" i="22"/>
  <c r="O225" i="22"/>
  <c r="N225" i="22"/>
  <c r="P229" i="22"/>
  <c r="O229" i="22"/>
  <c r="N229" i="22"/>
  <c r="P242" i="22"/>
  <c r="O242" i="22"/>
  <c r="N242" i="22"/>
  <c r="P245" i="22"/>
  <c r="O245" i="22"/>
  <c r="N245" i="22"/>
  <c r="P248" i="22"/>
  <c r="O248" i="22"/>
  <c r="N248" i="22"/>
  <c r="P251" i="22"/>
  <c r="O251" i="22"/>
  <c r="N251" i="22"/>
  <c r="O252" i="22"/>
  <c r="N252" i="22"/>
  <c r="P252" i="22"/>
  <c r="I227" i="22"/>
  <c r="I223" i="22"/>
  <c r="G228" i="22"/>
  <c r="G224" i="22"/>
  <c r="M230" i="22"/>
  <c r="M226" i="22"/>
  <c r="N235" i="22"/>
  <c r="P235" i="22"/>
  <c r="O235" i="22"/>
  <c r="L236" i="22"/>
  <c r="K236" i="22"/>
  <c r="K237" i="22"/>
  <c r="L237" i="22"/>
  <c r="O243" i="22"/>
  <c r="N243" i="22"/>
  <c r="P243" i="22"/>
  <c r="F229" i="22"/>
  <c r="F225" i="22"/>
  <c r="O226" i="22"/>
  <c r="N226" i="22"/>
  <c r="O230" i="22"/>
  <c r="N230" i="22"/>
  <c r="P226" i="22"/>
  <c r="P230" i="22"/>
  <c r="P244" i="22"/>
  <c r="O244" i="22"/>
  <c r="N244" i="22"/>
  <c r="P247" i="22"/>
  <c r="O247" i="22"/>
  <c r="N247" i="22"/>
  <c r="K251" i="22"/>
  <c r="L251" i="22"/>
  <c r="P254" i="22"/>
  <c r="O254" i="22"/>
  <c r="N254" i="22"/>
  <c r="L231" i="22"/>
  <c r="K231" i="22"/>
  <c r="K234" i="22"/>
  <c r="L234" i="22"/>
  <c r="O246" i="22"/>
  <c r="N246" i="22"/>
  <c r="P246" i="22"/>
  <c r="P249" i="22"/>
  <c r="N249" i="22"/>
  <c r="O249" i="22"/>
  <c r="L253" i="22"/>
  <c r="K253" i="22"/>
  <c r="P250" i="22"/>
  <c r="O250" i="22"/>
  <c r="N250" i="22"/>
  <c r="O253" i="22"/>
  <c r="N253" i="22"/>
  <c r="P253" i="22"/>
  <c r="I369" i="22"/>
  <c r="J369" i="22"/>
  <c r="M366" i="22"/>
  <c r="N366" i="22"/>
  <c r="N362" i="22"/>
  <c r="L364" i="22"/>
  <c r="J366" i="22"/>
  <c r="N364" i="22"/>
  <c r="L368" i="22"/>
  <c r="J363" i="22"/>
  <c r="L363" i="22"/>
  <c r="I365" i="22"/>
  <c r="M363" i="22"/>
  <c r="L365" i="22"/>
  <c r="J367" i="22"/>
  <c r="N365" i="22"/>
  <c r="L367" i="22"/>
  <c r="J362" i="22"/>
  <c r="N369" i="22"/>
  <c r="F23" i="19" a="1"/>
  <c r="F23" i="19" s="1"/>
  <c r="E23" i="19" a="1"/>
  <c r="D23" i="19" a="1"/>
  <c r="D23" i="19" s="1"/>
  <c r="F42" i="19" l="1"/>
  <c r="E23" i="19"/>
  <c r="H23" i="19" a="1"/>
  <c r="M149" i="22"/>
  <c r="I146" i="22"/>
  <c r="G146" i="22"/>
  <c r="I148" i="22"/>
  <c r="G148" i="22"/>
  <c r="I147" i="22"/>
  <c r="K146" i="22"/>
  <c r="L146" i="22"/>
  <c r="G149" i="22"/>
  <c r="J147" i="22"/>
  <c r="O146" i="22"/>
  <c r="M147" i="22"/>
  <c r="L148" i="22"/>
  <c r="P146" i="22"/>
  <c r="L147" i="22"/>
  <c r="O149" i="22"/>
  <c r="H147" i="22"/>
  <c r="P149" i="22"/>
  <c r="O147" i="22"/>
  <c r="M148" i="22"/>
  <c r="H148" i="22"/>
  <c r="P147" i="22"/>
  <c r="M146" i="22"/>
  <c r="K148" i="22"/>
  <c r="J149" i="22"/>
  <c r="H149" i="22"/>
  <c r="G147" i="22"/>
  <c r="N146" i="22"/>
  <c r="N147" i="22"/>
  <c r="K147" i="22"/>
  <c r="K149" i="22"/>
  <c r="N148" i="22"/>
  <c r="N149" i="22"/>
  <c r="J146" i="22"/>
  <c r="O148" i="22"/>
  <c r="L149" i="22"/>
  <c r="P148" i="22"/>
  <c r="H146" i="22"/>
  <c r="H23" i="19" l="1"/>
  <c r="Q9" i="13" a="1"/>
  <c r="Q9" i="13" s="1"/>
  <c r="K9" i="13" a="1"/>
  <c r="K9" i="13" s="1"/>
  <c r="N9" i="13" a="1"/>
  <c r="N9" i="13" s="1"/>
  <c r="H13" i="13" l="1"/>
  <c r="L13" i="13" s="1"/>
  <c r="H12" i="13"/>
  <c r="L12" i="13" s="1"/>
  <c r="H11" i="13"/>
  <c r="R11" i="13" s="1"/>
  <c r="D305" i="19" a="1"/>
  <c r="D305" i="19" s="1"/>
  <c r="F35" i="7"/>
  <c r="G35" i="7"/>
  <c r="K35" i="7"/>
  <c r="K34" i="7"/>
  <c r="G34" i="7"/>
  <c r="F34" i="7"/>
  <c r="E367" i="19" a="1"/>
  <c r="E367" i="19" s="1"/>
  <c r="D367" i="19" a="1"/>
  <c r="D367" i="19" s="1"/>
  <c r="D119" i="19" a="1"/>
  <c r="D119" i="19" s="1"/>
  <c r="D168" i="20" a="1"/>
  <c r="D168" i="20" s="1"/>
  <c r="E168" i="20" a="1"/>
  <c r="E168" i="20" s="1"/>
  <c r="F168" i="20" a="1"/>
  <c r="F168" i="20" s="1"/>
  <c r="G168" i="20" a="1"/>
  <c r="G168" i="20" s="1"/>
  <c r="H168" i="20" a="1"/>
  <c r="H168" i="20" s="1"/>
  <c r="I168" i="20" a="1"/>
  <c r="I168" i="20" s="1"/>
  <c r="D169" i="20" a="1"/>
  <c r="D169" i="20" s="1"/>
  <c r="E169" i="20" a="1"/>
  <c r="E169" i="20" s="1"/>
  <c r="F169" i="20" a="1"/>
  <c r="F169" i="20" s="1"/>
  <c r="G169" i="20" a="1"/>
  <c r="G169" i="20" s="1"/>
  <c r="H169" i="20" a="1"/>
  <c r="H169" i="20" s="1"/>
  <c r="I169" i="20" a="1"/>
  <c r="I169" i="20" s="1"/>
  <c r="D170" i="20" a="1"/>
  <c r="D170" i="20" s="1"/>
  <c r="E170" i="20" a="1"/>
  <c r="E170" i="20" s="1"/>
  <c r="F170" i="20" a="1"/>
  <c r="F170" i="20" s="1"/>
  <c r="G170" i="20" a="1"/>
  <c r="G170" i="20" s="1"/>
  <c r="H170" i="20" a="1"/>
  <c r="H170" i="20" s="1"/>
  <c r="I170" i="20" a="1"/>
  <c r="I170" i="20" s="1"/>
  <c r="I159" i="20" a="1"/>
  <c r="I159" i="20" s="1"/>
  <c r="H159" i="20" a="1"/>
  <c r="H159" i="20" s="1"/>
  <c r="G159" i="20" a="1"/>
  <c r="G159" i="20" s="1"/>
  <c r="F159" i="20" a="1"/>
  <c r="F159" i="20" s="1"/>
  <c r="O159" i="20" s="1"/>
  <c r="I158" i="20" a="1"/>
  <c r="I158" i="20" s="1"/>
  <c r="H158" i="20" a="1"/>
  <c r="H158" i="20" s="1"/>
  <c r="G158" i="20" a="1"/>
  <c r="G158" i="20" s="1"/>
  <c r="F158" i="20" a="1"/>
  <c r="F158" i="20" s="1"/>
  <c r="L158" i="20" s="1"/>
  <c r="I157" i="20" a="1"/>
  <c r="I157" i="20" s="1"/>
  <c r="H157" i="20" a="1"/>
  <c r="H157" i="20" s="1"/>
  <c r="G157" i="20" a="1"/>
  <c r="G157" i="20" s="1"/>
  <c r="F157" i="20" a="1"/>
  <c r="F157" i="20" s="1"/>
  <c r="O157" i="20" s="1"/>
  <c r="I156" i="20" a="1"/>
  <c r="I156" i="20" s="1"/>
  <c r="H156" i="20" a="1"/>
  <c r="H156" i="20" s="1"/>
  <c r="G156" i="20" a="1"/>
  <c r="G156" i="20" s="1"/>
  <c r="F156" i="20" a="1"/>
  <c r="F156" i="20" s="1"/>
  <c r="L156" i="20" s="1"/>
  <c r="D159" i="20" a="1"/>
  <c r="D159" i="20" s="1"/>
  <c r="D158" i="20" a="1"/>
  <c r="D158" i="20" s="1"/>
  <c r="D157" i="20" a="1"/>
  <c r="D157" i="20" s="1"/>
  <c r="D156" i="20" a="1"/>
  <c r="D156" i="20" s="1"/>
  <c r="E159" i="20" a="1"/>
  <c r="E159" i="20" s="1"/>
  <c r="N159" i="20" s="1"/>
  <c r="P158" i="20" s="1"/>
  <c r="E158" i="20" a="1"/>
  <c r="E158" i="20" s="1"/>
  <c r="K158" i="20" s="1"/>
  <c r="M157" i="20" s="1"/>
  <c r="E156" i="20" a="1"/>
  <c r="E156" i="20" s="1"/>
  <c r="K156" i="20" s="1"/>
  <c r="M155" i="20" s="1"/>
  <c r="E157" i="20" a="1"/>
  <c r="E157" i="20" s="1"/>
  <c r="N157" i="20" s="1"/>
  <c r="P156" i="20" s="1"/>
  <c r="I165" i="20" a="1"/>
  <c r="I165" i="20" s="1"/>
  <c r="H165" i="20" a="1"/>
  <c r="H165" i="20" s="1"/>
  <c r="G165" i="20" a="1"/>
  <c r="G165" i="20" s="1"/>
  <c r="F165" i="20" a="1"/>
  <c r="F165" i="20" s="1"/>
  <c r="I164" i="20" a="1"/>
  <c r="I164" i="20" s="1"/>
  <c r="H164" i="20" a="1"/>
  <c r="H164" i="20" s="1"/>
  <c r="G164" i="20" a="1"/>
  <c r="G164" i="20" s="1"/>
  <c r="F164" i="20" a="1"/>
  <c r="F164" i="20" s="1"/>
  <c r="I163" i="20" a="1"/>
  <c r="I163" i="20" s="1"/>
  <c r="H163" i="20" a="1"/>
  <c r="H163" i="20" s="1"/>
  <c r="G163" i="20" a="1"/>
  <c r="G163" i="20" s="1"/>
  <c r="F163" i="20" a="1"/>
  <c r="F163" i="20" s="1"/>
  <c r="I162" i="20" a="1"/>
  <c r="I162" i="20" s="1"/>
  <c r="H162" i="20" a="1"/>
  <c r="H162" i="20" s="1"/>
  <c r="G162" i="20" a="1"/>
  <c r="G162" i="20" s="1"/>
  <c r="F162" i="20" a="1"/>
  <c r="F162" i="20" s="1"/>
  <c r="D165" i="20" a="1"/>
  <c r="D165" i="20" s="1"/>
  <c r="D164" i="20" a="1"/>
  <c r="D164" i="20" s="1"/>
  <c r="D163" i="20" a="1"/>
  <c r="D163" i="20" s="1"/>
  <c r="D162" i="20" a="1"/>
  <c r="D162" i="20" s="1"/>
  <c r="E165" i="20" a="1"/>
  <c r="E165" i="20" s="1"/>
  <c r="E164" i="20" a="1"/>
  <c r="E164" i="20" s="1"/>
  <c r="E163" i="20" a="1"/>
  <c r="E163" i="20" s="1"/>
  <c r="E162" i="20" a="1"/>
  <c r="E162" i="20" s="1"/>
  <c r="D56" i="13" l="1" a="1"/>
  <c r="D56" i="13" s="1"/>
  <c r="D51" i="13" a="1"/>
  <c r="D51" i="13" s="1"/>
  <c r="D162" i="19" s="1"/>
  <c r="F162" i="19" s="1" a="1"/>
  <c r="F162" i="19" s="1"/>
  <c r="G162" i="19" s="1" a="1"/>
  <c r="G162" i="19" s="1"/>
  <c r="R13" i="13"/>
  <c r="O13" i="13"/>
  <c r="R12" i="13"/>
  <c r="L11" i="13"/>
  <c r="O11" i="13"/>
  <c r="O12" i="13"/>
  <c r="F367" i="19" a="1"/>
  <c r="F367" i="19" l="1"/>
  <c r="J367" i="19" s="1" a="1"/>
  <c r="J367" i="19" s="1"/>
  <c r="D163" i="19"/>
  <c r="F163" i="19" s="1" a="1"/>
  <c r="F163" i="19" s="1"/>
  <c r="G163" i="19" s="1" a="1"/>
  <c r="G163" i="19" s="1"/>
  <c r="D164" i="19"/>
  <c r="F164" i="19" s="1" a="1"/>
  <c r="F164" i="19" s="1"/>
  <c r="G164" i="19" s="1" a="1"/>
  <c r="G164" i="19" s="1"/>
  <c r="D136" i="19"/>
  <c r="F136" i="19" s="1" a="1"/>
  <c r="F136" i="19" s="1"/>
  <c r="G136" i="19" s="1" a="1"/>
  <c r="G136" i="19" s="1"/>
  <c r="D139" i="19"/>
  <c r="F139" i="19" s="1" a="1"/>
  <c r="F139" i="19" s="1"/>
  <c r="D138" i="19"/>
  <c r="F138" i="19" s="1" a="1"/>
  <c r="F138" i="19" s="1"/>
  <c r="D137" i="19"/>
  <c r="F137" i="19" s="1" a="1"/>
  <c r="F137" i="19" s="1"/>
  <c r="G137" i="19" s="1" a="1"/>
  <c r="G137" i="19" s="1"/>
  <c r="I138" i="19" l="1" a="1"/>
  <c r="I138" i="19" s="1"/>
  <c r="G138" i="19" a="1"/>
  <c r="G138" i="19" s="1"/>
  <c r="G139" i="19" a="1"/>
  <c r="G139" i="19" s="1"/>
  <c r="I139" i="19" a="1"/>
  <c r="I139" i="19" s="1"/>
  <c r="E166" i="19"/>
  <c r="E448" i="19" a="1"/>
  <c r="E448" i="19" s="1"/>
  <c r="D448" i="19" a="1"/>
  <c r="D448" i="19" s="1"/>
  <c r="F448" i="19" a="1"/>
  <c r="I86" i="20" a="1"/>
  <c r="I86" i="20" s="1"/>
  <c r="H86" i="20" a="1"/>
  <c r="H86" i="20" s="1"/>
  <c r="G86" i="20" a="1"/>
  <c r="G86" i="20" s="1"/>
  <c r="F86" i="20" a="1"/>
  <c r="F86" i="20" s="1"/>
  <c r="E86" i="20" a="1"/>
  <c r="E86" i="20" s="1"/>
  <c r="D86" i="20" a="1"/>
  <c r="D86" i="20" s="1"/>
  <c r="I85" i="20" a="1"/>
  <c r="I85" i="20" s="1"/>
  <c r="H85" i="20" a="1"/>
  <c r="H85" i="20" s="1"/>
  <c r="G85" i="20" a="1"/>
  <c r="G85" i="20" s="1"/>
  <c r="F85" i="20" a="1"/>
  <c r="F85" i="20" s="1"/>
  <c r="E85" i="20" a="1"/>
  <c r="E85" i="20" s="1"/>
  <c r="D85" i="20" a="1"/>
  <c r="D85" i="20" s="1"/>
  <c r="I84" i="20" a="1"/>
  <c r="I84" i="20" s="1"/>
  <c r="H84" i="20" a="1"/>
  <c r="H84" i="20" s="1"/>
  <c r="G84" i="20" a="1"/>
  <c r="G84" i="20" s="1"/>
  <c r="F84" i="20" a="1"/>
  <c r="F84" i="20" s="1"/>
  <c r="E84" i="20" a="1"/>
  <c r="E84" i="20" s="1"/>
  <c r="D84" i="20" a="1"/>
  <c r="D84" i="20" s="1"/>
  <c r="I83" i="20" a="1"/>
  <c r="I83" i="20" s="1"/>
  <c r="H83" i="20" a="1"/>
  <c r="H83" i="20" s="1"/>
  <c r="G83" i="20" a="1"/>
  <c r="G83" i="20" s="1"/>
  <c r="F83" i="20" a="1"/>
  <c r="F83" i="20" s="1"/>
  <c r="E83" i="20" a="1"/>
  <c r="E83" i="20" s="1"/>
  <c r="D83" i="20" a="1"/>
  <c r="D83" i="20" s="1"/>
  <c r="D174" i="20" a="1"/>
  <c r="D174" i="20" s="1"/>
  <c r="E174" i="20" a="1"/>
  <c r="E174" i="20" s="1"/>
  <c r="F174" i="20" a="1"/>
  <c r="F174" i="20" s="1"/>
  <c r="K174" i="20" a="1"/>
  <c r="K174" i="20" s="1"/>
  <c r="L174" i="20" a="1"/>
  <c r="L174" i="20" s="1"/>
  <c r="M174" i="20" a="1"/>
  <c r="M174" i="20" s="1"/>
  <c r="D175" i="20" a="1"/>
  <c r="D175" i="20" s="1"/>
  <c r="E175" i="20" a="1"/>
  <c r="E175" i="20" s="1"/>
  <c r="F175" i="20" a="1"/>
  <c r="F175" i="20" s="1"/>
  <c r="K175" i="20" a="1"/>
  <c r="K175" i="20" s="1"/>
  <c r="L175" i="20" a="1"/>
  <c r="L175" i="20" s="1"/>
  <c r="M175" i="20" a="1"/>
  <c r="M175" i="20" s="1"/>
  <c r="D176" i="20" a="1"/>
  <c r="D176" i="20" s="1"/>
  <c r="E176" i="20" a="1"/>
  <c r="E176" i="20" s="1"/>
  <c r="F176" i="20" a="1"/>
  <c r="F176" i="20" s="1"/>
  <c r="K176" i="20" a="1"/>
  <c r="K176" i="20" s="1"/>
  <c r="L176" i="20" a="1"/>
  <c r="L176" i="20" s="1"/>
  <c r="M176" i="20" a="1"/>
  <c r="M176" i="20" s="1"/>
  <c r="D177" i="20" a="1"/>
  <c r="D177" i="20" s="1"/>
  <c r="E177" i="20" a="1"/>
  <c r="E177" i="20" s="1"/>
  <c r="F177" i="20" a="1"/>
  <c r="F177" i="20" s="1"/>
  <c r="K177" i="20" a="1"/>
  <c r="K177" i="20" s="1"/>
  <c r="L177" i="20" a="1"/>
  <c r="L177" i="20" s="1"/>
  <c r="M177" i="20" a="1"/>
  <c r="M177" i="20" s="1"/>
  <c r="D178" i="20" a="1"/>
  <c r="D178" i="20" s="1"/>
  <c r="E178" i="20" a="1"/>
  <c r="E178" i="20" s="1"/>
  <c r="F178" i="20" a="1"/>
  <c r="F178" i="20" s="1"/>
  <c r="K178" i="20" a="1"/>
  <c r="K178" i="20" s="1"/>
  <c r="L178" i="20" a="1"/>
  <c r="L178" i="20" s="1"/>
  <c r="M178" i="20" a="1"/>
  <c r="M178" i="20" s="1"/>
  <c r="D179" i="20" a="1"/>
  <c r="D179" i="20" s="1"/>
  <c r="E179" i="20" a="1"/>
  <c r="E179" i="20" s="1"/>
  <c r="F179" i="20" a="1"/>
  <c r="F179" i="20" s="1"/>
  <c r="K179" i="20" a="1"/>
  <c r="K179" i="20" s="1"/>
  <c r="L179" i="20" a="1"/>
  <c r="L179" i="20" s="1"/>
  <c r="M179" i="20" a="1"/>
  <c r="M179" i="20" s="1"/>
  <c r="D180" i="20" a="1"/>
  <c r="D180" i="20" s="1"/>
  <c r="E180" i="20" a="1"/>
  <c r="E180" i="20" s="1"/>
  <c r="F180" i="20" a="1"/>
  <c r="F180" i="20" s="1"/>
  <c r="K180" i="20" a="1"/>
  <c r="K180" i="20" s="1"/>
  <c r="L180" i="20" a="1"/>
  <c r="L180" i="20" s="1"/>
  <c r="M180" i="20" a="1"/>
  <c r="M180" i="20" s="1"/>
  <c r="D181" i="20" a="1"/>
  <c r="D181" i="20" s="1"/>
  <c r="E181" i="20" a="1"/>
  <c r="E181" i="20" s="1"/>
  <c r="F181" i="20" a="1"/>
  <c r="F181" i="20" s="1"/>
  <c r="K181" i="20" a="1"/>
  <c r="K181" i="20" s="1"/>
  <c r="L181" i="20" a="1"/>
  <c r="L181" i="20" s="1"/>
  <c r="M181" i="20" a="1"/>
  <c r="M181" i="20" s="1"/>
  <c r="D182" i="20" a="1"/>
  <c r="D182" i="20" s="1"/>
  <c r="E182" i="20" a="1"/>
  <c r="E182" i="20" s="1"/>
  <c r="F182" i="20" a="1"/>
  <c r="F182" i="20" s="1"/>
  <c r="K182" i="20" a="1"/>
  <c r="K182" i="20" s="1"/>
  <c r="L182" i="20" a="1"/>
  <c r="L182" i="20" s="1"/>
  <c r="M182" i="20" a="1"/>
  <c r="M182" i="20" s="1"/>
  <c r="D183" i="20" a="1"/>
  <c r="D183" i="20" s="1"/>
  <c r="E183" i="20" a="1"/>
  <c r="E183" i="20" s="1"/>
  <c r="F183" i="20" a="1"/>
  <c r="F183" i="20" s="1"/>
  <c r="K183" i="20" a="1"/>
  <c r="K183" i="20" s="1"/>
  <c r="L183" i="20" a="1"/>
  <c r="L183" i="20" s="1"/>
  <c r="M183" i="20" a="1"/>
  <c r="M183" i="20" s="1"/>
  <c r="D184" i="20" a="1"/>
  <c r="D184" i="20" s="1"/>
  <c r="E184" i="20" a="1"/>
  <c r="E184" i="20" s="1"/>
  <c r="F184" i="20" a="1"/>
  <c r="F184" i="20" s="1"/>
  <c r="K184" i="20" a="1"/>
  <c r="K184" i="20" s="1"/>
  <c r="L184" i="20" a="1"/>
  <c r="L184" i="20" s="1"/>
  <c r="M184" i="20" a="1"/>
  <c r="M184" i="20" s="1"/>
  <c r="D185" i="20" a="1"/>
  <c r="D185" i="20" s="1"/>
  <c r="E185" i="20" a="1"/>
  <c r="E185" i="20" s="1"/>
  <c r="F185" i="20" a="1"/>
  <c r="F185" i="20" s="1"/>
  <c r="K185" i="20" a="1"/>
  <c r="K185" i="20" s="1"/>
  <c r="L185" i="20" a="1"/>
  <c r="L185" i="20" s="1"/>
  <c r="M185" i="20" a="1"/>
  <c r="M185" i="20" s="1"/>
  <c r="D186" i="20" a="1"/>
  <c r="D186" i="20" s="1"/>
  <c r="E186" i="20" a="1"/>
  <c r="E186" i="20" s="1"/>
  <c r="F186" i="20" a="1"/>
  <c r="F186" i="20" s="1"/>
  <c r="K186" i="20" a="1"/>
  <c r="K186" i="20" s="1"/>
  <c r="L186" i="20" a="1"/>
  <c r="L186" i="20" s="1"/>
  <c r="M186" i="20" a="1"/>
  <c r="M186" i="20" s="1"/>
  <c r="D187" i="20" a="1"/>
  <c r="D187" i="20" s="1"/>
  <c r="E187" i="20" a="1"/>
  <c r="E187" i="20" s="1"/>
  <c r="F187" i="20" a="1"/>
  <c r="F187" i="20" s="1"/>
  <c r="K187" i="20" a="1"/>
  <c r="K187" i="20" s="1"/>
  <c r="L187" i="20" a="1"/>
  <c r="L187" i="20" s="1"/>
  <c r="M187" i="20" a="1"/>
  <c r="M187" i="20" s="1"/>
  <c r="D188" i="20" a="1"/>
  <c r="D188" i="20" s="1"/>
  <c r="E188" i="20" a="1"/>
  <c r="E188" i="20" s="1"/>
  <c r="F188" i="20" a="1"/>
  <c r="F188" i="20" s="1"/>
  <c r="K188" i="20" a="1"/>
  <c r="K188" i="20" s="1"/>
  <c r="L188" i="20" a="1"/>
  <c r="L188" i="20" s="1"/>
  <c r="M188" i="20" a="1"/>
  <c r="M188" i="20" s="1"/>
  <c r="D189" i="20" a="1"/>
  <c r="D189" i="20" s="1"/>
  <c r="E189" i="20" a="1"/>
  <c r="E189" i="20" s="1"/>
  <c r="F189" i="20" a="1"/>
  <c r="F189" i="20" s="1"/>
  <c r="K189" i="20" a="1"/>
  <c r="K189" i="20" s="1"/>
  <c r="L189" i="20" a="1"/>
  <c r="L189" i="20" s="1"/>
  <c r="M189" i="20" a="1"/>
  <c r="M189" i="20" s="1"/>
  <c r="D190" i="20" a="1"/>
  <c r="D190" i="20" s="1"/>
  <c r="E190" i="20" a="1"/>
  <c r="E190" i="20" s="1"/>
  <c r="F190" i="20" a="1"/>
  <c r="F190" i="20" s="1"/>
  <c r="K190" i="20" a="1"/>
  <c r="K190" i="20" s="1"/>
  <c r="L190" i="20" a="1"/>
  <c r="L190" i="20" s="1"/>
  <c r="M190" i="20" a="1"/>
  <c r="M190" i="20" s="1"/>
  <c r="D191" i="20" a="1"/>
  <c r="D191" i="20" s="1"/>
  <c r="E191" i="20" a="1"/>
  <c r="E191" i="20" s="1"/>
  <c r="F191" i="20" a="1"/>
  <c r="F191" i="20" s="1"/>
  <c r="K191" i="20" a="1"/>
  <c r="K191" i="20" s="1"/>
  <c r="L191" i="20" a="1"/>
  <c r="L191" i="20" s="1"/>
  <c r="M191" i="20" a="1"/>
  <c r="M191" i="20" s="1"/>
  <c r="D192" i="20" a="1"/>
  <c r="D192" i="20" s="1"/>
  <c r="E192" i="20" a="1"/>
  <c r="E192" i="20" s="1"/>
  <c r="F192" i="20" a="1"/>
  <c r="F192" i="20" s="1"/>
  <c r="K192" i="20" a="1"/>
  <c r="K192" i="20" s="1"/>
  <c r="L192" i="20" a="1"/>
  <c r="L192" i="20" s="1"/>
  <c r="M192" i="20" a="1"/>
  <c r="M192" i="20" s="1"/>
  <c r="D193" i="20" a="1"/>
  <c r="D193" i="20" s="1"/>
  <c r="E193" i="20" a="1"/>
  <c r="E193" i="20" s="1"/>
  <c r="F193" i="20" a="1"/>
  <c r="F193" i="20" s="1"/>
  <c r="K193" i="20" a="1"/>
  <c r="K193" i="20" s="1"/>
  <c r="L193" i="20" a="1"/>
  <c r="L193" i="20" s="1"/>
  <c r="M193" i="20" a="1"/>
  <c r="M193" i="20" s="1"/>
  <c r="D194" i="20" a="1"/>
  <c r="D194" i="20" s="1"/>
  <c r="E194" i="20" a="1"/>
  <c r="E194" i="20" s="1"/>
  <c r="F194" i="20" a="1"/>
  <c r="F194" i="20" s="1"/>
  <c r="K194" i="20" a="1"/>
  <c r="K194" i="20" s="1"/>
  <c r="L194" i="20" a="1"/>
  <c r="L194" i="20" s="1"/>
  <c r="M194" i="20" a="1"/>
  <c r="M194" i="20" s="1"/>
  <c r="D195" i="20" a="1"/>
  <c r="D195" i="20" s="1"/>
  <c r="E195" i="20" a="1"/>
  <c r="E195" i="20" s="1"/>
  <c r="F195" i="20" a="1"/>
  <c r="F195" i="20" s="1"/>
  <c r="K195" i="20" a="1"/>
  <c r="K195" i="20" s="1"/>
  <c r="L195" i="20" a="1"/>
  <c r="L195" i="20" s="1"/>
  <c r="M195" i="20" a="1"/>
  <c r="M195" i="20" s="1"/>
  <c r="D196" i="20" a="1"/>
  <c r="D196" i="20" s="1"/>
  <c r="E196" i="20" a="1"/>
  <c r="E196" i="20" s="1"/>
  <c r="F196" i="20" a="1"/>
  <c r="F196" i="20" s="1"/>
  <c r="K196" i="20" a="1"/>
  <c r="K196" i="20" s="1"/>
  <c r="L196" i="20" a="1"/>
  <c r="L196" i="20" s="1"/>
  <c r="M196" i="20" a="1"/>
  <c r="M196" i="20" s="1"/>
  <c r="D197" i="20" a="1"/>
  <c r="D197" i="20" s="1"/>
  <c r="E197" i="20" a="1"/>
  <c r="E197" i="20" s="1"/>
  <c r="F197" i="20" a="1"/>
  <c r="F197" i="20" s="1"/>
  <c r="K197" i="20" a="1"/>
  <c r="K197" i="20" s="1"/>
  <c r="L197" i="20" a="1"/>
  <c r="L197" i="20" s="1"/>
  <c r="M197" i="20" a="1"/>
  <c r="M197" i="20" s="1"/>
  <c r="D198" i="20" a="1"/>
  <c r="D198" i="20" s="1"/>
  <c r="E198" i="20" a="1"/>
  <c r="E198" i="20" s="1"/>
  <c r="F198" i="20" a="1"/>
  <c r="F198" i="20" s="1"/>
  <c r="K198" i="20" a="1"/>
  <c r="K198" i="20" s="1"/>
  <c r="L198" i="20" a="1"/>
  <c r="L198" i="20" s="1"/>
  <c r="M198" i="20" a="1"/>
  <c r="M198" i="20" s="1"/>
  <c r="D202" i="20" a="1"/>
  <c r="D202" i="20" s="1"/>
  <c r="E202" i="20" a="1"/>
  <c r="E202" i="20" s="1"/>
  <c r="D201" i="13" s="1"/>
  <c r="F202" i="20" a="1"/>
  <c r="F202" i="20" s="1"/>
  <c r="G202" i="20" a="1"/>
  <c r="G202" i="20" s="1"/>
  <c r="H202" i="20" a="1"/>
  <c r="H202" i="20" s="1"/>
  <c r="I202" i="20" a="1"/>
  <c r="I202" i="20" s="1"/>
  <c r="D203" i="20" a="1"/>
  <c r="D203" i="20" s="1"/>
  <c r="E203" i="20" a="1"/>
  <c r="E203" i="20" s="1"/>
  <c r="D202" i="13" s="1"/>
  <c r="F203" i="20" a="1"/>
  <c r="F203" i="20" s="1"/>
  <c r="G203" i="20" a="1"/>
  <c r="G203" i="20" s="1"/>
  <c r="H203" i="20" a="1"/>
  <c r="H203" i="20" s="1"/>
  <c r="I203" i="20" a="1"/>
  <c r="I203" i="20" s="1"/>
  <c r="D204" i="20" a="1"/>
  <c r="D204" i="20" s="1"/>
  <c r="E204" i="20" a="1"/>
  <c r="E204" i="20" s="1"/>
  <c r="D194" i="13" s="1"/>
  <c r="F204" i="20" a="1"/>
  <c r="F204" i="20" s="1"/>
  <c r="G204" i="20" a="1"/>
  <c r="G204" i="20" s="1"/>
  <c r="H204" i="20" a="1"/>
  <c r="H204" i="20" s="1"/>
  <c r="I204" i="20" a="1"/>
  <c r="I204" i="20" s="1"/>
  <c r="D205" i="20" a="1"/>
  <c r="D205" i="20" s="1"/>
  <c r="E205" i="20" a="1"/>
  <c r="E205" i="20" s="1"/>
  <c r="D195" i="13" s="1"/>
  <c r="F205" i="20" a="1"/>
  <c r="F205" i="20" s="1"/>
  <c r="G205" i="20" a="1"/>
  <c r="G205" i="20" s="1"/>
  <c r="H205" i="20" a="1"/>
  <c r="H205" i="20" s="1"/>
  <c r="I205" i="20" a="1"/>
  <c r="I205" i="20" s="1"/>
  <c r="D206" i="20" a="1"/>
  <c r="D206" i="20" s="1"/>
  <c r="E206" i="20" a="1"/>
  <c r="E206" i="20" s="1"/>
  <c r="D203" i="13" s="1"/>
  <c r="F206" i="20" a="1"/>
  <c r="F206" i="20" s="1"/>
  <c r="G206" i="20" a="1"/>
  <c r="G206" i="20" s="1"/>
  <c r="H206" i="20" a="1"/>
  <c r="H206" i="20" s="1"/>
  <c r="I206" i="20" a="1"/>
  <c r="I206" i="20" s="1"/>
  <c r="D207" i="20" a="1"/>
  <c r="D207" i="20" s="1"/>
  <c r="E207" i="20" a="1"/>
  <c r="E207" i="20" s="1"/>
  <c r="D196" i="13" s="1"/>
  <c r="F207" i="20" a="1"/>
  <c r="F207" i="20" s="1"/>
  <c r="G207" i="20" a="1"/>
  <c r="G207" i="20" s="1"/>
  <c r="H207" i="20" a="1"/>
  <c r="H207" i="20" s="1"/>
  <c r="I207" i="20" a="1"/>
  <c r="I207" i="20" s="1"/>
  <c r="D208" i="20" a="1"/>
  <c r="D208" i="20" s="1"/>
  <c r="E208" i="20" a="1"/>
  <c r="E208" i="20" s="1"/>
  <c r="D197" i="13" s="1"/>
  <c r="F208" i="20" a="1"/>
  <c r="F208" i="20" s="1"/>
  <c r="G208" i="20" a="1"/>
  <c r="G208" i="20" s="1"/>
  <c r="H208" i="20" a="1"/>
  <c r="H208" i="20" s="1"/>
  <c r="I208" i="20" a="1"/>
  <c r="I208" i="20" s="1"/>
  <c r="D209" i="20" a="1"/>
  <c r="D209" i="20" s="1"/>
  <c r="E209" i="20" a="1"/>
  <c r="E209" i="20" s="1"/>
  <c r="D198" i="13" s="1"/>
  <c r="F209" i="20" a="1"/>
  <c r="F209" i="20" s="1"/>
  <c r="G209" i="20" a="1"/>
  <c r="G209" i="20" s="1"/>
  <c r="H209" i="20" a="1"/>
  <c r="H209" i="20" s="1"/>
  <c r="I209" i="20" a="1"/>
  <c r="I209" i="20" s="1"/>
  <c r="D213" i="20" a="1"/>
  <c r="D213" i="20" s="1"/>
  <c r="E213" i="20" a="1"/>
  <c r="E213" i="20" s="1"/>
  <c r="F213" i="20" a="1"/>
  <c r="F213" i="20" s="1"/>
  <c r="G213" i="20" a="1"/>
  <c r="G213" i="20" s="1"/>
  <c r="H213" i="20" a="1"/>
  <c r="H213" i="20" s="1"/>
  <c r="I213" i="20" a="1"/>
  <c r="I213" i="20" s="1"/>
  <c r="D214" i="20" a="1"/>
  <c r="D214" i="20" s="1"/>
  <c r="E214" i="20" a="1"/>
  <c r="E214" i="20" s="1"/>
  <c r="F214" i="20" a="1"/>
  <c r="F214" i="20" s="1"/>
  <c r="G214" i="20" a="1"/>
  <c r="G214" i="20" s="1"/>
  <c r="H214" i="20" a="1"/>
  <c r="H214" i="20" s="1"/>
  <c r="I214" i="20" a="1"/>
  <c r="I214" i="20" s="1"/>
  <c r="D215" i="20" a="1"/>
  <c r="D215" i="20" s="1"/>
  <c r="E215" i="20" a="1"/>
  <c r="E215" i="20" s="1"/>
  <c r="F215" i="20" a="1"/>
  <c r="F215" i="20" s="1"/>
  <c r="G215" i="20" a="1"/>
  <c r="G215" i="20" s="1"/>
  <c r="H215" i="20" a="1"/>
  <c r="H215" i="20" s="1"/>
  <c r="I215" i="20" a="1"/>
  <c r="I215" i="20" s="1"/>
  <c r="D216" i="20" a="1"/>
  <c r="D216" i="20" s="1"/>
  <c r="E216" i="20" a="1"/>
  <c r="E216" i="20" s="1"/>
  <c r="F216" i="20" a="1"/>
  <c r="F216" i="20" s="1"/>
  <c r="G216" i="20" a="1"/>
  <c r="G216" i="20" s="1"/>
  <c r="H216" i="20" a="1"/>
  <c r="H216" i="20" s="1"/>
  <c r="I216" i="20" a="1"/>
  <c r="I216" i="20" s="1"/>
  <c r="D220" i="20" a="1"/>
  <c r="D220" i="20" s="1"/>
  <c r="E220" i="20" a="1"/>
  <c r="E220" i="20" s="1"/>
  <c r="F220" i="20" a="1"/>
  <c r="F220" i="20" s="1"/>
  <c r="G220" i="20" a="1"/>
  <c r="G220" i="20" s="1"/>
  <c r="H220" i="20" a="1"/>
  <c r="H220" i="20" s="1"/>
  <c r="I220" i="20" a="1"/>
  <c r="I220" i="20" s="1"/>
  <c r="D221" i="20" a="1"/>
  <c r="D221" i="20" s="1"/>
  <c r="E221" i="20" a="1"/>
  <c r="E221" i="20" s="1"/>
  <c r="F221" i="20" a="1"/>
  <c r="F221" i="20" s="1"/>
  <c r="G221" i="20" a="1"/>
  <c r="G221" i="20" s="1"/>
  <c r="H221" i="20" a="1"/>
  <c r="H221" i="20" s="1"/>
  <c r="I221" i="20" a="1"/>
  <c r="I221" i="20" s="1"/>
  <c r="D222" i="20" a="1"/>
  <c r="D222" i="20" s="1"/>
  <c r="E222" i="20" a="1"/>
  <c r="E222" i="20" s="1"/>
  <c r="F222" i="20" a="1"/>
  <c r="F222" i="20" s="1"/>
  <c r="G222" i="20" a="1"/>
  <c r="G222" i="20" s="1"/>
  <c r="H222" i="20" a="1"/>
  <c r="H222" i="20" s="1"/>
  <c r="I222" i="20" a="1"/>
  <c r="I222" i="20" s="1"/>
  <c r="D223" i="20" a="1"/>
  <c r="D223" i="20" s="1"/>
  <c r="E223" i="20" a="1"/>
  <c r="E223" i="20" s="1"/>
  <c r="F223" i="20" a="1"/>
  <c r="F223" i="20" s="1"/>
  <c r="G223" i="20" a="1"/>
  <c r="G223" i="20" s="1"/>
  <c r="H223" i="20" a="1"/>
  <c r="H223" i="20" s="1"/>
  <c r="I223" i="20" a="1"/>
  <c r="I223" i="20" s="1"/>
  <c r="D224" i="20" a="1"/>
  <c r="D224" i="20" s="1"/>
  <c r="E224" i="20" a="1"/>
  <c r="E224" i="20" s="1"/>
  <c r="F224" i="20" a="1"/>
  <c r="F224" i="20" s="1"/>
  <c r="G224" i="20" a="1"/>
  <c r="G224" i="20" s="1"/>
  <c r="H224" i="20" a="1"/>
  <c r="H224" i="20" s="1"/>
  <c r="I224" i="20" a="1"/>
  <c r="I224" i="20" s="1"/>
  <c r="D225" i="20" a="1"/>
  <c r="D225" i="20" s="1"/>
  <c r="E225" i="20" a="1"/>
  <c r="E225" i="20" s="1"/>
  <c r="F225" i="20" a="1"/>
  <c r="F225" i="20" s="1"/>
  <c r="G225" i="20" a="1"/>
  <c r="G225" i="20" s="1"/>
  <c r="H225" i="20" a="1"/>
  <c r="H225" i="20" s="1"/>
  <c r="I225" i="20" a="1"/>
  <c r="I225" i="20" s="1"/>
  <c r="D226" i="20" a="1"/>
  <c r="D226" i="20" s="1"/>
  <c r="E226" i="20" a="1"/>
  <c r="E226" i="20" s="1"/>
  <c r="F226" i="20" a="1"/>
  <c r="F226" i="20" s="1"/>
  <c r="G226" i="20" a="1"/>
  <c r="G226" i="20" s="1"/>
  <c r="H226" i="20" a="1"/>
  <c r="H226" i="20" s="1"/>
  <c r="I226" i="20" a="1"/>
  <c r="I226" i="20" s="1"/>
  <c r="D227" i="20" a="1"/>
  <c r="D227" i="20" s="1"/>
  <c r="E227" i="20" a="1"/>
  <c r="E227" i="20" s="1"/>
  <c r="F227" i="20" a="1"/>
  <c r="F227" i="20" s="1"/>
  <c r="G227" i="20" a="1"/>
  <c r="G227" i="20" s="1"/>
  <c r="H227" i="20" a="1"/>
  <c r="H227" i="20" s="1"/>
  <c r="I227" i="20" a="1"/>
  <c r="I227" i="20" s="1"/>
  <c r="D228" i="20" a="1"/>
  <c r="D228" i="20" s="1"/>
  <c r="E228" i="20" a="1"/>
  <c r="E228" i="20" s="1"/>
  <c r="F228" i="20" a="1"/>
  <c r="F228" i="20" s="1"/>
  <c r="G228" i="20" a="1"/>
  <c r="G228" i="20" s="1"/>
  <c r="H228" i="20" a="1"/>
  <c r="H228" i="20" s="1"/>
  <c r="I228" i="20" a="1"/>
  <c r="I228" i="20" s="1"/>
  <c r="D229" i="20" a="1"/>
  <c r="D229" i="20" s="1"/>
  <c r="E229" i="20" a="1"/>
  <c r="E229" i="20" s="1"/>
  <c r="F229" i="20" a="1"/>
  <c r="F229" i="20" s="1"/>
  <c r="G229" i="20" a="1"/>
  <c r="G229" i="20" s="1"/>
  <c r="H229" i="20" a="1"/>
  <c r="H229" i="20" s="1"/>
  <c r="I229" i="20" a="1"/>
  <c r="I229" i="20" s="1"/>
  <c r="D230" i="20" a="1"/>
  <c r="D230" i="20" s="1"/>
  <c r="E230" i="20" a="1"/>
  <c r="E230" i="20" s="1"/>
  <c r="F230" i="20" a="1"/>
  <c r="F230" i="20" s="1"/>
  <c r="G230" i="20" a="1"/>
  <c r="G230" i="20" s="1"/>
  <c r="H230" i="20" a="1"/>
  <c r="H230" i="20" s="1"/>
  <c r="I230" i="20" a="1"/>
  <c r="I230" i="20" s="1"/>
  <c r="D231" i="20" a="1"/>
  <c r="D231" i="20" s="1"/>
  <c r="E231" i="20" a="1"/>
  <c r="E231" i="20" s="1"/>
  <c r="F231" i="20" a="1"/>
  <c r="F231" i="20" s="1"/>
  <c r="G231" i="20" a="1"/>
  <c r="G231" i="20" s="1"/>
  <c r="H231" i="20" a="1"/>
  <c r="H231" i="20" s="1"/>
  <c r="I231" i="20" a="1"/>
  <c r="I231" i="20" s="1"/>
  <c r="D235" i="20" a="1"/>
  <c r="D235" i="20" s="1"/>
  <c r="E235" i="20" a="1"/>
  <c r="E235" i="20" s="1"/>
  <c r="F235" i="20" a="1"/>
  <c r="F235" i="20" s="1"/>
  <c r="G235" i="20" a="1"/>
  <c r="G235" i="20" s="1"/>
  <c r="H235" i="20" a="1"/>
  <c r="H235" i="20" s="1"/>
  <c r="I235" i="20" a="1"/>
  <c r="I235" i="20" s="1"/>
  <c r="D236" i="20" a="1"/>
  <c r="D236" i="20" s="1"/>
  <c r="E236" i="20" a="1"/>
  <c r="E236" i="20" s="1"/>
  <c r="F236" i="20" a="1"/>
  <c r="F236" i="20" s="1"/>
  <c r="G236" i="20" a="1"/>
  <c r="G236" i="20" s="1"/>
  <c r="H236" i="20" a="1"/>
  <c r="H236" i="20" s="1"/>
  <c r="I236" i="20" a="1"/>
  <c r="I236" i="20" s="1"/>
  <c r="D237" i="20" a="1"/>
  <c r="D237" i="20" s="1"/>
  <c r="E237" i="20" a="1"/>
  <c r="E237" i="20" s="1"/>
  <c r="F237" i="20" a="1"/>
  <c r="F237" i="20" s="1"/>
  <c r="G237" i="20" a="1"/>
  <c r="G237" i="20" s="1"/>
  <c r="H237" i="20" a="1"/>
  <c r="H237" i="20" s="1"/>
  <c r="I237" i="20" a="1"/>
  <c r="I237" i="20" s="1"/>
  <c r="D155" i="20" a="1"/>
  <c r="D155" i="20" s="1"/>
  <c r="E155" i="20" a="1"/>
  <c r="E155" i="20" s="1"/>
  <c r="N155" i="20" s="1"/>
  <c r="P154" i="20" s="1"/>
  <c r="F155" i="20" a="1"/>
  <c r="F155" i="20" s="1"/>
  <c r="O155" i="20" s="1"/>
  <c r="G155" i="20" a="1"/>
  <c r="G155" i="20" s="1"/>
  <c r="H155" i="20" a="1"/>
  <c r="H155" i="20" s="1"/>
  <c r="I155" i="20" a="1"/>
  <c r="I155" i="20" s="1"/>
  <c r="D154" i="20" a="1"/>
  <c r="D154" i="20" s="1"/>
  <c r="E154" i="20" a="1"/>
  <c r="E154" i="20" s="1"/>
  <c r="K154" i="20" s="1"/>
  <c r="M153" i="20" s="1"/>
  <c r="F154" i="20" a="1"/>
  <c r="F154" i="20" s="1"/>
  <c r="L154" i="20" s="1"/>
  <c r="G154" i="20" a="1"/>
  <c r="G154" i="20" s="1"/>
  <c r="H154" i="20" a="1"/>
  <c r="H154" i="20" s="1"/>
  <c r="I154" i="20" a="1"/>
  <c r="I154" i="20" s="1"/>
  <c r="D153" i="20" a="1"/>
  <c r="D153" i="20" s="1"/>
  <c r="E153" i="20" a="1"/>
  <c r="E153" i="20" s="1"/>
  <c r="N153" i="20" s="1"/>
  <c r="P152" i="20" s="1"/>
  <c r="F153" i="20" a="1"/>
  <c r="F153" i="20" s="1"/>
  <c r="O153" i="20" s="1"/>
  <c r="G153" i="20" a="1"/>
  <c r="G153" i="20" s="1"/>
  <c r="H153" i="20" a="1"/>
  <c r="H153" i="20" s="1"/>
  <c r="I153" i="20" a="1"/>
  <c r="I153" i="20" s="1"/>
  <c r="D152" i="20" a="1"/>
  <c r="D152" i="20" s="1"/>
  <c r="E152" i="20" a="1"/>
  <c r="E152" i="20" s="1"/>
  <c r="K152" i="20" s="1"/>
  <c r="M151" i="20" s="1"/>
  <c r="F152" i="20" a="1"/>
  <c r="F152" i="20" s="1"/>
  <c r="L152" i="20" s="1"/>
  <c r="G152" i="20" a="1"/>
  <c r="G152" i="20" s="1"/>
  <c r="H152" i="20" a="1"/>
  <c r="H152" i="20" s="1"/>
  <c r="I152" i="20" a="1"/>
  <c r="I152" i="20" s="1"/>
  <c r="D151" i="20" a="1"/>
  <c r="D151" i="20" s="1"/>
  <c r="E151" i="20" a="1"/>
  <c r="E151" i="20" s="1"/>
  <c r="N151" i="20" s="1"/>
  <c r="F151" i="20" a="1"/>
  <c r="F151" i="20" s="1"/>
  <c r="O151" i="20" s="1"/>
  <c r="G151" i="20" a="1"/>
  <c r="G151" i="20" s="1"/>
  <c r="H151" i="20" a="1"/>
  <c r="H151" i="20" s="1"/>
  <c r="I151" i="20" a="1"/>
  <c r="I151" i="20" s="1"/>
  <c r="D150" i="20" a="1"/>
  <c r="D150" i="20" s="1"/>
  <c r="E150" i="20" a="1"/>
  <c r="E150" i="20" s="1"/>
  <c r="N150" i="20" s="1"/>
  <c r="F150" i="20" a="1"/>
  <c r="F150" i="20" s="1"/>
  <c r="O150" i="20" s="1"/>
  <c r="G150" i="20" a="1"/>
  <c r="G150" i="20" s="1"/>
  <c r="H150" i="20" a="1"/>
  <c r="H150" i="20" s="1"/>
  <c r="I150" i="20" a="1"/>
  <c r="I150" i="20" s="1"/>
  <c r="D149" i="20" a="1"/>
  <c r="D149" i="20" s="1"/>
  <c r="E149" i="20" a="1"/>
  <c r="E149" i="20" s="1"/>
  <c r="N149" i="20" s="1"/>
  <c r="F149" i="20" a="1"/>
  <c r="F149" i="20" s="1"/>
  <c r="O149" i="20" s="1"/>
  <c r="G149" i="20" a="1"/>
  <c r="G149" i="20" s="1"/>
  <c r="H149" i="20" a="1"/>
  <c r="H149" i="20" s="1"/>
  <c r="I149" i="20" a="1"/>
  <c r="I149" i="20" s="1"/>
  <c r="D148" i="20" a="1"/>
  <c r="D148" i="20" s="1"/>
  <c r="E148" i="20" a="1"/>
  <c r="E148" i="20" s="1"/>
  <c r="N148" i="20" s="1"/>
  <c r="F148" i="20" a="1"/>
  <c r="F148" i="20" s="1"/>
  <c r="O148" i="20" s="1"/>
  <c r="G148" i="20" a="1"/>
  <c r="G148" i="20" s="1"/>
  <c r="H148" i="20" a="1"/>
  <c r="H148" i="20" s="1"/>
  <c r="I148" i="20" a="1"/>
  <c r="I148" i="20" s="1"/>
  <c r="D147" i="20" a="1"/>
  <c r="D147" i="20" s="1"/>
  <c r="E147" i="20" a="1"/>
  <c r="E147" i="20" s="1"/>
  <c r="N147" i="20" s="1"/>
  <c r="F147" i="20" a="1"/>
  <c r="F147" i="20" s="1"/>
  <c r="O147" i="20" s="1"/>
  <c r="G147" i="20" a="1"/>
  <c r="G147" i="20" s="1"/>
  <c r="H147" i="20" a="1"/>
  <c r="H147" i="20" s="1"/>
  <c r="I147" i="20" a="1"/>
  <c r="I147" i="20" s="1"/>
  <c r="D146" i="20" a="1"/>
  <c r="D146" i="20" s="1"/>
  <c r="E146" i="20" a="1"/>
  <c r="E146" i="20" s="1"/>
  <c r="N146" i="20" s="1"/>
  <c r="F146" i="20" a="1"/>
  <c r="F146" i="20" s="1"/>
  <c r="O146" i="20" s="1"/>
  <c r="G146" i="20" a="1"/>
  <c r="G146" i="20" s="1"/>
  <c r="H146" i="20" a="1"/>
  <c r="H146" i="20" s="1"/>
  <c r="I146" i="20" a="1"/>
  <c r="I146" i="20" s="1"/>
  <c r="D145" i="20" a="1"/>
  <c r="D145" i="20" s="1"/>
  <c r="E145" i="20" a="1"/>
  <c r="E145" i="20" s="1"/>
  <c r="N145" i="20" s="1"/>
  <c r="P144" i="20" s="1"/>
  <c r="F145" i="20" a="1"/>
  <c r="F145" i="20" s="1"/>
  <c r="O145" i="20" s="1"/>
  <c r="G145" i="20" a="1"/>
  <c r="G145" i="20" s="1"/>
  <c r="H145" i="20" a="1"/>
  <c r="H145" i="20" s="1"/>
  <c r="I145" i="20" a="1"/>
  <c r="I145" i="20" s="1"/>
  <c r="D144" i="20" a="1"/>
  <c r="D144" i="20" s="1"/>
  <c r="E144" i="20" a="1"/>
  <c r="E144" i="20" s="1"/>
  <c r="K144" i="20" s="1"/>
  <c r="F144" i="20" a="1"/>
  <c r="F144" i="20" s="1"/>
  <c r="L144" i="20" s="1"/>
  <c r="G144" i="20" a="1"/>
  <c r="G144" i="20" s="1"/>
  <c r="H144" i="20" a="1"/>
  <c r="H144" i="20" s="1"/>
  <c r="I144" i="20" a="1"/>
  <c r="I144" i="20" s="1"/>
  <c r="D143" i="20" a="1"/>
  <c r="D143" i="20" s="1"/>
  <c r="E143" i="20" a="1"/>
  <c r="E143" i="20" s="1"/>
  <c r="K143" i="20" s="1"/>
  <c r="F143" i="20" a="1"/>
  <c r="F143" i="20" s="1"/>
  <c r="L143" i="20" s="1"/>
  <c r="G143" i="20" a="1"/>
  <c r="G143" i="20" s="1"/>
  <c r="H143" i="20" a="1"/>
  <c r="H143" i="20" s="1"/>
  <c r="I143" i="20" a="1"/>
  <c r="I143" i="20" s="1"/>
  <c r="D142" i="20" a="1"/>
  <c r="D142" i="20" s="1"/>
  <c r="E142" i="20" a="1"/>
  <c r="E142" i="20" s="1"/>
  <c r="K142" i="20" s="1"/>
  <c r="F142" i="20" a="1"/>
  <c r="F142" i="20" s="1"/>
  <c r="L142" i="20" s="1"/>
  <c r="G142" i="20" a="1"/>
  <c r="G142" i="20" s="1"/>
  <c r="H142" i="20" a="1"/>
  <c r="H142" i="20" s="1"/>
  <c r="I142" i="20" a="1"/>
  <c r="I142" i="20" s="1"/>
  <c r="D141" i="20" a="1"/>
  <c r="D141" i="20" s="1"/>
  <c r="E141" i="20" a="1"/>
  <c r="E141" i="20" s="1"/>
  <c r="K141" i="20" s="1"/>
  <c r="F141" i="20" a="1"/>
  <c r="F141" i="20" s="1"/>
  <c r="L141" i="20" s="1"/>
  <c r="G141" i="20" a="1"/>
  <c r="G141" i="20" s="1"/>
  <c r="H141" i="20" a="1"/>
  <c r="H141" i="20" s="1"/>
  <c r="I141" i="20" a="1"/>
  <c r="I141" i="20" s="1"/>
  <c r="D140" i="20" a="1"/>
  <c r="D140" i="20" s="1"/>
  <c r="E140" i="20" a="1"/>
  <c r="E140" i="20" s="1"/>
  <c r="K140" i="20" s="1"/>
  <c r="F140" i="20" a="1"/>
  <c r="F140" i="20" s="1"/>
  <c r="L140" i="20" s="1"/>
  <c r="G140" i="20" a="1"/>
  <c r="G140" i="20" s="1"/>
  <c r="H140" i="20" a="1"/>
  <c r="H140" i="20" s="1"/>
  <c r="I140" i="20" a="1"/>
  <c r="I140" i="20" s="1"/>
  <c r="D139" i="20" a="1"/>
  <c r="D139" i="20" s="1"/>
  <c r="E139" i="20" a="1"/>
  <c r="E139" i="20" s="1"/>
  <c r="K139" i="20" s="1"/>
  <c r="M138" i="20" s="1"/>
  <c r="F139" i="20" a="1"/>
  <c r="F139" i="20" s="1"/>
  <c r="L139" i="20" s="1"/>
  <c r="G139" i="20" a="1"/>
  <c r="G139" i="20" s="1"/>
  <c r="H139" i="20" a="1"/>
  <c r="H139" i="20" s="1"/>
  <c r="I139" i="20" a="1"/>
  <c r="I139" i="20" s="1"/>
  <c r="D138" i="20" a="1"/>
  <c r="D138" i="20" s="1"/>
  <c r="E138" i="20" a="1"/>
  <c r="E138" i="20" s="1"/>
  <c r="N138" i="20" s="1"/>
  <c r="F138" i="20" a="1"/>
  <c r="F138" i="20" s="1"/>
  <c r="O138" i="20" s="1"/>
  <c r="G138" i="20" a="1"/>
  <c r="G138" i="20" s="1"/>
  <c r="H138" i="20" a="1"/>
  <c r="H138" i="20" s="1"/>
  <c r="I138" i="20" a="1"/>
  <c r="I138" i="20" s="1"/>
  <c r="D137" i="20" a="1"/>
  <c r="D137" i="20" s="1"/>
  <c r="E137" i="20" a="1"/>
  <c r="E137" i="20" s="1"/>
  <c r="N137" i="20" s="1"/>
  <c r="F137" i="20" a="1"/>
  <c r="F137" i="20" s="1"/>
  <c r="O137" i="20" s="1"/>
  <c r="G137" i="20" a="1"/>
  <c r="G137" i="20" s="1"/>
  <c r="H137" i="20" a="1"/>
  <c r="H137" i="20" s="1"/>
  <c r="I137" i="20" a="1"/>
  <c r="I137" i="20" s="1"/>
  <c r="D136" i="20" a="1"/>
  <c r="D136" i="20" s="1"/>
  <c r="E136" i="20" a="1"/>
  <c r="E136" i="20" s="1"/>
  <c r="N136" i="20" s="1"/>
  <c r="F136" i="20" a="1"/>
  <c r="F136" i="20" s="1"/>
  <c r="O136" i="20" s="1"/>
  <c r="G136" i="20" a="1"/>
  <c r="G136" i="20" s="1"/>
  <c r="H136" i="20" a="1"/>
  <c r="H136" i="20" s="1"/>
  <c r="I136" i="20" a="1"/>
  <c r="I136" i="20" s="1"/>
  <c r="D135" i="20" a="1"/>
  <c r="D135" i="20" s="1"/>
  <c r="E135" i="20" a="1"/>
  <c r="E135" i="20" s="1"/>
  <c r="N135" i="20" s="1"/>
  <c r="F135" i="20" a="1"/>
  <c r="F135" i="20" s="1"/>
  <c r="O135" i="20" s="1"/>
  <c r="G135" i="20" a="1"/>
  <c r="G135" i="20" s="1"/>
  <c r="H135" i="20" a="1"/>
  <c r="H135" i="20" s="1"/>
  <c r="I135" i="20" a="1"/>
  <c r="I135" i="20" s="1"/>
  <c r="D134" i="20" a="1"/>
  <c r="D134" i="20" s="1"/>
  <c r="E134" i="20" a="1"/>
  <c r="E134" i="20" s="1"/>
  <c r="N134" i="20" s="1"/>
  <c r="F134" i="20" a="1"/>
  <c r="F134" i="20" s="1"/>
  <c r="O134" i="20" s="1"/>
  <c r="G134" i="20" a="1"/>
  <c r="G134" i="20" s="1"/>
  <c r="H134" i="20" a="1"/>
  <c r="H134" i="20" s="1"/>
  <c r="I134" i="20" a="1"/>
  <c r="I134" i="20" s="1"/>
  <c r="D133" i="20" a="1"/>
  <c r="D133" i="20" s="1"/>
  <c r="E133" i="20" a="1"/>
  <c r="E133" i="20" s="1"/>
  <c r="N133" i="20" s="1"/>
  <c r="F133" i="20" a="1"/>
  <c r="F133" i="20" s="1"/>
  <c r="O133" i="20" s="1"/>
  <c r="G133" i="20" a="1"/>
  <c r="G133" i="20" s="1"/>
  <c r="H133" i="20" a="1"/>
  <c r="H133" i="20" s="1"/>
  <c r="I133" i="20" a="1"/>
  <c r="I133" i="20" s="1"/>
  <c r="D132" i="20" a="1"/>
  <c r="D132" i="20" s="1"/>
  <c r="E132" i="20" a="1"/>
  <c r="E132" i="20" s="1"/>
  <c r="N132" i="20" s="1"/>
  <c r="P131" i="20" s="1"/>
  <c r="F132" i="20" a="1"/>
  <c r="F132" i="20" s="1"/>
  <c r="O132" i="20" s="1"/>
  <c r="G132" i="20" a="1"/>
  <c r="G132" i="20" s="1"/>
  <c r="H132" i="20" a="1"/>
  <c r="H132" i="20" s="1"/>
  <c r="I132" i="20" a="1"/>
  <c r="I132" i="20" s="1"/>
  <c r="D131" i="20" a="1"/>
  <c r="D131" i="20" s="1"/>
  <c r="E131" i="20" a="1"/>
  <c r="E131" i="20" s="1"/>
  <c r="K131" i="20" s="1"/>
  <c r="F131" i="20" a="1"/>
  <c r="F131" i="20" s="1"/>
  <c r="L131" i="20" s="1"/>
  <c r="G131" i="20" a="1"/>
  <c r="G131" i="20" s="1"/>
  <c r="H131" i="20" a="1"/>
  <c r="H131" i="20" s="1"/>
  <c r="I131" i="20" a="1"/>
  <c r="I131" i="20" s="1"/>
  <c r="D130" i="20" a="1"/>
  <c r="D130" i="20" s="1"/>
  <c r="E130" i="20" a="1"/>
  <c r="E130" i="20" s="1"/>
  <c r="K130" i="20" s="1"/>
  <c r="F130" i="20" a="1"/>
  <c r="F130" i="20" s="1"/>
  <c r="L130" i="20" s="1"/>
  <c r="G130" i="20" a="1"/>
  <c r="G130" i="20" s="1"/>
  <c r="H130" i="20" a="1"/>
  <c r="H130" i="20" s="1"/>
  <c r="I130" i="20" a="1"/>
  <c r="I130" i="20" s="1"/>
  <c r="D129" i="20" a="1"/>
  <c r="D129" i="20" s="1"/>
  <c r="E129" i="20" a="1"/>
  <c r="E129" i="20" s="1"/>
  <c r="K129" i="20" s="1"/>
  <c r="F129" i="20" a="1"/>
  <c r="F129" i="20" s="1"/>
  <c r="L129" i="20" s="1"/>
  <c r="G129" i="20" a="1"/>
  <c r="G129" i="20" s="1"/>
  <c r="H129" i="20" a="1"/>
  <c r="H129" i="20" s="1"/>
  <c r="I129" i="20" a="1"/>
  <c r="I129" i="20" s="1"/>
  <c r="D128" i="20" a="1"/>
  <c r="D128" i="20" s="1"/>
  <c r="E128" i="20" a="1"/>
  <c r="E128" i="20" s="1"/>
  <c r="K128" i="20" s="1"/>
  <c r="F128" i="20" a="1"/>
  <c r="F128" i="20" s="1"/>
  <c r="L128" i="20" s="1"/>
  <c r="G128" i="20" a="1"/>
  <c r="G128" i="20" s="1"/>
  <c r="H128" i="20" a="1"/>
  <c r="H128" i="20" s="1"/>
  <c r="I128" i="20" a="1"/>
  <c r="I128" i="20" s="1"/>
  <c r="D127" i="20" a="1"/>
  <c r="D127" i="20" s="1"/>
  <c r="E127" i="20" a="1"/>
  <c r="E127" i="20" s="1"/>
  <c r="K127" i="20" s="1"/>
  <c r="F127" i="20" a="1"/>
  <c r="F127" i="20" s="1"/>
  <c r="L127" i="20" s="1"/>
  <c r="G127" i="20" a="1"/>
  <c r="G127" i="20" s="1"/>
  <c r="H127" i="20" a="1"/>
  <c r="H127" i="20" s="1"/>
  <c r="I127" i="20" a="1"/>
  <c r="I127" i="20" s="1"/>
  <c r="D126" i="20" a="1"/>
  <c r="D126" i="20" s="1"/>
  <c r="E126" i="20" a="1"/>
  <c r="E126" i="20" s="1"/>
  <c r="K126" i="20" s="1"/>
  <c r="M125" i="20" s="1"/>
  <c r="F126" i="20" a="1"/>
  <c r="F126" i="20" s="1"/>
  <c r="L126" i="20" s="1"/>
  <c r="G126" i="20" a="1"/>
  <c r="G126" i="20" s="1"/>
  <c r="H126" i="20" a="1"/>
  <c r="H126" i="20" s="1"/>
  <c r="I126" i="20" a="1"/>
  <c r="I126" i="20" s="1"/>
  <c r="D125" i="20" a="1"/>
  <c r="D125" i="20" s="1"/>
  <c r="E125" i="20" a="1"/>
  <c r="E125" i="20" s="1"/>
  <c r="N125" i="20" s="1"/>
  <c r="F125" i="20" a="1"/>
  <c r="F125" i="20" s="1"/>
  <c r="O125" i="20" s="1"/>
  <c r="G125" i="20" a="1"/>
  <c r="G125" i="20" s="1"/>
  <c r="H125" i="20" a="1"/>
  <c r="H125" i="20" s="1"/>
  <c r="I125" i="20" a="1"/>
  <c r="I125" i="20" s="1"/>
  <c r="D124" i="20" a="1"/>
  <c r="D124" i="20" s="1"/>
  <c r="E124" i="20" a="1"/>
  <c r="E124" i="20" s="1"/>
  <c r="N124" i="20" s="1"/>
  <c r="F124" i="20" a="1"/>
  <c r="F124" i="20" s="1"/>
  <c r="O124" i="20" s="1"/>
  <c r="G124" i="20" a="1"/>
  <c r="G124" i="20" s="1"/>
  <c r="H124" i="20" a="1"/>
  <c r="H124" i="20" s="1"/>
  <c r="I124" i="20" a="1"/>
  <c r="I124" i="20" s="1"/>
  <c r="D123" i="20" a="1"/>
  <c r="D123" i="20" s="1"/>
  <c r="E123" i="20" a="1"/>
  <c r="E123" i="20" s="1"/>
  <c r="N123" i="20" s="1"/>
  <c r="F123" i="20" a="1"/>
  <c r="F123" i="20" s="1"/>
  <c r="O123" i="20" s="1"/>
  <c r="G123" i="20" a="1"/>
  <c r="G123" i="20" s="1"/>
  <c r="H123" i="20" a="1"/>
  <c r="H123" i="20" s="1"/>
  <c r="I123" i="20" a="1"/>
  <c r="I123" i="20" s="1"/>
  <c r="D122" i="20" a="1"/>
  <c r="D122" i="20" s="1"/>
  <c r="E122" i="20" a="1"/>
  <c r="E122" i="20" s="1"/>
  <c r="N122" i="20" s="1"/>
  <c r="F122" i="20" a="1"/>
  <c r="F122" i="20" s="1"/>
  <c r="O122" i="20" s="1"/>
  <c r="G122" i="20" a="1"/>
  <c r="G122" i="20" s="1"/>
  <c r="H122" i="20" a="1"/>
  <c r="H122" i="20" s="1"/>
  <c r="I122" i="20" a="1"/>
  <c r="I122" i="20" s="1"/>
  <c r="D121" i="20" a="1"/>
  <c r="D121" i="20" s="1"/>
  <c r="E121" i="20" a="1"/>
  <c r="E121" i="20" s="1"/>
  <c r="N121" i="20" s="1"/>
  <c r="F121" i="20" a="1"/>
  <c r="F121" i="20" s="1"/>
  <c r="O121" i="20" s="1"/>
  <c r="G121" i="20" a="1"/>
  <c r="G121" i="20" s="1"/>
  <c r="H121" i="20" a="1"/>
  <c r="H121" i="20" s="1"/>
  <c r="I121" i="20" a="1"/>
  <c r="I121" i="20" s="1"/>
  <c r="D120" i="20" a="1"/>
  <c r="D120" i="20" s="1"/>
  <c r="E120" i="20" a="1"/>
  <c r="E120" i="20" s="1"/>
  <c r="N120" i="20" s="1"/>
  <c r="F120" i="20" a="1"/>
  <c r="F120" i="20" s="1"/>
  <c r="O120" i="20" s="1"/>
  <c r="G120" i="20" a="1"/>
  <c r="G120" i="20" s="1"/>
  <c r="H120" i="20" a="1"/>
  <c r="H120" i="20" s="1"/>
  <c r="I120" i="20" a="1"/>
  <c r="I120" i="20" s="1"/>
  <c r="D119" i="20" a="1"/>
  <c r="D119" i="20" s="1"/>
  <c r="E119" i="20" a="1"/>
  <c r="E119" i="20" s="1"/>
  <c r="N119" i="20" s="1"/>
  <c r="P118" i="20" s="1"/>
  <c r="F119" i="20" a="1"/>
  <c r="F119" i="20" s="1"/>
  <c r="O119" i="20" s="1"/>
  <c r="G119" i="20" a="1"/>
  <c r="G119" i="20" s="1"/>
  <c r="H119" i="20" a="1"/>
  <c r="H119" i="20" s="1"/>
  <c r="I119" i="20" a="1"/>
  <c r="I119" i="20" s="1"/>
  <c r="D118" i="20" a="1"/>
  <c r="D118" i="20" s="1"/>
  <c r="E118" i="20" a="1"/>
  <c r="E118" i="20" s="1"/>
  <c r="K118" i="20" s="1"/>
  <c r="F118" i="20" a="1"/>
  <c r="F118" i="20" s="1"/>
  <c r="L118" i="20" s="1"/>
  <c r="G118" i="20" a="1"/>
  <c r="G118" i="20" s="1"/>
  <c r="H118" i="20" a="1"/>
  <c r="H118" i="20" s="1"/>
  <c r="I118" i="20" a="1"/>
  <c r="I118" i="20" s="1"/>
  <c r="D117" i="20" a="1"/>
  <c r="D117" i="20" s="1"/>
  <c r="E117" i="20" a="1"/>
  <c r="E117" i="20" s="1"/>
  <c r="K117" i="20" s="1"/>
  <c r="F117" i="20" a="1"/>
  <c r="F117" i="20" s="1"/>
  <c r="L117" i="20" s="1"/>
  <c r="G117" i="20" a="1"/>
  <c r="G117" i="20" s="1"/>
  <c r="H117" i="20" a="1"/>
  <c r="H117" i="20" s="1"/>
  <c r="I117" i="20" a="1"/>
  <c r="I117" i="20" s="1"/>
  <c r="D116" i="20" a="1"/>
  <c r="D116" i="20" s="1"/>
  <c r="E116" i="20" a="1"/>
  <c r="E116" i="20" s="1"/>
  <c r="K116" i="20" s="1"/>
  <c r="F116" i="20" a="1"/>
  <c r="F116" i="20" s="1"/>
  <c r="L116" i="20" s="1"/>
  <c r="G116" i="20" a="1"/>
  <c r="G116" i="20" s="1"/>
  <c r="H116" i="20" a="1"/>
  <c r="H116" i="20" s="1"/>
  <c r="I116" i="20" a="1"/>
  <c r="I116" i="20" s="1"/>
  <c r="D115" i="20" a="1"/>
  <c r="D115" i="20" s="1"/>
  <c r="E115" i="20" a="1"/>
  <c r="E115" i="20" s="1"/>
  <c r="K115" i="20" s="1"/>
  <c r="F115" i="20" a="1"/>
  <c r="F115" i="20" s="1"/>
  <c r="L115" i="20" s="1"/>
  <c r="G115" i="20" a="1"/>
  <c r="G115" i="20" s="1"/>
  <c r="H115" i="20" a="1"/>
  <c r="H115" i="20" s="1"/>
  <c r="I115" i="20" a="1"/>
  <c r="I115" i="20" s="1"/>
  <c r="D114" i="20" a="1"/>
  <c r="D114" i="20" s="1"/>
  <c r="E114" i="20" a="1"/>
  <c r="E114" i="20" s="1"/>
  <c r="K114" i="20" s="1"/>
  <c r="F114" i="20" a="1"/>
  <c r="F114" i="20" s="1"/>
  <c r="L114" i="20" s="1"/>
  <c r="G114" i="20" a="1"/>
  <c r="G114" i="20" s="1"/>
  <c r="H114" i="20" a="1"/>
  <c r="H114" i="20" s="1"/>
  <c r="I114" i="20" a="1"/>
  <c r="I114" i="20" s="1"/>
  <c r="D113" i="20" a="1"/>
  <c r="D113" i="20" s="1"/>
  <c r="E113" i="20" a="1"/>
  <c r="E113" i="20" s="1"/>
  <c r="K113" i="20" s="1"/>
  <c r="F113" i="20" a="1"/>
  <c r="F113" i="20" s="1"/>
  <c r="L113" i="20" s="1"/>
  <c r="G113" i="20" a="1"/>
  <c r="G113" i="20" s="1"/>
  <c r="H113" i="20" a="1"/>
  <c r="H113" i="20" s="1"/>
  <c r="I113" i="20" a="1"/>
  <c r="I113" i="20" s="1"/>
  <c r="D112" i="20" a="1"/>
  <c r="D112" i="20" s="1"/>
  <c r="E112" i="20" a="1"/>
  <c r="E112" i="20" s="1"/>
  <c r="K112" i="20" s="1"/>
  <c r="F112" i="20" a="1"/>
  <c r="F112" i="20" s="1"/>
  <c r="L112" i="20" s="1"/>
  <c r="G112" i="20" a="1"/>
  <c r="G112" i="20" s="1"/>
  <c r="H112" i="20" a="1"/>
  <c r="H112" i="20" s="1"/>
  <c r="I112" i="20" a="1"/>
  <c r="I112" i="20" s="1"/>
  <c r="D111" i="20" a="1"/>
  <c r="D111" i="20" s="1"/>
  <c r="E111" i="20" a="1"/>
  <c r="E111" i="20" s="1"/>
  <c r="K111" i="20" s="1"/>
  <c r="M110" i="20" s="1"/>
  <c r="F111" i="20" a="1"/>
  <c r="F111" i="20" s="1"/>
  <c r="L111" i="20" s="1"/>
  <c r="G111" i="20" a="1"/>
  <c r="G111" i="20" s="1"/>
  <c r="H111" i="20" a="1"/>
  <c r="H111" i="20" s="1"/>
  <c r="I111" i="20" a="1"/>
  <c r="I111" i="20" s="1"/>
  <c r="D110" i="20" a="1"/>
  <c r="D110" i="20" s="1"/>
  <c r="E110" i="20" a="1"/>
  <c r="E110" i="20" s="1"/>
  <c r="N110" i="20" s="1"/>
  <c r="F110" i="20" a="1"/>
  <c r="F110" i="20" s="1"/>
  <c r="O110" i="20" s="1"/>
  <c r="G110" i="20" a="1"/>
  <c r="G110" i="20" s="1"/>
  <c r="H110" i="20" a="1"/>
  <c r="H110" i="20" s="1"/>
  <c r="I110" i="20" a="1"/>
  <c r="I110" i="20" s="1"/>
  <c r="D109" i="20" a="1"/>
  <c r="D109" i="20" s="1"/>
  <c r="E109" i="20" a="1"/>
  <c r="E109" i="20" s="1"/>
  <c r="N109" i="20" s="1"/>
  <c r="F109" i="20" a="1"/>
  <c r="F109" i="20" s="1"/>
  <c r="O109" i="20" s="1"/>
  <c r="G109" i="20" a="1"/>
  <c r="G109" i="20" s="1"/>
  <c r="H109" i="20" a="1"/>
  <c r="H109" i="20" s="1"/>
  <c r="I109" i="20" a="1"/>
  <c r="I109" i="20" s="1"/>
  <c r="D108" i="20" a="1"/>
  <c r="D108" i="20" s="1"/>
  <c r="E108" i="20" a="1"/>
  <c r="E108" i="20" s="1"/>
  <c r="N108" i="20" s="1"/>
  <c r="F108" i="20" a="1"/>
  <c r="F108" i="20" s="1"/>
  <c r="O108" i="20" s="1"/>
  <c r="G108" i="20" a="1"/>
  <c r="G108" i="20" s="1"/>
  <c r="H108" i="20" a="1"/>
  <c r="H108" i="20" s="1"/>
  <c r="I108" i="20" a="1"/>
  <c r="I108" i="20" s="1"/>
  <c r="D107" i="20" a="1"/>
  <c r="D107" i="20" s="1"/>
  <c r="E107" i="20" a="1"/>
  <c r="E107" i="20" s="1"/>
  <c r="N107" i="20" s="1"/>
  <c r="F107" i="20" a="1"/>
  <c r="F107" i="20" s="1"/>
  <c r="O107" i="20" s="1"/>
  <c r="G107" i="20" a="1"/>
  <c r="G107" i="20" s="1"/>
  <c r="H107" i="20" a="1"/>
  <c r="H107" i="20" s="1"/>
  <c r="I107" i="20" a="1"/>
  <c r="I107" i="20" s="1"/>
  <c r="D106" i="20" a="1"/>
  <c r="D106" i="20" s="1"/>
  <c r="E106" i="20" a="1"/>
  <c r="E106" i="20" s="1"/>
  <c r="N106" i="20" s="1"/>
  <c r="P105" i="20" s="1"/>
  <c r="F106" i="20" a="1"/>
  <c r="F106" i="20" s="1"/>
  <c r="O106" i="20" s="1"/>
  <c r="G106" i="20" a="1"/>
  <c r="G106" i="20" s="1"/>
  <c r="H106" i="20" a="1"/>
  <c r="H106" i="20" s="1"/>
  <c r="I106" i="20" a="1"/>
  <c r="I106" i="20" s="1"/>
  <c r="D105" i="20" a="1"/>
  <c r="D105" i="20" s="1"/>
  <c r="E105" i="20" a="1"/>
  <c r="E105" i="20" s="1"/>
  <c r="K105" i="20" s="1"/>
  <c r="F105" i="20" a="1"/>
  <c r="F105" i="20" s="1"/>
  <c r="L105" i="20" s="1"/>
  <c r="G105" i="20" a="1"/>
  <c r="G105" i="20" s="1"/>
  <c r="H105" i="20" a="1"/>
  <c r="H105" i="20" s="1"/>
  <c r="I105" i="20" a="1"/>
  <c r="I105" i="20" s="1"/>
  <c r="D104" i="20" a="1"/>
  <c r="D104" i="20" s="1"/>
  <c r="E104" i="20" a="1"/>
  <c r="E104" i="20" s="1"/>
  <c r="K104" i="20" s="1"/>
  <c r="F104" i="20" a="1"/>
  <c r="F104" i="20" s="1"/>
  <c r="L104" i="20" s="1"/>
  <c r="G104" i="20" a="1"/>
  <c r="G104" i="20" s="1"/>
  <c r="H104" i="20" a="1"/>
  <c r="H104" i="20" s="1"/>
  <c r="I104" i="20" a="1"/>
  <c r="I104" i="20" s="1"/>
  <c r="D103" i="20" a="1"/>
  <c r="D103" i="20" s="1"/>
  <c r="E103" i="20" a="1"/>
  <c r="E103" i="20" s="1"/>
  <c r="K103" i="20" s="1"/>
  <c r="F103" i="20" a="1"/>
  <c r="F103" i="20" s="1"/>
  <c r="L103" i="20" s="1"/>
  <c r="G103" i="20" a="1"/>
  <c r="G103" i="20" s="1"/>
  <c r="H103" i="20" a="1"/>
  <c r="H103" i="20" s="1"/>
  <c r="I103" i="20" a="1"/>
  <c r="I103" i="20" s="1"/>
  <c r="D102" i="20" a="1"/>
  <c r="D102" i="20" s="1"/>
  <c r="E102" i="20" a="1"/>
  <c r="E102" i="20" s="1"/>
  <c r="K102" i="20" s="1"/>
  <c r="F102" i="20" a="1"/>
  <c r="F102" i="20" s="1"/>
  <c r="L102" i="20" s="1"/>
  <c r="G102" i="20" a="1"/>
  <c r="G102" i="20" s="1"/>
  <c r="H102" i="20" a="1"/>
  <c r="H102" i="20" s="1"/>
  <c r="I102" i="20" a="1"/>
  <c r="I102" i="20" s="1"/>
  <c r="D101" i="20" a="1"/>
  <c r="D101" i="20" s="1"/>
  <c r="E101" i="20" a="1"/>
  <c r="E101" i="20" s="1"/>
  <c r="K101" i="20" s="1"/>
  <c r="F101" i="20" a="1"/>
  <c r="F101" i="20" s="1"/>
  <c r="L101" i="20" s="1"/>
  <c r="G101" i="20" a="1"/>
  <c r="G101" i="20" s="1"/>
  <c r="H101" i="20" a="1"/>
  <c r="H101" i="20" s="1"/>
  <c r="I101" i="20" a="1"/>
  <c r="I101" i="20" s="1"/>
  <c r="D100" i="20" a="1"/>
  <c r="D100" i="20" s="1"/>
  <c r="E100" i="20" a="1"/>
  <c r="E100" i="20" s="1"/>
  <c r="K100" i="20" s="1"/>
  <c r="F100" i="20" a="1"/>
  <c r="F100" i="20" s="1"/>
  <c r="L100" i="20" s="1"/>
  <c r="G100" i="20" a="1"/>
  <c r="G100" i="20" s="1"/>
  <c r="H100" i="20" a="1"/>
  <c r="H100" i="20" s="1"/>
  <c r="I100" i="20" a="1"/>
  <c r="I100" i="20" s="1"/>
  <c r="D99" i="20" a="1"/>
  <c r="D99" i="20" s="1"/>
  <c r="E99" i="20" a="1"/>
  <c r="E99" i="20" s="1"/>
  <c r="K99" i="20" s="1"/>
  <c r="M98" i="20" s="1"/>
  <c r="F99" i="20" a="1"/>
  <c r="F99" i="20" s="1"/>
  <c r="L99" i="20" s="1"/>
  <c r="G99" i="20" a="1"/>
  <c r="G99" i="20" s="1"/>
  <c r="H99" i="20" a="1"/>
  <c r="H99" i="20" s="1"/>
  <c r="I99" i="20" a="1"/>
  <c r="I99" i="20" s="1"/>
  <c r="D98" i="20" a="1"/>
  <c r="D98" i="20" s="1"/>
  <c r="E98" i="20" a="1"/>
  <c r="E98" i="20" s="1"/>
  <c r="N98" i="20" s="1"/>
  <c r="F98" i="20" a="1"/>
  <c r="F98" i="20" s="1"/>
  <c r="O98" i="20" s="1"/>
  <c r="G98" i="20" a="1"/>
  <c r="G98" i="20" s="1"/>
  <c r="H98" i="20" a="1"/>
  <c r="H98" i="20" s="1"/>
  <c r="I98" i="20" a="1"/>
  <c r="I98" i="20" s="1"/>
  <c r="D97" i="20" a="1"/>
  <c r="D97" i="20" s="1"/>
  <c r="E97" i="20" a="1"/>
  <c r="E97" i="20" s="1"/>
  <c r="N97" i="20" s="1"/>
  <c r="F97" i="20" a="1"/>
  <c r="F97" i="20" s="1"/>
  <c r="O97" i="20" s="1"/>
  <c r="G97" i="20" a="1"/>
  <c r="G97" i="20" s="1"/>
  <c r="H97" i="20" a="1"/>
  <c r="H97" i="20" s="1"/>
  <c r="I97" i="20" a="1"/>
  <c r="I97" i="20" s="1"/>
  <c r="I96" i="20" a="1"/>
  <c r="I96" i="20" s="1"/>
  <c r="H96" i="20" a="1"/>
  <c r="H96" i="20" s="1"/>
  <c r="G96" i="20" a="1"/>
  <c r="G96" i="20" s="1"/>
  <c r="F96" i="20" a="1"/>
  <c r="F96" i="20" s="1"/>
  <c r="O96" i="20" s="1"/>
  <c r="E96" i="20" a="1"/>
  <c r="E96" i="20" s="1"/>
  <c r="N96" i="20" s="1"/>
  <c r="D96" i="20" a="1"/>
  <c r="D96" i="20" s="1"/>
  <c r="I95" i="20" a="1"/>
  <c r="I95" i="20" s="1"/>
  <c r="H95" i="20" a="1"/>
  <c r="H95" i="20" s="1"/>
  <c r="G95" i="20" a="1"/>
  <c r="G95" i="20" s="1"/>
  <c r="F95" i="20" a="1"/>
  <c r="F95" i="20" s="1"/>
  <c r="O95" i="20" s="1"/>
  <c r="E95" i="20" a="1"/>
  <c r="E95" i="20" s="1"/>
  <c r="N95" i="20" s="1"/>
  <c r="D95" i="20" a="1"/>
  <c r="D95" i="20" s="1"/>
  <c r="I94" i="20" a="1"/>
  <c r="I94" i="20" s="1"/>
  <c r="H94" i="20" a="1"/>
  <c r="H94" i="20" s="1"/>
  <c r="G94" i="20" a="1"/>
  <c r="G94" i="20" s="1"/>
  <c r="F94" i="20" a="1"/>
  <c r="F94" i="20" s="1"/>
  <c r="O94" i="20" s="1"/>
  <c r="E94" i="20" a="1"/>
  <c r="E94" i="20" s="1"/>
  <c r="N94" i="20" s="1"/>
  <c r="D94" i="20" a="1"/>
  <c r="D94" i="20" s="1"/>
  <c r="I93" i="20" a="1"/>
  <c r="I93" i="20" s="1"/>
  <c r="H93" i="20" a="1"/>
  <c r="H93" i="20" s="1"/>
  <c r="G93" i="20" a="1"/>
  <c r="G93" i="20" s="1"/>
  <c r="F93" i="20" a="1"/>
  <c r="F93" i="20" s="1"/>
  <c r="O93" i="20" s="1"/>
  <c r="E93" i="20" a="1"/>
  <c r="E93" i="20" s="1"/>
  <c r="N93" i="20" s="1"/>
  <c r="D93" i="20" a="1"/>
  <c r="D93" i="20" s="1"/>
  <c r="I92" i="20" a="1"/>
  <c r="I92" i="20" s="1"/>
  <c r="H92" i="20" a="1"/>
  <c r="H92" i="20" s="1"/>
  <c r="G92" i="20" a="1"/>
  <c r="G92" i="20" s="1"/>
  <c r="F92" i="20" a="1"/>
  <c r="F92" i="20" s="1"/>
  <c r="O92" i="20" s="1"/>
  <c r="E92" i="20" a="1"/>
  <c r="E92" i="20" s="1"/>
  <c r="N92" i="20" s="1"/>
  <c r="D92" i="20" a="1"/>
  <c r="D92" i="20" s="1"/>
  <c r="I91" i="20" a="1"/>
  <c r="I91" i="20" s="1"/>
  <c r="H91" i="20" a="1"/>
  <c r="H91" i="20" s="1"/>
  <c r="G91" i="20" a="1"/>
  <c r="G91" i="20" s="1"/>
  <c r="F91" i="20" a="1"/>
  <c r="F91" i="20" s="1"/>
  <c r="O91" i="20" s="1"/>
  <c r="E91" i="20" a="1"/>
  <c r="E91" i="20" s="1"/>
  <c r="N91" i="20" s="1"/>
  <c r="P90" i="20" s="1"/>
  <c r="D91" i="20" a="1"/>
  <c r="D91" i="20" s="1"/>
  <c r="I90" i="20" a="1"/>
  <c r="I90" i="20" s="1"/>
  <c r="H90" i="20" a="1"/>
  <c r="H90" i="20" s="1"/>
  <c r="G90" i="20" a="1"/>
  <c r="G90" i="20" s="1"/>
  <c r="F90" i="20" a="1"/>
  <c r="F90" i="20" s="1"/>
  <c r="L90" i="20" s="1"/>
  <c r="E90" i="20" a="1"/>
  <c r="E90" i="20" s="1"/>
  <c r="D90" i="20" a="1"/>
  <c r="D90" i="20" s="1"/>
  <c r="I80" i="20" a="1"/>
  <c r="I80" i="20" s="1"/>
  <c r="H80" i="20" a="1"/>
  <c r="H80" i="20" s="1"/>
  <c r="G80" i="20" a="1"/>
  <c r="G80" i="20" s="1"/>
  <c r="I79" i="20" a="1"/>
  <c r="I79" i="20" s="1"/>
  <c r="H79" i="20" a="1"/>
  <c r="H79" i="20" s="1"/>
  <c r="G79" i="20" a="1"/>
  <c r="G79" i="20" s="1"/>
  <c r="I78" i="20" a="1"/>
  <c r="I78" i="20" s="1"/>
  <c r="H78" i="20" a="1"/>
  <c r="H78" i="20" s="1"/>
  <c r="G78" i="20" a="1"/>
  <c r="G78" i="20" s="1"/>
  <c r="I74" i="20" a="1"/>
  <c r="I74" i="20" s="1"/>
  <c r="H74" i="20" a="1"/>
  <c r="H74" i="20" s="1"/>
  <c r="G74" i="20" a="1"/>
  <c r="G74" i="20" s="1"/>
  <c r="I73" i="20" a="1"/>
  <c r="I73" i="20" s="1"/>
  <c r="H73" i="20" a="1"/>
  <c r="H73" i="20" s="1"/>
  <c r="G73" i="20" a="1"/>
  <c r="G73" i="20" s="1"/>
  <c r="I72" i="20" a="1"/>
  <c r="I72" i="20" s="1"/>
  <c r="H72" i="20" a="1"/>
  <c r="H72" i="20" s="1"/>
  <c r="G72" i="20" a="1"/>
  <c r="G72" i="20" s="1"/>
  <c r="I71" i="20" a="1"/>
  <c r="I71" i="20" s="1"/>
  <c r="H71" i="20" a="1"/>
  <c r="H71" i="20" s="1"/>
  <c r="G71" i="20" a="1"/>
  <c r="G71" i="20" s="1"/>
  <c r="I70" i="20" a="1"/>
  <c r="I70" i="20" s="1"/>
  <c r="H70" i="20" a="1"/>
  <c r="H70" i="20" s="1"/>
  <c r="G70" i="20" a="1"/>
  <c r="G70" i="20" s="1"/>
  <c r="I69" i="20" a="1"/>
  <c r="I69" i="20" s="1"/>
  <c r="H69" i="20" a="1"/>
  <c r="H69" i="20" s="1"/>
  <c r="G69" i="20" a="1"/>
  <c r="G69" i="20" s="1"/>
  <c r="I68" i="20" a="1"/>
  <c r="I68" i="20" s="1"/>
  <c r="H68" i="20" a="1"/>
  <c r="H68" i="20" s="1"/>
  <c r="G68" i="20" a="1"/>
  <c r="G68" i="20" s="1"/>
  <c r="I67" i="20" a="1"/>
  <c r="I67" i="20" s="1"/>
  <c r="H67" i="20" a="1"/>
  <c r="H67" i="20" s="1"/>
  <c r="G67" i="20" a="1"/>
  <c r="G67" i="20" s="1"/>
  <c r="I66" i="20" a="1"/>
  <c r="I66" i="20" s="1"/>
  <c r="H66" i="20" a="1"/>
  <c r="H66" i="20" s="1"/>
  <c r="G66" i="20" a="1"/>
  <c r="G66" i="20" s="1"/>
  <c r="I65" i="20" a="1"/>
  <c r="I65" i="20" s="1"/>
  <c r="H65" i="20" a="1"/>
  <c r="H65" i="20" s="1"/>
  <c r="G65" i="20" a="1"/>
  <c r="G65" i="20" s="1"/>
  <c r="I64" i="20" a="1"/>
  <c r="I64" i="20" s="1"/>
  <c r="H64" i="20" a="1"/>
  <c r="H64" i="20" s="1"/>
  <c r="G64" i="20" a="1"/>
  <c r="G64" i="20" s="1"/>
  <c r="I63" i="20" a="1"/>
  <c r="I63" i="20" s="1"/>
  <c r="H63" i="20" a="1"/>
  <c r="H63" i="20" s="1"/>
  <c r="G63" i="20" a="1"/>
  <c r="G63" i="20" s="1"/>
  <c r="I62" i="20" a="1"/>
  <c r="I62" i="20" s="1"/>
  <c r="H62" i="20" a="1"/>
  <c r="H62" i="20" s="1"/>
  <c r="G62" i="20" a="1"/>
  <c r="G62" i="20" s="1"/>
  <c r="I61" i="20" a="1"/>
  <c r="I61" i="20" s="1"/>
  <c r="H61" i="20" a="1"/>
  <c r="H61" i="20" s="1"/>
  <c r="G61" i="20" a="1"/>
  <c r="G61" i="20" s="1"/>
  <c r="I60" i="20" a="1"/>
  <c r="I60" i="20" s="1"/>
  <c r="H60" i="20" a="1"/>
  <c r="H60" i="20" s="1"/>
  <c r="G60" i="20" a="1"/>
  <c r="G60" i="20" s="1"/>
  <c r="I59" i="20" a="1"/>
  <c r="I59" i="20" s="1"/>
  <c r="H59" i="20" a="1"/>
  <c r="H59" i="20" s="1"/>
  <c r="G59" i="20" a="1"/>
  <c r="G59" i="20" s="1"/>
  <c r="I58" i="20" a="1"/>
  <c r="I58" i="20" s="1"/>
  <c r="H58" i="20" a="1"/>
  <c r="H58" i="20" s="1"/>
  <c r="G58" i="20" a="1"/>
  <c r="G58" i="20" s="1"/>
  <c r="I57" i="20" a="1"/>
  <c r="I57" i="20" s="1"/>
  <c r="H57" i="20" a="1"/>
  <c r="H57" i="20" s="1"/>
  <c r="G57" i="20" a="1"/>
  <c r="G57" i="20" s="1"/>
  <c r="I56" i="20" a="1"/>
  <c r="I56" i="20" s="1"/>
  <c r="H56" i="20" a="1"/>
  <c r="H56" i="20" s="1"/>
  <c r="G56" i="20" a="1"/>
  <c r="G56" i="20" s="1"/>
  <c r="I55" i="20" a="1"/>
  <c r="I55" i="20" s="1"/>
  <c r="H55" i="20" a="1"/>
  <c r="H55" i="20" s="1"/>
  <c r="G55" i="20" a="1"/>
  <c r="G55" i="20" s="1"/>
  <c r="I54" i="20" a="1"/>
  <c r="I54" i="20" s="1"/>
  <c r="H54" i="20" a="1"/>
  <c r="H54" i="20" s="1"/>
  <c r="G54" i="20" a="1"/>
  <c r="G54" i="20" s="1"/>
  <c r="I53" i="20" a="1"/>
  <c r="I53" i="20" s="1"/>
  <c r="H53" i="20" a="1"/>
  <c r="H53" i="20" s="1"/>
  <c r="G53" i="20" a="1"/>
  <c r="G53" i="20" s="1"/>
  <c r="I52" i="20" a="1"/>
  <c r="I52" i="20" s="1"/>
  <c r="H52" i="20" a="1"/>
  <c r="H52" i="20" s="1"/>
  <c r="G52" i="20" a="1"/>
  <c r="G52" i="20" s="1"/>
  <c r="I51" i="20" a="1"/>
  <c r="I51" i="20" s="1"/>
  <c r="H51" i="20" a="1"/>
  <c r="H51" i="20" s="1"/>
  <c r="G51" i="20" a="1"/>
  <c r="G51" i="20" s="1"/>
  <c r="I50" i="20" a="1"/>
  <c r="I50" i="20" s="1"/>
  <c r="H50" i="20" a="1"/>
  <c r="H50" i="20" s="1"/>
  <c r="G50" i="20" a="1"/>
  <c r="G50" i="20" s="1"/>
  <c r="I49" i="20" a="1"/>
  <c r="I49" i="20" s="1"/>
  <c r="H49" i="20" a="1"/>
  <c r="H49" i="20" s="1"/>
  <c r="G49" i="20" a="1"/>
  <c r="G49" i="20" s="1"/>
  <c r="I48" i="20" a="1"/>
  <c r="I48" i="20" s="1"/>
  <c r="H48" i="20" a="1"/>
  <c r="H48" i="20" s="1"/>
  <c r="G48" i="20" a="1"/>
  <c r="G48" i="20" s="1"/>
  <c r="I47" i="20" a="1"/>
  <c r="I47" i="20" s="1"/>
  <c r="H47" i="20" a="1"/>
  <c r="H47" i="20" s="1"/>
  <c r="G47" i="20" a="1"/>
  <c r="G47" i="20" s="1"/>
  <c r="I46" i="20" a="1"/>
  <c r="I46" i="20" s="1"/>
  <c r="H46" i="20" a="1"/>
  <c r="H46" i="20" s="1"/>
  <c r="G46" i="20" a="1"/>
  <c r="G46" i="20" s="1"/>
  <c r="I45" i="20" a="1"/>
  <c r="I45" i="20" s="1"/>
  <c r="H45" i="20" a="1"/>
  <c r="H45" i="20" s="1"/>
  <c r="G45" i="20" a="1"/>
  <c r="G45" i="20" s="1"/>
  <c r="I44" i="20" a="1"/>
  <c r="I44" i="20" s="1"/>
  <c r="H44" i="20" a="1"/>
  <c r="H44" i="20" s="1"/>
  <c r="G44" i="20" a="1"/>
  <c r="G44" i="20" s="1"/>
  <c r="I43" i="20" a="1"/>
  <c r="I43" i="20" s="1"/>
  <c r="H43" i="20" a="1"/>
  <c r="H43" i="20" s="1"/>
  <c r="G43" i="20" a="1"/>
  <c r="G43" i="20" s="1"/>
  <c r="I42" i="20" a="1"/>
  <c r="I42" i="20" s="1"/>
  <c r="H42" i="20" a="1"/>
  <c r="H42" i="20" s="1"/>
  <c r="G42" i="20" a="1"/>
  <c r="G42" i="20" s="1"/>
  <c r="I41" i="20" a="1"/>
  <c r="I41" i="20" s="1"/>
  <c r="H41" i="20" a="1"/>
  <c r="H41" i="20" s="1"/>
  <c r="G41" i="20" a="1"/>
  <c r="G41" i="20" s="1"/>
  <c r="I40" i="20" a="1"/>
  <c r="I40" i="20" s="1"/>
  <c r="H40" i="20" a="1"/>
  <c r="H40" i="20" s="1"/>
  <c r="G40" i="20" a="1"/>
  <c r="G40" i="20" s="1"/>
  <c r="I39" i="20" a="1"/>
  <c r="I39" i="20" s="1"/>
  <c r="H39" i="20" a="1"/>
  <c r="H39" i="20" s="1"/>
  <c r="G39" i="20" a="1"/>
  <c r="G39" i="20" s="1"/>
  <c r="I38" i="20" a="1"/>
  <c r="I38" i="20" s="1"/>
  <c r="H38" i="20" a="1"/>
  <c r="H38" i="20" s="1"/>
  <c r="G38" i="20" a="1"/>
  <c r="G38" i="20" s="1"/>
  <c r="I37" i="20" a="1"/>
  <c r="I37" i="20" s="1"/>
  <c r="H37" i="20" a="1"/>
  <c r="H37" i="20" s="1"/>
  <c r="G37" i="20" a="1"/>
  <c r="G37" i="20" s="1"/>
  <c r="I36" i="20" a="1"/>
  <c r="I36" i="20" s="1"/>
  <c r="H36" i="20" a="1"/>
  <c r="H36" i="20" s="1"/>
  <c r="G36" i="20" a="1"/>
  <c r="G36" i="20" s="1"/>
  <c r="I35" i="20" a="1"/>
  <c r="I35" i="20" s="1"/>
  <c r="H35" i="20" a="1"/>
  <c r="H35" i="20" s="1"/>
  <c r="G35" i="20" a="1"/>
  <c r="G35" i="20" s="1"/>
  <c r="I34" i="20" a="1"/>
  <c r="I34" i="20" s="1"/>
  <c r="H34" i="20" a="1"/>
  <c r="H34" i="20" s="1"/>
  <c r="G34" i="20" a="1"/>
  <c r="G34" i="20" s="1"/>
  <c r="F80" i="20" a="1"/>
  <c r="F80" i="20" s="1"/>
  <c r="E80" i="20" a="1"/>
  <c r="E80" i="20" s="1"/>
  <c r="D80" i="20" a="1"/>
  <c r="D80" i="20" s="1"/>
  <c r="F79" i="20" a="1"/>
  <c r="F79" i="20" s="1"/>
  <c r="E79" i="20" a="1"/>
  <c r="E79" i="20" s="1"/>
  <c r="D79" i="20" a="1"/>
  <c r="D79" i="20" s="1"/>
  <c r="F78" i="20" a="1"/>
  <c r="F78" i="20" s="1"/>
  <c r="E78" i="20" a="1"/>
  <c r="E78" i="20" s="1"/>
  <c r="D78" i="20" a="1"/>
  <c r="D78" i="20" s="1"/>
  <c r="D74" i="20" a="1"/>
  <c r="D74" i="20" s="1"/>
  <c r="E74" i="20" a="1"/>
  <c r="E74" i="20" s="1"/>
  <c r="F74" i="20" a="1"/>
  <c r="F74" i="20" s="1"/>
  <c r="D73" i="20" a="1"/>
  <c r="D73" i="20" s="1"/>
  <c r="E73" i="20" a="1"/>
  <c r="E73" i="20" s="1"/>
  <c r="F73" i="20" a="1"/>
  <c r="F73" i="20" s="1"/>
  <c r="D72" i="20" a="1"/>
  <c r="D72" i="20" s="1"/>
  <c r="E72" i="20" a="1"/>
  <c r="E72" i="20" s="1"/>
  <c r="F72" i="20" a="1"/>
  <c r="F72" i="20" s="1"/>
  <c r="D71" i="20" a="1"/>
  <c r="D71" i="20" s="1"/>
  <c r="E71" i="20" a="1"/>
  <c r="E71" i="20" s="1"/>
  <c r="F71" i="20" a="1"/>
  <c r="F71" i="20" s="1"/>
  <c r="D70" i="20" a="1"/>
  <c r="D70" i="20" s="1"/>
  <c r="E70" i="20" a="1"/>
  <c r="E70" i="20" s="1"/>
  <c r="F70" i="20" a="1"/>
  <c r="F70" i="20" s="1"/>
  <c r="D69" i="20" a="1"/>
  <c r="D69" i="20" s="1"/>
  <c r="E69" i="20" a="1"/>
  <c r="E69" i="20" s="1"/>
  <c r="F69" i="20" a="1"/>
  <c r="F69" i="20" s="1"/>
  <c r="D68" i="20" a="1"/>
  <c r="D68" i="20" s="1"/>
  <c r="E68" i="20" a="1"/>
  <c r="E68" i="20" s="1"/>
  <c r="F68" i="20" a="1"/>
  <c r="F68" i="20" s="1"/>
  <c r="D67" i="20" a="1"/>
  <c r="D67" i="20" s="1"/>
  <c r="E67" i="20" a="1"/>
  <c r="E67" i="20" s="1"/>
  <c r="F67" i="20" a="1"/>
  <c r="F67" i="20" s="1"/>
  <c r="D66" i="20" a="1"/>
  <c r="D66" i="20" s="1"/>
  <c r="E66" i="20" a="1"/>
  <c r="E66" i="20" s="1"/>
  <c r="F66" i="20" a="1"/>
  <c r="F66" i="20" s="1"/>
  <c r="D65" i="20" a="1"/>
  <c r="D65" i="20" s="1"/>
  <c r="E65" i="20" a="1"/>
  <c r="E65" i="20" s="1"/>
  <c r="F65" i="20" a="1"/>
  <c r="F65" i="20" s="1"/>
  <c r="D64" i="20" a="1"/>
  <c r="D64" i="20" s="1"/>
  <c r="E64" i="20" a="1"/>
  <c r="E64" i="20" s="1"/>
  <c r="F64" i="20" a="1"/>
  <c r="F64" i="20" s="1"/>
  <c r="D63" i="20" a="1"/>
  <c r="D63" i="20" s="1"/>
  <c r="E63" i="20" a="1"/>
  <c r="E63" i="20" s="1"/>
  <c r="F63" i="20" a="1"/>
  <c r="F63" i="20" s="1"/>
  <c r="D62" i="20" a="1"/>
  <c r="D62" i="20" s="1"/>
  <c r="E62" i="20" a="1"/>
  <c r="E62" i="20" s="1"/>
  <c r="F62" i="20" a="1"/>
  <c r="F62" i="20" s="1"/>
  <c r="D61" i="20" a="1"/>
  <c r="D61" i="20" s="1"/>
  <c r="E61" i="20" a="1"/>
  <c r="E61" i="20" s="1"/>
  <c r="F61" i="20" a="1"/>
  <c r="F61" i="20" s="1"/>
  <c r="D60" i="20" a="1"/>
  <c r="D60" i="20" s="1"/>
  <c r="E60" i="20" a="1"/>
  <c r="E60" i="20" s="1"/>
  <c r="F60" i="20" a="1"/>
  <c r="F60" i="20" s="1"/>
  <c r="D59" i="20" a="1"/>
  <c r="D59" i="20" s="1"/>
  <c r="E59" i="20" a="1"/>
  <c r="E59" i="20" s="1"/>
  <c r="F59" i="20" a="1"/>
  <c r="F59" i="20" s="1"/>
  <c r="F58" i="20" a="1"/>
  <c r="F58" i="20" s="1"/>
  <c r="E58" i="20" a="1"/>
  <c r="E58" i="20" s="1"/>
  <c r="D58" i="20" a="1"/>
  <c r="D58" i="20" s="1"/>
  <c r="F57" i="20" a="1"/>
  <c r="F57" i="20" s="1"/>
  <c r="E57" i="20" a="1"/>
  <c r="E57" i="20" s="1"/>
  <c r="D57" i="20" a="1"/>
  <c r="D57" i="20" s="1"/>
  <c r="F56" i="20" a="1"/>
  <c r="F56" i="20" s="1"/>
  <c r="E56" i="20" a="1"/>
  <c r="E56" i="20" s="1"/>
  <c r="D56" i="20" a="1"/>
  <c r="D56" i="20" s="1"/>
  <c r="F55" i="20" a="1"/>
  <c r="F55" i="20" s="1"/>
  <c r="E55" i="20" a="1"/>
  <c r="E55" i="20" s="1"/>
  <c r="D55" i="20" a="1"/>
  <c r="D55" i="20" s="1"/>
  <c r="F54" i="20" a="1"/>
  <c r="F54" i="20" s="1"/>
  <c r="E54" i="20" a="1"/>
  <c r="E54" i="20" s="1"/>
  <c r="D54" i="20" a="1"/>
  <c r="D54" i="20" s="1"/>
  <c r="F53" i="20" a="1"/>
  <c r="F53" i="20" s="1"/>
  <c r="E53" i="20" a="1"/>
  <c r="E53" i="20" s="1"/>
  <c r="D53" i="20" a="1"/>
  <c r="D53" i="20" s="1"/>
  <c r="F52" i="20" a="1"/>
  <c r="F52" i="20" s="1"/>
  <c r="E52" i="20" a="1"/>
  <c r="E52" i="20" s="1"/>
  <c r="D52" i="20" a="1"/>
  <c r="D52" i="20" s="1"/>
  <c r="F51" i="20" a="1"/>
  <c r="F51" i="20" s="1"/>
  <c r="E51" i="20" a="1"/>
  <c r="E51" i="20" s="1"/>
  <c r="D51" i="20" a="1"/>
  <c r="D51" i="20" s="1"/>
  <c r="F50" i="20" a="1"/>
  <c r="F50" i="20" s="1"/>
  <c r="E50" i="20" a="1"/>
  <c r="E50" i="20" s="1"/>
  <c r="D50" i="20" a="1"/>
  <c r="D50" i="20" s="1"/>
  <c r="F49" i="20" a="1"/>
  <c r="F49" i="20" s="1"/>
  <c r="E49" i="20" a="1"/>
  <c r="E49" i="20" s="1"/>
  <c r="D49" i="20" a="1"/>
  <c r="D49" i="20" s="1"/>
  <c r="F48" i="20" a="1"/>
  <c r="F48" i="20" s="1"/>
  <c r="E48" i="20" a="1"/>
  <c r="E48" i="20" s="1"/>
  <c r="D48" i="20" a="1"/>
  <c r="D48" i="20" s="1"/>
  <c r="F47" i="20" a="1"/>
  <c r="F47" i="20" s="1"/>
  <c r="E47" i="20" a="1"/>
  <c r="E47" i="20" s="1"/>
  <c r="D47" i="20" a="1"/>
  <c r="D47" i="20" s="1"/>
  <c r="F46" i="20" a="1"/>
  <c r="F46" i="20" s="1"/>
  <c r="E46" i="20" a="1"/>
  <c r="E46" i="20" s="1"/>
  <c r="D46" i="20" a="1"/>
  <c r="D46" i="20" s="1"/>
  <c r="F45" i="20" a="1"/>
  <c r="F45" i="20" s="1"/>
  <c r="E45" i="20" a="1"/>
  <c r="E45" i="20" s="1"/>
  <c r="D45" i="20" a="1"/>
  <c r="D45" i="20" s="1"/>
  <c r="F44" i="20" a="1"/>
  <c r="F44" i="20" s="1"/>
  <c r="E44" i="20" a="1"/>
  <c r="E44" i="20" s="1"/>
  <c r="D44" i="20" a="1"/>
  <c r="D44" i="20" s="1"/>
  <c r="F43" i="20" a="1"/>
  <c r="F43" i="20" s="1"/>
  <c r="E43" i="20" a="1"/>
  <c r="E43" i="20" s="1"/>
  <c r="D43" i="20" a="1"/>
  <c r="D43" i="20" s="1"/>
  <c r="F42" i="20" a="1"/>
  <c r="F42" i="20" s="1"/>
  <c r="E42" i="20" a="1"/>
  <c r="E42" i="20" s="1"/>
  <c r="D42" i="20" a="1"/>
  <c r="D42" i="20" s="1"/>
  <c r="F41" i="20" a="1"/>
  <c r="F41" i="20" s="1"/>
  <c r="E41" i="20" a="1"/>
  <c r="E41" i="20" s="1"/>
  <c r="D41" i="20" a="1"/>
  <c r="D41" i="20" s="1"/>
  <c r="F40" i="20" a="1"/>
  <c r="F40" i="20" s="1"/>
  <c r="E40" i="20" a="1"/>
  <c r="E40" i="20" s="1"/>
  <c r="D40" i="20" a="1"/>
  <c r="D40" i="20" s="1"/>
  <c r="F39" i="20" a="1"/>
  <c r="F39" i="20" s="1"/>
  <c r="E39" i="20" a="1"/>
  <c r="E39" i="20" s="1"/>
  <c r="D39" i="20" a="1"/>
  <c r="D39" i="20" s="1"/>
  <c r="F38" i="20" a="1"/>
  <c r="F38" i="20" s="1"/>
  <c r="E38" i="20" a="1"/>
  <c r="E38" i="20" s="1"/>
  <c r="D38" i="20" a="1"/>
  <c r="D38" i="20" s="1"/>
  <c r="F37" i="20" a="1"/>
  <c r="F37" i="20" s="1"/>
  <c r="E37" i="20" a="1"/>
  <c r="E37" i="20" s="1"/>
  <c r="D37" i="20" a="1"/>
  <c r="D37" i="20" s="1"/>
  <c r="F36" i="20" a="1"/>
  <c r="F36" i="20" s="1"/>
  <c r="E36" i="20" a="1"/>
  <c r="E36" i="20" s="1"/>
  <c r="D36" i="20" a="1"/>
  <c r="D36" i="20" s="1"/>
  <c r="F35" i="20" a="1"/>
  <c r="F35" i="20" s="1"/>
  <c r="E35" i="20" a="1"/>
  <c r="E35" i="20" s="1"/>
  <c r="D35" i="20" a="1"/>
  <c r="D35" i="20" s="1"/>
  <c r="F34" i="20" a="1"/>
  <c r="F34" i="20" s="1"/>
  <c r="E34" i="20" a="1"/>
  <c r="E34" i="20" s="1"/>
  <c r="D34" i="20" a="1"/>
  <c r="D34" i="20" s="1"/>
  <c r="H19" i="7"/>
  <c r="H20" i="7"/>
  <c r="E62" i="18" a="1"/>
  <c r="E62" i="18" s="1"/>
  <c r="D62" i="18" a="1"/>
  <c r="D62" i="18" s="1"/>
  <c r="D60" i="18" a="1"/>
  <c r="D60" i="18" s="1"/>
  <c r="D59" i="18" a="1"/>
  <c r="D59" i="18" s="1"/>
  <c r="E57" i="18" a="1"/>
  <c r="E57" i="18" s="1"/>
  <c r="D57" i="18" a="1"/>
  <c r="D57" i="18" s="1"/>
  <c r="D55" i="18" a="1"/>
  <c r="D55" i="18" s="1"/>
  <c r="D54" i="18" a="1"/>
  <c r="D54" i="18" s="1"/>
  <c r="E52" i="18" a="1"/>
  <c r="E52" i="18" s="1"/>
  <c r="D52" i="18" a="1"/>
  <c r="D52" i="18" s="1"/>
  <c r="D50" i="18" a="1"/>
  <c r="D50" i="18" s="1"/>
  <c r="D49" i="18" a="1"/>
  <c r="D49" i="18" s="1"/>
  <c r="E47" i="18" a="1"/>
  <c r="E47" i="18" s="1"/>
  <c r="D47" i="18" a="1"/>
  <c r="D47" i="18" s="1"/>
  <c r="E46" i="18" a="1"/>
  <c r="E46" i="18" s="1"/>
  <c r="D46" i="18" a="1"/>
  <c r="D46" i="18" s="1"/>
  <c r="E45" i="18" a="1"/>
  <c r="E45" i="18" s="1"/>
  <c r="D45" i="18" a="1"/>
  <c r="D45" i="18" s="1"/>
  <c r="E44" i="18" a="1"/>
  <c r="E44" i="18" s="1"/>
  <c r="D44" i="18" a="1"/>
  <c r="D44" i="18" s="1"/>
  <c r="E43" i="18" a="1"/>
  <c r="E43" i="18" s="1"/>
  <c r="D43" i="18" a="1"/>
  <c r="D43" i="18" s="1"/>
  <c r="E42" i="18" a="1"/>
  <c r="E42" i="18" s="1"/>
  <c r="D42" i="18" a="1"/>
  <c r="D42" i="18" s="1"/>
  <c r="E41" i="18" a="1"/>
  <c r="E41" i="18" s="1"/>
  <c r="D41" i="18" a="1"/>
  <c r="D41" i="18" s="1"/>
  <c r="D39" i="18" a="1"/>
  <c r="D39" i="18" s="1"/>
  <c r="D38" i="18" a="1"/>
  <c r="D38" i="18" s="1"/>
  <c r="D36" i="18" a="1"/>
  <c r="D36" i="18" s="1"/>
  <c r="E36" i="18" a="1"/>
  <c r="E36" i="18" s="1"/>
  <c r="D35" i="18" a="1"/>
  <c r="D35" i="18" s="1"/>
  <c r="E35" i="18" a="1"/>
  <c r="E35" i="18" s="1"/>
  <c r="D34" i="18" a="1"/>
  <c r="D34" i="18" s="1"/>
  <c r="E34" i="18" a="1"/>
  <c r="E34" i="18" s="1"/>
  <c r="D33" i="18" a="1"/>
  <c r="D33" i="18" s="1"/>
  <c r="E33" i="18" a="1"/>
  <c r="E33" i="18" s="1"/>
  <c r="D32" i="18" a="1"/>
  <c r="D32" i="18" s="1"/>
  <c r="E32" i="18" a="1"/>
  <c r="E32" i="18" s="1"/>
  <c r="D31" i="18" a="1"/>
  <c r="D31" i="18" s="1"/>
  <c r="E31" i="18" a="1"/>
  <c r="E31" i="18" s="1"/>
  <c r="D30" i="18" a="1"/>
  <c r="D30" i="18" s="1"/>
  <c r="E30" i="18" a="1"/>
  <c r="E30" i="18" s="1"/>
  <c r="E29" i="18" a="1"/>
  <c r="E29" i="18" s="1"/>
  <c r="D29" i="18" a="1"/>
  <c r="D29" i="18" s="1"/>
  <c r="D27" i="18" a="1"/>
  <c r="D27" i="18" s="1"/>
  <c r="D26" i="18" a="1"/>
  <c r="D26" i="18" s="1"/>
  <c r="F24" i="18" a="1"/>
  <c r="F24" i="18" s="1"/>
  <c r="E24" i="18" a="1"/>
  <c r="E24" i="18" s="1"/>
  <c r="D24" i="18" a="1"/>
  <c r="D24" i="18" s="1"/>
  <c r="F23" i="18" a="1"/>
  <c r="F23" i="18" s="1"/>
  <c r="E47" i="25" s="1"/>
  <c r="E23" i="18" a="1"/>
  <c r="E23" i="18" s="1"/>
  <c r="D23" i="18" a="1"/>
  <c r="D23" i="18" s="1"/>
  <c r="F22" i="18" a="1"/>
  <c r="F22" i="18" s="1"/>
  <c r="E22" i="18" a="1"/>
  <c r="E22" i="18" s="1"/>
  <c r="D22" i="18" a="1"/>
  <c r="D22" i="18" s="1"/>
  <c r="F21" i="18" a="1"/>
  <c r="F21" i="18" s="1"/>
  <c r="E21" i="18" a="1"/>
  <c r="E21" i="18" s="1"/>
  <c r="D21" i="18" a="1"/>
  <c r="D21" i="18" s="1"/>
  <c r="F20" i="18" a="1"/>
  <c r="F20" i="18" s="1"/>
  <c r="E20" i="18" a="1"/>
  <c r="E20" i="18" s="1"/>
  <c r="D20" i="18" a="1"/>
  <c r="D20" i="18" s="1"/>
  <c r="F19" i="18" a="1"/>
  <c r="F19" i="18" s="1"/>
  <c r="E19" i="18" a="1"/>
  <c r="E19" i="18" s="1"/>
  <c r="D19" i="18" a="1"/>
  <c r="D19" i="18" s="1"/>
  <c r="F18" i="18" a="1"/>
  <c r="F18" i="18" s="1"/>
  <c r="E18" i="18" a="1"/>
  <c r="E18" i="18" s="1"/>
  <c r="D18" i="18" a="1"/>
  <c r="D18" i="18" s="1"/>
  <c r="F17" i="18" a="1"/>
  <c r="F17" i="18" s="1"/>
  <c r="E17" i="18" a="1"/>
  <c r="E17" i="18" s="1"/>
  <c r="D17" i="18" a="1"/>
  <c r="D17" i="18" s="1"/>
  <c r="F16" i="18" a="1"/>
  <c r="F16" i="18" s="1"/>
  <c r="E16" i="18" a="1"/>
  <c r="E16" i="18" s="1"/>
  <c r="D16" i="18" a="1"/>
  <c r="D16" i="18" s="1"/>
  <c r="F15" i="18" a="1"/>
  <c r="F15" i="18" s="1"/>
  <c r="E15" i="18" a="1"/>
  <c r="E15" i="18" s="1"/>
  <c r="D15" i="18" a="1"/>
  <c r="D15" i="18" s="1"/>
  <c r="F14" i="18" a="1"/>
  <c r="F14" i="18" s="1"/>
  <c r="E14" i="18" a="1"/>
  <c r="E14" i="18" s="1"/>
  <c r="D14" i="18" a="1"/>
  <c r="D14" i="18" s="1"/>
  <c r="F13" i="18" a="1"/>
  <c r="F13" i="18" s="1"/>
  <c r="E13" i="18" a="1"/>
  <c r="E13" i="18" s="1"/>
  <c r="D13" i="18" a="1"/>
  <c r="D13" i="18" s="1"/>
  <c r="F12" i="18" a="1"/>
  <c r="F12" i="18" s="1"/>
  <c r="E12" i="18" a="1"/>
  <c r="E12" i="18" s="1"/>
  <c r="D12" i="18" a="1"/>
  <c r="D12" i="18" s="1"/>
  <c r="F11" i="18" a="1"/>
  <c r="F11" i="18" s="1"/>
  <c r="E10" i="23" s="1"/>
  <c r="E11" i="18" a="1"/>
  <c r="E11" i="18" s="1"/>
  <c r="D10" i="23" s="1"/>
  <c r="D11" i="18" a="1"/>
  <c r="D11" i="18" s="1"/>
  <c r="F10" i="18" a="1"/>
  <c r="F10" i="18" s="1"/>
  <c r="E9" i="23" s="1"/>
  <c r="E10" i="18" a="1"/>
  <c r="E10" i="18" s="1"/>
  <c r="D9" i="23" s="1"/>
  <c r="D10" i="18" a="1"/>
  <c r="D10" i="18" s="1"/>
  <c r="F9" i="18" a="1"/>
  <c r="F9" i="18" s="1"/>
  <c r="E9" i="18" a="1"/>
  <c r="E9" i="18" s="1"/>
  <c r="D9" i="18" a="1"/>
  <c r="D9" i="18" s="1"/>
  <c r="F8" i="18" a="1"/>
  <c r="F8" i="18" s="1"/>
  <c r="E8" i="18" a="1"/>
  <c r="E8" i="18" s="1"/>
  <c r="D8" i="18" a="1"/>
  <c r="D8" i="18" s="1"/>
  <c r="F7" i="18" a="1"/>
  <c r="F7" i="18" s="1"/>
  <c r="E7" i="18" a="1"/>
  <c r="E7" i="18" s="1"/>
  <c r="D7" i="18" a="1"/>
  <c r="D7" i="18" s="1"/>
  <c r="D5" i="18" a="1"/>
  <c r="D5" i="18" s="1"/>
  <c r="D4" i="18" a="1"/>
  <c r="D4" i="18" s="1"/>
  <c r="J452" i="19" l="1" a="1"/>
  <c r="J452" i="19" s="1"/>
  <c r="J451" i="19" a="1"/>
  <c r="J451" i="19" s="1"/>
  <c r="J450" i="19" a="1"/>
  <c r="J450" i="19" s="1"/>
  <c r="J449" i="19" a="1"/>
  <c r="J449" i="19" s="1"/>
  <c r="J453" i="19" a="1"/>
  <c r="J453" i="19" s="1"/>
  <c r="E142" i="19"/>
  <c r="G433" i="19" a="1"/>
  <c r="G433" i="19" s="1"/>
  <c r="H433" i="19" s="1" a="1"/>
  <c r="H433" i="19" s="1"/>
  <c r="G432" i="19" a="1"/>
  <c r="G432" i="19" s="1"/>
  <c r="H432" i="19" s="1" a="1"/>
  <c r="H432" i="19" s="1"/>
  <c r="G431" i="19" a="1"/>
  <c r="G431" i="19" s="1"/>
  <c r="H431" i="19" s="1" a="1"/>
  <c r="H431" i="19" s="1"/>
  <c r="G430" i="19" a="1"/>
  <c r="G430" i="19" s="1"/>
  <c r="H430" i="19" s="1" a="1"/>
  <c r="H430" i="19" s="1"/>
  <c r="P128" i="19" a="1"/>
  <c r="P128" i="19" s="1"/>
  <c r="P124" i="19" a="1"/>
  <c r="P124" i="19" s="1"/>
  <c r="P125" i="19" a="1"/>
  <c r="P125" i="19" s="1"/>
  <c r="P123" i="19" a="1"/>
  <c r="P123" i="19" s="1"/>
  <c r="P126" i="19" a="1"/>
  <c r="P126" i="19" s="1"/>
  <c r="P121" i="19" a="1"/>
  <c r="P121" i="19" s="1"/>
  <c r="P122" i="19" a="1"/>
  <c r="P122" i="19" s="1"/>
  <c r="P127" i="19" a="1"/>
  <c r="P127" i="19" s="1"/>
  <c r="P120" i="19" a="1"/>
  <c r="P120" i="19" s="1"/>
  <c r="P119" i="19" a="1"/>
  <c r="P119" i="19" s="1"/>
  <c r="W240" i="19" a="1"/>
  <c r="W240" i="19" s="1"/>
  <c r="AE242" i="19" a="1"/>
  <c r="AE242" i="19" s="1"/>
  <c r="W242" i="19" a="1"/>
  <c r="W242" i="19" s="1"/>
  <c r="S237" i="19" a="1"/>
  <c r="S237" i="19" s="1"/>
  <c r="AE239" i="19" a="1"/>
  <c r="AE239" i="19" s="1"/>
  <c r="AE241" i="19" a="1"/>
  <c r="AE241" i="19" s="1"/>
  <c r="AE246" i="19" a="1"/>
  <c r="AE246" i="19" s="1"/>
  <c r="S239" i="19" a="1"/>
  <c r="S239" i="19" s="1"/>
  <c r="AA239" i="19" a="1"/>
  <c r="AA239" i="19" s="1"/>
  <c r="S243" i="19" a="1"/>
  <c r="S243" i="19" s="1"/>
  <c r="W237" i="19" a="1"/>
  <c r="W237" i="19" s="1"/>
  <c r="W241" i="19" a="1"/>
  <c r="W241" i="19" s="1"/>
  <c r="AA237" i="19" a="1"/>
  <c r="AA237" i="19" s="1"/>
  <c r="AE238" i="19" a="1"/>
  <c r="AE238" i="19" s="1"/>
  <c r="AE244" i="19" a="1"/>
  <c r="AE244" i="19" s="1"/>
  <c r="AE243" i="19" a="1"/>
  <c r="AE243" i="19" s="1"/>
  <c r="AE245" i="19" a="1"/>
  <c r="AE245" i="19" s="1"/>
  <c r="S241" i="19" a="1"/>
  <c r="S241" i="19" s="1"/>
  <c r="AA241" i="19" a="1"/>
  <c r="AA241" i="19" s="1"/>
  <c r="AA243" i="19" a="1"/>
  <c r="AA243" i="19" s="1"/>
  <c r="S245" i="19" a="1"/>
  <c r="S245" i="19" s="1"/>
  <c r="AA245" i="19" a="1"/>
  <c r="AA245" i="19" s="1"/>
  <c r="S238" i="19" a="1"/>
  <c r="S238" i="19" s="1"/>
  <c r="S240" i="19" a="1"/>
  <c r="S240" i="19" s="1"/>
  <c r="AE240" i="19" a="1"/>
  <c r="AE240" i="19" s="1"/>
  <c r="S242" i="19" a="1"/>
  <c r="S242" i="19" s="1"/>
  <c r="AA238" i="19" a="1"/>
  <c r="AA238" i="19" s="1"/>
  <c r="W239" i="19" a="1"/>
  <c r="W239" i="19" s="1"/>
  <c r="AA240" i="19" a="1"/>
  <c r="AA240" i="19" s="1"/>
  <c r="S244" i="19" a="1"/>
  <c r="S244" i="19" s="1"/>
  <c r="S246" i="19" a="1"/>
  <c r="S246" i="19" s="1"/>
  <c r="AA242" i="19" a="1"/>
  <c r="AA242" i="19" s="1"/>
  <c r="W243" i="19" a="1"/>
  <c r="W243" i="19" s="1"/>
  <c r="AA244" i="19" a="1"/>
  <c r="AA244" i="19" s="1"/>
  <c r="W245" i="19" a="1"/>
  <c r="W245" i="19" s="1"/>
  <c r="AA246" i="19" a="1"/>
  <c r="AA246" i="19" s="1"/>
  <c r="W246" i="19" a="1"/>
  <c r="W246" i="19" s="1"/>
  <c r="AE237" i="19" a="1"/>
  <c r="AE237" i="19" s="1"/>
  <c r="K237" i="19" s="1" a="1"/>
  <c r="K237" i="19" s="1"/>
  <c r="W244" i="19" a="1"/>
  <c r="W244" i="19" s="1"/>
  <c r="W238" i="19" a="1"/>
  <c r="W238" i="19" s="1"/>
  <c r="T125" i="19" a="1"/>
  <c r="T125" i="19" s="1"/>
  <c r="X128" i="19" a="1"/>
  <c r="X128" i="19" s="1"/>
  <c r="T120" i="19" a="1"/>
  <c r="T120" i="19" s="1"/>
  <c r="T122" i="19" a="1"/>
  <c r="T122" i="19" s="1"/>
  <c r="AB119" i="19" a="1"/>
  <c r="AB119" i="19" s="1"/>
  <c r="AB120" i="19" a="1"/>
  <c r="AB120" i="19" s="1"/>
  <c r="AB128" i="19" a="1"/>
  <c r="AB128" i="19" s="1"/>
  <c r="AB121" i="19" a="1"/>
  <c r="AB121" i="19" s="1"/>
  <c r="AB127" i="19" a="1"/>
  <c r="AB127" i="19" s="1"/>
  <c r="X120" i="19" a="1"/>
  <c r="X120" i="19" s="1"/>
  <c r="X123" i="19" a="1"/>
  <c r="X123" i="19" s="1"/>
  <c r="T124" i="19" a="1"/>
  <c r="T124" i="19" s="1"/>
  <c r="T126" i="19" a="1"/>
  <c r="T126" i="19" s="1"/>
  <c r="X127" i="19" a="1"/>
  <c r="X127" i="19" s="1"/>
  <c r="X122" i="19" a="1"/>
  <c r="X122" i="19" s="1"/>
  <c r="AB123" i="19" a="1"/>
  <c r="AB123" i="19" s="1"/>
  <c r="X121" i="19" a="1"/>
  <c r="X121" i="19" s="1"/>
  <c r="AB125" i="19" a="1"/>
  <c r="AB125" i="19" s="1"/>
  <c r="AB122" i="19" a="1"/>
  <c r="AB122" i="19" s="1"/>
  <c r="X126" i="19" a="1"/>
  <c r="X126" i="19" s="1"/>
  <c r="T123" i="19" a="1"/>
  <c r="T123" i="19" s="1"/>
  <c r="X125" i="19" a="1"/>
  <c r="X125" i="19" s="1"/>
  <c r="T127" i="19" a="1"/>
  <c r="T127" i="19" s="1"/>
  <c r="T121" i="19" a="1"/>
  <c r="T121" i="19" s="1"/>
  <c r="AB124" i="19" a="1"/>
  <c r="AB124" i="19" s="1"/>
  <c r="AB126" i="19" a="1"/>
  <c r="AB126" i="19" s="1"/>
  <c r="T128" i="19" a="1"/>
  <c r="T128" i="19" s="1"/>
  <c r="X124" i="19" a="1"/>
  <c r="X124" i="19" s="1"/>
  <c r="T119" i="19" a="1"/>
  <c r="T119" i="19" s="1"/>
  <c r="X119" i="19" a="1"/>
  <c r="X119" i="19" s="1"/>
  <c r="E300" i="19" a="1"/>
  <c r="E300" i="19" s="1"/>
  <c r="E302" i="19" a="1"/>
  <c r="E302" i="19" s="1"/>
  <c r="E301" i="19" a="1"/>
  <c r="E301" i="19" s="1"/>
  <c r="D270" i="19" a="1"/>
  <c r="E141" i="19"/>
  <c r="I26" i="19" a="1"/>
  <c r="I26" i="19" s="1"/>
  <c r="M26" i="19" s="1" a="1"/>
  <c r="M26" i="19" s="1"/>
  <c r="I24" i="19" a="1"/>
  <c r="I24" i="19" s="1"/>
  <c r="J24" i="19" s="1" a="1"/>
  <c r="J24" i="19" s="1"/>
  <c r="I30" i="19" a="1"/>
  <c r="I30" i="19" s="1"/>
  <c r="M30" i="19" s="1" a="1"/>
  <c r="M30" i="19" s="1"/>
  <c r="I28" i="19" a="1"/>
  <c r="I28" i="19" s="1"/>
  <c r="M28" i="19" s="1" a="1"/>
  <c r="M28" i="19" s="1"/>
  <c r="I32" i="19" a="1"/>
  <c r="I32" i="19" s="1"/>
  <c r="M32" i="19" s="1" a="1"/>
  <c r="M32" i="19" s="1"/>
  <c r="I31" i="19" a="1"/>
  <c r="I31" i="19" s="1"/>
  <c r="M31" i="19" s="1" a="1"/>
  <c r="M31" i="19" s="1"/>
  <c r="I29" i="19" a="1"/>
  <c r="I29" i="19" s="1"/>
  <c r="M29" i="19" s="1" a="1"/>
  <c r="M29" i="19" s="1"/>
  <c r="I25" i="19" a="1"/>
  <c r="I25" i="19" s="1"/>
  <c r="M25" i="19" s="1" a="1"/>
  <c r="M25" i="19" s="1"/>
  <c r="I27" i="19" a="1"/>
  <c r="I27" i="19" s="1"/>
  <c r="M27" i="19" s="1" a="1"/>
  <c r="M27" i="19" s="1"/>
  <c r="I23" i="19" a="1"/>
  <c r="I23" i="19" s="1"/>
  <c r="J23" i="19" s="1" a="1"/>
  <c r="J23" i="19" s="1"/>
  <c r="G42" i="25"/>
  <c r="D43" i="25"/>
  <c r="K43" i="25"/>
  <c r="D56" i="25"/>
  <c r="H43" i="25"/>
  <c r="L44" i="25"/>
  <c r="E44" i="25"/>
  <c r="K46" i="25"/>
  <c r="D46" i="25"/>
  <c r="D59" i="25"/>
  <c r="G45" i="25"/>
  <c r="H42" i="25"/>
  <c r="L43" i="25"/>
  <c r="E43" i="25"/>
  <c r="G44" i="25"/>
  <c r="K45" i="25"/>
  <c r="D45" i="25"/>
  <c r="D58" i="25"/>
  <c r="D11" i="23"/>
  <c r="D42" i="25"/>
  <c r="K42" i="25"/>
  <c r="D55" i="25"/>
  <c r="L46" i="25"/>
  <c r="E46" i="25"/>
  <c r="H45" i="25"/>
  <c r="E8" i="23"/>
  <c r="E41" i="25"/>
  <c r="H41" i="25"/>
  <c r="L41" i="25"/>
  <c r="E11" i="23"/>
  <c r="L42" i="25"/>
  <c r="E42" i="25"/>
  <c r="E76" i="19" a="1"/>
  <c r="E76" i="19" s="1"/>
  <c r="D8" i="23"/>
  <c r="G41" i="25"/>
  <c r="D41" i="25"/>
  <c r="K41" i="25"/>
  <c r="D54" i="25"/>
  <c r="D47" i="25"/>
  <c r="D60" i="25"/>
  <c r="G43" i="25"/>
  <c r="D44" i="25"/>
  <c r="K44" i="25"/>
  <c r="D57" i="25"/>
  <c r="H44" i="25"/>
  <c r="L45" i="25"/>
  <c r="E45" i="25"/>
  <c r="E39" i="19" a="1"/>
  <c r="E39" i="19" s="1"/>
  <c r="E58" i="19" a="1"/>
  <c r="E58" i="19" s="1"/>
  <c r="K90" i="20"/>
  <c r="M89" i="20" s="1"/>
  <c r="G375" i="19" a="1"/>
  <c r="G375" i="19" s="1"/>
  <c r="G376" i="19" a="1"/>
  <c r="G376" i="19" s="1"/>
  <c r="G368" i="19" a="1"/>
  <c r="G368" i="19" s="1"/>
  <c r="G374" i="19" a="1"/>
  <c r="G374" i="19" s="1"/>
  <c r="G370" i="19" a="1"/>
  <c r="G370" i="19" s="1"/>
  <c r="G369" i="19" a="1"/>
  <c r="G369" i="19" s="1"/>
  <c r="G371" i="19" a="1"/>
  <c r="G371" i="19" s="1"/>
  <c r="G367" i="19" a="1"/>
  <c r="G367" i="19" s="1"/>
  <c r="H367" i="19" s="1" a="1"/>
  <c r="H367" i="19" s="1"/>
  <c r="G372" i="19" a="1"/>
  <c r="G372" i="19" s="1"/>
  <c r="G373" i="19" a="1"/>
  <c r="G373" i="19" s="1"/>
  <c r="G449" i="19" a="1"/>
  <c r="G449" i="19" s="1"/>
  <c r="H449" i="19" s="1" a="1"/>
  <c r="H449" i="19" s="1"/>
  <c r="G434" i="19" a="1"/>
  <c r="G434" i="19" s="1"/>
  <c r="H434" i="19" s="1" a="1"/>
  <c r="H434" i="19" s="1"/>
  <c r="G450" i="19" a="1"/>
  <c r="G450" i="19" s="1"/>
  <c r="H450" i="19" s="1" a="1"/>
  <c r="H450" i="19" s="1"/>
  <c r="G435" i="19" a="1"/>
  <c r="G435" i="19" s="1"/>
  <c r="H435" i="19" s="1" a="1"/>
  <c r="H435" i="19" s="1"/>
  <c r="G451" i="19" a="1"/>
  <c r="G451" i="19" s="1"/>
  <c r="H451" i="19" s="1" a="1"/>
  <c r="H451" i="19" s="1"/>
  <c r="G436" i="19" a="1"/>
  <c r="G436" i="19" s="1"/>
  <c r="G452" i="19" a="1"/>
  <c r="G452" i="19" s="1"/>
  <c r="H452" i="19" s="1" a="1"/>
  <c r="H452" i="19" s="1"/>
  <c r="G437" i="19" a="1"/>
  <c r="G437" i="19" s="1"/>
  <c r="G453" i="19" a="1"/>
  <c r="G453" i="19" s="1"/>
  <c r="H453" i="19" s="1" a="1"/>
  <c r="H453" i="19" s="1"/>
  <c r="G454" i="19" a="1"/>
  <c r="G454" i="19" s="1"/>
  <c r="G438" i="19" a="1"/>
  <c r="G438" i="19" s="1"/>
  <c r="G455" i="19" a="1"/>
  <c r="G455" i="19" s="1"/>
  <c r="G456" i="19" a="1"/>
  <c r="G456" i="19" s="1"/>
  <c r="G439" i="19" a="1"/>
  <c r="G439" i="19" s="1"/>
  <c r="G457" i="19" a="1"/>
  <c r="G457" i="19" s="1"/>
  <c r="G448" i="19" a="1"/>
  <c r="G448" i="19" s="1"/>
  <c r="F448" i="19"/>
  <c r="J448" i="19" s="1" a="1"/>
  <c r="J448" i="19" s="1"/>
  <c r="H448" i="19" l="1" a="1"/>
  <c r="H448" i="19" s="1"/>
  <c r="H436" i="19" a="1"/>
  <c r="H436" i="19" s="1"/>
  <c r="J436" i="19" a="1"/>
  <c r="J436" i="19" s="1"/>
  <c r="J437" i="19" a="1"/>
  <c r="J437" i="19" s="1"/>
  <c r="H437" i="19" a="1"/>
  <c r="H437" i="19" s="1"/>
  <c r="H457" i="19" a="1"/>
  <c r="H457" i="19" s="1"/>
  <c r="J457" i="19" a="1"/>
  <c r="J457" i="19" s="1"/>
  <c r="J439" i="19" a="1"/>
  <c r="J439" i="19" s="1"/>
  <c r="H439" i="19" a="1"/>
  <c r="H439" i="19" s="1"/>
  <c r="J455" i="19" a="1"/>
  <c r="J455" i="19" s="1"/>
  <c r="H455" i="19" a="1"/>
  <c r="H455" i="19" s="1"/>
  <c r="H438" i="19" a="1"/>
  <c r="H438" i="19" s="1"/>
  <c r="E441" i="19" s="1"/>
  <c r="J438" i="19" a="1"/>
  <c r="J438" i="19" s="1"/>
  <c r="H456" i="19" a="1"/>
  <c r="H456" i="19" s="1"/>
  <c r="J456" i="19" a="1"/>
  <c r="J456" i="19" s="1"/>
  <c r="H454" i="19" a="1"/>
  <c r="H454" i="19" s="1"/>
  <c r="J454" i="19" a="1"/>
  <c r="J454" i="19" s="1"/>
  <c r="J376" i="19" a="1"/>
  <c r="J376" i="19" s="1"/>
  <c r="H376" i="19" a="1"/>
  <c r="H376" i="19" s="1"/>
  <c r="H368" i="19" a="1"/>
  <c r="H368" i="19" s="1"/>
  <c r="J368" i="19" a="1"/>
  <c r="J368" i="19" s="1"/>
  <c r="J373" i="19" a="1"/>
  <c r="J373" i="19" s="1"/>
  <c r="H373" i="19" a="1"/>
  <c r="H373" i="19" s="1"/>
  <c r="H372" i="19" a="1"/>
  <c r="H372" i="19" s="1"/>
  <c r="J372" i="19" a="1"/>
  <c r="J372" i="19" s="1"/>
  <c r="H374" i="19" a="1"/>
  <c r="H374" i="19" s="1"/>
  <c r="J374" i="19" a="1"/>
  <c r="J374" i="19" s="1"/>
  <c r="H371" i="19" a="1"/>
  <c r="H371" i="19" s="1"/>
  <c r="J371" i="19" a="1"/>
  <c r="J371" i="19" s="1"/>
  <c r="J370" i="19" a="1"/>
  <c r="J370" i="19" s="1"/>
  <c r="H370" i="19" a="1"/>
  <c r="H370" i="19" s="1"/>
  <c r="H375" i="19" a="1"/>
  <c r="H375" i="19" s="1"/>
  <c r="J375" i="19" a="1"/>
  <c r="J375" i="19" s="1"/>
  <c r="H369" i="19" a="1"/>
  <c r="H369" i="19" s="1"/>
  <c r="J369" i="19" a="1"/>
  <c r="J369" i="19" s="1"/>
  <c r="F119" i="19"/>
  <c r="G119" i="19" s="1" a="1"/>
  <c r="G119" i="19" s="1"/>
  <c r="F127" i="19"/>
  <c r="K242" i="19" a="1"/>
  <c r="K242" i="19" s="1"/>
  <c r="H242" i="19" a="1"/>
  <c r="H242" i="19" s="1"/>
  <c r="F242" i="19" a="1"/>
  <c r="F242" i="19" s="1"/>
  <c r="G242" i="19" s="1" a="1"/>
  <c r="G242" i="19" s="1"/>
  <c r="F122" i="19"/>
  <c r="F240" i="19" a="1"/>
  <c r="F240" i="19" s="1"/>
  <c r="G240" i="19" s="1" a="1"/>
  <c r="G240" i="19" s="1"/>
  <c r="K240" i="19" a="1"/>
  <c r="K240" i="19" s="1"/>
  <c r="H240" i="19" a="1"/>
  <c r="H240" i="19" s="1"/>
  <c r="K243" i="19" a="1"/>
  <c r="K243" i="19" s="1"/>
  <c r="H243" i="19" a="1"/>
  <c r="H243" i="19" s="1"/>
  <c r="F243" i="19" a="1"/>
  <c r="F243" i="19" s="1"/>
  <c r="G243" i="19" s="1" a="1"/>
  <c r="G243" i="19" s="1"/>
  <c r="F121" i="19"/>
  <c r="G121" i="19" s="1" a="1"/>
  <c r="G121" i="19" s="1"/>
  <c r="K238" i="19" a="1"/>
  <c r="K238" i="19" s="1"/>
  <c r="H238" i="19" a="1"/>
  <c r="H238" i="19" s="1"/>
  <c r="F238" i="19" a="1"/>
  <c r="F238" i="19" s="1"/>
  <c r="G238" i="19" s="1" a="1"/>
  <c r="G238" i="19" s="1"/>
  <c r="F126" i="19"/>
  <c r="F239" i="19" a="1"/>
  <c r="F239" i="19" s="1"/>
  <c r="G239" i="19" s="1" a="1"/>
  <c r="G239" i="19" s="1"/>
  <c r="H239" i="19" a="1"/>
  <c r="H239" i="19" s="1"/>
  <c r="K239" i="19" a="1"/>
  <c r="K239" i="19" s="1"/>
  <c r="F123" i="19"/>
  <c r="K245" i="19" a="1"/>
  <c r="K245" i="19" s="1"/>
  <c r="H245" i="19" a="1"/>
  <c r="H245" i="19" s="1"/>
  <c r="F245" i="19" a="1"/>
  <c r="F245" i="19" s="1"/>
  <c r="G245" i="19" s="1" a="1"/>
  <c r="G245" i="19" s="1"/>
  <c r="F125" i="19"/>
  <c r="F124" i="19"/>
  <c r="F128" i="19"/>
  <c r="D270" i="19"/>
  <c r="F281" i="19" a="1"/>
  <c r="F281" i="19" s="1"/>
  <c r="F279" i="19" a="1"/>
  <c r="F279" i="19" s="1"/>
  <c r="F278" i="19" a="1"/>
  <c r="F278" i="19" s="1"/>
  <c r="F272" i="19" a="1"/>
  <c r="F272" i="19" s="1"/>
  <c r="F271" i="19" a="1"/>
  <c r="F271" i="19" s="1"/>
  <c r="E279" i="19"/>
  <c r="F280" i="19" a="1"/>
  <c r="F280" i="19" s="1"/>
  <c r="F273" i="19" a="1"/>
  <c r="F273" i="19" s="1"/>
  <c r="E275" i="19"/>
  <c r="F277" i="19" a="1"/>
  <c r="F277" i="19" s="1"/>
  <c r="E277" i="19"/>
  <c r="E271" i="19"/>
  <c r="E272" i="19"/>
  <c r="E274" i="19"/>
  <c r="F274" i="19" a="1"/>
  <c r="F274" i="19" s="1"/>
  <c r="F275" i="19" a="1"/>
  <c r="F275" i="19" s="1"/>
  <c r="F276" i="19" a="1"/>
  <c r="F276" i="19" s="1"/>
  <c r="E273" i="19"/>
  <c r="E276" i="19"/>
  <c r="E281" i="19"/>
  <c r="E278" i="19"/>
  <c r="E280" i="19"/>
  <c r="F120" i="19"/>
  <c r="G120" i="19" s="1" a="1"/>
  <c r="G120" i="19" s="1"/>
  <c r="F241" i="19" a="1"/>
  <c r="F241" i="19" s="1"/>
  <c r="G241" i="19" s="1" a="1"/>
  <c r="G241" i="19" s="1"/>
  <c r="H241" i="19" a="1"/>
  <c r="H241" i="19" s="1"/>
  <c r="K241" i="19" a="1"/>
  <c r="K241" i="19" s="1"/>
  <c r="F237" i="19" a="1"/>
  <c r="F237" i="19" s="1"/>
  <c r="G237" i="19" s="1" a="1"/>
  <c r="G237" i="19" s="1"/>
  <c r="H237" i="19" a="1"/>
  <c r="H237" i="19" s="1"/>
  <c r="F246" i="19" a="1"/>
  <c r="F246" i="19" s="1"/>
  <c r="G246" i="19" s="1" a="1"/>
  <c r="G246" i="19" s="1"/>
  <c r="K246" i="19" a="1"/>
  <c r="K246" i="19" s="1"/>
  <c r="H246" i="19" a="1"/>
  <c r="H246" i="19" s="1"/>
  <c r="F244" i="19" a="1"/>
  <c r="F244" i="19" s="1"/>
  <c r="G244" i="19" s="1" a="1"/>
  <c r="G244" i="19" s="1"/>
  <c r="H244" i="19" a="1"/>
  <c r="H244" i="19" s="1"/>
  <c r="K244" i="19" a="1"/>
  <c r="K244" i="19" s="1"/>
  <c r="I307" i="19" a="1"/>
  <c r="I307" i="19" s="1"/>
  <c r="I314" i="19" a="1"/>
  <c r="I314" i="19" s="1"/>
  <c r="I306" i="19" a="1"/>
  <c r="I306" i="19" s="1"/>
  <c r="I305" i="19" a="1"/>
  <c r="I305" i="19" s="1"/>
  <c r="I313" i="19" a="1"/>
  <c r="I313" i="19" s="1"/>
  <c r="I311" i="19" a="1"/>
  <c r="I311" i="19" s="1"/>
  <c r="I312" i="19" a="1"/>
  <c r="I312" i="19" s="1"/>
  <c r="I310" i="19" a="1"/>
  <c r="I310" i="19" s="1"/>
  <c r="I308" i="19" a="1"/>
  <c r="I308" i="19" s="1"/>
  <c r="I309" i="19" a="1"/>
  <c r="I309" i="19" s="1"/>
  <c r="J26" i="19" a="1"/>
  <c r="J26" i="19" s="1"/>
  <c r="E35" i="19"/>
  <c r="J25" i="19" a="1"/>
  <c r="J25" i="19" s="1"/>
  <c r="J66" i="19" a="1"/>
  <c r="J66" i="19" s="1"/>
  <c r="J67" i="19" a="1"/>
  <c r="J67" i="19" s="1"/>
  <c r="J64" i="19" a="1"/>
  <c r="J64" i="19" s="1"/>
  <c r="J65" i="19" a="1"/>
  <c r="J65" i="19" s="1"/>
  <c r="J63" i="19" a="1"/>
  <c r="J63" i="19" s="1"/>
  <c r="J68" i="19" a="1"/>
  <c r="J68" i="19" s="1"/>
  <c r="J69" i="19" a="1"/>
  <c r="J69" i="19" s="1"/>
  <c r="J70" i="19" a="1"/>
  <c r="J70" i="19" s="1"/>
  <c r="J88" i="19" a="1"/>
  <c r="J88" i="19" s="1"/>
  <c r="J85" i="19" a="1"/>
  <c r="J85" i="19" s="1"/>
  <c r="J87" i="19" a="1"/>
  <c r="J87" i="19" s="1"/>
  <c r="J82" i="19" a="1"/>
  <c r="J82" i="19" s="1"/>
  <c r="J81" i="19" a="1"/>
  <c r="J81" i="19" s="1"/>
  <c r="J84" i="19" a="1"/>
  <c r="J84" i="19" s="1"/>
  <c r="J80" i="19" a="1"/>
  <c r="J80" i="19" s="1"/>
  <c r="J83" i="19" a="1"/>
  <c r="J83" i="19" s="1"/>
  <c r="J86" i="19" a="1"/>
  <c r="J86" i="19" s="1"/>
  <c r="G82" i="19" a="1"/>
  <c r="G82" i="19" s="1"/>
  <c r="G88" i="19" a="1"/>
  <c r="G88" i="19" s="1"/>
  <c r="G85" i="19" a="1"/>
  <c r="G85" i="19" s="1"/>
  <c r="G83" i="19" a="1"/>
  <c r="G83" i="19" s="1"/>
  <c r="G80" i="19" a="1"/>
  <c r="G80" i="19" s="1"/>
  <c r="G86" i="19" a="1"/>
  <c r="G86" i="19" s="1"/>
  <c r="G84" i="19" a="1"/>
  <c r="G84" i="19" s="1"/>
  <c r="G87" i="19" a="1"/>
  <c r="G87" i="19" s="1"/>
  <c r="G81" i="19" a="1"/>
  <c r="G81" i="19" s="1"/>
  <c r="G79" i="19" a="1"/>
  <c r="G79" i="19" s="1"/>
  <c r="J32" i="19" a="1"/>
  <c r="J32" i="19" s="1"/>
  <c r="J27" i="19" a="1"/>
  <c r="J27" i="19" s="1"/>
  <c r="J31" i="19" a="1"/>
  <c r="J31" i="19" s="1"/>
  <c r="J28" i="19" a="1"/>
  <c r="J28" i="19" s="1"/>
  <c r="J30" i="19" a="1"/>
  <c r="J30" i="19" s="1"/>
  <c r="J29" i="19" a="1"/>
  <c r="J29" i="19" s="1"/>
  <c r="G70" i="19" a="1"/>
  <c r="G70" i="19" s="1"/>
  <c r="G69" i="19" a="1"/>
  <c r="G69" i="19" s="1"/>
  <c r="G62" i="19" a="1"/>
  <c r="G62" i="19" s="1"/>
  <c r="G68" i="19" a="1"/>
  <c r="G68" i="19" s="1"/>
  <c r="G67" i="19" a="1"/>
  <c r="G67" i="19" s="1"/>
  <c r="G65" i="19" a="1"/>
  <c r="G65" i="19" s="1"/>
  <c r="G63" i="19" a="1"/>
  <c r="G63" i="19" s="1"/>
  <c r="G66" i="19" a="1"/>
  <c r="G66" i="19" s="1"/>
  <c r="G64" i="19" a="1"/>
  <c r="G64" i="19" s="1"/>
  <c r="G61" i="19" a="1"/>
  <c r="G61" i="19" s="1"/>
  <c r="J50" i="19" a="1"/>
  <c r="J50" i="19" s="1"/>
  <c r="J46" i="19" a="1"/>
  <c r="J46" i="19" s="1"/>
  <c r="J45" i="19" a="1"/>
  <c r="J45" i="19" s="1"/>
  <c r="J49" i="19" a="1"/>
  <c r="J49" i="19" s="1"/>
  <c r="J48" i="19" a="1"/>
  <c r="J48" i="19" s="1"/>
  <c r="J47" i="19" a="1"/>
  <c r="J47" i="19" s="1"/>
  <c r="J44" i="19" a="1"/>
  <c r="J44" i="19" s="1"/>
  <c r="J43" i="19" a="1"/>
  <c r="J43" i="19" s="1"/>
  <c r="J51" i="19" a="1"/>
  <c r="J51" i="19" s="1"/>
  <c r="G43" i="19" a="1"/>
  <c r="G43" i="19" s="1"/>
  <c r="G51" i="19" a="1"/>
  <c r="G51" i="19" s="1"/>
  <c r="G48" i="19" a="1"/>
  <c r="G48" i="19" s="1"/>
  <c r="G45" i="19" a="1"/>
  <c r="G45" i="19" s="1"/>
  <c r="G44" i="19" a="1"/>
  <c r="G44" i="19" s="1"/>
  <c r="G49" i="19" a="1"/>
  <c r="G49" i="19" s="1"/>
  <c r="G50" i="19" a="1"/>
  <c r="G50" i="19" s="1"/>
  <c r="G47" i="19" a="1"/>
  <c r="G47" i="19" s="1"/>
  <c r="G46" i="19" a="1"/>
  <c r="G46" i="19" s="1"/>
  <c r="G42" i="19" a="1"/>
  <c r="G42" i="19" s="1"/>
  <c r="I274" i="19" l="1" a="1"/>
  <c r="I274" i="19" s="1"/>
  <c r="I277" i="19" a="1"/>
  <c r="I277" i="19" s="1"/>
  <c r="G275" i="19" a="1"/>
  <c r="G275" i="19" s="1"/>
  <c r="E459" i="19"/>
  <c r="E460" i="19"/>
  <c r="E442" i="19"/>
  <c r="E379" i="19"/>
  <c r="I272" i="19" a="1"/>
  <c r="I272" i="19" s="1"/>
  <c r="G272" i="19" a="1"/>
  <c r="G272" i="19" s="1"/>
  <c r="I128" i="19" a="1"/>
  <c r="I128" i="19" s="1"/>
  <c r="G128" i="19" a="1"/>
  <c r="G128" i="19" s="1"/>
  <c r="I271" i="19" a="1"/>
  <c r="I271" i="19" s="1"/>
  <c r="G271" i="19" a="1"/>
  <c r="G271" i="19" s="1"/>
  <c r="G124" i="19" a="1"/>
  <c r="G124" i="19" s="1"/>
  <c r="I124" i="19" a="1"/>
  <c r="I124" i="19" s="1"/>
  <c r="E316" i="19"/>
  <c r="G277" i="19" a="1"/>
  <c r="G277" i="19" s="1"/>
  <c r="I125" i="19" a="1"/>
  <c r="I125" i="19" s="1"/>
  <c r="G125" i="19" a="1"/>
  <c r="G125" i="19" s="1"/>
  <c r="G278" i="19" a="1"/>
  <c r="G278" i="19" s="1"/>
  <c r="I278" i="19" a="1"/>
  <c r="I278" i="19" s="1"/>
  <c r="G279" i="19" a="1"/>
  <c r="G279" i="19" s="1"/>
  <c r="I279" i="19" a="1"/>
  <c r="I279" i="19" s="1"/>
  <c r="G123" i="19" a="1"/>
  <c r="G123" i="19" s="1"/>
  <c r="I123" i="19" a="1"/>
  <c r="I123" i="19" s="1"/>
  <c r="G276" i="19" a="1"/>
  <c r="G276" i="19" s="1"/>
  <c r="I276" i="19" a="1"/>
  <c r="I276" i="19" s="1"/>
  <c r="I122" i="19" a="1"/>
  <c r="I122" i="19" s="1"/>
  <c r="G122" i="19" a="1"/>
  <c r="G122" i="19" s="1"/>
  <c r="G273" i="19" a="1"/>
  <c r="G273" i="19" s="1"/>
  <c r="I273" i="19" a="1"/>
  <c r="I273" i="19" s="1"/>
  <c r="G280" i="19" a="1"/>
  <c r="G280" i="19" s="1"/>
  <c r="I280" i="19" a="1"/>
  <c r="I280" i="19" s="1"/>
  <c r="I275" i="19" a="1"/>
  <c r="I275" i="19" s="1"/>
  <c r="G126" i="19" a="1"/>
  <c r="G126" i="19" s="1"/>
  <c r="I126" i="19" a="1"/>
  <c r="I126" i="19" s="1"/>
  <c r="I281" i="19" a="1"/>
  <c r="I281" i="19" s="1"/>
  <c r="G281" i="19" a="1"/>
  <c r="G281" i="19" s="1"/>
  <c r="G274" i="19" a="1"/>
  <c r="G274" i="19" s="1"/>
  <c r="G127" i="19" a="1"/>
  <c r="G127" i="19" s="1"/>
  <c r="I127" i="19" a="1"/>
  <c r="I127" i="19" s="1"/>
  <c r="F270" i="19" a="1"/>
  <c r="F270" i="19" s="1"/>
  <c r="E270" i="19"/>
  <c r="E34" i="19"/>
  <c r="E53" i="19"/>
  <c r="E54" i="19"/>
  <c r="E73" i="19"/>
  <c r="E72" i="19"/>
  <c r="E90" i="19"/>
  <c r="E91" i="19"/>
  <c r="D38" i="6" a="1"/>
  <c r="D38" i="6" s="1"/>
  <c r="E38" i="6" a="1"/>
  <c r="E38" i="6" s="1"/>
  <c r="F38" i="6" a="1"/>
  <c r="F38" i="6" s="1"/>
  <c r="G38" i="6" a="1"/>
  <c r="G38" i="6" s="1"/>
  <c r="H38" i="6" a="1"/>
  <c r="H38" i="6" s="1"/>
  <c r="I38" i="6" a="1"/>
  <c r="I38" i="6" s="1"/>
  <c r="F25" i="7"/>
  <c r="G25" i="7" s="1"/>
  <c r="G270" i="19" l="1" a="1"/>
  <c r="G270" i="19" s="1"/>
  <c r="E283" i="19" s="1"/>
  <c r="I270" i="19" a="1"/>
  <c r="I270" i="19" s="1"/>
  <c r="E284" i="19" s="1"/>
  <c r="E130" i="19"/>
  <c r="E144" i="19" s="1"/>
  <c r="E131" i="19"/>
  <c r="E145" i="19" s="1"/>
  <c r="E93" i="19"/>
  <c r="E94" i="19"/>
  <c r="G180" i="20"/>
  <c r="V23" i="6" l="1" a="1"/>
  <c r="V23" i="6" s="1"/>
  <c r="V22" i="6" a="1"/>
  <c r="V22" i="6" s="1"/>
  <c r="V21" i="6" a="1"/>
  <c r="V21" i="6" s="1"/>
  <c r="V20" i="6" a="1"/>
  <c r="V20" i="6" s="1"/>
  <c r="V18" i="6" a="1"/>
  <c r="V18" i="6" s="1"/>
  <c r="V17" i="6" a="1"/>
  <c r="V17" i="6" s="1"/>
  <c r="H18" i="7"/>
  <c r="H194" i="20" l="1"/>
  <c r="I174" i="20"/>
  <c r="I175" i="20"/>
  <c r="H195" i="20"/>
  <c r="H196" i="20"/>
  <c r="I176" i="20"/>
  <c r="I177" i="20"/>
  <c r="H197" i="20"/>
  <c r="A39" i="15" l="1"/>
  <c r="A38" i="15"/>
  <c r="A37" i="15"/>
  <c r="A36" i="15"/>
  <c r="A33" i="15"/>
  <c r="A30" i="15"/>
  <c r="A29" i="15"/>
  <c r="A28" i="15"/>
  <c r="A27" i="15"/>
  <c r="A26" i="15"/>
  <c r="A25" i="15"/>
  <c r="A24" i="15"/>
  <c r="A19" i="15"/>
  <c r="A18" i="15"/>
  <c r="A15" i="15"/>
  <c r="A14" i="15"/>
  <c r="A13" i="15"/>
  <c r="A12" i="15"/>
  <c r="A11" i="15"/>
  <c r="A10" i="15"/>
  <c r="A9" i="15"/>
  <c r="A8" i="15"/>
  <c r="A7" i="15"/>
  <c r="A4" i="15"/>
  <c r="E46" i="1" l="1"/>
  <c r="E45" i="1"/>
  <c r="E26" i="9"/>
  <c r="I33" i="9" s="1"/>
  <c r="E25" i="9"/>
  <c r="I44" i="9" s="1"/>
  <c r="E12" i="9"/>
  <c r="E18" i="9" s="1"/>
  <c r="A15" i="10"/>
  <c r="A14" i="10"/>
  <c r="E13" i="10"/>
  <c r="A11" i="10"/>
  <c r="A8" i="10"/>
  <c r="A5" i="10"/>
  <c r="A4" i="10"/>
  <c r="A3" i="10"/>
  <c r="H44" i="9"/>
  <c r="E44" i="9"/>
  <c r="H43" i="9"/>
  <c r="E43" i="9"/>
  <c r="H42" i="9"/>
  <c r="E42" i="9"/>
  <c r="H35" i="9"/>
  <c r="H34" i="9"/>
  <c r="H33" i="9"/>
  <c r="A15" i="9"/>
  <c r="A14" i="9"/>
  <c r="A11" i="9"/>
  <c r="A8" i="9"/>
  <c r="A5" i="9"/>
  <c r="A4" i="9"/>
  <c r="A3" i="9"/>
  <c r="H25" i="8" a="1"/>
  <c r="H25" i="8" s="1"/>
  <c r="G25" i="8" a="1"/>
  <c r="G25" i="8" s="1"/>
  <c r="F25" i="8" a="1"/>
  <c r="F25" i="8" s="1"/>
  <c r="E25" i="8" a="1"/>
  <c r="E25" i="8" s="1"/>
  <c r="D25" i="8" a="1"/>
  <c r="D25" i="8" s="1"/>
  <c r="D22" i="8" a="1"/>
  <c r="D22" i="8" s="1"/>
  <c r="D21" i="8" a="1"/>
  <c r="D21" i="8" s="1"/>
  <c r="F19" i="8" a="1"/>
  <c r="F19" i="8" s="1"/>
  <c r="E19" i="8" a="1"/>
  <c r="E19" i="8" s="1"/>
  <c r="D19" i="8" a="1"/>
  <c r="D19" i="8" s="1"/>
  <c r="F18" i="8" a="1"/>
  <c r="F18" i="8" s="1"/>
  <c r="E18" i="8" a="1"/>
  <c r="E18" i="8" s="1"/>
  <c r="D18" i="8" a="1"/>
  <c r="D18" i="8" s="1"/>
  <c r="F17" i="8" a="1"/>
  <c r="F17" i="8" s="1"/>
  <c r="E17" i="8" a="1"/>
  <c r="E17" i="8" s="1"/>
  <c r="D17" i="8" a="1"/>
  <c r="D17" i="8" s="1"/>
  <c r="F16" i="8" a="1"/>
  <c r="F16" i="8" s="1"/>
  <c r="E16" i="8" a="1"/>
  <c r="E16" i="8" s="1"/>
  <c r="D16" i="8" a="1"/>
  <c r="D16" i="8" s="1"/>
  <c r="F15" i="8" a="1"/>
  <c r="F15" i="8" s="1"/>
  <c r="E15" i="8" a="1"/>
  <c r="E15" i="8" s="1"/>
  <c r="D15" i="8" a="1"/>
  <c r="D15" i="8" s="1"/>
  <c r="A15" i="8"/>
  <c r="F14" i="8" a="1"/>
  <c r="F14" i="8" s="1"/>
  <c r="E14" i="8" a="1"/>
  <c r="E14" i="8" s="1"/>
  <c r="D14" i="8" a="1"/>
  <c r="D14" i="8" s="1"/>
  <c r="A14" i="8"/>
  <c r="F13" i="8" a="1"/>
  <c r="F13" i="8" s="1"/>
  <c r="E13" i="8" a="1"/>
  <c r="E13" i="8" s="1"/>
  <c r="D13" i="8" a="1"/>
  <c r="D13" i="8" s="1"/>
  <c r="F12" i="8" a="1"/>
  <c r="F12" i="8" s="1"/>
  <c r="E12" i="8" a="1"/>
  <c r="E12" i="8" s="1"/>
  <c r="D12" i="8" a="1"/>
  <c r="D12" i="8" s="1"/>
  <c r="F11" i="8" a="1"/>
  <c r="F11" i="8" s="1"/>
  <c r="E11" i="8" a="1"/>
  <c r="E11" i="8" s="1"/>
  <c r="D11" i="8" a="1"/>
  <c r="D11" i="8" s="1"/>
  <c r="A11" i="8"/>
  <c r="F10" i="8" a="1"/>
  <c r="F10" i="8" s="1"/>
  <c r="E10" i="8" a="1"/>
  <c r="E10" i="8" s="1"/>
  <c r="D10" i="8" a="1"/>
  <c r="D10" i="8" s="1"/>
  <c r="A8" i="8"/>
  <c r="D7" i="8" a="1"/>
  <c r="D7" i="8" s="1"/>
  <c r="D6" i="8" a="1"/>
  <c r="D6" i="8" s="1"/>
  <c r="D5" i="8" a="1"/>
  <c r="D5" i="8" s="1"/>
  <c r="A5" i="8"/>
  <c r="A4" i="8"/>
  <c r="A3" i="8"/>
  <c r="I42" i="9" l="1"/>
  <c r="E46" i="9" s="1"/>
  <c r="I34" i="9"/>
  <c r="E37" i="9" s="1"/>
  <c r="I35" i="9"/>
  <c r="I43" i="9"/>
  <c r="H45" i="7" l="1"/>
  <c r="I45" i="7" s="1"/>
  <c r="G45" i="7"/>
  <c r="H44" i="7"/>
  <c r="I44" i="7" s="1"/>
  <c r="G44" i="7"/>
  <c r="A44" i="7"/>
  <c r="F24" i="7"/>
  <c r="G24" i="7" s="1"/>
  <c r="A21" i="7"/>
  <c r="A20" i="7"/>
  <c r="A17" i="7"/>
  <c r="A16" i="7"/>
  <c r="A15" i="7"/>
  <c r="A14" i="7"/>
  <c r="A13" i="7"/>
  <c r="A12" i="7"/>
  <c r="A9" i="7"/>
  <c r="A8" i="7"/>
  <c r="A5" i="7"/>
  <c r="A4" i="7"/>
  <c r="A3" i="7"/>
  <c r="AE153" i="6" a="1"/>
  <c r="AE153" i="6" s="1"/>
  <c r="AD153" i="6" a="1"/>
  <c r="AD153" i="6" s="1"/>
  <c r="AC153" i="6" a="1"/>
  <c r="AC153" i="6" s="1"/>
  <c r="AB153" i="6" a="1"/>
  <c r="AB153" i="6" s="1"/>
  <c r="AA153" i="6" a="1"/>
  <c r="AA153" i="6" s="1"/>
  <c r="Z153" i="6" a="1"/>
  <c r="Z153" i="6" s="1"/>
  <c r="Y153" i="6" a="1"/>
  <c r="Y153" i="6" s="1"/>
  <c r="X153" i="6" a="1"/>
  <c r="X153" i="6" s="1"/>
  <c r="W153" i="6" a="1"/>
  <c r="W153" i="6" s="1"/>
  <c r="V153" i="6" a="1"/>
  <c r="V153" i="6" s="1"/>
  <c r="U153" i="6" a="1"/>
  <c r="U153" i="6" s="1"/>
  <c r="T153" i="6" a="1"/>
  <c r="T153" i="6" s="1"/>
  <c r="S153" i="6" a="1"/>
  <c r="S153" i="6" s="1"/>
  <c r="R153" i="6" a="1"/>
  <c r="R153" i="6" s="1"/>
  <c r="Q153" i="6" a="1"/>
  <c r="Q153" i="6" s="1"/>
  <c r="P153" i="6" a="1"/>
  <c r="P153" i="6" s="1"/>
  <c r="O153" i="6" a="1"/>
  <c r="O153" i="6" s="1"/>
  <c r="N153" i="6" a="1"/>
  <c r="N153" i="6" s="1"/>
  <c r="M153" i="6" a="1"/>
  <c r="M153" i="6" s="1"/>
  <c r="L153" i="6" a="1"/>
  <c r="L153" i="6" s="1"/>
  <c r="K153" i="6" a="1"/>
  <c r="K153" i="6" s="1"/>
  <c r="J153" i="6" a="1"/>
  <c r="J153" i="6" s="1"/>
  <c r="I153" i="6" a="1"/>
  <c r="I153" i="6" s="1"/>
  <c r="H153" i="6" a="1"/>
  <c r="H153" i="6" s="1"/>
  <c r="G153" i="6" a="1"/>
  <c r="G153" i="6" s="1"/>
  <c r="F153" i="6" a="1"/>
  <c r="F153" i="6" s="1"/>
  <c r="E153" i="6" a="1"/>
  <c r="E153" i="6" s="1"/>
  <c r="D153" i="6" a="1"/>
  <c r="D153" i="6" s="1"/>
  <c r="AE152" i="6" a="1"/>
  <c r="AE152" i="6" s="1"/>
  <c r="AD152" i="6" a="1"/>
  <c r="AD152" i="6" s="1"/>
  <c r="AC152" i="6" a="1"/>
  <c r="AC152" i="6" s="1"/>
  <c r="AB152" i="6" a="1"/>
  <c r="AB152" i="6" s="1"/>
  <c r="AA152" i="6" a="1"/>
  <c r="AA152" i="6" s="1"/>
  <c r="Z152" i="6" a="1"/>
  <c r="Z152" i="6" s="1"/>
  <c r="Y152" i="6" a="1"/>
  <c r="Y152" i="6" s="1"/>
  <c r="X152" i="6" a="1"/>
  <c r="X152" i="6" s="1"/>
  <c r="W152" i="6" a="1"/>
  <c r="W152" i="6" s="1"/>
  <c r="V152" i="6" a="1"/>
  <c r="V152" i="6" s="1"/>
  <c r="U152" i="6" a="1"/>
  <c r="U152" i="6" s="1"/>
  <c r="T152" i="6" a="1"/>
  <c r="T152" i="6" s="1"/>
  <c r="S152" i="6" a="1"/>
  <c r="S152" i="6" s="1"/>
  <c r="R152" i="6" a="1"/>
  <c r="R152" i="6" s="1"/>
  <c r="Q152" i="6" a="1"/>
  <c r="Q152" i="6" s="1"/>
  <c r="P152" i="6" a="1"/>
  <c r="P152" i="6" s="1"/>
  <c r="O152" i="6" a="1"/>
  <c r="O152" i="6" s="1"/>
  <c r="N152" i="6" a="1"/>
  <c r="N152" i="6" s="1"/>
  <c r="M152" i="6" a="1"/>
  <c r="M152" i="6" s="1"/>
  <c r="L152" i="6" a="1"/>
  <c r="L152" i="6" s="1"/>
  <c r="K152" i="6" a="1"/>
  <c r="K152" i="6" s="1"/>
  <c r="J152" i="6" a="1"/>
  <c r="J152" i="6" s="1"/>
  <c r="I152" i="6" a="1"/>
  <c r="I152" i="6" s="1"/>
  <c r="H152" i="6" a="1"/>
  <c r="H152" i="6" s="1"/>
  <c r="G152" i="6" a="1"/>
  <c r="G152" i="6" s="1"/>
  <c r="F152" i="6" a="1"/>
  <c r="F152" i="6" s="1"/>
  <c r="E152" i="6" a="1"/>
  <c r="E152" i="6" s="1"/>
  <c r="D152" i="6" a="1"/>
  <c r="D152" i="6" s="1"/>
  <c r="AE151" i="6" a="1"/>
  <c r="AE151" i="6" s="1"/>
  <c r="AD151" i="6" a="1"/>
  <c r="AD151" i="6" s="1"/>
  <c r="AC151" i="6" a="1"/>
  <c r="AC151" i="6" s="1"/>
  <c r="AB151" i="6" a="1"/>
  <c r="AB151" i="6" s="1"/>
  <c r="AA151" i="6" a="1"/>
  <c r="AA151" i="6" s="1"/>
  <c r="Z151" i="6" a="1"/>
  <c r="Z151" i="6" s="1"/>
  <c r="Y151" i="6" a="1"/>
  <c r="Y151" i="6" s="1"/>
  <c r="X151" i="6" a="1"/>
  <c r="X151" i="6" s="1"/>
  <c r="W151" i="6" a="1"/>
  <c r="W151" i="6" s="1"/>
  <c r="V151" i="6" a="1"/>
  <c r="V151" i="6" s="1"/>
  <c r="U151" i="6" a="1"/>
  <c r="U151" i="6" s="1"/>
  <c r="T151" i="6" a="1"/>
  <c r="T151" i="6" s="1"/>
  <c r="S151" i="6" a="1"/>
  <c r="S151" i="6" s="1"/>
  <c r="R151" i="6" a="1"/>
  <c r="R151" i="6" s="1"/>
  <c r="Q151" i="6" a="1"/>
  <c r="Q151" i="6" s="1"/>
  <c r="P151" i="6" a="1"/>
  <c r="P151" i="6" s="1"/>
  <c r="O151" i="6" a="1"/>
  <c r="O151" i="6" s="1"/>
  <c r="N151" i="6" a="1"/>
  <c r="N151" i="6" s="1"/>
  <c r="M151" i="6" a="1"/>
  <c r="M151" i="6" s="1"/>
  <c r="L151" i="6" a="1"/>
  <c r="L151" i="6" s="1"/>
  <c r="K151" i="6" a="1"/>
  <c r="K151" i="6" s="1"/>
  <c r="J151" i="6" a="1"/>
  <c r="J151" i="6" s="1"/>
  <c r="I151" i="6" a="1"/>
  <c r="I151" i="6" s="1"/>
  <c r="H151" i="6" a="1"/>
  <c r="H151" i="6" s="1"/>
  <c r="G151" i="6" a="1"/>
  <c r="G151" i="6" s="1"/>
  <c r="F151" i="6" a="1"/>
  <c r="F151" i="6" s="1"/>
  <c r="E151" i="6" a="1"/>
  <c r="E151" i="6" s="1"/>
  <c r="D151" i="6" a="1"/>
  <c r="D151" i="6" s="1"/>
  <c r="AE150" i="6" a="1"/>
  <c r="AE150" i="6" s="1"/>
  <c r="AD150" i="6" a="1"/>
  <c r="AD150" i="6" s="1"/>
  <c r="AC150" i="6" a="1"/>
  <c r="AC150" i="6" s="1"/>
  <c r="AB150" i="6" a="1"/>
  <c r="AB150" i="6" s="1"/>
  <c r="AA150" i="6" a="1"/>
  <c r="AA150" i="6" s="1"/>
  <c r="Z150" i="6" a="1"/>
  <c r="Z150" i="6" s="1"/>
  <c r="Y150" i="6" a="1"/>
  <c r="Y150" i="6" s="1"/>
  <c r="X150" i="6" a="1"/>
  <c r="X150" i="6" s="1"/>
  <c r="W150" i="6" a="1"/>
  <c r="W150" i="6" s="1"/>
  <c r="V150" i="6" a="1"/>
  <c r="V150" i="6" s="1"/>
  <c r="U150" i="6" a="1"/>
  <c r="U150" i="6" s="1"/>
  <c r="T150" i="6" a="1"/>
  <c r="T150" i="6" s="1"/>
  <c r="S150" i="6" a="1"/>
  <c r="S150" i="6" s="1"/>
  <c r="R150" i="6" a="1"/>
  <c r="R150" i="6" s="1"/>
  <c r="Q150" i="6" a="1"/>
  <c r="Q150" i="6" s="1"/>
  <c r="P150" i="6" a="1"/>
  <c r="P150" i="6" s="1"/>
  <c r="O150" i="6" a="1"/>
  <c r="O150" i="6" s="1"/>
  <c r="N150" i="6" a="1"/>
  <c r="N150" i="6" s="1"/>
  <c r="M150" i="6" a="1"/>
  <c r="M150" i="6" s="1"/>
  <c r="L150" i="6" a="1"/>
  <c r="L150" i="6" s="1"/>
  <c r="K150" i="6" a="1"/>
  <c r="K150" i="6" s="1"/>
  <c r="J150" i="6" a="1"/>
  <c r="J150" i="6" s="1"/>
  <c r="I150" i="6" a="1"/>
  <c r="I150" i="6" s="1"/>
  <c r="H150" i="6" a="1"/>
  <c r="H150" i="6" s="1"/>
  <c r="G150" i="6" a="1"/>
  <c r="G150" i="6" s="1"/>
  <c r="F150" i="6" a="1"/>
  <c r="F150" i="6" s="1"/>
  <c r="E150" i="6" a="1"/>
  <c r="E150" i="6" s="1"/>
  <c r="D150" i="6" a="1"/>
  <c r="D150" i="6" s="1"/>
  <c r="AE149" i="6" a="1"/>
  <c r="AE149" i="6" s="1"/>
  <c r="AD149" i="6" a="1"/>
  <c r="AD149" i="6" s="1"/>
  <c r="AC149" i="6" a="1"/>
  <c r="AC149" i="6" s="1"/>
  <c r="AB149" i="6" a="1"/>
  <c r="AB149" i="6" s="1"/>
  <c r="AA149" i="6" a="1"/>
  <c r="AA149" i="6" s="1"/>
  <c r="Z149" i="6" a="1"/>
  <c r="Z149" i="6" s="1"/>
  <c r="Y149" i="6" a="1"/>
  <c r="Y149" i="6" s="1"/>
  <c r="X149" i="6" a="1"/>
  <c r="X149" i="6" s="1"/>
  <c r="W149" i="6" a="1"/>
  <c r="W149" i="6" s="1"/>
  <c r="V149" i="6" a="1"/>
  <c r="V149" i="6" s="1"/>
  <c r="U149" i="6" a="1"/>
  <c r="U149" i="6" s="1"/>
  <c r="T149" i="6" a="1"/>
  <c r="T149" i="6" s="1"/>
  <c r="S149" i="6" a="1"/>
  <c r="S149" i="6" s="1"/>
  <c r="R149" i="6" a="1"/>
  <c r="R149" i="6" s="1"/>
  <c r="Q149" i="6" a="1"/>
  <c r="Q149" i="6" s="1"/>
  <c r="P149" i="6" a="1"/>
  <c r="P149" i="6" s="1"/>
  <c r="O149" i="6" a="1"/>
  <c r="O149" i="6" s="1"/>
  <c r="N149" i="6" a="1"/>
  <c r="N149" i="6" s="1"/>
  <c r="M149" i="6" a="1"/>
  <c r="M149" i="6" s="1"/>
  <c r="L149" i="6" a="1"/>
  <c r="L149" i="6" s="1"/>
  <c r="K149" i="6" a="1"/>
  <c r="K149" i="6" s="1"/>
  <c r="J149" i="6" a="1"/>
  <c r="J149" i="6" s="1"/>
  <c r="I149" i="6" a="1"/>
  <c r="I149" i="6" s="1"/>
  <c r="H149" i="6" a="1"/>
  <c r="H149" i="6" s="1"/>
  <c r="G149" i="6" a="1"/>
  <c r="G149" i="6" s="1"/>
  <c r="F149" i="6" a="1"/>
  <c r="F149" i="6" s="1"/>
  <c r="E149" i="6" a="1"/>
  <c r="E149" i="6" s="1"/>
  <c r="D149" i="6" a="1"/>
  <c r="D149" i="6" s="1"/>
  <c r="AE148" i="6" a="1"/>
  <c r="AE148" i="6" s="1"/>
  <c r="AD148" i="6" a="1"/>
  <c r="AD148" i="6" s="1"/>
  <c r="AC148" i="6" a="1"/>
  <c r="AC148" i="6" s="1"/>
  <c r="AB148" i="6" a="1"/>
  <c r="AB148" i="6" s="1"/>
  <c r="AA148" i="6" a="1"/>
  <c r="AA148" i="6" s="1"/>
  <c r="Z148" i="6" a="1"/>
  <c r="Z148" i="6" s="1"/>
  <c r="Y148" i="6" a="1"/>
  <c r="Y148" i="6" s="1"/>
  <c r="X148" i="6" a="1"/>
  <c r="X148" i="6" s="1"/>
  <c r="W148" i="6" a="1"/>
  <c r="W148" i="6" s="1"/>
  <c r="V148" i="6" a="1"/>
  <c r="V148" i="6" s="1"/>
  <c r="U148" i="6" a="1"/>
  <c r="U148" i="6" s="1"/>
  <c r="T148" i="6" a="1"/>
  <c r="T148" i="6" s="1"/>
  <c r="S148" i="6" a="1"/>
  <c r="S148" i="6" s="1"/>
  <c r="R148" i="6" a="1"/>
  <c r="R148" i="6" s="1"/>
  <c r="Q148" i="6" a="1"/>
  <c r="Q148" i="6" s="1"/>
  <c r="P148" i="6" a="1"/>
  <c r="P148" i="6" s="1"/>
  <c r="O148" i="6" a="1"/>
  <c r="O148" i="6" s="1"/>
  <c r="N148" i="6" a="1"/>
  <c r="N148" i="6" s="1"/>
  <c r="M148" i="6" a="1"/>
  <c r="M148" i="6" s="1"/>
  <c r="L148" i="6" a="1"/>
  <c r="L148" i="6" s="1"/>
  <c r="K148" i="6" a="1"/>
  <c r="K148" i="6" s="1"/>
  <c r="J148" i="6" a="1"/>
  <c r="J148" i="6" s="1"/>
  <c r="I148" i="6" a="1"/>
  <c r="I148" i="6" s="1"/>
  <c r="H148" i="6" a="1"/>
  <c r="H148" i="6" s="1"/>
  <c r="G148" i="6" a="1"/>
  <c r="G148" i="6" s="1"/>
  <c r="F148" i="6" a="1"/>
  <c r="F148" i="6" s="1"/>
  <c r="E148" i="6" a="1"/>
  <c r="E148" i="6" s="1"/>
  <c r="D148" i="6" a="1"/>
  <c r="D148" i="6" s="1"/>
  <c r="AE147" i="6" a="1"/>
  <c r="AE147" i="6" s="1"/>
  <c r="AD147" i="6" a="1"/>
  <c r="AD147" i="6" s="1"/>
  <c r="AC147" i="6" a="1"/>
  <c r="AC147" i="6" s="1"/>
  <c r="AB147" i="6" a="1"/>
  <c r="AB147" i="6" s="1"/>
  <c r="AA147" i="6" a="1"/>
  <c r="AA147" i="6" s="1"/>
  <c r="Z147" i="6" a="1"/>
  <c r="Z147" i="6" s="1"/>
  <c r="Y147" i="6" a="1"/>
  <c r="Y147" i="6" s="1"/>
  <c r="X147" i="6" a="1"/>
  <c r="X147" i="6" s="1"/>
  <c r="W147" i="6" a="1"/>
  <c r="W147" i="6" s="1"/>
  <c r="V147" i="6" a="1"/>
  <c r="V147" i="6" s="1"/>
  <c r="U147" i="6" a="1"/>
  <c r="U147" i="6" s="1"/>
  <c r="T147" i="6" a="1"/>
  <c r="T147" i="6" s="1"/>
  <c r="S147" i="6" a="1"/>
  <c r="S147" i="6" s="1"/>
  <c r="R147" i="6" a="1"/>
  <c r="R147" i="6" s="1"/>
  <c r="Q147" i="6" a="1"/>
  <c r="Q147" i="6" s="1"/>
  <c r="P147" i="6" a="1"/>
  <c r="P147" i="6" s="1"/>
  <c r="O147" i="6" a="1"/>
  <c r="O147" i="6" s="1"/>
  <c r="N147" i="6" a="1"/>
  <c r="N147" i="6" s="1"/>
  <c r="M147" i="6" a="1"/>
  <c r="M147" i="6" s="1"/>
  <c r="L147" i="6" a="1"/>
  <c r="L147" i="6" s="1"/>
  <c r="K147" i="6" a="1"/>
  <c r="K147" i="6" s="1"/>
  <c r="J147" i="6" a="1"/>
  <c r="J147" i="6" s="1"/>
  <c r="I147" i="6" a="1"/>
  <c r="I147" i="6" s="1"/>
  <c r="H147" i="6" a="1"/>
  <c r="H147" i="6" s="1"/>
  <c r="G147" i="6" a="1"/>
  <c r="G147" i="6" s="1"/>
  <c r="F147" i="6" a="1"/>
  <c r="F147" i="6" s="1"/>
  <c r="E147" i="6" a="1"/>
  <c r="E147" i="6" s="1"/>
  <c r="D147" i="6" a="1"/>
  <c r="D147" i="6" s="1"/>
  <c r="AE146" i="6" a="1"/>
  <c r="AE146" i="6" s="1"/>
  <c r="AD146" i="6" a="1"/>
  <c r="AD146" i="6" s="1"/>
  <c r="AC146" i="6" a="1"/>
  <c r="AC146" i="6" s="1"/>
  <c r="AB146" i="6" a="1"/>
  <c r="AB146" i="6" s="1"/>
  <c r="AA146" i="6" a="1"/>
  <c r="AA146" i="6" s="1"/>
  <c r="Z146" i="6" a="1"/>
  <c r="Z146" i="6" s="1"/>
  <c r="Y146" i="6" a="1"/>
  <c r="Y146" i="6" s="1"/>
  <c r="X146" i="6" a="1"/>
  <c r="X146" i="6" s="1"/>
  <c r="W146" i="6" a="1"/>
  <c r="W146" i="6" s="1"/>
  <c r="V146" i="6" a="1"/>
  <c r="V146" i="6" s="1"/>
  <c r="U146" i="6" a="1"/>
  <c r="U146" i="6" s="1"/>
  <c r="T146" i="6" a="1"/>
  <c r="T146" i="6" s="1"/>
  <c r="S146" i="6" a="1"/>
  <c r="S146" i="6" s="1"/>
  <c r="R146" i="6" a="1"/>
  <c r="R146" i="6" s="1"/>
  <c r="Q146" i="6" a="1"/>
  <c r="Q146" i="6" s="1"/>
  <c r="P146" i="6" a="1"/>
  <c r="P146" i="6" s="1"/>
  <c r="O146" i="6" a="1"/>
  <c r="O146" i="6" s="1"/>
  <c r="N146" i="6" a="1"/>
  <c r="N146" i="6" s="1"/>
  <c r="M146" i="6" a="1"/>
  <c r="M146" i="6" s="1"/>
  <c r="L146" i="6" a="1"/>
  <c r="L146" i="6" s="1"/>
  <c r="K146" i="6" a="1"/>
  <c r="K146" i="6" s="1"/>
  <c r="J146" i="6" a="1"/>
  <c r="J146" i="6" s="1"/>
  <c r="I146" i="6" a="1"/>
  <c r="I146" i="6" s="1"/>
  <c r="H146" i="6" a="1"/>
  <c r="H146" i="6" s="1"/>
  <c r="G146" i="6" a="1"/>
  <c r="G146" i="6" s="1"/>
  <c r="F146" i="6" a="1"/>
  <c r="F146" i="6" s="1"/>
  <c r="E146" i="6" a="1"/>
  <c r="E146" i="6" s="1"/>
  <c r="D146" i="6" a="1"/>
  <c r="D146" i="6" s="1"/>
  <c r="AE145" i="6" a="1"/>
  <c r="AE145" i="6" s="1"/>
  <c r="AD145" i="6" a="1"/>
  <c r="AD145" i="6" s="1"/>
  <c r="AC145" i="6" a="1"/>
  <c r="AC145" i="6" s="1"/>
  <c r="AB145" i="6" a="1"/>
  <c r="AB145" i="6" s="1"/>
  <c r="AA145" i="6" a="1"/>
  <c r="AA145" i="6" s="1"/>
  <c r="Z145" i="6" a="1"/>
  <c r="Z145" i="6" s="1"/>
  <c r="Y145" i="6" a="1"/>
  <c r="Y145" i="6" s="1"/>
  <c r="X145" i="6" a="1"/>
  <c r="X145" i="6" s="1"/>
  <c r="W145" i="6" a="1"/>
  <c r="W145" i="6" s="1"/>
  <c r="V145" i="6" a="1"/>
  <c r="V145" i="6" s="1"/>
  <c r="U145" i="6" a="1"/>
  <c r="U145" i="6" s="1"/>
  <c r="T145" i="6" a="1"/>
  <c r="T145" i="6" s="1"/>
  <c r="S145" i="6" a="1"/>
  <c r="S145" i="6" s="1"/>
  <c r="R145" i="6" a="1"/>
  <c r="R145" i="6" s="1"/>
  <c r="Q145" i="6" a="1"/>
  <c r="Q145" i="6" s="1"/>
  <c r="P145" i="6" a="1"/>
  <c r="P145" i="6" s="1"/>
  <c r="O145" i="6" a="1"/>
  <c r="O145" i="6" s="1"/>
  <c r="N145" i="6" a="1"/>
  <c r="N145" i="6" s="1"/>
  <c r="M145" i="6" a="1"/>
  <c r="M145" i="6" s="1"/>
  <c r="L145" i="6" a="1"/>
  <c r="L145" i="6" s="1"/>
  <c r="K145" i="6" a="1"/>
  <c r="K145" i="6" s="1"/>
  <c r="J145" i="6" a="1"/>
  <c r="J145" i="6" s="1"/>
  <c r="I145" i="6" a="1"/>
  <c r="I145" i="6" s="1"/>
  <c r="H145" i="6" a="1"/>
  <c r="H145" i="6" s="1"/>
  <c r="G145" i="6" a="1"/>
  <c r="G145" i="6" s="1"/>
  <c r="F145" i="6" a="1"/>
  <c r="F145" i="6" s="1"/>
  <c r="E145" i="6" a="1"/>
  <c r="E145" i="6" s="1"/>
  <c r="D145" i="6" a="1"/>
  <c r="D145" i="6" s="1"/>
  <c r="AE144" i="6" a="1"/>
  <c r="AE144" i="6" s="1"/>
  <c r="AD144" i="6" a="1"/>
  <c r="AD144" i="6" s="1"/>
  <c r="AC144" i="6" a="1"/>
  <c r="AC144" i="6" s="1"/>
  <c r="AB144" i="6" a="1"/>
  <c r="AB144" i="6" s="1"/>
  <c r="AA144" i="6" a="1"/>
  <c r="AA144" i="6" s="1"/>
  <c r="Z144" i="6" a="1"/>
  <c r="Z144" i="6" s="1"/>
  <c r="Y144" i="6" a="1"/>
  <c r="Y144" i="6" s="1"/>
  <c r="X144" i="6" a="1"/>
  <c r="X144" i="6" s="1"/>
  <c r="W144" i="6" a="1"/>
  <c r="W144" i="6" s="1"/>
  <c r="V144" i="6" a="1"/>
  <c r="V144" i="6" s="1"/>
  <c r="U144" i="6" a="1"/>
  <c r="U144" i="6" s="1"/>
  <c r="T144" i="6" a="1"/>
  <c r="T144" i="6" s="1"/>
  <c r="S144" i="6" a="1"/>
  <c r="S144" i="6" s="1"/>
  <c r="R144" i="6" a="1"/>
  <c r="R144" i="6" s="1"/>
  <c r="Q144" i="6" a="1"/>
  <c r="Q144" i="6" s="1"/>
  <c r="P144" i="6" a="1"/>
  <c r="P144" i="6" s="1"/>
  <c r="O144" i="6" a="1"/>
  <c r="O144" i="6" s="1"/>
  <c r="N144" i="6" a="1"/>
  <c r="N144" i="6" s="1"/>
  <c r="M144" i="6" a="1"/>
  <c r="M144" i="6" s="1"/>
  <c r="L144" i="6" a="1"/>
  <c r="L144" i="6" s="1"/>
  <c r="K144" i="6" a="1"/>
  <c r="K144" i="6" s="1"/>
  <c r="J144" i="6" a="1"/>
  <c r="J144" i="6" s="1"/>
  <c r="I144" i="6" a="1"/>
  <c r="I144" i="6" s="1"/>
  <c r="H144" i="6" a="1"/>
  <c r="H144" i="6" s="1"/>
  <c r="G144" i="6" a="1"/>
  <c r="G144" i="6" s="1"/>
  <c r="F144" i="6" a="1"/>
  <c r="F144" i="6" s="1"/>
  <c r="E144" i="6" a="1"/>
  <c r="E144" i="6" s="1"/>
  <c r="D144" i="6" a="1"/>
  <c r="D144" i="6" s="1"/>
  <c r="AE143" i="6" a="1"/>
  <c r="AE143" i="6" s="1"/>
  <c r="AD143" i="6" a="1"/>
  <c r="AD143" i="6" s="1"/>
  <c r="AC143" i="6" a="1"/>
  <c r="AC143" i="6" s="1"/>
  <c r="AB143" i="6" a="1"/>
  <c r="AB143" i="6" s="1"/>
  <c r="AA143" i="6" a="1"/>
  <c r="AA143" i="6" s="1"/>
  <c r="Z143" i="6" a="1"/>
  <c r="Z143" i="6" s="1"/>
  <c r="Y143" i="6" a="1"/>
  <c r="Y143" i="6" s="1"/>
  <c r="X143" i="6" a="1"/>
  <c r="X143" i="6" s="1"/>
  <c r="W143" i="6" a="1"/>
  <c r="W143" i="6" s="1"/>
  <c r="V143" i="6" a="1"/>
  <c r="V143" i="6" s="1"/>
  <c r="U143" i="6" a="1"/>
  <c r="U143" i="6" s="1"/>
  <c r="T143" i="6" a="1"/>
  <c r="T143" i="6" s="1"/>
  <c r="S143" i="6" a="1"/>
  <c r="S143" i="6" s="1"/>
  <c r="R143" i="6" a="1"/>
  <c r="R143" i="6" s="1"/>
  <c r="Q143" i="6" a="1"/>
  <c r="Q143" i="6" s="1"/>
  <c r="P143" i="6" a="1"/>
  <c r="P143" i="6" s="1"/>
  <c r="O143" i="6" a="1"/>
  <c r="O143" i="6" s="1"/>
  <c r="N143" i="6" a="1"/>
  <c r="N143" i="6" s="1"/>
  <c r="M143" i="6" a="1"/>
  <c r="M143" i="6" s="1"/>
  <c r="L143" i="6" a="1"/>
  <c r="L143" i="6" s="1"/>
  <c r="K143" i="6" a="1"/>
  <c r="K143" i="6" s="1"/>
  <c r="J143" i="6" a="1"/>
  <c r="J143" i="6" s="1"/>
  <c r="I143" i="6" a="1"/>
  <c r="I143" i="6" s="1"/>
  <c r="H143" i="6" a="1"/>
  <c r="H143" i="6" s="1"/>
  <c r="G143" i="6" a="1"/>
  <c r="G143" i="6" s="1"/>
  <c r="F143" i="6" a="1"/>
  <c r="F143" i="6" s="1"/>
  <c r="E143" i="6" a="1"/>
  <c r="E143" i="6" s="1"/>
  <c r="D143" i="6" a="1"/>
  <c r="D143" i="6" s="1"/>
  <c r="AE142" i="6" a="1"/>
  <c r="AE142" i="6" s="1"/>
  <c r="AD142" i="6" a="1"/>
  <c r="AD142" i="6" s="1"/>
  <c r="AC142" i="6" a="1"/>
  <c r="AC142" i="6" s="1"/>
  <c r="AB142" i="6" a="1"/>
  <c r="AB142" i="6" s="1"/>
  <c r="AA142" i="6" a="1"/>
  <c r="AA142" i="6" s="1"/>
  <c r="Z142" i="6" a="1"/>
  <c r="Z142" i="6" s="1"/>
  <c r="Y142" i="6" a="1"/>
  <c r="Y142" i="6" s="1"/>
  <c r="X142" i="6" a="1"/>
  <c r="X142" i="6" s="1"/>
  <c r="W142" i="6" a="1"/>
  <c r="W142" i="6" s="1"/>
  <c r="V142" i="6" a="1"/>
  <c r="V142" i="6" s="1"/>
  <c r="U142" i="6" a="1"/>
  <c r="U142" i="6" s="1"/>
  <c r="T142" i="6" a="1"/>
  <c r="T142" i="6" s="1"/>
  <c r="S142" i="6" a="1"/>
  <c r="S142" i="6" s="1"/>
  <c r="R142" i="6" a="1"/>
  <c r="R142" i="6" s="1"/>
  <c r="Q142" i="6" a="1"/>
  <c r="Q142" i="6" s="1"/>
  <c r="P142" i="6" a="1"/>
  <c r="P142" i="6" s="1"/>
  <c r="O142" i="6" a="1"/>
  <c r="O142" i="6" s="1"/>
  <c r="N142" i="6" a="1"/>
  <c r="N142" i="6" s="1"/>
  <c r="M142" i="6" a="1"/>
  <c r="M142" i="6" s="1"/>
  <c r="L142" i="6" a="1"/>
  <c r="L142" i="6" s="1"/>
  <c r="K142" i="6" a="1"/>
  <c r="K142" i="6" s="1"/>
  <c r="J142" i="6" a="1"/>
  <c r="J142" i="6" s="1"/>
  <c r="I142" i="6" a="1"/>
  <c r="I142" i="6" s="1"/>
  <c r="H142" i="6" a="1"/>
  <c r="H142" i="6" s="1"/>
  <c r="G142" i="6" a="1"/>
  <c r="G142" i="6" s="1"/>
  <c r="F142" i="6" a="1"/>
  <c r="F142" i="6" s="1"/>
  <c r="E142" i="6" a="1"/>
  <c r="E142" i="6" s="1"/>
  <c r="D142" i="6" a="1"/>
  <c r="D142" i="6" s="1"/>
  <c r="AE141" i="6" a="1"/>
  <c r="AE141" i="6" s="1"/>
  <c r="AD141" i="6" a="1"/>
  <c r="AD141" i="6" s="1"/>
  <c r="AC141" i="6" a="1"/>
  <c r="AC141" i="6" s="1"/>
  <c r="AB141" i="6" a="1"/>
  <c r="AB141" i="6" s="1"/>
  <c r="AA141" i="6" a="1"/>
  <c r="AA141" i="6" s="1"/>
  <c r="Z141" i="6" a="1"/>
  <c r="Z141" i="6" s="1"/>
  <c r="Y141" i="6" a="1"/>
  <c r="Y141" i="6" s="1"/>
  <c r="X141" i="6" a="1"/>
  <c r="X141" i="6" s="1"/>
  <c r="W141" i="6" a="1"/>
  <c r="W141" i="6" s="1"/>
  <c r="V141" i="6" a="1"/>
  <c r="V141" i="6" s="1"/>
  <c r="U141" i="6" a="1"/>
  <c r="U141" i="6" s="1"/>
  <c r="T141" i="6" a="1"/>
  <c r="T141" i="6" s="1"/>
  <c r="S141" i="6" a="1"/>
  <c r="S141" i="6" s="1"/>
  <c r="R141" i="6" a="1"/>
  <c r="R141" i="6" s="1"/>
  <c r="Q141" i="6" a="1"/>
  <c r="Q141" i="6" s="1"/>
  <c r="P141" i="6" a="1"/>
  <c r="P141" i="6" s="1"/>
  <c r="O141" i="6" a="1"/>
  <c r="O141" i="6" s="1"/>
  <c r="N141" i="6" a="1"/>
  <c r="N141" i="6" s="1"/>
  <c r="M141" i="6" a="1"/>
  <c r="M141" i="6" s="1"/>
  <c r="L141" i="6" a="1"/>
  <c r="L141" i="6" s="1"/>
  <c r="K141" i="6" a="1"/>
  <c r="K141" i="6" s="1"/>
  <c r="J141" i="6" a="1"/>
  <c r="J141" i="6" s="1"/>
  <c r="I141" i="6" a="1"/>
  <c r="I141" i="6" s="1"/>
  <c r="H141" i="6" a="1"/>
  <c r="H141" i="6" s="1"/>
  <c r="G141" i="6" a="1"/>
  <c r="G141" i="6" s="1"/>
  <c r="F141" i="6" a="1"/>
  <c r="F141" i="6" s="1"/>
  <c r="E141" i="6" a="1"/>
  <c r="E141" i="6" s="1"/>
  <c r="D141" i="6" a="1"/>
  <c r="D141" i="6" s="1"/>
  <c r="AE140" i="6" a="1"/>
  <c r="AE140" i="6" s="1"/>
  <c r="AD140" i="6" a="1"/>
  <c r="AD140" i="6" s="1"/>
  <c r="AC140" i="6" a="1"/>
  <c r="AC140" i="6" s="1"/>
  <c r="AB140" i="6" a="1"/>
  <c r="AB140" i="6" s="1"/>
  <c r="AA140" i="6" a="1"/>
  <c r="AA140" i="6" s="1"/>
  <c r="Z140" i="6" a="1"/>
  <c r="Z140" i="6" s="1"/>
  <c r="Y140" i="6" a="1"/>
  <c r="Y140" i="6" s="1"/>
  <c r="X140" i="6" a="1"/>
  <c r="X140" i="6" s="1"/>
  <c r="W140" i="6" a="1"/>
  <c r="W140" i="6" s="1"/>
  <c r="V140" i="6" a="1"/>
  <c r="V140" i="6" s="1"/>
  <c r="U140" i="6" a="1"/>
  <c r="U140" i="6" s="1"/>
  <c r="T140" i="6" a="1"/>
  <c r="T140" i="6" s="1"/>
  <c r="S140" i="6" a="1"/>
  <c r="S140" i="6" s="1"/>
  <c r="R140" i="6" a="1"/>
  <c r="R140" i="6" s="1"/>
  <c r="Q140" i="6" a="1"/>
  <c r="Q140" i="6" s="1"/>
  <c r="P140" i="6" a="1"/>
  <c r="P140" i="6" s="1"/>
  <c r="O140" i="6" a="1"/>
  <c r="O140" i="6" s="1"/>
  <c r="N140" i="6" a="1"/>
  <c r="N140" i="6" s="1"/>
  <c r="M140" i="6" a="1"/>
  <c r="M140" i="6" s="1"/>
  <c r="L140" i="6" a="1"/>
  <c r="L140" i="6" s="1"/>
  <c r="K140" i="6" a="1"/>
  <c r="K140" i="6" s="1"/>
  <c r="J140" i="6" a="1"/>
  <c r="J140" i="6" s="1"/>
  <c r="I140" i="6" a="1"/>
  <c r="I140" i="6" s="1"/>
  <c r="H140" i="6" a="1"/>
  <c r="H140" i="6" s="1"/>
  <c r="G140" i="6" a="1"/>
  <c r="G140" i="6" s="1"/>
  <c r="F140" i="6" a="1"/>
  <c r="F140" i="6" s="1"/>
  <c r="E140" i="6" a="1"/>
  <c r="E140" i="6" s="1"/>
  <c r="D140" i="6" a="1"/>
  <c r="D140" i="6" s="1"/>
  <c r="AE139" i="6" a="1"/>
  <c r="AE139" i="6" s="1"/>
  <c r="AD139" i="6" a="1"/>
  <c r="AD139" i="6" s="1"/>
  <c r="AC139" i="6" a="1"/>
  <c r="AC139" i="6" s="1"/>
  <c r="AB139" i="6" a="1"/>
  <c r="AB139" i="6" s="1"/>
  <c r="AA139" i="6" a="1"/>
  <c r="AA139" i="6" s="1"/>
  <c r="Z139" i="6" a="1"/>
  <c r="Z139" i="6" s="1"/>
  <c r="Y139" i="6" a="1"/>
  <c r="Y139" i="6" s="1"/>
  <c r="X139" i="6" a="1"/>
  <c r="X139" i="6" s="1"/>
  <c r="W139" i="6" a="1"/>
  <c r="W139" i="6" s="1"/>
  <c r="V139" i="6" a="1"/>
  <c r="V139" i="6" s="1"/>
  <c r="U139" i="6" a="1"/>
  <c r="U139" i="6" s="1"/>
  <c r="T139" i="6" a="1"/>
  <c r="T139" i="6" s="1"/>
  <c r="S139" i="6" a="1"/>
  <c r="S139" i="6" s="1"/>
  <c r="R139" i="6" a="1"/>
  <c r="R139" i="6" s="1"/>
  <c r="Q139" i="6" a="1"/>
  <c r="Q139" i="6" s="1"/>
  <c r="P139" i="6" a="1"/>
  <c r="P139" i="6" s="1"/>
  <c r="O139" i="6" a="1"/>
  <c r="O139" i="6" s="1"/>
  <c r="N139" i="6" a="1"/>
  <c r="N139" i="6" s="1"/>
  <c r="M139" i="6" a="1"/>
  <c r="M139" i="6" s="1"/>
  <c r="L139" i="6" a="1"/>
  <c r="L139" i="6" s="1"/>
  <c r="K139" i="6" a="1"/>
  <c r="K139" i="6" s="1"/>
  <c r="J139" i="6" a="1"/>
  <c r="J139" i="6" s="1"/>
  <c r="I139" i="6" a="1"/>
  <c r="I139" i="6" s="1"/>
  <c r="H139" i="6" a="1"/>
  <c r="H139" i="6" s="1"/>
  <c r="G139" i="6" a="1"/>
  <c r="G139" i="6" s="1"/>
  <c r="F139" i="6" a="1"/>
  <c r="F139" i="6" s="1"/>
  <c r="E139" i="6" a="1"/>
  <c r="E139" i="6" s="1"/>
  <c r="D139" i="6" a="1"/>
  <c r="D139" i="6" s="1"/>
  <c r="AE138" i="6" a="1"/>
  <c r="AE138" i="6" s="1"/>
  <c r="AD138" i="6" a="1"/>
  <c r="AD138" i="6" s="1"/>
  <c r="AC138" i="6" a="1"/>
  <c r="AC138" i="6" s="1"/>
  <c r="AB138" i="6" a="1"/>
  <c r="AB138" i="6" s="1"/>
  <c r="AA138" i="6" a="1"/>
  <c r="AA138" i="6" s="1"/>
  <c r="Z138" i="6" a="1"/>
  <c r="Z138" i="6" s="1"/>
  <c r="Y138" i="6" a="1"/>
  <c r="Y138" i="6" s="1"/>
  <c r="X138" i="6" a="1"/>
  <c r="X138" i="6" s="1"/>
  <c r="W138" i="6" a="1"/>
  <c r="W138" i="6" s="1"/>
  <c r="V138" i="6" a="1"/>
  <c r="V138" i="6" s="1"/>
  <c r="U138" i="6" a="1"/>
  <c r="U138" i="6" s="1"/>
  <c r="T138" i="6" a="1"/>
  <c r="T138" i="6" s="1"/>
  <c r="S138" i="6" a="1"/>
  <c r="S138" i="6" s="1"/>
  <c r="R138" i="6" a="1"/>
  <c r="R138" i="6" s="1"/>
  <c r="Q138" i="6" a="1"/>
  <c r="Q138" i="6" s="1"/>
  <c r="P138" i="6" a="1"/>
  <c r="P138" i="6" s="1"/>
  <c r="O138" i="6" a="1"/>
  <c r="O138" i="6" s="1"/>
  <c r="N138" i="6" a="1"/>
  <c r="N138" i="6" s="1"/>
  <c r="M138" i="6" a="1"/>
  <c r="M138" i="6" s="1"/>
  <c r="L138" i="6" a="1"/>
  <c r="L138" i="6" s="1"/>
  <c r="K138" i="6" a="1"/>
  <c r="K138" i="6" s="1"/>
  <c r="J138" i="6" a="1"/>
  <c r="J138" i="6" s="1"/>
  <c r="I138" i="6" a="1"/>
  <c r="I138" i="6" s="1"/>
  <c r="H138" i="6" a="1"/>
  <c r="H138" i="6" s="1"/>
  <c r="G138" i="6" a="1"/>
  <c r="G138" i="6" s="1"/>
  <c r="F138" i="6" a="1"/>
  <c r="F138" i="6" s="1"/>
  <c r="E138" i="6" a="1"/>
  <c r="E138" i="6" s="1"/>
  <c r="D138" i="6" a="1"/>
  <c r="D138" i="6" s="1"/>
  <c r="AE137" i="6" a="1"/>
  <c r="AE137" i="6" s="1"/>
  <c r="AD137" i="6" a="1"/>
  <c r="AD137" i="6" s="1"/>
  <c r="AC137" i="6" a="1"/>
  <c r="AC137" i="6" s="1"/>
  <c r="AB137" i="6" a="1"/>
  <c r="AB137" i="6" s="1"/>
  <c r="AA137" i="6" a="1"/>
  <c r="AA137" i="6" s="1"/>
  <c r="Z137" i="6" a="1"/>
  <c r="Z137" i="6" s="1"/>
  <c r="Y137" i="6" a="1"/>
  <c r="Y137" i="6" s="1"/>
  <c r="X137" i="6" a="1"/>
  <c r="X137" i="6" s="1"/>
  <c r="W137" i="6" a="1"/>
  <c r="W137" i="6" s="1"/>
  <c r="V137" i="6" a="1"/>
  <c r="V137" i="6" s="1"/>
  <c r="U137" i="6" a="1"/>
  <c r="U137" i="6" s="1"/>
  <c r="T137" i="6" a="1"/>
  <c r="T137" i="6" s="1"/>
  <c r="S137" i="6" a="1"/>
  <c r="S137" i="6" s="1"/>
  <c r="R137" i="6" a="1"/>
  <c r="R137" i="6" s="1"/>
  <c r="Q137" i="6" a="1"/>
  <c r="Q137" i="6" s="1"/>
  <c r="P137" i="6" a="1"/>
  <c r="P137" i="6" s="1"/>
  <c r="O137" i="6" a="1"/>
  <c r="O137" i="6" s="1"/>
  <c r="N137" i="6" a="1"/>
  <c r="N137" i="6" s="1"/>
  <c r="M137" i="6" a="1"/>
  <c r="M137" i="6" s="1"/>
  <c r="L137" i="6" a="1"/>
  <c r="L137" i="6" s="1"/>
  <c r="K137" i="6" a="1"/>
  <c r="K137" i="6" s="1"/>
  <c r="J137" i="6" a="1"/>
  <c r="J137" i="6" s="1"/>
  <c r="I137" i="6" a="1"/>
  <c r="I137" i="6" s="1"/>
  <c r="H137" i="6" a="1"/>
  <c r="H137" i="6" s="1"/>
  <c r="G137" i="6" a="1"/>
  <c r="G137" i="6" s="1"/>
  <c r="F137" i="6" a="1"/>
  <c r="F137" i="6" s="1"/>
  <c r="E137" i="6" a="1"/>
  <c r="E137" i="6" s="1"/>
  <c r="D137" i="6" a="1"/>
  <c r="D137" i="6" s="1"/>
  <c r="AE136" i="6" a="1"/>
  <c r="AE136" i="6" s="1"/>
  <c r="AD136" i="6" a="1"/>
  <c r="AD136" i="6" s="1"/>
  <c r="AC136" i="6" a="1"/>
  <c r="AC136" i="6" s="1"/>
  <c r="AB136" i="6" a="1"/>
  <c r="AB136" i="6" s="1"/>
  <c r="AA136" i="6" a="1"/>
  <c r="AA136" i="6" s="1"/>
  <c r="Z136" i="6" a="1"/>
  <c r="Z136" i="6" s="1"/>
  <c r="Y136" i="6" a="1"/>
  <c r="Y136" i="6" s="1"/>
  <c r="X136" i="6" a="1"/>
  <c r="X136" i="6" s="1"/>
  <c r="W136" i="6" a="1"/>
  <c r="W136" i="6" s="1"/>
  <c r="V136" i="6" a="1"/>
  <c r="V136" i="6" s="1"/>
  <c r="U136" i="6" a="1"/>
  <c r="U136" i="6" s="1"/>
  <c r="T136" i="6" a="1"/>
  <c r="T136" i="6" s="1"/>
  <c r="S136" i="6" a="1"/>
  <c r="S136" i="6" s="1"/>
  <c r="R136" i="6" a="1"/>
  <c r="R136" i="6" s="1"/>
  <c r="Q136" i="6" a="1"/>
  <c r="Q136" i="6" s="1"/>
  <c r="P136" i="6" a="1"/>
  <c r="P136" i="6" s="1"/>
  <c r="O136" i="6" a="1"/>
  <c r="O136" i="6" s="1"/>
  <c r="N136" i="6" a="1"/>
  <c r="N136" i="6" s="1"/>
  <c r="M136" i="6" a="1"/>
  <c r="M136" i="6" s="1"/>
  <c r="L136" i="6" a="1"/>
  <c r="L136" i="6" s="1"/>
  <c r="K136" i="6" a="1"/>
  <c r="K136" i="6" s="1"/>
  <c r="J136" i="6" a="1"/>
  <c r="J136" i="6" s="1"/>
  <c r="I136" i="6" a="1"/>
  <c r="I136" i="6" s="1"/>
  <c r="H136" i="6" a="1"/>
  <c r="H136" i="6" s="1"/>
  <c r="G136" i="6" a="1"/>
  <c r="G136" i="6" s="1"/>
  <c r="F136" i="6" a="1"/>
  <c r="F136" i="6" s="1"/>
  <c r="E136" i="6" a="1"/>
  <c r="E136" i="6" s="1"/>
  <c r="D136" i="6" a="1"/>
  <c r="D136" i="6" s="1"/>
  <c r="AE135" i="6" a="1"/>
  <c r="AE135" i="6" s="1"/>
  <c r="AD135" i="6" a="1"/>
  <c r="AD135" i="6" s="1"/>
  <c r="AC135" i="6" a="1"/>
  <c r="AC135" i="6" s="1"/>
  <c r="AB135" i="6" a="1"/>
  <c r="AB135" i="6" s="1"/>
  <c r="AA135" i="6" a="1"/>
  <c r="AA135" i="6" s="1"/>
  <c r="Z135" i="6" a="1"/>
  <c r="Z135" i="6" s="1"/>
  <c r="Y135" i="6" a="1"/>
  <c r="Y135" i="6" s="1"/>
  <c r="X135" i="6" a="1"/>
  <c r="X135" i="6" s="1"/>
  <c r="W135" i="6" a="1"/>
  <c r="W135" i="6" s="1"/>
  <c r="V135" i="6" a="1"/>
  <c r="V135" i="6" s="1"/>
  <c r="U135" i="6" a="1"/>
  <c r="U135" i="6" s="1"/>
  <c r="T135" i="6" a="1"/>
  <c r="T135" i="6" s="1"/>
  <c r="S135" i="6" a="1"/>
  <c r="S135" i="6" s="1"/>
  <c r="R135" i="6" a="1"/>
  <c r="R135" i="6" s="1"/>
  <c r="Q135" i="6" a="1"/>
  <c r="Q135" i="6" s="1"/>
  <c r="P135" i="6" a="1"/>
  <c r="P135" i="6" s="1"/>
  <c r="O135" i="6" a="1"/>
  <c r="O135" i="6" s="1"/>
  <c r="N135" i="6" a="1"/>
  <c r="N135" i="6" s="1"/>
  <c r="M135" i="6" a="1"/>
  <c r="M135" i="6" s="1"/>
  <c r="L135" i="6" a="1"/>
  <c r="L135" i="6" s="1"/>
  <c r="K135" i="6" a="1"/>
  <c r="K135" i="6" s="1"/>
  <c r="J135" i="6" a="1"/>
  <c r="J135" i="6" s="1"/>
  <c r="I135" i="6" a="1"/>
  <c r="I135" i="6" s="1"/>
  <c r="H135" i="6" a="1"/>
  <c r="H135" i="6" s="1"/>
  <c r="G135" i="6" a="1"/>
  <c r="G135" i="6" s="1"/>
  <c r="F135" i="6" a="1"/>
  <c r="F135" i="6" s="1"/>
  <c r="E135" i="6" a="1"/>
  <c r="E135" i="6" s="1"/>
  <c r="D135" i="6" a="1"/>
  <c r="D135" i="6" s="1"/>
  <c r="AE134" i="6" a="1"/>
  <c r="AE134" i="6" s="1"/>
  <c r="AD134" i="6" a="1"/>
  <c r="AD134" i="6" s="1"/>
  <c r="AC134" i="6" a="1"/>
  <c r="AC134" i="6" s="1"/>
  <c r="AB134" i="6" a="1"/>
  <c r="AB134" i="6" s="1"/>
  <c r="AA134" i="6" a="1"/>
  <c r="AA134" i="6" s="1"/>
  <c r="Z134" i="6" a="1"/>
  <c r="Z134" i="6" s="1"/>
  <c r="Y134" i="6" a="1"/>
  <c r="Y134" i="6" s="1"/>
  <c r="X134" i="6" a="1"/>
  <c r="X134" i="6" s="1"/>
  <c r="W134" i="6" a="1"/>
  <c r="W134" i="6" s="1"/>
  <c r="V134" i="6" a="1"/>
  <c r="V134" i="6" s="1"/>
  <c r="U134" i="6" a="1"/>
  <c r="U134" i="6" s="1"/>
  <c r="T134" i="6" a="1"/>
  <c r="T134" i="6" s="1"/>
  <c r="S134" i="6" a="1"/>
  <c r="S134" i="6" s="1"/>
  <c r="R134" i="6" a="1"/>
  <c r="R134" i="6" s="1"/>
  <c r="Q134" i="6" a="1"/>
  <c r="Q134" i="6" s="1"/>
  <c r="P134" i="6" a="1"/>
  <c r="P134" i="6" s="1"/>
  <c r="O134" i="6" a="1"/>
  <c r="O134" i="6" s="1"/>
  <c r="N134" i="6" a="1"/>
  <c r="N134" i="6" s="1"/>
  <c r="M134" i="6" a="1"/>
  <c r="M134" i="6" s="1"/>
  <c r="L134" i="6" a="1"/>
  <c r="L134" i="6" s="1"/>
  <c r="K134" i="6" a="1"/>
  <c r="K134" i="6" s="1"/>
  <c r="J134" i="6" a="1"/>
  <c r="J134" i="6" s="1"/>
  <c r="I134" i="6" a="1"/>
  <c r="I134" i="6" s="1"/>
  <c r="H134" i="6" a="1"/>
  <c r="H134" i="6" s="1"/>
  <c r="G134" i="6" a="1"/>
  <c r="G134" i="6" s="1"/>
  <c r="F134" i="6" a="1"/>
  <c r="F134" i="6" s="1"/>
  <c r="E134" i="6" a="1"/>
  <c r="E134" i="6" s="1"/>
  <c r="D134" i="6" a="1"/>
  <c r="D134" i="6" s="1"/>
  <c r="AE133" i="6" a="1"/>
  <c r="AE133" i="6" s="1"/>
  <c r="AD133" i="6" a="1"/>
  <c r="AD133" i="6" s="1"/>
  <c r="AC133" i="6" a="1"/>
  <c r="AC133" i="6" s="1"/>
  <c r="AB133" i="6" a="1"/>
  <c r="AB133" i="6" s="1"/>
  <c r="AA133" i="6" a="1"/>
  <c r="AA133" i="6" s="1"/>
  <c r="Z133" i="6" a="1"/>
  <c r="Z133" i="6" s="1"/>
  <c r="Y133" i="6" a="1"/>
  <c r="Y133" i="6" s="1"/>
  <c r="X133" i="6" a="1"/>
  <c r="X133" i="6" s="1"/>
  <c r="W133" i="6" a="1"/>
  <c r="W133" i="6" s="1"/>
  <c r="V133" i="6" a="1"/>
  <c r="V133" i="6" s="1"/>
  <c r="U133" i="6" a="1"/>
  <c r="U133" i="6" s="1"/>
  <c r="T133" i="6" a="1"/>
  <c r="T133" i="6" s="1"/>
  <c r="S133" i="6" a="1"/>
  <c r="S133" i="6" s="1"/>
  <c r="R133" i="6" a="1"/>
  <c r="R133" i="6" s="1"/>
  <c r="Q133" i="6" a="1"/>
  <c r="Q133" i="6" s="1"/>
  <c r="P133" i="6" a="1"/>
  <c r="P133" i="6" s="1"/>
  <c r="O133" i="6" a="1"/>
  <c r="O133" i="6" s="1"/>
  <c r="N133" i="6" a="1"/>
  <c r="N133" i="6" s="1"/>
  <c r="M133" i="6" a="1"/>
  <c r="M133" i="6" s="1"/>
  <c r="L133" i="6" a="1"/>
  <c r="L133" i="6" s="1"/>
  <c r="K133" i="6" a="1"/>
  <c r="K133" i="6" s="1"/>
  <c r="J133" i="6" a="1"/>
  <c r="J133" i="6" s="1"/>
  <c r="I133" i="6" a="1"/>
  <c r="I133" i="6" s="1"/>
  <c r="H133" i="6" a="1"/>
  <c r="H133" i="6" s="1"/>
  <c r="G133" i="6" a="1"/>
  <c r="G133" i="6" s="1"/>
  <c r="F133" i="6" a="1"/>
  <c r="F133" i="6" s="1"/>
  <c r="E133" i="6" a="1"/>
  <c r="E133" i="6" s="1"/>
  <c r="D133" i="6" a="1"/>
  <c r="D133" i="6" s="1"/>
  <c r="AE132" i="6" a="1"/>
  <c r="AE132" i="6" s="1"/>
  <c r="AD132" i="6" a="1"/>
  <c r="AD132" i="6" s="1"/>
  <c r="AC132" i="6" a="1"/>
  <c r="AC132" i="6" s="1"/>
  <c r="AB132" i="6" a="1"/>
  <c r="AB132" i="6" s="1"/>
  <c r="AA132" i="6" a="1"/>
  <c r="AA132" i="6" s="1"/>
  <c r="Z132" i="6" a="1"/>
  <c r="Z132" i="6" s="1"/>
  <c r="Y132" i="6" a="1"/>
  <c r="Y132" i="6" s="1"/>
  <c r="X132" i="6" a="1"/>
  <c r="X132" i="6" s="1"/>
  <c r="W132" i="6" a="1"/>
  <c r="W132" i="6" s="1"/>
  <c r="V132" i="6" a="1"/>
  <c r="V132" i="6" s="1"/>
  <c r="U132" i="6" a="1"/>
  <c r="U132" i="6" s="1"/>
  <c r="T132" i="6" a="1"/>
  <c r="T132" i="6" s="1"/>
  <c r="S132" i="6" a="1"/>
  <c r="S132" i="6" s="1"/>
  <c r="R132" i="6" a="1"/>
  <c r="R132" i="6" s="1"/>
  <c r="Q132" i="6" a="1"/>
  <c r="Q132" i="6" s="1"/>
  <c r="P132" i="6" a="1"/>
  <c r="P132" i="6" s="1"/>
  <c r="O132" i="6" a="1"/>
  <c r="O132" i="6" s="1"/>
  <c r="N132" i="6" a="1"/>
  <c r="N132" i="6" s="1"/>
  <c r="M132" i="6" a="1"/>
  <c r="M132" i="6" s="1"/>
  <c r="L132" i="6" a="1"/>
  <c r="L132" i="6" s="1"/>
  <c r="K132" i="6" a="1"/>
  <c r="K132" i="6" s="1"/>
  <c r="J132" i="6" a="1"/>
  <c r="J132" i="6" s="1"/>
  <c r="I132" i="6" a="1"/>
  <c r="I132" i="6" s="1"/>
  <c r="H132" i="6" a="1"/>
  <c r="H132" i="6" s="1"/>
  <c r="G132" i="6" a="1"/>
  <c r="G132" i="6" s="1"/>
  <c r="F132" i="6" a="1"/>
  <c r="F132" i="6" s="1"/>
  <c r="E132" i="6" a="1"/>
  <c r="E132" i="6" s="1"/>
  <c r="D132" i="6" a="1"/>
  <c r="D132" i="6" s="1"/>
  <c r="AE131" i="6" a="1"/>
  <c r="AE131" i="6" s="1"/>
  <c r="AD131" i="6" a="1"/>
  <c r="AD131" i="6" s="1"/>
  <c r="AC131" i="6" a="1"/>
  <c r="AC131" i="6" s="1"/>
  <c r="AB131" i="6" a="1"/>
  <c r="AB131" i="6" s="1"/>
  <c r="AA131" i="6" a="1"/>
  <c r="AA131" i="6" s="1"/>
  <c r="Z131" i="6" a="1"/>
  <c r="Z131" i="6" s="1"/>
  <c r="Y131" i="6" a="1"/>
  <c r="Y131" i="6" s="1"/>
  <c r="X131" i="6" a="1"/>
  <c r="X131" i="6" s="1"/>
  <c r="W131" i="6" a="1"/>
  <c r="W131" i="6" s="1"/>
  <c r="V131" i="6" a="1"/>
  <c r="V131" i="6" s="1"/>
  <c r="U131" i="6" a="1"/>
  <c r="U131" i="6" s="1"/>
  <c r="T131" i="6" a="1"/>
  <c r="T131" i="6" s="1"/>
  <c r="S131" i="6" a="1"/>
  <c r="S131" i="6" s="1"/>
  <c r="R131" i="6" a="1"/>
  <c r="R131" i="6" s="1"/>
  <c r="Q131" i="6" a="1"/>
  <c r="Q131" i="6" s="1"/>
  <c r="P131" i="6" a="1"/>
  <c r="P131" i="6" s="1"/>
  <c r="O131" i="6" a="1"/>
  <c r="O131" i="6" s="1"/>
  <c r="N131" i="6" a="1"/>
  <c r="N131" i="6" s="1"/>
  <c r="M131" i="6" a="1"/>
  <c r="M131" i="6" s="1"/>
  <c r="L131" i="6" a="1"/>
  <c r="L131" i="6" s="1"/>
  <c r="K131" i="6" a="1"/>
  <c r="K131" i="6" s="1"/>
  <c r="J131" i="6" a="1"/>
  <c r="J131" i="6" s="1"/>
  <c r="I131" i="6" a="1"/>
  <c r="I131" i="6" s="1"/>
  <c r="H131" i="6" a="1"/>
  <c r="H131" i="6" s="1"/>
  <c r="G131" i="6" a="1"/>
  <c r="G131" i="6" s="1"/>
  <c r="F131" i="6" a="1"/>
  <c r="F131" i="6" s="1"/>
  <c r="E131" i="6" a="1"/>
  <c r="E131" i="6" s="1"/>
  <c r="D131" i="6" a="1"/>
  <c r="D131" i="6" s="1"/>
  <c r="AE130" i="6" a="1"/>
  <c r="AE130" i="6" s="1"/>
  <c r="AD130" i="6" a="1"/>
  <c r="AD130" i="6" s="1"/>
  <c r="AC130" i="6" a="1"/>
  <c r="AC130" i="6" s="1"/>
  <c r="AB130" i="6" a="1"/>
  <c r="AB130" i="6" s="1"/>
  <c r="AA130" i="6" a="1"/>
  <c r="AA130" i="6" s="1"/>
  <c r="Z130" i="6" a="1"/>
  <c r="Z130" i="6" s="1"/>
  <c r="Y130" i="6" a="1"/>
  <c r="Y130" i="6" s="1"/>
  <c r="X130" i="6" a="1"/>
  <c r="X130" i="6" s="1"/>
  <c r="W130" i="6" a="1"/>
  <c r="W130" i="6" s="1"/>
  <c r="V130" i="6" a="1"/>
  <c r="V130" i="6" s="1"/>
  <c r="U130" i="6" a="1"/>
  <c r="U130" i="6" s="1"/>
  <c r="T130" i="6" a="1"/>
  <c r="T130" i="6" s="1"/>
  <c r="S130" i="6" a="1"/>
  <c r="S130" i="6" s="1"/>
  <c r="R130" i="6" a="1"/>
  <c r="R130" i="6" s="1"/>
  <c r="Q130" i="6" a="1"/>
  <c r="Q130" i="6" s="1"/>
  <c r="P130" i="6" a="1"/>
  <c r="P130" i="6" s="1"/>
  <c r="O130" i="6" a="1"/>
  <c r="O130" i="6" s="1"/>
  <c r="N130" i="6" a="1"/>
  <c r="N130" i="6" s="1"/>
  <c r="M130" i="6" a="1"/>
  <c r="M130" i="6" s="1"/>
  <c r="L130" i="6" a="1"/>
  <c r="L130" i="6" s="1"/>
  <c r="K130" i="6" a="1"/>
  <c r="K130" i="6" s="1"/>
  <c r="J130" i="6" a="1"/>
  <c r="J130" i="6" s="1"/>
  <c r="I130" i="6" a="1"/>
  <c r="I130" i="6" s="1"/>
  <c r="H130" i="6" a="1"/>
  <c r="H130" i="6" s="1"/>
  <c r="G130" i="6" a="1"/>
  <c r="G130" i="6" s="1"/>
  <c r="F130" i="6" a="1"/>
  <c r="F130" i="6" s="1"/>
  <c r="E130" i="6" a="1"/>
  <c r="E130" i="6" s="1"/>
  <c r="D130" i="6" a="1"/>
  <c r="D130" i="6" s="1"/>
  <c r="AE129" i="6" a="1"/>
  <c r="AE129" i="6" s="1"/>
  <c r="AD129" i="6" a="1"/>
  <c r="AD129" i="6" s="1"/>
  <c r="AC129" i="6" a="1"/>
  <c r="AC129" i="6" s="1"/>
  <c r="AB129" i="6" a="1"/>
  <c r="AB129" i="6" s="1"/>
  <c r="AA129" i="6" a="1"/>
  <c r="AA129" i="6" s="1"/>
  <c r="Z129" i="6" a="1"/>
  <c r="Z129" i="6" s="1"/>
  <c r="Y129" i="6" a="1"/>
  <c r="Y129" i="6" s="1"/>
  <c r="X129" i="6" a="1"/>
  <c r="X129" i="6" s="1"/>
  <c r="W129" i="6" a="1"/>
  <c r="W129" i="6" s="1"/>
  <c r="V129" i="6" a="1"/>
  <c r="V129" i="6" s="1"/>
  <c r="U129" i="6" a="1"/>
  <c r="U129" i="6" s="1"/>
  <c r="T129" i="6" a="1"/>
  <c r="T129" i="6" s="1"/>
  <c r="S129" i="6" a="1"/>
  <c r="S129" i="6" s="1"/>
  <c r="R129" i="6" a="1"/>
  <c r="R129" i="6" s="1"/>
  <c r="Q129" i="6" a="1"/>
  <c r="Q129" i="6" s="1"/>
  <c r="P129" i="6" a="1"/>
  <c r="P129" i="6" s="1"/>
  <c r="O129" i="6" a="1"/>
  <c r="O129" i="6" s="1"/>
  <c r="N129" i="6" a="1"/>
  <c r="N129" i="6" s="1"/>
  <c r="M129" i="6" a="1"/>
  <c r="M129" i="6" s="1"/>
  <c r="L129" i="6" a="1"/>
  <c r="L129" i="6" s="1"/>
  <c r="K129" i="6" a="1"/>
  <c r="K129" i="6" s="1"/>
  <c r="J129" i="6" a="1"/>
  <c r="J129" i="6" s="1"/>
  <c r="I129" i="6" a="1"/>
  <c r="I129" i="6" s="1"/>
  <c r="H129" i="6" a="1"/>
  <c r="H129" i="6" s="1"/>
  <c r="G129" i="6" a="1"/>
  <c r="G129" i="6" s="1"/>
  <c r="F129" i="6" a="1"/>
  <c r="F129" i="6" s="1"/>
  <c r="E129" i="6" a="1"/>
  <c r="E129" i="6" s="1"/>
  <c r="D129" i="6" a="1"/>
  <c r="D129" i="6" s="1"/>
  <c r="AE128" i="6" a="1"/>
  <c r="AE128" i="6" s="1"/>
  <c r="AD128" i="6" a="1"/>
  <c r="AD128" i="6" s="1"/>
  <c r="AC128" i="6" a="1"/>
  <c r="AC128" i="6" s="1"/>
  <c r="AB128" i="6" a="1"/>
  <c r="AB128" i="6" s="1"/>
  <c r="AA128" i="6" a="1"/>
  <c r="AA128" i="6" s="1"/>
  <c r="Z128" i="6" a="1"/>
  <c r="Z128" i="6" s="1"/>
  <c r="Y128" i="6" a="1"/>
  <c r="Y128" i="6" s="1"/>
  <c r="X128" i="6" a="1"/>
  <c r="X128" i="6" s="1"/>
  <c r="W128" i="6" a="1"/>
  <c r="W128" i="6" s="1"/>
  <c r="V128" i="6" a="1"/>
  <c r="V128" i="6" s="1"/>
  <c r="U128" i="6" a="1"/>
  <c r="U128" i="6" s="1"/>
  <c r="T128" i="6" a="1"/>
  <c r="T128" i="6" s="1"/>
  <c r="S128" i="6" a="1"/>
  <c r="S128" i="6" s="1"/>
  <c r="R128" i="6" a="1"/>
  <c r="R128" i="6" s="1"/>
  <c r="Q128" i="6" a="1"/>
  <c r="Q128" i="6" s="1"/>
  <c r="P128" i="6" a="1"/>
  <c r="P128" i="6" s="1"/>
  <c r="O128" i="6" a="1"/>
  <c r="O128" i="6" s="1"/>
  <c r="N128" i="6" a="1"/>
  <c r="N128" i="6" s="1"/>
  <c r="M128" i="6" a="1"/>
  <c r="M128" i="6" s="1"/>
  <c r="L128" i="6" a="1"/>
  <c r="L128" i="6" s="1"/>
  <c r="K128" i="6" a="1"/>
  <c r="K128" i="6" s="1"/>
  <c r="J128" i="6" a="1"/>
  <c r="J128" i="6" s="1"/>
  <c r="I128" i="6" a="1"/>
  <c r="I128" i="6" s="1"/>
  <c r="H128" i="6" a="1"/>
  <c r="H128" i="6" s="1"/>
  <c r="G128" i="6" a="1"/>
  <c r="G128" i="6" s="1"/>
  <c r="F128" i="6" a="1"/>
  <c r="F128" i="6" s="1"/>
  <c r="E128" i="6" a="1"/>
  <c r="E128" i="6" s="1"/>
  <c r="D128" i="6" a="1"/>
  <c r="D128" i="6" s="1"/>
  <c r="AE127" i="6" a="1"/>
  <c r="AE127" i="6" s="1"/>
  <c r="AD127" i="6" a="1"/>
  <c r="AD127" i="6" s="1"/>
  <c r="AC127" i="6" a="1"/>
  <c r="AC127" i="6" s="1"/>
  <c r="AB127" i="6" a="1"/>
  <c r="AB127" i="6" s="1"/>
  <c r="AA127" i="6" a="1"/>
  <c r="AA127" i="6" s="1"/>
  <c r="Z127" i="6" a="1"/>
  <c r="Z127" i="6" s="1"/>
  <c r="Y127" i="6" a="1"/>
  <c r="Y127" i="6" s="1"/>
  <c r="X127" i="6" a="1"/>
  <c r="X127" i="6" s="1"/>
  <c r="W127" i="6" a="1"/>
  <c r="W127" i="6" s="1"/>
  <c r="V127" i="6" a="1"/>
  <c r="V127" i="6" s="1"/>
  <c r="U127" i="6" a="1"/>
  <c r="U127" i="6" s="1"/>
  <c r="T127" i="6" a="1"/>
  <c r="T127" i="6" s="1"/>
  <c r="S127" i="6" a="1"/>
  <c r="S127" i="6" s="1"/>
  <c r="R127" i="6" a="1"/>
  <c r="R127" i="6" s="1"/>
  <c r="Q127" i="6" a="1"/>
  <c r="Q127" i="6" s="1"/>
  <c r="P127" i="6" a="1"/>
  <c r="P127" i="6" s="1"/>
  <c r="O127" i="6" a="1"/>
  <c r="O127" i="6" s="1"/>
  <c r="N127" i="6" a="1"/>
  <c r="N127" i="6" s="1"/>
  <c r="M127" i="6" a="1"/>
  <c r="M127" i="6" s="1"/>
  <c r="L127" i="6" a="1"/>
  <c r="L127" i="6" s="1"/>
  <c r="K127" i="6" a="1"/>
  <c r="K127" i="6" s="1"/>
  <c r="J127" i="6" a="1"/>
  <c r="J127" i="6" s="1"/>
  <c r="I127" i="6" a="1"/>
  <c r="I127" i="6" s="1"/>
  <c r="H127" i="6" a="1"/>
  <c r="H127" i="6" s="1"/>
  <c r="G127" i="6" a="1"/>
  <c r="G127" i="6" s="1"/>
  <c r="F127" i="6" a="1"/>
  <c r="F127" i="6" s="1"/>
  <c r="E127" i="6" a="1"/>
  <c r="E127" i="6" s="1"/>
  <c r="D127" i="6" a="1"/>
  <c r="D127" i="6" s="1"/>
  <c r="AE126" i="6" a="1"/>
  <c r="AE126" i="6" s="1"/>
  <c r="AD126" i="6" a="1"/>
  <c r="AD126" i="6" s="1"/>
  <c r="AC126" i="6" a="1"/>
  <c r="AC126" i="6" s="1"/>
  <c r="AB126" i="6" a="1"/>
  <c r="AB126" i="6" s="1"/>
  <c r="AA126" i="6" a="1"/>
  <c r="AA126" i="6" s="1"/>
  <c r="Z126" i="6" a="1"/>
  <c r="Z126" i="6" s="1"/>
  <c r="Y126" i="6" a="1"/>
  <c r="Y126" i="6" s="1"/>
  <c r="X126" i="6" a="1"/>
  <c r="X126" i="6" s="1"/>
  <c r="W126" i="6" a="1"/>
  <c r="W126" i="6" s="1"/>
  <c r="V126" i="6" a="1"/>
  <c r="V126" i="6" s="1"/>
  <c r="U126" i="6" a="1"/>
  <c r="U126" i="6" s="1"/>
  <c r="T126" i="6" a="1"/>
  <c r="T126" i="6" s="1"/>
  <c r="S126" i="6" a="1"/>
  <c r="S126" i="6" s="1"/>
  <c r="R126" i="6" a="1"/>
  <c r="R126" i="6" s="1"/>
  <c r="Q126" i="6" a="1"/>
  <c r="Q126" i="6" s="1"/>
  <c r="P126" i="6" a="1"/>
  <c r="P126" i="6" s="1"/>
  <c r="O126" i="6" a="1"/>
  <c r="O126" i="6" s="1"/>
  <c r="N126" i="6" a="1"/>
  <c r="N126" i="6" s="1"/>
  <c r="M126" i="6" a="1"/>
  <c r="M126" i="6" s="1"/>
  <c r="L126" i="6" a="1"/>
  <c r="L126" i="6" s="1"/>
  <c r="K126" i="6" a="1"/>
  <c r="K126" i="6" s="1"/>
  <c r="J126" i="6" a="1"/>
  <c r="J126" i="6" s="1"/>
  <c r="I126" i="6" a="1"/>
  <c r="I126" i="6" s="1"/>
  <c r="H126" i="6" a="1"/>
  <c r="H126" i="6" s="1"/>
  <c r="G126" i="6" a="1"/>
  <c r="G126" i="6" s="1"/>
  <c r="F126" i="6" a="1"/>
  <c r="F126" i="6" s="1"/>
  <c r="E126" i="6" a="1"/>
  <c r="E126" i="6" s="1"/>
  <c r="D126" i="6" a="1"/>
  <c r="D126" i="6" s="1"/>
  <c r="AE125" i="6" a="1"/>
  <c r="AE125" i="6" s="1"/>
  <c r="AD125" i="6" a="1"/>
  <c r="AD125" i="6" s="1"/>
  <c r="AC125" i="6" a="1"/>
  <c r="AC125" i="6" s="1"/>
  <c r="AB125" i="6" a="1"/>
  <c r="AB125" i="6" s="1"/>
  <c r="AA125" i="6" a="1"/>
  <c r="AA125" i="6" s="1"/>
  <c r="Z125" i="6" a="1"/>
  <c r="Z125" i="6" s="1"/>
  <c r="Y125" i="6" a="1"/>
  <c r="Y125" i="6" s="1"/>
  <c r="X125" i="6" a="1"/>
  <c r="X125" i="6" s="1"/>
  <c r="W125" i="6" a="1"/>
  <c r="W125" i="6" s="1"/>
  <c r="V125" i="6" a="1"/>
  <c r="V125" i="6" s="1"/>
  <c r="U125" i="6" a="1"/>
  <c r="U125" i="6" s="1"/>
  <c r="T125" i="6" a="1"/>
  <c r="T125" i="6" s="1"/>
  <c r="S125" i="6" a="1"/>
  <c r="S125" i="6" s="1"/>
  <c r="R125" i="6" a="1"/>
  <c r="R125" i="6" s="1"/>
  <c r="Q125" i="6" a="1"/>
  <c r="Q125" i="6" s="1"/>
  <c r="P125" i="6" a="1"/>
  <c r="P125" i="6" s="1"/>
  <c r="O125" i="6" a="1"/>
  <c r="O125" i="6" s="1"/>
  <c r="N125" i="6" a="1"/>
  <c r="N125" i="6" s="1"/>
  <c r="M125" i="6" a="1"/>
  <c r="M125" i="6" s="1"/>
  <c r="L125" i="6" a="1"/>
  <c r="L125" i="6" s="1"/>
  <c r="K125" i="6" a="1"/>
  <c r="K125" i="6" s="1"/>
  <c r="J125" i="6" a="1"/>
  <c r="J125" i="6" s="1"/>
  <c r="I125" i="6" a="1"/>
  <c r="I125" i="6" s="1"/>
  <c r="H125" i="6" a="1"/>
  <c r="H125" i="6" s="1"/>
  <c r="G125" i="6" a="1"/>
  <c r="G125" i="6" s="1"/>
  <c r="F125" i="6" a="1"/>
  <c r="F125" i="6" s="1"/>
  <c r="E125" i="6" a="1"/>
  <c r="E125" i="6" s="1"/>
  <c r="D125" i="6" a="1"/>
  <c r="D125" i="6" s="1"/>
  <c r="AE124" i="6" a="1"/>
  <c r="AE124" i="6" s="1"/>
  <c r="AD124" i="6" a="1"/>
  <c r="AD124" i="6" s="1"/>
  <c r="AC124" i="6" a="1"/>
  <c r="AC124" i="6" s="1"/>
  <c r="AB124" i="6" a="1"/>
  <c r="AB124" i="6" s="1"/>
  <c r="AA124" i="6" a="1"/>
  <c r="AA124" i="6" s="1"/>
  <c r="Z124" i="6" a="1"/>
  <c r="Z124" i="6" s="1"/>
  <c r="Y124" i="6" a="1"/>
  <c r="Y124" i="6" s="1"/>
  <c r="X124" i="6" a="1"/>
  <c r="X124" i="6" s="1"/>
  <c r="W124" i="6" a="1"/>
  <c r="W124" i="6" s="1"/>
  <c r="V124" i="6" a="1"/>
  <c r="V124" i="6" s="1"/>
  <c r="U124" i="6" a="1"/>
  <c r="U124" i="6" s="1"/>
  <c r="T124" i="6" a="1"/>
  <c r="T124" i="6" s="1"/>
  <c r="S124" i="6" a="1"/>
  <c r="S124" i="6" s="1"/>
  <c r="R124" i="6" a="1"/>
  <c r="R124" i="6" s="1"/>
  <c r="Q124" i="6" a="1"/>
  <c r="Q124" i="6" s="1"/>
  <c r="P124" i="6" a="1"/>
  <c r="P124" i="6" s="1"/>
  <c r="O124" i="6" a="1"/>
  <c r="O124" i="6" s="1"/>
  <c r="N124" i="6" a="1"/>
  <c r="N124" i="6" s="1"/>
  <c r="M124" i="6" a="1"/>
  <c r="M124" i="6" s="1"/>
  <c r="L124" i="6" a="1"/>
  <c r="L124" i="6" s="1"/>
  <c r="K124" i="6" a="1"/>
  <c r="K124" i="6" s="1"/>
  <c r="J124" i="6" a="1"/>
  <c r="J124" i="6" s="1"/>
  <c r="I124" i="6" a="1"/>
  <c r="I124" i="6" s="1"/>
  <c r="H124" i="6" a="1"/>
  <c r="H124" i="6" s="1"/>
  <c r="G124" i="6" a="1"/>
  <c r="G124" i="6" s="1"/>
  <c r="F124" i="6" a="1"/>
  <c r="F124" i="6" s="1"/>
  <c r="E124" i="6" a="1"/>
  <c r="E124" i="6" s="1"/>
  <c r="D124" i="6" a="1"/>
  <c r="D124" i="6" s="1"/>
  <c r="AE123" i="6" a="1"/>
  <c r="AE123" i="6" s="1"/>
  <c r="AD123" i="6" a="1"/>
  <c r="AD123" i="6" s="1"/>
  <c r="AC123" i="6" a="1"/>
  <c r="AC123" i="6" s="1"/>
  <c r="AB123" i="6" a="1"/>
  <c r="AB123" i="6" s="1"/>
  <c r="AA123" i="6" a="1"/>
  <c r="AA123" i="6" s="1"/>
  <c r="Z123" i="6" a="1"/>
  <c r="Z123" i="6" s="1"/>
  <c r="Y123" i="6" a="1"/>
  <c r="Y123" i="6" s="1"/>
  <c r="X123" i="6" a="1"/>
  <c r="X123" i="6" s="1"/>
  <c r="W123" i="6" a="1"/>
  <c r="W123" i="6" s="1"/>
  <c r="V123" i="6" a="1"/>
  <c r="V123" i="6" s="1"/>
  <c r="U123" i="6" a="1"/>
  <c r="U123" i="6" s="1"/>
  <c r="T123" i="6" a="1"/>
  <c r="T123" i="6" s="1"/>
  <c r="S123" i="6" a="1"/>
  <c r="S123" i="6" s="1"/>
  <c r="R123" i="6" a="1"/>
  <c r="R123" i="6" s="1"/>
  <c r="Q123" i="6" a="1"/>
  <c r="Q123" i="6" s="1"/>
  <c r="P123" i="6" a="1"/>
  <c r="P123" i="6" s="1"/>
  <c r="O123" i="6" a="1"/>
  <c r="O123" i="6" s="1"/>
  <c r="N123" i="6" a="1"/>
  <c r="N123" i="6" s="1"/>
  <c r="M123" i="6" a="1"/>
  <c r="M123" i="6" s="1"/>
  <c r="L123" i="6" a="1"/>
  <c r="L123" i="6" s="1"/>
  <c r="K123" i="6" a="1"/>
  <c r="K123" i="6" s="1"/>
  <c r="J123" i="6" a="1"/>
  <c r="J123" i="6" s="1"/>
  <c r="I123" i="6" a="1"/>
  <c r="I123" i="6" s="1"/>
  <c r="H123" i="6" a="1"/>
  <c r="H123" i="6" s="1"/>
  <c r="G123" i="6" a="1"/>
  <c r="G123" i="6" s="1"/>
  <c r="F123" i="6" a="1"/>
  <c r="F123" i="6" s="1"/>
  <c r="E123" i="6" a="1"/>
  <c r="E123" i="6" s="1"/>
  <c r="D123" i="6" a="1"/>
  <c r="D123" i="6" s="1"/>
  <c r="AE122" i="6" a="1"/>
  <c r="AE122" i="6" s="1"/>
  <c r="AD122" i="6" a="1"/>
  <c r="AD122" i="6" s="1"/>
  <c r="AC122" i="6" a="1"/>
  <c r="AC122" i="6" s="1"/>
  <c r="AB122" i="6" a="1"/>
  <c r="AB122" i="6" s="1"/>
  <c r="AA122" i="6" a="1"/>
  <c r="AA122" i="6" s="1"/>
  <c r="Z122" i="6" a="1"/>
  <c r="Z122" i="6" s="1"/>
  <c r="Y122" i="6" a="1"/>
  <c r="Y122" i="6" s="1"/>
  <c r="X122" i="6" a="1"/>
  <c r="X122" i="6" s="1"/>
  <c r="W122" i="6" a="1"/>
  <c r="W122" i="6" s="1"/>
  <c r="V122" i="6" a="1"/>
  <c r="V122" i="6" s="1"/>
  <c r="U122" i="6" a="1"/>
  <c r="U122" i="6" s="1"/>
  <c r="T122" i="6" a="1"/>
  <c r="T122" i="6" s="1"/>
  <c r="S122" i="6" a="1"/>
  <c r="S122" i="6" s="1"/>
  <c r="R122" i="6" a="1"/>
  <c r="R122" i="6" s="1"/>
  <c r="Q122" i="6" a="1"/>
  <c r="Q122" i="6" s="1"/>
  <c r="P122" i="6" a="1"/>
  <c r="P122" i="6" s="1"/>
  <c r="O122" i="6" a="1"/>
  <c r="O122" i="6" s="1"/>
  <c r="N122" i="6" a="1"/>
  <c r="N122" i="6" s="1"/>
  <c r="M122" i="6" a="1"/>
  <c r="M122" i="6" s="1"/>
  <c r="L122" i="6" a="1"/>
  <c r="L122" i="6" s="1"/>
  <c r="K122" i="6" a="1"/>
  <c r="K122" i="6" s="1"/>
  <c r="J122" i="6" a="1"/>
  <c r="J122" i="6" s="1"/>
  <c r="I122" i="6" a="1"/>
  <c r="I122" i="6" s="1"/>
  <c r="H122" i="6" a="1"/>
  <c r="H122" i="6" s="1"/>
  <c r="G122" i="6" a="1"/>
  <c r="G122" i="6" s="1"/>
  <c r="F122" i="6" a="1"/>
  <c r="F122" i="6" s="1"/>
  <c r="E122" i="6" a="1"/>
  <c r="E122" i="6" s="1"/>
  <c r="D122" i="6" a="1"/>
  <c r="D122" i="6" s="1"/>
  <c r="AE121" i="6" a="1"/>
  <c r="AE121" i="6" s="1"/>
  <c r="AD121" i="6" a="1"/>
  <c r="AD121" i="6" s="1"/>
  <c r="AC121" i="6" a="1"/>
  <c r="AC121" i="6" s="1"/>
  <c r="AB121" i="6" a="1"/>
  <c r="AB121" i="6" s="1"/>
  <c r="AA121" i="6" a="1"/>
  <c r="AA121" i="6" s="1"/>
  <c r="Z121" i="6" a="1"/>
  <c r="Z121" i="6" s="1"/>
  <c r="Y121" i="6" a="1"/>
  <c r="Y121" i="6" s="1"/>
  <c r="X121" i="6" a="1"/>
  <c r="X121" i="6" s="1"/>
  <c r="W121" i="6" a="1"/>
  <c r="W121" i="6" s="1"/>
  <c r="V121" i="6" a="1"/>
  <c r="V121" i="6" s="1"/>
  <c r="U121" i="6" a="1"/>
  <c r="U121" i="6" s="1"/>
  <c r="T121" i="6" a="1"/>
  <c r="T121" i="6" s="1"/>
  <c r="S121" i="6" a="1"/>
  <c r="S121" i="6" s="1"/>
  <c r="R121" i="6" a="1"/>
  <c r="R121" i="6" s="1"/>
  <c r="Q121" i="6" a="1"/>
  <c r="Q121" i="6" s="1"/>
  <c r="P121" i="6" a="1"/>
  <c r="P121" i="6" s="1"/>
  <c r="O121" i="6" a="1"/>
  <c r="O121" i="6" s="1"/>
  <c r="N121" i="6" a="1"/>
  <c r="N121" i="6" s="1"/>
  <c r="M121" i="6" a="1"/>
  <c r="M121" i="6" s="1"/>
  <c r="L121" i="6" a="1"/>
  <c r="L121" i="6" s="1"/>
  <c r="K121" i="6" a="1"/>
  <c r="K121" i="6" s="1"/>
  <c r="J121" i="6" a="1"/>
  <c r="J121" i="6" s="1"/>
  <c r="I121" i="6" a="1"/>
  <c r="I121" i="6" s="1"/>
  <c r="H121" i="6" a="1"/>
  <c r="H121" i="6" s="1"/>
  <c r="G121" i="6" a="1"/>
  <c r="G121" i="6" s="1"/>
  <c r="F121" i="6" a="1"/>
  <c r="F121" i="6" s="1"/>
  <c r="E121" i="6" a="1"/>
  <c r="E121" i="6" s="1"/>
  <c r="D121" i="6" a="1"/>
  <c r="D121" i="6" s="1"/>
  <c r="AE120" i="6" a="1"/>
  <c r="AE120" i="6" s="1"/>
  <c r="AD120" i="6" a="1"/>
  <c r="AD120" i="6" s="1"/>
  <c r="AC120" i="6" a="1"/>
  <c r="AC120" i="6" s="1"/>
  <c r="AB120" i="6" a="1"/>
  <c r="AB120" i="6" s="1"/>
  <c r="AA120" i="6" a="1"/>
  <c r="AA120" i="6" s="1"/>
  <c r="Z120" i="6" a="1"/>
  <c r="Z120" i="6" s="1"/>
  <c r="Y120" i="6" a="1"/>
  <c r="Y120" i="6" s="1"/>
  <c r="X120" i="6" a="1"/>
  <c r="X120" i="6" s="1"/>
  <c r="W120" i="6" a="1"/>
  <c r="W120" i="6" s="1"/>
  <c r="V120" i="6" a="1"/>
  <c r="V120" i="6" s="1"/>
  <c r="U120" i="6" a="1"/>
  <c r="U120" i="6" s="1"/>
  <c r="T120" i="6" a="1"/>
  <c r="T120" i="6" s="1"/>
  <c r="S120" i="6" a="1"/>
  <c r="S120" i="6" s="1"/>
  <c r="R120" i="6" a="1"/>
  <c r="R120" i="6" s="1"/>
  <c r="Q120" i="6" a="1"/>
  <c r="Q120" i="6" s="1"/>
  <c r="P120" i="6" a="1"/>
  <c r="P120" i="6" s="1"/>
  <c r="O120" i="6" a="1"/>
  <c r="O120" i="6" s="1"/>
  <c r="N120" i="6" a="1"/>
  <c r="N120" i="6" s="1"/>
  <c r="M120" i="6" a="1"/>
  <c r="M120" i="6" s="1"/>
  <c r="L120" i="6" a="1"/>
  <c r="L120" i="6" s="1"/>
  <c r="K120" i="6" a="1"/>
  <c r="K120" i="6" s="1"/>
  <c r="J120" i="6" a="1"/>
  <c r="J120" i="6" s="1"/>
  <c r="I120" i="6" a="1"/>
  <c r="I120" i="6" s="1"/>
  <c r="H120" i="6" a="1"/>
  <c r="H120" i="6" s="1"/>
  <c r="G120" i="6" a="1"/>
  <c r="G120" i="6" s="1"/>
  <c r="F120" i="6" a="1"/>
  <c r="F120" i="6" s="1"/>
  <c r="E120" i="6" a="1"/>
  <c r="E120" i="6" s="1"/>
  <c r="D120" i="6" a="1"/>
  <c r="D120" i="6" s="1"/>
  <c r="AE119" i="6" a="1"/>
  <c r="AE119" i="6" s="1"/>
  <c r="AD119" i="6" a="1"/>
  <c r="AD119" i="6" s="1"/>
  <c r="AC119" i="6" a="1"/>
  <c r="AC119" i="6" s="1"/>
  <c r="AB119" i="6" a="1"/>
  <c r="AB119" i="6" s="1"/>
  <c r="AA119" i="6" a="1"/>
  <c r="AA119" i="6" s="1"/>
  <c r="Z119" i="6" a="1"/>
  <c r="Z119" i="6" s="1"/>
  <c r="Y119" i="6" a="1"/>
  <c r="Y119" i="6" s="1"/>
  <c r="X119" i="6" a="1"/>
  <c r="X119" i="6" s="1"/>
  <c r="W119" i="6" a="1"/>
  <c r="W119" i="6" s="1"/>
  <c r="V119" i="6" a="1"/>
  <c r="V119" i="6" s="1"/>
  <c r="U119" i="6" a="1"/>
  <c r="U119" i="6" s="1"/>
  <c r="T119" i="6" a="1"/>
  <c r="T119" i="6" s="1"/>
  <c r="S119" i="6" a="1"/>
  <c r="S119" i="6" s="1"/>
  <c r="R119" i="6" a="1"/>
  <c r="R119" i="6" s="1"/>
  <c r="Q119" i="6" a="1"/>
  <c r="Q119" i="6" s="1"/>
  <c r="P119" i="6" a="1"/>
  <c r="P119" i="6" s="1"/>
  <c r="O119" i="6" a="1"/>
  <c r="O119" i="6" s="1"/>
  <c r="N119" i="6" a="1"/>
  <c r="N119" i="6" s="1"/>
  <c r="M119" i="6" a="1"/>
  <c r="M119" i="6" s="1"/>
  <c r="L119" i="6" a="1"/>
  <c r="L119" i="6" s="1"/>
  <c r="K119" i="6" a="1"/>
  <c r="K119" i="6" s="1"/>
  <c r="J119" i="6" a="1"/>
  <c r="J119" i="6" s="1"/>
  <c r="I119" i="6" a="1"/>
  <c r="I119" i="6" s="1"/>
  <c r="H119" i="6" a="1"/>
  <c r="H119" i="6" s="1"/>
  <c r="G119" i="6" a="1"/>
  <c r="G119" i="6" s="1"/>
  <c r="F119" i="6" a="1"/>
  <c r="F119" i="6" s="1"/>
  <c r="E119" i="6" a="1"/>
  <c r="E119" i="6" s="1"/>
  <c r="D119" i="6" a="1"/>
  <c r="D119" i="6" s="1"/>
  <c r="AE118" i="6" a="1"/>
  <c r="AE118" i="6" s="1"/>
  <c r="AD118" i="6" a="1"/>
  <c r="AD118" i="6" s="1"/>
  <c r="AC118" i="6" a="1"/>
  <c r="AC118" i="6" s="1"/>
  <c r="AB118" i="6" a="1"/>
  <c r="AB118" i="6" s="1"/>
  <c r="AA118" i="6" a="1"/>
  <c r="AA118" i="6" s="1"/>
  <c r="Z118" i="6" a="1"/>
  <c r="Z118" i="6" s="1"/>
  <c r="Y118" i="6" a="1"/>
  <c r="Y118" i="6" s="1"/>
  <c r="X118" i="6" a="1"/>
  <c r="X118" i="6" s="1"/>
  <c r="W118" i="6" a="1"/>
  <c r="W118" i="6" s="1"/>
  <c r="V118" i="6" a="1"/>
  <c r="V118" i="6" s="1"/>
  <c r="U118" i="6" a="1"/>
  <c r="U118" i="6" s="1"/>
  <c r="T118" i="6" a="1"/>
  <c r="T118" i="6" s="1"/>
  <c r="S118" i="6" a="1"/>
  <c r="S118" i="6" s="1"/>
  <c r="R118" i="6" a="1"/>
  <c r="R118" i="6" s="1"/>
  <c r="Q118" i="6" a="1"/>
  <c r="Q118" i="6" s="1"/>
  <c r="P118" i="6" a="1"/>
  <c r="P118" i="6" s="1"/>
  <c r="O118" i="6" a="1"/>
  <c r="O118" i="6" s="1"/>
  <c r="N118" i="6" a="1"/>
  <c r="N118" i="6" s="1"/>
  <c r="M118" i="6" a="1"/>
  <c r="M118" i="6" s="1"/>
  <c r="L118" i="6" a="1"/>
  <c r="L118" i="6" s="1"/>
  <c r="K118" i="6" a="1"/>
  <c r="K118" i="6" s="1"/>
  <c r="J118" i="6" a="1"/>
  <c r="J118" i="6" s="1"/>
  <c r="I118" i="6" a="1"/>
  <c r="I118" i="6" s="1"/>
  <c r="H118" i="6" a="1"/>
  <c r="H118" i="6" s="1"/>
  <c r="G118" i="6" a="1"/>
  <c r="G118" i="6" s="1"/>
  <c r="F118" i="6" a="1"/>
  <c r="F118" i="6" s="1"/>
  <c r="E118" i="6" a="1"/>
  <c r="E118" i="6" s="1"/>
  <c r="D118" i="6" a="1"/>
  <c r="D118" i="6" s="1"/>
  <c r="AE117" i="6" a="1"/>
  <c r="AE117" i="6" s="1"/>
  <c r="AD117" i="6" a="1"/>
  <c r="AD117" i="6" s="1"/>
  <c r="AC117" i="6" a="1"/>
  <c r="AC117" i="6" s="1"/>
  <c r="AB117" i="6" a="1"/>
  <c r="AB117" i="6" s="1"/>
  <c r="AA117" i="6" a="1"/>
  <c r="AA117" i="6" s="1"/>
  <c r="Z117" i="6" a="1"/>
  <c r="Z117" i="6" s="1"/>
  <c r="Y117" i="6" a="1"/>
  <c r="Y117" i="6" s="1"/>
  <c r="X117" i="6" a="1"/>
  <c r="X117" i="6" s="1"/>
  <c r="W117" i="6" a="1"/>
  <c r="W117" i="6" s="1"/>
  <c r="V117" i="6" a="1"/>
  <c r="V117" i="6" s="1"/>
  <c r="U117" i="6" a="1"/>
  <c r="U117" i="6" s="1"/>
  <c r="T117" i="6" a="1"/>
  <c r="T117" i="6" s="1"/>
  <c r="S117" i="6" a="1"/>
  <c r="S117" i="6" s="1"/>
  <c r="R117" i="6" a="1"/>
  <c r="R117" i="6" s="1"/>
  <c r="Q117" i="6" a="1"/>
  <c r="Q117" i="6" s="1"/>
  <c r="P117" i="6" a="1"/>
  <c r="P117" i="6" s="1"/>
  <c r="O117" i="6" a="1"/>
  <c r="O117" i="6" s="1"/>
  <c r="N117" i="6" a="1"/>
  <c r="N117" i="6" s="1"/>
  <c r="M117" i="6" a="1"/>
  <c r="M117" i="6" s="1"/>
  <c r="L117" i="6" a="1"/>
  <c r="L117" i="6" s="1"/>
  <c r="K117" i="6" a="1"/>
  <c r="K117" i="6" s="1"/>
  <c r="J117" i="6" a="1"/>
  <c r="J117" i="6" s="1"/>
  <c r="I117" i="6" a="1"/>
  <c r="I117" i="6" s="1"/>
  <c r="H117" i="6" a="1"/>
  <c r="H117" i="6" s="1"/>
  <c r="G117" i="6" a="1"/>
  <c r="G117" i="6" s="1"/>
  <c r="F117" i="6" a="1"/>
  <c r="F117" i="6" s="1"/>
  <c r="E117" i="6" a="1"/>
  <c r="E117" i="6" s="1"/>
  <c r="D117" i="6" a="1"/>
  <c r="D117" i="6" s="1"/>
  <c r="AE116" i="6" a="1"/>
  <c r="AE116" i="6" s="1"/>
  <c r="AD116" i="6" a="1"/>
  <c r="AD116" i="6" s="1"/>
  <c r="AC116" i="6" a="1"/>
  <c r="AC116" i="6" s="1"/>
  <c r="AB116" i="6" a="1"/>
  <c r="AB116" i="6" s="1"/>
  <c r="AA116" i="6" a="1"/>
  <c r="AA116" i="6" s="1"/>
  <c r="Z116" i="6" a="1"/>
  <c r="Z116" i="6" s="1"/>
  <c r="Y116" i="6" a="1"/>
  <c r="Y116" i="6" s="1"/>
  <c r="X116" i="6" a="1"/>
  <c r="X116" i="6" s="1"/>
  <c r="W116" i="6" a="1"/>
  <c r="W116" i="6" s="1"/>
  <c r="V116" i="6" a="1"/>
  <c r="V116" i="6" s="1"/>
  <c r="U116" i="6" a="1"/>
  <c r="U116" i="6" s="1"/>
  <c r="T116" i="6" a="1"/>
  <c r="T116" i="6" s="1"/>
  <c r="S116" i="6" a="1"/>
  <c r="S116" i="6" s="1"/>
  <c r="R116" i="6" a="1"/>
  <c r="R116" i="6" s="1"/>
  <c r="Q116" i="6" a="1"/>
  <c r="Q116" i="6" s="1"/>
  <c r="P116" i="6" a="1"/>
  <c r="P116" i="6" s="1"/>
  <c r="O116" i="6" a="1"/>
  <c r="O116" i="6" s="1"/>
  <c r="N116" i="6" a="1"/>
  <c r="N116" i="6" s="1"/>
  <c r="M116" i="6" a="1"/>
  <c r="M116" i="6" s="1"/>
  <c r="L116" i="6" a="1"/>
  <c r="L116" i="6" s="1"/>
  <c r="K116" i="6" a="1"/>
  <c r="K116" i="6" s="1"/>
  <c r="J116" i="6" a="1"/>
  <c r="J116" i="6" s="1"/>
  <c r="I116" i="6" a="1"/>
  <c r="I116" i="6" s="1"/>
  <c r="H116" i="6" a="1"/>
  <c r="H116" i="6" s="1"/>
  <c r="G116" i="6" a="1"/>
  <c r="G116" i="6" s="1"/>
  <c r="F116" i="6" a="1"/>
  <c r="F116" i="6" s="1"/>
  <c r="E116" i="6" a="1"/>
  <c r="E116" i="6" s="1"/>
  <c r="D116" i="6" a="1"/>
  <c r="D116" i="6" s="1"/>
  <c r="AE115" i="6" a="1"/>
  <c r="AE115" i="6" s="1"/>
  <c r="AD115" i="6" a="1"/>
  <c r="AD115" i="6" s="1"/>
  <c r="AC115" i="6" a="1"/>
  <c r="AC115" i="6" s="1"/>
  <c r="AB115" i="6" a="1"/>
  <c r="AB115" i="6" s="1"/>
  <c r="AA115" i="6" a="1"/>
  <c r="AA115" i="6" s="1"/>
  <c r="Z115" i="6" a="1"/>
  <c r="Z115" i="6" s="1"/>
  <c r="Y115" i="6" a="1"/>
  <c r="Y115" i="6" s="1"/>
  <c r="X115" i="6" a="1"/>
  <c r="X115" i="6" s="1"/>
  <c r="W115" i="6" a="1"/>
  <c r="W115" i="6" s="1"/>
  <c r="V115" i="6" a="1"/>
  <c r="V115" i="6" s="1"/>
  <c r="U115" i="6" a="1"/>
  <c r="U115" i="6" s="1"/>
  <c r="T115" i="6" a="1"/>
  <c r="T115" i="6" s="1"/>
  <c r="S115" i="6" a="1"/>
  <c r="S115" i="6" s="1"/>
  <c r="R115" i="6" a="1"/>
  <c r="R115" i="6" s="1"/>
  <c r="Q115" i="6" a="1"/>
  <c r="Q115" i="6" s="1"/>
  <c r="P115" i="6" a="1"/>
  <c r="P115" i="6" s="1"/>
  <c r="O115" i="6" a="1"/>
  <c r="O115" i="6" s="1"/>
  <c r="N115" i="6" a="1"/>
  <c r="N115" i="6" s="1"/>
  <c r="M115" i="6" a="1"/>
  <c r="M115" i="6" s="1"/>
  <c r="L115" i="6" a="1"/>
  <c r="L115" i="6" s="1"/>
  <c r="K115" i="6" a="1"/>
  <c r="K115" i="6" s="1"/>
  <c r="J115" i="6" a="1"/>
  <c r="J115" i="6" s="1"/>
  <c r="I115" i="6" a="1"/>
  <c r="I115" i="6" s="1"/>
  <c r="H115" i="6" a="1"/>
  <c r="H115" i="6" s="1"/>
  <c r="G115" i="6" a="1"/>
  <c r="G115" i="6" s="1"/>
  <c r="F115" i="6" a="1"/>
  <c r="F115" i="6" s="1"/>
  <c r="E115" i="6" a="1"/>
  <c r="E115" i="6" s="1"/>
  <c r="D115" i="6" a="1"/>
  <c r="D115" i="6" s="1"/>
  <c r="AE114" i="6" a="1"/>
  <c r="AE114" i="6" s="1"/>
  <c r="AD114" i="6" a="1"/>
  <c r="AD114" i="6" s="1"/>
  <c r="AC114" i="6" a="1"/>
  <c r="AC114" i="6" s="1"/>
  <c r="AB114" i="6" a="1"/>
  <c r="AB114" i="6" s="1"/>
  <c r="AA114" i="6" a="1"/>
  <c r="AA114" i="6" s="1"/>
  <c r="Z114" i="6" a="1"/>
  <c r="Z114" i="6" s="1"/>
  <c r="Y114" i="6" a="1"/>
  <c r="Y114" i="6" s="1"/>
  <c r="X114" i="6" a="1"/>
  <c r="X114" i="6" s="1"/>
  <c r="W114" i="6" a="1"/>
  <c r="W114" i="6" s="1"/>
  <c r="V114" i="6" a="1"/>
  <c r="V114" i="6" s="1"/>
  <c r="U114" i="6" a="1"/>
  <c r="U114" i="6" s="1"/>
  <c r="T114" i="6" a="1"/>
  <c r="T114" i="6" s="1"/>
  <c r="S114" i="6" a="1"/>
  <c r="S114" i="6" s="1"/>
  <c r="R114" i="6" a="1"/>
  <c r="R114" i="6" s="1"/>
  <c r="Q114" i="6" a="1"/>
  <c r="Q114" i="6" s="1"/>
  <c r="P114" i="6" a="1"/>
  <c r="P114" i="6" s="1"/>
  <c r="O114" i="6" a="1"/>
  <c r="O114" i="6" s="1"/>
  <c r="N114" i="6" a="1"/>
  <c r="N114" i="6" s="1"/>
  <c r="M114" i="6" a="1"/>
  <c r="M114" i="6" s="1"/>
  <c r="L114" i="6" a="1"/>
  <c r="L114" i="6" s="1"/>
  <c r="K114" i="6" a="1"/>
  <c r="K114" i="6" s="1"/>
  <c r="J114" i="6" a="1"/>
  <c r="J114" i="6" s="1"/>
  <c r="I114" i="6" a="1"/>
  <c r="I114" i="6" s="1"/>
  <c r="H114" i="6" a="1"/>
  <c r="H114" i="6" s="1"/>
  <c r="G114" i="6" a="1"/>
  <c r="G114" i="6" s="1"/>
  <c r="F114" i="6" a="1"/>
  <c r="F114" i="6" s="1"/>
  <c r="E114" i="6" a="1"/>
  <c r="E114" i="6" s="1"/>
  <c r="D114" i="6" a="1"/>
  <c r="D114" i="6" s="1"/>
  <c r="AE113" i="6" a="1"/>
  <c r="AE113" i="6" s="1"/>
  <c r="AD113" i="6" a="1"/>
  <c r="AD113" i="6" s="1"/>
  <c r="AC113" i="6" a="1"/>
  <c r="AC113" i="6" s="1"/>
  <c r="AB113" i="6" a="1"/>
  <c r="AB113" i="6" s="1"/>
  <c r="AA113" i="6" a="1"/>
  <c r="AA113" i="6" s="1"/>
  <c r="Z113" i="6" a="1"/>
  <c r="Z113" i="6" s="1"/>
  <c r="Y113" i="6" a="1"/>
  <c r="Y113" i="6" s="1"/>
  <c r="X113" i="6" a="1"/>
  <c r="X113" i="6" s="1"/>
  <c r="W113" i="6" a="1"/>
  <c r="W113" i="6" s="1"/>
  <c r="V113" i="6" a="1"/>
  <c r="V113" i="6" s="1"/>
  <c r="U113" i="6" a="1"/>
  <c r="U113" i="6" s="1"/>
  <c r="T113" i="6" a="1"/>
  <c r="T113" i="6" s="1"/>
  <c r="S113" i="6" a="1"/>
  <c r="S113" i="6" s="1"/>
  <c r="R113" i="6" a="1"/>
  <c r="R113" i="6" s="1"/>
  <c r="Q113" i="6" a="1"/>
  <c r="Q113" i="6" s="1"/>
  <c r="P113" i="6" a="1"/>
  <c r="P113" i="6" s="1"/>
  <c r="O113" i="6" a="1"/>
  <c r="O113" i="6" s="1"/>
  <c r="N113" i="6" a="1"/>
  <c r="N113" i="6" s="1"/>
  <c r="M113" i="6" a="1"/>
  <c r="M113" i="6" s="1"/>
  <c r="L113" i="6" a="1"/>
  <c r="L113" i="6" s="1"/>
  <c r="K113" i="6" a="1"/>
  <c r="K113" i="6" s="1"/>
  <c r="J113" i="6" a="1"/>
  <c r="J113" i="6" s="1"/>
  <c r="I113" i="6" a="1"/>
  <c r="I113" i="6" s="1"/>
  <c r="H113" i="6" a="1"/>
  <c r="H113" i="6" s="1"/>
  <c r="G113" i="6" a="1"/>
  <c r="G113" i="6" s="1"/>
  <c r="F113" i="6" a="1"/>
  <c r="F113" i="6" s="1"/>
  <c r="E113" i="6" a="1"/>
  <c r="E113" i="6" s="1"/>
  <c r="D113" i="6" a="1"/>
  <c r="D113" i="6" s="1"/>
  <c r="AE112" i="6" a="1"/>
  <c r="AE112" i="6" s="1"/>
  <c r="AD112" i="6" a="1"/>
  <c r="AD112" i="6" s="1"/>
  <c r="AC112" i="6" a="1"/>
  <c r="AC112" i="6" s="1"/>
  <c r="AB112" i="6" a="1"/>
  <c r="AB112" i="6" s="1"/>
  <c r="AA112" i="6" a="1"/>
  <c r="AA112" i="6" s="1"/>
  <c r="Z112" i="6" a="1"/>
  <c r="Z112" i="6" s="1"/>
  <c r="Y112" i="6" a="1"/>
  <c r="Y112" i="6" s="1"/>
  <c r="X112" i="6" a="1"/>
  <c r="X112" i="6" s="1"/>
  <c r="W112" i="6" a="1"/>
  <c r="W112" i="6" s="1"/>
  <c r="V112" i="6" a="1"/>
  <c r="V112" i="6" s="1"/>
  <c r="U112" i="6" a="1"/>
  <c r="U112" i="6" s="1"/>
  <c r="T112" i="6" a="1"/>
  <c r="T112" i="6" s="1"/>
  <c r="S112" i="6" a="1"/>
  <c r="S112" i="6" s="1"/>
  <c r="R112" i="6" a="1"/>
  <c r="R112" i="6" s="1"/>
  <c r="Q112" i="6" a="1"/>
  <c r="Q112" i="6" s="1"/>
  <c r="P112" i="6" a="1"/>
  <c r="P112" i="6" s="1"/>
  <c r="O112" i="6" a="1"/>
  <c r="O112" i="6" s="1"/>
  <c r="N112" i="6" a="1"/>
  <c r="N112" i="6" s="1"/>
  <c r="M112" i="6" a="1"/>
  <c r="M112" i="6" s="1"/>
  <c r="L112" i="6" a="1"/>
  <c r="L112" i="6" s="1"/>
  <c r="K112" i="6" a="1"/>
  <c r="K112" i="6" s="1"/>
  <c r="J112" i="6" a="1"/>
  <c r="J112" i="6" s="1"/>
  <c r="I112" i="6" a="1"/>
  <c r="I112" i="6" s="1"/>
  <c r="H112" i="6" a="1"/>
  <c r="H112" i="6" s="1"/>
  <c r="G112" i="6" a="1"/>
  <c r="G112" i="6" s="1"/>
  <c r="F112" i="6" a="1"/>
  <c r="F112" i="6" s="1"/>
  <c r="E112" i="6" a="1"/>
  <c r="E112" i="6" s="1"/>
  <c r="D112" i="6" a="1"/>
  <c r="D112" i="6" s="1"/>
  <c r="AE111" i="6" a="1"/>
  <c r="AE111" i="6" s="1"/>
  <c r="AD111" i="6" a="1"/>
  <c r="AD111" i="6" s="1"/>
  <c r="AC111" i="6" a="1"/>
  <c r="AC111" i="6" s="1"/>
  <c r="AB111" i="6" a="1"/>
  <c r="AB111" i="6" s="1"/>
  <c r="AA111" i="6" a="1"/>
  <c r="AA111" i="6" s="1"/>
  <c r="Z111" i="6" a="1"/>
  <c r="Z111" i="6" s="1"/>
  <c r="Y111" i="6" a="1"/>
  <c r="Y111" i="6" s="1"/>
  <c r="X111" i="6" a="1"/>
  <c r="X111" i="6" s="1"/>
  <c r="W111" i="6" a="1"/>
  <c r="W111" i="6" s="1"/>
  <c r="V111" i="6" a="1"/>
  <c r="V111" i="6" s="1"/>
  <c r="U111" i="6" a="1"/>
  <c r="U111" i="6" s="1"/>
  <c r="T111" i="6" a="1"/>
  <c r="T111" i="6" s="1"/>
  <c r="S111" i="6" a="1"/>
  <c r="S111" i="6" s="1"/>
  <c r="R111" i="6" a="1"/>
  <c r="R111" i="6" s="1"/>
  <c r="Q111" i="6" a="1"/>
  <c r="Q111" i="6" s="1"/>
  <c r="P111" i="6" a="1"/>
  <c r="P111" i="6" s="1"/>
  <c r="O111" i="6" a="1"/>
  <c r="O111" i="6" s="1"/>
  <c r="N111" i="6" a="1"/>
  <c r="N111" i="6" s="1"/>
  <c r="M111" i="6" a="1"/>
  <c r="M111" i="6" s="1"/>
  <c r="L111" i="6" a="1"/>
  <c r="L111" i="6" s="1"/>
  <c r="K111" i="6" a="1"/>
  <c r="K111" i="6" s="1"/>
  <c r="J111" i="6" a="1"/>
  <c r="J111" i="6" s="1"/>
  <c r="I111" i="6" a="1"/>
  <c r="I111" i="6" s="1"/>
  <c r="H111" i="6" a="1"/>
  <c r="H111" i="6" s="1"/>
  <c r="G111" i="6" a="1"/>
  <c r="G111" i="6" s="1"/>
  <c r="F111" i="6" a="1"/>
  <c r="F111" i="6" s="1"/>
  <c r="E111" i="6" a="1"/>
  <c r="E111" i="6" s="1"/>
  <c r="D111" i="6" a="1"/>
  <c r="D111" i="6" s="1"/>
  <c r="AE110" i="6" a="1"/>
  <c r="AE110" i="6" s="1"/>
  <c r="AD110" i="6" a="1"/>
  <c r="AD110" i="6" s="1"/>
  <c r="AC110" i="6" a="1"/>
  <c r="AC110" i="6" s="1"/>
  <c r="AB110" i="6" a="1"/>
  <c r="AB110" i="6" s="1"/>
  <c r="AA110" i="6" a="1"/>
  <c r="AA110" i="6" s="1"/>
  <c r="Z110" i="6" a="1"/>
  <c r="Z110" i="6" s="1"/>
  <c r="Y110" i="6" a="1"/>
  <c r="Y110" i="6" s="1"/>
  <c r="X110" i="6" a="1"/>
  <c r="X110" i="6" s="1"/>
  <c r="W110" i="6" a="1"/>
  <c r="W110" i="6" s="1"/>
  <c r="V110" i="6" a="1"/>
  <c r="V110" i="6" s="1"/>
  <c r="U110" i="6" a="1"/>
  <c r="U110" i="6" s="1"/>
  <c r="T110" i="6" a="1"/>
  <c r="T110" i="6" s="1"/>
  <c r="S110" i="6" a="1"/>
  <c r="S110" i="6" s="1"/>
  <c r="R110" i="6" a="1"/>
  <c r="R110" i="6" s="1"/>
  <c r="Q110" i="6" a="1"/>
  <c r="Q110" i="6" s="1"/>
  <c r="P110" i="6" a="1"/>
  <c r="P110" i="6" s="1"/>
  <c r="O110" i="6" a="1"/>
  <c r="O110" i="6" s="1"/>
  <c r="N110" i="6" a="1"/>
  <c r="N110" i="6" s="1"/>
  <c r="M110" i="6" a="1"/>
  <c r="M110" i="6" s="1"/>
  <c r="L110" i="6" a="1"/>
  <c r="L110" i="6" s="1"/>
  <c r="K110" i="6" a="1"/>
  <c r="K110" i="6" s="1"/>
  <c r="J110" i="6" a="1"/>
  <c r="J110" i="6" s="1"/>
  <c r="I110" i="6" a="1"/>
  <c r="I110" i="6" s="1"/>
  <c r="H110" i="6" a="1"/>
  <c r="H110" i="6" s="1"/>
  <c r="G110" i="6" a="1"/>
  <c r="G110" i="6" s="1"/>
  <c r="F110" i="6" a="1"/>
  <c r="F110" i="6" s="1"/>
  <c r="E110" i="6" a="1"/>
  <c r="E110" i="6" s="1"/>
  <c r="D110" i="6" a="1"/>
  <c r="D110" i="6" s="1"/>
  <c r="AE109" i="6" a="1"/>
  <c r="AE109" i="6" s="1"/>
  <c r="AD109" i="6" a="1"/>
  <c r="AD109" i="6" s="1"/>
  <c r="AC109" i="6" a="1"/>
  <c r="AC109" i="6" s="1"/>
  <c r="AB109" i="6" a="1"/>
  <c r="AB109" i="6" s="1"/>
  <c r="AA109" i="6" a="1"/>
  <c r="AA109" i="6" s="1"/>
  <c r="Z109" i="6" a="1"/>
  <c r="Z109" i="6" s="1"/>
  <c r="Y109" i="6" a="1"/>
  <c r="Y109" i="6" s="1"/>
  <c r="X109" i="6" a="1"/>
  <c r="X109" i="6" s="1"/>
  <c r="W109" i="6" a="1"/>
  <c r="W109" i="6" s="1"/>
  <c r="V109" i="6" a="1"/>
  <c r="V109" i="6" s="1"/>
  <c r="U109" i="6" a="1"/>
  <c r="U109" i="6" s="1"/>
  <c r="T109" i="6" a="1"/>
  <c r="T109" i="6" s="1"/>
  <c r="S109" i="6" a="1"/>
  <c r="S109" i="6" s="1"/>
  <c r="R109" i="6" a="1"/>
  <c r="R109" i="6" s="1"/>
  <c r="Q109" i="6" a="1"/>
  <c r="Q109" i="6" s="1"/>
  <c r="P109" i="6" a="1"/>
  <c r="P109" i="6" s="1"/>
  <c r="O109" i="6" a="1"/>
  <c r="O109" i="6" s="1"/>
  <c r="N109" i="6" a="1"/>
  <c r="N109" i="6" s="1"/>
  <c r="M109" i="6" a="1"/>
  <c r="M109" i="6" s="1"/>
  <c r="L109" i="6" a="1"/>
  <c r="L109" i="6" s="1"/>
  <c r="K109" i="6" a="1"/>
  <c r="K109" i="6" s="1"/>
  <c r="J109" i="6" a="1"/>
  <c r="J109" i="6" s="1"/>
  <c r="I109" i="6" a="1"/>
  <c r="I109" i="6" s="1"/>
  <c r="H109" i="6" a="1"/>
  <c r="H109" i="6" s="1"/>
  <c r="G109" i="6" a="1"/>
  <c r="G109" i="6" s="1"/>
  <c r="F109" i="6" a="1"/>
  <c r="F109" i="6" s="1"/>
  <c r="E109" i="6" a="1"/>
  <c r="E109" i="6" s="1"/>
  <c r="D109" i="6" a="1"/>
  <c r="D109" i="6" s="1"/>
  <c r="AE108" i="6" a="1"/>
  <c r="AE108" i="6" s="1"/>
  <c r="AD108" i="6" a="1"/>
  <c r="AD108" i="6" s="1"/>
  <c r="AC108" i="6" a="1"/>
  <c r="AC108" i="6" s="1"/>
  <c r="AB108" i="6" a="1"/>
  <c r="AB108" i="6" s="1"/>
  <c r="AA108" i="6" a="1"/>
  <c r="AA108" i="6" s="1"/>
  <c r="Z108" i="6" a="1"/>
  <c r="Z108" i="6" s="1"/>
  <c r="Y108" i="6" a="1"/>
  <c r="Y108" i="6" s="1"/>
  <c r="X108" i="6" a="1"/>
  <c r="X108" i="6" s="1"/>
  <c r="W108" i="6" a="1"/>
  <c r="W108" i="6" s="1"/>
  <c r="V108" i="6" a="1"/>
  <c r="V108" i="6" s="1"/>
  <c r="U108" i="6" a="1"/>
  <c r="U108" i="6" s="1"/>
  <c r="T108" i="6" a="1"/>
  <c r="T108" i="6" s="1"/>
  <c r="S108" i="6" a="1"/>
  <c r="S108" i="6" s="1"/>
  <c r="R108" i="6" a="1"/>
  <c r="R108" i="6" s="1"/>
  <c r="Q108" i="6" a="1"/>
  <c r="Q108" i="6" s="1"/>
  <c r="P108" i="6" a="1"/>
  <c r="P108" i="6" s="1"/>
  <c r="O108" i="6" a="1"/>
  <c r="O108" i="6" s="1"/>
  <c r="N108" i="6" a="1"/>
  <c r="N108" i="6" s="1"/>
  <c r="M108" i="6" a="1"/>
  <c r="M108" i="6" s="1"/>
  <c r="L108" i="6" a="1"/>
  <c r="L108" i="6" s="1"/>
  <c r="K108" i="6" a="1"/>
  <c r="K108" i="6" s="1"/>
  <c r="J108" i="6" a="1"/>
  <c r="J108" i="6" s="1"/>
  <c r="I108" i="6" a="1"/>
  <c r="I108" i="6" s="1"/>
  <c r="H108" i="6" a="1"/>
  <c r="H108" i="6" s="1"/>
  <c r="G108" i="6" a="1"/>
  <c r="G108" i="6" s="1"/>
  <c r="F108" i="6" a="1"/>
  <c r="F108" i="6" s="1"/>
  <c r="E108" i="6" a="1"/>
  <c r="E108" i="6" s="1"/>
  <c r="D108" i="6" a="1"/>
  <c r="D108" i="6" s="1"/>
  <c r="AE107" i="6" a="1"/>
  <c r="AE107" i="6" s="1"/>
  <c r="AD107" i="6" a="1"/>
  <c r="AD107" i="6" s="1"/>
  <c r="AC107" i="6" a="1"/>
  <c r="AC107" i="6" s="1"/>
  <c r="AB107" i="6" a="1"/>
  <c r="AB107" i="6" s="1"/>
  <c r="AA107" i="6" a="1"/>
  <c r="AA107" i="6" s="1"/>
  <c r="Z107" i="6" a="1"/>
  <c r="Z107" i="6" s="1"/>
  <c r="Y107" i="6" a="1"/>
  <c r="Y107" i="6" s="1"/>
  <c r="X107" i="6" a="1"/>
  <c r="X107" i="6" s="1"/>
  <c r="W107" i="6" a="1"/>
  <c r="W107" i="6" s="1"/>
  <c r="V107" i="6" a="1"/>
  <c r="V107" i="6" s="1"/>
  <c r="U107" i="6" a="1"/>
  <c r="U107" i="6" s="1"/>
  <c r="T107" i="6" a="1"/>
  <c r="T107" i="6" s="1"/>
  <c r="S107" i="6" a="1"/>
  <c r="S107" i="6" s="1"/>
  <c r="R107" i="6" a="1"/>
  <c r="R107" i="6" s="1"/>
  <c r="Q107" i="6" a="1"/>
  <c r="Q107" i="6" s="1"/>
  <c r="P107" i="6" a="1"/>
  <c r="P107" i="6" s="1"/>
  <c r="O107" i="6" a="1"/>
  <c r="O107" i="6" s="1"/>
  <c r="N107" i="6" a="1"/>
  <c r="N107" i="6" s="1"/>
  <c r="M107" i="6" a="1"/>
  <c r="M107" i="6" s="1"/>
  <c r="L107" i="6" a="1"/>
  <c r="L107" i="6" s="1"/>
  <c r="K107" i="6" a="1"/>
  <c r="K107" i="6" s="1"/>
  <c r="J107" i="6" a="1"/>
  <c r="J107" i="6" s="1"/>
  <c r="I107" i="6" a="1"/>
  <c r="I107" i="6" s="1"/>
  <c r="H107" i="6" a="1"/>
  <c r="H107" i="6" s="1"/>
  <c r="G107" i="6" a="1"/>
  <c r="G107" i="6" s="1"/>
  <c r="F107" i="6" a="1"/>
  <c r="F107" i="6" s="1"/>
  <c r="E107" i="6" a="1"/>
  <c r="E107" i="6" s="1"/>
  <c r="D107" i="6" a="1"/>
  <c r="D107" i="6" s="1"/>
  <c r="AE106" i="6" a="1"/>
  <c r="AE106" i="6" s="1"/>
  <c r="AD106" i="6" a="1"/>
  <c r="AD106" i="6" s="1"/>
  <c r="AC106" i="6" a="1"/>
  <c r="AC106" i="6" s="1"/>
  <c r="AB106" i="6" a="1"/>
  <c r="AB106" i="6" s="1"/>
  <c r="AA106" i="6" a="1"/>
  <c r="AA106" i="6" s="1"/>
  <c r="Z106" i="6" a="1"/>
  <c r="Z106" i="6" s="1"/>
  <c r="Y106" i="6" a="1"/>
  <c r="Y106" i="6" s="1"/>
  <c r="X106" i="6" a="1"/>
  <c r="X106" i="6" s="1"/>
  <c r="W106" i="6" a="1"/>
  <c r="W106" i="6" s="1"/>
  <c r="V106" i="6" a="1"/>
  <c r="V106" i="6" s="1"/>
  <c r="U106" i="6" a="1"/>
  <c r="U106" i="6" s="1"/>
  <c r="T106" i="6" a="1"/>
  <c r="T106" i="6" s="1"/>
  <c r="S106" i="6" a="1"/>
  <c r="S106" i="6" s="1"/>
  <c r="R106" i="6" a="1"/>
  <c r="R106" i="6" s="1"/>
  <c r="Q106" i="6" a="1"/>
  <c r="Q106" i="6" s="1"/>
  <c r="P106" i="6" a="1"/>
  <c r="P106" i="6" s="1"/>
  <c r="O106" i="6" a="1"/>
  <c r="O106" i="6" s="1"/>
  <c r="N106" i="6" a="1"/>
  <c r="N106" i="6" s="1"/>
  <c r="M106" i="6" a="1"/>
  <c r="M106" i="6" s="1"/>
  <c r="L106" i="6" a="1"/>
  <c r="L106" i="6" s="1"/>
  <c r="K106" i="6" a="1"/>
  <c r="K106" i="6" s="1"/>
  <c r="J106" i="6" a="1"/>
  <c r="J106" i="6" s="1"/>
  <c r="I106" i="6" a="1"/>
  <c r="I106" i="6" s="1"/>
  <c r="H106" i="6" a="1"/>
  <c r="H106" i="6" s="1"/>
  <c r="G106" i="6" a="1"/>
  <c r="G106" i="6" s="1"/>
  <c r="F106" i="6" a="1"/>
  <c r="F106" i="6" s="1"/>
  <c r="E106" i="6" a="1"/>
  <c r="E106" i="6" s="1"/>
  <c r="D106" i="6" a="1"/>
  <c r="D106" i="6" s="1"/>
  <c r="AE105" i="6" a="1"/>
  <c r="AE105" i="6" s="1"/>
  <c r="AD105" i="6" a="1"/>
  <c r="AD105" i="6" s="1"/>
  <c r="AC105" i="6" a="1"/>
  <c r="AC105" i="6" s="1"/>
  <c r="AB105" i="6" a="1"/>
  <c r="AB105" i="6" s="1"/>
  <c r="AA105" i="6" a="1"/>
  <c r="AA105" i="6" s="1"/>
  <c r="Z105" i="6" a="1"/>
  <c r="Z105" i="6" s="1"/>
  <c r="Y105" i="6" a="1"/>
  <c r="Y105" i="6" s="1"/>
  <c r="X105" i="6" a="1"/>
  <c r="X105" i="6" s="1"/>
  <c r="W105" i="6" a="1"/>
  <c r="W105" i="6" s="1"/>
  <c r="V105" i="6" a="1"/>
  <c r="V105" i="6" s="1"/>
  <c r="U105" i="6" a="1"/>
  <c r="U105" i="6" s="1"/>
  <c r="T105" i="6" a="1"/>
  <c r="T105" i="6" s="1"/>
  <c r="S105" i="6" a="1"/>
  <c r="S105" i="6" s="1"/>
  <c r="R105" i="6" a="1"/>
  <c r="R105" i="6" s="1"/>
  <c r="Q105" i="6" a="1"/>
  <c r="Q105" i="6" s="1"/>
  <c r="P105" i="6" a="1"/>
  <c r="P105" i="6" s="1"/>
  <c r="O105" i="6" a="1"/>
  <c r="O105" i="6" s="1"/>
  <c r="N105" i="6" a="1"/>
  <c r="N105" i="6" s="1"/>
  <c r="M105" i="6" a="1"/>
  <c r="M105" i="6" s="1"/>
  <c r="L105" i="6" a="1"/>
  <c r="L105" i="6" s="1"/>
  <c r="K105" i="6" a="1"/>
  <c r="K105" i="6" s="1"/>
  <c r="J105" i="6" a="1"/>
  <c r="J105" i="6" s="1"/>
  <c r="I105" i="6" a="1"/>
  <c r="I105" i="6" s="1"/>
  <c r="H105" i="6" a="1"/>
  <c r="H105" i="6" s="1"/>
  <c r="G105" i="6" a="1"/>
  <c r="G105" i="6" s="1"/>
  <c r="F105" i="6" a="1"/>
  <c r="F105" i="6" s="1"/>
  <c r="E105" i="6" a="1"/>
  <c r="E105" i="6" s="1"/>
  <c r="D105" i="6" a="1"/>
  <c r="D105" i="6" s="1"/>
  <c r="AE104" i="6" a="1"/>
  <c r="AE104" i="6" s="1"/>
  <c r="AD104" i="6" a="1"/>
  <c r="AD104" i="6" s="1"/>
  <c r="AC104" i="6" a="1"/>
  <c r="AC104" i="6" s="1"/>
  <c r="AB104" i="6" a="1"/>
  <c r="AB104" i="6" s="1"/>
  <c r="AA104" i="6" a="1"/>
  <c r="AA104" i="6" s="1"/>
  <c r="Z104" i="6" a="1"/>
  <c r="Z104" i="6" s="1"/>
  <c r="Y104" i="6" a="1"/>
  <c r="Y104" i="6" s="1"/>
  <c r="X104" i="6" a="1"/>
  <c r="X104" i="6" s="1"/>
  <c r="W104" i="6" a="1"/>
  <c r="W104" i="6" s="1"/>
  <c r="V104" i="6" a="1"/>
  <c r="V104" i="6" s="1"/>
  <c r="U104" i="6" a="1"/>
  <c r="U104" i="6" s="1"/>
  <c r="T104" i="6" a="1"/>
  <c r="T104" i="6" s="1"/>
  <c r="S104" i="6" a="1"/>
  <c r="S104" i="6" s="1"/>
  <c r="R104" i="6" a="1"/>
  <c r="R104" i="6" s="1"/>
  <c r="Q104" i="6" a="1"/>
  <c r="Q104" i="6" s="1"/>
  <c r="P104" i="6" a="1"/>
  <c r="P104" i="6" s="1"/>
  <c r="O104" i="6" a="1"/>
  <c r="O104" i="6" s="1"/>
  <c r="N104" i="6" a="1"/>
  <c r="N104" i="6" s="1"/>
  <c r="M104" i="6" a="1"/>
  <c r="M104" i="6" s="1"/>
  <c r="L104" i="6" a="1"/>
  <c r="L104" i="6" s="1"/>
  <c r="K104" i="6" a="1"/>
  <c r="K104" i="6" s="1"/>
  <c r="J104" i="6" a="1"/>
  <c r="J104" i="6" s="1"/>
  <c r="I104" i="6" a="1"/>
  <c r="I104" i="6" s="1"/>
  <c r="H104" i="6" a="1"/>
  <c r="H104" i="6" s="1"/>
  <c r="G104" i="6" a="1"/>
  <c r="G104" i="6" s="1"/>
  <c r="F104" i="6" a="1"/>
  <c r="F104" i="6" s="1"/>
  <c r="E104" i="6" a="1"/>
  <c r="E104" i="6" s="1"/>
  <c r="D104" i="6" a="1"/>
  <c r="D104" i="6" s="1"/>
  <c r="AE103" i="6" a="1"/>
  <c r="AE103" i="6" s="1"/>
  <c r="AD103" i="6" a="1"/>
  <c r="AD103" i="6" s="1"/>
  <c r="AC103" i="6" a="1"/>
  <c r="AC103" i="6" s="1"/>
  <c r="AB103" i="6" a="1"/>
  <c r="AB103" i="6" s="1"/>
  <c r="AA103" i="6" a="1"/>
  <c r="AA103" i="6" s="1"/>
  <c r="Z103" i="6" a="1"/>
  <c r="Z103" i="6" s="1"/>
  <c r="Y103" i="6" a="1"/>
  <c r="Y103" i="6" s="1"/>
  <c r="X103" i="6" a="1"/>
  <c r="X103" i="6" s="1"/>
  <c r="W103" i="6" a="1"/>
  <c r="W103" i="6" s="1"/>
  <c r="V103" i="6" a="1"/>
  <c r="V103" i="6" s="1"/>
  <c r="U103" i="6" a="1"/>
  <c r="U103" i="6" s="1"/>
  <c r="T103" i="6" a="1"/>
  <c r="T103" i="6" s="1"/>
  <c r="S103" i="6" a="1"/>
  <c r="S103" i="6" s="1"/>
  <c r="R103" i="6" a="1"/>
  <c r="R103" i="6" s="1"/>
  <c r="Q103" i="6" a="1"/>
  <c r="Q103" i="6" s="1"/>
  <c r="P103" i="6" a="1"/>
  <c r="P103" i="6" s="1"/>
  <c r="O103" i="6" a="1"/>
  <c r="O103" i="6" s="1"/>
  <c r="N103" i="6" a="1"/>
  <c r="N103" i="6" s="1"/>
  <c r="M103" i="6" a="1"/>
  <c r="M103" i="6" s="1"/>
  <c r="L103" i="6" a="1"/>
  <c r="L103" i="6" s="1"/>
  <c r="K103" i="6" a="1"/>
  <c r="K103" i="6" s="1"/>
  <c r="J103" i="6" a="1"/>
  <c r="J103" i="6" s="1"/>
  <c r="I103" i="6" a="1"/>
  <c r="I103" i="6" s="1"/>
  <c r="H103" i="6" a="1"/>
  <c r="H103" i="6" s="1"/>
  <c r="G103" i="6" a="1"/>
  <c r="G103" i="6" s="1"/>
  <c r="F103" i="6" a="1"/>
  <c r="F103" i="6" s="1"/>
  <c r="E103" i="6" a="1"/>
  <c r="E103" i="6" s="1"/>
  <c r="D103" i="6" a="1"/>
  <c r="D103" i="6" s="1"/>
  <c r="AE102" i="6" a="1"/>
  <c r="AE102" i="6" s="1"/>
  <c r="AD102" i="6" a="1"/>
  <c r="AD102" i="6" s="1"/>
  <c r="AC102" i="6" a="1"/>
  <c r="AC102" i="6" s="1"/>
  <c r="AB102" i="6" a="1"/>
  <c r="AB102" i="6" s="1"/>
  <c r="AA102" i="6" a="1"/>
  <c r="AA102" i="6" s="1"/>
  <c r="Z102" i="6" a="1"/>
  <c r="Z102" i="6" s="1"/>
  <c r="Y102" i="6" a="1"/>
  <c r="Y102" i="6" s="1"/>
  <c r="X102" i="6" a="1"/>
  <c r="X102" i="6" s="1"/>
  <c r="W102" i="6" a="1"/>
  <c r="W102" i="6" s="1"/>
  <c r="V102" i="6" a="1"/>
  <c r="V102" i="6" s="1"/>
  <c r="U102" i="6" a="1"/>
  <c r="U102" i="6" s="1"/>
  <c r="T102" i="6" a="1"/>
  <c r="T102" i="6" s="1"/>
  <c r="S102" i="6" a="1"/>
  <c r="S102" i="6" s="1"/>
  <c r="R102" i="6" a="1"/>
  <c r="R102" i="6" s="1"/>
  <c r="Q102" i="6" a="1"/>
  <c r="Q102" i="6" s="1"/>
  <c r="P102" i="6" a="1"/>
  <c r="P102" i="6" s="1"/>
  <c r="O102" i="6" a="1"/>
  <c r="O102" i="6" s="1"/>
  <c r="N102" i="6" a="1"/>
  <c r="N102" i="6" s="1"/>
  <c r="M102" i="6" a="1"/>
  <c r="M102" i="6" s="1"/>
  <c r="L102" i="6" a="1"/>
  <c r="L102" i="6" s="1"/>
  <c r="K102" i="6" a="1"/>
  <c r="K102" i="6" s="1"/>
  <c r="J102" i="6" a="1"/>
  <c r="J102" i="6" s="1"/>
  <c r="I102" i="6" a="1"/>
  <c r="I102" i="6" s="1"/>
  <c r="H102" i="6" a="1"/>
  <c r="H102" i="6" s="1"/>
  <c r="G102" i="6" a="1"/>
  <c r="G102" i="6" s="1"/>
  <c r="F102" i="6" a="1"/>
  <c r="F102" i="6" s="1"/>
  <c r="E102" i="6" a="1"/>
  <c r="E102" i="6" s="1"/>
  <c r="D102" i="6" a="1"/>
  <c r="D102" i="6" s="1"/>
  <c r="AE101" i="6" a="1"/>
  <c r="AE101" i="6" s="1"/>
  <c r="AD101" i="6" a="1"/>
  <c r="AD101" i="6" s="1"/>
  <c r="AC101" i="6" a="1"/>
  <c r="AC101" i="6" s="1"/>
  <c r="AB101" i="6" a="1"/>
  <c r="AB101" i="6" s="1"/>
  <c r="AA101" i="6" a="1"/>
  <c r="AA101" i="6" s="1"/>
  <c r="Z101" i="6" a="1"/>
  <c r="Z101" i="6" s="1"/>
  <c r="Y101" i="6" a="1"/>
  <c r="Y101" i="6" s="1"/>
  <c r="X101" i="6" a="1"/>
  <c r="X101" i="6" s="1"/>
  <c r="W101" i="6" a="1"/>
  <c r="W101" i="6" s="1"/>
  <c r="V101" i="6" a="1"/>
  <c r="V101" i="6" s="1"/>
  <c r="U101" i="6" a="1"/>
  <c r="U101" i="6" s="1"/>
  <c r="T101" i="6" a="1"/>
  <c r="T101" i="6" s="1"/>
  <c r="S101" i="6" a="1"/>
  <c r="S101" i="6" s="1"/>
  <c r="R101" i="6" a="1"/>
  <c r="R101" i="6" s="1"/>
  <c r="Q101" i="6" a="1"/>
  <c r="Q101" i="6" s="1"/>
  <c r="P101" i="6" a="1"/>
  <c r="P101" i="6" s="1"/>
  <c r="O101" i="6" a="1"/>
  <c r="O101" i="6" s="1"/>
  <c r="N101" i="6" a="1"/>
  <c r="N101" i="6" s="1"/>
  <c r="M101" i="6" a="1"/>
  <c r="M101" i="6" s="1"/>
  <c r="L101" i="6" a="1"/>
  <c r="L101" i="6" s="1"/>
  <c r="K101" i="6" a="1"/>
  <c r="K101" i="6" s="1"/>
  <c r="J101" i="6" a="1"/>
  <c r="J101" i="6" s="1"/>
  <c r="I101" i="6" a="1"/>
  <c r="I101" i="6" s="1"/>
  <c r="H101" i="6" a="1"/>
  <c r="H101" i="6" s="1"/>
  <c r="G101" i="6" a="1"/>
  <c r="G101" i="6" s="1"/>
  <c r="F101" i="6" a="1"/>
  <c r="F101" i="6" s="1"/>
  <c r="E101" i="6" a="1"/>
  <c r="E101" i="6" s="1"/>
  <c r="D101" i="6" a="1"/>
  <c r="D101" i="6" s="1"/>
  <c r="AE100" i="6" a="1"/>
  <c r="AE100" i="6" s="1"/>
  <c r="AD100" i="6" a="1"/>
  <c r="AD100" i="6" s="1"/>
  <c r="AC100" i="6" a="1"/>
  <c r="AC100" i="6" s="1"/>
  <c r="AB100" i="6" a="1"/>
  <c r="AB100" i="6" s="1"/>
  <c r="AA100" i="6" a="1"/>
  <c r="AA100" i="6" s="1"/>
  <c r="Z100" i="6" a="1"/>
  <c r="Z100" i="6" s="1"/>
  <c r="Y100" i="6" a="1"/>
  <c r="Y100" i="6" s="1"/>
  <c r="X100" i="6" a="1"/>
  <c r="X100" i="6" s="1"/>
  <c r="W100" i="6" a="1"/>
  <c r="W100" i="6" s="1"/>
  <c r="V100" i="6" a="1"/>
  <c r="V100" i="6" s="1"/>
  <c r="U100" i="6" a="1"/>
  <c r="U100" i="6" s="1"/>
  <c r="T100" i="6" a="1"/>
  <c r="T100" i="6" s="1"/>
  <c r="S100" i="6" a="1"/>
  <c r="S100" i="6" s="1"/>
  <c r="R100" i="6" a="1"/>
  <c r="R100" i="6" s="1"/>
  <c r="Q100" i="6" a="1"/>
  <c r="Q100" i="6" s="1"/>
  <c r="P100" i="6" a="1"/>
  <c r="P100" i="6" s="1"/>
  <c r="O100" i="6" a="1"/>
  <c r="O100" i="6" s="1"/>
  <c r="N100" i="6" a="1"/>
  <c r="N100" i="6" s="1"/>
  <c r="M100" i="6" a="1"/>
  <c r="M100" i="6" s="1"/>
  <c r="L100" i="6" a="1"/>
  <c r="L100" i="6" s="1"/>
  <c r="K100" i="6" a="1"/>
  <c r="K100" i="6" s="1"/>
  <c r="J100" i="6" a="1"/>
  <c r="J100" i="6" s="1"/>
  <c r="I100" i="6" a="1"/>
  <c r="I100" i="6" s="1"/>
  <c r="H100" i="6" a="1"/>
  <c r="H100" i="6" s="1"/>
  <c r="G100" i="6" a="1"/>
  <c r="G100" i="6" s="1"/>
  <c r="F100" i="6" a="1"/>
  <c r="F100" i="6" s="1"/>
  <c r="E100" i="6" a="1"/>
  <c r="E100" i="6" s="1"/>
  <c r="D100" i="6" a="1"/>
  <c r="D100" i="6" s="1"/>
  <c r="AE99" i="6" a="1"/>
  <c r="AE99" i="6" s="1"/>
  <c r="AD99" i="6" a="1"/>
  <c r="AD99" i="6" s="1"/>
  <c r="AC99" i="6" a="1"/>
  <c r="AC99" i="6" s="1"/>
  <c r="AB99" i="6" a="1"/>
  <c r="AB99" i="6" s="1"/>
  <c r="AA99" i="6" a="1"/>
  <c r="AA99" i="6" s="1"/>
  <c r="Z99" i="6" a="1"/>
  <c r="Z99" i="6" s="1"/>
  <c r="Y99" i="6" a="1"/>
  <c r="Y99" i="6" s="1"/>
  <c r="X99" i="6" a="1"/>
  <c r="X99" i="6" s="1"/>
  <c r="W99" i="6" a="1"/>
  <c r="W99" i="6" s="1"/>
  <c r="V99" i="6" a="1"/>
  <c r="V99" i="6" s="1"/>
  <c r="U99" i="6" a="1"/>
  <c r="U99" i="6" s="1"/>
  <c r="T99" i="6" a="1"/>
  <c r="T99" i="6" s="1"/>
  <c r="S99" i="6" a="1"/>
  <c r="S99" i="6" s="1"/>
  <c r="R99" i="6" a="1"/>
  <c r="R99" i="6" s="1"/>
  <c r="Q99" i="6" a="1"/>
  <c r="Q99" i="6" s="1"/>
  <c r="P99" i="6" a="1"/>
  <c r="P99" i="6" s="1"/>
  <c r="O99" i="6" a="1"/>
  <c r="O99" i="6" s="1"/>
  <c r="N99" i="6" a="1"/>
  <c r="N99" i="6" s="1"/>
  <c r="M99" i="6" a="1"/>
  <c r="M99" i="6" s="1"/>
  <c r="L99" i="6" a="1"/>
  <c r="L99" i="6" s="1"/>
  <c r="K99" i="6" a="1"/>
  <c r="K99" i="6" s="1"/>
  <c r="J99" i="6" a="1"/>
  <c r="J99" i="6" s="1"/>
  <c r="I99" i="6" a="1"/>
  <c r="I99" i="6" s="1"/>
  <c r="H99" i="6" a="1"/>
  <c r="H99" i="6" s="1"/>
  <c r="G99" i="6" a="1"/>
  <c r="G99" i="6" s="1"/>
  <c r="F99" i="6" a="1"/>
  <c r="F99" i="6" s="1"/>
  <c r="E99" i="6" a="1"/>
  <c r="E99" i="6" s="1"/>
  <c r="D99" i="6" a="1"/>
  <c r="D99" i="6" s="1"/>
  <c r="AE98" i="6" a="1"/>
  <c r="AE98" i="6" s="1"/>
  <c r="AD98" i="6" a="1"/>
  <c r="AD98" i="6" s="1"/>
  <c r="AC98" i="6" a="1"/>
  <c r="AC98" i="6" s="1"/>
  <c r="AB98" i="6" a="1"/>
  <c r="AB98" i="6" s="1"/>
  <c r="AA98" i="6" a="1"/>
  <c r="AA98" i="6" s="1"/>
  <c r="Z98" i="6" a="1"/>
  <c r="Z98" i="6" s="1"/>
  <c r="Y98" i="6" a="1"/>
  <c r="Y98" i="6" s="1"/>
  <c r="X98" i="6" a="1"/>
  <c r="X98" i="6" s="1"/>
  <c r="W98" i="6" a="1"/>
  <c r="W98" i="6" s="1"/>
  <c r="V98" i="6" a="1"/>
  <c r="V98" i="6" s="1"/>
  <c r="U98" i="6" a="1"/>
  <c r="U98" i="6" s="1"/>
  <c r="T98" i="6" a="1"/>
  <c r="T98" i="6" s="1"/>
  <c r="S98" i="6" a="1"/>
  <c r="S98" i="6" s="1"/>
  <c r="R98" i="6" a="1"/>
  <c r="R98" i="6" s="1"/>
  <c r="Q98" i="6" a="1"/>
  <c r="Q98" i="6" s="1"/>
  <c r="P98" i="6" a="1"/>
  <c r="P98" i="6" s="1"/>
  <c r="O98" i="6" a="1"/>
  <c r="O98" i="6" s="1"/>
  <c r="N98" i="6" a="1"/>
  <c r="N98" i="6" s="1"/>
  <c r="M98" i="6" a="1"/>
  <c r="M98" i="6" s="1"/>
  <c r="L98" i="6" a="1"/>
  <c r="L98" i="6" s="1"/>
  <c r="K98" i="6" a="1"/>
  <c r="K98" i="6" s="1"/>
  <c r="J98" i="6" a="1"/>
  <c r="J98" i="6" s="1"/>
  <c r="I98" i="6" a="1"/>
  <c r="I98" i="6" s="1"/>
  <c r="H98" i="6" a="1"/>
  <c r="H98" i="6" s="1"/>
  <c r="G98" i="6" a="1"/>
  <c r="G98" i="6" s="1"/>
  <c r="F98" i="6" a="1"/>
  <c r="F98" i="6" s="1"/>
  <c r="E98" i="6" a="1"/>
  <c r="E98" i="6" s="1"/>
  <c r="D98" i="6" a="1"/>
  <c r="D98" i="6" s="1"/>
  <c r="AE97" i="6" a="1"/>
  <c r="AE97" i="6" s="1"/>
  <c r="AD97" i="6" a="1"/>
  <c r="AD97" i="6" s="1"/>
  <c r="AC97" i="6" a="1"/>
  <c r="AC97" i="6" s="1"/>
  <c r="AB97" i="6" a="1"/>
  <c r="AB97" i="6" s="1"/>
  <c r="AA97" i="6" a="1"/>
  <c r="AA97" i="6" s="1"/>
  <c r="Z97" i="6" a="1"/>
  <c r="Z97" i="6" s="1"/>
  <c r="Y97" i="6" a="1"/>
  <c r="Y97" i="6" s="1"/>
  <c r="X97" i="6" a="1"/>
  <c r="X97" i="6" s="1"/>
  <c r="W97" i="6" a="1"/>
  <c r="W97" i="6" s="1"/>
  <c r="V97" i="6" a="1"/>
  <c r="V97" i="6" s="1"/>
  <c r="U97" i="6" a="1"/>
  <c r="U97" i="6" s="1"/>
  <c r="T97" i="6" a="1"/>
  <c r="T97" i="6" s="1"/>
  <c r="S97" i="6" a="1"/>
  <c r="S97" i="6" s="1"/>
  <c r="R97" i="6" a="1"/>
  <c r="R97" i="6" s="1"/>
  <c r="Q97" i="6" a="1"/>
  <c r="Q97" i="6" s="1"/>
  <c r="P97" i="6" a="1"/>
  <c r="P97" i="6" s="1"/>
  <c r="O97" i="6" a="1"/>
  <c r="O97" i="6" s="1"/>
  <c r="N97" i="6" a="1"/>
  <c r="N97" i="6" s="1"/>
  <c r="M97" i="6" a="1"/>
  <c r="M97" i="6" s="1"/>
  <c r="L97" i="6" a="1"/>
  <c r="L97" i="6" s="1"/>
  <c r="K97" i="6" a="1"/>
  <c r="K97" i="6" s="1"/>
  <c r="J97" i="6" a="1"/>
  <c r="J97" i="6" s="1"/>
  <c r="I97" i="6" a="1"/>
  <c r="I97" i="6" s="1"/>
  <c r="H97" i="6" a="1"/>
  <c r="H97" i="6" s="1"/>
  <c r="G97" i="6" a="1"/>
  <c r="G97" i="6" s="1"/>
  <c r="F97" i="6" a="1"/>
  <c r="F97" i="6" s="1"/>
  <c r="E97" i="6" a="1"/>
  <c r="E97" i="6" s="1"/>
  <c r="D97" i="6" a="1"/>
  <c r="D97" i="6" s="1"/>
  <c r="AE96" i="6" a="1"/>
  <c r="AE96" i="6" s="1"/>
  <c r="AD96" i="6" a="1"/>
  <c r="AD96" i="6" s="1"/>
  <c r="AC96" i="6" a="1"/>
  <c r="AC96" i="6" s="1"/>
  <c r="AB96" i="6" a="1"/>
  <c r="AB96" i="6" s="1"/>
  <c r="AA96" i="6" a="1"/>
  <c r="AA96" i="6" s="1"/>
  <c r="Z96" i="6" a="1"/>
  <c r="Z96" i="6" s="1"/>
  <c r="Y96" i="6" a="1"/>
  <c r="Y96" i="6" s="1"/>
  <c r="X96" i="6" a="1"/>
  <c r="X96" i="6" s="1"/>
  <c r="W96" i="6" a="1"/>
  <c r="W96" i="6" s="1"/>
  <c r="V96" i="6" a="1"/>
  <c r="V96" i="6" s="1"/>
  <c r="U96" i="6" a="1"/>
  <c r="U96" i="6" s="1"/>
  <c r="T96" i="6" a="1"/>
  <c r="T96" i="6" s="1"/>
  <c r="S96" i="6" a="1"/>
  <c r="S96" i="6" s="1"/>
  <c r="R96" i="6" a="1"/>
  <c r="R96" i="6" s="1"/>
  <c r="Q96" i="6" a="1"/>
  <c r="Q96" i="6" s="1"/>
  <c r="P96" i="6" a="1"/>
  <c r="P96" i="6" s="1"/>
  <c r="O96" i="6" a="1"/>
  <c r="O96" i="6" s="1"/>
  <c r="N96" i="6" a="1"/>
  <c r="N96" i="6" s="1"/>
  <c r="M96" i="6" a="1"/>
  <c r="M96" i="6" s="1"/>
  <c r="L96" i="6" a="1"/>
  <c r="L96" i="6" s="1"/>
  <c r="K96" i="6" a="1"/>
  <c r="K96" i="6" s="1"/>
  <c r="J96" i="6" a="1"/>
  <c r="J96" i="6" s="1"/>
  <c r="I96" i="6" a="1"/>
  <c r="I96" i="6" s="1"/>
  <c r="H96" i="6" a="1"/>
  <c r="H96" i="6" s="1"/>
  <c r="G96" i="6" a="1"/>
  <c r="G96" i="6" s="1"/>
  <c r="F96" i="6" a="1"/>
  <c r="F96" i="6" s="1"/>
  <c r="E96" i="6" a="1"/>
  <c r="E96" i="6" s="1"/>
  <c r="D96" i="6" a="1"/>
  <c r="D96" i="6" s="1"/>
  <c r="AE95" i="6" a="1"/>
  <c r="AE95" i="6" s="1"/>
  <c r="AD95" i="6" a="1"/>
  <c r="AD95" i="6" s="1"/>
  <c r="AC95" i="6" a="1"/>
  <c r="AC95" i="6" s="1"/>
  <c r="AB95" i="6" a="1"/>
  <c r="AB95" i="6" s="1"/>
  <c r="AA95" i="6" a="1"/>
  <c r="AA95" i="6" s="1"/>
  <c r="Z95" i="6" a="1"/>
  <c r="Z95" i="6" s="1"/>
  <c r="Y95" i="6" a="1"/>
  <c r="Y95" i="6" s="1"/>
  <c r="X95" i="6" a="1"/>
  <c r="X95" i="6" s="1"/>
  <c r="W95" i="6" a="1"/>
  <c r="W95" i="6" s="1"/>
  <c r="V95" i="6" a="1"/>
  <c r="V95" i="6" s="1"/>
  <c r="U95" i="6" a="1"/>
  <c r="U95" i="6" s="1"/>
  <c r="T95" i="6" a="1"/>
  <c r="T95" i="6" s="1"/>
  <c r="S95" i="6" a="1"/>
  <c r="S95" i="6" s="1"/>
  <c r="R95" i="6" a="1"/>
  <c r="R95" i="6" s="1"/>
  <c r="Q95" i="6" a="1"/>
  <c r="Q95" i="6" s="1"/>
  <c r="P95" i="6" a="1"/>
  <c r="P95" i="6" s="1"/>
  <c r="O95" i="6" a="1"/>
  <c r="O95" i="6" s="1"/>
  <c r="N95" i="6" a="1"/>
  <c r="N95" i="6" s="1"/>
  <c r="M95" i="6" a="1"/>
  <c r="M95" i="6" s="1"/>
  <c r="L95" i="6" a="1"/>
  <c r="L95" i="6" s="1"/>
  <c r="K95" i="6" a="1"/>
  <c r="K95" i="6" s="1"/>
  <c r="J95" i="6" a="1"/>
  <c r="J95" i="6" s="1"/>
  <c r="I95" i="6" a="1"/>
  <c r="I95" i="6" s="1"/>
  <c r="H95" i="6" a="1"/>
  <c r="H95" i="6" s="1"/>
  <c r="G95" i="6" a="1"/>
  <c r="G95" i="6" s="1"/>
  <c r="F95" i="6" a="1"/>
  <c r="F95" i="6" s="1"/>
  <c r="E95" i="6" a="1"/>
  <c r="E95" i="6" s="1"/>
  <c r="D95" i="6" a="1"/>
  <c r="D95" i="6" s="1"/>
  <c r="AE94" i="6" a="1"/>
  <c r="AE94" i="6" s="1"/>
  <c r="AD94" i="6" a="1"/>
  <c r="AD94" i="6" s="1"/>
  <c r="AC94" i="6" a="1"/>
  <c r="AC94" i="6" s="1"/>
  <c r="AB94" i="6" a="1"/>
  <c r="AB94" i="6" s="1"/>
  <c r="AA94" i="6" a="1"/>
  <c r="AA94" i="6" s="1"/>
  <c r="Z94" i="6" a="1"/>
  <c r="Z94" i="6" s="1"/>
  <c r="Y94" i="6" a="1"/>
  <c r="Y94" i="6" s="1"/>
  <c r="X94" i="6" a="1"/>
  <c r="X94" i="6" s="1"/>
  <c r="W94" i="6" a="1"/>
  <c r="W94" i="6" s="1"/>
  <c r="V94" i="6" a="1"/>
  <c r="V94" i="6" s="1"/>
  <c r="U94" i="6" a="1"/>
  <c r="U94" i="6" s="1"/>
  <c r="T94" i="6" a="1"/>
  <c r="T94" i="6" s="1"/>
  <c r="S94" i="6" a="1"/>
  <c r="S94" i="6" s="1"/>
  <c r="R94" i="6" a="1"/>
  <c r="R94" i="6" s="1"/>
  <c r="Q94" i="6" a="1"/>
  <c r="Q94" i="6" s="1"/>
  <c r="P94" i="6" a="1"/>
  <c r="P94" i="6" s="1"/>
  <c r="O94" i="6" a="1"/>
  <c r="O94" i="6" s="1"/>
  <c r="N94" i="6" a="1"/>
  <c r="N94" i="6" s="1"/>
  <c r="M94" i="6" a="1"/>
  <c r="M94" i="6" s="1"/>
  <c r="L94" i="6" a="1"/>
  <c r="L94" i="6" s="1"/>
  <c r="K94" i="6" a="1"/>
  <c r="K94" i="6" s="1"/>
  <c r="J94" i="6" a="1"/>
  <c r="J94" i="6" s="1"/>
  <c r="I94" i="6" a="1"/>
  <c r="I94" i="6" s="1"/>
  <c r="H94" i="6" a="1"/>
  <c r="H94" i="6" s="1"/>
  <c r="G94" i="6" a="1"/>
  <c r="G94" i="6" s="1"/>
  <c r="F94" i="6" a="1"/>
  <c r="F94" i="6" s="1"/>
  <c r="E94" i="6" a="1"/>
  <c r="E94" i="6" s="1"/>
  <c r="D94" i="6" a="1"/>
  <c r="D94" i="6" s="1"/>
  <c r="AE93" i="6" a="1"/>
  <c r="AE93" i="6" s="1"/>
  <c r="AD93" i="6" a="1"/>
  <c r="AD93" i="6" s="1"/>
  <c r="AC93" i="6" a="1"/>
  <c r="AC93" i="6" s="1"/>
  <c r="AB93" i="6" a="1"/>
  <c r="AB93" i="6" s="1"/>
  <c r="AA93" i="6" a="1"/>
  <c r="AA93" i="6" s="1"/>
  <c r="Z93" i="6" a="1"/>
  <c r="Z93" i="6" s="1"/>
  <c r="Y93" i="6" a="1"/>
  <c r="Y93" i="6" s="1"/>
  <c r="X93" i="6" a="1"/>
  <c r="X93" i="6" s="1"/>
  <c r="W93" i="6" a="1"/>
  <c r="W93" i="6" s="1"/>
  <c r="V93" i="6" a="1"/>
  <c r="V93" i="6" s="1"/>
  <c r="U93" i="6" a="1"/>
  <c r="U93" i="6" s="1"/>
  <c r="T93" i="6" a="1"/>
  <c r="T93" i="6" s="1"/>
  <c r="S93" i="6" a="1"/>
  <c r="S93" i="6" s="1"/>
  <c r="R93" i="6" a="1"/>
  <c r="R93" i="6" s="1"/>
  <c r="Q93" i="6" a="1"/>
  <c r="Q93" i="6" s="1"/>
  <c r="P93" i="6" a="1"/>
  <c r="P93" i="6" s="1"/>
  <c r="O93" i="6" a="1"/>
  <c r="O93" i="6" s="1"/>
  <c r="N93" i="6" a="1"/>
  <c r="N93" i="6" s="1"/>
  <c r="M93" i="6" a="1"/>
  <c r="M93" i="6" s="1"/>
  <c r="L93" i="6" a="1"/>
  <c r="L93" i="6" s="1"/>
  <c r="K93" i="6" a="1"/>
  <c r="K93" i="6" s="1"/>
  <c r="J93" i="6" a="1"/>
  <c r="J93" i="6" s="1"/>
  <c r="I93" i="6" a="1"/>
  <c r="I93" i="6" s="1"/>
  <c r="H93" i="6" a="1"/>
  <c r="H93" i="6" s="1"/>
  <c r="G93" i="6" a="1"/>
  <c r="G93" i="6" s="1"/>
  <c r="F93" i="6" a="1"/>
  <c r="F93" i="6" s="1"/>
  <c r="E93" i="6" a="1"/>
  <c r="E93" i="6" s="1"/>
  <c r="D93" i="6" a="1"/>
  <c r="D93" i="6" s="1"/>
  <c r="AE92" i="6" a="1"/>
  <c r="AE92" i="6" s="1"/>
  <c r="AD92" i="6" a="1"/>
  <c r="AD92" i="6" s="1"/>
  <c r="AC92" i="6" a="1"/>
  <c r="AC92" i="6" s="1"/>
  <c r="AB92" i="6" a="1"/>
  <c r="AB92" i="6" s="1"/>
  <c r="AA92" i="6" a="1"/>
  <c r="AA92" i="6" s="1"/>
  <c r="Z92" i="6" a="1"/>
  <c r="Z92" i="6" s="1"/>
  <c r="Y92" i="6" a="1"/>
  <c r="Y92" i="6" s="1"/>
  <c r="X92" i="6" a="1"/>
  <c r="X92" i="6" s="1"/>
  <c r="W92" i="6" a="1"/>
  <c r="W92" i="6" s="1"/>
  <c r="V92" i="6" a="1"/>
  <c r="V92" i="6" s="1"/>
  <c r="U92" i="6" a="1"/>
  <c r="U92" i="6" s="1"/>
  <c r="T92" i="6" a="1"/>
  <c r="T92" i="6" s="1"/>
  <c r="S92" i="6" a="1"/>
  <c r="S92" i="6" s="1"/>
  <c r="R92" i="6" a="1"/>
  <c r="R92" i="6" s="1"/>
  <c r="Q92" i="6" a="1"/>
  <c r="Q92" i="6" s="1"/>
  <c r="P92" i="6" a="1"/>
  <c r="P92" i="6" s="1"/>
  <c r="O92" i="6" a="1"/>
  <c r="O92" i="6" s="1"/>
  <c r="N92" i="6" a="1"/>
  <c r="N92" i="6" s="1"/>
  <c r="M92" i="6" a="1"/>
  <c r="M92" i="6" s="1"/>
  <c r="L92" i="6" a="1"/>
  <c r="L92" i="6" s="1"/>
  <c r="K92" i="6" a="1"/>
  <c r="K92" i="6" s="1"/>
  <c r="J92" i="6" a="1"/>
  <c r="J92" i="6" s="1"/>
  <c r="I92" i="6" a="1"/>
  <c r="I92" i="6" s="1"/>
  <c r="H92" i="6" a="1"/>
  <c r="H92" i="6" s="1"/>
  <c r="G92" i="6" a="1"/>
  <c r="G92" i="6" s="1"/>
  <c r="F92" i="6" a="1"/>
  <c r="F92" i="6" s="1"/>
  <c r="E92" i="6" a="1"/>
  <c r="E92" i="6" s="1"/>
  <c r="D92" i="6" a="1"/>
  <c r="D92" i="6" s="1"/>
  <c r="AE91" i="6" a="1"/>
  <c r="AE91" i="6" s="1"/>
  <c r="AD91" i="6" a="1"/>
  <c r="AD91" i="6" s="1"/>
  <c r="AC91" i="6" a="1"/>
  <c r="AC91" i="6" s="1"/>
  <c r="AB91" i="6" a="1"/>
  <c r="AB91" i="6" s="1"/>
  <c r="AA91" i="6" a="1"/>
  <c r="AA91" i="6" s="1"/>
  <c r="Z91" i="6" a="1"/>
  <c r="Z91" i="6" s="1"/>
  <c r="Y91" i="6" a="1"/>
  <c r="Y91" i="6" s="1"/>
  <c r="X91" i="6" a="1"/>
  <c r="X91" i="6" s="1"/>
  <c r="W91" i="6" a="1"/>
  <c r="W91" i="6" s="1"/>
  <c r="V91" i="6" a="1"/>
  <c r="V91" i="6" s="1"/>
  <c r="U91" i="6" a="1"/>
  <c r="U91" i="6" s="1"/>
  <c r="T91" i="6" a="1"/>
  <c r="T91" i="6" s="1"/>
  <c r="S91" i="6" a="1"/>
  <c r="S91" i="6" s="1"/>
  <c r="R91" i="6" a="1"/>
  <c r="R91" i="6" s="1"/>
  <c r="Q91" i="6" a="1"/>
  <c r="Q91" i="6" s="1"/>
  <c r="P91" i="6" a="1"/>
  <c r="P91" i="6" s="1"/>
  <c r="O91" i="6" a="1"/>
  <c r="O91" i="6" s="1"/>
  <c r="N91" i="6" a="1"/>
  <c r="N91" i="6" s="1"/>
  <c r="M91" i="6" a="1"/>
  <c r="M91" i="6" s="1"/>
  <c r="L91" i="6" a="1"/>
  <c r="L91" i="6" s="1"/>
  <c r="K91" i="6" a="1"/>
  <c r="K91" i="6" s="1"/>
  <c r="J91" i="6" a="1"/>
  <c r="J91" i="6" s="1"/>
  <c r="I91" i="6" a="1"/>
  <c r="I91" i="6" s="1"/>
  <c r="H91" i="6" a="1"/>
  <c r="H91" i="6" s="1"/>
  <c r="G91" i="6" a="1"/>
  <c r="G91" i="6" s="1"/>
  <c r="F91" i="6" a="1"/>
  <c r="F91" i="6" s="1"/>
  <c r="E91" i="6" a="1"/>
  <c r="E91" i="6" s="1"/>
  <c r="D91" i="6" a="1"/>
  <c r="D91" i="6" s="1"/>
  <c r="AE90" i="6" a="1"/>
  <c r="AE90" i="6" s="1"/>
  <c r="AD90" i="6" a="1"/>
  <c r="AD90" i="6" s="1"/>
  <c r="AC90" i="6" a="1"/>
  <c r="AC90" i="6" s="1"/>
  <c r="AB90" i="6" a="1"/>
  <c r="AB90" i="6" s="1"/>
  <c r="AA90" i="6" a="1"/>
  <c r="AA90" i="6" s="1"/>
  <c r="Z90" i="6" a="1"/>
  <c r="Z90" i="6" s="1"/>
  <c r="Y90" i="6" a="1"/>
  <c r="Y90" i="6" s="1"/>
  <c r="X90" i="6" a="1"/>
  <c r="X90" i="6" s="1"/>
  <c r="W90" i="6" a="1"/>
  <c r="W90" i="6" s="1"/>
  <c r="V90" i="6" a="1"/>
  <c r="V90" i="6" s="1"/>
  <c r="U90" i="6" a="1"/>
  <c r="U90" i="6" s="1"/>
  <c r="T90" i="6" a="1"/>
  <c r="T90" i="6" s="1"/>
  <c r="S90" i="6" a="1"/>
  <c r="S90" i="6" s="1"/>
  <c r="R90" i="6" a="1"/>
  <c r="R90" i="6" s="1"/>
  <c r="Q90" i="6" a="1"/>
  <c r="Q90" i="6" s="1"/>
  <c r="P90" i="6" a="1"/>
  <c r="P90" i="6" s="1"/>
  <c r="O90" i="6" a="1"/>
  <c r="O90" i="6" s="1"/>
  <c r="N90" i="6" a="1"/>
  <c r="N90" i="6" s="1"/>
  <c r="M90" i="6" a="1"/>
  <c r="M90" i="6" s="1"/>
  <c r="L90" i="6" a="1"/>
  <c r="L90" i="6" s="1"/>
  <c r="K90" i="6" a="1"/>
  <c r="K90" i="6" s="1"/>
  <c r="J90" i="6" a="1"/>
  <c r="J90" i="6" s="1"/>
  <c r="I90" i="6" a="1"/>
  <c r="I90" i="6" s="1"/>
  <c r="H90" i="6" a="1"/>
  <c r="H90" i="6" s="1"/>
  <c r="G90" i="6" a="1"/>
  <c r="G90" i="6" s="1"/>
  <c r="F90" i="6" a="1"/>
  <c r="F90" i="6" s="1"/>
  <c r="E90" i="6" a="1"/>
  <c r="E90" i="6" s="1"/>
  <c r="D90" i="6" a="1"/>
  <c r="D90" i="6" s="1"/>
  <c r="F83" i="6" a="1"/>
  <c r="F83" i="6" s="1"/>
  <c r="E83" i="6" a="1"/>
  <c r="E83" i="6" s="1"/>
  <c r="D83" i="6" a="1"/>
  <c r="D83" i="6" s="1"/>
  <c r="D82" i="6" a="1"/>
  <c r="D82" i="6" s="1"/>
  <c r="D81" i="6" a="1"/>
  <c r="D81" i="6" s="1"/>
  <c r="F78" i="6" a="1"/>
  <c r="F78" i="6" s="1"/>
  <c r="E78" i="6" a="1"/>
  <c r="E78" i="6" s="1"/>
  <c r="D78" i="6" a="1"/>
  <c r="D78" i="6" s="1"/>
  <c r="D77" i="6" a="1"/>
  <c r="D77" i="6" s="1"/>
  <c r="D76" i="6" a="1"/>
  <c r="D76" i="6" s="1"/>
  <c r="F73" i="6" a="1"/>
  <c r="F73" i="6" s="1"/>
  <c r="E73" i="6" a="1"/>
  <c r="E73" i="6" s="1"/>
  <c r="D73" i="6" a="1"/>
  <c r="D73" i="6" s="1"/>
  <c r="D72" i="6" a="1"/>
  <c r="D72" i="6" s="1"/>
  <c r="D71" i="6" a="1"/>
  <c r="D71" i="6" s="1"/>
  <c r="F68" i="6" a="1"/>
  <c r="F68" i="6" s="1"/>
  <c r="E68" i="6" a="1"/>
  <c r="E68" i="6" s="1"/>
  <c r="D68" i="6" a="1"/>
  <c r="D68" i="6" s="1"/>
  <c r="F67" i="6" a="1"/>
  <c r="F67" i="6" s="1"/>
  <c r="E67" i="6" a="1"/>
  <c r="E67" i="6" s="1"/>
  <c r="D67" i="6" a="1"/>
  <c r="D67" i="6" s="1"/>
  <c r="F66" i="6" a="1"/>
  <c r="F66" i="6" s="1"/>
  <c r="E66" i="6" a="1"/>
  <c r="E66" i="6" s="1"/>
  <c r="D66" i="6" a="1"/>
  <c r="D66" i="6" s="1"/>
  <c r="D64" i="6" a="1"/>
  <c r="D64" i="6" s="1"/>
  <c r="D63" i="6" a="1"/>
  <c r="D63" i="6" s="1"/>
  <c r="F60" i="6" a="1"/>
  <c r="F60" i="6" s="1"/>
  <c r="E60" i="6" a="1"/>
  <c r="E60" i="6" s="1"/>
  <c r="D60" i="6" a="1"/>
  <c r="D60" i="6" s="1"/>
  <c r="D59" i="6" a="1"/>
  <c r="D59" i="6" s="1"/>
  <c r="D58" i="6" a="1"/>
  <c r="D58" i="6" s="1"/>
  <c r="E55" i="6" a="1"/>
  <c r="E55" i="6" s="1"/>
  <c r="D55" i="6" a="1"/>
  <c r="D55" i="6" s="1"/>
  <c r="E54" i="6" a="1"/>
  <c r="E54" i="6" s="1"/>
  <c r="D54" i="6" a="1"/>
  <c r="D54" i="6" s="1"/>
  <c r="E53" i="6" a="1"/>
  <c r="E53" i="6" s="1"/>
  <c r="D53" i="6" a="1"/>
  <c r="D53" i="6" s="1"/>
  <c r="E52" i="6" a="1"/>
  <c r="E52" i="6" s="1"/>
  <c r="D52" i="6" a="1"/>
  <c r="D52" i="6" s="1"/>
  <c r="E51" i="6" a="1"/>
  <c r="E51" i="6" s="1"/>
  <c r="D51" i="6" a="1"/>
  <c r="D51" i="6" s="1"/>
  <c r="D49" i="6" a="1"/>
  <c r="D49" i="6" s="1"/>
  <c r="D48" i="6" a="1"/>
  <c r="D48" i="6" s="1"/>
  <c r="I37" i="6" a="1"/>
  <c r="I37" i="6" s="1"/>
  <c r="H37" i="6" a="1"/>
  <c r="H37" i="6" s="1"/>
  <c r="G37" i="6" a="1"/>
  <c r="G37" i="6" s="1"/>
  <c r="F37" i="6" a="1"/>
  <c r="F37" i="6" s="1"/>
  <c r="E37" i="6" a="1"/>
  <c r="E37" i="6" s="1"/>
  <c r="D37" i="6" a="1"/>
  <c r="D37" i="6" s="1"/>
  <c r="I36" i="6" a="1"/>
  <c r="I36" i="6" s="1"/>
  <c r="H36" i="6" a="1"/>
  <c r="H36" i="6" s="1"/>
  <c r="G36" i="6" a="1"/>
  <c r="G36" i="6" s="1"/>
  <c r="F36" i="6" a="1"/>
  <c r="F36" i="6" s="1"/>
  <c r="E36" i="6" a="1"/>
  <c r="E36" i="6" s="1"/>
  <c r="D36" i="6" a="1"/>
  <c r="D36" i="6" s="1"/>
  <c r="I35" i="6" a="1"/>
  <c r="I35" i="6" s="1"/>
  <c r="H35" i="6" a="1"/>
  <c r="H35" i="6" s="1"/>
  <c r="G35" i="6" a="1"/>
  <c r="G35" i="6" s="1"/>
  <c r="F35" i="6" a="1"/>
  <c r="F35" i="6" s="1"/>
  <c r="E35" i="6" a="1"/>
  <c r="E35" i="6" s="1"/>
  <c r="D35" i="6" a="1"/>
  <c r="D35" i="6" s="1"/>
  <c r="I34" i="6" a="1"/>
  <c r="I34" i="6" s="1"/>
  <c r="H34" i="6" a="1"/>
  <c r="H34" i="6" s="1"/>
  <c r="G34" i="6" a="1"/>
  <c r="G34" i="6" s="1"/>
  <c r="F34" i="6" a="1"/>
  <c r="F34" i="6" s="1"/>
  <c r="E34" i="6" a="1"/>
  <c r="E34" i="6" s="1"/>
  <c r="D34" i="6" a="1"/>
  <c r="D34" i="6" s="1"/>
  <c r="I33" i="6" a="1"/>
  <c r="I33" i="6" s="1"/>
  <c r="H33" i="6" a="1"/>
  <c r="H33" i="6" s="1"/>
  <c r="G33" i="6" a="1"/>
  <c r="G33" i="6" s="1"/>
  <c r="F33" i="6" a="1"/>
  <c r="F33" i="6" s="1"/>
  <c r="E33" i="6" a="1"/>
  <c r="E33" i="6" s="1"/>
  <c r="D33" i="6" a="1"/>
  <c r="D33" i="6" s="1"/>
  <c r="I32" i="6" a="1"/>
  <c r="I32" i="6" s="1"/>
  <c r="H32" i="6" a="1"/>
  <c r="H32" i="6" s="1"/>
  <c r="G32" i="6" a="1"/>
  <c r="G32" i="6" s="1"/>
  <c r="F32" i="6" a="1"/>
  <c r="F32" i="6" s="1"/>
  <c r="E32" i="6" a="1"/>
  <c r="E32" i="6" s="1"/>
  <c r="D32" i="6" a="1"/>
  <c r="D32" i="6" s="1"/>
  <c r="I31" i="6" a="1"/>
  <c r="I31" i="6" s="1"/>
  <c r="H31" i="6" a="1"/>
  <c r="H31" i="6" s="1"/>
  <c r="G31" i="6" a="1"/>
  <c r="G31" i="6" s="1"/>
  <c r="F31" i="6" a="1"/>
  <c r="F31" i="6" s="1"/>
  <c r="E31" i="6" a="1"/>
  <c r="E31" i="6" s="1"/>
  <c r="D31" i="6" a="1"/>
  <c r="D31" i="6" s="1"/>
  <c r="I30" i="6" a="1"/>
  <c r="I30" i="6" s="1"/>
  <c r="H30" i="6" a="1"/>
  <c r="H30" i="6" s="1"/>
  <c r="G30" i="6" a="1"/>
  <c r="G30" i="6" s="1"/>
  <c r="F30" i="6" a="1"/>
  <c r="F30" i="6" s="1"/>
  <c r="E30" i="6" a="1"/>
  <c r="E30" i="6" s="1"/>
  <c r="D30" i="6" a="1"/>
  <c r="D30" i="6" s="1"/>
  <c r="I29" i="6" a="1"/>
  <c r="I29" i="6" s="1"/>
  <c r="H29" i="6" a="1"/>
  <c r="H29" i="6" s="1"/>
  <c r="G29" i="6" a="1"/>
  <c r="G29" i="6" s="1"/>
  <c r="F29" i="6" a="1"/>
  <c r="F29" i="6" s="1"/>
  <c r="E29" i="6" a="1"/>
  <c r="E29" i="6" s="1"/>
  <c r="D29" i="6" a="1"/>
  <c r="D29" i="6" s="1"/>
  <c r="R28" i="6" a="1"/>
  <c r="R28" i="6" s="1"/>
  <c r="Q28" i="6" a="1"/>
  <c r="Q28" i="6" s="1"/>
  <c r="L28" i="6" a="1"/>
  <c r="L28" i="6" s="1"/>
  <c r="K28" i="6" a="1"/>
  <c r="K28" i="6" s="1"/>
  <c r="I28" i="6" a="1"/>
  <c r="I28" i="6" s="1"/>
  <c r="H28" i="6" a="1"/>
  <c r="H28" i="6" s="1"/>
  <c r="G28" i="6" a="1"/>
  <c r="G28" i="6" s="1"/>
  <c r="F28" i="6" a="1"/>
  <c r="F28" i="6" s="1"/>
  <c r="E28" i="6" a="1"/>
  <c r="E28" i="6" s="1"/>
  <c r="D28" i="6" a="1"/>
  <c r="D28" i="6" s="1"/>
  <c r="R27" i="6" a="1"/>
  <c r="R27" i="6" s="1"/>
  <c r="Q27" i="6" a="1"/>
  <c r="Q27" i="6" s="1"/>
  <c r="L27" i="6" a="1"/>
  <c r="L27" i="6" s="1"/>
  <c r="K27" i="6" a="1"/>
  <c r="K27" i="6" s="1"/>
  <c r="I27" i="6" a="1"/>
  <c r="I27" i="6" s="1"/>
  <c r="H27" i="6" a="1"/>
  <c r="H27" i="6" s="1"/>
  <c r="G27" i="6" a="1"/>
  <c r="G27" i="6" s="1"/>
  <c r="F27" i="6" a="1"/>
  <c r="F27" i="6" s="1"/>
  <c r="E27" i="6" a="1"/>
  <c r="E27" i="6" s="1"/>
  <c r="D27" i="6" a="1"/>
  <c r="D27" i="6" s="1"/>
  <c r="R26" i="6" a="1"/>
  <c r="R26" i="6" s="1"/>
  <c r="Q26" i="6" a="1"/>
  <c r="Q26" i="6" s="1"/>
  <c r="L26" i="6" a="1"/>
  <c r="L26" i="6" s="1"/>
  <c r="K26" i="6" a="1"/>
  <c r="K26" i="6" s="1"/>
  <c r="I26" i="6" a="1"/>
  <c r="I26" i="6" s="1"/>
  <c r="H26" i="6" a="1"/>
  <c r="H26" i="6" s="1"/>
  <c r="G26" i="6" a="1"/>
  <c r="G26" i="6" s="1"/>
  <c r="F26" i="6" a="1"/>
  <c r="F26" i="6" s="1"/>
  <c r="E26" i="6" a="1"/>
  <c r="E26" i="6" s="1"/>
  <c r="D26" i="6" a="1"/>
  <c r="D26" i="6" s="1"/>
  <c r="R25" i="6" a="1"/>
  <c r="R25" i="6" s="1"/>
  <c r="Q25" i="6" a="1"/>
  <c r="Q25" i="6" s="1"/>
  <c r="L25" i="6" a="1"/>
  <c r="L25" i="6" s="1"/>
  <c r="K25" i="6" a="1"/>
  <c r="K25" i="6" s="1"/>
  <c r="I25" i="6" a="1"/>
  <c r="I25" i="6" s="1"/>
  <c r="H25" i="6" a="1"/>
  <c r="H25" i="6" s="1"/>
  <c r="G25" i="6" a="1"/>
  <c r="G25" i="6" s="1"/>
  <c r="F25" i="6" a="1"/>
  <c r="F25" i="6" s="1"/>
  <c r="E25" i="6" a="1"/>
  <c r="E25" i="6" s="1"/>
  <c r="D25" i="6" a="1"/>
  <c r="D25" i="6" s="1"/>
  <c r="R24" i="6" a="1"/>
  <c r="R24" i="6" s="1"/>
  <c r="Q24" i="6" a="1"/>
  <c r="Q24" i="6" s="1"/>
  <c r="L24" i="6" a="1"/>
  <c r="L24" i="6" s="1"/>
  <c r="K24" i="6" a="1"/>
  <c r="K24" i="6" s="1"/>
  <c r="I24" i="6" a="1"/>
  <c r="I24" i="6" s="1"/>
  <c r="H24" i="6" a="1"/>
  <c r="H24" i="6" s="1"/>
  <c r="G24" i="6" a="1"/>
  <c r="G24" i="6" s="1"/>
  <c r="F24" i="6" a="1"/>
  <c r="F24" i="6" s="1"/>
  <c r="E24" i="6" a="1"/>
  <c r="E24" i="6" s="1"/>
  <c r="D24" i="6" a="1"/>
  <c r="D24" i="6" s="1"/>
  <c r="R23" i="6" a="1"/>
  <c r="R23" i="6" s="1"/>
  <c r="Q23" i="6" a="1"/>
  <c r="Q23" i="6" s="1"/>
  <c r="L23" i="6" a="1"/>
  <c r="L23" i="6" s="1"/>
  <c r="K23" i="6" a="1"/>
  <c r="K23" i="6" s="1"/>
  <c r="I23" i="6" a="1"/>
  <c r="I23" i="6" s="1"/>
  <c r="H23" i="6" a="1"/>
  <c r="H23" i="6" s="1"/>
  <c r="G23" i="6" a="1"/>
  <c r="G23" i="6" s="1"/>
  <c r="F23" i="6" a="1"/>
  <c r="F23" i="6" s="1"/>
  <c r="E23" i="6" a="1"/>
  <c r="E23" i="6" s="1"/>
  <c r="D23" i="6" a="1"/>
  <c r="D23" i="6" s="1"/>
  <c r="R22" i="6" a="1"/>
  <c r="R22" i="6" s="1"/>
  <c r="Q22" i="6" a="1"/>
  <c r="Q22" i="6" s="1"/>
  <c r="L22" i="6" a="1"/>
  <c r="L22" i="6" s="1"/>
  <c r="K22" i="6" a="1"/>
  <c r="K22" i="6" s="1"/>
  <c r="I22" i="6" a="1"/>
  <c r="I22" i="6" s="1"/>
  <c r="H22" i="6" a="1"/>
  <c r="H22" i="6" s="1"/>
  <c r="G22" i="6" a="1"/>
  <c r="G22" i="6" s="1"/>
  <c r="F22" i="6" a="1"/>
  <c r="F22" i="6" s="1"/>
  <c r="E22" i="6" a="1"/>
  <c r="E22" i="6" s="1"/>
  <c r="D22" i="6" a="1"/>
  <c r="D22" i="6" s="1"/>
  <c r="R21" i="6" a="1"/>
  <c r="R21" i="6" s="1"/>
  <c r="Q21" i="6" a="1"/>
  <c r="Q21" i="6" s="1"/>
  <c r="L21" i="6" a="1"/>
  <c r="L21" i="6" s="1"/>
  <c r="K21" i="6" a="1"/>
  <c r="K21" i="6" s="1"/>
  <c r="I21" i="6" a="1"/>
  <c r="I21" i="6" s="1"/>
  <c r="H21" i="6" a="1"/>
  <c r="H21" i="6" s="1"/>
  <c r="G21" i="6" a="1"/>
  <c r="G21" i="6" s="1"/>
  <c r="F21" i="6" a="1"/>
  <c r="F21" i="6" s="1"/>
  <c r="E21" i="6" a="1"/>
  <c r="E21" i="6" s="1"/>
  <c r="D21" i="6" a="1"/>
  <c r="D21" i="6" s="1"/>
  <c r="A21" i="6"/>
  <c r="R20" i="6" a="1"/>
  <c r="R20" i="6" s="1"/>
  <c r="Q20" i="6" a="1"/>
  <c r="Q20" i="6" s="1"/>
  <c r="L20" i="6" a="1"/>
  <c r="L20" i="6" s="1"/>
  <c r="K20" i="6" a="1"/>
  <c r="K20" i="6" s="1"/>
  <c r="I20" i="6" a="1"/>
  <c r="I20" i="6" s="1"/>
  <c r="H20" i="6" a="1"/>
  <c r="H20" i="6" s="1"/>
  <c r="G20" i="6" a="1"/>
  <c r="G20" i="6" s="1"/>
  <c r="F20" i="6" a="1"/>
  <c r="F20" i="6" s="1"/>
  <c r="E20" i="6" a="1"/>
  <c r="E20" i="6" s="1"/>
  <c r="D20" i="6" a="1"/>
  <c r="D20" i="6" s="1"/>
  <c r="A20" i="6"/>
  <c r="Q18" i="6" a="1"/>
  <c r="Q18" i="6" s="1"/>
  <c r="K18" i="6" a="1"/>
  <c r="K18" i="6" s="1"/>
  <c r="Q17" i="6" a="1"/>
  <c r="Q17" i="6" s="1"/>
  <c r="K17" i="6" a="1"/>
  <c r="K17" i="6" s="1"/>
  <c r="A17" i="6"/>
  <c r="A16" i="6"/>
  <c r="A15" i="6"/>
  <c r="A14" i="6"/>
  <c r="A13" i="6"/>
  <c r="A12" i="6"/>
  <c r="A9" i="6"/>
  <c r="A8" i="6"/>
  <c r="D7" i="6" a="1"/>
  <c r="D7" i="6" s="1"/>
  <c r="D6" i="6" a="1"/>
  <c r="D6" i="6" s="1"/>
  <c r="D5" i="6" a="1"/>
  <c r="D5" i="6" s="1"/>
  <c r="A5" i="6"/>
  <c r="A4" i="6"/>
  <c r="A3" i="6"/>
  <c r="F20" i="7" l="1"/>
  <c r="U20" i="7" a="1"/>
  <c r="U20" i="7" s="1"/>
  <c r="G20" i="7"/>
  <c r="W20" i="7"/>
  <c r="X20" i="7"/>
  <c r="J20" i="7" a="1"/>
  <c r="J20" i="7" s="1"/>
  <c r="K20" i="7" a="1"/>
  <c r="K20" i="7" s="1"/>
  <c r="L20" i="7" a="1"/>
  <c r="L20" i="7" s="1"/>
  <c r="M20" i="7" a="1"/>
  <c r="M20" i="7" s="1"/>
  <c r="N20" i="7" a="1"/>
  <c r="N20" i="7" s="1"/>
  <c r="R20" i="7" a="1"/>
  <c r="R20" i="7" s="1"/>
  <c r="O20" i="7" a="1"/>
  <c r="O20" i="7" s="1"/>
  <c r="P20" i="7" a="1"/>
  <c r="P20" i="7" s="1"/>
  <c r="T20" i="7" a="1"/>
  <c r="T20" i="7" s="1"/>
  <c r="S20" i="7" a="1"/>
  <c r="S20" i="7" s="1"/>
  <c r="Q20" i="7" a="1"/>
  <c r="Q20" i="7" s="1"/>
  <c r="T19" i="7" a="1"/>
  <c r="T19" i="7" s="1"/>
  <c r="W19" i="7"/>
  <c r="U19" i="7" a="1"/>
  <c r="U19" i="7" s="1"/>
  <c r="F19" i="7"/>
  <c r="X19" i="7"/>
  <c r="G19" i="7"/>
  <c r="J19" i="7" a="1"/>
  <c r="J19" i="7" s="1"/>
  <c r="K19" i="7" a="1"/>
  <c r="K19" i="7" s="1"/>
  <c r="L19" i="7" a="1"/>
  <c r="L19" i="7" s="1"/>
  <c r="M19" i="7" a="1"/>
  <c r="M19" i="7" s="1"/>
  <c r="N19" i="7" a="1"/>
  <c r="N19" i="7" s="1"/>
  <c r="P19" i="7" a="1"/>
  <c r="P19" i="7" s="1"/>
  <c r="Q19" i="7" a="1"/>
  <c r="Q19" i="7" s="1"/>
  <c r="S19" i="7" a="1"/>
  <c r="S19" i="7" s="1"/>
  <c r="R19" i="7" a="1"/>
  <c r="R19" i="7" s="1"/>
  <c r="O19" i="7" a="1"/>
  <c r="O19" i="7" s="1"/>
  <c r="G178" i="20"/>
  <c r="G183" i="20"/>
  <c r="G185" i="20"/>
  <c r="G182" i="20"/>
  <c r="G184" i="20"/>
  <c r="G191" i="20"/>
  <c r="G187" i="20"/>
  <c r="G192" i="20"/>
  <c r="G198" i="20"/>
  <c r="G181" i="20"/>
  <c r="G175" i="20"/>
  <c r="G177" i="20"/>
  <c r="G174" i="20"/>
  <c r="G176" i="20"/>
  <c r="G179" i="20"/>
  <c r="G189" i="20"/>
  <c r="G188" i="20"/>
  <c r="G193" i="20"/>
  <c r="G194" i="20"/>
  <c r="G196" i="20"/>
  <c r="G195" i="20"/>
  <c r="G197" i="20"/>
  <c r="G186" i="20"/>
  <c r="G190" i="20"/>
  <c r="P25" i="7"/>
  <c r="S18" i="7" a="1"/>
  <c r="S18" i="7" s="1"/>
  <c r="F18" i="7"/>
  <c r="J18" i="7" a="1"/>
  <c r="J18" i="7" s="1"/>
  <c r="T18" i="7" a="1"/>
  <c r="T18" i="7" s="1"/>
  <c r="R18" i="7" a="1"/>
  <c r="R18" i="7" s="1"/>
  <c r="K18" i="7" a="1"/>
  <c r="K18" i="7" s="1"/>
  <c r="G18" i="7"/>
  <c r="M18" i="7" a="1"/>
  <c r="M18" i="7" s="1"/>
  <c r="Q18" i="7" a="1"/>
  <c r="Q18" i="7" s="1"/>
  <c r="P18" i="7" a="1"/>
  <c r="P18" i="7" s="1"/>
  <c r="O18" i="7" a="1"/>
  <c r="O18" i="7" s="1"/>
  <c r="N18" i="7" a="1"/>
  <c r="N18" i="7" s="1"/>
  <c r="L18" i="7" a="1"/>
  <c r="L18" i="7" s="1"/>
  <c r="X18" i="7"/>
  <c r="W18" i="7"/>
  <c r="U18" i="7" a="1"/>
  <c r="U18" i="7" s="1"/>
  <c r="J45" i="7"/>
  <c r="D32" i="7"/>
  <c r="J44" i="7"/>
  <c r="D25" i="1" a="1"/>
  <c r="D25" i="1" s="1"/>
  <c r="P24" i="7"/>
  <c r="I19" i="7" l="1"/>
  <c r="V19" i="7"/>
  <c r="I20" i="7"/>
  <c r="V20" i="7"/>
  <c r="I18" i="7"/>
  <c r="V18" i="7"/>
  <c r="G12" i="5" a="1"/>
  <c r="G12" i="5" s="1"/>
  <c r="H12" i="5"/>
  <c r="I12" i="5"/>
  <c r="F14" i="1"/>
  <c r="F13" i="1"/>
  <c r="F12" i="1"/>
  <c r="F11" i="1"/>
  <c r="F10" i="1"/>
  <c r="F9" i="1"/>
  <c r="F8" i="1"/>
  <c r="F7" i="1"/>
  <c r="F6" i="1"/>
  <c r="AI227" i="19" l="1" a="1"/>
  <c r="AI227" i="19" s="1"/>
  <c r="AI228" i="19" a="1"/>
  <c r="AI228" i="19" s="1"/>
  <c r="AI226" i="19" a="1"/>
  <c r="AI226" i="19" s="1"/>
  <c r="AI222" i="19" a="1"/>
  <c r="AI222" i="19" s="1"/>
  <c r="AI229" i="19" a="1"/>
  <c r="AI229" i="19" s="1"/>
  <c r="AI230" i="19" a="1"/>
  <c r="AI230" i="19" s="1"/>
  <c r="AI221" i="19" a="1"/>
  <c r="AI221" i="19" s="1"/>
  <c r="AI223" i="19" a="1"/>
  <c r="AI223" i="19" s="1"/>
  <c r="AI224" i="19" a="1"/>
  <c r="AI224" i="19" s="1"/>
  <c r="AI225" i="19" a="1"/>
  <c r="AI225" i="19" s="1"/>
  <c r="AA226" i="19" a="1"/>
  <c r="AA226" i="19" s="1"/>
  <c r="AA221" i="19" a="1"/>
  <c r="AA221" i="19" s="1"/>
  <c r="AA230" i="19" a="1"/>
  <c r="AA230" i="19" s="1"/>
  <c r="AA223" i="19" a="1"/>
  <c r="AA223" i="19" s="1"/>
  <c r="AA225" i="19" a="1"/>
  <c r="AA225" i="19" s="1"/>
  <c r="AA227" i="19" a="1"/>
  <c r="AA227" i="19" s="1"/>
  <c r="AA228" i="19" a="1"/>
  <c r="AA228" i="19" s="1"/>
  <c r="AA229" i="19" a="1"/>
  <c r="AA229" i="19" s="1"/>
  <c r="W228" i="19" a="1"/>
  <c r="W228" i="19" s="1"/>
  <c r="W230" i="19" a="1"/>
  <c r="W230" i="19" s="1"/>
  <c r="W225" i="19" a="1"/>
  <c r="W225" i="19" s="1"/>
  <c r="W223" i="19" a="1"/>
  <c r="W223" i="19" s="1"/>
  <c r="W226" i="19" a="1"/>
  <c r="W226" i="19" s="1"/>
  <c r="W224" i="19" a="1"/>
  <c r="W224" i="19" s="1"/>
  <c r="W227" i="19" a="1"/>
  <c r="W227" i="19" s="1"/>
  <c r="W229" i="19" a="1"/>
  <c r="W229" i="19" s="1"/>
  <c r="E28" i="1" a="1"/>
  <c r="E28" i="1" s="1"/>
  <c r="AA222" i="19" a="1"/>
  <c r="AA222" i="19" s="1"/>
  <c r="AA224" i="19" a="1"/>
  <c r="AA224" i="19" s="1"/>
  <c r="W221" i="19" a="1"/>
  <c r="W221" i="19" s="1"/>
  <c r="W222" i="19" a="1"/>
  <c r="W222" i="19" s="1"/>
  <c r="E25" i="1" a="1"/>
  <c r="E25" i="1" s="1"/>
  <c r="E41" i="1" a="1"/>
  <c r="E41" i="1" s="1"/>
  <c r="E40" i="1" a="1"/>
  <c r="E40" i="1" s="1"/>
  <c r="E36" i="1" a="1"/>
  <c r="E36" i="1" s="1"/>
  <c r="E38" i="1" a="1"/>
  <c r="E38" i="1" s="1"/>
  <c r="E29" i="1" a="1"/>
  <c r="E29" i="1" s="1"/>
  <c r="E34" i="1" a="1"/>
  <c r="E34" i="1" s="1"/>
  <c r="E39" i="1" a="1"/>
  <c r="E39" i="1" s="1"/>
  <c r="AM221" i="19" a="1"/>
  <c r="AM221" i="19" s="1"/>
  <c r="AM225" i="19" a="1"/>
  <c r="AM225" i="19" s="1"/>
  <c r="AM224" i="19" a="1"/>
  <c r="AM224" i="19" s="1"/>
  <c r="AM229" i="19" a="1"/>
  <c r="AM229" i="19" s="1"/>
  <c r="AM226" i="19" a="1"/>
  <c r="AM226" i="19" s="1"/>
  <c r="AM223" i="19" a="1"/>
  <c r="AM223" i="19" s="1"/>
  <c r="AM230" i="19" a="1"/>
  <c r="AM230" i="19" s="1"/>
  <c r="AM227" i="19" a="1"/>
  <c r="AM227" i="19" s="1"/>
  <c r="AM228" i="19" a="1"/>
  <c r="AM228" i="19" s="1"/>
  <c r="S221" i="19" a="1"/>
  <c r="S221" i="19" s="1"/>
  <c r="S228" i="19" a="1"/>
  <c r="S228" i="19" s="1"/>
  <c r="S227" i="19" a="1"/>
  <c r="S227" i="19" s="1"/>
  <c r="S226" i="19" a="1"/>
  <c r="S226" i="19" s="1"/>
  <c r="S225" i="19" a="1"/>
  <c r="S225" i="19" s="1"/>
  <c r="S224" i="19" a="1"/>
  <c r="S224" i="19" s="1"/>
  <c r="S223" i="19" a="1"/>
  <c r="S223" i="19" s="1"/>
  <c r="S229" i="19" a="1"/>
  <c r="S229" i="19" s="1"/>
  <c r="S230" i="19" a="1"/>
  <c r="S230" i="19" s="1"/>
  <c r="AE221" i="19" a="1"/>
  <c r="AE221" i="19" s="1"/>
  <c r="AE224" i="19" a="1"/>
  <c r="AE224" i="19" s="1"/>
  <c r="AE223" i="19" a="1"/>
  <c r="AE223" i="19" s="1"/>
  <c r="AE226" i="19" a="1"/>
  <c r="AE226" i="19" s="1"/>
  <c r="AE225" i="19" a="1"/>
  <c r="AE225" i="19" s="1"/>
  <c r="AE230" i="19" a="1"/>
  <c r="AE230" i="19" s="1"/>
  <c r="AE229" i="19" a="1"/>
  <c r="AE229" i="19" s="1"/>
  <c r="AE228" i="19" a="1"/>
  <c r="AE228" i="19" s="1"/>
  <c r="AE227" i="19" a="1"/>
  <c r="AE227" i="19" s="1"/>
  <c r="S222" i="19" a="1"/>
  <c r="S222" i="19" s="1"/>
  <c r="AM222" i="19" a="1"/>
  <c r="AM222" i="19" s="1"/>
  <c r="AE222" i="19" a="1"/>
  <c r="AE222" i="19" s="1"/>
  <c r="E26" i="1" a="1"/>
  <c r="E26" i="1" s="1"/>
  <c r="E33" i="1" a="1"/>
  <c r="E33" i="1" s="1"/>
  <c r="E30" i="1" a="1"/>
  <c r="E30" i="1" s="1"/>
  <c r="E31" i="1" a="1"/>
  <c r="E31" i="1" s="1"/>
  <c r="E32" i="1" a="1"/>
  <c r="E32" i="1" s="1"/>
  <c r="E35" i="1" a="1"/>
  <c r="E35" i="1" s="1"/>
  <c r="E37" i="1" a="1"/>
  <c r="E37" i="1" s="1"/>
  <c r="E27" i="1" a="1"/>
  <c r="E27" i="1" s="1"/>
  <c r="E42" i="1" a="1"/>
  <c r="E42" i="1" s="1"/>
  <c r="F20" i="1"/>
  <c r="F19" i="1"/>
  <c r="F18" i="1"/>
  <c r="H18" i="1" s="1" a="1"/>
  <c r="H18" i="1" s="1"/>
  <c r="F17" i="1"/>
  <c r="F16" i="1"/>
  <c r="F15" i="1"/>
  <c r="H15" i="1" s="1" a="1"/>
  <c r="H15" i="1" s="1"/>
  <c r="D18" i="1"/>
  <c r="D20" i="1" s="1"/>
  <c r="D15" i="1"/>
  <c r="D17" i="1" s="1"/>
  <c r="D14" i="1"/>
  <c r="H14" i="1" s="1" a="1"/>
  <c r="H14" i="1" s="1"/>
  <c r="D9" i="1"/>
  <c r="H9" i="1" s="1" a="1"/>
  <c r="H9" i="1" s="1"/>
  <c r="D8" i="1"/>
  <c r="H8" i="1" s="1" a="1"/>
  <c r="H8" i="1" s="1"/>
  <c r="D7" i="1"/>
  <c r="H7" i="1" s="1" a="1"/>
  <c r="H7" i="1" s="1"/>
  <c r="D6" i="1"/>
  <c r="D12" i="1" s="1"/>
  <c r="H12" i="1" s="1" a="1"/>
  <c r="H12" i="1" s="1"/>
  <c r="H17" i="1" l="1" a="1"/>
  <c r="H17" i="1" s="1"/>
  <c r="D11" i="1"/>
  <c r="H11" i="1" s="1" a="1"/>
  <c r="H11" i="1" s="1"/>
  <c r="D10" i="1"/>
  <c r="H10" i="1" s="1" a="1"/>
  <c r="H10" i="1" s="1"/>
  <c r="D13" i="1"/>
  <c r="H13" i="1" s="1" a="1"/>
  <c r="H13" i="1" s="1"/>
  <c r="D16" i="1"/>
  <c r="H19" i="1" a="1"/>
  <c r="H19" i="1" s="1"/>
  <c r="H20" i="1" a="1"/>
  <c r="H20" i="1" s="1"/>
  <c r="D19" i="1"/>
  <c r="H16" i="1" a="1"/>
  <c r="H16" i="1" s="1"/>
  <c r="F226" i="19" a="1"/>
  <c r="F226" i="19" s="1"/>
  <c r="F229" i="19" a="1"/>
  <c r="F229" i="19" s="1"/>
  <c r="F221" i="19" a="1"/>
  <c r="F221" i="19" s="1"/>
  <c r="G221" i="19" s="1" a="1"/>
  <c r="G221" i="19" s="1"/>
  <c r="F222" i="19" a="1"/>
  <c r="F222" i="19" s="1"/>
  <c r="G222" i="19" s="1" a="1"/>
  <c r="G222" i="19" s="1"/>
  <c r="F224" i="19" a="1"/>
  <c r="F224" i="19" s="1"/>
  <c r="G224" i="19" s="1" a="1"/>
  <c r="G224" i="19" s="1"/>
  <c r="F225" i="19" a="1"/>
  <c r="F225" i="19" s="1"/>
  <c r="G225" i="19" s="1" a="1"/>
  <c r="G225" i="19" s="1"/>
  <c r="F230" i="19" a="1"/>
  <c r="F230" i="19" s="1"/>
  <c r="G230" i="19" s="1" a="1"/>
  <c r="G230" i="19" s="1"/>
  <c r="F227" i="19" a="1"/>
  <c r="F227" i="19" s="1"/>
  <c r="G227" i="19" s="1" a="1"/>
  <c r="G227" i="19" s="1"/>
  <c r="F228" i="19" a="1"/>
  <c r="F228" i="19" s="1"/>
  <c r="G228" i="19" s="1" a="1"/>
  <c r="G228" i="19" s="1"/>
  <c r="F223" i="19" a="1"/>
  <c r="F223" i="19" s="1"/>
  <c r="G223" i="19" s="1" a="1"/>
  <c r="G223" i="19" s="1"/>
  <c r="K227" i="19" a="1"/>
  <c r="K227" i="19" s="1"/>
  <c r="H227" i="19" a="1"/>
  <c r="H227" i="19" s="1"/>
  <c r="K225" i="19" a="1"/>
  <c r="K225" i="19" s="1"/>
  <c r="H225" i="19" a="1"/>
  <c r="H225" i="19" s="1"/>
  <c r="K221" i="19" a="1"/>
  <c r="K221" i="19" s="1"/>
  <c r="E252" i="19" s="1"/>
  <c r="H221" i="19" a="1"/>
  <c r="H221" i="19" s="1"/>
  <c r="H222" i="19" a="1"/>
  <c r="H222" i="19" s="1"/>
  <c r="K222" i="19" a="1"/>
  <c r="K222" i="19" s="1"/>
  <c r="K223" i="19" a="1"/>
  <c r="K223" i="19" s="1"/>
  <c r="H223" i="19" a="1"/>
  <c r="H223" i="19" s="1"/>
  <c r="K226" i="19" a="1"/>
  <c r="K226" i="19" s="1"/>
  <c r="H226" i="19" a="1"/>
  <c r="H226" i="19" s="1"/>
  <c r="H228" i="19" a="1"/>
  <c r="H228" i="19" s="1"/>
  <c r="K228" i="19" a="1"/>
  <c r="K228" i="19" s="1"/>
  <c r="H229" i="19" a="1"/>
  <c r="H229" i="19" s="1"/>
  <c r="K229" i="19" a="1"/>
  <c r="K229" i="19" s="1"/>
  <c r="H230" i="19" a="1"/>
  <c r="H230" i="19" s="1"/>
  <c r="K230" i="19" a="1"/>
  <c r="K230" i="19" s="1"/>
  <c r="K224" i="19" a="1"/>
  <c r="K224" i="19" s="1"/>
  <c r="H224" i="19" a="1"/>
  <c r="H224" i="19" s="1"/>
  <c r="G226" i="19" a="1"/>
  <c r="G226" i="19" s="1"/>
  <c r="G229" i="19" a="1"/>
  <c r="G229" i="19" s="1"/>
  <c r="I11" i="5"/>
  <c r="H6" i="1" s="1" a="1"/>
  <c r="H6" i="1" s="1"/>
  <c r="H11" i="5"/>
  <c r="G11" i="5" a="1"/>
  <c r="G11" i="5" s="1"/>
  <c r="A17" i="5"/>
  <c r="A16" i="5"/>
  <c r="A13" i="5"/>
  <c r="A12" i="5"/>
  <c r="A11" i="5"/>
  <c r="A8" i="5"/>
  <c r="A5" i="5"/>
  <c r="A4" i="5"/>
  <c r="A3" i="5"/>
  <c r="E20" i="1"/>
  <c r="E17" i="1"/>
  <c r="E16" i="1"/>
  <c r="E15" i="1"/>
  <c r="E13" i="1"/>
  <c r="E12" i="1"/>
  <c r="E11" i="1"/>
  <c r="E10" i="1"/>
  <c r="E9" i="1"/>
  <c r="E8" i="1"/>
  <c r="E259" i="3" a="1"/>
  <c r="E259" i="3" s="1"/>
  <c r="D259" i="3" a="1"/>
  <c r="D259" i="3" s="1"/>
  <c r="E258" i="3" a="1"/>
  <c r="E258" i="3" s="1"/>
  <c r="D258" i="3" a="1"/>
  <c r="D258" i="3" s="1"/>
  <c r="D256" i="3" a="1"/>
  <c r="D256" i="3" s="1"/>
  <c r="D255" i="3" a="1"/>
  <c r="D255" i="3" s="1"/>
  <c r="D254" i="3" a="1"/>
  <c r="D254" i="3" s="1"/>
  <c r="D253" i="3" a="1"/>
  <c r="D253" i="3" s="1"/>
  <c r="S250" i="3" a="1"/>
  <c r="S250" i="3" s="1"/>
  <c r="R250" i="3" a="1"/>
  <c r="R250" i="3" s="1"/>
  <c r="Q250" i="3" a="1"/>
  <c r="Q250" i="3" s="1"/>
  <c r="P250" i="3" a="1"/>
  <c r="P250" i="3" s="1"/>
  <c r="O250" i="3" a="1"/>
  <c r="O250" i="3" s="1"/>
  <c r="N250" i="3" a="1"/>
  <c r="N250" i="3" s="1"/>
  <c r="M250" i="3" a="1"/>
  <c r="M250" i="3" s="1"/>
  <c r="L250" i="3" a="1"/>
  <c r="L250" i="3" s="1"/>
  <c r="K250" i="3" a="1"/>
  <c r="K250" i="3" s="1"/>
  <c r="J250" i="3" a="1"/>
  <c r="J250" i="3" s="1"/>
  <c r="I250" i="3" a="1"/>
  <c r="I250" i="3" s="1"/>
  <c r="H250" i="3" a="1"/>
  <c r="H250" i="3" s="1"/>
  <c r="G250" i="3" a="1"/>
  <c r="G250" i="3" s="1"/>
  <c r="F250" i="3" a="1"/>
  <c r="F250" i="3" s="1"/>
  <c r="E250" i="3" a="1"/>
  <c r="E250" i="3" s="1"/>
  <c r="D250" i="3" a="1"/>
  <c r="D250" i="3" s="1"/>
  <c r="S249" i="3" a="1"/>
  <c r="S249" i="3" s="1"/>
  <c r="R249" i="3" a="1"/>
  <c r="R249" i="3" s="1"/>
  <c r="Q249" i="3" a="1"/>
  <c r="Q249" i="3" s="1"/>
  <c r="P249" i="3" a="1"/>
  <c r="P249" i="3" s="1"/>
  <c r="O249" i="3" a="1"/>
  <c r="O249" i="3" s="1"/>
  <c r="N249" i="3" a="1"/>
  <c r="N249" i="3" s="1"/>
  <c r="M249" i="3" a="1"/>
  <c r="M249" i="3" s="1"/>
  <c r="L249" i="3" a="1"/>
  <c r="L249" i="3" s="1"/>
  <c r="K249" i="3" a="1"/>
  <c r="K249" i="3" s="1"/>
  <c r="J249" i="3" a="1"/>
  <c r="J249" i="3" s="1"/>
  <c r="I249" i="3" a="1"/>
  <c r="I249" i="3" s="1"/>
  <c r="H249" i="3" a="1"/>
  <c r="H249" i="3" s="1"/>
  <c r="G249" i="3" a="1"/>
  <c r="G249" i="3" s="1"/>
  <c r="F249" i="3" a="1"/>
  <c r="F249" i="3" s="1"/>
  <c r="E249" i="3" a="1"/>
  <c r="E249" i="3" s="1"/>
  <c r="D249" i="3" a="1"/>
  <c r="D249" i="3" s="1"/>
  <c r="S248" i="3" a="1"/>
  <c r="S248" i="3" s="1"/>
  <c r="R248" i="3" a="1"/>
  <c r="R248" i="3" s="1"/>
  <c r="Q248" i="3" a="1"/>
  <c r="Q248" i="3" s="1"/>
  <c r="P248" i="3" a="1"/>
  <c r="P248" i="3" s="1"/>
  <c r="O248" i="3" a="1"/>
  <c r="O248" i="3" s="1"/>
  <c r="N248" i="3" a="1"/>
  <c r="N248" i="3" s="1"/>
  <c r="M248" i="3" a="1"/>
  <c r="M248" i="3" s="1"/>
  <c r="L248" i="3" a="1"/>
  <c r="L248" i="3" s="1"/>
  <c r="K248" i="3" a="1"/>
  <c r="K248" i="3" s="1"/>
  <c r="J248" i="3" a="1"/>
  <c r="J248" i="3" s="1"/>
  <c r="I248" i="3" a="1"/>
  <c r="I248" i="3" s="1"/>
  <c r="H248" i="3" a="1"/>
  <c r="H248" i="3" s="1"/>
  <c r="G248" i="3" a="1"/>
  <c r="G248" i="3" s="1"/>
  <c r="F248" i="3" a="1"/>
  <c r="F248" i="3" s="1"/>
  <c r="E248" i="3" a="1"/>
  <c r="E248" i="3" s="1"/>
  <c r="D248" i="3" a="1"/>
  <c r="D248" i="3" s="1"/>
  <c r="S247" i="3" a="1"/>
  <c r="S247" i="3" s="1"/>
  <c r="R247" i="3" a="1"/>
  <c r="R247" i="3" s="1"/>
  <c r="Q247" i="3" a="1"/>
  <c r="Q247" i="3" s="1"/>
  <c r="P247" i="3" a="1"/>
  <c r="P247" i="3" s="1"/>
  <c r="O247" i="3" a="1"/>
  <c r="O247" i="3" s="1"/>
  <c r="N247" i="3" a="1"/>
  <c r="N247" i="3" s="1"/>
  <c r="M247" i="3" a="1"/>
  <c r="M247" i="3" s="1"/>
  <c r="L247" i="3" a="1"/>
  <c r="L247" i="3" s="1"/>
  <c r="K247" i="3" a="1"/>
  <c r="K247" i="3" s="1"/>
  <c r="J247" i="3" a="1"/>
  <c r="J247" i="3" s="1"/>
  <c r="I247" i="3" a="1"/>
  <c r="I247" i="3" s="1"/>
  <c r="H247" i="3" a="1"/>
  <c r="H247" i="3" s="1"/>
  <c r="G247" i="3" a="1"/>
  <c r="G247" i="3" s="1"/>
  <c r="F247" i="3" a="1"/>
  <c r="F247" i="3" s="1"/>
  <c r="E247" i="3" a="1"/>
  <c r="E247" i="3" s="1"/>
  <c r="D247" i="3" a="1"/>
  <c r="D247" i="3" s="1"/>
  <c r="S246" i="3" a="1"/>
  <c r="S246" i="3" s="1"/>
  <c r="R246" i="3" a="1"/>
  <c r="R246" i="3" s="1"/>
  <c r="Q246" i="3" a="1"/>
  <c r="Q246" i="3" s="1"/>
  <c r="P246" i="3" a="1"/>
  <c r="P246" i="3" s="1"/>
  <c r="O246" i="3" a="1"/>
  <c r="O246" i="3" s="1"/>
  <c r="N246" i="3" a="1"/>
  <c r="N246" i="3" s="1"/>
  <c r="M246" i="3" a="1"/>
  <c r="M246" i="3" s="1"/>
  <c r="L246" i="3" a="1"/>
  <c r="L246" i="3" s="1"/>
  <c r="K246" i="3" a="1"/>
  <c r="K246" i="3" s="1"/>
  <c r="J246" i="3" a="1"/>
  <c r="J246" i="3" s="1"/>
  <c r="I246" i="3" a="1"/>
  <c r="I246" i="3" s="1"/>
  <c r="H246" i="3" a="1"/>
  <c r="H246" i="3" s="1"/>
  <c r="G246" i="3" a="1"/>
  <c r="G246" i="3" s="1"/>
  <c r="F246" i="3" a="1"/>
  <c r="F246" i="3" s="1"/>
  <c r="E246" i="3" a="1"/>
  <c r="E246" i="3" s="1"/>
  <c r="D246" i="3" a="1"/>
  <c r="D246" i="3" s="1"/>
  <c r="S245" i="3" a="1"/>
  <c r="S245" i="3" s="1"/>
  <c r="R245" i="3" a="1"/>
  <c r="R245" i="3" s="1"/>
  <c r="Q245" i="3" a="1"/>
  <c r="Q245" i="3" s="1"/>
  <c r="P245" i="3" a="1"/>
  <c r="P245" i="3" s="1"/>
  <c r="O245" i="3" a="1"/>
  <c r="O245" i="3" s="1"/>
  <c r="N245" i="3" a="1"/>
  <c r="N245" i="3" s="1"/>
  <c r="M245" i="3" a="1"/>
  <c r="M245" i="3" s="1"/>
  <c r="L245" i="3" a="1"/>
  <c r="L245" i="3" s="1"/>
  <c r="K245" i="3" a="1"/>
  <c r="K245" i="3" s="1"/>
  <c r="J245" i="3" a="1"/>
  <c r="J245" i="3" s="1"/>
  <c r="I245" i="3" a="1"/>
  <c r="I245" i="3" s="1"/>
  <c r="H245" i="3" a="1"/>
  <c r="H245" i="3" s="1"/>
  <c r="G245" i="3" a="1"/>
  <c r="G245" i="3" s="1"/>
  <c r="F245" i="3" a="1"/>
  <c r="F245" i="3" s="1"/>
  <c r="E245" i="3" a="1"/>
  <c r="E245" i="3" s="1"/>
  <c r="D245" i="3" a="1"/>
  <c r="D245" i="3" s="1"/>
  <c r="S244" i="3" a="1"/>
  <c r="S244" i="3" s="1"/>
  <c r="R244" i="3" a="1"/>
  <c r="R244" i="3" s="1"/>
  <c r="Q244" i="3" a="1"/>
  <c r="Q244" i="3" s="1"/>
  <c r="P244" i="3" a="1"/>
  <c r="P244" i="3" s="1"/>
  <c r="O244" i="3" a="1"/>
  <c r="O244" i="3" s="1"/>
  <c r="N244" i="3" a="1"/>
  <c r="N244" i="3" s="1"/>
  <c r="M244" i="3" a="1"/>
  <c r="M244" i="3" s="1"/>
  <c r="L244" i="3" a="1"/>
  <c r="L244" i="3" s="1"/>
  <c r="K244" i="3" a="1"/>
  <c r="K244" i="3" s="1"/>
  <c r="J244" i="3" a="1"/>
  <c r="J244" i="3" s="1"/>
  <c r="I244" i="3" a="1"/>
  <c r="I244" i="3" s="1"/>
  <c r="H244" i="3" a="1"/>
  <c r="H244" i="3" s="1"/>
  <c r="G244" i="3" a="1"/>
  <c r="G244" i="3" s="1"/>
  <c r="F244" i="3" a="1"/>
  <c r="F244" i="3" s="1"/>
  <c r="E244" i="3" a="1"/>
  <c r="E244" i="3" s="1"/>
  <c r="D244" i="3" a="1"/>
  <c r="D244" i="3" s="1"/>
  <c r="S243" i="3" a="1"/>
  <c r="S243" i="3" s="1"/>
  <c r="R243" i="3" a="1"/>
  <c r="R243" i="3" s="1"/>
  <c r="Q243" i="3" a="1"/>
  <c r="Q243" i="3" s="1"/>
  <c r="P243" i="3" a="1"/>
  <c r="P243" i="3" s="1"/>
  <c r="O243" i="3" a="1"/>
  <c r="O243" i="3" s="1"/>
  <c r="N243" i="3" a="1"/>
  <c r="N243" i="3" s="1"/>
  <c r="M243" i="3" a="1"/>
  <c r="M243" i="3" s="1"/>
  <c r="L243" i="3" a="1"/>
  <c r="L243" i="3" s="1"/>
  <c r="K243" i="3" a="1"/>
  <c r="K243" i="3" s="1"/>
  <c r="J243" i="3" a="1"/>
  <c r="J243" i="3" s="1"/>
  <c r="I243" i="3" a="1"/>
  <c r="I243" i="3" s="1"/>
  <c r="H243" i="3" a="1"/>
  <c r="H243" i="3" s="1"/>
  <c r="G243" i="3" a="1"/>
  <c r="G243" i="3" s="1"/>
  <c r="F243" i="3" a="1"/>
  <c r="F243" i="3" s="1"/>
  <c r="E243" i="3" a="1"/>
  <c r="E243" i="3" s="1"/>
  <c r="D243" i="3" a="1"/>
  <c r="D243" i="3" s="1"/>
  <c r="S242" i="3" a="1"/>
  <c r="S242" i="3" s="1"/>
  <c r="R242" i="3" a="1"/>
  <c r="R242" i="3" s="1"/>
  <c r="Q242" i="3" a="1"/>
  <c r="Q242" i="3" s="1"/>
  <c r="P242" i="3" a="1"/>
  <c r="P242" i="3" s="1"/>
  <c r="O242" i="3" a="1"/>
  <c r="O242" i="3" s="1"/>
  <c r="N242" i="3" a="1"/>
  <c r="N242" i="3" s="1"/>
  <c r="M242" i="3" a="1"/>
  <c r="M242" i="3" s="1"/>
  <c r="L242" i="3" a="1"/>
  <c r="L242" i="3" s="1"/>
  <c r="K242" i="3" a="1"/>
  <c r="K242" i="3" s="1"/>
  <c r="J242" i="3" a="1"/>
  <c r="J242" i="3" s="1"/>
  <c r="I242" i="3" a="1"/>
  <c r="I242" i="3" s="1"/>
  <c r="H242" i="3" a="1"/>
  <c r="H242" i="3" s="1"/>
  <c r="G242" i="3" a="1"/>
  <c r="G242" i="3" s="1"/>
  <c r="F242" i="3" a="1"/>
  <c r="F242" i="3" s="1"/>
  <c r="E242" i="3" a="1"/>
  <c r="E242" i="3" s="1"/>
  <c r="D242" i="3" a="1"/>
  <c r="D242" i="3" s="1"/>
  <c r="S241" i="3" a="1"/>
  <c r="S241" i="3" s="1"/>
  <c r="R241" i="3" a="1"/>
  <c r="R241" i="3" s="1"/>
  <c r="Q241" i="3" a="1"/>
  <c r="Q241" i="3" s="1"/>
  <c r="P241" i="3" a="1"/>
  <c r="P241" i="3" s="1"/>
  <c r="O241" i="3" a="1"/>
  <c r="O241" i="3" s="1"/>
  <c r="N241" i="3" a="1"/>
  <c r="N241" i="3" s="1"/>
  <c r="M241" i="3" a="1"/>
  <c r="M241" i="3" s="1"/>
  <c r="L241" i="3" a="1"/>
  <c r="L241" i="3" s="1"/>
  <c r="K241" i="3" a="1"/>
  <c r="K241" i="3" s="1"/>
  <c r="J241" i="3" a="1"/>
  <c r="J241" i="3" s="1"/>
  <c r="I241" i="3" a="1"/>
  <c r="I241" i="3" s="1"/>
  <c r="H241" i="3" a="1"/>
  <c r="H241" i="3" s="1"/>
  <c r="G241" i="3" a="1"/>
  <c r="G241" i="3" s="1"/>
  <c r="F241" i="3" a="1"/>
  <c r="F241" i="3" s="1"/>
  <c r="E241" i="3" a="1"/>
  <c r="E241" i="3" s="1"/>
  <c r="D241" i="3" a="1"/>
  <c r="D241" i="3" s="1"/>
  <c r="S240" i="3" a="1"/>
  <c r="S240" i="3" s="1"/>
  <c r="R240" i="3" a="1"/>
  <c r="R240" i="3" s="1"/>
  <c r="Q240" i="3" a="1"/>
  <c r="Q240" i="3" s="1"/>
  <c r="P240" i="3" a="1"/>
  <c r="P240" i="3" s="1"/>
  <c r="O240" i="3" a="1"/>
  <c r="O240" i="3" s="1"/>
  <c r="N240" i="3" a="1"/>
  <c r="N240" i="3" s="1"/>
  <c r="M240" i="3" a="1"/>
  <c r="M240" i="3" s="1"/>
  <c r="L240" i="3" a="1"/>
  <c r="L240" i="3" s="1"/>
  <c r="K240" i="3" a="1"/>
  <c r="K240" i="3" s="1"/>
  <c r="J240" i="3" a="1"/>
  <c r="J240" i="3" s="1"/>
  <c r="I240" i="3" a="1"/>
  <c r="I240" i="3" s="1"/>
  <c r="H240" i="3" a="1"/>
  <c r="H240" i="3" s="1"/>
  <c r="G240" i="3" a="1"/>
  <c r="G240" i="3" s="1"/>
  <c r="F240" i="3" a="1"/>
  <c r="F240" i="3" s="1"/>
  <c r="E240" i="3" a="1"/>
  <c r="E240" i="3" s="1"/>
  <c r="D240" i="3" a="1"/>
  <c r="D240" i="3" s="1"/>
  <c r="S239" i="3" a="1"/>
  <c r="S239" i="3" s="1"/>
  <c r="R239" i="3" a="1"/>
  <c r="R239" i="3" s="1"/>
  <c r="Q239" i="3" a="1"/>
  <c r="Q239" i="3" s="1"/>
  <c r="P239" i="3" a="1"/>
  <c r="P239" i="3" s="1"/>
  <c r="O239" i="3" a="1"/>
  <c r="O239" i="3" s="1"/>
  <c r="N239" i="3" a="1"/>
  <c r="N239" i="3" s="1"/>
  <c r="M239" i="3" a="1"/>
  <c r="M239" i="3" s="1"/>
  <c r="L239" i="3" a="1"/>
  <c r="L239" i="3" s="1"/>
  <c r="K239" i="3" a="1"/>
  <c r="K239" i="3" s="1"/>
  <c r="J239" i="3" a="1"/>
  <c r="J239" i="3" s="1"/>
  <c r="I239" i="3" a="1"/>
  <c r="I239" i="3" s="1"/>
  <c r="H239" i="3" a="1"/>
  <c r="H239" i="3" s="1"/>
  <c r="G239" i="3" a="1"/>
  <c r="G239" i="3" s="1"/>
  <c r="F239" i="3" a="1"/>
  <c r="F239" i="3" s="1"/>
  <c r="E239" i="3" a="1"/>
  <c r="E239" i="3" s="1"/>
  <c r="D239" i="3" a="1"/>
  <c r="D239" i="3" s="1"/>
  <c r="S238" i="3" a="1"/>
  <c r="S238" i="3" s="1"/>
  <c r="R238" i="3" a="1"/>
  <c r="R238" i="3" s="1"/>
  <c r="Q238" i="3" a="1"/>
  <c r="Q238" i="3" s="1"/>
  <c r="P238" i="3" a="1"/>
  <c r="P238" i="3" s="1"/>
  <c r="O238" i="3" a="1"/>
  <c r="O238" i="3" s="1"/>
  <c r="N238" i="3" a="1"/>
  <c r="N238" i="3" s="1"/>
  <c r="M238" i="3" a="1"/>
  <c r="M238" i="3" s="1"/>
  <c r="L238" i="3" a="1"/>
  <c r="L238" i="3" s="1"/>
  <c r="K238" i="3" a="1"/>
  <c r="K238" i="3" s="1"/>
  <c r="J238" i="3" a="1"/>
  <c r="J238" i="3" s="1"/>
  <c r="I238" i="3" a="1"/>
  <c r="I238" i="3" s="1"/>
  <c r="H238" i="3" a="1"/>
  <c r="H238" i="3" s="1"/>
  <c r="G238" i="3" a="1"/>
  <c r="G238" i="3" s="1"/>
  <c r="F238" i="3" a="1"/>
  <c r="F238" i="3" s="1"/>
  <c r="E238" i="3" a="1"/>
  <c r="E238" i="3" s="1"/>
  <c r="D238" i="3" a="1"/>
  <c r="D238" i="3" s="1"/>
  <c r="S237" i="3" a="1"/>
  <c r="S237" i="3" s="1"/>
  <c r="R237" i="3" a="1"/>
  <c r="R237" i="3" s="1"/>
  <c r="Q237" i="3" a="1"/>
  <c r="Q237" i="3" s="1"/>
  <c r="P237" i="3" a="1"/>
  <c r="P237" i="3" s="1"/>
  <c r="O237" i="3" a="1"/>
  <c r="O237" i="3" s="1"/>
  <c r="N237" i="3" a="1"/>
  <c r="N237" i="3" s="1"/>
  <c r="M237" i="3" a="1"/>
  <c r="M237" i="3" s="1"/>
  <c r="L237" i="3" a="1"/>
  <c r="L237" i="3" s="1"/>
  <c r="K237" i="3" a="1"/>
  <c r="K237" i="3" s="1"/>
  <c r="J237" i="3" a="1"/>
  <c r="J237" i="3" s="1"/>
  <c r="I237" i="3" a="1"/>
  <c r="I237" i="3" s="1"/>
  <c r="H237" i="3" a="1"/>
  <c r="H237" i="3" s="1"/>
  <c r="G237" i="3" a="1"/>
  <c r="G237" i="3" s="1"/>
  <c r="F237" i="3" a="1"/>
  <c r="F237" i="3" s="1"/>
  <c r="E237" i="3" a="1"/>
  <c r="E237" i="3" s="1"/>
  <c r="D237" i="3" a="1"/>
  <c r="D237" i="3" s="1"/>
  <c r="S236" i="3" a="1"/>
  <c r="S236" i="3" s="1"/>
  <c r="R236" i="3" a="1"/>
  <c r="R236" i="3" s="1"/>
  <c r="Q236" i="3" a="1"/>
  <c r="Q236" i="3" s="1"/>
  <c r="P236" i="3" a="1"/>
  <c r="P236" i="3" s="1"/>
  <c r="O236" i="3" a="1"/>
  <c r="O236" i="3" s="1"/>
  <c r="N236" i="3" a="1"/>
  <c r="N236" i="3" s="1"/>
  <c r="M236" i="3" a="1"/>
  <c r="M236" i="3" s="1"/>
  <c r="L236" i="3" a="1"/>
  <c r="L236" i="3" s="1"/>
  <c r="K236" i="3" a="1"/>
  <c r="K236" i="3" s="1"/>
  <c r="J236" i="3" a="1"/>
  <c r="J236" i="3" s="1"/>
  <c r="I236" i="3" a="1"/>
  <c r="I236" i="3" s="1"/>
  <c r="H236" i="3" a="1"/>
  <c r="H236" i="3" s="1"/>
  <c r="G236" i="3" a="1"/>
  <c r="G236" i="3" s="1"/>
  <c r="F236" i="3" a="1"/>
  <c r="F236" i="3" s="1"/>
  <c r="E236" i="3" a="1"/>
  <c r="E236" i="3" s="1"/>
  <c r="D236" i="3" a="1"/>
  <c r="D236" i="3" s="1"/>
  <c r="S235" i="3" a="1"/>
  <c r="S235" i="3" s="1"/>
  <c r="R235" i="3" a="1"/>
  <c r="R235" i="3" s="1"/>
  <c r="Q235" i="3" a="1"/>
  <c r="Q235" i="3" s="1"/>
  <c r="P235" i="3" a="1"/>
  <c r="P235" i="3" s="1"/>
  <c r="O235" i="3" a="1"/>
  <c r="O235" i="3" s="1"/>
  <c r="N235" i="3" a="1"/>
  <c r="N235" i="3" s="1"/>
  <c r="M235" i="3" a="1"/>
  <c r="M235" i="3" s="1"/>
  <c r="L235" i="3" a="1"/>
  <c r="L235" i="3" s="1"/>
  <c r="K235" i="3" a="1"/>
  <c r="K235" i="3" s="1"/>
  <c r="J235" i="3" a="1"/>
  <c r="J235" i="3" s="1"/>
  <c r="I235" i="3" a="1"/>
  <c r="I235" i="3" s="1"/>
  <c r="H235" i="3" a="1"/>
  <c r="H235" i="3" s="1"/>
  <c r="G235" i="3" a="1"/>
  <c r="G235" i="3" s="1"/>
  <c r="F235" i="3" a="1"/>
  <c r="F235" i="3" s="1"/>
  <c r="E235" i="3" a="1"/>
  <c r="E235" i="3" s="1"/>
  <c r="D235" i="3" a="1"/>
  <c r="D235" i="3" s="1"/>
  <c r="S234" i="3" a="1"/>
  <c r="S234" i="3" s="1"/>
  <c r="R234" i="3" a="1"/>
  <c r="R234" i="3" s="1"/>
  <c r="Q234" i="3" a="1"/>
  <c r="Q234" i="3" s="1"/>
  <c r="P234" i="3" a="1"/>
  <c r="P234" i="3" s="1"/>
  <c r="O234" i="3" a="1"/>
  <c r="O234" i="3" s="1"/>
  <c r="N234" i="3" a="1"/>
  <c r="N234" i="3" s="1"/>
  <c r="M234" i="3" a="1"/>
  <c r="M234" i="3" s="1"/>
  <c r="L234" i="3" a="1"/>
  <c r="L234" i="3" s="1"/>
  <c r="K234" i="3" a="1"/>
  <c r="K234" i="3" s="1"/>
  <c r="J234" i="3" a="1"/>
  <c r="J234" i="3" s="1"/>
  <c r="I234" i="3" a="1"/>
  <c r="I234" i="3" s="1"/>
  <c r="H234" i="3" a="1"/>
  <c r="H234" i="3" s="1"/>
  <c r="G234" i="3" a="1"/>
  <c r="G234" i="3" s="1"/>
  <c r="F234" i="3" a="1"/>
  <c r="F234" i="3" s="1"/>
  <c r="E234" i="3" a="1"/>
  <c r="E234" i="3" s="1"/>
  <c r="D234" i="3" a="1"/>
  <c r="D234" i="3" s="1"/>
  <c r="S233" i="3" a="1"/>
  <c r="S233" i="3" s="1"/>
  <c r="R233" i="3" a="1"/>
  <c r="R233" i="3" s="1"/>
  <c r="Q233" i="3" a="1"/>
  <c r="Q233" i="3" s="1"/>
  <c r="P233" i="3" a="1"/>
  <c r="P233" i="3" s="1"/>
  <c r="O233" i="3" a="1"/>
  <c r="O233" i="3" s="1"/>
  <c r="N233" i="3" a="1"/>
  <c r="N233" i="3" s="1"/>
  <c r="M233" i="3" a="1"/>
  <c r="M233" i="3" s="1"/>
  <c r="L233" i="3" a="1"/>
  <c r="L233" i="3" s="1"/>
  <c r="K233" i="3" a="1"/>
  <c r="K233" i="3" s="1"/>
  <c r="J233" i="3" a="1"/>
  <c r="J233" i="3" s="1"/>
  <c r="I233" i="3" a="1"/>
  <c r="I233" i="3" s="1"/>
  <c r="H233" i="3" a="1"/>
  <c r="H233" i="3" s="1"/>
  <c r="G233" i="3" a="1"/>
  <c r="G233" i="3" s="1"/>
  <c r="F233" i="3" a="1"/>
  <c r="F233" i="3" s="1"/>
  <c r="E233" i="3" a="1"/>
  <c r="E233" i="3" s="1"/>
  <c r="D233" i="3" a="1"/>
  <c r="D233" i="3" s="1"/>
  <c r="S232" i="3" a="1"/>
  <c r="S232" i="3" s="1"/>
  <c r="R232" i="3" a="1"/>
  <c r="R232" i="3" s="1"/>
  <c r="Q232" i="3" a="1"/>
  <c r="Q232" i="3" s="1"/>
  <c r="P232" i="3" a="1"/>
  <c r="P232" i="3" s="1"/>
  <c r="O232" i="3" a="1"/>
  <c r="O232" i="3" s="1"/>
  <c r="N232" i="3" a="1"/>
  <c r="N232" i="3" s="1"/>
  <c r="M232" i="3" a="1"/>
  <c r="M232" i="3" s="1"/>
  <c r="L232" i="3" a="1"/>
  <c r="L232" i="3" s="1"/>
  <c r="K232" i="3" a="1"/>
  <c r="K232" i="3" s="1"/>
  <c r="J232" i="3" a="1"/>
  <c r="J232" i="3" s="1"/>
  <c r="I232" i="3" a="1"/>
  <c r="I232" i="3" s="1"/>
  <c r="H232" i="3" a="1"/>
  <c r="H232" i="3" s="1"/>
  <c r="G232" i="3" a="1"/>
  <c r="G232" i="3" s="1"/>
  <c r="F232" i="3" a="1"/>
  <c r="F232" i="3" s="1"/>
  <c r="E232" i="3" a="1"/>
  <c r="E232" i="3" s="1"/>
  <c r="D232" i="3" a="1"/>
  <c r="D232" i="3" s="1"/>
  <c r="D229" i="3" a="1"/>
  <c r="D229" i="3" s="1"/>
  <c r="D228" i="3" a="1"/>
  <c r="D228" i="3" s="1"/>
  <c r="D227" i="3" a="1"/>
  <c r="D227" i="3" s="1"/>
  <c r="E224" i="3" a="1"/>
  <c r="E224" i="3" s="1"/>
  <c r="D224" i="3" a="1"/>
  <c r="D224" i="3" s="1"/>
  <c r="E223" i="3" a="1"/>
  <c r="E223" i="3" s="1"/>
  <c r="D223" i="3" a="1"/>
  <c r="D223" i="3" s="1"/>
  <c r="E222" i="3" a="1"/>
  <c r="E222" i="3" s="1"/>
  <c r="D222" i="3" a="1"/>
  <c r="D222" i="3" s="1"/>
  <c r="E221" i="3" a="1"/>
  <c r="E221" i="3" s="1"/>
  <c r="D221" i="3" a="1"/>
  <c r="D221" i="3" s="1"/>
  <c r="E220" i="3" a="1"/>
  <c r="E220" i="3" s="1"/>
  <c r="D220" i="3" a="1"/>
  <c r="D220" i="3" s="1"/>
  <c r="E219" i="3" a="1"/>
  <c r="E219" i="3" s="1"/>
  <c r="D219" i="3" a="1"/>
  <c r="D219" i="3" s="1"/>
  <c r="E218" i="3" a="1"/>
  <c r="E218" i="3" s="1"/>
  <c r="D218" i="3" a="1"/>
  <c r="D218" i="3" s="1"/>
  <c r="E217" i="3" a="1"/>
  <c r="E217" i="3" s="1"/>
  <c r="D217" i="3" a="1"/>
  <c r="D217" i="3" s="1"/>
  <c r="E216" i="3" a="1"/>
  <c r="E216" i="3" s="1"/>
  <c r="D216" i="3" a="1"/>
  <c r="D216" i="3" s="1"/>
  <c r="E215" i="3" a="1"/>
  <c r="E215" i="3" s="1"/>
  <c r="D215" i="3" a="1"/>
  <c r="D215" i="3" s="1"/>
  <c r="E214" i="3" a="1"/>
  <c r="E214" i="3" s="1"/>
  <c r="D214" i="3" a="1"/>
  <c r="D214" i="3" s="1"/>
  <c r="E213" i="3" a="1"/>
  <c r="E213" i="3" s="1"/>
  <c r="D213" i="3" a="1"/>
  <c r="D213" i="3" s="1"/>
  <c r="D211" i="3" a="1"/>
  <c r="D211" i="3" s="1"/>
  <c r="E208" i="3" a="1"/>
  <c r="E208" i="3" s="1"/>
  <c r="D208" i="3" a="1"/>
  <c r="D208" i="3" s="1"/>
  <c r="E207" i="3" a="1"/>
  <c r="E207" i="3" s="1"/>
  <c r="D207" i="3" a="1"/>
  <c r="D207" i="3" s="1"/>
  <c r="D205" i="3" a="1"/>
  <c r="D205" i="3" s="1"/>
  <c r="D204" i="3" a="1"/>
  <c r="D204" i="3" s="1"/>
  <c r="D203" i="3" a="1"/>
  <c r="D203" i="3" s="1"/>
  <c r="D202" i="3" a="1"/>
  <c r="D202" i="3" s="1"/>
  <c r="H199" i="3" a="1"/>
  <c r="H199" i="3" s="1"/>
  <c r="G199" i="3" a="1"/>
  <c r="G199" i="3" s="1"/>
  <c r="F199" i="3" a="1"/>
  <c r="F199" i="3" s="1"/>
  <c r="E199" i="3" a="1"/>
  <c r="E199" i="3" s="1"/>
  <c r="D199" i="3" a="1"/>
  <c r="D199" i="3" s="1"/>
  <c r="H198" i="3" a="1"/>
  <c r="H198" i="3" s="1"/>
  <c r="G198" i="3" a="1"/>
  <c r="G198" i="3" s="1"/>
  <c r="F198" i="3" a="1"/>
  <c r="F198" i="3" s="1"/>
  <c r="E198" i="3" a="1"/>
  <c r="E198" i="3" s="1"/>
  <c r="D198" i="3" a="1"/>
  <c r="D198" i="3" s="1"/>
  <c r="H197" i="3" a="1"/>
  <c r="H197" i="3" s="1"/>
  <c r="G197" i="3" a="1"/>
  <c r="G197" i="3" s="1"/>
  <c r="F197" i="3" a="1"/>
  <c r="F197" i="3" s="1"/>
  <c r="E197" i="3" a="1"/>
  <c r="E197" i="3" s="1"/>
  <c r="D197" i="3" a="1"/>
  <c r="D197" i="3" s="1"/>
  <c r="H196" i="3" a="1"/>
  <c r="H196" i="3" s="1"/>
  <c r="G196" i="3" a="1"/>
  <c r="G196" i="3" s="1"/>
  <c r="F196" i="3" a="1"/>
  <c r="F196" i="3" s="1"/>
  <c r="E196" i="3" a="1"/>
  <c r="E196" i="3" s="1"/>
  <c r="D196" i="3" a="1"/>
  <c r="D196" i="3" s="1"/>
  <c r="H195" i="3" a="1"/>
  <c r="H195" i="3" s="1"/>
  <c r="G195" i="3" a="1"/>
  <c r="G195" i="3" s="1"/>
  <c r="F195" i="3" a="1"/>
  <c r="F195" i="3" s="1"/>
  <c r="E195" i="3" a="1"/>
  <c r="E195" i="3" s="1"/>
  <c r="D195" i="3" a="1"/>
  <c r="D195" i="3" s="1"/>
  <c r="H194" i="3" a="1"/>
  <c r="H194" i="3" s="1"/>
  <c r="G194" i="3" a="1"/>
  <c r="G194" i="3" s="1"/>
  <c r="F194" i="3" a="1"/>
  <c r="F194" i="3" s="1"/>
  <c r="E194" i="3" a="1"/>
  <c r="E194" i="3" s="1"/>
  <c r="D194" i="3" a="1"/>
  <c r="D194" i="3" s="1"/>
  <c r="H193" i="3" a="1"/>
  <c r="H193" i="3" s="1"/>
  <c r="G193" i="3" a="1"/>
  <c r="G193" i="3" s="1"/>
  <c r="F193" i="3" a="1"/>
  <c r="F193" i="3" s="1"/>
  <c r="E193" i="3" a="1"/>
  <c r="E193" i="3" s="1"/>
  <c r="D193" i="3" a="1"/>
  <c r="D193" i="3" s="1"/>
  <c r="H192" i="3" a="1"/>
  <c r="H192" i="3" s="1"/>
  <c r="G192" i="3" a="1"/>
  <c r="G192" i="3" s="1"/>
  <c r="F192" i="3" a="1"/>
  <c r="F192" i="3" s="1"/>
  <c r="E192" i="3" a="1"/>
  <c r="E192" i="3" s="1"/>
  <c r="D192" i="3" a="1"/>
  <c r="D192" i="3" s="1"/>
  <c r="H191" i="3" a="1"/>
  <c r="H191" i="3" s="1"/>
  <c r="G191" i="3" a="1"/>
  <c r="G191" i="3" s="1"/>
  <c r="F191" i="3" a="1"/>
  <c r="F191" i="3" s="1"/>
  <c r="E191" i="3" a="1"/>
  <c r="E191" i="3" s="1"/>
  <c r="D191" i="3" a="1"/>
  <c r="D191" i="3" s="1"/>
  <c r="H190" i="3" a="1"/>
  <c r="H190" i="3" s="1"/>
  <c r="G190" i="3" a="1"/>
  <c r="G190" i="3" s="1"/>
  <c r="F190" i="3" a="1"/>
  <c r="F190" i="3" s="1"/>
  <c r="E190" i="3" a="1"/>
  <c r="E190" i="3" s="1"/>
  <c r="D190" i="3" a="1"/>
  <c r="D190" i="3" s="1"/>
  <c r="H189" i="3" a="1"/>
  <c r="H189" i="3" s="1"/>
  <c r="G189" i="3" a="1"/>
  <c r="G189" i="3" s="1"/>
  <c r="F189" i="3" a="1"/>
  <c r="F189" i="3" s="1"/>
  <c r="E189" i="3" a="1"/>
  <c r="E189" i="3" s="1"/>
  <c r="D189" i="3" a="1"/>
  <c r="D189" i="3" s="1"/>
  <c r="H188" i="3" a="1"/>
  <c r="H188" i="3" s="1"/>
  <c r="G188" i="3" a="1"/>
  <c r="G188" i="3" s="1"/>
  <c r="F188" i="3" a="1"/>
  <c r="F188" i="3" s="1"/>
  <c r="E188" i="3" a="1"/>
  <c r="E188" i="3" s="1"/>
  <c r="D188" i="3" a="1"/>
  <c r="D188" i="3" s="1"/>
  <c r="H187" i="3" a="1"/>
  <c r="H187" i="3" s="1"/>
  <c r="G187" i="3" a="1"/>
  <c r="G187" i="3" s="1"/>
  <c r="F187" i="3" a="1"/>
  <c r="F187" i="3" s="1"/>
  <c r="E187" i="3" a="1"/>
  <c r="E187" i="3" s="1"/>
  <c r="D187" i="3" a="1"/>
  <c r="D187" i="3" s="1"/>
  <c r="D181" i="3" a="1"/>
  <c r="D181" i="3" s="1"/>
  <c r="D180" i="3" a="1"/>
  <c r="D180" i="3" s="1"/>
  <c r="D179" i="3" a="1"/>
  <c r="D179" i="3" s="1"/>
  <c r="D178" i="3" a="1"/>
  <c r="D178" i="3" s="1"/>
  <c r="E175" i="3" a="1"/>
  <c r="E175" i="3" s="1"/>
  <c r="D175" i="3" a="1"/>
  <c r="D175" i="3" s="1"/>
  <c r="D174" i="3" a="1"/>
  <c r="D174" i="3" s="1"/>
  <c r="D173" i="3" a="1"/>
  <c r="D173" i="3" s="1"/>
  <c r="D170" i="3" a="1"/>
  <c r="D170" i="3" s="1"/>
  <c r="D169" i="3" a="1"/>
  <c r="D169" i="3" s="1"/>
  <c r="D168" i="3" a="1"/>
  <c r="D168" i="3" s="1"/>
  <c r="D167" i="3" a="1"/>
  <c r="D167" i="3" s="1"/>
  <c r="D164" i="3" a="1"/>
  <c r="D164" i="3" s="1"/>
  <c r="D163" i="3" a="1"/>
  <c r="D163" i="3" s="1"/>
  <c r="D162" i="3" a="1"/>
  <c r="D162" i="3" s="1"/>
  <c r="D161" i="3" a="1"/>
  <c r="D161" i="3" s="1"/>
  <c r="E158" i="3" a="1"/>
  <c r="E158" i="3" s="1"/>
  <c r="D158" i="3" a="1"/>
  <c r="D158" i="3" s="1"/>
  <c r="E157" i="3" a="1"/>
  <c r="E157" i="3" s="1"/>
  <c r="D157" i="3" a="1"/>
  <c r="D157" i="3" s="1"/>
  <c r="E156" i="3" a="1"/>
  <c r="E156" i="3" s="1"/>
  <c r="D156" i="3" a="1"/>
  <c r="D156" i="3" s="1"/>
  <c r="E155" i="3" a="1"/>
  <c r="E155" i="3" s="1"/>
  <c r="D155" i="3" a="1"/>
  <c r="D155" i="3" s="1"/>
  <c r="E154" i="3" a="1"/>
  <c r="E154" i="3" s="1"/>
  <c r="D154" i="3" a="1"/>
  <c r="D154" i="3" s="1"/>
  <c r="D151" i="3" a="1"/>
  <c r="D151" i="3" s="1"/>
  <c r="D150" i="3" a="1"/>
  <c r="D150" i="3" s="1"/>
  <c r="E147" i="3" a="1"/>
  <c r="E147" i="3" s="1"/>
  <c r="D147" i="3" a="1"/>
  <c r="D147" i="3" s="1"/>
  <c r="E146" i="3" a="1"/>
  <c r="E146" i="3" s="1"/>
  <c r="D146" i="3" a="1"/>
  <c r="D146" i="3" s="1"/>
  <c r="E145" i="3" a="1"/>
  <c r="E145" i="3" s="1"/>
  <c r="D145" i="3" a="1"/>
  <c r="D145" i="3" s="1"/>
  <c r="E144" i="3" a="1"/>
  <c r="E144" i="3" s="1"/>
  <c r="D144" i="3" a="1"/>
  <c r="D144" i="3" s="1"/>
  <c r="E143" i="3" a="1"/>
  <c r="E143" i="3" s="1"/>
  <c r="D143" i="3" a="1"/>
  <c r="D143" i="3" s="1"/>
  <c r="D141" i="3" a="1"/>
  <c r="D141" i="3" s="1"/>
  <c r="D140" i="3" a="1"/>
  <c r="D140" i="3" s="1"/>
  <c r="D139" i="3" a="1"/>
  <c r="D139" i="3" s="1"/>
  <c r="E136" i="3" a="1"/>
  <c r="E136" i="3" s="1"/>
  <c r="D136" i="3" a="1"/>
  <c r="D136" i="3" s="1"/>
  <c r="E135" i="3" a="1"/>
  <c r="E135" i="3" s="1"/>
  <c r="D135" i="3" a="1"/>
  <c r="D135" i="3" s="1"/>
  <c r="D133" i="3" a="1"/>
  <c r="D133" i="3" s="1"/>
  <c r="D132" i="3" a="1"/>
  <c r="D132" i="3" s="1"/>
  <c r="E129" i="3" a="1"/>
  <c r="E129" i="3" s="1"/>
  <c r="D129" i="3" a="1"/>
  <c r="D129" i="3" s="1"/>
  <c r="E128" i="3" a="1"/>
  <c r="E128" i="3" s="1"/>
  <c r="D128" i="3" a="1"/>
  <c r="D128" i="3" s="1"/>
  <c r="D125" i="3" a="1"/>
  <c r="D125" i="3" s="1"/>
  <c r="D124" i="3" a="1"/>
  <c r="D124" i="3" s="1"/>
  <c r="G121" i="3" a="1"/>
  <c r="G121" i="3" s="1"/>
  <c r="F121" i="3" a="1"/>
  <c r="F121" i="3" s="1"/>
  <c r="E121" i="3" a="1"/>
  <c r="E121" i="3" s="1"/>
  <c r="D121" i="3" a="1"/>
  <c r="D121" i="3" s="1"/>
  <c r="G120" i="3" a="1"/>
  <c r="G120" i="3" s="1"/>
  <c r="F120" i="3" a="1"/>
  <c r="F120" i="3" s="1"/>
  <c r="E120" i="3" a="1"/>
  <c r="E120" i="3" s="1"/>
  <c r="D120" i="3" a="1"/>
  <c r="D120" i="3" s="1"/>
  <c r="D117" i="3" a="1"/>
  <c r="D117" i="3" s="1"/>
  <c r="D116" i="3" a="1"/>
  <c r="D116" i="3" s="1"/>
  <c r="D115" i="3" a="1"/>
  <c r="D115" i="3" s="1"/>
  <c r="G112" i="3" a="1"/>
  <c r="G112" i="3" s="1"/>
  <c r="F112" i="3" a="1"/>
  <c r="F112" i="3" s="1"/>
  <c r="E112" i="3" a="1"/>
  <c r="E112" i="3" s="1"/>
  <c r="D112" i="3" a="1"/>
  <c r="D112" i="3" s="1"/>
  <c r="G111" i="3" a="1"/>
  <c r="G111" i="3" s="1"/>
  <c r="F111" i="3" a="1"/>
  <c r="F111" i="3" s="1"/>
  <c r="E111" i="3" a="1"/>
  <c r="E111" i="3" s="1"/>
  <c r="D111" i="3" a="1"/>
  <c r="D111" i="3" s="1"/>
  <c r="G110" i="3" a="1"/>
  <c r="G110" i="3" s="1"/>
  <c r="F110" i="3" a="1"/>
  <c r="F110" i="3" s="1"/>
  <c r="E110" i="3" a="1"/>
  <c r="E110" i="3" s="1"/>
  <c r="D110" i="3" a="1"/>
  <c r="D110" i="3" s="1"/>
  <c r="D107" i="3" a="1"/>
  <c r="D107" i="3" s="1"/>
  <c r="D106" i="3" a="1"/>
  <c r="D106" i="3" s="1"/>
  <c r="D105" i="3" a="1"/>
  <c r="D105" i="3" s="1"/>
  <c r="D98" i="3" a="1"/>
  <c r="D98" i="3" s="1"/>
  <c r="S97" i="3" a="1"/>
  <c r="S97" i="3" s="1"/>
  <c r="R97" i="3" a="1"/>
  <c r="R97" i="3" s="1"/>
  <c r="Q97" i="3" a="1"/>
  <c r="Q97" i="3" s="1"/>
  <c r="P97" i="3" a="1"/>
  <c r="P97" i="3" s="1"/>
  <c r="O97" i="3" a="1"/>
  <c r="O97" i="3" s="1"/>
  <c r="N97" i="3" a="1"/>
  <c r="N97" i="3" s="1"/>
  <c r="M97" i="3" a="1"/>
  <c r="M97" i="3" s="1"/>
  <c r="L97" i="3" a="1"/>
  <c r="L97" i="3" s="1"/>
  <c r="K97" i="3" a="1"/>
  <c r="K97" i="3" s="1"/>
  <c r="J97" i="3" a="1"/>
  <c r="J97" i="3" s="1"/>
  <c r="I97" i="3" a="1"/>
  <c r="I97" i="3" s="1"/>
  <c r="H97" i="3" a="1"/>
  <c r="H97" i="3" s="1"/>
  <c r="G97" i="3" a="1"/>
  <c r="G97" i="3" s="1"/>
  <c r="F97" i="3" a="1"/>
  <c r="F97" i="3" s="1"/>
  <c r="E97" i="3" a="1"/>
  <c r="E97" i="3" s="1"/>
  <c r="D97" i="3" a="1"/>
  <c r="D97" i="3" s="1"/>
  <c r="S96" i="3" a="1"/>
  <c r="S96" i="3" s="1"/>
  <c r="R96" i="3" a="1"/>
  <c r="R96" i="3" s="1"/>
  <c r="Q96" i="3" a="1"/>
  <c r="Q96" i="3" s="1"/>
  <c r="P96" i="3" a="1"/>
  <c r="P96" i="3" s="1"/>
  <c r="O96" i="3" a="1"/>
  <c r="O96" i="3" s="1"/>
  <c r="N96" i="3" a="1"/>
  <c r="N96" i="3" s="1"/>
  <c r="M96" i="3" a="1"/>
  <c r="M96" i="3" s="1"/>
  <c r="L96" i="3" a="1"/>
  <c r="L96" i="3" s="1"/>
  <c r="K96" i="3" a="1"/>
  <c r="K96" i="3" s="1"/>
  <c r="J96" i="3" a="1"/>
  <c r="J96" i="3" s="1"/>
  <c r="I96" i="3" a="1"/>
  <c r="I96" i="3" s="1"/>
  <c r="H96" i="3" a="1"/>
  <c r="H96" i="3" s="1"/>
  <c r="G96" i="3" a="1"/>
  <c r="G96" i="3" s="1"/>
  <c r="F96" i="3" a="1"/>
  <c r="F96" i="3" s="1"/>
  <c r="E96" i="3" a="1"/>
  <c r="E96" i="3" s="1"/>
  <c r="D96" i="3" a="1"/>
  <c r="D96" i="3" s="1"/>
  <c r="S95" i="3" a="1"/>
  <c r="S95" i="3" s="1"/>
  <c r="R95" i="3" a="1"/>
  <c r="R95" i="3" s="1"/>
  <c r="Q95" i="3" a="1"/>
  <c r="Q95" i="3" s="1"/>
  <c r="P95" i="3" a="1"/>
  <c r="P95" i="3" s="1"/>
  <c r="O95" i="3" a="1"/>
  <c r="O95" i="3" s="1"/>
  <c r="N95" i="3" a="1"/>
  <c r="N95" i="3" s="1"/>
  <c r="M95" i="3" a="1"/>
  <c r="M95" i="3" s="1"/>
  <c r="L95" i="3" a="1"/>
  <c r="L95" i="3" s="1"/>
  <c r="K95" i="3" a="1"/>
  <c r="K95" i="3" s="1"/>
  <c r="J95" i="3" a="1"/>
  <c r="J95" i="3" s="1"/>
  <c r="I95" i="3" a="1"/>
  <c r="I95" i="3" s="1"/>
  <c r="H95" i="3" a="1"/>
  <c r="H95" i="3" s="1"/>
  <c r="G95" i="3" a="1"/>
  <c r="G95" i="3" s="1"/>
  <c r="F95" i="3" a="1"/>
  <c r="F95" i="3" s="1"/>
  <c r="E95" i="3" a="1"/>
  <c r="E95" i="3" s="1"/>
  <c r="D95" i="3" a="1"/>
  <c r="D95" i="3" s="1"/>
  <c r="S94" i="3" a="1"/>
  <c r="S94" i="3" s="1"/>
  <c r="R94" i="3" a="1"/>
  <c r="R94" i="3" s="1"/>
  <c r="Q94" i="3" a="1"/>
  <c r="Q94" i="3" s="1"/>
  <c r="P94" i="3" a="1"/>
  <c r="P94" i="3" s="1"/>
  <c r="O94" i="3" a="1"/>
  <c r="O94" i="3" s="1"/>
  <c r="N94" i="3" a="1"/>
  <c r="N94" i="3" s="1"/>
  <c r="M94" i="3" a="1"/>
  <c r="M94" i="3" s="1"/>
  <c r="L94" i="3" a="1"/>
  <c r="L94" i="3" s="1"/>
  <c r="K94" i="3" a="1"/>
  <c r="K94" i="3" s="1"/>
  <c r="J94" i="3" a="1"/>
  <c r="J94" i="3" s="1"/>
  <c r="I94" i="3" a="1"/>
  <c r="I94" i="3" s="1"/>
  <c r="H94" i="3" a="1"/>
  <c r="H94" i="3" s="1"/>
  <c r="G94" i="3" a="1"/>
  <c r="G94" i="3" s="1"/>
  <c r="F94" i="3" a="1"/>
  <c r="F94" i="3" s="1"/>
  <c r="E94" i="3" a="1"/>
  <c r="E94" i="3" s="1"/>
  <c r="D94" i="3" a="1"/>
  <c r="D94" i="3" s="1"/>
  <c r="S93" i="3" a="1"/>
  <c r="S93" i="3" s="1"/>
  <c r="R93" i="3" a="1"/>
  <c r="R93" i="3" s="1"/>
  <c r="Q93" i="3" a="1"/>
  <c r="Q93" i="3" s="1"/>
  <c r="P93" i="3" a="1"/>
  <c r="P93" i="3" s="1"/>
  <c r="O93" i="3" a="1"/>
  <c r="O93" i="3" s="1"/>
  <c r="N93" i="3" a="1"/>
  <c r="N93" i="3" s="1"/>
  <c r="M93" i="3" a="1"/>
  <c r="M93" i="3" s="1"/>
  <c r="L93" i="3" a="1"/>
  <c r="L93" i="3" s="1"/>
  <c r="K93" i="3" a="1"/>
  <c r="K93" i="3" s="1"/>
  <c r="J93" i="3" a="1"/>
  <c r="J93" i="3" s="1"/>
  <c r="I93" i="3" a="1"/>
  <c r="I93" i="3" s="1"/>
  <c r="H93" i="3" a="1"/>
  <c r="H93" i="3" s="1"/>
  <c r="G93" i="3" a="1"/>
  <c r="G93" i="3" s="1"/>
  <c r="F93" i="3" a="1"/>
  <c r="F93" i="3" s="1"/>
  <c r="E93" i="3" a="1"/>
  <c r="E93" i="3" s="1"/>
  <c r="D93" i="3" a="1"/>
  <c r="D93" i="3" s="1"/>
  <c r="S92" i="3" a="1"/>
  <c r="S92" i="3" s="1"/>
  <c r="R92" i="3" a="1"/>
  <c r="R92" i="3" s="1"/>
  <c r="Q92" i="3" a="1"/>
  <c r="Q92" i="3" s="1"/>
  <c r="P92" i="3" a="1"/>
  <c r="P92" i="3" s="1"/>
  <c r="O92" i="3" a="1"/>
  <c r="O92" i="3" s="1"/>
  <c r="N92" i="3" a="1"/>
  <c r="N92" i="3" s="1"/>
  <c r="M92" i="3" a="1"/>
  <c r="M92" i="3" s="1"/>
  <c r="L92" i="3" a="1"/>
  <c r="L92" i="3" s="1"/>
  <c r="K92" i="3" a="1"/>
  <c r="K92" i="3" s="1"/>
  <c r="J92" i="3" a="1"/>
  <c r="J92" i="3" s="1"/>
  <c r="I92" i="3" a="1"/>
  <c r="I92" i="3" s="1"/>
  <c r="H92" i="3" a="1"/>
  <c r="H92" i="3" s="1"/>
  <c r="G92" i="3" a="1"/>
  <c r="G92" i="3" s="1"/>
  <c r="F92" i="3" a="1"/>
  <c r="F92" i="3" s="1"/>
  <c r="E92" i="3" a="1"/>
  <c r="E92" i="3" s="1"/>
  <c r="D92" i="3" a="1"/>
  <c r="D92" i="3" s="1"/>
  <c r="S91" i="3" a="1"/>
  <c r="S91" i="3" s="1"/>
  <c r="R91" i="3" a="1"/>
  <c r="R91" i="3" s="1"/>
  <c r="Q91" i="3" a="1"/>
  <c r="Q91" i="3" s="1"/>
  <c r="P91" i="3" a="1"/>
  <c r="P91" i="3" s="1"/>
  <c r="O91" i="3" a="1"/>
  <c r="O91" i="3" s="1"/>
  <c r="N91" i="3" a="1"/>
  <c r="N91" i="3" s="1"/>
  <c r="M91" i="3" a="1"/>
  <c r="M91" i="3" s="1"/>
  <c r="L91" i="3" a="1"/>
  <c r="L91" i="3" s="1"/>
  <c r="K91" i="3" a="1"/>
  <c r="K91" i="3" s="1"/>
  <c r="J91" i="3" a="1"/>
  <c r="J91" i="3" s="1"/>
  <c r="I91" i="3" a="1"/>
  <c r="I91" i="3" s="1"/>
  <c r="H91" i="3" a="1"/>
  <c r="H91" i="3" s="1"/>
  <c r="G91" i="3" a="1"/>
  <c r="G91" i="3" s="1"/>
  <c r="F91" i="3" a="1"/>
  <c r="F91" i="3" s="1"/>
  <c r="E91" i="3" a="1"/>
  <c r="E91" i="3" s="1"/>
  <c r="D91" i="3" a="1"/>
  <c r="D91" i="3" s="1"/>
  <c r="S90" i="3" a="1"/>
  <c r="S90" i="3" s="1"/>
  <c r="R90" i="3" a="1"/>
  <c r="R90" i="3" s="1"/>
  <c r="Q90" i="3" a="1"/>
  <c r="Q90" i="3" s="1"/>
  <c r="P90" i="3" a="1"/>
  <c r="P90" i="3" s="1"/>
  <c r="O90" i="3" a="1"/>
  <c r="O90" i="3" s="1"/>
  <c r="N90" i="3" a="1"/>
  <c r="N90" i="3" s="1"/>
  <c r="M90" i="3" a="1"/>
  <c r="M90" i="3" s="1"/>
  <c r="L90" i="3" a="1"/>
  <c r="L90" i="3" s="1"/>
  <c r="K90" i="3" a="1"/>
  <c r="K90" i="3" s="1"/>
  <c r="J90" i="3" a="1"/>
  <c r="J90" i="3" s="1"/>
  <c r="I90" i="3" a="1"/>
  <c r="I90" i="3" s="1"/>
  <c r="H90" i="3" a="1"/>
  <c r="H90" i="3" s="1"/>
  <c r="G90" i="3" a="1"/>
  <c r="G90" i="3" s="1"/>
  <c r="F90" i="3" a="1"/>
  <c r="F90" i="3" s="1"/>
  <c r="E90" i="3" a="1"/>
  <c r="E90" i="3" s="1"/>
  <c r="D90" i="3" a="1"/>
  <c r="D90" i="3" s="1"/>
  <c r="D83" i="3" a="1"/>
  <c r="D83" i="3" s="1"/>
  <c r="D82" i="3" a="1"/>
  <c r="D82" i="3" s="1"/>
  <c r="D81" i="3" a="1"/>
  <c r="D81" i="3" s="1"/>
  <c r="E77" i="3" a="1"/>
  <c r="E77" i="3" s="1"/>
  <c r="D77" i="3" a="1"/>
  <c r="D77" i="3" s="1"/>
  <c r="E76" i="3" a="1"/>
  <c r="E76" i="3" s="1"/>
  <c r="D76" i="3" a="1"/>
  <c r="D76" i="3" s="1"/>
  <c r="E75" i="3" a="1"/>
  <c r="E75" i="3" s="1"/>
  <c r="D75" i="3" a="1"/>
  <c r="D75" i="3" s="1"/>
  <c r="E74" i="3" a="1"/>
  <c r="E74" i="3" s="1"/>
  <c r="D74" i="3" a="1"/>
  <c r="D74" i="3" s="1"/>
  <c r="E73" i="3" a="1"/>
  <c r="E73" i="3" s="1"/>
  <c r="D73" i="3" a="1"/>
  <c r="D73" i="3" s="1"/>
  <c r="E72" i="3" a="1"/>
  <c r="E72" i="3" s="1"/>
  <c r="D72" i="3" a="1"/>
  <c r="D72" i="3" s="1"/>
  <c r="E71" i="3" a="1"/>
  <c r="E71" i="3" s="1"/>
  <c r="D71" i="3" a="1"/>
  <c r="D71" i="3" s="1"/>
  <c r="E70" i="3" a="1"/>
  <c r="E70" i="3" s="1"/>
  <c r="D70" i="3" a="1"/>
  <c r="D70" i="3" s="1"/>
  <c r="E69" i="3" a="1"/>
  <c r="E69" i="3" s="1"/>
  <c r="D69" i="3" a="1"/>
  <c r="D69" i="3" s="1"/>
  <c r="E68" i="3" a="1"/>
  <c r="E68" i="3" s="1"/>
  <c r="D68" i="3" a="1"/>
  <c r="D68" i="3" s="1"/>
  <c r="E67" i="3" a="1"/>
  <c r="E67" i="3" s="1"/>
  <c r="D67" i="3" a="1"/>
  <c r="D67" i="3" s="1"/>
  <c r="E66" i="3" a="1"/>
  <c r="E66" i="3" s="1"/>
  <c r="D66" i="3" a="1"/>
  <c r="D66" i="3" s="1"/>
  <c r="E65" i="3" a="1"/>
  <c r="E65" i="3" s="1"/>
  <c r="D65" i="3" a="1"/>
  <c r="D65" i="3" s="1"/>
  <c r="E64" i="3" a="1"/>
  <c r="E64" i="3" s="1"/>
  <c r="D64" i="3" a="1"/>
  <c r="D64" i="3" s="1"/>
  <c r="D59" i="3" a="1"/>
  <c r="D59" i="3" s="1"/>
  <c r="D58" i="3" a="1"/>
  <c r="D58" i="3" s="1"/>
  <c r="D57" i="3" a="1"/>
  <c r="D57" i="3" s="1"/>
  <c r="G54" i="3" a="1"/>
  <c r="G54" i="3" s="1"/>
  <c r="F54" i="3" a="1"/>
  <c r="F54" i="3" s="1"/>
  <c r="E54" i="3" a="1"/>
  <c r="E54" i="3" s="1"/>
  <c r="D54" i="3" a="1"/>
  <c r="D54" i="3" s="1"/>
  <c r="G53" i="3" a="1"/>
  <c r="G53" i="3" s="1"/>
  <c r="F53" i="3" a="1"/>
  <c r="F53" i="3" s="1"/>
  <c r="E53" i="3" a="1"/>
  <c r="E53" i="3" s="1"/>
  <c r="D53" i="3" a="1"/>
  <c r="D53" i="3" s="1"/>
  <c r="G52" i="3" a="1"/>
  <c r="G52" i="3" s="1"/>
  <c r="F52" i="3" a="1"/>
  <c r="F52" i="3" s="1"/>
  <c r="E52" i="3" a="1"/>
  <c r="E52" i="3" s="1"/>
  <c r="D52" i="3" a="1"/>
  <c r="D52" i="3" s="1"/>
  <c r="G51" i="3" a="1"/>
  <c r="G51" i="3" s="1"/>
  <c r="F51" i="3" a="1"/>
  <c r="F51" i="3" s="1"/>
  <c r="E51" i="3" a="1"/>
  <c r="E51" i="3" s="1"/>
  <c r="D51" i="3" a="1"/>
  <c r="D51" i="3" s="1"/>
  <c r="G50" i="3" a="1"/>
  <c r="G50" i="3" s="1"/>
  <c r="F50" i="3" a="1"/>
  <c r="F50" i="3" s="1"/>
  <c r="E50" i="3" a="1"/>
  <c r="E50" i="3" s="1"/>
  <c r="D50" i="3" a="1"/>
  <c r="D50" i="3" s="1"/>
  <c r="G49" i="3" a="1"/>
  <c r="G49" i="3" s="1"/>
  <c r="F49" i="3" a="1"/>
  <c r="F49" i="3" s="1"/>
  <c r="E49" i="3" a="1"/>
  <c r="E49" i="3" s="1"/>
  <c r="D49" i="3" a="1"/>
  <c r="D49" i="3" s="1"/>
  <c r="G48" i="3" a="1"/>
  <c r="G48" i="3" s="1"/>
  <c r="F48" i="3" a="1"/>
  <c r="F48" i="3" s="1"/>
  <c r="E48" i="3" a="1"/>
  <c r="E48" i="3" s="1"/>
  <c r="D48" i="3" a="1"/>
  <c r="D48" i="3" s="1"/>
  <c r="D46" i="3" a="1"/>
  <c r="D46" i="3" s="1"/>
  <c r="D45" i="3" a="1"/>
  <c r="D45" i="3" s="1"/>
  <c r="E43" i="3" a="1"/>
  <c r="E43" i="3" s="1"/>
  <c r="D43" i="3" a="1"/>
  <c r="D43" i="3" s="1"/>
  <c r="E42" i="3" a="1"/>
  <c r="E42" i="3" s="1"/>
  <c r="D42" i="3" a="1"/>
  <c r="D42" i="3" s="1"/>
  <c r="E41" i="3" a="1"/>
  <c r="E41" i="3" s="1"/>
  <c r="D41" i="3" a="1"/>
  <c r="D41" i="3" s="1"/>
  <c r="E40" i="3" a="1"/>
  <c r="E40" i="3" s="1"/>
  <c r="D40" i="3" a="1"/>
  <c r="D40" i="3" s="1"/>
  <c r="E39" i="3" a="1"/>
  <c r="E39" i="3" s="1"/>
  <c r="D39" i="3" a="1"/>
  <c r="D39" i="3" s="1"/>
  <c r="E38" i="3" a="1"/>
  <c r="E38" i="3" s="1"/>
  <c r="D38" i="3" a="1"/>
  <c r="D38" i="3" s="1"/>
  <c r="E37" i="3" a="1"/>
  <c r="E37" i="3" s="1"/>
  <c r="D37" i="3" a="1"/>
  <c r="D37" i="3" s="1"/>
  <c r="D35" i="3" a="1"/>
  <c r="D35" i="3" s="1"/>
  <c r="D34" i="3" a="1"/>
  <c r="D34" i="3" s="1"/>
  <c r="D30" i="3" a="1"/>
  <c r="D30" i="3" s="1"/>
  <c r="D29" i="3" a="1"/>
  <c r="D29" i="3" s="1"/>
  <c r="D28" i="3" a="1"/>
  <c r="D28" i="3" s="1"/>
  <c r="D27" i="3" a="1"/>
  <c r="D27" i="3" s="1"/>
  <c r="D26" i="3" a="1"/>
  <c r="D26" i="3" s="1"/>
  <c r="D25" i="3" a="1"/>
  <c r="D25" i="3" s="1"/>
  <c r="D24" i="3" a="1"/>
  <c r="D24" i="3" s="1"/>
  <c r="D23" i="3" a="1"/>
  <c r="D23" i="3" s="1"/>
  <c r="D22" i="3" a="1"/>
  <c r="D22" i="3" s="1"/>
  <c r="D21" i="3" a="1"/>
  <c r="D21" i="3" s="1"/>
  <c r="D19" i="3" a="1"/>
  <c r="D19" i="3" s="1"/>
  <c r="D18" i="3" a="1"/>
  <c r="D18" i="3" s="1"/>
  <c r="F14" i="3" a="1"/>
  <c r="F14" i="3" s="1"/>
  <c r="E14" i="3" a="1"/>
  <c r="E14" i="3" s="1"/>
  <c r="D14" i="3" a="1"/>
  <c r="D14" i="3" s="1"/>
  <c r="F13" i="3" a="1"/>
  <c r="F13" i="3" s="1"/>
  <c r="E13" i="3" a="1"/>
  <c r="E13" i="3" s="1"/>
  <c r="D13" i="3" a="1"/>
  <c r="D13" i="3" s="1"/>
  <c r="F12" i="3" a="1"/>
  <c r="F12" i="3" s="1"/>
  <c r="E12" i="3" a="1"/>
  <c r="E12" i="3" s="1"/>
  <c r="D12" i="3" a="1"/>
  <c r="D12" i="3" s="1"/>
  <c r="F11" i="3" a="1"/>
  <c r="F11" i="3" s="1"/>
  <c r="E11" i="3" a="1"/>
  <c r="E11" i="3" s="1"/>
  <c r="D11" i="3" a="1"/>
  <c r="D11" i="3" s="1"/>
  <c r="F10" i="3" a="1"/>
  <c r="F10" i="3" s="1"/>
  <c r="E10" i="3" a="1"/>
  <c r="E10" i="3" s="1"/>
  <c r="D10" i="3" a="1"/>
  <c r="D10" i="3" s="1"/>
  <c r="F9" i="3" a="1"/>
  <c r="F9" i="3" s="1"/>
  <c r="E9" i="3" a="1"/>
  <c r="E9" i="3" s="1"/>
  <c r="D9" i="3" a="1"/>
  <c r="D9" i="3" s="1"/>
  <c r="F8" i="3" a="1"/>
  <c r="F8" i="3" s="1"/>
  <c r="E8" i="3" a="1"/>
  <c r="E8" i="3" s="1"/>
  <c r="D8" i="3" a="1"/>
  <c r="D8" i="3" s="1"/>
  <c r="F7" i="3" a="1"/>
  <c r="F7" i="3" s="1"/>
  <c r="E7" i="3" a="1"/>
  <c r="E7" i="3" s="1"/>
  <c r="D7" i="3" a="1"/>
  <c r="D7" i="3" s="1"/>
  <c r="D5" i="3" a="1"/>
  <c r="D5" i="3" s="1"/>
  <c r="E248" i="19" l="1"/>
  <c r="E251" i="19"/>
  <c r="D8" i="22"/>
  <c r="G8" i="23"/>
  <c r="D9" i="22"/>
  <c r="G9" i="23"/>
  <c r="E19" i="1"/>
  <c r="E14" i="1"/>
  <c r="E7" i="1"/>
  <c r="E18" i="1"/>
  <c r="E6" i="1"/>
  <c r="H54" i="3"/>
  <c r="H52" i="3"/>
  <c r="H48" i="3"/>
  <c r="H50" i="3"/>
  <c r="H53" i="3"/>
  <c r="H51" i="3"/>
  <c r="H49" i="3"/>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<sst xmlns="http://schemas.openxmlformats.org/spreadsheetml/2006/main" count="1832" uniqueCount="751">
  <si>
    <t>Constants - Common</t>
  </si>
  <si>
    <t>State/Territory</t>
  </si>
  <si>
    <t>Common Name</t>
  </si>
  <si>
    <t>Abbreviation</t>
  </si>
  <si>
    <t>SA 4 Name</t>
  </si>
  <si>
    <t>Gas</t>
  </si>
  <si>
    <t>CO2-e factor</t>
  </si>
  <si>
    <t>Conversion factor</t>
  </si>
  <si>
    <t>Conversion factor 1</t>
  </si>
  <si>
    <t>Conversion factor 2</t>
  </si>
  <si>
    <t>Conversion factor combined</t>
  </si>
  <si>
    <t>Climate zone</t>
  </si>
  <si>
    <t>Wet or Dry Zone</t>
  </si>
  <si>
    <t>MAT</t>
  </si>
  <si>
    <t>MAP</t>
  </si>
  <si>
    <t>Frost days per year</t>
  </si>
  <si>
    <t>Elevation</t>
  </si>
  <si>
    <t>MAP:PET</t>
  </si>
  <si>
    <t>Min temp</t>
  </si>
  <si>
    <t>Max temp</t>
  </si>
  <si>
    <t>Min rainfall</t>
  </si>
  <si>
    <t>Max rainfall</t>
  </si>
  <si>
    <t>Min frost days</t>
  </si>
  <si>
    <t>Max frost days</t>
  </si>
  <si>
    <t>Min elevation</t>
  </si>
  <si>
    <t>Max elevation</t>
  </si>
  <si>
    <t>Min MAP:PET</t>
  </si>
  <si>
    <t>Max MAP:PET</t>
  </si>
  <si>
    <t>Temperature Zone</t>
  </si>
  <si>
    <t>Min MAT</t>
  </si>
  <si>
    <t>Max MAT</t>
  </si>
  <si>
    <t>Rainfall Zone</t>
  </si>
  <si>
    <t>Annual rainfall</t>
  </si>
  <si>
    <t>Leaching Zone</t>
  </si>
  <si>
    <t>Leaching criteria</t>
  </si>
  <si>
    <t>Is in leaching zone</t>
  </si>
  <si>
    <t>FracWET</t>
  </si>
  <si>
    <t>Irrigation type i</t>
  </si>
  <si>
    <t>Data source</t>
  </si>
  <si>
    <t>Data score</t>
  </si>
  <si>
    <t>Production system j</t>
  </si>
  <si>
    <t>EFN2O</t>
  </si>
  <si>
    <t>Production system only</t>
  </si>
  <si>
    <t>Irrigation method</t>
  </si>
  <si>
    <t>Rainfall zone</t>
  </si>
  <si>
    <t>EFPRP</t>
  </si>
  <si>
    <t>Month</t>
  </si>
  <si>
    <t>Season</t>
  </si>
  <si>
    <t>Temperature zone</t>
  </si>
  <si>
    <t>MAT (ºC)</t>
  </si>
  <si>
    <t>Anaerobic lagoon</t>
  </si>
  <si>
    <t>Digester / covered lagoons</t>
  </si>
  <si>
    <t>Liquid systems</t>
  </si>
  <si>
    <t>Daily spread</t>
  </si>
  <si>
    <t>Composting (passive windrow)</t>
  </si>
  <si>
    <t>Solid storage</t>
  </si>
  <si>
    <t>Pit storage</t>
  </si>
  <si>
    <t>Deep litter</t>
  </si>
  <si>
    <t>Poultry manure with bedding</t>
  </si>
  <si>
    <t>Poultry manure without bedding</t>
  </si>
  <si>
    <t>Direct processing</t>
  </si>
  <si>
    <t>Direct application</t>
  </si>
  <si>
    <t>Pasture range and paddock</t>
  </si>
  <si>
    <t>MAT raw</t>
  </si>
  <si>
    <t>Climate Zone</t>
  </si>
  <si>
    <t>EFNi &amp; EFN2Oi</t>
  </si>
  <si>
    <t>Constants - Fuel</t>
  </si>
  <si>
    <t>INPUTS</t>
  </si>
  <si>
    <t>Transport type</t>
  </si>
  <si>
    <t>Fuel combusted</t>
  </si>
  <si>
    <t>Energy Content Factor (GJ per unit of fuel)</t>
  </si>
  <si>
    <t>Fuel unit</t>
  </si>
  <si>
    <t>Scope 1 Emission Factor (kg CO2 - e / GJ) CO2</t>
  </si>
  <si>
    <t>Scope 1 Emission Factor (kg CO2 - e / GJ) CH4</t>
  </si>
  <si>
    <t>Scope 1 Emission Factor (kg CO2 - e / GJ) N2O</t>
  </si>
  <si>
    <t>Scope 1 Emission Factor (kg CO2 - e / GJ) Combined gases</t>
  </si>
  <si>
    <t>Scope 3 Emission Factor (kg CO2 - e / GJ)</t>
  </si>
  <si>
    <t>CALCULATIONS</t>
  </si>
  <si>
    <t>APPENDICES</t>
  </si>
  <si>
    <t>Transport type t</t>
  </si>
  <si>
    <t>Fuel type q</t>
  </si>
  <si>
    <t>ECTrans,q (GJ/kL)</t>
  </si>
  <si>
    <t>Scope 1 CO2 EFTran,1,tqg (kg CO2-e/GJ)</t>
  </si>
  <si>
    <t>Scope 1 CH4 EFTran,1,tgg (kg CO2-e/GJ)</t>
  </si>
  <si>
    <t>Scope 1 N2O EFTran,1,tgg (kg CO2-e/GJ)</t>
  </si>
  <si>
    <t>Scope 3 EFTrans,3,q (kg CO2-e/GJ)</t>
  </si>
  <si>
    <t>State or territory</t>
  </si>
  <si>
    <t>Appendices</t>
  </si>
  <si>
    <t>Generators</t>
  </si>
  <si>
    <t>Power standalone machinery or heating</t>
  </si>
  <si>
    <t>Aviation</t>
  </si>
  <si>
    <t>Cars and light commercial vehicles</t>
  </si>
  <si>
    <t>Off-road Agriculture and forestry equipment</t>
  </si>
  <si>
    <t>Vessels</t>
  </si>
  <si>
    <t>General use</t>
  </si>
  <si>
    <t>Fuel oil</t>
  </si>
  <si>
    <t>Fuel type</t>
  </si>
  <si>
    <t>Unit</t>
  </si>
  <si>
    <t>Petrol</t>
  </si>
  <si>
    <t>kL</t>
  </si>
  <si>
    <t>Diesel</t>
  </si>
  <si>
    <t>Liquefied petroleum gas (LPG)</t>
  </si>
  <si>
    <t>Biodiesel</t>
  </si>
  <si>
    <t>Ethanol</t>
  </si>
  <si>
    <t>Other biofuels</t>
  </si>
  <si>
    <t>Renewable diesel</t>
  </si>
  <si>
    <t>Avgas</t>
  </si>
  <si>
    <t>Jet A1, Jet B</t>
  </si>
  <si>
    <t>Renewable aviation kerosene</t>
  </si>
  <si>
    <t>Liquified natural gas (LNG)</t>
  </si>
  <si>
    <t>Diesel - Euro iv or higher</t>
  </si>
  <si>
    <t>Diesel - Euro iii</t>
  </si>
  <si>
    <t>Diesel - Euro i</t>
  </si>
  <si>
    <t>Renewable diesel – Euro iv or higher</t>
  </si>
  <si>
    <t>Renewable diesel – Euro iii</t>
  </si>
  <si>
    <t>Renewable diesel – Euro i</t>
  </si>
  <si>
    <t>Natural gas (via pipeline) in GJ</t>
  </si>
  <si>
    <t>GJ</t>
  </si>
  <si>
    <t>Town gas in GJ</t>
  </si>
  <si>
    <t>Input - Fuel</t>
  </si>
  <si>
    <t>Fuel purchases and consumption</t>
  </si>
  <si>
    <t>💡 You can add more rows to the table by right-clicking on the table and selecting "Insert &gt; Table rows above/below"</t>
  </si>
  <si>
    <t>💡 'Percent consumed" is 100% by default. If you purchased more fuel than was consumed you can edit this field.</t>
  </si>
  <si>
    <t>Fuel use (select)</t>
  </si>
  <si>
    <t>Fuel type (select)</t>
  </si>
  <si>
    <t>Amount purchased</t>
  </si>
  <si>
    <t>Amount unit</t>
  </si>
  <si>
    <t>Percent consumed</t>
  </si>
  <si>
    <t>Amount consumed</t>
  </si>
  <si>
    <t>Table_E_g</t>
  </si>
  <si>
    <t>Emissions for transport fuel combustion</t>
  </si>
  <si>
    <t>Fuel use</t>
  </si>
  <si>
    <t>Fuel type (NGAF terminology)</t>
  </si>
  <si>
    <t>Fuel type (q)</t>
  </si>
  <si>
    <t>Q</t>
  </si>
  <si>
    <t>Constants - Fertiliser</t>
  </si>
  <si>
    <t>Fertiliser type f</t>
  </si>
  <si>
    <t>FNinorganic f</t>
  </si>
  <si>
    <t>FU f</t>
  </si>
  <si>
    <t>Basis</t>
  </si>
  <si>
    <t>Lifecycles Scope 3 definition</t>
  </si>
  <si>
    <t>Source</t>
  </si>
  <si>
    <t>Production systems</t>
  </si>
  <si>
    <t>Crop types</t>
  </si>
  <si>
    <t>Irrigation methods</t>
  </si>
  <si>
    <t>Organic fertiliser types</t>
  </si>
  <si>
    <t>Production system</t>
  </si>
  <si>
    <t>Organic fertiliser type</t>
  </si>
  <si>
    <t>Pasture</t>
  </si>
  <si>
    <t>Not irrigated</t>
  </si>
  <si>
    <t>Manure - Cattle</t>
  </si>
  <si>
    <t>Crop</t>
  </si>
  <si>
    <t>Grains</t>
  </si>
  <si>
    <t>Drip irrigation</t>
  </si>
  <si>
    <t>Manure - Poultry</t>
  </si>
  <si>
    <t>Maize</t>
  </si>
  <si>
    <t>Sprinkler irrigation</t>
  </si>
  <si>
    <t>Manure - Swine</t>
  </si>
  <si>
    <t>Cotton</t>
  </si>
  <si>
    <t>Surface irrigation</t>
  </si>
  <si>
    <t>Manure - Other</t>
  </si>
  <si>
    <t>Other irrigation</t>
  </si>
  <si>
    <t>Other organic fertiliser</t>
  </si>
  <si>
    <t>FracGASF f</t>
  </si>
  <si>
    <t>Element</t>
  </si>
  <si>
    <t>P</t>
  </si>
  <si>
    <t>EF</t>
  </si>
  <si>
    <t>Fertiliser products</t>
  </si>
  <si>
    <t>Include or Exclude</t>
  </si>
  <si>
    <t>Notes</t>
  </si>
  <si>
    <t>Company</t>
  </si>
  <si>
    <t>Product name</t>
  </si>
  <si>
    <t>Density / gravity</t>
  </si>
  <si>
    <t>Urea source</t>
  </si>
  <si>
    <t>Ammonia source</t>
  </si>
  <si>
    <t>Ingredient 1</t>
  </si>
  <si>
    <t>Ingredient 1 percent</t>
  </si>
  <si>
    <t>Ingredient 2</t>
  </si>
  <si>
    <t>Ingredient 2 percent</t>
  </si>
  <si>
    <t>Ingredient 3</t>
  </si>
  <si>
    <t>Ingredient 3 percent</t>
  </si>
  <si>
    <t>Ingredient 4</t>
  </si>
  <si>
    <t>Ingredient 4 percent</t>
  </si>
  <si>
    <t>Ingredient 5</t>
  </si>
  <si>
    <t>Ingredient 5 percent</t>
  </si>
  <si>
    <t>Ingredient 6</t>
  </si>
  <si>
    <t>Ingredient 6 percent</t>
  </si>
  <si>
    <t>Ingredient 7</t>
  </si>
  <si>
    <t>Ingredient 7 percent</t>
  </si>
  <si>
    <t>Ingredient 8</t>
  </si>
  <si>
    <t>Ingredient 8 percent</t>
  </si>
  <si>
    <t>Ingredient 9</t>
  </si>
  <si>
    <t>Ingredient 9 percent</t>
  </si>
  <si>
    <t>Imngredient 10</t>
  </si>
  <si>
    <t>Ingredient 10 percent</t>
  </si>
  <si>
    <t>Input - Fertiliser</t>
  </si>
  <si>
    <r>
      <rPr>
        <sz val="12"/>
        <color theme="1" tint="0.34998626667073579"/>
        <rFont val="Times New Roman"/>
        <family val="1"/>
      </rPr>
      <t xml:space="preserve">← </t>
    </r>
    <r>
      <rPr>
        <i/>
        <sz val="12"/>
        <color theme="1" tint="0.34998626667073579"/>
        <rFont val="Times New Roman"/>
        <family val="1"/>
      </rPr>
      <t>Please select</t>
    </r>
  </si>
  <si>
    <t>Crop type</t>
  </si>
  <si>
    <t>Area under cropping</t>
  </si>
  <si>
    <t>hectares</t>
  </si>
  <si>
    <t>Inorganic fertiliser applied</t>
  </si>
  <si>
    <t>💡You can add more rows to tables by right-clicking on the table and selecting "Insert &gt; Table rows above/below".</t>
  </si>
  <si>
    <t>💡The application area is the same as the area under pasture / cropping by default. You can edit it if the application area is different.</t>
  </si>
  <si>
    <t>Branded fertiliser products</t>
  </si>
  <si>
    <t>Product (select)</t>
  </si>
  <si>
    <r>
      <t xml:space="preserve">Amount applied </t>
    </r>
    <r>
      <rPr>
        <sz val="11"/>
        <color theme="1"/>
        <rFont val="Times New Roman"/>
        <family val="1"/>
      </rPr>
      <t>(kg / ha)</t>
    </r>
  </si>
  <si>
    <t>Application area (ha)</t>
  </si>
  <si>
    <t>Total applied (kg)</t>
  </si>
  <si>
    <t>N application rate (kg/ha)</t>
  </si>
  <si>
    <t>CoRoN 12-0-10</t>
  </si>
  <si>
    <t>Custom fertiliser blends</t>
  </si>
  <si>
    <t>Custom blend name</t>
  </si>
  <si>
    <t>Ingredient 1 (select)</t>
  </si>
  <si>
    <t>My first custom blend</t>
  </si>
  <si>
    <t>Urea</t>
  </si>
  <si>
    <t>Potassium - Generic</t>
  </si>
  <si>
    <t>Sulfur - Generic</t>
  </si>
  <si>
    <t>💡 You can add more rows to the table by right-clicking on the table and selecting "Insert &gt; Table rows above/below".</t>
  </si>
  <si>
    <t>💡 'Lime' refers to calcium carbonate - CaCO3. 'Dolomite' refers to calcium magnesium carbonate - CaMg(CO3)2</t>
  </si>
  <si>
    <t>Product</t>
  </si>
  <si>
    <t>Amount applied (t/hectare)</t>
  </si>
  <si>
    <t>Total amount applied (t)</t>
  </si>
  <si>
    <r>
      <t>Percent Lime CaCO</t>
    </r>
    <r>
      <rPr>
        <b/>
        <vertAlign val="subscript"/>
        <sz val="11"/>
        <color rgb="FF533001"/>
        <rFont val="Times New Roman"/>
        <family val="1"/>
      </rPr>
      <t>3</t>
    </r>
  </si>
  <si>
    <r>
      <t>Percent Dolomite CaMg(CO</t>
    </r>
    <r>
      <rPr>
        <b/>
        <vertAlign val="subscript"/>
        <sz val="11"/>
        <color rgb="FF533001"/>
        <rFont val="Times New Roman"/>
        <family val="1"/>
      </rPr>
      <t>3</t>
    </r>
    <r>
      <rPr>
        <b/>
        <sz val="11"/>
        <color rgb="FF533001"/>
        <rFont val="Times New Roman"/>
        <family val="1"/>
      </rPr>
      <t>)</t>
    </r>
    <r>
      <rPr>
        <b/>
        <vertAlign val="subscript"/>
        <sz val="11"/>
        <color rgb="FF533001"/>
        <rFont val="Times New Roman"/>
        <family val="1"/>
      </rPr>
      <t>2</t>
    </r>
  </si>
  <si>
    <t>Percent Gypsum</t>
  </si>
  <si>
    <t>Total</t>
  </si>
  <si>
    <t>Lime product 1</t>
  </si>
  <si>
    <t>Lime product 2</t>
  </si>
  <si>
    <t>Organic fertiliser applied</t>
  </si>
  <si>
    <t>Organic fertiliser type (select)</t>
  </si>
  <si>
    <t>Percentage of N in fertiliser</t>
  </si>
  <si>
    <t>Amount applied (kg/hectare)</t>
  </si>
  <si>
    <t>Amount N applied (kg/hectare)</t>
  </si>
  <si>
    <t>Total organic fertliser applied</t>
  </si>
  <si>
    <t>Total nitrogen applied (kg)</t>
  </si>
  <si>
    <r>
      <t>TM</t>
    </r>
    <r>
      <rPr>
        <b/>
        <vertAlign val="subscript"/>
        <sz val="11"/>
        <color rgb="FF533001"/>
        <rFont val="Times New Roman"/>
        <family val="1"/>
      </rPr>
      <t>jf</t>
    </r>
  </si>
  <si>
    <t>Constants - Electricity</t>
  </si>
  <si>
    <t>State, Territory or grid description</t>
  </si>
  <si>
    <t>Scope 2 Emission Factors (kg CO2-e/kWh)</t>
  </si>
  <si>
    <t>Scope 3 Emission Factors (kg CO2-e/kWh)</t>
  </si>
  <si>
    <t>Scope 2 EF (kg CO2-e/kWh)</t>
  </si>
  <si>
    <t>Scope 2 EF (kg CO2-e/GJ)</t>
  </si>
  <si>
    <t>Scope 3 EF (kg CO2-e/kWh)</t>
  </si>
  <si>
    <t>Scope 3 EF (kg CO2-e/GJ)</t>
  </si>
  <si>
    <t>Input - Electricity</t>
  </si>
  <si>
    <t>Option 1: Location-based electricity</t>
  </si>
  <si>
    <t>State grid electricity purchases</t>
  </si>
  <si>
    <t>💡The grid you purchase electricity from is typically the same as the state and region the farm is in.</t>
  </si>
  <si>
    <t>Amount purchased in kWh</t>
  </si>
  <si>
    <t>kWh</t>
  </si>
  <si>
    <t>State and region your farm is in</t>
  </si>
  <si>
    <t>Grid where electricity purchased from</t>
  </si>
  <si>
    <t>Option 2: Market-based electricity</t>
  </si>
  <si>
    <t>Electricity purchased in kWh (excluding GreenPower providers)</t>
  </si>
  <si>
    <t xml:space="preserve">Renewable Power Percentage </t>
  </si>
  <si>
    <t>percent</t>
  </si>
  <si>
    <t>Jurisdictional renewable power percentage (ACT only)</t>
  </si>
  <si>
    <t>Electricity purchased from an accredited GreenPower provider</t>
  </si>
  <si>
    <t>Start of reporting year</t>
  </si>
  <si>
    <t>End of reporting year</t>
  </si>
  <si>
    <t>Voluntarily surrendered Renewable Energy Certificates (RECs)</t>
  </si>
  <si>
    <t>Description</t>
  </si>
  <si>
    <t>Source (select)</t>
  </si>
  <si>
    <t>Generation date</t>
  </si>
  <si>
    <t>Number of certificates</t>
  </si>
  <si>
    <t>MWh</t>
  </si>
  <si>
    <t>Elegibility</t>
  </si>
  <si>
    <t>Dec 2023 certs</t>
  </si>
  <si>
    <t>Purchased certificate</t>
  </si>
  <si>
    <t>Issued for generated electricity</t>
  </si>
  <si>
    <t>Total elegible voluntarily surrendered RECs</t>
  </si>
  <si>
    <t>Renewable Energy Certificates (RECs) for electricity produced on-site and consumed by the entity</t>
  </si>
  <si>
    <t xml:space="preserve"> </t>
  </si>
  <si>
    <t>May 2022 generated</t>
  </si>
  <si>
    <t>Total elegible RECs for electricity produced on-site and consumed by entity</t>
  </si>
  <si>
    <t>Input - Site</t>
  </si>
  <si>
    <t>Your business</t>
  </si>
  <si>
    <t>Farm name</t>
  </si>
  <si>
    <t>Test Farms</t>
  </si>
  <si>
    <t>Reporting entity name</t>
  </si>
  <si>
    <t>Test Farms Pty Ltd</t>
  </si>
  <si>
    <t>💡An 'Emissions accounting period' is a 12 month period where the business can report on the emissions, and is typically the same as the business' financial accounting period.</t>
  </si>
  <si>
    <t>Emissions calculation period start date</t>
  </si>
  <si>
    <r>
      <rPr>
        <sz val="12"/>
        <color theme="1" tint="0.34998626667073579"/>
        <rFont val="Times New Roman"/>
        <family val="1"/>
      </rPr>
      <t xml:space="preserve">← </t>
    </r>
    <r>
      <rPr>
        <i/>
        <sz val="12"/>
        <color theme="1" tint="0.34998626667073579"/>
        <rFont val="Times New Roman"/>
        <family val="1"/>
      </rPr>
      <t>DD/MM/YYYY or DD Month YYYY</t>
    </r>
  </si>
  <si>
    <t>Emissions calculation period end date</t>
  </si>
  <si>
    <r>
      <rPr>
        <sz val="12"/>
        <color theme="1" tint="0.34998626667073579"/>
        <rFont val="Times New Roman"/>
        <family val="1"/>
      </rPr>
      <t xml:space="preserve">← </t>
    </r>
    <r>
      <rPr>
        <i/>
        <sz val="12"/>
        <color theme="1" tint="0.34998626667073579"/>
        <rFont val="Times New Roman"/>
        <family val="1"/>
      </rPr>
      <t>Automatically calculated, 12 months after start date</t>
    </r>
  </si>
  <si>
    <t>Location and climate</t>
  </si>
  <si>
    <t>Location information is used to reference some region and climate-specific emission factors</t>
  </si>
  <si>
    <t>Tip: Use the web-based GAF Location Helper tool to easily get region and climate information. You will need an internet connection to use the GAF Location Helper.</t>
  </si>
  <si>
    <t>State</t>
  </si>
  <si>
    <t>Region (ABS Statistical area level 4) if state is WA</t>
  </si>
  <si>
    <t>Western Australia - Outback (South)</t>
  </si>
  <si>
    <t>Fuel</t>
  </si>
  <si>
    <t>Fertiliser</t>
  </si>
  <si>
    <t>Electricity</t>
  </si>
  <si>
    <t>Amount purchased from grid</t>
  </si>
  <si>
    <t>Grid</t>
  </si>
  <si>
    <t>Home</t>
  </si>
  <si>
    <t>Chemical compound</t>
  </si>
  <si>
    <t>Quantity</t>
  </si>
  <si>
    <t>Quantity Unit</t>
  </si>
  <si>
    <t>AusLCI Emissions intensity</t>
  </si>
  <si>
    <t>Waste</t>
  </si>
  <si>
    <t>Freight and transport</t>
  </si>
  <si>
    <t>N2O MMS</t>
  </si>
  <si>
    <t>Enteric methane</t>
  </si>
  <si>
    <t>Sources &amp; acknowledgements</t>
  </si>
  <si>
    <t>Livestock class</t>
  </si>
  <si>
    <t>Type</t>
  </si>
  <si>
    <t>Input - Other farm inputs</t>
  </si>
  <si>
    <t>Packaging name</t>
  </si>
  <si>
    <t>Quantity purchased</t>
  </si>
  <si>
    <t>Cleaning chemicals</t>
  </si>
  <si>
    <t>White king</t>
  </si>
  <si>
    <t>Bleach</t>
  </si>
  <si>
    <t>Input - Purchased feed - Livestock</t>
  </si>
  <si>
    <t>Supplemental feed</t>
  </si>
  <si>
    <t>Lick blocks</t>
  </si>
  <si>
    <t>Feed blends</t>
  </si>
  <si>
    <t>Feed blend name</t>
  </si>
  <si>
    <t>Amount fed (kg)</t>
  </si>
  <si>
    <t>Ingredient 2 (select)</t>
  </si>
  <si>
    <t>Ingredient 3 (select)</t>
  </si>
  <si>
    <t>Ingredient 4 (select)</t>
  </si>
  <si>
    <t>Canola oil</t>
  </si>
  <si>
    <t>Hay bales in paddock</t>
  </si>
  <si>
    <t xml:space="preserve">💡You can find specific product information in the Australian Government's 'PubCRIS' database search. </t>
  </si>
  <si>
    <t>Click here to find instructions on how to use the PubCRIS database</t>
  </si>
  <si>
    <t>Amount applied per ha</t>
  </si>
  <si>
    <t>Application unit (select)</t>
  </si>
  <si>
    <t>Total applied</t>
  </si>
  <si>
    <t>Active ingredient 1 (select)</t>
  </si>
  <si>
    <t>Active ingredient 1 amount</t>
  </si>
  <si>
    <t>Active ingredient 2 (select)</t>
  </si>
  <si>
    <t>Active ingredient 2 amount</t>
  </si>
  <si>
    <t>Active ingredient 3 (select)</t>
  </si>
  <si>
    <t>Active ingredient 3 amount</t>
  </si>
  <si>
    <t>litre / hectare</t>
  </si>
  <si>
    <t>ACT</t>
  </si>
  <si>
    <t>Western Australia - South West Interconnected System (SWIS)</t>
  </si>
  <si>
    <t>Application unit</t>
  </si>
  <si>
    <t>Density</t>
  </si>
  <si>
    <t>Canada</t>
  </si>
  <si>
    <t>Category</t>
  </si>
  <si>
    <t>Region of origin</t>
  </si>
  <si>
    <t>Calcium nitrate</t>
  </si>
  <si>
    <t>Ammonia</t>
  </si>
  <si>
    <t>Amount applied per hectare</t>
  </si>
  <si>
    <t>Class</t>
  </si>
  <si>
    <t>Class (select)</t>
  </si>
  <si>
    <t>Quantity (head)</t>
  </si>
  <si>
    <t>Beef cattle</t>
  </si>
  <si>
    <t>Source region (Select)</t>
  </si>
  <si>
    <t>Symbol</t>
  </si>
  <si>
    <t>Manure management system</t>
  </si>
  <si>
    <t>Symbol and MMS</t>
  </si>
  <si>
    <t>Source region</t>
  </si>
  <si>
    <t>Table_SourceData_LivestockProduct_Beefcattle</t>
  </si>
  <si>
    <t>Table_SourceData_LivestockProduct_Sheep</t>
  </si>
  <si>
    <t>Cattle, for manufacturing beef</t>
  </si>
  <si>
    <t>Cattle, for prime beef</t>
  </si>
  <si>
    <t>Australia</t>
  </si>
  <si>
    <t>NSW</t>
  </si>
  <si>
    <t>QLD</t>
  </si>
  <si>
    <t>Table_SourceData_LivestockProduct_Chickens</t>
  </si>
  <si>
    <t>Table_SourceData_LivestockProduct_Dairycattle</t>
  </si>
  <si>
    <t>Table_SourceData_LivestockProduct_Pigs</t>
  </si>
  <si>
    <t>Dairy cattle</t>
  </si>
  <si>
    <t>VIC</t>
  </si>
  <si>
    <t>WA</t>
  </si>
  <si>
    <t>Type (select)</t>
  </si>
  <si>
    <t>Alkaline cleaner</t>
  </si>
  <si>
    <t>Phosphoric acid</t>
  </si>
  <si>
    <t>Quantity purchased (kg)</t>
  </si>
  <si>
    <t>Ingredient 1 EF</t>
  </si>
  <si>
    <t>Inorganic fertilisers</t>
  </si>
  <si>
    <t>Global</t>
  </si>
  <si>
    <t>kg</t>
  </si>
  <si>
    <t>Ingredient 2 EF</t>
  </si>
  <si>
    <t>Ingredient 3 EF</t>
  </si>
  <si>
    <t>Ingredient 4 EF</t>
  </si>
  <si>
    <t>Scope 3 (Method 1)</t>
  </si>
  <si>
    <t>Scope 3 (Method 2)</t>
  </si>
  <si>
    <t>Boost-It</t>
  </si>
  <si>
    <t>Emissions intensity (Method 1)</t>
  </si>
  <si>
    <t>Total amount (kg)</t>
  </si>
  <si>
    <t>Transaction name</t>
  </si>
  <si>
    <t>Emissions intensity (Method 2)</t>
  </si>
  <si>
    <t>Animals</t>
  </si>
  <si>
    <t>System boundary</t>
  </si>
  <si>
    <t>Transaction description</t>
  </si>
  <si>
    <t>Chemicals</t>
  </si>
  <si>
    <t>Feed</t>
  </si>
  <si>
    <t>Other agricultural inputs</t>
  </si>
  <si>
    <t>Packaging</t>
  </si>
  <si>
    <t>Pesticides</t>
  </si>
  <si>
    <t>Soil ameliorants</t>
  </si>
  <si>
    <t>Scope 3 emissions are calculated on a maximum of 20 branded fertiliser product purchases</t>
  </si>
  <si>
    <t>Branded fertiliser product purchases</t>
  </si>
  <si>
    <t>Pharmacy chemicals</t>
  </si>
  <si>
    <t>Parasite control for cattle (external), dipping</t>
  </si>
  <si>
    <t>Parasite control for cattle (internal)</t>
  </si>
  <si>
    <t>Parasite control for sheep (external)</t>
  </si>
  <si>
    <t>Parasite control for sheep (internal)</t>
  </si>
  <si>
    <t>Number of head treated</t>
  </si>
  <si>
    <t>Cleaning chemical purchases</t>
  </si>
  <si>
    <t>Pharmacy chemical purchases</t>
  </si>
  <si>
    <t>Amount purcahsed (kg)</t>
  </si>
  <si>
    <t>Cow bug off</t>
  </si>
  <si>
    <t>Cow worm-away</t>
  </si>
  <si>
    <t>Sheep bug off</t>
  </si>
  <si>
    <t>Sheep worm-away</t>
  </si>
  <si>
    <t>Kleen alk</t>
  </si>
  <si>
    <t>Acid kleen</t>
  </si>
  <si>
    <t>Region</t>
  </si>
  <si>
    <t>Ingredient 1 source</t>
  </si>
  <si>
    <t>Cereal hay</t>
  </si>
  <si>
    <t>Soybean meal</t>
  </si>
  <si>
    <t>Maize grain</t>
  </si>
  <si>
    <t>TAS</t>
  </si>
  <si>
    <t>Oaten hay</t>
  </si>
  <si>
    <t>Ingredient 1 source region</t>
  </si>
  <si>
    <t>Sardines (whole)</t>
  </si>
  <si>
    <t>SA</t>
  </si>
  <si>
    <t>Lucerne hay</t>
  </si>
  <si>
    <t>Brazil</t>
  </si>
  <si>
    <t>Ingredient 2 source region</t>
  </si>
  <si>
    <t>Ingredient 3 source region</t>
  </si>
  <si>
    <t>Ingredient 4 source region</t>
  </si>
  <si>
    <t>Molasses</t>
  </si>
  <si>
    <t>Feed rations</t>
  </si>
  <si>
    <t>Pasture hay</t>
  </si>
  <si>
    <t>Scope 3 emissions are calculated on a maximum of 10 feed blends</t>
  </si>
  <si>
    <t>Ingredient 2 source</t>
  </si>
  <si>
    <t>Ingredient 3 source</t>
  </si>
  <si>
    <t>Ingredient 4 source</t>
  </si>
  <si>
    <t>Blend name</t>
  </si>
  <si>
    <t>tags</t>
  </si>
  <si>
    <t>Primary material</t>
  </si>
  <si>
    <t>Weight per unit (kg)</t>
  </si>
  <si>
    <t>250g punnet</t>
  </si>
  <si>
    <t>Plastic sheet HDPE</t>
  </si>
  <si>
    <t>Method 1</t>
  </si>
  <si>
    <t>Method 2</t>
  </si>
  <si>
    <t>Seed</t>
  </si>
  <si>
    <t>Pesticides (generic)</t>
  </si>
  <si>
    <t>grams/litre or grams/kg</t>
  </si>
  <si>
    <t>kg / hectare</t>
  </si>
  <si>
    <t>Product EF (Method 1)</t>
  </si>
  <si>
    <t>Product EF (Method 2)</t>
  </si>
  <si>
    <t>Miscellaneous inputs</t>
  </si>
  <si>
    <t>Total active ingredient 1 (kg)</t>
  </si>
  <si>
    <t>Total active ingredient 2 (kg)</t>
  </si>
  <si>
    <t>Total active ingredient 3 (kg)</t>
  </si>
  <si>
    <t>NovaGuard Boscalid 500 WG Fungicide</t>
  </si>
  <si>
    <t>Constituent unit (select)</t>
  </si>
  <si>
    <t>Heben Propiconazole 550EC Fungicide</t>
  </si>
  <si>
    <t>QA MCPA + Picloram SL Herbicide</t>
  </si>
  <si>
    <t>Livestock</t>
  </si>
  <si>
    <t>Purchase class (select)</t>
  </si>
  <si>
    <t>Liveweight (kg/head) Method 1</t>
  </si>
  <si>
    <t>Liveweight (kg/head) Method 2</t>
  </si>
  <si>
    <t>Purchase date</t>
  </si>
  <si>
    <t>Table_ProductRegions_Beefcattle</t>
  </si>
  <si>
    <t>n/a</t>
  </si>
  <si>
    <t>NT</t>
  </si>
  <si>
    <t>WA - Pilbara</t>
  </si>
  <si>
    <t>WA - South west</t>
  </si>
  <si>
    <t>WA - Kimberley</t>
  </si>
  <si>
    <t>NT - Alice Springs</t>
  </si>
  <si>
    <t>NT - Barkly</t>
  </si>
  <si>
    <t>NT - Northern</t>
  </si>
  <si>
    <t>QLD - High</t>
  </si>
  <si>
    <t>QLD - Moderate/High</t>
  </si>
  <si>
    <t>QLD - Moderate/Low</t>
  </si>
  <si>
    <t>QLD - Low</t>
  </si>
  <si>
    <t>Constants - Pasture Beef</t>
  </si>
  <si>
    <t>Pasture beefcrop or pasture production systems</t>
  </si>
  <si>
    <t>Table_SourceData_PastureBeef_Region_WesternAustralia</t>
  </si>
  <si>
    <t>Table_SourceData_PastureBeef_Region_Queensland</t>
  </si>
  <si>
    <t>Table_SourceData_PastureBeef_Region_NorthernTerritory</t>
  </si>
  <si>
    <t>Table_SourceData_PastureBeef_Region_Victoria</t>
  </si>
  <si>
    <t>South West</t>
  </si>
  <si>
    <t>Alice Springs</t>
  </si>
  <si>
    <t>High</t>
  </si>
  <si>
    <t>Pilbara</t>
  </si>
  <si>
    <t>Barkly</t>
  </si>
  <si>
    <t>Moderate/High</t>
  </si>
  <si>
    <t>Kimberley</t>
  </si>
  <si>
    <t>Northern</t>
  </si>
  <si>
    <t>Moderate/Low</t>
  </si>
  <si>
    <t>Table_SourceData_PastureBeef_Region_NewSouthWales</t>
  </si>
  <si>
    <t>Low</t>
  </si>
  <si>
    <t>Table_SourceData_PastureBeef_Region_SouthAustralia</t>
  </si>
  <si>
    <t>Bull &lt; 1</t>
  </si>
  <si>
    <t>Bull &gt; 1</t>
  </si>
  <si>
    <t>Cow &lt; 1</t>
  </si>
  <si>
    <t>Cow 1-2</t>
  </si>
  <si>
    <t>Cow &gt; 2</t>
  </si>
  <si>
    <t>Steer &lt; 1</t>
  </si>
  <si>
    <t>Steer &gt; 1</t>
  </si>
  <si>
    <t>Table_SourceData_PastureBeef_Region_Tasmania</t>
  </si>
  <si>
    <t>Table_SourceData_PastureBeef_Region_ACT</t>
  </si>
  <si>
    <t>Bull &lt;1</t>
  </si>
  <si>
    <t>Bull &gt;1</t>
  </si>
  <si>
    <t>Cows &lt;1</t>
  </si>
  <si>
    <t>Cows 1-2</t>
  </si>
  <si>
    <t>Cows 2-3</t>
  </si>
  <si>
    <t>Cows &gt;3</t>
  </si>
  <si>
    <t>Steer &lt;1</t>
  </si>
  <si>
    <t>Steer 1-2</t>
  </si>
  <si>
    <t>Steer 2-3</t>
  </si>
  <si>
    <t>Steer &gt;3</t>
  </si>
  <si>
    <t>Beef pasture cattle - Liveweight (kg) (Wjkl) all states</t>
  </si>
  <si>
    <t>Bulls &lt; 1 year</t>
  </si>
  <si>
    <t>Bulls &gt; 1 year</t>
  </si>
  <si>
    <t>Cows &lt; 1 year</t>
  </si>
  <si>
    <t>Cows 1-2 years</t>
  </si>
  <si>
    <t>Cows 2-3 years</t>
  </si>
  <si>
    <t>Cows &gt; 3 years</t>
  </si>
  <si>
    <t>Steers &lt; 1 year</t>
  </si>
  <si>
    <t>Steers 1-2 years</t>
  </si>
  <si>
    <t>Steers 2-3 years</t>
  </si>
  <si>
    <t>Steers &gt;3 years</t>
  </si>
  <si>
    <t>Summer</t>
  </si>
  <si>
    <t>Autumn</t>
  </si>
  <si>
    <t>Winter</t>
  </si>
  <si>
    <t>Cow &lt;1</t>
  </si>
  <si>
    <t>Cow &gt;2</t>
  </si>
  <si>
    <t>Steer &gt;1</t>
  </si>
  <si>
    <t>Cow 2-3</t>
  </si>
  <si>
    <t>Cow &gt;3</t>
  </si>
  <si>
    <t>Spring</t>
  </si>
  <si>
    <t>VARIATION ON SOURCE: Changed 'Season' values from season names to 'Calving season' and 'Season after calving' to acommodate cases where calving happens outside spring or summer</t>
  </si>
  <si>
    <t>Breed</t>
  </si>
  <si>
    <t>Feed adjustment</t>
  </si>
  <si>
    <t>Milk intake/production</t>
  </si>
  <si>
    <t>Calving season</t>
  </si>
  <si>
    <t>Season after calving</t>
  </si>
  <si>
    <t>Bulls &lt;1</t>
  </si>
  <si>
    <t>Bulls &gt;1</t>
  </si>
  <si>
    <t>Cows &gt;2</t>
  </si>
  <si>
    <t>State abbreviation</t>
  </si>
  <si>
    <t>Typo in VEERG declares unit as fraction when values are percent</t>
  </si>
  <si>
    <t>Uncovered Anaerobic lagoon</t>
  </si>
  <si>
    <t>Table_LivestockClasses_Beefcattle</t>
  </si>
  <si>
    <t>Scope3 region</t>
  </si>
  <si>
    <t>Friesian crossbred</t>
  </si>
  <si>
    <t>Milking cows</t>
  </si>
  <si>
    <t>Heifers &lt; 1 (weaned)</t>
  </si>
  <si>
    <t>Cows from Barry</t>
  </si>
  <si>
    <t>Dairy cows from Denise</t>
  </si>
  <si>
    <t>Breed (select)</t>
  </si>
  <si>
    <t>Source Data - Dairy</t>
  </si>
  <si>
    <t>Dairy manure management systems</t>
  </si>
  <si>
    <t>Dairy crop or pasture production systems</t>
  </si>
  <si>
    <t>MMS</t>
  </si>
  <si>
    <t>Heifers &gt; 1</t>
  </si>
  <si>
    <t>Bulls &gt; 1</t>
  </si>
  <si>
    <t>Bulls &lt; 1 (weaned)</t>
  </si>
  <si>
    <t>Animal class j</t>
  </si>
  <si>
    <t>CH4 production</t>
  </si>
  <si>
    <t>Volatile solids (VSj=3,5)</t>
  </si>
  <si>
    <t>Nitrogen Excreted (NPWj=3,5)</t>
  </si>
  <si>
    <t>MMS m</t>
  </si>
  <si>
    <t>NIR reference</t>
  </si>
  <si>
    <t>EFm</t>
  </si>
  <si>
    <t>FracGASMm</t>
  </si>
  <si>
    <t>MPW ENTERIC</t>
  </si>
  <si>
    <t>MRj</t>
  </si>
  <si>
    <t>Area</t>
  </si>
  <si>
    <t>Milking shed</t>
  </si>
  <si>
    <t>Feedpad</t>
  </si>
  <si>
    <t>Duplicate of data in table 1.3.7</t>
  </si>
  <si>
    <t>Duration (weaned)</t>
  </si>
  <si>
    <t>Duration (pre-weaned)</t>
  </si>
  <si>
    <t>Pigs</t>
  </si>
  <si>
    <t>Holstein-Friesian</t>
  </si>
  <si>
    <t>Constants - Swine</t>
  </si>
  <si>
    <t>Swine crop or pasture production systems</t>
  </si>
  <si>
    <t>CHange title to match source</t>
  </si>
  <si>
    <t>CHange source</t>
  </si>
  <si>
    <t>NIR definition</t>
  </si>
  <si>
    <t>Swine Manure management systems</t>
  </si>
  <si>
    <t>Swine Manure management systems excl. solid storage and direct application</t>
  </si>
  <si>
    <t>Swine Manure management systems excl. direct application</t>
  </si>
  <si>
    <t>Fraction volatile solids lost during storage in primary system</t>
  </si>
  <si>
    <t>Swine housing</t>
  </si>
  <si>
    <t>VSL</t>
  </si>
  <si>
    <t>VSj</t>
  </si>
  <si>
    <t>Ij</t>
  </si>
  <si>
    <t>NWj</t>
  </si>
  <si>
    <t>NWj Daily</t>
  </si>
  <si>
    <t>Class name</t>
  </si>
  <si>
    <t>MMSm</t>
  </si>
  <si>
    <t>FracGASMmT</t>
  </si>
  <si>
    <t>EFmT</t>
  </si>
  <si>
    <t>Livestock type j</t>
  </si>
  <si>
    <t>Average liveweight (kg)</t>
  </si>
  <si>
    <t>Pigs from Pam</t>
  </si>
  <si>
    <t>Sows</t>
  </si>
  <si>
    <t>Slaughter pigs</t>
  </si>
  <si>
    <t>Swine from Samantha</t>
  </si>
  <si>
    <t>Scope 3 emissions are calculated on a maximum of 10 livestock purchases for each category</t>
  </si>
  <si>
    <t>Poultry</t>
  </si>
  <si>
    <t>Chooks from Carolyn</t>
  </si>
  <si>
    <t>Roosters from Raj</t>
  </si>
  <si>
    <t>Constants - Poultry</t>
  </si>
  <si>
    <t>Nutrient analysis</t>
  </si>
  <si>
    <t>Layers</t>
  </si>
  <si>
    <t>Meat chicken growers</t>
  </si>
  <si>
    <t>Meat chicken breeder</t>
  </si>
  <si>
    <t>Meat other</t>
  </si>
  <si>
    <t>Poultry class</t>
  </si>
  <si>
    <t>B0</t>
  </si>
  <si>
    <t>Poultry manure management systems</t>
  </si>
  <si>
    <t>Poultry manure management systems - Stage 1</t>
  </si>
  <si>
    <t>Poultry manure management systems - Stage 2</t>
  </si>
  <si>
    <t>Poultry manure with bedding (m=10)</t>
  </si>
  <si>
    <t>Solid storage (m=4)</t>
  </si>
  <si>
    <t>Belt manure removal</t>
  </si>
  <si>
    <t>Belt manure removal (m=11a)</t>
  </si>
  <si>
    <t>Composting (passive windrow) (m=6)</t>
  </si>
  <si>
    <t>Manure stored in house</t>
  </si>
  <si>
    <t>Manure stored in house (m=11b)</t>
  </si>
  <si>
    <t>Digester / covered lagoons (m=7)</t>
  </si>
  <si>
    <t>Pasture range and paddock (m=14)</t>
  </si>
  <si>
    <t>Direct processing (m=12)</t>
  </si>
  <si>
    <t>No MMS</t>
  </si>
  <si>
    <t>Direct application (m=13)</t>
  </si>
  <si>
    <t>Poultry production systems</t>
  </si>
  <si>
    <t>All states</t>
  </si>
  <si>
    <t>Livestock class j</t>
  </si>
  <si>
    <t>Chicken</t>
  </si>
  <si>
    <t>Pullets</t>
  </si>
  <si>
    <t>Percent of packaging that is primary material</t>
  </si>
  <si>
    <t>Amount</t>
  </si>
  <si>
    <t>Product / service name</t>
  </si>
  <si>
    <t>Total weight purchased (kg)</t>
  </si>
  <si>
    <t>Verified credential matching ISO14067</t>
  </si>
  <si>
    <t>Denise did a full LCA</t>
  </si>
  <si>
    <t>http://denisesdairy.com/LCA2024.pdf</t>
  </si>
  <si>
    <t>N/A</t>
  </si>
  <si>
    <t>Uncategorised products</t>
  </si>
  <si>
    <t>Services and contractors</t>
  </si>
  <si>
    <t>Service provider / contractor</t>
  </si>
  <si>
    <t>Pete's Pickers</t>
  </si>
  <si>
    <t>Fruit picking</t>
  </si>
  <si>
    <t>Harini's Harvesting Services Pty Ltd</t>
  </si>
  <si>
    <t>Sheep</t>
  </si>
  <si>
    <t>Total amount</t>
  </si>
  <si>
    <t>Scope 3 unit</t>
  </si>
  <si>
    <t>Hour</t>
  </si>
  <si>
    <t>Hectare</t>
  </si>
  <si>
    <t>Wheat harvesting</t>
  </si>
  <si>
    <t>Activity</t>
  </si>
  <si>
    <t>Purchased feed blends</t>
  </si>
  <si>
    <t>Large Friesian</t>
  </si>
  <si>
    <t>EF (Method 1)</t>
  </si>
  <si>
    <t>EF (Method 2)</t>
  </si>
  <si>
    <t>Origin o</t>
  </si>
  <si>
    <t>Livestock type c</t>
  </si>
  <si>
    <r>
      <t>N</t>
    </r>
    <r>
      <rPr>
        <b/>
        <vertAlign val="subscript"/>
        <sz val="12"/>
        <color theme="1"/>
        <rFont val="Times New Roman"/>
        <family val="1"/>
      </rPr>
      <t>co</t>
    </r>
  </si>
  <si>
    <r>
      <t>W</t>
    </r>
    <r>
      <rPr>
        <b/>
        <vertAlign val="subscript"/>
        <sz val="12"/>
        <color theme="1"/>
        <rFont val="Times New Roman"/>
        <family val="1"/>
      </rPr>
      <t>co</t>
    </r>
    <r>
      <rPr>
        <b/>
        <sz val="12"/>
        <color theme="1"/>
        <rFont val="Times New Roman"/>
        <family val="2"/>
      </rPr>
      <t xml:space="preserve"> - Method 1 (kg/head)</t>
    </r>
  </si>
  <si>
    <r>
      <t>W</t>
    </r>
    <r>
      <rPr>
        <b/>
        <vertAlign val="subscript"/>
        <sz val="12"/>
        <color theme="1"/>
        <rFont val="Times New Roman"/>
        <family val="1"/>
      </rPr>
      <t>co</t>
    </r>
    <r>
      <rPr>
        <b/>
        <sz val="12"/>
        <color theme="1"/>
        <rFont val="Times New Roman"/>
        <family val="2"/>
      </rPr>
      <t xml:space="preserve"> - Method 2 (kg/head)</t>
    </r>
  </si>
  <si>
    <r>
      <t>EF</t>
    </r>
    <r>
      <rPr>
        <b/>
        <vertAlign val="subscript"/>
        <sz val="11"/>
        <color rgb="FF183C1B"/>
        <rFont val="Times New Roman"/>
        <family val="1"/>
      </rPr>
      <t>co</t>
    </r>
    <r>
      <rPr>
        <b/>
        <sz val="11"/>
        <color rgb="FF183C1B"/>
        <rFont val="Times New Roman"/>
        <family val="1"/>
      </rPr>
      <t xml:space="preserve"> (Method 1)</t>
    </r>
  </si>
  <si>
    <r>
      <t>EF</t>
    </r>
    <r>
      <rPr>
        <b/>
        <vertAlign val="subscript"/>
        <sz val="11"/>
        <color rgb="FF533001"/>
        <rFont val="Times New Roman"/>
        <family val="1"/>
      </rPr>
      <t>co</t>
    </r>
    <r>
      <rPr>
        <b/>
        <sz val="11"/>
        <color rgb="FF533001"/>
        <rFont val="Times New Roman"/>
        <family val="1"/>
      </rPr>
      <t xml:space="preserve"> (Method 2)</t>
    </r>
  </si>
  <si>
    <t>Function name</t>
  </si>
  <si>
    <t>Variable</t>
  </si>
  <si>
    <r>
      <t>EF</t>
    </r>
    <r>
      <rPr>
        <vertAlign val="subscript"/>
        <sz val="10"/>
        <color theme="1" tint="0.34998626667073579"/>
        <rFont val="Times New Roman"/>
        <family val="1"/>
      </rPr>
      <t>co</t>
    </r>
    <r>
      <rPr>
        <sz val="10"/>
        <color theme="1" tint="0.34998626667073579"/>
        <rFont val="Times New Roman"/>
        <family val="1"/>
      </rPr>
      <t xml:space="preserve"> (Method 1)</t>
    </r>
  </si>
  <si>
    <t>Method 2 EF source</t>
  </si>
  <si>
    <t>Method 2 EF source type (Select)</t>
  </si>
  <si>
    <t>Method 2 EF proof link</t>
  </si>
  <si>
    <r>
      <t>Q</t>
    </r>
    <r>
      <rPr>
        <b/>
        <vertAlign val="subscript"/>
        <sz val="11"/>
        <color rgb="FF533001"/>
        <rFont val="Times New Roman"/>
        <family val="1"/>
      </rPr>
      <t>j</t>
    </r>
  </si>
  <si>
    <t>E (Method 1)</t>
  </si>
  <si>
    <r>
      <t>EF</t>
    </r>
    <r>
      <rPr>
        <b/>
        <vertAlign val="subscript"/>
        <sz val="11"/>
        <color rgb="FF533001"/>
        <rFont val="Times New Roman"/>
        <family val="1"/>
      </rPr>
      <t>j</t>
    </r>
    <r>
      <rPr>
        <b/>
        <sz val="11"/>
        <color rgb="FF533001"/>
        <rFont val="Times New Roman"/>
        <family val="1"/>
      </rPr>
      <t xml:space="preserve"> (Method 2)</t>
    </r>
  </si>
  <si>
    <t>E (Method 2)</t>
  </si>
  <si>
    <r>
      <t>EF</t>
    </r>
    <r>
      <rPr>
        <b/>
        <vertAlign val="subscript"/>
        <sz val="11"/>
        <color rgb="FF183C1B"/>
        <rFont val="Times New Roman"/>
        <family val="1"/>
      </rPr>
      <t>j</t>
    </r>
    <r>
      <rPr>
        <b/>
        <sz val="11"/>
        <color rgb="FF183C1B"/>
        <rFont val="Times New Roman"/>
        <family val="1"/>
      </rPr>
      <t xml:space="preserve"> (Method 1)</t>
    </r>
  </si>
  <si>
    <t xml:space="preserve">The method 1 product EF is calculated by multiplying the EF of each ingredient by the fraction of that ingredient in the product, then adding them all together. </t>
  </si>
  <si>
    <t>This is to allow for comparison with a method 2 product EF that might be provided by the supplier.</t>
  </si>
  <si>
    <t>If using an EF value from the manufacturer, make sure theirs is derived from the ingredients only to ensure a valid comparison with method 1 EF</t>
  </si>
  <si>
    <r>
      <t>Q</t>
    </r>
    <r>
      <rPr>
        <b/>
        <vertAlign val="subscript"/>
        <sz val="11"/>
        <color rgb="FF533001"/>
        <rFont val="Times New Roman"/>
        <family val="1"/>
      </rPr>
      <t>m</t>
    </r>
  </si>
  <si>
    <r>
      <t>EF</t>
    </r>
    <r>
      <rPr>
        <b/>
        <vertAlign val="subscript"/>
        <sz val="11"/>
        <color rgb="FF183C1B"/>
        <rFont val="Times New Roman"/>
        <family val="1"/>
      </rPr>
      <t>m</t>
    </r>
    <r>
      <rPr>
        <b/>
        <sz val="11"/>
        <color rgb="FF183C1B"/>
        <rFont val="Times New Roman"/>
        <family val="1"/>
      </rPr>
      <t xml:space="preserve"> (Method 1)</t>
    </r>
  </si>
  <si>
    <r>
      <t>EF</t>
    </r>
    <r>
      <rPr>
        <b/>
        <vertAlign val="subscript"/>
        <sz val="11"/>
        <color rgb="FF533001"/>
        <rFont val="Times New Roman"/>
        <family val="1"/>
      </rPr>
      <t>m</t>
    </r>
    <r>
      <rPr>
        <b/>
        <sz val="11"/>
        <color rgb="FF533001"/>
        <rFont val="Times New Roman"/>
        <family val="1"/>
      </rPr>
      <t xml:space="preserve"> (Method 2)</t>
    </r>
  </si>
  <si>
    <t>E - Poultry (Method 1)</t>
  </si>
  <si>
    <t>E - Poultry (Method 2)</t>
  </si>
  <si>
    <t>E - Pigs (Method 1)</t>
  </si>
  <si>
    <t>E - Pigs (Method 2)</t>
  </si>
  <si>
    <t>E - Dairy cattle (Method 1)</t>
  </si>
  <si>
    <t>E - Dairy cattle (Method 2)</t>
  </si>
  <si>
    <t>E - Beef cattle (Method 1)</t>
  </si>
  <si>
    <t>E - Beef cattle (Method 2)</t>
  </si>
  <si>
    <t>E - Fertiliser components (Method 1)</t>
  </si>
  <si>
    <t>E- Product (Method 1)</t>
  </si>
  <si>
    <t>E- Product (Method 2)</t>
  </si>
  <si>
    <t>E - Fertiliser components (Method 2)</t>
  </si>
  <si>
    <t>Fertiliser custom blends</t>
  </si>
  <si>
    <r>
      <t>EF</t>
    </r>
    <r>
      <rPr>
        <b/>
        <vertAlign val="subscript"/>
        <sz val="11"/>
        <color rgb="FF183C1B"/>
        <rFont val="Times New Roman"/>
        <family val="1"/>
      </rPr>
      <t xml:space="preserve">c - </t>
    </r>
    <r>
      <rPr>
        <b/>
        <sz val="11"/>
        <color rgb="FF183C1B"/>
        <rFont val="Times New Roman"/>
        <family val="1"/>
      </rPr>
      <t>Ingredient 1 (Method 1)</t>
    </r>
  </si>
  <si>
    <r>
      <t>EF</t>
    </r>
    <r>
      <rPr>
        <b/>
        <vertAlign val="subscript"/>
        <sz val="11"/>
        <color rgb="FF533001"/>
        <rFont val="Times New Roman"/>
        <family val="1"/>
      </rPr>
      <t>c</t>
    </r>
    <r>
      <rPr>
        <b/>
        <sz val="11"/>
        <color rgb="FF533001"/>
        <rFont val="Times New Roman"/>
        <family val="1"/>
      </rPr>
      <t xml:space="preserve"> - Ingredient 1 (Method 2)</t>
    </r>
  </si>
  <si>
    <r>
      <t>EF</t>
    </r>
    <r>
      <rPr>
        <b/>
        <vertAlign val="subscript"/>
        <sz val="11"/>
        <color rgb="FF183C1B"/>
        <rFont val="Times New Roman"/>
        <family val="1"/>
      </rPr>
      <t xml:space="preserve">c - </t>
    </r>
    <r>
      <rPr>
        <b/>
        <sz val="11"/>
        <color rgb="FF183C1B"/>
        <rFont val="Times New Roman"/>
        <family val="1"/>
      </rPr>
      <t>Ingredient 2 (Method 1)</t>
    </r>
  </si>
  <si>
    <r>
      <t>EF</t>
    </r>
    <r>
      <rPr>
        <b/>
        <vertAlign val="subscript"/>
        <sz val="11"/>
        <color rgb="FF533001"/>
        <rFont val="Times New Roman"/>
        <family val="1"/>
      </rPr>
      <t>c</t>
    </r>
    <r>
      <rPr>
        <b/>
        <sz val="11"/>
        <color rgb="FF533001"/>
        <rFont val="Times New Roman"/>
        <family val="1"/>
      </rPr>
      <t xml:space="preserve"> - Ingredient 2 (Method 2)</t>
    </r>
  </si>
  <si>
    <r>
      <t>EF</t>
    </r>
    <r>
      <rPr>
        <b/>
        <vertAlign val="subscript"/>
        <sz val="11"/>
        <color rgb="FF183C1B"/>
        <rFont val="Times New Roman"/>
        <family val="1"/>
      </rPr>
      <t xml:space="preserve">c - </t>
    </r>
    <r>
      <rPr>
        <b/>
        <sz val="11"/>
        <color rgb="FF183C1B"/>
        <rFont val="Times New Roman"/>
        <family val="1"/>
      </rPr>
      <t>Ingredient 3 (Method 1)</t>
    </r>
  </si>
  <si>
    <r>
      <t>EF</t>
    </r>
    <r>
      <rPr>
        <b/>
        <vertAlign val="subscript"/>
        <sz val="11"/>
        <color rgb="FF533001"/>
        <rFont val="Times New Roman"/>
        <family val="1"/>
      </rPr>
      <t>c</t>
    </r>
    <r>
      <rPr>
        <b/>
        <sz val="11"/>
        <color rgb="FF533001"/>
        <rFont val="Times New Roman"/>
        <family val="1"/>
      </rPr>
      <t xml:space="preserve"> - Ingredient 3 (Method 2)</t>
    </r>
  </si>
  <si>
    <r>
      <t>EF</t>
    </r>
    <r>
      <rPr>
        <b/>
        <vertAlign val="subscript"/>
        <sz val="11"/>
        <color rgb="FF183C1B"/>
        <rFont val="Times New Roman"/>
        <family val="1"/>
      </rPr>
      <t xml:space="preserve">c - </t>
    </r>
    <r>
      <rPr>
        <b/>
        <sz val="11"/>
        <color rgb="FF183C1B"/>
        <rFont val="Times New Roman"/>
        <family val="1"/>
      </rPr>
      <t>Ingredient 4 (Method 1)</t>
    </r>
  </si>
  <si>
    <r>
      <t>EF</t>
    </r>
    <r>
      <rPr>
        <b/>
        <vertAlign val="subscript"/>
        <sz val="11"/>
        <color rgb="FF533001"/>
        <rFont val="Times New Roman"/>
        <family val="1"/>
      </rPr>
      <t>c</t>
    </r>
    <r>
      <rPr>
        <b/>
        <sz val="11"/>
        <color rgb="FF533001"/>
        <rFont val="Times New Roman"/>
        <family val="1"/>
      </rPr>
      <t xml:space="preserve"> - Ingredient 4 (Method 2)</t>
    </r>
  </si>
  <si>
    <r>
      <t>EF</t>
    </r>
    <r>
      <rPr>
        <b/>
        <vertAlign val="subscript"/>
        <sz val="11"/>
        <color rgb="FF183C1B"/>
        <rFont val="Times New Roman"/>
        <family val="1"/>
      </rPr>
      <t xml:space="preserve">c - </t>
    </r>
    <r>
      <rPr>
        <b/>
        <sz val="11"/>
        <color rgb="FF183C1B"/>
        <rFont val="Times New Roman"/>
        <family val="1"/>
      </rPr>
      <t>Ingredient 5 (Method 1)</t>
    </r>
  </si>
  <si>
    <r>
      <t>EF</t>
    </r>
    <r>
      <rPr>
        <b/>
        <vertAlign val="subscript"/>
        <sz val="11"/>
        <color rgb="FF533001"/>
        <rFont val="Times New Roman"/>
        <family val="1"/>
      </rPr>
      <t>c</t>
    </r>
    <r>
      <rPr>
        <b/>
        <sz val="11"/>
        <color rgb="FF533001"/>
        <rFont val="Times New Roman"/>
        <family val="1"/>
      </rPr>
      <t xml:space="preserve"> - Ingredient 5 (Method 2)</t>
    </r>
  </si>
  <si>
    <r>
      <t>EF</t>
    </r>
    <r>
      <rPr>
        <b/>
        <vertAlign val="subscript"/>
        <sz val="11"/>
        <color rgb="FF183C1B"/>
        <rFont val="Times New Roman"/>
        <family val="1"/>
      </rPr>
      <t xml:space="preserve">c - </t>
    </r>
    <r>
      <rPr>
        <b/>
        <sz val="11"/>
        <color rgb="FF183C1B"/>
        <rFont val="Times New Roman"/>
        <family val="1"/>
      </rPr>
      <t>Ingredient 6 (Method 1)</t>
    </r>
  </si>
  <si>
    <r>
      <t>EF</t>
    </r>
    <r>
      <rPr>
        <b/>
        <vertAlign val="subscript"/>
        <sz val="11"/>
        <color rgb="FF533001"/>
        <rFont val="Times New Roman"/>
        <family val="1"/>
      </rPr>
      <t>c</t>
    </r>
    <r>
      <rPr>
        <b/>
        <sz val="11"/>
        <color rgb="FF533001"/>
        <rFont val="Times New Roman"/>
        <family val="1"/>
      </rPr>
      <t xml:space="preserve"> - Ingredient 6 (Method 2)</t>
    </r>
  </si>
  <si>
    <r>
      <t>EF</t>
    </r>
    <r>
      <rPr>
        <b/>
        <vertAlign val="subscript"/>
        <sz val="11"/>
        <color rgb="FF183C1B"/>
        <rFont val="Times New Roman"/>
        <family val="1"/>
      </rPr>
      <t>f</t>
    </r>
    <r>
      <rPr>
        <b/>
        <sz val="11"/>
        <color rgb="FF183C1B"/>
        <rFont val="Times New Roman"/>
        <family val="1"/>
      </rPr>
      <t xml:space="preserve"> (Method 1)</t>
    </r>
  </si>
  <si>
    <r>
      <t>EF</t>
    </r>
    <r>
      <rPr>
        <b/>
        <vertAlign val="subscript"/>
        <sz val="11"/>
        <color rgb="FF533001"/>
        <rFont val="Times New Roman"/>
        <family val="1"/>
      </rPr>
      <t>f</t>
    </r>
    <r>
      <rPr>
        <b/>
        <sz val="11"/>
        <color rgb="FF533001"/>
        <rFont val="Times New Roman"/>
        <family val="1"/>
      </rPr>
      <t xml:space="preserve"> (Method 2)</t>
    </r>
  </si>
  <si>
    <t>Scope 3 emissions are calculated on a maximum of 20 custom fertiliser blends</t>
  </si>
  <si>
    <t>E (Method 1) - Product EF</t>
  </si>
  <si>
    <t>E (Method 2) - Product EF</t>
  </si>
  <si>
    <t>E (Method 1) - Component EF</t>
  </si>
  <si>
    <t>E (Method 2) - Component EF</t>
  </si>
  <si>
    <t>2,4-D</t>
  </si>
  <si>
    <t>Metolachlor</t>
  </si>
  <si>
    <t>Glyphosate</t>
  </si>
  <si>
    <t>Tribenuron methyl</t>
  </si>
  <si>
    <t>Trifluralin</t>
  </si>
  <si>
    <t>Active ingredient type</t>
  </si>
  <si>
    <r>
      <t>EF</t>
    </r>
    <r>
      <rPr>
        <b/>
        <vertAlign val="subscript"/>
        <sz val="11"/>
        <color rgb="FF183C1B"/>
        <rFont val="Times New Roman"/>
        <family val="1"/>
      </rPr>
      <t>h</t>
    </r>
    <r>
      <rPr>
        <b/>
        <sz val="11"/>
        <color rgb="FF183C1B"/>
        <rFont val="Times New Roman"/>
        <family val="1"/>
      </rPr>
      <t xml:space="preserve"> (Method 1)</t>
    </r>
  </si>
  <si>
    <r>
      <t>EF</t>
    </r>
    <r>
      <rPr>
        <b/>
        <vertAlign val="subscript"/>
        <sz val="11"/>
        <color rgb="FF533001"/>
        <rFont val="Times New Roman"/>
        <family val="1"/>
      </rPr>
      <t>h</t>
    </r>
    <r>
      <rPr>
        <b/>
        <sz val="11"/>
        <color rgb="FF533001"/>
        <rFont val="Times New Roman"/>
        <family val="1"/>
      </rPr>
      <t xml:space="preserve"> (Method 2)</t>
    </r>
  </si>
  <si>
    <t>Total amount (t)</t>
  </si>
  <si>
    <t>E(Method 2)</t>
  </si>
  <si>
    <r>
      <t>EF</t>
    </r>
    <r>
      <rPr>
        <vertAlign val="subscript"/>
        <sz val="12"/>
        <color theme="1" tint="0.24994659260841701"/>
        <rFont val="Times New Roman"/>
        <family val="1"/>
      </rPr>
      <t>l</t>
    </r>
    <r>
      <rPr>
        <sz val="12"/>
        <color theme="1" tint="0.24994659260841701"/>
        <rFont val="Times New Roman"/>
        <family val="1"/>
      </rPr>
      <t xml:space="preserve"> - Lime</t>
    </r>
  </si>
  <si>
    <r>
      <t>EF</t>
    </r>
    <r>
      <rPr>
        <vertAlign val="subscript"/>
        <sz val="12"/>
        <color theme="1" tint="0.24994659260841701"/>
        <rFont val="Times New Roman"/>
        <family val="1"/>
      </rPr>
      <t>l</t>
    </r>
    <r>
      <rPr>
        <sz val="12"/>
        <color theme="1" tint="0.24994659260841701"/>
        <rFont val="Times New Roman"/>
        <family val="1"/>
      </rPr>
      <t xml:space="preserve"> - Dolomite</t>
    </r>
  </si>
  <si>
    <r>
      <t>EF</t>
    </r>
    <r>
      <rPr>
        <vertAlign val="subscript"/>
        <sz val="12"/>
        <color theme="1" tint="0.24994659260841701"/>
        <rFont val="Times New Roman"/>
        <family val="1"/>
      </rPr>
      <t>l</t>
    </r>
    <r>
      <rPr>
        <sz val="12"/>
        <color theme="1" tint="0.24994659260841701"/>
        <rFont val="Times New Roman"/>
        <family val="1"/>
      </rPr>
      <t xml:space="preserve"> - Gypsum</t>
    </r>
  </si>
  <si>
    <r>
      <t>M</t>
    </r>
    <r>
      <rPr>
        <b/>
        <vertAlign val="subscript"/>
        <sz val="11"/>
        <color rgb="FF533001"/>
        <rFont val="Times New Roman"/>
        <family val="1"/>
      </rPr>
      <t>lime</t>
    </r>
    <r>
      <rPr>
        <b/>
        <sz val="11"/>
        <color rgb="FF533001"/>
        <rFont val="Times New Roman"/>
        <family val="1"/>
      </rPr>
      <t xml:space="preserve"> - Lime</t>
    </r>
  </si>
  <si>
    <r>
      <t>M</t>
    </r>
    <r>
      <rPr>
        <b/>
        <vertAlign val="subscript"/>
        <sz val="11"/>
        <color rgb="FF533001"/>
        <rFont val="Times New Roman"/>
        <family val="1"/>
      </rPr>
      <t>lime</t>
    </r>
    <r>
      <rPr>
        <b/>
        <sz val="11"/>
        <color rgb="FF533001"/>
        <rFont val="Times New Roman"/>
        <family val="1"/>
      </rPr>
      <t xml:space="preserve"> - Dolomite</t>
    </r>
  </si>
  <si>
    <r>
      <t>M</t>
    </r>
    <r>
      <rPr>
        <b/>
        <vertAlign val="subscript"/>
        <sz val="11"/>
        <color rgb="FF533001"/>
        <rFont val="Times New Roman"/>
        <family val="1"/>
      </rPr>
      <t>lime</t>
    </r>
    <r>
      <rPr>
        <b/>
        <sz val="11"/>
        <color rgb="FF533001"/>
        <rFont val="Times New Roman"/>
        <family val="1"/>
      </rPr>
      <t xml:space="preserve"> - Gypsum</t>
    </r>
  </si>
  <si>
    <r>
      <t xml:space="preserve">⚠️ </t>
    </r>
    <r>
      <rPr>
        <b/>
        <sz val="12"/>
        <color rgb="FFC44340"/>
        <rFont val="Times New Roman"/>
        <family val="1"/>
      </rPr>
      <t>ALERT:</t>
    </r>
    <r>
      <rPr>
        <sz val="12"/>
        <color rgb="FFC44340"/>
        <rFont val="Times New Roman"/>
        <family val="1"/>
      </rPr>
      <t xml:space="preserve"> No Method 1 EF data for purchased services and contractor operations is in </t>
    </r>
    <r>
      <rPr>
        <i/>
        <sz val="12"/>
        <color rgb="FFC44340"/>
        <rFont val="Times New Roman"/>
        <family val="1"/>
      </rPr>
      <t>Greenhouse Gas Emission Intensities for Material Inputs to Australian Agriculture, Fisheries and Forestry</t>
    </r>
    <r>
      <rPr>
        <sz val="12"/>
        <color rgb="FFC44340"/>
        <rFont val="Times New Roman"/>
        <family val="1"/>
      </rPr>
      <t>. Use method 2 EF values from your chosen data source.</t>
    </r>
  </si>
  <si>
    <r>
      <t>Q</t>
    </r>
    <r>
      <rPr>
        <b/>
        <vertAlign val="subscript"/>
        <sz val="12"/>
        <color theme="1"/>
        <rFont val="Times New Roman"/>
        <family val="1"/>
      </rPr>
      <t>p</t>
    </r>
    <r>
      <rPr>
        <b/>
        <sz val="12"/>
        <color theme="1"/>
        <rFont val="Times New Roman"/>
        <family val="2"/>
      </rPr>
      <t xml:space="preserve"> (kg)</t>
    </r>
  </si>
  <si>
    <r>
      <t>EF</t>
    </r>
    <r>
      <rPr>
        <b/>
        <vertAlign val="subscript"/>
        <sz val="11"/>
        <color rgb="FF183C1B"/>
        <rFont val="Times New Roman"/>
        <family val="1"/>
      </rPr>
      <t xml:space="preserve">p </t>
    </r>
    <r>
      <rPr>
        <b/>
        <sz val="11"/>
        <color rgb="FF183C1B"/>
        <rFont val="Times New Roman"/>
        <family val="1"/>
      </rPr>
      <t>(Method 1)</t>
    </r>
  </si>
  <si>
    <r>
      <t>EF</t>
    </r>
    <r>
      <rPr>
        <b/>
        <vertAlign val="subscript"/>
        <sz val="11"/>
        <color rgb="FF533001"/>
        <rFont val="Times New Roman"/>
        <family val="1"/>
      </rPr>
      <t>p</t>
    </r>
    <r>
      <rPr>
        <b/>
        <sz val="11"/>
        <color rgb="FF533001"/>
        <rFont val="Times New Roman"/>
        <family val="1"/>
      </rPr>
      <t xml:space="preserve"> (Method 2)</t>
    </r>
  </si>
  <si>
    <t>Grow Media</t>
  </si>
  <si>
    <t>Grow media type</t>
  </si>
  <si>
    <t>m3</t>
  </si>
  <si>
    <t>Coir</t>
  </si>
  <si>
    <t>Peat moss</t>
  </si>
  <si>
    <t>tiny gravel</t>
  </si>
  <si>
    <t>Something</t>
  </si>
  <si>
    <t>EF (Method 2) Unit</t>
  </si>
  <si>
    <t>t / amount unit</t>
  </si>
  <si>
    <t>VARIATION ON SOURCE: In order for result to be in t CO2e, convert known EF kg values to tonnes by multiplying by 10^-3, and added a check for EF unit where EF is not constant.</t>
  </si>
  <si>
    <t>Amount (kg)</t>
  </si>
  <si>
    <t>Miscellaneous Inputs</t>
  </si>
  <si>
    <t>Uncategorised products with no Method 1 EF data</t>
  </si>
  <si>
    <t>Metro</t>
  </si>
  <si>
    <t>Non-metro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</si>
</sst>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43" formatCode="_-* #,##0.00_-;\-* #,##0.00_-;_-* &quot;-&quot;??_-;_-@_-"/>
    <numFmt numFmtId="164" formatCode="d/mm/yyyy;@"/>
    <numFmt numFmtId="165" formatCode="[$-C09]d\ mmmm\ yyyy;@"/>
    <numFmt numFmtId="166" formatCode="[$-C09]dd\-mmmm\-yyyy;@"/>
    <numFmt numFmtId="167" formatCode="0.000"/>
    <numFmt numFmtId="168" formatCode="_-* #,##0_-;\-* #,##0_-;_-* &quot;-&quot;??_-;_-@_-"/>
  </numFmts>
  <fonts count="70" x14ac:knownFonts="1">
    <font>
      <sz val="12"/>
      <color theme="1"/>
      <name val="Times New Roman"/>
      <family val="2"/>
    </font>
    <font>
      <b/>
      <sz val="20"/>
      <color rgb="FF183C1B"/>
      <name val="Times New Roman"/>
      <family val="1"/>
    </font>
    <font>
      <i/>
      <sz val="12"/>
      <color theme="1" tint="0.499984740745262"/>
      <name val="Times New Roman"/>
      <family val="1"/>
    </font>
    <font>
      <sz val="11"/>
      <color theme="1"/>
      <name val="Aptos Narrow"/>
      <family val="2"/>
      <scheme val="minor"/>
    </font>
    <font>
      <b/>
      <sz val="12"/>
      <color theme="1" tint="0.14999847407452621"/>
      <name val="Times New Roman"/>
      <family val="1"/>
    </font>
    <font>
      <b/>
      <sz val="16"/>
      <color theme="0"/>
      <name val="Times New Roman"/>
      <family val="1"/>
    </font>
    <font>
      <sz val="12"/>
      <color theme="1" tint="0.24994659260841701"/>
      <name val="Times New Roman"/>
      <family val="1"/>
    </font>
    <font>
      <sz val="18"/>
      <color theme="1" tint="0.14996795556505021"/>
      <name val="Times New Roman"/>
      <family val="1"/>
    </font>
    <font>
      <sz val="12"/>
      <color rgb="FF008000"/>
      <name val="Times New Roman"/>
      <family val="1"/>
    </font>
    <font>
      <sz val="12"/>
      <color rgb="FFC44340"/>
      <name val="Times New Roman"/>
      <family val="1"/>
    </font>
    <font>
      <i/>
      <sz val="12"/>
      <color theme="1" tint="0.34998626667073579"/>
      <name val="Times New Roman"/>
      <family val="1"/>
    </font>
    <font>
      <sz val="12"/>
      <color theme="1" tint="0.14999847407452621"/>
      <name val="Times New Roman"/>
      <family val="1"/>
    </font>
    <font>
      <sz val="9"/>
      <name val="Times New Roman"/>
      <family val="1"/>
    </font>
    <font>
      <sz val="9"/>
      <color theme="1" tint="0.249977111117893"/>
      <name val="Times New Roman"/>
      <family val="1"/>
    </font>
    <font>
      <sz val="9"/>
      <color rgb="FFCC6600"/>
      <name val="Times New Roman"/>
      <family val="1"/>
    </font>
    <font>
      <sz val="9"/>
      <color theme="1"/>
      <name val="Aptos Narrow"/>
      <family val="2"/>
      <scheme val="minor"/>
    </font>
    <font>
      <sz val="9"/>
      <color rgb="FF008000"/>
      <name val="Times New Roman"/>
      <family val="1"/>
    </font>
    <font>
      <sz val="12"/>
      <color theme="0"/>
      <name val="Times New Roman"/>
      <family val="1"/>
    </font>
    <font>
      <b/>
      <sz val="12"/>
      <color theme="1" tint="0.24994659260841701"/>
      <name val="Times New Roman"/>
      <family val="1"/>
    </font>
    <font>
      <b/>
      <sz val="9"/>
      <name val="Times New Roman"/>
      <family val="1"/>
    </font>
    <font>
      <b/>
      <sz val="20"/>
      <color rgb="FFCC6600"/>
      <name val="Times New Roman"/>
      <family val="1"/>
    </font>
    <font>
      <sz val="12"/>
      <color rgb="FF0070C0"/>
      <name val="Times New Roman"/>
      <family val="1"/>
    </font>
    <font>
      <b/>
      <sz val="11"/>
      <color rgb="FF533001"/>
      <name val="Times New Roman"/>
      <family val="1"/>
    </font>
    <font>
      <sz val="10"/>
      <color theme="1" tint="0.34998626667073579"/>
      <name val="Times New Roman"/>
      <family val="1"/>
    </font>
    <font>
      <i/>
      <sz val="12"/>
      <color theme="1" tint="0.14999847407452621"/>
      <name val="Times New Roman"/>
      <family val="1"/>
    </font>
    <font>
      <i/>
      <sz val="10"/>
      <color theme="1" tint="0.14999847407452621"/>
      <name val="Aptos Narrow"/>
      <family val="1"/>
      <scheme val="minor"/>
    </font>
    <font>
      <b/>
      <sz val="12"/>
      <color rgb="FFCC6600"/>
      <name val="Times New Roman"/>
      <family val="1"/>
    </font>
    <font>
      <b/>
      <sz val="12"/>
      <color theme="0" tint="-0.499984740745262"/>
      <name val="Times New Roman"/>
      <family val="1"/>
    </font>
    <font>
      <sz val="10"/>
      <color theme="0" tint="-0.499984740745262"/>
      <name val="Times New Roman"/>
      <family val="1"/>
    </font>
    <font>
      <b/>
      <sz val="11"/>
      <color rgb="FF183C1B"/>
      <name val="Times New Roman"/>
      <family val="1"/>
    </font>
    <font>
      <sz val="10"/>
      <color theme="1" tint="0.34998626667073579"/>
      <name val="Aptos Narrow"/>
      <family val="2"/>
      <scheme val="minor"/>
    </font>
    <font>
      <sz val="12"/>
      <color theme="0" tint="-4.9989318521683403E-2"/>
      <name val="Times New Roman"/>
      <family val="1"/>
    </font>
    <font>
      <sz val="12"/>
      <color theme="1" tint="0.34998626667073579"/>
      <name val="Times New Roman"/>
      <family val="1"/>
    </font>
    <font>
      <sz val="11"/>
      <name val="Times New Roman"/>
      <family val="1"/>
    </font>
    <font>
      <sz val="12"/>
      <name val="Times New Roman"/>
      <family val="1"/>
    </font>
    <font>
      <sz val="14"/>
      <color theme="1" tint="0.34998626667073579"/>
      <name val="Times New Roman"/>
      <family val="1"/>
    </font>
    <font>
      <sz val="11"/>
      <color theme="1"/>
      <name val="Times New Roman"/>
      <family val="1"/>
    </font>
    <font>
      <b/>
      <sz val="10"/>
      <color theme="1" tint="0.14999847407452621"/>
      <name val="Times New Roman"/>
      <family val="1"/>
    </font>
    <font>
      <sz val="11"/>
      <color theme="1"/>
      <name val="Times New Roman"/>
      <family val="2"/>
    </font>
    <font>
      <b/>
      <vertAlign val="subscript"/>
      <sz val="11"/>
      <color rgb="FF533001"/>
      <name val="Times New Roman"/>
      <family val="1"/>
    </font>
    <font>
      <i/>
      <sz val="12"/>
      <color rgb="FFCC6600"/>
      <name val="Times New Roman"/>
      <family val="1"/>
    </font>
    <font>
      <i/>
      <sz val="10"/>
      <color theme="1" tint="0.34998626667073579"/>
      <name val="Times New Roman"/>
      <family val="1"/>
    </font>
    <font>
      <b/>
      <sz val="12"/>
      <color rgb="FF0070C0"/>
      <name val="Times New Roman"/>
      <family val="1"/>
    </font>
    <font>
      <sz val="12"/>
      <color theme="1"/>
      <name val="Times New Roman"/>
      <family val="1"/>
    </font>
    <font>
      <sz val="12"/>
      <color theme="1" tint="0.14996795556505021"/>
      <name val="Times New Roman"/>
      <family val="1"/>
    </font>
    <font>
      <b/>
      <sz val="12"/>
      <color theme="1"/>
      <name val="Times New Roman"/>
      <family val="1"/>
    </font>
    <font>
      <b/>
      <sz val="11"/>
      <color theme="1" tint="0.249977111117893"/>
      <name val="Times New Roman"/>
      <family val="1"/>
    </font>
    <font>
      <sz val="12"/>
      <color theme="1" tint="0.249977111117893"/>
      <name val="Times New Roman"/>
      <family val="1"/>
    </font>
    <font>
      <b/>
      <sz val="12"/>
      <color theme="1" tint="0.249977111117893"/>
      <name val="Times New Roman"/>
      <family val="1"/>
    </font>
    <font>
      <u/>
      <sz val="11"/>
      <color theme="10"/>
      <name val="Aptos Narrow"/>
      <family val="2"/>
      <scheme val="minor"/>
    </font>
    <font>
      <sz val="11"/>
      <color rgb="FF242424"/>
      <name val="Consolas"/>
      <family val="3"/>
    </font>
    <font>
      <sz val="14"/>
      <color theme="5"/>
      <name val="Times New Roman"/>
      <family val="1"/>
    </font>
    <font>
      <b/>
      <sz val="12"/>
      <color theme="1"/>
      <name val="Times New Roman"/>
      <family val="2"/>
    </font>
    <font>
      <sz val="8"/>
      <name val="Times New Roman"/>
      <family val="2"/>
    </font>
    <font>
      <b/>
      <sz val="10"/>
      <color theme="1" tint="0.34998626667073579"/>
      <name val="Times New Roman"/>
      <family val="1"/>
    </font>
    <font>
      <b/>
      <sz val="11"/>
      <color theme="1"/>
      <name val="Aptos Narrow"/>
      <family val="2"/>
      <scheme val="minor"/>
    </font>
    <font>
      <i/>
      <sz val="10"/>
      <color theme="5" tint="-0.499984740745262"/>
      <name val="Times New Roman"/>
      <family val="1"/>
    </font>
    <font>
      <i/>
      <sz val="10"/>
      <color theme="6" tint="-0.499984740745262"/>
      <name val="Times New Roman"/>
      <family val="1"/>
    </font>
    <font>
      <u/>
      <sz val="10"/>
      <color theme="1" tint="0.34998626667073579"/>
      <name val="Times New Roman"/>
      <family val="1"/>
    </font>
    <font>
      <b/>
      <vertAlign val="subscript"/>
      <sz val="12"/>
      <color theme="1"/>
      <name val="Times New Roman"/>
      <family val="1"/>
    </font>
    <font>
      <b/>
      <vertAlign val="subscript"/>
      <sz val="11"/>
      <color rgb="FF183C1B"/>
      <name val="Times New Roman"/>
      <family val="1"/>
    </font>
    <font>
      <sz val="9"/>
      <color theme="1" tint="0.499984740745262"/>
      <name val="Courier New"/>
      <family val="3"/>
    </font>
    <font>
      <vertAlign val="subscript"/>
      <sz val="12"/>
      <color theme="1" tint="0.24994659260841701"/>
      <name val="Times New Roman"/>
      <family val="1"/>
    </font>
    <font>
      <vertAlign val="subscript"/>
      <sz val="10"/>
      <color theme="1" tint="0.34998626667073579"/>
      <name val="Times New Roman"/>
      <family val="1"/>
    </font>
    <font>
      <b/>
      <sz val="16"/>
      <color theme="1" tint="0.24994659260841701"/>
      <name val="Times New Roman"/>
      <family val="1"/>
    </font>
    <font>
      <sz val="16"/>
      <color theme="1" tint="0.24994659260841701"/>
      <name val="Times New Roman"/>
      <family val="1"/>
    </font>
    <font>
      <i/>
      <sz val="16"/>
      <color theme="1" tint="0.34998626667073579"/>
      <name val="Times New Roman"/>
      <family val="1"/>
    </font>
    <font>
      <b/>
      <sz val="14"/>
      <color theme="1" tint="0.24994659260841701"/>
      <name val="Times New Roman"/>
      <family val="1"/>
    </font>
    <font>
      <b/>
      <sz val="12"/>
      <color rgb="FFC44340"/>
      <name val="Times New Roman"/>
      <family val="1"/>
    </font>
    <font>
      <i/>
      <sz val="12"/>
      <color rgb="FFC44340"/>
      <name val="Times New Roman"/>
      <family val="1"/>
    </font>
  </fonts>
  <fills count="16">
    <fill>
      <patternFill patternType="none"/>
    </fill>
    <fill>
      <patternFill patternType="gray125"/>
    </fill>
    <fill>
      <patternFill patternType="solid">
        <fgColor theme="0" tint="-4.9989318521683403E-2"/>
        <bgColor indexed="64"/>
      </patternFill>
    </fill>
    <fill>
      <patternFill patternType="solid">
        <fgColor rgb="FF183C1B"/>
        <bgColor indexed="64"/>
      </patternFill>
    </fill>
    <fill>
      <patternFill patternType="solid">
        <fgColor rgb="FFB2D498"/>
        <bgColor indexed="64"/>
      </patternFill>
    </fill>
    <fill>
      <patternFill patternType="solid">
        <fgColor theme="0"/>
        <bgColor indexed="64"/>
      </patternFill>
    </fill>
    <fill>
      <patternFill patternType="solid">
        <fgColor theme="1" tint="0.499984740745262"/>
        <bgColor indexed="64"/>
      </patternFill>
    </fill>
    <fill>
      <patternFill patternType="solid">
        <fgColor rgb="FF533001"/>
        <bgColor indexed="64"/>
      </patternFill>
    </fill>
    <fill>
      <patternFill patternType="solid">
        <fgColor theme="3" tint="0.89996032593768116"/>
        <bgColor indexed="64"/>
      </patternFill>
    </fill>
    <fill>
      <patternFill patternType="solid">
        <fgColor rgb="FFCC6600"/>
        <bgColor indexed="64"/>
      </patternFill>
    </fill>
    <fill>
      <patternFill patternType="solid">
        <fgColor rgb="FFFFCC66"/>
        <bgColor indexed="64"/>
      </patternFill>
    </fill>
    <fill>
      <gradientFill degree="90">
        <stop position="0">
          <color theme="0"/>
        </stop>
        <stop position="1">
          <color theme="0" tint="-5.0965910824915313E-2"/>
        </stop>
      </gradientFill>
    </fill>
    <fill>
      <patternFill patternType="solid">
        <fgColor rgb="FF008000"/>
        <bgColor indexed="64"/>
      </patternFill>
    </fill>
    <fill>
      <patternFill patternType="solid">
        <fgColor rgb="FFFFFF00"/>
        <bgColor indexed="64"/>
      </patternFill>
    </fill>
    <fill>
      <patternFill patternType="solid">
        <fgColor rgb="FFDCECD0"/>
        <bgColor indexed="64"/>
      </patternFill>
    </fill>
    <fill>
      <patternFill patternType="solid">
        <fgColor rgb="FFFFEBC1"/>
        <bgColor indexed="64"/>
      </patternFill>
    </fill>
  </fills>
  <borders count="24">
    <border>
      <left/>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bottom style="thin">
        <color theme="0" tint="-0.34998626667073579"/>
      </bottom>
      <diagonal/>
    </border>
    <border>
      <left style="thin">
        <color theme="3" tint="0.749961851863155"/>
      </left>
      <right style="thin">
        <color theme="3" tint="0.749961851863155"/>
      </right>
      <top style="thin">
        <color theme="3" tint="0.749961851863155"/>
      </top>
      <bottom style="thin">
        <color theme="3" tint="0.749961851863155"/>
      </bottom>
      <diagonal/>
    </border>
    <border>
      <left style="thin">
        <color theme="3" tint="0.749961851863155"/>
      </left>
      <right/>
      <top style="thin">
        <color theme="3" tint="0.749961851863155"/>
      </top>
      <bottom/>
      <diagonal/>
    </border>
    <border>
      <left/>
      <right/>
      <top style="thin">
        <color theme="3" tint="0.749961851863155"/>
      </top>
      <bottom/>
      <diagonal/>
    </border>
    <border>
      <left/>
      <right style="thin">
        <color theme="3" tint="0.749961851863155"/>
      </right>
      <top style="thin">
        <color theme="3" tint="0.749961851863155"/>
      </top>
      <bottom/>
      <diagonal/>
    </border>
    <border>
      <left style="thin">
        <color theme="3" tint="0.749961851863155"/>
      </left>
      <right/>
      <top/>
      <bottom style="thin">
        <color theme="3" tint="0.749961851863155"/>
      </bottom>
      <diagonal/>
    </border>
    <border>
      <left/>
      <right/>
      <top/>
      <bottom style="thin">
        <color theme="3" tint="0.749961851863155"/>
      </bottom>
      <diagonal/>
    </border>
    <border>
      <left/>
      <right style="thin">
        <color theme="3" tint="0.749961851863155"/>
      </right>
      <top/>
      <bottom style="thin">
        <color theme="3" tint="0.749961851863155"/>
      </bottom>
      <diagonal/>
    </border>
    <border>
      <left/>
      <right/>
      <top style="thin">
        <color indexed="64"/>
      </top>
      <bottom/>
      <diagonal/>
    </border>
    <border>
      <left style="thin">
        <color theme="3" tint="0.749961851863155"/>
      </left>
      <right style="thin">
        <color theme="3" tint="0.749961851863155"/>
      </right>
      <top/>
      <bottom style="thin">
        <color theme="3" tint="0.749961851863155"/>
      </bottom>
      <diagonal/>
    </border>
    <border>
      <left style="thin">
        <color theme="0" tint="-0.34998626667073579"/>
      </left>
      <right style="thin">
        <color theme="0" tint="-0.34998626667073579"/>
      </right>
      <top/>
      <bottom/>
      <diagonal/>
    </border>
    <border>
      <left style="thin">
        <color theme="3" tint="0.749961851863155"/>
      </left>
      <right/>
      <top/>
      <bottom/>
      <diagonal/>
    </border>
    <border>
      <left/>
      <right style="thin">
        <color theme="3" tint="0.749961851863155"/>
      </right>
      <top/>
      <bottom/>
      <diagonal/>
    </border>
    <border>
      <left style="thin">
        <color theme="3" tint="0.749961851863155"/>
      </left>
      <right/>
      <top style="thin">
        <color theme="3" tint="0.749961851863155"/>
      </top>
      <bottom style="thin">
        <color theme="3" tint="0.749961851863155"/>
      </bottom>
      <diagonal/>
    </border>
    <border>
      <left/>
      <right style="thin">
        <color theme="3" tint="0.749961851863155"/>
      </right>
      <top style="thin">
        <color theme="3" tint="0.749961851863155"/>
      </top>
      <bottom style="thin">
        <color theme="3" tint="0.749961851863155"/>
      </bottom>
      <diagonal/>
    </border>
    <border>
      <left/>
      <right/>
      <top style="thin">
        <color theme="1" tint="0.249977111117893"/>
      </top>
      <bottom/>
      <diagonal/>
    </border>
    <border>
      <left/>
      <right/>
      <top style="thin">
        <color theme="3" tint="0.749961851863155"/>
      </top>
      <bottom style="thin">
        <color theme="0" tint="-0.34998626667073579"/>
      </bottom>
      <diagonal/>
    </border>
    <border>
      <left/>
      <right/>
      <top style="thin">
        <color theme="3" tint="0.749961851863155"/>
      </top>
      <bottom style="thin">
        <color theme="3" tint="0.749961851863155"/>
      </bottom>
      <diagonal/>
    </border>
    <border>
      <left/>
      <right/>
      <top style="thin">
        <color theme="1" tint="0.499984740745262"/>
      </top>
      <bottom/>
      <diagonal/>
    </border>
    <border>
      <left style="thin">
        <color theme="0" tint="-0.34998626667073579"/>
      </left>
      <right style="thin">
        <color theme="0" tint="-0.34998626667073579"/>
      </right>
      <top style="thin">
        <color theme="0" tint="-0.34998626667073579"/>
      </top>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s>
  <cellStyleXfs count="53">
    <xf numFmtId="0" fontId="0" fillId="0" borderId="0"/>
    <xf numFmtId="0" fontId="1" fillId="0" borderId="0"/>
    <xf numFmtId="0" fontId="2" fillId="0" borderId="0">
      <alignment vertical="center"/>
    </xf>
    <xf numFmtId="0" fontId="3" fillId="0" borderId="0"/>
    <xf numFmtId="0" fontId="4" fillId="2" borderId="0">
      <alignment horizontal="left" vertical="center"/>
    </xf>
    <xf numFmtId="0" fontId="5" fillId="3" borderId="0">
      <alignment vertical="center"/>
    </xf>
    <xf numFmtId="0" fontId="6" fillId="2" borderId="0">
      <alignment horizontal="left" vertical="center"/>
    </xf>
    <xf numFmtId="0" fontId="7" fillId="2" borderId="0">
      <alignment horizontal="left" vertical="center"/>
    </xf>
    <xf numFmtId="0" fontId="8" fillId="2" borderId="0">
      <alignment vertical="center"/>
    </xf>
    <xf numFmtId="0" fontId="9" fillId="2" borderId="0">
      <alignment horizontal="left" vertical="center"/>
    </xf>
    <xf numFmtId="0" fontId="10" fillId="2" borderId="0">
      <alignment horizontal="left" vertical="center"/>
    </xf>
    <xf numFmtId="0" fontId="11" fillId="0" borderId="0">
      <alignment horizontal="left" vertical="center" indent="1"/>
    </xf>
    <xf numFmtId="0" fontId="13" fillId="5" borderId="2">
      <alignment horizontal="left" vertical="center" indent="1"/>
    </xf>
    <xf numFmtId="0" fontId="17" fillId="6" borderId="0">
      <alignment horizontal="left" vertical="center" indent="1"/>
    </xf>
    <xf numFmtId="0" fontId="20" fillId="0" borderId="0"/>
    <xf numFmtId="0" fontId="5" fillId="7" borderId="0">
      <alignment vertical="center"/>
    </xf>
    <xf numFmtId="0" fontId="21" fillId="8" borderId="3">
      <alignment horizontal="left" vertical="center"/>
    </xf>
    <xf numFmtId="0" fontId="17" fillId="9" borderId="0">
      <alignment horizontal="left" vertical="center" indent="1"/>
    </xf>
    <xf numFmtId="0" fontId="22" fillId="10" borderId="0">
      <alignment horizontal="center" vertical="center"/>
      <protection locked="0"/>
    </xf>
    <xf numFmtId="0" fontId="4" fillId="11" borderId="1">
      <alignment horizontal="center" vertical="center"/>
    </xf>
    <xf numFmtId="0" fontId="23" fillId="2" borderId="1">
      <alignment horizontal="center" vertical="center"/>
    </xf>
    <xf numFmtId="9" fontId="11" fillId="0" borderId="1">
      <alignment horizontal="center" vertical="center"/>
    </xf>
    <xf numFmtId="0" fontId="25" fillId="0" borderId="0"/>
    <xf numFmtId="0" fontId="26" fillId="2" borderId="0">
      <alignment horizontal="left" vertical="center"/>
    </xf>
    <xf numFmtId="0" fontId="27" fillId="2" borderId="0">
      <alignment horizontal="left" vertical="center"/>
    </xf>
    <xf numFmtId="0" fontId="28" fillId="2" borderId="0">
      <alignment horizontal="left" vertical="center"/>
    </xf>
    <xf numFmtId="0" fontId="29" fillId="4" borderId="0">
      <alignment horizontal="center" vertical="center"/>
    </xf>
    <xf numFmtId="0" fontId="30" fillId="2" borderId="0" applyNumberFormat="0">
      <alignment horizontal="center" vertical="center"/>
    </xf>
    <xf numFmtId="0" fontId="31" fillId="2" borderId="0">
      <alignment horizontal="left" vertical="center"/>
    </xf>
    <xf numFmtId="0" fontId="10" fillId="2" borderId="0">
      <alignment horizontal="left" vertical="center" indent="1"/>
    </xf>
    <xf numFmtId="0" fontId="11" fillId="0" borderId="1">
      <alignment horizontal="center" vertical="center"/>
    </xf>
    <xf numFmtId="0" fontId="35" fillId="2" borderId="0">
      <alignment horizontal="left" vertical="center"/>
    </xf>
    <xf numFmtId="4" fontId="11" fillId="0" borderId="1">
      <alignment horizontal="center" vertical="center"/>
    </xf>
    <xf numFmtId="0" fontId="3" fillId="0" borderId="0"/>
    <xf numFmtId="43" fontId="3" fillId="0" borderId="0" applyFont="0" applyFill="0" applyBorder="0" applyAlignment="0" applyProtection="0"/>
    <xf numFmtId="0" fontId="11" fillId="0" borderId="1">
      <alignment horizontal="center" vertical="center"/>
    </xf>
    <xf numFmtId="9" fontId="3" fillId="0" borderId="0" applyFont="0" applyFill="0" applyBorder="0" applyAlignment="0" applyProtection="0"/>
    <xf numFmtId="164" fontId="23" fillId="2" borderId="1">
      <alignment horizontal="center" vertical="center"/>
    </xf>
    <xf numFmtId="0" fontId="40" fillId="2" borderId="0">
      <alignment vertical="center"/>
    </xf>
    <xf numFmtId="166" fontId="11" fillId="0" borderId="1">
      <alignment horizontal="center" vertical="center"/>
    </xf>
    <xf numFmtId="3" fontId="23" fillId="2" borderId="1">
      <alignment horizontal="center" vertical="center"/>
    </xf>
    <xf numFmtId="167" fontId="44" fillId="2" borderId="20">
      <alignment horizontal="center" vertical="center"/>
    </xf>
    <xf numFmtId="0" fontId="49" fillId="0" borderId="0" applyNumberFormat="0" applyFill="0" applyBorder="0" applyAlignment="0" applyProtection="0"/>
    <xf numFmtId="3" fontId="11" fillId="0" borderId="1">
      <alignment horizontal="center" vertical="center"/>
    </xf>
    <xf numFmtId="0" fontId="29" fillId="4" borderId="0">
      <alignment horizontal="left" vertical="center" indent="1"/>
      <protection locked="0"/>
    </xf>
    <xf numFmtId="0" fontId="17" fillId="12" borderId="0">
      <alignment horizontal="left" vertical="center" indent="1"/>
    </xf>
    <xf numFmtId="0" fontId="51" fillId="2" borderId="0">
      <alignment horizontal="left" vertical="center"/>
    </xf>
    <xf numFmtId="0" fontId="22" fillId="10" borderId="0">
      <alignment horizontal="left" vertical="center" indent="1"/>
    </xf>
    <xf numFmtId="0" fontId="23" fillId="2" borderId="1">
      <alignment horizontal="left" vertical="center"/>
    </xf>
    <xf numFmtId="0" fontId="56" fillId="15" borderId="1">
      <alignment horizontal="center" vertical="center"/>
    </xf>
    <xf numFmtId="0" fontId="57" fillId="14" borderId="1">
      <alignment horizontal="center" vertical="center"/>
    </xf>
    <xf numFmtId="0" fontId="58" fillId="2" borderId="1">
      <alignment horizontal="left" vertical="center"/>
    </xf>
    <xf numFmtId="0" fontId="61" fillId="2" borderId="0">
      <alignment horizontal="left" vertical="center"/>
    </xf>
  </cellStyleXfs>
  <cellXfs count="197">
    <xf numFmtId="0" fontId="0" fillId="0" borderId="0" xfId="0"/>
    <xf numFmtId="0" fontId="1" fillId="0" borderId="0" xfId="1"/>
    <xf numFmtId="0" fontId="2" fillId="0" borderId="0" xfId="2">
      <alignment vertical="center"/>
    </xf>
    <xf numFmtId="0" fontId="3" fillId="0" borderId="0" xfId="3"/>
    <xf numFmtId="0" fontId="4" fillId="0" borderId="0" xfId="4" applyFill="1">
      <alignment horizontal="left" vertical="center"/>
    </xf>
    <xf numFmtId="0" fontId="5" fillId="3" borderId="0" xfId="5">
      <alignment vertical="center"/>
    </xf>
    <xf numFmtId="0" fontId="5" fillId="0" borderId="0" xfId="5" applyFill="1">
      <alignment vertical="center"/>
    </xf>
    <xf numFmtId="0" fontId="4" fillId="2" borderId="0" xfId="4">
      <alignment horizontal="left" vertical="center"/>
    </xf>
    <xf numFmtId="0" fontId="6" fillId="2" borderId="0" xfId="6">
      <alignment horizontal="left" vertical="center"/>
    </xf>
    <xf numFmtId="0" fontId="7" fillId="2" borderId="0" xfId="7">
      <alignment horizontal="left" vertical="center"/>
    </xf>
    <xf numFmtId="0" fontId="0" fillId="0" borderId="0" xfId="6" applyFont="1" applyFill="1">
      <alignment horizontal="left" vertical="center"/>
    </xf>
    <xf numFmtId="0" fontId="8" fillId="2" borderId="0" xfId="8">
      <alignment vertical="center"/>
    </xf>
    <xf numFmtId="0" fontId="9" fillId="2" borderId="0" xfId="9">
      <alignment horizontal="left" vertical="center"/>
    </xf>
    <xf numFmtId="0" fontId="10" fillId="2" borderId="0" xfId="10">
      <alignment horizontal="left" vertical="center"/>
    </xf>
    <xf numFmtId="0" fontId="3" fillId="2" borderId="0" xfId="3" applyFill="1"/>
    <xf numFmtId="0" fontId="0" fillId="0" borderId="0" xfId="4" applyFont="1" applyFill="1">
      <alignment horizontal="left" vertical="center"/>
    </xf>
    <xf numFmtId="0" fontId="11" fillId="0" borderId="0" xfId="11">
      <alignment horizontal="left" vertical="center" indent="1"/>
    </xf>
    <xf numFmtId="0" fontId="12" fillId="2" borderId="0" xfId="3" applyFont="1" applyFill="1"/>
    <xf numFmtId="0" fontId="11" fillId="5" borderId="0" xfId="4" applyFont="1" applyFill="1" applyAlignment="1">
      <alignment horizontal="left" vertical="center" indent="1"/>
    </xf>
    <xf numFmtId="0" fontId="14" fillId="5" borderId="2" xfId="12" applyFont="1">
      <alignment horizontal="left" vertical="center" indent="1"/>
    </xf>
    <xf numFmtId="0" fontId="16" fillId="5" borderId="2" xfId="12" applyFont="1">
      <alignment horizontal="left" vertical="center" indent="1"/>
    </xf>
    <xf numFmtId="0" fontId="13" fillId="5" borderId="2" xfId="12">
      <alignment horizontal="left" vertical="center" indent="1"/>
    </xf>
    <xf numFmtId="0" fontId="17" fillId="6" borderId="0" xfId="13">
      <alignment horizontal="left" vertical="center" indent="1"/>
    </xf>
    <xf numFmtId="0" fontId="15" fillId="0" borderId="0" xfId="3" applyFont="1" applyAlignment="1">
      <alignment vertical="center"/>
    </xf>
    <xf numFmtId="0" fontId="18" fillId="2" borderId="0" xfId="6" applyFont="1">
      <alignment horizontal="left" vertical="center"/>
    </xf>
    <xf numFmtId="0" fontId="6" fillId="2" borderId="0" xfId="6" applyAlignment="1">
      <alignment horizontal="right" vertical="center"/>
    </xf>
    <xf numFmtId="0" fontId="18" fillId="2" borderId="0" xfId="6" applyFont="1" applyAlignment="1">
      <alignment horizontal="right" vertical="center"/>
    </xf>
    <xf numFmtId="0" fontId="20" fillId="0" borderId="0" xfId="14"/>
    <xf numFmtId="0" fontId="5" fillId="7" borderId="0" xfId="15">
      <alignment vertical="center"/>
    </xf>
    <xf numFmtId="0" fontId="21" fillId="8" borderId="4" xfId="16" applyBorder="1">
      <alignment horizontal="left" vertical="center"/>
    </xf>
    <xf numFmtId="0" fontId="21" fillId="8" borderId="5" xfId="16" applyBorder="1">
      <alignment horizontal="left" vertical="center"/>
    </xf>
    <xf numFmtId="0" fontId="21" fillId="8" borderId="6" xfId="16" applyBorder="1">
      <alignment horizontal="left" vertical="center"/>
    </xf>
    <xf numFmtId="0" fontId="17" fillId="9" borderId="0" xfId="17">
      <alignment horizontal="left" vertical="center" indent="1"/>
    </xf>
    <xf numFmtId="0" fontId="21" fillId="8" borderId="7" xfId="16" applyBorder="1">
      <alignment horizontal="left" vertical="center"/>
    </xf>
    <xf numFmtId="0" fontId="21" fillId="8" borderId="8" xfId="16" applyBorder="1">
      <alignment horizontal="left" vertical="center"/>
    </xf>
    <xf numFmtId="0" fontId="21" fillId="8" borderId="9" xfId="16" applyBorder="1">
      <alignment horizontal="left" vertical="center"/>
    </xf>
    <xf numFmtId="0" fontId="22" fillId="10" borderId="0" xfId="18">
      <alignment horizontal="center" vertical="center"/>
      <protection locked="0"/>
    </xf>
    <xf numFmtId="0" fontId="4" fillId="11" borderId="1" xfId="19">
      <alignment horizontal="center" vertical="center"/>
    </xf>
    <xf numFmtId="0" fontId="0" fillId="0" borderId="0" xfId="4" applyFont="1" applyFill="1" applyAlignment="1">
      <alignment horizontal="center" vertical="center"/>
    </xf>
    <xf numFmtId="0" fontId="23" fillId="2" borderId="1" xfId="20">
      <alignment horizontal="center" vertical="center"/>
    </xf>
    <xf numFmtId="9" fontId="0" fillId="0" borderId="0" xfId="21" applyFont="1" applyBorder="1">
      <alignment horizontal="center" vertical="center"/>
    </xf>
    <xf numFmtId="0" fontId="24" fillId="0" borderId="0" xfId="11" applyFont="1">
      <alignment horizontal="left" vertical="center" indent="1"/>
    </xf>
    <xf numFmtId="0" fontId="6" fillId="2" borderId="0" xfId="6" applyAlignment="1">
      <alignment horizontal="left" vertical="center" wrapText="1"/>
    </xf>
    <xf numFmtId="0" fontId="3" fillId="0" borderId="0" xfId="3" applyAlignment="1">
      <alignment wrapText="1"/>
    </xf>
    <xf numFmtId="0" fontId="12" fillId="0" borderId="0" xfId="3" applyFont="1" applyAlignment="1">
      <alignment wrapText="1"/>
    </xf>
    <xf numFmtId="0" fontId="25" fillId="0" borderId="0" xfId="22"/>
    <xf numFmtId="0" fontId="26" fillId="2" borderId="0" xfId="23">
      <alignment horizontal="left" vertical="center"/>
    </xf>
    <xf numFmtId="0" fontId="27" fillId="2" borderId="0" xfId="24">
      <alignment horizontal="left" vertical="center"/>
    </xf>
    <xf numFmtId="0" fontId="28" fillId="2" borderId="0" xfId="25">
      <alignment horizontal="left" vertical="center"/>
    </xf>
    <xf numFmtId="0" fontId="29" fillId="4" borderId="0" xfId="26">
      <alignment horizontal="center" vertical="center"/>
    </xf>
    <xf numFmtId="0" fontId="30" fillId="2" borderId="0" xfId="27" applyAlignment="1">
      <alignment horizontal="left" vertical="center"/>
    </xf>
    <xf numFmtId="0" fontId="31" fillId="2" borderId="0" xfId="28">
      <alignment horizontal="left" vertical="center"/>
    </xf>
    <xf numFmtId="0" fontId="4" fillId="2" borderId="10" xfId="4" applyBorder="1">
      <alignment horizontal="left" vertical="center"/>
    </xf>
    <xf numFmtId="0" fontId="30" fillId="2" borderId="10" xfId="27" applyBorder="1" applyAlignment="1">
      <alignment horizontal="left" vertical="center"/>
    </xf>
    <xf numFmtId="0" fontId="3" fillId="0" borderId="0" xfId="3" applyAlignment="1">
      <alignment vertical="center"/>
    </xf>
    <xf numFmtId="0" fontId="3" fillId="0" borderId="0" xfId="3" applyAlignment="1">
      <alignment vertical="center" wrapText="1"/>
    </xf>
    <xf numFmtId="0" fontId="3" fillId="0" borderId="0" xfId="3" applyAlignment="1">
      <alignment horizontal="center" vertical="center" wrapText="1"/>
    </xf>
    <xf numFmtId="0" fontId="10" fillId="2" borderId="0" xfId="29">
      <alignment horizontal="left" vertical="center" indent="1"/>
    </xf>
    <xf numFmtId="0" fontId="11" fillId="0" borderId="1" xfId="30">
      <alignment horizontal="center" vertical="center"/>
    </xf>
    <xf numFmtId="0" fontId="33" fillId="2" borderId="0" xfId="3" applyFont="1" applyFill="1" applyAlignment="1">
      <alignment horizontal="center" vertical="center"/>
    </xf>
    <xf numFmtId="0" fontId="33" fillId="2" borderId="0" xfId="3" applyFont="1" applyFill="1"/>
    <xf numFmtId="0" fontId="34" fillId="2" borderId="0" xfId="3" applyFont="1" applyFill="1"/>
    <xf numFmtId="0" fontId="21" fillId="8" borderId="11" xfId="16" applyBorder="1">
      <alignment horizontal="left" vertical="center"/>
    </xf>
    <xf numFmtId="0" fontId="35" fillId="2" borderId="0" xfId="31">
      <alignment horizontal="left" vertical="center"/>
    </xf>
    <xf numFmtId="0" fontId="3" fillId="0" borderId="0" xfId="3" applyAlignment="1" applyProtection="1">
      <alignment horizontal="center" vertical="center" wrapText="1"/>
      <protection locked="0"/>
    </xf>
    <xf numFmtId="0" fontId="4" fillId="11" borderId="1" xfId="19" applyAlignment="1">
      <alignment horizontal="center" vertical="center" wrapText="1"/>
    </xf>
    <xf numFmtId="4" fontId="0" fillId="0" borderId="0" xfId="32" applyFont="1" applyBorder="1" applyAlignment="1">
      <alignment horizontal="center" vertical="center" wrapText="1"/>
    </xf>
    <xf numFmtId="0" fontId="23" fillId="2" borderId="1" xfId="20" applyAlignment="1">
      <alignment horizontal="center" vertical="center" wrapText="1"/>
    </xf>
    <xf numFmtId="0" fontId="36" fillId="2" borderId="0" xfId="33" applyFont="1" applyFill="1" applyAlignment="1">
      <alignment horizontal="left" vertical="center" wrapText="1"/>
    </xf>
    <xf numFmtId="2" fontId="33" fillId="2" borderId="0" xfId="34" applyNumberFormat="1" applyFont="1" applyFill="1" applyBorder="1" applyAlignment="1" applyProtection="1">
      <alignment horizontal="center" wrapText="1"/>
      <protection locked="0"/>
    </xf>
    <xf numFmtId="1" fontId="33" fillId="2" borderId="0" xfId="34" applyNumberFormat="1" applyFont="1" applyFill="1" applyBorder="1" applyAlignment="1" applyProtection="1">
      <alignment horizontal="center" wrapText="1"/>
      <protection locked="0"/>
    </xf>
    <xf numFmtId="0" fontId="33" fillId="2" borderId="0" xfId="3" applyFont="1" applyFill="1" applyAlignment="1">
      <alignment horizontal="left" wrapText="1"/>
    </xf>
    <xf numFmtId="0" fontId="34" fillId="2" borderId="0" xfId="3" applyFont="1" applyFill="1" applyAlignment="1">
      <alignment wrapText="1"/>
    </xf>
    <xf numFmtId="0" fontId="35" fillId="2" borderId="0" xfId="31" applyAlignment="1">
      <alignment horizontal="left" vertical="center" wrapText="1"/>
    </xf>
    <xf numFmtId="0" fontId="3" fillId="2" borderId="0" xfId="3" applyFill="1" applyAlignment="1">
      <alignment wrapText="1"/>
    </xf>
    <xf numFmtId="0" fontId="11" fillId="0" borderId="1" xfId="35">
      <alignment horizontal="center" vertical="center"/>
    </xf>
    <xf numFmtId="0" fontId="37" fillId="11" borderId="1" xfId="19" applyFont="1" applyAlignment="1">
      <alignment horizontal="center" vertical="center" wrapText="1"/>
    </xf>
    <xf numFmtId="9" fontId="0" fillId="0" borderId="0" xfId="36" applyFont="1" applyFill="1" applyBorder="1" applyAlignment="1">
      <alignment horizontal="center" vertical="center" wrapText="1"/>
    </xf>
    <xf numFmtId="0" fontId="37" fillId="11" borderId="1" xfId="19" applyFont="1">
      <alignment horizontal="center" vertical="center"/>
    </xf>
    <xf numFmtId="9" fontId="11" fillId="0" borderId="1" xfId="21">
      <alignment horizontal="center" vertical="center"/>
    </xf>
    <xf numFmtId="9" fontId="0" fillId="0" borderId="12" xfId="36" applyFont="1" applyFill="1" applyBorder="1" applyAlignment="1">
      <alignment horizontal="center" vertical="center" wrapText="1"/>
    </xf>
    <xf numFmtId="0" fontId="21" fillId="8" borderId="13" xfId="16" applyBorder="1">
      <alignment horizontal="left" vertical="center"/>
    </xf>
    <xf numFmtId="0" fontId="21" fillId="8" borderId="0" xfId="16" applyBorder="1">
      <alignment horizontal="left" vertical="center"/>
    </xf>
    <xf numFmtId="0" fontId="21" fillId="8" borderId="14" xfId="16" applyBorder="1">
      <alignment horizontal="left" vertical="center"/>
    </xf>
    <xf numFmtId="0" fontId="22" fillId="10" borderId="0" xfId="18" applyAlignment="1">
      <alignment horizontal="center" vertical="center" wrapText="1"/>
      <protection locked="0"/>
    </xf>
    <xf numFmtId="0" fontId="0" fillId="0" borderId="0" xfId="35" applyFont="1" applyBorder="1" applyAlignment="1">
      <alignment horizontal="center" vertical="center" wrapText="1"/>
    </xf>
    <xf numFmtId="9" fontId="0" fillId="0" borderId="0" xfId="21" applyFont="1" applyBorder="1" applyAlignment="1">
      <alignment horizontal="center" vertical="center" wrapText="1"/>
    </xf>
    <xf numFmtId="9" fontId="4" fillId="2" borderId="0" xfId="36" applyFont="1" applyFill="1" applyAlignment="1">
      <alignment horizontal="center" vertical="center" wrapText="1"/>
    </xf>
    <xf numFmtId="9" fontId="3" fillId="2" borderId="0" xfId="3" applyNumberFormat="1" applyFill="1"/>
    <xf numFmtId="0" fontId="21" fillId="8" borderId="15" xfId="16" applyBorder="1">
      <alignment horizontal="left" vertical="center"/>
    </xf>
    <xf numFmtId="0" fontId="21" fillId="8" borderId="16" xfId="16" applyBorder="1">
      <alignment horizontal="left" vertical="center"/>
    </xf>
    <xf numFmtId="4" fontId="11" fillId="0" borderId="1" xfId="32">
      <alignment horizontal="center" vertical="center"/>
    </xf>
    <xf numFmtId="0" fontId="6" fillId="2" borderId="10" xfId="6" applyBorder="1">
      <alignment horizontal="left" vertical="center"/>
    </xf>
    <xf numFmtId="164" fontId="23" fillId="2" borderId="1" xfId="37">
      <alignment horizontal="center" vertical="center"/>
    </xf>
    <xf numFmtId="165" fontId="0" fillId="0" borderId="0" xfId="6" applyNumberFormat="1" applyFont="1" applyFill="1">
      <alignment horizontal="left" vertical="center"/>
    </xf>
    <xf numFmtId="0" fontId="30" fillId="2" borderId="0" xfId="27">
      <alignment horizontal="center" vertical="center"/>
    </xf>
    <xf numFmtId="43" fontId="6" fillId="2" borderId="0" xfId="6" applyNumberFormat="1">
      <alignment horizontal="left" vertical="center"/>
    </xf>
    <xf numFmtId="0" fontId="20" fillId="0" borderId="0" xfId="1" applyFont="1"/>
    <xf numFmtId="0" fontId="4" fillId="2" borderId="17" xfId="4" applyBorder="1">
      <alignment horizontal="left" vertical="center"/>
    </xf>
    <xf numFmtId="0" fontId="7" fillId="0" borderId="0" xfId="7" applyFill="1">
      <alignment horizontal="left" vertical="center"/>
    </xf>
    <xf numFmtId="0" fontId="40" fillId="2" borderId="0" xfId="38">
      <alignment vertical="center"/>
    </xf>
    <xf numFmtId="0" fontId="8" fillId="0" borderId="0" xfId="8" applyFill="1">
      <alignment vertical="center"/>
    </xf>
    <xf numFmtId="0" fontId="11" fillId="2" borderId="0" xfId="4" applyFont="1">
      <alignment horizontal="left" vertical="center"/>
    </xf>
    <xf numFmtId="0" fontId="6" fillId="0" borderId="0" xfId="6" applyFill="1">
      <alignment horizontal="left" vertical="center"/>
    </xf>
    <xf numFmtId="0" fontId="21" fillId="8" borderId="18" xfId="16" applyBorder="1">
      <alignment horizontal="left" vertical="center"/>
    </xf>
    <xf numFmtId="0" fontId="21" fillId="8" borderId="19" xfId="16" applyBorder="1">
      <alignment horizontal="left" vertical="center"/>
    </xf>
    <xf numFmtId="0" fontId="41" fillId="0" borderId="0" xfId="29" applyFont="1" applyFill="1" applyAlignment="1">
      <alignment horizontal="left" vertical="center"/>
    </xf>
    <xf numFmtId="166" fontId="11" fillId="0" borderId="1" xfId="39">
      <alignment horizontal="center" vertical="center"/>
    </xf>
    <xf numFmtId="164" fontId="23" fillId="2" borderId="1" xfId="40" applyNumberFormat="1">
      <alignment horizontal="center" vertical="center"/>
    </xf>
    <xf numFmtId="0" fontId="11" fillId="0" borderId="0" xfId="4" applyFont="1" applyFill="1">
      <alignment horizontal="left" vertical="center"/>
    </xf>
    <xf numFmtId="0" fontId="42" fillId="8" borderId="4" xfId="16" applyFont="1" applyBorder="1">
      <alignment horizontal="left" vertical="center"/>
    </xf>
    <xf numFmtId="4" fontId="11" fillId="2" borderId="0" xfId="32" applyFill="1" applyBorder="1">
      <alignment horizontal="center" vertical="center"/>
    </xf>
    <xf numFmtId="0" fontId="22" fillId="2" borderId="0" xfId="18" applyFill="1">
      <alignment horizontal="center" vertical="center"/>
      <protection locked="0"/>
    </xf>
    <xf numFmtId="0" fontId="36" fillId="0" borderId="0" xfId="3" applyFont="1" applyAlignment="1" applyProtection="1">
      <alignment horizontal="center" vertical="center"/>
      <protection locked="0"/>
    </xf>
    <xf numFmtId="4" fontId="43" fillId="0" borderId="0" xfId="32" applyFont="1" applyBorder="1">
      <alignment horizontal="center" vertical="center"/>
    </xf>
    <xf numFmtId="167" fontId="44" fillId="2" borderId="0" xfId="41" applyBorder="1">
      <alignment horizontal="center" vertical="center"/>
    </xf>
    <xf numFmtId="4" fontId="43" fillId="2" borderId="0" xfId="32" applyFont="1" applyFill="1" applyBorder="1">
      <alignment horizontal="center" vertical="center"/>
    </xf>
    <xf numFmtId="0" fontId="43" fillId="2" borderId="0" xfId="29" applyFont="1" applyAlignment="1">
      <alignment horizontal="center" vertical="center"/>
    </xf>
    <xf numFmtId="0" fontId="43" fillId="2" borderId="0" xfId="6" applyFont="1" applyAlignment="1">
      <alignment horizontal="center" vertical="center"/>
    </xf>
    <xf numFmtId="164" fontId="43" fillId="2" borderId="0" xfId="6" applyNumberFormat="1" applyFont="1" applyAlignment="1">
      <alignment horizontal="center" vertical="center"/>
    </xf>
    <xf numFmtId="9" fontId="43" fillId="2" borderId="0" xfId="36" applyFont="1" applyFill="1" applyBorder="1" applyAlignment="1">
      <alignment horizontal="center" vertical="center"/>
    </xf>
    <xf numFmtId="0" fontId="45" fillId="2" borderId="0" xfId="3" applyFont="1" applyFill="1" applyAlignment="1">
      <alignment horizontal="center" vertical="center"/>
    </xf>
    <xf numFmtId="0" fontId="45" fillId="2" borderId="0" xfId="3" applyFont="1" applyFill="1"/>
    <xf numFmtId="0" fontId="43" fillId="2" borderId="0" xfId="3" applyFont="1" applyFill="1"/>
    <xf numFmtId="0" fontId="43" fillId="0" borderId="0" xfId="3" applyFont="1"/>
    <xf numFmtId="0" fontId="46" fillId="2" borderId="0" xfId="4" applyFont="1" applyAlignment="1">
      <alignment horizontal="center" vertical="center"/>
    </xf>
    <xf numFmtId="0" fontId="47" fillId="2" borderId="0" xfId="4" applyFont="1" applyAlignment="1">
      <alignment horizontal="center" vertical="center"/>
    </xf>
    <xf numFmtId="164" fontId="47" fillId="2" borderId="0" xfId="4" applyNumberFormat="1" applyFont="1" applyAlignment="1">
      <alignment horizontal="center" vertical="center"/>
    </xf>
    <xf numFmtId="0" fontId="47" fillId="2" borderId="0" xfId="3" applyFont="1" applyFill="1" applyAlignment="1">
      <alignment horizontal="center" vertical="center"/>
    </xf>
    <xf numFmtId="0" fontId="48" fillId="2" borderId="0" xfId="3" applyFont="1" applyFill="1" applyAlignment="1">
      <alignment horizontal="center" vertical="center"/>
    </xf>
    <xf numFmtId="0" fontId="48" fillId="2" borderId="0" xfId="3" applyFont="1" applyFill="1" applyAlignment="1">
      <alignment horizontal="left" vertical="center"/>
    </xf>
    <xf numFmtId="14" fontId="4" fillId="2" borderId="0" xfId="4" applyNumberFormat="1">
      <alignment horizontal="left" vertical="center"/>
    </xf>
    <xf numFmtId="0" fontId="21" fillId="8" borderId="3" xfId="16">
      <alignment horizontal="left" vertical="center"/>
    </xf>
    <xf numFmtId="0" fontId="49" fillId="2" borderId="0" xfId="42" applyFill="1" applyBorder="1"/>
    <xf numFmtId="164" fontId="11" fillId="2" borderId="0" xfId="43" applyNumberFormat="1" applyFill="1" applyBorder="1">
      <alignment horizontal="center" vertical="center"/>
    </xf>
    <xf numFmtId="168" fontId="4" fillId="2" borderId="0" xfId="34" applyNumberFormat="1" applyFont="1" applyFill="1" applyBorder="1" applyAlignment="1">
      <alignment horizontal="center" vertical="center"/>
    </xf>
    <xf numFmtId="0" fontId="0" fillId="2" borderId="0" xfId="4" applyFont="1">
      <alignment horizontal="left" vertical="center"/>
    </xf>
    <xf numFmtId="0" fontId="50" fillId="2" borderId="0" xfId="3" applyFont="1" applyFill="1"/>
    <xf numFmtId="4" fontId="0" fillId="0" borderId="0" xfId="0" applyNumberFormat="1"/>
    <xf numFmtId="0" fontId="11" fillId="0" borderId="0" xfId="4" applyFont="1" applyFill="1" applyAlignment="1">
      <alignment horizontal="left" vertical="center" indent="1"/>
    </xf>
    <xf numFmtId="0" fontId="12" fillId="0" borderId="0" xfId="3" applyFont="1"/>
    <xf numFmtId="0" fontId="0" fillId="0" borderId="0" xfId="35" applyFont="1" applyBorder="1">
      <alignment horizontal="center" vertical="center"/>
    </xf>
    <xf numFmtId="0" fontId="5" fillId="0" borderId="0" xfId="15" applyFill="1">
      <alignment vertical="center"/>
    </xf>
    <xf numFmtId="0" fontId="51" fillId="2" borderId="0" xfId="46">
      <alignment horizontal="left" vertical="center"/>
    </xf>
    <xf numFmtId="0" fontId="33" fillId="2" borderId="0" xfId="3" applyFont="1" applyFill="1" applyAlignment="1" applyProtection="1">
      <alignment horizontal="center"/>
      <protection locked="0"/>
    </xf>
    <xf numFmtId="0" fontId="5" fillId="2" borderId="0" xfId="15" applyFill="1">
      <alignment vertical="center"/>
    </xf>
    <xf numFmtId="0" fontId="0" fillId="0" borderId="0" xfId="32" applyNumberFormat="1" applyFont="1" applyBorder="1">
      <alignment horizontal="center" vertical="center"/>
    </xf>
    <xf numFmtId="0" fontId="46" fillId="2" borderId="0" xfId="4" applyFont="1">
      <alignment horizontal="left" vertical="center"/>
    </xf>
    <xf numFmtId="0" fontId="0" fillId="2" borderId="0" xfId="0" applyFill="1"/>
    <xf numFmtId="4" fontId="38" fillId="0" borderId="1" xfId="32" applyFont="1" applyAlignment="1">
      <alignment horizontal="center" vertical="center" wrapText="1"/>
    </xf>
    <xf numFmtId="0" fontId="4" fillId="11" borderId="21" xfId="19" applyBorder="1">
      <alignment horizontal="center" vertical="center"/>
    </xf>
    <xf numFmtId="0" fontId="11" fillId="0" borderId="21" xfId="30" applyBorder="1">
      <alignment horizontal="center" vertical="center"/>
    </xf>
    <xf numFmtId="0" fontId="54" fillId="2" borderId="1" xfId="20" applyFont="1">
      <alignment horizontal="center" vertical="center"/>
    </xf>
    <xf numFmtId="0" fontId="52" fillId="10" borderId="0" xfId="6" applyFont="1" applyFill="1">
      <alignment horizontal="left" vertical="center"/>
    </xf>
    <xf numFmtId="0" fontId="52" fillId="4" borderId="0" xfId="6" applyFont="1" applyFill="1">
      <alignment horizontal="left" vertical="center"/>
    </xf>
    <xf numFmtId="0" fontId="0" fillId="0" borderId="0" xfId="0" applyAlignment="1">
      <alignment horizontal="center" vertical="center" wrapText="1"/>
    </xf>
    <xf numFmtId="4" fontId="0" fillId="0" borderId="0" xfId="32" applyFont="1" applyBorder="1">
      <alignment horizontal="center" vertical="center"/>
    </xf>
    <xf numFmtId="0" fontId="0" fillId="0" borderId="0" xfId="47" applyFont="1" applyFill="1">
      <alignment horizontal="left" vertical="center" indent="1"/>
    </xf>
    <xf numFmtId="0" fontId="6" fillId="13" borderId="0" xfId="6" applyFill="1">
      <alignment horizontal="left" vertical="center"/>
    </xf>
    <xf numFmtId="15" fontId="11" fillId="0" borderId="1" xfId="35" applyNumberFormat="1">
      <alignment horizontal="center" vertical="center"/>
    </xf>
    <xf numFmtId="0" fontId="0" fillId="0" borderId="0" xfId="44" applyFont="1" applyFill="1">
      <alignment horizontal="left" vertical="center" indent="1"/>
      <protection locked="0"/>
    </xf>
    <xf numFmtId="0" fontId="55" fillId="4" borderId="0" xfId="6" applyFont="1" applyFill="1">
      <alignment horizontal="left" vertical="center"/>
    </xf>
    <xf numFmtId="0" fontId="11" fillId="0" borderId="1" xfId="35" applyFill="1">
      <alignment horizontal="center" vertical="center"/>
    </xf>
    <xf numFmtId="0" fontId="11" fillId="0" borderId="1" xfId="30" applyFill="1">
      <alignment horizontal="center" vertical="center"/>
    </xf>
    <xf numFmtId="0" fontId="0" fillId="0" borderId="0" xfId="6" applyFont="1" applyFill="1" applyAlignment="1">
      <alignment horizontal="left" vertical="center" wrapText="1"/>
    </xf>
    <xf numFmtId="0" fontId="4" fillId="11" borderId="21" xfId="19" applyBorder="1" applyAlignment="1">
      <alignment horizontal="center" vertical="center" wrapText="1"/>
    </xf>
    <xf numFmtId="0" fontId="0" fillId="0" borderId="0" xfId="6" applyFont="1" applyFill="1" applyBorder="1">
      <alignment horizontal="left" vertical="center"/>
    </xf>
    <xf numFmtId="0" fontId="0" fillId="0" borderId="0" xfId="18" applyNumberFormat="1" applyFont="1" applyFill="1" applyBorder="1" applyAlignment="1" applyProtection="1">
      <alignment horizontal="center" vertical="center"/>
    </xf>
    <xf numFmtId="0" fontId="0" fillId="0" borderId="0" xfId="0" applyFill="1"/>
    <xf numFmtId="0" fontId="11" fillId="0" borderId="1" xfId="30" applyFill="1" applyBorder="1">
      <alignment horizontal="center" vertical="center"/>
    </xf>
    <xf numFmtId="0" fontId="0" fillId="0" borderId="1" xfId="30" applyFont="1" applyFill="1">
      <alignment horizontal="center" vertical="center"/>
    </xf>
    <xf numFmtId="9" fontId="11" fillId="0" borderId="1" xfId="21" applyFill="1">
      <alignment horizontal="center" vertical="center"/>
    </xf>
    <xf numFmtId="0" fontId="4" fillId="11" borderId="1" xfId="19" applyBorder="1">
      <alignment horizontal="center" vertical="center"/>
    </xf>
    <xf numFmtId="0" fontId="23" fillId="2" borderId="22" xfId="48" applyBorder="1">
      <alignment horizontal="left" vertical="center"/>
    </xf>
    <xf numFmtId="0" fontId="23" fillId="2" borderId="1" xfId="48">
      <alignment horizontal="left" vertical="center"/>
    </xf>
    <xf numFmtId="0" fontId="56" fillId="15" borderId="1" xfId="49">
      <alignment horizontal="center" vertical="center"/>
    </xf>
    <xf numFmtId="0" fontId="57" fillId="14" borderId="1" xfId="50">
      <alignment horizontal="center" vertical="center"/>
    </xf>
    <xf numFmtId="0" fontId="23" fillId="2" borderId="23" xfId="48" applyBorder="1">
      <alignment horizontal="left" vertical="center"/>
    </xf>
    <xf numFmtId="0" fontId="61" fillId="2" borderId="0" xfId="52">
      <alignment horizontal="left" vertical="center"/>
    </xf>
    <xf numFmtId="0" fontId="18" fillId="2" borderId="10" xfId="6" applyFont="1" applyBorder="1">
      <alignment horizontal="left" vertical="center"/>
    </xf>
    <xf numFmtId="0" fontId="10" fillId="2" borderId="10" xfId="10" applyBorder="1">
      <alignment horizontal="left" vertical="center"/>
    </xf>
    <xf numFmtId="0" fontId="64" fillId="2" borderId="10" xfId="6" applyFont="1" applyBorder="1">
      <alignment horizontal="left" vertical="center"/>
    </xf>
    <xf numFmtId="0" fontId="65" fillId="2" borderId="10" xfId="6" applyFont="1" applyBorder="1">
      <alignment horizontal="left" vertical="center"/>
    </xf>
    <xf numFmtId="0" fontId="66" fillId="2" borderId="10" xfId="10" applyFont="1" applyBorder="1">
      <alignment horizontal="left" vertical="center"/>
    </xf>
    <xf numFmtId="0" fontId="67" fillId="2" borderId="10" xfId="6" applyFont="1" applyBorder="1">
      <alignment horizontal="left" vertical="center"/>
    </xf>
    <xf numFmtId="0" fontId="6" fillId="2" borderId="0" xfId="6" applyBorder="1">
      <alignment horizontal="left" vertical="center"/>
    </xf>
    <xf numFmtId="0" fontId="7" fillId="2" borderId="0" xfId="7" applyBorder="1">
      <alignment horizontal="left" vertical="center"/>
    </xf>
    <xf numFmtId="0" fontId="8" fillId="2" borderId="0" xfId="8" applyBorder="1">
      <alignment vertical="center"/>
    </xf>
    <xf numFmtId="0" fontId="61" fillId="2" borderId="0" xfId="52" applyBorder="1">
      <alignment horizontal="left" vertical="center"/>
    </xf>
    <xf numFmtId="0" fontId="12" fillId="2" borderId="0" xfId="0" applyFont="1" applyFill="1"/>
    <xf numFmtId="0" fontId="15" fillId="2" borderId="0" xfId="0" applyFont="1" applyFill="1" applyAlignment="1">
      <alignment horizontal="left" vertical="center"/>
    </xf>
    <xf numFmtId="0" fontId="19" fillId="2" borderId="0" xfId="0" applyFont="1" applyFill="1"/>
    <xf numFmtId="0" fontId="0" fillId="0" borderId="0" xfId="0" applyFont="1" applyFill="1" applyBorder="1"/>
    <xf numFmtId="0" fontId="0" fillId="0" borderId="0" xfId="4" applyFont="1" applyFill="1" applyBorder="1">
      <alignment horizontal="left" vertical="center"/>
    </xf>
    <xf numFmtId="0" fontId="0" fillId="0" borderId="0" xfId="0" applyFont="1" applyFill="1" applyBorder="1" applyAlignment="1">
      <alignment vertical="center"/>
    </xf>
    <xf numFmtId="0" fontId="0" fillId="0" borderId="0" xfId="0" applyFont="1" applyFill="1" applyBorder="1" applyAlignment="1">
      <alignment vertical="center" wrapText="1"/>
    </xf>
    <xf numFmtId="0" fontId="0" fillId="0" borderId="0" xfId="0" applyFont="1" applyFill="1" applyBorder="1" applyAlignment="1">
      <alignment horizontal="left" vertical="center"/>
    </xf>
  </cellXfs>
  <cellStyles count="53">
    <cellStyle name="Alert" xfId="23" xr:uid="{3F39CD44-D56D-45C9-A246-A65A1A3ADBF4}"/>
    <cellStyle name="Arguments" xfId="48" xr:uid="{24FB24F0-9395-431F-861C-79F133E7A9D9}"/>
    <cellStyle name="Arguments hyperlink" xfId="51" xr:uid="{4123AA26-F349-48FA-BB41-6EEAFE5BA85E}"/>
    <cellStyle name="Back to top link" xfId="22" xr:uid="{230A9A7E-DA97-4E33-8E5F-4D7839FBA039}"/>
    <cellStyle name="Block heading" xfId="7" xr:uid="{A6EDDAFA-B8D8-40FF-B101-8BFE28D1701A}"/>
    <cellStyle name="Block subheading" xfId="31" xr:uid="{52BE2BB4-1BDC-40FE-93FB-1C649469BD47}"/>
    <cellStyle name="Block subheading 2" xfId="46" xr:uid="{06FDAC58-57FB-4E73-B1C1-226CF25C2091}"/>
    <cellStyle name="Code" xfId="52" xr:uid="{58E3E973-4813-4B7D-9C77-114331E30D35}"/>
    <cellStyle name="Comma 2" xfId="34" xr:uid="{609B8DE8-4A36-4FAD-9F34-0622FEFB85FB}"/>
    <cellStyle name="Content bold" xfId="4" xr:uid="{0E72D19E-A55B-4AF2-923A-4CDF3C6E2299}"/>
    <cellStyle name="Content hidden" xfId="28" xr:uid="{22412800-3532-4AA7-9F07-A6D4EF63A552}"/>
    <cellStyle name="Content normal" xfId="6" xr:uid="{13BC567A-D662-4805-8468-BBBA4C8CE7AA}"/>
    <cellStyle name="Equation column header" xfId="26" xr:uid="{BD920EFB-2043-4B8A-93F9-9A30F615DB41}"/>
    <cellStyle name="Equation source" xfId="8" xr:uid="{3FE2BBF2-F7FD-4E95-839B-AA2C60524E83}"/>
    <cellStyle name="Equation table header" xfId="44" xr:uid="{3730BD44-BE27-45B0-8628-0B6EF06E3F06}"/>
    <cellStyle name="Hyperlink 2" xfId="42" xr:uid="{6331474C-FF18-4032-8996-D62E369D274F}"/>
    <cellStyle name="Information tip" xfId="16" xr:uid="{CB83DB3A-186D-4F78-8454-E39BB6213725}"/>
    <cellStyle name="Information variation" xfId="9" xr:uid="{7B4B3E2F-BD1C-423C-B5E5-F42A08AF87FE}"/>
    <cellStyle name="Input block subheading" xfId="38" xr:uid="{FFC685BD-16E1-4120-B221-39364EB49624}"/>
    <cellStyle name="Input date" xfId="39" xr:uid="{B26C7C63-2887-4AC8-B43C-4ED1A5222E87}"/>
    <cellStyle name="Input date calculated" xfId="37" xr:uid="{C0471CB8-A147-4E5D-BC85-348602DA6CBA}"/>
    <cellStyle name="Input number 2 decimal places" xfId="32" xr:uid="{FB11183C-5A35-4D81-905A-36B31D00BA07}"/>
    <cellStyle name="Input number general" xfId="30" xr:uid="{F144A91F-473D-40A6-80BC-69EC36DAA1AE}"/>
    <cellStyle name="Input number general calculated" xfId="20" xr:uid="{28E33A90-6B18-417F-985C-8F32F5C341AC}"/>
    <cellStyle name="Input number no decimals" xfId="43" xr:uid="{E4A720FB-A01C-494A-8241-331D9CD6F3F9}"/>
    <cellStyle name="Input number no decimals calculated" xfId="40" xr:uid="{49839C83-1160-43F0-B067-C883847BADA1}"/>
    <cellStyle name="Input page heading" xfId="14" xr:uid="{002C4E50-A1DF-4F48-804E-9110F90F895D}"/>
    <cellStyle name="Input page section heading" xfId="15" xr:uid="{65BEFEE5-64B9-45FB-AF4B-705EE84E7B42}"/>
    <cellStyle name="Input percent" xfId="21" xr:uid="{81441AE7-28B7-49A0-9365-81227A151AAB}"/>
    <cellStyle name="Input select" xfId="19" xr:uid="{8D07982F-DD01-4626-9FC8-407C3172080E}"/>
    <cellStyle name="Input table column header" xfId="18" xr:uid="{1048E30E-4383-4B00-AB9C-A777C4301E89}"/>
    <cellStyle name="Input table header" xfId="47" xr:uid="{673B15DE-C2D0-434D-83B9-CD3D7019ED1C}"/>
    <cellStyle name="Input text" xfId="35" xr:uid="{34DA19AB-8A2A-4875-AB42-979F7532C680}"/>
    <cellStyle name="Input text calculated" xfId="27" xr:uid="{D8F24774-CE10-4868-8D45-130F1396B33B}"/>
    <cellStyle name="Menu link default" xfId="11" xr:uid="{5B03F5CA-1390-467D-92E0-9C0973ECD325}"/>
    <cellStyle name="Menu link selected" xfId="13" xr:uid="{2FB4DD61-277A-4579-903E-3643B3657DEA}"/>
    <cellStyle name="Menu link selected equations" xfId="45" xr:uid="{0EF2D13B-FB95-424D-8B50-DB19D1B4EA2C}"/>
    <cellStyle name="Menu link selected input" xfId="17" xr:uid="{1392EBB3-3DAA-4789-A6F8-0F21992B6DE6}"/>
    <cellStyle name="Menu section title" xfId="12" xr:uid="{8613DA8D-2F36-47DC-9C1C-22FEF7B30D82}"/>
    <cellStyle name="Normal" xfId="0" builtinId="0"/>
    <cellStyle name="Normal 2" xfId="3" xr:uid="{3A2ABD8B-BF95-4BBB-9F70-6EC0CEA3F871}"/>
    <cellStyle name="Normal 5" xfId="33" xr:uid="{35E1632E-D030-4DF1-ADCF-D90F88AB5A48}"/>
    <cellStyle name="Number display decimal total" xfId="41" xr:uid="{7D95B024-688E-4E17-AE6D-00BF1716D684}"/>
    <cellStyle name="Page heading" xfId="1" xr:uid="{7ECDF026-866A-4104-A47C-CB3C015E15CC}"/>
    <cellStyle name="Page section heading" xfId="5" xr:uid="{A5B93EEA-2671-4987-B857-11DE83318923}"/>
    <cellStyle name="Page source" xfId="2" xr:uid="{897BB173-377C-46AE-A9E1-A7548CDB8D85}"/>
    <cellStyle name="Percent 2" xfId="36" xr:uid="{696FBCF0-1CD4-465A-B673-5D1A79E7FFF8}"/>
    <cellStyle name="Table description" xfId="25" xr:uid="{98689949-4D68-421E-812A-DB7E70967469}"/>
    <cellStyle name="Table name" xfId="24" xr:uid="{2B817CE6-D5D1-4F43-808A-9743A93B9101}"/>
    <cellStyle name="Unit" xfId="29" xr:uid="{A9E710DA-2149-473D-BCA1-E80B7CB7A628}"/>
    <cellStyle name="Unit no indent" xfId="10" xr:uid="{77A8303D-9926-4E03-8003-7AF2E2F6EC6A}"/>
    <cellStyle name="Variable type input" xfId="49" xr:uid="{50B6B78E-61DD-482A-9F1C-914F808F60B4}"/>
    <cellStyle name="Variable type other" xfId="50" xr:uid="{9FB6C20B-1F98-4C86-8B64-373BD10A7B73}"/>
  </cellStyles>
  <dxfs count="495">
    <dxf>
      <font>
        <b val="0"/>
        <i val="0"/>
        <strike val="0"/>
        <condense val="0"/>
        <extend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auto="1"/>
        <name val="Times New Roman"/>
        <family val="1"/>
        <scheme val="none"/>
      </font>
    </dxf>
    <dxf>
      <fill>
        <patternFill>
          <fgColor indexed="64"/>
          <bgColor theme="0" tint="-4.9989318521683403E-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alignment vertical="center" textRotation="0" wrapText="1" indent="0" justifyLastLine="0" shrinkToFit="0" readingOrder="0"/>
    </dxf>
    <dxf>
      <alignment horizontal="center" vertical="center" textRotation="0" wrapText="1" indent="0" justifyLastLine="0" shrinkToFit="0" readingOrder="0"/>
    </dxf>
    <dxf>
      <border outline="0">
        <left style="thin">
          <color theme="0" tint="-0.34998626667073579"/>
        </left>
      </border>
    </dxf>
    <dxf>
      <alignment horizontal="center" vertical="center" textRotation="0" wrapText="1" indent="0" justifyLastLine="0" shrinkToFit="0" readingOrder="0"/>
    </dxf>
    <dxf>
      <border diagonalUp="0" diagonalDown="0">
        <left style="thin">
          <color theme="0" tint="-0.34998626667073579"/>
        </left>
        <right style="thin">
          <color theme="0" tint="-0.34998626667073579"/>
        </right>
        <top style="thin">
          <color theme="0" tint="-0.34998626667073579"/>
        </top>
        <bottom/>
        <vertical/>
        <horizontal/>
      </border>
    </dxf>
    <dxf>
      <alignment horizontal="left" vertical="center" textRotation="0" wrapText="1" indent="0" justifyLastLine="0" shrinkToFit="0" readingOrder="0"/>
    </dxf>
    <dxf>
      <alignment horizontal="left" vertical="center" textRotation="0" wrapText="1" indent="0" justifyLastLine="0" shrinkToFit="0" readingOrder="0"/>
    </dxf>
    <dxf>
      <alignment horizontal="center" vertical="center" textRotation="0" wrapText="1" indent="0" justifyLastLine="0" shrinkToFit="0" readingOrder="0"/>
    </dxf>
    <dxf>
      <border outline="0">
        <left style="thin">
          <color theme="0" tint="-0.34998626667073579"/>
        </left>
      </border>
    </dxf>
    <dxf>
      <border diagonalUp="0" diagonalDown="0" outline="0">
        <left style="thin">
          <color theme="0" tint="-0.34998626667073579"/>
        </left>
        <right style="thin">
          <color theme="0" tint="-0.34998626667073579"/>
        </right>
        <top style="thin">
          <color theme="0" tint="-0.34998626667073579"/>
        </top>
        <bottom/>
      </border>
    </dxf>
    <dxf>
      <border diagonalUp="0" diagonalDown="0">
        <left style="thin">
          <color theme="0" tint="-0.34998626667073579"/>
        </left>
        <right style="thin">
          <color theme="0" tint="-0.34998626667073579"/>
        </right>
        <top style="thin">
          <color theme="0" tint="-0.34998626667073579"/>
        </top>
        <bottom/>
        <vertical/>
        <horizontal/>
      </border>
    </dxf>
    <dxf>
      <border diagonalUp="0" diagonalDown="0">
        <left style="thin">
          <color theme="0" tint="-0.34998626667073579"/>
        </left>
        <right style="thin">
          <color theme="0" tint="-0.34998626667073579"/>
        </right>
        <top style="thin">
          <color theme="0" tint="-0.34998626667073579"/>
        </top>
        <bottom/>
        <vertical/>
        <horizontal/>
      </border>
    </dxf>
    <dxf>
      <font>
        <b val="0"/>
        <i val="0"/>
        <strike val="0"/>
        <condense val="0"/>
        <extend val="0"/>
        <outline val="0"/>
        <shadow val="0"/>
        <u val="none"/>
        <vertAlign val="baseline"/>
        <sz val="12"/>
        <color theme="1"/>
        <name val="Times New Roman"/>
        <family val="2"/>
        <scheme val="none"/>
      </font>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strike val="0"/>
        <outline val="0"/>
        <shadow val="0"/>
        <u val="none"/>
        <vertAlign val="baseline"/>
        <sz val="9"/>
        <color theme="1"/>
        <name val="Aptos Narrow"/>
        <family val="2"/>
        <scheme val="minor"/>
      </font>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9"/>
        <color theme="1"/>
        <name val="Aptos Narrow"/>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9"/>
        <color theme="1"/>
        <name val="Aptos Narrow"/>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theme="1"/>
        <name val="Aptos Narrow"/>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theme="1"/>
        <name val="Aptos Narrow"/>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9"/>
        <color theme="1"/>
        <name val="Aptos Narrow"/>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theme="1"/>
        <name val="Aptos Narrow"/>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theme="1"/>
        <name val="Aptos Narrow"/>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9"/>
        <color theme="1"/>
        <name val="Aptos Narrow"/>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theme="1"/>
        <name val="Aptos Narrow"/>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theme="1"/>
        <name val="Aptos Narrow"/>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9"/>
        <color theme="1"/>
        <name val="Aptos Narrow"/>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theme="1"/>
        <name val="Aptos Narrow"/>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theme="1"/>
        <name val="Aptos Narrow"/>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9"/>
        <color theme="1"/>
        <name val="Aptos Narrow"/>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theme="1"/>
        <name val="Aptos Narrow"/>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theme="1"/>
        <name val="Aptos Narrow"/>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theme="1"/>
        <name val="Aptos Narrow"/>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theme="1"/>
        <name val="Aptos Narrow"/>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theme="1"/>
        <name val="Aptos Narrow"/>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9"/>
        <color theme="1"/>
        <name val="Aptos Narrow"/>
        <family val="2"/>
        <scheme val="minor"/>
      </font>
      <fill>
        <patternFill patternType="solid">
          <fgColor indexed="64"/>
          <bgColor theme="0" tint="-4.9989318521683403E-2"/>
        </patternFill>
      </fill>
      <alignment horizontal="general" vertical="center" textRotation="0" wrapText="0" indent="0" justifyLastLine="0" shrinkToFit="0" readingOrder="0"/>
      <border diagonalUp="0" diagonalDown="0" outline="0">
        <left/>
        <right/>
        <top style="thin">
          <color indexed="64"/>
        </top>
        <bottom/>
      </border>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i val="0"/>
        <strike val="0"/>
        <condense val="0"/>
        <extend val="0"/>
        <outline val="0"/>
        <shadow val="0"/>
        <u val="none"/>
        <vertAlign val="baseline"/>
        <sz val="12"/>
        <color theme="1"/>
        <name val="Times New Roman"/>
        <family val="2"/>
        <scheme val="none"/>
      </font>
      <numFmt numFmtId="0" formatCode="General"/>
      <fill>
        <patternFill patternType="solid">
          <fgColor indexed="64"/>
          <bgColor rgb="FFB2D498"/>
        </patternFill>
      </fill>
      <alignment horizontal="left" vertical="center" textRotation="0" wrapText="0" indent="0" justifyLastLine="0" shrinkToFit="0" readingOrder="0"/>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numFmt numFmtId="165" formatCode="[$-C09]d\ mmmm\ yyyy;@"/>
    </dxf>
    <dxf>
      <numFmt numFmtId="165" formatCode="[$-C09]d\ mmmm\ yyyy;@"/>
    </dxf>
    <dxf>
      <border diagonalUp="0" diagonalDown="0" outline="0">
        <left style="thin">
          <color theme="0" tint="-0.34998626667073579"/>
        </left>
        <right style="thin">
          <color theme="0" tint="-0.34998626667073579"/>
        </right>
        <top style="thin">
          <color theme="0" tint="-0.34998626667073579"/>
        </top>
        <bottom/>
      </border>
    </dxf>
    <dxf>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border>
    </dxf>
    <dxf>
      <border diagonalUp="0" diagonalDown="0" outline="0">
        <left/>
        <right/>
        <top/>
        <bottom/>
      </border>
    </dxf>
    <dxf>
      <font>
        <b val="0"/>
        <i val="0"/>
        <strike val="0"/>
        <condense val="0"/>
        <extend val="0"/>
        <outline val="0"/>
        <shadow val="0"/>
        <u val="none"/>
        <vertAlign val="baseline"/>
        <sz val="12"/>
        <color theme="1" tint="0.249977111117893"/>
        <name val="Times New Roman"/>
        <family val="1"/>
        <scheme val="none"/>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border diagonalUp="0" diagonalDown="0" outline="0">
        <left style="thin">
          <color theme="0" tint="-0.34998626667073579"/>
        </left>
        <right style="thin">
          <color theme="0" tint="-0.34998626667073579"/>
        </right>
        <top style="thin">
          <color theme="0" tint="-0.34998626667073579"/>
        </top>
        <bottom/>
      </border>
    </dxf>
    <dxf>
      <font>
        <b/>
        <i val="0"/>
        <strike val="0"/>
        <condense val="0"/>
        <extend val="0"/>
        <outline val="0"/>
        <shadow val="0"/>
        <u val="none"/>
        <vertAlign val="baseline"/>
        <sz val="12"/>
        <color theme="1" tint="0.14999847407452621"/>
        <name val="Times New Roman"/>
        <family val="1"/>
        <scheme val="none"/>
      </font>
      <numFmt numFmtId="0" formatCode="General"/>
      <fill>
        <gradientFill degree="90">
          <stop position="0">
            <color theme="0"/>
          </stop>
          <stop position="1">
            <color theme="0" tint="-5.0965910824915313E-2"/>
          </stop>
        </gradientFill>
      </fill>
      <alignment horizontal="center" vertical="center" textRotation="0" wrapText="0" indent="0" justifyLastLine="0" shrinkToFit="0" readingOrder="0"/>
      <border diagonalUp="0" diagonalDown="0" outline="0">
        <left style="thin">
          <color theme="0" tint="-0.34998626667073579"/>
        </left>
        <right style="thin">
          <color theme="0" tint="-0.34998626667073579"/>
        </right>
        <top style="thin">
          <color theme="0" tint="-0.34998626667073579"/>
        </top>
        <bottom/>
      </border>
      <protection locked="1" hidden="0"/>
    </dxf>
    <dxf>
      <fill>
        <patternFill>
          <bgColor theme="0" tint="-4.9989318521683403E-2"/>
        </patternFill>
      </fill>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font>
        <strike val="0"/>
        <outline val="0"/>
        <shadow val="0"/>
        <u val="none"/>
        <vertAlign val="baseline"/>
        <sz val="10"/>
        <color theme="1" tint="0.14999847407452621"/>
        <name val="Times New Roman"/>
        <family val="1"/>
        <scheme val="none"/>
      </font>
    </dxf>
    <dxf>
      <alignment horizontal="center" vertical="center" textRotation="0" wrapText="1" indent="0" justifyLastLine="0" shrinkToFit="0" readingOrder="0"/>
      <border outline="0">
        <left style="thin">
          <color theme="0" tint="-0.34998626667073579"/>
        </left>
        <right style="thin">
          <color theme="0" tint="-0.34998626667073579"/>
        </right>
      </border>
    </dxf>
    <dxf>
      <font>
        <strike val="0"/>
        <outline val="0"/>
        <shadow val="0"/>
        <u val="none"/>
        <vertAlign val="baseline"/>
        <sz val="10"/>
        <color theme="1" tint="0.14999847407452621"/>
        <name val="Times New Roman"/>
        <family val="1"/>
        <scheme val="none"/>
      </font>
      <alignment textRotation="0" wrapText="1" indent="0" justifyLastLine="0" shrinkToFit="0" readingOrder="0"/>
    </dxf>
    <dxf>
      <alignment horizontal="center" vertical="center" textRotation="0" wrapText="1" indent="0" justifyLastLine="0" shrinkToFit="0" readingOrder="0"/>
      <border outline="0">
        <left style="thin">
          <color theme="0" tint="-0.34998626667073579"/>
        </left>
        <right style="thin">
          <color theme="0" tint="-0.34998626667073579"/>
        </right>
      </border>
    </dxf>
    <dxf>
      <font>
        <strike val="0"/>
        <outline val="0"/>
        <shadow val="0"/>
        <u val="none"/>
        <vertAlign val="baseline"/>
        <sz val="10"/>
        <color theme="1" tint="0.14999847407452621"/>
        <name val="Times New Roman"/>
        <family val="1"/>
        <scheme val="none"/>
      </font>
      <alignment horizontal="center" vertical="center" textRotation="0" wrapText="1" indent="0" justifyLastLine="0" shrinkToFit="0" readingOrder="0"/>
    </dxf>
    <dxf>
      <alignment horizontal="center" vertical="center" textRotation="0" wrapText="1" indent="0" justifyLastLine="0" shrinkToFit="0" readingOrder="0"/>
      <border outline="0">
        <left style="thin">
          <color theme="0" tint="-0.34998626667073579"/>
        </left>
        <right style="thin">
          <color theme="0" tint="-0.34998626667073579"/>
        </right>
      </border>
    </dxf>
    <dxf>
      <font>
        <strike val="0"/>
        <outline val="0"/>
        <shadow val="0"/>
        <u val="none"/>
        <vertAlign val="baseline"/>
        <sz val="10"/>
        <color theme="1" tint="0.14999847407452621"/>
        <name val="Times New Roman"/>
        <family val="1"/>
        <scheme val="none"/>
      </font>
      <alignment textRotation="0" wrapText="1" indent="0" justifyLastLine="0" shrinkToFit="0" readingOrder="0"/>
    </dxf>
    <dxf>
      <alignment textRotation="0" wrapText="1" indent="0" justifyLastLine="0" shrinkToFit="0" readingOrder="0"/>
      <border outline="0">
        <right style="thin">
          <color theme="0" tint="-0.34998626667073579"/>
        </right>
      </border>
    </dxf>
    <dxf>
      <font>
        <sz val="11"/>
        <color theme="1"/>
        <family val="2"/>
      </font>
      <alignment horizontal="center" vertical="center" textRotation="0" wrapText="1" indent="0" justifyLastLine="0" shrinkToFit="0" readingOrder="0"/>
    </dxf>
    <dxf>
      <alignment horizontal="center" vertical="center" textRotation="0" wrapText="1" indent="0" justifyLastLine="0" shrinkToFit="0" readingOrder="0"/>
    </dxf>
    <dxf>
      <alignment textRotation="0" wrapText="1" indent="0" justifyLastLine="0" shrinkToFit="0" readingOrder="0"/>
    </dxf>
    <dxf>
      <alignment textRotation="0" wrapText="1" indent="0" justifyLastLine="0" shrinkToFit="0" readingOrder="0"/>
    </dxf>
    <dxf>
      <fill>
        <patternFill>
          <bgColor theme="0" tint="-4.9989318521683403E-2"/>
        </patternFill>
      </fill>
      <alignment textRotation="0" wrapText="1" indent="0" justifyLastLine="0" shrinkToFit="0" readingOrder="0"/>
    </dxf>
    <dxf>
      <alignment horizontal="center" vertical="center" textRotation="0" wrapText="1" indent="0" justifyLastLine="0" shrinkToFit="0" readingOrder="0"/>
    </dxf>
    <dxf>
      <fill>
        <patternFill>
          <bgColor theme="0" tint="-4.9989318521683403E-2"/>
        </patternFill>
      </fill>
      <alignment textRotation="0" wrapText="1" indent="0" justifyLastLine="0" shrinkToFit="0" readingOrder="0"/>
    </dxf>
    <dxf>
      <alignment horizontal="center" vertical="center" textRotation="0" wrapText="1" indent="0" justifyLastLine="0" shrinkToFit="0" readingOrder="0"/>
    </dxf>
    <dxf>
      <fill>
        <patternFill>
          <bgColor theme="0" tint="-4.9989318521683403E-2"/>
        </patternFill>
      </fill>
    </dxf>
    <dxf>
      <alignment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fill>
        <patternFill patternType="solid">
          <fgColor indexed="64"/>
          <bgColor theme="0" tint="-0.14999847407452621"/>
        </patternFill>
      </fill>
      <border diagonalUp="0" diagonalDown="0" outline="0">
        <left/>
        <right/>
        <top/>
        <bottom/>
      </border>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fill>
        <patternFill patternType="solid">
          <fgColor indexed="64"/>
          <bgColor theme="0" tint="-0.14999847407452621"/>
        </patternFill>
      </fill>
      <border diagonalUp="0" diagonalDown="0" outline="0">
        <left/>
        <right/>
        <top/>
        <bottom/>
      </border>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fill>
        <patternFill patternType="solid">
          <fgColor indexed="64"/>
          <bgColor theme="0" tint="-0.14999847407452621"/>
        </patternFill>
      </fill>
      <border diagonalUp="0" diagonalDown="0" outline="0">
        <left/>
        <right/>
        <top/>
        <bottom/>
      </border>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border diagonalUp="0" diagonalDown="0" outline="0">
        <left/>
        <right/>
        <top/>
        <bottom/>
      </border>
    </dxf>
    <dxf>
      <alignment horizontal="center" vertical="center" textRotation="0" wrapText="1" indent="0" justifyLastLine="0" shrinkToFit="0" readingOrder="0"/>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border diagonalUp="0" diagonalDown="0" outline="0">
        <left/>
        <right/>
        <top/>
        <bottom/>
      </border>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border diagonalUp="0" diagonalDown="0" outline="0">
        <left/>
        <right/>
        <top/>
        <bottom/>
      </border>
    </dxf>
    <dxf>
      <alignment textRotation="0" wrapText="1" indent="0" justifyLastLine="0" shrinkToFit="0" readingOrder="0"/>
    </dxf>
    <dxf>
      <font>
        <b/>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border diagonalUp="0" diagonalDown="0" outline="0">
        <left/>
        <right/>
        <top/>
        <bottom/>
      </border>
    </dxf>
    <dxf>
      <alignment textRotation="0" wrapText="1" indent="0" justifyLastLine="0" shrinkToFit="0" readingOrder="0"/>
    </dxf>
    <dxf>
      <font>
        <b/>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border diagonalUp="0" diagonalDown="0" outline="0">
        <left/>
        <right/>
        <top/>
        <bottom/>
      </border>
    </dxf>
    <dxf>
      <alignment textRotation="0" wrapText="1" indent="0" justifyLastLine="0" shrinkToFit="0" readingOrder="0"/>
    </dxf>
    <dxf>
      <font>
        <b/>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border diagonalUp="0" diagonalDown="0" outline="0">
        <left/>
        <right/>
        <top/>
        <bottom/>
      </border>
    </dxf>
    <dxf>
      <font>
        <b/>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border diagonalUp="0" diagonalDown="0" outline="0">
        <left/>
        <right/>
        <top/>
        <bottom/>
      </border>
    </dxf>
    <dxf>
      <font>
        <b/>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border diagonalUp="0" diagonalDown="0" outline="0">
        <left/>
        <right/>
        <top/>
        <bottom/>
      </border>
    </dxf>
    <dxf>
      <alignment textRotation="0" wrapText="1" indent="0" justifyLastLine="0" shrinkToFit="0" readingOrder="0"/>
    </dxf>
    <dxf>
      <font>
        <b/>
        <i val="0"/>
        <strike val="0"/>
        <condense val="0"/>
        <extend val="0"/>
        <outline val="0"/>
        <shadow val="0"/>
        <u val="none"/>
        <vertAlign val="baseline"/>
        <sz val="12"/>
        <color theme="1"/>
        <name val="Times New Roman"/>
        <family val="1"/>
        <scheme val="none"/>
      </font>
      <border diagonalUp="0" diagonalDown="0" outline="0">
        <left/>
        <right/>
        <top/>
        <bottom/>
      </border>
    </dxf>
    <dxf>
      <alignment textRotation="0" wrapText="1" indent="0" justifyLastLine="0" shrinkToFit="0" readingOrder="0"/>
    </dxf>
    <dxf>
      <fill>
        <patternFill>
          <bgColor theme="0" tint="-4.9989318521683403E-2"/>
        </patternFill>
      </fill>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i val="0"/>
        <strike val="0"/>
        <condense val="0"/>
        <extend val="0"/>
        <outline val="0"/>
        <shadow val="0"/>
        <u val="none"/>
        <vertAlign val="baseline"/>
        <sz val="11"/>
        <color theme="1"/>
        <name val="Aptos Narrow"/>
        <family val="2"/>
        <scheme val="minor"/>
      </font>
      <numFmt numFmtId="0" formatCode="General"/>
      <fill>
        <patternFill patternType="solid">
          <fgColor indexed="64"/>
          <bgColor rgb="FFB2D498"/>
        </patternFill>
      </fill>
      <alignment horizontal="left" vertical="center" textRotation="0" wrapText="0" indent="0" justifyLastLine="0" shrinkToFit="0" readingOrder="0"/>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color theme="1" tint="0.24994659260841701"/>
      </font>
      <fill>
        <patternFill patternType="solid">
          <fgColor indexed="64"/>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fill>
        <patternFill>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183C1B"/>
      </font>
      <fill>
        <patternFill patternType="solid">
          <fgColor indexed="64"/>
          <bgColor rgb="FFB2D498"/>
        </patternFill>
      </fill>
    </dxf>
    <dxf>
      <font>
        <color theme="1" tint="0.24994659260841701"/>
      </font>
      <border>
        <left/>
        <right/>
        <top/>
        <bottom/>
        <vertical/>
        <horizontal/>
      </border>
    </dxf>
    <dxf>
      <font>
        <color theme="1" tint="0.24994659260841701"/>
      </font>
      <fill>
        <patternFill patternType="none">
          <fgColor indexed="64"/>
          <bgColor auto="1"/>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533001"/>
      </font>
      <fill>
        <patternFill patternType="solid">
          <fgColor indexed="64"/>
          <bgColor rgb="FFFFCC66"/>
        </patternFill>
      </fill>
    </dxf>
    <dxf>
      <font>
        <color theme="1" tint="0.24994659260841701"/>
      </font>
      <border>
        <left/>
        <right/>
        <top/>
        <bottom/>
        <vertical/>
        <horizontal/>
      </border>
    </dxf>
  </dxfs>
  <tableStyles count="2" defaultTableStyle="TableStyleMedium2" defaultPivotStyle="PivotStyleLight16">
    <tableStyle name="Editable table" pivot="0" count="6" xr9:uid="{DB9E75D0-AC98-4E75-8418-4F7F41C898DD}">
      <tableStyleElement type="wholeTable" dxfId="494"/>
      <tableStyleElement type="headerRow" dxfId="493"/>
      <tableStyleElement type="totalRow" dxfId="492"/>
      <tableStyleElement type="firstColumn" dxfId="491"/>
      <tableStyleElement type="firstRowStripe" dxfId="490"/>
      <tableStyleElement type="secondRowStripe" dxfId="489"/>
    </tableStyle>
    <tableStyle name="Equation table" pivot="0" count="6" xr9:uid="{0B4491E8-4F2C-4EE8-9336-DC99561B4B77}">
      <tableStyleElement type="wholeTable" dxfId="488"/>
      <tableStyleElement type="headerRow" dxfId="487"/>
      <tableStyleElement type="totalRow" dxfId="486"/>
      <tableStyleElement type="firstColumn" dxfId="485"/>
      <tableStyleElement type="firstRowStripe" dxfId="484"/>
      <tableStyleElement type="secondRowStripe" dxfId="483"/>
    </tableStyle>
  </tableStyles>
  <colors>
    <mruColors>
      <color rgb="FFFFEBC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microsoft.com/office/2017/06/relationships/rdRichValueTypes" Target="richData/rdRichValueTypes.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17/06/relationships/rdRichValueStructure" Target="richData/rdrichvaluestructure.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17/06/relationships/rdRichValue" Target="richData/rdrichvalue.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22/10/relationships/richValueRel" Target="richData/richValueRel.xml"/><Relationship Id="rId28"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eetMetadata" Target="metadata.xml"/><Relationship Id="rId27"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oneCellAnchor>
    <xdr:from>
      <xdr:col>3</xdr:col>
      <xdr:colOff>43237</xdr:colOff>
      <xdr:row>7</xdr:row>
      <xdr:rowOff>61924</xdr:rowOff>
    </xdr:from>
    <xdr:ext cx="2433230" cy="312906"/>
    <mc:AlternateContent xmlns:mc="http://schemas.openxmlformats.org/markup-compatibility/2006">
      <mc:Choice xmlns:a14="http://schemas.microsoft.com/office/drawing/2010/main" Requires="a14">
        <xdr:sp macro="" textlink="">
          <xdr:nvSpPr>
            <xdr:cNvPr id="15" name="TextBox 14">
              <a:extLst>
                <a:ext uri="{FF2B5EF4-FFF2-40B4-BE49-F238E27FC236}">
                  <a16:creationId xmlns:a16="http://schemas.microsoft.com/office/drawing/2014/main" id="{C6459FB4-F1A8-1CEB-02A7-CC4FB826FCF9}"/>
                </a:ext>
              </a:extLst>
            </xdr:cNvPr>
            <xdr:cNvSpPr txBox="1"/>
          </xdr:nvSpPr>
          <xdr:spPr>
            <a:xfrm>
              <a:off x="3091237" y="14854663"/>
              <a:ext cx="2433230"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𝑐</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𝑜</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𝑐𝑜</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𝑐𝑜</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𝑐𝑜</m:t>
                                    </m:r>
                                  </m:sub>
                                </m:sSub>
                              </m:e>
                            </m:d>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dr:sp macro="" textlink="">
          <xdr:nvSpPr>
            <xdr:cNvPr id="15" name="TextBox 14">
              <a:extLst>
                <a:ext uri="{FF2B5EF4-FFF2-40B4-BE49-F238E27FC236}">
                  <a16:creationId xmlns:a16="http://schemas.microsoft.com/office/drawing/2014/main" id="{C6459FB4-F1A8-1CEB-02A7-CC4FB826FCF9}"/>
                </a:ext>
              </a:extLst>
            </xdr:cNvPr>
            <xdr:cNvSpPr txBox="1"/>
          </xdr:nvSpPr>
          <xdr:spPr>
            <a:xfrm>
              <a:off x="3091237" y="14854663"/>
              <a:ext cx="2433230"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𝐸=∑10_𝑐▒∑10_𝑜▒(𝑁_𝑐𝑜×𝑊_𝑐𝑜×𝐸𝐹_𝑐𝑜 ) ×10^(−3)</a:t>
              </a:r>
              <a:endParaRPr lang="en-AU" sz="1100"/>
            </a:p>
          </xdr:txBody>
        </xdr:sp>
      </mc:Fallback>
    </mc:AlternateContent>
    <xdr:clientData/>
  </xdr:oneCellAnchor>
  <xdr:oneCellAnchor>
    <xdr:from>
      <xdr:col>3</xdr:col>
      <xdr:colOff>43237</xdr:colOff>
      <xdr:row>100</xdr:row>
      <xdr:rowOff>61924</xdr:rowOff>
    </xdr:from>
    <xdr:ext cx="1191032" cy="332079"/>
    <mc:AlternateContent xmlns:mc="http://schemas.openxmlformats.org/markup-compatibility/2006">
      <mc:Choice xmlns:a14="http://schemas.microsoft.com/office/drawing/2010/main" Requires="a14">
        <xdr:sp macro="" textlink="">
          <xdr:nvSpPr>
            <xdr:cNvPr id="17" name="TextBox 16">
              <a:extLst>
                <a:ext uri="{FF2B5EF4-FFF2-40B4-BE49-F238E27FC236}">
                  <a16:creationId xmlns:a16="http://schemas.microsoft.com/office/drawing/2014/main" id="{1E1A6FD5-2521-49CB-97C6-5EE2870F398C}"/>
                </a:ext>
              </a:extLst>
            </xdr:cNvPr>
            <xdr:cNvSpPr txBox="1"/>
          </xdr:nvSpPr>
          <xdr:spPr>
            <a:xfrm>
              <a:off x="3073919" y="40447924"/>
              <a:ext cx="1191032"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𝑗</m:t>
                                </m:r>
                              </m:sub>
                            </m:sSub>
                          </m:e>
                        </m:d>
                      </m:e>
                    </m:nary>
                  </m:oMath>
                </m:oMathPara>
              </a14:m>
              <a:endParaRPr lang="en-AU" sz="1100"/>
            </a:p>
          </xdr:txBody>
        </xdr:sp>
      </mc:Choice>
      <mc:Fallback>
        <xdr:sp macro="" textlink="">
          <xdr:nvSpPr>
            <xdr:cNvPr id="17" name="TextBox 16">
              <a:extLst>
                <a:ext uri="{FF2B5EF4-FFF2-40B4-BE49-F238E27FC236}">
                  <a16:creationId xmlns:a16="http://schemas.microsoft.com/office/drawing/2014/main" id="{1E1A6FD5-2521-49CB-97C6-5EE2870F398C}"/>
                </a:ext>
              </a:extLst>
            </xdr:cNvPr>
            <xdr:cNvSpPr txBox="1"/>
          </xdr:nvSpPr>
          <xdr:spPr>
            <a:xfrm>
              <a:off x="3073919" y="40447924"/>
              <a:ext cx="1191032"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𝐸=∑10_𝑗▒(𝑄_𝑗×𝐸𝐹_𝑗 ) </a:t>
              </a:r>
              <a:endParaRPr lang="en-AU" sz="1100"/>
            </a:p>
          </xdr:txBody>
        </xdr:sp>
      </mc:Fallback>
    </mc:AlternateContent>
    <xdr:clientData/>
  </xdr:oneCellAnchor>
  <xdr:oneCellAnchor>
    <xdr:from>
      <xdr:col>3</xdr:col>
      <xdr:colOff>43237</xdr:colOff>
      <xdr:row>151</xdr:row>
      <xdr:rowOff>61924</xdr:rowOff>
    </xdr:from>
    <xdr:ext cx="1320297" cy="312906"/>
    <mc:AlternateContent xmlns:mc="http://schemas.openxmlformats.org/markup-compatibility/2006">
      <mc:Choice xmlns:a14="http://schemas.microsoft.com/office/drawing/2010/main" Requires="a14">
        <xdr:sp macro="" textlink="">
          <xdr:nvSpPr>
            <xdr:cNvPr id="20" name="TextBox 19">
              <a:extLst>
                <a:ext uri="{FF2B5EF4-FFF2-40B4-BE49-F238E27FC236}">
                  <a16:creationId xmlns:a16="http://schemas.microsoft.com/office/drawing/2014/main" id="{261B1EBC-7BB3-4755-8A01-A90A0F4BBB33}"/>
                </a:ext>
              </a:extLst>
            </xdr:cNvPr>
            <xdr:cNvSpPr txBox="1"/>
          </xdr:nvSpPr>
          <xdr:spPr>
            <a:xfrm>
              <a:off x="3081712" y="51211174"/>
              <a:ext cx="1320297"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𝑚</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𝑚</m:t>
                                </m:r>
                              </m:sub>
                            </m:sSub>
                          </m:e>
                        </m:d>
                      </m:e>
                    </m:nary>
                  </m:oMath>
                </m:oMathPara>
              </a14:m>
              <a:endParaRPr lang="en-AU" sz="1100"/>
            </a:p>
          </xdr:txBody>
        </xdr:sp>
      </mc:Choice>
      <mc:Fallback>
        <xdr:sp macro="" textlink="">
          <xdr:nvSpPr>
            <xdr:cNvPr id="20" name="TextBox 19">
              <a:extLst>
                <a:ext uri="{FF2B5EF4-FFF2-40B4-BE49-F238E27FC236}">
                  <a16:creationId xmlns:a16="http://schemas.microsoft.com/office/drawing/2014/main" id="{261B1EBC-7BB3-4755-8A01-A90A0F4BBB33}"/>
                </a:ext>
              </a:extLst>
            </xdr:cNvPr>
            <xdr:cNvSpPr txBox="1"/>
          </xdr:nvSpPr>
          <xdr:spPr>
            <a:xfrm>
              <a:off x="3081712" y="51211174"/>
              <a:ext cx="1320297"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𝐸=∑10_𝑚▒(𝑄_𝑚×𝐸𝐹_𝑚 ) </a:t>
              </a:r>
              <a:endParaRPr lang="en-AU" sz="1100"/>
            </a:p>
          </xdr:txBody>
        </xdr:sp>
      </mc:Fallback>
    </mc:AlternateContent>
    <xdr:clientData/>
  </xdr:oneCellAnchor>
  <xdr:oneCellAnchor>
    <xdr:from>
      <xdr:col>3</xdr:col>
      <xdr:colOff>43237</xdr:colOff>
      <xdr:row>188</xdr:row>
      <xdr:rowOff>61924</xdr:rowOff>
    </xdr:from>
    <xdr:ext cx="2099229" cy="332079"/>
    <mc:AlternateContent xmlns:mc="http://schemas.openxmlformats.org/markup-compatibility/2006">
      <mc:Choice xmlns:a14="http://schemas.microsoft.com/office/drawing/2010/main" Requires="a14">
        <xdr:sp macro="" textlink="">
          <xdr:nvSpPr>
            <xdr:cNvPr id="22" name="TextBox 21">
              <a:extLst>
                <a:ext uri="{FF2B5EF4-FFF2-40B4-BE49-F238E27FC236}">
                  <a16:creationId xmlns:a16="http://schemas.microsoft.com/office/drawing/2014/main" id="{C681DC4C-8560-4555-B935-48D8A5B7025B}"/>
                </a:ext>
              </a:extLst>
            </xdr:cNvPr>
            <xdr:cNvSpPr txBox="1"/>
          </xdr:nvSpPr>
          <xdr:spPr>
            <a:xfrm>
              <a:off x="3091237" y="65566710"/>
              <a:ext cx="2099229"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r>
                                  <a:rPr lang="en-AU" sz="1100" i="1">
                                    <a:latin typeface="Cambria Math" panose="02040503050406030204" pitchFamily="18" charset="0"/>
                                  </a:rPr>
                                  <m:t>𝑇</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𝑓</m:t>
                                    </m:r>
                                  </m:sub>
                                </m:sSub>
                              </m:e>
                            </m:d>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dr:sp macro="" textlink="">
          <xdr:nvSpPr>
            <xdr:cNvPr id="22" name="TextBox 21">
              <a:extLst>
                <a:ext uri="{FF2B5EF4-FFF2-40B4-BE49-F238E27FC236}">
                  <a16:creationId xmlns:a16="http://schemas.microsoft.com/office/drawing/2014/main" id="{C681DC4C-8560-4555-B935-48D8A5B7025B}"/>
                </a:ext>
              </a:extLst>
            </xdr:cNvPr>
            <xdr:cNvSpPr txBox="1"/>
          </xdr:nvSpPr>
          <xdr:spPr>
            <a:xfrm>
              <a:off x="3091237" y="65566710"/>
              <a:ext cx="2099229"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𝐸=∑10_𝑓▒∑10_𝑗▒(𝑇𝑀_𝑗𝑓×𝐸𝐹_𝑓 ) ×10^(−3)</a:t>
              </a:r>
              <a:endParaRPr lang="en-AU" sz="1100"/>
            </a:p>
          </xdr:txBody>
        </xdr:sp>
      </mc:Fallback>
    </mc:AlternateContent>
    <xdr:clientData/>
  </xdr:oneCellAnchor>
  <xdr:oneCellAnchor>
    <xdr:from>
      <xdr:col>4</xdr:col>
      <xdr:colOff>1999881</xdr:colOff>
      <xdr:row>203</xdr:row>
      <xdr:rowOff>51204</xdr:rowOff>
    </xdr:from>
    <xdr:ext cx="2458430" cy="256032"/>
    <mc:AlternateContent xmlns:mc="http://schemas.openxmlformats.org/markup-compatibility/2006">
      <mc:Choice xmlns:a14="http://schemas.microsoft.com/office/drawing/2010/main" Requires="a14">
        <xdr:sp macro="" textlink="">
          <xdr:nvSpPr>
            <xdr:cNvPr id="71" name="TextBox 70">
              <a:extLst>
                <a:ext uri="{FF2B5EF4-FFF2-40B4-BE49-F238E27FC236}">
                  <a16:creationId xmlns:a16="http://schemas.microsoft.com/office/drawing/2014/main" id="{51ACC906-F062-4AD4-86C3-1AAFDFBD3120}"/>
                </a:ext>
              </a:extLst>
            </xdr:cNvPr>
            <xdr:cNvSpPr txBox="1"/>
          </xdr:nvSpPr>
          <xdr:spPr>
            <a:xfrm>
              <a:off x="7356293" y="64036792"/>
              <a:ext cx="2458430" cy="2560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b="1">
                  <a:solidFill>
                    <a:srgbClr val="C00000"/>
                  </a:solidFill>
                </a:rPr>
                <a:t>ORIGINAL:</a:t>
              </a:r>
              <a:r>
                <a:rPr lang="en-AU" sz="1100" baseline="0"/>
                <a:t> </a:t>
              </a:r>
              <a14:m>
                <m:oMath xmlns:m="http://schemas.openxmlformats.org/officeDocument/2006/math">
                  <m:r>
                    <a:rPr lang="en-AU" sz="1100" i="1">
                      <a:latin typeface="Cambria Math" panose="02040503050406030204" pitchFamily="18" charset="0"/>
                    </a:rPr>
                    <m:t>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𝑐</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f>
                                    <m:fPr>
                                      <m:ctrlPr>
                                        <a:rPr lang="en-AU" sz="1100" i="1">
                                          <a:latin typeface="Cambria Math" panose="02040503050406030204" pitchFamily="18" charset="0"/>
                                        </a:rPr>
                                      </m:ctrlPr>
                                    </m:fPr>
                                    <m:num>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𝑐𝑓</m:t>
                                          </m:r>
                                        </m:sub>
                                      </m:sSub>
                                      <m:r>
                                        <a:rPr lang="en-AU" sz="1100" i="1">
                                          <a:latin typeface="Cambria Math" panose="02040503050406030204" pitchFamily="18" charset="0"/>
                                        </a:rPr>
                                        <m:t>×</m:t>
                                      </m:r>
                                      <m:r>
                                        <a:rPr lang="en-AU" sz="1100" i="1">
                                          <a:latin typeface="Cambria Math" panose="02040503050406030204" pitchFamily="18" charset="0"/>
                                        </a:rPr>
                                        <m:t>𝑇</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𝑗𝑓</m:t>
                                          </m:r>
                                        </m:sub>
                                      </m:sSub>
                                    </m:num>
                                    <m:den>
                                      <m:r>
                                        <a:rPr lang="en-AU" sz="1100" i="1">
                                          <a:latin typeface="Cambria Math" panose="02040503050406030204" pitchFamily="18" charset="0"/>
                                        </a:rPr>
                                        <m:t>100</m:t>
                                      </m:r>
                                    </m:den>
                                  </m:f>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𝑐</m:t>
                                      </m:r>
                                    </m:sub>
                                  </m:sSub>
                                </m:e>
                              </m:d>
                            </m:e>
                          </m:nary>
                        </m:e>
                      </m:nary>
                    </m:e>
                  </m:nary>
                </m:oMath>
              </a14:m>
              <a:endParaRPr lang="en-AU" sz="1100"/>
            </a:p>
          </xdr:txBody>
        </xdr:sp>
      </mc:Choice>
      <mc:Fallback>
        <xdr:sp macro="" textlink="">
          <xdr:nvSpPr>
            <xdr:cNvPr id="71" name="TextBox 70">
              <a:extLst>
                <a:ext uri="{FF2B5EF4-FFF2-40B4-BE49-F238E27FC236}">
                  <a16:creationId xmlns:a16="http://schemas.microsoft.com/office/drawing/2014/main" id="{51ACC906-F062-4AD4-86C3-1AAFDFBD3120}"/>
                </a:ext>
              </a:extLst>
            </xdr:cNvPr>
            <xdr:cNvSpPr txBox="1"/>
          </xdr:nvSpPr>
          <xdr:spPr>
            <a:xfrm>
              <a:off x="7356293" y="64036792"/>
              <a:ext cx="2458430" cy="2560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b="1">
                  <a:solidFill>
                    <a:srgbClr val="C00000"/>
                  </a:solidFill>
                </a:rPr>
                <a:t>ORIGINAL:</a:t>
              </a:r>
              <a:r>
                <a:rPr lang="en-AU" sz="1100" baseline="0"/>
                <a:t> </a:t>
              </a:r>
              <a:r>
                <a:rPr lang="en-AU" sz="1100" i="0">
                  <a:latin typeface="Cambria Math" panose="02040503050406030204" pitchFamily="18" charset="0"/>
                </a:rPr>
                <a:t>𝐸=∑10_𝑓▒∑10_𝑐▒∑10_𝑗▒((𝐹_𝑐𝑓×𝑇𝑀_𝑗𝑓)/100×𝐸𝐹_𝑐 ) </a:t>
              </a:r>
              <a:endParaRPr lang="en-AU" sz="1100"/>
            </a:p>
          </xdr:txBody>
        </xdr:sp>
      </mc:Fallback>
    </mc:AlternateContent>
    <xdr:clientData/>
  </xdr:oneCellAnchor>
  <xdr:oneCellAnchor>
    <xdr:from>
      <xdr:col>3</xdr:col>
      <xdr:colOff>2070</xdr:colOff>
      <xdr:row>203</xdr:row>
      <xdr:rowOff>60464</xdr:rowOff>
    </xdr:from>
    <xdr:ext cx="2708818" cy="332079"/>
    <mc:AlternateContent xmlns:mc="http://schemas.openxmlformats.org/markup-compatibility/2006">
      <mc:Choice xmlns:a14="http://schemas.microsoft.com/office/drawing/2010/main" Requires="a14">
        <xdr:sp macro="" textlink="">
          <xdr:nvSpPr>
            <xdr:cNvPr id="73" name="TextBox 72">
              <a:extLst>
                <a:ext uri="{FF2B5EF4-FFF2-40B4-BE49-F238E27FC236}">
                  <a16:creationId xmlns:a16="http://schemas.microsoft.com/office/drawing/2014/main" id="{AB9B5182-C48B-A1DA-007A-35765698E706}"/>
                </a:ext>
              </a:extLst>
            </xdr:cNvPr>
            <xdr:cNvSpPr txBox="1"/>
          </xdr:nvSpPr>
          <xdr:spPr>
            <a:xfrm>
              <a:off x="3040545" y="64335164"/>
              <a:ext cx="2708818"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𝑐</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𝑐𝑓</m:t>
                                        </m:r>
                                      </m:sub>
                                    </m:sSub>
                                    <m:r>
                                      <a:rPr lang="en-AU" sz="1100" i="1">
                                        <a:latin typeface="Cambria Math" panose="02040503050406030204" pitchFamily="18" charset="0"/>
                                      </a:rPr>
                                      <m:t>×</m:t>
                                    </m:r>
                                    <m:r>
                                      <a:rPr lang="en-AU" sz="1100" i="1">
                                        <a:latin typeface="Cambria Math" panose="02040503050406030204" pitchFamily="18" charset="0"/>
                                      </a:rPr>
                                      <m:t>𝑇</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𝑐</m:t>
                                        </m:r>
                                      </m:sub>
                                    </m:sSub>
                                  </m:e>
                                </m:d>
                              </m:e>
                            </m:nary>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dr:sp macro="" textlink="">
          <xdr:nvSpPr>
            <xdr:cNvPr id="73" name="TextBox 72">
              <a:extLst>
                <a:ext uri="{FF2B5EF4-FFF2-40B4-BE49-F238E27FC236}">
                  <a16:creationId xmlns:a16="http://schemas.microsoft.com/office/drawing/2014/main" id="{AB9B5182-C48B-A1DA-007A-35765698E706}"/>
                </a:ext>
              </a:extLst>
            </xdr:cNvPr>
            <xdr:cNvSpPr txBox="1"/>
          </xdr:nvSpPr>
          <xdr:spPr>
            <a:xfrm>
              <a:off x="3040545" y="64335164"/>
              <a:ext cx="2708818"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𝐸=∑10_𝑓▒∑10_𝑐▒∑10_𝑗▒(𝐹_𝑐𝑓×𝑇𝑀_𝑗𝑓×𝐸𝐹_𝑐 ) ×10^(−3)</a:t>
              </a:r>
              <a:endParaRPr lang="en-AU" sz="1100"/>
            </a:p>
          </xdr:txBody>
        </xdr:sp>
      </mc:Fallback>
    </mc:AlternateContent>
    <xdr:clientData/>
  </xdr:oneCellAnchor>
  <xdr:oneCellAnchor>
    <xdr:from>
      <xdr:col>3</xdr:col>
      <xdr:colOff>19050</xdr:colOff>
      <xdr:row>174</xdr:row>
      <xdr:rowOff>114300</xdr:rowOff>
    </xdr:from>
    <xdr:ext cx="1375312" cy="312906"/>
    <mc:AlternateContent xmlns:mc="http://schemas.openxmlformats.org/markup-compatibility/2006">
      <mc:Choice xmlns:a14="http://schemas.microsoft.com/office/drawing/2010/main" Requires="a14">
        <xdr:sp macro="" textlink="">
          <xdr:nvSpPr>
            <xdr:cNvPr id="74" name="TextBox 73">
              <a:extLst>
                <a:ext uri="{FF2B5EF4-FFF2-40B4-BE49-F238E27FC236}">
                  <a16:creationId xmlns:a16="http://schemas.microsoft.com/office/drawing/2014/main" id="{CEEF8554-F0AF-1947-0538-3FF1820215E2}"/>
                </a:ext>
              </a:extLst>
            </xdr:cNvPr>
            <xdr:cNvSpPr txBox="1"/>
          </xdr:nvSpPr>
          <xdr:spPr>
            <a:xfrm>
              <a:off x="3057525" y="62903100"/>
              <a:ext cx="1375312"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𝑓</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𝑐</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𝑐𝑓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𝑐</m:t>
                                </m:r>
                              </m:sub>
                            </m:sSub>
                          </m:e>
                        </m:d>
                      </m:e>
                    </m:nary>
                  </m:oMath>
                </m:oMathPara>
              </a14:m>
              <a:endParaRPr lang="en-AU" sz="1100"/>
            </a:p>
          </xdr:txBody>
        </xdr:sp>
      </mc:Choice>
      <mc:Fallback>
        <xdr:sp macro="" textlink="">
          <xdr:nvSpPr>
            <xdr:cNvPr id="74" name="TextBox 73">
              <a:extLst>
                <a:ext uri="{FF2B5EF4-FFF2-40B4-BE49-F238E27FC236}">
                  <a16:creationId xmlns:a16="http://schemas.microsoft.com/office/drawing/2014/main" id="{CEEF8554-F0AF-1947-0538-3FF1820215E2}"/>
                </a:ext>
              </a:extLst>
            </xdr:cNvPr>
            <xdr:cNvSpPr txBox="1"/>
          </xdr:nvSpPr>
          <xdr:spPr>
            <a:xfrm>
              <a:off x="3057525" y="62903100"/>
              <a:ext cx="1375312"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𝐸𝐹_𝑓=∑10_𝑐▒(𝐹_𝑐𝑓×𝐸𝐹_𝑐 ) </a:t>
              </a:r>
              <a:endParaRPr lang="en-AU" sz="1100"/>
            </a:p>
          </xdr:txBody>
        </xdr:sp>
      </mc:Fallback>
    </mc:AlternateContent>
    <xdr:clientData/>
  </xdr:oneCellAnchor>
  <xdr:oneCellAnchor>
    <xdr:from>
      <xdr:col>3</xdr:col>
      <xdr:colOff>19051</xdr:colOff>
      <xdr:row>258</xdr:row>
      <xdr:rowOff>153521</xdr:rowOff>
    </xdr:from>
    <xdr:ext cx="1698157" cy="312971"/>
    <mc:AlternateContent xmlns:mc="http://schemas.openxmlformats.org/markup-compatibility/2006">
      <mc:Choice xmlns:a14="http://schemas.microsoft.com/office/drawing/2010/main" Requires="a14">
        <xdr:sp macro="" textlink="">
          <xdr:nvSpPr>
            <xdr:cNvPr id="75" name="TextBox 74">
              <a:extLst>
                <a:ext uri="{FF2B5EF4-FFF2-40B4-BE49-F238E27FC236}">
                  <a16:creationId xmlns:a16="http://schemas.microsoft.com/office/drawing/2014/main" id="{9B27B467-355C-E5F4-75E4-3FC7CD52C265}"/>
                </a:ext>
              </a:extLst>
            </xdr:cNvPr>
            <xdr:cNvSpPr txBox="1"/>
          </xdr:nvSpPr>
          <xdr:spPr>
            <a:xfrm>
              <a:off x="3044639" y="65976874"/>
              <a:ext cx="1698157" cy="3129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h</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h</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h</m:t>
                                </m:r>
                              </m:sub>
                            </m:sSub>
                          </m:e>
                        </m:d>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dr:sp macro="" textlink="">
          <xdr:nvSpPr>
            <xdr:cNvPr id="75" name="TextBox 74">
              <a:extLst>
                <a:ext uri="{FF2B5EF4-FFF2-40B4-BE49-F238E27FC236}">
                  <a16:creationId xmlns:a16="http://schemas.microsoft.com/office/drawing/2014/main" id="{9B27B467-355C-E5F4-75E4-3FC7CD52C265}"/>
                </a:ext>
              </a:extLst>
            </xdr:cNvPr>
            <xdr:cNvSpPr txBox="1"/>
          </xdr:nvSpPr>
          <xdr:spPr>
            <a:xfrm>
              <a:off x="3044639" y="65976874"/>
              <a:ext cx="1698157" cy="3129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𝐸=∑10_ℎ▒(𝑄_ℎ×𝐸𝐹_ℎ ) ×10^(−3)</a:t>
              </a:r>
              <a:endParaRPr lang="en-AU" sz="1100"/>
            </a:p>
          </xdr:txBody>
        </xdr:sp>
      </mc:Fallback>
    </mc:AlternateContent>
    <xdr:clientData/>
  </xdr:oneCellAnchor>
  <xdr:oneCellAnchor>
    <xdr:from>
      <xdr:col>3</xdr:col>
      <xdr:colOff>30256</xdr:colOff>
      <xdr:row>290</xdr:row>
      <xdr:rowOff>97491</xdr:rowOff>
    </xdr:from>
    <xdr:ext cx="1022459" cy="173766"/>
    <mc:AlternateContent xmlns:mc="http://schemas.openxmlformats.org/markup-compatibility/2006">
      <mc:Choice xmlns:a14="http://schemas.microsoft.com/office/drawing/2010/main" Requires="a14">
        <xdr:sp macro="" textlink="">
          <xdr:nvSpPr>
            <xdr:cNvPr id="77" name="TextBox 76">
              <a:extLst>
                <a:ext uri="{FF2B5EF4-FFF2-40B4-BE49-F238E27FC236}">
                  <a16:creationId xmlns:a16="http://schemas.microsoft.com/office/drawing/2014/main" id="{EFEA2CAD-A731-65C7-CA86-D32D3DF0F3EC}"/>
                </a:ext>
              </a:extLst>
            </xdr:cNvPr>
            <xdr:cNvSpPr txBox="1"/>
          </xdr:nvSpPr>
          <xdr:spPr>
            <a:xfrm>
              <a:off x="3055844" y="72890903"/>
              <a:ext cx="1022459"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𝑙𝑖𝑚𝑒</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𝑙</m:t>
                        </m:r>
                      </m:sub>
                    </m:sSub>
                  </m:oMath>
                </m:oMathPara>
              </a14:m>
              <a:endParaRPr lang="en-AU" sz="1100"/>
            </a:p>
          </xdr:txBody>
        </xdr:sp>
      </mc:Choice>
      <mc:Fallback>
        <xdr:sp macro="" textlink="">
          <xdr:nvSpPr>
            <xdr:cNvPr id="77" name="TextBox 76">
              <a:extLst>
                <a:ext uri="{FF2B5EF4-FFF2-40B4-BE49-F238E27FC236}">
                  <a16:creationId xmlns:a16="http://schemas.microsoft.com/office/drawing/2014/main" id="{EFEA2CAD-A731-65C7-CA86-D32D3DF0F3EC}"/>
                </a:ext>
              </a:extLst>
            </xdr:cNvPr>
            <xdr:cNvSpPr txBox="1"/>
          </xdr:nvSpPr>
          <xdr:spPr>
            <a:xfrm>
              <a:off x="3055844" y="72890903"/>
              <a:ext cx="1022459"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𝐸=𝑀_𝑙𝑖𝑚𝑒×𝐸𝐹_𝑙</a:t>
              </a:r>
              <a:endParaRPr lang="en-AU" sz="1100"/>
            </a:p>
          </xdr:txBody>
        </xdr:sp>
      </mc:Fallback>
    </mc:AlternateContent>
    <xdr:clientData/>
  </xdr:oneCellAnchor>
  <xdr:oneCellAnchor>
    <xdr:from>
      <xdr:col>3</xdr:col>
      <xdr:colOff>97491</xdr:colOff>
      <xdr:row>323</xdr:row>
      <xdr:rowOff>75080</xdr:rowOff>
    </xdr:from>
    <xdr:ext cx="1692515" cy="331501"/>
    <mc:AlternateContent xmlns:mc="http://schemas.openxmlformats.org/markup-compatibility/2006">
      <mc:Choice xmlns:a14="http://schemas.microsoft.com/office/drawing/2010/main" Requires="a14">
        <xdr:sp macro="" textlink="">
          <xdr:nvSpPr>
            <xdr:cNvPr id="79" name="TextBox 78">
              <a:extLst>
                <a:ext uri="{FF2B5EF4-FFF2-40B4-BE49-F238E27FC236}">
                  <a16:creationId xmlns:a16="http://schemas.microsoft.com/office/drawing/2014/main" id="{6D907051-F99F-71F3-5584-0CA3225DA9BC}"/>
                </a:ext>
              </a:extLst>
            </xdr:cNvPr>
            <xdr:cNvSpPr txBox="1"/>
          </xdr:nvSpPr>
          <xdr:spPr>
            <a:xfrm>
              <a:off x="3123079" y="79849756"/>
              <a:ext cx="1692515"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𝑝</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𝑝</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𝑝</m:t>
                                </m:r>
                              </m:sub>
                            </m:sSub>
                          </m:e>
                        </m:d>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dr:sp macro="" textlink="">
          <xdr:nvSpPr>
            <xdr:cNvPr id="79" name="TextBox 78">
              <a:extLst>
                <a:ext uri="{FF2B5EF4-FFF2-40B4-BE49-F238E27FC236}">
                  <a16:creationId xmlns:a16="http://schemas.microsoft.com/office/drawing/2014/main" id="{6D907051-F99F-71F3-5584-0CA3225DA9BC}"/>
                </a:ext>
              </a:extLst>
            </xdr:cNvPr>
            <xdr:cNvSpPr txBox="1"/>
          </xdr:nvSpPr>
          <xdr:spPr>
            <a:xfrm>
              <a:off x="3123079" y="79849756"/>
              <a:ext cx="1692515"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𝐸=∑10_𝑝▒(𝐴_𝑝×𝐸𝐹_𝑝 ) ×10^(−3)</a:t>
              </a:r>
              <a:endParaRPr lang="en-AU" sz="1100"/>
            </a:p>
          </xdr:txBody>
        </xdr:sp>
      </mc:Fallback>
    </mc:AlternateContent>
    <xdr:clientData/>
  </xdr:oneCellAnchor>
  <xdr:oneCellAnchor>
    <xdr:from>
      <xdr:col>3</xdr:col>
      <xdr:colOff>63874</xdr:colOff>
      <xdr:row>355</xdr:row>
      <xdr:rowOff>119902</xdr:rowOff>
    </xdr:from>
    <xdr:ext cx="1694117" cy="331501"/>
    <mc:AlternateContent xmlns:mc="http://schemas.openxmlformats.org/markup-compatibility/2006">
      <mc:Choice xmlns:a14="http://schemas.microsoft.com/office/drawing/2010/main" Requires="a14">
        <xdr:sp macro="" textlink="">
          <xdr:nvSpPr>
            <xdr:cNvPr id="81" name="TextBox 80">
              <a:extLst>
                <a:ext uri="{FF2B5EF4-FFF2-40B4-BE49-F238E27FC236}">
                  <a16:creationId xmlns:a16="http://schemas.microsoft.com/office/drawing/2014/main" id="{46C6F75C-1B5E-30FB-B77B-D6043954D8B1}"/>
                </a:ext>
              </a:extLst>
            </xdr:cNvPr>
            <xdr:cNvSpPr txBox="1"/>
          </xdr:nvSpPr>
          <xdr:spPr>
            <a:xfrm>
              <a:off x="3089462" y="86550873"/>
              <a:ext cx="1694117"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𝑝</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𝑝</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𝑝</m:t>
                                </m:r>
                              </m:sub>
                            </m:sSub>
                          </m:e>
                        </m:d>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dr:sp macro="" textlink="">
          <xdr:nvSpPr>
            <xdr:cNvPr id="81" name="TextBox 80">
              <a:extLst>
                <a:ext uri="{FF2B5EF4-FFF2-40B4-BE49-F238E27FC236}">
                  <a16:creationId xmlns:a16="http://schemas.microsoft.com/office/drawing/2014/main" id="{46C6F75C-1B5E-30FB-B77B-D6043954D8B1}"/>
                </a:ext>
              </a:extLst>
            </xdr:cNvPr>
            <xdr:cNvSpPr txBox="1"/>
          </xdr:nvSpPr>
          <xdr:spPr>
            <a:xfrm>
              <a:off x="3089462" y="86550873"/>
              <a:ext cx="1694117"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𝐸=∑10_𝑝▒(𝑄_𝑝×𝐸𝐹_𝑝 ) ×10^(−3)</a:t>
              </a:r>
              <a:endParaRPr lang="en-AU" sz="1100"/>
            </a:p>
          </xdr:txBody>
        </xdr:sp>
      </mc:Fallback>
    </mc:AlternateContent>
    <xdr:clientData/>
  </xdr:oneCellAnchor>
  <xdr:oneCellAnchor>
    <xdr:from>
      <xdr:col>3</xdr:col>
      <xdr:colOff>41461</xdr:colOff>
      <xdr:row>385</xdr:row>
      <xdr:rowOff>131109</xdr:rowOff>
    </xdr:from>
    <xdr:ext cx="1698863" cy="332207"/>
    <mc:AlternateContent xmlns:mc="http://schemas.openxmlformats.org/markup-compatibility/2006">
      <mc:Choice xmlns:a14="http://schemas.microsoft.com/office/drawing/2010/main" Requires="a14">
        <xdr:sp macro="" textlink="">
          <xdr:nvSpPr>
            <xdr:cNvPr id="82" name="TextBox 81">
              <a:extLst>
                <a:ext uri="{FF2B5EF4-FFF2-40B4-BE49-F238E27FC236}">
                  <a16:creationId xmlns:a16="http://schemas.microsoft.com/office/drawing/2014/main" id="{04746F7A-D77B-595B-4573-70F2E33DC01D}"/>
                </a:ext>
              </a:extLst>
            </xdr:cNvPr>
            <xdr:cNvSpPr txBox="1"/>
          </xdr:nvSpPr>
          <xdr:spPr>
            <a:xfrm>
              <a:off x="3067049" y="92120197"/>
              <a:ext cx="1698863" cy="33220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𝑔</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𝑔</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𝑔</m:t>
                                </m:r>
                              </m:sub>
                            </m:sSub>
                          </m:e>
                        </m:d>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dr:sp macro="" textlink="">
          <xdr:nvSpPr>
            <xdr:cNvPr id="82" name="TextBox 81">
              <a:extLst>
                <a:ext uri="{FF2B5EF4-FFF2-40B4-BE49-F238E27FC236}">
                  <a16:creationId xmlns:a16="http://schemas.microsoft.com/office/drawing/2014/main" id="{04746F7A-D77B-595B-4573-70F2E33DC01D}"/>
                </a:ext>
              </a:extLst>
            </xdr:cNvPr>
            <xdr:cNvSpPr txBox="1"/>
          </xdr:nvSpPr>
          <xdr:spPr>
            <a:xfrm>
              <a:off x="3067049" y="92120197"/>
              <a:ext cx="1698863" cy="33220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𝐸=∑10_𝑔▒(𝑄_𝑔×𝐸𝐹_𝑔 ) ×10^(−3)</a:t>
              </a:r>
              <a:endParaRPr lang="en-AU" sz="1100"/>
            </a:p>
          </xdr:txBody>
        </xdr:sp>
      </mc:Fallback>
    </mc:AlternateContent>
    <xdr:clientData/>
  </xdr:oneCellAnchor>
  <xdr:oneCellAnchor>
    <xdr:from>
      <xdr:col>3</xdr:col>
      <xdr:colOff>28575</xdr:colOff>
      <xdr:row>418</xdr:row>
      <xdr:rowOff>114299</xdr:rowOff>
    </xdr:from>
    <xdr:ext cx="2929969" cy="173766"/>
    <mc:AlternateContent xmlns:mc="http://schemas.openxmlformats.org/markup-compatibility/2006">
      <mc:Choice xmlns:a14="http://schemas.microsoft.com/office/drawing/2010/main" Requires="a14">
        <xdr:sp macro="" textlink="">
          <xdr:nvSpPr>
            <xdr:cNvPr id="83" name="TextBox 82">
              <a:extLst>
                <a:ext uri="{FF2B5EF4-FFF2-40B4-BE49-F238E27FC236}">
                  <a16:creationId xmlns:a16="http://schemas.microsoft.com/office/drawing/2014/main" id="{9CB0C24E-AD05-2E45-37B4-6127CA13F956}"/>
                </a:ext>
              </a:extLst>
            </xdr:cNvPr>
            <xdr:cNvSpPr txBox="1"/>
          </xdr:nvSpPr>
          <xdr:spPr>
            <a:xfrm>
              <a:off x="3067050" y="99745799"/>
              <a:ext cx="2929969"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𝑒𝑚𝑖𝑠𝑠𝑖𝑜𝑛𝑠</m:t>
                    </m:r>
                    <m:r>
                      <a:rPr lang="en-AU" sz="1100" i="1">
                        <a:latin typeface="Cambria Math" panose="02040503050406030204" pitchFamily="18" charset="0"/>
                      </a:rPr>
                      <m:t>=</m:t>
                    </m:r>
                    <m:r>
                      <a:rPr lang="en-AU" sz="1100" i="1">
                        <a:latin typeface="Cambria Math" panose="02040503050406030204" pitchFamily="18" charset="0"/>
                      </a:rPr>
                      <m:t>𝑎𝑐𝑡𝑖𝑣𝑖𝑡𝑦</m:t>
                    </m:r>
                    <m:r>
                      <m:rPr>
                        <m:lit/>
                      </m:rPr>
                      <a:rPr lang="en-AU" sz="1100" i="1">
                        <a:latin typeface="Cambria Math" panose="02040503050406030204" pitchFamily="18" charset="0"/>
                      </a:rPr>
                      <m:t>_</m:t>
                    </m:r>
                    <m:r>
                      <a:rPr lang="en-AU" sz="1100" i="1">
                        <a:latin typeface="Cambria Math" panose="02040503050406030204" pitchFamily="18" charset="0"/>
                      </a:rPr>
                      <m:t>𝑑𝑎𝑡𝑎</m:t>
                    </m:r>
                    <m:r>
                      <a:rPr lang="en-AU" sz="1100" i="1">
                        <a:latin typeface="Cambria Math" panose="02040503050406030204" pitchFamily="18" charset="0"/>
                      </a:rPr>
                      <m:t>×</m:t>
                    </m:r>
                    <m:r>
                      <a:rPr lang="en-AU" sz="1100" i="1">
                        <a:latin typeface="Cambria Math" panose="02040503050406030204" pitchFamily="18" charset="0"/>
                      </a:rPr>
                      <m:t>𝑒𝑚𝑖𝑠𝑠𝑖𝑜𝑛</m:t>
                    </m:r>
                    <m:r>
                      <m:rPr>
                        <m:lit/>
                      </m:rPr>
                      <a:rPr lang="en-AU" sz="1100" i="1">
                        <a:latin typeface="Cambria Math" panose="02040503050406030204" pitchFamily="18" charset="0"/>
                      </a:rPr>
                      <m:t>_</m:t>
                    </m:r>
                    <m:r>
                      <a:rPr lang="en-AU" sz="1100" i="1">
                        <a:latin typeface="Cambria Math" panose="02040503050406030204" pitchFamily="18" charset="0"/>
                      </a:rPr>
                      <m:t>𝑓𝑎𝑐𝑡𝑜𝑟</m:t>
                    </m:r>
                    <m:r>
                      <a:rPr lang="en-AU" sz="1100" i="1">
                        <a:latin typeface="Cambria Math" panose="02040503050406030204" pitchFamily="18" charset="0"/>
                      </a:rPr>
                      <m:t> </m:t>
                    </m:r>
                  </m:oMath>
                </m:oMathPara>
              </a14:m>
              <a:endParaRPr lang="en-AU" sz="1100"/>
            </a:p>
          </xdr:txBody>
        </xdr:sp>
      </mc:Choice>
      <mc:Fallback>
        <xdr:sp macro="" textlink="">
          <xdr:nvSpPr>
            <xdr:cNvPr id="83" name="TextBox 82">
              <a:extLst>
                <a:ext uri="{FF2B5EF4-FFF2-40B4-BE49-F238E27FC236}">
                  <a16:creationId xmlns:a16="http://schemas.microsoft.com/office/drawing/2014/main" id="{9CB0C24E-AD05-2E45-37B4-6127CA13F956}"/>
                </a:ext>
              </a:extLst>
            </xdr:cNvPr>
            <xdr:cNvSpPr txBox="1"/>
          </xdr:nvSpPr>
          <xdr:spPr>
            <a:xfrm>
              <a:off x="3067050" y="99745799"/>
              <a:ext cx="2929969"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𝑒𝑚𝑖𝑠𝑠𝑖𝑜𝑛𝑠=𝑎𝑐𝑡𝑖𝑣𝑖𝑡𝑦\_𝑑𝑎𝑡𝑎×𝑒𝑚𝑖𝑠𝑠𝑖𝑜𝑛\_𝑓𝑎𝑐𝑡𝑜𝑟 </a:t>
              </a:r>
              <a:endParaRPr lang="en-AU" sz="1100"/>
            </a:p>
          </xdr:txBody>
        </xdr:sp>
      </mc:Fallback>
    </mc:AlternateContent>
    <xdr:clientData/>
  </xdr:one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2" xr:uid="{01BEC493-76A8-429F-A61F-200574FC330B}" name="Table_SourceData_Poultry_DietProperties" displayName="Table_SourceData_Poultry_DietProperties" ref="D8:H13" totalsRowShown="0">
  <autoFilter ref="D8:H13" xr:uid="{C0EBB88F-78E2-4301-A115-5D57142F74BA}">
    <filterColumn colId="0" hiddenButton="1"/>
    <filterColumn colId="1" hiddenButton="1"/>
    <filterColumn colId="2" hiddenButton="1"/>
    <filterColumn colId="3" hiddenButton="1"/>
    <filterColumn colId="4" hiddenButton="1"/>
  </autoFilter>
  <tableColumns count="5">
    <tableColumn id="1" xr3:uid="{B243E508-49FC-4246-9E6B-7EDB8A9BBFB3}" name="Nutrient analysis">
      <calculatedColumnFormula array="1">Common_InputFunctions.Utility_DisplayArrayInTable(SourceData_Poultry.SourceData_Poultry_DietProperties_Data(), Table_SourceData_Poultry_DietProperties[[#Headers],[Nutrient analysis]], 0)</calculatedColumnFormula>
    </tableColumn>
    <tableColumn id="2" xr3:uid="{23175F6D-37B0-4354-BDA5-FBE9A4BCC2B3}" name="Layers" dataDxfId="103" dataCellStyle="Content normal">
      <calculatedColumnFormula array="1">Common_InputFunctions.Utility_DisplayArrayInTable(SourceData_Poultry.SourceData_Poultry_DietProperties_Data(), Table_SourceData_Poultry_DietProperties[[#Headers],[Nutrient analysis]], 0)</calculatedColumnFormula>
    </tableColumn>
    <tableColumn id="3" xr3:uid="{9298735A-014E-429B-97AA-27FF82E123E1}" name="Meat chicken growers" dataDxfId="102" dataCellStyle="Content normal">
      <calculatedColumnFormula array="1">Common_InputFunctions.Utility_DisplayArrayInTable(SourceData_Poultry.SourceData_Poultry_DietProperties_Data(), Table_SourceData_Poultry_DietProperties[[#Headers],[Nutrient analysis]], 0)</calculatedColumnFormula>
    </tableColumn>
    <tableColumn id="4" xr3:uid="{39D32F10-4BD4-435F-8248-D8996332694F}" name="Meat chicken breeder" dataDxfId="101" dataCellStyle="Content normal">
      <calculatedColumnFormula array="1">Common_InputFunctions.Utility_DisplayArrayInTable(SourceData_Poultry.SourceData_Poultry_DietProperties_Data(), Table_SourceData_Poultry_DietProperties[[#Headers],[Nutrient analysis]], 0)</calculatedColumnFormula>
    </tableColumn>
    <tableColumn id="5" xr3:uid="{61B74CCD-847D-4972-9F00-DE8FE0F6DFEE}" name="Meat other" dataDxfId="100" dataCellStyle="Content normal">
      <calculatedColumnFormula array="1">Common_InputFunctions.Utility_DisplayArrayInTable(SourceData_Poultry.SourceData_Poultry_DietProperties_Data(), Table_SourceData_Poultry_DietProperties[[#Headers],[Nutrient analysis]], 0)</calculatedColumnFormula>
    </tableColumn>
  </tableColumns>
  <tableStyleInfo name="Equation tab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3" xr:uid="{48B18611-37DB-4CA5-9B84-2F0273854A82}" name="Table_SourceData_Poultry_MethaneEmissionsPotential" displayName="Table_SourceData_Poultry_MethaneEmissionsPotential" ref="D19:E21" totalsRowShown="0">
  <autoFilter ref="D19:E21" xr:uid="{B337049C-2437-4EFA-AAFD-35A825C8877D}">
    <filterColumn colId="0" hiddenButton="1"/>
    <filterColumn colId="1" hiddenButton="1"/>
  </autoFilter>
  <tableColumns count="2">
    <tableColumn id="1" xr3:uid="{BE911D85-5E26-48EB-AB01-5F5CCD067473}" name="Poultry class">
      <calculatedColumnFormula array="1">Common_InputFunctions.Utility_DisplayArrayInTable(SourceData_Poultry.SourceData_Poultry_MethaneEmissionsPotential_Data(), Table_SourceData_Poultry_MethaneEmissionsPotential[[#Headers],[Poultry class]], 0)</calculatedColumnFormula>
    </tableColumn>
    <tableColumn id="2" xr3:uid="{6355A21C-7504-49C5-9034-B860CE14DF3C}" name="B0" dataDxfId="99" dataCellStyle="Content normal">
      <calculatedColumnFormula array="1">Common_InputFunctions.Utility_DisplayArrayInTable(SourceData_Poultry.SourceData_Poultry_MethaneEmissionsPotential_Data(), Table_SourceData_Poultry_MethaneEmissionsPotential[[#Headers],[Poultry class]], 0)</calculatedColumnFormula>
    </tableColumn>
  </tableColumns>
  <tableStyleInfo name="Equation tab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4" xr:uid="{097DEF3E-79E6-464F-B26E-6E80546B7125}" name="Table_SourceData_PoultryMMS" displayName="Table_SourceData_PoultryMMS" ref="D28:E38" totalsRowShown="0">
  <autoFilter ref="D28:E38" xr:uid="{AF7090B5-6718-41B7-9B26-A00EDB46BAC3}">
    <filterColumn colId="0" hiddenButton="1"/>
    <filterColumn colId="1" hiddenButton="1"/>
  </autoFilter>
  <tableColumns count="2">
    <tableColumn id="1" xr3:uid="{20B2DFD1-E5CD-4A0A-994B-4AC73BFECCDF}" name="MMS"/>
    <tableColumn id="2" xr3:uid="{922307C7-552C-4EB0-8D2C-DCB74655EE65}" name="Symbol and MMS" dataDxfId="98" dataCellStyle="Content normal"/>
  </tableColumns>
  <tableStyleInfo name="Equation tab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5" xr:uid="{A67DFED4-3AE0-44D4-9750-AC444DB39D4E}" name="Table_SourceData_Poultry_ProductionSystems" displayName="Table_SourceData_Poultry_ProductionSystems" ref="D44:D47" totalsRowShown="0">
  <autoFilter ref="D44:D47" xr:uid="{5810106E-36C6-489E-8962-5DE08C5F2EAC}">
    <filterColumn colId="0" hiddenButton="1"/>
  </autoFilter>
  <tableColumns count="1">
    <tableColumn id="1" xr3:uid="{9031EEAC-D1FE-4EAE-B389-DDFBB72F32F2}" name="Production system">
      <calculatedColumnFormula array="1">Common_InputFunctions.Utility_DisplayArrayInTable(SourceData_Poultry.SourceData_Poultry_ProductionSystems_Data(), Table_SourceData_Poultry_ProductionSystems[[#Headers],[Production system]], 0)</calculatedColumnFormula>
    </tableColumn>
  </tableColumns>
  <tableStyleInfo name="Equation tab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6" xr:uid="{913F6249-6A4C-4955-9F9A-A925CF2E2E61}" name="Table_SourceData_Poultry_MMSMCF" displayName="Table_SourceData_Poultry_MMSMCF" ref="D59:N68" totalsRowShown="0">
  <autoFilter ref="D59:N68" xr:uid="{F26BAEA5-5A43-49B7-A0AB-1CF0D30AA767}">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autoFilter>
  <tableColumns count="11">
    <tableColumn id="1" xr3:uid="{12421CCF-1CFC-42C1-80D1-E4A99C0D42D2}" name="MMS m">
      <calculatedColumnFormula array="1">Common_InputFunctions.Utility_DisplayArrayInTable(SourceData_Poultry.SourceData_Poultry_MCF_Data(), Table_SourceData_Poultry_MMSMCF[[#Headers],[MMS m]], 0)</calculatedColumnFormula>
    </tableColumn>
    <tableColumn id="2" xr3:uid="{F362A1BC-4F38-4EEF-9CE3-BE4CDFB64280}" name="All states" dataDxfId="97" dataCellStyle="Content normal">
      <calculatedColumnFormula array="1">Common_InputFunctions.Utility_DisplayArrayInTable(SourceData_Poultry.SourceData_Poultry_MCF_Data(), Table_SourceData_Poultry_MMSMCF[[#Headers],[MMS m]], 0)</calculatedColumnFormula>
    </tableColumn>
    <tableColumn id="3" xr3:uid="{B2EC8149-896E-4AE4-9361-F019709883E6}" name="NSW" dataDxfId="96" dataCellStyle="Content normal">
      <calculatedColumnFormula array="1">Common_InputFunctions.Utility_DisplayArrayInTable(SourceData_Poultry.SourceData_Poultry_MCF_Data(), Table_SourceData_Poultry_MMSMCF[[#Headers],[MMS m]], 0)</calculatedColumnFormula>
    </tableColumn>
    <tableColumn id="4" xr3:uid="{9C9B79C4-92C9-410A-9B20-71D45143000E}" name="ACT" dataDxfId="95" dataCellStyle="Content normal">
      <calculatedColumnFormula array="1">Common_InputFunctions.Utility_DisplayArrayInTable(SourceData_Poultry.SourceData_Poultry_MCF_Data(), Table_SourceData_Poultry_MMSMCF[[#Headers],[MMS m]], 0)</calculatedColumnFormula>
    </tableColumn>
    <tableColumn id="5" xr3:uid="{7E7CF863-1E33-40E7-9AAF-DD1F59BC22F0}" name="QLD" dataDxfId="94" dataCellStyle="Content normal">
      <calculatedColumnFormula array="1">Common_InputFunctions.Utility_DisplayArrayInTable(SourceData_Poultry.SourceData_Poultry_MCF_Data(), Table_SourceData_Poultry_MMSMCF[[#Headers],[MMS m]], 0)</calculatedColumnFormula>
    </tableColumn>
    <tableColumn id="6" xr3:uid="{C7C81061-FC02-44C9-AE76-88C33EF9ECE4}" name="NT" dataDxfId="93" dataCellStyle="Content normal">
      <calculatedColumnFormula array="1">Common_InputFunctions.Utility_DisplayArrayInTable(SourceData_Poultry.SourceData_Poultry_MCF_Data(), Table_SourceData_Poultry_MMSMCF[[#Headers],[MMS m]], 0)</calculatedColumnFormula>
    </tableColumn>
    <tableColumn id="7" xr3:uid="{A96B1204-56BE-456D-BBDB-84567033D573}" name="VIC" dataDxfId="92" dataCellStyle="Content normal">
      <calculatedColumnFormula array="1">Common_InputFunctions.Utility_DisplayArrayInTable(SourceData_Poultry.SourceData_Poultry_MCF_Data(), Table_SourceData_Poultry_MMSMCF[[#Headers],[MMS m]], 0)</calculatedColumnFormula>
    </tableColumn>
    <tableColumn id="8" xr3:uid="{5011B34B-A550-40FF-8791-9EF6D4239FA9}" name="SA" dataDxfId="91" dataCellStyle="Content normal">
      <calculatedColumnFormula array="1">Common_InputFunctions.Utility_DisplayArrayInTable(SourceData_Poultry.SourceData_Poultry_MCF_Data(), Table_SourceData_Poultry_MMSMCF[[#Headers],[MMS m]], 0)</calculatedColumnFormula>
    </tableColumn>
    <tableColumn id="9" xr3:uid="{ABD9C088-4987-4602-924F-BC3ABF983CE8}" name="WA" dataDxfId="90" dataCellStyle="Content normal">
      <calculatedColumnFormula array="1">Common_InputFunctions.Utility_DisplayArrayInTable(SourceData_Poultry.SourceData_Poultry_MCF_Data(), Table_SourceData_Poultry_MMSMCF[[#Headers],[MMS m]], 0)</calculatedColumnFormula>
    </tableColumn>
    <tableColumn id="10" xr3:uid="{E2F63026-59B6-4AA6-8B42-55A285E700B6}" name="TAS" dataDxfId="89" dataCellStyle="Content normal">
      <calculatedColumnFormula array="1">Common_InputFunctions.Utility_DisplayArrayInTable(SourceData_Poultry.SourceData_Poultry_MCF_Data(), Table_SourceData_Poultry_MMSMCF[[#Headers],[MMS m]], 0)</calculatedColumnFormula>
    </tableColumn>
    <tableColumn id="11" xr3:uid="{F552DD38-091B-4E46-A0C4-2B1F8CBC310B}" name="NIR definition" dataDxfId="88" dataCellStyle="Content normal">
      <calculatedColumnFormula array="1">Common_InputFunctions.Utility_DisplayArrayInTable(SourceData_Poultry.SourceData_Poultry_MCF_Data(), Table_SourceData_Poultry_MMSMCF[[#Headers],[MMS m]], 0)</calculatedColumnFormula>
    </tableColumn>
  </tableColumns>
  <tableStyleInfo name="Equation tab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7" xr:uid="{AC203AFF-F289-4AFA-ADE6-8A79C218688E}" name="Table_SourceData_PoultryMMSSTage1" displayName="Table_SourceData_PoultryMMSSTage1" ref="G28:H33" totalsRowShown="0">
  <autoFilter ref="G28:H33" xr:uid="{DEE6EA5E-2B4D-4BFE-9875-EACD468C453A}">
    <filterColumn colId="0" hiddenButton="1"/>
    <filterColumn colId="1" hiddenButton="1"/>
  </autoFilter>
  <tableColumns count="2">
    <tableColumn id="1" xr3:uid="{473E2AAF-5ED3-49F1-92FA-7AEA0F27141A}" name="MMS"/>
    <tableColumn id="2" xr3:uid="{C80C5D24-CEDC-4CBE-B580-CA0FC8F4D827}" name="Symbol and MMS" dataDxfId="87" dataCellStyle="Content normal"/>
  </tableColumns>
  <tableStyleInfo name="Equation tab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8" xr:uid="{D43D64DD-D6AC-4D34-B66B-7F4BC2CA8A14}" name="Table_SourceData_PoultryMMSStage2" displayName="Table_SourceData_PoultryMMSStage2" ref="J28:K34" totalsRowShown="0">
  <autoFilter ref="J28:K34" xr:uid="{EC4CB048-5E1F-4D26-9F6C-B04ADADF31C3}">
    <filterColumn colId="0" hiddenButton="1"/>
    <filterColumn colId="1" hiddenButton="1"/>
  </autoFilter>
  <tableColumns count="2">
    <tableColumn id="1" xr3:uid="{4C0C6BD8-DEE6-4912-8A7F-AD782FF2912D}" name="MMS"/>
    <tableColumn id="2" xr3:uid="{38FF62E3-2DE9-46ED-B607-80EC3AE32074}" name="Symbol and MMS" dataDxfId="86" dataCellStyle="Content normal"/>
  </tableColumns>
  <tableStyleInfo name="Equation tab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9" xr:uid="{C1AE9286-2F72-4C25-B52D-8CCF46A972C0}" name="Table_SourceData_Poultry_MMSVSL" displayName="Table_SourceData_Poultry_MMSVSL" ref="D75:F78" totalsRowShown="0">
  <autoFilter ref="D75:F78" xr:uid="{9227BAFF-4BC8-4D7F-BDAE-6BC460B8A0CA}">
    <filterColumn colId="0" hiddenButton="1"/>
    <filterColumn colId="1" hiddenButton="1"/>
    <filterColumn colId="2" hiddenButton="1"/>
  </autoFilter>
  <tableColumns count="3">
    <tableColumn id="1" xr3:uid="{0B9BDCB1-3007-401C-8A94-6811634BCAC7}" name="MMS">
      <calculatedColumnFormula array="1">Common_InputFunctions.Utility_DisplayArrayInTable(SourceData_Poultry.SourceData_Poultry_VSL_Data(), Table_SourceData_Poultry_MMSVSL[[#Headers],[MMS]], 0)</calculatedColumnFormula>
    </tableColumn>
    <tableColumn id="2" xr3:uid="{16DF633F-896B-40B9-BD46-D97C1FE6420F}" name="VSL" dataDxfId="85" dataCellStyle="Content normal">
      <calculatedColumnFormula array="1">Common_InputFunctions.Utility_DisplayArrayInTable(SourceData_Poultry.SourceData_Poultry_VSL_Data(), Table_SourceData_Poultry_MMSVSL[[#Headers],[MMS]], 0)</calculatedColumnFormula>
    </tableColumn>
    <tableColumn id="3" xr3:uid="{305DE322-FE24-47B6-9DAE-00379ACBB8F4}" name="NIR definition" dataDxfId="84" dataCellStyle="Content normal">
      <calculatedColumnFormula array="1">Common_InputFunctions.Utility_DisplayArrayInTable(SourceData_Poultry.SourceData_Poultry_VSL_Data(), Table_SourceData_Poultry_MMSVSL[[#Headers],[MMS]], 0)</calculatedColumnFormula>
    </tableColumn>
  </tableColumns>
  <tableStyleInfo name="Equation tabl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0" xr:uid="{EA93269B-A23B-4F78-BF0E-0F3B8CBE0F57}" name="Table_SourceData_Poultry_FracGASM" displayName="Table_SourceData_Poultry_FracGASM" ref="D84:F91" totalsRowShown="0">
  <autoFilter ref="D84:F91" xr:uid="{9BA131A3-0B04-413F-9D7A-86F5FB660776}">
    <filterColumn colId="0" hiddenButton="1"/>
    <filterColumn colId="1" hiddenButton="1"/>
    <filterColumn colId="2" hiddenButton="1"/>
  </autoFilter>
  <tableColumns count="3">
    <tableColumn id="1" xr3:uid="{AC102392-0468-476E-8D83-76CB916B4E49}" name="MMSm">
      <calculatedColumnFormula array="1">Common_InputFunctions.Utility_DisplayArrayInTable(SourceData_Poultry.SourceData_Poultry_FracGASMmT_Data(), Table_SourceData_Poultry_FracGASM[[#Headers],[MMSm]], 0)</calculatedColumnFormula>
    </tableColumn>
    <tableColumn id="2" xr3:uid="{823514F6-DBA5-4DA5-A6D4-58D76E2F7CA0}" name="FracGASMmT" dataDxfId="83" dataCellStyle="Content normal">
      <calculatedColumnFormula array="1">Common_InputFunctions.Utility_DisplayArrayInTable(SourceData_Poultry.SourceData_Poultry_FracGASMmT_Data(), Table_SourceData_Poultry_FracGASM[[#Headers],[MMSm]], 0)</calculatedColumnFormula>
    </tableColumn>
    <tableColumn id="3" xr3:uid="{F8AF52F6-FA64-47AF-AC30-3C025BF8D5AC}" name="NIR reference" dataDxfId="82" dataCellStyle="Content normal">
      <calculatedColumnFormula array="1">Common_InputFunctions.Utility_DisplayArrayInTable(SourceData_Poultry.SourceData_Poultry_FracGASMmT_Data(), Table_SourceData_Poultry_FracGASM[[#Headers],[MMSm]], 0)</calculatedColumnFormula>
    </tableColumn>
  </tableColumns>
  <tableStyleInfo name="Equation tabl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1" xr:uid="{D1327424-A4EE-4DA1-8A44-DEC7AD2F0D25}" name="Table_SourceData_Poultry_EFmT" displayName="Table_SourceData_Poultry_EFmT" ref="D97:F105" totalsRowShown="0">
  <autoFilter ref="D97:F105" xr:uid="{1DCEB6AC-6595-49CF-B6BF-C7F6309D3288}">
    <filterColumn colId="0" hiddenButton="1"/>
    <filterColumn colId="1" hiddenButton="1"/>
    <filterColumn colId="2" hiddenButton="1"/>
  </autoFilter>
  <tableColumns count="3">
    <tableColumn id="1" xr3:uid="{CDACA4B2-E1B4-4A3E-A4CA-6ED6023CBDEB}" name="MMSm">
      <calculatedColumnFormula array="1">Common_InputFunctions.Utility_DisplayArrayInTable(SourceData_Poultry.SourceData_Poultry_EFmT_Data(),Table_SourceData_Poultry_EFmT[[#Headers],[MMSm]], 0)</calculatedColumnFormula>
    </tableColumn>
    <tableColumn id="2" xr3:uid="{EAF1EE93-03E5-4363-A7A7-F0D02E6E53EA}" name="EFmT" dataDxfId="81" dataCellStyle="Content normal">
      <calculatedColumnFormula array="1">Common_InputFunctions.Utility_DisplayArrayInTable(SourceData_Poultry.SourceData_Poultry_EFmT_Data(),Table_SourceData_Poultry_EFmT[[#Headers],[MMSm]], 0)</calculatedColumnFormula>
    </tableColumn>
    <tableColumn id="3" xr3:uid="{0060EB7C-88C2-4889-A262-7E5B5B84A632}" name="NIR reference" dataDxfId="80" dataCellStyle="Content normal">
      <calculatedColumnFormula array="1">Common_InputFunctions.Utility_DisplayArrayInTable(SourceData_Poultry.SourceData_Poultry_EFmT_Data(),Table_SourceData_Poultry_EFmT[[#Headers],[MMSm]], 0)</calculatedColumnFormula>
    </tableColumn>
  </tableColumns>
  <tableStyleInfo name="Equation tabl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2" xr:uid="{C1D4E341-8FD7-41B8-8CE4-BE37EDB2615A}" name="Table_SourceData_Poultry_Liveweights" displayName="Table_SourceData_Poultry_Liveweights" ref="D119:E123" totalsRowShown="0">
  <autoFilter ref="D119:E123" xr:uid="{B73BE2B0-042A-4533-9ECF-5538D80194F7}">
    <filterColumn colId="0" hiddenButton="1"/>
    <filterColumn colId="1" hiddenButton="1"/>
  </autoFilter>
  <tableColumns count="2">
    <tableColumn id="1" xr3:uid="{B429BF07-C5EA-4E17-AD84-6F9F0A374128}" name="Livestock class j">
      <calculatedColumnFormula array="1">Common_InputFunctions.Utility_DisplayArrayInTable(SourceData_Poultry.SourceData_Poultry_Liveweights_Data(),Table_SourceData_Poultry_Liveweights[[#Headers],[Livestock class j]],0)</calculatedColumnFormula>
    </tableColumn>
    <tableColumn id="2" xr3:uid="{B1A017F9-EC3C-4B87-81A0-EB541B7710E3}" name="Average liveweight (kg)" dataDxfId="79" dataCellStyle="Content normal">
      <calculatedColumnFormula array="1">Common_InputFunctions.Utility_DisplayArrayInTable(SourceData_Poultry.SourceData_Poultry_Liveweights_Data(),Table_SourceData_Poultry_Liveweights[[#Headers],[Livestock class j]],0)</calculatedColumnFormula>
    </tableColumn>
  </tableColumns>
  <tableStyleInfo name="Equation tabl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02A95AA1-30BE-4370-9AA8-09ABA823E0EF}" name="Table_SourceData_Swine_VolatileSolids" displayName="Table_SourceData_Swine_VolatileSolids" ref="D67:E71" totalsRowShown="0">
  <autoFilter ref="D67:E71" xr:uid="{9DEEF5DA-4392-40D7-9550-EA401E64C221}">
    <filterColumn colId="0" hiddenButton="1"/>
    <filterColumn colId="1" hiddenButton="1"/>
  </autoFilter>
  <tableColumns count="2">
    <tableColumn id="1" xr3:uid="{D69CF723-052B-412C-AE49-C79FDCBF9D62}" name="Class">
      <calculatedColumnFormula array="1">Common_InputFunctions.Utility_DisplayArrayInTable(SourceData_Swine.SourceData_Swine_VolatileSolids_Data(), Table_SourceData_Swine_VolatileSolids[[#Headers],[Class]], 0)</calculatedColumnFormula>
    </tableColumn>
    <tableColumn id="2" xr3:uid="{73416B29-D02D-4982-AEE0-FBA745B04874}" name="VSj" dataDxfId="128" dataCellStyle="Content normal">
      <calculatedColumnFormula array="1">Common_InputFunctions.Utility_DisplayArrayInTable(SourceData_Swine.SourceData_Swine_VolatileSolids_Data(), Table_SourceData_Swine_VolatileSolids[[#Headers],[Class]], 0)</calculatedColumnFormula>
    </tableColumn>
  </tableColumns>
  <tableStyleInfo name="Equation tabl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9EAE3B60-21B2-4514-B5D4-37965F4BCFA0}" name="Table_SourceData_Swine_MMSMCF" displayName="Table_SourceData_Swine_MMSMCF" ref="D28:M35" totalsRowShown="0">
  <autoFilter ref="D28:M35" xr:uid="{8BFD9E79-6224-4B04-B002-84DC46086DAC}">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AA1D6565-704D-4A35-AFD0-08B07309FD4A}" name="MMS">
      <calculatedColumnFormula array="1">Common_InputFunctions.Utility_DisplayArrayInTable(SourceData_Swine.SourceData_Swine_MMS_MCFs_Data(),Table_SourceData_Swine_MMSMCF[[#Headers],[MMS]],0)</calculatedColumnFormula>
    </tableColumn>
    <tableColumn id="2" xr3:uid="{0C942164-E75B-4A41-8D90-261398420464}" name="NSW" dataDxfId="127" dataCellStyle="Content normal">
      <calculatedColumnFormula array="1">Common_InputFunctions.Utility_DisplayArrayInTable(SourceData_Swine.SourceData_Swine_MMS_MCFs_Data(),Table_SourceData_Swine_MMSMCF[[#Headers],[MMS]],0)</calculatedColumnFormula>
    </tableColumn>
    <tableColumn id="3" xr3:uid="{04C2B513-4EAE-44FD-8A07-08B7FBC04904}" name="ACT" dataDxfId="126" dataCellStyle="Content normal">
      <calculatedColumnFormula array="1">Common_InputFunctions.Utility_DisplayArrayInTable(SourceData_Swine.SourceData_Swine_MMS_MCFs_Data(),Table_SourceData_Swine_MMSMCF[[#Headers],[MMS]],0)</calculatedColumnFormula>
    </tableColumn>
    <tableColumn id="4" xr3:uid="{F354B2DA-5E1A-4DFF-B341-6567D5CB6E06}" name="QLD" dataDxfId="125" dataCellStyle="Content normal">
      <calculatedColumnFormula array="1">Common_InputFunctions.Utility_DisplayArrayInTable(SourceData_Swine.SourceData_Swine_MMS_MCFs_Data(),Table_SourceData_Swine_MMSMCF[[#Headers],[MMS]],0)</calculatedColumnFormula>
    </tableColumn>
    <tableColumn id="5" xr3:uid="{11F38387-B241-45B7-87FE-D576DB0F5BBA}" name="NT" dataDxfId="124" dataCellStyle="Content normal">
      <calculatedColumnFormula array="1">Common_InputFunctions.Utility_DisplayArrayInTable(SourceData_Swine.SourceData_Swine_MMS_MCFs_Data(),Table_SourceData_Swine_MMSMCF[[#Headers],[MMS]],0)</calculatedColumnFormula>
    </tableColumn>
    <tableColumn id="6" xr3:uid="{489736B3-2194-432E-8A72-6308A6328611}" name="SA" dataDxfId="123" dataCellStyle="Content normal">
      <calculatedColumnFormula array="1">Common_InputFunctions.Utility_DisplayArrayInTable(SourceData_Swine.SourceData_Swine_MMS_MCFs_Data(),Table_SourceData_Swine_MMSMCF[[#Headers],[MMS]],0)</calculatedColumnFormula>
    </tableColumn>
    <tableColumn id="7" xr3:uid="{3474C5D7-E249-4D40-ABF7-E23197B79982}" name="TAS" dataDxfId="122" dataCellStyle="Content normal">
      <calculatedColumnFormula array="1">Common_InputFunctions.Utility_DisplayArrayInTable(SourceData_Swine.SourceData_Swine_MMS_MCFs_Data(),Table_SourceData_Swine_MMSMCF[[#Headers],[MMS]],0)</calculatedColumnFormula>
    </tableColumn>
    <tableColumn id="8" xr3:uid="{DE3996D8-6CBF-4C83-A5FC-B0044E918384}" name="VIC" dataDxfId="121" dataCellStyle="Content normal">
      <calculatedColumnFormula array="1">Common_InputFunctions.Utility_DisplayArrayInTable(SourceData_Swine.SourceData_Swine_MMS_MCFs_Data(),Table_SourceData_Swine_MMSMCF[[#Headers],[MMS]],0)</calculatedColumnFormula>
    </tableColumn>
    <tableColumn id="9" xr3:uid="{0DBB2A19-AF71-4BD3-858D-CC8064EF3F5A}" name="WA" dataDxfId="120" dataCellStyle="Content normal">
      <calculatedColumnFormula array="1">Common_InputFunctions.Utility_DisplayArrayInTable(SourceData_Swine.SourceData_Swine_MMS_MCFs_Data(),Table_SourceData_Swine_MMSMCF[[#Headers],[MMS]],0)</calculatedColumnFormula>
    </tableColumn>
    <tableColumn id="10" xr3:uid="{E23875E6-15A7-4F31-B62B-19B82BF7A8AE}" name="NIR definition" dataDxfId="119" dataCellStyle="Content normal">
      <calculatedColumnFormula array="1">Common_InputFunctions.Utility_DisplayArrayInTable(SourceData_Swine.SourceData_Swine_MMS_MCFs_Data(),Table_SourceData_Swine_MMSMCF[[#Headers],[MMS]],0)</calculatedColumnFormula>
    </tableColumn>
  </tableColumns>
  <tableStyleInfo name="Equation table"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12CD3280-C9FC-47EE-B96F-A0AC633FF19A}" name="Table_SourceData_SwineMMS" displayName="Table_SourceData_SwineMMS" ref="D40:E47" totalsRowShown="0">
  <autoFilter ref="D40:E47" xr:uid="{42F7033B-606B-4A24-9223-A30737FDC1FE}">
    <filterColumn colId="0" hiddenButton="1"/>
    <filterColumn colId="1" hiddenButton="1"/>
  </autoFilter>
  <tableColumns count="2">
    <tableColumn id="1" xr3:uid="{DDE7902F-5F27-4ADE-A2CB-D020FC67439A}" name="MMS"/>
    <tableColumn id="2" xr3:uid="{41D13592-D4EA-4CDD-A05A-47A2A48E5808}" name="Symbol and MMS" dataDxfId="105" dataCellStyle="Content normal"/>
  </tableColumns>
  <tableStyleInfo name="Equation table"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29D34B0F-E2D2-4A79-9497-D369373935C9}" name="Table_SourceData_SwineVSL" displayName="Table_SourceData_SwineVSL" ref="D53:E60" totalsRowShown="0">
  <autoFilter ref="D53:E60" xr:uid="{079C074C-6E98-47B5-B4E5-F8A1F12104F2}">
    <filterColumn colId="0" hiddenButton="1"/>
    <filterColumn colId="1" hiddenButton="1"/>
  </autoFilter>
  <tableColumns count="2">
    <tableColumn id="1" xr3:uid="{FD480855-50C2-45FC-A83E-605093E92B91}" name="MMS" dataDxfId="104" dataCellStyle="Content normal"/>
    <tableColumn id="2" xr3:uid="{3C9E3AB6-C1FA-4D37-B176-5BB0B449AAD7}" name="VSL"/>
  </tableColumns>
  <tableStyleInfo name="Equation table"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F66EFE00-13B8-444B-9556-895122B08F2A}" name="Table_SourceData_SwineMMSExcSolidStorage" displayName="Table_SourceData_SwineMMSExcSolidStorage" ref="G40:H45" totalsRowShown="0">
  <autoFilter ref="G40:H45" xr:uid="{171229DD-CBF4-4099-8199-8A23112B275F}">
    <filterColumn colId="0" hiddenButton="1"/>
    <filterColumn colId="1" hiddenButton="1"/>
  </autoFilter>
  <tableColumns count="2">
    <tableColumn id="1" xr3:uid="{0948DA10-2949-4E98-9072-50FB8695C8AB}" name="MMS"/>
    <tableColumn id="2" xr3:uid="{65D51855-C75E-47FD-9276-50A5EAEB56A2}" name="Symbol and MMS"/>
  </tableColumns>
  <tableStyleInfo name="Equation table"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 xr:uid="{65E69FD1-051D-4049-917C-589364BFF23C}" name="Table_SourceData_SwineExclDirectApplicationMMS" displayName="Table_SourceData_SwineExclDirectApplicationMMS" ref="K40:L46" totalsRowShown="0">
  <autoFilter ref="K40:L46" xr:uid="{363E0626-9932-4FCA-A861-C95F26E527BC}">
    <filterColumn colId="0" hiddenButton="1"/>
    <filterColumn colId="1" hiddenButton="1"/>
  </autoFilter>
  <tableColumns count="2">
    <tableColumn id="1" xr3:uid="{51A5DEE2-9F4A-4FFB-A904-1F9159B07841}" name="MMS"/>
    <tableColumn id="2" xr3:uid="{91413943-A3CB-4B22-A06D-483C6A1E900E}" name="Symbol and MMS"/>
  </tableColumns>
  <tableStyleInfo name="Equation table"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 xr:uid="{388B15E9-9833-445C-9489-AE09BA159DCF}" name="Table_SourceData_Swine_ProductionSystems" displayName="Table_SourceData_Swine_ProductionSystems" ref="G53:G56" totalsRowShown="0">
  <autoFilter ref="G53:G56" xr:uid="{A6BE3FFD-EB90-45EB-8756-16A72E0C6869}">
    <filterColumn colId="0" hiddenButton="1"/>
  </autoFilter>
  <tableColumns count="1">
    <tableColumn id="1" xr3:uid="{CE4F6269-3E61-4B4B-937D-31B0B8864B2C}" name="Production system">
      <calculatedColumnFormula array="1">Common_InputFunctions.Utility_DisplayArrayInTable(SourceData_Swine.SourceData_Swine_ProductionSystems_Data(), Table_SourceData_Swine_ProductionSystems[[#Headers],[Production system]], 0)</calculatedColumnFormula>
    </tableColumn>
  </tableColumns>
  <tableStyleInfo name="Equation table"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 xr:uid="{D699D410-9777-4045-9DBD-FD3F3E6E4615}" name="Table_SourceData_Swine_NitrogenInWaste" displayName="Table_SourceData_Swine_NitrogenInWaste" ref="D89:G93" totalsRowShown="0" dataDxfId="118" dataCellStyle="Content normal">
  <autoFilter ref="D89:G93" xr:uid="{61D86DCB-D80D-4593-96F3-A897FC93073F}">
    <filterColumn colId="0" hiddenButton="1"/>
    <filterColumn colId="1" hiddenButton="1"/>
    <filterColumn colId="2" hiddenButton="1"/>
    <filterColumn colId="3" hiddenButton="1"/>
  </autoFilter>
  <tableColumns count="4">
    <tableColumn id="1" xr3:uid="{130AC564-D52E-4EBD-BBB5-7A759089B194}" name="Class" dataDxfId="117" dataCellStyle="Content normal">
      <calculatedColumnFormula array="1">Common_InputFunctions.Utility_DisplayArrayInTable(SourceData_Swine.SourceData_Swine_NitrogenInWaste_Data(), Table_SourceData_Swine_NitrogenInWaste[[#Headers],[Class]], 0)</calculatedColumnFormula>
    </tableColumn>
    <tableColumn id="2" xr3:uid="{9CAEF5F9-7F9B-4A84-862E-7B3E08B71823}" name="NWj" dataDxfId="116" dataCellStyle="Content normal">
      <calculatedColumnFormula array="1">Common_InputFunctions.Utility_DisplayArrayInTable(SourceData_Swine.SourceData_Swine_NitrogenInWaste_Data(), Table_SourceData_Swine_NitrogenInWaste[[#Headers],[Class]], 0)</calculatedColumnFormula>
    </tableColumn>
    <tableColumn id="3" xr3:uid="{86801C0E-FB00-46AC-8D21-D49B662BB1C9}" name="NWj Daily" dataDxfId="115" dataCellStyle="Content normal">
      <calculatedColumnFormula array="1">Common_InputFunctions.Utility_DisplayArrayInTable(SourceData_Swine.SourceData_Swine_NitrogenInWaste_Data(), Table_SourceData_Swine_NitrogenInWaste[[#Headers],[Class]], 0)</calculatedColumnFormula>
    </tableColumn>
    <tableColumn id="4" xr3:uid="{F7E63BEC-F111-4CB5-AFEE-9174FDDBF23E}" name="Class name" dataDxfId="114" dataCellStyle="Content normal">
      <calculatedColumnFormula array="1">Common_InputFunctions.Utility_DisplayArrayInTable(SourceData_Swine.SourceData_Swine_NitrogenInWaste_Data(), Table_SourceData_Swine_NitrogenInWaste[[#Headers],[Class]], 0)</calculatedColumnFormula>
    </tableColumn>
  </tableColumns>
  <tableStyleInfo name="Equation table"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3" xr:uid="{F3EEFE99-8C62-471D-8960-77F66021B128}" name="Table_SourceData_Swine_FeedIntake" displayName="Table_SourceData_Swine_FeedIntake" ref="D78:E82" totalsRowShown="0" dataDxfId="113" dataCellStyle="Content normal">
  <autoFilter ref="D78:E82" xr:uid="{E34928EB-73E5-43B2-830B-089F30DA4EF0}">
    <filterColumn colId="0" hiddenButton="1"/>
    <filterColumn colId="1" hiddenButton="1"/>
  </autoFilter>
  <tableColumns count="2">
    <tableColumn id="1" xr3:uid="{CAD0F086-96AD-478F-9F97-BB910BCF2E2C}" name="Class" dataDxfId="112" dataCellStyle="Content normal">
      <calculatedColumnFormula array="1">Common_InputFunctions.Utility_DisplayArrayInTable(SourceData_Swine.SourceData_Swine_FeedIntake_Data(), Table_SourceData_Swine_FeedIntake[[#Headers],[Class]], 0)</calculatedColumnFormula>
    </tableColumn>
    <tableColumn id="2" xr3:uid="{1690C47D-EE38-468F-9597-9B68F6DA3A1F}" name="Ij" dataDxfId="111" dataCellStyle="Content normal">
      <calculatedColumnFormula array="1">Common_InputFunctions.Utility_DisplayArrayInTable(SourceData_Swine.SourceData_Swine_FeedIntake_Data(), Table_SourceData_Swine_FeedIntake[[#Headers],[Class]], 0)</calculatedColumnFormula>
    </tableColumn>
  </tableColumns>
  <tableStyleInfo name="Equation table"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 xr:uid="{0BDF3D1D-7F6A-497D-BF81-D37949972D8A}" name="Table_SourceData_Swine_FracGASM" displayName="Table_SourceData_Swine_FracGASM" ref="D99:F105" totalsRowShown="0">
  <autoFilter ref="D99:F105" xr:uid="{11184525-440F-427A-8F5F-F24C51E83194}">
    <filterColumn colId="0" hiddenButton="1"/>
    <filterColumn colId="1" hiddenButton="1"/>
    <filterColumn colId="2" hiddenButton="1"/>
  </autoFilter>
  <tableColumns count="3">
    <tableColumn id="1" xr3:uid="{D9F98332-1B95-4D5F-B5E2-AEE65DE883E4}" name="MMSm">
      <calculatedColumnFormula array="1">Common_InputFunctions.Utility_DisplayArrayInTable(SourceData_Swine.SourceData_Swine_FractionNVolatilised_Data(), Table_SourceData_Swine_FracGASM[[#Headers],[MMSm]],0)</calculatedColumnFormula>
    </tableColumn>
    <tableColumn id="2" xr3:uid="{2BCCC245-DB53-4D42-ACC5-BC6EDCEE82F0}" name="FracGASMmT">
      <calculatedColumnFormula array="1">Common_InputFunctions.Utility_DisplayArrayInTable(SourceData_Swine.SourceData_Swine_FractionNVolatilised_Data(), Table_SourceData_Swine_FracGASM[[#Headers],[MMSm]],0)</calculatedColumnFormula>
    </tableColumn>
    <tableColumn id="3" xr3:uid="{4F373F91-DA42-4046-A700-612A4D03BE11}" name="NIR reference">
      <calculatedColumnFormula array="1">Common_InputFunctions.Utility_DisplayArrayInTable(SourceData_Swine.SourceData_Swine_FractionNVolatilised_Data(), Table_SourceData_Swine_FracGASM[[#Headers],[MMSm]],0)</calculatedColumnFormula>
    </tableColumn>
  </tableColumns>
  <tableStyleInfo name="Equation table"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5" xr:uid="{F9B1FBA8-F209-4B60-A2C3-626CC74E920A}" name="Table_SourceData_Swine_FracGASM28" displayName="Table_SourceData_Swine_FracGASM28" ref="D111:F117" totalsRowShown="0" dataDxfId="110" dataCellStyle="Content normal">
  <autoFilter ref="D111:F117" xr:uid="{1333872B-E46C-4DC7-8E2D-1F3D704794C8}">
    <filterColumn colId="0" hiddenButton="1"/>
    <filterColumn colId="1" hiddenButton="1"/>
    <filterColumn colId="2" hiddenButton="1"/>
  </autoFilter>
  <tableColumns count="3">
    <tableColumn id="1" xr3:uid="{54A8713E-4A88-4367-AAF9-B49979E5AB2F}" name="MMSm" dataDxfId="109" dataCellStyle="Content normal">
      <calculatedColumnFormula array="1">Common_InputFunctions.Utility_DisplayArrayInTable(SourceData_Swine.SourceData_Swine_NitrousOxideEFs_Data(), Table_SourceData_Swine_FracGASM28[[#Headers],[MMSm]],0)</calculatedColumnFormula>
    </tableColumn>
    <tableColumn id="2" xr3:uid="{53BCE6E6-AFCD-4CC1-9F94-6226182EFBF0}" name="EFmT" dataDxfId="108" dataCellStyle="Content normal">
      <calculatedColumnFormula array="1">Common_InputFunctions.Utility_DisplayArrayInTable(SourceData_Swine.SourceData_Swine_NitrousOxideEFs_Data(), Table_SourceData_Swine_FracGASM28[[#Headers],[MMSm]],0)</calculatedColumnFormula>
    </tableColumn>
    <tableColumn id="3" xr3:uid="{036BD3CD-6156-4C46-9EDB-32CFB8038976}" name="NIR reference" dataDxfId="107" dataCellStyle="Content normal">
      <calculatedColumnFormula array="1">Common_InputFunctions.Utility_DisplayArrayInTable(SourceData_Swine.SourceData_Swine_NitrousOxideEFs_Data(), Table_SourceData_Swine_FracGASM28[[#Headers],[MMSm]],0)</calculatedColumnFormula>
    </tableColumn>
  </tableColumns>
  <tableStyleInfo name="Equation table"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9" xr:uid="{1BF6DE23-110B-4C99-9F4F-0FF4882A3A45}" name="Table_SourceData_Swine_CropProdSystems" displayName="Table_SourceData_Swine_CropProdSystems" ref="D8:D10" totalsRowShown="0">
  <autoFilter ref="D8:D10" xr:uid="{1DC3FD95-46BB-428C-8DAB-6CC542C27F2F}">
    <filterColumn colId="0" hiddenButton="1"/>
  </autoFilter>
  <tableColumns count="1">
    <tableColumn id="1" xr3:uid="{02F08772-6E69-4E9B-A468-512130251402}" name="Production system">
      <calculatedColumnFormula>#REF!</calculatedColumnFormula>
    </tableColumn>
  </tableColumns>
  <tableStyleInfo name="Equation table"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1" xr:uid="{2F1845CD-2668-4E23-90D2-E9E3FDFC8A60}" name="Table_SourceData_Swine_IrrigationMethods" displayName="Table_SourceData_Swine_IrrigationMethods" ref="G8:G13" totalsRowShown="0">
  <autoFilter ref="G8:G13" xr:uid="{AA6B756B-6FF9-48AC-BC54-06A8937EFD12}">
    <filterColumn colId="0" hiddenButton="1"/>
  </autoFilter>
  <tableColumns count="1">
    <tableColumn id="1" xr3:uid="{BDFB2D6B-2434-4EAD-AEFA-23FB1CE0FC47}" name="Irrigation method"/>
  </tableColumns>
  <tableStyleInfo name="Equation table"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2" xr:uid="{991E101E-D444-4552-B825-5D71DC6A7EDE}" name="Table_SourceData_Swine_Liveweight" displayName="Table_SourceData_Swine_Liveweight" ref="D127:E132" totalsRowShown="0">
  <autoFilter ref="D127:E132" xr:uid="{5546FF29-813A-45A1-A28C-69691DBE2363}">
    <filterColumn colId="0" hiddenButton="1"/>
    <filterColumn colId="1" hiddenButton="1"/>
  </autoFilter>
  <tableColumns count="2">
    <tableColumn id="1" xr3:uid="{5D138A20-D7BB-44A7-8D02-EBB02488388A}" name="Livestock type j">
      <calculatedColumnFormula array="1">Common_InputFunctions.Utility_DisplayArrayInTable(SourceData_Swine.SourceData_Swine_AverageLiveweight_Data(),Table_SourceData_Swine_Liveweight[[#Headers],[Livestock type j]],0)</calculatedColumnFormula>
    </tableColumn>
    <tableColumn id="2" xr3:uid="{F641F504-19AD-4109-B1BE-87CA18B07786}" name="Average liveweight (kg)" dataDxfId="106" dataCellStyle="Content normal">
      <calculatedColumnFormula array="1">Common_InputFunctions.Utility_DisplayArrayInTable(SourceData_Swine.SourceData_Swine_AverageLiveweight_Data(),Table_SourceData_Swine_Liveweight[[#Headers],[Livestock type j]],0)</calculatedColumnFormula>
    </tableColumn>
  </tableColumns>
  <tableStyleInfo name="Equation table"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6" xr:uid="{B94BF14F-2B18-4E74-873C-786F793AC13C}" name="Table_SourceData_Dairy_MMS" displayName="Table_SourceData_Dairy_MMS" ref="D7:E11" totalsRowShown="0">
  <autoFilter ref="D7:E11" xr:uid="{D5C443B2-EDE2-4250-B2EE-016878D19AD9}">
    <filterColumn colId="0" hiddenButton="1"/>
    <filterColumn colId="1" hiddenButton="1"/>
  </autoFilter>
  <tableColumns count="2">
    <tableColumn id="1" xr3:uid="{2D267732-40AB-4C2F-8671-7C2AA970AF16}" name="MMS"/>
    <tableColumn id="2" xr3:uid="{8F67D046-4521-4198-89FE-8B9020DE7897}" name="Symbol and MMS" dataDxfId="482" dataCellStyle="Content normal"/>
  </tableColumns>
  <tableStyleInfo name="Equation table"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7" xr:uid="{054466F1-DFF2-4F42-9283-A16E0B12185C}" name="Table_SourceData_Dairy_CropProdSystems" displayName="Table_SourceData_Dairy_CropProdSystems" ref="G7:G9" totalsRowShown="0">
  <autoFilter ref="G7:G9" xr:uid="{B6F3FE3A-A0B5-47E7-85B2-8426FB75A7C8}">
    <filterColumn colId="0" hiddenButton="1"/>
  </autoFilter>
  <tableColumns count="1">
    <tableColumn id="1" xr3:uid="{90BEE7A3-C08B-40EE-A4DF-35A1B18EA68D}" name="Production system">
      <calculatedColumnFormula>#REF!</calculatedColumnFormula>
    </tableColumn>
  </tableColumns>
  <tableStyleInfo name="Equation table"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8" xr:uid="{4C868933-7AB8-465F-868F-BB4F038B2FAA}" name="Table_SourceData_Dairy_IrrigationMethods" displayName="Table_SourceData_Dairy_IrrigationMethods" ref="J7:J12" totalsRowShown="0">
  <autoFilter ref="J7:J12" xr:uid="{FE172B77-CEA3-430C-84BC-392A64D0B8FF}">
    <filterColumn colId="0" hiddenButton="1"/>
  </autoFilter>
  <tableColumns count="1">
    <tableColumn id="1" xr3:uid="{DD3D632B-EA92-406F-86DD-317482A3A23A}" name="Irrigation method"/>
  </tableColumns>
  <tableStyleInfo name="Equation table"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9" xr:uid="{2C85C894-3263-4B16-9C0C-A34EBE0BE93C}" name="Table_SourceData_Dairy_WjCowsHeifers" displayName="Table_SourceData_Dairy_WjCowsHeifers" ref="D21:G31" totalsRowShown="0">
  <autoFilter ref="D21:G31" xr:uid="{967AC8BB-7677-48EA-BDB5-2C0BC5B0F947}">
    <filterColumn colId="0" hiddenButton="1"/>
    <filterColumn colId="1" hiddenButton="1"/>
    <filterColumn colId="2" hiddenButton="1"/>
    <filterColumn colId="3" hiddenButton="1"/>
  </autoFilter>
  <tableColumns count="4">
    <tableColumn id="1" xr3:uid="{EE60BFBB-0D61-4B34-B17F-5CFC526619ED}" name="Breed">
      <calculatedColumnFormula array="1">Common_InputFunctions.Utility_DisplayArrayInTable(SourceData_Dairy.SourceData_Dairy_LiveweightCowsAndHeifers_Data(), Table_SourceData_Dairy_WjCowsHeifers[[#Headers],[Breed]], 0)</calculatedColumnFormula>
    </tableColumn>
    <tableColumn id="2" xr3:uid="{4CCC390B-59F5-46F7-B12E-7FD7AF5B68C7}" name="Milking cows" dataDxfId="481" dataCellStyle="Content normal">
      <calculatedColumnFormula array="1">Common_InputFunctions.Utility_DisplayArrayInTable(SourceData_Dairy.SourceData_Dairy_LiveweightCowsAndHeifers_Data(), Table_SourceData_Dairy_WjCowsHeifers[[#Headers],[Breed]], 0)</calculatedColumnFormula>
    </tableColumn>
    <tableColumn id="3" xr3:uid="{4FE16782-624F-4BF7-A267-CAE7DF2AA522}" name="Heifers &gt; 1" dataDxfId="480" dataCellStyle="Content normal">
      <calculatedColumnFormula array="1">Common_InputFunctions.Utility_DisplayArrayInTable(SourceData_Dairy.SourceData_Dairy_LiveweightCowsAndHeifers_Data(), Table_SourceData_Dairy_WjCowsHeifers[[#Headers],[Breed]], 0)</calculatedColumnFormula>
    </tableColumn>
    <tableColumn id="4" xr3:uid="{E92A7C38-6067-46B4-884A-BD200AE86EC1}" name="Heifers &lt; 1 (weaned)" dataDxfId="479" dataCellStyle="Content normal">
      <calculatedColumnFormula array="1">Common_InputFunctions.Utility_DisplayArrayInTable(SourceData_Dairy.SourceData_Dairy_LiveweightCowsAndHeifers_Data(), Table_SourceData_Dairy_WjCowsHeifers[[#Headers],[Breed]], 0)</calculatedColumnFormula>
    </tableColumn>
  </tableColumns>
  <tableStyleInfo name="Equation table"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0" xr:uid="{EFFED033-B848-4AEC-81CB-51C81DB76255}" name="Table_SourceData_Dairy_WjBulls" displayName="Table_SourceData_Dairy_WjBulls" ref="D38:F39" totalsRowShown="0">
  <autoFilter ref="D38:F39" xr:uid="{AF7576A8-349F-4CC0-92AE-D91A1F2F1417}">
    <filterColumn colId="0" hiddenButton="1"/>
    <filterColumn colId="1" hiddenButton="1"/>
    <filterColumn colId="2" hiddenButton="1"/>
  </autoFilter>
  <tableColumns count="3">
    <tableColumn id="1" xr3:uid="{4739EA7B-A8D5-4173-AE70-34455D7CE618}" name="Breed">
      <calculatedColumnFormula array="1">Common_InputFunctions.Utility_DisplayArrayInTable(SourceData_Dairy.SourceData_Dairy_LiveweightBulls_Data(), Table_SourceData_Dairy_WjBulls[[#Headers],[Breed]], 0)</calculatedColumnFormula>
    </tableColumn>
    <tableColumn id="2" xr3:uid="{A5E39DBB-6CB2-4677-9CF0-46BA055339D7}" name="Bulls &gt; 1" dataDxfId="478" dataCellStyle="Content normal">
      <calculatedColumnFormula array="1">Common_InputFunctions.Utility_DisplayArrayInTable(SourceData_Dairy.SourceData_Dairy_LiveweightBulls_Data(), Table_SourceData_Dairy_WjBulls[[#Headers],[Breed]], 0)</calculatedColumnFormula>
    </tableColumn>
    <tableColumn id="3" xr3:uid="{9E076D5B-0ED4-435D-8612-278300DCF2AC}" name="Bulls &lt; 1 (weaned)" dataDxfId="477" dataCellStyle="Content normal">
      <calculatedColumnFormula array="1">Common_InputFunctions.Utility_DisplayArrayInTable(SourceData_Dairy.SourceData_Dairy_LiveweightBulls_Data(), Table_SourceData_Dairy_WjBulls[[#Headers],[Breed]], 0)</calculatedColumnFormula>
    </tableColumn>
  </tableColumns>
  <tableStyleInfo name="Equation table"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1" xr:uid="{5EC5A2BC-C4FF-499E-9B20-49ED3304EAF8}" name="Table_SourceData_Dairy_LWGj" displayName="Table_SourceData_Dairy_LWGj" ref="D46:H47" totalsRowShown="0">
  <autoFilter ref="D46:H47" xr:uid="{8FCFB773-B7EE-42F8-AC7C-31621B260645}">
    <filterColumn colId="0" hiddenButton="1"/>
    <filterColumn colId="1" hiddenButton="1"/>
    <filterColumn colId="2" hiddenButton="1"/>
    <filterColumn colId="3" hiddenButton="1"/>
    <filterColumn colId="4" hiddenButton="1"/>
  </autoFilter>
  <tableColumns count="5">
    <tableColumn id="1" xr3:uid="{31D004E7-48C2-4139-B49B-342F3E6BD04D}" name="Milking cows">
      <calculatedColumnFormula array="1">Common_InputFunctions.Utility_DisplayArrayInTable(SourceData_Dairy.SourceData_Dairy_LiveweightGain_Data(), Table_SourceData_Dairy_LWGj[[#Headers],[Milking cows]], 0)</calculatedColumnFormula>
    </tableColumn>
    <tableColumn id="2" xr3:uid="{AD462129-26C6-41FB-B9CD-21F7990015A7}" name="Heifers &gt; 1" dataDxfId="476" dataCellStyle="Content normal">
      <calculatedColumnFormula array="1">Common_InputFunctions.Utility_DisplayArrayInTable(SourceData_Dairy.SourceData_Dairy_LiveweightGain_Data(), Table_SourceData_Dairy_LWGj[[#Headers],[Milking cows]], 0)</calculatedColumnFormula>
    </tableColumn>
    <tableColumn id="3" xr3:uid="{9905C12E-696D-487A-842D-EFA7CD44C817}" name="Heifers &lt; 1 (weaned)" dataDxfId="475" dataCellStyle="Content normal">
      <calculatedColumnFormula array="1">Common_InputFunctions.Utility_DisplayArrayInTable(SourceData_Dairy.SourceData_Dairy_LiveweightGain_Data(), Table_SourceData_Dairy_LWGj[[#Headers],[Milking cows]], 0)</calculatedColumnFormula>
    </tableColumn>
    <tableColumn id="4" xr3:uid="{A19A1DD5-6A92-48A8-B8BC-FCA05DEAC5BF}" name="Bulls &gt; 1" dataDxfId="474" dataCellStyle="Content normal">
      <calculatedColumnFormula array="1">Common_InputFunctions.Utility_DisplayArrayInTable(SourceData_Dairy.SourceData_Dairy_LiveweightGain_Data(), Table_SourceData_Dairy_LWGj[[#Headers],[Milking cows]], 0)</calculatedColumnFormula>
    </tableColumn>
    <tableColumn id="5" xr3:uid="{20238AC9-F749-4398-A6B6-8053695A7BD9}" name="Bulls &lt; 1 (weaned)" dataDxfId="473" dataCellStyle="Content normal">
      <calculatedColumnFormula array="1">Common_InputFunctions.Utility_DisplayArrayInTable(SourceData_Dairy.SourceData_Dairy_LiveweightGain_Data(), Table_SourceData_Dairy_LWGj[[#Headers],[Milking cows]], 0)</calculatedColumnFormula>
    </tableColumn>
  </tableColumns>
  <tableStyleInfo name="Equation table"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2" xr:uid="{8833499F-678B-44A5-ACCB-C7FCF3165E03}" name="Table_SourceData_Dairy_WRj" displayName="Table_SourceData_Dairy_WRj" ref="D54:H55" totalsRowShown="0" headerRowDxfId="472" headerRowCellStyle="Content normal" dataCellStyle="Content normal">
  <autoFilter ref="D54:H55" xr:uid="{296C6784-8B86-412A-92D3-E911DE28757C}">
    <filterColumn colId="0" hiddenButton="1"/>
    <filterColumn colId="1" hiddenButton="1"/>
    <filterColumn colId="2" hiddenButton="1"/>
    <filterColumn colId="3" hiddenButton="1"/>
    <filterColumn colId="4" hiddenButton="1"/>
  </autoFilter>
  <tableColumns count="5">
    <tableColumn id="1" xr3:uid="{4CB3684E-17D6-443A-921D-E3EBB3420C04}" name="Milking cows" dataCellStyle="Content normal">
      <calculatedColumnFormula array="1">Common_InputFunctions.Utility_DisplayArrayInTable(SourceData_Dairy.SourceData_Dairy_ReferenceWeights_Data(), Table_SourceData_Dairy_WRj[[#Headers],[Milking cows]], 0)</calculatedColumnFormula>
    </tableColumn>
    <tableColumn id="2" xr3:uid="{0F3E8724-5545-4E42-B9EF-1AD15E2E0208}" name="Heifers &gt; 1" dataCellStyle="Content normal">
      <calculatedColumnFormula array="1">Common_InputFunctions.Utility_DisplayArrayInTable(SourceData_Dairy.SourceData_Dairy_ReferenceWeights_Data(), Table_SourceData_Dairy_WRj[[#Headers],[Milking cows]], 0)</calculatedColumnFormula>
    </tableColumn>
    <tableColumn id="3" xr3:uid="{C82866B2-0A44-4F71-96A3-A0BDD95267B2}" name="Heifers &lt; 1 (weaned)" dataCellStyle="Content normal">
      <calculatedColumnFormula array="1">Common_InputFunctions.Utility_DisplayArrayInTable(SourceData_Dairy.SourceData_Dairy_ReferenceWeights_Data(), Table_SourceData_Dairy_WRj[[#Headers],[Milking cows]], 0)</calculatedColumnFormula>
    </tableColumn>
    <tableColumn id="4" xr3:uid="{780CA111-5521-4DCC-B9F1-16A834EC1191}" name="Bulls &gt; 1" dataCellStyle="Content normal">
      <calculatedColumnFormula array="1">Common_InputFunctions.Utility_DisplayArrayInTable(SourceData_Dairy.SourceData_Dairy_ReferenceWeights_Data(), Table_SourceData_Dairy_WRj[[#Headers],[Milking cows]], 0)</calculatedColumnFormula>
    </tableColumn>
    <tableColumn id="5" xr3:uid="{F853BEBE-9F98-4BFE-B42C-8F68B2D897ED}" name="Bulls &lt; 1 (weaned)" dataCellStyle="Content normal">
      <calculatedColumnFormula array="1">Common_InputFunctions.Utility_DisplayArrayInTable(SourceData_Dairy.SourceData_Dairy_ReferenceWeights_Data(), Table_SourceData_Dairy_WRj[[#Headers],[Milking cows]], 0)</calculatedColumnFormula>
    </tableColumn>
  </tableColumns>
  <tableStyleInfo name="Equation table"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3" xr:uid="{5BE0E9D2-8828-442C-9EB3-C6B4CDD002CE}" name="Table_SourceData_Dairy_DataPreWeaned" displayName="Table_SourceData_Dairy_DataPreWeaned" ref="D62:G64" totalsRowShown="0" dataDxfId="471" dataCellStyle="Content normal">
  <autoFilter ref="D62:G64" xr:uid="{968BB314-DB2C-4CA2-BAA9-E66557777E59}">
    <filterColumn colId="0" hiddenButton="1"/>
    <filterColumn colId="1" hiddenButton="1"/>
    <filterColumn colId="2" hiddenButton="1"/>
    <filterColumn colId="3" hiddenButton="1"/>
  </autoFilter>
  <tableColumns count="4">
    <tableColumn id="1" xr3:uid="{DF5E89FF-9007-4593-8FBE-413A877E7B11}" name="Animal class j" dataDxfId="470" dataCellStyle="Content normal">
      <calculatedColumnFormula array="1">Common_InputFunctions.Utility_DisplayArrayInTable(SourceData_Dairy.SourceData_Dairy_PreWeanedCalves_Data(), Table_SourceData_Dairy_DataPreWeaned[[#Headers],[Animal class j]], -1)</calculatedColumnFormula>
    </tableColumn>
    <tableColumn id="2" xr3:uid="{A442A162-6C35-49EF-BB5C-C30073D41640}" name="CH4 production" dataDxfId="469" dataCellStyle="Content normal">
      <calculatedColumnFormula array="1">Common_InputFunctions.Utility_DisplayArrayInTable(SourceData_Dairy.SourceData_Dairy_PreWeanedCalves_Data(), Table_SourceData_Dairy_DataPreWeaned[[#Headers],[Animal class j]], -1)</calculatedColumnFormula>
    </tableColumn>
    <tableColumn id="3" xr3:uid="{55A7699B-8335-4001-9D74-8F99A69B2DEE}" name="Volatile solids (VSj=3,5)" dataDxfId="468" dataCellStyle="Content normal">
      <calculatedColumnFormula array="1">Common_InputFunctions.Utility_DisplayArrayInTable(SourceData_Dairy.SourceData_Dairy_PreWeanedCalves_Data(), Table_SourceData_Dairy_DataPreWeaned[[#Headers],[Animal class j]], -1)</calculatedColumnFormula>
    </tableColumn>
    <tableColumn id="4" xr3:uid="{707920EA-0C26-4518-8870-9EFD759B5CCE}" name="Nitrogen Excreted (NPWj=3,5)" dataDxfId="467" dataCellStyle="Content normal">
      <calculatedColumnFormula array="1">Common_InputFunctions.Utility_DisplayArrayInTable(SourceData_Dairy.SourceData_Dairy_PreWeanedCalves_Data(), Table_SourceData_Dairy_DataPreWeaned[[#Headers],[Animal class j]], -1)</calculatedColumnFormula>
    </tableColumn>
  </tableColumns>
  <tableStyleInfo name="Equation table"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4" xr:uid="{91552FD6-14D4-4524-AFC4-3FEAFA98DCE9}" name="Table_SourceData_Dairy_MCFjm" displayName="Table_SourceData_Dairy_MCFjm" ref="D72:M78" totalsRowShown="0">
  <autoFilter ref="D72:M78" xr:uid="{AFB1D80F-8BB0-4A20-AF5A-A288BBED76E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92922D06-D072-4CAA-8BA2-99B2D7F2F9E9}" name="MMS m">
      <calculatedColumnFormula array="1">Common_InputFunctions.Utility_DisplayArrayInTable(SourceData_Dairy.SourceData_Dairy_MCF_Data(), Table_SourceData_Dairy_MCFjm[[#Headers],[MMS m]], 0)</calculatedColumnFormula>
    </tableColumn>
    <tableColumn id="2" xr3:uid="{F01007B6-CC44-4C9B-AF6A-EBFCD0F21E54}" name="ACT" dataDxfId="466" dataCellStyle="Content normal">
      <calculatedColumnFormula array="1">Common_InputFunctions.Utility_DisplayArrayInTable(SourceData_Dairy.SourceData_Dairy_MCF_Data(), Table_SourceData_Dairy_MCFjm[[#Headers],[MMS m]], 0)</calculatedColumnFormula>
    </tableColumn>
    <tableColumn id="3" xr3:uid="{F6B8A7DA-34B4-4778-B7E2-A3F86EDE891A}" name="NSW" dataDxfId="465" dataCellStyle="Content normal">
      <calculatedColumnFormula array="1">Common_InputFunctions.Utility_DisplayArrayInTable(SourceData_Dairy.SourceData_Dairy_MCF_Data(), Table_SourceData_Dairy_MCFjm[[#Headers],[MMS m]], 0)</calculatedColumnFormula>
    </tableColumn>
    <tableColumn id="4" xr3:uid="{27230C27-090A-4603-8755-4A0F8CA6E24C}" name="NT" dataDxfId="464" dataCellStyle="Content normal">
      <calculatedColumnFormula array="1">Common_InputFunctions.Utility_DisplayArrayInTable(SourceData_Dairy.SourceData_Dairy_MCF_Data(), Table_SourceData_Dairy_MCFjm[[#Headers],[MMS m]], 0)</calculatedColumnFormula>
    </tableColumn>
    <tableColumn id="5" xr3:uid="{48A746ED-7602-4864-A24B-94E96DD8B7ED}" name="QLD" dataDxfId="463" dataCellStyle="Content normal">
      <calculatedColumnFormula array="1">Common_InputFunctions.Utility_DisplayArrayInTable(SourceData_Dairy.SourceData_Dairy_MCF_Data(), Table_SourceData_Dairy_MCFjm[[#Headers],[MMS m]], 0)</calculatedColumnFormula>
    </tableColumn>
    <tableColumn id="6" xr3:uid="{7A60D28F-8629-4D06-AE4C-DDAF68995F40}" name="SA" dataDxfId="462" dataCellStyle="Content normal">
      <calculatedColumnFormula array="1">Common_InputFunctions.Utility_DisplayArrayInTable(SourceData_Dairy.SourceData_Dairy_MCF_Data(), Table_SourceData_Dairy_MCFjm[[#Headers],[MMS m]], 0)</calculatedColumnFormula>
    </tableColumn>
    <tableColumn id="7" xr3:uid="{D8A3804A-CE24-463E-A882-C0A3B6779058}" name="TAS" dataDxfId="461" dataCellStyle="Content normal">
      <calculatedColumnFormula array="1">Common_InputFunctions.Utility_DisplayArrayInTable(SourceData_Dairy.SourceData_Dairy_MCF_Data(), Table_SourceData_Dairy_MCFjm[[#Headers],[MMS m]], 0)</calculatedColumnFormula>
    </tableColumn>
    <tableColumn id="8" xr3:uid="{EFD0D52E-425C-4EE6-B156-B93404DAE93B}" name="VIC" dataDxfId="460" dataCellStyle="Content normal">
      <calculatedColumnFormula array="1">Common_InputFunctions.Utility_DisplayArrayInTable(SourceData_Dairy.SourceData_Dairy_MCF_Data(), Table_SourceData_Dairy_MCFjm[[#Headers],[MMS m]], 0)</calculatedColumnFormula>
    </tableColumn>
    <tableColumn id="9" xr3:uid="{097A7215-AA72-443A-8837-3B6825E12463}" name="WA" dataDxfId="459" dataCellStyle="Content normal">
      <calculatedColumnFormula array="1">Common_InputFunctions.Utility_DisplayArrayInTable(SourceData_Dairy.SourceData_Dairy_MCF_Data(), Table_SourceData_Dairy_MCFjm[[#Headers],[MMS m]], 0)</calculatedColumnFormula>
    </tableColumn>
    <tableColumn id="10" xr3:uid="{EC80A8EE-0ECE-43F2-9EEB-2B024BAF4A86}" name="NIR reference" dataDxfId="458" dataCellStyle="Content normal">
      <calculatedColumnFormula array="1">Common_InputFunctions.Utility_DisplayArrayInTable(SourceData_Dairy.SourceData_Dairy_MCF_Data(), Table_SourceData_Dairy_MCFjm[[#Headers],[MMS m]], 0)</calculatedColumnFormula>
    </tableColumn>
  </tableColumns>
  <tableStyleInfo name="Equation table"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5" xr:uid="{C271C319-886E-44FE-BBEF-94E66758EDF3}" name="Table_SourceData_Dairy_EFmFracGASM" displayName="Table_SourceData_Dairy_EFmFracGASM" ref="D86:G91" totalsRowShown="0">
  <autoFilter ref="D86:G91" xr:uid="{9FA92AE0-614A-46D8-9E98-33BA2B8E3C1D}">
    <filterColumn colId="0" hiddenButton="1"/>
    <filterColumn colId="1" hiddenButton="1"/>
    <filterColumn colId="2" hiddenButton="1"/>
    <filterColumn colId="3" hiddenButton="1"/>
  </autoFilter>
  <tableColumns count="4">
    <tableColumn id="1" xr3:uid="{F3D4D0DB-3AE9-40E9-8AC6-24F21D18151D}" name="MMS m">
      <calculatedColumnFormula array="1">Common_InputFunctions.Utility_DisplayArrayInTable(SourceData_Dairy.SourceData_Dairy_NitrousOxideEFsAndFracGASM_Data(), Table_SourceData_Dairy_EFmFracGASM[[#Headers],[MMS m]], 0)</calculatedColumnFormula>
    </tableColumn>
    <tableColumn id="2" xr3:uid="{BD430A49-071D-4525-B98C-5F9865CA4FD7}" name="EFm" dataDxfId="457" dataCellStyle="Content normal">
      <calculatedColumnFormula array="1">Common_InputFunctions.Utility_DisplayArrayInTable(SourceData_Dairy.SourceData_Dairy_NitrousOxideEFsAndFracGASM_Data(), Table_SourceData_Dairy_EFmFracGASM[[#Headers],[MMS m]], 0)</calculatedColumnFormula>
    </tableColumn>
    <tableColumn id="3" xr3:uid="{BF13C77C-FA25-4D34-8E82-7C62AAAE6E3D}" name="FracGASMm" dataDxfId="456" dataCellStyle="Content normal">
      <calculatedColumnFormula array="1">Common_InputFunctions.Utility_DisplayArrayInTable(SourceData_Dairy.SourceData_Dairy_NitrousOxideEFsAndFracGASM_Data(), Table_SourceData_Dairy_EFmFracGASM[[#Headers],[MMS m]], 0)</calculatedColumnFormula>
    </tableColumn>
    <tableColumn id="4" xr3:uid="{C0041A7D-A97E-4628-9EFC-39DA56BCBE41}" name="NIR reference" dataDxfId="455" dataCellStyle="Content normal">
      <calculatedColumnFormula array="1">Common_InputFunctions.Utility_DisplayArrayInTable(SourceData_Dairy.SourceData_Dairy_NitrousOxideEFsAndFracGASM_Data(), Table_SourceData_Dairy_EFmFracGASM[[#Headers],[MMS m]], 0)</calculatedColumnFormula>
    </tableColumn>
  </tableColumns>
  <tableStyleInfo name="Equation table"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6" xr:uid="{48D384D8-8C55-4A44-9445-39B7940FF3FC}" name="Table_SourceData_Dairy_MPWENTERIC" displayName="Table_SourceData_Dairy_MPWENTERIC" ref="D98:E100" totalsRowShown="0">
  <autoFilter ref="D98:E100" xr:uid="{486563E6-CB80-4A05-BFA1-062176052592}">
    <filterColumn colId="0" hiddenButton="1"/>
    <filterColumn colId="1" hiddenButton="1"/>
  </autoFilter>
  <tableColumns count="2">
    <tableColumn id="1" xr3:uid="{2AA5B699-4610-4515-95C6-95036DC95FB4}" name="Animal class j">
      <calculatedColumnFormula array="1">Common_InputFunctions.Utility_DisplayArrayInTable(SourceData_Dairy.SourceData_Dairy_MethaneProductionPreWeanedCalves_Data(), Table_SourceData_Dairy_MPWENTERIC[[#Headers],[Animal class j]], 0)</calculatedColumnFormula>
    </tableColumn>
    <tableColumn id="2" xr3:uid="{948DE1A7-9680-47A3-B97A-8A7783B06E53}" name="MPW ENTERIC" dataDxfId="454" dataCellStyle="Content normal">
      <calculatedColumnFormula array="1">Common_InputFunctions.Utility_DisplayArrayInTable(SourceData_Dairy.SourceData_Dairy_MethaneProductionPreWeanedCalves_Data(), Table_SourceData_Dairy_MPWENTERIC[[#Headers],[Animal class j]], 0)</calculatedColumnFormula>
    </tableColumn>
  </tableColumns>
  <tableStyleInfo name="Equation table"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7" xr:uid="{7E8DE6B3-2317-4E9F-AC55-AE8745DA2991}" name="Table_SourceData_Dairy_MRj" displayName="Table_SourceData_Dairy_MRj" ref="D107:E109" totalsRowShown="0">
  <autoFilter ref="D107:E109" xr:uid="{2C28AB58-EB72-448B-B56E-C8B9764D38F9}">
    <filterColumn colId="0" hiddenButton="1"/>
    <filterColumn colId="1" hiddenButton="1"/>
  </autoFilter>
  <tableColumns count="2">
    <tableColumn id="1" xr3:uid="{EA14BA23-B95E-46F2-ABC4-867D49712FB4}" name="Animal class j">
      <calculatedColumnFormula array="1">Common_InputFunctions.Utility_DisplayArrayInTable(SourceData_Dairy.SourceData_Dairy_IncreasedMetabolicRateMilk_Data(), Table_SourceData_Dairy_MRj[[#Headers],[Animal class j]], 0)</calculatedColumnFormula>
    </tableColumn>
    <tableColumn id="2" xr3:uid="{E98CA604-98B0-4A8E-8800-1BA67E46FFC6}" name="MRj" dataDxfId="453" dataCellStyle="Content normal">
      <calculatedColumnFormula array="1">Common_InputFunctions.Utility_DisplayArrayInTable(SourceData_Dairy.SourceData_Dairy_IncreasedMetabolicRateMilk_Data(), Table_SourceData_Dairy_MRj[[#Headers],[Animal class j]], 0)</calculatedColumnFormula>
    </tableColumn>
  </tableColumns>
  <tableStyleInfo name="Equation table"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8" xr:uid="{15E63E3E-5E11-4E52-B0E5-97AAFDD2588E}" name="Table_SourceData_Dairy_ProductionSystemTemplates" displayName="Table_SourceData_Dairy_ProductionSystemTemplates" ref="D116:G120" totalsRowShown="0">
  <autoFilter ref="D116:G120" xr:uid="{1FB5F0D9-A87E-4E79-A32C-4BDDD47665B0}">
    <filterColumn colId="0" hiddenButton="1"/>
    <filterColumn colId="1" hiddenButton="1"/>
    <filterColumn colId="2" hiddenButton="1"/>
    <filterColumn colId="3" hiddenButton="1"/>
  </autoFilter>
  <tableColumns count="4">
    <tableColumn id="1" xr3:uid="{62D34C5A-DB51-4084-B42B-57494451BEAE}" name="Area">
      <calculatedColumnFormula array="1">Common_InputFunctions.Utility_DisplayArrayInTable(SourceData_Dairy.SourceData_Dairy_FractionVolatileSolidsVoidedMMS_Data(), Table_SourceData_Dairy_ProductionSystemTemplates[[#Headers],[Area]], 0)</calculatedColumnFormula>
    </tableColumn>
    <tableColumn id="2" xr3:uid="{62E589A5-038E-4713-A6EC-CFB9B0558A90}" name="Pasture" dataDxfId="452" dataCellStyle="Content normal">
      <calculatedColumnFormula array="1">Common_InputFunctions.Utility_DisplayArrayInTable(SourceData_Dairy.SourceData_Dairy_FractionVolatileSolidsVoidedMMS_Data(), Table_SourceData_Dairy_ProductionSystemTemplates[[#Headers],[Area]], 0)</calculatedColumnFormula>
    </tableColumn>
    <tableColumn id="3" xr3:uid="{7C50B3A3-38C5-4BE2-8DEF-F6B066A82677}" name="Milking shed" dataDxfId="451" dataCellStyle="Content normal">
      <calculatedColumnFormula array="1">Common_InputFunctions.Utility_DisplayArrayInTable(SourceData_Dairy.SourceData_Dairy_FractionVolatileSolidsVoidedMMS_Data(), Table_SourceData_Dairy_ProductionSystemTemplates[[#Headers],[Area]], 0)</calculatedColumnFormula>
    </tableColumn>
    <tableColumn id="4" xr3:uid="{F35FA7B8-E4B7-4D79-9F02-6816DC598FB1}" name="Feedpad" dataDxfId="450" dataCellStyle="Content normal">
      <calculatedColumnFormula array="1">Common_InputFunctions.Utility_DisplayArrayInTable(SourceData_Dairy.SourceData_Dairy_FractionVolatileSolidsVoidedMMS_Data(), Table_SourceData_Dairy_ProductionSystemTemplates[[#Headers],[Area]], 0)</calculatedColumnFormula>
    </tableColumn>
  </tableColumns>
  <tableStyleInfo name="Equation table"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9" xr:uid="{FB14F337-2A75-4245-A31E-5612232A07C6}" name="Table_SourceData_Dairy_EFm" displayName="Table_SourceData_Dairy_EFm" ref="D128:F133" totalsRowShown="0">
  <autoFilter ref="D128:F133" xr:uid="{9FB5B8DA-9F8D-4436-A441-EA112190025D}">
    <filterColumn colId="0" hiddenButton="1"/>
    <filterColumn colId="1" hiddenButton="1"/>
    <filterColumn colId="2" hiddenButton="1"/>
  </autoFilter>
  <tableColumns count="3">
    <tableColumn id="1" xr3:uid="{4741802A-40E8-4E3B-886D-FE947665E64C}" name="MMS m">
      <calculatedColumnFormula array="1">Common_InputFunctions.Utility_DisplayArrayInTable(SourceData_Dairy.SourceData_Dairy_EFNitrousOxidePerMMS_Data(), Table_SourceData_Dairy_EFm[[#Headers],[MMS m]], 0)</calculatedColumnFormula>
    </tableColumn>
    <tableColumn id="2" xr3:uid="{AB679D57-80AA-4D28-8EDD-781ECE1AA202}" name="EFm" dataDxfId="449" dataCellStyle="Content normal">
      <calculatedColumnFormula array="1">Common_InputFunctions.Utility_DisplayArrayInTable(SourceData_Dairy.SourceData_Dairy_EFNitrousOxidePerMMS_Data(), Table_SourceData_Dairy_EFm[[#Headers],[MMS m]], 0)</calculatedColumnFormula>
    </tableColumn>
    <tableColumn id="3" xr3:uid="{00CE627C-EB14-436C-A6B2-9EFF817A6299}" name="NIR reference" dataDxfId="448" dataCellStyle="Content normal">
      <calculatedColumnFormula array="1">Common_InputFunctions.Utility_DisplayArrayInTable(SourceData_Dairy.SourceData_Dairy_EFNitrousOxidePerMMS_Data(), Table_SourceData_Dairy_EFm[[#Headers],[MMS m]], 0)</calculatedColumnFormula>
    </tableColumn>
  </tableColumns>
  <tableStyleInfo name="Equation table"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0" xr:uid="{D7482180-68FD-46F4-805E-53BD2C81DFA4}" name="Table_SourceData_Dairy_Duration" displayName="Table_SourceData_Dairy_Duration" ref="D141:F146" totalsRowShown="0">
  <autoFilter ref="D141:F146" xr:uid="{BB1ACE7A-AFF1-4870-9774-9D68332837FF}">
    <filterColumn colId="0" hiddenButton="1"/>
    <filterColumn colId="1" hiddenButton="1"/>
    <filterColumn colId="2" hiddenButton="1"/>
  </autoFilter>
  <tableColumns count="3">
    <tableColumn id="1" xr3:uid="{E09059D0-7174-445F-890C-A6C17F714CD6}" name="Animal class j">
      <calculatedColumnFormula array="1">Common_InputFunctions.Utility_DisplayArrayInTable(SourceData_Dairy.SourceData_Dairy_DurationOfStay_Data(), Table_SourceData_Dairy_Duration[[#Headers],[Animal class j]], 0)</calculatedColumnFormula>
    </tableColumn>
    <tableColumn id="2" xr3:uid="{86F041E4-8020-49DC-BE48-72073799CD92}" name="Duration (weaned)" dataDxfId="447" dataCellStyle="Content normal">
      <calculatedColumnFormula array="1">Common_InputFunctions.Utility_DisplayArrayInTable(SourceData_Dairy.SourceData_Dairy_DurationOfStay_Data(), Table_SourceData_Dairy_Duration[[#Headers],[Animal class j]], 0)</calculatedColumnFormula>
    </tableColumn>
    <tableColumn id="3" xr3:uid="{0A2125E2-AA9F-4939-973F-8D5C7009E560}" name="Duration (pre-weaned)" dataDxfId="446" dataCellStyle="Content normal">
      <calculatedColumnFormula array="1">Common_InputFunctions.Utility_DisplayArrayInTable(SourceData_Dairy.SourceData_Dairy_DurationOfStay_Data(), Table_SourceData_Dairy_Duration[[#Headers],[Animal class j]], 0)</calculatedColumnFormula>
    </tableColumn>
  </tableColumns>
  <tableStyleInfo name="Equation table"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2" xr:uid="{E49CEE49-6EB7-4DE5-AC8D-3E890074713E}" name="Table_SourceData_PastureBeef_CropProdSystems" displayName="Table_SourceData_PastureBeef_CropProdSystems" ref="D7:D9" totalsRowShown="0">
  <autoFilter ref="D7:D9" xr:uid="{B6F3FE3A-A0B5-47E7-85B2-8426FB75A7C8}">
    <filterColumn colId="0" hiddenButton="1"/>
  </autoFilter>
  <tableColumns count="1">
    <tableColumn id="1" xr3:uid="{F93BC9DA-3227-43EC-87AE-AE6848B93394}" name="Production system">
      <calculatedColumnFormula>#REF!</calculatedColumnFormula>
    </tableColumn>
  </tableColumns>
  <tableStyleInfo name="Equation table"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3" xr:uid="{F4B1EBB9-F070-4A05-B9A3-A1AA90F27763}" name="Table_SourceData_PastureBeef_IrrigationMethods" displayName="Table_SourceData_PastureBeef_IrrigationMethods" ref="G7:G12" totalsRowShown="0">
  <autoFilter ref="G7:G12" xr:uid="{FE172B77-CEA3-430C-84BC-392A64D0B8FF}">
    <filterColumn colId="0" hiddenButton="1"/>
  </autoFilter>
  <tableColumns count="1">
    <tableColumn id="1" xr3:uid="{A275C4E5-8931-451C-B6A8-F1C413EB4604}" name="Irrigation method"/>
  </tableColumns>
  <tableStyleInfo name="Equation table"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4" xr:uid="{199F8D21-4C4A-4AAB-B040-02A9DEF84345}" name="Table_SourceData_PastureBeef_Liveweight" displayName="Table_SourceData_PastureBeef_Liveweight" ref="D18:M46" totalsRowShown="0">
  <autoFilter ref="D18:M46" xr:uid="{430B098F-3F00-49E5-81DA-BAED03622D32}">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74A7D303-0A7C-4870-947E-0BCB0B6F41A8}" name="State">
      <calculatedColumnFormula array="1">Common_InputFunctions.Utility_DisplayArrayInTable(SourceData_PastureBeef.SourceData_PastureBeef_Liveweight_Data(), Table_SourceData_PastureBeef_Liveweight[[#Headers],[State]], 0)</calculatedColumnFormula>
    </tableColumn>
    <tableColumn id="2" xr3:uid="{2DD4D73B-8DC8-4857-BB21-EBFD41A6681E}" name="Region" dataDxfId="445" dataCellStyle="Content normal">
      <calculatedColumnFormula array="1">Common_InputFunctions.Utility_DisplayArrayInTable(SourceData_PastureBeef.SourceData_PastureBeef_Liveweight_Data(), Table_SourceData_PastureBeef_Liveweight[[#Headers],[State]], 0)</calculatedColumnFormula>
    </tableColumn>
    <tableColumn id="3" xr3:uid="{B937E62F-F139-470A-9EC2-F86872174CE3}" name="Season" dataDxfId="444" dataCellStyle="Content normal">
      <calculatedColumnFormula array="1">Common_InputFunctions.Utility_DisplayArrayInTable(SourceData_PastureBeef.SourceData_PastureBeef_Liveweight_Data(), Table_SourceData_PastureBeef_Liveweight[[#Headers],[State]], 0)</calculatedColumnFormula>
    </tableColumn>
    <tableColumn id="4" xr3:uid="{245C4928-7D14-4E85-9899-45339D6B8707}" name="Bull &lt; 1" dataDxfId="443" dataCellStyle="Content normal">
      <calculatedColumnFormula array="1">Common_InputFunctions.Utility_DisplayArrayInTable(SourceData_PastureBeef.SourceData_PastureBeef_Liveweight_Data(), Table_SourceData_PastureBeef_Liveweight[[#Headers],[State]], 0)</calculatedColumnFormula>
    </tableColumn>
    <tableColumn id="5" xr3:uid="{AB4B28C6-481B-440C-8CEF-329B70ACE19C}" name="Bull &gt; 1" dataDxfId="442" dataCellStyle="Content normal">
      <calculatedColumnFormula array="1">Common_InputFunctions.Utility_DisplayArrayInTable(SourceData_PastureBeef.SourceData_PastureBeef_Liveweight_Data(), Table_SourceData_PastureBeef_Liveweight[[#Headers],[State]], 0)</calculatedColumnFormula>
    </tableColumn>
    <tableColumn id="6" xr3:uid="{F83648DA-F322-4C6D-864B-A09C5E928C5F}" name="Cow &lt; 1" dataDxfId="441" dataCellStyle="Content normal">
      <calculatedColumnFormula array="1">Common_InputFunctions.Utility_DisplayArrayInTable(SourceData_PastureBeef.SourceData_PastureBeef_Liveweight_Data(), Table_SourceData_PastureBeef_Liveweight[[#Headers],[State]], 0)</calculatedColumnFormula>
    </tableColumn>
    <tableColumn id="7" xr3:uid="{3901689D-3705-4ECF-A4C1-449ABEEDE5DB}" name="Cow 1-2" dataDxfId="440" dataCellStyle="Content normal">
      <calculatedColumnFormula array="1">Common_InputFunctions.Utility_DisplayArrayInTable(SourceData_PastureBeef.SourceData_PastureBeef_Liveweight_Data(), Table_SourceData_PastureBeef_Liveweight[[#Headers],[State]], 0)</calculatedColumnFormula>
    </tableColumn>
    <tableColumn id="8" xr3:uid="{99A74803-7E79-4422-9F78-2891F6F1ADF4}" name="Cow &gt; 2" dataDxfId="439" dataCellStyle="Content normal">
      <calculatedColumnFormula array="1">Common_InputFunctions.Utility_DisplayArrayInTable(SourceData_PastureBeef.SourceData_PastureBeef_Liveweight_Data(), Table_SourceData_PastureBeef_Liveweight[[#Headers],[State]], 0)</calculatedColumnFormula>
    </tableColumn>
    <tableColumn id="9" xr3:uid="{2748334A-DCC3-4CB7-8CC7-8D2C05F8A52B}" name="Steer &lt; 1" dataDxfId="438" dataCellStyle="Content normal">
      <calculatedColumnFormula array="1">Common_InputFunctions.Utility_DisplayArrayInTable(SourceData_PastureBeef.SourceData_PastureBeef_Liveweight_Data(), Table_SourceData_PastureBeef_Liveweight[[#Headers],[State]], 0)</calculatedColumnFormula>
    </tableColumn>
    <tableColumn id="10" xr3:uid="{6C323C91-916D-4592-B37D-A515E6402174}" name="Steer &gt; 1" dataDxfId="437" dataCellStyle="Content normal">
      <calculatedColumnFormula array="1">Common_InputFunctions.Utility_DisplayArrayInTable(SourceData_PastureBeef.SourceData_PastureBeef_Liveweight_Data(), Table_SourceData_PastureBeef_Liveweight[[#Headers],[State]], 0)</calculatedColumnFormula>
    </tableColumn>
  </tableColumns>
  <tableStyleInfo name="Equation table"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5" xr:uid="{F241CB1E-152C-4648-B8E2-B789702A8479}" name="Table_SourceData_PastureBeef_LiveweightNTQD" displayName="Table_SourceData_PastureBeef_LiveweightNTQD" ref="D53:P81" totalsRowShown="0">
  <autoFilter ref="D53:P81" xr:uid="{56498C6E-3CDA-4A1F-A7E7-3227B1B0C952}">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078C2385-3D3A-4E4E-A64A-BA8D4E29B7E5}" name="State">
      <calculatedColumnFormula array="1">Common_InputFunctions.Utility_DisplayArrayInTable(SourceData_PastureBeef.SourceData_PastureBeef_LiveweightNTQLD_Data(),Table_SourceData_PastureBeef_LiveweightNTQD[[#Headers],[State]], 0)</calculatedColumnFormula>
    </tableColumn>
    <tableColumn id="2" xr3:uid="{28043912-F68E-46F4-953F-98D6FD23BF05}" name="Region" dataDxfId="436" dataCellStyle="Content normal">
      <calculatedColumnFormula array="1">Common_InputFunctions.Utility_DisplayArrayInTable(SourceData_PastureBeef.SourceData_PastureBeef_LiveweightNTQLD_Data(),Table_SourceData_PastureBeef_LiveweightNTQD[[#Headers],[State]], 0)</calculatedColumnFormula>
    </tableColumn>
    <tableColumn id="3" xr3:uid="{B1A882B0-1C91-4665-9A35-C32BB96B4471}" name="Season" dataDxfId="435" dataCellStyle="Content normal">
      <calculatedColumnFormula array="1">Common_InputFunctions.Utility_DisplayArrayInTable(SourceData_PastureBeef.SourceData_PastureBeef_LiveweightNTQLD_Data(),Table_SourceData_PastureBeef_LiveweightNTQD[[#Headers],[State]], 0)</calculatedColumnFormula>
    </tableColumn>
    <tableColumn id="4" xr3:uid="{F2349E71-22E9-46B8-86B0-AE3A43099E16}" name="Bull &lt;1" dataDxfId="434" dataCellStyle="Content normal">
      <calculatedColumnFormula array="1">Common_InputFunctions.Utility_DisplayArrayInTable(SourceData_PastureBeef.SourceData_PastureBeef_LiveweightNTQLD_Data(),Table_SourceData_PastureBeef_LiveweightNTQD[[#Headers],[State]], 0)</calculatedColumnFormula>
    </tableColumn>
    <tableColumn id="5" xr3:uid="{DA5336C9-D336-4CD6-88D2-0D22D730F747}" name="Bull &gt;1" dataDxfId="433" dataCellStyle="Content normal">
      <calculatedColumnFormula array="1">Common_InputFunctions.Utility_DisplayArrayInTable(SourceData_PastureBeef.SourceData_PastureBeef_LiveweightNTQLD_Data(),Table_SourceData_PastureBeef_LiveweightNTQD[[#Headers],[State]], 0)</calculatedColumnFormula>
    </tableColumn>
    <tableColumn id="6" xr3:uid="{099A0783-5B3B-4CF8-B22F-8EE8C9C22120}" name="Cows &lt;1" dataDxfId="432" dataCellStyle="Content normal">
      <calculatedColumnFormula array="1">Common_InputFunctions.Utility_DisplayArrayInTable(SourceData_PastureBeef.SourceData_PastureBeef_LiveweightNTQLD_Data(),Table_SourceData_PastureBeef_LiveweightNTQD[[#Headers],[State]], 0)</calculatedColumnFormula>
    </tableColumn>
    <tableColumn id="7" xr3:uid="{07E30DBC-31AC-460B-AFAC-7E9B2B8F56D8}" name="Cows 1-2" dataDxfId="431" dataCellStyle="Content normal">
      <calculatedColumnFormula array="1">Common_InputFunctions.Utility_DisplayArrayInTable(SourceData_PastureBeef.SourceData_PastureBeef_LiveweightNTQLD_Data(),Table_SourceData_PastureBeef_LiveweightNTQD[[#Headers],[State]], 0)</calculatedColumnFormula>
    </tableColumn>
    <tableColumn id="8" xr3:uid="{C53D1F72-907F-4E31-A69B-C55905E4B7B5}" name="Cows 2-3" dataDxfId="430" dataCellStyle="Content normal">
      <calculatedColumnFormula array="1">Common_InputFunctions.Utility_DisplayArrayInTable(SourceData_PastureBeef.SourceData_PastureBeef_LiveweightNTQLD_Data(),Table_SourceData_PastureBeef_LiveweightNTQD[[#Headers],[State]], 0)</calculatedColumnFormula>
    </tableColumn>
    <tableColumn id="9" xr3:uid="{312DE61B-19FB-4430-B609-44FAE2288E62}" name="Cows &gt;3" dataDxfId="429" dataCellStyle="Content normal">
      <calculatedColumnFormula array="1">Common_InputFunctions.Utility_DisplayArrayInTable(SourceData_PastureBeef.SourceData_PastureBeef_LiveweightNTQLD_Data(),Table_SourceData_PastureBeef_LiveweightNTQD[[#Headers],[State]], 0)</calculatedColumnFormula>
    </tableColumn>
    <tableColumn id="10" xr3:uid="{2903B3A3-CC64-4E11-B5C4-A1F05D718DDA}" name="Steer &lt;1" dataDxfId="428" dataCellStyle="Content normal">
      <calculatedColumnFormula array="1">Common_InputFunctions.Utility_DisplayArrayInTable(SourceData_PastureBeef.SourceData_PastureBeef_LiveweightNTQLD_Data(),Table_SourceData_PastureBeef_LiveweightNTQD[[#Headers],[State]], 0)</calculatedColumnFormula>
    </tableColumn>
    <tableColumn id="11" xr3:uid="{9AFEA49F-C82F-4443-B4BA-9BEDB330E706}" name="Steer 1-2" dataDxfId="427" dataCellStyle="Content normal">
      <calculatedColumnFormula array="1">Common_InputFunctions.Utility_DisplayArrayInTable(SourceData_PastureBeef.SourceData_PastureBeef_LiveweightNTQLD_Data(),Table_SourceData_PastureBeef_LiveweightNTQD[[#Headers],[State]], 0)</calculatedColumnFormula>
    </tableColumn>
    <tableColumn id="12" xr3:uid="{22A49C52-A7C5-4D57-84A2-5706EFFE0CD9}" name="Steer 2-3" dataDxfId="426" dataCellStyle="Content normal">
      <calculatedColumnFormula array="1">Common_InputFunctions.Utility_DisplayArrayInTable(SourceData_PastureBeef.SourceData_PastureBeef_LiveweightNTQLD_Data(),Table_SourceData_PastureBeef_LiveweightNTQD[[#Headers],[State]], 0)</calculatedColumnFormula>
    </tableColumn>
    <tableColumn id="13" xr3:uid="{35AB7528-920E-4DAF-A25A-CA7F598288A2}" name="Steer &gt;3" dataDxfId="425" dataCellStyle="Content normal">
      <calculatedColumnFormula array="1">Common_InputFunctions.Utility_DisplayArrayInTable(SourceData_PastureBeef.SourceData_PastureBeef_LiveweightNTQLD_Data(),Table_SourceData_PastureBeef_LiveweightNTQD[[#Headers],[State]], 0)</calculatedColumnFormula>
    </tableColumn>
  </tableColumns>
  <tableStyleInfo name="Equation table"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6" xr:uid="{CEFD709D-8418-4AA0-B3DE-DF24038E55FD}" name="Table_SourceData_PastureBeef_LiveweightAllStates" displayName="Table_SourceData_PastureBeef_LiveweightAllStates" ref="D85:P149" totalsRowShown="0">
  <autoFilter ref="D85:P149" xr:uid="{C5E9D0D1-9D34-431E-BF55-46DC48CCCDF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43FA48A9-8D0A-4F72-B9C1-C6C77894E678}" name="State"/>
    <tableColumn id="2" xr3:uid="{09E640C8-09D2-4775-8AA9-34ECACDD61C4}" name="Region">
      <calculatedColumnFormula>E22</calculatedColumnFormula>
    </tableColumn>
    <tableColumn id="3" xr3:uid="{4EE34C07-2B2A-467C-B09F-8312BE0875A7}" name="Season">
      <calculatedColumnFormula>F22</calculatedColumnFormula>
    </tableColumn>
    <tableColumn id="4" xr3:uid="{DC502F23-A4DC-4EBD-91B1-F2AB2D1D42C6}" name="Bulls &lt; 1 year">
      <calculatedColumnFormula>G22</calculatedColumnFormula>
    </tableColumn>
    <tableColumn id="5" xr3:uid="{CFC1AD2C-20E7-4CDA-B3BB-5C4C2CCA4965}" name="Bulls &gt; 1 year">
      <calculatedColumnFormula>H22</calculatedColumnFormula>
    </tableColumn>
    <tableColumn id="6" xr3:uid="{5CB7377E-5720-4F7D-8191-CF40193737CE}" name="Cows &lt; 1 year">
      <calculatedColumnFormula>I22</calculatedColumnFormula>
    </tableColumn>
    <tableColumn id="7" xr3:uid="{B35AD2F1-8373-48DD-BD17-6A951FE59448}" name="Cows 1-2 years">
      <calculatedColumnFormula>J22</calculatedColumnFormula>
    </tableColumn>
    <tableColumn id="8" xr3:uid="{2D9CE1BB-811C-4EBC-AE81-AA1C52B57D91}" name="Cows 2-3 years">
      <calculatedColumnFormula>K22</calculatedColumnFormula>
    </tableColumn>
    <tableColumn id="9" xr3:uid="{57088271-ED74-4CC8-A0EB-31E2DF35874B}" name="Cows &gt; 3 years">
      <calculatedColumnFormula>L22</calculatedColumnFormula>
    </tableColumn>
    <tableColumn id="10" xr3:uid="{8D2CAE93-CBF6-414C-B4E0-5ED3507CA6B9}" name="Steers &lt; 1 year">
      <calculatedColumnFormula>M22</calculatedColumnFormula>
    </tableColumn>
    <tableColumn id="11" xr3:uid="{CACAAB30-CA16-497C-9305-6943E4C93B52}" name="Steers 1-2 years">
      <calculatedColumnFormula>N22</calculatedColumnFormula>
    </tableColumn>
    <tableColumn id="12" xr3:uid="{4DE3BE7F-8D79-46DD-B623-3C1D5C2CC2AF}" name="Steers 2-3 years">
      <calculatedColumnFormula>O22</calculatedColumnFormula>
    </tableColumn>
    <tableColumn id="13" xr3:uid="{63157230-F8D2-4A6E-9157-63350CC5930F}" name="Steers &gt;3 years">
      <calculatedColumnFormula>P22</calculatedColumnFormula>
    </tableColumn>
  </tableColumns>
  <tableStyleInfo name="Equation table" showFirstColumn="0"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7" xr:uid="{284885F7-6E4A-416A-A3BE-A9A172F46F5F}" name="Table_SourceData_PastureBeef_Region_Queensland" displayName="Table_SourceData_PastureBeef_Region_Queensland" ref="Q7:Q11" totalsRowShown="0">
  <autoFilter ref="Q7:Q11" xr:uid="{0152B2C3-CC3B-4554-AC62-87093E6D416E}">
    <filterColumn colId="0" hiddenButton="1"/>
  </autoFilter>
  <tableColumns count="1">
    <tableColumn id="1" xr3:uid="{95A51689-EE3D-4EE4-8209-433D433B74FA}" name="Region"/>
  </tableColumns>
  <tableStyleInfo name="Equation table" showFirstColumn="0" showLastColumn="0"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8" xr:uid="{CD820F93-BCAA-4E87-A0FE-F48BCD5AF4D7}" name="Table_SourceData_PastureBeef_Region_NorthernTerritory" displayName="Table_SourceData_PastureBeef_Region_NorthernTerritory" ref="O7:O10" totalsRowShown="0">
  <autoFilter ref="O7:O10" xr:uid="{2B557DC2-537E-4888-B9B7-260F5041B425}">
    <filterColumn colId="0" hiddenButton="1"/>
  </autoFilter>
  <tableColumns count="1">
    <tableColumn id="1" xr3:uid="{59CF99B1-36D0-4E02-B1F8-687F20B61531}" name="Region"/>
  </tableColumns>
  <tableStyleInfo name="Equation table" showFirstColumn="0" showLastColumn="0" showRowStripes="1" showColumnStripes="0"/>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9" xr:uid="{AF8913A0-ECFF-428B-9BF6-A7567E64E2DE}" name="Table_SourceData_PastureBeef_Region_WesternAustralia" displayName="Table_SourceData_PastureBeef_Region_WesternAustralia" ref="M7:M10" totalsRowShown="0">
  <autoFilter ref="M7:M10" xr:uid="{69C19929-4234-4DF1-A517-B50C12615BC1}">
    <filterColumn colId="0" hiddenButton="1"/>
  </autoFilter>
  <tableColumns count="1">
    <tableColumn id="1" xr3:uid="{CF1D737B-D1A7-4399-9FF1-00B05B735C1E}" name="Region"/>
  </tableColumns>
  <tableStyleInfo name="Equation table" showFirstColumn="0" showLastColumn="0" showRowStripes="1" showColumnStripes="0"/>
</table>
</file>

<file path=xl/tables/table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0" xr:uid="{13044B30-A09F-4350-86B9-CA3CA0DC8429}" name="Table_SourceData_PastureBeef_Region_Victoria" displayName="Table_SourceData_PastureBeef_Region_Victoria" ref="S7:S8" totalsRowShown="0">
  <autoFilter ref="S7:S8" xr:uid="{7D474D93-C1E0-4898-A434-69585070D0B9}">
    <filterColumn colId="0" hiddenButton="1"/>
  </autoFilter>
  <tableColumns count="1">
    <tableColumn id="1" xr3:uid="{81892D27-3179-49DF-AAE6-D037D5FC2228}" name="Region"/>
  </tableColumns>
  <tableStyleInfo name="Equation table" showFirstColumn="0" showLastColumn="0" showRowStripes="1" showColumnStripes="0"/>
</table>
</file>

<file path=xl/tables/table5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1" xr:uid="{80F38688-883D-40D5-A8B8-C26633C14A43}" name="Table_SourceData_PastureBeef_Region_NewSouthWales" displayName="Table_SourceData_PastureBeef_Region_NewSouthWales" ref="S12:S13" totalsRowShown="0">
  <autoFilter ref="S12:S13" xr:uid="{C2ECEA10-DD31-42C9-8624-54C901A6DE17}">
    <filterColumn colId="0" hiddenButton="1"/>
  </autoFilter>
  <tableColumns count="1">
    <tableColumn id="1" xr3:uid="{D14D935A-D5EE-4914-90D8-871F893EC443}" name="Region"/>
  </tableColumns>
  <tableStyleInfo name="Equation table" showFirstColumn="0" showLastColumn="0" showRowStripes="1" showColumnStripes="0"/>
</table>
</file>

<file path=xl/tables/table5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2" xr:uid="{8E80B970-7BF3-49EB-A097-F53AE85A9561}" name="Table_SourceData_PastureBeef_Region_SouthAustralia" displayName="Table_SourceData_PastureBeef_Region_SouthAustralia" ref="S17:S18" totalsRowShown="0">
  <autoFilter ref="S17:S18" xr:uid="{4B45161F-EF95-4623-81B8-A0254915E4F9}">
    <filterColumn colId="0" hiddenButton="1"/>
  </autoFilter>
  <tableColumns count="1">
    <tableColumn id="1" xr3:uid="{2C713AF1-775E-40CA-A900-0340069FBE6C}" name="Region"/>
  </tableColumns>
  <tableStyleInfo name="Equation table" showFirstColumn="0" showLastColumn="0" showRowStripes="1" showColumnStripes="0"/>
</table>
</file>

<file path=xl/tables/table5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3" xr:uid="{8F6CAB85-5721-4062-8628-4F5AD4CBC803}" name="Table_SourceData_PastureBeef_Region_Tasmania" displayName="Table_SourceData_PastureBeef_Region_Tasmania" ref="S22:S23" totalsRowShown="0">
  <autoFilter ref="S22:S23" xr:uid="{4E5A7E40-F6AE-4323-873A-9AB20571A18A}">
    <filterColumn colId="0" hiddenButton="1"/>
  </autoFilter>
  <tableColumns count="1">
    <tableColumn id="1" xr3:uid="{3948C0BB-49E1-4667-9F00-781B732183D1}" name="Region"/>
  </tableColumns>
  <tableStyleInfo name="Equation table" showFirstColumn="0" showLastColumn="0" showRowStripes="1" showColumnStripes="0"/>
</table>
</file>

<file path=xl/tables/table5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4" xr:uid="{39287CB2-DC86-41B0-BA7C-6A4D17E636E8}" name="Table_SourceData_PastureBeef_Region_ACT" displayName="Table_SourceData_PastureBeef_Region_ACT" ref="S27:S28" totalsRowShown="0">
  <autoFilter ref="S27:S28" xr:uid="{3655B7FD-A2CC-4B05-9668-16F7A54ED6C1}">
    <filterColumn colId="0" hiddenButton="1"/>
  </autoFilter>
  <tableColumns count="1">
    <tableColumn id="1" xr3:uid="{E26871B1-12D0-4D9F-9046-9E6BEE20CE2F}" name="Region"/>
  </tableColumns>
  <tableStyleInfo name="Equation table" showFirstColumn="0" showLastColumn="0" showRowStripes="1" showColumnStripes="0"/>
</table>
</file>

<file path=xl/tables/table5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5" xr:uid="{445F1ECC-6C6A-4370-ABB2-239E85A5C36B}" name="Table_SourceData_PastureBeef_LiveweightGain" displayName="Table_SourceData_PastureBeef_LiveweightGain" ref="D154:M182" totalsRowShown="0">
  <autoFilter ref="D154:M182" xr:uid="{1BDA4B1D-6D40-4D72-9B20-AC64B61CEA53}">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18432ADC-4B8D-45AC-A848-85CAAAD99391}" name="State">
      <calculatedColumnFormula array="1">Common_InputFunctions.Utility_DisplayArrayInTable(SourceData_PastureBeef.SourceData_PastureBeef_LiveweightGain_Data(), Table_SourceData_PastureBeef_LiveweightGain[[#Headers],[State]],0)</calculatedColumnFormula>
    </tableColumn>
    <tableColumn id="2" xr3:uid="{0B40C830-549E-4BC5-8C13-A0C8833D124E}" name="Region" dataDxfId="424" dataCellStyle="Content normal">
      <calculatedColumnFormula array="1">Common_InputFunctions.Utility_DisplayArrayInTable(SourceData_PastureBeef.SourceData_PastureBeef_LiveweightGain_Data(), Table_SourceData_PastureBeef_LiveweightGain[[#Headers],[State]],0)</calculatedColumnFormula>
    </tableColumn>
    <tableColumn id="3" xr3:uid="{44DFC4D5-F6F5-4FC0-AF7A-7053FBB95C4C}" name="Season" dataDxfId="423" dataCellStyle="Content normal">
      <calculatedColumnFormula array="1">Common_InputFunctions.Utility_DisplayArrayInTable(SourceData_PastureBeef.SourceData_PastureBeef_LiveweightGain_Data(), Table_SourceData_PastureBeef_LiveweightGain[[#Headers],[State]],0)</calculatedColumnFormula>
    </tableColumn>
    <tableColumn id="4" xr3:uid="{EE3251D1-3F47-4E07-BC8C-103501C0B8E0}" name="Bull &lt;1" dataDxfId="422" dataCellStyle="Content normal">
      <calculatedColumnFormula array="1">Common_InputFunctions.Utility_DisplayArrayInTable(SourceData_PastureBeef.SourceData_PastureBeef_LiveweightGain_Data(), Table_SourceData_PastureBeef_LiveweightGain[[#Headers],[State]],0)</calculatedColumnFormula>
    </tableColumn>
    <tableColumn id="5" xr3:uid="{F33F543F-6CE5-484A-9C9B-18FF4BDC60FC}" name="Bull &gt;1" dataDxfId="421" dataCellStyle="Content normal">
      <calculatedColumnFormula array="1">Common_InputFunctions.Utility_DisplayArrayInTable(SourceData_PastureBeef.SourceData_PastureBeef_LiveweightGain_Data(), Table_SourceData_PastureBeef_LiveweightGain[[#Headers],[State]],0)</calculatedColumnFormula>
    </tableColumn>
    <tableColumn id="6" xr3:uid="{3761ADF7-9FE4-4319-BF9E-79590CEAA849}" name="Cow &lt;1" dataDxfId="420" dataCellStyle="Content normal">
      <calculatedColumnFormula array="1">Common_InputFunctions.Utility_DisplayArrayInTable(SourceData_PastureBeef.SourceData_PastureBeef_LiveweightGain_Data(), Table_SourceData_PastureBeef_LiveweightGain[[#Headers],[State]],0)</calculatedColumnFormula>
    </tableColumn>
    <tableColumn id="7" xr3:uid="{1B99881B-694E-4ECB-8749-A325146D621A}" name="Cow 1-2" dataDxfId="419" dataCellStyle="Content normal">
      <calculatedColumnFormula array="1">Common_InputFunctions.Utility_DisplayArrayInTable(SourceData_PastureBeef.SourceData_PastureBeef_LiveweightGain_Data(), Table_SourceData_PastureBeef_LiveweightGain[[#Headers],[State]],0)</calculatedColumnFormula>
    </tableColumn>
    <tableColumn id="8" xr3:uid="{302087C5-6AF5-448F-9D35-EACE5A7970A1}" name="Cow &gt;2" dataDxfId="418" dataCellStyle="Content normal">
      <calculatedColumnFormula array="1">Common_InputFunctions.Utility_DisplayArrayInTable(SourceData_PastureBeef.SourceData_PastureBeef_LiveweightGain_Data(), Table_SourceData_PastureBeef_LiveweightGain[[#Headers],[State]],0)</calculatedColumnFormula>
    </tableColumn>
    <tableColumn id="9" xr3:uid="{7CBE3334-A83F-465C-870A-62820129F709}" name="Steer &lt;1" dataDxfId="417" dataCellStyle="Content normal">
      <calculatedColumnFormula array="1">Common_InputFunctions.Utility_DisplayArrayInTable(SourceData_PastureBeef.SourceData_PastureBeef_LiveweightGain_Data(), Table_SourceData_PastureBeef_LiveweightGain[[#Headers],[State]],0)</calculatedColumnFormula>
    </tableColumn>
    <tableColumn id="10" xr3:uid="{6B4A046B-29F1-4687-8A68-EA0BDBACF4F2}" name="Steer &gt;1" dataDxfId="416" dataCellStyle="Content normal">
      <calculatedColumnFormula array="1">Common_InputFunctions.Utility_DisplayArrayInTable(SourceData_PastureBeef.SourceData_PastureBeef_LiveweightGain_Data(), Table_SourceData_PastureBeef_LiveweightGain[[#Headers],[State]],0)</calculatedColumnFormula>
    </tableColumn>
  </tableColumns>
  <tableStyleInfo name="Equation table" showFirstColumn="0" showLastColumn="0" showRowStripes="1" showColumnStripes="0"/>
</table>
</file>

<file path=xl/tables/table5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6" xr:uid="{A85DDBCA-A8AA-4FEA-8785-A905EBEAB82D}" name="Table_SourceData_PastureBeef_LiveweightGainNTQLD" displayName="Table_SourceData_PastureBeef_LiveweightGainNTQLD" ref="D189:P217" totalsRowShown="0">
  <autoFilter ref="D189:P217" xr:uid="{9BC52070-7B99-44CF-8B4E-32C43FBD96CF}">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7DBBB9C3-1B63-4484-9757-B1CC29F7B398}" name="State">
      <calculatedColumnFormula array="1">Common_InputFunctions.Utility_DisplayArrayInTable(SourceData_PastureBeef.SourceData_PastureBeef_LiveweightGainNTQLD_Data(),Table_SourceData_PastureBeef_LiveweightGainNTQLD[[#Headers],[State]],0)</calculatedColumnFormula>
    </tableColumn>
    <tableColumn id="2" xr3:uid="{46D5639E-CE0F-4377-8A34-60DCE73D7895}" name="Region" dataDxfId="415"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3" xr3:uid="{F4E9AF5D-FEEE-4C64-BEC4-ACA6D52F4B9E}" name="Season" dataDxfId="414"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4" xr3:uid="{616ABA55-D48F-4662-8745-69511C7AD0F1}" name="Bull &lt;1" dataDxfId="413"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5" xr3:uid="{79EDAC0D-3ECD-4AF5-B052-802407455218}" name="Bull &gt;1" dataDxfId="412"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6" xr3:uid="{EE4F50D0-F91D-416E-BDA5-B4843A810660}" name="Cow &lt;1" dataDxfId="411"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7" xr3:uid="{C633E0CD-F703-4ED6-8D43-99BD69B23DDA}" name="Cow 1-2" dataDxfId="410"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8" xr3:uid="{763E7395-D0A1-4D04-AA1A-CCF37683ADDD}" name="Cow 2-3" dataDxfId="409"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9" xr3:uid="{56F9C83B-CDF8-4D72-9DFA-55B5C775276E}" name="Cow &gt;3" dataDxfId="408"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10" xr3:uid="{4CD0877A-67A5-4684-AF15-832F810B3E7F}" name="Steer &lt;1" dataDxfId="407"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11" xr3:uid="{D8E6C869-BFE0-44C9-83D2-A16163F30CB4}" name="Steer 1-2" dataDxfId="406"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12" xr3:uid="{080F418D-3972-4309-9F35-DA75701A4AC7}" name="Steer 2-3" dataDxfId="405"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13" xr3:uid="{00188015-A565-45D5-985D-EAA46BCA1165}" name="Steer &gt;3" dataDxfId="404"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s>
  <tableStyleInfo name="Equation table" showFirstColumn="0" showLastColumn="0" showRowStripes="1" showColumnStripes="0"/>
</table>
</file>

<file path=xl/tables/table5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7" xr:uid="{774AFA5B-0949-47EC-90E6-827F434C5A8C}" name="Table_SourceData_PastureBeef_LiveweightGainAllStates" displayName="Table_SourceData_PastureBeef_LiveweightGainAllStates" ref="D222:P282" totalsRowShown="0">
  <autoFilter ref="D222:P282" xr:uid="{B94F72DD-5F7F-4594-8B05-AA19A8FE1796}">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A60E5B67-15FC-49E7-A779-51B03C19B90F}" name="State"/>
    <tableColumn id="2" xr3:uid="{E294C632-66BF-4CB4-B9C1-248D1F99D50D}" name="Region">
      <calculatedColumnFormula>E159</calculatedColumnFormula>
    </tableColumn>
    <tableColumn id="3" xr3:uid="{39D987D6-C5EE-4546-9695-DF47C8351780}" name="Season">
      <calculatedColumnFormula>F159</calculatedColumnFormula>
    </tableColumn>
    <tableColumn id="4" xr3:uid="{2F031968-39FB-431A-AA4D-136E5E1C7183}" name="Bulls &lt; 1 year">
      <calculatedColumnFormula>G159</calculatedColumnFormula>
    </tableColumn>
    <tableColumn id="5" xr3:uid="{8CD7268C-C3A7-468E-ACD2-0B2EA54EA94A}" name="Bulls &gt; 1 year">
      <calculatedColumnFormula>H159</calculatedColumnFormula>
    </tableColumn>
    <tableColumn id="6" xr3:uid="{CE307F10-6D06-425B-A6E8-8F04CC832CBB}" name="Cows &lt; 1 year">
      <calculatedColumnFormula>I159</calculatedColumnFormula>
    </tableColumn>
    <tableColumn id="7" xr3:uid="{23007FAC-CFA2-4AD8-9033-94F71E3E5CDD}" name="Cows 1-2 years">
      <calculatedColumnFormula>J159</calculatedColumnFormula>
    </tableColumn>
    <tableColumn id="8" xr3:uid="{688BCC9A-3DF8-407C-9CBB-2FF0ED326374}" name="Cows 2-3 years">
      <calculatedColumnFormula>K159</calculatedColumnFormula>
    </tableColumn>
    <tableColumn id="9" xr3:uid="{731BDF75-42DD-4580-A091-DBB8DD5EE5DE}" name="Cows &gt; 3 years">
      <calculatedColumnFormula>L159</calculatedColumnFormula>
    </tableColumn>
    <tableColumn id="10" xr3:uid="{F2A82931-F0B4-4237-86BC-1D6B342CBD82}" name="Steers &lt; 1 year">
      <calculatedColumnFormula>M159</calculatedColumnFormula>
    </tableColumn>
    <tableColumn id="11" xr3:uid="{319F250D-F2D2-4EC6-A7FD-897D271EC34A}" name="Steers 1-2 years">
      <calculatedColumnFormula>N159</calculatedColumnFormula>
    </tableColumn>
    <tableColumn id="12" xr3:uid="{71A44A60-CCBC-4681-BA51-55AC20CB5C21}" name="Steers 2-3 years">
      <calculatedColumnFormula>O159</calculatedColumnFormula>
    </tableColumn>
    <tableColumn id="13" xr3:uid="{87BD97D1-2842-4D4A-B4FE-584134B27E82}" name="Steers &gt;3 years">
      <calculatedColumnFormula>P159</calculatedColumnFormula>
    </tableColumn>
  </tableColumns>
  <tableStyleInfo name="Equation table" showFirstColumn="0" showLastColumn="0" showRowStripes="1" showColumnStripes="0"/>
</table>
</file>

<file path=xl/tables/table5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8" xr:uid="{584B2A6D-29C1-4BC1-8A86-08EBFC5BB40E}" name="Table_SourceData_PastureBeef_DryMatterDigestibility" displayName="Table_SourceData_PastureBeef_DryMatterDigestibility" ref="D290:I305" totalsRowShown="0">
  <autoFilter ref="D290:I305" xr:uid="{901924B3-1836-4FF2-9419-A38B530E9158}">
    <filterColumn colId="0" hiddenButton="1"/>
    <filterColumn colId="1" hiddenButton="1"/>
    <filterColumn colId="2" hiddenButton="1"/>
    <filterColumn colId="3" hiddenButton="1"/>
    <filterColumn colId="4" hiddenButton="1"/>
    <filterColumn colId="5" hiddenButton="1"/>
  </autoFilter>
  <tableColumns count="6">
    <tableColumn id="1" xr3:uid="{68EA7844-69BA-4A0A-A221-304149AAB216}" name="State">
      <calculatedColumnFormula array="1">Common_InputFunctions.Utility_DisplayArrayInTable(SourceData_PastureBeef.SourceData_PastureBeef_DryMatterDigestibility_Data(), Table_SourceData_PastureBeef_DryMatterDigestibility[[#Headers],[State]], 0)</calculatedColumnFormula>
    </tableColumn>
    <tableColumn id="2" xr3:uid="{E505F651-7462-42FC-AC18-5FAC29511541}" name="Region" dataDxfId="403"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 id="3" xr3:uid="{46BC8C01-D9A7-4A09-ADE6-D7E0FE8AE984}" name="Spring" dataDxfId="402"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 id="4" xr3:uid="{CAE8E81F-85EC-43C9-9D7B-EE4543CE2564}" name="Summer" dataDxfId="401"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 id="5" xr3:uid="{24A43459-FD37-4DFE-B84F-164077B1D2E7}" name="Autumn" dataDxfId="400"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 id="6" xr3:uid="{28E16C2C-A887-4CFC-BD29-C72FAF6BBC15}" name="Winter" dataDxfId="399"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s>
  <tableStyleInfo name="Equation table" showFirstColumn="0" showLastColumn="0" showRowStripes="1" showColumnStripes="0"/>
</table>
</file>

<file path=xl/tables/table5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9" xr:uid="{668BCC0E-2630-4BD3-9DC8-4E8017CCB0F2}" name="Table_SourceData_PastureBeef_CrudeProtein" displayName="Table_SourceData_PastureBeef_CrudeProtein" ref="D313:I328" totalsRowShown="0" dataDxfId="398" dataCellStyle="Content normal">
  <autoFilter ref="D313:I328" xr:uid="{75841D5E-1F24-46B7-B5F9-1E024F5554ED}">
    <filterColumn colId="0" hiddenButton="1"/>
    <filterColumn colId="1" hiddenButton="1"/>
    <filterColumn colId="2" hiddenButton="1"/>
    <filterColumn colId="3" hiddenButton="1"/>
    <filterColumn colId="4" hiddenButton="1"/>
    <filterColumn colId="5" hiddenButton="1"/>
  </autoFilter>
  <tableColumns count="6">
    <tableColumn id="1" xr3:uid="{C0654FAE-A6D3-4616-8BF6-812232A8B4BF}" name="State" dataDxfId="397"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2" xr3:uid="{AFB02FAC-6BED-4C4F-83ED-F91F11D39853}" name="Region" dataDxfId="396"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3" xr3:uid="{FD1D2311-7AD7-4F42-9297-8EEAB6CA4179}" name="Spring" dataDxfId="395"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4" xr3:uid="{EE9902CD-39E7-4D97-B05F-A0C9AF34F468}" name="Summer" dataDxfId="394"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5" xr3:uid="{620E9B42-7033-413C-9789-BF4F47C063A0}" name="Autumn" dataDxfId="393"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6" xr3:uid="{ABAEA457-A43C-4E75-8AC4-17F50D041F4C}" name="Winter" dataDxfId="392" dataCellStyle="Content normal">
      <calculatedColumnFormula array="1">Common_InputFunctions.Utility_DisplayArrayInTable(SourceData_PastureBeef.SourceData_PastureBeef_CrudeProteinContent_Data(), Table_SourceData_PastureBeef_CrudeProtein[[#Headers],[State]], 0)</calculatedColumnFormula>
    </tableColumn>
  </tableColumns>
  <tableStyleInfo name="Equation table" showFirstColumn="0" showLastColumn="0" showRowStripes="1" showColumnStripes="0"/>
</table>
</file>

<file path=xl/tables/table5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0" xr:uid="{620ACD26-06C4-4EF4-8522-A435902342FD}" name="Table_SourceData_PastureBeef_FeedIntakeAdjustment" displayName="Table_SourceData_PastureBeef_FeedIntakeAdjustment" ref="D334:G342" totalsRowShown="0">
  <autoFilter ref="D334:G342" xr:uid="{821A673E-F16D-473C-802E-953C84454BC9}">
    <filterColumn colId="0" hiddenButton="1"/>
    <filterColumn colId="1" hiddenButton="1"/>
    <filterColumn colId="2" hiddenButton="1"/>
    <filterColumn colId="3" hiddenButton="1"/>
  </autoFilter>
  <tableColumns count="4">
    <tableColumn id="1" xr3:uid="{680980E1-BD1A-488C-84C0-0374219E1BF6}" name="Breed">
      <calculatedColumnFormula array="1">Common_InputFunctions.Utility_DisplayArrayInTable(SourceData_PastureBeef.SourceData_PastureBeef_FeedAdjustmentAndMilkProduction_Data(), Table_SourceData_PastureBeef_FeedIntakeAdjustment[[#Headers],[Breed]], 0)</calculatedColumnFormula>
    </tableColumn>
    <tableColumn id="2" xr3:uid="{AC9B7F3D-4BE3-4432-902C-A5E67DDE10F2}" name="Season" dataDxfId="391" dataCellStyle="Content normal">
      <calculatedColumnFormula array="1">Common_InputFunctions.Utility_DisplayArrayInTable(SourceData_PastureBeef.SourceData_PastureBeef_FeedAdjustmentAndMilkProduction_Data(), Table_SourceData_PastureBeef_FeedIntakeAdjustment[[#Headers],[Breed]], 0)</calculatedColumnFormula>
    </tableColumn>
    <tableColumn id="3" xr3:uid="{600B7482-4709-4455-9080-20541379F5AE}" name="Feed adjustment" dataDxfId="390" dataCellStyle="Content normal">
      <calculatedColumnFormula array="1">Common_InputFunctions.Utility_DisplayArrayInTable(SourceData_PastureBeef.SourceData_PastureBeef_FeedAdjustmentAndMilkProduction_Data(), Table_SourceData_PastureBeef_FeedIntakeAdjustment[[#Headers],[Breed]], 0)</calculatedColumnFormula>
    </tableColumn>
    <tableColumn id="4" xr3:uid="{5DD2FE77-655D-4A83-9F4E-7271D000489C}" name="Milk intake/production" dataDxfId="389" dataCellStyle="Content normal">
      <calculatedColumnFormula array="1">Common_InputFunctions.Utility_DisplayArrayInTable(SourceData_PastureBeef.SourceData_PastureBeef_FeedAdjustmentAndMilkProduction_Data(), Table_SourceData_PastureBeef_FeedIntakeAdjustment[[#Headers],[Breed]], 0)</calculatedColumnFormula>
    </tableColumn>
  </tableColumns>
  <tableStyleInfo name="Equation table" showFirstColumn="0" showLastColumn="0" showRowStripes="1" showColumnStripes="0"/>
</table>
</file>

<file path=xl/tables/table6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1" xr:uid="{A4D9B07C-0AE1-4FCF-B996-85D53C17EE5C}" name="Table_SourceData_PastureBeef_StandardReferenceWeights" displayName="Table_SourceData_PastureBeef_StandardReferenceWeights" ref="D350:L358" totalsRowShown="0">
  <autoFilter ref="D350:L358" xr:uid="{BB816EB3-DC71-47F4-AF08-1CE512BD24AC}">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EFC361E4-65E5-42F4-8935-C05CAB2C038A}" name="State">
      <calculatedColumnFormula array="1">Common_InputFunctions.Utility_DisplayArrayInTable(SourceData_PastureBeef.SourceData_PastureBeef_StandardReferenceWeights_Data(), Table_SourceData_PastureBeef_StandardReferenceWeights[[#Headers],[State]], 0)</calculatedColumnFormula>
    </tableColumn>
    <tableColumn id="2" xr3:uid="{9F1D86DA-3A62-40DC-AE99-3BB238FEEEF0}" name="Bulls &lt;1" dataDxfId="388"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3" xr3:uid="{73B916B2-2359-4C1D-B2EC-86A91C5685D6}" name="Bulls &gt;1" dataDxfId="387"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4" xr3:uid="{936B9907-B0EE-4FE3-AAA6-420C80BB5C02}" name="Cows &lt;1" dataDxfId="386"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5" xr3:uid="{91E43A00-96C0-4F89-A182-92F035E91659}" name="Cows 1-2" dataDxfId="385"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6" xr3:uid="{5994AF44-25B4-40F5-A283-936BFF6BAB8E}" name="Cows &gt;2" dataDxfId="384"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7" xr3:uid="{F74C7060-FA57-4D1C-BCF3-B252496AD94C}" name="Steer &lt;1" dataDxfId="383"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8" xr3:uid="{2E906D83-C894-4C32-A370-8C2EFB01A827}" name="Steer &gt;1" dataDxfId="382"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9" xr3:uid="{F267C464-ACA7-4133-BB19-5511E587399F}" name="State abbreviation" dataDxfId="381"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s>
  <tableStyleInfo name="Equation table" showFirstColumn="0" showLastColumn="0" showRowStripes="1" showColumnStripes="0"/>
</table>
</file>

<file path=xl/tables/table6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2" xr:uid="{5797D853-8098-4F3B-AE63-893A76D22C58}" name="Table_SourceData_PastureBeef_StandardReferenceWeightsExpanded" displayName="Table_SourceData_PastureBeef_StandardReferenceWeightsExpanded" ref="D361:O369" totalsRowShown="0">
  <autoFilter ref="D361:O369" xr:uid="{690C3A79-36FD-46EF-9464-C7837EBBC93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autoFilter>
  <tableColumns count="12">
    <tableColumn id="1" xr3:uid="{A6E2C6C2-9338-4150-9DFF-E69B894D7F34}" name="State" dataDxfId="380" dataCellStyle="Content normal">
      <calculatedColumnFormula>D351</calculatedColumnFormula>
    </tableColumn>
    <tableColumn id="2" xr3:uid="{3A500914-DEBE-4A5B-9EFF-C566204ADAFE}" name="Bulls &lt; 1 year" dataDxfId="379" dataCellStyle="Content normal">
      <calculatedColumnFormula>E351</calculatedColumnFormula>
    </tableColumn>
    <tableColumn id="3" xr3:uid="{B874FEE3-562E-454F-BDBC-45043393C99C}" name="Bulls &gt; 1 year" dataDxfId="378" dataCellStyle="Content normal">
      <calculatedColumnFormula>F351</calculatedColumnFormula>
    </tableColumn>
    <tableColumn id="4" xr3:uid="{B5355347-A1F0-4973-A512-0D2CAACA96EE}" name="Cows &lt; 1 year" dataDxfId="377" dataCellStyle="Content normal">
      <calculatedColumnFormula>G351</calculatedColumnFormula>
    </tableColumn>
    <tableColumn id="5" xr3:uid="{77A191F8-38C3-4F24-9EFF-980D069BC04A}" name="Cows 1-2 years" dataDxfId="376" dataCellStyle="Content normal">
      <calculatedColumnFormula>H351</calculatedColumnFormula>
    </tableColumn>
    <tableColumn id="6" xr3:uid="{C27A0FE8-EB36-45AD-85CC-54422EECF9D4}" name="Cows 2-3 years" dataDxfId="375" dataCellStyle="Content normal">
      <calculatedColumnFormula>I351</calculatedColumnFormula>
    </tableColumn>
    <tableColumn id="7" xr3:uid="{E45A02BC-2BD9-40C3-AA1C-086EE1B3CF4E}" name="Cows &gt; 3 years" dataDxfId="374" dataCellStyle="Content normal">
      <calculatedColumnFormula>I351</calculatedColumnFormula>
    </tableColumn>
    <tableColumn id="8" xr3:uid="{64BCADE5-A30C-422D-95A6-F7AB897FB775}" name="Steers &lt; 1 year" dataDxfId="373" dataCellStyle="Content normal">
      <calculatedColumnFormula>J351</calculatedColumnFormula>
    </tableColumn>
    <tableColumn id="9" xr3:uid="{A3AA722E-C9A8-476C-9FE8-DC46C3A6D9FA}" name="Steers 1-2 years" dataDxfId="372" dataCellStyle="Content normal">
      <calculatedColumnFormula>K351</calculatedColumnFormula>
    </tableColumn>
    <tableColumn id="10" xr3:uid="{CC7AE6BD-32DE-43F2-B3D8-F334FC0BA640}" name="Steers 2-3 years" dataDxfId="371" dataCellStyle="Content normal">
      <calculatedColumnFormula>K351</calculatedColumnFormula>
    </tableColumn>
    <tableColumn id="11" xr3:uid="{B364C281-70AB-4253-BEE3-56EAB88390C8}" name="Steers &gt;3 years" dataDxfId="370" dataCellStyle="Content normal">
      <calculatedColumnFormula>K351</calculatedColumnFormula>
    </tableColumn>
    <tableColumn id="12" xr3:uid="{1B567087-DFFB-45A9-97B9-5D55DA59D657}" name="State abbreviation" dataDxfId="369" dataCellStyle="Content normal">
      <calculatedColumnFormula>L351</calculatedColumnFormula>
    </tableColumn>
  </tableColumns>
  <tableStyleInfo name="Equation table" showFirstColumn="0" showLastColumn="0" showRowStripes="1" showColumnStripes="0"/>
</table>
</file>

<file path=xl/tables/table6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3" xr:uid="{31D3430B-E31F-4FD1-B127-649DFD8B42EE}" name="Table_SourceData_PastureBeef_FractionManureToMMS" displayName="Table_SourceData_PastureBeef_FractionManureToMMS" ref="D377:G392" totalsRowShown="0">
  <autoFilter ref="D377:G392" xr:uid="{003DF600-7F90-40C8-83F7-83F17E8C8244}">
    <filterColumn colId="0" hiddenButton="1"/>
    <filterColumn colId="1" hiddenButton="1"/>
    <filterColumn colId="2" hiddenButton="1"/>
    <filterColumn colId="3" hiddenButton="1"/>
  </autoFilter>
  <tableColumns count="4">
    <tableColumn id="1" xr3:uid="{495D6089-FB29-4364-B87E-385DA161F588}" name="State">
      <calculatedColumnFormula array="1">Common_InputFunctions.Utility_DisplayArrayInTable(SourceData_PastureBeef.SourceData_PastureBeef_FractionOfManureToMMS_Data(),Table_SourceData_PastureBeef_FractionManureToMMS[[#Headers],[State]], 0)</calculatedColumnFormula>
    </tableColumn>
    <tableColumn id="2" xr3:uid="{3AA6E944-2416-4AB4-A6EC-52151F8F867A}" name="Region" dataDxfId="368" dataCellStyle="Content normal">
      <calculatedColumnFormula array="1">Common_InputFunctions.Utility_DisplayArrayInTable(SourceData_PastureBeef.SourceData_PastureBeef_FractionOfManureToMMS_Data(),Table_SourceData_PastureBeef_FractionManureToMMS[[#Headers],[State]], 0)</calculatedColumnFormula>
    </tableColumn>
    <tableColumn id="3" xr3:uid="{D92A949A-22BE-454B-A4D5-96791695B4C6}" name="Pasture range and paddock" dataDxfId="367" dataCellStyle="Content normal">
      <calculatedColumnFormula array="1">Common_InputFunctions.Utility_DisplayArrayInTable(SourceData_PastureBeef.SourceData_PastureBeef_FractionOfManureToMMS_Data(),Table_SourceData_PastureBeef_FractionManureToMMS[[#Headers],[State]], 0)</calculatedColumnFormula>
    </tableColumn>
    <tableColumn id="4" xr3:uid="{17CACF3C-AC2D-435C-A4A4-EAA0846D77BD}" name="Uncovered Anaerobic lagoon" dataDxfId="366" dataCellStyle="Content normal">
      <calculatedColumnFormula array="1">Common_InputFunctions.Utility_DisplayArrayInTable(SourceData_PastureBeef.SourceData_PastureBeef_FractionOfManureToMMS_Data(),Table_SourceData_PastureBeef_FractionManureToMMS[[#Headers],[State]], 0)</calculatedColumnFormula>
    </tableColumn>
  </tableColumns>
  <tableStyleInfo name="Equation table" showFirstColumn="0" showLastColumn="0" showRowStripes="1" showColumnStripes="0"/>
</table>
</file>

<file path=xl/tables/table6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4" xr:uid="{7991D952-AEC4-4580-84E8-87E94D4D8CC6}" name="Table_SourceData_PastureBeef_MethaneConversionFactor" displayName="Table_SourceData_PastureBeef_MethaneConversionFactor" ref="D400:G415" totalsRowShown="0" dataDxfId="365" dataCellStyle="Content normal">
  <autoFilter ref="D400:G415" xr:uid="{4418AC31-F58F-4AB7-B02E-51D846B94E9A}">
    <filterColumn colId="0" hiddenButton="1"/>
    <filterColumn colId="1" hiddenButton="1"/>
    <filterColumn colId="2" hiddenButton="1"/>
    <filterColumn colId="3" hiddenButton="1"/>
  </autoFilter>
  <tableColumns count="4">
    <tableColumn id="1" xr3:uid="{61A94D89-68BA-4E0A-9806-B1110A39FDF7}" name="State" dataDxfId="364" dataCellStyle="Content normal">
      <calculatedColumnFormula array="1">Common_InputFunctions.Utility_DisplayArrayInTable(SourceData_PastureBeef.SourceData_PastureBeef_MethaneConversionFactorPerRegion_Data(), Table_SourceData_PastureBeef_MethaneConversionFactor[[#Headers],[State]], 0)</calculatedColumnFormula>
    </tableColumn>
    <tableColumn id="2" xr3:uid="{2822E44D-E6CD-4541-BFAC-6314D9007ED7}" name="Region" dataDxfId="363" dataCellStyle="Content normal">
      <calculatedColumnFormula array="1">Common_InputFunctions.Utility_DisplayArrayInTable(SourceData_PastureBeef.SourceData_PastureBeef_MethaneConversionFactorPerRegion_Data(), Table_SourceData_PastureBeef_MethaneConversionFactor[[#Headers],[State]], 0)</calculatedColumnFormula>
    </tableColumn>
    <tableColumn id="3" xr3:uid="{A7574A1F-79E6-4EEB-8F4D-BEB129E9DB10}" name="Pasture range and paddock" dataDxfId="362" dataCellStyle="Content normal">
      <calculatedColumnFormula array="1">Common_InputFunctions.Utility_DisplayArrayInTable(SourceData_PastureBeef.SourceData_PastureBeef_MethaneConversionFactorPerRegion_Data(), Table_SourceData_PastureBeef_MethaneConversionFactor[[#Headers],[State]], 0)</calculatedColumnFormula>
    </tableColumn>
    <tableColumn id="4" xr3:uid="{D115D680-3E06-4F5A-991D-9833A8F57FCF}" name="Uncovered Anaerobic lagoon" dataDxfId="361" dataCellStyle="Content normal">
      <calculatedColumnFormula array="1">Common_InputFunctions.Utility_DisplayArrayInTable(SourceData_PastureBeef.SourceData_PastureBeef_MethaneConversionFactorPerRegion_Data(), Table_SourceData_PastureBeef_MethaneConversionFactor[[#Headers],[State]], 0)</calculatedColumnFormula>
    </tableColumn>
  </tableColumns>
  <tableStyleInfo name="Equation table" showFirstColumn="0" showLastColumn="0" showRowStripes="1" showColumnStripes="0"/>
</table>
</file>

<file path=xl/tables/table6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5" xr:uid="{687764F1-3B6B-4A8D-B41D-5FDACC70E214}" name="Table_SourceData_PastureBeef_FeedIntakeAdjustment_Variation" displayName="Table_SourceData_PastureBeef_FeedIntakeAdjustment_Variation" ref="I334:L338" totalsRowShown="0">
  <autoFilter ref="I334:L338" xr:uid="{04F0ADD4-5226-4095-B178-6A0021B7EFDC}">
    <filterColumn colId="0" hiddenButton="1"/>
    <filterColumn colId="1" hiddenButton="1"/>
    <filterColumn colId="2" hiddenButton="1"/>
    <filterColumn colId="3" hiddenButton="1"/>
  </autoFilter>
  <tableColumns count="4">
    <tableColumn id="1" xr3:uid="{24C2AD5A-CDAA-4BB4-A3FB-43E15CFC872C}" name="Breed">
      <calculatedColumnFormula array="1">Common_InputFunctions.Utility_DisplayArrayInTable(SourceData_PastureBeef.SourceData_PastureBeef_FeedAdjustmentAndMilkProduction_Data(), Table_SourceData_PastureBeef_FeedIntakeAdjustment_Variation[[#Headers],[Breed]], 0)</calculatedColumnFormula>
    </tableColumn>
    <tableColumn id="2" xr3:uid="{B9D4AE6E-C415-4666-95E8-648C6634ABED}" name="Season" dataDxfId="360" dataCellStyle="Content normal">
      <calculatedColumnFormula array="1">Common_InputFunctions.Utility_DisplayArrayInTable(SourceData_PastureBeef.SourceData_PastureBeef_FeedAdjustmentAndMilkProduction_Data(), Table_SourceData_PastureBeef_FeedIntakeAdjustment_Variation[[#Headers],[Breed]], 0)</calculatedColumnFormula>
    </tableColumn>
    <tableColumn id="3" xr3:uid="{C9BC1383-D986-4C75-A87E-88B6F2A0053B}" name="Feed adjustment" dataDxfId="359" dataCellStyle="Content normal">
      <calculatedColumnFormula array="1">Common_InputFunctions.Utility_DisplayArrayInTable(SourceData_PastureBeef.SourceData_PastureBeef_FeedAdjustmentAndMilkProduction_Data(), Table_SourceData_PastureBeef_FeedIntakeAdjustment_Variation[[#Headers],[Breed]], 0)</calculatedColumnFormula>
    </tableColumn>
    <tableColumn id="4" xr3:uid="{D236C73D-10FB-4AF3-8E39-393645977835}" name="Milk intake/production" dataDxfId="358" dataCellStyle="Content normal">
      <calculatedColumnFormula array="1">Common_InputFunctions.Utility_DisplayArrayInTable(SourceData_PastureBeef.SourceData_PastureBeef_FeedAdjustmentAndMilkProduction_Data(), Table_SourceData_PastureBeef_FeedIntakeAdjustment_Variation[[#Headers],[Breed]], 0)</calculatedColumnFormula>
    </tableColumn>
  </tableColumns>
  <tableStyleInfo name="Equation table" showFirstColumn="0" showLastColumn="0" showRowStripes="1" showColumnStripes="0"/>
</table>
</file>

<file path=xl/tables/table6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CCDBA08B-7A62-45EB-9326-FCF32C16949C}" name="Table_Input_InorganicFertiliser_Brands" displayName="Table_Input_InorganicFertiliser_Brands" ref="D17:X20" headerRowDxfId="357" dataDxfId="356" totalsRowDxfId="355">
  <autoFilter ref="D17:X20" xr:uid="{5673927C-FAF3-425F-8E58-192CAB5E17D4}">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autoFilter>
  <tableColumns count="21">
    <tableColumn id="2" xr3:uid="{3C05F0AD-9F76-4223-8CAA-F4D965A959FA}" name="Product (select)" dataDxfId="354" totalsRowDxfId="353" dataCellStyle="Input select"/>
    <tableColumn id="23" xr3:uid="{F727E370-72E8-46CC-9F10-18494CAC017E}" name="Amount applied per hectare" totalsRowFunction="custom" dataDxfId="352" totalsRowDxfId="351">
      <totalsRowFormula>SUM(Table_Input_InorganicFertiliser_Brands[[#Headers],[#Data],[Amount applied per hectare]])</totalsRowFormula>
    </tableColumn>
    <tableColumn id="18" xr3:uid="{2253738D-C34B-45FC-A347-3594DD12A0FD}" name="Application unit" totalsRowDxfId="350" dataCellStyle="Input number general calculated">
      <calculatedColumnFormula>_xlfn.XLOOKUP(Table_Input_InorganicFertiliser_Brands[[#This Row],[Product (select)]],FertiliserProducts[Product name],FertiliserProducts[Unit])</calculatedColumnFormula>
    </tableColumn>
    <tableColumn id="21" xr3:uid="{4FB3B271-E92A-4B96-B053-B86AF34E1D2D}" name="Density" totalsRowDxfId="349" dataCellStyle="Input number general calculated">
      <calculatedColumnFormula>_xlfn.XLOOKUP(Table_Input_InorganicFertiliser_Brands[[#This Row],[Product (select)]],FertiliserProducts[Product name],FertiliserProducts[Density / gravity])</calculatedColumnFormula>
    </tableColumn>
    <tableColumn id="6" xr3:uid="{91FD8955-DFC1-456B-BAA3-815803F362E1}" name="Application area (ha)" dataDxfId="348" totalsRowDxfId="347">
      <calculatedColumnFormula>$E$9</calculatedColumnFormula>
    </tableColumn>
    <tableColumn id="1" xr3:uid="{DE25213C-DDD2-412A-85A4-29987D633B72}" name="Total applied (kg)" dataDxfId="346" totalsRowDxfId="345" dataCellStyle="Input number general calculated">
      <calculatedColumnFormula>(Table_Input_InorganicFertiliser_Brands[[#This Row],[Amount applied per hectare]]*Table_Input_InorganicFertiliser_Brands[[#This Row],[Density]])*Table_Input_InorganicFertiliser_Brands[[#This Row],[Application area (ha)]]</calculatedColumnFormula>
    </tableColumn>
    <tableColumn id="3" xr3:uid="{47369C23-2EB2-4294-911F-7E8527CF792D}" name="Ingredient 1" dataDxfId="344" totalsRowDxfId="343" dataCellStyle="Input number general calculated">
      <calculatedColumnFormula array="1">Fertiliser_InputFunctions.Fertiliser_FertiliserProductLookup(Table_Input_InorganicFertiliser_Brands[[#This Row],[Product (select)]], Table_Input_InorganicFertiliser_Brands[[#Headers],[Ingredient 1]], FertiliserProducts[#Data], FertiliserProducts[Product name], FertiliserProducts[#Headers])</calculatedColumnFormula>
    </tableColumn>
    <tableColumn id="4" xr3:uid="{36F8DE80-4F34-4CF8-81B1-F11B81739D52}" name="Ingredient 1 percent" dataDxfId="342" totalsRowDxfId="341" dataCellStyle="Input number general calculated">
      <calculatedColumnFormula array="1">Fertiliser_InputFunctions.Fertiliser_FertiliserProductLookup(Table_Input_InorganicFertiliser_Brands[[#This Row],[Product (select)]], Table_Input_InorganicFertiliser_Brands[[#Headers],[Ingredient 1 percent]], FertiliserProducts[#Data], FertiliserProducts[Product name], FertiliserProducts[#Headers])</calculatedColumnFormula>
    </tableColumn>
    <tableColumn id="7" xr3:uid="{513CFCEE-2174-4AD6-853C-EB41A83E1BA2}" name="Ingredient 2" dataDxfId="340" dataCellStyle="Input number general calculated">
      <calculatedColumnFormula array="1">Fertiliser_InputFunctions.Fertiliser_FertiliserProductLookup(Table_Input_InorganicFertiliser_Brands[[#This Row],[Product (select)]], Table_Input_InorganicFertiliser_Brands[[#Headers],[Ingredient 2]], FertiliserProducts[#Data], FertiliserProducts[Product name], FertiliserProducts[#Headers])</calculatedColumnFormula>
    </tableColumn>
    <tableColumn id="8" xr3:uid="{747D2171-4636-4700-A14D-E2848AB2AE5A}" name="Ingredient 2 percent" dataDxfId="339" totalsRowDxfId="338" dataCellStyle="Input number general calculated">
      <calculatedColumnFormula array="1">Fertiliser_InputFunctions.Fertiliser_FertiliserProductLookup(Table_Input_InorganicFertiliser_Brands[[#This Row],[Product (select)]], Table_Input_InorganicFertiliser_Brands[[#Headers],[Ingredient 2 percent]], FertiliserProducts[#Data], FertiliserProducts[Product name], FertiliserProducts[#Headers])</calculatedColumnFormula>
    </tableColumn>
    <tableColumn id="10" xr3:uid="{ED9836FC-F3AD-4C23-A6BB-FC7AA520BCDF}" name="Ingredient 3" dataDxfId="337" totalsRowDxfId="336" dataCellStyle="Input number general calculated">
      <calculatedColumnFormula array="1">Fertiliser_InputFunctions.Fertiliser_FertiliserProductLookup(Table_Input_InorganicFertiliser_Brands[[#This Row],[Product (select)]], Table_Input_InorganicFertiliser_Brands[[#Headers],[Ingredient 3]], FertiliserProducts[#Data], FertiliserProducts[Product name], FertiliserProducts[#Headers])</calculatedColumnFormula>
    </tableColumn>
    <tableColumn id="11" xr3:uid="{5BF18466-E23F-4156-A3C6-F9B959020E05}" name="Ingredient 3 percent" dataDxfId="335" totalsRowDxfId="334" dataCellStyle="Input number general calculated">
      <calculatedColumnFormula array="1">Fertiliser_InputFunctions.Fertiliser_FertiliserProductLookup(Table_Input_InorganicFertiliser_Brands[[#This Row],[Product (select)]], Table_Input_InorganicFertiliser_Brands[[#Headers],[Ingredient 3 percent]], FertiliserProducts[#Data], FertiliserProducts[Product name], FertiliserProducts[#Headers])</calculatedColumnFormula>
    </tableColumn>
    <tableColumn id="13" xr3:uid="{104446A1-712C-472D-89C1-7494D30CB683}" name="Ingredient 4" dataDxfId="333" totalsRowDxfId="332" dataCellStyle="Input number general calculated">
      <calculatedColumnFormula array="1">Fertiliser_InputFunctions.Fertiliser_FertiliserProductLookup(Table_Input_InorganicFertiliser_Brands[[#This Row],[Product (select)]], Table_Input_InorganicFertiliser_Brands[[#Headers],[Ingredient 4]], FertiliserProducts[#Data], FertiliserProducts[Product name], FertiliserProducts[#Headers])</calculatedColumnFormula>
    </tableColumn>
    <tableColumn id="14" xr3:uid="{1A6A16DA-48D3-4DB0-A853-5EBE8887C35C}" name="Ingredient 4 percent" dataDxfId="331" dataCellStyle="Input number general calculated">
      <calculatedColumnFormula array="1">Fertiliser_InputFunctions.Fertiliser_FertiliserProductLookup(Table_Input_InorganicFertiliser_Brands[[#This Row],[Product (select)]], Table_Input_InorganicFertiliser_Brands[[#Headers],[Ingredient 4 percent]], FertiliserProducts[#Data], FertiliserProducts[Product name], FertiliserProducts[#Headers])</calculatedColumnFormula>
    </tableColumn>
    <tableColumn id="16" xr3:uid="{E9FADDC4-0D69-4D56-9E60-7B2E0BF093FD}" name="Ingredient 5" dataDxfId="330" dataCellStyle="Input number general calculated">
      <calculatedColumnFormula array="1">Fertiliser_InputFunctions.Fertiliser_FertiliserProductLookup(Table_Input_InorganicFertiliser_Brands[[#This Row],[Product (select)]], Table_Input_InorganicFertiliser_Brands[[#Headers],[Ingredient 5]], FertiliserProducts[#Data], FertiliserProducts[Product name], FertiliserProducts[#Headers])</calculatedColumnFormula>
    </tableColumn>
    <tableColumn id="17" xr3:uid="{800FB242-7D13-448E-8510-96653C5A00B5}" name="Ingredient 5 percent" dataDxfId="329" dataCellStyle="Input number general calculated">
      <calculatedColumnFormula array="1">Fertiliser_InputFunctions.Fertiliser_FertiliserProductLookup(Table_Input_InorganicFertiliser_Brands[[#This Row],[Product (select)]], Table_Input_InorganicFertiliser_Brands[[#Headers],[Ingredient 5 percent]], FertiliserProducts[#Data], FertiliserProducts[Product name], FertiliserProducts[#Headers])</calculatedColumnFormula>
    </tableColumn>
    <tableColumn id="19" xr3:uid="{6CCDCCE7-B573-4494-9ED5-2108B098B12B}" name="Ingredient 6" dataDxfId="328" dataCellStyle="Input number general calculated">
      <calculatedColumnFormula array="1">Fertiliser_InputFunctions.Fertiliser_FertiliserProductLookup(Table_Input_InorganicFertiliser_Brands[[#This Row],[Product (select)]], Table_Input_InorganicFertiliser_Brands[[#Headers],[Ingredient 6]], FertiliserProducts[#Data], FertiliserProducts[Product name], FertiliserProducts[#Headers])</calculatedColumnFormula>
    </tableColumn>
    <tableColumn id="20" xr3:uid="{BA40A67D-97B4-469D-8B13-312D079A26EE}" name="Ingredient 6 percent" dataDxfId="327" dataCellStyle="Input number general calculated">
      <calculatedColumnFormula array="1">Fertiliser_InputFunctions.Fertiliser_FertiliserProductLookup(Table_Input_InorganicFertiliser_Brands[[#This Row],[Product (select)]], Table_Input_InorganicFertiliser_Brands[[#Headers],[Ingredient 6 percent]], FertiliserProducts[#Data], FertiliserProducts[Product name], FertiliserProducts[#Headers])</calculatedColumnFormula>
    </tableColumn>
    <tableColumn id="5" xr3:uid="{851F5144-D499-4896-BDEB-06B75D92D1AE}" name="N application rate (kg/ha)" dataDxfId="326" totalsRowDxfId="325" dataCellStyle="Input number general calculated">
      <calculatedColumnFormula>(Table_Input_InorganicFertiliser_Brands[[#This Row],[Amount applied per hectare]]*Table_Input_InorganicFertiliser_Brands[[#This Row],[Density]])*(IFERROR((_xlfn.XLOOKUP(Table_Input_InorganicFertiliser_Brands[[#This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calculatedColumnFormula>
    </tableColumn>
    <tableColumn id="9" xr3:uid="{6CEA9730-B94E-43BE-99B6-171B73E411EA}" name="Urea source" dataDxfId="324" totalsRowDxfId="323" dataCellStyle="Input number general calculated">
      <calculatedColumnFormula>_xlfn.XLOOKUP(Table_Input_InorganicFertiliser_Brands[[#This Row],[Product (select)]],FertiliserProducts[Product name],FertiliserProducts[Urea source])</calculatedColumnFormula>
    </tableColumn>
    <tableColumn id="12" xr3:uid="{7300FD4B-319E-4F4F-BEC0-4B40043163A7}" name="Ammonia source" dataDxfId="322" totalsRowDxfId="321" dataCellStyle="Input number general calculated">
      <calculatedColumnFormula>_xlfn.XLOOKUP(Table_Input_InorganicFertiliser_Brands[[#This Row],[Product (select)]],FertiliserProducts[Product name],FertiliserProducts[Ammonia source])</calculatedColumnFormula>
    </tableColumn>
  </tableColumns>
  <tableStyleInfo name="Editable table" showFirstColumn="0" showLastColumn="0" showRowStripes="1" showColumnStripes="0"/>
</table>
</file>

<file path=xl/tables/table6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E748B15A-6990-4510-89C4-598174DCB066}" name="Table_Input_InorganicFertiliser_Custom" displayName="Table_Input_InorganicFertiliser_Custom" ref="D23:R25" totalsRowShown="0" headerRowDxfId="320" dataDxfId="319">
  <autoFilter ref="D23:R25" xr:uid="{6024A338-4140-4535-9AA6-449DA88B1C2C}">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autoFilter>
  <tableColumns count="15">
    <tableColumn id="1" xr3:uid="{D7B2B046-E882-4B22-9EF8-F965A75EB19A}" name="Custom blend name" dataCellStyle="Input text"/>
    <tableColumn id="2" xr3:uid="{53F36107-B1C8-4A11-8D64-98D96B16556E}" name="Amount applied (kg / ha)" dataDxfId="318"/>
    <tableColumn id="3" xr3:uid="{9EAF254B-17DE-4675-8AF9-F68B80BF582C}" name="Application area (ha)" dataDxfId="317" dataCellStyle="Input number 2 decimal places">
      <calculatedColumnFormula>$E$9</calculatedColumnFormula>
    </tableColumn>
    <tableColumn id="4" xr3:uid="{CFA5CCED-3BC5-4DD2-AC3F-E4DC58D9B605}" name="Total applied (kg)" dataDxfId="316" dataCellStyle="Input number general calculated">
      <calculatedColumnFormula>Table_Input_InorganicFertiliser_Custom[[#This Row],[Amount applied (kg / ha)]]*Table_Input_InorganicFertiliser_Custom[[#This Row],[Application area (ha)]]</calculatedColumnFormula>
    </tableColumn>
    <tableColumn id="5" xr3:uid="{3E974743-07FD-46C5-9935-FC44453E2DD2}" name="Ingredient 1 (select)" dataDxfId="315" dataCellStyle="Input select"/>
    <tableColumn id="6" xr3:uid="{3F30B499-2152-42DE-8F13-8F97800C0F82}" name="Ingredient 1 percent" dataDxfId="314"/>
    <tableColumn id="8" xr3:uid="{81DBD2AF-CE79-4DFA-ABE1-18247069D1B2}" name="Ingredient 2" dataDxfId="313" dataCellStyle="Input select"/>
    <tableColumn id="9" xr3:uid="{1CF7EE6F-57DF-414D-AEE5-FBCA6348094D}" name="Ingredient 2 percent" dataDxfId="312"/>
    <tableColumn id="11" xr3:uid="{A18D28AA-C181-4552-8786-2ECF509C16C8}" name="Ingredient 3" dataDxfId="311" dataCellStyle="Input select"/>
    <tableColumn id="12" xr3:uid="{B6A6831A-C9EE-4F80-B87F-A0C4C20DFCFD}" name="Ingredient 3 percent" dataDxfId="310"/>
    <tableColumn id="14" xr3:uid="{4467B432-BBEC-488F-912D-5D7123AE260A}" name="Ingredient 4" dataDxfId="309" dataCellStyle="Input select"/>
    <tableColumn id="15" xr3:uid="{0FA01265-32D2-4FC6-BCD7-17164873ADC9}" name="Ingredient 4 percent" dataCellStyle="Input percent"/>
    <tableColumn id="7" xr3:uid="{BF8B607F-8C2E-4E2B-B89D-E699723F771C}" name="N application rate (kg/ha)" dataDxfId="308" dataCellStyle="Input number general calculated">
      <calculatedColumnFormula>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calculatedColumnFormula>
    </tableColumn>
    <tableColumn id="10" xr3:uid="{A0CD4098-36C8-424A-BA04-4D4CCFE2BACE}" name="Urea source" dataDxfId="307"/>
    <tableColumn id="13" xr3:uid="{CA785B69-1D00-4D4E-954C-77FAF8F67EDB}" name="Ammonia source" dataDxfId="306"/>
  </tableColumns>
  <tableStyleInfo name="Editable table" showFirstColumn="0" showLastColumn="0" showRowStripes="1" showColumnStripes="0"/>
</table>
</file>

<file path=xl/tables/table6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DC6B508D-3BC8-4D02-9370-7D79A468D7D7}" name="Table_Input_SoilAmeliorants" displayName="Table_Input_SoilAmeliorants" ref="D33:K35" totalsRowShown="0" headerRowDxfId="305" dataDxfId="304" headerRowCellStyle="Input table column header">
  <autoFilter ref="D33:K35" xr:uid="{2C84B33D-ED8D-4C1D-B319-1B5D2D0181A1}">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955C6D57-C99E-4560-95BE-1D32508E9DC1}" name="Product" dataDxfId="303"/>
    <tableColumn id="2" xr3:uid="{BBD9A28E-9144-4A75-B4E2-101A86320BD7}" name="Amount applied (t/hectare)" dataDxfId="302"/>
    <tableColumn id="4" xr3:uid="{28D6DB55-F183-4018-A8CF-F5EECD3B6F14}" name="Application area (ha)" dataDxfId="301">
      <calculatedColumnFormula>$E$9</calculatedColumnFormula>
    </tableColumn>
    <tableColumn id="3" xr3:uid="{A873C277-F431-4770-984D-50E37F5B322A}" name="Total amount applied (t)" dataDxfId="300" dataCellStyle="Input number general calculated">
      <calculatedColumnFormula>IFERROR(Table_Input_SoilAmeliorants[[#This Row],[Amount applied (t/hectare)]]*Table_Input_SoilAmeliorants[[#This Row],[Application area (ha)]], 0)</calculatedColumnFormula>
    </tableColumn>
    <tableColumn id="6" xr3:uid="{16ED2D76-C87F-43C7-B68B-22CC0CF81AAF}" name="Percent Lime CaCO3" dataCellStyle="Input percent"/>
    <tableColumn id="8" xr3:uid="{87445951-81DE-4186-A628-A263C2301F74}" name="Percent Dolomite CaMg(CO3)2" dataCellStyle="Input percent"/>
    <tableColumn id="7" xr3:uid="{7689CF48-369A-4C18-99A1-A2DDCFE99B7F}" name="Percent Gypsum" dataCellStyle="Input percent"/>
    <tableColumn id="10" xr3:uid="{E00BF7C1-7D20-4C62-A394-32D1C7721ABB}" name="Total" dataDxfId="299">
      <calculatedColumnFormula>SUM(Table_Input_SoilAmeliorants[[#This Row],[Percent Lime CaCO3]:[Percent Gypsum]])</calculatedColumnFormula>
    </tableColumn>
  </tableColumns>
  <tableStyleInfo name="Editable table" showFirstColumn="0" showLastColumn="0" showRowStripes="1" showColumnStripes="0"/>
</table>
</file>

<file path=xl/tables/table6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2805B9B9-D4A7-40D9-97DF-7EB3223F48A7}" name="Table_Input_OrganicFertiliser" displayName="Table_Input_OrganicFertiliser" ref="D43:J45" totalsRowShown="0" headerRowDxfId="298" dataDxfId="297" headerRowCellStyle="Input table column header">
  <autoFilter ref="D43:J45" xr:uid="{1424D04C-9CD1-4344-A611-A0F26AAC6A09}">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ECD2D85D-8F13-4E36-95FC-BDFFE879E75E}" name="Organic fertiliser type (select)" dataDxfId="296" dataCellStyle="Input select"/>
    <tableColumn id="5" xr3:uid="{90211506-45BB-448E-9141-3C3CE3626033}" name="Percentage of N in fertiliser" dataDxfId="295"/>
    <tableColumn id="2" xr3:uid="{FBF064EA-8FB5-43A6-A6A6-369C36395228}" name="Amount applied (kg/hectare)" dataDxfId="294"/>
    <tableColumn id="11" xr3:uid="{C66580F9-10D5-43D2-89CD-7DC865B9F8D9}" name="Amount N applied (kg/hectare)" dataDxfId="293" dataCellStyle="Input number general calculated">
      <calculatedColumnFormula>Table_Input_OrganicFertiliser[[#This Row],[Amount applied (kg/hectare)]]*Table_Input_OrganicFertiliser[[#This Row],[Percentage of N in fertiliser]]</calculatedColumnFormula>
    </tableColumn>
    <tableColumn id="4" xr3:uid="{446ACDC4-9A1A-43A3-A3FF-9116ED45FD6D}" name="Application area (ha)" dataDxfId="292">
      <calculatedColumnFormula>$E$9</calculatedColumnFormula>
    </tableColumn>
    <tableColumn id="7" xr3:uid="{C9641984-3538-4424-A9FC-1F56669263A3}" name="Total organic fertliser applied" dataDxfId="291" dataCellStyle="Input number general calculated">
      <calculatedColumnFormula>Table_Input_OrganicFertiliser[[#This Row],[Amount applied (kg/hectare)]]*Table_Input_OrganicFertiliser[[#This Row],[Application area (ha)]]</calculatedColumnFormula>
    </tableColumn>
    <tableColumn id="3" xr3:uid="{485BE4F1-40BB-41CE-94E7-8D4A9E8D5E85}" name="Total nitrogen applied (kg)" dataDxfId="290" dataCellStyle="Input number general calculated">
      <calculatedColumnFormula>IFERROR(Table_Input_OrganicFertiliser[[#This Row],[Amount N applied (kg/hectare)]]*Table_Input_OrganicFertiliser[[#This Row],[Application area (ha)]], 0)</calculatedColumnFormula>
    </tableColumn>
  </tableColumns>
  <tableStyleInfo name="Editable table" showFirstColumn="0" showLastColumn="0" showRowStripes="1" showColumnStripes="0"/>
</table>
</file>

<file path=xl/tables/table6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6" xr:uid="{381BE8E1-0CE6-4823-BA74-D6DC54EAB95F}" name="Table_Input_ChemicalsCleaning" displayName="Table_Input_ChemicalsCleaning" ref="D23:F33" totalsRowShown="0" headerRowCellStyle="Input table column header">
  <autoFilter ref="D23:F33" xr:uid="{4FE24B05-BD40-4784-8F98-E98038ED84BF}">
    <filterColumn colId="0" hiddenButton="1"/>
    <filterColumn colId="1" hiddenButton="1"/>
    <filterColumn colId="2" hiddenButton="1"/>
  </autoFilter>
  <tableColumns count="3">
    <tableColumn id="3" xr3:uid="{E67DFCD7-C12B-4EA2-8140-D78C5ABDB407}" name="Product name" dataCellStyle="Input text"/>
    <tableColumn id="1" xr3:uid="{87D126BF-005E-4246-BF36-6C26A15AD99A}" name="Type (select)" dataCellStyle="Input select"/>
    <tableColumn id="2" xr3:uid="{56461109-5CAC-43CC-94E5-D96155D01EEF}" name="Quantity purchased (kg)" dataCellStyle="Input number general"/>
  </tableColumns>
  <tableStyleInfo name="Editable table" showFirstColumn="0" showLastColumn="0" showRowStripes="1" showColumnStripes="0"/>
</table>
</file>

<file path=xl/tables/table7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7" xr:uid="{FF1E66EC-E531-4017-8817-C2DA9174CA8C}" name="Table_Input_Packaging" displayName="Table_Input_Packaging" ref="D165:I175" totalsRowShown="0" headerRowDxfId="69" headerRowCellStyle="Input table column header">
  <autoFilter ref="D165:I175" xr:uid="{3E433F59-4BF1-4341-8498-3E5DACCDF2D3}">
    <filterColumn colId="0" hiddenButton="1"/>
    <filterColumn colId="1" hiddenButton="1"/>
    <filterColumn colId="2" hiddenButton="1"/>
    <filterColumn colId="3" hiddenButton="1"/>
    <filterColumn colId="4" hiddenButton="1"/>
    <filterColumn colId="5" hiddenButton="1"/>
  </autoFilter>
  <tableColumns count="6">
    <tableColumn id="1" xr3:uid="{8E849261-8F35-48DE-BE22-FE2C6971C01F}" name="Packaging name"/>
    <tableColumn id="3" xr3:uid="{14ED4487-F547-485F-9AFB-212F5584207F}" name="Quantity purchased" dataDxfId="78" dataCellStyle="Input number general"/>
    <tableColumn id="2" xr3:uid="{360D1B02-386E-49B9-8B92-E9676AD4A378}" name="Primary material" dataCellStyle="Input select"/>
    <tableColumn id="5" xr3:uid="{AC8AF35D-3FA8-45F5-B073-74FC83F56B91}" name="Percent of packaging that is primary material" dataCellStyle="Input percent">
      <calculatedColumnFormula>100%</calculatedColumnFormula>
    </tableColumn>
    <tableColumn id="4" xr3:uid="{BBF04413-741D-4D84-88D9-1F89896D7D6F}" name="Weight per unit (kg)" dataCellStyle="Input number general"/>
    <tableColumn id="6" xr3:uid="{AC9E24A5-6B19-4DB6-9EB4-4D59E5AF1CC1}" name="Total weight purchased (kg)" dataCellStyle="Input number general calculated">
      <calculatedColumnFormula>Table_Input_Packaging[[#This Row],[Quantity purchased]]*Table_Input_Packaging[[#This Row],[Percent of packaging that is primary material]]*Table_Input_Packaging[[#This Row],[Weight per unit (kg)]]</calculatedColumnFormula>
    </tableColumn>
  </tableColumns>
  <tableStyleInfo name="Editable table" showFirstColumn="0" showLastColumn="0" showRowStripes="1" showColumnStripes="0"/>
</table>
</file>

<file path=xl/tables/table7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2" xr:uid="{BA52E4BB-C3D1-441A-A568-0AD50449E880}" name="Table_Input_Pesticides" displayName="Table_Input_Pesticides" ref="D10:R20" totalsRowShown="0" headerRowDxfId="66">
  <autoFilter ref="D10:R20" xr:uid="{BA52E4BB-C3D1-441A-A568-0AD50449E88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autoFilter>
  <tableColumns count="15">
    <tableColumn id="1" xr3:uid="{A72BC848-73BB-4B46-B499-37E30C638D3A}" name="Product name"/>
    <tableColumn id="2" xr3:uid="{53230D96-4E84-460D-9046-7CE32E68C856}" name="Amount applied per ha"/>
    <tableColumn id="7" xr3:uid="{69498A75-62A6-484D-B013-ED14417EEBB4}" name="Application unit (select)" dataCellStyle="Input select"/>
    <tableColumn id="6" xr3:uid="{209ECDF7-51D4-4C0E-850D-19BAB4D0D3B8}" name="Application area (ha)" dataCellStyle="Input number general"/>
    <tableColumn id="3" xr3:uid="{DEE684A7-4E1A-46AA-B0D4-02E9625D315A}" name="Total applied" dataCellStyle="Input number general calculated">
      <calculatedColumnFormula>Table_Input_Pesticides[[#This Row],[Amount applied per ha]]*Table_Input_Pesticides[[#This Row],[Application area (ha)]]</calculatedColumnFormula>
    </tableColumn>
    <tableColumn id="5" xr3:uid="{1DB0C7A3-E8B5-4E6D-AA5F-8D94DC978EA5}" name="Constituent unit (select)" dataCellStyle="Input select"/>
    <tableColumn id="4" xr3:uid="{EC89C89A-4D36-451B-BCBE-1C016D3F8F34}" name="Active ingredient 1 (select)" dataCellStyle="Input select"/>
    <tableColumn id="8" xr3:uid="{F058D2A6-41E8-4384-8586-262C5EAC5D9F}" name="Active ingredient 1 amount" dataCellStyle="Input number general"/>
    <tableColumn id="16" xr3:uid="{A66238D5-4B02-4AE6-9B82-39B311474CB9}" name="Total active ingredient 1 (kg)" dataCellStyle="Input number general calculated">
      <calculatedColumnFormula>Table_Input_Pesticides[[#This Row],[Total applied]]*Table_Input_Pesticides[[#This Row],[Active ingredient 1 amount]]*IF(Table_Input_Pesticides[[#This Row],[Constituent unit (select)]]="fraction of product", 1, 10^-3)</calculatedColumnFormula>
    </tableColumn>
    <tableColumn id="9" xr3:uid="{74F84648-C9E3-4305-994A-7D3B973043A9}" name="Active ingredient 2 (select)" dataCellStyle="Input select"/>
    <tableColumn id="11" xr3:uid="{78375E20-4985-4634-B5B1-6B81635A6FC6}" name="Active ingredient 2 amount" dataCellStyle="Input number general"/>
    <tableColumn id="17" xr3:uid="{7F10D940-6D4E-4FDA-BB70-FADFA55567B9}" name="Total active ingredient 2 (kg)" dataCellStyle="Input number general calculated">
      <calculatedColumnFormula>Table_Input_Pesticides[[#This Row],[Total applied]]*Table_Input_Pesticides[[#This Row],[Active ingredient 2 amount]]*IF(Table_Input_Pesticides[[#This Row],[Constituent unit (select)]]="fraction of product", 1, 10^-3)</calculatedColumnFormula>
    </tableColumn>
    <tableColumn id="12" xr3:uid="{7449CB84-4B0D-4B55-95E5-3523F3590622}" name="Active ingredient 3 (select)" dataCellStyle="Input select"/>
    <tableColumn id="14" xr3:uid="{71087BB0-6CBC-4FB4-9C30-2409748F8A46}" name="Active ingredient 3 amount" dataCellStyle="Input number general"/>
    <tableColumn id="18" xr3:uid="{39769269-F9C2-47A9-B5D1-C33CAAC70EB3}" name="Total active ingredient 3 (kg)" dataCellStyle="Input number general calculated">
      <calculatedColumnFormula>Table_Input_Pesticides[[#This Row],[Total applied]]*Table_Input_Pesticides[[#This Row],[Active ingredient 3 amount]]*IF(Table_Input_Pesticides[[#This Row],[Constituent unit (select)]]="fraction of product", 1, 10^-3)</calculatedColumnFormula>
    </tableColumn>
  </tableColumns>
  <tableStyleInfo name="Editable table" showFirstColumn="0" showLastColumn="0" showRowStripes="1" showColumnStripes="0"/>
</table>
</file>

<file path=xl/tables/table7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9" xr:uid="{F7DA8543-C7DE-49A8-A739-D82C85B7B828}" name="Table_Input_ChemicalsPharmacy" displayName="Table_Input_ChemicalsPharmacy" ref="D36:F46" totalsRowShown="0" headerRowCellStyle="Input table column header">
  <autoFilter ref="D36:F46" xr:uid="{F7DA8543-C7DE-49A8-A739-D82C85B7B828}">
    <filterColumn colId="0" hiddenButton="1"/>
    <filterColumn colId="1" hiddenButton="1"/>
    <filterColumn colId="2" hiddenButton="1"/>
  </autoFilter>
  <tableColumns count="3">
    <tableColumn id="3" xr3:uid="{69ECF868-4B84-4E9A-96F5-1BDF565F3FD3}" name="Product name" dataCellStyle="Input text"/>
    <tableColumn id="1" xr3:uid="{34C48247-DCDF-4B93-B49D-A318288E0686}" name="Type (select)" dataDxfId="67" dataCellStyle="Input select"/>
    <tableColumn id="2" xr3:uid="{5B0AEBA4-AB33-4382-8634-3F4C8D3B2A9B}" name="Number of head treated" dataDxfId="68" dataCellStyle="Input number general"/>
  </tableColumns>
  <tableStyleInfo name="Editable table" showFirstColumn="0" showLastColumn="0" showRowStripes="1" showColumnStripes="0"/>
</table>
</file>

<file path=xl/tables/table7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8" xr:uid="{A524718C-D2DE-4743-911C-43AE3F1EAEE3}" name="Table_Input_LivestockPurchases_Beefcattle" displayName="Table_Input_LivestockPurchases_Beefcattle" ref="D77:K87" totalsRowShown="0">
  <autoFilter ref="D77:K87" xr:uid="{A524718C-D2DE-4743-911C-43AE3F1EAEE3}">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9" xr3:uid="{F430BBF1-FC37-41CB-95CB-3C2A47D98412}" name="Transaction name" dataCellStyle="Input text"/>
    <tableColumn id="13" xr3:uid="{4AA7C354-6022-4667-845A-5C5B5AC16AEA}" name="Purchase date" dataCellStyle="Input text"/>
    <tableColumn id="11" xr3:uid="{3CA0DC87-5E8A-4D8A-983D-0FC00A3468A6}" name="Class (select)" dataDxfId="75" dataCellStyle="Input select"/>
    <tableColumn id="2" xr3:uid="{FA43F52A-7609-4014-A6D3-CAC2C970F57C}" name="Purchase class (select)" dataDxfId="73" dataCellStyle="Input select"/>
    <tableColumn id="6" xr3:uid="{41EDEC1E-1793-4BBD-B0C8-66DE9A0925D5}" name="Source region (Select)" dataDxfId="74" dataCellStyle="Input select"/>
    <tableColumn id="3" xr3:uid="{34B46AEC-F18A-4C32-831B-7206C405BBE6}" name="Quantity (head)" dataCellStyle="Input number general"/>
    <tableColumn id="12" xr3:uid="{082E5DA0-F3B6-4FEC-9489-68F80D455B30}" name="Liveweight (kg/head) Method 1" dataCellStyle="Input number general calculated">
      <calculatedColumnFormula array="1">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calculatedColumnFormula>
    </tableColumn>
    <tableColumn id="4" xr3:uid="{FCB04E36-ABA4-4D11-99EF-B10E5BE997E4}" name="Liveweight (kg/head) Method 2" dataCellStyle="Input number general"/>
  </tableColumns>
  <tableStyleInfo name="Editable table" showFirstColumn="0" showLastColumn="0" showRowStripes="1" showColumnStripes="0"/>
</table>
</file>

<file path=xl/tables/table7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1" xr:uid="{E938BFB3-949A-45DE-8033-0682BC494B81}" name="Table_Input_LivestockPurchases_Dairy" displayName="Table_Input_LivestockPurchases_Dairy" ref="D90:I100" totalsRowShown="0" headerRowDxfId="72">
  <autoFilter ref="D90:I100" xr:uid="{E938BFB3-949A-45DE-8033-0682BC494B81}">
    <filterColumn colId="0" hiddenButton="1"/>
    <filterColumn colId="1" hiddenButton="1"/>
    <filterColumn colId="2" hiddenButton="1"/>
    <filterColumn colId="3" hiddenButton="1"/>
    <filterColumn colId="4" hiddenButton="1"/>
    <filterColumn colId="5" hiddenButton="1"/>
  </autoFilter>
  <tableColumns count="6">
    <tableColumn id="9" xr3:uid="{9915AEA9-40DA-4CFD-B08A-11FBE10BE9CF}" name="Transaction name" dataCellStyle="Input text"/>
    <tableColumn id="11" xr3:uid="{7A96FDED-4DC0-48EE-B346-DC4E5D93138D}" name="Class (select)" dataDxfId="77" dataCellStyle="Input select"/>
    <tableColumn id="2" xr3:uid="{30A8F022-FC97-45FB-A8E3-5EA3F43C945A}" name="Breed (select)" dataCellStyle="Input select"/>
    <tableColumn id="3" xr3:uid="{DC03B1BF-C6CC-47B4-817D-39FA8BFF3A08}" name="Quantity (head)" dataCellStyle="Input number general"/>
    <tableColumn id="12" xr3:uid="{5E964CA5-2FA3-42B9-9ADF-004216CC5915}" name="Liveweight (kg/head) Method 1" dataCellStyle="Input number general calculated">
      <calculatedColumnFormula array="1">Common_InputFunctions.Utility_LookupValueInTableOneColumnAndHeader(Table_Input_LivestockPurchases_Dairy[[#This Row],[Breed (select)]],Table_Input_LivestockPurchases_Dairy[[#This Row],[Class (select)]],Table_SourceData_Dairy_WjCowsHeifers[Breed],Table_SourceData_Dairy_WjCowsHeifers[#Headers],Table_SourceData_Dairy_WjCowsHeifers[], 0)</calculatedColumnFormula>
    </tableColumn>
    <tableColumn id="4" xr3:uid="{3EB8F618-6435-4043-9718-F3A1ED5E7927}" name="Liveweight (kg/head) Method 2" dataCellStyle="Input number general"/>
  </tableColumns>
  <tableStyleInfo name="Editable table" showFirstColumn="0" showLastColumn="0" showRowStripes="1" showColumnStripes="0"/>
</table>
</file>

<file path=xl/tables/table7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14ED7533-62DD-410F-8832-CD98B0CD652B}" name="Table_Input_LivestockPurchases_Pigs" displayName="Table_Input_LivestockPurchases_Pigs" ref="D103:H113" totalsRowShown="0" headerRowDxfId="71">
  <autoFilter ref="D103:H113" xr:uid="{14ED7533-62DD-410F-8832-CD98B0CD652B}">
    <filterColumn colId="0" hiddenButton="1"/>
    <filterColumn colId="1" hiddenButton="1"/>
    <filterColumn colId="2" hiddenButton="1"/>
    <filterColumn colId="3" hiddenButton="1"/>
    <filterColumn colId="4" hiddenButton="1"/>
  </autoFilter>
  <tableColumns count="5">
    <tableColumn id="9" xr3:uid="{FC1CEF00-A0CC-4545-ADAB-9F52D190F90C}" name="Transaction name" dataCellStyle="Input text"/>
    <tableColumn id="11" xr3:uid="{45625588-179B-4EE3-98B4-2E94FA489CC5}" name="Class (select)" dataDxfId="76" dataCellStyle="Input select"/>
    <tableColumn id="3" xr3:uid="{085943B1-441E-4997-B5CB-DC1B487421BC}" name="Quantity (head)" dataCellStyle="Input number general"/>
    <tableColumn id="12" xr3:uid="{AD16FE79-BCDB-4A0E-B9F6-D00BE49C5895}" name="Liveweight (kg/head) Method 1" dataCellStyle="Input number general calculated">
      <calculatedColumnFormula array="1">Common_InputFunctions.Utility_LookupValueInTable(Table_Input_LivestockPurchases_Pigs[[#This Row],[Class (select)]], Table_SourceData_Swine_Liveweight[Livestock type j],Table_SourceData_Swine_Liveweight[Average liveweight (kg)])</calculatedColumnFormula>
    </tableColumn>
    <tableColumn id="4" xr3:uid="{BD9ED95C-0B9E-40FD-A95D-F779A9238D47}" name="Liveweight (kg/head) Method 2" dataCellStyle="Input number general"/>
  </tableColumns>
  <tableStyleInfo name="Editable table" showFirstColumn="0" showLastColumn="0" showRowStripes="1" showColumnStripes="0"/>
</table>
</file>

<file path=xl/tables/table7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1" xr:uid="{7DCBF554-869B-4226-8D02-B0F5F866C92B}" name="Table_Input_LivestockPurchases_Poultry" displayName="Table_Input_LivestockPurchases_Poultry" ref="D116:H126" totalsRowShown="0">
  <autoFilter ref="D116:H126" xr:uid="{7DCBF554-869B-4226-8D02-B0F5F866C92B}">
    <filterColumn colId="0" hiddenButton="1"/>
    <filterColumn colId="1" hiddenButton="1"/>
    <filterColumn colId="2" hiddenButton="1"/>
    <filterColumn colId="3" hiddenButton="1"/>
    <filterColumn colId="4" hiddenButton="1"/>
  </autoFilter>
  <tableColumns count="5">
    <tableColumn id="9" xr3:uid="{D6ADF99B-6024-404D-ADE3-4453D96F9A44}" name="Transaction name" dataCellStyle="Input text"/>
    <tableColumn id="11" xr3:uid="{4ED1C819-CD4A-4EB7-A045-069B468B975F}" name="Class (select)" dataDxfId="70" dataCellStyle="Input select"/>
    <tableColumn id="3" xr3:uid="{B88ABA8A-BCE4-4052-926B-B791435D32BA}" name="Quantity (head)" dataCellStyle="Input number general"/>
    <tableColumn id="12" xr3:uid="{09185C80-5CE8-4D2C-AFA3-32FC4E7697E4}" name="Liveweight (kg/head) Method 1" dataCellStyle="Input number general calculated">
      <calculatedColumnFormula array="1">Common_InputFunctions.Utility_LookupValueInTable(Table_Input_LivestockPurchases_Poultry[[#This Row],[Class (select)]], Table_SourceData_Poultry_Liveweights[Livestock class j],Table_SourceData_Poultry_Liveweights[Average liveweight (kg)])</calculatedColumnFormula>
    </tableColumn>
    <tableColumn id="4" xr3:uid="{8DF858F5-F15E-47CF-BDC4-8F046EADF36F}" name="Liveweight (kg/head) Method 2" dataCellStyle="Input number general"/>
  </tableColumns>
  <tableStyleInfo name="Editable table" showFirstColumn="0" showLastColumn="0" showRowStripes="1" showColumnStripes="0"/>
</table>
</file>

<file path=xl/tables/table7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3" xr:uid="{1E43041F-45A9-4FE7-B27E-F3B8135FFECA}" name="Table_Input_UncategorisedProductsServices" displayName="Table_Input_UncategorisedProductsServices" ref="D208:F218" totalsRowShown="0">
  <autoFilter ref="D208:F218" xr:uid="{1E43041F-45A9-4FE7-B27E-F3B8135FFECA}">
    <filterColumn colId="0" hiddenButton="1"/>
    <filterColumn colId="1" hiddenButton="1"/>
    <filterColumn colId="2" hiddenButton="1"/>
  </autoFilter>
  <tableColumns count="3">
    <tableColumn id="1" xr3:uid="{C9DABE86-112C-48BA-9B35-4DCACFE914E2}" name="Product / service name" dataCellStyle="Input text"/>
    <tableColumn id="2" xr3:uid="{50E86AEF-5C1B-4309-BE70-732F98A8045E}" name="Amount" dataCellStyle="Input number general"/>
    <tableColumn id="3" xr3:uid="{6C7442D1-1A53-49AD-8C75-5BC7F8E9560B}" name="Amount unit" dataCellStyle="Input text"/>
  </tableColumns>
  <tableStyleInfo name="Editable table" showFirstColumn="0" showLastColumn="0" showRowStripes="1" showColumnStripes="0"/>
</table>
</file>

<file path=xl/tables/table7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0" xr:uid="{3A687F40-24AA-48CE-B552-C2CDB0CD3F28}" name="Table_Input_FeedBlends" displayName="Table_Input_FeedBlends" ref="D62:Q72" totalsRowShown="0">
  <autoFilter ref="D62:Q72" xr:uid="{6EC3622A-9CA1-4931-8AAA-6FC289090D2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autoFilter>
  <tableColumns count="14">
    <tableColumn id="1" xr3:uid="{09491CF8-20F0-4FE5-B2E5-824F35323759}" name="Feed blend name"/>
    <tableColumn id="2" xr3:uid="{B20486A1-6FF2-452C-92CA-CCED9D67FD05}" name="Amount fed (kg)"/>
    <tableColumn id="4" xr3:uid="{47465BD2-065D-4E8F-9CB3-6E6F67E11E4D}" name="Ingredient 1 (select)" dataCellStyle="Input select"/>
    <tableColumn id="3" xr3:uid="{D39DE387-9895-40E5-8A6F-34EA79F87278}" name="Ingredient 1 source region" dataCellStyle="Input select"/>
    <tableColumn id="5" xr3:uid="{1B19298C-F8E3-4AF0-9B9E-CE0CD24308C3}" name="Ingredient 1 percent"/>
    <tableColumn id="6" xr3:uid="{250D764C-1759-4C06-9C17-CD1C40A86BF4}" name="Ingredient 2 (select)" dataCellStyle="Input select"/>
    <tableColumn id="14" xr3:uid="{EAB9458F-B5E6-4B8A-BFAD-D581295FE7DA}" name="Ingredient 2 source region" dataCellStyle="Input select"/>
    <tableColumn id="7" xr3:uid="{F61D43DF-B902-4B65-AB44-E98C6D51FD13}" name="Ingredient 2 percent"/>
    <tableColumn id="8" xr3:uid="{B9F5222F-9F2A-4E26-931C-754BB15D7CDC}" name="Ingredient 3 (select)" dataCellStyle="Input select"/>
    <tableColumn id="15" xr3:uid="{02019D1A-37BE-4E6F-9893-0A5120C9809F}" name="Ingredient 3 source region" dataCellStyle="Input select"/>
    <tableColumn id="9" xr3:uid="{30B89A53-F667-4FBE-AF8B-FB021EB3D926}" name="Ingredient 3 percent"/>
    <tableColumn id="10" xr3:uid="{51F803AC-A802-43FA-8B0E-24B789B98A9C}" name="Ingredient 4 (select)" dataCellStyle="Input select"/>
    <tableColumn id="16" xr3:uid="{844B4AC3-BB5A-4E7E-9741-41A8F6359DA9}" name="Ingredient 4 source region" dataCellStyle="Input select"/>
    <tableColumn id="11" xr3:uid="{33104403-8828-4357-9E7C-9063DE9C33A5}" name="Ingredient 4 percent"/>
  </tableColumns>
  <tableStyleInfo name="Editable table" showFirstColumn="0" showLastColumn="0" showRowStripes="1" showColumnStripes="0"/>
</table>
</file>

<file path=xl/tables/table7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4" xr:uid="{EAE4AE15-2AB9-4C21-9268-5CB94316E6E4}" name="Table_Input_ServicesAndContractors" displayName="Table_Input_ServicesAndContractors" ref="D151:G161" totalsRowShown="0">
  <autoFilter ref="D151:G161" xr:uid="{EAE4AE15-2AB9-4C21-9268-5CB94316E6E4}">
    <filterColumn colId="0" hiddenButton="1"/>
    <filterColumn colId="1" hiddenButton="1"/>
    <filterColumn colId="2" hiddenButton="1"/>
    <filterColumn colId="3" hiddenButton="1"/>
  </autoFilter>
  <tableColumns count="4">
    <tableColumn id="1" xr3:uid="{9281456D-867C-4846-B641-A8EECC1DBAD5}" name="Service provider / contractor" dataCellStyle="Input text"/>
    <tableColumn id="4" xr3:uid="{798B5CBB-1D7E-4B13-B905-48D9B44BD67F}" name="Activity" dataCellStyle="Input text"/>
    <tableColumn id="2" xr3:uid="{90DA38AD-9751-4A3D-9BDD-C8704FB16E3B}" name="Total amount" dataCellStyle="Input number general"/>
    <tableColumn id="3" xr3:uid="{4ADABFE0-313C-4348-902B-64A435F363CD}" name="Amount unit" dataCellStyle="Input select"/>
  </tableColumns>
  <tableStyleInfo name="Editable table" showFirstColumn="0" showLastColumn="0" showRowStripes="1" showColumnStripes="0"/>
</table>
</file>

<file path=xl/tables/table8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5" xr:uid="{206BD78F-05E0-445B-A064-B487D1B996EF}" name="Table_Input_GrowMedia" displayName="Table_Input_GrowMedia" ref="D180:F190" totalsRowShown="0">
  <autoFilter ref="D180:F190" xr:uid="{206BD78F-05E0-445B-A064-B487D1B996EF}">
    <filterColumn colId="0" hiddenButton="1"/>
    <filterColumn colId="1" hiddenButton="1"/>
    <filterColumn colId="2" hiddenButton="1"/>
  </autoFilter>
  <tableColumns count="3">
    <tableColumn id="1" xr3:uid="{453CA40C-351D-4648-AF5D-0F77CC14CEE6}" name="Grow media type" dataCellStyle="Input text"/>
    <tableColumn id="2" xr3:uid="{CA239B18-BD35-484E-9175-FD2EF36ECE05}" name="Total amount" dataCellStyle="Input number general"/>
    <tableColumn id="3" xr3:uid="{89E58910-139E-4C76-9427-72FBEC387E22}" name="Amount unit" dataCellStyle="Input select"/>
  </tableColumns>
  <tableStyleInfo name="Editable table" showFirstColumn="0" showLastColumn="0" showRowStripes="1" showColumnStripes="0"/>
</table>
</file>

<file path=xl/tables/table8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7267A0FD-D6FB-4207-BD45-9DE0BB33BDE3}" name="Table_Input_Fuel" displayName="Table_Input_Fuel" ref="D10:I12" totalsRowDxfId="289" headerRowCellStyle="Input table column header">
  <autoFilter ref="D10:I12" xr:uid="{6E44059A-C219-4316-A7A0-AD77B0121F06}">
    <filterColumn colId="0" hiddenButton="1"/>
    <filterColumn colId="1" hiddenButton="1"/>
    <filterColumn colId="2" hiddenButton="1"/>
    <filterColumn colId="3" hiddenButton="1"/>
    <filterColumn colId="4" hiddenButton="1"/>
    <filterColumn colId="5" hiddenButton="1"/>
  </autoFilter>
  <tableColumns count="6">
    <tableColumn id="2" xr3:uid="{781CF403-6676-4EC1-8C44-392D67F614F9}" name="Fuel use (select)" totalsRowFunction="average" totalsRowDxfId="288" dataCellStyle="Input select" totalsRowCellStyle="Input select"/>
    <tableColumn id="3" xr3:uid="{2F4926CE-6EFC-4996-91EA-985E04C68CA4}" name="Fuel type (select)" totalsRowDxfId="287" dataCellStyle="Input select" totalsRowCellStyle="Input select"/>
    <tableColumn id="4" xr3:uid="{1FFC5489-922D-4440-BFF8-1C82F89D7C13}" name="Amount purchased" totalsRowDxfId="286" totalsRowCellStyle="Content bold"/>
    <tableColumn id="6" xr3:uid="{8FECDE7F-72E1-4F9F-9717-51DFCFC8B7FA}" name="Amount unit" totalsRowDxfId="285" dataCellStyle="Input number general calculated">
      <calculatedColumnFormula array="1">Common_InputFunctions.Utility_LookupValueInTable(Table_Input_Fuel[[#This Row],[Fuel type (select)]],#REF!, #REF!)</calculatedColumnFormula>
    </tableColumn>
    <tableColumn id="5" xr3:uid="{133387A9-248F-45F1-96F1-4D2728C0EBB8}" name="Percent consumed" totalsRowDxfId="284" totalsRowCellStyle="Input percent">
      <calculatedColumnFormula>1</calculatedColumnFormula>
    </tableColumn>
    <tableColumn id="1" xr3:uid="{0B1E778F-5088-434C-9ED2-6721724D18B8}" name="Amount consumed" totalsRowFunction="custom" totalsRowDxfId="283" dataCellStyle="Input number general calculated">
      <calculatedColumnFormula>Table_Input_Fuel[[#This Row],[Amount purchased]]*Table_Input_Fuel[[#This Row],[Percent consumed]]*10^-3</calculatedColumnFormula>
      <totalsRowFormula>SUM(Table_Input_Fuel[Amount consumed])</totalsRowFormula>
    </tableColumn>
  </tableColumns>
  <tableStyleInfo name="Editable table" showFirstColumn="0" showLastColumn="0" showRowStripes="1" showColumnStripes="0"/>
</table>
</file>

<file path=xl/tables/table8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94FA7C8C-4D15-4D48-8F74-8208F4BCB8D4}" name="Table_Input_RECSurrendered" displayName="Table_Input_RECSurrendered" ref="D32:I35" totalsRowShown="0" headerRowCellStyle="Input table column header">
  <autoFilter ref="D32:I35" xr:uid="{AB3DA401-69B9-4F52-A3AF-08FA63C556A0}">
    <filterColumn colId="0" hiddenButton="1"/>
    <filterColumn colId="1" hiddenButton="1"/>
    <filterColumn colId="2" hiddenButton="1"/>
    <filterColumn colId="3" hiddenButton="1"/>
    <filterColumn colId="4" hiddenButton="1"/>
    <filterColumn colId="5" hiddenButton="1"/>
  </autoFilter>
  <tableColumns count="6">
    <tableColumn id="1" xr3:uid="{D4BF12D2-AB8E-4251-8720-960F8D5A1B00}" name="Description"/>
    <tableColumn id="5" xr3:uid="{38409708-B77C-42C7-9B6F-E8D7D0582FD6}" name="Source (select)" dataCellStyle="Input select"/>
    <tableColumn id="2" xr3:uid="{7FC1762E-54F5-4151-A09E-A71663412C1B}" name="Generation date" dataDxfId="282"/>
    <tableColumn id="3" xr3:uid="{8BDEF306-7768-439C-A244-8F4ECE015006}" name="Number of certificates"/>
    <tableColumn id="4" xr3:uid="{2D5B4122-6366-4684-BF77-2F4F59AEC193}" name="MWh" dataCellStyle="Input number general calculated">
      <calculatedColumnFormula>Table_Input_RECSurrendered[[#This Row],[Number of certificates]]</calculatedColumnFormula>
    </tableColumn>
    <tableColumn id="7" xr3:uid="{1D1C3A77-8A3C-43F3-9AA9-1D92D3D06C65}" name="Elegibility" dataCellStyle="Input number general calculated">
      <calculatedColumnFormula>IF(DATEDIF(Table_Input_RECSurrendered[[#This Row],[Generation date]],DATEVALUE($E$26),"M")&gt;36,"Ineligible - older than 36 months","Elegible")</calculatedColumnFormula>
    </tableColumn>
  </tableColumns>
  <tableStyleInfo name="Editable table" showFirstColumn="0" showLastColumn="0" showRowStripes="1" showColumnStripes="0"/>
</table>
</file>

<file path=xl/tables/table8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EE2DBE17-5839-4F2F-8A64-3F40E12A498E}" name="Table_Input_RECConsumedByEntity" displayName="Table_Input_RECConsumedByEntity" ref="D41:I44" totalsRowShown="0" headerRowCellStyle="Input table column header">
  <autoFilter ref="D41:I44" xr:uid="{58D24162-9496-4032-8FB2-02E312F8AA25}">
    <filterColumn colId="0" hiddenButton="1"/>
    <filterColumn colId="1" hiddenButton="1"/>
    <filterColumn colId="2" hiddenButton="1"/>
    <filterColumn colId="3" hiddenButton="1"/>
    <filterColumn colId="4" hiddenButton="1"/>
    <filterColumn colId="5" hiddenButton="1"/>
  </autoFilter>
  <tableColumns count="6">
    <tableColumn id="1" xr3:uid="{77B8D687-1092-4844-B5C2-377F278E643E}" name="Description"/>
    <tableColumn id="5" xr3:uid="{BFBC5F0D-B69C-47AF-BDE0-A643789289CF}" name="Source" dataCellStyle="Input text calculated">
      <calculatedColumnFormula>"Issued for generated electricity"</calculatedColumnFormula>
    </tableColumn>
    <tableColumn id="2" xr3:uid="{89A8CE48-DCCB-4E01-8021-9F8D64DA67F4}" name="Generation date" dataDxfId="281"/>
    <tableColumn id="3" xr3:uid="{0AD2118E-3F34-4FB7-83FB-18287FECFD15}" name="Number of certificates"/>
    <tableColumn id="4" xr3:uid="{54403A08-11FD-4AFF-9FE9-53EA292D19E4}" name="MWh" dataCellStyle="Input number general calculated">
      <calculatedColumnFormula>Table_Input_RECConsumedByEntity[[#This Row],[Number of certificates]]</calculatedColumnFormula>
    </tableColumn>
    <tableColumn id="7" xr3:uid="{C6584786-3ACE-4433-92C5-0FFB0B48AC0D}" name="Elegibility" dataCellStyle="Input number general calculated">
      <calculatedColumnFormula>IF(AND(Table_Input_RECConsumedByEntity[[#This Row],[Generation date]]&gt;=DATEVALUE($E$25), Table_Input_RECConsumedByEntity[[#This Row],[Generation date]]&lt;= DATEVALUE($E$26)), "Elegible", "Ineligible - outside reporting year")</calculatedColumnFormula>
    </tableColumn>
  </tableColumns>
  <tableStyleInfo name="Editable table" showFirstColumn="0" showLastColumn="0" showRowStripes="1" showColumnStripes="0"/>
</table>
</file>

<file path=xl/tables/table8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1" xr:uid="{750CD25E-51AF-4085-A595-601E6358D38C}" name="Table_SourceData_Scope3_Animals" displayName="Table_SourceData_Scope3_Animals" ref="D33:I74" totalsRowShown="0">
  <autoFilter ref="D33:I74" xr:uid="{750CD25E-51AF-4085-A595-601E6358D38C}">
    <filterColumn colId="0" hiddenButton="1"/>
    <filterColumn colId="1" hiddenButton="1"/>
    <filterColumn colId="2" hiddenButton="1"/>
    <filterColumn colId="3" hiddenButton="1"/>
    <filterColumn colId="4" hiddenButton="1"/>
    <filterColumn colId="5" hiddenButton="1"/>
  </autoFilter>
  <tableColumns count="6">
    <tableColumn id="1" xr3:uid="{3A99DCC2-6F33-4657-9001-AFDF50840919}" name="Category" dataDxfId="280" dataCellStyle="Content normal">
      <calculatedColumnFormula array="1">Common_InputFunctions.Utility_DisplayArrayInTable(Scope3_SourceData.Scope3_Livestock_Data(), Table_SourceData_Scope3_Animals[[#Headers],[Category]], 0, 2)</calculatedColumnFormula>
    </tableColumn>
    <tableColumn id="2" xr3:uid="{5EDCE202-53EC-41E4-84C0-7AE61822B5AF}" name="Product" dataDxfId="279" dataCellStyle="Content normal">
      <calculatedColumnFormula array="1">Common_InputFunctions.Utility_DisplayArrayInTable(Scope3_SourceData.Scope3_Livestock_Data(), Table_SourceData_Scope3_Animals[[#Headers],[Category]], 0, 2)</calculatedColumnFormula>
    </tableColumn>
    <tableColumn id="3" xr3:uid="{EF4D2E11-73A6-4DF6-BC34-C66B12311899}" name="Region of origin" dataDxfId="278" dataCellStyle="Content normal">
      <calculatedColumnFormula array="1">Common_InputFunctions.Utility_DisplayArrayInTable(Scope3_SourceData.Scope3_Livestock_Data(), Table_SourceData_Scope3_Animals[[#Headers],[Category]], 0, 2)</calculatedColumnFormula>
    </tableColumn>
    <tableColumn id="8" xr3:uid="{20BA4310-E1DE-441F-A4E0-BC6B990972AD}" name="Quantity Unit" dataDxfId="277" dataCellStyle="Content normal">
      <calculatedColumnFormula array="1">Common_InputFunctions.Utility_DisplayArrayInTable(Scope3_SourceData.Scope3_Livestock_Data(), Table_SourceData_Scope3_Animals[[#Headers],[Category]], 0, 2)</calculatedColumnFormula>
    </tableColumn>
    <tableColumn id="9" xr3:uid="{C3859335-7D06-4B62-81A5-5625AFFBA634}" name="AusLCI Emissions intensity" dataDxfId="276" dataCellStyle="Content normal">
      <calculatedColumnFormula array="1">Common_InputFunctions.Utility_DisplayArrayInTable(Scope3_SourceData.Scope3_Livestock_Data(), Table_SourceData_Scope3_Animals[[#Headers],[Category]], 0, 2)</calculatedColumnFormula>
    </tableColumn>
    <tableColumn id="10" xr3:uid="{B8398D6F-AD80-4B48-B718-DF0B2B1E6C4C}" name="System boundary" dataDxfId="275" dataCellStyle="Content normal">
      <calculatedColumnFormula array="1">Common_InputFunctions.Utility_DisplayArrayInTable(Scope3_SourceData.Scope3_Livestock_Data(), Table_SourceData_Scope3_Animals[[#Headers],[Category]], 0, 2)</calculatedColumnFormula>
    </tableColumn>
  </tableColumns>
  <tableStyleInfo name="Equation table" showFirstColumn="0" showLastColumn="0" showRowStripes="1" showColumnStripes="0"/>
</table>
</file>

<file path=xl/tables/table8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2" xr:uid="{10291E5F-4512-44BD-934A-80D446AD4B71}" name="Table_SourceData_Scope3_ChemicalsCleaning" displayName="Table_SourceData_Scope3_ChemicalsCleaning" ref="D77:I80" totalsRowShown="0">
  <autoFilter ref="D77:I80" xr:uid="{10291E5F-4512-44BD-934A-80D446AD4B71}">
    <filterColumn colId="0" hiddenButton="1"/>
    <filterColumn colId="1" hiddenButton="1"/>
    <filterColumn colId="2" hiddenButton="1"/>
    <filterColumn colId="3" hiddenButton="1"/>
    <filterColumn colId="4" hiddenButton="1"/>
    <filterColumn colId="5" hiddenButton="1"/>
  </autoFilter>
  <tableColumns count="6">
    <tableColumn id="1" xr3:uid="{EE00DA67-2268-4285-B0B6-C8E6F88FC55E}" name="Category" dataDxfId="274" dataCellStyle="Content normal">
      <calculatedColumnFormula array="1">Common_InputFunctions.Utility_DisplayArrayInTable(Scope3_SourceData.Scope3_Chemicals_Data(), Table_SourceData_Scope3_ChemicalsCleaning[[#Headers],[Category]], 0, 2)</calculatedColumnFormula>
    </tableColumn>
    <tableColumn id="2" xr3:uid="{3F9C435E-0B62-4C9D-9FEA-8C98A415F5B0}" name="Product" dataDxfId="273" dataCellStyle="Content normal">
      <calculatedColumnFormula array="1">Common_InputFunctions.Utility_DisplayArrayInTable(Scope3_SourceData.Scope3_Chemicals_Data(), Table_SourceData_Scope3_ChemicalsCleaning[[#Headers],[Category]], 0, 2)</calculatedColumnFormula>
    </tableColumn>
    <tableColumn id="3" xr3:uid="{3F5A70C5-28BD-4264-9EC4-934DE712597B}" name="Region of origin" dataDxfId="272" dataCellStyle="Content normal">
      <calculatedColumnFormula array="1">Common_InputFunctions.Utility_DisplayArrayInTable(Scope3_SourceData.Scope3_Chemicals_Data(), Table_SourceData_Scope3_ChemicalsCleaning[[#Headers],[Category]], 0, 2)</calculatedColumnFormula>
    </tableColumn>
    <tableColumn id="8" xr3:uid="{05B9C167-74C1-41A2-9237-AEC23C7F32BE}" name="Quantity Unit" dataDxfId="271" dataCellStyle="Content normal">
      <calculatedColumnFormula array="1">Common_InputFunctions.Utility_DisplayArrayInTable(Scope3_SourceData.Scope3_Chemicals_Data(), Table_SourceData_Scope3_ChemicalsCleaning[[#Headers],[Category]], 0, 2)</calculatedColumnFormula>
    </tableColumn>
    <tableColumn id="9" xr3:uid="{A696718C-53A9-4FC3-B198-DB7B399F8F71}" name="AusLCI Emissions intensity" dataDxfId="270" dataCellStyle="Content normal">
      <calculatedColumnFormula array="1">Common_InputFunctions.Utility_DisplayArrayInTable(Scope3_SourceData.Scope3_Chemicals_Data(), Table_SourceData_Scope3_ChemicalsCleaning[[#Headers],[Category]], 0, 2)</calculatedColumnFormula>
    </tableColumn>
    <tableColumn id="10" xr3:uid="{8DC81B97-0164-4172-A9AB-F72EB01E79E4}" name="System boundary" dataDxfId="269" dataCellStyle="Content normal">
      <calculatedColumnFormula array="1">Common_InputFunctions.Utility_DisplayArrayInTable(Scope3_SourceData.Scope3_Chemicals_Data(), Table_SourceData_Scope3_ChemicalsCleaning[[#Headers],[Category]], 0, 2)</calculatedColumnFormula>
    </tableColumn>
  </tableColumns>
  <tableStyleInfo name="Equation table" showFirstColumn="0" showLastColumn="0" showRowStripes="1" showColumnStripes="0"/>
</table>
</file>

<file path=xl/tables/table8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3" xr:uid="{7C99A3AF-4B60-47B5-BB9C-19833DBDFFC5}" name="Table_SourceData_Scope3_Feed" displayName="Table_SourceData_Scope3_Feed" ref="D89:I159" totalsRowShown="0" dataDxfId="268" dataCellStyle="Content normal">
  <autoFilter ref="D89:I159" xr:uid="{7C99A3AF-4B60-47B5-BB9C-19833DBDFFC5}">
    <filterColumn colId="0" hiddenButton="1"/>
    <filterColumn colId="1" hiddenButton="1"/>
    <filterColumn colId="2" hiddenButton="1"/>
    <filterColumn colId="3" hiddenButton="1"/>
    <filterColumn colId="4" hiddenButton="1"/>
    <filterColumn colId="5" hiddenButton="1"/>
  </autoFilter>
  <tableColumns count="6">
    <tableColumn id="1" xr3:uid="{219F2701-68F1-480A-8D9E-12C627CAC316}" name="Category" dataDxfId="267" dataCellStyle="Content normal">
      <calculatedColumnFormula array="1">Common_InputFunctions.Utility_DisplayArrayInTable(Scope3_SourceData.Scope3_Feed_Data(), Table_SourceData_Scope3_Feed[[#Headers],[Category]], 0, 2)</calculatedColumnFormula>
    </tableColumn>
    <tableColumn id="2" xr3:uid="{EC66DCC6-8100-4F11-A8A8-539664BA4ACD}" name="Product" dataDxfId="266" dataCellStyle="Content normal">
      <calculatedColumnFormula array="1">Common_InputFunctions.Utility_DisplayArrayInTable(Scope3_SourceData.Scope3_Feed_Data(), Table_SourceData_Scope3_Feed[[#Headers],[Category]], 0, 2)</calculatedColumnFormula>
    </tableColumn>
    <tableColumn id="3" xr3:uid="{A985E658-3F73-4AD9-B19C-0CAEAD42BEE8}" name="Region of origin" dataDxfId="265" dataCellStyle="Content normal">
      <calculatedColumnFormula array="1">Common_InputFunctions.Utility_DisplayArrayInTable(Scope3_SourceData.Scope3_Feed_Data(), Table_SourceData_Scope3_Feed[[#Headers],[Category]], 0, 2)</calculatedColumnFormula>
    </tableColumn>
    <tableColumn id="8" xr3:uid="{7006E028-9383-4657-93CA-9F7D8B66AA38}" name="Quantity Unit" dataDxfId="264" dataCellStyle="Content normal">
      <calculatedColumnFormula array="1">Common_InputFunctions.Utility_DisplayArrayInTable(Scope3_SourceData.Scope3_Feed_Data(), Table_SourceData_Scope3_Feed[[#Headers],[Category]], 0, 2)</calculatedColumnFormula>
    </tableColumn>
    <tableColumn id="9" xr3:uid="{1C50D81A-129A-4BDA-881C-9E65EF792CE6}" name="AusLCI Emissions intensity" dataDxfId="263" dataCellStyle="Content normal">
      <calculatedColumnFormula array="1">Common_InputFunctions.Utility_DisplayArrayInTable(Scope3_SourceData.Scope3_Feed_Data(), Table_SourceData_Scope3_Feed[[#Headers],[Category]], 0, 2)</calculatedColumnFormula>
    </tableColumn>
    <tableColumn id="10" xr3:uid="{DAF99126-21EE-4F42-8379-91D5DC8AA914}" name="System boundary" dataDxfId="262" dataCellStyle="Content normal">
      <calculatedColumnFormula array="1">Common_InputFunctions.Utility_DisplayArrayInTable(Scope3_SourceData.Scope3_Feed_Data(), Table_SourceData_Scope3_Feed[[#Headers],[Category]], 0, 2)</calculatedColumnFormula>
    </tableColumn>
  </tableColumns>
  <tableStyleInfo name="Equation table" showFirstColumn="0" showLastColumn="0" showRowStripes="1" showColumnStripes="0"/>
</table>
</file>

<file path=xl/tables/table8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0" xr:uid="{0DD1C989-E9CA-4596-81C6-3E0390BF715B}" name="Table_SourceData_Scope3_InorganicFertiliser" displayName="Table_SourceData_Scope3_InorganicFertiliser" ref="D173:M198" totalsRowShown="0">
  <autoFilter ref="D173:M198" xr:uid="{0DD1C989-E9CA-4596-81C6-3E0390BF715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7ADC9456-B260-42A6-93B3-9ADE837F96FD}" name="Category">
      <calculatedColumnFormula array="1">Common_InputFunctions.Utility_DisplayArrayInTable(Scope3_SourceData.Scope3_InorganicFertilisers_Data(), Table_SourceData_Scope3_InorganicFertiliser[[#Headers],[Category]], 0, 2)</calculatedColumnFormula>
    </tableColumn>
    <tableColumn id="2" xr3:uid="{E4F3D10D-DC00-40A0-8434-F17EE5B57E50}" name="Product">
      <calculatedColumnFormula array="1">Common_InputFunctions.Utility_DisplayArrayInTable(Scope3_SourceData.Scope3_InorganicFertilisers_Data(), Table_SourceData_Scope3_InorganicFertiliser[[#Headers],[Category]], 0, 2)</calculatedColumnFormula>
    </tableColumn>
    <tableColumn id="3" xr3:uid="{FF493BEC-C7CF-4C48-9291-4807906A20BE}" name="Region of origin">
      <calculatedColumnFormula array="1">Common_InputFunctions.Utility_DisplayArrayInTable(Scope3_SourceData.Scope3_InorganicFertilisers_Data(), Table_SourceData_Scope3_InorganicFertiliser[[#Headers],[Category]], 0, 2)</calculatedColumnFormula>
    </tableColumn>
    <tableColumn id="4" xr3:uid="{0466E451-1D9D-432C-B88C-8496C46220CD}" name="Chemical compound"/>
    <tableColumn id="5" xr3:uid="{62C74D66-B31B-4F39-BD69-4511684CC376}" name="Urea source"/>
    <tableColumn id="6" xr3:uid="{B7F18DB3-9507-4C23-A645-C1C85198A9FD}" name="Ammonia source"/>
    <tableColumn id="7" xr3:uid="{EC8ABD26-808F-4DF3-BDFB-D67018191946}" name="Quantity"/>
    <tableColumn id="8" xr3:uid="{D5CB092C-897E-422F-866E-CCAFFC3877E8}" name="Quantity Unit">
      <calculatedColumnFormula array="1">Common_InputFunctions.Utility_DisplayArrayInTable(Scope3_SourceData.Scope3_InorganicFertilisers_Data(), Table_SourceData_Scope3_InorganicFertiliser[[#Headers],[Category]], 0, -2)</calculatedColumnFormula>
    </tableColumn>
    <tableColumn id="9" xr3:uid="{97D864D7-A555-47CD-B067-79C62FA7AF96}" name="AusLCI Emissions intensity">
      <calculatedColumnFormula array="1">Common_InputFunctions.Utility_DisplayArrayInTable(Scope3_SourceData.Scope3_InorganicFertilisers_Data(), Table_SourceData_Scope3_InorganicFertiliser[[#Headers],[Category]], 0, -2)</calculatedColumnFormula>
    </tableColumn>
    <tableColumn id="10" xr3:uid="{20335230-DDB8-4D56-B660-812F58B13DB8}" name="System boundary" dataDxfId="261" dataCellStyle="Content normal">
      <calculatedColumnFormula array="1">Common_InputFunctions.Utility_DisplayArrayInTable(Scope3_SourceData.Scope3_InorganicFertilisers_Data(), Table_SourceData_Scope3_InorganicFertiliser[[#Headers],[Category]], 0, -2)</calculatedColumnFormula>
    </tableColumn>
  </tableColumns>
  <tableStyleInfo name="Equation table" showFirstColumn="0" showLastColumn="0" showRowStripes="1" showColumnStripes="0"/>
</table>
</file>

<file path=xl/tables/table8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4" xr:uid="{C703DCE8-2DA9-4607-8111-1323D636A81C}" name="Table_SourceData_Scope3_Other" displayName="Table_SourceData_Scope3_Other" ref="D201:I209" totalsRowShown="0" dataDxfId="260" dataCellStyle="Content normal">
  <autoFilter ref="D201:I209" xr:uid="{C703DCE8-2DA9-4607-8111-1323D636A81C}">
    <filterColumn colId="0" hiddenButton="1"/>
    <filterColumn colId="1" hiddenButton="1"/>
    <filterColumn colId="2" hiddenButton="1"/>
    <filterColumn colId="3" hiddenButton="1"/>
    <filterColumn colId="4" hiddenButton="1"/>
    <filterColumn colId="5" hiddenButton="1"/>
  </autoFilter>
  <tableColumns count="6">
    <tableColumn id="1" xr3:uid="{CCEB3E78-BC5A-4FFC-A3DE-61DDB731CC23}" name="Category" dataDxfId="259" dataCellStyle="Content normal">
      <calculatedColumnFormula array="1">Common_InputFunctions.Utility_DisplayArrayInTable(Scope3_SourceData.Scope3_Other_Data(), Table_SourceData_Scope3_Other[[#Headers],[Category]], 0, 2)</calculatedColumnFormula>
    </tableColumn>
    <tableColumn id="2" xr3:uid="{C078A088-981E-4568-A807-7F4E7771DFE7}" name="Product" dataDxfId="258" dataCellStyle="Content normal">
      <calculatedColumnFormula array="1">Common_InputFunctions.Utility_DisplayArrayInTable(Scope3_SourceData.Scope3_Other_Data(), Table_SourceData_Scope3_Other[[#Headers],[Category]], 0, 2)</calculatedColumnFormula>
    </tableColumn>
    <tableColumn id="3" xr3:uid="{21AE868B-2401-4DAA-B871-AEC622AE30FD}" name="Region of origin" dataDxfId="257" dataCellStyle="Content normal">
      <calculatedColumnFormula array="1">Common_InputFunctions.Utility_DisplayArrayInTable(Scope3_SourceData.Scope3_Other_Data(), Table_SourceData_Scope3_Other[[#Headers],[Category]], 0, 2)</calculatedColumnFormula>
    </tableColumn>
    <tableColumn id="8" xr3:uid="{4E401C7F-B5F8-4408-BDBC-62E919775F42}" name="Quantity Unit" dataDxfId="256" dataCellStyle="Content normal">
      <calculatedColumnFormula array="1">Common_InputFunctions.Utility_DisplayArrayInTable(Scope3_SourceData.Scope3_Other_Data(), Table_SourceData_Scope3_Other[[#Headers],[Category]], 0, 2)</calculatedColumnFormula>
    </tableColumn>
    <tableColumn id="9" xr3:uid="{A92654D8-13A7-4223-A91A-03F7CA0B2E9A}" name="AusLCI Emissions intensity" dataDxfId="255" dataCellStyle="Content normal">
      <calculatedColumnFormula array="1">Common_InputFunctions.Utility_DisplayArrayInTable(Scope3_SourceData.Scope3_Other_Data(), Table_SourceData_Scope3_Other[[#Headers],[Category]], 0, 2)</calculatedColumnFormula>
    </tableColumn>
    <tableColumn id="10" xr3:uid="{ED73B88C-2B3F-4CC1-90D8-09EC7A9FC7F3}" name="System boundary" dataDxfId="254" dataCellStyle="Content normal">
      <calculatedColumnFormula array="1">Common_InputFunctions.Utility_DisplayArrayInTable(Scope3_SourceData.Scope3_Other_Data(), Table_SourceData_Scope3_Other[[#Headers],[Category]], 0, 2)</calculatedColumnFormula>
    </tableColumn>
  </tableColumns>
  <tableStyleInfo name="Equation table" showFirstColumn="0" showLastColumn="0" showRowStripes="1" showColumnStripes="0"/>
</table>
</file>

<file path=xl/tables/table8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5" xr:uid="{B95A04D9-DAAA-402E-80F2-94850F70AD8D}" name="Table_SourceData_Scope3_Packaging" displayName="Table_SourceData_Scope3_Packaging" ref="D212:I216" totalsRowShown="0" dataDxfId="253" dataCellStyle="Content normal">
  <autoFilter ref="D212:I216" xr:uid="{B95A04D9-DAAA-402E-80F2-94850F70AD8D}">
    <filterColumn colId="0" hiddenButton="1"/>
    <filterColumn colId="1" hiddenButton="1"/>
    <filterColumn colId="2" hiddenButton="1"/>
    <filterColumn colId="3" hiddenButton="1"/>
    <filterColumn colId="4" hiddenButton="1"/>
    <filterColumn colId="5" hiddenButton="1"/>
  </autoFilter>
  <tableColumns count="6">
    <tableColumn id="1" xr3:uid="{43362DD2-0B33-4BCB-B827-7C4A89047CC0}" name="Category" dataDxfId="252" dataCellStyle="Content normal">
      <calculatedColumnFormula array="1">Common_InputFunctions.Utility_DisplayArrayInTable(Scope3_SourceData.Scope3_Packaging_Data(), Table_SourceData_Scope3_Packaging[[#Headers],[Category]], 0, 2)</calculatedColumnFormula>
    </tableColumn>
    <tableColumn id="2" xr3:uid="{98D48E77-23FE-4E89-B706-CBF3CCC71DEA}" name="Product" dataDxfId="251" dataCellStyle="Content normal">
      <calculatedColumnFormula array="1">Common_InputFunctions.Utility_DisplayArrayInTable(Scope3_SourceData.Scope3_Packaging_Data(), Table_SourceData_Scope3_Packaging[[#Headers],[Category]], 0, 2)</calculatedColumnFormula>
    </tableColumn>
    <tableColumn id="3" xr3:uid="{FC9DDCF2-2AFB-4EAB-B426-29A6AED8DCE1}" name="Region of origin" dataDxfId="250" dataCellStyle="Content normal">
      <calculatedColumnFormula array="1">Common_InputFunctions.Utility_DisplayArrayInTable(Scope3_SourceData.Scope3_Packaging_Data(), Table_SourceData_Scope3_Packaging[[#Headers],[Category]], 0, 2)</calculatedColumnFormula>
    </tableColumn>
    <tableColumn id="8" xr3:uid="{E320AECA-EA4E-47EE-8707-E2868FA5CC36}" name="Quantity Unit" dataDxfId="249" dataCellStyle="Content normal">
      <calculatedColumnFormula array="1">Common_InputFunctions.Utility_DisplayArrayInTable(Scope3_SourceData.Scope3_Packaging_Data(), Table_SourceData_Scope3_Packaging[[#Headers],[Category]], 0, 2)</calculatedColumnFormula>
    </tableColumn>
    <tableColumn id="9" xr3:uid="{DFADF880-34BE-416D-884B-9E60C98B34B1}" name="AusLCI Emissions intensity" dataDxfId="248" dataCellStyle="Content normal">
      <calculatedColumnFormula array="1">Common_InputFunctions.Utility_DisplayArrayInTable(Scope3_SourceData.Scope3_Packaging_Data(), Table_SourceData_Scope3_Packaging[[#Headers],[Category]], 0, 2)</calculatedColumnFormula>
    </tableColumn>
    <tableColumn id="10" xr3:uid="{9FBFB70C-65BB-4CED-B001-32FFCE26A494}" name="System boundary" dataDxfId="247" dataCellStyle="Content normal">
      <calculatedColumnFormula array="1">Common_InputFunctions.Utility_DisplayArrayInTable(Scope3_SourceData.Scope3_Packaging_Data(), Table_SourceData_Scope3_Packaging[[#Headers],[Category]], 0, 2)</calculatedColumnFormula>
    </tableColumn>
  </tableColumns>
  <tableStyleInfo name="Equation table" showFirstColumn="0" showLastColumn="0" showRowStripes="1" showColumnStripes="0"/>
</table>
</file>

<file path=xl/tables/table9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6" xr:uid="{C77460DE-4B5B-491B-885F-B6A288A52BB9}" name="Table_SourceData_Scope3_Pesticides" displayName="Table_SourceData_Scope3_Pesticides" ref="D219:I231" totalsRowShown="0" dataDxfId="246" dataCellStyle="Content normal">
  <autoFilter ref="D219:I231" xr:uid="{C77460DE-4B5B-491B-885F-B6A288A52BB9}">
    <filterColumn colId="0" hiddenButton="1"/>
    <filterColumn colId="1" hiddenButton="1"/>
    <filterColumn colId="2" hiddenButton="1"/>
    <filterColumn colId="3" hiddenButton="1"/>
    <filterColumn colId="4" hiddenButton="1"/>
    <filterColumn colId="5" hiddenButton="1"/>
  </autoFilter>
  <tableColumns count="6">
    <tableColumn id="1" xr3:uid="{304510F4-8D3C-4FA5-882C-E108FA075567}" name="Category" dataDxfId="245" dataCellStyle="Content normal">
      <calculatedColumnFormula array="1">Common_InputFunctions.Utility_DisplayArrayInTable(Scope3_SourceData.Scope3_Pesticides_Data(), Table_SourceData_Scope3_Pesticides[[#Headers],[Category]], 0, 2)</calculatedColumnFormula>
    </tableColumn>
    <tableColumn id="2" xr3:uid="{7195912D-C772-4E3F-B3A1-812C5CA9924D}" name="Product" dataDxfId="244" dataCellStyle="Content normal">
      <calculatedColumnFormula array="1">Common_InputFunctions.Utility_DisplayArrayInTable(Scope3_SourceData.Scope3_Pesticides_Data(), Table_SourceData_Scope3_Pesticides[[#Headers],[Category]], 0, 2)</calculatedColumnFormula>
    </tableColumn>
    <tableColumn id="3" xr3:uid="{10459461-5A6E-470B-8F52-6DEA48500C2B}" name="Region of origin" dataDxfId="243" dataCellStyle="Content normal">
      <calculatedColumnFormula array="1">Common_InputFunctions.Utility_DisplayArrayInTable(Scope3_SourceData.Scope3_Pesticides_Data(), Table_SourceData_Scope3_Pesticides[[#Headers],[Category]], 0, 2)</calculatedColumnFormula>
    </tableColumn>
    <tableColumn id="8" xr3:uid="{B0C083D6-95D1-4DFD-862E-81B659B2C6F6}" name="Quantity Unit" dataDxfId="242" dataCellStyle="Content normal">
      <calculatedColumnFormula array="1">Common_InputFunctions.Utility_DisplayArrayInTable(Scope3_SourceData.Scope3_Pesticides_Data(), Table_SourceData_Scope3_Pesticides[[#Headers],[Category]], 0, 2)</calculatedColumnFormula>
    </tableColumn>
    <tableColumn id="9" xr3:uid="{D5E71001-66D4-47E1-BC9B-1F898406BC43}" name="AusLCI Emissions intensity" dataDxfId="241" dataCellStyle="Content normal">
      <calculatedColumnFormula array="1">Common_InputFunctions.Utility_DisplayArrayInTable(Scope3_SourceData.Scope3_Pesticides_Data(), Table_SourceData_Scope3_Pesticides[[#Headers],[Category]], 0, 2)</calculatedColumnFormula>
    </tableColumn>
    <tableColumn id="10" xr3:uid="{5666E262-3E12-44FE-8C83-CF8EA536D29C}" name="System boundary" dataDxfId="240" dataCellStyle="Content normal">
      <calculatedColumnFormula array="1">Common_InputFunctions.Utility_DisplayArrayInTable(Scope3_SourceData.Scope3_Pesticides_Data(), Table_SourceData_Scope3_Pesticides[[#Headers],[Category]], 0, 2)</calculatedColumnFormula>
    </tableColumn>
  </tableColumns>
  <tableStyleInfo name="Equation table" showFirstColumn="0" showLastColumn="0" showRowStripes="1" showColumnStripes="0"/>
</table>
</file>

<file path=xl/tables/table9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7" xr:uid="{E06B8FD7-21E4-417D-AAFE-EA3785475B05}" name="Table_SourceData_Scope3_SoilAmeliorants" displayName="Table_SourceData_Scope3_SoilAmeliorants" ref="D234:I237" totalsRowShown="0" dataDxfId="239" dataCellStyle="Content normal">
  <autoFilter ref="D234:I237" xr:uid="{E06B8FD7-21E4-417D-AAFE-EA3785475B05}">
    <filterColumn colId="0" hiddenButton="1"/>
    <filterColumn colId="1" hiddenButton="1"/>
    <filterColumn colId="2" hiddenButton="1"/>
    <filterColumn colId="3" hiddenButton="1"/>
    <filterColumn colId="4" hiddenButton="1"/>
    <filterColumn colId="5" hiddenButton="1"/>
  </autoFilter>
  <tableColumns count="6">
    <tableColumn id="1" xr3:uid="{72F3917D-29C8-409C-92F6-F329885A0AC6}" name="Category" dataDxfId="238" dataCellStyle="Content normal">
      <calculatedColumnFormula array="1">Common_InputFunctions.Utility_DisplayArrayInTable(Scope3_SourceData.Scope3_SoilAmendments_Data(), Table_SourceData_Scope3_SoilAmeliorants[[#Headers],[Category]], 0, 2)</calculatedColumnFormula>
    </tableColumn>
    <tableColumn id="2" xr3:uid="{1C3D640A-29DA-4147-92A2-60696B5A4C71}" name="Product" dataDxfId="237" dataCellStyle="Content normal">
      <calculatedColumnFormula array="1">Common_InputFunctions.Utility_DisplayArrayInTable(Scope3_SourceData.Scope3_SoilAmendments_Data(), Table_SourceData_Scope3_SoilAmeliorants[[#Headers],[Category]], 0, 2)</calculatedColumnFormula>
    </tableColumn>
    <tableColumn id="3" xr3:uid="{C3D2F8FF-B32F-4518-BC0C-DB4081FCA79C}" name="Region of origin" dataDxfId="236" dataCellStyle="Content normal">
      <calculatedColumnFormula array="1">Common_InputFunctions.Utility_DisplayArrayInTable(Scope3_SourceData.Scope3_SoilAmendments_Data(), Table_SourceData_Scope3_SoilAmeliorants[[#Headers],[Category]], 0, 2)</calculatedColumnFormula>
    </tableColumn>
    <tableColumn id="8" xr3:uid="{90A728DE-D127-473A-AD75-98598E22E83F}" name="Quantity Unit" dataDxfId="235" dataCellStyle="Content normal">
      <calculatedColumnFormula array="1">Common_InputFunctions.Utility_DisplayArrayInTable(Scope3_SourceData.Scope3_SoilAmendments_Data(), Table_SourceData_Scope3_SoilAmeliorants[[#Headers],[Category]], 0, 2)</calculatedColumnFormula>
    </tableColumn>
    <tableColumn id="9" xr3:uid="{D980A953-159D-4ABD-A38A-09890342F668}" name="AusLCI Emissions intensity" dataDxfId="234" dataCellStyle="Content normal">
      <calculatedColumnFormula array="1">Common_InputFunctions.Utility_DisplayArrayInTable(Scope3_SourceData.Scope3_SoilAmendments_Data(), Table_SourceData_Scope3_SoilAmeliorants[[#Headers],[Category]], 0, 2)</calculatedColumnFormula>
    </tableColumn>
    <tableColumn id="10" xr3:uid="{3A668D95-29B4-4FE6-9D44-D43521B82BC2}" name="System boundary" dataDxfId="233" dataCellStyle="Content normal">
      <calculatedColumnFormula array="1">Common_InputFunctions.Utility_DisplayArrayInTable(Scope3_SourceData.Scope3_SoilAmendments_Data(), Table_SourceData_Scope3_SoilAmeliorants[[#Headers],[Category]], 0, 2)</calculatedColumnFormula>
    </tableColumn>
  </tableColumns>
  <tableStyleInfo name="Equation table" showFirstColumn="0" showLastColumn="0" showRowStripes="1" showColumnStripes="0"/>
</table>
</file>

<file path=xl/tables/table9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8" xr:uid="{C4160DCA-2AAF-4965-B3AD-B53F778A6499}" name="Table_SourceData_Scope3_ChemicalsPharmacy" displayName="Table_SourceData_Scope3_ChemicalsPharmacy" ref="D82:I86" totalsRowShown="0" dataDxfId="232" dataCellStyle="Content normal">
  <autoFilter ref="D82:I86" xr:uid="{C4160DCA-2AAF-4965-B3AD-B53F778A6499}">
    <filterColumn colId="0" hiddenButton="1"/>
    <filterColumn colId="1" hiddenButton="1"/>
    <filterColumn colId="2" hiddenButton="1"/>
    <filterColumn colId="3" hiddenButton="1"/>
    <filterColumn colId="4" hiddenButton="1"/>
    <filterColumn colId="5" hiddenButton="1"/>
  </autoFilter>
  <tableColumns count="6">
    <tableColumn id="1" xr3:uid="{8E805F0F-13EB-444A-AFA4-AC66F45058CE}" name="Category" dataDxfId="231" dataCellStyle="Content normal">
      <calculatedColumnFormula array="1">Common_InputFunctions.Utility_DisplayArrayInTable(Scope3_SourceData.Scope3_Chemicals_Data(), Table_SourceData_Scope3_ChemicalsPharmacy[[#Headers],[Category]], -3, 2)</calculatedColumnFormula>
    </tableColumn>
    <tableColumn id="2" xr3:uid="{BA0C9E19-0CF8-40D8-BDAE-09E8ADB0DDEF}" name="Product" dataDxfId="230" dataCellStyle="Content normal">
      <calculatedColumnFormula array="1">Common_InputFunctions.Utility_DisplayArrayInTable(Scope3_SourceData.Scope3_Chemicals_Data(), Table_SourceData_Scope3_ChemicalsPharmacy[[#Headers],[Category]], -3, 2)</calculatedColumnFormula>
    </tableColumn>
    <tableColumn id="3" xr3:uid="{58071090-BBC5-47B9-B141-D3FD62AAA81D}" name="Region of origin" dataDxfId="229" dataCellStyle="Content normal">
      <calculatedColumnFormula array="1">Common_InputFunctions.Utility_DisplayArrayInTable(Scope3_SourceData.Scope3_Chemicals_Data(), Table_SourceData_Scope3_ChemicalsPharmacy[[#Headers],[Category]], -3, 2)</calculatedColumnFormula>
    </tableColumn>
    <tableColumn id="8" xr3:uid="{7B4EEA6E-85AF-47B1-80AF-4DC20EF896E9}" name="Quantity Unit" dataDxfId="228" dataCellStyle="Content normal">
      <calculatedColumnFormula array="1">Common_InputFunctions.Utility_DisplayArrayInTable(Scope3_SourceData.Scope3_Chemicals_Data(), Table_SourceData_Scope3_ChemicalsPharmacy[[#Headers],[Category]], -3, 2)</calculatedColumnFormula>
    </tableColumn>
    <tableColumn id="9" xr3:uid="{25A49A9F-40A2-4614-9E17-9668E9645C55}" name="AusLCI Emissions intensity" dataDxfId="227" dataCellStyle="Content normal">
      <calculatedColumnFormula array="1">Common_InputFunctions.Utility_DisplayArrayInTable(Scope3_SourceData.Scope3_Chemicals_Data(), Table_SourceData_Scope3_ChemicalsPharmacy[[#Headers],[Category]], -3, 2)</calculatedColumnFormula>
    </tableColumn>
    <tableColumn id="10" xr3:uid="{21AA5226-63FD-4A56-A1D0-1D053B04A373}" name="System boundary" dataDxfId="226" dataCellStyle="Content normal">
      <calculatedColumnFormula array="1">Common_InputFunctions.Utility_DisplayArrayInTable(Scope3_SourceData.Scope3_Chemicals_Data(), Table_SourceData_Scope3_ChemicalsPharmacy[[#Headers],[Category]], -3, 2)</calculatedColumnFormula>
    </tableColumn>
  </tableColumns>
  <tableStyleInfo name="Equation table" showFirstColumn="0" showLastColumn="0" showRowStripes="1" showColumnStripes="0"/>
</table>
</file>

<file path=xl/tables/table9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0" xr:uid="{606CCDDA-2BB2-4AA5-B657-09AAAA73295A}" name="Table_SourceData_Scope3_LickBlocks" displayName="Table_SourceData_Scope3_LickBlocks" ref="D167:I170" totalsRowShown="0" headerRowDxfId="225" headerRowCellStyle="Content normal">
  <autoFilter ref="D167:I170" xr:uid="{606CCDDA-2BB2-4AA5-B657-09AAAA73295A}">
    <filterColumn colId="0" hiddenButton="1"/>
    <filterColumn colId="1" hiddenButton="1"/>
    <filterColumn colId="2" hiddenButton="1"/>
    <filterColumn colId="3" hiddenButton="1"/>
    <filterColumn colId="4" hiddenButton="1"/>
    <filterColumn colId="5" hiddenButton="1"/>
  </autoFilter>
  <tableColumns count="6">
    <tableColumn id="1" xr3:uid="{6D76B938-08A2-4094-AEB0-8C3161774DD1}" name="Category" dataDxfId="224" dataCellStyle="Content normal">
      <calculatedColumnFormula array="1">Common_InputFunctions.Utility_DisplayArrayInTable(Scope3_SourceData.Scope3_Feed_Data(), Table_SourceData_Scope3_LickBlocks[[#Headers],[Category]], -73, 2)</calculatedColumnFormula>
    </tableColumn>
    <tableColumn id="2" xr3:uid="{3FF84858-750C-4566-9D71-0F23E5C2D255}" name="Product" dataDxfId="223" dataCellStyle="Content normal">
      <calculatedColumnFormula array="1">Common_InputFunctions.Utility_DisplayArrayInTable(Scope3_SourceData.Scope3_Feed_Data(), Table_SourceData_Scope3_LickBlocks[[#Headers],[Category]], -73, 2)</calculatedColumnFormula>
    </tableColumn>
    <tableColumn id="3" xr3:uid="{6CD3EF44-E799-4588-9C98-DC37352A45C1}" name="Region of origin" dataDxfId="222" dataCellStyle="Content normal">
      <calculatedColumnFormula array="1">Common_InputFunctions.Utility_DisplayArrayInTable(Scope3_SourceData.Scope3_Feed_Data(), Table_SourceData_Scope3_LickBlocks[[#Headers],[Category]], -73, 2)</calculatedColumnFormula>
    </tableColumn>
    <tableColumn id="4" xr3:uid="{D4514306-67FC-494E-BDED-91C48A086011}" name="Quantity Unit" dataDxfId="221" dataCellStyle="Content normal">
      <calculatedColumnFormula array="1">Common_InputFunctions.Utility_DisplayArrayInTable(Scope3_SourceData.Scope3_Feed_Data(), Table_SourceData_Scope3_LickBlocks[[#Headers],[Category]], -73, 2)</calculatedColumnFormula>
    </tableColumn>
    <tableColumn id="5" xr3:uid="{1F62073E-6981-4292-896E-AD87710B0F89}" name="AusLCI Emissions intensity" dataDxfId="220" dataCellStyle="Content normal">
      <calculatedColumnFormula array="1">Common_InputFunctions.Utility_DisplayArrayInTable(Scope3_SourceData.Scope3_Feed_Data(), Table_SourceData_Scope3_LickBlocks[[#Headers],[Category]], -73, 2)</calculatedColumnFormula>
    </tableColumn>
    <tableColumn id="6" xr3:uid="{8B747B0B-1D64-4B8C-8FFD-6931FC5878CC}" name="System boundary" dataDxfId="219" dataCellStyle="Content normal">
      <calculatedColumnFormula array="1">Common_InputFunctions.Utility_DisplayArrayInTable(Scope3_SourceData.Scope3_Feed_Data(), Table_SourceData_Scope3_LickBlocks[[#Headers],[Category]], -73, 2)</calculatedColumnFormula>
    </tableColumn>
  </tableColumns>
  <tableStyleInfo name="Equation table" showFirstColumn="0" showLastColumn="0" showRowStripes="1" showColumnStripes="0"/>
</table>
</file>

<file path=xl/tables/table9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1" xr:uid="{1D958255-6879-4BEB-9F61-8AFE685165BB}" name="Table_SourceData_Scope3_MixedRations" displayName="Table_SourceData_Scope3_MixedRations" ref="D161:I165" totalsRowShown="0" headerRowDxfId="218" headerRowCellStyle="Content normal">
  <autoFilter ref="D161:I165" xr:uid="{1D958255-6879-4BEB-9F61-8AFE685165BB}">
    <filterColumn colId="0" hiddenButton="1"/>
    <filterColumn colId="1" hiddenButton="1"/>
    <filterColumn colId="2" hiddenButton="1"/>
    <filterColumn colId="3" hiddenButton="1"/>
    <filterColumn colId="4" hiddenButton="1"/>
    <filterColumn colId="5" hiddenButton="1"/>
  </autoFilter>
  <tableColumns count="6">
    <tableColumn id="1" xr3:uid="{F8F83081-CECF-4A9D-9DDF-0E7F39862E23}" name="Category" dataDxfId="217" dataCellStyle="Content normal">
      <calculatedColumnFormula array="1">Common_InputFunctions.Utility_DisplayArrayInTable(Scope3_SourceData.Scope3_Feed_Data(), Table_SourceData_Scope3_MixedRations[[#Headers],[Category]], -66, 2)</calculatedColumnFormula>
    </tableColumn>
    <tableColumn id="2" xr3:uid="{17F6ADBB-F5DB-4374-89F5-BF77C115DB64}" name="Product" dataDxfId="216" dataCellStyle="Content normal">
      <calculatedColumnFormula array="1">Common_InputFunctions.Utility_DisplayArrayInTable(Scope3_SourceData.Scope3_Feed_Data(), Table_SourceData_Scope3_MixedRations[[#Headers],[Category]], -66, 2)</calculatedColumnFormula>
    </tableColumn>
    <tableColumn id="3" xr3:uid="{3F3E2E49-2911-41A8-9D6B-70B6444FC1D6}" name="Region of origin" dataDxfId="215" dataCellStyle="Content normal">
      <calculatedColumnFormula array="1">Common_InputFunctions.Utility_DisplayArrayInTable(Scope3_SourceData.Scope3_Feed_Data(), Table_SourceData_Scope3_MixedRations[[#Headers],[Category]], -66, 2)</calculatedColumnFormula>
    </tableColumn>
    <tableColumn id="4" xr3:uid="{6ED78C2B-2414-41EB-8B66-3CBB3FB19983}" name="Quantity Unit" dataDxfId="214" dataCellStyle="Content normal">
      <calculatedColumnFormula array="1">Common_InputFunctions.Utility_DisplayArrayInTable(Scope3_SourceData.Scope3_Feed_Data(), Table_SourceData_Scope3_MixedRations[[#Headers],[Category]], -66, 2)</calculatedColumnFormula>
    </tableColumn>
    <tableColumn id="5" xr3:uid="{DCFC09BB-3FD0-4ECF-8514-5711C9A62B23}" name="AusLCI Emissions intensity" dataDxfId="213" dataCellStyle="Content normal">
      <calculatedColumnFormula array="1">Common_InputFunctions.Utility_DisplayArrayInTable(Scope3_SourceData.Scope3_Feed_Data(), Table_SourceData_Scope3_MixedRations[[#Headers],[Category]], -66, 2)</calculatedColumnFormula>
    </tableColumn>
    <tableColumn id="6" xr3:uid="{0E4567CD-8A41-4411-9344-50A2F142C06F}" name="System boundary" dataDxfId="212" dataCellStyle="Content normal">
      <calculatedColumnFormula array="1">Common_InputFunctions.Utility_DisplayArrayInTable(Scope3_SourceData.Scope3_Feed_Data(), Table_SourceData_Scope3_MixedRations[[#Headers],[Category]], -66, 2)</calculatedColumnFormula>
    </tableColumn>
  </tableColumns>
  <tableStyleInfo name="Equation table" showFirstColumn="0" showLastColumn="0" showRowStripes="1" showColumnStripes="0"/>
</table>
</file>

<file path=xl/tables/table9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3" xr:uid="{CE347908-ACBC-4A97-A54B-325F495C7F74}" name="Table_ProductRegions_Sardineswhole" displayName="Table_ProductRegions_Sardineswhole" ref="K89:L90" totalsRowShown="0">
  <autoFilter ref="K89:L90" xr:uid="{CE347908-ACBC-4A97-A54B-325F495C7F74}">
    <filterColumn colId="0" hiddenButton="1"/>
    <filterColumn colId="1" hiddenButton="1"/>
  </autoFilter>
  <tableColumns count="2">
    <tableColumn id="1" xr3:uid="{945C1647-7F59-469D-9ECC-C1CE89C4CF51}" name="Product">
      <calculatedColumnFormula>Table_SourceData_Scope3_Feed[[#This Row],[Product]]</calculatedColumnFormula>
    </tableColumn>
    <tableColumn id="2" xr3:uid="{81A311AA-D3A2-4081-9131-FB76E5401064}" name="Region">
      <calculatedColumnFormula>Table_SourceData_Scope3_Feed[[#This Row],[Region of origin]]</calculatedColumnFormula>
    </tableColumn>
  </tableColumns>
  <tableStyleInfo name="Equation table" showFirstColumn="0" showLastColumn="0" showRowStripes="1" showColumnStripes="0"/>
</table>
</file>

<file path=xl/tables/table9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4" xr:uid="{4CC6C9C2-1CED-45A7-AB1B-72FD8DBB4178}" name="Table_ProductRegions_Barleygrain" displayName="Table_ProductRegions_Barleygrain" ref="N90:O98" totalsRowShown="0">
  <autoFilter ref="N90:O98" xr:uid="{4CC6C9C2-1CED-45A7-AB1B-72FD8DBB4178}">
    <filterColumn colId="0" hiddenButton="1"/>
    <filterColumn colId="1" hiddenButton="1"/>
  </autoFilter>
  <tableColumns count="2">
    <tableColumn id="1" xr3:uid="{5664F718-42BA-4223-9181-A77E546BAE1D}" name="Product">
      <calculatedColumnFormula>Table_SourceData_Scope3_Feed[[#This Row],[Product]]</calculatedColumnFormula>
    </tableColumn>
    <tableColumn id="2" xr3:uid="{D58DAB78-4739-4D37-BD60-9386C4FB3DF1}" name="Region">
      <calculatedColumnFormula>Table_SourceData_Scope3_Feed[[#This Row],[Region of origin]]</calculatedColumnFormula>
    </tableColumn>
  </tableColumns>
  <tableStyleInfo name="Equation table" showFirstColumn="0" showLastColumn="0" showRowStripes="1" showColumnStripes="0"/>
</table>
</file>

<file path=xl/tables/table9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5" xr:uid="{70F320A7-5DBE-4A83-91E4-C9B3BDA564BD}" name="Table_ProductRegions_Maizegrain" displayName="Table_ProductRegions_Maizegrain" ref="K98:L105" totalsRowShown="0" headerRowDxfId="211" headerRowCellStyle="Content normal">
  <autoFilter ref="K98:L105" xr:uid="{70F320A7-5DBE-4A83-91E4-C9B3BDA564BD}">
    <filterColumn colId="0" hiddenButton="1"/>
    <filterColumn colId="1" hiddenButton="1"/>
  </autoFilter>
  <tableColumns count="2">
    <tableColumn id="1" xr3:uid="{8A513684-3B15-4728-8FF7-B75E1C46FDFF}" name="Product">
      <calculatedColumnFormula>Table_SourceData_Scope3_Feed[[#This Row],[Product]]</calculatedColumnFormula>
    </tableColumn>
    <tableColumn id="2" xr3:uid="{1D4B4388-F864-4F7C-9BA6-6EDD17344E99}" name="Region">
      <calculatedColumnFormula>Table_SourceData_Scope3_Feed[[#This Row],[Region of origin]]</calculatedColumnFormula>
    </tableColumn>
  </tableColumns>
  <tableStyleInfo name="Equation table" showFirstColumn="0" showLastColumn="0" showRowStripes="1" showColumnStripes="0"/>
</table>
</file>

<file path=xl/tables/table9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6" xr:uid="{90205417-8A77-41A3-A4E2-624BD92B7269}" name="Table_ProductRegions_Sorghumgrain" displayName="Table_ProductRegions_Sorghumgrain" ref="N105:O110" totalsRowShown="0" headerRowDxfId="210" headerRowCellStyle="Content normal">
  <autoFilter ref="N105:O110" xr:uid="{90205417-8A77-41A3-A4E2-624BD92B7269}">
    <filterColumn colId="0" hiddenButton="1"/>
    <filterColumn colId="1" hiddenButton="1"/>
  </autoFilter>
  <tableColumns count="2">
    <tableColumn id="1" xr3:uid="{8CAF71D4-F198-470E-B0AD-32BACC7F74B7}" name="Product">
      <calculatedColumnFormula>Table_SourceData_Scope3_Feed[[#This Row],[Product]]</calculatedColumnFormula>
    </tableColumn>
    <tableColumn id="2" xr3:uid="{A4BF9C0A-17AA-403A-B5FE-F13D886421DA}" name="Region">
      <calculatedColumnFormula>Table_SourceData_Scope3_Feed[[#This Row],[Region of origin]]</calculatedColumnFormula>
    </tableColumn>
  </tableColumns>
  <tableStyleInfo name="Equation table" showFirstColumn="0" showLastColumn="0" showRowStripes="1" showColumnStripes="0"/>
</table>
</file>

<file path=xl/tables/table9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7" xr:uid="{9DD7D3AD-59A1-48FC-B80D-99C25A2A79F5}" name="Table_ProductRegions_Wheatgrain" displayName="Table_ProductRegions_Wheatgrain" ref="K110:L118" totalsRowShown="0" headerRowDxfId="209" headerRowCellStyle="Content normal">
  <autoFilter ref="K110:L118" xr:uid="{9DD7D3AD-59A1-48FC-B80D-99C25A2A79F5}">
    <filterColumn colId="0" hiddenButton="1"/>
    <filterColumn colId="1" hiddenButton="1"/>
  </autoFilter>
  <tableColumns count="2">
    <tableColumn id="1" xr3:uid="{BCFAAD99-5F01-425C-B95B-E16E8C36199D}" name="Product">
      <calculatedColumnFormula>Table_SourceData_Scope3_Feed[[#This Row],[Product]]</calculatedColumnFormula>
    </tableColumn>
    <tableColumn id="2" xr3:uid="{E4C47197-8F10-484C-A4A1-777A12716EA4}" name="Region">
      <calculatedColumnFormula>Table_SourceData_Scope3_Feed[[#This Row],[Region of origin]]</calculatedColumnFormula>
    </tableColumn>
  </tableColumns>
  <tableStyleInfo name="Equation table" showFirstColumn="0" showLastColumn="0" showRowStripes="1" showColumnStripes="0"/>
</table>
</file>

<file path=xl/tables/table10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8" xr:uid="{245CC575-8EB6-4B35-B4B5-B1CE9D9C39F8}" name="Table_ProductRegions_Cerealhay" displayName="Table_ProductRegions_Cerealhay" ref="N118:O125" totalsRowShown="0">
  <autoFilter ref="N118:O125" xr:uid="{245CC575-8EB6-4B35-B4B5-B1CE9D9C39F8}">
    <filterColumn colId="0" hiddenButton="1"/>
    <filterColumn colId="1" hiddenButton="1"/>
  </autoFilter>
  <tableColumns count="2">
    <tableColumn id="1" xr3:uid="{232AC097-A016-4FDE-8772-4DAA515FE7D7}" name="Product">
      <calculatedColumnFormula>Table_SourceData_Scope3_Feed[[#This Row],[Product]]</calculatedColumnFormula>
    </tableColumn>
    <tableColumn id="2" xr3:uid="{38E00CDB-2FD4-4256-AA61-D24E378A3D11}" name="Region">
      <calculatedColumnFormula>Table_SourceData_Scope3_Feed[[#This Row],[Region of origin]]</calculatedColumnFormula>
    </tableColumn>
  </tableColumns>
  <tableStyleInfo name="Equation table" showFirstColumn="0" showLastColumn="0" showRowStripes="1" showColumnStripes="0"/>
</table>
</file>

<file path=xl/tables/table10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9" xr:uid="{FD45B7F5-0F1B-474D-A048-21B8C1E86239}" name="Table_ProductRegions_Cerealsilage" displayName="Table_ProductRegions_Cerealsilage" ref="K125:L131" totalsRowShown="0">
  <autoFilter ref="K125:L131" xr:uid="{FD45B7F5-0F1B-474D-A048-21B8C1E86239}">
    <filterColumn colId="0" hiddenButton="1"/>
    <filterColumn colId="1" hiddenButton="1"/>
  </autoFilter>
  <tableColumns count="2">
    <tableColumn id="1" xr3:uid="{1BC2DAF2-75FA-45FD-A340-D1CDA2E025AF}" name="Product">
      <calculatedColumnFormula>Table_SourceData_Scope3_Feed[[#This Row],[Product]]</calculatedColumnFormula>
    </tableColumn>
    <tableColumn id="2" xr3:uid="{10904676-673E-40F4-A580-C2352762A9A9}" name="Region">
      <calculatedColumnFormula>Table_SourceData_Scope3_Feed[[#This Row],[Region of origin]]</calculatedColumnFormula>
    </tableColumn>
  </tableColumns>
  <tableStyleInfo name="Equation table" showFirstColumn="0" showLastColumn="0" showRowStripes="1" showColumnStripes="0"/>
</table>
</file>

<file path=xl/tables/table10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0" xr:uid="{4DF6C49E-FF29-4EC2-AABA-1FE3CF552A22}" name="Table_ProductRegions_Lucernehay" displayName="Table_ProductRegions_Lucernehay" ref="N131:O138" totalsRowShown="0">
  <autoFilter ref="N131:O138" xr:uid="{4DF6C49E-FF29-4EC2-AABA-1FE3CF552A22}">
    <filterColumn colId="0" hiddenButton="1"/>
    <filterColumn colId="1" hiddenButton="1"/>
  </autoFilter>
  <tableColumns count="2">
    <tableColumn id="1" xr3:uid="{44569DEA-8769-46B9-A341-EE1B83363294}" name="Product">
      <calculatedColumnFormula>Table_SourceData_Scope3_Feed[[#This Row],[Product]]</calculatedColumnFormula>
    </tableColumn>
    <tableColumn id="2" xr3:uid="{D8700C5D-7929-4241-92AF-CF01E9881424}" name="Region">
      <calculatedColumnFormula>Table_SourceData_Scope3_Feed[[#This Row],[Region of origin]]</calculatedColumnFormula>
    </tableColumn>
  </tableColumns>
  <tableStyleInfo name="Equation table" showFirstColumn="0" showLastColumn="0" showRowStripes="1" showColumnStripes="0"/>
</table>
</file>

<file path=xl/tables/table10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1" xr:uid="{5CE14642-4488-4D3C-A2B0-48CEF5738148}" name="Table_ProductRegions_Oatenhay" displayName="Table_ProductRegions_Oatenhay" ref="K138:L144" totalsRowShown="0">
  <autoFilter ref="K138:L144" xr:uid="{5CE14642-4488-4D3C-A2B0-48CEF5738148}">
    <filterColumn colId="0" hiddenButton="1"/>
    <filterColumn colId="1" hiddenButton="1"/>
  </autoFilter>
  <tableColumns count="2">
    <tableColumn id="1" xr3:uid="{AF0926BC-52D3-4298-A3CE-4E5AD5ACE599}" name="Product">
      <calculatedColumnFormula>Table_SourceData_Scope3_Feed[[#This Row],[Product]]</calculatedColumnFormula>
    </tableColumn>
    <tableColumn id="2" xr3:uid="{22EDBA27-6916-4D05-9240-A8FFBC5F3963}" name="Region">
      <calculatedColumnFormula>Table_SourceData_Scope3_Feed[[#This Row],[Region of origin]]</calculatedColumnFormula>
    </tableColumn>
  </tableColumns>
  <tableStyleInfo name="Equation table" showFirstColumn="0" showLastColumn="0" showRowStripes="1" showColumnStripes="0"/>
</table>
</file>

<file path=xl/tables/table10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2" xr:uid="{BD72E544-66B7-4CC1-B2C8-F2136AAB32F7}" name="Table_ProductRegions_Pasturehay" displayName="Table_ProductRegions_Pasturehay" ref="N144:O151" totalsRowShown="0">
  <autoFilter ref="N144:O151" xr:uid="{BD72E544-66B7-4CC1-B2C8-F2136AAB32F7}">
    <filterColumn colId="0" hiddenButton="1"/>
    <filterColumn colId="1" hiddenButton="1"/>
  </autoFilter>
  <tableColumns count="2">
    <tableColumn id="1" xr3:uid="{47833BE6-BC36-4E64-A9B0-E7F4E81D1CB2}" name="Product">
      <calculatedColumnFormula>Table_SourceData_Scope3_Feed[[#This Row],[Product]]</calculatedColumnFormula>
    </tableColumn>
    <tableColumn id="2" xr3:uid="{97D465EB-64C0-4F64-A782-549ABD7ACA4D}" name="Region">
      <calculatedColumnFormula>Table_SourceData_Scope3_Feed[[#This Row],[Region of origin]]</calculatedColumnFormula>
    </tableColumn>
  </tableColumns>
  <tableStyleInfo name="Equation table" showFirstColumn="0" showLastColumn="0" showRowStripes="1" showColumnStripes="0"/>
</table>
</file>

<file path=xl/tables/table10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3" xr:uid="{58F78B6F-294E-4D4E-8E3B-BFE4FA85583E}" name="Table_ProductRegions_Canolameal" displayName="Table_ProductRegions_Canolameal" ref="K151:L152" totalsRowShown="0" headerRowDxfId="208" headerRowCellStyle="Content normal" dataCellStyle="Content normal">
  <autoFilter ref="K151:L152" xr:uid="{58F78B6F-294E-4D4E-8E3B-BFE4FA85583E}">
    <filterColumn colId="0" hiddenButton="1"/>
    <filterColumn colId="1" hiddenButton="1"/>
  </autoFilter>
  <tableColumns count="2">
    <tableColumn id="1" xr3:uid="{67D1AABE-BAD4-447B-93B8-EBF6341081D3}" name="Product" dataCellStyle="Content normal">
      <calculatedColumnFormula>Table_SourceData_Scope3_Feed[[#This Row],[Product]]</calculatedColumnFormula>
    </tableColumn>
    <tableColumn id="2" xr3:uid="{B64DE0AB-200D-482D-87A5-6B0F7AAB72A3}" name="Region" dataCellStyle="Content normal">
      <calculatedColumnFormula>Table_SourceData_Scope3_Feed[[#This Row],[Region of origin]]</calculatedColumnFormula>
    </tableColumn>
  </tableColumns>
  <tableStyleInfo name="Equation table" showFirstColumn="0" showLastColumn="0" showRowStripes="1" showColumnStripes="0"/>
</table>
</file>

<file path=xl/tables/table10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4" xr:uid="{D9ACC97D-5A56-40C9-A49D-02AE70D1528F}" name="Table_ProductRegions_Meatmeal" displayName="Table_ProductRegions_Meatmeal" ref="N152:O153" totalsRowShown="0">
  <autoFilter ref="N152:O153" xr:uid="{D9ACC97D-5A56-40C9-A49D-02AE70D1528F}">
    <filterColumn colId="0" hiddenButton="1"/>
    <filterColumn colId="1" hiddenButton="1"/>
  </autoFilter>
  <tableColumns count="2">
    <tableColumn id="1" xr3:uid="{5C61A0C9-D6E2-4399-A917-6247DEA787B6}" name="Product">
      <calculatedColumnFormula>Table_SourceData_Scope3_Feed[[#This Row],[Product]]</calculatedColumnFormula>
    </tableColumn>
    <tableColumn id="2" xr3:uid="{FB39D82B-1915-4127-B8DC-BB6CDD37C69F}" name="Region">
      <calculatedColumnFormula>Table_SourceData_Scope3_Feed[[#This Row],[Region of origin]]</calculatedColumnFormula>
    </tableColumn>
  </tableColumns>
  <tableStyleInfo name="Equation table" showFirstColumn="0" showLastColumn="0" showRowStripes="1" showColumnStripes="0"/>
</table>
</file>

<file path=xl/tables/table10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5" xr:uid="{1C990ACD-1539-48DE-9CB9-7E6ABD45F865}" name="Table_ProductRegions_Soybeanmeal" displayName="Table_ProductRegions_Soybeanmeal" ref="K153:L154" totalsRowShown="0">
  <autoFilter ref="K153:L154" xr:uid="{1C990ACD-1539-48DE-9CB9-7E6ABD45F865}">
    <filterColumn colId="0" hiddenButton="1"/>
    <filterColumn colId="1" hiddenButton="1"/>
  </autoFilter>
  <tableColumns count="2">
    <tableColumn id="1" xr3:uid="{4552E057-14F0-4DD6-AEC3-5F3FC817A074}" name="Product">
      <calculatedColumnFormula>Table_SourceData_Scope3_Feed[[#This Row],[Product]]</calculatedColumnFormula>
    </tableColumn>
    <tableColumn id="2" xr3:uid="{CB8228EF-CA06-4F23-8AC2-FD9606615F4E}" name="Region">
      <calculatedColumnFormula>Table_SourceData_Scope3_Feed[[#This Row],[Region of origin]]</calculatedColumnFormula>
    </tableColumn>
  </tableColumns>
  <tableStyleInfo name="Equation table" showFirstColumn="0" showLastColumn="0" showRowStripes="1" showColumnStripes="0"/>
</table>
</file>

<file path=xl/tables/table10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6" xr:uid="{27F97D39-363D-44DD-BCB4-6C8D8B6B10B7}" name="Table_ProductRegions_Wheatbran" displayName="Table_ProductRegions_Wheatbran" ref="N154:O155" totalsRowShown="0">
  <autoFilter ref="N154:O155" xr:uid="{27F97D39-363D-44DD-BCB4-6C8D8B6B10B7}">
    <filterColumn colId="0" hiddenButton="1"/>
    <filterColumn colId="1" hiddenButton="1"/>
  </autoFilter>
  <tableColumns count="2">
    <tableColumn id="1" xr3:uid="{E4E4F2C5-E9E9-4E83-9AB8-3D7BAB445C7C}" name="Product">
      <calculatedColumnFormula>Table_SourceData_Scope3_Feed[[#This Row],[Product]]</calculatedColumnFormula>
    </tableColumn>
    <tableColumn id="2" xr3:uid="{0CBFE8FA-A486-4EC2-A650-280D23D0085D}" name="Region">
      <calculatedColumnFormula>Table_SourceData_Scope3_Feed[[#This Row],[Region of origin]]</calculatedColumnFormula>
    </tableColumn>
  </tableColumns>
  <tableStyleInfo name="Equation table" showFirstColumn="0" showLastColumn="0" showRowStripes="1" showColumnStripes="0"/>
</table>
</file>

<file path=xl/tables/table10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7" xr:uid="{09E4264E-4E86-40F1-AA3A-76335558A05D}" name="Table_ProductRegions_Bentonite" displayName="Table_ProductRegions_Bentonite" ref="K155:L156" totalsRowShown="0">
  <autoFilter ref="K155:L156" xr:uid="{09E4264E-4E86-40F1-AA3A-76335558A05D}">
    <filterColumn colId="0" hiddenButton="1"/>
    <filterColumn colId="1" hiddenButton="1"/>
  </autoFilter>
  <tableColumns count="2">
    <tableColumn id="1" xr3:uid="{8F709C97-D69A-46E4-8CDD-41528AEF31DC}" name="Product">
      <calculatedColumnFormula>Table_SourceData_Scope3_Feed[[#This Row],[Product]]</calculatedColumnFormula>
    </tableColumn>
    <tableColumn id="2" xr3:uid="{F700D495-AFC3-490A-B7A9-A4D96953AF14}" name="Region">
      <calculatedColumnFormula>Table_SourceData_Scope3_Feed[[#This Row],[Region of origin]]</calculatedColumnFormula>
    </tableColumn>
  </tableColumns>
  <tableStyleInfo name="Equation table" showFirstColumn="0" showLastColumn="0" showRowStripes="1" showColumnStripes="0"/>
</table>
</file>

<file path=xl/tables/table1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8" xr:uid="{A0E0877F-5B97-438A-89BF-391F139E6C20}" name="Table_ProductRegions_Canolaoil" displayName="Table_ProductRegions_Canolaoil" ref="N156:O157" totalsRowShown="0">
  <autoFilter ref="N156:O157" xr:uid="{A0E0877F-5B97-438A-89BF-391F139E6C20}">
    <filterColumn colId="0" hiddenButton="1"/>
    <filterColumn colId="1" hiddenButton="1"/>
  </autoFilter>
  <tableColumns count="2">
    <tableColumn id="1" xr3:uid="{5BD08D66-236B-4A21-8EE3-0DC05650C30D}" name="Product">
      <calculatedColumnFormula>Table_SourceData_Scope3_Feed[[#This Row],[Product]]</calculatedColumnFormula>
    </tableColumn>
    <tableColumn id="2" xr3:uid="{CEB44EDC-668C-4405-9A4D-8B87223BF718}" name="Region">
      <calculatedColumnFormula>Table_SourceData_Scope3_Feed[[#This Row],[Region of origin]]</calculatedColumnFormula>
    </tableColumn>
  </tableColumns>
  <tableStyleInfo name="Equation table" showFirstColumn="0" showLastColumn="0" showRowStripes="1" showColumnStripes="0"/>
</table>
</file>

<file path=xl/tables/table1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9" xr:uid="{77EE7649-CF58-45FA-964C-E4A392F4902C}" name="Table_ProductRegions_Cottonseed" displayName="Table_ProductRegions_Cottonseed" ref="K157:L158" totalsRowShown="0">
  <autoFilter ref="K157:L158" xr:uid="{77EE7649-CF58-45FA-964C-E4A392F4902C}">
    <filterColumn colId="0" hiddenButton="1"/>
    <filterColumn colId="1" hiddenButton="1"/>
  </autoFilter>
  <tableColumns count="2">
    <tableColumn id="1" xr3:uid="{F6AEA5C7-0F9B-4957-BC46-0C4126158420}" name="Product">
      <calculatedColumnFormula>Table_SourceData_Scope3_Feed[[#This Row],[Product]]</calculatedColumnFormula>
    </tableColumn>
    <tableColumn id="2" xr3:uid="{4AA3B134-144F-4D6D-B0EA-9E96E73FAC81}" name="Region">
      <calculatedColumnFormula>Table_SourceData_Scope3_Feed[[#This Row],[Region of origin]]</calculatedColumnFormula>
    </tableColumn>
  </tableColumns>
  <tableStyleInfo name="Equation table" showFirstColumn="0" showLastColumn="0" showRowStripes="1" showColumnStripes="0"/>
</table>
</file>

<file path=xl/tables/table1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0" xr:uid="{EBEFFF0B-F932-4AFC-ABDF-6907D5107FE5}" name="Table_ProductRegions_Molasses" displayName="Table_ProductRegions_Molasses" ref="N158:O159" totalsRowShown="0">
  <autoFilter ref="N158:O159" xr:uid="{EBEFFF0B-F932-4AFC-ABDF-6907D5107FE5}">
    <filterColumn colId="0" hiddenButton="1"/>
    <filterColumn colId="1" hiddenButton="1"/>
  </autoFilter>
  <tableColumns count="2">
    <tableColumn id="1" xr3:uid="{1BF93CE1-17D7-44CC-B5BD-89CA52F56749}" name="Product">
      <calculatedColumnFormula>Table_SourceData_Scope3_Feed[[#This Row],[Product]]</calculatedColumnFormula>
    </tableColumn>
    <tableColumn id="2" xr3:uid="{DAF1C44E-ABB4-4659-AD12-6A7CE97EFAC4}" name="Region">
      <calculatedColumnFormula>Table_SourceData_Scope3_Feed[[#This Row],[Region of origin]]</calculatedColumnFormula>
    </tableColumn>
  </tableColumns>
  <tableStyleInfo name="Equation table" showFirstColumn="0" showLastColumn="0" showRowStripes="1" showColumnStripes="0"/>
</table>
</file>

<file path=xl/tables/table1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9" xr:uid="{77539992-728B-4655-965B-FB28372E4BBC}" name="Table_ProductRegions_Beefcattle" displayName="Table_ProductRegions_Beefcattle" ref="K33:L49" totalsRowShown="0">
  <autoFilter ref="K33:L49" xr:uid="{77539992-728B-4655-965B-FB28372E4BBC}">
    <filterColumn colId="0" hiddenButton="1"/>
    <filterColumn colId="1" hiddenButton="1"/>
  </autoFilter>
  <tableColumns count="2">
    <tableColumn id="1" xr3:uid="{EA6D5E06-7386-4DA6-AC11-D24B4D31B806}" name="Region"/>
    <tableColumn id="2" xr3:uid="{192E343D-FA92-4130-88B1-0764C1C5107A}" name="Scope3 region"/>
  </tableColumns>
  <tableStyleInfo name="Equation table" showFirstColumn="0" showLastColumn="0" showRowStripes="1" showColumnStripes="0"/>
</table>
</file>

<file path=xl/tables/table1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0" xr:uid="{AC65DBE5-7D9B-4C6C-A471-25B809CFACA3}" name="Table_LivestockClasses_Beefcattle" displayName="Table_LivestockClasses_Beefcattle" ref="K52:K62" totalsRowShown="0">
  <autoFilter ref="K52:K62" xr:uid="{AC65DBE5-7D9B-4C6C-A471-25B809CFACA3}">
    <filterColumn colId="0" hiddenButton="1"/>
  </autoFilter>
  <tableColumns count="1">
    <tableColumn id="1" xr3:uid="{F054DBEF-CB77-47FB-A5F3-319D5BAF2FD9}" name="Livestock class"/>
  </tableColumns>
  <tableStyleInfo name="Equation table" showFirstColumn="0" showLastColumn="0" showRowStripes="1" showColumnStripes="0"/>
</table>
</file>

<file path=xl/tables/table1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4" xr:uid="{0E000E66-D763-4927-9F8E-C3B8A94E50FD}" name="Table_Data_MMSSymbols" displayName="Table_Data_MMSSymbols" ref="D6:F24" totalsRowShown="0">
  <autoFilter ref="D6:F24" xr:uid="{0E000E66-D763-4927-9F8E-C3B8A94E50FD}">
    <filterColumn colId="0" hiddenButton="1"/>
    <filterColumn colId="1" hiddenButton="1"/>
    <filterColumn colId="2" hiddenButton="1"/>
  </autoFilter>
  <tableColumns count="3">
    <tableColumn id="1" xr3:uid="{3C2F8669-2292-41BE-AD7A-5D44DD7970E6}" name="Symbol">
      <calculatedColumnFormula array="1">Common_InputFunctions.Utility_DisplayArrayInTable(CommonLivestock_SourceData.SourceData_Livestock_Common_SymbolsMMS_Data(), Table_Data_MMSSymbols[[#Headers],[Symbol]], 0)</calculatedColumnFormula>
    </tableColumn>
    <tableColumn id="2" xr3:uid="{7CAEC858-D3C7-45CB-8D28-1A6D196D54C8}" name="Manure management system">
      <calculatedColumnFormula array="1">Common_InputFunctions.Utility_DisplayArrayInTable(CommonLivestock_SourceData.SourceData_Livestock_Common_SymbolsMMS_Data(), Table_Data_MMSSymbols[[#Headers],[Symbol]], 0)</calculatedColumnFormula>
    </tableColumn>
    <tableColumn id="3" xr3:uid="{A0456DD7-0E0C-4A6D-A5A9-DF42A59B6B9C}" name="Symbol and MMS">
      <calculatedColumnFormula array="1">Common_InputFunctions.Utility_DisplayArrayInTable(CommonLivestock_SourceData.SourceData_Livestock_Common_SymbolsMMS_Data(), Table_Data_MMSSymbols[[#Headers],[Symbol]], 0)</calculatedColumnFormula>
    </tableColumn>
  </tableColumns>
  <tableStyleInfo name="Equation table" showFirstColumn="0" showLastColumn="0" showRowStripes="1" showColumnStripes="0"/>
</table>
</file>

<file path=xl/tables/table1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5" xr:uid="{C8FE36D3-CC70-4E55-B1CD-2DF9D88511B2}" name="Table_SourceData_LivestockProduct_Beefcattle" displayName="Table_SourceData_LivestockProduct_Beefcattle" ref="D28:E36" totalsRowShown="0">
  <autoFilter ref="D28:E36" xr:uid="{C8FE36D3-CC70-4E55-B1CD-2DF9D88511B2}">
    <filterColumn colId="0" hiddenButton="1"/>
    <filterColumn colId="1" hiddenButton="1"/>
  </autoFilter>
  <tableColumns count="2">
    <tableColumn id="1" xr3:uid="{D52CCD92-2E4B-42E8-A3CE-6F6DB8B09E1E}" name="Product">
      <calculatedColumnFormula array="1">Common_InputFunctions.Utility_DisplayArrayInTable(CommonLivestock_SourceData.SourceData_Livestock_Product_BeefCattle_Data(),Table_SourceData_LivestockProduct_Beefcattle[[#Headers],[Product]],0)</calculatedColumnFormula>
    </tableColumn>
    <tableColumn id="2" xr3:uid="{916DA7EA-11C4-448D-9858-CE3060A32C56}" name="Source region" dataDxfId="207" dataCellStyle="Content normal">
      <calculatedColumnFormula array="1">Common_InputFunctions.Utility_DisplayArrayInTable(CommonLivestock_SourceData.SourceData_Livestock_Product_BeefCattle_Data(),Table_SourceData_LivestockProduct_Beefcattle[[#Headers],[Product]],0)</calculatedColumnFormula>
    </tableColumn>
  </tableColumns>
  <tableStyleInfo name="Equation table" showFirstColumn="0" showLastColumn="0" showRowStripes="1" showColumnStripes="0"/>
</table>
</file>

<file path=xl/tables/table1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6" xr:uid="{879A0650-599F-46E3-BDCA-CF804D191F3B}" name="Table_SourceData_LivestockProduct_Sheep" displayName="Table_SourceData_LivestockProduct_Sheep" ref="D40:E47" totalsRowShown="0" dataDxfId="206" dataCellStyle="Content normal">
  <autoFilter ref="D40:E47" xr:uid="{879A0650-599F-46E3-BDCA-CF804D191F3B}">
    <filterColumn colId="0" hiddenButton="1"/>
    <filterColumn colId="1" hiddenButton="1"/>
  </autoFilter>
  <tableColumns count="2">
    <tableColumn id="1" xr3:uid="{F237F8B2-5CE9-4094-A201-E708B82BA8BF}" name="Product" dataDxfId="205" dataCellStyle="Content normal">
      <calculatedColumnFormula array="1">Common_InputFunctions.Utility_DisplayArrayInTable(CommonLivestock_SourceData.SourceData_Livestock_Product_Sheep_Data(),Table_SourceData_LivestockProduct_Sheep[[#Headers],[Product]],0)</calculatedColumnFormula>
    </tableColumn>
    <tableColumn id="2" xr3:uid="{0EDD4751-35AD-4459-93E0-CE98B5BABBF2}" name="Source region" dataDxfId="204" dataCellStyle="Content normal">
      <calculatedColumnFormula array="1">Common_InputFunctions.Utility_DisplayArrayInTable(CommonLivestock_SourceData.SourceData_Livestock_Product_Sheep_Data(),Table_SourceData_LivestockProduct_Sheep[[#Headers],[Product]],0)</calculatedColumnFormula>
    </tableColumn>
  </tableColumns>
  <tableStyleInfo name="Equation table" showFirstColumn="0" showLastColumn="0" showRowStripes="1" showColumnStripes="0"/>
</table>
</file>

<file path=xl/tables/table1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7" xr:uid="{5D161BB1-95E1-405D-861A-B4883D49A51C}" name="Table_SourceData_LivestockProduct_Chickens" displayName="Table_SourceData_LivestockProduct_Chickens" ref="D51:E52" totalsRowShown="0" dataDxfId="203" dataCellStyle="Content normal">
  <autoFilter ref="D51:E52" xr:uid="{5D161BB1-95E1-405D-861A-B4883D49A51C}">
    <filterColumn colId="0" hiddenButton="1"/>
    <filterColumn colId="1" hiddenButton="1"/>
  </autoFilter>
  <tableColumns count="2">
    <tableColumn id="1" xr3:uid="{44557688-3D5A-45A6-818D-F1328BB9ECC9}" name="Product" dataDxfId="202" dataCellStyle="Content normal">
      <calculatedColumnFormula array="1">Common_InputFunctions.Utility_DisplayArrayInTable(CommonLivestock_SourceData.SourceData_Livestock_Product_Sheep_Data(),Table_SourceData_LivestockProduct_Chickens[[#Headers],[Product]],0)</calculatedColumnFormula>
    </tableColumn>
    <tableColumn id="2" xr3:uid="{EBB79BF0-E159-4EB6-BB7B-3F1244144FB8}" name="Source region" dataDxfId="201" dataCellStyle="Content normal">
      <calculatedColumnFormula array="1">Common_InputFunctions.Utility_DisplayArrayInTable(CommonLivestock_SourceData.SourceData_Livestock_Product_Sheep_Data(),Table_SourceData_LivestockProduct_Chickens[[#Headers],[Product]],0)</calculatedColumnFormula>
    </tableColumn>
  </tableColumns>
  <tableStyleInfo name="Equation table" showFirstColumn="0" showLastColumn="0" showRowStripes="1" showColumnStripes="0"/>
</table>
</file>

<file path=xl/tables/table1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8" xr:uid="{91542D18-4304-4E66-85EA-4F5A2B9391FE}" name="Table_SourceData_LivestockProduct_Dairycattle" displayName="Table_SourceData_LivestockProduct_Dairycattle" ref="D56:E57" totalsRowShown="0" dataDxfId="200" dataCellStyle="Content normal">
  <autoFilter ref="D56:E57" xr:uid="{91542D18-4304-4E66-85EA-4F5A2B9391FE}">
    <filterColumn colId="0" hiddenButton="1"/>
    <filterColumn colId="1" hiddenButton="1"/>
  </autoFilter>
  <tableColumns count="2">
    <tableColumn id="1" xr3:uid="{B414FDE1-8B5E-4532-8C69-A9C006972E91}" name="Product" dataDxfId="199" dataCellStyle="Content normal">
      <calculatedColumnFormula array="1">Common_InputFunctions.Utility_DisplayArrayInTable(CommonLivestock_SourceData.SourceData_Livestock_Product_Dairycattle_Data(),Table_SourceData_LivestockProduct_Dairycattle[[#Headers],[Product]],0)</calculatedColumnFormula>
    </tableColumn>
    <tableColumn id="2" xr3:uid="{87985B54-B921-41B1-974E-732C0558CFE9}" name="Source region" dataDxfId="198" dataCellStyle="Content normal">
      <calculatedColumnFormula array="1">Common_InputFunctions.Utility_DisplayArrayInTable(CommonLivestock_SourceData.SourceData_Livestock_Product_Dairycattle_Data(),Table_SourceData_LivestockProduct_Dairycattle[[#Headers],[Product]],0)</calculatedColumnFormula>
    </tableColumn>
  </tableColumns>
  <tableStyleInfo name="Equation table" showFirstColumn="0" showLastColumn="0" showRowStripes="1" showColumnStripes="0"/>
</table>
</file>

<file path=xl/tables/table1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9" xr:uid="{4B96D517-47DA-49C8-8030-0D501D458198}" name="Table_SourceData_LivestockProduct_Pigs" displayName="Table_SourceData_LivestockProduct_Pigs" ref="D61:E62" totalsRowShown="0" dataDxfId="197" dataCellStyle="Content normal">
  <autoFilter ref="D61:E62" xr:uid="{4B96D517-47DA-49C8-8030-0D501D458198}">
    <filterColumn colId="0" hiddenButton="1"/>
    <filterColumn colId="1" hiddenButton="1"/>
  </autoFilter>
  <tableColumns count="2">
    <tableColumn id="1" xr3:uid="{20B25AB9-804F-4D21-9C93-F44C0DAF008F}" name="Product" dataDxfId="196" dataCellStyle="Content normal">
      <calculatedColumnFormula array="1">Common_InputFunctions.Utility_DisplayArrayInTable(CommonLivestock_SourceData.SourceData_Livestock_Product_Pigs_Data(),Table_SourceData_LivestockProduct_Pigs[[#Headers],[Product]],0)</calculatedColumnFormula>
    </tableColumn>
    <tableColumn id="2" xr3:uid="{B35C6622-BE74-446D-9C8E-F63C2447CD28}" name="Source region" dataDxfId="195" dataCellStyle="Content normal">
      <calculatedColumnFormula array="1">Common_InputFunctions.Utility_DisplayArrayInTable(CommonLivestock_SourceData.SourceData_Livestock_Product_Pigs_Data(),Table_SourceData_LivestockProduct_Pigs[[#Headers],[Product]],0)</calculatedColumnFormula>
    </tableColumn>
  </tableColumns>
  <tableStyleInfo name="Equation table" showFirstColumn="0" showLastColumn="0" showRowStripes="1" showColumnStripes="0"/>
</table>
</file>

<file path=xl/tables/table1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A2B42136-C55D-4406-935F-C32E6560EE05}" name="Table_Fertiliser_ChemicalCompounds" displayName="Table_Fertiliser_ChemicalCompounds" ref="D19:I38" totalsRowShown="0">
  <autoFilter ref="D19:I38" xr:uid="{C62DD19F-CBC4-42A0-AD7E-F034180A8AA9}">
    <filterColumn colId="0" hiddenButton="1"/>
    <filterColumn colId="1" hiddenButton="1"/>
    <filterColumn colId="2" hiddenButton="1"/>
    <filterColumn colId="3" hiddenButton="1"/>
    <filterColumn colId="4" hiddenButton="1"/>
    <filterColumn colId="5" hiddenButton="1"/>
  </autoFilter>
  <tableColumns count="6">
    <tableColumn id="1" xr3:uid="{5CD8369B-349F-42E6-805D-14C6F763E7B1}" name="Fertiliser type f">
      <calculatedColumnFormula array="1">Common_InputFunctions.Utility_DisplayArrayInTable(Fertiliser_SourceData.Fertiliser_ChemicalCompoundElements_Data(),Table_Fertiliser_ChemicalCompounds[[#Headers],[Fertiliser type f]], 0)</calculatedColumnFormula>
    </tableColumn>
    <tableColumn id="2" xr3:uid="{A38C8E82-36EC-473B-A4FF-CF00B4BDE9C9}" name="FNinorganic f">
      <calculatedColumnFormula array="1">Common_InputFunctions.Utility_DisplayArrayInTable(Fertiliser_SourceData.Fertiliser_ChemicalCompoundElements_Data(),Table_Fertiliser_ChemicalCompounds[[#Headers],[Fertiliser type f]], 0)</calculatedColumnFormula>
    </tableColumn>
    <tableColumn id="3" xr3:uid="{871C03ED-CF81-4534-B291-9D748D947443}" name="FU f">
      <calculatedColumnFormula array="1">Common_InputFunctions.Utility_DisplayArrayInTable(Fertiliser_SourceData.Fertiliser_ChemicalCompoundElements_Data(),Table_Fertiliser_ChemicalCompounds[[#Headers],[Fertiliser type f]], 0)</calculatedColumnFormula>
    </tableColumn>
    <tableColumn id="4" xr3:uid="{179BB24E-296D-4B79-B53E-7A584DD0E7D1}" name="Basis">
      <calculatedColumnFormula array="1">Common_InputFunctions.Utility_DisplayArrayInTable(Fertiliser_SourceData.Fertiliser_ChemicalCompoundElements_Data(),Table_Fertiliser_ChemicalCompounds[[#Headers],[Fertiliser type f]], 0)</calculatedColumnFormula>
    </tableColumn>
    <tableColumn id="5" xr3:uid="{C34BE407-CC16-49BB-AAC5-93CD8C52EC4C}" name="Lifecycles Scope 3 definition">
      <calculatedColumnFormula array="1">Common_InputFunctions.Utility_DisplayArrayInTable(Fertiliser_SourceData.Fertiliser_ChemicalCompoundElements_Data(),Table_Fertiliser_ChemicalCompounds[[#Headers],[Fertiliser type f]], 0)</calculatedColumnFormula>
    </tableColumn>
    <tableColumn id="6" xr3:uid="{54784547-7369-4085-AC4A-523A586AE67F}" name="Source">
      <calculatedColumnFormula array="1">Common_InputFunctions.Utility_DisplayArrayInTable(Fertiliser_SourceData.Fertiliser_ChemicalCompoundElements_Data(),Table_Fertiliser_ChemicalCompounds[[#Headers],[Fertiliser type f]], 0)</calculatedColumnFormula>
    </tableColumn>
  </tableColumns>
  <tableStyleInfo name="Equation table" showFirstColumn="0" showLastColumn="0" showRowStripes="1" showColumnStripes="0"/>
</table>
</file>

<file path=xl/tables/table1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0F3B926F-9820-4BAB-A185-2837E96F21B5}" name="FertiliserProducts" displayName="FertiliserProducts" ref="D89:AE153" totalsRowShown="0">
  <autoFilter ref="D89:AE153" xr:uid="{CF03620B-9968-447A-A13F-E60FF3C81E47}">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autoFilter>
  <tableColumns count="28">
    <tableColumn id="1" xr3:uid="{90660471-B042-45D4-A9FC-CF75A99B2C82}" name="Include or Exclude" totalsRowDxfId="194"/>
    <tableColumn id="2" xr3:uid="{B4717C55-1B95-4E74-B4A0-5CE7A609A36B}" name="Notes" totalsRowDxfId="193"/>
    <tableColumn id="3" xr3:uid="{D976AB1A-52FF-4FBD-9860-B9717ABA5514}" name="Company" totalsRowDxfId="192"/>
    <tableColumn id="4" xr3:uid="{D8F5EA32-4865-44AD-B9C7-F91CA2638E8B}" name="Product name" totalsRowDxfId="191"/>
    <tableColumn id="5" xr3:uid="{D241BEEC-C636-4A92-9BDB-FA8FAA1CAFB2}" name="Unit" totalsRowDxfId="190"/>
    <tableColumn id="6" xr3:uid="{78DBDBE9-27C7-4A0D-B9DA-9F57440C9DE9}" name="Density / gravity" totalsRowDxfId="189"/>
    <tableColumn id="7" xr3:uid="{A50CBE27-EC38-4A34-A2CE-1002E6BA3DD3}" name="Urea source" totalsRowDxfId="188"/>
    <tableColumn id="8" xr3:uid="{16B5D74A-9810-4E92-A540-3E051DC2151D}" name="Ammonia source" totalsRowDxfId="187"/>
    <tableColumn id="9" xr3:uid="{DA7A3BF5-8B40-4495-AD97-6B95B429B465}" name="Ingredient 1" totalsRowDxfId="186"/>
    <tableColumn id="10" xr3:uid="{2A0B8472-D8FF-4086-BE70-2E8BCA80080B}" name="Ingredient 1 percent" totalsRowDxfId="185"/>
    <tableColumn id="11" xr3:uid="{F12415FE-ED65-47A4-AFBE-CEA738CED011}" name="Ingredient 2" totalsRowDxfId="184"/>
    <tableColumn id="12" xr3:uid="{26500CB3-2A36-4020-8DCD-96905995028A}" name="Ingredient 2 percent" totalsRowDxfId="183"/>
    <tableColumn id="13" xr3:uid="{8F8E6FFC-24C1-4EC1-A491-92E852D1C21B}" name="Ingredient 3" totalsRowDxfId="182"/>
    <tableColumn id="14" xr3:uid="{0D08C50E-A1D4-4D59-8D20-E9C72FE59C88}" name="Ingredient 3 percent" totalsRowDxfId="181"/>
    <tableColumn id="15" xr3:uid="{E71FD370-71A1-4861-8573-8E095564A6C6}" name="Ingredient 4" totalsRowDxfId="180"/>
    <tableColumn id="16" xr3:uid="{05524065-59E0-4732-9D5C-80182402ACED}" name="Ingredient 4 percent" totalsRowDxfId="179"/>
    <tableColumn id="17" xr3:uid="{E73E9DAE-88FE-451C-83BB-46CE2CD11EAC}" name="Ingredient 5" totalsRowDxfId="178"/>
    <tableColumn id="18" xr3:uid="{E43B92CC-872A-4D81-AE03-F2A3A1AA9B65}" name="Ingredient 5 percent" totalsRowDxfId="177"/>
    <tableColumn id="19" xr3:uid="{877362A6-7696-4C2B-9AC9-A50CEF0951B6}" name="Ingredient 6" totalsRowDxfId="176"/>
    <tableColumn id="37" xr3:uid="{22756E59-4033-405C-B6C2-0A2E122D072F}" name="Ingredient 6 percent" totalsRowDxfId="175"/>
    <tableColumn id="20" xr3:uid="{4AE0D2CC-B8DF-4AFD-A4F6-2E34CAB929EE}" name="Ingredient 7"/>
    <tableColumn id="24" xr3:uid="{6B74DBE7-622A-449A-9E41-77A59D4B581F}" name="Ingredient 7 percent"/>
    <tableColumn id="23" xr3:uid="{19914632-6940-4143-8D22-E9418F00FB19}" name="Ingredient 8"/>
    <tableColumn id="26" xr3:uid="{461E0645-5302-44BD-9874-67DCFE5C32B8}" name="Ingredient 8 percent"/>
    <tableColumn id="25" xr3:uid="{A769ECEF-28EF-4773-BCC6-FDD846002968}" name="Ingredient 9"/>
    <tableColumn id="30" xr3:uid="{42911258-C32C-49FA-B641-594FB90ED8C8}" name="Ingredient 9 percent"/>
    <tableColumn id="29" xr3:uid="{CBA06944-5CBF-4AB5-A404-211D25004FEC}" name="Imngredient 10"/>
    <tableColumn id="28" xr3:uid="{EF4C1E20-8E22-4CDA-B1E0-091D3AC4290D}" name="Ingredient 10 percent"/>
  </tableColumns>
  <tableStyleInfo name="Equation table" showFirstColumn="0" showLastColumn="0" showRowStripes="1" showColumnStripes="0"/>
</table>
</file>

<file path=xl/tables/table1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125A9FF7-70A7-4B6D-9295-A2BAEA1A119C}" name="Table_SourceData_Fertiliser_FracGASF" displayName="Table_SourceData_Fertiliser_FracGASF" ref="D50:E55" totalsRowShown="0">
  <autoFilter ref="D50:E55" xr:uid="{BA6279EA-7DA2-46FA-80C0-81926E3CFC51}">
    <filterColumn colId="0" hiddenButton="1"/>
    <filterColumn colId="1" hiddenButton="1"/>
  </autoFilter>
  <tableColumns count="2">
    <tableColumn id="1" xr3:uid="{A1653CAF-1C28-438C-A968-A3A9AD93ADCA}" name="Fertiliser type f">
      <calculatedColumnFormula array="1">Common_InputFunctions.Utility_DisplayArrayInTable(Fertiliser_SourceData.Fertiliser_FracGASF_Data(), Table_SourceData_Fertiliser_FracGASF[[#Headers],[Fertiliser type f]], 0)</calculatedColumnFormula>
    </tableColumn>
    <tableColumn id="2" xr3:uid="{9D339199-73B4-429D-B912-46C89894AC30}" name="FracGASF f" dataDxfId="174" dataCellStyle="Content normal">
      <calculatedColumnFormula array="1">Common_InputFunctions.Utility_DisplayArrayInTable(Fertiliser_SourceData.Fertiliser_FracGASF_Data(), Table_SourceData_Fertiliser_FracGASF[[#Headers],[Fertiliser type f]], 0)</calculatedColumnFormula>
    </tableColumn>
  </tableColumns>
  <tableStyleInfo name="Equation table" showFirstColumn="0" showLastColumn="0" showRowStripes="1" showColumnStripes="0"/>
</table>
</file>

<file path=xl/tables/table1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8DE9861F-E89A-4DFC-833B-847BD41B7275}" name="Table_SourceData_Fertiliser_CropProdSystems" displayName="Table_SourceData_Fertiliser_CropProdSystems" ref="D41:D43" totalsRowShown="0">
  <autoFilter ref="D41:D43" xr:uid="{24F3A11E-40F5-4BB9-BFF4-A71FA2ADA0EF}">
    <filterColumn colId="0" hiddenButton="1"/>
  </autoFilter>
  <tableColumns count="1">
    <tableColumn id="1" xr3:uid="{066D3082-D67E-4B71-83C7-FA70FCB2D700}" name="Production system">
      <calculatedColumnFormula>#REF!</calculatedColumnFormula>
    </tableColumn>
  </tableColumns>
  <tableStyleInfo name="Equation table" showFirstColumn="0" showLastColumn="0" showRowStripes="1" showColumnStripes="0"/>
</table>
</file>

<file path=xl/tables/table1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550CAB24-F6BC-47F2-A9A8-778F08DFF7E7}" name="Table_SourceData_Fertiliser_IrrigationMethods" displayName="Table_SourceData_Fertiliser_IrrigationMethods" ref="H41:H46" totalsRowShown="0">
  <autoFilter ref="H41:H46" xr:uid="{B6754DF9-B9B7-4777-A419-208519289931}">
    <filterColumn colId="0" hiddenButton="1"/>
  </autoFilter>
  <tableColumns count="1">
    <tableColumn id="1" xr3:uid="{B8A7D18B-C54A-419C-8858-EFD138C390FE}" name="Irrigation method"/>
  </tableColumns>
  <tableStyleInfo name="Equation table" showFirstColumn="0" showLastColumn="0" showRowStripes="1" showColumnStripes="0"/>
</table>
</file>

<file path=xl/tables/table1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80E3D88C-98EE-40A0-96C9-E35885633B0D}" name="Table_SourceData_Fertiliser_CropTypes" displayName="Table_SourceData_Fertiliser_CropTypes" ref="F41:F45" totalsRowShown="0">
  <autoFilter ref="F41:F45" xr:uid="{CB5044B5-FA3C-4AA2-B1AB-72F7E61D072F}">
    <filterColumn colId="0" hiddenButton="1"/>
  </autoFilter>
  <tableColumns count="1">
    <tableColumn id="1" xr3:uid="{5A52CFE6-AED4-4E78-AF3D-015B4292F949}" name="Production system"/>
  </tableColumns>
  <tableStyleInfo name="Equation table" showFirstColumn="0" showLastColumn="0" showRowStripes="1" showColumnStripes="0"/>
</table>
</file>

<file path=xl/tables/table1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2971AAAF-622A-4035-87B4-78C7BCD6D0E5}" name="Table_SourceData_OrganicFertiliserTypes" displayName="Table_SourceData_OrganicFertiliserTypes" ref="J41:J46" totalsRowShown="0">
  <autoFilter ref="J41:J46" xr:uid="{B44627B1-537E-4ABC-92C3-57282CEE5B40}">
    <filterColumn colId="0" hiddenButton="1"/>
  </autoFilter>
  <tableColumns count="1">
    <tableColumn id="1" xr3:uid="{4F1599D0-3855-41A1-B8CF-3F7354F1D02E}" name="Organic fertiliser type"/>
  </tableColumns>
  <tableStyleInfo name="Equation table" showFirstColumn="0" showLastColumn="0" showRowStripes="1" showColumnStripes="0"/>
</table>
</file>

<file path=xl/tables/table1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6640E8AA-558F-465E-A6FB-21D240A68CBF}" name="Table_SourceData_Fertiliser_LimeDolomiteConstants" displayName="Table_SourceData_Fertiliser_LimeDolomiteConstants" ref="D65:F68" totalsRowShown="0">
  <autoFilter ref="D65:F68" xr:uid="{300169C1-BC7A-441C-840D-3C2EFD141B42}">
    <filterColumn colId="0" hiddenButton="1"/>
    <filterColumn colId="1" hiddenButton="1"/>
    <filterColumn colId="2" hiddenButton="1"/>
  </autoFilter>
  <tableColumns count="3">
    <tableColumn id="1" xr3:uid="{1ACBA94E-20D9-4ABB-8FE2-133ABFA6ED56}" name="Element">
      <calculatedColumnFormula array="1">Common_InputFunctions.Utility_DisplayArrayInTable(Fertiliser_SourceData.Fertiliser_LimeDolomiteGypsumConstants_Data(), Table_SourceData_Fertiliser_LimeDolomiteConstants[[#Headers],[Element]], 0)</calculatedColumnFormula>
    </tableColumn>
    <tableColumn id="2" xr3:uid="{14319A8B-93C5-47AE-AA64-D550C1DC7B83}" name="P" dataDxfId="173" dataCellStyle="Content normal">
      <calculatedColumnFormula array="1">Common_InputFunctions.Utility_DisplayArrayInTable(Fertiliser_SourceData.Fertiliser_LimeDolomiteGypsumConstants_Data(), Table_SourceData_Fertiliser_LimeDolomiteConstants[[#Headers],[Element]], 0)</calculatedColumnFormula>
    </tableColumn>
    <tableColumn id="3" xr3:uid="{6EBA221B-7F83-4013-9278-65A34540A879}" name="EF" dataDxfId="172" dataCellStyle="Content normal">
      <calculatedColumnFormula array="1">Common_InputFunctions.Utility_DisplayArrayInTable(Fertiliser_SourceData.Fertiliser_LimeDolomiteGypsumConstants_Data(), Table_SourceData_Fertiliser_LimeDolomiteConstants[[#Headers],[Element]], 0)</calculatedColumnFormula>
    </tableColumn>
  </tableColumns>
  <tableStyleInfo name="Equation table" showFirstColumn="0" showLastColumn="0" showRowStripes="1" showColumnStripes="0"/>
</table>
</file>

<file path=xl/tables/table1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8C2324B7-0D98-4C77-AEBE-A2EF5ABB1CC7}" name="Table2" displayName="Table2" ref="K19:L28" totalsRowShown="0" dataDxfId="171" dataCellStyle="Content normal">
  <autoFilter ref="K19:L28" xr:uid="{27B93029-EB1F-4C4A-A946-CD673A8A6C46}">
    <filterColumn colId="0" hiddenButton="1"/>
    <filterColumn colId="1" hiddenButton="1"/>
  </autoFilter>
  <tableColumns count="2">
    <tableColumn id="1" xr3:uid="{D0F0FE53-48EF-4C1D-923D-46B182A1D219}" name="Fertiliser type f" dataDxfId="170" dataCellStyle="Content normal">
      <calculatedColumnFormula array="1">Common_InputFunctions.Utility_DisplayArrayInTable(Fertiliser_SourceData.Fertiliser_FractionNCommonFertilisers_Data(), Table2[[#Headers],[Fertiliser type f]], 0)</calculatedColumnFormula>
    </tableColumn>
    <tableColumn id="2" xr3:uid="{AF5AD04D-0FDF-4AED-9C58-ECF082AC42DD}" name="FNinorganic f" dataDxfId="169" dataCellStyle="Content normal">
      <calculatedColumnFormula array="1">Common_InputFunctions.Utility_DisplayArrayInTable(Fertiliser_SourceData.Fertiliser_FractionNCommonFertilisers_Data(), Table2[[#Headers],[Fertiliser type f]], 0)</calculatedColumnFormula>
    </tableColumn>
  </tableColumns>
  <tableStyleInfo name="Equation table" showFirstColumn="0" showLastColumn="0" showRowStripes="1" showColumnStripes="0"/>
</table>
</file>

<file path=xl/tables/table1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8EB88649-218A-43F9-B459-50D66FBDBDB5}" name="Table28" displayName="Table28" ref="Q19:R28" totalsRowShown="0" dataDxfId="168" dataCellStyle="Content normal">
  <autoFilter ref="Q19:R28" xr:uid="{791CEA59-796C-47AB-86BC-41E8F699030C}">
    <filterColumn colId="0" hiddenButton="1"/>
    <filterColumn colId="1" hiddenButton="1"/>
  </autoFilter>
  <tableColumns count="2">
    <tableColumn id="1" xr3:uid="{8D461AD8-9C85-4218-9322-36C1AD6A4022}" name="Fertiliser type f" dataDxfId="167" dataCellStyle="Content normal">
      <calculatedColumnFormula array="1">Common_InputFunctions.Utility_DisplayArrayInTable(Fertiliser_SourceData.Fertiliser_FractionUreaCommonFertilisers_Data(), Table28[[#Headers],[Fertiliser type f]], 0)</calculatedColumnFormula>
    </tableColumn>
    <tableColumn id="2" xr3:uid="{B6FE1763-47E0-4BCE-B158-5A34B86A67A4}" name="FNinorganic f" dataDxfId="166" dataCellStyle="Content normal">
      <calculatedColumnFormula array="1">Common_InputFunctions.Utility_DisplayArrayInTable(Fertiliser_SourceData.Fertiliser_FractionUreaCommonFertilisers_Data(), Table28[[#Headers],[Fertiliser type f]], 0)</calculatedColumnFormula>
    </tableColumn>
  </tableColumns>
  <tableStyleInfo name="Equation table" showFirstColumn="0" showLastColumn="0" showRowStripes="1" showColumnStripes="0"/>
</table>
</file>

<file path=xl/tables/table1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3" xr:uid="{DA70EC83-586E-4B40-AFDA-6D8ED2C5AE00}" name="Table_SourceData_Fertiliser_UreaAmmoniaSources" displayName="Table_SourceData_Fertiliser_UreaAmmoniaSources" ref="V19:V23" totalsRowShown="0">
  <autoFilter ref="V19:V23" xr:uid="{DA70EC83-586E-4B40-AFDA-6D8ED2C5AE00}">
    <filterColumn colId="0" hiddenButton="1"/>
  </autoFilter>
  <tableColumns count="1">
    <tableColumn id="1" xr3:uid="{D0ECD2CA-E626-4D4B-BB99-C674CE7E44F7}" name="Source">
      <calculatedColumnFormula array="1">Common_InputFunctions.Utility_DisplayArrayInTable(Fertiliser_SourceData.Fertiliser_UreaAmmoniaSourceRegions_Data(),Table_SourceData_Fertiliser_UreaAmmoniaSources[[#Headers],[Source]],0)</calculatedColumnFormula>
    </tableColumn>
  </tableColumns>
  <tableStyleInfo name="Equation table" showFirstColumn="0" showLastColumn="0" showRowStripes="1" showColumnStripes="0"/>
</table>
</file>

<file path=xl/tables/table1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6" xr:uid="{AB4AE568-2B0A-4CE1-8339-9691009E3D56}" name="Table_Fuel_EFs_StationaryLiquid117" displayName="Table_Fuel_EFs_StationaryLiquid117" ref="D53:K77" totalsRowShown="0">
  <autoFilter ref="D53:K77" xr:uid="{AB4AE568-2B0A-4CE1-8339-9691009E3D56}">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0DF2A4A8-DCB3-4671-8A97-250D46BCB158}" name="Fuel combusted">
      <calculatedColumnFormula array="1">Common_InputFunctions.Utility_DisplayArrayInTable(Fuel_SourceData.Fuel_Scope1Scope3EmissionFactorsStationaryLiquid_Data(), Table_Fuel_EFs_StationaryLiquid117[[#Headers],[Fuel combusted]],0)</calculatedColumnFormula>
    </tableColumn>
    <tableColumn id="2" xr3:uid="{89E52CCE-A4BA-4FC9-B9F3-A87555B0AB27}" name="Energy Content Factor (GJ per unit of fuel)">
      <calculatedColumnFormula array="1">Common_InputFunctions.Utility_DisplayArrayInTable(Fuel_SourceData.Fuel_Scope1Scope3EmissionFactorsStationaryLiquid_Data(), Table_Fuel_EFs_StationaryLiquid117[[#Headers],[Fuel combusted]],0)</calculatedColumnFormula>
    </tableColumn>
    <tableColumn id="3" xr3:uid="{E0D0BEAB-C001-4F03-BCB0-1EB196369AE8}" name="Fuel unit">
      <calculatedColumnFormula array="1">Common_InputFunctions.Utility_DisplayArrayInTable(Fuel_SourceData.Fuel_Scope1Scope3EmissionFactorsStationaryLiquid_Data(), Table_Fuel_EFs_StationaryLiquid117[[#Headers],[Fuel combusted]],0)</calculatedColumnFormula>
    </tableColumn>
    <tableColumn id="4" xr3:uid="{26BEF196-1D15-4947-8A47-5C86CA54D685}" name="Scope 1 Emission Factor (kg CO2 - e / GJ) CO2">
      <calculatedColumnFormula array="1">Common_InputFunctions.Utility_DisplayArrayInTable(Fuel_SourceData.Fuel_Scope1Scope3EmissionFactorsStationaryLiquid_Data(), Table_Fuel_EFs_StationaryLiquid117[[#Headers],[Fuel combusted]],0)</calculatedColumnFormula>
    </tableColumn>
    <tableColumn id="5" xr3:uid="{F2D35C40-A95D-46B5-AE55-AA7E271CC919}" name="Scope 1 Emission Factor (kg CO2 - e / GJ) CH4">
      <calculatedColumnFormula array="1">Common_InputFunctions.Utility_DisplayArrayInTable(Fuel_SourceData.Fuel_Scope1Scope3EmissionFactorsStationaryLiquid_Data(), Table_Fuel_EFs_StationaryLiquid117[[#Headers],[Fuel combusted]],0)</calculatedColumnFormula>
    </tableColumn>
    <tableColumn id="6" xr3:uid="{D28AAF58-8A4D-4286-A5A9-2C8FE7B40907}" name="Scope 1 Emission Factor (kg CO2 - e / GJ) N2O">
      <calculatedColumnFormula array="1">Common_InputFunctions.Utility_DisplayArrayInTable(Fuel_SourceData.Fuel_Scope1Scope3EmissionFactorsStationaryLiquid_Data(), Table_Fuel_EFs_StationaryLiquid117[[#Headers],[Fuel combusted]],0)</calculatedColumnFormula>
    </tableColumn>
    <tableColumn id="7" xr3:uid="{0C4C16EA-ABC1-4691-AC3D-799818BBCED1}" name="Scope 1 Emission Factor (kg CO2 - e / GJ) Combined gases">
      <calculatedColumnFormula array="1">Common_InputFunctions.Utility_DisplayArrayInTable(Fuel_SourceData.Fuel_Scope1Scope3EmissionFactorsStationaryLiquid_Data(), Table_Fuel_EFs_StationaryLiquid117[[#Headers],[Fuel combusted]],0)</calculatedColumnFormula>
    </tableColumn>
    <tableColumn id="8" xr3:uid="{C2127918-565F-46A1-A6DE-74A63E358A35}" name="Scope 3 Emission Factor (kg CO2 - e / GJ)">
      <calculatedColumnFormula array="1">Common_InputFunctions.Utility_DisplayArrayInTable(Fuel_SourceData.Fuel_Scope1Scope3EmissionFactorsStationaryLiquid_Data(), Table_Fuel_EFs_StationaryLiquid117[[#Headers],[Fuel combusted]],0)</calculatedColumnFormula>
    </tableColumn>
  </tableColumns>
  <tableStyleInfo name="Equation table" showFirstColumn="0" showLastColumn="0" showRowStripes="1" showColumnStripes="0"/>
</table>
</file>

<file path=xl/tables/table1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7" xr:uid="{171809E5-E241-4E93-A4C8-09BCB56A4A09}" name="Table_Fuel_EFs_Transport118" displayName="Table_Fuel_EFs_Transport118" ref="D9:L34" totalsRowShown="0">
  <autoFilter ref="D9:L34" xr:uid="{171809E5-E241-4E93-A4C8-09BCB56A4A0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4EF19352-E706-472F-BFEB-F5CB2407D7E2}" name="Transport type">
      <calculatedColumnFormula array="1">Common_InputFunctions.Utility_DisplayArrayInTable(Fuel_SourceData.Fuel_Scope1Scope3EmissionFactorsTransport_Data(), Table_Fuel_EFs_Transport118[[#Headers],[Transport type]], 0)</calculatedColumnFormula>
    </tableColumn>
    <tableColumn id="2" xr3:uid="{FAFFC3FB-F374-4C30-A226-330B65A267B6}" name="Fuel combusted">
      <calculatedColumnFormula array="1">Common_InputFunctions.Utility_DisplayArrayInTable(Fuel_SourceData.Fuel_Scope1Scope3EmissionFactorsTransport_Data(), Table_Fuel_EFs_Transport118[[#Headers],[Transport type]], 0)</calculatedColumnFormula>
    </tableColumn>
    <tableColumn id="3" xr3:uid="{A505C7F4-A536-4213-825C-284E4CC41B96}" name="Energy Content Factor (GJ per unit of fuel)">
      <calculatedColumnFormula array="1">Common_InputFunctions.Utility_DisplayArrayInTable(Fuel_SourceData.Fuel_Scope1Scope3EmissionFactorsTransport_Data(), Table_Fuel_EFs_Transport118[[#Headers],[Transport type]], 0)</calculatedColumnFormula>
    </tableColumn>
    <tableColumn id="4" xr3:uid="{53ECC2DA-D00C-4159-83E0-445142173F34}" name="Fuel unit">
      <calculatedColumnFormula array="1">Common_InputFunctions.Utility_DisplayArrayInTable(Fuel_SourceData.Fuel_Scope1Scope3EmissionFactorsTransport_Data(), Table_Fuel_EFs_Transport118[[#Headers],[Transport type]], 0)</calculatedColumnFormula>
    </tableColumn>
    <tableColumn id="8" xr3:uid="{723AC9F5-E932-4E78-B62F-8CFF6ED5C6BC}" name="Scope 1 Emission Factor (kg CO2 - e / GJ) CO2">
      <calculatedColumnFormula array="1">Common_InputFunctions.Utility_DisplayArrayInTable(Fuel_SourceData.Fuel_Scope1Scope3EmissionFactorsTransport_Data(), Table_Fuel_EFs_Transport118[[#Headers],[Transport type]], 0)</calculatedColumnFormula>
    </tableColumn>
    <tableColumn id="9" xr3:uid="{EA03B88C-E8BE-46E6-83CB-2F0920221685}" name="Scope 1 Emission Factor (kg CO2 - e / GJ) CH4">
      <calculatedColumnFormula array="1">Common_InputFunctions.Utility_DisplayArrayInTable(Fuel_SourceData.Fuel_Scope1Scope3EmissionFactorsTransport_Data(), Table_Fuel_EFs_Transport118[[#Headers],[Transport type]], 0)</calculatedColumnFormula>
    </tableColumn>
    <tableColumn id="10" xr3:uid="{E704D080-9692-499E-89E3-6F0E35A8FE61}" name="Scope 1 Emission Factor (kg CO2 - e / GJ) N2O">
      <calculatedColumnFormula array="1">Common_InputFunctions.Utility_DisplayArrayInTable(Fuel_SourceData.Fuel_Scope1Scope3EmissionFactorsTransport_Data(), Table_Fuel_EFs_Transport118[[#Headers],[Transport type]], 0)</calculatedColumnFormula>
    </tableColumn>
    <tableColumn id="11" xr3:uid="{93C7EF09-6279-463B-8D38-3DBEE9A069F6}" name="Scope 1 Emission Factor (kg CO2 - e / GJ) Combined gases">
      <calculatedColumnFormula array="1">Common_InputFunctions.Utility_DisplayArrayInTable(Fuel_SourceData.Fuel_Scope1Scope3EmissionFactorsTransport_Data(), Table_Fuel_EFs_Transport118[[#Headers],[Transport type]], 0)</calculatedColumnFormula>
    </tableColumn>
    <tableColumn id="12" xr3:uid="{8D291FBC-B8F0-43F0-956A-9FA0E4FE1C6D}" name="Scope 3 Emission Factor (kg CO2 - e / GJ)">
      <calculatedColumnFormula array="1">Common_InputFunctions.Utility_DisplayArrayInTable(Fuel_SourceData.Fuel_Scope1Scope3EmissionFactorsTransport_Data(), Table_Fuel_EFs_Transport118[[#Headers],[Transport type]], 0)</calculatedColumnFormula>
    </tableColumn>
  </tableColumns>
  <tableStyleInfo name="Equation table" showFirstColumn="0" showLastColumn="0" showRowStripes="1" showColumnStripes="0"/>
</table>
</file>

<file path=xl/tables/table1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8" xr:uid="{2B565D30-BC42-4CD0-A7F4-2D8EA58C30E2}" name="Table_FuelTypesPerUse119" displayName="Table_FuelTypesPerUse119" ref="D130:J139" totalsRowShown="0">
  <autoFilter ref="D130:J139" xr:uid="{2B565D30-BC42-4CD0-A7F4-2D8EA58C30E2}">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587196DA-FE3C-40EA-9EFC-CF9CB5346489}" name="Generators"/>
    <tableColumn id="2" xr3:uid="{2B805912-70D8-4FE2-81B7-0F04CA59DB58}" name="Power standalone machinery or heating"/>
    <tableColumn id="3" xr3:uid="{9933A4B4-2E92-4EF6-81EA-F5382566E0E7}" name="Aviation"/>
    <tableColumn id="5" xr3:uid="{34C53E33-0327-41EB-9D16-85F0054BC4C4}" name="Cars and light commercial vehicles"/>
    <tableColumn id="7" xr3:uid="{B6256B20-7003-41FF-A054-169CA28FC052}" name="Off-road Agriculture and forestry equipment"/>
    <tableColumn id="8" xr3:uid="{B3A658AC-398B-4C20-BF78-5934FA0D0A59}" name="Vessels"/>
    <tableColumn id="6" xr3:uid="{70D1E076-7C58-47C9-8653-F587D8CFC89B}" name="General use"/>
  </tableColumns>
  <tableStyleInfo name="Equation table" showFirstColumn="0" showLastColumn="0" showRowStripes="1" showColumnStripes="0"/>
</table>
</file>

<file path=xl/tables/table1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9" xr:uid="{2DA8AADD-9232-4533-9768-EF3C4FED8251}" name="Table_Fuel_EFs_StationaryGaseous120" displayName="Table_Fuel_EFs_StationaryGaseous120" ref="D86:J104" totalsRowShown="0">
  <autoFilter ref="D86:J104" xr:uid="{2DA8AADD-9232-4533-9768-EF3C4FED8251}">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781F689F-1307-4B13-B6D1-C5795FFF985E}" name="Fuel combusted">
      <calculatedColumnFormula array="1">Common_InputFunctions.Utility_DisplayArrayInTable(Fuel_SourceData.Fuel_Scope1EmissionFactorsStationaryGaseous_Data(), Table_Fuel_EFs_StationaryGaseous120[[#Headers],[Fuel combusted]],0)</calculatedColumnFormula>
    </tableColumn>
    <tableColumn id="2" xr3:uid="{9B6D1BFE-5BE5-4168-BCE6-2F500CB12E27}" name="Energy Content Factor (GJ per unit of fuel)">
      <calculatedColumnFormula array="1">Common_InputFunctions.Utility_DisplayArrayInTable(Fuel_SourceData.Fuel_Scope1EmissionFactorsStationaryGaseous_Data(), Table_Fuel_EFs_StationaryGaseous120[[#Headers],[Fuel combusted]],0)</calculatedColumnFormula>
    </tableColumn>
    <tableColumn id="3" xr3:uid="{2D06C6AE-B744-4F2D-82CB-AD64C480941E}" name="Fuel unit">
      <calculatedColumnFormula array="1">Common_InputFunctions.Utility_DisplayArrayInTable(Fuel_SourceData.Fuel_Scope1EmissionFactorsStationaryGaseous_Data(), Table_Fuel_EFs_StationaryGaseous120[[#Headers],[Fuel combusted]],0)</calculatedColumnFormula>
    </tableColumn>
    <tableColumn id="4" xr3:uid="{44478C00-8272-4242-B0D2-A37158F48ED8}" name="Scope 1 Emission Factor (kg CO2 - e / GJ) CO2">
      <calculatedColumnFormula array="1">Common_InputFunctions.Utility_DisplayArrayInTable(Fuel_SourceData.Fuel_Scope1EmissionFactorsStationaryGaseous_Data(), Table_Fuel_EFs_StationaryGaseous120[[#Headers],[Fuel combusted]],0)</calculatedColumnFormula>
    </tableColumn>
    <tableColumn id="5" xr3:uid="{D718C087-D7F5-480F-B47F-BDC62275F2D8}" name="Scope 1 Emission Factor (kg CO2 - e / GJ) CH4">
      <calculatedColumnFormula array="1">Common_InputFunctions.Utility_DisplayArrayInTable(Fuel_SourceData.Fuel_Scope1EmissionFactorsStationaryGaseous_Data(), Table_Fuel_EFs_StationaryGaseous120[[#Headers],[Fuel combusted]],0)</calculatedColumnFormula>
    </tableColumn>
    <tableColumn id="6" xr3:uid="{254636C5-56CB-443F-8801-4F7B388369F1}" name="Scope 1 Emission Factor (kg CO2 - e / GJ) N2O">
      <calculatedColumnFormula array="1">Common_InputFunctions.Utility_DisplayArrayInTable(Fuel_SourceData.Fuel_Scope1EmissionFactorsStationaryGaseous_Data(), Table_Fuel_EFs_StationaryGaseous120[[#Headers],[Fuel combusted]],0)</calculatedColumnFormula>
    </tableColumn>
    <tableColumn id="7" xr3:uid="{52866553-A018-4A13-8E85-39892DE74DF0}" name="Scope 1 Emission Factor (kg CO2 - e / GJ) Combined gases">
      <calculatedColumnFormula array="1">Common_InputFunctions.Utility_DisplayArrayInTable(Fuel_SourceData.Fuel_Scope1EmissionFactorsStationaryGaseous_Data(), Table_Fuel_EFs_StationaryGaseous120[[#Headers],[Fuel combusted]],0)</calculatedColumnFormula>
    </tableColumn>
  </tableColumns>
  <tableStyleInfo name="Equation table" showFirstColumn="0" showLastColumn="0" showRowStripes="1" showColumnStripes="0"/>
</table>
</file>

<file path=xl/tables/table1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0" xr:uid="{B09FFDB2-D408-41A6-9EE9-07A782AD2AE5}" name="Table_Fuel_EFs_StationaryGaseous34121" displayName="Table_Fuel_EFs_StationaryGaseous34121" ref="D112:F120" totalsRowDxfId="3">
  <autoFilter ref="D112:F120" xr:uid="{B09FFDB2-D408-41A6-9EE9-07A782AD2AE5}">
    <filterColumn colId="0" hiddenButton="1"/>
    <filterColumn colId="1" hiddenButton="1"/>
    <filterColumn colId="2" hiddenButton="1"/>
  </autoFilter>
  <tableColumns count="3">
    <tableColumn id="1" xr3:uid="{A5CEC85D-6414-42A6-9EC4-A97BD9B2BC7D}" name="State or territory" totalsRowDxfId="2">
      <calculatedColumnFormula array="1">Common_InputFunctions.Utility_DisplayArrayInTable(Fuel_SourceData.Fuel_Scope3EmissionFactorsStationaryGaseous_Data(), Table_Fuel_EFs_StationaryGaseous34121[[#Headers],[State or territory]],0)</calculatedColumnFormula>
    </tableColumn>
    <tableColumn id="2" xr3:uid="{6DD2D19E-B38E-489B-AF3D-2C060EAE17AE}" name="Metro" totalsRowDxfId="1">
      <calculatedColumnFormula array="1">Common_InputFunctions.Utility_DisplayArrayInTable(Fuel_SourceData.Fuel_Scope3EmissionFactorsStationaryGaseous_Data(), Table_Fuel_EFs_StationaryGaseous34121[[#Headers],[State or territory]],0)</calculatedColumnFormula>
    </tableColumn>
    <tableColumn id="3" xr3:uid="{943852C1-B704-4E59-9CA0-45F009362A0F}" name="Non-metro" totalsRowDxfId="0">
      <calculatedColumnFormula array="1">Common_InputFunctions.Utility_DisplayArrayInTable(Fuel_SourceData.Fuel_Scope3EmissionFactorsStationaryGaseous_Data(), Table_Fuel_EFs_StationaryGaseous34121[[#Headers],[State or territory]],0)</calculatedColumnFormula>
    </tableColumn>
  </tableColumns>
  <tableStyleInfo name="Equation table" showFirstColumn="0" showLastColumn="0" showRowStripes="1" showColumnStripes="0"/>
</table>
</file>

<file path=xl/tables/table1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1" xr:uid="{0BD7D405-DA28-4555-88A8-CB8E9927BDD5}" name="Table_FuelTypes_Units122" displayName="Table_FuelTypes_Units122" ref="D142:E162" totalsRowShown="0">
  <autoFilter ref="D142:E162" xr:uid="{0BD7D405-DA28-4555-88A8-CB8E9927BDD5}">
    <filterColumn colId="0" hiddenButton="1"/>
    <filterColumn colId="1" hiddenButton="1"/>
  </autoFilter>
  <tableColumns count="2">
    <tableColumn id="1" xr3:uid="{DD228764-9A0D-4AED-AE1B-C5A54B5BD9FB}" name="Fuel type"/>
    <tableColumn id="2" xr3:uid="{042B59D1-6DBC-4011-B3A9-85A18B2098DF}" name="Unit"/>
  </tableColumns>
  <tableStyleInfo name="Equation table" showFirstColumn="0" showLastColumn="0" showRowStripes="1" showColumnStripes="0"/>
</table>
</file>

<file path=xl/tables/table1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2" xr:uid="{9AA2DDB1-FA03-42E9-9A34-F4394DCB23E2}" name="Table_SourceData_Fuel_TransportOffroad123" displayName="Table_SourceData_Fuel_TransportOffroad123" ref="D39:J43" totalsRowShown="0">
  <autoFilter ref="D39:J43" xr:uid="{9AA2DDB1-FA03-42E9-9A34-F4394DCB23E2}">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F31C5CDC-69D5-47D9-903A-89CEDBECBC96}" name="Transport type t">
      <calculatedColumnFormula array="1">Common_InputFunctions.Utility_DisplayArrayInTable(Fuel_SourceData.Fuel_Scope1Scope3EmissionFactorsTransportOffRoad_Data(), Table_SourceData_Fuel_TransportOffroad123[[#Headers],[Transport type t]],0)</calculatedColumnFormula>
    </tableColumn>
    <tableColumn id="2" xr3:uid="{7550BC99-2E09-46C9-B440-F0E4CFEB1728}" name="Fuel type q">
      <calculatedColumnFormula array="1">Common_InputFunctions.Utility_DisplayArrayInTable(Fuel_SourceData.Fuel_Scope1Scope3EmissionFactorsTransportOffRoad_Data(), Table_SourceData_Fuel_TransportOffroad123[[#Headers],[Transport type t]],0)</calculatedColumnFormula>
    </tableColumn>
    <tableColumn id="3" xr3:uid="{69118D09-7F14-4EF2-B22D-7E9747DE5879}" name="ECTrans,q (GJ/kL)">
      <calculatedColumnFormula array="1">Common_InputFunctions.Utility_DisplayArrayInTable(Fuel_SourceData.Fuel_Scope1Scope3EmissionFactorsTransportOffRoad_Data(), Table_SourceData_Fuel_TransportOffroad123[[#Headers],[Transport type t]],0)</calculatedColumnFormula>
    </tableColumn>
    <tableColumn id="4" xr3:uid="{464B7017-4387-4205-A68A-14E31C1A89AB}" name="Scope 1 CO2 EFTran,1,tqg (kg CO2-e/GJ)">
      <calculatedColumnFormula array="1">Common_InputFunctions.Utility_DisplayArrayInTable(Fuel_SourceData.Fuel_Scope1Scope3EmissionFactorsTransportOffRoad_Data(), Table_SourceData_Fuel_TransportOffroad123[[#Headers],[Transport type t]],0)</calculatedColumnFormula>
    </tableColumn>
    <tableColumn id="5" xr3:uid="{8E362203-E1CA-4ED4-BB36-DBB168C9BADD}" name="Scope 1 CH4 EFTran,1,tgg (kg CO2-e/GJ)">
      <calculatedColumnFormula array="1">Common_InputFunctions.Utility_DisplayArrayInTable(Fuel_SourceData.Fuel_Scope1Scope3EmissionFactorsTransportOffRoad_Data(), Table_SourceData_Fuel_TransportOffroad123[[#Headers],[Transport type t]],0)</calculatedColumnFormula>
    </tableColumn>
    <tableColumn id="6" xr3:uid="{18877647-6EFA-4A57-9620-7570D51A96BF}" name="Scope 1 N2O EFTran,1,tgg (kg CO2-e/GJ)">
      <calculatedColumnFormula array="1">Common_InputFunctions.Utility_DisplayArrayInTable(Fuel_SourceData.Fuel_Scope1Scope3EmissionFactorsTransportOffRoad_Data(), Table_SourceData_Fuel_TransportOffroad123[[#Headers],[Transport type t]],0)</calculatedColumnFormula>
    </tableColumn>
    <tableColumn id="7" xr3:uid="{694A3AC9-330F-4FC4-A61A-A8547A517AFC}" name="Scope 3 EFTrans,3,q (kg CO2-e/GJ)">
      <calculatedColumnFormula array="1">Common_InputFunctions.Utility_DisplayArrayInTable(Fuel_SourceData.Fuel_Scope1Scope3EmissionFactorsTransportOffRoad_Data(), Table_SourceData_Fuel_TransportOffroad123[[#Headers],[Transport type t]],0)</calculatedColumnFormula>
    </tableColumn>
  </tableColumns>
  <tableStyleInfo name="Equation table" showFirstColumn="0" showLastColumn="0" showRowStripes="1" showColumnStripes="0"/>
</table>
</file>

<file path=xl/tables/table1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C2815CE4-5936-4AF2-A3CD-21A6B51D968F}" name="Table_SourceData_ElectricityEFs" displayName="Table_SourceData_ElectricityEFs" ref="D9:F19" totalsRowShown="0" headerRowDxfId="165">
  <autoFilter ref="D9:F19" xr:uid="{3144A982-7A4D-4CF2-8790-1A30DAE3E0A4}">
    <filterColumn colId="0" hiddenButton="1"/>
    <filterColumn colId="1" hiddenButton="1"/>
    <filterColumn colId="2" hiddenButton="1"/>
  </autoFilter>
  <tableColumns count="3">
    <tableColumn id="1" xr3:uid="{014AD470-F735-422A-BEB3-B8C6FDC27AEB}" name="State, Territory or grid description">
      <calculatedColumnFormula array="1">Common_InputFunctions.Utility_DisplayArrayInTable(Electricity_SourceData.Electricity_Scope2Scope3LocationBased_Data(), Table_SourceData_ElectricityEFs[[#Headers],[State, Territory or grid description]], 0)</calculatedColumnFormula>
    </tableColumn>
    <tableColumn id="2" xr3:uid="{49268F60-A259-4A68-B464-4CCD93912553}" name="Scope 2 Emission Factors (kg CO2-e/kWh)">
      <calculatedColumnFormula array="1">Common_InputFunctions.Utility_DisplayArrayInTable(Electricity_SourceData.Electricity_Scope2Scope3LocationBased_Data(), Table_SourceData_ElectricityEFs[[#Headers],[State, Territory or grid description]], 0)</calculatedColumnFormula>
    </tableColumn>
    <tableColumn id="3" xr3:uid="{3161C8B9-7E78-4A27-B894-1A35AE365464}" name="Scope 3 Emission Factors (kg CO2-e/kWh)">
      <calculatedColumnFormula array="1">Common_InputFunctions.Utility_DisplayArrayInTable(Electricity_SourceData.Electricity_Scope2Scope3LocationBased_Data(), Table_SourceData_ElectricityEFs[[#Headers],[State, Territory or grid description]], 0)</calculatedColumnFormula>
    </tableColumn>
  </tableColumns>
  <tableStyleInfo name="Equation table" showFirstColumn="0" showLastColumn="0" showRowStripes="1" showColumnStripes="0"/>
</table>
</file>

<file path=xl/tables/table1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2ECA8145-962A-4C06-8384-A5307F4BB601}" name="Table_SourceData_ElectricityEFsMarketBased" displayName="Table_SourceData_ElectricityEFsMarketBased" ref="D24:H25" totalsRowShown="0">
  <autoFilter ref="D24:H25" xr:uid="{87EEFE36-44F1-40A4-8394-9054D486E209}">
    <filterColumn colId="0" hiddenButton="1"/>
    <filterColumn colId="1" hiddenButton="1"/>
    <filterColumn colId="2" hiddenButton="1"/>
    <filterColumn colId="3" hiddenButton="1"/>
    <filterColumn colId="4" hiddenButton="1"/>
  </autoFilter>
  <tableColumns count="5">
    <tableColumn id="1" xr3:uid="{2A53AE81-E4EF-47E8-A1E1-0004EAAD0DED}" name="State, Territory or grid description">
      <calculatedColumnFormula array="1">Common_InputFunctions.Utility_DisplayArrayInTable(Electricity_SourceData.Electricity_Scope2Scope3MarketBased_Data(), Table_SourceData_ElectricityEFsMarketBased[[#Headers],[State, Territory or grid description]], 0)</calculatedColumnFormula>
    </tableColumn>
    <tableColumn id="2" xr3:uid="{64F6E0F8-DF29-4C21-B888-DAFA69DE9B90}" name="Scope 2 EF (kg CO2-e/kWh)">
      <calculatedColumnFormula array="1">Common_InputFunctions.Utility_DisplayArrayInTable(Electricity_SourceData.Electricity_Scope2Scope3MarketBased_Data(), Table_SourceData_ElectricityEFsMarketBased[[#Headers],[State, Territory or grid description]], 0)</calculatedColumnFormula>
    </tableColumn>
    <tableColumn id="3" xr3:uid="{9FE1D1D3-0A05-4804-963E-77902D1F4B4E}" name="Scope 2 EF (kg CO2-e/GJ)">
      <calculatedColumnFormula array="1">Common_InputFunctions.Utility_DisplayArrayInTable(Electricity_SourceData.Electricity_Scope2Scope3MarketBased_Data(), Table_SourceData_ElectricityEFsMarketBased[[#Headers],[State, Territory or grid description]], 0)</calculatedColumnFormula>
    </tableColumn>
    <tableColumn id="4" xr3:uid="{3663B49B-AD25-4499-B478-ED0F4BDEF091}" name="Scope 3 EF (kg CO2-e/kWh)">
      <calculatedColumnFormula array="1">Common_InputFunctions.Utility_DisplayArrayInTable(Electricity_SourceData.Electricity_Scope2Scope3MarketBased_Data(), Table_SourceData_ElectricityEFsMarketBased[[#Headers],[State, Territory or grid description]], 0)</calculatedColumnFormula>
    </tableColumn>
    <tableColumn id="5" xr3:uid="{4930A0D0-80DF-48EA-840E-32C5A9A518F5}" name="Scope 3 EF (kg CO2-e/GJ)">
      <calculatedColumnFormula array="1">Common_InputFunctions.Utility_DisplayArrayInTable(Electricity_SourceData.Electricity_Scope2Scope3MarketBased_Data(), Table_SourceData_ElectricityEFsMarketBased[[#Headers],[State, Territory or grid description]], 0)</calculatedColumnFormula>
    </tableColumn>
  </tableColumns>
  <tableStyleInfo name="Equation table" showFirstColumn="0" showLastColumn="0" showRowStripes="1" showColumnStripes="0"/>
</table>
</file>

<file path=xl/tables/table1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67A892-76D9-4FF5-8ABA-2F6CD6D9A8B5}" name="Table_AustralianStates" displayName="Table_AustralianStates" ref="D6:F14" totalsRowShown="0">
  <autoFilter ref="D6:F14" xr:uid="{E0906749-7FC7-47DE-82F6-F796C4463018}">
    <filterColumn colId="0" hiddenButton="1"/>
    <filterColumn colId="1" hiddenButton="1"/>
    <filterColumn colId="2" hiddenButton="1"/>
  </autoFilter>
  <tableColumns count="3">
    <tableColumn id="1" xr3:uid="{59EC0254-AE44-46EF-AB62-962F2DA92CF8}" name="State/Territory">
      <calculatedColumnFormula array="1">Common_InputFunctions.Utility_DisplayArrayInTable(Common_SourceData.Common_SourceData_AustralianStatesTerritories_Data(),Table_AustralianStates[[#Headers],[State/Territory]],0)</calculatedColumnFormula>
    </tableColumn>
    <tableColumn id="2" xr3:uid="{9F39799F-8CAB-4E46-B72A-746CF765B678}" name="Common Name">
      <calculatedColumnFormula array="1">Common_InputFunctions.Utility_DisplayArrayInTable(Common_SourceData.Common_SourceData_AustralianStatesTerritories_Data(),Table_AustralianStates[[#Headers],[State/Territory]],0)</calculatedColumnFormula>
    </tableColumn>
    <tableColumn id="3" xr3:uid="{7E1866D1-FF5F-4918-A832-3B78B5B2AE81}" name="Abbreviation">
      <calculatedColumnFormula array="1">Common_InputFunctions.Utility_DisplayArrayInTable(Common_SourceData.Common_SourceData_AustralianStatesTerritories_Data(),Table_AustralianStates[[#Headers],[State/Territory]],0)</calculatedColumnFormula>
    </tableColumn>
  </tableColumns>
  <tableStyleInfo name="Equation table" showFirstColumn="0" showLastColumn="0" showRowStripes="1" showColumnStripes="0"/>
</table>
</file>

<file path=xl/tables/table1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038D8B0-3EE0-47C8-86DC-72F6646656FA}" name="Table_WASA4Areas" displayName="Table_WASA4Areas" ref="D20:D30" totalsRowShown="0">
  <autoFilter ref="D20:D30" xr:uid="{5FA81339-C6C8-4D36-BEEA-6C4AEDD9E676}">
    <filterColumn colId="0" hiddenButton="1"/>
  </autoFilter>
  <tableColumns count="1">
    <tableColumn id="1" xr3:uid="{3BA89BE8-8E41-4B7C-A584-33B71707722A}" name="SA 4 Name">
      <calculatedColumnFormula array="1">Common_InputFunctions.Utility_DisplayArrayInTable(Common_SourceData.Common_SourceData_WASA4Areas_Data(), Table_WASA4Areas[[#Headers],[SA 4 Name]], 0)</calculatedColumnFormula>
    </tableColumn>
  </tableColumns>
  <tableStyleInfo name="Equation table" showFirstColumn="0" showLastColumn="0" showRowStripes="1" showColumnStripes="0"/>
</table>
</file>

<file path=xl/tables/table1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108DFD7-4C9F-4BCE-B0C2-D2FC84F2F043}" name="Table_GWPData" displayName="Table_GWPData" ref="D36:E43" totalsRowShown="0">
  <autoFilter ref="D36:E43" xr:uid="{B8E87A66-3E41-4AD3-925D-01EE21B43D7A}">
    <filterColumn colId="0" hiddenButton="1"/>
    <filterColumn colId="1" hiddenButton="1"/>
  </autoFilter>
  <tableColumns count="2">
    <tableColumn id="1" xr3:uid="{888A1533-119E-4C94-9619-3D55E4703AF1}" name="Gas">
      <calculatedColumnFormula array="1">Common_InputFunctions.Utility_DisplayArrayInTable(Common_SourceData.Common_SourceData_GWP_Data(), Table_GWPData[[#Headers],[Gas]], 0)</calculatedColumnFormula>
    </tableColumn>
    <tableColumn id="2" xr3:uid="{ED3B0B3E-2E14-438F-987C-B348589529F3}" name="CO2-e factor">
      <calculatedColumnFormula array="1">Common_InputFunctions.Utility_DisplayArrayInTable(Common_SourceData.Common_SourceData_GWP_Data(), Table_GWPData[[#Headers],[Gas]], 0)</calculatedColumnFormula>
    </tableColumn>
  </tableColumns>
  <tableStyleInfo name="Equation table" showFirstColumn="0" showLastColumn="0" showRowStripes="1" showColumnStripes="0"/>
</table>
</file>

<file path=xl/tables/table1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228E4C51-2085-43DA-8EFE-E5E01394321E}" name="Table_GasToMolecularConversionFactor" displayName="Table_GasToMolecularConversionFactor" ref="D47:H54" totalsRowShown="0">
  <autoFilter ref="D47:H54" xr:uid="{C1F562BB-DAA6-45BB-951A-7BAFA5B64B45}">
    <filterColumn colId="0" hiddenButton="1"/>
    <filterColumn colId="1" hiddenButton="1"/>
    <filterColumn colId="2" hiddenButton="1"/>
    <filterColumn colId="3" hiddenButton="1"/>
    <filterColumn colId="4" hiddenButton="1"/>
  </autoFilter>
  <tableColumns count="5">
    <tableColumn id="1" xr3:uid="{963B3F5C-1235-4393-B133-4240B1C3B384}" name="Gas">
      <calculatedColumnFormula array="1">Common_InputFunctions.Utility_DisplayArrayInTable(Common_SourceData.Common_SourceData_ConvertGasElementalToMolecular_Data(),Table_GasToMolecularConversionFactor[[#Headers],[Gas]], 0)</calculatedColumnFormula>
    </tableColumn>
    <tableColumn id="5" xr3:uid="{E4D22D23-03D4-4BF3-9B9D-A9BEFBA8B012}" name="Conversion factor">
      <calculatedColumnFormula array="1">Common_InputFunctions.Utility_DisplayArrayInTable(Common_SourceData.Common_SourceData_ConvertGasElementalToMolecular_Data(),Table_GasToMolecularConversionFactor[[#Headers],[Gas]], 0)</calculatedColumnFormula>
    </tableColumn>
    <tableColumn id="2" xr3:uid="{6C0239C4-69EA-4440-B62B-A8C51324283F}" name="Conversion factor 1">
      <calculatedColumnFormula array="1">Common_InputFunctions.Utility_DisplayArrayInTable(Common_SourceData.Common_SourceData_ConvertGasElementalToMolecular_Data(),Table_GasToMolecularConversionFactor[[#Headers],[Gas]], 0)</calculatedColumnFormula>
    </tableColumn>
    <tableColumn id="3" xr3:uid="{B066FE24-EADB-493E-8743-0C8131F7D4DA}" name="Conversion factor 2">
      <calculatedColumnFormula array="1">Common_InputFunctions.Utility_DisplayArrayInTable(Common_SourceData.Common_SourceData_ConvertGasElementalToMolecular_Data(),Table_GasToMolecularConversionFactor[[#Headers],[Gas]], 0)</calculatedColumnFormula>
    </tableColumn>
    <tableColumn id="4" xr3:uid="{D3D0EE8E-5934-4338-B910-D2F33A230FFD}" name="Conversion factor combined">
      <calculatedColumnFormula>Table_GasToMolecularConversionFactor[[#This Row],[Conversion factor 1]]/Table_GasToMolecularConversionFactor[[#This Row],[Conversion factor 2]]</calculatedColumnFormula>
    </tableColumn>
  </tableColumns>
  <tableStyleInfo name="Equation table" showFirstColumn="0" showLastColumn="0" showRowStripes="1" showColumnStripes="0"/>
</table>
</file>

<file path=xl/tables/table1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28A26F12-6AF9-4548-B1EE-21B1534565DA}" name="Table_SourceData_ClimateZones" displayName="Table_SourceData_ClimateZones" ref="D89:S97" totalsRowShown="0">
  <autoFilter ref="D89:S97" xr:uid="{5A437AE9-7724-4CF2-ACCF-291078682FB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9C6B3486-49D7-4538-ACF2-DEE719FEE0C2}" name="Climate zone" totalsRowCellStyle="Content bold">
      <calculatedColumnFormula array="1">Common_InputFunctions.Utility_DisplayArrayInTable(Common_SourceData.Common_SourceData_ClimateZones_Data(), Table_SourceData_ClimateZones[[#Headers],[Climate zone]], 0)</calculatedColumnFormula>
    </tableColumn>
    <tableColumn id="2" xr3:uid="{D430E360-7307-4C08-9F92-83E29583AB90}" name="MAT" totalsRowDxfId="164" totalsRowCellStyle="Content bold">
      <calculatedColumnFormula array="1">Common_InputFunctions.Utility_DisplayArrayInTable(Common_SourceData.Common_SourceData_ClimateZones_Data(), Table_SourceData_ClimateZones[[#Headers],[Climate zone]], 0)</calculatedColumnFormula>
    </tableColumn>
    <tableColumn id="3" xr3:uid="{F4467F45-5530-4233-942C-4ACB969564E5}" name="MAP" totalsRowDxfId="163" totalsRowCellStyle="Content bold">
      <calculatedColumnFormula array="1">Common_InputFunctions.Utility_DisplayArrayInTable(Common_SourceData.Common_SourceData_ClimateZones_Data(), Table_SourceData_ClimateZones[[#Headers],[Climate zone]], 0)</calculatedColumnFormula>
    </tableColumn>
    <tableColumn id="4" xr3:uid="{9EEF2903-2BF6-4F6B-B136-3FEDE2DB9CEB}" name="Frost days per year" totalsRowDxfId="162" totalsRowCellStyle="Content bold">
      <calculatedColumnFormula array="1">Common_InputFunctions.Utility_DisplayArrayInTable(Common_SourceData.Common_SourceData_ClimateZones_Data(), Table_SourceData_ClimateZones[[#Headers],[Climate zone]], 0)</calculatedColumnFormula>
    </tableColumn>
    <tableColumn id="5" xr3:uid="{B6FD8938-ECDC-4294-AB6B-E04EEB72C5A2}" name="Elevation" totalsRowDxfId="161" totalsRowCellStyle="Content bold">
      <calculatedColumnFormula array="1">Common_InputFunctions.Utility_DisplayArrayInTable(Common_SourceData.Common_SourceData_ClimateZones_Data(), Table_SourceData_ClimateZones[[#Headers],[Climate zone]], 0)</calculatedColumnFormula>
    </tableColumn>
    <tableColumn id="6" xr3:uid="{3F552D4D-BF16-40BD-AA41-C77F74C670B2}" name="MAP:PET" totalsRowDxfId="160" totalsRowCellStyle="Content bold">
      <calculatedColumnFormula array="1">Common_InputFunctions.Utility_DisplayArrayInTable(Common_SourceData.Common_SourceData_ClimateZones_Data(), Table_SourceData_ClimateZones[[#Headers],[Climate zone]], 0)</calculatedColumnFormula>
    </tableColumn>
    <tableColumn id="7" xr3:uid="{E5C65E8B-AADF-40BE-9BD2-C1476F37E957}" name="Min temp" totalsRowDxfId="159" totalsRowCellStyle="Content bold">
      <calculatedColumnFormula array="1">Common_InputFunctions.Utility_DisplayArrayInTable(Common_SourceData.Common_SourceData_ClimateZones_Data(), Table_SourceData_ClimateZones[[#Headers],[Climate zone]], 0)</calculatedColumnFormula>
    </tableColumn>
    <tableColumn id="8" xr3:uid="{08E958E2-4C27-404B-A875-F3C770581676}" name="Max temp" totalsRowDxfId="158" totalsRowCellStyle="Content bold">
      <calculatedColumnFormula array="1">Common_InputFunctions.Utility_DisplayArrayInTable(Common_SourceData.Common_SourceData_ClimateZones_Data(), Table_SourceData_ClimateZones[[#Headers],[Climate zone]], 0)</calculatedColumnFormula>
    </tableColumn>
    <tableColumn id="9" xr3:uid="{7D7A970E-B351-4D71-A612-842802BB985D}" name="Min rainfall" totalsRowDxfId="157" totalsRowCellStyle="Content bold">
      <calculatedColumnFormula array="1">Common_InputFunctions.Utility_DisplayArrayInTable(Common_SourceData.Common_SourceData_ClimateZones_Data(), Table_SourceData_ClimateZones[[#Headers],[Climate zone]], 0)</calculatedColumnFormula>
    </tableColumn>
    <tableColumn id="10" xr3:uid="{49C809EA-E0A9-41C4-868D-793286E36F2B}" name="Max rainfall" totalsRowDxfId="156" totalsRowCellStyle="Content bold">
      <calculatedColumnFormula array="1">Common_InputFunctions.Utility_DisplayArrayInTable(Common_SourceData.Common_SourceData_ClimateZones_Data(), Table_SourceData_ClimateZones[[#Headers],[Climate zone]], 0)</calculatedColumnFormula>
    </tableColumn>
    <tableColumn id="11" xr3:uid="{B1FF0B1F-5E45-4110-9A72-2A319490A453}" name="Min frost days" totalsRowDxfId="155" totalsRowCellStyle="Content bold">
      <calculatedColumnFormula array="1">Common_InputFunctions.Utility_DisplayArrayInTable(Common_SourceData.Common_SourceData_ClimateZones_Data(), Table_SourceData_ClimateZones[[#Headers],[Climate zone]], 0)</calculatedColumnFormula>
    </tableColumn>
    <tableColumn id="15" xr3:uid="{6AB643FE-61A3-423D-BB53-5DE0D20514B5}" name="Max frost days" totalsRowDxfId="154" totalsRowCellStyle="Content bold">
      <calculatedColumnFormula array="1">Common_InputFunctions.Utility_DisplayArrayInTable(Common_SourceData.Common_SourceData_ClimateZones_Data(), Table_SourceData_ClimateZones[[#Headers],[Climate zone]], 0)</calculatedColumnFormula>
    </tableColumn>
    <tableColumn id="12" xr3:uid="{6144588B-386A-4107-96C6-5F981B7BA217}" name="Min elevation" totalsRowDxfId="153" totalsRowCellStyle="Content bold">
      <calculatedColumnFormula array="1">Common_InputFunctions.Utility_DisplayArrayInTable(Common_SourceData.Common_SourceData_ClimateZones_Data(), Table_SourceData_ClimateZones[[#Headers],[Climate zone]], 0)</calculatedColumnFormula>
    </tableColumn>
    <tableColumn id="16" xr3:uid="{614B562B-0105-47AA-9220-C9EA1B579AED}" name="Max elevation" totalsRowDxfId="152" totalsRowCellStyle="Content bold">
      <calculatedColumnFormula array="1">Common_InputFunctions.Utility_DisplayArrayInTable(Common_SourceData.Common_SourceData_ClimateZones_Data(), Table_SourceData_ClimateZones[[#Headers],[Climate zone]], 0)</calculatedColumnFormula>
    </tableColumn>
    <tableColumn id="13" xr3:uid="{239FA065-F63F-4C9F-AD9B-CFE1272003C9}" name="Min MAP:PET" totalsRowDxfId="151" totalsRowCellStyle="Content bold">
      <calculatedColumnFormula array="1">Common_InputFunctions.Utility_DisplayArrayInTable(Common_SourceData.Common_SourceData_ClimateZones_Data(), Table_SourceData_ClimateZones[[#Headers],[Climate zone]], 0)</calculatedColumnFormula>
    </tableColumn>
    <tableColumn id="17" xr3:uid="{FD12F5C9-165F-40ED-A122-378232714430}" name="Max MAP:PET" totalsRowDxfId="150" totalsRowCellStyle="Content bold">
      <calculatedColumnFormula array="1">Common_InputFunctions.Utility_DisplayArrayInTable(Common_SourceData.Common_SourceData_ClimateZones_Data(), Table_SourceData_ClimateZones[[#Headers],[Climate zone]], 0)</calculatedColumnFormula>
    </tableColumn>
  </tableColumns>
  <tableStyleInfo name="Equation table" showFirstColumn="0" showLastColumn="0" showRowStripes="1" showColumnStripes="0"/>
</table>
</file>

<file path=xl/tables/table1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9C5AD2D5-D5D7-4345-BA34-DF9B62800DA4}" name="Table_SourceData_WetDryZones" displayName="Table_SourceData_WetDryZones" ref="D63:E77" totalsRowShown="0">
  <autoFilter ref="D63:E77" xr:uid="{3597E019-B21E-4B76-BCC8-D02D497BCFA9}">
    <filterColumn colId="0" hiddenButton="1"/>
    <filterColumn colId="1" hiddenButton="1"/>
  </autoFilter>
  <tableColumns count="2">
    <tableColumn id="1" xr3:uid="{3DD06219-259D-4CFE-B6D5-0EC6DE16CEEE}" name="Climate zone" totalsRowCellStyle="Content bold">
      <calculatedColumnFormula array="1">Common_InputFunctions.Utility_DisplayArrayInTable(Common_SourceData.Common_SourceData_WetAndDryZones_Data(), Table_SourceData_WetDryZones[[#Headers],[Climate zone]], 0)</calculatedColumnFormula>
    </tableColumn>
    <tableColumn id="2" xr3:uid="{F26BA3E3-F7E9-48B8-A53D-2530CE7C233B}" name="Wet or Dry Zone" totalsRowDxfId="149" totalsRowCellStyle="Content bold">
      <calculatedColumnFormula array="1">Common_InputFunctions.Utility_DisplayArrayInTable(Common_SourceData.Common_SourceData_WetAndDryZones_Data(), Table_SourceData_WetDryZones[[#Headers],[Climate zone]], 0)</calculatedColumnFormula>
    </tableColumn>
  </tableColumns>
  <tableStyleInfo name="Equation table" showFirstColumn="0" showLastColumn="0" showRowStripes="1" showColumnStripes="0"/>
</table>
</file>

<file path=xl/tables/table1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211EC85A-B24D-4F82-BB56-1C8B863429D7}" name="Table_SourceData_TemperatureZones" displayName="Table_SourceData_TemperatureZones" ref="D109:G112" totalsRowShown="0">
  <autoFilter ref="D109:G112" xr:uid="{AB16FEAB-AB03-45E1-BBD4-66D29CD412DF}">
    <filterColumn colId="0" hiddenButton="1"/>
    <filterColumn colId="1" hiddenButton="1"/>
    <filterColumn colId="2" hiddenButton="1"/>
    <filterColumn colId="3" hiddenButton="1"/>
  </autoFilter>
  <tableColumns count="4">
    <tableColumn id="1" xr3:uid="{43149608-0FA0-44DE-B096-C85ED4EB84FB}" name="Temperature Zone">
      <calculatedColumnFormula array="1">Common_InputFunctions.Utility_DisplayArrayInTable(Common_SourceData.Common_SourceData_TemperatureZones_Data(),Table_SourceData_TemperatureZones[[#Headers],[Temperature Zone]],0)</calculatedColumnFormula>
    </tableColumn>
    <tableColumn id="2" xr3:uid="{4D7CB2C6-C4FE-4A22-9AA6-F3B0C577CFED}" name="MAT">
      <calculatedColumnFormula array="1">Common_InputFunctions.Utility_DisplayArrayInTable(Common_SourceData.Common_SourceData_TemperatureZones_Data(),Table_SourceData_TemperatureZones[[#Headers],[Temperature Zone]],0)</calculatedColumnFormula>
    </tableColumn>
    <tableColumn id="3" xr3:uid="{1B7D0921-C182-431E-B7DA-E23F39A86F35}" name="Min MAT">
      <calculatedColumnFormula array="1">Common_InputFunctions.Utility_DisplayArrayInTable(Common_SourceData.Common_SourceData_TemperatureZones_Data(),Table_SourceData_TemperatureZones[[#Headers],[Temperature Zone]],0)</calculatedColumnFormula>
    </tableColumn>
    <tableColumn id="4" xr3:uid="{6DD72040-0F6C-40C7-BDEC-426AE52FA8E5}" name="Max MAT">
      <calculatedColumnFormula array="1">Common_InputFunctions.Utility_DisplayArrayInTable(Common_SourceData.Common_SourceData_TemperatureZones_Data(),Table_SourceData_TemperatureZones[[#Headers],[Temperature Zone]],0)</calculatedColumnFormula>
    </tableColumn>
  </tableColumns>
  <tableStyleInfo name="Equation table" showFirstColumn="0" showLastColumn="0" showRowStripes="1" showColumnStripes="0"/>
</table>
</file>

<file path=xl/tables/table1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83E351D7-1C00-4896-BD43-F225E5B19B40}" name="Table_SourceData_RainfallZones" displayName="Table_SourceData_RainfallZones" ref="D119:G121" totalsRowShown="0">
  <autoFilter ref="D119:G121" xr:uid="{E08772F3-2E8C-40A8-B755-08A5BBDF4130}">
    <filterColumn colId="0" hiddenButton="1"/>
    <filterColumn colId="1" hiddenButton="1"/>
    <filterColumn colId="2" hiddenButton="1"/>
    <filterColumn colId="3" hiddenButton="1"/>
  </autoFilter>
  <tableColumns count="4">
    <tableColumn id="1" xr3:uid="{379589F9-D9B1-4633-8382-9C1EA29CD847}" name="Rainfall Zone">
      <calculatedColumnFormula array="1">Common_InputFunctions.Utility_DisplayArrayInTable(Common_SourceData.Common_SourceData_RainfallZones_Data(),Table_SourceData_RainfallZones[[#Headers],[Rainfall Zone]],0)</calculatedColumnFormula>
    </tableColumn>
    <tableColumn id="2" xr3:uid="{2D65A4B6-3313-47B3-BFDD-4CC3D626CE11}" name="Annual rainfall">
      <calculatedColumnFormula array="1">Common_InputFunctions.Utility_DisplayArrayInTable(Common_SourceData.Common_SourceData_RainfallZones_Data(),Table_SourceData_RainfallZones[[#Headers],[Rainfall Zone]],0)</calculatedColumnFormula>
    </tableColumn>
    <tableColumn id="3" xr3:uid="{9257B0DC-3602-4FF0-AA83-2B48CA1B7007}" name="Min rainfall">
      <calculatedColumnFormula array="1">Common_InputFunctions.Utility_DisplayArrayInTable(Common_SourceData.Common_SourceData_RainfallZones_Data(),Table_SourceData_RainfallZones[[#Headers],[Rainfall Zone]],0)</calculatedColumnFormula>
    </tableColumn>
    <tableColumn id="4" xr3:uid="{D0D6BC98-36F4-42A0-BE05-35ECBE3D542B}" name="Max rainfall">
      <calculatedColumnFormula array="1">Common_InputFunctions.Utility_DisplayArrayInTable(Common_SourceData.Common_SourceData_RainfallZones_Data(),Table_SourceData_RainfallZones[[#Headers],[Rainfall Zone]],0)</calculatedColumnFormula>
    </tableColumn>
  </tableColumns>
  <tableStyleInfo name="Equation table" showFirstColumn="0" showLastColumn="0" showRowStripes="1" showColumnStripes="0"/>
</table>
</file>

<file path=xl/tables/table1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64012760-1630-497E-A797-08D1E1F6B699}" name="Table_SourceData_LeachingZones" displayName="Table_SourceData_LeachingZones" ref="D127:E129" totalsRowShown="0">
  <autoFilter ref="D127:E129" xr:uid="{A159E140-02ED-4547-B6E1-6695D8B16A11}">
    <filterColumn colId="0" hiddenButton="1"/>
    <filterColumn colId="1" hiddenButton="1"/>
  </autoFilter>
  <tableColumns count="2">
    <tableColumn id="1" xr3:uid="{AB14FE04-CFAD-4DBB-86A2-F792A6517A93}" name="Leaching Zone">
      <calculatedColumnFormula array="1">Common_InputFunctions.Utility_DisplayArrayInTable(Common_SourceData.Common_SourceData_LeachingZones_Data(), Table_SourceData_LeachingZones[[#Headers],[Leaching Zone]], 0)</calculatedColumnFormula>
    </tableColumn>
    <tableColumn id="2" xr3:uid="{0B59772A-D315-4592-AD70-575906A2AD5B}" name="Leaching criteria">
      <calculatedColumnFormula array="1">Common_InputFunctions.Utility_DisplayArrayInTable(Common_SourceData.Common_SourceData_LeachingZones_Data(), Table_SourceData_LeachingZones[[#Headers],[Leaching Zone]], 0)</calculatedColumnFormula>
    </tableColumn>
  </tableColumns>
  <tableStyleInfo name="Equation table" showFirstColumn="0" showLastColumn="0" showRowStripes="1" showColumnStripes="0"/>
</table>
</file>

<file path=xl/tables/table15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D731BC8A-327D-4507-BA96-62EB47E5FFCE}" name="Table_SourceData_DataScores_Scope3" displayName="Table_SourceData_DataScores_Scope3" ref="D153:E158" totalsRowShown="0">
  <autoFilter ref="D153:E158" xr:uid="{133D42B0-F6D2-470A-858A-37E6A7F5EC2B}">
    <filterColumn colId="0" hiddenButton="1"/>
    <filterColumn colId="1" hiddenButton="1"/>
  </autoFilter>
  <tableColumns count="2">
    <tableColumn id="1" xr3:uid="{6431CD2D-6040-447E-9FC3-3ED89467ED97}" name="Data source">
      <calculatedColumnFormula array="1">Common_InputFunctions.Utility_DisplayArrayInTable(Common_SourceData.Common_SourceData_DataScores_Scope3_Data(), Table_SourceData_DataScores_Scope3[[#Headers],[Data source]], 0)</calculatedColumnFormula>
    </tableColumn>
    <tableColumn id="2" xr3:uid="{8D0BAF55-142E-4DA3-8079-A94EBBC5F1D7}" name="Data score">
      <calculatedColumnFormula array="1">Common_InputFunctions.Utility_DisplayArrayInTable(Common_SourceData.Common_SourceData_DataScores_Scope3_Data(), Table_SourceData_DataScores_Scope3[[#Headers],[Data source]], 0)</calculatedColumnFormula>
    </tableColumn>
  </tableColumns>
  <tableStyleInfo name="Equation table" showFirstColumn="0" showLastColumn="0" showRowStripes="1" showColumnStripes="0"/>
</table>
</file>

<file path=xl/tables/table15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590D7458-5A20-4A54-AFF2-AAF23DDF0485}" name="Table_SourceData_FracWET" displayName="Table_SourceData_FracWET" ref="D134:E136" totalsRowShown="0">
  <autoFilter ref="D134:E136" xr:uid="{308E99BE-FE1F-47A4-B2CA-97217277C4E9}">
    <filterColumn colId="0" hiddenButton="1"/>
    <filterColumn colId="1" hiddenButton="1"/>
  </autoFilter>
  <tableColumns count="2">
    <tableColumn id="1" xr3:uid="{9830E341-7ABB-42DB-9F7D-01E9767F30DE}" name="Is in leaching zone">
      <calculatedColumnFormula array="1">Common_InputFunctions.Utility_DisplayArrayInTable(Common_SourceData.Common_SourceData_FracWET_Data(),Table_SourceData_FracWET[[#Headers],[Is in leaching zone]],0)</calculatedColumnFormula>
    </tableColumn>
    <tableColumn id="2" xr3:uid="{AEA5E891-232A-4D87-AF46-421D254B183B}" name="FracWET" dataDxfId="148">
      <calculatedColumnFormula array="1">Common_InputFunctions.Utility_DisplayArrayInTable(Common_SourceData.Common_SourceData_FracWET_Data(),Table_SourceData_FracWET[[#Headers],[Is in leaching zone]],0)</calculatedColumnFormula>
    </tableColumn>
  </tableColumns>
  <tableStyleInfo name="Equation table" showFirstColumn="0" showLastColumn="0" showRowStripes="1" showColumnStripes="0"/>
</table>
</file>

<file path=xl/tables/table15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78AB1AD-887A-4C39-B46C-CE2FA11EAAE6}" name="Table_SourceData_Common_EFN2O" displayName="Table_SourceData_Common_EFN2O" ref="D186:H199" totalsRowShown="0">
  <autoFilter ref="D186:H199" xr:uid="{D41FBEA4-8379-4DF7-A068-BF94D364F1A2}">
    <filterColumn colId="0" hiddenButton="1"/>
    <filterColumn colId="1" hiddenButton="1"/>
    <filterColumn colId="2" hiddenButton="1"/>
    <filterColumn colId="3" hiddenButton="1"/>
    <filterColumn colId="4" hiddenButton="1"/>
  </autoFilter>
  <tableColumns count="5">
    <tableColumn id="1" xr3:uid="{D71CE791-A500-468F-A2B7-A51CB7B2EC57}" name="Production system j">
      <calculatedColumnFormula array="1">Common_InputFunctions.Utility_DisplayArrayInTable(Common_SourceData.Common_SourceData_EFN2O_Data(), Table_SourceData_Common_EFN2O[[#Headers],[Production system j]], 0)</calculatedColumnFormula>
    </tableColumn>
    <tableColumn id="2" xr3:uid="{C1449596-5881-40B4-8E7D-3782FE658918}" name="EFN2O">
      <calculatedColumnFormula array="1">Common_InputFunctions.Utility_DisplayArrayInTable(Common_SourceData.Common_SourceData_EFN2O_Data(), Table_SourceData_Common_EFN2O[[#Headers],[Production system j]], 0)</calculatedColumnFormula>
    </tableColumn>
    <tableColumn id="3" xr3:uid="{09CF8BE8-441C-47CB-958F-EB4D559E0582}" name="Production system only">
      <calculatedColumnFormula array="1">Common_InputFunctions.Utility_DisplayArrayInTable(Common_SourceData.Common_SourceData_EFN2O_Data(), Table_SourceData_Common_EFN2O[[#Headers],[Production system j]], 0)</calculatedColumnFormula>
    </tableColumn>
    <tableColumn id="4" xr3:uid="{F610A84C-EEAD-4EF9-BEC4-73562831B4C9}" name="Irrigation method">
      <calculatedColumnFormula array="1">Common_InputFunctions.Utility_DisplayArrayInTable(Common_SourceData.Common_SourceData_EFN2O_Data(), Table_SourceData_Common_EFN2O[[#Headers],[Production system j]], 0)</calculatedColumnFormula>
    </tableColumn>
    <tableColumn id="5" xr3:uid="{8C99980D-FA84-4B4B-A21E-AE78441F8948}" name="Rainfall zone">
      <calculatedColumnFormula array="1">Common_InputFunctions.Utility_DisplayArrayInTable(Common_SourceData.Common_SourceData_EFN2O_Data(), Table_SourceData_Common_EFN2O[[#Headers],[Production system j]], 0)</calculatedColumnFormula>
    </tableColumn>
  </tableColumns>
  <tableStyleInfo name="Equation table" showFirstColumn="0" showLastColumn="0" showRowStripes="1" showColumnStripes="0"/>
</table>
</file>

<file path=xl/tables/table15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DF546B94-3041-42AC-A3DE-C153DA5CD7C6}" name="Table_SourceData_FracWETIrrigation" displayName="Table_SourceData_FracWETIrrigation" ref="D142:E147" totalsRowShown="0">
  <autoFilter ref="D142:E147" xr:uid="{1F48CA34-50DE-46D5-B32A-BB3A1E818E37}">
    <filterColumn colId="0" hiddenButton="1"/>
    <filterColumn colId="1" hiddenButton="1"/>
  </autoFilter>
  <tableColumns count="2">
    <tableColumn id="1" xr3:uid="{9CD226A8-B698-4C42-A7CD-F757B6B0E0BF}" name="Irrigation type i">
      <calculatedColumnFormula array="1">Common_InputFunctions.Utility_DisplayArrayInTable(Common_SourceData.Common_SourceData_FracWETIrrigation_Data(), Table_SourceData_FracWETIrrigation[[#Headers],[Irrigation type i]], 0)</calculatedColumnFormula>
    </tableColumn>
    <tableColumn id="2" xr3:uid="{5F4A00C4-55F4-4C5F-B02B-FF66E4DBD293}" name="FracWET" dataDxfId="147" dataCellStyle="Content normal">
      <calculatedColumnFormula array="1">Common_InputFunctions.Utility_DisplayArrayInTable(Common_SourceData.Common_SourceData_FracWETIrrigation_Data(), Table_SourceData_FracWETIrrigation[[#Headers],[Irrigation type i]], 0)</calculatedColumnFormula>
    </tableColumn>
  </tableColumns>
  <tableStyleInfo name="Equation table" showFirstColumn="0" showLastColumn="0" showRowStripes="1" showColumnStripes="0"/>
</table>
</file>

<file path=xl/tables/table15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B693DCC4-E8A3-4F07-B5B7-2DD7C3490359}" name="Table_SourceData_EFPastureRangeAndPaddock" displayName="Table_SourceData_EFPastureRangeAndPaddock" ref="D206:E208" totalsRowShown="0">
  <autoFilter ref="D206:E208" xr:uid="{D5BE3F89-D70E-4C53-A71C-E756622DEF38}">
    <filterColumn colId="0" hiddenButton="1"/>
    <filterColumn colId="1" hiddenButton="1"/>
  </autoFilter>
  <tableColumns count="2">
    <tableColumn id="1" xr3:uid="{423F9FDA-B45A-45B3-9189-BD16F6263B7B}" name="Climate zone">
      <calculatedColumnFormula array="1">Common_InputFunctions.Utility_DisplayArrayInTable(Common_SourceData.Common_SourceData_EFPastureRangeAndPaddock_Data(), Table_SourceData_EFPastureRangeAndPaddock[[#Headers],[Climate zone]], 0)</calculatedColumnFormula>
    </tableColumn>
    <tableColumn id="2" xr3:uid="{3595344E-F94E-49F3-9A3E-AEC8D9B69BBC}" name="EFPRP" dataDxfId="146" dataCellStyle="Content normal">
      <calculatedColumnFormula array="1">Common_InputFunctions.Utility_DisplayArrayInTable(Common_SourceData.Common_SourceData_EFPastureRangeAndPaddock_Data(), Table_SourceData_EFPastureRangeAndPaddock[[#Headers],[Climate zone]], 0)</calculatedColumnFormula>
    </tableColumn>
  </tableColumns>
  <tableStyleInfo name="Equation table" showFirstColumn="0" showLastColumn="0" showRowStripes="1" showColumnStripes="0"/>
</table>
</file>

<file path=xl/tables/table15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AC54E974-0497-4DEB-8210-2BD81D9DDEDC}" name="Table_SourceData_Common_MonthToSeason" displayName="Table_SourceData_Common_MonthToSeason" ref="D212:E224" totalsRowShown="0">
  <autoFilter ref="D212:E224" xr:uid="{97796C3A-D95E-4077-AA20-A8FE4145DAAD}">
    <filterColumn colId="0" hiddenButton="1"/>
    <filterColumn colId="1" hiddenButton="1"/>
  </autoFilter>
  <tableColumns count="2">
    <tableColumn id="1" xr3:uid="{D5335444-978F-4AF5-90F5-809006CA1C0F}" name="Month">
      <calculatedColumnFormula array="1">Common_InputFunctions.Utility_DisplayArrayInTable(Common_SourceData.Common_SourceData_MonthsToSeasons_Data(), Table_SourceData_Common_MonthToSeason[[#Headers],[Month]], 0)</calculatedColumnFormula>
    </tableColumn>
    <tableColumn id="2" xr3:uid="{A3F83C56-2F86-483B-AA53-4498BC39FEB6}" name="Season" dataDxfId="145" dataCellStyle="Content normal">
      <calculatedColumnFormula array="1">Common_InputFunctions.Utility_DisplayArrayInTable(Common_SourceData.Common_SourceData_MonthsToSeasons_Data(), Table_SourceData_Common_MonthToSeason[[#Headers],[Month]], 0)</calculatedColumnFormula>
    </tableColumn>
  </tableColumns>
  <tableStyleInfo name="Equation table" showFirstColumn="0" showLastColumn="0" showRowStripes="1" showColumnStripes="0"/>
</table>
</file>

<file path=xl/tables/table15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4ACC7827-32FF-4EF5-8948-526826777569}" name="Table_SourceData_Common_MCFTemperatureZone" displayName="Table_SourceData_Common_MCFTemperatureZone" ref="D231:S250" totalsRowShown="0">
  <autoFilter ref="D231:S250" xr:uid="{1D72DD9B-C8FA-48F4-9A11-20231FF87B5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5AB0CD4B-8596-4060-9017-D90C5AB650C3}" name="Temperature zone">
      <calculatedColumnFormula array="1">Common_InputFunctions.Utility_DisplayArrayInTable(Common_SourceData.Common_SourceData_MCFTemperatureZone_Data(),Table_SourceData_Common_MCFTemperatureZone[[#Headers],[Temperature zone]],0)</calculatedColumnFormula>
    </tableColumn>
    <tableColumn id="2" xr3:uid="{7F6AF057-9971-47B8-A7DE-220CE18D2C82}" name="MAT (ºC)" dataDxfId="14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3" xr3:uid="{E100968B-8D63-415B-A1D7-ABEB4B69C2EC}" name="Anaerobic lagoon" dataDxfId="14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4" xr3:uid="{8F7A15BE-1B99-480F-8128-9C1781BDBA44}" name="Digester / covered lagoons" dataDxfId="14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5" xr3:uid="{63DB7FFD-0A74-4173-B1C9-F9A5F0A00E99}" name="Liquid systems" dataDxfId="14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6" xr3:uid="{68B15994-F771-4BD1-A5B6-EC2A99CA716E}" name="Daily spread" dataDxfId="14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7" xr3:uid="{F1395400-9E2B-47C1-B03C-AB48B132CE24}" name="Composting (passive windrow)" dataDxfId="13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8" xr3:uid="{0CA23A57-45DA-4637-AA51-FD38549A8045}" name="Solid storage" dataDxfId="13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9" xr3:uid="{BC1F003E-8B57-42D6-A03B-5FABF38E036A}" name="Pit storage" dataDxfId="13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0" xr3:uid="{6B0B1BFE-5361-470C-9A54-913C4C49730C}" name="Deep litter" dataDxfId="13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1" xr3:uid="{960A0BAE-A75A-4614-93FB-DC2C6CEBC07B}" name="Poultry manure with bedding" dataDxfId="13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2" xr3:uid="{7784A77C-30EB-4DC3-A1AA-14AE8F29F0A2}" name="Poultry manure without bedding" dataDxfId="13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3" xr3:uid="{95F91501-7BCD-4C00-9060-2366A71A9B79}" name="Direct processing" dataDxfId="13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4" xr3:uid="{D5A9481E-1366-496D-B4BA-CBA4DC5F7CEE}" name="Direct application" dataDxfId="13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5" xr3:uid="{7121A7C7-42E7-48EF-A228-1A9FD9AA9DEC}" name="Pasture range and paddock" dataDxfId="13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6" xr3:uid="{D5F3FAD9-C84F-4B42-92BB-CC29687449D4}" name="MAT raw" dataDxfId="130" dataCellStyle="Content normal">
      <calculatedColumnFormula array="1">Common_InputFunctions.Utility_DisplayArrayInTable(Common_SourceData.Common_SourceData_MCFTemperatureZone_Data(),Table_SourceData_Common_MCFTemperatureZone[[#Headers],[Temperature zone]],0)</calculatedColumnFormula>
    </tableColumn>
  </tableColumns>
  <tableStyleInfo name="Equation table" showFirstColumn="0" showLastColumn="0" showRowStripes="1" showColumnStripes="0"/>
</table>
</file>

<file path=xl/tables/table15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B1020675-BC7E-4541-A79A-24F9FD14E518}" name="Table_SourceData_Common_EFOrganicFertCropResidues" displayName="Table_SourceData_Common_EFOrganicFertCropResidues" ref="D257:E259" totalsRowShown="0">
  <autoFilter ref="D257:E259" xr:uid="{56E01C14-1BB8-4015-9158-4CEB4D3B605C}">
    <filterColumn colId="0" hiddenButton="1"/>
    <filterColumn colId="1" hiddenButton="1"/>
  </autoFilter>
  <tableColumns count="2">
    <tableColumn id="1" xr3:uid="{C306B2CF-F8C8-4A9C-B07B-06E54C6CB61D}" name="Climate Zone">
      <calculatedColumnFormula array="1">Common_InputFunctions.Utility_DisplayArrayInTable(Common_SourceData.Common_SourceData_EFOrganicFertiliserAndCropResidues_Data(), Table_SourceData_Common_EFOrganicFertCropResidues[[#Headers],[Climate Zone]], 0)</calculatedColumnFormula>
    </tableColumn>
    <tableColumn id="2" xr3:uid="{DA954597-C859-4826-8A9C-3E05A2870F80}" name="EFNi &amp; EFN2Oi" dataDxfId="129" dataCellStyle="Content normal">
      <calculatedColumnFormula array="1">Common_InputFunctions.Utility_DisplayArrayInTable(Common_SourceData.Common_SourceData_EFOrganicFertiliserAndCropResidues_Data(), Table_SourceData_Common_EFOrganicFertCropResidues[[#Headers],[Climate Zone]], 0)</calculatedColumnFormula>
    </tableColumn>
  </tableColumns>
  <tableStyleInfo name="Equation table"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821"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505792E4-89C0-41CC-9A16-4B96A36E5E1B}">
  <we:reference id="WA200003696" version="1.3.0.0" store="Omex" storeType="OMEX"/>
  <we:alternateReferences>
    <we:reference id="WA200003696" version="1.3.0.0" store="WA200003696" storeType="OMEX"/>
  </we:alternateReferences>
  <we:properties>
    <we:property name="projectV0_1-56c6e055-265e-4713-816e-a646dbb708de" value="{&quot;kind&quot;:&quot;AFEJSONBlobNode&quot;,&quot;id&quot;:&quot;{8523A1ED-64A4-4F28-87AE-B321FB11927F}&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1.xml.rels><?xml version="1.0" encoding="UTF-8" standalone="yes"?>
<Relationships xmlns="http://schemas.openxmlformats.org/package/2006/relationships"><Relationship Id="rId8" Type="http://schemas.openxmlformats.org/officeDocument/2006/relationships/table" Target="../tables/table7.xml"/><Relationship Id="rId3" Type="http://schemas.openxmlformats.org/officeDocument/2006/relationships/table" Target="../tables/table2.xml"/><Relationship Id="rId7" Type="http://schemas.openxmlformats.org/officeDocument/2006/relationships/table" Target="../tables/table6.xml"/><Relationship Id="rId12" Type="http://schemas.openxmlformats.org/officeDocument/2006/relationships/table" Target="../tables/table11.xml"/><Relationship Id="rId2" Type="http://schemas.openxmlformats.org/officeDocument/2006/relationships/table" Target="../tables/table1.xml"/><Relationship Id="rId1" Type="http://schemas.openxmlformats.org/officeDocument/2006/relationships/printerSettings" Target="../printerSettings/printerSettings1.bin"/><Relationship Id="rId6" Type="http://schemas.openxmlformats.org/officeDocument/2006/relationships/table" Target="../tables/table5.xml"/><Relationship Id="rId11" Type="http://schemas.openxmlformats.org/officeDocument/2006/relationships/table" Target="../tables/table10.xml"/><Relationship Id="rId5" Type="http://schemas.openxmlformats.org/officeDocument/2006/relationships/table" Target="../tables/table4.xml"/><Relationship Id="rId10" Type="http://schemas.openxmlformats.org/officeDocument/2006/relationships/table" Target="../tables/table9.xml"/><Relationship Id="rId4" Type="http://schemas.openxmlformats.org/officeDocument/2006/relationships/table" Target="../tables/table3.xml"/><Relationship Id="rId9" Type="http://schemas.openxmlformats.org/officeDocument/2006/relationships/table" Target="../tables/table8.xml"/></Relationships>
</file>

<file path=xl/worksheets/_rels/sheet2.xml.rels><?xml version="1.0" encoding="UTF-8" standalone="yes"?>
<Relationships xmlns="http://schemas.openxmlformats.org/package/2006/relationships"><Relationship Id="rId8" Type="http://schemas.openxmlformats.org/officeDocument/2006/relationships/table" Target="../tables/table19.xml"/><Relationship Id="rId13" Type="http://schemas.openxmlformats.org/officeDocument/2006/relationships/table" Target="../tables/table24.xml"/><Relationship Id="rId3" Type="http://schemas.openxmlformats.org/officeDocument/2006/relationships/table" Target="../tables/table14.xml"/><Relationship Id="rId7" Type="http://schemas.openxmlformats.org/officeDocument/2006/relationships/table" Target="../tables/table18.xml"/><Relationship Id="rId12" Type="http://schemas.openxmlformats.org/officeDocument/2006/relationships/table" Target="../tables/table23.xml"/><Relationship Id="rId2" Type="http://schemas.openxmlformats.org/officeDocument/2006/relationships/table" Target="../tables/table13.xml"/><Relationship Id="rId1" Type="http://schemas.openxmlformats.org/officeDocument/2006/relationships/table" Target="../tables/table12.xml"/><Relationship Id="rId6" Type="http://schemas.openxmlformats.org/officeDocument/2006/relationships/table" Target="../tables/table17.xml"/><Relationship Id="rId11" Type="http://schemas.openxmlformats.org/officeDocument/2006/relationships/table" Target="../tables/table22.xml"/><Relationship Id="rId5" Type="http://schemas.openxmlformats.org/officeDocument/2006/relationships/table" Target="../tables/table16.xml"/><Relationship Id="rId10" Type="http://schemas.openxmlformats.org/officeDocument/2006/relationships/table" Target="../tables/table21.xml"/><Relationship Id="rId4" Type="http://schemas.openxmlformats.org/officeDocument/2006/relationships/table" Target="../tables/table15.xml"/><Relationship Id="rId9" Type="http://schemas.openxmlformats.org/officeDocument/2006/relationships/table" Target="../tables/table20.xml"/><Relationship Id="rId14" Type="http://schemas.openxmlformats.org/officeDocument/2006/relationships/table" Target="../tables/table25.xml"/></Relationships>
</file>

<file path=xl/worksheets/_rels/sheet3.xml.rels><?xml version="1.0" encoding="UTF-8" standalone="yes"?>
<Relationships xmlns="http://schemas.openxmlformats.org/package/2006/relationships"><Relationship Id="rId8" Type="http://schemas.openxmlformats.org/officeDocument/2006/relationships/table" Target="../tables/table33.xml"/><Relationship Id="rId13" Type="http://schemas.openxmlformats.org/officeDocument/2006/relationships/table" Target="../tables/table38.xml"/><Relationship Id="rId3" Type="http://schemas.openxmlformats.org/officeDocument/2006/relationships/table" Target="../tables/table28.xml"/><Relationship Id="rId7" Type="http://schemas.openxmlformats.org/officeDocument/2006/relationships/table" Target="../tables/table32.xml"/><Relationship Id="rId12" Type="http://schemas.openxmlformats.org/officeDocument/2006/relationships/table" Target="../tables/table37.xml"/><Relationship Id="rId2" Type="http://schemas.openxmlformats.org/officeDocument/2006/relationships/table" Target="../tables/table27.xml"/><Relationship Id="rId1" Type="http://schemas.openxmlformats.org/officeDocument/2006/relationships/table" Target="../tables/table26.xml"/><Relationship Id="rId6" Type="http://schemas.openxmlformats.org/officeDocument/2006/relationships/table" Target="../tables/table31.xml"/><Relationship Id="rId11" Type="http://schemas.openxmlformats.org/officeDocument/2006/relationships/table" Target="../tables/table36.xml"/><Relationship Id="rId5" Type="http://schemas.openxmlformats.org/officeDocument/2006/relationships/table" Target="../tables/table30.xml"/><Relationship Id="rId15" Type="http://schemas.openxmlformats.org/officeDocument/2006/relationships/table" Target="../tables/table40.xml"/><Relationship Id="rId10" Type="http://schemas.openxmlformats.org/officeDocument/2006/relationships/table" Target="../tables/table35.xml"/><Relationship Id="rId4" Type="http://schemas.openxmlformats.org/officeDocument/2006/relationships/table" Target="../tables/table29.xml"/><Relationship Id="rId9" Type="http://schemas.openxmlformats.org/officeDocument/2006/relationships/table" Target="../tables/table34.xml"/><Relationship Id="rId14" Type="http://schemas.openxmlformats.org/officeDocument/2006/relationships/table" Target="../tables/table39.xml"/></Relationships>
</file>

<file path=xl/worksheets/_rels/sheet4.xml.rels><?xml version="1.0" encoding="UTF-8" standalone="yes"?>
<Relationships xmlns="http://schemas.openxmlformats.org/package/2006/relationships"><Relationship Id="rId8" Type="http://schemas.openxmlformats.org/officeDocument/2006/relationships/table" Target="../tables/table48.xml"/><Relationship Id="rId13" Type="http://schemas.openxmlformats.org/officeDocument/2006/relationships/table" Target="../tables/table53.xml"/><Relationship Id="rId18" Type="http://schemas.openxmlformats.org/officeDocument/2006/relationships/table" Target="../tables/table58.xml"/><Relationship Id="rId3" Type="http://schemas.openxmlformats.org/officeDocument/2006/relationships/table" Target="../tables/table43.xml"/><Relationship Id="rId21" Type="http://schemas.openxmlformats.org/officeDocument/2006/relationships/table" Target="../tables/table61.xml"/><Relationship Id="rId7" Type="http://schemas.openxmlformats.org/officeDocument/2006/relationships/table" Target="../tables/table47.xml"/><Relationship Id="rId12" Type="http://schemas.openxmlformats.org/officeDocument/2006/relationships/table" Target="../tables/table52.xml"/><Relationship Id="rId17" Type="http://schemas.openxmlformats.org/officeDocument/2006/relationships/table" Target="../tables/table57.xml"/><Relationship Id="rId2" Type="http://schemas.openxmlformats.org/officeDocument/2006/relationships/table" Target="../tables/table42.xml"/><Relationship Id="rId16" Type="http://schemas.openxmlformats.org/officeDocument/2006/relationships/table" Target="../tables/table56.xml"/><Relationship Id="rId20" Type="http://schemas.openxmlformats.org/officeDocument/2006/relationships/table" Target="../tables/table60.xml"/><Relationship Id="rId1" Type="http://schemas.openxmlformats.org/officeDocument/2006/relationships/table" Target="../tables/table41.xml"/><Relationship Id="rId6" Type="http://schemas.openxmlformats.org/officeDocument/2006/relationships/table" Target="../tables/table46.xml"/><Relationship Id="rId11" Type="http://schemas.openxmlformats.org/officeDocument/2006/relationships/table" Target="../tables/table51.xml"/><Relationship Id="rId24" Type="http://schemas.openxmlformats.org/officeDocument/2006/relationships/table" Target="../tables/table64.xml"/><Relationship Id="rId5" Type="http://schemas.openxmlformats.org/officeDocument/2006/relationships/table" Target="../tables/table45.xml"/><Relationship Id="rId15" Type="http://schemas.openxmlformats.org/officeDocument/2006/relationships/table" Target="../tables/table55.xml"/><Relationship Id="rId23" Type="http://schemas.openxmlformats.org/officeDocument/2006/relationships/table" Target="../tables/table63.xml"/><Relationship Id="rId10" Type="http://schemas.openxmlformats.org/officeDocument/2006/relationships/table" Target="../tables/table50.xml"/><Relationship Id="rId19" Type="http://schemas.openxmlformats.org/officeDocument/2006/relationships/table" Target="../tables/table59.xml"/><Relationship Id="rId4" Type="http://schemas.openxmlformats.org/officeDocument/2006/relationships/table" Target="../tables/table44.xml"/><Relationship Id="rId9" Type="http://schemas.openxmlformats.org/officeDocument/2006/relationships/table" Target="../tables/table49.xml"/><Relationship Id="rId14" Type="http://schemas.openxmlformats.org/officeDocument/2006/relationships/table" Target="../tables/table54.xml"/><Relationship Id="rId22" Type="http://schemas.openxmlformats.org/officeDocument/2006/relationships/table" Target="../tables/table62.xml"/></Relationships>
</file>

<file path=xl/worksheets/_rels/sheet6.xml.rels><?xml version="1.0" encoding="UTF-8" standalone="yes"?>
<Relationships xmlns="http://schemas.openxmlformats.org/package/2006/relationships"><Relationship Id="rId3" Type="http://schemas.openxmlformats.org/officeDocument/2006/relationships/table" Target="../tables/table66.xml"/><Relationship Id="rId2" Type="http://schemas.openxmlformats.org/officeDocument/2006/relationships/table" Target="../tables/table65.xml"/><Relationship Id="rId1" Type="http://schemas.openxmlformats.org/officeDocument/2006/relationships/printerSettings" Target="../printerSettings/printerSettings2.bin"/><Relationship Id="rId5" Type="http://schemas.openxmlformats.org/officeDocument/2006/relationships/table" Target="../tables/table68.xml"/><Relationship Id="rId4" Type="http://schemas.openxmlformats.org/officeDocument/2006/relationships/table" Target="../tables/table67.xml"/></Relationships>
</file>

<file path=xl/worksheets/_rels/sheet8.xml.rels><?xml version="1.0" encoding="UTF-8" standalone="yes"?>
<Relationships xmlns="http://schemas.openxmlformats.org/package/2006/relationships"><Relationship Id="rId8" Type="http://schemas.openxmlformats.org/officeDocument/2006/relationships/table" Target="../tables/table75.xml"/><Relationship Id="rId13" Type="http://schemas.openxmlformats.org/officeDocument/2006/relationships/table" Target="../tables/table80.xml"/><Relationship Id="rId3" Type="http://schemas.openxmlformats.org/officeDocument/2006/relationships/table" Target="../tables/table70.xml"/><Relationship Id="rId7" Type="http://schemas.openxmlformats.org/officeDocument/2006/relationships/table" Target="../tables/table74.xml"/><Relationship Id="rId12" Type="http://schemas.openxmlformats.org/officeDocument/2006/relationships/table" Target="../tables/table79.xml"/><Relationship Id="rId2" Type="http://schemas.openxmlformats.org/officeDocument/2006/relationships/table" Target="../tables/table69.xml"/><Relationship Id="rId1" Type="http://schemas.openxmlformats.org/officeDocument/2006/relationships/printerSettings" Target="../printerSettings/printerSettings3.bin"/><Relationship Id="rId6" Type="http://schemas.openxmlformats.org/officeDocument/2006/relationships/table" Target="../tables/table73.xml"/><Relationship Id="rId11" Type="http://schemas.openxmlformats.org/officeDocument/2006/relationships/table" Target="../tables/table78.xml"/><Relationship Id="rId5" Type="http://schemas.openxmlformats.org/officeDocument/2006/relationships/table" Target="../tables/table72.xml"/><Relationship Id="rId10" Type="http://schemas.openxmlformats.org/officeDocument/2006/relationships/table" Target="../tables/table77.xml"/><Relationship Id="rId4" Type="http://schemas.openxmlformats.org/officeDocument/2006/relationships/table" Target="../tables/table71.xml"/><Relationship Id="rId9" Type="http://schemas.openxmlformats.org/officeDocument/2006/relationships/table" Target="../tables/table76.xml"/></Relationships>
</file>

<file path=xl/worksheets/_rels/sheet9.xml.rels><?xml version="1.0" encoding="UTF-8" standalone="yes"?>
<Relationships xmlns="http://schemas.openxmlformats.org/package/2006/relationships"><Relationship Id="rId2" Type="http://schemas.openxmlformats.org/officeDocument/2006/relationships/table" Target="../tables/table81.xml"/><Relationship Id="rId1" Type="http://schemas.openxmlformats.org/officeDocument/2006/relationships/printerSettings" Target="../printerSettings/printerSettings4.bin"/></Relationships>
</file>

<file path=xl/worksheets/_rels/sheet10.xml.rels><?xml version="1.0" encoding="UTF-8" standalone="yes"?>
<Relationships xmlns="http://schemas.openxmlformats.org/package/2006/relationships"><Relationship Id="rId3" Type="http://schemas.openxmlformats.org/officeDocument/2006/relationships/table" Target="../tables/table83.xml"/><Relationship Id="rId2" Type="http://schemas.openxmlformats.org/officeDocument/2006/relationships/table" Target="../tables/table82.xml"/><Relationship Id="rId1" Type="http://schemas.openxmlformats.org/officeDocument/2006/relationships/printerSettings" Target="../printerSettings/printerSettings5.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6.bin"/></Relationships>
</file>

<file path=xl/worksheets/_rels/sheet12.xml.rels><?xml version="1.0" encoding="UTF-8" standalone="yes"?>
<Relationships xmlns="http://schemas.openxmlformats.org/package/2006/relationships"><Relationship Id="rId8" Type="http://schemas.openxmlformats.org/officeDocument/2006/relationships/table" Target="../tables/table91.xml"/><Relationship Id="rId13" Type="http://schemas.openxmlformats.org/officeDocument/2006/relationships/table" Target="../tables/table96.xml"/><Relationship Id="rId18" Type="http://schemas.openxmlformats.org/officeDocument/2006/relationships/table" Target="../tables/table101.xml"/><Relationship Id="rId26" Type="http://schemas.openxmlformats.org/officeDocument/2006/relationships/table" Target="../tables/table109.xml"/><Relationship Id="rId3" Type="http://schemas.openxmlformats.org/officeDocument/2006/relationships/table" Target="../tables/table86.xml"/><Relationship Id="rId21" Type="http://schemas.openxmlformats.org/officeDocument/2006/relationships/table" Target="../tables/table104.xml"/><Relationship Id="rId7" Type="http://schemas.openxmlformats.org/officeDocument/2006/relationships/table" Target="../tables/table90.xml"/><Relationship Id="rId12" Type="http://schemas.openxmlformats.org/officeDocument/2006/relationships/table" Target="../tables/table95.xml"/><Relationship Id="rId17" Type="http://schemas.openxmlformats.org/officeDocument/2006/relationships/table" Target="../tables/table100.xml"/><Relationship Id="rId25" Type="http://schemas.openxmlformats.org/officeDocument/2006/relationships/table" Target="../tables/table108.xml"/><Relationship Id="rId2" Type="http://schemas.openxmlformats.org/officeDocument/2006/relationships/table" Target="../tables/table85.xml"/><Relationship Id="rId16" Type="http://schemas.openxmlformats.org/officeDocument/2006/relationships/table" Target="../tables/table99.xml"/><Relationship Id="rId20" Type="http://schemas.openxmlformats.org/officeDocument/2006/relationships/table" Target="../tables/table103.xml"/><Relationship Id="rId29" Type="http://schemas.openxmlformats.org/officeDocument/2006/relationships/table" Target="../tables/table112.xml"/><Relationship Id="rId1" Type="http://schemas.openxmlformats.org/officeDocument/2006/relationships/table" Target="../tables/table84.xml"/><Relationship Id="rId6" Type="http://schemas.openxmlformats.org/officeDocument/2006/relationships/table" Target="../tables/table89.xml"/><Relationship Id="rId11" Type="http://schemas.openxmlformats.org/officeDocument/2006/relationships/table" Target="../tables/table94.xml"/><Relationship Id="rId24" Type="http://schemas.openxmlformats.org/officeDocument/2006/relationships/table" Target="../tables/table107.xml"/><Relationship Id="rId5" Type="http://schemas.openxmlformats.org/officeDocument/2006/relationships/table" Target="../tables/table88.xml"/><Relationship Id="rId15" Type="http://schemas.openxmlformats.org/officeDocument/2006/relationships/table" Target="../tables/table98.xml"/><Relationship Id="rId23" Type="http://schemas.openxmlformats.org/officeDocument/2006/relationships/table" Target="../tables/table106.xml"/><Relationship Id="rId28" Type="http://schemas.openxmlformats.org/officeDocument/2006/relationships/table" Target="../tables/table111.xml"/><Relationship Id="rId10" Type="http://schemas.openxmlformats.org/officeDocument/2006/relationships/table" Target="../tables/table93.xml"/><Relationship Id="rId19" Type="http://schemas.openxmlformats.org/officeDocument/2006/relationships/table" Target="../tables/table102.xml"/><Relationship Id="rId31" Type="http://schemas.openxmlformats.org/officeDocument/2006/relationships/table" Target="../tables/table114.xml"/><Relationship Id="rId4" Type="http://schemas.openxmlformats.org/officeDocument/2006/relationships/table" Target="../tables/table87.xml"/><Relationship Id="rId9" Type="http://schemas.openxmlformats.org/officeDocument/2006/relationships/table" Target="../tables/table92.xml"/><Relationship Id="rId14" Type="http://schemas.openxmlformats.org/officeDocument/2006/relationships/table" Target="../tables/table97.xml"/><Relationship Id="rId22" Type="http://schemas.openxmlformats.org/officeDocument/2006/relationships/table" Target="../tables/table105.xml"/><Relationship Id="rId27" Type="http://schemas.openxmlformats.org/officeDocument/2006/relationships/table" Target="../tables/table110.xml"/><Relationship Id="rId30" Type="http://schemas.openxmlformats.org/officeDocument/2006/relationships/table" Target="../tables/table113.xml"/></Relationships>
</file>

<file path=xl/worksheets/_rels/sheet13.xml.rels><?xml version="1.0" encoding="UTF-8" standalone="yes"?>
<Relationships xmlns="http://schemas.openxmlformats.org/package/2006/relationships"><Relationship Id="rId3" Type="http://schemas.openxmlformats.org/officeDocument/2006/relationships/table" Target="../tables/table117.xml"/><Relationship Id="rId2" Type="http://schemas.openxmlformats.org/officeDocument/2006/relationships/table" Target="../tables/table116.xml"/><Relationship Id="rId1" Type="http://schemas.openxmlformats.org/officeDocument/2006/relationships/table" Target="../tables/table115.xml"/><Relationship Id="rId6" Type="http://schemas.openxmlformats.org/officeDocument/2006/relationships/table" Target="../tables/table120.xml"/><Relationship Id="rId5" Type="http://schemas.openxmlformats.org/officeDocument/2006/relationships/table" Target="../tables/table119.xml"/><Relationship Id="rId4" Type="http://schemas.openxmlformats.org/officeDocument/2006/relationships/table" Target="../tables/table118.xml"/></Relationships>
</file>

<file path=xl/worksheets/_rels/sheet15.xml.rels><?xml version="1.0" encoding="UTF-8" standalone="yes"?>
<Relationships xmlns="http://schemas.openxmlformats.org/package/2006/relationships"><Relationship Id="rId8" Type="http://schemas.openxmlformats.org/officeDocument/2006/relationships/table" Target="../tables/table128.xml"/><Relationship Id="rId3" Type="http://schemas.openxmlformats.org/officeDocument/2006/relationships/table" Target="../tables/table123.xml"/><Relationship Id="rId7" Type="http://schemas.openxmlformats.org/officeDocument/2006/relationships/table" Target="../tables/table127.xml"/><Relationship Id="rId2" Type="http://schemas.openxmlformats.org/officeDocument/2006/relationships/table" Target="../tables/table122.xml"/><Relationship Id="rId1" Type="http://schemas.openxmlformats.org/officeDocument/2006/relationships/table" Target="../tables/table121.xml"/><Relationship Id="rId6" Type="http://schemas.openxmlformats.org/officeDocument/2006/relationships/table" Target="../tables/table126.xml"/><Relationship Id="rId11" Type="http://schemas.openxmlformats.org/officeDocument/2006/relationships/table" Target="../tables/table131.xml"/><Relationship Id="rId5" Type="http://schemas.openxmlformats.org/officeDocument/2006/relationships/table" Target="../tables/table125.xml"/><Relationship Id="rId10" Type="http://schemas.openxmlformats.org/officeDocument/2006/relationships/table" Target="../tables/table130.xml"/><Relationship Id="rId4" Type="http://schemas.openxmlformats.org/officeDocument/2006/relationships/table" Target="../tables/table124.xml"/><Relationship Id="rId9" Type="http://schemas.openxmlformats.org/officeDocument/2006/relationships/table" Target="../tables/table129.xml"/></Relationships>
</file>

<file path=xl/worksheets/_rels/sheet16.xml.rels><?xml version="1.0" encoding="UTF-8" standalone="yes"?>
<Relationships xmlns="http://schemas.openxmlformats.org/package/2006/relationships"><Relationship Id="rId3" Type="http://schemas.openxmlformats.org/officeDocument/2006/relationships/table" Target="../tables/table134.xml"/><Relationship Id="rId7" Type="http://schemas.openxmlformats.org/officeDocument/2006/relationships/table" Target="../tables/table138.xml"/><Relationship Id="rId2" Type="http://schemas.openxmlformats.org/officeDocument/2006/relationships/table" Target="../tables/table133.xml"/><Relationship Id="rId1" Type="http://schemas.openxmlformats.org/officeDocument/2006/relationships/table" Target="../tables/table132.xml"/><Relationship Id="rId6" Type="http://schemas.openxmlformats.org/officeDocument/2006/relationships/table" Target="../tables/table137.xml"/><Relationship Id="rId5" Type="http://schemas.openxmlformats.org/officeDocument/2006/relationships/table" Target="../tables/table136.xml"/><Relationship Id="rId4" Type="http://schemas.openxmlformats.org/officeDocument/2006/relationships/table" Target="../tables/table135.xml"/></Relationships>
</file>

<file path=xl/worksheets/_rels/sheet17.xml.rels><?xml version="1.0" encoding="UTF-8" standalone="yes"?>
<Relationships xmlns="http://schemas.openxmlformats.org/package/2006/relationships"><Relationship Id="rId2" Type="http://schemas.openxmlformats.org/officeDocument/2006/relationships/table" Target="../tables/table140.xml"/><Relationship Id="rId1" Type="http://schemas.openxmlformats.org/officeDocument/2006/relationships/table" Target="../tables/table139.xml"/></Relationships>
</file>

<file path=xl/worksheets/_rels/sheet18.xml.rels><?xml version="1.0" encoding="UTF-8" standalone="yes"?>
<Relationships xmlns="http://schemas.openxmlformats.org/package/2006/relationships"><Relationship Id="rId8" Type="http://schemas.openxmlformats.org/officeDocument/2006/relationships/table" Target="../tables/table147.xml"/><Relationship Id="rId13" Type="http://schemas.openxmlformats.org/officeDocument/2006/relationships/table" Target="../tables/table152.xml"/><Relationship Id="rId18" Type="http://schemas.openxmlformats.org/officeDocument/2006/relationships/table" Target="../tables/table157.xml"/><Relationship Id="rId3" Type="http://schemas.openxmlformats.org/officeDocument/2006/relationships/table" Target="../tables/table142.xml"/><Relationship Id="rId7" Type="http://schemas.openxmlformats.org/officeDocument/2006/relationships/table" Target="../tables/table146.xml"/><Relationship Id="rId12" Type="http://schemas.openxmlformats.org/officeDocument/2006/relationships/table" Target="../tables/table151.xml"/><Relationship Id="rId17" Type="http://schemas.openxmlformats.org/officeDocument/2006/relationships/table" Target="../tables/table156.xml"/><Relationship Id="rId2" Type="http://schemas.openxmlformats.org/officeDocument/2006/relationships/table" Target="../tables/table141.xml"/><Relationship Id="rId16" Type="http://schemas.openxmlformats.org/officeDocument/2006/relationships/table" Target="../tables/table155.xml"/><Relationship Id="rId1" Type="http://schemas.openxmlformats.org/officeDocument/2006/relationships/printerSettings" Target="../printerSettings/printerSettings7.bin"/><Relationship Id="rId6" Type="http://schemas.openxmlformats.org/officeDocument/2006/relationships/table" Target="../tables/table145.xml"/><Relationship Id="rId11" Type="http://schemas.openxmlformats.org/officeDocument/2006/relationships/table" Target="../tables/table150.xml"/><Relationship Id="rId5" Type="http://schemas.openxmlformats.org/officeDocument/2006/relationships/table" Target="../tables/table144.xml"/><Relationship Id="rId15" Type="http://schemas.openxmlformats.org/officeDocument/2006/relationships/table" Target="../tables/table154.xml"/><Relationship Id="rId10" Type="http://schemas.openxmlformats.org/officeDocument/2006/relationships/table" Target="../tables/table149.xml"/><Relationship Id="rId4" Type="http://schemas.openxmlformats.org/officeDocument/2006/relationships/table" Target="../tables/table143.xml"/><Relationship Id="rId9" Type="http://schemas.openxmlformats.org/officeDocument/2006/relationships/table" Target="../tables/table148.xml"/><Relationship Id="rId14" Type="http://schemas.openxmlformats.org/officeDocument/2006/relationships/table" Target="../tables/table15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1A617C-8179-4C1C-9FC0-03E5CE198472}">
  <dimension ref="A1:W452"/>
  <sheetViews>
    <sheetView showGridLines="0" topLeftCell="A102" zoomScaleNormal="100" workbookViewId="0">
      <selection activeCell="D121" sqref="D121"/>
    </sheetView>
  </sheetViews>
  <sheetFormatPr defaultRowHeight="15.75" x14ac:dyDescent="0.25"/>
  <cols>
    <col min="1" max="1" width="26.875" style="3" customWidth="1"/>
    <col min="2" max="2" width="4.125" style="3" customWidth="1"/>
    <col min="3" max="3" width="4.125" style="8" customWidth="1"/>
    <col min="4" max="5" width="26.875" style="8" customWidth="1"/>
    <col min="6" max="6" width="27.25" style="8" customWidth="1"/>
    <col min="7" max="7" width="28.5" style="8" customWidth="1"/>
    <col min="8" max="12" width="26.875" style="8" customWidth="1"/>
    <col min="13" max="13" width="26.875" style="3" customWidth="1"/>
    <col min="14" max="20" width="26.875" style="8" customWidth="1"/>
    <col min="21" max="21" width="4.125" style="8" customWidth="1"/>
    <col min="22" max="16384" width="9" style="3"/>
  </cols>
  <sheetData>
    <row r="1" spans="1:21" s="1" customFormat="1" ht="30" customHeight="1" x14ac:dyDescent="0.35">
      <c r="A1" s="1" t="e" vm="1">
        <v>#VALUE!</v>
      </c>
      <c r="C1" s="1" t="s">
        <v>607</v>
      </c>
    </row>
    <row r="2" spans="1:21" s="2" customFormat="1" ht="20.100000000000001" customHeight="1" x14ac:dyDescent="0.25"/>
    <row r="3" spans="1:21" ht="20.100000000000001" customHeight="1" x14ac:dyDescent="0.25">
      <c r="A3" s="16" t="str">
        <f>HYPERLINK("#'Home'!A1", "Home")</f>
        <v>Home</v>
      </c>
      <c r="C3" s="5"/>
      <c r="D3" s="5"/>
      <c r="E3" s="5"/>
      <c r="F3" s="5"/>
      <c r="G3" s="5"/>
      <c r="H3" s="5"/>
      <c r="I3" s="5"/>
      <c r="J3" s="5"/>
      <c r="K3" s="5"/>
      <c r="L3" s="5"/>
      <c r="M3" s="5"/>
      <c r="N3" s="5"/>
      <c r="O3" s="5"/>
      <c r="P3" s="5"/>
      <c r="Q3" s="5"/>
      <c r="R3" s="5"/>
      <c r="S3" s="5"/>
      <c r="T3" s="5"/>
      <c r="U3" s="5"/>
    </row>
    <row r="4" spans="1:21" ht="20.100000000000001" customHeight="1" x14ac:dyDescent="0.25">
      <c r="A4" s="16" t="str">
        <f>HYPERLINK("#'Overview'!A1", "Overview")</f>
        <v>Overview</v>
      </c>
      <c r="M4" s="14"/>
    </row>
    <row r="5" spans="1:21" ht="20.100000000000001" customHeight="1" x14ac:dyDescent="0.25">
      <c r="A5" s="16" t="str">
        <f>HYPERLINK("#'Results'!A1", "Results")</f>
        <v>Results</v>
      </c>
      <c r="D5" s="9" t="str" cm="1">
        <f t="array" ref="D5">SourceData_Poultry.SourceData_Poultry_DietProperties_Title()</f>
        <v>Poultry - Diet properties</v>
      </c>
      <c r="M5" s="8"/>
    </row>
    <row r="6" spans="1:21" ht="20.100000000000001" customHeight="1" x14ac:dyDescent="0.25">
      <c r="A6" s="18"/>
      <c r="D6" s="11" t="str" cm="1">
        <f t="array" ref="D6">SourceData_Poultry.SourceData_Poultry_DietProperties_Source()</f>
        <v>VEERG 2026: Table A.1.7.1: Poultry - Diet properties</v>
      </c>
      <c r="M6" s="8"/>
    </row>
    <row r="7" spans="1:21" ht="20.100000000000001" customHeight="1" x14ac:dyDescent="0.25">
      <c r="A7" s="19" t="s">
        <v>67</v>
      </c>
      <c r="M7" s="8"/>
    </row>
    <row r="8" spans="1:21" ht="20.100000000000001" customHeight="1" x14ac:dyDescent="0.25">
      <c r="A8" s="16" t="str">
        <f>HYPERLINK("#'Input - Site'!A1", "Site")</f>
        <v>Site</v>
      </c>
      <c r="D8" s="10" t="s">
        <v>608</v>
      </c>
      <c r="E8" s="10" t="s">
        <v>609</v>
      </c>
      <c r="F8" s="10" t="s">
        <v>610</v>
      </c>
      <c r="G8" s="10" t="s">
        <v>611</v>
      </c>
      <c r="H8" s="10" t="s">
        <v>612</v>
      </c>
      <c r="M8" s="8"/>
    </row>
    <row r="9" spans="1:21" ht="20.100000000000001" customHeight="1" x14ac:dyDescent="0.25">
      <c r="A9" s="16" t="str">
        <f>HYPERLINK("#'Input - Poultry'!A1", "Poultry")</f>
        <v>Poultry</v>
      </c>
      <c r="D9" s="10" t="str" cm="1">
        <f t="array" ref="D9">Common_InputFunctions.Utility_DisplayArrayInTable(SourceData_Poultry.SourceData_Poultry_DietProperties_Data(), Table_SourceData_Poultry_DietProperties[[#Headers],[Nutrient analysis]], 0)</f>
        <v>Dry matter intake (kg/head/day)</v>
      </c>
      <c r="E9" s="10" cm="1">
        <f t="array" ref="E9">Common_InputFunctions.Utility_DisplayArrayInTable(SourceData_Poultry.SourceData_Poultry_DietProperties_Data(), Table_SourceData_Poultry_DietProperties[[#Headers],[Nutrient analysis]], 0)</f>
        <v>8.5999999999999993E-2</v>
      </c>
      <c r="F9" s="10" cm="1">
        <f t="array" ref="F9">Common_InputFunctions.Utility_DisplayArrayInTable(SourceData_Poultry.SourceData_Poultry_DietProperties_Data(), Table_SourceData_Poultry_DietProperties[[#Headers],[Nutrient analysis]], 0)</f>
        <v>9.2999999999999999E-2</v>
      </c>
      <c r="G9" s="10" cm="1">
        <f t="array" ref="G9">Common_InputFunctions.Utility_DisplayArrayInTable(SourceData_Poultry.SourceData_Poultry_DietProperties_Data(), Table_SourceData_Poultry_DietProperties[[#Headers],[Nutrient analysis]], 0)</f>
        <v>0.10299999999999999</v>
      </c>
      <c r="H9" s="10" cm="1">
        <f t="array" ref="H9">Common_InputFunctions.Utility_DisplayArrayInTable(SourceData_Poultry.SourceData_Poultry_DietProperties_Data(), Table_SourceData_Poultry_DietProperties[[#Headers],[Nutrient analysis]], 0)</f>
        <v>9.2999999999999999E-2</v>
      </c>
      <c r="M9" s="8"/>
    </row>
    <row r="10" spans="1:21" ht="20.100000000000001" customHeight="1" x14ac:dyDescent="0.25">
      <c r="A10" s="16"/>
      <c r="D10" s="8" t="str" cm="1">
        <f t="array" ref="D10">Common_InputFunctions.Utility_DisplayArrayInTable(SourceData_Poultry.SourceData_Poultry_DietProperties_Data(), Table_SourceData_Poultry_DietProperties[[#Headers],[Nutrient analysis]], 0)</f>
        <v>Dry matter digestibility</v>
      </c>
      <c r="E10" s="10" cm="1">
        <f t="array" ref="E10">Common_InputFunctions.Utility_DisplayArrayInTable(SourceData_Poultry.SourceData_Poultry_DietProperties_Data(), Table_SourceData_Poultry_DietProperties[[#Headers],[Nutrient analysis]], 0)</f>
        <v>0.8</v>
      </c>
      <c r="F10" s="10" cm="1">
        <f t="array" ref="F10">Common_InputFunctions.Utility_DisplayArrayInTable(SourceData_Poultry.SourceData_Poultry_DietProperties_Data(), Table_SourceData_Poultry_DietProperties[[#Headers],[Nutrient analysis]], 0)</f>
        <v>0.8</v>
      </c>
      <c r="G10" s="10" cm="1">
        <f t="array" ref="G10">Common_InputFunctions.Utility_DisplayArrayInTable(SourceData_Poultry.SourceData_Poultry_DietProperties_Data(), Table_SourceData_Poultry_DietProperties[[#Headers],[Nutrient analysis]], 0)</f>
        <v>0.8</v>
      </c>
      <c r="H10" s="10" cm="1">
        <f t="array" ref="H10">Common_InputFunctions.Utility_DisplayArrayInTable(SourceData_Poultry.SourceData_Poultry_DietProperties_Data(), Table_SourceData_Poultry_DietProperties[[#Headers],[Nutrient analysis]], 0)</f>
        <v>0.8</v>
      </c>
      <c r="M10" s="8"/>
    </row>
    <row r="11" spans="1:21" ht="20.100000000000001" customHeight="1" x14ac:dyDescent="0.25">
      <c r="A11" s="20" t="s">
        <v>77</v>
      </c>
      <c r="D11" s="8" t="str" cm="1">
        <f t="array" ref="D11">Common_InputFunctions.Utility_DisplayArrayInTable(SourceData_Poultry.SourceData_Poultry_DietProperties_Data(), Table_SourceData_Poultry_DietProperties[[#Headers],[Nutrient analysis]], 0)</f>
        <v>Crude protein</v>
      </c>
      <c r="E11" s="10" cm="1">
        <f t="array" ref="E11">Common_InputFunctions.Utility_DisplayArrayInTable(SourceData_Poultry.SourceData_Poultry_DietProperties_Data(), Table_SourceData_Poultry_DietProperties[[#Headers],[Nutrient analysis]], 0)</f>
        <v>0.19</v>
      </c>
      <c r="F11" s="10" cm="1">
        <f t="array" ref="F11">Common_InputFunctions.Utility_DisplayArrayInTable(SourceData_Poultry.SourceData_Poultry_DietProperties_Data(), Table_SourceData_Poultry_DietProperties[[#Headers],[Nutrient analysis]], 0)</f>
        <v>0.23</v>
      </c>
      <c r="G11" s="10" cm="1">
        <f t="array" ref="G11">Common_InputFunctions.Utility_DisplayArrayInTable(SourceData_Poultry.SourceData_Poultry_DietProperties_Data(), Table_SourceData_Poultry_DietProperties[[#Headers],[Nutrient analysis]], 0)</f>
        <v>0.19</v>
      </c>
      <c r="H11" s="10" cm="1">
        <f t="array" ref="H11">Common_InputFunctions.Utility_DisplayArrayInTable(SourceData_Poultry.SourceData_Poultry_DietProperties_Data(), Table_SourceData_Poultry_DietProperties[[#Headers],[Nutrient analysis]], 0)</f>
        <v>0.23</v>
      </c>
      <c r="M11" s="8"/>
    </row>
    <row r="12" spans="1:21" ht="20.100000000000001" customHeight="1" x14ac:dyDescent="0.25">
      <c r="A12" s="16" t="str">
        <f>HYPERLINK("#'4.6.1.1-2 Methane'!A1", "4.6.1.1-2 Methane")</f>
        <v>4.6.1.1-2 Methane</v>
      </c>
      <c r="D12" s="8" t="str" cm="1">
        <f t="array" ref="D12">Common_InputFunctions.Utility_DisplayArrayInTable(SourceData_Poultry.SourceData_Poultry_DietProperties_Data(), Table_SourceData_Poultry_DietProperties[[#Headers],[Nutrient analysis]], 0)</f>
        <v>Nitrogen retention rate</v>
      </c>
      <c r="E12" s="10" cm="1">
        <f t="array" ref="E12">Common_InputFunctions.Utility_DisplayArrayInTable(SourceData_Poultry.SourceData_Poultry_DietProperties_Data(), Table_SourceData_Poultry_DietProperties[[#Headers],[Nutrient analysis]], 0)</f>
        <v>0.35</v>
      </c>
      <c r="F12" s="10" cm="1">
        <f t="array" ref="F12">Common_InputFunctions.Utility_DisplayArrayInTable(SourceData_Poultry.SourceData_Poultry_DietProperties_Data(), Table_SourceData_Poultry_DietProperties[[#Headers],[Nutrient analysis]], 0)</f>
        <v>0.47</v>
      </c>
      <c r="G12" s="10" cm="1">
        <f t="array" ref="G12">Common_InputFunctions.Utility_DisplayArrayInTable(SourceData_Poultry.SourceData_Poultry_DietProperties_Data(), Table_SourceData_Poultry_DietProperties[[#Headers],[Nutrient analysis]], 0)</f>
        <v>0.32</v>
      </c>
      <c r="H12" s="10" cm="1">
        <f t="array" ref="H12">Common_InputFunctions.Utility_DisplayArrayInTable(SourceData_Poultry.SourceData_Poultry_DietProperties_Data(), Table_SourceData_Poultry_DietProperties[[#Headers],[Nutrient analysis]], 0)</f>
        <v>0.47</v>
      </c>
      <c r="M12" s="8"/>
    </row>
    <row r="13" spans="1:21" ht="20.100000000000001" customHeight="1" x14ac:dyDescent="0.25">
      <c r="A13" s="16" t="str">
        <f>HYPERLINK("#'4.6.1.3-4 Direct N20'!A1", "4.6.1.3-4 Direct N2O")</f>
        <v>4.6.1.3-4 Direct N2O</v>
      </c>
      <c r="D13" s="8" t="str" cm="1">
        <f t="array" ref="D13">Common_InputFunctions.Utility_DisplayArrayInTable(SourceData_Poultry.SourceData_Poultry_DietProperties_Data(), Table_SourceData_Poultry_DietProperties[[#Headers],[Nutrient analysis]], 0)</f>
        <v>Manure ash</v>
      </c>
      <c r="E13" s="10" cm="1">
        <f t="array" ref="E13">Common_InputFunctions.Utility_DisplayArrayInTable(SourceData_Poultry.SourceData_Poultry_DietProperties_Data(), Table_SourceData_Poultry_DietProperties[[#Headers],[Nutrient analysis]], 0)</f>
        <v>0.18</v>
      </c>
      <c r="F13" s="10" cm="1">
        <f t="array" ref="F13">Common_InputFunctions.Utility_DisplayArrayInTable(SourceData_Poultry.SourceData_Poultry_DietProperties_Data(), Table_SourceData_Poultry_DietProperties[[#Headers],[Nutrient analysis]], 0)</f>
        <v>0.15</v>
      </c>
      <c r="G13" s="10" cm="1">
        <f t="array" ref="G13">Common_InputFunctions.Utility_DisplayArrayInTable(SourceData_Poultry.SourceData_Poultry_DietProperties_Data(), Table_SourceData_Poultry_DietProperties[[#Headers],[Nutrient analysis]], 0)</f>
        <v>0.18</v>
      </c>
      <c r="H13" s="10" cm="1">
        <f t="array" ref="H13">Common_InputFunctions.Utility_DisplayArrayInTable(SourceData_Poultry.SourceData_Poultry_DietProperties_Data(), Table_SourceData_Poultry_DietProperties[[#Headers],[Nutrient analysis]], 0)</f>
        <v>0.15</v>
      </c>
      <c r="M13" s="8"/>
    </row>
    <row r="14" spans="1:21" ht="20.100000000000001" customHeight="1" x14ac:dyDescent="0.25">
      <c r="A14" s="16" t="str">
        <f>HYPERLINK("#'4.6.1.5-6 Atmos Dep'!A1", "4.6.1.5-6 Atmospheric deposition")</f>
        <v>4.6.1.5-6 Atmospheric deposition</v>
      </c>
      <c r="M14" s="8"/>
    </row>
    <row r="15" spans="1:21" ht="20.100000000000001" customHeight="1" x14ac:dyDescent="0.25">
      <c r="A15" s="16" t="str">
        <f>HYPERLINK("#'4.6.1.7-8 Leaching and runoff'!A1", "4.6.1.7-8 Leaching &amp; runoff")</f>
        <v>4.6.1.7-8 Leaching &amp; runoff</v>
      </c>
      <c r="M15" s="8"/>
    </row>
    <row r="16" spans="1:21" ht="20.100000000000001" customHeight="1" x14ac:dyDescent="0.25">
      <c r="A16" s="16" t="str">
        <f>HYPERLINK("#'4.6.1.9 Manure applied to soils'!A1", "4.6.1.9 Manure applied to soils")</f>
        <v>4.6.1.9 Manure applied to soils</v>
      </c>
      <c r="M16" s="8"/>
    </row>
    <row r="17" spans="1:13" ht="20.100000000000001" customHeight="1" x14ac:dyDescent="0.25">
      <c r="A17" s="16" t="str">
        <f>HYPERLINK("#'4.6.1.10-11 Soil direct N2O'!A1", "4.6.1.10-11 Soil direct N2O")</f>
        <v>4.6.1.10-11 Soil direct N2O</v>
      </c>
      <c r="D17" s="9" t="str" cm="1">
        <f t="array" ref="D17">SourceData_Poultry.SourceData_Poultry_MethaneEmissionsPotential_Title()</f>
        <v>Poultry - Methane emissions potential per class</v>
      </c>
      <c r="M17" s="8"/>
    </row>
    <row r="18" spans="1:13" ht="20.100000000000001" customHeight="1" x14ac:dyDescent="0.25">
      <c r="A18" s="16" t="str">
        <f>HYPERLINK("#'4.6.1.12-13 Soil atmos dep'!A1", "4.6.1.12-13 Soil Atm. deposition")</f>
        <v>4.6.1.12-13 Soil Atm. deposition</v>
      </c>
      <c r="D18" s="11" t="str" cm="1">
        <f t="array" ref="D18">SourceData_Poultry.SourceData_Poultry_MethaneEmissionsPotential_Source()</f>
        <v>VEERG 2026: 4.6.2.3 CONSTANT: Poultry - Methane emissions potential per class</v>
      </c>
      <c r="M18" s="8"/>
    </row>
    <row r="19" spans="1:13" ht="20.100000000000001" customHeight="1" x14ac:dyDescent="0.25">
      <c r="A19" s="16" t="str">
        <f>HYPERLINK("#'4.6.1.14-15 Soil leach runoff'!A1", "4.6.1.14-15 Soil leach &amp; runoff")</f>
        <v>4.6.1.14-15 Soil leach &amp; runoff</v>
      </c>
      <c r="D19" s="10" t="s">
        <v>613</v>
      </c>
      <c r="E19" s="10" t="s">
        <v>614</v>
      </c>
      <c r="M19" s="8"/>
    </row>
    <row r="20" spans="1:13" ht="20.100000000000001" customHeight="1" x14ac:dyDescent="0.25">
      <c r="D20" s="10" t="str" cm="1">
        <f t="array" ref="D20">Common_InputFunctions.Utility_DisplayArrayInTable(SourceData_Poultry.SourceData_Poultry_MethaneEmissionsPotential_Data(), Table_SourceData_Poultry_MethaneEmissionsPotential[[#Headers],[Poultry class]], 0)</f>
        <v>Layers</v>
      </c>
      <c r="E20" s="10" cm="1">
        <f t="array" ref="E20">Common_InputFunctions.Utility_DisplayArrayInTable(SourceData_Poultry.SourceData_Poultry_MethaneEmissionsPotential_Data(), Table_SourceData_Poultry_MethaneEmissionsPotential[[#Headers],[Poultry class]], 0)</f>
        <v>0.39</v>
      </c>
      <c r="M20" s="8"/>
    </row>
    <row r="21" spans="1:13" ht="20.100000000000001" customHeight="1" x14ac:dyDescent="0.25">
      <c r="A21" s="21" t="s">
        <v>78</v>
      </c>
      <c r="D21" s="8" t="str" cm="1">
        <f t="array" ref="D21">Common_InputFunctions.Utility_DisplayArrayInTable(SourceData_Poultry.SourceData_Poultry_MethaneEmissionsPotential_Data(), Table_SourceData_Poultry_MethaneEmissionsPotential[[#Headers],[Poultry class]], 0)</f>
        <v>Meat chickens</v>
      </c>
      <c r="E21" s="10" cm="1">
        <f t="array" ref="E21">Common_InputFunctions.Utility_DisplayArrayInTable(SourceData_Poultry.SourceData_Poultry_MethaneEmissionsPotential_Data(), Table_SourceData_Poultry_MethaneEmissionsPotential[[#Headers],[Poultry class]], 0)</f>
        <v>0.36</v>
      </c>
      <c r="M21" s="8"/>
    </row>
    <row r="22" spans="1:13" ht="20.100000000000001" customHeight="1" x14ac:dyDescent="0.25">
      <c r="A22" s="22" t="str">
        <f>HYPERLINK("#'Constants - Poultry'!A1", "Constants - Poultry")</f>
        <v>Constants - Poultry</v>
      </c>
      <c r="M22" s="8"/>
    </row>
    <row r="23" spans="1:13" ht="20.100000000000001" customHeight="1" x14ac:dyDescent="0.25">
      <c r="A23" s="16" t="str">
        <f>HYPERLINK("#'Constants - Livestock'!A1", "Constants - Livestock")</f>
        <v>Constants - Livestock</v>
      </c>
      <c r="M23" s="8"/>
    </row>
    <row r="24" spans="1:13" ht="20.100000000000001" customHeight="1" x14ac:dyDescent="0.25">
      <c r="A24" s="16" t="str">
        <f>HYPERLINK("#'Constants - Common'!A1", "Constants - Common")</f>
        <v>Constants - Common</v>
      </c>
      <c r="M24" s="8"/>
    </row>
    <row r="25" spans="1:13" ht="20.100000000000001" customHeight="1" x14ac:dyDescent="0.25">
      <c r="A25" s="16"/>
      <c r="M25" s="8"/>
    </row>
    <row r="26" spans="1:13" ht="20.100000000000001" customHeight="1" x14ac:dyDescent="0.25">
      <c r="D26" s="9" t="s">
        <v>615</v>
      </c>
      <c r="G26" s="9" t="s">
        <v>616</v>
      </c>
      <c r="J26" s="9" t="s">
        <v>617</v>
      </c>
      <c r="M26" s="8"/>
    </row>
    <row r="27" spans="1:13" ht="20.100000000000001" customHeight="1" x14ac:dyDescent="0.25">
      <c r="M27" s="8"/>
    </row>
    <row r="28" spans="1:13" ht="20.100000000000001" customHeight="1" x14ac:dyDescent="0.25">
      <c r="D28" s="160" t="s">
        <v>556</v>
      </c>
      <c r="E28" s="10" t="s">
        <v>355</v>
      </c>
      <c r="G28" s="160" t="s">
        <v>556</v>
      </c>
      <c r="H28" s="10" t="s">
        <v>355</v>
      </c>
      <c r="J28" s="160" t="s">
        <v>556</v>
      </c>
      <c r="K28" s="10" t="s">
        <v>355</v>
      </c>
      <c r="M28" s="8"/>
    </row>
    <row r="29" spans="1:13" ht="20.100000000000001" customHeight="1" x14ac:dyDescent="0.25">
      <c r="D29" s="10" t="s">
        <v>58</v>
      </c>
      <c r="E29" s="10" t="s">
        <v>618</v>
      </c>
      <c r="G29" s="10" t="s">
        <v>58</v>
      </c>
      <c r="H29" s="10" t="s">
        <v>618</v>
      </c>
      <c r="J29" s="10" t="s">
        <v>55</v>
      </c>
      <c r="K29" s="10" t="s">
        <v>619</v>
      </c>
      <c r="M29" s="8"/>
    </row>
    <row r="30" spans="1:13" ht="20.100000000000001" customHeight="1" x14ac:dyDescent="0.25">
      <c r="D30" s="10" t="s">
        <v>620</v>
      </c>
      <c r="E30" s="10" t="s">
        <v>621</v>
      </c>
      <c r="G30" s="10" t="s">
        <v>620</v>
      </c>
      <c r="H30" s="10" t="s">
        <v>621</v>
      </c>
      <c r="J30" s="10" t="s">
        <v>54</v>
      </c>
      <c r="K30" s="10" t="s">
        <v>622</v>
      </c>
      <c r="M30" s="8"/>
    </row>
    <row r="31" spans="1:13" ht="20.100000000000001" customHeight="1" x14ac:dyDescent="0.25">
      <c r="D31" s="10" t="s">
        <v>623</v>
      </c>
      <c r="E31" s="10" t="s">
        <v>624</v>
      </c>
      <c r="G31" s="10" t="s">
        <v>623</v>
      </c>
      <c r="H31" s="10" t="s">
        <v>624</v>
      </c>
      <c r="J31" s="8" t="s">
        <v>51</v>
      </c>
      <c r="K31" s="8" t="s">
        <v>625</v>
      </c>
      <c r="M31" s="8"/>
    </row>
    <row r="32" spans="1:13" ht="20.100000000000001" customHeight="1" x14ac:dyDescent="0.25">
      <c r="D32" s="10" t="s">
        <v>62</v>
      </c>
      <c r="E32" s="10" t="s">
        <v>626</v>
      </c>
      <c r="G32" s="10" t="s">
        <v>62</v>
      </c>
      <c r="H32" s="10" t="s">
        <v>626</v>
      </c>
      <c r="J32" s="10" t="s">
        <v>60</v>
      </c>
      <c r="K32" s="10" t="s">
        <v>627</v>
      </c>
      <c r="M32" s="8"/>
    </row>
    <row r="33" spans="4:13" ht="20.100000000000001" customHeight="1" x14ac:dyDescent="0.25">
      <c r="D33" s="10" t="s">
        <v>55</v>
      </c>
      <c r="E33" s="10" t="s">
        <v>619</v>
      </c>
      <c r="G33" s="8" t="s">
        <v>628</v>
      </c>
      <c r="H33" s="10" t="s">
        <v>628</v>
      </c>
      <c r="J33" s="10" t="s">
        <v>61</v>
      </c>
      <c r="K33" s="10" t="s">
        <v>629</v>
      </c>
      <c r="M33" s="8"/>
    </row>
    <row r="34" spans="4:13" ht="20.100000000000001" customHeight="1" x14ac:dyDescent="0.25">
      <c r="D34" s="10" t="s">
        <v>54</v>
      </c>
      <c r="E34" s="10" t="s">
        <v>622</v>
      </c>
      <c r="J34" s="8" t="s">
        <v>628</v>
      </c>
      <c r="K34" s="10" t="s">
        <v>628</v>
      </c>
      <c r="M34" s="8"/>
    </row>
    <row r="35" spans="4:13" ht="20.100000000000001" customHeight="1" x14ac:dyDescent="0.25">
      <c r="D35" s="8" t="s">
        <v>51</v>
      </c>
      <c r="E35" s="8" t="s">
        <v>625</v>
      </c>
      <c r="M35" s="8"/>
    </row>
    <row r="36" spans="4:13" ht="20.100000000000001" customHeight="1" x14ac:dyDescent="0.25">
      <c r="D36" s="10" t="s">
        <v>60</v>
      </c>
      <c r="E36" s="10" t="s">
        <v>627</v>
      </c>
      <c r="M36" s="8"/>
    </row>
    <row r="37" spans="4:13" ht="20.100000000000001" customHeight="1" x14ac:dyDescent="0.25">
      <c r="D37" s="10" t="s">
        <v>61</v>
      </c>
      <c r="E37" s="10" t="s">
        <v>629</v>
      </c>
      <c r="M37" s="8"/>
    </row>
    <row r="38" spans="4:13" ht="20.100000000000001" customHeight="1" x14ac:dyDescent="0.25">
      <c r="D38" s="8" t="s">
        <v>628</v>
      </c>
      <c r="E38" s="10" t="s">
        <v>628</v>
      </c>
      <c r="M38" s="8"/>
    </row>
    <row r="39" spans="4:13" ht="20.100000000000001" customHeight="1" x14ac:dyDescent="0.25">
      <c r="M39" s="8"/>
    </row>
    <row r="40" spans="4:13" ht="20.100000000000001" customHeight="1" x14ac:dyDescent="0.25">
      <c r="M40" s="8"/>
    </row>
    <row r="41" spans="4:13" ht="20.100000000000001" customHeight="1" x14ac:dyDescent="0.25">
      <c r="M41" s="8"/>
    </row>
    <row r="42" spans="4:13" ht="20.100000000000001" customHeight="1" x14ac:dyDescent="0.25">
      <c r="D42" s="9" t="s">
        <v>630</v>
      </c>
      <c r="M42" s="8"/>
    </row>
    <row r="43" spans="4:13" ht="20.100000000000001" customHeight="1" x14ac:dyDescent="0.25">
      <c r="M43" s="8"/>
    </row>
    <row r="44" spans="4:13" ht="20.100000000000001" customHeight="1" x14ac:dyDescent="0.25">
      <c r="D44" s="10" t="s">
        <v>146</v>
      </c>
      <c r="M44" s="8"/>
    </row>
    <row r="45" spans="4:13" ht="20.100000000000001" customHeight="1" x14ac:dyDescent="0.25">
      <c r="D45" s="10" t="str" cm="1">
        <f t="array" ref="D45">Common_InputFunctions.Utility_DisplayArrayInTable(SourceData_Poultry.SourceData_Poultry_ProductionSystems_Data(), Table_SourceData_Poultry_ProductionSystems[[#Headers],[Production system]], 0)</f>
        <v>Free range</v>
      </c>
      <c r="M45" s="8"/>
    </row>
    <row r="46" spans="4:13" ht="20.100000000000001" customHeight="1" x14ac:dyDescent="0.25">
      <c r="D46" s="8" t="str" cm="1">
        <f t="array" ref="D46">Common_InputFunctions.Utility_DisplayArrayInTable(SourceData_Poultry.SourceData_Poultry_ProductionSystems_Data(), Table_SourceData_Poultry_ProductionSystems[[#Headers],[Production system]], 0)</f>
        <v>Barn</v>
      </c>
      <c r="M46" s="8"/>
    </row>
    <row r="47" spans="4:13" ht="20.100000000000001" customHeight="1" x14ac:dyDescent="0.25">
      <c r="D47" s="8" t="str" cm="1">
        <f t="array" ref="D47">Common_InputFunctions.Utility_DisplayArrayInTable(SourceData_Poultry.SourceData_Poultry_ProductionSystems_Data(), Table_SourceData_Poultry_ProductionSystems[[#Headers],[Production system]], 0)</f>
        <v>Cage</v>
      </c>
      <c r="M47" s="8"/>
    </row>
    <row r="48" spans="4:13" ht="20.100000000000001" customHeight="1" x14ac:dyDescent="0.25">
      <c r="M48" s="8"/>
    </row>
    <row r="49" spans="4:14" ht="20.100000000000001" customHeight="1" x14ac:dyDescent="0.25">
      <c r="M49" s="8"/>
    </row>
    <row r="50" spans="4:14" ht="20.100000000000001" customHeight="1" x14ac:dyDescent="0.25">
      <c r="M50" s="8"/>
    </row>
    <row r="51" spans="4:14" ht="20.100000000000001" customHeight="1" x14ac:dyDescent="0.25">
      <c r="D51" s="9" t="str" cm="1">
        <f t="array" ref="D51">SourceData_Poultry.SourceData_Poultry_MCF_Title()</f>
        <v>Poultry - MCFs</v>
      </c>
      <c r="M51" s="8"/>
    </row>
    <row r="52" spans="4:14" ht="20.100000000000001" customHeight="1" x14ac:dyDescent="0.25">
      <c r="D52" s="11" t="str" cm="1">
        <f t="array" ref="D52">SourceData_Poultry.SourceData_Poultry_MCF_Source()</f>
        <v>VEERG 2026: Table A.1.7.4: Poultry - MCFs</v>
      </c>
      <c r="M52" s="8"/>
    </row>
    <row r="53" spans="4:14" ht="20.100000000000001" customHeight="1" x14ac:dyDescent="0.25">
      <c r="D53" s="12" t="str" cm="1">
        <f t="array" ref="D53:D57">SourceData_Poultry.SourceData_Poultry_MCF_Variation()</f>
        <v>VARIATION ON SOURCE:</v>
      </c>
      <c r="M53" s="8"/>
    </row>
    <row r="54" spans="4:14" ht="20.100000000000001" customHeight="1" x14ac:dyDescent="0.25">
      <c r="D54" s="12" t="str">
        <v>Split NSW and ACT into separate states. Split QLD and NT into separate states.</v>
      </c>
      <c r="M54" s="8"/>
    </row>
    <row r="55" spans="4:14" ht="20.100000000000001" customHeight="1" x14ac:dyDescent="0.25">
      <c r="D55" s="12" t="str">
        <v>Included values for each state when 'All states' value is given.</v>
      </c>
      <c r="M55" s="8"/>
    </row>
    <row r="56" spans="4:14" ht="20.100000000000001" customHeight="1" x14ac:dyDescent="0.25">
      <c r="D56" s="12" t="str">
        <v>Added 'NIR definition' column with MMS names that match NIR definitions.</v>
      </c>
      <c r="M56" s="8"/>
    </row>
    <row r="57" spans="4:14" ht="20.100000000000001" customHeight="1" x14ac:dyDescent="0.25">
      <c r="D57" s="12" t="str">
        <v>Duplicated 'Poultry manure without litter' row for NIR MMS 'Belt manure removal' and 'Manure stored in house'</v>
      </c>
      <c r="M57" s="8"/>
    </row>
    <row r="58" spans="4:14" ht="20.100000000000001" customHeight="1" x14ac:dyDescent="0.25">
      <c r="M58" s="8"/>
    </row>
    <row r="59" spans="4:14" ht="20.100000000000001" customHeight="1" x14ac:dyDescent="0.25">
      <c r="D59" s="10" t="s">
        <v>564</v>
      </c>
      <c r="E59" s="10" t="s">
        <v>631</v>
      </c>
      <c r="F59" s="10" t="s">
        <v>362</v>
      </c>
      <c r="G59" s="10" t="s">
        <v>338</v>
      </c>
      <c r="H59" s="10" t="s">
        <v>363</v>
      </c>
      <c r="I59" s="10" t="s">
        <v>465</v>
      </c>
      <c r="J59" s="10" t="s">
        <v>368</v>
      </c>
      <c r="K59" s="10" t="s">
        <v>423</v>
      </c>
      <c r="L59" s="10" t="s">
        <v>369</v>
      </c>
      <c r="M59" s="10" t="s">
        <v>419</v>
      </c>
      <c r="N59" s="10" t="s">
        <v>582</v>
      </c>
    </row>
    <row r="60" spans="4:14" ht="20.100000000000001" customHeight="1" x14ac:dyDescent="0.25">
      <c r="D60" s="10" t="str" cm="1">
        <f t="array" ref="D60">Common_InputFunctions.Utility_DisplayArrayInTable(SourceData_Poultry.SourceData_Poultry_MCF_Data(), Table_SourceData_Poultry_MMSMCF[[#Headers],[MMS m]], 0)</f>
        <v>Poultry manure with litter</v>
      </c>
      <c r="E60" s="10" cm="1">
        <f t="array" ref="E60">Common_InputFunctions.Utility_DisplayArrayInTable(SourceData_Poultry.SourceData_Poultry_MCF_Data(), Table_SourceData_Poultry_MMSMCF[[#Headers],[MMS m]], 0)</f>
        <v>1.4999999999999999E-2</v>
      </c>
      <c r="F60" s="10" cm="1">
        <f t="array" ref="F60">Common_InputFunctions.Utility_DisplayArrayInTable(SourceData_Poultry.SourceData_Poultry_MCF_Data(), Table_SourceData_Poultry_MMSMCF[[#Headers],[MMS m]], 0)</f>
        <v>1.4999999999999999E-2</v>
      </c>
      <c r="G60" s="10" cm="1">
        <f t="array" ref="G60">Common_InputFunctions.Utility_DisplayArrayInTable(SourceData_Poultry.SourceData_Poultry_MCF_Data(), Table_SourceData_Poultry_MMSMCF[[#Headers],[MMS m]], 0)</f>
        <v>1.4999999999999999E-2</v>
      </c>
      <c r="H60" s="10" cm="1">
        <f t="array" ref="H60">Common_InputFunctions.Utility_DisplayArrayInTable(SourceData_Poultry.SourceData_Poultry_MCF_Data(), Table_SourceData_Poultry_MMSMCF[[#Headers],[MMS m]], 0)</f>
        <v>1.4999999999999999E-2</v>
      </c>
      <c r="I60" s="10" cm="1">
        <f t="array" ref="I60">Common_InputFunctions.Utility_DisplayArrayInTable(SourceData_Poultry.SourceData_Poultry_MCF_Data(), Table_SourceData_Poultry_MMSMCF[[#Headers],[MMS m]], 0)</f>
        <v>1.4999999999999999E-2</v>
      </c>
      <c r="J60" s="10" cm="1">
        <f t="array" ref="J60">Common_InputFunctions.Utility_DisplayArrayInTable(SourceData_Poultry.SourceData_Poultry_MCF_Data(), Table_SourceData_Poultry_MMSMCF[[#Headers],[MMS m]], 0)</f>
        <v>1.4999999999999999E-2</v>
      </c>
      <c r="K60" s="10" cm="1">
        <f t="array" ref="K60">Common_InputFunctions.Utility_DisplayArrayInTable(SourceData_Poultry.SourceData_Poultry_MCF_Data(), Table_SourceData_Poultry_MMSMCF[[#Headers],[MMS m]], 0)</f>
        <v>1.4999999999999999E-2</v>
      </c>
      <c r="L60" s="10" cm="1">
        <f t="array" ref="L60">Common_InputFunctions.Utility_DisplayArrayInTable(SourceData_Poultry.SourceData_Poultry_MCF_Data(), Table_SourceData_Poultry_MMSMCF[[#Headers],[MMS m]], 0)</f>
        <v>1.4999999999999999E-2</v>
      </c>
      <c r="M60" s="10" cm="1">
        <f t="array" ref="M60">Common_InputFunctions.Utility_DisplayArrayInTable(SourceData_Poultry.SourceData_Poultry_MCF_Data(), Table_SourceData_Poultry_MMSMCF[[#Headers],[MMS m]], 0)</f>
        <v>1.4999999999999999E-2</v>
      </c>
      <c r="N60" s="10" t="str" cm="1">
        <f t="array" ref="N60">Common_InputFunctions.Utility_DisplayArrayInTable(SourceData_Poultry.SourceData_Poultry_MCF_Data(), Table_SourceData_Poultry_MMSMCF[[#Headers],[MMS m]], 0)</f>
        <v>Poultry manure with bedding</v>
      </c>
    </row>
    <row r="61" spans="4:14" ht="20.100000000000001" customHeight="1" x14ac:dyDescent="0.25">
      <c r="D61" s="8" t="str" cm="1">
        <f t="array" ref="D61">Common_InputFunctions.Utility_DisplayArrayInTable(SourceData_Poultry.SourceData_Poultry_MCF_Data(), Table_SourceData_Poultry_MMSMCF[[#Headers],[MMS m]], 0)</f>
        <v>Poultry manure without litter</v>
      </c>
      <c r="E61" s="10" cm="1">
        <f t="array" ref="E61">Common_InputFunctions.Utility_DisplayArrayInTable(SourceData_Poultry.SourceData_Poultry_MCF_Data(), Table_SourceData_Poultry_MMSMCF[[#Headers],[MMS m]], 0)</f>
        <v>1.4999999999999999E-2</v>
      </c>
      <c r="F61" s="10" cm="1">
        <f t="array" ref="F61">Common_InputFunctions.Utility_DisplayArrayInTable(SourceData_Poultry.SourceData_Poultry_MCF_Data(), Table_SourceData_Poultry_MMSMCF[[#Headers],[MMS m]], 0)</f>
        <v>1.4999999999999999E-2</v>
      </c>
      <c r="G61" s="10" cm="1">
        <f t="array" ref="G61">Common_InputFunctions.Utility_DisplayArrayInTable(SourceData_Poultry.SourceData_Poultry_MCF_Data(), Table_SourceData_Poultry_MMSMCF[[#Headers],[MMS m]], 0)</f>
        <v>1.4999999999999999E-2</v>
      </c>
      <c r="H61" s="10" cm="1">
        <f t="array" ref="H61">Common_InputFunctions.Utility_DisplayArrayInTable(SourceData_Poultry.SourceData_Poultry_MCF_Data(), Table_SourceData_Poultry_MMSMCF[[#Headers],[MMS m]], 0)</f>
        <v>1.4999999999999999E-2</v>
      </c>
      <c r="I61" s="10" cm="1">
        <f t="array" ref="I61">Common_InputFunctions.Utility_DisplayArrayInTable(SourceData_Poultry.SourceData_Poultry_MCF_Data(), Table_SourceData_Poultry_MMSMCF[[#Headers],[MMS m]], 0)</f>
        <v>1.4999999999999999E-2</v>
      </c>
      <c r="J61" s="10" cm="1">
        <f t="array" ref="J61">Common_InputFunctions.Utility_DisplayArrayInTable(SourceData_Poultry.SourceData_Poultry_MCF_Data(), Table_SourceData_Poultry_MMSMCF[[#Headers],[MMS m]], 0)</f>
        <v>1.4999999999999999E-2</v>
      </c>
      <c r="K61" s="10" cm="1">
        <f t="array" ref="K61">Common_InputFunctions.Utility_DisplayArrayInTable(SourceData_Poultry.SourceData_Poultry_MCF_Data(), Table_SourceData_Poultry_MMSMCF[[#Headers],[MMS m]], 0)</f>
        <v>1.4999999999999999E-2</v>
      </c>
      <c r="L61" s="10" cm="1">
        <f t="array" ref="L61">Common_InputFunctions.Utility_DisplayArrayInTable(SourceData_Poultry.SourceData_Poultry_MCF_Data(), Table_SourceData_Poultry_MMSMCF[[#Headers],[MMS m]], 0)</f>
        <v>1.4999999999999999E-2</v>
      </c>
      <c r="M61" s="10" cm="1">
        <f t="array" ref="M61">Common_InputFunctions.Utility_DisplayArrayInTable(SourceData_Poultry.SourceData_Poultry_MCF_Data(), Table_SourceData_Poultry_MMSMCF[[#Headers],[MMS m]], 0)</f>
        <v>1.4999999999999999E-2</v>
      </c>
      <c r="N61" s="10" t="str" cm="1">
        <f t="array" ref="N61">Common_InputFunctions.Utility_DisplayArrayInTable(SourceData_Poultry.SourceData_Poultry_MCF_Data(), Table_SourceData_Poultry_MMSMCF[[#Headers],[MMS m]], 0)</f>
        <v>Belt manure removal</v>
      </c>
    </row>
    <row r="62" spans="4:14" ht="20.100000000000001" customHeight="1" x14ac:dyDescent="0.25">
      <c r="D62" s="8" t="str" cm="1">
        <f t="array" ref="D62">Common_InputFunctions.Utility_DisplayArrayInTable(SourceData_Poultry.SourceData_Poultry_MCF_Data(), Table_SourceData_Poultry_MMSMCF[[#Headers],[MMS m]], 0)</f>
        <v>Poultry manure without litter</v>
      </c>
      <c r="E62" s="10" cm="1">
        <f t="array" ref="E62">Common_InputFunctions.Utility_DisplayArrayInTable(SourceData_Poultry.SourceData_Poultry_MCF_Data(), Table_SourceData_Poultry_MMSMCF[[#Headers],[MMS m]], 0)</f>
        <v>1.4999999999999999E-2</v>
      </c>
      <c r="F62" s="10" cm="1">
        <f t="array" ref="F62">Common_InputFunctions.Utility_DisplayArrayInTable(SourceData_Poultry.SourceData_Poultry_MCF_Data(), Table_SourceData_Poultry_MMSMCF[[#Headers],[MMS m]], 0)</f>
        <v>1.4999999999999999E-2</v>
      </c>
      <c r="G62" s="10" cm="1">
        <f t="array" ref="G62">Common_InputFunctions.Utility_DisplayArrayInTable(SourceData_Poultry.SourceData_Poultry_MCF_Data(), Table_SourceData_Poultry_MMSMCF[[#Headers],[MMS m]], 0)</f>
        <v>1.4999999999999999E-2</v>
      </c>
      <c r="H62" s="10" cm="1">
        <f t="array" ref="H62">Common_InputFunctions.Utility_DisplayArrayInTable(SourceData_Poultry.SourceData_Poultry_MCF_Data(), Table_SourceData_Poultry_MMSMCF[[#Headers],[MMS m]], 0)</f>
        <v>1.4999999999999999E-2</v>
      </c>
      <c r="I62" s="10" cm="1">
        <f t="array" ref="I62">Common_InputFunctions.Utility_DisplayArrayInTable(SourceData_Poultry.SourceData_Poultry_MCF_Data(), Table_SourceData_Poultry_MMSMCF[[#Headers],[MMS m]], 0)</f>
        <v>1.4999999999999999E-2</v>
      </c>
      <c r="J62" s="10" cm="1">
        <f t="array" ref="J62">Common_InputFunctions.Utility_DisplayArrayInTable(SourceData_Poultry.SourceData_Poultry_MCF_Data(), Table_SourceData_Poultry_MMSMCF[[#Headers],[MMS m]], 0)</f>
        <v>1.4999999999999999E-2</v>
      </c>
      <c r="K62" s="10" cm="1">
        <f t="array" ref="K62">Common_InputFunctions.Utility_DisplayArrayInTable(SourceData_Poultry.SourceData_Poultry_MCF_Data(), Table_SourceData_Poultry_MMSMCF[[#Headers],[MMS m]], 0)</f>
        <v>1.4999999999999999E-2</v>
      </c>
      <c r="L62" s="10" cm="1">
        <f t="array" ref="L62">Common_InputFunctions.Utility_DisplayArrayInTable(SourceData_Poultry.SourceData_Poultry_MCF_Data(), Table_SourceData_Poultry_MMSMCF[[#Headers],[MMS m]], 0)</f>
        <v>1.4999999999999999E-2</v>
      </c>
      <c r="M62" s="10" cm="1">
        <f t="array" ref="M62">Common_InputFunctions.Utility_DisplayArrayInTable(SourceData_Poultry.SourceData_Poultry_MCF_Data(), Table_SourceData_Poultry_MMSMCF[[#Headers],[MMS m]], 0)</f>
        <v>1.4999999999999999E-2</v>
      </c>
      <c r="N62" s="10" t="str" cm="1">
        <f t="array" ref="N62">Common_InputFunctions.Utility_DisplayArrayInTable(SourceData_Poultry.SourceData_Poultry_MCF_Data(), Table_SourceData_Poultry_MMSMCF[[#Headers],[MMS m]], 0)</f>
        <v>Manure stored in house</v>
      </c>
    </row>
    <row r="63" spans="4:14" ht="20.100000000000001" customHeight="1" x14ac:dyDescent="0.25">
      <c r="D63" s="8" t="str" cm="1">
        <f t="array" ref="D63">Common_InputFunctions.Utility_DisplayArrayInTable(SourceData_Poultry.SourceData_Poultry_MCF_Data(), Table_SourceData_Poultry_MMSMCF[[#Headers],[MMS m]], 0)</f>
        <v>Pasture range and paddock</v>
      </c>
      <c r="E63" s="10" t="str" cm="1">
        <f t="array" ref="E63">Common_InputFunctions.Utility_DisplayArrayInTable(SourceData_Poultry.SourceData_Poultry_MCF_Data(), Table_SourceData_Poultry_MMSMCF[[#Headers],[MMS m]], 0)</f>
        <v>n/a</v>
      </c>
      <c r="F63" s="10" cm="1">
        <f t="array" ref="F63">Common_InputFunctions.Utility_DisplayArrayInTable(SourceData_Poultry.SourceData_Poultry_MCF_Data(), Table_SourceData_Poultry_MMSMCF[[#Headers],[MMS m]], 0)</f>
        <v>0.01</v>
      </c>
      <c r="G63" s="10" cm="1">
        <f t="array" ref="G63">Common_InputFunctions.Utility_DisplayArrayInTable(SourceData_Poultry.SourceData_Poultry_MCF_Data(), Table_SourceData_Poultry_MMSMCF[[#Headers],[MMS m]], 0)</f>
        <v>0.01</v>
      </c>
      <c r="H63" s="10" cm="1">
        <f t="array" ref="H63">Common_InputFunctions.Utility_DisplayArrayInTable(SourceData_Poultry.SourceData_Poultry_MCF_Data(), Table_SourceData_Poultry_MMSMCF[[#Headers],[MMS m]], 0)</f>
        <v>0.03</v>
      </c>
      <c r="I63" s="10" cm="1">
        <f t="array" ref="I63">Common_InputFunctions.Utility_DisplayArrayInTable(SourceData_Poultry.SourceData_Poultry_MCF_Data(), Table_SourceData_Poultry_MMSMCF[[#Headers],[MMS m]], 0)</f>
        <v>0.03</v>
      </c>
      <c r="J63" s="10" cm="1">
        <f t="array" ref="J63">Common_InputFunctions.Utility_DisplayArrayInTable(SourceData_Poultry.SourceData_Poultry_MCF_Data(), Table_SourceData_Poultry_MMSMCF[[#Headers],[MMS m]], 0)</f>
        <v>0.01</v>
      </c>
      <c r="K63" s="10" cm="1">
        <f t="array" ref="K63">Common_InputFunctions.Utility_DisplayArrayInTable(SourceData_Poultry.SourceData_Poultry_MCF_Data(), Table_SourceData_Poultry_MMSMCF[[#Headers],[MMS m]], 0)</f>
        <v>0.01</v>
      </c>
      <c r="L63" s="10" cm="1">
        <f t="array" ref="L63">Common_InputFunctions.Utility_DisplayArrayInTable(SourceData_Poultry.SourceData_Poultry_MCF_Data(), Table_SourceData_Poultry_MMSMCF[[#Headers],[MMS m]], 0)</f>
        <v>0.01</v>
      </c>
      <c r="M63" s="10" cm="1">
        <f t="array" ref="M63">Common_InputFunctions.Utility_DisplayArrayInTable(SourceData_Poultry.SourceData_Poultry_MCF_Data(), Table_SourceData_Poultry_MMSMCF[[#Headers],[MMS m]], 0)</f>
        <v>0.01</v>
      </c>
      <c r="N63" s="10" t="str" cm="1">
        <f t="array" ref="N63">Common_InputFunctions.Utility_DisplayArrayInTable(SourceData_Poultry.SourceData_Poultry_MCF_Data(), Table_SourceData_Poultry_MMSMCF[[#Headers],[MMS m]], 0)</f>
        <v>Pasture range and paddock</v>
      </c>
    </row>
    <row r="64" spans="4:14" ht="20.100000000000001" customHeight="1" x14ac:dyDescent="0.25">
      <c r="D64" s="8" t="str" cm="1">
        <f t="array" ref="D64">Common_InputFunctions.Utility_DisplayArrayInTable(SourceData_Poultry.SourceData_Poultry_MCF_Data(), Table_SourceData_Poultry_MMSMCF[[#Headers],[MMS m]], 0)</f>
        <v>Solid storage</v>
      </c>
      <c r="E64" s="10" cm="1">
        <f t="array" ref="E64">Common_InputFunctions.Utility_DisplayArrayInTable(SourceData_Poultry.SourceData_Poultry_MCF_Data(), Table_SourceData_Poultry_MMSMCF[[#Headers],[MMS m]], 0)</f>
        <v>0.02</v>
      </c>
      <c r="F64" s="10" cm="1">
        <f t="array" ref="F64">Common_InputFunctions.Utility_DisplayArrayInTable(SourceData_Poultry.SourceData_Poultry_MCF_Data(), Table_SourceData_Poultry_MMSMCF[[#Headers],[MMS m]], 0)</f>
        <v>0.02</v>
      </c>
      <c r="G64" s="10" cm="1">
        <f t="array" ref="G64">Common_InputFunctions.Utility_DisplayArrayInTable(SourceData_Poultry.SourceData_Poultry_MCF_Data(), Table_SourceData_Poultry_MMSMCF[[#Headers],[MMS m]], 0)</f>
        <v>0.02</v>
      </c>
      <c r="H64" s="10" cm="1">
        <f t="array" ref="H64">Common_InputFunctions.Utility_DisplayArrayInTable(SourceData_Poultry.SourceData_Poultry_MCF_Data(), Table_SourceData_Poultry_MMSMCF[[#Headers],[MMS m]], 0)</f>
        <v>0.02</v>
      </c>
      <c r="I64" s="10" cm="1">
        <f t="array" ref="I64">Common_InputFunctions.Utility_DisplayArrayInTable(SourceData_Poultry.SourceData_Poultry_MCF_Data(), Table_SourceData_Poultry_MMSMCF[[#Headers],[MMS m]], 0)</f>
        <v>0.02</v>
      </c>
      <c r="J64" s="10" cm="1">
        <f t="array" ref="J64">Common_InputFunctions.Utility_DisplayArrayInTable(SourceData_Poultry.SourceData_Poultry_MCF_Data(), Table_SourceData_Poultry_MMSMCF[[#Headers],[MMS m]], 0)</f>
        <v>0.02</v>
      </c>
      <c r="K64" s="10" cm="1">
        <f t="array" ref="K64">Common_InputFunctions.Utility_DisplayArrayInTable(SourceData_Poultry.SourceData_Poultry_MCF_Data(), Table_SourceData_Poultry_MMSMCF[[#Headers],[MMS m]], 0)</f>
        <v>0.02</v>
      </c>
      <c r="L64" s="10" cm="1">
        <f t="array" ref="L64">Common_InputFunctions.Utility_DisplayArrayInTable(SourceData_Poultry.SourceData_Poultry_MCF_Data(), Table_SourceData_Poultry_MMSMCF[[#Headers],[MMS m]], 0)</f>
        <v>0.02</v>
      </c>
      <c r="M64" s="10" cm="1">
        <f t="array" ref="M64">Common_InputFunctions.Utility_DisplayArrayInTable(SourceData_Poultry.SourceData_Poultry_MCF_Data(), Table_SourceData_Poultry_MMSMCF[[#Headers],[MMS m]], 0)</f>
        <v>0.02</v>
      </c>
      <c r="N64" s="10" t="str" cm="1">
        <f t="array" ref="N64">Common_InputFunctions.Utility_DisplayArrayInTable(SourceData_Poultry.SourceData_Poultry_MCF_Data(), Table_SourceData_Poultry_MMSMCF[[#Headers],[MMS m]], 0)</f>
        <v>Solid storage</v>
      </c>
    </row>
    <row r="65" spans="4:22" ht="20.100000000000001" customHeight="1" x14ac:dyDescent="0.25">
      <c r="D65" s="8" t="str" cm="1">
        <f t="array" ref="D65">Common_InputFunctions.Utility_DisplayArrayInTable(SourceData_Poultry.SourceData_Poultry_MCF_Data(), Table_SourceData_Poultry_MMSMCF[[#Headers],[MMS m]], 0)</f>
        <v>Composting (passive windrow)</v>
      </c>
      <c r="E65" s="10" t="str" cm="1">
        <f t="array" ref="E65">Common_InputFunctions.Utility_DisplayArrayInTable(SourceData_Poultry.SourceData_Poultry_MCF_Data(), Table_SourceData_Poultry_MMSMCF[[#Headers],[MMS m]], 0)</f>
        <v>n/a</v>
      </c>
      <c r="F65" s="10" cm="1">
        <f t="array" ref="F65">Common_InputFunctions.Utility_DisplayArrayInTable(SourceData_Poultry.SourceData_Poultry_MCF_Data(), Table_SourceData_Poultry_MMSMCF[[#Headers],[MMS m]], 0)</f>
        <v>0.01</v>
      </c>
      <c r="G65" s="10" cm="1">
        <f t="array" ref="G65">Common_InputFunctions.Utility_DisplayArrayInTable(SourceData_Poultry.SourceData_Poultry_MCF_Data(), Table_SourceData_Poultry_MMSMCF[[#Headers],[MMS m]], 0)</f>
        <v>0.01</v>
      </c>
      <c r="H65" s="10" cm="1">
        <f t="array" ref="H65">Common_InputFunctions.Utility_DisplayArrayInTable(SourceData_Poultry.SourceData_Poultry_MCF_Data(), Table_SourceData_Poultry_MMSMCF[[#Headers],[MMS m]], 0)</f>
        <v>0.01</v>
      </c>
      <c r="I65" s="10" cm="1">
        <f t="array" ref="I65">Common_InputFunctions.Utility_DisplayArrayInTable(SourceData_Poultry.SourceData_Poultry_MCF_Data(), Table_SourceData_Poultry_MMSMCF[[#Headers],[MMS m]], 0)</f>
        <v>0.01</v>
      </c>
      <c r="J65" s="10" cm="1">
        <f t="array" ref="J65">Common_InputFunctions.Utility_DisplayArrayInTable(SourceData_Poultry.SourceData_Poultry_MCF_Data(), Table_SourceData_Poultry_MMSMCF[[#Headers],[MMS m]], 0)</f>
        <v>0.01</v>
      </c>
      <c r="K65" s="10" cm="1">
        <f t="array" ref="K65">Common_InputFunctions.Utility_DisplayArrayInTable(SourceData_Poultry.SourceData_Poultry_MCF_Data(), Table_SourceData_Poultry_MMSMCF[[#Headers],[MMS m]], 0)</f>
        <v>0.01</v>
      </c>
      <c r="L65" s="10" cm="1">
        <f t="array" ref="L65">Common_InputFunctions.Utility_DisplayArrayInTable(SourceData_Poultry.SourceData_Poultry_MCF_Data(), Table_SourceData_Poultry_MMSMCF[[#Headers],[MMS m]], 0)</f>
        <v>0.01</v>
      </c>
      <c r="M65" s="10" cm="1">
        <f t="array" ref="M65">Common_InputFunctions.Utility_DisplayArrayInTable(SourceData_Poultry.SourceData_Poultry_MCF_Data(), Table_SourceData_Poultry_MMSMCF[[#Headers],[MMS m]], 0)</f>
        <v>5.0000000000000001E-3</v>
      </c>
      <c r="N65" s="10" t="str" cm="1">
        <f t="array" ref="N65">Common_InputFunctions.Utility_DisplayArrayInTable(SourceData_Poultry.SourceData_Poultry_MCF_Data(), Table_SourceData_Poultry_MMSMCF[[#Headers],[MMS m]], 0)</f>
        <v>Composting (passive windrow)</v>
      </c>
    </row>
    <row r="66" spans="4:22" ht="20.100000000000001" customHeight="1" x14ac:dyDescent="0.25">
      <c r="D66" s="8" t="str" cm="1">
        <f t="array" ref="D66">Common_InputFunctions.Utility_DisplayArrayInTable(SourceData_Poultry.SourceData_Poultry_MCF_Data(), Table_SourceData_Poultry_MMSMCF[[#Headers],[MMS m]], 0)</f>
        <v>Anaerobic digester / Covered pond</v>
      </c>
      <c r="E66" s="10" cm="1">
        <f t="array" ref="E66">Common_InputFunctions.Utility_DisplayArrayInTable(SourceData_Poultry.SourceData_Poultry_MCF_Data(), Table_SourceData_Poultry_MMSMCF[[#Headers],[MMS m]], 0)</f>
        <v>0.1</v>
      </c>
      <c r="F66" s="10" cm="1">
        <f t="array" ref="F66">Common_InputFunctions.Utility_DisplayArrayInTable(SourceData_Poultry.SourceData_Poultry_MCF_Data(), Table_SourceData_Poultry_MMSMCF[[#Headers],[MMS m]], 0)</f>
        <v>0.1</v>
      </c>
      <c r="G66" s="10" cm="1">
        <f t="array" ref="G66">Common_InputFunctions.Utility_DisplayArrayInTable(SourceData_Poultry.SourceData_Poultry_MCF_Data(), Table_SourceData_Poultry_MMSMCF[[#Headers],[MMS m]], 0)</f>
        <v>0.1</v>
      </c>
      <c r="H66" s="10" cm="1">
        <f t="array" ref="H66">Common_InputFunctions.Utility_DisplayArrayInTable(SourceData_Poultry.SourceData_Poultry_MCF_Data(), Table_SourceData_Poultry_MMSMCF[[#Headers],[MMS m]], 0)</f>
        <v>0.1</v>
      </c>
      <c r="I66" s="10" cm="1">
        <f t="array" ref="I66">Common_InputFunctions.Utility_DisplayArrayInTable(SourceData_Poultry.SourceData_Poultry_MCF_Data(), Table_SourceData_Poultry_MMSMCF[[#Headers],[MMS m]], 0)</f>
        <v>0.1</v>
      </c>
      <c r="J66" s="10" cm="1">
        <f t="array" ref="J66">Common_InputFunctions.Utility_DisplayArrayInTable(SourceData_Poultry.SourceData_Poultry_MCF_Data(), Table_SourceData_Poultry_MMSMCF[[#Headers],[MMS m]], 0)</f>
        <v>0.1</v>
      </c>
      <c r="K66" s="10" cm="1">
        <f t="array" ref="K66">Common_InputFunctions.Utility_DisplayArrayInTable(SourceData_Poultry.SourceData_Poultry_MCF_Data(), Table_SourceData_Poultry_MMSMCF[[#Headers],[MMS m]], 0)</f>
        <v>0.1</v>
      </c>
      <c r="L66" s="10" cm="1">
        <f t="array" ref="L66">Common_InputFunctions.Utility_DisplayArrayInTable(SourceData_Poultry.SourceData_Poultry_MCF_Data(), Table_SourceData_Poultry_MMSMCF[[#Headers],[MMS m]], 0)</f>
        <v>0.1</v>
      </c>
      <c r="M66" s="10" cm="1">
        <f t="array" ref="M66">Common_InputFunctions.Utility_DisplayArrayInTable(SourceData_Poultry.SourceData_Poultry_MCF_Data(), Table_SourceData_Poultry_MMSMCF[[#Headers],[MMS m]], 0)</f>
        <v>0.1</v>
      </c>
      <c r="N66" s="10" t="str" cm="1">
        <f t="array" ref="N66">Common_InputFunctions.Utility_DisplayArrayInTable(SourceData_Poultry.SourceData_Poultry_MCF_Data(), Table_SourceData_Poultry_MMSMCF[[#Headers],[MMS m]], 0)</f>
        <v>Digester / covered lagoons</v>
      </c>
    </row>
    <row r="67" spans="4:22" ht="20.100000000000001" customHeight="1" x14ac:dyDescent="0.25">
      <c r="D67" s="8" t="str" cm="1">
        <f t="array" ref="D67">Common_InputFunctions.Utility_DisplayArrayInTable(SourceData_Poultry.SourceData_Poultry_MCF_Data(), Table_SourceData_Poultry_MMSMCF[[#Headers],[MMS m]], 0)</f>
        <v>Direct processing</v>
      </c>
      <c r="E67" s="10" cm="1">
        <f t="array" ref="E67">Common_InputFunctions.Utility_DisplayArrayInTable(SourceData_Poultry.SourceData_Poultry_MCF_Data(), Table_SourceData_Poultry_MMSMCF[[#Headers],[MMS m]], 0)</f>
        <v>0</v>
      </c>
      <c r="F67" s="10" cm="1">
        <f t="array" ref="F67">Common_InputFunctions.Utility_DisplayArrayInTable(SourceData_Poultry.SourceData_Poultry_MCF_Data(), Table_SourceData_Poultry_MMSMCF[[#Headers],[MMS m]], 0)</f>
        <v>0</v>
      </c>
      <c r="G67" s="10" cm="1">
        <f t="array" ref="G67">Common_InputFunctions.Utility_DisplayArrayInTable(SourceData_Poultry.SourceData_Poultry_MCF_Data(), Table_SourceData_Poultry_MMSMCF[[#Headers],[MMS m]], 0)</f>
        <v>0</v>
      </c>
      <c r="H67" s="10" cm="1">
        <f t="array" ref="H67">Common_InputFunctions.Utility_DisplayArrayInTable(SourceData_Poultry.SourceData_Poultry_MCF_Data(), Table_SourceData_Poultry_MMSMCF[[#Headers],[MMS m]], 0)</f>
        <v>0</v>
      </c>
      <c r="I67" s="10" cm="1">
        <f t="array" ref="I67">Common_InputFunctions.Utility_DisplayArrayInTable(SourceData_Poultry.SourceData_Poultry_MCF_Data(), Table_SourceData_Poultry_MMSMCF[[#Headers],[MMS m]], 0)</f>
        <v>0</v>
      </c>
      <c r="J67" s="10" cm="1">
        <f t="array" ref="J67">Common_InputFunctions.Utility_DisplayArrayInTable(SourceData_Poultry.SourceData_Poultry_MCF_Data(), Table_SourceData_Poultry_MMSMCF[[#Headers],[MMS m]], 0)</f>
        <v>0</v>
      </c>
      <c r="K67" s="10" cm="1">
        <f t="array" ref="K67">Common_InputFunctions.Utility_DisplayArrayInTable(SourceData_Poultry.SourceData_Poultry_MCF_Data(), Table_SourceData_Poultry_MMSMCF[[#Headers],[MMS m]], 0)</f>
        <v>0</v>
      </c>
      <c r="L67" s="10" cm="1">
        <f t="array" ref="L67">Common_InputFunctions.Utility_DisplayArrayInTable(SourceData_Poultry.SourceData_Poultry_MCF_Data(), Table_SourceData_Poultry_MMSMCF[[#Headers],[MMS m]], 0)</f>
        <v>0</v>
      </c>
      <c r="M67" s="10" cm="1">
        <f t="array" ref="M67">Common_InputFunctions.Utility_DisplayArrayInTable(SourceData_Poultry.SourceData_Poultry_MCF_Data(), Table_SourceData_Poultry_MMSMCF[[#Headers],[MMS m]], 0)</f>
        <v>0</v>
      </c>
      <c r="N67" s="10" t="str" cm="1">
        <f t="array" ref="N67">Common_InputFunctions.Utility_DisplayArrayInTable(SourceData_Poultry.SourceData_Poultry_MCF_Data(), Table_SourceData_Poultry_MMSMCF[[#Headers],[MMS m]], 0)</f>
        <v>Direct processing</v>
      </c>
    </row>
    <row r="68" spans="4:22" ht="20.100000000000001" customHeight="1" x14ac:dyDescent="0.25">
      <c r="D68" s="8" t="str" cm="1">
        <f t="array" ref="D68">Common_InputFunctions.Utility_DisplayArrayInTable(SourceData_Poultry.SourceData_Poultry_MCF_Data(), Table_SourceData_Poultry_MMSMCF[[#Headers],[MMS m]], 0)</f>
        <v>Direct application to soil</v>
      </c>
      <c r="E68" s="10" cm="1">
        <f t="array" ref="E68">Common_InputFunctions.Utility_DisplayArrayInTable(SourceData_Poultry.SourceData_Poultry_MCF_Data(), Table_SourceData_Poultry_MMSMCF[[#Headers],[MMS m]], 0)</f>
        <v>0</v>
      </c>
      <c r="F68" s="10" cm="1">
        <f t="array" ref="F68">Common_InputFunctions.Utility_DisplayArrayInTable(SourceData_Poultry.SourceData_Poultry_MCF_Data(), Table_SourceData_Poultry_MMSMCF[[#Headers],[MMS m]], 0)</f>
        <v>0</v>
      </c>
      <c r="G68" s="10" cm="1">
        <f t="array" ref="G68">Common_InputFunctions.Utility_DisplayArrayInTable(SourceData_Poultry.SourceData_Poultry_MCF_Data(), Table_SourceData_Poultry_MMSMCF[[#Headers],[MMS m]], 0)</f>
        <v>0</v>
      </c>
      <c r="H68" s="10" cm="1">
        <f t="array" ref="H68">Common_InputFunctions.Utility_DisplayArrayInTable(SourceData_Poultry.SourceData_Poultry_MCF_Data(), Table_SourceData_Poultry_MMSMCF[[#Headers],[MMS m]], 0)</f>
        <v>0</v>
      </c>
      <c r="I68" s="10" cm="1">
        <f t="array" ref="I68">Common_InputFunctions.Utility_DisplayArrayInTable(SourceData_Poultry.SourceData_Poultry_MCF_Data(), Table_SourceData_Poultry_MMSMCF[[#Headers],[MMS m]], 0)</f>
        <v>0</v>
      </c>
      <c r="J68" s="10" cm="1">
        <f t="array" ref="J68">Common_InputFunctions.Utility_DisplayArrayInTable(SourceData_Poultry.SourceData_Poultry_MCF_Data(), Table_SourceData_Poultry_MMSMCF[[#Headers],[MMS m]], 0)</f>
        <v>0</v>
      </c>
      <c r="K68" s="10" cm="1">
        <f t="array" ref="K68">Common_InputFunctions.Utility_DisplayArrayInTable(SourceData_Poultry.SourceData_Poultry_MCF_Data(), Table_SourceData_Poultry_MMSMCF[[#Headers],[MMS m]], 0)</f>
        <v>0</v>
      </c>
      <c r="L68" s="10" cm="1">
        <f t="array" ref="L68">Common_InputFunctions.Utility_DisplayArrayInTable(SourceData_Poultry.SourceData_Poultry_MCF_Data(), Table_SourceData_Poultry_MMSMCF[[#Headers],[MMS m]], 0)</f>
        <v>0</v>
      </c>
      <c r="M68" s="10" cm="1">
        <f t="array" ref="M68">Common_InputFunctions.Utility_DisplayArrayInTable(SourceData_Poultry.SourceData_Poultry_MCF_Data(), Table_SourceData_Poultry_MMSMCF[[#Headers],[MMS m]], 0)</f>
        <v>0</v>
      </c>
      <c r="N68" s="10" t="str" cm="1">
        <f t="array" ref="N68">Common_InputFunctions.Utility_DisplayArrayInTable(SourceData_Poultry.SourceData_Poultry_MCF_Data(), Table_SourceData_Poultry_MMSMCF[[#Headers],[MMS m]], 0)</f>
        <v>Direct application</v>
      </c>
    </row>
    <row r="69" spans="4:22" ht="20.100000000000001" customHeight="1" x14ac:dyDescent="0.25">
      <c r="M69" s="8"/>
    </row>
    <row r="70" spans="4:22" ht="20.100000000000001" customHeight="1" x14ac:dyDescent="0.25">
      <c r="M70" s="8"/>
    </row>
    <row r="71" spans="4:22" ht="20.100000000000001" customHeight="1" x14ac:dyDescent="0.25">
      <c r="M71" s="8"/>
      <c r="V71" s="8"/>
    </row>
    <row r="72" spans="4:22" ht="20.100000000000001" customHeight="1" x14ac:dyDescent="0.25">
      <c r="D72" s="9" t="str" cm="1">
        <f t="array" ref="D72">SourceData_Poultry.SourceData_Poultry_VSL_Title()</f>
        <v>Poultry - Fraction of volatile solids lost in the primary MMS</v>
      </c>
      <c r="M72" s="8"/>
      <c r="V72" s="8"/>
    </row>
    <row r="73" spans="4:22" ht="20.100000000000001" customHeight="1" x14ac:dyDescent="0.25">
      <c r="D73" s="11" t="str" cm="1">
        <f t="array" ref="D73">SourceData_Poultry.SourceData_Poultry_VSL_Source()</f>
        <v>VEERG 2026: 4.6.2.3 CONSTANT</v>
      </c>
      <c r="M73" s="8"/>
      <c r="V73" s="8"/>
    </row>
    <row r="74" spans="4:22" ht="20.100000000000001" customHeight="1" x14ac:dyDescent="0.25">
      <c r="D74" s="12" t="str" cm="1">
        <f t="array" ref="D74">SourceData_Poultry.SourceData_Poultry_VSL_Variation()</f>
        <v>VARIATION ON SOURCE: Table generated from line items. Added 'NIR definition column'.</v>
      </c>
      <c r="M74" s="8"/>
      <c r="V74" s="8"/>
    </row>
    <row r="75" spans="4:22" ht="20.100000000000001" customHeight="1" x14ac:dyDescent="0.25">
      <c r="D75" s="10" t="s">
        <v>556</v>
      </c>
      <c r="E75" s="10" t="s">
        <v>588</v>
      </c>
      <c r="F75" s="10" t="s">
        <v>582</v>
      </c>
      <c r="M75" s="8"/>
      <c r="V75" s="8"/>
    </row>
    <row r="76" spans="4:22" ht="20.100000000000001" customHeight="1" x14ac:dyDescent="0.25">
      <c r="D76" s="10" t="str" cm="1">
        <f t="array" ref="D76">Common_InputFunctions.Utility_DisplayArrayInTable(SourceData_Poultry.SourceData_Poultry_VSL_Data(), Table_SourceData_Poultry_MMSVSL[[#Headers],[MMS]], 0)</f>
        <v>Poultry manure with litter</v>
      </c>
      <c r="E76" s="10" cm="1">
        <f t="array" ref="E76">Common_InputFunctions.Utility_DisplayArrayInTable(SourceData_Poultry.SourceData_Poultry_VSL_Data(), Table_SourceData_Poultry_MMSVSL[[#Headers],[MMS]], 0)</f>
        <v>0.15</v>
      </c>
      <c r="F76" s="10" t="str" cm="1">
        <f t="array" ref="F76">Common_InputFunctions.Utility_DisplayArrayInTable(SourceData_Poultry.SourceData_Poultry_VSL_Data(), Table_SourceData_Poultry_MMSVSL[[#Headers],[MMS]], 0)</f>
        <v>Poultry manure with bedding</v>
      </c>
      <c r="M76" s="8"/>
      <c r="V76" s="8"/>
    </row>
    <row r="77" spans="4:22" ht="20.100000000000001" customHeight="1" x14ac:dyDescent="0.25">
      <c r="D77" s="8" t="str" cm="1">
        <f t="array" ref="D77">Common_InputFunctions.Utility_DisplayArrayInTable(SourceData_Poultry.SourceData_Poultry_VSL_Data(), Table_SourceData_Poultry_MMSVSL[[#Headers],[MMS]], 0)</f>
        <v>Poultry manure without litter - stored in house</v>
      </c>
      <c r="E77" s="10" cm="1">
        <f t="array" ref="E77">Common_InputFunctions.Utility_DisplayArrayInTable(SourceData_Poultry.SourceData_Poultry_VSL_Data(), Table_SourceData_Poultry_MMSVSL[[#Headers],[MMS]], 0)</f>
        <v>0.2</v>
      </c>
      <c r="F77" s="10" t="str" cm="1">
        <f t="array" ref="F77">Common_InputFunctions.Utility_DisplayArrayInTable(SourceData_Poultry.SourceData_Poultry_VSL_Data(), Table_SourceData_Poultry_MMSVSL[[#Headers],[MMS]], 0)</f>
        <v>Manure stored in house</v>
      </c>
      <c r="M77" s="8"/>
      <c r="V77" s="8"/>
    </row>
    <row r="78" spans="4:22" ht="20.100000000000001" customHeight="1" x14ac:dyDescent="0.25">
      <c r="D78" s="8" t="str" cm="1">
        <f t="array" ref="D78">Common_InputFunctions.Utility_DisplayArrayInTable(SourceData_Poultry.SourceData_Poultry_VSL_Data(), Table_SourceData_Poultry_MMSVSL[[#Headers],[MMS]], 0)</f>
        <v>Poultry manure without litter - belt removal</v>
      </c>
      <c r="E78" s="10" cm="1">
        <f t="array" ref="E78">Common_InputFunctions.Utility_DisplayArrayInTable(SourceData_Poultry.SourceData_Poultry_VSL_Data(), Table_SourceData_Poultry_MMSVSL[[#Headers],[MMS]], 0)</f>
        <v>0</v>
      </c>
      <c r="F78" s="10" t="str" cm="1">
        <f t="array" ref="F78">Common_InputFunctions.Utility_DisplayArrayInTable(SourceData_Poultry.SourceData_Poultry_VSL_Data(), Table_SourceData_Poultry_MMSVSL[[#Headers],[MMS]], 0)</f>
        <v>Belt manure removal</v>
      </c>
      <c r="M78" s="8"/>
      <c r="V78" s="8"/>
    </row>
    <row r="79" spans="4:22" ht="20.100000000000001" customHeight="1" x14ac:dyDescent="0.25">
      <c r="M79" s="8"/>
      <c r="V79" s="8"/>
    </row>
    <row r="80" spans="4:22" ht="20.100000000000001" customHeight="1" x14ac:dyDescent="0.25">
      <c r="M80" s="8"/>
      <c r="V80" s="8"/>
    </row>
    <row r="81" spans="4:23" ht="20.100000000000001" customHeight="1" x14ac:dyDescent="0.25">
      <c r="D81" s="9" t="str" cm="1">
        <f t="array" ref="D81">SourceData_Poultry.SourceData_Poultry_FracGASMmT_Title()</f>
        <v>Poultry - Fraction of N volatilised by MMS ((kg NH3-N + NOx-N)/kgN) (FracGASMmT)</v>
      </c>
      <c r="M81" s="8"/>
      <c r="V81" s="8"/>
    </row>
    <row r="82" spans="4:23" ht="20.100000000000001" customHeight="1" x14ac:dyDescent="0.25">
      <c r="D82" s="11" t="str" cm="1">
        <f t="array" ref="D82">SourceData_Poultry.SourceData_Poultry_FracGASMmT_Source()</f>
        <v>VEERG 2026: Table A.1.7.2</v>
      </c>
      <c r="M82" s="8"/>
      <c r="V82" s="8"/>
    </row>
    <row r="83" spans="4:23" ht="20.100000000000001" customHeight="1" x14ac:dyDescent="0.25">
      <c r="D83" s="12" t="str" cm="1">
        <f t="array" ref="D83">SourceData_Poultry.SourceData_Poultry_FracGASMmT_Variation()</f>
        <v>VARIATION ON SOURCE: Added 'NIR definition column'.</v>
      </c>
      <c r="M83" s="8"/>
    </row>
    <row r="84" spans="4:23" ht="20.100000000000001" customHeight="1" x14ac:dyDescent="0.25">
      <c r="D84" s="10" t="s">
        <v>594</v>
      </c>
      <c r="E84" s="10" t="s">
        <v>595</v>
      </c>
      <c r="F84" s="10" t="s">
        <v>565</v>
      </c>
      <c r="M84" s="8"/>
    </row>
    <row r="85" spans="4:23" ht="20.100000000000001" customHeight="1" x14ac:dyDescent="0.25">
      <c r="D85" s="10" t="str" cm="1">
        <f t="array" ref="D85">Common_InputFunctions.Utility_DisplayArrayInTable(SourceData_Poultry.SourceData_Poultry_FracGASMmT_Data(), Table_SourceData_Poultry_FracGASM[[#Headers],[MMSm]], 0)</f>
        <v>Poultry manure with litter (housing)</v>
      </c>
      <c r="E85" s="10" cm="1">
        <f t="array" ref="E85">Common_InputFunctions.Utility_DisplayArrayInTable(SourceData_Poultry.SourceData_Poultry_FracGASMmT_Data(), Table_SourceData_Poultry_FracGASM[[#Headers],[MMSm]], 0)</f>
        <v>0.3</v>
      </c>
      <c r="F85" s="10" t="str" cm="1">
        <f t="array" ref="F85">Common_InputFunctions.Utility_DisplayArrayInTable(SourceData_Poultry.SourceData_Poultry_FracGASMmT_Data(), Table_SourceData_Poultry_FracGASM[[#Headers],[MMSm]], 0)</f>
        <v>Poultry manure with bedding</v>
      </c>
      <c r="M85" s="8"/>
      <c r="V85" s="8"/>
    </row>
    <row r="86" spans="4:23" ht="20.100000000000001" customHeight="1" x14ac:dyDescent="0.25">
      <c r="D86" s="8" t="str" cm="1">
        <f t="array" ref="D86">Common_InputFunctions.Utility_DisplayArrayInTable(SourceData_Poultry.SourceData_Poultry_FracGASMmT_Data(), Table_SourceData_Poultry_FracGASM[[#Headers],[MMSm]], 0)</f>
        <v>Poultry manure without litter (housing) Belt manure removal</v>
      </c>
      <c r="E86" s="10" cm="1">
        <f t="array" ref="E86">Common_InputFunctions.Utility_DisplayArrayInTable(SourceData_Poultry.SourceData_Poultry_FracGASMmT_Data(), Table_SourceData_Poultry_FracGASM[[#Headers],[MMSm]], 0)</f>
        <v>0.05</v>
      </c>
      <c r="F86" s="10" t="str" cm="1">
        <f t="array" ref="F86">Common_InputFunctions.Utility_DisplayArrayInTable(SourceData_Poultry.SourceData_Poultry_FracGASMmT_Data(), Table_SourceData_Poultry_FracGASM[[#Headers],[MMSm]], 0)</f>
        <v>Belt manure removal</v>
      </c>
      <c r="M86" s="8"/>
      <c r="V86" s="8"/>
    </row>
    <row r="87" spans="4:23" ht="20.100000000000001" customHeight="1" x14ac:dyDescent="0.25">
      <c r="D87" s="8" t="str" cm="1">
        <f t="array" ref="D87">Common_InputFunctions.Utility_DisplayArrayInTable(SourceData_Poultry.SourceData_Poultry_FracGASMmT_Data(), Table_SourceData_Poultry_FracGASM[[#Headers],[MMSm]], 0)</f>
        <v>Poultry manure without litter (housing) Manure stored in house under cages or slat</v>
      </c>
      <c r="E87" s="10" cm="1">
        <f t="array" ref="E87">Common_InputFunctions.Utility_DisplayArrayInTable(SourceData_Poultry.SourceData_Poultry_FracGASMmT_Data(), Table_SourceData_Poultry_FracGASM[[#Headers],[MMSm]], 0)</f>
        <v>0.4</v>
      </c>
      <c r="F87" s="10" t="str" cm="1">
        <f t="array" ref="F87">Common_InputFunctions.Utility_DisplayArrayInTable(SourceData_Poultry.SourceData_Poultry_FracGASMmT_Data(), Table_SourceData_Poultry_FracGASM[[#Headers],[MMSm]], 0)</f>
        <v>Manure stored in house</v>
      </c>
      <c r="M87" s="8"/>
      <c r="V87" s="8"/>
    </row>
    <row r="88" spans="4:23" ht="20.100000000000001" customHeight="1" x14ac:dyDescent="0.25">
      <c r="D88" s="8" t="str" cm="1">
        <f t="array" ref="D88">Common_InputFunctions.Utility_DisplayArrayInTable(SourceData_Poultry.SourceData_Poultry_FracGASMmT_Data(), Table_SourceData_Poultry_FracGASM[[#Headers],[MMSm]], 0)</f>
        <v>Solid storage (stockpile)</v>
      </c>
      <c r="E88" s="10" cm="1">
        <f t="array" ref="E88">Common_InputFunctions.Utility_DisplayArrayInTable(SourceData_Poultry.SourceData_Poultry_FracGASMmT_Data(), Table_SourceData_Poultry_FracGASM[[#Headers],[MMSm]], 0)</f>
        <v>0.2</v>
      </c>
      <c r="F88" s="10" t="str" cm="1">
        <f t="array" ref="F88">Common_InputFunctions.Utility_DisplayArrayInTable(SourceData_Poultry.SourceData_Poultry_FracGASMmT_Data(), Table_SourceData_Poultry_FracGASM[[#Headers],[MMSm]], 0)</f>
        <v>Solid storage</v>
      </c>
      <c r="M88" s="8"/>
      <c r="V88" s="8"/>
    </row>
    <row r="89" spans="4:23" ht="20.100000000000001" customHeight="1" x14ac:dyDescent="0.25">
      <c r="D89" s="8" t="str" cm="1">
        <f t="array" ref="D89">Common_InputFunctions.Utility_DisplayArrayInTable(SourceData_Poultry.SourceData_Poultry_FracGASMmT_Data(), Table_SourceData_Poultry_FracGASM[[#Headers],[MMSm]], 0)</f>
        <v>Composting (passive windrow)</v>
      </c>
      <c r="E89" s="10" cm="1">
        <f t="array" ref="E89">Common_InputFunctions.Utility_DisplayArrayInTable(SourceData_Poultry.SourceData_Poultry_FracGASMmT_Data(), Table_SourceData_Poultry_FracGASM[[#Headers],[MMSm]], 0)</f>
        <v>0.2</v>
      </c>
      <c r="F89" s="10" t="str" cm="1">
        <f t="array" ref="F89">Common_InputFunctions.Utility_DisplayArrayInTable(SourceData_Poultry.SourceData_Poultry_FracGASMmT_Data(), Table_SourceData_Poultry_FracGASM[[#Headers],[MMSm]], 0)</f>
        <v>Composting (passive windrow)</v>
      </c>
      <c r="M89" s="8"/>
      <c r="V89" s="8"/>
      <c r="W89" s="8"/>
    </row>
    <row r="90" spans="4:23" ht="20.100000000000001" customHeight="1" x14ac:dyDescent="0.25">
      <c r="D90" s="8" t="str" cm="1">
        <f t="array" ref="D90">Common_InputFunctions.Utility_DisplayArrayInTable(SourceData_Poultry.SourceData_Poultry_FracGASMmT_Data(), Table_SourceData_Poultry_FracGASM[[#Headers],[MMSm]], 0)</f>
        <v>Direct processing</v>
      </c>
      <c r="E90" s="10" cm="1">
        <f t="array" ref="E90">Common_InputFunctions.Utility_DisplayArrayInTable(SourceData_Poultry.SourceData_Poultry_FracGASMmT_Data(), Table_SourceData_Poultry_FracGASM[[#Headers],[MMSm]], 0)</f>
        <v>0</v>
      </c>
      <c r="F90" s="10" t="str" cm="1">
        <f t="array" ref="F90">Common_InputFunctions.Utility_DisplayArrayInTable(SourceData_Poultry.SourceData_Poultry_FracGASMmT_Data(), Table_SourceData_Poultry_FracGASM[[#Headers],[MMSm]], 0)</f>
        <v>Direct processing</v>
      </c>
      <c r="M90" s="8"/>
      <c r="V90" s="8"/>
      <c r="W90" s="8"/>
    </row>
    <row r="91" spans="4:23" ht="20.100000000000001" customHeight="1" x14ac:dyDescent="0.25">
      <c r="D91" s="8" t="str" cm="1">
        <f t="array" ref="D91">Common_InputFunctions.Utility_DisplayArrayInTable(SourceData_Poultry.SourceData_Poultry_FracGASMmT_Data(), Table_SourceData_Poultry_FracGASM[[#Headers],[MMSm]], 0)</f>
        <v>Anaerobic digester / covered pond</v>
      </c>
      <c r="E91" s="10" cm="1">
        <f t="array" ref="E91">Common_InputFunctions.Utility_DisplayArrayInTable(SourceData_Poultry.SourceData_Poultry_FracGASMmT_Data(), Table_SourceData_Poultry_FracGASM[[#Headers],[MMSm]], 0)</f>
        <v>0</v>
      </c>
      <c r="F91" s="10" t="str" cm="1">
        <f t="array" ref="F91">Common_InputFunctions.Utility_DisplayArrayInTable(SourceData_Poultry.SourceData_Poultry_FracGASMmT_Data(), Table_SourceData_Poultry_FracGASM[[#Headers],[MMSm]], 0)</f>
        <v>Digester / covered lagoons</v>
      </c>
      <c r="M91" s="8"/>
      <c r="V91" s="8"/>
    </row>
    <row r="92" spans="4:23" ht="20.100000000000001" customHeight="1" x14ac:dyDescent="0.25">
      <c r="M92" s="8"/>
      <c r="V92" s="8"/>
    </row>
    <row r="93" spans="4:23" ht="20.100000000000001" customHeight="1" x14ac:dyDescent="0.25">
      <c r="M93" s="8"/>
      <c r="V93" s="8"/>
    </row>
    <row r="94" spans="4:23" ht="20.100000000000001" customHeight="1" x14ac:dyDescent="0.25">
      <c r="D94" s="9" t="str" cm="1">
        <f t="array" ref="D94">SourceData_Poultry.SourceData_Poultry_EFmT_Title()</f>
        <v>Poultry - Nitrous oxide EFs by MMS (kgN2O-N/kgN) (EFmT)</v>
      </c>
      <c r="M94" s="8"/>
    </row>
    <row r="95" spans="4:23" ht="20.100000000000001" customHeight="1" x14ac:dyDescent="0.25">
      <c r="D95" s="11" t="str" cm="1">
        <f t="array" ref="D95">SourceData_Poultry.SourceData_Poultry_EFmT_Source()</f>
        <v>VEERG 2026: Table A.1.7.3</v>
      </c>
      <c r="M95" s="8"/>
    </row>
    <row r="96" spans="4:23" ht="20.100000000000001" customHeight="1" x14ac:dyDescent="0.25">
      <c r="D96" s="12" t="str" cm="1">
        <f t="array" ref="D96">SourceData_Poultry.SourceData_Poultry_EFmT_Variation()</f>
        <v>VARIATION ON SOURCE: Added 'NIR definition column'. Duplicated 'Poultry manure without litter' row for NIR MMS 'Belt manure removal' and 'Manure stored in house'.</v>
      </c>
      <c r="M96" s="8"/>
    </row>
    <row r="97" spans="4:13" ht="20.100000000000001" customHeight="1" x14ac:dyDescent="0.25">
      <c r="D97" s="10" t="s">
        <v>594</v>
      </c>
      <c r="E97" s="10" t="s">
        <v>596</v>
      </c>
      <c r="F97" s="10" t="s">
        <v>565</v>
      </c>
      <c r="M97" s="8"/>
    </row>
    <row r="98" spans="4:13" ht="20.100000000000001" customHeight="1" x14ac:dyDescent="0.25">
      <c r="D98" s="10" t="str" cm="1">
        <f t="array" ref="D98">Common_InputFunctions.Utility_DisplayArrayInTable(SourceData_Poultry.SourceData_Poultry_EFmT_Data(),Table_SourceData_Poultry_EFmT[[#Headers],[MMSm]], 0)</f>
        <v>Poultry manure with litter (housing)</v>
      </c>
      <c r="E98" s="10" cm="1">
        <f t="array" ref="E98">Common_InputFunctions.Utility_DisplayArrayInTable(SourceData_Poultry.SourceData_Poultry_EFmT_Data(),Table_SourceData_Poultry_EFmT[[#Headers],[MMSm]], 0)</f>
        <v>1E-3</v>
      </c>
      <c r="F98" s="10" t="str" cm="1">
        <f t="array" ref="F98">Common_InputFunctions.Utility_DisplayArrayInTable(SourceData_Poultry.SourceData_Poultry_EFmT_Data(),Table_SourceData_Poultry_EFmT[[#Headers],[MMSm]], 0)</f>
        <v>Poultry manure with bedding</v>
      </c>
      <c r="M98" s="8"/>
    </row>
    <row r="99" spans="4:13" ht="20.100000000000001" customHeight="1" x14ac:dyDescent="0.25">
      <c r="D99" s="8" t="str" cm="1">
        <f t="array" ref="D99">Common_InputFunctions.Utility_DisplayArrayInTable(SourceData_Poultry.SourceData_Poultry_EFmT_Data(),Table_SourceData_Poultry_EFmT[[#Headers],[MMSm]], 0)</f>
        <v>Poultry manure without litter (housing)</v>
      </c>
      <c r="E99" s="10" cm="1">
        <f t="array" ref="E99">Common_InputFunctions.Utility_DisplayArrayInTable(SourceData_Poultry.SourceData_Poultry_EFmT_Data(),Table_SourceData_Poultry_EFmT[[#Headers],[MMSm]], 0)</f>
        <v>1E-3</v>
      </c>
      <c r="F99" s="10" t="str" cm="1">
        <f t="array" ref="F99">Common_InputFunctions.Utility_DisplayArrayInTable(SourceData_Poultry.SourceData_Poultry_EFmT_Data(),Table_SourceData_Poultry_EFmT[[#Headers],[MMSm]], 0)</f>
        <v>Belt manure removal</v>
      </c>
      <c r="M99" s="8"/>
    </row>
    <row r="100" spans="4:13" ht="20.100000000000001" customHeight="1" x14ac:dyDescent="0.25">
      <c r="D100" s="8" t="str" cm="1">
        <f t="array" ref="D100">Common_InputFunctions.Utility_DisplayArrayInTable(SourceData_Poultry.SourceData_Poultry_EFmT_Data(),Table_SourceData_Poultry_EFmT[[#Headers],[MMSm]], 0)</f>
        <v>Poultry manure without litter (housing)</v>
      </c>
      <c r="E100" s="10" cm="1">
        <f t="array" ref="E100">Common_InputFunctions.Utility_DisplayArrayInTable(SourceData_Poultry.SourceData_Poultry_EFmT_Data(),Table_SourceData_Poultry_EFmT[[#Headers],[MMSm]], 0)</f>
        <v>1E-3</v>
      </c>
      <c r="F100" s="10" t="str" cm="1">
        <f t="array" ref="F100">Common_InputFunctions.Utility_DisplayArrayInTable(SourceData_Poultry.SourceData_Poultry_EFmT_Data(),Table_SourceData_Poultry_EFmT[[#Headers],[MMSm]], 0)</f>
        <v>Manure stored in house</v>
      </c>
      <c r="M100" s="8"/>
    </row>
    <row r="101" spans="4:13" ht="20.100000000000001" customHeight="1" x14ac:dyDescent="0.25">
      <c r="D101" s="8" t="str" cm="1">
        <f t="array" ref="D101">Common_InputFunctions.Utility_DisplayArrayInTable(SourceData_Poultry.SourceData_Poultry_EFmT_Data(),Table_SourceData_Poultry_EFmT[[#Headers],[MMSm]], 0)</f>
        <v>Pasture range and paddock (free range)</v>
      </c>
      <c r="E101" s="10" cm="1">
        <f t="array" ref="E101">Common_InputFunctions.Utility_DisplayArrayInTable(SourceData_Poultry.SourceData_Poultry_EFmT_Data(),Table_SourceData_Poultry_EFmT[[#Headers],[MMSm]], 0)</f>
        <v>0.02</v>
      </c>
      <c r="F101" s="10" t="str" cm="1">
        <f t="array" ref="F101">Common_InputFunctions.Utility_DisplayArrayInTable(SourceData_Poultry.SourceData_Poultry_EFmT_Data(),Table_SourceData_Poultry_EFmT[[#Headers],[MMSm]], 0)</f>
        <v>Pasture range and paddock</v>
      </c>
      <c r="M101" s="8"/>
    </row>
    <row r="102" spans="4:13" ht="20.100000000000001" customHeight="1" x14ac:dyDescent="0.25">
      <c r="D102" s="8" t="str" cm="1">
        <f t="array" ref="D102">Common_InputFunctions.Utility_DisplayArrayInTable(SourceData_Poultry.SourceData_Poultry_EFmT_Data(),Table_SourceData_Poultry_EFmT[[#Headers],[MMSm]], 0)</f>
        <v>Solid storage (stockpile)</v>
      </c>
      <c r="E102" s="10" cm="1">
        <f t="array" ref="E102">Common_InputFunctions.Utility_DisplayArrayInTable(SourceData_Poultry.SourceData_Poultry_EFmT_Data(),Table_SourceData_Poultry_EFmT[[#Headers],[MMSm]], 0)</f>
        <v>5.0000000000000001E-3</v>
      </c>
      <c r="F102" s="10" t="str" cm="1">
        <f t="array" ref="F102">Common_InputFunctions.Utility_DisplayArrayInTable(SourceData_Poultry.SourceData_Poultry_EFmT_Data(),Table_SourceData_Poultry_EFmT[[#Headers],[MMSm]], 0)</f>
        <v>Solid storage</v>
      </c>
      <c r="M102" s="8"/>
    </row>
    <row r="103" spans="4:13" ht="20.100000000000001" customHeight="1" x14ac:dyDescent="0.25">
      <c r="D103" s="8" t="str" cm="1">
        <f t="array" ref="D103">Common_InputFunctions.Utility_DisplayArrayInTable(SourceData_Poultry.SourceData_Poultry_EFmT_Data(),Table_SourceData_Poultry_EFmT[[#Headers],[MMSm]], 0)</f>
        <v>Composting (passive windrow)</v>
      </c>
      <c r="E103" s="10" cm="1">
        <f t="array" ref="E103">Common_InputFunctions.Utility_DisplayArrayInTable(SourceData_Poultry.SourceData_Poultry_EFmT_Data(),Table_SourceData_Poultry_EFmT[[#Headers],[MMSm]], 0)</f>
        <v>0.01</v>
      </c>
      <c r="F103" s="10" t="str" cm="1">
        <f t="array" ref="F103">Common_InputFunctions.Utility_DisplayArrayInTable(SourceData_Poultry.SourceData_Poultry_EFmT_Data(),Table_SourceData_Poultry_EFmT[[#Headers],[MMSm]], 0)</f>
        <v>Composting (passive windrow)</v>
      </c>
      <c r="M103" s="8"/>
    </row>
    <row r="104" spans="4:13" ht="20.100000000000001" customHeight="1" x14ac:dyDescent="0.25">
      <c r="D104" s="8" t="str" cm="1">
        <f t="array" ref="D104">Common_InputFunctions.Utility_DisplayArrayInTable(SourceData_Poultry.SourceData_Poultry_EFmT_Data(),Table_SourceData_Poultry_EFmT[[#Headers],[MMSm]], 0)</f>
        <v>Direct processing</v>
      </c>
      <c r="E104" s="10" cm="1">
        <f t="array" ref="E104">Common_InputFunctions.Utility_DisplayArrayInTable(SourceData_Poultry.SourceData_Poultry_EFmT_Data(),Table_SourceData_Poultry_EFmT[[#Headers],[MMSm]], 0)</f>
        <v>0</v>
      </c>
      <c r="F104" s="10" t="str" cm="1">
        <f t="array" ref="F104">Common_InputFunctions.Utility_DisplayArrayInTable(SourceData_Poultry.SourceData_Poultry_EFmT_Data(),Table_SourceData_Poultry_EFmT[[#Headers],[MMSm]], 0)</f>
        <v>Direct processing</v>
      </c>
      <c r="M104" s="8"/>
    </row>
    <row r="105" spans="4:13" ht="20.100000000000001" customHeight="1" x14ac:dyDescent="0.25">
      <c r="D105" s="8" t="str" cm="1">
        <f t="array" ref="D105">Common_InputFunctions.Utility_DisplayArrayInTable(SourceData_Poultry.SourceData_Poultry_EFmT_Data(),Table_SourceData_Poultry_EFmT[[#Headers],[MMSm]], 0)</f>
        <v>Anaerobic digester / covered pond</v>
      </c>
      <c r="E105" s="10" cm="1">
        <f t="array" ref="E105">Common_InputFunctions.Utility_DisplayArrayInTable(SourceData_Poultry.SourceData_Poultry_EFmT_Data(),Table_SourceData_Poultry_EFmT[[#Headers],[MMSm]], 0)</f>
        <v>0</v>
      </c>
      <c r="F105" s="10" t="str" cm="1">
        <f t="array" ref="F105">Common_InputFunctions.Utility_DisplayArrayInTable(SourceData_Poultry.SourceData_Poultry_EFmT_Data(),Table_SourceData_Poultry_EFmT[[#Headers],[MMSm]], 0)</f>
        <v>Digester / covered lagoons</v>
      </c>
      <c r="M105" s="8"/>
    </row>
    <row r="106" spans="4:13" ht="20.100000000000001" customHeight="1" x14ac:dyDescent="0.25">
      <c r="M106" s="8"/>
    </row>
    <row r="107" spans="4:13" ht="20.100000000000001" customHeight="1" x14ac:dyDescent="0.25">
      <c r="M107" s="8"/>
    </row>
    <row r="108" spans="4:13" ht="20.100000000000001" customHeight="1" x14ac:dyDescent="0.25">
      <c r="D108" s="9" t="str" cm="1">
        <f t="array" ref="D108">SourceData_Poultry.SourceData_Poultry_FractionOfNitrogenLostThroughLeachingAndRunoff_Title()</f>
        <v>Fraction of N that is lost through leaching and runoff</v>
      </c>
      <c r="M108" s="8"/>
    </row>
    <row r="109" spans="4:13" ht="20.100000000000001" customHeight="1" x14ac:dyDescent="0.25">
      <c r="D109" s="11" t="str" cm="1">
        <f t="array" ref="D109">SourceData_Poultry.SourceData_Poultry_FractionOfNitrogenLostThroughLeachingAndRunoff_Source()</f>
        <v>VEERG 2026: 4.6.2.3 CONSTANTS</v>
      </c>
      <c r="M109" s="8"/>
    </row>
    <row r="110" spans="4:13" ht="20.100000000000001" customHeight="1" x14ac:dyDescent="0.25">
      <c r="D110" s="24" t="str" cm="1">
        <f t="array" ref="D110">SourceData_Poultry.SourceData_Poultry_FractionOfNitrogenLostThroughLeachingAndRunoff_Variable()</f>
        <v>Frac_LEACH_MS</v>
      </c>
      <c r="E110" s="8" cm="1">
        <f t="array" ref="E110">SourceData_Poultry.SourceData_Poultry_FractionOfNitrogenLostThroughLeachingAndRunoff_Data()</f>
        <v>0.02</v>
      </c>
      <c r="M110" s="8"/>
    </row>
    <row r="111" spans="4:13" ht="20.100000000000001" customHeight="1" x14ac:dyDescent="0.25">
      <c r="M111" s="8"/>
    </row>
    <row r="112" spans="4:13" ht="20.100000000000001" customHeight="1" x14ac:dyDescent="0.25">
      <c r="D112" s="9" t="str" cm="1">
        <f t="array" ref="D112">SourceData_Poultry.SourceData_Poultry_FracGAMSSoil_Title()</f>
        <v>Fraction of nitrogen volatilised from urine and faeces deposited on pasture</v>
      </c>
      <c r="M112" s="8"/>
    </row>
    <row r="113" spans="4:22" ht="20.100000000000001" customHeight="1" x14ac:dyDescent="0.25">
      <c r="D113" s="11" t="str" cm="1">
        <f t="array" ref="D113">SourceData_Poultry.SourceData_Poultry_FracGAMSSoil_Source()</f>
        <v>VEERG 2026: 4.6.2.3 CONSTANTS</v>
      </c>
      <c r="M113" s="8"/>
    </row>
    <row r="114" spans="4:22" ht="20.100000000000001" customHeight="1" x14ac:dyDescent="0.25">
      <c r="D114" s="12" t="str" cm="1">
        <f t="array" ref="D114">SourceData_Poultry.SourceData_Poultry_FracGAMSSoil_Variation()</f>
        <v>VARIATION ON SOURCE: This constant is not documented in the draft, used the same value of 0.21 as all other livestock.</v>
      </c>
      <c r="M114" s="8"/>
    </row>
    <row r="115" spans="4:22" ht="20.100000000000001" customHeight="1" x14ac:dyDescent="0.25">
      <c r="D115" s="24" t="str" cm="1">
        <f t="array" ref="D115">SourceData_Poultry.SourceData_Poultry_FracGAMSSoil_Variable()</f>
        <v>FracGASM_soil</v>
      </c>
      <c r="E115" s="8" cm="1">
        <f t="array" ref="E115">SourceData_Poultry.SourceData_Poultry_FracGAMSSoil_Data()</f>
        <v>0.21</v>
      </c>
      <c r="F115" s="13" t="str" cm="1">
        <f t="array" ref="F115">SourceData_Poultry.SourceData_Poultry_FracGAMSSoil_Unit()</f>
        <v>(kg NH3-N + NOx-N)/kg N</v>
      </c>
      <c r="M115" s="8"/>
      <c r="V115" s="8"/>
    </row>
    <row r="116" spans="4:22" ht="20.100000000000001" customHeight="1" x14ac:dyDescent="0.25">
      <c r="M116" s="8"/>
      <c r="V116" s="8"/>
    </row>
    <row r="117" spans="4:22" ht="20.100000000000001" customHeight="1" x14ac:dyDescent="0.25">
      <c r="D117" s="9" t="str" cm="1">
        <f t="array" ref="D117">SourceData_Poultry.SourceData_Poultry_Liveweights_Title()</f>
        <v>Poultry - Liveweights (Wco) (kg)</v>
      </c>
      <c r="M117" s="8"/>
      <c r="V117" s="8"/>
    </row>
    <row r="118" spans="4:22" ht="20.100000000000001" customHeight="1" x14ac:dyDescent="0.25">
      <c r="D118" s="11" t="str" cm="1">
        <f t="array" ref="D118">SourceData_Poultry.SourceData_Poultry_Liveweights_Source()</f>
        <v>VEERG 2026: Table A.1.7.5</v>
      </c>
      <c r="M118" s="8"/>
    </row>
    <row r="119" spans="4:22" ht="20.100000000000001" customHeight="1" x14ac:dyDescent="0.25">
      <c r="D119" s="10" t="s">
        <v>632</v>
      </c>
      <c r="E119" s="10" t="s">
        <v>598</v>
      </c>
      <c r="M119" s="8"/>
    </row>
    <row r="120" spans="4:22" ht="20.100000000000001" customHeight="1" x14ac:dyDescent="0.25">
      <c r="D120" s="10" t="str" cm="1">
        <f t="array" ref="D120">Common_InputFunctions.Utility_DisplayArrayInTable(SourceData_Poultry.SourceData_Poultry_Liveweights_Data(),Table_SourceData_Poultry_Liveweights[[#Headers],[Livestock class j]],0)</f>
        <v>Chicken</v>
      </c>
      <c r="E120" s="10" cm="1">
        <f t="array" ref="E120">Common_InputFunctions.Utility_DisplayArrayInTable(SourceData_Poultry.SourceData_Poultry_Liveweights_Data(),Table_SourceData_Poultry_Liveweights[[#Headers],[Livestock class j]],0)</f>
        <v>1.3</v>
      </c>
      <c r="M120" s="8"/>
    </row>
    <row r="121" spans="4:22" ht="20.100000000000001" customHeight="1" x14ac:dyDescent="0.25">
      <c r="D121" s="8" t="str" cm="1">
        <f t="array" ref="D121">Common_InputFunctions.Utility_DisplayArrayInTable(SourceData_Poultry.SourceData_Poultry_Liveweights_Data(),Table_SourceData_Poultry_Liveweights[[#Headers],[Livestock class j]],0)</f>
        <v>Hen &gt;/=1 yr</v>
      </c>
      <c r="E121" s="10" cm="1">
        <f t="array" ref="E121">Common_InputFunctions.Utility_DisplayArrayInTable(SourceData_Poultry.SourceData_Poultry_Liveweights_Data(),Table_SourceData_Poultry_Liveweights[[#Headers],[Livestock class j]],0)</f>
        <v>2</v>
      </c>
      <c r="M121" s="8"/>
    </row>
    <row r="122" spans="4:22" ht="20.100000000000001" customHeight="1" x14ac:dyDescent="0.25">
      <c r="D122" s="8" t="str" cm="1">
        <f t="array" ref="D122">Common_InputFunctions.Utility_DisplayArrayInTable(SourceData_Poultry.SourceData_Poultry_Liveweights_Data(),Table_SourceData_Poultry_Liveweights[[#Headers],[Livestock class j]],0)</f>
        <v>Pullets</v>
      </c>
      <c r="E122" s="10" cm="1">
        <f t="array" ref="E122">Common_InputFunctions.Utility_DisplayArrayInTable(SourceData_Poultry.SourceData_Poultry_Liveweights_Data(),Table_SourceData_Poultry_Liveweights[[#Headers],[Livestock class j]],0)</f>
        <v>1.4</v>
      </c>
      <c r="M122" s="8"/>
    </row>
    <row r="123" spans="4:22" ht="20.100000000000001" customHeight="1" x14ac:dyDescent="0.25">
      <c r="D123" s="8" t="str" cm="1">
        <f t="array" ref="D123">Common_InputFunctions.Utility_DisplayArrayInTable(SourceData_Poultry.SourceData_Poultry_Liveweights_Data(),Table_SourceData_Poultry_Liveweights[[#Headers],[Livestock class j]],0)</f>
        <v>Broilers</v>
      </c>
      <c r="E123" s="10" cm="1">
        <f t="array" ref="E123">Common_InputFunctions.Utility_DisplayArrayInTable(SourceData_Poultry.SourceData_Poultry_Liveweights_Data(),Table_SourceData_Poultry_Liveweights[[#Headers],[Livestock class j]],0)</f>
        <v>1.2</v>
      </c>
      <c r="M123" s="8"/>
    </row>
    <row r="124" spans="4:22" ht="20.100000000000001" customHeight="1" x14ac:dyDescent="0.25">
      <c r="M124" s="8"/>
    </row>
    <row r="125" spans="4:22" ht="20.100000000000001" customHeight="1" x14ac:dyDescent="0.25">
      <c r="M125" s="8"/>
      <c r="V125" s="8"/>
    </row>
    <row r="126" spans="4:22" ht="20.100000000000001" customHeight="1" x14ac:dyDescent="0.25">
      <c r="M126" s="8"/>
      <c r="V126" s="8"/>
    </row>
    <row r="127" spans="4:22" ht="20.100000000000001" customHeight="1" x14ac:dyDescent="0.25">
      <c r="M127" s="8"/>
      <c r="V127" s="8"/>
    </row>
    <row r="128" spans="4:22" ht="20.100000000000001" customHeight="1" x14ac:dyDescent="0.25">
      <c r="M128" s="8"/>
      <c r="V128" s="8"/>
    </row>
    <row r="129" spans="13:22" ht="20.100000000000001" customHeight="1" x14ac:dyDescent="0.25">
      <c r="M129" s="8"/>
      <c r="V129" s="8"/>
    </row>
    <row r="130" spans="13:22" ht="20.100000000000001" customHeight="1" x14ac:dyDescent="0.25">
      <c r="M130" s="8"/>
      <c r="V130" s="8"/>
    </row>
    <row r="131" spans="13:22" ht="20.100000000000001" customHeight="1" x14ac:dyDescent="0.25">
      <c r="M131" s="8"/>
    </row>
    <row r="132" spans="13:22" ht="20.100000000000001" customHeight="1" x14ac:dyDescent="0.25">
      <c r="M132" s="8"/>
    </row>
    <row r="133" spans="13:22" ht="20.100000000000001" customHeight="1" x14ac:dyDescent="0.25">
      <c r="M133" s="8"/>
    </row>
    <row r="134" spans="13:22" ht="20.100000000000001" customHeight="1" x14ac:dyDescent="0.25">
      <c r="M134" s="8"/>
    </row>
    <row r="135" spans="13:22" ht="20.100000000000001" customHeight="1" x14ac:dyDescent="0.25">
      <c r="M135" s="8"/>
    </row>
    <row r="136" spans="13:22" ht="20.100000000000001" customHeight="1" x14ac:dyDescent="0.25">
      <c r="M136" s="8"/>
    </row>
    <row r="137" spans="13:22" ht="20.100000000000001" customHeight="1" x14ac:dyDescent="0.25">
      <c r="M137" s="8"/>
    </row>
    <row r="138" spans="13:22" ht="20.100000000000001" customHeight="1" x14ac:dyDescent="0.25">
      <c r="M138" s="8"/>
    </row>
    <row r="139" spans="13:22" ht="20.100000000000001" customHeight="1" x14ac:dyDescent="0.25">
      <c r="M139" s="8"/>
    </row>
    <row r="140" spans="13:22" ht="20.100000000000001" customHeight="1" x14ac:dyDescent="0.25">
      <c r="M140" s="8"/>
    </row>
    <row r="141" spans="13:22" ht="20.100000000000001" customHeight="1" x14ac:dyDescent="0.25">
      <c r="M141" s="8"/>
    </row>
    <row r="142" spans="13:22" ht="20.100000000000001" customHeight="1" x14ac:dyDescent="0.25">
      <c r="M142" s="8"/>
    </row>
    <row r="143" spans="13:22" ht="20.100000000000001" customHeight="1" x14ac:dyDescent="0.25">
      <c r="M143" s="8"/>
    </row>
    <row r="144" spans="13:22" ht="20.100000000000001" customHeight="1" x14ac:dyDescent="0.25">
      <c r="M144" s="8"/>
    </row>
    <row r="145" spans="13:13" ht="20.100000000000001" customHeight="1" x14ac:dyDescent="0.25">
      <c r="M145" s="8"/>
    </row>
    <row r="146" spans="13:13" ht="20.100000000000001" customHeight="1" x14ac:dyDescent="0.25">
      <c r="M146" s="8"/>
    </row>
    <row r="147" spans="13:13" ht="20.100000000000001" customHeight="1" x14ac:dyDescent="0.25">
      <c r="M147" s="8"/>
    </row>
    <row r="148" spans="13:13" ht="20.100000000000001" customHeight="1" x14ac:dyDescent="0.25">
      <c r="M148" s="8"/>
    </row>
    <row r="149" spans="13:13" ht="20.100000000000001" customHeight="1" x14ac:dyDescent="0.25">
      <c r="M149" s="8"/>
    </row>
    <row r="150" spans="13:13" ht="20.100000000000001" customHeight="1" x14ac:dyDescent="0.25">
      <c r="M150" s="8"/>
    </row>
    <row r="151" spans="13:13" ht="20.100000000000001" customHeight="1" x14ac:dyDescent="0.25">
      <c r="M151" s="8"/>
    </row>
    <row r="152" spans="13:13" ht="20.100000000000001" customHeight="1" x14ac:dyDescent="0.25">
      <c r="M152" s="8"/>
    </row>
    <row r="153" spans="13:13" ht="20.100000000000001" customHeight="1" x14ac:dyDescent="0.25">
      <c r="M153" s="8"/>
    </row>
    <row r="154" spans="13:13" ht="20.100000000000001" customHeight="1" x14ac:dyDescent="0.25">
      <c r="M154" s="8"/>
    </row>
    <row r="155" spans="13:13" ht="20.100000000000001" customHeight="1" x14ac:dyDescent="0.25">
      <c r="M155" s="8"/>
    </row>
    <row r="156" spans="13:13" ht="20.100000000000001" customHeight="1" x14ac:dyDescent="0.25">
      <c r="M156" s="8"/>
    </row>
    <row r="157" spans="13:13" ht="20.100000000000001" customHeight="1" x14ac:dyDescent="0.25">
      <c r="M157" s="8"/>
    </row>
    <row r="158" spans="13:13" ht="20.100000000000001" customHeight="1" x14ac:dyDescent="0.25">
      <c r="M158" s="8"/>
    </row>
    <row r="159" spans="13:13" ht="20.100000000000001" customHeight="1" x14ac:dyDescent="0.25">
      <c r="M159" s="8"/>
    </row>
    <row r="160" spans="13:13" ht="20.100000000000001" customHeight="1" x14ac:dyDescent="0.25">
      <c r="M160" s="8"/>
    </row>
    <row r="161" spans="13:13" ht="20.100000000000001" customHeight="1" x14ac:dyDescent="0.25">
      <c r="M161" s="8"/>
    </row>
    <row r="162" spans="13:13" ht="20.100000000000001" customHeight="1" x14ac:dyDescent="0.25">
      <c r="M162" s="8"/>
    </row>
    <row r="163" spans="13:13" ht="20.100000000000001" customHeight="1" x14ac:dyDescent="0.25">
      <c r="M163" s="8"/>
    </row>
    <row r="164" spans="13:13" ht="20.100000000000001" customHeight="1" x14ac:dyDescent="0.25">
      <c r="M164" s="8"/>
    </row>
    <row r="165" spans="13:13" ht="20.100000000000001" customHeight="1" x14ac:dyDescent="0.25">
      <c r="M165" s="8"/>
    </row>
    <row r="166" spans="13:13" x14ac:dyDescent="0.25">
      <c r="M166" s="8"/>
    </row>
    <row r="167" spans="13:13" x14ac:dyDescent="0.25">
      <c r="M167" s="8"/>
    </row>
    <row r="168" spans="13:13" x14ac:dyDescent="0.25">
      <c r="M168" s="8"/>
    </row>
    <row r="169" spans="13:13" x14ac:dyDescent="0.25">
      <c r="M169" s="8"/>
    </row>
    <row r="170" spans="13:13" x14ac:dyDescent="0.25">
      <c r="M170" s="8"/>
    </row>
    <row r="171" spans="13:13" x14ac:dyDescent="0.25">
      <c r="M171" s="8"/>
    </row>
    <row r="172" spans="13:13" x14ac:dyDescent="0.25">
      <c r="M172" s="8"/>
    </row>
    <row r="173" spans="13:13" x14ac:dyDescent="0.25">
      <c r="M173" s="8"/>
    </row>
    <row r="174" spans="13:13" x14ac:dyDescent="0.25">
      <c r="M174" s="8"/>
    </row>
    <row r="175" spans="13:13" x14ac:dyDescent="0.25">
      <c r="M175" s="8"/>
    </row>
    <row r="176" spans="13:13" x14ac:dyDescent="0.25">
      <c r="M176" s="8"/>
    </row>
    <row r="177" spans="13:13" x14ac:dyDescent="0.25">
      <c r="M177" s="8"/>
    </row>
    <row r="178" spans="13:13" x14ac:dyDescent="0.25">
      <c r="M178" s="8"/>
    </row>
    <row r="179" spans="13:13" x14ac:dyDescent="0.25">
      <c r="M179" s="8"/>
    </row>
    <row r="180" spans="13:13" x14ac:dyDescent="0.25">
      <c r="M180" s="8"/>
    </row>
    <row r="181" spans="13:13" x14ac:dyDescent="0.25">
      <c r="M181" s="8"/>
    </row>
    <row r="182" spans="13:13" x14ac:dyDescent="0.25">
      <c r="M182" s="8"/>
    </row>
    <row r="183" spans="13:13" x14ac:dyDescent="0.25">
      <c r="M183" s="8"/>
    </row>
    <row r="184" spans="13:13" x14ac:dyDescent="0.25">
      <c r="M184" s="8"/>
    </row>
    <row r="185" spans="13:13" x14ac:dyDescent="0.25">
      <c r="M185" s="8"/>
    </row>
    <row r="186" spans="13:13" x14ac:dyDescent="0.25">
      <c r="M186" s="8"/>
    </row>
    <row r="187" spans="13:13" x14ac:dyDescent="0.25">
      <c r="M187" s="8"/>
    </row>
    <row r="188" spans="13:13" x14ac:dyDescent="0.25">
      <c r="M188" s="8"/>
    </row>
    <row r="189" spans="13:13" x14ac:dyDescent="0.25">
      <c r="M189" s="8"/>
    </row>
    <row r="190" spans="13:13" x14ac:dyDescent="0.25">
      <c r="M190" s="8"/>
    </row>
    <row r="191" spans="13:13" x14ac:dyDescent="0.25">
      <c r="M191" s="8"/>
    </row>
    <row r="192" spans="13:13" x14ac:dyDescent="0.25">
      <c r="M192" s="8"/>
    </row>
    <row r="193" spans="13:13" x14ac:dyDescent="0.25">
      <c r="M193" s="8"/>
    </row>
    <row r="194" spans="13:13" x14ac:dyDescent="0.25">
      <c r="M194" s="8"/>
    </row>
    <row r="195" spans="13:13" x14ac:dyDescent="0.25">
      <c r="M195" s="8"/>
    </row>
    <row r="196" spans="13:13" x14ac:dyDescent="0.25">
      <c r="M196" s="8"/>
    </row>
    <row r="197" spans="13:13" x14ac:dyDescent="0.25">
      <c r="M197" s="8"/>
    </row>
    <row r="198" spans="13:13" x14ac:dyDescent="0.25">
      <c r="M198" s="8"/>
    </row>
    <row r="199" spans="13:13" x14ac:dyDescent="0.25">
      <c r="M199" s="8"/>
    </row>
    <row r="200" spans="13:13" x14ac:dyDescent="0.25">
      <c r="M200" s="8"/>
    </row>
    <row r="201" spans="13:13" x14ac:dyDescent="0.25">
      <c r="M201" s="8"/>
    </row>
    <row r="202" spans="13:13" x14ac:dyDescent="0.25">
      <c r="M202" s="8"/>
    </row>
    <row r="203" spans="13:13" x14ac:dyDescent="0.25">
      <c r="M203" s="8"/>
    </row>
    <row r="204" spans="13:13" x14ac:dyDescent="0.25">
      <c r="M204" s="8"/>
    </row>
    <row r="205" spans="13:13" x14ac:dyDescent="0.25">
      <c r="M205" s="8"/>
    </row>
    <row r="206" spans="13:13" x14ac:dyDescent="0.25">
      <c r="M206" s="8"/>
    </row>
    <row r="207" spans="13:13" x14ac:dyDescent="0.25">
      <c r="M207" s="8"/>
    </row>
    <row r="208" spans="13:13" x14ac:dyDescent="0.25">
      <c r="M208" s="8"/>
    </row>
    <row r="209" spans="13:13" x14ac:dyDescent="0.25">
      <c r="M209" s="8"/>
    </row>
    <row r="210" spans="13:13" x14ac:dyDescent="0.25">
      <c r="M210" s="8"/>
    </row>
    <row r="211" spans="13:13" x14ac:dyDescent="0.25">
      <c r="M211" s="8"/>
    </row>
    <row r="212" spans="13:13" x14ac:dyDescent="0.25">
      <c r="M212" s="8"/>
    </row>
    <row r="213" spans="13:13" x14ac:dyDescent="0.25">
      <c r="M213" s="8"/>
    </row>
    <row r="214" spans="13:13" x14ac:dyDescent="0.25">
      <c r="M214" s="8"/>
    </row>
    <row r="215" spans="13:13" x14ac:dyDescent="0.25">
      <c r="M215" s="8"/>
    </row>
    <row r="216" spans="13:13" x14ac:dyDescent="0.25">
      <c r="M216" s="8"/>
    </row>
    <row r="217" spans="13:13" x14ac:dyDescent="0.25">
      <c r="M217" s="8"/>
    </row>
    <row r="218" spans="13:13" x14ac:dyDescent="0.25">
      <c r="M218" s="8"/>
    </row>
    <row r="219" spans="13:13" x14ac:dyDescent="0.25">
      <c r="M219" s="8"/>
    </row>
    <row r="220" spans="13:13" x14ac:dyDescent="0.25">
      <c r="M220" s="8"/>
    </row>
    <row r="221" spans="13:13" x14ac:dyDescent="0.25">
      <c r="M221" s="8"/>
    </row>
    <row r="222" spans="13:13" x14ac:dyDescent="0.25">
      <c r="M222" s="8"/>
    </row>
    <row r="223" spans="13:13" x14ac:dyDescent="0.25">
      <c r="M223" s="8"/>
    </row>
    <row r="224" spans="13:13" x14ac:dyDescent="0.25">
      <c r="M224" s="8"/>
    </row>
    <row r="225" spans="13:13" x14ac:dyDescent="0.25">
      <c r="M225" s="8"/>
    </row>
    <row r="226" spans="13:13" x14ac:dyDescent="0.25">
      <c r="M226" s="8"/>
    </row>
    <row r="227" spans="13:13" x14ac:dyDescent="0.25">
      <c r="M227" s="8"/>
    </row>
    <row r="228" spans="13:13" x14ac:dyDescent="0.25">
      <c r="M228" s="8"/>
    </row>
    <row r="229" spans="13:13" x14ac:dyDescent="0.25">
      <c r="M229" s="8"/>
    </row>
    <row r="230" spans="13:13" x14ac:dyDescent="0.25">
      <c r="M230" s="8"/>
    </row>
    <row r="231" spans="13:13" x14ac:dyDescent="0.25">
      <c r="M231" s="8"/>
    </row>
    <row r="232" spans="13:13" x14ac:dyDescent="0.25">
      <c r="M232" s="8"/>
    </row>
    <row r="233" spans="13:13" x14ac:dyDescent="0.25">
      <c r="M233" s="8"/>
    </row>
    <row r="234" spans="13:13" x14ac:dyDescent="0.25">
      <c r="M234" s="8"/>
    </row>
    <row r="235" spans="13:13" x14ac:dyDescent="0.25">
      <c r="M235" s="8"/>
    </row>
    <row r="236" spans="13:13" x14ac:dyDescent="0.25">
      <c r="M236" s="8"/>
    </row>
    <row r="237" spans="13:13" x14ac:dyDescent="0.25">
      <c r="M237" s="8"/>
    </row>
    <row r="238" spans="13:13" x14ac:dyDescent="0.25">
      <c r="M238" s="8"/>
    </row>
    <row r="239" spans="13:13" x14ac:dyDescent="0.25">
      <c r="M239" s="8"/>
    </row>
    <row r="240" spans="13:13" x14ac:dyDescent="0.25">
      <c r="M240" s="8"/>
    </row>
    <row r="241" spans="13:13" x14ac:dyDescent="0.25">
      <c r="M241" s="8"/>
    </row>
    <row r="242" spans="13:13" x14ac:dyDescent="0.25">
      <c r="M242" s="8"/>
    </row>
    <row r="243" spans="13:13" x14ac:dyDescent="0.25">
      <c r="M243" s="8"/>
    </row>
    <row r="244" spans="13:13" x14ac:dyDescent="0.25">
      <c r="M244" s="8"/>
    </row>
    <row r="245" spans="13:13" x14ac:dyDescent="0.25">
      <c r="M245" s="8"/>
    </row>
    <row r="246" spans="13:13" x14ac:dyDescent="0.25">
      <c r="M246" s="8"/>
    </row>
    <row r="247" spans="13:13" x14ac:dyDescent="0.25">
      <c r="M247" s="8"/>
    </row>
    <row r="248" spans="13:13" x14ac:dyDescent="0.25">
      <c r="M248" s="8"/>
    </row>
    <row r="249" spans="13:13" x14ac:dyDescent="0.25">
      <c r="M249" s="8"/>
    </row>
    <row r="250" spans="13:13" x14ac:dyDescent="0.25">
      <c r="M250" s="8"/>
    </row>
    <row r="251" spans="13:13" x14ac:dyDescent="0.25">
      <c r="M251" s="8"/>
    </row>
    <row r="252" spans="13:13" x14ac:dyDescent="0.25">
      <c r="M252" s="8"/>
    </row>
    <row r="253" spans="13:13" x14ac:dyDescent="0.25">
      <c r="M253" s="8"/>
    </row>
    <row r="254" spans="13:13" x14ac:dyDescent="0.25">
      <c r="M254" s="8"/>
    </row>
    <row r="255" spans="13:13" x14ac:dyDescent="0.25">
      <c r="M255" s="8"/>
    </row>
    <row r="256" spans="13:13" x14ac:dyDescent="0.25">
      <c r="M256" s="8"/>
    </row>
    <row r="257" spans="13:13" x14ac:dyDescent="0.25">
      <c r="M257" s="8"/>
    </row>
    <row r="258" spans="13:13" x14ac:dyDescent="0.25">
      <c r="M258" s="8"/>
    </row>
    <row r="259" spans="13:13" x14ac:dyDescent="0.25">
      <c r="M259" s="8"/>
    </row>
    <row r="260" spans="13:13" x14ac:dyDescent="0.25">
      <c r="M260" s="8"/>
    </row>
    <row r="261" spans="13:13" x14ac:dyDescent="0.25">
      <c r="M261" s="8"/>
    </row>
    <row r="262" spans="13:13" x14ac:dyDescent="0.25">
      <c r="M262" s="8"/>
    </row>
    <row r="263" spans="13:13" x14ac:dyDescent="0.25">
      <c r="M263" s="8"/>
    </row>
    <row r="264" spans="13:13" x14ac:dyDescent="0.25">
      <c r="M264" s="8"/>
    </row>
    <row r="265" spans="13:13" x14ac:dyDescent="0.25">
      <c r="M265" s="8"/>
    </row>
    <row r="266" spans="13:13" x14ac:dyDescent="0.25">
      <c r="M266" s="8"/>
    </row>
    <row r="267" spans="13:13" x14ac:dyDescent="0.25">
      <c r="M267" s="8"/>
    </row>
    <row r="268" spans="13:13" x14ac:dyDescent="0.25">
      <c r="M268" s="8"/>
    </row>
    <row r="269" spans="13:13" x14ac:dyDescent="0.25">
      <c r="M269" s="8"/>
    </row>
    <row r="270" spans="13:13" x14ac:dyDescent="0.25">
      <c r="M270" s="8"/>
    </row>
    <row r="271" spans="13:13" x14ac:dyDescent="0.25">
      <c r="M271" s="8"/>
    </row>
    <row r="272" spans="13:13" x14ac:dyDescent="0.25">
      <c r="M272" s="8"/>
    </row>
    <row r="273" spans="13:13" x14ac:dyDescent="0.25">
      <c r="M273" s="8"/>
    </row>
    <row r="274" spans="13:13" x14ac:dyDescent="0.25">
      <c r="M274" s="8"/>
    </row>
    <row r="275" spans="13:13" x14ac:dyDescent="0.25">
      <c r="M275" s="8"/>
    </row>
    <row r="276" spans="13:13" x14ac:dyDescent="0.25">
      <c r="M276" s="8"/>
    </row>
    <row r="277" spans="13:13" x14ac:dyDescent="0.25">
      <c r="M277" s="8"/>
    </row>
    <row r="278" spans="13:13" x14ac:dyDescent="0.25">
      <c r="M278" s="8"/>
    </row>
    <row r="279" spans="13:13" x14ac:dyDescent="0.25">
      <c r="M279" s="8"/>
    </row>
    <row r="280" spans="13:13" x14ac:dyDescent="0.25">
      <c r="M280" s="8"/>
    </row>
    <row r="281" spans="13:13" x14ac:dyDescent="0.25">
      <c r="M281" s="8"/>
    </row>
    <row r="282" spans="13:13" x14ac:dyDescent="0.25">
      <c r="M282" s="8"/>
    </row>
    <row r="283" spans="13:13" x14ac:dyDescent="0.25">
      <c r="M283" s="8"/>
    </row>
    <row r="284" spans="13:13" x14ac:dyDescent="0.25">
      <c r="M284" s="8"/>
    </row>
    <row r="285" spans="13:13" x14ac:dyDescent="0.25">
      <c r="M285" s="8"/>
    </row>
    <row r="286" spans="13:13" x14ac:dyDescent="0.25">
      <c r="M286" s="8"/>
    </row>
    <row r="287" spans="13:13" x14ac:dyDescent="0.25">
      <c r="M287" s="8"/>
    </row>
    <row r="288" spans="13:13" x14ac:dyDescent="0.25">
      <c r="M288" s="8"/>
    </row>
    <row r="289" spans="13:13" x14ac:dyDescent="0.25">
      <c r="M289" s="8"/>
    </row>
    <row r="290" spans="13:13" x14ac:dyDescent="0.25">
      <c r="M290" s="8"/>
    </row>
    <row r="291" spans="13:13" x14ac:dyDescent="0.25">
      <c r="M291" s="8"/>
    </row>
    <row r="292" spans="13:13" x14ac:dyDescent="0.25">
      <c r="M292" s="8"/>
    </row>
    <row r="293" spans="13:13" x14ac:dyDescent="0.25">
      <c r="M293" s="8"/>
    </row>
    <row r="294" spans="13:13" x14ac:dyDescent="0.25">
      <c r="M294" s="8"/>
    </row>
    <row r="295" spans="13:13" x14ac:dyDescent="0.25">
      <c r="M295" s="8"/>
    </row>
    <row r="296" spans="13:13" x14ac:dyDescent="0.25">
      <c r="M296" s="8"/>
    </row>
    <row r="297" spans="13:13" x14ac:dyDescent="0.25">
      <c r="M297" s="8"/>
    </row>
    <row r="298" spans="13:13" x14ac:dyDescent="0.25">
      <c r="M298" s="8"/>
    </row>
    <row r="299" spans="13:13" x14ac:dyDescent="0.25">
      <c r="M299" s="8"/>
    </row>
    <row r="300" spans="13:13" x14ac:dyDescent="0.25">
      <c r="M300" s="8"/>
    </row>
    <row r="301" spans="13:13" x14ac:dyDescent="0.25">
      <c r="M301" s="8"/>
    </row>
    <row r="302" spans="13:13" x14ac:dyDescent="0.25">
      <c r="M302" s="8"/>
    </row>
    <row r="303" spans="13:13" x14ac:dyDescent="0.25">
      <c r="M303" s="8"/>
    </row>
    <row r="304" spans="13:13" x14ac:dyDescent="0.25">
      <c r="M304" s="8"/>
    </row>
    <row r="305" spans="13:13" x14ac:dyDescent="0.25">
      <c r="M305" s="8"/>
    </row>
    <row r="306" spans="13:13" x14ac:dyDescent="0.25">
      <c r="M306" s="8"/>
    </row>
    <row r="307" spans="13:13" x14ac:dyDescent="0.25">
      <c r="M307" s="8"/>
    </row>
    <row r="308" spans="13:13" x14ac:dyDescent="0.25">
      <c r="M308" s="8"/>
    </row>
    <row r="309" spans="13:13" x14ac:dyDescent="0.25">
      <c r="M309" s="8"/>
    </row>
    <row r="310" spans="13:13" x14ac:dyDescent="0.25">
      <c r="M310" s="8"/>
    </row>
    <row r="311" spans="13:13" x14ac:dyDescent="0.25">
      <c r="M311" s="8"/>
    </row>
    <row r="312" spans="13:13" x14ac:dyDescent="0.25">
      <c r="M312" s="8"/>
    </row>
    <row r="313" spans="13:13" x14ac:dyDescent="0.25">
      <c r="M313" s="8"/>
    </row>
    <row r="314" spans="13:13" x14ac:dyDescent="0.25">
      <c r="M314" s="8"/>
    </row>
    <row r="315" spans="13:13" x14ac:dyDescent="0.25">
      <c r="M315" s="8"/>
    </row>
    <row r="316" spans="13:13" x14ac:dyDescent="0.25">
      <c r="M316" s="8"/>
    </row>
    <row r="317" spans="13:13" x14ac:dyDescent="0.25">
      <c r="M317" s="8"/>
    </row>
    <row r="318" spans="13:13" x14ac:dyDescent="0.25">
      <c r="M318" s="8"/>
    </row>
    <row r="319" spans="13:13" x14ac:dyDescent="0.25">
      <c r="M319" s="8"/>
    </row>
    <row r="320" spans="13:13" x14ac:dyDescent="0.25">
      <c r="M320" s="8"/>
    </row>
    <row r="321" spans="13:13" x14ac:dyDescent="0.25">
      <c r="M321" s="8"/>
    </row>
    <row r="322" spans="13:13" x14ac:dyDescent="0.25">
      <c r="M322" s="8"/>
    </row>
    <row r="323" spans="13:13" x14ac:dyDescent="0.25">
      <c r="M323" s="8"/>
    </row>
    <row r="324" spans="13:13" x14ac:dyDescent="0.25">
      <c r="M324" s="8"/>
    </row>
    <row r="325" spans="13:13" x14ac:dyDescent="0.25">
      <c r="M325" s="8"/>
    </row>
    <row r="326" spans="13:13" x14ac:dyDescent="0.25">
      <c r="M326" s="8"/>
    </row>
    <row r="327" spans="13:13" x14ac:dyDescent="0.25">
      <c r="M327" s="8"/>
    </row>
    <row r="328" spans="13:13" x14ac:dyDescent="0.25">
      <c r="M328" s="8"/>
    </row>
    <row r="329" spans="13:13" x14ac:dyDescent="0.25">
      <c r="M329" s="8"/>
    </row>
    <row r="330" spans="13:13" x14ac:dyDescent="0.25">
      <c r="M330" s="8"/>
    </row>
    <row r="331" spans="13:13" x14ac:dyDescent="0.25">
      <c r="M331" s="8"/>
    </row>
    <row r="332" spans="13:13" x14ac:dyDescent="0.25">
      <c r="M332" s="8"/>
    </row>
    <row r="333" spans="13:13" x14ac:dyDescent="0.25">
      <c r="M333" s="8"/>
    </row>
    <row r="334" spans="13:13" x14ac:dyDescent="0.25">
      <c r="M334" s="8"/>
    </row>
    <row r="335" spans="13:13" x14ac:dyDescent="0.25">
      <c r="M335" s="8"/>
    </row>
    <row r="336" spans="13:13" x14ac:dyDescent="0.25">
      <c r="M336" s="8"/>
    </row>
    <row r="337" spans="13:13" x14ac:dyDescent="0.25">
      <c r="M337" s="8"/>
    </row>
    <row r="338" spans="13:13" x14ac:dyDescent="0.25">
      <c r="M338" s="8"/>
    </row>
    <row r="339" spans="13:13" x14ac:dyDescent="0.25">
      <c r="M339" s="8"/>
    </row>
    <row r="340" spans="13:13" x14ac:dyDescent="0.25">
      <c r="M340" s="8"/>
    </row>
    <row r="341" spans="13:13" x14ac:dyDescent="0.25">
      <c r="M341" s="8"/>
    </row>
    <row r="342" spans="13:13" x14ac:dyDescent="0.25">
      <c r="M342" s="8"/>
    </row>
    <row r="343" spans="13:13" x14ac:dyDescent="0.25">
      <c r="M343" s="8"/>
    </row>
    <row r="344" spans="13:13" x14ac:dyDescent="0.25">
      <c r="M344" s="8"/>
    </row>
    <row r="345" spans="13:13" x14ac:dyDescent="0.25">
      <c r="M345" s="8"/>
    </row>
    <row r="346" spans="13:13" x14ac:dyDescent="0.25">
      <c r="M346" s="8"/>
    </row>
    <row r="347" spans="13:13" x14ac:dyDescent="0.25">
      <c r="M347" s="8"/>
    </row>
    <row r="348" spans="13:13" x14ac:dyDescent="0.25">
      <c r="M348" s="8"/>
    </row>
    <row r="349" spans="13:13" x14ac:dyDescent="0.25">
      <c r="M349" s="8"/>
    </row>
    <row r="350" spans="13:13" x14ac:dyDescent="0.25">
      <c r="M350" s="8"/>
    </row>
    <row r="351" spans="13:13" x14ac:dyDescent="0.25">
      <c r="M351" s="8"/>
    </row>
    <row r="352" spans="13:13" x14ac:dyDescent="0.25">
      <c r="M352" s="8"/>
    </row>
    <row r="353" spans="13:13" x14ac:dyDescent="0.25">
      <c r="M353" s="8"/>
    </row>
    <row r="354" spans="13:13" x14ac:dyDescent="0.25">
      <c r="M354" s="8"/>
    </row>
    <row r="355" spans="13:13" x14ac:dyDescent="0.25">
      <c r="M355" s="8"/>
    </row>
    <row r="356" spans="13:13" x14ac:dyDescent="0.25">
      <c r="M356" s="8"/>
    </row>
    <row r="357" spans="13:13" x14ac:dyDescent="0.25">
      <c r="M357" s="8"/>
    </row>
    <row r="358" spans="13:13" x14ac:dyDescent="0.25">
      <c r="M358" s="8"/>
    </row>
    <row r="359" spans="13:13" x14ac:dyDescent="0.25">
      <c r="M359" s="8"/>
    </row>
    <row r="360" spans="13:13" x14ac:dyDescent="0.25">
      <c r="M360" s="8"/>
    </row>
    <row r="361" spans="13:13" x14ac:dyDescent="0.25">
      <c r="M361" s="8"/>
    </row>
    <row r="362" spans="13:13" x14ac:dyDescent="0.25">
      <c r="M362" s="8"/>
    </row>
    <row r="363" spans="13:13" x14ac:dyDescent="0.25">
      <c r="M363" s="8"/>
    </row>
    <row r="364" spans="13:13" x14ac:dyDescent="0.25">
      <c r="M364" s="8"/>
    </row>
    <row r="365" spans="13:13" x14ac:dyDescent="0.25">
      <c r="M365" s="8"/>
    </row>
    <row r="366" spans="13:13" x14ac:dyDescent="0.25">
      <c r="M366" s="8"/>
    </row>
    <row r="367" spans="13:13" x14ac:dyDescent="0.25">
      <c r="M367" s="8"/>
    </row>
    <row r="368" spans="13:13" x14ac:dyDescent="0.25">
      <c r="M368" s="8"/>
    </row>
    <row r="369" spans="13:13" x14ac:dyDescent="0.25">
      <c r="M369" s="8"/>
    </row>
    <row r="370" spans="13:13" x14ac:dyDescent="0.25">
      <c r="M370" s="8"/>
    </row>
    <row r="371" spans="13:13" x14ac:dyDescent="0.25">
      <c r="M371" s="8"/>
    </row>
    <row r="372" spans="13:13" x14ac:dyDescent="0.25">
      <c r="M372" s="8"/>
    </row>
    <row r="373" spans="13:13" x14ac:dyDescent="0.25">
      <c r="M373" s="8"/>
    </row>
    <row r="374" spans="13:13" x14ac:dyDescent="0.25">
      <c r="M374" s="8"/>
    </row>
    <row r="375" spans="13:13" x14ac:dyDescent="0.25">
      <c r="M375" s="8"/>
    </row>
    <row r="376" spans="13:13" x14ac:dyDescent="0.25">
      <c r="M376" s="8"/>
    </row>
    <row r="377" spans="13:13" x14ac:dyDescent="0.25">
      <c r="M377" s="8"/>
    </row>
    <row r="378" spans="13:13" x14ac:dyDescent="0.25">
      <c r="M378" s="8"/>
    </row>
    <row r="379" spans="13:13" x14ac:dyDescent="0.25">
      <c r="M379" s="8"/>
    </row>
    <row r="380" spans="13:13" x14ac:dyDescent="0.25">
      <c r="M380" s="8"/>
    </row>
    <row r="381" spans="13:13" x14ac:dyDescent="0.25">
      <c r="M381" s="8"/>
    </row>
    <row r="382" spans="13:13" x14ac:dyDescent="0.25">
      <c r="M382" s="8"/>
    </row>
    <row r="383" spans="13:13" x14ac:dyDescent="0.25">
      <c r="M383" s="8"/>
    </row>
    <row r="384" spans="13:13" x14ac:dyDescent="0.25">
      <c r="M384" s="8"/>
    </row>
    <row r="385" spans="13:13" x14ac:dyDescent="0.25">
      <c r="M385" s="8"/>
    </row>
    <row r="386" spans="13:13" x14ac:dyDescent="0.25">
      <c r="M386" s="8"/>
    </row>
    <row r="387" spans="13:13" x14ac:dyDescent="0.25">
      <c r="M387" s="8"/>
    </row>
    <row r="388" spans="13:13" x14ac:dyDescent="0.25">
      <c r="M388" s="8"/>
    </row>
    <row r="389" spans="13:13" x14ac:dyDescent="0.25">
      <c r="M389" s="8"/>
    </row>
    <row r="390" spans="13:13" x14ac:dyDescent="0.25">
      <c r="M390" s="8"/>
    </row>
    <row r="391" spans="13:13" x14ac:dyDescent="0.25">
      <c r="M391" s="8"/>
    </row>
    <row r="392" spans="13:13" x14ac:dyDescent="0.25">
      <c r="M392" s="8"/>
    </row>
    <row r="393" spans="13:13" x14ac:dyDescent="0.25">
      <c r="M393" s="8"/>
    </row>
    <row r="394" spans="13:13" x14ac:dyDescent="0.25">
      <c r="M394" s="8"/>
    </row>
    <row r="395" spans="13:13" x14ac:dyDescent="0.25">
      <c r="M395" s="8"/>
    </row>
    <row r="396" spans="13:13" x14ac:dyDescent="0.25">
      <c r="M396" s="8"/>
    </row>
    <row r="397" spans="13:13" x14ac:dyDescent="0.25">
      <c r="M397" s="8"/>
    </row>
    <row r="398" spans="13:13" x14ac:dyDescent="0.25">
      <c r="M398" s="8"/>
    </row>
    <row r="399" spans="13:13" x14ac:dyDescent="0.25">
      <c r="M399" s="8"/>
    </row>
    <row r="400" spans="13:13" x14ac:dyDescent="0.25">
      <c r="M400" s="8"/>
    </row>
    <row r="401" spans="13:13" x14ac:dyDescent="0.25">
      <c r="M401" s="8"/>
    </row>
    <row r="402" spans="13:13" x14ac:dyDescent="0.25">
      <c r="M402" s="8"/>
    </row>
    <row r="403" spans="13:13" x14ac:dyDescent="0.25">
      <c r="M403" s="8"/>
    </row>
    <row r="404" spans="13:13" x14ac:dyDescent="0.25">
      <c r="M404" s="8"/>
    </row>
    <row r="405" spans="13:13" x14ac:dyDescent="0.25">
      <c r="M405" s="8"/>
    </row>
    <row r="406" spans="13:13" x14ac:dyDescent="0.25">
      <c r="M406" s="8"/>
    </row>
    <row r="407" spans="13:13" x14ac:dyDescent="0.25">
      <c r="M407" s="8"/>
    </row>
    <row r="408" spans="13:13" x14ac:dyDescent="0.25">
      <c r="M408" s="8"/>
    </row>
    <row r="409" spans="13:13" x14ac:dyDescent="0.25">
      <c r="M409" s="8"/>
    </row>
    <row r="410" spans="13:13" x14ac:dyDescent="0.25">
      <c r="M410" s="8"/>
    </row>
    <row r="411" spans="13:13" x14ac:dyDescent="0.25">
      <c r="M411" s="8"/>
    </row>
    <row r="412" spans="13:13" x14ac:dyDescent="0.25">
      <c r="M412" s="8"/>
    </row>
    <row r="413" spans="13:13" x14ac:dyDescent="0.25">
      <c r="M413" s="8"/>
    </row>
    <row r="414" spans="13:13" x14ac:dyDescent="0.25">
      <c r="M414" s="8"/>
    </row>
    <row r="415" spans="13:13" x14ac:dyDescent="0.25">
      <c r="M415" s="8"/>
    </row>
    <row r="416" spans="13:13" x14ac:dyDescent="0.25">
      <c r="M416" s="8"/>
    </row>
    <row r="417" spans="13:13" x14ac:dyDescent="0.25">
      <c r="M417" s="8"/>
    </row>
    <row r="418" spans="13:13" x14ac:dyDescent="0.25">
      <c r="M418" s="8"/>
    </row>
    <row r="419" spans="13:13" x14ac:dyDescent="0.25">
      <c r="M419" s="8"/>
    </row>
    <row r="420" spans="13:13" x14ac:dyDescent="0.25">
      <c r="M420" s="8"/>
    </row>
    <row r="421" spans="13:13" x14ac:dyDescent="0.25">
      <c r="M421" s="8"/>
    </row>
    <row r="422" spans="13:13" x14ac:dyDescent="0.25">
      <c r="M422" s="8"/>
    </row>
    <row r="423" spans="13:13" x14ac:dyDescent="0.25">
      <c r="M423" s="8"/>
    </row>
    <row r="424" spans="13:13" x14ac:dyDescent="0.25">
      <c r="M424" s="8"/>
    </row>
    <row r="425" spans="13:13" x14ac:dyDescent="0.25">
      <c r="M425" s="8"/>
    </row>
    <row r="426" spans="13:13" x14ac:dyDescent="0.25">
      <c r="M426" s="8"/>
    </row>
    <row r="427" spans="13:13" x14ac:dyDescent="0.25">
      <c r="M427" s="8"/>
    </row>
    <row r="428" spans="13:13" x14ac:dyDescent="0.25">
      <c r="M428" s="8"/>
    </row>
    <row r="429" spans="13:13" x14ac:dyDescent="0.25">
      <c r="M429" s="8"/>
    </row>
    <row r="430" spans="13:13" x14ac:dyDescent="0.25">
      <c r="M430" s="8"/>
    </row>
    <row r="431" spans="13:13" x14ac:dyDescent="0.25">
      <c r="M431" s="8"/>
    </row>
    <row r="432" spans="13:13" x14ac:dyDescent="0.25">
      <c r="M432" s="8"/>
    </row>
    <row r="433" spans="13:13" x14ac:dyDescent="0.25">
      <c r="M433" s="8"/>
    </row>
    <row r="434" spans="13:13" x14ac:dyDescent="0.25">
      <c r="M434" s="8"/>
    </row>
    <row r="435" spans="13:13" x14ac:dyDescent="0.25">
      <c r="M435" s="8"/>
    </row>
    <row r="436" spans="13:13" x14ac:dyDescent="0.25">
      <c r="M436" s="8"/>
    </row>
    <row r="437" spans="13:13" x14ac:dyDescent="0.25">
      <c r="M437" s="8"/>
    </row>
    <row r="438" spans="13:13" x14ac:dyDescent="0.25">
      <c r="M438" s="8"/>
    </row>
    <row r="439" spans="13:13" x14ac:dyDescent="0.25">
      <c r="M439" s="8"/>
    </row>
    <row r="440" spans="13:13" x14ac:dyDescent="0.25">
      <c r="M440" s="8"/>
    </row>
    <row r="441" spans="13:13" x14ac:dyDescent="0.25">
      <c r="M441" s="8"/>
    </row>
    <row r="442" spans="13:13" x14ac:dyDescent="0.25">
      <c r="M442" s="8"/>
    </row>
    <row r="443" spans="13:13" x14ac:dyDescent="0.25">
      <c r="M443" s="8"/>
    </row>
    <row r="444" spans="13:13" x14ac:dyDescent="0.25">
      <c r="M444" s="8"/>
    </row>
    <row r="445" spans="13:13" x14ac:dyDescent="0.25">
      <c r="M445" s="8"/>
    </row>
    <row r="446" spans="13:13" x14ac:dyDescent="0.25">
      <c r="M446" s="8"/>
    </row>
    <row r="447" spans="13:13" x14ac:dyDescent="0.25">
      <c r="M447" s="8"/>
    </row>
    <row r="448" spans="13:13" x14ac:dyDescent="0.25">
      <c r="M448" s="8"/>
    </row>
    <row r="449" spans="13:13" x14ac:dyDescent="0.25">
      <c r="M449" s="8"/>
    </row>
    <row r="450" spans="13:13" x14ac:dyDescent="0.25">
      <c r="M450" s="8"/>
    </row>
    <row r="451" spans="13:13" x14ac:dyDescent="0.25">
      <c r="M451" s="8"/>
    </row>
    <row r="452" spans="13:13" x14ac:dyDescent="0.25">
      <c r="M452" s="8"/>
    </row>
  </sheetData>
  <pageMargins left="0.7" right="0.7" top="0.75" bottom="0.75" header="0.3" footer="0.3"/>
  <pageSetup paperSize="9" orientation="portrait" r:id="rId1"/>
  <tableParts count="11">
    <tablePart r:id="rId2"/>
    <tablePart r:id="rId3"/>
    <tablePart r:id="rId4"/>
    <tablePart r:id="rId5"/>
    <tablePart r:id="rId6"/>
    <tablePart r:id="rId7"/>
    <tablePart r:id="rId8"/>
    <tablePart r:id="rId9"/>
    <tablePart r:id="rId10"/>
    <tablePart r:id="rId11"/>
    <tablePart r:id="rId1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1FC222-496E-45C5-BEA4-AE3CDAFBCDBA}">
  <dimension ref="A1:W452"/>
  <sheetViews>
    <sheetView showGridLines="0" topLeftCell="A116" zoomScale="85" zoomScaleNormal="85" workbookViewId="0">
      <selection activeCell="D130" sqref="D130"/>
    </sheetView>
  </sheetViews>
  <sheetFormatPr defaultRowHeight="15.75" x14ac:dyDescent="0.25"/>
  <cols>
    <col min="1" max="1" width="26.875" style="3" customWidth="1"/>
    <col min="2" max="2" width="4.125" style="3" customWidth="1"/>
    <col min="3" max="3" width="4.125" style="8" customWidth="1"/>
    <col min="4" max="5" width="26.875" style="8" customWidth="1"/>
    <col min="6" max="6" width="27.25" style="8" customWidth="1"/>
    <col min="7" max="7" width="28.5" style="8" customWidth="1"/>
    <col min="8" max="12" width="26.875" style="8" customWidth="1"/>
    <col min="13" max="13" width="26.875" style="3" customWidth="1"/>
    <col min="14" max="20" width="26.875" style="8" customWidth="1"/>
    <col min="21" max="21" width="4.125" style="8" customWidth="1"/>
    <col min="22" max="16384" width="9" style="3"/>
  </cols>
  <sheetData>
    <row r="1" spans="1:21" s="1" customFormat="1" ht="30" customHeight="1" x14ac:dyDescent="0.35">
      <c r="A1" s="1" t="e" vm="1">
        <v>#VALUE!</v>
      </c>
      <c r="C1" s="1" t="s">
        <v>578</v>
      </c>
    </row>
    <row r="2" spans="1:21" s="2" customFormat="1" ht="20.100000000000001" customHeight="1" x14ac:dyDescent="0.25"/>
    <row r="3" spans="1:21" ht="20.100000000000001" customHeight="1" x14ac:dyDescent="0.25">
      <c r="A3" s="16" t="str">
        <f>HYPERLINK("#'Home'!A1", "Home")</f>
        <v>Home</v>
      </c>
      <c r="C3" s="5"/>
      <c r="D3" s="5"/>
      <c r="E3" s="5"/>
      <c r="F3" s="5"/>
      <c r="G3" s="5"/>
      <c r="H3" s="5"/>
      <c r="I3" s="5"/>
      <c r="J3" s="5"/>
      <c r="K3" s="5"/>
      <c r="L3" s="5"/>
      <c r="M3" s="5"/>
      <c r="N3" s="5"/>
      <c r="O3" s="5"/>
      <c r="P3" s="5"/>
      <c r="Q3" s="5"/>
      <c r="R3" s="5"/>
      <c r="S3" s="5"/>
      <c r="T3" s="5"/>
      <c r="U3" s="5"/>
    </row>
    <row r="4" spans="1:21" ht="20.100000000000001" customHeight="1" x14ac:dyDescent="0.25">
      <c r="A4" s="16" t="str">
        <f>HYPERLINK("#'Overview'!A1", "Overview")</f>
        <v>Overview</v>
      </c>
      <c r="M4" s="14"/>
    </row>
    <row r="5" spans="1:21" ht="20.100000000000001" customHeight="1" x14ac:dyDescent="0.25">
      <c r="A5" s="16" t="str">
        <f>HYPERLINK("#'Results'!A1", "Results")</f>
        <v>Results</v>
      </c>
      <c r="M5" s="8"/>
    </row>
    <row r="6" spans="1:21" ht="20.100000000000001" customHeight="1" x14ac:dyDescent="0.25">
      <c r="A6" s="18"/>
      <c r="D6" s="9" t="s">
        <v>579</v>
      </c>
      <c r="G6" s="9" t="s">
        <v>144</v>
      </c>
      <c r="M6" s="8"/>
    </row>
    <row r="7" spans="1:21" ht="20.100000000000001" customHeight="1" x14ac:dyDescent="0.25">
      <c r="A7" s="19" t="s">
        <v>67</v>
      </c>
      <c r="M7" s="8"/>
    </row>
    <row r="8" spans="1:21" ht="20.100000000000001" customHeight="1" x14ac:dyDescent="0.25">
      <c r="A8" s="16" t="str">
        <f>HYPERLINK("#'Input - Site'!A1", "Site")</f>
        <v>Site</v>
      </c>
      <c r="D8" s="10" t="s">
        <v>146</v>
      </c>
      <c r="G8" s="10" t="s">
        <v>43</v>
      </c>
      <c r="M8" s="8"/>
    </row>
    <row r="9" spans="1:21" ht="20.100000000000001" customHeight="1" x14ac:dyDescent="0.25">
      <c r="A9" s="16" t="str">
        <f>HYPERLINK("#'Input - Swine'!A1", "Swine")</f>
        <v>Swine</v>
      </c>
      <c r="D9" s="10" t="s">
        <v>148</v>
      </c>
      <c r="G9" s="10" t="s">
        <v>149</v>
      </c>
      <c r="M9" s="8"/>
    </row>
    <row r="10" spans="1:21" ht="20.100000000000001" customHeight="1" x14ac:dyDescent="0.25">
      <c r="A10" s="16"/>
      <c r="D10" s="8" t="s">
        <v>151</v>
      </c>
      <c r="G10" s="10" t="s">
        <v>153</v>
      </c>
      <c r="M10" s="8"/>
    </row>
    <row r="11" spans="1:21" ht="20.100000000000001" customHeight="1" x14ac:dyDescent="0.25">
      <c r="A11" s="20" t="s">
        <v>77</v>
      </c>
      <c r="G11" s="8" t="s">
        <v>156</v>
      </c>
      <c r="M11" s="8"/>
    </row>
    <row r="12" spans="1:21" ht="20.100000000000001" customHeight="1" x14ac:dyDescent="0.25">
      <c r="A12" s="16" t="str">
        <f>HYPERLINK("#'3.5.1.1-2 Enteric Methane'!A1", "3.5.1.1-2 Enteric Methane")</f>
        <v>3.5.1.1-2 Enteric Methane</v>
      </c>
      <c r="G12" s="8" t="s">
        <v>159</v>
      </c>
      <c r="M12" s="8"/>
    </row>
    <row r="13" spans="1:21" ht="20.100000000000001" customHeight="1" x14ac:dyDescent="0.25">
      <c r="G13" s="8" t="s">
        <v>161</v>
      </c>
      <c r="M13" s="8"/>
    </row>
    <row r="14" spans="1:21" ht="20.100000000000001" customHeight="1" x14ac:dyDescent="0.25">
      <c r="A14" s="21" t="s">
        <v>78</v>
      </c>
      <c r="D14" s="9" t="str" cm="1">
        <f t="array" ref="D14">SourceData_Swine.SourceData_Swine_FracLEACH_DrylotMMS_Title()</f>
        <v>Fraction of nitrogen lost through leaching and runoff for drylot MMS</v>
      </c>
      <c r="M14" s="8"/>
    </row>
    <row r="15" spans="1:21" ht="20.100000000000001" customHeight="1" x14ac:dyDescent="0.25">
      <c r="A15" s="22" t="str">
        <f>HYPERLINK("#'Constants - Swine'!A1", "Constants - Swine")</f>
        <v>Constants - Swine</v>
      </c>
      <c r="D15" s="11" t="str" cm="1">
        <f t="array" ref="D15">SourceData_Swine.SourceData_Swine_FracLEACH_DrylotMMS_Source()</f>
        <v>VEERG 2026: 4.5.2.3 CONSTANT</v>
      </c>
      <c r="M15" s="8"/>
    </row>
    <row r="16" spans="1:21" ht="20.100000000000001" customHeight="1" x14ac:dyDescent="0.25">
      <c r="A16" s="16" t="str">
        <f>HYPERLINK("#'Constants - Livestock'!A1", "Constants - Livestock")</f>
        <v>Constants - Livestock</v>
      </c>
      <c r="D16" s="12" t="str" cm="1">
        <f t="array" ref="D16">SourceData_Swine.SourceData_Swine_FracLEACH_DrylotMMS_Variation()</f>
        <v>VARIATION ON SOURCE: Text refers to 'solid storage' MMS, but equation refers to 'drylot' MMS.</v>
      </c>
      <c r="M16" s="8"/>
    </row>
    <row r="17" spans="1:13" ht="20.100000000000001" customHeight="1" x14ac:dyDescent="0.25">
      <c r="A17" s="16" t="str">
        <f>HYPERLINK("#'Constants - Common'!A1", "Constants - Common")</f>
        <v>Constants - Common</v>
      </c>
      <c r="D17" s="24" t="str" cm="1">
        <f t="array" ref="D17">SourceData_Swine.SourceData_Swine_FracLEACH_DrylotMMS_Variable()</f>
        <v>FracLEACH_MS</v>
      </c>
      <c r="E17" s="8" cm="1">
        <f t="array" ref="E17">SourceData_Swine.SourceData_Swine_FracLEACH_DrylotMMS_Data()</f>
        <v>0.02</v>
      </c>
      <c r="F17" s="13" t="str" cm="1">
        <f t="array" ref="F17">SourceData_Swine.SourceData_Swine_FracLEACH_DrylotMMS_Unit()</f>
        <v>fraction</v>
      </c>
      <c r="M17" s="8"/>
    </row>
    <row r="18" spans="1:13" ht="20.100000000000001" customHeight="1" x14ac:dyDescent="0.25">
      <c r="A18" s="16" t="str">
        <f>HYPERLINK("#'Acknowledgements'!A1", "Acknowledgements")</f>
        <v>Acknowledgements</v>
      </c>
      <c r="M18" s="8"/>
    </row>
    <row r="19" spans="1:13" ht="20.100000000000001" customHeight="1" x14ac:dyDescent="0.25">
      <c r="D19" s="9" t="str" cm="1">
        <f t="array" ref="D19">SourceData_Swine.SourceData_Swine_MethaneVolatileSolidsEmissionsPotential_Title()</f>
        <v>Emissions potential of methane per kilogram of volatile solids</v>
      </c>
      <c r="M19" s="8"/>
    </row>
    <row r="20" spans="1:13" ht="20.100000000000001" customHeight="1" x14ac:dyDescent="0.25">
      <c r="A20" s="16"/>
      <c r="D20" s="11" t="str" cm="1">
        <f t="array" ref="D20">SourceData_Swine.SourceData_Swine_MethaneVolatileSolidsEmissionsPotential_Source()</f>
        <v>IPCC (2019), Chapter 10 [4]</v>
      </c>
      <c r="M20" s="8"/>
    </row>
    <row r="21" spans="1:13" ht="20.100000000000001" customHeight="1" x14ac:dyDescent="0.25">
      <c r="D21" s="24" t="str" cm="1">
        <f t="array" ref="D21">SourceData_Swine.SourceData_Swine_MethaneVolatileSolidsEmissionsPotential_Variable()</f>
        <v>B0</v>
      </c>
      <c r="E21" s="8" cm="1">
        <f t="array" ref="E21">SourceData_Swine.SourceData_Swine_MethaneVolatileSolidsEmissionsPotential_Data()</f>
        <v>0.19</v>
      </c>
      <c r="F21" s="13" t="str" cm="1">
        <f t="array" ref="F21">SourceData_Swine.SourceData_Swine_MethaneVolatileSolidsEmissionsPotential_Unit()</f>
        <v>m3 CH4 / kg VS</v>
      </c>
      <c r="M21" s="8"/>
    </row>
    <row r="22" spans="1:13" ht="20.100000000000001" customHeight="1" x14ac:dyDescent="0.25">
      <c r="M22" s="8"/>
    </row>
    <row r="23" spans="1:13" ht="20.100000000000001" customHeight="1" x14ac:dyDescent="0.25">
      <c r="M23" s="8"/>
    </row>
    <row r="24" spans="1:13" ht="20.100000000000001" customHeight="1" x14ac:dyDescent="0.25">
      <c r="D24" s="9" t="str" cm="1">
        <f t="array" ref="D24">SourceData_Swine.SourceData_Swine_MMS_MCFs_Title()</f>
        <v>Methane conversion factor for temperature zone and manure management system.</v>
      </c>
      <c r="H24" s="158" t="s">
        <v>580</v>
      </c>
      <c r="M24" s="8"/>
    </row>
    <row r="25" spans="1:13" ht="20.100000000000001" customHeight="1" x14ac:dyDescent="0.25">
      <c r="D25" s="11" t="str" cm="1">
        <f t="array" ref="D25">SourceData_Swine.SourceData_Swine_MMS_MCFs_Source()</f>
        <v>VEERG 2026: Table A.1.6.4: Swine - MCFs (MCFim)</v>
      </c>
      <c r="H25" s="158" t="s">
        <v>581</v>
      </c>
      <c r="M25" s="8"/>
    </row>
    <row r="26" spans="1:13" ht="20.100000000000001" customHeight="1" x14ac:dyDescent="0.25">
      <c r="D26" s="12" t="str" cm="1">
        <f t="array" ref="D26">SourceData_Swine.SourceData_Swine_MMS_MCFs_Variation()</f>
        <v>VARIATION ON SOURCE DATA: Added columns for ACT, split QLD and NT. Added extra column with MMS names that match NIR definitions</v>
      </c>
      <c r="M26" s="8"/>
    </row>
    <row r="27" spans="1:13" ht="20.100000000000001" customHeight="1" x14ac:dyDescent="0.25">
      <c r="M27" s="8"/>
    </row>
    <row r="28" spans="1:13" ht="20.100000000000001" customHeight="1" x14ac:dyDescent="0.25">
      <c r="D28" s="10" t="s">
        <v>556</v>
      </c>
      <c r="E28" s="10" t="s">
        <v>362</v>
      </c>
      <c r="F28" s="10" t="s">
        <v>338</v>
      </c>
      <c r="G28" s="10" t="s">
        <v>363</v>
      </c>
      <c r="H28" s="10" t="s">
        <v>465</v>
      </c>
      <c r="I28" s="10" t="s">
        <v>423</v>
      </c>
      <c r="J28" s="10" t="s">
        <v>419</v>
      </c>
      <c r="K28" s="10" t="s">
        <v>368</v>
      </c>
      <c r="L28" s="10" t="s">
        <v>369</v>
      </c>
      <c r="M28" s="10" t="s">
        <v>582</v>
      </c>
    </row>
    <row r="29" spans="1:13" ht="20.100000000000001" customHeight="1" x14ac:dyDescent="0.25">
      <c r="D29" s="10" t="str" cm="1">
        <f t="array" ref="D29">Common_InputFunctions.Utility_DisplayArrayInTable(SourceData_Swine.SourceData_Swine_MMS_MCFs_Data(),Table_SourceData_Swine_MMSMCF[[#Headers],[MMS]],0)</f>
        <v>Outdoor (Dry lot)</v>
      </c>
      <c r="E29" s="10" cm="1">
        <f t="array" ref="E29">Common_InputFunctions.Utility_DisplayArrayInTable(SourceData_Swine.SourceData_Swine_MMS_MCFs_Data(),Table_SourceData_Swine_MMSMCF[[#Headers],[MMS]],0)</f>
        <v>0.01</v>
      </c>
      <c r="F29" s="10" cm="1">
        <f t="array" ref="F29">Common_InputFunctions.Utility_DisplayArrayInTable(SourceData_Swine.SourceData_Swine_MMS_MCFs_Data(),Table_SourceData_Swine_MMSMCF[[#Headers],[MMS]],0)</f>
        <v>0.01</v>
      </c>
      <c r="G29" s="10" cm="1">
        <f t="array" ref="G29">Common_InputFunctions.Utility_DisplayArrayInTable(SourceData_Swine.SourceData_Swine_MMS_MCFs_Data(),Table_SourceData_Swine_MMSMCF[[#Headers],[MMS]],0)</f>
        <v>0.03</v>
      </c>
      <c r="H29" s="10" cm="1">
        <f t="array" ref="H29">Common_InputFunctions.Utility_DisplayArrayInTable(SourceData_Swine.SourceData_Swine_MMS_MCFs_Data(),Table_SourceData_Swine_MMSMCF[[#Headers],[MMS]],0)</f>
        <v>0.03</v>
      </c>
      <c r="I29" s="10" cm="1">
        <f t="array" ref="I29">Common_InputFunctions.Utility_DisplayArrayInTable(SourceData_Swine.SourceData_Swine_MMS_MCFs_Data(),Table_SourceData_Swine_MMSMCF[[#Headers],[MMS]],0)</f>
        <v>0.01</v>
      </c>
      <c r="J29" s="10" cm="1">
        <f t="array" ref="J29">Common_InputFunctions.Utility_DisplayArrayInTable(SourceData_Swine.SourceData_Swine_MMS_MCFs_Data(),Table_SourceData_Swine_MMSMCF[[#Headers],[MMS]],0)</f>
        <v>0.01</v>
      </c>
      <c r="K29" s="10" cm="1">
        <f t="array" ref="K29">Common_InputFunctions.Utility_DisplayArrayInTable(SourceData_Swine.SourceData_Swine_MMS_MCFs_Data(),Table_SourceData_Swine_MMSMCF[[#Headers],[MMS]],0)</f>
        <v>0.01</v>
      </c>
      <c r="L29" s="10" cm="1">
        <f t="array" ref="L29">Common_InputFunctions.Utility_DisplayArrayInTable(SourceData_Swine.SourceData_Swine_MMS_MCFs_Data(),Table_SourceData_Swine_MMSMCF[[#Headers],[MMS]],0)</f>
        <v>0.01</v>
      </c>
      <c r="M29" s="10" t="str" cm="1">
        <f t="array" ref="M29">Common_InputFunctions.Utility_DisplayArrayInTable(SourceData_Swine.SourceData_Swine_MMS_MCFs_Data(),Table_SourceData_Swine_MMSMCF[[#Headers],[MMS]],0)</f>
        <v>Drylot (feed pad)</v>
      </c>
    </row>
    <row r="30" spans="1:13" ht="20.100000000000001" customHeight="1" x14ac:dyDescent="0.25">
      <c r="D30" s="8" t="str" cm="1">
        <f t="array" ref="D30">Common_InputFunctions.Utility_DisplayArrayInTable(SourceData_Swine.SourceData_Swine_MMS_MCFs_Data(),Table_SourceData_Swine_MMSMCF[[#Headers],[MMS]],0)</f>
        <v>Deep litter</v>
      </c>
      <c r="E30" s="10" cm="1">
        <f t="array" ref="E30">Common_InputFunctions.Utility_DisplayArrayInTable(SourceData_Swine.SourceData_Swine_MMS_MCFs_Data(),Table_SourceData_Swine_MMSMCF[[#Headers],[MMS]],0)</f>
        <v>0.04</v>
      </c>
      <c r="F30" s="10" cm="1">
        <f t="array" ref="F30">Common_InputFunctions.Utility_DisplayArrayInTable(SourceData_Swine.SourceData_Swine_MMS_MCFs_Data(),Table_SourceData_Swine_MMSMCF[[#Headers],[MMS]],0)</f>
        <v>0.04</v>
      </c>
      <c r="G30" s="10" cm="1">
        <f t="array" ref="G30">Common_InputFunctions.Utility_DisplayArrayInTable(SourceData_Swine.SourceData_Swine_MMS_MCFs_Data(),Table_SourceData_Swine_MMSMCF[[#Headers],[MMS]],0)</f>
        <v>0.04</v>
      </c>
      <c r="H30" s="10" cm="1">
        <f t="array" ref="H30">Common_InputFunctions.Utility_DisplayArrayInTable(SourceData_Swine.SourceData_Swine_MMS_MCFs_Data(),Table_SourceData_Swine_MMSMCF[[#Headers],[MMS]],0)</f>
        <v>0.04</v>
      </c>
      <c r="I30" s="10" cm="1">
        <f t="array" ref="I30">Common_InputFunctions.Utility_DisplayArrayInTable(SourceData_Swine.SourceData_Swine_MMS_MCFs_Data(),Table_SourceData_Swine_MMSMCF[[#Headers],[MMS]],0)</f>
        <v>0.04</v>
      </c>
      <c r="J30" s="10" cm="1">
        <f t="array" ref="J30">Common_InputFunctions.Utility_DisplayArrayInTable(SourceData_Swine.SourceData_Swine_MMS_MCFs_Data(),Table_SourceData_Swine_MMSMCF[[#Headers],[MMS]],0)</f>
        <v>0.04</v>
      </c>
      <c r="K30" s="10" cm="1">
        <f t="array" ref="K30">Common_InputFunctions.Utility_DisplayArrayInTable(SourceData_Swine.SourceData_Swine_MMS_MCFs_Data(),Table_SourceData_Swine_MMSMCF[[#Headers],[MMS]],0)</f>
        <v>0.04</v>
      </c>
      <c r="L30" s="10" cm="1">
        <f t="array" ref="L30">Common_InputFunctions.Utility_DisplayArrayInTable(SourceData_Swine.SourceData_Swine_MMS_MCFs_Data(),Table_SourceData_Swine_MMSMCF[[#Headers],[MMS]],0)</f>
        <v>0.04</v>
      </c>
      <c r="M30" s="10" t="str" cm="1">
        <f t="array" ref="M30">Common_InputFunctions.Utility_DisplayArrayInTable(SourceData_Swine.SourceData_Swine_MMS_MCFs_Data(),Table_SourceData_Swine_MMSMCF[[#Headers],[MMS]],0)</f>
        <v>Deep litter</v>
      </c>
    </row>
    <row r="31" spans="1:13" ht="20.100000000000001" customHeight="1" x14ac:dyDescent="0.25">
      <c r="D31" s="8" t="str" cm="1">
        <f t="array" ref="D31">Common_InputFunctions.Utility_DisplayArrayInTable(SourceData_Swine.SourceData_Swine_MMS_MCFs_Data(),Table_SourceData_Swine_MMSMCF[[#Headers],[MMS]],0)</f>
        <v>Stockpile (Solid storage)</v>
      </c>
      <c r="E31" s="10" cm="1">
        <f t="array" ref="E31">Common_InputFunctions.Utility_DisplayArrayInTable(SourceData_Swine.SourceData_Swine_MMS_MCFs_Data(),Table_SourceData_Swine_MMSMCF[[#Headers],[MMS]],0)</f>
        <v>0.02</v>
      </c>
      <c r="F31" s="10" cm="1">
        <f t="array" ref="F31">Common_InputFunctions.Utility_DisplayArrayInTable(SourceData_Swine.SourceData_Swine_MMS_MCFs_Data(),Table_SourceData_Swine_MMSMCF[[#Headers],[MMS]],0)</f>
        <v>0.02</v>
      </c>
      <c r="G31" s="10" cm="1">
        <f t="array" ref="G31">Common_InputFunctions.Utility_DisplayArrayInTable(SourceData_Swine.SourceData_Swine_MMS_MCFs_Data(),Table_SourceData_Swine_MMSMCF[[#Headers],[MMS]],0)</f>
        <v>0.02</v>
      </c>
      <c r="H31" s="10" cm="1">
        <f t="array" ref="H31">Common_InputFunctions.Utility_DisplayArrayInTable(SourceData_Swine.SourceData_Swine_MMS_MCFs_Data(),Table_SourceData_Swine_MMSMCF[[#Headers],[MMS]],0)</f>
        <v>0.02</v>
      </c>
      <c r="I31" s="10" cm="1">
        <f t="array" ref="I31">Common_InputFunctions.Utility_DisplayArrayInTable(SourceData_Swine.SourceData_Swine_MMS_MCFs_Data(),Table_SourceData_Swine_MMSMCF[[#Headers],[MMS]],0)</f>
        <v>0.02</v>
      </c>
      <c r="J31" s="10" cm="1">
        <f t="array" ref="J31">Common_InputFunctions.Utility_DisplayArrayInTable(SourceData_Swine.SourceData_Swine_MMS_MCFs_Data(),Table_SourceData_Swine_MMSMCF[[#Headers],[MMS]],0)</f>
        <v>0.02</v>
      </c>
      <c r="K31" s="10" cm="1">
        <f t="array" ref="K31">Common_InputFunctions.Utility_DisplayArrayInTable(SourceData_Swine.SourceData_Swine_MMS_MCFs_Data(),Table_SourceData_Swine_MMSMCF[[#Headers],[MMS]],0)</f>
        <v>0.02</v>
      </c>
      <c r="L31" s="10" cm="1">
        <f t="array" ref="L31">Common_InputFunctions.Utility_DisplayArrayInTable(SourceData_Swine.SourceData_Swine_MMS_MCFs_Data(),Table_SourceData_Swine_MMSMCF[[#Headers],[MMS]],0)</f>
        <v>0.02</v>
      </c>
      <c r="M31" s="10" t="str" cm="1">
        <f t="array" ref="M31">Common_InputFunctions.Utility_DisplayArrayInTable(SourceData_Swine.SourceData_Swine_MMS_MCFs_Data(),Table_SourceData_Swine_MMSMCF[[#Headers],[MMS]],0)</f>
        <v>Solid storage</v>
      </c>
    </row>
    <row r="32" spans="1:13" ht="20.100000000000001" customHeight="1" x14ac:dyDescent="0.25">
      <c r="D32" s="8" t="str" cm="1">
        <f t="array" ref="D32">Common_InputFunctions.Utility_DisplayArrayInTable(SourceData_Swine.SourceData_Swine_MMS_MCFs_Data(),Table_SourceData_Swine_MMSMCF[[#Headers],[MMS]],0)</f>
        <v>Effluent pond (Uncovered anaerobic lagoon)</v>
      </c>
      <c r="E32" s="10" cm="1">
        <f t="array" ref="E32">Common_InputFunctions.Utility_DisplayArrayInTable(SourceData_Swine.SourceData_Swine_MMS_MCFs_Data(),Table_SourceData_Swine_MMSMCF[[#Headers],[MMS]],0)</f>
        <v>0.75</v>
      </c>
      <c r="F32" s="10" cm="1">
        <f t="array" ref="F32">Common_InputFunctions.Utility_DisplayArrayInTable(SourceData_Swine.SourceData_Swine_MMS_MCFs_Data(),Table_SourceData_Swine_MMSMCF[[#Headers],[MMS]],0)</f>
        <v>0.75</v>
      </c>
      <c r="G32" s="10" cm="1">
        <f t="array" ref="G32">Common_InputFunctions.Utility_DisplayArrayInTable(SourceData_Swine.SourceData_Swine_MMS_MCFs_Data(),Table_SourceData_Swine_MMSMCF[[#Headers],[MMS]],0)</f>
        <v>0.78</v>
      </c>
      <c r="H32" s="10" cm="1">
        <f t="array" ref="H32">Common_InputFunctions.Utility_DisplayArrayInTable(SourceData_Swine.SourceData_Swine_MMS_MCFs_Data(),Table_SourceData_Swine_MMSMCF[[#Headers],[MMS]],0)</f>
        <v>0.78</v>
      </c>
      <c r="I32" s="10" cm="1">
        <f t="array" ref="I32">Common_InputFunctions.Utility_DisplayArrayInTable(SourceData_Swine.SourceData_Swine_MMS_MCFs_Data(),Table_SourceData_Swine_MMSMCF[[#Headers],[MMS]],0)</f>
        <v>0.75</v>
      </c>
      <c r="J32" s="10" cm="1">
        <f t="array" ref="J32">Common_InputFunctions.Utility_DisplayArrayInTable(SourceData_Swine.SourceData_Swine_MMS_MCFs_Data(),Table_SourceData_Swine_MMSMCF[[#Headers],[MMS]],0)</f>
        <v>0.7</v>
      </c>
      <c r="K32" s="10" cm="1">
        <f t="array" ref="K32">Common_InputFunctions.Utility_DisplayArrayInTable(SourceData_Swine.SourceData_Swine_MMS_MCFs_Data(),Table_SourceData_Swine_MMSMCF[[#Headers],[MMS]],0)</f>
        <v>0.74</v>
      </c>
      <c r="L32" s="10" cm="1">
        <f t="array" ref="L32">Common_InputFunctions.Utility_DisplayArrayInTable(SourceData_Swine.SourceData_Swine_MMS_MCFs_Data(),Table_SourceData_Swine_MMSMCF[[#Headers],[MMS]],0)</f>
        <v>0.76</v>
      </c>
      <c r="M32" s="10" t="str" cm="1">
        <f t="array" ref="M32">Common_InputFunctions.Utility_DisplayArrayInTable(SourceData_Swine.SourceData_Swine_MMS_MCFs_Data(),Table_SourceData_Swine_MMSMCF[[#Headers],[MMS]],0)</f>
        <v>Anaerobic lagoon</v>
      </c>
    </row>
    <row r="33" spans="4:13" ht="20.100000000000001" customHeight="1" x14ac:dyDescent="0.25">
      <c r="D33" s="8" t="str" cm="1">
        <f t="array" ref="D33">Common_InputFunctions.Utility_DisplayArrayInTable(SourceData_Swine.SourceData_Swine_MMS_MCFs_Data(),Table_SourceData_Swine_MMSMCF[[#Headers],[MMS]],0)</f>
        <v>Anaerobic digester / Covered lagoon</v>
      </c>
      <c r="E33" s="10" cm="1">
        <f t="array" ref="E33">Common_InputFunctions.Utility_DisplayArrayInTable(SourceData_Swine.SourceData_Swine_MMS_MCFs_Data(),Table_SourceData_Swine_MMSMCF[[#Headers],[MMS]],0)</f>
        <v>0.1</v>
      </c>
      <c r="F33" s="10" cm="1">
        <f t="array" ref="F33">Common_InputFunctions.Utility_DisplayArrayInTable(SourceData_Swine.SourceData_Swine_MMS_MCFs_Data(),Table_SourceData_Swine_MMSMCF[[#Headers],[MMS]],0)</f>
        <v>0.1</v>
      </c>
      <c r="G33" s="10" cm="1">
        <f t="array" ref="G33">Common_InputFunctions.Utility_DisplayArrayInTable(SourceData_Swine.SourceData_Swine_MMS_MCFs_Data(),Table_SourceData_Swine_MMSMCF[[#Headers],[MMS]],0)</f>
        <v>0.1</v>
      </c>
      <c r="H33" s="10" cm="1">
        <f t="array" ref="H33">Common_InputFunctions.Utility_DisplayArrayInTable(SourceData_Swine.SourceData_Swine_MMS_MCFs_Data(),Table_SourceData_Swine_MMSMCF[[#Headers],[MMS]],0)</f>
        <v>0.1</v>
      </c>
      <c r="I33" s="10" cm="1">
        <f t="array" ref="I33">Common_InputFunctions.Utility_DisplayArrayInTable(SourceData_Swine.SourceData_Swine_MMS_MCFs_Data(),Table_SourceData_Swine_MMSMCF[[#Headers],[MMS]],0)</f>
        <v>0.1</v>
      </c>
      <c r="J33" s="10" cm="1">
        <f t="array" ref="J33">Common_InputFunctions.Utility_DisplayArrayInTable(SourceData_Swine.SourceData_Swine_MMS_MCFs_Data(),Table_SourceData_Swine_MMSMCF[[#Headers],[MMS]],0)</f>
        <v>0.1</v>
      </c>
      <c r="K33" s="10" cm="1">
        <f t="array" ref="K33">Common_InputFunctions.Utility_DisplayArrayInTable(SourceData_Swine.SourceData_Swine_MMS_MCFs_Data(),Table_SourceData_Swine_MMSMCF[[#Headers],[MMS]],0)</f>
        <v>0.1</v>
      </c>
      <c r="L33" s="10" cm="1">
        <f t="array" ref="L33">Common_InputFunctions.Utility_DisplayArrayInTable(SourceData_Swine.SourceData_Swine_MMS_MCFs_Data(),Table_SourceData_Swine_MMSMCF[[#Headers],[MMS]],0)</f>
        <v>0.1</v>
      </c>
      <c r="M33" s="10" t="str" cm="1">
        <f t="array" ref="M33">Common_InputFunctions.Utility_DisplayArrayInTable(SourceData_Swine.SourceData_Swine_MMS_MCFs_Data(),Table_SourceData_Swine_MMSMCF[[#Headers],[MMS]],0)</f>
        <v>Digester / covered lagoons</v>
      </c>
    </row>
    <row r="34" spans="4:13" ht="20.100000000000001" customHeight="1" x14ac:dyDescent="0.25">
      <c r="D34" s="8" t="str" cm="1">
        <f t="array" ref="D34">Common_InputFunctions.Utility_DisplayArrayInTable(SourceData_Swine.SourceData_Swine_MMS_MCFs_Data(),Table_SourceData_Swine_MMSMCF[[#Headers],[MMS]],0)</f>
        <v>Short HRT tank storage &lt; 1 month (pit storage)</v>
      </c>
      <c r="E34" s="10" cm="1">
        <f t="array" ref="E34">Common_InputFunctions.Utility_DisplayArrayInTable(SourceData_Swine.SourceData_Swine_MMS_MCFs_Data(),Table_SourceData_Swine_MMSMCF[[#Headers],[MMS]],0)</f>
        <v>0.03</v>
      </c>
      <c r="F34" s="10" cm="1">
        <f t="array" ref="F34">Common_InputFunctions.Utility_DisplayArrayInTable(SourceData_Swine.SourceData_Swine_MMS_MCFs_Data(),Table_SourceData_Swine_MMSMCF[[#Headers],[MMS]],0)</f>
        <v>0.03</v>
      </c>
      <c r="G34" s="10" cm="1">
        <f t="array" ref="G34">Common_InputFunctions.Utility_DisplayArrayInTable(SourceData_Swine.SourceData_Swine_MMS_MCFs_Data(),Table_SourceData_Swine_MMSMCF[[#Headers],[MMS]],0)</f>
        <v>0.03</v>
      </c>
      <c r="H34" s="10" cm="1">
        <f t="array" ref="H34">Common_InputFunctions.Utility_DisplayArrayInTable(SourceData_Swine.SourceData_Swine_MMS_MCFs_Data(),Table_SourceData_Swine_MMSMCF[[#Headers],[MMS]],0)</f>
        <v>0.03</v>
      </c>
      <c r="I34" s="10" cm="1">
        <f t="array" ref="I34">Common_InputFunctions.Utility_DisplayArrayInTable(SourceData_Swine.SourceData_Swine_MMS_MCFs_Data(),Table_SourceData_Swine_MMSMCF[[#Headers],[MMS]],0)</f>
        <v>0.03</v>
      </c>
      <c r="J34" s="10" cm="1">
        <f t="array" ref="J34">Common_InputFunctions.Utility_DisplayArrayInTable(SourceData_Swine.SourceData_Swine_MMS_MCFs_Data(),Table_SourceData_Swine_MMSMCF[[#Headers],[MMS]],0)</f>
        <v>0.03</v>
      </c>
      <c r="K34" s="10" cm="1">
        <f t="array" ref="K34">Common_InputFunctions.Utility_DisplayArrayInTable(SourceData_Swine.SourceData_Swine_MMS_MCFs_Data(),Table_SourceData_Swine_MMSMCF[[#Headers],[MMS]],0)</f>
        <v>0.03</v>
      </c>
      <c r="L34" s="10" cm="1">
        <f t="array" ref="L34">Common_InputFunctions.Utility_DisplayArrayInTable(SourceData_Swine.SourceData_Swine_MMS_MCFs_Data(),Table_SourceData_Swine_MMSMCF[[#Headers],[MMS]],0)</f>
        <v>0.03</v>
      </c>
      <c r="M34" s="10" t="str" cm="1">
        <f t="array" ref="M34">Common_InputFunctions.Utility_DisplayArrayInTable(SourceData_Swine.SourceData_Swine_MMS_MCFs_Data(),Table_SourceData_Swine_MMSMCF[[#Headers],[MMS]],0)</f>
        <v>Pit storage</v>
      </c>
    </row>
    <row r="35" spans="4:13" ht="20.100000000000001" customHeight="1" x14ac:dyDescent="0.25">
      <c r="D35" s="8" t="str" cm="1">
        <f t="array" ref="D35">Common_InputFunctions.Utility_DisplayArrayInTable(SourceData_Swine.SourceData_Swine_MMS_MCFs_Data(),Table_SourceData_Swine_MMSMCF[[#Headers],[MMS]],0)</f>
        <v>Direct Application to soil</v>
      </c>
      <c r="E35" s="10" cm="1">
        <f t="array" ref="E35">Common_InputFunctions.Utility_DisplayArrayInTable(SourceData_Swine.SourceData_Swine_MMS_MCFs_Data(),Table_SourceData_Swine_MMSMCF[[#Headers],[MMS]],0)</f>
        <v>0</v>
      </c>
      <c r="F35" s="10" cm="1">
        <f t="array" ref="F35">Common_InputFunctions.Utility_DisplayArrayInTable(SourceData_Swine.SourceData_Swine_MMS_MCFs_Data(),Table_SourceData_Swine_MMSMCF[[#Headers],[MMS]],0)</f>
        <v>0</v>
      </c>
      <c r="G35" s="10" cm="1">
        <f t="array" ref="G35">Common_InputFunctions.Utility_DisplayArrayInTable(SourceData_Swine.SourceData_Swine_MMS_MCFs_Data(),Table_SourceData_Swine_MMSMCF[[#Headers],[MMS]],0)</f>
        <v>0</v>
      </c>
      <c r="H35" s="10" cm="1">
        <f t="array" ref="H35">Common_InputFunctions.Utility_DisplayArrayInTable(SourceData_Swine.SourceData_Swine_MMS_MCFs_Data(),Table_SourceData_Swine_MMSMCF[[#Headers],[MMS]],0)</f>
        <v>0</v>
      </c>
      <c r="I35" s="10" cm="1">
        <f t="array" ref="I35">Common_InputFunctions.Utility_DisplayArrayInTable(SourceData_Swine.SourceData_Swine_MMS_MCFs_Data(),Table_SourceData_Swine_MMSMCF[[#Headers],[MMS]],0)</f>
        <v>0</v>
      </c>
      <c r="J35" s="10" cm="1">
        <f t="array" ref="J35">Common_InputFunctions.Utility_DisplayArrayInTable(SourceData_Swine.SourceData_Swine_MMS_MCFs_Data(),Table_SourceData_Swine_MMSMCF[[#Headers],[MMS]],0)</f>
        <v>0</v>
      </c>
      <c r="K35" s="10" cm="1">
        <f t="array" ref="K35">Common_InputFunctions.Utility_DisplayArrayInTable(SourceData_Swine.SourceData_Swine_MMS_MCFs_Data(),Table_SourceData_Swine_MMSMCF[[#Headers],[MMS]],0)</f>
        <v>0</v>
      </c>
      <c r="L35" s="10" cm="1">
        <f t="array" ref="L35">Common_InputFunctions.Utility_DisplayArrayInTable(SourceData_Swine.SourceData_Swine_MMS_MCFs_Data(),Table_SourceData_Swine_MMSMCF[[#Headers],[MMS]],0)</f>
        <v>0</v>
      </c>
      <c r="M35" s="10" t="str" cm="1">
        <f t="array" ref="M35">Common_InputFunctions.Utility_DisplayArrayInTable(SourceData_Swine.SourceData_Swine_MMS_MCFs_Data(),Table_SourceData_Swine_MMSMCF[[#Headers],[MMS]],0)</f>
        <v>Direct application</v>
      </c>
    </row>
    <row r="36" spans="4:13" ht="20.100000000000001" customHeight="1" x14ac:dyDescent="0.25">
      <c r="M36" s="8"/>
    </row>
    <row r="37" spans="4:13" ht="20.100000000000001" customHeight="1" x14ac:dyDescent="0.25">
      <c r="M37" s="8"/>
    </row>
    <row r="38" spans="4:13" ht="20.100000000000001" customHeight="1" x14ac:dyDescent="0.25">
      <c r="D38" s="9" t="s">
        <v>583</v>
      </c>
      <c r="G38" s="9" t="s">
        <v>584</v>
      </c>
      <c r="K38" s="9" t="s">
        <v>585</v>
      </c>
      <c r="M38" s="8"/>
    </row>
    <row r="39" spans="4:13" ht="20.100000000000001" customHeight="1" x14ac:dyDescent="0.25">
      <c r="M39" s="8"/>
    </row>
    <row r="40" spans="4:13" ht="20.100000000000001" customHeight="1" x14ac:dyDescent="0.25">
      <c r="D40" s="160" t="s">
        <v>556</v>
      </c>
      <c r="E40" s="10" t="s">
        <v>355</v>
      </c>
      <c r="G40" s="160" t="s">
        <v>556</v>
      </c>
      <c r="H40" s="10" t="s">
        <v>355</v>
      </c>
      <c r="K40" s="160" t="s">
        <v>556</v>
      </c>
      <c r="L40" s="10" t="s">
        <v>355</v>
      </c>
      <c r="M40" s="8"/>
    </row>
    <row r="41" spans="4:13" ht="20.100000000000001" customHeight="1" x14ac:dyDescent="0.25">
      <c r="D41" s="10" t="str">
        <f>'Constants - Common Livestock'!$E$7</f>
        <v>Anaerobic lagoon</v>
      </c>
      <c r="E41" s="10" t="str">
        <f>'Constants - Common Livestock'!$F$7</f>
        <v>Anaerobic lagoon (m=1)</v>
      </c>
      <c r="G41" s="10" t="str">
        <f>'Constants - Common Livestock'!$E$7</f>
        <v>Anaerobic lagoon</v>
      </c>
      <c r="H41" s="10" t="str">
        <f>'Constants - Common Livestock'!$F$7</f>
        <v>Anaerobic lagoon (m=1)</v>
      </c>
      <c r="K41" s="10" t="str">
        <f>'Constants - Common Livestock'!$E$7</f>
        <v>Anaerobic lagoon</v>
      </c>
      <c r="L41" s="10" t="str">
        <f>'Constants - Common Livestock'!$F$7</f>
        <v>Anaerobic lagoon (m=1)</v>
      </c>
      <c r="M41" s="8"/>
    </row>
    <row r="42" spans="4:13" ht="20.100000000000001" customHeight="1" x14ac:dyDescent="0.25">
      <c r="D42" s="10" t="str">
        <f>'Constants - Common Livestock'!$E$12</f>
        <v>Solid storage</v>
      </c>
      <c r="E42" s="10" t="str">
        <f>'Constants - Common Livestock'!$F$12</f>
        <v>Solid storage (m=4)</v>
      </c>
      <c r="G42" s="10" t="str">
        <f>'Constants - Common Livestock'!$E$13</f>
        <v>Drylot (feed pad)</v>
      </c>
      <c r="H42" s="10" t="str">
        <f>'Constants - Common Livestock'!$F$13</f>
        <v>Drylot (feed pad) (m=5)</v>
      </c>
      <c r="K42" s="10" t="str">
        <f>'Constants - Common Livestock'!$E$12</f>
        <v>Solid storage</v>
      </c>
      <c r="L42" s="10" t="str">
        <f>'Constants - Common Livestock'!$F$12</f>
        <v>Solid storage (m=4)</v>
      </c>
      <c r="M42" s="8"/>
    </row>
    <row r="43" spans="4:13" ht="20.100000000000001" customHeight="1" x14ac:dyDescent="0.25">
      <c r="D43" s="10" t="str">
        <f>'Constants - Common Livestock'!$E$13</f>
        <v>Drylot (feed pad)</v>
      </c>
      <c r="E43" s="10" t="str">
        <f>'Constants - Common Livestock'!$F$13</f>
        <v>Drylot (feed pad) (m=5)</v>
      </c>
      <c r="G43" s="10" t="str">
        <f>'Constants - Common Livestock'!$E$15</f>
        <v>Digester / covered lagoons</v>
      </c>
      <c r="H43" s="10" t="str">
        <f>'Constants - Common Livestock'!$F$15</f>
        <v>Digester / covered lagoons (m=7)</v>
      </c>
      <c r="K43" s="10" t="str">
        <f>'Constants - Common Livestock'!$E$13</f>
        <v>Drylot (feed pad)</v>
      </c>
      <c r="L43" s="10" t="str">
        <f>'Constants - Common Livestock'!$F$13</f>
        <v>Drylot (feed pad) (m=5)</v>
      </c>
      <c r="M43" s="8"/>
    </row>
    <row r="44" spans="4:13" ht="20.100000000000001" customHeight="1" x14ac:dyDescent="0.25">
      <c r="D44" s="10" t="str">
        <f>'Constants - Common Livestock'!$E$15</f>
        <v>Digester / covered lagoons</v>
      </c>
      <c r="E44" s="10" t="str">
        <f>'Constants - Common Livestock'!$F$15</f>
        <v>Digester / covered lagoons (m=7)</v>
      </c>
      <c r="G44" s="10" t="str">
        <f>'Constants - Common Livestock'!$E$16</f>
        <v>Deep litter</v>
      </c>
      <c r="H44" s="10" t="str">
        <f>'Constants - Common Livestock'!$F$16</f>
        <v>Deep litter (m=8)</v>
      </c>
      <c r="K44" s="10" t="str">
        <f>'Constants - Common Livestock'!$E$15</f>
        <v>Digester / covered lagoons</v>
      </c>
      <c r="L44" s="10" t="str">
        <f>'Constants - Common Livestock'!$F$15</f>
        <v>Digester / covered lagoons (m=7)</v>
      </c>
      <c r="M44" s="8"/>
    </row>
    <row r="45" spans="4:13" ht="20.100000000000001" customHeight="1" x14ac:dyDescent="0.25">
      <c r="D45" s="10" t="str">
        <f>'Constants - Common Livestock'!$E$16</f>
        <v>Deep litter</v>
      </c>
      <c r="E45" s="10" t="str">
        <f>'Constants - Common Livestock'!$F$16</f>
        <v>Deep litter (m=8)</v>
      </c>
      <c r="G45" s="10" t="str">
        <f>'Constants - Common Livestock'!$E$17</f>
        <v>Pit storage</v>
      </c>
      <c r="H45" s="10" t="str">
        <f>'Constants - Common Livestock'!$F$17</f>
        <v>Pit storage (m=9)</v>
      </c>
      <c r="K45" s="10" t="str">
        <f>'Constants - Common Livestock'!$E$16</f>
        <v>Deep litter</v>
      </c>
      <c r="L45" s="10" t="str">
        <f>'Constants - Common Livestock'!$F$16</f>
        <v>Deep litter (m=8)</v>
      </c>
      <c r="M45" s="8"/>
    </row>
    <row r="46" spans="4:13" ht="20.100000000000001" customHeight="1" x14ac:dyDescent="0.25">
      <c r="D46" s="10" t="str">
        <f>'Constants - Common Livestock'!$E$17</f>
        <v>Pit storage</v>
      </c>
      <c r="E46" s="10" t="str">
        <f>'Constants - Common Livestock'!$F$17</f>
        <v>Pit storage (m=9)</v>
      </c>
      <c r="K46" s="10" t="str">
        <f>'Constants - Common Livestock'!$E$17</f>
        <v>Pit storage</v>
      </c>
      <c r="L46" s="10" t="str">
        <f>'Constants - Common Livestock'!$F$17</f>
        <v>Pit storage (m=9)</v>
      </c>
      <c r="M46" s="8"/>
    </row>
    <row r="47" spans="4:13" ht="20.100000000000001" customHeight="1" x14ac:dyDescent="0.25">
      <c r="D47" s="10" t="str">
        <f>'Constants - Common Livestock'!$E$23</f>
        <v>Direct application</v>
      </c>
      <c r="E47" s="10" t="str">
        <f>'Constants - Common Livestock'!$F$23</f>
        <v>Direct application (m=13)</v>
      </c>
      <c r="M47" s="8"/>
    </row>
    <row r="48" spans="4:13" ht="20.100000000000001" customHeight="1" x14ac:dyDescent="0.25">
      <c r="M48" s="8"/>
    </row>
    <row r="49" spans="1:13" ht="20.100000000000001" customHeight="1" x14ac:dyDescent="0.25">
      <c r="M49" s="8"/>
    </row>
    <row r="50" spans="1:13" ht="20.100000000000001" customHeight="1" x14ac:dyDescent="0.25">
      <c r="M50" s="8"/>
    </row>
    <row r="51" spans="1:13" ht="20.100000000000001" customHeight="1" x14ac:dyDescent="0.25">
      <c r="D51" s="9" t="s">
        <v>586</v>
      </c>
      <c r="G51" s="9" t="s">
        <v>587</v>
      </c>
      <c r="M51" s="8"/>
    </row>
    <row r="52" spans="1:13" ht="20.100000000000001" customHeight="1" x14ac:dyDescent="0.25">
      <c r="M52" s="8"/>
    </row>
    <row r="53" spans="1:13" ht="20.100000000000001" customHeight="1" x14ac:dyDescent="0.25">
      <c r="D53" s="160" t="s">
        <v>556</v>
      </c>
      <c r="E53" s="10" t="s">
        <v>588</v>
      </c>
      <c r="G53" s="10" t="s">
        <v>146</v>
      </c>
      <c r="M53" s="8"/>
    </row>
    <row r="54" spans="1:13" ht="20.100000000000001" customHeight="1" x14ac:dyDescent="0.25">
      <c r="D54" s="10" t="str">
        <f>'Constants - Common Livestock'!$E$7</f>
        <v>Anaerobic lagoon</v>
      </c>
      <c r="E54" s="10">
        <v>0</v>
      </c>
      <c r="G54" s="10" t="str" cm="1">
        <f t="array" ref="G54">Common_InputFunctions.Utility_DisplayArrayInTable(SourceData_Swine.SourceData_Swine_ProductionSystems_Data(), Table_SourceData_Swine_ProductionSystems[[#Headers],[Production system]], 0)</f>
        <v>Conventional housing</v>
      </c>
      <c r="M54" s="8"/>
    </row>
    <row r="55" spans="1:13" ht="20.100000000000001" customHeight="1" x14ac:dyDescent="0.25">
      <c r="D55" s="10" t="str">
        <f>'Constants - Common Livestock'!$E$12</f>
        <v>Solid storage</v>
      </c>
      <c r="E55" s="10">
        <v>0</v>
      </c>
      <c r="G55" s="10" t="str" cm="1">
        <f t="array" ref="G55">Common_InputFunctions.Utility_DisplayArrayInTable(SourceData_Swine.SourceData_Swine_ProductionSystems_Data(), Table_SourceData_Swine_ProductionSystems[[#Headers],[Production system]], 0)</f>
        <v>Deep litter housing</v>
      </c>
      <c r="M55" s="8"/>
    </row>
    <row r="56" spans="1:13" ht="20.100000000000001" customHeight="1" x14ac:dyDescent="0.25">
      <c r="D56" s="10" t="str">
        <f>'Constants - Common Livestock'!$E$13</f>
        <v>Drylot (feed pad)</v>
      </c>
      <c r="E56" s="10">
        <v>0</v>
      </c>
      <c r="G56" s="10" t="str" cm="1">
        <f t="array" ref="G56">Common_InputFunctions.Utility_DisplayArrayInTable(SourceData_Swine.SourceData_Swine_ProductionSystems_Data(), Table_SourceData_Swine_ProductionSystems[[#Headers],[Production system]], 0)</f>
        <v>Outdoor/free range</v>
      </c>
      <c r="M56" s="8"/>
    </row>
    <row r="57" spans="1:13" ht="20.100000000000001" customHeight="1" x14ac:dyDescent="0.25">
      <c r="D57" s="10" t="str">
        <f>'Constants - Common Livestock'!$E$15</f>
        <v>Digester / covered lagoons</v>
      </c>
      <c r="E57" s="10">
        <v>0.75</v>
      </c>
      <c r="M57" s="8"/>
    </row>
    <row r="58" spans="1:13" ht="20.100000000000001" customHeight="1" x14ac:dyDescent="0.25">
      <c r="D58" s="10" t="str">
        <f>'Constants - Common Livestock'!$E$16</f>
        <v>Deep litter</v>
      </c>
      <c r="E58" s="10">
        <v>0.05</v>
      </c>
      <c r="M58" s="8"/>
    </row>
    <row r="59" spans="1:13" ht="20.100000000000001" customHeight="1" x14ac:dyDescent="0.25">
      <c r="D59" s="10" t="str">
        <f>'Constants - Common Livestock'!$E$17</f>
        <v>Pit storage</v>
      </c>
      <c r="E59" s="10">
        <v>0</v>
      </c>
      <c r="M59" s="8"/>
    </row>
    <row r="60" spans="1:13" ht="20.100000000000001" customHeight="1" x14ac:dyDescent="0.25">
      <c r="D60" s="10" t="str">
        <f>'Constants - Common Livestock'!$E$23</f>
        <v>Direct application</v>
      </c>
      <c r="E60" s="10">
        <v>0</v>
      </c>
      <c r="M60" s="8"/>
    </row>
    <row r="61" spans="1:13" ht="20.100000000000001" customHeight="1" x14ac:dyDescent="0.25">
      <c r="M61" s="8"/>
    </row>
    <row r="62" spans="1:13" ht="20.100000000000001" customHeight="1" x14ac:dyDescent="0.25">
      <c r="M62" s="8"/>
    </row>
    <row r="63" spans="1:13" ht="20.100000000000001" customHeight="1" x14ac:dyDescent="0.25">
      <c r="A63" s="45" t="str">
        <f>HYPERLINK("#A1", "▲ Back to top")</f>
        <v>▲ Back to top</v>
      </c>
      <c r="D63" s="9" t="str" cm="1">
        <f t="array" ref="D63">SourceData_Swine.SourceData_Swine_VolatileSolids_Title()</f>
        <v>Swine - Volatile solids (VSj) - 2020 to 2024</v>
      </c>
      <c r="M63" s="8"/>
    </row>
    <row r="64" spans="1:13" ht="20.100000000000001" customHeight="1" x14ac:dyDescent="0.25">
      <c r="D64" s="11" t="str" cm="1">
        <f t="array" ref="D64">SourceData_Swine.SourceData_Swine_VolatileSolids_Source()</f>
        <v>VEERG 2026: Table A.1.6.1: Swine - Intake and manure characteristics derived from PigBal</v>
      </c>
      <c r="M64" s="8"/>
    </row>
    <row r="65" spans="4:22" ht="20.100000000000001" customHeight="1" x14ac:dyDescent="0.25">
      <c r="D65" s="12" t="str" cm="1">
        <f t="array" ref="D65">SourceData_Swine.SourceData_Swine_VolatileSolids_Variation()</f>
        <v>VARIATION ON SOURCE DATA: Only uses data for 2020-2024. Use 'Slaughter pigs' data for 'Other j=4' class.</v>
      </c>
      <c r="M65" s="8"/>
    </row>
    <row r="66" spans="4:22" ht="20.100000000000001" customHeight="1" x14ac:dyDescent="0.25">
      <c r="M66" s="8"/>
    </row>
    <row r="67" spans="4:22" ht="20.100000000000001" customHeight="1" x14ac:dyDescent="0.25">
      <c r="D67" s="10" t="s">
        <v>348</v>
      </c>
      <c r="E67" s="10" t="s">
        <v>589</v>
      </c>
      <c r="M67" s="8"/>
    </row>
    <row r="68" spans="4:22" ht="20.100000000000001" customHeight="1" x14ac:dyDescent="0.25">
      <c r="D68" s="10" t="str" cm="1">
        <f t="array" ref="D68">Common_InputFunctions.Utility_DisplayArrayInTable(SourceData_Swine.SourceData_Swine_VolatileSolids_Data(), Table_SourceData_Swine_VolatileSolids[[#Headers],[Class]], 0)</f>
        <v>Boars</v>
      </c>
      <c r="E68" s="10" cm="1">
        <f t="array" ref="E68">Common_InputFunctions.Utility_DisplayArrayInTable(SourceData_Swine.SourceData_Swine_VolatileSolids_Data(), Table_SourceData_Swine_VolatileSolids[[#Headers],[Class]], 0)</f>
        <v>0.4</v>
      </c>
      <c r="M68" s="8"/>
    </row>
    <row r="69" spans="4:22" ht="20.100000000000001" customHeight="1" x14ac:dyDescent="0.25">
      <c r="D69" s="8" t="str" cm="1">
        <f t="array" ref="D69">Common_InputFunctions.Utility_DisplayArrayInTable(SourceData_Swine.SourceData_Swine_VolatileSolids_Data(), Table_SourceData_Swine_VolatileSolids[[#Headers],[Class]], 0)</f>
        <v>Sows</v>
      </c>
      <c r="E69" s="10" cm="1">
        <f t="array" ref="E69">Common_InputFunctions.Utility_DisplayArrayInTable(SourceData_Swine.SourceData_Swine_VolatileSolids_Data(), Table_SourceData_Swine_VolatileSolids[[#Headers],[Class]], 0)</f>
        <v>0.46</v>
      </c>
      <c r="M69" s="8"/>
    </row>
    <row r="70" spans="4:22" ht="20.100000000000001" customHeight="1" x14ac:dyDescent="0.25">
      <c r="D70" s="8" t="str" cm="1">
        <f t="array" ref="D70">Common_InputFunctions.Utility_DisplayArrayInTable(SourceData_Swine.SourceData_Swine_VolatileSolids_Data(), Table_SourceData_Swine_VolatileSolids[[#Headers],[Class]], 0)</f>
        <v>Gilts</v>
      </c>
      <c r="E70" s="10" cm="1">
        <f t="array" ref="E70">Common_InputFunctions.Utility_DisplayArrayInTable(SourceData_Swine.SourceData_Swine_VolatileSolids_Data(), Table_SourceData_Swine_VolatileSolids[[#Headers],[Class]], 0)</f>
        <v>0.55000000000000004</v>
      </c>
      <c r="M70" s="8"/>
    </row>
    <row r="71" spans="4:22" ht="20.100000000000001" customHeight="1" x14ac:dyDescent="0.25">
      <c r="D71" s="8" t="str" cm="1">
        <f t="array" ref="D71">Common_InputFunctions.Utility_DisplayArrayInTable(SourceData_Swine.SourceData_Swine_VolatileSolids_Data(), Table_SourceData_Swine_VolatileSolids[[#Headers],[Class]], 0)</f>
        <v>Others</v>
      </c>
      <c r="E71" s="10" cm="1">
        <f t="array" ref="E71">Common_InputFunctions.Utility_DisplayArrayInTable(SourceData_Swine.SourceData_Swine_VolatileSolids_Data(), Table_SourceData_Swine_VolatileSolids[[#Headers],[Class]], 0)</f>
        <v>0.39</v>
      </c>
      <c r="M71" s="8"/>
      <c r="V71" s="8"/>
    </row>
    <row r="72" spans="4:22" ht="20.100000000000001" customHeight="1" x14ac:dyDescent="0.25">
      <c r="M72" s="8"/>
      <c r="V72" s="8"/>
    </row>
    <row r="73" spans="4:22" ht="20.100000000000001" customHeight="1" x14ac:dyDescent="0.25">
      <c r="M73" s="8"/>
      <c r="V73" s="8"/>
    </row>
    <row r="74" spans="4:22" ht="20.100000000000001" customHeight="1" x14ac:dyDescent="0.25">
      <c r="D74" s="9" t="str" cm="1">
        <f t="array" ref="D74">SourceData_Swine.SourceData_Swine_FeedIntake_Title()</f>
        <v>Swine - Feed intake - ingested as fed  (Ij) - 2020 to 2024</v>
      </c>
      <c r="M74" s="8"/>
      <c r="V74" s="8"/>
    </row>
    <row r="75" spans="4:22" ht="20.100000000000001" customHeight="1" x14ac:dyDescent="0.25">
      <c r="D75" s="11" t="str" cm="1">
        <f t="array" ref="D75">SourceData_Swine.SourceData_Swine_FeedIntake_Source()</f>
        <v>VEERG 2026: Table A.1.6.1: Swine - Intake and manure characteristics derived from PigBal</v>
      </c>
      <c r="M75" s="8"/>
      <c r="V75" s="8"/>
    </row>
    <row r="76" spans="4:22" ht="20.100000000000001" customHeight="1" x14ac:dyDescent="0.25">
      <c r="D76" s="12" t="str" cm="1">
        <f t="array" ref="D76">SourceData_Swine.SourceData_Swine_FeedIntake_Variation()</f>
        <v>VARIATION ON SOURCE DATA: Only uses data for 2020-2024. Use 'Slaughter pigs' data for 'Other j=4' class.</v>
      </c>
      <c r="M76" s="8"/>
      <c r="V76" s="8"/>
    </row>
    <row r="77" spans="4:22" ht="20.100000000000001" customHeight="1" x14ac:dyDescent="0.25">
      <c r="M77" s="8"/>
      <c r="V77" s="8"/>
    </row>
    <row r="78" spans="4:22" ht="20.100000000000001" customHeight="1" x14ac:dyDescent="0.25">
      <c r="D78" s="10" t="s">
        <v>348</v>
      </c>
      <c r="E78" s="10" t="s">
        <v>590</v>
      </c>
      <c r="M78" s="8"/>
      <c r="V78" s="8"/>
    </row>
    <row r="79" spans="4:22" ht="20.100000000000001" customHeight="1" x14ac:dyDescent="0.25">
      <c r="D79" s="10" t="str" cm="1">
        <f t="array" ref="D79">Common_InputFunctions.Utility_DisplayArrayInTable(SourceData_Swine.SourceData_Swine_FeedIntake_Data(), Table_SourceData_Swine_FeedIntake[[#Headers],[Class]], 0)</f>
        <v>Boars</v>
      </c>
      <c r="E79" s="10" cm="1">
        <f t="array" ref="E79">Common_InputFunctions.Utility_DisplayArrayInTable(SourceData_Swine.SourceData_Swine_FeedIntake_Data(), Table_SourceData_Swine_FeedIntake[[#Headers],[Class]], 0)</f>
        <v>2.62</v>
      </c>
      <c r="M79" s="8"/>
      <c r="V79" s="8"/>
    </row>
    <row r="80" spans="4:22" ht="20.100000000000001" customHeight="1" x14ac:dyDescent="0.25">
      <c r="D80" s="10" t="str" cm="1">
        <f t="array" ref="D80">Common_InputFunctions.Utility_DisplayArrayInTable(SourceData_Swine.SourceData_Swine_FeedIntake_Data(), Table_SourceData_Swine_FeedIntake[[#Headers],[Class]], 0)</f>
        <v>Sows</v>
      </c>
      <c r="E80" s="10" cm="1">
        <f t="array" ref="E80">Common_InputFunctions.Utility_DisplayArrayInTable(SourceData_Swine.SourceData_Swine_FeedIntake_Data(), Table_SourceData_Swine_FeedIntake[[#Headers],[Class]], 0)</f>
        <v>2.2999999999999998</v>
      </c>
      <c r="M80" s="8"/>
      <c r="V80" s="8"/>
    </row>
    <row r="81" spans="4:23" ht="20.100000000000001" customHeight="1" x14ac:dyDescent="0.25">
      <c r="D81" s="10" t="str" cm="1">
        <f t="array" ref="D81">Common_InputFunctions.Utility_DisplayArrayInTable(SourceData_Swine.SourceData_Swine_FeedIntake_Data(), Table_SourceData_Swine_FeedIntake[[#Headers],[Class]], 0)</f>
        <v>Gilts</v>
      </c>
      <c r="E81" s="10" cm="1">
        <f t="array" ref="E81">Common_InputFunctions.Utility_DisplayArrayInTable(SourceData_Swine.SourceData_Swine_FeedIntake_Data(), Table_SourceData_Swine_FeedIntake[[#Headers],[Class]], 0)</f>
        <v>2.5</v>
      </c>
      <c r="M81" s="8"/>
      <c r="V81" s="8"/>
    </row>
    <row r="82" spans="4:23" ht="20.100000000000001" customHeight="1" x14ac:dyDescent="0.25">
      <c r="D82" s="10" t="str" cm="1">
        <f t="array" ref="D82">Common_InputFunctions.Utility_DisplayArrayInTable(SourceData_Swine.SourceData_Swine_FeedIntake_Data(), Table_SourceData_Swine_FeedIntake[[#Headers],[Class]], 0)</f>
        <v>Others</v>
      </c>
      <c r="E82" s="10" cm="1">
        <f t="array" ref="E82">Common_InputFunctions.Utility_DisplayArrayInTable(SourceData_Swine.SourceData_Swine_FeedIntake_Data(), Table_SourceData_Swine_FeedIntake[[#Headers],[Class]], 0)</f>
        <v>1.71</v>
      </c>
      <c r="M82" s="8"/>
      <c r="V82" s="8"/>
    </row>
    <row r="83" spans="4:23" ht="20.100000000000001" customHeight="1" x14ac:dyDescent="0.25">
      <c r="M83" s="8"/>
    </row>
    <row r="84" spans="4:23" ht="20.100000000000001" customHeight="1" x14ac:dyDescent="0.25">
      <c r="M84" s="8"/>
    </row>
    <row r="85" spans="4:23" ht="20.100000000000001" customHeight="1" x14ac:dyDescent="0.25">
      <c r="D85" s="9" t="str" cm="1">
        <f t="array" ref="D85">SourceData_Swine.SourceData_Swine_NitrogenInWaste_Title()</f>
        <v>Swine - Nitrogen in waste (NWj) - 2020 to 2024</v>
      </c>
      <c r="M85" s="8"/>
      <c r="V85" s="8"/>
    </row>
    <row r="86" spans="4:23" ht="20.100000000000001" customHeight="1" x14ac:dyDescent="0.25">
      <c r="D86" s="11" t="str" cm="1">
        <f t="array" ref="D86">SourceData_Swine.SourceData_Swine_NitrogenInWaste_Source()</f>
        <v>VEERG 2026: Table A.1.6.1: Swine - Intake and manure characteristics derived from PigBal</v>
      </c>
      <c r="M86" s="8"/>
      <c r="V86" s="8"/>
    </row>
    <row r="87" spans="4:23" ht="20.100000000000001" customHeight="1" x14ac:dyDescent="0.25">
      <c r="D87" s="12" t="str" cm="1">
        <f t="array" ref="D87">SourceData_Swine.SourceData_Swine_NitrogenInWaste_Variation()</f>
        <v>VARIATION ON SOURCE DATA: Only uses data for 2020-2024. Use 'Slaughter pigs' data for 'Other j=4' class. Added 'NWj daily' column to provide daily value for Others class. Added 'Class name' column to aid lookup.</v>
      </c>
      <c r="M87" s="8"/>
      <c r="V87" s="8"/>
    </row>
    <row r="88" spans="4:23" ht="20.100000000000001" customHeight="1" x14ac:dyDescent="0.25">
      <c r="M88" s="8"/>
      <c r="V88" s="8"/>
    </row>
    <row r="89" spans="4:23" ht="20.100000000000001" customHeight="1" x14ac:dyDescent="0.25">
      <c r="D89" s="10" t="s">
        <v>348</v>
      </c>
      <c r="E89" s="10" t="s">
        <v>591</v>
      </c>
      <c r="F89" s="10" t="s">
        <v>592</v>
      </c>
      <c r="G89" s="10" t="s">
        <v>593</v>
      </c>
      <c r="M89" s="8"/>
      <c r="V89" s="8"/>
      <c r="W89" s="8"/>
    </row>
    <row r="90" spans="4:23" ht="20.100000000000001" customHeight="1" x14ac:dyDescent="0.25">
      <c r="D90" s="10" t="str" cm="1">
        <f t="array" ref="D90">Common_InputFunctions.Utility_DisplayArrayInTable(SourceData_Swine.SourceData_Swine_NitrogenInWaste_Data(), Table_SourceData_Swine_NitrogenInWaste[[#Headers],[Class]], 0)</f>
        <v>Boars</v>
      </c>
      <c r="E90" s="10" cm="1">
        <f t="array" ref="E90">Common_InputFunctions.Utility_DisplayArrayInTable(SourceData_Swine.SourceData_Swine_NitrogenInWaste_Data(), Table_SourceData_Swine_NitrogenInWaste[[#Headers],[Class]], 0)</f>
        <v>4.5999999999999999E-2</v>
      </c>
      <c r="F90" s="10" cm="1">
        <f t="array" ref="F90">Common_InputFunctions.Utility_DisplayArrayInTable(SourceData_Swine.SourceData_Swine_NitrogenInWaste_Data(), Table_SourceData_Swine_NitrogenInWaste[[#Headers],[Class]], 0)</f>
        <v>4.5999999999999999E-2</v>
      </c>
      <c r="G90" s="10" t="str" cm="1">
        <f t="array" ref="G90">Common_InputFunctions.Utility_DisplayArrayInTable(SourceData_Swine.SourceData_Swine_NitrogenInWaste_Data(), Table_SourceData_Swine_NitrogenInWaste[[#Headers],[Class]], 0)</f>
        <v>Boars</v>
      </c>
      <c r="M90" s="8"/>
      <c r="V90" s="8"/>
      <c r="W90" s="8"/>
    </row>
    <row r="91" spans="4:23" ht="20.100000000000001" customHeight="1" x14ac:dyDescent="0.25">
      <c r="D91" s="10" t="str" cm="1">
        <f t="array" ref="D91">Common_InputFunctions.Utility_DisplayArrayInTable(SourceData_Swine.SourceData_Swine_NitrogenInWaste_Data(), Table_SourceData_Swine_NitrogenInWaste[[#Headers],[Class]], 0)</f>
        <v>Sows</v>
      </c>
      <c r="E91" s="10" cm="1">
        <f t="array" ref="E91">Common_InputFunctions.Utility_DisplayArrayInTable(SourceData_Swine.SourceData_Swine_NitrogenInWaste_Data(), Table_SourceData_Swine_NitrogenInWaste[[#Headers],[Class]], 0)</f>
        <v>4.9000000000000002E-2</v>
      </c>
      <c r="F91" s="10" cm="1">
        <f t="array" ref="F91">Common_InputFunctions.Utility_DisplayArrayInTable(SourceData_Swine.SourceData_Swine_NitrogenInWaste_Data(), Table_SourceData_Swine_NitrogenInWaste[[#Headers],[Class]], 0)</f>
        <v>4.9000000000000002E-2</v>
      </c>
      <c r="G91" s="10" t="str" cm="1">
        <f t="array" ref="G91">Common_InputFunctions.Utility_DisplayArrayInTable(SourceData_Swine.SourceData_Swine_NitrogenInWaste_Data(), Table_SourceData_Swine_NitrogenInWaste[[#Headers],[Class]], 0)</f>
        <v>Sows</v>
      </c>
      <c r="M91" s="8"/>
      <c r="V91" s="8"/>
    </row>
    <row r="92" spans="4:23" ht="20.100000000000001" customHeight="1" x14ac:dyDescent="0.25">
      <c r="D92" s="10" t="str" cm="1">
        <f t="array" ref="D92">Common_InputFunctions.Utility_DisplayArrayInTable(SourceData_Swine.SourceData_Swine_NitrogenInWaste_Data(), Table_SourceData_Swine_NitrogenInWaste[[#Headers],[Class]], 0)</f>
        <v>Gilts</v>
      </c>
      <c r="E92" s="10" cm="1">
        <f t="array" ref="E92">Common_InputFunctions.Utility_DisplayArrayInTable(SourceData_Swine.SourceData_Swine_NitrogenInWaste_Data(), Table_SourceData_Swine_NitrogenInWaste[[#Headers],[Class]], 0)</f>
        <v>4.5999999999999999E-2</v>
      </c>
      <c r="F92" s="10" cm="1">
        <f t="array" ref="F92">Common_InputFunctions.Utility_DisplayArrayInTable(SourceData_Swine.SourceData_Swine_NitrogenInWaste_Data(), Table_SourceData_Swine_NitrogenInWaste[[#Headers],[Class]], 0)</f>
        <v>4.5999999999999999E-2</v>
      </c>
      <c r="G92" s="10" t="str" cm="1">
        <f t="array" ref="G92">Common_InputFunctions.Utility_DisplayArrayInTable(SourceData_Swine.SourceData_Swine_NitrogenInWaste_Data(), Table_SourceData_Swine_NitrogenInWaste[[#Headers],[Class]], 0)</f>
        <v>Gilts</v>
      </c>
      <c r="M92" s="8"/>
      <c r="V92" s="8"/>
    </row>
    <row r="93" spans="4:23" ht="20.100000000000001" customHeight="1" x14ac:dyDescent="0.25">
      <c r="D93" s="10" t="str" cm="1">
        <f t="array" ref="D93">Common_InputFunctions.Utility_DisplayArrayInTable(SourceData_Swine.SourceData_Swine_NitrogenInWaste_Data(), Table_SourceData_Swine_NitrogenInWaste[[#Headers],[Class]], 0)</f>
        <v>Others (kg/head/year)</v>
      </c>
      <c r="E93" s="10" cm="1">
        <f t="array" ref="E93">Common_InputFunctions.Utility_DisplayArrayInTable(SourceData_Swine.SourceData_Swine_NitrogenInWaste_Data(), Table_SourceData_Swine_NitrogenInWaste[[#Headers],[Class]], 0)</f>
        <v>11.4</v>
      </c>
      <c r="F93" s="10" cm="1">
        <f t="array" ref="F93">Common_InputFunctions.Utility_DisplayArrayInTable(SourceData_Swine.SourceData_Swine_NitrogenInWaste_Data(), Table_SourceData_Swine_NitrogenInWaste[[#Headers],[Class]], 0)</f>
        <v>3.1199999999999999E-2</v>
      </c>
      <c r="G93" s="10" t="str" cm="1">
        <f t="array" ref="G93">Common_InputFunctions.Utility_DisplayArrayInTable(SourceData_Swine.SourceData_Swine_NitrogenInWaste_Data(), Table_SourceData_Swine_NitrogenInWaste[[#Headers],[Class]], 0)</f>
        <v>Others</v>
      </c>
      <c r="M93" s="8"/>
      <c r="V93" s="8"/>
    </row>
    <row r="94" spans="4:23" ht="20.100000000000001" customHeight="1" x14ac:dyDescent="0.25">
      <c r="M94" s="8"/>
    </row>
    <row r="95" spans="4:23" ht="20.100000000000001" customHeight="1" x14ac:dyDescent="0.25">
      <c r="M95" s="8"/>
    </row>
    <row r="96" spans="4:23" ht="20.100000000000001" customHeight="1" x14ac:dyDescent="0.25">
      <c r="D96" s="9" t="str" cm="1">
        <f t="array" ref="D96">SourceData_Swine.SourceData_Swine_FractionNVolatilised_Title()</f>
        <v>Swine - Fraction of nitrogen volatilised (FracGASMmT)</v>
      </c>
      <c r="M96" s="8"/>
    </row>
    <row r="97" spans="4:13" ht="20.100000000000001" customHeight="1" x14ac:dyDescent="0.25">
      <c r="D97" s="11" t="str" cm="1">
        <f t="array" ref="D97">SourceData_Swine.SourceData_Swine_FractionNVolatilised_Source()</f>
        <v>VEERG 2026: Table A.1.6.2: Swine - Fraction of N volatilised by MMS ((kg NH3-N + NOx-N)/kgN) (FracGASMmT)</v>
      </c>
      <c r="M97" s="8"/>
    </row>
    <row r="98" spans="4:13" ht="20.100000000000001" customHeight="1" x14ac:dyDescent="0.25">
      <c r="D98" s="12" t="str" cm="1">
        <f t="array" ref="D98">SourceData_Swine.SourceData_Swine_FractionNVolatilised_Variation()</f>
        <v>VARIATION ON SOURCE DATA: Added 'NIR reference column to aid lookup.</v>
      </c>
      <c r="M98" s="8"/>
    </row>
    <row r="99" spans="4:13" ht="20.100000000000001" customHeight="1" x14ac:dyDescent="0.25">
      <c r="D99" s="10" t="s">
        <v>594</v>
      </c>
      <c r="E99" s="10" t="s">
        <v>595</v>
      </c>
      <c r="F99" s="10" t="s">
        <v>565</v>
      </c>
      <c r="M99" s="8"/>
    </row>
    <row r="100" spans="4:13" ht="20.100000000000001" customHeight="1" x14ac:dyDescent="0.25">
      <c r="D100" s="10" t="str" cm="1">
        <f t="array" ref="D100">Common_InputFunctions.Utility_DisplayArrayInTable(SourceData_Swine.SourceData_Swine_FractionNVolatilised_Data(), Table_SourceData_Swine_FracGASM[[#Headers],[MMSm]],0)</f>
        <v>Outdoor (Dry lot)</v>
      </c>
      <c r="E100" s="10" cm="1">
        <f t="array" ref="E100">Common_InputFunctions.Utility_DisplayArrayInTable(SourceData_Swine.SourceData_Swine_FractionNVolatilised_Data(), Table_SourceData_Swine_FracGASM[[#Headers],[MMSm]],0)</f>
        <v>0.3</v>
      </c>
      <c r="F100" s="10" t="str" cm="1">
        <f t="array" ref="F100">Common_InputFunctions.Utility_DisplayArrayInTable(SourceData_Swine.SourceData_Swine_FractionNVolatilised_Data(), Table_SourceData_Swine_FracGASM[[#Headers],[MMSm]],0)</f>
        <v>Drylot (feed pad)</v>
      </c>
      <c r="M100" s="8"/>
    </row>
    <row r="101" spans="4:13" ht="20.100000000000001" customHeight="1" x14ac:dyDescent="0.25">
      <c r="D101" s="10" t="str" cm="1">
        <f t="array" ref="D101">Common_InputFunctions.Utility_DisplayArrayInTable(SourceData_Swine.SourceData_Swine_FractionNVolatilised_Data(), Table_SourceData_Swine_FracGASM[[#Headers],[MMSm]],0)</f>
        <v>Deep litter</v>
      </c>
      <c r="E101" s="10" cm="1">
        <f t="array" ref="E101">Common_InputFunctions.Utility_DisplayArrayInTable(SourceData_Swine.SourceData_Swine_FractionNVolatilised_Data(), Table_SourceData_Swine_FracGASM[[#Headers],[MMSm]],0)</f>
        <v>0.125</v>
      </c>
      <c r="F101" s="10" t="str" cm="1">
        <f t="array" ref="F101">Common_InputFunctions.Utility_DisplayArrayInTable(SourceData_Swine.SourceData_Swine_FractionNVolatilised_Data(), Table_SourceData_Swine_FracGASM[[#Headers],[MMSm]],0)</f>
        <v>Deep litter</v>
      </c>
      <c r="M101" s="8"/>
    </row>
    <row r="102" spans="4:13" ht="20.100000000000001" customHeight="1" x14ac:dyDescent="0.25">
      <c r="D102" s="10" t="str" cm="1">
        <f t="array" ref="D102">Common_InputFunctions.Utility_DisplayArrayInTable(SourceData_Swine.SourceData_Swine_FractionNVolatilised_Data(), Table_SourceData_Swine_FracGASM[[#Headers],[MMSm]],0)</f>
        <v>Stockpile (Solid storage)</v>
      </c>
      <c r="E102" s="10" cm="1">
        <f t="array" ref="E102">Common_InputFunctions.Utility_DisplayArrayInTable(SourceData_Swine.SourceData_Swine_FractionNVolatilised_Data(), Table_SourceData_Swine_FracGASM[[#Headers],[MMSm]],0)</f>
        <v>0.2</v>
      </c>
      <c r="F102" s="10" t="str" cm="1">
        <f t="array" ref="F102">Common_InputFunctions.Utility_DisplayArrayInTable(SourceData_Swine.SourceData_Swine_FractionNVolatilised_Data(), Table_SourceData_Swine_FracGASM[[#Headers],[MMSm]],0)</f>
        <v>Solid storage</v>
      </c>
      <c r="M102" s="8"/>
    </row>
    <row r="103" spans="4:13" ht="20.100000000000001" customHeight="1" x14ac:dyDescent="0.25">
      <c r="D103" s="10" t="str" cm="1">
        <f t="array" ref="D103">Common_InputFunctions.Utility_DisplayArrayInTable(SourceData_Swine.SourceData_Swine_FractionNVolatilised_Data(), Table_SourceData_Swine_FracGASM[[#Headers],[MMSm]],0)</f>
        <v>Effluent pond (Uncovered anaerobic lagoon)</v>
      </c>
      <c r="E103" s="10" cm="1">
        <f t="array" ref="E103">Common_InputFunctions.Utility_DisplayArrayInTable(SourceData_Swine.SourceData_Swine_FractionNVolatilised_Data(), Table_SourceData_Swine_FracGASM[[#Headers],[MMSm]],0)</f>
        <v>0.55000000000000004</v>
      </c>
      <c r="F103" s="10" t="str" cm="1">
        <f t="array" ref="F103">Common_InputFunctions.Utility_DisplayArrayInTable(SourceData_Swine.SourceData_Swine_FractionNVolatilised_Data(), Table_SourceData_Swine_FracGASM[[#Headers],[MMSm]],0)</f>
        <v>Anaerobic lagoon</v>
      </c>
      <c r="M103" s="8"/>
    </row>
    <row r="104" spans="4:13" ht="20.100000000000001" customHeight="1" x14ac:dyDescent="0.25">
      <c r="D104" s="10" t="str" cm="1">
        <f t="array" ref="D104">Common_InputFunctions.Utility_DisplayArrayInTable(SourceData_Swine.SourceData_Swine_FractionNVolatilised_Data(), Table_SourceData_Swine_FracGASM[[#Headers],[MMSm]],0)</f>
        <v>Anaerobic digester / Covered lagoon</v>
      </c>
      <c r="E104" s="10" cm="1">
        <f t="array" ref="E104">Common_InputFunctions.Utility_DisplayArrayInTable(SourceData_Swine.SourceData_Swine_FractionNVolatilised_Data(), Table_SourceData_Swine_FracGASM[[#Headers],[MMSm]],0)</f>
        <v>0</v>
      </c>
      <c r="F104" s="10" t="str" cm="1">
        <f t="array" ref="F104">Common_InputFunctions.Utility_DisplayArrayInTable(SourceData_Swine.SourceData_Swine_FractionNVolatilised_Data(), Table_SourceData_Swine_FracGASM[[#Headers],[MMSm]],0)</f>
        <v>Digester / covered lagoons</v>
      </c>
      <c r="M104" s="8"/>
    </row>
    <row r="105" spans="4:13" ht="20.100000000000001" customHeight="1" x14ac:dyDescent="0.25">
      <c r="D105" s="10" t="str" cm="1">
        <f t="array" ref="D105">Common_InputFunctions.Utility_DisplayArrayInTable(SourceData_Swine.SourceData_Swine_FractionNVolatilised_Data(), Table_SourceData_Swine_FracGASM[[#Headers],[MMSm]],0)</f>
        <v>Short HRT tank storage &lt; 1 month (pit storage)</v>
      </c>
      <c r="E105" s="10" cm="1">
        <f t="array" ref="E105">Common_InputFunctions.Utility_DisplayArrayInTable(SourceData_Swine.SourceData_Swine_FractionNVolatilised_Data(), Table_SourceData_Swine_FracGASM[[#Headers],[MMSm]],0)</f>
        <v>0.25</v>
      </c>
      <c r="F105" s="10" t="str" cm="1">
        <f t="array" ref="F105">Common_InputFunctions.Utility_DisplayArrayInTable(SourceData_Swine.SourceData_Swine_FractionNVolatilised_Data(), Table_SourceData_Swine_FracGASM[[#Headers],[MMSm]],0)</f>
        <v>Pit storage</v>
      </c>
      <c r="M105" s="8"/>
    </row>
    <row r="106" spans="4:13" ht="20.100000000000001" customHeight="1" x14ac:dyDescent="0.25">
      <c r="M106" s="8"/>
    </row>
    <row r="107" spans="4:13" ht="20.100000000000001" customHeight="1" x14ac:dyDescent="0.25">
      <c r="M107" s="8"/>
    </row>
    <row r="108" spans="4:13" ht="20.100000000000001" customHeight="1" x14ac:dyDescent="0.25">
      <c r="D108" s="9" t="str" cm="1">
        <f t="array" ref="D108">SourceData_Swine.SourceData_Swine_NitrousOxideEFs_Title()</f>
        <v>Swine - Nitrous oxide EFs by MMS (EFmT)</v>
      </c>
      <c r="M108" s="8"/>
    </row>
    <row r="109" spans="4:13" ht="20.100000000000001" customHeight="1" x14ac:dyDescent="0.25">
      <c r="D109" s="11" t="str" cm="1">
        <f t="array" ref="D109">SourceData_Swine.SourceData_Swine_NitrousOxideEFs_Source()</f>
        <v>VEERG 2026: Table A.1.6.3: Swine - Nitrous oxide EFs by MMS (kgN2O-N/kgN) (EFmT)</v>
      </c>
      <c r="M109" s="8"/>
    </row>
    <row r="110" spans="4:13" ht="20.100000000000001" customHeight="1" x14ac:dyDescent="0.25">
      <c r="D110" s="12" t="str" cm="1">
        <f t="array" ref="D110">SourceData_Swine.SourceData_Swine_NitrousOxideEFs_Variation()</f>
        <v>VARIATION ON SOURCE DATA: Added 'NIR reference column to aid lookup.</v>
      </c>
      <c r="M110" s="8"/>
    </row>
    <row r="111" spans="4:13" ht="20.100000000000001" customHeight="1" x14ac:dyDescent="0.25">
      <c r="D111" s="10" t="s">
        <v>594</v>
      </c>
      <c r="E111" s="10" t="s">
        <v>596</v>
      </c>
      <c r="F111" s="10" t="s">
        <v>565</v>
      </c>
      <c r="M111" s="8"/>
    </row>
    <row r="112" spans="4:13" ht="20.100000000000001" customHeight="1" x14ac:dyDescent="0.25">
      <c r="D112" s="10" t="str" cm="1">
        <f t="array" ref="D112">Common_InputFunctions.Utility_DisplayArrayInTable(SourceData_Swine.SourceData_Swine_NitrousOxideEFs_Data(), Table_SourceData_Swine_FracGASM28[[#Headers],[MMSm]],0)</f>
        <v>Outdoor (Dry lot)</v>
      </c>
      <c r="E112" s="10" cm="1">
        <f t="array" ref="E112">Common_InputFunctions.Utility_DisplayArrayInTable(SourceData_Swine.SourceData_Swine_NitrousOxideEFs_Data(), Table_SourceData_Swine_FracGASM28[[#Headers],[MMSm]],0)</f>
        <v>0.02</v>
      </c>
      <c r="F112" s="10" t="str" cm="1">
        <f t="array" ref="F112">Common_InputFunctions.Utility_DisplayArrayInTable(SourceData_Swine.SourceData_Swine_NitrousOxideEFs_Data(), Table_SourceData_Swine_FracGASM28[[#Headers],[MMSm]],0)</f>
        <v>Drylot (feed pad)</v>
      </c>
      <c r="M112" s="8"/>
    </row>
    <row r="113" spans="1:22" ht="20.100000000000001" customHeight="1" x14ac:dyDescent="0.25">
      <c r="D113" s="10" t="str" cm="1">
        <f t="array" ref="D113">Common_InputFunctions.Utility_DisplayArrayInTable(SourceData_Swine.SourceData_Swine_NitrousOxideEFs_Data(), Table_SourceData_Swine_FracGASM28[[#Headers],[MMSm]],0)</f>
        <v>Deep litter</v>
      </c>
      <c r="E113" s="10" cm="1">
        <f t="array" ref="E113">Common_InputFunctions.Utility_DisplayArrayInTable(SourceData_Swine.SourceData_Swine_NitrousOxideEFs_Data(), Table_SourceData_Swine_FracGASM28[[#Headers],[MMSm]],0)</f>
        <v>0.01</v>
      </c>
      <c r="F113" s="10" t="str" cm="1">
        <f t="array" ref="F113">Common_InputFunctions.Utility_DisplayArrayInTable(SourceData_Swine.SourceData_Swine_NitrousOxideEFs_Data(), Table_SourceData_Swine_FracGASM28[[#Headers],[MMSm]],0)</f>
        <v>Deep litter</v>
      </c>
      <c r="M113" s="8"/>
    </row>
    <row r="114" spans="1:22" ht="20.100000000000001" customHeight="1" x14ac:dyDescent="0.25">
      <c r="D114" s="10" t="str" cm="1">
        <f t="array" ref="D114">Common_InputFunctions.Utility_DisplayArrayInTable(SourceData_Swine.SourceData_Swine_NitrousOxideEFs_Data(), Table_SourceData_Swine_FracGASM28[[#Headers],[MMSm]],0)</f>
        <v>Stockpile (Solid storage)</v>
      </c>
      <c r="E114" s="10" cm="1">
        <f t="array" ref="E114">Common_InputFunctions.Utility_DisplayArrayInTable(SourceData_Swine.SourceData_Swine_NitrousOxideEFs_Data(), Table_SourceData_Swine_FracGASM28[[#Headers],[MMSm]],0)</f>
        <v>5.0000000000000001E-3</v>
      </c>
      <c r="F114" s="10" t="str" cm="1">
        <f t="array" ref="F114">Common_InputFunctions.Utility_DisplayArrayInTable(SourceData_Swine.SourceData_Swine_NitrousOxideEFs_Data(), Table_SourceData_Swine_FracGASM28[[#Headers],[MMSm]],0)</f>
        <v>Solid storage</v>
      </c>
      <c r="M114" s="8"/>
    </row>
    <row r="115" spans="1:22" ht="20.100000000000001" customHeight="1" x14ac:dyDescent="0.25">
      <c r="D115" s="10" t="str" cm="1">
        <f t="array" ref="D115">Common_InputFunctions.Utility_DisplayArrayInTable(SourceData_Swine.SourceData_Swine_NitrousOxideEFs_Data(), Table_SourceData_Swine_FracGASM28[[#Headers],[MMSm]],0)</f>
        <v>Effluent pond (Uncovered anaerobic lagoon)</v>
      </c>
      <c r="E115" s="10" cm="1">
        <f t="array" ref="E115">Common_InputFunctions.Utility_DisplayArrayInTable(SourceData_Swine.SourceData_Swine_NitrousOxideEFs_Data(), Table_SourceData_Swine_FracGASM28[[#Headers],[MMSm]],0)</f>
        <v>0</v>
      </c>
      <c r="F115" s="10" t="str" cm="1">
        <f t="array" ref="F115">Common_InputFunctions.Utility_DisplayArrayInTable(SourceData_Swine.SourceData_Swine_NitrousOxideEFs_Data(), Table_SourceData_Swine_FracGASM28[[#Headers],[MMSm]],0)</f>
        <v>Anaerobic lagoon</v>
      </c>
      <c r="M115" s="8"/>
      <c r="V115" s="8"/>
    </row>
    <row r="116" spans="1:22" ht="20.100000000000001" customHeight="1" x14ac:dyDescent="0.25">
      <c r="D116" s="10" t="str" cm="1">
        <f t="array" ref="D116">Common_InputFunctions.Utility_DisplayArrayInTable(SourceData_Swine.SourceData_Swine_NitrousOxideEFs_Data(), Table_SourceData_Swine_FracGASM28[[#Headers],[MMSm]],0)</f>
        <v>Anaerobic digestor / Covered lagoon</v>
      </c>
      <c r="E116" s="10" cm="1">
        <f t="array" ref="E116">Common_InputFunctions.Utility_DisplayArrayInTable(SourceData_Swine.SourceData_Swine_NitrousOxideEFs_Data(), Table_SourceData_Swine_FracGASM28[[#Headers],[MMSm]],0)</f>
        <v>0</v>
      </c>
      <c r="F116" s="10" t="str" cm="1">
        <f t="array" ref="F116">Common_InputFunctions.Utility_DisplayArrayInTable(SourceData_Swine.SourceData_Swine_NitrousOxideEFs_Data(), Table_SourceData_Swine_FracGASM28[[#Headers],[MMSm]],0)</f>
        <v>Digester / covered lagoons</v>
      </c>
      <c r="M116" s="8"/>
      <c r="V116" s="8"/>
    </row>
    <row r="117" spans="1:22" ht="20.100000000000001" customHeight="1" x14ac:dyDescent="0.25">
      <c r="A117" s="45" t="str">
        <f>HYPERLINK("#A1", "▲ Back to top")</f>
        <v>▲ Back to top</v>
      </c>
      <c r="D117" s="10" t="str" cm="1">
        <f t="array" ref="D117">Common_InputFunctions.Utility_DisplayArrayInTable(SourceData_Swine.SourceData_Swine_NitrousOxideEFs_Data(), Table_SourceData_Swine_FracGASM28[[#Headers],[MMSm]],0)</f>
        <v>Short HRT tank storage &lt; 1 month (pit storage)</v>
      </c>
      <c r="E117" s="10" cm="1">
        <f t="array" ref="E117">Common_InputFunctions.Utility_DisplayArrayInTable(SourceData_Swine.SourceData_Swine_NitrousOxideEFs_Data(), Table_SourceData_Swine_FracGASM28[[#Headers],[MMSm]],0)</f>
        <v>2E-3</v>
      </c>
      <c r="F117" s="10" t="str" cm="1">
        <f t="array" ref="F117">Common_InputFunctions.Utility_DisplayArrayInTable(SourceData_Swine.SourceData_Swine_NitrousOxideEFs_Data(), Table_SourceData_Swine_FracGASM28[[#Headers],[MMSm]],0)</f>
        <v>Pit storage</v>
      </c>
      <c r="M117" s="8"/>
      <c r="V117" s="8"/>
    </row>
    <row r="118" spans="1:22" ht="20.100000000000001" customHeight="1" x14ac:dyDescent="0.25">
      <c r="M118" s="8"/>
    </row>
    <row r="119" spans="1:22" ht="20.100000000000001" customHeight="1" x14ac:dyDescent="0.25">
      <c r="M119" s="8"/>
    </row>
    <row r="120" spans="1:22" ht="20.100000000000001" customHeight="1" x14ac:dyDescent="0.25">
      <c r="D120" s="9" t="str" cm="1">
        <f t="array" ref="D120">SourceData_Swine.SourceData_Swine_MegajoulesPerKilogramMethane_Title()</f>
        <v>Megajoules per kilogram of methane</v>
      </c>
      <c r="M120" s="8"/>
    </row>
    <row r="121" spans="1:22" ht="20.100000000000001" customHeight="1" x14ac:dyDescent="0.25">
      <c r="D121" s="11" t="str" cm="1">
        <f t="array" ref="D121">SourceData_Swine.SourceData_Swine_MegajoulesPerKilogramMethane_Source()</f>
        <v>VEERG 2026: 3.5.2.3 CONSTANT</v>
      </c>
      <c r="M121" s="8"/>
    </row>
    <row r="122" spans="1:22" ht="20.100000000000001" customHeight="1" x14ac:dyDescent="0.25">
      <c r="D122" s="24" t="str" cm="1">
        <f t="array" ref="D122">SourceData_Swine.SourceData_Swine_MegajoulesPerKilogramMethane_Variable()</f>
        <v>F</v>
      </c>
      <c r="E122" s="8" cm="1">
        <f t="array" ref="E122">SourceData_Swine.SourceData_Swine_MegajoulesPerKilogramMethane_Data()</f>
        <v>55.22</v>
      </c>
      <c r="F122" s="13" t="str" cm="1">
        <f t="array" ref="F122">SourceData_Swine.SourceData_Swine_MegajoulesPerKilogramMethane_Unit()</f>
        <v>MJ / kg CH4</v>
      </c>
      <c r="M122" s="8"/>
    </row>
    <row r="123" spans="1:22" ht="20.100000000000001" customHeight="1" x14ac:dyDescent="0.25">
      <c r="M123" s="8"/>
    </row>
    <row r="124" spans="1:22" ht="20.100000000000001" customHeight="1" x14ac:dyDescent="0.25">
      <c r="M124" s="8"/>
    </row>
    <row r="125" spans="1:22" ht="20.100000000000001" customHeight="1" x14ac:dyDescent="0.25">
      <c r="D125" s="9" t="str" cm="1">
        <f t="array" ref="D125">SourceData_Swine.SourceData_Swine_AverageLiveweight_Title()</f>
        <v>Swine - Average liveweight (inventory defaults) (kg) (Wco)</v>
      </c>
      <c r="M125" s="8"/>
      <c r="V125" s="8"/>
    </row>
    <row r="126" spans="1:22" ht="20.100000000000001" customHeight="1" x14ac:dyDescent="0.25">
      <c r="D126" s="11" t="str" cm="1">
        <f t="array" ref="D126">SourceData_Swine.SourceData_Swine_AverageLiveweight_Source()</f>
        <v>VEERG 2026: Table A.1.6.5: Swine - Average liveweight (inventory defaults) (kg) (Wco)</v>
      </c>
      <c r="M126" s="8"/>
      <c r="V126" s="8"/>
    </row>
    <row r="127" spans="1:22" ht="20.100000000000001" customHeight="1" x14ac:dyDescent="0.25">
      <c r="D127" s="10" t="s">
        <v>597</v>
      </c>
      <c r="E127" s="10" t="s">
        <v>598</v>
      </c>
      <c r="M127" s="8"/>
      <c r="V127" s="8"/>
    </row>
    <row r="128" spans="1:22" ht="20.100000000000001" customHeight="1" x14ac:dyDescent="0.25">
      <c r="D128" s="10" t="str" cm="1">
        <f t="array" ref="D128">Common_InputFunctions.Utility_DisplayArrayInTable(SourceData_Swine.SourceData_Swine_AverageLiveweight_Data(),Table_SourceData_Swine_Liveweight[[#Headers],[Livestock type j]],0)</f>
        <v>Sows</v>
      </c>
      <c r="E128" s="10" cm="1">
        <f t="array" ref="E128">Common_InputFunctions.Utility_DisplayArrayInTable(SourceData_Swine.SourceData_Swine_AverageLiveweight_Data(),Table_SourceData_Swine_Liveweight[[#Headers],[Livestock type j]],0)</f>
        <v>188</v>
      </c>
      <c r="M128" s="8"/>
      <c r="V128" s="8"/>
    </row>
    <row r="129" spans="4:22" ht="20.100000000000001" customHeight="1" x14ac:dyDescent="0.25">
      <c r="D129" s="8" t="str" cm="1">
        <f t="array" ref="D129">Common_InputFunctions.Utility_DisplayArrayInTable(SourceData_Swine.SourceData_Swine_AverageLiveweight_Data(),Table_SourceData_Swine_Liveweight[[#Headers],[Livestock type j]],0)</f>
        <v>Boars</v>
      </c>
      <c r="E129" s="10" cm="1">
        <f t="array" ref="E129">Common_InputFunctions.Utility_DisplayArrayInTable(SourceData_Swine.SourceData_Swine_AverageLiveweight_Data(),Table_SourceData_Swine_Liveweight[[#Headers],[Livestock type j]],0)</f>
        <v>206</v>
      </c>
      <c r="M129" s="8"/>
      <c r="V129" s="8"/>
    </row>
    <row r="130" spans="4:22" ht="20.100000000000001" customHeight="1" x14ac:dyDescent="0.25">
      <c r="D130" s="8" t="str" cm="1">
        <f t="array" ref="D130">Common_InputFunctions.Utility_DisplayArrayInTable(SourceData_Swine.SourceData_Swine_AverageLiveweight_Data(),Table_SourceData_Swine_Liveweight[[#Headers],[Livestock type j]],0)</f>
        <v>Gilts</v>
      </c>
      <c r="E130" s="10" cm="1">
        <f t="array" ref="E130">Common_InputFunctions.Utility_DisplayArrayInTable(SourceData_Swine.SourceData_Swine_AverageLiveweight_Data(),Table_SourceData_Swine_Liveweight[[#Headers],[Livestock type j]],0)</f>
        <v>125</v>
      </c>
      <c r="M130" s="8"/>
      <c r="V130" s="8"/>
    </row>
    <row r="131" spans="4:22" ht="20.100000000000001" customHeight="1" x14ac:dyDescent="0.25">
      <c r="D131" s="8" t="str" cm="1">
        <f t="array" ref="D131">Common_InputFunctions.Utility_DisplayArrayInTable(SourceData_Swine.SourceData_Swine_AverageLiveweight_Data(),Table_SourceData_Swine_Liveweight[[#Headers],[Livestock type j]],0)</f>
        <v>Slaughter pigs</v>
      </c>
      <c r="E131" s="10" cm="1">
        <f t="array" ref="E131">Common_InputFunctions.Utility_DisplayArrayInTable(SourceData_Swine.SourceData_Swine_AverageLiveweight_Data(),Table_SourceData_Swine_Liveweight[[#Headers],[Livestock type j]],0)</f>
        <v>39</v>
      </c>
      <c r="M131" s="8"/>
    </row>
    <row r="132" spans="4:22" ht="20.100000000000001" customHeight="1" x14ac:dyDescent="0.25">
      <c r="D132" s="8" t="str" cm="1">
        <f t="array" ref="D132">Common_InputFunctions.Utility_DisplayArrayInTable(SourceData_Swine.SourceData_Swine_AverageLiveweight_Data(),Table_SourceData_Swine_Liveweight[[#Headers],[Livestock type j]],0)</f>
        <v>Slaughter pigs at turnoff</v>
      </c>
      <c r="E132" s="10" cm="1">
        <f t="array" ref="E132">Common_InputFunctions.Utility_DisplayArrayInTable(SourceData_Swine.SourceData_Swine_AverageLiveweight_Data(),Table_SourceData_Swine_Liveweight[[#Headers],[Livestock type j]],0)</f>
        <v>97</v>
      </c>
      <c r="M132" s="8"/>
    </row>
    <row r="133" spans="4:22" ht="20.100000000000001" customHeight="1" x14ac:dyDescent="0.25">
      <c r="M133" s="8"/>
    </row>
    <row r="134" spans="4:22" ht="20.100000000000001" customHeight="1" x14ac:dyDescent="0.25">
      <c r="M134" s="8"/>
    </row>
    <row r="135" spans="4:22" ht="20.100000000000001" customHeight="1" x14ac:dyDescent="0.25">
      <c r="M135" s="8"/>
    </row>
    <row r="136" spans="4:22" ht="20.100000000000001" customHeight="1" x14ac:dyDescent="0.25">
      <c r="M136" s="8"/>
    </row>
    <row r="137" spans="4:22" ht="20.100000000000001" customHeight="1" x14ac:dyDescent="0.25">
      <c r="M137" s="8"/>
    </row>
    <row r="138" spans="4:22" ht="20.100000000000001" customHeight="1" x14ac:dyDescent="0.25">
      <c r="M138" s="8"/>
    </row>
    <row r="139" spans="4:22" ht="20.100000000000001" customHeight="1" x14ac:dyDescent="0.25">
      <c r="M139" s="8"/>
    </row>
    <row r="140" spans="4:22" ht="20.100000000000001" customHeight="1" x14ac:dyDescent="0.25">
      <c r="M140" s="8"/>
    </row>
    <row r="141" spans="4:22" ht="20.100000000000001" customHeight="1" x14ac:dyDescent="0.25">
      <c r="M141" s="8"/>
    </row>
    <row r="142" spans="4:22" ht="20.100000000000001" customHeight="1" x14ac:dyDescent="0.25">
      <c r="M142" s="8"/>
    </row>
    <row r="143" spans="4:22" ht="20.100000000000001" customHeight="1" x14ac:dyDescent="0.25">
      <c r="M143" s="8"/>
    </row>
    <row r="144" spans="4:22" ht="20.100000000000001" customHeight="1" x14ac:dyDescent="0.25">
      <c r="M144" s="8"/>
    </row>
    <row r="145" spans="13:13" ht="20.100000000000001" customHeight="1" x14ac:dyDescent="0.25">
      <c r="M145" s="8"/>
    </row>
    <row r="146" spans="13:13" ht="20.100000000000001" customHeight="1" x14ac:dyDescent="0.25">
      <c r="M146" s="8"/>
    </row>
    <row r="147" spans="13:13" ht="20.100000000000001" customHeight="1" x14ac:dyDescent="0.25">
      <c r="M147" s="8"/>
    </row>
    <row r="148" spans="13:13" ht="20.100000000000001" customHeight="1" x14ac:dyDescent="0.25">
      <c r="M148" s="8"/>
    </row>
    <row r="149" spans="13:13" ht="20.100000000000001" customHeight="1" x14ac:dyDescent="0.25">
      <c r="M149" s="8"/>
    </row>
    <row r="150" spans="13:13" ht="20.100000000000001" customHeight="1" x14ac:dyDescent="0.25">
      <c r="M150" s="8"/>
    </row>
    <row r="151" spans="13:13" ht="20.100000000000001" customHeight="1" x14ac:dyDescent="0.25">
      <c r="M151" s="8"/>
    </row>
    <row r="152" spans="13:13" ht="20.100000000000001" customHeight="1" x14ac:dyDescent="0.25">
      <c r="M152" s="8"/>
    </row>
    <row r="153" spans="13:13" ht="20.100000000000001" customHeight="1" x14ac:dyDescent="0.25">
      <c r="M153" s="8"/>
    </row>
    <row r="154" spans="13:13" ht="20.100000000000001" customHeight="1" x14ac:dyDescent="0.25">
      <c r="M154" s="8"/>
    </row>
    <row r="155" spans="13:13" ht="20.100000000000001" customHeight="1" x14ac:dyDescent="0.25">
      <c r="M155" s="8"/>
    </row>
    <row r="156" spans="13:13" ht="20.100000000000001" customHeight="1" x14ac:dyDescent="0.25">
      <c r="M156" s="8"/>
    </row>
    <row r="157" spans="13:13" ht="20.100000000000001" customHeight="1" x14ac:dyDescent="0.25">
      <c r="M157" s="8"/>
    </row>
    <row r="158" spans="13:13" ht="20.100000000000001" customHeight="1" x14ac:dyDescent="0.25">
      <c r="M158" s="8"/>
    </row>
    <row r="159" spans="13:13" ht="20.100000000000001" customHeight="1" x14ac:dyDescent="0.25">
      <c r="M159" s="8"/>
    </row>
    <row r="160" spans="13:13" ht="20.100000000000001" customHeight="1" x14ac:dyDescent="0.25">
      <c r="M160" s="8"/>
    </row>
    <row r="161" spans="13:13" ht="20.100000000000001" customHeight="1" x14ac:dyDescent="0.25">
      <c r="M161" s="8"/>
    </row>
    <row r="162" spans="13:13" ht="20.100000000000001" customHeight="1" x14ac:dyDescent="0.25">
      <c r="M162" s="8"/>
    </row>
    <row r="163" spans="13:13" ht="20.100000000000001" customHeight="1" x14ac:dyDescent="0.25">
      <c r="M163" s="8"/>
    </row>
    <row r="164" spans="13:13" ht="20.100000000000001" customHeight="1" x14ac:dyDescent="0.25">
      <c r="M164" s="8"/>
    </row>
    <row r="165" spans="13:13" ht="20.100000000000001" customHeight="1" x14ac:dyDescent="0.25">
      <c r="M165" s="8"/>
    </row>
    <row r="166" spans="13:13" x14ac:dyDescent="0.25">
      <c r="M166" s="8"/>
    </row>
    <row r="167" spans="13:13" x14ac:dyDescent="0.25">
      <c r="M167" s="8"/>
    </row>
    <row r="168" spans="13:13" x14ac:dyDescent="0.25">
      <c r="M168" s="8"/>
    </row>
    <row r="169" spans="13:13" x14ac:dyDescent="0.25">
      <c r="M169" s="8"/>
    </row>
    <row r="170" spans="13:13" x14ac:dyDescent="0.25">
      <c r="M170" s="8"/>
    </row>
    <row r="171" spans="13:13" x14ac:dyDescent="0.25">
      <c r="M171" s="8"/>
    </row>
    <row r="172" spans="13:13" x14ac:dyDescent="0.25">
      <c r="M172" s="8"/>
    </row>
    <row r="173" spans="13:13" x14ac:dyDescent="0.25">
      <c r="M173" s="8"/>
    </row>
    <row r="174" spans="13:13" x14ac:dyDescent="0.25">
      <c r="M174" s="8"/>
    </row>
    <row r="175" spans="13:13" x14ac:dyDescent="0.25">
      <c r="M175" s="8"/>
    </row>
    <row r="176" spans="13:13" x14ac:dyDescent="0.25">
      <c r="M176" s="8"/>
    </row>
    <row r="177" spans="13:13" x14ac:dyDescent="0.25">
      <c r="M177" s="8"/>
    </row>
    <row r="178" spans="13:13" x14ac:dyDescent="0.25">
      <c r="M178" s="8"/>
    </row>
    <row r="179" spans="13:13" x14ac:dyDescent="0.25">
      <c r="M179" s="8"/>
    </row>
    <row r="180" spans="13:13" x14ac:dyDescent="0.25">
      <c r="M180" s="8"/>
    </row>
    <row r="181" spans="13:13" x14ac:dyDescent="0.25">
      <c r="M181" s="8"/>
    </row>
    <row r="182" spans="13:13" x14ac:dyDescent="0.25">
      <c r="M182" s="8"/>
    </row>
    <row r="183" spans="13:13" x14ac:dyDescent="0.25">
      <c r="M183" s="8"/>
    </row>
    <row r="184" spans="13:13" x14ac:dyDescent="0.25">
      <c r="M184" s="8"/>
    </row>
    <row r="185" spans="13:13" x14ac:dyDescent="0.25">
      <c r="M185" s="8"/>
    </row>
    <row r="186" spans="13:13" x14ac:dyDescent="0.25">
      <c r="M186" s="8"/>
    </row>
    <row r="187" spans="13:13" x14ac:dyDescent="0.25">
      <c r="M187" s="8"/>
    </row>
    <row r="188" spans="13:13" x14ac:dyDescent="0.25">
      <c r="M188" s="8"/>
    </row>
    <row r="189" spans="13:13" x14ac:dyDescent="0.25">
      <c r="M189" s="8"/>
    </row>
    <row r="190" spans="13:13" x14ac:dyDescent="0.25">
      <c r="M190" s="8"/>
    </row>
    <row r="191" spans="13:13" x14ac:dyDescent="0.25">
      <c r="M191" s="8"/>
    </row>
    <row r="192" spans="13:13" x14ac:dyDescent="0.25">
      <c r="M192" s="8"/>
    </row>
    <row r="193" spans="13:13" x14ac:dyDescent="0.25">
      <c r="M193" s="8"/>
    </row>
    <row r="194" spans="13:13" x14ac:dyDescent="0.25">
      <c r="M194" s="8"/>
    </row>
    <row r="195" spans="13:13" x14ac:dyDescent="0.25">
      <c r="M195" s="8"/>
    </row>
    <row r="196" spans="13:13" x14ac:dyDescent="0.25">
      <c r="M196" s="8"/>
    </row>
    <row r="197" spans="13:13" x14ac:dyDescent="0.25">
      <c r="M197" s="8"/>
    </row>
    <row r="198" spans="13:13" x14ac:dyDescent="0.25">
      <c r="M198" s="8"/>
    </row>
    <row r="199" spans="13:13" x14ac:dyDescent="0.25">
      <c r="M199" s="8"/>
    </row>
    <row r="200" spans="13:13" x14ac:dyDescent="0.25">
      <c r="M200" s="8"/>
    </row>
    <row r="201" spans="13:13" x14ac:dyDescent="0.25">
      <c r="M201" s="8"/>
    </row>
    <row r="202" spans="13:13" x14ac:dyDescent="0.25">
      <c r="M202" s="8"/>
    </row>
    <row r="203" spans="13:13" x14ac:dyDescent="0.25">
      <c r="M203" s="8"/>
    </row>
    <row r="204" spans="13:13" x14ac:dyDescent="0.25">
      <c r="M204" s="8"/>
    </row>
    <row r="205" spans="13:13" x14ac:dyDescent="0.25">
      <c r="M205" s="8"/>
    </row>
    <row r="206" spans="13:13" x14ac:dyDescent="0.25">
      <c r="M206" s="8"/>
    </row>
    <row r="207" spans="13:13" x14ac:dyDescent="0.25">
      <c r="M207" s="8"/>
    </row>
    <row r="208" spans="13:13" x14ac:dyDescent="0.25">
      <c r="M208" s="8"/>
    </row>
    <row r="209" spans="13:13" x14ac:dyDescent="0.25">
      <c r="M209" s="8"/>
    </row>
    <row r="210" spans="13:13" x14ac:dyDescent="0.25">
      <c r="M210" s="8"/>
    </row>
    <row r="211" spans="13:13" x14ac:dyDescent="0.25">
      <c r="M211" s="8"/>
    </row>
    <row r="212" spans="13:13" x14ac:dyDescent="0.25">
      <c r="M212" s="8"/>
    </row>
    <row r="213" spans="13:13" x14ac:dyDescent="0.25">
      <c r="M213" s="8"/>
    </row>
    <row r="214" spans="13:13" x14ac:dyDescent="0.25">
      <c r="M214" s="8"/>
    </row>
    <row r="215" spans="13:13" x14ac:dyDescent="0.25">
      <c r="M215" s="8"/>
    </row>
    <row r="216" spans="13:13" x14ac:dyDescent="0.25">
      <c r="M216" s="8"/>
    </row>
    <row r="217" spans="13:13" x14ac:dyDescent="0.25">
      <c r="M217" s="8"/>
    </row>
    <row r="218" spans="13:13" x14ac:dyDescent="0.25">
      <c r="M218" s="8"/>
    </row>
    <row r="219" spans="13:13" x14ac:dyDescent="0.25">
      <c r="M219" s="8"/>
    </row>
    <row r="220" spans="13:13" x14ac:dyDescent="0.25">
      <c r="M220" s="8"/>
    </row>
    <row r="221" spans="13:13" x14ac:dyDescent="0.25">
      <c r="M221" s="8"/>
    </row>
    <row r="222" spans="13:13" x14ac:dyDescent="0.25">
      <c r="M222" s="8"/>
    </row>
    <row r="223" spans="13:13" x14ac:dyDescent="0.25">
      <c r="M223" s="8"/>
    </row>
    <row r="224" spans="13:13" x14ac:dyDescent="0.25">
      <c r="M224" s="8"/>
    </row>
    <row r="225" spans="13:13" x14ac:dyDescent="0.25">
      <c r="M225" s="8"/>
    </row>
    <row r="226" spans="13:13" x14ac:dyDescent="0.25">
      <c r="M226" s="8"/>
    </row>
    <row r="227" spans="13:13" x14ac:dyDescent="0.25">
      <c r="M227" s="8"/>
    </row>
    <row r="228" spans="13:13" x14ac:dyDescent="0.25">
      <c r="M228" s="8"/>
    </row>
    <row r="229" spans="13:13" x14ac:dyDescent="0.25">
      <c r="M229" s="8"/>
    </row>
    <row r="230" spans="13:13" x14ac:dyDescent="0.25">
      <c r="M230" s="8"/>
    </row>
    <row r="231" spans="13:13" x14ac:dyDescent="0.25">
      <c r="M231" s="8"/>
    </row>
    <row r="232" spans="13:13" x14ac:dyDescent="0.25">
      <c r="M232" s="8"/>
    </row>
    <row r="233" spans="13:13" x14ac:dyDescent="0.25">
      <c r="M233" s="8"/>
    </row>
    <row r="234" spans="13:13" x14ac:dyDescent="0.25">
      <c r="M234" s="8"/>
    </row>
    <row r="235" spans="13:13" x14ac:dyDescent="0.25">
      <c r="M235" s="8"/>
    </row>
    <row r="236" spans="13:13" x14ac:dyDescent="0.25">
      <c r="M236" s="8"/>
    </row>
    <row r="237" spans="13:13" x14ac:dyDescent="0.25">
      <c r="M237" s="8"/>
    </row>
    <row r="238" spans="13:13" x14ac:dyDescent="0.25">
      <c r="M238" s="8"/>
    </row>
    <row r="239" spans="13:13" x14ac:dyDescent="0.25">
      <c r="M239" s="8"/>
    </row>
    <row r="240" spans="13:13" x14ac:dyDescent="0.25">
      <c r="M240" s="8"/>
    </row>
    <row r="241" spans="13:13" x14ac:dyDescent="0.25">
      <c r="M241" s="8"/>
    </row>
    <row r="242" spans="13:13" x14ac:dyDescent="0.25">
      <c r="M242" s="8"/>
    </row>
    <row r="243" spans="13:13" x14ac:dyDescent="0.25">
      <c r="M243" s="8"/>
    </row>
    <row r="244" spans="13:13" x14ac:dyDescent="0.25">
      <c r="M244" s="8"/>
    </row>
    <row r="245" spans="13:13" x14ac:dyDescent="0.25">
      <c r="M245" s="8"/>
    </row>
    <row r="246" spans="13:13" x14ac:dyDescent="0.25">
      <c r="M246" s="8"/>
    </row>
    <row r="247" spans="13:13" x14ac:dyDescent="0.25">
      <c r="M247" s="8"/>
    </row>
    <row r="248" spans="13:13" x14ac:dyDescent="0.25">
      <c r="M248" s="8"/>
    </row>
    <row r="249" spans="13:13" x14ac:dyDescent="0.25">
      <c r="M249" s="8"/>
    </row>
    <row r="250" spans="13:13" x14ac:dyDescent="0.25">
      <c r="M250" s="8"/>
    </row>
    <row r="251" spans="13:13" x14ac:dyDescent="0.25">
      <c r="M251" s="8"/>
    </row>
    <row r="252" spans="13:13" x14ac:dyDescent="0.25">
      <c r="M252" s="8"/>
    </row>
    <row r="253" spans="13:13" x14ac:dyDescent="0.25">
      <c r="M253" s="8"/>
    </row>
    <row r="254" spans="13:13" x14ac:dyDescent="0.25">
      <c r="M254" s="8"/>
    </row>
    <row r="255" spans="13:13" x14ac:dyDescent="0.25">
      <c r="M255" s="8"/>
    </row>
    <row r="256" spans="13:13" x14ac:dyDescent="0.25">
      <c r="M256" s="8"/>
    </row>
    <row r="257" spans="13:13" x14ac:dyDescent="0.25">
      <c r="M257" s="8"/>
    </row>
    <row r="258" spans="13:13" x14ac:dyDescent="0.25">
      <c r="M258" s="8"/>
    </row>
    <row r="259" spans="13:13" x14ac:dyDescent="0.25">
      <c r="M259" s="8"/>
    </row>
    <row r="260" spans="13:13" x14ac:dyDescent="0.25">
      <c r="M260" s="8"/>
    </row>
    <row r="261" spans="13:13" x14ac:dyDescent="0.25">
      <c r="M261" s="8"/>
    </row>
    <row r="262" spans="13:13" x14ac:dyDescent="0.25">
      <c r="M262" s="8"/>
    </row>
    <row r="263" spans="13:13" x14ac:dyDescent="0.25">
      <c r="M263" s="8"/>
    </row>
    <row r="264" spans="13:13" x14ac:dyDescent="0.25">
      <c r="M264" s="8"/>
    </row>
    <row r="265" spans="13:13" x14ac:dyDescent="0.25">
      <c r="M265" s="8"/>
    </row>
    <row r="266" spans="13:13" x14ac:dyDescent="0.25">
      <c r="M266" s="8"/>
    </row>
    <row r="267" spans="13:13" x14ac:dyDescent="0.25">
      <c r="M267" s="8"/>
    </row>
    <row r="268" spans="13:13" x14ac:dyDescent="0.25">
      <c r="M268" s="8"/>
    </row>
    <row r="269" spans="13:13" x14ac:dyDescent="0.25">
      <c r="M269" s="8"/>
    </row>
    <row r="270" spans="13:13" x14ac:dyDescent="0.25">
      <c r="M270" s="8"/>
    </row>
    <row r="271" spans="13:13" x14ac:dyDescent="0.25">
      <c r="M271" s="8"/>
    </row>
    <row r="272" spans="13:13" x14ac:dyDescent="0.25">
      <c r="M272" s="8"/>
    </row>
    <row r="273" spans="13:13" x14ac:dyDescent="0.25">
      <c r="M273" s="8"/>
    </row>
    <row r="274" spans="13:13" x14ac:dyDescent="0.25">
      <c r="M274" s="8"/>
    </row>
    <row r="275" spans="13:13" x14ac:dyDescent="0.25">
      <c r="M275" s="8"/>
    </row>
    <row r="276" spans="13:13" x14ac:dyDescent="0.25">
      <c r="M276" s="8"/>
    </row>
    <row r="277" spans="13:13" x14ac:dyDescent="0.25">
      <c r="M277" s="8"/>
    </row>
    <row r="278" spans="13:13" x14ac:dyDescent="0.25">
      <c r="M278" s="8"/>
    </row>
    <row r="279" spans="13:13" x14ac:dyDescent="0.25">
      <c r="M279" s="8"/>
    </row>
    <row r="280" spans="13:13" x14ac:dyDescent="0.25">
      <c r="M280" s="8"/>
    </row>
    <row r="281" spans="13:13" x14ac:dyDescent="0.25">
      <c r="M281" s="8"/>
    </row>
    <row r="282" spans="13:13" x14ac:dyDescent="0.25">
      <c r="M282" s="8"/>
    </row>
    <row r="283" spans="13:13" x14ac:dyDescent="0.25">
      <c r="M283" s="8"/>
    </row>
    <row r="284" spans="13:13" x14ac:dyDescent="0.25">
      <c r="M284" s="8"/>
    </row>
    <row r="285" spans="13:13" x14ac:dyDescent="0.25">
      <c r="M285" s="8"/>
    </row>
    <row r="286" spans="13:13" x14ac:dyDescent="0.25">
      <c r="M286" s="8"/>
    </row>
    <row r="287" spans="13:13" x14ac:dyDescent="0.25">
      <c r="M287" s="8"/>
    </row>
    <row r="288" spans="13:13" x14ac:dyDescent="0.25">
      <c r="M288" s="8"/>
    </row>
    <row r="289" spans="13:13" x14ac:dyDescent="0.25">
      <c r="M289" s="8"/>
    </row>
    <row r="290" spans="13:13" x14ac:dyDescent="0.25">
      <c r="M290" s="8"/>
    </row>
    <row r="291" spans="13:13" x14ac:dyDescent="0.25">
      <c r="M291" s="8"/>
    </row>
    <row r="292" spans="13:13" x14ac:dyDescent="0.25">
      <c r="M292" s="8"/>
    </row>
    <row r="293" spans="13:13" x14ac:dyDescent="0.25">
      <c r="M293" s="8"/>
    </row>
    <row r="294" spans="13:13" x14ac:dyDescent="0.25">
      <c r="M294" s="8"/>
    </row>
    <row r="295" spans="13:13" x14ac:dyDescent="0.25">
      <c r="M295" s="8"/>
    </row>
    <row r="296" spans="13:13" x14ac:dyDescent="0.25">
      <c r="M296" s="8"/>
    </row>
    <row r="297" spans="13:13" x14ac:dyDescent="0.25">
      <c r="M297" s="8"/>
    </row>
    <row r="298" spans="13:13" x14ac:dyDescent="0.25">
      <c r="M298" s="8"/>
    </row>
    <row r="299" spans="13:13" x14ac:dyDescent="0.25">
      <c r="M299" s="8"/>
    </row>
    <row r="300" spans="13:13" x14ac:dyDescent="0.25">
      <c r="M300" s="8"/>
    </row>
    <row r="301" spans="13:13" x14ac:dyDescent="0.25">
      <c r="M301" s="8"/>
    </row>
    <row r="302" spans="13:13" x14ac:dyDescent="0.25">
      <c r="M302" s="8"/>
    </row>
    <row r="303" spans="13:13" x14ac:dyDescent="0.25">
      <c r="M303" s="8"/>
    </row>
    <row r="304" spans="13:13" x14ac:dyDescent="0.25">
      <c r="M304" s="8"/>
    </row>
    <row r="305" spans="13:13" x14ac:dyDescent="0.25">
      <c r="M305" s="8"/>
    </row>
    <row r="306" spans="13:13" x14ac:dyDescent="0.25">
      <c r="M306" s="8"/>
    </row>
    <row r="307" spans="13:13" x14ac:dyDescent="0.25">
      <c r="M307" s="8"/>
    </row>
    <row r="308" spans="13:13" x14ac:dyDescent="0.25">
      <c r="M308" s="8"/>
    </row>
    <row r="309" spans="13:13" x14ac:dyDescent="0.25">
      <c r="M309" s="8"/>
    </row>
    <row r="310" spans="13:13" x14ac:dyDescent="0.25">
      <c r="M310" s="8"/>
    </row>
    <row r="311" spans="13:13" x14ac:dyDescent="0.25">
      <c r="M311" s="8"/>
    </row>
    <row r="312" spans="13:13" x14ac:dyDescent="0.25">
      <c r="M312" s="8"/>
    </row>
    <row r="313" spans="13:13" x14ac:dyDescent="0.25">
      <c r="M313" s="8"/>
    </row>
    <row r="314" spans="13:13" x14ac:dyDescent="0.25">
      <c r="M314" s="8"/>
    </row>
    <row r="315" spans="13:13" x14ac:dyDescent="0.25">
      <c r="M315" s="8"/>
    </row>
    <row r="316" spans="13:13" x14ac:dyDescent="0.25">
      <c r="M316" s="8"/>
    </row>
    <row r="317" spans="13:13" x14ac:dyDescent="0.25">
      <c r="M317" s="8"/>
    </row>
    <row r="318" spans="13:13" x14ac:dyDescent="0.25">
      <c r="M318" s="8"/>
    </row>
    <row r="319" spans="13:13" x14ac:dyDescent="0.25">
      <c r="M319" s="8"/>
    </row>
    <row r="320" spans="13:13" x14ac:dyDescent="0.25">
      <c r="M320" s="8"/>
    </row>
    <row r="321" spans="13:13" x14ac:dyDescent="0.25">
      <c r="M321" s="8"/>
    </row>
    <row r="322" spans="13:13" x14ac:dyDescent="0.25">
      <c r="M322" s="8"/>
    </row>
    <row r="323" spans="13:13" x14ac:dyDescent="0.25">
      <c r="M323" s="8"/>
    </row>
    <row r="324" spans="13:13" x14ac:dyDescent="0.25">
      <c r="M324" s="8"/>
    </row>
    <row r="325" spans="13:13" x14ac:dyDescent="0.25">
      <c r="M325" s="8"/>
    </row>
    <row r="326" spans="13:13" x14ac:dyDescent="0.25">
      <c r="M326" s="8"/>
    </row>
    <row r="327" spans="13:13" x14ac:dyDescent="0.25">
      <c r="M327" s="8"/>
    </row>
    <row r="328" spans="13:13" x14ac:dyDescent="0.25">
      <c r="M328" s="8"/>
    </row>
    <row r="329" spans="13:13" x14ac:dyDescent="0.25">
      <c r="M329" s="8"/>
    </row>
    <row r="330" spans="13:13" x14ac:dyDescent="0.25">
      <c r="M330" s="8"/>
    </row>
    <row r="331" spans="13:13" x14ac:dyDescent="0.25">
      <c r="M331" s="8"/>
    </row>
    <row r="332" spans="13:13" x14ac:dyDescent="0.25">
      <c r="M332" s="8"/>
    </row>
    <row r="333" spans="13:13" x14ac:dyDescent="0.25">
      <c r="M333" s="8"/>
    </row>
    <row r="334" spans="13:13" x14ac:dyDescent="0.25">
      <c r="M334" s="8"/>
    </row>
    <row r="335" spans="13:13" x14ac:dyDescent="0.25">
      <c r="M335" s="8"/>
    </row>
    <row r="336" spans="13:13" x14ac:dyDescent="0.25">
      <c r="M336" s="8"/>
    </row>
    <row r="337" spans="13:13" x14ac:dyDescent="0.25">
      <c r="M337" s="8"/>
    </row>
    <row r="338" spans="13:13" x14ac:dyDescent="0.25">
      <c r="M338" s="8"/>
    </row>
    <row r="339" spans="13:13" x14ac:dyDescent="0.25">
      <c r="M339" s="8"/>
    </row>
    <row r="340" spans="13:13" x14ac:dyDescent="0.25">
      <c r="M340" s="8"/>
    </row>
    <row r="341" spans="13:13" x14ac:dyDescent="0.25">
      <c r="M341" s="8"/>
    </row>
    <row r="342" spans="13:13" x14ac:dyDescent="0.25">
      <c r="M342" s="8"/>
    </row>
    <row r="343" spans="13:13" x14ac:dyDescent="0.25">
      <c r="M343" s="8"/>
    </row>
    <row r="344" spans="13:13" x14ac:dyDescent="0.25">
      <c r="M344" s="8"/>
    </row>
    <row r="345" spans="13:13" x14ac:dyDescent="0.25">
      <c r="M345" s="8"/>
    </row>
    <row r="346" spans="13:13" x14ac:dyDescent="0.25">
      <c r="M346" s="8"/>
    </row>
    <row r="347" spans="13:13" x14ac:dyDescent="0.25">
      <c r="M347" s="8"/>
    </row>
    <row r="348" spans="13:13" x14ac:dyDescent="0.25">
      <c r="M348" s="8"/>
    </row>
    <row r="349" spans="13:13" x14ac:dyDescent="0.25">
      <c r="M349" s="8"/>
    </row>
    <row r="350" spans="13:13" x14ac:dyDescent="0.25">
      <c r="M350" s="8"/>
    </row>
    <row r="351" spans="13:13" x14ac:dyDescent="0.25">
      <c r="M351" s="8"/>
    </row>
    <row r="352" spans="13:13" x14ac:dyDescent="0.25">
      <c r="M352" s="8"/>
    </row>
    <row r="353" spans="13:13" x14ac:dyDescent="0.25">
      <c r="M353" s="8"/>
    </row>
    <row r="354" spans="13:13" x14ac:dyDescent="0.25">
      <c r="M354" s="8"/>
    </row>
    <row r="355" spans="13:13" x14ac:dyDescent="0.25">
      <c r="M355" s="8"/>
    </row>
    <row r="356" spans="13:13" x14ac:dyDescent="0.25">
      <c r="M356" s="8"/>
    </row>
    <row r="357" spans="13:13" x14ac:dyDescent="0.25">
      <c r="M357" s="8"/>
    </row>
    <row r="358" spans="13:13" x14ac:dyDescent="0.25">
      <c r="M358" s="8"/>
    </row>
    <row r="359" spans="13:13" x14ac:dyDescent="0.25">
      <c r="M359" s="8"/>
    </row>
    <row r="360" spans="13:13" x14ac:dyDescent="0.25">
      <c r="M360" s="8"/>
    </row>
    <row r="361" spans="13:13" x14ac:dyDescent="0.25">
      <c r="M361" s="8"/>
    </row>
    <row r="362" spans="13:13" x14ac:dyDescent="0.25">
      <c r="M362" s="8"/>
    </row>
    <row r="363" spans="13:13" x14ac:dyDescent="0.25">
      <c r="M363" s="8"/>
    </row>
    <row r="364" spans="13:13" x14ac:dyDescent="0.25">
      <c r="M364" s="8"/>
    </row>
    <row r="365" spans="13:13" x14ac:dyDescent="0.25">
      <c r="M365" s="8"/>
    </row>
    <row r="366" spans="13:13" x14ac:dyDescent="0.25">
      <c r="M366" s="8"/>
    </row>
    <row r="367" spans="13:13" x14ac:dyDescent="0.25">
      <c r="M367" s="8"/>
    </row>
    <row r="368" spans="13:13" x14ac:dyDescent="0.25">
      <c r="M368" s="8"/>
    </row>
    <row r="369" spans="13:13" x14ac:dyDescent="0.25">
      <c r="M369" s="8"/>
    </row>
    <row r="370" spans="13:13" x14ac:dyDescent="0.25">
      <c r="M370" s="8"/>
    </row>
    <row r="371" spans="13:13" x14ac:dyDescent="0.25">
      <c r="M371" s="8"/>
    </row>
    <row r="372" spans="13:13" x14ac:dyDescent="0.25">
      <c r="M372" s="8"/>
    </row>
    <row r="373" spans="13:13" x14ac:dyDescent="0.25">
      <c r="M373" s="8"/>
    </row>
    <row r="374" spans="13:13" x14ac:dyDescent="0.25">
      <c r="M374" s="8"/>
    </row>
    <row r="375" spans="13:13" x14ac:dyDescent="0.25">
      <c r="M375" s="8"/>
    </row>
    <row r="376" spans="13:13" x14ac:dyDescent="0.25">
      <c r="M376" s="8"/>
    </row>
    <row r="377" spans="13:13" x14ac:dyDescent="0.25">
      <c r="M377" s="8"/>
    </row>
    <row r="378" spans="13:13" x14ac:dyDescent="0.25">
      <c r="M378" s="8"/>
    </row>
    <row r="379" spans="13:13" x14ac:dyDescent="0.25">
      <c r="M379" s="8"/>
    </row>
    <row r="380" spans="13:13" x14ac:dyDescent="0.25">
      <c r="M380" s="8"/>
    </row>
    <row r="381" spans="13:13" x14ac:dyDescent="0.25">
      <c r="M381" s="8"/>
    </row>
    <row r="382" spans="13:13" x14ac:dyDescent="0.25">
      <c r="M382" s="8"/>
    </row>
    <row r="383" spans="13:13" x14ac:dyDescent="0.25">
      <c r="M383" s="8"/>
    </row>
    <row r="384" spans="13:13" x14ac:dyDescent="0.25">
      <c r="M384" s="8"/>
    </row>
    <row r="385" spans="13:13" x14ac:dyDescent="0.25">
      <c r="M385" s="8"/>
    </row>
    <row r="386" spans="13:13" x14ac:dyDescent="0.25">
      <c r="M386" s="8"/>
    </row>
    <row r="387" spans="13:13" x14ac:dyDescent="0.25">
      <c r="M387" s="8"/>
    </row>
    <row r="388" spans="13:13" x14ac:dyDescent="0.25">
      <c r="M388" s="8"/>
    </row>
    <row r="389" spans="13:13" x14ac:dyDescent="0.25">
      <c r="M389" s="8"/>
    </row>
    <row r="390" spans="13:13" x14ac:dyDescent="0.25">
      <c r="M390" s="8"/>
    </row>
    <row r="391" spans="13:13" x14ac:dyDescent="0.25">
      <c r="M391" s="8"/>
    </row>
    <row r="392" spans="13:13" x14ac:dyDescent="0.25">
      <c r="M392" s="8"/>
    </row>
    <row r="393" spans="13:13" x14ac:dyDescent="0.25">
      <c r="M393" s="8"/>
    </row>
    <row r="394" spans="13:13" x14ac:dyDescent="0.25">
      <c r="M394" s="8"/>
    </row>
    <row r="395" spans="13:13" x14ac:dyDescent="0.25">
      <c r="M395" s="8"/>
    </row>
    <row r="396" spans="13:13" x14ac:dyDescent="0.25">
      <c r="M396" s="8"/>
    </row>
    <row r="397" spans="13:13" x14ac:dyDescent="0.25">
      <c r="M397" s="8"/>
    </row>
    <row r="398" spans="13:13" x14ac:dyDescent="0.25">
      <c r="M398" s="8"/>
    </row>
    <row r="399" spans="13:13" x14ac:dyDescent="0.25">
      <c r="M399" s="8"/>
    </row>
    <row r="400" spans="13:13" x14ac:dyDescent="0.25">
      <c r="M400" s="8"/>
    </row>
    <row r="401" spans="13:13" x14ac:dyDescent="0.25">
      <c r="M401" s="8"/>
    </row>
    <row r="402" spans="13:13" x14ac:dyDescent="0.25">
      <c r="M402" s="8"/>
    </row>
    <row r="403" spans="13:13" x14ac:dyDescent="0.25">
      <c r="M403" s="8"/>
    </row>
    <row r="404" spans="13:13" x14ac:dyDescent="0.25">
      <c r="M404" s="8"/>
    </row>
    <row r="405" spans="13:13" x14ac:dyDescent="0.25">
      <c r="M405" s="8"/>
    </row>
    <row r="406" spans="13:13" x14ac:dyDescent="0.25">
      <c r="M406" s="8"/>
    </row>
    <row r="407" spans="13:13" x14ac:dyDescent="0.25">
      <c r="M407" s="8"/>
    </row>
    <row r="408" spans="13:13" x14ac:dyDescent="0.25">
      <c r="M408" s="8"/>
    </row>
    <row r="409" spans="13:13" x14ac:dyDescent="0.25">
      <c r="M409" s="8"/>
    </row>
    <row r="410" spans="13:13" x14ac:dyDescent="0.25">
      <c r="M410" s="8"/>
    </row>
    <row r="411" spans="13:13" x14ac:dyDescent="0.25">
      <c r="M411" s="8"/>
    </row>
    <row r="412" spans="13:13" x14ac:dyDescent="0.25">
      <c r="M412" s="8"/>
    </row>
    <row r="413" spans="13:13" x14ac:dyDescent="0.25">
      <c r="M413" s="8"/>
    </row>
    <row r="414" spans="13:13" x14ac:dyDescent="0.25">
      <c r="M414" s="8"/>
    </row>
    <row r="415" spans="13:13" x14ac:dyDescent="0.25">
      <c r="M415" s="8"/>
    </row>
    <row r="416" spans="13:13" x14ac:dyDescent="0.25">
      <c r="M416" s="8"/>
    </row>
    <row r="417" spans="13:13" x14ac:dyDescent="0.25">
      <c r="M417" s="8"/>
    </row>
    <row r="418" spans="13:13" x14ac:dyDescent="0.25">
      <c r="M418" s="8"/>
    </row>
    <row r="419" spans="13:13" x14ac:dyDescent="0.25">
      <c r="M419" s="8"/>
    </row>
    <row r="420" spans="13:13" x14ac:dyDescent="0.25">
      <c r="M420" s="8"/>
    </row>
    <row r="421" spans="13:13" x14ac:dyDescent="0.25">
      <c r="M421" s="8"/>
    </row>
    <row r="422" spans="13:13" x14ac:dyDescent="0.25">
      <c r="M422" s="8"/>
    </row>
    <row r="423" spans="13:13" x14ac:dyDescent="0.25">
      <c r="M423" s="8"/>
    </row>
    <row r="424" spans="13:13" x14ac:dyDescent="0.25">
      <c r="M424" s="8"/>
    </row>
    <row r="425" spans="13:13" x14ac:dyDescent="0.25">
      <c r="M425" s="8"/>
    </row>
    <row r="426" spans="13:13" x14ac:dyDescent="0.25">
      <c r="M426" s="8"/>
    </row>
    <row r="427" spans="13:13" x14ac:dyDescent="0.25">
      <c r="M427" s="8"/>
    </row>
    <row r="428" spans="13:13" x14ac:dyDescent="0.25">
      <c r="M428" s="8"/>
    </row>
    <row r="429" spans="13:13" x14ac:dyDescent="0.25">
      <c r="M429" s="8"/>
    </row>
    <row r="430" spans="13:13" x14ac:dyDescent="0.25">
      <c r="M430" s="8"/>
    </row>
    <row r="431" spans="13:13" x14ac:dyDescent="0.25">
      <c r="M431" s="8"/>
    </row>
    <row r="432" spans="13:13" x14ac:dyDescent="0.25">
      <c r="M432" s="8"/>
    </row>
    <row r="433" spans="13:13" x14ac:dyDescent="0.25">
      <c r="M433" s="8"/>
    </row>
    <row r="434" spans="13:13" x14ac:dyDescent="0.25">
      <c r="M434" s="8"/>
    </row>
    <row r="435" spans="13:13" x14ac:dyDescent="0.25">
      <c r="M435" s="8"/>
    </row>
    <row r="436" spans="13:13" x14ac:dyDescent="0.25">
      <c r="M436" s="8"/>
    </row>
    <row r="437" spans="13:13" x14ac:dyDescent="0.25">
      <c r="M437" s="8"/>
    </row>
    <row r="438" spans="13:13" x14ac:dyDescent="0.25">
      <c r="M438" s="8"/>
    </row>
    <row r="439" spans="13:13" x14ac:dyDescent="0.25">
      <c r="M439" s="8"/>
    </row>
    <row r="440" spans="13:13" x14ac:dyDescent="0.25">
      <c r="M440" s="8"/>
    </row>
    <row r="441" spans="13:13" x14ac:dyDescent="0.25">
      <c r="M441" s="8"/>
    </row>
    <row r="442" spans="13:13" x14ac:dyDescent="0.25">
      <c r="M442" s="8"/>
    </row>
    <row r="443" spans="13:13" x14ac:dyDescent="0.25">
      <c r="M443" s="8"/>
    </row>
    <row r="444" spans="13:13" x14ac:dyDescent="0.25">
      <c r="M444" s="8"/>
    </row>
    <row r="445" spans="13:13" x14ac:dyDescent="0.25">
      <c r="M445" s="8"/>
    </row>
    <row r="446" spans="13:13" x14ac:dyDescent="0.25">
      <c r="M446" s="8"/>
    </row>
    <row r="447" spans="13:13" x14ac:dyDescent="0.25">
      <c r="M447" s="8"/>
    </row>
    <row r="448" spans="13:13" x14ac:dyDescent="0.25">
      <c r="M448" s="8"/>
    </row>
    <row r="449" spans="13:13" x14ac:dyDescent="0.25">
      <c r="M449" s="8"/>
    </row>
    <row r="450" spans="13:13" x14ac:dyDescent="0.25">
      <c r="M450" s="8"/>
    </row>
    <row r="451" spans="13:13" x14ac:dyDescent="0.25">
      <c r="M451" s="8"/>
    </row>
    <row r="452" spans="13:13" x14ac:dyDescent="0.25">
      <c r="M452" s="8"/>
    </row>
  </sheetData>
  <pageMargins left="0.7" right="0.7" top="0.75" bottom="0.75" header="0.3" footer="0.3"/>
  <tableParts count="14">
    <tablePart r:id="rId1"/>
    <tablePart r:id="rId2"/>
    <tablePart r:id="rId3"/>
    <tablePart r:id="rId4"/>
    <tablePart r:id="rId5"/>
    <tablePart r:id="rId6"/>
    <tablePart r:id="rId7"/>
    <tablePart r:id="rId8"/>
    <tablePart r:id="rId9"/>
    <tablePart r:id="rId10"/>
    <tablePart r:id="rId11"/>
    <tablePart r:id="rId12"/>
    <tablePart r:id="rId13"/>
    <tablePart r:id="rId14"/>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B78B57-D4AF-4908-B45A-5D76CF4E3016}">
  <dimension ref="A1:V288"/>
  <sheetViews>
    <sheetView showGridLines="0" topLeftCell="A13" zoomScale="85" zoomScaleNormal="85" workbookViewId="0">
      <selection activeCell="H31" sqref="H31"/>
    </sheetView>
  </sheetViews>
  <sheetFormatPr defaultRowHeight="15.75" x14ac:dyDescent="0.25"/>
  <cols>
    <col min="1" max="1" width="26.875" style="3" customWidth="1"/>
    <col min="2" max="2" width="4.125" style="3" customWidth="1"/>
    <col min="3" max="3" width="4.125" style="8" customWidth="1"/>
    <col min="4" max="6" width="26.875" style="8" customWidth="1"/>
    <col min="7" max="7" width="28.5" style="8" customWidth="1"/>
    <col min="8" max="12" width="26.875" style="8" customWidth="1"/>
    <col min="13" max="13" width="26.875" style="3" customWidth="1"/>
    <col min="14" max="20" width="26.875" style="8" customWidth="1"/>
    <col min="21" max="21" width="4.125" style="8" customWidth="1"/>
    <col min="22" max="16384" width="9" style="3"/>
  </cols>
  <sheetData>
    <row r="1" spans="1:21" s="1" customFormat="1" ht="30" customHeight="1" x14ac:dyDescent="0.35">
      <c r="A1" s="1" t="e" vm="1">
        <v>#VALUE!</v>
      </c>
      <c r="C1" s="1" t="s">
        <v>553</v>
      </c>
    </row>
    <row r="2" spans="1:21" s="2" customFormat="1" ht="20.100000000000001" customHeight="1" x14ac:dyDescent="0.25">
      <c r="A2" s="3"/>
    </row>
    <row r="3" spans="1:21" ht="20.100000000000001" customHeight="1" x14ac:dyDescent="0.25">
      <c r="A3" s="16"/>
      <c r="C3" s="5"/>
      <c r="D3" s="5"/>
      <c r="E3" s="5"/>
      <c r="F3" s="5"/>
      <c r="G3" s="5"/>
      <c r="H3" s="5"/>
      <c r="I3" s="5"/>
      <c r="J3" s="5"/>
      <c r="K3" s="5"/>
      <c r="L3" s="5"/>
      <c r="M3" s="5"/>
      <c r="N3" s="5"/>
      <c r="O3" s="5"/>
      <c r="P3" s="5"/>
      <c r="Q3" s="5"/>
      <c r="R3" s="5"/>
      <c r="S3" s="5"/>
      <c r="T3" s="5"/>
      <c r="U3" s="5"/>
    </row>
    <row r="4" spans="1:21" ht="20.100000000000001" customHeight="1" x14ac:dyDescent="0.25">
      <c r="A4" s="16"/>
      <c r="M4" s="14"/>
    </row>
    <row r="5" spans="1:21" ht="20.100000000000001" customHeight="1" x14ac:dyDescent="0.25">
      <c r="A5" s="16"/>
      <c r="D5" s="9" t="s">
        <v>554</v>
      </c>
      <c r="G5" s="9" t="s">
        <v>555</v>
      </c>
      <c r="J5" s="9" t="s">
        <v>144</v>
      </c>
      <c r="M5" s="8"/>
    </row>
    <row r="6" spans="1:21" ht="20.100000000000001" customHeight="1" x14ac:dyDescent="0.25">
      <c r="A6" s="18"/>
      <c r="M6" s="8"/>
    </row>
    <row r="7" spans="1:21" ht="20.100000000000001" customHeight="1" x14ac:dyDescent="0.25">
      <c r="A7" s="19"/>
      <c r="D7" s="160" t="s">
        <v>556</v>
      </c>
      <c r="E7" s="10" t="s">
        <v>355</v>
      </c>
      <c r="G7" s="10" t="s">
        <v>146</v>
      </c>
      <c r="J7" s="10" t="s">
        <v>43</v>
      </c>
      <c r="M7" s="8"/>
    </row>
    <row r="8" spans="1:21" ht="20.100000000000001" customHeight="1" x14ac:dyDescent="0.25">
      <c r="A8" s="16"/>
      <c r="D8" s="10" t="str">
        <f>'Constants - Common Livestock'!E7</f>
        <v>Anaerobic lagoon</v>
      </c>
      <c r="E8" s="10" t="str">
        <f>'Constants - Common Livestock'!F7</f>
        <v>Anaerobic lagoon (m=1)</v>
      </c>
      <c r="G8" s="10" t="str">
        <f>'Constants - Common'!$F$187</f>
        <v>Pasture</v>
      </c>
      <c r="J8" s="10" t="s">
        <v>149</v>
      </c>
      <c r="M8" s="8"/>
    </row>
    <row r="9" spans="1:21" ht="20.100000000000001" customHeight="1" x14ac:dyDescent="0.25">
      <c r="A9" s="16"/>
      <c r="D9" s="10" t="str">
        <f>'Constants - Common Livestock'!E10</f>
        <v>Sump and dispersal system</v>
      </c>
      <c r="E9" s="10" t="str">
        <f>'Constants - Common Livestock'!F10</f>
        <v>Sump and dispersal system (m=3a)</v>
      </c>
      <c r="G9" s="8" t="str">
        <f>'Constants - Common'!$F$188</f>
        <v>Crop</v>
      </c>
      <c r="J9" s="10" t="s">
        <v>153</v>
      </c>
      <c r="M9" s="8"/>
    </row>
    <row r="10" spans="1:21" ht="20.100000000000001" customHeight="1" x14ac:dyDescent="0.25">
      <c r="A10" s="16"/>
      <c r="D10" s="10" t="str">
        <f>'Constants - Common Livestock'!E11</f>
        <v>Drains to paddock</v>
      </c>
      <c r="E10" s="10" t="str">
        <f>'Constants - Common Livestock'!F11</f>
        <v>Drains to paddock (m=3b)</v>
      </c>
      <c r="J10" s="8" t="s">
        <v>156</v>
      </c>
      <c r="M10" s="8"/>
    </row>
    <row r="11" spans="1:21" ht="20.100000000000001" customHeight="1" x14ac:dyDescent="0.25">
      <c r="A11" s="20"/>
      <c r="D11" s="10" t="str">
        <f>'Constants - Common Livestock'!E12</f>
        <v>Solid storage</v>
      </c>
      <c r="E11" s="10" t="str">
        <f>'Constants - Common Livestock'!F12</f>
        <v>Solid storage (m=4)</v>
      </c>
      <c r="J11" s="8" t="s">
        <v>159</v>
      </c>
      <c r="M11" s="8"/>
    </row>
    <row r="12" spans="1:21" ht="20.100000000000001" customHeight="1" x14ac:dyDescent="0.25">
      <c r="A12" s="16"/>
      <c r="J12" s="8" t="s">
        <v>161</v>
      </c>
      <c r="M12" s="8"/>
    </row>
    <row r="13" spans="1:21" ht="20.100000000000001" customHeight="1" x14ac:dyDescent="0.25">
      <c r="A13" s="16"/>
      <c r="M13" s="8"/>
    </row>
    <row r="14" spans="1:21" ht="20.100000000000001" customHeight="1" x14ac:dyDescent="0.25">
      <c r="A14" s="21"/>
      <c r="M14" s="8"/>
    </row>
    <row r="15" spans="1:21" ht="20.100000000000001" customHeight="1" x14ac:dyDescent="0.25">
      <c r="A15" s="22"/>
      <c r="M15" s="8"/>
    </row>
    <row r="16" spans="1:21" ht="20.100000000000001" customHeight="1" x14ac:dyDescent="0.25">
      <c r="A16" s="16"/>
      <c r="D16" s="9" t="str" cm="1">
        <f t="array" ref="D16">SourceData_Dairy.SourceData_Dairy_LiveweightCowsAndHeifers_Title()</f>
        <v>Table A.1.3.1: Dairy cattle - Liveweight (kg) - Cows and Heifers (Wj)</v>
      </c>
      <c r="M16" s="8"/>
    </row>
    <row r="17" spans="1:13" ht="20.100000000000001" customHeight="1" x14ac:dyDescent="0.25">
      <c r="A17" s="16"/>
      <c r="D17" s="11" t="str" cm="1">
        <f t="array" ref="D17">SourceData_Dairy.SourceData_Dairy_LiveweightCowsAndHeifers_Source()</f>
        <v>VEERG 2026: Table A.1.3.1</v>
      </c>
      <c r="M17" s="8"/>
    </row>
    <row r="18" spans="1:13" ht="20.100000000000001" customHeight="1" x14ac:dyDescent="0.25">
      <c r="A18" s="16"/>
      <c r="D18" s="8" t="str" cm="1">
        <f t="array" ref="D18">SourceData_Dairy.SourceData_Dairy_LiveweightCowsAndHeifers_Variable()</f>
        <v>Wj</v>
      </c>
      <c r="M18" s="8"/>
    </row>
    <row r="19" spans="1:13" ht="20.100000000000001" customHeight="1" x14ac:dyDescent="0.25">
      <c r="D19" s="13" t="str" cm="1">
        <f t="array" ref="D19">SourceData_Dairy.SourceData_Dairy_LiveweightCowsAndHeifers_Unit()</f>
        <v>kg</v>
      </c>
      <c r="M19" s="8"/>
    </row>
    <row r="20" spans="1:13" ht="20.100000000000001" customHeight="1" x14ac:dyDescent="0.25">
      <c r="D20" s="12" t="str" cm="1">
        <f t="array" ref="D20">SourceData_Dairy.SourceData_Dairy_LiveweightCowsAndHeifers_Variation()</f>
        <v>VARIATION OF SOURCE: Excluded 'Reference', as the value is consistently 'Dairy Australia [1]' and is not used in calculation.</v>
      </c>
      <c r="M20" s="8"/>
    </row>
    <row r="21" spans="1:13" ht="20.100000000000001" customHeight="1" x14ac:dyDescent="0.25">
      <c r="D21" s="10" t="s">
        <v>534</v>
      </c>
      <c r="E21" s="10" t="s">
        <v>548</v>
      </c>
      <c r="F21" s="10" t="s">
        <v>557</v>
      </c>
      <c r="G21" s="10" t="s">
        <v>549</v>
      </c>
      <c r="M21" s="8"/>
    </row>
    <row r="22" spans="1:13" ht="20.100000000000001" customHeight="1" x14ac:dyDescent="0.25">
      <c r="D22" s="10" t="str" cm="1">
        <f t="array" ref="D22">Common_InputFunctions.Utility_DisplayArrayInTable(SourceData_Dairy.SourceData_Dairy_LiveweightCowsAndHeifers_Data(), Table_SourceData_Dairy_WjCowsHeifers[[#Headers],[Breed]], 0)</f>
        <v>Medium Friesian</v>
      </c>
      <c r="E22" s="10" cm="1">
        <f t="array" ref="E22">Common_InputFunctions.Utility_DisplayArrayInTable(SourceData_Dairy.SourceData_Dairy_LiveweightCowsAndHeifers_Data(), Table_SourceData_Dairy_WjCowsHeifers[[#Headers],[Breed]], 0)</f>
        <v>550</v>
      </c>
      <c r="F22" s="10" cm="1">
        <f t="array" ref="F22">Common_InputFunctions.Utility_DisplayArrayInTable(SourceData_Dairy.SourceData_Dairy_LiveweightCowsAndHeifers_Data(), Table_SourceData_Dairy_WjCowsHeifers[[#Headers],[Breed]], 0)</f>
        <v>380</v>
      </c>
      <c r="G22" s="10" cm="1">
        <f t="array" ref="G22">Common_InputFunctions.Utility_DisplayArrayInTable(SourceData_Dairy.SourceData_Dairy_LiveweightCowsAndHeifers_Data(), Table_SourceData_Dairy_WjCowsHeifers[[#Headers],[Breed]], 0)</f>
        <v>155</v>
      </c>
      <c r="M22" s="8"/>
    </row>
    <row r="23" spans="1:13" ht="20.100000000000001" customHeight="1" x14ac:dyDescent="0.25">
      <c r="D23" s="10" t="str" cm="1">
        <f t="array" ref="D23">Common_InputFunctions.Utility_DisplayArrayInTable(SourceData_Dairy.SourceData_Dairy_LiveweightCowsAndHeifers_Data(), Table_SourceData_Dairy_WjCowsHeifers[[#Headers],[Breed]], 0)</f>
        <v>Large Friesian</v>
      </c>
      <c r="E23" s="10" cm="1">
        <f t="array" ref="E23">Common_InputFunctions.Utility_DisplayArrayInTable(SourceData_Dairy.SourceData_Dairy_LiveweightCowsAndHeifers_Data(), Table_SourceData_Dairy_WjCowsHeifers[[#Headers],[Breed]], 0)</f>
        <v>600</v>
      </c>
      <c r="F23" s="10" cm="1">
        <f t="array" ref="F23">Common_InputFunctions.Utility_DisplayArrayInTable(SourceData_Dairy.SourceData_Dairy_LiveweightCowsAndHeifers_Data(), Table_SourceData_Dairy_WjCowsHeifers[[#Headers],[Breed]], 0)</f>
        <v>415</v>
      </c>
      <c r="G23" s="10" cm="1">
        <f t="array" ref="G23">Common_InputFunctions.Utility_DisplayArrayInTable(SourceData_Dairy.SourceData_Dairy_LiveweightCowsAndHeifers_Data(), Table_SourceData_Dairy_WjCowsHeifers[[#Headers],[Breed]], 0)</f>
        <v>170</v>
      </c>
      <c r="M23" s="8"/>
    </row>
    <row r="24" spans="1:13" ht="20.100000000000001" customHeight="1" x14ac:dyDescent="0.25">
      <c r="D24" s="10" t="str" cm="1">
        <f t="array" ref="D24">Common_InputFunctions.Utility_DisplayArrayInTable(SourceData_Dairy.SourceData_Dairy_LiveweightCowsAndHeifers_Data(), Table_SourceData_Dairy_WjCowsHeifers[[#Headers],[Breed]], 0)</f>
        <v>Holstein-Friesian</v>
      </c>
      <c r="E24" s="10" cm="1">
        <f t="array" ref="E24">Common_InputFunctions.Utility_DisplayArrayInTable(SourceData_Dairy.SourceData_Dairy_LiveweightCowsAndHeifers_Data(), Table_SourceData_Dairy_WjCowsHeifers[[#Headers],[Breed]], 0)</f>
        <v>650</v>
      </c>
      <c r="F24" s="10" cm="1">
        <f t="array" ref="F24">Common_InputFunctions.Utility_DisplayArrayInTable(SourceData_Dairy.SourceData_Dairy_LiveweightCowsAndHeifers_Data(), Table_SourceData_Dairy_WjCowsHeifers[[#Headers],[Breed]], 0)</f>
        <v>450</v>
      </c>
      <c r="G24" s="10" cm="1">
        <f t="array" ref="G24">Common_InputFunctions.Utility_DisplayArrayInTable(SourceData_Dairy.SourceData_Dairy_LiveweightCowsAndHeifers_Data(), Table_SourceData_Dairy_WjCowsHeifers[[#Headers],[Breed]], 0)</f>
        <v>185</v>
      </c>
      <c r="M24" s="8"/>
    </row>
    <row r="25" spans="1:13" ht="20.100000000000001" customHeight="1" x14ac:dyDescent="0.25">
      <c r="D25" s="10" t="str" cm="1">
        <f t="array" ref="D25">Common_InputFunctions.Utility_DisplayArrayInTable(SourceData_Dairy.SourceData_Dairy_LiveweightCowsAndHeifers_Data(), Table_SourceData_Dairy_WjCowsHeifers[[#Headers],[Breed]], 0)</f>
        <v>Friesian crossbred</v>
      </c>
      <c r="E25" s="10" cm="1">
        <f t="array" ref="E25">Common_InputFunctions.Utility_DisplayArrayInTable(SourceData_Dairy.SourceData_Dairy_LiveweightCowsAndHeifers_Data(), Table_SourceData_Dairy_WjCowsHeifers[[#Headers],[Breed]], 0)</f>
        <v>500</v>
      </c>
      <c r="F25" s="10" cm="1">
        <f t="array" ref="F25">Common_InputFunctions.Utility_DisplayArrayInTable(SourceData_Dairy.SourceData_Dairy_LiveweightCowsAndHeifers_Data(), Table_SourceData_Dairy_WjCowsHeifers[[#Headers],[Breed]], 0)</f>
        <v>350</v>
      </c>
      <c r="G25" s="10" cm="1">
        <f t="array" ref="G25">Common_InputFunctions.Utility_DisplayArrayInTable(SourceData_Dairy.SourceData_Dairy_LiveweightCowsAndHeifers_Data(), Table_SourceData_Dairy_WjCowsHeifers[[#Headers],[Breed]], 0)</f>
        <v>145</v>
      </c>
      <c r="M25" s="8"/>
    </row>
    <row r="26" spans="1:13" ht="20.100000000000001" customHeight="1" x14ac:dyDescent="0.25">
      <c r="D26" s="10" t="str" cm="1">
        <f t="array" ref="D26">Common_InputFunctions.Utility_DisplayArrayInTable(SourceData_Dairy.SourceData_Dairy_LiveweightCowsAndHeifers_Data(), Table_SourceData_Dairy_WjCowsHeifers[[#Headers],[Breed]], 0)</f>
        <v>Jersey</v>
      </c>
      <c r="E26" s="10" cm="1">
        <f t="array" ref="E26">Common_InputFunctions.Utility_DisplayArrayInTable(SourceData_Dairy.SourceData_Dairy_LiveweightCowsAndHeifers_Data(), Table_SourceData_Dairy_WjCowsHeifers[[#Headers],[Breed]], 0)</f>
        <v>400</v>
      </c>
      <c r="F26" s="10" cm="1">
        <f t="array" ref="F26">Common_InputFunctions.Utility_DisplayArrayInTable(SourceData_Dairy.SourceData_Dairy_LiveweightCowsAndHeifers_Data(), Table_SourceData_Dairy_WjCowsHeifers[[#Headers],[Breed]], 0)</f>
        <v>275</v>
      </c>
      <c r="G26" s="10" cm="1">
        <f t="array" ref="G26">Common_InputFunctions.Utility_DisplayArrayInTable(SourceData_Dairy.SourceData_Dairy_LiveweightCowsAndHeifers_Data(), Table_SourceData_Dairy_WjCowsHeifers[[#Headers],[Breed]], 0)</f>
        <v>115</v>
      </c>
      <c r="M26" s="8"/>
    </row>
    <row r="27" spans="1:13" ht="20.100000000000001" customHeight="1" x14ac:dyDescent="0.25">
      <c r="D27" s="10" t="str" cm="1">
        <f t="array" ref="D27">Common_InputFunctions.Utility_DisplayArrayInTable(SourceData_Dairy.SourceData_Dairy_LiveweightCowsAndHeifers_Data(), Table_SourceData_Dairy_WjCowsHeifers[[#Headers],[Breed]], 0)</f>
        <v>Jersey crossbred</v>
      </c>
      <c r="E27" s="10" cm="1">
        <f t="array" ref="E27">Common_InputFunctions.Utility_DisplayArrayInTable(SourceData_Dairy.SourceData_Dairy_LiveweightCowsAndHeifers_Data(), Table_SourceData_Dairy_WjCowsHeifers[[#Headers],[Breed]], 0)</f>
        <v>450</v>
      </c>
      <c r="F27" s="10" cm="1">
        <f t="array" ref="F27">Common_InputFunctions.Utility_DisplayArrayInTable(SourceData_Dairy.SourceData_Dairy_LiveweightCowsAndHeifers_Data(), Table_SourceData_Dairy_WjCowsHeifers[[#Headers],[Breed]], 0)</f>
        <v>315</v>
      </c>
      <c r="G27" s="10" cm="1">
        <f t="array" ref="G27">Common_InputFunctions.Utility_DisplayArrayInTable(SourceData_Dairy.SourceData_Dairy_LiveweightCowsAndHeifers_Data(), Table_SourceData_Dairy_WjCowsHeifers[[#Headers],[Breed]], 0)</f>
        <v>130</v>
      </c>
      <c r="M27" s="8"/>
    </row>
    <row r="28" spans="1:13" ht="20.100000000000001" customHeight="1" x14ac:dyDescent="0.25">
      <c r="D28" s="10" t="str" cm="1">
        <f t="array" ref="D28">Common_InputFunctions.Utility_DisplayArrayInTable(SourceData_Dairy.SourceData_Dairy_LiveweightCowsAndHeifers_Data(), Table_SourceData_Dairy_WjCowsHeifers[[#Headers],[Breed]], 0)</f>
        <v>Ayrshire</v>
      </c>
      <c r="E28" s="10" cm="1">
        <f t="array" ref="E28">Common_InputFunctions.Utility_DisplayArrayInTable(SourceData_Dairy.SourceData_Dairy_LiveweightCowsAndHeifers_Data(), Table_SourceData_Dairy_WjCowsHeifers[[#Headers],[Breed]], 0)</f>
        <v>540</v>
      </c>
      <c r="F28" s="10" cm="1">
        <f t="array" ref="F28">Common_InputFunctions.Utility_DisplayArrayInTable(SourceData_Dairy.SourceData_Dairy_LiveweightCowsAndHeifers_Data(), Table_SourceData_Dairy_WjCowsHeifers[[#Headers],[Breed]], 0)</f>
        <v>375</v>
      </c>
      <c r="G28" s="10" cm="1">
        <f t="array" ref="G28">Common_InputFunctions.Utility_DisplayArrayInTable(SourceData_Dairy.SourceData_Dairy_LiveweightCowsAndHeifers_Data(), Table_SourceData_Dairy_WjCowsHeifers[[#Headers],[Breed]], 0)</f>
        <v>150</v>
      </c>
      <c r="M28" s="8"/>
    </row>
    <row r="29" spans="1:13" ht="20.100000000000001" customHeight="1" x14ac:dyDescent="0.25">
      <c r="D29" s="10" t="str" cm="1">
        <f t="array" ref="D29">Common_InputFunctions.Utility_DisplayArrayInTable(SourceData_Dairy.SourceData_Dairy_LiveweightCowsAndHeifers_Data(), Table_SourceData_Dairy_WjCowsHeifers[[#Headers],[Breed]], 0)</f>
        <v>Guernsey</v>
      </c>
      <c r="E29" s="10" cm="1">
        <f t="array" ref="E29">Common_InputFunctions.Utility_DisplayArrayInTable(SourceData_Dairy.SourceData_Dairy_LiveweightCowsAndHeifers_Data(), Table_SourceData_Dairy_WjCowsHeifers[[#Headers],[Breed]], 0)</f>
        <v>480</v>
      </c>
      <c r="F29" s="10" cm="1">
        <f t="array" ref="F29">Common_InputFunctions.Utility_DisplayArrayInTable(SourceData_Dairy.SourceData_Dairy_LiveweightCowsAndHeifers_Data(), Table_SourceData_Dairy_WjCowsHeifers[[#Headers],[Breed]], 0)</f>
        <v>335</v>
      </c>
      <c r="G29" s="10" cm="1">
        <f t="array" ref="G29">Common_InputFunctions.Utility_DisplayArrayInTable(SourceData_Dairy.SourceData_Dairy_LiveweightCowsAndHeifers_Data(), Table_SourceData_Dairy_WjCowsHeifers[[#Headers],[Breed]], 0)</f>
        <v>140</v>
      </c>
      <c r="M29" s="8"/>
    </row>
    <row r="30" spans="1:13" ht="20.100000000000001" customHeight="1" x14ac:dyDescent="0.25">
      <c r="D30" s="10" t="str" cm="1">
        <f t="array" ref="D30">Common_InputFunctions.Utility_DisplayArrayInTable(SourceData_Dairy.SourceData_Dairy_LiveweightCowsAndHeifers_Data(), Table_SourceData_Dairy_WjCowsHeifers[[#Headers],[Breed]], 0)</f>
        <v>Brown Swiss</v>
      </c>
      <c r="E30" s="10" cm="1">
        <f t="array" ref="E30">Common_InputFunctions.Utility_DisplayArrayInTable(SourceData_Dairy.SourceData_Dairy_LiveweightCowsAndHeifers_Data(), Table_SourceData_Dairy_WjCowsHeifers[[#Headers],[Breed]], 0)</f>
        <v>600</v>
      </c>
      <c r="F30" s="10" cm="1">
        <f t="array" ref="F30">Common_InputFunctions.Utility_DisplayArrayInTable(SourceData_Dairy.SourceData_Dairy_LiveweightCowsAndHeifers_Data(), Table_SourceData_Dairy_WjCowsHeifers[[#Headers],[Breed]], 0)</f>
        <v>415</v>
      </c>
      <c r="G30" s="10" cm="1">
        <f t="array" ref="G30">Common_InputFunctions.Utility_DisplayArrayInTable(SourceData_Dairy.SourceData_Dairy_LiveweightCowsAndHeifers_Data(), Table_SourceData_Dairy_WjCowsHeifers[[#Headers],[Breed]], 0)</f>
        <v>170</v>
      </c>
      <c r="M30" s="8"/>
    </row>
    <row r="31" spans="1:13" ht="20.100000000000001" customHeight="1" x14ac:dyDescent="0.25">
      <c r="D31" s="10" t="str" cm="1">
        <f t="array" ref="D31">Common_InputFunctions.Utility_DisplayArrayInTable(SourceData_Dairy.SourceData_Dairy_LiveweightCowsAndHeifers_Data(), Table_SourceData_Dairy_WjCowsHeifers[[#Headers],[Breed]], 0)</f>
        <v>Illawarra/Aussie Red</v>
      </c>
      <c r="E31" s="10" cm="1">
        <f t="array" ref="E31">Common_InputFunctions.Utility_DisplayArrayInTable(SourceData_Dairy.SourceData_Dairy_LiveweightCowsAndHeifers_Data(), Table_SourceData_Dairy_WjCowsHeifers[[#Headers],[Breed]], 0)</f>
        <v>550</v>
      </c>
      <c r="F31" s="10" cm="1">
        <f t="array" ref="F31">Common_InputFunctions.Utility_DisplayArrayInTable(SourceData_Dairy.SourceData_Dairy_LiveweightCowsAndHeifers_Data(), Table_SourceData_Dairy_WjCowsHeifers[[#Headers],[Breed]], 0)</f>
        <v>375</v>
      </c>
      <c r="G31" s="10" cm="1">
        <f t="array" ref="G31">Common_InputFunctions.Utility_DisplayArrayInTable(SourceData_Dairy.SourceData_Dairy_LiveweightCowsAndHeifers_Data(), Table_SourceData_Dairy_WjCowsHeifers[[#Headers],[Breed]], 0)</f>
        <v>150</v>
      </c>
      <c r="M31" s="8"/>
    </row>
    <row r="32" spans="1:13" ht="20.100000000000001" customHeight="1" x14ac:dyDescent="0.25">
      <c r="M32" s="8"/>
    </row>
    <row r="33" spans="4:13" ht="20.100000000000001" customHeight="1" x14ac:dyDescent="0.25">
      <c r="M33" s="8"/>
    </row>
    <row r="34" spans="4:13" ht="20.100000000000001" customHeight="1" x14ac:dyDescent="0.25">
      <c r="D34" s="9" t="str" cm="1">
        <f t="array" ref="D34">SourceData_Dairy.SourceData_Dairy_LiveweightBulls_Title()</f>
        <v>Table A.1.3.2: Dairy cattle - Liveweight (kg) - Bulls (Wj)</v>
      </c>
      <c r="M34" s="8"/>
    </row>
    <row r="35" spans="4:13" ht="20.100000000000001" customHeight="1" x14ac:dyDescent="0.25">
      <c r="D35" s="11" t="str" cm="1">
        <f t="array" ref="D35">SourceData_Dairy.SourceData_Dairy_LiveweightBulls_Source()</f>
        <v>VEERG 2026: Table A.1.3.2</v>
      </c>
      <c r="M35" s="8"/>
    </row>
    <row r="36" spans="4:13" ht="20.100000000000001" customHeight="1" x14ac:dyDescent="0.25">
      <c r="D36" s="8" t="str" cm="1">
        <f t="array" ref="D36">SourceData_Dairy.SourceData_Dairy_LiveweightBulls_Variable()</f>
        <v>Wj</v>
      </c>
      <c r="M36" s="8"/>
    </row>
    <row r="37" spans="4:13" ht="20.100000000000001" customHeight="1" x14ac:dyDescent="0.25">
      <c r="D37" s="13" t="str" cm="1">
        <f t="array" ref="D37">SourceData_Dairy.SourceData_Dairy_LiveweightBulls_Unit()</f>
        <v>kg</v>
      </c>
      <c r="M37" s="8"/>
    </row>
    <row r="38" spans="4:13" ht="20.100000000000001" customHeight="1" x14ac:dyDescent="0.25">
      <c r="D38" s="10" t="s">
        <v>534</v>
      </c>
      <c r="E38" s="10" t="s">
        <v>558</v>
      </c>
      <c r="F38" s="10" t="s">
        <v>559</v>
      </c>
      <c r="M38" s="8"/>
    </row>
    <row r="39" spans="4:13" ht="20.100000000000001" customHeight="1" x14ac:dyDescent="0.25">
      <c r="D39" s="10" t="str" cm="1">
        <f t="array" ref="D39">Common_InputFunctions.Utility_DisplayArrayInTable(SourceData_Dairy.SourceData_Dairy_LiveweightBulls_Data(), Table_SourceData_Dairy_WjBulls[[#Headers],[Breed]], 0)</f>
        <v>All breeds</v>
      </c>
      <c r="E39" s="10" cm="1">
        <f t="array" ref="E39">Common_InputFunctions.Utility_DisplayArrayInTable(SourceData_Dairy.SourceData_Dairy_LiveweightBulls_Data(), Table_SourceData_Dairy_WjBulls[[#Headers],[Breed]], 0)</f>
        <v>600</v>
      </c>
      <c r="F39" s="10" cm="1">
        <f t="array" ref="F39">Common_InputFunctions.Utility_DisplayArrayInTable(SourceData_Dairy.SourceData_Dairy_LiveweightBulls_Data(), Table_SourceData_Dairy_WjBulls[[#Headers],[Breed]], 0)</f>
        <v>225</v>
      </c>
      <c r="M39" s="8"/>
    </row>
    <row r="40" spans="4:13" ht="20.100000000000001" customHeight="1" x14ac:dyDescent="0.25">
      <c r="M40" s="8"/>
    </row>
    <row r="41" spans="4:13" ht="20.100000000000001" customHeight="1" x14ac:dyDescent="0.25">
      <c r="M41" s="8"/>
    </row>
    <row r="42" spans="4:13" ht="20.100000000000001" customHeight="1" x14ac:dyDescent="0.25">
      <c r="D42" s="9" t="str" cm="1">
        <f t="array" ref="D42">SourceData_Dairy.SourceData_Dairy_LiveweightGain_Title()</f>
        <v>Table A.1.3.3: Dairy cattle - Liveweight gain (kg) (LWGj)</v>
      </c>
      <c r="M42" s="8"/>
    </row>
    <row r="43" spans="4:13" ht="20.100000000000001" customHeight="1" x14ac:dyDescent="0.25">
      <c r="D43" s="11" t="str" cm="1">
        <f t="array" ref="D43">SourceData_Dairy.SourceData_Dairy_LiveweightGain_Source()</f>
        <v>VEERG 2026: Table A.1.3.3</v>
      </c>
      <c r="M43" s="8"/>
    </row>
    <row r="44" spans="4:13" ht="20.100000000000001" customHeight="1" x14ac:dyDescent="0.25">
      <c r="D44" s="8" t="str" cm="1">
        <f t="array" ref="D44">SourceData_Dairy.SourceData_Dairy_LiveweightGain_Variable()</f>
        <v>LWGj</v>
      </c>
      <c r="M44" s="8"/>
    </row>
    <row r="45" spans="4:13" ht="20.100000000000001" customHeight="1" x14ac:dyDescent="0.25">
      <c r="D45" s="13" t="str" cm="1">
        <f t="array" ref="D45">SourceData_Dairy.SourceData_Dairy_LiveweightGain_Unit()</f>
        <v>kg</v>
      </c>
      <c r="M45" s="8"/>
    </row>
    <row r="46" spans="4:13" ht="20.100000000000001" customHeight="1" x14ac:dyDescent="0.25">
      <c r="D46" s="10" t="s">
        <v>548</v>
      </c>
      <c r="E46" s="10" t="s">
        <v>557</v>
      </c>
      <c r="F46" s="10" t="s">
        <v>549</v>
      </c>
      <c r="G46" s="10" t="s">
        <v>558</v>
      </c>
      <c r="H46" s="10" t="s">
        <v>559</v>
      </c>
      <c r="M46" s="8"/>
    </row>
    <row r="47" spans="4:13" ht="20.100000000000001" customHeight="1" x14ac:dyDescent="0.25">
      <c r="D47" s="10" cm="1">
        <f t="array" ref="D47">Common_InputFunctions.Utility_DisplayArrayInTable(SourceData_Dairy.SourceData_Dairy_LiveweightGain_Data(), Table_SourceData_Dairy_LWGj[[#Headers],[Milking cows]], 0)</f>
        <v>1.6E-2</v>
      </c>
      <c r="E47" s="10" cm="1">
        <f t="array" ref="E47">Common_InputFunctions.Utility_DisplayArrayInTable(SourceData_Dairy.SourceData_Dairy_LiveweightGain_Data(), Table_SourceData_Dairy_LWGj[[#Headers],[Milking cows]], 0)</f>
        <v>0.6</v>
      </c>
      <c r="F47" s="10" cm="1">
        <f t="array" ref="F47">Common_InputFunctions.Utility_DisplayArrayInTable(SourceData_Dairy.SourceData_Dairy_LiveweightGain_Data(), Table_SourceData_Dairy_LWGj[[#Headers],[Milking cows]], 0)</f>
        <v>0.56999999999999995</v>
      </c>
      <c r="G47" s="10" cm="1">
        <f t="array" ref="G47">Common_InputFunctions.Utility_DisplayArrayInTable(SourceData_Dairy.SourceData_Dairy_LiveweightGain_Data(), Table_SourceData_Dairy_LWGj[[#Headers],[Milking cows]], 0)</f>
        <v>0.1</v>
      </c>
      <c r="H47" s="10" cm="1">
        <f t="array" ref="H47">Common_InputFunctions.Utility_DisplayArrayInTable(SourceData_Dairy.SourceData_Dairy_LiveweightGain_Data(), Table_SourceData_Dairy_LWGj[[#Headers],[Milking cows]], 0)</f>
        <v>0.8</v>
      </c>
      <c r="M47" s="8"/>
    </row>
    <row r="48" spans="4:13" ht="20.100000000000001" customHeight="1" x14ac:dyDescent="0.25">
      <c r="M48" s="8"/>
    </row>
    <row r="49" spans="1:13" ht="20.100000000000001" customHeight="1" x14ac:dyDescent="0.25">
      <c r="M49" s="8"/>
    </row>
    <row r="50" spans="1:13" ht="20.100000000000001" customHeight="1" x14ac:dyDescent="0.25">
      <c r="D50" s="9" t="str" cm="1">
        <f t="array" ref="D50">SourceData_Dairy.SourceData_Dairy_ReferenceWeights_Title()</f>
        <v>Table A.1.3.4: Dairy cattle - Reference weights (kg) (WRj)</v>
      </c>
      <c r="M50" s="8"/>
    </row>
    <row r="51" spans="1:13" ht="20.100000000000001" customHeight="1" x14ac:dyDescent="0.25">
      <c r="D51" s="11" t="str" cm="1">
        <f t="array" ref="D51">SourceData_Dairy.SourceData_Dairy_ReferenceWeights_Source()</f>
        <v>VEERG 2026: Table A.1.3.4</v>
      </c>
      <c r="M51" s="8"/>
    </row>
    <row r="52" spans="1:13" ht="20.100000000000001" customHeight="1" x14ac:dyDescent="0.25">
      <c r="D52" s="8" t="str" cm="1">
        <f t="array" ref="D52">SourceData_Dairy.SourceData_Dairy_ReferenceWeights_Variable()</f>
        <v>WRj</v>
      </c>
      <c r="M52" s="8"/>
    </row>
    <row r="53" spans="1:13" ht="20.100000000000001" customHeight="1" x14ac:dyDescent="0.25">
      <c r="D53" s="13" t="str" cm="1">
        <f t="array" ref="D53">SourceData_Dairy.SourceData_Dairy_ReferenceWeights_Unit()</f>
        <v>kg</v>
      </c>
      <c r="M53" s="8"/>
    </row>
    <row r="54" spans="1:13" ht="20.100000000000001" customHeight="1" x14ac:dyDescent="0.25">
      <c r="D54" s="161" t="s">
        <v>548</v>
      </c>
      <c r="E54" s="161" t="s">
        <v>557</v>
      </c>
      <c r="F54" s="161" t="s">
        <v>549</v>
      </c>
      <c r="G54" s="161" t="s">
        <v>558</v>
      </c>
      <c r="H54" s="161" t="s">
        <v>559</v>
      </c>
      <c r="M54" s="8"/>
    </row>
    <row r="55" spans="1:13" ht="20.100000000000001" customHeight="1" x14ac:dyDescent="0.25">
      <c r="A55" s="45" t="str">
        <f>HYPERLINK("#A1", "▲ Back to top")</f>
        <v>▲ Back to top</v>
      </c>
      <c r="D55" s="8" cm="1">
        <f t="array" ref="D55">Common_InputFunctions.Utility_DisplayArrayInTable(SourceData_Dairy.SourceData_Dairy_ReferenceWeights_Data(), Table_SourceData_Dairy_WRj[[#Headers],[Milking cows]], 0)</f>
        <v>590</v>
      </c>
      <c r="E55" s="8" cm="1">
        <f t="array" ref="E55">Common_InputFunctions.Utility_DisplayArrayInTable(SourceData_Dairy.SourceData_Dairy_ReferenceWeights_Data(), Table_SourceData_Dairy_WRj[[#Headers],[Milking cows]], 0)</f>
        <v>590</v>
      </c>
      <c r="F55" s="8" cm="1">
        <f t="array" ref="F55">Common_InputFunctions.Utility_DisplayArrayInTable(SourceData_Dairy.SourceData_Dairy_ReferenceWeights_Data(), Table_SourceData_Dairy_WRj[[#Headers],[Milking cows]], 0)</f>
        <v>590</v>
      </c>
      <c r="G55" s="8" cm="1">
        <f t="array" ref="G55">Common_InputFunctions.Utility_DisplayArrayInTable(SourceData_Dairy.SourceData_Dairy_ReferenceWeights_Data(), Table_SourceData_Dairy_WRj[[#Headers],[Milking cows]], 0)</f>
        <v>770</v>
      </c>
      <c r="H55" s="8" cm="1">
        <f t="array" ref="H55">Common_InputFunctions.Utility_DisplayArrayInTable(SourceData_Dairy.SourceData_Dairy_ReferenceWeights_Data(), Table_SourceData_Dairy_WRj[[#Headers],[Milking cows]], 0)</f>
        <v>770</v>
      </c>
      <c r="M55" s="8"/>
    </row>
    <row r="56" spans="1:13" ht="20.100000000000001" customHeight="1" x14ac:dyDescent="0.25">
      <c r="M56" s="8"/>
    </row>
    <row r="57" spans="1:13" ht="20.100000000000001" customHeight="1" x14ac:dyDescent="0.25">
      <c r="M57" s="8"/>
    </row>
    <row r="58" spans="1:13" ht="20.100000000000001" customHeight="1" x14ac:dyDescent="0.25">
      <c r="D58" s="9" t="str" cm="1">
        <f t="array" ref="D58">SourceData_Dairy.SourceData_Dairy_PreWeanedCalves_Title()</f>
        <v>Table A.1.3.5: Dairy cattle - Data for pre - weaned calves</v>
      </c>
      <c r="M58" s="8"/>
    </row>
    <row r="59" spans="1:13" ht="20.100000000000001" customHeight="1" x14ac:dyDescent="0.25">
      <c r="D59" s="11" t="str" cm="1">
        <f t="array" ref="D59">SourceData_Dairy.SourceData_Dairy_PreWeanedCalves_Source()</f>
        <v>VEERG 2026: Table A.1.3.5</v>
      </c>
      <c r="M59" s="8"/>
    </row>
    <row r="60" spans="1:13" ht="20.100000000000001" customHeight="1" x14ac:dyDescent="0.25">
      <c r="D60" s="8" t="str" cm="1">
        <f t="array" ref="D60">SourceData_Dairy.SourceData_Dairy_PreWeanedCalves_Variable()</f>
        <v>VSj=3,5; NPWj=3,5</v>
      </c>
      <c r="M60" s="8"/>
    </row>
    <row r="61" spans="1:13" ht="20.100000000000001" customHeight="1" x14ac:dyDescent="0.25">
      <c r="D61" s="13" t="str" cm="1">
        <f t="array" ref="D61">SourceData_Dairy.SourceData_Dairy_PreWeanedCalves_Unit()</f>
        <v>kg/day</v>
      </c>
      <c r="M61" s="8"/>
    </row>
    <row r="62" spans="1:13" ht="20.100000000000001" customHeight="1" x14ac:dyDescent="0.25">
      <c r="D62" s="10" t="s">
        <v>560</v>
      </c>
      <c r="E62" s="10" t="s">
        <v>561</v>
      </c>
      <c r="F62" s="10" t="s">
        <v>562</v>
      </c>
      <c r="G62" s="10" t="s">
        <v>563</v>
      </c>
      <c r="M62" s="8"/>
    </row>
    <row r="63" spans="1:13" ht="20.100000000000001" customHeight="1" x14ac:dyDescent="0.25">
      <c r="D63" s="10" t="str" cm="1">
        <f t="array" ref="D63">Common_InputFunctions.Utility_DisplayArrayInTable(SourceData_Dairy.SourceData_Dairy_PreWeanedCalves_Data(), Table_SourceData_Dairy_DataPreWeaned[[#Headers],[Animal class j]], -1)</f>
        <v>Heifers&lt;1</v>
      </c>
      <c r="E63" s="10" cm="1">
        <f t="array" ref="E63">Common_InputFunctions.Utility_DisplayArrayInTable(SourceData_Dairy.SourceData_Dairy_PreWeanedCalves_Data(), Table_SourceData_Dairy_DataPreWeaned[[#Headers],[Animal class j]], -1)</f>
        <v>1.7600000000000001E-2</v>
      </c>
      <c r="F63" s="10" cm="1">
        <f t="array" ref="F63">Common_InputFunctions.Utility_DisplayArrayInTable(SourceData_Dairy.SourceData_Dairy_PreWeanedCalves_Data(), Table_SourceData_Dairy_DataPreWeaned[[#Headers],[Animal class j]], -1)</f>
        <v>0.26850000000000002</v>
      </c>
      <c r="G63" s="10" cm="1">
        <f t="array" ref="G63">Common_InputFunctions.Utility_DisplayArrayInTable(SourceData_Dairy.SourceData_Dairy_PreWeanedCalves_Data(), Table_SourceData_Dairy_DataPreWeaned[[#Headers],[Animal class j]], -1)</f>
        <v>1.37E-2</v>
      </c>
      <c r="M63" s="8"/>
    </row>
    <row r="64" spans="1:13" ht="20.100000000000001" customHeight="1" x14ac:dyDescent="0.25">
      <c r="D64" s="10" t="str" cm="1">
        <f t="array" ref="D64">Common_InputFunctions.Utility_DisplayArrayInTable(SourceData_Dairy.SourceData_Dairy_PreWeanedCalves_Data(), Table_SourceData_Dairy_DataPreWeaned[[#Headers],[Animal class j]], -1)</f>
        <v>Bulls&lt;1</v>
      </c>
      <c r="E64" s="10" cm="1">
        <f t="array" ref="E64">Common_InputFunctions.Utility_DisplayArrayInTable(SourceData_Dairy.SourceData_Dairy_PreWeanedCalves_Data(), Table_SourceData_Dairy_DataPreWeaned[[#Headers],[Animal class j]], -1)</f>
        <v>2.0400000000000001E-2</v>
      </c>
      <c r="F64" s="10" cm="1">
        <f t="array" ref="F64">Common_InputFunctions.Utility_DisplayArrayInTable(SourceData_Dairy.SourceData_Dairy_PreWeanedCalves_Data(), Table_SourceData_Dairy_DataPreWeaned[[#Headers],[Animal class j]], -1)</f>
        <v>0.30030000000000001</v>
      </c>
      <c r="G64" s="10" cm="1">
        <f t="array" ref="G64">Common_InputFunctions.Utility_DisplayArrayInTable(SourceData_Dairy.SourceData_Dairy_PreWeanedCalves_Data(), Table_SourceData_Dairy_DataPreWeaned[[#Headers],[Animal class j]], -1)</f>
        <v>9.1999999999999998E-3</v>
      </c>
      <c r="M64" s="8"/>
    </row>
    <row r="65" spans="1:22" ht="20.100000000000001" customHeight="1" x14ac:dyDescent="0.25">
      <c r="M65" s="8"/>
    </row>
    <row r="66" spans="1:22" ht="20.100000000000001" customHeight="1" x14ac:dyDescent="0.25">
      <c r="M66" s="8"/>
    </row>
    <row r="67" spans="1:22" ht="20.100000000000001" customHeight="1" x14ac:dyDescent="0.25">
      <c r="D67" s="9" t="str" cm="1">
        <f t="array" ref="D67">SourceData_Dairy.SourceData_Dairy_MCF_Title()</f>
        <v>Table A.1.3.6: Dairy cattle - Dairy cattle - MCFs (fraction) (MCFjm)</v>
      </c>
      <c r="M67" s="8"/>
    </row>
    <row r="68" spans="1:22" ht="20.100000000000001" customHeight="1" x14ac:dyDescent="0.25">
      <c r="D68" s="11" t="str" cm="1">
        <f t="array" ref="D68">SourceData_Dairy.SourceData_Dairy_MCF_Source()</f>
        <v>VEERG 2026: Table A.1.3.6</v>
      </c>
      <c r="M68" s="8"/>
    </row>
    <row r="69" spans="1:22" ht="20.100000000000001" customHeight="1" x14ac:dyDescent="0.25">
      <c r="D69" s="8" t="str" cm="1">
        <f t="array" ref="D69">SourceData_Dairy.SourceData_Dairy_MCF_Variable()</f>
        <v>MCFjm</v>
      </c>
      <c r="M69" s="8"/>
    </row>
    <row r="70" spans="1:22" ht="20.100000000000001" customHeight="1" x14ac:dyDescent="0.25">
      <c r="D70" s="13" t="str" cm="1">
        <f t="array" ref="D70">SourceData_Dairy.SourceData_Dairy_MCF_Unit()</f>
        <v>fraction</v>
      </c>
      <c r="M70" s="8"/>
    </row>
    <row r="71" spans="1:22" ht="20.100000000000001" customHeight="1" x14ac:dyDescent="0.25">
      <c r="D71" s="12" t="str" cm="1">
        <f t="array" ref="D71">SourceData_Dairy.SourceData_Dairy_MCF_Variation()</f>
        <v>VARIATION OF SOURCE: Added 'NIR reference' column to aid lookup</v>
      </c>
      <c r="M71" s="8"/>
      <c r="V71" s="8"/>
    </row>
    <row r="72" spans="1:22" ht="20.100000000000001" customHeight="1" x14ac:dyDescent="0.25">
      <c r="D72" s="10" t="s">
        <v>564</v>
      </c>
      <c r="E72" s="10" t="s">
        <v>338</v>
      </c>
      <c r="F72" s="10" t="s">
        <v>362</v>
      </c>
      <c r="G72" s="10" t="s">
        <v>465</v>
      </c>
      <c r="H72" s="10" t="s">
        <v>363</v>
      </c>
      <c r="I72" s="10" t="s">
        <v>423</v>
      </c>
      <c r="J72" s="10" t="s">
        <v>419</v>
      </c>
      <c r="K72" s="10" t="s">
        <v>368</v>
      </c>
      <c r="L72" s="10" t="s">
        <v>369</v>
      </c>
      <c r="M72" s="10" t="s">
        <v>565</v>
      </c>
      <c r="V72" s="8"/>
    </row>
    <row r="73" spans="1:22" ht="20.100000000000001" customHeight="1" x14ac:dyDescent="0.25">
      <c r="D73" s="10" t="str" cm="1">
        <f t="array" ref="D73">Common_InputFunctions.Utility_DisplayArrayInTable(SourceData_Dairy.SourceData_Dairy_MCF_Data(), Table_SourceData_Dairy_MCFjm[[#Headers],[MMS m]], 0)</f>
        <v>Pasture</v>
      </c>
      <c r="E73" s="10" cm="1">
        <f t="array" ref="E73">Common_InputFunctions.Utility_DisplayArrayInTable(SourceData_Dairy.SourceData_Dairy_MCF_Data(), Table_SourceData_Dairy_MCFjm[[#Headers],[MMS m]], 0)</f>
        <v>0.01</v>
      </c>
      <c r="F73" s="10" cm="1">
        <f t="array" ref="F73">Common_InputFunctions.Utility_DisplayArrayInTable(SourceData_Dairy.SourceData_Dairy_MCF_Data(), Table_SourceData_Dairy_MCFjm[[#Headers],[MMS m]], 0)</f>
        <v>0.01</v>
      </c>
      <c r="G73" s="10" cm="1">
        <f t="array" ref="G73">Common_InputFunctions.Utility_DisplayArrayInTable(SourceData_Dairy.SourceData_Dairy_MCF_Data(), Table_SourceData_Dairy_MCFjm[[#Headers],[MMS m]], 0)</f>
        <v>0.02</v>
      </c>
      <c r="H73" s="10" cm="1">
        <f t="array" ref="H73">Common_InputFunctions.Utility_DisplayArrayInTable(SourceData_Dairy.SourceData_Dairy_MCF_Data(), Table_SourceData_Dairy_MCFjm[[#Headers],[MMS m]], 0)</f>
        <v>0.01</v>
      </c>
      <c r="I73" s="10" cm="1">
        <f t="array" ref="I73">Common_InputFunctions.Utility_DisplayArrayInTable(SourceData_Dairy.SourceData_Dairy_MCF_Data(), Table_SourceData_Dairy_MCFjm[[#Headers],[MMS m]], 0)</f>
        <v>0.01</v>
      </c>
      <c r="J73" s="10" cm="1">
        <f t="array" ref="J73">Common_InputFunctions.Utility_DisplayArrayInTable(SourceData_Dairy.SourceData_Dairy_MCF_Data(), Table_SourceData_Dairy_MCFjm[[#Headers],[MMS m]], 0)</f>
        <v>0.01</v>
      </c>
      <c r="K73" s="10" cm="1">
        <f t="array" ref="K73">Common_InputFunctions.Utility_DisplayArrayInTable(SourceData_Dairy.SourceData_Dairy_MCF_Data(), Table_SourceData_Dairy_MCFjm[[#Headers],[MMS m]], 0)</f>
        <v>0.01</v>
      </c>
      <c r="L73" s="10" cm="1">
        <f t="array" ref="L73">Common_InputFunctions.Utility_DisplayArrayInTable(SourceData_Dairy.SourceData_Dairy_MCF_Data(), Table_SourceData_Dairy_MCFjm[[#Headers],[MMS m]], 0)</f>
        <v>0.01</v>
      </c>
      <c r="M73" s="10" t="str" cm="1">
        <f t="array" ref="M73">Common_InputFunctions.Utility_DisplayArrayInTable(SourceData_Dairy.SourceData_Dairy_MCF_Data(), Table_SourceData_Dairy_MCFjm[[#Headers],[MMS m]], 0)</f>
        <v>Pasture range and paddock</v>
      </c>
      <c r="V73" s="8"/>
    </row>
    <row r="74" spans="1:22" ht="20.100000000000001" customHeight="1" x14ac:dyDescent="0.25">
      <c r="D74" s="8" t="str" cm="1">
        <f t="array" ref="D74">Common_InputFunctions.Utility_DisplayArrayInTable(SourceData_Dairy.SourceData_Dairy_MCF_Data(), Table_SourceData_Dairy_MCFjm[[#Headers],[MMS m]], 0)</f>
        <v>Anaerobic lagoon</v>
      </c>
      <c r="E74" s="10" cm="1">
        <f t="array" ref="E74">Common_InputFunctions.Utility_DisplayArrayInTable(SourceData_Dairy.SourceData_Dairy_MCF_Data(), Table_SourceData_Dairy_MCFjm[[#Headers],[MMS m]], 0)</f>
        <v>0.72</v>
      </c>
      <c r="F74" s="10" cm="1">
        <f t="array" ref="F74">Common_InputFunctions.Utility_DisplayArrayInTable(SourceData_Dairy.SourceData_Dairy_MCF_Data(), Table_SourceData_Dairy_MCFjm[[#Headers],[MMS m]], 0)</f>
        <v>0.76</v>
      </c>
      <c r="G74" s="10" cm="1">
        <f t="array" ref="G74">Common_InputFunctions.Utility_DisplayArrayInTable(SourceData_Dairy.SourceData_Dairy_MCF_Data(), Table_SourceData_Dairy_MCFjm[[#Headers],[MMS m]], 0)</f>
        <v>0.8</v>
      </c>
      <c r="H74" s="10" cm="1">
        <f t="array" ref="H74">Common_InputFunctions.Utility_DisplayArrayInTable(SourceData_Dairy.SourceData_Dairy_MCF_Data(), Table_SourceData_Dairy_MCFjm[[#Headers],[MMS m]], 0)</f>
        <v>0.78</v>
      </c>
      <c r="I74" s="10" cm="1">
        <f t="array" ref="I74">Common_InputFunctions.Utility_DisplayArrayInTable(SourceData_Dairy.SourceData_Dairy_MCF_Data(), Table_SourceData_Dairy_MCFjm[[#Headers],[MMS m]], 0)</f>
        <v>0.74</v>
      </c>
      <c r="J74" s="10" cm="1">
        <f t="array" ref="J74">Common_InputFunctions.Utility_DisplayArrayInTable(SourceData_Dairy.SourceData_Dairy_MCF_Data(), Table_SourceData_Dairy_MCFjm[[#Headers],[MMS m]], 0)</f>
        <v>0.69</v>
      </c>
      <c r="K74" s="10" cm="1">
        <f t="array" ref="K74">Common_InputFunctions.Utility_DisplayArrayInTable(SourceData_Dairy.SourceData_Dairy_MCF_Data(), Table_SourceData_Dairy_MCFjm[[#Headers],[MMS m]], 0)</f>
        <v>0.73</v>
      </c>
      <c r="L74" s="10" cm="1">
        <f t="array" ref="L74">Common_InputFunctions.Utility_DisplayArrayInTable(SourceData_Dairy.SourceData_Dairy_MCF_Data(), Table_SourceData_Dairy_MCFjm[[#Headers],[MMS m]], 0)</f>
        <v>0.76</v>
      </c>
      <c r="M74" s="10" t="str" cm="1">
        <f t="array" ref="M74">Common_InputFunctions.Utility_DisplayArrayInTable(SourceData_Dairy.SourceData_Dairy_MCF_Data(), Table_SourceData_Dairy_MCFjm[[#Headers],[MMS m]], 0)</f>
        <v>Anaerobic lagoon</v>
      </c>
      <c r="V74" s="8"/>
    </row>
    <row r="75" spans="1:22" ht="20.100000000000001" customHeight="1" x14ac:dyDescent="0.25">
      <c r="D75" s="8" t="str" cm="1">
        <f t="array" ref="D75">Common_InputFunctions.Utility_DisplayArrayInTable(SourceData_Dairy.SourceData_Dairy_MCF_Data(), Table_SourceData_Dairy_MCFjm[[#Headers],[MMS m]], 0)</f>
        <v>Daily spread - Sump and dispersal systems</v>
      </c>
      <c r="E75" s="10" cm="1">
        <f t="array" ref="E75">Common_InputFunctions.Utility_DisplayArrayInTable(SourceData_Dairy.SourceData_Dairy_MCF_Data(), Table_SourceData_Dairy_MCFjm[[#Headers],[MMS m]], 0)</f>
        <v>5.0000000000000001E-3</v>
      </c>
      <c r="F75" s="10" cm="1">
        <f t="array" ref="F75">Common_InputFunctions.Utility_DisplayArrayInTable(SourceData_Dairy.SourceData_Dairy_MCF_Data(), Table_SourceData_Dairy_MCFjm[[#Headers],[MMS m]], 0)</f>
        <v>5.0000000000000001E-3</v>
      </c>
      <c r="G75" s="10" cm="1">
        <f t="array" ref="G75">Common_InputFunctions.Utility_DisplayArrayInTable(SourceData_Dairy.SourceData_Dairy_MCF_Data(), Table_SourceData_Dairy_MCFjm[[#Headers],[MMS m]], 0)</f>
        <v>0.01</v>
      </c>
      <c r="H75" s="10" cm="1">
        <f t="array" ref="H75">Common_InputFunctions.Utility_DisplayArrayInTable(SourceData_Dairy.SourceData_Dairy_MCF_Data(), Table_SourceData_Dairy_MCFjm[[#Headers],[MMS m]], 0)</f>
        <v>5.0000000000000001E-3</v>
      </c>
      <c r="I75" s="10" cm="1">
        <f t="array" ref="I75">Common_InputFunctions.Utility_DisplayArrayInTable(SourceData_Dairy.SourceData_Dairy_MCF_Data(), Table_SourceData_Dairy_MCFjm[[#Headers],[MMS m]], 0)</f>
        <v>5.0000000000000001E-3</v>
      </c>
      <c r="J75" s="10" cm="1">
        <f t="array" ref="J75">Common_InputFunctions.Utility_DisplayArrayInTable(SourceData_Dairy.SourceData_Dairy_MCF_Data(), Table_SourceData_Dairy_MCFjm[[#Headers],[MMS m]], 0)</f>
        <v>1E-3</v>
      </c>
      <c r="K75" s="10" cm="1">
        <f t="array" ref="K75">Common_InputFunctions.Utility_DisplayArrayInTable(SourceData_Dairy.SourceData_Dairy_MCF_Data(), Table_SourceData_Dairy_MCFjm[[#Headers],[MMS m]], 0)</f>
        <v>5.0000000000000001E-3</v>
      </c>
      <c r="L75" s="10" cm="1">
        <f t="array" ref="L75">Common_InputFunctions.Utility_DisplayArrayInTable(SourceData_Dairy.SourceData_Dairy_MCF_Data(), Table_SourceData_Dairy_MCFjm[[#Headers],[MMS m]], 0)</f>
        <v>5.0000000000000001E-3</v>
      </c>
      <c r="M75" s="10" t="str" cm="1">
        <f t="array" ref="M75">Common_InputFunctions.Utility_DisplayArrayInTable(SourceData_Dairy.SourceData_Dairy_MCF_Data(), Table_SourceData_Dairy_MCFjm[[#Headers],[MMS m]], 0)</f>
        <v>Sump and dispersal system</v>
      </c>
      <c r="V75" s="8"/>
    </row>
    <row r="76" spans="1:22" ht="20.100000000000001" customHeight="1" x14ac:dyDescent="0.25">
      <c r="D76" s="8" t="str" cm="1">
        <f t="array" ref="D76">Common_InputFunctions.Utility_DisplayArrayInTable(SourceData_Dairy.SourceData_Dairy_MCF_Data(), Table_SourceData_Dairy_MCFjm[[#Headers],[MMS m]], 0)</f>
        <v>Daily spread - Drains to paddocks (a)</v>
      </c>
      <c r="E76" s="10" cm="1">
        <f t="array" ref="E76">Common_InputFunctions.Utility_DisplayArrayInTable(SourceData_Dairy.SourceData_Dairy_MCF_Data(), Table_SourceData_Dairy_MCFjm[[#Headers],[MMS m]], 0)</f>
        <v>0.15</v>
      </c>
      <c r="F76" s="10" cm="1">
        <f t="array" ref="F76">Common_InputFunctions.Utility_DisplayArrayInTable(SourceData_Dairy.SourceData_Dairy_MCF_Data(), Table_SourceData_Dairy_MCFjm[[#Headers],[MMS m]], 0)</f>
        <v>0.18</v>
      </c>
      <c r="G76" s="10" cm="1">
        <f t="array" ref="G76">Common_InputFunctions.Utility_DisplayArrayInTable(SourceData_Dairy.SourceData_Dairy_MCF_Data(), Table_SourceData_Dairy_MCFjm[[#Headers],[MMS m]], 0)</f>
        <v>0.5</v>
      </c>
      <c r="H76" s="10" cm="1">
        <f t="array" ref="H76">Common_InputFunctions.Utility_DisplayArrayInTable(SourceData_Dairy.SourceData_Dairy_MCF_Data(), Table_SourceData_Dairy_MCFjm[[#Headers],[MMS m]], 0)</f>
        <v>0.24</v>
      </c>
      <c r="I76" s="10" cm="1">
        <f t="array" ref="I76">Common_InputFunctions.Utility_DisplayArrayInTable(SourceData_Dairy.SourceData_Dairy_MCF_Data(), Table_SourceData_Dairy_MCFjm[[#Headers],[MMS m]], 0)</f>
        <v>0.17</v>
      </c>
      <c r="J76" s="10" cm="1">
        <f t="array" ref="J76">Common_InputFunctions.Utility_DisplayArrayInTable(SourceData_Dairy.SourceData_Dairy_MCF_Data(), Table_SourceData_Dairy_MCFjm[[#Headers],[MMS m]], 0)</f>
        <v>0.13</v>
      </c>
      <c r="K76" s="10" cm="1">
        <f t="array" ref="K76">Common_InputFunctions.Utility_DisplayArrayInTable(SourceData_Dairy.SourceData_Dairy_MCF_Data(), Table_SourceData_Dairy_MCFjm[[#Headers],[MMS m]], 0)</f>
        <v>0.17</v>
      </c>
      <c r="L76" s="10" cm="1">
        <f t="array" ref="L76">Common_InputFunctions.Utility_DisplayArrayInTable(SourceData_Dairy.SourceData_Dairy_MCF_Data(), Table_SourceData_Dairy_MCFjm[[#Headers],[MMS m]], 0)</f>
        <v>0.18</v>
      </c>
      <c r="M76" s="10" t="str" cm="1">
        <f t="array" ref="M76">Common_InputFunctions.Utility_DisplayArrayInTable(SourceData_Dairy.SourceData_Dairy_MCF_Data(), Table_SourceData_Dairy_MCFjm[[#Headers],[MMS m]], 0)</f>
        <v>Drains to paddock</v>
      </c>
      <c r="V76" s="8"/>
    </row>
    <row r="77" spans="1:22" ht="20.100000000000001" customHeight="1" x14ac:dyDescent="0.25">
      <c r="D77" s="8" t="str" cm="1">
        <f t="array" ref="D77">Common_InputFunctions.Utility_DisplayArrayInTable(SourceData_Dairy.SourceData_Dairy_MCF_Data(), Table_SourceData_Dairy_MCFjm[[#Headers],[MMS m]], 0)</f>
        <v>Solid Storage</v>
      </c>
      <c r="E77" s="10" cm="1">
        <f t="array" ref="E77">Common_InputFunctions.Utility_DisplayArrayInTable(SourceData_Dairy.SourceData_Dairy_MCF_Data(), Table_SourceData_Dairy_MCFjm[[#Headers],[MMS m]], 0)</f>
        <v>0.02</v>
      </c>
      <c r="F77" s="10" cm="1">
        <f t="array" ref="F77">Common_InputFunctions.Utility_DisplayArrayInTable(SourceData_Dairy.SourceData_Dairy_MCF_Data(), Table_SourceData_Dairy_MCFjm[[#Headers],[MMS m]], 0)</f>
        <v>0.02</v>
      </c>
      <c r="G77" s="10" cm="1">
        <f t="array" ref="G77">Common_InputFunctions.Utility_DisplayArrayInTable(SourceData_Dairy.SourceData_Dairy_MCF_Data(), Table_SourceData_Dairy_MCFjm[[#Headers],[MMS m]], 0)</f>
        <v>0.02</v>
      </c>
      <c r="H77" s="10" cm="1">
        <f t="array" ref="H77">Common_InputFunctions.Utility_DisplayArrayInTable(SourceData_Dairy.SourceData_Dairy_MCF_Data(), Table_SourceData_Dairy_MCFjm[[#Headers],[MMS m]], 0)</f>
        <v>0.02</v>
      </c>
      <c r="I77" s="10" cm="1">
        <f t="array" ref="I77">Common_InputFunctions.Utility_DisplayArrayInTable(SourceData_Dairy.SourceData_Dairy_MCF_Data(), Table_SourceData_Dairy_MCFjm[[#Headers],[MMS m]], 0)</f>
        <v>0.02</v>
      </c>
      <c r="J77" s="10" cm="1">
        <f t="array" ref="J77">Common_InputFunctions.Utility_DisplayArrayInTable(SourceData_Dairy.SourceData_Dairy_MCF_Data(), Table_SourceData_Dairy_MCFjm[[#Headers],[MMS m]], 0)</f>
        <v>0.02</v>
      </c>
      <c r="K77" s="10" cm="1">
        <f t="array" ref="K77">Common_InputFunctions.Utility_DisplayArrayInTable(SourceData_Dairy.SourceData_Dairy_MCF_Data(), Table_SourceData_Dairy_MCFjm[[#Headers],[MMS m]], 0)</f>
        <v>0.02</v>
      </c>
      <c r="L77" s="10" cm="1">
        <f t="array" ref="L77">Common_InputFunctions.Utility_DisplayArrayInTable(SourceData_Dairy.SourceData_Dairy_MCF_Data(), Table_SourceData_Dairy_MCFjm[[#Headers],[MMS m]], 0)</f>
        <v>0.02</v>
      </c>
      <c r="M77" s="10" t="str" cm="1">
        <f t="array" ref="M77">Common_InputFunctions.Utility_DisplayArrayInTable(SourceData_Dairy.SourceData_Dairy_MCF_Data(), Table_SourceData_Dairy_MCFjm[[#Headers],[MMS m]], 0)</f>
        <v>Solid storage</v>
      </c>
      <c r="V77" s="8"/>
    </row>
    <row r="78" spans="1:22" ht="20.100000000000001" customHeight="1" x14ac:dyDescent="0.25">
      <c r="D78" s="8" t="str" cm="1">
        <f t="array" ref="D78">Common_InputFunctions.Utility_DisplayArrayInTable(SourceData_Dairy.SourceData_Dairy_MCF_Data(), Table_SourceData_Dairy_MCFjm[[#Headers],[MMS m]], 0)</f>
        <v>Direct Application to soil</v>
      </c>
      <c r="E78" s="10" cm="1">
        <f t="array" ref="E78">Common_InputFunctions.Utility_DisplayArrayInTable(SourceData_Dairy.SourceData_Dairy_MCF_Data(), Table_SourceData_Dairy_MCFjm[[#Headers],[MMS m]], 0)</f>
        <v>0</v>
      </c>
      <c r="F78" s="10" cm="1">
        <f t="array" ref="F78">Common_InputFunctions.Utility_DisplayArrayInTable(SourceData_Dairy.SourceData_Dairy_MCF_Data(), Table_SourceData_Dairy_MCFjm[[#Headers],[MMS m]], 0)</f>
        <v>0</v>
      </c>
      <c r="G78" s="10" cm="1">
        <f t="array" ref="G78">Common_InputFunctions.Utility_DisplayArrayInTable(SourceData_Dairy.SourceData_Dairy_MCF_Data(), Table_SourceData_Dairy_MCFjm[[#Headers],[MMS m]], 0)</f>
        <v>0</v>
      </c>
      <c r="H78" s="10" cm="1">
        <f t="array" ref="H78">Common_InputFunctions.Utility_DisplayArrayInTable(SourceData_Dairy.SourceData_Dairy_MCF_Data(), Table_SourceData_Dairy_MCFjm[[#Headers],[MMS m]], 0)</f>
        <v>0</v>
      </c>
      <c r="I78" s="10" cm="1">
        <f t="array" ref="I78">Common_InputFunctions.Utility_DisplayArrayInTable(SourceData_Dairy.SourceData_Dairy_MCF_Data(), Table_SourceData_Dairy_MCFjm[[#Headers],[MMS m]], 0)</f>
        <v>0</v>
      </c>
      <c r="J78" s="10" cm="1">
        <f t="array" ref="J78">Common_InputFunctions.Utility_DisplayArrayInTable(SourceData_Dairy.SourceData_Dairy_MCF_Data(), Table_SourceData_Dairy_MCFjm[[#Headers],[MMS m]], 0)</f>
        <v>0</v>
      </c>
      <c r="K78" s="10" cm="1">
        <f t="array" ref="K78">Common_InputFunctions.Utility_DisplayArrayInTable(SourceData_Dairy.SourceData_Dairy_MCF_Data(), Table_SourceData_Dairy_MCFjm[[#Headers],[MMS m]], 0)</f>
        <v>0</v>
      </c>
      <c r="L78" s="10" cm="1">
        <f t="array" ref="L78">Common_InputFunctions.Utility_DisplayArrayInTable(SourceData_Dairy.SourceData_Dairy_MCF_Data(), Table_SourceData_Dairy_MCFjm[[#Headers],[MMS m]], 0)</f>
        <v>0</v>
      </c>
      <c r="M78" s="10" t="str" cm="1">
        <f t="array" ref="M78">Common_InputFunctions.Utility_DisplayArrayInTable(SourceData_Dairy.SourceData_Dairy_MCF_Data(), Table_SourceData_Dairy_MCFjm[[#Headers],[MMS m]], 0)</f>
        <v>Direct application</v>
      </c>
    </row>
    <row r="79" spans="1:22" ht="20.100000000000001" customHeight="1" x14ac:dyDescent="0.25">
      <c r="A79" s="45" t="str">
        <f>HYPERLINK("#A1", "▲ Back to top")</f>
        <v>▲ Back to top</v>
      </c>
      <c r="M79" s="8"/>
    </row>
    <row r="80" spans="1:22" ht="20.100000000000001" customHeight="1" x14ac:dyDescent="0.25">
      <c r="M80" s="8"/>
    </row>
    <row r="81" spans="4:22" ht="20.100000000000001" customHeight="1" x14ac:dyDescent="0.25">
      <c r="D81" s="9" t="str" cm="1">
        <f t="array" ref="D81">SourceData_Dairy.SourceData_Dairy_NitrousOxideEFsAndFracGASM_Title()</f>
        <v>Table A.1.3.7: Dairy cattle - Nitrous oxide EFs and fraction of N volatilised by MMS</v>
      </c>
      <c r="M81" s="8"/>
    </row>
    <row r="82" spans="4:22" ht="20.100000000000001" customHeight="1" x14ac:dyDescent="0.25">
      <c r="D82" s="11" t="str" cm="1">
        <f t="array" ref="D82">SourceData_Dairy.SourceData_Dairy_NitrousOxideEFsAndFracGASM_Source()</f>
        <v>VEERG 2026: Table A.1.3.7</v>
      </c>
      <c r="M82" s="8"/>
    </row>
    <row r="83" spans="4:22" ht="20.100000000000001" customHeight="1" x14ac:dyDescent="0.25">
      <c r="D83" s="8" t="str" cm="1">
        <f t="array" ref="D83">SourceData_Dairy.SourceData_Dairy_NitrousOxideEFsAndFracGASM_Variable()</f>
        <v>EFm; FracGASMm</v>
      </c>
      <c r="M83" s="8"/>
    </row>
    <row r="84" spans="4:22" ht="20.100000000000001" customHeight="1" x14ac:dyDescent="0.25">
      <c r="D84" s="13" t="str" cm="1">
        <f t="array" ref="D84">SourceData_Dairy.SourceData_Dairy_NitrousOxideEFsAndFracGASM_Unit()</f>
        <v>kg N2O-N/kg N excreted</v>
      </c>
      <c r="M84" s="8"/>
    </row>
    <row r="85" spans="4:22" ht="20.100000000000001" customHeight="1" x14ac:dyDescent="0.25">
      <c r="D85" s="12" t="str" cm="1">
        <f t="array" ref="D85">SourceData_Dairy.SourceData_Dairy_NitrousOxideEFsAndFracGASM_Variation()</f>
        <v>VARIATION OF SOURCE: Added 'NIR reference' column to aid lookup</v>
      </c>
      <c r="M85" s="8"/>
      <c r="V85" s="8"/>
    </row>
    <row r="86" spans="4:22" ht="20.100000000000001" customHeight="1" x14ac:dyDescent="0.25">
      <c r="D86" s="10" t="s">
        <v>564</v>
      </c>
      <c r="E86" s="10" t="s">
        <v>566</v>
      </c>
      <c r="F86" s="10" t="s">
        <v>567</v>
      </c>
      <c r="G86" s="10" t="s">
        <v>565</v>
      </c>
      <c r="M86" s="8"/>
      <c r="V86" s="8"/>
    </row>
    <row r="87" spans="4:22" ht="20.100000000000001" customHeight="1" x14ac:dyDescent="0.25">
      <c r="D87" s="10" t="str" cm="1">
        <f t="array" ref="D87">Common_InputFunctions.Utility_DisplayArrayInTable(SourceData_Dairy.SourceData_Dairy_NitrousOxideEFsAndFracGASM_Data(), Table_SourceData_Dairy_EFmFracGASM[[#Headers],[MMS m]], 0)</f>
        <v>M=14 Pasture</v>
      </c>
      <c r="E87" s="10" cm="1">
        <f t="array" ref="E87">Common_InputFunctions.Utility_DisplayArrayInTable(SourceData_Dairy.SourceData_Dairy_NitrousOxideEFsAndFracGASM_Data(), Table_SourceData_Dairy_EFmFracGASM[[#Headers],[MMS m]], 0)</f>
        <v>0</v>
      </c>
      <c r="F87" s="10" cm="1">
        <f t="array" ref="F87">Common_InputFunctions.Utility_DisplayArrayInTable(SourceData_Dairy.SourceData_Dairy_NitrousOxideEFsAndFracGASM_Data(), Table_SourceData_Dairy_EFmFracGASM[[#Headers],[MMS m]], 0)</f>
        <v>0</v>
      </c>
      <c r="G87" s="10" t="str" cm="1">
        <f t="array" ref="G87">Common_InputFunctions.Utility_DisplayArrayInTable(SourceData_Dairy.SourceData_Dairy_NitrousOxideEFsAndFracGASM_Data(), Table_SourceData_Dairy_EFmFracGASM[[#Headers],[MMS m]], 0)</f>
        <v>Pasture range and paddock</v>
      </c>
      <c r="M87" s="8"/>
      <c r="V87" s="8"/>
    </row>
    <row r="88" spans="4:22" ht="20.100000000000001" customHeight="1" x14ac:dyDescent="0.25">
      <c r="D88" s="8" t="str" cm="1">
        <f t="array" ref="D88">Common_InputFunctions.Utility_DisplayArrayInTable(SourceData_Dairy.SourceData_Dairy_NitrousOxideEFsAndFracGASM_Data(), Table_SourceData_Dairy_EFmFracGASM[[#Headers],[MMS m]], 0)</f>
        <v>M=1 Anaerobic lagoon</v>
      </c>
      <c r="E88" s="10" cm="1">
        <f t="array" ref="E88">Common_InputFunctions.Utility_DisplayArrayInTable(SourceData_Dairy.SourceData_Dairy_NitrousOxideEFsAndFracGASM_Data(), Table_SourceData_Dairy_EFmFracGASM[[#Headers],[MMS m]], 0)</f>
        <v>0</v>
      </c>
      <c r="F88" s="10" cm="1">
        <f t="array" ref="F88">Common_InputFunctions.Utility_DisplayArrayInTable(SourceData_Dairy.SourceData_Dairy_NitrousOxideEFsAndFracGASM_Data(), Table_SourceData_Dairy_EFmFracGASM[[#Headers],[MMS m]], 0)</f>
        <v>0.35</v>
      </c>
      <c r="G88" s="10" t="str" cm="1">
        <f t="array" ref="G88">Common_InputFunctions.Utility_DisplayArrayInTable(SourceData_Dairy.SourceData_Dairy_NitrousOxideEFsAndFracGASM_Data(), Table_SourceData_Dairy_EFmFracGASM[[#Headers],[MMS m]], 0)</f>
        <v>Anaerobic lagoon</v>
      </c>
      <c r="M88" s="8"/>
      <c r="V88" s="8"/>
    </row>
    <row r="89" spans="4:22" ht="20.100000000000001" customHeight="1" x14ac:dyDescent="0.25">
      <c r="D89" s="8" t="str" cm="1">
        <f t="array" ref="D89">Common_InputFunctions.Utility_DisplayArrayInTable(SourceData_Dairy.SourceData_Dairy_NitrousOxideEFsAndFracGASM_Data(), Table_SourceData_Dairy_EFmFracGASM[[#Headers],[MMS m]], 0)</f>
        <v>M=2 Daily Spread - Sump and Dispersal</v>
      </c>
      <c r="E89" s="10" cm="1">
        <f t="array" ref="E89">Common_InputFunctions.Utility_DisplayArrayInTable(SourceData_Dairy.SourceData_Dairy_NitrousOxideEFsAndFracGASM_Data(), Table_SourceData_Dairy_EFmFracGASM[[#Headers],[MMS m]], 0)</f>
        <v>0</v>
      </c>
      <c r="F89" s="10" cm="1">
        <f t="array" ref="F89">Common_InputFunctions.Utility_DisplayArrayInTable(SourceData_Dairy.SourceData_Dairy_NitrousOxideEFsAndFracGASM_Data(), Table_SourceData_Dairy_EFmFracGASM[[#Headers],[MMS m]], 0)</f>
        <v>7.0000000000000007E-2</v>
      </c>
      <c r="G89" s="10" t="str" cm="1">
        <f t="array" ref="G89">Common_InputFunctions.Utility_DisplayArrayInTable(SourceData_Dairy.SourceData_Dairy_NitrousOxideEFsAndFracGASM_Data(), Table_SourceData_Dairy_EFmFracGASM[[#Headers],[MMS m]], 0)</f>
        <v>Sump and dispersal system</v>
      </c>
      <c r="M89" s="8"/>
      <c r="V89" s="8"/>
    </row>
    <row r="90" spans="4:22" ht="20.100000000000001" customHeight="1" x14ac:dyDescent="0.25">
      <c r="D90" s="8" t="str" cm="1">
        <f t="array" ref="D90">Common_InputFunctions.Utility_DisplayArrayInTable(SourceData_Dairy.SourceData_Dairy_NitrousOxideEFsAndFracGASM_Data(), Table_SourceData_Dairy_EFmFracGASM[[#Headers],[MMS m]], 0)</f>
        <v>M=3 Daily Spread - Drains to Paddock</v>
      </c>
      <c r="E90" s="10" cm="1">
        <f t="array" ref="E90">Common_InputFunctions.Utility_DisplayArrayInTable(SourceData_Dairy.SourceData_Dairy_NitrousOxideEFsAndFracGASM_Data(), Table_SourceData_Dairy_EFmFracGASM[[#Headers],[MMS m]], 0)</f>
        <v>0</v>
      </c>
      <c r="F90" s="10" cm="1">
        <f t="array" ref="F90">Common_InputFunctions.Utility_DisplayArrayInTable(SourceData_Dairy.SourceData_Dairy_NitrousOxideEFsAndFracGASM_Data(), Table_SourceData_Dairy_EFmFracGASM[[#Headers],[MMS m]], 0)</f>
        <v>0.2</v>
      </c>
      <c r="G90" s="10" t="str" cm="1">
        <f t="array" ref="G90">Common_InputFunctions.Utility_DisplayArrayInTable(SourceData_Dairy.SourceData_Dairy_NitrousOxideEFsAndFracGASM_Data(), Table_SourceData_Dairy_EFmFracGASM[[#Headers],[MMS m]], 0)</f>
        <v>Drains to paddock</v>
      </c>
      <c r="M90" s="8"/>
      <c r="V90" s="8"/>
    </row>
    <row r="91" spans="4:22" ht="20.100000000000001" customHeight="1" x14ac:dyDescent="0.25">
      <c r="D91" s="8" t="str" cm="1">
        <f t="array" ref="D91">Common_InputFunctions.Utility_DisplayArrayInTable(SourceData_Dairy.SourceData_Dairy_NitrousOxideEFsAndFracGASM_Data(), Table_SourceData_Dairy_EFmFracGASM[[#Headers],[MMS m]], 0)</f>
        <v>M=3 Solid Storage</v>
      </c>
      <c r="E91" s="10" cm="1">
        <f t="array" ref="E91">Common_InputFunctions.Utility_DisplayArrayInTable(SourceData_Dairy.SourceData_Dairy_NitrousOxideEFsAndFracGASM_Data(), Table_SourceData_Dairy_EFmFracGASM[[#Headers],[MMS m]], 0)</f>
        <v>5.0000000000000001E-3</v>
      </c>
      <c r="F91" s="10" cm="1">
        <f t="array" ref="F91">Common_InputFunctions.Utility_DisplayArrayInTable(SourceData_Dairy.SourceData_Dairy_NitrousOxideEFsAndFracGASM_Data(), Table_SourceData_Dairy_EFmFracGASM[[#Headers],[MMS m]], 0)</f>
        <v>0.3</v>
      </c>
      <c r="G91" s="10" t="str" cm="1">
        <f t="array" ref="G91">Common_InputFunctions.Utility_DisplayArrayInTable(SourceData_Dairy.SourceData_Dairy_NitrousOxideEFsAndFracGASM_Data(), Table_SourceData_Dairy_EFmFracGASM[[#Headers],[MMS m]], 0)</f>
        <v>Solid storage</v>
      </c>
      <c r="M91" s="8"/>
    </row>
    <row r="92" spans="4:22" ht="20.100000000000001" customHeight="1" x14ac:dyDescent="0.25">
      <c r="M92" s="8"/>
    </row>
    <row r="93" spans="4:22" ht="20.100000000000001" customHeight="1" x14ac:dyDescent="0.25">
      <c r="M93" s="8"/>
    </row>
    <row r="94" spans="4:22" ht="20.100000000000001" customHeight="1" x14ac:dyDescent="0.25">
      <c r="D94" s="9" t="str" cm="1">
        <f t="array" ref="D94">SourceData_Dairy.SourceData_Dairy_MethaneProductionPreWeanedCalves_Title()</f>
        <v>Table A.1.3.8: Dairy cattle - Methane production for pre-weaned heifer and bull calves (kg CH4/head/day) (MPWENTERIC,j=3,5)</v>
      </c>
      <c r="M94" s="8"/>
    </row>
    <row r="95" spans="4:22" ht="20.100000000000001" customHeight="1" x14ac:dyDescent="0.25">
      <c r="D95" s="11" t="str" cm="1">
        <f t="array" ref="D95">SourceData_Dairy.SourceData_Dairy_MethaneProductionPreWeanedCalves_Source()</f>
        <v>VEERG 2026: Table A.1.3.8</v>
      </c>
      <c r="M95" s="8"/>
    </row>
    <row r="96" spans="4:22" ht="20.100000000000001" customHeight="1" x14ac:dyDescent="0.25">
      <c r="D96" s="8" t="str" cm="1">
        <f t="array" ref="D96">SourceData_Dairy.SourceData_Dairy_MethaneProductionPreWeanedCalves_Variable()</f>
        <v>MPWENTERIC,j=3,5</v>
      </c>
      <c r="M96" s="8"/>
    </row>
    <row r="97" spans="1:13" ht="20.100000000000001" customHeight="1" x14ac:dyDescent="0.25">
      <c r="D97" s="13" t="str" cm="1">
        <f t="array" ref="D97">SourceData_Dairy.SourceData_Dairy_MethaneProductionPreWeanedCalves_Unit()</f>
        <v>kg CH4/head/day</v>
      </c>
      <c r="M97" s="8"/>
    </row>
    <row r="98" spans="1:13" ht="20.100000000000001" customHeight="1" x14ac:dyDescent="0.25">
      <c r="D98" s="10" t="s">
        <v>560</v>
      </c>
      <c r="E98" s="10" t="s">
        <v>568</v>
      </c>
      <c r="M98" s="8"/>
    </row>
    <row r="99" spans="1:13" ht="20.100000000000001" customHeight="1" x14ac:dyDescent="0.25">
      <c r="D99" s="10" t="str" cm="1">
        <f t="array" ref="D99">Common_InputFunctions.Utility_DisplayArrayInTable(SourceData_Dairy.SourceData_Dairy_MethaneProductionPreWeanedCalves_Data(), Table_SourceData_Dairy_MPWENTERIC[[#Headers],[Animal class j]], 0)</f>
        <v>Heifers &lt; 1 year</v>
      </c>
      <c r="E99" s="10" cm="1">
        <f t="array" ref="E99">Common_InputFunctions.Utility_DisplayArrayInTable(SourceData_Dairy.SourceData_Dairy_MethaneProductionPreWeanedCalves_Data(), Table_SourceData_Dairy_MPWENTERIC[[#Headers],[Animal class j]], 0)</f>
        <v>1.7600000000000001E-2</v>
      </c>
      <c r="M99" s="8"/>
    </row>
    <row r="100" spans="1:13" ht="20.100000000000001" customHeight="1" x14ac:dyDescent="0.25">
      <c r="D100" s="8" t="str" cm="1">
        <f t="array" ref="D100">Common_InputFunctions.Utility_DisplayArrayInTable(SourceData_Dairy.SourceData_Dairy_MethaneProductionPreWeanedCalves_Data(), Table_SourceData_Dairy_MPWENTERIC[[#Headers],[Animal class j]], 0)</f>
        <v>Bulls &lt; 1 year</v>
      </c>
      <c r="E100" s="10" cm="1">
        <f t="array" ref="E100">Common_InputFunctions.Utility_DisplayArrayInTable(SourceData_Dairy.SourceData_Dairy_MethaneProductionPreWeanedCalves_Data(), Table_SourceData_Dairy_MPWENTERIC[[#Headers],[Animal class j]], 0)</f>
        <v>2.0400000000000001E-2</v>
      </c>
      <c r="M100" s="8"/>
    </row>
    <row r="101" spans="1:13" ht="20.100000000000001" customHeight="1" x14ac:dyDescent="0.25">
      <c r="M101" s="8"/>
    </row>
    <row r="102" spans="1:13" ht="20.100000000000001" customHeight="1" x14ac:dyDescent="0.25">
      <c r="M102" s="8"/>
    </row>
    <row r="103" spans="1:13" ht="20.100000000000001" customHeight="1" x14ac:dyDescent="0.25">
      <c r="D103" s="9" t="str" cm="1">
        <f t="array" ref="D103">SourceData_Dairy.SourceData_Dairy_IncreasedMetabolicRateMilk_Title()</f>
        <v>Table A.1.3.9: Dairy cattle - Increased metabolic rate when producing milk (MRj)</v>
      </c>
      <c r="M103" s="8"/>
    </row>
    <row r="104" spans="1:13" ht="20.100000000000001" customHeight="1" x14ac:dyDescent="0.25">
      <c r="A104" s="45" t="str">
        <f>HYPERLINK("#A1", "▲ Back to top")</f>
        <v>▲ Back to top</v>
      </c>
      <c r="D104" s="11" t="str" cm="1">
        <f t="array" ref="D104">SourceData_Dairy.SourceData_Dairy_IncreasedMetabolicRateMilk_Source()</f>
        <v>VEERG 2026: Table A.1.3.9</v>
      </c>
      <c r="M104" s="8"/>
    </row>
    <row r="105" spans="1:13" ht="20.100000000000001" customHeight="1" x14ac:dyDescent="0.25">
      <c r="D105" s="8" t="str" cm="1">
        <f t="array" ref="D105">SourceData_Dairy.SourceData_Dairy_IncreasedMetabolicRateMilk_Variable()</f>
        <v>MRj</v>
      </c>
      <c r="M105" s="8"/>
    </row>
    <row r="106" spans="1:13" ht="20.100000000000001" customHeight="1" x14ac:dyDescent="0.25">
      <c r="D106" s="13" t="str" cm="1">
        <f t="array" ref="D106">SourceData_Dairy.SourceData_Dairy_IncreasedMetabolicRateMilk_Unit()</f>
        <v/>
      </c>
      <c r="M106" s="8"/>
    </row>
    <row r="107" spans="1:13" ht="20.100000000000001" customHeight="1" x14ac:dyDescent="0.25">
      <c r="D107" s="10" t="s">
        <v>560</v>
      </c>
      <c r="E107" s="10" t="s">
        <v>569</v>
      </c>
      <c r="M107" s="8"/>
    </row>
    <row r="108" spans="1:13" ht="20.100000000000001" customHeight="1" x14ac:dyDescent="0.25">
      <c r="D108" s="10" t="str" cm="1">
        <f t="array" ref="D108">Common_InputFunctions.Utility_DisplayArrayInTable(SourceData_Dairy.SourceData_Dairy_IncreasedMetabolicRateMilk_Data(), Table_SourceData_Dairy_MRj[[#Headers],[Animal class j]], 0)</f>
        <v>Milking cows, and house cows</v>
      </c>
      <c r="E108" s="10" cm="1">
        <f t="array" ref="E108">Common_InputFunctions.Utility_DisplayArrayInTable(SourceData_Dairy.SourceData_Dairy_IncreasedMetabolicRateMilk_Data(), Table_SourceData_Dairy_MRj[[#Headers],[Animal class j]], 0)</f>
        <v>1.1000000000000001</v>
      </c>
      <c r="M108" s="8"/>
    </row>
    <row r="109" spans="1:13" ht="20.100000000000001" customHeight="1" x14ac:dyDescent="0.25">
      <c r="D109" s="8" t="str" cm="1">
        <f t="array" ref="D109">Common_InputFunctions.Utility_DisplayArrayInTable(SourceData_Dairy.SourceData_Dairy_IncreasedMetabolicRateMilk_Data(), Table_SourceData_Dairy_MRj[[#Headers],[Animal class j]], 0)</f>
        <v>All other cattle classes</v>
      </c>
      <c r="E109" s="10" cm="1">
        <f t="array" ref="E109">Common_InputFunctions.Utility_DisplayArrayInTable(SourceData_Dairy.SourceData_Dairy_IncreasedMetabolicRateMilk_Data(), Table_SourceData_Dairy_MRj[[#Headers],[Animal class j]], 0)</f>
        <v>1</v>
      </c>
      <c r="M109" s="8"/>
    </row>
    <row r="110" spans="1:13" ht="20.100000000000001" customHeight="1" x14ac:dyDescent="0.25">
      <c r="M110" s="8"/>
    </row>
    <row r="111" spans="1:13" ht="20.100000000000001" customHeight="1" x14ac:dyDescent="0.25">
      <c r="M111" s="8"/>
    </row>
    <row r="112" spans="1:13" ht="20.100000000000001" customHeight="1" x14ac:dyDescent="0.25">
      <c r="D112" s="9" t="str" cm="1">
        <f t="array" ref="D112">SourceData_Dairy.SourceData_Dairy_FractionVolatileSolidsVoidedMMS_Title()</f>
        <v>Table A.1.3.10: Dairy cattle - Fraction of volatile solids voided to each manure management system (fraction) (MMSjm)</v>
      </c>
      <c r="M112" s="8"/>
    </row>
    <row r="113" spans="4:22" ht="20.100000000000001" customHeight="1" x14ac:dyDescent="0.25">
      <c r="D113" s="11" t="str" cm="1">
        <f t="array" ref="D113">SourceData_Dairy.SourceData_Dairy_FractionVolatileSolidsVoidedMMS_Source()</f>
        <v>VEERG 2026: Table A.1.3.10</v>
      </c>
      <c r="M113" s="8"/>
    </row>
    <row r="114" spans="4:22" ht="20.100000000000001" customHeight="1" x14ac:dyDescent="0.25">
      <c r="D114" s="8" t="str" cm="1">
        <f t="array" ref="D114">SourceData_Dairy.SourceData_Dairy_FractionVolatileSolidsVoidedMMS_Variable()</f>
        <v>MMSjm</v>
      </c>
      <c r="M114" s="8"/>
    </row>
    <row r="115" spans="4:22" ht="20.100000000000001" customHeight="1" x14ac:dyDescent="0.25">
      <c r="D115" s="13" t="str" cm="1">
        <f t="array" ref="D115">SourceData_Dairy.SourceData_Dairy_FractionVolatileSolidsVoidedMMS_Unit()</f>
        <v>fraction</v>
      </c>
      <c r="M115" s="8"/>
      <c r="V115" s="8"/>
    </row>
    <row r="116" spans="4:22" ht="20.100000000000001" customHeight="1" x14ac:dyDescent="0.25">
      <c r="D116" s="10" t="s">
        <v>570</v>
      </c>
      <c r="E116" s="10" t="s">
        <v>148</v>
      </c>
      <c r="F116" s="10" t="s">
        <v>571</v>
      </c>
      <c r="G116" s="10" t="s">
        <v>572</v>
      </c>
      <c r="M116" s="8"/>
      <c r="V116" s="8"/>
    </row>
    <row r="117" spans="4:22" ht="20.100000000000001" customHeight="1" x14ac:dyDescent="0.25">
      <c r="D117" s="10" t="str" cm="1">
        <f t="array" ref="D117">Common_InputFunctions.Utility_DisplayArrayInTable(SourceData_Dairy.SourceData_Dairy_FractionVolatileSolidsVoidedMMS_Data(), Table_SourceData_Dairy_ProductionSystemTemplates[[#Headers],[Area]], 0)</f>
        <v>System 1: Grazed Only</v>
      </c>
      <c r="E117" s="10" cm="1">
        <f t="array" ref="E117">Common_InputFunctions.Utility_DisplayArrayInTable(SourceData_Dairy.SourceData_Dairy_FractionVolatileSolidsVoidedMMS_Data(), Table_SourceData_Dairy_ProductionSystemTemplates[[#Headers],[Area]], 0)</f>
        <v>0.89</v>
      </c>
      <c r="F117" s="10" cm="1">
        <f t="array" ref="F117">Common_InputFunctions.Utility_DisplayArrayInTable(SourceData_Dairy.SourceData_Dairy_FractionVolatileSolidsVoidedMMS_Data(), Table_SourceData_Dairy_ProductionSystemTemplates[[#Headers],[Area]], 0)</f>
        <v>0.11</v>
      </c>
      <c r="G117" s="10" cm="1">
        <f t="array" ref="G117">Common_InputFunctions.Utility_DisplayArrayInTable(SourceData_Dairy.SourceData_Dairy_FractionVolatileSolidsVoidedMMS_Data(), Table_SourceData_Dairy_ProductionSystemTemplates[[#Headers],[Area]], 0)</f>
        <v>0</v>
      </c>
      <c r="M117" s="8"/>
      <c r="V117" s="8"/>
    </row>
    <row r="118" spans="4:22" ht="20.100000000000001" customHeight="1" x14ac:dyDescent="0.25">
      <c r="D118" s="8" t="str" cm="1">
        <f t="array" ref="D118">Common_InputFunctions.Utility_DisplayArrayInTable(SourceData_Dairy.SourceData_Dairy_FractionVolatileSolidsVoidedMMS_Data(), Table_SourceData_Dairy_ProductionSystemTemplates[[#Headers],[Area]], 0)</f>
        <v>System 2: On feedpad for &lt;10 hr/day for &lt;3 months/year</v>
      </c>
      <c r="E118" s="10" cm="1">
        <f t="array" ref="E118">Common_InputFunctions.Utility_DisplayArrayInTable(SourceData_Dairy.SourceData_Dairy_FractionVolatileSolidsVoidedMMS_Data(), Table_SourceData_Dairy_ProductionSystemTemplates[[#Headers],[Area]], 0)</f>
        <v>0.79</v>
      </c>
      <c r="F118" s="10" cm="1">
        <f t="array" ref="F118">Common_InputFunctions.Utility_DisplayArrayInTable(SourceData_Dairy.SourceData_Dairy_FractionVolatileSolidsVoidedMMS_Data(), Table_SourceData_Dairy_ProductionSystemTemplates[[#Headers],[Area]], 0)</f>
        <v>0.11</v>
      </c>
      <c r="G118" s="10" cm="1">
        <f t="array" ref="G118">Common_InputFunctions.Utility_DisplayArrayInTable(SourceData_Dairy.SourceData_Dairy_FractionVolatileSolidsVoidedMMS_Data(), Table_SourceData_Dairy_ProductionSystemTemplates[[#Headers],[Area]], 0)</f>
        <v>0.1</v>
      </c>
      <c r="M118" s="8"/>
    </row>
    <row r="119" spans="4:22" ht="20.100000000000001" customHeight="1" x14ac:dyDescent="0.25">
      <c r="D119" s="8" t="str" cm="1">
        <f t="array" ref="D119">Common_InputFunctions.Utility_DisplayArrayInTable(SourceData_Dairy.SourceData_Dairy_FractionVolatileSolidsVoidedMMS_Data(), Table_SourceData_Dairy_ProductionSystemTemplates[[#Headers],[Area]], 0)</f>
        <v>System 3: Pasture-grazed 3-9 months/year</v>
      </c>
      <c r="E119" s="10" cm="1">
        <f t="array" ref="E119">Common_InputFunctions.Utility_DisplayArrayInTable(SourceData_Dairy.SourceData_Dairy_FractionVolatileSolidsVoidedMMS_Data(), Table_SourceData_Dairy_ProductionSystemTemplates[[#Headers],[Area]], 0)</f>
        <v>0.53400000000000003</v>
      </c>
      <c r="F119" s="10" cm="1">
        <f t="array" ref="F119">Common_InputFunctions.Utility_DisplayArrayInTable(SourceData_Dairy.SourceData_Dairy_FractionVolatileSolidsVoidedMMS_Data(), Table_SourceData_Dairy_ProductionSystemTemplates[[#Headers],[Area]], 0)</f>
        <v>0.11</v>
      </c>
      <c r="G119" s="10" cm="1">
        <f t="array" ref="G119">Common_InputFunctions.Utility_DisplayArrayInTable(SourceData_Dairy.SourceData_Dairy_FractionVolatileSolidsVoidedMMS_Data(), Table_SourceData_Dairy_ProductionSystemTemplates[[#Headers],[Area]], 0)</f>
        <v>0.35599999999999998</v>
      </c>
      <c r="M119" s="8"/>
    </row>
    <row r="120" spans="4:22" ht="20.100000000000001" customHeight="1" x14ac:dyDescent="0.25">
      <c r="D120" s="8" t="str" cm="1">
        <f t="array" ref="D120">Common_InputFunctions.Utility_DisplayArrayInTable(SourceData_Dairy.SourceData_Dairy_FractionVolatileSolidsVoidedMMS_Data(), Table_SourceData_Dairy_ProductionSystemTemplates[[#Headers],[Area]], 0)</f>
        <v>System 4: Zero grazing</v>
      </c>
      <c r="E120" s="10" cm="1">
        <f t="array" ref="E120">Common_InputFunctions.Utility_DisplayArrayInTable(SourceData_Dairy.SourceData_Dairy_FractionVolatileSolidsVoidedMMS_Data(), Table_SourceData_Dairy_ProductionSystemTemplates[[#Headers],[Area]], 0)</f>
        <v>0</v>
      </c>
      <c r="F120" s="10" cm="1">
        <f t="array" ref="F120">Common_InputFunctions.Utility_DisplayArrayInTable(SourceData_Dairy.SourceData_Dairy_FractionVolatileSolidsVoidedMMS_Data(), Table_SourceData_Dairy_ProductionSystemTemplates[[#Headers],[Area]], 0)</f>
        <v>0.11</v>
      </c>
      <c r="G120" s="10" cm="1">
        <f t="array" ref="G120">Common_InputFunctions.Utility_DisplayArrayInTable(SourceData_Dairy.SourceData_Dairy_FractionVolatileSolidsVoidedMMS_Data(), Table_SourceData_Dairy_ProductionSystemTemplates[[#Headers],[Area]], 0)</f>
        <v>0.89</v>
      </c>
      <c r="M120" s="8"/>
    </row>
    <row r="121" spans="4:22" ht="20.100000000000001" customHeight="1" x14ac:dyDescent="0.25">
      <c r="M121" s="8"/>
    </row>
    <row r="122" spans="4:22" ht="20.100000000000001" customHeight="1" x14ac:dyDescent="0.25">
      <c r="M122" s="8"/>
    </row>
    <row r="123" spans="4:22" ht="20.100000000000001" customHeight="1" x14ac:dyDescent="0.25">
      <c r="D123" s="9" t="str" cm="1">
        <f t="array" ref="D123">SourceData_Dairy.SourceData_Dairy_EFNitrousOxidePerMMS_Title()</f>
        <v>Table A.1.3.11: Dairy cattle - EF for nitrous oxide per MMS (kg N2O-N/kg N) (EFm)</v>
      </c>
      <c r="M123" s="8"/>
    </row>
    <row r="124" spans="4:22" ht="20.100000000000001" customHeight="1" x14ac:dyDescent="0.25">
      <c r="D124" s="11" t="str" cm="1">
        <f t="array" ref="D124">SourceData_Dairy.SourceData_Dairy_EFNitrousOxidePerMMS_Source()</f>
        <v>VEERG 2026: Table A.1.3.11</v>
      </c>
      <c r="M124" s="8"/>
    </row>
    <row r="125" spans="4:22" ht="20.100000000000001" customHeight="1" x14ac:dyDescent="0.25">
      <c r="D125" s="8" t="str" cm="1">
        <f t="array" ref="D125">SourceData_Dairy.SourceData_Dairy_EFNitrousOxidePerMMS_Variable()</f>
        <v>EFm</v>
      </c>
      <c r="M125" s="8"/>
      <c r="V125" s="8"/>
    </row>
    <row r="126" spans="4:22" ht="20.100000000000001" customHeight="1" x14ac:dyDescent="0.25">
      <c r="D126" s="13" t="str" cm="1">
        <f t="array" ref="D126">SourceData_Dairy.SourceData_Dairy_EFNitrousOxidePerMMS_Unit()</f>
        <v>kg N2O-N/kg N</v>
      </c>
      <c r="M126" s="8"/>
      <c r="V126" s="8"/>
    </row>
    <row r="127" spans="4:22" ht="20.100000000000001" customHeight="1" x14ac:dyDescent="0.25">
      <c r="D127" s="12" t="str" cm="1">
        <f t="array" ref="D127">SourceData_Dairy.SourceData_Dairy_EFNitrousOxidePerMMS_Variation()</f>
        <v>VARIATION OF SOURCE: Added 'NIR reference' column to aid lookup</v>
      </c>
      <c r="M127" s="8"/>
      <c r="V127" s="8"/>
    </row>
    <row r="128" spans="4:22" ht="20.100000000000001" customHeight="1" x14ac:dyDescent="0.25">
      <c r="D128" s="10" t="s">
        <v>564</v>
      </c>
      <c r="E128" s="10" t="s">
        <v>566</v>
      </c>
      <c r="F128" s="10" t="s">
        <v>565</v>
      </c>
      <c r="G128" s="158" t="s">
        <v>573</v>
      </c>
      <c r="M128" s="8"/>
      <c r="N128" s="14"/>
      <c r="V128" s="8"/>
    </row>
    <row r="129" spans="1:22" ht="20.100000000000001" customHeight="1" x14ac:dyDescent="0.25">
      <c r="D129" s="10" t="str" cm="1">
        <f t="array" ref="D129">Common_InputFunctions.Utility_DisplayArrayInTable(SourceData_Dairy.SourceData_Dairy_EFNitrousOxidePerMMS_Data(), Table_SourceData_Dairy_EFm[[#Headers],[MMS m]], 0)</f>
        <v>m=14 Pasture</v>
      </c>
      <c r="E129" s="10" cm="1">
        <f t="array" ref="E129">Common_InputFunctions.Utility_DisplayArrayInTable(SourceData_Dairy.SourceData_Dairy_EFNitrousOxidePerMMS_Data(), Table_SourceData_Dairy_EFm[[#Headers],[MMS m]], 0)</f>
        <v>0</v>
      </c>
      <c r="F129" s="10" t="str" cm="1">
        <f t="array" ref="F129">Common_InputFunctions.Utility_DisplayArrayInTable(SourceData_Dairy.SourceData_Dairy_EFNitrousOxidePerMMS_Data(), Table_SourceData_Dairy_EFm[[#Headers],[MMS m]], 0)</f>
        <v>Pasture range and paddock</v>
      </c>
      <c r="M129" s="8"/>
      <c r="N129" s="14"/>
      <c r="V129" s="8"/>
    </row>
    <row r="130" spans="1:22" ht="20.100000000000001" customHeight="1" x14ac:dyDescent="0.25">
      <c r="D130" s="8" t="str" cm="1">
        <f t="array" ref="D130">Common_InputFunctions.Utility_DisplayArrayInTable(SourceData_Dairy.SourceData_Dairy_EFNitrousOxidePerMMS_Data(), Table_SourceData_Dairy_EFm[[#Headers],[MMS m]], 0)</f>
        <v>m=1 Anerobic Lagoon</v>
      </c>
      <c r="E130" s="10" cm="1">
        <f t="array" ref="E130">Common_InputFunctions.Utility_DisplayArrayInTable(SourceData_Dairy.SourceData_Dairy_EFNitrousOxidePerMMS_Data(), Table_SourceData_Dairy_EFm[[#Headers],[MMS m]], 0)</f>
        <v>0</v>
      </c>
      <c r="F130" s="10" t="str" cm="1">
        <f t="array" ref="F130">Common_InputFunctions.Utility_DisplayArrayInTable(SourceData_Dairy.SourceData_Dairy_EFNitrousOxidePerMMS_Data(), Table_SourceData_Dairy_EFm[[#Headers],[MMS m]], 0)</f>
        <v>Anaerobic lagoon</v>
      </c>
      <c r="M130" s="8"/>
      <c r="N130" s="14"/>
      <c r="V130" s="8"/>
    </row>
    <row r="131" spans="1:22" ht="20.100000000000001" customHeight="1" x14ac:dyDescent="0.25">
      <c r="D131" s="8" t="str" cm="1">
        <f t="array" ref="D131">Common_InputFunctions.Utility_DisplayArrayInTable(SourceData_Dairy.SourceData_Dairy_EFNitrousOxidePerMMS_Data(), Table_SourceData_Dairy_EFm[[#Headers],[MMS m]], 0)</f>
        <v>m=2 Daily Spread: Sump and dispersal</v>
      </c>
      <c r="E131" s="10" cm="1">
        <f t="array" ref="E131">Common_InputFunctions.Utility_DisplayArrayInTable(SourceData_Dairy.SourceData_Dairy_EFNitrousOxidePerMMS_Data(), Table_SourceData_Dairy_EFm[[#Headers],[MMS m]], 0)</f>
        <v>0</v>
      </c>
      <c r="F131" s="10" t="str" cm="1">
        <f t="array" ref="F131">Common_InputFunctions.Utility_DisplayArrayInTable(SourceData_Dairy.SourceData_Dairy_EFNitrousOxidePerMMS_Data(), Table_SourceData_Dairy_EFm[[#Headers],[MMS m]], 0)</f>
        <v>Sump and dispersal system</v>
      </c>
      <c r="M131" s="8"/>
      <c r="N131" s="14"/>
    </row>
    <row r="132" spans="1:22" ht="20.100000000000001" customHeight="1" x14ac:dyDescent="0.25">
      <c r="D132" s="8" t="str" cm="1">
        <f t="array" ref="D132">Common_InputFunctions.Utility_DisplayArrayInTable(SourceData_Dairy.SourceData_Dairy_EFNitrousOxidePerMMS_Data(), Table_SourceData_Dairy_EFm[[#Headers],[MMS m]], 0)</f>
        <v>m=3 Daily Spread: Drains to paddocks</v>
      </c>
      <c r="E132" s="10" cm="1">
        <f t="array" ref="E132">Common_InputFunctions.Utility_DisplayArrayInTable(SourceData_Dairy.SourceData_Dairy_EFNitrousOxidePerMMS_Data(), Table_SourceData_Dairy_EFm[[#Headers],[MMS m]], 0)</f>
        <v>0</v>
      </c>
      <c r="F132" s="10" t="str" cm="1">
        <f t="array" ref="F132">Common_InputFunctions.Utility_DisplayArrayInTable(SourceData_Dairy.SourceData_Dairy_EFNitrousOxidePerMMS_Data(), Table_SourceData_Dairy_EFm[[#Headers],[MMS m]], 0)</f>
        <v>Drains to paddock</v>
      </c>
      <c r="M132" s="14"/>
    </row>
    <row r="133" spans="1:22" ht="20.100000000000001" customHeight="1" x14ac:dyDescent="0.25">
      <c r="D133" s="8" t="str" cm="1">
        <f t="array" ref="D133">Common_InputFunctions.Utility_DisplayArrayInTable(SourceData_Dairy.SourceData_Dairy_EFNitrousOxidePerMMS_Data(), Table_SourceData_Dairy_EFm[[#Headers],[MMS m]], 0)</f>
        <v>m=4 Solid Storage</v>
      </c>
      <c r="E133" s="10" cm="1">
        <f t="array" ref="E133">Common_InputFunctions.Utility_DisplayArrayInTable(SourceData_Dairy.SourceData_Dairy_EFNitrousOxidePerMMS_Data(), Table_SourceData_Dairy_EFm[[#Headers],[MMS m]], 0)</f>
        <v>5.0000000000000001E-3</v>
      </c>
      <c r="F133" s="10" t="str" cm="1">
        <f t="array" ref="F133">Common_InputFunctions.Utility_DisplayArrayInTable(SourceData_Dairy.SourceData_Dairy_EFNitrousOxidePerMMS_Data(), Table_SourceData_Dairy_EFm[[#Headers],[MMS m]], 0)</f>
        <v>Solid storage</v>
      </c>
      <c r="M133" s="14"/>
    </row>
    <row r="134" spans="1:22" ht="20.100000000000001" customHeight="1" x14ac:dyDescent="0.25">
      <c r="M134" s="14"/>
    </row>
    <row r="135" spans="1:22" ht="20.100000000000001" customHeight="1" x14ac:dyDescent="0.25">
      <c r="M135" s="14"/>
    </row>
    <row r="136" spans="1:22" ht="20.100000000000001" customHeight="1" x14ac:dyDescent="0.25">
      <c r="D136" s="9" t="str" cm="1">
        <f t="array" ref="D136">SourceData_Dairy.SourceData_Dairy_DurationOfStay_Title()</f>
        <v>Duration of stay for each dairy cattle input class</v>
      </c>
      <c r="M136" s="14"/>
    </row>
    <row r="137" spans="1:22" ht="20.100000000000001" customHeight="1" x14ac:dyDescent="0.25">
      <c r="A137" s="45" t="str">
        <f>HYPERLINK("#A1", "▲ Back to top")</f>
        <v>▲ Back to top</v>
      </c>
      <c r="D137" s="11" t="str" cm="1">
        <f t="array" ref="D137">SourceData_Dairy.SourceData_Dairy_DurationOfStay_Source()</f>
        <v>VEERG 2026: 4.3.2.2	DATA (METHOD 1 AND 2 OPTIONS)</v>
      </c>
      <c r="M137" s="14"/>
    </row>
    <row r="138" spans="1:22" ht="20.100000000000001" customHeight="1" x14ac:dyDescent="0.25">
      <c r="D138" s="8" t="str" cm="1">
        <f t="array" ref="D138">SourceData_Dairy.SourceData_Dairy_DurationOfStay_Variable()</f>
        <v>D</v>
      </c>
      <c r="M138" s="14"/>
    </row>
    <row r="139" spans="1:22" ht="20.100000000000001" customHeight="1" x14ac:dyDescent="0.25">
      <c r="D139" s="13" t="str" cm="1">
        <f t="array" ref="D139">SourceData_Dairy.SourceData_Dairy_DurationOfStay_Unit()</f>
        <v>days</v>
      </c>
      <c r="M139" s="14"/>
    </row>
    <row r="140" spans="1:22" ht="20.100000000000001" customHeight="1" x14ac:dyDescent="0.25">
      <c r="D140" s="12" t="str" cm="1">
        <f t="array" ref="D140">SourceData_Dairy.SourceData_Dairy_DurationOfStay_Variation()</f>
        <v>VARIATION OF SOURCE: Converted free text in document to table, matching livestock class names.</v>
      </c>
      <c r="M140" s="14"/>
    </row>
    <row r="141" spans="1:22" ht="20.100000000000001" customHeight="1" x14ac:dyDescent="0.25">
      <c r="D141" s="10" t="s">
        <v>560</v>
      </c>
      <c r="E141" s="10" t="s">
        <v>574</v>
      </c>
      <c r="F141" s="10" t="s">
        <v>575</v>
      </c>
      <c r="M141" s="14"/>
    </row>
    <row r="142" spans="1:22" ht="20.100000000000001" customHeight="1" x14ac:dyDescent="0.25">
      <c r="D142" s="10" t="str" cm="1">
        <f t="array" ref="D142">Common_InputFunctions.Utility_DisplayArrayInTable(SourceData_Dairy.SourceData_Dairy_DurationOfStay_Data(), Table_SourceData_Dairy_Duration[[#Headers],[Animal class j]], 0)</f>
        <v>Milking cows</v>
      </c>
      <c r="E142" s="10" cm="1">
        <f t="array" ref="E142">Common_InputFunctions.Utility_DisplayArrayInTable(SourceData_Dairy.SourceData_Dairy_DurationOfStay_Data(), Table_SourceData_Dairy_Duration[[#Headers],[Animal class j]], 0)</f>
        <v>365</v>
      </c>
      <c r="F142" s="10" cm="1">
        <f t="array" ref="F142">Common_InputFunctions.Utility_DisplayArrayInTable(SourceData_Dairy.SourceData_Dairy_DurationOfStay_Data(), Table_SourceData_Dairy_Duration[[#Headers],[Animal class j]], 0)</f>
        <v>0</v>
      </c>
      <c r="M142" s="14"/>
    </row>
    <row r="143" spans="1:22" ht="20.100000000000001" customHeight="1" x14ac:dyDescent="0.25">
      <c r="D143" s="8" t="str" cm="1">
        <f t="array" ref="D143">Common_InputFunctions.Utility_DisplayArrayInTable(SourceData_Dairy.SourceData_Dairy_DurationOfStay_Data(), Table_SourceData_Dairy_Duration[[#Headers],[Animal class j]], 0)</f>
        <v>Heifers &gt; 1 year</v>
      </c>
      <c r="E143" s="10" cm="1">
        <f t="array" ref="E143">Common_InputFunctions.Utility_DisplayArrayInTable(SourceData_Dairy.SourceData_Dairy_DurationOfStay_Data(), Table_SourceData_Dairy_Duration[[#Headers],[Animal class j]], 0)</f>
        <v>365</v>
      </c>
      <c r="F143" s="10" cm="1">
        <f t="array" ref="F143">Common_InputFunctions.Utility_DisplayArrayInTable(SourceData_Dairy.SourceData_Dairy_DurationOfStay_Data(), Table_SourceData_Dairy_Duration[[#Headers],[Animal class j]], 0)</f>
        <v>0</v>
      </c>
      <c r="M143" s="14"/>
    </row>
    <row r="144" spans="1:22" ht="20.100000000000001" customHeight="1" x14ac:dyDescent="0.25">
      <c r="D144" s="8" t="str" cm="1">
        <f t="array" ref="D144">Common_InputFunctions.Utility_DisplayArrayInTable(SourceData_Dairy.SourceData_Dairy_DurationOfStay_Data(), Table_SourceData_Dairy_Duration[[#Headers],[Animal class j]], 0)</f>
        <v>Heifers &lt; 1 year</v>
      </c>
      <c r="E144" s="10" cm="1">
        <f t="array" ref="E144">Common_InputFunctions.Utility_DisplayArrayInTable(SourceData_Dairy.SourceData_Dairy_DurationOfStay_Data(), Table_SourceData_Dairy_Duration[[#Headers],[Animal class j]], 0)</f>
        <v>281</v>
      </c>
      <c r="F144" s="10" cm="1">
        <f t="array" ref="F144">Common_InputFunctions.Utility_DisplayArrayInTable(SourceData_Dairy.SourceData_Dairy_DurationOfStay_Data(), Table_SourceData_Dairy_Duration[[#Headers],[Animal class j]], 0)</f>
        <v>84</v>
      </c>
      <c r="M144" s="14"/>
    </row>
    <row r="145" spans="4:13" ht="20.100000000000001" customHeight="1" x14ac:dyDescent="0.25">
      <c r="D145" s="8" t="str" cm="1">
        <f t="array" ref="D145">Common_InputFunctions.Utility_DisplayArrayInTable(SourceData_Dairy.SourceData_Dairy_DurationOfStay_Data(), Table_SourceData_Dairy_Duration[[#Headers],[Animal class j]], 0)</f>
        <v>Bulls &gt; 1 year</v>
      </c>
      <c r="E145" s="10" cm="1">
        <f t="array" ref="E145">Common_InputFunctions.Utility_DisplayArrayInTable(SourceData_Dairy.SourceData_Dairy_DurationOfStay_Data(), Table_SourceData_Dairy_Duration[[#Headers],[Animal class j]], 0)</f>
        <v>365</v>
      </c>
      <c r="F145" s="10" cm="1">
        <f t="array" ref="F145">Common_InputFunctions.Utility_DisplayArrayInTable(SourceData_Dairy.SourceData_Dairy_DurationOfStay_Data(), Table_SourceData_Dairy_Duration[[#Headers],[Animal class j]], 0)</f>
        <v>0</v>
      </c>
      <c r="M145" s="14"/>
    </row>
    <row r="146" spans="4:13" ht="20.100000000000001" customHeight="1" x14ac:dyDescent="0.25">
      <c r="D146" s="8" t="str" cm="1">
        <f t="array" ref="D146">Common_InputFunctions.Utility_DisplayArrayInTable(SourceData_Dairy.SourceData_Dairy_DurationOfStay_Data(), Table_SourceData_Dairy_Duration[[#Headers],[Animal class j]], 0)</f>
        <v>Bulls &lt; 1 year</v>
      </c>
      <c r="E146" s="10" cm="1">
        <f t="array" ref="E146">Common_InputFunctions.Utility_DisplayArrayInTable(SourceData_Dairy.SourceData_Dairy_DurationOfStay_Data(), Table_SourceData_Dairy_Duration[[#Headers],[Animal class j]], 0)</f>
        <v>281</v>
      </c>
      <c r="F146" s="10" cm="1">
        <f t="array" ref="F146">Common_InputFunctions.Utility_DisplayArrayInTable(SourceData_Dairy.SourceData_Dairy_DurationOfStay_Data(), Table_SourceData_Dairy_Duration[[#Headers],[Animal class j]], 0)</f>
        <v>84</v>
      </c>
      <c r="M146" s="14"/>
    </row>
    <row r="147" spans="4:13" ht="20.100000000000001" customHeight="1" x14ac:dyDescent="0.25">
      <c r="M147" s="14"/>
    </row>
    <row r="148" spans="4:13" ht="20.100000000000001" customHeight="1" x14ac:dyDescent="0.25">
      <c r="M148" s="14"/>
    </row>
    <row r="149" spans="4:13" ht="20.100000000000001" customHeight="1" x14ac:dyDescent="0.25">
      <c r="D149" s="9" t="str" cm="1">
        <f t="array" ref="D149">SourceData_Dairy.SourceData_Dairy_CrudeProtein_Title()</f>
        <v>Crude protein content of feed intake</v>
      </c>
      <c r="M149" s="14"/>
    </row>
    <row r="150" spans="4:13" ht="20.100000000000001" customHeight="1" x14ac:dyDescent="0.25">
      <c r="D150" s="11" t="str" cm="1">
        <f t="array" ref="D150">SourceData_Dairy.SourceData_Dairy_CrudeProtein_Source()</f>
        <v>VEERG 2026: 4.3.2.2	DATA (METHOD 1 AND 2 OPTIONS)</v>
      </c>
      <c r="M150" s="14"/>
    </row>
    <row r="151" spans="4:13" ht="20.100000000000001" customHeight="1" x14ac:dyDescent="0.25">
      <c r="D151" s="8" t="str" cm="1">
        <f t="array" ref="D151">SourceData_Dairy.SourceData_Dairy_CrudeProtein_Variable()</f>
        <v>CP</v>
      </c>
      <c r="M151" s="14"/>
    </row>
    <row r="152" spans="4:13" ht="20.100000000000001" customHeight="1" x14ac:dyDescent="0.25">
      <c r="D152" s="13" t="str" cm="1">
        <f t="array" ref="D152">SourceData_Dairy.SourceData_Dairy_CrudeProtein_Unit()</f>
        <v>fraction</v>
      </c>
      <c r="M152" s="14"/>
    </row>
    <row r="153" spans="4:13" ht="20.100000000000001" customHeight="1" x14ac:dyDescent="0.25">
      <c r="D153" s="24" cm="1">
        <f t="array" ref="D153">SourceData_Dairy.SourceData_Dairy_CrudeProtein_Data()</f>
        <v>0.2</v>
      </c>
      <c r="M153" s="14"/>
    </row>
    <row r="154" spans="4:13" ht="20.100000000000001" customHeight="1" x14ac:dyDescent="0.25">
      <c r="M154" s="14"/>
    </row>
    <row r="155" spans="4:13" ht="20.100000000000001" customHeight="1" x14ac:dyDescent="0.25">
      <c r="M155" s="14"/>
    </row>
    <row r="156" spans="4:13" ht="20.100000000000001" customHeight="1" x14ac:dyDescent="0.25">
      <c r="D156" s="9" t="str" cm="1">
        <f t="array" ref="D156">SourceData_Dairy.SourceData_Dairy_DryMatterDigestibility_Title()</f>
        <v>Dry matter digestibility</v>
      </c>
      <c r="M156" s="14"/>
    </row>
    <row r="157" spans="4:13" ht="20.100000000000001" customHeight="1" x14ac:dyDescent="0.25">
      <c r="D157" s="11" t="str" cm="1">
        <f t="array" ref="D157">SourceData_Dairy.SourceData_Dairy_DryMatterDigestibility_Source()</f>
        <v>VEERG 2026: 3.3.2.2	DATA (METHOD 1 AND 2 OPTIONS)</v>
      </c>
      <c r="M157" s="14"/>
    </row>
    <row r="158" spans="4:13" ht="20.100000000000001" customHeight="1" x14ac:dyDescent="0.25">
      <c r="D158" s="8" t="str" cm="1">
        <f t="array" ref="D158">SourceData_Dairy.SourceData_Dairy_DryMatterDigestibility_Variable()</f>
        <v>DMD</v>
      </c>
      <c r="M158" s="14"/>
    </row>
    <row r="159" spans="4:13" ht="20.100000000000001" customHeight="1" x14ac:dyDescent="0.25">
      <c r="D159" s="13" t="str" cm="1">
        <f t="array" ref="D159">SourceData_Dairy.SourceData_Dairy_DryMatterDigestibility_Unit()</f>
        <v>fraction</v>
      </c>
      <c r="M159" s="14"/>
    </row>
    <row r="160" spans="4:13" ht="20.100000000000001" customHeight="1" x14ac:dyDescent="0.25">
      <c r="D160" s="24" cm="1">
        <f t="array" ref="D160">SourceData_Dairy.SourceData_Dairy_DryMatterDigestibility_Data()</f>
        <v>0.75</v>
      </c>
      <c r="M160" s="14"/>
    </row>
    <row r="161" spans="1:13" ht="20.100000000000001" customHeight="1" x14ac:dyDescent="0.25">
      <c r="M161" s="14"/>
    </row>
    <row r="162" spans="1:13" ht="20.100000000000001" customHeight="1" x14ac:dyDescent="0.25">
      <c r="M162" s="14"/>
    </row>
    <row r="163" spans="1:13" ht="20.100000000000001" customHeight="1" x14ac:dyDescent="0.25">
      <c r="D163" s="9" t="str" cm="1">
        <f t="array" ref="D163">SourceData_Dairy.SourceData_Dairy_NetEnergy_Title()</f>
        <v>Net energy required for milk production</v>
      </c>
      <c r="M163" s="14"/>
    </row>
    <row r="164" spans="1:13" ht="20.100000000000001" customHeight="1" x14ac:dyDescent="0.25">
      <c r="D164" s="11" t="str" cm="1">
        <f t="array" ref="D164">SourceData_Dairy.SourceData_Dairy_NetEnergy_Source()</f>
        <v>VEERG 2026: 3.3.2.3 CONSTANTS</v>
      </c>
      <c r="M164" s="14"/>
    </row>
    <row r="165" spans="1:13" ht="20.100000000000001" customHeight="1" x14ac:dyDescent="0.25">
      <c r="D165" s="8" t="str" cm="1">
        <f t="array" ref="D165">SourceData_Dairy.SourceData_Dairy_NetEnergy_Variable()</f>
        <v>NE</v>
      </c>
      <c r="M165" s="14"/>
    </row>
    <row r="166" spans="1:13" x14ac:dyDescent="0.25">
      <c r="D166" s="13" t="str" cm="1">
        <f t="array" ref="D166">SourceData_Dairy.SourceData_Dairy_NetEnergy_Unit()</f>
        <v>MJ net energy / kg milk</v>
      </c>
      <c r="M166" s="14"/>
    </row>
    <row r="167" spans="1:13" x14ac:dyDescent="0.25">
      <c r="D167" s="24" cm="1">
        <f t="array" ref="D167">SourceData_Dairy.SourceData_Dairy_NetEnergy_Data()</f>
        <v>3.0539999999999998</v>
      </c>
      <c r="M167" s="14"/>
    </row>
    <row r="168" spans="1:13" x14ac:dyDescent="0.25">
      <c r="M168" s="14"/>
    </row>
    <row r="169" spans="1:13" x14ac:dyDescent="0.25">
      <c r="M169" s="14"/>
    </row>
    <row r="170" spans="1:13" ht="23.25" x14ac:dyDescent="0.25">
      <c r="D170" s="9" t="str" cm="1">
        <f t="array" ref="D170">SourceData_Dairy.SourceData_Dairy_GrossEnergyContent_Title()</f>
        <v>Gross energy content of feed dry matter</v>
      </c>
      <c r="M170" s="14"/>
    </row>
    <row r="171" spans="1:13" x14ac:dyDescent="0.25">
      <c r="D171" s="11" t="str" cm="1">
        <f t="array" ref="D171">SourceData_Dairy.SourceData_Dairy_GrossEnergyContent_Source()</f>
        <v>VEERG 2026: 3.3.2.3 CONSTANTS</v>
      </c>
      <c r="M171" s="14"/>
    </row>
    <row r="172" spans="1:13" x14ac:dyDescent="0.25">
      <c r="D172" s="8" t="str" cm="1">
        <f t="array" ref="D172">SourceData_Dairy.SourceData_Dairy_GrossEnergyContent_Variable()</f>
        <v>GEC</v>
      </c>
      <c r="M172" s="14"/>
    </row>
    <row r="173" spans="1:13" x14ac:dyDescent="0.25">
      <c r="D173" s="13" t="str" cm="1">
        <f t="array" ref="D173">SourceData_Dairy.SourceData_Dairy_GrossEnergyContent_Unit()</f>
        <v>MJ / kgDM</v>
      </c>
      <c r="M173" s="14"/>
    </row>
    <row r="174" spans="1:13" x14ac:dyDescent="0.25">
      <c r="A174" s="45" t="str">
        <f>HYPERLINK("#A1", "▲ Back to top")</f>
        <v>▲ Back to top</v>
      </c>
      <c r="D174" s="24" cm="1">
        <f t="array" ref="D174">SourceData_Dairy.SourceData_Dairy_GrossEnergyContent_Data()</f>
        <v>18.399999999999999</v>
      </c>
      <c r="M174" s="14"/>
    </row>
    <row r="175" spans="1:13" x14ac:dyDescent="0.25">
      <c r="M175" s="14"/>
    </row>
    <row r="176" spans="1:13" x14ac:dyDescent="0.25">
      <c r="M176" s="14"/>
    </row>
    <row r="177" spans="4:13" ht="23.25" x14ac:dyDescent="0.25">
      <c r="D177" s="9" t="str" cm="1">
        <f t="array" ref="D177">SourceData_Dairy.SourceData_Dairy_EfficiencyOfUseOfMetabolizableEnergy_Title()</f>
        <v>Efficiency of use of metabolizable energy for milk production</v>
      </c>
      <c r="M177" s="14"/>
    </row>
    <row r="178" spans="4:13" x14ac:dyDescent="0.25">
      <c r="D178" s="11" t="str" cm="1">
        <f t="array" ref="D178">SourceData_Dairy.SourceData_Dairy_EfficiencyOfUseOfMetabolizableEnergy_Source()</f>
        <v>VEERG 2026: 3.3.2.3 CONSTANTS</v>
      </c>
      <c r="M178" s="14"/>
    </row>
    <row r="179" spans="4:13" x14ac:dyDescent="0.25">
      <c r="D179" s="8" t="str" cm="1">
        <f t="array" ref="D179">SourceData_Dairy.SourceData_Dairy_EfficiencyOfUseOfMetabolizableEnergy_Variable()</f>
        <v>k</v>
      </c>
      <c r="M179" s="14"/>
    </row>
    <row r="180" spans="4:13" x14ac:dyDescent="0.25">
      <c r="D180" s="13" t="str" cm="1">
        <f t="array" ref="D180">SourceData_Dairy.SourceData_Dairy_EfficiencyOfUseOfMetabolizableEnergy_Unit()</f>
        <v>fraction</v>
      </c>
      <c r="M180" s="14"/>
    </row>
    <row r="181" spans="4:13" x14ac:dyDescent="0.25">
      <c r="D181" s="24" cm="1">
        <f t="array" ref="D181">SourceData_Dairy.SourceData_Dairy_EfficiencyOfUseOfMetabolizableEnergy_Data()</f>
        <v>0.6</v>
      </c>
      <c r="M181" s="14"/>
    </row>
    <row r="182" spans="4:13" x14ac:dyDescent="0.25">
      <c r="M182" s="14"/>
    </row>
    <row r="183" spans="4:13" x14ac:dyDescent="0.25">
      <c r="M183" s="14"/>
    </row>
    <row r="184" spans="4:13" ht="23.25" x14ac:dyDescent="0.25">
      <c r="D184" s="9" t="str" cm="1">
        <f t="array" ref="D184">SourceData_Dairy.SourceData_Dairy_AshContent_Title()</f>
        <v>Ash content of manure</v>
      </c>
      <c r="M184" s="14"/>
    </row>
    <row r="185" spans="4:13" x14ac:dyDescent="0.25">
      <c r="D185" s="11" t="str" cm="1">
        <f t="array" ref="D185">SourceData_Dairy.SourceData_Dairy_AshContent_Source()</f>
        <v>VEERG 2026: 4.3.2.3 CONSTANTS</v>
      </c>
      <c r="M185" s="14"/>
    </row>
    <row r="186" spans="4:13" x14ac:dyDescent="0.25">
      <c r="D186" s="8" t="str" cm="1">
        <f t="array" ref="D186">SourceData_Dairy.SourceData_Dairy_AshContent_Variable()</f>
        <v>A</v>
      </c>
      <c r="M186" s="14"/>
    </row>
    <row r="187" spans="4:13" x14ac:dyDescent="0.25">
      <c r="D187" s="13" t="str" cm="1">
        <f t="array" ref="D187">SourceData_Dairy.SourceData_Dairy_AshContent_Unit()</f>
        <v>fraction</v>
      </c>
      <c r="M187" s="14"/>
    </row>
    <row r="188" spans="4:13" x14ac:dyDescent="0.25">
      <c r="D188" s="24" cm="1">
        <f t="array" ref="D188">SourceData_Dairy.SourceData_Dairy_AshContent_Data()</f>
        <v>0.08</v>
      </c>
      <c r="M188" s="14"/>
    </row>
    <row r="189" spans="4:13" x14ac:dyDescent="0.25">
      <c r="M189" s="14"/>
    </row>
    <row r="190" spans="4:13" x14ac:dyDescent="0.25">
      <c r="M190" s="14"/>
    </row>
    <row r="191" spans="4:13" ht="23.25" x14ac:dyDescent="0.25">
      <c r="D191" s="9" t="str" cm="1">
        <f t="array" ref="D191">SourceData_Dairy.SourceData_Dairy_MethaneEmissionsPotential_Title()</f>
        <v>Methane emissions potential</v>
      </c>
      <c r="M191" s="14"/>
    </row>
    <row r="192" spans="4:13" x14ac:dyDescent="0.25">
      <c r="D192" s="11" t="str" cm="1">
        <f t="array" ref="D192">SourceData_Dairy.SourceData_Dairy_MethaneEmissionsPotential_Source()</f>
        <v>VEERG 2026: 4.3.2.3 CONSTANTS</v>
      </c>
      <c r="M192" s="14"/>
    </row>
    <row r="193" spans="4:13" x14ac:dyDescent="0.25">
      <c r="D193" s="8" t="str" cm="1">
        <f t="array" ref="D193">SourceData_Dairy.SourceData_Dairy_MethaneEmissionsPotential_Variable()</f>
        <v>B_o</v>
      </c>
      <c r="M193" s="14"/>
    </row>
    <row r="194" spans="4:13" x14ac:dyDescent="0.25">
      <c r="D194" s="13" t="str" cm="1">
        <f t="array" ref="D194">SourceData_Dairy.SourceData_Dairy_MethaneEmissionsPotential_Unit()</f>
        <v>m3 CH4/kgVS</v>
      </c>
      <c r="M194" s="14"/>
    </row>
    <row r="195" spans="4:13" x14ac:dyDescent="0.25">
      <c r="D195" s="24" cm="1">
        <f t="array" ref="D195">SourceData_Dairy.SourceData_Dairy_MethaneEmissionsPotential_Data()</f>
        <v>0.24</v>
      </c>
      <c r="M195" s="14"/>
    </row>
    <row r="196" spans="4:13" x14ac:dyDescent="0.25">
      <c r="M196" s="14"/>
    </row>
    <row r="197" spans="4:13" x14ac:dyDescent="0.25">
      <c r="M197" s="14"/>
    </row>
    <row r="198" spans="4:13" ht="23.25" x14ac:dyDescent="0.25">
      <c r="D198" s="9" t="str" cm="1">
        <f t="array" ref="D198">SourceData_Dairy.SourceData_Dairy_EmissionFactorForLeachingAndRunoff_Title()</f>
        <v>Emission factor for leaching and runoff</v>
      </c>
      <c r="M198" s="14"/>
    </row>
    <row r="199" spans="4:13" x14ac:dyDescent="0.25">
      <c r="D199" s="11" t="str" cm="1">
        <f t="array" ref="D199">SourceData_Dairy.SourceData_Dairy_EmissionFactorForLeachingAndRunoff_Source()</f>
        <v>VEERG 2026: 4.3.2.3 CONSTANTS</v>
      </c>
      <c r="M199" s="14"/>
    </row>
    <row r="200" spans="4:13" x14ac:dyDescent="0.25">
      <c r="D200" s="8" t="str" cm="1">
        <f t="array" ref="D200">SourceData_Dairy.SourceData_Dairy_EmissionFactorForLeachingAndRunoff_Variable()</f>
        <v>EF_leach</v>
      </c>
      <c r="M200" s="14"/>
    </row>
    <row r="201" spans="4:13" x14ac:dyDescent="0.25">
      <c r="D201" s="13" t="str" cm="1">
        <f t="array" ref="D201">SourceData_Dairy.SourceData_Dairy_EmissionFactorForLeachingAndRunoff_Unit()</f>
        <v>kg N2O-N/kg N</v>
      </c>
      <c r="M201" s="14"/>
    </row>
    <row r="202" spans="4:13" x14ac:dyDescent="0.25">
      <c r="D202" s="24" cm="1">
        <f t="array" ref="D202">SourceData_Dairy.SourceData_Dairy_EmissionFactorForLeachingAndRunoff_Data()</f>
        <v>1.0999999999999999E-2</v>
      </c>
      <c r="M202" s="14"/>
    </row>
    <row r="203" spans="4:13" x14ac:dyDescent="0.25">
      <c r="M203" s="14"/>
    </row>
    <row r="204" spans="4:13" x14ac:dyDescent="0.25">
      <c r="M204" s="14"/>
    </row>
    <row r="205" spans="4:13" ht="23.25" x14ac:dyDescent="0.25">
      <c r="D205" s="9" t="str" cm="1">
        <f t="array" ref="D205">SourceData_Dairy.SourceData_Dairy_FractionOfNitrogenLostThroughLeachingAndRunoff_Title()</f>
        <v>Fraction of N that is lost through leaching and runoff</v>
      </c>
      <c r="M205" s="14"/>
    </row>
    <row r="206" spans="4:13" x14ac:dyDescent="0.25">
      <c r="D206" s="11" t="str" cm="1">
        <f t="array" ref="D206">SourceData_Dairy.SourceData_Dairy_FractionOfNitrogenLostThroughLeachingAndRunoff_Source()</f>
        <v>VEERG 2026: 4.3.2.3 CONSTANTS</v>
      </c>
      <c r="M206" s="14"/>
    </row>
    <row r="207" spans="4:13" x14ac:dyDescent="0.25">
      <c r="D207" s="8" t="str" cm="1">
        <f t="array" ref="D207">SourceData_Dairy.SourceData_Dairy_FractionOfNitrogenLostThroughLeachingAndRunoff_Variable()</f>
        <v>Frac_LEACH_MS</v>
      </c>
      <c r="M207" s="14"/>
    </row>
    <row r="208" spans="4:13" x14ac:dyDescent="0.25">
      <c r="D208" s="13" t="str" cm="1">
        <f t="array" ref="D208">SourceData_Dairy.SourceData_Dairy_FractionOfNitrogenLostThroughLeachingAndRunoff_Unit()</f>
        <v>Dimensionless</v>
      </c>
      <c r="M208" s="14"/>
    </row>
    <row r="209" spans="1:13" x14ac:dyDescent="0.25">
      <c r="D209" s="24" cm="1">
        <f t="array" ref="D209">SourceData_Dairy.SourceData_Dairy_FractionOfNitrogenLostThroughLeachingAndRunoff_Data()</f>
        <v>0.02</v>
      </c>
      <c r="M209" s="14"/>
    </row>
    <row r="210" spans="1:13" x14ac:dyDescent="0.25">
      <c r="M210" s="14"/>
    </row>
    <row r="211" spans="1:13" ht="23.25" x14ac:dyDescent="0.25">
      <c r="D211" s="9" t="str" cm="1">
        <f t="array" ref="D211">SourceData_Dairy.SourceData_Dairy_FracGASMSoil_Title()</f>
        <v>Fraction of nitrogen volatilized from urine and faeces deposited on pasture</v>
      </c>
      <c r="M211" s="14"/>
    </row>
    <row r="212" spans="1:13" x14ac:dyDescent="0.25">
      <c r="D212" s="11" t="str" cm="1">
        <f t="array" ref="D212">SourceData_Dairy.SourceData_Dairy_FracGASMSoil_Source()</f>
        <v>VEERG 2026: 4.3.2.3 CONSTANTS</v>
      </c>
      <c r="M212" s="14"/>
    </row>
    <row r="213" spans="1:13" x14ac:dyDescent="0.25">
      <c r="D213" s="8" t="str" cm="1">
        <f t="array" ref="D213">SourceData_Dairy.SourceData_Dairy_FracGASMSoil_Variable()</f>
        <v>FracGASMsoil</v>
      </c>
      <c r="M213" s="14"/>
    </row>
    <row r="214" spans="1:13" x14ac:dyDescent="0.25">
      <c r="D214" s="13" t="str" cm="1">
        <f t="array" ref="D214">SourceData_Dairy.SourceData_Dairy_FracGASMSoil_Unit()</f>
        <v>(kg NH3-N + NOx-N)/kg N</v>
      </c>
      <c r="M214" s="14"/>
    </row>
    <row r="215" spans="1:13" x14ac:dyDescent="0.25">
      <c r="A215" s="45" t="str">
        <f>HYPERLINK("#A1", "▲ Back to top")</f>
        <v>▲ Back to top</v>
      </c>
      <c r="D215" s="24" cm="1">
        <f t="array" ref="D215">SourceData_Dairy.SourceData_Dairy_FracGASMSoil_Data()</f>
        <v>0.21</v>
      </c>
      <c r="M215" s="14"/>
    </row>
    <row r="216" spans="1:13" x14ac:dyDescent="0.25">
      <c r="M216" s="14"/>
    </row>
    <row r="217" spans="1:13" ht="23.25" x14ac:dyDescent="0.25">
      <c r="D217" s="9" t="str" cm="1">
        <f t="array" ref="D217">SourceData_Dairy.SourceData_Dairy_FatContentInMilk_Title()</f>
        <v>Fat content in fat and protein corrected milk</v>
      </c>
      <c r="M217" s="14"/>
    </row>
    <row r="218" spans="1:13" x14ac:dyDescent="0.25">
      <c r="D218" s="11" t="str" cm="1">
        <f t="array" ref="D218">SourceData_Dairy.SourceData_Dairy_FatContentInMilk_Source()</f>
        <v>VEERG 2026: 3.3.2.2 DATA (METHOD 1 AND 2 OPTIONS)</v>
      </c>
      <c r="M218" s="14"/>
    </row>
    <row r="219" spans="1:13" x14ac:dyDescent="0.25">
      <c r="D219" s="8" t="str" cm="1">
        <f t="array" ref="D219">SourceData_Dairy.SourceData_Dairy_FatContentInMilk_Variable()</f>
        <v>FC_j</v>
      </c>
      <c r="M219" s="14"/>
    </row>
    <row r="220" spans="1:13" x14ac:dyDescent="0.25">
      <c r="D220" s="13" t="str" cm="1">
        <f t="array" ref="D220">SourceData_Dairy.SourceData_Dairy_FatContentInMilk_Unit()</f>
        <v>percent</v>
      </c>
      <c r="M220" s="14"/>
    </row>
    <row r="221" spans="1:13" x14ac:dyDescent="0.25">
      <c r="D221" s="24" cm="1">
        <f t="array" ref="D221">SourceData_Dairy.SourceData_Dairy_FatContentInMilk_Data()</f>
        <v>4</v>
      </c>
      <c r="M221" s="14"/>
    </row>
    <row r="222" spans="1:13" x14ac:dyDescent="0.25">
      <c r="M222" s="14"/>
    </row>
    <row r="223" spans="1:13" ht="23.25" x14ac:dyDescent="0.25">
      <c r="D223" s="9" t="str" cm="1">
        <f t="array" ref="D223">SourceData_Dairy.SourceData_Dairy_ProteinContentInMilk_Title()</f>
        <v>Protein content in fat and protein corrected milk</v>
      </c>
      <c r="M223" s="14"/>
    </row>
    <row r="224" spans="1:13" x14ac:dyDescent="0.25">
      <c r="D224" s="11" t="str" cm="1">
        <f t="array" ref="D224">SourceData_Dairy.SourceData_Dairy_ProteinContentInMilk_Source()</f>
        <v>VEERG 2026: 3.3.2.2 DATA (METHOD 1 AND 2 OPTIONS)</v>
      </c>
      <c r="M224" s="14"/>
    </row>
    <row r="225" spans="4:13" x14ac:dyDescent="0.25">
      <c r="D225" s="8" t="str" cm="1">
        <f t="array" ref="D225">SourceData_Dairy.SourceData_Dairy_ProteinContentInMilk_Variable()</f>
        <v>PC_j</v>
      </c>
      <c r="M225" s="14"/>
    </row>
    <row r="226" spans="4:13" x14ac:dyDescent="0.25">
      <c r="D226" s="13" t="str" cm="1">
        <f t="array" ref="D226">SourceData_Dairy.SourceData_Dairy_ProteinContentInMilk_Unit()</f>
        <v>percent</v>
      </c>
      <c r="M226" s="14"/>
    </row>
    <row r="227" spans="4:13" x14ac:dyDescent="0.25">
      <c r="D227" s="24" cm="1">
        <f t="array" ref="D227">SourceData_Dairy.SourceData_Dairy_ProteinContentInMilk_Data()</f>
        <v>3.3</v>
      </c>
      <c r="M227" s="14"/>
    </row>
    <row r="228" spans="4:13" x14ac:dyDescent="0.25">
      <c r="M228" s="14"/>
    </row>
    <row r="229" spans="4:13" x14ac:dyDescent="0.25">
      <c r="M229" s="14"/>
    </row>
    <row r="230" spans="4:13" x14ac:dyDescent="0.25">
      <c r="M230" s="14"/>
    </row>
    <row r="231" spans="4:13" x14ac:dyDescent="0.25">
      <c r="M231" s="14"/>
    </row>
    <row r="232" spans="4:13" x14ac:dyDescent="0.25">
      <c r="M232" s="14"/>
    </row>
    <row r="233" spans="4:13" x14ac:dyDescent="0.25">
      <c r="M233" s="14"/>
    </row>
    <row r="234" spans="4:13" x14ac:dyDescent="0.25">
      <c r="M234" s="14"/>
    </row>
    <row r="235" spans="4:13" x14ac:dyDescent="0.25">
      <c r="M235" s="14"/>
    </row>
    <row r="236" spans="4:13" x14ac:dyDescent="0.25">
      <c r="M236" s="14"/>
    </row>
    <row r="237" spans="4:13" x14ac:dyDescent="0.25">
      <c r="M237" s="14"/>
    </row>
    <row r="238" spans="4:13" x14ac:dyDescent="0.25">
      <c r="M238" s="14"/>
    </row>
    <row r="239" spans="4:13" x14ac:dyDescent="0.25">
      <c r="M239" s="14"/>
    </row>
    <row r="240" spans="4:13" x14ac:dyDescent="0.25">
      <c r="M240" s="14"/>
    </row>
    <row r="241" spans="13:13" x14ac:dyDescent="0.25">
      <c r="M241" s="14"/>
    </row>
    <row r="242" spans="13:13" x14ac:dyDescent="0.25">
      <c r="M242" s="14"/>
    </row>
    <row r="243" spans="13:13" x14ac:dyDescent="0.25">
      <c r="M243" s="14"/>
    </row>
    <row r="244" spans="13:13" x14ac:dyDescent="0.25">
      <c r="M244" s="14"/>
    </row>
    <row r="245" spans="13:13" x14ac:dyDescent="0.25">
      <c r="M245" s="14"/>
    </row>
    <row r="246" spans="13:13" x14ac:dyDescent="0.25">
      <c r="M246" s="14"/>
    </row>
    <row r="247" spans="13:13" x14ac:dyDescent="0.25">
      <c r="M247" s="14"/>
    </row>
    <row r="248" spans="13:13" x14ac:dyDescent="0.25">
      <c r="M248" s="14"/>
    </row>
    <row r="249" spans="13:13" x14ac:dyDescent="0.25">
      <c r="M249" s="14"/>
    </row>
    <row r="250" spans="13:13" x14ac:dyDescent="0.25">
      <c r="M250" s="14"/>
    </row>
    <row r="251" spans="13:13" x14ac:dyDescent="0.25">
      <c r="M251" s="14"/>
    </row>
    <row r="252" spans="13:13" x14ac:dyDescent="0.25">
      <c r="M252" s="14"/>
    </row>
    <row r="253" spans="13:13" x14ac:dyDescent="0.25">
      <c r="M253" s="14"/>
    </row>
    <row r="254" spans="13:13" x14ac:dyDescent="0.25">
      <c r="M254" s="14"/>
    </row>
    <row r="255" spans="13:13" x14ac:dyDescent="0.25">
      <c r="M255" s="14"/>
    </row>
    <row r="256" spans="13:13" x14ac:dyDescent="0.25">
      <c r="M256" s="14"/>
    </row>
    <row r="257" spans="13:13" x14ac:dyDescent="0.25">
      <c r="M257" s="14"/>
    </row>
    <row r="258" spans="13:13" x14ac:dyDescent="0.25">
      <c r="M258" s="14"/>
    </row>
    <row r="259" spans="13:13" x14ac:dyDescent="0.25">
      <c r="M259" s="14"/>
    </row>
    <row r="260" spans="13:13" x14ac:dyDescent="0.25">
      <c r="M260" s="14"/>
    </row>
    <row r="261" spans="13:13" x14ac:dyDescent="0.25">
      <c r="M261" s="14"/>
    </row>
    <row r="262" spans="13:13" x14ac:dyDescent="0.25">
      <c r="M262" s="14"/>
    </row>
    <row r="263" spans="13:13" x14ac:dyDescent="0.25">
      <c r="M263" s="14"/>
    </row>
    <row r="264" spans="13:13" x14ac:dyDescent="0.25">
      <c r="M264" s="14"/>
    </row>
    <row r="265" spans="13:13" x14ac:dyDescent="0.25">
      <c r="M265" s="14"/>
    </row>
    <row r="266" spans="13:13" x14ac:dyDescent="0.25">
      <c r="M266" s="14"/>
    </row>
    <row r="267" spans="13:13" x14ac:dyDescent="0.25">
      <c r="M267" s="14"/>
    </row>
    <row r="268" spans="13:13" x14ac:dyDescent="0.25">
      <c r="M268" s="14"/>
    </row>
    <row r="269" spans="13:13" x14ac:dyDescent="0.25">
      <c r="M269" s="14"/>
    </row>
    <row r="270" spans="13:13" x14ac:dyDescent="0.25">
      <c r="M270" s="14"/>
    </row>
    <row r="271" spans="13:13" x14ac:dyDescent="0.25">
      <c r="M271" s="14"/>
    </row>
    <row r="272" spans="13:13" x14ac:dyDescent="0.25">
      <c r="M272" s="14"/>
    </row>
    <row r="273" spans="13:13" x14ac:dyDescent="0.25">
      <c r="M273" s="14"/>
    </row>
    <row r="274" spans="13:13" x14ac:dyDescent="0.25">
      <c r="M274" s="14"/>
    </row>
    <row r="275" spans="13:13" x14ac:dyDescent="0.25">
      <c r="M275" s="14"/>
    </row>
    <row r="276" spans="13:13" x14ac:dyDescent="0.25">
      <c r="M276" s="14"/>
    </row>
    <row r="277" spans="13:13" x14ac:dyDescent="0.25">
      <c r="M277" s="14"/>
    </row>
    <row r="278" spans="13:13" x14ac:dyDescent="0.25">
      <c r="M278" s="14"/>
    </row>
    <row r="279" spans="13:13" x14ac:dyDescent="0.25">
      <c r="M279" s="14"/>
    </row>
    <row r="280" spans="13:13" x14ac:dyDescent="0.25">
      <c r="M280" s="14"/>
    </row>
    <row r="281" spans="13:13" x14ac:dyDescent="0.25">
      <c r="M281" s="14"/>
    </row>
    <row r="282" spans="13:13" x14ac:dyDescent="0.25">
      <c r="M282" s="14"/>
    </row>
    <row r="283" spans="13:13" x14ac:dyDescent="0.25">
      <c r="M283" s="14"/>
    </row>
    <row r="284" spans="13:13" x14ac:dyDescent="0.25">
      <c r="M284" s="14"/>
    </row>
    <row r="285" spans="13:13" x14ac:dyDescent="0.25">
      <c r="M285" s="14"/>
    </row>
    <row r="286" spans="13:13" x14ac:dyDescent="0.25">
      <c r="M286" s="14"/>
    </row>
    <row r="287" spans="13:13" x14ac:dyDescent="0.25">
      <c r="M287" s="14"/>
    </row>
    <row r="288" spans="13:13" x14ac:dyDescent="0.25">
      <c r="M288" s="14"/>
    </row>
  </sheetData>
  <pageMargins left="0.7" right="0.7" top="0.75" bottom="0.75" header="0.3" footer="0.3"/>
  <tableParts count="15">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CA45B4-F9DC-4211-871F-BDB144CC7191}">
  <dimension ref="A1:V454"/>
  <sheetViews>
    <sheetView showGridLines="0" topLeftCell="A71" zoomScale="85" zoomScaleNormal="85" workbookViewId="0">
      <selection activeCell="N158" sqref="N158"/>
    </sheetView>
  </sheetViews>
  <sheetFormatPr defaultRowHeight="15.75" x14ac:dyDescent="0.25"/>
  <cols>
    <col min="1" max="1" width="26.875" style="3" customWidth="1"/>
    <col min="2" max="2" width="4.125" style="3" customWidth="1"/>
    <col min="3" max="3" width="4.125" style="8" customWidth="1"/>
    <col min="4" max="5" width="26.875" style="8" customWidth="1"/>
    <col min="6" max="6" width="27.25" style="8" customWidth="1"/>
    <col min="7" max="7" width="28.5" style="8" customWidth="1"/>
    <col min="8" max="12" width="26.875" style="8" customWidth="1"/>
    <col min="13" max="13" width="26.875" style="3" customWidth="1"/>
    <col min="14" max="20" width="26.875" style="8" customWidth="1"/>
    <col min="21" max="21" width="4.125" style="8" customWidth="1"/>
    <col min="22" max="16384" width="9" style="3"/>
  </cols>
  <sheetData>
    <row r="1" spans="1:21" s="1" customFormat="1" ht="30" customHeight="1" x14ac:dyDescent="0.35">
      <c r="A1" s="1" t="e" vm="1">
        <v>#VALUE!</v>
      </c>
      <c r="C1" s="1" t="s">
        <v>476</v>
      </c>
    </row>
    <row r="2" spans="1:21" s="2" customFormat="1" ht="20.100000000000001" customHeight="1" x14ac:dyDescent="0.25">
      <c r="A2" s="3"/>
    </row>
    <row r="3" spans="1:21" ht="20.100000000000001" customHeight="1" x14ac:dyDescent="0.25">
      <c r="A3" s="16" t="str">
        <f>HYPERLINK("#'Home'!A1", "Home")</f>
        <v>Home</v>
      </c>
      <c r="C3" s="5"/>
      <c r="D3" s="5"/>
      <c r="E3" s="5"/>
      <c r="F3" s="5"/>
      <c r="G3" s="5"/>
      <c r="H3" s="5"/>
      <c r="I3" s="5"/>
      <c r="J3" s="5"/>
      <c r="K3" s="5"/>
      <c r="L3" s="5"/>
      <c r="M3" s="5"/>
      <c r="N3" s="5"/>
      <c r="O3" s="5"/>
      <c r="P3" s="5"/>
      <c r="Q3" s="5"/>
      <c r="R3" s="5"/>
      <c r="S3" s="5"/>
      <c r="T3" s="5"/>
      <c r="U3" s="5"/>
    </row>
    <row r="4" spans="1:21" ht="20.100000000000001" customHeight="1" x14ac:dyDescent="0.25">
      <c r="A4" s="16" t="str">
        <f>HYPERLINK("#'Results'!A1", "Results")</f>
        <v>Results</v>
      </c>
      <c r="M4" s="14"/>
    </row>
    <row r="5" spans="1:21" ht="20.100000000000001" customHeight="1" x14ac:dyDescent="0.25">
      <c r="A5" s="18"/>
      <c r="D5" s="9" t="s">
        <v>477</v>
      </c>
      <c r="G5" s="9" t="s">
        <v>144</v>
      </c>
      <c r="M5" s="8" t="s">
        <v>478</v>
      </c>
      <c r="O5" s="8" t="s">
        <v>479</v>
      </c>
      <c r="Q5" s="8" t="s">
        <v>480</v>
      </c>
      <c r="S5" s="8" t="s">
        <v>481</v>
      </c>
    </row>
    <row r="6" spans="1:21" ht="20.100000000000001" customHeight="1" x14ac:dyDescent="0.25">
      <c r="A6" s="19" t="s">
        <v>67</v>
      </c>
      <c r="M6" s="8"/>
    </row>
    <row r="7" spans="1:21" ht="20.100000000000001" customHeight="1" x14ac:dyDescent="0.25">
      <c r="A7" s="16" t="str">
        <f>HYPERLINK("#'Input - Site'!A1", "Site")</f>
        <v>Site</v>
      </c>
      <c r="D7" s="10" t="s">
        <v>146</v>
      </c>
      <c r="G7" s="10" t="s">
        <v>43</v>
      </c>
      <c r="M7" s="3" t="s">
        <v>414</v>
      </c>
      <c r="O7" s="10" t="s">
        <v>414</v>
      </c>
      <c r="Q7" s="10" t="s">
        <v>414</v>
      </c>
      <c r="S7" s="10" t="s">
        <v>414</v>
      </c>
    </row>
    <row r="8" spans="1:21" ht="20.100000000000001" customHeight="1" x14ac:dyDescent="0.25">
      <c r="A8" s="16" t="str">
        <f>HYPERLINK("#'Input - Pasture Beef'!A1", "Pasture Beef")</f>
        <v>Pasture Beef</v>
      </c>
      <c r="D8" s="10" t="str">
        <f>'Constants - Common'!$F$187</f>
        <v>Pasture</v>
      </c>
      <c r="G8" s="10" t="s">
        <v>149</v>
      </c>
      <c r="M8" s="10" t="s">
        <v>482</v>
      </c>
      <c r="O8" s="10" t="s">
        <v>483</v>
      </c>
      <c r="Q8" s="10" t="s">
        <v>484</v>
      </c>
      <c r="S8" s="10" t="s">
        <v>464</v>
      </c>
    </row>
    <row r="9" spans="1:21" ht="20.100000000000001" customHeight="1" x14ac:dyDescent="0.25">
      <c r="A9" s="16"/>
      <c r="D9" s="8" t="str">
        <f>'Constants - Common'!$F$188</f>
        <v>Crop</v>
      </c>
      <c r="G9" s="10" t="s">
        <v>153</v>
      </c>
      <c r="M9" s="10" t="s">
        <v>485</v>
      </c>
      <c r="O9" s="10" t="s">
        <v>486</v>
      </c>
      <c r="Q9" s="10" t="s">
        <v>487</v>
      </c>
    </row>
    <row r="10" spans="1:21" ht="20.100000000000001" customHeight="1" x14ac:dyDescent="0.25">
      <c r="A10" s="20" t="s">
        <v>77</v>
      </c>
      <c r="G10" s="8" t="s">
        <v>156</v>
      </c>
      <c r="M10" s="10" t="s">
        <v>488</v>
      </c>
      <c r="O10" s="10" t="s">
        <v>489</v>
      </c>
      <c r="Q10" s="10" t="s">
        <v>490</v>
      </c>
      <c r="S10" s="8" t="s">
        <v>491</v>
      </c>
    </row>
    <row r="11" spans="1:21" ht="20.100000000000001" customHeight="1" x14ac:dyDescent="0.25">
      <c r="A11" s="16" t="str">
        <f>HYPERLINK("#'3.2.1.1-2 Enteric Methane'!A1", "3.2.1.1-2 Enteric Methane")</f>
        <v>3.2.1.1-2 Enteric Methane</v>
      </c>
      <c r="G11" s="8" t="s">
        <v>159</v>
      </c>
      <c r="M11" s="8"/>
      <c r="Q11" s="10" t="s">
        <v>492</v>
      </c>
    </row>
    <row r="12" spans="1:21" ht="20.100000000000001" customHeight="1" x14ac:dyDescent="0.25">
      <c r="A12" s="16"/>
      <c r="G12" s="8" t="s">
        <v>161</v>
      </c>
      <c r="M12" s="8"/>
      <c r="S12" s="10" t="s">
        <v>414</v>
      </c>
    </row>
    <row r="13" spans="1:21" ht="20.100000000000001" customHeight="1" x14ac:dyDescent="0.25">
      <c r="A13" s="21" t="s">
        <v>78</v>
      </c>
      <c r="M13" s="8"/>
      <c r="S13" s="10" t="s">
        <v>464</v>
      </c>
    </row>
    <row r="14" spans="1:21" ht="20.100000000000001" customHeight="1" x14ac:dyDescent="0.25">
      <c r="A14" s="22" t="str">
        <f>HYPERLINK("#'Constants - Pasture Beef'!A1", "Constants - Pasture Beef")</f>
        <v>Constants - Pasture Beef</v>
      </c>
      <c r="D14" s="9" t="str" cm="1">
        <f t="array" ref="D14">SourceData_PastureBeef.SourceData_PastureBeef_Liveweight_Title()</f>
        <v>Beef pasture cattle - Liveweight (kg) (Wjkl)</v>
      </c>
      <c r="M14" s="8"/>
    </row>
    <row r="15" spans="1:21" ht="20.100000000000001" customHeight="1" x14ac:dyDescent="0.25">
      <c r="A15" s="16" t="str">
        <f>HYPERLINK("#'Constants - Livestock'!A1", "Constants - Livestock")</f>
        <v>Constants - Livestock</v>
      </c>
      <c r="D15" s="11" t="str" cm="1">
        <f t="array" ref="D15">SourceData_PastureBeef.SourceData_PastureBeef_Liveweight_Source()</f>
        <v>VEERG 2026: Table A.1.2.1</v>
      </c>
      <c r="M15" s="8"/>
      <c r="S15" s="8" t="s">
        <v>493</v>
      </c>
    </row>
    <row r="16" spans="1:21" ht="20.100000000000001" customHeight="1" x14ac:dyDescent="0.25">
      <c r="A16" s="16" t="str">
        <f>HYPERLINK("#'Constants - Common'!A1", "Constants - Common")</f>
        <v>Constants - Common</v>
      </c>
      <c r="D16" s="8" t="str" cm="1">
        <f t="array" ref="D16">SourceData_PastureBeef.SourceData_PastureBeef_Liveweight_Variable()</f>
        <v>Wjkl</v>
      </c>
      <c r="M16" s="8"/>
    </row>
    <row r="17" spans="1:19" ht="20.100000000000001" customHeight="1" x14ac:dyDescent="0.25">
      <c r="A17" s="16" t="str">
        <f>HYPERLINK("#'Acknowledgements'!A1", "Acknowledgements")</f>
        <v>Acknowledgements</v>
      </c>
      <c r="D17" s="13" t="str" cm="1">
        <f t="array" ref="D17">SourceData_PastureBeef.SourceData_PastureBeef_Liveweight_Unit()</f>
        <v>kg</v>
      </c>
      <c r="M17" s="8"/>
      <c r="S17" s="10" t="s">
        <v>414</v>
      </c>
    </row>
    <row r="18" spans="1:19" ht="20.100000000000001" customHeight="1" x14ac:dyDescent="0.25">
      <c r="D18" s="10" t="s">
        <v>289</v>
      </c>
      <c r="E18" s="10" t="s">
        <v>414</v>
      </c>
      <c r="F18" s="10" t="s">
        <v>47</v>
      </c>
      <c r="G18" s="10" t="s">
        <v>494</v>
      </c>
      <c r="H18" s="10" t="s">
        <v>495</v>
      </c>
      <c r="I18" s="10" t="s">
        <v>496</v>
      </c>
      <c r="J18" s="10" t="s">
        <v>497</v>
      </c>
      <c r="K18" s="10" t="s">
        <v>498</v>
      </c>
      <c r="L18" s="10" t="s">
        <v>499</v>
      </c>
      <c r="M18" s="10" t="s">
        <v>500</v>
      </c>
      <c r="S18" s="10" t="s">
        <v>464</v>
      </c>
    </row>
    <row r="19" spans="1:19" ht="20.100000000000001" customHeight="1" x14ac:dyDescent="0.25">
      <c r="A19" s="16"/>
      <c r="D19" s="10" t="str" cm="1">
        <f t="array" ref="D19">Common_InputFunctions.Utility_DisplayArrayInTable(SourceData_PastureBeef.SourceData_PastureBeef_Liveweight_Data(), Table_SourceData_PastureBeef_Liveweight[[#Headers],[State]], 0)</f>
        <v>ACT/NSW</v>
      </c>
      <c r="E19" s="10" t="str" cm="1">
        <f t="array" ref="E19">Common_InputFunctions.Utility_DisplayArrayInTable(SourceData_PastureBeef.SourceData_PastureBeef_Liveweight_Data(), Table_SourceData_PastureBeef_Liveweight[[#Headers],[State]], 0)</f>
        <v>n/a</v>
      </c>
      <c r="F19" s="10" t="str" cm="1">
        <f t="array" ref="F19">Common_InputFunctions.Utility_DisplayArrayInTable(SourceData_PastureBeef.SourceData_PastureBeef_Liveweight_Data(), Table_SourceData_PastureBeef_Liveweight[[#Headers],[State]], 0)</f>
        <v>Spring</v>
      </c>
      <c r="G19" s="10" cm="1">
        <f t="array" ref="G19">Common_InputFunctions.Utility_DisplayArrayInTable(SourceData_PastureBeef.SourceData_PastureBeef_Liveweight_Data(), Table_SourceData_PastureBeef_Liveweight[[#Headers],[State]], 0)</f>
        <v>80</v>
      </c>
      <c r="H19" s="10" cm="1">
        <f t="array" ref="H19">Common_InputFunctions.Utility_DisplayArrayInTable(SourceData_PastureBeef.SourceData_PastureBeef_Liveweight_Data(), Table_SourceData_PastureBeef_Liveweight[[#Headers],[State]], 0)</f>
        <v>480</v>
      </c>
      <c r="I19" s="10" cm="1">
        <f t="array" ref="I19">Common_InputFunctions.Utility_DisplayArrayInTable(SourceData_PastureBeef.SourceData_PastureBeef_Liveweight_Data(), Table_SourceData_PastureBeef_Liveweight[[#Headers],[State]], 0)</f>
        <v>75</v>
      </c>
      <c r="J19" s="10" cm="1">
        <f t="array" ref="J19">Common_InputFunctions.Utility_DisplayArrayInTable(SourceData_PastureBeef.SourceData_PastureBeef_Liveweight_Data(), Table_SourceData_PastureBeef_Liveweight[[#Headers],[State]], 0)</f>
        <v>300</v>
      </c>
      <c r="K19" s="10" cm="1">
        <f t="array" ref="K19">Common_InputFunctions.Utility_DisplayArrayInTable(SourceData_PastureBeef.SourceData_PastureBeef_Liveweight_Data(), Table_SourceData_PastureBeef_Liveweight[[#Headers],[State]], 0)</f>
        <v>440</v>
      </c>
      <c r="L19" s="10" cm="1">
        <f t="array" ref="L19">Common_InputFunctions.Utility_DisplayArrayInTable(SourceData_PastureBeef.SourceData_PastureBeef_Liveweight_Data(), Table_SourceData_PastureBeef_Liveweight[[#Headers],[State]], 0)</f>
        <v>75</v>
      </c>
      <c r="M19" s="10" cm="1">
        <f t="array" ref="M19">Common_InputFunctions.Utility_DisplayArrayInTable(SourceData_PastureBeef.SourceData_PastureBeef_Liveweight_Data(), Table_SourceData_PastureBeef_Liveweight[[#Headers],[State]], 0)</f>
        <v>380</v>
      </c>
    </row>
    <row r="20" spans="1:19" ht="20.100000000000001" customHeight="1" x14ac:dyDescent="0.25">
      <c r="A20" s="16"/>
      <c r="D20" s="8" t="str" cm="1">
        <f t="array" ref="D20">Common_InputFunctions.Utility_DisplayArrayInTable(SourceData_PastureBeef.SourceData_PastureBeef_Liveweight_Data(), Table_SourceData_PastureBeef_Liveweight[[#Headers],[State]], 0)</f>
        <v>ACT/NSW</v>
      </c>
      <c r="E20" s="10" t="str" cm="1">
        <f t="array" ref="E20">Common_InputFunctions.Utility_DisplayArrayInTable(SourceData_PastureBeef.SourceData_PastureBeef_Liveweight_Data(), Table_SourceData_PastureBeef_Liveweight[[#Headers],[State]], 0)</f>
        <v>n/a</v>
      </c>
      <c r="F20" s="10" t="str" cm="1">
        <f t="array" ref="F20">Common_InputFunctions.Utility_DisplayArrayInTable(SourceData_PastureBeef.SourceData_PastureBeef_Liveweight_Data(), Table_SourceData_PastureBeef_Liveweight[[#Headers],[State]], 0)</f>
        <v>Summer</v>
      </c>
      <c r="G20" s="10" cm="1">
        <f t="array" ref="G20">Common_InputFunctions.Utility_DisplayArrayInTable(SourceData_PastureBeef.SourceData_PastureBeef_Liveweight_Data(), Table_SourceData_PastureBeef_Liveweight[[#Headers],[State]], 0)</f>
        <v>170</v>
      </c>
      <c r="H20" s="10" cm="1">
        <f t="array" ref="H20">Common_InputFunctions.Utility_DisplayArrayInTable(SourceData_PastureBeef.SourceData_PastureBeef_Liveweight_Data(), Table_SourceData_PastureBeef_Liveweight[[#Headers],[State]], 0)</f>
        <v>520</v>
      </c>
      <c r="I20" s="10" cm="1">
        <f t="array" ref="I20">Common_InputFunctions.Utility_DisplayArrayInTable(SourceData_PastureBeef.SourceData_PastureBeef_Liveweight_Data(), Table_SourceData_PastureBeef_Liveweight[[#Headers],[State]], 0)</f>
        <v>160</v>
      </c>
      <c r="J20" s="10" cm="1">
        <f t="array" ref="J20">Common_InputFunctions.Utility_DisplayArrayInTable(SourceData_PastureBeef.SourceData_PastureBeef_Liveweight_Data(), Table_SourceData_PastureBeef_Liveweight[[#Headers],[State]], 0)</f>
        <v>360</v>
      </c>
      <c r="K20" s="10" cm="1">
        <f t="array" ref="K20">Common_InputFunctions.Utility_DisplayArrayInTable(SourceData_PastureBeef.SourceData_PastureBeef_Liveweight_Data(), Table_SourceData_PastureBeef_Liveweight[[#Headers],[State]], 0)</f>
        <v>470</v>
      </c>
      <c r="L20" s="10" cm="1">
        <f t="array" ref="L20">Common_InputFunctions.Utility_DisplayArrayInTable(SourceData_PastureBeef.SourceData_PastureBeef_Liveweight_Data(), Table_SourceData_PastureBeef_Liveweight[[#Headers],[State]], 0)</f>
        <v>160</v>
      </c>
      <c r="M20" s="10" cm="1">
        <f t="array" ref="M20">Common_InputFunctions.Utility_DisplayArrayInTable(SourceData_PastureBeef.SourceData_PastureBeef_Liveweight_Data(), Table_SourceData_PastureBeef_Liveweight[[#Headers],[State]], 0)</f>
        <v>420</v>
      </c>
      <c r="S20" s="8" t="s">
        <v>501</v>
      </c>
    </row>
    <row r="21" spans="1:19" ht="20.100000000000001" customHeight="1" x14ac:dyDescent="0.25">
      <c r="D21" s="8" t="str" cm="1">
        <f t="array" ref="D21">Common_InputFunctions.Utility_DisplayArrayInTable(SourceData_PastureBeef.SourceData_PastureBeef_Liveweight_Data(), Table_SourceData_PastureBeef_Liveweight[[#Headers],[State]], 0)</f>
        <v>ACT/NSW</v>
      </c>
      <c r="E21" s="10" t="str" cm="1">
        <f t="array" ref="E21">Common_InputFunctions.Utility_DisplayArrayInTable(SourceData_PastureBeef.SourceData_PastureBeef_Liveweight_Data(), Table_SourceData_PastureBeef_Liveweight[[#Headers],[State]], 0)</f>
        <v>n/a</v>
      </c>
      <c r="F21" s="10" t="str" cm="1">
        <f t="array" ref="F21">Common_InputFunctions.Utility_DisplayArrayInTable(SourceData_PastureBeef.SourceData_PastureBeef_Liveweight_Data(), Table_SourceData_PastureBeef_Liveweight[[#Headers],[State]], 0)</f>
        <v>Autumn</v>
      </c>
      <c r="G21" s="10" cm="1">
        <f t="array" ref="G21">Common_InputFunctions.Utility_DisplayArrayInTable(SourceData_PastureBeef.SourceData_PastureBeef_Liveweight_Data(), Table_SourceData_PastureBeef_Liveweight[[#Headers],[State]], 0)</f>
        <v>240</v>
      </c>
      <c r="H21" s="10" cm="1">
        <f t="array" ref="H21">Common_InputFunctions.Utility_DisplayArrayInTable(SourceData_PastureBeef.SourceData_PastureBeef_Liveweight_Data(), Table_SourceData_PastureBeef_Liveweight[[#Headers],[State]], 0)</f>
        <v>550</v>
      </c>
      <c r="I21" s="10" cm="1">
        <f t="array" ref="I21">Common_InputFunctions.Utility_DisplayArrayInTable(SourceData_PastureBeef.SourceData_PastureBeef_Liveweight_Data(), Table_SourceData_PastureBeef_Liveweight[[#Headers],[State]], 0)</f>
        <v>220</v>
      </c>
      <c r="J21" s="10" cm="1">
        <f t="array" ref="J21">Common_InputFunctions.Utility_DisplayArrayInTable(SourceData_PastureBeef.SourceData_PastureBeef_Liveweight_Data(), Table_SourceData_PastureBeef_Liveweight[[#Headers],[State]], 0)</f>
        <v>390</v>
      </c>
      <c r="K21" s="10" cm="1">
        <f t="array" ref="K21">Common_InputFunctions.Utility_DisplayArrayInTable(SourceData_PastureBeef.SourceData_PastureBeef_Liveweight_Data(), Table_SourceData_PastureBeef_Liveweight[[#Headers],[State]], 0)</f>
        <v>490</v>
      </c>
      <c r="L21" s="10" cm="1">
        <f t="array" ref="L21">Common_InputFunctions.Utility_DisplayArrayInTable(SourceData_PastureBeef.SourceData_PastureBeef_Liveweight_Data(), Table_SourceData_PastureBeef_Liveweight[[#Headers],[State]], 0)</f>
        <v>220</v>
      </c>
      <c r="M21" s="10" cm="1">
        <f t="array" ref="M21">Common_InputFunctions.Utility_DisplayArrayInTable(SourceData_PastureBeef.SourceData_PastureBeef_Liveweight_Data(), Table_SourceData_PastureBeef_Liveweight[[#Headers],[State]], 0)</f>
        <v>450</v>
      </c>
    </row>
    <row r="22" spans="1:19" ht="20.100000000000001" customHeight="1" x14ac:dyDescent="0.25">
      <c r="A22" s="16"/>
      <c r="D22" s="8" t="str" cm="1">
        <f t="array" ref="D22">Common_InputFunctions.Utility_DisplayArrayInTable(SourceData_PastureBeef.SourceData_PastureBeef_Liveweight_Data(), Table_SourceData_PastureBeef_Liveweight[[#Headers],[State]], 0)</f>
        <v>ACT/NSW</v>
      </c>
      <c r="E22" s="10" t="str" cm="1">
        <f t="array" ref="E22">Common_InputFunctions.Utility_DisplayArrayInTable(SourceData_PastureBeef.SourceData_PastureBeef_Liveweight_Data(), Table_SourceData_PastureBeef_Liveweight[[#Headers],[State]], 0)</f>
        <v>n/a</v>
      </c>
      <c r="F22" s="10" t="str" cm="1">
        <f t="array" ref="F22">Common_InputFunctions.Utility_DisplayArrayInTable(SourceData_PastureBeef.SourceData_PastureBeef_Liveweight_Data(), Table_SourceData_PastureBeef_Liveweight[[#Headers],[State]], 0)</f>
        <v>Winter</v>
      </c>
      <c r="G22" s="10" cm="1">
        <f t="array" ref="G22">Common_InputFunctions.Utility_DisplayArrayInTable(SourceData_PastureBeef.SourceData_PastureBeef_Liveweight_Data(), Table_SourceData_PastureBeef_Liveweight[[#Headers],[State]], 0)</f>
        <v>280</v>
      </c>
      <c r="H22" s="10" cm="1">
        <f t="array" ref="H22">Common_InputFunctions.Utility_DisplayArrayInTable(SourceData_PastureBeef.SourceData_PastureBeef_Liveweight_Data(), Table_SourceData_PastureBeef_Liveweight[[#Headers],[State]], 0)</f>
        <v>560</v>
      </c>
      <c r="I22" s="10" cm="1">
        <f t="array" ref="I22">Common_InputFunctions.Utility_DisplayArrayInTable(SourceData_PastureBeef.SourceData_PastureBeef_Liveweight_Data(), Table_SourceData_PastureBeef_Liveweight[[#Headers],[State]], 0)</f>
        <v>260</v>
      </c>
      <c r="J22" s="10" cm="1">
        <f t="array" ref="J22">Common_InputFunctions.Utility_DisplayArrayInTable(SourceData_PastureBeef.SourceData_PastureBeef_Liveweight_Data(), Table_SourceData_PastureBeef_Liveweight[[#Headers],[State]], 0)</f>
        <v>410</v>
      </c>
      <c r="K22" s="10" cm="1">
        <f t="array" ref="K22">Common_InputFunctions.Utility_DisplayArrayInTable(SourceData_PastureBeef.SourceData_PastureBeef_Liveweight_Data(), Table_SourceData_PastureBeef_Liveweight[[#Headers],[State]], 0)</f>
        <v>500</v>
      </c>
      <c r="L22" s="10" cm="1">
        <f t="array" ref="L22">Common_InputFunctions.Utility_DisplayArrayInTable(SourceData_PastureBeef.SourceData_PastureBeef_Liveweight_Data(), Table_SourceData_PastureBeef_Liveweight[[#Headers],[State]], 0)</f>
        <v>260</v>
      </c>
      <c r="M22" s="10" cm="1">
        <f t="array" ref="M22">Common_InputFunctions.Utility_DisplayArrayInTable(SourceData_PastureBeef.SourceData_PastureBeef_Liveweight_Data(), Table_SourceData_PastureBeef_Liveweight[[#Headers],[State]], 0)</f>
        <v>460</v>
      </c>
      <c r="S22" s="10" t="s">
        <v>414</v>
      </c>
    </row>
    <row r="23" spans="1:19" ht="20.100000000000001" customHeight="1" x14ac:dyDescent="0.25">
      <c r="A23" s="16"/>
      <c r="D23" s="8" t="str" cm="1">
        <f t="array" ref="D23">Common_InputFunctions.Utility_DisplayArrayInTable(SourceData_PastureBeef.SourceData_PastureBeef_Liveweight_Data(), Table_SourceData_PastureBeef_Liveweight[[#Headers],[State]], 0)</f>
        <v>South Australia</v>
      </c>
      <c r="E23" s="10" t="str" cm="1">
        <f t="array" ref="E23">Common_InputFunctions.Utility_DisplayArrayInTable(SourceData_PastureBeef.SourceData_PastureBeef_Liveweight_Data(), Table_SourceData_PastureBeef_Liveweight[[#Headers],[State]], 0)</f>
        <v>n/a</v>
      </c>
      <c r="F23" s="10" t="str" cm="1">
        <f t="array" ref="F23">Common_InputFunctions.Utility_DisplayArrayInTable(SourceData_PastureBeef.SourceData_PastureBeef_Liveweight_Data(), Table_SourceData_PastureBeef_Liveweight[[#Headers],[State]], 0)</f>
        <v>Spring</v>
      </c>
      <c r="G23" s="10" cm="1">
        <f t="array" ref="G23">Common_InputFunctions.Utility_DisplayArrayInTable(SourceData_PastureBeef.SourceData_PastureBeef_Liveweight_Data(), Table_SourceData_PastureBeef_Liveweight[[#Headers],[State]], 0)</f>
        <v>250</v>
      </c>
      <c r="H23" s="10" cm="1">
        <f t="array" ref="H23">Common_InputFunctions.Utility_DisplayArrayInTable(SourceData_PastureBeef.SourceData_PastureBeef_Liveweight_Data(), Table_SourceData_PastureBeef_Liveweight[[#Headers],[State]], 0)</f>
        <v>800</v>
      </c>
      <c r="I23" s="10" cm="1">
        <f t="array" ref="I23">Common_InputFunctions.Utility_DisplayArrayInTable(SourceData_PastureBeef.SourceData_PastureBeef_Liveweight_Data(), Table_SourceData_PastureBeef_Liveweight[[#Headers],[State]], 0)</f>
        <v>220</v>
      </c>
      <c r="J23" s="10" cm="1">
        <f t="array" ref="J23">Common_InputFunctions.Utility_DisplayArrayInTable(SourceData_PastureBeef.SourceData_PastureBeef_Liveweight_Data(), Table_SourceData_PastureBeef_Liveweight[[#Headers],[State]], 0)</f>
        <v>400</v>
      </c>
      <c r="K23" s="10" cm="1">
        <f t="array" ref="K23">Common_InputFunctions.Utility_DisplayArrayInTable(SourceData_PastureBeef.SourceData_PastureBeef_Liveweight_Data(), Table_SourceData_PastureBeef_Liveweight[[#Headers],[State]], 0)</f>
        <v>500</v>
      </c>
      <c r="L23" s="10" cm="1">
        <f t="array" ref="L23">Common_InputFunctions.Utility_DisplayArrayInTable(SourceData_PastureBeef.SourceData_PastureBeef_Liveweight_Data(), Table_SourceData_PastureBeef_Liveweight[[#Headers],[State]], 0)</f>
        <v>230</v>
      </c>
      <c r="M23" s="10" cm="1">
        <f t="array" ref="M23">Common_InputFunctions.Utility_DisplayArrayInTable(SourceData_PastureBeef.SourceData_PastureBeef_Liveweight_Data(), Table_SourceData_PastureBeef_Liveweight[[#Headers],[State]], 0)</f>
        <v>420</v>
      </c>
      <c r="S23" s="10" t="s">
        <v>464</v>
      </c>
    </row>
    <row r="24" spans="1:19" ht="20.100000000000001" customHeight="1" x14ac:dyDescent="0.25">
      <c r="A24" s="16"/>
      <c r="D24" s="8" t="str" cm="1">
        <f t="array" ref="D24">Common_InputFunctions.Utility_DisplayArrayInTable(SourceData_PastureBeef.SourceData_PastureBeef_Liveweight_Data(), Table_SourceData_PastureBeef_Liveweight[[#Headers],[State]], 0)</f>
        <v>South Australia</v>
      </c>
      <c r="E24" s="10" t="str" cm="1">
        <f t="array" ref="E24">Common_InputFunctions.Utility_DisplayArrayInTable(SourceData_PastureBeef.SourceData_PastureBeef_Liveweight_Data(), Table_SourceData_PastureBeef_Liveweight[[#Headers],[State]], 0)</f>
        <v>n/a</v>
      </c>
      <c r="F24" s="10" t="str" cm="1">
        <f t="array" ref="F24">Common_InputFunctions.Utility_DisplayArrayInTable(SourceData_PastureBeef.SourceData_PastureBeef_Liveweight_Data(), Table_SourceData_PastureBeef_Liveweight[[#Headers],[State]], 0)</f>
        <v>Summer</v>
      </c>
      <c r="G24" s="10" cm="1">
        <f t="array" ref="G24">Common_InputFunctions.Utility_DisplayArrayInTable(SourceData_PastureBeef.SourceData_PastureBeef_Liveweight_Data(), Table_SourceData_PastureBeef_Liveweight[[#Headers],[State]], 0)</f>
        <v>320</v>
      </c>
      <c r="H24" s="10" cm="1">
        <f t="array" ref="H24">Common_InputFunctions.Utility_DisplayArrayInTable(SourceData_PastureBeef.SourceData_PastureBeef_Liveweight_Data(), Table_SourceData_PastureBeef_Liveweight[[#Headers],[State]], 0)</f>
        <v>800</v>
      </c>
      <c r="I24" s="10" cm="1">
        <f t="array" ref="I24">Common_InputFunctions.Utility_DisplayArrayInTable(SourceData_PastureBeef.SourceData_PastureBeef_Liveweight_Data(), Table_SourceData_PastureBeef_Liveweight[[#Headers],[State]], 0)</f>
        <v>280</v>
      </c>
      <c r="J24" s="10" cm="1">
        <f t="array" ref="J24">Common_InputFunctions.Utility_DisplayArrayInTable(SourceData_PastureBeef.SourceData_PastureBeef_Liveweight_Data(), Table_SourceData_PastureBeef_Liveweight[[#Headers],[State]], 0)</f>
        <v>420</v>
      </c>
      <c r="K24" s="10" cm="1">
        <f t="array" ref="K24">Common_InputFunctions.Utility_DisplayArrayInTable(SourceData_PastureBeef.SourceData_PastureBeef_Liveweight_Data(), Table_SourceData_PastureBeef_Liveweight[[#Headers],[State]], 0)</f>
        <v>500</v>
      </c>
      <c r="L24" s="10" cm="1">
        <f t="array" ref="L24">Common_InputFunctions.Utility_DisplayArrayInTable(SourceData_PastureBeef.SourceData_PastureBeef_Liveweight_Data(), Table_SourceData_PastureBeef_Liveweight[[#Headers],[State]], 0)</f>
        <v>290</v>
      </c>
      <c r="M24" s="10" cm="1">
        <f t="array" ref="M24">Common_InputFunctions.Utility_DisplayArrayInTable(SourceData_PastureBeef.SourceData_PastureBeef_Liveweight_Data(), Table_SourceData_PastureBeef_Liveweight[[#Headers],[State]], 0)</f>
        <v>420</v>
      </c>
    </row>
    <row r="25" spans="1:19" ht="20.100000000000001" customHeight="1" x14ac:dyDescent="0.25">
      <c r="D25" s="8" t="str" cm="1">
        <f t="array" ref="D25">Common_InputFunctions.Utility_DisplayArrayInTable(SourceData_PastureBeef.SourceData_PastureBeef_Liveweight_Data(), Table_SourceData_PastureBeef_Liveweight[[#Headers],[State]], 0)</f>
        <v>South Australia</v>
      </c>
      <c r="E25" s="10" t="str" cm="1">
        <f t="array" ref="E25">Common_InputFunctions.Utility_DisplayArrayInTable(SourceData_PastureBeef.SourceData_PastureBeef_Liveweight_Data(), Table_SourceData_PastureBeef_Liveweight[[#Headers],[State]], 0)</f>
        <v>n/a</v>
      </c>
      <c r="F25" s="10" t="str" cm="1">
        <f t="array" ref="F25">Common_InputFunctions.Utility_DisplayArrayInTable(SourceData_PastureBeef.SourceData_PastureBeef_Liveweight_Data(), Table_SourceData_PastureBeef_Liveweight[[#Headers],[State]], 0)</f>
        <v>Autumn</v>
      </c>
      <c r="G25" s="10" cm="1">
        <f t="array" ref="G25">Common_InputFunctions.Utility_DisplayArrayInTable(SourceData_PastureBeef.SourceData_PastureBeef_Liveweight_Data(), Table_SourceData_PastureBeef_Liveweight[[#Headers],[State]], 0)</f>
        <v>80</v>
      </c>
      <c r="H25" s="10" cm="1">
        <f t="array" ref="H25">Common_InputFunctions.Utility_DisplayArrayInTable(SourceData_PastureBeef.SourceData_PastureBeef_Liveweight_Data(), Table_SourceData_PastureBeef_Liveweight[[#Headers],[State]], 0)</f>
        <v>700</v>
      </c>
      <c r="I25" s="10" cm="1">
        <f t="array" ref="I25">Common_InputFunctions.Utility_DisplayArrayInTable(SourceData_PastureBeef.SourceData_PastureBeef_Liveweight_Data(), Table_SourceData_PastureBeef_Liveweight[[#Headers],[State]], 0)</f>
        <v>70</v>
      </c>
      <c r="J25" s="10" cm="1">
        <f t="array" ref="J25">Common_InputFunctions.Utility_DisplayArrayInTable(SourceData_PastureBeef.SourceData_PastureBeef_Liveweight_Data(), Table_SourceData_PastureBeef_Liveweight[[#Headers],[State]], 0)</f>
        <v>300</v>
      </c>
      <c r="K25" s="10" cm="1">
        <f t="array" ref="K25">Common_InputFunctions.Utility_DisplayArrayInTable(SourceData_PastureBeef.SourceData_PastureBeef_Liveweight_Data(), Table_SourceData_PastureBeef_Liveweight[[#Headers],[State]], 0)</f>
        <v>450</v>
      </c>
      <c r="L25" s="10" cm="1">
        <f t="array" ref="L25">Common_InputFunctions.Utility_DisplayArrayInTable(SourceData_PastureBeef.SourceData_PastureBeef_Liveweight_Data(), Table_SourceData_PastureBeef_Liveweight[[#Headers],[State]], 0)</f>
        <v>75</v>
      </c>
      <c r="M25" s="10" cm="1">
        <f t="array" ref="M25">Common_InputFunctions.Utility_DisplayArrayInTable(SourceData_PastureBeef.SourceData_PastureBeef_Liveweight_Data(), Table_SourceData_PastureBeef_Liveweight[[#Headers],[State]], 0)</f>
        <v>400</v>
      </c>
      <c r="S25" s="8" t="s">
        <v>502</v>
      </c>
    </row>
    <row r="26" spans="1:19" ht="20.100000000000001" customHeight="1" x14ac:dyDescent="0.25">
      <c r="D26" s="8" t="str" cm="1">
        <f t="array" ref="D26">Common_InputFunctions.Utility_DisplayArrayInTable(SourceData_PastureBeef.SourceData_PastureBeef_Liveweight_Data(), Table_SourceData_PastureBeef_Liveweight[[#Headers],[State]], 0)</f>
        <v>South Australia</v>
      </c>
      <c r="E26" s="10" t="str" cm="1">
        <f t="array" ref="E26">Common_InputFunctions.Utility_DisplayArrayInTable(SourceData_PastureBeef.SourceData_PastureBeef_Liveweight_Data(), Table_SourceData_PastureBeef_Liveweight[[#Headers],[State]], 0)</f>
        <v>n/a</v>
      </c>
      <c r="F26" s="10" t="str" cm="1">
        <f t="array" ref="F26">Common_InputFunctions.Utility_DisplayArrayInTable(SourceData_PastureBeef.SourceData_PastureBeef_Liveweight_Data(), Table_SourceData_PastureBeef_Liveweight[[#Headers],[State]], 0)</f>
        <v>Winter</v>
      </c>
      <c r="G26" s="10" cm="1">
        <f t="array" ref="G26">Common_InputFunctions.Utility_DisplayArrayInTable(SourceData_PastureBeef.SourceData_PastureBeef_Liveweight_Data(), Table_SourceData_PastureBeef_Liveweight[[#Headers],[State]], 0)</f>
        <v>160</v>
      </c>
      <c r="H26" s="10" cm="1">
        <f t="array" ref="H26">Common_InputFunctions.Utility_DisplayArrayInTable(SourceData_PastureBeef.SourceData_PastureBeef_Liveweight_Data(), Table_SourceData_PastureBeef_Liveweight[[#Headers],[State]], 0)</f>
        <v>700</v>
      </c>
      <c r="I26" s="10" cm="1">
        <f t="array" ref="I26">Common_InputFunctions.Utility_DisplayArrayInTable(SourceData_PastureBeef.SourceData_PastureBeef_Liveweight_Data(), Table_SourceData_PastureBeef_Liveweight[[#Headers],[State]], 0)</f>
        <v>140</v>
      </c>
      <c r="J26" s="10" cm="1">
        <f t="array" ref="J26">Common_InputFunctions.Utility_DisplayArrayInTable(SourceData_PastureBeef.SourceData_PastureBeef_Liveweight_Data(), Table_SourceData_PastureBeef_Liveweight[[#Headers],[State]], 0)</f>
        <v>350</v>
      </c>
      <c r="K26" s="10" cm="1">
        <f t="array" ref="K26">Common_InputFunctions.Utility_DisplayArrayInTable(SourceData_PastureBeef.SourceData_PastureBeef_Liveweight_Data(), Table_SourceData_PastureBeef_Liveweight[[#Headers],[State]], 0)</f>
        <v>450</v>
      </c>
      <c r="L26" s="10" cm="1">
        <f t="array" ref="L26">Common_InputFunctions.Utility_DisplayArrayInTable(SourceData_PastureBeef.SourceData_PastureBeef_Liveweight_Data(), Table_SourceData_PastureBeef_Liveweight[[#Headers],[State]], 0)</f>
        <v>150</v>
      </c>
      <c r="M26" s="10" cm="1">
        <f t="array" ref="M26">Common_InputFunctions.Utility_DisplayArrayInTable(SourceData_PastureBeef.SourceData_PastureBeef_Liveweight_Data(), Table_SourceData_PastureBeef_Liveweight[[#Headers],[State]], 0)</f>
        <v>400</v>
      </c>
    </row>
    <row r="27" spans="1:19" ht="20.100000000000001" customHeight="1" x14ac:dyDescent="0.25">
      <c r="D27" s="8" t="str" cm="1">
        <f t="array" ref="D27">Common_InputFunctions.Utility_DisplayArrayInTable(SourceData_PastureBeef.SourceData_PastureBeef_Liveweight_Data(), Table_SourceData_PastureBeef_Liveweight[[#Headers],[State]], 0)</f>
        <v>Tasmania</v>
      </c>
      <c r="E27" s="10" t="str" cm="1">
        <f t="array" ref="E27">Common_InputFunctions.Utility_DisplayArrayInTable(SourceData_PastureBeef.SourceData_PastureBeef_Liveweight_Data(), Table_SourceData_PastureBeef_Liveweight[[#Headers],[State]], 0)</f>
        <v>n/a</v>
      </c>
      <c r="F27" s="10" t="str" cm="1">
        <f t="array" ref="F27">Common_InputFunctions.Utility_DisplayArrayInTable(SourceData_PastureBeef.SourceData_PastureBeef_Liveweight_Data(), Table_SourceData_PastureBeef_Liveweight[[#Headers],[State]], 0)</f>
        <v>Spring</v>
      </c>
      <c r="G27" s="10" cm="1">
        <f t="array" ref="G27">Common_InputFunctions.Utility_DisplayArrayInTable(SourceData_PastureBeef.SourceData_PastureBeef_Liveweight_Data(), Table_SourceData_PastureBeef_Liveweight[[#Headers],[State]], 0)</f>
        <v>105</v>
      </c>
      <c r="H27" s="10" cm="1">
        <f t="array" ref="H27">Common_InputFunctions.Utility_DisplayArrayInTable(SourceData_PastureBeef.SourceData_PastureBeef_Liveweight_Data(), Table_SourceData_PastureBeef_Liveweight[[#Headers],[State]], 0)</f>
        <v>700</v>
      </c>
      <c r="I27" s="10" cm="1">
        <f t="array" ref="I27">Common_InputFunctions.Utility_DisplayArrayInTable(SourceData_PastureBeef.SourceData_PastureBeef_Liveweight_Data(), Table_SourceData_PastureBeef_Liveweight[[#Headers],[State]], 0)</f>
        <v>85</v>
      </c>
      <c r="J27" s="10" cm="1">
        <f t="array" ref="J27">Common_InputFunctions.Utility_DisplayArrayInTable(SourceData_PastureBeef.SourceData_PastureBeef_Liveweight_Data(), Table_SourceData_PastureBeef_Liveweight[[#Headers],[State]], 0)</f>
        <v>300</v>
      </c>
      <c r="K27" s="10" cm="1">
        <f t="array" ref="K27">Common_InputFunctions.Utility_DisplayArrayInTable(SourceData_PastureBeef.SourceData_PastureBeef_Liveweight_Data(), Table_SourceData_PastureBeef_Liveweight[[#Headers],[State]], 0)</f>
        <v>490</v>
      </c>
      <c r="L27" s="10" cm="1">
        <f t="array" ref="L27">Common_InputFunctions.Utility_DisplayArrayInTable(SourceData_PastureBeef.SourceData_PastureBeef_Liveweight_Data(), Table_SourceData_PastureBeef_Liveweight[[#Headers],[State]], 0)</f>
        <v>90</v>
      </c>
      <c r="M27" s="10" cm="1">
        <f t="array" ref="M27">Common_InputFunctions.Utility_DisplayArrayInTable(SourceData_PastureBeef.SourceData_PastureBeef_Liveweight_Data(), Table_SourceData_PastureBeef_Liveweight[[#Headers],[State]], 0)</f>
        <v>480</v>
      </c>
      <c r="S27" s="10" t="s">
        <v>414</v>
      </c>
    </row>
    <row r="28" spans="1:19" ht="20.100000000000001" customHeight="1" x14ac:dyDescent="0.25">
      <c r="D28" s="8" t="str" cm="1">
        <f t="array" ref="D28">Common_InputFunctions.Utility_DisplayArrayInTable(SourceData_PastureBeef.SourceData_PastureBeef_Liveweight_Data(), Table_SourceData_PastureBeef_Liveweight[[#Headers],[State]], 0)</f>
        <v>Tasmania</v>
      </c>
      <c r="E28" s="10" t="str" cm="1">
        <f t="array" ref="E28">Common_InputFunctions.Utility_DisplayArrayInTable(SourceData_PastureBeef.SourceData_PastureBeef_Liveweight_Data(), Table_SourceData_PastureBeef_Liveweight[[#Headers],[State]], 0)</f>
        <v>n/a</v>
      </c>
      <c r="F28" s="10" t="str" cm="1">
        <f t="array" ref="F28">Common_InputFunctions.Utility_DisplayArrayInTable(SourceData_PastureBeef.SourceData_PastureBeef_Liveweight_Data(), Table_SourceData_PastureBeef_Liveweight[[#Headers],[State]], 0)</f>
        <v>Summer</v>
      </c>
      <c r="G28" s="10" cm="1">
        <f t="array" ref="G28">Common_InputFunctions.Utility_DisplayArrayInTable(SourceData_PastureBeef.SourceData_PastureBeef_Liveweight_Data(), Table_SourceData_PastureBeef_Liveweight[[#Headers],[State]], 0)</f>
        <v>480</v>
      </c>
      <c r="H28" s="10" cm="1">
        <f t="array" ref="H28">Common_InputFunctions.Utility_DisplayArrayInTable(SourceData_PastureBeef.SourceData_PastureBeef_Liveweight_Data(), Table_SourceData_PastureBeef_Liveweight[[#Headers],[State]], 0)</f>
        <v>750</v>
      </c>
      <c r="I28" s="10" cm="1">
        <f t="array" ref="I28">Common_InputFunctions.Utility_DisplayArrayInTable(SourceData_PastureBeef.SourceData_PastureBeef_Liveweight_Data(), Table_SourceData_PastureBeef_Liveweight[[#Headers],[State]], 0)</f>
        <v>150</v>
      </c>
      <c r="J28" s="10" cm="1">
        <f t="array" ref="J28">Common_InputFunctions.Utility_DisplayArrayInTable(SourceData_PastureBeef.SourceData_PastureBeef_Liveweight_Data(), Table_SourceData_PastureBeef_Liveweight[[#Headers],[State]], 0)</f>
        <v>350</v>
      </c>
      <c r="K28" s="10" cm="1">
        <f t="array" ref="K28">Common_InputFunctions.Utility_DisplayArrayInTable(SourceData_PastureBeef.SourceData_PastureBeef_Liveweight_Data(), Table_SourceData_PastureBeef_Liveweight[[#Headers],[State]], 0)</f>
        <v>530</v>
      </c>
      <c r="L28" s="10" cm="1">
        <f t="array" ref="L28">Common_InputFunctions.Utility_DisplayArrayInTable(SourceData_PastureBeef.SourceData_PastureBeef_Liveweight_Data(), Table_SourceData_PastureBeef_Liveweight[[#Headers],[State]], 0)</f>
        <v>160</v>
      </c>
      <c r="M28" s="10" cm="1">
        <f t="array" ref="M28">Common_InputFunctions.Utility_DisplayArrayInTable(SourceData_PastureBeef.SourceData_PastureBeef_Liveweight_Data(), Table_SourceData_PastureBeef_Liveweight[[#Headers],[State]], 0)</f>
        <v>460</v>
      </c>
      <c r="S28" s="10" t="s">
        <v>464</v>
      </c>
    </row>
    <row r="29" spans="1:19" ht="20.100000000000001" customHeight="1" x14ac:dyDescent="0.25">
      <c r="D29" s="8" t="str" cm="1">
        <f t="array" ref="D29">Common_InputFunctions.Utility_DisplayArrayInTable(SourceData_PastureBeef.SourceData_PastureBeef_Liveweight_Data(), Table_SourceData_PastureBeef_Liveweight[[#Headers],[State]], 0)</f>
        <v>Tasmania</v>
      </c>
      <c r="E29" s="10" t="str" cm="1">
        <f t="array" ref="E29">Common_InputFunctions.Utility_DisplayArrayInTable(SourceData_PastureBeef.SourceData_PastureBeef_Liveweight_Data(), Table_SourceData_PastureBeef_Liveweight[[#Headers],[State]], 0)</f>
        <v>n/a</v>
      </c>
      <c r="F29" s="10" t="str" cm="1">
        <f t="array" ref="F29">Common_InputFunctions.Utility_DisplayArrayInTable(SourceData_PastureBeef.SourceData_PastureBeef_Liveweight_Data(), Table_SourceData_PastureBeef_Liveweight[[#Headers],[State]], 0)</f>
        <v>Autumn</v>
      </c>
      <c r="G29" s="10" cm="1">
        <f t="array" ref="G29">Common_InputFunctions.Utility_DisplayArrayInTable(SourceData_PastureBeef.SourceData_PastureBeef_Liveweight_Data(), Table_SourceData_PastureBeef_Liveweight[[#Headers],[State]], 0)</f>
        <v>250</v>
      </c>
      <c r="H29" s="10" cm="1">
        <f t="array" ref="H29">Common_InputFunctions.Utility_DisplayArrayInTable(SourceData_PastureBeef.SourceData_PastureBeef_Liveweight_Data(), Table_SourceData_PastureBeef_Liveweight[[#Headers],[State]], 0)</f>
        <v>725</v>
      </c>
      <c r="I29" s="10" cm="1">
        <f t="array" ref="I29">Common_InputFunctions.Utility_DisplayArrayInTable(SourceData_PastureBeef.SourceData_PastureBeef_Liveweight_Data(), Table_SourceData_PastureBeef_Liveweight[[#Headers],[State]], 0)</f>
        <v>200</v>
      </c>
      <c r="J29" s="10" cm="1">
        <f t="array" ref="J29">Common_InputFunctions.Utility_DisplayArrayInTable(SourceData_PastureBeef.SourceData_PastureBeef_Liveweight_Data(), Table_SourceData_PastureBeef_Liveweight[[#Headers],[State]], 0)</f>
        <v>360</v>
      </c>
      <c r="K29" s="10" cm="1">
        <f t="array" ref="K29">Common_InputFunctions.Utility_DisplayArrayInTable(SourceData_PastureBeef.SourceData_PastureBeef_Liveweight_Data(), Table_SourceData_PastureBeef_Liveweight[[#Headers],[State]], 0)</f>
        <v>500</v>
      </c>
      <c r="L29" s="10" cm="1">
        <f t="array" ref="L29">Common_InputFunctions.Utility_DisplayArrayInTable(SourceData_PastureBeef.SourceData_PastureBeef_Liveweight_Data(), Table_SourceData_PastureBeef_Liveweight[[#Headers],[State]], 0)</f>
        <v>215</v>
      </c>
      <c r="M29" s="10" cm="1">
        <f t="array" ref="M29">Common_InputFunctions.Utility_DisplayArrayInTable(SourceData_PastureBeef.SourceData_PastureBeef_Liveweight_Data(), Table_SourceData_PastureBeef_Liveweight[[#Headers],[State]], 0)</f>
        <v>490</v>
      </c>
    </row>
    <row r="30" spans="1:19" ht="20.100000000000001" customHeight="1" x14ac:dyDescent="0.25">
      <c r="D30" s="8" t="str" cm="1">
        <f t="array" ref="D30">Common_InputFunctions.Utility_DisplayArrayInTable(SourceData_PastureBeef.SourceData_PastureBeef_Liveweight_Data(), Table_SourceData_PastureBeef_Liveweight[[#Headers],[State]], 0)</f>
        <v>Tasmania</v>
      </c>
      <c r="E30" s="10" t="str" cm="1">
        <f t="array" ref="E30">Common_InputFunctions.Utility_DisplayArrayInTable(SourceData_PastureBeef.SourceData_PastureBeef_Liveweight_Data(), Table_SourceData_PastureBeef_Liveweight[[#Headers],[State]], 0)</f>
        <v>n/a</v>
      </c>
      <c r="F30" s="10" t="str" cm="1">
        <f t="array" ref="F30">Common_InputFunctions.Utility_DisplayArrayInTable(SourceData_PastureBeef.SourceData_PastureBeef_Liveweight_Data(), Table_SourceData_PastureBeef_Liveweight[[#Headers],[State]], 0)</f>
        <v>Winter</v>
      </c>
      <c r="G30" s="10" cm="1">
        <f t="array" ref="G30">Common_InputFunctions.Utility_DisplayArrayInTable(SourceData_PastureBeef.SourceData_PastureBeef_Liveweight_Data(), Table_SourceData_PastureBeef_Liveweight[[#Headers],[State]], 0)</f>
        <v>260</v>
      </c>
      <c r="H30" s="10" cm="1">
        <f t="array" ref="H30">Common_InputFunctions.Utility_DisplayArrayInTable(SourceData_PastureBeef.SourceData_PastureBeef_Liveweight_Data(), Table_SourceData_PastureBeef_Liveweight[[#Headers],[State]], 0)</f>
        <v>700</v>
      </c>
      <c r="I30" s="10" cm="1">
        <f t="array" ref="I30">Common_InputFunctions.Utility_DisplayArrayInTable(SourceData_PastureBeef.SourceData_PastureBeef_Liveweight_Data(), Table_SourceData_PastureBeef_Liveweight[[#Headers],[State]], 0)</f>
        <v>210</v>
      </c>
      <c r="J30" s="10" cm="1">
        <f t="array" ref="J30">Common_InputFunctions.Utility_DisplayArrayInTable(SourceData_PastureBeef.SourceData_PastureBeef_Liveweight_Data(), Table_SourceData_PastureBeef_Liveweight[[#Headers],[State]], 0)</f>
        <v>380</v>
      </c>
      <c r="K30" s="10" cm="1">
        <f t="array" ref="K30">Common_InputFunctions.Utility_DisplayArrayInTable(SourceData_PastureBeef.SourceData_PastureBeef_Liveweight_Data(), Table_SourceData_PastureBeef_Liveweight[[#Headers],[State]], 0)</f>
        <v>460</v>
      </c>
      <c r="L30" s="10" cm="1">
        <f t="array" ref="L30">Common_InputFunctions.Utility_DisplayArrayInTable(SourceData_PastureBeef.SourceData_PastureBeef_Liveweight_Data(), Table_SourceData_PastureBeef_Liveweight[[#Headers],[State]], 0)</f>
        <v>230</v>
      </c>
      <c r="M30" s="10" cm="1">
        <f t="array" ref="M30">Common_InputFunctions.Utility_DisplayArrayInTable(SourceData_PastureBeef.SourceData_PastureBeef_Liveweight_Data(), Table_SourceData_PastureBeef_Liveweight[[#Headers],[State]], 0)</f>
        <v>470</v>
      </c>
    </row>
    <row r="31" spans="1:19" ht="20.100000000000001" customHeight="1" x14ac:dyDescent="0.25">
      <c r="D31" s="8" t="str" cm="1">
        <f t="array" ref="D31">Common_InputFunctions.Utility_DisplayArrayInTable(SourceData_PastureBeef.SourceData_PastureBeef_Liveweight_Data(), Table_SourceData_PastureBeef_Liveweight[[#Headers],[State]], 0)</f>
        <v>Victoria</v>
      </c>
      <c r="E31" s="10" t="str" cm="1">
        <f t="array" ref="E31">Common_InputFunctions.Utility_DisplayArrayInTable(SourceData_PastureBeef.SourceData_PastureBeef_Liveweight_Data(), Table_SourceData_PastureBeef_Liveweight[[#Headers],[State]], 0)</f>
        <v>n/a</v>
      </c>
      <c r="F31" s="10" t="str" cm="1">
        <f t="array" ref="F31">Common_InputFunctions.Utility_DisplayArrayInTable(SourceData_PastureBeef.SourceData_PastureBeef_Liveweight_Data(), Table_SourceData_PastureBeef_Liveweight[[#Headers],[State]], 0)</f>
        <v>Spring</v>
      </c>
      <c r="G31" s="10" cm="1">
        <f t="array" ref="G31">Common_InputFunctions.Utility_DisplayArrayInTable(SourceData_PastureBeef.SourceData_PastureBeef_Liveweight_Data(), Table_SourceData_PastureBeef_Liveweight[[#Headers],[State]], 0)</f>
        <v>250</v>
      </c>
      <c r="H31" s="10" cm="1">
        <f t="array" ref="H31">Common_InputFunctions.Utility_DisplayArrayInTable(SourceData_PastureBeef.SourceData_PastureBeef_Liveweight_Data(), Table_SourceData_PastureBeef_Liveweight[[#Headers],[State]], 0)</f>
        <v>820</v>
      </c>
      <c r="I31" s="10" cm="1">
        <f t="array" ref="I31">Common_InputFunctions.Utility_DisplayArrayInTable(SourceData_PastureBeef.SourceData_PastureBeef_Liveweight_Data(), Table_SourceData_PastureBeef_Liveweight[[#Headers],[State]], 0)</f>
        <v>240</v>
      </c>
      <c r="J31" s="10" cm="1">
        <f t="array" ref="J31">Common_InputFunctions.Utility_DisplayArrayInTable(SourceData_PastureBeef.SourceData_PastureBeef_Liveweight_Data(), Table_SourceData_PastureBeef_Liveweight[[#Headers],[State]], 0)</f>
        <v>410</v>
      </c>
      <c r="K31" s="10" cm="1">
        <f t="array" ref="K31">Common_InputFunctions.Utility_DisplayArrayInTable(SourceData_PastureBeef.SourceData_PastureBeef_Liveweight_Data(), Table_SourceData_PastureBeef_Liveweight[[#Headers],[State]], 0)</f>
        <v>560</v>
      </c>
      <c r="L31" s="10" cm="1">
        <f t="array" ref="L31">Common_InputFunctions.Utility_DisplayArrayInTable(SourceData_PastureBeef.SourceData_PastureBeef_Liveweight_Data(), Table_SourceData_PastureBeef_Liveweight[[#Headers],[State]], 0)</f>
        <v>240</v>
      </c>
      <c r="M31" s="10" cm="1">
        <f t="array" ref="M31">Common_InputFunctions.Utility_DisplayArrayInTable(SourceData_PastureBeef.SourceData_PastureBeef_Liveweight_Data(), Table_SourceData_PastureBeef_Liveweight[[#Headers],[State]], 0)</f>
        <v>510</v>
      </c>
    </row>
    <row r="32" spans="1:19" ht="20.100000000000001" customHeight="1" x14ac:dyDescent="0.25">
      <c r="D32" s="8" t="str" cm="1">
        <f t="array" ref="D32">Common_InputFunctions.Utility_DisplayArrayInTable(SourceData_PastureBeef.SourceData_PastureBeef_Liveweight_Data(), Table_SourceData_PastureBeef_Liveweight[[#Headers],[State]], 0)</f>
        <v>Victoria</v>
      </c>
      <c r="E32" s="10" t="str" cm="1">
        <f t="array" ref="E32">Common_InputFunctions.Utility_DisplayArrayInTable(SourceData_PastureBeef.SourceData_PastureBeef_Liveweight_Data(), Table_SourceData_PastureBeef_Liveweight[[#Headers],[State]], 0)</f>
        <v>n/a</v>
      </c>
      <c r="F32" s="10" t="str" cm="1">
        <f t="array" ref="F32">Common_InputFunctions.Utility_DisplayArrayInTable(SourceData_PastureBeef.SourceData_PastureBeef_Liveweight_Data(), Table_SourceData_PastureBeef_Liveweight[[#Headers],[State]], 0)</f>
        <v>Summer</v>
      </c>
      <c r="G32" s="10" cm="1">
        <f t="array" ref="G32">Common_InputFunctions.Utility_DisplayArrayInTable(SourceData_PastureBeef.SourceData_PastureBeef_Liveweight_Data(), Table_SourceData_PastureBeef_Liveweight[[#Headers],[State]], 0)</f>
        <v>280</v>
      </c>
      <c r="H32" s="10" cm="1">
        <f t="array" ref="H32">Common_InputFunctions.Utility_DisplayArrayInTable(SourceData_PastureBeef.SourceData_PastureBeef_Liveweight_Data(), Table_SourceData_PastureBeef_Liveweight[[#Headers],[State]], 0)</f>
        <v>850</v>
      </c>
      <c r="I32" s="10" cm="1">
        <f t="array" ref="I32">Common_InputFunctions.Utility_DisplayArrayInTable(SourceData_PastureBeef.SourceData_PastureBeef_Liveweight_Data(), Table_SourceData_PastureBeef_Liveweight[[#Headers],[State]], 0)</f>
        <v>260</v>
      </c>
      <c r="J32" s="10" cm="1">
        <f t="array" ref="J32">Common_InputFunctions.Utility_DisplayArrayInTable(SourceData_PastureBeef.SourceData_PastureBeef_Liveweight_Data(), Table_SourceData_PastureBeef_Liveweight[[#Headers],[State]], 0)</f>
        <v>440</v>
      </c>
      <c r="K32" s="10" cm="1">
        <f t="array" ref="K32">Common_InputFunctions.Utility_DisplayArrayInTable(SourceData_PastureBeef.SourceData_PastureBeef_Liveweight_Data(), Table_SourceData_PastureBeef_Liveweight[[#Headers],[State]], 0)</f>
        <v>550</v>
      </c>
      <c r="L32" s="10" cm="1">
        <f t="array" ref="L32">Common_InputFunctions.Utility_DisplayArrayInTable(SourceData_PastureBeef.SourceData_PastureBeef_Liveweight_Data(), Table_SourceData_PastureBeef_Liveweight[[#Headers],[State]], 0)</f>
        <v>270</v>
      </c>
      <c r="M32" s="10" cm="1">
        <f t="array" ref="M32">Common_InputFunctions.Utility_DisplayArrayInTable(SourceData_PastureBeef.SourceData_PastureBeef_Liveweight_Data(), Table_SourceData_PastureBeef_Liveweight[[#Headers],[State]], 0)</f>
        <v>520</v>
      </c>
    </row>
    <row r="33" spans="4:13" ht="20.100000000000001" customHeight="1" x14ac:dyDescent="0.25">
      <c r="D33" s="8" t="str" cm="1">
        <f t="array" ref="D33">Common_InputFunctions.Utility_DisplayArrayInTable(SourceData_PastureBeef.SourceData_PastureBeef_Liveweight_Data(), Table_SourceData_PastureBeef_Liveweight[[#Headers],[State]], 0)</f>
        <v>Victoria</v>
      </c>
      <c r="E33" s="10" t="str" cm="1">
        <f t="array" ref="E33">Common_InputFunctions.Utility_DisplayArrayInTable(SourceData_PastureBeef.SourceData_PastureBeef_Liveweight_Data(), Table_SourceData_PastureBeef_Liveweight[[#Headers],[State]], 0)</f>
        <v>n/a</v>
      </c>
      <c r="F33" s="10" t="str" cm="1">
        <f t="array" ref="F33">Common_InputFunctions.Utility_DisplayArrayInTable(SourceData_PastureBeef.SourceData_PastureBeef_Liveweight_Data(), Table_SourceData_PastureBeef_Liveweight[[#Headers],[State]], 0)</f>
        <v>Autumn</v>
      </c>
      <c r="G33" s="10" cm="1">
        <f t="array" ref="G33">Common_InputFunctions.Utility_DisplayArrayInTable(SourceData_PastureBeef.SourceData_PastureBeef_Liveweight_Data(), Table_SourceData_PastureBeef_Liveweight[[#Headers],[State]], 0)</f>
        <v>100</v>
      </c>
      <c r="H33" s="10" cm="1">
        <f t="array" ref="H33">Common_InputFunctions.Utility_DisplayArrayInTable(SourceData_PastureBeef.SourceData_PastureBeef_Liveweight_Data(), Table_SourceData_PastureBeef_Liveweight[[#Headers],[State]], 0)</f>
        <v>700</v>
      </c>
      <c r="I33" s="10" cm="1">
        <f t="array" ref="I33">Common_InputFunctions.Utility_DisplayArrayInTable(SourceData_PastureBeef.SourceData_PastureBeef_Liveweight_Data(), Table_SourceData_PastureBeef_Liveweight[[#Headers],[State]], 0)</f>
        <v>95</v>
      </c>
      <c r="J33" s="10" cm="1">
        <f t="array" ref="J33">Common_InputFunctions.Utility_DisplayArrayInTable(SourceData_PastureBeef.SourceData_PastureBeef_Liveweight_Data(), Table_SourceData_PastureBeef_Liveweight[[#Headers],[State]], 0)</f>
        <v>300</v>
      </c>
      <c r="K33" s="10" cm="1">
        <f t="array" ref="K33">Common_InputFunctions.Utility_DisplayArrayInTable(SourceData_PastureBeef.SourceData_PastureBeef_Liveweight_Data(), Table_SourceData_PastureBeef_Liveweight[[#Headers],[State]], 0)</f>
        <v>450</v>
      </c>
      <c r="L33" s="10" cm="1">
        <f t="array" ref="L33">Common_InputFunctions.Utility_DisplayArrayInTable(SourceData_PastureBeef.SourceData_PastureBeef_Liveweight_Data(), Table_SourceData_PastureBeef_Liveweight[[#Headers],[State]], 0)</f>
        <v>95</v>
      </c>
      <c r="M33" s="10" cm="1">
        <f t="array" ref="M33">Common_InputFunctions.Utility_DisplayArrayInTable(SourceData_PastureBeef.SourceData_PastureBeef_Liveweight_Data(), Table_SourceData_PastureBeef_Liveweight[[#Headers],[State]], 0)</f>
        <v>410</v>
      </c>
    </row>
    <row r="34" spans="4:13" ht="20.100000000000001" customHeight="1" x14ac:dyDescent="0.25">
      <c r="D34" s="8" t="str" cm="1">
        <f t="array" ref="D34">Common_InputFunctions.Utility_DisplayArrayInTable(SourceData_PastureBeef.SourceData_PastureBeef_Liveweight_Data(), Table_SourceData_PastureBeef_Liveweight[[#Headers],[State]], 0)</f>
        <v>Victoria</v>
      </c>
      <c r="E34" s="10" t="str" cm="1">
        <f t="array" ref="E34">Common_InputFunctions.Utility_DisplayArrayInTable(SourceData_PastureBeef.SourceData_PastureBeef_Liveweight_Data(), Table_SourceData_PastureBeef_Liveweight[[#Headers],[State]], 0)</f>
        <v>n/a</v>
      </c>
      <c r="F34" s="10" t="str" cm="1">
        <f t="array" ref="F34">Common_InputFunctions.Utility_DisplayArrayInTable(SourceData_PastureBeef.SourceData_PastureBeef_Liveweight_Data(), Table_SourceData_PastureBeef_Liveweight[[#Headers],[State]], 0)</f>
        <v>Winter</v>
      </c>
      <c r="G34" s="10" cm="1">
        <f t="array" ref="G34">Common_InputFunctions.Utility_DisplayArrayInTable(SourceData_PastureBeef.SourceData_PastureBeef_Liveweight_Data(), Table_SourceData_PastureBeef_Liveweight[[#Headers],[State]], 0)</f>
        <v>150</v>
      </c>
      <c r="H34" s="10" cm="1">
        <f t="array" ref="H34">Common_InputFunctions.Utility_DisplayArrayInTable(SourceData_PastureBeef.SourceData_PastureBeef_Liveweight_Data(), Table_SourceData_PastureBeef_Liveweight[[#Headers],[State]], 0)</f>
        <v>720</v>
      </c>
      <c r="I34" s="10" cm="1">
        <f t="array" ref="I34">Common_InputFunctions.Utility_DisplayArrayInTable(SourceData_PastureBeef.SourceData_PastureBeef_Liveweight_Data(), Table_SourceData_PastureBeef_Liveweight[[#Headers],[State]], 0)</f>
        <v>140</v>
      </c>
      <c r="J34" s="10" cm="1">
        <f t="array" ref="J34">Common_InputFunctions.Utility_DisplayArrayInTable(SourceData_PastureBeef.SourceData_PastureBeef_Liveweight_Data(), Table_SourceData_PastureBeef_Liveweight[[#Headers],[State]], 0)</f>
        <v>320</v>
      </c>
      <c r="K34" s="10" cm="1">
        <f t="array" ref="K34">Common_InputFunctions.Utility_DisplayArrayInTable(SourceData_PastureBeef.SourceData_PastureBeef_Liveweight_Data(), Table_SourceData_PastureBeef_Liveweight[[#Headers],[State]], 0)</f>
        <v>470</v>
      </c>
      <c r="L34" s="10" cm="1">
        <f t="array" ref="L34">Common_InputFunctions.Utility_DisplayArrayInTable(SourceData_PastureBeef.SourceData_PastureBeef_Liveweight_Data(), Table_SourceData_PastureBeef_Liveweight[[#Headers],[State]], 0)</f>
        <v>140</v>
      </c>
      <c r="M34" s="10" cm="1">
        <f t="array" ref="M34">Common_InputFunctions.Utility_DisplayArrayInTable(SourceData_PastureBeef.SourceData_PastureBeef_Liveweight_Data(), Table_SourceData_PastureBeef_Liveweight[[#Headers],[State]], 0)</f>
        <v>440</v>
      </c>
    </row>
    <row r="35" spans="4:13" ht="20.100000000000001" customHeight="1" x14ac:dyDescent="0.25">
      <c r="D35" s="8" t="str" cm="1">
        <f t="array" ref="D35">Common_InputFunctions.Utility_DisplayArrayInTable(SourceData_PastureBeef.SourceData_PastureBeef_Liveweight_Data(), Table_SourceData_PastureBeef_Liveweight[[#Headers],[State]], 0)</f>
        <v>Western Australia</v>
      </c>
      <c r="E35" s="10" t="str" cm="1">
        <f t="array" ref="E35">Common_InputFunctions.Utility_DisplayArrayInTable(SourceData_PastureBeef.SourceData_PastureBeef_Liveweight_Data(), Table_SourceData_PastureBeef_Liveweight[[#Headers],[State]], 0)</f>
        <v>South West</v>
      </c>
      <c r="F35" s="10" t="str" cm="1">
        <f t="array" ref="F35">Common_InputFunctions.Utility_DisplayArrayInTable(SourceData_PastureBeef.SourceData_PastureBeef_Liveweight_Data(), Table_SourceData_PastureBeef_Liveweight[[#Headers],[State]], 0)</f>
        <v>Spring</v>
      </c>
      <c r="G35" s="10" cm="1">
        <f t="array" ref="G35">Common_InputFunctions.Utility_DisplayArrayInTable(SourceData_PastureBeef.SourceData_PastureBeef_Liveweight_Data(), Table_SourceData_PastureBeef_Liveweight[[#Headers],[State]], 0)</f>
        <v>340</v>
      </c>
      <c r="H35" s="10" cm="1">
        <f t="array" ref="H35">Common_InputFunctions.Utility_DisplayArrayInTable(SourceData_PastureBeef.SourceData_PastureBeef_Liveweight_Data(), Table_SourceData_PastureBeef_Liveweight[[#Headers],[State]], 0)</f>
        <v>800</v>
      </c>
      <c r="I35" s="10" cm="1">
        <f t="array" ref="I35">Common_InputFunctions.Utility_DisplayArrayInTable(SourceData_PastureBeef.SourceData_PastureBeef_Liveweight_Data(), Table_SourceData_PastureBeef_Liveweight[[#Headers],[State]], 0)</f>
        <v>260</v>
      </c>
      <c r="J35" s="10" cm="1">
        <f t="array" ref="J35">Common_InputFunctions.Utility_DisplayArrayInTable(SourceData_PastureBeef.SourceData_PastureBeef_Liveweight_Data(), Table_SourceData_PastureBeef_Liveweight[[#Headers],[State]], 0)</f>
        <v>420</v>
      </c>
      <c r="K35" s="10" cm="1">
        <f t="array" ref="K35">Common_InputFunctions.Utility_DisplayArrayInTable(SourceData_PastureBeef.SourceData_PastureBeef_Liveweight_Data(), Table_SourceData_PastureBeef_Liveweight[[#Headers],[State]], 0)</f>
        <v>550</v>
      </c>
      <c r="L35" s="10" cm="1">
        <f t="array" ref="L35">Common_InputFunctions.Utility_DisplayArrayInTable(SourceData_PastureBeef.SourceData_PastureBeef_Liveweight_Data(), Table_SourceData_PastureBeef_Liveweight[[#Headers],[State]], 0)</f>
        <v>300</v>
      </c>
      <c r="M35" s="10" cm="1">
        <f t="array" ref="M35">Common_InputFunctions.Utility_DisplayArrayInTable(SourceData_PastureBeef.SourceData_PastureBeef_Liveweight_Data(), Table_SourceData_PastureBeef_Liveweight[[#Headers],[State]], 0)</f>
        <v>480</v>
      </c>
    </row>
    <row r="36" spans="4:13" ht="20.100000000000001" customHeight="1" x14ac:dyDescent="0.25">
      <c r="D36" s="8" t="str" cm="1">
        <f t="array" ref="D36">Common_InputFunctions.Utility_DisplayArrayInTable(SourceData_PastureBeef.SourceData_PastureBeef_Liveweight_Data(), Table_SourceData_PastureBeef_Liveweight[[#Headers],[State]], 0)</f>
        <v>Western Australia</v>
      </c>
      <c r="E36" s="10" t="str" cm="1">
        <f t="array" ref="E36">Common_InputFunctions.Utility_DisplayArrayInTable(SourceData_PastureBeef.SourceData_PastureBeef_Liveweight_Data(), Table_SourceData_PastureBeef_Liveweight[[#Headers],[State]], 0)</f>
        <v>South West</v>
      </c>
      <c r="F36" s="10" t="str" cm="1">
        <f t="array" ref="F36">Common_InputFunctions.Utility_DisplayArrayInTable(SourceData_PastureBeef.SourceData_PastureBeef_Liveweight_Data(), Table_SourceData_PastureBeef_Liveweight[[#Headers],[State]], 0)</f>
        <v>Summer</v>
      </c>
      <c r="G36" s="10" cm="1">
        <f t="array" ref="G36">Common_InputFunctions.Utility_DisplayArrayInTable(SourceData_PastureBeef.SourceData_PastureBeef_Liveweight_Data(), Table_SourceData_PastureBeef_Liveweight[[#Headers],[State]], 0)</f>
        <v>380</v>
      </c>
      <c r="H36" s="10" cm="1">
        <f t="array" ref="H36">Common_InputFunctions.Utility_DisplayArrayInTable(SourceData_PastureBeef.SourceData_PastureBeef_Liveweight_Data(), Table_SourceData_PastureBeef_Liveweight[[#Headers],[State]], 0)</f>
        <v>780</v>
      </c>
      <c r="I36" s="10" cm="1">
        <f t="array" ref="I36">Common_InputFunctions.Utility_DisplayArrayInTable(SourceData_PastureBeef.SourceData_PastureBeef_Liveweight_Data(), Table_SourceData_PastureBeef_Liveweight[[#Headers],[State]], 0)</f>
        <v>300</v>
      </c>
      <c r="J36" s="10" cm="1">
        <f t="array" ref="J36">Common_InputFunctions.Utility_DisplayArrayInTable(SourceData_PastureBeef.SourceData_PastureBeef_Liveweight_Data(), Table_SourceData_PastureBeef_Liveweight[[#Headers],[State]], 0)</f>
        <v>450</v>
      </c>
      <c r="K36" s="10" cm="1">
        <f t="array" ref="K36">Common_InputFunctions.Utility_DisplayArrayInTable(SourceData_PastureBeef.SourceData_PastureBeef_Liveweight_Data(), Table_SourceData_PastureBeef_Liveweight[[#Headers],[State]], 0)</f>
        <v>530</v>
      </c>
      <c r="L36" s="10" cm="1">
        <f t="array" ref="L36">Common_InputFunctions.Utility_DisplayArrayInTable(SourceData_PastureBeef.SourceData_PastureBeef_Liveweight_Data(), Table_SourceData_PastureBeef_Liveweight[[#Headers],[State]], 0)</f>
        <v>340</v>
      </c>
      <c r="M36" s="10" cm="1">
        <f t="array" ref="M36">Common_InputFunctions.Utility_DisplayArrayInTable(SourceData_PastureBeef.SourceData_PastureBeef_Liveweight_Data(), Table_SourceData_PastureBeef_Liveweight[[#Headers],[State]], 0)</f>
        <v>470</v>
      </c>
    </row>
    <row r="37" spans="4:13" ht="20.100000000000001" customHeight="1" x14ac:dyDescent="0.25">
      <c r="D37" s="8" t="str" cm="1">
        <f t="array" ref="D37">Common_InputFunctions.Utility_DisplayArrayInTable(SourceData_PastureBeef.SourceData_PastureBeef_Liveweight_Data(), Table_SourceData_PastureBeef_Liveweight[[#Headers],[State]], 0)</f>
        <v>Western Australia</v>
      </c>
      <c r="E37" s="10" t="str" cm="1">
        <f t="array" ref="E37">Common_InputFunctions.Utility_DisplayArrayInTable(SourceData_PastureBeef.SourceData_PastureBeef_Liveweight_Data(), Table_SourceData_PastureBeef_Liveweight[[#Headers],[State]], 0)</f>
        <v>South West</v>
      </c>
      <c r="F37" s="10" t="str" cm="1">
        <f t="array" ref="F37">Common_InputFunctions.Utility_DisplayArrayInTable(SourceData_PastureBeef.SourceData_PastureBeef_Liveweight_Data(), Table_SourceData_PastureBeef_Liveweight[[#Headers],[State]], 0)</f>
        <v>Autumn</v>
      </c>
      <c r="G37" s="10" cm="1">
        <f t="array" ref="G37">Common_InputFunctions.Utility_DisplayArrayInTable(SourceData_PastureBeef.SourceData_PastureBeef_Liveweight_Data(), Table_SourceData_PastureBeef_Liveweight[[#Headers],[State]], 0)</f>
        <v>100</v>
      </c>
      <c r="H37" s="10" cm="1">
        <f t="array" ref="H37">Common_InputFunctions.Utility_DisplayArrayInTable(SourceData_PastureBeef.SourceData_PastureBeef_Liveweight_Data(), Table_SourceData_PastureBeef_Liveweight[[#Headers],[State]], 0)</f>
        <v>680</v>
      </c>
      <c r="I37" s="10" cm="1">
        <f t="array" ref="I37">Common_InputFunctions.Utility_DisplayArrayInTable(SourceData_PastureBeef.SourceData_PastureBeef_Liveweight_Data(), Table_SourceData_PastureBeef_Liveweight[[#Headers],[State]], 0)</f>
        <v>80</v>
      </c>
      <c r="J37" s="10" cm="1">
        <f t="array" ref="J37">Common_InputFunctions.Utility_DisplayArrayInTable(SourceData_PastureBeef.SourceData_PastureBeef_Liveweight_Data(), Table_SourceData_PastureBeef_Liveweight[[#Headers],[State]], 0)</f>
        <v>320</v>
      </c>
      <c r="K37" s="10" cm="1">
        <f t="array" ref="K37">Common_InputFunctions.Utility_DisplayArrayInTable(SourceData_PastureBeef.SourceData_PastureBeef_Liveweight_Data(), Table_SourceData_PastureBeef_Liveweight[[#Headers],[State]], 0)</f>
        <v>480</v>
      </c>
      <c r="L37" s="10" cm="1">
        <f t="array" ref="L37">Common_InputFunctions.Utility_DisplayArrayInTable(SourceData_PastureBeef.SourceData_PastureBeef_Liveweight_Data(), Table_SourceData_PastureBeef_Liveweight[[#Headers],[State]], 0)</f>
        <v>100</v>
      </c>
      <c r="M37" s="10" cm="1">
        <f t="array" ref="M37">Common_InputFunctions.Utility_DisplayArrayInTable(SourceData_PastureBeef.SourceData_PastureBeef_Liveweight_Data(), Table_SourceData_PastureBeef_Liveweight[[#Headers],[State]], 0)</f>
        <v>340</v>
      </c>
    </row>
    <row r="38" spans="4:13" ht="20.100000000000001" customHeight="1" x14ac:dyDescent="0.25">
      <c r="D38" s="8" t="str" cm="1">
        <f t="array" ref="D38">Common_InputFunctions.Utility_DisplayArrayInTable(SourceData_PastureBeef.SourceData_PastureBeef_Liveweight_Data(), Table_SourceData_PastureBeef_Liveweight[[#Headers],[State]], 0)</f>
        <v>Western Australia</v>
      </c>
      <c r="E38" s="10" t="str" cm="1">
        <f t="array" ref="E38">Common_InputFunctions.Utility_DisplayArrayInTable(SourceData_PastureBeef.SourceData_PastureBeef_Liveweight_Data(), Table_SourceData_PastureBeef_Liveweight[[#Headers],[State]], 0)</f>
        <v>South West</v>
      </c>
      <c r="F38" s="10" t="str" cm="1">
        <f t="array" ref="F38">Common_InputFunctions.Utility_DisplayArrayInTable(SourceData_PastureBeef.SourceData_PastureBeef_Liveweight_Data(), Table_SourceData_PastureBeef_Liveweight[[#Headers],[State]], 0)</f>
        <v>Winter</v>
      </c>
      <c r="G38" s="10" cm="1">
        <f t="array" ref="G38">Common_InputFunctions.Utility_DisplayArrayInTable(SourceData_PastureBeef.SourceData_PastureBeef_Liveweight_Data(), Table_SourceData_PastureBeef_Liveweight[[#Headers],[State]], 0)</f>
        <v>190</v>
      </c>
      <c r="H38" s="10" cm="1">
        <f t="array" ref="H38">Common_InputFunctions.Utility_DisplayArrayInTable(SourceData_PastureBeef.SourceData_PastureBeef_Liveweight_Data(), Table_SourceData_PastureBeef_Liveweight[[#Headers],[State]], 0)</f>
        <v>700</v>
      </c>
      <c r="I38" s="10" cm="1">
        <f t="array" ref="I38">Common_InputFunctions.Utility_DisplayArrayInTable(SourceData_PastureBeef.SourceData_PastureBeef_Liveweight_Data(), Table_SourceData_PastureBeef_Liveweight[[#Headers],[State]], 0)</f>
        <v>150</v>
      </c>
      <c r="J38" s="10" cm="1">
        <f t="array" ref="J38">Common_InputFunctions.Utility_DisplayArrayInTable(SourceData_PastureBeef.SourceData_PastureBeef_Liveweight_Data(), Table_SourceData_PastureBeef_Liveweight[[#Headers],[State]], 0)</f>
        <v>330</v>
      </c>
      <c r="K38" s="10" cm="1">
        <f t="array" ref="K38">Common_InputFunctions.Utility_DisplayArrayInTable(SourceData_PastureBeef.SourceData_PastureBeef_Liveweight_Data(), Table_SourceData_PastureBeef_Liveweight[[#Headers],[State]], 0)</f>
        <v>490</v>
      </c>
      <c r="L38" s="10" cm="1">
        <f t="array" ref="L38">Common_InputFunctions.Utility_DisplayArrayInTable(SourceData_PastureBeef.SourceData_PastureBeef_Liveweight_Data(), Table_SourceData_PastureBeef_Liveweight[[#Headers],[State]], 0)</f>
        <v>170</v>
      </c>
      <c r="M38" s="10" cm="1">
        <f t="array" ref="M38">Common_InputFunctions.Utility_DisplayArrayInTable(SourceData_PastureBeef.SourceData_PastureBeef_Liveweight_Data(), Table_SourceData_PastureBeef_Liveweight[[#Headers],[State]], 0)</f>
        <v>360</v>
      </c>
    </row>
    <row r="39" spans="4:13" ht="20.100000000000001" customHeight="1" x14ac:dyDescent="0.25">
      <c r="D39" s="8" t="str" cm="1">
        <f t="array" ref="D39">Common_InputFunctions.Utility_DisplayArrayInTable(SourceData_PastureBeef.SourceData_PastureBeef_Liveweight_Data(), Table_SourceData_PastureBeef_Liveweight[[#Headers],[State]], 0)</f>
        <v>Western Australia</v>
      </c>
      <c r="E39" s="10" t="str" cm="1">
        <f t="array" ref="E39">Common_InputFunctions.Utility_DisplayArrayInTable(SourceData_PastureBeef.SourceData_PastureBeef_Liveweight_Data(), Table_SourceData_PastureBeef_Liveweight[[#Headers],[State]], 0)</f>
        <v>Pilbara</v>
      </c>
      <c r="F39" s="10" t="str" cm="1">
        <f t="array" ref="F39">Common_InputFunctions.Utility_DisplayArrayInTable(SourceData_PastureBeef.SourceData_PastureBeef_Liveweight_Data(), Table_SourceData_PastureBeef_Liveweight[[#Headers],[State]], 0)</f>
        <v>Spring</v>
      </c>
      <c r="G39" s="10" cm="1">
        <f t="array" ref="G39">Common_InputFunctions.Utility_DisplayArrayInTable(SourceData_PastureBeef.SourceData_PastureBeef_Liveweight_Data(), Table_SourceData_PastureBeef_Liveweight[[#Headers],[State]], 0)</f>
        <v>80</v>
      </c>
      <c r="H39" s="10" cm="1">
        <f t="array" ref="H39">Common_InputFunctions.Utility_DisplayArrayInTable(SourceData_PastureBeef.SourceData_PastureBeef_Liveweight_Data(), Table_SourceData_PastureBeef_Liveweight[[#Headers],[State]], 0)</f>
        <v>450</v>
      </c>
      <c r="I39" s="10" cm="1">
        <f t="array" ref="I39">Common_InputFunctions.Utility_DisplayArrayInTable(SourceData_PastureBeef.SourceData_PastureBeef_Liveweight_Data(), Table_SourceData_PastureBeef_Liveweight[[#Headers],[State]], 0)</f>
        <v>70</v>
      </c>
      <c r="J39" s="10" cm="1">
        <f t="array" ref="J39">Common_InputFunctions.Utility_DisplayArrayInTable(SourceData_PastureBeef.SourceData_PastureBeef_Liveweight_Data(), Table_SourceData_PastureBeef_Liveweight[[#Headers],[State]], 0)</f>
        <v>260</v>
      </c>
      <c r="K39" s="10" cm="1">
        <f t="array" ref="K39">Common_InputFunctions.Utility_DisplayArrayInTable(SourceData_PastureBeef.SourceData_PastureBeef_Liveweight_Data(), Table_SourceData_PastureBeef_Liveweight[[#Headers],[State]], 0)</f>
        <v>340</v>
      </c>
      <c r="L39" s="10" cm="1">
        <f t="array" ref="L39">Common_InputFunctions.Utility_DisplayArrayInTable(SourceData_PastureBeef.SourceData_PastureBeef_Liveweight_Data(), Table_SourceData_PastureBeef_Liveweight[[#Headers],[State]], 0)</f>
        <v>80</v>
      </c>
      <c r="M39" s="10" cm="1">
        <f t="array" ref="M39">Common_InputFunctions.Utility_DisplayArrayInTable(SourceData_PastureBeef.SourceData_PastureBeef_Liveweight_Data(), Table_SourceData_PastureBeef_Liveweight[[#Headers],[State]], 0)</f>
        <v>370</v>
      </c>
    </row>
    <row r="40" spans="4:13" ht="20.100000000000001" customHeight="1" x14ac:dyDescent="0.25">
      <c r="D40" s="8" t="str" cm="1">
        <f t="array" ref="D40">Common_InputFunctions.Utility_DisplayArrayInTable(SourceData_PastureBeef.SourceData_PastureBeef_Liveweight_Data(), Table_SourceData_PastureBeef_Liveweight[[#Headers],[State]], 0)</f>
        <v>Western Australia</v>
      </c>
      <c r="E40" s="10" t="str" cm="1">
        <f t="array" ref="E40">Common_InputFunctions.Utility_DisplayArrayInTable(SourceData_PastureBeef.SourceData_PastureBeef_Liveweight_Data(), Table_SourceData_PastureBeef_Liveweight[[#Headers],[State]], 0)</f>
        <v>Pilbara</v>
      </c>
      <c r="F40" s="10" t="str" cm="1">
        <f t="array" ref="F40">Common_InputFunctions.Utility_DisplayArrayInTable(SourceData_PastureBeef.SourceData_PastureBeef_Liveweight_Data(), Table_SourceData_PastureBeef_Liveweight[[#Headers],[State]], 0)</f>
        <v>Summer</v>
      </c>
      <c r="G40" s="10" cm="1">
        <f t="array" ref="G40">Common_InputFunctions.Utility_DisplayArrayInTable(SourceData_PastureBeef.SourceData_PastureBeef_Liveweight_Data(), Table_SourceData_PastureBeef_Liveweight[[#Headers],[State]], 0)</f>
        <v>150</v>
      </c>
      <c r="H40" s="10" cm="1">
        <f t="array" ref="H40">Common_InputFunctions.Utility_DisplayArrayInTable(SourceData_PastureBeef.SourceData_PastureBeef_Liveweight_Data(), Table_SourceData_PastureBeef_Liveweight[[#Headers],[State]], 0)</f>
        <v>500</v>
      </c>
      <c r="I40" s="10" cm="1">
        <f t="array" ref="I40">Common_InputFunctions.Utility_DisplayArrayInTable(SourceData_PastureBeef.SourceData_PastureBeef_Liveweight_Data(), Table_SourceData_PastureBeef_Liveweight[[#Headers],[State]], 0)</f>
        <v>140</v>
      </c>
      <c r="J40" s="10" cm="1">
        <f t="array" ref="J40">Common_InputFunctions.Utility_DisplayArrayInTable(SourceData_PastureBeef.SourceData_PastureBeef_Liveweight_Data(), Table_SourceData_PastureBeef_Liveweight[[#Headers],[State]], 0)</f>
        <v>310</v>
      </c>
      <c r="K40" s="10" cm="1">
        <f t="array" ref="K40">Common_InputFunctions.Utility_DisplayArrayInTable(SourceData_PastureBeef.SourceData_PastureBeef_Liveweight_Data(), Table_SourceData_PastureBeef_Liveweight[[#Headers],[State]], 0)</f>
        <v>360</v>
      </c>
      <c r="L40" s="10" cm="1">
        <f t="array" ref="L40">Common_InputFunctions.Utility_DisplayArrayInTable(SourceData_PastureBeef.SourceData_PastureBeef_Liveweight_Data(), Table_SourceData_PastureBeef_Liveweight[[#Headers],[State]], 0)</f>
        <v>150</v>
      </c>
      <c r="M40" s="10" cm="1">
        <f t="array" ref="M40">Common_InputFunctions.Utility_DisplayArrayInTable(SourceData_PastureBeef.SourceData_PastureBeef_Liveweight_Data(), Table_SourceData_PastureBeef_Liveweight[[#Headers],[State]], 0)</f>
        <v>400</v>
      </c>
    </row>
    <row r="41" spans="4:13" ht="20.100000000000001" customHeight="1" x14ac:dyDescent="0.25">
      <c r="D41" s="8" t="str" cm="1">
        <f t="array" ref="D41">Common_InputFunctions.Utility_DisplayArrayInTable(SourceData_PastureBeef.SourceData_PastureBeef_Liveweight_Data(), Table_SourceData_PastureBeef_Liveweight[[#Headers],[State]], 0)</f>
        <v>Western Australia</v>
      </c>
      <c r="E41" s="10" t="str" cm="1">
        <f t="array" ref="E41">Common_InputFunctions.Utility_DisplayArrayInTable(SourceData_PastureBeef.SourceData_PastureBeef_Liveweight_Data(), Table_SourceData_PastureBeef_Liveweight[[#Headers],[State]], 0)</f>
        <v>Pilbara</v>
      </c>
      <c r="F41" s="10" t="str" cm="1">
        <f t="array" ref="F41">Common_InputFunctions.Utility_DisplayArrayInTable(SourceData_PastureBeef.SourceData_PastureBeef_Liveweight_Data(), Table_SourceData_PastureBeef_Liveweight[[#Headers],[State]], 0)</f>
        <v>Autumn</v>
      </c>
      <c r="G41" s="10" cm="1">
        <f t="array" ref="G41">Common_InputFunctions.Utility_DisplayArrayInTable(SourceData_PastureBeef.SourceData_PastureBeef_Liveweight_Data(), Table_SourceData_PastureBeef_Liveweight[[#Headers],[State]], 0)</f>
        <v>230</v>
      </c>
      <c r="H41" s="10" cm="1">
        <f t="array" ref="H41">Common_InputFunctions.Utility_DisplayArrayInTable(SourceData_PastureBeef.SourceData_PastureBeef_Liveweight_Data(), Table_SourceData_PastureBeef_Liveweight[[#Headers],[State]], 0)</f>
        <v>550</v>
      </c>
      <c r="I41" s="10" cm="1">
        <f t="array" ref="I41">Common_InputFunctions.Utility_DisplayArrayInTable(SourceData_PastureBeef.SourceData_PastureBeef_Liveweight_Data(), Table_SourceData_PastureBeef_Liveweight[[#Headers],[State]], 0)</f>
        <v>220</v>
      </c>
      <c r="J41" s="10" cm="1">
        <f t="array" ref="J41">Common_InputFunctions.Utility_DisplayArrayInTable(SourceData_PastureBeef.SourceData_PastureBeef_Liveweight_Data(), Table_SourceData_PastureBeef_Liveweight[[#Headers],[State]], 0)</f>
        <v>330</v>
      </c>
      <c r="K41" s="10" cm="1">
        <f t="array" ref="K41">Common_InputFunctions.Utility_DisplayArrayInTable(SourceData_PastureBeef.SourceData_PastureBeef_Liveweight_Data(), Table_SourceData_PastureBeef_Liveweight[[#Headers],[State]], 0)</f>
        <v>380</v>
      </c>
      <c r="L41" s="10" cm="1">
        <f t="array" ref="L41">Common_InputFunctions.Utility_DisplayArrayInTable(SourceData_PastureBeef.SourceData_PastureBeef_Liveweight_Data(), Table_SourceData_PastureBeef_Liveweight[[#Headers],[State]], 0)</f>
        <v>230</v>
      </c>
      <c r="M41" s="10" cm="1">
        <f t="array" ref="M41">Common_InputFunctions.Utility_DisplayArrayInTable(SourceData_PastureBeef.SourceData_PastureBeef_Liveweight_Data(), Table_SourceData_PastureBeef_Liveweight[[#Headers],[State]], 0)</f>
        <v>420</v>
      </c>
    </row>
    <row r="42" spans="4:13" ht="20.100000000000001" customHeight="1" x14ac:dyDescent="0.25">
      <c r="D42" s="8" t="str" cm="1">
        <f t="array" ref="D42">Common_InputFunctions.Utility_DisplayArrayInTable(SourceData_PastureBeef.SourceData_PastureBeef_Liveweight_Data(), Table_SourceData_PastureBeef_Liveweight[[#Headers],[State]], 0)</f>
        <v>Western Australia</v>
      </c>
      <c r="E42" s="10" t="str" cm="1">
        <f t="array" ref="E42">Common_InputFunctions.Utility_DisplayArrayInTable(SourceData_PastureBeef.SourceData_PastureBeef_Liveweight_Data(), Table_SourceData_PastureBeef_Liveweight[[#Headers],[State]], 0)</f>
        <v>Pilbara</v>
      </c>
      <c r="F42" s="10" t="str" cm="1">
        <f t="array" ref="F42">Common_InputFunctions.Utility_DisplayArrayInTable(SourceData_PastureBeef.SourceData_PastureBeef_Liveweight_Data(), Table_SourceData_PastureBeef_Liveweight[[#Headers],[State]], 0)</f>
        <v>Winter</v>
      </c>
      <c r="G42" s="10" cm="1">
        <f t="array" ref="G42">Common_InputFunctions.Utility_DisplayArrayInTable(SourceData_PastureBeef.SourceData_PastureBeef_Liveweight_Data(), Table_SourceData_PastureBeef_Liveweight[[#Headers],[State]], 0)</f>
        <v>250</v>
      </c>
      <c r="H42" s="10" cm="1">
        <f t="array" ref="H42">Common_InputFunctions.Utility_DisplayArrayInTable(SourceData_PastureBeef.SourceData_PastureBeef_Liveweight_Data(), Table_SourceData_PastureBeef_Liveweight[[#Headers],[State]], 0)</f>
        <v>500</v>
      </c>
      <c r="I42" s="10" cm="1">
        <f t="array" ref="I42">Common_InputFunctions.Utility_DisplayArrayInTable(SourceData_PastureBeef.SourceData_PastureBeef_Liveweight_Data(), Table_SourceData_PastureBeef_Liveweight[[#Headers],[State]], 0)</f>
        <v>240</v>
      </c>
      <c r="J42" s="10" cm="1">
        <f t="array" ref="J42">Common_InputFunctions.Utility_DisplayArrayInTable(SourceData_PastureBeef.SourceData_PastureBeef_Liveweight_Data(), Table_SourceData_PastureBeef_Liveweight[[#Headers],[State]], 0)</f>
        <v>340</v>
      </c>
      <c r="K42" s="10" cm="1">
        <f t="array" ref="K42">Common_InputFunctions.Utility_DisplayArrayInTable(SourceData_PastureBeef.SourceData_PastureBeef_Liveweight_Data(), Table_SourceData_PastureBeef_Liveweight[[#Headers],[State]], 0)</f>
        <v>360</v>
      </c>
      <c r="L42" s="10" cm="1">
        <f t="array" ref="L42">Common_InputFunctions.Utility_DisplayArrayInTable(SourceData_PastureBeef.SourceData_PastureBeef_Liveweight_Data(), Table_SourceData_PastureBeef_Liveweight[[#Headers],[State]], 0)</f>
        <v>250</v>
      </c>
      <c r="M42" s="10" cm="1">
        <f t="array" ref="M42">Common_InputFunctions.Utility_DisplayArrayInTable(SourceData_PastureBeef.SourceData_PastureBeef_Liveweight_Data(), Table_SourceData_PastureBeef_Liveweight[[#Headers],[State]], 0)</f>
        <v>390</v>
      </c>
    </row>
    <row r="43" spans="4:13" ht="20.100000000000001" customHeight="1" x14ac:dyDescent="0.25">
      <c r="D43" s="8" t="str" cm="1">
        <f t="array" ref="D43">Common_InputFunctions.Utility_DisplayArrayInTable(SourceData_PastureBeef.SourceData_PastureBeef_Liveweight_Data(), Table_SourceData_PastureBeef_Liveweight[[#Headers],[State]], 0)</f>
        <v>Western Australia</v>
      </c>
      <c r="E43" s="10" t="str" cm="1">
        <f t="array" ref="E43">Common_InputFunctions.Utility_DisplayArrayInTable(SourceData_PastureBeef.SourceData_PastureBeef_Liveweight_Data(), Table_SourceData_PastureBeef_Liveweight[[#Headers],[State]], 0)</f>
        <v>Kimberley</v>
      </c>
      <c r="F43" s="10" t="str" cm="1">
        <f t="array" ref="F43">Common_InputFunctions.Utility_DisplayArrayInTable(SourceData_PastureBeef.SourceData_PastureBeef_Liveweight_Data(), Table_SourceData_PastureBeef_Liveweight[[#Headers],[State]], 0)</f>
        <v>Spring</v>
      </c>
      <c r="G43" s="10" cm="1">
        <f t="array" ref="G43">Common_InputFunctions.Utility_DisplayArrayInTable(SourceData_PastureBeef.SourceData_PastureBeef_Liveweight_Data(), Table_SourceData_PastureBeef_Liveweight[[#Headers],[State]], 0)</f>
        <v>220</v>
      </c>
      <c r="H43" s="10" cm="1">
        <f t="array" ref="H43">Common_InputFunctions.Utility_DisplayArrayInTable(SourceData_PastureBeef.SourceData_PastureBeef_Liveweight_Data(), Table_SourceData_PastureBeef_Liveweight[[#Headers],[State]], 0)</f>
        <v>500</v>
      </c>
      <c r="I43" s="10" cm="1">
        <f t="array" ref="I43">Common_InputFunctions.Utility_DisplayArrayInTable(SourceData_PastureBeef.SourceData_PastureBeef_Liveweight_Data(), Table_SourceData_PastureBeef_Liveweight[[#Headers],[State]], 0)</f>
        <v>180</v>
      </c>
      <c r="J43" s="10" cm="1">
        <f t="array" ref="J43">Common_InputFunctions.Utility_DisplayArrayInTable(SourceData_PastureBeef.SourceData_PastureBeef_Liveweight_Data(), Table_SourceData_PastureBeef_Liveweight[[#Headers],[State]], 0)</f>
        <v>300</v>
      </c>
      <c r="K43" s="10" cm="1">
        <f t="array" ref="K43">Common_InputFunctions.Utility_DisplayArrayInTable(SourceData_PastureBeef.SourceData_PastureBeef_Liveweight_Data(), Table_SourceData_PastureBeef_Liveweight[[#Headers],[State]], 0)</f>
        <v>320</v>
      </c>
      <c r="L43" s="10" cm="1">
        <f t="array" ref="L43">Common_InputFunctions.Utility_DisplayArrayInTable(SourceData_PastureBeef.SourceData_PastureBeef_Liveweight_Data(), Table_SourceData_PastureBeef_Liveweight[[#Headers],[State]], 0)</f>
        <v>210</v>
      </c>
      <c r="M43" s="10" cm="1">
        <f t="array" ref="M43">Common_InputFunctions.Utility_DisplayArrayInTable(SourceData_PastureBeef.SourceData_PastureBeef_Liveweight_Data(), Table_SourceData_PastureBeef_Liveweight[[#Headers],[State]], 0)</f>
        <v>340</v>
      </c>
    </row>
    <row r="44" spans="4:13" ht="20.100000000000001" customHeight="1" x14ac:dyDescent="0.25">
      <c r="D44" s="8" t="str" cm="1">
        <f t="array" ref="D44">Common_InputFunctions.Utility_DisplayArrayInTable(SourceData_PastureBeef.SourceData_PastureBeef_Liveweight_Data(), Table_SourceData_PastureBeef_Liveweight[[#Headers],[State]], 0)</f>
        <v>Western Australia</v>
      </c>
      <c r="E44" s="10" t="str" cm="1">
        <f t="array" ref="E44">Common_InputFunctions.Utility_DisplayArrayInTable(SourceData_PastureBeef.SourceData_PastureBeef_Liveweight_Data(), Table_SourceData_PastureBeef_Liveweight[[#Headers],[State]], 0)</f>
        <v>Kimberley</v>
      </c>
      <c r="F44" s="10" t="str" cm="1">
        <f t="array" ref="F44">Common_InputFunctions.Utility_DisplayArrayInTable(SourceData_PastureBeef.SourceData_PastureBeef_Liveweight_Data(), Table_SourceData_PastureBeef_Liveweight[[#Headers],[State]], 0)</f>
        <v>Summer</v>
      </c>
      <c r="G44" s="10" cm="1">
        <f t="array" ref="G44">Common_InputFunctions.Utility_DisplayArrayInTable(SourceData_PastureBeef.SourceData_PastureBeef_Liveweight_Data(), Table_SourceData_PastureBeef_Liveweight[[#Headers],[State]], 0)</f>
        <v>110</v>
      </c>
      <c r="H44" s="10" cm="1">
        <f t="array" ref="H44">Common_InputFunctions.Utility_DisplayArrayInTable(SourceData_PastureBeef.SourceData_PastureBeef_Liveweight_Data(), Table_SourceData_PastureBeef_Liveweight[[#Headers],[State]], 0)</f>
        <v>550</v>
      </c>
      <c r="I44" s="10" cm="1">
        <f t="array" ref="I44">Common_InputFunctions.Utility_DisplayArrayInTable(SourceData_PastureBeef.SourceData_PastureBeef_Liveweight_Data(), Table_SourceData_PastureBeef_Liveweight[[#Headers],[State]], 0)</f>
        <v>90</v>
      </c>
      <c r="J44" s="10" cm="1">
        <f t="array" ref="J44">Common_InputFunctions.Utility_DisplayArrayInTable(SourceData_PastureBeef.SourceData_PastureBeef_Liveweight_Data(), Table_SourceData_PastureBeef_Liveweight[[#Headers],[State]], 0)</f>
        <v>220</v>
      </c>
      <c r="K44" s="10" cm="1">
        <f t="array" ref="K44">Common_InputFunctions.Utility_DisplayArrayInTable(SourceData_PastureBeef.SourceData_PastureBeef_Liveweight_Data(), Table_SourceData_PastureBeef_Liveweight[[#Headers],[State]], 0)</f>
        <v>380</v>
      </c>
      <c r="L44" s="10" cm="1">
        <f t="array" ref="L44">Common_InputFunctions.Utility_DisplayArrayInTable(SourceData_PastureBeef.SourceData_PastureBeef_Liveweight_Data(), Table_SourceData_PastureBeef_Liveweight[[#Headers],[State]], 0)</f>
        <v>100</v>
      </c>
      <c r="M44" s="10" cm="1">
        <f t="array" ref="M44">Common_InputFunctions.Utility_DisplayArrayInTable(SourceData_PastureBeef.SourceData_PastureBeef_Liveweight_Data(), Table_SourceData_PastureBeef_Liveweight[[#Headers],[State]], 0)</f>
        <v>390</v>
      </c>
    </row>
    <row r="45" spans="4:13" ht="20.100000000000001" customHeight="1" x14ac:dyDescent="0.25">
      <c r="D45" s="8" t="str" cm="1">
        <f t="array" ref="D45">Common_InputFunctions.Utility_DisplayArrayInTable(SourceData_PastureBeef.SourceData_PastureBeef_Liveweight_Data(), Table_SourceData_PastureBeef_Liveweight[[#Headers],[State]], 0)</f>
        <v>Western Australia</v>
      </c>
      <c r="E45" s="10" t="str" cm="1">
        <f t="array" ref="E45">Common_InputFunctions.Utility_DisplayArrayInTable(SourceData_PastureBeef.SourceData_PastureBeef_Liveweight_Data(), Table_SourceData_PastureBeef_Liveweight[[#Headers],[State]], 0)</f>
        <v>Kimberley</v>
      </c>
      <c r="F45" s="10" t="str" cm="1">
        <f t="array" ref="F45">Common_InputFunctions.Utility_DisplayArrayInTable(SourceData_PastureBeef.SourceData_PastureBeef_Liveweight_Data(), Table_SourceData_PastureBeef_Liveweight[[#Headers],[State]], 0)</f>
        <v>Autumn</v>
      </c>
      <c r="G45" s="10" cm="1">
        <f t="array" ref="G45">Common_InputFunctions.Utility_DisplayArrayInTable(SourceData_PastureBeef.SourceData_PastureBeef_Liveweight_Data(), Table_SourceData_PastureBeef_Liveweight[[#Headers],[State]], 0)</f>
        <v>170</v>
      </c>
      <c r="H45" s="10" cm="1">
        <f t="array" ref="H45">Common_InputFunctions.Utility_DisplayArrayInTable(SourceData_PastureBeef.SourceData_PastureBeef_Liveweight_Data(), Table_SourceData_PastureBeef_Liveweight[[#Headers],[State]], 0)</f>
        <v>600</v>
      </c>
      <c r="I45" s="10" cm="1">
        <f t="array" ref="I45">Common_InputFunctions.Utility_DisplayArrayInTable(SourceData_PastureBeef.SourceData_PastureBeef_Liveweight_Data(), Table_SourceData_PastureBeef_Liveweight[[#Headers],[State]], 0)</f>
        <v>140</v>
      </c>
      <c r="J45" s="10" cm="1">
        <f t="array" ref="J45">Common_InputFunctions.Utility_DisplayArrayInTable(SourceData_PastureBeef.SourceData_PastureBeef_Liveweight_Data(), Table_SourceData_PastureBeef_Liveweight[[#Headers],[State]], 0)</f>
        <v>270</v>
      </c>
      <c r="K45" s="10" cm="1">
        <f t="array" ref="K45">Common_InputFunctions.Utility_DisplayArrayInTable(SourceData_PastureBeef.SourceData_PastureBeef_Liveweight_Data(), Table_SourceData_PastureBeef_Liveweight[[#Headers],[State]], 0)</f>
        <v>390</v>
      </c>
      <c r="L45" s="10" cm="1">
        <f t="array" ref="L45">Common_InputFunctions.Utility_DisplayArrayInTable(SourceData_PastureBeef.SourceData_PastureBeef_Liveweight_Data(), Table_SourceData_PastureBeef_Liveweight[[#Headers],[State]], 0)</f>
        <v>160</v>
      </c>
      <c r="M45" s="10" cm="1">
        <f t="array" ref="M45">Common_InputFunctions.Utility_DisplayArrayInTable(SourceData_PastureBeef.SourceData_PastureBeef_Liveweight_Data(), Table_SourceData_PastureBeef_Liveweight[[#Headers],[State]], 0)</f>
        <v>430</v>
      </c>
    </row>
    <row r="46" spans="4:13" ht="20.100000000000001" customHeight="1" x14ac:dyDescent="0.25">
      <c r="D46" s="8" t="str" cm="1">
        <f t="array" ref="D46">Common_InputFunctions.Utility_DisplayArrayInTable(SourceData_PastureBeef.SourceData_PastureBeef_Liveweight_Data(), Table_SourceData_PastureBeef_Liveweight[[#Headers],[State]], 0)</f>
        <v>Western Australia</v>
      </c>
      <c r="E46" s="10" t="str" cm="1">
        <f t="array" ref="E46">Common_InputFunctions.Utility_DisplayArrayInTable(SourceData_PastureBeef.SourceData_PastureBeef_Liveweight_Data(), Table_SourceData_PastureBeef_Liveweight[[#Headers],[State]], 0)</f>
        <v>Kimberley</v>
      </c>
      <c r="F46" s="10" t="str" cm="1">
        <f t="array" ref="F46">Common_InputFunctions.Utility_DisplayArrayInTable(SourceData_PastureBeef.SourceData_PastureBeef_Liveweight_Data(), Table_SourceData_PastureBeef_Liveweight[[#Headers],[State]], 0)</f>
        <v>Winter</v>
      </c>
      <c r="G46" s="10" cm="1">
        <f t="array" ref="G46">Common_InputFunctions.Utility_DisplayArrayInTable(SourceData_PastureBeef.SourceData_PastureBeef_Liveweight_Data(), Table_SourceData_PastureBeef_Liveweight[[#Headers],[State]], 0)</f>
        <v>200</v>
      </c>
      <c r="H46" s="10" cm="1">
        <f t="array" ref="H46">Common_InputFunctions.Utility_DisplayArrayInTable(SourceData_PastureBeef.SourceData_PastureBeef_Liveweight_Data(), Table_SourceData_PastureBeef_Liveweight[[#Headers],[State]], 0)</f>
        <v>550</v>
      </c>
      <c r="I46" s="10" cm="1">
        <f t="array" ref="I46">Common_InputFunctions.Utility_DisplayArrayInTable(SourceData_PastureBeef.SourceData_PastureBeef_Liveweight_Data(), Table_SourceData_PastureBeef_Liveweight[[#Headers],[State]], 0)</f>
        <v>150</v>
      </c>
      <c r="J46" s="10" cm="1">
        <f t="array" ref="J46">Common_InputFunctions.Utility_DisplayArrayInTable(SourceData_PastureBeef.SourceData_PastureBeef_Liveweight_Data(), Table_SourceData_PastureBeef_Liveweight[[#Headers],[State]], 0)</f>
        <v>280</v>
      </c>
      <c r="K46" s="10" cm="1">
        <f t="array" ref="K46">Common_InputFunctions.Utility_DisplayArrayInTable(SourceData_PastureBeef.SourceData_PastureBeef_Liveweight_Data(), Table_SourceData_PastureBeef_Liveweight[[#Headers],[State]], 0)</f>
        <v>350</v>
      </c>
      <c r="L46" s="10" cm="1">
        <f t="array" ref="L46">Common_InputFunctions.Utility_DisplayArrayInTable(SourceData_PastureBeef.SourceData_PastureBeef_Liveweight_Data(), Table_SourceData_PastureBeef_Liveweight[[#Headers],[State]], 0)</f>
        <v>190</v>
      </c>
      <c r="M46" s="10" cm="1">
        <f t="array" ref="M46">Common_InputFunctions.Utility_DisplayArrayInTable(SourceData_PastureBeef.SourceData_PastureBeef_Liveweight_Data(), Table_SourceData_PastureBeef_Liveweight[[#Headers],[State]], 0)</f>
        <v>400</v>
      </c>
    </row>
    <row r="47" spans="4:13" ht="20.100000000000001" customHeight="1" x14ac:dyDescent="0.25">
      <c r="M47" s="8"/>
    </row>
    <row r="48" spans="4:13" ht="20.100000000000001" customHeight="1" x14ac:dyDescent="0.25">
      <c r="M48" s="8"/>
    </row>
    <row r="49" spans="4:16" ht="20.100000000000001" customHeight="1" x14ac:dyDescent="0.25">
      <c r="D49" s="9" t="str" cm="1">
        <f t="array" ref="D49">SourceData_PastureBeef.SourceData_PastureBeef_LiveweightNTQLD_Title()</f>
        <v>Beef pasture cattle - Liveweight (kg) (Wjkl) for NT and QLD</v>
      </c>
      <c r="M49" s="8"/>
    </row>
    <row r="50" spans="4:16" ht="20.100000000000001" customHeight="1" x14ac:dyDescent="0.25">
      <c r="D50" s="11" t="str" cm="1">
        <f t="array" ref="D50">SourceData_PastureBeef.SourceData_PastureBeef_LiveweightNTQLD_Source()</f>
        <v>VEERG 2026: Table A.1.2.2</v>
      </c>
      <c r="M50" s="8"/>
    </row>
    <row r="51" spans="4:16" ht="20.100000000000001" customHeight="1" x14ac:dyDescent="0.25">
      <c r="D51" s="8" t="str" cm="1">
        <f t="array" ref="D51">SourceData_PastureBeef.SourceData_PastureBeef_LiveweightNTQLD_Variable()</f>
        <v>Wjkl</v>
      </c>
      <c r="M51" s="8"/>
    </row>
    <row r="52" spans="4:16" ht="20.100000000000001" customHeight="1" x14ac:dyDescent="0.25">
      <c r="D52" s="13" t="str" cm="1">
        <f t="array" ref="D52">SourceData_PastureBeef.SourceData_PastureBeef_LiveweightNTQLD_Unit()</f>
        <v>kg</v>
      </c>
      <c r="M52" s="8"/>
    </row>
    <row r="53" spans="4:16" ht="20.100000000000001" customHeight="1" x14ac:dyDescent="0.25">
      <c r="D53" s="10" t="s">
        <v>289</v>
      </c>
      <c r="E53" s="10" t="s">
        <v>414</v>
      </c>
      <c r="F53" s="10" t="s">
        <v>47</v>
      </c>
      <c r="G53" s="10" t="s">
        <v>503</v>
      </c>
      <c r="H53" s="10" t="s">
        <v>504</v>
      </c>
      <c r="I53" s="10" t="s">
        <v>505</v>
      </c>
      <c r="J53" s="10" t="s">
        <v>506</v>
      </c>
      <c r="K53" s="10" t="s">
        <v>507</v>
      </c>
      <c r="L53" s="10" t="s">
        <v>508</v>
      </c>
      <c r="M53" s="10" t="s">
        <v>509</v>
      </c>
      <c r="N53" s="10" t="s">
        <v>510</v>
      </c>
      <c r="O53" s="10" t="s">
        <v>511</v>
      </c>
      <c r="P53" s="10" t="s">
        <v>512</v>
      </c>
    </row>
    <row r="54" spans="4:16" ht="20.100000000000001" customHeight="1" x14ac:dyDescent="0.25">
      <c r="D54" s="10" t="str" cm="1">
        <f t="array" ref="D54">Common_InputFunctions.Utility_DisplayArrayInTable(SourceData_PastureBeef.SourceData_PastureBeef_LiveweightNTQLD_Data(),Table_SourceData_PastureBeef_LiveweightNTQD[[#Headers],[State]], 0)</f>
        <v>Northern Territory</v>
      </c>
      <c r="E54" s="10" t="str" cm="1">
        <f t="array" ref="E54">Common_InputFunctions.Utility_DisplayArrayInTable(SourceData_PastureBeef.SourceData_PastureBeef_LiveweightNTQLD_Data(),Table_SourceData_PastureBeef_LiveweightNTQD[[#Headers],[State]], 0)</f>
        <v>Alice Springs</v>
      </c>
      <c r="F54" s="10" t="str" cm="1">
        <f t="array" ref="F54">Common_InputFunctions.Utility_DisplayArrayInTable(SourceData_PastureBeef.SourceData_PastureBeef_LiveweightNTQLD_Data(),Table_SourceData_PastureBeef_LiveweightNTQD[[#Headers],[State]], 0)</f>
        <v>Spring</v>
      </c>
      <c r="G54" s="10" cm="1">
        <f t="array" ref="G54">Common_InputFunctions.Utility_DisplayArrayInTable(SourceData_PastureBeef.SourceData_PastureBeef_LiveweightNTQLD_Data(),Table_SourceData_PastureBeef_LiveweightNTQD[[#Headers],[State]], 0)</f>
        <v>220</v>
      </c>
      <c r="H54" s="10" cm="1">
        <f t="array" ref="H54">Common_InputFunctions.Utility_DisplayArrayInTable(SourceData_PastureBeef.SourceData_PastureBeef_LiveweightNTQLD_Data(),Table_SourceData_PastureBeef_LiveweightNTQD[[#Headers],[State]], 0)</f>
        <v>706</v>
      </c>
      <c r="I54" s="10" cm="1">
        <f t="array" ref="I54">Common_InputFunctions.Utility_DisplayArrayInTable(SourceData_PastureBeef.SourceData_PastureBeef_LiveweightNTQLD_Data(),Table_SourceData_PastureBeef_LiveweightNTQD[[#Headers],[State]], 0)</f>
        <v>208</v>
      </c>
      <c r="J54" s="10" cm="1">
        <f t="array" ref="J54">Common_InputFunctions.Utility_DisplayArrayInTable(SourceData_PastureBeef.SourceData_PastureBeef_LiveweightNTQLD_Data(),Table_SourceData_PastureBeef_LiveweightNTQD[[#Headers],[State]], 0)</f>
        <v>323</v>
      </c>
      <c r="K54" s="10" cm="1">
        <f t="array" ref="K54">Common_InputFunctions.Utility_DisplayArrayInTable(SourceData_PastureBeef.SourceData_PastureBeef_LiveweightNTQLD_Data(),Table_SourceData_PastureBeef_LiveweightNTQD[[#Headers],[State]], 0)</f>
        <v>415</v>
      </c>
      <c r="L54" s="10" cm="1">
        <f t="array" ref="L54">Common_InputFunctions.Utility_DisplayArrayInTable(SourceData_PastureBeef.SourceData_PastureBeef_LiveweightNTQLD_Data(),Table_SourceData_PastureBeef_LiveweightNTQD[[#Headers],[State]], 0)</f>
        <v>467</v>
      </c>
      <c r="M54" s="10" cm="1">
        <f t="array" ref="M54">Common_InputFunctions.Utility_DisplayArrayInTable(SourceData_PastureBeef.SourceData_PastureBeef_LiveweightNTQLD_Data(),Table_SourceData_PastureBeef_LiveweightNTQD[[#Headers],[State]], 0)</f>
        <v>223</v>
      </c>
      <c r="N54" s="10" cm="1">
        <f t="array" ref="N54">Common_InputFunctions.Utility_DisplayArrayInTable(SourceData_PastureBeef.SourceData_PastureBeef_LiveweightNTQLD_Data(),Table_SourceData_PastureBeef_LiveweightNTQD[[#Headers],[State]], 0)</f>
        <v>371</v>
      </c>
      <c r="O54" s="10" cm="1">
        <f t="array" ref="O54">Common_InputFunctions.Utility_DisplayArrayInTable(SourceData_PastureBeef.SourceData_PastureBeef_LiveweightNTQLD_Data(),Table_SourceData_PastureBeef_LiveweightNTQD[[#Headers],[State]], 0)</f>
        <v>493</v>
      </c>
      <c r="P54" s="10" cm="1">
        <f t="array" ref="P54">Common_InputFunctions.Utility_DisplayArrayInTable(SourceData_PastureBeef.SourceData_PastureBeef_LiveweightNTQLD_Data(),Table_SourceData_PastureBeef_LiveweightNTQD[[#Headers],[State]], 0)</f>
        <v>585</v>
      </c>
    </row>
    <row r="55" spans="4:16" ht="20.100000000000001" customHeight="1" x14ac:dyDescent="0.25">
      <c r="D55" s="8" t="str" cm="1">
        <f t="array" ref="D55">Common_InputFunctions.Utility_DisplayArrayInTable(SourceData_PastureBeef.SourceData_PastureBeef_LiveweightNTQLD_Data(),Table_SourceData_PastureBeef_LiveweightNTQD[[#Headers],[State]], 0)</f>
        <v>Northern Territory</v>
      </c>
      <c r="E55" s="10" t="str" cm="1">
        <f t="array" ref="E55">Common_InputFunctions.Utility_DisplayArrayInTable(SourceData_PastureBeef.SourceData_PastureBeef_LiveweightNTQLD_Data(),Table_SourceData_PastureBeef_LiveweightNTQD[[#Headers],[State]], 0)</f>
        <v>Alice Springs</v>
      </c>
      <c r="F55" s="10" t="str" cm="1">
        <f t="array" ref="F55">Common_InputFunctions.Utility_DisplayArrayInTable(SourceData_PastureBeef.SourceData_PastureBeef_LiveweightNTQLD_Data(),Table_SourceData_PastureBeef_LiveweightNTQD[[#Headers],[State]], 0)</f>
        <v>Summer</v>
      </c>
      <c r="G55" s="10" cm="1">
        <f t="array" ref="G55">Common_InputFunctions.Utility_DisplayArrayInTable(SourceData_PastureBeef.SourceData_PastureBeef_LiveweightNTQLD_Data(),Table_SourceData_PastureBeef_LiveweightNTQD[[#Headers],[State]], 0)</f>
        <v>110</v>
      </c>
      <c r="H55" s="10" cm="1">
        <f t="array" ref="H55">Common_InputFunctions.Utility_DisplayArrayInTable(SourceData_PastureBeef.SourceData_PastureBeef_LiveweightNTQLD_Data(),Table_SourceData_PastureBeef_LiveweightNTQD[[#Headers],[State]], 0)</f>
        <v>703</v>
      </c>
      <c r="I55" s="10" cm="1">
        <f t="array" ref="I55">Common_InputFunctions.Utility_DisplayArrayInTable(SourceData_PastureBeef.SourceData_PastureBeef_LiveweightNTQLD_Data(),Table_SourceData_PastureBeef_LiveweightNTQD[[#Headers],[State]], 0)</f>
        <v>112</v>
      </c>
      <c r="J55" s="10" cm="1">
        <f t="array" ref="J55">Common_InputFunctions.Utility_DisplayArrayInTable(SourceData_PastureBeef.SourceData_PastureBeef_LiveweightNTQLD_Data(),Table_SourceData_PastureBeef_LiveweightNTQD[[#Headers],[State]], 0)</f>
        <v>256</v>
      </c>
      <c r="K55" s="10" cm="1">
        <f t="array" ref="K55">Common_InputFunctions.Utility_DisplayArrayInTable(SourceData_PastureBeef.SourceData_PastureBeef_LiveweightNTQLD_Data(),Table_SourceData_PastureBeef_LiveweightNTQD[[#Headers],[State]], 0)</f>
        <v>368</v>
      </c>
      <c r="L55" s="10" cm="1">
        <f t="array" ref="L55">Common_InputFunctions.Utility_DisplayArrayInTable(SourceData_PastureBeef.SourceData_PastureBeef_LiveweightNTQLD_Data(),Table_SourceData_PastureBeef_LiveweightNTQD[[#Headers],[State]], 0)</f>
        <v>465</v>
      </c>
      <c r="M55" s="10" cm="1">
        <f t="array" ref="M55">Common_InputFunctions.Utility_DisplayArrayInTable(SourceData_PastureBeef.SourceData_PastureBeef_LiveweightNTQLD_Data(),Table_SourceData_PastureBeef_LiveweightNTQD[[#Headers],[State]], 0)</f>
        <v>108</v>
      </c>
      <c r="N55" s="10" cm="1">
        <f t="array" ref="N55">Common_InputFunctions.Utility_DisplayArrayInTable(SourceData_PastureBeef.SourceData_PastureBeef_LiveweightNTQLD_Data(),Table_SourceData_PastureBeef_LiveweightNTQD[[#Headers],[State]], 0)</f>
        <v>280</v>
      </c>
      <c r="O55" s="10" cm="1">
        <f t="array" ref="O55">Common_InputFunctions.Utility_DisplayArrayInTable(SourceData_PastureBeef.SourceData_PastureBeef_LiveweightNTQLD_Data(),Table_SourceData_PastureBeef_LiveweightNTQD[[#Headers],[State]], 0)</f>
        <v>421</v>
      </c>
      <c r="P55" s="10" cm="1">
        <f t="array" ref="P55">Common_InputFunctions.Utility_DisplayArrayInTable(SourceData_PastureBeef.SourceData_PastureBeef_LiveweightNTQLD_Data(),Table_SourceData_PastureBeef_LiveweightNTQD[[#Headers],[State]], 0)</f>
        <v>543</v>
      </c>
    </row>
    <row r="56" spans="4:16" ht="20.100000000000001" customHeight="1" x14ac:dyDescent="0.25">
      <c r="D56" s="8" t="str" cm="1">
        <f t="array" ref="D56">Common_InputFunctions.Utility_DisplayArrayInTable(SourceData_PastureBeef.SourceData_PastureBeef_LiveweightNTQLD_Data(),Table_SourceData_PastureBeef_LiveweightNTQD[[#Headers],[State]], 0)</f>
        <v>Northern Territory</v>
      </c>
      <c r="E56" s="10" t="str" cm="1">
        <f t="array" ref="E56">Common_InputFunctions.Utility_DisplayArrayInTable(SourceData_PastureBeef.SourceData_PastureBeef_LiveweightNTQLD_Data(),Table_SourceData_PastureBeef_LiveweightNTQD[[#Headers],[State]], 0)</f>
        <v>Alice Springs</v>
      </c>
      <c r="F56" s="10" t="str" cm="1">
        <f t="array" ref="F56">Common_InputFunctions.Utility_DisplayArrayInTable(SourceData_PastureBeef.SourceData_PastureBeef_LiveweightNTQLD_Data(),Table_SourceData_PastureBeef_LiveweightNTQD[[#Headers],[State]], 0)</f>
        <v>Autumn</v>
      </c>
      <c r="G56" s="10" cm="1">
        <f t="array" ref="G56">Common_InputFunctions.Utility_DisplayArrayInTable(SourceData_PastureBeef.SourceData_PastureBeef_LiveweightNTQLD_Data(),Table_SourceData_PastureBeef_LiveweightNTQD[[#Headers],[State]], 0)</f>
        <v>170</v>
      </c>
      <c r="H56" s="10" cm="1">
        <f t="array" ref="H56">Common_InputFunctions.Utility_DisplayArrayInTable(SourceData_PastureBeef.SourceData_PastureBeef_LiveweightNTQLD_Data(),Table_SourceData_PastureBeef_LiveweightNTQD[[#Headers],[State]], 0)</f>
        <v>721</v>
      </c>
      <c r="I56" s="10" cm="1">
        <f t="array" ref="I56">Common_InputFunctions.Utility_DisplayArrayInTable(SourceData_PastureBeef.SourceData_PastureBeef_LiveweightNTQLD_Data(),Table_SourceData_PastureBeef_LiveweightNTQD[[#Headers],[State]], 0)</f>
        <v>169</v>
      </c>
      <c r="J56" s="10" cm="1">
        <f t="array" ref="J56">Common_InputFunctions.Utility_DisplayArrayInTable(SourceData_PastureBeef.SourceData_PastureBeef_LiveweightNTQLD_Data(),Table_SourceData_PastureBeef_LiveweightNTQD[[#Headers],[State]], 0)</f>
        <v>306</v>
      </c>
      <c r="K56" s="10" cm="1">
        <f t="array" ref="K56">Common_InputFunctions.Utility_DisplayArrayInTable(SourceData_PastureBeef.SourceData_PastureBeef_LiveweightNTQLD_Data(),Table_SourceData_PastureBeef_LiveweightNTQD[[#Headers],[State]], 0)</f>
        <v>392</v>
      </c>
      <c r="L56" s="10" cm="1">
        <f t="array" ref="L56">Common_InputFunctions.Utility_DisplayArrayInTable(SourceData_PastureBeef.SourceData_PastureBeef_LiveweightNTQLD_Data(),Table_SourceData_PastureBeef_LiveweightNTQD[[#Headers],[State]], 0)</f>
        <v>464</v>
      </c>
      <c r="M56" s="10" cm="1">
        <f t="array" ref="M56">Common_InputFunctions.Utility_DisplayArrayInTable(SourceData_PastureBeef.SourceData_PastureBeef_LiveweightNTQLD_Data(),Table_SourceData_PastureBeef_LiveweightNTQD[[#Headers],[State]], 0)</f>
        <v>176</v>
      </c>
      <c r="N56" s="10" cm="1">
        <f t="array" ref="N56">Common_InputFunctions.Utility_DisplayArrayInTable(SourceData_PastureBeef.SourceData_PastureBeef_LiveweightNTQLD_Data(),Table_SourceData_PastureBeef_LiveweightNTQD[[#Headers],[State]], 0)</f>
        <v>339</v>
      </c>
      <c r="O56" s="10" cm="1">
        <f t="array" ref="O56">Common_InputFunctions.Utility_DisplayArrayInTable(SourceData_PastureBeef.SourceData_PastureBeef_LiveweightNTQLD_Data(),Table_SourceData_PastureBeef_LiveweightNTQD[[#Headers],[State]], 0)</f>
        <v>470</v>
      </c>
      <c r="P56" s="10" cm="1">
        <f t="array" ref="P56">Common_InputFunctions.Utility_DisplayArrayInTable(SourceData_PastureBeef.SourceData_PastureBeef_LiveweightNTQLD_Data(),Table_SourceData_PastureBeef_LiveweightNTQD[[#Headers],[State]], 0)</f>
        <v>580</v>
      </c>
    </row>
    <row r="57" spans="4:16" ht="20.100000000000001" customHeight="1" x14ac:dyDescent="0.25">
      <c r="D57" s="8" t="str" cm="1">
        <f t="array" ref="D57">Common_InputFunctions.Utility_DisplayArrayInTable(SourceData_PastureBeef.SourceData_PastureBeef_LiveweightNTQLD_Data(),Table_SourceData_PastureBeef_LiveweightNTQD[[#Headers],[State]], 0)</f>
        <v>Northern Territory</v>
      </c>
      <c r="E57" s="10" t="str" cm="1">
        <f t="array" ref="E57">Common_InputFunctions.Utility_DisplayArrayInTable(SourceData_PastureBeef.SourceData_PastureBeef_LiveweightNTQLD_Data(),Table_SourceData_PastureBeef_LiveweightNTQD[[#Headers],[State]], 0)</f>
        <v>Alice Springs</v>
      </c>
      <c r="F57" s="10" t="str" cm="1">
        <f t="array" ref="F57">Common_InputFunctions.Utility_DisplayArrayInTable(SourceData_PastureBeef.SourceData_PastureBeef_LiveweightNTQLD_Data(),Table_SourceData_PastureBeef_LiveweightNTQD[[#Headers],[State]], 0)</f>
        <v>Winter</v>
      </c>
      <c r="G57" s="10" cm="1">
        <f t="array" ref="G57">Common_InputFunctions.Utility_DisplayArrayInTable(SourceData_PastureBeef.SourceData_PastureBeef_LiveweightNTQLD_Data(),Table_SourceData_PastureBeef_LiveweightNTQD[[#Headers],[State]], 0)</f>
        <v>200</v>
      </c>
      <c r="H57" s="10" cm="1">
        <f t="array" ref="H57">Common_InputFunctions.Utility_DisplayArrayInTable(SourceData_PastureBeef.SourceData_PastureBeef_LiveweightNTQLD_Data(),Table_SourceData_PastureBeef_LiveweightNTQD[[#Headers],[State]], 0)</f>
        <v>727</v>
      </c>
      <c r="I57" s="10" cm="1">
        <f t="array" ref="I57">Common_InputFunctions.Utility_DisplayArrayInTable(SourceData_PastureBeef.SourceData_PastureBeef_LiveweightNTQLD_Data(),Table_SourceData_PastureBeef_LiveweightNTQD[[#Headers],[State]], 0)</f>
        <v>211</v>
      </c>
      <c r="J57" s="10" cm="1">
        <f t="array" ref="J57">Common_InputFunctions.Utility_DisplayArrayInTable(SourceData_PastureBeef.SourceData_PastureBeef_LiveweightNTQLD_Data(),Table_SourceData_PastureBeef_LiveweightNTQD[[#Headers],[State]], 0)</f>
        <v>338</v>
      </c>
      <c r="K57" s="10" cm="1">
        <f t="array" ref="K57">Common_InputFunctions.Utility_DisplayArrayInTable(SourceData_PastureBeef.SourceData_PastureBeef_LiveweightNTQLD_Data(),Table_SourceData_PastureBeef_LiveweightNTQD[[#Headers],[State]], 0)</f>
        <v>432</v>
      </c>
      <c r="L57" s="10" cm="1">
        <f t="array" ref="L57">Common_InputFunctions.Utility_DisplayArrayInTable(SourceData_PastureBeef.SourceData_PastureBeef_LiveweightNTQLD_Data(),Table_SourceData_PastureBeef_LiveweightNTQD[[#Headers],[State]], 0)</f>
        <v>492</v>
      </c>
      <c r="M57" s="10" cm="1">
        <f t="array" ref="M57">Common_InputFunctions.Utility_DisplayArrayInTable(SourceData_PastureBeef.SourceData_PastureBeef_LiveweightNTQLD_Data(),Table_SourceData_PastureBeef_LiveweightNTQD[[#Headers],[State]], 0)</f>
        <v>222</v>
      </c>
      <c r="N57" s="10" cm="1">
        <f t="array" ref="N57">Common_InputFunctions.Utility_DisplayArrayInTable(SourceData_PastureBeef.SourceData_PastureBeef_LiveweightNTQLD_Data(),Table_SourceData_PastureBeef_LiveweightNTQD[[#Headers],[State]], 0)</f>
        <v>377</v>
      </c>
      <c r="O57" s="10" cm="1">
        <f t="array" ref="O57">Common_InputFunctions.Utility_DisplayArrayInTable(SourceData_PastureBeef.SourceData_PastureBeef_LiveweightNTQLD_Data(),Table_SourceData_PastureBeef_LiveweightNTQD[[#Headers],[State]], 0)</f>
        <v>498</v>
      </c>
      <c r="P57" s="10" cm="1">
        <f t="array" ref="P57">Common_InputFunctions.Utility_DisplayArrayInTable(SourceData_PastureBeef.SourceData_PastureBeef_LiveweightNTQLD_Data(),Table_SourceData_PastureBeef_LiveweightNTQD[[#Headers],[State]], 0)</f>
        <v>590</v>
      </c>
    </row>
    <row r="58" spans="4:16" ht="20.100000000000001" customHeight="1" x14ac:dyDescent="0.25">
      <c r="D58" s="8" t="str" cm="1">
        <f t="array" ref="D58">Common_InputFunctions.Utility_DisplayArrayInTable(SourceData_PastureBeef.SourceData_PastureBeef_LiveweightNTQLD_Data(),Table_SourceData_PastureBeef_LiveweightNTQD[[#Headers],[State]], 0)</f>
        <v>Northern Territory</v>
      </c>
      <c r="E58" s="10" t="str" cm="1">
        <f t="array" ref="E58">Common_InputFunctions.Utility_DisplayArrayInTable(SourceData_PastureBeef.SourceData_PastureBeef_LiveweightNTQLD_Data(),Table_SourceData_PastureBeef_LiveweightNTQD[[#Headers],[State]], 0)</f>
        <v>Barkly</v>
      </c>
      <c r="F58" s="10" t="str" cm="1">
        <f t="array" ref="F58">Common_InputFunctions.Utility_DisplayArrayInTable(SourceData_PastureBeef.SourceData_PastureBeef_LiveweightNTQLD_Data(),Table_SourceData_PastureBeef_LiveweightNTQD[[#Headers],[State]], 0)</f>
        <v>Spring</v>
      </c>
      <c r="G58" s="10" cm="1">
        <f t="array" ref="G58">Common_InputFunctions.Utility_DisplayArrayInTable(SourceData_PastureBeef.SourceData_PastureBeef_LiveweightNTQLD_Data(),Table_SourceData_PastureBeef_LiveweightNTQD[[#Headers],[State]], 0)</f>
        <v>220</v>
      </c>
      <c r="H58" s="10" cm="1">
        <f t="array" ref="H58">Common_InputFunctions.Utility_DisplayArrayInTable(SourceData_PastureBeef.SourceData_PastureBeef_LiveweightNTQLD_Data(),Table_SourceData_PastureBeef_LiveweightNTQD[[#Headers],[State]], 0)</f>
        <v>620</v>
      </c>
      <c r="I58" s="10" cm="1">
        <f t="array" ref="I58">Common_InputFunctions.Utility_DisplayArrayInTable(SourceData_PastureBeef.SourceData_PastureBeef_LiveweightNTQLD_Data(),Table_SourceData_PastureBeef_LiveweightNTQD[[#Headers],[State]], 0)</f>
        <v>227</v>
      </c>
      <c r="J58" s="10" cm="1">
        <f t="array" ref="J58">Common_InputFunctions.Utility_DisplayArrayInTable(SourceData_PastureBeef.SourceData_PastureBeef_LiveweightNTQLD_Data(),Table_SourceData_PastureBeef_LiveweightNTQD[[#Headers],[State]], 0)</f>
        <v>319</v>
      </c>
      <c r="K58" s="10" cm="1">
        <f t="array" ref="K58">Common_InputFunctions.Utility_DisplayArrayInTable(SourceData_PastureBeef.SourceData_PastureBeef_LiveweightNTQLD_Data(),Table_SourceData_PastureBeef_LiveweightNTQD[[#Headers],[State]], 0)</f>
        <v>398</v>
      </c>
      <c r="L58" s="10" cm="1">
        <f t="array" ref="L58">Common_InputFunctions.Utility_DisplayArrayInTable(SourceData_PastureBeef.SourceData_PastureBeef_LiveweightNTQLD_Data(),Table_SourceData_PastureBeef_LiveweightNTQD[[#Headers],[State]], 0)</f>
        <v>452</v>
      </c>
      <c r="M58" s="10" cm="1">
        <f t="array" ref="M58">Common_InputFunctions.Utility_DisplayArrayInTable(SourceData_PastureBeef.SourceData_PastureBeef_LiveweightNTQLD_Data(),Table_SourceData_PastureBeef_LiveweightNTQD[[#Headers],[State]], 0)</f>
        <v>216</v>
      </c>
      <c r="N58" s="10" cm="1">
        <f t="array" ref="N58">Common_InputFunctions.Utility_DisplayArrayInTable(SourceData_PastureBeef.SourceData_PastureBeef_LiveweightNTQLD_Data(),Table_SourceData_PastureBeef_LiveweightNTQD[[#Headers],[State]], 0)</f>
        <v>334</v>
      </c>
      <c r="O58" s="10" t="str" cm="1">
        <f t="array" ref="O58">Common_InputFunctions.Utility_DisplayArrayInTable(SourceData_PastureBeef.SourceData_PastureBeef_LiveweightNTQLD_Data(),Table_SourceData_PastureBeef_LiveweightNTQD[[#Headers],[State]], 0)</f>
        <v>NO</v>
      </c>
      <c r="P58" s="10" t="str" cm="1">
        <f t="array" ref="P58">Common_InputFunctions.Utility_DisplayArrayInTable(SourceData_PastureBeef.SourceData_PastureBeef_LiveweightNTQLD_Data(),Table_SourceData_PastureBeef_LiveweightNTQD[[#Headers],[State]], 0)</f>
        <v>NO</v>
      </c>
    </row>
    <row r="59" spans="4:16" ht="20.100000000000001" customHeight="1" x14ac:dyDescent="0.25">
      <c r="D59" s="8" t="str" cm="1">
        <f t="array" ref="D59">Common_InputFunctions.Utility_DisplayArrayInTable(SourceData_PastureBeef.SourceData_PastureBeef_LiveweightNTQLD_Data(),Table_SourceData_PastureBeef_LiveweightNTQD[[#Headers],[State]], 0)</f>
        <v>Northern Territory</v>
      </c>
      <c r="E59" s="10" t="str" cm="1">
        <f t="array" ref="E59">Common_InputFunctions.Utility_DisplayArrayInTable(SourceData_PastureBeef.SourceData_PastureBeef_LiveweightNTQLD_Data(),Table_SourceData_PastureBeef_LiveweightNTQD[[#Headers],[State]], 0)</f>
        <v>Barkly</v>
      </c>
      <c r="F59" s="10" t="str" cm="1">
        <f t="array" ref="F59">Common_InputFunctions.Utility_DisplayArrayInTable(SourceData_PastureBeef.SourceData_PastureBeef_LiveweightNTQLD_Data(),Table_SourceData_PastureBeef_LiveweightNTQD[[#Headers],[State]], 0)</f>
        <v>Summer</v>
      </c>
      <c r="G59" s="10" cm="1">
        <f t="array" ref="G59">Common_InputFunctions.Utility_DisplayArrayInTable(SourceData_PastureBeef.SourceData_PastureBeef_LiveweightNTQLD_Data(),Table_SourceData_PastureBeef_LiveweightNTQD[[#Headers],[State]], 0)</f>
        <v>110</v>
      </c>
      <c r="H59" s="10" cm="1">
        <f t="array" ref="H59">Common_InputFunctions.Utility_DisplayArrayInTable(SourceData_PastureBeef.SourceData_PastureBeef_LiveweightNTQLD_Data(),Table_SourceData_PastureBeef_LiveweightNTQD[[#Headers],[State]], 0)</f>
        <v>650</v>
      </c>
      <c r="I59" s="10" cm="1">
        <f t="array" ref="I59">Common_InputFunctions.Utility_DisplayArrayInTable(SourceData_PastureBeef.SourceData_PastureBeef_LiveweightNTQLD_Data(),Table_SourceData_PastureBeef_LiveweightNTQD[[#Headers],[State]], 0)</f>
        <v>108</v>
      </c>
      <c r="J59" s="10" cm="1">
        <f t="array" ref="J59">Common_InputFunctions.Utility_DisplayArrayInTable(SourceData_PastureBeef.SourceData_PastureBeef_LiveweightNTQLD_Data(),Table_SourceData_PastureBeef_LiveweightNTQD[[#Headers],[State]], 0)</f>
        <v>262</v>
      </c>
      <c r="K59" s="10" cm="1">
        <f t="array" ref="K59">Common_InputFunctions.Utility_DisplayArrayInTable(SourceData_PastureBeef.SourceData_PastureBeef_LiveweightNTQLD_Data(),Table_SourceData_PastureBeef_LiveweightNTQD[[#Headers],[State]], 0)</f>
        <v>346</v>
      </c>
      <c r="L59" s="10" cm="1">
        <f t="array" ref="L59">Common_InputFunctions.Utility_DisplayArrayInTable(SourceData_PastureBeef.SourceData_PastureBeef_LiveweightNTQLD_Data(),Table_SourceData_PastureBeef_LiveweightNTQD[[#Headers],[State]], 0)</f>
        <v>430</v>
      </c>
      <c r="M59" s="10" cm="1">
        <f t="array" ref="M59">Common_InputFunctions.Utility_DisplayArrayInTable(SourceData_PastureBeef.SourceData_PastureBeef_LiveweightNTQLD_Data(),Table_SourceData_PastureBeef_LiveweightNTQD[[#Headers],[State]], 0)</f>
        <v>111</v>
      </c>
      <c r="N59" s="10" cm="1">
        <f t="array" ref="N59">Common_InputFunctions.Utility_DisplayArrayInTable(SourceData_PastureBeef.SourceData_PastureBeef_LiveweightNTQLD_Data(),Table_SourceData_PastureBeef_LiveweightNTQD[[#Headers],[State]], 0)</f>
        <v>236</v>
      </c>
      <c r="O59" s="10" t="str" cm="1">
        <f t="array" ref="O59">Common_InputFunctions.Utility_DisplayArrayInTable(SourceData_PastureBeef.SourceData_PastureBeef_LiveweightNTQLD_Data(),Table_SourceData_PastureBeef_LiveweightNTQD[[#Headers],[State]], 0)</f>
        <v>NO</v>
      </c>
      <c r="P59" s="10" t="str" cm="1">
        <f t="array" ref="P59">Common_InputFunctions.Utility_DisplayArrayInTable(SourceData_PastureBeef.SourceData_PastureBeef_LiveweightNTQLD_Data(),Table_SourceData_PastureBeef_LiveweightNTQD[[#Headers],[State]], 0)</f>
        <v>NO</v>
      </c>
    </row>
    <row r="60" spans="4:16" ht="20.100000000000001" customHeight="1" x14ac:dyDescent="0.25">
      <c r="D60" s="8" t="str" cm="1">
        <f t="array" ref="D60">Common_InputFunctions.Utility_DisplayArrayInTable(SourceData_PastureBeef.SourceData_PastureBeef_LiveweightNTQLD_Data(),Table_SourceData_PastureBeef_LiveweightNTQD[[#Headers],[State]], 0)</f>
        <v>Northern Territory</v>
      </c>
      <c r="E60" s="10" t="str" cm="1">
        <f t="array" ref="E60">Common_InputFunctions.Utility_DisplayArrayInTable(SourceData_PastureBeef.SourceData_PastureBeef_LiveweightNTQLD_Data(),Table_SourceData_PastureBeef_LiveweightNTQD[[#Headers],[State]], 0)</f>
        <v>Barkly</v>
      </c>
      <c r="F60" s="10" t="str" cm="1">
        <f t="array" ref="F60">Common_InputFunctions.Utility_DisplayArrayInTable(SourceData_PastureBeef.SourceData_PastureBeef_LiveweightNTQLD_Data(),Table_SourceData_PastureBeef_LiveweightNTQD[[#Headers],[State]], 0)</f>
        <v>Autumn</v>
      </c>
      <c r="G60" s="10" cm="1">
        <f t="array" ref="G60">Common_InputFunctions.Utility_DisplayArrayInTable(SourceData_PastureBeef.SourceData_PastureBeef_LiveweightNTQLD_Data(),Table_SourceData_PastureBeef_LiveweightNTQD[[#Headers],[State]], 0)</f>
        <v>170</v>
      </c>
      <c r="H60" s="10" cm="1">
        <f t="array" ref="H60">Common_InputFunctions.Utility_DisplayArrayInTable(SourceData_PastureBeef.SourceData_PastureBeef_LiveweightNTQLD_Data(),Table_SourceData_PastureBeef_LiveweightNTQD[[#Headers],[State]], 0)</f>
        <v>670</v>
      </c>
      <c r="I60" s="10" cm="1">
        <f t="array" ref="I60">Common_InputFunctions.Utility_DisplayArrayInTable(SourceData_PastureBeef.SourceData_PastureBeef_LiveweightNTQLD_Data(),Table_SourceData_PastureBeef_LiveweightNTQD[[#Headers],[State]], 0)</f>
        <v>170</v>
      </c>
      <c r="J60" s="10" cm="1">
        <f t="array" ref="J60">Common_InputFunctions.Utility_DisplayArrayInTable(SourceData_PastureBeef.SourceData_PastureBeef_LiveweightNTQLD_Data(),Table_SourceData_PastureBeef_LiveweightNTQD[[#Headers],[State]], 0)</f>
        <v>266</v>
      </c>
      <c r="K60" s="10" cm="1">
        <f t="array" ref="K60">Common_InputFunctions.Utility_DisplayArrayInTable(SourceData_PastureBeef.SourceData_PastureBeef_LiveweightNTQLD_Data(),Table_SourceData_PastureBeef_LiveweightNTQD[[#Headers],[State]], 0)</f>
        <v>363</v>
      </c>
      <c r="L60" s="10" cm="1">
        <f t="array" ref="L60">Common_InputFunctions.Utility_DisplayArrayInTable(SourceData_PastureBeef.SourceData_PastureBeef_LiveweightNTQLD_Data(),Table_SourceData_PastureBeef_LiveweightNTQD[[#Headers],[State]], 0)</f>
        <v>444</v>
      </c>
      <c r="M60" s="10" cm="1">
        <f t="array" ref="M60">Common_InputFunctions.Utility_DisplayArrayInTable(SourceData_PastureBeef.SourceData_PastureBeef_LiveweightNTQLD_Data(),Table_SourceData_PastureBeef_LiveweightNTQD[[#Headers],[State]], 0)</f>
        <v>169</v>
      </c>
      <c r="N60" s="10" cm="1">
        <f t="array" ref="N60">Common_InputFunctions.Utility_DisplayArrayInTable(SourceData_PastureBeef.SourceData_PastureBeef_LiveweightNTQLD_Data(),Table_SourceData_PastureBeef_LiveweightNTQD[[#Headers],[State]], 0)</f>
        <v>282</v>
      </c>
      <c r="O60" s="10" t="str" cm="1">
        <f t="array" ref="O60">Common_InputFunctions.Utility_DisplayArrayInTable(SourceData_PastureBeef.SourceData_PastureBeef_LiveweightNTQLD_Data(),Table_SourceData_PastureBeef_LiveweightNTQD[[#Headers],[State]], 0)</f>
        <v>NO</v>
      </c>
      <c r="P60" s="10" t="str" cm="1">
        <f t="array" ref="P60">Common_InputFunctions.Utility_DisplayArrayInTable(SourceData_PastureBeef.SourceData_PastureBeef_LiveweightNTQLD_Data(),Table_SourceData_PastureBeef_LiveweightNTQD[[#Headers],[State]], 0)</f>
        <v>NO</v>
      </c>
    </row>
    <row r="61" spans="4:16" ht="20.100000000000001" customHeight="1" x14ac:dyDescent="0.25">
      <c r="D61" s="8" t="str" cm="1">
        <f t="array" ref="D61">Common_InputFunctions.Utility_DisplayArrayInTable(SourceData_PastureBeef.SourceData_PastureBeef_LiveweightNTQLD_Data(),Table_SourceData_PastureBeef_LiveweightNTQD[[#Headers],[State]], 0)</f>
        <v>Northern Territory</v>
      </c>
      <c r="E61" s="10" t="str" cm="1">
        <f t="array" ref="E61">Common_InputFunctions.Utility_DisplayArrayInTable(SourceData_PastureBeef.SourceData_PastureBeef_LiveweightNTQLD_Data(),Table_SourceData_PastureBeef_LiveweightNTQD[[#Headers],[State]], 0)</f>
        <v>Barkly</v>
      </c>
      <c r="F61" s="10" t="str" cm="1">
        <f t="array" ref="F61">Common_InputFunctions.Utility_DisplayArrayInTable(SourceData_PastureBeef.SourceData_PastureBeef_LiveweightNTQLD_Data(),Table_SourceData_PastureBeef_LiveweightNTQD[[#Headers],[State]], 0)</f>
        <v>Winter</v>
      </c>
      <c r="G61" s="10" cm="1">
        <f t="array" ref="G61">Common_InputFunctions.Utility_DisplayArrayInTable(SourceData_PastureBeef.SourceData_PastureBeef_LiveweightNTQLD_Data(),Table_SourceData_PastureBeef_LiveweightNTQD[[#Headers],[State]], 0)</f>
        <v>200</v>
      </c>
      <c r="H61" s="10" cm="1">
        <f t="array" ref="H61">Common_InputFunctions.Utility_DisplayArrayInTable(SourceData_PastureBeef.SourceData_PastureBeef_LiveweightNTQLD_Data(),Table_SourceData_PastureBeef_LiveweightNTQD[[#Headers],[State]], 0)</f>
        <v>660</v>
      </c>
      <c r="I61" s="10" cm="1">
        <f t="array" ref="I61">Common_InputFunctions.Utility_DisplayArrayInTable(SourceData_PastureBeef.SourceData_PastureBeef_LiveweightNTQLD_Data(),Table_SourceData_PastureBeef_LiveweightNTQD[[#Headers],[State]], 0)</f>
        <v>225</v>
      </c>
      <c r="J61" s="10" cm="1">
        <f t="array" ref="J61">Common_InputFunctions.Utility_DisplayArrayInTable(SourceData_PastureBeef.SourceData_PastureBeef_LiveweightNTQLD_Data(),Table_SourceData_PastureBeef_LiveweightNTQD[[#Headers],[State]], 0)</f>
        <v>307</v>
      </c>
      <c r="K61" s="10" cm="1">
        <f t="array" ref="K61">Common_InputFunctions.Utility_DisplayArrayInTable(SourceData_PastureBeef.SourceData_PastureBeef_LiveweightNTQLD_Data(),Table_SourceData_PastureBeef_LiveweightNTQD[[#Headers],[State]], 0)</f>
        <v>398</v>
      </c>
      <c r="L61" s="10" cm="1">
        <f t="array" ref="L61">Common_InputFunctions.Utility_DisplayArrayInTable(SourceData_PastureBeef.SourceData_PastureBeef_LiveweightNTQLD_Data(),Table_SourceData_PastureBeef_LiveweightNTQD[[#Headers],[State]], 0)</f>
        <v>452</v>
      </c>
      <c r="M61" s="10" cm="1">
        <f t="array" ref="M61">Common_InputFunctions.Utility_DisplayArrayInTable(SourceData_PastureBeef.SourceData_PastureBeef_LiveweightNTQLD_Data(),Table_SourceData_PastureBeef_LiveweightNTQD[[#Headers],[State]], 0)</f>
        <v>214</v>
      </c>
      <c r="N61" s="10" cm="1">
        <f t="array" ref="N61">Common_InputFunctions.Utility_DisplayArrayInTable(SourceData_PastureBeef.SourceData_PastureBeef_LiveweightNTQLD_Data(),Table_SourceData_PastureBeef_LiveweightNTQD[[#Headers],[State]], 0)</f>
        <v>326</v>
      </c>
      <c r="O61" s="10" t="str" cm="1">
        <f t="array" ref="O61">Common_InputFunctions.Utility_DisplayArrayInTable(SourceData_PastureBeef.SourceData_PastureBeef_LiveweightNTQLD_Data(),Table_SourceData_PastureBeef_LiveweightNTQD[[#Headers],[State]], 0)</f>
        <v>NO</v>
      </c>
      <c r="P61" s="10" t="str" cm="1">
        <f t="array" ref="P61">Common_InputFunctions.Utility_DisplayArrayInTable(SourceData_PastureBeef.SourceData_PastureBeef_LiveweightNTQLD_Data(),Table_SourceData_PastureBeef_LiveweightNTQD[[#Headers],[State]], 0)</f>
        <v>NO</v>
      </c>
    </row>
    <row r="62" spans="4:16" ht="20.100000000000001" customHeight="1" x14ac:dyDescent="0.25">
      <c r="D62" s="8" t="str" cm="1">
        <f t="array" ref="D62">Common_InputFunctions.Utility_DisplayArrayInTable(SourceData_PastureBeef.SourceData_PastureBeef_LiveweightNTQLD_Data(),Table_SourceData_PastureBeef_LiveweightNTQD[[#Headers],[State]], 0)</f>
        <v>Northern Territory</v>
      </c>
      <c r="E62" s="10" t="str" cm="1">
        <f t="array" ref="E62">Common_InputFunctions.Utility_DisplayArrayInTable(SourceData_PastureBeef.SourceData_PastureBeef_LiveweightNTQLD_Data(),Table_SourceData_PastureBeef_LiveweightNTQD[[#Headers],[State]], 0)</f>
        <v>Northern</v>
      </c>
      <c r="F62" s="10" t="str" cm="1">
        <f t="array" ref="F62">Common_InputFunctions.Utility_DisplayArrayInTable(SourceData_PastureBeef.SourceData_PastureBeef_LiveweightNTQLD_Data(),Table_SourceData_PastureBeef_LiveweightNTQD[[#Headers],[State]], 0)</f>
        <v>Spring</v>
      </c>
      <c r="G62" s="10" cm="1">
        <f t="array" ref="G62">Common_InputFunctions.Utility_DisplayArrayInTable(SourceData_PastureBeef.SourceData_PastureBeef_LiveweightNTQLD_Data(),Table_SourceData_PastureBeef_LiveweightNTQD[[#Headers],[State]], 0)</f>
        <v>220</v>
      </c>
      <c r="H62" s="10" cm="1">
        <f t="array" ref="H62">Common_InputFunctions.Utility_DisplayArrayInTable(SourceData_PastureBeef.SourceData_PastureBeef_LiveweightNTQLD_Data(),Table_SourceData_PastureBeef_LiveweightNTQD[[#Headers],[State]], 0)</f>
        <v>620</v>
      </c>
      <c r="I62" s="10" cm="1">
        <f t="array" ref="I62">Common_InputFunctions.Utility_DisplayArrayInTable(SourceData_PastureBeef.SourceData_PastureBeef_LiveweightNTQLD_Data(),Table_SourceData_PastureBeef_LiveweightNTQD[[#Headers],[State]], 0)</f>
        <v>177</v>
      </c>
      <c r="J62" s="10" cm="1">
        <f t="array" ref="J62">Common_InputFunctions.Utility_DisplayArrayInTable(SourceData_PastureBeef.SourceData_PastureBeef_LiveweightNTQLD_Data(),Table_SourceData_PastureBeef_LiveweightNTQD[[#Headers],[State]], 0)</f>
        <v>267</v>
      </c>
      <c r="K62" s="10" cm="1">
        <f t="array" ref="K62">Common_InputFunctions.Utility_DisplayArrayInTable(SourceData_PastureBeef.SourceData_PastureBeef_LiveweightNTQLD_Data(),Table_SourceData_PastureBeef_LiveweightNTQD[[#Headers],[State]], 0)</f>
        <v>365</v>
      </c>
      <c r="L62" s="10" cm="1">
        <f t="array" ref="L62">Common_InputFunctions.Utility_DisplayArrayInTable(SourceData_PastureBeef.SourceData_PastureBeef_LiveweightNTQLD_Data(),Table_SourceData_PastureBeef_LiveweightNTQD[[#Headers],[State]], 0)</f>
        <v>406</v>
      </c>
      <c r="M62" s="10" cm="1">
        <f t="array" ref="M62">Common_InputFunctions.Utility_DisplayArrayInTable(SourceData_PastureBeef.SourceData_PastureBeef_LiveweightNTQLD_Data(),Table_SourceData_PastureBeef_LiveweightNTQD[[#Headers],[State]], 0)</f>
        <v>231</v>
      </c>
      <c r="N62" s="10" cm="1">
        <f t="array" ref="N62">Common_InputFunctions.Utility_DisplayArrayInTable(SourceData_PastureBeef.SourceData_PastureBeef_LiveweightNTQLD_Data(),Table_SourceData_PastureBeef_LiveweightNTQD[[#Headers],[State]], 0)</f>
        <v>249</v>
      </c>
      <c r="O62" s="10" cm="1">
        <f t="array" ref="O62">Common_InputFunctions.Utility_DisplayArrayInTable(SourceData_PastureBeef.SourceData_PastureBeef_LiveweightNTQLD_Data(),Table_SourceData_PastureBeef_LiveweightNTQD[[#Headers],[State]], 0)</f>
        <v>324</v>
      </c>
      <c r="P62" s="10" t="str" cm="1">
        <f t="array" ref="P62">Common_InputFunctions.Utility_DisplayArrayInTable(SourceData_PastureBeef.SourceData_PastureBeef_LiveweightNTQLD_Data(),Table_SourceData_PastureBeef_LiveweightNTQD[[#Headers],[State]], 0)</f>
        <v>NO</v>
      </c>
    </row>
    <row r="63" spans="4:16" ht="20.100000000000001" customHeight="1" x14ac:dyDescent="0.25">
      <c r="D63" s="8" t="str" cm="1">
        <f t="array" ref="D63">Common_InputFunctions.Utility_DisplayArrayInTable(SourceData_PastureBeef.SourceData_PastureBeef_LiveweightNTQLD_Data(),Table_SourceData_PastureBeef_LiveweightNTQD[[#Headers],[State]], 0)</f>
        <v>Northern Territory</v>
      </c>
      <c r="E63" s="10" t="str" cm="1">
        <f t="array" ref="E63">Common_InputFunctions.Utility_DisplayArrayInTable(SourceData_PastureBeef.SourceData_PastureBeef_LiveweightNTQLD_Data(),Table_SourceData_PastureBeef_LiveweightNTQD[[#Headers],[State]], 0)</f>
        <v>Northern</v>
      </c>
      <c r="F63" s="10" t="str" cm="1">
        <f t="array" ref="F63">Common_InputFunctions.Utility_DisplayArrayInTable(SourceData_PastureBeef.SourceData_PastureBeef_LiveweightNTQLD_Data(),Table_SourceData_PastureBeef_LiveweightNTQD[[#Headers],[State]], 0)</f>
        <v>Summer</v>
      </c>
      <c r="G63" s="10" cm="1">
        <f t="array" ref="G63">Common_InputFunctions.Utility_DisplayArrayInTable(SourceData_PastureBeef.SourceData_PastureBeef_LiveweightNTQLD_Data(),Table_SourceData_PastureBeef_LiveweightNTQD[[#Headers],[State]], 0)</f>
        <v>110</v>
      </c>
      <c r="H63" s="10" cm="1">
        <f t="array" ref="H63">Common_InputFunctions.Utility_DisplayArrayInTable(SourceData_PastureBeef.SourceData_PastureBeef_LiveweightNTQLD_Data(),Table_SourceData_PastureBeef_LiveweightNTQD[[#Headers],[State]], 0)</f>
        <v>650</v>
      </c>
      <c r="I63" s="10" cm="1">
        <f t="array" ref="I63">Common_InputFunctions.Utility_DisplayArrayInTable(SourceData_PastureBeef.SourceData_PastureBeef_LiveweightNTQLD_Data(),Table_SourceData_PastureBeef_LiveweightNTQD[[#Headers],[State]], 0)</f>
        <v>102</v>
      </c>
      <c r="J63" s="10" cm="1">
        <f t="array" ref="J63">Common_InputFunctions.Utility_DisplayArrayInTable(SourceData_PastureBeef.SourceData_PastureBeef_LiveweightNTQLD_Data(),Table_SourceData_PastureBeef_LiveweightNTQD[[#Headers],[State]], 0)</f>
        <v>203</v>
      </c>
      <c r="K63" s="10" cm="1">
        <f t="array" ref="K63">Common_InputFunctions.Utility_DisplayArrayInTable(SourceData_PastureBeef.SourceData_PastureBeef_LiveweightNTQLD_Data(),Table_SourceData_PastureBeef_LiveweightNTQD[[#Headers],[State]], 0)</f>
        <v>299</v>
      </c>
      <c r="L63" s="10" cm="1">
        <f t="array" ref="L63">Common_InputFunctions.Utility_DisplayArrayInTable(SourceData_PastureBeef.SourceData_PastureBeef_LiveweightNTQLD_Data(),Table_SourceData_PastureBeef_LiveweightNTQD[[#Headers],[State]], 0)</f>
        <v>380</v>
      </c>
      <c r="M63" s="10" cm="1">
        <f t="array" ref="M63">Common_InputFunctions.Utility_DisplayArrayInTable(SourceData_PastureBeef.SourceData_PastureBeef_LiveweightNTQLD_Data(),Table_SourceData_PastureBeef_LiveweightNTQD[[#Headers],[State]], 0)</f>
        <v>102</v>
      </c>
      <c r="N63" s="10" cm="1">
        <f t="array" ref="N63">Common_InputFunctions.Utility_DisplayArrayInTable(SourceData_PastureBeef.SourceData_PastureBeef_LiveweightNTQLD_Data(),Table_SourceData_PastureBeef_LiveweightNTQD[[#Headers],[State]], 0)</f>
        <v>218</v>
      </c>
      <c r="O63" s="10" cm="1">
        <f t="array" ref="O63">Common_InputFunctions.Utility_DisplayArrayInTable(SourceData_PastureBeef.SourceData_PastureBeef_LiveweightNTQLD_Data(),Table_SourceData_PastureBeef_LiveweightNTQD[[#Headers],[State]], 0)</f>
        <v>263</v>
      </c>
      <c r="P63" s="10" t="str" cm="1">
        <f t="array" ref="P63">Common_InputFunctions.Utility_DisplayArrayInTable(SourceData_PastureBeef.SourceData_PastureBeef_LiveweightNTQLD_Data(),Table_SourceData_PastureBeef_LiveweightNTQD[[#Headers],[State]], 0)</f>
        <v>NO</v>
      </c>
    </row>
    <row r="64" spans="4:16" ht="20.100000000000001" customHeight="1" x14ac:dyDescent="0.25">
      <c r="D64" s="8" t="str" cm="1">
        <f t="array" ref="D64">Common_InputFunctions.Utility_DisplayArrayInTable(SourceData_PastureBeef.SourceData_PastureBeef_LiveweightNTQLD_Data(),Table_SourceData_PastureBeef_LiveweightNTQD[[#Headers],[State]], 0)</f>
        <v>Northern Territory</v>
      </c>
      <c r="E64" s="10" t="str" cm="1">
        <f t="array" ref="E64">Common_InputFunctions.Utility_DisplayArrayInTable(SourceData_PastureBeef.SourceData_PastureBeef_LiveweightNTQLD_Data(),Table_SourceData_PastureBeef_LiveweightNTQD[[#Headers],[State]], 0)</f>
        <v>Northern</v>
      </c>
      <c r="F64" s="10" t="str" cm="1">
        <f t="array" ref="F64">Common_InputFunctions.Utility_DisplayArrayInTable(SourceData_PastureBeef.SourceData_PastureBeef_LiveweightNTQLD_Data(),Table_SourceData_PastureBeef_LiveweightNTQD[[#Headers],[State]], 0)</f>
        <v>Autumn</v>
      </c>
      <c r="G64" s="10" cm="1">
        <f t="array" ref="G64">Common_InputFunctions.Utility_DisplayArrayInTable(SourceData_PastureBeef.SourceData_PastureBeef_LiveweightNTQLD_Data(),Table_SourceData_PastureBeef_LiveweightNTQD[[#Headers],[State]], 0)</f>
        <v>170</v>
      </c>
      <c r="H64" s="10" cm="1">
        <f t="array" ref="H64">Common_InputFunctions.Utility_DisplayArrayInTable(SourceData_PastureBeef.SourceData_PastureBeef_LiveweightNTQLD_Data(),Table_SourceData_PastureBeef_LiveweightNTQD[[#Headers],[State]], 0)</f>
        <v>670</v>
      </c>
      <c r="I64" s="10" cm="1">
        <f t="array" ref="I64">Common_InputFunctions.Utility_DisplayArrayInTable(SourceData_PastureBeef.SourceData_PastureBeef_LiveweightNTQLD_Data(),Table_SourceData_PastureBeef_LiveweightNTQD[[#Headers],[State]], 0)</f>
        <v>173</v>
      </c>
      <c r="J64" s="10" cm="1">
        <f t="array" ref="J64">Common_InputFunctions.Utility_DisplayArrayInTable(SourceData_PastureBeef.SourceData_PastureBeef_LiveweightNTQLD_Data(),Table_SourceData_PastureBeef_LiveweightNTQD[[#Headers],[State]], 0)</f>
        <v>250</v>
      </c>
      <c r="K64" s="10" cm="1">
        <f t="array" ref="K64">Common_InputFunctions.Utility_DisplayArrayInTable(SourceData_PastureBeef.SourceData_PastureBeef_LiveweightNTQLD_Data(),Table_SourceData_PastureBeef_LiveweightNTQD[[#Headers],[State]], 0)</f>
        <v>336</v>
      </c>
      <c r="L64" s="10" cm="1">
        <f t="array" ref="L64">Common_InputFunctions.Utility_DisplayArrayInTable(SourceData_PastureBeef.SourceData_PastureBeef_LiveweightNTQLD_Data(),Table_SourceData_PastureBeef_LiveweightNTQD[[#Headers],[State]], 0)</f>
        <v>414</v>
      </c>
      <c r="M64" s="10" cm="1">
        <f t="array" ref="M64">Common_InputFunctions.Utility_DisplayArrayInTable(SourceData_PastureBeef.SourceData_PastureBeef_LiveweightNTQLD_Data(),Table_SourceData_PastureBeef_LiveweightNTQD[[#Headers],[State]], 0)</f>
        <v>175</v>
      </c>
      <c r="N64" s="10" cm="1">
        <f t="array" ref="N64">Common_InputFunctions.Utility_DisplayArrayInTable(SourceData_PastureBeef.SourceData_PastureBeef_LiveweightNTQLD_Data(),Table_SourceData_PastureBeef_LiveweightNTQD[[#Headers],[State]], 0)</f>
        <v>243</v>
      </c>
      <c r="O64" s="10" cm="1">
        <f t="array" ref="O64">Common_InputFunctions.Utility_DisplayArrayInTable(SourceData_PastureBeef.SourceData_PastureBeef_LiveweightNTQLD_Data(),Table_SourceData_PastureBeef_LiveweightNTQD[[#Headers],[State]], 0)</f>
        <v>304</v>
      </c>
      <c r="P64" s="10" t="str" cm="1">
        <f t="array" ref="P64">Common_InputFunctions.Utility_DisplayArrayInTable(SourceData_PastureBeef.SourceData_PastureBeef_LiveweightNTQLD_Data(),Table_SourceData_PastureBeef_LiveweightNTQD[[#Headers],[State]], 0)</f>
        <v>NO</v>
      </c>
    </row>
    <row r="65" spans="4:22" ht="20.100000000000001" customHeight="1" x14ac:dyDescent="0.25">
      <c r="D65" s="8" t="str" cm="1">
        <f t="array" ref="D65">Common_InputFunctions.Utility_DisplayArrayInTable(SourceData_PastureBeef.SourceData_PastureBeef_LiveweightNTQLD_Data(),Table_SourceData_PastureBeef_LiveweightNTQD[[#Headers],[State]], 0)</f>
        <v>Northern Territory</v>
      </c>
      <c r="E65" s="10" t="str" cm="1">
        <f t="array" ref="E65">Common_InputFunctions.Utility_DisplayArrayInTable(SourceData_PastureBeef.SourceData_PastureBeef_LiveweightNTQLD_Data(),Table_SourceData_PastureBeef_LiveweightNTQD[[#Headers],[State]], 0)</f>
        <v>Northern</v>
      </c>
      <c r="F65" s="10" t="str" cm="1">
        <f t="array" ref="F65">Common_InputFunctions.Utility_DisplayArrayInTable(SourceData_PastureBeef.SourceData_PastureBeef_LiveweightNTQLD_Data(),Table_SourceData_PastureBeef_LiveweightNTQD[[#Headers],[State]], 0)</f>
        <v>Winter</v>
      </c>
      <c r="G65" s="10" cm="1">
        <f t="array" ref="G65">Common_InputFunctions.Utility_DisplayArrayInTable(SourceData_PastureBeef.SourceData_PastureBeef_LiveweightNTQLD_Data(),Table_SourceData_PastureBeef_LiveweightNTQD[[#Headers],[State]], 0)</f>
        <v>200</v>
      </c>
      <c r="H65" s="10" cm="1">
        <f t="array" ref="H65">Common_InputFunctions.Utility_DisplayArrayInTable(SourceData_PastureBeef.SourceData_PastureBeef_LiveweightNTQLD_Data(),Table_SourceData_PastureBeef_LiveweightNTQD[[#Headers],[State]], 0)</f>
        <v>660</v>
      </c>
      <c r="I65" s="10" cm="1">
        <f t="array" ref="I65">Common_InputFunctions.Utility_DisplayArrayInTable(SourceData_PastureBeef.SourceData_PastureBeef_LiveweightNTQLD_Data(),Table_SourceData_PastureBeef_LiveweightNTQD[[#Headers],[State]], 0)</f>
        <v>202</v>
      </c>
      <c r="J65" s="10" cm="1">
        <f t="array" ref="J65">Common_InputFunctions.Utility_DisplayArrayInTable(SourceData_PastureBeef.SourceData_PastureBeef_LiveweightNTQLD_Data(),Table_SourceData_PastureBeef_LiveweightNTQD[[#Headers],[State]], 0)</f>
        <v>272</v>
      </c>
      <c r="K65" s="10" cm="1">
        <f t="array" ref="K65">Common_InputFunctions.Utility_DisplayArrayInTable(SourceData_PastureBeef.SourceData_PastureBeef_LiveweightNTQLD_Data(),Table_SourceData_PastureBeef_LiveweightNTQD[[#Headers],[State]], 0)</f>
        <v>365</v>
      </c>
      <c r="L65" s="10" cm="1">
        <f t="array" ref="L65">Common_InputFunctions.Utility_DisplayArrayInTable(SourceData_PastureBeef.SourceData_PastureBeef_LiveweightNTQLD_Data(),Table_SourceData_PastureBeef_LiveweightNTQD[[#Headers],[State]], 0)</f>
        <v>390</v>
      </c>
      <c r="M65" s="10" cm="1">
        <f t="array" ref="M65">Common_InputFunctions.Utility_DisplayArrayInTable(SourceData_PastureBeef.SourceData_PastureBeef_LiveweightNTQLD_Data(),Table_SourceData_PastureBeef_LiveweightNTQD[[#Headers],[State]], 0)</f>
        <v>208</v>
      </c>
      <c r="N65" s="10" cm="1">
        <f t="array" ref="N65">Common_InputFunctions.Utility_DisplayArrayInTable(SourceData_PastureBeef.SourceData_PastureBeef_LiveweightNTQLD_Data(),Table_SourceData_PastureBeef_LiveweightNTQD[[#Headers],[State]], 0)</f>
        <v>260</v>
      </c>
      <c r="O65" s="10" cm="1">
        <f t="array" ref="O65">Common_InputFunctions.Utility_DisplayArrayInTable(SourceData_PastureBeef.SourceData_PastureBeef_LiveweightNTQLD_Data(),Table_SourceData_PastureBeef_LiveweightNTQD[[#Headers],[State]], 0)</f>
        <v>337</v>
      </c>
      <c r="P65" s="10" t="str" cm="1">
        <f t="array" ref="P65">Common_InputFunctions.Utility_DisplayArrayInTable(SourceData_PastureBeef.SourceData_PastureBeef_LiveweightNTQLD_Data(),Table_SourceData_PastureBeef_LiveweightNTQD[[#Headers],[State]], 0)</f>
        <v>NO</v>
      </c>
    </row>
    <row r="66" spans="4:22" ht="20.100000000000001" customHeight="1" x14ac:dyDescent="0.25">
      <c r="D66" s="8" t="str" cm="1">
        <f t="array" ref="D66">Common_InputFunctions.Utility_DisplayArrayInTable(SourceData_PastureBeef.SourceData_PastureBeef_LiveweightNTQLD_Data(),Table_SourceData_PastureBeef_LiveweightNTQD[[#Headers],[State]], 0)</f>
        <v>Queensland</v>
      </c>
      <c r="E66" s="10" t="str" cm="1">
        <f t="array" ref="E66">Common_InputFunctions.Utility_DisplayArrayInTable(SourceData_PastureBeef.SourceData_PastureBeef_LiveweightNTQLD_Data(),Table_SourceData_PastureBeef_LiveweightNTQD[[#Headers],[State]], 0)</f>
        <v>High</v>
      </c>
      <c r="F66" s="10" t="str" cm="1">
        <f t="array" ref="F66">Common_InputFunctions.Utility_DisplayArrayInTable(SourceData_PastureBeef.SourceData_PastureBeef_LiveweightNTQLD_Data(),Table_SourceData_PastureBeef_LiveweightNTQD[[#Headers],[State]], 0)</f>
        <v>Spring</v>
      </c>
      <c r="G66" s="10" cm="1">
        <f t="array" ref="G66">Common_InputFunctions.Utility_DisplayArrayInTable(SourceData_PastureBeef.SourceData_PastureBeef_LiveweightNTQLD_Data(),Table_SourceData_PastureBeef_LiveweightNTQD[[#Headers],[State]], 0)</f>
        <v>260</v>
      </c>
      <c r="H66" s="10" cm="1">
        <f t="array" ref="H66">Common_InputFunctions.Utility_DisplayArrayInTable(SourceData_PastureBeef.SourceData_PastureBeef_LiveweightNTQLD_Data(),Table_SourceData_PastureBeef_LiveweightNTQD[[#Headers],[State]], 0)</f>
        <v>705</v>
      </c>
      <c r="I66" s="10" cm="1">
        <f t="array" ref="I66">Common_InputFunctions.Utility_DisplayArrayInTable(SourceData_PastureBeef.SourceData_PastureBeef_LiveweightNTQLD_Data(),Table_SourceData_PastureBeef_LiveweightNTQD[[#Headers],[State]], 0)</f>
        <v>215</v>
      </c>
      <c r="J66" s="10" cm="1">
        <f t="array" ref="J66">Common_InputFunctions.Utility_DisplayArrayInTable(SourceData_PastureBeef.SourceData_PastureBeef_LiveweightNTQLD_Data(),Table_SourceData_PastureBeef_LiveweightNTQD[[#Headers],[State]], 0)</f>
        <v>302</v>
      </c>
      <c r="K66" s="10" cm="1">
        <f t="array" ref="K66">Common_InputFunctions.Utility_DisplayArrayInTable(SourceData_PastureBeef.SourceData_PastureBeef_LiveweightNTQLD_Data(),Table_SourceData_PastureBeef_LiveweightNTQD[[#Headers],[State]], 0)</f>
        <v>416</v>
      </c>
      <c r="L66" s="10" cm="1">
        <f t="array" ref="L66">Common_InputFunctions.Utility_DisplayArrayInTable(SourceData_PastureBeef.SourceData_PastureBeef_LiveweightNTQLD_Data(),Table_SourceData_PastureBeef_LiveweightNTQD[[#Headers],[State]], 0)</f>
        <v>519</v>
      </c>
      <c r="M66" s="10" cm="1">
        <f t="array" ref="M66">Common_InputFunctions.Utility_DisplayArrayInTable(SourceData_PastureBeef.SourceData_PastureBeef_LiveweightNTQLD_Data(),Table_SourceData_PastureBeef_LiveweightNTQD[[#Headers],[State]], 0)</f>
        <v>234</v>
      </c>
      <c r="N66" s="10" cm="1">
        <f t="array" ref="N66">Common_InputFunctions.Utility_DisplayArrayInTable(SourceData_PastureBeef.SourceData_PastureBeef_LiveweightNTQLD_Data(),Table_SourceData_PastureBeef_LiveweightNTQD[[#Headers],[State]], 0)</f>
        <v>455</v>
      </c>
      <c r="O66" s="10" cm="1">
        <f t="array" ref="O66">Common_InputFunctions.Utility_DisplayArrayInTable(SourceData_PastureBeef.SourceData_PastureBeef_LiveweightNTQLD_Data(),Table_SourceData_PastureBeef_LiveweightNTQD[[#Headers],[State]], 0)</f>
        <v>551</v>
      </c>
      <c r="P66" s="10" cm="1">
        <f t="array" ref="P66">Common_InputFunctions.Utility_DisplayArrayInTable(SourceData_PastureBeef.SourceData_PastureBeef_LiveweightNTQLD_Data(),Table_SourceData_PastureBeef_LiveweightNTQD[[#Headers],[State]], 0)</f>
        <v>660</v>
      </c>
    </row>
    <row r="67" spans="4:22" ht="20.100000000000001" customHeight="1" x14ac:dyDescent="0.25">
      <c r="D67" s="8" t="str" cm="1">
        <f t="array" ref="D67">Common_InputFunctions.Utility_DisplayArrayInTable(SourceData_PastureBeef.SourceData_PastureBeef_LiveweightNTQLD_Data(),Table_SourceData_PastureBeef_LiveweightNTQD[[#Headers],[State]], 0)</f>
        <v>Queensland</v>
      </c>
      <c r="E67" s="10" t="str" cm="1">
        <f t="array" ref="E67">Common_InputFunctions.Utility_DisplayArrayInTable(SourceData_PastureBeef.SourceData_PastureBeef_LiveweightNTQLD_Data(),Table_SourceData_PastureBeef_LiveweightNTQD[[#Headers],[State]], 0)</f>
        <v>High</v>
      </c>
      <c r="F67" s="10" t="str" cm="1">
        <f t="array" ref="F67">Common_InputFunctions.Utility_DisplayArrayInTable(SourceData_PastureBeef.SourceData_PastureBeef_LiveweightNTQLD_Data(),Table_SourceData_PastureBeef_LiveweightNTQD[[#Headers],[State]], 0)</f>
        <v>Summer</v>
      </c>
      <c r="G67" s="10" cm="1">
        <f t="array" ref="G67">Common_InputFunctions.Utility_DisplayArrayInTable(SourceData_PastureBeef.SourceData_PastureBeef_LiveweightNTQLD_Data(),Table_SourceData_PastureBeef_LiveweightNTQD[[#Headers],[State]], 0)</f>
        <v>153</v>
      </c>
      <c r="H67" s="10" cm="1">
        <f t="array" ref="H67">Common_InputFunctions.Utility_DisplayArrayInTable(SourceData_PastureBeef.SourceData_PastureBeef_LiveweightNTQLD_Data(),Table_SourceData_PastureBeef_LiveweightNTQD[[#Headers],[State]], 0)</f>
        <v>703</v>
      </c>
      <c r="I67" s="10" cm="1">
        <f t="array" ref="I67">Common_InputFunctions.Utility_DisplayArrayInTable(SourceData_PastureBeef.SourceData_PastureBeef_LiveweightNTQLD_Data(),Table_SourceData_PastureBeef_LiveweightNTQD[[#Headers],[State]], 0)</f>
        <v>118</v>
      </c>
      <c r="J67" s="10" cm="1">
        <f t="array" ref="J67">Common_InputFunctions.Utility_DisplayArrayInTable(SourceData_PastureBeef.SourceData_PastureBeef_LiveweightNTQLD_Data(),Table_SourceData_PastureBeef_LiveweightNTQD[[#Headers],[State]], 0)</f>
        <v>277</v>
      </c>
      <c r="K67" s="10" cm="1">
        <f t="array" ref="K67">Common_InputFunctions.Utility_DisplayArrayInTable(SourceData_PastureBeef.SourceData_PastureBeef_LiveweightNTQLD_Data(),Table_SourceData_PastureBeef_LiveweightNTQD[[#Headers],[State]], 0)</f>
        <v>397</v>
      </c>
      <c r="L67" s="10" cm="1">
        <f t="array" ref="L67">Common_InputFunctions.Utility_DisplayArrayInTable(SourceData_PastureBeef.SourceData_PastureBeef_LiveweightNTQLD_Data(),Table_SourceData_PastureBeef_LiveweightNTQD[[#Headers],[State]], 0)</f>
        <v>483</v>
      </c>
      <c r="M67" s="10" cm="1">
        <f t="array" ref="M67">Common_InputFunctions.Utility_DisplayArrayInTable(SourceData_PastureBeef.SourceData_PastureBeef_LiveweightNTQLD_Data(),Table_SourceData_PastureBeef_LiveweightNTQD[[#Headers],[State]], 0)</f>
        <v>111</v>
      </c>
      <c r="N67" s="10" cm="1">
        <f t="array" ref="N67">Common_InputFunctions.Utility_DisplayArrayInTable(SourceData_PastureBeef.SourceData_PastureBeef_LiveweightNTQLD_Data(),Table_SourceData_PastureBeef_LiveweightNTQD[[#Headers],[State]], 0)</f>
        <v>304</v>
      </c>
      <c r="O67" s="10" cm="1">
        <f t="array" ref="O67">Common_InputFunctions.Utility_DisplayArrayInTable(SourceData_PastureBeef.SourceData_PastureBeef_LiveweightNTQLD_Data(),Table_SourceData_PastureBeef_LiveweightNTQD[[#Headers],[State]], 0)</f>
        <v>521</v>
      </c>
      <c r="P67" s="10" cm="1">
        <f t="array" ref="P67">Common_InputFunctions.Utility_DisplayArrayInTable(SourceData_PastureBeef.SourceData_PastureBeef_LiveweightNTQLD_Data(),Table_SourceData_PastureBeef_LiveweightNTQD[[#Headers],[State]], 0)</f>
        <v>547</v>
      </c>
    </row>
    <row r="68" spans="4:22" ht="20.100000000000001" customHeight="1" x14ac:dyDescent="0.25">
      <c r="D68" s="8" t="str" cm="1">
        <f t="array" ref="D68">Common_InputFunctions.Utility_DisplayArrayInTable(SourceData_PastureBeef.SourceData_PastureBeef_LiveweightNTQLD_Data(),Table_SourceData_PastureBeef_LiveweightNTQD[[#Headers],[State]], 0)</f>
        <v>Queensland</v>
      </c>
      <c r="E68" s="10" t="str" cm="1">
        <f t="array" ref="E68">Common_InputFunctions.Utility_DisplayArrayInTable(SourceData_PastureBeef.SourceData_PastureBeef_LiveweightNTQLD_Data(),Table_SourceData_PastureBeef_LiveweightNTQD[[#Headers],[State]], 0)</f>
        <v>High</v>
      </c>
      <c r="F68" s="10" t="str" cm="1">
        <f t="array" ref="F68">Common_InputFunctions.Utility_DisplayArrayInTable(SourceData_PastureBeef.SourceData_PastureBeef_LiveweightNTQLD_Data(),Table_SourceData_PastureBeef_LiveweightNTQD[[#Headers],[State]], 0)</f>
        <v>Autumn</v>
      </c>
      <c r="G68" s="10" cm="1">
        <f t="array" ref="G68">Common_InputFunctions.Utility_DisplayArrayInTable(SourceData_PastureBeef.SourceData_PastureBeef_LiveweightNTQLD_Data(),Table_SourceData_PastureBeef_LiveweightNTQD[[#Headers],[State]], 0)</f>
        <v>168</v>
      </c>
      <c r="H68" s="10" cm="1">
        <f t="array" ref="H68">Common_InputFunctions.Utility_DisplayArrayInTable(SourceData_PastureBeef.SourceData_PastureBeef_LiveweightNTQLD_Data(),Table_SourceData_PastureBeef_LiveweightNTQD[[#Headers],[State]], 0)</f>
        <v>718</v>
      </c>
      <c r="I68" s="10" cm="1">
        <f t="array" ref="I68">Common_InputFunctions.Utility_DisplayArrayInTable(SourceData_PastureBeef.SourceData_PastureBeef_LiveweightNTQLD_Data(),Table_SourceData_PastureBeef_LiveweightNTQD[[#Headers],[State]], 0)</f>
        <v>191</v>
      </c>
      <c r="J68" s="10" cm="1">
        <f t="array" ref="J68">Common_InputFunctions.Utility_DisplayArrayInTable(SourceData_PastureBeef.SourceData_PastureBeef_LiveweightNTQLD_Data(),Table_SourceData_PastureBeef_LiveweightNTQD[[#Headers],[State]], 0)</f>
        <v>319</v>
      </c>
      <c r="K68" s="10" cm="1">
        <f t="array" ref="K68">Common_InputFunctions.Utility_DisplayArrayInTable(SourceData_PastureBeef.SourceData_PastureBeef_LiveweightNTQLD_Data(),Table_SourceData_PastureBeef_LiveweightNTQD[[#Headers],[State]], 0)</f>
        <v>440</v>
      </c>
      <c r="L68" s="10" cm="1">
        <f t="array" ref="L68">Common_InputFunctions.Utility_DisplayArrayInTable(SourceData_PastureBeef.SourceData_PastureBeef_LiveweightNTQLD_Data(),Table_SourceData_PastureBeef_LiveweightNTQD[[#Headers],[State]], 0)</f>
        <v>506</v>
      </c>
      <c r="M68" s="10" cm="1">
        <f t="array" ref="M68">Common_InputFunctions.Utility_DisplayArrayInTable(SourceData_PastureBeef.SourceData_PastureBeef_LiveweightNTQLD_Data(),Table_SourceData_PastureBeef_LiveweightNTQD[[#Headers],[State]], 0)</f>
        <v>188</v>
      </c>
      <c r="N68" s="10" cm="1">
        <f t="array" ref="N68">Common_InputFunctions.Utility_DisplayArrayInTable(SourceData_PastureBeef.SourceData_PastureBeef_LiveweightNTQLD_Data(),Table_SourceData_PastureBeef_LiveweightNTQD[[#Headers],[State]], 0)</f>
        <v>326</v>
      </c>
      <c r="O68" s="10" cm="1">
        <f t="array" ref="O68">Common_InputFunctions.Utility_DisplayArrayInTable(SourceData_PastureBeef.SourceData_PastureBeef_LiveweightNTQLD_Data(),Table_SourceData_PastureBeef_LiveweightNTQD[[#Headers],[State]], 0)</f>
        <v>520</v>
      </c>
      <c r="P68" s="10" cm="1">
        <f t="array" ref="P68">Common_InputFunctions.Utility_DisplayArrayInTable(SourceData_PastureBeef.SourceData_PastureBeef_LiveweightNTQLD_Data(),Table_SourceData_PastureBeef_LiveweightNTQD[[#Headers],[State]], 0)</f>
        <v>582</v>
      </c>
    </row>
    <row r="69" spans="4:22" ht="20.100000000000001" customHeight="1" x14ac:dyDescent="0.25">
      <c r="D69" s="8" t="str" cm="1">
        <f t="array" ref="D69">Common_InputFunctions.Utility_DisplayArrayInTable(SourceData_PastureBeef.SourceData_PastureBeef_LiveweightNTQLD_Data(),Table_SourceData_PastureBeef_LiveweightNTQD[[#Headers],[State]], 0)</f>
        <v>Queensland</v>
      </c>
      <c r="E69" s="10" t="str" cm="1">
        <f t="array" ref="E69">Common_InputFunctions.Utility_DisplayArrayInTable(SourceData_PastureBeef.SourceData_PastureBeef_LiveweightNTQLD_Data(),Table_SourceData_PastureBeef_LiveweightNTQD[[#Headers],[State]], 0)</f>
        <v>High</v>
      </c>
      <c r="F69" s="10" t="str" cm="1">
        <f t="array" ref="F69">Common_InputFunctions.Utility_DisplayArrayInTable(SourceData_PastureBeef.SourceData_PastureBeef_LiveweightNTQLD_Data(),Table_SourceData_PastureBeef_LiveweightNTQD[[#Headers],[State]], 0)</f>
        <v>Winter</v>
      </c>
      <c r="G69" s="10" cm="1">
        <f t="array" ref="G69">Common_InputFunctions.Utility_DisplayArrayInTable(SourceData_PastureBeef.SourceData_PastureBeef_LiveweightNTQLD_Data(),Table_SourceData_PastureBeef_LiveweightNTQD[[#Headers],[State]], 0)</f>
        <v>235</v>
      </c>
      <c r="H69" s="10" cm="1">
        <f t="array" ref="H69">Common_InputFunctions.Utility_DisplayArrayInTable(SourceData_PastureBeef.SourceData_PastureBeef_LiveweightNTQLD_Data(),Table_SourceData_PastureBeef_LiveweightNTQD[[#Headers],[State]], 0)</f>
        <v>722</v>
      </c>
      <c r="I69" s="10" cm="1">
        <f t="array" ref="I69">Common_InputFunctions.Utility_DisplayArrayInTable(SourceData_PastureBeef.SourceData_PastureBeef_LiveweightNTQLD_Data(),Table_SourceData_PastureBeef_LiveweightNTQD[[#Headers],[State]], 0)</f>
        <v>207</v>
      </c>
      <c r="J69" s="10" cm="1">
        <f t="array" ref="J69">Common_InputFunctions.Utility_DisplayArrayInTable(SourceData_PastureBeef.SourceData_PastureBeef_LiveweightNTQLD_Data(),Table_SourceData_PastureBeef_LiveweightNTQD[[#Headers],[State]], 0)</f>
        <v>352</v>
      </c>
      <c r="K69" s="10" cm="1">
        <f t="array" ref="K69">Common_InputFunctions.Utility_DisplayArrayInTable(SourceData_PastureBeef.SourceData_PastureBeef_LiveweightNTQLD_Data(),Table_SourceData_PastureBeef_LiveweightNTQD[[#Headers],[State]], 0)</f>
        <v>470</v>
      </c>
      <c r="L69" s="10" cm="1">
        <f t="array" ref="L69">Common_InputFunctions.Utility_DisplayArrayInTable(SourceData_PastureBeef.SourceData_PastureBeef_LiveweightNTQLD_Data(),Table_SourceData_PastureBeef_LiveweightNTQD[[#Headers],[State]], 0)</f>
        <v>514</v>
      </c>
      <c r="M69" s="10" cm="1">
        <f t="array" ref="M69">Common_InputFunctions.Utility_DisplayArrayInTable(SourceData_PastureBeef.SourceData_PastureBeef_LiveweightNTQLD_Data(),Table_SourceData_PastureBeef_LiveweightNTQD[[#Headers],[State]], 0)</f>
        <v>209</v>
      </c>
      <c r="N69" s="10" cm="1">
        <f t="array" ref="N69">Common_InputFunctions.Utility_DisplayArrayInTable(SourceData_PastureBeef.SourceData_PastureBeef_LiveweightNTQLD_Data(),Table_SourceData_PastureBeef_LiveweightNTQD[[#Headers],[State]], 0)</f>
        <v>421</v>
      </c>
      <c r="O69" s="10" cm="1">
        <f t="array" ref="O69">Common_InputFunctions.Utility_DisplayArrayInTable(SourceData_PastureBeef.SourceData_PastureBeef_LiveweightNTQLD_Data(),Table_SourceData_PastureBeef_LiveweightNTQD[[#Headers],[State]], 0)</f>
        <v>512</v>
      </c>
      <c r="P69" s="10" cm="1">
        <f t="array" ref="P69">Common_InputFunctions.Utility_DisplayArrayInTable(SourceData_PastureBeef.SourceData_PastureBeef_LiveweightNTQLD_Data(),Table_SourceData_PastureBeef_LiveweightNTQD[[#Headers],[State]], 0)</f>
        <v>605</v>
      </c>
    </row>
    <row r="70" spans="4:22" ht="20.100000000000001" customHeight="1" x14ac:dyDescent="0.25">
      <c r="D70" s="8" t="str" cm="1">
        <f t="array" ref="D70">Common_InputFunctions.Utility_DisplayArrayInTable(SourceData_PastureBeef.SourceData_PastureBeef_LiveweightNTQLD_Data(),Table_SourceData_PastureBeef_LiveweightNTQD[[#Headers],[State]], 0)</f>
        <v>Queensland</v>
      </c>
      <c r="E70" s="10" t="str" cm="1">
        <f t="array" ref="E70">Common_InputFunctions.Utility_DisplayArrayInTable(SourceData_PastureBeef.SourceData_PastureBeef_LiveweightNTQLD_Data(),Table_SourceData_PastureBeef_LiveweightNTQD[[#Headers],[State]], 0)</f>
        <v>Moderate/High</v>
      </c>
      <c r="F70" s="10" t="str" cm="1">
        <f t="array" ref="F70">Common_InputFunctions.Utility_DisplayArrayInTable(SourceData_PastureBeef.SourceData_PastureBeef_LiveweightNTQLD_Data(),Table_SourceData_PastureBeef_LiveweightNTQD[[#Headers],[State]], 0)</f>
        <v>Spring</v>
      </c>
      <c r="G70" s="10" cm="1">
        <f t="array" ref="G70">Common_InputFunctions.Utility_DisplayArrayInTable(SourceData_PastureBeef.SourceData_PastureBeef_LiveweightNTQLD_Data(),Table_SourceData_PastureBeef_LiveweightNTQD[[#Headers],[State]], 0)</f>
        <v>230</v>
      </c>
      <c r="H70" s="10" cm="1">
        <f t="array" ref="H70">Common_InputFunctions.Utility_DisplayArrayInTable(SourceData_PastureBeef.SourceData_PastureBeef_LiveweightNTQLD_Data(),Table_SourceData_PastureBeef_LiveweightNTQD[[#Headers],[State]], 0)</f>
        <v>674</v>
      </c>
      <c r="I70" s="10" cm="1">
        <f t="array" ref="I70">Common_InputFunctions.Utility_DisplayArrayInTable(SourceData_PastureBeef.SourceData_PastureBeef_LiveweightNTQLD_Data(),Table_SourceData_PastureBeef_LiveweightNTQD[[#Headers],[State]], 0)</f>
        <v>217</v>
      </c>
      <c r="J70" s="10" cm="1">
        <f t="array" ref="J70">Common_InputFunctions.Utility_DisplayArrayInTable(SourceData_PastureBeef.SourceData_PastureBeef_LiveweightNTQLD_Data(),Table_SourceData_PastureBeef_LiveweightNTQD[[#Headers],[State]], 0)</f>
        <v>344</v>
      </c>
      <c r="K70" s="10" cm="1">
        <f t="array" ref="K70">Common_InputFunctions.Utility_DisplayArrayInTable(SourceData_PastureBeef.SourceData_PastureBeef_LiveweightNTQLD_Data(),Table_SourceData_PastureBeef_LiveweightNTQD[[#Headers],[State]], 0)</f>
        <v>357</v>
      </c>
      <c r="L70" s="10" cm="1">
        <f t="array" ref="L70">Common_InputFunctions.Utility_DisplayArrayInTable(SourceData_PastureBeef.SourceData_PastureBeef_LiveweightNTQLD_Data(),Table_SourceData_PastureBeef_LiveweightNTQD[[#Headers],[State]], 0)</f>
        <v>467</v>
      </c>
      <c r="M70" s="10" cm="1">
        <f t="array" ref="M70">Common_InputFunctions.Utility_DisplayArrayInTable(SourceData_PastureBeef.SourceData_PastureBeef_LiveweightNTQLD_Data(),Table_SourceData_PastureBeef_LiveweightNTQD[[#Headers],[State]], 0)</f>
        <v>242</v>
      </c>
      <c r="N70" s="10" cm="1">
        <f t="array" ref="N70">Common_InputFunctions.Utility_DisplayArrayInTable(SourceData_PastureBeef.SourceData_PastureBeef_LiveweightNTQLD_Data(),Table_SourceData_PastureBeef_LiveweightNTQD[[#Headers],[State]], 0)</f>
        <v>370</v>
      </c>
      <c r="O70" s="10" cm="1">
        <f t="array" ref="O70">Common_InputFunctions.Utility_DisplayArrayInTable(SourceData_PastureBeef.SourceData_PastureBeef_LiveweightNTQLD_Data(),Table_SourceData_PastureBeef_LiveweightNTQD[[#Headers],[State]], 0)</f>
        <v>550</v>
      </c>
      <c r="P70" s="10" cm="1">
        <f t="array" ref="P70">Common_InputFunctions.Utility_DisplayArrayInTable(SourceData_PastureBeef.SourceData_PastureBeef_LiveweightNTQLD_Data(),Table_SourceData_PastureBeef_LiveweightNTQD[[#Headers],[State]], 0)</f>
        <v>620</v>
      </c>
    </row>
    <row r="71" spans="4:22" ht="20.100000000000001" customHeight="1" x14ac:dyDescent="0.25">
      <c r="D71" s="8" t="str" cm="1">
        <f t="array" ref="D71">Common_InputFunctions.Utility_DisplayArrayInTable(SourceData_PastureBeef.SourceData_PastureBeef_LiveweightNTQLD_Data(),Table_SourceData_PastureBeef_LiveweightNTQD[[#Headers],[State]], 0)</f>
        <v>Queensland</v>
      </c>
      <c r="E71" s="10" t="str" cm="1">
        <f t="array" ref="E71">Common_InputFunctions.Utility_DisplayArrayInTable(SourceData_PastureBeef.SourceData_PastureBeef_LiveweightNTQLD_Data(),Table_SourceData_PastureBeef_LiveweightNTQD[[#Headers],[State]], 0)</f>
        <v>Moderate/High</v>
      </c>
      <c r="F71" s="10" t="str" cm="1">
        <f t="array" ref="F71">Common_InputFunctions.Utility_DisplayArrayInTable(SourceData_PastureBeef.SourceData_PastureBeef_LiveweightNTQLD_Data(),Table_SourceData_PastureBeef_LiveweightNTQD[[#Headers],[State]], 0)</f>
        <v>Summer</v>
      </c>
      <c r="G71" s="10" cm="1">
        <f t="array" ref="G71">Common_InputFunctions.Utility_DisplayArrayInTable(SourceData_PastureBeef.SourceData_PastureBeef_LiveweightNTQLD_Data(),Table_SourceData_PastureBeef_LiveweightNTQD[[#Headers],[State]], 0)</f>
        <v>113</v>
      </c>
      <c r="H71" s="10" cm="1">
        <f t="array" ref="H71">Common_InputFunctions.Utility_DisplayArrayInTable(SourceData_PastureBeef.SourceData_PastureBeef_LiveweightNTQLD_Data(),Table_SourceData_PastureBeef_LiveweightNTQD[[#Headers],[State]], 0)</f>
        <v>669</v>
      </c>
      <c r="I71" s="10" cm="1">
        <f t="array" ref="I71">Common_InputFunctions.Utility_DisplayArrayInTable(SourceData_PastureBeef.SourceData_PastureBeef_LiveweightNTQLD_Data(),Table_SourceData_PastureBeef_LiveweightNTQD[[#Headers],[State]], 0)</f>
        <v>113</v>
      </c>
      <c r="J71" s="10" cm="1">
        <f t="array" ref="J71">Common_InputFunctions.Utility_DisplayArrayInTable(SourceData_PastureBeef.SourceData_PastureBeef_LiveweightNTQLD_Data(),Table_SourceData_PastureBeef_LiveweightNTQD[[#Headers],[State]], 0)</f>
        <v>283</v>
      </c>
      <c r="K71" s="10" cm="1">
        <f t="array" ref="K71">Common_InputFunctions.Utility_DisplayArrayInTable(SourceData_PastureBeef.SourceData_PastureBeef_LiveweightNTQLD_Data(),Table_SourceData_PastureBeef_LiveweightNTQD[[#Headers],[State]], 0)</f>
        <v>361</v>
      </c>
      <c r="L71" s="10" cm="1">
        <f t="array" ref="L71">Common_InputFunctions.Utility_DisplayArrayInTable(SourceData_PastureBeef.SourceData_PastureBeef_LiveweightNTQLD_Data(),Table_SourceData_PastureBeef_LiveweightNTQD[[#Headers],[State]], 0)</f>
        <v>477</v>
      </c>
      <c r="M71" s="10" cm="1">
        <f t="array" ref="M71">Common_InputFunctions.Utility_DisplayArrayInTable(SourceData_PastureBeef.SourceData_PastureBeef_LiveweightNTQLD_Data(),Table_SourceData_PastureBeef_LiveweightNTQD[[#Headers],[State]], 0)</f>
        <v>120</v>
      </c>
      <c r="N71" s="10" cm="1">
        <f t="array" ref="N71">Common_InputFunctions.Utility_DisplayArrayInTable(SourceData_PastureBeef.SourceData_PastureBeef_LiveweightNTQLD_Data(),Table_SourceData_PastureBeef_LiveweightNTQD[[#Headers],[State]], 0)</f>
        <v>273</v>
      </c>
      <c r="O71" s="10" cm="1">
        <f t="array" ref="O71">Common_InputFunctions.Utility_DisplayArrayInTable(SourceData_PastureBeef.SourceData_PastureBeef_LiveweightNTQLD_Data(),Table_SourceData_PastureBeef_LiveweightNTQD[[#Headers],[State]], 0)</f>
        <v>545</v>
      </c>
      <c r="P71" s="10" cm="1">
        <f t="array" ref="P71">Common_InputFunctions.Utility_DisplayArrayInTable(SourceData_PastureBeef.SourceData_PastureBeef_LiveweightNTQLD_Data(),Table_SourceData_PastureBeef_LiveweightNTQD[[#Headers],[State]], 0)</f>
        <v>553</v>
      </c>
      <c r="V71" s="8"/>
    </row>
    <row r="72" spans="4:22" ht="20.100000000000001" customHeight="1" x14ac:dyDescent="0.25">
      <c r="D72" s="8" t="str" cm="1">
        <f t="array" ref="D72">Common_InputFunctions.Utility_DisplayArrayInTable(SourceData_PastureBeef.SourceData_PastureBeef_LiveweightNTQLD_Data(),Table_SourceData_PastureBeef_LiveweightNTQD[[#Headers],[State]], 0)</f>
        <v>Queensland</v>
      </c>
      <c r="E72" s="10" t="str" cm="1">
        <f t="array" ref="E72">Common_InputFunctions.Utility_DisplayArrayInTable(SourceData_PastureBeef.SourceData_PastureBeef_LiveweightNTQLD_Data(),Table_SourceData_PastureBeef_LiveweightNTQD[[#Headers],[State]], 0)</f>
        <v>Moderate/High</v>
      </c>
      <c r="F72" s="10" t="str" cm="1">
        <f t="array" ref="F72">Common_InputFunctions.Utility_DisplayArrayInTable(SourceData_PastureBeef.SourceData_PastureBeef_LiveweightNTQLD_Data(),Table_SourceData_PastureBeef_LiveweightNTQD[[#Headers],[State]], 0)</f>
        <v>Autumn</v>
      </c>
      <c r="G72" s="10" cm="1">
        <f t="array" ref="G72">Common_InputFunctions.Utility_DisplayArrayInTable(SourceData_PastureBeef.SourceData_PastureBeef_LiveweightNTQLD_Data(),Table_SourceData_PastureBeef_LiveweightNTQD[[#Headers],[State]], 0)</f>
        <v>172</v>
      </c>
      <c r="H72" s="10" cm="1">
        <f t="array" ref="H72">Common_InputFunctions.Utility_DisplayArrayInTable(SourceData_PastureBeef.SourceData_PastureBeef_LiveweightNTQLD_Data(),Table_SourceData_PastureBeef_LiveweightNTQD[[#Headers],[State]], 0)</f>
        <v>685</v>
      </c>
      <c r="I72" s="10" cm="1">
        <f t="array" ref="I72">Common_InputFunctions.Utility_DisplayArrayInTable(SourceData_PastureBeef.SourceData_PastureBeef_LiveweightNTQLD_Data(),Table_SourceData_PastureBeef_LiveweightNTQD[[#Headers],[State]], 0)</f>
        <v>172</v>
      </c>
      <c r="J72" s="10" cm="1">
        <f t="array" ref="J72">Common_InputFunctions.Utility_DisplayArrayInTable(SourceData_PastureBeef.SourceData_PastureBeef_LiveweightNTQLD_Data(),Table_SourceData_PastureBeef_LiveweightNTQD[[#Headers],[State]], 0)</f>
        <v>309</v>
      </c>
      <c r="K72" s="10" cm="1">
        <f t="array" ref="K72">Common_InputFunctions.Utility_DisplayArrayInTable(SourceData_PastureBeef.SourceData_PastureBeef_LiveweightNTQLD_Data(),Table_SourceData_PastureBeef_LiveweightNTQD[[#Headers],[State]], 0)</f>
        <v>376</v>
      </c>
      <c r="L72" s="10" cm="1">
        <f t="array" ref="L72">Common_InputFunctions.Utility_DisplayArrayInTable(SourceData_PastureBeef.SourceData_PastureBeef_LiveweightNTQLD_Data(),Table_SourceData_PastureBeef_LiveweightNTQD[[#Headers],[State]], 0)</f>
        <v>471</v>
      </c>
      <c r="M72" s="10" cm="1">
        <f t="array" ref="M72">Common_InputFunctions.Utility_DisplayArrayInTable(SourceData_PastureBeef.SourceData_PastureBeef_LiveweightNTQLD_Data(),Table_SourceData_PastureBeef_LiveweightNTQD[[#Headers],[State]], 0)</f>
        <v>238</v>
      </c>
      <c r="N72" s="10" cm="1">
        <f t="array" ref="N72">Common_InputFunctions.Utility_DisplayArrayInTable(SourceData_PastureBeef.SourceData_PastureBeef_LiveweightNTQLD_Data(),Table_SourceData_PastureBeef_LiveweightNTQD[[#Headers],[State]], 0)</f>
        <v>329</v>
      </c>
      <c r="O72" s="10" cm="1">
        <f t="array" ref="O72">Common_InputFunctions.Utility_DisplayArrayInTable(SourceData_PastureBeef.SourceData_PastureBeef_LiveweightNTQLD_Data(),Table_SourceData_PastureBeef_LiveweightNTQD[[#Headers],[State]], 0)</f>
        <v>573</v>
      </c>
      <c r="P72" s="10" cm="1">
        <f t="array" ref="P72">Common_InputFunctions.Utility_DisplayArrayInTable(SourceData_PastureBeef.SourceData_PastureBeef_LiveweightNTQLD_Data(),Table_SourceData_PastureBeef_LiveweightNTQD[[#Headers],[State]], 0)</f>
        <v>620</v>
      </c>
      <c r="V72" s="8"/>
    </row>
    <row r="73" spans="4:22" ht="20.100000000000001" customHeight="1" x14ac:dyDescent="0.25">
      <c r="D73" s="8" t="str" cm="1">
        <f t="array" ref="D73">Common_InputFunctions.Utility_DisplayArrayInTable(SourceData_PastureBeef.SourceData_PastureBeef_LiveweightNTQLD_Data(),Table_SourceData_PastureBeef_LiveweightNTQD[[#Headers],[State]], 0)</f>
        <v>Queensland</v>
      </c>
      <c r="E73" s="10" t="str" cm="1">
        <f t="array" ref="E73">Common_InputFunctions.Utility_DisplayArrayInTable(SourceData_PastureBeef.SourceData_PastureBeef_LiveweightNTQLD_Data(),Table_SourceData_PastureBeef_LiveweightNTQD[[#Headers],[State]], 0)</f>
        <v>Moderate/High</v>
      </c>
      <c r="F73" s="10" t="str" cm="1">
        <f t="array" ref="F73">Common_InputFunctions.Utility_DisplayArrayInTable(SourceData_PastureBeef.SourceData_PastureBeef_LiveweightNTQLD_Data(),Table_SourceData_PastureBeef_LiveweightNTQD[[#Headers],[State]], 0)</f>
        <v>Winter</v>
      </c>
      <c r="G73" s="10" cm="1">
        <f t="array" ref="G73">Common_InputFunctions.Utility_DisplayArrayInTable(SourceData_PastureBeef.SourceData_PastureBeef_LiveweightNTQLD_Data(),Table_SourceData_PastureBeef_LiveweightNTQD[[#Headers],[State]], 0)</f>
        <v>241</v>
      </c>
      <c r="H73" s="10" cm="1">
        <f t="array" ref="H73">Common_InputFunctions.Utility_DisplayArrayInTable(SourceData_PastureBeef.SourceData_PastureBeef_LiveweightNTQLD_Data(),Table_SourceData_PastureBeef_LiveweightNTQD[[#Headers],[State]], 0)</f>
        <v>692</v>
      </c>
      <c r="I73" s="10" cm="1">
        <f t="array" ref="I73">Common_InputFunctions.Utility_DisplayArrayInTable(SourceData_PastureBeef.SourceData_PastureBeef_LiveweightNTQLD_Data(),Table_SourceData_PastureBeef_LiveweightNTQD[[#Headers],[State]], 0)</f>
        <v>208</v>
      </c>
      <c r="J73" s="10" cm="1">
        <f t="array" ref="J73">Common_InputFunctions.Utility_DisplayArrayInTable(SourceData_PastureBeef.SourceData_PastureBeef_LiveweightNTQLD_Data(),Table_SourceData_PastureBeef_LiveweightNTQD[[#Headers],[State]], 0)</f>
        <v>344</v>
      </c>
      <c r="K73" s="10" cm="1">
        <f t="array" ref="K73">Common_InputFunctions.Utility_DisplayArrayInTable(SourceData_PastureBeef.SourceData_PastureBeef_LiveweightNTQLD_Data(),Table_SourceData_PastureBeef_LiveweightNTQD[[#Headers],[State]], 0)</f>
        <v>364</v>
      </c>
      <c r="L73" s="10" cm="1">
        <f t="array" ref="L73">Common_InputFunctions.Utility_DisplayArrayInTable(SourceData_PastureBeef.SourceData_PastureBeef_LiveweightNTQLD_Data(),Table_SourceData_PastureBeef_LiveweightNTQD[[#Headers],[State]], 0)</f>
        <v>484</v>
      </c>
      <c r="M73" s="10" cm="1">
        <f t="array" ref="M73">Common_InputFunctions.Utility_DisplayArrayInTable(SourceData_PastureBeef.SourceData_PastureBeef_LiveweightNTQLD_Data(),Table_SourceData_PastureBeef_LiveweightNTQD[[#Headers],[State]], 0)</f>
        <v>260</v>
      </c>
      <c r="N73" s="10" cm="1">
        <f t="array" ref="N73">Common_InputFunctions.Utility_DisplayArrayInTable(SourceData_PastureBeef.SourceData_PastureBeef_LiveweightNTQLD_Data(),Table_SourceData_PastureBeef_LiveweightNTQD[[#Headers],[State]], 0)</f>
        <v>350</v>
      </c>
      <c r="O73" s="10" cm="1">
        <f t="array" ref="O73">Common_InputFunctions.Utility_DisplayArrayInTable(SourceData_PastureBeef.SourceData_PastureBeef_LiveweightNTQLD_Data(),Table_SourceData_PastureBeef_LiveweightNTQD[[#Headers],[State]], 0)</f>
        <v>567</v>
      </c>
      <c r="P73" s="10" cm="1">
        <f t="array" ref="P73">Common_InputFunctions.Utility_DisplayArrayInTable(SourceData_PastureBeef.SourceData_PastureBeef_LiveweightNTQLD_Data(),Table_SourceData_PastureBeef_LiveweightNTQD[[#Headers],[State]], 0)</f>
        <v>620</v>
      </c>
      <c r="V73" s="8"/>
    </row>
    <row r="74" spans="4:22" ht="20.100000000000001" customHeight="1" x14ac:dyDescent="0.25">
      <c r="D74" s="8" t="str" cm="1">
        <f t="array" ref="D74">Common_InputFunctions.Utility_DisplayArrayInTable(SourceData_PastureBeef.SourceData_PastureBeef_LiveweightNTQLD_Data(),Table_SourceData_PastureBeef_LiveweightNTQD[[#Headers],[State]], 0)</f>
        <v>Queensland</v>
      </c>
      <c r="E74" s="10" t="str" cm="1">
        <f t="array" ref="E74">Common_InputFunctions.Utility_DisplayArrayInTable(SourceData_PastureBeef.SourceData_PastureBeef_LiveweightNTQLD_Data(),Table_SourceData_PastureBeef_LiveweightNTQD[[#Headers],[State]], 0)</f>
        <v>Moderate/Low</v>
      </c>
      <c r="F74" s="10" t="str" cm="1">
        <f t="array" ref="F74">Common_InputFunctions.Utility_DisplayArrayInTable(SourceData_PastureBeef.SourceData_PastureBeef_LiveweightNTQLD_Data(),Table_SourceData_PastureBeef_LiveweightNTQD[[#Headers],[State]], 0)</f>
        <v>Spring</v>
      </c>
      <c r="G74" s="10" cm="1">
        <f t="array" ref="G74">Common_InputFunctions.Utility_DisplayArrayInTable(SourceData_PastureBeef.SourceData_PastureBeef_LiveweightNTQLD_Data(),Table_SourceData_PastureBeef_LiveweightNTQD[[#Headers],[State]], 0)</f>
        <v>236</v>
      </c>
      <c r="H74" s="10" cm="1">
        <f t="array" ref="H74">Common_InputFunctions.Utility_DisplayArrayInTable(SourceData_PastureBeef.SourceData_PastureBeef_LiveweightNTQLD_Data(),Table_SourceData_PastureBeef_LiveweightNTQD[[#Headers],[State]], 0)</f>
        <v>674</v>
      </c>
      <c r="I74" s="10" cm="1">
        <f t="array" ref="I74">Common_InputFunctions.Utility_DisplayArrayInTable(SourceData_PastureBeef.SourceData_PastureBeef_LiveweightNTQLD_Data(),Table_SourceData_PastureBeef_LiveweightNTQD[[#Headers],[State]], 0)</f>
        <v>178</v>
      </c>
      <c r="J74" s="10" cm="1">
        <f t="array" ref="J74">Common_InputFunctions.Utility_DisplayArrayInTable(SourceData_PastureBeef.SourceData_PastureBeef_LiveweightNTQLD_Data(),Table_SourceData_PastureBeef_LiveweightNTQD[[#Headers],[State]], 0)</f>
        <v>310</v>
      </c>
      <c r="K74" s="10" cm="1">
        <f t="array" ref="K74">Common_InputFunctions.Utility_DisplayArrayInTable(SourceData_PastureBeef.SourceData_PastureBeef_LiveweightNTQLD_Data(),Table_SourceData_PastureBeef_LiveweightNTQD[[#Headers],[State]], 0)</f>
        <v>428</v>
      </c>
      <c r="L74" s="10" cm="1">
        <f t="array" ref="L74">Common_InputFunctions.Utility_DisplayArrayInTable(SourceData_PastureBeef.SourceData_PastureBeef_LiveweightNTQLD_Data(),Table_SourceData_PastureBeef_LiveweightNTQD[[#Headers],[State]], 0)</f>
        <v>466</v>
      </c>
      <c r="M74" s="10" cm="1">
        <f t="array" ref="M74">Common_InputFunctions.Utility_DisplayArrayInTable(SourceData_PastureBeef.SourceData_PastureBeef_LiveweightNTQLD_Data(),Table_SourceData_PastureBeef_LiveweightNTQD[[#Headers],[State]], 0)</f>
        <v>193</v>
      </c>
      <c r="N74" s="10" cm="1">
        <f t="array" ref="N74">Common_InputFunctions.Utility_DisplayArrayInTable(SourceData_PastureBeef.SourceData_PastureBeef_LiveweightNTQLD_Data(),Table_SourceData_PastureBeef_LiveweightNTQD[[#Headers],[State]], 0)</f>
        <v>370</v>
      </c>
      <c r="O74" s="10" cm="1">
        <f t="array" ref="O74">Common_InputFunctions.Utility_DisplayArrayInTable(SourceData_PastureBeef.SourceData_PastureBeef_LiveweightNTQLD_Data(),Table_SourceData_PastureBeef_LiveweightNTQD[[#Headers],[State]], 0)</f>
        <v>519</v>
      </c>
      <c r="P74" s="10" cm="1">
        <f t="array" ref="P74">Common_InputFunctions.Utility_DisplayArrayInTable(SourceData_PastureBeef.SourceData_PastureBeef_LiveweightNTQLD_Data(),Table_SourceData_PastureBeef_LiveweightNTQD[[#Headers],[State]], 0)</f>
        <v>565</v>
      </c>
      <c r="V74" s="8"/>
    </row>
    <row r="75" spans="4:22" ht="20.100000000000001" customHeight="1" x14ac:dyDescent="0.25">
      <c r="D75" s="8" t="str" cm="1">
        <f t="array" ref="D75">Common_InputFunctions.Utility_DisplayArrayInTable(SourceData_PastureBeef.SourceData_PastureBeef_LiveweightNTQLD_Data(),Table_SourceData_PastureBeef_LiveweightNTQD[[#Headers],[State]], 0)</f>
        <v>Queensland</v>
      </c>
      <c r="E75" s="10" t="str" cm="1">
        <f t="array" ref="E75">Common_InputFunctions.Utility_DisplayArrayInTable(SourceData_PastureBeef.SourceData_PastureBeef_LiveweightNTQLD_Data(),Table_SourceData_PastureBeef_LiveweightNTQD[[#Headers],[State]], 0)</f>
        <v>Moderate/Low</v>
      </c>
      <c r="F75" s="10" t="str" cm="1">
        <f t="array" ref="F75">Common_InputFunctions.Utility_DisplayArrayInTable(SourceData_PastureBeef.SourceData_PastureBeef_LiveweightNTQLD_Data(),Table_SourceData_PastureBeef_LiveweightNTQD[[#Headers],[State]], 0)</f>
        <v>Summer</v>
      </c>
      <c r="G75" s="10" cm="1">
        <f t="array" ref="G75">Common_InputFunctions.Utility_DisplayArrayInTable(SourceData_PastureBeef.SourceData_PastureBeef_LiveweightNTQLD_Data(),Table_SourceData_PastureBeef_LiveweightNTQD[[#Headers],[State]], 0)</f>
        <v>120</v>
      </c>
      <c r="H75" s="10" cm="1">
        <f t="array" ref="H75">Common_InputFunctions.Utility_DisplayArrayInTable(SourceData_PastureBeef.SourceData_PastureBeef_LiveweightNTQLD_Data(),Table_SourceData_PastureBeef_LiveweightNTQD[[#Headers],[State]], 0)</f>
        <v>669</v>
      </c>
      <c r="I75" s="10" cm="1">
        <f t="array" ref="I75">Common_InputFunctions.Utility_DisplayArrayInTable(SourceData_PastureBeef.SourceData_PastureBeef_LiveweightNTQLD_Data(),Table_SourceData_PastureBeef_LiveweightNTQD[[#Headers],[State]], 0)</f>
        <v>112</v>
      </c>
      <c r="J75" s="10" cm="1">
        <f t="array" ref="J75">Common_InputFunctions.Utility_DisplayArrayInTable(SourceData_PastureBeef.SourceData_PastureBeef_LiveweightNTQLD_Data(),Table_SourceData_PastureBeef_LiveweightNTQD[[#Headers],[State]], 0)</f>
        <v>250</v>
      </c>
      <c r="K75" s="10" cm="1">
        <f t="array" ref="K75">Common_InputFunctions.Utility_DisplayArrayInTable(SourceData_PastureBeef.SourceData_PastureBeef_LiveweightNTQLD_Data(),Table_SourceData_PastureBeef_LiveweightNTQD[[#Headers],[State]], 0)</f>
        <v>390</v>
      </c>
      <c r="L75" s="10" cm="1">
        <f t="array" ref="L75">Common_InputFunctions.Utility_DisplayArrayInTable(SourceData_PastureBeef.SourceData_PastureBeef_LiveweightNTQLD_Data(),Table_SourceData_PastureBeef_LiveweightNTQD[[#Headers],[State]], 0)</f>
        <v>448</v>
      </c>
      <c r="M75" s="10" cm="1">
        <f t="array" ref="M75">Common_InputFunctions.Utility_DisplayArrayInTable(SourceData_PastureBeef.SourceData_PastureBeef_LiveweightNTQLD_Data(),Table_SourceData_PastureBeef_LiveweightNTQD[[#Headers],[State]], 0)</f>
        <v>115</v>
      </c>
      <c r="N75" s="10" cm="1">
        <f t="array" ref="N75">Common_InputFunctions.Utility_DisplayArrayInTable(SourceData_PastureBeef.SourceData_PastureBeef_LiveweightNTQLD_Data(),Table_SourceData_PastureBeef_LiveweightNTQD[[#Headers],[State]], 0)</f>
        <v>273</v>
      </c>
      <c r="O75" s="10" cm="1">
        <f t="array" ref="O75">Common_InputFunctions.Utility_DisplayArrayInTable(SourceData_PastureBeef.SourceData_PastureBeef_LiveweightNTQLD_Data(),Table_SourceData_PastureBeef_LiveweightNTQD[[#Headers],[State]], 0)</f>
        <v>433</v>
      </c>
      <c r="P75" s="10" cm="1">
        <f t="array" ref="P75">Common_InputFunctions.Utility_DisplayArrayInTable(SourceData_PastureBeef.SourceData_PastureBeef_LiveweightNTQLD_Data(),Table_SourceData_PastureBeef_LiveweightNTQD[[#Headers],[State]], 0)</f>
        <v>556</v>
      </c>
      <c r="V75" s="8"/>
    </row>
    <row r="76" spans="4:22" ht="20.100000000000001" customHeight="1" x14ac:dyDescent="0.25">
      <c r="D76" s="8" t="str" cm="1">
        <f t="array" ref="D76">Common_InputFunctions.Utility_DisplayArrayInTable(SourceData_PastureBeef.SourceData_PastureBeef_LiveweightNTQLD_Data(),Table_SourceData_PastureBeef_LiveweightNTQD[[#Headers],[State]], 0)</f>
        <v>Queensland</v>
      </c>
      <c r="E76" s="10" t="str" cm="1">
        <f t="array" ref="E76">Common_InputFunctions.Utility_DisplayArrayInTable(SourceData_PastureBeef.SourceData_PastureBeef_LiveweightNTQLD_Data(),Table_SourceData_PastureBeef_LiveweightNTQD[[#Headers],[State]], 0)</f>
        <v>Moderate/Low</v>
      </c>
      <c r="F76" s="10" t="str" cm="1">
        <f t="array" ref="F76">Common_InputFunctions.Utility_DisplayArrayInTable(SourceData_PastureBeef.SourceData_PastureBeef_LiveweightNTQLD_Data(),Table_SourceData_PastureBeef_LiveweightNTQD[[#Headers],[State]], 0)</f>
        <v>Autumn</v>
      </c>
      <c r="G76" s="10" cm="1">
        <f t="array" ref="G76">Common_InputFunctions.Utility_DisplayArrayInTable(SourceData_PastureBeef.SourceData_PastureBeef_LiveweightNTQLD_Data(),Table_SourceData_PastureBeef_LiveweightNTQD[[#Headers],[State]], 0)</f>
        <v>125</v>
      </c>
      <c r="H76" s="10" cm="1">
        <f t="array" ref="H76">Common_InputFunctions.Utility_DisplayArrayInTable(SourceData_PastureBeef.SourceData_PastureBeef_LiveweightNTQLD_Data(),Table_SourceData_PastureBeef_LiveweightNTQD[[#Headers],[State]], 0)</f>
        <v>685</v>
      </c>
      <c r="I76" s="10" cm="1">
        <f t="array" ref="I76">Common_InputFunctions.Utility_DisplayArrayInTable(SourceData_PastureBeef.SourceData_PastureBeef_LiveweightNTQLD_Data(),Table_SourceData_PastureBeef_LiveweightNTQD[[#Headers],[State]], 0)</f>
        <v>140</v>
      </c>
      <c r="J76" s="10" cm="1">
        <f t="array" ref="J76">Common_InputFunctions.Utility_DisplayArrayInTable(SourceData_PastureBeef.SourceData_PastureBeef_LiveweightNTQLD_Data(),Table_SourceData_PastureBeef_LiveweightNTQD[[#Headers],[State]], 0)</f>
        <v>277</v>
      </c>
      <c r="K76" s="10" cm="1">
        <f t="array" ref="K76">Common_InputFunctions.Utility_DisplayArrayInTable(SourceData_PastureBeef.SourceData_PastureBeef_LiveweightNTQLD_Data(),Table_SourceData_PastureBeef_LiveweightNTQD[[#Headers],[State]], 0)</f>
        <v>407</v>
      </c>
      <c r="L76" s="10" cm="1">
        <f t="array" ref="L76">Common_InputFunctions.Utility_DisplayArrayInTable(SourceData_PastureBeef.SourceData_PastureBeef_LiveweightNTQLD_Data(),Table_SourceData_PastureBeef_LiveweightNTQD[[#Headers],[State]], 0)</f>
        <v>455</v>
      </c>
      <c r="M76" s="10" cm="1">
        <f t="array" ref="M76">Common_InputFunctions.Utility_DisplayArrayInTable(SourceData_PastureBeef.SourceData_PastureBeef_LiveweightNTQLD_Data(),Table_SourceData_PastureBeef_LiveweightNTQD[[#Headers],[State]], 0)</f>
        <v>141</v>
      </c>
      <c r="N76" s="10" cm="1">
        <f t="array" ref="N76">Common_InputFunctions.Utility_DisplayArrayInTable(SourceData_PastureBeef.SourceData_PastureBeef_LiveweightNTQLD_Data(),Table_SourceData_PastureBeef_LiveweightNTQD[[#Headers],[State]], 0)</f>
        <v>296</v>
      </c>
      <c r="O76" s="10" cm="1">
        <f t="array" ref="O76">Common_InputFunctions.Utility_DisplayArrayInTable(SourceData_PastureBeef.SourceData_PastureBeef_LiveweightNTQLD_Data(),Table_SourceData_PastureBeef_LiveweightNTQD[[#Headers],[State]], 0)</f>
        <v>445</v>
      </c>
      <c r="P76" s="10" cm="1">
        <f t="array" ref="P76">Common_InputFunctions.Utility_DisplayArrayInTable(SourceData_PastureBeef.SourceData_PastureBeef_LiveweightNTQLD_Data(),Table_SourceData_PastureBeef_LiveweightNTQD[[#Headers],[State]], 0)</f>
        <v>593</v>
      </c>
      <c r="V76" s="8"/>
    </row>
    <row r="77" spans="4:22" ht="20.100000000000001" customHeight="1" x14ac:dyDescent="0.25">
      <c r="D77" s="8" t="str" cm="1">
        <f t="array" ref="D77">Common_InputFunctions.Utility_DisplayArrayInTable(SourceData_PastureBeef.SourceData_PastureBeef_LiveweightNTQLD_Data(),Table_SourceData_PastureBeef_LiveweightNTQD[[#Headers],[State]], 0)</f>
        <v>Queensland</v>
      </c>
      <c r="E77" s="10" t="str" cm="1">
        <f t="array" ref="E77">Common_InputFunctions.Utility_DisplayArrayInTable(SourceData_PastureBeef.SourceData_PastureBeef_LiveweightNTQLD_Data(),Table_SourceData_PastureBeef_LiveweightNTQD[[#Headers],[State]], 0)</f>
        <v>Moderate/Low</v>
      </c>
      <c r="F77" s="10" t="str" cm="1">
        <f t="array" ref="F77">Common_InputFunctions.Utility_DisplayArrayInTable(SourceData_PastureBeef.SourceData_PastureBeef_LiveweightNTQLD_Data(),Table_SourceData_PastureBeef_LiveweightNTQD[[#Headers],[State]], 0)</f>
        <v>Winter</v>
      </c>
      <c r="G77" s="10" cm="1">
        <f t="array" ref="G77">Common_InputFunctions.Utility_DisplayArrayInTable(SourceData_PastureBeef.SourceData_PastureBeef_LiveweightNTQLD_Data(),Table_SourceData_PastureBeef_LiveweightNTQD[[#Headers],[State]], 0)</f>
        <v>180</v>
      </c>
      <c r="H77" s="10" cm="1">
        <f t="array" ref="H77">Common_InputFunctions.Utility_DisplayArrayInTable(SourceData_PastureBeef.SourceData_PastureBeef_LiveweightNTQLD_Data(),Table_SourceData_PastureBeef_LiveweightNTQD[[#Headers],[State]], 0)</f>
        <v>692</v>
      </c>
      <c r="I77" s="10" cm="1">
        <f t="array" ref="I77">Common_InputFunctions.Utility_DisplayArrayInTable(SourceData_PastureBeef.SourceData_PastureBeef_LiveweightNTQLD_Data(),Table_SourceData_PastureBeef_LiveweightNTQD[[#Headers],[State]], 0)</f>
        <v>183</v>
      </c>
      <c r="J77" s="10" cm="1">
        <f t="array" ref="J77">Common_InputFunctions.Utility_DisplayArrayInTable(SourceData_PastureBeef.SourceData_PastureBeef_LiveweightNTQLD_Data(),Table_SourceData_PastureBeef_LiveweightNTQD[[#Headers],[State]], 0)</f>
        <v>316</v>
      </c>
      <c r="K77" s="10" cm="1">
        <f t="array" ref="K77">Common_InputFunctions.Utility_DisplayArrayInTable(SourceData_PastureBeef.SourceData_PastureBeef_LiveweightNTQLD_Data(),Table_SourceData_PastureBeef_LiveweightNTQD[[#Headers],[State]], 0)</f>
        <v>438</v>
      </c>
      <c r="L77" s="10" cm="1">
        <f t="array" ref="L77">Common_InputFunctions.Utility_DisplayArrayInTable(SourceData_PastureBeef.SourceData_PastureBeef_LiveweightNTQLD_Data(),Table_SourceData_PastureBeef_LiveweightNTQD[[#Headers],[State]], 0)</f>
        <v>468</v>
      </c>
      <c r="M77" s="10" cm="1">
        <f t="array" ref="M77">Common_InputFunctions.Utility_DisplayArrayInTable(SourceData_PastureBeef.SourceData_PastureBeef_LiveweightNTQLD_Data(),Table_SourceData_PastureBeef_LiveweightNTQD[[#Headers],[State]], 0)</f>
        <v>189</v>
      </c>
      <c r="N77" s="10" cm="1">
        <f t="array" ref="N77">Common_InputFunctions.Utility_DisplayArrayInTable(SourceData_PastureBeef.SourceData_PastureBeef_LiveweightNTQLD_Data(),Table_SourceData_PastureBeef_LiveweightNTQD[[#Headers],[State]], 0)</f>
        <v>354</v>
      </c>
      <c r="O77" s="10" cm="1">
        <f t="array" ref="O77">Common_InputFunctions.Utility_DisplayArrayInTable(SourceData_PastureBeef.SourceData_PastureBeef_LiveweightNTQLD_Data(),Table_SourceData_PastureBeef_LiveweightNTQD[[#Headers],[State]], 0)</f>
        <v>500</v>
      </c>
      <c r="P77" s="10" cm="1">
        <f t="array" ref="P77">Common_InputFunctions.Utility_DisplayArrayInTable(SourceData_PastureBeef.SourceData_PastureBeef_LiveweightNTQLD_Data(),Table_SourceData_PastureBeef_LiveweightNTQD[[#Headers],[State]], 0)</f>
        <v>553</v>
      </c>
      <c r="V77" s="8"/>
    </row>
    <row r="78" spans="4:22" ht="20.100000000000001" customHeight="1" x14ac:dyDescent="0.25">
      <c r="D78" s="8" t="str" cm="1">
        <f t="array" ref="D78">Common_InputFunctions.Utility_DisplayArrayInTable(SourceData_PastureBeef.SourceData_PastureBeef_LiveweightNTQLD_Data(),Table_SourceData_PastureBeef_LiveweightNTQD[[#Headers],[State]], 0)</f>
        <v>Queensland</v>
      </c>
      <c r="E78" s="10" t="str" cm="1">
        <f t="array" ref="E78">Common_InputFunctions.Utility_DisplayArrayInTable(SourceData_PastureBeef.SourceData_PastureBeef_LiveweightNTQLD_Data(),Table_SourceData_PastureBeef_LiveweightNTQD[[#Headers],[State]], 0)</f>
        <v>Low</v>
      </c>
      <c r="F78" s="10" t="str" cm="1">
        <f t="array" ref="F78">Common_InputFunctions.Utility_DisplayArrayInTable(SourceData_PastureBeef.SourceData_PastureBeef_LiveweightNTQLD_Data(),Table_SourceData_PastureBeef_LiveweightNTQD[[#Headers],[State]], 0)</f>
        <v>Spring</v>
      </c>
      <c r="G78" s="10" cm="1">
        <f t="array" ref="G78">Common_InputFunctions.Utility_DisplayArrayInTable(SourceData_PastureBeef.SourceData_PastureBeef_LiveweightNTQLD_Data(),Table_SourceData_PastureBeef_LiveweightNTQD[[#Headers],[State]], 0)</f>
        <v>190</v>
      </c>
      <c r="H78" s="10" cm="1">
        <f t="array" ref="H78">Common_InputFunctions.Utility_DisplayArrayInTable(SourceData_PastureBeef.SourceData_PastureBeef_LiveweightNTQLD_Data(),Table_SourceData_PastureBeef_LiveweightNTQD[[#Headers],[State]], 0)</f>
        <v>617</v>
      </c>
      <c r="I78" s="10" cm="1">
        <f t="array" ref="I78">Common_InputFunctions.Utility_DisplayArrayInTable(SourceData_PastureBeef.SourceData_PastureBeef_LiveweightNTQLD_Data(),Table_SourceData_PastureBeef_LiveweightNTQD[[#Headers],[State]], 0)</f>
        <v>174</v>
      </c>
      <c r="J78" s="10" cm="1">
        <f t="array" ref="J78">Common_InputFunctions.Utility_DisplayArrayInTable(SourceData_PastureBeef.SourceData_PastureBeef_LiveweightNTQLD_Data(),Table_SourceData_PastureBeef_LiveweightNTQD[[#Headers],[State]], 0)</f>
        <v>265</v>
      </c>
      <c r="K78" s="10" cm="1">
        <f t="array" ref="K78">Common_InputFunctions.Utility_DisplayArrayInTable(SourceData_PastureBeef.SourceData_PastureBeef_LiveweightNTQLD_Data(),Table_SourceData_PastureBeef_LiveweightNTQD[[#Headers],[State]], 0)</f>
        <v>371</v>
      </c>
      <c r="L78" s="10" cm="1">
        <f t="array" ref="L78">Common_InputFunctions.Utility_DisplayArrayInTable(SourceData_PastureBeef.SourceData_PastureBeef_LiveweightNTQLD_Data(),Table_SourceData_PastureBeef_LiveweightNTQD[[#Headers],[State]], 0)</f>
        <v>415</v>
      </c>
      <c r="M78" s="10" cm="1">
        <f t="array" ref="M78">Common_InputFunctions.Utility_DisplayArrayInTable(SourceData_PastureBeef.SourceData_PastureBeef_LiveweightNTQLD_Data(),Table_SourceData_PastureBeef_LiveweightNTQD[[#Headers],[State]], 0)</f>
        <v>170</v>
      </c>
      <c r="N78" s="10" cm="1">
        <f t="array" ref="N78">Common_InputFunctions.Utility_DisplayArrayInTable(SourceData_PastureBeef.SourceData_PastureBeef_LiveweightNTQLD_Data(),Table_SourceData_PastureBeef_LiveweightNTQD[[#Headers],[State]], 0)</f>
        <v>272</v>
      </c>
      <c r="O78" s="10" cm="1">
        <f t="array" ref="O78">Common_InputFunctions.Utility_DisplayArrayInTable(SourceData_PastureBeef.SourceData_PastureBeef_LiveweightNTQLD_Data(),Table_SourceData_PastureBeef_LiveweightNTQD[[#Headers],[State]], 0)</f>
        <v>392</v>
      </c>
      <c r="P78" s="10" cm="1">
        <f t="array" ref="P78">Common_InputFunctions.Utility_DisplayArrayInTable(SourceData_PastureBeef.SourceData_PastureBeef_LiveweightNTQLD_Data(),Table_SourceData_PastureBeef_LiveweightNTQD[[#Headers],[State]], 0)</f>
        <v>531</v>
      </c>
    </row>
    <row r="79" spans="4:22" ht="20.100000000000001" customHeight="1" x14ac:dyDescent="0.25">
      <c r="D79" s="8" t="str" cm="1">
        <f t="array" ref="D79">Common_InputFunctions.Utility_DisplayArrayInTable(SourceData_PastureBeef.SourceData_PastureBeef_LiveweightNTQLD_Data(),Table_SourceData_PastureBeef_LiveweightNTQD[[#Headers],[State]], 0)</f>
        <v>Queensland</v>
      </c>
      <c r="E79" s="10" t="str" cm="1">
        <f t="array" ref="E79">Common_InputFunctions.Utility_DisplayArrayInTable(SourceData_PastureBeef.SourceData_PastureBeef_LiveweightNTQLD_Data(),Table_SourceData_PastureBeef_LiveweightNTQD[[#Headers],[State]], 0)</f>
        <v>Low</v>
      </c>
      <c r="F79" s="10" t="str" cm="1">
        <f t="array" ref="F79">Common_InputFunctions.Utility_DisplayArrayInTable(SourceData_PastureBeef.SourceData_PastureBeef_LiveweightNTQLD_Data(),Table_SourceData_PastureBeef_LiveweightNTQD[[#Headers],[State]], 0)</f>
        <v>Summer</v>
      </c>
      <c r="G79" s="10" cm="1">
        <f t="array" ref="G79">Common_InputFunctions.Utility_DisplayArrayInTable(SourceData_PastureBeef.SourceData_PastureBeef_LiveweightNTQLD_Data(),Table_SourceData_PastureBeef_LiveweightNTQD[[#Headers],[State]], 0)</f>
        <v>119</v>
      </c>
      <c r="H79" s="10" cm="1">
        <f t="array" ref="H79">Common_InputFunctions.Utility_DisplayArrayInTable(SourceData_PastureBeef.SourceData_PastureBeef_LiveweightNTQLD_Data(),Table_SourceData_PastureBeef_LiveweightNTQD[[#Headers],[State]], 0)</f>
        <v>591</v>
      </c>
      <c r="I79" s="10" cm="1">
        <f t="array" ref="I79">Common_InputFunctions.Utility_DisplayArrayInTable(SourceData_PastureBeef.SourceData_PastureBeef_LiveweightNTQLD_Data(),Table_SourceData_PastureBeef_LiveweightNTQD[[#Headers],[State]], 0)</f>
        <v>140</v>
      </c>
      <c r="J79" s="10" cm="1">
        <f t="array" ref="J79">Common_InputFunctions.Utility_DisplayArrayInTable(SourceData_PastureBeef.SourceData_PastureBeef_LiveweightNTQLD_Data(),Table_SourceData_PastureBeef_LiveweightNTQD[[#Headers],[State]], 0)</f>
        <v>205</v>
      </c>
      <c r="K79" s="10" cm="1">
        <f t="array" ref="K79">Common_InputFunctions.Utility_DisplayArrayInTable(SourceData_PastureBeef.SourceData_PastureBeef_LiveweightNTQLD_Data(),Table_SourceData_PastureBeef_LiveweightNTQD[[#Headers],[State]], 0)</f>
        <v>310</v>
      </c>
      <c r="L79" s="10" cm="1">
        <f t="array" ref="L79">Common_InputFunctions.Utility_DisplayArrayInTable(SourceData_PastureBeef.SourceData_PastureBeef_LiveweightNTQLD_Data(),Table_SourceData_PastureBeef_LiveweightNTQD[[#Headers],[State]], 0)</f>
        <v>405</v>
      </c>
      <c r="M79" s="10" cm="1">
        <f t="array" ref="M79">Common_InputFunctions.Utility_DisplayArrayInTable(SourceData_PastureBeef.SourceData_PastureBeef_LiveweightNTQLD_Data(),Table_SourceData_PastureBeef_LiveweightNTQD[[#Headers],[State]], 0)</f>
        <v>133</v>
      </c>
      <c r="N79" s="10" cm="1">
        <f t="array" ref="N79">Common_InputFunctions.Utility_DisplayArrayInTable(SourceData_PastureBeef.SourceData_PastureBeef_LiveweightNTQLD_Data(),Table_SourceData_PastureBeef_LiveweightNTQD[[#Headers],[State]], 0)</f>
        <v>218</v>
      </c>
      <c r="O79" s="10" cm="1">
        <f t="array" ref="O79">Common_InputFunctions.Utility_DisplayArrayInTable(SourceData_PastureBeef.SourceData_PastureBeef_LiveweightNTQLD_Data(),Table_SourceData_PastureBeef_LiveweightNTQD[[#Headers],[State]], 0)</f>
        <v>315</v>
      </c>
      <c r="P79" s="10" cm="1">
        <f t="array" ref="P79">Common_InputFunctions.Utility_DisplayArrayInTable(SourceData_PastureBeef.SourceData_PastureBeef_LiveweightNTQLD_Data(),Table_SourceData_PastureBeef_LiveweightNTQD[[#Headers],[State]], 0)</f>
        <v>445</v>
      </c>
    </row>
    <row r="80" spans="4:22" ht="20.100000000000001" customHeight="1" x14ac:dyDescent="0.25">
      <c r="D80" s="8" t="str" cm="1">
        <f t="array" ref="D80">Common_InputFunctions.Utility_DisplayArrayInTable(SourceData_PastureBeef.SourceData_PastureBeef_LiveweightNTQLD_Data(),Table_SourceData_PastureBeef_LiveweightNTQD[[#Headers],[State]], 0)</f>
        <v>Queensland</v>
      </c>
      <c r="E80" s="10" t="str" cm="1">
        <f t="array" ref="E80">Common_InputFunctions.Utility_DisplayArrayInTable(SourceData_PastureBeef.SourceData_PastureBeef_LiveweightNTQLD_Data(),Table_SourceData_PastureBeef_LiveweightNTQD[[#Headers],[State]], 0)</f>
        <v>Low</v>
      </c>
      <c r="F80" s="10" t="str" cm="1">
        <f t="array" ref="F80">Common_InputFunctions.Utility_DisplayArrayInTable(SourceData_PastureBeef.SourceData_PastureBeef_LiveweightNTQLD_Data(),Table_SourceData_PastureBeef_LiveweightNTQD[[#Headers],[State]], 0)</f>
        <v>Autumn</v>
      </c>
      <c r="G80" s="10" cm="1">
        <f t="array" ref="G80">Common_InputFunctions.Utility_DisplayArrayInTable(SourceData_PastureBeef.SourceData_PastureBeef_LiveweightNTQLD_Data(),Table_SourceData_PastureBeef_LiveweightNTQD[[#Headers],[State]], 0)</f>
        <v>175</v>
      </c>
      <c r="H80" s="10" cm="1">
        <f t="array" ref="H80">Common_InputFunctions.Utility_DisplayArrayInTable(SourceData_PastureBeef.SourceData_PastureBeef_LiveweightNTQLD_Data(),Table_SourceData_PastureBeef_LiveweightNTQD[[#Headers],[State]], 0)</f>
        <v>610</v>
      </c>
      <c r="I80" s="10" cm="1">
        <f t="array" ref="I80">Common_InputFunctions.Utility_DisplayArrayInTable(SourceData_PastureBeef.SourceData_PastureBeef_LiveweightNTQLD_Data(),Table_SourceData_PastureBeef_LiveweightNTQD[[#Headers],[State]], 0)</f>
        <v>163</v>
      </c>
      <c r="J80" s="10" cm="1">
        <f t="array" ref="J80">Common_InputFunctions.Utility_DisplayArrayInTable(SourceData_PastureBeef.SourceData_PastureBeef_LiveweightNTQLD_Data(),Table_SourceData_PastureBeef_LiveweightNTQD[[#Headers],[State]], 0)</f>
        <v>232</v>
      </c>
      <c r="K80" s="10" cm="1">
        <f t="array" ref="K80">Common_InputFunctions.Utility_DisplayArrayInTable(SourceData_PastureBeef.SourceData_PastureBeef_LiveweightNTQLD_Data(),Table_SourceData_PastureBeef_LiveweightNTQD[[#Headers],[State]], 0)</f>
        <v>351</v>
      </c>
      <c r="L80" s="10" cm="1">
        <f t="array" ref="L80">Common_InputFunctions.Utility_DisplayArrayInTable(SourceData_PastureBeef.SourceData_PastureBeef_LiveweightNTQLD_Data(),Table_SourceData_PastureBeef_LiveweightNTQD[[#Headers],[State]], 0)</f>
        <v>427</v>
      </c>
      <c r="M80" s="10" cm="1">
        <f t="array" ref="M80">Common_InputFunctions.Utility_DisplayArrayInTable(SourceData_PastureBeef.SourceData_PastureBeef_LiveweightNTQLD_Data(),Table_SourceData_PastureBeef_LiveweightNTQD[[#Headers],[State]], 0)</f>
        <v>146</v>
      </c>
      <c r="N80" s="10" cm="1">
        <f t="array" ref="N80">Common_InputFunctions.Utility_DisplayArrayInTable(SourceData_PastureBeef.SourceData_PastureBeef_LiveweightNTQLD_Data(),Table_SourceData_PastureBeef_LiveweightNTQD[[#Headers],[State]], 0)</f>
        <v>242</v>
      </c>
      <c r="O80" s="10" cm="1">
        <f t="array" ref="O80">Common_InputFunctions.Utility_DisplayArrayInTable(SourceData_PastureBeef.SourceData_PastureBeef_LiveweightNTQLD_Data(),Table_SourceData_PastureBeef_LiveweightNTQD[[#Headers],[State]], 0)</f>
        <v>320</v>
      </c>
      <c r="P80" s="10" cm="1">
        <f t="array" ref="P80">Common_InputFunctions.Utility_DisplayArrayInTable(SourceData_PastureBeef.SourceData_PastureBeef_LiveweightNTQLD_Data(),Table_SourceData_PastureBeef_LiveweightNTQD[[#Headers],[State]], 0)</f>
        <v>471</v>
      </c>
    </row>
    <row r="81" spans="4:22" ht="20.100000000000001" customHeight="1" x14ac:dyDescent="0.25">
      <c r="D81" s="8" t="str" cm="1">
        <f t="array" ref="D81">Common_InputFunctions.Utility_DisplayArrayInTable(SourceData_PastureBeef.SourceData_PastureBeef_LiveweightNTQLD_Data(),Table_SourceData_PastureBeef_LiveweightNTQD[[#Headers],[State]], 0)</f>
        <v>Queensland</v>
      </c>
      <c r="E81" s="10" t="str" cm="1">
        <f t="array" ref="E81">Common_InputFunctions.Utility_DisplayArrayInTable(SourceData_PastureBeef.SourceData_PastureBeef_LiveweightNTQLD_Data(),Table_SourceData_PastureBeef_LiveweightNTQD[[#Headers],[State]], 0)</f>
        <v>Low</v>
      </c>
      <c r="F81" s="10" t="str" cm="1">
        <f t="array" ref="F81">Common_InputFunctions.Utility_DisplayArrayInTable(SourceData_PastureBeef.SourceData_PastureBeef_LiveweightNTQLD_Data(),Table_SourceData_PastureBeef_LiveweightNTQD[[#Headers],[State]], 0)</f>
        <v>Winter</v>
      </c>
      <c r="G81" s="10" cm="1">
        <f t="array" ref="G81">Common_InputFunctions.Utility_DisplayArrayInTable(SourceData_PastureBeef.SourceData_PastureBeef_LiveweightNTQLD_Data(),Table_SourceData_PastureBeef_LiveweightNTQD[[#Headers],[State]], 0)</f>
        <v>192</v>
      </c>
      <c r="H81" s="10" cm="1">
        <f t="array" ref="H81">Common_InputFunctions.Utility_DisplayArrayInTable(SourceData_PastureBeef.SourceData_PastureBeef_LiveweightNTQLD_Data(),Table_SourceData_PastureBeef_LiveweightNTQD[[#Headers],[State]], 0)</f>
        <v>615</v>
      </c>
      <c r="I81" s="10" cm="1">
        <f t="array" ref="I81">Common_InputFunctions.Utility_DisplayArrayInTable(SourceData_PastureBeef.SourceData_PastureBeef_LiveweightNTQLD_Data(),Table_SourceData_PastureBeef_LiveweightNTQD[[#Headers],[State]], 0)</f>
        <v>162</v>
      </c>
      <c r="J81" s="10" cm="1">
        <f t="array" ref="J81">Common_InputFunctions.Utility_DisplayArrayInTable(SourceData_PastureBeef.SourceData_PastureBeef_LiveweightNTQLD_Data(),Table_SourceData_PastureBeef_LiveweightNTQD[[#Headers],[State]], 0)</f>
        <v>255</v>
      </c>
      <c r="K81" s="10" cm="1">
        <f t="array" ref="K81">Common_InputFunctions.Utility_DisplayArrayInTable(SourceData_PastureBeef.SourceData_PastureBeef_LiveweightNTQLD_Data(),Table_SourceData_PastureBeef_LiveweightNTQD[[#Headers],[State]], 0)</f>
        <v>364</v>
      </c>
      <c r="L81" s="10" cm="1">
        <f t="array" ref="L81">Common_InputFunctions.Utility_DisplayArrayInTable(SourceData_PastureBeef.SourceData_PastureBeef_LiveweightNTQLD_Data(),Table_SourceData_PastureBeef_LiveweightNTQD[[#Headers],[State]], 0)</f>
        <v>420</v>
      </c>
      <c r="M81" s="10" cm="1">
        <f t="array" ref="M81">Common_InputFunctions.Utility_DisplayArrayInTable(SourceData_PastureBeef.SourceData_PastureBeef_LiveweightNTQLD_Data(),Table_SourceData_PastureBeef_LiveweightNTQD[[#Headers],[State]], 0)</f>
        <v>157</v>
      </c>
      <c r="N81" s="10" cm="1">
        <f t="array" ref="N81">Common_InputFunctions.Utility_DisplayArrayInTable(SourceData_PastureBeef.SourceData_PastureBeef_LiveweightNTQLD_Data(),Table_SourceData_PastureBeef_LiveweightNTQD[[#Headers],[State]], 0)</f>
        <v>261</v>
      </c>
      <c r="O81" s="10" cm="1">
        <f t="array" ref="O81">Common_InputFunctions.Utility_DisplayArrayInTable(SourceData_PastureBeef.SourceData_PastureBeef_LiveweightNTQLD_Data(),Table_SourceData_PastureBeef_LiveweightNTQD[[#Headers],[State]], 0)</f>
        <v>342</v>
      </c>
      <c r="P81" s="10" cm="1">
        <f t="array" ref="P81">Common_InputFunctions.Utility_DisplayArrayInTable(SourceData_PastureBeef.SourceData_PastureBeef_LiveweightNTQLD_Data(),Table_SourceData_PastureBeef_LiveweightNTQD[[#Headers],[State]], 0)</f>
        <v>484</v>
      </c>
    </row>
    <row r="82" spans="4:22" ht="20.100000000000001" customHeight="1" x14ac:dyDescent="0.25">
      <c r="M82" s="8"/>
    </row>
    <row r="83" spans="4:22" ht="20.100000000000001" customHeight="1" x14ac:dyDescent="0.25">
      <c r="M83" s="8"/>
    </row>
    <row r="84" spans="4:22" ht="20.100000000000001" customHeight="1" x14ac:dyDescent="0.25">
      <c r="D84" s="9" t="s">
        <v>513</v>
      </c>
      <c r="M84" s="8"/>
    </row>
    <row r="85" spans="4:22" ht="20.100000000000001" customHeight="1" x14ac:dyDescent="0.25">
      <c r="D85" s="10" t="s">
        <v>289</v>
      </c>
      <c r="E85" s="10" t="s">
        <v>414</v>
      </c>
      <c r="F85" s="10" t="s">
        <v>47</v>
      </c>
      <c r="G85" s="157" t="s">
        <v>514</v>
      </c>
      <c r="H85" s="157" t="s">
        <v>515</v>
      </c>
      <c r="I85" s="157" t="s">
        <v>516</v>
      </c>
      <c r="J85" s="157" t="s">
        <v>517</v>
      </c>
      <c r="K85" s="157" t="s">
        <v>518</v>
      </c>
      <c r="L85" s="157" t="s">
        <v>519</v>
      </c>
      <c r="M85" s="157" t="s">
        <v>520</v>
      </c>
      <c r="N85" s="157" t="s">
        <v>521</v>
      </c>
      <c r="O85" s="157" t="s">
        <v>522</v>
      </c>
      <c r="P85" s="157" t="s">
        <v>523</v>
      </c>
      <c r="V85" s="8"/>
    </row>
    <row r="86" spans="4:22" ht="20.100000000000001" customHeight="1" x14ac:dyDescent="0.25">
      <c r="D86" s="10" t="s">
        <v>338</v>
      </c>
      <c r="E86" s="10" t="s">
        <v>464</v>
      </c>
      <c r="F86" s="10" t="str">
        <f>F19</f>
        <v>Spring</v>
      </c>
      <c r="G86" s="10">
        <f>G19</f>
        <v>80</v>
      </c>
      <c r="H86" s="10">
        <f t="shared" ref="H86:K89" si="0">H19</f>
        <v>480</v>
      </c>
      <c r="I86" s="10">
        <f>I19</f>
        <v>75</v>
      </c>
      <c r="J86" s="10">
        <f>J19</f>
        <v>300</v>
      </c>
      <c r="K86" s="10">
        <f>K19</f>
        <v>440</v>
      </c>
      <c r="L86" s="10">
        <f>K19</f>
        <v>440</v>
      </c>
      <c r="M86" s="10">
        <f>L19</f>
        <v>75</v>
      </c>
      <c r="N86" s="10">
        <f>M19</f>
        <v>380</v>
      </c>
      <c r="O86" s="10">
        <f>M19</f>
        <v>380</v>
      </c>
      <c r="P86" s="10">
        <f>M19</f>
        <v>380</v>
      </c>
      <c r="V86" s="8"/>
    </row>
    <row r="87" spans="4:22" ht="20.100000000000001" customHeight="1" x14ac:dyDescent="0.25">
      <c r="D87" s="10" t="s">
        <v>338</v>
      </c>
      <c r="E87" s="10" t="s">
        <v>464</v>
      </c>
      <c r="F87" s="10" t="s">
        <v>524</v>
      </c>
      <c r="G87" s="10">
        <f t="shared" ref="G87:G89" si="1">G20</f>
        <v>170</v>
      </c>
      <c r="H87" s="10">
        <f t="shared" si="0"/>
        <v>520</v>
      </c>
      <c r="I87" s="10">
        <f t="shared" si="0"/>
        <v>160</v>
      </c>
      <c r="J87" s="10">
        <f t="shared" si="0"/>
        <v>360</v>
      </c>
      <c r="K87" s="10">
        <f t="shared" si="0"/>
        <v>470</v>
      </c>
      <c r="L87" s="10">
        <f t="shared" ref="L87:N89" si="2">K20</f>
        <v>470</v>
      </c>
      <c r="M87" s="10">
        <f t="shared" si="2"/>
        <v>160</v>
      </c>
      <c r="N87" s="10">
        <f t="shared" si="2"/>
        <v>420</v>
      </c>
      <c r="O87" s="10">
        <f t="shared" ref="O87:O89" si="3">M20</f>
        <v>420</v>
      </c>
      <c r="P87" s="10">
        <f t="shared" ref="P87:P89" si="4">M20</f>
        <v>420</v>
      </c>
      <c r="V87" s="8"/>
    </row>
    <row r="88" spans="4:22" ht="20.100000000000001" customHeight="1" x14ac:dyDescent="0.25">
      <c r="D88" s="10" t="s">
        <v>338</v>
      </c>
      <c r="E88" s="10" t="s">
        <v>464</v>
      </c>
      <c r="F88" s="10" t="s">
        <v>525</v>
      </c>
      <c r="G88" s="10">
        <f t="shared" si="1"/>
        <v>240</v>
      </c>
      <c r="H88" s="10">
        <f t="shared" si="0"/>
        <v>550</v>
      </c>
      <c r="I88" s="10">
        <f t="shared" si="0"/>
        <v>220</v>
      </c>
      <c r="J88" s="10">
        <f t="shared" si="0"/>
        <v>390</v>
      </c>
      <c r="K88" s="10">
        <f t="shared" si="0"/>
        <v>490</v>
      </c>
      <c r="L88" s="10">
        <f t="shared" si="2"/>
        <v>490</v>
      </c>
      <c r="M88" s="10">
        <f t="shared" si="2"/>
        <v>220</v>
      </c>
      <c r="N88" s="10">
        <f t="shared" si="2"/>
        <v>450</v>
      </c>
      <c r="O88" s="10">
        <f t="shared" si="3"/>
        <v>450</v>
      </c>
      <c r="P88" s="10">
        <f t="shared" si="4"/>
        <v>450</v>
      </c>
      <c r="V88" s="8"/>
    </row>
    <row r="89" spans="4:22" ht="20.100000000000001" customHeight="1" x14ac:dyDescent="0.25">
      <c r="D89" s="10" t="s">
        <v>338</v>
      </c>
      <c r="E89" s="10" t="s">
        <v>464</v>
      </c>
      <c r="F89" s="10" t="s">
        <v>526</v>
      </c>
      <c r="G89" s="10">
        <f t="shared" si="1"/>
        <v>280</v>
      </c>
      <c r="H89" s="10">
        <f t="shared" si="0"/>
        <v>560</v>
      </c>
      <c r="I89" s="10">
        <f t="shared" si="0"/>
        <v>260</v>
      </c>
      <c r="J89" s="10">
        <f t="shared" si="0"/>
        <v>410</v>
      </c>
      <c r="K89" s="10">
        <f t="shared" si="0"/>
        <v>500</v>
      </c>
      <c r="L89" s="10">
        <f t="shared" si="2"/>
        <v>500</v>
      </c>
      <c r="M89" s="10">
        <f t="shared" si="2"/>
        <v>260</v>
      </c>
      <c r="N89" s="10">
        <f t="shared" si="2"/>
        <v>460</v>
      </c>
      <c r="O89" s="10">
        <f t="shared" si="3"/>
        <v>460</v>
      </c>
      <c r="P89" s="10">
        <f t="shared" si="4"/>
        <v>460</v>
      </c>
      <c r="V89" s="8"/>
    </row>
    <row r="90" spans="4:22" ht="20.100000000000001" customHeight="1" x14ac:dyDescent="0.25">
      <c r="D90" s="10" t="s">
        <v>362</v>
      </c>
      <c r="E90" s="10" t="s">
        <v>464</v>
      </c>
      <c r="F90" s="10" t="str">
        <f>F23</f>
        <v>Spring</v>
      </c>
      <c r="G90" s="10">
        <f>G19</f>
        <v>80</v>
      </c>
      <c r="H90" s="10">
        <f t="shared" ref="H90:J90" si="5">H19</f>
        <v>480</v>
      </c>
      <c r="I90" s="10">
        <f t="shared" si="5"/>
        <v>75</v>
      </c>
      <c r="J90" s="10">
        <f t="shared" si="5"/>
        <v>300</v>
      </c>
      <c r="K90" s="10">
        <f>K19</f>
        <v>440</v>
      </c>
      <c r="L90" s="10">
        <f>K19</f>
        <v>440</v>
      </c>
      <c r="M90" s="10">
        <f>L19</f>
        <v>75</v>
      </c>
      <c r="N90" s="10">
        <f>M19</f>
        <v>380</v>
      </c>
      <c r="O90" s="10">
        <f>M19</f>
        <v>380</v>
      </c>
      <c r="P90" s="10">
        <f>M19</f>
        <v>380</v>
      </c>
      <c r="V90" s="8"/>
    </row>
    <row r="91" spans="4:22" ht="20.100000000000001" customHeight="1" x14ac:dyDescent="0.25">
      <c r="D91" s="10" t="s">
        <v>362</v>
      </c>
      <c r="E91" s="10" t="s">
        <v>464</v>
      </c>
      <c r="F91" s="10" t="s">
        <v>524</v>
      </c>
      <c r="G91" s="10">
        <f t="shared" ref="G91:K94" si="6">G20</f>
        <v>170</v>
      </c>
      <c r="H91" s="10">
        <f t="shared" si="6"/>
        <v>520</v>
      </c>
      <c r="I91" s="10">
        <f t="shared" si="6"/>
        <v>160</v>
      </c>
      <c r="J91" s="10">
        <f t="shared" si="6"/>
        <v>360</v>
      </c>
      <c r="K91" s="10">
        <f t="shared" si="6"/>
        <v>470</v>
      </c>
      <c r="L91" s="10">
        <f t="shared" ref="L91:N105" si="7">K20</f>
        <v>470</v>
      </c>
      <c r="M91" s="10">
        <f t="shared" si="7"/>
        <v>160</v>
      </c>
      <c r="N91" s="10">
        <f t="shared" si="7"/>
        <v>420</v>
      </c>
      <c r="O91" s="10">
        <f t="shared" ref="O91:O93" si="8">M20</f>
        <v>420</v>
      </c>
      <c r="P91" s="10">
        <f t="shared" ref="P91:P93" si="9">M20</f>
        <v>420</v>
      </c>
    </row>
    <row r="92" spans="4:22" ht="20.100000000000001" customHeight="1" x14ac:dyDescent="0.25">
      <c r="D92" s="10" t="s">
        <v>362</v>
      </c>
      <c r="E92" s="10" t="s">
        <v>464</v>
      </c>
      <c r="F92" s="10" t="s">
        <v>525</v>
      </c>
      <c r="G92" s="10">
        <f t="shared" si="6"/>
        <v>240</v>
      </c>
      <c r="H92" s="10">
        <f t="shared" si="6"/>
        <v>550</v>
      </c>
      <c r="I92" s="10">
        <f t="shared" si="6"/>
        <v>220</v>
      </c>
      <c r="J92" s="10">
        <f t="shared" si="6"/>
        <v>390</v>
      </c>
      <c r="K92" s="10">
        <f t="shared" si="6"/>
        <v>490</v>
      </c>
      <c r="L92" s="10">
        <f t="shared" si="7"/>
        <v>490</v>
      </c>
      <c r="M92" s="10">
        <f t="shared" si="7"/>
        <v>220</v>
      </c>
      <c r="N92" s="10">
        <f t="shared" si="7"/>
        <v>450</v>
      </c>
      <c r="O92" s="10">
        <f t="shared" si="8"/>
        <v>450</v>
      </c>
      <c r="P92" s="10">
        <f t="shared" si="9"/>
        <v>450</v>
      </c>
    </row>
    <row r="93" spans="4:22" ht="20.100000000000001" customHeight="1" x14ac:dyDescent="0.25">
      <c r="D93" s="10" t="s">
        <v>362</v>
      </c>
      <c r="E93" s="10" t="s">
        <v>464</v>
      </c>
      <c r="F93" s="10" t="s">
        <v>526</v>
      </c>
      <c r="G93" s="10">
        <f t="shared" si="6"/>
        <v>280</v>
      </c>
      <c r="H93" s="10">
        <f t="shared" si="6"/>
        <v>560</v>
      </c>
      <c r="I93" s="10">
        <f t="shared" si="6"/>
        <v>260</v>
      </c>
      <c r="J93" s="10">
        <f t="shared" si="6"/>
        <v>410</v>
      </c>
      <c r="K93" s="10">
        <f t="shared" si="6"/>
        <v>500</v>
      </c>
      <c r="L93" s="10">
        <f t="shared" si="7"/>
        <v>500</v>
      </c>
      <c r="M93" s="10">
        <f t="shared" si="7"/>
        <v>260</v>
      </c>
      <c r="N93" s="10">
        <f t="shared" si="7"/>
        <v>460</v>
      </c>
      <c r="O93" s="10">
        <f t="shared" si="8"/>
        <v>460</v>
      </c>
      <c r="P93" s="10">
        <f t="shared" si="9"/>
        <v>460</v>
      </c>
    </row>
    <row r="94" spans="4:22" ht="20.100000000000001" customHeight="1" x14ac:dyDescent="0.25">
      <c r="D94" s="10" t="s">
        <v>423</v>
      </c>
      <c r="E94" s="10" t="s">
        <v>464</v>
      </c>
      <c r="F94" s="10" t="str">
        <f>F27</f>
        <v>Spring</v>
      </c>
      <c r="G94" s="10">
        <f>G23</f>
        <v>250</v>
      </c>
      <c r="H94" s="10">
        <f t="shared" si="6"/>
        <v>800</v>
      </c>
      <c r="I94" s="10">
        <f t="shared" si="6"/>
        <v>220</v>
      </c>
      <c r="J94" s="10">
        <f>J23</f>
        <v>400</v>
      </c>
      <c r="K94" s="10">
        <f>K23</f>
        <v>500</v>
      </c>
      <c r="L94" s="10">
        <f>K23</f>
        <v>500</v>
      </c>
      <c r="M94" s="10">
        <f>L23</f>
        <v>230</v>
      </c>
      <c r="N94" s="10">
        <f>M23</f>
        <v>420</v>
      </c>
      <c r="O94" s="10">
        <f>M23</f>
        <v>420</v>
      </c>
      <c r="P94" s="10">
        <f>M23</f>
        <v>420</v>
      </c>
    </row>
    <row r="95" spans="4:22" ht="20.100000000000001" customHeight="1" x14ac:dyDescent="0.25">
      <c r="D95" s="10" t="s">
        <v>423</v>
      </c>
      <c r="E95" s="10" t="s">
        <v>464</v>
      </c>
      <c r="F95" s="10" t="s">
        <v>524</v>
      </c>
      <c r="G95" s="10">
        <f t="shared" ref="G95:K98" si="10">G24</f>
        <v>320</v>
      </c>
      <c r="H95" s="10">
        <f t="shared" si="10"/>
        <v>800</v>
      </c>
      <c r="I95" s="10">
        <f t="shared" si="10"/>
        <v>280</v>
      </c>
      <c r="J95" s="10">
        <f t="shared" si="10"/>
        <v>420</v>
      </c>
      <c r="K95" s="10">
        <f t="shared" si="10"/>
        <v>500</v>
      </c>
      <c r="L95" s="10">
        <f t="shared" ref="L95:M97" si="11">K24</f>
        <v>500</v>
      </c>
      <c r="M95" s="10">
        <f t="shared" si="11"/>
        <v>290</v>
      </c>
      <c r="N95" s="10">
        <f t="shared" si="7"/>
        <v>420</v>
      </c>
      <c r="O95" s="10">
        <f t="shared" ref="O95:O97" si="12">M24</f>
        <v>420</v>
      </c>
      <c r="P95" s="10">
        <f t="shared" ref="P95:P97" si="13">M24</f>
        <v>420</v>
      </c>
    </row>
    <row r="96" spans="4:22" ht="20.100000000000001" customHeight="1" x14ac:dyDescent="0.25">
      <c r="D96" s="10" t="s">
        <v>423</v>
      </c>
      <c r="E96" s="10" t="s">
        <v>464</v>
      </c>
      <c r="F96" s="10" t="s">
        <v>525</v>
      </c>
      <c r="G96" s="10">
        <f t="shared" si="10"/>
        <v>80</v>
      </c>
      <c r="H96" s="10">
        <f t="shared" si="10"/>
        <v>700</v>
      </c>
      <c r="I96" s="10">
        <f t="shared" si="10"/>
        <v>70</v>
      </c>
      <c r="J96" s="10">
        <f t="shared" si="10"/>
        <v>300</v>
      </c>
      <c r="K96" s="10">
        <f t="shared" si="10"/>
        <v>450</v>
      </c>
      <c r="L96" s="10">
        <f t="shared" si="11"/>
        <v>450</v>
      </c>
      <c r="M96" s="10">
        <f t="shared" si="11"/>
        <v>75</v>
      </c>
      <c r="N96" s="10">
        <f t="shared" si="7"/>
        <v>400</v>
      </c>
      <c r="O96" s="10">
        <f t="shared" si="12"/>
        <v>400</v>
      </c>
      <c r="P96" s="10">
        <f t="shared" si="13"/>
        <v>400</v>
      </c>
    </row>
    <row r="97" spans="4:16" ht="20.100000000000001" customHeight="1" x14ac:dyDescent="0.25">
      <c r="D97" s="10" t="s">
        <v>423</v>
      </c>
      <c r="E97" s="10" t="s">
        <v>464</v>
      </c>
      <c r="F97" s="10" t="s">
        <v>526</v>
      </c>
      <c r="G97" s="10">
        <f t="shared" si="10"/>
        <v>160</v>
      </c>
      <c r="H97" s="10">
        <f t="shared" si="10"/>
        <v>700</v>
      </c>
      <c r="I97" s="10">
        <f t="shared" si="10"/>
        <v>140</v>
      </c>
      <c r="J97" s="10">
        <f t="shared" si="10"/>
        <v>350</v>
      </c>
      <c r="K97" s="10">
        <f t="shared" si="10"/>
        <v>450</v>
      </c>
      <c r="L97" s="10">
        <f t="shared" si="11"/>
        <v>450</v>
      </c>
      <c r="M97" s="10">
        <f t="shared" si="11"/>
        <v>150</v>
      </c>
      <c r="N97" s="10">
        <f t="shared" si="7"/>
        <v>400</v>
      </c>
      <c r="O97" s="10">
        <f t="shared" si="12"/>
        <v>400</v>
      </c>
      <c r="P97" s="10">
        <f t="shared" si="13"/>
        <v>400</v>
      </c>
    </row>
    <row r="98" spans="4:16" ht="20.100000000000001" customHeight="1" x14ac:dyDescent="0.25">
      <c r="D98" s="10" t="s">
        <v>419</v>
      </c>
      <c r="E98" s="10" t="s">
        <v>464</v>
      </c>
      <c r="F98" s="10" t="str">
        <f>F31</f>
        <v>Spring</v>
      </c>
      <c r="G98" s="10">
        <f>G27</f>
        <v>105</v>
      </c>
      <c r="H98" s="10">
        <f t="shared" si="10"/>
        <v>700</v>
      </c>
      <c r="I98" s="10">
        <f t="shared" si="10"/>
        <v>85</v>
      </c>
      <c r="J98" s="10">
        <f t="shared" si="10"/>
        <v>300</v>
      </c>
      <c r="K98" s="10">
        <f t="shared" si="10"/>
        <v>490</v>
      </c>
      <c r="L98" s="10">
        <f>K27</f>
        <v>490</v>
      </c>
      <c r="M98" s="10">
        <f>L27</f>
        <v>90</v>
      </c>
      <c r="N98" s="10">
        <f>M27</f>
        <v>480</v>
      </c>
      <c r="O98" s="10">
        <f>M27</f>
        <v>480</v>
      </c>
      <c r="P98" s="10">
        <f>M27</f>
        <v>480</v>
      </c>
    </row>
    <row r="99" spans="4:16" ht="20.100000000000001" customHeight="1" x14ac:dyDescent="0.25">
      <c r="D99" s="10" t="s">
        <v>419</v>
      </c>
      <c r="E99" s="10" t="s">
        <v>464</v>
      </c>
      <c r="F99" s="10" t="s">
        <v>524</v>
      </c>
      <c r="G99" s="10">
        <f t="shared" ref="G99:K102" si="14">G28</f>
        <v>480</v>
      </c>
      <c r="H99" s="10">
        <f t="shared" si="14"/>
        <v>750</v>
      </c>
      <c r="I99" s="10">
        <f t="shared" si="14"/>
        <v>150</v>
      </c>
      <c r="J99" s="10">
        <f t="shared" si="14"/>
        <v>350</v>
      </c>
      <c r="K99" s="10">
        <f t="shared" si="14"/>
        <v>530</v>
      </c>
      <c r="L99" s="10">
        <f t="shared" ref="L99:M101" si="15">K28</f>
        <v>530</v>
      </c>
      <c r="M99" s="10">
        <f t="shared" si="15"/>
        <v>160</v>
      </c>
      <c r="N99" s="10">
        <f t="shared" si="7"/>
        <v>460</v>
      </c>
      <c r="O99" s="10">
        <f t="shared" ref="O99:O101" si="16">M28</f>
        <v>460</v>
      </c>
      <c r="P99" s="10">
        <f t="shared" ref="P99:P101" si="17">M28</f>
        <v>460</v>
      </c>
    </row>
    <row r="100" spans="4:16" ht="20.100000000000001" customHeight="1" x14ac:dyDescent="0.25">
      <c r="D100" s="10" t="s">
        <v>419</v>
      </c>
      <c r="E100" s="10" t="s">
        <v>464</v>
      </c>
      <c r="F100" s="10" t="s">
        <v>525</v>
      </c>
      <c r="G100" s="10">
        <f t="shared" si="14"/>
        <v>250</v>
      </c>
      <c r="H100" s="10">
        <f t="shared" si="14"/>
        <v>725</v>
      </c>
      <c r="I100" s="10">
        <f t="shared" si="14"/>
        <v>200</v>
      </c>
      <c r="J100" s="10">
        <f t="shared" si="14"/>
        <v>360</v>
      </c>
      <c r="K100" s="10">
        <f t="shared" si="14"/>
        <v>500</v>
      </c>
      <c r="L100" s="10">
        <f t="shared" si="15"/>
        <v>500</v>
      </c>
      <c r="M100" s="10">
        <f t="shared" si="15"/>
        <v>215</v>
      </c>
      <c r="N100" s="10">
        <f t="shared" si="7"/>
        <v>490</v>
      </c>
      <c r="O100" s="10">
        <f t="shared" si="16"/>
        <v>490</v>
      </c>
      <c r="P100" s="10">
        <f t="shared" si="17"/>
        <v>490</v>
      </c>
    </row>
    <row r="101" spans="4:16" ht="20.100000000000001" customHeight="1" x14ac:dyDescent="0.25">
      <c r="D101" s="10" t="s">
        <v>419</v>
      </c>
      <c r="E101" s="10" t="s">
        <v>464</v>
      </c>
      <c r="F101" s="10" t="s">
        <v>526</v>
      </c>
      <c r="G101" s="10">
        <f t="shared" si="14"/>
        <v>260</v>
      </c>
      <c r="H101" s="10">
        <f t="shared" si="14"/>
        <v>700</v>
      </c>
      <c r="I101" s="10">
        <f t="shared" si="14"/>
        <v>210</v>
      </c>
      <c r="J101" s="10">
        <f t="shared" si="14"/>
        <v>380</v>
      </c>
      <c r="K101" s="10">
        <f t="shared" si="14"/>
        <v>460</v>
      </c>
      <c r="L101" s="10">
        <f t="shared" si="15"/>
        <v>460</v>
      </c>
      <c r="M101" s="10">
        <f t="shared" si="15"/>
        <v>230</v>
      </c>
      <c r="N101" s="10">
        <f t="shared" si="7"/>
        <v>470</v>
      </c>
      <c r="O101" s="10">
        <f t="shared" si="16"/>
        <v>470</v>
      </c>
      <c r="P101" s="10">
        <f t="shared" si="17"/>
        <v>470</v>
      </c>
    </row>
    <row r="102" spans="4:16" ht="20.100000000000001" customHeight="1" x14ac:dyDescent="0.25">
      <c r="D102" s="10" t="s">
        <v>368</v>
      </c>
      <c r="E102" s="10" t="s">
        <v>464</v>
      </c>
      <c r="F102" s="10" t="str">
        <f>F35</f>
        <v>Spring</v>
      </c>
      <c r="G102" s="10">
        <f>G31</f>
        <v>250</v>
      </c>
      <c r="H102" s="10">
        <f t="shared" si="14"/>
        <v>820</v>
      </c>
      <c r="I102" s="10">
        <f t="shared" si="14"/>
        <v>240</v>
      </c>
      <c r="J102" s="10">
        <f t="shared" si="14"/>
        <v>410</v>
      </c>
      <c r="K102" s="10">
        <f>K31</f>
        <v>560</v>
      </c>
      <c r="L102" s="10">
        <f>K31</f>
        <v>560</v>
      </c>
      <c r="M102" s="10">
        <f>L31</f>
        <v>240</v>
      </c>
      <c r="N102" s="10">
        <f>M31</f>
        <v>510</v>
      </c>
      <c r="O102" s="10">
        <f>M31</f>
        <v>510</v>
      </c>
      <c r="P102" s="10">
        <f>M31</f>
        <v>510</v>
      </c>
    </row>
    <row r="103" spans="4:16" ht="20.100000000000001" customHeight="1" x14ac:dyDescent="0.25">
      <c r="D103" s="10" t="s">
        <v>368</v>
      </c>
      <c r="E103" s="10" t="s">
        <v>464</v>
      </c>
      <c r="F103" s="10" t="s">
        <v>524</v>
      </c>
      <c r="G103" s="10">
        <f t="shared" ref="G103:K105" si="18">G32</f>
        <v>280</v>
      </c>
      <c r="H103" s="10">
        <f t="shared" si="18"/>
        <v>850</v>
      </c>
      <c r="I103" s="10">
        <f t="shared" si="18"/>
        <v>260</v>
      </c>
      <c r="J103" s="10">
        <f t="shared" si="18"/>
        <v>440</v>
      </c>
      <c r="K103" s="10">
        <f t="shared" si="18"/>
        <v>550</v>
      </c>
      <c r="L103" s="10">
        <f t="shared" ref="L103:M105" si="19">K32</f>
        <v>550</v>
      </c>
      <c r="M103" s="10">
        <f t="shared" si="19"/>
        <v>270</v>
      </c>
      <c r="N103" s="10">
        <f t="shared" si="7"/>
        <v>520</v>
      </c>
      <c r="O103" s="10">
        <f t="shared" ref="O103:O105" si="20">M32</f>
        <v>520</v>
      </c>
      <c r="P103" s="10">
        <f t="shared" ref="P103:P105" si="21">M32</f>
        <v>520</v>
      </c>
    </row>
    <row r="104" spans="4:16" ht="20.100000000000001" customHeight="1" x14ac:dyDescent="0.25">
      <c r="D104" s="10" t="s">
        <v>368</v>
      </c>
      <c r="E104" s="10" t="s">
        <v>464</v>
      </c>
      <c r="F104" s="10" t="s">
        <v>525</v>
      </c>
      <c r="G104" s="10">
        <f t="shared" si="18"/>
        <v>100</v>
      </c>
      <c r="H104" s="10">
        <f t="shared" si="18"/>
        <v>700</v>
      </c>
      <c r="I104" s="10">
        <f t="shared" si="18"/>
        <v>95</v>
      </c>
      <c r="J104" s="10">
        <f t="shared" si="18"/>
        <v>300</v>
      </c>
      <c r="K104" s="10">
        <f t="shared" si="18"/>
        <v>450</v>
      </c>
      <c r="L104" s="10">
        <f t="shared" si="19"/>
        <v>450</v>
      </c>
      <c r="M104" s="10">
        <f t="shared" si="19"/>
        <v>95</v>
      </c>
      <c r="N104" s="10">
        <f t="shared" si="7"/>
        <v>410</v>
      </c>
      <c r="O104" s="10">
        <f t="shared" si="20"/>
        <v>410</v>
      </c>
      <c r="P104" s="10">
        <f t="shared" si="21"/>
        <v>410</v>
      </c>
    </row>
    <row r="105" spans="4:16" ht="20.100000000000001" customHeight="1" x14ac:dyDescent="0.25">
      <c r="D105" s="10" t="s">
        <v>368</v>
      </c>
      <c r="E105" s="10" t="s">
        <v>464</v>
      </c>
      <c r="F105" s="10" t="s">
        <v>526</v>
      </c>
      <c r="G105" s="10">
        <f t="shared" si="18"/>
        <v>150</v>
      </c>
      <c r="H105" s="10">
        <f t="shared" si="18"/>
        <v>720</v>
      </c>
      <c r="I105" s="10">
        <f t="shared" si="18"/>
        <v>140</v>
      </c>
      <c r="J105" s="10">
        <f t="shared" si="18"/>
        <v>320</v>
      </c>
      <c r="K105" s="10">
        <f t="shared" si="18"/>
        <v>470</v>
      </c>
      <c r="L105" s="10">
        <f t="shared" si="19"/>
        <v>470</v>
      </c>
      <c r="M105" s="10">
        <f t="shared" si="19"/>
        <v>140</v>
      </c>
      <c r="N105" s="10">
        <f t="shared" si="7"/>
        <v>440</v>
      </c>
      <c r="O105" s="10">
        <f t="shared" si="20"/>
        <v>440</v>
      </c>
      <c r="P105" s="10">
        <f t="shared" si="21"/>
        <v>440</v>
      </c>
    </row>
    <row r="106" spans="4:16" ht="20.100000000000001" customHeight="1" x14ac:dyDescent="0.25">
      <c r="D106" s="10" t="s">
        <v>369</v>
      </c>
      <c r="E106" s="10" t="str">
        <f>E35</f>
        <v>South West</v>
      </c>
      <c r="F106" s="10" t="str">
        <f t="shared" ref="F106:K106" si="22">F35</f>
        <v>Spring</v>
      </c>
      <c r="G106" s="10">
        <f t="shared" si="22"/>
        <v>340</v>
      </c>
      <c r="H106" s="10">
        <f t="shared" si="22"/>
        <v>800</v>
      </c>
      <c r="I106" s="10">
        <f t="shared" si="22"/>
        <v>260</v>
      </c>
      <c r="J106" s="10">
        <f t="shared" si="22"/>
        <v>420</v>
      </c>
      <c r="K106" s="10">
        <f t="shared" si="22"/>
        <v>550</v>
      </c>
      <c r="L106" s="10">
        <f>K35</f>
        <v>550</v>
      </c>
      <c r="M106" s="10">
        <f>L35</f>
        <v>300</v>
      </c>
      <c r="N106" s="10">
        <f>M35</f>
        <v>480</v>
      </c>
      <c r="O106" s="10">
        <f>M35</f>
        <v>480</v>
      </c>
      <c r="P106" s="10">
        <f>M35</f>
        <v>480</v>
      </c>
    </row>
    <row r="107" spans="4:16" ht="20.100000000000001" customHeight="1" x14ac:dyDescent="0.25">
      <c r="D107" s="10" t="s">
        <v>369</v>
      </c>
      <c r="E107" s="10" t="str">
        <f t="shared" ref="E107:K117" si="23">E36</f>
        <v>South West</v>
      </c>
      <c r="F107" s="10" t="str">
        <f t="shared" si="23"/>
        <v>Summer</v>
      </c>
      <c r="G107" s="10">
        <f t="shared" si="23"/>
        <v>380</v>
      </c>
      <c r="H107" s="10">
        <f t="shared" si="23"/>
        <v>780</v>
      </c>
      <c r="I107" s="10">
        <f t="shared" si="23"/>
        <v>300</v>
      </c>
      <c r="J107" s="10">
        <f t="shared" si="23"/>
        <v>450</v>
      </c>
      <c r="K107" s="10">
        <f t="shared" si="23"/>
        <v>530</v>
      </c>
      <c r="L107" s="10">
        <f t="shared" ref="L107:N117" si="24">K36</f>
        <v>530</v>
      </c>
      <c r="M107" s="10">
        <f t="shared" si="24"/>
        <v>340</v>
      </c>
      <c r="N107" s="10">
        <f t="shared" si="24"/>
        <v>470</v>
      </c>
      <c r="O107" s="10">
        <f t="shared" ref="O107:O117" si="25">M36</f>
        <v>470</v>
      </c>
      <c r="P107" s="10">
        <f t="shared" ref="P107:P117" si="26">M36</f>
        <v>470</v>
      </c>
    </row>
    <row r="108" spans="4:16" ht="20.100000000000001" customHeight="1" x14ac:dyDescent="0.25">
      <c r="D108" s="10" t="s">
        <v>369</v>
      </c>
      <c r="E108" s="10" t="str">
        <f t="shared" si="23"/>
        <v>South West</v>
      </c>
      <c r="F108" s="10" t="str">
        <f t="shared" si="23"/>
        <v>Autumn</v>
      </c>
      <c r="G108" s="10">
        <f t="shared" si="23"/>
        <v>100</v>
      </c>
      <c r="H108" s="10">
        <f t="shared" si="23"/>
        <v>680</v>
      </c>
      <c r="I108" s="10">
        <f t="shared" si="23"/>
        <v>80</v>
      </c>
      <c r="J108" s="10">
        <f t="shared" si="23"/>
        <v>320</v>
      </c>
      <c r="K108" s="10">
        <f t="shared" si="23"/>
        <v>480</v>
      </c>
      <c r="L108" s="10">
        <f t="shared" si="24"/>
        <v>480</v>
      </c>
      <c r="M108" s="10">
        <f t="shared" si="24"/>
        <v>100</v>
      </c>
      <c r="N108" s="10">
        <f t="shared" si="24"/>
        <v>340</v>
      </c>
      <c r="O108" s="10">
        <f t="shared" si="25"/>
        <v>340</v>
      </c>
      <c r="P108" s="10">
        <f t="shared" si="26"/>
        <v>340</v>
      </c>
    </row>
    <row r="109" spans="4:16" ht="20.100000000000001" customHeight="1" x14ac:dyDescent="0.25">
      <c r="D109" s="10" t="s">
        <v>369</v>
      </c>
      <c r="E109" s="10" t="str">
        <f t="shared" si="23"/>
        <v>South West</v>
      </c>
      <c r="F109" s="10" t="str">
        <f t="shared" si="23"/>
        <v>Winter</v>
      </c>
      <c r="G109" s="10">
        <f t="shared" si="23"/>
        <v>190</v>
      </c>
      <c r="H109" s="10">
        <f t="shared" si="23"/>
        <v>700</v>
      </c>
      <c r="I109" s="10">
        <f t="shared" si="23"/>
        <v>150</v>
      </c>
      <c r="J109" s="10">
        <f t="shared" si="23"/>
        <v>330</v>
      </c>
      <c r="K109" s="10">
        <f t="shared" si="23"/>
        <v>490</v>
      </c>
      <c r="L109" s="10">
        <f t="shared" si="24"/>
        <v>490</v>
      </c>
      <c r="M109" s="10">
        <f t="shared" si="24"/>
        <v>170</v>
      </c>
      <c r="N109" s="10">
        <f t="shared" si="24"/>
        <v>360</v>
      </c>
      <c r="O109" s="10">
        <f t="shared" si="25"/>
        <v>360</v>
      </c>
      <c r="P109" s="10">
        <f t="shared" si="26"/>
        <v>360</v>
      </c>
    </row>
    <row r="110" spans="4:16" ht="20.100000000000001" customHeight="1" x14ac:dyDescent="0.25">
      <c r="D110" s="10" t="s">
        <v>369</v>
      </c>
      <c r="E110" s="10" t="str">
        <f t="shared" si="23"/>
        <v>Pilbara</v>
      </c>
      <c r="F110" s="10" t="str">
        <f t="shared" si="23"/>
        <v>Spring</v>
      </c>
      <c r="G110" s="10">
        <f t="shared" si="23"/>
        <v>80</v>
      </c>
      <c r="H110" s="10">
        <f t="shared" si="23"/>
        <v>450</v>
      </c>
      <c r="I110" s="10">
        <f t="shared" si="23"/>
        <v>70</v>
      </c>
      <c r="J110" s="10">
        <f t="shared" si="23"/>
        <v>260</v>
      </c>
      <c r="K110" s="10">
        <f t="shared" si="23"/>
        <v>340</v>
      </c>
      <c r="L110" s="10">
        <f t="shared" si="24"/>
        <v>340</v>
      </c>
      <c r="M110" s="10">
        <f t="shared" si="24"/>
        <v>80</v>
      </c>
      <c r="N110" s="10">
        <f t="shared" si="24"/>
        <v>370</v>
      </c>
      <c r="O110" s="10">
        <f t="shared" si="25"/>
        <v>370</v>
      </c>
      <c r="P110" s="10">
        <f t="shared" si="26"/>
        <v>370</v>
      </c>
    </row>
    <row r="111" spans="4:16" ht="20.100000000000001" customHeight="1" x14ac:dyDescent="0.25">
      <c r="D111" s="10" t="s">
        <v>369</v>
      </c>
      <c r="E111" s="10" t="str">
        <f t="shared" si="23"/>
        <v>Pilbara</v>
      </c>
      <c r="F111" s="10" t="str">
        <f t="shared" si="23"/>
        <v>Summer</v>
      </c>
      <c r="G111" s="10">
        <f t="shared" si="23"/>
        <v>150</v>
      </c>
      <c r="H111" s="10">
        <f t="shared" si="23"/>
        <v>500</v>
      </c>
      <c r="I111" s="10">
        <f t="shared" si="23"/>
        <v>140</v>
      </c>
      <c r="J111" s="10">
        <f t="shared" si="23"/>
        <v>310</v>
      </c>
      <c r="K111" s="10">
        <f t="shared" si="23"/>
        <v>360</v>
      </c>
      <c r="L111" s="10">
        <f t="shared" si="24"/>
        <v>360</v>
      </c>
      <c r="M111" s="10">
        <f t="shared" si="24"/>
        <v>150</v>
      </c>
      <c r="N111" s="10">
        <f t="shared" si="24"/>
        <v>400</v>
      </c>
      <c r="O111" s="10">
        <f t="shared" si="25"/>
        <v>400</v>
      </c>
      <c r="P111" s="10">
        <f t="shared" si="26"/>
        <v>400</v>
      </c>
    </row>
    <row r="112" spans="4:16" ht="20.100000000000001" customHeight="1" x14ac:dyDescent="0.25">
      <c r="D112" s="10" t="s">
        <v>369</v>
      </c>
      <c r="E112" s="10" t="str">
        <f t="shared" si="23"/>
        <v>Pilbara</v>
      </c>
      <c r="F112" s="10" t="str">
        <f t="shared" si="23"/>
        <v>Autumn</v>
      </c>
      <c r="G112" s="10">
        <f t="shared" si="23"/>
        <v>230</v>
      </c>
      <c r="H112" s="10">
        <f t="shared" si="23"/>
        <v>550</v>
      </c>
      <c r="I112" s="10">
        <f t="shared" si="23"/>
        <v>220</v>
      </c>
      <c r="J112" s="10">
        <f t="shared" si="23"/>
        <v>330</v>
      </c>
      <c r="K112" s="10">
        <f t="shared" si="23"/>
        <v>380</v>
      </c>
      <c r="L112" s="10">
        <f t="shared" si="24"/>
        <v>380</v>
      </c>
      <c r="M112" s="10">
        <f t="shared" si="24"/>
        <v>230</v>
      </c>
      <c r="N112" s="10">
        <f t="shared" si="24"/>
        <v>420</v>
      </c>
      <c r="O112" s="10">
        <f t="shared" si="25"/>
        <v>420</v>
      </c>
      <c r="P112" s="10">
        <f t="shared" si="26"/>
        <v>420</v>
      </c>
    </row>
    <row r="113" spans="4:22" ht="20.100000000000001" customHeight="1" x14ac:dyDescent="0.25">
      <c r="D113" s="10" t="s">
        <v>369</v>
      </c>
      <c r="E113" s="10" t="str">
        <f t="shared" si="23"/>
        <v>Pilbara</v>
      </c>
      <c r="F113" s="10" t="str">
        <f t="shared" si="23"/>
        <v>Winter</v>
      </c>
      <c r="G113" s="10">
        <f t="shared" si="23"/>
        <v>250</v>
      </c>
      <c r="H113" s="10">
        <f t="shared" si="23"/>
        <v>500</v>
      </c>
      <c r="I113" s="10">
        <f t="shared" si="23"/>
        <v>240</v>
      </c>
      <c r="J113" s="10">
        <f t="shared" si="23"/>
        <v>340</v>
      </c>
      <c r="K113" s="10">
        <f t="shared" si="23"/>
        <v>360</v>
      </c>
      <c r="L113" s="10">
        <f t="shared" si="24"/>
        <v>360</v>
      </c>
      <c r="M113" s="10">
        <f t="shared" si="24"/>
        <v>250</v>
      </c>
      <c r="N113" s="10">
        <f t="shared" si="24"/>
        <v>390</v>
      </c>
      <c r="O113" s="10">
        <f t="shared" si="25"/>
        <v>390</v>
      </c>
      <c r="P113" s="10">
        <f t="shared" si="26"/>
        <v>390</v>
      </c>
    </row>
    <row r="114" spans="4:22" ht="20.100000000000001" customHeight="1" x14ac:dyDescent="0.25">
      <c r="D114" s="10" t="s">
        <v>369</v>
      </c>
      <c r="E114" s="10" t="str">
        <f t="shared" si="23"/>
        <v>Kimberley</v>
      </c>
      <c r="F114" s="10" t="str">
        <f t="shared" si="23"/>
        <v>Spring</v>
      </c>
      <c r="G114" s="10">
        <f t="shared" si="23"/>
        <v>220</v>
      </c>
      <c r="H114" s="10">
        <f t="shared" si="23"/>
        <v>500</v>
      </c>
      <c r="I114" s="10">
        <f t="shared" si="23"/>
        <v>180</v>
      </c>
      <c r="J114" s="10">
        <f t="shared" si="23"/>
        <v>300</v>
      </c>
      <c r="K114" s="10">
        <f t="shared" si="23"/>
        <v>320</v>
      </c>
      <c r="L114" s="10">
        <f t="shared" si="24"/>
        <v>320</v>
      </c>
      <c r="M114" s="10">
        <f t="shared" si="24"/>
        <v>210</v>
      </c>
      <c r="N114" s="10">
        <f t="shared" si="24"/>
        <v>340</v>
      </c>
      <c r="O114" s="10">
        <f t="shared" si="25"/>
        <v>340</v>
      </c>
      <c r="P114" s="10">
        <f t="shared" si="26"/>
        <v>340</v>
      </c>
    </row>
    <row r="115" spans="4:22" ht="20.100000000000001" customHeight="1" x14ac:dyDescent="0.25">
      <c r="D115" s="10" t="s">
        <v>369</v>
      </c>
      <c r="E115" s="10" t="str">
        <f t="shared" si="23"/>
        <v>Kimberley</v>
      </c>
      <c r="F115" s="10" t="str">
        <f t="shared" si="23"/>
        <v>Summer</v>
      </c>
      <c r="G115" s="10">
        <f t="shared" si="23"/>
        <v>110</v>
      </c>
      <c r="H115" s="10">
        <f t="shared" si="23"/>
        <v>550</v>
      </c>
      <c r="I115" s="10">
        <f t="shared" si="23"/>
        <v>90</v>
      </c>
      <c r="J115" s="10">
        <f t="shared" si="23"/>
        <v>220</v>
      </c>
      <c r="K115" s="10">
        <f t="shared" si="23"/>
        <v>380</v>
      </c>
      <c r="L115" s="10">
        <f t="shared" si="24"/>
        <v>380</v>
      </c>
      <c r="M115" s="10">
        <f t="shared" si="24"/>
        <v>100</v>
      </c>
      <c r="N115" s="10">
        <f t="shared" si="24"/>
        <v>390</v>
      </c>
      <c r="O115" s="10">
        <f t="shared" si="25"/>
        <v>390</v>
      </c>
      <c r="P115" s="10">
        <f t="shared" si="26"/>
        <v>390</v>
      </c>
      <c r="V115" s="8"/>
    </row>
    <row r="116" spans="4:22" ht="20.100000000000001" customHeight="1" x14ac:dyDescent="0.25">
      <c r="D116" s="10" t="s">
        <v>369</v>
      </c>
      <c r="E116" s="10" t="str">
        <f t="shared" si="23"/>
        <v>Kimberley</v>
      </c>
      <c r="F116" s="10" t="str">
        <f t="shared" si="23"/>
        <v>Autumn</v>
      </c>
      <c r="G116" s="10">
        <f t="shared" si="23"/>
        <v>170</v>
      </c>
      <c r="H116" s="10">
        <f t="shared" si="23"/>
        <v>600</v>
      </c>
      <c r="I116" s="10">
        <f t="shared" si="23"/>
        <v>140</v>
      </c>
      <c r="J116" s="10">
        <f t="shared" si="23"/>
        <v>270</v>
      </c>
      <c r="K116" s="10">
        <f t="shared" si="23"/>
        <v>390</v>
      </c>
      <c r="L116" s="10">
        <f t="shared" si="24"/>
        <v>390</v>
      </c>
      <c r="M116" s="10">
        <f t="shared" si="24"/>
        <v>160</v>
      </c>
      <c r="N116" s="10">
        <f t="shared" si="24"/>
        <v>430</v>
      </c>
      <c r="O116" s="10">
        <f t="shared" si="25"/>
        <v>430</v>
      </c>
      <c r="P116" s="10">
        <f t="shared" si="26"/>
        <v>430</v>
      </c>
      <c r="V116" s="8"/>
    </row>
    <row r="117" spans="4:22" ht="20.100000000000001" customHeight="1" x14ac:dyDescent="0.25">
      <c r="D117" s="10" t="s">
        <v>369</v>
      </c>
      <c r="E117" s="10" t="str">
        <f t="shared" si="23"/>
        <v>Kimberley</v>
      </c>
      <c r="F117" s="10" t="str">
        <f t="shared" si="23"/>
        <v>Winter</v>
      </c>
      <c r="G117" s="10">
        <f t="shared" si="23"/>
        <v>200</v>
      </c>
      <c r="H117" s="10">
        <f t="shared" si="23"/>
        <v>550</v>
      </c>
      <c r="I117" s="10">
        <f t="shared" si="23"/>
        <v>150</v>
      </c>
      <c r="J117" s="10">
        <f t="shared" si="23"/>
        <v>280</v>
      </c>
      <c r="K117" s="10">
        <f t="shared" si="23"/>
        <v>350</v>
      </c>
      <c r="L117" s="10">
        <f t="shared" si="24"/>
        <v>350</v>
      </c>
      <c r="M117" s="10">
        <f t="shared" si="24"/>
        <v>190</v>
      </c>
      <c r="N117" s="10">
        <f t="shared" si="24"/>
        <v>400</v>
      </c>
      <c r="O117" s="10">
        <f t="shared" si="25"/>
        <v>400</v>
      </c>
      <c r="P117" s="10">
        <f t="shared" si="26"/>
        <v>400</v>
      </c>
      <c r="V117" s="8"/>
    </row>
    <row r="118" spans="4:22" ht="20.100000000000001" customHeight="1" x14ac:dyDescent="0.25">
      <c r="D118" s="10" t="s">
        <v>465</v>
      </c>
      <c r="E118" s="10" t="str">
        <f>E54</f>
        <v>Alice Springs</v>
      </c>
      <c r="F118" s="10" t="str">
        <f t="shared" ref="F118:P118" si="27">F54</f>
        <v>Spring</v>
      </c>
      <c r="G118" s="10">
        <f t="shared" si="27"/>
        <v>220</v>
      </c>
      <c r="H118" s="10">
        <f t="shared" si="27"/>
        <v>706</v>
      </c>
      <c r="I118" s="10">
        <f t="shared" si="27"/>
        <v>208</v>
      </c>
      <c r="J118" s="10">
        <f t="shared" si="27"/>
        <v>323</v>
      </c>
      <c r="K118" s="10">
        <f t="shared" si="27"/>
        <v>415</v>
      </c>
      <c r="L118" s="10">
        <f t="shared" si="27"/>
        <v>467</v>
      </c>
      <c r="M118" s="10">
        <f t="shared" si="27"/>
        <v>223</v>
      </c>
      <c r="N118" s="10">
        <f t="shared" si="27"/>
        <v>371</v>
      </c>
      <c r="O118" s="10">
        <f t="shared" si="27"/>
        <v>493</v>
      </c>
      <c r="P118" s="10">
        <f t="shared" si="27"/>
        <v>585</v>
      </c>
    </row>
    <row r="119" spans="4:22" ht="20.100000000000001" customHeight="1" x14ac:dyDescent="0.25">
      <c r="D119" s="10" t="s">
        <v>465</v>
      </c>
      <c r="E119" s="10" t="str">
        <f t="shared" ref="E119:P134" si="28">E55</f>
        <v>Alice Springs</v>
      </c>
      <c r="F119" s="10" t="str">
        <f t="shared" si="28"/>
        <v>Summer</v>
      </c>
      <c r="G119" s="10">
        <f t="shared" si="28"/>
        <v>110</v>
      </c>
      <c r="H119" s="10">
        <f t="shared" si="28"/>
        <v>703</v>
      </c>
      <c r="I119" s="10">
        <f t="shared" si="28"/>
        <v>112</v>
      </c>
      <c r="J119" s="10">
        <f t="shared" si="28"/>
        <v>256</v>
      </c>
      <c r="K119" s="10">
        <f t="shared" si="28"/>
        <v>368</v>
      </c>
      <c r="L119" s="10">
        <f t="shared" si="28"/>
        <v>465</v>
      </c>
      <c r="M119" s="10">
        <f t="shared" si="28"/>
        <v>108</v>
      </c>
      <c r="N119" s="10">
        <f t="shared" si="28"/>
        <v>280</v>
      </c>
      <c r="O119" s="10">
        <f t="shared" si="28"/>
        <v>421</v>
      </c>
      <c r="P119" s="10">
        <f t="shared" si="28"/>
        <v>543</v>
      </c>
    </row>
    <row r="120" spans="4:22" ht="20.100000000000001" customHeight="1" x14ac:dyDescent="0.25">
      <c r="D120" s="10" t="s">
        <v>465</v>
      </c>
      <c r="E120" s="10" t="str">
        <f t="shared" si="28"/>
        <v>Alice Springs</v>
      </c>
      <c r="F120" s="10" t="str">
        <f t="shared" si="28"/>
        <v>Autumn</v>
      </c>
      <c r="G120" s="10">
        <f t="shared" si="28"/>
        <v>170</v>
      </c>
      <c r="H120" s="10">
        <f t="shared" si="28"/>
        <v>721</v>
      </c>
      <c r="I120" s="10">
        <f t="shared" si="28"/>
        <v>169</v>
      </c>
      <c r="J120" s="10">
        <f t="shared" si="28"/>
        <v>306</v>
      </c>
      <c r="K120" s="10">
        <f t="shared" si="28"/>
        <v>392</v>
      </c>
      <c r="L120" s="10">
        <f t="shared" si="28"/>
        <v>464</v>
      </c>
      <c r="M120" s="10">
        <f t="shared" si="28"/>
        <v>176</v>
      </c>
      <c r="N120" s="10">
        <f t="shared" si="28"/>
        <v>339</v>
      </c>
      <c r="O120" s="10">
        <f t="shared" si="28"/>
        <v>470</v>
      </c>
      <c r="P120" s="10">
        <f t="shared" si="28"/>
        <v>580</v>
      </c>
    </row>
    <row r="121" spans="4:22" ht="20.100000000000001" customHeight="1" x14ac:dyDescent="0.25">
      <c r="D121" s="10" t="s">
        <v>465</v>
      </c>
      <c r="E121" s="10" t="str">
        <f t="shared" si="28"/>
        <v>Alice Springs</v>
      </c>
      <c r="F121" s="10" t="str">
        <f t="shared" si="28"/>
        <v>Winter</v>
      </c>
      <c r="G121" s="10">
        <f t="shared" si="28"/>
        <v>200</v>
      </c>
      <c r="H121" s="10">
        <f t="shared" si="28"/>
        <v>727</v>
      </c>
      <c r="I121" s="10">
        <f t="shared" si="28"/>
        <v>211</v>
      </c>
      <c r="J121" s="10">
        <f t="shared" si="28"/>
        <v>338</v>
      </c>
      <c r="K121" s="10">
        <f t="shared" si="28"/>
        <v>432</v>
      </c>
      <c r="L121" s="10">
        <f t="shared" si="28"/>
        <v>492</v>
      </c>
      <c r="M121" s="10">
        <f t="shared" si="28"/>
        <v>222</v>
      </c>
      <c r="N121" s="10">
        <f t="shared" si="28"/>
        <v>377</v>
      </c>
      <c r="O121" s="10">
        <f t="shared" si="28"/>
        <v>498</v>
      </c>
      <c r="P121" s="10">
        <f t="shared" si="28"/>
        <v>590</v>
      </c>
    </row>
    <row r="122" spans="4:22" ht="20.100000000000001" customHeight="1" x14ac:dyDescent="0.25">
      <c r="D122" s="10" t="s">
        <v>465</v>
      </c>
      <c r="E122" s="10" t="str">
        <f t="shared" si="28"/>
        <v>Barkly</v>
      </c>
      <c r="F122" s="10" t="str">
        <f t="shared" si="28"/>
        <v>Spring</v>
      </c>
      <c r="G122" s="10">
        <f t="shared" si="28"/>
        <v>220</v>
      </c>
      <c r="H122" s="10">
        <f t="shared" si="28"/>
        <v>620</v>
      </c>
      <c r="I122" s="10">
        <f t="shared" si="28"/>
        <v>227</v>
      </c>
      <c r="J122" s="10">
        <f t="shared" si="28"/>
        <v>319</v>
      </c>
      <c r="K122" s="10">
        <f t="shared" si="28"/>
        <v>398</v>
      </c>
      <c r="L122" s="10">
        <f t="shared" si="28"/>
        <v>452</v>
      </c>
      <c r="M122" s="10">
        <f t="shared" si="28"/>
        <v>216</v>
      </c>
      <c r="N122" s="10">
        <f t="shared" si="28"/>
        <v>334</v>
      </c>
      <c r="O122" s="10" t="str">
        <f t="shared" si="28"/>
        <v>NO</v>
      </c>
      <c r="P122" s="10" t="str">
        <f t="shared" si="28"/>
        <v>NO</v>
      </c>
    </row>
    <row r="123" spans="4:22" ht="20.100000000000001" customHeight="1" x14ac:dyDescent="0.25">
      <c r="D123" s="10" t="s">
        <v>465</v>
      </c>
      <c r="E123" s="10" t="str">
        <f t="shared" si="28"/>
        <v>Barkly</v>
      </c>
      <c r="F123" s="10" t="str">
        <f t="shared" si="28"/>
        <v>Summer</v>
      </c>
      <c r="G123" s="10">
        <f t="shared" si="28"/>
        <v>110</v>
      </c>
      <c r="H123" s="10">
        <f t="shared" si="28"/>
        <v>650</v>
      </c>
      <c r="I123" s="10">
        <f t="shared" si="28"/>
        <v>108</v>
      </c>
      <c r="J123" s="10">
        <f t="shared" si="28"/>
        <v>262</v>
      </c>
      <c r="K123" s="10">
        <f t="shared" si="28"/>
        <v>346</v>
      </c>
      <c r="L123" s="10">
        <f t="shared" si="28"/>
        <v>430</v>
      </c>
      <c r="M123" s="10">
        <f t="shared" si="28"/>
        <v>111</v>
      </c>
      <c r="N123" s="10">
        <f t="shared" si="28"/>
        <v>236</v>
      </c>
      <c r="O123" s="10" t="str">
        <f t="shared" si="28"/>
        <v>NO</v>
      </c>
      <c r="P123" s="10" t="str">
        <f t="shared" si="28"/>
        <v>NO</v>
      </c>
    </row>
    <row r="124" spans="4:22" ht="20.100000000000001" customHeight="1" x14ac:dyDescent="0.25">
      <c r="D124" s="10" t="s">
        <v>465</v>
      </c>
      <c r="E124" s="10" t="str">
        <f t="shared" si="28"/>
        <v>Barkly</v>
      </c>
      <c r="F124" s="10" t="str">
        <f t="shared" si="28"/>
        <v>Autumn</v>
      </c>
      <c r="G124" s="10">
        <f t="shared" si="28"/>
        <v>170</v>
      </c>
      <c r="H124" s="10">
        <f t="shared" si="28"/>
        <v>670</v>
      </c>
      <c r="I124" s="10">
        <f t="shared" si="28"/>
        <v>170</v>
      </c>
      <c r="J124" s="10">
        <f t="shared" si="28"/>
        <v>266</v>
      </c>
      <c r="K124" s="10">
        <f t="shared" si="28"/>
        <v>363</v>
      </c>
      <c r="L124" s="10">
        <f t="shared" si="28"/>
        <v>444</v>
      </c>
      <c r="M124" s="10">
        <f t="shared" si="28"/>
        <v>169</v>
      </c>
      <c r="N124" s="10">
        <f t="shared" si="28"/>
        <v>282</v>
      </c>
      <c r="O124" s="10" t="str">
        <f t="shared" si="28"/>
        <v>NO</v>
      </c>
      <c r="P124" s="10" t="str">
        <f t="shared" si="28"/>
        <v>NO</v>
      </c>
    </row>
    <row r="125" spans="4:22" ht="20.100000000000001" customHeight="1" x14ac:dyDescent="0.25">
      <c r="D125" s="10" t="s">
        <v>465</v>
      </c>
      <c r="E125" s="10" t="str">
        <f t="shared" si="28"/>
        <v>Barkly</v>
      </c>
      <c r="F125" s="10" t="str">
        <f t="shared" si="28"/>
        <v>Winter</v>
      </c>
      <c r="G125" s="10">
        <f t="shared" si="28"/>
        <v>200</v>
      </c>
      <c r="H125" s="10">
        <f t="shared" si="28"/>
        <v>660</v>
      </c>
      <c r="I125" s="10">
        <f t="shared" si="28"/>
        <v>225</v>
      </c>
      <c r="J125" s="10">
        <f t="shared" si="28"/>
        <v>307</v>
      </c>
      <c r="K125" s="10">
        <f t="shared" si="28"/>
        <v>398</v>
      </c>
      <c r="L125" s="10">
        <f t="shared" si="28"/>
        <v>452</v>
      </c>
      <c r="M125" s="10">
        <f t="shared" si="28"/>
        <v>214</v>
      </c>
      <c r="N125" s="10">
        <f t="shared" si="28"/>
        <v>326</v>
      </c>
      <c r="O125" s="10" t="str">
        <f t="shared" si="28"/>
        <v>NO</v>
      </c>
      <c r="P125" s="10" t="str">
        <f t="shared" si="28"/>
        <v>NO</v>
      </c>
      <c r="V125" s="8"/>
    </row>
    <row r="126" spans="4:22" ht="20.100000000000001" customHeight="1" x14ac:dyDescent="0.25">
      <c r="D126" s="10" t="s">
        <v>465</v>
      </c>
      <c r="E126" s="10" t="str">
        <f t="shared" si="28"/>
        <v>Northern</v>
      </c>
      <c r="F126" s="10" t="str">
        <f t="shared" si="28"/>
        <v>Spring</v>
      </c>
      <c r="G126" s="10">
        <f t="shared" si="28"/>
        <v>220</v>
      </c>
      <c r="H126" s="10">
        <f t="shared" si="28"/>
        <v>620</v>
      </c>
      <c r="I126" s="10">
        <f t="shared" si="28"/>
        <v>177</v>
      </c>
      <c r="J126" s="10">
        <f t="shared" si="28"/>
        <v>267</v>
      </c>
      <c r="K126" s="10">
        <f t="shared" si="28"/>
        <v>365</v>
      </c>
      <c r="L126" s="10">
        <f t="shared" si="28"/>
        <v>406</v>
      </c>
      <c r="M126" s="10">
        <f t="shared" si="28"/>
        <v>231</v>
      </c>
      <c r="N126" s="10">
        <f t="shared" si="28"/>
        <v>249</v>
      </c>
      <c r="O126" s="10">
        <f t="shared" si="28"/>
        <v>324</v>
      </c>
      <c r="P126" s="10" t="str">
        <f t="shared" si="28"/>
        <v>NO</v>
      </c>
      <c r="V126" s="8"/>
    </row>
    <row r="127" spans="4:22" ht="20.100000000000001" customHeight="1" x14ac:dyDescent="0.25">
      <c r="D127" s="10" t="s">
        <v>465</v>
      </c>
      <c r="E127" s="10" t="str">
        <f t="shared" si="28"/>
        <v>Northern</v>
      </c>
      <c r="F127" s="10" t="str">
        <f t="shared" si="28"/>
        <v>Summer</v>
      </c>
      <c r="G127" s="10">
        <f t="shared" si="28"/>
        <v>110</v>
      </c>
      <c r="H127" s="10">
        <f t="shared" si="28"/>
        <v>650</v>
      </c>
      <c r="I127" s="10">
        <f t="shared" si="28"/>
        <v>102</v>
      </c>
      <c r="J127" s="10">
        <f t="shared" si="28"/>
        <v>203</v>
      </c>
      <c r="K127" s="10">
        <f t="shared" si="28"/>
        <v>299</v>
      </c>
      <c r="L127" s="10">
        <f t="shared" si="28"/>
        <v>380</v>
      </c>
      <c r="M127" s="10">
        <f t="shared" si="28"/>
        <v>102</v>
      </c>
      <c r="N127" s="10">
        <f t="shared" si="28"/>
        <v>218</v>
      </c>
      <c r="O127" s="10">
        <f t="shared" si="28"/>
        <v>263</v>
      </c>
      <c r="P127" s="10" t="str">
        <f t="shared" si="28"/>
        <v>NO</v>
      </c>
      <c r="V127" s="8"/>
    </row>
    <row r="128" spans="4:22" ht="20.100000000000001" customHeight="1" x14ac:dyDescent="0.25">
      <c r="D128" s="10" t="s">
        <v>465</v>
      </c>
      <c r="E128" s="10" t="str">
        <f t="shared" si="28"/>
        <v>Northern</v>
      </c>
      <c r="F128" s="10" t="str">
        <f t="shared" si="28"/>
        <v>Autumn</v>
      </c>
      <c r="G128" s="10">
        <f t="shared" si="28"/>
        <v>170</v>
      </c>
      <c r="H128" s="10">
        <f t="shared" si="28"/>
        <v>670</v>
      </c>
      <c r="I128" s="10">
        <f t="shared" si="28"/>
        <v>173</v>
      </c>
      <c r="J128" s="10">
        <f t="shared" si="28"/>
        <v>250</v>
      </c>
      <c r="K128" s="10">
        <f t="shared" si="28"/>
        <v>336</v>
      </c>
      <c r="L128" s="10">
        <f t="shared" si="28"/>
        <v>414</v>
      </c>
      <c r="M128" s="10">
        <f t="shared" si="28"/>
        <v>175</v>
      </c>
      <c r="N128" s="10">
        <f t="shared" si="28"/>
        <v>243</v>
      </c>
      <c r="O128" s="10">
        <f t="shared" si="28"/>
        <v>304</v>
      </c>
      <c r="P128" s="10" t="str">
        <f t="shared" si="28"/>
        <v>NO</v>
      </c>
      <c r="V128" s="8"/>
    </row>
    <row r="129" spans="4:22" ht="20.100000000000001" customHeight="1" x14ac:dyDescent="0.25">
      <c r="D129" s="10" t="s">
        <v>465</v>
      </c>
      <c r="E129" s="10" t="str">
        <f t="shared" si="28"/>
        <v>Northern</v>
      </c>
      <c r="F129" s="10" t="str">
        <f t="shared" si="28"/>
        <v>Winter</v>
      </c>
      <c r="G129" s="10">
        <f t="shared" si="28"/>
        <v>200</v>
      </c>
      <c r="H129" s="10">
        <f t="shared" si="28"/>
        <v>660</v>
      </c>
      <c r="I129" s="10">
        <f t="shared" si="28"/>
        <v>202</v>
      </c>
      <c r="J129" s="10">
        <f t="shared" si="28"/>
        <v>272</v>
      </c>
      <c r="K129" s="10">
        <f t="shared" si="28"/>
        <v>365</v>
      </c>
      <c r="L129" s="10">
        <f t="shared" si="28"/>
        <v>390</v>
      </c>
      <c r="M129" s="10">
        <f t="shared" si="28"/>
        <v>208</v>
      </c>
      <c r="N129" s="10">
        <f t="shared" si="28"/>
        <v>260</v>
      </c>
      <c r="O129" s="10">
        <f t="shared" si="28"/>
        <v>337</v>
      </c>
      <c r="P129" s="10" t="str">
        <f t="shared" si="28"/>
        <v>NO</v>
      </c>
      <c r="V129" s="8"/>
    </row>
    <row r="130" spans="4:22" ht="20.100000000000001" customHeight="1" x14ac:dyDescent="0.25">
      <c r="D130" s="10" t="s">
        <v>363</v>
      </c>
      <c r="E130" s="10" t="str">
        <f t="shared" si="28"/>
        <v>High</v>
      </c>
      <c r="F130" s="10" t="str">
        <f t="shared" si="28"/>
        <v>Spring</v>
      </c>
      <c r="G130" s="10">
        <f t="shared" si="28"/>
        <v>260</v>
      </c>
      <c r="H130" s="10">
        <f t="shared" si="28"/>
        <v>705</v>
      </c>
      <c r="I130" s="10">
        <f t="shared" si="28"/>
        <v>215</v>
      </c>
      <c r="J130" s="10">
        <f t="shared" si="28"/>
        <v>302</v>
      </c>
      <c r="K130" s="10">
        <f t="shared" si="28"/>
        <v>416</v>
      </c>
      <c r="L130" s="10">
        <f t="shared" si="28"/>
        <v>519</v>
      </c>
      <c r="M130" s="10">
        <f t="shared" si="28"/>
        <v>234</v>
      </c>
      <c r="N130" s="10">
        <f t="shared" si="28"/>
        <v>455</v>
      </c>
      <c r="O130" s="10">
        <f t="shared" si="28"/>
        <v>551</v>
      </c>
      <c r="P130" s="10">
        <f t="shared" si="28"/>
        <v>660</v>
      </c>
      <c r="V130" s="8"/>
    </row>
    <row r="131" spans="4:22" ht="20.100000000000001" customHeight="1" x14ac:dyDescent="0.25">
      <c r="D131" s="10" t="s">
        <v>363</v>
      </c>
      <c r="E131" s="10" t="str">
        <f t="shared" si="28"/>
        <v>High</v>
      </c>
      <c r="F131" s="10" t="str">
        <f t="shared" si="28"/>
        <v>Summer</v>
      </c>
      <c r="G131" s="10">
        <f t="shared" si="28"/>
        <v>153</v>
      </c>
      <c r="H131" s="10">
        <f t="shared" si="28"/>
        <v>703</v>
      </c>
      <c r="I131" s="10">
        <f t="shared" si="28"/>
        <v>118</v>
      </c>
      <c r="J131" s="10">
        <f t="shared" si="28"/>
        <v>277</v>
      </c>
      <c r="K131" s="10">
        <f t="shared" si="28"/>
        <v>397</v>
      </c>
      <c r="L131" s="10">
        <f t="shared" si="28"/>
        <v>483</v>
      </c>
      <c r="M131" s="10">
        <f t="shared" si="28"/>
        <v>111</v>
      </c>
      <c r="N131" s="10">
        <f t="shared" si="28"/>
        <v>304</v>
      </c>
      <c r="O131" s="10">
        <f t="shared" si="28"/>
        <v>521</v>
      </c>
      <c r="P131" s="10">
        <f t="shared" si="28"/>
        <v>547</v>
      </c>
    </row>
    <row r="132" spans="4:22" ht="20.100000000000001" customHeight="1" x14ac:dyDescent="0.25">
      <c r="D132" s="10" t="s">
        <v>363</v>
      </c>
      <c r="E132" s="10" t="str">
        <f t="shared" si="28"/>
        <v>High</v>
      </c>
      <c r="F132" s="10" t="str">
        <f t="shared" si="28"/>
        <v>Autumn</v>
      </c>
      <c r="G132" s="10">
        <f t="shared" si="28"/>
        <v>168</v>
      </c>
      <c r="H132" s="10">
        <f t="shared" si="28"/>
        <v>718</v>
      </c>
      <c r="I132" s="10">
        <f t="shared" si="28"/>
        <v>191</v>
      </c>
      <c r="J132" s="10">
        <f t="shared" si="28"/>
        <v>319</v>
      </c>
      <c r="K132" s="10">
        <f t="shared" si="28"/>
        <v>440</v>
      </c>
      <c r="L132" s="10">
        <f t="shared" si="28"/>
        <v>506</v>
      </c>
      <c r="M132" s="10">
        <f t="shared" si="28"/>
        <v>188</v>
      </c>
      <c r="N132" s="10">
        <f t="shared" si="28"/>
        <v>326</v>
      </c>
      <c r="O132" s="10">
        <f t="shared" si="28"/>
        <v>520</v>
      </c>
      <c r="P132" s="10">
        <f t="shared" si="28"/>
        <v>582</v>
      </c>
    </row>
    <row r="133" spans="4:22" ht="20.100000000000001" customHeight="1" x14ac:dyDescent="0.25">
      <c r="D133" s="10" t="s">
        <v>363</v>
      </c>
      <c r="E133" s="10" t="str">
        <f t="shared" si="28"/>
        <v>High</v>
      </c>
      <c r="F133" s="10" t="str">
        <f t="shared" si="28"/>
        <v>Winter</v>
      </c>
      <c r="G133" s="10">
        <f t="shared" si="28"/>
        <v>235</v>
      </c>
      <c r="H133" s="10">
        <f t="shared" si="28"/>
        <v>722</v>
      </c>
      <c r="I133" s="10">
        <f t="shared" si="28"/>
        <v>207</v>
      </c>
      <c r="J133" s="10">
        <f t="shared" si="28"/>
        <v>352</v>
      </c>
      <c r="K133" s="10">
        <f t="shared" si="28"/>
        <v>470</v>
      </c>
      <c r="L133" s="10">
        <f t="shared" si="28"/>
        <v>514</v>
      </c>
      <c r="M133" s="10">
        <f t="shared" si="28"/>
        <v>209</v>
      </c>
      <c r="N133" s="10">
        <f t="shared" si="28"/>
        <v>421</v>
      </c>
      <c r="O133" s="10">
        <f t="shared" si="28"/>
        <v>512</v>
      </c>
      <c r="P133" s="10">
        <f t="shared" si="28"/>
        <v>605</v>
      </c>
    </row>
    <row r="134" spans="4:22" ht="20.100000000000001" customHeight="1" x14ac:dyDescent="0.25">
      <c r="D134" s="10" t="s">
        <v>363</v>
      </c>
      <c r="E134" s="10" t="str">
        <f t="shared" si="28"/>
        <v>Moderate/High</v>
      </c>
      <c r="F134" s="10" t="str">
        <f t="shared" si="28"/>
        <v>Spring</v>
      </c>
      <c r="G134" s="10">
        <f t="shared" si="28"/>
        <v>230</v>
      </c>
      <c r="H134" s="10">
        <f t="shared" si="28"/>
        <v>674</v>
      </c>
      <c r="I134" s="10">
        <f t="shared" si="28"/>
        <v>217</v>
      </c>
      <c r="J134" s="10">
        <f t="shared" si="28"/>
        <v>344</v>
      </c>
      <c r="K134" s="10">
        <f t="shared" si="28"/>
        <v>357</v>
      </c>
      <c r="L134" s="10">
        <f t="shared" si="28"/>
        <v>467</v>
      </c>
      <c r="M134" s="10">
        <f t="shared" si="28"/>
        <v>242</v>
      </c>
      <c r="N134" s="10">
        <f t="shared" si="28"/>
        <v>370</v>
      </c>
      <c r="O134" s="10">
        <f t="shared" si="28"/>
        <v>550</v>
      </c>
      <c r="P134" s="10">
        <f t="shared" si="28"/>
        <v>620</v>
      </c>
    </row>
    <row r="135" spans="4:22" ht="20.100000000000001" customHeight="1" x14ac:dyDescent="0.25">
      <c r="D135" s="10" t="s">
        <v>363</v>
      </c>
      <c r="E135" s="10" t="str">
        <f t="shared" ref="E135:P145" si="29">E71</f>
        <v>Moderate/High</v>
      </c>
      <c r="F135" s="10" t="str">
        <f t="shared" si="29"/>
        <v>Summer</v>
      </c>
      <c r="G135" s="10">
        <f t="shared" si="29"/>
        <v>113</v>
      </c>
      <c r="H135" s="10">
        <f t="shared" si="29"/>
        <v>669</v>
      </c>
      <c r="I135" s="10">
        <f t="shared" si="29"/>
        <v>113</v>
      </c>
      <c r="J135" s="10">
        <f t="shared" si="29"/>
        <v>283</v>
      </c>
      <c r="K135" s="10">
        <f t="shared" si="29"/>
        <v>361</v>
      </c>
      <c r="L135" s="10">
        <f t="shared" si="29"/>
        <v>477</v>
      </c>
      <c r="M135" s="10">
        <f t="shared" si="29"/>
        <v>120</v>
      </c>
      <c r="N135" s="10">
        <f t="shared" si="29"/>
        <v>273</v>
      </c>
      <c r="O135" s="10">
        <f t="shared" si="29"/>
        <v>545</v>
      </c>
      <c r="P135" s="10">
        <f t="shared" si="29"/>
        <v>553</v>
      </c>
    </row>
    <row r="136" spans="4:22" ht="20.100000000000001" customHeight="1" x14ac:dyDescent="0.25">
      <c r="D136" s="10" t="s">
        <v>363</v>
      </c>
      <c r="E136" s="10" t="str">
        <f t="shared" si="29"/>
        <v>Moderate/High</v>
      </c>
      <c r="F136" s="10" t="str">
        <f t="shared" si="29"/>
        <v>Autumn</v>
      </c>
      <c r="G136" s="10">
        <f t="shared" si="29"/>
        <v>172</v>
      </c>
      <c r="H136" s="10">
        <f t="shared" si="29"/>
        <v>685</v>
      </c>
      <c r="I136" s="10">
        <f t="shared" si="29"/>
        <v>172</v>
      </c>
      <c r="J136" s="10">
        <f t="shared" si="29"/>
        <v>309</v>
      </c>
      <c r="K136" s="10">
        <f t="shared" si="29"/>
        <v>376</v>
      </c>
      <c r="L136" s="10">
        <f t="shared" si="29"/>
        <v>471</v>
      </c>
      <c r="M136" s="10">
        <f t="shared" si="29"/>
        <v>238</v>
      </c>
      <c r="N136" s="10">
        <f t="shared" si="29"/>
        <v>329</v>
      </c>
      <c r="O136" s="10">
        <f t="shared" si="29"/>
        <v>573</v>
      </c>
      <c r="P136" s="10">
        <f t="shared" si="29"/>
        <v>620</v>
      </c>
    </row>
    <row r="137" spans="4:22" ht="20.100000000000001" customHeight="1" x14ac:dyDescent="0.25">
      <c r="D137" s="10" t="s">
        <v>363</v>
      </c>
      <c r="E137" s="10" t="str">
        <f t="shared" si="29"/>
        <v>Moderate/High</v>
      </c>
      <c r="F137" s="10" t="str">
        <f t="shared" si="29"/>
        <v>Winter</v>
      </c>
      <c r="G137" s="10">
        <f t="shared" si="29"/>
        <v>241</v>
      </c>
      <c r="H137" s="10">
        <f t="shared" si="29"/>
        <v>692</v>
      </c>
      <c r="I137" s="10">
        <f t="shared" si="29"/>
        <v>208</v>
      </c>
      <c r="J137" s="10">
        <f t="shared" si="29"/>
        <v>344</v>
      </c>
      <c r="K137" s="10">
        <f t="shared" si="29"/>
        <v>364</v>
      </c>
      <c r="L137" s="10">
        <f t="shared" si="29"/>
        <v>484</v>
      </c>
      <c r="M137" s="10">
        <f t="shared" si="29"/>
        <v>260</v>
      </c>
      <c r="N137" s="10">
        <f t="shared" si="29"/>
        <v>350</v>
      </c>
      <c r="O137" s="10">
        <f t="shared" si="29"/>
        <v>567</v>
      </c>
      <c r="P137" s="10">
        <f t="shared" si="29"/>
        <v>620</v>
      </c>
    </row>
    <row r="138" spans="4:22" ht="20.100000000000001" customHeight="1" x14ac:dyDescent="0.25">
      <c r="D138" s="10" t="s">
        <v>363</v>
      </c>
      <c r="E138" s="10" t="str">
        <f t="shared" si="29"/>
        <v>Moderate/Low</v>
      </c>
      <c r="F138" s="10" t="str">
        <f t="shared" si="29"/>
        <v>Spring</v>
      </c>
      <c r="G138" s="10">
        <f t="shared" si="29"/>
        <v>236</v>
      </c>
      <c r="H138" s="10">
        <f t="shared" si="29"/>
        <v>674</v>
      </c>
      <c r="I138" s="10">
        <f t="shared" si="29"/>
        <v>178</v>
      </c>
      <c r="J138" s="10">
        <f t="shared" si="29"/>
        <v>310</v>
      </c>
      <c r="K138" s="10">
        <f t="shared" si="29"/>
        <v>428</v>
      </c>
      <c r="L138" s="10">
        <f t="shared" si="29"/>
        <v>466</v>
      </c>
      <c r="M138" s="10">
        <f t="shared" si="29"/>
        <v>193</v>
      </c>
      <c r="N138" s="10">
        <f t="shared" si="29"/>
        <v>370</v>
      </c>
      <c r="O138" s="10">
        <f t="shared" si="29"/>
        <v>519</v>
      </c>
      <c r="P138" s="10">
        <f t="shared" si="29"/>
        <v>565</v>
      </c>
    </row>
    <row r="139" spans="4:22" ht="20.100000000000001" customHeight="1" x14ac:dyDescent="0.25">
      <c r="D139" s="10" t="s">
        <v>363</v>
      </c>
      <c r="E139" s="10" t="str">
        <f t="shared" si="29"/>
        <v>Moderate/Low</v>
      </c>
      <c r="F139" s="10" t="str">
        <f t="shared" si="29"/>
        <v>Summer</v>
      </c>
      <c r="G139" s="10">
        <f t="shared" si="29"/>
        <v>120</v>
      </c>
      <c r="H139" s="10">
        <f t="shared" si="29"/>
        <v>669</v>
      </c>
      <c r="I139" s="10">
        <f t="shared" si="29"/>
        <v>112</v>
      </c>
      <c r="J139" s="10">
        <f t="shared" si="29"/>
        <v>250</v>
      </c>
      <c r="K139" s="10">
        <f t="shared" si="29"/>
        <v>390</v>
      </c>
      <c r="L139" s="10">
        <f t="shared" si="29"/>
        <v>448</v>
      </c>
      <c r="M139" s="10">
        <f t="shared" si="29"/>
        <v>115</v>
      </c>
      <c r="N139" s="10">
        <f t="shared" si="29"/>
        <v>273</v>
      </c>
      <c r="O139" s="10">
        <f t="shared" si="29"/>
        <v>433</v>
      </c>
      <c r="P139" s="10">
        <f t="shared" si="29"/>
        <v>556</v>
      </c>
    </row>
    <row r="140" spans="4:22" ht="20.100000000000001" customHeight="1" x14ac:dyDescent="0.25">
      <c r="D140" s="10" t="s">
        <v>363</v>
      </c>
      <c r="E140" s="10" t="str">
        <f t="shared" si="29"/>
        <v>Moderate/Low</v>
      </c>
      <c r="F140" s="10" t="str">
        <f t="shared" si="29"/>
        <v>Autumn</v>
      </c>
      <c r="G140" s="10">
        <f t="shared" si="29"/>
        <v>125</v>
      </c>
      <c r="H140" s="10">
        <f t="shared" si="29"/>
        <v>685</v>
      </c>
      <c r="I140" s="10">
        <f t="shared" si="29"/>
        <v>140</v>
      </c>
      <c r="J140" s="10">
        <f t="shared" si="29"/>
        <v>277</v>
      </c>
      <c r="K140" s="10">
        <f t="shared" si="29"/>
        <v>407</v>
      </c>
      <c r="L140" s="10">
        <f t="shared" si="29"/>
        <v>455</v>
      </c>
      <c r="M140" s="10">
        <f t="shared" si="29"/>
        <v>141</v>
      </c>
      <c r="N140" s="10">
        <f t="shared" si="29"/>
        <v>296</v>
      </c>
      <c r="O140" s="10">
        <f t="shared" si="29"/>
        <v>445</v>
      </c>
      <c r="P140" s="10">
        <f t="shared" si="29"/>
        <v>593</v>
      </c>
    </row>
    <row r="141" spans="4:22" ht="20.100000000000001" customHeight="1" x14ac:dyDescent="0.25">
      <c r="D141" s="10" t="s">
        <v>363</v>
      </c>
      <c r="E141" s="10" t="str">
        <f t="shared" si="29"/>
        <v>Moderate/Low</v>
      </c>
      <c r="F141" s="10" t="str">
        <f t="shared" si="29"/>
        <v>Winter</v>
      </c>
      <c r="G141" s="10">
        <f t="shared" si="29"/>
        <v>180</v>
      </c>
      <c r="H141" s="10">
        <f t="shared" si="29"/>
        <v>692</v>
      </c>
      <c r="I141" s="10">
        <f t="shared" si="29"/>
        <v>183</v>
      </c>
      <c r="J141" s="10">
        <f t="shared" si="29"/>
        <v>316</v>
      </c>
      <c r="K141" s="10">
        <f t="shared" si="29"/>
        <v>438</v>
      </c>
      <c r="L141" s="10">
        <f t="shared" si="29"/>
        <v>468</v>
      </c>
      <c r="M141" s="10">
        <f t="shared" si="29"/>
        <v>189</v>
      </c>
      <c r="N141" s="10">
        <f t="shared" si="29"/>
        <v>354</v>
      </c>
      <c r="O141" s="10">
        <f t="shared" si="29"/>
        <v>500</v>
      </c>
      <c r="P141" s="10">
        <f t="shared" si="29"/>
        <v>553</v>
      </c>
    </row>
    <row r="142" spans="4:22" ht="20.100000000000001" customHeight="1" x14ac:dyDescent="0.25">
      <c r="D142" s="10" t="s">
        <v>363</v>
      </c>
      <c r="E142" s="10" t="str">
        <f t="shared" si="29"/>
        <v>Low</v>
      </c>
      <c r="F142" s="10" t="str">
        <f t="shared" si="29"/>
        <v>Spring</v>
      </c>
      <c r="G142" s="10">
        <f t="shared" si="29"/>
        <v>190</v>
      </c>
      <c r="H142" s="10">
        <f t="shared" si="29"/>
        <v>617</v>
      </c>
      <c r="I142" s="10">
        <f t="shared" si="29"/>
        <v>174</v>
      </c>
      <c r="J142" s="10">
        <f t="shared" si="29"/>
        <v>265</v>
      </c>
      <c r="K142" s="10">
        <f t="shared" si="29"/>
        <v>371</v>
      </c>
      <c r="L142" s="10">
        <f t="shared" si="29"/>
        <v>415</v>
      </c>
      <c r="M142" s="10">
        <f t="shared" si="29"/>
        <v>170</v>
      </c>
      <c r="N142" s="10">
        <f t="shared" si="29"/>
        <v>272</v>
      </c>
      <c r="O142" s="10">
        <f t="shared" si="29"/>
        <v>392</v>
      </c>
      <c r="P142" s="10">
        <f t="shared" si="29"/>
        <v>531</v>
      </c>
    </row>
    <row r="143" spans="4:22" ht="20.100000000000001" customHeight="1" x14ac:dyDescent="0.25">
      <c r="D143" s="10" t="s">
        <v>363</v>
      </c>
      <c r="E143" s="10" t="str">
        <f t="shared" si="29"/>
        <v>Low</v>
      </c>
      <c r="F143" s="10" t="str">
        <f t="shared" si="29"/>
        <v>Summer</v>
      </c>
      <c r="G143" s="10">
        <f t="shared" si="29"/>
        <v>119</v>
      </c>
      <c r="H143" s="10">
        <f t="shared" si="29"/>
        <v>591</v>
      </c>
      <c r="I143" s="10">
        <f t="shared" si="29"/>
        <v>140</v>
      </c>
      <c r="J143" s="10">
        <f t="shared" si="29"/>
        <v>205</v>
      </c>
      <c r="K143" s="10">
        <f t="shared" si="29"/>
        <v>310</v>
      </c>
      <c r="L143" s="10">
        <f t="shared" si="29"/>
        <v>405</v>
      </c>
      <c r="M143" s="10">
        <f t="shared" si="29"/>
        <v>133</v>
      </c>
      <c r="N143" s="10">
        <f t="shared" si="29"/>
        <v>218</v>
      </c>
      <c r="O143" s="10">
        <f t="shared" si="29"/>
        <v>315</v>
      </c>
      <c r="P143" s="10">
        <f t="shared" si="29"/>
        <v>445</v>
      </c>
    </row>
    <row r="144" spans="4:22" ht="20.100000000000001" customHeight="1" x14ac:dyDescent="0.25">
      <c r="D144" s="10" t="s">
        <v>363</v>
      </c>
      <c r="E144" s="10" t="str">
        <f t="shared" si="29"/>
        <v>Low</v>
      </c>
      <c r="F144" s="10" t="str">
        <f t="shared" si="29"/>
        <v>Autumn</v>
      </c>
      <c r="G144" s="10">
        <f t="shared" si="29"/>
        <v>175</v>
      </c>
      <c r="H144" s="10">
        <f t="shared" si="29"/>
        <v>610</v>
      </c>
      <c r="I144" s="10">
        <f t="shared" si="29"/>
        <v>163</v>
      </c>
      <c r="J144" s="10">
        <f t="shared" si="29"/>
        <v>232</v>
      </c>
      <c r="K144" s="10">
        <f t="shared" si="29"/>
        <v>351</v>
      </c>
      <c r="L144" s="10">
        <f t="shared" si="29"/>
        <v>427</v>
      </c>
      <c r="M144" s="10">
        <f t="shared" si="29"/>
        <v>146</v>
      </c>
      <c r="N144" s="10">
        <f t="shared" si="29"/>
        <v>242</v>
      </c>
      <c r="O144" s="10">
        <f t="shared" si="29"/>
        <v>320</v>
      </c>
      <c r="P144" s="10">
        <f t="shared" si="29"/>
        <v>471</v>
      </c>
    </row>
    <row r="145" spans="4:16" ht="20.100000000000001" customHeight="1" x14ac:dyDescent="0.25">
      <c r="D145" s="10" t="s">
        <v>363</v>
      </c>
      <c r="E145" s="10" t="str">
        <f t="shared" si="29"/>
        <v>Low</v>
      </c>
      <c r="F145" s="10" t="str">
        <f t="shared" si="29"/>
        <v>Winter</v>
      </c>
      <c r="G145" s="10">
        <f t="shared" si="29"/>
        <v>192</v>
      </c>
      <c r="H145" s="10">
        <f t="shared" si="29"/>
        <v>615</v>
      </c>
      <c r="I145" s="10">
        <f t="shared" si="29"/>
        <v>162</v>
      </c>
      <c r="J145" s="10">
        <f t="shared" si="29"/>
        <v>255</v>
      </c>
      <c r="K145" s="10">
        <f t="shared" si="29"/>
        <v>364</v>
      </c>
      <c r="L145" s="10">
        <f t="shared" si="29"/>
        <v>420</v>
      </c>
      <c r="M145" s="10">
        <f t="shared" si="29"/>
        <v>157</v>
      </c>
      <c r="N145" s="10">
        <f t="shared" si="29"/>
        <v>261</v>
      </c>
      <c r="O145" s="10">
        <f t="shared" si="29"/>
        <v>342</v>
      </c>
      <c r="P145" s="10">
        <f t="shared" si="29"/>
        <v>484</v>
      </c>
    </row>
    <row r="146" spans="4:16" ht="20.100000000000001" customHeight="1" x14ac:dyDescent="0.25">
      <c r="D146" s="8" t="s">
        <v>361</v>
      </c>
      <c r="E146" s="8" t="s">
        <v>464</v>
      </c>
      <c r="F146" s="8" t="str">
        <f>F142</f>
        <v>Spring</v>
      </c>
      <c r="G146" s="8">
        <f t="shared" ref="G146:P146" si="30">AVERAGE(G86,G90,G94,G98,G102,G106,G110,G114,G118,G122,G126,G130,G134,G138,G142)</f>
        <v>198.73333333333332</v>
      </c>
      <c r="H146" s="8">
        <f t="shared" si="30"/>
        <v>643.06666666666672</v>
      </c>
      <c r="I146" s="8">
        <f t="shared" si="30"/>
        <v>173.4</v>
      </c>
      <c r="J146" s="8">
        <f t="shared" si="30"/>
        <v>321.33333333333331</v>
      </c>
      <c r="K146" s="8">
        <f t="shared" si="30"/>
        <v>426</v>
      </c>
      <c r="L146" s="8">
        <f t="shared" si="30"/>
        <v>455.46666666666664</v>
      </c>
      <c r="M146" s="8">
        <f t="shared" si="30"/>
        <v>187.26666666666668</v>
      </c>
      <c r="N146" s="8">
        <f t="shared" si="30"/>
        <v>385.4</v>
      </c>
      <c r="O146" s="8">
        <f t="shared" si="30"/>
        <v>442.07142857142856</v>
      </c>
      <c r="P146" s="8">
        <f t="shared" si="30"/>
        <v>486.23076923076923</v>
      </c>
    </row>
    <row r="147" spans="4:16" ht="20.100000000000001" customHeight="1" x14ac:dyDescent="0.25">
      <c r="D147" s="8" t="s">
        <v>361</v>
      </c>
      <c r="E147" s="8" t="s">
        <v>464</v>
      </c>
      <c r="F147" s="8" t="str">
        <f>F143</f>
        <v>Summer</v>
      </c>
      <c r="G147" s="8">
        <f t="shared" ref="G147:P147" si="31">AVERAGE(G87,G91,G95,G99,G103,G107,G111,G115,G119,G123,G127,G131,G135,G139,G143)</f>
        <v>193</v>
      </c>
      <c r="H147" s="8">
        <f t="shared" si="31"/>
        <v>660.33333333333337</v>
      </c>
      <c r="I147" s="8">
        <f t="shared" si="31"/>
        <v>156.33333333333334</v>
      </c>
      <c r="J147" s="8">
        <f t="shared" si="31"/>
        <v>309.73333333333335</v>
      </c>
      <c r="K147" s="8">
        <f t="shared" si="31"/>
        <v>417.4</v>
      </c>
      <c r="L147" s="8">
        <f t="shared" si="31"/>
        <v>458.53333333333336</v>
      </c>
      <c r="M147" s="8">
        <f t="shared" si="31"/>
        <v>162</v>
      </c>
      <c r="N147" s="8">
        <f t="shared" si="31"/>
        <v>353.46666666666664</v>
      </c>
      <c r="O147" s="8">
        <f t="shared" si="31"/>
        <v>428.42857142857144</v>
      </c>
      <c r="P147" s="8">
        <f t="shared" si="31"/>
        <v>472.61538461538464</v>
      </c>
    </row>
    <row r="148" spans="4:16" ht="20.100000000000001" customHeight="1" x14ac:dyDescent="0.25">
      <c r="D148" s="8" t="s">
        <v>361</v>
      </c>
      <c r="E148" s="8" t="s">
        <v>464</v>
      </c>
      <c r="F148" s="8" t="str">
        <f>F144</f>
        <v>Autumn</v>
      </c>
      <c r="G148" s="8">
        <f t="shared" ref="G148:P148" si="32">AVERAGE(G88,G92,G96,G100,G104,G108,G112,G116,G120,G124,G128,G132,G136,G140,G144)</f>
        <v>170.66666666666666</v>
      </c>
      <c r="H148" s="8">
        <f t="shared" si="32"/>
        <v>654.26666666666665</v>
      </c>
      <c r="I148" s="8">
        <f t="shared" si="32"/>
        <v>161.53333333333333</v>
      </c>
      <c r="J148" s="8">
        <f t="shared" si="32"/>
        <v>307.93333333333334</v>
      </c>
      <c r="K148" s="8">
        <f t="shared" si="32"/>
        <v>419.66666666666669</v>
      </c>
      <c r="L148" s="8">
        <f t="shared" si="32"/>
        <v>454.06666666666666</v>
      </c>
      <c r="M148" s="8">
        <f t="shared" si="32"/>
        <v>169.86666666666667</v>
      </c>
      <c r="N148" s="8">
        <f t="shared" si="32"/>
        <v>363.13333333333333</v>
      </c>
      <c r="O148" s="8">
        <f t="shared" si="32"/>
        <v>430.14285714285717</v>
      </c>
      <c r="P148" s="8">
        <f t="shared" si="32"/>
        <v>479.69230769230768</v>
      </c>
    </row>
    <row r="149" spans="4:16" ht="20.100000000000001" customHeight="1" x14ac:dyDescent="0.25">
      <c r="D149" s="8" t="s">
        <v>361</v>
      </c>
      <c r="E149" s="8" t="s">
        <v>464</v>
      </c>
      <c r="F149" s="8" t="str">
        <f>F145</f>
        <v>Winter</v>
      </c>
      <c r="G149" s="8">
        <f t="shared" ref="G149:P149" si="33">AVERAGE(G89,G93,G97,G101,G105,G109,G113,G117,G121,G125,G129,G133,G137,G141,G145)</f>
        <v>214.53333333333333</v>
      </c>
      <c r="H149" s="8">
        <f t="shared" si="33"/>
        <v>650.5333333333333</v>
      </c>
      <c r="I149" s="8">
        <f t="shared" si="33"/>
        <v>196.53333333333333</v>
      </c>
      <c r="J149" s="8">
        <f t="shared" si="33"/>
        <v>333.6</v>
      </c>
      <c r="K149" s="8">
        <f t="shared" si="33"/>
        <v>427.4</v>
      </c>
      <c r="L149" s="8">
        <f t="shared" si="33"/>
        <v>453.33333333333331</v>
      </c>
      <c r="M149" s="8">
        <f t="shared" si="33"/>
        <v>207.26666666666668</v>
      </c>
      <c r="N149" s="8">
        <f t="shared" si="33"/>
        <v>381.93333333333334</v>
      </c>
      <c r="O149" s="8">
        <f t="shared" si="33"/>
        <v>438.28571428571428</v>
      </c>
      <c r="P149" s="8">
        <f t="shared" si="33"/>
        <v>479.38461538461536</v>
      </c>
    </row>
    <row r="150" spans="4:16" ht="20.100000000000001" customHeight="1" x14ac:dyDescent="0.25">
      <c r="D150" s="9" t="str" cm="1">
        <f t="array" ref="D150">SourceData_PastureBeef.SourceData_PastureBeef_LiveweightGain_Title()</f>
        <v>Beef pasture cattle - Liveweight gain (kg) (LWGjkl)</v>
      </c>
      <c r="M150" s="8"/>
    </row>
    <row r="151" spans="4:16" ht="20.100000000000001" customHeight="1" x14ac:dyDescent="0.25">
      <c r="D151" s="11" t="str" cm="1">
        <f t="array" ref="D151">SourceData_PastureBeef.SourceData_PastureBeef_LiveweightGain_Source()</f>
        <v>VEERG 2026: Table A.1.2.3</v>
      </c>
      <c r="M151" s="8"/>
    </row>
    <row r="152" spans="4:16" ht="20.100000000000001" customHeight="1" x14ac:dyDescent="0.25">
      <c r="D152" s="8" t="str" cm="1">
        <f t="array" ref="D152">SourceData_PastureBeef.SourceData_PastureBeef_LiveweightGain_Variable()</f>
        <v>LWGjkl</v>
      </c>
      <c r="M152" s="8"/>
    </row>
    <row r="153" spans="4:16" ht="20.100000000000001" customHeight="1" x14ac:dyDescent="0.25">
      <c r="D153" s="13" t="str" cm="1">
        <f t="array" ref="D153">SourceData_PastureBeef.SourceData_PastureBeef_LiveweightGain_Unit()</f>
        <v>kg</v>
      </c>
      <c r="M153" s="8"/>
    </row>
    <row r="154" spans="4:16" ht="20.100000000000001" customHeight="1" x14ac:dyDescent="0.25">
      <c r="D154" s="10" t="s">
        <v>289</v>
      </c>
      <c r="E154" s="10" t="s">
        <v>414</v>
      </c>
      <c r="F154" s="10" t="s">
        <v>47</v>
      </c>
      <c r="G154" s="10" t="s">
        <v>503</v>
      </c>
      <c r="H154" s="10" t="s">
        <v>504</v>
      </c>
      <c r="I154" s="10" t="s">
        <v>527</v>
      </c>
      <c r="J154" s="10" t="s">
        <v>497</v>
      </c>
      <c r="K154" s="10" t="s">
        <v>528</v>
      </c>
      <c r="L154" s="10" t="s">
        <v>509</v>
      </c>
      <c r="M154" s="10" t="s">
        <v>529</v>
      </c>
    </row>
    <row r="155" spans="4:16" ht="20.100000000000001" customHeight="1" x14ac:dyDescent="0.25">
      <c r="D155" s="10" t="str" cm="1">
        <f t="array" ref="D155">Common_InputFunctions.Utility_DisplayArrayInTable(SourceData_PastureBeef.SourceData_PastureBeef_LiveweightGain_Data(), Table_SourceData_PastureBeef_LiveweightGain[[#Headers],[State]],0)</f>
        <v>ACT/NSW</v>
      </c>
      <c r="E155" s="10" t="str" cm="1">
        <f t="array" ref="E155">Common_InputFunctions.Utility_DisplayArrayInTable(SourceData_PastureBeef.SourceData_PastureBeef_LiveweightGain_Data(), Table_SourceData_PastureBeef_LiveweightGain[[#Headers],[State]],0)</f>
        <v>n/a</v>
      </c>
      <c r="F155" s="10" t="str" cm="1">
        <f t="array" ref="F155">Common_InputFunctions.Utility_DisplayArrayInTable(SourceData_PastureBeef.SourceData_PastureBeef_LiveweightGain_Data(), Table_SourceData_PastureBeef_LiveweightGain[[#Headers],[State]],0)</f>
        <v>Spring</v>
      </c>
      <c r="G155" s="10" cm="1">
        <f t="array" ref="G155">Common_InputFunctions.Utility_DisplayArrayInTable(SourceData_PastureBeef.SourceData_PastureBeef_LiveweightGain_Data(), Table_SourceData_PastureBeef_LiveweightGain[[#Headers],[State]],0)</f>
        <v>0.5</v>
      </c>
      <c r="H155" s="10" cm="1">
        <f t="array" ref="H155">Common_InputFunctions.Utility_DisplayArrayInTable(SourceData_PastureBeef.SourceData_PastureBeef_LiveweightGain_Data(), Table_SourceData_PastureBeef_LiveweightGain[[#Headers],[State]],0)</f>
        <v>0.2</v>
      </c>
      <c r="I155" s="10" cm="1">
        <f t="array" ref="I155">Common_InputFunctions.Utility_DisplayArrayInTable(SourceData_PastureBeef.SourceData_PastureBeef_LiveweightGain_Data(), Table_SourceData_PastureBeef_LiveweightGain[[#Headers],[State]],0)</f>
        <v>0.5</v>
      </c>
      <c r="J155" s="10" cm="1">
        <f t="array" ref="J155">Common_InputFunctions.Utility_DisplayArrayInTable(SourceData_PastureBeef.SourceData_PastureBeef_LiveweightGain_Data(), Table_SourceData_PastureBeef_LiveweightGain[[#Headers],[State]],0)</f>
        <v>0.4</v>
      </c>
      <c r="K155" s="10" cm="1">
        <f t="array" ref="K155">Common_InputFunctions.Utility_DisplayArrayInTable(SourceData_PastureBeef.SourceData_PastureBeef_LiveweightGain_Data(), Table_SourceData_PastureBeef_LiveweightGain[[#Headers],[State]],0)</f>
        <v>0.3</v>
      </c>
      <c r="L155" s="10" cm="1">
        <f t="array" ref="L155">Common_InputFunctions.Utility_DisplayArrayInTable(SourceData_PastureBeef.SourceData_PastureBeef_LiveweightGain_Data(), Table_SourceData_PastureBeef_LiveweightGain[[#Headers],[State]],0)</f>
        <v>0.5</v>
      </c>
      <c r="M155" s="10" cm="1">
        <f t="array" ref="M155">Common_InputFunctions.Utility_DisplayArrayInTable(SourceData_PastureBeef.SourceData_PastureBeef_LiveweightGain_Data(), Table_SourceData_PastureBeef_LiveweightGain[[#Headers],[State]],0)</f>
        <v>0.4</v>
      </c>
    </row>
    <row r="156" spans="4:16" ht="20.100000000000001" customHeight="1" x14ac:dyDescent="0.25">
      <c r="D156" s="8" t="str" cm="1">
        <f t="array" ref="D156">Common_InputFunctions.Utility_DisplayArrayInTable(SourceData_PastureBeef.SourceData_PastureBeef_LiveweightGain_Data(), Table_SourceData_PastureBeef_LiveweightGain[[#Headers],[State]],0)</f>
        <v>ACT/NSW</v>
      </c>
      <c r="E156" s="10" t="str" cm="1">
        <f t="array" ref="E156">Common_InputFunctions.Utility_DisplayArrayInTable(SourceData_PastureBeef.SourceData_PastureBeef_LiveweightGain_Data(), Table_SourceData_PastureBeef_LiveweightGain[[#Headers],[State]],0)</f>
        <v>n/a</v>
      </c>
      <c r="F156" s="10" t="str" cm="1">
        <f t="array" ref="F156">Common_InputFunctions.Utility_DisplayArrayInTable(SourceData_PastureBeef.SourceData_PastureBeef_LiveweightGain_Data(), Table_SourceData_PastureBeef_LiveweightGain[[#Headers],[State]],0)</f>
        <v>Summer</v>
      </c>
      <c r="G156" s="10" cm="1">
        <f t="array" ref="G156">Common_InputFunctions.Utility_DisplayArrayInTable(SourceData_PastureBeef.SourceData_PastureBeef_LiveweightGain_Data(), Table_SourceData_PastureBeef_LiveweightGain[[#Headers],[State]],0)</f>
        <v>1</v>
      </c>
      <c r="H156" s="10" cm="1">
        <f t="array" ref="H156">Common_InputFunctions.Utility_DisplayArrayInTable(SourceData_PastureBeef.SourceData_PastureBeef_LiveweightGain_Data(), Table_SourceData_PastureBeef_LiveweightGain[[#Headers],[State]],0)</f>
        <v>0.4</v>
      </c>
      <c r="I156" s="10" cm="1">
        <f t="array" ref="I156">Common_InputFunctions.Utility_DisplayArrayInTable(SourceData_PastureBeef.SourceData_PastureBeef_LiveweightGain_Data(), Table_SourceData_PastureBeef_LiveweightGain[[#Headers],[State]],0)</f>
        <v>0.9</v>
      </c>
      <c r="J156" s="10" cm="1">
        <f t="array" ref="J156">Common_InputFunctions.Utility_DisplayArrayInTable(SourceData_PastureBeef.SourceData_PastureBeef_LiveweightGain_Data(), Table_SourceData_PastureBeef_LiveweightGain[[#Headers],[State]],0)</f>
        <v>0.7</v>
      </c>
      <c r="K156" s="10" cm="1">
        <f t="array" ref="K156">Common_InputFunctions.Utility_DisplayArrayInTable(SourceData_PastureBeef.SourceData_PastureBeef_LiveweightGain_Data(), Table_SourceData_PastureBeef_LiveweightGain[[#Headers],[State]],0)</f>
        <v>0.3</v>
      </c>
      <c r="L156" s="10" cm="1">
        <f t="array" ref="L156">Common_InputFunctions.Utility_DisplayArrayInTable(SourceData_PastureBeef.SourceData_PastureBeef_LiveweightGain_Data(), Table_SourceData_PastureBeef_LiveweightGain[[#Headers],[State]],0)</f>
        <v>0.9</v>
      </c>
      <c r="M156" s="10" cm="1">
        <f t="array" ref="M156">Common_InputFunctions.Utility_DisplayArrayInTable(SourceData_PastureBeef.SourceData_PastureBeef_LiveweightGain_Data(), Table_SourceData_PastureBeef_LiveweightGain[[#Headers],[State]],0)</f>
        <v>0.4</v>
      </c>
    </row>
    <row r="157" spans="4:16" ht="20.100000000000001" customHeight="1" x14ac:dyDescent="0.25">
      <c r="D157" s="8" t="str" cm="1">
        <f t="array" ref="D157">Common_InputFunctions.Utility_DisplayArrayInTable(SourceData_PastureBeef.SourceData_PastureBeef_LiveweightGain_Data(), Table_SourceData_PastureBeef_LiveweightGain[[#Headers],[State]],0)</f>
        <v>ACT/NSW</v>
      </c>
      <c r="E157" s="10" t="str" cm="1">
        <f t="array" ref="E157">Common_InputFunctions.Utility_DisplayArrayInTable(SourceData_PastureBeef.SourceData_PastureBeef_LiveweightGain_Data(), Table_SourceData_PastureBeef_LiveweightGain[[#Headers],[State]],0)</f>
        <v>n/a</v>
      </c>
      <c r="F157" s="10" t="str" cm="1">
        <f t="array" ref="F157">Common_InputFunctions.Utility_DisplayArrayInTable(SourceData_PastureBeef.SourceData_PastureBeef_LiveweightGain_Data(), Table_SourceData_PastureBeef_LiveweightGain[[#Headers],[State]],0)</f>
        <v>Autumn</v>
      </c>
      <c r="G157" s="10" cm="1">
        <f t="array" ref="G157">Common_InputFunctions.Utility_DisplayArrayInTable(SourceData_PastureBeef.SourceData_PastureBeef_LiveweightGain_Data(), Table_SourceData_PastureBeef_LiveweightGain[[#Headers],[State]],0)</f>
        <v>0.8</v>
      </c>
      <c r="H157" s="10" cm="1">
        <f t="array" ref="H157">Common_InputFunctions.Utility_DisplayArrayInTable(SourceData_PastureBeef.SourceData_PastureBeef_LiveweightGain_Data(), Table_SourceData_PastureBeef_LiveweightGain[[#Headers],[State]],0)</f>
        <v>0.3</v>
      </c>
      <c r="I157" s="10" cm="1">
        <f t="array" ref="I157">Common_InputFunctions.Utility_DisplayArrayInTable(SourceData_PastureBeef.SourceData_PastureBeef_LiveweightGain_Data(), Table_SourceData_PastureBeef_LiveweightGain[[#Headers],[State]],0)</f>
        <v>0.7</v>
      </c>
      <c r="J157" s="10" cm="1">
        <f t="array" ref="J157">Common_InputFunctions.Utility_DisplayArrayInTable(SourceData_PastureBeef.SourceData_PastureBeef_LiveweightGain_Data(), Table_SourceData_PastureBeef_LiveweightGain[[#Headers],[State]],0)</f>
        <v>0.3</v>
      </c>
      <c r="K157" s="10" cm="1">
        <f t="array" ref="K157">Common_InputFunctions.Utility_DisplayArrayInTable(SourceData_PastureBeef.SourceData_PastureBeef_LiveweightGain_Data(), Table_SourceData_PastureBeef_LiveweightGain[[#Headers],[State]],0)</f>
        <v>0.2</v>
      </c>
      <c r="L157" s="10" cm="1">
        <f t="array" ref="L157">Common_InputFunctions.Utility_DisplayArrayInTable(SourceData_PastureBeef.SourceData_PastureBeef_LiveweightGain_Data(), Table_SourceData_PastureBeef_LiveweightGain[[#Headers],[State]],0)</f>
        <v>0.7</v>
      </c>
      <c r="M157" s="10" cm="1">
        <f t="array" ref="M157">Common_InputFunctions.Utility_DisplayArrayInTable(SourceData_PastureBeef.SourceData_PastureBeef_LiveweightGain_Data(), Table_SourceData_PastureBeef_LiveweightGain[[#Headers],[State]],0)</f>
        <v>0.3</v>
      </c>
    </row>
    <row r="158" spans="4:16" ht="20.100000000000001" customHeight="1" x14ac:dyDescent="0.25">
      <c r="D158" s="8" t="str" cm="1">
        <f t="array" ref="D158">Common_InputFunctions.Utility_DisplayArrayInTable(SourceData_PastureBeef.SourceData_PastureBeef_LiveweightGain_Data(), Table_SourceData_PastureBeef_LiveweightGain[[#Headers],[State]],0)</f>
        <v>ACT/NSW</v>
      </c>
      <c r="E158" s="10" t="str" cm="1">
        <f t="array" ref="E158">Common_InputFunctions.Utility_DisplayArrayInTable(SourceData_PastureBeef.SourceData_PastureBeef_LiveweightGain_Data(), Table_SourceData_PastureBeef_LiveweightGain[[#Headers],[State]],0)</f>
        <v>n/a</v>
      </c>
      <c r="F158" s="10" t="str" cm="1">
        <f t="array" ref="F158">Common_InputFunctions.Utility_DisplayArrayInTable(SourceData_PastureBeef.SourceData_PastureBeef_LiveweightGain_Data(), Table_SourceData_PastureBeef_LiveweightGain[[#Headers],[State]],0)</f>
        <v>Winter</v>
      </c>
      <c r="G158" s="10" cm="1">
        <f t="array" ref="G158">Common_InputFunctions.Utility_DisplayArrayInTable(SourceData_PastureBeef.SourceData_PastureBeef_LiveweightGain_Data(), Table_SourceData_PastureBeef_LiveweightGain[[#Headers],[State]],0)</f>
        <v>0.4</v>
      </c>
      <c r="H158" s="10" cm="1">
        <f t="array" ref="H158">Common_InputFunctions.Utility_DisplayArrayInTable(SourceData_PastureBeef.SourceData_PastureBeef_LiveweightGain_Data(), Table_SourceData_PastureBeef_LiveweightGain[[#Headers],[State]],0)</f>
        <v>0.1</v>
      </c>
      <c r="I158" s="10" cm="1">
        <f t="array" ref="I158">Common_InputFunctions.Utility_DisplayArrayInTable(SourceData_PastureBeef.SourceData_PastureBeef_LiveweightGain_Data(), Table_SourceData_PastureBeef_LiveweightGain[[#Headers],[State]],0)</f>
        <v>0.4</v>
      </c>
      <c r="J158" s="10" cm="1">
        <f t="array" ref="J158">Common_InputFunctions.Utility_DisplayArrayInTable(SourceData_PastureBeef.SourceData_PastureBeef_LiveweightGain_Data(), Table_SourceData_PastureBeef_LiveweightGain[[#Headers],[State]],0)</f>
        <v>0.2</v>
      </c>
      <c r="K158" s="10" cm="1">
        <f t="array" ref="K158">Common_InputFunctions.Utility_DisplayArrayInTable(SourceData_PastureBeef.SourceData_PastureBeef_LiveweightGain_Data(), Table_SourceData_PastureBeef_LiveweightGain[[#Headers],[State]],0)</f>
        <v>0.1</v>
      </c>
      <c r="L158" s="10" cm="1">
        <f t="array" ref="L158">Common_InputFunctions.Utility_DisplayArrayInTable(SourceData_PastureBeef.SourceData_PastureBeef_LiveweightGain_Data(), Table_SourceData_PastureBeef_LiveweightGain[[#Headers],[State]],0)</f>
        <v>0.4</v>
      </c>
      <c r="M158" s="10" cm="1">
        <f t="array" ref="M158">Common_InputFunctions.Utility_DisplayArrayInTable(SourceData_PastureBeef.SourceData_PastureBeef_LiveweightGain_Data(), Table_SourceData_PastureBeef_LiveweightGain[[#Headers],[State]],0)</f>
        <v>0.1</v>
      </c>
    </row>
    <row r="159" spans="4:16" ht="20.100000000000001" customHeight="1" x14ac:dyDescent="0.25">
      <c r="D159" s="8" t="str" cm="1">
        <f t="array" ref="D159">Common_InputFunctions.Utility_DisplayArrayInTable(SourceData_PastureBeef.SourceData_PastureBeef_LiveweightGain_Data(), Table_SourceData_PastureBeef_LiveweightGain[[#Headers],[State]],0)</f>
        <v>South Australia</v>
      </c>
      <c r="E159" s="10" t="str" cm="1">
        <f t="array" ref="E159">Common_InputFunctions.Utility_DisplayArrayInTable(SourceData_PastureBeef.SourceData_PastureBeef_LiveweightGain_Data(), Table_SourceData_PastureBeef_LiveweightGain[[#Headers],[State]],0)</f>
        <v>n/a</v>
      </c>
      <c r="F159" s="10" t="str" cm="1">
        <f t="array" ref="F159">Common_InputFunctions.Utility_DisplayArrayInTable(SourceData_PastureBeef.SourceData_PastureBeef_LiveweightGain_Data(), Table_SourceData_PastureBeef_LiveweightGain[[#Headers],[State]],0)</f>
        <v>Spring</v>
      </c>
      <c r="G159" s="10" cm="1">
        <f t="array" ref="G159">Common_InputFunctions.Utility_DisplayArrayInTable(SourceData_PastureBeef.SourceData_PastureBeef_LiveweightGain_Data(), Table_SourceData_PastureBeef_LiveweightGain[[#Headers],[State]],0)</f>
        <v>0.99</v>
      </c>
      <c r="H159" s="10" cm="1">
        <f t="array" ref="H159">Common_InputFunctions.Utility_DisplayArrayInTable(SourceData_PastureBeef.SourceData_PastureBeef_LiveweightGain_Data(), Table_SourceData_PastureBeef_LiveweightGain[[#Headers],[State]],0)</f>
        <v>1.1000000000000001</v>
      </c>
      <c r="I159" s="10" cm="1">
        <f t="array" ref="I159">Common_InputFunctions.Utility_DisplayArrayInTable(SourceData_PastureBeef.SourceData_PastureBeef_LiveweightGain_Data(), Table_SourceData_PastureBeef_LiveweightGain[[#Headers],[State]],0)</f>
        <v>0.88</v>
      </c>
      <c r="J159" s="10" cm="1">
        <f t="array" ref="J159">Common_InputFunctions.Utility_DisplayArrayInTable(SourceData_PastureBeef.SourceData_PastureBeef_LiveweightGain_Data(), Table_SourceData_PastureBeef_LiveweightGain[[#Headers],[State]],0)</f>
        <v>0.55000000000000004</v>
      </c>
      <c r="K159" s="10" cm="1">
        <f t="array" ref="K159">Common_InputFunctions.Utility_DisplayArrayInTable(SourceData_PastureBeef.SourceData_PastureBeef_LiveweightGain_Data(), Table_SourceData_PastureBeef_LiveweightGain[[#Headers],[State]],0)</f>
        <v>0.55000000000000004</v>
      </c>
      <c r="L159" s="10" cm="1">
        <f t="array" ref="L159">Common_InputFunctions.Utility_DisplayArrayInTable(SourceData_PastureBeef.SourceData_PastureBeef_LiveweightGain_Data(), Table_SourceData_PastureBeef_LiveweightGain[[#Headers],[State]],0)</f>
        <v>0.88</v>
      </c>
      <c r="M159" s="10" cm="1">
        <f t="array" ref="M159">Common_InputFunctions.Utility_DisplayArrayInTable(SourceData_PastureBeef.SourceData_PastureBeef_LiveweightGain_Data(), Table_SourceData_PastureBeef_LiveweightGain[[#Headers],[State]],0)</f>
        <v>0.22</v>
      </c>
    </row>
    <row r="160" spans="4:16" ht="20.100000000000001" customHeight="1" x14ac:dyDescent="0.25">
      <c r="D160" s="8" t="str" cm="1">
        <f t="array" ref="D160">Common_InputFunctions.Utility_DisplayArrayInTable(SourceData_PastureBeef.SourceData_PastureBeef_LiveweightGain_Data(), Table_SourceData_PastureBeef_LiveweightGain[[#Headers],[State]],0)</f>
        <v>South Australia</v>
      </c>
      <c r="E160" s="10" t="str" cm="1">
        <f t="array" ref="E160">Common_InputFunctions.Utility_DisplayArrayInTable(SourceData_PastureBeef.SourceData_PastureBeef_LiveweightGain_Data(), Table_SourceData_PastureBeef_LiveweightGain[[#Headers],[State]],0)</f>
        <v>n/a</v>
      </c>
      <c r="F160" s="10" t="str" cm="1">
        <f t="array" ref="F160">Common_InputFunctions.Utility_DisplayArrayInTable(SourceData_PastureBeef.SourceData_PastureBeef_LiveweightGain_Data(), Table_SourceData_PastureBeef_LiveweightGain[[#Headers],[State]],0)</f>
        <v>Summer</v>
      </c>
      <c r="G160" s="10" cm="1">
        <f t="array" ref="G160">Common_InputFunctions.Utility_DisplayArrayInTable(SourceData_PastureBeef.SourceData_PastureBeef_LiveweightGain_Data(), Table_SourceData_PastureBeef_LiveweightGain[[#Headers],[State]],0)</f>
        <v>0.77</v>
      </c>
      <c r="H160" s="10" cm="1">
        <f t="array" ref="H160">Common_InputFunctions.Utility_DisplayArrayInTable(SourceData_PastureBeef.SourceData_PastureBeef_LiveweightGain_Data(), Table_SourceData_PastureBeef_LiveweightGain[[#Headers],[State]],0)</f>
        <v>0</v>
      </c>
      <c r="I160" s="10" cm="1">
        <f t="array" ref="I160">Common_InputFunctions.Utility_DisplayArrayInTable(SourceData_PastureBeef.SourceData_PastureBeef_LiveweightGain_Data(), Table_SourceData_PastureBeef_LiveweightGain[[#Headers],[State]],0)</f>
        <v>0.66</v>
      </c>
      <c r="J160" s="10" cm="1">
        <f t="array" ref="J160">Common_InputFunctions.Utility_DisplayArrayInTable(SourceData_PastureBeef.SourceData_PastureBeef_LiveweightGain_Data(), Table_SourceData_PastureBeef_LiveweightGain[[#Headers],[State]],0)</f>
        <v>0.22</v>
      </c>
      <c r="K160" s="10" cm="1">
        <f t="array" ref="K160">Common_InputFunctions.Utility_DisplayArrayInTable(SourceData_PastureBeef.SourceData_PastureBeef_LiveweightGain_Data(), Table_SourceData_PastureBeef_LiveweightGain[[#Headers],[State]],0)</f>
        <v>0</v>
      </c>
      <c r="L160" s="10" cm="1">
        <f t="array" ref="L160">Common_InputFunctions.Utility_DisplayArrayInTable(SourceData_PastureBeef.SourceData_PastureBeef_LiveweightGain_Data(), Table_SourceData_PastureBeef_LiveweightGain[[#Headers],[State]],0)</f>
        <v>0.66</v>
      </c>
      <c r="M160" s="10" cm="1">
        <f t="array" ref="M160">Common_InputFunctions.Utility_DisplayArrayInTable(SourceData_PastureBeef.SourceData_PastureBeef_LiveweightGain_Data(), Table_SourceData_PastureBeef_LiveweightGain[[#Headers],[State]],0)</f>
        <v>0</v>
      </c>
    </row>
    <row r="161" spans="4:13" ht="20.100000000000001" customHeight="1" x14ac:dyDescent="0.25">
      <c r="D161" s="8" t="str" cm="1">
        <f t="array" ref="D161">Common_InputFunctions.Utility_DisplayArrayInTable(SourceData_PastureBeef.SourceData_PastureBeef_LiveweightGain_Data(), Table_SourceData_PastureBeef_LiveweightGain[[#Headers],[State]],0)</f>
        <v>South Australia</v>
      </c>
      <c r="E161" s="10" t="str" cm="1">
        <f t="array" ref="E161">Common_InputFunctions.Utility_DisplayArrayInTable(SourceData_PastureBeef.SourceData_PastureBeef_LiveweightGain_Data(), Table_SourceData_PastureBeef_LiveweightGain[[#Headers],[State]],0)</f>
        <v>n/a</v>
      </c>
      <c r="F161" s="10" t="str" cm="1">
        <f t="array" ref="F161">Common_InputFunctions.Utility_DisplayArrayInTable(SourceData_PastureBeef.SourceData_PastureBeef_LiveweightGain_Data(), Table_SourceData_PastureBeef_LiveweightGain[[#Headers],[State]],0)</f>
        <v>Autumn</v>
      </c>
      <c r="G161" s="10" cm="1">
        <f t="array" ref="G161">Common_InputFunctions.Utility_DisplayArrayInTable(SourceData_PastureBeef.SourceData_PastureBeef_LiveweightGain_Data(), Table_SourceData_PastureBeef_LiveweightGain[[#Headers],[State]],0)</f>
        <v>0.9</v>
      </c>
      <c r="H161" s="10" cm="1">
        <f t="array" ref="H161">Common_InputFunctions.Utility_DisplayArrayInTable(SourceData_PastureBeef.SourceData_PastureBeef_LiveweightGain_Data(), Table_SourceData_PastureBeef_LiveweightGain[[#Headers],[State]],0)</f>
        <v>-1.1000000000000001</v>
      </c>
      <c r="I161" s="10" cm="1">
        <f t="array" ref="I161">Common_InputFunctions.Utility_DisplayArrayInTable(SourceData_PastureBeef.SourceData_PastureBeef_LiveweightGain_Data(), Table_SourceData_PastureBeef_LiveweightGain[[#Headers],[State]],0)</f>
        <v>0.7</v>
      </c>
      <c r="J161" s="10" cm="1">
        <f t="array" ref="J161">Common_InputFunctions.Utility_DisplayArrayInTable(SourceData_PastureBeef.SourceData_PastureBeef_LiveweightGain_Data(), Table_SourceData_PastureBeef_LiveweightGain[[#Headers],[State]],0)</f>
        <v>0.22</v>
      </c>
      <c r="K161" s="10" cm="1">
        <f t="array" ref="K161">Common_InputFunctions.Utility_DisplayArrayInTable(SourceData_PastureBeef.SourceData_PastureBeef_LiveweightGain_Data(), Table_SourceData_PastureBeef_LiveweightGain[[#Headers],[State]],0)</f>
        <v>-0.55000000000000004</v>
      </c>
      <c r="L161" s="10" cm="1">
        <f t="array" ref="L161">Common_InputFunctions.Utility_DisplayArrayInTable(SourceData_PastureBeef.SourceData_PastureBeef_LiveweightGain_Data(), Table_SourceData_PastureBeef_LiveweightGain[[#Headers],[State]],0)</f>
        <v>0.8</v>
      </c>
      <c r="M161" s="10" cm="1">
        <f t="array" ref="M161">Common_InputFunctions.Utility_DisplayArrayInTable(SourceData_PastureBeef.SourceData_PastureBeef_LiveweightGain_Data(), Table_SourceData_PastureBeef_LiveweightGain[[#Headers],[State]],0)</f>
        <v>-0.22</v>
      </c>
    </row>
    <row r="162" spans="4:13" ht="20.100000000000001" customHeight="1" x14ac:dyDescent="0.25">
      <c r="D162" s="8" t="str" cm="1">
        <f t="array" ref="D162">Common_InputFunctions.Utility_DisplayArrayInTable(SourceData_PastureBeef.SourceData_PastureBeef_LiveweightGain_Data(), Table_SourceData_PastureBeef_LiveweightGain[[#Headers],[State]],0)</f>
        <v>South Australia</v>
      </c>
      <c r="E162" s="10" t="str" cm="1">
        <f t="array" ref="E162">Common_InputFunctions.Utility_DisplayArrayInTable(SourceData_PastureBeef.SourceData_PastureBeef_LiveweightGain_Data(), Table_SourceData_PastureBeef_LiveweightGain[[#Headers],[State]],0)</f>
        <v>n/a</v>
      </c>
      <c r="F162" s="10" t="str" cm="1">
        <f t="array" ref="F162">Common_InputFunctions.Utility_DisplayArrayInTable(SourceData_PastureBeef.SourceData_PastureBeef_LiveweightGain_Data(), Table_SourceData_PastureBeef_LiveweightGain[[#Headers],[State]],0)</f>
        <v>Winter</v>
      </c>
      <c r="G162" s="10" cm="1">
        <f t="array" ref="G162">Common_InputFunctions.Utility_DisplayArrayInTable(SourceData_PastureBeef.SourceData_PastureBeef_LiveweightGain_Data(), Table_SourceData_PastureBeef_LiveweightGain[[#Headers],[State]],0)</f>
        <v>0.88</v>
      </c>
      <c r="H162" s="10" cm="1">
        <f t="array" ref="H162">Common_InputFunctions.Utility_DisplayArrayInTable(SourceData_PastureBeef.SourceData_PastureBeef_LiveweightGain_Data(), Table_SourceData_PastureBeef_LiveweightGain[[#Headers],[State]],0)</f>
        <v>0</v>
      </c>
      <c r="I162" s="10" cm="1">
        <f t="array" ref="I162">Common_InputFunctions.Utility_DisplayArrayInTable(SourceData_PastureBeef.SourceData_PastureBeef_LiveweightGain_Data(), Table_SourceData_PastureBeef_LiveweightGain[[#Headers],[State]],0)</f>
        <v>0.77</v>
      </c>
      <c r="J162" s="10" cm="1">
        <f t="array" ref="J162">Common_InputFunctions.Utility_DisplayArrayInTable(SourceData_PastureBeef.SourceData_PastureBeef_LiveweightGain_Data(), Table_SourceData_PastureBeef_LiveweightGain[[#Headers],[State]],0)</f>
        <v>0.55000000000000004</v>
      </c>
      <c r="K162" s="10" cm="1">
        <f t="array" ref="K162">Common_InputFunctions.Utility_DisplayArrayInTable(SourceData_PastureBeef.SourceData_PastureBeef_LiveweightGain_Data(), Table_SourceData_PastureBeef_LiveweightGain[[#Headers],[State]],0)</f>
        <v>0</v>
      </c>
      <c r="L162" s="10" cm="1">
        <f t="array" ref="L162">Common_InputFunctions.Utility_DisplayArrayInTable(SourceData_PastureBeef.SourceData_PastureBeef_LiveweightGain_Data(), Table_SourceData_PastureBeef_LiveweightGain[[#Headers],[State]],0)</f>
        <v>0.82</v>
      </c>
      <c r="M162" s="10" cm="1">
        <f t="array" ref="M162">Common_InputFunctions.Utility_DisplayArrayInTable(SourceData_PastureBeef.SourceData_PastureBeef_LiveweightGain_Data(), Table_SourceData_PastureBeef_LiveweightGain[[#Headers],[State]],0)</f>
        <v>0</v>
      </c>
    </row>
    <row r="163" spans="4:13" ht="20.100000000000001" customHeight="1" x14ac:dyDescent="0.25">
      <c r="D163" s="8" t="str" cm="1">
        <f t="array" ref="D163">Common_InputFunctions.Utility_DisplayArrayInTable(SourceData_PastureBeef.SourceData_PastureBeef_LiveweightGain_Data(), Table_SourceData_PastureBeef_LiveweightGain[[#Headers],[State]],0)</f>
        <v>Tasmania</v>
      </c>
      <c r="E163" s="10" t="str" cm="1">
        <f t="array" ref="E163">Common_InputFunctions.Utility_DisplayArrayInTable(SourceData_PastureBeef.SourceData_PastureBeef_LiveweightGain_Data(), Table_SourceData_PastureBeef_LiveweightGain[[#Headers],[State]],0)</f>
        <v>n/a</v>
      </c>
      <c r="F163" s="10" t="str" cm="1">
        <f t="array" ref="F163">Common_InputFunctions.Utility_DisplayArrayInTable(SourceData_PastureBeef.SourceData_PastureBeef_LiveweightGain_Data(), Table_SourceData_PastureBeef_LiveweightGain[[#Headers],[State]],0)</f>
        <v>Spring</v>
      </c>
      <c r="G163" s="10" cm="1">
        <f t="array" ref="G163">Common_InputFunctions.Utility_DisplayArrayInTable(SourceData_PastureBeef.SourceData_PastureBeef_LiveweightGain_Data(), Table_SourceData_PastureBeef_LiveweightGain[[#Headers],[State]],0)</f>
        <v>1</v>
      </c>
      <c r="H163" s="10" cm="1">
        <f t="array" ref="H163">Common_InputFunctions.Utility_DisplayArrayInTable(SourceData_PastureBeef.SourceData_PastureBeef_LiveweightGain_Data(), Table_SourceData_PastureBeef_LiveweightGain[[#Headers],[State]],0)</f>
        <v>0.5</v>
      </c>
      <c r="I163" s="10" cm="1">
        <f t="array" ref="I163">Common_InputFunctions.Utility_DisplayArrayInTable(SourceData_PastureBeef.SourceData_PastureBeef_LiveweightGain_Data(), Table_SourceData_PastureBeef_LiveweightGain[[#Headers],[State]],0)</f>
        <v>1</v>
      </c>
      <c r="J163" s="10" cm="1">
        <f t="array" ref="J163">Common_InputFunctions.Utility_DisplayArrayInTable(SourceData_PastureBeef.SourceData_PastureBeef_LiveweightGain_Data(), Table_SourceData_PastureBeef_LiveweightGain[[#Headers],[State]],0)</f>
        <v>1</v>
      </c>
      <c r="K163" s="10" cm="1">
        <f t="array" ref="K163">Common_InputFunctions.Utility_DisplayArrayInTable(SourceData_PastureBeef.SourceData_PastureBeef_LiveweightGain_Data(), Table_SourceData_PastureBeef_LiveweightGain[[#Headers],[State]],0)</f>
        <v>-0.44</v>
      </c>
      <c r="L163" s="10" cm="1">
        <f t="array" ref="L163">Common_InputFunctions.Utility_DisplayArrayInTable(SourceData_PastureBeef.SourceData_PastureBeef_LiveweightGain_Data(), Table_SourceData_PastureBeef_LiveweightGain[[#Headers],[State]],0)</f>
        <v>1</v>
      </c>
      <c r="M163" s="10" cm="1">
        <f t="array" ref="M163">Common_InputFunctions.Utility_DisplayArrayInTable(SourceData_PastureBeef.SourceData_PastureBeef_LiveweightGain_Data(), Table_SourceData_PastureBeef_LiveweightGain[[#Headers],[State]],0)</f>
        <v>0.5</v>
      </c>
    </row>
    <row r="164" spans="4:13" ht="20.100000000000001" customHeight="1" x14ac:dyDescent="0.25">
      <c r="D164" s="8" t="str" cm="1">
        <f t="array" ref="D164">Common_InputFunctions.Utility_DisplayArrayInTable(SourceData_PastureBeef.SourceData_PastureBeef_LiveweightGain_Data(), Table_SourceData_PastureBeef_LiveweightGain[[#Headers],[State]],0)</f>
        <v>Tasmania</v>
      </c>
      <c r="E164" s="10" t="str" cm="1">
        <f t="array" ref="E164">Common_InputFunctions.Utility_DisplayArrayInTable(SourceData_PastureBeef.SourceData_PastureBeef_LiveweightGain_Data(), Table_SourceData_PastureBeef_LiveweightGain[[#Headers],[State]],0)</f>
        <v>n/a</v>
      </c>
      <c r="F164" s="10" t="str" cm="1">
        <f t="array" ref="F164">Common_InputFunctions.Utility_DisplayArrayInTable(SourceData_PastureBeef.SourceData_PastureBeef_LiveweightGain_Data(), Table_SourceData_PastureBeef_LiveweightGain[[#Headers],[State]],0)</f>
        <v>Summer</v>
      </c>
      <c r="G164" s="10" cm="1">
        <f t="array" ref="G164">Common_InputFunctions.Utility_DisplayArrayInTable(SourceData_PastureBeef.SourceData_PastureBeef_LiveweightGain_Data(), Table_SourceData_PastureBeef_LiveweightGain[[#Headers],[State]],0)</f>
        <v>0.82</v>
      </c>
      <c r="H164" s="10" cm="1">
        <f t="array" ref="H164">Common_InputFunctions.Utility_DisplayArrayInTable(SourceData_PastureBeef.SourceData_PastureBeef_LiveweightGain_Data(), Table_SourceData_PastureBeef_LiveweightGain[[#Headers],[State]],0)</f>
        <v>0.55000000000000004</v>
      </c>
      <c r="I164" s="10" cm="1">
        <f t="array" ref="I164">Common_InputFunctions.Utility_DisplayArrayInTable(SourceData_PastureBeef.SourceData_PastureBeef_LiveweightGain_Data(), Table_SourceData_PastureBeef_LiveweightGain[[#Headers],[State]],0)</f>
        <v>0.71</v>
      </c>
      <c r="J164" s="10" cm="1">
        <f t="array" ref="J164">Common_InputFunctions.Utility_DisplayArrayInTable(SourceData_PastureBeef.SourceData_PastureBeef_LiveweightGain_Data(), Table_SourceData_PastureBeef_LiveweightGain[[#Headers],[State]],0)</f>
        <v>0.55000000000000004</v>
      </c>
      <c r="K164" s="10" cm="1">
        <f t="array" ref="K164">Common_InputFunctions.Utility_DisplayArrayInTable(SourceData_PastureBeef.SourceData_PastureBeef_LiveweightGain_Data(), Table_SourceData_PastureBeef_LiveweightGain[[#Headers],[State]],0)</f>
        <v>0.99</v>
      </c>
      <c r="L164" s="10" cm="1">
        <f t="array" ref="L164">Common_InputFunctions.Utility_DisplayArrayInTable(SourceData_PastureBeef.SourceData_PastureBeef_LiveweightGain_Data(), Table_SourceData_PastureBeef_LiveweightGain[[#Headers],[State]],0)</f>
        <v>0.77</v>
      </c>
      <c r="M164" s="10" cm="1">
        <f t="array" ref="M164">Common_InputFunctions.Utility_DisplayArrayInTable(SourceData_PastureBeef.SourceData_PastureBeef_LiveweightGain_Data(), Table_SourceData_PastureBeef_LiveweightGain[[#Headers],[State]],0)</f>
        <v>0.5</v>
      </c>
    </row>
    <row r="165" spans="4:13" ht="20.100000000000001" customHeight="1" x14ac:dyDescent="0.25">
      <c r="D165" s="8" t="str" cm="1">
        <f t="array" ref="D165">Common_InputFunctions.Utility_DisplayArrayInTable(SourceData_PastureBeef.SourceData_PastureBeef_LiveweightGain_Data(), Table_SourceData_PastureBeef_LiveweightGain[[#Headers],[State]],0)</f>
        <v>Tasmania</v>
      </c>
      <c r="E165" s="10" t="str" cm="1">
        <f t="array" ref="E165">Common_InputFunctions.Utility_DisplayArrayInTable(SourceData_PastureBeef.SourceData_PastureBeef_LiveweightGain_Data(), Table_SourceData_PastureBeef_LiveweightGain[[#Headers],[State]],0)</f>
        <v>n/a</v>
      </c>
      <c r="F165" s="10" t="str" cm="1">
        <f t="array" ref="F165">Common_InputFunctions.Utility_DisplayArrayInTable(SourceData_PastureBeef.SourceData_PastureBeef_LiveweightGain_Data(), Table_SourceData_PastureBeef_LiveweightGain[[#Headers],[State]],0)</f>
        <v>Autumn</v>
      </c>
      <c r="G165" s="10" cm="1">
        <f t="array" ref="G165">Common_InputFunctions.Utility_DisplayArrayInTable(SourceData_PastureBeef.SourceData_PastureBeef_LiveweightGain_Data(), Table_SourceData_PastureBeef_LiveweightGain[[#Headers],[State]],0)</f>
        <v>0.77</v>
      </c>
      <c r="H165" s="10" cm="1">
        <f t="array" ref="H165">Common_InputFunctions.Utility_DisplayArrayInTable(SourceData_PastureBeef.SourceData_PastureBeef_LiveweightGain_Data(), Table_SourceData_PastureBeef_LiveweightGain[[#Headers],[State]],0)</f>
        <v>0.5</v>
      </c>
      <c r="I165" s="10" cm="1">
        <f t="array" ref="I165">Common_InputFunctions.Utility_DisplayArrayInTable(SourceData_PastureBeef.SourceData_PastureBeef_LiveweightGain_Data(), Table_SourceData_PastureBeef_LiveweightGain[[#Headers],[State]],0)</f>
        <v>0.55000000000000004</v>
      </c>
      <c r="J165" s="10" cm="1">
        <f t="array" ref="J165">Common_InputFunctions.Utility_DisplayArrayInTable(SourceData_PastureBeef.SourceData_PastureBeef_LiveweightGain_Data(), Table_SourceData_PastureBeef_LiveweightGain[[#Headers],[State]],0)</f>
        <v>0.11</v>
      </c>
      <c r="K165" s="10" cm="1">
        <f t="array" ref="K165">Common_InputFunctions.Utility_DisplayArrayInTable(SourceData_PastureBeef.SourceData_PastureBeef_LiveweightGain_Data(), Table_SourceData_PastureBeef_LiveweightGain[[#Headers],[State]],0)</f>
        <v>-0.33</v>
      </c>
      <c r="L165" s="10" cm="1">
        <f t="array" ref="L165">Common_InputFunctions.Utility_DisplayArrayInTable(SourceData_PastureBeef.SourceData_PastureBeef_LiveweightGain_Data(), Table_SourceData_PastureBeef_LiveweightGain[[#Headers],[State]],0)</f>
        <v>0.6</v>
      </c>
      <c r="M165" s="10" cm="1">
        <f t="array" ref="M165">Common_InputFunctions.Utility_DisplayArrayInTable(SourceData_PastureBeef.SourceData_PastureBeef_LiveweightGain_Data(), Table_SourceData_PastureBeef_LiveweightGain[[#Headers],[State]],0)</f>
        <v>0.33</v>
      </c>
    </row>
    <row r="166" spans="4:13" x14ac:dyDescent="0.25">
      <c r="D166" s="8" t="str" cm="1">
        <f t="array" ref="D166">Common_InputFunctions.Utility_DisplayArrayInTable(SourceData_PastureBeef.SourceData_PastureBeef_LiveweightGain_Data(), Table_SourceData_PastureBeef_LiveweightGain[[#Headers],[State]],0)</f>
        <v>Tasmania</v>
      </c>
      <c r="E166" s="10" t="str" cm="1">
        <f t="array" ref="E166">Common_InputFunctions.Utility_DisplayArrayInTable(SourceData_PastureBeef.SourceData_PastureBeef_LiveweightGain_Data(), Table_SourceData_PastureBeef_LiveweightGain[[#Headers],[State]],0)</f>
        <v>n/a</v>
      </c>
      <c r="F166" s="10" t="str" cm="1">
        <f t="array" ref="F166">Common_InputFunctions.Utility_DisplayArrayInTable(SourceData_PastureBeef.SourceData_PastureBeef_LiveweightGain_Data(), Table_SourceData_PastureBeef_LiveweightGain[[#Headers],[State]],0)</f>
        <v>Winter</v>
      </c>
      <c r="G166" s="10" cm="1">
        <f t="array" ref="G166">Common_InputFunctions.Utility_DisplayArrayInTable(SourceData_PastureBeef.SourceData_PastureBeef_LiveweightGain_Data(), Table_SourceData_PastureBeef_LiveweightGain[[#Headers],[State]],0)</f>
        <v>0.11</v>
      </c>
      <c r="H166" s="10" cm="1">
        <f t="array" ref="H166">Common_InputFunctions.Utility_DisplayArrayInTable(SourceData_PastureBeef.SourceData_PastureBeef_LiveweightGain_Data(), Table_SourceData_PastureBeef_LiveweightGain[[#Headers],[State]],0)</f>
        <v>-0.27</v>
      </c>
      <c r="I166" s="10" cm="1">
        <f t="array" ref="I166">Common_InputFunctions.Utility_DisplayArrayInTable(SourceData_PastureBeef.SourceData_PastureBeef_LiveweightGain_Data(), Table_SourceData_PastureBeef_LiveweightGain[[#Headers],[State]],0)</f>
        <v>0.11</v>
      </c>
      <c r="J166" s="10" cm="1">
        <f t="array" ref="J166">Common_InputFunctions.Utility_DisplayArrayInTable(SourceData_PastureBeef.SourceData_PastureBeef_LiveweightGain_Data(), Table_SourceData_PastureBeef_LiveweightGain[[#Headers],[State]],0)</f>
        <v>0.22</v>
      </c>
      <c r="K166" s="10" cm="1">
        <f t="array" ref="K166">Common_InputFunctions.Utility_DisplayArrayInTable(SourceData_PastureBeef.SourceData_PastureBeef_LiveweightGain_Data(), Table_SourceData_PastureBeef_LiveweightGain[[#Headers],[State]],0)</f>
        <v>-0.44</v>
      </c>
      <c r="L166" s="10" cm="1">
        <f t="array" ref="L166">Common_InputFunctions.Utility_DisplayArrayInTable(SourceData_PastureBeef.SourceData_PastureBeef_LiveweightGain_Data(), Table_SourceData_PastureBeef_LiveweightGain[[#Headers],[State]],0)</f>
        <v>0.16</v>
      </c>
      <c r="M166" s="10" cm="1">
        <f t="array" ref="M166">Common_InputFunctions.Utility_DisplayArrayInTable(SourceData_PastureBeef.SourceData_PastureBeef_LiveweightGain_Data(), Table_SourceData_PastureBeef_LiveweightGain[[#Headers],[State]],0)</f>
        <v>-0.22</v>
      </c>
    </row>
    <row r="167" spans="4:13" x14ac:dyDescent="0.25">
      <c r="D167" s="8" t="str" cm="1">
        <f t="array" ref="D167">Common_InputFunctions.Utility_DisplayArrayInTable(SourceData_PastureBeef.SourceData_PastureBeef_LiveweightGain_Data(), Table_SourceData_PastureBeef_LiveweightGain[[#Headers],[State]],0)</f>
        <v>Victoria</v>
      </c>
      <c r="E167" s="10" t="str" cm="1">
        <f t="array" ref="E167">Common_InputFunctions.Utility_DisplayArrayInTable(SourceData_PastureBeef.SourceData_PastureBeef_LiveweightGain_Data(), Table_SourceData_PastureBeef_LiveweightGain[[#Headers],[State]],0)</f>
        <v>n/a</v>
      </c>
      <c r="F167" s="10" t="str" cm="1">
        <f t="array" ref="F167">Common_InputFunctions.Utility_DisplayArrayInTable(SourceData_PastureBeef.SourceData_PastureBeef_LiveweightGain_Data(), Table_SourceData_PastureBeef_LiveweightGain[[#Headers],[State]],0)</f>
        <v>Spring</v>
      </c>
      <c r="G167" s="10" cm="1">
        <f t="array" ref="G167">Common_InputFunctions.Utility_DisplayArrayInTable(SourceData_PastureBeef.SourceData_PastureBeef_LiveweightGain_Data(), Table_SourceData_PastureBeef_LiveweightGain[[#Headers],[State]],0)</f>
        <v>1.1000000000000001</v>
      </c>
      <c r="H167" s="10" cm="1">
        <f t="array" ref="H167">Common_InputFunctions.Utility_DisplayArrayInTable(SourceData_PastureBeef.SourceData_PastureBeef_LiveweightGain_Data(), Table_SourceData_PastureBeef_LiveweightGain[[#Headers],[State]],0)</f>
        <v>1.1000000000000001</v>
      </c>
      <c r="I167" s="10" cm="1">
        <f t="array" ref="I167">Common_InputFunctions.Utility_DisplayArrayInTable(SourceData_PastureBeef.SourceData_PastureBeef_LiveweightGain_Data(), Table_SourceData_PastureBeef_LiveweightGain[[#Headers],[State]],0)</f>
        <v>1.1000000000000001</v>
      </c>
      <c r="J167" s="10" cm="1">
        <f t="array" ref="J167">Common_InputFunctions.Utility_DisplayArrayInTable(SourceData_PastureBeef.SourceData_PastureBeef_LiveweightGain_Data(), Table_SourceData_PastureBeef_LiveweightGain[[#Headers],[State]],0)</f>
        <v>0.99</v>
      </c>
      <c r="K167" s="10" cm="1">
        <f t="array" ref="K167">Common_InputFunctions.Utility_DisplayArrayInTable(SourceData_PastureBeef.SourceData_PastureBeef_LiveweightGain_Data(), Table_SourceData_PastureBeef_LiveweightGain[[#Headers],[State]],0)</f>
        <v>0.99</v>
      </c>
      <c r="L167" s="10" cm="1">
        <f t="array" ref="L167">Common_InputFunctions.Utility_DisplayArrayInTable(SourceData_PastureBeef.SourceData_PastureBeef_LiveweightGain_Data(), Table_SourceData_PastureBeef_LiveweightGain[[#Headers],[State]],0)</f>
        <v>1.1000000000000001</v>
      </c>
      <c r="M167" s="10" cm="1">
        <f t="array" ref="M167">Common_InputFunctions.Utility_DisplayArrayInTable(SourceData_PastureBeef.SourceData_PastureBeef_LiveweightGain_Data(), Table_SourceData_PastureBeef_LiveweightGain[[#Headers],[State]],0)</f>
        <v>0.77</v>
      </c>
    </row>
    <row r="168" spans="4:13" x14ac:dyDescent="0.25">
      <c r="D168" s="8" t="str" cm="1">
        <f t="array" ref="D168">Common_InputFunctions.Utility_DisplayArrayInTable(SourceData_PastureBeef.SourceData_PastureBeef_LiveweightGain_Data(), Table_SourceData_PastureBeef_LiveweightGain[[#Headers],[State]],0)</f>
        <v>Victoria</v>
      </c>
      <c r="E168" s="10" t="str" cm="1">
        <f t="array" ref="E168">Common_InputFunctions.Utility_DisplayArrayInTable(SourceData_PastureBeef.SourceData_PastureBeef_LiveweightGain_Data(), Table_SourceData_PastureBeef_LiveweightGain[[#Headers],[State]],0)</f>
        <v>n/a</v>
      </c>
      <c r="F168" s="10" t="str" cm="1">
        <f t="array" ref="F168">Common_InputFunctions.Utility_DisplayArrayInTable(SourceData_PastureBeef.SourceData_PastureBeef_LiveweightGain_Data(), Table_SourceData_PastureBeef_LiveweightGain[[#Headers],[State]],0)</f>
        <v>Summer</v>
      </c>
      <c r="G168" s="10" cm="1">
        <f t="array" ref="G168">Common_InputFunctions.Utility_DisplayArrayInTable(SourceData_PastureBeef.SourceData_PastureBeef_LiveweightGain_Data(), Table_SourceData_PastureBeef_LiveweightGain[[#Headers],[State]],0)</f>
        <v>0.33</v>
      </c>
      <c r="H168" s="10" cm="1">
        <f t="array" ref="H168">Common_InputFunctions.Utility_DisplayArrayInTable(SourceData_PastureBeef.SourceData_PastureBeef_LiveweightGain_Data(), Table_SourceData_PastureBeef_LiveweightGain[[#Headers],[State]],0)</f>
        <v>0.33</v>
      </c>
      <c r="I168" s="10" cm="1">
        <f t="array" ref="I168">Common_InputFunctions.Utility_DisplayArrayInTable(SourceData_PastureBeef.SourceData_PastureBeef_LiveweightGain_Data(), Table_SourceData_PastureBeef_LiveweightGain[[#Headers],[State]],0)</f>
        <v>0.22</v>
      </c>
      <c r="J168" s="10" cm="1">
        <f t="array" ref="J168">Common_InputFunctions.Utility_DisplayArrayInTable(SourceData_PastureBeef.SourceData_PastureBeef_LiveweightGain_Data(), Table_SourceData_PastureBeef_LiveweightGain[[#Headers],[State]],0)</f>
        <v>0.33</v>
      </c>
      <c r="K168" s="10" cm="1">
        <f t="array" ref="K168">Common_InputFunctions.Utility_DisplayArrayInTable(SourceData_PastureBeef.SourceData_PastureBeef_LiveweightGain_Data(), Table_SourceData_PastureBeef_LiveweightGain[[#Headers],[State]],0)</f>
        <v>-0.1</v>
      </c>
      <c r="L168" s="10" cm="1">
        <f t="array" ref="L168">Common_InputFunctions.Utility_DisplayArrayInTable(SourceData_PastureBeef.SourceData_PastureBeef_LiveweightGain_Data(), Table_SourceData_PastureBeef_LiveweightGain[[#Headers],[State]],0)</f>
        <v>0.33</v>
      </c>
      <c r="M168" s="10" cm="1">
        <f t="array" ref="M168">Common_InputFunctions.Utility_DisplayArrayInTable(SourceData_PastureBeef.SourceData_PastureBeef_LiveweightGain_Data(), Table_SourceData_PastureBeef_LiveweightGain[[#Headers],[State]],0)</f>
        <v>0.11</v>
      </c>
    </row>
    <row r="169" spans="4:13" x14ac:dyDescent="0.25">
      <c r="D169" s="8" t="str" cm="1">
        <f t="array" ref="D169">Common_InputFunctions.Utility_DisplayArrayInTable(SourceData_PastureBeef.SourceData_PastureBeef_LiveweightGain_Data(), Table_SourceData_PastureBeef_LiveweightGain[[#Headers],[State]],0)</f>
        <v>Victoria</v>
      </c>
      <c r="E169" s="10" t="str" cm="1">
        <f t="array" ref="E169">Common_InputFunctions.Utility_DisplayArrayInTable(SourceData_PastureBeef.SourceData_PastureBeef_LiveweightGain_Data(), Table_SourceData_PastureBeef_LiveweightGain[[#Headers],[State]],0)</f>
        <v>n/a</v>
      </c>
      <c r="F169" s="10" t="str" cm="1">
        <f t="array" ref="F169">Common_InputFunctions.Utility_DisplayArrayInTable(SourceData_PastureBeef.SourceData_PastureBeef_LiveweightGain_Data(), Table_SourceData_PastureBeef_LiveweightGain[[#Headers],[State]],0)</f>
        <v>Autumn</v>
      </c>
      <c r="G169" s="10" cm="1">
        <f t="array" ref="G169">Common_InputFunctions.Utility_DisplayArrayInTable(SourceData_PastureBeef.SourceData_PastureBeef_LiveweightGain_Data(), Table_SourceData_PastureBeef_LiveweightGain[[#Headers],[State]],0)</f>
        <v>0.5</v>
      </c>
      <c r="H169" s="10" cm="1">
        <f t="array" ref="H169">Common_InputFunctions.Utility_DisplayArrayInTable(SourceData_PastureBeef.SourceData_PastureBeef_LiveweightGain_Data(), Table_SourceData_PastureBeef_LiveweightGain[[#Headers],[State]],0)</f>
        <v>0.2</v>
      </c>
      <c r="I169" s="10" cm="1">
        <f t="array" ref="I169">Common_InputFunctions.Utility_DisplayArrayInTable(SourceData_PastureBeef.SourceData_PastureBeef_LiveweightGain_Data(), Table_SourceData_PastureBeef_LiveweightGain[[#Headers],[State]],0)</f>
        <v>0.55000000000000004</v>
      </c>
      <c r="J169" s="10" cm="1">
        <f t="array" ref="J169">Common_InputFunctions.Utility_DisplayArrayInTable(SourceData_PastureBeef.SourceData_PastureBeef_LiveweightGain_Data(), Table_SourceData_PastureBeef_LiveweightGain[[#Headers],[State]],0)</f>
        <v>0.44</v>
      </c>
      <c r="K169" s="10" cm="1">
        <f t="array" ref="K169">Common_InputFunctions.Utility_DisplayArrayInTable(SourceData_PastureBeef.SourceData_PastureBeef_LiveweightGain_Data(), Table_SourceData_PastureBeef_LiveweightGain[[#Headers],[State]],0)</f>
        <v>0.2</v>
      </c>
      <c r="L169" s="10" cm="1">
        <f t="array" ref="L169">Common_InputFunctions.Utility_DisplayArrayInTable(SourceData_PastureBeef.SourceData_PastureBeef_LiveweightGain_Data(), Table_SourceData_PastureBeef_LiveweightGain[[#Headers],[State]],0)</f>
        <v>0.55000000000000004</v>
      </c>
      <c r="M169" s="10" cm="1">
        <f t="array" ref="M169">Common_InputFunctions.Utility_DisplayArrayInTable(SourceData_PastureBeef.SourceData_PastureBeef_LiveweightGain_Data(), Table_SourceData_PastureBeef_LiveweightGain[[#Headers],[State]],0)</f>
        <v>0.2</v>
      </c>
    </row>
    <row r="170" spans="4:13" x14ac:dyDescent="0.25">
      <c r="D170" s="8" t="str" cm="1">
        <f t="array" ref="D170">Common_InputFunctions.Utility_DisplayArrayInTable(SourceData_PastureBeef.SourceData_PastureBeef_LiveweightGain_Data(), Table_SourceData_PastureBeef_LiveweightGain[[#Headers],[State]],0)</f>
        <v>Victoria</v>
      </c>
      <c r="E170" s="10" t="str" cm="1">
        <f t="array" ref="E170">Common_InputFunctions.Utility_DisplayArrayInTable(SourceData_PastureBeef.SourceData_PastureBeef_LiveweightGain_Data(), Table_SourceData_PastureBeef_LiveweightGain[[#Headers],[State]],0)</f>
        <v>n/a</v>
      </c>
      <c r="F170" s="10" t="str" cm="1">
        <f t="array" ref="F170">Common_InputFunctions.Utility_DisplayArrayInTable(SourceData_PastureBeef.SourceData_PastureBeef_LiveweightGain_Data(), Table_SourceData_PastureBeef_LiveweightGain[[#Headers],[State]],0)</f>
        <v>Winter</v>
      </c>
      <c r="G170" s="10" cm="1">
        <f t="array" ref="G170">Common_InputFunctions.Utility_DisplayArrayInTable(SourceData_PastureBeef.SourceData_PastureBeef_LiveweightGain_Data(), Table_SourceData_PastureBeef_LiveweightGain[[#Headers],[State]],0)</f>
        <v>0.55000000000000004</v>
      </c>
      <c r="H170" s="10" cm="1">
        <f t="array" ref="H170">Common_InputFunctions.Utility_DisplayArrayInTable(SourceData_PastureBeef.SourceData_PastureBeef_LiveweightGain_Data(), Table_SourceData_PastureBeef_LiveweightGain[[#Headers],[State]],0)</f>
        <v>0.22</v>
      </c>
      <c r="I170" s="10" cm="1">
        <f t="array" ref="I170">Common_InputFunctions.Utility_DisplayArrayInTable(SourceData_PastureBeef.SourceData_PastureBeef_LiveweightGain_Data(), Table_SourceData_PastureBeef_LiveweightGain[[#Headers],[State]],0)</f>
        <v>0.49</v>
      </c>
      <c r="J170" s="10" cm="1">
        <f t="array" ref="J170">Common_InputFunctions.Utility_DisplayArrayInTable(SourceData_PastureBeef.SourceData_PastureBeef_LiveweightGain_Data(), Table_SourceData_PastureBeef_LiveweightGain[[#Headers],[State]],0)</f>
        <v>0.22</v>
      </c>
      <c r="K170" s="10" cm="1">
        <f t="array" ref="K170">Common_InputFunctions.Utility_DisplayArrayInTable(SourceData_PastureBeef.SourceData_PastureBeef_LiveweightGain_Data(), Table_SourceData_PastureBeef_LiveweightGain[[#Headers],[State]],0)</f>
        <v>0.22</v>
      </c>
      <c r="L170" s="10" cm="1">
        <f t="array" ref="L170">Common_InputFunctions.Utility_DisplayArrayInTable(SourceData_PastureBeef.SourceData_PastureBeef_LiveweightGain_Data(), Table_SourceData_PastureBeef_LiveweightGain[[#Headers],[State]],0)</f>
        <v>0.49</v>
      </c>
      <c r="M170" s="10" cm="1">
        <f t="array" ref="M170">Common_InputFunctions.Utility_DisplayArrayInTable(SourceData_PastureBeef.SourceData_PastureBeef_LiveweightGain_Data(), Table_SourceData_PastureBeef_LiveweightGain[[#Headers],[State]],0)</f>
        <v>0.33</v>
      </c>
    </row>
    <row r="171" spans="4:13" x14ac:dyDescent="0.25">
      <c r="D171" s="8" t="str" cm="1">
        <f t="array" ref="D171">Common_InputFunctions.Utility_DisplayArrayInTable(SourceData_PastureBeef.SourceData_PastureBeef_LiveweightGain_Data(), Table_SourceData_PastureBeef_LiveweightGain[[#Headers],[State]],0)</f>
        <v>Western Australia</v>
      </c>
      <c r="E171" s="10" t="str" cm="1">
        <f t="array" ref="E171">Common_InputFunctions.Utility_DisplayArrayInTable(SourceData_PastureBeef.SourceData_PastureBeef_LiveweightGain_Data(), Table_SourceData_PastureBeef_LiveweightGain[[#Headers],[State]],0)</f>
        <v>South West</v>
      </c>
      <c r="F171" s="10" t="str" cm="1">
        <f t="array" ref="F171">Common_InputFunctions.Utility_DisplayArrayInTable(SourceData_PastureBeef.SourceData_PastureBeef_LiveweightGain_Data(), Table_SourceData_PastureBeef_LiveweightGain[[#Headers],[State]],0)</f>
        <v>Spring</v>
      </c>
      <c r="G171" s="10" cm="1">
        <f t="array" ref="G171">Common_InputFunctions.Utility_DisplayArrayInTable(SourceData_PastureBeef.SourceData_PastureBeef_LiveweightGain_Data(), Table_SourceData_PastureBeef_LiveweightGain[[#Headers],[State]],0)</f>
        <v>1.64</v>
      </c>
      <c r="H171" s="10" cm="1">
        <f t="array" ref="H171">Common_InputFunctions.Utility_DisplayArrayInTable(SourceData_PastureBeef.SourceData_PastureBeef_LiveweightGain_Data(), Table_SourceData_PastureBeef_LiveweightGain[[#Headers],[State]],0)</f>
        <v>1.1000000000000001</v>
      </c>
      <c r="I171" s="10" cm="1">
        <f t="array" ref="I171">Common_InputFunctions.Utility_DisplayArrayInTable(SourceData_PastureBeef.SourceData_PastureBeef_LiveweightGain_Data(), Table_SourceData_PastureBeef_LiveweightGain[[#Headers],[State]],0)</f>
        <v>1.21</v>
      </c>
      <c r="J171" s="10" cm="1">
        <f t="array" ref="J171">Common_InputFunctions.Utility_DisplayArrayInTable(SourceData_PastureBeef.SourceData_PastureBeef_LiveweightGain_Data(), Table_SourceData_PastureBeef_LiveweightGain[[#Headers],[State]],0)</f>
        <v>0.99</v>
      </c>
      <c r="K171" s="10" cm="1">
        <f t="array" ref="K171">Common_InputFunctions.Utility_DisplayArrayInTable(SourceData_PastureBeef.SourceData_PastureBeef_LiveweightGain_Data(), Table_SourceData_PastureBeef_LiveweightGain[[#Headers],[State]],0)</f>
        <v>0.66</v>
      </c>
      <c r="L171" s="10" cm="1">
        <f t="array" ref="L171">Common_InputFunctions.Utility_DisplayArrayInTable(SourceData_PastureBeef.SourceData_PastureBeef_LiveweightGain_Data(), Table_SourceData_PastureBeef_LiveweightGain[[#Headers],[State]],0)</f>
        <v>1.42</v>
      </c>
      <c r="M171" s="10" cm="1">
        <f t="array" ref="M171">Common_InputFunctions.Utility_DisplayArrayInTable(SourceData_PastureBeef.SourceData_PastureBeef_LiveweightGain_Data(), Table_SourceData_PastureBeef_LiveweightGain[[#Headers],[State]],0)</f>
        <v>1.1000000000000001</v>
      </c>
    </row>
    <row r="172" spans="4:13" x14ac:dyDescent="0.25">
      <c r="D172" s="8" t="str" cm="1">
        <f t="array" ref="D172">Common_InputFunctions.Utility_DisplayArrayInTable(SourceData_PastureBeef.SourceData_PastureBeef_LiveweightGain_Data(), Table_SourceData_PastureBeef_LiveweightGain[[#Headers],[State]],0)</f>
        <v>Western Australia</v>
      </c>
      <c r="E172" s="10" t="str" cm="1">
        <f t="array" ref="E172">Common_InputFunctions.Utility_DisplayArrayInTable(SourceData_PastureBeef.SourceData_PastureBeef_LiveweightGain_Data(), Table_SourceData_PastureBeef_LiveweightGain[[#Headers],[State]],0)</f>
        <v>South West</v>
      </c>
      <c r="F172" s="10" t="str" cm="1">
        <f t="array" ref="F172">Common_InputFunctions.Utility_DisplayArrayInTable(SourceData_PastureBeef.SourceData_PastureBeef_LiveweightGain_Data(), Table_SourceData_PastureBeef_LiveweightGain[[#Headers],[State]],0)</f>
        <v>Summer</v>
      </c>
      <c r="G172" s="10" cm="1">
        <f t="array" ref="G172">Common_InputFunctions.Utility_DisplayArrayInTable(SourceData_PastureBeef.SourceData_PastureBeef_LiveweightGain_Data(), Table_SourceData_PastureBeef_LiveweightGain[[#Headers],[State]],0)</f>
        <v>0.44</v>
      </c>
      <c r="H172" s="10" cm="1">
        <f t="array" ref="H172">Common_InputFunctions.Utility_DisplayArrayInTable(SourceData_PastureBeef.SourceData_PastureBeef_LiveweightGain_Data(), Table_SourceData_PastureBeef_LiveweightGain[[#Headers],[State]],0)</f>
        <v>-0.22</v>
      </c>
      <c r="I172" s="10" cm="1">
        <f t="array" ref="I172">Common_InputFunctions.Utility_DisplayArrayInTable(SourceData_PastureBeef.SourceData_PastureBeef_LiveweightGain_Data(), Table_SourceData_PastureBeef_LiveweightGain[[#Headers],[State]],0)</f>
        <v>0.44</v>
      </c>
      <c r="J172" s="10" cm="1">
        <f t="array" ref="J172">Common_InputFunctions.Utility_DisplayArrayInTable(SourceData_PastureBeef.SourceData_PastureBeef_LiveweightGain_Data(), Table_SourceData_PastureBeef_LiveweightGain[[#Headers],[State]],0)</f>
        <v>0.33</v>
      </c>
      <c r="K172" s="10" cm="1">
        <f t="array" ref="K172">Common_InputFunctions.Utility_DisplayArrayInTable(SourceData_PastureBeef.SourceData_PastureBeef_LiveweightGain_Data(), Table_SourceData_PastureBeef_LiveweightGain[[#Headers],[State]],0)</f>
        <v>-0.22</v>
      </c>
      <c r="L172" s="10" cm="1">
        <f t="array" ref="L172">Common_InputFunctions.Utility_DisplayArrayInTable(SourceData_PastureBeef.SourceData_PastureBeef_LiveweightGain_Data(), Table_SourceData_PastureBeef_LiveweightGain[[#Headers],[State]],0)</f>
        <v>0.44</v>
      </c>
      <c r="M172" s="10" cm="1">
        <f t="array" ref="M172">Common_InputFunctions.Utility_DisplayArrayInTable(SourceData_PastureBeef.SourceData_PastureBeef_LiveweightGain_Data(), Table_SourceData_PastureBeef_LiveweightGain[[#Headers],[State]],0)</f>
        <v>-0.11</v>
      </c>
    </row>
    <row r="173" spans="4:13" x14ac:dyDescent="0.25">
      <c r="D173" s="8" t="str" cm="1">
        <f t="array" ref="D173">Common_InputFunctions.Utility_DisplayArrayInTable(SourceData_PastureBeef.SourceData_PastureBeef_LiveweightGain_Data(), Table_SourceData_PastureBeef_LiveweightGain[[#Headers],[State]],0)</f>
        <v>Western Australia</v>
      </c>
      <c r="E173" s="10" t="str" cm="1">
        <f t="array" ref="E173">Common_InputFunctions.Utility_DisplayArrayInTable(SourceData_PastureBeef.SourceData_PastureBeef_LiveweightGain_Data(), Table_SourceData_PastureBeef_LiveweightGain[[#Headers],[State]],0)</f>
        <v>South West</v>
      </c>
      <c r="F173" s="10" t="str" cm="1">
        <f t="array" ref="F173">Common_InputFunctions.Utility_DisplayArrayInTable(SourceData_PastureBeef.SourceData_PastureBeef_LiveweightGain_Data(), Table_SourceData_PastureBeef_LiveweightGain[[#Headers],[State]],0)</f>
        <v>Autumn</v>
      </c>
      <c r="G173" s="10" cm="1">
        <f t="array" ref="G173">Common_InputFunctions.Utility_DisplayArrayInTable(SourceData_PastureBeef.SourceData_PastureBeef_LiveweightGain_Data(), Table_SourceData_PastureBeef_LiveweightGain[[#Headers],[State]],0)</f>
        <v>0.6</v>
      </c>
      <c r="H173" s="10" cm="1">
        <f t="array" ref="H173">Common_InputFunctions.Utility_DisplayArrayInTable(SourceData_PastureBeef.SourceData_PastureBeef_LiveweightGain_Data(), Table_SourceData_PastureBeef_LiveweightGain[[#Headers],[State]],0)</f>
        <v>0</v>
      </c>
      <c r="I173" s="10" cm="1">
        <f t="array" ref="I173">Common_InputFunctions.Utility_DisplayArrayInTable(SourceData_PastureBeef.SourceData_PastureBeef_LiveweightGain_Data(), Table_SourceData_PastureBeef_LiveweightGain[[#Headers],[State]],0)</f>
        <v>0.6</v>
      </c>
      <c r="J173" s="10" cm="1">
        <f t="array" ref="J173">Common_InputFunctions.Utility_DisplayArrayInTable(SourceData_PastureBeef.SourceData_PastureBeef_LiveweightGain_Data(), Table_SourceData_PastureBeef_LiveweightGain[[#Headers],[State]],0)</f>
        <v>0.22</v>
      </c>
      <c r="K173" s="10" cm="1">
        <f t="array" ref="K173">Common_InputFunctions.Utility_DisplayArrayInTable(SourceData_PastureBeef.SourceData_PastureBeef_LiveweightGain_Data(), Table_SourceData_PastureBeef_LiveweightGain[[#Headers],[State]],0)</f>
        <v>-0.55000000000000004</v>
      </c>
      <c r="L173" s="10" cm="1">
        <f t="array" ref="L173">Common_InputFunctions.Utility_DisplayArrayInTable(SourceData_PastureBeef.SourceData_PastureBeef_LiveweightGain_Data(), Table_SourceData_PastureBeef_LiveweightGain[[#Headers],[State]],0)</f>
        <v>0.6</v>
      </c>
      <c r="M173" s="10" cm="1">
        <f t="array" ref="M173">Common_InputFunctions.Utility_DisplayArrayInTable(SourceData_PastureBeef.SourceData_PastureBeef_LiveweightGain_Data(), Table_SourceData_PastureBeef_LiveweightGain[[#Headers],[State]],0)</f>
        <v>0</v>
      </c>
    </row>
    <row r="174" spans="4:13" x14ac:dyDescent="0.25">
      <c r="D174" s="8" t="str" cm="1">
        <f t="array" ref="D174">Common_InputFunctions.Utility_DisplayArrayInTable(SourceData_PastureBeef.SourceData_PastureBeef_LiveweightGain_Data(), Table_SourceData_PastureBeef_LiveweightGain[[#Headers],[State]],0)</f>
        <v>Western Australia</v>
      </c>
      <c r="E174" s="10" t="str" cm="1">
        <f t="array" ref="E174">Common_InputFunctions.Utility_DisplayArrayInTable(SourceData_PastureBeef.SourceData_PastureBeef_LiveweightGain_Data(), Table_SourceData_PastureBeef_LiveweightGain[[#Headers],[State]],0)</f>
        <v>South West</v>
      </c>
      <c r="F174" s="10" t="str" cm="1">
        <f t="array" ref="F174">Common_InputFunctions.Utility_DisplayArrayInTable(SourceData_PastureBeef.SourceData_PastureBeef_LiveweightGain_Data(), Table_SourceData_PastureBeef_LiveweightGain[[#Headers],[State]],0)</f>
        <v>Winter</v>
      </c>
      <c r="G174" s="10" cm="1">
        <f t="array" ref="G174">Common_InputFunctions.Utility_DisplayArrayInTable(SourceData_PastureBeef.SourceData_PastureBeef_LiveweightGain_Data(), Table_SourceData_PastureBeef_LiveweightGain[[#Headers],[State]],0)</f>
        <v>0.99</v>
      </c>
      <c r="H174" s="10" cm="1">
        <f t="array" ref="H174">Common_InputFunctions.Utility_DisplayArrayInTable(SourceData_PastureBeef.SourceData_PastureBeef_LiveweightGain_Data(), Table_SourceData_PastureBeef_LiveweightGain[[#Headers],[State]],0)</f>
        <v>0.22</v>
      </c>
      <c r="I174" s="10" cm="1">
        <f t="array" ref="I174">Common_InputFunctions.Utility_DisplayArrayInTable(SourceData_PastureBeef.SourceData_PastureBeef_LiveweightGain_Data(), Table_SourceData_PastureBeef_LiveweightGain[[#Headers],[State]],0)</f>
        <v>0.77</v>
      </c>
      <c r="J174" s="10" cm="1">
        <f t="array" ref="J174">Common_InputFunctions.Utility_DisplayArrayInTable(SourceData_PastureBeef.SourceData_PastureBeef_LiveweightGain_Data(), Table_SourceData_PastureBeef_LiveweightGain[[#Headers],[State]],0)</f>
        <v>0.11</v>
      </c>
      <c r="K174" s="10" cm="1">
        <f t="array" ref="K174">Common_InputFunctions.Utility_DisplayArrayInTable(SourceData_PastureBeef.SourceData_PastureBeef_LiveweightGain_Data(), Table_SourceData_PastureBeef_LiveweightGain[[#Headers],[State]],0)</f>
        <v>0.11</v>
      </c>
      <c r="L174" s="10" cm="1">
        <f t="array" ref="L174">Common_InputFunctions.Utility_DisplayArrayInTable(SourceData_PastureBeef.SourceData_PastureBeef_LiveweightGain_Data(), Table_SourceData_PastureBeef_LiveweightGain[[#Headers],[State]],0)</f>
        <v>0.77</v>
      </c>
      <c r="M174" s="10" cm="1">
        <f t="array" ref="M174">Common_InputFunctions.Utility_DisplayArrayInTable(SourceData_PastureBeef.SourceData_PastureBeef_LiveweightGain_Data(), Table_SourceData_PastureBeef_LiveweightGain[[#Headers],[State]],0)</f>
        <v>0.44</v>
      </c>
    </row>
    <row r="175" spans="4:13" x14ac:dyDescent="0.25">
      <c r="D175" s="8" t="str" cm="1">
        <f t="array" ref="D175">Common_InputFunctions.Utility_DisplayArrayInTable(SourceData_PastureBeef.SourceData_PastureBeef_LiveweightGain_Data(), Table_SourceData_PastureBeef_LiveweightGain[[#Headers],[State]],0)</f>
        <v>Western Australia</v>
      </c>
      <c r="E175" s="10" t="str" cm="1">
        <f t="array" ref="E175">Common_InputFunctions.Utility_DisplayArrayInTable(SourceData_PastureBeef.SourceData_PastureBeef_LiveweightGain_Data(), Table_SourceData_PastureBeef_LiveweightGain[[#Headers],[State]],0)</f>
        <v>Pilbara</v>
      </c>
      <c r="F175" s="10" t="str" cm="1">
        <f t="array" ref="F175">Common_InputFunctions.Utility_DisplayArrayInTable(SourceData_PastureBeef.SourceData_PastureBeef_LiveweightGain_Data(), Table_SourceData_PastureBeef_LiveweightGain[[#Headers],[State]],0)</f>
        <v>Spring</v>
      </c>
      <c r="G175" s="10" cm="1">
        <f t="array" ref="G175">Common_InputFunctions.Utility_DisplayArrayInTable(SourceData_PastureBeef.SourceData_PastureBeef_LiveweightGain_Data(), Table_SourceData_PastureBeef_LiveweightGain[[#Headers],[State]],0)</f>
        <v>0.7</v>
      </c>
      <c r="H175" s="10" cm="1">
        <f t="array" ref="H175">Common_InputFunctions.Utility_DisplayArrayInTable(SourceData_PastureBeef.SourceData_PastureBeef_LiveweightGain_Data(), Table_SourceData_PastureBeef_LiveweightGain[[#Headers],[State]],0)</f>
        <v>-0.55000000000000004</v>
      </c>
      <c r="I175" s="10" cm="1">
        <f t="array" ref="I175">Common_InputFunctions.Utility_DisplayArrayInTable(SourceData_PastureBeef.SourceData_PastureBeef_LiveweightGain_Data(), Table_SourceData_PastureBeef_LiveweightGain[[#Headers],[State]],0)</f>
        <v>0.7</v>
      </c>
      <c r="J175" s="10" cm="1">
        <f t="array" ref="J175">Common_InputFunctions.Utility_DisplayArrayInTable(SourceData_PastureBeef.SourceData_PastureBeef_LiveweightGain_Data(), Table_SourceData_PastureBeef_LiveweightGain[[#Headers],[State]],0)</f>
        <v>0.22</v>
      </c>
      <c r="K175" s="10" cm="1">
        <f t="array" ref="K175">Common_InputFunctions.Utility_DisplayArrayInTable(SourceData_PastureBeef.SourceData_PastureBeef_LiveweightGain_Data(), Table_SourceData_PastureBeef_LiveweightGain[[#Headers],[State]],0)</f>
        <v>-0.22</v>
      </c>
      <c r="L175" s="10" cm="1">
        <f t="array" ref="L175">Common_InputFunctions.Utility_DisplayArrayInTable(SourceData_PastureBeef.SourceData_PastureBeef_LiveweightGain_Data(), Table_SourceData_PastureBeef_LiveweightGain[[#Headers],[State]],0)</f>
        <v>0.7</v>
      </c>
      <c r="M175" s="10" cm="1">
        <f t="array" ref="M175">Common_InputFunctions.Utility_DisplayArrayInTable(SourceData_PastureBeef.SourceData_PastureBeef_LiveweightGain_Data(), Table_SourceData_PastureBeef_LiveweightGain[[#Headers],[State]],0)</f>
        <v>-0.22</v>
      </c>
    </row>
    <row r="176" spans="4:13" x14ac:dyDescent="0.25">
      <c r="D176" s="8" t="str" cm="1">
        <f t="array" ref="D176">Common_InputFunctions.Utility_DisplayArrayInTable(SourceData_PastureBeef.SourceData_PastureBeef_LiveweightGain_Data(), Table_SourceData_PastureBeef_LiveweightGain[[#Headers],[State]],0)</f>
        <v>Western Australia</v>
      </c>
      <c r="E176" s="10" t="str" cm="1">
        <f t="array" ref="E176">Common_InputFunctions.Utility_DisplayArrayInTable(SourceData_PastureBeef.SourceData_PastureBeef_LiveweightGain_Data(), Table_SourceData_PastureBeef_LiveweightGain[[#Headers],[State]],0)</f>
        <v>Pilbara</v>
      </c>
      <c r="F176" s="10" t="str" cm="1">
        <f t="array" ref="F176">Common_InputFunctions.Utility_DisplayArrayInTable(SourceData_PastureBeef.SourceData_PastureBeef_LiveweightGain_Data(), Table_SourceData_PastureBeef_LiveweightGain[[#Headers],[State]],0)</f>
        <v>Summer</v>
      </c>
      <c r="G176" s="10" cm="1">
        <f t="array" ref="G176">Common_InputFunctions.Utility_DisplayArrayInTable(SourceData_PastureBeef.SourceData_PastureBeef_LiveweightGain_Data(), Table_SourceData_PastureBeef_LiveweightGain[[#Headers],[State]],0)</f>
        <v>0.77</v>
      </c>
      <c r="H176" s="10" cm="1">
        <f t="array" ref="H176">Common_InputFunctions.Utility_DisplayArrayInTable(SourceData_PastureBeef.SourceData_PastureBeef_LiveweightGain_Data(), Table_SourceData_PastureBeef_LiveweightGain[[#Headers],[State]],0)</f>
        <v>0.55000000000000004</v>
      </c>
      <c r="I176" s="10" cm="1">
        <f t="array" ref="I176">Common_InputFunctions.Utility_DisplayArrayInTable(SourceData_PastureBeef.SourceData_PastureBeef_LiveweightGain_Data(), Table_SourceData_PastureBeef_LiveweightGain[[#Headers],[State]],0)</f>
        <v>0.77</v>
      </c>
      <c r="J176" s="10" cm="1">
        <f t="array" ref="J176">Common_InputFunctions.Utility_DisplayArrayInTable(SourceData_PastureBeef.SourceData_PastureBeef_LiveweightGain_Data(), Table_SourceData_PastureBeef_LiveweightGain[[#Headers],[State]],0)</f>
        <v>0.66</v>
      </c>
      <c r="K176" s="10" cm="1">
        <f t="array" ref="K176">Common_InputFunctions.Utility_DisplayArrayInTable(SourceData_PastureBeef.SourceData_PastureBeef_LiveweightGain_Data(), Table_SourceData_PastureBeef_LiveweightGain[[#Headers],[State]],0)</f>
        <v>0.55000000000000004</v>
      </c>
      <c r="L176" s="10" cm="1">
        <f t="array" ref="L176">Common_InputFunctions.Utility_DisplayArrayInTable(SourceData_PastureBeef.SourceData_PastureBeef_LiveweightGain_Data(), Table_SourceData_PastureBeef_LiveweightGain[[#Headers],[State]],0)</f>
        <v>0.77</v>
      </c>
      <c r="M176" s="10" cm="1">
        <f t="array" ref="M176">Common_InputFunctions.Utility_DisplayArrayInTable(SourceData_PastureBeef.SourceData_PastureBeef_LiveweightGain_Data(), Table_SourceData_PastureBeef_LiveweightGain[[#Headers],[State]],0)</f>
        <v>0.33</v>
      </c>
    </row>
    <row r="177" spans="4:16" x14ac:dyDescent="0.25">
      <c r="D177" s="8" t="str" cm="1">
        <f t="array" ref="D177">Common_InputFunctions.Utility_DisplayArrayInTable(SourceData_PastureBeef.SourceData_PastureBeef_LiveweightGain_Data(), Table_SourceData_PastureBeef_LiveweightGain[[#Headers],[State]],0)</f>
        <v>Western Australia</v>
      </c>
      <c r="E177" s="10" t="str" cm="1">
        <f t="array" ref="E177">Common_InputFunctions.Utility_DisplayArrayInTable(SourceData_PastureBeef.SourceData_PastureBeef_LiveweightGain_Data(), Table_SourceData_PastureBeef_LiveweightGain[[#Headers],[State]],0)</f>
        <v>Pilbara</v>
      </c>
      <c r="F177" s="10" t="str" cm="1">
        <f t="array" ref="F177">Common_InputFunctions.Utility_DisplayArrayInTable(SourceData_PastureBeef.SourceData_PastureBeef_LiveweightGain_Data(), Table_SourceData_PastureBeef_LiveweightGain[[#Headers],[State]],0)</f>
        <v>Autumn</v>
      </c>
      <c r="G177" s="10" cm="1">
        <f t="array" ref="G177">Common_InputFunctions.Utility_DisplayArrayInTable(SourceData_PastureBeef.SourceData_PastureBeef_LiveweightGain_Data(), Table_SourceData_PastureBeef_LiveweightGain[[#Headers],[State]],0)</f>
        <v>0.88</v>
      </c>
      <c r="H177" s="10" cm="1">
        <f t="array" ref="H177">Common_InputFunctions.Utility_DisplayArrayInTable(SourceData_PastureBeef.SourceData_PastureBeef_LiveweightGain_Data(), Table_SourceData_PastureBeef_LiveweightGain[[#Headers],[State]],0)</f>
        <v>0.55000000000000004</v>
      </c>
      <c r="I177" s="10" cm="1">
        <f t="array" ref="I177">Common_InputFunctions.Utility_DisplayArrayInTable(SourceData_PastureBeef.SourceData_PastureBeef_LiveweightGain_Data(), Table_SourceData_PastureBeef_LiveweightGain[[#Headers],[State]],0)</f>
        <v>0.88</v>
      </c>
      <c r="J177" s="10" cm="1">
        <f t="array" ref="J177">Common_InputFunctions.Utility_DisplayArrayInTable(SourceData_PastureBeef.SourceData_PastureBeef_LiveweightGain_Data(), Table_SourceData_PastureBeef_LiveweightGain[[#Headers],[State]],0)</f>
        <v>0.22</v>
      </c>
      <c r="K177" s="10" cm="1">
        <f t="array" ref="K177">Common_InputFunctions.Utility_DisplayArrayInTable(SourceData_PastureBeef.SourceData_PastureBeef_LiveweightGain_Data(), Table_SourceData_PastureBeef_LiveweightGain[[#Headers],[State]],0)</f>
        <v>0.22</v>
      </c>
      <c r="L177" s="10" cm="1">
        <f t="array" ref="L177">Common_InputFunctions.Utility_DisplayArrayInTable(SourceData_PastureBeef.SourceData_PastureBeef_LiveweightGain_Data(), Table_SourceData_PastureBeef_LiveweightGain[[#Headers],[State]],0)</f>
        <v>0.88</v>
      </c>
      <c r="M177" s="10" cm="1">
        <f t="array" ref="M177">Common_InputFunctions.Utility_DisplayArrayInTable(SourceData_PastureBeef.SourceData_PastureBeef_LiveweightGain_Data(), Table_SourceData_PastureBeef_LiveweightGain[[#Headers],[State]],0)</f>
        <v>0.22</v>
      </c>
    </row>
    <row r="178" spans="4:16" x14ac:dyDescent="0.25">
      <c r="D178" s="8" t="str" cm="1">
        <f t="array" ref="D178">Common_InputFunctions.Utility_DisplayArrayInTable(SourceData_PastureBeef.SourceData_PastureBeef_LiveweightGain_Data(), Table_SourceData_PastureBeef_LiveweightGain[[#Headers],[State]],0)</f>
        <v>Western Australia</v>
      </c>
      <c r="E178" s="10" t="str" cm="1">
        <f t="array" ref="E178">Common_InputFunctions.Utility_DisplayArrayInTable(SourceData_PastureBeef.SourceData_PastureBeef_LiveweightGain_Data(), Table_SourceData_PastureBeef_LiveweightGain[[#Headers],[State]],0)</f>
        <v>Pilbara</v>
      </c>
      <c r="F178" s="10" t="str" cm="1">
        <f t="array" ref="F178">Common_InputFunctions.Utility_DisplayArrayInTable(SourceData_PastureBeef.SourceData_PastureBeef_LiveweightGain_Data(), Table_SourceData_PastureBeef_LiveweightGain[[#Headers],[State]],0)</f>
        <v>Winter</v>
      </c>
      <c r="G178" s="10" cm="1">
        <f t="array" ref="G178">Common_InputFunctions.Utility_DisplayArrayInTable(SourceData_PastureBeef.SourceData_PastureBeef_LiveweightGain_Data(), Table_SourceData_PastureBeef_LiveweightGain[[#Headers],[State]],0)</f>
        <v>0.22</v>
      </c>
      <c r="H178" s="10" cm="1">
        <f t="array" ref="H178">Common_InputFunctions.Utility_DisplayArrayInTable(SourceData_PastureBeef.SourceData_PastureBeef_LiveweightGain_Data(), Table_SourceData_PastureBeef_LiveweightGain[[#Headers],[State]],0)</f>
        <v>-0.55000000000000004</v>
      </c>
      <c r="I178" s="10" cm="1">
        <f t="array" ref="I178">Common_InputFunctions.Utility_DisplayArrayInTable(SourceData_PastureBeef.SourceData_PastureBeef_LiveweightGain_Data(), Table_SourceData_PastureBeef_LiveweightGain[[#Headers],[State]],0)</f>
        <v>0.22</v>
      </c>
      <c r="J178" s="10" cm="1">
        <f t="array" ref="J178">Common_InputFunctions.Utility_DisplayArrayInTable(SourceData_PastureBeef.SourceData_PastureBeef_LiveweightGain_Data(), Table_SourceData_PastureBeef_LiveweightGain[[#Headers],[State]],0)</f>
        <v>0.11</v>
      </c>
      <c r="K178" s="10" cm="1">
        <f t="array" ref="K178">Common_InputFunctions.Utility_DisplayArrayInTable(SourceData_PastureBeef.SourceData_PastureBeef_LiveweightGain_Data(), Table_SourceData_PastureBeef_LiveweightGain[[#Headers],[State]],0)</f>
        <v>-0.22</v>
      </c>
      <c r="L178" s="10" cm="1">
        <f t="array" ref="L178">Common_InputFunctions.Utility_DisplayArrayInTable(SourceData_PastureBeef.SourceData_PastureBeef_LiveweightGain_Data(), Table_SourceData_PastureBeef_LiveweightGain[[#Headers],[State]],0)</f>
        <v>0.22</v>
      </c>
      <c r="M178" s="10" cm="1">
        <f t="array" ref="M178">Common_InputFunctions.Utility_DisplayArrayInTable(SourceData_PastureBeef.SourceData_PastureBeef_LiveweightGain_Data(), Table_SourceData_PastureBeef_LiveweightGain[[#Headers],[State]],0)</f>
        <v>-0.33</v>
      </c>
    </row>
    <row r="179" spans="4:16" x14ac:dyDescent="0.25">
      <c r="D179" s="8" t="str" cm="1">
        <f t="array" ref="D179">Common_InputFunctions.Utility_DisplayArrayInTable(SourceData_PastureBeef.SourceData_PastureBeef_LiveweightGain_Data(), Table_SourceData_PastureBeef_LiveweightGain[[#Headers],[State]],0)</f>
        <v>Western Australia</v>
      </c>
      <c r="E179" s="10" t="str" cm="1">
        <f t="array" ref="E179">Common_InputFunctions.Utility_DisplayArrayInTable(SourceData_PastureBeef.SourceData_PastureBeef_LiveweightGain_Data(), Table_SourceData_PastureBeef_LiveweightGain[[#Headers],[State]],0)</f>
        <v>Kimberley</v>
      </c>
      <c r="F179" s="10" t="str" cm="1">
        <f t="array" ref="F179">Common_InputFunctions.Utility_DisplayArrayInTable(SourceData_PastureBeef.SourceData_PastureBeef_LiveweightGain_Data(), Table_SourceData_PastureBeef_LiveweightGain[[#Headers],[State]],0)</f>
        <v>Spring</v>
      </c>
      <c r="G179" s="10" cm="1">
        <f t="array" ref="G179">Common_InputFunctions.Utility_DisplayArrayInTable(SourceData_PastureBeef.SourceData_PastureBeef_LiveweightGain_Data(), Table_SourceData_PastureBeef_LiveweightGain[[#Headers],[State]],0)</f>
        <v>0.22</v>
      </c>
      <c r="H179" s="10" cm="1">
        <f t="array" ref="H179">Common_InputFunctions.Utility_DisplayArrayInTable(SourceData_PastureBeef.SourceData_PastureBeef_LiveweightGain_Data(), Table_SourceData_PastureBeef_LiveweightGain[[#Headers],[State]],0)</f>
        <v>-0.55000000000000004</v>
      </c>
      <c r="I179" s="10" cm="1">
        <f t="array" ref="I179">Common_InputFunctions.Utility_DisplayArrayInTable(SourceData_PastureBeef.SourceData_PastureBeef_LiveweightGain_Data(), Table_SourceData_PastureBeef_LiveweightGain[[#Headers],[State]],0)</f>
        <v>0.33</v>
      </c>
      <c r="J179" s="10" cm="1">
        <f t="array" ref="J179">Common_InputFunctions.Utility_DisplayArrayInTable(SourceData_PastureBeef.SourceData_PastureBeef_LiveweightGain_Data(), Table_SourceData_PastureBeef_LiveweightGain[[#Headers],[State]],0)</f>
        <v>0.22</v>
      </c>
      <c r="K179" s="10" cm="1">
        <f t="array" ref="K179">Common_InputFunctions.Utility_DisplayArrayInTable(SourceData_PastureBeef.SourceData_PastureBeef_LiveweightGain_Data(), Table_SourceData_PastureBeef_LiveweightGain[[#Headers],[State]],0)</f>
        <v>-0.33</v>
      </c>
      <c r="L179" s="10" cm="1">
        <f t="array" ref="L179">Common_InputFunctions.Utility_DisplayArrayInTable(SourceData_PastureBeef.SourceData_PastureBeef_LiveweightGain_Data(), Table_SourceData_PastureBeef_LiveweightGain[[#Headers],[State]],0)</f>
        <v>0.22</v>
      </c>
      <c r="M179" s="10" cm="1">
        <f t="array" ref="M179">Common_InputFunctions.Utility_DisplayArrayInTable(SourceData_PastureBeef.SourceData_PastureBeef_LiveweightGain_Data(), Table_SourceData_PastureBeef_LiveweightGain[[#Headers],[State]],0)</f>
        <v>-0.55000000000000004</v>
      </c>
    </row>
    <row r="180" spans="4:16" x14ac:dyDescent="0.25">
      <c r="D180" s="8" t="str" cm="1">
        <f t="array" ref="D180">Common_InputFunctions.Utility_DisplayArrayInTable(SourceData_PastureBeef.SourceData_PastureBeef_LiveweightGain_Data(), Table_SourceData_PastureBeef_LiveweightGain[[#Headers],[State]],0)</f>
        <v>Western Australia</v>
      </c>
      <c r="E180" s="10" t="str" cm="1">
        <f t="array" ref="E180">Common_InputFunctions.Utility_DisplayArrayInTable(SourceData_PastureBeef.SourceData_PastureBeef_LiveweightGain_Data(), Table_SourceData_PastureBeef_LiveweightGain[[#Headers],[State]],0)</f>
        <v>Kimberley</v>
      </c>
      <c r="F180" s="10" t="str" cm="1">
        <f t="array" ref="F180">Common_InputFunctions.Utility_DisplayArrayInTable(SourceData_PastureBeef.SourceData_PastureBeef_LiveweightGain_Data(), Table_SourceData_PastureBeef_LiveweightGain[[#Headers],[State]],0)</f>
        <v>Summer</v>
      </c>
      <c r="G180" s="10" cm="1">
        <f t="array" ref="G180">Common_InputFunctions.Utility_DisplayArrayInTable(SourceData_PastureBeef.SourceData_PastureBeef_LiveweightGain_Data(), Table_SourceData_PastureBeef_LiveweightGain[[#Headers],[State]],0)</f>
        <v>0.8</v>
      </c>
      <c r="H180" s="10" cm="1">
        <f t="array" ref="H180">Common_InputFunctions.Utility_DisplayArrayInTable(SourceData_PastureBeef.SourceData_PastureBeef_LiveweightGain_Data(), Table_SourceData_PastureBeef_LiveweightGain[[#Headers],[State]],0)</f>
        <v>0.55000000000000004</v>
      </c>
      <c r="I180" s="10" cm="1">
        <f t="array" ref="I180">Common_InputFunctions.Utility_DisplayArrayInTable(SourceData_PastureBeef.SourceData_PastureBeef_LiveweightGain_Data(), Table_SourceData_PastureBeef_LiveweightGain[[#Headers],[State]],0)</f>
        <v>0.7</v>
      </c>
      <c r="J180" s="10" cm="1">
        <f t="array" ref="J180">Common_InputFunctions.Utility_DisplayArrayInTable(SourceData_PastureBeef.SourceData_PastureBeef_LiveweightGain_Data(), Table_SourceData_PastureBeef_LiveweightGain[[#Headers],[State]],0)</f>
        <v>0.44</v>
      </c>
      <c r="K180" s="10" cm="1">
        <f t="array" ref="K180">Common_InputFunctions.Utility_DisplayArrayInTable(SourceData_PastureBeef.SourceData_PastureBeef_LiveweightGain_Data(), Table_SourceData_PastureBeef_LiveweightGain[[#Headers],[State]],0)</f>
        <v>0.66</v>
      </c>
      <c r="L180" s="10" cm="1">
        <f t="array" ref="L180">Common_InputFunctions.Utility_DisplayArrayInTable(SourceData_PastureBeef.SourceData_PastureBeef_LiveweightGain_Data(), Table_SourceData_PastureBeef_LiveweightGain[[#Headers],[State]],0)</f>
        <v>0.8</v>
      </c>
      <c r="M180" s="10" cm="1">
        <f t="array" ref="M180">Common_InputFunctions.Utility_DisplayArrayInTable(SourceData_PastureBeef.SourceData_PastureBeef_LiveweightGain_Data(), Table_SourceData_PastureBeef_LiveweightGain[[#Headers],[State]],0)</f>
        <v>0.55000000000000004</v>
      </c>
    </row>
    <row r="181" spans="4:16" x14ac:dyDescent="0.25">
      <c r="D181" s="8" t="str" cm="1">
        <f t="array" ref="D181">Common_InputFunctions.Utility_DisplayArrayInTable(SourceData_PastureBeef.SourceData_PastureBeef_LiveweightGain_Data(), Table_SourceData_PastureBeef_LiveweightGain[[#Headers],[State]],0)</f>
        <v>Western Australia</v>
      </c>
      <c r="E181" s="10" t="str" cm="1">
        <f t="array" ref="E181">Common_InputFunctions.Utility_DisplayArrayInTable(SourceData_PastureBeef.SourceData_PastureBeef_LiveweightGain_Data(), Table_SourceData_PastureBeef_LiveweightGain[[#Headers],[State]],0)</f>
        <v>Kimberley</v>
      </c>
      <c r="F181" s="10" t="str" cm="1">
        <f t="array" ref="F181">Common_InputFunctions.Utility_DisplayArrayInTable(SourceData_PastureBeef.SourceData_PastureBeef_LiveweightGain_Data(), Table_SourceData_PastureBeef_LiveweightGain[[#Headers],[State]],0)</f>
        <v>Autumn</v>
      </c>
      <c r="G181" s="10" cm="1">
        <f t="array" ref="G181">Common_InputFunctions.Utility_DisplayArrayInTable(SourceData_PastureBeef.SourceData_PastureBeef_LiveweightGain_Data(), Table_SourceData_PastureBeef_LiveweightGain[[#Headers],[State]],0)</f>
        <v>0.66</v>
      </c>
      <c r="H181" s="10" cm="1">
        <f t="array" ref="H181">Common_InputFunctions.Utility_DisplayArrayInTable(SourceData_PastureBeef.SourceData_PastureBeef_LiveweightGain_Data(), Table_SourceData_PastureBeef_LiveweightGain[[#Headers],[State]],0)</f>
        <v>0.55000000000000004</v>
      </c>
      <c r="I181" s="10" cm="1">
        <f t="array" ref="I181">Common_InputFunctions.Utility_DisplayArrayInTable(SourceData_PastureBeef.SourceData_PastureBeef_LiveweightGain_Data(), Table_SourceData_PastureBeef_LiveweightGain[[#Headers],[State]],0)</f>
        <v>0.55000000000000004</v>
      </c>
      <c r="J181" s="10" cm="1">
        <f t="array" ref="J181">Common_InputFunctions.Utility_DisplayArrayInTable(SourceData_PastureBeef.SourceData_PastureBeef_LiveweightGain_Data(), Table_SourceData_PastureBeef_LiveweightGain[[#Headers],[State]],0)</f>
        <v>0.55000000000000004</v>
      </c>
      <c r="K181" s="10" cm="1">
        <f t="array" ref="K181">Common_InputFunctions.Utility_DisplayArrayInTable(SourceData_PastureBeef.SourceData_PastureBeef_LiveweightGain_Data(), Table_SourceData_PastureBeef_LiveweightGain[[#Headers],[State]],0)</f>
        <v>0.11</v>
      </c>
      <c r="L181" s="10" cm="1">
        <f t="array" ref="L181">Common_InputFunctions.Utility_DisplayArrayInTable(SourceData_PastureBeef.SourceData_PastureBeef_LiveweightGain_Data(), Table_SourceData_PastureBeef_LiveweightGain[[#Headers],[State]],0)</f>
        <v>0.66</v>
      </c>
      <c r="M181" s="10" cm="1">
        <f t="array" ref="M181">Common_InputFunctions.Utility_DisplayArrayInTable(SourceData_PastureBeef.SourceData_PastureBeef_LiveweightGain_Data(), Table_SourceData_PastureBeef_LiveweightGain[[#Headers],[State]],0)</f>
        <v>0.55000000000000004</v>
      </c>
    </row>
    <row r="182" spans="4:16" x14ac:dyDescent="0.25">
      <c r="D182" s="8" t="str" cm="1">
        <f t="array" ref="D182">Common_InputFunctions.Utility_DisplayArrayInTable(SourceData_PastureBeef.SourceData_PastureBeef_LiveweightGain_Data(), Table_SourceData_PastureBeef_LiveweightGain[[#Headers],[State]],0)</f>
        <v>Western Australia</v>
      </c>
      <c r="E182" s="10" t="str" cm="1">
        <f t="array" ref="E182">Common_InputFunctions.Utility_DisplayArrayInTable(SourceData_PastureBeef.SourceData_PastureBeef_LiveweightGain_Data(), Table_SourceData_PastureBeef_LiveweightGain[[#Headers],[State]],0)</f>
        <v>Kimberley</v>
      </c>
      <c r="F182" s="10" t="str" cm="1">
        <f t="array" ref="F182">Common_InputFunctions.Utility_DisplayArrayInTable(SourceData_PastureBeef.SourceData_PastureBeef_LiveweightGain_Data(), Table_SourceData_PastureBeef_LiveweightGain[[#Headers],[State]],0)</f>
        <v>Winter</v>
      </c>
      <c r="G182" s="10" cm="1">
        <f t="array" ref="G182">Common_InputFunctions.Utility_DisplayArrayInTable(SourceData_PastureBeef.SourceData_PastureBeef_LiveweightGain_Data(), Table_SourceData_PastureBeef_LiveweightGain[[#Headers],[State]],0)</f>
        <v>0.33</v>
      </c>
      <c r="H182" s="10" cm="1">
        <f t="array" ref="H182">Common_InputFunctions.Utility_DisplayArrayInTable(SourceData_PastureBeef.SourceData_PastureBeef_LiveweightGain_Data(), Table_SourceData_PastureBeef_LiveweightGain[[#Headers],[State]],0)</f>
        <v>-0.55000000000000004</v>
      </c>
      <c r="I182" s="10" cm="1">
        <f t="array" ref="I182">Common_InputFunctions.Utility_DisplayArrayInTable(SourceData_PastureBeef.SourceData_PastureBeef_LiveweightGain_Data(), Table_SourceData_PastureBeef_LiveweightGain[[#Headers],[State]],0)</f>
        <v>0.11</v>
      </c>
      <c r="J182" s="10" cm="1">
        <f t="array" ref="J182">Common_InputFunctions.Utility_DisplayArrayInTable(SourceData_PastureBeef.SourceData_PastureBeef_LiveweightGain_Data(), Table_SourceData_PastureBeef_LiveweightGain[[#Headers],[State]],0)</f>
        <v>0.11</v>
      </c>
      <c r="K182" s="10" cm="1">
        <f t="array" ref="K182">Common_InputFunctions.Utility_DisplayArrayInTable(SourceData_PastureBeef.SourceData_PastureBeef_LiveweightGain_Data(), Table_SourceData_PastureBeef_LiveweightGain[[#Headers],[State]],0)</f>
        <v>-0.44</v>
      </c>
      <c r="L182" s="10" cm="1">
        <f t="array" ref="L182">Common_InputFunctions.Utility_DisplayArrayInTable(SourceData_PastureBeef.SourceData_PastureBeef_LiveweightGain_Data(), Table_SourceData_PastureBeef_LiveweightGain[[#Headers],[State]],0)</f>
        <v>0.33</v>
      </c>
      <c r="M182" s="10" cm="1">
        <f t="array" ref="M182">Common_InputFunctions.Utility_DisplayArrayInTable(SourceData_PastureBeef.SourceData_PastureBeef_LiveweightGain_Data(), Table_SourceData_PastureBeef_LiveweightGain[[#Headers],[State]],0)</f>
        <v>-0.55000000000000004</v>
      </c>
    </row>
    <row r="183" spans="4:16" x14ac:dyDescent="0.25">
      <c r="M183" s="8"/>
    </row>
    <row r="184" spans="4:16" x14ac:dyDescent="0.25">
      <c r="M184" s="8"/>
    </row>
    <row r="185" spans="4:16" ht="23.25" x14ac:dyDescent="0.25">
      <c r="D185" s="9" t="str" cm="1">
        <f t="array" ref="D185">SourceData_PastureBeef.SourceData_PastureBeef_LiveweightGainNTQLD_Title()</f>
        <v>Beef pasture cattle - Liveweight gain (kg) (LWGjkl) for NT and QLD</v>
      </c>
      <c r="M185" s="8"/>
    </row>
    <row r="186" spans="4:16" x14ac:dyDescent="0.25">
      <c r="D186" s="11" t="str" cm="1">
        <f t="array" ref="D186">SourceData_PastureBeef.SourceData_PastureBeef_LiveweightGainNTQLD_Source()</f>
        <v>VEERG 2026: Table A.1.2.4</v>
      </c>
      <c r="M186" s="8"/>
    </row>
    <row r="187" spans="4:16" x14ac:dyDescent="0.25">
      <c r="D187" s="8" t="str" cm="1">
        <f t="array" ref="D187">SourceData_PastureBeef.SourceData_PastureBeef_LiveweightGainNTQLD_Variable()</f>
        <v>LWGjkl</v>
      </c>
      <c r="M187" s="8"/>
    </row>
    <row r="188" spans="4:16" x14ac:dyDescent="0.25">
      <c r="D188" s="13" t="str" cm="1">
        <f t="array" ref="D188">SourceData_PastureBeef.SourceData_PastureBeef_LiveweightGainNTQLD_Unit()</f>
        <v>kg</v>
      </c>
      <c r="M188" s="8"/>
    </row>
    <row r="189" spans="4:16" x14ac:dyDescent="0.25">
      <c r="D189" s="10" t="s">
        <v>289</v>
      </c>
      <c r="E189" s="10" t="s">
        <v>414</v>
      </c>
      <c r="F189" s="10" t="s">
        <v>47</v>
      </c>
      <c r="G189" s="10" t="s">
        <v>503</v>
      </c>
      <c r="H189" s="10" t="s">
        <v>504</v>
      </c>
      <c r="I189" s="10" t="s">
        <v>527</v>
      </c>
      <c r="J189" s="10" t="s">
        <v>497</v>
      </c>
      <c r="K189" s="10" t="s">
        <v>530</v>
      </c>
      <c r="L189" s="10" t="s">
        <v>531</v>
      </c>
      <c r="M189" s="10" t="s">
        <v>509</v>
      </c>
      <c r="N189" s="10" t="s">
        <v>510</v>
      </c>
      <c r="O189" s="10" t="s">
        <v>511</v>
      </c>
      <c r="P189" s="10" t="s">
        <v>512</v>
      </c>
    </row>
    <row r="190" spans="4:16" x14ac:dyDescent="0.25">
      <c r="D190" s="10" t="str" cm="1">
        <f t="array" ref="D190">Common_InputFunctions.Utility_DisplayArrayInTable(SourceData_PastureBeef.SourceData_PastureBeef_LiveweightGainNTQLD_Data(),Table_SourceData_PastureBeef_LiveweightGainNTQLD[[#Headers],[State]],0)</f>
        <v>Northern Territory</v>
      </c>
      <c r="E190" s="10" t="str" cm="1">
        <f t="array" ref="E190">Common_InputFunctions.Utility_DisplayArrayInTable(SourceData_PastureBeef.SourceData_PastureBeef_LiveweightGainNTQLD_Data(),Table_SourceData_PastureBeef_LiveweightGainNTQLD[[#Headers],[State]],0)</f>
        <v>Alice Springs</v>
      </c>
      <c r="F190" s="10" t="str" cm="1">
        <f t="array" ref="F190">Common_InputFunctions.Utility_DisplayArrayInTable(SourceData_PastureBeef.SourceData_PastureBeef_LiveweightGainNTQLD_Data(),Table_SourceData_PastureBeef_LiveweightGainNTQLD[[#Headers],[State]],0)</f>
        <v>Spring</v>
      </c>
      <c r="G190" s="10" cm="1">
        <f t="array" ref="G190">Common_InputFunctions.Utility_DisplayArrayInTable(SourceData_PastureBeef.SourceData_PastureBeef_LiveweightGainNTQLD_Data(),Table_SourceData_PastureBeef_LiveweightGainNTQLD[[#Headers],[State]],0)</f>
        <v>0.22</v>
      </c>
      <c r="H190" s="10" cm="1">
        <f t="array" ref="H190">Common_InputFunctions.Utility_DisplayArrayInTable(SourceData_PastureBeef.SourceData_PastureBeef_LiveweightGainNTQLD_Data(),Table_SourceData_PastureBeef_LiveweightGainNTQLD[[#Headers],[State]],0)</f>
        <v>-0.23</v>
      </c>
      <c r="I190" s="10" cm="1">
        <f t="array" ref="I190">Common_InputFunctions.Utility_DisplayArrayInTable(SourceData_PastureBeef.SourceData_PastureBeef_LiveweightGainNTQLD_Data(),Table_SourceData_PastureBeef_LiveweightGainNTQLD[[#Headers],[State]],0)</f>
        <v>0.25</v>
      </c>
      <c r="J190" s="10" cm="1">
        <f t="array" ref="J190">Common_InputFunctions.Utility_DisplayArrayInTable(SourceData_PastureBeef.SourceData_PastureBeef_LiveweightGainNTQLD_Data(),Table_SourceData_PastureBeef_LiveweightGainNTQLD[[#Headers],[State]],0)</f>
        <v>0.17</v>
      </c>
      <c r="K190" s="10" cm="1">
        <f t="array" ref="K190">Common_InputFunctions.Utility_DisplayArrayInTable(SourceData_PastureBeef.SourceData_PastureBeef_LiveweightGainNTQLD_Data(),Table_SourceData_PastureBeef_LiveweightGainNTQLD[[#Headers],[State]],0)</f>
        <v>0.18</v>
      </c>
      <c r="L190" s="10" cm="1">
        <f t="array" ref="L190">Common_InputFunctions.Utility_DisplayArrayInTable(SourceData_PastureBeef.SourceData_PastureBeef_LiveweightGainNTQLD_Data(),Table_SourceData_PastureBeef_LiveweightGainNTQLD[[#Headers],[State]],0)</f>
        <v>-0.28000000000000003</v>
      </c>
      <c r="M190" s="10" cm="1">
        <f t="array" ref="M190">Common_InputFunctions.Utility_DisplayArrayInTable(SourceData_PastureBeef.SourceData_PastureBeef_LiveweightGainNTQLD_Data(),Table_SourceData_PastureBeef_LiveweightGainNTQLD[[#Headers],[State]],0)</f>
        <v>0.32</v>
      </c>
      <c r="N190" s="10" cm="1">
        <f t="array" ref="N190">Common_InputFunctions.Utility_DisplayArrayInTable(SourceData_PastureBeef.SourceData_PastureBeef_LiveweightGainNTQLD_Data(),Table_SourceData_PastureBeef_LiveweightGainNTQLD[[#Headers],[State]],0)</f>
        <v>0.24</v>
      </c>
      <c r="O190" s="10" cm="1">
        <f t="array" ref="O190">Common_InputFunctions.Utility_DisplayArrayInTable(SourceData_PastureBeef.SourceData_PastureBeef_LiveweightGainNTQLD_Data(),Table_SourceData_PastureBeef_LiveweightGainNTQLD[[#Headers],[State]],0)</f>
        <v>0.25</v>
      </c>
      <c r="P190" s="10" cm="1">
        <f t="array" ref="P190">Common_InputFunctions.Utility_DisplayArrayInTable(SourceData_PastureBeef.SourceData_PastureBeef_LiveweightGainNTQLD_Data(),Table_SourceData_PastureBeef_LiveweightGainNTQLD[[#Headers],[State]],0)</f>
        <v>-0.05</v>
      </c>
    </row>
    <row r="191" spans="4:16" x14ac:dyDescent="0.25">
      <c r="D191" s="8" t="str" cm="1">
        <f t="array" ref="D191">Common_InputFunctions.Utility_DisplayArrayInTable(SourceData_PastureBeef.SourceData_PastureBeef_LiveweightGainNTQLD_Data(),Table_SourceData_PastureBeef_LiveweightGainNTQLD[[#Headers],[State]],0)</f>
        <v>Northern Territory</v>
      </c>
      <c r="E191" s="10" t="str" cm="1">
        <f t="array" ref="E191">Common_InputFunctions.Utility_DisplayArrayInTable(SourceData_PastureBeef.SourceData_PastureBeef_LiveweightGainNTQLD_Data(),Table_SourceData_PastureBeef_LiveweightGainNTQLD[[#Headers],[State]],0)</f>
        <v>Alice Springs</v>
      </c>
      <c r="F191" s="10" t="str" cm="1">
        <f t="array" ref="F191">Common_InputFunctions.Utility_DisplayArrayInTable(SourceData_PastureBeef.SourceData_PastureBeef_LiveweightGainNTQLD_Data(),Table_SourceData_PastureBeef_LiveweightGainNTQLD[[#Headers],[State]],0)</f>
        <v>Summer</v>
      </c>
      <c r="G191" s="10" cm="1">
        <f t="array" ref="G191">Common_InputFunctions.Utility_DisplayArrayInTable(SourceData_PastureBeef.SourceData_PastureBeef_LiveweightGainNTQLD_Data(),Table_SourceData_PastureBeef_LiveweightGainNTQLD[[#Headers],[State]],0)</f>
        <v>0.66</v>
      </c>
      <c r="H191" s="10" cm="1">
        <f t="array" ref="H191">Common_InputFunctions.Utility_DisplayArrayInTable(SourceData_PastureBeef.SourceData_PastureBeef_LiveweightGainNTQLD_Data(),Table_SourceData_PastureBeef_LiveweightGainNTQLD[[#Headers],[State]],0)</f>
        <v>0.2</v>
      </c>
      <c r="I191" s="10" cm="1">
        <f t="array" ref="I191">Common_InputFunctions.Utility_DisplayArrayInTable(SourceData_PastureBeef.SourceData_PastureBeef_LiveweightGainNTQLD_Data(),Table_SourceData_PastureBeef_LiveweightGainNTQLD[[#Headers],[State]],0)</f>
        <v>0.62</v>
      </c>
      <c r="J191" s="10" cm="1">
        <f t="array" ref="J191">Common_InputFunctions.Utility_DisplayArrayInTable(SourceData_PastureBeef.SourceData_PastureBeef_LiveweightGainNTQLD_Data(),Table_SourceData_PastureBeef_LiveweightGainNTQLD[[#Headers],[State]],0)</f>
        <v>0.54</v>
      </c>
      <c r="K191" s="10" cm="1">
        <f t="array" ref="K191">Common_InputFunctions.Utility_DisplayArrayInTable(SourceData_PastureBeef.SourceData_PastureBeef_LiveweightGainNTQLD_Data(),Table_SourceData_PastureBeef_LiveweightGainNTQLD[[#Headers],[State]],0)</f>
        <v>0.38</v>
      </c>
      <c r="L191" s="10" cm="1">
        <f t="array" ref="L191">Common_InputFunctions.Utility_DisplayArrayInTable(SourceData_PastureBeef.SourceData_PastureBeef_LiveweightGainNTQLD_Data(),Table_SourceData_PastureBeef_LiveweightGainNTQLD[[#Headers],[State]],0)</f>
        <v>0.27</v>
      </c>
      <c r="M191" s="10" cm="1">
        <f t="array" ref="M191">Common_InputFunctions.Utility_DisplayArrayInTable(SourceData_PastureBeef.SourceData_PastureBeef_LiveweightGainNTQLD_Data(),Table_SourceData_PastureBeef_LiveweightGainNTQLD[[#Headers],[State]],0)</f>
        <v>0.75</v>
      </c>
      <c r="N191" s="10" cm="1">
        <f t="array" ref="N191">Common_InputFunctions.Utility_DisplayArrayInTable(SourceData_PastureBeef.SourceData_PastureBeef_LiveweightGainNTQLD_Data(),Table_SourceData_PastureBeef_LiveweightGainNTQLD[[#Headers],[State]],0)</f>
        <v>0.64</v>
      </c>
      <c r="O191" s="10" cm="1">
        <f t="array" ref="O191">Common_InputFunctions.Utility_DisplayArrayInTable(SourceData_PastureBeef.SourceData_PastureBeef_LiveweightGainNTQLD_Data(),Table_SourceData_PastureBeef_LiveweightGainNTQLD[[#Headers],[State]],0)</f>
        <v>0.55000000000000004</v>
      </c>
      <c r="P191" s="10" cm="1">
        <f t="array" ref="P191">Common_InputFunctions.Utility_DisplayArrayInTable(SourceData_PastureBeef.SourceData_PastureBeef_LiveweightGainNTQLD_Data(),Table_SourceData_PastureBeef_LiveweightGainNTQLD[[#Headers],[State]],0)</f>
        <v>0.48</v>
      </c>
    </row>
    <row r="192" spans="4:16" x14ac:dyDescent="0.25">
      <c r="D192" s="8" t="str" cm="1">
        <f t="array" ref="D192">Common_InputFunctions.Utility_DisplayArrayInTable(SourceData_PastureBeef.SourceData_PastureBeef_LiveweightGainNTQLD_Data(),Table_SourceData_PastureBeef_LiveweightGainNTQLD[[#Headers],[State]],0)</f>
        <v>Northern Territory</v>
      </c>
      <c r="E192" s="10" t="str" cm="1">
        <f t="array" ref="E192">Common_InputFunctions.Utility_DisplayArrayInTable(SourceData_PastureBeef.SourceData_PastureBeef_LiveweightGainNTQLD_Data(),Table_SourceData_PastureBeef_LiveweightGainNTQLD[[#Headers],[State]],0)</f>
        <v>Alice Springs</v>
      </c>
      <c r="F192" s="10" t="str" cm="1">
        <f t="array" ref="F192">Common_InputFunctions.Utility_DisplayArrayInTable(SourceData_PastureBeef.SourceData_PastureBeef_LiveweightGainNTQLD_Data(),Table_SourceData_PastureBeef_LiveweightGainNTQLD[[#Headers],[State]],0)</f>
        <v>Autumn</v>
      </c>
      <c r="G192" s="10" cm="1">
        <f t="array" ref="G192">Common_InputFunctions.Utility_DisplayArrayInTable(SourceData_PastureBeef.SourceData_PastureBeef_LiveweightGainNTQLD_Data(),Table_SourceData_PastureBeef_LiveweightGainNTQLD[[#Headers],[State]],0)</f>
        <v>0.49</v>
      </c>
      <c r="H192" s="10" cm="1">
        <f t="array" ref="H192">Common_InputFunctions.Utility_DisplayArrayInTable(SourceData_PastureBeef.SourceData_PastureBeef_LiveweightGainNTQLD_Data(),Table_SourceData_PastureBeef_LiveweightGainNTQLD[[#Headers],[State]],0)</f>
        <v>0.13</v>
      </c>
      <c r="I192" s="10" cm="1">
        <f t="array" ref="I192">Common_InputFunctions.Utility_DisplayArrayInTable(SourceData_PastureBeef.SourceData_PastureBeef_LiveweightGainNTQLD_Data(),Table_SourceData_PastureBeef_LiveweightGainNTQLD[[#Headers],[State]],0)</f>
        <v>0.54</v>
      </c>
      <c r="J192" s="10" cm="1">
        <f t="array" ref="J192">Common_InputFunctions.Utility_DisplayArrayInTable(SourceData_PastureBeef.SourceData_PastureBeef_LiveweightGainNTQLD_Data(),Table_SourceData_PastureBeef_LiveweightGainNTQLD[[#Headers],[State]],0)</f>
        <v>0.45</v>
      </c>
      <c r="K192" s="10" cm="1">
        <f t="array" ref="K192">Common_InputFunctions.Utility_DisplayArrayInTable(SourceData_PastureBeef.SourceData_PastureBeef_LiveweightGainNTQLD_Data(),Table_SourceData_PastureBeef_LiveweightGainNTQLD[[#Headers],[State]],0)</f>
        <v>0.35</v>
      </c>
      <c r="L192" s="10" cm="1">
        <f t="array" ref="L192">Common_InputFunctions.Utility_DisplayArrayInTable(SourceData_PastureBeef.SourceData_PastureBeef_LiveweightGainNTQLD_Data(),Table_SourceData_PastureBeef_LiveweightGainNTQLD[[#Headers],[State]],0)</f>
        <v>0.15</v>
      </c>
      <c r="M192" s="10" cm="1">
        <f t="array" ref="M192">Common_InputFunctions.Utility_DisplayArrayInTable(SourceData_PastureBeef.SourceData_PastureBeef_LiveweightGainNTQLD_Data(),Table_SourceData_PastureBeef_LiveweightGainNTQLD[[#Headers],[State]],0)</f>
        <v>0.63</v>
      </c>
      <c r="N192" s="10" cm="1">
        <f t="array" ref="N192">Common_InputFunctions.Utility_DisplayArrayInTable(SourceData_PastureBeef.SourceData_PastureBeef_LiveweightGainNTQLD_Data(),Table_SourceData_PastureBeef_LiveweightGainNTQLD[[#Headers],[State]],0)</f>
        <v>0.54</v>
      </c>
      <c r="O192" s="10" cm="1">
        <f t="array" ref="O192">Common_InputFunctions.Utility_DisplayArrayInTable(SourceData_PastureBeef.SourceData_PastureBeef_LiveweightGainNTQLD_Data(),Table_SourceData_PastureBeef_LiveweightGainNTQLD[[#Headers],[State]],0)</f>
        <v>0.42</v>
      </c>
      <c r="P192" s="10" cm="1">
        <f t="array" ref="P192">Common_InputFunctions.Utility_DisplayArrayInTable(SourceData_PastureBeef.SourceData_PastureBeef_LiveweightGainNTQLD_Data(),Table_SourceData_PastureBeef_LiveweightGainNTQLD[[#Headers],[State]],0)</f>
        <v>0.26</v>
      </c>
    </row>
    <row r="193" spans="4:16" x14ac:dyDescent="0.25">
      <c r="D193" s="8" t="str" cm="1">
        <f t="array" ref="D193">Common_InputFunctions.Utility_DisplayArrayInTable(SourceData_PastureBeef.SourceData_PastureBeef_LiveweightGainNTQLD_Data(),Table_SourceData_PastureBeef_LiveweightGainNTQLD[[#Headers],[State]],0)</f>
        <v>Northern Territory</v>
      </c>
      <c r="E193" s="10" t="str" cm="1">
        <f t="array" ref="E193">Common_InputFunctions.Utility_DisplayArrayInTable(SourceData_PastureBeef.SourceData_PastureBeef_LiveweightGainNTQLD_Data(),Table_SourceData_PastureBeef_LiveweightGainNTQLD[[#Headers],[State]],0)</f>
        <v>Alice Springs</v>
      </c>
      <c r="F193" s="10" t="str" cm="1">
        <f t="array" ref="F193">Common_InputFunctions.Utility_DisplayArrayInTable(SourceData_PastureBeef.SourceData_PastureBeef_LiveweightGainNTQLD_Data(),Table_SourceData_PastureBeef_LiveweightGainNTQLD[[#Headers],[State]],0)</f>
        <v>Winter</v>
      </c>
      <c r="G193" s="10" cm="1">
        <f t="array" ref="G193">Common_InputFunctions.Utility_DisplayArrayInTable(SourceData_PastureBeef.SourceData_PastureBeef_LiveweightGainNTQLD_Data(),Table_SourceData_PastureBeef_LiveweightGainNTQLD[[#Headers],[State]],0)</f>
        <v>0.27</v>
      </c>
      <c r="H193" s="10" cm="1">
        <f t="array" ref="H193">Common_InputFunctions.Utility_DisplayArrayInTable(SourceData_PastureBeef.SourceData_PastureBeef_LiveweightGainNTQLD_Data(),Table_SourceData_PastureBeef_LiveweightGainNTQLD[[#Headers],[State]],0)</f>
        <v>-0.8</v>
      </c>
      <c r="I193" s="10" cm="1">
        <f t="array" ref="I193">Common_InputFunctions.Utility_DisplayArrayInTable(SourceData_PastureBeef.SourceData_PastureBeef_LiveweightGainNTQLD_Data(),Table_SourceData_PastureBeef_LiveweightGainNTQLD[[#Headers],[State]],0)</f>
        <v>0.22</v>
      </c>
      <c r="J193" s="10" cm="1">
        <f t="array" ref="J193">Common_InputFunctions.Utility_DisplayArrayInTable(SourceData_PastureBeef.SourceData_PastureBeef_LiveweightGainNTQLD_Data(),Table_SourceData_PastureBeef_LiveweightGainNTQLD[[#Headers],[State]],0)</f>
        <v>0.09</v>
      </c>
      <c r="K193" s="10" cm="1">
        <f t="array" ref="K193">Common_InputFunctions.Utility_DisplayArrayInTable(SourceData_PastureBeef.SourceData_PastureBeef_LiveweightGainNTQLD_Data(),Table_SourceData_PastureBeef_LiveweightGainNTQLD[[#Headers],[State]],0)</f>
        <v>0.12</v>
      </c>
      <c r="L193" s="10" cm="1">
        <f t="array" ref="L193">Common_InputFunctions.Utility_DisplayArrayInTable(SourceData_PastureBeef.SourceData_PastureBeef_LiveweightGainNTQLD_Data(),Table_SourceData_PastureBeef_LiveweightGainNTQLD[[#Headers],[State]],0)</f>
        <v>0.02</v>
      </c>
      <c r="M193" s="10" cm="1">
        <f t="array" ref="M193">Common_InputFunctions.Utility_DisplayArrayInTable(SourceData_PastureBeef.SourceData_PastureBeef_LiveweightGainNTQLD_Data(),Table_SourceData_PastureBeef_LiveweightGainNTQLD[[#Headers],[State]],0)</f>
        <v>0.25</v>
      </c>
      <c r="N193" s="10" cm="1">
        <f t="array" ref="N193">Common_InputFunctions.Utility_DisplayArrayInTable(SourceData_PastureBeef.SourceData_PastureBeef_LiveweightGainNTQLD_Data(),Table_SourceData_PastureBeef_LiveweightGainNTQLD[[#Headers],[State]],0)</f>
        <v>0.18</v>
      </c>
      <c r="O193" s="10" cm="1">
        <f t="array" ref="O193">Common_InputFunctions.Utility_DisplayArrayInTable(SourceData_PastureBeef.SourceData_PastureBeef_LiveweightGainNTQLD_Data(),Table_SourceData_PastureBeef_LiveweightGainNTQLD[[#Headers],[State]],0)</f>
        <v>0.12</v>
      </c>
      <c r="P193" s="10" cm="1">
        <f t="array" ref="P193">Common_InputFunctions.Utility_DisplayArrayInTable(SourceData_PastureBeef.SourceData_PastureBeef_LiveweightGainNTQLD_Data(),Table_SourceData_PastureBeef_LiveweightGainNTQLD[[#Headers],[State]],0)</f>
        <v>0.03</v>
      </c>
    </row>
    <row r="194" spans="4:16" x14ac:dyDescent="0.25">
      <c r="D194" s="8" t="str" cm="1">
        <f t="array" ref="D194">Common_InputFunctions.Utility_DisplayArrayInTable(SourceData_PastureBeef.SourceData_PastureBeef_LiveweightGainNTQLD_Data(),Table_SourceData_PastureBeef_LiveweightGainNTQLD[[#Headers],[State]],0)</f>
        <v>Northern Territory</v>
      </c>
      <c r="E194" s="10" t="str" cm="1">
        <f t="array" ref="E194">Common_InputFunctions.Utility_DisplayArrayInTable(SourceData_PastureBeef.SourceData_PastureBeef_LiveweightGainNTQLD_Data(),Table_SourceData_PastureBeef_LiveweightGainNTQLD[[#Headers],[State]],0)</f>
        <v>Barkly</v>
      </c>
      <c r="F194" s="10" t="str" cm="1">
        <f t="array" ref="F194">Common_InputFunctions.Utility_DisplayArrayInTable(SourceData_PastureBeef.SourceData_PastureBeef_LiveweightGainNTQLD_Data(),Table_SourceData_PastureBeef_LiveweightGainNTQLD[[#Headers],[State]],0)</f>
        <v>Spring</v>
      </c>
      <c r="G194" s="10" cm="1">
        <f t="array" ref="G194">Common_InputFunctions.Utility_DisplayArrayInTable(SourceData_PastureBeef.SourceData_PastureBeef_LiveweightGainNTQLD_Data(),Table_SourceData_PastureBeef_LiveweightGainNTQLD[[#Headers],[State]],0)</f>
        <v>0.22</v>
      </c>
      <c r="H194" s="10" cm="1">
        <f t="array" ref="H194">Common_InputFunctions.Utility_DisplayArrayInTable(SourceData_PastureBeef.SourceData_PastureBeef_LiveweightGainNTQLD_Data(),Table_SourceData_PastureBeef_LiveweightGainNTQLD[[#Headers],[State]],0)</f>
        <v>-0.44</v>
      </c>
      <c r="I194" s="10" cm="1">
        <f t="array" ref="I194">Common_InputFunctions.Utility_DisplayArrayInTable(SourceData_PastureBeef.SourceData_PastureBeef_LiveweightGainNTQLD_Data(),Table_SourceData_PastureBeef_LiveweightGainNTQLD[[#Headers],[State]],0)</f>
        <v>0.2</v>
      </c>
      <c r="J194" s="10" cm="1">
        <f t="array" ref="J194">Common_InputFunctions.Utility_DisplayArrayInTable(SourceData_PastureBeef.SourceData_PastureBeef_LiveweightGainNTQLD_Data(),Table_SourceData_PastureBeef_LiveweightGainNTQLD[[#Headers],[State]],0)</f>
        <v>0.21</v>
      </c>
      <c r="K194" s="10" cm="1">
        <f t="array" ref="K194">Common_InputFunctions.Utility_DisplayArrayInTable(SourceData_PastureBeef.SourceData_PastureBeef_LiveweightGainNTQLD_Data(),Table_SourceData_PastureBeef_LiveweightGainNTQLD[[#Headers],[State]],0)</f>
        <v>0.18</v>
      </c>
      <c r="L194" s="10" cm="1">
        <f t="array" ref="L194">Common_InputFunctions.Utility_DisplayArrayInTable(SourceData_PastureBeef.SourceData_PastureBeef_LiveweightGainNTQLD_Data(),Table_SourceData_PastureBeef_LiveweightGainNTQLD[[#Headers],[State]],0)</f>
        <v>0.01</v>
      </c>
      <c r="M194" s="10" cm="1">
        <f t="array" ref="M194">Common_InputFunctions.Utility_DisplayArrayInTable(SourceData_PastureBeef.SourceData_PastureBeef_LiveweightGainNTQLD_Data(),Table_SourceData_PastureBeef_LiveweightGainNTQLD[[#Headers],[State]],0)</f>
        <v>0.12</v>
      </c>
      <c r="N194" s="10" cm="1">
        <f t="array" ref="N194">Common_InputFunctions.Utility_DisplayArrayInTable(SourceData_PastureBeef.SourceData_PastureBeef_LiveweightGainNTQLD_Data(),Table_SourceData_PastureBeef_LiveweightGainNTQLD[[#Headers],[State]],0)</f>
        <v>0.09</v>
      </c>
      <c r="O194" s="10" t="str" cm="1">
        <f t="array" ref="O194">Common_InputFunctions.Utility_DisplayArrayInTable(SourceData_PastureBeef.SourceData_PastureBeef_LiveweightGainNTQLD_Data(),Table_SourceData_PastureBeef_LiveweightGainNTQLD[[#Headers],[State]],0)</f>
        <v>NO</v>
      </c>
      <c r="P194" s="10" t="str" cm="1">
        <f t="array" ref="P194">Common_InputFunctions.Utility_DisplayArrayInTable(SourceData_PastureBeef.SourceData_PastureBeef_LiveweightGainNTQLD_Data(),Table_SourceData_PastureBeef_LiveweightGainNTQLD[[#Headers],[State]],0)</f>
        <v>NO</v>
      </c>
    </row>
    <row r="195" spans="4:16" x14ac:dyDescent="0.25">
      <c r="D195" s="8" t="str" cm="1">
        <f t="array" ref="D195">Common_InputFunctions.Utility_DisplayArrayInTable(SourceData_PastureBeef.SourceData_PastureBeef_LiveweightGainNTQLD_Data(),Table_SourceData_PastureBeef_LiveweightGainNTQLD[[#Headers],[State]],0)</f>
        <v>Northern Territory</v>
      </c>
      <c r="E195" s="10" t="str" cm="1">
        <f t="array" ref="E195">Common_InputFunctions.Utility_DisplayArrayInTable(SourceData_PastureBeef.SourceData_PastureBeef_LiveweightGainNTQLD_Data(),Table_SourceData_PastureBeef_LiveweightGainNTQLD[[#Headers],[State]],0)</f>
        <v>Barkly</v>
      </c>
      <c r="F195" s="10" t="str" cm="1">
        <f t="array" ref="F195">Common_InputFunctions.Utility_DisplayArrayInTable(SourceData_PastureBeef.SourceData_PastureBeef_LiveweightGainNTQLD_Data(),Table_SourceData_PastureBeef_LiveweightGainNTQLD[[#Headers],[State]],0)</f>
        <v>Summer</v>
      </c>
      <c r="G195" s="10" cm="1">
        <f t="array" ref="G195">Common_InputFunctions.Utility_DisplayArrayInTable(SourceData_PastureBeef.SourceData_PastureBeef_LiveweightGainNTQLD_Data(),Table_SourceData_PastureBeef_LiveweightGainNTQLD[[#Headers],[State]],0)</f>
        <v>0.66</v>
      </c>
      <c r="H195" s="10" cm="1">
        <f t="array" ref="H195">Common_InputFunctions.Utility_DisplayArrayInTable(SourceData_PastureBeef.SourceData_PastureBeef_LiveweightGainNTQLD_Data(),Table_SourceData_PastureBeef_LiveweightGainNTQLD[[#Headers],[State]],0)</f>
        <v>0.22</v>
      </c>
      <c r="I195" s="10" cm="1">
        <f t="array" ref="I195">Common_InputFunctions.Utility_DisplayArrayInTable(SourceData_PastureBeef.SourceData_PastureBeef_LiveweightGainNTQLD_Data(),Table_SourceData_PastureBeef_LiveweightGainNTQLD[[#Headers],[State]],0)</f>
        <v>0.68</v>
      </c>
      <c r="J195" s="10" cm="1">
        <f t="array" ref="J195">Common_InputFunctions.Utility_DisplayArrayInTable(SourceData_PastureBeef.SourceData_PastureBeef_LiveweightGainNTQLD_Data(),Table_SourceData_PastureBeef_LiveweightGainNTQLD[[#Headers],[State]],0)</f>
        <v>0.22</v>
      </c>
      <c r="K195" s="10" cm="1">
        <f t="array" ref="K195">Common_InputFunctions.Utility_DisplayArrayInTable(SourceData_PastureBeef.SourceData_PastureBeef_LiveweightGainNTQLD_Data(),Table_SourceData_PastureBeef_LiveweightGainNTQLD[[#Headers],[State]],0)</f>
        <v>0.24</v>
      </c>
      <c r="L195" s="10" cm="1">
        <f t="array" ref="L195">Common_InputFunctions.Utility_DisplayArrayInTable(SourceData_PastureBeef.SourceData_PastureBeef_LiveweightGainNTQLD_Data(),Table_SourceData_PastureBeef_LiveweightGainNTQLD[[#Headers],[State]],0)</f>
        <v>0.25</v>
      </c>
      <c r="M195" s="10" cm="1">
        <f t="array" ref="M195">Common_InputFunctions.Utility_DisplayArrayInTable(SourceData_PastureBeef.SourceData_PastureBeef_LiveweightGainNTQLD_Data(),Table_SourceData_PastureBeef_LiveweightGainNTQLD[[#Headers],[State]],0)</f>
        <v>0.64</v>
      </c>
      <c r="N195" s="10" cm="1">
        <f t="array" ref="N195">Common_InputFunctions.Utility_DisplayArrayInTable(SourceData_PastureBeef.SourceData_PastureBeef_LiveweightGainNTQLD_Data(),Table_SourceData_PastureBeef_LiveweightGainNTQLD[[#Headers],[State]],0)</f>
        <v>0.37</v>
      </c>
      <c r="O195" s="10" t="str" cm="1">
        <f t="array" ref="O195">Common_InputFunctions.Utility_DisplayArrayInTable(SourceData_PastureBeef.SourceData_PastureBeef_LiveweightGainNTQLD_Data(),Table_SourceData_PastureBeef_LiveweightGainNTQLD[[#Headers],[State]],0)</f>
        <v>NO</v>
      </c>
      <c r="P195" s="10" t="str" cm="1">
        <f t="array" ref="P195">Common_InputFunctions.Utility_DisplayArrayInTable(SourceData_PastureBeef.SourceData_PastureBeef_LiveweightGainNTQLD_Data(),Table_SourceData_PastureBeef_LiveweightGainNTQLD[[#Headers],[State]],0)</f>
        <v>NO</v>
      </c>
    </row>
    <row r="196" spans="4:16" x14ac:dyDescent="0.25">
      <c r="D196" s="8" t="str" cm="1">
        <f t="array" ref="D196">Common_InputFunctions.Utility_DisplayArrayInTable(SourceData_PastureBeef.SourceData_PastureBeef_LiveweightGainNTQLD_Data(),Table_SourceData_PastureBeef_LiveweightGainNTQLD[[#Headers],[State]],0)</f>
        <v>Northern Territory</v>
      </c>
      <c r="E196" s="10" t="str" cm="1">
        <f t="array" ref="E196">Common_InputFunctions.Utility_DisplayArrayInTable(SourceData_PastureBeef.SourceData_PastureBeef_LiveweightGainNTQLD_Data(),Table_SourceData_PastureBeef_LiveweightGainNTQLD[[#Headers],[State]],0)</f>
        <v>Barkly</v>
      </c>
      <c r="F196" s="10" t="str" cm="1">
        <f t="array" ref="F196">Common_InputFunctions.Utility_DisplayArrayInTable(SourceData_PastureBeef.SourceData_PastureBeef_LiveweightGainNTQLD_Data(),Table_SourceData_PastureBeef_LiveweightGainNTQLD[[#Headers],[State]],0)</f>
        <v>Autumn</v>
      </c>
      <c r="G196" s="10" cm="1">
        <f t="array" ref="G196">Common_InputFunctions.Utility_DisplayArrayInTable(SourceData_PastureBeef.SourceData_PastureBeef_LiveweightGainNTQLD_Data(),Table_SourceData_PastureBeef_LiveweightGainNTQLD[[#Headers],[State]],0)</f>
        <v>0.49</v>
      </c>
      <c r="H196" s="10" cm="1">
        <f t="array" ref="H196">Common_InputFunctions.Utility_DisplayArrayInTable(SourceData_PastureBeef.SourceData_PastureBeef_LiveweightGainNTQLD_Data(),Table_SourceData_PastureBeef_LiveweightGainNTQLD[[#Headers],[State]],0)</f>
        <v>0.05</v>
      </c>
      <c r="I196" s="10" cm="1">
        <f t="array" ref="I196">Common_InputFunctions.Utility_DisplayArrayInTable(SourceData_PastureBeef.SourceData_PastureBeef_LiveweightGainNTQLD_Data(),Table_SourceData_PastureBeef_LiveweightGainNTQLD[[#Headers],[State]],0)</f>
        <v>0.64</v>
      </c>
      <c r="J196" s="10" cm="1">
        <f t="array" ref="J196">Common_InputFunctions.Utility_DisplayArrayInTable(SourceData_PastureBeef.SourceData_PastureBeef_LiveweightGainNTQLD_Data(),Table_SourceData_PastureBeef_LiveweightGainNTQLD[[#Headers],[State]],0)</f>
        <v>0.25</v>
      </c>
      <c r="K196" s="10" cm="1">
        <f t="array" ref="K196">Common_InputFunctions.Utility_DisplayArrayInTable(SourceData_PastureBeef.SourceData_PastureBeef_LiveweightGainNTQLD_Data(),Table_SourceData_PastureBeef_LiveweightGainNTQLD[[#Headers],[State]],0)</f>
        <v>0.28999999999999998</v>
      </c>
      <c r="L196" s="10" cm="1">
        <f t="array" ref="L196">Common_InputFunctions.Utility_DisplayArrayInTable(SourceData_PastureBeef.SourceData_PastureBeef_LiveweightGainNTQLD_Data(),Table_SourceData_PastureBeef_LiveweightGainNTQLD[[#Headers],[State]],0)</f>
        <v>0.12</v>
      </c>
      <c r="M196" s="10" cm="1">
        <f t="array" ref="M196">Common_InputFunctions.Utility_DisplayArrayInTable(SourceData_PastureBeef.SourceData_PastureBeef_LiveweightGainNTQLD_Data(),Table_SourceData_PastureBeef_LiveweightGainNTQLD[[#Headers],[State]],0)</f>
        <v>0.56999999999999995</v>
      </c>
      <c r="N196" s="10" cm="1">
        <f t="array" ref="N196">Common_InputFunctions.Utility_DisplayArrayInTable(SourceData_PastureBeef.SourceData_PastureBeef_LiveweightGainNTQLD_Data(),Table_SourceData_PastureBeef_LiveweightGainNTQLD[[#Headers],[State]],0)</f>
        <v>0.49</v>
      </c>
      <c r="O196" s="10" t="str" cm="1">
        <f t="array" ref="O196">Common_InputFunctions.Utility_DisplayArrayInTable(SourceData_PastureBeef.SourceData_PastureBeef_LiveweightGainNTQLD_Data(),Table_SourceData_PastureBeef_LiveweightGainNTQLD[[#Headers],[State]],0)</f>
        <v>NO</v>
      </c>
      <c r="P196" s="10" t="str" cm="1">
        <f t="array" ref="P196">Common_InputFunctions.Utility_DisplayArrayInTable(SourceData_PastureBeef.SourceData_PastureBeef_LiveweightGainNTQLD_Data(),Table_SourceData_PastureBeef_LiveweightGainNTQLD[[#Headers],[State]],0)</f>
        <v>NO</v>
      </c>
    </row>
    <row r="197" spans="4:16" x14ac:dyDescent="0.25">
      <c r="D197" s="8" t="str" cm="1">
        <f t="array" ref="D197">Common_InputFunctions.Utility_DisplayArrayInTable(SourceData_PastureBeef.SourceData_PastureBeef_LiveweightGainNTQLD_Data(),Table_SourceData_PastureBeef_LiveweightGainNTQLD[[#Headers],[State]],0)</f>
        <v>Northern Territory</v>
      </c>
      <c r="E197" s="10" t="str" cm="1">
        <f t="array" ref="E197">Common_InputFunctions.Utility_DisplayArrayInTable(SourceData_PastureBeef.SourceData_PastureBeef_LiveweightGainNTQLD_Data(),Table_SourceData_PastureBeef_LiveweightGainNTQLD[[#Headers],[State]],0)</f>
        <v>Barkly</v>
      </c>
      <c r="F197" s="10" t="str" cm="1">
        <f t="array" ref="F197">Common_InputFunctions.Utility_DisplayArrayInTable(SourceData_PastureBeef.SourceData_PastureBeef_LiveweightGainNTQLD_Data(),Table_SourceData_PastureBeef_LiveweightGainNTQLD[[#Headers],[State]],0)</f>
        <v>Winter</v>
      </c>
      <c r="G197" s="10" cm="1">
        <f t="array" ref="G197">Common_InputFunctions.Utility_DisplayArrayInTable(SourceData_PastureBeef.SourceData_PastureBeef_LiveweightGainNTQLD_Data(),Table_SourceData_PastureBeef_LiveweightGainNTQLD[[#Headers],[State]],0)</f>
        <v>0.27</v>
      </c>
      <c r="H197" s="10" cm="1">
        <f t="array" ref="H197">Common_InputFunctions.Utility_DisplayArrayInTable(SourceData_PastureBeef.SourceData_PastureBeef_LiveweightGainNTQLD_Data(),Table_SourceData_PastureBeef_LiveweightGainNTQLD[[#Headers],[State]],0)</f>
        <v>-0.27</v>
      </c>
      <c r="I197" s="10" cm="1">
        <f t="array" ref="I197">Common_InputFunctions.Utility_DisplayArrayInTable(SourceData_PastureBeef.SourceData_PastureBeef_LiveweightGainNTQLD_Data(),Table_SourceData_PastureBeef_LiveweightGainNTQLD[[#Headers],[State]],0)</f>
        <v>0.31</v>
      </c>
      <c r="J197" s="10" cm="1">
        <f t="array" ref="J197">Common_InputFunctions.Utility_DisplayArrayInTable(SourceData_PastureBeef.SourceData_PastureBeef_LiveweightGainNTQLD_Data(),Table_SourceData_PastureBeef_LiveweightGainNTQLD[[#Headers],[State]],0)</f>
        <v>0.28999999999999998</v>
      </c>
      <c r="K197" s="10" cm="1">
        <f t="array" ref="K197">Common_InputFunctions.Utility_DisplayArrayInTable(SourceData_PastureBeef.SourceData_PastureBeef_LiveweightGainNTQLD_Data(),Table_SourceData_PastureBeef_LiveweightGainNTQLD[[#Headers],[State]],0)</f>
        <v>0.19</v>
      </c>
      <c r="L197" s="10" cm="1">
        <f t="array" ref="L197">Common_InputFunctions.Utility_DisplayArrayInTable(SourceData_PastureBeef.SourceData_PastureBeef_LiveweightGainNTQLD_Data(),Table_SourceData_PastureBeef_LiveweightGainNTQLD[[#Headers],[State]],0)</f>
        <v>0.04</v>
      </c>
      <c r="M197" s="10" cm="1">
        <f t="array" ref="M197">Common_InputFunctions.Utility_DisplayArrayInTable(SourceData_PastureBeef.SourceData_PastureBeef_LiveweightGainNTQLD_Data(),Table_SourceData_PastureBeef_LiveweightGainNTQLD[[#Headers],[State]],0)</f>
        <v>0.26</v>
      </c>
      <c r="N197" s="10" cm="1">
        <f t="array" ref="N197">Common_InputFunctions.Utility_DisplayArrayInTable(SourceData_PastureBeef.SourceData_PastureBeef_LiveweightGainNTQLD_Data(),Table_SourceData_PastureBeef_LiveweightGainNTQLD[[#Headers],[State]],0)</f>
        <v>0.28000000000000003</v>
      </c>
      <c r="O197" s="10" t="str" cm="1">
        <f t="array" ref="O197">Common_InputFunctions.Utility_DisplayArrayInTable(SourceData_PastureBeef.SourceData_PastureBeef_LiveweightGainNTQLD_Data(),Table_SourceData_PastureBeef_LiveweightGainNTQLD[[#Headers],[State]],0)</f>
        <v>NO</v>
      </c>
      <c r="P197" s="10" t="str" cm="1">
        <f t="array" ref="P197">Common_InputFunctions.Utility_DisplayArrayInTable(SourceData_PastureBeef.SourceData_PastureBeef_LiveweightGainNTQLD_Data(),Table_SourceData_PastureBeef_LiveweightGainNTQLD[[#Headers],[State]],0)</f>
        <v>NO</v>
      </c>
    </row>
    <row r="198" spans="4:16" x14ac:dyDescent="0.25">
      <c r="D198" s="8" t="str" cm="1">
        <f t="array" ref="D198">Common_InputFunctions.Utility_DisplayArrayInTable(SourceData_PastureBeef.SourceData_PastureBeef_LiveweightGainNTQLD_Data(),Table_SourceData_PastureBeef_LiveweightGainNTQLD[[#Headers],[State]],0)</f>
        <v>Northern Territory</v>
      </c>
      <c r="E198" s="10" t="str" cm="1">
        <f t="array" ref="E198">Common_InputFunctions.Utility_DisplayArrayInTable(SourceData_PastureBeef.SourceData_PastureBeef_LiveweightGainNTQLD_Data(),Table_SourceData_PastureBeef_LiveweightGainNTQLD[[#Headers],[State]],0)</f>
        <v>Northern</v>
      </c>
      <c r="F198" s="10" t="str" cm="1">
        <f t="array" ref="F198">Common_InputFunctions.Utility_DisplayArrayInTable(SourceData_PastureBeef.SourceData_PastureBeef_LiveweightGainNTQLD_Data(),Table_SourceData_PastureBeef_LiveweightGainNTQLD[[#Headers],[State]],0)</f>
        <v>Spring</v>
      </c>
      <c r="G198" s="10" cm="1">
        <f t="array" ref="G198">Common_InputFunctions.Utility_DisplayArrayInTable(SourceData_PastureBeef.SourceData_PastureBeef_LiveweightGainNTQLD_Data(),Table_SourceData_PastureBeef_LiveweightGainNTQLD[[#Headers],[State]],0)</f>
        <v>0.22</v>
      </c>
      <c r="H198" s="10" cm="1">
        <f t="array" ref="H198">Common_InputFunctions.Utility_DisplayArrayInTable(SourceData_PastureBeef.SourceData_PastureBeef_LiveweightGainNTQLD_Data(),Table_SourceData_PastureBeef_LiveweightGainNTQLD[[#Headers],[State]],0)</f>
        <v>-0.44</v>
      </c>
      <c r="I198" s="10" cm="1">
        <f t="array" ref="I198">Common_InputFunctions.Utility_DisplayArrayInTable(SourceData_PastureBeef.SourceData_PastureBeef_LiveweightGainNTQLD_Data(),Table_SourceData_PastureBeef_LiveweightGainNTQLD[[#Headers],[State]],0)</f>
        <v>0</v>
      </c>
      <c r="J198" s="10" cm="1">
        <f t="array" ref="J198">Common_InputFunctions.Utility_DisplayArrayInTable(SourceData_PastureBeef.SourceData_PastureBeef_LiveweightGainNTQLD_Data(),Table_SourceData_PastureBeef_LiveweightGainNTQLD[[#Headers],[State]],0)</f>
        <v>0.15</v>
      </c>
      <c r="K198" s="10" cm="1">
        <f t="array" ref="K198">Common_InputFunctions.Utility_DisplayArrayInTable(SourceData_PastureBeef.SourceData_PastureBeef_LiveweightGainNTQLD_Data(),Table_SourceData_PastureBeef_LiveweightGainNTQLD[[#Headers],[State]],0)</f>
        <v>0.08</v>
      </c>
      <c r="L198" s="10" cm="1">
        <f t="array" ref="L198">Common_InputFunctions.Utility_DisplayArrayInTable(SourceData_PastureBeef.SourceData_PastureBeef_LiveweightGainNTQLD_Data(),Table_SourceData_PastureBeef_LiveweightGainNTQLD[[#Headers],[State]],0)</f>
        <v>0.17</v>
      </c>
      <c r="M198" s="10" cm="1">
        <f t="array" ref="M198">Common_InputFunctions.Utility_DisplayArrayInTable(SourceData_PastureBeef.SourceData_PastureBeef_LiveweightGainNTQLD_Data(),Table_SourceData_PastureBeef_LiveweightGainNTQLD[[#Headers],[State]],0)</f>
        <v>0.06</v>
      </c>
      <c r="N198" s="10" cm="1">
        <f t="array" ref="N198">Common_InputFunctions.Utility_DisplayArrayInTable(SourceData_PastureBeef.SourceData_PastureBeef_LiveweightGainNTQLD_Data(),Table_SourceData_PastureBeef_LiveweightGainNTQLD[[#Headers],[State]],0)</f>
        <v>0.02</v>
      </c>
      <c r="O198" s="10" cm="1">
        <f t="array" ref="O198">Common_InputFunctions.Utility_DisplayArrayInTable(SourceData_PastureBeef.SourceData_PastureBeef_LiveweightGainNTQLD_Data(),Table_SourceData_PastureBeef_LiveweightGainNTQLD[[#Headers],[State]],0)</f>
        <v>-0.14000000000000001</v>
      </c>
      <c r="P198" s="10" t="str" cm="1">
        <f t="array" ref="P198">Common_InputFunctions.Utility_DisplayArrayInTable(SourceData_PastureBeef.SourceData_PastureBeef_LiveweightGainNTQLD_Data(),Table_SourceData_PastureBeef_LiveweightGainNTQLD[[#Headers],[State]],0)</f>
        <v>NO</v>
      </c>
    </row>
    <row r="199" spans="4:16" x14ac:dyDescent="0.25">
      <c r="D199" s="8" t="str" cm="1">
        <f t="array" ref="D199">Common_InputFunctions.Utility_DisplayArrayInTable(SourceData_PastureBeef.SourceData_PastureBeef_LiveweightGainNTQLD_Data(),Table_SourceData_PastureBeef_LiveweightGainNTQLD[[#Headers],[State]],0)</f>
        <v>Northern Territory</v>
      </c>
      <c r="E199" s="10" t="str" cm="1">
        <f t="array" ref="E199">Common_InputFunctions.Utility_DisplayArrayInTable(SourceData_PastureBeef.SourceData_PastureBeef_LiveweightGainNTQLD_Data(),Table_SourceData_PastureBeef_LiveweightGainNTQLD[[#Headers],[State]],0)</f>
        <v>Northern</v>
      </c>
      <c r="F199" s="10" t="str" cm="1">
        <f t="array" ref="F199">Common_InputFunctions.Utility_DisplayArrayInTable(SourceData_PastureBeef.SourceData_PastureBeef_LiveweightGainNTQLD_Data(),Table_SourceData_PastureBeef_LiveweightGainNTQLD[[#Headers],[State]],0)</f>
        <v>Summer</v>
      </c>
      <c r="G199" s="10" cm="1">
        <f t="array" ref="G199">Common_InputFunctions.Utility_DisplayArrayInTable(SourceData_PastureBeef.SourceData_PastureBeef_LiveweightGainNTQLD_Data(),Table_SourceData_PastureBeef_LiveweightGainNTQLD[[#Headers],[State]],0)</f>
        <v>0.66</v>
      </c>
      <c r="H199" s="10" cm="1">
        <f t="array" ref="H199">Common_InputFunctions.Utility_DisplayArrayInTable(SourceData_PastureBeef.SourceData_PastureBeef_LiveweightGainNTQLD_Data(),Table_SourceData_PastureBeef_LiveweightGainNTQLD[[#Headers],[State]],0)</f>
        <v>0.22</v>
      </c>
      <c r="I199" s="10" cm="1">
        <f t="array" ref="I199">Common_InputFunctions.Utility_DisplayArrayInTable(SourceData_PastureBeef.SourceData_PastureBeef_LiveweightGainNTQLD_Data(),Table_SourceData_PastureBeef_LiveweightGainNTQLD[[#Headers],[State]],0)</f>
        <v>0.79</v>
      </c>
      <c r="J199" s="10" cm="1">
        <f t="array" ref="J199">Common_InputFunctions.Utility_DisplayArrayInTable(SourceData_PastureBeef.SourceData_PastureBeef_LiveweightGainNTQLD_Data(),Table_SourceData_PastureBeef_LiveweightGainNTQLD[[#Headers],[State]],0)</f>
        <v>0.4</v>
      </c>
      <c r="K199" s="10" cm="1">
        <f t="array" ref="K199">Common_InputFunctions.Utility_DisplayArrayInTable(SourceData_PastureBeef.SourceData_PastureBeef_LiveweightGainNTQLD_Data(),Table_SourceData_PastureBeef_LiveweightGainNTQLD[[#Headers],[State]],0)</f>
        <v>0.38</v>
      </c>
      <c r="L199" s="10" cm="1">
        <f t="array" ref="L199">Common_InputFunctions.Utility_DisplayArrayInTable(SourceData_PastureBeef.SourceData_PastureBeef_LiveweightGainNTQLD_Data(),Table_SourceData_PastureBeef_LiveweightGainNTQLD[[#Headers],[State]],0)</f>
        <v>0.27</v>
      </c>
      <c r="M199" s="10" cm="1">
        <f t="array" ref="M199">Common_InputFunctions.Utility_DisplayArrayInTable(SourceData_PastureBeef.SourceData_PastureBeef_LiveweightGainNTQLD_Data(),Table_SourceData_PastureBeef_LiveweightGainNTQLD[[#Headers],[State]],0)</f>
        <v>0.8</v>
      </c>
      <c r="N199" s="10" cm="1">
        <f t="array" ref="N199">Common_InputFunctions.Utility_DisplayArrayInTable(SourceData_PastureBeef.SourceData_PastureBeef_LiveweightGainNTQLD_Data(),Table_SourceData_PastureBeef_LiveweightGainNTQLD[[#Headers],[State]],0)</f>
        <v>0.16</v>
      </c>
      <c r="O199" s="10" cm="1">
        <f t="array" ref="O199">Common_InputFunctions.Utility_DisplayArrayInTable(SourceData_PastureBeef.SourceData_PastureBeef_LiveweightGainNTQLD_Data(),Table_SourceData_PastureBeef_LiveweightGainNTQLD[[#Headers],[State]],0)</f>
        <v>0.3</v>
      </c>
      <c r="P199" s="10" t="str" cm="1">
        <f t="array" ref="P199">Common_InputFunctions.Utility_DisplayArrayInTable(SourceData_PastureBeef.SourceData_PastureBeef_LiveweightGainNTQLD_Data(),Table_SourceData_PastureBeef_LiveweightGainNTQLD[[#Headers],[State]],0)</f>
        <v>NO</v>
      </c>
    </row>
    <row r="200" spans="4:16" x14ac:dyDescent="0.25">
      <c r="D200" s="8" t="str" cm="1">
        <f t="array" ref="D200">Common_InputFunctions.Utility_DisplayArrayInTable(SourceData_PastureBeef.SourceData_PastureBeef_LiveweightGainNTQLD_Data(),Table_SourceData_PastureBeef_LiveweightGainNTQLD[[#Headers],[State]],0)</f>
        <v>Northern Territory</v>
      </c>
      <c r="E200" s="10" t="str" cm="1">
        <f t="array" ref="E200">Common_InputFunctions.Utility_DisplayArrayInTable(SourceData_PastureBeef.SourceData_PastureBeef_LiveweightGainNTQLD_Data(),Table_SourceData_PastureBeef_LiveweightGainNTQLD[[#Headers],[State]],0)</f>
        <v>Northern</v>
      </c>
      <c r="F200" s="10" t="str" cm="1">
        <f t="array" ref="F200">Common_InputFunctions.Utility_DisplayArrayInTable(SourceData_PastureBeef.SourceData_PastureBeef_LiveweightGainNTQLD_Data(),Table_SourceData_PastureBeef_LiveweightGainNTQLD[[#Headers],[State]],0)</f>
        <v>Autumn</v>
      </c>
      <c r="G200" s="10" cm="1">
        <f t="array" ref="G200">Common_InputFunctions.Utility_DisplayArrayInTable(SourceData_PastureBeef.SourceData_PastureBeef_LiveweightGainNTQLD_Data(),Table_SourceData_PastureBeef_LiveweightGainNTQLD[[#Headers],[State]],0)</f>
        <v>0.49</v>
      </c>
      <c r="H200" s="10" cm="1">
        <f t="array" ref="H200">Common_InputFunctions.Utility_DisplayArrayInTable(SourceData_PastureBeef.SourceData_PastureBeef_LiveweightGainNTQLD_Data(),Table_SourceData_PastureBeef_LiveweightGainNTQLD[[#Headers],[State]],0)</f>
        <v>0.05</v>
      </c>
      <c r="I200" s="10" cm="1">
        <f t="array" ref="I200">Common_InputFunctions.Utility_DisplayArrayInTable(SourceData_PastureBeef.SourceData_PastureBeef_LiveweightGainNTQLD_Data(),Table_SourceData_PastureBeef_LiveweightGainNTQLD[[#Headers],[State]],0)</f>
        <v>0.55000000000000004</v>
      </c>
      <c r="J200" s="10" cm="1">
        <f t="array" ref="J200">Common_InputFunctions.Utility_DisplayArrayInTable(SourceData_PastureBeef.SourceData_PastureBeef_LiveweightGainNTQLD_Data(),Table_SourceData_PastureBeef_LiveweightGainNTQLD[[#Headers],[State]],0)</f>
        <v>0.38</v>
      </c>
      <c r="K200" s="10" cm="1">
        <f t="array" ref="K200">Common_InputFunctions.Utility_DisplayArrayInTable(SourceData_PastureBeef.SourceData_PastureBeef_LiveweightGainNTQLD_Data(),Table_SourceData_PastureBeef_LiveweightGainNTQLD[[#Headers],[State]],0)</f>
        <v>0.36</v>
      </c>
      <c r="L200" s="10" cm="1">
        <f t="array" ref="L200">Common_InputFunctions.Utility_DisplayArrayInTable(SourceData_PastureBeef.SourceData_PastureBeef_LiveweightGainNTQLD_Data(),Table_SourceData_PastureBeef_LiveweightGainNTQLD[[#Headers],[State]],0)</f>
        <v>0.06</v>
      </c>
      <c r="M200" s="10" cm="1">
        <f t="array" ref="M200">Common_InputFunctions.Utility_DisplayArrayInTable(SourceData_PastureBeef.SourceData_PastureBeef_LiveweightGainNTQLD_Data(),Table_SourceData_PastureBeef_LiveweightGainNTQLD[[#Headers],[State]],0)</f>
        <v>0.57999999999999996</v>
      </c>
      <c r="N200" s="10" cm="1">
        <f t="array" ref="N200">Common_InputFunctions.Utility_DisplayArrayInTable(SourceData_PastureBeef.SourceData_PastureBeef_LiveweightGainNTQLD_Data(),Table_SourceData_PastureBeef_LiveweightGainNTQLD[[#Headers],[State]],0)</f>
        <v>0.23</v>
      </c>
      <c r="O200" s="10" cm="1">
        <f t="array" ref="O200">Common_InputFunctions.Utility_DisplayArrayInTable(SourceData_PastureBeef.SourceData_PastureBeef_LiveweightGainNTQLD_Data(),Table_SourceData_PastureBeef_LiveweightGainNTQLD[[#Headers],[State]],0)</f>
        <v>0.4</v>
      </c>
      <c r="P200" s="10" t="str" cm="1">
        <f t="array" ref="P200">Common_InputFunctions.Utility_DisplayArrayInTable(SourceData_PastureBeef.SourceData_PastureBeef_LiveweightGainNTQLD_Data(),Table_SourceData_PastureBeef_LiveweightGainNTQLD[[#Headers],[State]],0)</f>
        <v>NO</v>
      </c>
    </row>
    <row r="201" spans="4:16" x14ac:dyDescent="0.25">
      <c r="D201" s="8" t="str" cm="1">
        <f t="array" ref="D201">Common_InputFunctions.Utility_DisplayArrayInTable(SourceData_PastureBeef.SourceData_PastureBeef_LiveweightGainNTQLD_Data(),Table_SourceData_PastureBeef_LiveweightGainNTQLD[[#Headers],[State]],0)</f>
        <v>Northern Territory</v>
      </c>
      <c r="E201" s="10" t="str" cm="1">
        <f t="array" ref="E201">Common_InputFunctions.Utility_DisplayArrayInTable(SourceData_PastureBeef.SourceData_PastureBeef_LiveweightGainNTQLD_Data(),Table_SourceData_PastureBeef_LiveweightGainNTQLD[[#Headers],[State]],0)</f>
        <v>Northern</v>
      </c>
      <c r="F201" s="10" t="str" cm="1">
        <f t="array" ref="F201">Common_InputFunctions.Utility_DisplayArrayInTable(SourceData_PastureBeef.SourceData_PastureBeef_LiveweightGainNTQLD_Data(),Table_SourceData_PastureBeef_LiveweightGainNTQLD[[#Headers],[State]],0)</f>
        <v>Winter</v>
      </c>
      <c r="G201" s="10" cm="1">
        <f t="array" ref="G201">Common_InputFunctions.Utility_DisplayArrayInTable(SourceData_PastureBeef.SourceData_PastureBeef_LiveweightGainNTQLD_Data(),Table_SourceData_PastureBeef_LiveweightGainNTQLD[[#Headers],[State]],0)</f>
        <v>0.27</v>
      </c>
      <c r="H201" s="10" cm="1">
        <f t="array" ref="H201">Common_InputFunctions.Utility_DisplayArrayInTable(SourceData_PastureBeef.SourceData_PastureBeef_LiveweightGainNTQLD_Data(),Table_SourceData_PastureBeef_LiveweightGainNTQLD[[#Headers],[State]],0)</f>
        <v>-0.27</v>
      </c>
      <c r="I201" s="10" cm="1">
        <f t="array" ref="I201">Common_InputFunctions.Utility_DisplayArrayInTable(SourceData_PastureBeef.SourceData_PastureBeef_LiveweightGainNTQLD_Data(),Table_SourceData_PastureBeef_LiveweightGainNTQLD[[#Headers],[State]],0)</f>
        <v>0.02</v>
      </c>
      <c r="J201" s="10" cm="1">
        <f t="array" ref="J201">Common_InputFunctions.Utility_DisplayArrayInTable(SourceData_PastureBeef.SourceData_PastureBeef_LiveweightGainNTQLD_Data(),Table_SourceData_PastureBeef_LiveweightGainNTQLD[[#Headers],[State]],0)</f>
        <v>0.09</v>
      </c>
      <c r="K201" s="10" cm="1">
        <f t="array" ref="K201">Common_InputFunctions.Utility_DisplayArrayInTable(SourceData_PastureBeef.SourceData_PastureBeef_LiveweightGainNTQLD_Data(),Table_SourceData_PastureBeef_LiveweightGainNTQLD[[#Headers],[State]],0)</f>
        <v>0.16</v>
      </c>
      <c r="L201" s="10" cm="1">
        <f t="array" ref="L201">Common_InputFunctions.Utility_DisplayArrayInTable(SourceData_PastureBeef.SourceData_PastureBeef_LiveweightGainNTQLD_Data(),Table_SourceData_PastureBeef_LiveweightGainNTQLD[[#Headers],[State]],0)</f>
        <v>-0.04</v>
      </c>
      <c r="M201" s="10" cm="1">
        <f t="array" ref="M201">Common_InputFunctions.Utility_DisplayArrayInTable(SourceData_PastureBeef.SourceData_PastureBeef_LiveweightGainNTQLD_Data(),Table_SourceData_PastureBeef_LiveweightGainNTQLD[[#Headers],[State]],0)</f>
        <v>0.21</v>
      </c>
      <c r="N201" s="10" cm="1">
        <f t="array" ref="N201">Common_InputFunctions.Utility_DisplayArrayInTable(SourceData_PastureBeef.SourceData_PastureBeef_LiveweightGainNTQLD_Data(),Table_SourceData_PastureBeef_LiveweightGainNTQLD[[#Headers],[State]],0)</f>
        <v>0.03</v>
      </c>
      <c r="O201" s="10" cm="1">
        <f t="array" ref="O201">Common_InputFunctions.Utility_DisplayArrayInTable(SourceData_PastureBeef.SourceData_PastureBeef_LiveweightGainNTQLD_Data(),Table_SourceData_PastureBeef_LiveweightGainNTQLD[[#Headers],[State]],0)</f>
        <v>0.11</v>
      </c>
      <c r="P201" s="10" t="str" cm="1">
        <f t="array" ref="P201">Common_InputFunctions.Utility_DisplayArrayInTable(SourceData_PastureBeef.SourceData_PastureBeef_LiveweightGainNTQLD_Data(),Table_SourceData_PastureBeef_LiveweightGainNTQLD[[#Headers],[State]],0)</f>
        <v>NO</v>
      </c>
    </row>
    <row r="202" spans="4:16" x14ac:dyDescent="0.25">
      <c r="D202" s="8" t="str" cm="1">
        <f t="array" ref="D202">Common_InputFunctions.Utility_DisplayArrayInTable(SourceData_PastureBeef.SourceData_PastureBeef_LiveweightGainNTQLD_Data(),Table_SourceData_PastureBeef_LiveweightGainNTQLD[[#Headers],[State]],0)</f>
        <v>Queensland</v>
      </c>
      <c r="E202" s="10" t="str" cm="1">
        <f t="array" ref="E202">Common_InputFunctions.Utility_DisplayArrayInTable(SourceData_PastureBeef.SourceData_PastureBeef_LiveweightGainNTQLD_Data(),Table_SourceData_PastureBeef_LiveweightGainNTQLD[[#Headers],[State]],0)</f>
        <v>High</v>
      </c>
      <c r="F202" s="10" t="str" cm="1">
        <f t="array" ref="F202">Common_InputFunctions.Utility_DisplayArrayInTable(SourceData_PastureBeef.SourceData_PastureBeef_LiveweightGainNTQLD_Data(),Table_SourceData_PastureBeef_LiveweightGainNTQLD[[#Headers],[State]],0)</f>
        <v>Spring</v>
      </c>
      <c r="G202" s="10" cm="1">
        <f t="array" ref="G202">Common_InputFunctions.Utility_DisplayArrayInTable(SourceData_PastureBeef.SourceData_PastureBeef_LiveweightGainNTQLD_Data(),Table_SourceData_PastureBeef_LiveweightGainNTQLD[[#Headers],[State]],0)</f>
        <v>0.27</v>
      </c>
      <c r="H202" s="10" cm="1">
        <f t="array" ref="H202">Common_InputFunctions.Utility_DisplayArrayInTable(SourceData_PastureBeef.SourceData_PastureBeef_LiveweightGainNTQLD_Data(),Table_SourceData_PastureBeef_LiveweightGainNTQLD[[#Headers],[State]],0)</f>
        <v>-0.19</v>
      </c>
      <c r="I202" s="10" cm="1">
        <f t="array" ref="I202">Common_InputFunctions.Utility_DisplayArrayInTable(SourceData_PastureBeef.SourceData_PastureBeef_LiveweightGainNTQLD_Data(),Table_SourceData_PastureBeef_LiveweightGainNTQLD[[#Headers],[State]],0)</f>
        <v>0.38</v>
      </c>
      <c r="J202" s="10" cm="1">
        <f t="array" ref="J202">Common_InputFunctions.Utility_DisplayArrayInTable(SourceData_PastureBeef.SourceData_PastureBeef_LiveweightGainNTQLD_Data(),Table_SourceData_PastureBeef_LiveweightGainNTQLD[[#Headers],[State]],0)</f>
        <v>0.25</v>
      </c>
      <c r="K202" s="10" cm="1">
        <f t="array" ref="K202">Common_InputFunctions.Utility_DisplayArrayInTable(SourceData_PastureBeef.SourceData_PastureBeef_LiveweightGainNTQLD_Data(),Table_SourceData_PastureBeef_LiveweightGainNTQLD[[#Headers],[State]],0)</f>
        <v>7.0000000000000007E-2</v>
      </c>
      <c r="L202" s="10" cm="1">
        <f t="array" ref="L202">Common_InputFunctions.Utility_DisplayArrayInTable(SourceData_PastureBeef.SourceData_PastureBeef_LiveweightGainNTQLD_Data(),Table_SourceData_PastureBeef_LiveweightGainNTQLD[[#Headers],[State]],0)</f>
        <v>0.05</v>
      </c>
      <c r="M202" s="10" cm="1">
        <f t="array" ref="M202">Common_InputFunctions.Utility_DisplayArrayInTable(SourceData_PastureBeef.SourceData_PastureBeef_LiveweightGainNTQLD_Data(),Table_SourceData_PastureBeef_LiveweightGainNTQLD[[#Headers],[State]],0)</f>
        <v>0.52</v>
      </c>
      <c r="N202" s="10" cm="1">
        <f t="array" ref="N202">Common_InputFunctions.Utility_DisplayArrayInTable(SourceData_PastureBeef.SourceData_PastureBeef_LiveweightGainNTQLD_Data(),Table_SourceData_PastureBeef_LiveweightGainNTQLD[[#Headers],[State]],0)</f>
        <v>0.55000000000000004</v>
      </c>
      <c r="O202" s="10" cm="1">
        <f t="array" ref="O202">Common_InputFunctions.Utility_DisplayArrayInTable(SourceData_PastureBeef.SourceData_PastureBeef_LiveweightGainNTQLD_Data(),Table_SourceData_PastureBeef_LiveweightGainNTQLD[[#Headers],[State]],0)</f>
        <v>0.19</v>
      </c>
      <c r="P202" s="10" cm="1">
        <f t="array" ref="P202">Common_InputFunctions.Utility_DisplayArrayInTable(SourceData_PastureBeef.SourceData_PastureBeef_LiveweightGainNTQLD_Data(),Table_SourceData_PastureBeef_LiveweightGainNTQLD[[#Headers],[State]],0)</f>
        <v>0.6</v>
      </c>
    </row>
    <row r="203" spans="4:16" x14ac:dyDescent="0.25">
      <c r="D203" s="8" t="str" cm="1">
        <f t="array" ref="D203">Common_InputFunctions.Utility_DisplayArrayInTable(SourceData_PastureBeef.SourceData_PastureBeef_LiveweightGainNTQLD_Data(),Table_SourceData_PastureBeef_LiveweightGainNTQLD[[#Headers],[State]],0)</f>
        <v>Queensland</v>
      </c>
      <c r="E203" s="10" t="str" cm="1">
        <f t="array" ref="E203">Common_InputFunctions.Utility_DisplayArrayInTable(SourceData_PastureBeef.SourceData_PastureBeef_LiveweightGainNTQLD_Data(),Table_SourceData_PastureBeef_LiveweightGainNTQLD[[#Headers],[State]],0)</f>
        <v>High</v>
      </c>
      <c r="F203" s="10" t="str" cm="1">
        <f t="array" ref="F203">Common_InputFunctions.Utility_DisplayArrayInTable(SourceData_PastureBeef.SourceData_PastureBeef_LiveweightGainNTQLD_Data(),Table_SourceData_PastureBeef_LiveweightGainNTQLD[[#Headers],[State]],0)</f>
        <v>Summer</v>
      </c>
      <c r="G203" s="10" cm="1">
        <f t="array" ref="G203">Common_InputFunctions.Utility_DisplayArrayInTable(SourceData_PastureBeef.SourceData_PastureBeef_LiveweightGainNTQLD_Data(),Table_SourceData_PastureBeef_LiveweightGainNTQLD[[#Headers],[State]],0)</f>
        <v>0.16</v>
      </c>
      <c r="H203" s="10" cm="1">
        <f t="array" ref="H203">Common_InputFunctions.Utility_DisplayArrayInTable(SourceData_PastureBeef.SourceData_PastureBeef_LiveweightGainNTQLD_Data(),Table_SourceData_PastureBeef_LiveweightGainNTQLD[[#Headers],[State]],0)</f>
        <v>0.16</v>
      </c>
      <c r="I203" s="10" cm="1">
        <f t="array" ref="I203">Common_InputFunctions.Utility_DisplayArrayInTable(SourceData_PastureBeef.SourceData_PastureBeef_LiveweightGainNTQLD_Data(),Table_SourceData_PastureBeef_LiveweightGainNTQLD[[#Headers],[State]],0)</f>
        <v>0.8</v>
      </c>
      <c r="J203" s="10" cm="1">
        <f t="array" ref="J203">Common_InputFunctions.Utility_DisplayArrayInTable(SourceData_PastureBeef.SourceData_PastureBeef_LiveweightGainNTQLD_Data(),Table_SourceData_PastureBeef_LiveweightGainNTQLD[[#Headers],[State]],0)</f>
        <v>0.56999999999999995</v>
      </c>
      <c r="K203" s="10" cm="1">
        <f t="array" ref="K203">Common_InputFunctions.Utility_DisplayArrayInTable(SourceData_PastureBeef.SourceData_PastureBeef_LiveweightGainNTQLD_Data(),Table_SourceData_PastureBeef_LiveweightGainNTQLD[[#Headers],[State]],0)</f>
        <v>0.76</v>
      </c>
      <c r="L203" s="10" cm="1">
        <f t="array" ref="L203">Common_InputFunctions.Utility_DisplayArrayInTable(SourceData_PastureBeef.SourceData_PastureBeef_LiveweightGainNTQLD_Data(),Table_SourceData_PastureBeef_LiveweightGainNTQLD[[#Headers],[State]],0)</f>
        <v>0.49</v>
      </c>
      <c r="M203" s="10" cm="1">
        <f t="array" ref="M203">Common_InputFunctions.Utility_DisplayArrayInTable(SourceData_PastureBeef.SourceData_PastureBeef_LiveweightGainNTQLD_Data(),Table_SourceData_PastureBeef_LiveweightGainNTQLD[[#Headers],[State]],0)</f>
        <v>0.84</v>
      </c>
      <c r="N203" s="10" cm="1">
        <f t="array" ref="N203">Common_InputFunctions.Utility_DisplayArrayInTable(SourceData_PastureBeef.SourceData_PastureBeef_LiveweightGainNTQLD_Data(),Table_SourceData_PastureBeef_LiveweightGainNTQLD[[#Headers],[State]],0)</f>
        <v>0.51</v>
      </c>
      <c r="O203" s="10" cm="1">
        <f t="array" ref="O203">Common_InputFunctions.Utility_DisplayArrayInTable(SourceData_PastureBeef.SourceData_PastureBeef_LiveweightGainNTQLD_Data(),Table_SourceData_PastureBeef_LiveweightGainNTQLD[[#Headers],[State]],0)</f>
        <v>0.36</v>
      </c>
      <c r="P203" s="10" cm="1">
        <f t="array" ref="P203">Common_InputFunctions.Utility_DisplayArrayInTable(SourceData_PastureBeef.SourceData_PastureBeef_LiveweightGainNTQLD_Data(),Table_SourceData_PastureBeef_LiveweightGainNTQLD[[#Headers],[State]],0)</f>
        <v>0.17</v>
      </c>
    </row>
    <row r="204" spans="4:16" x14ac:dyDescent="0.25">
      <c r="D204" s="8" t="str" cm="1">
        <f t="array" ref="D204">Common_InputFunctions.Utility_DisplayArrayInTable(SourceData_PastureBeef.SourceData_PastureBeef_LiveweightGainNTQLD_Data(),Table_SourceData_PastureBeef_LiveweightGainNTQLD[[#Headers],[State]],0)</f>
        <v>Queensland</v>
      </c>
      <c r="E204" s="10" t="str" cm="1">
        <f t="array" ref="E204">Common_InputFunctions.Utility_DisplayArrayInTable(SourceData_PastureBeef.SourceData_PastureBeef_LiveweightGainNTQLD_Data(),Table_SourceData_PastureBeef_LiveweightGainNTQLD[[#Headers],[State]],0)</f>
        <v>High</v>
      </c>
      <c r="F204" s="10" t="str" cm="1">
        <f t="array" ref="F204">Common_InputFunctions.Utility_DisplayArrayInTable(SourceData_PastureBeef.SourceData_PastureBeef_LiveweightGainNTQLD_Data(),Table_SourceData_PastureBeef_LiveweightGainNTQLD[[#Headers],[State]],0)</f>
        <v>Autumn</v>
      </c>
      <c r="G204" s="10" cm="1">
        <f t="array" ref="G204">Common_InputFunctions.Utility_DisplayArrayInTable(SourceData_PastureBeef.SourceData_PastureBeef_LiveweightGainNTQLD_Data(),Table_SourceData_PastureBeef_LiveweightGainNTQLD[[#Headers],[State]],0)</f>
        <v>0.45</v>
      </c>
      <c r="H204" s="10" cm="1">
        <f t="array" ref="H204">Common_InputFunctions.Utility_DisplayArrayInTable(SourceData_PastureBeef.SourceData_PastureBeef_LiveweightGainNTQLD_Data(),Table_SourceData_PastureBeef_LiveweightGainNTQLD[[#Headers],[State]],0)</f>
        <v>0.1</v>
      </c>
      <c r="I204" s="10" cm="1">
        <f t="array" ref="I204">Common_InputFunctions.Utility_DisplayArrayInTable(SourceData_PastureBeef.SourceData_PastureBeef_LiveweightGainNTQLD_Data(),Table_SourceData_PastureBeef_LiveweightGainNTQLD[[#Headers],[State]],0)</f>
        <v>0.49</v>
      </c>
      <c r="J204" s="10" cm="1">
        <f t="array" ref="J204">Common_InputFunctions.Utility_DisplayArrayInTable(SourceData_PastureBeef.SourceData_PastureBeef_LiveweightGainNTQLD_Data(),Table_SourceData_PastureBeef_LiveweightGainNTQLD[[#Headers],[State]],0)</f>
        <v>0.41</v>
      </c>
      <c r="K204" s="10" cm="1">
        <f t="array" ref="K204">Common_InputFunctions.Utility_DisplayArrayInTable(SourceData_PastureBeef.SourceData_PastureBeef_LiveweightGainNTQLD_Data(),Table_SourceData_PastureBeef_LiveweightGainNTQLD[[#Headers],[State]],0)</f>
        <v>0.4</v>
      </c>
      <c r="L204" s="10" cm="1">
        <f t="array" ref="L204">Common_InputFunctions.Utility_DisplayArrayInTable(SourceData_PastureBeef.SourceData_PastureBeef_LiveweightGainNTQLD_Data(),Table_SourceData_PastureBeef_LiveweightGainNTQLD[[#Headers],[State]],0)</f>
        <v>0.17</v>
      </c>
      <c r="M204" s="10" cm="1">
        <f t="array" ref="M204">Common_InputFunctions.Utility_DisplayArrayInTable(SourceData_PastureBeef.SourceData_PastureBeef_LiveweightGainNTQLD_Data(),Table_SourceData_PastureBeef_LiveweightGainNTQLD[[#Headers],[State]],0)</f>
        <v>0.54</v>
      </c>
      <c r="N204" s="10" cm="1">
        <f t="array" ref="N204">Common_InputFunctions.Utility_DisplayArrayInTable(SourceData_PastureBeef.SourceData_PastureBeef_LiveweightGainNTQLD_Data(),Table_SourceData_PastureBeef_LiveweightGainNTQLD[[#Headers],[State]],0)</f>
        <v>0.64</v>
      </c>
      <c r="O204" s="10" cm="1">
        <f t="array" ref="O204">Common_InputFunctions.Utility_DisplayArrayInTable(SourceData_PastureBeef.SourceData_PastureBeef_LiveweightGainNTQLD_Data(),Table_SourceData_PastureBeef_LiveweightGainNTQLD[[#Headers],[State]],0)</f>
        <v>-0.05</v>
      </c>
      <c r="P204" s="10" cm="1">
        <f t="array" ref="P204">Common_InputFunctions.Utility_DisplayArrayInTable(SourceData_PastureBeef.SourceData_PastureBeef_LiveweightGainNTQLD_Data(),Table_SourceData_PastureBeef_LiveweightGainNTQLD[[#Headers],[State]],0)</f>
        <v>0.32</v>
      </c>
    </row>
    <row r="205" spans="4:16" x14ac:dyDescent="0.25">
      <c r="D205" s="8" t="str" cm="1">
        <f t="array" ref="D205">Common_InputFunctions.Utility_DisplayArrayInTable(SourceData_PastureBeef.SourceData_PastureBeef_LiveweightGainNTQLD_Data(),Table_SourceData_PastureBeef_LiveweightGainNTQLD[[#Headers],[State]],0)</f>
        <v>Queensland</v>
      </c>
      <c r="E205" s="10" t="str" cm="1">
        <f t="array" ref="E205">Common_InputFunctions.Utility_DisplayArrayInTable(SourceData_PastureBeef.SourceData_PastureBeef_LiveweightGainNTQLD_Data(),Table_SourceData_PastureBeef_LiveweightGainNTQLD[[#Headers],[State]],0)</f>
        <v>High</v>
      </c>
      <c r="F205" s="10" t="str" cm="1">
        <f t="array" ref="F205">Common_InputFunctions.Utility_DisplayArrayInTable(SourceData_PastureBeef.SourceData_PastureBeef_LiveweightGainNTQLD_Data(),Table_SourceData_PastureBeef_LiveweightGainNTQLD[[#Headers],[State]],0)</f>
        <v>Winter</v>
      </c>
      <c r="G205" s="10" cm="1">
        <f t="array" ref="G205">Common_InputFunctions.Utility_DisplayArrayInTable(SourceData_PastureBeef.SourceData_PastureBeef_LiveweightGainNTQLD_Data(),Table_SourceData_PastureBeef_LiveweightGainNTQLD[[#Headers],[State]],0)</f>
        <v>0.51</v>
      </c>
      <c r="H205" s="10" cm="1">
        <f t="array" ref="H205">Common_InputFunctions.Utility_DisplayArrayInTable(SourceData_PastureBeef.SourceData_PastureBeef_LiveweightGainNTQLD_Data(),Table_SourceData_PastureBeef_LiveweightGainNTQLD[[#Headers],[State]],0)</f>
        <v>-7.0000000000000007E-2</v>
      </c>
      <c r="I205" s="10" cm="1">
        <f t="array" ref="I205">Common_InputFunctions.Utility_DisplayArrayInTable(SourceData_PastureBeef.SourceData_PastureBeef_LiveweightGainNTQLD_Data(),Table_SourceData_PastureBeef_LiveweightGainNTQLD[[#Headers],[State]],0)</f>
        <v>0.13</v>
      </c>
      <c r="J205" s="10" cm="1">
        <f t="array" ref="J205">Common_InputFunctions.Utility_DisplayArrayInTable(SourceData_PastureBeef.SourceData_PastureBeef_LiveweightGainNTQLD_Data(),Table_SourceData_PastureBeef_LiveweightGainNTQLD[[#Headers],[State]],0)</f>
        <v>-0.09</v>
      </c>
      <c r="K205" s="10" cm="1">
        <f t="array" ref="K205">Common_InputFunctions.Utility_DisplayArrayInTable(SourceData_PastureBeef.SourceData_PastureBeef_LiveweightGainNTQLD_Data(),Table_SourceData_PastureBeef_LiveweightGainNTQLD[[#Headers],[State]],0)</f>
        <v>-0.13</v>
      </c>
      <c r="L205" s="10" cm="1">
        <f t="array" ref="L205">Common_InputFunctions.Utility_DisplayArrayInTable(SourceData_PastureBeef.SourceData_PastureBeef_LiveweightGainNTQLD_Data(),Table_SourceData_PastureBeef_LiveweightGainNTQLD[[#Headers],[State]],0)</f>
        <v>7.0000000000000007E-2</v>
      </c>
      <c r="M205" s="10" cm="1">
        <f t="array" ref="M205">Common_InputFunctions.Utility_DisplayArrayInTable(SourceData_PastureBeef.SourceData_PastureBeef_LiveweightGainNTQLD_Data(),Table_SourceData_PastureBeef_LiveweightGainNTQLD[[#Headers],[State]],0)</f>
        <v>0.25</v>
      </c>
      <c r="N205" s="10" cm="1">
        <f t="array" ref="N205">Common_InputFunctions.Utility_DisplayArrayInTable(SourceData_PastureBeef.SourceData_PastureBeef_LiveweightGainNTQLD_Data(),Table_SourceData_PastureBeef_LiveweightGainNTQLD[[#Headers],[State]],0)</f>
        <v>0.71</v>
      </c>
      <c r="O205" s="10" cm="1">
        <f t="array" ref="O205">Common_InputFunctions.Utility_DisplayArrayInTable(SourceData_PastureBeef.SourceData_PastureBeef_LiveweightGainNTQLD_Data(),Table_SourceData_PastureBeef_LiveweightGainNTQLD[[#Headers],[State]],0)</f>
        <v>0.17</v>
      </c>
      <c r="P205" s="10" cm="1">
        <f t="array" ref="P205">Common_InputFunctions.Utility_DisplayArrayInTable(SourceData_PastureBeef.SourceData_PastureBeef_LiveweightGainNTQLD_Data(),Table_SourceData_PastureBeef_LiveweightGainNTQLD[[#Headers],[State]],0)</f>
        <v>0.43</v>
      </c>
    </row>
    <row r="206" spans="4:16" x14ac:dyDescent="0.25">
      <c r="D206" s="8" t="str" cm="1">
        <f t="array" ref="D206">Common_InputFunctions.Utility_DisplayArrayInTable(SourceData_PastureBeef.SourceData_PastureBeef_LiveweightGainNTQLD_Data(),Table_SourceData_PastureBeef_LiveweightGainNTQLD[[#Headers],[State]],0)</f>
        <v>Queensland</v>
      </c>
      <c r="E206" s="10" t="str" cm="1">
        <f t="array" ref="E206">Common_InputFunctions.Utility_DisplayArrayInTable(SourceData_PastureBeef.SourceData_PastureBeef_LiveweightGainNTQLD_Data(),Table_SourceData_PastureBeef_LiveweightGainNTQLD[[#Headers],[State]],0)</f>
        <v>Moderate/High</v>
      </c>
      <c r="F206" s="10" t="str" cm="1">
        <f t="array" ref="F206">Common_InputFunctions.Utility_DisplayArrayInTable(SourceData_PastureBeef.SourceData_PastureBeef_LiveweightGainNTQLD_Data(),Table_SourceData_PastureBeef_LiveweightGainNTQLD[[#Headers],[State]],0)</f>
        <v>Spring</v>
      </c>
      <c r="G206" s="10" cm="1">
        <f t="array" ref="G206">Common_InputFunctions.Utility_DisplayArrayInTable(SourceData_PastureBeef.SourceData_PastureBeef_LiveweightGainNTQLD_Data(),Table_SourceData_PastureBeef_LiveweightGainNTQLD[[#Headers],[State]],0)</f>
        <v>-0.12</v>
      </c>
      <c r="H206" s="10" cm="1">
        <f t="array" ref="H206">Common_InputFunctions.Utility_DisplayArrayInTable(SourceData_PastureBeef.SourceData_PastureBeef_LiveweightGainNTQLD_Data(),Table_SourceData_PastureBeef_LiveweightGainNTQLD[[#Headers],[State]],0)</f>
        <v>-0.19</v>
      </c>
      <c r="I206" s="10" cm="1">
        <f t="array" ref="I206">Common_InputFunctions.Utility_DisplayArrayInTable(SourceData_PastureBeef.SourceData_PastureBeef_LiveweightGainNTQLD_Data(),Table_SourceData_PastureBeef_LiveweightGainNTQLD[[#Headers],[State]],0)</f>
        <v>0.41</v>
      </c>
      <c r="J206" s="10" cm="1">
        <f t="array" ref="J206">Common_InputFunctions.Utility_DisplayArrayInTable(SourceData_PastureBeef.SourceData_PastureBeef_LiveweightGainNTQLD_Data(),Table_SourceData_PastureBeef_LiveweightGainNTQLD[[#Headers],[State]],0)</f>
        <v>0.09</v>
      </c>
      <c r="K206" s="10" cm="1">
        <f t="array" ref="K206">Common_InputFunctions.Utility_DisplayArrayInTable(SourceData_PastureBeef.SourceData_PastureBeef_LiveweightGainNTQLD_Data(),Table_SourceData_PastureBeef_LiveweightGainNTQLD[[#Headers],[State]],0)</f>
        <v>0.41</v>
      </c>
      <c r="L206" s="10" cm="1">
        <f t="array" ref="L206">Common_InputFunctions.Utility_DisplayArrayInTable(SourceData_PastureBeef.SourceData_PastureBeef_LiveweightGainNTQLD_Data(),Table_SourceData_PastureBeef_LiveweightGainNTQLD[[#Headers],[State]],0)</f>
        <v>-0.19</v>
      </c>
      <c r="M206" s="10" cm="1">
        <f t="array" ref="M206">Common_InputFunctions.Utility_DisplayArrayInTable(SourceData_PastureBeef.SourceData_PastureBeef_LiveweightGainNTQLD_Data(),Table_SourceData_PastureBeef_LiveweightGainNTQLD[[#Headers],[State]],0)</f>
        <v>7.0000000000000007E-2</v>
      </c>
      <c r="N206" s="10" cm="1">
        <f t="array" ref="N206">Common_InputFunctions.Utility_DisplayArrayInTable(SourceData_PastureBeef.SourceData_PastureBeef_LiveweightGainNTQLD_Data(),Table_SourceData_PastureBeef_LiveweightGainNTQLD[[#Headers],[State]],0)</f>
        <v>1.07</v>
      </c>
      <c r="O206" s="10" cm="1">
        <f t="array" ref="O206">Common_InputFunctions.Utility_DisplayArrayInTable(SourceData_PastureBeef.SourceData_PastureBeef_LiveweightGainNTQLD_Data(),Table_SourceData_PastureBeef_LiveweightGainNTQLD[[#Headers],[State]],0)</f>
        <v>-0.08</v>
      </c>
      <c r="P206" s="10" cm="1">
        <f t="array" ref="P206">Common_InputFunctions.Utility_DisplayArrayInTable(SourceData_PastureBeef.SourceData_PastureBeef_LiveweightGainNTQLD_Data(),Table_SourceData_PastureBeef_LiveweightGainNTQLD[[#Headers],[State]],0)</f>
        <v>0</v>
      </c>
    </row>
    <row r="207" spans="4:16" x14ac:dyDescent="0.25">
      <c r="D207" s="8" t="str" cm="1">
        <f t="array" ref="D207">Common_InputFunctions.Utility_DisplayArrayInTable(SourceData_PastureBeef.SourceData_PastureBeef_LiveweightGainNTQLD_Data(),Table_SourceData_PastureBeef_LiveweightGainNTQLD[[#Headers],[State]],0)</f>
        <v>Queensland</v>
      </c>
      <c r="E207" s="10" t="str" cm="1">
        <f t="array" ref="E207">Common_InputFunctions.Utility_DisplayArrayInTable(SourceData_PastureBeef.SourceData_PastureBeef_LiveweightGainNTQLD_Data(),Table_SourceData_PastureBeef_LiveweightGainNTQLD[[#Headers],[State]],0)</f>
        <v>Moderate/High</v>
      </c>
      <c r="F207" s="10" t="str" cm="1">
        <f t="array" ref="F207">Common_InputFunctions.Utility_DisplayArrayInTable(SourceData_PastureBeef.SourceData_PastureBeef_LiveweightGainNTQLD_Data(),Table_SourceData_PastureBeef_LiveweightGainNTQLD[[#Headers],[State]],0)</f>
        <v>Summer</v>
      </c>
      <c r="G207" s="10" cm="1">
        <f t="array" ref="G207">Common_InputFunctions.Utility_DisplayArrayInTable(SourceData_PastureBeef.SourceData_PastureBeef_LiveweightGainNTQLD_Data(),Table_SourceData_PastureBeef_LiveweightGainNTQLD[[#Headers],[State]],0)</f>
        <v>0.65</v>
      </c>
      <c r="H207" s="10" cm="1">
        <f t="array" ref="H207">Common_InputFunctions.Utility_DisplayArrayInTable(SourceData_PastureBeef.SourceData_PastureBeef_LiveweightGainNTQLD_Data(),Table_SourceData_PastureBeef_LiveweightGainNTQLD[[#Headers],[State]],0)</f>
        <v>0.19</v>
      </c>
      <c r="I207" s="10" cm="1">
        <f t="array" ref="I207">Common_InputFunctions.Utility_DisplayArrayInTable(SourceData_PastureBeef.SourceData_PastureBeef_LiveweightGainNTQLD_Data(),Table_SourceData_PastureBeef_LiveweightGainNTQLD[[#Headers],[State]],0)</f>
        <v>0.65</v>
      </c>
      <c r="J207" s="10" cm="1">
        <f t="array" ref="J207">Common_InputFunctions.Utility_DisplayArrayInTable(SourceData_PastureBeef.SourceData_PastureBeef_LiveweightGainNTQLD_Data(),Table_SourceData_PastureBeef_LiveweightGainNTQLD[[#Headers],[State]],0)</f>
        <v>0.51</v>
      </c>
      <c r="K207" s="10" cm="1">
        <f t="array" ref="K207">Common_InputFunctions.Utility_DisplayArrayInTable(SourceData_PastureBeef.SourceData_PastureBeef_LiveweightGainNTQLD_Data(),Table_SourceData_PastureBeef_LiveweightGainNTQLD[[#Headers],[State]],0)</f>
        <v>0.18</v>
      </c>
      <c r="L207" s="10" cm="1">
        <f t="array" ref="L207">Common_InputFunctions.Utility_DisplayArrayInTable(SourceData_PastureBeef.SourceData_PastureBeef_LiveweightGainNTQLD_Data(),Table_SourceData_PastureBeef_LiveweightGainNTQLD[[#Headers],[State]],0)</f>
        <v>0.63</v>
      </c>
      <c r="M207" s="10" cm="1">
        <f t="array" ref="M207">Common_InputFunctions.Utility_DisplayArrayInTable(SourceData_PastureBeef.SourceData_PastureBeef_LiveweightGainNTQLD_Data(),Table_SourceData_PastureBeef_LiveweightGainNTQLD[[#Headers],[State]],0)</f>
        <v>1.3</v>
      </c>
      <c r="N207" s="10" cm="1">
        <f t="array" ref="N207">Common_InputFunctions.Utility_DisplayArrayInTable(SourceData_PastureBeef.SourceData_PastureBeef_LiveweightGainNTQLD_Data(),Table_SourceData_PastureBeef_LiveweightGainNTQLD[[#Headers],[State]],0)</f>
        <v>0.48</v>
      </c>
      <c r="O207" s="10" cm="1">
        <f t="array" ref="O207">Common_InputFunctions.Utility_DisplayArrayInTable(SourceData_PastureBeef.SourceData_PastureBeef_LiveweightGainNTQLD_Data(),Table_SourceData_PastureBeef_LiveweightGainNTQLD[[#Headers],[State]],0)</f>
        <v>1.1200000000000001</v>
      </c>
      <c r="P207" s="10" cm="1">
        <f t="array" ref="P207">Common_InputFunctions.Utility_DisplayArrayInTable(SourceData_PastureBeef.SourceData_PastureBeef_LiveweightGainNTQLD_Data(),Table_SourceData_PastureBeef_LiveweightGainNTQLD[[#Headers],[State]],0)</f>
        <v>0.38</v>
      </c>
    </row>
    <row r="208" spans="4:16" x14ac:dyDescent="0.25">
      <c r="D208" s="8" t="str" cm="1">
        <f t="array" ref="D208">Common_InputFunctions.Utility_DisplayArrayInTable(SourceData_PastureBeef.SourceData_PastureBeef_LiveweightGainNTQLD_Data(),Table_SourceData_PastureBeef_LiveweightGainNTQLD[[#Headers],[State]],0)</f>
        <v>Queensland</v>
      </c>
      <c r="E208" s="10" t="str" cm="1">
        <f t="array" ref="E208">Common_InputFunctions.Utility_DisplayArrayInTable(SourceData_PastureBeef.SourceData_PastureBeef_LiveweightGainNTQLD_Data(),Table_SourceData_PastureBeef_LiveweightGainNTQLD[[#Headers],[State]],0)</f>
        <v>Moderate/High</v>
      </c>
      <c r="F208" s="10" t="str" cm="1">
        <f t="array" ref="F208">Common_InputFunctions.Utility_DisplayArrayInTable(SourceData_PastureBeef.SourceData_PastureBeef_LiveweightGainNTQLD_Data(),Table_SourceData_PastureBeef_LiveweightGainNTQLD[[#Headers],[State]],0)</f>
        <v>Autumn</v>
      </c>
      <c r="G208" s="10" cm="1">
        <f t="array" ref="G208">Common_InputFunctions.Utility_DisplayArrayInTable(SourceData_PastureBeef.SourceData_PastureBeef_LiveweightGainNTQLD_Data(),Table_SourceData_PastureBeef_LiveweightGainNTQLD[[#Headers],[State]],0)</f>
        <v>0.7</v>
      </c>
      <c r="H208" s="10" cm="1">
        <f t="array" ref="H208">Common_InputFunctions.Utility_DisplayArrayInTable(SourceData_PastureBeef.SourceData_PastureBeef_LiveweightGainNTQLD_Data(),Table_SourceData_PastureBeef_LiveweightGainNTQLD[[#Headers],[State]],0)</f>
        <v>0.13</v>
      </c>
      <c r="I208" s="10" cm="1">
        <f t="array" ref="I208">Common_InputFunctions.Utility_DisplayArrayInTable(SourceData_PastureBeef.SourceData_PastureBeef_LiveweightGainNTQLD_Data(),Table_SourceData_PastureBeef_LiveweightGainNTQLD[[#Headers],[State]],0)</f>
        <v>0.52</v>
      </c>
      <c r="J208" s="10" cm="1">
        <f t="array" ref="J208">Common_InputFunctions.Utility_DisplayArrayInTable(SourceData_PastureBeef.SourceData_PastureBeef_LiveweightGainNTQLD_Data(),Table_SourceData_PastureBeef_LiveweightGainNTQLD[[#Headers],[State]],0)</f>
        <v>0.34</v>
      </c>
      <c r="K208" s="10" cm="1">
        <f t="array" ref="K208">Common_InputFunctions.Utility_DisplayArrayInTable(SourceData_PastureBeef.SourceData_PastureBeef_LiveweightGainNTQLD_Data(),Table_SourceData_PastureBeef_LiveweightGainNTQLD[[#Headers],[State]],0)</f>
        <v>0.02</v>
      </c>
      <c r="L208" s="10" cm="1">
        <f t="array" ref="L208">Common_InputFunctions.Utility_DisplayArrayInTable(SourceData_PastureBeef.SourceData_PastureBeef_LiveweightGainNTQLD_Data(),Table_SourceData_PastureBeef_LiveweightGainNTQLD[[#Headers],[State]],0)</f>
        <v>0.04</v>
      </c>
      <c r="M208" s="10" cm="1">
        <f t="array" ref="M208">Common_InputFunctions.Utility_DisplayArrayInTable(SourceData_PastureBeef.SourceData_PastureBeef_LiveweightGainNTQLD_Data(),Table_SourceData_PastureBeef_LiveweightGainNTQLD[[#Headers],[State]],0)</f>
        <v>0.77</v>
      </c>
      <c r="N208" s="10" cm="1">
        <f t="array" ref="N208">Common_InputFunctions.Utility_DisplayArrayInTable(SourceData_PastureBeef.SourceData_PastureBeef_LiveweightGainNTQLD_Data(),Table_SourceData_PastureBeef_LiveweightGainNTQLD[[#Headers],[State]],0)</f>
        <v>0.42</v>
      </c>
      <c r="O208" s="10" cm="1">
        <f t="array" ref="O208">Common_InputFunctions.Utility_DisplayArrayInTable(SourceData_PastureBeef.SourceData_PastureBeef_LiveweightGainNTQLD_Data(),Table_SourceData_PastureBeef_LiveweightGainNTQLD[[#Headers],[State]],0)</f>
        <v>0.12</v>
      </c>
      <c r="P208" s="10" cm="1">
        <f t="array" ref="P208">Common_InputFunctions.Utility_DisplayArrayInTable(SourceData_PastureBeef.SourceData_PastureBeef_LiveweightGainNTQLD_Data(),Table_SourceData_PastureBeef_LiveweightGainNTQLD[[#Headers],[State]],0)</f>
        <v>0.74</v>
      </c>
    </row>
    <row r="209" spans="4:16" x14ac:dyDescent="0.25">
      <c r="D209" s="8" t="str" cm="1">
        <f t="array" ref="D209">Common_InputFunctions.Utility_DisplayArrayInTable(SourceData_PastureBeef.SourceData_PastureBeef_LiveweightGainNTQLD_Data(),Table_SourceData_PastureBeef_LiveweightGainNTQLD[[#Headers],[State]],0)</f>
        <v>Queensland</v>
      </c>
      <c r="E209" s="10" t="str" cm="1">
        <f t="array" ref="E209">Common_InputFunctions.Utility_DisplayArrayInTable(SourceData_PastureBeef.SourceData_PastureBeef_LiveweightGainNTQLD_Data(),Table_SourceData_PastureBeef_LiveweightGainNTQLD[[#Headers],[State]],0)</f>
        <v>Moderate/High</v>
      </c>
      <c r="F209" s="10" t="str" cm="1">
        <f t="array" ref="F209">Common_InputFunctions.Utility_DisplayArrayInTable(SourceData_PastureBeef.SourceData_PastureBeef_LiveweightGainNTQLD_Data(),Table_SourceData_PastureBeef_LiveweightGainNTQLD[[#Headers],[State]],0)</f>
        <v>Winter</v>
      </c>
      <c r="G209" s="10" cm="1">
        <f t="array" ref="G209">Common_InputFunctions.Utility_DisplayArrayInTable(SourceData_PastureBeef.SourceData_PastureBeef_LiveweightGainNTQLD_Data(),Table_SourceData_PastureBeef_LiveweightGainNTQLD[[#Headers],[State]],0)</f>
        <v>0.32</v>
      </c>
      <c r="H209" s="10" cm="1">
        <f t="array" ref="H209">Common_InputFunctions.Utility_DisplayArrayInTable(SourceData_PastureBeef.SourceData_PastureBeef_LiveweightGainNTQLD_Data(),Table_SourceData_PastureBeef_LiveweightGainNTQLD[[#Headers],[State]],0)</f>
        <v>-0.06</v>
      </c>
      <c r="I209" s="10" cm="1">
        <f t="array" ref="I209">Common_InputFunctions.Utility_DisplayArrayInTable(SourceData_PastureBeef.SourceData_PastureBeef_LiveweightGainNTQLD_Data(),Table_SourceData_PastureBeef_LiveweightGainNTQLD[[#Headers],[State]],0)</f>
        <v>0.25</v>
      </c>
      <c r="J209" s="10" cm="1">
        <f t="array" ref="J209">Common_InputFunctions.Utility_DisplayArrayInTable(SourceData_PastureBeef.SourceData_PastureBeef_LiveweightGainNTQLD_Data(),Table_SourceData_PastureBeef_LiveweightGainNTQLD[[#Headers],[State]],0)</f>
        <v>0.19</v>
      </c>
      <c r="K209" s="10" cm="1">
        <f t="array" ref="K209">Common_InputFunctions.Utility_DisplayArrayInTable(SourceData_PastureBeef.SourceData_PastureBeef_LiveweightGainNTQLD_Data(),Table_SourceData_PastureBeef_LiveweightGainNTQLD[[#Headers],[State]],0)</f>
        <v>-0.1</v>
      </c>
      <c r="L209" s="10" cm="1">
        <f t="array" ref="L209">Common_InputFunctions.Utility_DisplayArrayInTable(SourceData_PastureBeef.SourceData_PastureBeef_LiveweightGainNTQLD_Data(),Table_SourceData_PastureBeef_LiveweightGainNTQLD[[#Headers],[State]],0)</f>
        <v>-0.02</v>
      </c>
      <c r="M209" s="10" cm="1">
        <f t="array" ref="M209">Common_InputFunctions.Utility_DisplayArrayInTable(SourceData_PastureBeef.SourceData_PastureBeef_LiveweightGainNTQLD_Data(),Table_SourceData_PastureBeef_LiveweightGainNTQLD[[#Headers],[State]],0)</f>
        <v>0.02</v>
      </c>
      <c r="N209" s="10" cm="1">
        <f t="array" ref="N209">Common_InputFunctions.Utility_DisplayArrayInTable(SourceData_PastureBeef.SourceData_PastureBeef_LiveweightGainNTQLD_Data(),Table_SourceData_PastureBeef_LiveweightGainNTQLD[[#Headers],[State]],0)</f>
        <v>0.23</v>
      </c>
      <c r="O209" s="10" cm="1">
        <f t="array" ref="O209">Common_InputFunctions.Utility_DisplayArrayInTable(SourceData_PastureBeef.SourceData_PastureBeef_LiveweightGainNTQLD_Data(),Table_SourceData_PastureBeef_LiveweightGainNTQLD[[#Headers],[State]],0)</f>
        <v>-0.13</v>
      </c>
      <c r="P209" s="10" cm="1">
        <f t="array" ref="P209">Common_InputFunctions.Utility_DisplayArrayInTable(SourceData_PastureBeef.SourceData_PastureBeef_LiveweightGainNTQLD_Data(),Table_SourceData_PastureBeef_LiveweightGainNTQLD[[#Headers],[State]],0)</f>
        <v>0</v>
      </c>
    </row>
    <row r="210" spans="4:16" x14ac:dyDescent="0.25">
      <c r="D210" s="8" t="str" cm="1">
        <f t="array" ref="D210">Common_InputFunctions.Utility_DisplayArrayInTable(SourceData_PastureBeef.SourceData_PastureBeef_LiveweightGainNTQLD_Data(),Table_SourceData_PastureBeef_LiveweightGainNTQLD[[#Headers],[State]],0)</f>
        <v>Queensland</v>
      </c>
      <c r="E210" s="10" t="str" cm="1">
        <f t="array" ref="E210">Common_InputFunctions.Utility_DisplayArrayInTable(SourceData_PastureBeef.SourceData_PastureBeef_LiveweightGainNTQLD_Data(),Table_SourceData_PastureBeef_LiveweightGainNTQLD[[#Headers],[State]],0)</f>
        <v>Moderate/Low</v>
      </c>
      <c r="F210" s="10" t="str" cm="1">
        <f t="array" ref="F210">Common_InputFunctions.Utility_DisplayArrayInTable(SourceData_PastureBeef.SourceData_PastureBeef_LiveweightGainNTQLD_Data(),Table_SourceData_PastureBeef_LiveweightGainNTQLD[[#Headers],[State]],0)</f>
        <v>Spring</v>
      </c>
      <c r="G210" s="10" cm="1">
        <f t="array" ref="G210">Common_InputFunctions.Utility_DisplayArrayInTable(SourceData_PastureBeef.SourceData_PastureBeef_LiveweightGainNTQLD_Data(),Table_SourceData_PastureBeef_LiveweightGainNTQLD[[#Headers],[State]],0)</f>
        <v>0.62</v>
      </c>
      <c r="H210" s="10" cm="1">
        <f t="array" ref="H210">Common_InputFunctions.Utility_DisplayArrayInTable(SourceData_PastureBeef.SourceData_PastureBeef_LiveweightGainNTQLD_Data(),Table_SourceData_PastureBeef_LiveweightGainNTQLD[[#Headers],[State]],0)</f>
        <v>-0.19</v>
      </c>
      <c r="I210" s="10" cm="1">
        <f t="array" ref="I210">Common_InputFunctions.Utility_DisplayArrayInTable(SourceData_PastureBeef.SourceData_PastureBeef_LiveweightGainNTQLD_Data(),Table_SourceData_PastureBeef_LiveweightGainNTQLD[[#Headers],[State]],0)</f>
        <v>0.37</v>
      </c>
      <c r="J210" s="10" cm="1">
        <f t="array" ref="J210">Common_InputFunctions.Utility_DisplayArrayInTable(SourceData_PastureBeef.SourceData_PastureBeef_LiveweightGainNTQLD_Data(),Table_SourceData_PastureBeef_LiveweightGainNTQLD[[#Headers],[State]],0)</f>
        <v>0.41</v>
      </c>
      <c r="K210" s="10" cm="1">
        <f t="array" ref="K210">Common_InputFunctions.Utility_DisplayArrayInTable(SourceData_PastureBeef.SourceData_PastureBeef_LiveweightGainNTQLD_Data(),Table_SourceData_PastureBeef_LiveweightGainNTQLD[[#Headers],[State]],0)</f>
        <v>0.06</v>
      </c>
      <c r="L210" s="10" cm="1">
        <f t="array" ref="L210">Common_InputFunctions.Utility_DisplayArrayInTable(SourceData_PastureBeef.SourceData_PastureBeef_LiveweightGainNTQLD_Data(),Table_SourceData_PastureBeef_LiveweightGainNTQLD[[#Headers],[State]],0)</f>
        <v>-0.02</v>
      </c>
      <c r="M210" s="10" cm="1">
        <f t="array" ref="M210">Common_InputFunctions.Utility_DisplayArrayInTable(SourceData_PastureBeef.SourceData_PastureBeef_LiveweightGainNTQLD_Data(),Table_SourceData_PastureBeef_LiveweightGainNTQLD[[#Headers],[State]],0)</f>
        <v>0.47</v>
      </c>
      <c r="N210" s="10" cm="1">
        <f t="array" ref="N210">Common_InputFunctions.Utility_DisplayArrayInTable(SourceData_PastureBeef.SourceData_PastureBeef_LiveweightGainNTQLD_Data(),Table_SourceData_PastureBeef_LiveweightGainNTQLD[[#Headers],[State]],0)</f>
        <v>0.44</v>
      </c>
      <c r="O210" s="10" cm="1">
        <f t="array" ref="O210">Common_InputFunctions.Utility_DisplayArrayInTable(SourceData_PastureBeef.SourceData_PastureBeef_LiveweightGainNTQLD_Data(),Table_SourceData_PastureBeef_LiveweightGainNTQLD[[#Headers],[State]],0)</f>
        <v>0.3</v>
      </c>
      <c r="P210" s="10" cm="1">
        <f t="array" ref="P210">Common_InputFunctions.Utility_DisplayArrayInTable(SourceData_PastureBeef.SourceData_PastureBeef_LiveweightGainNTQLD_Data(),Table_SourceData_PastureBeef_LiveweightGainNTQLD[[#Headers],[State]],0)</f>
        <v>0.13</v>
      </c>
    </row>
    <row r="211" spans="4:16" x14ac:dyDescent="0.25">
      <c r="D211" s="8" t="str" cm="1">
        <f t="array" ref="D211">Common_InputFunctions.Utility_DisplayArrayInTable(SourceData_PastureBeef.SourceData_PastureBeef_LiveweightGainNTQLD_Data(),Table_SourceData_PastureBeef_LiveweightGainNTQLD[[#Headers],[State]],0)</f>
        <v>Queensland</v>
      </c>
      <c r="E211" s="10" t="str" cm="1">
        <f t="array" ref="E211">Common_InputFunctions.Utility_DisplayArrayInTable(SourceData_PastureBeef.SourceData_PastureBeef_LiveweightGainNTQLD_Data(),Table_SourceData_PastureBeef_LiveweightGainNTQLD[[#Headers],[State]],0)</f>
        <v>Moderate/Low</v>
      </c>
      <c r="F211" s="10" t="str" cm="1">
        <f t="array" ref="F211">Common_InputFunctions.Utility_DisplayArrayInTable(SourceData_PastureBeef.SourceData_PastureBeef_LiveweightGainNTQLD_Data(),Table_SourceData_PastureBeef_LiveweightGainNTQLD[[#Headers],[State]],0)</f>
        <v>Summer</v>
      </c>
      <c r="G211" s="10" cm="1">
        <f t="array" ref="G211">Common_InputFunctions.Utility_DisplayArrayInTable(SourceData_PastureBeef.SourceData_PastureBeef_LiveweightGainNTQLD_Data(),Table_SourceData_PastureBeef_LiveweightGainNTQLD[[#Headers],[State]],0)</f>
        <v>0.05</v>
      </c>
      <c r="H211" s="10" cm="1">
        <f t="array" ref="H211">Common_InputFunctions.Utility_DisplayArrayInTable(SourceData_PastureBeef.SourceData_PastureBeef_LiveweightGainNTQLD_Data(),Table_SourceData_PastureBeef_LiveweightGainNTQLD[[#Headers],[State]],0)</f>
        <v>0.19</v>
      </c>
      <c r="I211" s="10" cm="1">
        <f t="array" ref="I211">Common_InputFunctions.Utility_DisplayArrayInTable(SourceData_PastureBeef.SourceData_PastureBeef_LiveweightGainNTQLD_Data(),Table_SourceData_PastureBeef_LiveweightGainNTQLD[[#Headers],[State]],0)</f>
        <v>0.31</v>
      </c>
      <c r="J211" s="10" cm="1">
        <f t="array" ref="J211">Common_InputFunctions.Utility_DisplayArrayInTable(SourceData_PastureBeef.SourceData_PastureBeef_LiveweightGainNTQLD_Data(),Table_SourceData_PastureBeef_LiveweightGainNTQLD[[#Headers],[State]],0)</f>
        <v>0.54</v>
      </c>
      <c r="K211" s="10" cm="1">
        <f t="array" ref="K211">Common_InputFunctions.Utility_DisplayArrayInTable(SourceData_PastureBeef.SourceData_PastureBeef_LiveweightGainNTQLD_Data(),Table_SourceData_PastureBeef_LiveweightGainNTQLD[[#Headers],[State]],0)</f>
        <v>0.53</v>
      </c>
      <c r="L211" s="10" cm="1">
        <f t="array" ref="L211">Common_InputFunctions.Utility_DisplayArrayInTable(SourceData_PastureBeef.SourceData_PastureBeef_LiveweightGainNTQLD_Data(),Table_SourceData_PastureBeef_LiveweightGainNTQLD[[#Headers],[State]],0)</f>
        <v>0.15</v>
      </c>
      <c r="M211" s="10" cm="1">
        <f t="array" ref="M211">Common_InputFunctions.Utility_DisplayArrayInTable(SourceData_PastureBeef.SourceData_PastureBeef_LiveweightGainNTQLD_Data(),Table_SourceData_PastureBeef_LiveweightGainNTQLD[[#Headers],[State]],0)</f>
        <v>0.28000000000000003</v>
      </c>
      <c r="N211" s="10" cm="1">
        <f t="array" ref="N211">Common_InputFunctions.Utility_DisplayArrayInTable(SourceData_PastureBeef.SourceData_PastureBeef_LiveweightGainNTQLD_Data(),Table_SourceData_PastureBeef_LiveweightGainNTQLD[[#Headers],[State]],0)</f>
        <v>0.56999999999999995</v>
      </c>
      <c r="O211" s="10" cm="1">
        <f t="array" ref="O211">Common_InputFunctions.Utility_DisplayArrayInTable(SourceData_PastureBeef.SourceData_PastureBeef_LiveweightGainNTQLD_Data(),Table_SourceData_PastureBeef_LiveweightGainNTQLD[[#Headers],[State]],0)</f>
        <v>0.42</v>
      </c>
      <c r="P211" s="10" cm="1">
        <f t="array" ref="P211">Common_InputFunctions.Utility_DisplayArrayInTable(SourceData_PastureBeef.SourceData_PastureBeef_LiveweightGainNTQLD_Data(),Table_SourceData_PastureBeef_LiveweightGainNTQLD[[#Headers],[State]],0)</f>
        <v>0.4</v>
      </c>
    </row>
    <row r="212" spans="4:16" x14ac:dyDescent="0.25">
      <c r="D212" s="8" t="str" cm="1">
        <f t="array" ref="D212">Common_InputFunctions.Utility_DisplayArrayInTable(SourceData_PastureBeef.SourceData_PastureBeef_LiveweightGainNTQLD_Data(),Table_SourceData_PastureBeef_LiveweightGainNTQLD[[#Headers],[State]],0)</f>
        <v>Queensland</v>
      </c>
      <c r="E212" s="10" t="str" cm="1">
        <f t="array" ref="E212">Common_InputFunctions.Utility_DisplayArrayInTable(SourceData_PastureBeef.SourceData_PastureBeef_LiveweightGainNTQLD_Data(),Table_SourceData_PastureBeef_LiveweightGainNTQLD[[#Headers],[State]],0)</f>
        <v>Moderate/Low</v>
      </c>
      <c r="F212" s="10" t="str" cm="1">
        <f t="array" ref="F212">Common_InputFunctions.Utility_DisplayArrayInTable(SourceData_PastureBeef.SourceData_PastureBeef_LiveweightGainNTQLD_Data(),Table_SourceData_PastureBeef_LiveweightGainNTQLD[[#Headers],[State]],0)</f>
        <v>Autumn</v>
      </c>
      <c r="G212" s="10" cm="1">
        <f t="array" ref="G212">Common_InputFunctions.Utility_DisplayArrayInTable(SourceData_PastureBeef.SourceData_PastureBeef_LiveweightGainNTQLD_Data(),Table_SourceData_PastureBeef_LiveweightGainNTQLD[[#Headers],[State]],0)</f>
        <v>0.33</v>
      </c>
      <c r="H212" s="10" cm="1">
        <f t="array" ref="H212">Common_InputFunctions.Utility_DisplayArrayInTable(SourceData_PastureBeef.SourceData_PastureBeef_LiveweightGainNTQLD_Data(),Table_SourceData_PastureBeef_LiveweightGainNTQLD[[#Headers],[State]],0)</f>
        <v>0.13</v>
      </c>
      <c r="I212" s="10" cm="1">
        <f t="array" ref="I212">Common_InputFunctions.Utility_DisplayArrayInTable(SourceData_PastureBeef.SourceData_PastureBeef_LiveweightGainNTQLD_Data(),Table_SourceData_PastureBeef_LiveweightGainNTQLD[[#Headers],[State]],0)</f>
        <v>0.39</v>
      </c>
      <c r="J212" s="10" cm="1">
        <f t="array" ref="J212">Common_InputFunctions.Utility_DisplayArrayInTable(SourceData_PastureBeef.SourceData_PastureBeef_LiveweightGainNTQLD_Data(),Table_SourceData_PastureBeef_LiveweightGainNTQLD[[#Headers],[State]],0)</f>
        <v>0.36</v>
      </c>
      <c r="K212" s="10" cm="1">
        <f t="array" ref="K212">Common_InputFunctions.Utility_DisplayArrayInTable(SourceData_PastureBeef.SourceData_PastureBeef_LiveweightGainNTQLD_Data(),Table_SourceData_PastureBeef_LiveweightGainNTQLD[[#Headers],[State]],0)</f>
        <v>0.26</v>
      </c>
      <c r="L212" s="10" cm="1">
        <f t="array" ref="L212">Common_InputFunctions.Utility_DisplayArrayInTable(SourceData_PastureBeef.SourceData_PastureBeef_LiveweightGainNTQLD_Data(),Table_SourceData_PastureBeef_LiveweightGainNTQLD[[#Headers],[State]],0)</f>
        <v>0.11</v>
      </c>
      <c r="M212" s="10" cm="1">
        <f t="array" ref="M212">Common_InputFunctions.Utility_DisplayArrayInTable(SourceData_PastureBeef.SourceData_PastureBeef_LiveweightGainNTQLD_Data(),Table_SourceData_PastureBeef_LiveweightGainNTQLD[[#Headers],[State]],0)</f>
        <v>0.4</v>
      </c>
      <c r="N212" s="10" cm="1">
        <f t="array" ref="N212">Common_InputFunctions.Utility_DisplayArrayInTable(SourceData_PastureBeef.SourceData_PastureBeef_LiveweightGainNTQLD_Data(),Table_SourceData_PastureBeef_LiveweightGainNTQLD[[#Headers],[State]],0)</f>
        <v>0.44</v>
      </c>
      <c r="O212" s="10" cm="1">
        <f t="array" ref="O212">Common_InputFunctions.Utility_DisplayArrayInTable(SourceData_PastureBeef.SourceData_PastureBeef_LiveweightGainNTQLD_Data(),Table_SourceData_PastureBeef_LiveweightGainNTQLD[[#Headers],[State]],0)</f>
        <v>0.37</v>
      </c>
      <c r="P212" s="10" cm="1">
        <f t="array" ref="P212">Common_InputFunctions.Utility_DisplayArrayInTable(SourceData_PastureBeef.SourceData_PastureBeef_LiveweightGainNTQLD_Data(),Table_SourceData_PastureBeef_LiveweightGainNTQLD[[#Headers],[State]],0)</f>
        <v>-0.01</v>
      </c>
    </row>
    <row r="213" spans="4:16" x14ac:dyDescent="0.25">
      <c r="D213" s="8" t="str" cm="1">
        <f t="array" ref="D213">Common_InputFunctions.Utility_DisplayArrayInTable(SourceData_PastureBeef.SourceData_PastureBeef_LiveweightGainNTQLD_Data(),Table_SourceData_PastureBeef_LiveweightGainNTQLD[[#Headers],[State]],0)</f>
        <v>Queensland</v>
      </c>
      <c r="E213" s="10" t="str" cm="1">
        <f t="array" ref="E213">Common_InputFunctions.Utility_DisplayArrayInTable(SourceData_PastureBeef.SourceData_PastureBeef_LiveweightGainNTQLD_Data(),Table_SourceData_PastureBeef_LiveweightGainNTQLD[[#Headers],[State]],0)</f>
        <v>Moderate/Low</v>
      </c>
      <c r="F213" s="10" t="str" cm="1">
        <f t="array" ref="F213">Common_InputFunctions.Utility_DisplayArrayInTable(SourceData_PastureBeef.SourceData_PastureBeef_LiveweightGainNTQLD_Data(),Table_SourceData_PastureBeef_LiveweightGainNTQLD[[#Headers],[State]],0)</f>
        <v>Winter</v>
      </c>
      <c r="G213" s="10" cm="1">
        <f t="array" ref="G213">Common_InputFunctions.Utility_DisplayArrayInTable(SourceData_PastureBeef.SourceData_PastureBeef_LiveweightGainNTQLD_Data(),Table_SourceData_PastureBeef_LiveweightGainNTQLD[[#Headers],[State]],0)</f>
        <v>0.61</v>
      </c>
      <c r="H213" s="10" cm="1">
        <f t="array" ref="H213">Common_InputFunctions.Utility_DisplayArrayInTable(SourceData_PastureBeef.SourceData_PastureBeef_LiveweightGainNTQLD_Data(),Table_SourceData_PastureBeef_LiveweightGainNTQLD[[#Headers],[State]],0)</f>
        <v>-0.06</v>
      </c>
      <c r="I213" s="10" cm="1">
        <f t="array" ref="I213">Common_InputFunctions.Utility_DisplayArrayInTable(SourceData_PastureBeef.SourceData_PastureBeef_LiveweightGainNTQLD_Data(),Table_SourceData_PastureBeef_LiveweightGainNTQLD[[#Headers],[State]],0)</f>
        <v>0.21</v>
      </c>
      <c r="J213" s="10" cm="1">
        <f t="array" ref="J213">Common_InputFunctions.Utility_DisplayArrayInTable(SourceData_PastureBeef.SourceData_PastureBeef_LiveweightGainNTQLD_Data(),Table_SourceData_PastureBeef_LiveweightGainNTQLD[[#Headers],[State]],0)</f>
        <v>0.18</v>
      </c>
      <c r="K213" s="10" cm="1">
        <f t="array" ref="K213">Common_InputFunctions.Utility_DisplayArrayInTable(SourceData_PastureBeef.SourceData_PastureBeef_LiveweightGainNTQLD_Data(),Table_SourceData_PastureBeef_LiveweightGainNTQLD[[#Headers],[State]],0)</f>
        <v>0.12</v>
      </c>
      <c r="L213" s="10" cm="1">
        <f t="array" ref="L213">Common_InputFunctions.Utility_DisplayArrayInTable(SourceData_PastureBeef.SourceData_PastureBeef_LiveweightGainNTQLD_Data(),Table_SourceData_PastureBeef_LiveweightGainNTQLD[[#Headers],[State]],0)</f>
        <v>0.06</v>
      </c>
      <c r="M213" s="10" cm="1">
        <f t="array" ref="M213">Common_InputFunctions.Utility_DisplayArrayInTable(SourceData_PastureBeef.SourceData_PastureBeef_LiveweightGainNTQLD_Data(),Table_SourceData_PastureBeef_LiveweightGainNTQLD[[#Headers],[State]],0)</f>
        <v>0.28999999999999998</v>
      </c>
      <c r="N213" s="10" cm="1">
        <f t="array" ref="N213">Common_InputFunctions.Utility_DisplayArrayInTable(SourceData_PastureBeef.SourceData_PastureBeef_LiveweightGainNTQLD_Data(),Table_SourceData_PastureBeef_LiveweightGainNTQLD[[#Headers],[State]],0)</f>
        <v>0.41</v>
      </c>
      <c r="O213" s="10" cm="1">
        <f t="array" ref="O213">Common_InputFunctions.Utility_DisplayArrayInTable(SourceData_PastureBeef.SourceData_PastureBeef_LiveweightGainNTQLD_Data(),Table_SourceData_PastureBeef_LiveweightGainNTQLD[[#Headers],[State]],0)</f>
        <v>0.41</v>
      </c>
      <c r="P213" s="10" cm="1">
        <f t="array" ref="P213">Common_InputFunctions.Utility_DisplayArrayInTable(SourceData_PastureBeef.SourceData_PastureBeef_LiveweightGainNTQLD_Data(),Table_SourceData_PastureBeef_LiveweightGainNTQLD[[#Headers],[State]],0)</f>
        <v>-0.15</v>
      </c>
    </row>
    <row r="214" spans="4:16" x14ac:dyDescent="0.25">
      <c r="D214" s="8" t="str" cm="1">
        <f t="array" ref="D214">Common_InputFunctions.Utility_DisplayArrayInTable(SourceData_PastureBeef.SourceData_PastureBeef_LiveweightGainNTQLD_Data(),Table_SourceData_PastureBeef_LiveweightGainNTQLD[[#Headers],[State]],0)</f>
        <v>Queensland</v>
      </c>
      <c r="E214" s="10" t="str" cm="1">
        <f t="array" ref="E214">Common_InputFunctions.Utility_DisplayArrayInTable(SourceData_PastureBeef.SourceData_PastureBeef_LiveweightGainNTQLD_Data(),Table_SourceData_PastureBeef_LiveweightGainNTQLD[[#Headers],[State]],0)</f>
        <v>Low</v>
      </c>
      <c r="F214" s="10" t="str" cm="1">
        <f t="array" ref="F214">Common_InputFunctions.Utility_DisplayArrayInTable(SourceData_PastureBeef.SourceData_PastureBeef_LiveweightGainNTQLD_Data(),Table_SourceData_PastureBeef_LiveweightGainNTQLD[[#Headers],[State]],0)</f>
        <v>Spring</v>
      </c>
      <c r="G214" s="10" cm="1">
        <f t="array" ref="G214">Common_InputFunctions.Utility_DisplayArrayInTable(SourceData_PastureBeef.SourceData_PastureBeef_LiveweightGainNTQLD_Data(),Table_SourceData_PastureBeef_LiveweightGainNTQLD[[#Headers],[State]],0)</f>
        <v>-0.2</v>
      </c>
      <c r="H214" s="10" cm="1">
        <f t="array" ref="H214">Common_InputFunctions.Utility_DisplayArrayInTable(SourceData_PastureBeef.SourceData_PastureBeef_LiveweightGainNTQLD_Data(),Table_SourceData_PastureBeef_LiveweightGainNTQLD[[#Headers],[State]],0)</f>
        <v>0.02</v>
      </c>
      <c r="I214" s="10" cm="1">
        <f t="array" ref="I214">Common_InputFunctions.Utility_DisplayArrayInTable(SourceData_PastureBeef.SourceData_PastureBeef_LiveweightGainNTQLD_Data(),Table_SourceData_PastureBeef_LiveweightGainNTQLD[[#Headers],[State]],0)</f>
        <v>0.24</v>
      </c>
      <c r="J214" s="10" cm="1">
        <f t="array" ref="J214">Common_InputFunctions.Utility_DisplayArrayInTable(SourceData_PastureBeef.SourceData_PastureBeef_LiveweightGainNTQLD_Data(),Table_SourceData_PastureBeef_LiveweightGainNTQLD[[#Headers],[State]],0)</f>
        <v>0.3</v>
      </c>
      <c r="K214" s="10" cm="1">
        <f t="array" ref="K214">Common_InputFunctions.Utility_DisplayArrayInTable(SourceData_PastureBeef.SourceData_PastureBeef_LiveweightGainNTQLD_Data(),Table_SourceData_PastureBeef_LiveweightGainNTQLD[[#Headers],[State]],0)</f>
        <v>0.23</v>
      </c>
      <c r="L214" s="10" cm="1">
        <f t="array" ref="L214">Common_InputFunctions.Utility_DisplayArrayInTable(SourceData_PastureBeef.SourceData_PastureBeef_LiveweightGainNTQLD_Data(),Table_SourceData_PastureBeef_LiveweightGainNTQLD[[#Headers],[State]],0)</f>
        <v>-0.05</v>
      </c>
      <c r="M214" s="10" cm="1">
        <f t="array" ref="M214">Common_InputFunctions.Utility_DisplayArrayInTable(SourceData_PastureBeef.SourceData_PastureBeef_LiveweightGainNTQLD_Data(),Table_SourceData_PastureBeef_LiveweightGainNTQLD[[#Headers],[State]],0)</f>
        <v>0.34</v>
      </c>
      <c r="N214" s="10" cm="1">
        <f t="array" ref="N214">Common_InputFunctions.Utility_DisplayArrayInTable(SourceData_PastureBeef.SourceData_PastureBeef_LiveweightGainNTQLD_Data(),Table_SourceData_PastureBeef_LiveweightGainNTQLD[[#Headers],[State]],0)</f>
        <v>0.3</v>
      </c>
      <c r="O214" s="10" cm="1">
        <f t="array" ref="O214">Common_InputFunctions.Utility_DisplayArrayInTable(SourceData_PastureBeef.SourceData_PastureBeef_LiveweightGainNTQLD_Data(),Table_SourceData_PastureBeef_LiveweightGainNTQLD[[#Headers],[State]],0)</f>
        <v>0.56999999999999995</v>
      </c>
      <c r="P214" s="10" cm="1">
        <f t="array" ref="P214">Common_InputFunctions.Utility_DisplayArrayInTable(SourceData_PastureBeef.SourceData_PastureBeef_LiveweightGainNTQLD_Data(),Table_SourceData_PastureBeef_LiveweightGainNTQLD[[#Headers],[State]],0)</f>
        <v>0.52</v>
      </c>
    </row>
    <row r="215" spans="4:16" x14ac:dyDescent="0.25">
      <c r="D215" s="8" t="str" cm="1">
        <f t="array" ref="D215">Common_InputFunctions.Utility_DisplayArrayInTable(SourceData_PastureBeef.SourceData_PastureBeef_LiveweightGainNTQLD_Data(),Table_SourceData_PastureBeef_LiveweightGainNTQLD[[#Headers],[State]],0)</f>
        <v>Queensland</v>
      </c>
      <c r="E215" s="10" t="str" cm="1">
        <f t="array" ref="E215">Common_InputFunctions.Utility_DisplayArrayInTable(SourceData_PastureBeef.SourceData_PastureBeef_LiveweightGainNTQLD_Data(),Table_SourceData_PastureBeef_LiveweightGainNTQLD[[#Headers],[State]],0)</f>
        <v>Low</v>
      </c>
      <c r="F215" s="10" t="str" cm="1">
        <f t="array" ref="F215">Common_InputFunctions.Utility_DisplayArrayInTable(SourceData_PastureBeef.SourceData_PastureBeef_LiveweightGainNTQLD_Data(),Table_SourceData_PastureBeef_LiveweightGainNTQLD[[#Headers],[State]],0)</f>
        <v>Summer</v>
      </c>
      <c r="G215" s="10" cm="1">
        <f t="array" ref="G215">Common_InputFunctions.Utility_DisplayArrayInTable(SourceData_PastureBeef.SourceData_PastureBeef_LiveweightGainNTQLD_Data(),Table_SourceData_PastureBeef_LiveweightGainNTQLD[[#Headers],[State]],0)</f>
        <v>0.62</v>
      </c>
      <c r="H215" s="10" cm="1">
        <f t="array" ref="H215">Common_InputFunctions.Utility_DisplayArrayInTable(SourceData_PastureBeef.SourceData_PastureBeef_LiveweightGainNTQLD_Data(),Table_SourceData_PastureBeef_LiveweightGainNTQLD[[#Headers],[State]],0)</f>
        <v>0.21</v>
      </c>
      <c r="I215" s="10" cm="1">
        <f t="array" ref="I215">Common_InputFunctions.Utility_DisplayArrayInTable(SourceData_PastureBeef.SourceData_PastureBeef_LiveweightGainNTQLD_Data(),Table_SourceData_PastureBeef_LiveweightGainNTQLD[[#Headers],[State]],0)</f>
        <v>0.25</v>
      </c>
      <c r="J215" s="10" cm="1">
        <f t="array" ref="J215">Common_InputFunctions.Utility_DisplayArrayInTable(SourceData_PastureBeef.SourceData_PastureBeef_LiveweightGainNTQLD_Data(),Table_SourceData_PastureBeef_LiveweightGainNTQLD[[#Headers],[State]],0)</f>
        <v>0.32</v>
      </c>
      <c r="K215" s="10" cm="1">
        <f t="array" ref="K215">Common_InputFunctions.Utility_DisplayArrayInTable(SourceData_PastureBeef.SourceData_PastureBeef_LiveweightGainNTQLD_Data(),Table_SourceData_PastureBeef_LiveweightGainNTQLD[[#Headers],[State]],0)</f>
        <v>0.47</v>
      </c>
      <c r="L215" s="10" cm="1">
        <f t="array" ref="L215">Common_InputFunctions.Utility_DisplayArrayInTable(SourceData_PastureBeef.SourceData_PastureBeef_LiveweightGainNTQLD_Data(),Table_SourceData_PastureBeef_LiveweightGainNTQLD[[#Headers],[State]],0)</f>
        <v>0.31</v>
      </c>
      <c r="M215" s="10" cm="1">
        <f t="array" ref="M215">Common_InputFunctions.Utility_DisplayArrayInTable(SourceData_PastureBeef.SourceData_PastureBeef_LiveweightGainNTQLD_Data(),Table_SourceData_PastureBeef_LiveweightGainNTQLD[[#Headers],[State]],0)</f>
        <v>0.14000000000000001</v>
      </c>
      <c r="N215" s="10" cm="1">
        <f t="array" ref="N215">Common_InputFunctions.Utility_DisplayArrayInTable(SourceData_PastureBeef.SourceData_PastureBeef_LiveweightGainNTQLD_Data(),Table_SourceData_PastureBeef_LiveweightGainNTQLD[[#Headers],[State]],0)</f>
        <v>0.4</v>
      </c>
      <c r="O215" s="10" cm="1">
        <f t="array" ref="O215">Common_InputFunctions.Utility_DisplayArrayInTable(SourceData_PastureBeef.SourceData_PastureBeef_LiveweightGainNTQLD_Data(),Table_SourceData_PastureBeef_LiveweightGainNTQLD[[#Headers],[State]],0)</f>
        <v>0.26</v>
      </c>
      <c r="P215" s="10" cm="1">
        <f t="array" ref="P215">Common_InputFunctions.Utility_DisplayArrayInTable(SourceData_PastureBeef.SourceData_PastureBeef_LiveweightGainNTQLD_Data(),Table_SourceData_PastureBeef_LiveweightGainNTQLD[[#Headers],[State]],0)</f>
        <v>0.43</v>
      </c>
    </row>
    <row r="216" spans="4:16" x14ac:dyDescent="0.25">
      <c r="D216" s="8" t="str" cm="1">
        <f t="array" ref="D216">Common_InputFunctions.Utility_DisplayArrayInTable(SourceData_PastureBeef.SourceData_PastureBeef_LiveweightGainNTQLD_Data(),Table_SourceData_PastureBeef_LiveweightGainNTQLD[[#Headers],[State]],0)</f>
        <v>Queensland</v>
      </c>
      <c r="E216" s="10" t="str" cm="1">
        <f t="array" ref="E216">Common_InputFunctions.Utility_DisplayArrayInTable(SourceData_PastureBeef.SourceData_PastureBeef_LiveweightGainNTQLD_Data(),Table_SourceData_PastureBeef_LiveweightGainNTQLD[[#Headers],[State]],0)</f>
        <v>Low</v>
      </c>
      <c r="F216" s="10" t="str" cm="1">
        <f t="array" ref="F216">Common_InputFunctions.Utility_DisplayArrayInTable(SourceData_PastureBeef.SourceData_PastureBeef_LiveweightGainNTQLD_Data(),Table_SourceData_PastureBeef_LiveweightGainNTQLD[[#Headers],[State]],0)</f>
        <v>Autumn</v>
      </c>
      <c r="G216" s="10" cm="1">
        <f t="array" ref="G216">Common_InputFunctions.Utility_DisplayArrayInTable(SourceData_PastureBeef.SourceData_PastureBeef_LiveweightGainNTQLD_Data(),Table_SourceData_PastureBeef_LiveweightGainNTQLD[[#Headers],[State]],0)</f>
        <v>0.4</v>
      </c>
      <c r="H216" s="10" cm="1">
        <f t="array" ref="H216">Common_InputFunctions.Utility_DisplayArrayInTable(SourceData_PastureBeef.SourceData_PastureBeef_LiveweightGainNTQLD_Data(),Table_SourceData_PastureBeef_LiveweightGainNTQLD[[#Headers],[State]],0)</f>
        <v>0.13</v>
      </c>
      <c r="I216" s="10" cm="1">
        <f t="array" ref="I216">Common_InputFunctions.Utility_DisplayArrayInTable(SourceData_PastureBeef.SourceData_PastureBeef_LiveweightGainNTQLD_Data(),Table_SourceData_PastureBeef_LiveweightGainNTQLD[[#Headers],[State]],0)</f>
        <v>0.12</v>
      </c>
      <c r="J216" s="10" cm="1">
        <f t="array" ref="J216">Common_InputFunctions.Utility_DisplayArrayInTable(SourceData_PastureBeef.SourceData_PastureBeef_LiveweightGainNTQLD_Data(),Table_SourceData_PastureBeef_LiveweightGainNTQLD[[#Headers],[State]],0)</f>
        <v>0.27</v>
      </c>
      <c r="K216" s="10" cm="1">
        <f t="array" ref="K216">Common_InputFunctions.Utility_DisplayArrayInTable(SourceData_PastureBeef.SourceData_PastureBeef_LiveweightGainNTQLD_Data(),Table_SourceData_PastureBeef_LiveweightGainNTQLD[[#Headers],[State]],0)</f>
        <v>0.3</v>
      </c>
      <c r="L216" s="10" cm="1">
        <f t="array" ref="L216">Common_InputFunctions.Utility_DisplayArrayInTable(SourceData_PastureBeef.SourceData_PastureBeef_LiveweightGainNTQLD_Data(),Table_SourceData_PastureBeef_LiveweightGainNTQLD[[#Headers],[State]],0)</f>
        <v>0.08</v>
      </c>
      <c r="M216" s="10" cm="1">
        <f t="array" ref="M216">Common_InputFunctions.Utility_DisplayArrayInTable(SourceData_PastureBeef.SourceData_PastureBeef_LiveweightGainNTQLD_Data(),Table_SourceData_PastureBeef_LiveweightGainNTQLD[[#Headers],[State]],0)</f>
        <v>0.13</v>
      </c>
      <c r="N216" s="10" cm="1">
        <f t="array" ref="N216">Common_InputFunctions.Utility_DisplayArrayInTable(SourceData_PastureBeef.SourceData_PastureBeef_LiveweightGainNTQLD_Data(),Table_SourceData_PastureBeef_LiveweightGainNTQLD[[#Headers],[State]],0)</f>
        <v>0.24</v>
      </c>
      <c r="O216" s="10" cm="1">
        <f t="array" ref="O216">Common_InputFunctions.Utility_DisplayArrayInTable(SourceData_PastureBeef.SourceData_PastureBeef_LiveweightGainNTQLD_Data(),Table_SourceData_PastureBeef_LiveweightGainNTQLD[[#Headers],[State]],0)</f>
        <v>0.15</v>
      </c>
      <c r="P216" s="10" cm="1">
        <f t="array" ref="P216">Common_InputFunctions.Utility_DisplayArrayInTable(SourceData_PastureBeef.SourceData_PastureBeef_LiveweightGainNTQLD_Data(),Table_SourceData_PastureBeef_LiveweightGainNTQLD[[#Headers],[State]],0)</f>
        <v>0.21</v>
      </c>
    </row>
    <row r="217" spans="4:16" x14ac:dyDescent="0.25">
      <c r="D217" s="8" t="str" cm="1">
        <f t="array" ref="D217">Common_InputFunctions.Utility_DisplayArrayInTable(SourceData_PastureBeef.SourceData_PastureBeef_LiveweightGainNTQLD_Data(),Table_SourceData_PastureBeef_LiveweightGainNTQLD[[#Headers],[State]],0)</f>
        <v>Queensland</v>
      </c>
      <c r="E217" s="10" t="str" cm="1">
        <f t="array" ref="E217">Common_InputFunctions.Utility_DisplayArrayInTable(SourceData_PastureBeef.SourceData_PastureBeef_LiveweightGainNTQLD_Data(),Table_SourceData_PastureBeef_LiveweightGainNTQLD[[#Headers],[State]],0)</f>
        <v>Low</v>
      </c>
      <c r="F217" s="10" t="str" cm="1">
        <f t="array" ref="F217">Common_InputFunctions.Utility_DisplayArrayInTable(SourceData_PastureBeef.SourceData_PastureBeef_LiveweightGainNTQLD_Data(),Table_SourceData_PastureBeef_LiveweightGainNTQLD[[#Headers],[State]],0)</f>
        <v>Winter</v>
      </c>
      <c r="G217" s="10" cm="1">
        <f t="array" ref="G217">Common_InputFunctions.Utility_DisplayArrayInTable(SourceData_PastureBeef.SourceData_PastureBeef_LiveweightGainNTQLD_Data(),Table_SourceData_PastureBeef_LiveweightGainNTQLD[[#Headers],[State]],0)</f>
        <v>0.08</v>
      </c>
      <c r="H217" s="10" cm="1">
        <f t="array" ref="H217">Common_InputFunctions.Utility_DisplayArrayInTable(SourceData_PastureBeef.SourceData_PastureBeef_LiveweightGainNTQLD_Data(),Table_SourceData_PastureBeef_LiveweightGainNTQLD[[#Headers],[State]],0)</f>
        <v>0.04</v>
      </c>
      <c r="I217" s="10" cm="1">
        <f t="array" ref="I217">Common_InputFunctions.Utility_DisplayArrayInTable(SourceData_PastureBeef.SourceData_PastureBeef_LiveweightGainNTQLD_Data(),Table_SourceData_PastureBeef_LiveweightGainNTQLD[[#Headers],[State]],0)</f>
        <v>0.06</v>
      </c>
      <c r="J217" s="10" cm="1">
        <f t="array" ref="J217">Common_InputFunctions.Utility_DisplayArrayInTable(SourceData_PastureBeef.SourceData_PastureBeef_LiveweightGainNTQLD_Data(),Table_SourceData_PastureBeef_LiveweightGainNTQLD[[#Headers],[State]],0)</f>
        <v>0.18</v>
      </c>
      <c r="K217" s="10" cm="1">
        <f t="array" ref="K217">Common_InputFunctions.Utility_DisplayArrayInTable(SourceData_PastureBeef.SourceData_PastureBeef_LiveweightGainNTQLD_Data(),Table_SourceData_PastureBeef_LiveweightGainNTQLD[[#Headers],[State]],0)</f>
        <v>0.11</v>
      </c>
      <c r="L217" s="10" cm="1">
        <f t="array" ref="L217">Common_InputFunctions.Utility_DisplayArrayInTable(SourceData_PastureBeef.SourceData_PastureBeef_LiveweightGainNTQLD_Data(),Table_SourceData_PastureBeef_LiveweightGainNTQLD[[#Headers],[State]],0)</f>
        <v>-7.0000000000000007E-2</v>
      </c>
      <c r="M217" s="10" cm="1">
        <f t="array" ref="M217">Common_InputFunctions.Utility_DisplayArrayInTable(SourceData_PastureBeef.SourceData_PastureBeef_LiveweightGainNTQLD_Data(),Table_SourceData_PastureBeef_LiveweightGainNTQLD[[#Headers],[State]],0)</f>
        <v>0.13</v>
      </c>
      <c r="N217" s="10" cm="1">
        <f t="array" ref="N217">Common_InputFunctions.Utility_DisplayArrayInTable(SourceData_PastureBeef.SourceData_PastureBeef_LiveweightGainNTQLD_Data(),Table_SourceData_PastureBeef_LiveweightGainNTQLD[[#Headers],[State]],0)</f>
        <v>0.16</v>
      </c>
      <c r="O217" s="10" cm="1">
        <f t="array" ref="O217">Common_InputFunctions.Utility_DisplayArrayInTable(SourceData_PastureBeef.SourceData_PastureBeef_LiveweightGainNTQLD_Data(),Table_SourceData_PastureBeef_LiveweightGainNTQLD[[#Headers],[State]],0)</f>
        <v>0.4</v>
      </c>
      <c r="P217" s="10" cm="1">
        <f t="array" ref="P217">Common_InputFunctions.Utility_DisplayArrayInTable(SourceData_PastureBeef.SourceData_PastureBeef_LiveweightGainNTQLD_Data(),Table_SourceData_PastureBeef_LiveweightGainNTQLD[[#Headers],[State]],0)</f>
        <v>0.33</v>
      </c>
    </row>
    <row r="218" spans="4:16" x14ac:dyDescent="0.25">
      <c r="M218" s="8"/>
    </row>
    <row r="219" spans="4:16" x14ac:dyDescent="0.25">
      <c r="M219" s="8"/>
    </row>
    <row r="220" spans="4:16" ht="23.25" x14ac:dyDescent="0.25">
      <c r="D220" s="9" t="s">
        <v>513</v>
      </c>
      <c r="M220" s="8"/>
    </row>
    <row r="221" spans="4:16" x14ac:dyDescent="0.25">
      <c r="M221" s="8"/>
    </row>
    <row r="222" spans="4:16" x14ac:dyDescent="0.25">
      <c r="D222" s="10" t="s">
        <v>289</v>
      </c>
      <c r="E222" s="10" t="s">
        <v>414</v>
      </c>
      <c r="F222" s="10" t="s">
        <v>47</v>
      </c>
      <c r="G222" s="157" t="s">
        <v>514</v>
      </c>
      <c r="H222" s="157" t="s">
        <v>515</v>
      </c>
      <c r="I222" s="157" t="s">
        <v>516</v>
      </c>
      <c r="J222" s="157" t="s">
        <v>517</v>
      </c>
      <c r="K222" s="157" t="s">
        <v>518</v>
      </c>
      <c r="L222" s="157" t="s">
        <v>519</v>
      </c>
      <c r="M222" s="157" t="s">
        <v>520</v>
      </c>
      <c r="N222" s="157" t="s">
        <v>521</v>
      </c>
      <c r="O222" s="157" t="s">
        <v>522</v>
      </c>
      <c r="P222" s="157" t="s">
        <v>523</v>
      </c>
    </row>
    <row r="223" spans="4:16" x14ac:dyDescent="0.25">
      <c r="D223" s="10" t="s">
        <v>338</v>
      </c>
      <c r="E223" s="10" t="s">
        <v>464</v>
      </c>
      <c r="F223" s="10" t="str">
        <f>F155</f>
        <v>Spring</v>
      </c>
      <c r="G223" s="10">
        <f>G155</f>
        <v>0.5</v>
      </c>
      <c r="H223" s="10">
        <f t="shared" ref="H223:J223" si="34">H155</f>
        <v>0.2</v>
      </c>
      <c r="I223" s="10">
        <f t="shared" si="34"/>
        <v>0.5</v>
      </c>
      <c r="J223" s="10">
        <f t="shared" si="34"/>
        <v>0.4</v>
      </c>
      <c r="K223" s="10">
        <f>K155</f>
        <v>0.3</v>
      </c>
      <c r="L223" s="10">
        <f>K155</f>
        <v>0.3</v>
      </c>
      <c r="M223" s="10">
        <f>L155</f>
        <v>0.5</v>
      </c>
      <c r="N223" s="10">
        <f>M155</f>
        <v>0.4</v>
      </c>
      <c r="O223" s="10">
        <f>M155</f>
        <v>0.4</v>
      </c>
      <c r="P223" s="10">
        <f>M155</f>
        <v>0.4</v>
      </c>
    </row>
    <row r="224" spans="4:16" x14ac:dyDescent="0.25">
      <c r="D224" s="10" t="s">
        <v>338</v>
      </c>
      <c r="E224" s="10" t="s">
        <v>464</v>
      </c>
      <c r="F224" s="10" t="str">
        <f t="shared" ref="F224:K226" si="35">F156</f>
        <v>Summer</v>
      </c>
      <c r="G224" s="10">
        <f t="shared" si="35"/>
        <v>1</v>
      </c>
      <c r="H224" s="10">
        <f t="shared" si="35"/>
        <v>0.4</v>
      </c>
      <c r="I224" s="10">
        <f t="shared" si="35"/>
        <v>0.9</v>
      </c>
      <c r="J224" s="10">
        <f t="shared" si="35"/>
        <v>0.7</v>
      </c>
      <c r="K224" s="10">
        <f t="shared" si="35"/>
        <v>0.3</v>
      </c>
      <c r="L224" s="10">
        <f t="shared" ref="L224:N226" si="36">K156</f>
        <v>0.3</v>
      </c>
      <c r="M224" s="10">
        <f t="shared" si="36"/>
        <v>0.9</v>
      </c>
      <c r="N224" s="10">
        <f t="shared" si="36"/>
        <v>0.4</v>
      </c>
      <c r="O224" s="10">
        <f t="shared" ref="O224:O226" si="37">M156</f>
        <v>0.4</v>
      </c>
      <c r="P224" s="10">
        <f t="shared" ref="P224:P226" si="38">M156</f>
        <v>0.4</v>
      </c>
    </row>
    <row r="225" spans="4:16" x14ac:dyDescent="0.25">
      <c r="D225" s="10" t="s">
        <v>338</v>
      </c>
      <c r="E225" s="10" t="s">
        <v>464</v>
      </c>
      <c r="F225" s="10" t="str">
        <f t="shared" si="35"/>
        <v>Autumn</v>
      </c>
      <c r="G225" s="10">
        <f t="shared" si="35"/>
        <v>0.8</v>
      </c>
      <c r="H225" s="10">
        <f t="shared" si="35"/>
        <v>0.3</v>
      </c>
      <c r="I225" s="10">
        <f t="shared" si="35"/>
        <v>0.7</v>
      </c>
      <c r="J225" s="10">
        <f t="shared" si="35"/>
        <v>0.3</v>
      </c>
      <c r="K225" s="10">
        <f t="shared" si="35"/>
        <v>0.2</v>
      </c>
      <c r="L225" s="10">
        <f t="shared" si="36"/>
        <v>0.2</v>
      </c>
      <c r="M225" s="10">
        <f t="shared" si="36"/>
        <v>0.7</v>
      </c>
      <c r="N225" s="10">
        <f t="shared" si="36"/>
        <v>0.3</v>
      </c>
      <c r="O225" s="10">
        <f t="shared" si="37"/>
        <v>0.3</v>
      </c>
      <c r="P225" s="10">
        <f t="shared" si="38"/>
        <v>0.3</v>
      </c>
    </row>
    <row r="226" spans="4:16" x14ac:dyDescent="0.25">
      <c r="D226" s="10" t="s">
        <v>338</v>
      </c>
      <c r="E226" s="10" t="s">
        <v>464</v>
      </c>
      <c r="F226" s="10" t="str">
        <f t="shared" si="35"/>
        <v>Winter</v>
      </c>
      <c r="G226" s="10">
        <f t="shared" si="35"/>
        <v>0.4</v>
      </c>
      <c r="H226" s="10">
        <f t="shared" si="35"/>
        <v>0.1</v>
      </c>
      <c r="I226" s="10">
        <f t="shared" si="35"/>
        <v>0.4</v>
      </c>
      <c r="J226" s="10">
        <f t="shared" si="35"/>
        <v>0.2</v>
      </c>
      <c r="K226" s="10">
        <f t="shared" si="35"/>
        <v>0.1</v>
      </c>
      <c r="L226" s="10">
        <f t="shared" si="36"/>
        <v>0.1</v>
      </c>
      <c r="M226" s="10">
        <f t="shared" si="36"/>
        <v>0.4</v>
      </c>
      <c r="N226" s="10">
        <f t="shared" si="36"/>
        <v>0.1</v>
      </c>
      <c r="O226" s="10">
        <f t="shared" si="37"/>
        <v>0.1</v>
      </c>
      <c r="P226" s="10">
        <f t="shared" si="38"/>
        <v>0.1</v>
      </c>
    </row>
    <row r="227" spans="4:16" x14ac:dyDescent="0.25">
      <c r="D227" s="10" t="s">
        <v>362</v>
      </c>
      <c r="E227" s="10" t="s">
        <v>464</v>
      </c>
      <c r="F227" s="10" t="str">
        <f>F155</f>
        <v>Spring</v>
      </c>
      <c r="G227" s="10">
        <f>G155</f>
        <v>0.5</v>
      </c>
      <c r="H227" s="10">
        <f t="shared" ref="H227:J227" si="39">H155</f>
        <v>0.2</v>
      </c>
      <c r="I227" s="10">
        <f t="shared" si="39"/>
        <v>0.5</v>
      </c>
      <c r="J227" s="10">
        <f t="shared" si="39"/>
        <v>0.4</v>
      </c>
      <c r="K227" s="10">
        <f>K155</f>
        <v>0.3</v>
      </c>
      <c r="L227" s="10">
        <f>K155</f>
        <v>0.3</v>
      </c>
      <c r="M227" s="10">
        <f t="shared" ref="M227" si="40">L155</f>
        <v>0.5</v>
      </c>
      <c r="N227" s="10">
        <f>M155</f>
        <v>0.4</v>
      </c>
      <c r="O227" s="10">
        <f>M155</f>
        <v>0.4</v>
      </c>
      <c r="P227" s="10">
        <f>M155</f>
        <v>0.4</v>
      </c>
    </row>
    <row r="228" spans="4:16" x14ac:dyDescent="0.25">
      <c r="D228" s="10" t="s">
        <v>362</v>
      </c>
      <c r="E228" s="10" t="s">
        <v>464</v>
      </c>
      <c r="F228" s="10" t="str">
        <f t="shared" ref="F228:K231" si="41">F156</f>
        <v>Summer</v>
      </c>
      <c r="G228" s="10">
        <f t="shared" si="41"/>
        <v>1</v>
      </c>
      <c r="H228" s="10">
        <f t="shared" si="41"/>
        <v>0.4</v>
      </c>
      <c r="I228" s="10">
        <f t="shared" si="41"/>
        <v>0.9</v>
      </c>
      <c r="J228" s="10">
        <f t="shared" si="41"/>
        <v>0.7</v>
      </c>
      <c r="K228" s="10">
        <f t="shared" si="41"/>
        <v>0.3</v>
      </c>
      <c r="L228" s="10">
        <f t="shared" ref="L228:N231" si="42">K156</f>
        <v>0.3</v>
      </c>
      <c r="M228" s="10">
        <f t="shared" si="42"/>
        <v>0.9</v>
      </c>
      <c r="N228" s="10">
        <f t="shared" si="42"/>
        <v>0.4</v>
      </c>
      <c r="O228" s="10">
        <f t="shared" ref="O228:O230" si="43">M156</f>
        <v>0.4</v>
      </c>
      <c r="P228" s="10">
        <f t="shared" ref="P228:P230" si="44">M156</f>
        <v>0.4</v>
      </c>
    </row>
    <row r="229" spans="4:16" x14ac:dyDescent="0.25">
      <c r="D229" s="10" t="s">
        <v>362</v>
      </c>
      <c r="E229" s="10" t="s">
        <v>464</v>
      </c>
      <c r="F229" s="10" t="str">
        <f t="shared" si="41"/>
        <v>Autumn</v>
      </c>
      <c r="G229" s="10">
        <f t="shared" si="41"/>
        <v>0.8</v>
      </c>
      <c r="H229" s="10">
        <f t="shared" si="41"/>
        <v>0.3</v>
      </c>
      <c r="I229" s="10">
        <f t="shared" si="41"/>
        <v>0.7</v>
      </c>
      <c r="J229" s="10">
        <f t="shared" si="41"/>
        <v>0.3</v>
      </c>
      <c r="K229" s="10">
        <f t="shared" si="41"/>
        <v>0.2</v>
      </c>
      <c r="L229" s="10">
        <f t="shared" si="42"/>
        <v>0.2</v>
      </c>
      <c r="M229" s="10">
        <f t="shared" si="42"/>
        <v>0.7</v>
      </c>
      <c r="N229" s="10">
        <f t="shared" si="42"/>
        <v>0.3</v>
      </c>
      <c r="O229" s="10">
        <f t="shared" si="43"/>
        <v>0.3</v>
      </c>
      <c r="P229" s="10">
        <f t="shared" si="44"/>
        <v>0.3</v>
      </c>
    </row>
    <row r="230" spans="4:16" x14ac:dyDescent="0.25">
      <c r="D230" s="10" t="s">
        <v>362</v>
      </c>
      <c r="E230" s="10" t="s">
        <v>464</v>
      </c>
      <c r="F230" s="10" t="str">
        <f t="shared" si="41"/>
        <v>Winter</v>
      </c>
      <c r="G230" s="10">
        <f t="shared" si="41"/>
        <v>0.4</v>
      </c>
      <c r="H230" s="10">
        <f t="shared" si="41"/>
        <v>0.1</v>
      </c>
      <c r="I230" s="10">
        <f t="shared" si="41"/>
        <v>0.4</v>
      </c>
      <c r="J230" s="10">
        <f t="shared" si="41"/>
        <v>0.2</v>
      </c>
      <c r="K230" s="10">
        <f t="shared" si="41"/>
        <v>0.1</v>
      </c>
      <c r="L230" s="10">
        <f t="shared" si="42"/>
        <v>0.1</v>
      </c>
      <c r="M230" s="10">
        <f t="shared" si="42"/>
        <v>0.4</v>
      </c>
      <c r="N230" s="10">
        <f t="shared" si="42"/>
        <v>0.1</v>
      </c>
      <c r="O230" s="10">
        <f t="shared" si="43"/>
        <v>0.1</v>
      </c>
      <c r="P230" s="10">
        <f t="shared" si="44"/>
        <v>0.1</v>
      </c>
    </row>
    <row r="231" spans="4:16" x14ac:dyDescent="0.25">
      <c r="D231" s="10" t="s">
        <v>423</v>
      </c>
      <c r="E231" s="10" t="s">
        <v>464</v>
      </c>
      <c r="F231" s="10" t="str">
        <f>F159</f>
        <v>Spring</v>
      </c>
      <c r="G231" s="10">
        <f>G159</f>
        <v>0.99</v>
      </c>
      <c r="H231" s="10">
        <f t="shared" si="41"/>
        <v>1.1000000000000001</v>
      </c>
      <c r="I231" s="10">
        <f t="shared" si="41"/>
        <v>0.88</v>
      </c>
      <c r="J231" s="10">
        <f t="shared" si="41"/>
        <v>0.55000000000000004</v>
      </c>
      <c r="K231" s="10">
        <f>K159</f>
        <v>0.55000000000000004</v>
      </c>
      <c r="L231" s="10">
        <f>K159</f>
        <v>0.55000000000000004</v>
      </c>
      <c r="M231" s="10">
        <f t="shared" si="42"/>
        <v>0.88</v>
      </c>
      <c r="N231" s="10">
        <f>M159</f>
        <v>0.22</v>
      </c>
      <c r="O231" s="10">
        <f>M159</f>
        <v>0.22</v>
      </c>
      <c r="P231" s="10">
        <f>M159</f>
        <v>0.22</v>
      </c>
    </row>
    <row r="232" spans="4:16" x14ac:dyDescent="0.25">
      <c r="D232" s="10" t="s">
        <v>423</v>
      </c>
      <c r="E232" s="10" t="s">
        <v>464</v>
      </c>
      <c r="F232" s="10" t="str">
        <f t="shared" ref="F232:K247" si="45">F160</f>
        <v>Summer</v>
      </c>
      <c r="G232" s="10">
        <f t="shared" si="45"/>
        <v>0.77</v>
      </c>
      <c r="H232" s="10">
        <f t="shared" si="45"/>
        <v>0</v>
      </c>
      <c r="I232" s="10">
        <f t="shared" si="45"/>
        <v>0.66</v>
      </c>
      <c r="J232" s="10">
        <f t="shared" si="45"/>
        <v>0.22</v>
      </c>
      <c r="K232" s="10">
        <f t="shared" si="45"/>
        <v>0</v>
      </c>
      <c r="L232" s="10">
        <f t="shared" ref="L232:N247" si="46">K160</f>
        <v>0</v>
      </c>
      <c r="M232" s="10">
        <f t="shared" si="46"/>
        <v>0.66</v>
      </c>
      <c r="N232" s="10">
        <f t="shared" si="46"/>
        <v>0</v>
      </c>
      <c r="O232" s="10">
        <f t="shared" ref="O232:O254" si="47">M160</f>
        <v>0</v>
      </c>
      <c r="P232" s="10">
        <f t="shared" ref="P232:P254" si="48">M160</f>
        <v>0</v>
      </c>
    </row>
    <row r="233" spans="4:16" x14ac:dyDescent="0.25">
      <c r="D233" s="10" t="s">
        <v>423</v>
      </c>
      <c r="E233" s="10" t="s">
        <v>464</v>
      </c>
      <c r="F233" s="10" t="str">
        <f t="shared" si="45"/>
        <v>Autumn</v>
      </c>
      <c r="G233" s="10">
        <f t="shared" si="45"/>
        <v>0.9</v>
      </c>
      <c r="H233" s="10">
        <f t="shared" si="45"/>
        <v>-1.1000000000000001</v>
      </c>
      <c r="I233" s="10">
        <f t="shared" si="45"/>
        <v>0.7</v>
      </c>
      <c r="J233" s="10">
        <f t="shared" si="45"/>
        <v>0.22</v>
      </c>
      <c r="K233" s="10">
        <f t="shared" si="45"/>
        <v>-0.55000000000000004</v>
      </c>
      <c r="L233" s="10">
        <f t="shared" si="46"/>
        <v>-0.55000000000000004</v>
      </c>
      <c r="M233" s="10">
        <f t="shared" si="46"/>
        <v>0.8</v>
      </c>
      <c r="N233" s="10">
        <f t="shared" si="46"/>
        <v>-0.22</v>
      </c>
      <c r="O233" s="10">
        <f t="shared" si="47"/>
        <v>-0.22</v>
      </c>
      <c r="P233" s="10">
        <f t="shared" si="48"/>
        <v>-0.22</v>
      </c>
    </row>
    <row r="234" spans="4:16" x14ac:dyDescent="0.25">
      <c r="D234" s="10" t="s">
        <v>423</v>
      </c>
      <c r="E234" s="10" t="s">
        <v>464</v>
      </c>
      <c r="F234" s="10" t="str">
        <f t="shared" si="45"/>
        <v>Winter</v>
      </c>
      <c r="G234" s="10">
        <f t="shared" si="45"/>
        <v>0.88</v>
      </c>
      <c r="H234" s="10">
        <f t="shared" si="45"/>
        <v>0</v>
      </c>
      <c r="I234" s="10">
        <f t="shared" si="45"/>
        <v>0.77</v>
      </c>
      <c r="J234" s="10">
        <f t="shared" si="45"/>
        <v>0.55000000000000004</v>
      </c>
      <c r="K234" s="10">
        <f t="shared" si="45"/>
        <v>0</v>
      </c>
      <c r="L234" s="10">
        <f t="shared" si="46"/>
        <v>0</v>
      </c>
      <c r="M234" s="10">
        <f t="shared" si="46"/>
        <v>0.82</v>
      </c>
      <c r="N234" s="10">
        <f t="shared" si="46"/>
        <v>0</v>
      </c>
      <c r="O234" s="10">
        <f t="shared" si="47"/>
        <v>0</v>
      </c>
      <c r="P234" s="10">
        <f t="shared" si="48"/>
        <v>0</v>
      </c>
    </row>
    <row r="235" spans="4:16" x14ac:dyDescent="0.25">
      <c r="D235" s="10" t="s">
        <v>419</v>
      </c>
      <c r="E235" s="10" t="s">
        <v>464</v>
      </c>
      <c r="F235" s="10" t="str">
        <f t="shared" si="45"/>
        <v>Spring</v>
      </c>
      <c r="G235" s="10">
        <f t="shared" si="45"/>
        <v>1</v>
      </c>
      <c r="H235" s="10">
        <f t="shared" si="45"/>
        <v>0.5</v>
      </c>
      <c r="I235" s="10">
        <f t="shared" si="45"/>
        <v>1</v>
      </c>
      <c r="J235" s="10">
        <f t="shared" si="45"/>
        <v>1</v>
      </c>
      <c r="K235" s="10">
        <f t="shared" si="45"/>
        <v>-0.44</v>
      </c>
      <c r="L235" s="10">
        <f t="shared" si="46"/>
        <v>-0.44</v>
      </c>
      <c r="M235" s="10">
        <f t="shared" si="46"/>
        <v>1</v>
      </c>
      <c r="N235" s="10">
        <f t="shared" si="46"/>
        <v>0.5</v>
      </c>
      <c r="O235" s="10">
        <f t="shared" si="47"/>
        <v>0.5</v>
      </c>
      <c r="P235" s="10">
        <f t="shared" si="48"/>
        <v>0.5</v>
      </c>
    </row>
    <row r="236" spans="4:16" x14ac:dyDescent="0.25">
      <c r="D236" s="10" t="s">
        <v>419</v>
      </c>
      <c r="E236" s="10" t="s">
        <v>464</v>
      </c>
      <c r="F236" s="10" t="str">
        <f t="shared" si="45"/>
        <v>Summer</v>
      </c>
      <c r="G236" s="10">
        <f t="shared" si="45"/>
        <v>0.82</v>
      </c>
      <c r="H236" s="10">
        <f t="shared" si="45"/>
        <v>0.55000000000000004</v>
      </c>
      <c r="I236" s="10">
        <f t="shared" si="45"/>
        <v>0.71</v>
      </c>
      <c r="J236" s="10">
        <f t="shared" si="45"/>
        <v>0.55000000000000004</v>
      </c>
      <c r="K236" s="10">
        <f t="shared" si="45"/>
        <v>0.99</v>
      </c>
      <c r="L236" s="10">
        <f t="shared" si="46"/>
        <v>0.99</v>
      </c>
      <c r="M236" s="10">
        <f t="shared" si="46"/>
        <v>0.77</v>
      </c>
      <c r="N236" s="10">
        <f t="shared" si="46"/>
        <v>0.5</v>
      </c>
      <c r="O236" s="10">
        <f t="shared" si="47"/>
        <v>0.5</v>
      </c>
      <c r="P236" s="10">
        <f t="shared" si="48"/>
        <v>0.5</v>
      </c>
    </row>
    <row r="237" spans="4:16" x14ac:dyDescent="0.25">
      <c r="D237" s="10" t="s">
        <v>419</v>
      </c>
      <c r="E237" s="10" t="s">
        <v>464</v>
      </c>
      <c r="F237" s="10" t="str">
        <f t="shared" si="45"/>
        <v>Autumn</v>
      </c>
      <c r="G237" s="10">
        <f t="shared" si="45"/>
        <v>0.77</v>
      </c>
      <c r="H237" s="10">
        <f t="shared" si="45"/>
        <v>0.5</v>
      </c>
      <c r="I237" s="10">
        <f t="shared" si="45"/>
        <v>0.55000000000000004</v>
      </c>
      <c r="J237" s="10">
        <f t="shared" si="45"/>
        <v>0.11</v>
      </c>
      <c r="K237" s="10">
        <f t="shared" si="45"/>
        <v>-0.33</v>
      </c>
      <c r="L237" s="10">
        <f t="shared" si="46"/>
        <v>-0.33</v>
      </c>
      <c r="M237" s="10">
        <f t="shared" si="46"/>
        <v>0.6</v>
      </c>
      <c r="N237" s="10">
        <f t="shared" si="46"/>
        <v>0.33</v>
      </c>
      <c r="O237" s="10">
        <f t="shared" si="47"/>
        <v>0.33</v>
      </c>
      <c r="P237" s="10">
        <f t="shared" si="48"/>
        <v>0.33</v>
      </c>
    </row>
    <row r="238" spans="4:16" x14ac:dyDescent="0.25">
      <c r="D238" s="10" t="s">
        <v>419</v>
      </c>
      <c r="E238" s="10" t="s">
        <v>464</v>
      </c>
      <c r="F238" s="10" t="str">
        <f t="shared" si="45"/>
        <v>Winter</v>
      </c>
      <c r="G238" s="10">
        <f t="shared" si="45"/>
        <v>0.11</v>
      </c>
      <c r="H238" s="10">
        <f t="shared" si="45"/>
        <v>-0.27</v>
      </c>
      <c r="I238" s="10">
        <f t="shared" si="45"/>
        <v>0.11</v>
      </c>
      <c r="J238" s="10">
        <f t="shared" si="45"/>
        <v>0.22</v>
      </c>
      <c r="K238" s="10">
        <f t="shared" si="45"/>
        <v>-0.44</v>
      </c>
      <c r="L238" s="10">
        <f t="shared" si="46"/>
        <v>-0.44</v>
      </c>
      <c r="M238" s="10">
        <f t="shared" si="46"/>
        <v>0.16</v>
      </c>
      <c r="N238" s="10">
        <f t="shared" si="46"/>
        <v>-0.22</v>
      </c>
      <c r="O238" s="10">
        <f t="shared" si="47"/>
        <v>-0.22</v>
      </c>
      <c r="P238" s="10">
        <f t="shared" si="48"/>
        <v>-0.22</v>
      </c>
    </row>
    <row r="239" spans="4:16" x14ac:dyDescent="0.25">
      <c r="D239" s="10" t="s">
        <v>368</v>
      </c>
      <c r="E239" s="10" t="s">
        <v>464</v>
      </c>
      <c r="F239" s="10" t="str">
        <f t="shared" si="45"/>
        <v>Spring</v>
      </c>
      <c r="G239" s="10">
        <f t="shared" si="45"/>
        <v>1.1000000000000001</v>
      </c>
      <c r="H239" s="10">
        <f t="shared" si="45"/>
        <v>1.1000000000000001</v>
      </c>
      <c r="I239" s="10">
        <f t="shared" si="45"/>
        <v>1.1000000000000001</v>
      </c>
      <c r="J239" s="10">
        <f t="shared" si="45"/>
        <v>0.99</v>
      </c>
      <c r="K239" s="10">
        <f t="shared" si="45"/>
        <v>0.99</v>
      </c>
      <c r="L239" s="10">
        <f t="shared" si="46"/>
        <v>0.99</v>
      </c>
      <c r="M239" s="10">
        <f t="shared" si="46"/>
        <v>1.1000000000000001</v>
      </c>
      <c r="N239" s="10">
        <f t="shared" si="46"/>
        <v>0.77</v>
      </c>
      <c r="O239" s="10">
        <f t="shared" si="47"/>
        <v>0.77</v>
      </c>
      <c r="P239" s="10">
        <f t="shared" si="48"/>
        <v>0.77</v>
      </c>
    </row>
    <row r="240" spans="4:16" x14ac:dyDescent="0.25">
      <c r="D240" s="10" t="s">
        <v>368</v>
      </c>
      <c r="E240" s="10" t="s">
        <v>464</v>
      </c>
      <c r="F240" s="10" t="str">
        <f t="shared" si="45"/>
        <v>Summer</v>
      </c>
      <c r="G240" s="10">
        <f t="shared" si="45"/>
        <v>0.33</v>
      </c>
      <c r="H240" s="10">
        <f t="shared" si="45"/>
        <v>0.33</v>
      </c>
      <c r="I240" s="10">
        <f t="shared" si="45"/>
        <v>0.22</v>
      </c>
      <c r="J240" s="10">
        <f t="shared" si="45"/>
        <v>0.33</v>
      </c>
      <c r="K240" s="10">
        <f t="shared" si="45"/>
        <v>-0.1</v>
      </c>
      <c r="L240" s="10">
        <f t="shared" si="46"/>
        <v>-0.1</v>
      </c>
      <c r="M240" s="10">
        <f t="shared" si="46"/>
        <v>0.33</v>
      </c>
      <c r="N240" s="10">
        <f t="shared" si="46"/>
        <v>0.11</v>
      </c>
      <c r="O240" s="10">
        <f t="shared" si="47"/>
        <v>0.11</v>
      </c>
      <c r="P240" s="10">
        <f t="shared" si="48"/>
        <v>0.11</v>
      </c>
    </row>
    <row r="241" spans="4:16" x14ac:dyDescent="0.25">
      <c r="D241" s="10" t="s">
        <v>368</v>
      </c>
      <c r="E241" s="10" t="s">
        <v>464</v>
      </c>
      <c r="F241" s="10" t="str">
        <f t="shared" si="45"/>
        <v>Autumn</v>
      </c>
      <c r="G241" s="10">
        <f t="shared" si="45"/>
        <v>0.5</v>
      </c>
      <c r="H241" s="10">
        <f t="shared" si="45"/>
        <v>0.2</v>
      </c>
      <c r="I241" s="10">
        <f t="shared" si="45"/>
        <v>0.55000000000000004</v>
      </c>
      <c r="J241" s="10">
        <f t="shared" si="45"/>
        <v>0.44</v>
      </c>
      <c r="K241" s="10">
        <f t="shared" si="45"/>
        <v>0.2</v>
      </c>
      <c r="L241" s="10">
        <f t="shared" si="46"/>
        <v>0.2</v>
      </c>
      <c r="M241" s="10">
        <f t="shared" si="46"/>
        <v>0.55000000000000004</v>
      </c>
      <c r="N241" s="10">
        <f t="shared" si="46"/>
        <v>0.2</v>
      </c>
      <c r="O241" s="10">
        <f t="shared" si="47"/>
        <v>0.2</v>
      </c>
      <c r="P241" s="10">
        <f t="shared" si="48"/>
        <v>0.2</v>
      </c>
    </row>
    <row r="242" spans="4:16" x14ac:dyDescent="0.25">
      <c r="D242" s="10" t="s">
        <v>368</v>
      </c>
      <c r="E242" s="10" t="s">
        <v>464</v>
      </c>
      <c r="F242" s="10" t="str">
        <f t="shared" si="45"/>
        <v>Winter</v>
      </c>
      <c r="G242" s="10">
        <f t="shared" si="45"/>
        <v>0.55000000000000004</v>
      </c>
      <c r="H242" s="10">
        <f t="shared" si="45"/>
        <v>0.22</v>
      </c>
      <c r="I242" s="10">
        <f t="shared" si="45"/>
        <v>0.49</v>
      </c>
      <c r="J242" s="10">
        <f t="shared" si="45"/>
        <v>0.22</v>
      </c>
      <c r="K242" s="10">
        <f t="shared" si="45"/>
        <v>0.22</v>
      </c>
      <c r="L242" s="10">
        <f t="shared" si="46"/>
        <v>0.22</v>
      </c>
      <c r="M242" s="10">
        <f t="shared" si="46"/>
        <v>0.49</v>
      </c>
      <c r="N242" s="10">
        <f t="shared" si="46"/>
        <v>0.33</v>
      </c>
      <c r="O242" s="10">
        <f t="shared" si="47"/>
        <v>0.33</v>
      </c>
      <c r="P242" s="10">
        <f t="shared" si="48"/>
        <v>0.33</v>
      </c>
    </row>
    <row r="243" spans="4:16" x14ac:dyDescent="0.25">
      <c r="D243" s="10" t="s">
        <v>369</v>
      </c>
      <c r="E243" s="10" t="str">
        <f>E171</f>
        <v>South West</v>
      </c>
      <c r="F243" s="10" t="str">
        <f t="shared" si="45"/>
        <v>Spring</v>
      </c>
      <c r="G243" s="10">
        <f t="shared" si="45"/>
        <v>1.64</v>
      </c>
      <c r="H243" s="10">
        <f t="shared" si="45"/>
        <v>1.1000000000000001</v>
      </c>
      <c r="I243" s="10">
        <f t="shared" si="45"/>
        <v>1.21</v>
      </c>
      <c r="J243" s="10">
        <f t="shared" si="45"/>
        <v>0.99</v>
      </c>
      <c r="K243" s="10">
        <f t="shared" si="45"/>
        <v>0.66</v>
      </c>
      <c r="L243" s="10">
        <f t="shared" si="46"/>
        <v>0.66</v>
      </c>
      <c r="M243" s="10">
        <f t="shared" si="46"/>
        <v>1.42</v>
      </c>
      <c r="N243" s="10">
        <f t="shared" si="46"/>
        <v>1.1000000000000001</v>
      </c>
      <c r="O243" s="10">
        <f t="shared" si="47"/>
        <v>1.1000000000000001</v>
      </c>
      <c r="P243" s="10">
        <f t="shared" si="48"/>
        <v>1.1000000000000001</v>
      </c>
    </row>
    <row r="244" spans="4:16" x14ac:dyDescent="0.25">
      <c r="D244" s="10" t="s">
        <v>369</v>
      </c>
      <c r="E244" s="10" t="str">
        <f t="shared" ref="E244:K254" si="49">E172</f>
        <v>South West</v>
      </c>
      <c r="F244" s="10" t="str">
        <f t="shared" si="45"/>
        <v>Summer</v>
      </c>
      <c r="G244" s="10">
        <f t="shared" si="45"/>
        <v>0.44</v>
      </c>
      <c r="H244" s="10">
        <f t="shared" si="45"/>
        <v>-0.22</v>
      </c>
      <c r="I244" s="10">
        <f t="shared" si="45"/>
        <v>0.44</v>
      </c>
      <c r="J244" s="10">
        <f t="shared" si="45"/>
        <v>0.33</v>
      </c>
      <c r="K244" s="10">
        <f t="shared" si="45"/>
        <v>-0.22</v>
      </c>
      <c r="L244" s="10">
        <f t="shared" si="46"/>
        <v>-0.22</v>
      </c>
      <c r="M244" s="10">
        <f t="shared" si="46"/>
        <v>0.44</v>
      </c>
      <c r="N244" s="10">
        <f t="shared" si="46"/>
        <v>-0.11</v>
      </c>
      <c r="O244" s="10">
        <f t="shared" si="47"/>
        <v>-0.11</v>
      </c>
      <c r="P244" s="10">
        <f t="shared" si="48"/>
        <v>-0.11</v>
      </c>
    </row>
    <row r="245" spans="4:16" x14ac:dyDescent="0.25">
      <c r="D245" s="10" t="s">
        <v>369</v>
      </c>
      <c r="E245" s="10" t="str">
        <f t="shared" si="49"/>
        <v>South West</v>
      </c>
      <c r="F245" s="10" t="str">
        <f t="shared" si="45"/>
        <v>Autumn</v>
      </c>
      <c r="G245" s="10">
        <f t="shared" si="45"/>
        <v>0.6</v>
      </c>
      <c r="H245" s="10">
        <f t="shared" si="45"/>
        <v>0</v>
      </c>
      <c r="I245" s="10">
        <f t="shared" si="45"/>
        <v>0.6</v>
      </c>
      <c r="J245" s="10">
        <f t="shared" si="45"/>
        <v>0.22</v>
      </c>
      <c r="K245" s="10">
        <f t="shared" si="45"/>
        <v>-0.55000000000000004</v>
      </c>
      <c r="L245" s="10">
        <f t="shared" si="46"/>
        <v>-0.55000000000000004</v>
      </c>
      <c r="M245" s="10">
        <f t="shared" si="46"/>
        <v>0.6</v>
      </c>
      <c r="N245" s="10">
        <f t="shared" si="46"/>
        <v>0</v>
      </c>
      <c r="O245" s="10">
        <f t="shared" si="47"/>
        <v>0</v>
      </c>
      <c r="P245" s="10">
        <f t="shared" si="48"/>
        <v>0</v>
      </c>
    </row>
    <row r="246" spans="4:16" x14ac:dyDescent="0.25">
      <c r="D246" s="10" t="s">
        <v>369</v>
      </c>
      <c r="E246" s="10" t="str">
        <f t="shared" si="49"/>
        <v>South West</v>
      </c>
      <c r="F246" s="10" t="str">
        <f t="shared" si="45"/>
        <v>Winter</v>
      </c>
      <c r="G246" s="10">
        <f t="shared" si="45"/>
        <v>0.99</v>
      </c>
      <c r="H246" s="10">
        <f t="shared" si="45"/>
        <v>0.22</v>
      </c>
      <c r="I246" s="10">
        <f t="shared" si="45"/>
        <v>0.77</v>
      </c>
      <c r="J246" s="10">
        <f t="shared" si="45"/>
        <v>0.11</v>
      </c>
      <c r="K246" s="10">
        <f t="shared" si="45"/>
        <v>0.11</v>
      </c>
      <c r="L246" s="10">
        <f t="shared" si="46"/>
        <v>0.11</v>
      </c>
      <c r="M246" s="10">
        <f t="shared" si="46"/>
        <v>0.77</v>
      </c>
      <c r="N246" s="10">
        <f t="shared" si="46"/>
        <v>0.44</v>
      </c>
      <c r="O246" s="10">
        <f t="shared" si="47"/>
        <v>0.44</v>
      </c>
      <c r="P246" s="10">
        <f t="shared" si="48"/>
        <v>0.44</v>
      </c>
    </row>
    <row r="247" spans="4:16" x14ac:dyDescent="0.25">
      <c r="D247" s="10" t="s">
        <v>369</v>
      </c>
      <c r="E247" s="10" t="str">
        <f t="shared" si="49"/>
        <v>Pilbara</v>
      </c>
      <c r="F247" s="10" t="str">
        <f t="shared" si="45"/>
        <v>Spring</v>
      </c>
      <c r="G247" s="10">
        <f t="shared" si="45"/>
        <v>0.7</v>
      </c>
      <c r="H247" s="10">
        <f t="shared" si="45"/>
        <v>-0.55000000000000004</v>
      </c>
      <c r="I247" s="10">
        <f t="shared" si="45"/>
        <v>0.7</v>
      </c>
      <c r="J247" s="10">
        <f t="shared" si="45"/>
        <v>0.22</v>
      </c>
      <c r="K247" s="10">
        <f t="shared" si="45"/>
        <v>-0.22</v>
      </c>
      <c r="L247" s="10">
        <f t="shared" si="46"/>
        <v>-0.22</v>
      </c>
      <c r="M247" s="10">
        <f t="shared" si="46"/>
        <v>0.7</v>
      </c>
      <c r="N247" s="10">
        <f t="shared" si="46"/>
        <v>-0.22</v>
      </c>
      <c r="O247" s="10">
        <f t="shared" si="47"/>
        <v>-0.22</v>
      </c>
      <c r="P247" s="10">
        <f t="shared" si="48"/>
        <v>-0.22</v>
      </c>
    </row>
    <row r="248" spans="4:16" x14ac:dyDescent="0.25">
      <c r="D248" s="10" t="s">
        <v>369</v>
      </c>
      <c r="E248" s="10" t="str">
        <f t="shared" si="49"/>
        <v>Pilbara</v>
      </c>
      <c r="F248" s="10" t="str">
        <f t="shared" si="49"/>
        <v>Summer</v>
      </c>
      <c r="G248" s="10">
        <f t="shared" si="49"/>
        <v>0.77</v>
      </c>
      <c r="H248" s="10">
        <f t="shared" si="49"/>
        <v>0.55000000000000004</v>
      </c>
      <c r="I248" s="10">
        <f t="shared" si="49"/>
        <v>0.77</v>
      </c>
      <c r="J248" s="10">
        <f t="shared" si="49"/>
        <v>0.66</v>
      </c>
      <c r="K248" s="10">
        <f t="shared" si="49"/>
        <v>0.55000000000000004</v>
      </c>
      <c r="L248" s="10">
        <f t="shared" ref="L248:N254" si="50">K176</f>
        <v>0.55000000000000004</v>
      </c>
      <c r="M248" s="10">
        <f t="shared" si="50"/>
        <v>0.77</v>
      </c>
      <c r="N248" s="10">
        <f t="shared" si="50"/>
        <v>0.33</v>
      </c>
      <c r="O248" s="10">
        <f t="shared" si="47"/>
        <v>0.33</v>
      </c>
      <c r="P248" s="10">
        <f t="shared" si="48"/>
        <v>0.33</v>
      </c>
    </row>
    <row r="249" spans="4:16" x14ac:dyDescent="0.25">
      <c r="D249" s="10" t="s">
        <v>369</v>
      </c>
      <c r="E249" s="10" t="str">
        <f t="shared" si="49"/>
        <v>Pilbara</v>
      </c>
      <c r="F249" s="10" t="str">
        <f t="shared" si="49"/>
        <v>Autumn</v>
      </c>
      <c r="G249" s="10">
        <f t="shared" si="49"/>
        <v>0.88</v>
      </c>
      <c r="H249" s="10">
        <f t="shared" si="49"/>
        <v>0.55000000000000004</v>
      </c>
      <c r="I249" s="10">
        <f t="shared" si="49"/>
        <v>0.88</v>
      </c>
      <c r="J249" s="10">
        <f t="shared" si="49"/>
        <v>0.22</v>
      </c>
      <c r="K249" s="10">
        <f t="shared" si="49"/>
        <v>0.22</v>
      </c>
      <c r="L249" s="10">
        <f t="shared" si="50"/>
        <v>0.22</v>
      </c>
      <c r="M249" s="10">
        <f t="shared" si="50"/>
        <v>0.88</v>
      </c>
      <c r="N249" s="10">
        <f t="shared" si="50"/>
        <v>0.22</v>
      </c>
      <c r="O249" s="10">
        <f t="shared" si="47"/>
        <v>0.22</v>
      </c>
      <c r="P249" s="10">
        <f t="shared" si="48"/>
        <v>0.22</v>
      </c>
    </row>
    <row r="250" spans="4:16" x14ac:dyDescent="0.25">
      <c r="D250" s="10" t="s">
        <v>369</v>
      </c>
      <c r="E250" s="10" t="str">
        <f t="shared" si="49"/>
        <v>Pilbara</v>
      </c>
      <c r="F250" s="10" t="str">
        <f t="shared" si="49"/>
        <v>Winter</v>
      </c>
      <c r="G250" s="10">
        <f t="shared" si="49"/>
        <v>0.22</v>
      </c>
      <c r="H250" s="10">
        <f t="shared" si="49"/>
        <v>-0.55000000000000004</v>
      </c>
      <c r="I250" s="10">
        <f t="shared" si="49"/>
        <v>0.22</v>
      </c>
      <c r="J250" s="10">
        <f t="shared" si="49"/>
        <v>0.11</v>
      </c>
      <c r="K250" s="10">
        <f t="shared" si="49"/>
        <v>-0.22</v>
      </c>
      <c r="L250" s="10">
        <f t="shared" si="50"/>
        <v>-0.22</v>
      </c>
      <c r="M250" s="10">
        <f t="shared" si="50"/>
        <v>0.22</v>
      </c>
      <c r="N250" s="10">
        <f t="shared" si="50"/>
        <v>-0.33</v>
      </c>
      <c r="O250" s="10">
        <f t="shared" si="47"/>
        <v>-0.33</v>
      </c>
      <c r="P250" s="10">
        <f t="shared" si="48"/>
        <v>-0.33</v>
      </c>
    </row>
    <row r="251" spans="4:16" x14ac:dyDescent="0.25">
      <c r="D251" s="10" t="s">
        <v>369</v>
      </c>
      <c r="E251" s="10" t="str">
        <f t="shared" si="49"/>
        <v>Kimberley</v>
      </c>
      <c r="F251" s="10" t="str">
        <f t="shared" si="49"/>
        <v>Spring</v>
      </c>
      <c r="G251" s="10">
        <f t="shared" si="49"/>
        <v>0.22</v>
      </c>
      <c r="H251" s="10">
        <f t="shared" si="49"/>
        <v>-0.55000000000000004</v>
      </c>
      <c r="I251" s="10">
        <f t="shared" si="49"/>
        <v>0.33</v>
      </c>
      <c r="J251" s="10">
        <f t="shared" si="49"/>
        <v>0.22</v>
      </c>
      <c r="K251" s="10">
        <f t="shared" si="49"/>
        <v>-0.33</v>
      </c>
      <c r="L251" s="10">
        <f t="shared" si="50"/>
        <v>-0.33</v>
      </c>
      <c r="M251" s="10">
        <f t="shared" si="50"/>
        <v>0.22</v>
      </c>
      <c r="N251" s="10">
        <f t="shared" si="50"/>
        <v>-0.55000000000000004</v>
      </c>
      <c r="O251" s="10">
        <f t="shared" si="47"/>
        <v>-0.55000000000000004</v>
      </c>
      <c r="P251" s="10">
        <f t="shared" si="48"/>
        <v>-0.55000000000000004</v>
      </c>
    </row>
    <row r="252" spans="4:16" x14ac:dyDescent="0.25">
      <c r="D252" s="10" t="s">
        <v>369</v>
      </c>
      <c r="E252" s="10" t="str">
        <f t="shared" si="49"/>
        <v>Kimberley</v>
      </c>
      <c r="F252" s="10" t="str">
        <f t="shared" si="49"/>
        <v>Summer</v>
      </c>
      <c r="G252" s="10">
        <f t="shared" si="49"/>
        <v>0.8</v>
      </c>
      <c r="H252" s="10">
        <f t="shared" si="49"/>
        <v>0.55000000000000004</v>
      </c>
      <c r="I252" s="10">
        <f t="shared" si="49"/>
        <v>0.7</v>
      </c>
      <c r="J252" s="10">
        <f t="shared" si="49"/>
        <v>0.44</v>
      </c>
      <c r="K252" s="10">
        <f t="shared" si="49"/>
        <v>0.66</v>
      </c>
      <c r="L252" s="10">
        <f t="shared" si="50"/>
        <v>0.66</v>
      </c>
      <c r="M252" s="10">
        <f t="shared" si="50"/>
        <v>0.8</v>
      </c>
      <c r="N252" s="10">
        <f t="shared" si="50"/>
        <v>0.55000000000000004</v>
      </c>
      <c r="O252" s="10">
        <f t="shared" si="47"/>
        <v>0.55000000000000004</v>
      </c>
      <c r="P252" s="10">
        <f t="shared" si="48"/>
        <v>0.55000000000000004</v>
      </c>
    </row>
    <row r="253" spans="4:16" x14ac:dyDescent="0.25">
      <c r="D253" s="10" t="s">
        <v>369</v>
      </c>
      <c r="E253" s="10" t="str">
        <f t="shared" si="49"/>
        <v>Kimberley</v>
      </c>
      <c r="F253" s="10" t="str">
        <f t="shared" si="49"/>
        <v>Autumn</v>
      </c>
      <c r="G253" s="10">
        <f t="shared" si="49"/>
        <v>0.66</v>
      </c>
      <c r="H253" s="10">
        <f t="shared" si="49"/>
        <v>0.55000000000000004</v>
      </c>
      <c r="I253" s="10">
        <f t="shared" si="49"/>
        <v>0.55000000000000004</v>
      </c>
      <c r="J253" s="10">
        <f t="shared" si="49"/>
        <v>0.55000000000000004</v>
      </c>
      <c r="K253" s="10">
        <f t="shared" si="49"/>
        <v>0.11</v>
      </c>
      <c r="L253" s="10">
        <f t="shared" si="50"/>
        <v>0.11</v>
      </c>
      <c r="M253" s="10">
        <f t="shared" si="50"/>
        <v>0.66</v>
      </c>
      <c r="N253" s="10">
        <f t="shared" si="50"/>
        <v>0.55000000000000004</v>
      </c>
      <c r="O253" s="10">
        <f t="shared" si="47"/>
        <v>0.55000000000000004</v>
      </c>
      <c r="P253" s="10">
        <f t="shared" si="48"/>
        <v>0.55000000000000004</v>
      </c>
    </row>
    <row r="254" spans="4:16" x14ac:dyDescent="0.25">
      <c r="D254" s="10" t="s">
        <v>369</v>
      </c>
      <c r="E254" s="10" t="str">
        <f t="shared" si="49"/>
        <v>Kimberley</v>
      </c>
      <c r="F254" s="10" t="str">
        <f t="shared" si="49"/>
        <v>Winter</v>
      </c>
      <c r="G254" s="10">
        <f t="shared" si="49"/>
        <v>0.33</v>
      </c>
      <c r="H254" s="10">
        <f t="shared" si="49"/>
        <v>-0.55000000000000004</v>
      </c>
      <c r="I254" s="10">
        <f t="shared" si="49"/>
        <v>0.11</v>
      </c>
      <c r="J254" s="10">
        <f t="shared" si="49"/>
        <v>0.11</v>
      </c>
      <c r="K254" s="10">
        <f t="shared" si="49"/>
        <v>-0.44</v>
      </c>
      <c r="L254" s="10">
        <f t="shared" si="50"/>
        <v>-0.44</v>
      </c>
      <c r="M254" s="10">
        <f t="shared" si="50"/>
        <v>0.33</v>
      </c>
      <c r="N254" s="10">
        <f t="shared" si="50"/>
        <v>-0.55000000000000004</v>
      </c>
      <c r="O254" s="10">
        <f t="shared" si="47"/>
        <v>-0.55000000000000004</v>
      </c>
      <c r="P254" s="10">
        <f t="shared" si="48"/>
        <v>-0.55000000000000004</v>
      </c>
    </row>
    <row r="255" spans="4:16" x14ac:dyDescent="0.25">
      <c r="D255" s="10" t="s">
        <v>465</v>
      </c>
      <c r="E255" s="10" t="str">
        <f>E190</f>
        <v>Alice Springs</v>
      </c>
      <c r="F255" s="10" t="str">
        <f>F190</f>
        <v>Spring</v>
      </c>
      <c r="G255" s="10">
        <f>G190</f>
        <v>0.22</v>
      </c>
      <c r="H255" s="10">
        <f t="shared" ref="H255:P255" si="51">H190</f>
        <v>-0.23</v>
      </c>
      <c r="I255" s="10">
        <f t="shared" si="51"/>
        <v>0.25</v>
      </c>
      <c r="J255" s="10">
        <f t="shared" si="51"/>
        <v>0.17</v>
      </c>
      <c r="K255" s="10">
        <f t="shared" si="51"/>
        <v>0.18</v>
      </c>
      <c r="L255" s="10">
        <f t="shared" si="51"/>
        <v>-0.28000000000000003</v>
      </c>
      <c r="M255" s="10">
        <f t="shared" si="51"/>
        <v>0.32</v>
      </c>
      <c r="N255" s="10">
        <f t="shared" si="51"/>
        <v>0.24</v>
      </c>
      <c r="O255" s="10">
        <f t="shared" si="51"/>
        <v>0.25</v>
      </c>
      <c r="P255" s="10">
        <f t="shared" si="51"/>
        <v>-0.05</v>
      </c>
    </row>
    <row r="256" spans="4:16" x14ac:dyDescent="0.25">
      <c r="D256" s="10" t="s">
        <v>465</v>
      </c>
      <c r="E256" s="10" t="str">
        <f t="shared" ref="E256:P271" si="52">E191</f>
        <v>Alice Springs</v>
      </c>
      <c r="F256" s="10" t="str">
        <f t="shared" si="52"/>
        <v>Summer</v>
      </c>
      <c r="G256" s="10">
        <f t="shared" si="52"/>
        <v>0.66</v>
      </c>
      <c r="H256" s="10">
        <f t="shared" si="52"/>
        <v>0.2</v>
      </c>
      <c r="I256" s="10">
        <f t="shared" si="52"/>
        <v>0.62</v>
      </c>
      <c r="J256" s="10">
        <f t="shared" si="52"/>
        <v>0.54</v>
      </c>
      <c r="K256" s="10">
        <f t="shared" si="52"/>
        <v>0.38</v>
      </c>
      <c r="L256" s="10">
        <f t="shared" si="52"/>
        <v>0.27</v>
      </c>
      <c r="M256" s="10">
        <f t="shared" si="52"/>
        <v>0.75</v>
      </c>
      <c r="N256" s="10">
        <f t="shared" si="52"/>
        <v>0.64</v>
      </c>
      <c r="O256" s="10">
        <f t="shared" si="52"/>
        <v>0.55000000000000004</v>
      </c>
      <c r="P256" s="10">
        <f t="shared" si="52"/>
        <v>0.48</v>
      </c>
    </row>
    <row r="257" spans="4:16" x14ac:dyDescent="0.25">
      <c r="D257" s="10" t="s">
        <v>465</v>
      </c>
      <c r="E257" s="10" t="str">
        <f t="shared" si="52"/>
        <v>Alice Springs</v>
      </c>
      <c r="F257" s="10" t="str">
        <f t="shared" si="52"/>
        <v>Autumn</v>
      </c>
      <c r="G257" s="10">
        <f t="shared" si="52"/>
        <v>0.49</v>
      </c>
      <c r="H257" s="10">
        <f t="shared" si="52"/>
        <v>0.13</v>
      </c>
      <c r="I257" s="10">
        <f t="shared" si="52"/>
        <v>0.54</v>
      </c>
      <c r="J257" s="10">
        <f t="shared" si="52"/>
        <v>0.45</v>
      </c>
      <c r="K257" s="10">
        <f t="shared" si="52"/>
        <v>0.35</v>
      </c>
      <c r="L257" s="10">
        <f t="shared" si="52"/>
        <v>0.15</v>
      </c>
      <c r="M257" s="10">
        <f t="shared" si="52"/>
        <v>0.63</v>
      </c>
      <c r="N257" s="10">
        <f t="shared" si="52"/>
        <v>0.54</v>
      </c>
      <c r="O257" s="10">
        <f t="shared" si="52"/>
        <v>0.42</v>
      </c>
      <c r="P257" s="10">
        <f t="shared" si="52"/>
        <v>0.26</v>
      </c>
    </row>
    <row r="258" spans="4:16" x14ac:dyDescent="0.25">
      <c r="D258" s="10" t="s">
        <v>465</v>
      </c>
      <c r="E258" s="10" t="str">
        <f t="shared" si="52"/>
        <v>Alice Springs</v>
      </c>
      <c r="F258" s="10" t="str">
        <f t="shared" si="52"/>
        <v>Winter</v>
      </c>
      <c r="G258" s="10">
        <f t="shared" si="52"/>
        <v>0.27</v>
      </c>
      <c r="H258" s="10">
        <f t="shared" si="52"/>
        <v>-0.8</v>
      </c>
      <c r="I258" s="10">
        <f t="shared" si="52"/>
        <v>0.22</v>
      </c>
      <c r="J258" s="10">
        <f t="shared" si="52"/>
        <v>0.09</v>
      </c>
      <c r="K258" s="10">
        <f t="shared" si="52"/>
        <v>0.12</v>
      </c>
      <c r="L258" s="10">
        <f t="shared" si="52"/>
        <v>0.02</v>
      </c>
      <c r="M258" s="10">
        <f t="shared" si="52"/>
        <v>0.25</v>
      </c>
      <c r="N258" s="10">
        <f t="shared" si="52"/>
        <v>0.18</v>
      </c>
      <c r="O258" s="10">
        <f t="shared" si="52"/>
        <v>0.12</v>
      </c>
      <c r="P258" s="10">
        <f t="shared" si="52"/>
        <v>0.03</v>
      </c>
    </row>
    <row r="259" spans="4:16" x14ac:dyDescent="0.25">
      <c r="D259" s="10" t="s">
        <v>465</v>
      </c>
      <c r="E259" s="10" t="str">
        <f t="shared" si="52"/>
        <v>Barkly</v>
      </c>
      <c r="F259" s="10" t="str">
        <f t="shared" si="52"/>
        <v>Spring</v>
      </c>
      <c r="G259" s="10">
        <f t="shared" si="52"/>
        <v>0.22</v>
      </c>
      <c r="H259" s="10">
        <f t="shared" si="52"/>
        <v>-0.44</v>
      </c>
      <c r="I259" s="10">
        <f t="shared" si="52"/>
        <v>0.2</v>
      </c>
      <c r="J259" s="10">
        <f t="shared" si="52"/>
        <v>0.21</v>
      </c>
      <c r="K259" s="10">
        <f t="shared" si="52"/>
        <v>0.18</v>
      </c>
      <c r="L259" s="10">
        <f t="shared" si="52"/>
        <v>0.01</v>
      </c>
      <c r="M259" s="10">
        <f t="shared" si="52"/>
        <v>0.12</v>
      </c>
      <c r="N259" s="10">
        <f t="shared" si="52"/>
        <v>0.09</v>
      </c>
      <c r="O259" s="10" t="str">
        <f t="shared" si="52"/>
        <v>NO</v>
      </c>
      <c r="P259" s="10" t="str">
        <f t="shared" si="52"/>
        <v>NO</v>
      </c>
    </row>
    <row r="260" spans="4:16" x14ac:dyDescent="0.25">
      <c r="D260" s="10" t="s">
        <v>465</v>
      </c>
      <c r="E260" s="10" t="str">
        <f t="shared" si="52"/>
        <v>Barkly</v>
      </c>
      <c r="F260" s="10" t="str">
        <f t="shared" si="52"/>
        <v>Summer</v>
      </c>
      <c r="G260" s="10">
        <f t="shared" si="52"/>
        <v>0.66</v>
      </c>
      <c r="H260" s="10">
        <f t="shared" si="52"/>
        <v>0.22</v>
      </c>
      <c r="I260" s="10">
        <f t="shared" si="52"/>
        <v>0.68</v>
      </c>
      <c r="J260" s="10">
        <f t="shared" si="52"/>
        <v>0.22</v>
      </c>
      <c r="K260" s="10">
        <f t="shared" si="52"/>
        <v>0.24</v>
      </c>
      <c r="L260" s="10">
        <f t="shared" si="52"/>
        <v>0.25</v>
      </c>
      <c r="M260" s="10">
        <f t="shared" si="52"/>
        <v>0.64</v>
      </c>
      <c r="N260" s="10">
        <f t="shared" si="52"/>
        <v>0.37</v>
      </c>
      <c r="O260" s="10" t="str">
        <f t="shared" si="52"/>
        <v>NO</v>
      </c>
      <c r="P260" s="10" t="str">
        <f t="shared" si="52"/>
        <v>NO</v>
      </c>
    </row>
    <row r="261" spans="4:16" x14ac:dyDescent="0.25">
      <c r="D261" s="10" t="s">
        <v>465</v>
      </c>
      <c r="E261" s="10" t="str">
        <f t="shared" si="52"/>
        <v>Barkly</v>
      </c>
      <c r="F261" s="10" t="str">
        <f t="shared" si="52"/>
        <v>Autumn</v>
      </c>
      <c r="G261" s="10">
        <f t="shared" si="52"/>
        <v>0.49</v>
      </c>
      <c r="H261" s="10">
        <f t="shared" si="52"/>
        <v>0.05</v>
      </c>
      <c r="I261" s="10">
        <f t="shared" si="52"/>
        <v>0.64</v>
      </c>
      <c r="J261" s="10">
        <f t="shared" si="52"/>
        <v>0.25</v>
      </c>
      <c r="K261" s="10">
        <f t="shared" si="52"/>
        <v>0.28999999999999998</v>
      </c>
      <c r="L261" s="10">
        <f t="shared" si="52"/>
        <v>0.12</v>
      </c>
      <c r="M261" s="10">
        <f t="shared" si="52"/>
        <v>0.56999999999999995</v>
      </c>
      <c r="N261" s="10">
        <f t="shared" si="52"/>
        <v>0.49</v>
      </c>
      <c r="O261" s="10" t="str">
        <f t="shared" si="52"/>
        <v>NO</v>
      </c>
      <c r="P261" s="10" t="str">
        <f t="shared" si="52"/>
        <v>NO</v>
      </c>
    </row>
    <row r="262" spans="4:16" x14ac:dyDescent="0.25">
      <c r="D262" s="10" t="s">
        <v>465</v>
      </c>
      <c r="E262" s="10" t="str">
        <f t="shared" si="52"/>
        <v>Barkly</v>
      </c>
      <c r="F262" s="10" t="str">
        <f t="shared" si="52"/>
        <v>Winter</v>
      </c>
      <c r="G262" s="10">
        <f t="shared" si="52"/>
        <v>0.27</v>
      </c>
      <c r="H262" s="10">
        <f t="shared" si="52"/>
        <v>-0.27</v>
      </c>
      <c r="I262" s="10">
        <f t="shared" si="52"/>
        <v>0.31</v>
      </c>
      <c r="J262" s="10">
        <f t="shared" si="52"/>
        <v>0.28999999999999998</v>
      </c>
      <c r="K262" s="10">
        <f t="shared" si="52"/>
        <v>0.19</v>
      </c>
      <c r="L262" s="10">
        <f t="shared" si="52"/>
        <v>0.04</v>
      </c>
      <c r="M262" s="10">
        <f t="shared" si="52"/>
        <v>0.26</v>
      </c>
      <c r="N262" s="10">
        <f t="shared" si="52"/>
        <v>0.28000000000000003</v>
      </c>
      <c r="O262" s="10" t="str">
        <f t="shared" si="52"/>
        <v>NO</v>
      </c>
      <c r="P262" s="10" t="str">
        <f t="shared" si="52"/>
        <v>NO</v>
      </c>
    </row>
    <row r="263" spans="4:16" x14ac:dyDescent="0.25">
      <c r="D263" s="10" t="s">
        <v>465</v>
      </c>
      <c r="E263" s="10" t="str">
        <f t="shared" si="52"/>
        <v>Northern</v>
      </c>
      <c r="F263" s="10" t="str">
        <f t="shared" si="52"/>
        <v>Spring</v>
      </c>
      <c r="G263" s="10">
        <f t="shared" si="52"/>
        <v>0.22</v>
      </c>
      <c r="H263" s="10">
        <f t="shared" si="52"/>
        <v>-0.44</v>
      </c>
      <c r="I263" s="10">
        <f t="shared" si="52"/>
        <v>0</v>
      </c>
      <c r="J263" s="10">
        <f t="shared" si="52"/>
        <v>0.15</v>
      </c>
      <c r="K263" s="10">
        <f t="shared" si="52"/>
        <v>0.08</v>
      </c>
      <c r="L263" s="10">
        <f t="shared" si="52"/>
        <v>0.17</v>
      </c>
      <c r="M263" s="10">
        <f t="shared" si="52"/>
        <v>0.06</v>
      </c>
      <c r="N263" s="10">
        <f t="shared" si="52"/>
        <v>0.02</v>
      </c>
      <c r="O263" s="10">
        <f t="shared" si="52"/>
        <v>-0.14000000000000001</v>
      </c>
      <c r="P263" s="10" t="str">
        <f t="shared" si="52"/>
        <v>NO</v>
      </c>
    </row>
    <row r="264" spans="4:16" x14ac:dyDescent="0.25">
      <c r="D264" s="10" t="s">
        <v>465</v>
      </c>
      <c r="E264" s="10" t="str">
        <f t="shared" si="52"/>
        <v>Northern</v>
      </c>
      <c r="F264" s="10" t="str">
        <f t="shared" si="52"/>
        <v>Summer</v>
      </c>
      <c r="G264" s="10">
        <f t="shared" si="52"/>
        <v>0.66</v>
      </c>
      <c r="H264" s="10">
        <f t="shared" si="52"/>
        <v>0.22</v>
      </c>
      <c r="I264" s="10">
        <f t="shared" si="52"/>
        <v>0.79</v>
      </c>
      <c r="J264" s="10">
        <f t="shared" si="52"/>
        <v>0.4</v>
      </c>
      <c r="K264" s="10">
        <f t="shared" si="52"/>
        <v>0.38</v>
      </c>
      <c r="L264" s="10">
        <f t="shared" si="52"/>
        <v>0.27</v>
      </c>
      <c r="M264" s="10">
        <f t="shared" si="52"/>
        <v>0.8</v>
      </c>
      <c r="N264" s="10">
        <f t="shared" si="52"/>
        <v>0.16</v>
      </c>
      <c r="O264" s="10">
        <f t="shared" si="52"/>
        <v>0.3</v>
      </c>
      <c r="P264" s="10" t="str">
        <f t="shared" si="52"/>
        <v>NO</v>
      </c>
    </row>
    <row r="265" spans="4:16" x14ac:dyDescent="0.25">
      <c r="D265" s="10" t="s">
        <v>465</v>
      </c>
      <c r="E265" s="10" t="str">
        <f t="shared" si="52"/>
        <v>Northern</v>
      </c>
      <c r="F265" s="10" t="str">
        <f t="shared" si="52"/>
        <v>Autumn</v>
      </c>
      <c r="G265" s="10">
        <f t="shared" si="52"/>
        <v>0.49</v>
      </c>
      <c r="H265" s="10">
        <f t="shared" si="52"/>
        <v>0.05</v>
      </c>
      <c r="I265" s="10">
        <f t="shared" si="52"/>
        <v>0.55000000000000004</v>
      </c>
      <c r="J265" s="10">
        <f t="shared" si="52"/>
        <v>0.38</v>
      </c>
      <c r="K265" s="10">
        <f t="shared" si="52"/>
        <v>0.36</v>
      </c>
      <c r="L265" s="10">
        <f t="shared" si="52"/>
        <v>0.06</v>
      </c>
      <c r="M265" s="10">
        <f t="shared" si="52"/>
        <v>0.57999999999999996</v>
      </c>
      <c r="N265" s="10">
        <f t="shared" si="52"/>
        <v>0.23</v>
      </c>
      <c r="O265" s="10">
        <f t="shared" si="52"/>
        <v>0.4</v>
      </c>
      <c r="P265" s="10" t="str">
        <f t="shared" si="52"/>
        <v>NO</v>
      </c>
    </row>
    <row r="266" spans="4:16" x14ac:dyDescent="0.25">
      <c r="D266" s="10" t="s">
        <v>465</v>
      </c>
      <c r="E266" s="10" t="str">
        <f t="shared" si="52"/>
        <v>Northern</v>
      </c>
      <c r="F266" s="10" t="str">
        <f t="shared" si="52"/>
        <v>Winter</v>
      </c>
      <c r="G266" s="10">
        <f t="shared" si="52"/>
        <v>0.27</v>
      </c>
      <c r="H266" s="10">
        <f t="shared" si="52"/>
        <v>-0.27</v>
      </c>
      <c r="I266" s="10">
        <f t="shared" si="52"/>
        <v>0.02</v>
      </c>
      <c r="J266" s="10">
        <f t="shared" si="52"/>
        <v>0.09</v>
      </c>
      <c r="K266" s="10">
        <f t="shared" si="52"/>
        <v>0.16</v>
      </c>
      <c r="L266" s="10">
        <f t="shared" si="52"/>
        <v>-0.04</v>
      </c>
      <c r="M266" s="10">
        <f t="shared" si="52"/>
        <v>0.21</v>
      </c>
      <c r="N266" s="10">
        <f t="shared" si="52"/>
        <v>0.03</v>
      </c>
      <c r="O266" s="10">
        <f t="shared" si="52"/>
        <v>0.11</v>
      </c>
      <c r="P266" s="10" t="str">
        <f t="shared" si="52"/>
        <v>NO</v>
      </c>
    </row>
    <row r="267" spans="4:16" x14ac:dyDescent="0.25">
      <c r="D267" s="10" t="s">
        <v>363</v>
      </c>
      <c r="E267" s="10" t="str">
        <f t="shared" si="52"/>
        <v>High</v>
      </c>
      <c r="F267" s="10" t="str">
        <f t="shared" si="52"/>
        <v>Spring</v>
      </c>
      <c r="G267" s="10">
        <f t="shared" si="52"/>
        <v>0.27</v>
      </c>
      <c r="H267" s="10">
        <f t="shared" si="52"/>
        <v>-0.19</v>
      </c>
      <c r="I267" s="10">
        <f t="shared" si="52"/>
        <v>0.38</v>
      </c>
      <c r="J267" s="10">
        <f t="shared" si="52"/>
        <v>0.25</v>
      </c>
      <c r="K267" s="10">
        <f t="shared" si="52"/>
        <v>7.0000000000000007E-2</v>
      </c>
      <c r="L267" s="10">
        <f t="shared" si="52"/>
        <v>0.05</v>
      </c>
      <c r="M267" s="10">
        <f t="shared" si="52"/>
        <v>0.52</v>
      </c>
      <c r="N267" s="10">
        <f t="shared" si="52"/>
        <v>0.55000000000000004</v>
      </c>
      <c r="O267" s="10">
        <f t="shared" si="52"/>
        <v>0.19</v>
      </c>
      <c r="P267" s="10">
        <f t="shared" si="52"/>
        <v>0.6</v>
      </c>
    </row>
    <row r="268" spans="4:16" x14ac:dyDescent="0.25">
      <c r="D268" s="10" t="s">
        <v>363</v>
      </c>
      <c r="E268" s="10" t="str">
        <f t="shared" si="52"/>
        <v>High</v>
      </c>
      <c r="F268" s="10" t="str">
        <f t="shared" si="52"/>
        <v>Summer</v>
      </c>
      <c r="G268" s="10">
        <f t="shared" si="52"/>
        <v>0.16</v>
      </c>
      <c r="H268" s="10">
        <f t="shared" si="52"/>
        <v>0.16</v>
      </c>
      <c r="I268" s="10">
        <f t="shared" si="52"/>
        <v>0.8</v>
      </c>
      <c r="J268" s="10">
        <f t="shared" si="52"/>
        <v>0.56999999999999995</v>
      </c>
      <c r="K268" s="10">
        <f t="shared" si="52"/>
        <v>0.76</v>
      </c>
      <c r="L268" s="10">
        <f t="shared" si="52"/>
        <v>0.49</v>
      </c>
      <c r="M268" s="10">
        <f t="shared" si="52"/>
        <v>0.84</v>
      </c>
      <c r="N268" s="10">
        <f t="shared" si="52"/>
        <v>0.51</v>
      </c>
      <c r="O268" s="10">
        <f t="shared" si="52"/>
        <v>0.36</v>
      </c>
      <c r="P268" s="10">
        <f t="shared" si="52"/>
        <v>0.17</v>
      </c>
    </row>
    <row r="269" spans="4:16" x14ac:dyDescent="0.25">
      <c r="D269" s="10" t="s">
        <v>363</v>
      </c>
      <c r="E269" s="10" t="str">
        <f t="shared" si="52"/>
        <v>High</v>
      </c>
      <c r="F269" s="10" t="str">
        <f t="shared" si="52"/>
        <v>Autumn</v>
      </c>
      <c r="G269" s="10">
        <f t="shared" si="52"/>
        <v>0.45</v>
      </c>
      <c r="H269" s="10">
        <f t="shared" si="52"/>
        <v>0.1</v>
      </c>
      <c r="I269" s="10">
        <f t="shared" si="52"/>
        <v>0.49</v>
      </c>
      <c r="J269" s="10">
        <f t="shared" si="52"/>
        <v>0.41</v>
      </c>
      <c r="K269" s="10">
        <f t="shared" si="52"/>
        <v>0.4</v>
      </c>
      <c r="L269" s="10">
        <f t="shared" si="52"/>
        <v>0.17</v>
      </c>
      <c r="M269" s="10">
        <f t="shared" si="52"/>
        <v>0.54</v>
      </c>
      <c r="N269" s="10">
        <f t="shared" si="52"/>
        <v>0.64</v>
      </c>
      <c r="O269" s="10">
        <f t="shared" si="52"/>
        <v>-0.05</v>
      </c>
      <c r="P269" s="10">
        <f t="shared" si="52"/>
        <v>0.32</v>
      </c>
    </row>
    <row r="270" spans="4:16" x14ac:dyDescent="0.25">
      <c r="D270" s="10" t="s">
        <v>363</v>
      </c>
      <c r="E270" s="10" t="str">
        <f t="shared" si="52"/>
        <v>High</v>
      </c>
      <c r="F270" s="10" t="str">
        <f t="shared" si="52"/>
        <v>Winter</v>
      </c>
      <c r="G270" s="10">
        <f t="shared" si="52"/>
        <v>0.51</v>
      </c>
      <c r="H270" s="10">
        <f t="shared" si="52"/>
        <v>-7.0000000000000007E-2</v>
      </c>
      <c r="I270" s="10">
        <f t="shared" si="52"/>
        <v>0.13</v>
      </c>
      <c r="J270" s="10">
        <f t="shared" si="52"/>
        <v>-0.09</v>
      </c>
      <c r="K270" s="10">
        <f t="shared" si="52"/>
        <v>-0.13</v>
      </c>
      <c r="L270" s="10">
        <f t="shared" si="52"/>
        <v>7.0000000000000007E-2</v>
      </c>
      <c r="M270" s="10">
        <f t="shared" si="52"/>
        <v>0.25</v>
      </c>
      <c r="N270" s="10">
        <f t="shared" si="52"/>
        <v>0.71</v>
      </c>
      <c r="O270" s="10">
        <f t="shared" si="52"/>
        <v>0.17</v>
      </c>
      <c r="P270" s="10">
        <f t="shared" si="52"/>
        <v>0.43</v>
      </c>
    </row>
    <row r="271" spans="4:16" x14ac:dyDescent="0.25">
      <c r="D271" s="10" t="s">
        <v>363</v>
      </c>
      <c r="E271" s="10" t="str">
        <f t="shared" si="52"/>
        <v>Moderate/High</v>
      </c>
      <c r="F271" s="10" t="str">
        <f t="shared" si="52"/>
        <v>Spring</v>
      </c>
      <c r="G271" s="10">
        <f t="shared" si="52"/>
        <v>-0.12</v>
      </c>
      <c r="H271" s="10">
        <f t="shared" si="52"/>
        <v>-0.19</v>
      </c>
      <c r="I271" s="10">
        <f t="shared" si="52"/>
        <v>0.41</v>
      </c>
      <c r="J271" s="10">
        <f t="shared" si="52"/>
        <v>0.09</v>
      </c>
      <c r="K271" s="10">
        <f t="shared" si="52"/>
        <v>0.41</v>
      </c>
      <c r="L271" s="10">
        <f t="shared" si="52"/>
        <v>-0.19</v>
      </c>
      <c r="M271" s="10">
        <f t="shared" si="52"/>
        <v>7.0000000000000007E-2</v>
      </c>
      <c r="N271" s="10">
        <f t="shared" si="52"/>
        <v>1.07</v>
      </c>
      <c r="O271" s="10">
        <f t="shared" si="52"/>
        <v>-0.08</v>
      </c>
      <c r="P271" s="10">
        <f t="shared" si="52"/>
        <v>0</v>
      </c>
    </row>
    <row r="272" spans="4:16" x14ac:dyDescent="0.25">
      <c r="D272" s="10" t="s">
        <v>363</v>
      </c>
      <c r="E272" s="10" t="str">
        <f t="shared" ref="E272:P282" si="53">E207</f>
        <v>Moderate/High</v>
      </c>
      <c r="F272" s="10" t="str">
        <f t="shared" si="53"/>
        <v>Summer</v>
      </c>
      <c r="G272" s="10">
        <f t="shared" si="53"/>
        <v>0.65</v>
      </c>
      <c r="H272" s="10">
        <f t="shared" si="53"/>
        <v>0.19</v>
      </c>
      <c r="I272" s="10">
        <f t="shared" si="53"/>
        <v>0.65</v>
      </c>
      <c r="J272" s="10">
        <f t="shared" si="53"/>
        <v>0.51</v>
      </c>
      <c r="K272" s="10">
        <f t="shared" si="53"/>
        <v>0.18</v>
      </c>
      <c r="L272" s="10">
        <f t="shared" si="53"/>
        <v>0.63</v>
      </c>
      <c r="M272" s="10">
        <f t="shared" si="53"/>
        <v>1.3</v>
      </c>
      <c r="N272" s="10">
        <f t="shared" si="53"/>
        <v>0.48</v>
      </c>
      <c r="O272" s="10">
        <f t="shared" si="53"/>
        <v>1.1200000000000001</v>
      </c>
      <c r="P272" s="10">
        <f t="shared" si="53"/>
        <v>0.38</v>
      </c>
    </row>
    <row r="273" spans="4:16" x14ac:dyDescent="0.25">
      <c r="D273" s="10" t="s">
        <v>363</v>
      </c>
      <c r="E273" s="10" t="str">
        <f t="shared" si="53"/>
        <v>Moderate/High</v>
      </c>
      <c r="F273" s="10" t="str">
        <f t="shared" si="53"/>
        <v>Autumn</v>
      </c>
      <c r="G273" s="10">
        <f t="shared" si="53"/>
        <v>0.7</v>
      </c>
      <c r="H273" s="10">
        <f t="shared" si="53"/>
        <v>0.13</v>
      </c>
      <c r="I273" s="10">
        <f t="shared" si="53"/>
        <v>0.52</v>
      </c>
      <c r="J273" s="10">
        <f t="shared" si="53"/>
        <v>0.34</v>
      </c>
      <c r="K273" s="10">
        <f t="shared" si="53"/>
        <v>0.02</v>
      </c>
      <c r="L273" s="10">
        <f t="shared" si="53"/>
        <v>0.04</v>
      </c>
      <c r="M273" s="10">
        <f t="shared" si="53"/>
        <v>0.77</v>
      </c>
      <c r="N273" s="10">
        <f t="shared" si="53"/>
        <v>0.42</v>
      </c>
      <c r="O273" s="10">
        <f t="shared" si="53"/>
        <v>0.12</v>
      </c>
      <c r="P273" s="10">
        <f t="shared" si="53"/>
        <v>0.74</v>
      </c>
    </row>
    <row r="274" spans="4:16" x14ac:dyDescent="0.25">
      <c r="D274" s="10" t="s">
        <v>363</v>
      </c>
      <c r="E274" s="10" t="str">
        <f t="shared" si="53"/>
        <v>Moderate/High</v>
      </c>
      <c r="F274" s="10" t="str">
        <f t="shared" si="53"/>
        <v>Winter</v>
      </c>
      <c r="G274" s="10">
        <f t="shared" si="53"/>
        <v>0.32</v>
      </c>
      <c r="H274" s="10">
        <f t="shared" si="53"/>
        <v>-0.06</v>
      </c>
      <c r="I274" s="10">
        <f t="shared" si="53"/>
        <v>0.25</v>
      </c>
      <c r="J274" s="10">
        <f t="shared" si="53"/>
        <v>0.19</v>
      </c>
      <c r="K274" s="10">
        <f t="shared" si="53"/>
        <v>-0.1</v>
      </c>
      <c r="L274" s="10">
        <f t="shared" si="53"/>
        <v>-0.02</v>
      </c>
      <c r="M274" s="10">
        <f t="shared" si="53"/>
        <v>0.02</v>
      </c>
      <c r="N274" s="10">
        <f t="shared" si="53"/>
        <v>0.23</v>
      </c>
      <c r="O274" s="10">
        <f t="shared" si="53"/>
        <v>-0.13</v>
      </c>
      <c r="P274" s="10">
        <f t="shared" si="53"/>
        <v>0</v>
      </c>
    </row>
    <row r="275" spans="4:16" x14ac:dyDescent="0.25">
      <c r="D275" s="10" t="s">
        <v>363</v>
      </c>
      <c r="E275" s="10" t="str">
        <f t="shared" si="53"/>
        <v>Moderate/Low</v>
      </c>
      <c r="F275" s="10" t="str">
        <f t="shared" si="53"/>
        <v>Spring</v>
      </c>
      <c r="G275" s="10">
        <f t="shared" si="53"/>
        <v>0.62</v>
      </c>
      <c r="H275" s="10">
        <f t="shared" si="53"/>
        <v>-0.19</v>
      </c>
      <c r="I275" s="10">
        <f t="shared" si="53"/>
        <v>0.37</v>
      </c>
      <c r="J275" s="10">
        <f t="shared" si="53"/>
        <v>0.41</v>
      </c>
      <c r="K275" s="10">
        <f t="shared" si="53"/>
        <v>0.06</v>
      </c>
      <c r="L275" s="10">
        <f t="shared" si="53"/>
        <v>-0.02</v>
      </c>
      <c r="M275" s="10">
        <f t="shared" si="53"/>
        <v>0.47</v>
      </c>
      <c r="N275" s="10">
        <f t="shared" si="53"/>
        <v>0.44</v>
      </c>
      <c r="O275" s="10">
        <f t="shared" si="53"/>
        <v>0.3</v>
      </c>
      <c r="P275" s="10">
        <f t="shared" si="53"/>
        <v>0.13</v>
      </c>
    </row>
    <row r="276" spans="4:16" x14ac:dyDescent="0.25">
      <c r="D276" s="10" t="s">
        <v>363</v>
      </c>
      <c r="E276" s="10" t="str">
        <f t="shared" si="53"/>
        <v>Moderate/Low</v>
      </c>
      <c r="F276" s="10" t="str">
        <f t="shared" si="53"/>
        <v>Summer</v>
      </c>
      <c r="G276" s="10">
        <f t="shared" si="53"/>
        <v>0.05</v>
      </c>
      <c r="H276" s="10">
        <f t="shared" si="53"/>
        <v>0.19</v>
      </c>
      <c r="I276" s="10">
        <f t="shared" si="53"/>
        <v>0.31</v>
      </c>
      <c r="J276" s="10">
        <f t="shared" si="53"/>
        <v>0.54</v>
      </c>
      <c r="K276" s="10">
        <f t="shared" si="53"/>
        <v>0.53</v>
      </c>
      <c r="L276" s="10">
        <f t="shared" si="53"/>
        <v>0.15</v>
      </c>
      <c r="M276" s="10">
        <f t="shared" si="53"/>
        <v>0.28000000000000003</v>
      </c>
      <c r="N276" s="10">
        <f t="shared" si="53"/>
        <v>0.56999999999999995</v>
      </c>
      <c r="O276" s="10">
        <f t="shared" si="53"/>
        <v>0.42</v>
      </c>
      <c r="P276" s="10">
        <f t="shared" si="53"/>
        <v>0.4</v>
      </c>
    </row>
    <row r="277" spans="4:16" x14ac:dyDescent="0.25">
      <c r="D277" s="10" t="s">
        <v>363</v>
      </c>
      <c r="E277" s="10" t="str">
        <f t="shared" si="53"/>
        <v>Moderate/Low</v>
      </c>
      <c r="F277" s="10" t="str">
        <f t="shared" si="53"/>
        <v>Autumn</v>
      </c>
      <c r="G277" s="10">
        <f t="shared" si="53"/>
        <v>0.33</v>
      </c>
      <c r="H277" s="10">
        <f t="shared" si="53"/>
        <v>0.13</v>
      </c>
      <c r="I277" s="10">
        <f t="shared" si="53"/>
        <v>0.39</v>
      </c>
      <c r="J277" s="10">
        <f t="shared" si="53"/>
        <v>0.36</v>
      </c>
      <c r="K277" s="10">
        <f t="shared" si="53"/>
        <v>0.26</v>
      </c>
      <c r="L277" s="10">
        <f t="shared" si="53"/>
        <v>0.11</v>
      </c>
      <c r="M277" s="10">
        <f t="shared" si="53"/>
        <v>0.4</v>
      </c>
      <c r="N277" s="10">
        <f t="shared" si="53"/>
        <v>0.44</v>
      </c>
      <c r="O277" s="10">
        <f t="shared" si="53"/>
        <v>0.37</v>
      </c>
      <c r="P277" s="10">
        <f t="shared" si="53"/>
        <v>-0.01</v>
      </c>
    </row>
    <row r="278" spans="4:16" x14ac:dyDescent="0.25">
      <c r="D278" s="10" t="s">
        <v>363</v>
      </c>
      <c r="E278" s="10" t="str">
        <f t="shared" si="53"/>
        <v>Moderate/Low</v>
      </c>
      <c r="F278" s="10" t="str">
        <f t="shared" si="53"/>
        <v>Winter</v>
      </c>
      <c r="G278" s="10">
        <f t="shared" si="53"/>
        <v>0.61</v>
      </c>
      <c r="H278" s="10">
        <f t="shared" si="53"/>
        <v>-0.06</v>
      </c>
      <c r="I278" s="10">
        <f t="shared" si="53"/>
        <v>0.21</v>
      </c>
      <c r="J278" s="10">
        <f t="shared" si="53"/>
        <v>0.18</v>
      </c>
      <c r="K278" s="10">
        <f t="shared" si="53"/>
        <v>0.12</v>
      </c>
      <c r="L278" s="10">
        <f t="shared" si="53"/>
        <v>0.06</v>
      </c>
      <c r="M278" s="10">
        <f t="shared" si="53"/>
        <v>0.28999999999999998</v>
      </c>
      <c r="N278" s="10">
        <f t="shared" si="53"/>
        <v>0.41</v>
      </c>
      <c r="O278" s="10">
        <f t="shared" si="53"/>
        <v>0.41</v>
      </c>
      <c r="P278" s="10">
        <f t="shared" si="53"/>
        <v>-0.15</v>
      </c>
    </row>
    <row r="279" spans="4:16" x14ac:dyDescent="0.25">
      <c r="D279" s="10" t="s">
        <v>363</v>
      </c>
      <c r="E279" s="10" t="str">
        <f t="shared" si="53"/>
        <v>Low</v>
      </c>
      <c r="F279" s="10" t="str">
        <f t="shared" si="53"/>
        <v>Spring</v>
      </c>
      <c r="G279" s="10">
        <f t="shared" si="53"/>
        <v>-0.2</v>
      </c>
      <c r="H279" s="10">
        <f t="shared" si="53"/>
        <v>0.02</v>
      </c>
      <c r="I279" s="10">
        <f t="shared" si="53"/>
        <v>0.24</v>
      </c>
      <c r="J279" s="10">
        <f t="shared" si="53"/>
        <v>0.3</v>
      </c>
      <c r="K279" s="10">
        <f t="shared" si="53"/>
        <v>0.23</v>
      </c>
      <c r="L279" s="10">
        <f t="shared" si="53"/>
        <v>-0.05</v>
      </c>
      <c r="M279" s="10">
        <f t="shared" si="53"/>
        <v>0.34</v>
      </c>
      <c r="N279" s="10">
        <f t="shared" si="53"/>
        <v>0.3</v>
      </c>
      <c r="O279" s="10">
        <f t="shared" si="53"/>
        <v>0.56999999999999995</v>
      </c>
      <c r="P279" s="10">
        <f t="shared" si="53"/>
        <v>0.52</v>
      </c>
    </row>
    <row r="280" spans="4:16" x14ac:dyDescent="0.25">
      <c r="D280" s="10" t="s">
        <v>363</v>
      </c>
      <c r="E280" s="10" t="str">
        <f t="shared" si="53"/>
        <v>Low</v>
      </c>
      <c r="F280" s="10" t="str">
        <f t="shared" si="53"/>
        <v>Summer</v>
      </c>
      <c r="G280" s="10">
        <f t="shared" si="53"/>
        <v>0.62</v>
      </c>
      <c r="H280" s="10">
        <f t="shared" si="53"/>
        <v>0.21</v>
      </c>
      <c r="I280" s="10">
        <f t="shared" si="53"/>
        <v>0.25</v>
      </c>
      <c r="J280" s="10">
        <f t="shared" si="53"/>
        <v>0.32</v>
      </c>
      <c r="K280" s="10">
        <f t="shared" si="53"/>
        <v>0.47</v>
      </c>
      <c r="L280" s="10">
        <f t="shared" si="53"/>
        <v>0.31</v>
      </c>
      <c r="M280" s="10">
        <f t="shared" si="53"/>
        <v>0.14000000000000001</v>
      </c>
      <c r="N280" s="10">
        <f t="shared" si="53"/>
        <v>0.4</v>
      </c>
      <c r="O280" s="10">
        <f t="shared" si="53"/>
        <v>0.26</v>
      </c>
      <c r="P280" s="10">
        <f t="shared" si="53"/>
        <v>0.43</v>
      </c>
    </row>
    <row r="281" spans="4:16" x14ac:dyDescent="0.25">
      <c r="D281" s="10" t="s">
        <v>363</v>
      </c>
      <c r="E281" s="10" t="str">
        <f t="shared" si="53"/>
        <v>Low</v>
      </c>
      <c r="F281" s="10" t="str">
        <f t="shared" si="53"/>
        <v>Autumn</v>
      </c>
      <c r="G281" s="10">
        <f t="shared" si="53"/>
        <v>0.4</v>
      </c>
      <c r="H281" s="10">
        <f t="shared" si="53"/>
        <v>0.13</v>
      </c>
      <c r="I281" s="10">
        <f t="shared" si="53"/>
        <v>0.12</v>
      </c>
      <c r="J281" s="10">
        <f t="shared" si="53"/>
        <v>0.27</v>
      </c>
      <c r="K281" s="10">
        <f t="shared" si="53"/>
        <v>0.3</v>
      </c>
      <c r="L281" s="10">
        <f t="shared" si="53"/>
        <v>0.08</v>
      </c>
      <c r="M281" s="10">
        <f t="shared" si="53"/>
        <v>0.13</v>
      </c>
      <c r="N281" s="10">
        <f t="shared" si="53"/>
        <v>0.24</v>
      </c>
      <c r="O281" s="10">
        <f t="shared" si="53"/>
        <v>0.15</v>
      </c>
      <c r="P281" s="10">
        <f t="shared" si="53"/>
        <v>0.21</v>
      </c>
    </row>
    <row r="282" spans="4:16" x14ac:dyDescent="0.25">
      <c r="D282" s="10" t="s">
        <v>363</v>
      </c>
      <c r="E282" s="10" t="str">
        <f t="shared" si="53"/>
        <v>Low</v>
      </c>
      <c r="F282" s="10" t="str">
        <f t="shared" si="53"/>
        <v>Winter</v>
      </c>
      <c r="G282" s="10">
        <f t="shared" si="53"/>
        <v>0.08</v>
      </c>
      <c r="H282" s="10">
        <f t="shared" si="53"/>
        <v>0.04</v>
      </c>
      <c r="I282" s="10">
        <f t="shared" si="53"/>
        <v>0.06</v>
      </c>
      <c r="J282" s="10">
        <f t="shared" si="53"/>
        <v>0.18</v>
      </c>
      <c r="K282" s="10">
        <f t="shared" si="53"/>
        <v>0.11</v>
      </c>
      <c r="L282" s="10">
        <f t="shared" si="53"/>
        <v>-7.0000000000000007E-2</v>
      </c>
      <c r="M282" s="10">
        <f t="shared" si="53"/>
        <v>0.13</v>
      </c>
      <c r="N282" s="10">
        <f t="shared" si="53"/>
        <v>0.16</v>
      </c>
      <c r="O282" s="10">
        <f t="shared" si="53"/>
        <v>0.4</v>
      </c>
      <c r="P282" s="10">
        <f t="shared" si="53"/>
        <v>0.33</v>
      </c>
    </row>
    <row r="283" spans="4:16" x14ac:dyDescent="0.25">
      <c r="M283" s="14"/>
    </row>
    <row r="284" spans="4:16" x14ac:dyDescent="0.25">
      <c r="M284" s="14"/>
    </row>
    <row r="285" spans="4:16" ht="23.25" x14ac:dyDescent="0.25">
      <c r="D285" s="9" t="str" cm="1">
        <f t="array" ref="D285">SourceData_PastureBeef.SourceData_PastureBeef_DryMatterDigestibility_Title()</f>
        <v>Beef pasture cattle - Dry matter digestibility of feed intake (fraction) (DMDj)</v>
      </c>
      <c r="M285" s="14"/>
    </row>
    <row r="286" spans="4:16" x14ac:dyDescent="0.25">
      <c r="D286" s="11" t="str" cm="1">
        <f t="array" ref="D286">SourceData_PastureBeef.SourceData_PastureBeef_DryMatterDigestibility_Source()</f>
        <v>VEERG 2026: Table A.1.2.5</v>
      </c>
      <c r="M286" s="14"/>
    </row>
    <row r="287" spans="4:16" x14ac:dyDescent="0.25">
      <c r="D287" s="8" t="str" cm="1">
        <f t="array" ref="D287">SourceData_PastureBeef.SourceData_PastureBeef_DryMatterDigestibility_Variable()</f>
        <v>DMDj</v>
      </c>
      <c r="M287" s="14"/>
    </row>
    <row r="288" spans="4:16" x14ac:dyDescent="0.25">
      <c r="D288" s="13" t="str" cm="1">
        <f t="array" ref="D288">SourceData_PastureBeef.SourceData_PastureBeef_DryMatterDigestibility_Unit()</f>
        <v>fraction</v>
      </c>
      <c r="M288" s="14"/>
    </row>
    <row r="289" spans="4:13" x14ac:dyDescent="0.25">
      <c r="D289" s="12" t="str" cm="1">
        <f t="array" ref="D289">SourceData_PastureBeef.SourceData_PastureBeef_DryMatterDigestibility_Variation()</f>
        <v>VARIATION ON SOURCE: Split ACT and NSW into separate rows. Duplicated QLD and NT rows with regions from table A.1.2.2 to aid lookup</v>
      </c>
      <c r="M289" s="14"/>
    </row>
    <row r="290" spans="4:13" x14ac:dyDescent="0.25">
      <c r="D290" s="10" t="s">
        <v>289</v>
      </c>
      <c r="E290" s="10" t="s">
        <v>414</v>
      </c>
      <c r="F290" s="10" t="s">
        <v>532</v>
      </c>
      <c r="G290" s="10" t="s">
        <v>524</v>
      </c>
      <c r="H290" s="10" t="s">
        <v>525</v>
      </c>
      <c r="I290" s="10" t="s">
        <v>526</v>
      </c>
      <c r="M290" s="14"/>
    </row>
    <row r="291" spans="4:13" x14ac:dyDescent="0.25">
      <c r="D291" s="10" t="str" cm="1">
        <f t="array" ref="D291">Common_InputFunctions.Utility_DisplayArrayInTable(SourceData_PastureBeef.SourceData_PastureBeef_DryMatterDigestibility_Data(), Table_SourceData_PastureBeef_DryMatterDigestibility[[#Headers],[State]], 0)</f>
        <v>ACT</v>
      </c>
      <c r="E291" s="10" t="str" cm="1">
        <f t="array" ref="E291">Common_InputFunctions.Utility_DisplayArrayInTable(SourceData_PastureBeef.SourceData_PastureBeef_DryMatterDigestibility_Data(), Table_SourceData_PastureBeef_DryMatterDigestibility[[#Headers],[State]], 0)</f>
        <v>n/a</v>
      </c>
      <c r="F291" s="10" cm="1">
        <f t="array" ref="F291">Common_InputFunctions.Utility_DisplayArrayInTable(SourceData_PastureBeef.SourceData_PastureBeef_DryMatterDigestibility_Data(), Table_SourceData_PastureBeef_DryMatterDigestibility[[#Headers],[State]], 0)</f>
        <v>0.55000000000000004</v>
      </c>
      <c r="G291" s="10" cm="1">
        <f t="array" ref="G291">Common_InputFunctions.Utility_DisplayArrayInTable(SourceData_PastureBeef.SourceData_PastureBeef_DryMatterDigestibility_Data(), Table_SourceData_PastureBeef_DryMatterDigestibility[[#Headers],[State]], 0)</f>
        <v>0.65</v>
      </c>
      <c r="H291" s="10" cm="1">
        <f t="array" ref="H291">Common_InputFunctions.Utility_DisplayArrayInTable(SourceData_PastureBeef.SourceData_PastureBeef_DryMatterDigestibility_Data(), Table_SourceData_PastureBeef_DryMatterDigestibility[[#Headers],[State]], 0)</f>
        <v>0.6</v>
      </c>
      <c r="I291" s="10" cm="1">
        <f t="array" ref="I291">Common_InputFunctions.Utility_DisplayArrayInTable(SourceData_PastureBeef.SourceData_PastureBeef_DryMatterDigestibility_Data(), Table_SourceData_PastureBeef_DryMatterDigestibility[[#Headers],[State]], 0)</f>
        <v>0.5</v>
      </c>
      <c r="M291" s="14"/>
    </row>
    <row r="292" spans="4:13" x14ac:dyDescent="0.25">
      <c r="D292" s="8" t="str" cm="1">
        <f t="array" ref="D292">Common_InputFunctions.Utility_DisplayArrayInTable(SourceData_PastureBeef.SourceData_PastureBeef_DryMatterDigestibility_Data(), Table_SourceData_PastureBeef_DryMatterDigestibility[[#Headers],[State]], 0)</f>
        <v>NSW</v>
      </c>
      <c r="E292" s="10" t="str" cm="1">
        <f t="array" ref="E292">Common_InputFunctions.Utility_DisplayArrayInTable(SourceData_PastureBeef.SourceData_PastureBeef_DryMatterDigestibility_Data(), Table_SourceData_PastureBeef_DryMatterDigestibility[[#Headers],[State]], 0)</f>
        <v>n/a</v>
      </c>
      <c r="F292" s="10" cm="1">
        <f t="array" ref="F292">Common_InputFunctions.Utility_DisplayArrayInTable(SourceData_PastureBeef.SourceData_PastureBeef_DryMatterDigestibility_Data(), Table_SourceData_PastureBeef_DryMatterDigestibility[[#Headers],[State]], 0)</f>
        <v>0.55000000000000004</v>
      </c>
      <c r="G292" s="10" cm="1">
        <f t="array" ref="G292">Common_InputFunctions.Utility_DisplayArrayInTable(SourceData_PastureBeef.SourceData_PastureBeef_DryMatterDigestibility_Data(), Table_SourceData_PastureBeef_DryMatterDigestibility[[#Headers],[State]], 0)</f>
        <v>0.65</v>
      </c>
      <c r="H292" s="10" cm="1">
        <f t="array" ref="H292">Common_InputFunctions.Utility_DisplayArrayInTable(SourceData_PastureBeef.SourceData_PastureBeef_DryMatterDigestibility_Data(), Table_SourceData_PastureBeef_DryMatterDigestibility[[#Headers],[State]], 0)</f>
        <v>0.6</v>
      </c>
      <c r="I292" s="10" cm="1">
        <f t="array" ref="I292">Common_InputFunctions.Utility_DisplayArrayInTable(SourceData_PastureBeef.SourceData_PastureBeef_DryMatterDigestibility_Data(), Table_SourceData_PastureBeef_DryMatterDigestibility[[#Headers],[State]], 0)</f>
        <v>0.5</v>
      </c>
      <c r="M292" s="14"/>
    </row>
    <row r="293" spans="4:13" x14ac:dyDescent="0.25">
      <c r="D293" s="8" t="str" cm="1">
        <f t="array" ref="D293">Common_InputFunctions.Utility_DisplayArrayInTable(SourceData_PastureBeef.SourceData_PastureBeef_DryMatterDigestibility_Data(), Table_SourceData_PastureBeef_DryMatterDigestibility[[#Headers],[State]], 0)</f>
        <v>NT</v>
      </c>
      <c r="E293" s="10" t="str" cm="1">
        <f t="array" ref="E293">Common_InputFunctions.Utility_DisplayArrayInTable(SourceData_PastureBeef.SourceData_PastureBeef_DryMatterDigestibility_Data(), Table_SourceData_PastureBeef_DryMatterDigestibility[[#Headers],[State]], 0)</f>
        <v>Alice Springs</v>
      </c>
      <c r="F293" s="10" cm="1">
        <f t="array" ref="F293">Common_InputFunctions.Utility_DisplayArrayInTable(SourceData_PastureBeef.SourceData_PastureBeef_DryMatterDigestibility_Data(), Table_SourceData_PastureBeef_DryMatterDigestibility[[#Headers],[State]], 0)</f>
        <v>0.55000000000000004</v>
      </c>
      <c r="G293" s="10" cm="1">
        <f t="array" ref="G293">Common_InputFunctions.Utility_DisplayArrayInTable(SourceData_PastureBeef.SourceData_PastureBeef_DryMatterDigestibility_Data(), Table_SourceData_PastureBeef_DryMatterDigestibility[[#Headers],[State]], 0)</f>
        <v>0.61</v>
      </c>
      <c r="H293" s="10" cm="1">
        <f t="array" ref="H293">Common_InputFunctions.Utility_DisplayArrayInTable(SourceData_PastureBeef.SourceData_PastureBeef_DryMatterDigestibility_Data(), Table_SourceData_PastureBeef_DryMatterDigestibility[[#Headers],[State]], 0)</f>
        <v>0.56999999999999995</v>
      </c>
      <c r="I293" s="10" cm="1">
        <f t="array" ref="I293">Common_InputFunctions.Utility_DisplayArrayInTable(SourceData_PastureBeef.SourceData_PastureBeef_DryMatterDigestibility_Data(), Table_SourceData_PastureBeef_DryMatterDigestibility[[#Headers],[State]], 0)</f>
        <v>0.54</v>
      </c>
      <c r="M293" s="14"/>
    </row>
    <row r="294" spans="4:13" x14ac:dyDescent="0.25">
      <c r="D294" s="8" t="str" cm="1">
        <f t="array" ref="D294">Common_InputFunctions.Utility_DisplayArrayInTable(SourceData_PastureBeef.SourceData_PastureBeef_DryMatterDigestibility_Data(), Table_SourceData_PastureBeef_DryMatterDigestibility[[#Headers],[State]], 0)</f>
        <v>NT</v>
      </c>
      <c r="E294" s="10" t="str" cm="1">
        <f t="array" ref="E294">Common_InputFunctions.Utility_DisplayArrayInTable(SourceData_PastureBeef.SourceData_PastureBeef_DryMatterDigestibility_Data(), Table_SourceData_PastureBeef_DryMatterDigestibility[[#Headers],[State]], 0)</f>
        <v>Barkly</v>
      </c>
      <c r="F294" s="10" cm="1">
        <f t="array" ref="F294">Common_InputFunctions.Utility_DisplayArrayInTable(SourceData_PastureBeef.SourceData_PastureBeef_DryMatterDigestibility_Data(), Table_SourceData_PastureBeef_DryMatterDigestibility[[#Headers],[State]], 0)</f>
        <v>0.55000000000000004</v>
      </c>
      <c r="G294" s="10" cm="1">
        <f t="array" ref="G294">Common_InputFunctions.Utility_DisplayArrayInTable(SourceData_PastureBeef.SourceData_PastureBeef_DryMatterDigestibility_Data(), Table_SourceData_PastureBeef_DryMatterDigestibility[[#Headers],[State]], 0)</f>
        <v>0.61</v>
      </c>
      <c r="H294" s="10" cm="1">
        <f t="array" ref="H294">Common_InputFunctions.Utility_DisplayArrayInTable(SourceData_PastureBeef.SourceData_PastureBeef_DryMatterDigestibility_Data(), Table_SourceData_PastureBeef_DryMatterDigestibility[[#Headers],[State]], 0)</f>
        <v>0.56999999999999995</v>
      </c>
      <c r="I294" s="10" cm="1">
        <f t="array" ref="I294">Common_InputFunctions.Utility_DisplayArrayInTable(SourceData_PastureBeef.SourceData_PastureBeef_DryMatterDigestibility_Data(), Table_SourceData_PastureBeef_DryMatterDigestibility[[#Headers],[State]], 0)</f>
        <v>0.54</v>
      </c>
      <c r="M294" s="14"/>
    </row>
    <row r="295" spans="4:13" x14ac:dyDescent="0.25">
      <c r="D295" s="8" t="str" cm="1">
        <f t="array" ref="D295">Common_InputFunctions.Utility_DisplayArrayInTable(SourceData_PastureBeef.SourceData_PastureBeef_DryMatterDigestibility_Data(), Table_SourceData_PastureBeef_DryMatterDigestibility[[#Headers],[State]], 0)</f>
        <v>NT</v>
      </c>
      <c r="E295" s="10" t="str" cm="1">
        <f t="array" ref="E295">Common_InputFunctions.Utility_DisplayArrayInTable(SourceData_PastureBeef.SourceData_PastureBeef_DryMatterDigestibility_Data(), Table_SourceData_PastureBeef_DryMatterDigestibility[[#Headers],[State]], 0)</f>
        <v>Northern</v>
      </c>
      <c r="F295" s="10" cm="1">
        <f t="array" ref="F295">Common_InputFunctions.Utility_DisplayArrayInTable(SourceData_PastureBeef.SourceData_PastureBeef_DryMatterDigestibility_Data(), Table_SourceData_PastureBeef_DryMatterDigestibility[[#Headers],[State]], 0)</f>
        <v>0.55000000000000004</v>
      </c>
      <c r="G295" s="10" cm="1">
        <f t="array" ref="G295">Common_InputFunctions.Utility_DisplayArrayInTable(SourceData_PastureBeef.SourceData_PastureBeef_DryMatterDigestibility_Data(), Table_SourceData_PastureBeef_DryMatterDigestibility[[#Headers],[State]], 0)</f>
        <v>0.61</v>
      </c>
      <c r="H295" s="10" cm="1">
        <f t="array" ref="H295">Common_InputFunctions.Utility_DisplayArrayInTable(SourceData_PastureBeef.SourceData_PastureBeef_DryMatterDigestibility_Data(), Table_SourceData_PastureBeef_DryMatterDigestibility[[#Headers],[State]], 0)</f>
        <v>0.56999999999999995</v>
      </c>
      <c r="I295" s="10" cm="1">
        <f t="array" ref="I295">Common_InputFunctions.Utility_DisplayArrayInTable(SourceData_PastureBeef.SourceData_PastureBeef_DryMatterDigestibility_Data(), Table_SourceData_PastureBeef_DryMatterDigestibility[[#Headers],[State]], 0)</f>
        <v>0.54</v>
      </c>
      <c r="M295" s="14"/>
    </row>
    <row r="296" spans="4:13" x14ac:dyDescent="0.25">
      <c r="D296" s="8" t="str" cm="1">
        <f t="array" ref="D296">Common_InputFunctions.Utility_DisplayArrayInTable(SourceData_PastureBeef.SourceData_PastureBeef_DryMatterDigestibility_Data(), Table_SourceData_PastureBeef_DryMatterDigestibility[[#Headers],[State]], 0)</f>
        <v>QLD</v>
      </c>
      <c r="E296" s="10" t="str" cm="1">
        <f t="array" ref="E296">Common_InputFunctions.Utility_DisplayArrayInTable(SourceData_PastureBeef.SourceData_PastureBeef_DryMatterDigestibility_Data(), Table_SourceData_PastureBeef_DryMatterDigestibility[[#Headers],[State]], 0)</f>
        <v>High</v>
      </c>
      <c r="F296" s="10" cm="1">
        <f t="array" ref="F296">Common_InputFunctions.Utility_DisplayArrayInTable(SourceData_PastureBeef.SourceData_PastureBeef_DryMatterDigestibility_Data(), Table_SourceData_PastureBeef_DryMatterDigestibility[[#Headers],[State]], 0)</f>
        <v>0.53</v>
      </c>
      <c r="G296" s="10" cm="1">
        <f t="array" ref="G296">Common_InputFunctions.Utility_DisplayArrayInTable(SourceData_PastureBeef.SourceData_PastureBeef_DryMatterDigestibility_Data(), Table_SourceData_PastureBeef_DryMatterDigestibility[[#Headers],[State]], 0)</f>
        <v>0.56999999999999995</v>
      </c>
      <c r="H296" s="10" cm="1">
        <f t="array" ref="H296">Common_InputFunctions.Utility_DisplayArrayInTable(SourceData_PastureBeef.SourceData_PastureBeef_DryMatterDigestibility_Data(), Table_SourceData_PastureBeef_DryMatterDigestibility[[#Headers],[State]], 0)</f>
        <v>0.55000000000000004</v>
      </c>
      <c r="I296" s="10" cm="1">
        <f t="array" ref="I296">Common_InputFunctions.Utility_DisplayArrayInTable(SourceData_PastureBeef.SourceData_PastureBeef_DryMatterDigestibility_Data(), Table_SourceData_PastureBeef_DryMatterDigestibility[[#Headers],[State]], 0)</f>
        <v>0.51</v>
      </c>
      <c r="M296" s="14"/>
    </row>
    <row r="297" spans="4:13" x14ac:dyDescent="0.25">
      <c r="D297" s="8" t="str" cm="1">
        <f t="array" ref="D297">Common_InputFunctions.Utility_DisplayArrayInTable(SourceData_PastureBeef.SourceData_PastureBeef_DryMatterDigestibility_Data(), Table_SourceData_PastureBeef_DryMatterDigestibility[[#Headers],[State]], 0)</f>
        <v>QLD</v>
      </c>
      <c r="E297" s="10" t="str" cm="1">
        <f t="array" ref="E297">Common_InputFunctions.Utility_DisplayArrayInTable(SourceData_PastureBeef.SourceData_PastureBeef_DryMatterDigestibility_Data(), Table_SourceData_PastureBeef_DryMatterDigestibility[[#Headers],[State]], 0)</f>
        <v>Moderate/High</v>
      </c>
      <c r="F297" s="10" cm="1">
        <f t="array" ref="F297">Common_InputFunctions.Utility_DisplayArrayInTable(SourceData_PastureBeef.SourceData_PastureBeef_DryMatterDigestibility_Data(), Table_SourceData_PastureBeef_DryMatterDigestibility[[#Headers],[State]], 0)</f>
        <v>0.53</v>
      </c>
      <c r="G297" s="10" cm="1">
        <f t="array" ref="G297">Common_InputFunctions.Utility_DisplayArrayInTable(SourceData_PastureBeef.SourceData_PastureBeef_DryMatterDigestibility_Data(), Table_SourceData_PastureBeef_DryMatterDigestibility[[#Headers],[State]], 0)</f>
        <v>0.56999999999999995</v>
      </c>
      <c r="H297" s="10" cm="1">
        <f t="array" ref="H297">Common_InputFunctions.Utility_DisplayArrayInTable(SourceData_PastureBeef.SourceData_PastureBeef_DryMatterDigestibility_Data(), Table_SourceData_PastureBeef_DryMatterDigestibility[[#Headers],[State]], 0)</f>
        <v>0.55000000000000004</v>
      </c>
      <c r="I297" s="10" cm="1">
        <f t="array" ref="I297">Common_InputFunctions.Utility_DisplayArrayInTable(SourceData_PastureBeef.SourceData_PastureBeef_DryMatterDigestibility_Data(), Table_SourceData_PastureBeef_DryMatterDigestibility[[#Headers],[State]], 0)</f>
        <v>0.51</v>
      </c>
      <c r="M297" s="14"/>
    </row>
    <row r="298" spans="4:13" x14ac:dyDescent="0.25">
      <c r="D298" s="8" t="str" cm="1">
        <f t="array" ref="D298">Common_InputFunctions.Utility_DisplayArrayInTable(SourceData_PastureBeef.SourceData_PastureBeef_DryMatterDigestibility_Data(), Table_SourceData_PastureBeef_DryMatterDigestibility[[#Headers],[State]], 0)</f>
        <v>QLD</v>
      </c>
      <c r="E298" s="10" t="str" cm="1">
        <f t="array" ref="E298">Common_InputFunctions.Utility_DisplayArrayInTable(SourceData_PastureBeef.SourceData_PastureBeef_DryMatterDigestibility_Data(), Table_SourceData_PastureBeef_DryMatterDigestibility[[#Headers],[State]], 0)</f>
        <v>Moderate/Low</v>
      </c>
      <c r="F298" s="10" cm="1">
        <f t="array" ref="F298">Common_InputFunctions.Utility_DisplayArrayInTable(SourceData_PastureBeef.SourceData_PastureBeef_DryMatterDigestibility_Data(), Table_SourceData_PastureBeef_DryMatterDigestibility[[#Headers],[State]], 0)</f>
        <v>0.53</v>
      </c>
      <c r="G298" s="10" cm="1">
        <f t="array" ref="G298">Common_InputFunctions.Utility_DisplayArrayInTable(SourceData_PastureBeef.SourceData_PastureBeef_DryMatterDigestibility_Data(), Table_SourceData_PastureBeef_DryMatterDigestibility[[#Headers],[State]], 0)</f>
        <v>0.56999999999999995</v>
      </c>
      <c r="H298" s="10" cm="1">
        <f t="array" ref="H298">Common_InputFunctions.Utility_DisplayArrayInTable(SourceData_PastureBeef.SourceData_PastureBeef_DryMatterDigestibility_Data(), Table_SourceData_PastureBeef_DryMatterDigestibility[[#Headers],[State]], 0)</f>
        <v>0.55000000000000004</v>
      </c>
      <c r="I298" s="10" cm="1">
        <f t="array" ref="I298">Common_InputFunctions.Utility_DisplayArrayInTable(SourceData_PastureBeef.SourceData_PastureBeef_DryMatterDigestibility_Data(), Table_SourceData_PastureBeef_DryMatterDigestibility[[#Headers],[State]], 0)</f>
        <v>0.51</v>
      </c>
      <c r="M298" s="14"/>
    </row>
    <row r="299" spans="4:13" x14ac:dyDescent="0.25">
      <c r="D299" s="8" t="str" cm="1">
        <f t="array" ref="D299">Common_InputFunctions.Utility_DisplayArrayInTable(SourceData_PastureBeef.SourceData_PastureBeef_DryMatterDigestibility_Data(), Table_SourceData_PastureBeef_DryMatterDigestibility[[#Headers],[State]], 0)</f>
        <v>QLD</v>
      </c>
      <c r="E299" s="10" t="str" cm="1">
        <f t="array" ref="E299">Common_InputFunctions.Utility_DisplayArrayInTable(SourceData_PastureBeef.SourceData_PastureBeef_DryMatterDigestibility_Data(), Table_SourceData_PastureBeef_DryMatterDigestibility[[#Headers],[State]], 0)</f>
        <v>Low</v>
      </c>
      <c r="F299" s="10" cm="1">
        <f t="array" ref="F299">Common_InputFunctions.Utility_DisplayArrayInTable(SourceData_PastureBeef.SourceData_PastureBeef_DryMatterDigestibility_Data(), Table_SourceData_PastureBeef_DryMatterDigestibility[[#Headers],[State]], 0)</f>
        <v>0.53</v>
      </c>
      <c r="G299" s="10" cm="1">
        <f t="array" ref="G299">Common_InputFunctions.Utility_DisplayArrayInTable(SourceData_PastureBeef.SourceData_PastureBeef_DryMatterDigestibility_Data(), Table_SourceData_PastureBeef_DryMatterDigestibility[[#Headers],[State]], 0)</f>
        <v>0.56999999999999995</v>
      </c>
      <c r="H299" s="10" cm="1">
        <f t="array" ref="H299">Common_InputFunctions.Utility_DisplayArrayInTable(SourceData_PastureBeef.SourceData_PastureBeef_DryMatterDigestibility_Data(), Table_SourceData_PastureBeef_DryMatterDigestibility[[#Headers],[State]], 0)</f>
        <v>0.55000000000000004</v>
      </c>
      <c r="I299" s="10" cm="1">
        <f t="array" ref="I299">Common_InputFunctions.Utility_DisplayArrayInTable(SourceData_PastureBeef.SourceData_PastureBeef_DryMatterDigestibility_Data(), Table_SourceData_PastureBeef_DryMatterDigestibility[[#Headers],[State]], 0)</f>
        <v>0.51</v>
      </c>
      <c r="M299" s="14"/>
    </row>
    <row r="300" spans="4:13" x14ac:dyDescent="0.25">
      <c r="D300" s="8" t="str" cm="1">
        <f t="array" ref="D300">Common_InputFunctions.Utility_DisplayArrayInTable(SourceData_PastureBeef.SourceData_PastureBeef_DryMatterDigestibility_Data(), Table_SourceData_PastureBeef_DryMatterDigestibility[[#Headers],[State]], 0)</f>
        <v>SA</v>
      </c>
      <c r="E300" s="10" t="str" cm="1">
        <f t="array" ref="E300">Common_InputFunctions.Utility_DisplayArrayInTable(SourceData_PastureBeef.SourceData_PastureBeef_DryMatterDigestibility_Data(), Table_SourceData_PastureBeef_DryMatterDigestibility[[#Headers],[State]], 0)</f>
        <v>n/a</v>
      </c>
      <c r="F300" s="10" cm="1">
        <f t="array" ref="F300">Common_InputFunctions.Utility_DisplayArrayInTable(SourceData_PastureBeef.SourceData_PastureBeef_DryMatterDigestibility_Data(), Table_SourceData_PastureBeef_DryMatterDigestibility[[#Headers],[State]], 0)</f>
        <v>0.7</v>
      </c>
      <c r="G300" s="10" cm="1">
        <f t="array" ref="G300">Common_InputFunctions.Utility_DisplayArrayInTable(SourceData_PastureBeef.SourceData_PastureBeef_DryMatterDigestibility_Data(), Table_SourceData_PastureBeef_DryMatterDigestibility[[#Headers],[State]], 0)</f>
        <v>0.55000000000000004</v>
      </c>
      <c r="H300" s="10" cm="1">
        <f t="array" ref="H300">Common_InputFunctions.Utility_DisplayArrayInTable(SourceData_PastureBeef.SourceData_PastureBeef_DryMatterDigestibility_Data(), Table_SourceData_PastureBeef_DryMatterDigestibility[[#Headers],[State]], 0)</f>
        <v>0.55000000000000004</v>
      </c>
      <c r="I300" s="10" cm="1">
        <f t="array" ref="I300">Common_InputFunctions.Utility_DisplayArrayInTable(SourceData_PastureBeef.SourceData_PastureBeef_DryMatterDigestibility_Data(), Table_SourceData_PastureBeef_DryMatterDigestibility[[#Headers],[State]], 0)</f>
        <v>0.75</v>
      </c>
      <c r="M300" s="14"/>
    </row>
    <row r="301" spans="4:13" x14ac:dyDescent="0.25">
      <c r="D301" s="8" t="str" cm="1">
        <f t="array" ref="D301">Common_InputFunctions.Utility_DisplayArrayInTable(SourceData_PastureBeef.SourceData_PastureBeef_DryMatterDigestibility_Data(), Table_SourceData_PastureBeef_DryMatterDigestibility[[#Headers],[State]], 0)</f>
        <v>TAS</v>
      </c>
      <c r="E301" s="10" t="str" cm="1">
        <f t="array" ref="E301">Common_InputFunctions.Utility_DisplayArrayInTable(SourceData_PastureBeef.SourceData_PastureBeef_DryMatterDigestibility_Data(), Table_SourceData_PastureBeef_DryMatterDigestibility[[#Headers],[State]], 0)</f>
        <v>n/a</v>
      </c>
      <c r="F301" s="10" cm="1">
        <f t="array" ref="F301">Common_InputFunctions.Utility_DisplayArrayInTable(SourceData_PastureBeef.SourceData_PastureBeef_DryMatterDigestibility_Data(), Table_SourceData_PastureBeef_DryMatterDigestibility[[#Headers],[State]], 0)</f>
        <v>0.75</v>
      </c>
      <c r="G301" s="10" cm="1">
        <f t="array" ref="G301">Common_InputFunctions.Utility_DisplayArrayInTable(SourceData_PastureBeef.SourceData_PastureBeef_DryMatterDigestibility_Data(), Table_SourceData_PastureBeef_DryMatterDigestibility[[#Headers],[State]], 0)</f>
        <v>0.6</v>
      </c>
      <c r="H301" s="10" cm="1">
        <f t="array" ref="H301">Common_InputFunctions.Utility_DisplayArrayInTable(SourceData_PastureBeef.SourceData_PastureBeef_DryMatterDigestibility_Data(), Table_SourceData_PastureBeef_DryMatterDigestibility[[#Headers],[State]], 0)</f>
        <v>0.7</v>
      </c>
      <c r="I301" s="10" cm="1">
        <f t="array" ref="I301">Common_InputFunctions.Utility_DisplayArrayInTable(SourceData_PastureBeef.SourceData_PastureBeef_DryMatterDigestibility_Data(), Table_SourceData_PastureBeef_DryMatterDigestibility[[#Headers],[State]], 0)</f>
        <v>0.75</v>
      </c>
      <c r="M301" s="14"/>
    </row>
    <row r="302" spans="4:13" x14ac:dyDescent="0.25">
      <c r="D302" s="8" t="str" cm="1">
        <f t="array" ref="D302">Common_InputFunctions.Utility_DisplayArrayInTable(SourceData_PastureBeef.SourceData_PastureBeef_DryMatterDigestibility_Data(), Table_SourceData_PastureBeef_DryMatterDigestibility[[#Headers],[State]], 0)</f>
        <v>VIC</v>
      </c>
      <c r="E302" s="10" t="str" cm="1">
        <f t="array" ref="E302">Common_InputFunctions.Utility_DisplayArrayInTable(SourceData_PastureBeef.SourceData_PastureBeef_DryMatterDigestibility_Data(), Table_SourceData_PastureBeef_DryMatterDigestibility[[#Headers],[State]], 0)</f>
        <v>n/a</v>
      </c>
      <c r="F302" s="10" cm="1">
        <f t="array" ref="F302">Common_InputFunctions.Utility_DisplayArrayInTable(SourceData_PastureBeef.SourceData_PastureBeef_DryMatterDigestibility_Data(), Table_SourceData_PastureBeef_DryMatterDigestibility[[#Headers],[State]], 0)</f>
        <v>0.8</v>
      </c>
      <c r="G302" s="10" cm="1">
        <f t="array" ref="G302">Common_InputFunctions.Utility_DisplayArrayInTable(SourceData_PastureBeef.SourceData_PastureBeef_DryMatterDigestibility_Data(), Table_SourceData_PastureBeef_DryMatterDigestibility[[#Headers],[State]], 0)</f>
        <v>0.55000000000000004</v>
      </c>
      <c r="H302" s="10" cm="1">
        <f t="array" ref="H302">Common_InputFunctions.Utility_DisplayArrayInTable(SourceData_PastureBeef.SourceData_PastureBeef_DryMatterDigestibility_Data(), Table_SourceData_PastureBeef_DryMatterDigestibility[[#Headers],[State]], 0)</f>
        <v>0.6</v>
      </c>
      <c r="I302" s="10" cm="1">
        <f t="array" ref="I302">Common_InputFunctions.Utility_DisplayArrayInTable(SourceData_PastureBeef.SourceData_PastureBeef_DryMatterDigestibility_Data(), Table_SourceData_PastureBeef_DryMatterDigestibility[[#Headers],[State]], 0)</f>
        <v>0.76</v>
      </c>
      <c r="M302" s="14"/>
    </row>
    <row r="303" spans="4:13" x14ac:dyDescent="0.25">
      <c r="D303" s="8" t="str" cm="1">
        <f t="array" ref="D303">Common_InputFunctions.Utility_DisplayArrayInTable(SourceData_PastureBeef.SourceData_PastureBeef_DryMatterDigestibility_Data(), Table_SourceData_PastureBeef_DryMatterDigestibility[[#Headers],[State]], 0)</f>
        <v>WA</v>
      </c>
      <c r="E303" s="10" t="str" cm="1">
        <f t="array" ref="E303">Common_InputFunctions.Utility_DisplayArrayInTable(SourceData_PastureBeef.SourceData_PastureBeef_DryMatterDigestibility_Data(), Table_SourceData_PastureBeef_DryMatterDigestibility[[#Headers],[State]], 0)</f>
        <v>South West</v>
      </c>
      <c r="F303" s="10" cm="1">
        <f t="array" ref="F303">Common_InputFunctions.Utility_DisplayArrayInTable(SourceData_PastureBeef.SourceData_PastureBeef_DryMatterDigestibility_Data(), Table_SourceData_PastureBeef_DryMatterDigestibility[[#Headers],[State]], 0)</f>
        <v>0.8</v>
      </c>
      <c r="G303" s="10" cm="1">
        <f t="array" ref="G303">Common_InputFunctions.Utility_DisplayArrayInTable(SourceData_PastureBeef.SourceData_PastureBeef_DryMatterDigestibility_Data(), Table_SourceData_PastureBeef_DryMatterDigestibility[[#Headers],[State]], 0)</f>
        <v>0.57999999999999996</v>
      </c>
      <c r="H303" s="10" cm="1">
        <f t="array" ref="H303">Common_InputFunctions.Utility_DisplayArrayInTable(SourceData_PastureBeef.SourceData_PastureBeef_DryMatterDigestibility_Data(), Table_SourceData_PastureBeef_DryMatterDigestibility[[#Headers],[State]], 0)</f>
        <v>0.5</v>
      </c>
      <c r="I303" s="10" cm="1">
        <f t="array" ref="I303">Common_InputFunctions.Utility_DisplayArrayInTable(SourceData_PastureBeef.SourceData_PastureBeef_DryMatterDigestibility_Data(), Table_SourceData_PastureBeef_DryMatterDigestibility[[#Headers],[State]], 0)</f>
        <v>0.75</v>
      </c>
      <c r="M303" s="14"/>
    </row>
    <row r="304" spans="4:13" x14ac:dyDescent="0.25">
      <c r="D304" s="8" t="str" cm="1">
        <f t="array" ref="D304">Common_InputFunctions.Utility_DisplayArrayInTable(SourceData_PastureBeef.SourceData_PastureBeef_DryMatterDigestibility_Data(), Table_SourceData_PastureBeef_DryMatterDigestibility[[#Headers],[State]], 0)</f>
        <v>WA</v>
      </c>
      <c r="E304" s="10" t="str" cm="1">
        <f t="array" ref="E304">Common_InputFunctions.Utility_DisplayArrayInTable(SourceData_PastureBeef.SourceData_PastureBeef_DryMatterDigestibility_Data(), Table_SourceData_PastureBeef_DryMatterDigestibility[[#Headers],[State]], 0)</f>
        <v>Pilbara</v>
      </c>
      <c r="F304" s="10" cm="1">
        <f t="array" ref="F304">Common_InputFunctions.Utility_DisplayArrayInTable(SourceData_PastureBeef.SourceData_PastureBeef_DryMatterDigestibility_Data(), Table_SourceData_PastureBeef_DryMatterDigestibility[[#Headers],[State]], 0)</f>
        <v>0.4</v>
      </c>
      <c r="G304" s="10" cm="1">
        <f t="array" ref="G304">Common_InputFunctions.Utility_DisplayArrayInTable(SourceData_PastureBeef.SourceData_PastureBeef_DryMatterDigestibility_Data(), Table_SourceData_PastureBeef_DryMatterDigestibility[[#Headers],[State]], 0)</f>
        <v>0.65</v>
      </c>
      <c r="H304" s="10" cm="1">
        <f t="array" ref="H304">Common_InputFunctions.Utility_DisplayArrayInTable(SourceData_PastureBeef.SourceData_PastureBeef_DryMatterDigestibility_Data(), Table_SourceData_PastureBeef_DryMatterDigestibility[[#Headers],[State]], 0)</f>
        <v>0.55000000000000004</v>
      </c>
      <c r="I304" s="10" cm="1">
        <f t="array" ref="I304">Common_InputFunctions.Utility_DisplayArrayInTable(SourceData_PastureBeef.SourceData_PastureBeef_DryMatterDigestibility_Data(), Table_SourceData_PastureBeef_DryMatterDigestibility[[#Headers],[State]], 0)</f>
        <v>0.45</v>
      </c>
      <c r="M304" s="14"/>
    </row>
    <row r="305" spans="4:13" x14ac:dyDescent="0.25">
      <c r="D305" s="8" t="str" cm="1">
        <f t="array" ref="D305">Common_InputFunctions.Utility_DisplayArrayInTable(SourceData_PastureBeef.SourceData_PastureBeef_DryMatterDigestibility_Data(), Table_SourceData_PastureBeef_DryMatterDigestibility[[#Headers],[State]], 0)</f>
        <v>WA</v>
      </c>
      <c r="E305" s="10" t="str" cm="1">
        <f t="array" ref="E305">Common_InputFunctions.Utility_DisplayArrayInTable(SourceData_PastureBeef.SourceData_PastureBeef_DryMatterDigestibility_Data(), Table_SourceData_PastureBeef_DryMatterDigestibility[[#Headers],[State]], 0)</f>
        <v>Kimberley</v>
      </c>
      <c r="F305" s="10" cm="1">
        <f t="array" ref="F305">Common_InputFunctions.Utility_DisplayArrayInTable(SourceData_PastureBeef.SourceData_PastureBeef_DryMatterDigestibility_Data(), Table_SourceData_PastureBeef_DryMatterDigestibility[[#Headers],[State]], 0)</f>
        <v>0.4</v>
      </c>
      <c r="G305" s="10" cm="1">
        <f t="array" ref="G305">Common_InputFunctions.Utility_DisplayArrayInTable(SourceData_PastureBeef.SourceData_PastureBeef_DryMatterDigestibility_Data(), Table_SourceData_PastureBeef_DryMatterDigestibility[[#Headers],[State]], 0)</f>
        <v>0.65</v>
      </c>
      <c r="H305" s="10" cm="1">
        <f t="array" ref="H305">Common_InputFunctions.Utility_DisplayArrayInTable(SourceData_PastureBeef.SourceData_PastureBeef_DryMatterDigestibility_Data(), Table_SourceData_PastureBeef_DryMatterDigestibility[[#Headers],[State]], 0)</f>
        <v>0.55000000000000004</v>
      </c>
      <c r="I305" s="10" cm="1">
        <f t="array" ref="I305">Common_InputFunctions.Utility_DisplayArrayInTable(SourceData_PastureBeef.SourceData_PastureBeef_DryMatterDigestibility_Data(), Table_SourceData_PastureBeef_DryMatterDigestibility[[#Headers],[State]], 0)</f>
        <v>0.45</v>
      </c>
      <c r="M305" s="14"/>
    </row>
    <row r="306" spans="4:13" x14ac:dyDescent="0.25">
      <c r="M306" s="14"/>
    </row>
    <row r="307" spans="4:13" x14ac:dyDescent="0.25">
      <c r="M307" s="14"/>
    </row>
    <row r="308" spans="4:13" ht="23.25" x14ac:dyDescent="0.25">
      <c r="D308" s="9" t="str" cm="1">
        <f t="array" ref="D308">SourceData_PastureBeef.SourceData_PastureBeef_CrudeProteinContent_Title()</f>
        <v>Beef pasture cattle - Crude protein content of feed intake (fraction) (CPj)</v>
      </c>
      <c r="M308" s="14"/>
    </row>
    <row r="309" spans="4:13" x14ac:dyDescent="0.25">
      <c r="D309" s="11" t="str" cm="1">
        <f t="array" ref="D309">SourceData_PastureBeef.SourceData_PastureBeef_CrudeProteinContent_Source()</f>
        <v>VEERG 2026: Table A.1.2.6</v>
      </c>
      <c r="M309" s="14"/>
    </row>
    <row r="310" spans="4:13" x14ac:dyDescent="0.25">
      <c r="D310" s="8" t="str" cm="1">
        <f t="array" ref="D310">SourceData_PastureBeef.SourceData_PastureBeef_CrudeProteinContent_Variable()</f>
        <v>CPj</v>
      </c>
      <c r="M310" s="14"/>
    </row>
    <row r="311" spans="4:13" x14ac:dyDescent="0.25">
      <c r="D311" s="13" t="str" cm="1">
        <f t="array" ref="D311">SourceData_PastureBeef.SourceData_PastureBeef_CrudeProteinContent_Unit()</f>
        <v>fraction</v>
      </c>
      <c r="M311" s="14"/>
    </row>
    <row r="312" spans="4:13" x14ac:dyDescent="0.25">
      <c r="D312" s="12" t="str" cm="1">
        <f t="array" ref="D312">SourceData_PastureBeef.SourceData_PastureBeef_CrudeProteinContent_Variation()</f>
        <v>VARIATION ON SOURCE: Split ACT and NSW into separate rows. Duplicated QLD and NT rows with regions from table A.1.2.2 to aid lookup</v>
      </c>
      <c r="M312" s="14"/>
    </row>
    <row r="313" spans="4:13" x14ac:dyDescent="0.25">
      <c r="D313" s="10" t="s">
        <v>289</v>
      </c>
      <c r="E313" s="10" t="s">
        <v>414</v>
      </c>
      <c r="F313" s="10" t="s">
        <v>532</v>
      </c>
      <c r="G313" s="10" t="s">
        <v>524</v>
      </c>
      <c r="H313" s="10" t="s">
        <v>525</v>
      </c>
      <c r="I313" s="10" t="s">
        <v>526</v>
      </c>
      <c r="M313" s="14"/>
    </row>
    <row r="314" spans="4:13" x14ac:dyDescent="0.25">
      <c r="D314" s="10" t="str" cm="1">
        <f t="array" ref="D314">Common_InputFunctions.Utility_DisplayArrayInTable(SourceData_PastureBeef.SourceData_PastureBeef_CrudeProteinContent_Data(), Table_SourceData_PastureBeef_CrudeProtein[[#Headers],[State]], 0)</f>
        <v>ACT</v>
      </c>
      <c r="E314" s="10" t="str" cm="1">
        <f t="array" ref="E314">Common_InputFunctions.Utility_DisplayArrayInTable(SourceData_PastureBeef.SourceData_PastureBeef_CrudeProteinContent_Data(), Table_SourceData_PastureBeef_CrudeProtein[[#Headers],[State]], 0)</f>
        <v>n/a</v>
      </c>
      <c r="F314" s="10" cm="1">
        <f t="array" ref="F314">Common_InputFunctions.Utility_DisplayArrayInTable(SourceData_PastureBeef.SourceData_PastureBeef_CrudeProteinContent_Data(), Table_SourceData_PastureBeef_CrudeProtein[[#Headers],[State]], 0)</f>
        <v>7.0000000000000007E-2</v>
      </c>
      <c r="G314" s="10" cm="1">
        <f t="array" ref="G314">Common_InputFunctions.Utility_DisplayArrayInTable(SourceData_PastureBeef.SourceData_PastureBeef_CrudeProteinContent_Data(), Table_SourceData_PastureBeef_CrudeProtein[[#Headers],[State]], 0)</f>
        <v>0.13</v>
      </c>
      <c r="H314" s="10" cm="1">
        <f t="array" ref="H314">Common_InputFunctions.Utility_DisplayArrayInTable(SourceData_PastureBeef.SourceData_PastureBeef_CrudeProteinContent_Data(), Table_SourceData_PastureBeef_CrudeProtein[[#Headers],[State]], 0)</f>
        <v>0.1</v>
      </c>
      <c r="I314" s="10" cm="1">
        <f t="array" ref="I314">Common_InputFunctions.Utility_DisplayArrayInTable(SourceData_PastureBeef.SourceData_PastureBeef_CrudeProteinContent_Data(), Table_SourceData_PastureBeef_CrudeProtein[[#Headers],[State]], 0)</f>
        <v>0.06</v>
      </c>
      <c r="M314" s="14"/>
    </row>
    <row r="315" spans="4:13" x14ac:dyDescent="0.25">
      <c r="D315" s="10" t="str" cm="1">
        <f t="array" ref="D315">Common_InputFunctions.Utility_DisplayArrayInTable(SourceData_PastureBeef.SourceData_PastureBeef_CrudeProteinContent_Data(), Table_SourceData_PastureBeef_CrudeProtein[[#Headers],[State]], 0)</f>
        <v>NSW</v>
      </c>
      <c r="E315" s="10" t="str" cm="1">
        <f t="array" ref="E315">Common_InputFunctions.Utility_DisplayArrayInTable(SourceData_PastureBeef.SourceData_PastureBeef_CrudeProteinContent_Data(), Table_SourceData_PastureBeef_CrudeProtein[[#Headers],[State]], 0)</f>
        <v>n/a</v>
      </c>
      <c r="F315" s="10" cm="1">
        <f t="array" ref="F315">Common_InputFunctions.Utility_DisplayArrayInTable(SourceData_PastureBeef.SourceData_PastureBeef_CrudeProteinContent_Data(), Table_SourceData_PastureBeef_CrudeProtein[[#Headers],[State]], 0)</f>
        <v>7.0000000000000007E-2</v>
      </c>
      <c r="G315" s="10" cm="1">
        <f t="array" ref="G315">Common_InputFunctions.Utility_DisplayArrayInTable(SourceData_PastureBeef.SourceData_PastureBeef_CrudeProteinContent_Data(), Table_SourceData_PastureBeef_CrudeProtein[[#Headers],[State]], 0)</f>
        <v>0.13</v>
      </c>
      <c r="H315" s="10" cm="1">
        <f t="array" ref="H315">Common_InputFunctions.Utility_DisplayArrayInTable(SourceData_PastureBeef.SourceData_PastureBeef_CrudeProteinContent_Data(), Table_SourceData_PastureBeef_CrudeProtein[[#Headers],[State]], 0)</f>
        <v>0.1</v>
      </c>
      <c r="I315" s="10" cm="1">
        <f t="array" ref="I315">Common_InputFunctions.Utility_DisplayArrayInTable(SourceData_PastureBeef.SourceData_PastureBeef_CrudeProteinContent_Data(), Table_SourceData_PastureBeef_CrudeProtein[[#Headers],[State]], 0)</f>
        <v>0.06</v>
      </c>
      <c r="M315" s="14"/>
    </row>
    <row r="316" spans="4:13" x14ac:dyDescent="0.25">
      <c r="D316" s="10" t="str" cm="1">
        <f t="array" ref="D316">Common_InputFunctions.Utility_DisplayArrayInTable(SourceData_PastureBeef.SourceData_PastureBeef_CrudeProteinContent_Data(), Table_SourceData_PastureBeef_CrudeProtein[[#Headers],[State]], 0)</f>
        <v>NT</v>
      </c>
      <c r="E316" s="10" t="str" cm="1">
        <f t="array" ref="E316">Common_InputFunctions.Utility_DisplayArrayInTable(SourceData_PastureBeef.SourceData_PastureBeef_CrudeProteinContent_Data(), Table_SourceData_PastureBeef_CrudeProtein[[#Headers],[State]], 0)</f>
        <v>Alice Springs</v>
      </c>
      <c r="F316" s="10" cm="1">
        <f t="array" ref="F316">Common_InputFunctions.Utility_DisplayArrayInTable(SourceData_PastureBeef.SourceData_PastureBeef_CrudeProteinContent_Data(), Table_SourceData_PastureBeef_CrudeProtein[[#Headers],[State]], 0)</f>
        <v>5.8000000000000003E-2</v>
      </c>
      <c r="G316" s="10" cm="1">
        <f t="array" ref="G316">Common_InputFunctions.Utility_DisplayArrayInTable(SourceData_PastureBeef.SourceData_PastureBeef_CrudeProteinContent_Data(), Table_SourceData_PastureBeef_CrudeProtein[[#Headers],[State]], 0)</f>
        <v>9.1999999999999998E-2</v>
      </c>
      <c r="H316" s="10" cm="1">
        <f t="array" ref="H316">Common_InputFunctions.Utility_DisplayArrayInTable(SourceData_PastureBeef.SourceData_PastureBeef_CrudeProteinContent_Data(), Table_SourceData_PastureBeef_CrudeProtein[[#Headers],[State]], 0)</f>
        <v>7.4999999999999997E-2</v>
      </c>
      <c r="I316" s="10" cm="1">
        <f t="array" ref="I316">Common_InputFunctions.Utility_DisplayArrayInTable(SourceData_PastureBeef.SourceData_PastureBeef_CrudeProteinContent_Data(), Table_SourceData_PastureBeef_CrudeProtein[[#Headers],[State]], 0)</f>
        <v>5.2999999999999999E-2</v>
      </c>
      <c r="M316" s="14"/>
    </row>
    <row r="317" spans="4:13" x14ac:dyDescent="0.25">
      <c r="D317" s="10" t="str" cm="1">
        <f t="array" ref="D317">Common_InputFunctions.Utility_DisplayArrayInTable(SourceData_PastureBeef.SourceData_PastureBeef_CrudeProteinContent_Data(), Table_SourceData_PastureBeef_CrudeProtein[[#Headers],[State]], 0)</f>
        <v>NT</v>
      </c>
      <c r="E317" s="10" t="str" cm="1">
        <f t="array" ref="E317">Common_InputFunctions.Utility_DisplayArrayInTable(SourceData_PastureBeef.SourceData_PastureBeef_CrudeProteinContent_Data(), Table_SourceData_PastureBeef_CrudeProtein[[#Headers],[State]], 0)</f>
        <v>Barkly</v>
      </c>
      <c r="F317" s="10" cm="1">
        <f t="array" ref="F317">Common_InputFunctions.Utility_DisplayArrayInTable(SourceData_PastureBeef.SourceData_PastureBeef_CrudeProteinContent_Data(), Table_SourceData_PastureBeef_CrudeProtein[[#Headers],[State]], 0)</f>
        <v>5.8000000000000003E-2</v>
      </c>
      <c r="G317" s="10" cm="1">
        <f t="array" ref="G317">Common_InputFunctions.Utility_DisplayArrayInTable(SourceData_PastureBeef.SourceData_PastureBeef_CrudeProteinContent_Data(), Table_SourceData_PastureBeef_CrudeProtein[[#Headers],[State]], 0)</f>
        <v>9.1999999999999998E-2</v>
      </c>
      <c r="H317" s="10" cm="1">
        <f t="array" ref="H317">Common_InputFunctions.Utility_DisplayArrayInTable(SourceData_PastureBeef.SourceData_PastureBeef_CrudeProteinContent_Data(), Table_SourceData_PastureBeef_CrudeProtein[[#Headers],[State]], 0)</f>
        <v>7.4999999999999997E-2</v>
      </c>
      <c r="I317" s="10" cm="1">
        <f t="array" ref="I317">Common_InputFunctions.Utility_DisplayArrayInTable(SourceData_PastureBeef.SourceData_PastureBeef_CrudeProteinContent_Data(), Table_SourceData_PastureBeef_CrudeProtein[[#Headers],[State]], 0)</f>
        <v>5.2999999999999999E-2</v>
      </c>
      <c r="M317" s="14"/>
    </row>
    <row r="318" spans="4:13" x14ac:dyDescent="0.25">
      <c r="D318" s="10" t="str" cm="1">
        <f t="array" ref="D318">Common_InputFunctions.Utility_DisplayArrayInTable(SourceData_PastureBeef.SourceData_PastureBeef_CrudeProteinContent_Data(), Table_SourceData_PastureBeef_CrudeProtein[[#Headers],[State]], 0)</f>
        <v>NT</v>
      </c>
      <c r="E318" s="10" t="str" cm="1">
        <f t="array" ref="E318">Common_InputFunctions.Utility_DisplayArrayInTable(SourceData_PastureBeef.SourceData_PastureBeef_CrudeProteinContent_Data(), Table_SourceData_PastureBeef_CrudeProtein[[#Headers],[State]], 0)</f>
        <v>Northern</v>
      </c>
      <c r="F318" s="10" cm="1">
        <f t="array" ref="F318">Common_InputFunctions.Utility_DisplayArrayInTable(SourceData_PastureBeef.SourceData_PastureBeef_CrudeProteinContent_Data(), Table_SourceData_PastureBeef_CrudeProtein[[#Headers],[State]], 0)</f>
        <v>5.8000000000000003E-2</v>
      </c>
      <c r="G318" s="10" cm="1">
        <f t="array" ref="G318">Common_InputFunctions.Utility_DisplayArrayInTable(SourceData_PastureBeef.SourceData_PastureBeef_CrudeProteinContent_Data(), Table_SourceData_PastureBeef_CrudeProtein[[#Headers],[State]], 0)</f>
        <v>9.1999999999999998E-2</v>
      </c>
      <c r="H318" s="10" cm="1">
        <f t="array" ref="H318">Common_InputFunctions.Utility_DisplayArrayInTable(SourceData_PastureBeef.SourceData_PastureBeef_CrudeProteinContent_Data(), Table_SourceData_PastureBeef_CrudeProtein[[#Headers],[State]], 0)</f>
        <v>7.4999999999999997E-2</v>
      </c>
      <c r="I318" s="10" cm="1">
        <f t="array" ref="I318">Common_InputFunctions.Utility_DisplayArrayInTable(SourceData_PastureBeef.SourceData_PastureBeef_CrudeProteinContent_Data(), Table_SourceData_PastureBeef_CrudeProtein[[#Headers],[State]], 0)</f>
        <v>5.2999999999999999E-2</v>
      </c>
      <c r="M318" s="14"/>
    </row>
    <row r="319" spans="4:13" x14ac:dyDescent="0.25">
      <c r="D319" s="10" t="str" cm="1">
        <f t="array" ref="D319">Common_InputFunctions.Utility_DisplayArrayInTable(SourceData_PastureBeef.SourceData_PastureBeef_CrudeProteinContent_Data(), Table_SourceData_PastureBeef_CrudeProtein[[#Headers],[State]], 0)</f>
        <v>QLD</v>
      </c>
      <c r="E319" s="10" t="str" cm="1">
        <f t="array" ref="E319">Common_InputFunctions.Utility_DisplayArrayInTable(SourceData_PastureBeef.SourceData_PastureBeef_CrudeProteinContent_Data(), Table_SourceData_PastureBeef_CrudeProtein[[#Headers],[State]], 0)</f>
        <v>High</v>
      </c>
      <c r="F319" s="10" cm="1">
        <f t="array" ref="F319">Common_InputFunctions.Utility_DisplayArrayInTable(SourceData_PastureBeef.SourceData_PastureBeef_CrudeProteinContent_Data(), Table_SourceData_PastureBeef_CrudeProtein[[#Headers],[State]], 0)</f>
        <v>7.1999999999999995E-2</v>
      </c>
      <c r="G319" s="10" cm="1">
        <f t="array" ref="G319">Common_InputFunctions.Utility_DisplayArrayInTable(SourceData_PastureBeef.SourceData_PastureBeef_CrudeProteinContent_Data(), Table_SourceData_PastureBeef_CrudeProtein[[#Headers],[State]], 0)</f>
        <v>9.9000000000000005E-2</v>
      </c>
      <c r="H319" s="10" cm="1">
        <f t="array" ref="H319">Common_InputFunctions.Utility_DisplayArrayInTable(SourceData_PastureBeef.SourceData_PastureBeef_CrudeProteinContent_Data(), Table_SourceData_PastureBeef_CrudeProtein[[#Headers],[State]], 0)</f>
        <v>7.8E-2</v>
      </c>
      <c r="I319" s="10" cm="1">
        <f t="array" ref="I319">Common_InputFunctions.Utility_DisplayArrayInTable(SourceData_PastureBeef.SourceData_PastureBeef_CrudeProteinContent_Data(), Table_SourceData_PastureBeef_CrudeProtein[[#Headers],[State]], 0)</f>
        <v>5.8999999999999997E-2</v>
      </c>
      <c r="M319" s="8"/>
    </row>
    <row r="320" spans="4:13" x14ac:dyDescent="0.25">
      <c r="D320" s="10" t="str" cm="1">
        <f t="array" ref="D320">Common_InputFunctions.Utility_DisplayArrayInTable(SourceData_PastureBeef.SourceData_PastureBeef_CrudeProteinContent_Data(), Table_SourceData_PastureBeef_CrudeProtein[[#Headers],[State]], 0)</f>
        <v>QLD</v>
      </c>
      <c r="E320" s="10" t="str" cm="1">
        <f t="array" ref="E320">Common_InputFunctions.Utility_DisplayArrayInTable(SourceData_PastureBeef.SourceData_PastureBeef_CrudeProteinContent_Data(), Table_SourceData_PastureBeef_CrudeProtein[[#Headers],[State]], 0)</f>
        <v>Moderate/High</v>
      </c>
      <c r="F320" s="10" cm="1">
        <f t="array" ref="F320">Common_InputFunctions.Utility_DisplayArrayInTable(SourceData_PastureBeef.SourceData_PastureBeef_CrudeProteinContent_Data(), Table_SourceData_PastureBeef_CrudeProtein[[#Headers],[State]], 0)</f>
        <v>7.1999999999999995E-2</v>
      </c>
      <c r="G320" s="10" cm="1">
        <f t="array" ref="G320">Common_InputFunctions.Utility_DisplayArrayInTable(SourceData_PastureBeef.SourceData_PastureBeef_CrudeProteinContent_Data(), Table_SourceData_PastureBeef_CrudeProtein[[#Headers],[State]], 0)</f>
        <v>9.9000000000000005E-2</v>
      </c>
      <c r="H320" s="10" cm="1">
        <f t="array" ref="H320">Common_InputFunctions.Utility_DisplayArrayInTable(SourceData_PastureBeef.SourceData_PastureBeef_CrudeProteinContent_Data(), Table_SourceData_PastureBeef_CrudeProtein[[#Headers],[State]], 0)</f>
        <v>7.8E-2</v>
      </c>
      <c r="I320" s="10" cm="1">
        <f t="array" ref="I320">Common_InputFunctions.Utility_DisplayArrayInTable(SourceData_PastureBeef.SourceData_PastureBeef_CrudeProteinContent_Data(), Table_SourceData_PastureBeef_CrudeProtein[[#Headers],[State]], 0)</f>
        <v>5.8999999999999997E-2</v>
      </c>
      <c r="M320" s="8"/>
    </row>
    <row r="321" spans="4:13" x14ac:dyDescent="0.25">
      <c r="D321" s="10" t="str" cm="1">
        <f t="array" ref="D321">Common_InputFunctions.Utility_DisplayArrayInTable(SourceData_PastureBeef.SourceData_PastureBeef_CrudeProteinContent_Data(), Table_SourceData_PastureBeef_CrudeProtein[[#Headers],[State]], 0)</f>
        <v>QLD</v>
      </c>
      <c r="E321" s="10" t="str" cm="1">
        <f t="array" ref="E321">Common_InputFunctions.Utility_DisplayArrayInTable(SourceData_PastureBeef.SourceData_PastureBeef_CrudeProteinContent_Data(), Table_SourceData_PastureBeef_CrudeProtein[[#Headers],[State]], 0)</f>
        <v>Moderate/Low</v>
      </c>
      <c r="F321" s="10" cm="1">
        <f t="array" ref="F321">Common_InputFunctions.Utility_DisplayArrayInTable(SourceData_PastureBeef.SourceData_PastureBeef_CrudeProteinContent_Data(), Table_SourceData_PastureBeef_CrudeProtein[[#Headers],[State]], 0)</f>
        <v>7.1999999999999995E-2</v>
      </c>
      <c r="G321" s="10" cm="1">
        <f t="array" ref="G321">Common_InputFunctions.Utility_DisplayArrayInTable(SourceData_PastureBeef.SourceData_PastureBeef_CrudeProteinContent_Data(), Table_SourceData_PastureBeef_CrudeProtein[[#Headers],[State]], 0)</f>
        <v>9.9000000000000005E-2</v>
      </c>
      <c r="H321" s="10" cm="1">
        <f t="array" ref="H321">Common_InputFunctions.Utility_DisplayArrayInTable(SourceData_PastureBeef.SourceData_PastureBeef_CrudeProteinContent_Data(), Table_SourceData_PastureBeef_CrudeProtein[[#Headers],[State]], 0)</f>
        <v>7.8E-2</v>
      </c>
      <c r="I321" s="10" cm="1">
        <f t="array" ref="I321">Common_InputFunctions.Utility_DisplayArrayInTable(SourceData_PastureBeef.SourceData_PastureBeef_CrudeProteinContent_Data(), Table_SourceData_PastureBeef_CrudeProtein[[#Headers],[State]], 0)</f>
        <v>5.8999999999999997E-2</v>
      </c>
      <c r="M321" s="8"/>
    </row>
    <row r="322" spans="4:13" x14ac:dyDescent="0.25">
      <c r="D322" s="10" t="str" cm="1">
        <f t="array" ref="D322">Common_InputFunctions.Utility_DisplayArrayInTable(SourceData_PastureBeef.SourceData_PastureBeef_CrudeProteinContent_Data(), Table_SourceData_PastureBeef_CrudeProtein[[#Headers],[State]], 0)</f>
        <v>QLD</v>
      </c>
      <c r="E322" s="10" t="str" cm="1">
        <f t="array" ref="E322">Common_InputFunctions.Utility_DisplayArrayInTable(SourceData_PastureBeef.SourceData_PastureBeef_CrudeProteinContent_Data(), Table_SourceData_PastureBeef_CrudeProtein[[#Headers],[State]], 0)</f>
        <v>Low</v>
      </c>
      <c r="F322" s="10" cm="1">
        <f t="array" ref="F322">Common_InputFunctions.Utility_DisplayArrayInTable(SourceData_PastureBeef.SourceData_PastureBeef_CrudeProteinContent_Data(), Table_SourceData_PastureBeef_CrudeProtein[[#Headers],[State]], 0)</f>
        <v>7.1999999999999995E-2</v>
      </c>
      <c r="G322" s="10" cm="1">
        <f t="array" ref="G322">Common_InputFunctions.Utility_DisplayArrayInTable(SourceData_PastureBeef.SourceData_PastureBeef_CrudeProteinContent_Data(), Table_SourceData_PastureBeef_CrudeProtein[[#Headers],[State]], 0)</f>
        <v>9.9000000000000005E-2</v>
      </c>
      <c r="H322" s="10" cm="1">
        <f t="array" ref="H322">Common_InputFunctions.Utility_DisplayArrayInTable(SourceData_PastureBeef.SourceData_PastureBeef_CrudeProteinContent_Data(), Table_SourceData_PastureBeef_CrudeProtein[[#Headers],[State]], 0)</f>
        <v>7.8E-2</v>
      </c>
      <c r="I322" s="10" cm="1">
        <f t="array" ref="I322">Common_InputFunctions.Utility_DisplayArrayInTable(SourceData_PastureBeef.SourceData_PastureBeef_CrudeProteinContent_Data(), Table_SourceData_PastureBeef_CrudeProtein[[#Headers],[State]], 0)</f>
        <v>5.8999999999999997E-2</v>
      </c>
      <c r="M322" s="8"/>
    </row>
    <row r="323" spans="4:13" x14ac:dyDescent="0.25">
      <c r="D323" s="10" t="str" cm="1">
        <f t="array" ref="D323">Common_InputFunctions.Utility_DisplayArrayInTable(SourceData_PastureBeef.SourceData_PastureBeef_CrudeProteinContent_Data(), Table_SourceData_PastureBeef_CrudeProtein[[#Headers],[State]], 0)</f>
        <v>SA</v>
      </c>
      <c r="E323" s="10" t="str" cm="1">
        <f t="array" ref="E323">Common_InputFunctions.Utility_DisplayArrayInTable(SourceData_PastureBeef.SourceData_PastureBeef_CrudeProteinContent_Data(), Table_SourceData_PastureBeef_CrudeProtein[[#Headers],[State]], 0)</f>
        <v>n/a</v>
      </c>
      <c r="F323" s="10" cm="1">
        <f t="array" ref="F323">Common_InputFunctions.Utility_DisplayArrayInTable(SourceData_PastureBeef.SourceData_PastureBeef_CrudeProteinContent_Data(), Table_SourceData_PastureBeef_CrudeProtein[[#Headers],[State]], 0)</f>
        <v>0.16</v>
      </c>
      <c r="G323" s="10" cm="1">
        <f t="array" ref="G323">Common_InputFunctions.Utility_DisplayArrayInTable(SourceData_PastureBeef.SourceData_PastureBeef_CrudeProteinContent_Data(), Table_SourceData_PastureBeef_CrudeProtein[[#Headers],[State]], 0)</f>
        <v>7.0000000000000007E-2</v>
      </c>
      <c r="H323" s="10" cm="1">
        <f t="array" ref="H323">Common_InputFunctions.Utility_DisplayArrayInTable(SourceData_PastureBeef.SourceData_PastureBeef_CrudeProteinContent_Data(), Table_SourceData_PastureBeef_CrudeProtein[[#Headers],[State]], 0)</f>
        <v>0.09</v>
      </c>
      <c r="I323" s="10" cm="1">
        <f t="array" ref="I323">Common_InputFunctions.Utility_DisplayArrayInTable(SourceData_PastureBeef.SourceData_PastureBeef_CrudeProteinContent_Data(), Table_SourceData_PastureBeef_CrudeProtein[[#Headers],[State]], 0)</f>
        <v>0.2</v>
      </c>
      <c r="M323" s="8"/>
    </row>
    <row r="324" spans="4:13" x14ac:dyDescent="0.25">
      <c r="D324" s="10" t="str" cm="1">
        <f t="array" ref="D324">Common_InputFunctions.Utility_DisplayArrayInTable(SourceData_PastureBeef.SourceData_PastureBeef_CrudeProteinContent_Data(), Table_SourceData_PastureBeef_CrudeProtein[[#Headers],[State]], 0)</f>
        <v>TAS</v>
      </c>
      <c r="E324" s="10" t="str" cm="1">
        <f t="array" ref="E324">Common_InputFunctions.Utility_DisplayArrayInTable(SourceData_PastureBeef.SourceData_PastureBeef_CrudeProteinContent_Data(), Table_SourceData_PastureBeef_CrudeProtein[[#Headers],[State]], 0)</f>
        <v>n/a</v>
      </c>
      <c r="F324" s="10" cm="1">
        <f t="array" ref="F324">Common_InputFunctions.Utility_DisplayArrayInTable(SourceData_PastureBeef.SourceData_PastureBeef_CrudeProteinContent_Data(), Table_SourceData_PastureBeef_CrudeProtein[[#Headers],[State]], 0)</f>
        <v>0.2</v>
      </c>
      <c r="G324" s="10" cm="1">
        <f t="array" ref="G324">Common_InputFunctions.Utility_DisplayArrayInTable(SourceData_PastureBeef.SourceData_PastureBeef_CrudeProteinContent_Data(), Table_SourceData_PastureBeef_CrudeProtein[[#Headers],[State]], 0)</f>
        <v>0.1</v>
      </c>
      <c r="H324" s="10" cm="1">
        <f t="array" ref="H324">Common_InputFunctions.Utility_DisplayArrayInTable(SourceData_PastureBeef.SourceData_PastureBeef_CrudeProteinContent_Data(), Table_SourceData_PastureBeef_CrudeProtein[[#Headers],[State]], 0)</f>
        <v>0.16</v>
      </c>
      <c r="I324" s="10" cm="1">
        <f t="array" ref="I324">Common_InputFunctions.Utility_DisplayArrayInTable(SourceData_PastureBeef.SourceData_PastureBeef_CrudeProteinContent_Data(), Table_SourceData_PastureBeef_CrudeProtein[[#Headers],[State]], 0)</f>
        <v>0.2</v>
      </c>
      <c r="M324" s="8"/>
    </row>
    <row r="325" spans="4:13" x14ac:dyDescent="0.25">
      <c r="D325" s="10" t="str" cm="1">
        <f t="array" ref="D325">Common_InputFunctions.Utility_DisplayArrayInTable(SourceData_PastureBeef.SourceData_PastureBeef_CrudeProteinContent_Data(), Table_SourceData_PastureBeef_CrudeProtein[[#Headers],[State]], 0)</f>
        <v>VIC</v>
      </c>
      <c r="E325" s="10" t="str" cm="1">
        <f t="array" ref="E325">Common_InputFunctions.Utility_DisplayArrayInTable(SourceData_PastureBeef.SourceData_PastureBeef_CrudeProteinContent_Data(), Table_SourceData_PastureBeef_CrudeProtein[[#Headers],[State]], 0)</f>
        <v>n/a</v>
      </c>
      <c r="F325" s="10" cm="1">
        <f t="array" ref="F325">Common_InputFunctions.Utility_DisplayArrayInTable(SourceData_PastureBeef.SourceData_PastureBeef_CrudeProteinContent_Data(), Table_SourceData_PastureBeef_CrudeProtein[[#Headers],[State]], 0)</f>
        <v>0.25</v>
      </c>
      <c r="G325" s="10" cm="1">
        <f t="array" ref="G325">Common_InputFunctions.Utility_DisplayArrayInTable(SourceData_PastureBeef.SourceData_PastureBeef_CrudeProteinContent_Data(), Table_SourceData_PastureBeef_CrudeProtein[[#Headers],[State]], 0)</f>
        <v>7.0000000000000007E-2</v>
      </c>
      <c r="H325" s="10" cm="1">
        <f t="array" ref="H325">Common_InputFunctions.Utility_DisplayArrayInTable(SourceData_PastureBeef.SourceData_PastureBeef_CrudeProteinContent_Data(), Table_SourceData_PastureBeef_CrudeProtein[[#Headers],[State]], 0)</f>
        <v>0.1</v>
      </c>
      <c r="I325" s="10" cm="1">
        <f t="array" ref="I325">Common_InputFunctions.Utility_DisplayArrayInTable(SourceData_PastureBeef.SourceData_PastureBeef_CrudeProteinContent_Data(), Table_SourceData_PastureBeef_CrudeProtein[[#Headers],[State]], 0)</f>
        <v>0.21</v>
      </c>
      <c r="M325" s="8"/>
    </row>
    <row r="326" spans="4:13" x14ac:dyDescent="0.25">
      <c r="D326" s="10" t="str" cm="1">
        <f t="array" ref="D326">Common_InputFunctions.Utility_DisplayArrayInTable(SourceData_PastureBeef.SourceData_PastureBeef_CrudeProteinContent_Data(), Table_SourceData_PastureBeef_CrudeProtein[[#Headers],[State]], 0)</f>
        <v>WA</v>
      </c>
      <c r="E326" s="10" t="str" cm="1">
        <f t="array" ref="E326">Common_InputFunctions.Utility_DisplayArrayInTable(SourceData_PastureBeef.SourceData_PastureBeef_CrudeProteinContent_Data(), Table_SourceData_PastureBeef_CrudeProtein[[#Headers],[State]], 0)</f>
        <v>South West</v>
      </c>
      <c r="F326" s="10" cm="1">
        <f t="array" ref="F326">Common_InputFunctions.Utility_DisplayArrayInTable(SourceData_PastureBeef.SourceData_PastureBeef_CrudeProteinContent_Data(), Table_SourceData_PastureBeef_CrudeProtein[[#Headers],[State]], 0)</f>
        <v>0.2</v>
      </c>
      <c r="G326" s="10" cm="1">
        <f t="array" ref="G326">Common_InputFunctions.Utility_DisplayArrayInTable(SourceData_PastureBeef.SourceData_PastureBeef_CrudeProteinContent_Data(), Table_SourceData_PastureBeef_CrudeProtein[[#Headers],[State]], 0)</f>
        <v>0.09</v>
      </c>
      <c r="H326" s="10" cm="1">
        <f t="array" ref="H326">Common_InputFunctions.Utility_DisplayArrayInTable(SourceData_PastureBeef.SourceData_PastureBeef_CrudeProteinContent_Data(), Table_SourceData_PastureBeef_CrudeProtein[[#Headers],[State]], 0)</f>
        <v>0.06</v>
      </c>
      <c r="I326" s="10" cm="1">
        <f t="array" ref="I326">Common_InputFunctions.Utility_DisplayArrayInTable(SourceData_PastureBeef.SourceData_PastureBeef_CrudeProteinContent_Data(), Table_SourceData_PastureBeef_CrudeProtein[[#Headers],[State]], 0)</f>
        <v>0.2</v>
      </c>
      <c r="M326" s="8"/>
    </row>
    <row r="327" spans="4:13" x14ac:dyDescent="0.25">
      <c r="D327" s="10" t="str" cm="1">
        <f t="array" ref="D327">Common_InputFunctions.Utility_DisplayArrayInTable(SourceData_PastureBeef.SourceData_PastureBeef_CrudeProteinContent_Data(), Table_SourceData_PastureBeef_CrudeProtein[[#Headers],[State]], 0)</f>
        <v>WA</v>
      </c>
      <c r="E327" s="10" t="str" cm="1">
        <f t="array" ref="E327">Common_InputFunctions.Utility_DisplayArrayInTable(SourceData_PastureBeef.SourceData_PastureBeef_CrudeProteinContent_Data(), Table_SourceData_PastureBeef_CrudeProtein[[#Headers],[State]], 0)</f>
        <v>Pilbara</v>
      </c>
      <c r="F327" s="10" cm="1">
        <f t="array" ref="F327">Common_InputFunctions.Utility_DisplayArrayInTable(SourceData_PastureBeef.SourceData_PastureBeef_CrudeProteinContent_Data(), Table_SourceData_PastureBeef_CrudeProtein[[#Headers],[State]], 0)</f>
        <v>0.04</v>
      </c>
      <c r="G327" s="10" cm="1">
        <f t="array" ref="G327">Common_InputFunctions.Utility_DisplayArrayInTable(SourceData_PastureBeef.SourceData_PastureBeef_CrudeProteinContent_Data(), Table_SourceData_PastureBeef_CrudeProtein[[#Headers],[State]], 0)</f>
        <v>0.12</v>
      </c>
      <c r="H327" s="10" cm="1">
        <f t="array" ref="H327">Common_InputFunctions.Utility_DisplayArrayInTable(SourceData_PastureBeef.SourceData_PastureBeef_CrudeProteinContent_Data(), Table_SourceData_PastureBeef_CrudeProtein[[#Headers],[State]], 0)</f>
        <v>0.09</v>
      </c>
      <c r="I327" s="10" cm="1">
        <f t="array" ref="I327">Common_InputFunctions.Utility_DisplayArrayInTable(SourceData_PastureBeef.SourceData_PastureBeef_CrudeProteinContent_Data(), Table_SourceData_PastureBeef_CrudeProtein[[#Headers],[State]], 0)</f>
        <v>0.06</v>
      </c>
      <c r="M327" s="8"/>
    </row>
    <row r="328" spans="4:13" x14ac:dyDescent="0.25">
      <c r="D328" s="10" t="str" cm="1">
        <f t="array" ref="D328">Common_InputFunctions.Utility_DisplayArrayInTable(SourceData_PastureBeef.SourceData_PastureBeef_CrudeProteinContent_Data(), Table_SourceData_PastureBeef_CrudeProtein[[#Headers],[State]], 0)</f>
        <v>WA</v>
      </c>
      <c r="E328" s="10" t="str" cm="1">
        <f t="array" ref="E328">Common_InputFunctions.Utility_DisplayArrayInTable(SourceData_PastureBeef.SourceData_PastureBeef_CrudeProteinContent_Data(), Table_SourceData_PastureBeef_CrudeProtein[[#Headers],[State]], 0)</f>
        <v>Kimberley</v>
      </c>
      <c r="F328" s="10" cm="1">
        <f t="array" ref="F328">Common_InputFunctions.Utility_DisplayArrayInTable(SourceData_PastureBeef.SourceData_PastureBeef_CrudeProteinContent_Data(), Table_SourceData_PastureBeef_CrudeProtein[[#Headers],[State]], 0)</f>
        <v>0.04</v>
      </c>
      <c r="G328" s="10" cm="1">
        <f t="array" ref="G328">Common_InputFunctions.Utility_DisplayArrayInTable(SourceData_PastureBeef.SourceData_PastureBeef_CrudeProteinContent_Data(), Table_SourceData_PastureBeef_CrudeProtein[[#Headers],[State]], 0)</f>
        <v>0.12</v>
      </c>
      <c r="H328" s="10" cm="1">
        <f t="array" ref="H328">Common_InputFunctions.Utility_DisplayArrayInTable(SourceData_PastureBeef.SourceData_PastureBeef_CrudeProteinContent_Data(), Table_SourceData_PastureBeef_CrudeProtein[[#Headers],[State]], 0)</f>
        <v>0.09</v>
      </c>
      <c r="I328" s="10" cm="1">
        <f t="array" ref="I328">Common_InputFunctions.Utility_DisplayArrayInTable(SourceData_PastureBeef.SourceData_PastureBeef_CrudeProteinContent_Data(), Table_SourceData_PastureBeef_CrudeProtein[[#Headers],[State]], 0)</f>
        <v>0.06</v>
      </c>
      <c r="M328" s="8"/>
    </row>
    <row r="329" spans="4:13" x14ac:dyDescent="0.25">
      <c r="M329" s="8"/>
    </row>
    <row r="330" spans="4:13" x14ac:dyDescent="0.25">
      <c r="M330" s="8"/>
    </row>
    <row r="331" spans="4:13" ht="23.25" x14ac:dyDescent="0.25">
      <c r="D331" s="9" t="str" cm="1">
        <f t="array" ref="D331">SourceData_PastureBeef.SourceData_PastureBeef_FeedAdjustmentAndMilkProduction_Title()</f>
        <v>Beef pasture cattle - Feed intake adjustment and milk production (kg/head/day)</v>
      </c>
      <c r="M331" s="8"/>
    </row>
    <row r="332" spans="4:13" x14ac:dyDescent="0.25">
      <c r="D332" s="11" t="str" cm="1">
        <f t="array" ref="D332">SourceData_PastureBeef.SourceData_PastureBeef_FeedAdjustmentAndMilkProduction_Source()</f>
        <v>VEERG 2026: Table A.1.2.7</v>
      </c>
      <c r="M332" s="8"/>
    </row>
    <row r="333" spans="4:13" x14ac:dyDescent="0.25">
      <c r="D333" s="8" t="str" cm="1">
        <f t="array" ref="D333">SourceData_PastureBeef.SourceData_PastureBeef_FeedAdjustmentAndMilkProduction_Variable()</f>
        <v>MCjk=1,3,6; DMPjk=5</v>
      </c>
      <c r="I333" s="12" t="s">
        <v>533</v>
      </c>
      <c r="M333" s="8"/>
    </row>
    <row r="334" spans="4:13" x14ac:dyDescent="0.25">
      <c r="D334" s="10" t="s">
        <v>534</v>
      </c>
      <c r="E334" s="10" t="s">
        <v>47</v>
      </c>
      <c r="F334" s="10" t="s">
        <v>535</v>
      </c>
      <c r="G334" s="10" t="s">
        <v>536</v>
      </c>
      <c r="I334" s="10" t="s">
        <v>534</v>
      </c>
      <c r="J334" s="10" t="s">
        <v>47</v>
      </c>
      <c r="K334" s="10" t="s">
        <v>535</v>
      </c>
      <c r="L334" s="10" t="s">
        <v>536</v>
      </c>
      <c r="M334" s="8"/>
    </row>
    <row r="335" spans="4:13" x14ac:dyDescent="0.25">
      <c r="D335" s="10" t="str" cm="1">
        <f t="array" ref="D335">Common_InputFunctions.Utility_DisplayArrayInTable(SourceData_PastureBeef.SourceData_PastureBeef_FeedAdjustmentAndMilkProduction_Data(), Table_SourceData_PastureBeef_FeedIntakeAdjustment[[#Headers],[Breed]], 0)</f>
        <v>Hereford or Shorthorn breeds</v>
      </c>
      <c r="E335" s="10" t="str" cm="1">
        <f t="array" ref="E335">Common_InputFunctions.Utility_DisplayArrayInTable(SourceData_PastureBeef.SourceData_PastureBeef_FeedAdjustmentAndMilkProduction_Data(), Table_SourceData_PastureBeef_FeedIntakeAdjustment[[#Headers],[Breed]], 0)</f>
        <v>Spring</v>
      </c>
      <c r="F335" s="10" cm="1">
        <f t="array" ref="F335">Common_InputFunctions.Utility_DisplayArrayInTable(SourceData_PastureBeef.SourceData_PastureBeef_FeedAdjustmentAndMilkProduction_Data(), Table_SourceData_PastureBeef_FeedIntakeAdjustment[[#Headers],[Breed]], 0)</f>
        <v>1.3</v>
      </c>
      <c r="G335" s="10" cm="1">
        <f t="array" ref="G335">Common_InputFunctions.Utility_DisplayArrayInTable(SourceData_PastureBeef.SourceData_PastureBeef_FeedAdjustmentAndMilkProduction_Data(), Table_SourceData_PastureBeef_FeedIntakeAdjustment[[#Headers],[Breed]], 0)</f>
        <v>6</v>
      </c>
      <c r="I335" s="10" t="str">
        <f>Table_SourceData_PastureBeef_FeedIntakeAdjustment[[#This Row],[Breed]]</f>
        <v>Hereford or Shorthorn breeds</v>
      </c>
      <c r="J335" s="10" t="s">
        <v>537</v>
      </c>
      <c r="K335" s="10">
        <f>Table_SourceData_PastureBeef_FeedIntakeAdjustment[[#This Row],[Feed adjustment]]</f>
        <v>1.3</v>
      </c>
      <c r="L335" s="10">
        <f>Table_SourceData_PastureBeef_FeedIntakeAdjustment[[#This Row],[Milk intake/production]]</f>
        <v>6</v>
      </c>
      <c r="M335" s="8"/>
    </row>
    <row r="336" spans="4:13" x14ac:dyDescent="0.25">
      <c r="D336" s="8" t="str" cm="1">
        <f t="array" ref="D336">Common_InputFunctions.Utility_DisplayArrayInTable(SourceData_PastureBeef.SourceData_PastureBeef_FeedAdjustmentAndMilkProduction_Data(), Table_SourceData_PastureBeef_FeedIntakeAdjustment[[#Headers],[Breed]], 0)</f>
        <v>Hereford or Shorthorn breeds</v>
      </c>
      <c r="E336" s="10" t="str" cm="1">
        <f t="array" ref="E336">Common_InputFunctions.Utility_DisplayArrayInTable(SourceData_PastureBeef.SourceData_PastureBeef_FeedAdjustmentAndMilkProduction_Data(), Table_SourceData_PastureBeef_FeedIntakeAdjustment[[#Headers],[Breed]], 0)</f>
        <v>Summer</v>
      </c>
      <c r="F336" s="10" cm="1">
        <f t="array" ref="F336">Common_InputFunctions.Utility_DisplayArrayInTable(SourceData_PastureBeef.SourceData_PastureBeef_FeedAdjustmentAndMilkProduction_Data(), Table_SourceData_PastureBeef_FeedIntakeAdjustment[[#Headers],[Breed]], 0)</f>
        <v>1.1000000000000001</v>
      </c>
      <c r="G336" s="10" cm="1">
        <f t="array" ref="G336">Common_InputFunctions.Utility_DisplayArrayInTable(SourceData_PastureBeef.SourceData_PastureBeef_FeedAdjustmentAndMilkProduction_Data(), Table_SourceData_PastureBeef_FeedIntakeAdjustment[[#Headers],[Breed]], 0)</f>
        <v>4</v>
      </c>
      <c r="I336" s="8" t="str">
        <f>Table_SourceData_PastureBeef_FeedIntakeAdjustment[[#This Row],[Breed]]</f>
        <v>Hereford or Shorthorn breeds</v>
      </c>
      <c r="J336" s="10" t="s">
        <v>538</v>
      </c>
      <c r="K336" s="10">
        <f>Table_SourceData_PastureBeef_FeedIntakeAdjustment[[#This Row],[Feed adjustment]]</f>
        <v>1.1000000000000001</v>
      </c>
      <c r="L336" s="10">
        <f>Table_SourceData_PastureBeef_FeedIntakeAdjustment[[#This Row],[Milk intake/production]]</f>
        <v>4</v>
      </c>
      <c r="M336" s="8"/>
    </row>
    <row r="337" spans="4:13" x14ac:dyDescent="0.25">
      <c r="D337" s="8" t="str" cm="1">
        <f t="array" ref="D337">Common_InputFunctions.Utility_DisplayArrayInTable(SourceData_PastureBeef.SourceData_PastureBeef_FeedAdjustmentAndMilkProduction_Data(), Table_SourceData_PastureBeef_FeedIntakeAdjustment[[#Headers],[Breed]], 0)</f>
        <v>Hereford or Shorthorn breeds</v>
      </c>
      <c r="E337" s="10" t="str" cm="1">
        <f t="array" ref="E337">Common_InputFunctions.Utility_DisplayArrayInTable(SourceData_PastureBeef.SourceData_PastureBeef_FeedAdjustmentAndMilkProduction_Data(), Table_SourceData_PastureBeef_FeedIntakeAdjustment[[#Headers],[Breed]], 0)</f>
        <v>Autumn</v>
      </c>
      <c r="F337" s="10" cm="1">
        <f t="array" ref="F337">Common_InputFunctions.Utility_DisplayArrayInTable(SourceData_PastureBeef.SourceData_PastureBeef_FeedAdjustmentAndMilkProduction_Data(), Table_SourceData_PastureBeef_FeedIntakeAdjustment[[#Headers],[Breed]], 0)</f>
        <v>0</v>
      </c>
      <c r="G337" s="10" cm="1">
        <f t="array" ref="G337">Common_InputFunctions.Utility_DisplayArrayInTable(SourceData_PastureBeef.SourceData_PastureBeef_FeedAdjustmentAndMilkProduction_Data(), Table_SourceData_PastureBeef_FeedIntakeAdjustment[[#Headers],[Breed]], 0)</f>
        <v>0</v>
      </c>
      <c r="I337" s="8" t="str">
        <f>D340</f>
        <v>Northern Brahman cross breed</v>
      </c>
      <c r="J337" s="10" t="s">
        <v>537</v>
      </c>
      <c r="K337" s="10">
        <f>F340</f>
        <v>1.3</v>
      </c>
      <c r="L337" s="10">
        <f t="shared" ref="L337:L338" si="54">G340</f>
        <v>4</v>
      </c>
      <c r="M337" s="8"/>
    </row>
    <row r="338" spans="4:13" x14ac:dyDescent="0.25">
      <c r="D338" s="8" t="str" cm="1">
        <f t="array" ref="D338">Common_InputFunctions.Utility_DisplayArrayInTable(SourceData_PastureBeef.SourceData_PastureBeef_FeedAdjustmentAndMilkProduction_Data(), Table_SourceData_PastureBeef_FeedIntakeAdjustment[[#Headers],[Breed]], 0)</f>
        <v>Hereford or Shorthorn breeds</v>
      </c>
      <c r="E338" s="10" t="str" cm="1">
        <f t="array" ref="E338">Common_InputFunctions.Utility_DisplayArrayInTable(SourceData_PastureBeef.SourceData_PastureBeef_FeedAdjustmentAndMilkProduction_Data(), Table_SourceData_PastureBeef_FeedIntakeAdjustment[[#Headers],[Breed]], 0)</f>
        <v>Winter</v>
      </c>
      <c r="F338" s="10" cm="1">
        <f t="array" ref="F338">Common_InputFunctions.Utility_DisplayArrayInTable(SourceData_PastureBeef.SourceData_PastureBeef_FeedAdjustmentAndMilkProduction_Data(), Table_SourceData_PastureBeef_FeedIntakeAdjustment[[#Headers],[Breed]], 0)</f>
        <v>0</v>
      </c>
      <c r="G338" s="10" cm="1">
        <f t="array" ref="G338">Common_InputFunctions.Utility_DisplayArrayInTable(SourceData_PastureBeef.SourceData_PastureBeef_FeedAdjustmentAndMilkProduction_Data(), Table_SourceData_PastureBeef_FeedIntakeAdjustment[[#Headers],[Breed]], 0)</f>
        <v>0</v>
      </c>
      <c r="I338" s="8" t="str">
        <f>D341</f>
        <v>Northern Brahman cross breed</v>
      </c>
      <c r="J338" s="10" t="s">
        <v>538</v>
      </c>
      <c r="K338" s="10">
        <f t="shared" ref="K338" si="55">F341</f>
        <v>1.1000000000000001</v>
      </c>
      <c r="L338" s="10">
        <f t="shared" si="54"/>
        <v>3</v>
      </c>
      <c r="M338" s="8"/>
    </row>
    <row r="339" spans="4:13" x14ac:dyDescent="0.25">
      <c r="D339" s="8" t="str" cm="1">
        <f t="array" ref="D339">Common_InputFunctions.Utility_DisplayArrayInTable(SourceData_PastureBeef.SourceData_PastureBeef_FeedAdjustmentAndMilkProduction_Data(), Table_SourceData_PastureBeef_FeedIntakeAdjustment[[#Headers],[Breed]], 0)</f>
        <v>Northern Brahman cross breed</v>
      </c>
      <c r="E339" s="10" t="str" cm="1">
        <f t="array" ref="E339">Common_InputFunctions.Utility_DisplayArrayInTable(SourceData_PastureBeef.SourceData_PastureBeef_FeedAdjustmentAndMilkProduction_Data(), Table_SourceData_PastureBeef_FeedIntakeAdjustment[[#Headers],[Breed]], 0)</f>
        <v>Spring</v>
      </c>
      <c r="F339" s="10" cm="1">
        <f t="array" ref="F339">Common_InputFunctions.Utility_DisplayArrayInTable(SourceData_PastureBeef.SourceData_PastureBeef_FeedAdjustmentAndMilkProduction_Data(), Table_SourceData_PastureBeef_FeedIntakeAdjustment[[#Headers],[Breed]], 0)</f>
        <v>0</v>
      </c>
      <c r="G339" s="10" cm="1">
        <f t="array" ref="G339">Common_InputFunctions.Utility_DisplayArrayInTable(SourceData_PastureBeef.SourceData_PastureBeef_FeedAdjustmentAndMilkProduction_Data(), Table_SourceData_PastureBeef_FeedIntakeAdjustment[[#Headers],[Breed]], 0)</f>
        <v>0</v>
      </c>
      <c r="M339" s="8"/>
    </row>
    <row r="340" spans="4:13" x14ac:dyDescent="0.25">
      <c r="D340" s="8" t="str" cm="1">
        <f t="array" ref="D340">Common_InputFunctions.Utility_DisplayArrayInTable(SourceData_PastureBeef.SourceData_PastureBeef_FeedAdjustmentAndMilkProduction_Data(), Table_SourceData_PastureBeef_FeedIntakeAdjustment[[#Headers],[Breed]], 0)</f>
        <v>Northern Brahman cross breed</v>
      </c>
      <c r="E340" s="10" t="str" cm="1">
        <f t="array" ref="E340">Common_InputFunctions.Utility_DisplayArrayInTable(SourceData_PastureBeef.SourceData_PastureBeef_FeedAdjustmentAndMilkProduction_Data(), Table_SourceData_PastureBeef_FeedIntakeAdjustment[[#Headers],[Breed]], 0)</f>
        <v>Summer</v>
      </c>
      <c r="F340" s="10" cm="1">
        <f t="array" ref="F340">Common_InputFunctions.Utility_DisplayArrayInTable(SourceData_PastureBeef.SourceData_PastureBeef_FeedAdjustmentAndMilkProduction_Data(), Table_SourceData_PastureBeef_FeedIntakeAdjustment[[#Headers],[Breed]], 0)</f>
        <v>1.3</v>
      </c>
      <c r="G340" s="10" cm="1">
        <f t="array" ref="G340">Common_InputFunctions.Utility_DisplayArrayInTable(SourceData_PastureBeef.SourceData_PastureBeef_FeedAdjustmentAndMilkProduction_Data(), Table_SourceData_PastureBeef_FeedIntakeAdjustment[[#Headers],[Breed]], 0)</f>
        <v>4</v>
      </c>
      <c r="M340" s="8"/>
    </row>
    <row r="341" spans="4:13" x14ac:dyDescent="0.25">
      <c r="D341" s="8" t="str" cm="1">
        <f t="array" ref="D341">Common_InputFunctions.Utility_DisplayArrayInTable(SourceData_PastureBeef.SourceData_PastureBeef_FeedAdjustmentAndMilkProduction_Data(), Table_SourceData_PastureBeef_FeedIntakeAdjustment[[#Headers],[Breed]], 0)</f>
        <v>Northern Brahman cross breed</v>
      </c>
      <c r="E341" s="10" t="str" cm="1">
        <f t="array" ref="E341">Common_InputFunctions.Utility_DisplayArrayInTable(SourceData_PastureBeef.SourceData_PastureBeef_FeedAdjustmentAndMilkProduction_Data(), Table_SourceData_PastureBeef_FeedIntakeAdjustment[[#Headers],[Breed]], 0)</f>
        <v>Autumn</v>
      </c>
      <c r="F341" s="10" cm="1">
        <f t="array" ref="F341">Common_InputFunctions.Utility_DisplayArrayInTable(SourceData_PastureBeef.SourceData_PastureBeef_FeedAdjustmentAndMilkProduction_Data(), Table_SourceData_PastureBeef_FeedIntakeAdjustment[[#Headers],[Breed]], 0)</f>
        <v>1.1000000000000001</v>
      </c>
      <c r="G341" s="10" cm="1">
        <f t="array" ref="G341">Common_InputFunctions.Utility_DisplayArrayInTable(SourceData_PastureBeef.SourceData_PastureBeef_FeedAdjustmentAndMilkProduction_Data(), Table_SourceData_PastureBeef_FeedIntakeAdjustment[[#Headers],[Breed]], 0)</f>
        <v>3</v>
      </c>
      <c r="M341" s="8"/>
    </row>
    <row r="342" spans="4:13" x14ac:dyDescent="0.25">
      <c r="D342" s="8" t="str" cm="1">
        <f t="array" ref="D342">Common_InputFunctions.Utility_DisplayArrayInTable(SourceData_PastureBeef.SourceData_PastureBeef_FeedAdjustmentAndMilkProduction_Data(), Table_SourceData_PastureBeef_FeedIntakeAdjustment[[#Headers],[Breed]], 0)</f>
        <v>Northern Brahman cross breed</v>
      </c>
      <c r="E342" s="10" t="str" cm="1">
        <f t="array" ref="E342">Common_InputFunctions.Utility_DisplayArrayInTable(SourceData_PastureBeef.SourceData_PastureBeef_FeedAdjustmentAndMilkProduction_Data(), Table_SourceData_PastureBeef_FeedIntakeAdjustment[[#Headers],[Breed]], 0)</f>
        <v>Winter</v>
      </c>
      <c r="F342" s="10" cm="1">
        <f t="array" ref="F342">Common_InputFunctions.Utility_DisplayArrayInTable(SourceData_PastureBeef.SourceData_PastureBeef_FeedAdjustmentAndMilkProduction_Data(), Table_SourceData_PastureBeef_FeedIntakeAdjustment[[#Headers],[Breed]], 0)</f>
        <v>0</v>
      </c>
      <c r="G342" s="10" cm="1">
        <f t="array" ref="G342">Common_InputFunctions.Utility_DisplayArrayInTable(SourceData_PastureBeef.SourceData_PastureBeef_FeedAdjustmentAndMilkProduction_Data(), Table_SourceData_PastureBeef_FeedIntakeAdjustment[[#Headers],[Breed]], 0)</f>
        <v>0</v>
      </c>
      <c r="M342" s="8"/>
    </row>
    <row r="343" spans="4:13" x14ac:dyDescent="0.25">
      <c r="M343" s="8"/>
    </row>
    <row r="344" spans="4:13" x14ac:dyDescent="0.25">
      <c r="M344" s="8"/>
    </row>
    <row r="345" spans="4:13" ht="23.25" x14ac:dyDescent="0.25">
      <c r="D345" s="9" t="str" cm="1">
        <f t="array" ref="D345">SourceData_PastureBeef.SourceData_PastureBeef_StandardReferenceWeights_Title()</f>
        <v>Beef pasture cattle - Standard reference weights (kg) (SRWk)</v>
      </c>
      <c r="M345" s="8"/>
    </row>
    <row r="346" spans="4:13" x14ac:dyDescent="0.25">
      <c r="D346" s="11" t="str" cm="1">
        <f t="array" ref="D346">SourceData_PastureBeef.SourceData_PastureBeef_StandardReferenceWeights_Source()</f>
        <v>VEERG 2026: Table A.1.2.8</v>
      </c>
      <c r="M346" s="8"/>
    </row>
    <row r="347" spans="4:13" x14ac:dyDescent="0.25">
      <c r="D347" s="8" t="str" cm="1">
        <f t="array" ref="D347">SourceData_PastureBeef.SourceData_PastureBeef_StandardReferenceWeights_Variable()</f>
        <v>SRWk</v>
      </c>
      <c r="M347" s="8"/>
    </row>
    <row r="348" spans="4:13" x14ac:dyDescent="0.25">
      <c r="D348" s="13" t="str" cm="1">
        <f t="array" ref="D348">SourceData_PastureBeef.SourceData_PastureBeef_StandardReferenceWeights_Unit()</f>
        <v>kg</v>
      </c>
      <c r="M348" s="8"/>
    </row>
    <row r="349" spans="4:13" x14ac:dyDescent="0.25">
      <c r="D349" s="12" t="str" cm="1">
        <f t="array" ref="D349">SourceData_PastureBeef.SourceData_PastureBeef_StandardReferenceWeights_Variation()</f>
        <v>VARIATION ON SOURCE: Split ACT and NSW into separate rows. Added 'State abbreviation' column to aid lookup.</v>
      </c>
      <c r="M349" s="8"/>
    </row>
    <row r="350" spans="4:13" x14ac:dyDescent="0.25">
      <c r="D350" s="10" t="s">
        <v>289</v>
      </c>
      <c r="E350" s="10" t="s">
        <v>539</v>
      </c>
      <c r="F350" s="10" t="s">
        <v>540</v>
      </c>
      <c r="G350" s="10" t="s">
        <v>505</v>
      </c>
      <c r="H350" s="10" t="s">
        <v>506</v>
      </c>
      <c r="I350" s="10" t="s">
        <v>541</v>
      </c>
      <c r="J350" s="10" t="s">
        <v>509</v>
      </c>
      <c r="K350" s="10" t="s">
        <v>529</v>
      </c>
      <c r="L350" s="10" t="s">
        <v>542</v>
      </c>
      <c r="M350" s="8"/>
    </row>
    <row r="351" spans="4:13" x14ac:dyDescent="0.25">
      <c r="D351" s="10" t="str" cm="1">
        <f t="array" ref="D351">Common_InputFunctions.Utility_DisplayArrayInTable(SourceData_PastureBeef.SourceData_PastureBeef_StandardReferenceWeights_Data(), Table_SourceData_PastureBeef_StandardReferenceWeights[[#Headers],[State]], 0)</f>
        <v>ACT</v>
      </c>
      <c r="E351" s="10" cm="1">
        <f t="array" ref="E351">Common_InputFunctions.Utility_DisplayArrayInTable(SourceData_PastureBeef.SourceData_PastureBeef_StandardReferenceWeights_Data(), Table_SourceData_PastureBeef_StandardReferenceWeights[[#Headers],[State]], 0)</f>
        <v>700</v>
      </c>
      <c r="F351" s="10" cm="1">
        <f t="array" ref="F351">Common_InputFunctions.Utility_DisplayArrayInTable(SourceData_PastureBeef.SourceData_PastureBeef_StandardReferenceWeights_Data(), Table_SourceData_PastureBeef_StandardReferenceWeights[[#Headers],[State]], 0)</f>
        <v>700</v>
      </c>
      <c r="G351" s="10" cm="1">
        <f t="array" ref="G351">Common_InputFunctions.Utility_DisplayArrayInTable(SourceData_PastureBeef.SourceData_PastureBeef_StandardReferenceWeights_Data(), Table_SourceData_PastureBeef_StandardReferenceWeights[[#Headers],[State]], 0)</f>
        <v>500</v>
      </c>
      <c r="H351" s="10" cm="1">
        <f t="array" ref="H351">Common_InputFunctions.Utility_DisplayArrayInTable(SourceData_PastureBeef.SourceData_PastureBeef_StandardReferenceWeights_Data(), Table_SourceData_PastureBeef_StandardReferenceWeights[[#Headers],[State]], 0)</f>
        <v>500</v>
      </c>
      <c r="I351" s="10" cm="1">
        <f t="array" ref="I351">Common_InputFunctions.Utility_DisplayArrayInTable(SourceData_PastureBeef.SourceData_PastureBeef_StandardReferenceWeights_Data(), Table_SourceData_PastureBeef_StandardReferenceWeights[[#Headers],[State]], 0)</f>
        <v>500</v>
      </c>
      <c r="J351" s="10" cm="1">
        <f t="array" ref="J351">Common_InputFunctions.Utility_DisplayArrayInTable(SourceData_PastureBeef.SourceData_PastureBeef_StandardReferenceWeights_Data(), Table_SourceData_PastureBeef_StandardReferenceWeights[[#Headers],[State]], 0)</f>
        <v>600</v>
      </c>
      <c r="K351" s="10" cm="1">
        <f t="array" ref="K351">Common_InputFunctions.Utility_DisplayArrayInTable(SourceData_PastureBeef.SourceData_PastureBeef_StandardReferenceWeights_Data(), Table_SourceData_PastureBeef_StandardReferenceWeights[[#Headers],[State]], 0)</f>
        <v>600</v>
      </c>
      <c r="L351" s="10" t="str" cm="1">
        <f t="array" ref="L351">Common_InputFunctions.Utility_DisplayArrayInTable(SourceData_PastureBeef.SourceData_PastureBeef_StandardReferenceWeights_Data(), Table_SourceData_PastureBeef_StandardReferenceWeights[[#Headers],[State]], 0)</f>
        <v>ACT</v>
      </c>
      <c r="M351" s="8"/>
    </row>
    <row r="352" spans="4:13" x14ac:dyDescent="0.25">
      <c r="D352" s="8" t="str" cm="1">
        <f t="array" ref="D352">Common_InputFunctions.Utility_DisplayArrayInTable(SourceData_PastureBeef.SourceData_PastureBeef_StandardReferenceWeights_Data(), Table_SourceData_PastureBeef_StandardReferenceWeights[[#Headers],[State]], 0)</f>
        <v>NSW</v>
      </c>
      <c r="E352" s="10" cm="1">
        <f t="array" ref="E352">Common_InputFunctions.Utility_DisplayArrayInTable(SourceData_PastureBeef.SourceData_PastureBeef_StandardReferenceWeights_Data(), Table_SourceData_PastureBeef_StandardReferenceWeights[[#Headers],[State]], 0)</f>
        <v>700</v>
      </c>
      <c r="F352" s="10" cm="1">
        <f t="array" ref="F352">Common_InputFunctions.Utility_DisplayArrayInTable(SourceData_PastureBeef.SourceData_PastureBeef_StandardReferenceWeights_Data(), Table_SourceData_PastureBeef_StandardReferenceWeights[[#Headers],[State]], 0)</f>
        <v>700</v>
      </c>
      <c r="G352" s="10" cm="1">
        <f t="array" ref="G352">Common_InputFunctions.Utility_DisplayArrayInTable(SourceData_PastureBeef.SourceData_PastureBeef_StandardReferenceWeights_Data(), Table_SourceData_PastureBeef_StandardReferenceWeights[[#Headers],[State]], 0)</f>
        <v>500</v>
      </c>
      <c r="H352" s="10" cm="1">
        <f t="array" ref="H352">Common_InputFunctions.Utility_DisplayArrayInTable(SourceData_PastureBeef.SourceData_PastureBeef_StandardReferenceWeights_Data(), Table_SourceData_PastureBeef_StandardReferenceWeights[[#Headers],[State]], 0)</f>
        <v>500</v>
      </c>
      <c r="I352" s="10" cm="1">
        <f t="array" ref="I352">Common_InputFunctions.Utility_DisplayArrayInTable(SourceData_PastureBeef.SourceData_PastureBeef_StandardReferenceWeights_Data(), Table_SourceData_PastureBeef_StandardReferenceWeights[[#Headers],[State]], 0)</f>
        <v>500</v>
      </c>
      <c r="J352" s="10" cm="1">
        <f t="array" ref="J352">Common_InputFunctions.Utility_DisplayArrayInTable(SourceData_PastureBeef.SourceData_PastureBeef_StandardReferenceWeights_Data(), Table_SourceData_PastureBeef_StandardReferenceWeights[[#Headers],[State]], 0)</f>
        <v>600</v>
      </c>
      <c r="K352" s="10" cm="1">
        <f t="array" ref="K352">Common_InputFunctions.Utility_DisplayArrayInTable(SourceData_PastureBeef.SourceData_PastureBeef_StandardReferenceWeights_Data(), Table_SourceData_PastureBeef_StandardReferenceWeights[[#Headers],[State]], 0)</f>
        <v>600</v>
      </c>
      <c r="L352" s="10" t="str" cm="1">
        <f t="array" ref="L352">Common_InputFunctions.Utility_DisplayArrayInTable(SourceData_PastureBeef.SourceData_PastureBeef_StandardReferenceWeights_Data(), Table_SourceData_PastureBeef_StandardReferenceWeights[[#Headers],[State]], 0)</f>
        <v>NSW</v>
      </c>
      <c r="M352" s="8"/>
    </row>
    <row r="353" spans="4:15" x14ac:dyDescent="0.25">
      <c r="D353" s="8" t="str" cm="1">
        <f t="array" ref="D353">Common_InputFunctions.Utility_DisplayArrayInTable(SourceData_PastureBeef.SourceData_PastureBeef_StandardReferenceWeights_Data(), Table_SourceData_PastureBeef_StandardReferenceWeights[[#Headers],[State]], 0)</f>
        <v>Northern Territory</v>
      </c>
      <c r="E353" s="10" cm="1">
        <f t="array" ref="E353">Common_InputFunctions.Utility_DisplayArrayInTable(SourceData_PastureBeef.SourceData_PastureBeef_StandardReferenceWeights_Data(), Table_SourceData_PastureBeef_StandardReferenceWeights[[#Headers],[State]], 0)</f>
        <v>770</v>
      </c>
      <c r="F353" s="10" cm="1">
        <f t="array" ref="F353">Common_InputFunctions.Utility_DisplayArrayInTable(SourceData_PastureBeef.SourceData_PastureBeef_StandardReferenceWeights_Data(), Table_SourceData_PastureBeef_StandardReferenceWeights[[#Headers],[State]], 0)</f>
        <v>770</v>
      </c>
      <c r="G353" s="10" cm="1">
        <f t="array" ref="G353">Common_InputFunctions.Utility_DisplayArrayInTable(SourceData_PastureBeef.SourceData_PastureBeef_StandardReferenceWeights_Data(), Table_SourceData_PastureBeef_StandardReferenceWeights[[#Headers],[State]], 0)</f>
        <v>550</v>
      </c>
      <c r="H353" s="10" cm="1">
        <f t="array" ref="H353">Common_InputFunctions.Utility_DisplayArrayInTable(SourceData_PastureBeef.SourceData_PastureBeef_StandardReferenceWeights_Data(), Table_SourceData_PastureBeef_StandardReferenceWeights[[#Headers],[State]], 0)</f>
        <v>550</v>
      </c>
      <c r="I353" s="10" cm="1">
        <f t="array" ref="I353">Common_InputFunctions.Utility_DisplayArrayInTable(SourceData_PastureBeef.SourceData_PastureBeef_StandardReferenceWeights_Data(), Table_SourceData_PastureBeef_StandardReferenceWeights[[#Headers],[State]], 0)</f>
        <v>550</v>
      </c>
      <c r="J353" s="10" cm="1">
        <f t="array" ref="J353">Common_InputFunctions.Utility_DisplayArrayInTable(SourceData_PastureBeef.SourceData_PastureBeef_StandardReferenceWeights_Data(), Table_SourceData_PastureBeef_StandardReferenceWeights[[#Headers],[State]], 0)</f>
        <v>660</v>
      </c>
      <c r="K353" s="10" cm="1">
        <f t="array" ref="K353">Common_InputFunctions.Utility_DisplayArrayInTable(SourceData_PastureBeef.SourceData_PastureBeef_StandardReferenceWeights_Data(), Table_SourceData_PastureBeef_StandardReferenceWeights[[#Headers],[State]], 0)</f>
        <v>660</v>
      </c>
      <c r="L353" s="10" t="str" cm="1">
        <f t="array" ref="L353">Common_InputFunctions.Utility_DisplayArrayInTable(SourceData_PastureBeef.SourceData_PastureBeef_StandardReferenceWeights_Data(), Table_SourceData_PastureBeef_StandardReferenceWeights[[#Headers],[State]], 0)</f>
        <v>NT</v>
      </c>
      <c r="M353" s="8"/>
    </row>
    <row r="354" spans="4:15" x14ac:dyDescent="0.25">
      <c r="D354" s="8" t="str" cm="1">
        <f t="array" ref="D354">Common_InputFunctions.Utility_DisplayArrayInTable(SourceData_PastureBeef.SourceData_PastureBeef_StandardReferenceWeights_Data(), Table_SourceData_PastureBeef_StandardReferenceWeights[[#Headers],[State]], 0)</f>
        <v>Queensland</v>
      </c>
      <c r="E354" s="10" cm="1">
        <f t="array" ref="E354">Common_InputFunctions.Utility_DisplayArrayInTable(SourceData_PastureBeef.SourceData_PastureBeef_StandardReferenceWeights_Data(), Table_SourceData_PastureBeef_StandardReferenceWeights[[#Headers],[State]], 0)</f>
        <v>770</v>
      </c>
      <c r="F354" s="10" cm="1">
        <f t="array" ref="F354">Common_InputFunctions.Utility_DisplayArrayInTable(SourceData_PastureBeef.SourceData_PastureBeef_StandardReferenceWeights_Data(), Table_SourceData_PastureBeef_StandardReferenceWeights[[#Headers],[State]], 0)</f>
        <v>770</v>
      </c>
      <c r="G354" s="10" cm="1">
        <f t="array" ref="G354">Common_InputFunctions.Utility_DisplayArrayInTable(SourceData_PastureBeef.SourceData_PastureBeef_StandardReferenceWeights_Data(), Table_SourceData_PastureBeef_StandardReferenceWeights[[#Headers],[State]], 0)</f>
        <v>550</v>
      </c>
      <c r="H354" s="10" cm="1">
        <f t="array" ref="H354">Common_InputFunctions.Utility_DisplayArrayInTable(SourceData_PastureBeef.SourceData_PastureBeef_StandardReferenceWeights_Data(), Table_SourceData_PastureBeef_StandardReferenceWeights[[#Headers],[State]], 0)</f>
        <v>550</v>
      </c>
      <c r="I354" s="10" cm="1">
        <f t="array" ref="I354">Common_InputFunctions.Utility_DisplayArrayInTable(SourceData_PastureBeef.SourceData_PastureBeef_StandardReferenceWeights_Data(), Table_SourceData_PastureBeef_StandardReferenceWeights[[#Headers],[State]], 0)</f>
        <v>550</v>
      </c>
      <c r="J354" s="10" cm="1">
        <f t="array" ref="J354">Common_InputFunctions.Utility_DisplayArrayInTable(SourceData_PastureBeef.SourceData_PastureBeef_StandardReferenceWeights_Data(), Table_SourceData_PastureBeef_StandardReferenceWeights[[#Headers],[State]], 0)</f>
        <v>660</v>
      </c>
      <c r="K354" s="10" cm="1">
        <f t="array" ref="K354">Common_InputFunctions.Utility_DisplayArrayInTable(SourceData_PastureBeef.SourceData_PastureBeef_StandardReferenceWeights_Data(), Table_SourceData_PastureBeef_StandardReferenceWeights[[#Headers],[State]], 0)</f>
        <v>660</v>
      </c>
      <c r="L354" s="10" t="str" cm="1">
        <f t="array" ref="L354">Common_InputFunctions.Utility_DisplayArrayInTable(SourceData_PastureBeef.SourceData_PastureBeef_StandardReferenceWeights_Data(), Table_SourceData_PastureBeef_StandardReferenceWeights[[#Headers],[State]], 0)</f>
        <v>QLD</v>
      </c>
      <c r="M354" s="8"/>
    </row>
    <row r="355" spans="4:15" x14ac:dyDescent="0.25">
      <c r="D355" s="8" t="str" cm="1">
        <f t="array" ref="D355">Common_InputFunctions.Utility_DisplayArrayInTable(SourceData_PastureBeef.SourceData_PastureBeef_StandardReferenceWeights_Data(), Table_SourceData_PastureBeef_StandardReferenceWeights[[#Headers],[State]], 0)</f>
        <v>South Australia</v>
      </c>
      <c r="E355" s="10" cm="1">
        <f t="array" ref="E355">Common_InputFunctions.Utility_DisplayArrayInTable(SourceData_PastureBeef.SourceData_PastureBeef_StandardReferenceWeights_Data(), Table_SourceData_PastureBeef_StandardReferenceWeights[[#Headers],[State]], 0)</f>
        <v>770</v>
      </c>
      <c r="F355" s="10" cm="1">
        <f t="array" ref="F355">Common_InputFunctions.Utility_DisplayArrayInTable(SourceData_PastureBeef.SourceData_PastureBeef_StandardReferenceWeights_Data(), Table_SourceData_PastureBeef_StandardReferenceWeights[[#Headers],[State]], 0)</f>
        <v>770</v>
      </c>
      <c r="G355" s="10" cm="1">
        <f t="array" ref="G355">Common_InputFunctions.Utility_DisplayArrayInTable(SourceData_PastureBeef.SourceData_PastureBeef_StandardReferenceWeights_Data(), Table_SourceData_PastureBeef_StandardReferenceWeights[[#Headers],[State]], 0)</f>
        <v>550</v>
      </c>
      <c r="H355" s="10" cm="1">
        <f t="array" ref="H355">Common_InputFunctions.Utility_DisplayArrayInTable(SourceData_PastureBeef.SourceData_PastureBeef_StandardReferenceWeights_Data(), Table_SourceData_PastureBeef_StandardReferenceWeights[[#Headers],[State]], 0)</f>
        <v>550</v>
      </c>
      <c r="I355" s="10" cm="1">
        <f t="array" ref="I355">Common_InputFunctions.Utility_DisplayArrayInTable(SourceData_PastureBeef.SourceData_PastureBeef_StandardReferenceWeights_Data(), Table_SourceData_PastureBeef_StandardReferenceWeights[[#Headers],[State]], 0)</f>
        <v>550</v>
      </c>
      <c r="J355" s="10" cm="1">
        <f t="array" ref="J355">Common_InputFunctions.Utility_DisplayArrayInTable(SourceData_PastureBeef.SourceData_PastureBeef_StandardReferenceWeights_Data(), Table_SourceData_PastureBeef_StandardReferenceWeights[[#Headers],[State]], 0)</f>
        <v>660</v>
      </c>
      <c r="K355" s="10" cm="1">
        <f t="array" ref="K355">Common_InputFunctions.Utility_DisplayArrayInTable(SourceData_PastureBeef.SourceData_PastureBeef_StandardReferenceWeights_Data(), Table_SourceData_PastureBeef_StandardReferenceWeights[[#Headers],[State]], 0)</f>
        <v>660</v>
      </c>
      <c r="L355" s="10" t="str" cm="1">
        <f t="array" ref="L355">Common_InputFunctions.Utility_DisplayArrayInTable(SourceData_PastureBeef.SourceData_PastureBeef_StandardReferenceWeights_Data(), Table_SourceData_PastureBeef_StandardReferenceWeights[[#Headers],[State]], 0)</f>
        <v>SA</v>
      </c>
      <c r="M355" s="8"/>
    </row>
    <row r="356" spans="4:15" x14ac:dyDescent="0.25">
      <c r="D356" s="8" t="str" cm="1">
        <f t="array" ref="D356">Common_InputFunctions.Utility_DisplayArrayInTable(SourceData_PastureBeef.SourceData_PastureBeef_StandardReferenceWeights_Data(), Table_SourceData_PastureBeef_StandardReferenceWeights[[#Headers],[State]], 0)</f>
        <v>Tasmania</v>
      </c>
      <c r="E356" s="10" cm="1">
        <f t="array" ref="E356">Common_InputFunctions.Utility_DisplayArrayInTable(SourceData_PastureBeef.SourceData_PastureBeef_StandardReferenceWeights_Data(), Table_SourceData_PastureBeef_StandardReferenceWeights[[#Headers],[State]], 0)</f>
        <v>770</v>
      </c>
      <c r="F356" s="10" cm="1">
        <f t="array" ref="F356">Common_InputFunctions.Utility_DisplayArrayInTable(SourceData_PastureBeef.SourceData_PastureBeef_StandardReferenceWeights_Data(), Table_SourceData_PastureBeef_StandardReferenceWeights[[#Headers],[State]], 0)</f>
        <v>770</v>
      </c>
      <c r="G356" s="10" cm="1">
        <f t="array" ref="G356">Common_InputFunctions.Utility_DisplayArrayInTable(SourceData_PastureBeef.SourceData_PastureBeef_StandardReferenceWeights_Data(), Table_SourceData_PastureBeef_StandardReferenceWeights[[#Headers],[State]], 0)</f>
        <v>550</v>
      </c>
      <c r="H356" s="10" cm="1">
        <f t="array" ref="H356">Common_InputFunctions.Utility_DisplayArrayInTable(SourceData_PastureBeef.SourceData_PastureBeef_StandardReferenceWeights_Data(), Table_SourceData_PastureBeef_StandardReferenceWeights[[#Headers],[State]], 0)</f>
        <v>550</v>
      </c>
      <c r="I356" s="10" cm="1">
        <f t="array" ref="I356">Common_InputFunctions.Utility_DisplayArrayInTable(SourceData_PastureBeef.SourceData_PastureBeef_StandardReferenceWeights_Data(), Table_SourceData_PastureBeef_StandardReferenceWeights[[#Headers],[State]], 0)</f>
        <v>550</v>
      </c>
      <c r="J356" s="10" cm="1">
        <f t="array" ref="J356">Common_InputFunctions.Utility_DisplayArrayInTable(SourceData_PastureBeef.SourceData_PastureBeef_StandardReferenceWeights_Data(), Table_SourceData_PastureBeef_StandardReferenceWeights[[#Headers],[State]], 0)</f>
        <v>660</v>
      </c>
      <c r="K356" s="10" cm="1">
        <f t="array" ref="K356">Common_InputFunctions.Utility_DisplayArrayInTable(SourceData_PastureBeef.SourceData_PastureBeef_StandardReferenceWeights_Data(), Table_SourceData_PastureBeef_StandardReferenceWeights[[#Headers],[State]], 0)</f>
        <v>660</v>
      </c>
      <c r="L356" s="10" t="str" cm="1">
        <f t="array" ref="L356">Common_InputFunctions.Utility_DisplayArrayInTable(SourceData_PastureBeef.SourceData_PastureBeef_StandardReferenceWeights_Data(), Table_SourceData_PastureBeef_StandardReferenceWeights[[#Headers],[State]], 0)</f>
        <v>TAS</v>
      </c>
      <c r="M356" s="8"/>
    </row>
    <row r="357" spans="4:15" x14ac:dyDescent="0.25">
      <c r="D357" s="8" t="str" cm="1">
        <f t="array" ref="D357">Common_InputFunctions.Utility_DisplayArrayInTable(SourceData_PastureBeef.SourceData_PastureBeef_StandardReferenceWeights_Data(), Table_SourceData_PastureBeef_StandardReferenceWeights[[#Headers],[State]], 0)</f>
        <v>Victoria</v>
      </c>
      <c r="E357" s="10" cm="1">
        <f t="array" ref="E357">Common_InputFunctions.Utility_DisplayArrayInTable(SourceData_PastureBeef.SourceData_PastureBeef_StandardReferenceWeights_Data(), Table_SourceData_PastureBeef_StandardReferenceWeights[[#Headers],[State]], 0)</f>
        <v>770</v>
      </c>
      <c r="F357" s="10" cm="1">
        <f t="array" ref="F357">Common_InputFunctions.Utility_DisplayArrayInTable(SourceData_PastureBeef.SourceData_PastureBeef_StandardReferenceWeights_Data(), Table_SourceData_PastureBeef_StandardReferenceWeights[[#Headers],[State]], 0)</f>
        <v>770</v>
      </c>
      <c r="G357" s="10" cm="1">
        <f t="array" ref="G357">Common_InputFunctions.Utility_DisplayArrayInTable(SourceData_PastureBeef.SourceData_PastureBeef_StandardReferenceWeights_Data(), Table_SourceData_PastureBeef_StandardReferenceWeights[[#Headers],[State]], 0)</f>
        <v>550</v>
      </c>
      <c r="H357" s="10" cm="1">
        <f t="array" ref="H357">Common_InputFunctions.Utility_DisplayArrayInTable(SourceData_PastureBeef.SourceData_PastureBeef_StandardReferenceWeights_Data(), Table_SourceData_PastureBeef_StandardReferenceWeights[[#Headers],[State]], 0)</f>
        <v>550</v>
      </c>
      <c r="I357" s="10" cm="1">
        <f t="array" ref="I357">Common_InputFunctions.Utility_DisplayArrayInTable(SourceData_PastureBeef.SourceData_PastureBeef_StandardReferenceWeights_Data(), Table_SourceData_PastureBeef_StandardReferenceWeights[[#Headers],[State]], 0)</f>
        <v>550</v>
      </c>
      <c r="J357" s="10" cm="1">
        <f t="array" ref="J357">Common_InputFunctions.Utility_DisplayArrayInTable(SourceData_PastureBeef.SourceData_PastureBeef_StandardReferenceWeights_Data(), Table_SourceData_PastureBeef_StandardReferenceWeights[[#Headers],[State]], 0)</f>
        <v>660</v>
      </c>
      <c r="K357" s="10" cm="1">
        <f t="array" ref="K357">Common_InputFunctions.Utility_DisplayArrayInTable(SourceData_PastureBeef.SourceData_PastureBeef_StandardReferenceWeights_Data(), Table_SourceData_PastureBeef_StandardReferenceWeights[[#Headers],[State]], 0)</f>
        <v>660</v>
      </c>
      <c r="L357" s="10" t="str" cm="1">
        <f t="array" ref="L357">Common_InputFunctions.Utility_DisplayArrayInTable(SourceData_PastureBeef.SourceData_PastureBeef_StandardReferenceWeights_Data(), Table_SourceData_PastureBeef_StandardReferenceWeights[[#Headers],[State]], 0)</f>
        <v>VIC</v>
      </c>
      <c r="M357" s="8"/>
    </row>
    <row r="358" spans="4:15" x14ac:dyDescent="0.25">
      <c r="D358" s="8" t="str" cm="1">
        <f t="array" ref="D358">Common_InputFunctions.Utility_DisplayArrayInTable(SourceData_PastureBeef.SourceData_PastureBeef_StandardReferenceWeights_Data(), Table_SourceData_PastureBeef_StandardReferenceWeights[[#Headers],[State]], 0)</f>
        <v>Western Australia</v>
      </c>
      <c r="E358" s="10" cm="1">
        <f t="array" ref="E358">Common_InputFunctions.Utility_DisplayArrayInTable(SourceData_PastureBeef.SourceData_PastureBeef_StandardReferenceWeights_Data(), Table_SourceData_PastureBeef_StandardReferenceWeights[[#Headers],[State]], 0)</f>
        <v>770</v>
      </c>
      <c r="F358" s="10" cm="1">
        <f t="array" ref="F358">Common_InputFunctions.Utility_DisplayArrayInTable(SourceData_PastureBeef.SourceData_PastureBeef_StandardReferenceWeights_Data(), Table_SourceData_PastureBeef_StandardReferenceWeights[[#Headers],[State]], 0)</f>
        <v>770</v>
      </c>
      <c r="G358" s="10" cm="1">
        <f t="array" ref="G358">Common_InputFunctions.Utility_DisplayArrayInTable(SourceData_PastureBeef.SourceData_PastureBeef_StandardReferenceWeights_Data(), Table_SourceData_PastureBeef_StandardReferenceWeights[[#Headers],[State]], 0)</f>
        <v>550</v>
      </c>
      <c r="H358" s="10" cm="1">
        <f t="array" ref="H358">Common_InputFunctions.Utility_DisplayArrayInTable(SourceData_PastureBeef.SourceData_PastureBeef_StandardReferenceWeights_Data(), Table_SourceData_PastureBeef_StandardReferenceWeights[[#Headers],[State]], 0)</f>
        <v>550</v>
      </c>
      <c r="I358" s="10" cm="1">
        <f t="array" ref="I358">Common_InputFunctions.Utility_DisplayArrayInTable(SourceData_PastureBeef.SourceData_PastureBeef_StandardReferenceWeights_Data(), Table_SourceData_PastureBeef_StandardReferenceWeights[[#Headers],[State]], 0)</f>
        <v>550</v>
      </c>
      <c r="J358" s="10" cm="1">
        <f t="array" ref="J358">Common_InputFunctions.Utility_DisplayArrayInTable(SourceData_PastureBeef.SourceData_PastureBeef_StandardReferenceWeights_Data(), Table_SourceData_PastureBeef_StandardReferenceWeights[[#Headers],[State]], 0)</f>
        <v>660</v>
      </c>
      <c r="K358" s="10" cm="1">
        <f t="array" ref="K358">Common_InputFunctions.Utility_DisplayArrayInTable(SourceData_PastureBeef.SourceData_PastureBeef_StandardReferenceWeights_Data(), Table_SourceData_PastureBeef_StandardReferenceWeights[[#Headers],[State]], 0)</f>
        <v>660</v>
      </c>
      <c r="L358" s="10" t="str" cm="1">
        <f t="array" ref="L358">Common_InputFunctions.Utility_DisplayArrayInTable(SourceData_PastureBeef.SourceData_PastureBeef_StandardReferenceWeights_Data(), Table_SourceData_PastureBeef_StandardReferenceWeights[[#Headers],[State]], 0)</f>
        <v>WA</v>
      </c>
      <c r="M358" s="8"/>
    </row>
    <row r="359" spans="4:15" x14ac:dyDescent="0.25">
      <c r="M359" s="8"/>
    </row>
    <row r="360" spans="4:15" x14ac:dyDescent="0.25">
      <c r="M360" s="8"/>
    </row>
    <row r="361" spans="4:15" x14ac:dyDescent="0.25">
      <c r="D361" s="10" t="s">
        <v>289</v>
      </c>
      <c r="E361" s="157" t="s">
        <v>514</v>
      </c>
      <c r="F361" s="157" t="s">
        <v>515</v>
      </c>
      <c r="G361" s="157" t="s">
        <v>516</v>
      </c>
      <c r="H361" s="157" t="s">
        <v>517</v>
      </c>
      <c r="I361" s="157" t="s">
        <v>518</v>
      </c>
      <c r="J361" s="157" t="s">
        <v>519</v>
      </c>
      <c r="K361" s="157" t="s">
        <v>520</v>
      </c>
      <c r="L361" s="157" t="s">
        <v>521</v>
      </c>
      <c r="M361" s="157" t="s">
        <v>522</v>
      </c>
      <c r="N361" s="157" t="s">
        <v>523</v>
      </c>
      <c r="O361" s="10" t="s">
        <v>542</v>
      </c>
    </row>
    <row r="362" spans="4:15" x14ac:dyDescent="0.25">
      <c r="D362" s="10" t="str">
        <f>D351</f>
        <v>ACT</v>
      </c>
      <c r="E362" s="10">
        <f t="shared" ref="E362:H362" si="56">E351</f>
        <v>700</v>
      </c>
      <c r="F362" s="10">
        <f t="shared" si="56"/>
        <v>700</v>
      </c>
      <c r="G362" s="10">
        <f t="shared" si="56"/>
        <v>500</v>
      </c>
      <c r="H362" s="10">
        <f t="shared" si="56"/>
        <v>500</v>
      </c>
      <c r="I362" s="10">
        <f>I351</f>
        <v>500</v>
      </c>
      <c r="J362" s="10">
        <f>I351</f>
        <v>500</v>
      </c>
      <c r="K362" s="10">
        <f t="shared" ref="K362" si="57">J351</f>
        <v>600</v>
      </c>
      <c r="L362" s="10">
        <f>K351</f>
        <v>600</v>
      </c>
      <c r="M362" s="10">
        <f>K351</f>
        <v>600</v>
      </c>
      <c r="N362" s="10">
        <f>K351</f>
        <v>600</v>
      </c>
      <c r="O362" s="10" t="str">
        <f>L351</f>
        <v>ACT</v>
      </c>
    </row>
    <row r="363" spans="4:15" x14ac:dyDescent="0.25">
      <c r="D363" s="10" t="str">
        <f t="shared" ref="D363:I369" si="58">D352</f>
        <v>NSW</v>
      </c>
      <c r="E363" s="10">
        <f t="shared" si="58"/>
        <v>700</v>
      </c>
      <c r="F363" s="10">
        <f t="shared" si="58"/>
        <v>700</v>
      </c>
      <c r="G363" s="10">
        <f t="shared" si="58"/>
        <v>500</v>
      </c>
      <c r="H363" s="10">
        <f t="shared" si="58"/>
        <v>500</v>
      </c>
      <c r="I363" s="10">
        <f t="shared" si="58"/>
        <v>500</v>
      </c>
      <c r="J363" s="10">
        <f t="shared" ref="J363:L369" si="59">I352</f>
        <v>500</v>
      </c>
      <c r="K363" s="10">
        <f t="shared" si="59"/>
        <v>600</v>
      </c>
      <c r="L363" s="10">
        <f t="shared" si="59"/>
        <v>600</v>
      </c>
      <c r="M363" s="10">
        <f t="shared" ref="M363:M369" si="60">K352</f>
        <v>600</v>
      </c>
      <c r="N363" s="10">
        <f t="shared" ref="N363:O369" si="61">K352</f>
        <v>600</v>
      </c>
      <c r="O363" s="10" t="str">
        <f t="shared" si="61"/>
        <v>NSW</v>
      </c>
    </row>
    <row r="364" spans="4:15" x14ac:dyDescent="0.25">
      <c r="D364" s="10" t="str">
        <f t="shared" si="58"/>
        <v>Northern Territory</v>
      </c>
      <c r="E364" s="10">
        <f t="shared" si="58"/>
        <v>770</v>
      </c>
      <c r="F364" s="10">
        <f t="shared" si="58"/>
        <v>770</v>
      </c>
      <c r="G364" s="10">
        <f t="shared" si="58"/>
        <v>550</v>
      </c>
      <c r="H364" s="10">
        <f t="shared" si="58"/>
        <v>550</v>
      </c>
      <c r="I364" s="10">
        <f t="shared" si="58"/>
        <v>550</v>
      </c>
      <c r="J364" s="10">
        <f t="shared" si="59"/>
        <v>550</v>
      </c>
      <c r="K364" s="10">
        <f t="shared" si="59"/>
        <v>660</v>
      </c>
      <c r="L364" s="10">
        <f t="shared" si="59"/>
        <v>660</v>
      </c>
      <c r="M364" s="10">
        <f t="shared" si="60"/>
        <v>660</v>
      </c>
      <c r="N364" s="10">
        <f t="shared" si="61"/>
        <v>660</v>
      </c>
      <c r="O364" s="10" t="str">
        <f t="shared" si="61"/>
        <v>NT</v>
      </c>
    </row>
    <row r="365" spans="4:15" x14ac:dyDescent="0.25">
      <c r="D365" s="10" t="str">
        <f t="shared" si="58"/>
        <v>Queensland</v>
      </c>
      <c r="E365" s="10">
        <f t="shared" si="58"/>
        <v>770</v>
      </c>
      <c r="F365" s="10">
        <f t="shared" si="58"/>
        <v>770</v>
      </c>
      <c r="G365" s="10">
        <f t="shared" si="58"/>
        <v>550</v>
      </c>
      <c r="H365" s="10">
        <f t="shared" si="58"/>
        <v>550</v>
      </c>
      <c r="I365" s="10">
        <f t="shared" si="58"/>
        <v>550</v>
      </c>
      <c r="J365" s="10">
        <f t="shared" si="59"/>
        <v>550</v>
      </c>
      <c r="K365" s="10">
        <f t="shared" si="59"/>
        <v>660</v>
      </c>
      <c r="L365" s="10">
        <f t="shared" si="59"/>
        <v>660</v>
      </c>
      <c r="M365" s="10">
        <f t="shared" si="60"/>
        <v>660</v>
      </c>
      <c r="N365" s="10">
        <f t="shared" si="61"/>
        <v>660</v>
      </c>
      <c r="O365" s="10" t="str">
        <f t="shared" si="61"/>
        <v>QLD</v>
      </c>
    </row>
    <row r="366" spans="4:15" x14ac:dyDescent="0.25">
      <c r="D366" s="10" t="str">
        <f t="shared" si="58"/>
        <v>South Australia</v>
      </c>
      <c r="E366" s="10">
        <f t="shared" si="58"/>
        <v>770</v>
      </c>
      <c r="F366" s="10">
        <f t="shared" si="58"/>
        <v>770</v>
      </c>
      <c r="G366" s="10">
        <f t="shared" si="58"/>
        <v>550</v>
      </c>
      <c r="H366" s="10">
        <f t="shared" si="58"/>
        <v>550</v>
      </c>
      <c r="I366" s="10">
        <f t="shared" si="58"/>
        <v>550</v>
      </c>
      <c r="J366" s="10">
        <f t="shared" si="59"/>
        <v>550</v>
      </c>
      <c r="K366" s="10">
        <f t="shared" si="59"/>
        <v>660</v>
      </c>
      <c r="L366" s="10">
        <f t="shared" si="59"/>
        <v>660</v>
      </c>
      <c r="M366" s="10">
        <f t="shared" si="60"/>
        <v>660</v>
      </c>
      <c r="N366" s="10">
        <f t="shared" si="61"/>
        <v>660</v>
      </c>
      <c r="O366" s="10" t="str">
        <f t="shared" si="61"/>
        <v>SA</v>
      </c>
    </row>
    <row r="367" spans="4:15" x14ac:dyDescent="0.25">
      <c r="D367" s="10" t="str">
        <f t="shared" si="58"/>
        <v>Tasmania</v>
      </c>
      <c r="E367" s="10">
        <f t="shared" si="58"/>
        <v>770</v>
      </c>
      <c r="F367" s="10">
        <f t="shared" si="58"/>
        <v>770</v>
      </c>
      <c r="G367" s="10">
        <f t="shared" si="58"/>
        <v>550</v>
      </c>
      <c r="H367" s="10">
        <f t="shared" si="58"/>
        <v>550</v>
      </c>
      <c r="I367" s="10">
        <f t="shared" si="58"/>
        <v>550</v>
      </c>
      <c r="J367" s="10">
        <f t="shared" si="59"/>
        <v>550</v>
      </c>
      <c r="K367" s="10">
        <f t="shared" si="59"/>
        <v>660</v>
      </c>
      <c r="L367" s="10">
        <f t="shared" si="59"/>
        <v>660</v>
      </c>
      <c r="M367" s="10">
        <f t="shared" si="60"/>
        <v>660</v>
      </c>
      <c r="N367" s="10">
        <f t="shared" si="61"/>
        <v>660</v>
      </c>
      <c r="O367" s="10" t="str">
        <f t="shared" si="61"/>
        <v>TAS</v>
      </c>
    </row>
    <row r="368" spans="4:15" x14ac:dyDescent="0.25">
      <c r="D368" s="10" t="str">
        <f t="shared" si="58"/>
        <v>Victoria</v>
      </c>
      <c r="E368" s="10">
        <f t="shared" si="58"/>
        <v>770</v>
      </c>
      <c r="F368" s="10">
        <f t="shared" si="58"/>
        <v>770</v>
      </c>
      <c r="G368" s="10">
        <f t="shared" si="58"/>
        <v>550</v>
      </c>
      <c r="H368" s="10">
        <f t="shared" si="58"/>
        <v>550</v>
      </c>
      <c r="I368" s="10">
        <f t="shared" si="58"/>
        <v>550</v>
      </c>
      <c r="J368" s="10">
        <f t="shared" si="59"/>
        <v>550</v>
      </c>
      <c r="K368" s="10">
        <f t="shared" si="59"/>
        <v>660</v>
      </c>
      <c r="L368" s="10">
        <f t="shared" si="59"/>
        <v>660</v>
      </c>
      <c r="M368" s="10">
        <f t="shared" si="60"/>
        <v>660</v>
      </c>
      <c r="N368" s="10">
        <f t="shared" si="61"/>
        <v>660</v>
      </c>
      <c r="O368" s="10" t="str">
        <f t="shared" si="61"/>
        <v>VIC</v>
      </c>
    </row>
    <row r="369" spans="4:15" x14ac:dyDescent="0.25">
      <c r="D369" s="10" t="str">
        <f t="shared" si="58"/>
        <v>Western Australia</v>
      </c>
      <c r="E369" s="10">
        <f t="shared" si="58"/>
        <v>770</v>
      </c>
      <c r="F369" s="10">
        <f t="shared" si="58"/>
        <v>770</v>
      </c>
      <c r="G369" s="10">
        <f t="shared" si="58"/>
        <v>550</v>
      </c>
      <c r="H369" s="10">
        <f t="shared" si="58"/>
        <v>550</v>
      </c>
      <c r="I369" s="10">
        <f t="shared" si="58"/>
        <v>550</v>
      </c>
      <c r="J369" s="10">
        <f t="shared" si="59"/>
        <v>550</v>
      </c>
      <c r="K369" s="10">
        <f t="shared" si="59"/>
        <v>660</v>
      </c>
      <c r="L369" s="10">
        <f t="shared" si="59"/>
        <v>660</v>
      </c>
      <c r="M369" s="10">
        <f t="shared" si="60"/>
        <v>660</v>
      </c>
      <c r="N369" s="10">
        <f t="shared" si="61"/>
        <v>660</v>
      </c>
      <c r="O369" s="10" t="str">
        <f t="shared" si="61"/>
        <v>WA</v>
      </c>
    </row>
    <row r="370" spans="4:15" x14ac:dyDescent="0.25">
      <c r="M370" s="8"/>
    </row>
    <row r="371" spans="4:15" x14ac:dyDescent="0.25">
      <c r="M371" s="8"/>
    </row>
    <row r="372" spans="4:15" ht="23.25" x14ac:dyDescent="0.25">
      <c r="D372" s="9" t="str" cm="1">
        <f t="array" ref="D372">SourceData_PastureBeef.SourceData_PastureBeef_FractionOfManureToMMS_Title()</f>
        <v>Beef pasture cattle - Fraction of manure to each manure management system (fraction) (MMSm)</v>
      </c>
      <c r="M372" s="8"/>
    </row>
    <row r="373" spans="4:15" x14ac:dyDescent="0.25">
      <c r="D373" s="11" t="str" cm="1">
        <f t="array" ref="D373">SourceData_PastureBeef.SourceData_PastureBeef_FractionOfManureToMMS_Source()</f>
        <v>VEERG 2026: Table A.1.2.9</v>
      </c>
      <c r="M373" s="8"/>
    </row>
    <row r="374" spans="4:15" x14ac:dyDescent="0.25">
      <c r="D374" s="8" t="str" cm="1">
        <f t="array" ref="D374">SourceData_PastureBeef.SourceData_PastureBeef_FractionOfManureToMMS_Variable()</f>
        <v>MMSm</v>
      </c>
      <c r="M374" s="8"/>
    </row>
    <row r="375" spans="4:15" x14ac:dyDescent="0.25">
      <c r="D375" s="13" t="str" cm="1">
        <f t="array" ref="D375">SourceData_PastureBeef.SourceData_PastureBeef_FractionOfManureToMMS_Unit()</f>
        <v>fraction</v>
      </c>
      <c r="E375" s="158" t="s">
        <v>543</v>
      </c>
      <c r="M375" s="8"/>
    </row>
    <row r="376" spans="4:15" x14ac:dyDescent="0.25">
      <c r="D376" s="12" t="str" cm="1">
        <f t="array" ref="D376">SourceData_PastureBeef.SourceData_PastureBeef_FractionOfManureToMMS_Variation()</f>
        <v>VARIATION ON SOURCE: Removed comma from 'Pasture range and paddock' to aid lookup</v>
      </c>
      <c r="M376" s="8"/>
    </row>
    <row r="377" spans="4:15" x14ac:dyDescent="0.25">
      <c r="D377" s="10" t="s">
        <v>289</v>
      </c>
      <c r="E377" s="10" t="s">
        <v>414</v>
      </c>
      <c r="F377" s="10" t="s">
        <v>62</v>
      </c>
      <c r="G377" s="10" t="s">
        <v>544</v>
      </c>
      <c r="M377" s="8"/>
    </row>
    <row r="378" spans="4:15" x14ac:dyDescent="0.25">
      <c r="D378" s="10" t="str" cm="1">
        <f t="array" ref="D378">Common_InputFunctions.Utility_DisplayArrayInTable(SourceData_PastureBeef.SourceData_PastureBeef_FractionOfManureToMMS_Data(),Table_SourceData_PastureBeef_FractionManureToMMS[[#Headers],[State]], 0)</f>
        <v>ACT</v>
      </c>
      <c r="E378" s="10" t="str" cm="1">
        <f t="array" ref="E378">Common_InputFunctions.Utility_DisplayArrayInTable(SourceData_PastureBeef.SourceData_PastureBeef_FractionOfManureToMMS_Data(),Table_SourceData_PastureBeef_FractionManureToMMS[[#Headers],[State]], 0)</f>
        <v>n/a</v>
      </c>
      <c r="F378" s="10" cm="1">
        <f t="array" ref="F378">Common_InputFunctions.Utility_DisplayArrayInTable(SourceData_PastureBeef.SourceData_PastureBeef_FractionOfManureToMMS_Data(),Table_SourceData_PastureBeef_FractionManureToMMS[[#Headers],[State]], 0)</f>
        <v>99.191999999999993</v>
      </c>
      <c r="G378" s="10" cm="1">
        <f t="array" ref="G378">Common_InputFunctions.Utility_DisplayArrayInTable(SourceData_PastureBeef.SourceData_PastureBeef_FractionOfManureToMMS_Data(),Table_SourceData_PastureBeef_FractionManureToMMS[[#Headers],[State]], 0)</f>
        <v>0.80800000000000005</v>
      </c>
      <c r="M378" s="8"/>
    </row>
    <row r="379" spans="4:15" x14ac:dyDescent="0.25">
      <c r="D379" s="8" t="str" cm="1">
        <f t="array" ref="D379">Common_InputFunctions.Utility_DisplayArrayInTable(SourceData_PastureBeef.SourceData_PastureBeef_FractionOfManureToMMS_Data(),Table_SourceData_PastureBeef_FractionManureToMMS[[#Headers],[State]], 0)</f>
        <v>NSW</v>
      </c>
      <c r="E379" s="10" t="str" cm="1">
        <f t="array" ref="E379">Common_InputFunctions.Utility_DisplayArrayInTable(SourceData_PastureBeef.SourceData_PastureBeef_FractionOfManureToMMS_Data(),Table_SourceData_PastureBeef_FractionManureToMMS[[#Headers],[State]], 0)</f>
        <v>n/a</v>
      </c>
      <c r="F379" s="10" cm="1">
        <f t="array" ref="F379">Common_InputFunctions.Utility_DisplayArrayInTable(SourceData_PastureBeef.SourceData_PastureBeef_FractionOfManureToMMS_Data(),Table_SourceData_PastureBeef_FractionManureToMMS[[#Headers],[State]], 0)</f>
        <v>99.451999999999998</v>
      </c>
      <c r="G379" s="10" cm="1">
        <f t="array" ref="G379">Common_InputFunctions.Utility_DisplayArrayInTable(SourceData_PastureBeef.SourceData_PastureBeef_FractionOfManureToMMS_Data(),Table_SourceData_PastureBeef_FractionManureToMMS[[#Headers],[State]], 0)</f>
        <v>0.54800000000000004</v>
      </c>
      <c r="M379" s="8"/>
    </row>
    <row r="380" spans="4:15" x14ac:dyDescent="0.25">
      <c r="D380" s="8" t="str" cm="1">
        <f t="array" ref="D380">Common_InputFunctions.Utility_DisplayArrayInTable(SourceData_PastureBeef.SourceData_PastureBeef_FractionOfManureToMMS_Data(),Table_SourceData_PastureBeef_FractionManureToMMS[[#Headers],[State]], 0)</f>
        <v>SA</v>
      </c>
      <c r="E380" s="10" t="str" cm="1">
        <f t="array" ref="E380">Common_InputFunctions.Utility_DisplayArrayInTable(SourceData_PastureBeef.SourceData_PastureBeef_FractionOfManureToMMS_Data(),Table_SourceData_PastureBeef_FractionManureToMMS[[#Headers],[State]], 0)</f>
        <v>n/a</v>
      </c>
      <c r="F380" s="10" cm="1">
        <f t="array" ref="F380">Common_InputFunctions.Utility_DisplayArrayInTable(SourceData_PastureBeef.SourceData_PastureBeef_FractionOfManureToMMS_Data(),Table_SourceData_PastureBeef_FractionManureToMMS[[#Headers],[State]], 0)</f>
        <v>99.759</v>
      </c>
      <c r="G380" s="10" cm="1">
        <f t="array" ref="G380">Common_InputFunctions.Utility_DisplayArrayInTable(SourceData_PastureBeef.SourceData_PastureBeef_FractionOfManureToMMS_Data(),Table_SourceData_PastureBeef_FractionManureToMMS[[#Headers],[State]], 0)</f>
        <v>0.24099999999999999</v>
      </c>
      <c r="M380" s="8"/>
    </row>
    <row r="381" spans="4:15" x14ac:dyDescent="0.25">
      <c r="D381" s="8" t="str" cm="1">
        <f t="array" ref="D381">Common_InputFunctions.Utility_DisplayArrayInTable(SourceData_PastureBeef.SourceData_PastureBeef_FractionOfManureToMMS_Data(),Table_SourceData_PastureBeef_FractionManureToMMS[[#Headers],[State]], 0)</f>
        <v>TAS</v>
      </c>
      <c r="E381" s="10" t="str" cm="1">
        <f t="array" ref="E381">Common_InputFunctions.Utility_DisplayArrayInTable(SourceData_PastureBeef.SourceData_PastureBeef_FractionOfManureToMMS_Data(),Table_SourceData_PastureBeef_FractionManureToMMS[[#Headers],[State]], 0)</f>
        <v>n/a</v>
      </c>
      <c r="F381" s="10" cm="1">
        <f t="array" ref="F381">Common_InputFunctions.Utility_DisplayArrayInTable(SourceData_PastureBeef.SourceData_PastureBeef_FractionOfManureToMMS_Data(),Table_SourceData_PastureBeef_FractionManureToMMS[[#Headers],[State]], 0)</f>
        <v>99.122</v>
      </c>
      <c r="G381" s="10" cm="1">
        <f t="array" ref="G381">Common_InputFunctions.Utility_DisplayArrayInTable(SourceData_PastureBeef.SourceData_PastureBeef_FractionOfManureToMMS_Data(),Table_SourceData_PastureBeef_FractionManureToMMS[[#Headers],[State]], 0)</f>
        <v>0.878</v>
      </c>
      <c r="M381" s="8"/>
    </row>
    <row r="382" spans="4:15" x14ac:dyDescent="0.25">
      <c r="D382" s="8" t="str" cm="1">
        <f t="array" ref="D382">Common_InputFunctions.Utility_DisplayArrayInTable(SourceData_PastureBeef.SourceData_PastureBeef_FractionOfManureToMMS_Data(),Table_SourceData_PastureBeef_FractionManureToMMS[[#Headers],[State]], 0)</f>
        <v>VIC</v>
      </c>
      <c r="E382" s="10" t="str" cm="1">
        <f t="array" ref="E382">Common_InputFunctions.Utility_DisplayArrayInTable(SourceData_PastureBeef.SourceData_PastureBeef_FractionOfManureToMMS_Data(),Table_SourceData_PastureBeef_FractionManureToMMS[[#Headers],[State]], 0)</f>
        <v>n/a</v>
      </c>
      <c r="F382" s="10" cm="1">
        <f t="array" ref="F382">Common_InputFunctions.Utility_DisplayArrayInTable(SourceData_PastureBeef.SourceData_PastureBeef_FractionOfManureToMMS_Data(),Table_SourceData_PastureBeef_FractionManureToMMS[[#Headers],[State]], 0)</f>
        <v>98.894000000000005</v>
      </c>
      <c r="G382" s="10" cm="1">
        <f t="array" ref="G382">Common_InputFunctions.Utility_DisplayArrayInTable(SourceData_PastureBeef.SourceData_PastureBeef_FractionOfManureToMMS_Data(),Table_SourceData_PastureBeef_FractionManureToMMS[[#Headers],[State]], 0)</f>
        <v>1.1060000000000001</v>
      </c>
      <c r="M382" s="8"/>
    </row>
    <row r="383" spans="4:15" x14ac:dyDescent="0.25">
      <c r="D383" s="8" t="str" cm="1">
        <f t="array" ref="D383">Common_InputFunctions.Utility_DisplayArrayInTable(SourceData_PastureBeef.SourceData_PastureBeef_FractionOfManureToMMS_Data(),Table_SourceData_PastureBeef_FractionManureToMMS[[#Headers],[State]], 0)</f>
        <v>WA</v>
      </c>
      <c r="E383" s="10" t="str" cm="1">
        <f t="array" ref="E383">Common_InputFunctions.Utility_DisplayArrayInTable(SourceData_PastureBeef.SourceData_PastureBeef_FractionOfManureToMMS_Data(),Table_SourceData_PastureBeef_FractionManureToMMS[[#Headers],[State]], 0)</f>
        <v>South West</v>
      </c>
      <c r="F383" s="10" cm="1">
        <f t="array" ref="F383">Common_InputFunctions.Utility_DisplayArrayInTable(SourceData_PastureBeef.SourceData_PastureBeef_FractionOfManureToMMS_Data(),Table_SourceData_PastureBeef_FractionManureToMMS[[#Headers],[State]], 0)</f>
        <v>99.622</v>
      </c>
      <c r="G383" s="10" cm="1">
        <f t="array" ref="G383">Common_InputFunctions.Utility_DisplayArrayInTable(SourceData_PastureBeef.SourceData_PastureBeef_FractionOfManureToMMS_Data(),Table_SourceData_PastureBeef_FractionManureToMMS[[#Headers],[State]], 0)</f>
        <v>0.378</v>
      </c>
      <c r="M383" s="8"/>
    </row>
    <row r="384" spans="4:15" x14ac:dyDescent="0.25">
      <c r="D384" s="8" t="str" cm="1">
        <f t="array" ref="D384">Common_InputFunctions.Utility_DisplayArrayInTable(SourceData_PastureBeef.SourceData_PastureBeef_FractionOfManureToMMS_Data(),Table_SourceData_PastureBeef_FractionManureToMMS[[#Headers],[State]], 0)</f>
        <v>WA</v>
      </c>
      <c r="E384" s="10" t="str" cm="1">
        <f t="array" ref="E384">Common_InputFunctions.Utility_DisplayArrayInTable(SourceData_PastureBeef.SourceData_PastureBeef_FractionOfManureToMMS_Data(),Table_SourceData_PastureBeef_FractionManureToMMS[[#Headers],[State]], 0)</f>
        <v>Pilbara</v>
      </c>
      <c r="F384" s="10" cm="1">
        <f t="array" ref="F384">Common_InputFunctions.Utility_DisplayArrayInTable(SourceData_PastureBeef.SourceData_PastureBeef_FractionOfManureToMMS_Data(),Table_SourceData_PastureBeef_FractionManureToMMS[[#Headers],[State]], 0)</f>
        <v>99.998999999999995</v>
      </c>
      <c r="G384" s="10" cm="1">
        <f t="array" ref="G384">Common_InputFunctions.Utility_DisplayArrayInTable(SourceData_PastureBeef.SourceData_PastureBeef_FractionOfManureToMMS_Data(),Table_SourceData_PastureBeef_FractionManureToMMS[[#Headers],[State]], 0)</f>
        <v>1E-3</v>
      </c>
      <c r="M384" s="8"/>
    </row>
    <row r="385" spans="4:13" x14ac:dyDescent="0.25">
      <c r="D385" s="8" t="str" cm="1">
        <f t="array" ref="D385">Common_InputFunctions.Utility_DisplayArrayInTable(SourceData_PastureBeef.SourceData_PastureBeef_FractionOfManureToMMS_Data(),Table_SourceData_PastureBeef_FractionManureToMMS[[#Headers],[State]], 0)</f>
        <v>WA</v>
      </c>
      <c r="E385" s="10" t="str" cm="1">
        <f t="array" ref="E385">Common_InputFunctions.Utility_DisplayArrayInTable(SourceData_PastureBeef.SourceData_PastureBeef_FractionOfManureToMMS_Data(),Table_SourceData_PastureBeef_FractionManureToMMS[[#Headers],[State]], 0)</f>
        <v>Kimberley</v>
      </c>
      <c r="F385" s="10" cm="1">
        <f t="array" ref="F385">Common_InputFunctions.Utility_DisplayArrayInTable(SourceData_PastureBeef.SourceData_PastureBeef_FractionOfManureToMMS_Data(),Table_SourceData_PastureBeef_FractionManureToMMS[[#Headers],[State]], 0)</f>
        <v>99.998999999999995</v>
      </c>
      <c r="G385" s="10" cm="1">
        <f t="array" ref="G385">Common_InputFunctions.Utility_DisplayArrayInTable(SourceData_PastureBeef.SourceData_PastureBeef_FractionOfManureToMMS_Data(),Table_SourceData_PastureBeef_FractionManureToMMS[[#Headers],[State]], 0)</f>
        <v>1E-3</v>
      </c>
      <c r="M385" s="8"/>
    </row>
    <row r="386" spans="4:13" x14ac:dyDescent="0.25">
      <c r="D386" s="8" t="str" cm="1">
        <f t="array" ref="D386">Common_InputFunctions.Utility_DisplayArrayInTable(SourceData_PastureBeef.SourceData_PastureBeef_FractionOfManureToMMS_Data(),Table_SourceData_PastureBeef_FractionManureToMMS[[#Headers],[State]], 0)</f>
        <v>NT</v>
      </c>
      <c r="E386" s="10" t="str" cm="1">
        <f t="array" ref="E386">Common_InputFunctions.Utility_DisplayArrayInTable(SourceData_PastureBeef.SourceData_PastureBeef_FractionOfManureToMMS_Data(),Table_SourceData_PastureBeef_FractionManureToMMS[[#Headers],[State]], 0)</f>
        <v>Alice Springs</v>
      </c>
      <c r="F386" s="10" cm="1">
        <f t="array" ref="F386">Common_InputFunctions.Utility_DisplayArrayInTable(SourceData_PastureBeef.SourceData_PastureBeef_FractionOfManureToMMS_Data(),Table_SourceData_PastureBeef_FractionManureToMMS[[#Headers],[State]], 0)</f>
        <v>99.998999999999995</v>
      </c>
      <c r="G386" s="10" cm="1">
        <f t="array" ref="G386">Common_InputFunctions.Utility_DisplayArrayInTable(SourceData_PastureBeef.SourceData_PastureBeef_FractionOfManureToMMS_Data(),Table_SourceData_PastureBeef_FractionManureToMMS[[#Headers],[State]], 0)</f>
        <v>1E-3</v>
      </c>
      <c r="M386" s="8"/>
    </row>
    <row r="387" spans="4:13" x14ac:dyDescent="0.25">
      <c r="D387" s="8" t="str" cm="1">
        <f t="array" ref="D387">Common_InputFunctions.Utility_DisplayArrayInTable(SourceData_PastureBeef.SourceData_PastureBeef_FractionOfManureToMMS_Data(),Table_SourceData_PastureBeef_FractionManureToMMS[[#Headers],[State]], 0)</f>
        <v>NT</v>
      </c>
      <c r="E387" s="10" t="str" cm="1">
        <f t="array" ref="E387">Common_InputFunctions.Utility_DisplayArrayInTable(SourceData_PastureBeef.SourceData_PastureBeef_FractionOfManureToMMS_Data(),Table_SourceData_PastureBeef_FractionManureToMMS[[#Headers],[State]], 0)</f>
        <v>Barkly</v>
      </c>
      <c r="F387" s="10" cm="1">
        <f t="array" ref="F387">Common_InputFunctions.Utility_DisplayArrayInTable(SourceData_PastureBeef.SourceData_PastureBeef_FractionOfManureToMMS_Data(),Table_SourceData_PastureBeef_FractionManureToMMS[[#Headers],[State]], 0)</f>
        <v>99.994</v>
      </c>
      <c r="G387" s="10" cm="1">
        <f t="array" ref="G387">Common_InputFunctions.Utility_DisplayArrayInTable(SourceData_PastureBeef.SourceData_PastureBeef_FractionOfManureToMMS_Data(),Table_SourceData_PastureBeef_FractionManureToMMS[[#Headers],[State]], 0)</f>
        <v>6.0000000000000001E-3</v>
      </c>
      <c r="M387" s="8"/>
    </row>
    <row r="388" spans="4:13" x14ac:dyDescent="0.25">
      <c r="D388" s="8" t="str" cm="1">
        <f t="array" ref="D388">Common_InputFunctions.Utility_DisplayArrayInTable(SourceData_PastureBeef.SourceData_PastureBeef_FractionOfManureToMMS_Data(),Table_SourceData_PastureBeef_FractionManureToMMS[[#Headers],[State]], 0)</f>
        <v>NT</v>
      </c>
      <c r="E388" s="10" t="str" cm="1">
        <f t="array" ref="E388">Common_InputFunctions.Utility_DisplayArrayInTable(SourceData_PastureBeef.SourceData_PastureBeef_FractionOfManureToMMS_Data(),Table_SourceData_PastureBeef_FractionManureToMMS[[#Headers],[State]], 0)</f>
        <v>Northern</v>
      </c>
      <c r="F388" s="10" cm="1">
        <f t="array" ref="F388">Common_InputFunctions.Utility_DisplayArrayInTable(SourceData_PastureBeef.SourceData_PastureBeef_FractionOfManureToMMS_Data(),Table_SourceData_PastureBeef_FractionManureToMMS[[#Headers],[State]], 0)</f>
        <v>99.998999999999995</v>
      </c>
      <c r="G388" s="10" cm="1">
        <f t="array" ref="G388">Common_InputFunctions.Utility_DisplayArrayInTable(SourceData_PastureBeef.SourceData_PastureBeef_FractionOfManureToMMS_Data(),Table_SourceData_PastureBeef_FractionManureToMMS[[#Headers],[State]], 0)</f>
        <v>1E-3</v>
      </c>
      <c r="M388" s="8"/>
    </row>
    <row r="389" spans="4:13" x14ac:dyDescent="0.25">
      <c r="D389" s="8" t="str" cm="1">
        <f t="array" ref="D389">Common_InputFunctions.Utility_DisplayArrayInTable(SourceData_PastureBeef.SourceData_PastureBeef_FractionOfManureToMMS_Data(),Table_SourceData_PastureBeef_FractionManureToMMS[[#Headers],[State]], 0)</f>
        <v>QLD</v>
      </c>
      <c r="E389" s="10" t="str" cm="1">
        <f t="array" ref="E389">Common_InputFunctions.Utility_DisplayArrayInTable(SourceData_PastureBeef.SourceData_PastureBeef_FractionOfManureToMMS_Data(),Table_SourceData_PastureBeef_FractionManureToMMS[[#Headers],[State]], 0)</f>
        <v>High</v>
      </c>
      <c r="F389" s="10" cm="1">
        <f t="array" ref="F389">Common_InputFunctions.Utility_DisplayArrayInTable(SourceData_PastureBeef.SourceData_PastureBeef_FractionOfManureToMMS_Data(),Table_SourceData_PastureBeef_FractionManureToMMS[[#Headers],[State]], 0)</f>
        <v>99.772999999999996</v>
      </c>
      <c r="G389" s="10" cm="1">
        <f t="array" ref="G389">Common_InputFunctions.Utility_DisplayArrayInTable(SourceData_PastureBeef.SourceData_PastureBeef_FractionOfManureToMMS_Data(),Table_SourceData_PastureBeef_FractionManureToMMS[[#Headers],[State]], 0)</f>
        <v>0.22700000000000001</v>
      </c>
      <c r="M389" s="8"/>
    </row>
    <row r="390" spans="4:13" x14ac:dyDescent="0.25">
      <c r="D390" s="8" t="str" cm="1">
        <f t="array" ref="D390">Common_InputFunctions.Utility_DisplayArrayInTable(SourceData_PastureBeef.SourceData_PastureBeef_FractionOfManureToMMS_Data(),Table_SourceData_PastureBeef_FractionManureToMMS[[#Headers],[State]], 0)</f>
        <v>QLD</v>
      </c>
      <c r="E390" s="10" t="str" cm="1">
        <f t="array" ref="E390">Common_InputFunctions.Utility_DisplayArrayInTable(SourceData_PastureBeef.SourceData_PastureBeef_FractionOfManureToMMS_Data(),Table_SourceData_PastureBeef_FractionManureToMMS[[#Headers],[State]], 0)</f>
        <v>Moderate/High</v>
      </c>
      <c r="F390" s="10" cm="1">
        <f t="array" ref="F390">Common_InputFunctions.Utility_DisplayArrayInTable(SourceData_PastureBeef.SourceData_PastureBeef_FractionOfManureToMMS_Data(),Table_SourceData_PastureBeef_FractionManureToMMS[[#Headers],[State]], 0)</f>
        <v>99.897999999999996</v>
      </c>
      <c r="G390" s="10" cm="1">
        <f t="array" ref="G390">Common_InputFunctions.Utility_DisplayArrayInTable(SourceData_PastureBeef.SourceData_PastureBeef_FractionOfManureToMMS_Data(),Table_SourceData_PastureBeef_FractionManureToMMS[[#Headers],[State]], 0)</f>
        <v>0.10199999999999999</v>
      </c>
      <c r="M390" s="8"/>
    </row>
    <row r="391" spans="4:13" x14ac:dyDescent="0.25">
      <c r="D391" s="8" t="str" cm="1">
        <f t="array" ref="D391">Common_InputFunctions.Utility_DisplayArrayInTable(SourceData_PastureBeef.SourceData_PastureBeef_FractionOfManureToMMS_Data(),Table_SourceData_PastureBeef_FractionManureToMMS[[#Headers],[State]], 0)</f>
        <v>QLD</v>
      </c>
      <c r="E391" s="10" t="str" cm="1">
        <f t="array" ref="E391">Common_InputFunctions.Utility_DisplayArrayInTable(SourceData_PastureBeef.SourceData_PastureBeef_FractionOfManureToMMS_Data(),Table_SourceData_PastureBeef_FractionManureToMMS[[#Headers],[State]], 0)</f>
        <v>Moderate/Low</v>
      </c>
      <c r="F391" s="10" cm="1">
        <f t="array" ref="F391">Common_InputFunctions.Utility_DisplayArrayInTable(SourceData_PastureBeef.SourceData_PastureBeef_FractionOfManureToMMS_Data(),Table_SourceData_PastureBeef_FractionManureToMMS[[#Headers],[State]], 0)</f>
        <v>99.978999999999999</v>
      </c>
      <c r="G391" s="10" cm="1">
        <f t="array" ref="G391">Common_InputFunctions.Utility_DisplayArrayInTable(SourceData_PastureBeef.SourceData_PastureBeef_FractionOfManureToMMS_Data(),Table_SourceData_PastureBeef_FractionManureToMMS[[#Headers],[State]], 0)</f>
        <v>2.1000000000000001E-2</v>
      </c>
      <c r="M391" s="8"/>
    </row>
    <row r="392" spans="4:13" x14ac:dyDescent="0.25">
      <c r="D392" s="8" t="str" cm="1">
        <f t="array" ref="D392">Common_InputFunctions.Utility_DisplayArrayInTable(SourceData_PastureBeef.SourceData_PastureBeef_FractionOfManureToMMS_Data(),Table_SourceData_PastureBeef_FractionManureToMMS[[#Headers],[State]], 0)</f>
        <v>QLD</v>
      </c>
      <c r="E392" s="10" t="str" cm="1">
        <f t="array" ref="E392">Common_InputFunctions.Utility_DisplayArrayInTable(SourceData_PastureBeef.SourceData_PastureBeef_FractionOfManureToMMS_Data(),Table_SourceData_PastureBeef_FractionManureToMMS[[#Headers],[State]], 0)</f>
        <v>Low</v>
      </c>
      <c r="F392" s="10" cm="1">
        <f t="array" ref="F392">Common_InputFunctions.Utility_DisplayArrayInTable(SourceData_PastureBeef.SourceData_PastureBeef_FractionOfManureToMMS_Data(),Table_SourceData_PastureBeef_FractionManureToMMS[[#Headers],[State]], 0)</f>
        <v>99.977000000000004</v>
      </c>
      <c r="G392" s="10" cm="1">
        <f t="array" ref="G392">Common_InputFunctions.Utility_DisplayArrayInTable(SourceData_PastureBeef.SourceData_PastureBeef_FractionOfManureToMMS_Data(),Table_SourceData_PastureBeef_FractionManureToMMS[[#Headers],[State]], 0)</f>
        <v>2.3E-2</v>
      </c>
      <c r="M392" s="8"/>
    </row>
    <row r="393" spans="4:13" x14ac:dyDescent="0.25">
      <c r="M393" s="8"/>
    </row>
    <row r="394" spans="4:13" x14ac:dyDescent="0.25">
      <c r="M394" s="8"/>
    </row>
    <row r="395" spans="4:13" ht="23.25" x14ac:dyDescent="0.25">
      <c r="D395" s="9" t="str" cm="1">
        <f t="array" ref="D395">SourceData_PastureBeef.SourceData_PastureBeef_MethaneConversionFactorPerRegion_Title()</f>
        <v>Beef pasture cattle - Methane conversion factor per region (fraction) (MCFim)</v>
      </c>
      <c r="M395" s="8"/>
    </row>
    <row r="396" spans="4:13" x14ac:dyDescent="0.25">
      <c r="D396" s="11" t="str" cm="1">
        <f t="array" ref="D396">SourceData_PastureBeef.SourceData_PastureBeef_MethaneConversionFactorPerRegion_Source()</f>
        <v>VEERG 2026: Table A.1.2.10</v>
      </c>
      <c r="M396" s="8"/>
    </row>
    <row r="397" spans="4:13" x14ac:dyDescent="0.25">
      <c r="D397" s="8" t="str" cm="1">
        <f t="array" ref="D397">SourceData_PastureBeef.SourceData_PastureBeef_MethaneConversionFactorPerRegion_Variable()</f>
        <v>MCFim</v>
      </c>
      <c r="M397" s="8"/>
    </row>
    <row r="398" spans="4:13" x14ac:dyDescent="0.25">
      <c r="D398" s="13" t="str" cm="1">
        <f t="array" ref="D398">SourceData_PastureBeef.SourceData_PastureBeef_MethaneConversionFactorPerRegion_Unit()</f>
        <v>fraction</v>
      </c>
      <c r="M398" s="8"/>
    </row>
    <row r="399" spans="4:13" x14ac:dyDescent="0.25">
      <c r="D399" s="12" t="str" cm="1">
        <f t="array" ref="D399">SourceData_PastureBeef.SourceData_PastureBeef_MethaneConversionFactorPerRegion_Variation()</f>
        <v>VARIATION ON SOURCE: Removed comma from 'Pasture range and paddock' to aid lookup</v>
      </c>
      <c r="M399" s="8"/>
    </row>
    <row r="400" spans="4:13" x14ac:dyDescent="0.25">
      <c r="D400" s="10" t="s">
        <v>289</v>
      </c>
      <c r="E400" s="10" t="s">
        <v>414</v>
      </c>
      <c r="F400" s="10" t="s">
        <v>62</v>
      </c>
      <c r="G400" s="10" t="s">
        <v>544</v>
      </c>
      <c r="M400" s="8"/>
    </row>
    <row r="401" spans="4:13" x14ac:dyDescent="0.25">
      <c r="D401" s="10" t="str" cm="1">
        <f t="array" ref="D401">Common_InputFunctions.Utility_DisplayArrayInTable(SourceData_PastureBeef.SourceData_PastureBeef_MethaneConversionFactorPerRegion_Data(), Table_SourceData_PastureBeef_MethaneConversionFactor[[#Headers],[State]], 0)</f>
        <v>ACT</v>
      </c>
      <c r="E401" s="10" t="str" cm="1">
        <f t="array" ref="E401">Common_InputFunctions.Utility_DisplayArrayInTable(SourceData_PastureBeef.SourceData_PastureBeef_MethaneConversionFactorPerRegion_Data(), Table_SourceData_PastureBeef_MethaneConversionFactor[[#Headers],[State]], 0)</f>
        <v>n/a</v>
      </c>
      <c r="F401" s="10" cm="1">
        <f t="array" ref="F401">Common_InputFunctions.Utility_DisplayArrayInTable(SourceData_PastureBeef.SourceData_PastureBeef_MethaneConversionFactorPerRegion_Data(), Table_SourceData_PastureBeef_MethaneConversionFactor[[#Headers],[State]], 0)</f>
        <v>4.7000000000000002E-3</v>
      </c>
      <c r="G401" s="10" cm="1">
        <f t="array" ref="G401">Common_InputFunctions.Utility_DisplayArrayInTable(SourceData_PastureBeef.SourceData_PastureBeef_MethaneConversionFactorPerRegion_Data(), Table_SourceData_PastureBeef_MethaneConversionFactor[[#Headers],[State]], 0)</f>
        <v>0.71</v>
      </c>
      <c r="M401" s="8"/>
    </row>
    <row r="402" spans="4:13" x14ac:dyDescent="0.25">
      <c r="D402" s="10" t="str" cm="1">
        <f t="array" ref="D402">Common_InputFunctions.Utility_DisplayArrayInTable(SourceData_PastureBeef.SourceData_PastureBeef_MethaneConversionFactorPerRegion_Data(), Table_SourceData_PastureBeef_MethaneConversionFactor[[#Headers],[State]], 0)</f>
        <v>NSW</v>
      </c>
      <c r="E402" s="10" t="str" cm="1">
        <f t="array" ref="E402">Common_InputFunctions.Utility_DisplayArrayInTable(SourceData_PastureBeef.SourceData_PastureBeef_MethaneConversionFactorPerRegion_Data(), Table_SourceData_PastureBeef_MethaneConversionFactor[[#Headers],[State]], 0)</f>
        <v>n/a</v>
      </c>
      <c r="F402" s="10" cm="1">
        <f t="array" ref="F402">Common_InputFunctions.Utility_DisplayArrayInTable(SourceData_PastureBeef.SourceData_PastureBeef_MethaneConversionFactorPerRegion_Data(), Table_SourceData_PastureBeef_MethaneConversionFactor[[#Headers],[State]], 0)</f>
        <v>4.7000000000000002E-3</v>
      </c>
      <c r="G402" s="10" cm="1">
        <f t="array" ref="G402">Common_InputFunctions.Utility_DisplayArrayInTable(SourceData_PastureBeef.SourceData_PastureBeef_MethaneConversionFactorPerRegion_Data(), Table_SourceData_PastureBeef_MethaneConversionFactor[[#Headers],[State]], 0)</f>
        <v>0.75</v>
      </c>
      <c r="M402" s="8"/>
    </row>
    <row r="403" spans="4:13" x14ac:dyDescent="0.25">
      <c r="D403" s="10" t="str" cm="1">
        <f t="array" ref="D403">Common_InputFunctions.Utility_DisplayArrayInTable(SourceData_PastureBeef.SourceData_PastureBeef_MethaneConversionFactorPerRegion_Data(), Table_SourceData_PastureBeef_MethaneConversionFactor[[#Headers],[State]], 0)</f>
        <v>SA</v>
      </c>
      <c r="E403" s="10" t="str" cm="1">
        <f t="array" ref="E403">Common_InputFunctions.Utility_DisplayArrayInTable(SourceData_PastureBeef.SourceData_PastureBeef_MethaneConversionFactorPerRegion_Data(), Table_SourceData_PastureBeef_MethaneConversionFactor[[#Headers],[State]], 0)</f>
        <v>n/a</v>
      </c>
      <c r="F403" s="10" cm="1">
        <f t="array" ref="F403">Common_InputFunctions.Utility_DisplayArrayInTable(SourceData_PastureBeef.SourceData_PastureBeef_MethaneConversionFactorPerRegion_Data(), Table_SourceData_PastureBeef_MethaneConversionFactor[[#Headers],[State]], 0)</f>
        <v>4.7000000000000002E-3</v>
      </c>
      <c r="G403" s="10" cm="1">
        <f t="array" ref="G403">Common_InputFunctions.Utility_DisplayArrayInTable(SourceData_PastureBeef.SourceData_PastureBeef_MethaneConversionFactorPerRegion_Data(), Table_SourceData_PastureBeef_MethaneConversionFactor[[#Headers],[State]], 0)</f>
        <v>0.74</v>
      </c>
      <c r="M403" s="8"/>
    </row>
    <row r="404" spans="4:13" x14ac:dyDescent="0.25">
      <c r="D404" s="10" t="str" cm="1">
        <f t="array" ref="D404">Common_InputFunctions.Utility_DisplayArrayInTable(SourceData_PastureBeef.SourceData_PastureBeef_MethaneConversionFactorPerRegion_Data(), Table_SourceData_PastureBeef_MethaneConversionFactor[[#Headers],[State]], 0)</f>
        <v>TAS</v>
      </c>
      <c r="E404" s="10" t="str" cm="1">
        <f t="array" ref="E404">Common_InputFunctions.Utility_DisplayArrayInTable(SourceData_PastureBeef.SourceData_PastureBeef_MethaneConversionFactorPerRegion_Data(), Table_SourceData_PastureBeef_MethaneConversionFactor[[#Headers],[State]], 0)</f>
        <v>n/a</v>
      </c>
      <c r="F404" s="10" cm="1">
        <f t="array" ref="F404">Common_InputFunctions.Utility_DisplayArrayInTable(SourceData_PastureBeef.SourceData_PastureBeef_MethaneConversionFactorPerRegion_Data(), Table_SourceData_PastureBeef_MethaneConversionFactor[[#Headers],[State]], 0)</f>
        <v>4.7000000000000002E-3</v>
      </c>
      <c r="G404" s="10" cm="1">
        <f t="array" ref="G404">Common_InputFunctions.Utility_DisplayArrayInTable(SourceData_PastureBeef.SourceData_PastureBeef_MethaneConversionFactorPerRegion_Data(), Table_SourceData_PastureBeef_MethaneConversionFactor[[#Headers],[State]], 0)</f>
        <v>0.7</v>
      </c>
      <c r="M404" s="8"/>
    </row>
    <row r="405" spans="4:13" x14ac:dyDescent="0.25">
      <c r="D405" s="10" t="str" cm="1">
        <f t="array" ref="D405">Common_InputFunctions.Utility_DisplayArrayInTable(SourceData_PastureBeef.SourceData_PastureBeef_MethaneConversionFactorPerRegion_Data(), Table_SourceData_PastureBeef_MethaneConversionFactor[[#Headers],[State]], 0)</f>
        <v>VIC</v>
      </c>
      <c r="E405" s="10" t="str" cm="1">
        <f t="array" ref="E405">Common_InputFunctions.Utility_DisplayArrayInTable(SourceData_PastureBeef.SourceData_PastureBeef_MethaneConversionFactorPerRegion_Data(), Table_SourceData_PastureBeef_MethaneConversionFactor[[#Headers],[State]], 0)</f>
        <v>n/a</v>
      </c>
      <c r="F405" s="10" cm="1">
        <f t="array" ref="F405">Common_InputFunctions.Utility_DisplayArrayInTable(SourceData_PastureBeef.SourceData_PastureBeef_MethaneConversionFactorPerRegion_Data(), Table_SourceData_PastureBeef_MethaneConversionFactor[[#Headers],[State]], 0)</f>
        <v>4.7000000000000002E-3</v>
      </c>
      <c r="G405" s="10" cm="1">
        <f t="array" ref="G405">Common_InputFunctions.Utility_DisplayArrayInTable(SourceData_PastureBeef.SourceData_PastureBeef_MethaneConversionFactorPerRegion_Data(), Table_SourceData_PastureBeef_MethaneConversionFactor[[#Headers],[State]], 0)</f>
        <v>0.74</v>
      </c>
      <c r="M405" s="8"/>
    </row>
    <row r="406" spans="4:13" x14ac:dyDescent="0.25">
      <c r="D406" s="10" t="str" cm="1">
        <f t="array" ref="D406">Common_InputFunctions.Utility_DisplayArrayInTable(SourceData_PastureBeef.SourceData_PastureBeef_MethaneConversionFactorPerRegion_Data(), Table_SourceData_PastureBeef_MethaneConversionFactor[[#Headers],[State]], 0)</f>
        <v>WA</v>
      </c>
      <c r="E406" s="10" t="str" cm="1">
        <f t="array" ref="E406">Common_InputFunctions.Utility_DisplayArrayInTable(SourceData_PastureBeef.SourceData_PastureBeef_MethaneConversionFactorPerRegion_Data(), Table_SourceData_PastureBeef_MethaneConversionFactor[[#Headers],[State]], 0)</f>
        <v>South West</v>
      </c>
      <c r="F406" s="10" cm="1">
        <f t="array" ref="F406">Common_InputFunctions.Utility_DisplayArrayInTable(SourceData_PastureBeef.SourceData_PastureBeef_MethaneConversionFactorPerRegion_Data(), Table_SourceData_PastureBeef_MethaneConversionFactor[[#Headers],[State]], 0)</f>
        <v>4.7000000000000002E-3</v>
      </c>
      <c r="G406" s="10" cm="1">
        <f t="array" ref="G406">Common_InputFunctions.Utility_DisplayArrayInTable(SourceData_PastureBeef.SourceData_PastureBeef_MethaneConversionFactorPerRegion_Data(), Table_SourceData_PastureBeef_MethaneConversionFactor[[#Headers],[State]], 0)</f>
        <v>0.76</v>
      </c>
      <c r="M406" s="8"/>
    </row>
    <row r="407" spans="4:13" x14ac:dyDescent="0.25">
      <c r="D407" s="10" t="str" cm="1">
        <f t="array" ref="D407">Common_InputFunctions.Utility_DisplayArrayInTable(SourceData_PastureBeef.SourceData_PastureBeef_MethaneConversionFactorPerRegion_Data(), Table_SourceData_PastureBeef_MethaneConversionFactor[[#Headers],[State]], 0)</f>
        <v>WA</v>
      </c>
      <c r="E407" s="10" t="str" cm="1">
        <f t="array" ref="E407">Common_InputFunctions.Utility_DisplayArrayInTable(SourceData_PastureBeef.SourceData_PastureBeef_MethaneConversionFactorPerRegion_Data(), Table_SourceData_PastureBeef_MethaneConversionFactor[[#Headers],[State]], 0)</f>
        <v>Pilbara</v>
      </c>
      <c r="F407" s="10" cm="1">
        <f t="array" ref="F407">Common_InputFunctions.Utility_DisplayArrayInTable(SourceData_PastureBeef.SourceData_PastureBeef_MethaneConversionFactorPerRegion_Data(), Table_SourceData_PastureBeef_MethaneConversionFactor[[#Headers],[State]], 0)</f>
        <v>4.7000000000000002E-3</v>
      </c>
      <c r="G407" s="10" cm="1">
        <f t="array" ref="G407">Common_InputFunctions.Utility_DisplayArrayInTable(SourceData_PastureBeef.SourceData_PastureBeef_MethaneConversionFactorPerRegion_Data(), Table_SourceData_PastureBeef_MethaneConversionFactor[[#Headers],[State]], 0)</f>
        <v>0.76</v>
      </c>
      <c r="M407" s="8"/>
    </row>
    <row r="408" spans="4:13" x14ac:dyDescent="0.25">
      <c r="D408" s="10" t="str" cm="1">
        <f t="array" ref="D408">Common_InputFunctions.Utility_DisplayArrayInTable(SourceData_PastureBeef.SourceData_PastureBeef_MethaneConversionFactorPerRegion_Data(), Table_SourceData_PastureBeef_MethaneConversionFactor[[#Headers],[State]], 0)</f>
        <v>WA</v>
      </c>
      <c r="E408" s="10" t="str" cm="1">
        <f t="array" ref="E408">Common_InputFunctions.Utility_DisplayArrayInTable(SourceData_PastureBeef.SourceData_PastureBeef_MethaneConversionFactorPerRegion_Data(), Table_SourceData_PastureBeef_MethaneConversionFactor[[#Headers],[State]], 0)</f>
        <v>Kimberley</v>
      </c>
      <c r="F408" s="10" cm="1">
        <f t="array" ref="F408">Common_InputFunctions.Utility_DisplayArrayInTable(SourceData_PastureBeef.SourceData_PastureBeef_MethaneConversionFactorPerRegion_Data(), Table_SourceData_PastureBeef_MethaneConversionFactor[[#Headers],[State]], 0)</f>
        <v>4.7000000000000002E-3</v>
      </c>
      <c r="G408" s="10" cm="1">
        <f t="array" ref="G408">Common_InputFunctions.Utility_DisplayArrayInTable(SourceData_PastureBeef.SourceData_PastureBeef_MethaneConversionFactorPerRegion_Data(), Table_SourceData_PastureBeef_MethaneConversionFactor[[#Headers],[State]], 0)</f>
        <v>0.76</v>
      </c>
      <c r="M408" s="8"/>
    </row>
    <row r="409" spans="4:13" x14ac:dyDescent="0.25">
      <c r="D409" s="10" t="str" cm="1">
        <f t="array" ref="D409">Common_InputFunctions.Utility_DisplayArrayInTable(SourceData_PastureBeef.SourceData_PastureBeef_MethaneConversionFactorPerRegion_Data(), Table_SourceData_PastureBeef_MethaneConversionFactor[[#Headers],[State]], 0)</f>
        <v>NT</v>
      </c>
      <c r="E409" s="10" t="str" cm="1">
        <f t="array" ref="E409">Common_InputFunctions.Utility_DisplayArrayInTable(SourceData_PastureBeef.SourceData_PastureBeef_MethaneConversionFactorPerRegion_Data(), Table_SourceData_PastureBeef_MethaneConversionFactor[[#Headers],[State]], 0)</f>
        <v>Alice Springs</v>
      </c>
      <c r="F409" s="10" cm="1">
        <f t="array" ref="F409">Common_InputFunctions.Utility_DisplayArrayInTable(SourceData_PastureBeef.SourceData_PastureBeef_MethaneConversionFactorPerRegion_Data(), Table_SourceData_PastureBeef_MethaneConversionFactor[[#Headers],[State]], 0)</f>
        <v>4.7000000000000002E-3</v>
      </c>
      <c r="G409" s="10" cm="1">
        <f t="array" ref="G409">Common_InputFunctions.Utility_DisplayArrayInTable(SourceData_PastureBeef.SourceData_PastureBeef_MethaneConversionFactorPerRegion_Data(), Table_SourceData_PastureBeef_MethaneConversionFactor[[#Headers],[State]], 0)</f>
        <v>0.8</v>
      </c>
      <c r="M409" s="8"/>
    </row>
    <row r="410" spans="4:13" x14ac:dyDescent="0.25">
      <c r="D410" s="10" t="str" cm="1">
        <f t="array" ref="D410">Common_InputFunctions.Utility_DisplayArrayInTable(SourceData_PastureBeef.SourceData_PastureBeef_MethaneConversionFactorPerRegion_Data(), Table_SourceData_PastureBeef_MethaneConversionFactor[[#Headers],[State]], 0)</f>
        <v>NT</v>
      </c>
      <c r="E410" s="10" t="str" cm="1">
        <f t="array" ref="E410">Common_InputFunctions.Utility_DisplayArrayInTable(SourceData_PastureBeef.SourceData_PastureBeef_MethaneConversionFactorPerRegion_Data(), Table_SourceData_PastureBeef_MethaneConversionFactor[[#Headers],[State]], 0)</f>
        <v>Barkly</v>
      </c>
      <c r="F410" s="10" cm="1">
        <f t="array" ref="F410">Common_InputFunctions.Utility_DisplayArrayInTable(SourceData_PastureBeef.SourceData_PastureBeef_MethaneConversionFactorPerRegion_Data(), Table_SourceData_PastureBeef_MethaneConversionFactor[[#Headers],[State]], 0)</f>
        <v>4.7000000000000002E-3</v>
      </c>
      <c r="G410" s="10" cm="1">
        <f t="array" ref="G410">Common_InputFunctions.Utility_DisplayArrayInTable(SourceData_PastureBeef.SourceData_PastureBeef_MethaneConversionFactorPerRegion_Data(), Table_SourceData_PastureBeef_MethaneConversionFactor[[#Headers],[State]], 0)</f>
        <v>0.8</v>
      </c>
      <c r="M410" s="8"/>
    </row>
    <row r="411" spans="4:13" x14ac:dyDescent="0.25">
      <c r="D411" s="10" t="str" cm="1">
        <f t="array" ref="D411">Common_InputFunctions.Utility_DisplayArrayInTable(SourceData_PastureBeef.SourceData_PastureBeef_MethaneConversionFactorPerRegion_Data(), Table_SourceData_PastureBeef_MethaneConversionFactor[[#Headers],[State]], 0)</f>
        <v>NT</v>
      </c>
      <c r="E411" s="10" t="str" cm="1">
        <f t="array" ref="E411">Common_InputFunctions.Utility_DisplayArrayInTable(SourceData_PastureBeef.SourceData_PastureBeef_MethaneConversionFactorPerRegion_Data(), Table_SourceData_PastureBeef_MethaneConversionFactor[[#Headers],[State]], 0)</f>
        <v>Northern</v>
      </c>
      <c r="F411" s="10" cm="1">
        <f t="array" ref="F411">Common_InputFunctions.Utility_DisplayArrayInTable(SourceData_PastureBeef.SourceData_PastureBeef_MethaneConversionFactorPerRegion_Data(), Table_SourceData_PastureBeef_MethaneConversionFactor[[#Headers],[State]], 0)</f>
        <v>4.7000000000000002E-3</v>
      </c>
      <c r="G411" s="10" cm="1">
        <f t="array" ref="G411">Common_InputFunctions.Utility_DisplayArrayInTable(SourceData_PastureBeef.SourceData_PastureBeef_MethaneConversionFactorPerRegion_Data(), Table_SourceData_PastureBeef_MethaneConversionFactor[[#Headers],[State]], 0)</f>
        <v>0.8</v>
      </c>
      <c r="M411" s="8"/>
    </row>
    <row r="412" spans="4:13" x14ac:dyDescent="0.25">
      <c r="D412" s="10" t="str" cm="1">
        <f t="array" ref="D412">Common_InputFunctions.Utility_DisplayArrayInTable(SourceData_PastureBeef.SourceData_PastureBeef_MethaneConversionFactorPerRegion_Data(), Table_SourceData_PastureBeef_MethaneConversionFactor[[#Headers],[State]], 0)</f>
        <v>QLD</v>
      </c>
      <c r="E412" s="10" t="str" cm="1">
        <f t="array" ref="E412">Common_InputFunctions.Utility_DisplayArrayInTable(SourceData_PastureBeef.SourceData_PastureBeef_MethaneConversionFactorPerRegion_Data(), Table_SourceData_PastureBeef_MethaneConversionFactor[[#Headers],[State]], 0)</f>
        <v>High</v>
      </c>
      <c r="F412" s="10" cm="1">
        <f t="array" ref="F412">Common_InputFunctions.Utility_DisplayArrayInTable(SourceData_PastureBeef.SourceData_PastureBeef_MethaneConversionFactorPerRegion_Data(), Table_SourceData_PastureBeef_MethaneConversionFactor[[#Headers],[State]], 0)</f>
        <v>4.7000000000000002E-3</v>
      </c>
      <c r="G412" s="10" cm="1">
        <f t="array" ref="G412">Common_InputFunctions.Utility_DisplayArrayInTable(SourceData_PastureBeef.SourceData_PastureBeef_MethaneConversionFactorPerRegion_Data(), Table_SourceData_PastureBeef_MethaneConversionFactor[[#Headers],[State]], 0)</f>
        <v>0.78</v>
      </c>
      <c r="M412" s="8"/>
    </row>
    <row r="413" spans="4:13" x14ac:dyDescent="0.25">
      <c r="D413" s="10" t="str" cm="1">
        <f t="array" ref="D413">Common_InputFunctions.Utility_DisplayArrayInTable(SourceData_PastureBeef.SourceData_PastureBeef_MethaneConversionFactorPerRegion_Data(), Table_SourceData_PastureBeef_MethaneConversionFactor[[#Headers],[State]], 0)</f>
        <v>QLD</v>
      </c>
      <c r="E413" s="10" t="str" cm="1">
        <f t="array" ref="E413">Common_InputFunctions.Utility_DisplayArrayInTable(SourceData_PastureBeef.SourceData_PastureBeef_MethaneConversionFactorPerRegion_Data(), Table_SourceData_PastureBeef_MethaneConversionFactor[[#Headers],[State]], 0)</f>
        <v>Moderate/High</v>
      </c>
      <c r="F413" s="10" cm="1">
        <f t="array" ref="F413">Common_InputFunctions.Utility_DisplayArrayInTable(SourceData_PastureBeef.SourceData_PastureBeef_MethaneConversionFactorPerRegion_Data(), Table_SourceData_PastureBeef_MethaneConversionFactor[[#Headers],[State]], 0)</f>
        <v>4.7000000000000002E-3</v>
      </c>
      <c r="G413" s="10" cm="1">
        <f t="array" ref="G413">Common_InputFunctions.Utility_DisplayArrayInTable(SourceData_PastureBeef.SourceData_PastureBeef_MethaneConversionFactorPerRegion_Data(), Table_SourceData_PastureBeef_MethaneConversionFactor[[#Headers],[State]], 0)</f>
        <v>0.78</v>
      </c>
      <c r="M413" s="8"/>
    </row>
    <row r="414" spans="4:13" x14ac:dyDescent="0.25">
      <c r="D414" s="10" t="str" cm="1">
        <f t="array" ref="D414">Common_InputFunctions.Utility_DisplayArrayInTable(SourceData_PastureBeef.SourceData_PastureBeef_MethaneConversionFactorPerRegion_Data(), Table_SourceData_PastureBeef_MethaneConversionFactor[[#Headers],[State]], 0)</f>
        <v>QLD</v>
      </c>
      <c r="E414" s="10" t="str" cm="1">
        <f t="array" ref="E414">Common_InputFunctions.Utility_DisplayArrayInTable(SourceData_PastureBeef.SourceData_PastureBeef_MethaneConversionFactorPerRegion_Data(), Table_SourceData_PastureBeef_MethaneConversionFactor[[#Headers],[State]], 0)</f>
        <v>Moderate/Low</v>
      </c>
      <c r="F414" s="10" cm="1">
        <f t="array" ref="F414">Common_InputFunctions.Utility_DisplayArrayInTable(SourceData_PastureBeef.SourceData_PastureBeef_MethaneConversionFactorPerRegion_Data(), Table_SourceData_PastureBeef_MethaneConversionFactor[[#Headers],[State]], 0)</f>
        <v>4.7000000000000002E-3</v>
      </c>
      <c r="G414" s="10" cm="1">
        <f t="array" ref="G414">Common_InputFunctions.Utility_DisplayArrayInTable(SourceData_PastureBeef.SourceData_PastureBeef_MethaneConversionFactorPerRegion_Data(), Table_SourceData_PastureBeef_MethaneConversionFactor[[#Headers],[State]], 0)</f>
        <v>0.78</v>
      </c>
      <c r="M414" s="8"/>
    </row>
    <row r="415" spans="4:13" x14ac:dyDescent="0.25">
      <c r="D415" s="10" t="str" cm="1">
        <f t="array" ref="D415">Common_InputFunctions.Utility_DisplayArrayInTable(SourceData_PastureBeef.SourceData_PastureBeef_MethaneConversionFactorPerRegion_Data(), Table_SourceData_PastureBeef_MethaneConversionFactor[[#Headers],[State]], 0)</f>
        <v>QLD</v>
      </c>
      <c r="E415" s="10" t="str" cm="1">
        <f t="array" ref="E415">Common_InputFunctions.Utility_DisplayArrayInTable(SourceData_PastureBeef.SourceData_PastureBeef_MethaneConversionFactorPerRegion_Data(), Table_SourceData_PastureBeef_MethaneConversionFactor[[#Headers],[State]], 0)</f>
        <v>Low</v>
      </c>
      <c r="F415" s="10" cm="1">
        <f t="array" ref="F415">Common_InputFunctions.Utility_DisplayArrayInTable(SourceData_PastureBeef.SourceData_PastureBeef_MethaneConversionFactorPerRegion_Data(), Table_SourceData_PastureBeef_MethaneConversionFactor[[#Headers],[State]], 0)</f>
        <v>4.7000000000000002E-3</v>
      </c>
      <c r="G415" s="10" cm="1">
        <f t="array" ref="G415">Common_InputFunctions.Utility_DisplayArrayInTable(SourceData_PastureBeef.SourceData_PastureBeef_MethaneConversionFactorPerRegion_Data(), Table_SourceData_PastureBeef_MethaneConversionFactor[[#Headers],[State]], 0)</f>
        <v>0.78</v>
      </c>
      <c r="M415" s="8"/>
    </row>
    <row r="416" spans="4:13" x14ac:dyDescent="0.25">
      <c r="M416" s="8"/>
    </row>
    <row r="417" spans="4:13" x14ac:dyDescent="0.25">
      <c r="M417" s="8"/>
    </row>
    <row r="418" spans="4:13" ht="23.25" x14ac:dyDescent="0.25">
      <c r="D418" s="9" t="str" cm="1">
        <f t="array" ref="D418">SourceData_PastureBeef.SourceData_PastureBeef_AshContentOfFeedIntake_Title()</f>
        <v>Ash content of feed intake</v>
      </c>
      <c r="M418" s="8"/>
    </row>
    <row r="419" spans="4:13" x14ac:dyDescent="0.25">
      <c r="D419" s="11" t="str" cm="1">
        <f t="array" ref="D419">SourceData_PastureBeef.SourceData_PastureBeef_AshContentOfFeedIntake_Source()</f>
        <v>VEERG 2026: 4.2.2.3 CONSTANTS</v>
      </c>
      <c r="M419" s="8"/>
    </row>
    <row r="420" spans="4:13" x14ac:dyDescent="0.25">
      <c r="D420" s="8" t="str" cm="1">
        <f t="array" ref="D420">SourceData_PastureBeef.SourceData_PastureBeef_AshContentOfFeedIntake_Variable()</f>
        <v>A</v>
      </c>
      <c r="M420" s="8"/>
    </row>
    <row r="421" spans="4:13" x14ac:dyDescent="0.25">
      <c r="D421" s="13" t="str" cm="1">
        <f t="array" ref="D421">SourceData_PastureBeef.SourceData_PastureBeef_AshContentOfFeedIntake_Unit()</f>
        <v>fraction</v>
      </c>
      <c r="M421" s="8"/>
    </row>
    <row r="422" spans="4:13" x14ac:dyDescent="0.25">
      <c r="D422" s="24" cm="1">
        <f t="array" ref="D422">SourceData_PastureBeef.SourceData_PastureBeef_AshContentOfFeedIntake_Data()</f>
        <v>0.08</v>
      </c>
      <c r="M422" s="8"/>
    </row>
    <row r="423" spans="4:13" x14ac:dyDescent="0.25">
      <c r="M423" s="8"/>
    </row>
    <row r="424" spans="4:13" ht="23.25" x14ac:dyDescent="0.25">
      <c r="D424" s="9" t="str" cm="1">
        <f t="array" ref="D424">SourceData_PastureBeef.SourceData_PastureBeef_MethaneEmissionsPotential_Title()</f>
        <v>Methane emissions potential</v>
      </c>
      <c r="M424" s="8"/>
    </row>
    <row r="425" spans="4:13" x14ac:dyDescent="0.25">
      <c r="D425" s="11" t="str" cm="1">
        <f t="array" ref="D425">SourceData_PastureBeef.SourceData_PastureBeef_MethaneEmissionsPotential_Source()</f>
        <v>VEERG 2026: 4.2.2.3 CONSTANTS</v>
      </c>
      <c r="M425" s="8"/>
    </row>
    <row r="426" spans="4:13" x14ac:dyDescent="0.25">
      <c r="D426" s="8" t="str" cm="1">
        <f t="array" ref="D426">SourceData_PastureBeef.SourceData_PastureBeef_MethaneEmissionsPotential_Variable()</f>
        <v>B0</v>
      </c>
      <c r="M426" s="8"/>
    </row>
    <row r="427" spans="4:13" x14ac:dyDescent="0.25">
      <c r="D427" s="13" t="str" cm="1">
        <f t="array" ref="D427">SourceData_PastureBeef.SourceData_PastureBeef_MethaneEmissionsPotential_Unit()</f>
        <v>m3 CH4 / kg VS</v>
      </c>
      <c r="M427" s="8"/>
    </row>
    <row r="428" spans="4:13" x14ac:dyDescent="0.25">
      <c r="D428" s="24" cm="1">
        <f t="array" ref="D428">SourceData_PastureBeef.SourceData_PastureBeef_MethaneEmissionsPotential_Data()</f>
        <v>0.19</v>
      </c>
      <c r="M428" s="8"/>
    </row>
    <row r="429" spans="4:13" x14ac:dyDescent="0.25">
      <c r="M429" s="8"/>
    </row>
    <row r="430" spans="4:13" ht="23.25" x14ac:dyDescent="0.25">
      <c r="D430" s="9" t="str" cm="1">
        <f t="array" ref="D430">SourceData_PastureBeef.SourceData_PastureBeef_FracGASMSoil_Title()</f>
        <v>Fraction of nitrogen volatilised from urine and faeces deposited on pasture</v>
      </c>
      <c r="M430" s="8"/>
    </row>
    <row r="431" spans="4:13" x14ac:dyDescent="0.25">
      <c r="D431" s="11" t="str" cm="1">
        <f t="array" ref="D431">SourceData_PastureBeef.SourceData_PastureBeef_FracGASMSoil_Source()</f>
        <v>VEERG 2026: 4.2.2.3 CONSTANTS</v>
      </c>
      <c r="M431" s="8"/>
    </row>
    <row r="432" spans="4:13" x14ac:dyDescent="0.25">
      <c r="D432" s="8" t="str" cm="1">
        <f t="array" ref="D432">SourceData_PastureBeef.SourceData_PastureBeef_FracGASMSoil_Variable()</f>
        <v>FracGASMSoil</v>
      </c>
      <c r="M432" s="8"/>
    </row>
    <row r="433" spans="4:13" x14ac:dyDescent="0.25">
      <c r="D433" s="13" t="str" cm="1">
        <f t="array" ref="D433">SourceData_PastureBeef.SourceData_PastureBeef_FracGASMSoil_Unit()</f>
        <v>fraction</v>
      </c>
      <c r="M433" s="8"/>
    </row>
    <row r="434" spans="4:13" x14ac:dyDescent="0.25">
      <c r="D434" s="24" cm="1">
        <f t="array" ref="D434">SourceData_PastureBeef.SourceData_PastureBeef_FracGASMSoil_Data()</f>
        <v>0.21</v>
      </c>
      <c r="M434" s="8"/>
    </row>
    <row r="435" spans="4:13" x14ac:dyDescent="0.25">
      <c r="M435" s="8"/>
    </row>
    <row r="436" spans="4:13" ht="23.25" x14ac:dyDescent="0.25">
      <c r="D436" s="9" t="str" cm="1">
        <f t="array" ref="D436">SourceData_PastureBeef.SourceData_PastureBeef_FracLEACH_Title()</f>
        <v>Default fraction of N that is lost through leaching and runoff</v>
      </c>
      <c r="M436" s="8"/>
    </row>
    <row r="437" spans="4:13" x14ac:dyDescent="0.25">
      <c r="D437" s="11" t="str" cm="1">
        <f t="array" ref="D437">SourceData_PastureBeef.SourceData_PastureBeef_FracLEACH_Source()</f>
        <v>VEERG 2026: 4.2.2.3 CONSTANTS</v>
      </c>
      <c r="M437" s="8"/>
    </row>
    <row r="438" spans="4:13" x14ac:dyDescent="0.25">
      <c r="D438" s="8" t="str" cm="1">
        <f t="array" ref="D438">SourceData_PastureBeef.SourceData_PastureBeef_FracLEACH_Variable()</f>
        <v>FracLEACH</v>
      </c>
      <c r="M438" s="8"/>
    </row>
    <row r="439" spans="4:13" x14ac:dyDescent="0.25">
      <c r="D439" s="13" t="str" cm="1">
        <f t="array" ref="D439">SourceData_PastureBeef.SourceData_PastureBeef_FracLEACH_Unit()</f>
        <v>fraction</v>
      </c>
      <c r="M439" s="8"/>
    </row>
    <row r="440" spans="4:13" x14ac:dyDescent="0.25">
      <c r="D440" s="24" cm="1">
        <f t="array" ref="D440">SourceData_PastureBeef.SourceData_PastureBeef_FracLEACH_Data()</f>
        <v>0.24</v>
      </c>
      <c r="M440" s="8"/>
    </row>
    <row r="441" spans="4:13" x14ac:dyDescent="0.25">
      <c r="M441" s="8"/>
    </row>
    <row r="442" spans="4:13" x14ac:dyDescent="0.25">
      <c r="M442" s="8"/>
    </row>
    <row r="443" spans="4:13" x14ac:dyDescent="0.25">
      <c r="M443" s="8"/>
    </row>
    <row r="444" spans="4:13" x14ac:dyDescent="0.25">
      <c r="M444" s="8"/>
    </row>
    <row r="445" spans="4:13" x14ac:dyDescent="0.25">
      <c r="M445" s="8"/>
    </row>
    <row r="446" spans="4:13" x14ac:dyDescent="0.25">
      <c r="M446" s="8"/>
    </row>
    <row r="447" spans="4:13" x14ac:dyDescent="0.25">
      <c r="M447" s="8"/>
    </row>
    <row r="448" spans="4:13" x14ac:dyDescent="0.25">
      <c r="M448" s="8"/>
    </row>
    <row r="449" spans="13:13" x14ac:dyDescent="0.25">
      <c r="M449" s="8"/>
    </row>
    <row r="450" spans="13:13" x14ac:dyDescent="0.25">
      <c r="M450" s="8"/>
    </row>
    <row r="451" spans="13:13" x14ac:dyDescent="0.25">
      <c r="M451" s="8"/>
    </row>
    <row r="452" spans="13:13" x14ac:dyDescent="0.25">
      <c r="M452" s="8"/>
    </row>
    <row r="453" spans="13:13" x14ac:dyDescent="0.25">
      <c r="M453" s="8"/>
    </row>
    <row r="454" spans="13:13" x14ac:dyDescent="0.25">
      <c r="M454" s="8"/>
    </row>
  </sheetData>
  <pageMargins left="0.7" right="0.7" top="0.75" bottom="0.75" header="0.3" footer="0.3"/>
  <tableParts count="24">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5D3B8F-2DA3-47D9-B0F6-5F323AEDC7C5}">
  <dimension ref="A1:AA115"/>
  <sheetViews>
    <sheetView showGridLines="0" workbookViewId="0">
      <selection activeCell="E21" sqref="E21"/>
    </sheetView>
  </sheetViews>
  <sheetFormatPr defaultColWidth="8" defaultRowHeight="15.75" x14ac:dyDescent="0.25"/>
  <cols>
    <col min="1" max="1" width="26.875" style="18" customWidth="1"/>
    <col min="2" max="2" width="4.125" style="4" customWidth="1"/>
    <col min="3" max="3" width="4.125" style="7" customWidth="1"/>
    <col min="4" max="4" width="53.125" style="7" customWidth="1"/>
    <col min="5" max="5" width="44.375" style="7" customWidth="1"/>
    <col min="6" max="11" width="25.125" style="7" customWidth="1"/>
    <col min="12" max="25" width="25.125" style="4" customWidth="1"/>
    <col min="26" max="27" width="8" style="4"/>
    <col min="28" max="16384" width="8" style="7"/>
  </cols>
  <sheetData>
    <row r="1" spans="1:24" s="4" customFormat="1" ht="30" customHeight="1" x14ac:dyDescent="0.35">
      <c r="A1" s="27" t="e" vm="1">
        <v>#VALUE!</v>
      </c>
      <c r="C1" s="97" t="s">
        <v>275</v>
      </c>
    </row>
    <row r="2" spans="1:24" s="4" customFormat="1" ht="20.100000000000001" customHeight="1" x14ac:dyDescent="0.25">
      <c r="A2" s="2"/>
      <c r="C2" s="2"/>
      <c r="D2" s="2"/>
      <c r="E2" s="2"/>
      <c r="F2" s="2"/>
      <c r="G2" s="2"/>
      <c r="H2" s="2"/>
      <c r="I2" s="2"/>
      <c r="J2" s="2"/>
    </row>
    <row r="3" spans="1:24" ht="20.100000000000001" customHeight="1" x14ac:dyDescent="0.25">
      <c r="A3" s="16" t="str">
        <f>HYPERLINK("#'Home'!A1", "Home")</f>
        <v>Home</v>
      </c>
      <c r="C3" s="28"/>
      <c r="D3" s="28"/>
      <c r="E3" s="28"/>
      <c r="F3" s="28"/>
      <c r="G3" s="28"/>
      <c r="H3" s="28"/>
      <c r="I3" s="28"/>
      <c r="J3" s="28"/>
      <c r="K3" s="28"/>
      <c r="M3" s="6"/>
      <c r="N3" s="6"/>
      <c r="O3" s="6"/>
      <c r="P3" s="6"/>
      <c r="Q3" s="6"/>
      <c r="R3" s="6"/>
      <c r="S3" s="6"/>
      <c r="T3" s="6"/>
      <c r="U3" s="6"/>
      <c r="V3" s="6"/>
      <c r="W3" s="6"/>
      <c r="X3" s="6"/>
    </row>
    <row r="4" spans="1:24" ht="20.100000000000001" customHeight="1" x14ac:dyDescent="0.25">
      <c r="A4" s="16" t="str">
        <f>HYPERLINK("#'Overview'!A1", "Overview")</f>
        <v>Overview</v>
      </c>
      <c r="C4" s="98"/>
      <c r="D4" s="98"/>
      <c r="E4" s="98"/>
      <c r="F4" s="98"/>
      <c r="G4" s="98"/>
      <c r="H4" s="98"/>
      <c r="I4" s="98"/>
      <c r="J4" s="98"/>
      <c r="K4" s="98"/>
    </row>
    <row r="5" spans="1:24" ht="20.100000000000001" customHeight="1" x14ac:dyDescent="0.25">
      <c r="A5" s="16" t="str">
        <f>HYPERLINK("#'Results'!A1", "Results")</f>
        <v>Results</v>
      </c>
      <c r="D5" s="9" t="s">
        <v>276</v>
      </c>
      <c r="N5" s="99"/>
    </row>
    <row r="6" spans="1:24" ht="20.100000000000001" customHeight="1" x14ac:dyDescent="0.25">
      <c r="D6" s="100"/>
      <c r="N6" s="101"/>
    </row>
    <row r="7" spans="1:24" ht="20.100000000000001" customHeight="1" x14ac:dyDescent="0.25">
      <c r="A7" s="19" t="s">
        <v>67</v>
      </c>
      <c r="D7" s="8" t="s">
        <v>277</v>
      </c>
      <c r="E7" s="75" t="s">
        <v>278</v>
      </c>
      <c r="F7" s="57"/>
    </row>
    <row r="8" spans="1:24" ht="20.100000000000001" customHeight="1" x14ac:dyDescent="0.25">
      <c r="A8" s="16" t="str">
        <f>HYPERLINK("#'Input - Electricity'!A1", "Electricity")</f>
        <v>Electricity</v>
      </c>
      <c r="D8" s="102" t="s">
        <v>279</v>
      </c>
      <c r="E8" s="75" t="s">
        <v>280</v>
      </c>
    </row>
    <row r="9" spans="1:24" ht="20.100000000000001" customHeight="1" x14ac:dyDescent="0.25">
      <c r="A9" s="16"/>
      <c r="N9" s="103"/>
    </row>
    <row r="10" spans="1:24" ht="20.100000000000001" customHeight="1" x14ac:dyDescent="0.25">
      <c r="A10" s="20" t="s">
        <v>77</v>
      </c>
      <c r="D10" s="89" t="s">
        <v>281</v>
      </c>
      <c r="E10" s="104"/>
      <c r="F10" s="105"/>
      <c r="G10" s="90"/>
      <c r="N10" s="103"/>
    </row>
    <row r="11" spans="1:24" ht="20.100000000000001" customHeight="1" x14ac:dyDescent="0.25">
      <c r="A11" s="16" t="str">
        <f>HYPERLINK("#'14.1.1-2 Purchased electricity'!A1", "14.1.1-2 Purchased electricity")</f>
        <v>14.1.1-2 Purchased electricity</v>
      </c>
      <c r="N11" s="106"/>
    </row>
    <row r="12" spans="1:24" ht="20.100000000000001" customHeight="1" x14ac:dyDescent="0.25">
      <c r="A12" s="16"/>
      <c r="D12" s="102" t="s">
        <v>282</v>
      </c>
      <c r="E12" s="107">
        <v>45292</v>
      </c>
      <c r="F12" s="57" t="s">
        <v>283</v>
      </c>
    </row>
    <row r="13" spans="1:24" ht="20.100000000000001" customHeight="1" x14ac:dyDescent="0.25">
      <c r="A13" s="21" t="s">
        <v>78</v>
      </c>
      <c r="D13" s="102" t="s">
        <v>284</v>
      </c>
      <c r="E13" s="108">
        <f>DATE(YEAR(E12)+1,MONTH(E12),DAY(E12))-1</f>
        <v>45657</v>
      </c>
      <c r="F13" s="57" t="s">
        <v>285</v>
      </c>
      <c r="N13" s="109"/>
      <c r="O13" s="109"/>
    </row>
    <row r="14" spans="1:24" ht="20.100000000000001" customHeight="1" x14ac:dyDescent="0.25">
      <c r="A14" s="16" t="str">
        <f>HYPERLINK("#'Constants - Electricity'!A1", "Constants - Electricity")</f>
        <v>Constants - Electricity</v>
      </c>
      <c r="N14" s="109"/>
      <c r="O14" s="109"/>
    </row>
    <row r="15" spans="1:24" ht="20.100000000000001" customHeight="1" x14ac:dyDescent="0.25">
      <c r="A15" s="16" t="str">
        <f>HYPERLINK("#'Constants - Common'!A1", "Constants - Common")</f>
        <v>Constants - Common</v>
      </c>
      <c r="N15" s="109"/>
      <c r="O15" s="109"/>
    </row>
    <row r="16" spans="1:24" ht="20.100000000000001" customHeight="1" x14ac:dyDescent="0.25">
      <c r="A16" s="3"/>
      <c r="D16" s="9" t="s">
        <v>286</v>
      </c>
      <c r="N16" s="109"/>
      <c r="O16" s="109"/>
    </row>
    <row r="17" spans="1:25" ht="20.100000000000001" customHeight="1" x14ac:dyDescent="0.25">
      <c r="A17" s="3"/>
    </row>
    <row r="18" spans="1:25" ht="20.100000000000001" customHeight="1" x14ac:dyDescent="0.25">
      <c r="A18" s="3"/>
      <c r="D18" s="110" t="s">
        <v>287</v>
      </c>
      <c r="E18" s="30"/>
      <c r="F18" s="30"/>
      <c r="G18" s="31"/>
    </row>
    <row r="19" spans="1:25" ht="20.100000000000001" customHeight="1" x14ac:dyDescent="0.25">
      <c r="A19" s="3"/>
      <c r="D19" s="33" t="s">
        <v>288</v>
      </c>
      <c r="E19" s="34"/>
      <c r="F19" s="34"/>
      <c r="G19" s="35"/>
      <c r="N19" s="99"/>
    </row>
    <row r="20" spans="1:25" ht="20.100000000000001" customHeight="1" x14ac:dyDescent="0.25">
      <c r="A20" s="3"/>
      <c r="D20" s="8"/>
      <c r="E20" s="111"/>
      <c r="F20" s="57"/>
      <c r="N20" s="101"/>
    </row>
    <row r="21" spans="1:25" ht="20.100000000000001" customHeight="1" x14ac:dyDescent="0.25">
      <c r="A21" s="3"/>
      <c r="D21" s="8" t="s">
        <v>289</v>
      </c>
      <c r="E21" s="37" t="s">
        <v>338</v>
      </c>
      <c r="F21" s="57" t="s">
        <v>196</v>
      </c>
    </row>
    <row r="22" spans="1:25" ht="20.100000000000001" customHeight="1" x14ac:dyDescent="0.25">
      <c r="A22" s="3"/>
      <c r="D22" s="8" t="s">
        <v>290</v>
      </c>
      <c r="E22" s="37" t="s">
        <v>291</v>
      </c>
      <c r="F22" s="57" t="s">
        <v>196</v>
      </c>
      <c r="G22" s="8"/>
    </row>
    <row r="23" spans="1:25" ht="20.100000000000001" customHeight="1" x14ac:dyDescent="0.25">
      <c r="A23" s="3"/>
    </row>
    <row r="24" spans="1:25" ht="20.100000000000001" customHeight="1" x14ac:dyDescent="0.25">
      <c r="A24" s="3"/>
    </row>
    <row r="25" spans="1:25" ht="20.100000000000001" customHeight="1" x14ac:dyDescent="0.25">
      <c r="A25" s="3"/>
      <c r="N25" s="101"/>
    </row>
    <row r="26" spans="1:25" ht="20.100000000000001" customHeight="1" x14ac:dyDescent="0.25">
      <c r="A26" s="3"/>
    </row>
    <row r="27" spans="1:25" ht="20.100000000000001" customHeight="1" x14ac:dyDescent="0.25">
      <c r="A27" s="3"/>
    </row>
    <row r="28" spans="1:25" ht="20.100000000000001" customHeight="1" x14ac:dyDescent="0.25">
      <c r="A28" s="3"/>
    </row>
    <row r="29" spans="1:25" ht="20.100000000000001" customHeight="1" x14ac:dyDescent="0.25">
      <c r="A29" s="3"/>
    </row>
    <row r="30" spans="1:25" ht="20.100000000000001" customHeight="1" x14ac:dyDescent="0.25">
      <c r="A30" s="3"/>
      <c r="G30" s="112"/>
      <c r="L30" s="113"/>
      <c r="M30" s="113"/>
      <c r="N30" s="113"/>
      <c r="O30" s="113"/>
      <c r="P30" s="113"/>
      <c r="Q30" s="113"/>
      <c r="R30" s="113"/>
      <c r="S30" s="113"/>
      <c r="T30" s="113"/>
      <c r="U30" s="113"/>
      <c r="V30" s="113"/>
      <c r="W30" s="113"/>
      <c r="X30" s="113"/>
      <c r="Y30" s="113"/>
    </row>
    <row r="31" spans="1:25" ht="20.100000000000001" customHeight="1" x14ac:dyDescent="0.25">
      <c r="A31" s="3"/>
      <c r="G31" s="111"/>
      <c r="L31" s="114"/>
      <c r="M31" s="114"/>
      <c r="N31" s="114"/>
      <c r="O31" s="114"/>
      <c r="P31" s="114"/>
      <c r="Q31" s="114"/>
      <c r="R31" s="114"/>
      <c r="S31" s="114"/>
      <c r="T31" s="114"/>
      <c r="U31" s="114"/>
      <c r="V31" s="114"/>
      <c r="W31" s="114"/>
      <c r="X31" s="114"/>
      <c r="Y31" s="114"/>
    </row>
    <row r="32" spans="1:25" ht="20.100000000000001" customHeight="1" x14ac:dyDescent="0.25">
      <c r="A32" s="3"/>
      <c r="G32" s="111"/>
      <c r="L32" s="114"/>
      <c r="M32" s="114"/>
      <c r="N32" s="114"/>
      <c r="O32" s="114"/>
      <c r="P32" s="114"/>
      <c r="Q32" s="114"/>
      <c r="R32" s="114"/>
      <c r="S32" s="114"/>
      <c r="T32" s="114"/>
      <c r="U32" s="114"/>
      <c r="V32" s="114"/>
      <c r="W32" s="114"/>
      <c r="X32" s="114"/>
      <c r="Y32" s="114"/>
    </row>
    <row r="33" spans="1:25" ht="20.100000000000001" customHeight="1" x14ac:dyDescent="0.25">
      <c r="A33" s="3"/>
      <c r="G33" s="115"/>
      <c r="L33" s="114"/>
      <c r="M33" s="114"/>
      <c r="N33" s="114"/>
      <c r="O33" s="114"/>
      <c r="P33" s="114"/>
      <c r="Q33" s="114"/>
      <c r="R33" s="114"/>
      <c r="S33" s="114"/>
      <c r="T33" s="114"/>
      <c r="U33" s="114"/>
      <c r="V33" s="114"/>
      <c r="W33" s="114"/>
      <c r="X33" s="114"/>
      <c r="Y33" s="114"/>
    </row>
    <row r="34" spans="1:25" ht="20.100000000000001" customHeight="1" x14ac:dyDescent="0.25">
      <c r="A34" s="3"/>
      <c r="J34" s="116"/>
      <c r="K34" s="117"/>
      <c r="L34" s="114"/>
      <c r="M34" s="114"/>
      <c r="N34" s="114"/>
      <c r="O34" s="114"/>
      <c r="P34" s="114"/>
      <c r="Q34" s="114"/>
      <c r="R34" s="114"/>
      <c r="S34" s="114"/>
      <c r="T34" s="114"/>
      <c r="U34" s="114"/>
      <c r="V34" s="114"/>
      <c r="W34" s="114"/>
      <c r="X34" s="114"/>
      <c r="Y34" s="114"/>
    </row>
    <row r="35" spans="1:25" ht="20.100000000000001" customHeight="1" x14ac:dyDescent="0.25">
      <c r="A35" s="3"/>
      <c r="J35" s="116"/>
      <c r="K35" s="117"/>
      <c r="L35" s="114"/>
      <c r="M35" s="114"/>
      <c r="N35" s="114"/>
      <c r="O35" s="114"/>
      <c r="P35" s="114"/>
      <c r="Q35" s="114"/>
      <c r="R35" s="114"/>
      <c r="S35" s="114"/>
      <c r="T35" s="114"/>
      <c r="U35" s="114"/>
      <c r="V35" s="114"/>
      <c r="W35" s="114"/>
      <c r="X35" s="114"/>
      <c r="Y35" s="114"/>
    </row>
    <row r="36" spans="1:25" ht="20.100000000000001" customHeight="1" x14ac:dyDescent="0.25">
      <c r="A36" s="3"/>
      <c r="D36" s="118"/>
      <c r="E36" s="118"/>
      <c r="F36" s="119"/>
      <c r="G36" s="116"/>
      <c r="H36" s="116"/>
      <c r="I36" s="120"/>
      <c r="J36" s="116"/>
      <c r="K36" s="117"/>
      <c r="L36" s="114"/>
      <c r="M36" s="114"/>
      <c r="N36" s="114"/>
      <c r="O36" s="114"/>
      <c r="P36" s="114"/>
      <c r="Q36" s="114"/>
      <c r="R36" s="114"/>
      <c r="S36" s="114"/>
      <c r="T36" s="114"/>
      <c r="U36" s="114"/>
      <c r="V36" s="114"/>
      <c r="W36" s="114"/>
      <c r="X36" s="114"/>
      <c r="Y36" s="114"/>
    </row>
    <row r="37" spans="1:25" ht="20.100000000000001" customHeight="1" x14ac:dyDescent="0.25">
      <c r="A37" s="3"/>
      <c r="D37" s="118"/>
      <c r="E37" s="118"/>
      <c r="F37" s="119"/>
      <c r="G37" s="116"/>
      <c r="H37" s="116"/>
      <c r="I37" s="120"/>
      <c r="J37" s="116"/>
      <c r="K37" s="117"/>
      <c r="L37" s="114"/>
      <c r="M37" s="114"/>
      <c r="N37" s="114"/>
      <c r="O37" s="114"/>
      <c r="P37" s="114"/>
      <c r="Q37" s="114"/>
      <c r="R37" s="114"/>
      <c r="S37" s="114"/>
      <c r="T37" s="114"/>
      <c r="U37" s="114"/>
      <c r="V37" s="114"/>
      <c r="W37" s="114"/>
      <c r="X37" s="114"/>
      <c r="Y37" s="114"/>
    </row>
    <row r="38" spans="1:25" ht="20.100000000000001" customHeight="1" x14ac:dyDescent="0.25">
      <c r="A38" s="3"/>
      <c r="D38" s="118"/>
      <c r="E38" s="118"/>
      <c r="F38" s="119"/>
      <c r="G38" s="116"/>
      <c r="H38" s="116"/>
      <c r="I38" s="120"/>
      <c r="J38" s="116"/>
      <c r="K38" s="117"/>
      <c r="L38" s="114"/>
      <c r="M38" s="114"/>
      <c r="N38" s="114"/>
      <c r="O38" s="114"/>
      <c r="P38" s="114"/>
      <c r="Q38" s="114"/>
      <c r="R38" s="114"/>
      <c r="S38" s="114"/>
      <c r="T38" s="114"/>
      <c r="U38" s="114"/>
      <c r="V38" s="114"/>
      <c r="W38" s="114"/>
      <c r="X38" s="114"/>
      <c r="Y38" s="114"/>
    </row>
    <row r="39" spans="1:25" ht="20.100000000000001" customHeight="1" x14ac:dyDescent="0.25">
      <c r="A39" s="3"/>
      <c r="D39" s="118"/>
      <c r="E39" s="118"/>
      <c r="F39" s="119"/>
      <c r="G39" s="116"/>
      <c r="H39" s="116"/>
      <c r="I39" s="120"/>
      <c r="J39" s="116"/>
      <c r="K39" s="117"/>
      <c r="L39" s="114"/>
      <c r="M39" s="114"/>
      <c r="N39" s="114"/>
      <c r="O39" s="114"/>
      <c r="P39" s="114"/>
      <c r="Q39" s="114"/>
      <c r="R39" s="114"/>
      <c r="S39" s="114"/>
      <c r="T39" s="114"/>
      <c r="U39" s="114"/>
      <c r="V39" s="114"/>
      <c r="W39" s="114"/>
      <c r="X39" s="114"/>
      <c r="Y39" s="114"/>
    </row>
    <row r="40" spans="1:25" ht="20.100000000000001" customHeight="1" x14ac:dyDescent="0.25">
      <c r="A40" s="3"/>
      <c r="D40" s="121"/>
      <c r="E40" s="121"/>
      <c r="F40" s="121"/>
      <c r="G40" s="122"/>
      <c r="H40" s="123"/>
      <c r="I40" s="123"/>
      <c r="J40" s="123"/>
      <c r="K40" s="123"/>
      <c r="L40" s="124"/>
      <c r="M40" s="124"/>
      <c r="N40" s="124"/>
      <c r="O40" s="124"/>
      <c r="P40" s="124"/>
      <c r="Q40" s="124"/>
      <c r="R40" s="124"/>
      <c r="S40" s="124"/>
      <c r="T40" s="124"/>
      <c r="U40" s="124"/>
      <c r="V40" s="124"/>
      <c r="W40" s="124"/>
      <c r="X40" s="124"/>
      <c r="Y40" s="124"/>
    </row>
    <row r="41" spans="1:25" ht="20.100000000000001" customHeight="1" x14ac:dyDescent="0.25">
      <c r="A41" s="3"/>
    </row>
    <row r="42" spans="1:25" ht="20.100000000000001" customHeight="1" x14ac:dyDescent="0.25">
      <c r="A42" s="3"/>
    </row>
    <row r="43" spans="1:25" ht="20.100000000000001" customHeight="1" x14ac:dyDescent="0.25">
      <c r="A43" s="3"/>
    </row>
    <row r="44" spans="1:25" ht="20.100000000000001" customHeight="1" x14ac:dyDescent="0.25"/>
    <row r="45" spans="1:25" ht="20.100000000000001" customHeight="1" x14ac:dyDescent="0.25">
      <c r="D45" s="9"/>
    </row>
    <row r="46" spans="1:25" ht="20.100000000000001" customHeight="1" x14ac:dyDescent="0.25">
      <c r="D46" s="9"/>
    </row>
    <row r="47" spans="1:25" ht="20.100000000000001" customHeight="1" x14ac:dyDescent="0.25">
      <c r="D47" s="125"/>
      <c r="E47" s="125"/>
      <c r="F47" s="125"/>
      <c r="G47" s="125"/>
      <c r="H47" s="125"/>
    </row>
    <row r="48" spans="1:25" ht="20.100000000000001" customHeight="1" x14ac:dyDescent="0.25">
      <c r="D48" s="126"/>
      <c r="E48" s="126"/>
      <c r="F48" s="127"/>
      <c r="G48" s="127"/>
      <c r="H48" s="126"/>
    </row>
    <row r="49" spans="4:8" ht="20.100000000000001" customHeight="1" x14ac:dyDescent="0.25">
      <c r="D49" s="126"/>
      <c r="E49" s="126"/>
      <c r="F49" s="127"/>
      <c r="G49" s="127"/>
      <c r="H49" s="126"/>
    </row>
    <row r="50" spans="4:8" ht="20.100000000000001" customHeight="1" x14ac:dyDescent="0.25">
      <c r="D50" s="126"/>
      <c r="E50" s="126"/>
      <c r="F50" s="127"/>
      <c r="G50" s="127"/>
      <c r="H50" s="126"/>
    </row>
    <row r="51" spans="4:8" ht="20.100000000000001" customHeight="1" x14ac:dyDescent="0.25">
      <c r="D51" s="128"/>
      <c r="E51" s="129"/>
      <c r="F51" s="129"/>
      <c r="G51" s="129"/>
      <c r="H51" s="130"/>
    </row>
    <row r="52" spans="4:8" ht="20.100000000000001" customHeight="1" x14ac:dyDescent="0.25"/>
    <row r="53" spans="4:8" ht="20.100000000000001" customHeight="1" x14ac:dyDescent="0.25"/>
    <row r="54" spans="4:8" ht="20.100000000000001" customHeight="1" x14ac:dyDescent="0.25">
      <c r="G54" s="131"/>
    </row>
    <row r="55" spans="4:8" ht="20.100000000000001" customHeight="1" x14ac:dyDescent="0.25">
      <c r="D55" s="9"/>
    </row>
    <row r="56" spans="4:8" ht="20.100000000000001" customHeight="1" x14ac:dyDescent="0.25"/>
    <row r="57" spans="4:8" ht="20.100000000000001" customHeight="1" x14ac:dyDescent="0.25">
      <c r="D57" s="132"/>
      <c r="F57" s="133"/>
    </row>
    <row r="58" spans="4:8" ht="20.100000000000001" customHeight="1" x14ac:dyDescent="0.25">
      <c r="D58" s="8"/>
      <c r="E58" s="134"/>
    </row>
    <row r="59" spans="4:8" ht="20.100000000000001" customHeight="1" x14ac:dyDescent="0.25">
      <c r="D59" s="8"/>
      <c r="E59" s="134"/>
    </row>
    <row r="60" spans="4:8" ht="20.100000000000001" customHeight="1" x14ac:dyDescent="0.25">
      <c r="D60" s="8"/>
      <c r="E60" s="135"/>
    </row>
    <row r="61" spans="4:8" ht="20.100000000000001" customHeight="1" x14ac:dyDescent="0.25">
      <c r="D61" s="8"/>
    </row>
    <row r="62" spans="4:8" ht="20.100000000000001" customHeight="1" x14ac:dyDescent="0.25"/>
    <row r="63" spans="4:8" ht="20.100000000000001" customHeight="1" x14ac:dyDescent="0.25">
      <c r="D63" s="132"/>
    </row>
    <row r="64" spans="4:8" ht="20.100000000000001" customHeight="1" x14ac:dyDescent="0.25">
      <c r="D64" s="8"/>
      <c r="E64" s="134"/>
    </row>
    <row r="65" spans="4:9" ht="20.100000000000001" customHeight="1" x14ac:dyDescent="0.25">
      <c r="D65" s="8"/>
      <c r="E65" s="134"/>
    </row>
    <row r="66" spans="4:9" ht="20.100000000000001" customHeight="1" x14ac:dyDescent="0.25">
      <c r="D66" s="8"/>
      <c r="E66" s="135"/>
    </row>
    <row r="67" spans="4:9" ht="20.100000000000001" customHeight="1" x14ac:dyDescent="0.25"/>
    <row r="68" spans="4:9" ht="20.100000000000001" customHeight="1" x14ac:dyDescent="0.25"/>
    <row r="69" spans="4:9" ht="20.100000000000001" customHeight="1" x14ac:dyDescent="0.25">
      <c r="D69" s="136"/>
      <c r="E69" s="136"/>
      <c r="F69" s="136"/>
      <c r="G69" s="136"/>
      <c r="H69" s="136"/>
      <c r="I69" s="136"/>
    </row>
    <row r="70" spans="4:9" ht="20.100000000000001" customHeight="1" x14ac:dyDescent="0.25">
      <c r="D70" s="136"/>
      <c r="E70" s="136"/>
      <c r="F70" s="136"/>
      <c r="G70" s="136"/>
      <c r="H70" s="136"/>
      <c r="I70" s="136"/>
    </row>
    <row r="71" spans="4:9" ht="20.100000000000001" customHeight="1" x14ac:dyDescent="0.25">
      <c r="D71" s="136"/>
      <c r="E71" s="136"/>
      <c r="F71" s="136"/>
      <c r="G71" s="136"/>
      <c r="H71" s="136"/>
      <c r="I71" s="136"/>
    </row>
    <row r="72" spans="4:9" ht="20.100000000000001" customHeight="1" x14ac:dyDescent="0.25">
      <c r="D72" s="136"/>
      <c r="E72" s="136"/>
      <c r="F72" s="136"/>
      <c r="G72" s="136"/>
      <c r="H72" s="136"/>
      <c r="I72" s="136"/>
    </row>
    <row r="73" spans="4:9" ht="20.100000000000001" customHeight="1" x14ac:dyDescent="0.25"/>
    <row r="74" spans="4:9" ht="20.100000000000001" customHeight="1" x14ac:dyDescent="0.25"/>
    <row r="75" spans="4:9" ht="20.100000000000001" customHeight="1" x14ac:dyDescent="0.25"/>
    <row r="76" spans="4:9" ht="20.100000000000001" customHeight="1" x14ac:dyDescent="0.25"/>
    <row r="77" spans="4:9" ht="20.100000000000001" customHeight="1" x14ac:dyDescent="0.25"/>
    <row r="78" spans="4:9" ht="20.100000000000001" customHeight="1" x14ac:dyDescent="0.25">
      <c r="D78" s="137"/>
    </row>
    <row r="79" spans="4:9" ht="20.100000000000001" customHeight="1" x14ac:dyDescent="0.25">
      <c r="D79" s="137"/>
    </row>
    <row r="80" spans="4:9" ht="20.100000000000001" customHeight="1" x14ac:dyDescent="0.25">
      <c r="D80" s="137"/>
    </row>
    <row r="81" spans="4:4" ht="20.100000000000001" customHeight="1" x14ac:dyDescent="0.25">
      <c r="D81" s="137"/>
    </row>
    <row r="82" spans="4:4" ht="20.100000000000001" customHeight="1" x14ac:dyDescent="0.25">
      <c r="D82" s="137"/>
    </row>
    <row r="83" spans="4:4" ht="20.100000000000001" customHeight="1" x14ac:dyDescent="0.25"/>
    <row r="84" spans="4:4" ht="20.100000000000001" customHeight="1" x14ac:dyDescent="0.25"/>
    <row r="85" spans="4:4" ht="20.100000000000001" customHeight="1" x14ac:dyDescent="0.25"/>
    <row r="86" spans="4:4" ht="20.100000000000001" customHeight="1" x14ac:dyDescent="0.25"/>
    <row r="87" spans="4:4" ht="20.100000000000001" customHeight="1" x14ac:dyDescent="0.25"/>
    <row r="88" spans="4:4" ht="20.100000000000001" customHeight="1" x14ac:dyDescent="0.25"/>
    <row r="89" spans="4:4" ht="20.100000000000001" customHeight="1" x14ac:dyDescent="0.25"/>
    <row r="90" spans="4:4" ht="20.100000000000001" customHeight="1" x14ac:dyDescent="0.25"/>
    <row r="91" spans="4:4" ht="20.100000000000001" customHeight="1" x14ac:dyDescent="0.25"/>
    <row r="92" spans="4:4" ht="20.100000000000001" customHeight="1" x14ac:dyDescent="0.25"/>
    <row r="93" spans="4:4" ht="20.100000000000001" customHeight="1" x14ac:dyDescent="0.25"/>
    <row r="94" spans="4:4" ht="20.100000000000001" customHeight="1" x14ac:dyDescent="0.25"/>
    <row r="95" spans="4:4" ht="20.100000000000001" customHeight="1" x14ac:dyDescent="0.25"/>
    <row r="96" spans="4:4"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sheetData>
  <dataValidations count="3">
    <dataValidation type="list" allowBlank="1" showInputMessage="1" showErrorMessage="1" sqref="E21" xr:uid="{4429A646-7DAC-48DD-B671-2B9E28829890}">
      <formula1>INDIRECT("Table_AustralianStates[Common Name]")</formula1>
    </dataValidation>
    <dataValidation type="list" allowBlank="1" showInputMessage="1" showErrorMessage="1" sqref="E22" xr:uid="{0FE995D8-00CE-4E96-830A-A56FEA815EF4}">
      <formula1>INDIRECT("Table_WASA4Areas[SA 4 Name]")</formula1>
    </dataValidation>
    <dataValidation type="list" allowBlank="1" showInputMessage="1" showErrorMessage="1" sqref="G36:G39" xr:uid="{DC5998B5-0150-447E-8556-7AF4FD81D21D}">
      <formula1>$D$41:$D$43</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319771-8F9B-4B70-9E21-CFDF5B272E0C}">
  <dimension ref="A1:Y361"/>
  <sheetViews>
    <sheetView showGridLines="0" topLeftCell="A19" zoomScale="85" zoomScaleNormal="85" workbookViewId="0">
      <selection activeCell="K21" sqref="K21"/>
    </sheetView>
  </sheetViews>
  <sheetFormatPr defaultRowHeight="15.75" x14ac:dyDescent="0.25"/>
  <cols>
    <col min="1" max="1" width="26.875" style="3" customWidth="1"/>
    <col min="2" max="2" width="4.125" style="3" customWidth="1"/>
    <col min="3" max="3" width="4.125" style="8" customWidth="1"/>
    <col min="4" max="4" width="45.625" style="8" customWidth="1"/>
    <col min="5" max="5" width="26.875" style="8" customWidth="1"/>
    <col min="6" max="24" width="13.75" style="8" customWidth="1"/>
    <col min="25" max="25" width="4.125" style="8" customWidth="1"/>
    <col min="26" max="26" width="4.125" style="3" customWidth="1"/>
    <col min="27" max="16384" width="9" style="3"/>
  </cols>
  <sheetData>
    <row r="1" spans="1:25" s="27" customFormat="1" ht="30" customHeight="1" x14ac:dyDescent="0.35">
      <c r="A1" s="27" t="e" vm="1">
        <v>#VALUE!</v>
      </c>
      <c r="C1" s="27" t="s">
        <v>195</v>
      </c>
    </row>
    <row r="2" spans="1:25" s="2" customFormat="1" ht="20.100000000000001" customHeight="1" x14ac:dyDescent="0.25"/>
    <row r="3" spans="1:25" ht="20.100000000000001" customHeight="1" x14ac:dyDescent="0.25">
      <c r="A3" s="16" t="str">
        <f>HYPERLINK("#'Home'!A1", "Home")</f>
        <v>Home</v>
      </c>
      <c r="C3" s="28"/>
      <c r="D3" s="28"/>
      <c r="E3" s="28"/>
      <c r="F3" s="28"/>
      <c r="G3" s="28"/>
      <c r="H3" s="28"/>
      <c r="I3" s="28"/>
      <c r="J3" s="28"/>
      <c r="K3" s="28"/>
      <c r="L3" s="28"/>
      <c r="M3" s="28"/>
      <c r="N3" s="28"/>
      <c r="O3" s="28"/>
      <c r="P3" s="28"/>
      <c r="Q3" s="28"/>
      <c r="R3" s="28"/>
      <c r="S3" s="28"/>
      <c r="T3" s="28"/>
      <c r="U3" s="28"/>
      <c r="V3" s="28"/>
      <c r="W3" s="28"/>
      <c r="X3" s="28"/>
      <c r="Y3" s="28"/>
    </row>
    <row r="4" spans="1:25" ht="20.100000000000001" customHeight="1" x14ac:dyDescent="0.25">
      <c r="A4" s="16" t="str">
        <f>HYPERLINK("#'Overview'!A1", "Overview")</f>
        <v>Overview</v>
      </c>
    </row>
    <row r="5" spans="1:25" ht="20.100000000000001" customHeight="1" x14ac:dyDescent="0.25">
      <c r="A5" s="16" t="str">
        <f>HYPERLINK("#'Results'!A1", "Results")</f>
        <v>Results</v>
      </c>
    </row>
    <row r="6" spans="1:25" ht="20.100000000000001" customHeight="1" x14ac:dyDescent="0.25">
      <c r="A6" s="18"/>
      <c r="D6" s="8" t="s">
        <v>146</v>
      </c>
      <c r="E6" s="37" t="s">
        <v>151</v>
      </c>
      <c r="F6" s="57" t="s">
        <v>196</v>
      </c>
    </row>
    <row r="7" spans="1:25" ht="20.100000000000001" customHeight="1" x14ac:dyDescent="0.25">
      <c r="A7" s="19" t="s">
        <v>67</v>
      </c>
      <c r="D7" s="8" t="s">
        <v>197</v>
      </c>
      <c r="E7" s="37" t="s">
        <v>152</v>
      </c>
      <c r="F7" s="57" t="s">
        <v>196</v>
      </c>
    </row>
    <row r="8" spans="1:25" ht="20.100000000000001" customHeight="1" x14ac:dyDescent="0.25">
      <c r="A8" s="16" t="str">
        <f>HYPERLINK("#'Input - Site'!A1", "Site")</f>
        <v>Site</v>
      </c>
      <c r="D8" s="8" t="s">
        <v>43</v>
      </c>
      <c r="E8" s="37" t="s">
        <v>153</v>
      </c>
      <c r="F8" s="57" t="s">
        <v>196</v>
      </c>
    </row>
    <row r="9" spans="1:25" ht="20.100000000000001" customHeight="1" x14ac:dyDescent="0.25">
      <c r="A9" s="32" t="str">
        <f>HYPERLINK("#'Input - Fertiliser'!A1", "Fertiliser")</f>
        <v>Fertiliser</v>
      </c>
      <c r="D9" s="8" t="s">
        <v>198</v>
      </c>
      <c r="E9" s="58">
        <v>100</v>
      </c>
      <c r="F9" s="57" t="s">
        <v>199</v>
      </c>
    </row>
    <row r="10" spans="1:25" ht="20.100000000000001" customHeight="1" x14ac:dyDescent="0.25">
      <c r="A10" s="16"/>
    </row>
    <row r="11" spans="1:25" ht="20.100000000000001" customHeight="1" x14ac:dyDescent="0.25">
      <c r="A11" s="20" t="s">
        <v>77</v>
      </c>
      <c r="D11" s="9" t="s">
        <v>200</v>
      </c>
      <c r="E11" s="7"/>
      <c r="F11" s="7"/>
      <c r="G11" s="7"/>
      <c r="H11" s="7"/>
      <c r="I11" s="7"/>
      <c r="J11" s="7"/>
      <c r="K11" s="7"/>
      <c r="L11" s="7"/>
      <c r="M11" s="7"/>
    </row>
    <row r="12" spans="1:25" ht="20.100000000000001" customHeight="1" x14ac:dyDescent="0.25">
      <c r="A12" s="16" t="str">
        <f>HYPERLINK("#'5.1.1.1-2 Inorganic Fert N2O'!A1", "5.1.1.1-2 Inorganic Fert N2O")</f>
        <v>5.1.1.1-2 Inorganic Fert N2O</v>
      </c>
      <c r="D12" s="14"/>
      <c r="E12" s="14"/>
      <c r="F12" s="14"/>
      <c r="G12" s="14"/>
      <c r="H12" s="14"/>
      <c r="I12" s="14"/>
      <c r="J12" s="14"/>
      <c r="K12" s="14"/>
      <c r="L12" s="14"/>
      <c r="M12" s="14"/>
    </row>
    <row r="13" spans="1:25" ht="20.100000000000001" customHeight="1" x14ac:dyDescent="0.25">
      <c r="A13" s="16" t="str">
        <f>HYPERLINK("#'5.1.1.3-4 Inorganic fert CO2'!A1", "5.1.1.3-4 Inorganic fert CO2")</f>
        <v>5.1.1.3-4 Inorganic fert CO2</v>
      </c>
      <c r="D13" s="29" t="s">
        <v>201</v>
      </c>
      <c r="E13" s="30"/>
      <c r="F13" s="30"/>
      <c r="G13" s="30"/>
      <c r="H13" s="31"/>
      <c r="I13" s="59"/>
      <c r="J13" s="60"/>
      <c r="K13" s="61"/>
      <c r="L13" s="61"/>
      <c r="M13" s="61"/>
    </row>
    <row r="14" spans="1:25" ht="20.100000000000001" customHeight="1" x14ac:dyDescent="0.25">
      <c r="A14" s="16" t="str">
        <f>HYPERLINK("#'5.2.1.1-2 Organic Fert N2O'!A1", "5.2.1.1-2 Organic Fert N2O")</f>
        <v>5.2.1.1-2 Organic Fert N2O</v>
      </c>
      <c r="D14" s="33" t="s">
        <v>202</v>
      </c>
      <c r="E14" s="34"/>
      <c r="F14" s="34"/>
      <c r="G14" s="35"/>
      <c r="H14" s="62"/>
      <c r="I14" s="14"/>
      <c r="J14" s="14"/>
      <c r="K14" s="14"/>
      <c r="L14" s="14"/>
      <c r="M14" s="14"/>
    </row>
    <row r="15" spans="1:25" ht="20.100000000000001" customHeight="1" x14ac:dyDescent="0.25">
      <c r="A15" s="16" t="str">
        <f>HYPERLINK("#'5.3.1.1-2 Lime CO2'!A1", "5.3.1.1-2 Lime CO2")</f>
        <v>5.3.1.1-2 Lime CO2</v>
      </c>
      <c r="D15" s="14"/>
      <c r="E15" s="14"/>
      <c r="F15" s="14"/>
      <c r="G15" s="14"/>
      <c r="H15" s="14"/>
      <c r="I15" s="14"/>
      <c r="J15" s="14"/>
      <c r="K15" s="14"/>
      <c r="L15" s="14"/>
      <c r="M15" s="14"/>
    </row>
    <row r="16" spans="1:25" ht="20.100000000000001" customHeight="1" x14ac:dyDescent="0.25">
      <c r="A16" s="16" t="str">
        <f>HYPERLINK("#'5.4.1.1-4 Atmos deposition'!A1", "5.4.1.1-4 Atmos deposition")</f>
        <v>5.4.1.1-4 Atmos deposition</v>
      </c>
      <c r="D16" s="63" t="s">
        <v>203</v>
      </c>
      <c r="E16" s="14"/>
      <c r="F16" s="14"/>
      <c r="G16" s="14"/>
      <c r="H16" s="14"/>
      <c r="I16" s="14"/>
      <c r="J16" s="14"/>
      <c r="K16" s="14"/>
      <c r="L16" s="14"/>
      <c r="M16" s="14"/>
    </row>
    <row r="17" spans="1:24" ht="36" customHeight="1" x14ac:dyDescent="0.25">
      <c r="A17" s="16" t="str">
        <f>HYPERLINK("#'5.5.1.1-2 Leaching and runoff'!A1", "5.5.1.1-2 Leaching and runoff")</f>
        <v>5.5.1.1-2 Leaching and runoff</v>
      </c>
      <c r="D17" s="64" t="s">
        <v>204</v>
      </c>
      <c r="E17" s="56" t="s">
        <v>347</v>
      </c>
      <c r="F17" s="56" t="s">
        <v>340</v>
      </c>
      <c r="G17" s="56" t="s">
        <v>341</v>
      </c>
      <c r="H17" s="56" t="s">
        <v>206</v>
      </c>
      <c r="I17" s="56" t="s">
        <v>207</v>
      </c>
      <c r="J17" s="64" t="s">
        <v>175</v>
      </c>
      <c r="K17" s="64" t="s">
        <v>176</v>
      </c>
      <c r="L17" s="64" t="s">
        <v>177</v>
      </c>
      <c r="M17" s="64" t="s">
        <v>178</v>
      </c>
      <c r="N17" s="64" t="s">
        <v>179</v>
      </c>
      <c r="O17" s="64" t="s">
        <v>180</v>
      </c>
      <c r="P17" s="64" t="s">
        <v>181</v>
      </c>
      <c r="Q17" s="64" t="s">
        <v>182</v>
      </c>
      <c r="R17" s="64" t="s">
        <v>183</v>
      </c>
      <c r="S17" s="64" t="s">
        <v>184</v>
      </c>
      <c r="T17" s="64" t="s">
        <v>185</v>
      </c>
      <c r="U17" s="64" t="s">
        <v>186</v>
      </c>
      <c r="V17" s="64" t="s">
        <v>208</v>
      </c>
      <c r="W17" s="64" t="s">
        <v>173</v>
      </c>
      <c r="X17" s="64" t="s">
        <v>174</v>
      </c>
    </row>
    <row r="18" spans="1:24" ht="36" customHeight="1" x14ac:dyDescent="0.25">
      <c r="D18" s="65" t="s">
        <v>209</v>
      </c>
      <c r="E18" s="66">
        <v>100</v>
      </c>
      <c r="F18" s="39" t="str">
        <f>_xlfn.XLOOKUP(Table_Input_InorganicFertiliser_Brands[[#This Row],[Product (select)]],FertiliserProducts[Product name],FertiliserProducts[Unit])</f>
        <v>L</v>
      </c>
      <c r="G18" s="39">
        <f>_xlfn.XLOOKUP(Table_Input_InorganicFertiliser_Brands[[#This Row],[Product (select)]],FertiliserProducts[Product name],FertiliserProducts[Density / gravity])</f>
        <v>1.2150000000000001</v>
      </c>
      <c r="H18" s="66">
        <f>$E$9</f>
        <v>100</v>
      </c>
      <c r="I18" s="67">
        <f>(Table_Input_InorganicFertiliser_Brands[[#This Row],[Amount applied per hectare]]*Table_Input_InorganicFertiliser_Brands[[#This Row],[Density]])*Table_Input_InorganicFertiliser_Brands[[#This Row],[Application area (ha)]]</f>
        <v>12150.000000000002</v>
      </c>
      <c r="J18" s="67" t="str" cm="1">
        <f t="array" ref="J18">Fertiliser_InputFunctions.Fertiliser_FertiliserProductLookup(Table_Input_InorganicFertiliser_Brands[[#This Row],[Product (select)]], Table_Input_InorganicFertiliser_Brands[[#Headers],[Ingredient 1]], FertiliserProducts[#Data], FertiliserProducts[Product name], FertiliserProducts[#Headers])</f>
        <v>Urea</v>
      </c>
      <c r="K18" s="67" cm="1">
        <f t="array" ref="K18">Fertiliser_InputFunctions.Fertiliser_FertiliserProductLookup(Table_Input_InorganicFertiliser_Brands[[#This Row],[Product (select)]], Table_Input_InorganicFertiliser_Brands[[#Headers],[Ingredient 1 percent]], FertiliserProducts[#Data], FertiliserProducts[Product name], FertiliserProducts[#Headers])</f>
        <v>0.19565217400000001</v>
      </c>
      <c r="L18" s="67" t="str" cm="1">
        <f t="array" ref="L18">Fertiliser_InputFunctions.Fertiliser_FertiliserProductLookup(Table_Input_InorganicFertiliser_Brands[[#This Row],[Product (select)]], Table_Input_InorganicFertiliser_Brands[[#Headers],[Ingredient 2]], FertiliserProducts[#Data], FertiliserProducts[Product name], FertiliserProducts[#Headers])</f>
        <v>Potassium - Generic</v>
      </c>
      <c r="M18" s="67" cm="1">
        <f t="array" ref="M18">Fertiliser_InputFunctions.Fertiliser_FertiliserProductLookup(Table_Input_InorganicFertiliser_Brands[[#This Row],[Product (select)]], Table_Input_InorganicFertiliser_Brands[[#Headers],[Ingredient 2 percent]], FertiliserProducts[#Data], FertiliserProducts[Product name], FertiliserProducts[#Headers])</f>
        <v>0.1</v>
      </c>
      <c r="N18" s="67" t="str" cm="1">
        <f t="array" ref="N18">Fertiliser_InputFunctions.Fertiliser_FertiliserProductLookup(Table_Input_InorganicFertiliser_Brands[[#This Row],[Product (select)]], Table_Input_InorganicFertiliser_Brands[[#Headers],[Ingredient 3]], FertiliserProducts[#Data], FertiliserProducts[Product name], FertiliserProducts[#Headers])</f>
        <v>Nitrogen - Generic</v>
      </c>
      <c r="O18" s="67" cm="1">
        <f t="array" ref="O18">Fertiliser_InputFunctions.Fertiliser_FertiliserProductLookup(Table_Input_InorganicFertiliser_Brands[[#This Row],[Product (select)]], Table_Input_InorganicFertiliser_Brands[[#Headers],[Ingredient 3 percent]], FertiliserProducts[#Data], FertiliserProducts[Product name], FertiliserProducts[#Headers])</f>
        <v>0.03</v>
      </c>
      <c r="P18" s="67" t="str" cm="1">
        <f t="array" ref="P18">Fertiliser_InputFunctions.Fertiliser_FertiliserProductLookup(Table_Input_InorganicFertiliser_Brands[[#This Row],[Product (select)]], Table_Input_InorganicFertiliser_Brands[[#Headers],[Ingredient 4]], FertiliserProducts[#Data], FertiliserProducts[Product name], FertiliserProducts[#Headers])</f>
        <v>Boron</v>
      </c>
      <c r="Q18" s="67" cm="1">
        <f t="array" ref="Q18">Fertiliser_InputFunctions.Fertiliser_FertiliserProductLookup(Table_Input_InorganicFertiliser_Brands[[#This Row],[Product (select)]], Table_Input_InorganicFertiliser_Brands[[#Headers],[Ingredient 4 percent]], FertiliserProducts[#Data], FertiliserProducts[Product name], FertiliserProducts[#Headers])</f>
        <v>5.0000000000000001E-3</v>
      </c>
      <c r="R18" s="67" t="str" cm="1">
        <f t="array" ref="R18">Fertiliser_InputFunctions.Fertiliser_FertiliserProductLookup(Table_Input_InorganicFertiliser_Brands[[#This Row],[Product (select)]], Table_Input_InorganicFertiliser_Brands[[#Headers],[Ingredient 5]], FertiliserProducts[#Data], FertiliserProducts[Product name], FertiliserProducts[#Headers])</f>
        <v/>
      </c>
      <c r="S18" s="67" t="str" cm="1">
        <f t="array" ref="S18">Fertiliser_InputFunctions.Fertiliser_FertiliserProductLookup(Table_Input_InorganicFertiliser_Brands[[#This Row],[Product (select)]], Table_Input_InorganicFertiliser_Brands[[#Headers],[Ingredient 5 percent]], FertiliserProducts[#Data], FertiliserProducts[Product name], FertiliserProducts[#Headers])</f>
        <v/>
      </c>
      <c r="T18" s="67" t="str" cm="1">
        <f t="array" ref="T18">Fertiliser_InputFunctions.Fertiliser_FertiliserProductLookup(Table_Input_InorganicFertiliser_Brands[[#This Row],[Product (select)]], Table_Input_InorganicFertiliser_Brands[[#Headers],[Ingredient 6]], FertiliserProducts[#Data], FertiliserProducts[Product name], FertiliserProducts[#Headers])</f>
        <v/>
      </c>
      <c r="U18" s="67" t="str" cm="1">
        <f t="array" ref="U18">Fertiliser_InputFunctions.Fertiliser_FertiliserProductLookup(Table_Input_InorganicFertiliser_Brands[[#This Row],[Product (select)]], Table_Input_InorganicFertiliser_Brands[[#Headers],[Ingredient 6 percent]], FertiliserProducts[#Data], FertiliserProducts[Product name], FertiliserProducts[#Headers])</f>
        <v/>
      </c>
      <c r="V18" s="67">
        <f>(Table_Input_InorganicFertiliser_Brands[[#This Row],[Amount applied per hectare]]*Table_Input_InorganicFertiliser_Brands[[#This Row],[Density]])*(IFERROR((_xlfn.XLOOKUP(Table_Input_InorganicFertiliser_Brands[[#This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14.580000004860004</v>
      </c>
      <c r="W18" s="67" t="str">
        <f>_xlfn.XLOOKUP(Table_Input_InorganicFertiliser_Brands[[#This Row],[Product (select)]],FertiliserProducts[Product name],FertiliserProducts[Urea source])</f>
        <v/>
      </c>
      <c r="X18" s="67" t="str">
        <f>_xlfn.XLOOKUP(Table_Input_InorganicFertiliser_Brands[[#This Row],[Product (select)]],FertiliserProducts[Product name],FertiliserProducts[Ammonia source])</f>
        <v/>
      </c>
    </row>
    <row r="19" spans="1:24" ht="36" customHeight="1" x14ac:dyDescent="0.25">
      <c r="A19" s="21" t="s">
        <v>78</v>
      </c>
      <c r="D19" s="65" t="s">
        <v>383</v>
      </c>
      <c r="E19" s="66">
        <v>200</v>
      </c>
      <c r="F19" s="39" t="str">
        <f>_xlfn.XLOOKUP(Table_Input_InorganicFertiliser_Brands[[#This Row],[Product (select)]],FertiliserProducts[Product name],FertiliserProducts[Unit])</f>
        <v>kg</v>
      </c>
      <c r="G19" s="39">
        <f>_xlfn.XLOOKUP(Table_Input_InorganicFertiliser_Brands[[#This Row],[Product (select)]],FertiliserProducts[Product name],FertiliserProducts[Density / gravity])</f>
        <v>1</v>
      </c>
      <c r="H19" s="66">
        <f>$E$9</f>
        <v>100</v>
      </c>
      <c r="I19" s="67">
        <f>(Table_Input_InorganicFertiliser_Brands[[#This Row],[Amount applied per hectare]]*Table_Input_InorganicFertiliser_Brands[[#This Row],[Density]])*Table_Input_InorganicFertiliser_Brands[[#This Row],[Application area (ha)]]</f>
        <v>20000</v>
      </c>
      <c r="J19" s="67" t="str" cm="1">
        <f t="array" ref="J19">Fertiliser_InputFunctions.Fertiliser_FertiliserProductLookup(Table_Input_InorganicFertiliser_Brands[[#This Row],[Product (select)]], Table_Input_InorganicFertiliser_Brands[[#Headers],[Ingredient 1]], FertiliserProducts[#Data], FertiliserProducts[Product name], FertiliserProducts[#Headers])</f>
        <v>Urea</v>
      </c>
      <c r="K19" s="67" cm="1">
        <f t="array" ref="K19">Fertiliser_InputFunctions.Fertiliser_FertiliserProductLookup(Table_Input_InorganicFertiliser_Brands[[#This Row],[Product (select)]], Table_Input_InorganicFertiliser_Brands[[#Headers],[Ingredient 1 percent]], FertiliserProducts[#Data], FertiliserProducts[Product name], FertiliserProducts[#Headers])</f>
        <v>0.52173913000000005</v>
      </c>
      <c r="L19" s="67" t="str" cm="1">
        <f t="array" ref="L19">Fertiliser_InputFunctions.Fertiliser_FertiliserProductLookup(Table_Input_InorganicFertiliser_Brands[[#This Row],[Product (select)]], Table_Input_InorganicFertiliser_Brands[[#Headers],[Ingredient 2]], FertiliserProducts[#Data], FertiliserProducts[Product name], FertiliserProducts[#Headers])</f>
        <v>Potassium - Generic</v>
      </c>
      <c r="M19" s="67" cm="1">
        <f t="array" ref="M19">Fertiliser_InputFunctions.Fertiliser_FertiliserProductLookup(Table_Input_InorganicFertiliser_Brands[[#This Row],[Product (select)]], Table_Input_InorganicFertiliser_Brands[[#Headers],[Ingredient 2 percent]], FertiliserProducts[#Data], FertiliserProducts[Product name], FertiliserProducts[#Headers])</f>
        <v>0.08</v>
      </c>
      <c r="N19" s="67" t="str" cm="1">
        <f t="array" ref="N19">Fertiliser_InputFunctions.Fertiliser_FertiliserProductLookup(Table_Input_InorganicFertiliser_Brands[[#This Row],[Product (select)]], Table_Input_InorganicFertiliser_Brands[[#Headers],[Ingredient 3]], FertiliserProducts[#Data], FertiliserProducts[Product name], FertiliserProducts[#Headers])</f>
        <v>Sulfur - Generic</v>
      </c>
      <c r="O19" s="67" cm="1">
        <f t="array" ref="O19">Fertiliser_InputFunctions.Fertiliser_FertiliserProductLookup(Table_Input_InorganicFertiliser_Brands[[#This Row],[Product (select)]], Table_Input_InorganicFertiliser_Brands[[#Headers],[Ingredient 3 percent]], FertiliserProducts[#Data], FertiliserProducts[Product name], FertiliserProducts[#Headers])</f>
        <v>5.2999999999999999E-2</v>
      </c>
      <c r="P19" s="67" t="str" cm="1">
        <f t="array" ref="P19">Fertiliser_InputFunctions.Fertiliser_FertiliserProductLookup(Table_Input_InorganicFertiliser_Brands[[#This Row],[Product (select)]], Table_Input_InorganicFertiliser_Brands[[#Headers],[Ingredient 4]], FertiliserProducts[#Data], FertiliserProducts[Product name], FertiliserProducts[#Headers])</f>
        <v>Phosphorus - Generic</v>
      </c>
      <c r="Q19" s="67" cm="1">
        <f t="array" ref="Q19">Fertiliser_InputFunctions.Fertiliser_FertiliserProductLookup(Table_Input_InorganicFertiliser_Brands[[#This Row],[Product (select)]], Table_Input_InorganicFertiliser_Brands[[#Headers],[Ingredient 4 percent]], FertiliserProducts[#Data], FertiliserProducts[Product name], FertiliserProducts[#Headers])</f>
        <v>5.1999999999999998E-2</v>
      </c>
      <c r="R19" s="67" t="str" cm="1">
        <f t="array" ref="R19">Fertiliser_InputFunctions.Fertiliser_FertiliserProductLookup(Table_Input_InorganicFertiliser_Brands[[#This Row],[Product (select)]], Table_Input_InorganicFertiliser_Brands[[#Headers],[Ingredient 5]], FertiliserProducts[#Data], FertiliserProducts[Product name], FertiliserProducts[#Headers])</f>
        <v>Magnesium</v>
      </c>
      <c r="S19" s="67" cm="1">
        <f t="array" ref="S19">Fertiliser_InputFunctions.Fertiliser_FertiliserProductLookup(Table_Input_InorganicFertiliser_Brands[[#This Row],[Product (select)]], Table_Input_InorganicFertiliser_Brands[[#Headers],[Ingredient 5 percent]], FertiliserProducts[#Data], FertiliserProducts[Product name], FertiliserProducts[#Headers])</f>
        <v>1.2999999999999999E-2</v>
      </c>
      <c r="T19" s="67" t="str" cm="1">
        <f t="array" ref="T19">Fertiliser_InputFunctions.Fertiliser_FertiliserProductLookup(Table_Input_InorganicFertiliser_Brands[[#This Row],[Product (select)]], Table_Input_InorganicFertiliser_Brands[[#Headers],[Ingredient 6]], FertiliserProducts[#Data], FertiliserProducts[Product name], FertiliserProducts[#Headers])</f>
        <v>Zinc</v>
      </c>
      <c r="U19" s="67" cm="1">
        <f t="array" ref="U19">Fertiliser_InputFunctions.Fertiliser_FertiliserProductLookup(Table_Input_InorganicFertiliser_Brands[[#This Row],[Product (select)]], Table_Input_InorganicFertiliser_Brands[[#Headers],[Ingredient 6 percent]], FertiliserProducts[#Data], FertiliserProducts[Product name], FertiliserProducts[#Headers])</f>
        <v>2E-3</v>
      </c>
      <c r="V19" s="67">
        <f>(Table_Input_InorganicFertiliser_Brands[[#This Row],[Amount applied per hectare]]*Table_Input_InorganicFertiliser_Brands[[#This Row],[Density]])*(IFERROR((_xlfn.XLOOKUP(Table_Input_InorganicFertiliser_Brands[[#This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47.999999960000004</v>
      </c>
      <c r="W19" s="67" t="str">
        <f>_xlfn.XLOOKUP(Table_Input_InorganicFertiliser_Brands[[#This Row],[Product (select)]],FertiliserProducts[Product name],FertiliserProducts[Urea source])</f>
        <v/>
      </c>
      <c r="X19" s="67" t="str">
        <f>_xlfn.XLOOKUP(Table_Input_InorganicFertiliser_Brands[[#This Row],[Product (select)]],FertiliserProducts[Product name],FertiliserProducts[Ammonia source])</f>
        <v/>
      </c>
    </row>
    <row r="20" spans="1:24" ht="36" customHeight="1" x14ac:dyDescent="0.25">
      <c r="A20" s="16" t="str">
        <f>HYPERLINK("#'Constants - Fertiliser'!A1", "Constants - Fertiliser")</f>
        <v>Constants - Fertiliser</v>
      </c>
      <c r="D20" s="65" t="s">
        <v>209</v>
      </c>
      <c r="E20" s="66">
        <v>100</v>
      </c>
      <c r="F20" s="39" t="str">
        <f>_xlfn.XLOOKUP(Table_Input_InorganicFertiliser_Brands[[#This Row],[Product (select)]],FertiliserProducts[Product name],FertiliserProducts[Unit])</f>
        <v>L</v>
      </c>
      <c r="G20" s="39">
        <f>_xlfn.XLOOKUP(Table_Input_InorganicFertiliser_Brands[[#This Row],[Product (select)]],FertiliserProducts[Product name],FertiliserProducts[Density / gravity])</f>
        <v>1.2150000000000001</v>
      </c>
      <c r="H20" s="66">
        <f>$E$9</f>
        <v>100</v>
      </c>
      <c r="I20" s="67">
        <f>(Table_Input_InorganicFertiliser_Brands[[#This Row],[Amount applied per hectare]]*Table_Input_InorganicFertiliser_Brands[[#This Row],[Density]])*Table_Input_InorganicFertiliser_Brands[[#This Row],[Application area (ha)]]</f>
        <v>12150.000000000002</v>
      </c>
      <c r="J20" s="67" t="str" cm="1">
        <f t="array" ref="J20">Fertiliser_InputFunctions.Fertiliser_FertiliserProductLookup(Table_Input_InorganicFertiliser_Brands[[#This Row],[Product (select)]], Table_Input_InorganicFertiliser_Brands[[#Headers],[Ingredient 1]], FertiliserProducts[#Data], FertiliserProducts[Product name], FertiliserProducts[#Headers])</f>
        <v>Urea</v>
      </c>
      <c r="K20" s="67" cm="1">
        <f t="array" ref="K20">Fertiliser_InputFunctions.Fertiliser_FertiliserProductLookup(Table_Input_InorganicFertiliser_Brands[[#This Row],[Product (select)]], Table_Input_InorganicFertiliser_Brands[[#Headers],[Ingredient 1 percent]], FertiliserProducts[#Data], FertiliserProducts[Product name], FertiliserProducts[#Headers])</f>
        <v>0.19565217400000001</v>
      </c>
      <c r="L20" s="67" t="str" cm="1">
        <f t="array" ref="L20">Fertiliser_InputFunctions.Fertiliser_FertiliserProductLookup(Table_Input_InorganicFertiliser_Brands[[#This Row],[Product (select)]], Table_Input_InorganicFertiliser_Brands[[#Headers],[Ingredient 2]], FertiliserProducts[#Data], FertiliserProducts[Product name], FertiliserProducts[#Headers])</f>
        <v>Potassium - Generic</v>
      </c>
      <c r="M20" s="67" cm="1">
        <f t="array" ref="M20">Fertiliser_InputFunctions.Fertiliser_FertiliserProductLookup(Table_Input_InorganicFertiliser_Brands[[#This Row],[Product (select)]], Table_Input_InorganicFertiliser_Brands[[#Headers],[Ingredient 2 percent]], FertiliserProducts[#Data], FertiliserProducts[Product name], FertiliserProducts[#Headers])</f>
        <v>0.1</v>
      </c>
      <c r="N20" s="67" t="str" cm="1">
        <f t="array" ref="N20">Fertiliser_InputFunctions.Fertiliser_FertiliserProductLookup(Table_Input_InorganicFertiliser_Brands[[#This Row],[Product (select)]], Table_Input_InorganicFertiliser_Brands[[#Headers],[Ingredient 3]], FertiliserProducts[#Data], FertiliserProducts[Product name], FertiliserProducts[#Headers])</f>
        <v>Nitrogen - Generic</v>
      </c>
      <c r="O20" s="67" cm="1">
        <f t="array" ref="O20">Fertiliser_InputFunctions.Fertiliser_FertiliserProductLookup(Table_Input_InorganicFertiliser_Brands[[#This Row],[Product (select)]], Table_Input_InorganicFertiliser_Brands[[#Headers],[Ingredient 3 percent]], FertiliserProducts[#Data], FertiliserProducts[Product name], FertiliserProducts[#Headers])</f>
        <v>0.03</v>
      </c>
      <c r="P20" s="67" t="str" cm="1">
        <f t="array" ref="P20">Fertiliser_InputFunctions.Fertiliser_FertiliserProductLookup(Table_Input_InorganicFertiliser_Brands[[#This Row],[Product (select)]], Table_Input_InorganicFertiliser_Brands[[#Headers],[Ingredient 4]], FertiliserProducts[#Data], FertiliserProducts[Product name], FertiliserProducts[#Headers])</f>
        <v>Boron</v>
      </c>
      <c r="Q20" s="67" cm="1">
        <f t="array" ref="Q20">Fertiliser_InputFunctions.Fertiliser_FertiliserProductLookup(Table_Input_InorganicFertiliser_Brands[[#This Row],[Product (select)]], Table_Input_InorganicFertiliser_Brands[[#Headers],[Ingredient 4 percent]], FertiliserProducts[#Data], FertiliserProducts[Product name], FertiliserProducts[#Headers])</f>
        <v>5.0000000000000001E-3</v>
      </c>
      <c r="R20" s="67" t="str" cm="1">
        <f t="array" ref="R20">Fertiliser_InputFunctions.Fertiliser_FertiliserProductLookup(Table_Input_InorganicFertiliser_Brands[[#This Row],[Product (select)]], Table_Input_InorganicFertiliser_Brands[[#Headers],[Ingredient 5]], FertiliserProducts[#Data], FertiliserProducts[Product name], FertiliserProducts[#Headers])</f>
        <v/>
      </c>
      <c r="S20" s="67" t="str" cm="1">
        <f t="array" ref="S20">Fertiliser_InputFunctions.Fertiliser_FertiliserProductLookup(Table_Input_InorganicFertiliser_Brands[[#This Row],[Product (select)]], Table_Input_InorganicFertiliser_Brands[[#Headers],[Ingredient 5 percent]], FertiliserProducts[#Data], FertiliserProducts[Product name], FertiliserProducts[#Headers])</f>
        <v/>
      </c>
      <c r="T20" s="67" t="str" cm="1">
        <f t="array" ref="T20">Fertiliser_InputFunctions.Fertiliser_FertiliserProductLookup(Table_Input_InorganicFertiliser_Brands[[#This Row],[Product (select)]], Table_Input_InorganicFertiliser_Brands[[#Headers],[Ingredient 6]], FertiliserProducts[#Data], FertiliserProducts[Product name], FertiliserProducts[#Headers])</f>
        <v/>
      </c>
      <c r="U20" s="67" t="str" cm="1">
        <f t="array" ref="U20">Fertiliser_InputFunctions.Fertiliser_FertiliserProductLookup(Table_Input_InorganicFertiliser_Brands[[#This Row],[Product (select)]], Table_Input_InorganicFertiliser_Brands[[#Headers],[Ingredient 6 percent]], FertiliserProducts[#Data], FertiliserProducts[Product name], FertiliserProducts[#Headers])</f>
        <v/>
      </c>
      <c r="V20" s="67">
        <f>(Table_Input_InorganicFertiliser_Brands[[#This Row],[Amount applied per hectare]]*Table_Input_InorganicFertiliser_Brands[[#This Row],[Density]])*(IFERROR((_xlfn.XLOOKUP(Table_Input_InorganicFertiliser_Brands[[#This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14.580000004860004</v>
      </c>
      <c r="W20" s="67" t="str">
        <f>_xlfn.XLOOKUP(Table_Input_InorganicFertiliser_Brands[[#This Row],[Product (select)]],FertiliserProducts[Product name],FertiliserProducts[Urea source])</f>
        <v/>
      </c>
      <c r="X20" s="67" t="str">
        <f>_xlfn.XLOOKUP(Table_Input_InorganicFertiliser_Brands[[#This Row],[Product (select)]],FertiliserProducts[Product name],FertiliserProducts[Ammonia source])</f>
        <v/>
      </c>
    </row>
    <row r="21" spans="1:24" ht="36" customHeight="1" x14ac:dyDescent="0.25">
      <c r="A21" s="16" t="str">
        <f>HYPERLINK("#'Constants - Common'!A1", "Constants - Common")</f>
        <v>Constants - Common</v>
      </c>
      <c r="D21" s="68"/>
      <c r="E21" s="69"/>
      <c r="F21" s="70"/>
      <c r="G21" s="70"/>
      <c r="H21" s="70"/>
      <c r="I21" s="70"/>
      <c r="J21" s="71"/>
      <c r="K21" s="71"/>
      <c r="L21" s="72"/>
      <c r="M21" s="72"/>
      <c r="N21" s="42"/>
      <c r="O21" s="42"/>
      <c r="P21" s="42"/>
      <c r="Q21" s="42"/>
      <c r="R21" s="42"/>
      <c r="S21" s="42"/>
      <c r="T21" s="42"/>
      <c r="U21" s="42"/>
      <c r="V21" s="42"/>
      <c r="W21" s="42"/>
      <c r="X21" s="42"/>
    </row>
    <row r="22" spans="1:24" ht="36" customHeight="1" x14ac:dyDescent="0.25">
      <c r="D22" s="73" t="s">
        <v>210</v>
      </c>
      <c r="E22" s="74"/>
      <c r="F22" s="74"/>
      <c r="G22" s="74"/>
      <c r="H22" s="74"/>
      <c r="I22" s="74"/>
      <c r="J22" s="74"/>
      <c r="K22" s="74"/>
      <c r="L22" s="74"/>
      <c r="M22" s="74"/>
      <c r="N22" s="42"/>
      <c r="O22" s="42"/>
      <c r="P22" s="42"/>
      <c r="Q22" s="42"/>
      <c r="R22" s="42"/>
      <c r="S22" s="42"/>
      <c r="T22" s="42"/>
      <c r="U22" s="42"/>
      <c r="V22" s="42"/>
      <c r="W22" s="42"/>
      <c r="X22" s="42"/>
    </row>
    <row r="23" spans="1:24" ht="36" customHeight="1" x14ac:dyDescent="0.25">
      <c r="A23" s="16"/>
      <c r="D23" s="56" t="s">
        <v>211</v>
      </c>
      <c r="E23" s="56" t="s">
        <v>205</v>
      </c>
      <c r="F23" s="56" t="s">
        <v>206</v>
      </c>
      <c r="G23" s="56" t="s">
        <v>207</v>
      </c>
      <c r="H23" s="56" t="s">
        <v>212</v>
      </c>
      <c r="I23" s="56" t="s">
        <v>176</v>
      </c>
      <c r="J23" s="56" t="s">
        <v>177</v>
      </c>
      <c r="K23" s="56" t="s">
        <v>178</v>
      </c>
      <c r="L23" s="56" t="s">
        <v>179</v>
      </c>
      <c r="M23" s="56" t="s">
        <v>180</v>
      </c>
      <c r="N23" s="56" t="s">
        <v>181</v>
      </c>
      <c r="O23" s="56" t="s">
        <v>182</v>
      </c>
      <c r="P23" s="56" t="s">
        <v>208</v>
      </c>
      <c r="Q23" s="64" t="s">
        <v>173</v>
      </c>
      <c r="R23" s="64" t="s">
        <v>174</v>
      </c>
      <c r="S23" s="42"/>
      <c r="T23" s="42"/>
      <c r="U23" s="42"/>
      <c r="V23" s="42"/>
      <c r="W23" s="42"/>
      <c r="X23" s="42"/>
    </row>
    <row r="24" spans="1:24" ht="36" customHeight="1" x14ac:dyDescent="0.25">
      <c r="D24" s="75" t="s">
        <v>213</v>
      </c>
      <c r="E24" s="56">
        <v>100</v>
      </c>
      <c r="F24" s="66">
        <f>$E$9</f>
        <v>100</v>
      </c>
      <c r="G24" s="67">
        <f>Table_Input_InorganicFertiliser_Custom[[#This Row],[Amount applied (kg / ha)]]*Table_Input_InorganicFertiliser_Custom[[#This Row],[Application area (ha)]]</f>
        <v>10000</v>
      </c>
      <c r="H24" s="76" t="s">
        <v>346</v>
      </c>
      <c r="I24" s="77">
        <v>0.45</v>
      </c>
      <c r="J24" s="76" t="s">
        <v>345</v>
      </c>
      <c r="K24" s="77">
        <v>0.3</v>
      </c>
      <c r="L24" s="76" t="s">
        <v>215</v>
      </c>
      <c r="M24" s="77">
        <v>0.1</v>
      </c>
      <c r="N24" s="78" t="s">
        <v>216</v>
      </c>
      <c r="O24" s="79">
        <v>0.1</v>
      </c>
      <c r="P24" s="67">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41.707499999999996</v>
      </c>
      <c r="Q24" s="37" t="s">
        <v>342</v>
      </c>
      <c r="R24" s="37" t="s">
        <v>376</v>
      </c>
    </row>
    <row r="25" spans="1:24" ht="36" customHeight="1" x14ac:dyDescent="0.25">
      <c r="D25" s="75"/>
      <c r="E25" s="56">
        <v>100</v>
      </c>
      <c r="F25" s="149">
        <f>$E$9</f>
        <v>100</v>
      </c>
      <c r="G25" s="67">
        <f>Table_Input_InorganicFertiliser_Custom[[#This Row],[Amount applied (kg / ha)]]*Table_Input_InorganicFertiliser_Custom[[#This Row],[Application area (ha)]]</f>
        <v>10000</v>
      </c>
      <c r="H25" s="76" t="s">
        <v>214</v>
      </c>
      <c r="I25" s="80">
        <v>0.9</v>
      </c>
      <c r="J25" s="76" t="s">
        <v>346</v>
      </c>
      <c r="K25" s="80">
        <v>0.1</v>
      </c>
      <c r="L25" s="76"/>
      <c r="M25" s="80"/>
      <c r="N25" s="78"/>
      <c r="O25" s="79"/>
      <c r="P25" s="67">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49.635000000000005</v>
      </c>
      <c r="Q25" s="65" t="s">
        <v>342</v>
      </c>
      <c r="R25" s="65" t="s">
        <v>342</v>
      </c>
    </row>
    <row r="26" spans="1:24" ht="36" customHeight="1" x14ac:dyDescent="0.25"/>
    <row r="27" spans="1:24" ht="20.100000000000001" customHeight="1" x14ac:dyDescent="0.25">
      <c r="D27" s="9" t="s">
        <v>396</v>
      </c>
      <c r="E27" s="7"/>
      <c r="F27" s="7"/>
      <c r="G27" s="7"/>
      <c r="H27" s="7"/>
      <c r="I27" s="7"/>
      <c r="J27" s="7"/>
      <c r="K27" s="14"/>
      <c r="L27" s="14"/>
      <c r="M27" s="14"/>
    </row>
    <row r="28" spans="1:24" ht="20.100000000000001" customHeight="1" x14ac:dyDescent="0.25">
      <c r="D28" s="14"/>
      <c r="E28" s="14"/>
      <c r="F28" s="14"/>
      <c r="G28" s="14"/>
      <c r="H28" s="14"/>
      <c r="I28" s="14"/>
      <c r="J28" s="14"/>
      <c r="K28" s="14"/>
      <c r="L28" s="14"/>
      <c r="M28" s="7"/>
    </row>
    <row r="29" spans="1:24" ht="20.100000000000001" customHeight="1" x14ac:dyDescent="0.25">
      <c r="A29" s="16"/>
      <c r="D29" s="29" t="s">
        <v>217</v>
      </c>
      <c r="E29" s="30"/>
      <c r="F29" s="31"/>
      <c r="G29" s="29"/>
      <c r="H29" s="31"/>
      <c r="I29" s="7"/>
      <c r="J29" s="7"/>
      <c r="K29" s="14"/>
      <c r="L29" s="14"/>
      <c r="M29" s="14"/>
    </row>
    <row r="30" spans="1:24" ht="20.100000000000001" customHeight="1" x14ac:dyDescent="0.25">
      <c r="A30" s="16"/>
      <c r="D30" s="81" t="s">
        <v>218</v>
      </c>
      <c r="E30" s="82"/>
      <c r="F30" s="83"/>
      <c r="G30" s="81"/>
      <c r="H30" s="83"/>
      <c r="I30" s="14"/>
      <c r="J30" s="14"/>
      <c r="K30" s="14"/>
      <c r="L30" s="14"/>
      <c r="M30" s="7"/>
    </row>
    <row r="31" spans="1:24" ht="20.100000000000001" customHeight="1" x14ac:dyDescent="0.25">
      <c r="A31" s="41"/>
      <c r="D31" s="33" t="s">
        <v>202</v>
      </c>
      <c r="E31" s="34"/>
      <c r="F31" s="34"/>
      <c r="G31" s="34"/>
      <c r="H31" s="35"/>
      <c r="I31" s="14"/>
      <c r="J31" s="14"/>
      <c r="K31" s="14"/>
      <c r="L31" s="14"/>
      <c r="M31" s="7"/>
    </row>
    <row r="32" spans="1:24" ht="20.100000000000001" customHeight="1" x14ac:dyDescent="0.25">
      <c r="A32" s="41"/>
      <c r="D32" s="46" t="str">
        <f>IF(MAX(Table_Input_SoilAmeliorants[Total]) &gt; 1, "There can not be more than 100% ingredients in a product. Check the table below.", "")</f>
        <v/>
      </c>
    </row>
    <row r="33" spans="1:25" ht="36" customHeight="1" x14ac:dyDescent="0.25">
      <c r="A33" s="16"/>
      <c r="D33" s="84" t="s">
        <v>219</v>
      </c>
      <c r="E33" s="84" t="s">
        <v>220</v>
      </c>
      <c r="F33" s="84" t="s">
        <v>206</v>
      </c>
      <c r="G33" s="84" t="s">
        <v>221</v>
      </c>
      <c r="H33" s="84" t="s">
        <v>222</v>
      </c>
      <c r="I33" s="84" t="s">
        <v>223</v>
      </c>
      <c r="J33" s="84" t="s">
        <v>224</v>
      </c>
      <c r="K33" s="84" t="s">
        <v>225</v>
      </c>
      <c r="Y33" s="3"/>
    </row>
    <row r="34" spans="1:25" ht="36" customHeight="1" x14ac:dyDescent="0.25">
      <c r="D34" s="85" t="s">
        <v>226</v>
      </c>
      <c r="E34" s="66">
        <v>100</v>
      </c>
      <c r="F34" s="66">
        <f>$E$9</f>
        <v>100</v>
      </c>
      <c r="G34" s="67">
        <f>IFERROR(Table_Input_SoilAmeliorants[[#This Row],[Amount applied (t/hectare)]]*Table_Input_SoilAmeliorants[[#This Row],[Application area (ha)]], 0)</f>
        <v>10000</v>
      </c>
      <c r="H34" s="79">
        <v>0.4</v>
      </c>
      <c r="I34" s="79">
        <v>0.3</v>
      </c>
      <c r="J34" s="79">
        <v>0.25</v>
      </c>
      <c r="K34" s="87">
        <f>SUM(Table_Input_SoilAmeliorants[[#This Row],[Percent Lime CaCO3]:[Percent Gypsum]])</f>
        <v>0.95</v>
      </c>
      <c r="Y34" s="3"/>
    </row>
    <row r="35" spans="1:25" ht="36" customHeight="1" x14ac:dyDescent="0.25">
      <c r="D35" s="85" t="s">
        <v>227</v>
      </c>
      <c r="E35" s="66">
        <v>100</v>
      </c>
      <c r="F35" s="66">
        <f>$E$9</f>
        <v>100</v>
      </c>
      <c r="G35" s="67">
        <f>IFERROR(Table_Input_SoilAmeliorants[[#This Row],[Amount applied (t/hectare)]]*Table_Input_SoilAmeliorants[[#This Row],[Application area (ha)]], 0)</f>
        <v>10000</v>
      </c>
      <c r="H35" s="79">
        <v>1</v>
      </c>
      <c r="I35" s="79"/>
      <c r="J35" s="79"/>
      <c r="K35" s="87">
        <f>SUM(Table_Input_SoilAmeliorants[[#This Row],[Percent Lime CaCO3]:[Percent Gypsum]])</f>
        <v>1</v>
      </c>
      <c r="Y35" s="3"/>
    </row>
    <row r="36" spans="1:25" ht="36" customHeight="1" x14ac:dyDescent="0.25">
      <c r="D36" s="14"/>
      <c r="E36" s="14"/>
      <c r="F36" s="14"/>
      <c r="G36" s="14"/>
      <c r="H36" s="14"/>
      <c r="I36" s="14"/>
      <c r="J36" s="14"/>
      <c r="L36" s="7"/>
      <c r="M36" s="7"/>
    </row>
    <row r="37" spans="1:25" ht="20.100000000000001" customHeight="1" x14ac:dyDescent="0.25">
      <c r="D37" s="14"/>
      <c r="E37" s="14"/>
      <c r="F37" s="14"/>
      <c r="G37" s="14"/>
      <c r="H37" s="14"/>
      <c r="I37" s="14"/>
      <c r="J37" s="88"/>
      <c r="K37" s="7"/>
      <c r="L37" s="7"/>
      <c r="M37" s="7"/>
    </row>
    <row r="38" spans="1:25" ht="20.100000000000001" customHeight="1" x14ac:dyDescent="0.25">
      <c r="C38" s="42"/>
      <c r="D38" s="9" t="s">
        <v>228</v>
      </c>
      <c r="E38" s="7"/>
      <c r="F38" s="7"/>
      <c r="G38" s="7"/>
      <c r="H38" s="14"/>
      <c r="I38" s="14"/>
      <c r="J38" s="14"/>
      <c r="K38" s="14"/>
      <c r="L38" s="14"/>
      <c r="M38" s="14"/>
    </row>
    <row r="39" spans="1:25" ht="20.100000000000001" customHeight="1" x14ac:dyDescent="0.25">
      <c r="A39" s="16"/>
      <c r="C39" s="42"/>
      <c r="D39" s="14"/>
      <c r="E39" s="14"/>
      <c r="F39" s="14"/>
      <c r="G39" s="14"/>
      <c r="H39" s="14"/>
      <c r="I39" s="14"/>
      <c r="J39" s="14"/>
      <c r="K39" s="14"/>
      <c r="L39" s="14"/>
      <c r="M39" s="14"/>
    </row>
    <row r="40" spans="1:25" s="43" customFormat="1" ht="20.100000000000001" customHeight="1" x14ac:dyDescent="0.25">
      <c r="C40" s="8"/>
      <c r="D40" s="29" t="s">
        <v>217</v>
      </c>
      <c r="E40" s="30"/>
      <c r="F40" s="30"/>
      <c r="G40" s="30"/>
      <c r="H40" s="31"/>
      <c r="I40" s="14"/>
      <c r="J40" s="14"/>
      <c r="K40" s="14"/>
      <c r="L40" s="14"/>
      <c r="M40" s="14"/>
      <c r="N40" s="8"/>
      <c r="O40" s="8"/>
      <c r="P40" s="8"/>
      <c r="Q40" s="42"/>
      <c r="R40" s="42"/>
      <c r="S40" s="42"/>
      <c r="T40" s="8"/>
      <c r="U40" s="8"/>
      <c r="V40" s="8"/>
      <c r="W40" s="8"/>
      <c r="X40" s="8"/>
      <c r="Y40" s="8"/>
    </row>
    <row r="41" spans="1:25" s="43" customFormat="1" ht="20.100000000000001" customHeight="1" x14ac:dyDescent="0.25">
      <c r="A41" s="44"/>
      <c r="C41" s="8"/>
      <c r="D41" s="33" t="s">
        <v>202</v>
      </c>
      <c r="E41" s="34"/>
      <c r="F41" s="34"/>
      <c r="G41" s="34"/>
      <c r="H41" s="35"/>
      <c r="I41" s="14"/>
      <c r="J41" s="14"/>
      <c r="K41" s="14"/>
      <c r="L41" s="14"/>
      <c r="M41" s="14"/>
      <c r="N41" s="8"/>
      <c r="O41" s="42"/>
      <c r="P41" s="42"/>
      <c r="Q41" s="42"/>
      <c r="R41" s="42"/>
      <c r="S41" s="42"/>
      <c r="T41" s="8"/>
      <c r="U41" s="8"/>
      <c r="V41" s="8"/>
      <c r="W41" s="8"/>
      <c r="X41" s="8"/>
      <c r="Y41" s="8"/>
    </row>
    <row r="42" spans="1:25" ht="20.100000000000001" customHeight="1" x14ac:dyDescent="0.25">
      <c r="D42" s="14"/>
      <c r="E42" s="14"/>
      <c r="F42" s="14"/>
      <c r="G42" s="14"/>
      <c r="H42" s="14"/>
      <c r="I42" s="14"/>
      <c r="J42" s="14"/>
      <c r="K42" s="14"/>
      <c r="L42" s="14"/>
      <c r="M42" s="42"/>
      <c r="N42" s="42"/>
      <c r="O42" s="42"/>
      <c r="P42" s="42"/>
    </row>
    <row r="43" spans="1:25" ht="36" customHeight="1" x14ac:dyDescent="0.25">
      <c r="D43" s="84" t="s">
        <v>229</v>
      </c>
      <c r="E43" s="84" t="s">
        <v>230</v>
      </c>
      <c r="F43" s="84" t="s">
        <v>231</v>
      </c>
      <c r="G43" s="84" t="s">
        <v>232</v>
      </c>
      <c r="H43" s="84" t="s">
        <v>206</v>
      </c>
      <c r="I43" s="84" t="s">
        <v>233</v>
      </c>
      <c r="J43" s="84" t="s">
        <v>234</v>
      </c>
      <c r="K43" s="74"/>
      <c r="L43" s="74"/>
      <c r="M43" s="42"/>
      <c r="N43" s="42"/>
    </row>
    <row r="44" spans="1:25" ht="36" customHeight="1" x14ac:dyDescent="0.25">
      <c r="A44" s="45" t="str">
        <f>HYPERLINK("#A1", "▲ Back to top")</f>
        <v>▲ Back to top</v>
      </c>
      <c r="D44" s="65" t="s">
        <v>160</v>
      </c>
      <c r="E44" s="86">
        <v>0.3</v>
      </c>
      <c r="F44" s="66">
        <v>10</v>
      </c>
      <c r="G44" s="67">
        <f>Table_Input_OrganicFertiliser[[#This Row],[Amount applied (kg/hectare)]]*Table_Input_OrganicFertiliser[[#This Row],[Percentage of N in fertiliser]]</f>
        <v>3</v>
      </c>
      <c r="H44" s="66">
        <f>$E$9</f>
        <v>100</v>
      </c>
      <c r="I44" s="67">
        <f>Table_Input_OrganicFertiliser[[#This Row],[Amount applied (kg/hectare)]]*Table_Input_OrganicFertiliser[[#This Row],[Application area (ha)]]</f>
        <v>1000</v>
      </c>
      <c r="J44" s="67">
        <f>IFERROR(Table_Input_OrganicFertiliser[[#This Row],[Amount N applied (kg/hectare)]]*Table_Input_OrganicFertiliser[[#This Row],[Application area (ha)]], 0)</f>
        <v>300</v>
      </c>
      <c r="K44" s="74"/>
      <c r="L44" s="74"/>
    </row>
    <row r="45" spans="1:25" ht="36" customHeight="1" x14ac:dyDescent="0.25">
      <c r="D45" s="65" t="s">
        <v>154</v>
      </c>
      <c r="E45" s="86">
        <v>0.25</v>
      </c>
      <c r="F45" s="66">
        <v>10</v>
      </c>
      <c r="G45" s="67">
        <f>Table_Input_OrganicFertiliser[[#This Row],[Amount applied (kg/hectare)]]*Table_Input_OrganicFertiliser[[#This Row],[Percentage of N in fertiliser]]</f>
        <v>2.5</v>
      </c>
      <c r="H45" s="66">
        <f>$E$9</f>
        <v>100</v>
      </c>
      <c r="I45" s="67">
        <f>Table_Input_OrganicFertiliser[[#This Row],[Amount applied (kg/hectare)]]*Table_Input_OrganicFertiliser[[#This Row],[Application area (ha)]]</f>
        <v>1000</v>
      </c>
      <c r="J45" s="67">
        <f>IFERROR(Table_Input_OrganicFertiliser[[#This Row],[Amount N applied (kg/hectare)]]*Table_Input_OrganicFertiliser[[#This Row],[Application area (ha)]], 0)</f>
        <v>250</v>
      </c>
    </row>
    <row r="46" spans="1:25" ht="36" customHeight="1" x14ac:dyDescent="0.25"/>
    <row r="47" spans="1:25" ht="20.100000000000001" customHeight="1" x14ac:dyDescent="0.25"/>
    <row r="48" spans="1:25"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row r="64"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spans="13:13" ht="20.100000000000001" customHeight="1" x14ac:dyDescent="0.25"/>
    <row r="98" spans="13:13" ht="20.100000000000001" customHeight="1" x14ac:dyDescent="0.25"/>
    <row r="99" spans="13:13" ht="20.100000000000001" customHeight="1" x14ac:dyDescent="0.25"/>
    <row r="100" spans="13:13" ht="20.100000000000001" customHeight="1" x14ac:dyDescent="0.25"/>
    <row r="101" spans="13:13" ht="20.100000000000001" customHeight="1" x14ac:dyDescent="0.25"/>
    <row r="102" spans="13:13" ht="20.100000000000001" customHeight="1" x14ac:dyDescent="0.25"/>
    <row r="103" spans="13:13" ht="20.100000000000001" customHeight="1" x14ac:dyDescent="0.25"/>
    <row r="104" spans="13:13" ht="20.100000000000001" customHeight="1" x14ac:dyDescent="0.25"/>
    <row r="105" spans="13:13" ht="20.100000000000001" customHeight="1" x14ac:dyDescent="0.25"/>
    <row r="106" spans="13:13" ht="20.100000000000001" customHeight="1" x14ac:dyDescent="0.25"/>
    <row r="107" spans="13:13" ht="20.100000000000001" customHeight="1" x14ac:dyDescent="0.25"/>
    <row r="108" spans="13:13" ht="20.100000000000001" customHeight="1" x14ac:dyDescent="0.25"/>
    <row r="109" spans="13:13" ht="20.100000000000001" customHeight="1" x14ac:dyDescent="0.25"/>
    <row r="110" spans="13:13" ht="20.100000000000001" customHeight="1" x14ac:dyDescent="0.25"/>
    <row r="111" spans="13:13" ht="20.100000000000001" customHeight="1" x14ac:dyDescent="0.25">
      <c r="M111" s="7"/>
    </row>
    <row r="112" spans="13:13" ht="20.100000000000001" customHeight="1" x14ac:dyDescent="0.25">
      <c r="M112" s="7"/>
    </row>
    <row r="113" spans="13:13" ht="20.100000000000001" customHeight="1" x14ac:dyDescent="0.25">
      <c r="M113" s="7"/>
    </row>
    <row r="114" spans="13:13" ht="20.100000000000001" customHeight="1" x14ac:dyDescent="0.25">
      <c r="M114" s="7"/>
    </row>
    <row r="115" spans="13:13" ht="20.100000000000001" customHeight="1" x14ac:dyDescent="0.25">
      <c r="M115" s="7"/>
    </row>
    <row r="116" spans="13:13" ht="20.100000000000001" customHeight="1" x14ac:dyDescent="0.25">
      <c r="M116" s="7"/>
    </row>
    <row r="117" spans="13:13" ht="20.100000000000001" customHeight="1" x14ac:dyDescent="0.25">
      <c r="M117" s="7"/>
    </row>
    <row r="118" spans="13:13" ht="20.100000000000001" customHeight="1" x14ac:dyDescent="0.25">
      <c r="M118" s="7"/>
    </row>
    <row r="119" spans="13:13" ht="20.100000000000001" customHeight="1" x14ac:dyDescent="0.25">
      <c r="M119" s="7"/>
    </row>
    <row r="120" spans="13:13" ht="20.100000000000001" customHeight="1" x14ac:dyDescent="0.25">
      <c r="M120" s="7"/>
    </row>
    <row r="121" spans="13:13" ht="20.100000000000001" customHeight="1" x14ac:dyDescent="0.25">
      <c r="M121" s="7"/>
    </row>
    <row r="122" spans="13:13" ht="20.100000000000001" customHeight="1" x14ac:dyDescent="0.25">
      <c r="M122" s="7"/>
    </row>
    <row r="123" spans="13:13" ht="20.100000000000001" customHeight="1" x14ac:dyDescent="0.25">
      <c r="M123" s="7"/>
    </row>
    <row r="124" spans="13:13" ht="20.100000000000001" customHeight="1" x14ac:dyDescent="0.25">
      <c r="M124" s="7"/>
    </row>
    <row r="125" spans="13:13" ht="20.100000000000001" customHeight="1" x14ac:dyDescent="0.25">
      <c r="M125" s="7"/>
    </row>
    <row r="126" spans="13:13" ht="20.100000000000001" customHeight="1" x14ac:dyDescent="0.25">
      <c r="M126" s="7"/>
    </row>
    <row r="127" spans="13:13" ht="20.100000000000001" customHeight="1" x14ac:dyDescent="0.25">
      <c r="M127" s="7"/>
    </row>
    <row r="128" spans="13:13" ht="20.100000000000001" customHeight="1" x14ac:dyDescent="0.25">
      <c r="M128" s="7"/>
    </row>
    <row r="129" spans="13:13" ht="20.100000000000001" customHeight="1" x14ac:dyDescent="0.25">
      <c r="M129" s="7"/>
    </row>
    <row r="130" spans="13:13" ht="20.100000000000001" customHeight="1" x14ac:dyDescent="0.25">
      <c r="M130" s="7"/>
    </row>
    <row r="131" spans="13:13" ht="20.100000000000001" customHeight="1" x14ac:dyDescent="0.25">
      <c r="M131" s="7"/>
    </row>
    <row r="132" spans="13:13" ht="20.100000000000001" customHeight="1" x14ac:dyDescent="0.25">
      <c r="M132" s="7"/>
    </row>
    <row r="133" spans="13:13" ht="20.100000000000001" customHeight="1" x14ac:dyDescent="0.25"/>
    <row r="134" spans="13:13" ht="20.100000000000001" customHeight="1" x14ac:dyDescent="0.25"/>
    <row r="135" spans="13:13" ht="20.100000000000001" customHeight="1" x14ac:dyDescent="0.25"/>
    <row r="136" spans="13:13" ht="20.100000000000001" customHeight="1" x14ac:dyDescent="0.25"/>
    <row r="137" spans="13:13" ht="20.100000000000001" customHeight="1" x14ac:dyDescent="0.25"/>
    <row r="138" spans="13:13" ht="20.100000000000001" customHeight="1" x14ac:dyDescent="0.25"/>
    <row r="139" spans="13:13" ht="20.100000000000001" customHeight="1" x14ac:dyDescent="0.25"/>
    <row r="140" spans="13:13" ht="20.100000000000001" customHeight="1" x14ac:dyDescent="0.25"/>
    <row r="141" spans="13:13" ht="20.100000000000001" customHeight="1" x14ac:dyDescent="0.25"/>
    <row r="142" spans="13:13" ht="20.100000000000001" customHeight="1" x14ac:dyDescent="0.25"/>
    <row r="143" spans="13:13" ht="20.100000000000001" customHeight="1" x14ac:dyDescent="0.25"/>
    <row r="144" spans="13:13"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210" spans="12:12" x14ac:dyDescent="0.25">
      <c r="L210" s="57"/>
    </row>
    <row r="211" spans="12:12" x14ac:dyDescent="0.25">
      <c r="L211" s="57"/>
    </row>
    <row r="212" spans="12:12" x14ac:dyDescent="0.25">
      <c r="L212" s="57"/>
    </row>
    <row r="213" spans="12:12" x14ac:dyDescent="0.25">
      <c r="L213" s="57"/>
    </row>
    <row r="214" spans="12:12" x14ac:dyDescent="0.25">
      <c r="L214" s="57"/>
    </row>
    <row r="216" spans="12:12" x14ac:dyDescent="0.25">
      <c r="L216" s="57"/>
    </row>
    <row r="218" spans="12:12" x14ac:dyDescent="0.25">
      <c r="L218" s="57"/>
    </row>
    <row r="219" spans="12:12" x14ac:dyDescent="0.25">
      <c r="L219" s="57"/>
    </row>
    <row r="220" spans="12:12" x14ac:dyDescent="0.25">
      <c r="L220" s="57"/>
    </row>
    <row r="221" spans="12:12" x14ac:dyDescent="0.25">
      <c r="L221" s="57"/>
    </row>
    <row r="223" spans="12:12" x14ac:dyDescent="0.25">
      <c r="L223" s="57"/>
    </row>
    <row r="231" spans="12:12" x14ac:dyDescent="0.25">
      <c r="L231" s="57"/>
    </row>
    <row r="232" spans="12:12" x14ac:dyDescent="0.25">
      <c r="L232" s="57"/>
    </row>
    <row r="233" spans="12:12" x14ac:dyDescent="0.25">
      <c r="L233" s="57"/>
    </row>
    <row r="236" spans="12:12" x14ac:dyDescent="0.25">
      <c r="L236" s="57"/>
    </row>
    <row r="237" spans="12:12" x14ac:dyDescent="0.25">
      <c r="L237" s="57"/>
    </row>
    <row r="238" spans="12:12" x14ac:dyDescent="0.25">
      <c r="L238" s="57"/>
    </row>
    <row r="241" spans="11:12" x14ac:dyDescent="0.25">
      <c r="L241" s="57"/>
    </row>
    <row r="242" spans="11:12" x14ac:dyDescent="0.25">
      <c r="L242" s="57"/>
    </row>
    <row r="243" spans="11:12" x14ac:dyDescent="0.25">
      <c r="L243" s="57"/>
    </row>
    <row r="246" spans="11:12" x14ac:dyDescent="0.25">
      <c r="L246" s="57"/>
    </row>
    <row r="247" spans="11:12" x14ac:dyDescent="0.25">
      <c r="K247" s="57"/>
      <c r="L247" s="57"/>
    </row>
    <row r="248" spans="11:12" x14ac:dyDescent="0.25">
      <c r="L248" s="57"/>
    </row>
    <row r="252" spans="11:12" x14ac:dyDescent="0.25">
      <c r="K252" s="57"/>
    </row>
    <row r="255" spans="11:12" x14ac:dyDescent="0.25">
      <c r="L255" s="57"/>
    </row>
    <row r="256" spans="11:12" x14ac:dyDescent="0.25">
      <c r="L256" s="57"/>
    </row>
    <row r="257" spans="11:12" x14ac:dyDescent="0.25">
      <c r="K257" s="57"/>
      <c r="L257" s="57"/>
    </row>
    <row r="260" spans="11:12" x14ac:dyDescent="0.25">
      <c r="L260" s="57"/>
    </row>
    <row r="261" spans="11:12" x14ac:dyDescent="0.25">
      <c r="L261" s="57"/>
    </row>
    <row r="262" spans="11:12" x14ac:dyDescent="0.25">
      <c r="K262" s="57"/>
      <c r="L262" s="57"/>
    </row>
    <row r="263" spans="11:12" x14ac:dyDescent="0.25">
      <c r="K263" s="57"/>
    </row>
    <row r="264" spans="11:12" x14ac:dyDescent="0.25">
      <c r="K264" s="57"/>
    </row>
    <row r="265" spans="11:12" x14ac:dyDescent="0.25">
      <c r="K265" s="57"/>
      <c r="L265" s="57"/>
    </row>
    <row r="266" spans="11:12" x14ac:dyDescent="0.25">
      <c r="K266" s="57"/>
      <c r="L266" s="57"/>
    </row>
    <row r="267" spans="11:12" x14ac:dyDescent="0.25">
      <c r="L267" s="57"/>
    </row>
    <row r="268" spans="11:12" x14ac:dyDescent="0.25">
      <c r="K268" s="57"/>
    </row>
    <row r="270" spans="11:12" x14ac:dyDescent="0.25">
      <c r="K270" s="57"/>
      <c r="L270" s="57"/>
    </row>
    <row r="271" spans="11:12" x14ac:dyDescent="0.25">
      <c r="K271" s="57"/>
      <c r="L271" s="57"/>
    </row>
    <row r="272" spans="11:12" x14ac:dyDescent="0.25">
      <c r="K272" s="57"/>
      <c r="L272" s="57"/>
    </row>
    <row r="273" spans="11:11" x14ac:dyDescent="0.25">
      <c r="K273" s="57"/>
    </row>
    <row r="275" spans="11:11" x14ac:dyDescent="0.25">
      <c r="K275" s="57"/>
    </row>
    <row r="281" spans="11:11" x14ac:dyDescent="0.25">
      <c r="K281" s="57"/>
    </row>
    <row r="286" spans="11:11" x14ac:dyDescent="0.25">
      <c r="K286" s="57"/>
    </row>
    <row r="291" spans="11:11" x14ac:dyDescent="0.25">
      <c r="K291" s="57"/>
    </row>
    <row r="296" spans="11:11" x14ac:dyDescent="0.25">
      <c r="K296" s="57"/>
    </row>
    <row r="297" spans="11:11" x14ac:dyDescent="0.25">
      <c r="K297" s="57"/>
    </row>
    <row r="298" spans="11:11" x14ac:dyDescent="0.25">
      <c r="K298" s="57"/>
    </row>
    <row r="299" spans="11:11" x14ac:dyDescent="0.25">
      <c r="K299" s="57"/>
    </row>
    <row r="300" spans="11:11" x14ac:dyDescent="0.25">
      <c r="K300" s="57"/>
    </row>
    <row r="302" spans="11:11" x14ac:dyDescent="0.25">
      <c r="K302" s="57"/>
    </row>
    <row r="304" spans="11:11" x14ac:dyDescent="0.25">
      <c r="K304" s="57"/>
    </row>
    <row r="305" spans="11:11" x14ac:dyDescent="0.25">
      <c r="K305" s="57"/>
    </row>
    <row r="306" spans="11:11" x14ac:dyDescent="0.25">
      <c r="K306" s="57"/>
    </row>
    <row r="307" spans="11:11" x14ac:dyDescent="0.25">
      <c r="K307" s="57"/>
    </row>
    <row r="309" spans="11:11" x14ac:dyDescent="0.25">
      <c r="K309" s="57"/>
    </row>
    <row r="317" spans="11:11" x14ac:dyDescent="0.25">
      <c r="K317" s="57"/>
    </row>
    <row r="318" spans="11:11" x14ac:dyDescent="0.25">
      <c r="K318" s="57"/>
    </row>
    <row r="319" spans="11:11" x14ac:dyDescent="0.25">
      <c r="K319" s="57"/>
    </row>
    <row r="322" spans="11:11" x14ac:dyDescent="0.25">
      <c r="K322" s="57"/>
    </row>
    <row r="323" spans="11:11" x14ac:dyDescent="0.25">
      <c r="K323" s="57"/>
    </row>
    <row r="324" spans="11:11" x14ac:dyDescent="0.25">
      <c r="K324" s="57"/>
    </row>
    <row r="327" spans="11:11" x14ac:dyDescent="0.25">
      <c r="K327" s="57"/>
    </row>
    <row r="328" spans="11:11" x14ac:dyDescent="0.25">
      <c r="K328" s="57"/>
    </row>
    <row r="329" spans="11:11" x14ac:dyDescent="0.25">
      <c r="K329" s="57"/>
    </row>
    <row r="332" spans="11:11" x14ac:dyDescent="0.25">
      <c r="K332" s="57"/>
    </row>
    <row r="333" spans="11:11" x14ac:dyDescent="0.25">
      <c r="K333" s="57"/>
    </row>
    <row r="334" spans="11:11" x14ac:dyDescent="0.25">
      <c r="K334" s="57"/>
    </row>
    <row r="341" spans="11:11" x14ac:dyDescent="0.25">
      <c r="K341" s="57"/>
    </row>
    <row r="342" spans="11:11" x14ac:dyDescent="0.25">
      <c r="K342" s="57"/>
    </row>
    <row r="343" spans="11:11" x14ac:dyDescent="0.25">
      <c r="K343" s="57"/>
    </row>
    <row r="346" spans="11:11" x14ac:dyDescent="0.25">
      <c r="K346" s="57"/>
    </row>
    <row r="347" spans="11:11" x14ac:dyDescent="0.25">
      <c r="K347" s="57"/>
    </row>
    <row r="348" spans="11:11" x14ac:dyDescent="0.25">
      <c r="K348" s="57"/>
    </row>
    <row r="351" spans="11:11" x14ac:dyDescent="0.25">
      <c r="K351" s="57"/>
    </row>
    <row r="352" spans="11:11" x14ac:dyDescent="0.25">
      <c r="K352" s="57"/>
    </row>
    <row r="353" spans="4:11" x14ac:dyDescent="0.25">
      <c r="K353" s="57"/>
    </row>
    <row r="356" spans="4:11" x14ac:dyDescent="0.25">
      <c r="K356" s="57"/>
    </row>
    <row r="357" spans="4:11" x14ac:dyDescent="0.25">
      <c r="K357" s="57"/>
    </row>
    <row r="358" spans="4:11" x14ac:dyDescent="0.25">
      <c r="K358" s="57"/>
    </row>
    <row r="361" spans="4:11" x14ac:dyDescent="0.25">
      <c r="D361" s="46"/>
    </row>
  </sheetData>
  <phoneticPr fontId="53" type="noConversion"/>
  <conditionalFormatting sqref="F126:F127">
    <cfRule type="cellIs" dxfId="65" priority="17" operator="lessThan">
      <formula>0</formula>
    </cfRule>
  </conditionalFormatting>
  <conditionalFormatting sqref="F138:F139">
    <cfRule type="cellIs" dxfId="64" priority="16" operator="lessThan">
      <formula>0</formula>
    </cfRule>
  </conditionalFormatting>
  <conditionalFormatting sqref="F150:F151">
    <cfRule type="cellIs" dxfId="63" priority="15" operator="lessThan">
      <formula>0</formula>
    </cfRule>
  </conditionalFormatting>
  <conditionalFormatting sqref="F162:F163">
    <cfRule type="cellIs" dxfId="62" priority="14" operator="lessThan">
      <formula>0</formula>
    </cfRule>
  </conditionalFormatting>
  <conditionalFormatting sqref="F250:F251">
    <cfRule type="cellIs" dxfId="61" priority="27" operator="lessThan">
      <formula>0</formula>
    </cfRule>
  </conditionalFormatting>
  <conditionalFormatting sqref="F255:F256">
    <cfRule type="cellIs" dxfId="60" priority="26" operator="lessThan">
      <formula>0</formula>
    </cfRule>
  </conditionalFormatting>
  <conditionalFormatting sqref="F260:F261">
    <cfRule type="cellIs" dxfId="59" priority="25" operator="lessThan">
      <formula>0</formula>
    </cfRule>
  </conditionalFormatting>
  <conditionalFormatting sqref="F284:F285">
    <cfRule type="cellIs" dxfId="58" priority="24" operator="lessThan">
      <formula>0</formula>
    </cfRule>
  </conditionalFormatting>
  <conditionalFormatting sqref="F289:F290">
    <cfRule type="cellIs" dxfId="57" priority="23" operator="lessThan">
      <formula>0</formula>
    </cfRule>
  </conditionalFormatting>
  <conditionalFormatting sqref="F294:F295">
    <cfRule type="cellIs" dxfId="56" priority="22" operator="lessThan">
      <formula>0</formula>
    </cfRule>
  </conditionalFormatting>
  <conditionalFormatting sqref="I31 I41:I42 H43:H45 O44 N45 I46 I48:I50 I52:I53 I204:J204 E210:G210 I210:J210 K247 J248 K252 J253 K257 J258 K262:K266 J263:J267 K268 J269 K270:K273 J271:J274 K275 J276 K281 J282 K286 J287 K291 J292 K296:K300 J297:J301 K302 J303 K304:K307 J305:J308 K309 J310">
    <cfRule type="cellIs" dxfId="55" priority="21" operator="lessThan">
      <formula>0</formula>
    </cfRule>
  </conditionalFormatting>
  <conditionalFormatting sqref="I33:I37 F47 K184:L184 K188:L189 K192:L193 K198:L199 K202:L203 K209:L209">
    <cfRule type="cellIs" dxfId="54" priority="19" operator="lessThan">
      <formula>0</formula>
    </cfRule>
  </conditionalFormatting>
  <conditionalFormatting sqref="I57:I61">
    <cfRule type="cellIs" dxfId="53" priority="4" operator="lessThan">
      <formula>0</formula>
    </cfRule>
  </conditionalFormatting>
  <conditionalFormatting sqref="I65 M104 I124:J124">
    <cfRule type="cellIs" dxfId="52" priority="20" operator="lessThan">
      <formula>0</formula>
    </cfRule>
  </conditionalFormatting>
  <conditionalFormatting sqref="I76:I78">
    <cfRule type="cellIs" dxfId="51" priority="3" operator="lessThan">
      <formula>0</formula>
    </cfRule>
  </conditionalFormatting>
  <conditionalFormatting sqref="I82:I85">
    <cfRule type="cellIs" dxfId="50" priority="2" operator="lessThan">
      <formula>0</formula>
    </cfRule>
  </conditionalFormatting>
  <conditionalFormatting sqref="I89:I93">
    <cfRule type="cellIs" dxfId="49" priority="1" operator="lessThan">
      <formula>0</formula>
    </cfRule>
  </conditionalFormatting>
  <conditionalFormatting sqref="J152">
    <cfRule type="cellIs" dxfId="48" priority="18" operator="lessThan">
      <formula>0</formula>
    </cfRule>
  </conditionalFormatting>
  <conditionalFormatting sqref="L117:L120">
    <cfRule type="cellIs" dxfId="47" priority="8" operator="lessThan">
      <formula>0</formula>
    </cfRule>
  </conditionalFormatting>
  <conditionalFormatting sqref="L123">
    <cfRule type="cellIs" dxfId="46" priority="13" operator="lessThan">
      <formula>0</formula>
    </cfRule>
  </conditionalFormatting>
  <conditionalFormatting sqref="L129:L132">
    <cfRule type="cellIs" dxfId="45" priority="7" operator="lessThan">
      <formula>0</formula>
    </cfRule>
  </conditionalFormatting>
  <conditionalFormatting sqref="L135">
    <cfRule type="cellIs" dxfId="44" priority="12" operator="lessThan">
      <formula>0</formula>
    </cfRule>
  </conditionalFormatting>
  <conditionalFormatting sqref="L141:L144">
    <cfRule type="cellIs" dxfId="43" priority="6" operator="lessThan">
      <formula>0</formula>
    </cfRule>
  </conditionalFormatting>
  <conditionalFormatting sqref="L147">
    <cfRule type="cellIs" dxfId="42" priority="11" operator="lessThan">
      <formula>0</formula>
    </cfRule>
  </conditionalFormatting>
  <conditionalFormatting sqref="L153:L156">
    <cfRule type="cellIs" dxfId="41" priority="5" operator="lessThan">
      <formula>0</formula>
    </cfRule>
  </conditionalFormatting>
  <conditionalFormatting sqref="L159">
    <cfRule type="cellIs" dxfId="40" priority="10" operator="lessThan">
      <formula>0</formula>
    </cfRule>
  </conditionalFormatting>
  <conditionalFormatting sqref="L163:L164">
    <cfRule type="cellIs" dxfId="39" priority="9" operator="lessThan">
      <formula>0</formula>
    </cfRule>
  </conditionalFormatting>
  <conditionalFormatting sqref="L210:L214 L216 L218:L221 L223 J228:J230 J233:J235">
    <cfRule type="cellIs" dxfId="38" priority="28" operator="lessThan">
      <formula>0</formula>
    </cfRule>
  </conditionalFormatting>
  <dataValidations count="12">
    <dataValidation type="list" allowBlank="1" showInputMessage="1" showErrorMessage="1" sqref="D18:D20" xr:uid="{DFB1096D-C6F6-4F85-BE80-B4F0EFA04D5F}">
      <formula1>INDIRECT("FertiliserProducts[Product Name]")</formula1>
    </dataValidation>
    <dataValidation type="list" allowBlank="1" showInputMessage="1" showErrorMessage="1" sqref="D44:D45" xr:uid="{933F6C75-4F8D-4677-98CD-E5EE702A5D18}">
      <formula1>INDIRECT("Table_SourceData_OrganicFertiliserTypes[Organic fertiliser type]")</formula1>
    </dataValidation>
    <dataValidation type="list" allowBlank="1" showInputMessage="1" showErrorMessage="1" sqref="H24:H25 J24:J25 L24:L25 N24:N25" xr:uid="{D7073A6D-18BD-41CA-A77B-6A00CDC67745}">
      <formula1>INDIRECT("Table_Fertiliser_ChemicalCompounds[Fertiliser type f]")</formula1>
    </dataValidation>
    <dataValidation type="list" allowBlank="1" showInputMessage="1" showErrorMessage="1" sqref="E7" xr:uid="{F56FF499-9AC2-4F57-BD46-B9FDA21D8F09}">
      <formula1>INDIRECT("Table_SourceData_Fertiliser_CropTypes[Production system]")</formula1>
    </dataValidation>
    <dataValidation type="list" allowBlank="1" showInputMessage="1" showErrorMessage="1" sqref="E8" xr:uid="{6762F7CA-B3D9-46AC-BBAB-3910D1160D93}">
      <formula1>INDIRECT("Table_SourceData_Fertiliser_IrrigationMethods[Irrigation method]")</formula1>
    </dataValidation>
    <dataValidation type="list" allowBlank="1" showInputMessage="1" showErrorMessage="1" sqref="E6" xr:uid="{CB867B68-D885-4628-9A66-382CC9E9542F}">
      <formula1>INDIRECT("Table_SourceData_Fertiliser_CropProdSystems[Production system]")</formula1>
    </dataValidation>
    <dataValidation type="list" allowBlank="1" showInputMessage="1" showErrorMessage="1" sqref="E64" xr:uid="{0C22F7DB-C841-4220-875C-77CE00E27B46}">
      <formula1>INDIRECT("Table_SourceData_Swine_CropProdSystems[Production system]")</formula1>
    </dataValidation>
    <dataValidation type="list" allowBlank="1" showInputMessage="1" showErrorMessage="1" sqref="E65" xr:uid="{1A26CE76-D0A3-489D-A86A-781AB458D170}">
      <formula1>INDIRECT("Table_SourceData_Swine_IrrigationMethods[Irrigation method]")</formula1>
    </dataValidation>
    <dataValidation type="list" allowBlank="1" showInputMessage="1" showErrorMessage="1" sqref="E249 E254 E259 E293 E288 E283 E161 E149 E125 E137" xr:uid="{25F6A59C-0583-41B9-9DD8-3BA15915AFD8}">
      <formula1>"Yes, No"</formula1>
    </dataValidation>
    <dataValidation type="list" allowBlank="1" showInputMessage="1" showErrorMessage="1" sqref="E225" xr:uid="{2695B8EE-F17D-4863-835D-8745430A24C1}">
      <formula1>INDIRECT("Table_SourceData_Dairy_ProductionSystemTemplates[Area]")</formula1>
    </dataValidation>
    <dataValidation type="list" allowBlank="1" showInputMessage="1" showErrorMessage="1" sqref="D277" xr:uid="{B3E90F14-EC39-4891-8BD5-CB7DD89D5A7E}">
      <formula1>INDIRECT("Table_SourceData_PoultryMMSStage1[MMS]")</formula1>
    </dataValidation>
    <dataValidation type="list" allowBlank="1" showInputMessage="1" showErrorMessage="1" sqref="Q24:R25" xr:uid="{BFE65A65-42AA-49AF-8F4F-A3B2D9836831}">
      <formula1>INDIRECT("Table_SourceData_Fertiliser_UreaAmmoniaSources[Source]")</formula1>
    </dataValidation>
  </dataValidations>
  <pageMargins left="0.7" right="0.7" top="0.75" bottom="0.75" header="0.3" footer="0.3"/>
  <pageSetup paperSize="9" orientation="portrait" r:id="rId1"/>
  <tableParts count="4">
    <tablePart r:id="rId2"/>
    <tablePart r:id="rId3"/>
    <tablePart r:id="rId4"/>
    <tablePart r:id="rId5"/>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2CD486-B501-4B7E-8D74-9BADE1C3766D}">
  <dimension ref="A1:FC133"/>
  <sheetViews>
    <sheetView showGridLines="0" topLeftCell="A4" zoomScaleNormal="100" workbookViewId="0">
      <selection activeCell="D7" sqref="D7:Q25"/>
    </sheetView>
  </sheetViews>
  <sheetFormatPr defaultColWidth="8" defaultRowHeight="15.75" x14ac:dyDescent="0.25"/>
  <cols>
    <col min="1" max="1" width="26.875" style="18" customWidth="1"/>
    <col min="2" max="2" width="4.125" style="4" customWidth="1"/>
    <col min="3" max="3" width="4.125" style="7" customWidth="1"/>
    <col min="4" max="4" width="44.375" style="7" customWidth="1"/>
    <col min="5" max="15" width="26.875" style="7" customWidth="1"/>
    <col min="16" max="16" width="30.625" style="7" customWidth="1"/>
    <col min="17" max="24" width="26.875" style="4" customWidth="1"/>
    <col min="25" max="25" width="25.125" style="4" customWidth="1"/>
    <col min="26" max="27" width="8" style="4"/>
    <col min="28" max="16384" width="8" style="7"/>
  </cols>
  <sheetData>
    <row r="1" spans="1:151" s="4" customFormat="1" ht="30" customHeight="1" x14ac:dyDescent="0.35">
      <c r="A1" s="139" t="e" vm="1">
        <v>#VALUE!</v>
      </c>
      <c r="C1" s="97" t="s">
        <v>315</v>
      </c>
    </row>
    <row r="2" spans="1:151" s="4" customFormat="1" ht="20.100000000000001" customHeight="1" x14ac:dyDescent="0.25">
      <c r="C2" s="2"/>
      <c r="D2" s="2"/>
      <c r="E2" s="2"/>
      <c r="F2" s="2"/>
      <c r="G2" s="2"/>
      <c r="H2" s="2"/>
      <c r="I2" s="2"/>
      <c r="J2" s="2"/>
    </row>
    <row r="3" spans="1:151" ht="20.100000000000001" customHeight="1" x14ac:dyDescent="0.25">
      <c r="A3" s="16" t="s">
        <v>297</v>
      </c>
      <c r="C3" s="28"/>
      <c r="D3" s="28"/>
      <c r="E3" s="28"/>
      <c r="F3" s="28"/>
      <c r="G3" s="28"/>
      <c r="H3" s="28"/>
      <c r="I3" s="28"/>
      <c r="J3" s="28"/>
      <c r="K3" s="28"/>
      <c r="L3" s="28"/>
      <c r="M3" s="28"/>
      <c r="N3" s="28"/>
      <c r="O3" s="28"/>
      <c r="P3" s="28"/>
      <c r="Q3" s="28"/>
      <c r="R3" s="28"/>
      <c r="S3" s="142"/>
      <c r="T3" s="142"/>
      <c r="U3" s="142"/>
      <c r="V3" s="142"/>
      <c r="W3" s="142"/>
      <c r="X3" s="142"/>
      <c r="Y3" s="142"/>
      <c r="Z3" s="142"/>
      <c r="AB3" s="4"/>
      <c r="AC3" s="4"/>
      <c r="AD3" s="4"/>
      <c r="AE3" s="4"/>
      <c r="AF3" s="4"/>
      <c r="AG3" s="4"/>
      <c r="AH3" s="4"/>
      <c r="AI3" s="4"/>
      <c r="AJ3" s="4"/>
      <c r="AK3" s="4"/>
      <c r="AL3" s="4"/>
      <c r="AM3" s="4"/>
      <c r="AN3" s="4"/>
      <c r="AO3" s="4"/>
      <c r="AP3" s="4"/>
      <c r="AQ3" s="4"/>
      <c r="AR3" s="4"/>
      <c r="AS3" s="4"/>
      <c r="AT3" s="4"/>
      <c r="AU3" s="4"/>
      <c r="AV3" s="4"/>
      <c r="AW3" s="4"/>
      <c r="AX3" s="4"/>
      <c r="AY3" s="4"/>
      <c r="AZ3" s="4"/>
      <c r="BA3" s="4"/>
      <c r="BB3" s="4"/>
      <c r="BC3" s="4"/>
      <c r="BD3" s="4"/>
      <c r="BE3" s="4"/>
      <c r="BF3" s="4"/>
      <c r="BG3" s="4"/>
      <c r="BH3" s="4"/>
      <c r="BI3" s="4"/>
      <c r="BJ3" s="4"/>
      <c r="BK3" s="4"/>
      <c r="BL3" s="4"/>
      <c r="BM3" s="4"/>
      <c r="BN3" s="4"/>
      <c r="BO3" s="4"/>
      <c r="BP3" s="4"/>
      <c r="BQ3" s="4"/>
      <c r="BR3" s="4"/>
      <c r="BS3" s="4"/>
      <c r="BT3" s="4"/>
      <c r="BU3" s="4"/>
      <c r="BV3" s="4"/>
      <c r="BW3" s="4"/>
      <c r="BX3" s="4"/>
      <c r="BY3" s="4"/>
      <c r="BZ3" s="4"/>
      <c r="CA3" s="4"/>
      <c r="CB3" s="4"/>
      <c r="CC3" s="4"/>
      <c r="CD3" s="4"/>
      <c r="CE3" s="4"/>
      <c r="CF3" s="4"/>
      <c r="CG3" s="4"/>
      <c r="CH3" s="4"/>
      <c r="CI3" s="4"/>
      <c r="CJ3" s="4"/>
      <c r="CK3" s="4"/>
      <c r="CL3" s="4"/>
      <c r="CM3" s="4"/>
      <c r="CN3" s="4"/>
      <c r="CO3" s="4"/>
      <c r="CP3" s="4"/>
      <c r="CQ3" s="4"/>
      <c r="CR3" s="4"/>
      <c r="CS3" s="4"/>
      <c r="CT3" s="4"/>
      <c r="CU3" s="4"/>
      <c r="CV3" s="4"/>
      <c r="CW3" s="4"/>
      <c r="CX3" s="4"/>
      <c r="CY3" s="4"/>
      <c r="CZ3" s="4"/>
      <c r="DA3" s="4"/>
      <c r="DB3" s="4"/>
      <c r="DC3" s="4"/>
      <c r="DD3" s="4"/>
      <c r="DE3" s="4"/>
      <c r="DF3" s="4"/>
      <c r="DG3" s="4"/>
      <c r="DH3" s="4"/>
      <c r="DI3" s="4"/>
      <c r="DJ3" s="4"/>
      <c r="DK3" s="4"/>
      <c r="DL3" s="4"/>
      <c r="DM3" s="4"/>
      <c r="DN3" s="4"/>
      <c r="DO3" s="4"/>
      <c r="DP3" s="4"/>
      <c r="DQ3" s="4"/>
      <c r="DR3" s="4"/>
      <c r="DS3" s="4"/>
      <c r="DT3" s="4"/>
      <c r="DU3" s="4"/>
      <c r="DV3" s="4"/>
      <c r="DW3" s="4"/>
      <c r="DX3" s="4"/>
      <c r="DY3" s="4"/>
      <c r="DZ3" s="4"/>
      <c r="EA3" s="4"/>
      <c r="EB3" s="4"/>
      <c r="EC3" s="4"/>
      <c r="ED3" s="4"/>
      <c r="EE3" s="4"/>
      <c r="EF3" s="4"/>
      <c r="EG3" s="4"/>
      <c r="EH3" s="4"/>
      <c r="EI3" s="4"/>
      <c r="EJ3" s="4"/>
      <c r="EK3" s="4"/>
      <c r="EL3" s="4"/>
      <c r="EM3" s="4"/>
      <c r="EN3" s="4"/>
      <c r="EO3" s="4"/>
      <c r="EP3" s="4"/>
      <c r="EQ3" s="4"/>
      <c r="ER3" s="4"/>
      <c r="ES3" s="4"/>
    </row>
    <row r="4" spans="1:151" ht="20.100000000000001" customHeight="1" x14ac:dyDescent="0.25">
      <c r="A4" s="16" t="str">
        <f>HYPERLINK("#'Results'!A1", "Results")</f>
        <v>Results</v>
      </c>
      <c r="Q4" s="7"/>
      <c r="R4" s="7"/>
      <c r="AB4" s="4"/>
      <c r="AC4" s="4"/>
      <c r="AD4" s="4"/>
      <c r="AE4" s="4"/>
      <c r="AF4" s="4"/>
      <c r="AG4" s="4"/>
      <c r="AH4" s="4"/>
      <c r="AI4" s="4"/>
      <c r="AJ4" s="4"/>
      <c r="AK4" s="4"/>
      <c r="AL4" s="4"/>
      <c r="AM4" s="4"/>
      <c r="AN4" s="4"/>
      <c r="AO4" s="4"/>
      <c r="AP4" s="4"/>
      <c r="AQ4" s="4"/>
      <c r="AR4" s="4"/>
      <c r="AS4" s="4"/>
      <c r="AT4" s="4"/>
      <c r="AU4" s="4"/>
      <c r="AV4" s="4"/>
      <c r="AW4" s="4"/>
      <c r="AX4" s="4"/>
      <c r="AY4" s="4"/>
      <c r="AZ4" s="4"/>
      <c r="BA4" s="4"/>
      <c r="BB4" s="4"/>
      <c r="BC4" s="4"/>
      <c r="BD4" s="4"/>
      <c r="BE4" s="4"/>
      <c r="BF4" s="4"/>
      <c r="BG4" s="4"/>
      <c r="BH4" s="4"/>
      <c r="BI4" s="4"/>
      <c r="BJ4" s="4"/>
      <c r="BK4" s="4"/>
      <c r="BL4" s="4"/>
      <c r="BM4" s="4"/>
      <c r="BN4" s="4"/>
      <c r="BO4" s="4"/>
      <c r="BP4" s="4"/>
      <c r="BQ4" s="4"/>
      <c r="BR4" s="4"/>
      <c r="BS4" s="4"/>
      <c r="BT4" s="4"/>
      <c r="BU4" s="4"/>
      <c r="BV4" s="4"/>
      <c r="BW4" s="4"/>
      <c r="BX4" s="4"/>
      <c r="BY4" s="4"/>
      <c r="BZ4" s="4"/>
      <c r="CA4" s="4"/>
      <c r="CB4" s="4"/>
      <c r="CC4" s="4"/>
      <c r="CD4" s="4"/>
      <c r="CE4" s="4"/>
      <c r="CF4" s="4"/>
      <c r="CG4" s="4"/>
      <c r="CH4" s="4"/>
      <c r="CI4" s="4"/>
      <c r="CJ4" s="4"/>
      <c r="CK4" s="4"/>
      <c r="CL4" s="4"/>
      <c r="CM4" s="4"/>
      <c r="CN4" s="4"/>
      <c r="CO4" s="4"/>
      <c r="CP4" s="4"/>
      <c r="CQ4" s="4"/>
      <c r="CR4" s="4"/>
      <c r="CS4" s="4"/>
      <c r="CT4" s="4"/>
      <c r="CU4" s="4"/>
      <c r="CV4" s="4"/>
      <c r="CW4" s="4"/>
      <c r="CX4" s="4"/>
      <c r="CY4" s="4"/>
      <c r="CZ4" s="4"/>
      <c r="DA4" s="4"/>
      <c r="DB4" s="4"/>
      <c r="DC4" s="4"/>
      <c r="DD4" s="4"/>
      <c r="DE4" s="4"/>
      <c r="DF4" s="4"/>
      <c r="DG4" s="4"/>
      <c r="DH4" s="4"/>
      <c r="DI4" s="4"/>
      <c r="DJ4" s="4"/>
      <c r="DK4" s="4"/>
      <c r="DL4" s="4"/>
      <c r="DM4" s="4"/>
      <c r="DN4" s="4"/>
      <c r="DO4" s="4"/>
      <c r="DP4" s="4"/>
      <c r="DQ4" s="4"/>
      <c r="DR4" s="4"/>
      <c r="DS4" s="4"/>
      <c r="DT4" s="4"/>
      <c r="DU4" s="4"/>
      <c r="DV4" s="4"/>
      <c r="DW4" s="4"/>
      <c r="DX4" s="4"/>
      <c r="DY4" s="4"/>
      <c r="DZ4" s="4"/>
      <c r="EA4" s="4"/>
      <c r="EB4" s="4"/>
      <c r="EC4" s="4"/>
      <c r="ED4" s="4"/>
      <c r="EE4" s="4"/>
      <c r="EF4" s="4"/>
      <c r="EG4" s="4"/>
      <c r="EH4" s="4"/>
      <c r="EI4" s="4"/>
      <c r="EJ4" s="4"/>
      <c r="EK4" s="4"/>
      <c r="EL4" s="4"/>
      <c r="EM4" s="4"/>
      <c r="EN4" s="4"/>
      <c r="EO4" s="4"/>
      <c r="EP4" s="4"/>
      <c r="EQ4" s="4"/>
      <c r="ER4" s="4"/>
      <c r="ES4" s="4"/>
    </row>
    <row r="5" spans="1:151" ht="20.100000000000001" customHeight="1" x14ac:dyDescent="0.25">
      <c r="D5" s="9" t="s">
        <v>316</v>
      </c>
      <c r="Q5" s="7"/>
      <c r="R5" s="7"/>
      <c r="AB5" s="4"/>
      <c r="AC5" s="4"/>
      <c r="AD5" s="4"/>
      <c r="AE5" s="4"/>
      <c r="AF5" s="4"/>
      <c r="AG5" s="4"/>
      <c r="AH5" s="4"/>
      <c r="AI5" s="4"/>
      <c r="AJ5" s="4"/>
      <c r="AK5" s="4"/>
      <c r="AL5" s="4"/>
      <c r="AM5" s="4"/>
      <c r="AN5" s="4"/>
      <c r="AO5" s="4"/>
      <c r="AP5" s="4"/>
      <c r="AQ5" s="4"/>
      <c r="AR5" s="4"/>
      <c r="AS5" s="4"/>
      <c r="AT5" s="4"/>
      <c r="AU5" s="4"/>
      <c r="AV5" s="4"/>
      <c r="AW5" s="4"/>
      <c r="AX5" s="4"/>
      <c r="AY5" s="4"/>
      <c r="AZ5" s="4"/>
      <c r="BA5" s="4"/>
      <c r="BB5" s="4"/>
      <c r="BC5" s="4"/>
      <c r="BD5" s="4"/>
      <c r="BE5" s="4"/>
      <c r="BF5" s="4"/>
      <c r="BG5" s="4"/>
      <c r="BH5" s="4"/>
      <c r="BI5" s="4"/>
      <c r="BJ5" s="4"/>
      <c r="BK5" s="4"/>
      <c r="BL5" s="4"/>
      <c r="BM5" s="4"/>
      <c r="BN5" s="4"/>
      <c r="BO5" s="4"/>
      <c r="BP5" s="4"/>
      <c r="BQ5" s="4"/>
      <c r="BR5" s="4"/>
      <c r="BS5" s="4"/>
      <c r="BT5" s="4"/>
      <c r="BU5" s="4"/>
      <c r="BV5" s="4"/>
      <c r="BW5" s="4"/>
      <c r="BX5" s="4"/>
      <c r="BY5" s="4"/>
      <c r="BZ5" s="4"/>
      <c r="CA5" s="4"/>
      <c r="CB5" s="4"/>
      <c r="CC5" s="4"/>
      <c r="CD5" s="4"/>
      <c r="CE5" s="4"/>
      <c r="CF5" s="4"/>
      <c r="CG5" s="4"/>
      <c r="CH5" s="4"/>
      <c r="CI5" s="4"/>
      <c r="CJ5" s="4"/>
      <c r="CK5" s="4"/>
      <c r="CL5" s="4"/>
      <c r="CM5" s="4"/>
      <c r="CN5" s="4"/>
      <c r="CO5" s="4"/>
      <c r="CP5" s="4"/>
      <c r="CQ5" s="4"/>
      <c r="CR5" s="4"/>
      <c r="CS5" s="4"/>
      <c r="CT5" s="4"/>
      <c r="CU5" s="4"/>
      <c r="CV5" s="4"/>
      <c r="CW5" s="4"/>
      <c r="CX5" s="4"/>
      <c r="CY5" s="4"/>
      <c r="CZ5" s="4"/>
      <c r="DA5" s="4"/>
      <c r="DB5" s="4"/>
      <c r="DC5" s="4"/>
      <c r="DD5" s="4"/>
      <c r="DE5" s="4"/>
      <c r="DF5" s="4"/>
      <c r="DG5" s="4"/>
      <c r="DH5" s="4"/>
      <c r="DI5" s="4"/>
      <c r="DJ5" s="4"/>
      <c r="DK5" s="4"/>
      <c r="DL5" s="4"/>
      <c r="DM5" s="4"/>
      <c r="DN5" s="4"/>
      <c r="DO5" s="4"/>
      <c r="DP5" s="4"/>
      <c r="DQ5" s="4"/>
      <c r="DR5" s="4"/>
      <c r="DS5" s="4"/>
      <c r="DT5" s="4"/>
      <c r="DU5" s="4"/>
      <c r="DV5" s="4"/>
      <c r="DW5" s="4"/>
      <c r="DX5" s="4"/>
      <c r="DY5" s="4"/>
      <c r="DZ5" s="4"/>
      <c r="EA5" s="4"/>
      <c r="EB5" s="4"/>
      <c r="EC5" s="4"/>
      <c r="ED5" s="4"/>
      <c r="EE5" s="4"/>
      <c r="EF5" s="4"/>
      <c r="EG5" s="4"/>
      <c r="EH5" s="4"/>
      <c r="EI5" s="4"/>
      <c r="EJ5" s="4"/>
      <c r="EK5" s="4"/>
      <c r="EL5" s="4"/>
      <c r="EM5" s="4"/>
      <c r="EN5" s="4"/>
      <c r="EO5" s="4"/>
      <c r="EP5" s="4"/>
      <c r="EQ5" s="4"/>
      <c r="ER5" s="4"/>
      <c r="ES5" s="4"/>
    </row>
    <row r="6" spans="1:151" ht="20.100000000000001" customHeight="1" x14ac:dyDescent="0.25">
      <c r="A6" s="19" t="s">
        <v>67</v>
      </c>
      <c r="Q6" s="7"/>
      <c r="R6" s="7"/>
      <c r="AB6" s="4"/>
      <c r="AC6" s="4"/>
      <c r="AD6" s="4"/>
      <c r="AE6" s="4"/>
      <c r="AF6" s="4"/>
      <c r="AG6" s="4"/>
      <c r="AH6" s="4"/>
      <c r="AI6" s="4"/>
      <c r="AJ6" s="4"/>
      <c r="AK6" s="4"/>
      <c r="AL6" s="4"/>
      <c r="AM6" s="4"/>
      <c r="AN6" s="4"/>
      <c r="AO6" s="4"/>
      <c r="AP6" s="4"/>
      <c r="AQ6" s="4"/>
      <c r="AR6" s="4"/>
      <c r="AS6" s="4"/>
      <c r="AT6" s="4"/>
      <c r="AU6" s="4"/>
      <c r="AV6" s="4"/>
      <c r="AW6" s="4"/>
      <c r="AX6" s="4"/>
      <c r="AY6" s="4"/>
      <c r="AZ6" s="4"/>
      <c r="BA6" s="4"/>
      <c r="BB6" s="4"/>
      <c r="BC6" s="4"/>
      <c r="BD6" s="4"/>
      <c r="BE6" s="4"/>
      <c r="BF6" s="4"/>
      <c r="BG6" s="4"/>
      <c r="BH6" s="4"/>
      <c r="BI6" s="4"/>
      <c r="BJ6" s="4"/>
      <c r="BK6" s="4"/>
      <c r="BL6" s="4"/>
      <c r="BM6" s="4"/>
      <c r="BN6" s="4"/>
      <c r="BO6" s="4"/>
      <c r="BP6" s="4"/>
      <c r="BQ6" s="4"/>
      <c r="BR6" s="4"/>
      <c r="BS6" s="4"/>
      <c r="BT6" s="4"/>
      <c r="BU6" s="4"/>
      <c r="BV6" s="4"/>
      <c r="BW6" s="4"/>
      <c r="BX6" s="4"/>
      <c r="BY6" s="4"/>
      <c r="BZ6" s="4"/>
      <c r="CA6" s="4"/>
      <c r="CB6" s="4"/>
      <c r="CC6" s="4"/>
      <c r="CD6" s="4"/>
      <c r="CE6" s="4"/>
      <c r="CF6" s="4"/>
      <c r="CG6" s="4"/>
      <c r="CH6" s="4"/>
      <c r="CI6" s="4"/>
      <c r="CJ6" s="4"/>
      <c r="CK6" s="4"/>
      <c r="CL6" s="4"/>
      <c r="CM6" s="4"/>
      <c r="CN6" s="4"/>
      <c r="CO6" s="4"/>
      <c r="CP6" s="4"/>
      <c r="CQ6" s="4"/>
      <c r="CR6" s="4"/>
      <c r="CS6" s="4"/>
      <c r="CT6" s="4"/>
      <c r="CU6" s="4"/>
      <c r="CV6" s="4"/>
      <c r="CW6" s="4"/>
      <c r="CX6" s="4"/>
      <c r="CY6" s="4"/>
      <c r="CZ6" s="4"/>
      <c r="DA6" s="4"/>
      <c r="DB6" s="4"/>
      <c r="DC6" s="4"/>
      <c r="DD6" s="4"/>
      <c r="DE6" s="4"/>
      <c r="DF6" s="4"/>
      <c r="DG6" s="4"/>
      <c r="DH6" s="4"/>
      <c r="DI6" s="4"/>
      <c r="DJ6" s="4"/>
      <c r="DK6" s="4"/>
      <c r="DL6" s="4"/>
      <c r="DM6" s="4"/>
      <c r="DN6" s="4"/>
      <c r="DO6" s="4"/>
      <c r="DP6" s="4"/>
      <c r="DQ6" s="4"/>
      <c r="DR6" s="4"/>
      <c r="DS6" s="4"/>
      <c r="DT6" s="4"/>
      <c r="DU6" s="4"/>
      <c r="DV6" s="4"/>
      <c r="DW6" s="4"/>
      <c r="DX6" s="4"/>
      <c r="DY6" s="4"/>
      <c r="DZ6" s="4"/>
      <c r="EA6" s="4"/>
      <c r="EB6" s="4"/>
      <c r="EC6" s="4"/>
      <c r="ED6" s="4"/>
      <c r="EE6" s="4"/>
      <c r="EF6" s="4"/>
      <c r="EG6" s="4"/>
      <c r="EH6" s="4"/>
      <c r="EI6" s="4"/>
      <c r="EJ6" s="4"/>
      <c r="EK6" s="4"/>
      <c r="EL6" s="4"/>
      <c r="EM6" s="4"/>
      <c r="EN6" s="4"/>
      <c r="EO6" s="4"/>
      <c r="EP6" s="4"/>
      <c r="EQ6" s="4"/>
      <c r="ER6" s="4"/>
      <c r="ES6" s="4"/>
    </row>
    <row r="7" spans="1:151" ht="20.100000000000001" customHeight="1" x14ac:dyDescent="0.25">
      <c r="A7" s="16" t="str">
        <f>HYPERLINK("#'Input - Site'!A1", "Site")</f>
        <v>Site</v>
      </c>
      <c r="R7" s="7"/>
      <c r="AB7" s="4"/>
      <c r="AC7" s="4"/>
      <c r="AD7" s="4"/>
      <c r="AE7" s="4"/>
      <c r="AF7" s="4"/>
      <c r="AG7" s="4"/>
      <c r="AH7" s="4"/>
      <c r="AI7" s="4"/>
      <c r="AJ7" s="4"/>
      <c r="AK7" s="4"/>
      <c r="AL7" s="4"/>
      <c r="AM7" s="4"/>
      <c r="AN7" s="4"/>
      <c r="AO7" s="4"/>
      <c r="AP7" s="4"/>
      <c r="AQ7" s="4"/>
      <c r="AR7" s="4"/>
      <c r="AS7" s="4"/>
      <c r="AT7" s="4"/>
      <c r="AU7" s="4"/>
      <c r="AV7" s="4"/>
      <c r="AW7" s="4"/>
      <c r="AX7" s="4"/>
      <c r="AY7" s="4"/>
      <c r="AZ7" s="4"/>
      <c r="BA7" s="4"/>
      <c r="BB7" s="4"/>
      <c r="BC7" s="4"/>
      <c r="BD7" s="4"/>
      <c r="BE7" s="4"/>
      <c r="BF7" s="4"/>
      <c r="BG7" s="4"/>
      <c r="BH7" s="4"/>
      <c r="BI7" s="4"/>
      <c r="BJ7" s="4"/>
      <c r="BK7" s="4"/>
      <c r="BL7" s="4"/>
      <c r="BM7" s="4"/>
      <c r="BN7" s="4"/>
      <c r="BO7" s="4"/>
      <c r="BP7" s="4"/>
      <c r="BQ7" s="4"/>
      <c r="BR7" s="4"/>
      <c r="BS7" s="4"/>
      <c r="BT7" s="4"/>
      <c r="BU7" s="4"/>
      <c r="BV7" s="4"/>
      <c r="BW7" s="4"/>
      <c r="BX7" s="4"/>
      <c r="BY7" s="4"/>
      <c r="BZ7" s="4"/>
      <c r="CA7" s="4"/>
      <c r="CB7" s="4"/>
      <c r="CC7" s="4"/>
      <c r="CD7" s="4"/>
      <c r="CE7" s="4"/>
      <c r="CF7" s="4"/>
      <c r="CG7" s="4"/>
      <c r="CH7" s="4"/>
      <c r="CI7" s="4"/>
      <c r="CJ7" s="4"/>
      <c r="CK7" s="4"/>
      <c r="CL7" s="4"/>
      <c r="CM7" s="4"/>
      <c r="CN7" s="4"/>
      <c r="CO7" s="4"/>
      <c r="CP7" s="4"/>
      <c r="CQ7" s="4"/>
      <c r="CR7" s="4"/>
      <c r="CS7" s="4"/>
      <c r="CT7" s="4"/>
      <c r="CU7" s="4"/>
      <c r="CV7" s="4"/>
      <c r="CW7" s="4"/>
      <c r="CX7" s="4"/>
      <c r="CY7" s="4"/>
      <c r="CZ7" s="4"/>
      <c r="DA7" s="4"/>
      <c r="DB7" s="4"/>
      <c r="DC7" s="4"/>
      <c r="DD7" s="4"/>
      <c r="DE7" s="4"/>
      <c r="DF7" s="4"/>
      <c r="DG7" s="4"/>
      <c r="DH7" s="4"/>
      <c r="DI7" s="4"/>
      <c r="DJ7" s="4"/>
      <c r="DK7" s="4"/>
      <c r="DL7" s="4"/>
      <c r="DM7" s="4"/>
      <c r="DN7" s="4"/>
      <c r="DO7" s="4"/>
      <c r="DP7" s="4"/>
      <c r="DQ7" s="4"/>
      <c r="DR7" s="4"/>
      <c r="DS7" s="4"/>
      <c r="DT7" s="4"/>
      <c r="DU7" s="4"/>
      <c r="DV7" s="4"/>
      <c r="DW7" s="4"/>
      <c r="DX7" s="4"/>
      <c r="DY7" s="4"/>
      <c r="DZ7" s="4"/>
      <c r="EA7" s="4"/>
      <c r="EB7" s="4"/>
      <c r="EC7" s="4"/>
      <c r="ED7" s="4"/>
      <c r="EE7" s="4"/>
      <c r="EF7" s="4"/>
      <c r="EG7" s="4"/>
      <c r="EH7" s="4"/>
      <c r="EI7" s="4"/>
      <c r="EJ7" s="4"/>
      <c r="EK7" s="4"/>
      <c r="EL7" s="4"/>
      <c r="EM7" s="4"/>
      <c r="EN7" s="4"/>
      <c r="EO7" s="4"/>
      <c r="EP7" s="4"/>
      <c r="EQ7" s="4"/>
      <c r="ER7" s="4"/>
      <c r="ES7" s="4"/>
    </row>
    <row r="8" spans="1:151" ht="20.100000000000001" customHeight="1" x14ac:dyDescent="0.25">
      <c r="A8" s="16" t="str">
        <f>HYPERLINK("#'Input - Production'!A1", "Production and outputs")</f>
        <v>Production and outputs</v>
      </c>
      <c r="AB8" s="4"/>
      <c r="AC8" s="4"/>
      <c r="AD8" s="4"/>
      <c r="AE8" s="4"/>
      <c r="AF8" s="4"/>
      <c r="AG8" s="4"/>
      <c r="AH8" s="4"/>
      <c r="AI8" s="4"/>
      <c r="AJ8" s="4"/>
      <c r="AK8" s="4"/>
      <c r="AL8" s="4"/>
      <c r="AM8" s="4"/>
      <c r="AN8" s="4"/>
      <c r="AO8" s="4"/>
      <c r="AP8" s="4"/>
      <c r="AQ8" s="4"/>
      <c r="AR8" s="4"/>
      <c r="AS8" s="4"/>
      <c r="AT8" s="4"/>
      <c r="AU8" s="4"/>
      <c r="AV8" s="4"/>
      <c r="AW8" s="4"/>
      <c r="AX8" s="4"/>
      <c r="AY8" s="4"/>
      <c r="AZ8" s="4"/>
      <c r="BA8" s="4"/>
      <c r="BB8" s="4"/>
      <c r="BC8" s="4"/>
      <c r="BD8" s="4"/>
      <c r="BE8" s="4"/>
      <c r="BF8" s="4"/>
      <c r="BG8" s="4"/>
      <c r="BH8" s="4"/>
      <c r="BI8" s="4"/>
      <c r="BJ8" s="4"/>
      <c r="BK8" s="4"/>
      <c r="BL8" s="4"/>
      <c r="BM8" s="4"/>
      <c r="BN8" s="4"/>
      <c r="BO8" s="4"/>
      <c r="BP8" s="4"/>
      <c r="BQ8" s="4"/>
      <c r="BR8" s="4"/>
      <c r="BS8" s="4"/>
      <c r="BT8" s="4"/>
      <c r="BU8" s="4"/>
      <c r="BV8" s="4"/>
      <c r="BW8" s="4"/>
      <c r="BX8" s="4"/>
      <c r="BY8" s="4"/>
      <c r="BZ8" s="4"/>
      <c r="CA8" s="4"/>
      <c r="CB8" s="4"/>
      <c r="CC8" s="4"/>
      <c r="CD8" s="4"/>
      <c r="CE8" s="4"/>
      <c r="CF8" s="4"/>
      <c r="CG8" s="4"/>
      <c r="CH8" s="4"/>
      <c r="CI8" s="4"/>
      <c r="CJ8" s="4"/>
      <c r="CK8" s="4"/>
      <c r="CL8" s="4"/>
      <c r="CM8" s="4"/>
      <c r="CN8" s="4"/>
      <c r="CO8" s="4"/>
      <c r="CP8" s="4"/>
      <c r="CQ8" s="4"/>
      <c r="CR8" s="4"/>
      <c r="CS8" s="4"/>
      <c r="CT8" s="4"/>
      <c r="CU8" s="4"/>
      <c r="CV8" s="4"/>
      <c r="CW8" s="4"/>
      <c r="CX8" s="4"/>
      <c r="CY8" s="4"/>
      <c r="CZ8" s="4"/>
      <c r="DA8" s="4"/>
      <c r="DB8" s="4"/>
      <c r="DC8" s="4"/>
      <c r="DD8" s="4"/>
      <c r="DE8" s="4"/>
      <c r="DF8" s="4"/>
      <c r="DG8" s="4"/>
      <c r="DH8" s="4"/>
      <c r="DI8" s="4"/>
      <c r="DJ8" s="4"/>
      <c r="DK8" s="4"/>
      <c r="DL8" s="4"/>
      <c r="DM8" s="4"/>
      <c r="DN8" s="4"/>
      <c r="DO8" s="4"/>
      <c r="DP8" s="4"/>
      <c r="DQ8" s="4"/>
      <c r="DR8" s="4"/>
      <c r="DS8" s="4"/>
      <c r="DT8" s="4"/>
      <c r="DU8" s="4"/>
      <c r="DV8" s="4"/>
      <c r="DW8" s="4"/>
      <c r="DX8" s="4"/>
      <c r="DY8" s="4"/>
      <c r="DZ8" s="4"/>
      <c r="EA8" s="4"/>
      <c r="EB8" s="4"/>
      <c r="EC8" s="4"/>
      <c r="ED8" s="4"/>
      <c r="EE8" s="4"/>
      <c r="EF8" s="4"/>
      <c r="EG8" s="4"/>
      <c r="EH8" s="4"/>
      <c r="EI8" s="4"/>
      <c r="EJ8" s="4"/>
      <c r="EK8" s="4"/>
      <c r="EL8" s="4"/>
      <c r="EM8" s="4"/>
      <c r="EN8" s="4"/>
      <c r="EO8" s="4"/>
      <c r="EP8" s="4"/>
      <c r="EQ8" s="4"/>
    </row>
    <row r="9" spans="1:151" ht="20.100000000000001" customHeight="1" x14ac:dyDescent="0.25">
      <c r="A9" s="16" t="str">
        <f>HYPERLINK("#'Input - Herd - Dairy'!A1", "Herd - Dairy")</f>
        <v>Herd - Dairy</v>
      </c>
      <c r="AB9" s="4"/>
      <c r="AC9" s="4"/>
      <c r="AD9" s="4"/>
      <c r="AE9" s="4"/>
      <c r="AF9" s="4"/>
      <c r="AG9" s="4"/>
      <c r="AH9" s="4"/>
      <c r="AI9" s="4"/>
      <c r="AJ9" s="4"/>
      <c r="AK9" s="4"/>
      <c r="AL9" s="4"/>
      <c r="AM9" s="4"/>
      <c r="AN9" s="4"/>
      <c r="AO9" s="4"/>
      <c r="AP9" s="4"/>
      <c r="AQ9" s="4"/>
      <c r="AR9" s="4"/>
      <c r="AS9" s="4"/>
      <c r="AT9" s="4"/>
      <c r="AU9" s="4"/>
      <c r="AV9" s="4"/>
      <c r="AW9" s="4"/>
      <c r="AX9" s="4"/>
      <c r="AY9" s="4"/>
      <c r="AZ9" s="4"/>
      <c r="BA9" s="4"/>
      <c r="BB9" s="4"/>
      <c r="BC9" s="4"/>
      <c r="BD9" s="4"/>
      <c r="BE9" s="4"/>
      <c r="BF9" s="4"/>
      <c r="BG9" s="4"/>
      <c r="BH9" s="4"/>
      <c r="BI9" s="4"/>
      <c r="BJ9" s="4"/>
      <c r="BK9" s="4"/>
      <c r="BL9" s="4"/>
      <c r="BM9" s="4"/>
      <c r="BN9" s="4"/>
      <c r="BO9" s="4"/>
      <c r="BP9" s="4"/>
      <c r="BQ9" s="4"/>
      <c r="BR9" s="4"/>
      <c r="BS9" s="4"/>
      <c r="BT9" s="4"/>
      <c r="BU9" s="4"/>
      <c r="BV9" s="4"/>
      <c r="BW9" s="4"/>
      <c r="BX9" s="4"/>
      <c r="BY9" s="4"/>
      <c r="BZ9" s="4"/>
      <c r="CA9" s="4"/>
      <c r="CB9" s="4"/>
      <c r="CC9" s="4"/>
      <c r="CD9" s="4"/>
      <c r="CE9" s="4"/>
      <c r="CF9" s="4"/>
      <c r="CG9" s="4"/>
      <c r="CH9" s="4"/>
      <c r="CI9" s="4"/>
      <c r="CJ9" s="4"/>
      <c r="CK9" s="4"/>
      <c r="CL9" s="4"/>
      <c r="CM9" s="4"/>
      <c r="CN9" s="4"/>
      <c r="CO9" s="4"/>
      <c r="CP9" s="4"/>
      <c r="CQ9" s="4"/>
      <c r="CR9" s="4"/>
      <c r="CS9" s="4"/>
      <c r="CT9" s="4"/>
      <c r="CU9" s="4"/>
      <c r="CV9" s="4"/>
      <c r="CW9" s="4"/>
      <c r="CX9" s="4"/>
      <c r="CY9" s="4"/>
      <c r="CZ9" s="4"/>
      <c r="DA9" s="4"/>
      <c r="DB9" s="4"/>
      <c r="DC9" s="4"/>
      <c r="DD9" s="4"/>
      <c r="DE9" s="4"/>
      <c r="DF9" s="4"/>
      <c r="DG9" s="4"/>
      <c r="DH9" s="4"/>
      <c r="DI9" s="4"/>
      <c r="DJ9" s="4"/>
      <c r="DK9" s="4"/>
      <c r="DL9" s="4"/>
      <c r="DM9" s="4"/>
      <c r="DN9" s="4"/>
      <c r="DO9" s="4"/>
      <c r="DP9" s="4"/>
      <c r="DQ9" s="4"/>
      <c r="DR9" s="4"/>
      <c r="DS9" s="4"/>
      <c r="DT9" s="4"/>
      <c r="DU9" s="4"/>
      <c r="DV9" s="4"/>
      <c r="DW9" s="4"/>
      <c r="DX9" s="4"/>
      <c r="DY9" s="4"/>
      <c r="DZ9" s="4"/>
      <c r="EA9" s="4"/>
      <c r="EB9" s="4"/>
      <c r="EC9" s="4"/>
      <c r="ED9" s="4"/>
      <c r="EE9" s="4"/>
      <c r="EF9" s="4"/>
      <c r="EG9" s="4"/>
      <c r="EH9" s="4"/>
      <c r="EI9" s="4"/>
      <c r="EJ9" s="4"/>
      <c r="EK9" s="4"/>
      <c r="EL9" s="4"/>
      <c r="EM9" s="4"/>
      <c r="EN9" s="4"/>
      <c r="EO9" s="4"/>
      <c r="EP9" s="4"/>
      <c r="EQ9" s="4"/>
    </row>
    <row r="10" spans="1:151" ht="20.100000000000001" customHeight="1" x14ac:dyDescent="0.25">
      <c r="A10" s="32" t="str">
        <f>HYPERLINK("#'Input - Feed - Dairy'!A1", "Purchased feed - Livestock")</f>
        <v>Purchased feed - Livestock</v>
      </c>
      <c r="AB10" s="4"/>
      <c r="AC10" s="4"/>
      <c r="AD10" s="4"/>
      <c r="AE10" s="4"/>
      <c r="AF10" s="4"/>
      <c r="AG10" s="4"/>
      <c r="AH10" s="4"/>
      <c r="AI10" s="4"/>
      <c r="AJ10" s="4"/>
      <c r="AK10" s="4"/>
      <c r="AL10" s="4"/>
      <c r="AM10" s="4"/>
      <c r="AN10" s="4"/>
      <c r="AO10" s="4"/>
      <c r="AP10" s="4"/>
      <c r="AQ10" s="4"/>
      <c r="AR10" s="4"/>
      <c r="AS10" s="4"/>
      <c r="AT10" s="4"/>
      <c r="AU10" s="4"/>
      <c r="AV10" s="4"/>
      <c r="AW10" s="4"/>
      <c r="AX10" s="4"/>
      <c r="AY10" s="4"/>
      <c r="AZ10" s="4"/>
      <c r="BA10" s="4"/>
      <c r="BB10" s="4"/>
      <c r="BC10" s="4"/>
      <c r="BD10" s="4"/>
      <c r="BE10" s="4"/>
      <c r="BF10" s="4"/>
      <c r="BG10" s="4"/>
      <c r="BH10" s="4"/>
      <c r="BI10" s="4"/>
      <c r="BJ10" s="4"/>
      <c r="BK10" s="4"/>
      <c r="BL10" s="4"/>
      <c r="BM10" s="4"/>
      <c r="BN10" s="4"/>
      <c r="BO10" s="4"/>
      <c r="BP10" s="4"/>
      <c r="BQ10" s="4"/>
      <c r="BR10" s="4"/>
      <c r="BS10" s="4"/>
      <c r="BT10" s="4"/>
      <c r="BU10" s="4"/>
      <c r="BV10" s="4"/>
      <c r="BW10" s="4"/>
      <c r="BX10" s="4"/>
      <c r="BY10" s="4"/>
      <c r="BZ10" s="4"/>
      <c r="CA10" s="4"/>
      <c r="CB10" s="4"/>
      <c r="CC10" s="4"/>
      <c r="CD10" s="4"/>
      <c r="CE10" s="4"/>
      <c r="CF10" s="4"/>
      <c r="CG10" s="4"/>
      <c r="CH10" s="4"/>
      <c r="CI10" s="4"/>
      <c r="CJ10" s="4"/>
      <c r="CK10" s="4"/>
      <c r="CL10" s="4"/>
      <c r="CM10" s="4"/>
      <c r="CN10" s="4"/>
      <c r="CO10" s="4"/>
      <c r="CP10" s="4"/>
      <c r="CQ10" s="4"/>
      <c r="CR10" s="4"/>
      <c r="CS10" s="4"/>
      <c r="CT10" s="4"/>
      <c r="CU10" s="4"/>
      <c r="CV10" s="4"/>
      <c r="CW10" s="4"/>
      <c r="CX10" s="4"/>
      <c r="CY10" s="4"/>
      <c r="CZ10" s="4"/>
      <c r="DA10" s="4"/>
      <c r="DB10" s="4"/>
      <c r="DC10" s="4"/>
      <c r="DD10" s="4"/>
      <c r="DE10" s="4"/>
      <c r="DF10" s="4"/>
      <c r="DG10" s="4"/>
      <c r="DH10" s="4"/>
      <c r="DI10" s="4"/>
      <c r="DJ10" s="4"/>
      <c r="DK10" s="4"/>
      <c r="DL10" s="4"/>
      <c r="DM10" s="4"/>
      <c r="DN10" s="4"/>
      <c r="DO10" s="4"/>
      <c r="DP10" s="4"/>
      <c r="DQ10" s="4"/>
      <c r="DR10" s="4"/>
      <c r="DS10" s="4"/>
      <c r="DT10" s="4"/>
      <c r="DU10" s="4"/>
      <c r="DV10" s="4"/>
      <c r="DW10" s="4"/>
      <c r="DX10" s="4"/>
      <c r="DY10" s="4"/>
      <c r="DZ10" s="4"/>
      <c r="EA10" s="4"/>
      <c r="EB10" s="4"/>
      <c r="EC10" s="4"/>
      <c r="ED10" s="4"/>
      <c r="EE10" s="4"/>
      <c r="EF10" s="4"/>
      <c r="EG10" s="4"/>
      <c r="EH10" s="4"/>
      <c r="EI10" s="4"/>
      <c r="EJ10" s="4"/>
      <c r="EK10" s="4"/>
      <c r="EL10" s="4"/>
      <c r="EM10" s="4"/>
      <c r="EN10" s="4"/>
      <c r="EO10" s="4"/>
      <c r="EP10" s="4"/>
      <c r="EQ10" s="4"/>
    </row>
    <row r="11" spans="1:151" ht="20.100000000000001" customHeight="1" x14ac:dyDescent="0.25">
      <c r="A11" s="16" t="str">
        <f>HYPERLINK("#'Input - Herd - Feedlot'!A1", "Herd - Feedlot")</f>
        <v>Herd - Feedlot</v>
      </c>
      <c r="C11" s="145"/>
      <c r="AB11" s="4"/>
      <c r="AC11" s="4"/>
      <c r="AD11" s="4"/>
      <c r="AE11" s="4"/>
      <c r="AF11" s="4"/>
      <c r="AG11" s="4"/>
      <c r="AH11" s="4"/>
      <c r="AI11" s="4"/>
      <c r="AJ11" s="4"/>
      <c r="AK11" s="4"/>
      <c r="AL11" s="4"/>
      <c r="AM11" s="4"/>
      <c r="AN11" s="4"/>
      <c r="AO11" s="4"/>
      <c r="AP11" s="4"/>
      <c r="AQ11" s="4"/>
      <c r="AR11" s="4"/>
      <c r="AS11" s="4"/>
      <c r="AT11" s="4"/>
      <c r="AU11" s="4"/>
      <c r="AV11" s="4"/>
      <c r="AW11" s="4"/>
      <c r="AX11" s="4"/>
      <c r="AY11" s="4"/>
      <c r="AZ11" s="4"/>
      <c r="BA11" s="4"/>
      <c r="BB11" s="4"/>
      <c r="BC11" s="4"/>
      <c r="BD11" s="4"/>
      <c r="BE11" s="4"/>
      <c r="BF11" s="4"/>
      <c r="BG11" s="4"/>
      <c r="BH11" s="4"/>
      <c r="BI11" s="4"/>
      <c r="BJ11" s="4"/>
      <c r="BK11" s="4"/>
      <c r="BL11" s="4"/>
      <c r="BM11" s="4"/>
      <c r="BN11" s="4"/>
      <c r="BO11" s="4"/>
      <c r="BP11" s="4"/>
      <c r="BQ11" s="4"/>
      <c r="BR11" s="4"/>
      <c r="BS11" s="4"/>
      <c r="BT11" s="4"/>
      <c r="BU11" s="4"/>
      <c r="BV11" s="4"/>
      <c r="BW11" s="4"/>
      <c r="BX11" s="4"/>
      <c r="BY11" s="4"/>
      <c r="BZ11" s="4"/>
      <c r="CA11" s="4"/>
      <c r="CB11" s="4"/>
      <c r="CC11" s="4"/>
      <c r="CD11" s="4"/>
      <c r="CE11" s="4"/>
      <c r="CF11" s="4"/>
      <c r="CG11" s="4"/>
      <c r="CH11" s="4"/>
      <c r="CI11" s="4"/>
      <c r="CJ11" s="4"/>
      <c r="CK11" s="4"/>
      <c r="CL11" s="4"/>
      <c r="CM11" s="4"/>
      <c r="CN11" s="4"/>
      <c r="CO11" s="4"/>
      <c r="CP11" s="4"/>
      <c r="CQ11" s="4"/>
      <c r="CR11" s="4"/>
      <c r="CS11" s="4"/>
      <c r="CT11" s="4"/>
      <c r="CU11" s="4"/>
      <c r="CV11" s="4"/>
      <c r="CW11" s="4"/>
      <c r="CX11" s="4"/>
      <c r="CY11" s="4"/>
      <c r="CZ11" s="4"/>
      <c r="DA11" s="4"/>
      <c r="DB11" s="4"/>
      <c r="DC11" s="4"/>
      <c r="DD11" s="4"/>
      <c r="DE11" s="4"/>
      <c r="DF11" s="4"/>
      <c r="DG11" s="4"/>
      <c r="DH11" s="4"/>
      <c r="DI11" s="4"/>
      <c r="DJ11" s="4"/>
      <c r="DK11" s="4"/>
      <c r="DL11" s="4"/>
      <c r="DM11" s="4"/>
      <c r="DN11" s="4"/>
      <c r="DO11" s="4"/>
      <c r="DP11" s="4"/>
      <c r="DQ11" s="4"/>
      <c r="DR11" s="4"/>
      <c r="DS11" s="4"/>
      <c r="DT11" s="4"/>
      <c r="DU11" s="4"/>
      <c r="DV11" s="4"/>
      <c r="DW11" s="4"/>
      <c r="DX11" s="4"/>
      <c r="DY11" s="4"/>
      <c r="DZ11" s="4"/>
      <c r="EA11" s="4"/>
      <c r="EB11" s="4"/>
      <c r="EC11" s="4"/>
      <c r="ED11" s="4"/>
      <c r="EE11" s="4"/>
      <c r="EF11" s="4"/>
      <c r="EG11" s="4"/>
      <c r="EH11" s="4"/>
      <c r="EI11" s="4"/>
      <c r="EJ11" s="4"/>
      <c r="EK11" s="4"/>
      <c r="EL11" s="4"/>
      <c r="EM11" s="4"/>
      <c r="EN11" s="4"/>
      <c r="EO11" s="4"/>
      <c r="EP11" s="4"/>
      <c r="EQ11" s="4"/>
    </row>
    <row r="12" spans="1:151" ht="20.100000000000001" customHeight="1" x14ac:dyDescent="0.25">
      <c r="A12" s="16" t="str">
        <f>HYPERLINK("#'Input - Pasture'!A1", "Pasture")</f>
        <v>Pasture</v>
      </c>
      <c r="R12" s="7"/>
      <c r="AB12" s="4"/>
      <c r="AC12" s="4"/>
      <c r="AD12" s="4"/>
      <c r="AE12" s="4"/>
      <c r="AF12" s="4"/>
      <c r="AG12" s="4"/>
      <c r="AH12" s="4"/>
      <c r="AI12" s="4"/>
      <c r="AJ12" s="4"/>
      <c r="AK12" s="4"/>
      <c r="AL12" s="4"/>
      <c r="AM12" s="4"/>
      <c r="AN12" s="4"/>
      <c r="AO12" s="4"/>
      <c r="AP12" s="4"/>
      <c r="AQ12" s="4"/>
      <c r="AR12" s="4"/>
      <c r="AS12" s="4"/>
      <c r="AT12" s="4"/>
      <c r="AU12" s="4"/>
      <c r="AV12" s="4"/>
      <c r="AW12" s="4"/>
      <c r="AX12" s="4"/>
      <c r="AY12" s="4"/>
      <c r="AZ12" s="4"/>
      <c r="BA12" s="4"/>
      <c r="BB12" s="4"/>
      <c r="BC12" s="4"/>
      <c r="BD12" s="4"/>
      <c r="BE12" s="4"/>
      <c r="BF12" s="4"/>
      <c r="BG12" s="4"/>
      <c r="BH12" s="4"/>
      <c r="BI12" s="4"/>
      <c r="BJ12" s="4"/>
      <c r="BK12" s="4"/>
      <c r="BL12" s="4"/>
      <c r="BM12" s="4"/>
      <c r="BN12" s="4"/>
      <c r="BO12" s="4"/>
      <c r="BP12" s="4"/>
      <c r="BQ12" s="4"/>
      <c r="BR12" s="4"/>
      <c r="BS12" s="4"/>
      <c r="BT12" s="4"/>
      <c r="BU12" s="4"/>
      <c r="BV12" s="4"/>
      <c r="BW12" s="4"/>
      <c r="BX12" s="4"/>
      <c r="BY12" s="4"/>
      <c r="BZ12" s="4"/>
      <c r="CA12" s="4"/>
      <c r="CB12" s="4"/>
      <c r="CC12" s="4"/>
      <c r="CD12" s="4"/>
      <c r="CE12" s="4"/>
      <c r="CF12" s="4"/>
      <c r="CG12" s="4"/>
      <c r="CH12" s="4"/>
      <c r="CI12" s="4"/>
      <c r="CJ12" s="4"/>
      <c r="CK12" s="4"/>
      <c r="CL12" s="4"/>
      <c r="CM12" s="4"/>
      <c r="CN12" s="4"/>
      <c r="CO12" s="4"/>
      <c r="CP12" s="4"/>
      <c r="CQ12" s="4"/>
      <c r="CR12" s="4"/>
      <c r="CS12" s="4"/>
      <c r="CT12" s="4"/>
      <c r="CU12" s="4"/>
      <c r="CV12" s="4"/>
      <c r="CW12" s="4"/>
      <c r="CX12" s="4"/>
      <c r="CY12" s="4"/>
      <c r="CZ12" s="4"/>
      <c r="DA12" s="4"/>
      <c r="DB12" s="4"/>
      <c r="DC12" s="4"/>
      <c r="DD12" s="4"/>
      <c r="DE12" s="4"/>
      <c r="DF12" s="4"/>
      <c r="DG12" s="4"/>
      <c r="DH12" s="4"/>
      <c r="DI12" s="4"/>
      <c r="DJ12" s="4"/>
      <c r="DK12" s="4"/>
      <c r="DL12" s="4"/>
      <c r="DM12" s="4"/>
      <c r="DN12" s="4"/>
      <c r="DO12" s="4"/>
      <c r="DP12" s="4"/>
      <c r="DQ12" s="4"/>
      <c r="DR12" s="4"/>
      <c r="DS12" s="4"/>
      <c r="DT12" s="4"/>
      <c r="DU12" s="4"/>
      <c r="DV12" s="4"/>
      <c r="DW12" s="4"/>
      <c r="DX12" s="4"/>
      <c r="DY12" s="4"/>
      <c r="DZ12" s="4"/>
      <c r="EA12" s="4"/>
      <c r="EB12" s="4"/>
      <c r="EC12" s="4"/>
      <c r="ED12" s="4"/>
      <c r="EE12" s="4"/>
      <c r="EF12" s="4"/>
      <c r="EG12" s="4"/>
      <c r="EH12" s="4"/>
      <c r="EI12" s="4"/>
      <c r="EJ12" s="4"/>
      <c r="EK12" s="4"/>
      <c r="EL12" s="4"/>
      <c r="EM12" s="4"/>
      <c r="EN12" s="4"/>
      <c r="EO12" s="4"/>
      <c r="EP12" s="4"/>
      <c r="EQ12" s="4"/>
      <c r="ER12" s="4"/>
      <c r="ES12" s="4"/>
    </row>
    <row r="13" spans="1:151" ht="20.100000000000001" customHeight="1" x14ac:dyDescent="0.25">
      <c r="A13" s="16" t="str">
        <f>HYPERLINK("#'Input - Grains'!A1", "Crop - Grains")</f>
        <v>Crop - Grains</v>
      </c>
      <c r="R13" s="7"/>
      <c r="AB13" s="4"/>
      <c r="AC13" s="4"/>
      <c r="AD13" s="4"/>
      <c r="AE13" s="4"/>
      <c r="AF13" s="4"/>
      <c r="AG13" s="4"/>
      <c r="AH13" s="4"/>
      <c r="AI13" s="4"/>
      <c r="AJ13" s="4"/>
      <c r="AK13" s="4"/>
      <c r="AL13" s="4"/>
      <c r="AM13" s="4"/>
      <c r="AN13" s="4"/>
      <c r="AO13" s="4"/>
      <c r="AP13" s="4"/>
      <c r="AQ13" s="4"/>
      <c r="AR13" s="4"/>
      <c r="AS13" s="4"/>
      <c r="AT13" s="4"/>
      <c r="AU13" s="4"/>
      <c r="AV13" s="4"/>
      <c r="AW13" s="4"/>
      <c r="AX13" s="4"/>
      <c r="AY13" s="4"/>
      <c r="AZ13" s="4"/>
      <c r="BA13" s="4"/>
      <c r="BB13" s="4"/>
      <c r="BC13" s="4"/>
      <c r="BD13" s="4"/>
      <c r="BE13" s="4"/>
      <c r="BF13" s="4"/>
      <c r="BG13" s="4"/>
      <c r="BH13" s="4"/>
      <c r="BI13" s="4"/>
      <c r="BJ13" s="4"/>
      <c r="BK13" s="4"/>
      <c r="BL13" s="4"/>
      <c r="BM13" s="4"/>
      <c r="BN13" s="4"/>
      <c r="BO13" s="4"/>
      <c r="BP13" s="4"/>
      <c r="BQ13" s="4"/>
      <c r="BR13" s="4"/>
      <c r="BS13" s="4"/>
      <c r="BT13" s="4"/>
      <c r="BU13" s="4"/>
      <c r="BV13" s="4"/>
      <c r="BW13" s="4"/>
      <c r="BX13" s="4"/>
      <c r="BY13" s="4"/>
      <c r="BZ13" s="4"/>
      <c r="CA13" s="4"/>
      <c r="CB13" s="4"/>
      <c r="CC13" s="4"/>
      <c r="CD13" s="4"/>
      <c r="CE13" s="4"/>
      <c r="CF13" s="4"/>
      <c r="CG13" s="4"/>
      <c r="CH13" s="4"/>
      <c r="CI13" s="4"/>
      <c r="CJ13" s="4"/>
      <c r="CK13" s="4"/>
      <c r="CL13" s="4"/>
      <c r="CM13" s="4"/>
      <c r="CN13" s="4"/>
      <c r="CO13" s="4"/>
      <c r="CP13" s="4"/>
      <c r="CQ13" s="4"/>
      <c r="CR13" s="4"/>
      <c r="CS13" s="4"/>
      <c r="CT13" s="4"/>
      <c r="CU13" s="4"/>
      <c r="CV13" s="4"/>
      <c r="CW13" s="4"/>
      <c r="CX13" s="4"/>
      <c r="CY13" s="4"/>
      <c r="CZ13" s="4"/>
      <c r="DA13" s="4"/>
      <c r="DB13" s="4"/>
      <c r="DC13" s="4"/>
      <c r="DD13" s="4"/>
      <c r="DE13" s="4"/>
      <c r="DF13" s="4"/>
      <c r="DG13" s="4"/>
      <c r="DH13" s="4"/>
      <c r="DI13" s="4"/>
      <c r="DJ13" s="4"/>
      <c r="DK13" s="4"/>
      <c r="DL13" s="4"/>
      <c r="DM13" s="4"/>
      <c r="DN13" s="4"/>
      <c r="DO13" s="4"/>
      <c r="DP13" s="4"/>
      <c r="DQ13" s="4"/>
      <c r="DR13" s="4"/>
      <c r="DS13" s="4"/>
      <c r="DT13" s="4"/>
      <c r="DU13" s="4"/>
      <c r="DV13" s="4"/>
      <c r="DW13" s="4"/>
      <c r="DX13" s="4"/>
      <c r="DY13" s="4"/>
      <c r="DZ13" s="4"/>
      <c r="EA13" s="4"/>
      <c r="EB13" s="4"/>
      <c r="EC13" s="4"/>
      <c r="ED13" s="4"/>
      <c r="EE13" s="4"/>
      <c r="EF13" s="4"/>
      <c r="EG13" s="4"/>
      <c r="EH13" s="4"/>
      <c r="EI13" s="4"/>
      <c r="EJ13" s="4"/>
      <c r="EK13" s="4"/>
      <c r="EL13" s="4"/>
      <c r="EM13" s="4"/>
      <c r="EN13" s="4"/>
      <c r="EO13" s="4"/>
      <c r="EP13" s="4"/>
      <c r="EQ13" s="4"/>
      <c r="ER13" s="4"/>
      <c r="ES13" s="4"/>
    </row>
    <row r="14" spans="1:151" ht="20.100000000000001" customHeight="1" x14ac:dyDescent="0.25">
      <c r="A14" s="16" t="str">
        <f>HYPERLINK("#'Input - Fert Lime Chem'!A1", "Fertiliser, Lime &amp; Chemicals")</f>
        <v>Fertiliser, Lime &amp; Chemicals</v>
      </c>
      <c r="R14" s="7"/>
      <c r="AB14" s="4"/>
      <c r="AC14" s="4"/>
      <c r="AD14" s="4"/>
      <c r="AE14" s="4"/>
      <c r="AF14" s="4"/>
      <c r="AG14" s="4"/>
      <c r="AH14" s="4"/>
      <c r="AI14" s="4"/>
      <c r="AJ14" s="4"/>
      <c r="AK14" s="4"/>
      <c r="AL14" s="4"/>
      <c r="AM14" s="4"/>
      <c r="AN14" s="4"/>
      <c r="AO14" s="4"/>
      <c r="AP14" s="4"/>
      <c r="AQ14" s="4"/>
      <c r="AR14" s="4"/>
      <c r="AS14" s="4"/>
      <c r="AT14" s="4"/>
      <c r="AU14" s="4"/>
      <c r="AV14" s="4"/>
      <c r="AW14" s="4"/>
      <c r="AX14" s="4"/>
      <c r="AY14" s="4"/>
      <c r="AZ14" s="4"/>
      <c r="BA14" s="4"/>
      <c r="BB14" s="4"/>
      <c r="BC14" s="4"/>
      <c r="BD14" s="4"/>
      <c r="BE14" s="4"/>
      <c r="BF14" s="4"/>
      <c r="BG14" s="4"/>
      <c r="BH14" s="4"/>
      <c r="BI14" s="4"/>
      <c r="BJ14" s="4"/>
      <c r="BK14" s="4"/>
      <c r="BL14" s="4"/>
      <c r="BM14" s="4"/>
      <c r="BN14" s="4"/>
      <c r="BO14" s="4"/>
      <c r="BP14" s="4"/>
      <c r="BQ14" s="4"/>
      <c r="BR14" s="4"/>
      <c r="BS14" s="4"/>
      <c r="BT14" s="4"/>
      <c r="BU14" s="4"/>
      <c r="BV14" s="4"/>
      <c r="BW14" s="4"/>
      <c r="BX14" s="4"/>
      <c r="BY14" s="4"/>
      <c r="BZ14" s="4"/>
      <c r="CA14" s="4"/>
      <c r="CB14" s="4"/>
      <c r="CC14" s="4"/>
      <c r="CD14" s="4"/>
      <c r="CE14" s="4"/>
      <c r="CF14" s="4"/>
      <c r="CG14" s="4"/>
      <c r="CH14" s="4"/>
      <c r="CI14" s="4"/>
      <c r="CJ14" s="4"/>
      <c r="CK14" s="4"/>
      <c r="CL14" s="4"/>
      <c r="CM14" s="4"/>
      <c r="CN14" s="4"/>
      <c r="CO14" s="4"/>
      <c r="CP14" s="4"/>
      <c r="CQ14" s="4"/>
      <c r="CR14" s="4"/>
      <c r="CS14" s="4"/>
      <c r="CT14" s="4"/>
      <c r="CU14" s="4"/>
      <c r="CV14" s="4"/>
      <c r="CW14" s="4"/>
      <c r="CX14" s="4"/>
      <c r="CY14" s="4"/>
      <c r="CZ14" s="4"/>
      <c r="DA14" s="4"/>
      <c r="DB14" s="4"/>
      <c r="DC14" s="4"/>
      <c r="DD14" s="4"/>
      <c r="DE14" s="4"/>
      <c r="DF14" s="4"/>
      <c r="DG14" s="4"/>
      <c r="DH14" s="4"/>
      <c r="DI14" s="4"/>
      <c r="DJ14" s="4"/>
      <c r="DK14" s="4"/>
      <c r="DL14" s="4"/>
      <c r="DM14" s="4"/>
      <c r="DN14" s="4"/>
      <c r="DO14" s="4"/>
      <c r="DP14" s="4"/>
      <c r="DQ14" s="4"/>
      <c r="DR14" s="4"/>
      <c r="DS14" s="4"/>
      <c r="DT14" s="4"/>
      <c r="DU14" s="4"/>
      <c r="DV14" s="4"/>
      <c r="DW14" s="4"/>
      <c r="DX14" s="4"/>
      <c r="DY14" s="4"/>
      <c r="DZ14" s="4"/>
      <c r="EA14" s="4"/>
      <c r="EB14" s="4"/>
      <c r="EC14" s="4"/>
      <c r="ED14" s="4"/>
      <c r="EE14" s="4"/>
      <c r="EF14" s="4"/>
      <c r="EG14" s="4"/>
      <c r="EH14" s="4"/>
      <c r="EI14" s="4"/>
      <c r="EJ14" s="4"/>
      <c r="EK14" s="4"/>
      <c r="EL14" s="4"/>
      <c r="EM14" s="4"/>
      <c r="EN14" s="4"/>
      <c r="EO14" s="4"/>
      <c r="EP14" s="4"/>
      <c r="EQ14" s="4"/>
      <c r="ER14" s="4"/>
      <c r="ES14" s="4"/>
    </row>
    <row r="15" spans="1:151" ht="20.100000000000001" customHeight="1" x14ac:dyDescent="0.25">
      <c r="A15" s="16" t="str">
        <f>HYPERLINK("#'Input - Fuel &amp; Energy'!A1", "Electricity and fuel")</f>
        <v>Electricity and fuel</v>
      </c>
      <c r="R15" s="7"/>
      <c r="AB15" s="4"/>
      <c r="AC15" s="4"/>
      <c r="AD15" s="4"/>
      <c r="AE15" s="4"/>
      <c r="AF15" s="4"/>
      <c r="AG15" s="4"/>
      <c r="AH15" s="4"/>
      <c r="AI15" s="4"/>
      <c r="AJ15" s="4"/>
      <c r="AK15" s="4"/>
      <c r="AL15" s="4"/>
      <c r="AM15" s="4"/>
      <c r="AN15" s="4"/>
      <c r="AO15" s="4"/>
      <c r="AP15" s="4"/>
      <c r="AQ15" s="4"/>
      <c r="AR15" s="4"/>
      <c r="AS15" s="4"/>
      <c r="AT15" s="4"/>
      <c r="AU15" s="4"/>
      <c r="AV15" s="4"/>
      <c r="AW15" s="4"/>
      <c r="AX15" s="4"/>
      <c r="AY15" s="4"/>
      <c r="AZ15" s="4"/>
      <c r="BA15" s="4"/>
      <c r="BB15" s="4"/>
      <c r="BC15" s="4"/>
      <c r="BD15" s="4"/>
      <c r="BE15" s="4"/>
      <c r="BF15" s="4"/>
      <c r="BG15" s="4"/>
      <c r="BH15" s="4"/>
      <c r="BI15" s="4"/>
      <c r="BJ15" s="4"/>
      <c r="BK15" s="4"/>
      <c r="BL15" s="4"/>
      <c r="BM15" s="4"/>
      <c r="BN15" s="4"/>
      <c r="BO15" s="4"/>
      <c r="BP15" s="4"/>
      <c r="BQ15" s="4"/>
      <c r="BR15" s="4"/>
      <c r="BS15" s="4"/>
      <c r="BT15" s="4"/>
      <c r="BU15" s="4"/>
      <c r="BV15" s="4"/>
      <c r="BW15" s="4"/>
      <c r="BX15" s="4"/>
      <c r="BY15" s="4"/>
      <c r="BZ15" s="4"/>
      <c r="CA15" s="4"/>
      <c r="CB15" s="4"/>
      <c r="CC15" s="4"/>
      <c r="CD15" s="4"/>
      <c r="CE15" s="4"/>
      <c r="CF15" s="4"/>
      <c r="CG15" s="4"/>
      <c r="CH15" s="4"/>
      <c r="CI15" s="4"/>
      <c r="CJ15" s="4"/>
      <c r="CK15" s="4"/>
      <c r="CL15" s="4"/>
      <c r="CM15" s="4"/>
      <c r="CN15" s="4"/>
      <c r="CO15" s="4"/>
      <c r="CP15" s="4"/>
      <c r="CQ15" s="4"/>
      <c r="CR15" s="4"/>
      <c r="CS15" s="4"/>
      <c r="CT15" s="4"/>
      <c r="CU15" s="4"/>
      <c r="CV15" s="4"/>
      <c r="CW15" s="4"/>
      <c r="CX15" s="4"/>
      <c r="CY15" s="4"/>
      <c r="CZ15" s="4"/>
      <c r="DA15" s="4"/>
      <c r="DB15" s="4"/>
      <c r="DC15" s="4"/>
      <c r="DD15" s="4"/>
      <c r="DE15" s="4"/>
      <c r="DF15" s="4"/>
      <c r="DG15" s="4"/>
      <c r="DH15" s="4"/>
      <c r="DI15" s="4"/>
      <c r="DJ15" s="4"/>
      <c r="DK15" s="4"/>
      <c r="DL15" s="4"/>
      <c r="DM15" s="4"/>
      <c r="DN15" s="4"/>
      <c r="DO15" s="4"/>
      <c r="DP15" s="4"/>
      <c r="DQ15" s="4"/>
      <c r="DR15" s="4"/>
      <c r="DS15" s="4"/>
      <c r="DT15" s="4"/>
      <c r="DU15" s="4"/>
      <c r="DV15" s="4"/>
      <c r="DW15" s="4"/>
      <c r="DX15" s="4"/>
      <c r="DY15" s="4"/>
      <c r="DZ15" s="4"/>
      <c r="EA15" s="4"/>
      <c r="EB15" s="4"/>
      <c r="EC15" s="4"/>
      <c r="ED15" s="4"/>
      <c r="EE15" s="4"/>
      <c r="EF15" s="4"/>
      <c r="EG15" s="4"/>
      <c r="EH15" s="4"/>
      <c r="EI15" s="4"/>
      <c r="EJ15" s="4"/>
      <c r="EK15" s="4"/>
      <c r="EL15" s="4"/>
      <c r="EM15" s="4"/>
      <c r="EN15" s="4"/>
      <c r="EO15" s="4"/>
      <c r="EP15" s="4"/>
      <c r="EQ15" s="4"/>
      <c r="ER15" s="4"/>
      <c r="ES15" s="4"/>
    </row>
    <row r="16" spans="1:151" ht="20.100000000000001" customHeight="1" x14ac:dyDescent="0.25">
      <c r="A16" s="41" t="s">
        <v>302</v>
      </c>
      <c r="R16" s="7"/>
      <c r="AB16" s="4"/>
      <c r="AC16" s="4"/>
      <c r="AD16" s="4"/>
      <c r="AE16" s="4"/>
      <c r="AF16" s="4"/>
      <c r="AG16" s="4"/>
      <c r="AH16" s="4"/>
      <c r="AI16" s="4"/>
      <c r="AJ16" s="4"/>
      <c r="AK16" s="4"/>
      <c r="AL16" s="4"/>
      <c r="AM16" s="4"/>
      <c r="AN16" s="4"/>
      <c r="AO16" s="4"/>
      <c r="AP16" s="4"/>
      <c r="AQ16" s="4"/>
      <c r="AR16" s="4"/>
      <c r="AS16" s="4"/>
      <c r="AT16" s="4"/>
      <c r="AU16" s="4"/>
      <c r="AV16" s="4"/>
      <c r="AW16" s="4"/>
      <c r="AX16" s="4"/>
      <c r="AY16" s="4"/>
      <c r="AZ16" s="4"/>
      <c r="BA16" s="4"/>
      <c r="BB16" s="4"/>
      <c r="BC16" s="4"/>
      <c r="BD16" s="4"/>
      <c r="BE16" s="4"/>
      <c r="BF16" s="4"/>
      <c r="BG16" s="4"/>
      <c r="BH16" s="4"/>
      <c r="BI16" s="4"/>
      <c r="BJ16" s="4"/>
      <c r="BK16" s="4"/>
      <c r="BL16" s="4"/>
      <c r="BM16" s="4"/>
      <c r="BN16" s="4"/>
      <c r="BO16" s="4"/>
      <c r="BP16" s="4"/>
      <c r="BQ16" s="4"/>
      <c r="BR16" s="4"/>
      <c r="BS16" s="4"/>
      <c r="BT16" s="4"/>
      <c r="BU16" s="4"/>
      <c r="BV16" s="4"/>
      <c r="BW16" s="4"/>
      <c r="BX16" s="4"/>
      <c r="BY16" s="4"/>
      <c r="BZ16" s="4"/>
      <c r="CA16" s="4"/>
      <c r="CB16" s="4"/>
      <c r="CC16" s="4"/>
      <c r="CD16" s="4"/>
      <c r="CE16" s="4"/>
      <c r="CF16" s="4"/>
      <c r="CG16" s="4"/>
      <c r="CH16" s="4"/>
      <c r="CI16" s="4"/>
      <c r="CJ16" s="4"/>
      <c r="CK16" s="4"/>
      <c r="CL16" s="4"/>
      <c r="CM16" s="4"/>
      <c r="CN16" s="4"/>
      <c r="CO16" s="4"/>
      <c r="CP16" s="4"/>
      <c r="CQ16" s="4"/>
      <c r="CR16" s="4"/>
      <c r="CS16" s="4"/>
      <c r="CT16" s="4"/>
      <c r="CU16" s="4"/>
      <c r="CV16" s="4"/>
      <c r="CW16" s="4"/>
      <c r="CX16" s="4"/>
      <c r="CY16" s="4"/>
      <c r="CZ16" s="4"/>
      <c r="DA16" s="4"/>
      <c r="DB16" s="4"/>
      <c r="DC16" s="4"/>
      <c r="DD16" s="4"/>
      <c r="DE16" s="4"/>
      <c r="DF16" s="4"/>
      <c r="DG16" s="4"/>
      <c r="DH16" s="4"/>
      <c r="DI16" s="4"/>
      <c r="DJ16" s="4"/>
      <c r="DK16" s="4"/>
      <c r="DL16" s="4"/>
      <c r="DM16" s="4"/>
      <c r="DN16" s="4"/>
      <c r="DO16" s="4"/>
      <c r="DP16" s="4"/>
      <c r="DQ16" s="4"/>
      <c r="DR16" s="4"/>
      <c r="DS16" s="4"/>
      <c r="DT16" s="4"/>
      <c r="DU16" s="4"/>
      <c r="DV16" s="4"/>
      <c r="DW16" s="4"/>
      <c r="DX16" s="4"/>
      <c r="DY16" s="4"/>
      <c r="DZ16" s="4"/>
      <c r="EA16" s="4"/>
      <c r="EB16" s="4"/>
      <c r="EC16" s="4"/>
      <c r="ED16" s="4"/>
      <c r="EE16" s="4"/>
      <c r="EF16" s="4"/>
      <c r="EG16" s="4"/>
      <c r="EH16" s="4"/>
      <c r="EI16" s="4"/>
      <c r="EJ16" s="4"/>
      <c r="EK16" s="4"/>
      <c r="EL16" s="4"/>
      <c r="EM16" s="4"/>
      <c r="EN16" s="4"/>
      <c r="EO16" s="4"/>
      <c r="EP16" s="4"/>
      <c r="EQ16" s="4"/>
      <c r="ER16" s="4"/>
      <c r="ES16" s="4"/>
      <c r="ET16" s="4"/>
      <c r="EU16" s="4"/>
    </row>
    <row r="17" spans="1:152" ht="20.100000000000001" customHeight="1" x14ac:dyDescent="0.25">
      <c r="A17" s="41" t="s">
        <v>303</v>
      </c>
      <c r="R17" s="7"/>
      <c r="AB17" s="4"/>
      <c r="AC17" s="4"/>
      <c r="AD17" s="4"/>
      <c r="AE17" s="4"/>
      <c r="AF17" s="4"/>
      <c r="AG17" s="4"/>
      <c r="AH17" s="4"/>
      <c r="AI17" s="4"/>
      <c r="AJ17" s="4"/>
      <c r="AK17" s="4"/>
      <c r="AL17" s="4"/>
      <c r="AM17" s="4"/>
      <c r="AN17" s="4"/>
      <c r="AO17" s="4"/>
      <c r="AP17" s="4"/>
      <c r="AQ17" s="4"/>
      <c r="AR17" s="4"/>
      <c r="AS17" s="4"/>
      <c r="AT17" s="4"/>
      <c r="AU17" s="4"/>
      <c r="AV17" s="4"/>
      <c r="AW17" s="4"/>
      <c r="AX17" s="4"/>
      <c r="AY17" s="4"/>
      <c r="AZ17" s="4"/>
      <c r="BA17" s="4"/>
      <c r="BB17" s="4"/>
      <c r="BC17" s="4"/>
      <c r="BD17" s="4"/>
      <c r="BE17" s="4"/>
      <c r="BF17" s="4"/>
      <c r="BG17" s="4"/>
      <c r="BH17" s="4"/>
      <c r="BI17" s="4"/>
      <c r="BJ17" s="4"/>
      <c r="BK17" s="4"/>
      <c r="BL17" s="4"/>
      <c r="BM17" s="4"/>
      <c r="BN17" s="4"/>
      <c r="BO17" s="4"/>
      <c r="BP17" s="4"/>
      <c r="BQ17" s="4"/>
      <c r="BR17" s="4"/>
      <c r="BS17" s="4"/>
      <c r="BT17" s="4"/>
      <c r="BU17" s="4"/>
      <c r="BV17" s="4"/>
      <c r="BW17" s="4"/>
      <c r="BX17" s="4"/>
      <c r="BY17" s="4"/>
      <c r="BZ17" s="4"/>
      <c r="CA17" s="4"/>
      <c r="CB17" s="4"/>
      <c r="CC17" s="4"/>
      <c r="CD17" s="4"/>
      <c r="CE17" s="4"/>
      <c r="CF17" s="4"/>
      <c r="CG17" s="4"/>
      <c r="CH17" s="4"/>
      <c r="CI17" s="4"/>
      <c r="CJ17" s="4"/>
      <c r="CK17" s="4"/>
      <c r="CL17" s="4"/>
      <c r="CM17" s="4"/>
      <c r="CN17" s="4"/>
      <c r="CO17" s="4"/>
      <c r="CP17" s="4"/>
      <c r="CQ17" s="4"/>
      <c r="CR17" s="4"/>
      <c r="CS17" s="4"/>
      <c r="CT17" s="4"/>
      <c r="CU17" s="4"/>
      <c r="CV17" s="4"/>
      <c r="CW17" s="4"/>
      <c r="CX17" s="4"/>
      <c r="CY17" s="4"/>
      <c r="CZ17" s="4"/>
      <c r="DA17" s="4"/>
      <c r="DB17" s="4"/>
      <c r="DC17" s="4"/>
      <c r="DD17" s="4"/>
      <c r="DE17" s="4"/>
      <c r="DF17" s="4"/>
      <c r="DG17" s="4"/>
      <c r="DH17" s="4"/>
      <c r="DI17" s="4"/>
      <c r="DJ17" s="4"/>
      <c r="DK17" s="4"/>
      <c r="DL17" s="4"/>
      <c r="DM17" s="4"/>
      <c r="DN17" s="4"/>
      <c r="DO17" s="4"/>
      <c r="DP17" s="4"/>
      <c r="DQ17" s="4"/>
      <c r="DR17" s="4"/>
      <c r="DS17" s="4"/>
      <c r="DT17" s="4"/>
      <c r="DU17" s="4"/>
      <c r="DV17" s="4"/>
      <c r="DW17" s="4"/>
      <c r="DX17" s="4"/>
      <c r="DY17" s="4"/>
      <c r="DZ17" s="4"/>
      <c r="EA17" s="4"/>
      <c r="EB17" s="4"/>
      <c r="EC17" s="4"/>
      <c r="ED17" s="4"/>
      <c r="EE17" s="4"/>
      <c r="EF17" s="4"/>
      <c r="EG17" s="4"/>
      <c r="EH17" s="4"/>
      <c r="EI17" s="4"/>
      <c r="EJ17" s="4"/>
      <c r="EK17" s="4"/>
      <c r="EL17" s="4"/>
      <c r="EM17" s="4"/>
      <c r="EN17" s="4"/>
      <c r="EO17" s="4"/>
      <c r="EP17" s="4"/>
      <c r="EQ17" s="4"/>
      <c r="ER17" s="4"/>
      <c r="ES17" s="4"/>
      <c r="ET17" s="4"/>
      <c r="EU17" s="4"/>
    </row>
    <row r="18" spans="1:152" ht="20.100000000000001" customHeight="1" x14ac:dyDescent="0.25">
      <c r="A18" s="16" t="str">
        <f>HYPERLINK("#'Input - Other Farm Inputs'!A1", "Other farm inputs")</f>
        <v>Other farm inputs</v>
      </c>
      <c r="R18" s="7"/>
      <c r="AB18" s="4"/>
      <c r="AC18" s="4"/>
      <c r="AD18" s="4"/>
      <c r="AE18" s="4"/>
      <c r="AF18" s="4"/>
      <c r="AG18" s="4"/>
      <c r="AH18" s="4"/>
      <c r="AI18" s="4"/>
      <c r="AJ18" s="4"/>
      <c r="AK18" s="4"/>
      <c r="AL18" s="4"/>
      <c r="AM18" s="4"/>
      <c r="AN18" s="4"/>
      <c r="AO18" s="4"/>
      <c r="AP18" s="4"/>
      <c r="AQ18" s="4"/>
      <c r="AR18" s="4"/>
      <c r="AS18" s="4"/>
      <c r="AT18" s="4"/>
      <c r="AU18" s="4"/>
      <c r="AV18" s="4"/>
      <c r="AW18" s="4"/>
      <c r="AX18" s="4"/>
      <c r="AY18" s="4"/>
      <c r="AZ18" s="4"/>
      <c r="BA18" s="4"/>
      <c r="BB18" s="4"/>
      <c r="BC18" s="4"/>
      <c r="BD18" s="4"/>
      <c r="BE18" s="4"/>
      <c r="BF18" s="4"/>
      <c r="BG18" s="4"/>
      <c r="BH18" s="4"/>
      <c r="BI18" s="4"/>
      <c r="BJ18" s="4"/>
      <c r="BK18" s="4"/>
      <c r="BL18" s="4"/>
      <c r="BM18" s="4"/>
      <c r="BN18" s="4"/>
      <c r="BO18" s="4"/>
      <c r="BP18" s="4"/>
      <c r="BQ18" s="4"/>
      <c r="BR18" s="4"/>
      <c r="BS18" s="4"/>
      <c r="BT18" s="4"/>
      <c r="BU18" s="4"/>
      <c r="BV18" s="4"/>
      <c r="BW18" s="4"/>
      <c r="BX18" s="4"/>
      <c r="BY18" s="4"/>
      <c r="BZ18" s="4"/>
      <c r="CA18" s="4"/>
      <c r="CB18" s="4"/>
      <c r="CC18" s="4"/>
      <c r="CD18" s="4"/>
      <c r="CE18" s="4"/>
      <c r="CF18" s="4"/>
      <c r="CG18" s="4"/>
      <c r="CH18" s="4"/>
      <c r="CI18" s="4"/>
      <c r="CJ18" s="4"/>
      <c r="CK18" s="4"/>
      <c r="CL18" s="4"/>
      <c r="CM18" s="4"/>
      <c r="CN18" s="4"/>
      <c r="CO18" s="4"/>
      <c r="CP18" s="4"/>
      <c r="CQ18" s="4"/>
      <c r="CR18" s="4"/>
      <c r="CS18" s="4"/>
      <c r="CT18" s="4"/>
      <c r="CU18" s="4"/>
      <c r="CV18" s="4"/>
      <c r="CW18" s="4"/>
      <c r="CX18" s="4"/>
      <c r="CY18" s="4"/>
      <c r="CZ18" s="4"/>
      <c r="DA18" s="4"/>
      <c r="DB18" s="4"/>
      <c r="DC18" s="4"/>
      <c r="DD18" s="4"/>
      <c r="DE18" s="4"/>
      <c r="DF18" s="4"/>
      <c r="DG18" s="4"/>
      <c r="DH18" s="4"/>
      <c r="DI18" s="4"/>
      <c r="DJ18" s="4"/>
      <c r="DK18" s="4"/>
      <c r="DL18" s="4"/>
      <c r="DM18" s="4"/>
      <c r="DN18" s="4"/>
      <c r="DO18" s="4"/>
      <c r="DP18" s="4"/>
      <c r="DQ18" s="4"/>
      <c r="DR18" s="4"/>
      <c r="DS18" s="4"/>
      <c r="DT18" s="4"/>
      <c r="DU18" s="4"/>
      <c r="DV18" s="4"/>
      <c r="DW18" s="4"/>
      <c r="DX18" s="4"/>
      <c r="DY18" s="4"/>
      <c r="DZ18" s="4"/>
      <c r="EA18" s="4"/>
      <c r="EB18" s="4"/>
      <c r="EC18" s="4"/>
      <c r="ED18" s="4"/>
      <c r="EE18" s="4"/>
      <c r="EF18" s="4"/>
      <c r="EG18" s="4"/>
      <c r="EH18" s="4"/>
      <c r="EI18" s="4"/>
      <c r="EJ18" s="4"/>
      <c r="EK18" s="4"/>
      <c r="EL18" s="4"/>
      <c r="EM18" s="4"/>
      <c r="EN18" s="4"/>
      <c r="EO18" s="4"/>
      <c r="EP18" s="4"/>
      <c r="EQ18" s="4"/>
      <c r="ER18" s="4"/>
      <c r="ES18" s="4"/>
      <c r="ET18" s="4"/>
      <c r="EU18" s="4"/>
    </row>
    <row r="19" spans="1:152" ht="20.100000000000001" customHeight="1" x14ac:dyDescent="0.25">
      <c r="A19" s="16" t="str">
        <f>HYPERLINK("#'Input - Data quality'!A1", "Data quality")</f>
        <v>Data quality</v>
      </c>
      <c r="R19" s="7"/>
      <c r="AB19" s="4"/>
      <c r="AC19" s="4"/>
      <c r="AD19" s="4"/>
      <c r="AE19" s="4"/>
      <c r="AF19" s="4"/>
      <c r="AG19" s="4"/>
      <c r="AH19" s="4"/>
      <c r="AI19" s="4"/>
      <c r="AJ19" s="4"/>
      <c r="AK19" s="4"/>
      <c r="AL19" s="4"/>
      <c r="AM19" s="4"/>
      <c r="AN19" s="4"/>
      <c r="AO19" s="4"/>
      <c r="AP19" s="4"/>
      <c r="AQ19" s="4"/>
      <c r="AR19" s="4"/>
      <c r="AS19" s="4"/>
      <c r="AT19" s="4"/>
      <c r="AU19" s="4"/>
      <c r="AV19" s="4"/>
      <c r="AW19" s="4"/>
      <c r="AX19" s="4"/>
      <c r="AY19" s="4"/>
      <c r="AZ19" s="4"/>
      <c r="BA19" s="4"/>
      <c r="BB19" s="4"/>
      <c r="BC19" s="4"/>
      <c r="BD19" s="4"/>
      <c r="BE19" s="4"/>
      <c r="BF19" s="4"/>
      <c r="BG19" s="4"/>
      <c r="BH19" s="4"/>
      <c r="BI19" s="4"/>
      <c r="BJ19" s="4"/>
      <c r="BK19" s="4"/>
      <c r="BL19" s="4"/>
      <c r="BM19" s="4"/>
      <c r="BN19" s="4"/>
      <c r="BO19" s="4"/>
      <c r="BP19" s="4"/>
      <c r="BQ19" s="4"/>
      <c r="BR19" s="4"/>
      <c r="BS19" s="4"/>
      <c r="BT19" s="4"/>
      <c r="BU19" s="4"/>
      <c r="BV19" s="4"/>
      <c r="BW19" s="4"/>
      <c r="BX19" s="4"/>
      <c r="BY19" s="4"/>
      <c r="BZ19" s="4"/>
      <c r="CA19" s="4"/>
      <c r="CB19" s="4"/>
      <c r="CC19" s="4"/>
      <c r="CD19" s="4"/>
      <c r="CE19" s="4"/>
      <c r="CF19" s="4"/>
      <c r="CG19" s="4"/>
      <c r="CH19" s="4"/>
      <c r="CI19" s="4"/>
      <c r="CJ19" s="4"/>
      <c r="CK19" s="4"/>
      <c r="CL19" s="4"/>
      <c r="CM19" s="4"/>
      <c r="CN19" s="4"/>
      <c r="CO19" s="4"/>
      <c r="CP19" s="4"/>
      <c r="CQ19" s="4"/>
      <c r="CR19" s="4"/>
      <c r="CS19" s="4"/>
      <c r="CT19" s="4"/>
      <c r="CU19" s="4"/>
      <c r="CV19" s="4"/>
      <c r="CW19" s="4"/>
      <c r="CX19" s="4"/>
      <c r="CY19" s="4"/>
      <c r="CZ19" s="4"/>
      <c r="DA19" s="4"/>
      <c r="DB19" s="4"/>
      <c r="DC19" s="4"/>
      <c r="DD19" s="4"/>
      <c r="DE19" s="4"/>
      <c r="DF19" s="4"/>
      <c r="DG19" s="4"/>
      <c r="DH19" s="4"/>
      <c r="DI19" s="4"/>
      <c r="DJ19" s="4"/>
      <c r="DK19" s="4"/>
      <c r="DL19" s="4"/>
      <c r="DM19" s="4"/>
      <c r="DN19" s="4"/>
      <c r="DO19" s="4"/>
      <c r="DP19" s="4"/>
      <c r="DQ19" s="4"/>
      <c r="DR19" s="4"/>
      <c r="DS19" s="4"/>
      <c r="DT19" s="4"/>
      <c r="DU19" s="4"/>
      <c r="DV19" s="4"/>
      <c r="DW19" s="4"/>
      <c r="DX19" s="4"/>
      <c r="DY19" s="4"/>
      <c r="DZ19" s="4"/>
      <c r="EA19" s="4"/>
      <c r="EB19" s="4"/>
      <c r="EC19" s="4"/>
      <c r="ED19" s="4"/>
      <c r="EE19" s="4"/>
      <c r="EF19" s="4"/>
      <c r="EG19" s="4"/>
      <c r="EH19" s="4"/>
      <c r="EI19" s="4"/>
      <c r="EJ19" s="4"/>
      <c r="EK19" s="4"/>
      <c r="EL19" s="4"/>
      <c r="EM19" s="4"/>
      <c r="EN19" s="4"/>
      <c r="EO19" s="4"/>
      <c r="EP19" s="4"/>
      <c r="EQ19" s="4"/>
      <c r="ER19" s="4"/>
      <c r="ES19" s="4"/>
      <c r="ET19" s="4"/>
      <c r="EU19" s="4"/>
      <c r="EV19" s="4"/>
    </row>
    <row r="20" spans="1:152" ht="20.100000000000001" customHeight="1" x14ac:dyDescent="0.25">
      <c r="A20" s="3"/>
      <c r="AB20" s="4"/>
      <c r="AC20" s="4"/>
      <c r="AD20" s="4"/>
      <c r="AE20" s="4"/>
      <c r="AF20" s="4"/>
      <c r="AG20" s="4"/>
      <c r="AH20" s="4"/>
      <c r="AI20" s="4"/>
      <c r="AJ20" s="4"/>
      <c r="AK20" s="4"/>
      <c r="AL20" s="4"/>
      <c r="AM20" s="4"/>
      <c r="AN20" s="4"/>
      <c r="AO20" s="4"/>
      <c r="AP20" s="4"/>
      <c r="AQ20" s="4"/>
      <c r="AR20" s="4"/>
      <c r="AS20" s="4"/>
      <c r="AT20" s="4"/>
      <c r="AU20" s="4"/>
      <c r="AV20" s="4"/>
      <c r="AW20" s="4"/>
      <c r="AX20" s="4"/>
      <c r="AY20" s="4"/>
      <c r="AZ20" s="4"/>
      <c r="BA20" s="4"/>
      <c r="BB20" s="4"/>
      <c r="BC20" s="4"/>
      <c r="BD20" s="4"/>
      <c r="BE20" s="4"/>
      <c r="BF20" s="4"/>
      <c r="BG20" s="4"/>
      <c r="BH20" s="4"/>
      <c r="BI20" s="4"/>
      <c r="BJ20" s="4"/>
      <c r="BK20" s="4"/>
      <c r="BL20" s="4"/>
      <c r="BM20" s="4"/>
      <c r="BN20" s="4"/>
      <c r="BO20" s="4"/>
      <c r="BP20" s="4"/>
      <c r="BQ20" s="4"/>
      <c r="BR20" s="4"/>
      <c r="BS20" s="4"/>
      <c r="BT20" s="4"/>
      <c r="BU20" s="4"/>
      <c r="BV20" s="4"/>
      <c r="BW20" s="4"/>
      <c r="BX20" s="4"/>
      <c r="BY20" s="4"/>
      <c r="BZ20" s="4"/>
      <c r="CA20" s="4"/>
      <c r="CB20" s="4"/>
      <c r="CC20" s="4"/>
      <c r="CD20" s="4"/>
      <c r="CE20" s="4"/>
      <c r="CF20" s="4"/>
      <c r="CG20" s="4"/>
      <c r="CH20" s="4"/>
      <c r="CI20" s="4"/>
      <c r="CJ20" s="4"/>
      <c r="CK20" s="4"/>
      <c r="CL20" s="4"/>
      <c r="CM20" s="4"/>
      <c r="CN20" s="4"/>
      <c r="CO20" s="4"/>
      <c r="CP20" s="4"/>
      <c r="CQ20" s="4"/>
      <c r="CR20" s="4"/>
      <c r="CS20" s="4"/>
      <c r="CT20" s="4"/>
      <c r="CU20" s="4"/>
      <c r="CV20" s="4"/>
      <c r="CW20" s="4"/>
      <c r="CX20" s="4"/>
      <c r="CY20" s="4"/>
      <c r="CZ20" s="4"/>
      <c r="DA20" s="4"/>
      <c r="DB20" s="4"/>
      <c r="DC20" s="4"/>
      <c r="DD20" s="4"/>
      <c r="DE20" s="4"/>
      <c r="DF20" s="4"/>
      <c r="DG20" s="4"/>
      <c r="DH20" s="4"/>
      <c r="DI20" s="4"/>
      <c r="DJ20" s="4"/>
      <c r="DK20" s="4"/>
      <c r="DL20" s="4"/>
      <c r="DM20" s="4"/>
      <c r="DN20" s="4"/>
      <c r="DO20" s="4"/>
      <c r="DP20" s="4"/>
      <c r="DQ20" s="4"/>
      <c r="DR20" s="4"/>
      <c r="DS20" s="4"/>
      <c r="DT20" s="4"/>
      <c r="DU20" s="4"/>
      <c r="DV20" s="4"/>
      <c r="DW20" s="4"/>
      <c r="DX20" s="4"/>
      <c r="DY20" s="4"/>
      <c r="DZ20" s="4"/>
      <c r="EA20" s="4"/>
      <c r="EB20" s="4"/>
      <c r="EC20" s="4"/>
      <c r="ED20" s="4"/>
      <c r="EE20" s="4"/>
      <c r="EF20" s="4"/>
      <c r="EG20" s="4"/>
      <c r="EH20" s="4"/>
      <c r="EI20" s="4"/>
      <c r="EJ20" s="4"/>
      <c r="EK20" s="4"/>
      <c r="EL20" s="4"/>
      <c r="EM20" s="4"/>
      <c r="EN20" s="4"/>
      <c r="EO20" s="4"/>
      <c r="EP20" s="4"/>
      <c r="EQ20" s="4"/>
      <c r="ER20" s="4"/>
      <c r="ES20" s="4"/>
      <c r="ET20" s="4"/>
    </row>
    <row r="21" spans="1:152" ht="20.100000000000001" customHeight="1" x14ac:dyDescent="0.25">
      <c r="A21" s="20" t="s">
        <v>77</v>
      </c>
      <c r="AB21" s="4"/>
      <c r="AC21" s="4"/>
      <c r="AD21" s="4"/>
      <c r="AE21" s="4"/>
      <c r="AF21" s="4"/>
      <c r="AG21" s="4"/>
      <c r="AH21" s="4"/>
      <c r="AI21" s="4"/>
      <c r="AJ21" s="4"/>
      <c r="AK21" s="4"/>
      <c r="AL21" s="4"/>
      <c r="AM21" s="4"/>
      <c r="AN21" s="4"/>
      <c r="AO21" s="4"/>
      <c r="AP21" s="4"/>
      <c r="AQ21" s="4"/>
      <c r="AR21" s="4"/>
      <c r="AS21" s="4"/>
      <c r="AT21" s="4"/>
      <c r="AU21" s="4"/>
      <c r="AV21" s="4"/>
      <c r="AW21" s="4"/>
      <c r="AX21" s="4"/>
      <c r="AY21" s="4"/>
      <c r="AZ21" s="4"/>
      <c r="BA21" s="4"/>
      <c r="BB21" s="4"/>
      <c r="BC21" s="4"/>
      <c r="BD21" s="4"/>
      <c r="BE21" s="4"/>
      <c r="BF21" s="4"/>
      <c r="BG21" s="4"/>
      <c r="BH21" s="4"/>
      <c r="BI21" s="4"/>
      <c r="BJ21" s="4"/>
      <c r="BK21" s="4"/>
      <c r="BL21" s="4"/>
      <c r="BM21" s="4"/>
      <c r="BN21" s="4"/>
      <c r="BO21" s="4"/>
      <c r="BP21" s="4"/>
      <c r="BQ21" s="4"/>
      <c r="BR21" s="4"/>
      <c r="BS21" s="4"/>
      <c r="BT21" s="4"/>
      <c r="BU21" s="4"/>
      <c r="BV21" s="4"/>
      <c r="BW21" s="4"/>
      <c r="BX21" s="4"/>
      <c r="BY21" s="4"/>
      <c r="BZ21" s="4"/>
      <c r="CA21" s="4"/>
      <c r="CB21" s="4"/>
      <c r="CC21" s="4"/>
      <c r="CD21" s="4"/>
      <c r="CE21" s="4"/>
      <c r="CF21" s="4"/>
      <c r="CG21" s="4"/>
      <c r="CH21" s="4"/>
      <c r="CI21" s="4"/>
      <c r="CJ21" s="4"/>
      <c r="CK21" s="4"/>
      <c r="CL21" s="4"/>
      <c r="CM21" s="4"/>
      <c r="CN21" s="4"/>
      <c r="CO21" s="4"/>
      <c r="CP21" s="4"/>
      <c r="CQ21" s="4"/>
      <c r="CR21" s="4"/>
      <c r="CS21" s="4"/>
      <c r="CT21" s="4"/>
      <c r="CU21" s="4"/>
      <c r="CV21" s="4"/>
      <c r="CW21" s="4"/>
      <c r="CX21" s="4"/>
      <c r="CY21" s="4"/>
      <c r="CZ21" s="4"/>
      <c r="DA21" s="4"/>
      <c r="DB21" s="4"/>
      <c r="DC21" s="4"/>
      <c r="DD21" s="4"/>
      <c r="DE21" s="4"/>
      <c r="DF21" s="4"/>
      <c r="DG21" s="4"/>
      <c r="DH21" s="4"/>
      <c r="DI21" s="4"/>
      <c r="DJ21" s="4"/>
      <c r="DK21" s="4"/>
      <c r="DL21" s="4"/>
      <c r="DM21" s="4"/>
      <c r="DN21" s="4"/>
      <c r="DO21" s="4"/>
      <c r="DP21" s="4"/>
      <c r="DQ21" s="4"/>
      <c r="DR21" s="4"/>
      <c r="DS21" s="4"/>
      <c r="DT21" s="4"/>
      <c r="DU21" s="4"/>
      <c r="DV21" s="4"/>
      <c r="DW21" s="4"/>
      <c r="DX21" s="4"/>
      <c r="DY21" s="4"/>
      <c r="DZ21" s="4"/>
      <c r="EA21" s="4"/>
      <c r="EB21" s="4"/>
      <c r="EC21" s="4"/>
      <c r="ED21" s="4"/>
      <c r="EE21" s="4"/>
      <c r="EF21" s="4"/>
      <c r="EG21" s="4"/>
      <c r="EH21" s="4"/>
      <c r="EI21" s="4"/>
      <c r="EJ21" s="4"/>
      <c r="EK21" s="4"/>
      <c r="EL21" s="4"/>
      <c r="EM21" s="4"/>
      <c r="EN21" s="4"/>
      <c r="EO21" s="4"/>
      <c r="EP21" s="4"/>
      <c r="EQ21" s="4"/>
      <c r="ER21" s="4"/>
      <c r="ES21" s="4"/>
      <c r="ET21" s="4"/>
    </row>
    <row r="22" spans="1:152" ht="20.100000000000001" customHeight="1" x14ac:dyDescent="0.25">
      <c r="A22" s="41" t="s">
        <v>304</v>
      </c>
      <c r="AB22" s="4"/>
      <c r="AC22" s="4"/>
      <c r="AD22" s="4"/>
      <c r="AE22" s="4"/>
      <c r="AF22" s="4"/>
      <c r="AG22" s="4"/>
      <c r="AH22" s="4"/>
      <c r="AI22" s="4"/>
      <c r="AJ22" s="4"/>
      <c r="AK22" s="4"/>
      <c r="AL22" s="4"/>
      <c r="AM22" s="4"/>
      <c r="AN22" s="4"/>
      <c r="AO22" s="4"/>
      <c r="AP22" s="4"/>
      <c r="AQ22" s="4"/>
      <c r="AR22" s="4"/>
      <c r="AS22" s="4"/>
      <c r="AT22" s="4"/>
      <c r="AU22" s="4"/>
      <c r="AV22" s="4"/>
      <c r="AW22" s="4"/>
      <c r="AX22" s="4"/>
      <c r="AY22" s="4"/>
      <c r="AZ22" s="4"/>
      <c r="BA22" s="4"/>
      <c r="BB22" s="4"/>
      <c r="BC22" s="4"/>
      <c r="BD22" s="4"/>
      <c r="BE22" s="4"/>
      <c r="BF22" s="4"/>
      <c r="BG22" s="4"/>
      <c r="BH22" s="4"/>
      <c r="BI22" s="4"/>
      <c r="BJ22" s="4"/>
      <c r="BK22" s="4"/>
      <c r="BL22" s="4"/>
      <c r="BM22" s="4"/>
      <c r="BN22" s="4"/>
      <c r="BO22" s="4"/>
      <c r="BP22" s="4"/>
      <c r="BQ22" s="4"/>
      <c r="BR22" s="4"/>
      <c r="BS22" s="4"/>
      <c r="BT22" s="4"/>
      <c r="BU22" s="4"/>
      <c r="BV22" s="4"/>
      <c r="BW22" s="4"/>
      <c r="BX22" s="4"/>
      <c r="BY22" s="4"/>
      <c r="BZ22" s="4"/>
      <c r="CA22" s="4"/>
      <c r="CB22" s="4"/>
      <c r="CC22" s="4"/>
      <c r="CD22" s="4"/>
      <c r="CE22" s="4"/>
      <c r="CF22" s="4"/>
      <c r="CG22" s="4"/>
      <c r="CH22" s="4"/>
      <c r="CI22" s="4"/>
      <c r="CJ22" s="4"/>
      <c r="CK22" s="4"/>
      <c r="CL22" s="4"/>
      <c r="CM22" s="4"/>
      <c r="CN22" s="4"/>
      <c r="CO22" s="4"/>
      <c r="CP22" s="4"/>
      <c r="CQ22" s="4"/>
      <c r="CR22" s="4"/>
      <c r="CS22" s="4"/>
      <c r="CT22" s="4"/>
      <c r="CU22" s="4"/>
      <c r="CV22" s="4"/>
      <c r="CW22" s="4"/>
      <c r="CX22" s="4"/>
      <c r="CY22" s="4"/>
      <c r="CZ22" s="4"/>
      <c r="DA22" s="4"/>
      <c r="DB22" s="4"/>
      <c r="DC22" s="4"/>
      <c r="DD22" s="4"/>
      <c r="DE22" s="4"/>
      <c r="DF22" s="4"/>
      <c r="DG22" s="4"/>
      <c r="DH22" s="4"/>
      <c r="DI22" s="4"/>
      <c r="DJ22" s="4"/>
      <c r="DK22" s="4"/>
      <c r="DL22" s="4"/>
      <c r="DM22" s="4"/>
      <c r="DN22" s="4"/>
      <c r="DO22" s="4"/>
      <c r="DP22" s="4"/>
      <c r="DQ22" s="4"/>
      <c r="DR22" s="4"/>
      <c r="DS22" s="4"/>
      <c r="DT22" s="4"/>
      <c r="DU22" s="4"/>
      <c r="DV22" s="4"/>
      <c r="DW22" s="4"/>
      <c r="DX22" s="4"/>
      <c r="DY22" s="4"/>
      <c r="DZ22" s="4"/>
      <c r="EA22" s="4"/>
      <c r="EB22" s="4"/>
      <c r="EC22" s="4"/>
      <c r="ED22" s="4"/>
      <c r="EE22" s="4"/>
      <c r="EF22" s="4"/>
      <c r="EG22" s="4"/>
      <c r="EH22" s="4"/>
      <c r="EI22" s="4"/>
      <c r="EJ22" s="4"/>
      <c r="EK22" s="4"/>
      <c r="EL22" s="4"/>
      <c r="EM22" s="4"/>
      <c r="EN22" s="4"/>
      <c r="EO22" s="4"/>
      <c r="EP22" s="4"/>
      <c r="EQ22" s="4"/>
      <c r="ER22" s="4"/>
      <c r="ES22" s="4"/>
    </row>
    <row r="23" spans="1:152" ht="20.100000000000001" customHeight="1" x14ac:dyDescent="0.25">
      <c r="A23" s="41" t="s">
        <v>305</v>
      </c>
      <c r="AB23" s="4"/>
      <c r="AC23" s="4"/>
      <c r="AD23" s="4"/>
      <c r="AE23" s="4"/>
      <c r="AF23" s="4"/>
      <c r="AG23" s="4"/>
      <c r="AH23" s="4"/>
      <c r="AI23" s="4"/>
      <c r="AJ23" s="4"/>
      <c r="AK23" s="4"/>
      <c r="AL23" s="4"/>
      <c r="AM23" s="4"/>
      <c r="AN23" s="4"/>
      <c r="AO23" s="4"/>
      <c r="AP23" s="4"/>
      <c r="AQ23" s="4"/>
      <c r="AR23" s="4"/>
      <c r="AS23" s="4"/>
      <c r="AT23" s="4"/>
      <c r="AU23" s="4"/>
      <c r="AV23" s="4"/>
      <c r="AW23" s="4"/>
      <c r="AX23" s="4"/>
      <c r="AY23" s="4"/>
      <c r="AZ23" s="4"/>
      <c r="BA23" s="4"/>
      <c r="BB23" s="4"/>
      <c r="BC23" s="4"/>
      <c r="BD23" s="4"/>
      <c r="BE23" s="4"/>
      <c r="BF23" s="4"/>
      <c r="BG23" s="4"/>
      <c r="BH23" s="4"/>
      <c r="BI23" s="4"/>
      <c r="BJ23" s="4"/>
      <c r="BK23" s="4"/>
      <c r="BL23" s="4"/>
      <c r="BM23" s="4"/>
      <c r="BN23" s="4"/>
      <c r="BO23" s="4"/>
      <c r="BP23" s="4"/>
      <c r="BQ23" s="4"/>
      <c r="BR23" s="4"/>
      <c r="BS23" s="4"/>
      <c r="BT23" s="4"/>
      <c r="BU23" s="4"/>
      <c r="BV23" s="4"/>
      <c r="BW23" s="4"/>
      <c r="BX23" s="4"/>
      <c r="BY23" s="4"/>
      <c r="BZ23" s="4"/>
      <c r="CA23" s="4"/>
      <c r="CB23" s="4"/>
      <c r="CC23" s="4"/>
      <c r="CD23" s="4"/>
      <c r="CE23" s="4"/>
      <c r="CF23" s="4"/>
      <c r="CG23" s="4"/>
      <c r="CH23" s="4"/>
      <c r="CI23" s="4"/>
      <c r="CJ23" s="4"/>
      <c r="CK23" s="4"/>
      <c r="CL23" s="4"/>
      <c r="CM23" s="4"/>
      <c r="CN23" s="4"/>
      <c r="CO23" s="4"/>
      <c r="CP23" s="4"/>
      <c r="CQ23" s="4"/>
      <c r="CR23" s="4"/>
      <c r="CS23" s="4"/>
      <c r="CT23" s="4"/>
      <c r="CU23" s="4"/>
      <c r="CV23" s="4"/>
      <c r="CW23" s="4"/>
      <c r="CX23" s="4"/>
      <c r="CY23" s="4"/>
      <c r="CZ23" s="4"/>
      <c r="DA23" s="4"/>
      <c r="DB23" s="4"/>
      <c r="DC23" s="4"/>
      <c r="DD23" s="4"/>
      <c r="DE23" s="4"/>
      <c r="DF23" s="4"/>
      <c r="DG23" s="4"/>
      <c r="DH23" s="4"/>
      <c r="DI23" s="4"/>
      <c r="DJ23" s="4"/>
      <c r="DK23" s="4"/>
      <c r="DL23" s="4"/>
      <c r="DM23" s="4"/>
      <c r="DN23" s="4"/>
      <c r="DO23" s="4"/>
      <c r="DP23" s="4"/>
      <c r="DQ23" s="4"/>
      <c r="DR23" s="4"/>
      <c r="DS23" s="4"/>
      <c r="DT23" s="4"/>
      <c r="DU23" s="4"/>
      <c r="DV23" s="4"/>
      <c r="DW23" s="4"/>
      <c r="DX23" s="4"/>
      <c r="DY23" s="4"/>
      <c r="DZ23" s="4"/>
      <c r="EA23" s="4"/>
      <c r="EB23" s="4"/>
      <c r="EC23" s="4"/>
      <c r="ED23" s="4"/>
      <c r="EE23" s="4"/>
      <c r="EF23" s="4"/>
      <c r="EG23" s="4"/>
      <c r="EH23" s="4"/>
      <c r="EI23" s="4"/>
      <c r="EJ23" s="4"/>
      <c r="EK23" s="4"/>
      <c r="EL23" s="4"/>
      <c r="EM23" s="4"/>
      <c r="EN23" s="4"/>
      <c r="EO23" s="4"/>
      <c r="EP23" s="4"/>
      <c r="EQ23" s="4"/>
      <c r="ER23" s="4"/>
      <c r="ES23" s="4"/>
    </row>
    <row r="24" spans="1:152" ht="20.100000000000001" customHeight="1" x14ac:dyDescent="0.25">
      <c r="A24" s="16" t="str">
        <f>HYPERLINK("#'Calcs - Fert Lime'!A1", "Fertiliser &amp; soil amendments")</f>
        <v>Fertiliser &amp; soil amendments</v>
      </c>
      <c r="AB24" s="4"/>
      <c r="AC24" s="4"/>
      <c r="AD24" s="4"/>
      <c r="AE24" s="4"/>
      <c r="AF24" s="4"/>
      <c r="AG24" s="4"/>
      <c r="AH24" s="4"/>
      <c r="AI24" s="4"/>
      <c r="AJ24" s="4"/>
      <c r="AK24" s="4"/>
      <c r="AL24" s="4"/>
      <c r="AM24" s="4"/>
      <c r="AN24" s="4"/>
      <c r="AO24" s="4"/>
      <c r="AP24" s="4"/>
      <c r="AQ24" s="4"/>
      <c r="AR24" s="4"/>
      <c r="AS24" s="4"/>
      <c r="AT24" s="4"/>
      <c r="AU24" s="4"/>
      <c r="AV24" s="4"/>
      <c r="AW24" s="4"/>
      <c r="AX24" s="4"/>
      <c r="AY24" s="4"/>
      <c r="AZ24" s="4"/>
      <c r="BA24" s="4"/>
      <c r="BB24" s="4"/>
      <c r="BC24" s="4"/>
      <c r="BD24" s="4"/>
      <c r="BE24" s="4"/>
      <c r="BF24" s="4"/>
      <c r="BG24" s="4"/>
      <c r="BH24" s="4"/>
      <c r="BI24" s="4"/>
      <c r="BJ24" s="4"/>
      <c r="BK24" s="4"/>
      <c r="BL24" s="4"/>
      <c r="BM24" s="4"/>
      <c r="BN24" s="4"/>
      <c r="BO24" s="4"/>
      <c r="BP24" s="4"/>
      <c r="BQ24" s="4"/>
      <c r="BR24" s="4"/>
      <c r="BS24" s="4"/>
      <c r="BT24" s="4"/>
      <c r="BU24" s="4"/>
      <c r="BV24" s="4"/>
      <c r="BW24" s="4"/>
      <c r="BX24" s="4"/>
      <c r="BY24" s="4"/>
      <c r="BZ24" s="4"/>
      <c r="CA24" s="4"/>
      <c r="CB24" s="4"/>
      <c r="CC24" s="4"/>
      <c r="CD24" s="4"/>
      <c r="CE24" s="4"/>
      <c r="CF24" s="4"/>
      <c r="CG24" s="4"/>
      <c r="CH24" s="4"/>
      <c r="CI24" s="4"/>
      <c r="CJ24" s="4"/>
      <c r="CK24" s="4"/>
      <c r="CL24" s="4"/>
      <c r="CM24" s="4"/>
      <c r="CN24" s="4"/>
      <c r="CO24" s="4"/>
      <c r="CP24" s="4"/>
      <c r="CQ24" s="4"/>
      <c r="CR24" s="4"/>
      <c r="CS24" s="4"/>
      <c r="CT24" s="4"/>
      <c r="CU24" s="4"/>
      <c r="CV24" s="4"/>
      <c r="CW24" s="4"/>
      <c r="CX24" s="4"/>
      <c r="CY24" s="4"/>
      <c r="CZ24" s="4"/>
      <c r="DA24" s="4"/>
      <c r="DB24" s="4"/>
      <c r="DC24" s="4"/>
      <c r="DD24" s="4"/>
      <c r="DE24" s="4"/>
      <c r="DF24" s="4"/>
      <c r="DG24" s="4"/>
      <c r="DH24" s="4"/>
      <c r="DI24" s="4"/>
      <c r="DJ24" s="4"/>
      <c r="DK24" s="4"/>
      <c r="DL24" s="4"/>
      <c r="DM24" s="4"/>
      <c r="DN24" s="4"/>
      <c r="DO24" s="4"/>
      <c r="DP24" s="4"/>
      <c r="DQ24" s="4"/>
      <c r="DR24" s="4"/>
      <c r="DS24" s="4"/>
      <c r="DT24" s="4"/>
      <c r="DU24" s="4"/>
      <c r="DV24" s="4"/>
      <c r="DW24" s="4"/>
      <c r="DX24" s="4"/>
      <c r="DY24" s="4"/>
      <c r="DZ24" s="4"/>
      <c r="EA24" s="4"/>
      <c r="EB24" s="4"/>
      <c r="EC24" s="4"/>
      <c r="ED24" s="4"/>
      <c r="EE24" s="4"/>
      <c r="EF24" s="4"/>
      <c r="EG24" s="4"/>
      <c r="EH24" s="4"/>
      <c r="EI24" s="4"/>
      <c r="EJ24" s="4"/>
      <c r="EK24" s="4"/>
      <c r="EL24" s="4"/>
      <c r="EM24" s="4"/>
      <c r="EN24" s="4"/>
      <c r="EO24" s="4"/>
      <c r="EP24" s="4"/>
      <c r="EQ24" s="4"/>
      <c r="ER24" s="4"/>
      <c r="ES24" s="4"/>
    </row>
    <row r="25" spans="1:152" ht="20.100000000000001" customHeight="1" x14ac:dyDescent="0.25">
      <c r="A25" s="16" t="str">
        <f>HYPERLINK("#'Calcs - Residue mgmt - Crop'!A1", "Residue management - Crop")</f>
        <v>Residue management - Crop</v>
      </c>
      <c r="AB25" s="4"/>
      <c r="AC25" s="4"/>
      <c r="AD25" s="4"/>
      <c r="AE25" s="4"/>
      <c r="AF25" s="4"/>
      <c r="AG25" s="4"/>
      <c r="AH25" s="4"/>
      <c r="AI25" s="4"/>
      <c r="AJ25" s="4"/>
      <c r="AK25" s="4"/>
      <c r="AL25" s="4"/>
      <c r="AM25" s="4"/>
      <c r="AN25" s="4"/>
      <c r="AO25" s="4"/>
      <c r="AP25" s="4"/>
      <c r="AQ25" s="4"/>
      <c r="AR25" s="4"/>
      <c r="AS25" s="4"/>
      <c r="AT25" s="4"/>
      <c r="AU25" s="4"/>
      <c r="AV25" s="4"/>
      <c r="AW25" s="4"/>
      <c r="AX25" s="4"/>
      <c r="AY25" s="4"/>
      <c r="AZ25" s="4"/>
      <c r="BA25" s="4"/>
      <c r="BB25" s="4"/>
      <c r="BC25" s="4"/>
      <c r="BD25" s="4"/>
      <c r="BE25" s="4"/>
      <c r="BF25" s="4"/>
      <c r="BG25" s="4"/>
      <c r="BH25" s="4"/>
      <c r="BI25" s="4"/>
      <c r="BJ25" s="4"/>
      <c r="BK25" s="4"/>
      <c r="BL25" s="4"/>
      <c r="BM25" s="4"/>
      <c r="BN25" s="4"/>
      <c r="BO25" s="4"/>
      <c r="BP25" s="4"/>
      <c r="BQ25" s="4"/>
      <c r="BR25" s="4"/>
      <c r="BS25" s="4"/>
      <c r="BT25" s="4"/>
      <c r="BU25" s="4"/>
      <c r="BV25" s="4"/>
      <c r="BW25" s="4"/>
      <c r="BX25" s="4"/>
      <c r="BY25" s="4"/>
      <c r="BZ25" s="4"/>
      <c r="CA25" s="4"/>
      <c r="CB25" s="4"/>
      <c r="CC25" s="4"/>
      <c r="CD25" s="4"/>
      <c r="CE25" s="4"/>
      <c r="CF25" s="4"/>
      <c r="CG25" s="4"/>
      <c r="CH25" s="4"/>
      <c r="CI25" s="4"/>
      <c r="CJ25" s="4"/>
      <c r="CK25" s="4"/>
      <c r="CL25" s="4"/>
      <c r="CM25" s="4"/>
      <c r="CN25" s="4"/>
      <c r="CO25" s="4"/>
      <c r="CP25" s="4"/>
      <c r="CQ25" s="4"/>
      <c r="CR25" s="4"/>
      <c r="CS25" s="4"/>
      <c r="CT25" s="4"/>
      <c r="CU25" s="4"/>
      <c r="CV25" s="4"/>
      <c r="CW25" s="4"/>
      <c r="CX25" s="4"/>
      <c r="CY25" s="4"/>
      <c r="CZ25" s="4"/>
      <c r="DA25" s="4"/>
      <c r="DB25" s="4"/>
      <c r="DC25" s="4"/>
      <c r="DD25" s="4"/>
      <c r="DE25" s="4"/>
      <c r="DF25" s="4"/>
      <c r="DG25" s="4"/>
      <c r="DH25" s="4"/>
      <c r="DI25" s="4"/>
      <c r="DJ25" s="4"/>
      <c r="DK25" s="4"/>
      <c r="DL25" s="4"/>
      <c r="DM25" s="4"/>
      <c r="DN25" s="4"/>
      <c r="DO25" s="4"/>
      <c r="DP25" s="4"/>
      <c r="DQ25" s="4"/>
      <c r="DR25" s="4"/>
      <c r="DS25" s="4"/>
      <c r="DT25" s="4"/>
      <c r="DU25" s="4"/>
      <c r="DV25" s="4"/>
      <c r="DW25" s="4"/>
      <c r="DX25" s="4"/>
      <c r="DY25" s="4"/>
      <c r="DZ25" s="4"/>
      <c r="EA25" s="4"/>
      <c r="EB25" s="4"/>
      <c r="EC25" s="4"/>
      <c r="ED25" s="4"/>
      <c r="EE25" s="4"/>
      <c r="EF25" s="4"/>
      <c r="EG25" s="4"/>
      <c r="EH25" s="4"/>
      <c r="EI25" s="4"/>
      <c r="EJ25" s="4"/>
      <c r="EK25" s="4"/>
      <c r="EL25" s="4"/>
      <c r="EM25" s="4"/>
      <c r="EN25" s="4"/>
      <c r="EO25" s="4"/>
      <c r="EP25" s="4"/>
      <c r="EQ25" s="4"/>
      <c r="ER25" s="4"/>
      <c r="ES25" s="4"/>
    </row>
    <row r="26" spans="1:152" ht="20.100000000000001" customHeight="1" x14ac:dyDescent="0.25">
      <c r="A26" s="16" t="str">
        <f>HYPERLINK("#'Calcs - Residue mgmt - Pasture'!A1", "Residue management - Pasture")</f>
        <v>Residue management - Pasture</v>
      </c>
      <c r="AB26" s="4"/>
      <c r="AC26" s="4"/>
      <c r="AD26" s="4"/>
      <c r="AE26" s="4"/>
      <c r="AF26" s="4"/>
      <c r="AG26" s="4"/>
      <c r="AH26" s="4"/>
      <c r="AI26" s="4"/>
      <c r="AJ26" s="4"/>
      <c r="AK26" s="4"/>
      <c r="AL26" s="4"/>
      <c r="AM26" s="4"/>
      <c r="AN26" s="4"/>
      <c r="AO26" s="4"/>
      <c r="AP26" s="4"/>
      <c r="AQ26" s="4"/>
      <c r="AR26" s="4"/>
      <c r="AS26" s="4"/>
      <c r="AT26" s="4"/>
      <c r="AU26" s="4"/>
      <c r="AV26" s="4"/>
      <c r="AW26" s="4"/>
      <c r="AX26" s="4"/>
      <c r="AY26" s="4"/>
      <c r="AZ26" s="4"/>
      <c r="BA26" s="4"/>
      <c r="BB26" s="4"/>
      <c r="BC26" s="4"/>
      <c r="BD26" s="4"/>
      <c r="BE26" s="4"/>
      <c r="BF26" s="4"/>
      <c r="BG26" s="4"/>
      <c r="BH26" s="4"/>
      <c r="BI26" s="4"/>
      <c r="BJ26" s="4"/>
      <c r="BK26" s="4"/>
      <c r="BL26" s="4"/>
      <c r="BM26" s="4"/>
      <c r="BN26" s="4"/>
      <c r="BO26" s="4"/>
      <c r="BP26" s="4"/>
      <c r="BQ26" s="4"/>
      <c r="BR26" s="4"/>
      <c r="BS26" s="4"/>
      <c r="BT26" s="4"/>
      <c r="BU26" s="4"/>
      <c r="BV26" s="4"/>
      <c r="BW26" s="4"/>
      <c r="BX26" s="4"/>
      <c r="BY26" s="4"/>
      <c r="BZ26" s="4"/>
      <c r="CA26" s="4"/>
      <c r="CB26" s="4"/>
      <c r="CC26" s="4"/>
      <c r="CD26" s="4"/>
      <c r="CE26" s="4"/>
      <c r="CF26" s="4"/>
      <c r="CG26" s="4"/>
      <c r="CH26" s="4"/>
      <c r="CI26" s="4"/>
      <c r="CJ26" s="4"/>
      <c r="CK26" s="4"/>
      <c r="CL26" s="4"/>
      <c r="CM26" s="4"/>
      <c r="CN26" s="4"/>
      <c r="CO26" s="4"/>
      <c r="CP26" s="4"/>
      <c r="CQ26" s="4"/>
      <c r="CR26" s="4"/>
      <c r="CS26" s="4"/>
      <c r="CT26" s="4"/>
      <c r="CU26" s="4"/>
      <c r="CV26" s="4"/>
      <c r="CW26" s="4"/>
      <c r="CX26" s="4"/>
      <c r="CY26" s="4"/>
      <c r="CZ26" s="4"/>
      <c r="DA26" s="4"/>
      <c r="DB26" s="4"/>
      <c r="DC26" s="4"/>
      <c r="DD26" s="4"/>
      <c r="DE26" s="4"/>
      <c r="DF26" s="4"/>
      <c r="DG26" s="4"/>
      <c r="DH26" s="4"/>
      <c r="DI26" s="4"/>
      <c r="DJ26" s="4"/>
      <c r="DK26" s="4"/>
      <c r="DL26" s="4"/>
      <c r="DM26" s="4"/>
      <c r="DN26" s="4"/>
      <c r="DO26" s="4"/>
      <c r="DP26" s="4"/>
      <c r="DQ26" s="4"/>
      <c r="DR26" s="4"/>
      <c r="DS26" s="4"/>
      <c r="DT26" s="4"/>
      <c r="DU26" s="4"/>
      <c r="DV26" s="4"/>
      <c r="DW26" s="4"/>
      <c r="DX26" s="4"/>
      <c r="DY26" s="4"/>
      <c r="DZ26" s="4"/>
      <c r="EA26" s="4"/>
      <c r="EB26" s="4"/>
      <c r="EC26" s="4"/>
      <c r="ED26" s="4"/>
      <c r="EE26" s="4"/>
      <c r="EF26" s="4"/>
      <c r="EG26" s="4"/>
      <c r="EH26" s="4"/>
      <c r="EI26" s="4"/>
      <c r="EJ26" s="4"/>
      <c r="EK26" s="4"/>
      <c r="EL26" s="4"/>
      <c r="EM26" s="4"/>
      <c r="EN26" s="4"/>
      <c r="EO26" s="4"/>
      <c r="EP26" s="4"/>
      <c r="EQ26" s="4"/>
      <c r="ER26" s="4"/>
      <c r="ES26" s="4"/>
    </row>
    <row r="27" spans="1:152" ht="20.100000000000001" customHeight="1" x14ac:dyDescent="0.25">
      <c r="A27" s="16" t="str">
        <f>HYPERLINK("#'Calcs - Field burning'!A1", "Field burning - Crop")</f>
        <v>Field burning - Crop</v>
      </c>
      <c r="AB27" s="4"/>
      <c r="AC27" s="4"/>
      <c r="AD27" s="4"/>
      <c r="AE27" s="4"/>
      <c r="AF27" s="4"/>
      <c r="AG27" s="4"/>
      <c r="AH27" s="4"/>
      <c r="AI27" s="4"/>
      <c r="AJ27" s="4"/>
      <c r="AK27" s="4"/>
      <c r="AL27" s="4"/>
      <c r="AM27" s="4"/>
      <c r="AN27" s="4"/>
      <c r="AO27" s="4"/>
      <c r="AP27" s="4"/>
      <c r="AQ27" s="4"/>
      <c r="AR27" s="4"/>
      <c r="AS27" s="4"/>
      <c r="AT27" s="4"/>
      <c r="AU27" s="4"/>
      <c r="AV27" s="4"/>
      <c r="AW27" s="4"/>
      <c r="AX27" s="4"/>
      <c r="AY27" s="4"/>
      <c r="AZ27" s="4"/>
      <c r="BA27" s="4"/>
      <c r="BB27" s="4"/>
      <c r="BC27" s="4"/>
      <c r="BD27" s="4"/>
      <c r="BE27" s="4"/>
      <c r="BF27" s="4"/>
      <c r="BG27" s="4"/>
      <c r="BH27" s="4"/>
      <c r="BI27" s="4"/>
      <c r="BJ27" s="4"/>
      <c r="BK27" s="4"/>
      <c r="BL27" s="4"/>
      <c r="BM27" s="4"/>
      <c r="BN27" s="4"/>
      <c r="BO27" s="4"/>
      <c r="BP27" s="4"/>
      <c r="BQ27" s="4"/>
      <c r="BR27" s="4"/>
      <c r="BS27" s="4"/>
      <c r="BT27" s="4"/>
      <c r="BU27" s="4"/>
      <c r="BV27" s="4"/>
      <c r="BW27" s="4"/>
      <c r="BX27" s="4"/>
      <c r="BY27" s="4"/>
      <c r="BZ27" s="4"/>
      <c r="CA27" s="4"/>
      <c r="CB27" s="4"/>
      <c r="CC27" s="4"/>
      <c r="CD27" s="4"/>
      <c r="CE27" s="4"/>
      <c r="CF27" s="4"/>
      <c r="CG27" s="4"/>
      <c r="CH27" s="4"/>
      <c r="CI27" s="4"/>
      <c r="CJ27" s="4"/>
      <c r="CK27" s="4"/>
      <c r="CL27" s="4"/>
      <c r="CM27" s="4"/>
      <c r="CN27" s="4"/>
      <c r="CO27" s="4"/>
      <c r="CP27" s="4"/>
      <c r="CQ27" s="4"/>
      <c r="CR27" s="4"/>
      <c r="CS27" s="4"/>
      <c r="CT27" s="4"/>
      <c r="CU27" s="4"/>
      <c r="CV27" s="4"/>
      <c r="CW27" s="4"/>
      <c r="CX27" s="4"/>
      <c r="CY27" s="4"/>
      <c r="CZ27" s="4"/>
      <c r="DA27" s="4"/>
      <c r="DB27" s="4"/>
      <c r="DC27" s="4"/>
      <c r="DD27" s="4"/>
      <c r="DE27" s="4"/>
      <c r="DF27" s="4"/>
      <c r="DG27" s="4"/>
      <c r="DH27" s="4"/>
      <c r="DI27" s="4"/>
      <c r="DJ27" s="4"/>
      <c r="DK27" s="4"/>
      <c r="DL27" s="4"/>
      <c r="DM27" s="4"/>
      <c r="DN27" s="4"/>
      <c r="DO27" s="4"/>
      <c r="DP27" s="4"/>
      <c r="DQ27" s="4"/>
      <c r="DR27" s="4"/>
      <c r="DS27" s="4"/>
      <c r="DT27" s="4"/>
      <c r="DU27" s="4"/>
      <c r="DV27" s="4"/>
      <c r="DW27" s="4"/>
      <c r="DX27" s="4"/>
      <c r="DY27" s="4"/>
      <c r="DZ27" s="4"/>
      <c r="EA27" s="4"/>
      <c r="EB27" s="4"/>
      <c r="EC27" s="4"/>
      <c r="ED27" s="4"/>
      <c r="EE27" s="4"/>
      <c r="EF27" s="4"/>
      <c r="EG27" s="4"/>
      <c r="EH27" s="4"/>
      <c r="EI27" s="4"/>
      <c r="EJ27" s="4"/>
      <c r="EK27" s="4"/>
      <c r="EL27" s="4"/>
      <c r="EM27" s="4"/>
      <c r="EN27" s="4"/>
      <c r="EO27" s="4"/>
      <c r="EP27" s="4"/>
      <c r="EQ27" s="4"/>
      <c r="ER27" s="4"/>
      <c r="ES27" s="4"/>
    </row>
    <row r="28" spans="1:152" ht="20.100000000000001" customHeight="1" x14ac:dyDescent="0.25">
      <c r="A28" s="16" t="str">
        <f>HYPERLINK("#'Calcs - Fuel'!A1", "Fuel")</f>
        <v>Fuel</v>
      </c>
      <c r="AB28" s="4"/>
      <c r="AC28" s="4"/>
      <c r="AD28" s="4"/>
      <c r="AE28" s="4"/>
      <c r="AF28" s="4"/>
      <c r="AG28" s="4"/>
      <c r="AH28" s="4"/>
      <c r="AI28" s="4"/>
      <c r="AJ28" s="4"/>
      <c r="AK28" s="4"/>
      <c r="AL28" s="4"/>
      <c r="AM28" s="4"/>
      <c r="AN28" s="4"/>
      <c r="AO28" s="4"/>
      <c r="AP28" s="4"/>
      <c r="AQ28" s="4"/>
      <c r="AR28" s="4"/>
      <c r="AS28" s="4"/>
      <c r="AT28" s="4"/>
      <c r="AU28" s="4"/>
      <c r="AV28" s="4"/>
      <c r="AW28" s="4"/>
      <c r="AX28" s="4"/>
      <c r="AY28" s="4"/>
      <c r="AZ28" s="4"/>
      <c r="BA28" s="4"/>
      <c r="BB28" s="4"/>
      <c r="BC28" s="4"/>
      <c r="BD28" s="4"/>
      <c r="BE28" s="4"/>
      <c r="BF28" s="4"/>
      <c r="BG28" s="4"/>
      <c r="BH28" s="4"/>
      <c r="BI28" s="4"/>
      <c r="BJ28" s="4"/>
      <c r="BK28" s="4"/>
      <c r="BL28" s="4"/>
      <c r="BM28" s="4"/>
      <c r="BN28" s="4"/>
      <c r="BO28" s="4"/>
      <c r="BP28" s="4"/>
      <c r="BQ28" s="4"/>
      <c r="BR28" s="4"/>
      <c r="BS28" s="4"/>
      <c r="BT28" s="4"/>
      <c r="BU28" s="4"/>
      <c r="BV28" s="4"/>
      <c r="BW28" s="4"/>
      <c r="BX28" s="4"/>
      <c r="BY28" s="4"/>
      <c r="BZ28" s="4"/>
      <c r="CA28" s="4"/>
      <c r="CB28" s="4"/>
      <c r="CC28" s="4"/>
      <c r="CD28" s="4"/>
      <c r="CE28" s="4"/>
      <c r="CF28" s="4"/>
      <c r="CG28" s="4"/>
      <c r="CH28" s="4"/>
      <c r="CI28" s="4"/>
      <c r="CJ28" s="4"/>
      <c r="CK28" s="4"/>
      <c r="CL28" s="4"/>
      <c r="CM28" s="4"/>
      <c r="CN28" s="4"/>
      <c r="CO28" s="4"/>
      <c r="CP28" s="4"/>
      <c r="CQ28" s="4"/>
      <c r="CR28" s="4"/>
      <c r="CS28" s="4"/>
      <c r="CT28" s="4"/>
      <c r="CU28" s="4"/>
      <c r="CV28" s="4"/>
      <c r="CW28" s="4"/>
      <c r="CX28" s="4"/>
      <c r="CY28" s="4"/>
      <c r="CZ28" s="4"/>
      <c r="DA28" s="4"/>
      <c r="DB28" s="4"/>
      <c r="DC28" s="4"/>
      <c r="DD28" s="4"/>
      <c r="DE28" s="4"/>
      <c r="DF28" s="4"/>
      <c r="DG28" s="4"/>
      <c r="DH28" s="4"/>
      <c r="DI28" s="4"/>
      <c r="DJ28" s="4"/>
      <c r="DK28" s="4"/>
      <c r="DL28" s="4"/>
      <c r="DM28" s="4"/>
      <c r="DN28" s="4"/>
      <c r="DO28" s="4"/>
      <c r="DP28" s="4"/>
      <c r="DQ28" s="4"/>
      <c r="DR28" s="4"/>
      <c r="DS28" s="4"/>
      <c r="DT28" s="4"/>
      <c r="DU28" s="4"/>
      <c r="DV28" s="4"/>
      <c r="DW28" s="4"/>
      <c r="DX28" s="4"/>
      <c r="DY28" s="4"/>
      <c r="DZ28" s="4"/>
      <c r="EA28" s="4"/>
      <c r="EB28" s="4"/>
      <c r="EC28" s="4"/>
      <c r="ED28" s="4"/>
      <c r="EE28" s="4"/>
      <c r="EF28" s="4"/>
      <c r="EG28" s="4"/>
      <c r="EH28" s="4"/>
      <c r="EI28" s="4"/>
      <c r="EJ28" s="4"/>
      <c r="EK28" s="4"/>
      <c r="EL28" s="4"/>
      <c r="EM28" s="4"/>
      <c r="EN28" s="4"/>
      <c r="EO28" s="4"/>
      <c r="EP28" s="4"/>
      <c r="EQ28" s="4"/>
      <c r="ER28" s="4"/>
      <c r="ES28" s="4"/>
    </row>
    <row r="29" spans="1:152" ht="20.100000000000001" customHeight="1" x14ac:dyDescent="0.25">
      <c r="A29" s="16" t="str">
        <f>HYPERLINK("#'Calcs - Electricity'!A1", "Electricity")</f>
        <v>Electricity</v>
      </c>
      <c r="AB29" s="4"/>
      <c r="AC29" s="4"/>
      <c r="AD29" s="4"/>
      <c r="AE29" s="4"/>
      <c r="AF29" s="4"/>
      <c r="AG29" s="4"/>
      <c r="AH29" s="4"/>
      <c r="AI29" s="4"/>
      <c r="AJ29" s="4"/>
      <c r="AK29" s="4"/>
      <c r="AL29" s="4"/>
      <c r="AM29" s="4"/>
      <c r="AN29" s="4"/>
      <c r="AO29" s="4"/>
      <c r="AP29" s="4"/>
      <c r="AQ29" s="4"/>
      <c r="AR29" s="4"/>
      <c r="AS29" s="4"/>
      <c r="AT29" s="4"/>
      <c r="AU29" s="4"/>
      <c r="AV29" s="4"/>
      <c r="AW29" s="4"/>
      <c r="AX29" s="4"/>
      <c r="AY29" s="4"/>
      <c r="AZ29" s="4"/>
      <c r="BA29" s="4"/>
      <c r="BB29" s="4"/>
      <c r="BC29" s="4"/>
      <c r="BD29" s="4"/>
      <c r="BE29" s="4"/>
      <c r="BF29" s="4"/>
      <c r="BG29" s="4"/>
      <c r="BH29" s="4"/>
      <c r="BI29" s="4"/>
      <c r="BJ29" s="4"/>
      <c r="BK29" s="4"/>
      <c r="BL29" s="4"/>
      <c r="BM29" s="4"/>
      <c r="BN29" s="4"/>
      <c r="BO29" s="4"/>
      <c r="BP29" s="4"/>
      <c r="BQ29" s="4"/>
      <c r="BR29" s="4"/>
      <c r="BS29" s="4"/>
      <c r="BT29" s="4"/>
      <c r="BU29" s="4"/>
      <c r="BV29" s="4"/>
      <c r="BW29" s="4"/>
      <c r="BX29" s="4"/>
      <c r="BY29" s="4"/>
      <c r="BZ29" s="4"/>
      <c r="CA29" s="4"/>
      <c r="CB29" s="4"/>
      <c r="CC29" s="4"/>
      <c r="CD29" s="4"/>
      <c r="CE29" s="4"/>
      <c r="CF29" s="4"/>
      <c r="CG29" s="4"/>
      <c r="CH29" s="4"/>
      <c r="CI29" s="4"/>
      <c r="CJ29" s="4"/>
      <c r="CK29" s="4"/>
      <c r="CL29" s="4"/>
      <c r="CM29" s="4"/>
      <c r="CN29" s="4"/>
      <c r="CO29" s="4"/>
      <c r="CP29" s="4"/>
      <c r="CQ29" s="4"/>
      <c r="CR29" s="4"/>
      <c r="CS29" s="4"/>
      <c r="CT29" s="4"/>
      <c r="CU29" s="4"/>
      <c r="CV29" s="4"/>
      <c r="CW29" s="4"/>
      <c r="CX29" s="4"/>
      <c r="CY29" s="4"/>
      <c r="CZ29" s="4"/>
      <c r="DA29" s="4"/>
      <c r="DB29" s="4"/>
      <c r="DC29" s="4"/>
      <c r="DD29" s="4"/>
      <c r="DE29" s="4"/>
      <c r="DF29" s="4"/>
      <c r="DG29" s="4"/>
      <c r="DH29" s="4"/>
      <c r="DI29" s="4"/>
      <c r="DJ29" s="4"/>
      <c r="DK29" s="4"/>
      <c r="DL29" s="4"/>
      <c r="DM29" s="4"/>
      <c r="DN29" s="4"/>
      <c r="DO29" s="4"/>
      <c r="DP29" s="4"/>
      <c r="DQ29" s="4"/>
      <c r="DR29" s="4"/>
      <c r="DS29" s="4"/>
      <c r="DT29" s="4"/>
      <c r="DU29" s="4"/>
      <c r="DV29" s="4"/>
      <c r="DW29" s="4"/>
      <c r="DX29" s="4"/>
      <c r="DY29" s="4"/>
      <c r="DZ29" s="4"/>
      <c r="EA29" s="4"/>
      <c r="EB29" s="4"/>
      <c r="EC29" s="4"/>
      <c r="ED29" s="4"/>
      <c r="EE29" s="4"/>
      <c r="EF29" s="4"/>
      <c r="EG29" s="4"/>
      <c r="EH29" s="4"/>
      <c r="EI29" s="4"/>
      <c r="EJ29" s="4"/>
      <c r="EK29" s="4"/>
      <c r="EL29" s="4"/>
      <c r="EM29" s="4"/>
      <c r="EN29" s="4"/>
      <c r="EO29" s="4"/>
      <c r="EP29" s="4"/>
      <c r="EQ29" s="4"/>
      <c r="ER29" s="4"/>
      <c r="ES29" s="4"/>
    </row>
    <row r="30" spans="1:152" ht="20.100000000000001" customHeight="1" x14ac:dyDescent="0.25">
      <c r="A30" s="16" t="str">
        <f>HYPERLINK("#'Calcs - Refrigerants'!A1", "Refrigerants")</f>
        <v>Refrigerants</v>
      </c>
      <c r="AB30" s="4"/>
      <c r="AC30" s="4"/>
      <c r="AD30" s="4"/>
      <c r="AE30" s="4"/>
      <c r="AF30" s="4"/>
      <c r="AG30" s="4"/>
      <c r="AH30" s="4"/>
      <c r="AI30" s="4"/>
      <c r="AJ30" s="4"/>
      <c r="AK30" s="4"/>
      <c r="AL30" s="4"/>
      <c r="AM30" s="4"/>
      <c r="AN30" s="4"/>
      <c r="AO30" s="4"/>
      <c r="AP30" s="4"/>
      <c r="AQ30" s="4"/>
      <c r="AR30" s="4"/>
      <c r="AS30" s="4"/>
      <c r="AT30" s="4"/>
      <c r="AU30" s="4"/>
      <c r="AV30" s="4"/>
      <c r="AW30" s="4"/>
      <c r="AX30" s="4"/>
      <c r="AY30" s="4"/>
      <c r="AZ30" s="4"/>
      <c r="BA30" s="4"/>
      <c r="BB30" s="4"/>
      <c r="BC30" s="4"/>
      <c r="BD30" s="4"/>
      <c r="BE30" s="4"/>
      <c r="BF30" s="4"/>
      <c r="BG30" s="4"/>
      <c r="BH30" s="4"/>
      <c r="BI30" s="4"/>
      <c r="BJ30" s="4"/>
      <c r="BK30" s="4"/>
      <c r="BL30" s="4"/>
      <c r="BM30" s="4"/>
      <c r="BN30" s="4"/>
      <c r="BO30" s="4"/>
      <c r="BP30" s="4"/>
      <c r="BQ30" s="4"/>
      <c r="BR30" s="4"/>
      <c r="BS30" s="4"/>
      <c r="BT30" s="4"/>
      <c r="BU30" s="4"/>
      <c r="BV30" s="4"/>
      <c r="BW30" s="4"/>
      <c r="BX30" s="4"/>
      <c r="BY30" s="4"/>
      <c r="BZ30" s="4"/>
      <c r="CA30" s="4"/>
      <c r="CB30" s="4"/>
      <c r="CC30" s="4"/>
      <c r="CD30" s="4"/>
      <c r="CE30" s="4"/>
      <c r="CF30" s="4"/>
      <c r="CG30" s="4"/>
      <c r="CH30" s="4"/>
      <c r="CI30" s="4"/>
      <c r="CJ30" s="4"/>
      <c r="CK30" s="4"/>
      <c r="CL30" s="4"/>
      <c r="CM30" s="4"/>
      <c r="CN30" s="4"/>
      <c r="CO30" s="4"/>
      <c r="CP30" s="4"/>
      <c r="CQ30" s="4"/>
      <c r="CR30" s="4"/>
      <c r="CS30" s="4"/>
      <c r="CT30" s="4"/>
      <c r="CU30" s="4"/>
      <c r="CV30" s="4"/>
      <c r="CW30" s="4"/>
      <c r="CX30" s="4"/>
      <c r="CY30" s="4"/>
      <c r="CZ30" s="4"/>
      <c r="DA30" s="4"/>
      <c r="DB30" s="4"/>
      <c r="DC30" s="4"/>
      <c r="DD30" s="4"/>
      <c r="DE30" s="4"/>
      <c r="DF30" s="4"/>
      <c r="DG30" s="4"/>
      <c r="DH30" s="4"/>
      <c r="DI30" s="4"/>
      <c r="DJ30" s="4"/>
      <c r="DK30" s="4"/>
      <c r="DL30" s="4"/>
      <c r="DM30" s="4"/>
      <c r="DN30" s="4"/>
      <c r="DO30" s="4"/>
      <c r="DP30" s="4"/>
      <c r="DQ30" s="4"/>
      <c r="DR30" s="4"/>
      <c r="DS30" s="4"/>
      <c r="DT30" s="4"/>
      <c r="DU30" s="4"/>
      <c r="DV30" s="4"/>
      <c r="DW30" s="4"/>
      <c r="DX30" s="4"/>
      <c r="DY30" s="4"/>
      <c r="DZ30" s="4"/>
      <c r="EA30" s="4"/>
      <c r="EB30" s="4"/>
      <c r="EC30" s="4"/>
      <c r="ED30" s="4"/>
      <c r="EE30" s="4"/>
      <c r="EF30" s="4"/>
      <c r="EG30" s="4"/>
      <c r="EH30" s="4"/>
      <c r="EI30" s="4"/>
      <c r="EJ30" s="4"/>
      <c r="EK30" s="4"/>
      <c r="EL30" s="4"/>
      <c r="EM30" s="4"/>
      <c r="EN30" s="4"/>
      <c r="EO30" s="4"/>
      <c r="EP30" s="4"/>
      <c r="EQ30" s="4"/>
      <c r="ER30" s="4"/>
      <c r="ES30" s="4"/>
    </row>
    <row r="31" spans="1:152" ht="20.100000000000001" customHeight="1" x14ac:dyDescent="0.25">
      <c r="A31" s="41" t="s">
        <v>302</v>
      </c>
      <c r="AB31" s="4"/>
      <c r="AC31" s="4"/>
      <c r="AD31" s="4"/>
      <c r="AE31" s="4"/>
      <c r="AF31" s="4"/>
      <c r="AG31" s="4"/>
      <c r="AH31" s="4"/>
      <c r="AI31" s="4"/>
      <c r="AJ31" s="4"/>
      <c r="AK31" s="4"/>
      <c r="AL31" s="4"/>
      <c r="AM31" s="4"/>
      <c r="AN31" s="4"/>
      <c r="AO31" s="4"/>
      <c r="AP31" s="4"/>
      <c r="AQ31" s="4"/>
      <c r="AR31" s="4"/>
      <c r="AS31" s="4"/>
      <c r="AT31" s="4"/>
      <c r="AU31" s="4"/>
      <c r="AV31" s="4"/>
      <c r="AW31" s="4"/>
      <c r="AX31" s="4"/>
      <c r="AY31" s="4"/>
      <c r="AZ31" s="4"/>
      <c r="BA31" s="4"/>
      <c r="BB31" s="4"/>
      <c r="BC31" s="4"/>
      <c r="BD31" s="4"/>
      <c r="BE31" s="4"/>
      <c r="BF31" s="4"/>
      <c r="BG31" s="4"/>
      <c r="BH31" s="4"/>
      <c r="BI31" s="4"/>
      <c r="BJ31" s="4"/>
      <c r="BK31" s="4"/>
      <c r="BL31" s="4"/>
      <c r="BM31" s="4"/>
      <c r="BN31" s="4"/>
      <c r="BO31" s="4"/>
      <c r="BP31" s="4"/>
      <c r="BQ31" s="4"/>
      <c r="BR31" s="4"/>
      <c r="BS31" s="4"/>
      <c r="BT31" s="4"/>
      <c r="BU31" s="4"/>
      <c r="BV31" s="4"/>
      <c r="BW31" s="4"/>
      <c r="BX31" s="4"/>
      <c r="BY31" s="4"/>
      <c r="BZ31" s="4"/>
      <c r="CA31" s="4"/>
      <c r="CB31" s="4"/>
      <c r="CC31" s="4"/>
      <c r="CD31" s="4"/>
      <c r="CE31" s="4"/>
      <c r="CF31" s="4"/>
      <c r="CG31" s="4"/>
      <c r="CH31" s="4"/>
      <c r="CI31" s="4"/>
      <c r="CJ31" s="4"/>
      <c r="CK31" s="4"/>
      <c r="CL31" s="4"/>
      <c r="CM31" s="4"/>
      <c r="CN31" s="4"/>
      <c r="CO31" s="4"/>
      <c r="CP31" s="4"/>
      <c r="CQ31" s="4"/>
      <c r="CR31" s="4"/>
      <c r="CS31" s="4"/>
      <c r="CT31" s="4"/>
      <c r="CU31" s="4"/>
      <c r="CV31" s="4"/>
      <c r="CW31" s="4"/>
      <c r="CX31" s="4"/>
      <c r="CY31" s="4"/>
      <c r="CZ31" s="4"/>
      <c r="DA31" s="4"/>
      <c r="DB31" s="4"/>
      <c r="DC31" s="4"/>
      <c r="DD31" s="4"/>
      <c r="DE31" s="4"/>
      <c r="DF31" s="4"/>
      <c r="DG31" s="4"/>
      <c r="DH31" s="4"/>
      <c r="DI31" s="4"/>
      <c r="DJ31" s="4"/>
      <c r="DK31" s="4"/>
      <c r="DL31" s="4"/>
      <c r="DM31" s="4"/>
      <c r="DN31" s="4"/>
      <c r="DO31" s="4"/>
      <c r="DP31" s="4"/>
      <c r="DQ31" s="4"/>
      <c r="DR31" s="4"/>
      <c r="DS31" s="4"/>
      <c r="DT31" s="4"/>
      <c r="DU31" s="4"/>
      <c r="DV31" s="4"/>
      <c r="DW31" s="4"/>
      <c r="DX31" s="4"/>
      <c r="DY31" s="4"/>
      <c r="DZ31" s="4"/>
      <c r="EA31" s="4"/>
      <c r="EB31" s="4"/>
      <c r="EC31" s="4"/>
      <c r="ED31" s="4"/>
      <c r="EE31" s="4"/>
      <c r="EF31" s="4"/>
      <c r="EG31" s="4"/>
      <c r="EH31" s="4"/>
      <c r="EI31" s="4"/>
      <c r="EJ31" s="4"/>
      <c r="EK31" s="4"/>
      <c r="EL31" s="4"/>
      <c r="EM31" s="4"/>
      <c r="EN31" s="4"/>
      <c r="EO31" s="4"/>
      <c r="EP31" s="4"/>
      <c r="EQ31" s="4"/>
      <c r="ER31" s="4"/>
      <c r="ES31" s="4"/>
    </row>
    <row r="32" spans="1:152" ht="20.100000000000001" customHeight="1" x14ac:dyDescent="0.25">
      <c r="A32" s="41" t="s">
        <v>303</v>
      </c>
      <c r="AB32" s="4"/>
      <c r="AC32" s="4"/>
      <c r="AD32" s="4"/>
      <c r="AE32" s="4"/>
      <c r="AF32" s="4"/>
      <c r="AG32" s="4"/>
      <c r="AH32" s="4"/>
      <c r="AI32" s="4"/>
      <c r="AJ32" s="4"/>
      <c r="AK32" s="4"/>
      <c r="AL32" s="4"/>
      <c r="AM32" s="4"/>
      <c r="AN32" s="4"/>
      <c r="AO32" s="4"/>
      <c r="AP32" s="4"/>
      <c r="AQ32" s="4"/>
      <c r="AR32" s="4"/>
      <c r="AS32" s="4"/>
      <c r="AT32" s="4"/>
      <c r="AU32" s="4"/>
      <c r="AV32" s="4"/>
      <c r="AW32" s="4"/>
      <c r="AX32" s="4"/>
      <c r="AY32" s="4"/>
      <c r="AZ32" s="4"/>
      <c r="BA32" s="4"/>
      <c r="BB32" s="4"/>
      <c r="BC32" s="4"/>
      <c r="BD32" s="4"/>
      <c r="BE32" s="4"/>
      <c r="BF32" s="4"/>
      <c r="BG32" s="4"/>
      <c r="BH32" s="4"/>
      <c r="BI32" s="4"/>
      <c r="BJ32" s="4"/>
      <c r="BK32" s="4"/>
      <c r="BL32" s="4"/>
      <c r="BM32" s="4"/>
      <c r="BN32" s="4"/>
      <c r="BO32" s="4"/>
      <c r="BP32" s="4"/>
      <c r="BQ32" s="4"/>
      <c r="BR32" s="4"/>
      <c r="BS32" s="4"/>
      <c r="BT32" s="4"/>
      <c r="BU32" s="4"/>
      <c r="BV32" s="4"/>
      <c r="BW32" s="4"/>
      <c r="BX32" s="4"/>
      <c r="BY32" s="4"/>
      <c r="BZ32" s="4"/>
      <c r="CA32" s="4"/>
      <c r="CB32" s="4"/>
      <c r="CC32" s="4"/>
      <c r="CD32" s="4"/>
      <c r="CE32" s="4"/>
      <c r="CF32" s="4"/>
      <c r="CG32" s="4"/>
      <c r="CH32" s="4"/>
      <c r="CI32" s="4"/>
      <c r="CJ32" s="4"/>
      <c r="CK32" s="4"/>
      <c r="CL32" s="4"/>
      <c r="CM32" s="4"/>
      <c r="CN32" s="4"/>
      <c r="CO32" s="4"/>
      <c r="CP32" s="4"/>
      <c r="CQ32" s="4"/>
      <c r="CR32" s="4"/>
      <c r="CS32" s="4"/>
      <c r="CT32" s="4"/>
      <c r="CU32" s="4"/>
      <c r="CV32" s="4"/>
      <c r="CW32" s="4"/>
      <c r="CX32" s="4"/>
      <c r="CY32" s="4"/>
      <c r="CZ32" s="4"/>
      <c r="DA32" s="4"/>
      <c r="DB32" s="4"/>
      <c r="DC32" s="4"/>
      <c r="DD32" s="4"/>
      <c r="DE32" s="4"/>
      <c r="DF32" s="4"/>
      <c r="DG32" s="4"/>
      <c r="DH32" s="4"/>
      <c r="DI32" s="4"/>
      <c r="DJ32" s="4"/>
      <c r="DK32" s="4"/>
      <c r="DL32" s="4"/>
      <c r="DM32" s="4"/>
      <c r="DN32" s="4"/>
      <c r="DO32" s="4"/>
      <c r="DP32" s="4"/>
      <c r="DQ32" s="4"/>
      <c r="DR32" s="4"/>
      <c r="DS32" s="4"/>
      <c r="DT32" s="4"/>
      <c r="DU32" s="4"/>
      <c r="DV32" s="4"/>
      <c r="DW32" s="4"/>
      <c r="DX32" s="4"/>
      <c r="DY32" s="4"/>
      <c r="DZ32" s="4"/>
      <c r="EA32" s="4"/>
      <c r="EB32" s="4"/>
      <c r="EC32" s="4"/>
      <c r="ED32" s="4"/>
      <c r="EE32" s="4"/>
      <c r="EF32" s="4"/>
      <c r="EG32" s="4"/>
      <c r="EH32" s="4"/>
      <c r="EI32" s="4"/>
      <c r="EJ32" s="4"/>
      <c r="EK32" s="4"/>
      <c r="EL32" s="4"/>
      <c r="EM32" s="4"/>
      <c r="EN32" s="4"/>
      <c r="EO32" s="4"/>
      <c r="EP32" s="4"/>
      <c r="EQ32" s="4"/>
      <c r="ER32" s="4"/>
      <c r="ES32" s="4"/>
    </row>
    <row r="33" spans="1:150" ht="20.100000000000001" customHeight="1" x14ac:dyDescent="0.25">
      <c r="A33" s="16" t="str">
        <f>HYPERLINK("#'Calcs - Scope 3'!A1", "Purchased goods scope 3")</f>
        <v>Purchased goods scope 3</v>
      </c>
      <c r="C33" s="145"/>
      <c r="AB33" s="4"/>
      <c r="AC33" s="4"/>
      <c r="AD33" s="4"/>
      <c r="AE33" s="4"/>
      <c r="AF33" s="4"/>
      <c r="AG33" s="4"/>
      <c r="AH33" s="4"/>
      <c r="AI33" s="4"/>
      <c r="AJ33" s="4"/>
      <c r="AK33" s="4"/>
      <c r="AL33" s="4"/>
      <c r="AM33" s="4"/>
      <c r="AN33" s="4"/>
      <c r="AO33" s="4"/>
      <c r="AP33" s="4"/>
      <c r="AQ33" s="4"/>
      <c r="AR33" s="4"/>
      <c r="AS33" s="4"/>
      <c r="AT33" s="4"/>
      <c r="AU33" s="4"/>
      <c r="AV33" s="4"/>
      <c r="AW33" s="4"/>
      <c r="AX33" s="4"/>
      <c r="AY33" s="4"/>
      <c r="AZ33" s="4"/>
      <c r="BA33" s="4"/>
      <c r="BB33" s="4"/>
      <c r="BC33" s="4"/>
      <c r="BD33" s="4"/>
      <c r="BE33" s="4"/>
      <c r="BF33" s="4"/>
      <c r="BG33" s="4"/>
      <c r="BH33" s="4"/>
      <c r="BI33" s="4"/>
      <c r="BJ33" s="4"/>
      <c r="BK33" s="4"/>
      <c r="BL33" s="4"/>
      <c r="BM33" s="4"/>
      <c r="BN33" s="4"/>
      <c r="BO33" s="4"/>
      <c r="BP33" s="4"/>
      <c r="BQ33" s="4"/>
      <c r="BR33" s="4"/>
      <c r="BS33" s="4"/>
      <c r="BT33" s="4"/>
      <c r="BU33" s="4"/>
      <c r="BV33" s="4"/>
      <c r="BW33" s="4"/>
      <c r="BX33" s="4"/>
      <c r="BY33" s="4"/>
      <c r="BZ33" s="4"/>
      <c r="CA33" s="4"/>
      <c r="CB33" s="4"/>
      <c r="CC33" s="4"/>
      <c r="CD33" s="4"/>
      <c r="CE33" s="4"/>
      <c r="CF33" s="4"/>
      <c r="CG33" s="4"/>
      <c r="CH33" s="4"/>
      <c r="CI33" s="4"/>
      <c r="CJ33" s="4"/>
      <c r="CK33" s="4"/>
      <c r="CL33" s="4"/>
      <c r="CM33" s="4"/>
      <c r="CN33" s="4"/>
      <c r="CO33" s="4"/>
      <c r="CP33" s="4"/>
      <c r="CQ33" s="4"/>
      <c r="CR33" s="4"/>
      <c r="CS33" s="4"/>
      <c r="CT33" s="4"/>
      <c r="CU33" s="4"/>
      <c r="CV33" s="4"/>
      <c r="CW33" s="4"/>
      <c r="CX33" s="4"/>
      <c r="CY33" s="4"/>
      <c r="CZ33" s="4"/>
      <c r="DA33" s="4"/>
      <c r="DB33" s="4"/>
      <c r="DC33" s="4"/>
      <c r="DD33" s="4"/>
      <c r="DE33" s="4"/>
      <c r="DF33" s="4"/>
      <c r="DG33" s="4"/>
      <c r="DH33" s="4"/>
      <c r="DI33" s="4"/>
      <c r="DJ33" s="4"/>
      <c r="DK33" s="4"/>
      <c r="DL33" s="4"/>
      <c r="DM33" s="4"/>
      <c r="DN33" s="4"/>
      <c r="DO33" s="4"/>
      <c r="DP33" s="4"/>
      <c r="DQ33" s="4"/>
      <c r="DR33" s="4"/>
      <c r="DS33" s="4"/>
      <c r="DT33" s="4"/>
      <c r="DU33" s="4"/>
      <c r="DV33" s="4"/>
      <c r="DW33" s="4"/>
      <c r="DX33" s="4"/>
      <c r="DY33" s="4"/>
      <c r="DZ33" s="4"/>
      <c r="EA33" s="4"/>
      <c r="EB33" s="4"/>
      <c r="EC33" s="4"/>
      <c r="ED33" s="4"/>
      <c r="EE33" s="4"/>
      <c r="EF33" s="4"/>
      <c r="EG33" s="4"/>
      <c r="EH33" s="4"/>
      <c r="EI33" s="4"/>
      <c r="EJ33" s="4"/>
      <c r="EK33" s="4"/>
      <c r="EL33" s="4"/>
      <c r="EM33" s="4"/>
      <c r="EN33" s="4"/>
      <c r="EO33" s="4"/>
      <c r="EP33" s="4"/>
      <c r="EQ33" s="4"/>
      <c r="ER33" s="4"/>
      <c r="ES33" s="4"/>
    </row>
    <row r="34" spans="1:150" ht="20.100000000000001" customHeight="1" x14ac:dyDescent="0.25">
      <c r="A34" s="3"/>
      <c r="AB34" s="4"/>
      <c r="AC34" s="4"/>
      <c r="AD34" s="4"/>
      <c r="AE34" s="4"/>
      <c r="AF34" s="4"/>
      <c r="AG34" s="4"/>
      <c r="AH34" s="4"/>
      <c r="AI34" s="4"/>
      <c r="AJ34" s="4"/>
      <c r="AK34" s="4"/>
      <c r="AL34" s="4"/>
      <c r="AM34" s="4"/>
      <c r="AN34" s="4"/>
      <c r="AO34" s="4"/>
      <c r="AP34" s="4"/>
      <c r="AQ34" s="4"/>
      <c r="AR34" s="4"/>
      <c r="AS34" s="4"/>
      <c r="AT34" s="4"/>
      <c r="AU34" s="4"/>
      <c r="AV34" s="4"/>
      <c r="AW34" s="4"/>
      <c r="AX34" s="4"/>
      <c r="AY34" s="4"/>
      <c r="AZ34" s="4"/>
      <c r="BA34" s="4"/>
      <c r="BB34" s="4"/>
      <c r="BC34" s="4"/>
      <c r="BD34" s="4"/>
      <c r="BE34" s="4"/>
      <c r="BF34" s="4"/>
      <c r="BG34" s="4"/>
      <c r="BH34" s="4"/>
      <c r="BI34" s="4"/>
      <c r="BJ34" s="4"/>
      <c r="BK34" s="4"/>
      <c r="BL34" s="4"/>
      <c r="BM34" s="4"/>
      <c r="BN34" s="4"/>
      <c r="BO34" s="4"/>
      <c r="BP34" s="4"/>
      <c r="BQ34" s="4"/>
      <c r="BR34" s="4"/>
      <c r="BS34" s="4"/>
      <c r="BT34" s="4"/>
      <c r="BU34" s="4"/>
      <c r="BV34" s="4"/>
      <c r="BW34" s="4"/>
      <c r="BX34" s="4"/>
      <c r="BY34" s="4"/>
      <c r="BZ34" s="4"/>
      <c r="CA34" s="4"/>
      <c r="CB34" s="4"/>
      <c r="CC34" s="4"/>
      <c r="CD34" s="4"/>
      <c r="CE34" s="4"/>
      <c r="CF34" s="4"/>
      <c r="CG34" s="4"/>
      <c r="CH34" s="4"/>
      <c r="CI34" s="4"/>
      <c r="CJ34" s="4"/>
      <c r="CK34" s="4"/>
      <c r="CL34" s="4"/>
      <c r="CM34" s="4"/>
      <c r="CN34" s="4"/>
      <c r="CO34" s="4"/>
      <c r="CP34" s="4"/>
      <c r="CQ34" s="4"/>
      <c r="CR34" s="4"/>
      <c r="CS34" s="4"/>
      <c r="CT34" s="4"/>
      <c r="CU34" s="4"/>
      <c r="CV34" s="4"/>
      <c r="CW34" s="4"/>
      <c r="CX34" s="4"/>
      <c r="CY34" s="4"/>
      <c r="CZ34" s="4"/>
      <c r="DA34" s="4"/>
      <c r="DB34" s="4"/>
      <c r="DC34" s="4"/>
      <c r="DD34" s="4"/>
      <c r="DE34" s="4"/>
      <c r="DF34" s="4"/>
      <c r="DG34" s="4"/>
      <c r="DH34" s="4"/>
      <c r="DI34" s="4"/>
      <c r="DJ34" s="4"/>
      <c r="DK34" s="4"/>
      <c r="DL34" s="4"/>
      <c r="DM34" s="4"/>
      <c r="DN34" s="4"/>
      <c r="DO34" s="4"/>
      <c r="DP34" s="4"/>
      <c r="DQ34" s="4"/>
      <c r="DR34" s="4"/>
      <c r="DS34" s="4"/>
      <c r="DT34" s="4"/>
      <c r="DU34" s="4"/>
      <c r="DV34" s="4"/>
      <c r="DW34" s="4"/>
      <c r="DX34" s="4"/>
      <c r="DY34" s="4"/>
      <c r="DZ34" s="4"/>
      <c r="EA34" s="4"/>
      <c r="EB34" s="4"/>
      <c r="EC34" s="4"/>
      <c r="ED34" s="4"/>
      <c r="EE34" s="4"/>
      <c r="EF34" s="4"/>
      <c r="EG34" s="4"/>
      <c r="EH34" s="4"/>
      <c r="EI34" s="4"/>
      <c r="EJ34" s="4"/>
      <c r="EK34" s="4"/>
      <c r="EL34" s="4"/>
      <c r="EM34" s="4"/>
      <c r="EN34" s="4"/>
      <c r="EO34" s="4"/>
      <c r="EP34" s="4"/>
      <c r="EQ34" s="4"/>
      <c r="ER34" s="4"/>
      <c r="ES34" s="4"/>
    </row>
    <row r="35" spans="1:150" ht="20.100000000000001" customHeight="1" x14ac:dyDescent="0.25">
      <c r="A35" s="21" t="s">
        <v>78</v>
      </c>
      <c r="AB35" s="4"/>
      <c r="AC35" s="4"/>
      <c r="AD35" s="4"/>
      <c r="AE35" s="4"/>
      <c r="AF35" s="4"/>
      <c r="AG35" s="4"/>
      <c r="AH35" s="4"/>
      <c r="AI35" s="4"/>
      <c r="AJ35" s="4"/>
      <c r="AK35" s="4"/>
      <c r="AL35" s="4"/>
      <c r="AM35" s="4"/>
      <c r="AN35" s="4"/>
      <c r="AO35" s="4"/>
      <c r="AP35" s="4"/>
      <c r="AQ35" s="4"/>
      <c r="AR35" s="4"/>
      <c r="AS35" s="4"/>
      <c r="AT35" s="4"/>
      <c r="AU35" s="4"/>
      <c r="AV35" s="4"/>
      <c r="AW35" s="4"/>
      <c r="AX35" s="4"/>
      <c r="AY35" s="4"/>
      <c r="AZ35" s="4"/>
      <c r="BA35" s="4"/>
      <c r="BB35" s="4"/>
      <c r="BC35" s="4"/>
      <c r="BD35" s="4"/>
      <c r="BE35" s="4"/>
      <c r="BF35" s="4"/>
      <c r="BG35" s="4"/>
      <c r="BH35" s="4"/>
      <c r="BI35" s="4"/>
      <c r="BJ35" s="4"/>
      <c r="BK35" s="4"/>
      <c r="BL35" s="4"/>
      <c r="BM35" s="4"/>
      <c r="BN35" s="4"/>
      <c r="BO35" s="4"/>
      <c r="BP35" s="4"/>
      <c r="BQ35" s="4"/>
      <c r="BR35" s="4"/>
      <c r="BS35" s="4"/>
      <c r="BT35" s="4"/>
      <c r="BU35" s="4"/>
      <c r="BV35" s="4"/>
      <c r="BW35" s="4"/>
      <c r="BX35" s="4"/>
      <c r="BY35" s="4"/>
      <c r="BZ35" s="4"/>
      <c r="CA35" s="4"/>
      <c r="CB35" s="4"/>
      <c r="CC35" s="4"/>
      <c r="CD35" s="4"/>
      <c r="CE35" s="4"/>
      <c r="CF35" s="4"/>
      <c r="CG35" s="4"/>
      <c r="CH35" s="4"/>
      <c r="CI35" s="4"/>
      <c r="CJ35" s="4"/>
      <c r="CK35" s="4"/>
      <c r="CL35" s="4"/>
      <c r="CM35" s="4"/>
      <c r="CN35" s="4"/>
      <c r="CO35" s="4"/>
      <c r="CP35" s="4"/>
      <c r="CQ35" s="4"/>
      <c r="CR35" s="4"/>
      <c r="CS35" s="4"/>
      <c r="CT35" s="4"/>
      <c r="CU35" s="4"/>
      <c r="CV35" s="4"/>
      <c r="CW35" s="4"/>
      <c r="CX35" s="4"/>
      <c r="CY35" s="4"/>
      <c r="CZ35" s="4"/>
      <c r="DA35" s="4"/>
      <c r="DB35" s="4"/>
      <c r="DC35" s="4"/>
      <c r="DD35" s="4"/>
      <c r="DE35" s="4"/>
      <c r="DF35" s="4"/>
      <c r="DG35" s="4"/>
      <c r="DH35" s="4"/>
      <c r="DI35" s="4"/>
      <c r="DJ35" s="4"/>
      <c r="DK35" s="4"/>
      <c r="DL35" s="4"/>
      <c r="DM35" s="4"/>
      <c r="DN35" s="4"/>
      <c r="DO35" s="4"/>
      <c r="DP35" s="4"/>
      <c r="DQ35" s="4"/>
      <c r="DR35" s="4"/>
      <c r="DS35" s="4"/>
      <c r="DT35" s="4"/>
      <c r="DU35" s="4"/>
      <c r="DV35" s="4"/>
      <c r="DW35" s="4"/>
      <c r="DX35" s="4"/>
      <c r="DY35" s="4"/>
      <c r="DZ35" s="4"/>
      <c r="EA35" s="4"/>
      <c r="EB35" s="4"/>
      <c r="EC35" s="4"/>
      <c r="ED35" s="4"/>
      <c r="EE35" s="4"/>
      <c r="EF35" s="4"/>
      <c r="EG35" s="4"/>
      <c r="EH35" s="4"/>
      <c r="EI35" s="4"/>
      <c r="EJ35" s="4"/>
      <c r="EK35" s="4"/>
      <c r="EL35" s="4"/>
      <c r="EM35" s="4"/>
      <c r="EN35" s="4"/>
      <c r="EO35" s="4"/>
      <c r="EP35" s="4"/>
      <c r="EQ35" s="4"/>
      <c r="ER35" s="4"/>
      <c r="ES35" s="4"/>
    </row>
    <row r="36" spans="1:150" ht="20.100000000000001" customHeight="1" x14ac:dyDescent="0.25">
      <c r="A36" s="16" t="str">
        <f>HYPERLINK("#'Constants - Common'!A1", "Constants - Common")</f>
        <v>Constants - Common</v>
      </c>
      <c r="AB36" s="4"/>
      <c r="AC36" s="4"/>
      <c r="AD36" s="4"/>
      <c r="AE36" s="4"/>
      <c r="AF36" s="4"/>
      <c r="AG36" s="4"/>
      <c r="AH36" s="4"/>
      <c r="AI36" s="4"/>
      <c r="AJ36" s="4"/>
      <c r="AK36" s="4"/>
      <c r="AL36" s="4"/>
      <c r="AM36" s="4"/>
      <c r="AN36" s="4"/>
      <c r="AO36" s="4"/>
      <c r="AP36" s="4"/>
      <c r="AQ36" s="4"/>
      <c r="AR36" s="4"/>
      <c r="AS36" s="4"/>
      <c r="AT36" s="4"/>
      <c r="AU36" s="4"/>
      <c r="AV36" s="4"/>
      <c r="AW36" s="4"/>
      <c r="AX36" s="4"/>
      <c r="AY36" s="4"/>
      <c r="AZ36" s="4"/>
      <c r="BA36" s="4"/>
      <c r="BB36" s="4"/>
      <c r="BC36" s="4"/>
      <c r="BD36" s="4"/>
      <c r="BE36" s="4"/>
      <c r="BF36" s="4"/>
      <c r="BG36" s="4"/>
      <c r="BH36" s="4"/>
      <c r="BI36" s="4"/>
      <c r="BJ36" s="4"/>
      <c r="BK36" s="4"/>
      <c r="BL36" s="4"/>
      <c r="BM36" s="4"/>
      <c r="BN36" s="4"/>
      <c r="BO36" s="4"/>
      <c r="BP36" s="4"/>
      <c r="BQ36" s="4"/>
      <c r="BR36" s="4"/>
      <c r="BS36" s="4"/>
      <c r="BT36" s="4"/>
      <c r="BU36" s="4"/>
      <c r="BV36" s="4"/>
      <c r="BW36" s="4"/>
      <c r="BX36" s="4"/>
      <c r="BY36" s="4"/>
      <c r="BZ36" s="4"/>
      <c r="CA36" s="4"/>
      <c r="CB36" s="4"/>
      <c r="CC36" s="4"/>
      <c r="CD36" s="4"/>
      <c r="CE36" s="4"/>
      <c r="CF36" s="4"/>
      <c r="CG36" s="4"/>
      <c r="CH36" s="4"/>
      <c r="CI36" s="4"/>
      <c r="CJ36" s="4"/>
      <c r="CK36" s="4"/>
      <c r="CL36" s="4"/>
      <c r="CM36" s="4"/>
      <c r="CN36" s="4"/>
      <c r="CO36" s="4"/>
      <c r="CP36" s="4"/>
      <c r="CQ36" s="4"/>
      <c r="CR36" s="4"/>
      <c r="CS36" s="4"/>
      <c r="CT36" s="4"/>
      <c r="CU36" s="4"/>
      <c r="CV36" s="4"/>
      <c r="CW36" s="4"/>
      <c r="CX36" s="4"/>
      <c r="CY36" s="4"/>
      <c r="CZ36" s="4"/>
      <c r="DA36" s="4"/>
      <c r="DB36" s="4"/>
      <c r="DC36" s="4"/>
      <c r="DD36" s="4"/>
      <c r="DE36" s="4"/>
      <c r="DF36" s="4"/>
      <c r="DG36" s="4"/>
      <c r="DH36" s="4"/>
      <c r="DI36" s="4"/>
      <c r="DJ36" s="4"/>
      <c r="DK36" s="4"/>
      <c r="DL36" s="4"/>
      <c r="DM36" s="4"/>
      <c r="DN36" s="4"/>
      <c r="DO36" s="4"/>
      <c r="DP36" s="4"/>
      <c r="DQ36" s="4"/>
      <c r="DR36" s="4"/>
      <c r="DS36" s="4"/>
      <c r="DT36" s="4"/>
      <c r="DU36" s="4"/>
      <c r="DV36" s="4"/>
      <c r="DW36" s="4"/>
      <c r="DX36" s="4"/>
      <c r="DY36" s="4"/>
      <c r="DZ36" s="4"/>
      <c r="EA36" s="4"/>
      <c r="EB36" s="4"/>
      <c r="EC36" s="4"/>
      <c r="ED36" s="4"/>
      <c r="EE36" s="4"/>
      <c r="EF36" s="4"/>
      <c r="EG36" s="4"/>
      <c r="EH36" s="4"/>
      <c r="EI36" s="4"/>
      <c r="EJ36" s="4"/>
      <c r="EK36" s="4"/>
      <c r="EL36" s="4"/>
      <c r="EM36" s="4"/>
      <c r="EN36" s="4"/>
      <c r="EO36" s="4"/>
      <c r="EP36" s="4"/>
      <c r="EQ36" s="4"/>
      <c r="ER36" s="4"/>
      <c r="ES36" s="4"/>
    </row>
    <row r="37" spans="1:150" ht="20.100000000000001" customHeight="1" x14ac:dyDescent="0.25">
      <c r="A37" s="16" t="str">
        <f>HYPERLINK("#'Constants - Cropping'!A1", "Constants - Cropping")</f>
        <v>Constants - Cropping</v>
      </c>
      <c r="AB37" s="4"/>
      <c r="AC37" s="4"/>
      <c r="AD37" s="4"/>
      <c r="AE37" s="4"/>
      <c r="AF37" s="4"/>
      <c r="AG37" s="4"/>
      <c r="AH37" s="4"/>
      <c r="AI37" s="4"/>
      <c r="AJ37" s="4"/>
      <c r="AK37" s="4"/>
      <c r="AL37" s="4"/>
      <c r="AM37" s="4"/>
      <c r="AN37" s="4"/>
      <c r="AO37" s="4"/>
      <c r="AP37" s="4"/>
      <c r="AQ37" s="4"/>
      <c r="AR37" s="4"/>
      <c r="AS37" s="4"/>
      <c r="AT37" s="4"/>
      <c r="AU37" s="4"/>
      <c r="AV37" s="4"/>
      <c r="AW37" s="4"/>
      <c r="AX37" s="4"/>
      <c r="AY37" s="4"/>
      <c r="AZ37" s="4"/>
      <c r="BA37" s="4"/>
      <c r="BB37" s="4"/>
      <c r="BC37" s="4"/>
      <c r="BD37" s="4"/>
      <c r="BE37" s="4"/>
      <c r="BF37" s="4"/>
      <c r="BG37" s="4"/>
      <c r="BH37" s="4"/>
      <c r="BI37" s="4"/>
      <c r="BJ37" s="4"/>
      <c r="BK37" s="4"/>
      <c r="BL37" s="4"/>
      <c r="BM37" s="4"/>
      <c r="BN37" s="4"/>
      <c r="BO37" s="4"/>
      <c r="BP37" s="4"/>
      <c r="BQ37" s="4"/>
      <c r="BR37" s="4"/>
      <c r="BS37" s="4"/>
      <c r="BT37" s="4"/>
      <c r="BU37" s="4"/>
      <c r="BV37" s="4"/>
      <c r="BW37" s="4"/>
      <c r="BX37" s="4"/>
      <c r="BY37" s="4"/>
      <c r="BZ37" s="4"/>
      <c r="CA37" s="4"/>
      <c r="CB37" s="4"/>
      <c r="CC37" s="4"/>
      <c r="CD37" s="4"/>
      <c r="CE37" s="4"/>
      <c r="CF37" s="4"/>
      <c r="CG37" s="4"/>
      <c r="CH37" s="4"/>
      <c r="CI37" s="4"/>
      <c r="CJ37" s="4"/>
      <c r="CK37" s="4"/>
      <c r="CL37" s="4"/>
      <c r="CM37" s="4"/>
      <c r="CN37" s="4"/>
      <c r="CO37" s="4"/>
      <c r="CP37" s="4"/>
      <c r="CQ37" s="4"/>
      <c r="CR37" s="4"/>
      <c r="CS37" s="4"/>
      <c r="CT37" s="4"/>
      <c r="CU37" s="4"/>
      <c r="CV37" s="4"/>
      <c r="CW37" s="4"/>
      <c r="CX37" s="4"/>
      <c r="CY37" s="4"/>
      <c r="CZ37" s="4"/>
      <c r="DA37" s="4"/>
      <c r="DB37" s="4"/>
      <c r="DC37" s="4"/>
      <c r="DD37" s="4"/>
      <c r="DE37" s="4"/>
      <c r="DF37" s="4"/>
      <c r="DG37" s="4"/>
      <c r="DH37" s="4"/>
      <c r="DI37" s="4"/>
      <c r="DJ37" s="4"/>
      <c r="DK37" s="4"/>
      <c r="DL37" s="4"/>
      <c r="DM37" s="4"/>
      <c r="DN37" s="4"/>
      <c r="DO37" s="4"/>
      <c r="DP37" s="4"/>
      <c r="DQ37" s="4"/>
      <c r="DR37" s="4"/>
      <c r="DS37" s="4"/>
      <c r="DT37" s="4"/>
      <c r="DU37" s="4"/>
      <c r="DV37" s="4"/>
      <c r="DW37" s="4"/>
      <c r="DX37" s="4"/>
      <c r="DY37" s="4"/>
      <c r="DZ37" s="4"/>
      <c r="EA37" s="4"/>
      <c r="EB37" s="4"/>
      <c r="EC37" s="4"/>
      <c r="ED37" s="4"/>
      <c r="EE37" s="4"/>
      <c r="EF37" s="4"/>
      <c r="EG37" s="4"/>
      <c r="EH37" s="4"/>
      <c r="EI37" s="4"/>
      <c r="EJ37" s="4"/>
      <c r="EK37" s="4"/>
      <c r="EL37" s="4"/>
      <c r="EM37" s="4"/>
      <c r="EN37" s="4"/>
      <c r="EO37" s="4"/>
      <c r="EP37" s="4"/>
      <c r="EQ37" s="4"/>
      <c r="ER37" s="4"/>
      <c r="ES37" s="4"/>
    </row>
    <row r="38" spans="1:150" ht="20.100000000000001" customHeight="1" x14ac:dyDescent="0.25">
      <c r="A38" s="16" t="str">
        <f>HYPERLINK("#'Constants - Livestock'!A1", "Constants - Livestock")</f>
        <v>Constants - Livestock</v>
      </c>
      <c r="R38" s="142"/>
      <c r="S38" s="142"/>
      <c r="T38" s="142"/>
      <c r="U38" s="142"/>
      <c r="V38" s="142"/>
      <c r="W38" s="142"/>
      <c r="X38" s="142"/>
      <c r="Y38" s="142"/>
      <c r="Z38" s="142"/>
      <c r="AB38" s="4"/>
      <c r="AC38" s="4"/>
      <c r="AD38" s="4"/>
      <c r="AE38" s="4"/>
      <c r="AF38" s="4"/>
      <c r="AG38" s="4"/>
      <c r="AH38" s="4"/>
      <c r="AI38" s="4"/>
      <c r="AJ38" s="4"/>
      <c r="AK38" s="4"/>
      <c r="AL38" s="4"/>
      <c r="AM38" s="4"/>
      <c r="AN38" s="4"/>
      <c r="AO38" s="4"/>
      <c r="AP38" s="4"/>
      <c r="AQ38" s="4"/>
      <c r="AR38" s="4"/>
      <c r="AS38" s="4"/>
      <c r="AT38" s="4"/>
      <c r="AU38" s="4"/>
      <c r="AV38" s="4"/>
      <c r="AW38" s="4"/>
      <c r="AX38" s="4"/>
      <c r="AY38" s="4"/>
      <c r="AZ38" s="4"/>
      <c r="BA38" s="4"/>
      <c r="BB38" s="4"/>
      <c r="BC38" s="4"/>
      <c r="BD38" s="4"/>
      <c r="BE38" s="4"/>
      <c r="BF38" s="4"/>
      <c r="BG38" s="4"/>
      <c r="BH38" s="4"/>
      <c r="BI38" s="4"/>
      <c r="BJ38" s="4"/>
      <c r="BK38" s="4"/>
      <c r="BL38" s="4"/>
      <c r="BM38" s="4"/>
      <c r="BN38" s="4"/>
      <c r="BO38" s="4"/>
      <c r="BP38" s="4"/>
      <c r="BQ38" s="4"/>
      <c r="BR38" s="4"/>
      <c r="BS38" s="4"/>
      <c r="BT38" s="4"/>
      <c r="BU38" s="4"/>
      <c r="BV38" s="4"/>
      <c r="BW38" s="4"/>
      <c r="BX38" s="4"/>
      <c r="BY38" s="4"/>
      <c r="BZ38" s="4"/>
      <c r="CA38" s="4"/>
      <c r="CB38" s="4"/>
      <c r="CC38" s="4"/>
      <c r="CD38" s="4"/>
      <c r="CE38" s="4"/>
      <c r="CF38" s="4"/>
      <c r="CG38" s="4"/>
      <c r="CH38" s="4"/>
      <c r="CI38" s="4"/>
      <c r="CJ38" s="4"/>
      <c r="CK38" s="4"/>
      <c r="CL38" s="4"/>
      <c r="CM38" s="4"/>
      <c r="CN38" s="4"/>
      <c r="CO38" s="4"/>
      <c r="CP38" s="4"/>
      <c r="CQ38" s="4"/>
      <c r="CR38" s="4"/>
      <c r="CS38" s="4"/>
      <c r="CT38" s="4"/>
      <c r="CU38" s="4"/>
      <c r="CV38" s="4"/>
      <c r="CW38" s="4"/>
      <c r="CX38" s="4"/>
      <c r="CY38" s="4"/>
      <c r="CZ38" s="4"/>
      <c r="DA38" s="4"/>
      <c r="DB38" s="4"/>
      <c r="DC38" s="4"/>
      <c r="DD38" s="4"/>
      <c r="DE38" s="4"/>
      <c r="DF38" s="4"/>
      <c r="DG38" s="4"/>
      <c r="DH38" s="4"/>
      <c r="DI38" s="4"/>
      <c r="DJ38" s="4"/>
      <c r="DK38" s="4"/>
      <c r="DL38" s="4"/>
      <c r="DM38" s="4"/>
      <c r="DN38" s="4"/>
      <c r="DO38" s="4"/>
      <c r="DP38" s="4"/>
      <c r="DQ38" s="4"/>
      <c r="DR38" s="4"/>
      <c r="DS38" s="4"/>
      <c r="DT38" s="4"/>
      <c r="DU38" s="4"/>
      <c r="DV38" s="4"/>
      <c r="DW38" s="4"/>
      <c r="DX38" s="4"/>
      <c r="DY38" s="4"/>
      <c r="DZ38" s="4"/>
      <c r="EA38" s="4"/>
      <c r="EB38" s="4"/>
      <c r="EC38" s="4"/>
      <c r="ED38" s="4"/>
      <c r="EE38" s="4"/>
      <c r="EF38" s="4"/>
      <c r="EG38" s="4"/>
      <c r="EH38" s="4"/>
      <c r="EI38" s="4"/>
      <c r="EJ38" s="4"/>
      <c r="EK38" s="4"/>
      <c r="EL38" s="4"/>
      <c r="EM38" s="4"/>
      <c r="EN38" s="4"/>
      <c r="EO38" s="4"/>
      <c r="EP38" s="4"/>
      <c r="EQ38" s="4"/>
      <c r="ER38" s="4"/>
      <c r="ES38" s="4"/>
    </row>
    <row r="39" spans="1:150" ht="20.100000000000001" customHeight="1" x14ac:dyDescent="0.25">
      <c r="A39" s="16" t="str">
        <f>HYPERLINK("#'Constants - Dairy'!A1", "Constants - Dairy")</f>
        <v>Constants - Dairy</v>
      </c>
      <c r="Q39" s="142"/>
      <c r="AB39" s="4"/>
      <c r="AC39" s="4"/>
      <c r="AD39" s="4"/>
      <c r="AE39" s="4"/>
      <c r="AF39" s="4"/>
      <c r="AG39" s="4"/>
      <c r="AH39" s="4"/>
      <c r="AI39" s="4"/>
      <c r="AJ39" s="4"/>
      <c r="AK39" s="4"/>
      <c r="AL39" s="4"/>
      <c r="AM39" s="4"/>
      <c r="AN39" s="4"/>
      <c r="AO39" s="4"/>
      <c r="AP39" s="4"/>
      <c r="AQ39" s="4"/>
      <c r="AR39" s="4"/>
      <c r="AS39" s="4"/>
      <c r="AT39" s="4"/>
      <c r="AU39" s="4"/>
      <c r="AV39" s="4"/>
      <c r="AW39" s="4"/>
      <c r="AX39" s="4"/>
      <c r="AY39" s="4"/>
      <c r="AZ39" s="4"/>
      <c r="BA39" s="4"/>
      <c r="BB39" s="4"/>
      <c r="BC39" s="4"/>
      <c r="BD39" s="4"/>
      <c r="BE39" s="4"/>
      <c r="BF39" s="4"/>
      <c r="BG39" s="4"/>
      <c r="BH39" s="4"/>
      <c r="BI39" s="4"/>
      <c r="BJ39" s="4"/>
      <c r="BK39" s="4"/>
      <c r="BL39" s="4"/>
      <c r="BM39" s="4"/>
      <c r="BN39" s="4"/>
      <c r="BO39" s="4"/>
      <c r="BP39" s="4"/>
      <c r="BQ39" s="4"/>
      <c r="BR39" s="4"/>
      <c r="BS39" s="4"/>
      <c r="BT39" s="4"/>
      <c r="BU39" s="4"/>
      <c r="BV39" s="4"/>
      <c r="BW39" s="4"/>
      <c r="BX39" s="4"/>
      <c r="BY39" s="4"/>
      <c r="BZ39" s="4"/>
      <c r="CA39" s="4"/>
      <c r="CB39" s="4"/>
      <c r="CC39" s="4"/>
      <c r="CD39" s="4"/>
      <c r="CE39" s="4"/>
      <c r="CF39" s="4"/>
      <c r="CG39" s="4"/>
      <c r="CH39" s="4"/>
      <c r="CI39" s="4"/>
      <c r="CJ39" s="4"/>
      <c r="CK39" s="4"/>
      <c r="CL39" s="4"/>
      <c r="CM39" s="4"/>
      <c r="CN39" s="4"/>
      <c r="CO39" s="4"/>
      <c r="CP39" s="4"/>
      <c r="CQ39" s="4"/>
      <c r="CR39" s="4"/>
      <c r="CS39" s="4"/>
      <c r="CT39" s="4"/>
      <c r="CU39" s="4"/>
      <c r="CV39" s="4"/>
      <c r="CW39" s="4"/>
      <c r="CX39" s="4"/>
      <c r="CY39" s="4"/>
      <c r="CZ39" s="4"/>
      <c r="DA39" s="4"/>
      <c r="DB39" s="4"/>
      <c r="DC39" s="4"/>
      <c r="DD39" s="4"/>
      <c r="DE39" s="4"/>
      <c r="DF39" s="4"/>
      <c r="DG39" s="4"/>
      <c r="DH39" s="4"/>
      <c r="DI39" s="4"/>
      <c r="DJ39" s="4"/>
      <c r="DK39" s="4"/>
      <c r="DL39" s="4"/>
      <c r="DM39" s="4"/>
      <c r="DN39" s="4"/>
      <c r="DO39" s="4"/>
      <c r="DP39" s="4"/>
      <c r="DQ39" s="4"/>
      <c r="DR39" s="4"/>
      <c r="DS39" s="4"/>
      <c r="DT39" s="4"/>
      <c r="DU39" s="4"/>
      <c r="DV39" s="4"/>
      <c r="DW39" s="4"/>
      <c r="DX39" s="4"/>
      <c r="DY39" s="4"/>
      <c r="DZ39" s="4"/>
      <c r="EA39" s="4"/>
      <c r="EB39" s="4"/>
      <c r="EC39" s="4"/>
      <c r="ED39" s="4"/>
      <c r="EE39" s="4"/>
      <c r="EF39" s="4"/>
      <c r="EG39" s="4"/>
      <c r="EH39" s="4"/>
      <c r="EI39" s="4"/>
      <c r="EJ39" s="4"/>
      <c r="EK39" s="4"/>
      <c r="EL39" s="4"/>
      <c r="EM39" s="4"/>
      <c r="EN39" s="4"/>
      <c r="EO39" s="4"/>
      <c r="EP39" s="4"/>
      <c r="EQ39" s="4"/>
      <c r="ER39" s="4"/>
      <c r="ES39" s="4"/>
    </row>
    <row r="40" spans="1:150" ht="20.100000000000001" customHeight="1" x14ac:dyDescent="0.25">
      <c r="A40" s="41" t="s">
        <v>306</v>
      </c>
      <c r="AB40" s="4"/>
      <c r="AC40" s="4"/>
      <c r="AD40" s="4"/>
      <c r="AE40" s="4"/>
      <c r="AF40" s="4"/>
      <c r="AG40" s="4"/>
      <c r="AH40" s="4"/>
      <c r="AI40" s="4"/>
      <c r="AJ40" s="4"/>
      <c r="AK40" s="4"/>
      <c r="AL40" s="4"/>
      <c r="AM40" s="4"/>
      <c r="AN40" s="4"/>
      <c r="AO40" s="4"/>
      <c r="AP40" s="4"/>
      <c r="AQ40" s="4"/>
      <c r="AR40" s="4"/>
      <c r="AS40" s="4"/>
      <c r="AT40" s="4"/>
      <c r="AU40" s="4"/>
      <c r="AV40" s="4"/>
      <c r="AW40" s="4"/>
      <c r="AX40" s="4"/>
      <c r="AY40" s="4"/>
      <c r="AZ40" s="4"/>
      <c r="BA40" s="4"/>
      <c r="BB40" s="4"/>
      <c r="BC40" s="4"/>
      <c r="BD40" s="4"/>
      <c r="BE40" s="4"/>
      <c r="BF40" s="4"/>
      <c r="BG40" s="4"/>
      <c r="BH40" s="4"/>
      <c r="BI40" s="4"/>
      <c r="BJ40" s="4"/>
      <c r="BK40" s="4"/>
      <c r="BL40" s="4"/>
      <c r="BM40" s="4"/>
      <c r="BN40" s="4"/>
      <c r="BO40" s="4"/>
      <c r="BP40" s="4"/>
      <c r="BQ40" s="4"/>
      <c r="BR40" s="4"/>
      <c r="BS40" s="4"/>
      <c r="BT40" s="4"/>
      <c r="BU40" s="4"/>
      <c r="BV40" s="4"/>
      <c r="BW40" s="4"/>
      <c r="BX40" s="4"/>
      <c r="BY40" s="4"/>
      <c r="BZ40" s="4"/>
      <c r="CA40" s="4"/>
      <c r="CB40" s="4"/>
      <c r="CC40" s="4"/>
      <c r="CD40" s="4"/>
      <c r="CE40" s="4"/>
      <c r="CF40" s="4"/>
      <c r="CG40" s="4"/>
      <c r="CH40" s="4"/>
      <c r="CI40" s="4"/>
      <c r="CJ40" s="4"/>
      <c r="CK40" s="4"/>
      <c r="CL40" s="4"/>
      <c r="CM40" s="4"/>
      <c r="CN40" s="4"/>
      <c r="CO40" s="4"/>
      <c r="CP40" s="4"/>
      <c r="CQ40" s="4"/>
      <c r="CR40" s="4"/>
      <c r="CS40" s="4"/>
      <c r="CT40" s="4"/>
      <c r="CU40" s="4"/>
      <c r="CV40" s="4"/>
      <c r="CW40" s="4"/>
      <c r="CX40" s="4"/>
      <c r="CY40" s="4"/>
      <c r="CZ40" s="4"/>
      <c r="DA40" s="4"/>
      <c r="DB40" s="4"/>
      <c r="DC40" s="4"/>
      <c r="DD40" s="4"/>
      <c r="DE40" s="4"/>
      <c r="DF40" s="4"/>
      <c r="DG40" s="4"/>
      <c r="DH40" s="4"/>
      <c r="DI40" s="4"/>
      <c r="DJ40" s="4"/>
      <c r="DK40" s="4"/>
      <c r="DL40" s="4"/>
      <c r="DM40" s="4"/>
      <c r="DN40" s="4"/>
      <c r="DO40" s="4"/>
      <c r="DP40" s="4"/>
      <c r="DQ40" s="4"/>
      <c r="DR40" s="4"/>
      <c r="DS40" s="4"/>
      <c r="DT40" s="4"/>
      <c r="DU40" s="4"/>
      <c r="DV40" s="4"/>
      <c r="DW40" s="4"/>
      <c r="DX40" s="4"/>
      <c r="DY40" s="4"/>
      <c r="DZ40" s="4"/>
      <c r="EA40" s="4"/>
      <c r="EB40" s="4"/>
      <c r="EC40" s="4"/>
      <c r="ED40" s="4"/>
      <c r="EE40" s="4"/>
      <c r="EF40" s="4"/>
      <c r="EG40" s="4"/>
      <c r="EH40" s="4"/>
      <c r="EI40" s="4"/>
      <c r="EJ40" s="4"/>
      <c r="EK40" s="4"/>
      <c r="EL40" s="4"/>
      <c r="EM40" s="4"/>
      <c r="EN40" s="4"/>
      <c r="EO40" s="4"/>
      <c r="EP40" s="4"/>
      <c r="EQ40" s="4"/>
      <c r="ER40" s="4"/>
      <c r="ES40" s="4"/>
    </row>
    <row r="41" spans="1:150" ht="20.100000000000001" customHeight="1" x14ac:dyDescent="0.2">
      <c r="A41" s="140"/>
      <c r="AB41" s="4"/>
      <c r="AC41" s="4"/>
      <c r="AD41" s="4"/>
      <c r="AE41" s="4"/>
      <c r="AF41" s="4"/>
      <c r="AG41" s="4"/>
      <c r="AH41" s="4"/>
      <c r="AI41" s="4"/>
      <c r="AJ41" s="4"/>
      <c r="AK41" s="4"/>
      <c r="AL41" s="4"/>
      <c r="AM41" s="4"/>
      <c r="AN41" s="4"/>
      <c r="AO41" s="4"/>
      <c r="AP41" s="4"/>
      <c r="AQ41" s="4"/>
      <c r="AR41" s="4"/>
      <c r="AS41" s="4"/>
      <c r="AT41" s="4"/>
      <c r="AU41" s="4"/>
      <c r="AV41" s="4"/>
      <c r="AW41" s="4"/>
      <c r="AX41" s="4"/>
      <c r="AY41" s="4"/>
      <c r="AZ41" s="4"/>
      <c r="BA41" s="4"/>
      <c r="BB41" s="4"/>
      <c r="BC41" s="4"/>
      <c r="BD41" s="4"/>
      <c r="BE41" s="4"/>
      <c r="BF41" s="4"/>
      <c r="BG41" s="4"/>
      <c r="BH41" s="4"/>
      <c r="BI41" s="4"/>
      <c r="BJ41" s="4"/>
      <c r="BK41" s="4"/>
      <c r="BL41" s="4"/>
      <c r="BM41" s="4"/>
      <c r="BN41" s="4"/>
      <c r="BO41" s="4"/>
      <c r="BP41" s="4"/>
      <c r="BQ41" s="4"/>
      <c r="BR41" s="4"/>
      <c r="BS41" s="4"/>
      <c r="BT41" s="4"/>
      <c r="BU41" s="4"/>
      <c r="BV41" s="4"/>
      <c r="BW41" s="4"/>
      <c r="BX41" s="4"/>
      <c r="BY41" s="4"/>
      <c r="BZ41" s="4"/>
      <c r="CA41" s="4"/>
      <c r="CB41" s="4"/>
      <c r="CC41" s="4"/>
      <c r="CD41" s="4"/>
      <c r="CE41" s="4"/>
      <c r="CF41" s="4"/>
      <c r="CG41" s="4"/>
      <c r="CH41" s="4"/>
      <c r="CI41" s="4"/>
      <c r="CJ41" s="4"/>
      <c r="CK41" s="4"/>
      <c r="CL41" s="4"/>
      <c r="CM41" s="4"/>
      <c r="CN41" s="4"/>
      <c r="CO41" s="4"/>
      <c r="CP41" s="4"/>
      <c r="CQ41" s="4"/>
      <c r="CR41" s="4"/>
      <c r="CS41" s="4"/>
      <c r="CT41" s="4"/>
      <c r="CU41" s="4"/>
      <c r="CV41" s="4"/>
      <c r="CW41" s="4"/>
      <c r="CX41" s="4"/>
      <c r="CY41" s="4"/>
      <c r="CZ41" s="4"/>
      <c r="DA41" s="4"/>
      <c r="DB41" s="4"/>
      <c r="DC41" s="4"/>
      <c r="DD41" s="4"/>
      <c r="DE41" s="4"/>
      <c r="DF41" s="4"/>
      <c r="DG41" s="4"/>
      <c r="DH41" s="4"/>
      <c r="DI41" s="4"/>
      <c r="DJ41" s="4"/>
      <c r="DK41" s="4"/>
      <c r="DL41" s="4"/>
      <c r="DM41" s="4"/>
      <c r="DN41" s="4"/>
      <c r="DO41" s="4"/>
      <c r="DP41" s="4"/>
      <c r="DQ41" s="4"/>
      <c r="DR41" s="4"/>
      <c r="DS41" s="4"/>
      <c r="DT41" s="4"/>
      <c r="DU41" s="4"/>
      <c r="DV41" s="4"/>
      <c r="DW41" s="4"/>
      <c r="DX41" s="4"/>
      <c r="DY41" s="4"/>
      <c r="DZ41" s="4"/>
      <c r="EA41" s="4"/>
      <c r="EB41" s="4"/>
      <c r="EC41" s="4"/>
      <c r="ED41" s="4"/>
      <c r="EE41" s="4"/>
      <c r="EF41" s="4"/>
      <c r="EG41" s="4"/>
      <c r="EH41" s="4"/>
      <c r="EI41" s="4"/>
      <c r="EJ41" s="4"/>
      <c r="EK41" s="4"/>
      <c r="EL41" s="4"/>
      <c r="EM41" s="4"/>
      <c r="EN41" s="4"/>
      <c r="EO41" s="4"/>
      <c r="EP41" s="4"/>
      <c r="EQ41" s="4"/>
      <c r="ER41" s="4"/>
      <c r="ES41" s="4"/>
    </row>
    <row r="42" spans="1:150" ht="20.100000000000001" customHeight="1" x14ac:dyDescent="0.25">
      <c r="AB42" s="4"/>
      <c r="AC42" s="4"/>
      <c r="AD42" s="4"/>
      <c r="AE42" s="4"/>
      <c r="AF42" s="4"/>
      <c r="AG42" s="4"/>
      <c r="AH42" s="4"/>
      <c r="AI42" s="4"/>
      <c r="AJ42" s="4"/>
      <c r="AK42" s="4"/>
      <c r="AL42" s="4"/>
      <c r="AM42" s="4"/>
      <c r="AN42" s="4"/>
      <c r="AO42" s="4"/>
      <c r="AP42" s="4"/>
      <c r="AQ42" s="4"/>
      <c r="AR42" s="4"/>
      <c r="AS42" s="4"/>
      <c r="AT42" s="4"/>
      <c r="AU42" s="4"/>
      <c r="AV42" s="4"/>
      <c r="AW42" s="4"/>
      <c r="AX42" s="4"/>
      <c r="AY42" s="4"/>
      <c r="AZ42" s="4"/>
      <c r="BA42" s="4"/>
      <c r="BB42" s="4"/>
      <c r="BC42" s="4"/>
      <c r="BD42" s="4"/>
      <c r="BE42" s="4"/>
      <c r="BF42" s="4"/>
      <c r="BG42" s="4"/>
      <c r="BH42" s="4"/>
      <c r="BI42" s="4"/>
      <c r="BJ42" s="4"/>
      <c r="BK42" s="4"/>
      <c r="BL42" s="4"/>
      <c r="BM42" s="4"/>
      <c r="BN42" s="4"/>
      <c r="BO42" s="4"/>
      <c r="BP42" s="4"/>
      <c r="BQ42" s="4"/>
      <c r="BR42" s="4"/>
      <c r="BS42" s="4"/>
      <c r="BT42" s="4"/>
      <c r="BU42" s="4"/>
      <c r="BV42" s="4"/>
      <c r="BW42" s="4"/>
      <c r="BX42" s="4"/>
      <c r="BY42" s="4"/>
      <c r="BZ42" s="4"/>
      <c r="CA42" s="4"/>
      <c r="CB42" s="4"/>
      <c r="CC42" s="4"/>
      <c r="CD42" s="4"/>
      <c r="CE42" s="4"/>
      <c r="CF42" s="4"/>
      <c r="CG42" s="4"/>
      <c r="CH42" s="4"/>
      <c r="CI42" s="4"/>
      <c r="CJ42" s="4"/>
      <c r="CK42" s="4"/>
      <c r="CL42" s="4"/>
      <c r="CM42" s="4"/>
      <c r="CN42" s="4"/>
      <c r="CO42" s="4"/>
      <c r="CP42" s="4"/>
      <c r="CQ42" s="4"/>
      <c r="CR42" s="4"/>
      <c r="CS42" s="4"/>
      <c r="CT42" s="4"/>
      <c r="CU42" s="4"/>
      <c r="CV42" s="4"/>
      <c r="CW42" s="4"/>
      <c r="CX42" s="4"/>
      <c r="CY42" s="4"/>
      <c r="CZ42" s="4"/>
      <c r="DA42" s="4"/>
      <c r="DB42" s="4"/>
      <c r="DC42" s="4"/>
      <c r="DD42" s="4"/>
      <c r="DE42" s="4"/>
      <c r="DF42" s="4"/>
      <c r="DG42" s="4"/>
      <c r="DH42" s="4"/>
      <c r="DI42" s="4"/>
      <c r="DJ42" s="4"/>
      <c r="DK42" s="4"/>
      <c r="DL42" s="4"/>
      <c r="DM42" s="4"/>
      <c r="DN42" s="4"/>
      <c r="DO42" s="4"/>
      <c r="DP42" s="4"/>
      <c r="DQ42" s="4"/>
      <c r="DR42" s="4"/>
      <c r="DS42" s="4"/>
      <c r="DT42" s="4"/>
      <c r="DU42" s="4"/>
      <c r="DV42" s="4"/>
      <c r="DW42" s="4"/>
      <c r="DX42" s="4"/>
      <c r="DY42" s="4"/>
      <c r="DZ42" s="4"/>
      <c r="EA42" s="4"/>
      <c r="EB42" s="4"/>
      <c r="EC42" s="4"/>
      <c r="ED42" s="4"/>
      <c r="EE42" s="4"/>
      <c r="EF42" s="4"/>
      <c r="EG42" s="4"/>
      <c r="EH42" s="4"/>
      <c r="EI42" s="4"/>
      <c r="EJ42" s="4"/>
      <c r="EK42" s="4"/>
      <c r="EL42" s="4"/>
      <c r="EM42" s="4"/>
      <c r="EN42" s="4"/>
      <c r="EO42" s="4"/>
      <c r="EP42" s="4"/>
      <c r="EQ42" s="4"/>
    </row>
    <row r="43" spans="1:150" ht="20.100000000000001" customHeight="1" x14ac:dyDescent="0.25">
      <c r="AB43" s="4"/>
      <c r="AC43" s="4"/>
      <c r="AD43" s="4"/>
      <c r="AE43" s="4"/>
      <c r="AF43" s="4"/>
      <c r="AG43" s="4"/>
      <c r="AH43" s="4"/>
      <c r="AI43" s="4"/>
      <c r="AJ43" s="4"/>
      <c r="AK43" s="4"/>
      <c r="AL43" s="4"/>
      <c r="AM43" s="4"/>
      <c r="AN43" s="4"/>
      <c r="AO43" s="4"/>
      <c r="AP43" s="4"/>
      <c r="AQ43" s="4"/>
      <c r="AR43" s="4"/>
      <c r="AS43" s="4"/>
      <c r="AT43" s="4"/>
      <c r="AU43" s="4"/>
      <c r="AV43" s="4"/>
      <c r="AW43" s="4"/>
      <c r="AX43" s="4"/>
      <c r="AY43" s="4"/>
      <c r="AZ43" s="4"/>
      <c r="BA43" s="4"/>
      <c r="BB43" s="4"/>
      <c r="BC43" s="4"/>
      <c r="BD43" s="4"/>
      <c r="BE43" s="4"/>
      <c r="BF43" s="4"/>
      <c r="BG43" s="4"/>
      <c r="BH43" s="4"/>
      <c r="BI43" s="4"/>
      <c r="BJ43" s="4"/>
      <c r="BK43" s="4"/>
      <c r="BL43" s="4"/>
      <c r="BM43" s="4"/>
      <c r="BN43" s="4"/>
      <c r="BO43" s="4"/>
      <c r="BP43" s="4"/>
      <c r="BQ43" s="4"/>
      <c r="BR43" s="4"/>
      <c r="BS43" s="4"/>
      <c r="BT43" s="4"/>
      <c r="BU43" s="4"/>
      <c r="BV43" s="4"/>
      <c r="BW43" s="4"/>
      <c r="BX43" s="4"/>
      <c r="BY43" s="4"/>
      <c r="BZ43" s="4"/>
      <c r="CA43" s="4"/>
      <c r="CB43" s="4"/>
      <c r="CC43" s="4"/>
      <c r="CD43" s="4"/>
      <c r="CE43" s="4"/>
      <c r="CF43" s="4"/>
      <c r="CG43" s="4"/>
      <c r="CH43" s="4"/>
      <c r="CI43" s="4"/>
      <c r="CJ43" s="4"/>
      <c r="CK43" s="4"/>
      <c r="CL43" s="4"/>
      <c r="CM43" s="4"/>
      <c r="CN43" s="4"/>
      <c r="CO43" s="4"/>
      <c r="CP43" s="4"/>
      <c r="CQ43" s="4"/>
      <c r="CR43" s="4"/>
      <c r="CS43" s="4"/>
      <c r="CT43" s="4"/>
      <c r="CU43" s="4"/>
      <c r="CV43" s="4"/>
      <c r="CW43" s="4"/>
      <c r="CX43" s="4"/>
      <c r="CY43" s="4"/>
      <c r="CZ43" s="4"/>
      <c r="DA43" s="4"/>
      <c r="DB43" s="4"/>
      <c r="DC43" s="4"/>
      <c r="DD43" s="4"/>
      <c r="DE43" s="4"/>
      <c r="DF43" s="4"/>
      <c r="DG43" s="4"/>
      <c r="DH43" s="4"/>
      <c r="DI43" s="4"/>
      <c r="DJ43" s="4"/>
      <c r="DK43" s="4"/>
      <c r="DL43" s="4"/>
      <c r="DM43" s="4"/>
      <c r="DN43" s="4"/>
      <c r="DO43" s="4"/>
      <c r="DP43" s="4"/>
      <c r="DQ43" s="4"/>
      <c r="DR43" s="4"/>
      <c r="DS43" s="4"/>
      <c r="DT43" s="4"/>
      <c r="DU43" s="4"/>
      <c r="DV43" s="4"/>
      <c r="DW43" s="4"/>
      <c r="DX43" s="4"/>
      <c r="DY43" s="4"/>
      <c r="DZ43" s="4"/>
      <c r="EA43" s="4"/>
      <c r="EB43" s="4"/>
      <c r="EC43" s="4"/>
      <c r="ED43" s="4"/>
      <c r="EE43" s="4"/>
      <c r="EF43" s="4"/>
      <c r="EG43" s="4"/>
      <c r="EH43" s="4"/>
      <c r="EI43" s="4"/>
      <c r="EJ43" s="4"/>
      <c r="EK43" s="4"/>
      <c r="EL43" s="4"/>
      <c r="EM43" s="4"/>
      <c r="EN43" s="4"/>
      <c r="EO43" s="4"/>
      <c r="EP43" s="4"/>
      <c r="EQ43" s="4"/>
    </row>
    <row r="44" spans="1:150" ht="20.100000000000001" customHeight="1" x14ac:dyDescent="0.25">
      <c r="AB44" s="4"/>
      <c r="AC44" s="4"/>
      <c r="AD44" s="4"/>
      <c r="AE44" s="4"/>
      <c r="AF44" s="4"/>
      <c r="AG44" s="4"/>
      <c r="AH44" s="4"/>
      <c r="AI44" s="4"/>
      <c r="AJ44" s="4"/>
      <c r="AK44" s="4"/>
      <c r="AL44" s="4"/>
      <c r="AM44" s="4"/>
      <c r="AN44" s="4"/>
      <c r="AO44" s="4"/>
      <c r="AP44" s="4"/>
      <c r="AQ44" s="4"/>
      <c r="AR44" s="4"/>
      <c r="AS44" s="4"/>
      <c r="AT44" s="4"/>
      <c r="AU44" s="4"/>
      <c r="AV44" s="4"/>
      <c r="AW44" s="4"/>
      <c r="AX44" s="4"/>
      <c r="AY44" s="4"/>
      <c r="AZ44" s="4"/>
      <c r="BA44" s="4"/>
      <c r="BB44" s="4"/>
      <c r="BC44" s="4"/>
      <c r="BD44" s="4"/>
      <c r="BE44" s="4"/>
      <c r="BF44" s="4"/>
      <c r="BG44" s="4"/>
      <c r="BH44" s="4"/>
      <c r="BI44" s="4"/>
      <c r="BJ44" s="4"/>
      <c r="BK44" s="4"/>
      <c r="BL44" s="4"/>
      <c r="BM44" s="4"/>
      <c r="BN44" s="4"/>
      <c r="BO44" s="4"/>
      <c r="BP44" s="4"/>
      <c r="BQ44" s="4"/>
      <c r="BR44" s="4"/>
      <c r="BS44" s="4"/>
      <c r="BT44" s="4"/>
      <c r="BU44" s="4"/>
      <c r="BV44" s="4"/>
      <c r="BW44" s="4"/>
      <c r="BX44" s="4"/>
      <c r="BY44" s="4"/>
      <c r="BZ44" s="4"/>
      <c r="CA44" s="4"/>
      <c r="CB44" s="4"/>
      <c r="CC44" s="4"/>
      <c r="CD44" s="4"/>
      <c r="CE44" s="4"/>
      <c r="CF44" s="4"/>
      <c r="CG44" s="4"/>
      <c r="CH44" s="4"/>
      <c r="CI44" s="4"/>
      <c r="CJ44" s="4"/>
      <c r="CK44" s="4"/>
      <c r="CL44" s="4"/>
      <c r="CM44" s="4"/>
      <c r="CN44" s="4"/>
      <c r="CO44" s="4"/>
      <c r="CP44" s="4"/>
      <c r="CQ44" s="4"/>
      <c r="CR44" s="4"/>
      <c r="CS44" s="4"/>
      <c r="CT44" s="4"/>
      <c r="CU44" s="4"/>
      <c r="CV44" s="4"/>
      <c r="CW44" s="4"/>
      <c r="CX44" s="4"/>
      <c r="CY44" s="4"/>
      <c r="CZ44" s="4"/>
      <c r="DA44" s="4"/>
      <c r="DB44" s="4"/>
      <c r="DC44" s="4"/>
      <c r="DD44" s="4"/>
      <c r="DE44" s="4"/>
      <c r="DF44" s="4"/>
      <c r="DG44" s="4"/>
      <c r="DH44" s="4"/>
      <c r="DI44" s="4"/>
      <c r="DJ44" s="4"/>
      <c r="DK44" s="4"/>
      <c r="DL44" s="4"/>
      <c r="DM44" s="4"/>
      <c r="DN44" s="4"/>
      <c r="DO44" s="4"/>
      <c r="DP44" s="4"/>
      <c r="DQ44" s="4"/>
      <c r="DR44" s="4"/>
      <c r="DS44" s="4"/>
      <c r="DT44" s="4"/>
      <c r="DU44" s="4"/>
      <c r="DV44" s="4"/>
      <c r="DW44" s="4"/>
      <c r="DX44" s="4"/>
      <c r="DY44" s="4"/>
      <c r="DZ44" s="4"/>
      <c r="EA44" s="4"/>
      <c r="EB44" s="4"/>
      <c r="EC44" s="4"/>
      <c r="ED44" s="4"/>
      <c r="EE44" s="4"/>
      <c r="EF44" s="4"/>
      <c r="EG44" s="4"/>
      <c r="EH44" s="4"/>
      <c r="EI44" s="4"/>
      <c r="EJ44" s="4"/>
      <c r="EK44" s="4"/>
      <c r="EL44" s="4"/>
      <c r="EM44" s="4"/>
      <c r="EN44" s="4"/>
      <c r="EO44" s="4"/>
      <c r="EP44" s="4"/>
      <c r="EQ44" s="4"/>
    </row>
    <row r="45" spans="1:150" ht="20.100000000000001" customHeight="1" x14ac:dyDescent="0.25">
      <c r="AB45" s="4"/>
      <c r="AC45" s="4"/>
      <c r="AD45" s="4"/>
      <c r="AE45" s="4"/>
      <c r="AF45" s="4"/>
      <c r="AG45" s="4"/>
      <c r="AH45" s="4"/>
      <c r="AI45" s="4"/>
      <c r="AJ45" s="4"/>
      <c r="AK45" s="4"/>
      <c r="AL45" s="4"/>
      <c r="AM45" s="4"/>
      <c r="AN45" s="4"/>
      <c r="AO45" s="4"/>
      <c r="AP45" s="4"/>
      <c r="AQ45" s="4"/>
      <c r="AR45" s="4"/>
      <c r="AS45" s="4"/>
      <c r="AT45" s="4"/>
      <c r="AU45" s="4"/>
      <c r="AV45" s="4"/>
      <c r="AW45" s="4"/>
      <c r="AX45" s="4"/>
      <c r="AY45" s="4"/>
      <c r="AZ45" s="4"/>
      <c r="BA45" s="4"/>
      <c r="BB45" s="4"/>
      <c r="BC45" s="4"/>
      <c r="BD45" s="4"/>
      <c r="BE45" s="4"/>
      <c r="BF45" s="4"/>
      <c r="BG45" s="4"/>
      <c r="BH45" s="4"/>
      <c r="BI45" s="4"/>
      <c r="BJ45" s="4"/>
      <c r="BK45" s="4"/>
      <c r="BL45" s="4"/>
      <c r="BM45" s="4"/>
      <c r="BN45" s="4"/>
      <c r="BO45" s="4"/>
      <c r="BP45" s="4"/>
      <c r="BQ45" s="4"/>
      <c r="BR45" s="4"/>
      <c r="BS45" s="4"/>
      <c r="BT45" s="4"/>
      <c r="BU45" s="4"/>
      <c r="BV45" s="4"/>
      <c r="BW45" s="4"/>
      <c r="BX45" s="4"/>
      <c r="BY45" s="4"/>
      <c r="BZ45" s="4"/>
      <c r="CA45" s="4"/>
      <c r="CB45" s="4"/>
      <c r="CC45" s="4"/>
      <c r="CD45" s="4"/>
      <c r="CE45" s="4"/>
      <c r="CF45" s="4"/>
      <c r="CG45" s="4"/>
      <c r="CH45" s="4"/>
      <c r="CI45" s="4"/>
      <c r="CJ45" s="4"/>
      <c r="CK45" s="4"/>
      <c r="CL45" s="4"/>
      <c r="CM45" s="4"/>
      <c r="CN45" s="4"/>
      <c r="CO45" s="4"/>
      <c r="CP45" s="4"/>
      <c r="CQ45" s="4"/>
      <c r="CR45" s="4"/>
      <c r="CS45" s="4"/>
      <c r="CT45" s="4"/>
      <c r="CU45" s="4"/>
      <c r="CV45" s="4"/>
      <c r="CW45" s="4"/>
      <c r="CX45" s="4"/>
      <c r="CY45" s="4"/>
      <c r="CZ45" s="4"/>
      <c r="DA45" s="4"/>
      <c r="DB45" s="4"/>
      <c r="DC45" s="4"/>
      <c r="DD45" s="4"/>
      <c r="DE45" s="4"/>
      <c r="DF45" s="4"/>
      <c r="DG45" s="4"/>
      <c r="DH45" s="4"/>
      <c r="DI45" s="4"/>
      <c r="DJ45" s="4"/>
      <c r="DK45" s="4"/>
      <c r="DL45" s="4"/>
      <c r="DM45" s="4"/>
      <c r="DN45" s="4"/>
      <c r="DO45" s="4"/>
      <c r="DP45" s="4"/>
      <c r="DQ45" s="4"/>
      <c r="DR45" s="4"/>
      <c r="DS45" s="4"/>
      <c r="DT45" s="4"/>
      <c r="DU45" s="4"/>
      <c r="DV45" s="4"/>
      <c r="DW45" s="4"/>
      <c r="DX45" s="4"/>
      <c r="DY45" s="4"/>
      <c r="DZ45" s="4"/>
      <c r="EA45" s="4"/>
      <c r="EB45" s="4"/>
      <c r="EC45" s="4"/>
      <c r="ED45" s="4"/>
      <c r="EE45" s="4"/>
      <c r="EF45" s="4"/>
      <c r="EG45" s="4"/>
      <c r="EH45" s="4"/>
      <c r="EI45" s="4"/>
      <c r="EJ45" s="4"/>
      <c r="EK45" s="4"/>
      <c r="EL45" s="4"/>
      <c r="EM45" s="4"/>
      <c r="EN45" s="4"/>
      <c r="EO45" s="4"/>
      <c r="EP45" s="4"/>
      <c r="EQ45" s="4"/>
    </row>
    <row r="46" spans="1:150" ht="20.100000000000001" customHeight="1" x14ac:dyDescent="0.25">
      <c r="AB46" s="4"/>
      <c r="AC46" s="4"/>
      <c r="AD46" s="4"/>
      <c r="AE46" s="4"/>
      <c r="AF46" s="4"/>
      <c r="AG46" s="4"/>
      <c r="AH46" s="4"/>
      <c r="AI46" s="4"/>
      <c r="AJ46" s="4"/>
      <c r="AK46" s="4"/>
      <c r="AL46" s="4"/>
      <c r="AM46" s="4"/>
      <c r="AN46" s="4"/>
      <c r="AO46" s="4"/>
      <c r="AP46" s="4"/>
      <c r="AQ46" s="4"/>
      <c r="AR46" s="4"/>
      <c r="AS46" s="4"/>
      <c r="AT46" s="4"/>
      <c r="AU46" s="4"/>
      <c r="AV46" s="4"/>
      <c r="AW46" s="4"/>
      <c r="AX46" s="4"/>
      <c r="AY46" s="4"/>
      <c r="AZ46" s="4"/>
      <c r="BA46" s="4"/>
      <c r="BB46" s="4"/>
      <c r="BC46" s="4"/>
      <c r="BD46" s="4"/>
      <c r="BE46" s="4"/>
      <c r="BF46" s="4"/>
      <c r="BG46" s="4"/>
      <c r="BH46" s="4"/>
      <c r="BI46" s="4"/>
      <c r="BJ46" s="4"/>
      <c r="BK46" s="4"/>
      <c r="BL46" s="4"/>
      <c r="BM46" s="4"/>
      <c r="BN46" s="4"/>
      <c r="BO46" s="4"/>
      <c r="BP46" s="4"/>
      <c r="BQ46" s="4"/>
      <c r="BR46" s="4"/>
      <c r="BS46" s="4"/>
      <c r="BT46" s="4"/>
      <c r="BU46" s="4"/>
      <c r="BV46" s="4"/>
      <c r="BW46" s="4"/>
      <c r="BX46" s="4"/>
      <c r="BY46" s="4"/>
      <c r="BZ46" s="4"/>
      <c r="CA46" s="4"/>
      <c r="CB46" s="4"/>
      <c r="CC46" s="4"/>
      <c r="CD46" s="4"/>
      <c r="CE46" s="4"/>
      <c r="CF46" s="4"/>
      <c r="CG46" s="4"/>
      <c r="CH46" s="4"/>
      <c r="CI46" s="4"/>
      <c r="CJ46" s="4"/>
      <c r="CK46" s="4"/>
      <c r="CL46" s="4"/>
      <c r="CM46" s="4"/>
      <c r="CN46" s="4"/>
      <c r="CO46" s="4"/>
      <c r="CP46" s="4"/>
      <c r="CQ46" s="4"/>
      <c r="CR46" s="4"/>
      <c r="CS46" s="4"/>
      <c r="CT46" s="4"/>
      <c r="CU46" s="4"/>
      <c r="CV46" s="4"/>
      <c r="CW46" s="4"/>
      <c r="CX46" s="4"/>
      <c r="CY46" s="4"/>
      <c r="CZ46" s="4"/>
      <c r="DA46" s="4"/>
      <c r="DB46" s="4"/>
      <c r="DC46" s="4"/>
      <c r="DD46" s="4"/>
      <c r="DE46" s="4"/>
      <c r="DF46" s="4"/>
      <c r="DG46" s="4"/>
      <c r="DH46" s="4"/>
      <c r="DI46" s="4"/>
      <c r="DJ46" s="4"/>
      <c r="DK46" s="4"/>
      <c r="DL46" s="4"/>
      <c r="DM46" s="4"/>
      <c r="DN46" s="4"/>
      <c r="DO46" s="4"/>
      <c r="DP46" s="4"/>
      <c r="DQ46" s="4"/>
      <c r="DR46" s="4"/>
      <c r="DS46" s="4"/>
      <c r="DT46" s="4"/>
      <c r="DU46" s="4"/>
      <c r="DV46" s="4"/>
      <c r="DW46" s="4"/>
      <c r="DX46" s="4"/>
      <c r="DY46" s="4"/>
      <c r="DZ46" s="4"/>
      <c r="EA46" s="4"/>
      <c r="EB46" s="4"/>
      <c r="EC46" s="4"/>
      <c r="ED46" s="4"/>
      <c r="EE46" s="4"/>
      <c r="EF46" s="4"/>
      <c r="EG46" s="4"/>
      <c r="EH46" s="4"/>
      <c r="EI46" s="4"/>
      <c r="EJ46" s="4"/>
      <c r="EK46" s="4"/>
      <c r="EL46" s="4"/>
      <c r="EM46" s="4"/>
      <c r="EN46" s="4"/>
      <c r="EO46" s="4"/>
      <c r="EP46" s="4"/>
      <c r="EQ46" s="4"/>
      <c r="ER46" s="4"/>
      <c r="ES46" s="4"/>
    </row>
    <row r="47" spans="1:150" ht="20.100000000000001" customHeight="1" x14ac:dyDescent="0.25">
      <c r="AB47" s="4"/>
      <c r="AC47" s="4"/>
      <c r="AD47" s="4"/>
      <c r="AE47" s="4"/>
      <c r="AF47" s="4"/>
      <c r="AG47" s="4"/>
      <c r="AH47" s="4"/>
      <c r="AI47" s="4"/>
      <c r="AJ47" s="4"/>
      <c r="AK47" s="4"/>
      <c r="AL47" s="4"/>
      <c r="AM47" s="4"/>
      <c r="AN47" s="4"/>
      <c r="AO47" s="4"/>
      <c r="AP47" s="4"/>
      <c r="AQ47" s="4"/>
      <c r="AR47" s="4"/>
      <c r="AS47" s="4"/>
      <c r="AT47" s="4"/>
      <c r="AU47" s="4"/>
      <c r="AV47" s="4"/>
      <c r="AW47" s="4"/>
      <c r="AX47" s="4"/>
      <c r="AY47" s="4"/>
      <c r="AZ47" s="4"/>
      <c r="BA47" s="4"/>
      <c r="BB47" s="4"/>
      <c r="BC47" s="4"/>
      <c r="BD47" s="4"/>
      <c r="BE47" s="4"/>
      <c r="BF47" s="4"/>
      <c r="BG47" s="4"/>
      <c r="BH47" s="4"/>
      <c r="BI47" s="4"/>
      <c r="BJ47" s="4"/>
      <c r="BK47" s="4"/>
      <c r="BL47" s="4"/>
      <c r="BM47" s="4"/>
      <c r="BN47" s="4"/>
      <c r="BO47" s="4"/>
      <c r="BP47" s="4"/>
      <c r="BQ47" s="4"/>
      <c r="BR47" s="4"/>
      <c r="BS47" s="4"/>
      <c r="BT47" s="4"/>
      <c r="BU47" s="4"/>
      <c r="BV47" s="4"/>
      <c r="BW47" s="4"/>
      <c r="BX47" s="4"/>
      <c r="BY47" s="4"/>
      <c r="BZ47" s="4"/>
      <c r="CA47" s="4"/>
      <c r="CB47" s="4"/>
      <c r="CC47" s="4"/>
      <c r="CD47" s="4"/>
      <c r="CE47" s="4"/>
      <c r="CF47" s="4"/>
      <c r="CG47" s="4"/>
      <c r="CH47" s="4"/>
      <c r="CI47" s="4"/>
      <c r="CJ47" s="4"/>
      <c r="CK47" s="4"/>
      <c r="CL47" s="4"/>
      <c r="CM47" s="4"/>
      <c r="CN47" s="4"/>
      <c r="CO47" s="4"/>
      <c r="CP47" s="4"/>
      <c r="CQ47" s="4"/>
      <c r="CR47" s="4"/>
      <c r="CS47" s="4"/>
      <c r="CT47" s="4"/>
      <c r="CU47" s="4"/>
      <c r="CV47" s="4"/>
      <c r="CW47" s="4"/>
      <c r="CX47" s="4"/>
      <c r="CY47" s="4"/>
      <c r="CZ47" s="4"/>
      <c r="DA47" s="4"/>
      <c r="DB47" s="4"/>
      <c r="DC47" s="4"/>
      <c r="DD47" s="4"/>
      <c r="DE47" s="4"/>
      <c r="DF47" s="4"/>
      <c r="DG47" s="4"/>
      <c r="DH47" s="4"/>
      <c r="DI47" s="4"/>
      <c r="DJ47" s="4"/>
      <c r="DK47" s="4"/>
      <c r="DL47" s="4"/>
      <c r="DM47" s="4"/>
      <c r="DN47" s="4"/>
      <c r="DO47" s="4"/>
      <c r="DP47" s="4"/>
      <c r="DQ47" s="4"/>
      <c r="DR47" s="4"/>
      <c r="DS47" s="4"/>
      <c r="DT47" s="4"/>
      <c r="DU47" s="4"/>
      <c r="DV47" s="4"/>
      <c r="DW47" s="4"/>
      <c r="DX47" s="4"/>
      <c r="DY47" s="4"/>
      <c r="DZ47" s="4"/>
      <c r="EA47" s="4"/>
      <c r="EB47" s="4"/>
      <c r="EC47" s="4"/>
      <c r="ED47" s="4"/>
      <c r="EE47" s="4"/>
      <c r="EF47" s="4"/>
      <c r="EG47" s="4"/>
      <c r="EH47" s="4"/>
      <c r="EI47" s="4"/>
      <c r="EJ47" s="4"/>
      <c r="EK47" s="4"/>
      <c r="EL47" s="4"/>
      <c r="EM47" s="4"/>
      <c r="EN47" s="4"/>
      <c r="EO47" s="4"/>
      <c r="EP47" s="4"/>
      <c r="EQ47" s="4"/>
      <c r="ER47" s="4"/>
      <c r="ES47" s="4"/>
    </row>
    <row r="48" spans="1:150" ht="20.100000000000001" customHeight="1" x14ac:dyDescent="0.25">
      <c r="AB48" s="4"/>
      <c r="AC48" s="4"/>
      <c r="AD48" s="4"/>
      <c r="AE48" s="4"/>
      <c r="AF48" s="4"/>
      <c r="AG48" s="4"/>
      <c r="AH48" s="4"/>
      <c r="AI48" s="4"/>
      <c r="AJ48" s="4"/>
      <c r="AK48" s="4"/>
      <c r="AL48" s="4"/>
      <c r="AM48" s="4"/>
      <c r="AN48" s="4"/>
      <c r="AO48" s="4"/>
      <c r="AP48" s="4"/>
      <c r="AQ48" s="4"/>
      <c r="AR48" s="4"/>
      <c r="AS48" s="4"/>
      <c r="AT48" s="4"/>
      <c r="AU48" s="4"/>
      <c r="AV48" s="4"/>
      <c r="AW48" s="4"/>
      <c r="AX48" s="4"/>
      <c r="AY48" s="4"/>
      <c r="AZ48" s="4"/>
      <c r="BA48" s="4"/>
      <c r="BB48" s="4"/>
      <c r="BC48" s="4"/>
      <c r="BD48" s="4"/>
      <c r="BE48" s="4"/>
      <c r="BF48" s="4"/>
      <c r="BG48" s="4"/>
      <c r="BH48" s="4"/>
      <c r="BI48" s="4"/>
      <c r="BJ48" s="4"/>
      <c r="BK48" s="4"/>
      <c r="BL48" s="4"/>
      <c r="BM48" s="4"/>
      <c r="BN48" s="4"/>
      <c r="BO48" s="4"/>
      <c r="BP48" s="4"/>
      <c r="BQ48" s="4"/>
      <c r="BR48" s="4"/>
      <c r="BS48" s="4"/>
      <c r="BT48" s="4"/>
      <c r="BU48" s="4"/>
      <c r="BV48" s="4"/>
      <c r="BW48" s="4"/>
      <c r="BX48" s="4"/>
      <c r="BY48" s="4"/>
      <c r="BZ48" s="4"/>
      <c r="CA48" s="4"/>
      <c r="CB48" s="4"/>
      <c r="CC48" s="4"/>
      <c r="CD48" s="4"/>
      <c r="CE48" s="4"/>
      <c r="CF48" s="4"/>
      <c r="CG48" s="4"/>
      <c r="CH48" s="4"/>
      <c r="CI48" s="4"/>
      <c r="CJ48" s="4"/>
      <c r="CK48" s="4"/>
      <c r="CL48" s="4"/>
      <c r="CM48" s="4"/>
      <c r="CN48" s="4"/>
      <c r="CO48" s="4"/>
      <c r="CP48" s="4"/>
      <c r="CQ48" s="4"/>
      <c r="CR48" s="4"/>
      <c r="CS48" s="4"/>
      <c r="CT48" s="4"/>
      <c r="CU48" s="4"/>
      <c r="CV48" s="4"/>
      <c r="CW48" s="4"/>
      <c r="CX48" s="4"/>
      <c r="CY48" s="4"/>
      <c r="CZ48" s="4"/>
      <c r="DA48" s="4"/>
      <c r="DB48" s="4"/>
      <c r="DC48" s="4"/>
      <c r="DD48" s="4"/>
      <c r="DE48" s="4"/>
      <c r="DF48" s="4"/>
      <c r="DG48" s="4"/>
      <c r="DH48" s="4"/>
      <c r="DI48" s="4"/>
      <c r="DJ48" s="4"/>
      <c r="DK48" s="4"/>
      <c r="DL48" s="4"/>
      <c r="DM48" s="4"/>
      <c r="DN48" s="4"/>
      <c r="DO48" s="4"/>
      <c r="DP48" s="4"/>
      <c r="DQ48" s="4"/>
      <c r="DR48" s="4"/>
      <c r="DS48" s="4"/>
      <c r="DT48" s="4"/>
      <c r="DU48" s="4"/>
      <c r="DV48" s="4"/>
      <c r="DW48" s="4"/>
      <c r="DX48" s="4"/>
      <c r="DY48" s="4"/>
      <c r="DZ48" s="4"/>
      <c r="EA48" s="4"/>
      <c r="EB48" s="4"/>
      <c r="EC48" s="4"/>
      <c r="ED48" s="4"/>
      <c r="EE48" s="4"/>
      <c r="EF48" s="4"/>
      <c r="EG48" s="4"/>
      <c r="EH48" s="4"/>
      <c r="EI48" s="4"/>
      <c r="EJ48" s="4"/>
      <c r="EK48" s="4"/>
      <c r="EL48" s="4"/>
      <c r="EM48" s="4"/>
      <c r="EN48" s="4"/>
      <c r="EO48" s="4"/>
      <c r="EP48" s="4"/>
      <c r="EQ48" s="4"/>
      <c r="ER48" s="4"/>
      <c r="ES48" s="4"/>
      <c r="ET48" s="4"/>
    </row>
    <row r="49" spans="13:150" ht="20.100000000000001" customHeight="1" x14ac:dyDescent="0.25">
      <c r="AB49" s="4"/>
      <c r="AC49" s="4"/>
      <c r="AD49" s="4"/>
      <c r="AE49" s="4"/>
      <c r="AF49" s="4"/>
      <c r="AG49" s="4"/>
      <c r="AH49" s="4"/>
      <c r="AI49" s="4"/>
      <c r="AJ49" s="4"/>
      <c r="AK49" s="4"/>
      <c r="AL49" s="4"/>
      <c r="AM49" s="4"/>
      <c r="AN49" s="4"/>
      <c r="AO49" s="4"/>
      <c r="AP49" s="4"/>
      <c r="AQ49" s="4"/>
      <c r="AR49" s="4"/>
      <c r="AS49" s="4"/>
      <c r="AT49" s="4"/>
      <c r="AU49" s="4"/>
      <c r="AV49" s="4"/>
      <c r="AW49" s="4"/>
      <c r="AX49" s="4"/>
      <c r="AY49" s="4"/>
      <c r="AZ49" s="4"/>
      <c r="BA49" s="4"/>
      <c r="BB49" s="4"/>
      <c r="BC49" s="4"/>
      <c r="BD49" s="4"/>
      <c r="BE49" s="4"/>
      <c r="BF49" s="4"/>
      <c r="BG49" s="4"/>
      <c r="BH49" s="4"/>
      <c r="BI49" s="4"/>
      <c r="BJ49" s="4"/>
      <c r="BK49" s="4"/>
      <c r="BL49" s="4"/>
      <c r="BM49" s="4"/>
      <c r="BN49" s="4"/>
      <c r="BO49" s="4"/>
      <c r="BP49" s="4"/>
      <c r="BQ49" s="4"/>
      <c r="BR49" s="4"/>
      <c r="BS49" s="4"/>
      <c r="BT49" s="4"/>
      <c r="BU49" s="4"/>
      <c r="BV49" s="4"/>
      <c r="BW49" s="4"/>
      <c r="BX49" s="4"/>
      <c r="BY49" s="4"/>
      <c r="BZ49" s="4"/>
      <c r="CA49" s="4"/>
      <c r="CB49" s="4"/>
      <c r="CC49" s="4"/>
      <c r="CD49" s="4"/>
      <c r="CE49" s="4"/>
      <c r="CF49" s="4"/>
      <c r="CG49" s="4"/>
      <c r="CH49" s="4"/>
      <c r="CI49" s="4"/>
      <c r="CJ49" s="4"/>
      <c r="CK49" s="4"/>
      <c r="CL49" s="4"/>
      <c r="CM49" s="4"/>
      <c r="CN49" s="4"/>
      <c r="CO49" s="4"/>
      <c r="CP49" s="4"/>
      <c r="CQ49" s="4"/>
      <c r="CR49" s="4"/>
      <c r="CS49" s="4"/>
      <c r="CT49" s="4"/>
      <c r="CU49" s="4"/>
      <c r="CV49" s="4"/>
      <c r="CW49" s="4"/>
      <c r="CX49" s="4"/>
      <c r="CY49" s="4"/>
      <c r="CZ49" s="4"/>
      <c r="DA49" s="4"/>
      <c r="DB49" s="4"/>
      <c r="DC49" s="4"/>
      <c r="DD49" s="4"/>
      <c r="DE49" s="4"/>
      <c r="DF49" s="4"/>
      <c r="DG49" s="4"/>
      <c r="DH49" s="4"/>
      <c r="DI49" s="4"/>
      <c r="DJ49" s="4"/>
      <c r="DK49" s="4"/>
      <c r="DL49" s="4"/>
      <c r="DM49" s="4"/>
      <c r="DN49" s="4"/>
      <c r="DO49" s="4"/>
      <c r="DP49" s="4"/>
      <c r="DQ49" s="4"/>
      <c r="DR49" s="4"/>
      <c r="DS49" s="4"/>
      <c r="DT49" s="4"/>
      <c r="DU49" s="4"/>
      <c r="DV49" s="4"/>
      <c r="DW49" s="4"/>
      <c r="DX49" s="4"/>
      <c r="DY49" s="4"/>
      <c r="DZ49" s="4"/>
      <c r="EA49" s="4"/>
      <c r="EB49" s="4"/>
      <c r="EC49" s="4"/>
      <c r="ED49" s="4"/>
      <c r="EE49" s="4"/>
      <c r="EF49" s="4"/>
      <c r="EG49" s="4"/>
      <c r="EH49" s="4"/>
      <c r="EI49" s="4"/>
      <c r="EJ49" s="4"/>
      <c r="EK49" s="4"/>
      <c r="EL49" s="4"/>
      <c r="EM49" s="4"/>
      <c r="EN49" s="4"/>
      <c r="EO49" s="4"/>
      <c r="EP49" s="4"/>
      <c r="EQ49" s="4"/>
      <c r="ER49" s="4"/>
      <c r="ES49" s="4"/>
    </row>
    <row r="50" spans="13:150" ht="20.100000000000001" customHeight="1" x14ac:dyDescent="0.25">
      <c r="AB50" s="4"/>
      <c r="AC50" s="4"/>
      <c r="AD50" s="4"/>
      <c r="AE50" s="4"/>
      <c r="AF50" s="4"/>
      <c r="AG50" s="4"/>
      <c r="AH50" s="4"/>
      <c r="AI50" s="4"/>
      <c r="AJ50" s="4"/>
      <c r="AK50" s="4"/>
      <c r="AL50" s="4"/>
      <c r="AM50" s="4"/>
      <c r="AN50" s="4"/>
      <c r="AO50" s="4"/>
      <c r="AP50" s="4"/>
      <c r="AQ50" s="4"/>
      <c r="AR50" s="4"/>
      <c r="AS50" s="4"/>
      <c r="AT50" s="4"/>
      <c r="AU50" s="4"/>
      <c r="AV50" s="4"/>
      <c r="AW50" s="4"/>
      <c r="AX50" s="4"/>
      <c r="AY50" s="4"/>
      <c r="AZ50" s="4"/>
      <c r="BA50" s="4"/>
      <c r="BB50" s="4"/>
      <c r="BC50" s="4"/>
      <c r="BD50" s="4"/>
      <c r="BE50" s="4"/>
      <c r="BF50" s="4"/>
      <c r="BG50" s="4"/>
      <c r="BH50" s="4"/>
      <c r="BI50" s="4"/>
      <c r="BJ50" s="4"/>
      <c r="BK50" s="4"/>
      <c r="BL50" s="4"/>
      <c r="BM50" s="4"/>
      <c r="BN50" s="4"/>
      <c r="BO50" s="4"/>
      <c r="BP50" s="4"/>
      <c r="BQ50" s="4"/>
      <c r="BR50" s="4"/>
      <c r="BS50" s="4"/>
      <c r="BT50" s="4"/>
      <c r="BU50" s="4"/>
      <c r="BV50" s="4"/>
      <c r="BW50" s="4"/>
      <c r="BX50" s="4"/>
      <c r="BY50" s="4"/>
      <c r="BZ50" s="4"/>
      <c r="CA50" s="4"/>
      <c r="CB50" s="4"/>
      <c r="CC50" s="4"/>
      <c r="CD50" s="4"/>
      <c r="CE50" s="4"/>
      <c r="CF50" s="4"/>
      <c r="CG50" s="4"/>
      <c r="CH50" s="4"/>
      <c r="CI50" s="4"/>
      <c r="CJ50" s="4"/>
      <c r="CK50" s="4"/>
      <c r="CL50" s="4"/>
      <c r="CM50" s="4"/>
      <c r="CN50" s="4"/>
      <c r="CO50" s="4"/>
      <c r="CP50" s="4"/>
      <c r="CQ50" s="4"/>
      <c r="CR50" s="4"/>
      <c r="CS50" s="4"/>
      <c r="CT50" s="4"/>
      <c r="CU50" s="4"/>
      <c r="CV50" s="4"/>
      <c r="CW50" s="4"/>
      <c r="CX50" s="4"/>
      <c r="CY50" s="4"/>
      <c r="CZ50" s="4"/>
      <c r="DA50" s="4"/>
      <c r="DB50" s="4"/>
      <c r="DC50" s="4"/>
      <c r="DD50" s="4"/>
      <c r="DE50" s="4"/>
      <c r="DF50" s="4"/>
      <c r="DG50" s="4"/>
      <c r="DH50" s="4"/>
      <c r="DI50" s="4"/>
      <c r="DJ50" s="4"/>
      <c r="DK50" s="4"/>
      <c r="DL50" s="4"/>
      <c r="DM50" s="4"/>
      <c r="DN50" s="4"/>
      <c r="DO50" s="4"/>
      <c r="DP50" s="4"/>
      <c r="DQ50" s="4"/>
      <c r="DR50" s="4"/>
      <c r="DS50" s="4"/>
      <c r="DT50" s="4"/>
      <c r="DU50" s="4"/>
      <c r="DV50" s="4"/>
      <c r="DW50" s="4"/>
      <c r="DX50" s="4"/>
      <c r="DY50" s="4"/>
      <c r="DZ50" s="4"/>
      <c r="EA50" s="4"/>
      <c r="EB50" s="4"/>
      <c r="EC50" s="4"/>
      <c r="ED50" s="4"/>
      <c r="EE50" s="4"/>
      <c r="EF50" s="4"/>
      <c r="EG50" s="4"/>
      <c r="EH50" s="4"/>
      <c r="EI50" s="4"/>
      <c r="EJ50" s="4"/>
      <c r="EK50" s="4"/>
      <c r="EL50" s="4"/>
      <c r="EM50" s="4"/>
      <c r="EN50" s="4"/>
      <c r="EO50" s="4"/>
      <c r="EP50" s="4"/>
      <c r="EQ50" s="4"/>
      <c r="ER50" s="4"/>
      <c r="ES50" s="4"/>
    </row>
    <row r="51" spans="13:150" ht="20.100000000000001" customHeight="1" x14ac:dyDescent="0.25">
      <c r="AB51" s="4"/>
      <c r="AC51" s="4"/>
      <c r="AD51" s="4"/>
      <c r="AE51" s="4"/>
      <c r="AF51" s="4"/>
      <c r="AG51" s="4"/>
      <c r="AH51" s="4"/>
      <c r="AI51" s="4"/>
      <c r="AJ51" s="4"/>
      <c r="AK51" s="4"/>
      <c r="AL51" s="4"/>
      <c r="AM51" s="4"/>
      <c r="AN51" s="4"/>
      <c r="AO51" s="4"/>
      <c r="AP51" s="4"/>
      <c r="AQ51" s="4"/>
      <c r="AR51" s="4"/>
      <c r="AS51" s="4"/>
      <c r="AT51" s="4"/>
      <c r="AU51" s="4"/>
      <c r="AV51" s="4"/>
      <c r="AW51" s="4"/>
      <c r="AX51" s="4"/>
      <c r="AY51" s="4"/>
      <c r="AZ51" s="4"/>
      <c r="BA51" s="4"/>
      <c r="BB51" s="4"/>
      <c r="BC51" s="4"/>
      <c r="BD51" s="4"/>
      <c r="BE51" s="4"/>
      <c r="BF51" s="4"/>
      <c r="BG51" s="4"/>
      <c r="BH51" s="4"/>
      <c r="BI51" s="4"/>
      <c r="BJ51" s="4"/>
      <c r="BK51" s="4"/>
      <c r="BL51" s="4"/>
      <c r="BM51" s="4"/>
      <c r="BN51" s="4"/>
      <c r="BO51" s="4"/>
      <c r="BP51" s="4"/>
      <c r="BQ51" s="4"/>
      <c r="BR51" s="4"/>
      <c r="BS51" s="4"/>
      <c r="BT51" s="4"/>
      <c r="BU51" s="4"/>
      <c r="BV51" s="4"/>
      <c r="BW51" s="4"/>
      <c r="BX51" s="4"/>
      <c r="BY51" s="4"/>
      <c r="BZ51" s="4"/>
      <c r="CA51" s="4"/>
      <c r="CB51" s="4"/>
      <c r="CC51" s="4"/>
      <c r="CD51" s="4"/>
      <c r="CE51" s="4"/>
      <c r="CF51" s="4"/>
      <c r="CG51" s="4"/>
      <c r="CH51" s="4"/>
      <c r="CI51" s="4"/>
      <c r="CJ51" s="4"/>
      <c r="CK51" s="4"/>
      <c r="CL51" s="4"/>
      <c r="CM51" s="4"/>
      <c r="CN51" s="4"/>
      <c r="CO51" s="4"/>
      <c r="CP51" s="4"/>
      <c r="CQ51" s="4"/>
      <c r="CR51" s="4"/>
      <c r="CS51" s="4"/>
      <c r="CT51" s="4"/>
      <c r="CU51" s="4"/>
      <c r="CV51" s="4"/>
      <c r="CW51" s="4"/>
      <c r="CX51" s="4"/>
      <c r="CY51" s="4"/>
      <c r="CZ51" s="4"/>
      <c r="DA51" s="4"/>
      <c r="DB51" s="4"/>
      <c r="DC51" s="4"/>
      <c r="DD51" s="4"/>
      <c r="DE51" s="4"/>
      <c r="DF51" s="4"/>
      <c r="DG51" s="4"/>
      <c r="DH51" s="4"/>
      <c r="DI51" s="4"/>
      <c r="DJ51" s="4"/>
      <c r="DK51" s="4"/>
      <c r="DL51" s="4"/>
      <c r="DM51" s="4"/>
      <c r="DN51" s="4"/>
      <c r="DO51" s="4"/>
      <c r="DP51" s="4"/>
      <c r="DQ51" s="4"/>
      <c r="DR51" s="4"/>
      <c r="DS51" s="4"/>
      <c r="DT51" s="4"/>
      <c r="DU51" s="4"/>
      <c r="DV51" s="4"/>
      <c r="DW51" s="4"/>
      <c r="DX51" s="4"/>
      <c r="DY51" s="4"/>
      <c r="DZ51" s="4"/>
      <c r="EA51" s="4"/>
      <c r="EB51" s="4"/>
      <c r="EC51" s="4"/>
      <c r="ED51" s="4"/>
      <c r="EE51" s="4"/>
      <c r="EF51" s="4"/>
      <c r="EG51" s="4"/>
      <c r="EH51" s="4"/>
      <c r="EI51" s="4"/>
      <c r="EJ51" s="4"/>
      <c r="EK51" s="4"/>
      <c r="EL51" s="4"/>
      <c r="EM51" s="4"/>
      <c r="EN51" s="4"/>
      <c r="EO51" s="4"/>
      <c r="EP51" s="4"/>
      <c r="EQ51" s="4"/>
      <c r="ER51" s="4"/>
      <c r="ES51" s="4"/>
      <c r="ET51" s="4"/>
    </row>
    <row r="52" spans="13:150" ht="20.100000000000001" customHeight="1" x14ac:dyDescent="0.25">
      <c r="AB52" s="4"/>
      <c r="AC52" s="4"/>
      <c r="AD52" s="4"/>
      <c r="AE52" s="4"/>
      <c r="AF52" s="4"/>
      <c r="AG52" s="4"/>
      <c r="AH52" s="4"/>
      <c r="AI52" s="4"/>
      <c r="AJ52" s="4"/>
      <c r="AK52" s="4"/>
      <c r="AL52" s="4"/>
      <c r="AM52" s="4"/>
      <c r="AN52" s="4"/>
      <c r="AO52" s="4"/>
      <c r="AP52" s="4"/>
      <c r="AQ52" s="4"/>
      <c r="AR52" s="4"/>
      <c r="AS52" s="4"/>
      <c r="AT52" s="4"/>
      <c r="AU52" s="4"/>
      <c r="AV52" s="4"/>
      <c r="AW52" s="4"/>
      <c r="AX52" s="4"/>
      <c r="AY52" s="4"/>
      <c r="AZ52" s="4"/>
      <c r="BA52" s="4"/>
      <c r="BB52" s="4"/>
      <c r="BC52" s="4"/>
      <c r="BD52" s="4"/>
      <c r="BE52" s="4"/>
      <c r="BF52" s="4"/>
      <c r="BG52" s="4"/>
      <c r="BH52" s="4"/>
      <c r="BI52" s="4"/>
      <c r="BJ52" s="4"/>
      <c r="BK52" s="4"/>
      <c r="BL52" s="4"/>
      <c r="BM52" s="4"/>
      <c r="BN52" s="4"/>
      <c r="BO52" s="4"/>
      <c r="BP52" s="4"/>
      <c r="BQ52" s="4"/>
      <c r="BR52" s="4"/>
      <c r="BS52" s="4"/>
      <c r="BT52" s="4"/>
      <c r="BU52" s="4"/>
      <c r="BV52" s="4"/>
      <c r="BW52" s="4"/>
      <c r="BX52" s="4"/>
      <c r="BY52" s="4"/>
      <c r="BZ52" s="4"/>
      <c r="CA52" s="4"/>
      <c r="CB52" s="4"/>
      <c r="CC52" s="4"/>
      <c r="CD52" s="4"/>
      <c r="CE52" s="4"/>
      <c r="CF52" s="4"/>
      <c r="CG52" s="4"/>
      <c r="CH52" s="4"/>
      <c r="CI52" s="4"/>
      <c r="CJ52" s="4"/>
      <c r="CK52" s="4"/>
      <c r="CL52" s="4"/>
      <c r="CM52" s="4"/>
      <c r="CN52" s="4"/>
      <c r="CO52" s="4"/>
      <c r="CP52" s="4"/>
      <c r="CQ52" s="4"/>
      <c r="CR52" s="4"/>
      <c r="CS52" s="4"/>
      <c r="CT52" s="4"/>
      <c r="CU52" s="4"/>
      <c r="CV52" s="4"/>
      <c r="CW52" s="4"/>
      <c r="CX52" s="4"/>
      <c r="CY52" s="4"/>
      <c r="CZ52" s="4"/>
      <c r="DA52" s="4"/>
      <c r="DB52" s="4"/>
      <c r="DC52" s="4"/>
      <c r="DD52" s="4"/>
      <c r="DE52" s="4"/>
      <c r="DF52" s="4"/>
      <c r="DG52" s="4"/>
      <c r="DH52" s="4"/>
      <c r="DI52" s="4"/>
      <c r="DJ52" s="4"/>
      <c r="DK52" s="4"/>
      <c r="DL52" s="4"/>
      <c r="DM52" s="4"/>
      <c r="DN52" s="4"/>
      <c r="DO52" s="4"/>
      <c r="DP52" s="4"/>
      <c r="DQ52" s="4"/>
      <c r="DR52" s="4"/>
      <c r="DS52" s="4"/>
      <c r="DT52" s="4"/>
      <c r="DU52" s="4"/>
      <c r="DV52" s="4"/>
      <c r="DW52" s="4"/>
      <c r="DX52" s="4"/>
      <c r="DY52" s="4"/>
      <c r="DZ52" s="4"/>
      <c r="EA52" s="4"/>
      <c r="EB52" s="4"/>
      <c r="EC52" s="4"/>
      <c r="ED52" s="4"/>
      <c r="EE52" s="4"/>
      <c r="EF52" s="4"/>
      <c r="EG52" s="4"/>
      <c r="EH52" s="4"/>
      <c r="EI52" s="4"/>
      <c r="EJ52" s="4"/>
      <c r="EK52" s="4"/>
      <c r="EL52" s="4"/>
      <c r="EM52" s="4"/>
      <c r="EN52" s="4"/>
      <c r="EO52" s="4"/>
      <c r="EP52" s="4"/>
      <c r="EQ52" s="4"/>
      <c r="ER52" s="4"/>
      <c r="ES52" s="4"/>
    </row>
    <row r="53" spans="13:150" ht="20.100000000000001" customHeight="1" x14ac:dyDescent="0.25">
      <c r="AB53" s="4"/>
      <c r="AC53" s="4"/>
      <c r="AD53" s="4"/>
      <c r="AE53" s="4"/>
      <c r="AF53" s="4"/>
      <c r="AG53" s="4"/>
      <c r="AH53" s="4"/>
      <c r="AI53" s="4"/>
      <c r="AJ53" s="4"/>
      <c r="AK53" s="4"/>
      <c r="AL53" s="4"/>
      <c r="AM53" s="4"/>
      <c r="AN53" s="4"/>
      <c r="AO53" s="4"/>
      <c r="AP53" s="4"/>
      <c r="AQ53" s="4"/>
      <c r="AR53" s="4"/>
      <c r="AS53" s="4"/>
      <c r="AT53" s="4"/>
      <c r="AU53" s="4"/>
      <c r="AV53" s="4"/>
      <c r="AW53" s="4"/>
      <c r="AX53" s="4"/>
      <c r="AY53" s="4"/>
      <c r="AZ53" s="4"/>
      <c r="BA53" s="4"/>
      <c r="BB53" s="4"/>
      <c r="BC53" s="4"/>
      <c r="BD53" s="4"/>
      <c r="BE53" s="4"/>
      <c r="BF53" s="4"/>
      <c r="BG53" s="4"/>
      <c r="BH53" s="4"/>
      <c r="BI53" s="4"/>
      <c r="BJ53" s="4"/>
      <c r="BK53" s="4"/>
      <c r="BL53" s="4"/>
      <c r="BM53" s="4"/>
      <c r="BN53" s="4"/>
      <c r="BO53" s="4"/>
      <c r="BP53" s="4"/>
      <c r="BQ53" s="4"/>
      <c r="BR53" s="4"/>
      <c r="BS53" s="4"/>
      <c r="BT53" s="4"/>
      <c r="BU53" s="4"/>
      <c r="BV53" s="4"/>
      <c r="BW53" s="4"/>
      <c r="BX53" s="4"/>
      <c r="BY53" s="4"/>
      <c r="BZ53" s="4"/>
      <c r="CA53" s="4"/>
      <c r="CB53" s="4"/>
      <c r="CC53" s="4"/>
      <c r="CD53" s="4"/>
      <c r="CE53" s="4"/>
      <c r="CF53" s="4"/>
      <c r="CG53" s="4"/>
      <c r="CH53" s="4"/>
      <c r="CI53" s="4"/>
      <c r="CJ53" s="4"/>
      <c r="CK53" s="4"/>
      <c r="CL53" s="4"/>
      <c r="CM53" s="4"/>
      <c r="CN53" s="4"/>
      <c r="CO53" s="4"/>
      <c r="CP53" s="4"/>
      <c r="CQ53" s="4"/>
      <c r="CR53" s="4"/>
      <c r="CS53" s="4"/>
      <c r="CT53" s="4"/>
      <c r="CU53" s="4"/>
      <c r="CV53" s="4"/>
      <c r="CW53" s="4"/>
      <c r="CX53" s="4"/>
      <c r="CY53" s="4"/>
      <c r="CZ53" s="4"/>
      <c r="DA53" s="4"/>
      <c r="DB53" s="4"/>
      <c r="DC53" s="4"/>
      <c r="DD53" s="4"/>
      <c r="DE53" s="4"/>
      <c r="DF53" s="4"/>
      <c r="DG53" s="4"/>
      <c r="DH53" s="4"/>
      <c r="DI53" s="4"/>
      <c r="DJ53" s="4"/>
      <c r="DK53" s="4"/>
      <c r="DL53" s="4"/>
      <c r="DM53" s="4"/>
      <c r="DN53" s="4"/>
      <c r="DO53" s="4"/>
      <c r="DP53" s="4"/>
      <c r="DQ53" s="4"/>
      <c r="DR53" s="4"/>
      <c r="DS53" s="4"/>
      <c r="DT53" s="4"/>
      <c r="DU53" s="4"/>
      <c r="DV53" s="4"/>
      <c r="DW53" s="4"/>
      <c r="DX53" s="4"/>
      <c r="DY53" s="4"/>
      <c r="DZ53" s="4"/>
      <c r="EA53" s="4"/>
      <c r="EB53" s="4"/>
      <c r="EC53" s="4"/>
      <c r="ED53" s="4"/>
      <c r="EE53" s="4"/>
      <c r="EF53" s="4"/>
      <c r="EG53" s="4"/>
      <c r="EH53" s="4"/>
      <c r="EI53" s="4"/>
      <c r="EJ53" s="4"/>
      <c r="EK53" s="4"/>
      <c r="EL53" s="4"/>
      <c r="EM53" s="4"/>
      <c r="EN53" s="4"/>
      <c r="EO53" s="4"/>
      <c r="EP53" s="4"/>
      <c r="EQ53" s="4"/>
      <c r="ER53" s="4"/>
      <c r="ES53" s="4"/>
    </row>
    <row r="54" spans="13:150" ht="20.100000000000001" customHeight="1" x14ac:dyDescent="0.25">
      <c r="AB54" s="4"/>
      <c r="AC54" s="4"/>
      <c r="AD54" s="4"/>
      <c r="AE54" s="4"/>
      <c r="AF54" s="4"/>
      <c r="AG54" s="4"/>
      <c r="AH54" s="4"/>
      <c r="AI54" s="4"/>
      <c r="AJ54" s="4"/>
      <c r="AK54" s="4"/>
      <c r="AL54" s="4"/>
      <c r="AM54" s="4"/>
      <c r="AN54" s="4"/>
      <c r="AO54" s="4"/>
      <c r="AP54" s="4"/>
      <c r="AQ54" s="4"/>
      <c r="AR54" s="4"/>
      <c r="AS54" s="4"/>
      <c r="AT54" s="4"/>
      <c r="AU54" s="4"/>
      <c r="AV54" s="4"/>
      <c r="AW54" s="4"/>
      <c r="AX54" s="4"/>
      <c r="AY54" s="4"/>
      <c r="AZ54" s="4"/>
      <c r="BA54" s="4"/>
      <c r="BB54" s="4"/>
      <c r="BC54" s="4"/>
      <c r="BD54" s="4"/>
      <c r="BE54" s="4"/>
      <c r="BF54" s="4"/>
      <c r="BG54" s="4"/>
      <c r="BH54" s="4"/>
      <c r="BI54" s="4"/>
      <c r="BJ54" s="4"/>
      <c r="BK54" s="4"/>
      <c r="BL54" s="4"/>
      <c r="BM54" s="4"/>
      <c r="BN54" s="4"/>
      <c r="BO54" s="4"/>
      <c r="BP54" s="4"/>
      <c r="BQ54" s="4"/>
      <c r="BR54" s="4"/>
      <c r="BS54" s="4"/>
      <c r="BT54" s="4"/>
      <c r="BU54" s="4"/>
      <c r="BV54" s="4"/>
      <c r="BW54" s="4"/>
      <c r="BX54" s="4"/>
      <c r="BY54" s="4"/>
      <c r="BZ54" s="4"/>
      <c r="CA54" s="4"/>
      <c r="CB54" s="4"/>
      <c r="CC54" s="4"/>
      <c r="CD54" s="4"/>
      <c r="CE54" s="4"/>
      <c r="CF54" s="4"/>
      <c r="CG54" s="4"/>
      <c r="CH54" s="4"/>
      <c r="CI54" s="4"/>
      <c r="CJ54" s="4"/>
      <c r="CK54" s="4"/>
      <c r="CL54" s="4"/>
      <c r="CM54" s="4"/>
      <c r="CN54" s="4"/>
      <c r="CO54" s="4"/>
      <c r="CP54" s="4"/>
      <c r="CQ54" s="4"/>
      <c r="CR54" s="4"/>
      <c r="CS54" s="4"/>
      <c r="CT54" s="4"/>
      <c r="CU54" s="4"/>
      <c r="CV54" s="4"/>
      <c r="CW54" s="4"/>
      <c r="CX54" s="4"/>
      <c r="CY54" s="4"/>
      <c r="CZ54" s="4"/>
      <c r="DA54" s="4"/>
      <c r="DB54" s="4"/>
      <c r="DC54" s="4"/>
      <c r="DD54" s="4"/>
      <c r="DE54" s="4"/>
      <c r="DF54" s="4"/>
      <c r="DG54" s="4"/>
      <c r="DH54" s="4"/>
      <c r="DI54" s="4"/>
      <c r="DJ54" s="4"/>
      <c r="DK54" s="4"/>
      <c r="DL54" s="4"/>
      <c r="DM54" s="4"/>
      <c r="DN54" s="4"/>
      <c r="DO54" s="4"/>
      <c r="DP54" s="4"/>
      <c r="DQ54" s="4"/>
      <c r="DR54" s="4"/>
      <c r="DS54" s="4"/>
      <c r="DT54" s="4"/>
      <c r="DU54" s="4"/>
      <c r="DV54" s="4"/>
      <c r="DW54" s="4"/>
      <c r="DX54" s="4"/>
      <c r="DY54" s="4"/>
      <c r="DZ54" s="4"/>
      <c r="EA54" s="4"/>
      <c r="EB54" s="4"/>
      <c r="EC54" s="4"/>
      <c r="ED54" s="4"/>
      <c r="EE54" s="4"/>
      <c r="EF54" s="4"/>
      <c r="EG54" s="4"/>
      <c r="EH54" s="4"/>
      <c r="EI54" s="4"/>
      <c r="EJ54" s="4"/>
      <c r="EK54" s="4"/>
      <c r="EL54" s="4"/>
      <c r="EM54" s="4"/>
      <c r="EN54" s="4"/>
      <c r="EO54" s="4"/>
      <c r="EP54" s="4"/>
      <c r="EQ54" s="4"/>
      <c r="ER54" s="4"/>
      <c r="ES54" s="4"/>
    </row>
    <row r="55" spans="13:150" ht="20.100000000000001" customHeight="1" x14ac:dyDescent="0.25">
      <c r="AB55" s="4"/>
      <c r="AC55" s="4"/>
      <c r="AD55" s="4"/>
      <c r="AE55" s="4"/>
      <c r="AF55" s="4"/>
      <c r="AG55" s="4"/>
      <c r="AH55" s="4"/>
      <c r="AI55" s="4"/>
      <c r="AJ55" s="4"/>
      <c r="AK55" s="4"/>
      <c r="AL55" s="4"/>
      <c r="AM55" s="4"/>
      <c r="AN55" s="4"/>
      <c r="AO55" s="4"/>
      <c r="AP55" s="4"/>
      <c r="AQ55" s="4"/>
      <c r="AR55" s="4"/>
      <c r="AS55" s="4"/>
      <c r="AT55" s="4"/>
      <c r="AU55" s="4"/>
      <c r="AV55" s="4"/>
      <c r="AW55" s="4"/>
      <c r="AX55" s="4"/>
      <c r="AY55" s="4"/>
      <c r="AZ55" s="4"/>
      <c r="BA55" s="4"/>
      <c r="BB55" s="4"/>
      <c r="BC55" s="4"/>
      <c r="BD55" s="4"/>
      <c r="BE55" s="4"/>
      <c r="BF55" s="4"/>
      <c r="BG55" s="4"/>
      <c r="BH55" s="4"/>
      <c r="BI55" s="4"/>
      <c r="BJ55" s="4"/>
      <c r="BK55" s="4"/>
      <c r="BL55" s="4"/>
      <c r="BM55" s="4"/>
      <c r="BN55" s="4"/>
      <c r="BO55" s="4"/>
      <c r="BP55" s="4"/>
      <c r="BQ55" s="4"/>
      <c r="BR55" s="4"/>
      <c r="BS55" s="4"/>
      <c r="BT55" s="4"/>
      <c r="BU55" s="4"/>
      <c r="BV55" s="4"/>
      <c r="BW55" s="4"/>
      <c r="BX55" s="4"/>
      <c r="BY55" s="4"/>
      <c r="BZ55" s="4"/>
      <c r="CA55" s="4"/>
      <c r="CB55" s="4"/>
      <c r="CC55" s="4"/>
      <c r="CD55" s="4"/>
      <c r="CE55" s="4"/>
      <c r="CF55" s="4"/>
      <c r="CG55" s="4"/>
      <c r="CH55" s="4"/>
      <c r="CI55" s="4"/>
      <c r="CJ55" s="4"/>
      <c r="CK55" s="4"/>
      <c r="CL55" s="4"/>
      <c r="CM55" s="4"/>
      <c r="CN55" s="4"/>
      <c r="CO55" s="4"/>
      <c r="CP55" s="4"/>
      <c r="CQ55" s="4"/>
      <c r="CR55" s="4"/>
      <c r="CS55" s="4"/>
      <c r="CT55" s="4"/>
      <c r="CU55" s="4"/>
      <c r="CV55" s="4"/>
      <c r="CW55" s="4"/>
      <c r="CX55" s="4"/>
      <c r="CY55" s="4"/>
      <c r="CZ55" s="4"/>
      <c r="DA55" s="4"/>
      <c r="DB55" s="4"/>
      <c r="DC55" s="4"/>
      <c r="DD55" s="4"/>
      <c r="DE55" s="4"/>
      <c r="DF55" s="4"/>
      <c r="DG55" s="4"/>
      <c r="DH55" s="4"/>
      <c r="DI55" s="4"/>
      <c r="DJ55" s="4"/>
      <c r="DK55" s="4"/>
      <c r="DL55" s="4"/>
      <c r="DM55" s="4"/>
      <c r="DN55" s="4"/>
      <c r="DO55" s="4"/>
      <c r="DP55" s="4"/>
      <c r="DQ55" s="4"/>
      <c r="DR55" s="4"/>
      <c r="DS55" s="4"/>
      <c r="DT55" s="4"/>
      <c r="DU55" s="4"/>
      <c r="DV55" s="4"/>
      <c r="DW55" s="4"/>
      <c r="DX55" s="4"/>
      <c r="DY55" s="4"/>
      <c r="DZ55" s="4"/>
      <c r="EA55" s="4"/>
      <c r="EB55" s="4"/>
      <c r="EC55" s="4"/>
      <c r="ED55" s="4"/>
      <c r="EE55" s="4"/>
      <c r="EF55" s="4"/>
      <c r="EG55" s="4"/>
      <c r="EH55" s="4"/>
      <c r="EI55" s="4"/>
      <c r="EJ55" s="4"/>
      <c r="EK55" s="4"/>
      <c r="EL55" s="4"/>
      <c r="EM55" s="4"/>
      <c r="EN55" s="4"/>
      <c r="EO55" s="4"/>
      <c r="EP55" s="4"/>
      <c r="EQ55" s="4"/>
      <c r="ER55" s="4"/>
      <c r="ES55" s="4"/>
      <c r="ET55" s="4"/>
    </row>
    <row r="56" spans="13:150" ht="20.100000000000001" customHeight="1" x14ac:dyDescent="0.25">
      <c r="AB56" s="4"/>
      <c r="AC56" s="4"/>
      <c r="AD56" s="4"/>
      <c r="AE56" s="4"/>
      <c r="AF56" s="4"/>
      <c r="AG56" s="4"/>
      <c r="AH56" s="4"/>
      <c r="AI56" s="4"/>
      <c r="AJ56" s="4"/>
      <c r="AK56" s="4"/>
      <c r="AL56" s="4"/>
      <c r="AM56" s="4"/>
      <c r="AN56" s="4"/>
      <c r="AO56" s="4"/>
      <c r="AP56" s="4"/>
      <c r="AQ56" s="4"/>
      <c r="AR56" s="4"/>
      <c r="AS56" s="4"/>
      <c r="AT56" s="4"/>
      <c r="AU56" s="4"/>
      <c r="AV56" s="4"/>
      <c r="AW56" s="4"/>
      <c r="AX56" s="4"/>
      <c r="AY56" s="4"/>
      <c r="AZ56" s="4"/>
      <c r="BA56" s="4"/>
      <c r="BB56" s="4"/>
      <c r="BC56" s="4"/>
      <c r="BD56" s="4"/>
      <c r="BE56" s="4"/>
      <c r="BF56" s="4"/>
      <c r="BG56" s="4"/>
      <c r="BH56" s="4"/>
      <c r="BI56" s="4"/>
      <c r="BJ56" s="4"/>
      <c r="BK56" s="4"/>
      <c r="BL56" s="4"/>
      <c r="BM56" s="4"/>
      <c r="BN56" s="4"/>
      <c r="BO56" s="4"/>
      <c r="BP56" s="4"/>
      <c r="BQ56" s="4"/>
      <c r="BR56" s="4"/>
      <c r="BS56" s="4"/>
      <c r="BT56" s="4"/>
      <c r="BU56" s="4"/>
      <c r="BV56" s="4"/>
      <c r="BW56" s="4"/>
      <c r="BX56" s="4"/>
      <c r="BY56" s="4"/>
      <c r="BZ56" s="4"/>
      <c r="CA56" s="4"/>
      <c r="CB56" s="4"/>
      <c r="CC56" s="4"/>
      <c r="CD56" s="4"/>
      <c r="CE56" s="4"/>
      <c r="CF56" s="4"/>
      <c r="CG56" s="4"/>
      <c r="CH56" s="4"/>
      <c r="CI56" s="4"/>
      <c r="CJ56" s="4"/>
      <c r="CK56" s="4"/>
      <c r="CL56" s="4"/>
      <c r="CM56" s="4"/>
      <c r="CN56" s="4"/>
      <c r="CO56" s="4"/>
      <c r="CP56" s="4"/>
      <c r="CQ56" s="4"/>
      <c r="CR56" s="4"/>
      <c r="CS56" s="4"/>
      <c r="CT56" s="4"/>
      <c r="CU56" s="4"/>
      <c r="CV56" s="4"/>
      <c r="CW56" s="4"/>
      <c r="CX56" s="4"/>
      <c r="CY56" s="4"/>
      <c r="CZ56" s="4"/>
      <c r="DA56" s="4"/>
      <c r="DB56" s="4"/>
      <c r="DC56" s="4"/>
      <c r="DD56" s="4"/>
      <c r="DE56" s="4"/>
      <c r="DF56" s="4"/>
      <c r="DG56" s="4"/>
      <c r="DH56" s="4"/>
      <c r="DI56" s="4"/>
      <c r="DJ56" s="4"/>
      <c r="DK56" s="4"/>
      <c r="DL56" s="4"/>
      <c r="DM56" s="4"/>
      <c r="DN56" s="4"/>
      <c r="DO56" s="4"/>
      <c r="DP56" s="4"/>
      <c r="DQ56" s="4"/>
      <c r="DR56" s="4"/>
      <c r="DS56" s="4"/>
      <c r="DT56" s="4"/>
      <c r="DU56" s="4"/>
      <c r="DV56" s="4"/>
      <c r="DW56" s="4"/>
      <c r="DX56" s="4"/>
      <c r="DY56" s="4"/>
      <c r="DZ56" s="4"/>
      <c r="EA56" s="4"/>
      <c r="EB56" s="4"/>
      <c r="EC56" s="4"/>
      <c r="ED56" s="4"/>
      <c r="EE56" s="4"/>
      <c r="EF56" s="4"/>
      <c r="EG56" s="4"/>
      <c r="EH56" s="4"/>
      <c r="EI56" s="4"/>
      <c r="EJ56" s="4"/>
      <c r="EK56" s="4"/>
      <c r="EL56" s="4"/>
      <c r="EM56" s="4"/>
      <c r="EN56" s="4"/>
      <c r="EO56" s="4"/>
      <c r="EP56" s="4"/>
      <c r="EQ56" s="4"/>
      <c r="ER56" s="4"/>
      <c r="ES56" s="4"/>
      <c r="ET56" s="4"/>
    </row>
    <row r="57" spans="13:150" ht="20.100000000000001" customHeight="1" x14ac:dyDescent="0.25">
      <c r="AB57" s="4"/>
      <c r="AC57" s="4"/>
      <c r="AD57" s="4"/>
      <c r="AE57" s="4"/>
      <c r="AF57" s="4"/>
      <c r="AG57" s="4"/>
      <c r="AH57" s="4"/>
      <c r="AI57" s="4"/>
      <c r="AJ57" s="4"/>
      <c r="AK57" s="4"/>
      <c r="AL57" s="4"/>
      <c r="AM57" s="4"/>
      <c r="AN57" s="4"/>
      <c r="AO57" s="4"/>
      <c r="AP57" s="4"/>
      <c r="AQ57" s="4"/>
      <c r="AR57" s="4"/>
      <c r="AS57" s="4"/>
      <c r="AT57" s="4"/>
      <c r="AU57" s="4"/>
      <c r="AV57" s="4"/>
      <c r="AW57" s="4"/>
      <c r="AX57" s="4"/>
      <c r="AY57" s="4"/>
      <c r="AZ57" s="4"/>
      <c r="BA57" s="4"/>
      <c r="BB57" s="4"/>
      <c r="BC57" s="4"/>
      <c r="BD57" s="4"/>
      <c r="BE57" s="4"/>
      <c r="BF57" s="4"/>
      <c r="BG57" s="4"/>
      <c r="BH57" s="4"/>
      <c r="BI57" s="4"/>
      <c r="BJ57" s="4"/>
      <c r="BK57" s="4"/>
      <c r="BL57" s="4"/>
      <c r="BM57" s="4"/>
      <c r="BN57" s="4"/>
      <c r="BO57" s="4"/>
      <c r="BP57" s="4"/>
      <c r="BQ57" s="4"/>
      <c r="BR57" s="4"/>
      <c r="BS57" s="4"/>
      <c r="BT57" s="4"/>
      <c r="BU57" s="4"/>
      <c r="BV57" s="4"/>
      <c r="BW57" s="4"/>
      <c r="BX57" s="4"/>
      <c r="BY57" s="4"/>
      <c r="BZ57" s="4"/>
      <c r="CA57" s="4"/>
      <c r="CB57" s="4"/>
      <c r="CC57" s="4"/>
      <c r="CD57" s="4"/>
      <c r="CE57" s="4"/>
      <c r="CF57" s="4"/>
      <c r="CG57" s="4"/>
      <c r="CH57" s="4"/>
      <c r="CI57" s="4"/>
      <c r="CJ57" s="4"/>
      <c r="CK57" s="4"/>
      <c r="CL57" s="4"/>
      <c r="CM57" s="4"/>
      <c r="CN57" s="4"/>
      <c r="CO57" s="4"/>
      <c r="CP57" s="4"/>
      <c r="CQ57" s="4"/>
      <c r="CR57" s="4"/>
      <c r="CS57" s="4"/>
      <c r="CT57" s="4"/>
      <c r="CU57" s="4"/>
      <c r="CV57" s="4"/>
      <c r="CW57" s="4"/>
      <c r="CX57" s="4"/>
      <c r="CY57" s="4"/>
      <c r="CZ57" s="4"/>
      <c r="DA57" s="4"/>
      <c r="DB57" s="4"/>
      <c r="DC57" s="4"/>
      <c r="DD57" s="4"/>
      <c r="DE57" s="4"/>
      <c r="DF57" s="4"/>
      <c r="DG57" s="4"/>
      <c r="DH57" s="4"/>
      <c r="DI57" s="4"/>
      <c r="DJ57" s="4"/>
      <c r="DK57" s="4"/>
      <c r="DL57" s="4"/>
      <c r="DM57" s="4"/>
      <c r="DN57" s="4"/>
      <c r="DO57" s="4"/>
      <c r="DP57" s="4"/>
      <c r="DQ57" s="4"/>
      <c r="DR57" s="4"/>
      <c r="DS57" s="4"/>
      <c r="DT57" s="4"/>
      <c r="DU57" s="4"/>
      <c r="DV57" s="4"/>
      <c r="DW57" s="4"/>
      <c r="DX57" s="4"/>
      <c r="DY57" s="4"/>
      <c r="DZ57" s="4"/>
      <c r="EA57" s="4"/>
      <c r="EB57" s="4"/>
      <c r="EC57" s="4"/>
      <c r="ED57" s="4"/>
      <c r="EE57" s="4"/>
      <c r="EF57" s="4"/>
      <c r="EG57" s="4"/>
      <c r="EH57" s="4"/>
      <c r="EI57" s="4"/>
      <c r="EJ57" s="4"/>
      <c r="EK57" s="4"/>
      <c r="EL57" s="4"/>
      <c r="EM57" s="4"/>
      <c r="EN57" s="4"/>
      <c r="EO57" s="4"/>
      <c r="EP57" s="4"/>
      <c r="EQ57" s="4"/>
      <c r="ER57" s="4"/>
      <c r="ES57" s="4"/>
      <c r="ET57" s="4"/>
    </row>
    <row r="58" spans="13:150" ht="20.100000000000001" customHeight="1" x14ac:dyDescent="0.25">
      <c r="M58" s="147"/>
      <c r="AB58" s="4"/>
      <c r="AC58" s="4"/>
      <c r="AD58" s="4"/>
      <c r="AE58" s="4"/>
      <c r="AF58" s="4"/>
      <c r="AG58" s="4"/>
      <c r="AH58" s="4"/>
      <c r="AI58" s="4"/>
      <c r="AJ58" s="4"/>
      <c r="AK58" s="4"/>
      <c r="AL58" s="4"/>
      <c r="AM58" s="4"/>
      <c r="AN58" s="4"/>
      <c r="AO58" s="4"/>
      <c r="AP58" s="4"/>
      <c r="AQ58" s="4"/>
      <c r="AR58" s="4"/>
      <c r="AS58" s="4"/>
      <c r="AT58" s="4"/>
      <c r="AU58" s="4"/>
      <c r="AV58" s="4"/>
      <c r="AW58" s="4"/>
      <c r="AX58" s="4"/>
      <c r="AY58" s="4"/>
      <c r="AZ58" s="4"/>
      <c r="BA58" s="4"/>
      <c r="BB58" s="4"/>
      <c r="BC58" s="4"/>
      <c r="BD58" s="4"/>
      <c r="BE58" s="4"/>
      <c r="BF58" s="4"/>
      <c r="BG58" s="4"/>
      <c r="BH58" s="4"/>
      <c r="BI58" s="4"/>
      <c r="BJ58" s="4"/>
      <c r="BK58" s="4"/>
      <c r="BL58" s="4"/>
      <c r="BM58" s="4"/>
      <c r="BN58" s="4"/>
      <c r="BO58" s="4"/>
      <c r="BP58" s="4"/>
      <c r="BQ58" s="4"/>
      <c r="BR58" s="4"/>
      <c r="BS58" s="4"/>
      <c r="BT58" s="4"/>
      <c r="BU58" s="4"/>
      <c r="BV58" s="4"/>
      <c r="BW58" s="4"/>
      <c r="BX58" s="4"/>
      <c r="BY58" s="4"/>
      <c r="BZ58" s="4"/>
      <c r="CA58" s="4"/>
      <c r="CB58" s="4"/>
      <c r="CC58" s="4"/>
      <c r="CD58" s="4"/>
      <c r="CE58" s="4"/>
      <c r="CF58" s="4"/>
      <c r="CG58" s="4"/>
      <c r="CH58" s="4"/>
      <c r="CI58" s="4"/>
      <c r="CJ58" s="4"/>
      <c r="CK58" s="4"/>
      <c r="CL58" s="4"/>
      <c r="CM58" s="4"/>
      <c r="CN58" s="4"/>
      <c r="CO58" s="4"/>
      <c r="CP58" s="4"/>
      <c r="CQ58" s="4"/>
      <c r="CR58" s="4"/>
      <c r="CS58" s="4"/>
      <c r="CT58" s="4"/>
      <c r="CU58" s="4"/>
      <c r="CV58" s="4"/>
      <c r="CW58" s="4"/>
      <c r="CX58" s="4"/>
      <c r="CY58" s="4"/>
      <c r="CZ58" s="4"/>
      <c r="DA58" s="4"/>
      <c r="DB58" s="4"/>
      <c r="DC58" s="4"/>
      <c r="DD58" s="4"/>
      <c r="DE58" s="4"/>
      <c r="DF58" s="4"/>
      <c r="DG58" s="4"/>
      <c r="DH58" s="4"/>
      <c r="DI58" s="4"/>
      <c r="DJ58" s="4"/>
      <c r="DK58" s="4"/>
      <c r="DL58" s="4"/>
      <c r="DM58" s="4"/>
      <c r="DN58" s="4"/>
      <c r="DO58" s="4"/>
      <c r="DP58" s="4"/>
      <c r="DQ58" s="4"/>
      <c r="DR58" s="4"/>
      <c r="DS58" s="4"/>
      <c r="DT58" s="4"/>
      <c r="DU58" s="4"/>
      <c r="DV58" s="4"/>
      <c r="DW58" s="4"/>
      <c r="DX58" s="4"/>
      <c r="DY58" s="4"/>
      <c r="DZ58" s="4"/>
      <c r="EA58" s="4"/>
      <c r="EB58" s="4"/>
      <c r="EC58" s="4"/>
      <c r="ED58" s="4"/>
      <c r="EE58" s="4"/>
      <c r="EF58" s="4"/>
      <c r="EG58" s="4"/>
      <c r="EH58" s="4"/>
      <c r="EI58" s="4"/>
      <c r="EJ58" s="4"/>
      <c r="EK58" s="4"/>
      <c r="EL58" s="4"/>
      <c r="EM58" s="4"/>
      <c r="EN58" s="4"/>
      <c r="EO58" s="4"/>
      <c r="EP58" s="4"/>
      <c r="EQ58" s="4"/>
      <c r="ER58" s="4"/>
      <c r="ES58" s="4"/>
      <c r="ET58" s="4"/>
    </row>
    <row r="59" spans="13:150" ht="20.100000000000001" customHeight="1" x14ac:dyDescent="0.25">
      <c r="AB59" s="4"/>
      <c r="AC59" s="4"/>
      <c r="AD59" s="4"/>
      <c r="AE59" s="4"/>
      <c r="AF59" s="4"/>
      <c r="AG59" s="4"/>
      <c r="AH59" s="4"/>
      <c r="AI59" s="4"/>
      <c r="AJ59" s="4"/>
      <c r="AK59" s="4"/>
      <c r="AL59" s="4"/>
      <c r="AM59" s="4"/>
      <c r="AN59" s="4"/>
      <c r="AO59" s="4"/>
      <c r="AP59" s="4"/>
      <c r="AQ59" s="4"/>
      <c r="AR59" s="4"/>
      <c r="AS59" s="4"/>
      <c r="AT59" s="4"/>
      <c r="AU59" s="4"/>
      <c r="AV59" s="4"/>
      <c r="AW59" s="4"/>
      <c r="AX59" s="4"/>
      <c r="AY59" s="4"/>
      <c r="AZ59" s="4"/>
      <c r="BA59" s="4"/>
      <c r="BB59" s="4"/>
      <c r="BC59" s="4"/>
      <c r="BD59" s="4"/>
      <c r="BE59" s="4"/>
      <c r="BF59" s="4"/>
      <c r="BG59" s="4"/>
      <c r="BH59" s="4"/>
      <c r="BI59" s="4"/>
      <c r="BJ59" s="4"/>
      <c r="BK59" s="4"/>
      <c r="BL59" s="4"/>
      <c r="BM59" s="4"/>
      <c r="BN59" s="4"/>
      <c r="BO59" s="4"/>
      <c r="BP59" s="4"/>
      <c r="BQ59" s="4"/>
      <c r="BR59" s="4"/>
      <c r="BS59" s="4"/>
      <c r="BT59" s="4"/>
      <c r="BU59" s="4"/>
      <c r="BV59" s="4"/>
      <c r="BW59" s="4"/>
      <c r="BX59" s="4"/>
      <c r="BY59" s="4"/>
      <c r="BZ59" s="4"/>
      <c r="CA59" s="4"/>
      <c r="CB59" s="4"/>
      <c r="CC59" s="4"/>
      <c r="CD59" s="4"/>
      <c r="CE59" s="4"/>
      <c r="CF59" s="4"/>
      <c r="CG59" s="4"/>
      <c r="CH59" s="4"/>
      <c r="CI59" s="4"/>
      <c r="CJ59" s="4"/>
      <c r="CK59" s="4"/>
      <c r="CL59" s="4"/>
      <c r="CM59" s="4"/>
      <c r="CN59" s="4"/>
      <c r="CO59" s="4"/>
      <c r="CP59" s="4"/>
      <c r="CQ59" s="4"/>
      <c r="CR59" s="4"/>
      <c r="CS59" s="4"/>
      <c r="CT59" s="4"/>
      <c r="CU59" s="4"/>
      <c r="CV59" s="4"/>
      <c r="CW59" s="4"/>
      <c r="CX59" s="4"/>
      <c r="CY59" s="4"/>
      <c r="CZ59" s="4"/>
      <c r="DA59" s="4"/>
      <c r="DB59" s="4"/>
      <c r="DC59" s="4"/>
      <c r="DD59" s="4"/>
      <c r="DE59" s="4"/>
      <c r="DF59" s="4"/>
      <c r="DG59" s="4"/>
      <c r="DH59" s="4"/>
      <c r="DI59" s="4"/>
      <c r="DJ59" s="4"/>
      <c r="DK59" s="4"/>
      <c r="DL59" s="4"/>
      <c r="DM59" s="4"/>
      <c r="DN59" s="4"/>
      <c r="DO59" s="4"/>
      <c r="DP59" s="4"/>
      <c r="DQ59" s="4"/>
      <c r="DR59" s="4"/>
      <c r="DS59" s="4"/>
      <c r="DT59" s="4"/>
      <c r="DU59" s="4"/>
      <c r="DV59" s="4"/>
      <c r="DW59" s="4"/>
      <c r="DX59" s="4"/>
      <c r="DY59" s="4"/>
      <c r="DZ59" s="4"/>
      <c r="EA59" s="4"/>
      <c r="EB59" s="4"/>
      <c r="EC59" s="4"/>
      <c r="ED59" s="4"/>
      <c r="EE59" s="4"/>
      <c r="EF59" s="4"/>
      <c r="EG59" s="4"/>
      <c r="EH59" s="4"/>
      <c r="EI59" s="4"/>
      <c r="EJ59" s="4"/>
      <c r="EK59" s="4"/>
      <c r="EL59" s="4"/>
      <c r="EM59" s="4"/>
      <c r="EN59" s="4"/>
      <c r="EO59" s="4"/>
      <c r="EP59" s="4"/>
      <c r="EQ59" s="4"/>
      <c r="ER59" s="4"/>
      <c r="ES59" s="4"/>
    </row>
    <row r="60" spans="13:150" ht="20.100000000000001" customHeight="1" x14ac:dyDescent="0.25">
      <c r="AB60" s="4"/>
      <c r="AC60" s="4"/>
      <c r="AD60" s="4"/>
      <c r="AE60" s="4"/>
      <c r="AF60" s="4"/>
      <c r="AG60" s="4"/>
      <c r="AH60" s="4"/>
      <c r="AI60" s="4"/>
      <c r="AJ60" s="4"/>
      <c r="AK60" s="4"/>
      <c r="AL60" s="4"/>
      <c r="AM60" s="4"/>
      <c r="AN60" s="4"/>
      <c r="AO60" s="4"/>
      <c r="AP60" s="4"/>
      <c r="AQ60" s="4"/>
      <c r="AR60" s="4"/>
      <c r="AS60" s="4"/>
      <c r="AT60" s="4"/>
      <c r="AU60" s="4"/>
      <c r="AV60" s="4"/>
      <c r="AW60" s="4"/>
      <c r="AX60" s="4"/>
      <c r="AY60" s="4"/>
      <c r="AZ60" s="4"/>
      <c r="BA60" s="4"/>
      <c r="BB60" s="4"/>
      <c r="BC60" s="4"/>
      <c r="BD60" s="4"/>
      <c r="BE60" s="4"/>
      <c r="BF60" s="4"/>
      <c r="BG60" s="4"/>
      <c r="BH60" s="4"/>
      <c r="BI60" s="4"/>
      <c r="BJ60" s="4"/>
      <c r="BK60" s="4"/>
      <c r="BL60" s="4"/>
      <c r="BM60" s="4"/>
      <c r="BN60" s="4"/>
      <c r="BO60" s="4"/>
      <c r="BP60" s="4"/>
      <c r="BQ60" s="4"/>
      <c r="BR60" s="4"/>
      <c r="BS60" s="4"/>
      <c r="BT60" s="4"/>
      <c r="BU60" s="4"/>
      <c r="BV60" s="4"/>
      <c r="BW60" s="4"/>
      <c r="BX60" s="4"/>
      <c r="BY60" s="4"/>
      <c r="BZ60" s="4"/>
      <c r="CA60" s="4"/>
      <c r="CB60" s="4"/>
      <c r="CC60" s="4"/>
      <c r="CD60" s="4"/>
      <c r="CE60" s="4"/>
      <c r="CF60" s="4"/>
      <c r="CG60" s="4"/>
      <c r="CH60" s="4"/>
      <c r="CI60" s="4"/>
      <c r="CJ60" s="4"/>
      <c r="CK60" s="4"/>
      <c r="CL60" s="4"/>
      <c r="CM60" s="4"/>
      <c r="CN60" s="4"/>
      <c r="CO60" s="4"/>
      <c r="CP60" s="4"/>
      <c r="CQ60" s="4"/>
      <c r="CR60" s="4"/>
      <c r="CS60" s="4"/>
      <c r="CT60" s="4"/>
      <c r="CU60" s="4"/>
      <c r="CV60" s="4"/>
      <c r="CW60" s="4"/>
      <c r="CX60" s="4"/>
      <c r="CY60" s="4"/>
      <c r="CZ60" s="4"/>
      <c r="DA60" s="4"/>
      <c r="DB60" s="4"/>
      <c r="DC60" s="4"/>
      <c r="DD60" s="4"/>
      <c r="DE60" s="4"/>
      <c r="DF60" s="4"/>
      <c r="DG60" s="4"/>
      <c r="DH60" s="4"/>
      <c r="DI60" s="4"/>
      <c r="DJ60" s="4"/>
      <c r="DK60" s="4"/>
      <c r="DL60" s="4"/>
      <c r="DM60" s="4"/>
      <c r="DN60" s="4"/>
      <c r="DO60" s="4"/>
      <c r="DP60" s="4"/>
      <c r="DQ60" s="4"/>
      <c r="DR60" s="4"/>
      <c r="DS60" s="4"/>
      <c r="DT60" s="4"/>
      <c r="DU60" s="4"/>
      <c r="DV60" s="4"/>
      <c r="DW60" s="4"/>
      <c r="DX60" s="4"/>
      <c r="DY60" s="4"/>
      <c r="DZ60" s="4"/>
      <c r="EA60" s="4"/>
      <c r="EB60" s="4"/>
      <c r="EC60" s="4"/>
      <c r="ED60" s="4"/>
      <c r="EE60" s="4"/>
      <c r="EF60" s="4"/>
      <c r="EG60" s="4"/>
      <c r="EH60" s="4"/>
      <c r="EI60" s="4"/>
      <c r="EJ60" s="4"/>
      <c r="EK60" s="4"/>
      <c r="EL60" s="4"/>
      <c r="EM60" s="4"/>
      <c r="EN60" s="4"/>
      <c r="EO60" s="4"/>
      <c r="EP60" s="4"/>
      <c r="EQ60" s="4"/>
      <c r="ER60" s="4"/>
      <c r="ES60" s="4"/>
    </row>
    <row r="61" spans="13:150" ht="20.100000000000001" customHeight="1" x14ac:dyDescent="0.25">
      <c r="AB61" s="4"/>
      <c r="AC61" s="4"/>
      <c r="AD61" s="4"/>
      <c r="AE61" s="4"/>
      <c r="AF61" s="4"/>
      <c r="AG61" s="4"/>
      <c r="AH61" s="4"/>
      <c r="AI61" s="4"/>
      <c r="AJ61" s="4"/>
      <c r="AK61" s="4"/>
      <c r="AL61" s="4"/>
      <c r="AM61" s="4"/>
      <c r="AN61" s="4"/>
      <c r="AO61" s="4"/>
      <c r="AP61" s="4"/>
      <c r="AQ61" s="4"/>
      <c r="AR61" s="4"/>
      <c r="AS61" s="4"/>
      <c r="AT61" s="4"/>
      <c r="AU61" s="4"/>
      <c r="AV61" s="4"/>
      <c r="AW61" s="4"/>
      <c r="AX61" s="4"/>
      <c r="AY61" s="4"/>
      <c r="AZ61" s="4"/>
      <c r="BA61" s="4"/>
      <c r="BB61" s="4"/>
      <c r="BC61" s="4"/>
      <c r="BD61" s="4"/>
      <c r="BE61" s="4"/>
      <c r="BF61" s="4"/>
      <c r="BG61" s="4"/>
      <c r="BH61" s="4"/>
      <c r="BI61" s="4"/>
      <c r="BJ61" s="4"/>
      <c r="BK61" s="4"/>
      <c r="BL61" s="4"/>
      <c r="BM61" s="4"/>
      <c r="BN61" s="4"/>
      <c r="BO61" s="4"/>
      <c r="BP61" s="4"/>
      <c r="BQ61" s="4"/>
      <c r="BR61" s="4"/>
      <c r="BS61" s="4"/>
      <c r="BT61" s="4"/>
      <c r="BU61" s="4"/>
      <c r="BV61" s="4"/>
      <c r="BW61" s="4"/>
      <c r="BX61" s="4"/>
      <c r="BY61" s="4"/>
      <c r="BZ61" s="4"/>
      <c r="CA61" s="4"/>
      <c r="CB61" s="4"/>
      <c r="CC61" s="4"/>
      <c r="CD61" s="4"/>
      <c r="CE61" s="4"/>
      <c r="CF61" s="4"/>
      <c r="CG61" s="4"/>
      <c r="CH61" s="4"/>
      <c r="CI61" s="4"/>
      <c r="CJ61" s="4"/>
      <c r="CK61" s="4"/>
      <c r="CL61" s="4"/>
      <c r="CM61" s="4"/>
      <c r="CN61" s="4"/>
      <c r="CO61" s="4"/>
      <c r="CP61" s="4"/>
      <c r="CQ61" s="4"/>
      <c r="CR61" s="4"/>
      <c r="CS61" s="4"/>
      <c r="CT61" s="4"/>
      <c r="CU61" s="4"/>
      <c r="CV61" s="4"/>
      <c r="CW61" s="4"/>
      <c r="CX61" s="4"/>
      <c r="CY61" s="4"/>
      <c r="CZ61" s="4"/>
      <c r="DA61" s="4"/>
      <c r="DB61" s="4"/>
      <c r="DC61" s="4"/>
      <c r="DD61" s="4"/>
      <c r="DE61" s="4"/>
      <c r="DF61" s="4"/>
      <c r="DG61" s="4"/>
      <c r="DH61" s="4"/>
      <c r="DI61" s="4"/>
      <c r="DJ61" s="4"/>
      <c r="DK61" s="4"/>
      <c r="DL61" s="4"/>
      <c r="DM61" s="4"/>
      <c r="DN61" s="4"/>
      <c r="DO61" s="4"/>
      <c r="DP61" s="4"/>
      <c r="DQ61" s="4"/>
      <c r="DR61" s="4"/>
      <c r="DS61" s="4"/>
      <c r="DT61" s="4"/>
      <c r="DU61" s="4"/>
      <c r="DV61" s="4"/>
      <c r="DW61" s="4"/>
      <c r="DX61" s="4"/>
      <c r="DY61" s="4"/>
      <c r="DZ61" s="4"/>
      <c r="EA61" s="4"/>
      <c r="EB61" s="4"/>
      <c r="EC61" s="4"/>
      <c r="ED61" s="4"/>
      <c r="EE61" s="4"/>
      <c r="EF61" s="4"/>
      <c r="EG61" s="4"/>
      <c r="EH61" s="4"/>
      <c r="EI61" s="4"/>
      <c r="EJ61" s="4"/>
      <c r="EK61" s="4"/>
      <c r="EL61" s="4"/>
      <c r="EM61" s="4"/>
      <c r="EN61" s="4"/>
      <c r="EO61" s="4"/>
      <c r="EP61" s="4"/>
      <c r="EQ61" s="4"/>
      <c r="ER61" s="4"/>
      <c r="ES61" s="4"/>
    </row>
    <row r="62" spans="13:150" ht="20.100000000000001" customHeight="1" x14ac:dyDescent="0.25">
      <c r="AB62" s="4"/>
      <c r="AC62" s="4"/>
      <c r="AD62" s="4"/>
      <c r="AE62" s="4"/>
      <c r="AF62" s="4"/>
      <c r="AG62" s="4"/>
      <c r="AH62" s="4"/>
      <c r="AI62" s="4"/>
      <c r="AJ62" s="4"/>
      <c r="AK62" s="4"/>
      <c r="AL62" s="4"/>
      <c r="AM62" s="4"/>
      <c r="AN62" s="4"/>
      <c r="AO62" s="4"/>
      <c r="AP62" s="4"/>
      <c r="AQ62" s="4"/>
      <c r="AR62" s="4"/>
      <c r="AS62" s="4"/>
      <c r="AT62" s="4"/>
      <c r="AU62" s="4"/>
      <c r="AV62" s="4"/>
      <c r="AW62" s="4"/>
      <c r="AX62" s="4"/>
      <c r="AY62" s="4"/>
      <c r="AZ62" s="4"/>
      <c r="BA62" s="4"/>
      <c r="BB62" s="4"/>
      <c r="BC62" s="4"/>
      <c r="BD62" s="4"/>
      <c r="BE62" s="4"/>
      <c r="BF62" s="4"/>
      <c r="BG62" s="4"/>
      <c r="BH62" s="4"/>
      <c r="BI62" s="4"/>
      <c r="BJ62" s="4"/>
      <c r="BK62" s="4"/>
      <c r="BL62" s="4"/>
      <c r="BM62" s="4"/>
      <c r="BN62" s="4"/>
      <c r="BO62" s="4"/>
      <c r="BP62" s="4"/>
      <c r="BQ62" s="4"/>
      <c r="BR62" s="4"/>
      <c r="BS62" s="4"/>
      <c r="BT62" s="4"/>
      <c r="BU62" s="4"/>
      <c r="BV62" s="4"/>
      <c r="BW62" s="4"/>
      <c r="BX62" s="4"/>
      <c r="BY62" s="4"/>
      <c r="BZ62" s="4"/>
      <c r="CA62" s="4"/>
      <c r="CB62" s="4"/>
      <c r="CC62" s="4"/>
      <c r="CD62" s="4"/>
      <c r="CE62" s="4"/>
      <c r="CF62" s="4"/>
      <c r="CG62" s="4"/>
      <c r="CH62" s="4"/>
      <c r="CI62" s="4"/>
      <c r="CJ62" s="4"/>
      <c r="CK62" s="4"/>
      <c r="CL62" s="4"/>
      <c r="CM62" s="4"/>
      <c r="CN62" s="4"/>
      <c r="CO62" s="4"/>
      <c r="CP62" s="4"/>
      <c r="CQ62" s="4"/>
      <c r="CR62" s="4"/>
      <c r="CS62" s="4"/>
      <c r="CT62" s="4"/>
      <c r="CU62" s="4"/>
      <c r="CV62" s="4"/>
      <c r="CW62" s="4"/>
      <c r="CX62" s="4"/>
      <c r="CY62" s="4"/>
      <c r="CZ62" s="4"/>
      <c r="DA62" s="4"/>
      <c r="DB62" s="4"/>
      <c r="DC62" s="4"/>
      <c r="DD62" s="4"/>
      <c r="DE62" s="4"/>
      <c r="DF62" s="4"/>
      <c r="DG62" s="4"/>
      <c r="DH62" s="4"/>
      <c r="DI62" s="4"/>
      <c r="DJ62" s="4"/>
      <c r="DK62" s="4"/>
      <c r="DL62" s="4"/>
      <c r="DM62" s="4"/>
      <c r="DN62" s="4"/>
      <c r="DO62" s="4"/>
      <c r="DP62" s="4"/>
      <c r="DQ62" s="4"/>
      <c r="DR62" s="4"/>
      <c r="DS62" s="4"/>
      <c r="DT62" s="4"/>
      <c r="DU62" s="4"/>
      <c r="DV62" s="4"/>
      <c r="DW62" s="4"/>
      <c r="DX62" s="4"/>
      <c r="DY62" s="4"/>
      <c r="DZ62" s="4"/>
      <c r="EA62" s="4"/>
      <c r="EB62" s="4"/>
      <c r="EC62" s="4"/>
      <c r="ED62" s="4"/>
      <c r="EE62" s="4"/>
      <c r="EF62" s="4"/>
      <c r="EG62" s="4"/>
      <c r="EH62" s="4"/>
      <c r="EI62" s="4"/>
      <c r="EJ62" s="4"/>
      <c r="EK62" s="4"/>
      <c r="EL62" s="4"/>
      <c r="EM62" s="4"/>
      <c r="EN62" s="4"/>
      <c r="EO62" s="4"/>
      <c r="EP62" s="4"/>
      <c r="EQ62" s="4"/>
      <c r="ER62" s="4"/>
      <c r="ES62" s="4"/>
    </row>
    <row r="63" spans="13:150" ht="20.100000000000001" customHeight="1" x14ac:dyDescent="0.25">
      <c r="AB63" s="4"/>
      <c r="AC63" s="4"/>
      <c r="AD63" s="4"/>
      <c r="AE63" s="4"/>
      <c r="AF63" s="4"/>
      <c r="AG63" s="4"/>
      <c r="AH63" s="4"/>
      <c r="AI63" s="4"/>
      <c r="AJ63" s="4"/>
      <c r="AK63" s="4"/>
      <c r="AL63" s="4"/>
      <c r="AM63" s="4"/>
      <c r="AN63" s="4"/>
      <c r="AO63" s="4"/>
      <c r="AP63" s="4"/>
      <c r="AQ63" s="4"/>
      <c r="AR63" s="4"/>
      <c r="AS63" s="4"/>
      <c r="AT63" s="4"/>
      <c r="AU63" s="4"/>
      <c r="AV63" s="4"/>
      <c r="AW63" s="4"/>
      <c r="AX63" s="4"/>
      <c r="AY63" s="4"/>
      <c r="AZ63" s="4"/>
      <c r="BA63" s="4"/>
      <c r="BB63" s="4"/>
      <c r="BC63" s="4"/>
      <c r="BD63" s="4"/>
      <c r="BE63" s="4"/>
      <c r="BF63" s="4"/>
      <c r="BG63" s="4"/>
      <c r="BH63" s="4"/>
      <c r="BI63" s="4"/>
      <c r="BJ63" s="4"/>
      <c r="BK63" s="4"/>
      <c r="BL63" s="4"/>
      <c r="BM63" s="4"/>
      <c r="BN63" s="4"/>
      <c r="BO63" s="4"/>
      <c r="BP63" s="4"/>
      <c r="BQ63" s="4"/>
      <c r="BR63" s="4"/>
      <c r="BS63" s="4"/>
      <c r="BT63" s="4"/>
      <c r="BU63" s="4"/>
      <c r="BV63" s="4"/>
      <c r="BW63" s="4"/>
      <c r="BX63" s="4"/>
      <c r="BY63" s="4"/>
      <c r="BZ63" s="4"/>
      <c r="CA63" s="4"/>
      <c r="CB63" s="4"/>
      <c r="CC63" s="4"/>
      <c r="CD63" s="4"/>
      <c r="CE63" s="4"/>
      <c r="CF63" s="4"/>
      <c r="CG63" s="4"/>
      <c r="CH63" s="4"/>
      <c r="CI63" s="4"/>
      <c r="CJ63" s="4"/>
      <c r="CK63" s="4"/>
      <c r="CL63" s="4"/>
      <c r="CM63" s="4"/>
      <c r="CN63" s="4"/>
      <c r="CO63" s="4"/>
      <c r="CP63" s="4"/>
      <c r="CQ63" s="4"/>
      <c r="CR63" s="4"/>
      <c r="CS63" s="4"/>
      <c r="CT63" s="4"/>
      <c r="CU63" s="4"/>
      <c r="CV63" s="4"/>
      <c r="CW63" s="4"/>
      <c r="CX63" s="4"/>
      <c r="CY63" s="4"/>
      <c r="CZ63" s="4"/>
      <c r="DA63" s="4"/>
      <c r="DB63" s="4"/>
      <c r="DC63" s="4"/>
      <c r="DD63" s="4"/>
      <c r="DE63" s="4"/>
      <c r="DF63" s="4"/>
      <c r="DG63" s="4"/>
      <c r="DH63" s="4"/>
      <c r="DI63" s="4"/>
      <c r="DJ63" s="4"/>
      <c r="DK63" s="4"/>
      <c r="DL63" s="4"/>
      <c r="DM63" s="4"/>
      <c r="DN63" s="4"/>
      <c r="DO63" s="4"/>
      <c r="DP63" s="4"/>
      <c r="DQ63" s="4"/>
      <c r="DR63" s="4"/>
      <c r="DS63" s="4"/>
      <c r="DT63" s="4"/>
      <c r="DU63" s="4"/>
      <c r="DV63" s="4"/>
      <c r="DW63" s="4"/>
      <c r="DX63" s="4"/>
      <c r="DY63" s="4"/>
      <c r="DZ63" s="4"/>
      <c r="EA63" s="4"/>
      <c r="EB63" s="4"/>
      <c r="EC63" s="4"/>
      <c r="ED63" s="4"/>
      <c r="EE63" s="4"/>
      <c r="EF63" s="4"/>
      <c r="EG63" s="4"/>
      <c r="EH63" s="4"/>
      <c r="EI63" s="4"/>
      <c r="EJ63" s="4"/>
      <c r="EK63" s="4"/>
      <c r="EL63" s="4"/>
      <c r="EM63" s="4"/>
      <c r="EN63" s="4"/>
      <c r="EO63" s="4"/>
      <c r="EP63" s="4"/>
      <c r="EQ63" s="4"/>
      <c r="ER63" s="4"/>
      <c r="ES63" s="4"/>
    </row>
    <row r="64" spans="13:150" ht="20.100000000000001" customHeight="1" x14ac:dyDescent="0.25">
      <c r="AB64" s="4"/>
      <c r="AC64" s="4"/>
      <c r="AD64" s="4"/>
      <c r="AE64" s="4"/>
      <c r="AF64" s="4"/>
      <c r="AG64" s="4"/>
      <c r="AH64" s="4"/>
      <c r="AI64" s="4"/>
      <c r="AJ64" s="4"/>
      <c r="AK64" s="4"/>
      <c r="AL64" s="4"/>
      <c r="AM64" s="4"/>
      <c r="AN64" s="4"/>
      <c r="AO64" s="4"/>
      <c r="AP64" s="4"/>
      <c r="AQ64" s="4"/>
      <c r="AR64" s="4"/>
      <c r="AS64" s="4"/>
      <c r="AT64" s="4"/>
      <c r="AU64" s="4"/>
      <c r="AV64" s="4"/>
      <c r="AW64" s="4"/>
      <c r="AX64" s="4"/>
      <c r="AY64" s="4"/>
      <c r="AZ64" s="4"/>
      <c r="BA64" s="4"/>
      <c r="BB64" s="4"/>
      <c r="BC64" s="4"/>
      <c r="BD64" s="4"/>
      <c r="BE64" s="4"/>
      <c r="BF64" s="4"/>
      <c r="BG64" s="4"/>
      <c r="BH64" s="4"/>
      <c r="BI64" s="4"/>
      <c r="BJ64" s="4"/>
      <c r="BK64" s="4"/>
      <c r="BL64" s="4"/>
      <c r="BM64" s="4"/>
      <c r="BN64" s="4"/>
      <c r="BO64" s="4"/>
      <c r="BP64" s="4"/>
      <c r="BQ64" s="4"/>
      <c r="BR64" s="4"/>
      <c r="BS64" s="4"/>
      <c r="BT64" s="4"/>
      <c r="BU64" s="4"/>
      <c r="BV64" s="4"/>
      <c r="BW64" s="4"/>
      <c r="BX64" s="4"/>
      <c r="BY64" s="4"/>
      <c r="BZ64" s="4"/>
      <c r="CA64" s="4"/>
      <c r="CB64" s="4"/>
      <c r="CC64" s="4"/>
      <c r="CD64" s="4"/>
      <c r="CE64" s="4"/>
      <c r="CF64" s="4"/>
      <c r="CG64" s="4"/>
      <c r="CH64" s="4"/>
      <c r="CI64" s="4"/>
      <c r="CJ64" s="4"/>
      <c r="CK64" s="4"/>
      <c r="CL64" s="4"/>
      <c r="CM64" s="4"/>
      <c r="CN64" s="4"/>
      <c r="CO64" s="4"/>
      <c r="CP64" s="4"/>
      <c r="CQ64" s="4"/>
      <c r="CR64" s="4"/>
      <c r="CS64" s="4"/>
      <c r="CT64" s="4"/>
      <c r="CU64" s="4"/>
      <c r="CV64" s="4"/>
      <c r="CW64" s="4"/>
      <c r="CX64" s="4"/>
      <c r="CY64" s="4"/>
      <c r="CZ64" s="4"/>
      <c r="DA64" s="4"/>
      <c r="DB64" s="4"/>
      <c r="DC64" s="4"/>
      <c r="DD64" s="4"/>
      <c r="DE64" s="4"/>
      <c r="DF64" s="4"/>
      <c r="DG64" s="4"/>
      <c r="DH64" s="4"/>
      <c r="DI64" s="4"/>
      <c r="DJ64" s="4"/>
      <c r="DK64" s="4"/>
      <c r="DL64" s="4"/>
      <c r="DM64" s="4"/>
      <c r="DN64" s="4"/>
      <c r="DO64" s="4"/>
      <c r="DP64" s="4"/>
      <c r="DQ64" s="4"/>
      <c r="DR64" s="4"/>
      <c r="DS64" s="4"/>
      <c r="DT64" s="4"/>
      <c r="DU64" s="4"/>
      <c r="DV64" s="4"/>
      <c r="DW64" s="4"/>
      <c r="DX64" s="4"/>
      <c r="DY64" s="4"/>
      <c r="DZ64" s="4"/>
      <c r="EA64" s="4"/>
      <c r="EB64" s="4"/>
      <c r="EC64" s="4"/>
      <c r="ED64" s="4"/>
      <c r="EE64" s="4"/>
      <c r="EF64" s="4"/>
      <c r="EG64" s="4"/>
      <c r="EH64" s="4"/>
      <c r="EI64" s="4"/>
      <c r="EJ64" s="4"/>
      <c r="EK64" s="4"/>
      <c r="EL64" s="4"/>
      <c r="EM64" s="4"/>
      <c r="EN64" s="4"/>
      <c r="EO64" s="4"/>
      <c r="EP64" s="4"/>
      <c r="EQ64" s="4"/>
      <c r="ER64" s="4"/>
      <c r="ES64" s="4"/>
    </row>
    <row r="65" spans="18:159" ht="20.100000000000001" customHeight="1" x14ac:dyDescent="0.25">
      <c r="AB65" s="4"/>
      <c r="AC65" s="4"/>
      <c r="AD65" s="4"/>
      <c r="AE65" s="4"/>
      <c r="AF65" s="4"/>
      <c r="AG65" s="4"/>
      <c r="AH65" s="4"/>
      <c r="AI65" s="4"/>
      <c r="AJ65" s="4"/>
      <c r="AK65" s="4"/>
      <c r="AL65" s="4"/>
      <c r="AM65" s="4"/>
      <c r="AN65" s="4"/>
      <c r="AO65" s="4"/>
      <c r="AP65" s="4"/>
      <c r="AQ65" s="4"/>
      <c r="AR65" s="4"/>
      <c r="AS65" s="4"/>
      <c r="AT65" s="4"/>
      <c r="AU65" s="4"/>
      <c r="AV65" s="4"/>
      <c r="AW65" s="4"/>
      <c r="AX65" s="4"/>
      <c r="AY65" s="4"/>
      <c r="AZ65" s="4"/>
      <c r="BA65" s="4"/>
      <c r="BB65" s="4"/>
      <c r="BC65" s="4"/>
      <c r="BD65" s="4"/>
      <c r="BE65" s="4"/>
      <c r="BF65" s="4"/>
      <c r="BG65" s="4"/>
      <c r="BH65" s="4"/>
      <c r="BI65" s="4"/>
      <c r="BJ65" s="4"/>
      <c r="BK65" s="4"/>
      <c r="BL65" s="4"/>
      <c r="BM65" s="4"/>
      <c r="BN65" s="4"/>
      <c r="BO65" s="4"/>
      <c r="BP65" s="4"/>
      <c r="BQ65" s="4"/>
      <c r="BR65" s="4"/>
      <c r="BS65" s="4"/>
      <c r="BT65" s="4"/>
      <c r="BU65" s="4"/>
      <c r="BV65" s="4"/>
      <c r="BW65" s="4"/>
      <c r="BX65" s="4"/>
      <c r="BY65" s="4"/>
      <c r="BZ65" s="4"/>
      <c r="CA65" s="4"/>
      <c r="CB65" s="4"/>
      <c r="CC65" s="4"/>
      <c r="CD65" s="4"/>
      <c r="CE65" s="4"/>
      <c r="CF65" s="4"/>
      <c r="CG65" s="4"/>
      <c r="CH65" s="4"/>
      <c r="CI65" s="4"/>
      <c r="CJ65" s="4"/>
      <c r="CK65" s="4"/>
      <c r="CL65" s="4"/>
      <c r="CM65" s="4"/>
      <c r="CN65" s="4"/>
      <c r="CO65" s="4"/>
      <c r="CP65" s="4"/>
      <c r="CQ65" s="4"/>
      <c r="CR65" s="4"/>
      <c r="CS65" s="4"/>
      <c r="CT65" s="4"/>
      <c r="CU65" s="4"/>
      <c r="CV65" s="4"/>
      <c r="CW65" s="4"/>
      <c r="CX65" s="4"/>
      <c r="CY65" s="4"/>
      <c r="CZ65" s="4"/>
      <c r="DA65" s="4"/>
      <c r="DB65" s="4"/>
      <c r="DC65" s="4"/>
      <c r="DD65" s="4"/>
      <c r="DE65" s="4"/>
      <c r="DF65" s="4"/>
      <c r="DG65" s="4"/>
      <c r="DH65" s="4"/>
      <c r="DI65" s="4"/>
      <c r="DJ65" s="4"/>
      <c r="DK65" s="4"/>
      <c r="DL65" s="4"/>
      <c r="DM65" s="4"/>
      <c r="DN65" s="4"/>
      <c r="DO65" s="4"/>
      <c r="DP65" s="4"/>
      <c r="DQ65" s="4"/>
      <c r="DR65" s="4"/>
      <c r="DS65" s="4"/>
      <c r="DT65" s="4"/>
      <c r="DU65" s="4"/>
      <c r="DV65" s="4"/>
      <c r="DW65" s="4"/>
      <c r="DX65" s="4"/>
      <c r="DY65" s="4"/>
      <c r="DZ65" s="4"/>
      <c r="EA65" s="4"/>
      <c r="EB65" s="4"/>
      <c r="EC65" s="4"/>
      <c r="ED65" s="4"/>
      <c r="EE65" s="4"/>
      <c r="EF65" s="4"/>
      <c r="EG65" s="4"/>
      <c r="EH65" s="4"/>
      <c r="EI65" s="4"/>
      <c r="EJ65" s="4"/>
      <c r="EK65" s="4"/>
      <c r="EL65" s="4"/>
      <c r="EM65" s="4"/>
      <c r="EN65" s="4"/>
      <c r="EO65" s="4"/>
      <c r="EP65" s="4"/>
      <c r="EQ65" s="4"/>
      <c r="ER65" s="4"/>
      <c r="ES65" s="4"/>
    </row>
    <row r="66" spans="18:159" ht="20.100000000000001" customHeight="1" x14ac:dyDescent="0.25">
      <c r="AB66" s="4"/>
      <c r="AC66" s="4"/>
      <c r="AD66" s="4"/>
      <c r="AE66" s="4"/>
      <c r="AF66" s="4"/>
      <c r="AG66" s="4"/>
      <c r="AH66" s="4"/>
      <c r="AI66" s="4"/>
      <c r="AJ66" s="4"/>
      <c r="AK66" s="4"/>
      <c r="AL66" s="4"/>
      <c r="AM66" s="4"/>
      <c r="AN66" s="4"/>
      <c r="AO66" s="4"/>
      <c r="AP66" s="4"/>
      <c r="AQ66" s="4"/>
      <c r="AR66" s="4"/>
      <c r="AS66" s="4"/>
      <c r="AT66" s="4"/>
      <c r="AU66" s="4"/>
      <c r="AV66" s="4"/>
      <c r="AW66" s="4"/>
      <c r="AX66" s="4"/>
      <c r="AY66" s="4"/>
      <c r="AZ66" s="4"/>
      <c r="BA66" s="4"/>
      <c r="BB66" s="4"/>
      <c r="BC66" s="4"/>
      <c r="BD66" s="4"/>
      <c r="BE66" s="4"/>
      <c r="BF66" s="4"/>
      <c r="BG66" s="4"/>
      <c r="BH66" s="4"/>
      <c r="BI66" s="4"/>
      <c r="BJ66" s="4"/>
      <c r="BK66" s="4"/>
      <c r="BL66" s="4"/>
      <c r="BM66" s="4"/>
      <c r="BN66" s="4"/>
      <c r="BO66" s="4"/>
      <c r="BP66" s="4"/>
      <c r="BQ66" s="4"/>
      <c r="BR66" s="4"/>
      <c r="BS66" s="4"/>
      <c r="BT66" s="4"/>
      <c r="BU66" s="4"/>
      <c r="BV66" s="4"/>
      <c r="BW66" s="4"/>
      <c r="BX66" s="4"/>
      <c r="BY66" s="4"/>
      <c r="BZ66" s="4"/>
      <c r="CA66" s="4"/>
      <c r="CB66" s="4"/>
      <c r="CC66" s="4"/>
      <c r="CD66" s="4"/>
      <c r="CE66" s="4"/>
      <c r="CF66" s="4"/>
      <c r="CG66" s="4"/>
      <c r="CH66" s="4"/>
      <c r="CI66" s="4"/>
      <c r="CJ66" s="4"/>
      <c r="CK66" s="4"/>
      <c r="CL66" s="4"/>
      <c r="CM66" s="4"/>
      <c r="CN66" s="4"/>
      <c r="CO66" s="4"/>
      <c r="CP66" s="4"/>
      <c r="CQ66" s="4"/>
      <c r="CR66" s="4"/>
      <c r="CS66" s="4"/>
      <c r="CT66" s="4"/>
      <c r="CU66" s="4"/>
      <c r="CV66" s="4"/>
      <c r="CW66" s="4"/>
      <c r="CX66" s="4"/>
      <c r="CY66" s="4"/>
      <c r="CZ66" s="4"/>
      <c r="DA66" s="4"/>
      <c r="DB66" s="4"/>
      <c r="DC66" s="4"/>
      <c r="DD66" s="4"/>
      <c r="DE66" s="4"/>
      <c r="DF66" s="4"/>
      <c r="DG66" s="4"/>
      <c r="DH66" s="4"/>
      <c r="DI66" s="4"/>
      <c r="DJ66" s="4"/>
      <c r="DK66" s="4"/>
      <c r="DL66" s="4"/>
      <c r="DM66" s="4"/>
      <c r="DN66" s="4"/>
      <c r="DO66" s="4"/>
      <c r="DP66" s="4"/>
      <c r="DQ66" s="4"/>
      <c r="DR66" s="4"/>
      <c r="DS66" s="4"/>
      <c r="DT66" s="4"/>
      <c r="DU66" s="4"/>
      <c r="DV66" s="4"/>
      <c r="DW66" s="4"/>
      <c r="DX66" s="4"/>
      <c r="DY66" s="4"/>
      <c r="DZ66" s="4"/>
      <c r="EA66" s="4"/>
      <c r="EB66" s="4"/>
      <c r="EC66" s="4"/>
      <c r="ED66" s="4"/>
      <c r="EE66" s="4"/>
      <c r="EF66" s="4"/>
      <c r="EG66" s="4"/>
      <c r="EH66" s="4"/>
      <c r="EI66" s="4"/>
      <c r="EJ66" s="4"/>
      <c r="EK66" s="4"/>
      <c r="EL66" s="4"/>
      <c r="EM66" s="4"/>
      <c r="EN66" s="4"/>
      <c r="EO66" s="4"/>
      <c r="EP66" s="4"/>
      <c r="EQ66" s="4"/>
      <c r="ER66" s="4"/>
      <c r="ES66" s="4"/>
    </row>
    <row r="67" spans="18:159" ht="20.100000000000001" customHeight="1" x14ac:dyDescent="0.25">
      <c r="AB67" s="4"/>
      <c r="AC67" s="4"/>
      <c r="AD67" s="4"/>
      <c r="AE67" s="4"/>
      <c r="AF67" s="4"/>
      <c r="AG67" s="4"/>
      <c r="AH67" s="4"/>
      <c r="AI67" s="4"/>
      <c r="AJ67" s="4"/>
      <c r="AK67" s="4"/>
      <c r="AL67" s="4"/>
      <c r="AM67" s="4"/>
      <c r="AN67" s="4"/>
      <c r="AO67" s="4"/>
      <c r="AP67" s="4"/>
      <c r="AQ67" s="4"/>
      <c r="AR67" s="4"/>
      <c r="AS67" s="4"/>
      <c r="AT67" s="4"/>
      <c r="AU67" s="4"/>
      <c r="AV67" s="4"/>
      <c r="AW67" s="4"/>
      <c r="AX67" s="4"/>
      <c r="AY67" s="4"/>
      <c r="AZ67" s="4"/>
      <c r="BA67" s="4"/>
      <c r="BB67" s="4"/>
      <c r="BC67" s="4"/>
      <c r="BD67" s="4"/>
      <c r="BE67" s="4"/>
      <c r="BF67" s="4"/>
      <c r="BG67" s="4"/>
      <c r="BH67" s="4"/>
      <c r="BI67" s="4"/>
      <c r="BJ67" s="4"/>
      <c r="BK67" s="4"/>
      <c r="BL67" s="4"/>
      <c r="BM67" s="4"/>
      <c r="BN67" s="4"/>
      <c r="BO67" s="4"/>
      <c r="BP67" s="4"/>
      <c r="BQ67" s="4"/>
      <c r="BR67" s="4"/>
      <c r="BS67" s="4"/>
      <c r="BT67" s="4"/>
      <c r="BU67" s="4"/>
      <c r="BV67" s="4"/>
      <c r="BW67" s="4"/>
      <c r="BX67" s="4"/>
      <c r="BY67" s="4"/>
      <c r="BZ67" s="4"/>
      <c r="CA67" s="4"/>
      <c r="CB67" s="4"/>
      <c r="CC67" s="4"/>
      <c r="CD67" s="4"/>
      <c r="CE67" s="4"/>
      <c r="CF67" s="4"/>
      <c r="CG67" s="4"/>
      <c r="CH67" s="4"/>
      <c r="CI67" s="4"/>
      <c r="CJ67" s="4"/>
      <c r="CK67" s="4"/>
      <c r="CL67" s="4"/>
      <c r="CM67" s="4"/>
      <c r="CN67" s="4"/>
      <c r="CO67" s="4"/>
      <c r="CP67" s="4"/>
      <c r="CQ67" s="4"/>
      <c r="CR67" s="4"/>
      <c r="CS67" s="4"/>
      <c r="CT67" s="4"/>
      <c r="CU67" s="4"/>
      <c r="CV67" s="4"/>
      <c r="CW67" s="4"/>
      <c r="CX67" s="4"/>
      <c r="CY67" s="4"/>
      <c r="CZ67" s="4"/>
      <c r="DA67" s="4"/>
      <c r="DB67" s="4"/>
      <c r="DC67" s="4"/>
      <c r="DD67" s="4"/>
      <c r="DE67" s="4"/>
      <c r="DF67" s="4"/>
      <c r="DG67" s="4"/>
      <c r="DH67" s="4"/>
      <c r="DI67" s="4"/>
      <c r="DJ67" s="4"/>
      <c r="DK67" s="4"/>
      <c r="DL67" s="4"/>
      <c r="DM67" s="4"/>
      <c r="DN67" s="4"/>
      <c r="DO67" s="4"/>
      <c r="DP67" s="4"/>
      <c r="DQ67" s="4"/>
      <c r="DR67" s="4"/>
      <c r="DS67" s="4"/>
      <c r="DT67" s="4"/>
      <c r="DU67" s="4"/>
      <c r="DV67" s="4"/>
      <c r="DW67" s="4"/>
      <c r="DX67" s="4"/>
      <c r="DY67" s="4"/>
      <c r="DZ67" s="4"/>
      <c r="EA67" s="4"/>
      <c r="EB67" s="4"/>
      <c r="EC67" s="4"/>
      <c r="ED67" s="4"/>
      <c r="EE67" s="4"/>
      <c r="EF67" s="4"/>
      <c r="EG67" s="4"/>
      <c r="EH67" s="4"/>
      <c r="EI67" s="4"/>
      <c r="EJ67" s="4"/>
      <c r="EK67" s="4"/>
      <c r="EL67" s="4"/>
      <c r="EM67" s="4"/>
      <c r="EN67" s="4"/>
      <c r="EO67" s="4"/>
      <c r="EP67" s="4"/>
      <c r="EQ67" s="4"/>
      <c r="ER67" s="4"/>
      <c r="ES67" s="4"/>
    </row>
    <row r="68" spans="18:159" ht="20.100000000000001" customHeight="1" x14ac:dyDescent="0.25">
      <c r="AB68" s="4"/>
      <c r="AC68" s="4"/>
      <c r="AD68" s="4"/>
      <c r="AE68" s="4"/>
      <c r="AF68" s="4"/>
      <c r="AG68" s="4"/>
      <c r="AH68" s="4"/>
      <c r="AI68" s="4"/>
      <c r="AJ68" s="4"/>
      <c r="AK68" s="4"/>
      <c r="AL68" s="4"/>
      <c r="AM68" s="4"/>
      <c r="AN68" s="4"/>
      <c r="AO68" s="4"/>
      <c r="AP68" s="4"/>
      <c r="AQ68" s="4"/>
      <c r="AR68" s="4"/>
      <c r="AS68" s="4"/>
      <c r="AT68" s="4"/>
      <c r="AU68" s="4"/>
      <c r="AV68" s="4"/>
      <c r="AW68" s="4"/>
      <c r="AX68" s="4"/>
      <c r="AY68" s="4"/>
      <c r="AZ68" s="4"/>
      <c r="BA68" s="4"/>
      <c r="BB68" s="4"/>
      <c r="BC68" s="4"/>
      <c r="BD68" s="4"/>
      <c r="BE68" s="4"/>
      <c r="BF68" s="4"/>
      <c r="BG68" s="4"/>
      <c r="BH68" s="4"/>
      <c r="BI68" s="4"/>
      <c r="BJ68" s="4"/>
      <c r="BK68" s="4"/>
      <c r="BL68" s="4"/>
      <c r="BM68" s="4"/>
      <c r="BN68" s="4"/>
      <c r="BO68" s="4"/>
      <c r="BP68" s="4"/>
      <c r="BQ68" s="4"/>
      <c r="BR68" s="4"/>
      <c r="BS68" s="4"/>
      <c r="BT68" s="4"/>
      <c r="BU68" s="4"/>
      <c r="BV68" s="4"/>
      <c r="BW68" s="4"/>
      <c r="BX68" s="4"/>
      <c r="BY68" s="4"/>
      <c r="BZ68" s="4"/>
      <c r="CA68" s="4"/>
      <c r="CB68" s="4"/>
      <c r="CC68" s="4"/>
      <c r="CD68" s="4"/>
      <c r="CE68" s="4"/>
      <c r="CF68" s="4"/>
      <c r="CG68" s="4"/>
      <c r="CH68" s="4"/>
      <c r="CI68" s="4"/>
      <c r="CJ68" s="4"/>
      <c r="CK68" s="4"/>
      <c r="CL68" s="4"/>
      <c r="CM68" s="4"/>
      <c r="CN68" s="4"/>
      <c r="CO68" s="4"/>
      <c r="CP68" s="4"/>
      <c r="CQ68" s="4"/>
      <c r="CR68" s="4"/>
      <c r="CS68" s="4"/>
      <c r="CT68" s="4"/>
      <c r="CU68" s="4"/>
      <c r="CV68" s="4"/>
      <c r="CW68" s="4"/>
      <c r="CX68" s="4"/>
      <c r="CY68" s="4"/>
      <c r="CZ68" s="4"/>
      <c r="DA68" s="4"/>
      <c r="DB68" s="4"/>
      <c r="DC68" s="4"/>
      <c r="DD68" s="4"/>
      <c r="DE68" s="4"/>
      <c r="DF68" s="4"/>
      <c r="DG68" s="4"/>
      <c r="DH68" s="4"/>
      <c r="DI68" s="4"/>
      <c r="DJ68" s="4"/>
      <c r="DK68" s="4"/>
      <c r="DL68" s="4"/>
      <c r="DM68" s="4"/>
      <c r="DN68" s="4"/>
      <c r="DO68" s="4"/>
      <c r="DP68" s="4"/>
      <c r="DQ68" s="4"/>
      <c r="DR68" s="4"/>
      <c r="DS68" s="4"/>
      <c r="DT68" s="4"/>
      <c r="DU68" s="4"/>
      <c r="DV68" s="4"/>
      <c r="DW68" s="4"/>
      <c r="DX68" s="4"/>
      <c r="DY68" s="4"/>
      <c r="DZ68" s="4"/>
      <c r="EA68" s="4"/>
      <c r="EB68" s="4"/>
      <c r="EC68" s="4"/>
      <c r="ED68" s="4"/>
      <c r="EE68" s="4"/>
      <c r="EF68" s="4"/>
      <c r="EG68" s="4"/>
      <c r="EH68" s="4"/>
      <c r="EI68" s="4"/>
      <c r="EJ68" s="4"/>
      <c r="EK68" s="4"/>
      <c r="EL68" s="4"/>
      <c r="EM68" s="4"/>
      <c r="EN68" s="4"/>
      <c r="EO68" s="4"/>
      <c r="EP68" s="4"/>
      <c r="EQ68" s="4"/>
      <c r="ER68" s="4"/>
      <c r="ES68" s="4"/>
    </row>
    <row r="69" spans="18:159" ht="20.100000000000001" customHeight="1" x14ac:dyDescent="0.25">
      <c r="AB69" s="4"/>
      <c r="AC69" s="4"/>
      <c r="AD69" s="4"/>
      <c r="AE69" s="4"/>
      <c r="AF69" s="4"/>
      <c r="AG69" s="4"/>
      <c r="AH69" s="4"/>
      <c r="AI69" s="4"/>
      <c r="AJ69" s="4"/>
      <c r="AK69" s="4"/>
      <c r="AL69" s="4"/>
      <c r="AM69" s="4"/>
      <c r="AN69" s="4"/>
      <c r="AO69" s="4"/>
      <c r="AP69" s="4"/>
      <c r="AQ69" s="4"/>
      <c r="AR69" s="4"/>
      <c r="AS69" s="4"/>
      <c r="AT69" s="4"/>
      <c r="AU69" s="4"/>
      <c r="AV69" s="4"/>
      <c r="AW69" s="4"/>
      <c r="AX69" s="4"/>
      <c r="AY69" s="4"/>
      <c r="AZ69" s="4"/>
      <c r="BA69" s="4"/>
      <c r="BB69" s="4"/>
      <c r="BC69" s="4"/>
      <c r="BD69" s="4"/>
      <c r="BE69" s="4"/>
      <c r="BF69" s="4"/>
      <c r="BG69" s="4"/>
      <c r="BH69" s="4"/>
      <c r="BI69" s="4"/>
      <c r="BJ69" s="4"/>
      <c r="BK69" s="4"/>
      <c r="BL69" s="4"/>
      <c r="BM69" s="4"/>
      <c r="BN69" s="4"/>
      <c r="BO69" s="4"/>
      <c r="BP69" s="4"/>
      <c r="BQ69" s="4"/>
      <c r="BR69" s="4"/>
      <c r="BS69" s="4"/>
      <c r="BT69" s="4"/>
      <c r="BU69" s="4"/>
      <c r="BV69" s="4"/>
      <c r="BW69" s="4"/>
      <c r="BX69" s="4"/>
      <c r="BY69" s="4"/>
      <c r="BZ69" s="4"/>
      <c r="CA69" s="4"/>
      <c r="CB69" s="4"/>
      <c r="CC69" s="4"/>
      <c r="CD69" s="4"/>
      <c r="CE69" s="4"/>
      <c r="CF69" s="4"/>
      <c r="CG69" s="4"/>
      <c r="CH69" s="4"/>
      <c r="CI69" s="4"/>
      <c r="CJ69" s="4"/>
      <c r="CK69" s="4"/>
      <c r="CL69" s="4"/>
      <c r="CM69" s="4"/>
      <c r="CN69" s="4"/>
      <c r="CO69" s="4"/>
      <c r="CP69" s="4"/>
      <c r="CQ69" s="4"/>
      <c r="CR69" s="4"/>
      <c r="CS69" s="4"/>
      <c r="CT69" s="4"/>
      <c r="CU69" s="4"/>
      <c r="CV69" s="4"/>
      <c r="CW69" s="4"/>
      <c r="CX69" s="4"/>
      <c r="CY69" s="4"/>
      <c r="CZ69" s="4"/>
      <c r="DA69" s="4"/>
      <c r="DB69" s="4"/>
      <c r="DC69" s="4"/>
      <c r="DD69" s="4"/>
      <c r="DE69" s="4"/>
      <c r="DF69" s="4"/>
      <c r="DG69" s="4"/>
      <c r="DH69" s="4"/>
      <c r="DI69" s="4"/>
      <c r="DJ69" s="4"/>
      <c r="DK69" s="4"/>
      <c r="DL69" s="4"/>
      <c r="DM69" s="4"/>
      <c r="DN69" s="4"/>
      <c r="DO69" s="4"/>
      <c r="DP69" s="4"/>
      <c r="DQ69" s="4"/>
      <c r="DR69" s="4"/>
      <c r="DS69" s="4"/>
      <c r="DT69" s="4"/>
      <c r="DU69" s="4"/>
      <c r="DV69" s="4"/>
      <c r="DW69" s="4"/>
      <c r="DX69" s="4"/>
      <c r="DY69" s="4"/>
      <c r="DZ69" s="4"/>
      <c r="EA69" s="4"/>
      <c r="EB69" s="4"/>
      <c r="EC69" s="4"/>
      <c r="ED69" s="4"/>
      <c r="EE69" s="4"/>
      <c r="EF69" s="4"/>
      <c r="EG69" s="4"/>
      <c r="EH69" s="4"/>
      <c r="EI69" s="4"/>
      <c r="EJ69" s="4"/>
      <c r="EK69" s="4"/>
      <c r="EL69" s="4"/>
      <c r="EM69" s="4"/>
      <c r="EN69" s="4"/>
      <c r="EO69" s="4"/>
      <c r="EP69" s="4"/>
      <c r="EQ69" s="4"/>
      <c r="ER69" s="4"/>
      <c r="ES69" s="4"/>
      <c r="ET69" s="4"/>
    </row>
    <row r="70" spans="18:159" ht="20.100000000000001" customHeight="1" x14ac:dyDescent="0.25">
      <c r="AB70" s="4"/>
      <c r="AC70" s="4"/>
      <c r="AD70" s="4"/>
      <c r="AE70" s="4"/>
      <c r="AF70" s="4"/>
      <c r="AG70" s="4"/>
      <c r="AH70" s="4"/>
      <c r="AI70" s="4"/>
      <c r="AJ70" s="4"/>
      <c r="AK70" s="4"/>
      <c r="AL70" s="4"/>
      <c r="AM70" s="4"/>
      <c r="AN70" s="4"/>
      <c r="AO70" s="4"/>
      <c r="AP70" s="4"/>
      <c r="AQ70" s="4"/>
      <c r="AR70" s="4"/>
      <c r="AS70" s="4"/>
      <c r="AT70" s="4"/>
      <c r="AU70" s="4"/>
      <c r="AV70" s="4"/>
      <c r="AW70" s="4"/>
      <c r="AX70" s="4"/>
      <c r="AY70" s="4"/>
      <c r="AZ70" s="4"/>
      <c r="BA70" s="4"/>
      <c r="BB70" s="4"/>
      <c r="BC70" s="4"/>
      <c r="BD70" s="4"/>
      <c r="BE70" s="4"/>
      <c r="BF70" s="4"/>
      <c r="BG70" s="4"/>
      <c r="BH70" s="4"/>
      <c r="BI70" s="4"/>
      <c r="BJ70" s="4"/>
      <c r="BK70" s="4"/>
      <c r="BL70" s="4"/>
      <c r="BM70" s="4"/>
      <c r="BN70" s="4"/>
      <c r="BO70" s="4"/>
      <c r="BP70" s="4"/>
      <c r="BQ70" s="4"/>
      <c r="BR70" s="4"/>
      <c r="BS70" s="4"/>
      <c r="BT70" s="4"/>
      <c r="BU70" s="4"/>
      <c r="BV70" s="4"/>
      <c r="BW70" s="4"/>
      <c r="BX70" s="4"/>
      <c r="BY70" s="4"/>
      <c r="BZ70" s="4"/>
      <c r="CA70" s="4"/>
      <c r="CB70" s="4"/>
      <c r="CC70" s="4"/>
      <c r="CD70" s="4"/>
      <c r="CE70" s="4"/>
      <c r="CF70" s="4"/>
      <c r="CG70" s="4"/>
      <c r="CH70" s="4"/>
      <c r="CI70" s="4"/>
      <c r="CJ70" s="4"/>
      <c r="CK70" s="4"/>
      <c r="CL70" s="4"/>
      <c r="CM70" s="4"/>
      <c r="CN70" s="4"/>
      <c r="CO70" s="4"/>
      <c r="CP70" s="4"/>
      <c r="CQ70" s="4"/>
      <c r="CR70" s="4"/>
      <c r="CS70" s="4"/>
      <c r="CT70" s="4"/>
      <c r="CU70" s="4"/>
      <c r="CV70" s="4"/>
      <c r="CW70" s="4"/>
      <c r="CX70" s="4"/>
      <c r="CY70" s="4"/>
      <c r="CZ70" s="4"/>
      <c r="DA70" s="4"/>
      <c r="DB70" s="4"/>
      <c r="DC70" s="4"/>
      <c r="DD70" s="4"/>
      <c r="DE70" s="4"/>
      <c r="DF70" s="4"/>
      <c r="DG70" s="4"/>
      <c r="DH70" s="4"/>
      <c r="DI70" s="4"/>
      <c r="DJ70" s="4"/>
      <c r="DK70" s="4"/>
      <c r="DL70" s="4"/>
      <c r="DM70" s="4"/>
      <c r="DN70" s="4"/>
      <c r="DO70" s="4"/>
      <c r="DP70" s="4"/>
      <c r="DQ70" s="4"/>
      <c r="DR70" s="4"/>
      <c r="DS70" s="4"/>
      <c r="DT70" s="4"/>
      <c r="DU70" s="4"/>
      <c r="DV70" s="4"/>
      <c r="DW70" s="4"/>
      <c r="DX70" s="4"/>
      <c r="DY70" s="4"/>
      <c r="DZ70" s="4"/>
      <c r="EA70" s="4"/>
      <c r="EB70" s="4"/>
      <c r="EC70" s="4"/>
      <c r="ED70" s="4"/>
      <c r="EE70" s="4"/>
      <c r="EF70" s="4"/>
      <c r="EG70" s="4"/>
      <c r="EH70" s="4"/>
      <c r="EI70" s="4"/>
      <c r="EJ70" s="4"/>
      <c r="EK70" s="4"/>
      <c r="EL70" s="4"/>
      <c r="EM70" s="4"/>
      <c r="EN70" s="4"/>
      <c r="EO70" s="4"/>
      <c r="EP70" s="4"/>
      <c r="EQ70" s="4"/>
      <c r="ER70" s="4"/>
      <c r="ES70" s="4"/>
      <c r="ET70" s="4"/>
      <c r="EU70" s="4"/>
      <c r="EV70" s="4"/>
      <c r="EW70" s="4"/>
      <c r="EX70" s="4"/>
      <c r="EY70" s="4"/>
      <c r="EZ70" s="4"/>
      <c r="FA70" s="4"/>
      <c r="FB70" s="4"/>
      <c r="FC70" s="4"/>
    </row>
    <row r="71" spans="18:159" ht="20.100000000000001" customHeight="1" x14ac:dyDescent="0.25">
      <c r="AB71" s="4"/>
      <c r="AC71" s="4"/>
      <c r="AD71" s="4"/>
      <c r="AE71" s="4"/>
      <c r="AF71" s="4"/>
      <c r="AG71" s="4"/>
      <c r="AH71" s="4"/>
      <c r="AI71" s="4"/>
      <c r="AJ71" s="4"/>
      <c r="AK71" s="4"/>
      <c r="AL71" s="4"/>
      <c r="AM71" s="4"/>
      <c r="AN71" s="4"/>
      <c r="AO71" s="4"/>
      <c r="AP71" s="4"/>
      <c r="AQ71" s="4"/>
      <c r="AR71" s="4"/>
      <c r="AS71" s="4"/>
      <c r="AT71" s="4"/>
      <c r="AU71" s="4"/>
      <c r="AV71" s="4"/>
      <c r="AW71" s="4"/>
      <c r="AX71" s="4"/>
      <c r="AY71" s="4"/>
      <c r="AZ71" s="4"/>
      <c r="BA71" s="4"/>
      <c r="BB71" s="4"/>
      <c r="BC71" s="4"/>
      <c r="BD71" s="4"/>
      <c r="BE71" s="4"/>
      <c r="BF71" s="4"/>
      <c r="BG71" s="4"/>
      <c r="BH71" s="4"/>
      <c r="BI71" s="4"/>
      <c r="BJ71" s="4"/>
      <c r="BK71" s="4"/>
      <c r="BL71" s="4"/>
      <c r="BM71" s="4"/>
      <c r="BN71" s="4"/>
      <c r="BO71" s="4"/>
      <c r="BP71" s="4"/>
      <c r="BQ71" s="4"/>
      <c r="BR71" s="4"/>
      <c r="BS71" s="4"/>
      <c r="BT71" s="4"/>
      <c r="BU71" s="4"/>
      <c r="BV71" s="4"/>
      <c r="BW71" s="4"/>
      <c r="BX71" s="4"/>
      <c r="BY71" s="4"/>
      <c r="BZ71" s="4"/>
      <c r="CA71" s="4"/>
      <c r="CB71" s="4"/>
      <c r="CC71" s="4"/>
      <c r="CD71" s="4"/>
      <c r="CE71" s="4"/>
      <c r="CF71" s="4"/>
      <c r="CG71" s="4"/>
      <c r="CH71" s="4"/>
      <c r="CI71" s="4"/>
      <c r="CJ71" s="4"/>
      <c r="CK71" s="4"/>
      <c r="CL71" s="4"/>
      <c r="CM71" s="4"/>
      <c r="CN71" s="4"/>
      <c r="CO71" s="4"/>
      <c r="CP71" s="4"/>
      <c r="CQ71" s="4"/>
      <c r="CR71" s="4"/>
      <c r="CS71" s="4"/>
      <c r="CT71" s="4"/>
      <c r="CU71" s="4"/>
      <c r="CV71" s="4"/>
      <c r="CW71" s="4"/>
      <c r="CX71" s="4"/>
      <c r="CY71" s="4"/>
      <c r="CZ71" s="4"/>
      <c r="DA71" s="4"/>
      <c r="DB71" s="4"/>
      <c r="DC71" s="4"/>
      <c r="DD71" s="4"/>
      <c r="DE71" s="4"/>
      <c r="DF71" s="4"/>
      <c r="DG71" s="4"/>
      <c r="DH71" s="4"/>
      <c r="DI71" s="4"/>
      <c r="DJ71" s="4"/>
      <c r="DK71" s="4"/>
      <c r="DL71" s="4"/>
      <c r="DM71" s="4"/>
      <c r="DN71" s="4"/>
      <c r="DO71" s="4"/>
      <c r="DP71" s="4"/>
      <c r="DQ71" s="4"/>
      <c r="DR71" s="4"/>
      <c r="DS71" s="4"/>
      <c r="DT71" s="4"/>
      <c r="DU71" s="4"/>
      <c r="DV71" s="4"/>
      <c r="DW71" s="4"/>
      <c r="DX71" s="4"/>
      <c r="DY71" s="4"/>
      <c r="DZ71" s="4"/>
      <c r="EA71" s="4"/>
      <c r="EB71" s="4"/>
      <c r="EC71" s="4"/>
      <c r="ED71" s="4"/>
      <c r="EE71" s="4"/>
      <c r="EF71" s="4"/>
      <c r="EG71" s="4"/>
      <c r="EH71" s="4"/>
      <c r="EI71" s="4"/>
      <c r="EJ71" s="4"/>
      <c r="EK71" s="4"/>
      <c r="EL71" s="4"/>
      <c r="EM71" s="4"/>
      <c r="EN71" s="4"/>
      <c r="EO71" s="4"/>
      <c r="EP71" s="4"/>
      <c r="EQ71" s="4"/>
      <c r="ER71" s="4"/>
      <c r="ES71" s="4"/>
      <c r="ET71" s="4"/>
      <c r="EU71" s="4"/>
      <c r="EV71" s="4"/>
      <c r="EW71" s="4"/>
      <c r="EX71" s="4"/>
      <c r="EY71" s="4"/>
      <c r="EZ71" s="4"/>
    </row>
    <row r="72" spans="18:159" ht="20.100000000000001" customHeight="1" x14ac:dyDescent="0.25">
      <c r="AA72" s="142"/>
      <c r="AB72" s="4"/>
      <c r="AC72" s="4"/>
      <c r="AD72" s="4"/>
      <c r="AE72" s="4"/>
      <c r="AF72" s="4"/>
      <c r="AG72" s="4"/>
      <c r="AH72" s="4"/>
      <c r="AI72" s="4"/>
      <c r="AJ72" s="4"/>
      <c r="AK72" s="4"/>
      <c r="AL72" s="4"/>
      <c r="AM72" s="4"/>
      <c r="AN72" s="4"/>
      <c r="AO72" s="4"/>
      <c r="AP72" s="4"/>
      <c r="AQ72" s="4"/>
      <c r="AR72" s="4"/>
      <c r="AS72" s="4"/>
      <c r="AT72" s="4"/>
      <c r="AU72" s="4"/>
      <c r="AV72" s="4"/>
      <c r="AW72" s="4"/>
      <c r="AX72" s="4"/>
      <c r="AY72" s="4"/>
      <c r="AZ72" s="4"/>
      <c r="BA72" s="4"/>
      <c r="BB72" s="4"/>
      <c r="BC72" s="4"/>
      <c r="BD72" s="4"/>
      <c r="BE72" s="4"/>
      <c r="BF72" s="4"/>
      <c r="BG72" s="4"/>
      <c r="BH72" s="4"/>
      <c r="BI72" s="4"/>
      <c r="BJ72" s="4"/>
      <c r="BK72" s="4"/>
      <c r="BL72" s="4"/>
      <c r="BM72" s="4"/>
      <c r="BN72" s="4"/>
      <c r="BO72" s="4"/>
      <c r="BP72" s="4"/>
      <c r="BQ72" s="4"/>
      <c r="BR72" s="4"/>
      <c r="BS72" s="4"/>
      <c r="BT72" s="4"/>
      <c r="BU72" s="4"/>
      <c r="BV72" s="4"/>
      <c r="BW72" s="4"/>
      <c r="BX72" s="4"/>
      <c r="BY72" s="4"/>
      <c r="BZ72" s="4"/>
      <c r="CA72" s="4"/>
      <c r="CB72" s="4"/>
      <c r="CC72" s="4"/>
      <c r="CD72" s="4"/>
      <c r="CE72" s="4"/>
      <c r="CF72" s="4"/>
      <c r="CG72" s="4"/>
      <c r="CH72" s="4"/>
      <c r="CI72" s="4"/>
      <c r="CJ72" s="4"/>
      <c r="CK72" s="4"/>
      <c r="CL72" s="4"/>
      <c r="CM72" s="4"/>
      <c r="CN72" s="4"/>
      <c r="CO72" s="4"/>
      <c r="CP72" s="4"/>
      <c r="CQ72" s="4"/>
      <c r="CR72" s="4"/>
      <c r="CS72" s="4"/>
      <c r="CT72" s="4"/>
      <c r="CU72" s="4"/>
      <c r="CV72" s="4"/>
      <c r="CW72" s="4"/>
      <c r="CX72" s="4"/>
      <c r="CY72" s="4"/>
      <c r="CZ72" s="4"/>
      <c r="DA72" s="4"/>
      <c r="DB72" s="4"/>
      <c r="DC72" s="4"/>
      <c r="DD72" s="4"/>
      <c r="DE72" s="4"/>
      <c r="DF72" s="4"/>
      <c r="DG72" s="4"/>
      <c r="DH72" s="4"/>
      <c r="DI72" s="4"/>
      <c r="DJ72" s="4"/>
      <c r="DK72" s="4"/>
      <c r="DL72" s="4"/>
      <c r="DM72" s="4"/>
      <c r="DN72" s="4"/>
      <c r="DO72" s="4"/>
      <c r="DP72" s="4"/>
      <c r="DQ72" s="4"/>
      <c r="DR72" s="4"/>
      <c r="DS72" s="4"/>
      <c r="DT72" s="4"/>
      <c r="DU72" s="4"/>
      <c r="DV72" s="4"/>
      <c r="DW72" s="4"/>
      <c r="DX72" s="4"/>
      <c r="DY72" s="4"/>
      <c r="DZ72" s="4"/>
      <c r="EA72" s="4"/>
      <c r="EB72" s="4"/>
      <c r="EC72" s="4"/>
      <c r="ED72" s="4"/>
      <c r="EE72" s="4"/>
      <c r="EF72" s="4"/>
      <c r="EG72" s="4"/>
      <c r="EH72" s="4"/>
      <c r="EI72" s="4"/>
      <c r="EJ72" s="4"/>
      <c r="EK72" s="4"/>
      <c r="EL72" s="4"/>
      <c r="EM72" s="4"/>
      <c r="EN72" s="4"/>
      <c r="EO72" s="4"/>
      <c r="EP72" s="4"/>
      <c r="EQ72" s="4"/>
      <c r="ER72" s="4"/>
    </row>
    <row r="73" spans="18:159" ht="20.100000000000001" customHeight="1" x14ac:dyDescent="0.25">
      <c r="AB73" s="4"/>
      <c r="AC73" s="4"/>
      <c r="AD73" s="4"/>
      <c r="AE73" s="4"/>
      <c r="AF73" s="4"/>
      <c r="AG73" s="4"/>
      <c r="AH73" s="4"/>
      <c r="AI73" s="4"/>
      <c r="AJ73" s="4"/>
      <c r="AK73" s="4"/>
      <c r="AL73" s="4"/>
      <c r="AM73" s="4"/>
      <c r="AN73" s="4"/>
      <c r="AO73" s="4"/>
      <c r="AP73" s="4"/>
      <c r="AQ73" s="4"/>
      <c r="AR73" s="4"/>
      <c r="AS73" s="4"/>
      <c r="AT73" s="4"/>
      <c r="AU73" s="4"/>
      <c r="AV73" s="4"/>
      <c r="AW73" s="4"/>
      <c r="AX73" s="4"/>
      <c r="AY73" s="4"/>
      <c r="AZ73" s="4"/>
      <c r="BA73" s="4"/>
      <c r="BB73" s="4"/>
      <c r="BC73" s="4"/>
      <c r="BD73" s="4"/>
      <c r="BE73" s="4"/>
      <c r="BF73" s="4"/>
      <c r="BG73" s="4"/>
      <c r="BH73" s="4"/>
      <c r="BI73" s="4"/>
      <c r="BJ73" s="4"/>
      <c r="BK73" s="4"/>
      <c r="BL73" s="4"/>
      <c r="BM73" s="4"/>
      <c r="BN73" s="4"/>
      <c r="BO73" s="4"/>
      <c r="BP73" s="4"/>
      <c r="BQ73" s="4"/>
      <c r="BR73" s="4"/>
      <c r="BS73" s="4"/>
      <c r="BT73" s="4"/>
      <c r="BU73" s="4"/>
      <c r="BV73" s="4"/>
      <c r="BW73" s="4"/>
      <c r="BX73" s="4"/>
      <c r="BY73" s="4"/>
      <c r="BZ73" s="4"/>
      <c r="CA73" s="4"/>
      <c r="CB73" s="4"/>
      <c r="CC73" s="4"/>
      <c r="CD73" s="4"/>
      <c r="CE73" s="4"/>
      <c r="CF73" s="4"/>
      <c r="CG73" s="4"/>
      <c r="CH73" s="4"/>
      <c r="CI73" s="4"/>
      <c r="CJ73" s="4"/>
      <c r="CK73" s="4"/>
      <c r="CL73" s="4"/>
      <c r="CM73" s="4"/>
      <c r="CN73" s="4"/>
      <c r="CO73" s="4"/>
      <c r="CP73" s="4"/>
      <c r="CQ73" s="4"/>
      <c r="CR73" s="4"/>
      <c r="CS73" s="4"/>
      <c r="CT73" s="4"/>
      <c r="CU73" s="4"/>
      <c r="CV73" s="4"/>
      <c r="CW73" s="4"/>
      <c r="CX73" s="4"/>
      <c r="CY73" s="4"/>
      <c r="CZ73" s="4"/>
      <c r="DA73" s="4"/>
      <c r="DB73" s="4"/>
      <c r="DC73" s="4"/>
      <c r="DD73" s="4"/>
      <c r="DE73" s="4"/>
      <c r="DF73" s="4"/>
      <c r="DG73" s="4"/>
      <c r="DH73" s="4"/>
      <c r="DI73" s="4"/>
      <c r="DJ73" s="4"/>
      <c r="DK73" s="4"/>
      <c r="DL73" s="4"/>
      <c r="DM73" s="4"/>
      <c r="DN73" s="4"/>
      <c r="DO73" s="4"/>
      <c r="DP73" s="4"/>
      <c r="DQ73" s="4"/>
      <c r="DR73" s="4"/>
      <c r="DS73" s="4"/>
      <c r="DT73" s="4"/>
      <c r="DU73" s="4"/>
      <c r="DV73" s="4"/>
      <c r="DW73" s="4"/>
      <c r="DX73" s="4"/>
      <c r="DY73" s="4"/>
      <c r="DZ73" s="4"/>
      <c r="EA73" s="4"/>
      <c r="EB73" s="4"/>
      <c r="EC73" s="4"/>
      <c r="ED73" s="4"/>
      <c r="EE73" s="4"/>
      <c r="EF73" s="4"/>
      <c r="EG73" s="4"/>
      <c r="EH73" s="4"/>
      <c r="EI73" s="4"/>
      <c r="EJ73" s="4"/>
      <c r="EK73" s="4"/>
      <c r="EL73" s="4"/>
      <c r="EM73" s="4"/>
      <c r="EN73" s="4"/>
      <c r="EO73" s="4"/>
      <c r="EP73" s="4"/>
      <c r="EQ73" s="4"/>
      <c r="ER73" s="4"/>
      <c r="ES73" s="4"/>
    </row>
    <row r="74" spans="18:159" ht="20.100000000000001" customHeight="1" x14ac:dyDescent="0.25">
      <c r="AB74" s="4"/>
      <c r="AC74" s="4"/>
      <c r="AD74" s="4"/>
      <c r="AE74" s="4"/>
      <c r="AF74" s="4"/>
      <c r="AG74" s="4"/>
      <c r="AH74" s="4"/>
      <c r="AI74" s="4"/>
      <c r="AJ74" s="4"/>
      <c r="AK74" s="4"/>
      <c r="AL74" s="4"/>
      <c r="AM74" s="4"/>
      <c r="AN74" s="4"/>
      <c r="AO74" s="4"/>
      <c r="AP74" s="4"/>
      <c r="AQ74" s="4"/>
      <c r="AR74" s="4"/>
      <c r="AS74" s="4"/>
      <c r="AT74" s="4"/>
      <c r="AU74" s="4"/>
      <c r="AV74" s="4"/>
      <c r="AW74" s="4"/>
      <c r="AX74" s="4"/>
      <c r="AY74" s="4"/>
      <c r="AZ74" s="4"/>
      <c r="BA74" s="4"/>
      <c r="BB74" s="4"/>
      <c r="BC74" s="4"/>
      <c r="BD74" s="4"/>
      <c r="BE74" s="4"/>
      <c r="BF74" s="4"/>
      <c r="BG74" s="4"/>
      <c r="BH74" s="4"/>
      <c r="BI74" s="4"/>
      <c r="BJ74" s="4"/>
      <c r="BK74" s="4"/>
      <c r="BL74" s="4"/>
      <c r="BM74" s="4"/>
      <c r="BN74" s="4"/>
      <c r="BO74" s="4"/>
      <c r="BP74" s="4"/>
      <c r="BQ74" s="4"/>
      <c r="BR74" s="4"/>
      <c r="BS74" s="4"/>
      <c r="BT74" s="4"/>
      <c r="BU74" s="4"/>
      <c r="BV74" s="4"/>
      <c r="BW74" s="4"/>
      <c r="BX74" s="4"/>
      <c r="BY74" s="4"/>
      <c r="BZ74" s="4"/>
      <c r="CA74" s="4"/>
      <c r="CB74" s="4"/>
      <c r="CC74" s="4"/>
      <c r="CD74" s="4"/>
      <c r="CE74" s="4"/>
      <c r="CF74" s="4"/>
      <c r="CG74" s="4"/>
      <c r="CH74" s="4"/>
      <c r="CI74" s="4"/>
      <c r="CJ74" s="4"/>
      <c r="CK74" s="4"/>
      <c r="CL74" s="4"/>
      <c r="CM74" s="4"/>
      <c r="CN74" s="4"/>
      <c r="CO74" s="4"/>
      <c r="CP74" s="4"/>
      <c r="CQ74" s="4"/>
      <c r="CR74" s="4"/>
      <c r="CS74" s="4"/>
      <c r="CT74" s="4"/>
      <c r="CU74" s="4"/>
      <c r="CV74" s="4"/>
      <c r="CW74" s="4"/>
      <c r="CX74" s="4"/>
      <c r="CY74" s="4"/>
      <c r="CZ74" s="4"/>
      <c r="DA74" s="4"/>
      <c r="DB74" s="4"/>
      <c r="DC74" s="4"/>
      <c r="DD74" s="4"/>
      <c r="DE74" s="4"/>
      <c r="DF74" s="4"/>
      <c r="DG74" s="4"/>
      <c r="DH74" s="4"/>
      <c r="DI74" s="4"/>
      <c r="DJ74" s="4"/>
      <c r="DK74" s="4"/>
      <c r="DL74" s="4"/>
      <c r="DM74" s="4"/>
      <c r="DN74" s="4"/>
      <c r="DO74" s="4"/>
      <c r="DP74" s="4"/>
      <c r="DQ74" s="4"/>
      <c r="DR74" s="4"/>
      <c r="DS74" s="4"/>
      <c r="DT74" s="4"/>
      <c r="DU74" s="4"/>
      <c r="DV74" s="4"/>
      <c r="DW74" s="4"/>
      <c r="DX74" s="4"/>
      <c r="DY74" s="4"/>
      <c r="DZ74" s="4"/>
      <c r="EA74" s="4"/>
      <c r="EB74" s="4"/>
      <c r="EC74" s="4"/>
      <c r="ED74" s="4"/>
      <c r="EE74" s="4"/>
      <c r="EF74" s="4"/>
      <c r="EG74" s="4"/>
      <c r="EH74" s="4"/>
      <c r="EI74" s="4"/>
      <c r="EJ74" s="4"/>
      <c r="EK74" s="4"/>
      <c r="EL74" s="4"/>
      <c r="EM74" s="4"/>
      <c r="EN74" s="4"/>
      <c r="EO74" s="4"/>
      <c r="EP74" s="4"/>
      <c r="EQ74" s="4"/>
      <c r="ER74" s="4"/>
      <c r="ES74" s="4"/>
    </row>
    <row r="75" spans="18:159" ht="20.100000000000001" customHeight="1" x14ac:dyDescent="0.25">
      <c r="R75" s="142"/>
      <c r="S75" s="142"/>
      <c r="T75" s="142"/>
      <c r="U75" s="142"/>
      <c r="V75" s="142"/>
      <c r="W75" s="142"/>
      <c r="X75" s="142"/>
      <c r="Y75" s="142"/>
      <c r="AB75" s="4"/>
      <c r="AC75" s="4"/>
      <c r="AD75" s="4"/>
      <c r="AE75" s="4"/>
      <c r="AF75" s="4"/>
      <c r="AG75" s="4"/>
      <c r="AH75" s="4"/>
      <c r="AI75" s="4"/>
      <c r="AJ75" s="4"/>
      <c r="AK75" s="4"/>
      <c r="AL75" s="4"/>
      <c r="AM75" s="4"/>
      <c r="AN75" s="4"/>
      <c r="AO75" s="4"/>
      <c r="AP75" s="4"/>
      <c r="AQ75" s="4"/>
      <c r="AR75" s="4"/>
      <c r="AS75" s="4"/>
      <c r="AT75" s="4"/>
      <c r="AU75" s="4"/>
      <c r="AV75" s="4"/>
      <c r="AW75" s="4"/>
      <c r="AX75" s="4"/>
      <c r="AY75" s="4"/>
      <c r="AZ75" s="4"/>
      <c r="BA75" s="4"/>
      <c r="BB75" s="4"/>
      <c r="BC75" s="4"/>
      <c r="BD75" s="4"/>
      <c r="BE75" s="4"/>
      <c r="BF75" s="4"/>
      <c r="BG75" s="4"/>
      <c r="BH75" s="4"/>
      <c r="BI75" s="4"/>
      <c r="BJ75" s="4"/>
      <c r="BK75" s="4"/>
      <c r="BL75" s="4"/>
      <c r="BM75" s="4"/>
      <c r="BN75" s="4"/>
      <c r="BO75" s="4"/>
      <c r="BP75" s="4"/>
      <c r="BQ75" s="4"/>
      <c r="BR75" s="4"/>
      <c r="BS75" s="4"/>
      <c r="BT75" s="4"/>
      <c r="BU75" s="4"/>
      <c r="BV75" s="4"/>
      <c r="BW75" s="4"/>
      <c r="BX75" s="4"/>
      <c r="BY75" s="4"/>
      <c r="BZ75" s="4"/>
      <c r="CA75" s="4"/>
      <c r="CB75" s="4"/>
      <c r="CC75" s="4"/>
      <c r="CD75" s="4"/>
      <c r="CE75" s="4"/>
      <c r="CF75" s="4"/>
      <c r="CG75" s="4"/>
      <c r="CH75" s="4"/>
      <c r="CI75" s="4"/>
      <c r="CJ75" s="4"/>
      <c r="CK75" s="4"/>
      <c r="CL75" s="4"/>
      <c r="CM75" s="4"/>
      <c r="CN75" s="4"/>
      <c r="CO75" s="4"/>
      <c r="CP75" s="4"/>
      <c r="CQ75" s="4"/>
      <c r="CR75" s="4"/>
      <c r="CS75" s="4"/>
      <c r="CT75" s="4"/>
      <c r="CU75" s="4"/>
      <c r="CV75" s="4"/>
      <c r="CW75" s="4"/>
      <c r="CX75" s="4"/>
      <c r="CY75" s="4"/>
      <c r="CZ75" s="4"/>
      <c r="DA75" s="4"/>
      <c r="DB75" s="4"/>
      <c r="DC75" s="4"/>
      <c r="DD75" s="4"/>
      <c r="DE75" s="4"/>
      <c r="DF75" s="4"/>
      <c r="DG75" s="4"/>
      <c r="DH75" s="4"/>
      <c r="DI75" s="4"/>
      <c r="DJ75" s="4"/>
      <c r="DK75" s="4"/>
      <c r="DL75" s="4"/>
      <c r="DM75" s="4"/>
      <c r="DN75" s="4"/>
      <c r="DO75" s="4"/>
      <c r="DP75" s="4"/>
      <c r="DQ75" s="4"/>
      <c r="DR75" s="4"/>
      <c r="DS75" s="4"/>
      <c r="DT75" s="4"/>
      <c r="DU75" s="4"/>
      <c r="DV75" s="4"/>
      <c r="DW75" s="4"/>
      <c r="DX75" s="4"/>
      <c r="DY75" s="4"/>
      <c r="DZ75" s="4"/>
      <c r="EA75" s="4"/>
      <c r="EB75" s="4"/>
      <c r="EC75" s="4"/>
      <c r="ED75" s="4"/>
      <c r="EE75" s="4"/>
      <c r="EF75" s="4"/>
      <c r="EG75" s="4"/>
      <c r="EH75" s="4"/>
      <c r="EI75" s="4"/>
      <c r="EJ75" s="4"/>
      <c r="EK75" s="4"/>
      <c r="EL75" s="4"/>
      <c r="EM75" s="4"/>
      <c r="EN75" s="4"/>
      <c r="EO75" s="4"/>
      <c r="EP75" s="4"/>
      <c r="EQ75" s="4"/>
      <c r="ER75" s="4"/>
      <c r="ES75" s="4"/>
    </row>
    <row r="76" spans="18:159" ht="20.100000000000001" customHeight="1" x14ac:dyDescent="0.25">
      <c r="AB76" s="4"/>
      <c r="AC76" s="4"/>
      <c r="AD76" s="4"/>
      <c r="AE76" s="4"/>
      <c r="AF76" s="4"/>
      <c r="AG76" s="4"/>
      <c r="AH76" s="4"/>
      <c r="AI76" s="4"/>
      <c r="AJ76" s="4"/>
      <c r="AK76" s="4"/>
      <c r="AL76" s="4"/>
      <c r="AM76" s="4"/>
      <c r="AN76" s="4"/>
      <c r="AO76" s="4"/>
      <c r="AP76" s="4"/>
      <c r="AQ76" s="4"/>
      <c r="AR76" s="4"/>
      <c r="AS76" s="4"/>
      <c r="AT76" s="4"/>
      <c r="AU76" s="4"/>
      <c r="AV76" s="4"/>
      <c r="AW76" s="4"/>
      <c r="AX76" s="4"/>
      <c r="AY76" s="4"/>
      <c r="AZ76" s="4"/>
      <c r="BA76" s="4"/>
      <c r="BB76" s="4"/>
      <c r="BC76" s="4"/>
      <c r="BD76" s="4"/>
      <c r="BE76" s="4"/>
      <c r="BF76" s="4"/>
      <c r="BG76" s="4"/>
      <c r="BH76" s="4"/>
      <c r="BI76" s="4"/>
      <c r="BJ76" s="4"/>
      <c r="BK76" s="4"/>
      <c r="BL76" s="4"/>
      <c r="BM76" s="4"/>
      <c r="BN76" s="4"/>
      <c r="BO76" s="4"/>
      <c r="BP76" s="4"/>
      <c r="BQ76" s="4"/>
      <c r="BR76" s="4"/>
      <c r="BS76" s="4"/>
      <c r="BT76" s="4"/>
      <c r="BU76" s="4"/>
      <c r="BV76" s="4"/>
      <c r="BW76" s="4"/>
      <c r="BX76" s="4"/>
      <c r="BY76" s="4"/>
      <c r="BZ76" s="4"/>
      <c r="CA76" s="4"/>
      <c r="CB76" s="4"/>
      <c r="CC76" s="4"/>
      <c r="CD76" s="4"/>
      <c r="CE76" s="4"/>
      <c r="CF76" s="4"/>
      <c r="CG76" s="4"/>
      <c r="CH76" s="4"/>
      <c r="CI76" s="4"/>
      <c r="CJ76" s="4"/>
      <c r="CK76" s="4"/>
      <c r="CL76" s="4"/>
      <c r="CM76" s="4"/>
      <c r="CN76" s="4"/>
      <c r="CO76" s="4"/>
      <c r="CP76" s="4"/>
      <c r="CQ76" s="4"/>
      <c r="CR76" s="4"/>
      <c r="CS76" s="4"/>
      <c r="CT76" s="4"/>
      <c r="CU76" s="4"/>
      <c r="CV76" s="4"/>
      <c r="CW76" s="4"/>
      <c r="CX76" s="4"/>
      <c r="CY76" s="4"/>
      <c r="CZ76" s="4"/>
      <c r="DA76" s="4"/>
      <c r="DB76" s="4"/>
      <c r="DC76" s="4"/>
      <c r="DD76" s="4"/>
      <c r="DE76" s="4"/>
      <c r="DF76" s="4"/>
      <c r="DG76" s="4"/>
      <c r="DH76" s="4"/>
      <c r="DI76" s="4"/>
      <c r="DJ76" s="4"/>
      <c r="DK76" s="4"/>
      <c r="DL76" s="4"/>
      <c r="DM76" s="4"/>
      <c r="DN76" s="4"/>
      <c r="DO76" s="4"/>
      <c r="DP76" s="4"/>
      <c r="DQ76" s="4"/>
      <c r="DR76" s="4"/>
      <c r="DS76" s="4"/>
      <c r="DT76" s="4"/>
      <c r="DU76" s="4"/>
      <c r="DV76" s="4"/>
      <c r="DW76" s="4"/>
      <c r="DX76" s="4"/>
      <c r="DY76" s="4"/>
      <c r="DZ76" s="4"/>
      <c r="EA76" s="4"/>
      <c r="EB76" s="4"/>
      <c r="EC76" s="4"/>
      <c r="ED76" s="4"/>
      <c r="EE76" s="4"/>
      <c r="EF76" s="4"/>
      <c r="EG76" s="4"/>
      <c r="EH76" s="4"/>
      <c r="EI76" s="4"/>
      <c r="EJ76" s="4"/>
      <c r="EK76" s="4"/>
      <c r="EL76" s="4"/>
      <c r="EM76" s="4"/>
      <c r="EN76" s="4"/>
      <c r="EO76" s="4"/>
      <c r="EP76" s="4"/>
      <c r="EQ76" s="4"/>
      <c r="ER76" s="4"/>
      <c r="ES76" s="4"/>
      <c r="ET76" s="4"/>
    </row>
    <row r="77" spans="18:159" ht="20.100000000000001" customHeight="1" x14ac:dyDescent="0.25">
      <c r="AB77" s="4"/>
      <c r="AC77" s="4"/>
      <c r="AD77" s="4"/>
      <c r="AE77" s="4"/>
      <c r="AF77" s="4"/>
      <c r="AG77" s="4"/>
      <c r="AH77" s="4"/>
      <c r="AI77" s="4"/>
      <c r="AJ77" s="4"/>
      <c r="AK77" s="4"/>
      <c r="AL77" s="4"/>
      <c r="AM77" s="4"/>
      <c r="AN77" s="4"/>
      <c r="AO77" s="4"/>
      <c r="AP77" s="4"/>
      <c r="AQ77" s="4"/>
      <c r="AR77" s="4"/>
      <c r="AS77" s="4"/>
      <c r="AT77" s="4"/>
      <c r="AU77" s="4"/>
      <c r="AV77" s="4"/>
      <c r="AW77" s="4"/>
      <c r="AX77" s="4"/>
      <c r="AY77" s="4"/>
      <c r="AZ77" s="4"/>
      <c r="BA77" s="4"/>
      <c r="BB77" s="4"/>
      <c r="BC77" s="4"/>
      <c r="BD77" s="4"/>
      <c r="BE77" s="4"/>
      <c r="BF77" s="4"/>
      <c r="BG77" s="4"/>
      <c r="BH77" s="4"/>
      <c r="BI77" s="4"/>
      <c r="BJ77" s="4"/>
      <c r="BK77" s="4"/>
      <c r="BL77" s="4"/>
      <c r="BM77" s="4"/>
      <c r="BN77" s="4"/>
      <c r="BO77" s="4"/>
      <c r="BP77" s="4"/>
      <c r="BQ77" s="4"/>
      <c r="BR77" s="4"/>
      <c r="BS77" s="4"/>
      <c r="BT77" s="4"/>
      <c r="BU77" s="4"/>
      <c r="BV77" s="4"/>
      <c r="BW77" s="4"/>
      <c r="BX77" s="4"/>
      <c r="BY77" s="4"/>
      <c r="BZ77" s="4"/>
      <c r="CA77" s="4"/>
      <c r="CB77" s="4"/>
      <c r="CC77" s="4"/>
      <c r="CD77" s="4"/>
      <c r="CE77" s="4"/>
      <c r="CF77" s="4"/>
      <c r="CG77" s="4"/>
      <c r="CH77" s="4"/>
      <c r="CI77" s="4"/>
      <c r="CJ77" s="4"/>
      <c r="CK77" s="4"/>
      <c r="CL77" s="4"/>
      <c r="CM77" s="4"/>
      <c r="CN77" s="4"/>
      <c r="CO77" s="4"/>
      <c r="CP77" s="4"/>
      <c r="CQ77" s="4"/>
      <c r="CR77" s="4"/>
      <c r="CS77" s="4"/>
      <c r="CT77" s="4"/>
      <c r="CU77" s="4"/>
      <c r="CV77" s="4"/>
      <c r="CW77" s="4"/>
      <c r="CX77" s="4"/>
      <c r="CY77" s="4"/>
      <c r="CZ77" s="4"/>
      <c r="DA77" s="4"/>
      <c r="DB77" s="4"/>
      <c r="DC77" s="4"/>
      <c r="DD77" s="4"/>
      <c r="DE77" s="4"/>
      <c r="DF77" s="4"/>
      <c r="DG77" s="4"/>
      <c r="DH77" s="4"/>
      <c r="DI77" s="4"/>
      <c r="DJ77" s="4"/>
      <c r="DK77" s="4"/>
      <c r="DL77" s="4"/>
      <c r="DM77" s="4"/>
      <c r="DN77" s="4"/>
      <c r="DO77" s="4"/>
      <c r="DP77" s="4"/>
      <c r="DQ77" s="4"/>
      <c r="DR77" s="4"/>
      <c r="DS77" s="4"/>
      <c r="DT77" s="4"/>
      <c r="DU77" s="4"/>
      <c r="DV77" s="4"/>
      <c r="DW77" s="4"/>
      <c r="DX77" s="4"/>
      <c r="DY77" s="4"/>
      <c r="DZ77" s="4"/>
      <c r="EA77" s="4"/>
      <c r="EB77" s="4"/>
      <c r="EC77" s="4"/>
      <c r="ED77" s="4"/>
      <c r="EE77" s="4"/>
      <c r="EF77" s="4"/>
      <c r="EG77" s="4"/>
      <c r="EH77" s="4"/>
      <c r="EI77" s="4"/>
      <c r="EJ77" s="4"/>
      <c r="EK77" s="4"/>
      <c r="EL77" s="4"/>
      <c r="EM77" s="4"/>
      <c r="EN77" s="4"/>
      <c r="EO77" s="4"/>
      <c r="EP77" s="4"/>
      <c r="EQ77" s="4"/>
      <c r="ER77" s="4"/>
      <c r="ES77" s="4"/>
      <c r="ET77" s="4"/>
    </row>
    <row r="78" spans="18:159" ht="20.100000000000001" customHeight="1" x14ac:dyDescent="0.25">
      <c r="AB78" s="4"/>
      <c r="AC78" s="4"/>
      <c r="AD78" s="4"/>
      <c r="AE78" s="4"/>
      <c r="AF78" s="4"/>
      <c r="AG78" s="4"/>
      <c r="AH78" s="4"/>
      <c r="AI78" s="4"/>
      <c r="AJ78" s="4"/>
      <c r="AK78" s="4"/>
      <c r="AL78" s="4"/>
      <c r="AM78" s="4"/>
      <c r="AN78" s="4"/>
      <c r="AO78" s="4"/>
      <c r="AP78" s="4"/>
      <c r="AQ78" s="4"/>
      <c r="AR78" s="4"/>
      <c r="AS78" s="4"/>
      <c r="AT78" s="4"/>
      <c r="AU78" s="4"/>
      <c r="AV78" s="4"/>
      <c r="AW78" s="4"/>
      <c r="AX78" s="4"/>
      <c r="AY78" s="4"/>
      <c r="AZ78" s="4"/>
      <c r="BA78" s="4"/>
      <c r="BB78" s="4"/>
      <c r="BC78" s="4"/>
      <c r="BD78" s="4"/>
      <c r="BE78" s="4"/>
      <c r="BF78" s="4"/>
      <c r="BG78" s="4"/>
      <c r="BH78" s="4"/>
      <c r="BI78" s="4"/>
      <c r="BJ78" s="4"/>
      <c r="BK78" s="4"/>
      <c r="BL78" s="4"/>
      <c r="BM78" s="4"/>
      <c r="BN78" s="4"/>
      <c r="BO78" s="4"/>
      <c r="BP78" s="4"/>
      <c r="BQ78" s="4"/>
      <c r="BR78" s="4"/>
      <c r="BS78" s="4"/>
      <c r="BT78" s="4"/>
      <c r="BU78" s="4"/>
      <c r="BV78" s="4"/>
      <c r="BW78" s="4"/>
      <c r="BX78" s="4"/>
      <c r="BY78" s="4"/>
      <c r="BZ78" s="4"/>
      <c r="CA78" s="4"/>
      <c r="CB78" s="4"/>
      <c r="CC78" s="4"/>
      <c r="CD78" s="4"/>
      <c r="CE78" s="4"/>
      <c r="CF78" s="4"/>
      <c r="CG78" s="4"/>
      <c r="CH78" s="4"/>
      <c r="CI78" s="4"/>
      <c r="CJ78" s="4"/>
      <c r="CK78" s="4"/>
      <c r="CL78" s="4"/>
      <c r="CM78" s="4"/>
      <c r="CN78" s="4"/>
      <c r="CO78" s="4"/>
      <c r="CP78" s="4"/>
      <c r="CQ78" s="4"/>
      <c r="CR78" s="4"/>
      <c r="CS78" s="4"/>
      <c r="CT78" s="4"/>
      <c r="CU78" s="4"/>
      <c r="CV78" s="4"/>
      <c r="CW78" s="4"/>
      <c r="CX78" s="4"/>
      <c r="CY78" s="4"/>
      <c r="CZ78" s="4"/>
      <c r="DA78" s="4"/>
      <c r="DB78" s="4"/>
      <c r="DC78" s="4"/>
      <c r="DD78" s="4"/>
      <c r="DE78" s="4"/>
      <c r="DF78" s="4"/>
      <c r="DG78" s="4"/>
      <c r="DH78" s="4"/>
      <c r="DI78" s="4"/>
      <c r="DJ78" s="4"/>
      <c r="DK78" s="4"/>
      <c r="DL78" s="4"/>
      <c r="DM78" s="4"/>
      <c r="DN78" s="4"/>
      <c r="DO78" s="4"/>
      <c r="DP78" s="4"/>
      <c r="DQ78" s="4"/>
      <c r="DR78" s="4"/>
      <c r="DS78" s="4"/>
      <c r="DT78" s="4"/>
      <c r="DU78" s="4"/>
      <c r="DV78" s="4"/>
      <c r="DW78" s="4"/>
      <c r="DX78" s="4"/>
      <c r="DY78" s="4"/>
      <c r="DZ78" s="4"/>
      <c r="EA78" s="4"/>
      <c r="EB78" s="4"/>
      <c r="EC78" s="4"/>
      <c r="ED78" s="4"/>
      <c r="EE78" s="4"/>
      <c r="EF78" s="4"/>
      <c r="EG78" s="4"/>
      <c r="EH78" s="4"/>
      <c r="EI78" s="4"/>
      <c r="EJ78" s="4"/>
      <c r="EK78" s="4"/>
      <c r="EL78" s="4"/>
      <c r="EM78" s="4"/>
      <c r="EN78" s="4"/>
      <c r="EO78" s="4"/>
      <c r="EP78" s="4"/>
      <c r="EQ78" s="4"/>
      <c r="ER78" s="4"/>
      <c r="ES78" s="4"/>
    </row>
    <row r="79" spans="18:159" ht="20.100000000000001" customHeight="1" x14ac:dyDescent="0.25">
      <c r="AB79" s="4"/>
      <c r="AC79" s="4"/>
      <c r="AD79" s="4"/>
      <c r="AE79" s="4"/>
      <c r="AF79" s="4"/>
      <c r="AG79" s="4"/>
      <c r="AH79" s="4"/>
      <c r="AI79" s="4"/>
      <c r="AJ79" s="4"/>
      <c r="AK79" s="4"/>
      <c r="AL79" s="4"/>
      <c r="AM79" s="4"/>
      <c r="AN79" s="4"/>
      <c r="AO79" s="4"/>
      <c r="AP79" s="4"/>
      <c r="AQ79" s="4"/>
      <c r="AR79" s="4"/>
      <c r="AS79" s="4"/>
      <c r="AT79" s="4"/>
      <c r="AU79" s="4"/>
      <c r="AV79" s="4"/>
      <c r="AW79" s="4"/>
      <c r="AX79" s="4"/>
      <c r="AY79" s="4"/>
      <c r="AZ79" s="4"/>
      <c r="BA79" s="4"/>
      <c r="BB79" s="4"/>
      <c r="BC79" s="4"/>
      <c r="BD79" s="4"/>
      <c r="BE79" s="4"/>
      <c r="BF79" s="4"/>
      <c r="BG79" s="4"/>
      <c r="BH79" s="4"/>
      <c r="BI79" s="4"/>
      <c r="BJ79" s="4"/>
      <c r="BK79" s="4"/>
      <c r="BL79" s="4"/>
      <c r="BM79" s="4"/>
      <c r="BN79" s="4"/>
      <c r="BO79" s="4"/>
      <c r="BP79" s="4"/>
      <c r="BQ79" s="4"/>
      <c r="BR79" s="4"/>
      <c r="BS79" s="4"/>
      <c r="BT79" s="4"/>
      <c r="BU79" s="4"/>
      <c r="BV79" s="4"/>
      <c r="BW79" s="4"/>
      <c r="BX79" s="4"/>
      <c r="BY79" s="4"/>
      <c r="BZ79" s="4"/>
      <c r="CA79" s="4"/>
      <c r="CB79" s="4"/>
      <c r="CC79" s="4"/>
      <c r="CD79" s="4"/>
      <c r="CE79" s="4"/>
      <c r="CF79" s="4"/>
      <c r="CG79" s="4"/>
      <c r="CH79" s="4"/>
      <c r="CI79" s="4"/>
      <c r="CJ79" s="4"/>
      <c r="CK79" s="4"/>
      <c r="CL79" s="4"/>
      <c r="CM79" s="4"/>
      <c r="CN79" s="4"/>
      <c r="CO79" s="4"/>
      <c r="CP79" s="4"/>
      <c r="CQ79" s="4"/>
      <c r="CR79" s="4"/>
      <c r="CS79" s="4"/>
      <c r="CT79" s="4"/>
      <c r="CU79" s="4"/>
      <c r="CV79" s="4"/>
      <c r="CW79" s="4"/>
      <c r="CX79" s="4"/>
      <c r="CY79" s="4"/>
      <c r="CZ79" s="4"/>
      <c r="DA79" s="4"/>
      <c r="DB79" s="4"/>
      <c r="DC79" s="4"/>
      <c r="DD79" s="4"/>
      <c r="DE79" s="4"/>
      <c r="DF79" s="4"/>
      <c r="DG79" s="4"/>
      <c r="DH79" s="4"/>
      <c r="DI79" s="4"/>
      <c r="DJ79" s="4"/>
      <c r="DK79" s="4"/>
      <c r="DL79" s="4"/>
      <c r="DM79" s="4"/>
      <c r="DN79" s="4"/>
      <c r="DO79" s="4"/>
      <c r="DP79" s="4"/>
      <c r="DQ79" s="4"/>
      <c r="DR79" s="4"/>
      <c r="DS79" s="4"/>
      <c r="DT79" s="4"/>
      <c r="DU79" s="4"/>
      <c r="DV79" s="4"/>
      <c r="DW79" s="4"/>
      <c r="DX79" s="4"/>
      <c r="DY79" s="4"/>
      <c r="DZ79" s="4"/>
      <c r="EA79" s="4"/>
      <c r="EB79" s="4"/>
      <c r="EC79" s="4"/>
      <c r="ED79" s="4"/>
      <c r="EE79" s="4"/>
      <c r="EF79" s="4"/>
      <c r="EG79" s="4"/>
      <c r="EH79" s="4"/>
      <c r="EI79" s="4"/>
      <c r="EJ79" s="4"/>
      <c r="EK79" s="4"/>
      <c r="EL79" s="4"/>
      <c r="EM79" s="4"/>
      <c r="EN79" s="4"/>
      <c r="EO79" s="4"/>
      <c r="EP79" s="4"/>
      <c r="EQ79" s="4"/>
      <c r="ER79" s="4"/>
      <c r="ES79" s="4"/>
    </row>
    <row r="80" spans="18:159" ht="20.100000000000001" customHeight="1" x14ac:dyDescent="0.25">
      <c r="AB80" s="4"/>
      <c r="AC80" s="4"/>
      <c r="AD80" s="4"/>
      <c r="AE80" s="4"/>
      <c r="AF80" s="4"/>
      <c r="AG80" s="4"/>
      <c r="AH80" s="4"/>
      <c r="AI80" s="4"/>
      <c r="AJ80" s="4"/>
      <c r="AK80" s="4"/>
      <c r="AL80" s="4"/>
      <c r="AM80" s="4"/>
      <c r="AN80" s="4"/>
      <c r="AO80" s="4"/>
      <c r="AP80" s="4"/>
      <c r="AQ80" s="4"/>
      <c r="AR80" s="4"/>
      <c r="AS80" s="4"/>
      <c r="AT80" s="4"/>
      <c r="AU80" s="4"/>
      <c r="AV80" s="4"/>
      <c r="AW80" s="4"/>
      <c r="AX80" s="4"/>
      <c r="AY80" s="4"/>
      <c r="AZ80" s="4"/>
      <c r="BA80" s="4"/>
      <c r="BB80" s="4"/>
      <c r="BC80" s="4"/>
      <c r="BD80" s="4"/>
      <c r="BE80" s="4"/>
      <c r="BF80" s="4"/>
      <c r="BG80" s="4"/>
      <c r="BH80" s="4"/>
      <c r="BI80" s="4"/>
      <c r="BJ80" s="4"/>
      <c r="BK80" s="4"/>
      <c r="BL80" s="4"/>
      <c r="BM80" s="4"/>
      <c r="BN80" s="4"/>
      <c r="BO80" s="4"/>
      <c r="BP80" s="4"/>
      <c r="BQ80" s="4"/>
      <c r="BR80" s="4"/>
      <c r="BS80" s="4"/>
      <c r="BT80" s="4"/>
      <c r="BU80" s="4"/>
      <c r="BV80" s="4"/>
      <c r="BW80" s="4"/>
      <c r="BX80" s="4"/>
      <c r="BY80" s="4"/>
      <c r="BZ80" s="4"/>
      <c r="CA80" s="4"/>
      <c r="CB80" s="4"/>
      <c r="CC80" s="4"/>
      <c r="CD80" s="4"/>
      <c r="CE80" s="4"/>
      <c r="CF80" s="4"/>
      <c r="CG80" s="4"/>
      <c r="CH80" s="4"/>
      <c r="CI80" s="4"/>
      <c r="CJ80" s="4"/>
      <c r="CK80" s="4"/>
      <c r="CL80" s="4"/>
      <c r="CM80" s="4"/>
      <c r="CN80" s="4"/>
      <c r="CO80" s="4"/>
      <c r="CP80" s="4"/>
      <c r="CQ80" s="4"/>
      <c r="CR80" s="4"/>
      <c r="CS80" s="4"/>
      <c r="CT80" s="4"/>
      <c r="CU80" s="4"/>
      <c r="CV80" s="4"/>
      <c r="CW80" s="4"/>
      <c r="CX80" s="4"/>
      <c r="CY80" s="4"/>
      <c r="CZ80" s="4"/>
      <c r="DA80" s="4"/>
      <c r="DB80" s="4"/>
      <c r="DC80" s="4"/>
      <c r="DD80" s="4"/>
      <c r="DE80" s="4"/>
      <c r="DF80" s="4"/>
      <c r="DG80" s="4"/>
      <c r="DH80" s="4"/>
      <c r="DI80" s="4"/>
      <c r="DJ80" s="4"/>
      <c r="DK80" s="4"/>
      <c r="DL80" s="4"/>
      <c r="DM80" s="4"/>
      <c r="DN80" s="4"/>
      <c r="DO80" s="4"/>
      <c r="DP80" s="4"/>
      <c r="DQ80" s="4"/>
      <c r="DR80" s="4"/>
      <c r="DS80" s="4"/>
      <c r="DT80" s="4"/>
      <c r="DU80" s="4"/>
      <c r="DV80" s="4"/>
      <c r="DW80" s="4"/>
      <c r="DX80" s="4"/>
      <c r="DY80" s="4"/>
      <c r="DZ80" s="4"/>
      <c r="EA80" s="4"/>
      <c r="EB80" s="4"/>
      <c r="EC80" s="4"/>
      <c r="ED80" s="4"/>
      <c r="EE80" s="4"/>
      <c r="EF80" s="4"/>
      <c r="EG80" s="4"/>
      <c r="EH80" s="4"/>
      <c r="EI80" s="4"/>
      <c r="EJ80" s="4"/>
      <c r="EK80" s="4"/>
      <c r="EL80" s="4"/>
      <c r="EM80" s="4"/>
      <c r="EN80" s="4"/>
      <c r="EO80" s="4"/>
      <c r="EP80" s="4"/>
      <c r="EQ80" s="4"/>
      <c r="ER80" s="4"/>
      <c r="ES80" s="4"/>
    </row>
    <row r="81" spans="28:149" ht="20.100000000000001" customHeight="1" x14ac:dyDescent="0.25">
      <c r="AB81" s="4"/>
      <c r="AC81" s="4"/>
      <c r="AD81" s="4"/>
      <c r="AE81" s="4"/>
      <c r="AF81" s="4"/>
      <c r="AG81" s="4"/>
      <c r="AH81" s="4"/>
      <c r="AI81" s="4"/>
      <c r="AJ81" s="4"/>
      <c r="AK81" s="4"/>
      <c r="AL81" s="4"/>
      <c r="AM81" s="4"/>
      <c r="AN81" s="4"/>
      <c r="AO81" s="4"/>
      <c r="AP81" s="4"/>
      <c r="AQ81" s="4"/>
      <c r="AR81" s="4"/>
      <c r="AS81" s="4"/>
      <c r="AT81" s="4"/>
      <c r="AU81" s="4"/>
      <c r="AV81" s="4"/>
      <c r="AW81" s="4"/>
      <c r="AX81" s="4"/>
      <c r="AY81" s="4"/>
      <c r="AZ81" s="4"/>
      <c r="BA81" s="4"/>
      <c r="BB81" s="4"/>
      <c r="BC81" s="4"/>
      <c r="BD81" s="4"/>
      <c r="BE81" s="4"/>
      <c r="BF81" s="4"/>
      <c r="BG81" s="4"/>
      <c r="BH81" s="4"/>
      <c r="BI81" s="4"/>
      <c r="BJ81" s="4"/>
      <c r="BK81" s="4"/>
      <c r="BL81" s="4"/>
      <c r="BM81" s="4"/>
      <c r="BN81" s="4"/>
      <c r="BO81" s="4"/>
      <c r="BP81" s="4"/>
      <c r="BQ81" s="4"/>
      <c r="BR81" s="4"/>
      <c r="BS81" s="4"/>
      <c r="BT81" s="4"/>
      <c r="BU81" s="4"/>
      <c r="BV81" s="4"/>
      <c r="BW81" s="4"/>
      <c r="BX81" s="4"/>
      <c r="BY81" s="4"/>
      <c r="BZ81" s="4"/>
      <c r="CA81" s="4"/>
      <c r="CB81" s="4"/>
      <c r="CC81" s="4"/>
      <c r="CD81" s="4"/>
      <c r="CE81" s="4"/>
      <c r="CF81" s="4"/>
      <c r="CG81" s="4"/>
      <c r="CH81" s="4"/>
      <c r="CI81" s="4"/>
      <c r="CJ81" s="4"/>
      <c r="CK81" s="4"/>
      <c r="CL81" s="4"/>
      <c r="CM81" s="4"/>
      <c r="CN81" s="4"/>
      <c r="CO81" s="4"/>
      <c r="CP81" s="4"/>
      <c r="CQ81" s="4"/>
      <c r="CR81" s="4"/>
      <c r="CS81" s="4"/>
      <c r="CT81" s="4"/>
      <c r="CU81" s="4"/>
      <c r="CV81" s="4"/>
      <c r="CW81" s="4"/>
      <c r="CX81" s="4"/>
      <c r="CY81" s="4"/>
      <c r="CZ81" s="4"/>
      <c r="DA81" s="4"/>
      <c r="DB81" s="4"/>
      <c r="DC81" s="4"/>
      <c r="DD81" s="4"/>
      <c r="DE81" s="4"/>
      <c r="DF81" s="4"/>
      <c r="DG81" s="4"/>
      <c r="DH81" s="4"/>
      <c r="DI81" s="4"/>
      <c r="DJ81" s="4"/>
      <c r="DK81" s="4"/>
      <c r="DL81" s="4"/>
      <c r="DM81" s="4"/>
      <c r="DN81" s="4"/>
      <c r="DO81" s="4"/>
      <c r="DP81" s="4"/>
      <c r="DQ81" s="4"/>
      <c r="DR81" s="4"/>
      <c r="DS81" s="4"/>
      <c r="DT81" s="4"/>
      <c r="DU81" s="4"/>
      <c r="DV81" s="4"/>
      <c r="DW81" s="4"/>
      <c r="DX81" s="4"/>
      <c r="DY81" s="4"/>
      <c r="DZ81" s="4"/>
      <c r="EA81" s="4"/>
      <c r="EB81" s="4"/>
      <c r="EC81" s="4"/>
      <c r="ED81" s="4"/>
      <c r="EE81" s="4"/>
      <c r="EF81" s="4"/>
      <c r="EG81" s="4"/>
      <c r="EH81" s="4"/>
      <c r="EI81" s="4"/>
      <c r="EJ81" s="4"/>
      <c r="EK81" s="4"/>
      <c r="EL81" s="4"/>
      <c r="EM81" s="4"/>
      <c r="EN81" s="4"/>
      <c r="EO81" s="4"/>
      <c r="EP81" s="4"/>
      <c r="EQ81" s="4"/>
      <c r="ER81" s="4"/>
      <c r="ES81" s="4"/>
    </row>
    <row r="82" spans="28:149" ht="20.100000000000001" customHeight="1" x14ac:dyDescent="0.25">
      <c r="AB82" s="4"/>
      <c r="AC82" s="4"/>
      <c r="AD82" s="4"/>
      <c r="AE82" s="4"/>
      <c r="AF82" s="4"/>
      <c r="AG82" s="4"/>
      <c r="AH82" s="4"/>
      <c r="AI82" s="4"/>
      <c r="AJ82" s="4"/>
      <c r="AK82" s="4"/>
      <c r="AL82" s="4"/>
      <c r="AM82" s="4"/>
      <c r="AN82" s="4"/>
      <c r="AO82" s="4"/>
      <c r="AP82" s="4"/>
      <c r="AQ82" s="4"/>
      <c r="AR82" s="4"/>
      <c r="AS82" s="4"/>
      <c r="AT82" s="4"/>
      <c r="AU82" s="4"/>
      <c r="AV82" s="4"/>
      <c r="AW82" s="4"/>
      <c r="AX82" s="4"/>
      <c r="AY82" s="4"/>
      <c r="AZ82" s="4"/>
      <c r="BA82" s="4"/>
      <c r="BB82" s="4"/>
      <c r="BC82" s="4"/>
      <c r="BD82" s="4"/>
      <c r="BE82" s="4"/>
      <c r="BF82" s="4"/>
      <c r="BG82" s="4"/>
      <c r="BH82" s="4"/>
      <c r="BI82" s="4"/>
      <c r="BJ82" s="4"/>
      <c r="BK82" s="4"/>
      <c r="BL82" s="4"/>
      <c r="BM82" s="4"/>
      <c r="BN82" s="4"/>
      <c r="BO82" s="4"/>
      <c r="BP82" s="4"/>
      <c r="BQ82" s="4"/>
      <c r="BR82" s="4"/>
      <c r="BS82" s="4"/>
      <c r="BT82" s="4"/>
      <c r="BU82" s="4"/>
      <c r="BV82" s="4"/>
      <c r="BW82" s="4"/>
      <c r="BX82" s="4"/>
      <c r="BY82" s="4"/>
      <c r="BZ82" s="4"/>
      <c r="CA82" s="4"/>
      <c r="CB82" s="4"/>
      <c r="CC82" s="4"/>
      <c r="CD82" s="4"/>
      <c r="CE82" s="4"/>
      <c r="CF82" s="4"/>
      <c r="CG82" s="4"/>
      <c r="CH82" s="4"/>
      <c r="CI82" s="4"/>
      <c r="CJ82" s="4"/>
      <c r="CK82" s="4"/>
      <c r="CL82" s="4"/>
      <c r="CM82" s="4"/>
      <c r="CN82" s="4"/>
      <c r="CO82" s="4"/>
      <c r="CP82" s="4"/>
      <c r="CQ82" s="4"/>
      <c r="CR82" s="4"/>
      <c r="CS82" s="4"/>
      <c r="CT82" s="4"/>
      <c r="CU82" s="4"/>
      <c r="CV82" s="4"/>
      <c r="CW82" s="4"/>
      <c r="CX82" s="4"/>
      <c r="CY82" s="4"/>
      <c r="CZ82" s="4"/>
      <c r="DA82" s="4"/>
      <c r="DB82" s="4"/>
      <c r="DC82" s="4"/>
      <c r="DD82" s="4"/>
      <c r="DE82" s="4"/>
      <c r="DF82" s="4"/>
      <c r="DG82" s="4"/>
      <c r="DH82" s="4"/>
      <c r="DI82" s="4"/>
      <c r="DJ82" s="4"/>
      <c r="DK82" s="4"/>
      <c r="DL82" s="4"/>
      <c r="DM82" s="4"/>
      <c r="DN82" s="4"/>
      <c r="DO82" s="4"/>
      <c r="DP82" s="4"/>
      <c r="DQ82" s="4"/>
      <c r="DR82" s="4"/>
      <c r="DS82" s="4"/>
      <c r="DT82" s="4"/>
      <c r="DU82" s="4"/>
      <c r="DV82" s="4"/>
      <c r="DW82" s="4"/>
      <c r="DX82" s="4"/>
      <c r="DY82" s="4"/>
      <c r="DZ82" s="4"/>
      <c r="EA82" s="4"/>
      <c r="EB82" s="4"/>
      <c r="EC82" s="4"/>
      <c r="ED82" s="4"/>
      <c r="EE82" s="4"/>
      <c r="EF82" s="4"/>
      <c r="EG82" s="4"/>
      <c r="EH82" s="4"/>
      <c r="EI82" s="4"/>
      <c r="EJ82" s="4"/>
      <c r="EK82" s="4"/>
      <c r="EL82" s="4"/>
      <c r="EM82" s="4"/>
      <c r="EN82" s="4"/>
      <c r="EO82" s="4"/>
      <c r="EP82" s="4"/>
      <c r="EQ82" s="4"/>
      <c r="ER82" s="4"/>
      <c r="ES82" s="4"/>
    </row>
    <row r="83" spans="28:149" ht="20.100000000000001" customHeight="1" x14ac:dyDescent="0.25">
      <c r="AB83" s="4"/>
      <c r="AC83" s="4"/>
      <c r="AD83" s="4"/>
      <c r="AE83" s="4"/>
      <c r="AF83" s="4"/>
      <c r="AG83" s="4"/>
      <c r="AH83" s="4"/>
      <c r="AI83" s="4"/>
      <c r="AJ83" s="4"/>
      <c r="AK83" s="4"/>
      <c r="AL83" s="4"/>
      <c r="AM83" s="4"/>
      <c r="AN83" s="4"/>
      <c r="AO83" s="4"/>
      <c r="AP83" s="4"/>
      <c r="AQ83" s="4"/>
      <c r="AR83" s="4"/>
      <c r="AS83" s="4"/>
      <c r="AT83" s="4"/>
      <c r="AU83" s="4"/>
      <c r="AV83" s="4"/>
      <c r="AW83" s="4"/>
      <c r="AX83" s="4"/>
      <c r="AY83" s="4"/>
      <c r="AZ83" s="4"/>
      <c r="BA83" s="4"/>
      <c r="BB83" s="4"/>
      <c r="BC83" s="4"/>
      <c r="BD83" s="4"/>
      <c r="BE83" s="4"/>
      <c r="BF83" s="4"/>
      <c r="BG83" s="4"/>
      <c r="BH83" s="4"/>
      <c r="BI83" s="4"/>
      <c r="BJ83" s="4"/>
      <c r="BK83" s="4"/>
      <c r="BL83" s="4"/>
      <c r="BM83" s="4"/>
      <c r="BN83" s="4"/>
      <c r="BO83" s="4"/>
      <c r="BP83" s="4"/>
      <c r="BQ83" s="4"/>
      <c r="BR83" s="4"/>
      <c r="BS83" s="4"/>
      <c r="BT83" s="4"/>
      <c r="BU83" s="4"/>
      <c r="BV83" s="4"/>
      <c r="BW83" s="4"/>
      <c r="BX83" s="4"/>
      <c r="BY83" s="4"/>
      <c r="BZ83" s="4"/>
      <c r="CA83" s="4"/>
      <c r="CB83" s="4"/>
      <c r="CC83" s="4"/>
      <c r="CD83" s="4"/>
      <c r="CE83" s="4"/>
      <c r="CF83" s="4"/>
      <c r="CG83" s="4"/>
      <c r="CH83" s="4"/>
      <c r="CI83" s="4"/>
      <c r="CJ83" s="4"/>
      <c r="CK83" s="4"/>
      <c r="CL83" s="4"/>
      <c r="CM83" s="4"/>
      <c r="CN83" s="4"/>
      <c r="CO83" s="4"/>
      <c r="CP83" s="4"/>
      <c r="CQ83" s="4"/>
      <c r="CR83" s="4"/>
      <c r="CS83" s="4"/>
      <c r="CT83" s="4"/>
      <c r="CU83" s="4"/>
      <c r="CV83" s="4"/>
      <c r="CW83" s="4"/>
      <c r="CX83" s="4"/>
      <c r="CY83" s="4"/>
      <c r="CZ83" s="4"/>
      <c r="DA83" s="4"/>
      <c r="DB83" s="4"/>
      <c r="DC83" s="4"/>
      <c r="DD83" s="4"/>
      <c r="DE83" s="4"/>
      <c r="DF83" s="4"/>
      <c r="DG83" s="4"/>
      <c r="DH83" s="4"/>
      <c r="DI83" s="4"/>
      <c r="DJ83" s="4"/>
      <c r="DK83" s="4"/>
      <c r="DL83" s="4"/>
      <c r="DM83" s="4"/>
      <c r="DN83" s="4"/>
      <c r="DO83" s="4"/>
      <c r="DP83" s="4"/>
      <c r="DQ83" s="4"/>
      <c r="DR83" s="4"/>
      <c r="DS83" s="4"/>
      <c r="DT83" s="4"/>
      <c r="DU83" s="4"/>
      <c r="DV83" s="4"/>
      <c r="DW83" s="4"/>
      <c r="DX83" s="4"/>
      <c r="DY83" s="4"/>
      <c r="DZ83" s="4"/>
      <c r="EA83" s="4"/>
      <c r="EB83" s="4"/>
      <c r="EC83" s="4"/>
      <c r="ED83" s="4"/>
      <c r="EE83" s="4"/>
      <c r="EF83" s="4"/>
      <c r="EG83" s="4"/>
      <c r="EH83" s="4"/>
      <c r="EI83" s="4"/>
      <c r="EJ83" s="4"/>
      <c r="EK83" s="4"/>
      <c r="EL83" s="4"/>
      <c r="EM83" s="4"/>
      <c r="EN83" s="4"/>
      <c r="EO83" s="4"/>
      <c r="EP83" s="4"/>
      <c r="EQ83" s="4"/>
      <c r="ER83" s="4"/>
      <c r="ES83" s="4"/>
    </row>
    <row r="84" spans="28:149" ht="20.100000000000001" customHeight="1" x14ac:dyDescent="0.25">
      <c r="AB84" s="4"/>
      <c r="AC84" s="4"/>
      <c r="AD84" s="4"/>
      <c r="AE84" s="4"/>
      <c r="AF84" s="4"/>
      <c r="AG84" s="4"/>
      <c r="AH84" s="4"/>
      <c r="AI84" s="4"/>
      <c r="AJ84" s="4"/>
      <c r="AK84" s="4"/>
      <c r="AL84" s="4"/>
      <c r="AM84" s="4"/>
      <c r="AN84" s="4"/>
      <c r="AO84" s="4"/>
      <c r="AP84" s="4"/>
      <c r="AQ84" s="4"/>
      <c r="AR84" s="4"/>
      <c r="AS84" s="4"/>
      <c r="AT84" s="4"/>
      <c r="AU84" s="4"/>
      <c r="AV84" s="4"/>
      <c r="AW84" s="4"/>
      <c r="AX84" s="4"/>
      <c r="AY84" s="4"/>
      <c r="AZ84" s="4"/>
      <c r="BA84" s="4"/>
      <c r="BB84" s="4"/>
      <c r="BC84" s="4"/>
      <c r="BD84" s="4"/>
      <c r="BE84" s="4"/>
      <c r="BF84" s="4"/>
      <c r="BG84" s="4"/>
      <c r="BH84" s="4"/>
      <c r="BI84" s="4"/>
      <c r="BJ84" s="4"/>
      <c r="BK84" s="4"/>
      <c r="BL84" s="4"/>
      <c r="BM84" s="4"/>
      <c r="BN84" s="4"/>
      <c r="BO84" s="4"/>
      <c r="BP84" s="4"/>
      <c r="BQ84" s="4"/>
      <c r="BR84" s="4"/>
      <c r="BS84" s="4"/>
      <c r="BT84" s="4"/>
      <c r="BU84" s="4"/>
      <c r="BV84" s="4"/>
      <c r="BW84" s="4"/>
      <c r="BX84" s="4"/>
      <c r="BY84" s="4"/>
      <c r="BZ84" s="4"/>
      <c r="CA84" s="4"/>
      <c r="CB84" s="4"/>
      <c r="CC84" s="4"/>
      <c r="CD84" s="4"/>
      <c r="CE84" s="4"/>
      <c r="CF84" s="4"/>
      <c r="CG84" s="4"/>
      <c r="CH84" s="4"/>
      <c r="CI84" s="4"/>
      <c r="CJ84" s="4"/>
      <c r="CK84" s="4"/>
      <c r="CL84" s="4"/>
      <c r="CM84" s="4"/>
      <c r="CN84" s="4"/>
      <c r="CO84" s="4"/>
      <c r="CP84" s="4"/>
      <c r="CQ84" s="4"/>
      <c r="CR84" s="4"/>
      <c r="CS84" s="4"/>
      <c r="CT84" s="4"/>
      <c r="CU84" s="4"/>
      <c r="CV84" s="4"/>
      <c r="CW84" s="4"/>
      <c r="CX84" s="4"/>
      <c r="CY84" s="4"/>
      <c r="CZ84" s="4"/>
      <c r="DA84" s="4"/>
      <c r="DB84" s="4"/>
      <c r="DC84" s="4"/>
      <c r="DD84" s="4"/>
      <c r="DE84" s="4"/>
      <c r="DF84" s="4"/>
      <c r="DG84" s="4"/>
      <c r="DH84" s="4"/>
      <c r="DI84" s="4"/>
      <c r="DJ84" s="4"/>
      <c r="DK84" s="4"/>
      <c r="DL84" s="4"/>
      <c r="DM84" s="4"/>
      <c r="DN84" s="4"/>
      <c r="DO84" s="4"/>
      <c r="DP84" s="4"/>
      <c r="DQ84" s="4"/>
      <c r="DR84" s="4"/>
      <c r="DS84" s="4"/>
      <c r="DT84" s="4"/>
      <c r="DU84" s="4"/>
      <c r="DV84" s="4"/>
      <c r="DW84" s="4"/>
      <c r="DX84" s="4"/>
      <c r="DY84" s="4"/>
      <c r="DZ84" s="4"/>
      <c r="EA84" s="4"/>
      <c r="EB84" s="4"/>
      <c r="EC84" s="4"/>
      <c r="ED84" s="4"/>
      <c r="EE84" s="4"/>
      <c r="EF84" s="4"/>
      <c r="EG84" s="4"/>
      <c r="EH84" s="4"/>
      <c r="EI84" s="4"/>
      <c r="EJ84" s="4"/>
      <c r="EK84" s="4"/>
      <c r="EL84" s="4"/>
      <c r="EM84" s="4"/>
      <c r="EN84" s="4"/>
      <c r="EO84" s="4"/>
      <c r="EP84" s="4"/>
      <c r="EQ84" s="4"/>
      <c r="ER84" s="4"/>
      <c r="ES84" s="4"/>
    </row>
    <row r="85" spans="28:149" ht="20.100000000000001" customHeight="1" x14ac:dyDescent="0.25">
      <c r="AB85" s="4"/>
      <c r="AC85" s="4"/>
      <c r="AD85" s="4"/>
      <c r="AE85" s="4"/>
      <c r="AF85" s="4"/>
      <c r="AG85" s="4"/>
      <c r="AH85" s="4"/>
      <c r="AI85" s="4"/>
      <c r="AJ85" s="4"/>
      <c r="AK85" s="4"/>
      <c r="AL85" s="4"/>
      <c r="AM85" s="4"/>
      <c r="AN85" s="4"/>
      <c r="AO85" s="4"/>
      <c r="AP85" s="4"/>
      <c r="AQ85" s="4"/>
      <c r="AR85" s="4"/>
      <c r="AS85" s="4"/>
      <c r="AT85" s="4"/>
      <c r="AU85" s="4"/>
      <c r="AV85" s="4"/>
      <c r="AW85" s="4"/>
      <c r="AX85" s="4"/>
      <c r="AY85" s="4"/>
      <c r="AZ85" s="4"/>
      <c r="BA85" s="4"/>
      <c r="BB85" s="4"/>
      <c r="BC85" s="4"/>
      <c r="BD85" s="4"/>
      <c r="BE85" s="4"/>
      <c r="BF85" s="4"/>
      <c r="BG85" s="4"/>
      <c r="BH85" s="4"/>
      <c r="BI85" s="4"/>
      <c r="BJ85" s="4"/>
      <c r="BK85" s="4"/>
      <c r="BL85" s="4"/>
      <c r="BM85" s="4"/>
      <c r="BN85" s="4"/>
      <c r="BO85" s="4"/>
      <c r="BP85" s="4"/>
      <c r="BQ85" s="4"/>
      <c r="BR85" s="4"/>
      <c r="BS85" s="4"/>
      <c r="BT85" s="4"/>
      <c r="BU85" s="4"/>
      <c r="BV85" s="4"/>
      <c r="BW85" s="4"/>
      <c r="BX85" s="4"/>
      <c r="BY85" s="4"/>
      <c r="BZ85" s="4"/>
      <c r="CA85" s="4"/>
      <c r="CB85" s="4"/>
      <c r="CC85" s="4"/>
      <c r="CD85" s="4"/>
      <c r="CE85" s="4"/>
      <c r="CF85" s="4"/>
      <c r="CG85" s="4"/>
      <c r="CH85" s="4"/>
      <c r="CI85" s="4"/>
      <c r="CJ85" s="4"/>
      <c r="CK85" s="4"/>
      <c r="CL85" s="4"/>
      <c r="CM85" s="4"/>
      <c r="CN85" s="4"/>
      <c r="CO85" s="4"/>
      <c r="CP85" s="4"/>
      <c r="CQ85" s="4"/>
      <c r="CR85" s="4"/>
      <c r="CS85" s="4"/>
      <c r="CT85" s="4"/>
      <c r="CU85" s="4"/>
      <c r="CV85" s="4"/>
      <c r="CW85" s="4"/>
      <c r="CX85" s="4"/>
      <c r="CY85" s="4"/>
      <c r="CZ85" s="4"/>
      <c r="DA85" s="4"/>
      <c r="DB85" s="4"/>
      <c r="DC85" s="4"/>
      <c r="DD85" s="4"/>
      <c r="DE85" s="4"/>
      <c r="DF85" s="4"/>
      <c r="DG85" s="4"/>
      <c r="DH85" s="4"/>
      <c r="DI85" s="4"/>
      <c r="DJ85" s="4"/>
      <c r="DK85" s="4"/>
      <c r="DL85" s="4"/>
      <c r="DM85" s="4"/>
      <c r="DN85" s="4"/>
      <c r="DO85" s="4"/>
      <c r="DP85" s="4"/>
      <c r="DQ85" s="4"/>
      <c r="DR85" s="4"/>
      <c r="DS85" s="4"/>
      <c r="DT85" s="4"/>
      <c r="DU85" s="4"/>
      <c r="DV85" s="4"/>
      <c r="DW85" s="4"/>
      <c r="DX85" s="4"/>
      <c r="DY85" s="4"/>
      <c r="DZ85" s="4"/>
      <c r="EA85" s="4"/>
      <c r="EB85" s="4"/>
      <c r="EC85" s="4"/>
      <c r="ED85" s="4"/>
      <c r="EE85" s="4"/>
      <c r="EF85" s="4"/>
      <c r="EG85" s="4"/>
      <c r="EH85" s="4"/>
      <c r="EI85" s="4"/>
      <c r="EJ85" s="4"/>
      <c r="EK85" s="4"/>
      <c r="EL85" s="4"/>
      <c r="EM85" s="4"/>
      <c r="EN85" s="4"/>
      <c r="EO85" s="4"/>
      <c r="EP85" s="4"/>
      <c r="EQ85" s="4"/>
      <c r="ER85" s="4"/>
      <c r="ES85" s="4"/>
    </row>
    <row r="86" spans="28:149" ht="20.100000000000001" customHeight="1" x14ac:dyDescent="0.25">
      <c r="AB86" s="4"/>
      <c r="AC86" s="4"/>
      <c r="AD86" s="4"/>
      <c r="AE86" s="4"/>
      <c r="AF86" s="4"/>
      <c r="AG86" s="4"/>
      <c r="AH86" s="4"/>
      <c r="AI86" s="4"/>
      <c r="AJ86" s="4"/>
      <c r="AK86" s="4"/>
      <c r="AL86" s="4"/>
      <c r="AM86" s="4"/>
      <c r="AN86" s="4"/>
      <c r="AO86" s="4"/>
      <c r="AP86" s="4"/>
      <c r="AQ86" s="4"/>
      <c r="AR86" s="4"/>
      <c r="AS86" s="4"/>
      <c r="AT86" s="4"/>
      <c r="AU86" s="4"/>
      <c r="AV86" s="4"/>
      <c r="AW86" s="4"/>
      <c r="AX86" s="4"/>
      <c r="AY86" s="4"/>
      <c r="AZ86" s="4"/>
      <c r="BA86" s="4"/>
      <c r="BB86" s="4"/>
      <c r="BC86" s="4"/>
      <c r="BD86" s="4"/>
      <c r="BE86" s="4"/>
      <c r="BF86" s="4"/>
      <c r="BG86" s="4"/>
      <c r="BH86" s="4"/>
      <c r="BI86" s="4"/>
      <c r="BJ86" s="4"/>
      <c r="BK86" s="4"/>
      <c r="BL86" s="4"/>
      <c r="BM86" s="4"/>
      <c r="BN86" s="4"/>
      <c r="BO86" s="4"/>
      <c r="BP86" s="4"/>
      <c r="BQ86" s="4"/>
      <c r="BR86" s="4"/>
      <c r="BS86" s="4"/>
      <c r="BT86" s="4"/>
      <c r="BU86" s="4"/>
      <c r="BV86" s="4"/>
      <c r="BW86" s="4"/>
      <c r="BX86" s="4"/>
      <c r="BY86" s="4"/>
      <c r="BZ86" s="4"/>
      <c r="CA86" s="4"/>
      <c r="CB86" s="4"/>
      <c r="CC86" s="4"/>
      <c r="CD86" s="4"/>
      <c r="CE86" s="4"/>
      <c r="CF86" s="4"/>
      <c r="CG86" s="4"/>
      <c r="CH86" s="4"/>
      <c r="CI86" s="4"/>
      <c r="CJ86" s="4"/>
      <c r="CK86" s="4"/>
      <c r="CL86" s="4"/>
      <c r="CM86" s="4"/>
      <c r="CN86" s="4"/>
      <c r="CO86" s="4"/>
      <c r="CP86" s="4"/>
      <c r="CQ86" s="4"/>
      <c r="CR86" s="4"/>
      <c r="CS86" s="4"/>
      <c r="CT86" s="4"/>
      <c r="CU86" s="4"/>
      <c r="CV86" s="4"/>
      <c r="CW86" s="4"/>
      <c r="CX86" s="4"/>
      <c r="CY86" s="4"/>
      <c r="CZ86" s="4"/>
      <c r="DA86" s="4"/>
      <c r="DB86" s="4"/>
      <c r="DC86" s="4"/>
      <c r="DD86" s="4"/>
      <c r="DE86" s="4"/>
      <c r="DF86" s="4"/>
      <c r="DG86" s="4"/>
      <c r="DH86" s="4"/>
      <c r="DI86" s="4"/>
      <c r="DJ86" s="4"/>
      <c r="DK86" s="4"/>
      <c r="DL86" s="4"/>
      <c r="DM86" s="4"/>
      <c r="DN86" s="4"/>
      <c r="DO86" s="4"/>
      <c r="DP86" s="4"/>
      <c r="DQ86" s="4"/>
      <c r="DR86" s="4"/>
      <c r="DS86" s="4"/>
      <c r="DT86" s="4"/>
      <c r="DU86" s="4"/>
      <c r="DV86" s="4"/>
      <c r="DW86" s="4"/>
      <c r="DX86" s="4"/>
      <c r="DY86" s="4"/>
      <c r="DZ86" s="4"/>
      <c r="EA86" s="4"/>
      <c r="EB86" s="4"/>
      <c r="EC86" s="4"/>
      <c r="ED86" s="4"/>
      <c r="EE86" s="4"/>
      <c r="EF86" s="4"/>
      <c r="EG86" s="4"/>
      <c r="EH86" s="4"/>
      <c r="EI86" s="4"/>
      <c r="EJ86" s="4"/>
      <c r="EK86" s="4"/>
      <c r="EL86" s="4"/>
      <c r="EM86" s="4"/>
      <c r="EN86" s="4"/>
      <c r="EO86" s="4"/>
      <c r="EP86" s="4"/>
      <c r="EQ86" s="4"/>
      <c r="ER86" s="4"/>
      <c r="ES86" s="4"/>
    </row>
    <row r="87" spans="28:149" ht="20.100000000000001" customHeight="1" x14ac:dyDescent="0.25">
      <c r="AB87" s="4"/>
      <c r="AC87" s="4"/>
      <c r="AD87" s="4"/>
      <c r="AE87" s="4"/>
      <c r="AF87" s="4"/>
      <c r="AG87" s="4"/>
      <c r="AH87" s="4"/>
      <c r="AI87" s="4"/>
      <c r="AJ87" s="4"/>
      <c r="AK87" s="4"/>
      <c r="AL87" s="4"/>
      <c r="AM87" s="4"/>
      <c r="AN87" s="4"/>
      <c r="AO87" s="4"/>
      <c r="AP87" s="4"/>
      <c r="AQ87" s="4"/>
      <c r="AR87" s="4"/>
      <c r="AS87" s="4"/>
      <c r="AT87" s="4"/>
      <c r="AU87" s="4"/>
      <c r="AV87" s="4"/>
      <c r="AW87" s="4"/>
      <c r="AX87" s="4"/>
      <c r="AY87" s="4"/>
      <c r="AZ87" s="4"/>
      <c r="BA87" s="4"/>
      <c r="BB87" s="4"/>
      <c r="BC87" s="4"/>
      <c r="BD87" s="4"/>
      <c r="BE87" s="4"/>
      <c r="BF87" s="4"/>
      <c r="BG87" s="4"/>
      <c r="BH87" s="4"/>
      <c r="BI87" s="4"/>
      <c r="BJ87" s="4"/>
      <c r="BK87" s="4"/>
      <c r="BL87" s="4"/>
      <c r="BM87" s="4"/>
      <c r="BN87" s="4"/>
      <c r="BO87" s="4"/>
      <c r="BP87" s="4"/>
      <c r="BQ87" s="4"/>
      <c r="BR87" s="4"/>
      <c r="BS87" s="4"/>
      <c r="BT87" s="4"/>
      <c r="BU87" s="4"/>
      <c r="BV87" s="4"/>
      <c r="BW87" s="4"/>
      <c r="BX87" s="4"/>
      <c r="BY87" s="4"/>
      <c r="BZ87" s="4"/>
      <c r="CA87" s="4"/>
      <c r="CB87" s="4"/>
      <c r="CC87" s="4"/>
      <c r="CD87" s="4"/>
      <c r="CE87" s="4"/>
      <c r="CF87" s="4"/>
      <c r="CG87" s="4"/>
      <c r="CH87" s="4"/>
      <c r="CI87" s="4"/>
      <c r="CJ87" s="4"/>
      <c r="CK87" s="4"/>
      <c r="CL87" s="4"/>
      <c r="CM87" s="4"/>
      <c r="CN87" s="4"/>
      <c r="CO87" s="4"/>
      <c r="CP87" s="4"/>
      <c r="CQ87" s="4"/>
      <c r="CR87" s="4"/>
      <c r="CS87" s="4"/>
      <c r="CT87" s="4"/>
      <c r="CU87" s="4"/>
      <c r="CV87" s="4"/>
      <c r="CW87" s="4"/>
      <c r="CX87" s="4"/>
      <c r="CY87" s="4"/>
      <c r="CZ87" s="4"/>
      <c r="DA87" s="4"/>
      <c r="DB87" s="4"/>
      <c r="DC87" s="4"/>
      <c r="DD87" s="4"/>
      <c r="DE87" s="4"/>
      <c r="DF87" s="4"/>
      <c r="DG87" s="4"/>
      <c r="DH87" s="4"/>
      <c r="DI87" s="4"/>
      <c r="DJ87" s="4"/>
      <c r="DK87" s="4"/>
      <c r="DL87" s="4"/>
      <c r="DM87" s="4"/>
      <c r="DN87" s="4"/>
      <c r="DO87" s="4"/>
      <c r="DP87" s="4"/>
      <c r="DQ87" s="4"/>
      <c r="DR87" s="4"/>
      <c r="DS87" s="4"/>
      <c r="DT87" s="4"/>
      <c r="DU87" s="4"/>
      <c r="DV87" s="4"/>
      <c r="DW87" s="4"/>
      <c r="DX87" s="4"/>
      <c r="DY87" s="4"/>
      <c r="DZ87" s="4"/>
      <c r="EA87" s="4"/>
      <c r="EB87" s="4"/>
      <c r="EC87" s="4"/>
      <c r="ED87" s="4"/>
      <c r="EE87" s="4"/>
      <c r="EF87" s="4"/>
      <c r="EG87" s="4"/>
      <c r="EH87" s="4"/>
      <c r="EI87" s="4"/>
      <c r="EJ87" s="4"/>
      <c r="EK87" s="4"/>
      <c r="EL87" s="4"/>
      <c r="EM87" s="4"/>
      <c r="EN87" s="4"/>
      <c r="EO87" s="4"/>
      <c r="EP87" s="4"/>
      <c r="EQ87" s="4"/>
      <c r="ER87" s="4"/>
      <c r="ES87" s="4"/>
    </row>
    <row r="88" spans="28:149" ht="20.100000000000001" customHeight="1" x14ac:dyDescent="0.25">
      <c r="AB88" s="4"/>
      <c r="AC88" s="4"/>
      <c r="AD88" s="4"/>
      <c r="AE88" s="4"/>
      <c r="AF88" s="4"/>
      <c r="AG88" s="4"/>
      <c r="AH88" s="4"/>
      <c r="AI88" s="4"/>
      <c r="AJ88" s="4"/>
      <c r="AK88" s="4"/>
      <c r="AL88" s="4"/>
      <c r="AM88" s="4"/>
      <c r="AN88" s="4"/>
      <c r="AO88" s="4"/>
      <c r="AP88" s="4"/>
      <c r="AQ88" s="4"/>
      <c r="AR88" s="4"/>
      <c r="AS88" s="4"/>
      <c r="AT88" s="4"/>
      <c r="AU88" s="4"/>
      <c r="AV88" s="4"/>
      <c r="AW88" s="4"/>
      <c r="AX88" s="4"/>
      <c r="AY88" s="4"/>
      <c r="AZ88" s="4"/>
      <c r="BA88" s="4"/>
      <c r="BB88" s="4"/>
      <c r="BC88" s="4"/>
      <c r="BD88" s="4"/>
      <c r="BE88" s="4"/>
      <c r="BF88" s="4"/>
      <c r="BG88" s="4"/>
      <c r="BH88" s="4"/>
      <c r="BI88" s="4"/>
      <c r="BJ88" s="4"/>
      <c r="BK88" s="4"/>
      <c r="BL88" s="4"/>
      <c r="BM88" s="4"/>
      <c r="BN88" s="4"/>
      <c r="BO88" s="4"/>
      <c r="BP88" s="4"/>
      <c r="BQ88" s="4"/>
      <c r="BR88" s="4"/>
      <c r="BS88" s="4"/>
      <c r="BT88" s="4"/>
      <c r="BU88" s="4"/>
      <c r="BV88" s="4"/>
      <c r="BW88" s="4"/>
      <c r="BX88" s="4"/>
      <c r="BY88" s="4"/>
      <c r="BZ88" s="4"/>
      <c r="CA88" s="4"/>
      <c r="CB88" s="4"/>
      <c r="CC88" s="4"/>
      <c r="CD88" s="4"/>
      <c r="CE88" s="4"/>
      <c r="CF88" s="4"/>
      <c r="CG88" s="4"/>
      <c r="CH88" s="4"/>
      <c r="CI88" s="4"/>
      <c r="CJ88" s="4"/>
      <c r="CK88" s="4"/>
      <c r="CL88" s="4"/>
      <c r="CM88" s="4"/>
      <c r="CN88" s="4"/>
      <c r="CO88" s="4"/>
      <c r="CP88" s="4"/>
      <c r="CQ88" s="4"/>
      <c r="CR88" s="4"/>
      <c r="CS88" s="4"/>
      <c r="CT88" s="4"/>
      <c r="CU88" s="4"/>
      <c r="CV88" s="4"/>
      <c r="CW88" s="4"/>
      <c r="CX88" s="4"/>
      <c r="CY88" s="4"/>
      <c r="CZ88" s="4"/>
      <c r="DA88" s="4"/>
      <c r="DB88" s="4"/>
      <c r="DC88" s="4"/>
      <c r="DD88" s="4"/>
      <c r="DE88" s="4"/>
      <c r="DF88" s="4"/>
      <c r="DG88" s="4"/>
      <c r="DH88" s="4"/>
      <c r="DI88" s="4"/>
      <c r="DJ88" s="4"/>
      <c r="DK88" s="4"/>
      <c r="DL88" s="4"/>
      <c r="DM88" s="4"/>
      <c r="DN88" s="4"/>
      <c r="DO88" s="4"/>
      <c r="DP88" s="4"/>
      <c r="DQ88" s="4"/>
      <c r="DR88" s="4"/>
      <c r="DS88" s="4"/>
      <c r="DT88" s="4"/>
      <c r="DU88" s="4"/>
      <c r="DV88" s="4"/>
      <c r="DW88" s="4"/>
      <c r="DX88" s="4"/>
      <c r="DY88" s="4"/>
      <c r="DZ88" s="4"/>
      <c r="EA88" s="4"/>
      <c r="EB88" s="4"/>
      <c r="EC88" s="4"/>
      <c r="ED88" s="4"/>
      <c r="EE88" s="4"/>
      <c r="EF88" s="4"/>
      <c r="EG88" s="4"/>
      <c r="EH88" s="4"/>
      <c r="EI88" s="4"/>
      <c r="EJ88" s="4"/>
      <c r="EK88" s="4"/>
      <c r="EL88" s="4"/>
      <c r="EM88" s="4"/>
      <c r="EN88" s="4"/>
      <c r="EO88" s="4"/>
      <c r="EP88" s="4"/>
      <c r="EQ88" s="4"/>
      <c r="ER88" s="4"/>
      <c r="ES88" s="4"/>
    </row>
    <row r="89" spans="28:149" ht="20.100000000000001" customHeight="1" x14ac:dyDescent="0.25">
      <c r="AB89" s="4"/>
      <c r="AC89" s="4"/>
      <c r="AD89" s="4"/>
      <c r="AE89" s="4"/>
      <c r="AF89" s="4"/>
      <c r="AG89" s="4"/>
      <c r="AH89" s="4"/>
      <c r="AI89" s="4"/>
      <c r="AJ89" s="4"/>
      <c r="AK89" s="4"/>
      <c r="AL89" s="4"/>
      <c r="AM89" s="4"/>
      <c r="AN89" s="4"/>
      <c r="AO89" s="4"/>
      <c r="AP89" s="4"/>
      <c r="AQ89" s="4"/>
      <c r="AR89" s="4"/>
      <c r="AS89" s="4"/>
      <c r="AT89" s="4"/>
      <c r="AU89" s="4"/>
      <c r="AV89" s="4"/>
      <c r="AW89" s="4"/>
      <c r="AX89" s="4"/>
      <c r="AY89" s="4"/>
      <c r="AZ89" s="4"/>
      <c r="BA89" s="4"/>
      <c r="BB89" s="4"/>
      <c r="BC89" s="4"/>
      <c r="BD89" s="4"/>
      <c r="BE89" s="4"/>
      <c r="BF89" s="4"/>
      <c r="BG89" s="4"/>
      <c r="BH89" s="4"/>
      <c r="BI89" s="4"/>
      <c r="BJ89" s="4"/>
      <c r="BK89" s="4"/>
      <c r="BL89" s="4"/>
      <c r="BM89" s="4"/>
      <c r="BN89" s="4"/>
      <c r="BO89" s="4"/>
      <c r="BP89" s="4"/>
      <c r="BQ89" s="4"/>
      <c r="BR89" s="4"/>
      <c r="BS89" s="4"/>
      <c r="BT89" s="4"/>
      <c r="BU89" s="4"/>
      <c r="BV89" s="4"/>
      <c r="BW89" s="4"/>
      <c r="BX89" s="4"/>
      <c r="BY89" s="4"/>
      <c r="BZ89" s="4"/>
      <c r="CA89" s="4"/>
      <c r="CB89" s="4"/>
      <c r="CC89" s="4"/>
      <c r="CD89" s="4"/>
      <c r="CE89" s="4"/>
      <c r="CF89" s="4"/>
      <c r="CG89" s="4"/>
      <c r="CH89" s="4"/>
      <c r="CI89" s="4"/>
      <c r="CJ89" s="4"/>
      <c r="CK89" s="4"/>
      <c r="CL89" s="4"/>
      <c r="CM89" s="4"/>
      <c r="CN89" s="4"/>
      <c r="CO89" s="4"/>
      <c r="CP89" s="4"/>
      <c r="CQ89" s="4"/>
      <c r="CR89" s="4"/>
      <c r="CS89" s="4"/>
      <c r="CT89" s="4"/>
      <c r="CU89" s="4"/>
      <c r="CV89" s="4"/>
      <c r="CW89" s="4"/>
      <c r="CX89" s="4"/>
      <c r="CY89" s="4"/>
      <c r="CZ89" s="4"/>
      <c r="DA89" s="4"/>
      <c r="DB89" s="4"/>
      <c r="DC89" s="4"/>
      <c r="DD89" s="4"/>
      <c r="DE89" s="4"/>
      <c r="DF89" s="4"/>
      <c r="DG89" s="4"/>
      <c r="DH89" s="4"/>
      <c r="DI89" s="4"/>
      <c r="DJ89" s="4"/>
      <c r="DK89" s="4"/>
      <c r="DL89" s="4"/>
      <c r="DM89" s="4"/>
      <c r="DN89" s="4"/>
      <c r="DO89" s="4"/>
      <c r="DP89" s="4"/>
      <c r="DQ89" s="4"/>
      <c r="DR89" s="4"/>
      <c r="DS89" s="4"/>
      <c r="DT89" s="4"/>
      <c r="DU89" s="4"/>
      <c r="DV89" s="4"/>
      <c r="DW89" s="4"/>
      <c r="DX89" s="4"/>
      <c r="DY89" s="4"/>
      <c r="DZ89" s="4"/>
      <c r="EA89" s="4"/>
      <c r="EB89" s="4"/>
      <c r="EC89" s="4"/>
      <c r="ED89" s="4"/>
      <c r="EE89" s="4"/>
      <c r="EF89" s="4"/>
      <c r="EG89" s="4"/>
      <c r="EH89" s="4"/>
      <c r="EI89" s="4"/>
      <c r="EJ89" s="4"/>
      <c r="EK89" s="4"/>
      <c r="EL89" s="4"/>
      <c r="EM89" s="4"/>
      <c r="EN89" s="4"/>
      <c r="EO89" s="4"/>
      <c r="EP89" s="4"/>
      <c r="EQ89" s="4"/>
      <c r="ER89" s="4"/>
      <c r="ES89" s="4"/>
    </row>
    <row r="90" spans="28:149" ht="20.100000000000001" customHeight="1" x14ac:dyDescent="0.25">
      <c r="AB90" s="4"/>
      <c r="AC90" s="4"/>
      <c r="AD90" s="4"/>
      <c r="AE90" s="4"/>
      <c r="AF90" s="4"/>
      <c r="AG90" s="4"/>
      <c r="AH90" s="4"/>
      <c r="AI90" s="4"/>
      <c r="AJ90" s="4"/>
      <c r="AK90" s="4"/>
      <c r="AL90" s="4"/>
      <c r="AM90" s="4"/>
      <c r="AN90" s="4"/>
      <c r="AO90" s="4"/>
      <c r="AP90" s="4"/>
      <c r="AQ90" s="4"/>
      <c r="AR90" s="4"/>
      <c r="AS90" s="4"/>
      <c r="AT90" s="4"/>
      <c r="AU90" s="4"/>
      <c r="AV90" s="4"/>
      <c r="AW90" s="4"/>
      <c r="AX90" s="4"/>
      <c r="AY90" s="4"/>
      <c r="AZ90" s="4"/>
      <c r="BA90" s="4"/>
      <c r="BB90" s="4"/>
      <c r="BC90" s="4"/>
      <c r="BD90" s="4"/>
      <c r="BE90" s="4"/>
      <c r="BF90" s="4"/>
      <c r="BG90" s="4"/>
      <c r="BH90" s="4"/>
      <c r="BI90" s="4"/>
      <c r="BJ90" s="4"/>
      <c r="BK90" s="4"/>
      <c r="BL90" s="4"/>
      <c r="BM90" s="4"/>
      <c r="BN90" s="4"/>
      <c r="BO90" s="4"/>
      <c r="BP90" s="4"/>
      <c r="BQ90" s="4"/>
      <c r="BR90" s="4"/>
      <c r="BS90" s="4"/>
      <c r="BT90" s="4"/>
      <c r="BU90" s="4"/>
      <c r="BV90" s="4"/>
      <c r="BW90" s="4"/>
      <c r="BX90" s="4"/>
      <c r="BY90" s="4"/>
      <c r="BZ90" s="4"/>
      <c r="CA90" s="4"/>
      <c r="CB90" s="4"/>
      <c r="CC90" s="4"/>
      <c r="CD90" s="4"/>
      <c r="CE90" s="4"/>
      <c r="CF90" s="4"/>
      <c r="CG90" s="4"/>
      <c r="CH90" s="4"/>
      <c r="CI90" s="4"/>
      <c r="CJ90" s="4"/>
      <c r="CK90" s="4"/>
      <c r="CL90" s="4"/>
      <c r="CM90" s="4"/>
      <c r="CN90" s="4"/>
      <c r="CO90" s="4"/>
      <c r="CP90" s="4"/>
      <c r="CQ90" s="4"/>
      <c r="CR90" s="4"/>
      <c r="CS90" s="4"/>
      <c r="CT90" s="4"/>
      <c r="CU90" s="4"/>
      <c r="CV90" s="4"/>
      <c r="CW90" s="4"/>
      <c r="CX90" s="4"/>
      <c r="CY90" s="4"/>
      <c r="CZ90" s="4"/>
      <c r="DA90" s="4"/>
      <c r="DB90" s="4"/>
      <c r="DC90" s="4"/>
      <c r="DD90" s="4"/>
      <c r="DE90" s="4"/>
      <c r="DF90" s="4"/>
      <c r="DG90" s="4"/>
      <c r="DH90" s="4"/>
      <c r="DI90" s="4"/>
      <c r="DJ90" s="4"/>
      <c r="DK90" s="4"/>
      <c r="DL90" s="4"/>
      <c r="DM90" s="4"/>
      <c r="DN90" s="4"/>
      <c r="DO90" s="4"/>
      <c r="DP90" s="4"/>
      <c r="DQ90" s="4"/>
      <c r="DR90" s="4"/>
      <c r="DS90" s="4"/>
      <c r="DT90" s="4"/>
      <c r="DU90" s="4"/>
      <c r="DV90" s="4"/>
      <c r="DW90" s="4"/>
      <c r="DX90" s="4"/>
      <c r="DY90" s="4"/>
      <c r="DZ90" s="4"/>
      <c r="EA90" s="4"/>
      <c r="EB90" s="4"/>
      <c r="EC90" s="4"/>
      <c r="ED90" s="4"/>
      <c r="EE90" s="4"/>
      <c r="EF90" s="4"/>
      <c r="EG90" s="4"/>
      <c r="EH90" s="4"/>
      <c r="EI90" s="4"/>
      <c r="EJ90" s="4"/>
      <c r="EK90" s="4"/>
      <c r="EL90" s="4"/>
      <c r="EM90" s="4"/>
      <c r="EN90" s="4"/>
      <c r="EO90" s="4"/>
      <c r="EP90" s="4"/>
      <c r="EQ90" s="4"/>
      <c r="ER90" s="4"/>
      <c r="ES90" s="4"/>
    </row>
    <row r="91" spans="28:149" ht="20.100000000000001" customHeight="1" x14ac:dyDescent="0.25">
      <c r="AB91" s="4"/>
      <c r="AC91" s="4"/>
      <c r="AD91" s="4"/>
      <c r="AE91" s="4"/>
      <c r="AF91" s="4"/>
      <c r="AG91" s="4"/>
      <c r="AH91" s="4"/>
      <c r="AI91" s="4"/>
      <c r="AJ91" s="4"/>
      <c r="AK91" s="4"/>
      <c r="AL91" s="4"/>
      <c r="AM91" s="4"/>
      <c r="AN91" s="4"/>
      <c r="AO91" s="4"/>
      <c r="AP91" s="4"/>
      <c r="AQ91" s="4"/>
      <c r="AR91" s="4"/>
      <c r="AS91" s="4"/>
      <c r="AT91" s="4"/>
      <c r="AU91" s="4"/>
      <c r="AV91" s="4"/>
      <c r="AW91" s="4"/>
      <c r="AX91" s="4"/>
      <c r="AY91" s="4"/>
      <c r="AZ91" s="4"/>
      <c r="BA91" s="4"/>
      <c r="BB91" s="4"/>
      <c r="BC91" s="4"/>
      <c r="BD91" s="4"/>
      <c r="BE91" s="4"/>
      <c r="BF91" s="4"/>
      <c r="BG91" s="4"/>
      <c r="BH91" s="4"/>
      <c r="BI91" s="4"/>
      <c r="BJ91" s="4"/>
      <c r="BK91" s="4"/>
      <c r="BL91" s="4"/>
      <c r="BM91" s="4"/>
      <c r="BN91" s="4"/>
      <c r="BO91" s="4"/>
      <c r="BP91" s="4"/>
      <c r="BQ91" s="4"/>
      <c r="BR91" s="4"/>
      <c r="BS91" s="4"/>
      <c r="BT91" s="4"/>
      <c r="BU91" s="4"/>
      <c r="BV91" s="4"/>
      <c r="BW91" s="4"/>
      <c r="BX91" s="4"/>
      <c r="BY91" s="4"/>
      <c r="BZ91" s="4"/>
      <c r="CA91" s="4"/>
      <c r="CB91" s="4"/>
      <c r="CC91" s="4"/>
      <c r="CD91" s="4"/>
      <c r="CE91" s="4"/>
      <c r="CF91" s="4"/>
      <c r="CG91" s="4"/>
      <c r="CH91" s="4"/>
      <c r="CI91" s="4"/>
      <c r="CJ91" s="4"/>
      <c r="CK91" s="4"/>
      <c r="CL91" s="4"/>
      <c r="CM91" s="4"/>
      <c r="CN91" s="4"/>
      <c r="CO91" s="4"/>
      <c r="CP91" s="4"/>
      <c r="CQ91" s="4"/>
      <c r="CR91" s="4"/>
      <c r="CS91" s="4"/>
      <c r="CT91" s="4"/>
      <c r="CU91" s="4"/>
      <c r="CV91" s="4"/>
      <c r="CW91" s="4"/>
      <c r="CX91" s="4"/>
      <c r="CY91" s="4"/>
      <c r="CZ91" s="4"/>
      <c r="DA91" s="4"/>
      <c r="DB91" s="4"/>
      <c r="DC91" s="4"/>
      <c r="DD91" s="4"/>
      <c r="DE91" s="4"/>
      <c r="DF91" s="4"/>
      <c r="DG91" s="4"/>
      <c r="DH91" s="4"/>
      <c r="DI91" s="4"/>
      <c r="DJ91" s="4"/>
      <c r="DK91" s="4"/>
      <c r="DL91" s="4"/>
      <c r="DM91" s="4"/>
      <c r="DN91" s="4"/>
      <c r="DO91" s="4"/>
      <c r="DP91" s="4"/>
      <c r="DQ91" s="4"/>
      <c r="DR91" s="4"/>
      <c r="DS91" s="4"/>
      <c r="DT91" s="4"/>
      <c r="DU91" s="4"/>
      <c r="DV91" s="4"/>
      <c r="DW91" s="4"/>
      <c r="DX91" s="4"/>
      <c r="DY91" s="4"/>
      <c r="DZ91" s="4"/>
      <c r="EA91" s="4"/>
      <c r="EB91" s="4"/>
      <c r="EC91" s="4"/>
      <c r="ED91" s="4"/>
      <c r="EE91" s="4"/>
      <c r="EF91" s="4"/>
      <c r="EG91" s="4"/>
      <c r="EH91" s="4"/>
      <c r="EI91" s="4"/>
      <c r="EJ91" s="4"/>
      <c r="EK91" s="4"/>
      <c r="EL91" s="4"/>
      <c r="EM91" s="4"/>
      <c r="EN91" s="4"/>
      <c r="EO91" s="4"/>
      <c r="EP91" s="4"/>
      <c r="EQ91" s="4"/>
      <c r="ER91" s="4"/>
      <c r="ES91" s="4"/>
    </row>
    <row r="92" spans="28:149" ht="20.100000000000001" customHeight="1" x14ac:dyDescent="0.25">
      <c r="AB92" s="4"/>
      <c r="AC92" s="4"/>
      <c r="AD92" s="4"/>
      <c r="AE92" s="4"/>
      <c r="AF92" s="4"/>
      <c r="AG92" s="4"/>
      <c r="AH92" s="4"/>
      <c r="AI92" s="4"/>
      <c r="AJ92" s="4"/>
      <c r="AK92" s="4"/>
      <c r="AL92" s="4"/>
      <c r="AM92" s="4"/>
      <c r="AN92" s="4"/>
      <c r="AO92" s="4"/>
      <c r="AP92" s="4"/>
      <c r="AQ92" s="4"/>
      <c r="AR92" s="4"/>
      <c r="AS92" s="4"/>
      <c r="AT92" s="4"/>
      <c r="AU92" s="4"/>
      <c r="AV92" s="4"/>
      <c r="AW92" s="4"/>
      <c r="AX92" s="4"/>
      <c r="AY92" s="4"/>
      <c r="AZ92" s="4"/>
      <c r="BA92" s="4"/>
      <c r="BB92" s="4"/>
      <c r="BC92" s="4"/>
      <c r="BD92" s="4"/>
      <c r="BE92" s="4"/>
      <c r="BF92" s="4"/>
      <c r="BG92" s="4"/>
      <c r="BH92" s="4"/>
      <c r="BI92" s="4"/>
      <c r="BJ92" s="4"/>
      <c r="BK92" s="4"/>
      <c r="BL92" s="4"/>
      <c r="BM92" s="4"/>
      <c r="BN92" s="4"/>
      <c r="BO92" s="4"/>
      <c r="BP92" s="4"/>
      <c r="BQ92" s="4"/>
      <c r="BR92" s="4"/>
      <c r="BS92" s="4"/>
      <c r="BT92" s="4"/>
      <c r="BU92" s="4"/>
      <c r="BV92" s="4"/>
      <c r="BW92" s="4"/>
      <c r="BX92" s="4"/>
      <c r="BY92" s="4"/>
      <c r="BZ92" s="4"/>
      <c r="CA92" s="4"/>
      <c r="CB92" s="4"/>
      <c r="CC92" s="4"/>
      <c r="CD92" s="4"/>
      <c r="CE92" s="4"/>
      <c r="CF92" s="4"/>
      <c r="CG92" s="4"/>
      <c r="CH92" s="4"/>
      <c r="CI92" s="4"/>
      <c r="CJ92" s="4"/>
      <c r="CK92" s="4"/>
      <c r="CL92" s="4"/>
      <c r="CM92" s="4"/>
      <c r="CN92" s="4"/>
      <c r="CO92" s="4"/>
      <c r="CP92" s="4"/>
      <c r="CQ92" s="4"/>
      <c r="CR92" s="4"/>
      <c r="CS92" s="4"/>
      <c r="CT92" s="4"/>
      <c r="CU92" s="4"/>
      <c r="CV92" s="4"/>
      <c r="CW92" s="4"/>
      <c r="CX92" s="4"/>
      <c r="CY92" s="4"/>
      <c r="CZ92" s="4"/>
      <c r="DA92" s="4"/>
      <c r="DB92" s="4"/>
      <c r="DC92" s="4"/>
      <c r="DD92" s="4"/>
      <c r="DE92" s="4"/>
      <c r="DF92" s="4"/>
      <c r="DG92" s="4"/>
      <c r="DH92" s="4"/>
      <c r="DI92" s="4"/>
      <c r="DJ92" s="4"/>
      <c r="DK92" s="4"/>
      <c r="DL92" s="4"/>
      <c r="DM92" s="4"/>
      <c r="DN92" s="4"/>
      <c r="DO92" s="4"/>
      <c r="DP92" s="4"/>
      <c r="DQ92" s="4"/>
      <c r="DR92" s="4"/>
      <c r="DS92" s="4"/>
      <c r="DT92" s="4"/>
      <c r="DU92" s="4"/>
      <c r="DV92" s="4"/>
      <c r="DW92" s="4"/>
      <c r="DX92" s="4"/>
      <c r="DY92" s="4"/>
      <c r="DZ92" s="4"/>
      <c r="EA92" s="4"/>
      <c r="EB92" s="4"/>
      <c r="EC92" s="4"/>
      <c r="ED92" s="4"/>
      <c r="EE92" s="4"/>
      <c r="EF92" s="4"/>
      <c r="EG92" s="4"/>
      <c r="EH92" s="4"/>
      <c r="EI92" s="4"/>
      <c r="EJ92" s="4"/>
      <c r="EK92" s="4"/>
      <c r="EL92" s="4"/>
      <c r="EM92" s="4"/>
      <c r="EN92" s="4"/>
      <c r="EO92" s="4"/>
      <c r="EP92" s="4"/>
      <c r="EQ92" s="4"/>
      <c r="ER92" s="4"/>
      <c r="ES92" s="4"/>
    </row>
    <row r="93" spans="28:149" ht="20.100000000000001" customHeight="1" x14ac:dyDescent="0.25">
      <c r="AB93" s="4"/>
      <c r="AC93" s="4"/>
      <c r="AD93" s="4"/>
      <c r="AE93" s="4"/>
      <c r="AF93" s="4"/>
      <c r="AG93" s="4"/>
      <c r="AH93" s="4"/>
      <c r="AI93" s="4"/>
      <c r="AJ93" s="4"/>
      <c r="AK93" s="4"/>
      <c r="AL93" s="4"/>
      <c r="AM93" s="4"/>
      <c r="AN93" s="4"/>
      <c r="AO93" s="4"/>
      <c r="AP93" s="4"/>
      <c r="AQ93" s="4"/>
      <c r="AR93" s="4"/>
      <c r="AS93" s="4"/>
      <c r="AT93" s="4"/>
      <c r="AU93" s="4"/>
      <c r="AV93" s="4"/>
      <c r="AW93" s="4"/>
      <c r="AX93" s="4"/>
      <c r="AY93" s="4"/>
      <c r="AZ93" s="4"/>
      <c r="BA93" s="4"/>
      <c r="BB93" s="4"/>
      <c r="BC93" s="4"/>
      <c r="BD93" s="4"/>
      <c r="BE93" s="4"/>
      <c r="BF93" s="4"/>
      <c r="BG93" s="4"/>
      <c r="BH93" s="4"/>
      <c r="BI93" s="4"/>
      <c r="BJ93" s="4"/>
      <c r="BK93" s="4"/>
      <c r="BL93" s="4"/>
      <c r="BM93" s="4"/>
      <c r="BN93" s="4"/>
      <c r="BO93" s="4"/>
      <c r="BP93" s="4"/>
      <c r="BQ93" s="4"/>
      <c r="BR93" s="4"/>
      <c r="BS93" s="4"/>
      <c r="BT93" s="4"/>
      <c r="BU93" s="4"/>
      <c r="BV93" s="4"/>
      <c r="BW93" s="4"/>
      <c r="BX93" s="4"/>
      <c r="BY93" s="4"/>
      <c r="BZ93" s="4"/>
      <c r="CA93" s="4"/>
      <c r="CB93" s="4"/>
      <c r="CC93" s="4"/>
      <c r="CD93" s="4"/>
      <c r="CE93" s="4"/>
      <c r="CF93" s="4"/>
      <c r="CG93" s="4"/>
      <c r="CH93" s="4"/>
      <c r="CI93" s="4"/>
      <c r="CJ93" s="4"/>
      <c r="CK93" s="4"/>
      <c r="CL93" s="4"/>
      <c r="CM93" s="4"/>
      <c r="CN93" s="4"/>
      <c r="CO93" s="4"/>
      <c r="CP93" s="4"/>
      <c r="CQ93" s="4"/>
      <c r="CR93" s="4"/>
      <c r="CS93" s="4"/>
      <c r="CT93" s="4"/>
      <c r="CU93" s="4"/>
      <c r="CV93" s="4"/>
      <c r="CW93" s="4"/>
      <c r="CX93" s="4"/>
      <c r="CY93" s="4"/>
      <c r="CZ93" s="4"/>
      <c r="DA93" s="4"/>
      <c r="DB93" s="4"/>
      <c r="DC93" s="4"/>
      <c r="DD93" s="4"/>
      <c r="DE93" s="4"/>
      <c r="DF93" s="4"/>
      <c r="DG93" s="4"/>
      <c r="DH93" s="4"/>
      <c r="DI93" s="4"/>
      <c r="DJ93" s="4"/>
      <c r="DK93" s="4"/>
      <c r="DL93" s="4"/>
      <c r="DM93" s="4"/>
      <c r="DN93" s="4"/>
      <c r="DO93" s="4"/>
      <c r="DP93" s="4"/>
      <c r="DQ93" s="4"/>
      <c r="DR93" s="4"/>
      <c r="DS93" s="4"/>
      <c r="DT93" s="4"/>
      <c r="DU93" s="4"/>
      <c r="DV93" s="4"/>
      <c r="DW93" s="4"/>
      <c r="DX93" s="4"/>
      <c r="DY93" s="4"/>
      <c r="DZ93" s="4"/>
      <c r="EA93" s="4"/>
      <c r="EB93" s="4"/>
      <c r="EC93" s="4"/>
      <c r="ED93" s="4"/>
      <c r="EE93" s="4"/>
      <c r="EF93" s="4"/>
      <c r="EG93" s="4"/>
      <c r="EH93" s="4"/>
      <c r="EI93" s="4"/>
      <c r="EJ93" s="4"/>
      <c r="EK93" s="4"/>
      <c r="EL93" s="4"/>
      <c r="EM93" s="4"/>
      <c r="EN93" s="4"/>
      <c r="EO93" s="4"/>
      <c r="EP93" s="4"/>
      <c r="EQ93" s="4"/>
      <c r="ER93" s="4"/>
      <c r="ES93" s="4"/>
    </row>
    <row r="94" spans="28:149" ht="20.100000000000001" customHeight="1" x14ac:dyDescent="0.25">
      <c r="AB94" s="4"/>
      <c r="AC94" s="4"/>
      <c r="AD94" s="4"/>
      <c r="AE94" s="4"/>
      <c r="AF94" s="4"/>
      <c r="AG94" s="4"/>
      <c r="AH94" s="4"/>
      <c r="AI94" s="4"/>
      <c r="AJ94" s="4"/>
      <c r="AK94" s="4"/>
      <c r="AL94" s="4"/>
      <c r="AM94" s="4"/>
      <c r="AN94" s="4"/>
      <c r="AO94" s="4"/>
      <c r="AP94" s="4"/>
      <c r="AQ94" s="4"/>
      <c r="AR94" s="4"/>
      <c r="AS94" s="4"/>
      <c r="AT94" s="4"/>
      <c r="AU94" s="4"/>
      <c r="AV94" s="4"/>
      <c r="AW94" s="4"/>
      <c r="AX94" s="4"/>
      <c r="AY94" s="4"/>
      <c r="AZ94" s="4"/>
      <c r="BA94" s="4"/>
      <c r="BB94" s="4"/>
      <c r="BC94" s="4"/>
      <c r="BD94" s="4"/>
      <c r="BE94" s="4"/>
      <c r="BF94" s="4"/>
      <c r="BG94" s="4"/>
      <c r="BH94" s="4"/>
      <c r="BI94" s="4"/>
      <c r="BJ94" s="4"/>
      <c r="BK94" s="4"/>
      <c r="BL94" s="4"/>
      <c r="BM94" s="4"/>
      <c r="BN94" s="4"/>
      <c r="BO94" s="4"/>
      <c r="BP94" s="4"/>
      <c r="BQ94" s="4"/>
      <c r="BR94" s="4"/>
      <c r="BS94" s="4"/>
      <c r="BT94" s="4"/>
      <c r="BU94" s="4"/>
      <c r="BV94" s="4"/>
      <c r="BW94" s="4"/>
      <c r="BX94" s="4"/>
      <c r="BY94" s="4"/>
      <c r="BZ94" s="4"/>
      <c r="CA94" s="4"/>
      <c r="CB94" s="4"/>
      <c r="CC94" s="4"/>
      <c r="CD94" s="4"/>
      <c r="CE94" s="4"/>
      <c r="CF94" s="4"/>
      <c r="CG94" s="4"/>
      <c r="CH94" s="4"/>
      <c r="CI94" s="4"/>
      <c r="CJ94" s="4"/>
      <c r="CK94" s="4"/>
      <c r="CL94" s="4"/>
      <c r="CM94" s="4"/>
      <c r="CN94" s="4"/>
      <c r="CO94" s="4"/>
      <c r="CP94" s="4"/>
      <c r="CQ94" s="4"/>
      <c r="CR94" s="4"/>
      <c r="CS94" s="4"/>
      <c r="CT94" s="4"/>
      <c r="CU94" s="4"/>
      <c r="CV94" s="4"/>
      <c r="CW94" s="4"/>
      <c r="CX94" s="4"/>
      <c r="CY94" s="4"/>
      <c r="CZ94" s="4"/>
      <c r="DA94" s="4"/>
      <c r="DB94" s="4"/>
      <c r="DC94" s="4"/>
      <c r="DD94" s="4"/>
      <c r="DE94" s="4"/>
      <c r="DF94" s="4"/>
      <c r="DG94" s="4"/>
      <c r="DH94" s="4"/>
      <c r="DI94" s="4"/>
      <c r="DJ94" s="4"/>
      <c r="DK94" s="4"/>
      <c r="DL94" s="4"/>
      <c r="DM94" s="4"/>
      <c r="DN94" s="4"/>
      <c r="DO94" s="4"/>
      <c r="DP94" s="4"/>
      <c r="DQ94" s="4"/>
      <c r="DR94" s="4"/>
      <c r="DS94" s="4"/>
      <c r="DT94" s="4"/>
      <c r="DU94" s="4"/>
      <c r="DV94" s="4"/>
      <c r="DW94" s="4"/>
      <c r="DX94" s="4"/>
      <c r="DY94" s="4"/>
      <c r="DZ94" s="4"/>
      <c r="EA94" s="4"/>
      <c r="EB94" s="4"/>
      <c r="EC94" s="4"/>
      <c r="ED94" s="4"/>
      <c r="EE94" s="4"/>
      <c r="EF94" s="4"/>
      <c r="EG94" s="4"/>
      <c r="EH94" s="4"/>
      <c r="EI94" s="4"/>
      <c r="EJ94" s="4"/>
      <c r="EK94" s="4"/>
      <c r="EL94" s="4"/>
      <c r="EM94" s="4"/>
      <c r="EN94" s="4"/>
      <c r="EO94" s="4"/>
      <c r="EP94" s="4"/>
      <c r="EQ94" s="4"/>
      <c r="ER94" s="4"/>
      <c r="ES94" s="4"/>
    </row>
    <row r="95" spans="28:149" ht="20.100000000000001" customHeight="1" x14ac:dyDescent="0.25">
      <c r="AB95" s="4"/>
      <c r="AC95" s="4"/>
      <c r="AD95" s="4"/>
      <c r="AE95" s="4"/>
      <c r="AF95" s="4"/>
      <c r="AG95" s="4"/>
      <c r="AH95" s="4"/>
      <c r="AI95" s="4"/>
      <c r="AJ95" s="4"/>
      <c r="AK95" s="4"/>
      <c r="AL95" s="4"/>
      <c r="AM95" s="4"/>
      <c r="AN95" s="4"/>
      <c r="AO95" s="4"/>
      <c r="AP95" s="4"/>
      <c r="AQ95" s="4"/>
      <c r="AR95" s="4"/>
      <c r="AS95" s="4"/>
      <c r="AT95" s="4"/>
      <c r="AU95" s="4"/>
      <c r="AV95" s="4"/>
      <c r="AW95" s="4"/>
      <c r="AX95" s="4"/>
      <c r="AY95" s="4"/>
      <c r="AZ95" s="4"/>
      <c r="BA95" s="4"/>
      <c r="BB95" s="4"/>
      <c r="BC95" s="4"/>
      <c r="BD95" s="4"/>
      <c r="BE95" s="4"/>
      <c r="BF95" s="4"/>
      <c r="BG95" s="4"/>
      <c r="BH95" s="4"/>
      <c r="BI95" s="4"/>
      <c r="BJ95" s="4"/>
      <c r="BK95" s="4"/>
      <c r="BL95" s="4"/>
      <c r="BM95" s="4"/>
      <c r="BN95" s="4"/>
      <c r="BO95" s="4"/>
      <c r="BP95" s="4"/>
      <c r="BQ95" s="4"/>
      <c r="BR95" s="4"/>
      <c r="BS95" s="4"/>
      <c r="BT95" s="4"/>
      <c r="BU95" s="4"/>
      <c r="BV95" s="4"/>
      <c r="BW95" s="4"/>
      <c r="BX95" s="4"/>
      <c r="BY95" s="4"/>
      <c r="BZ95" s="4"/>
      <c r="CA95" s="4"/>
      <c r="CB95" s="4"/>
      <c r="CC95" s="4"/>
      <c r="CD95" s="4"/>
      <c r="CE95" s="4"/>
      <c r="CF95" s="4"/>
      <c r="CG95" s="4"/>
      <c r="CH95" s="4"/>
      <c r="CI95" s="4"/>
      <c r="CJ95" s="4"/>
      <c r="CK95" s="4"/>
      <c r="CL95" s="4"/>
      <c r="CM95" s="4"/>
      <c r="CN95" s="4"/>
      <c r="CO95" s="4"/>
      <c r="CP95" s="4"/>
      <c r="CQ95" s="4"/>
      <c r="CR95" s="4"/>
      <c r="CS95" s="4"/>
      <c r="CT95" s="4"/>
      <c r="CU95" s="4"/>
      <c r="CV95" s="4"/>
      <c r="CW95" s="4"/>
      <c r="CX95" s="4"/>
      <c r="CY95" s="4"/>
      <c r="CZ95" s="4"/>
      <c r="DA95" s="4"/>
      <c r="DB95" s="4"/>
      <c r="DC95" s="4"/>
      <c r="DD95" s="4"/>
      <c r="DE95" s="4"/>
      <c r="DF95" s="4"/>
      <c r="DG95" s="4"/>
      <c r="DH95" s="4"/>
      <c r="DI95" s="4"/>
      <c r="DJ95" s="4"/>
      <c r="DK95" s="4"/>
      <c r="DL95" s="4"/>
      <c r="DM95" s="4"/>
      <c r="DN95" s="4"/>
      <c r="DO95" s="4"/>
      <c r="DP95" s="4"/>
      <c r="DQ95" s="4"/>
      <c r="DR95" s="4"/>
      <c r="DS95" s="4"/>
      <c r="DT95" s="4"/>
      <c r="DU95" s="4"/>
      <c r="DV95" s="4"/>
      <c r="DW95" s="4"/>
      <c r="DX95" s="4"/>
      <c r="DY95" s="4"/>
      <c r="DZ95" s="4"/>
      <c r="EA95" s="4"/>
      <c r="EB95" s="4"/>
      <c r="EC95" s="4"/>
      <c r="ED95" s="4"/>
      <c r="EE95" s="4"/>
      <c r="EF95" s="4"/>
      <c r="EG95" s="4"/>
      <c r="EH95" s="4"/>
      <c r="EI95" s="4"/>
      <c r="EJ95" s="4"/>
      <c r="EK95" s="4"/>
      <c r="EL95" s="4"/>
      <c r="EM95" s="4"/>
      <c r="EN95" s="4"/>
      <c r="EO95" s="4"/>
      <c r="EP95" s="4"/>
      <c r="EQ95" s="4"/>
      <c r="ER95" s="4"/>
      <c r="ES95" s="4"/>
    </row>
    <row r="96" spans="28:149" ht="20.100000000000001" customHeight="1" x14ac:dyDescent="0.25">
      <c r="AB96" s="4"/>
      <c r="AC96" s="4"/>
      <c r="AD96" s="4"/>
      <c r="AE96" s="4"/>
      <c r="AF96" s="4"/>
      <c r="AG96" s="4"/>
      <c r="AH96" s="4"/>
      <c r="AI96" s="4"/>
      <c r="AJ96" s="4"/>
      <c r="AK96" s="4"/>
      <c r="AL96" s="4"/>
      <c r="AM96" s="4"/>
      <c r="AN96" s="4"/>
      <c r="AO96" s="4"/>
      <c r="AP96" s="4"/>
      <c r="AQ96" s="4"/>
      <c r="AR96" s="4"/>
      <c r="AS96" s="4"/>
      <c r="AT96" s="4"/>
      <c r="AU96" s="4"/>
      <c r="AV96" s="4"/>
      <c r="AW96" s="4"/>
      <c r="AX96" s="4"/>
      <c r="AY96" s="4"/>
      <c r="AZ96" s="4"/>
      <c r="BA96" s="4"/>
      <c r="BB96" s="4"/>
      <c r="BC96" s="4"/>
      <c r="BD96" s="4"/>
      <c r="BE96" s="4"/>
      <c r="BF96" s="4"/>
      <c r="BG96" s="4"/>
      <c r="BH96" s="4"/>
      <c r="BI96" s="4"/>
      <c r="BJ96" s="4"/>
      <c r="BK96" s="4"/>
      <c r="BL96" s="4"/>
      <c r="BM96" s="4"/>
      <c r="BN96" s="4"/>
      <c r="BO96" s="4"/>
      <c r="BP96" s="4"/>
      <c r="BQ96" s="4"/>
      <c r="BR96" s="4"/>
      <c r="BS96" s="4"/>
      <c r="BT96" s="4"/>
      <c r="BU96" s="4"/>
      <c r="BV96" s="4"/>
      <c r="BW96" s="4"/>
      <c r="BX96" s="4"/>
      <c r="BY96" s="4"/>
      <c r="BZ96" s="4"/>
      <c r="CA96" s="4"/>
      <c r="CB96" s="4"/>
      <c r="CC96" s="4"/>
      <c r="CD96" s="4"/>
      <c r="CE96" s="4"/>
      <c r="CF96" s="4"/>
      <c r="CG96" s="4"/>
      <c r="CH96" s="4"/>
      <c r="CI96" s="4"/>
      <c r="CJ96" s="4"/>
      <c r="CK96" s="4"/>
      <c r="CL96" s="4"/>
      <c r="CM96" s="4"/>
      <c r="CN96" s="4"/>
      <c r="CO96" s="4"/>
      <c r="CP96" s="4"/>
      <c r="CQ96" s="4"/>
      <c r="CR96" s="4"/>
      <c r="CS96" s="4"/>
      <c r="CT96" s="4"/>
      <c r="CU96" s="4"/>
      <c r="CV96" s="4"/>
      <c r="CW96" s="4"/>
      <c r="CX96" s="4"/>
      <c r="CY96" s="4"/>
      <c r="CZ96" s="4"/>
      <c r="DA96" s="4"/>
      <c r="DB96" s="4"/>
      <c r="DC96" s="4"/>
      <c r="DD96" s="4"/>
      <c r="DE96" s="4"/>
      <c r="DF96" s="4"/>
      <c r="DG96" s="4"/>
      <c r="DH96" s="4"/>
      <c r="DI96" s="4"/>
      <c r="DJ96" s="4"/>
      <c r="DK96" s="4"/>
      <c r="DL96" s="4"/>
      <c r="DM96" s="4"/>
      <c r="DN96" s="4"/>
      <c r="DO96" s="4"/>
      <c r="DP96" s="4"/>
      <c r="DQ96" s="4"/>
      <c r="DR96" s="4"/>
      <c r="DS96" s="4"/>
      <c r="DT96" s="4"/>
      <c r="DU96" s="4"/>
      <c r="DV96" s="4"/>
      <c r="DW96" s="4"/>
      <c r="DX96" s="4"/>
      <c r="DY96" s="4"/>
      <c r="DZ96" s="4"/>
      <c r="EA96" s="4"/>
      <c r="EB96" s="4"/>
      <c r="EC96" s="4"/>
      <c r="ED96" s="4"/>
      <c r="EE96" s="4"/>
      <c r="EF96" s="4"/>
      <c r="EG96" s="4"/>
      <c r="EH96" s="4"/>
      <c r="EI96" s="4"/>
      <c r="EJ96" s="4"/>
      <c r="EK96" s="4"/>
      <c r="EL96" s="4"/>
      <c r="EM96" s="4"/>
      <c r="EN96" s="4"/>
      <c r="EO96" s="4"/>
      <c r="EP96" s="4"/>
      <c r="EQ96" s="4"/>
      <c r="ER96" s="4"/>
      <c r="ES96" s="4"/>
    </row>
    <row r="97" spans="28:149" ht="20.100000000000001" customHeight="1" x14ac:dyDescent="0.25">
      <c r="AB97" s="4"/>
      <c r="AC97" s="4"/>
      <c r="AD97" s="4"/>
      <c r="AE97" s="4"/>
      <c r="AF97" s="4"/>
      <c r="AG97" s="4"/>
      <c r="AH97" s="4"/>
      <c r="AI97" s="4"/>
      <c r="AJ97" s="4"/>
      <c r="AK97" s="4"/>
      <c r="AL97" s="4"/>
      <c r="AM97" s="4"/>
      <c r="AN97" s="4"/>
      <c r="AO97" s="4"/>
      <c r="AP97" s="4"/>
      <c r="AQ97" s="4"/>
      <c r="AR97" s="4"/>
      <c r="AS97" s="4"/>
      <c r="AT97" s="4"/>
      <c r="AU97" s="4"/>
      <c r="AV97" s="4"/>
      <c r="AW97" s="4"/>
      <c r="AX97" s="4"/>
      <c r="AY97" s="4"/>
      <c r="AZ97" s="4"/>
      <c r="BA97" s="4"/>
      <c r="BB97" s="4"/>
      <c r="BC97" s="4"/>
      <c r="BD97" s="4"/>
      <c r="BE97" s="4"/>
      <c r="BF97" s="4"/>
      <c r="BG97" s="4"/>
      <c r="BH97" s="4"/>
      <c r="BI97" s="4"/>
      <c r="BJ97" s="4"/>
      <c r="BK97" s="4"/>
      <c r="BL97" s="4"/>
      <c r="BM97" s="4"/>
      <c r="BN97" s="4"/>
      <c r="BO97" s="4"/>
      <c r="BP97" s="4"/>
      <c r="BQ97" s="4"/>
      <c r="BR97" s="4"/>
      <c r="BS97" s="4"/>
      <c r="BT97" s="4"/>
      <c r="BU97" s="4"/>
      <c r="BV97" s="4"/>
      <c r="BW97" s="4"/>
      <c r="BX97" s="4"/>
      <c r="BY97" s="4"/>
      <c r="BZ97" s="4"/>
      <c r="CA97" s="4"/>
      <c r="CB97" s="4"/>
      <c r="CC97" s="4"/>
      <c r="CD97" s="4"/>
      <c r="CE97" s="4"/>
      <c r="CF97" s="4"/>
      <c r="CG97" s="4"/>
      <c r="CH97" s="4"/>
      <c r="CI97" s="4"/>
      <c r="CJ97" s="4"/>
      <c r="CK97" s="4"/>
      <c r="CL97" s="4"/>
      <c r="CM97" s="4"/>
      <c r="CN97" s="4"/>
      <c r="CO97" s="4"/>
      <c r="CP97" s="4"/>
      <c r="CQ97" s="4"/>
      <c r="CR97" s="4"/>
      <c r="CS97" s="4"/>
      <c r="CT97" s="4"/>
      <c r="CU97" s="4"/>
      <c r="CV97" s="4"/>
      <c r="CW97" s="4"/>
      <c r="CX97" s="4"/>
      <c r="CY97" s="4"/>
      <c r="CZ97" s="4"/>
      <c r="DA97" s="4"/>
      <c r="DB97" s="4"/>
      <c r="DC97" s="4"/>
      <c r="DD97" s="4"/>
      <c r="DE97" s="4"/>
      <c r="DF97" s="4"/>
      <c r="DG97" s="4"/>
      <c r="DH97" s="4"/>
      <c r="DI97" s="4"/>
      <c r="DJ97" s="4"/>
      <c r="DK97" s="4"/>
      <c r="DL97" s="4"/>
      <c r="DM97" s="4"/>
      <c r="DN97" s="4"/>
      <c r="DO97" s="4"/>
      <c r="DP97" s="4"/>
      <c r="DQ97" s="4"/>
      <c r="DR97" s="4"/>
      <c r="DS97" s="4"/>
      <c r="DT97" s="4"/>
      <c r="DU97" s="4"/>
      <c r="DV97" s="4"/>
      <c r="DW97" s="4"/>
      <c r="DX97" s="4"/>
      <c r="DY97" s="4"/>
      <c r="DZ97" s="4"/>
      <c r="EA97" s="4"/>
      <c r="EB97" s="4"/>
      <c r="EC97" s="4"/>
      <c r="ED97" s="4"/>
      <c r="EE97" s="4"/>
      <c r="EF97" s="4"/>
      <c r="EG97" s="4"/>
      <c r="EH97" s="4"/>
      <c r="EI97" s="4"/>
      <c r="EJ97" s="4"/>
      <c r="EK97" s="4"/>
      <c r="EL97" s="4"/>
      <c r="EM97" s="4"/>
      <c r="EN97" s="4"/>
      <c r="EO97" s="4"/>
      <c r="EP97" s="4"/>
      <c r="EQ97" s="4"/>
      <c r="ER97" s="4"/>
      <c r="ES97" s="4"/>
    </row>
    <row r="98" spans="28:149" ht="20.100000000000001" customHeight="1" x14ac:dyDescent="0.25">
      <c r="AB98" s="4"/>
      <c r="AC98" s="4"/>
      <c r="AD98" s="4"/>
      <c r="AE98" s="4"/>
      <c r="AF98" s="4"/>
      <c r="AG98" s="4"/>
      <c r="AH98" s="4"/>
      <c r="AI98" s="4"/>
      <c r="AJ98" s="4"/>
      <c r="AK98" s="4"/>
      <c r="AL98" s="4"/>
      <c r="AM98" s="4"/>
      <c r="AN98" s="4"/>
      <c r="AO98" s="4"/>
      <c r="AP98" s="4"/>
      <c r="AQ98" s="4"/>
      <c r="AR98" s="4"/>
      <c r="AS98" s="4"/>
      <c r="AT98" s="4"/>
      <c r="AU98" s="4"/>
      <c r="AV98" s="4"/>
      <c r="AW98" s="4"/>
      <c r="AX98" s="4"/>
      <c r="AY98" s="4"/>
      <c r="AZ98" s="4"/>
      <c r="BA98" s="4"/>
      <c r="BB98" s="4"/>
      <c r="BC98" s="4"/>
      <c r="BD98" s="4"/>
      <c r="BE98" s="4"/>
      <c r="BF98" s="4"/>
      <c r="BG98" s="4"/>
      <c r="BH98" s="4"/>
      <c r="BI98" s="4"/>
      <c r="BJ98" s="4"/>
      <c r="BK98" s="4"/>
      <c r="BL98" s="4"/>
      <c r="BM98" s="4"/>
      <c r="BN98" s="4"/>
      <c r="BO98" s="4"/>
      <c r="BP98" s="4"/>
      <c r="BQ98" s="4"/>
      <c r="BR98" s="4"/>
      <c r="BS98" s="4"/>
      <c r="BT98" s="4"/>
      <c r="BU98" s="4"/>
      <c r="BV98" s="4"/>
      <c r="BW98" s="4"/>
      <c r="BX98" s="4"/>
      <c r="BY98" s="4"/>
      <c r="BZ98" s="4"/>
      <c r="CA98" s="4"/>
      <c r="CB98" s="4"/>
      <c r="CC98" s="4"/>
      <c r="CD98" s="4"/>
      <c r="CE98" s="4"/>
      <c r="CF98" s="4"/>
      <c r="CG98" s="4"/>
      <c r="CH98" s="4"/>
      <c r="CI98" s="4"/>
      <c r="CJ98" s="4"/>
      <c r="CK98" s="4"/>
      <c r="CL98" s="4"/>
      <c r="CM98" s="4"/>
      <c r="CN98" s="4"/>
      <c r="CO98" s="4"/>
      <c r="CP98" s="4"/>
      <c r="CQ98" s="4"/>
      <c r="CR98" s="4"/>
      <c r="CS98" s="4"/>
      <c r="CT98" s="4"/>
      <c r="CU98" s="4"/>
      <c r="CV98" s="4"/>
      <c r="CW98" s="4"/>
      <c r="CX98" s="4"/>
      <c r="CY98" s="4"/>
      <c r="CZ98" s="4"/>
      <c r="DA98" s="4"/>
      <c r="DB98" s="4"/>
      <c r="DC98" s="4"/>
      <c r="DD98" s="4"/>
      <c r="DE98" s="4"/>
      <c r="DF98" s="4"/>
      <c r="DG98" s="4"/>
      <c r="DH98" s="4"/>
      <c r="DI98" s="4"/>
      <c r="DJ98" s="4"/>
      <c r="DK98" s="4"/>
      <c r="DL98" s="4"/>
      <c r="DM98" s="4"/>
      <c r="DN98" s="4"/>
      <c r="DO98" s="4"/>
      <c r="DP98" s="4"/>
      <c r="DQ98" s="4"/>
      <c r="DR98" s="4"/>
      <c r="DS98" s="4"/>
      <c r="DT98" s="4"/>
      <c r="DU98" s="4"/>
      <c r="DV98" s="4"/>
      <c r="DW98" s="4"/>
      <c r="DX98" s="4"/>
      <c r="DY98" s="4"/>
      <c r="DZ98" s="4"/>
      <c r="EA98" s="4"/>
      <c r="EB98" s="4"/>
      <c r="EC98" s="4"/>
      <c r="ED98" s="4"/>
      <c r="EE98" s="4"/>
      <c r="EF98" s="4"/>
      <c r="EG98" s="4"/>
      <c r="EH98" s="4"/>
      <c r="EI98" s="4"/>
      <c r="EJ98" s="4"/>
      <c r="EK98" s="4"/>
      <c r="EL98" s="4"/>
      <c r="EM98" s="4"/>
      <c r="EN98" s="4"/>
      <c r="EO98" s="4"/>
      <c r="EP98" s="4"/>
      <c r="EQ98" s="4"/>
      <c r="ER98" s="4"/>
      <c r="ES98" s="4"/>
    </row>
    <row r="99" spans="28:149" ht="20.100000000000001" customHeight="1" x14ac:dyDescent="0.25">
      <c r="AB99" s="4"/>
      <c r="AC99" s="4"/>
      <c r="AD99" s="4"/>
      <c r="AE99" s="4"/>
      <c r="AF99" s="4"/>
      <c r="AG99" s="4"/>
      <c r="AH99" s="4"/>
      <c r="AI99" s="4"/>
      <c r="AJ99" s="4"/>
      <c r="AK99" s="4"/>
      <c r="AL99" s="4"/>
      <c r="AM99" s="4"/>
      <c r="AN99" s="4"/>
      <c r="AO99" s="4"/>
      <c r="AP99" s="4"/>
      <c r="AQ99" s="4"/>
      <c r="AR99" s="4"/>
      <c r="AS99" s="4"/>
      <c r="AT99" s="4"/>
      <c r="AU99" s="4"/>
      <c r="AV99" s="4"/>
      <c r="AW99" s="4"/>
      <c r="AX99" s="4"/>
      <c r="AY99" s="4"/>
      <c r="AZ99" s="4"/>
      <c r="BA99" s="4"/>
      <c r="BB99" s="4"/>
      <c r="BC99" s="4"/>
      <c r="BD99" s="4"/>
      <c r="BE99" s="4"/>
      <c r="BF99" s="4"/>
      <c r="BG99" s="4"/>
      <c r="BH99" s="4"/>
      <c r="BI99" s="4"/>
      <c r="BJ99" s="4"/>
      <c r="BK99" s="4"/>
      <c r="BL99" s="4"/>
      <c r="BM99" s="4"/>
      <c r="BN99" s="4"/>
      <c r="BO99" s="4"/>
      <c r="BP99" s="4"/>
      <c r="BQ99" s="4"/>
      <c r="BR99" s="4"/>
      <c r="BS99" s="4"/>
      <c r="BT99" s="4"/>
      <c r="BU99" s="4"/>
      <c r="BV99" s="4"/>
      <c r="BW99" s="4"/>
      <c r="BX99" s="4"/>
      <c r="BY99" s="4"/>
      <c r="BZ99" s="4"/>
      <c r="CA99" s="4"/>
      <c r="CB99" s="4"/>
      <c r="CC99" s="4"/>
      <c r="CD99" s="4"/>
      <c r="CE99" s="4"/>
      <c r="CF99" s="4"/>
      <c r="CG99" s="4"/>
      <c r="CH99" s="4"/>
      <c r="CI99" s="4"/>
      <c r="CJ99" s="4"/>
      <c r="CK99" s="4"/>
      <c r="CL99" s="4"/>
      <c r="CM99" s="4"/>
      <c r="CN99" s="4"/>
      <c r="CO99" s="4"/>
      <c r="CP99" s="4"/>
      <c r="CQ99" s="4"/>
      <c r="CR99" s="4"/>
      <c r="CS99" s="4"/>
      <c r="CT99" s="4"/>
      <c r="CU99" s="4"/>
      <c r="CV99" s="4"/>
      <c r="CW99" s="4"/>
      <c r="CX99" s="4"/>
      <c r="CY99" s="4"/>
      <c r="CZ99" s="4"/>
      <c r="DA99" s="4"/>
      <c r="DB99" s="4"/>
      <c r="DC99" s="4"/>
      <c r="DD99" s="4"/>
      <c r="DE99" s="4"/>
      <c r="DF99" s="4"/>
      <c r="DG99" s="4"/>
      <c r="DH99" s="4"/>
      <c r="DI99" s="4"/>
      <c r="DJ99" s="4"/>
      <c r="DK99" s="4"/>
      <c r="DL99" s="4"/>
      <c r="DM99" s="4"/>
      <c r="DN99" s="4"/>
      <c r="DO99" s="4"/>
      <c r="DP99" s="4"/>
      <c r="DQ99" s="4"/>
      <c r="DR99" s="4"/>
      <c r="DS99" s="4"/>
      <c r="DT99" s="4"/>
      <c r="DU99" s="4"/>
      <c r="DV99" s="4"/>
      <c r="DW99" s="4"/>
      <c r="DX99" s="4"/>
      <c r="DY99" s="4"/>
      <c r="DZ99" s="4"/>
      <c r="EA99" s="4"/>
      <c r="EB99" s="4"/>
      <c r="EC99" s="4"/>
      <c r="ED99" s="4"/>
      <c r="EE99" s="4"/>
      <c r="EF99" s="4"/>
      <c r="EG99" s="4"/>
      <c r="EH99" s="4"/>
      <c r="EI99" s="4"/>
      <c r="EJ99" s="4"/>
      <c r="EK99" s="4"/>
      <c r="EL99" s="4"/>
      <c r="EM99" s="4"/>
      <c r="EN99" s="4"/>
      <c r="EO99" s="4"/>
      <c r="EP99" s="4"/>
      <c r="EQ99" s="4"/>
      <c r="ER99" s="4"/>
      <c r="ES99" s="4"/>
    </row>
    <row r="100" spans="28:149" ht="20.100000000000001" customHeight="1" x14ac:dyDescent="0.25">
      <c r="AB100" s="4"/>
      <c r="AC100" s="4"/>
      <c r="AD100" s="4"/>
      <c r="AE100" s="4"/>
      <c r="AF100" s="4"/>
      <c r="AG100" s="4"/>
      <c r="AH100" s="4"/>
      <c r="AI100" s="4"/>
      <c r="AJ100" s="4"/>
      <c r="AK100" s="4"/>
      <c r="AL100" s="4"/>
      <c r="AM100" s="4"/>
      <c r="AN100" s="4"/>
      <c r="AO100" s="4"/>
      <c r="AP100" s="4"/>
      <c r="AQ100" s="4"/>
      <c r="AR100" s="4"/>
      <c r="AS100" s="4"/>
      <c r="AT100" s="4"/>
      <c r="AU100" s="4"/>
      <c r="AV100" s="4"/>
      <c r="AW100" s="4"/>
      <c r="AX100" s="4"/>
      <c r="AY100" s="4"/>
      <c r="AZ100" s="4"/>
      <c r="BA100" s="4"/>
      <c r="BB100" s="4"/>
      <c r="BC100" s="4"/>
      <c r="BD100" s="4"/>
      <c r="BE100" s="4"/>
      <c r="BF100" s="4"/>
      <c r="BG100" s="4"/>
      <c r="BH100" s="4"/>
      <c r="BI100" s="4"/>
      <c r="BJ100" s="4"/>
      <c r="BK100" s="4"/>
      <c r="BL100" s="4"/>
      <c r="BM100" s="4"/>
      <c r="BN100" s="4"/>
      <c r="BO100" s="4"/>
      <c r="BP100" s="4"/>
      <c r="BQ100" s="4"/>
      <c r="BR100" s="4"/>
      <c r="BS100" s="4"/>
      <c r="BT100" s="4"/>
      <c r="BU100" s="4"/>
      <c r="BV100" s="4"/>
      <c r="BW100" s="4"/>
      <c r="BX100" s="4"/>
      <c r="BY100" s="4"/>
      <c r="BZ100" s="4"/>
      <c r="CA100" s="4"/>
      <c r="CB100" s="4"/>
      <c r="CC100" s="4"/>
      <c r="CD100" s="4"/>
      <c r="CE100" s="4"/>
      <c r="CF100" s="4"/>
      <c r="CG100" s="4"/>
      <c r="CH100" s="4"/>
      <c r="CI100" s="4"/>
      <c r="CJ100" s="4"/>
      <c r="CK100" s="4"/>
      <c r="CL100" s="4"/>
      <c r="CM100" s="4"/>
      <c r="CN100" s="4"/>
      <c r="CO100" s="4"/>
      <c r="CP100" s="4"/>
      <c r="CQ100" s="4"/>
      <c r="CR100" s="4"/>
      <c r="CS100" s="4"/>
      <c r="CT100" s="4"/>
      <c r="CU100" s="4"/>
      <c r="CV100" s="4"/>
      <c r="CW100" s="4"/>
      <c r="CX100" s="4"/>
      <c r="CY100" s="4"/>
      <c r="CZ100" s="4"/>
      <c r="DA100" s="4"/>
      <c r="DB100" s="4"/>
      <c r="DC100" s="4"/>
      <c r="DD100" s="4"/>
      <c r="DE100" s="4"/>
      <c r="DF100" s="4"/>
      <c r="DG100" s="4"/>
      <c r="DH100" s="4"/>
      <c r="DI100" s="4"/>
      <c r="DJ100" s="4"/>
      <c r="DK100" s="4"/>
      <c r="DL100" s="4"/>
      <c r="DM100" s="4"/>
      <c r="DN100" s="4"/>
      <c r="DO100" s="4"/>
      <c r="DP100" s="4"/>
      <c r="DQ100" s="4"/>
      <c r="DR100" s="4"/>
      <c r="DS100" s="4"/>
      <c r="DT100" s="4"/>
      <c r="DU100" s="4"/>
      <c r="DV100" s="4"/>
      <c r="DW100" s="4"/>
      <c r="DX100" s="4"/>
      <c r="DY100" s="4"/>
      <c r="DZ100" s="4"/>
      <c r="EA100" s="4"/>
      <c r="EB100" s="4"/>
      <c r="EC100" s="4"/>
      <c r="ED100" s="4"/>
      <c r="EE100" s="4"/>
      <c r="EF100" s="4"/>
      <c r="EG100" s="4"/>
      <c r="EH100" s="4"/>
      <c r="EI100" s="4"/>
      <c r="EJ100" s="4"/>
      <c r="EK100" s="4"/>
      <c r="EL100" s="4"/>
      <c r="EM100" s="4"/>
      <c r="EN100" s="4"/>
      <c r="EO100" s="4"/>
      <c r="EP100" s="4"/>
      <c r="EQ100" s="4"/>
      <c r="ER100" s="4"/>
      <c r="ES100" s="4"/>
    </row>
    <row r="101" spans="28:149" ht="20.100000000000001" customHeight="1" x14ac:dyDescent="0.25">
      <c r="AB101" s="4"/>
      <c r="AC101" s="4"/>
      <c r="AD101" s="4"/>
      <c r="AE101" s="4"/>
      <c r="AF101" s="4"/>
      <c r="AG101" s="4"/>
      <c r="AH101" s="4"/>
      <c r="AI101" s="4"/>
      <c r="AJ101" s="4"/>
      <c r="AK101" s="4"/>
      <c r="AL101" s="4"/>
      <c r="AM101" s="4"/>
      <c r="AN101" s="4"/>
      <c r="AO101" s="4"/>
      <c r="AP101" s="4"/>
      <c r="AQ101" s="4"/>
      <c r="AR101" s="4"/>
      <c r="AS101" s="4"/>
      <c r="AT101" s="4"/>
      <c r="AU101" s="4"/>
      <c r="AV101" s="4"/>
      <c r="AW101" s="4"/>
      <c r="AX101" s="4"/>
      <c r="AY101" s="4"/>
      <c r="AZ101" s="4"/>
      <c r="BA101" s="4"/>
      <c r="BB101" s="4"/>
      <c r="BC101" s="4"/>
      <c r="BD101" s="4"/>
      <c r="BE101" s="4"/>
      <c r="BF101" s="4"/>
      <c r="BG101" s="4"/>
      <c r="BH101" s="4"/>
      <c r="BI101" s="4"/>
      <c r="BJ101" s="4"/>
      <c r="BK101" s="4"/>
      <c r="BL101" s="4"/>
      <c r="BM101" s="4"/>
      <c r="BN101" s="4"/>
      <c r="BO101" s="4"/>
      <c r="BP101" s="4"/>
      <c r="BQ101" s="4"/>
      <c r="BR101" s="4"/>
      <c r="BS101" s="4"/>
      <c r="BT101" s="4"/>
      <c r="BU101" s="4"/>
      <c r="BV101" s="4"/>
      <c r="BW101" s="4"/>
      <c r="BX101" s="4"/>
      <c r="BY101" s="4"/>
      <c r="BZ101" s="4"/>
      <c r="CA101" s="4"/>
      <c r="CB101" s="4"/>
      <c r="CC101" s="4"/>
      <c r="CD101" s="4"/>
      <c r="CE101" s="4"/>
      <c r="CF101" s="4"/>
      <c r="CG101" s="4"/>
      <c r="CH101" s="4"/>
      <c r="CI101" s="4"/>
      <c r="CJ101" s="4"/>
      <c r="CK101" s="4"/>
      <c r="CL101" s="4"/>
      <c r="CM101" s="4"/>
      <c r="CN101" s="4"/>
      <c r="CO101" s="4"/>
      <c r="CP101" s="4"/>
      <c r="CQ101" s="4"/>
      <c r="CR101" s="4"/>
      <c r="CS101" s="4"/>
      <c r="CT101" s="4"/>
      <c r="CU101" s="4"/>
      <c r="CV101" s="4"/>
      <c r="CW101" s="4"/>
      <c r="CX101" s="4"/>
      <c r="CY101" s="4"/>
      <c r="CZ101" s="4"/>
      <c r="DA101" s="4"/>
      <c r="DB101" s="4"/>
      <c r="DC101" s="4"/>
      <c r="DD101" s="4"/>
      <c r="DE101" s="4"/>
      <c r="DF101" s="4"/>
      <c r="DG101" s="4"/>
      <c r="DH101" s="4"/>
      <c r="DI101" s="4"/>
      <c r="DJ101" s="4"/>
      <c r="DK101" s="4"/>
      <c r="DL101" s="4"/>
      <c r="DM101" s="4"/>
      <c r="DN101" s="4"/>
      <c r="DO101" s="4"/>
      <c r="DP101" s="4"/>
      <c r="DQ101" s="4"/>
      <c r="DR101" s="4"/>
      <c r="DS101" s="4"/>
      <c r="DT101" s="4"/>
      <c r="DU101" s="4"/>
      <c r="DV101" s="4"/>
      <c r="DW101" s="4"/>
      <c r="DX101" s="4"/>
      <c r="DY101" s="4"/>
      <c r="DZ101" s="4"/>
      <c r="EA101" s="4"/>
      <c r="EB101" s="4"/>
      <c r="EC101" s="4"/>
      <c r="ED101" s="4"/>
      <c r="EE101" s="4"/>
      <c r="EF101" s="4"/>
      <c r="EG101" s="4"/>
      <c r="EH101" s="4"/>
      <c r="EI101" s="4"/>
      <c r="EJ101" s="4"/>
      <c r="EK101" s="4"/>
      <c r="EL101" s="4"/>
      <c r="EM101" s="4"/>
      <c r="EN101" s="4"/>
      <c r="EO101" s="4"/>
      <c r="EP101" s="4"/>
      <c r="EQ101" s="4"/>
      <c r="ER101" s="4"/>
      <c r="ES101" s="4"/>
    </row>
    <row r="102" spans="28:149" ht="20.100000000000001" customHeight="1" x14ac:dyDescent="0.25">
      <c r="AB102" s="4"/>
      <c r="AC102" s="4"/>
      <c r="AD102" s="4"/>
      <c r="AE102" s="4"/>
      <c r="AF102" s="4"/>
      <c r="AG102" s="4"/>
      <c r="AH102" s="4"/>
      <c r="AI102" s="4"/>
      <c r="AJ102" s="4"/>
      <c r="AK102" s="4"/>
      <c r="AL102" s="4"/>
      <c r="AM102" s="4"/>
      <c r="AN102" s="4"/>
      <c r="AO102" s="4"/>
      <c r="AP102" s="4"/>
      <c r="AQ102" s="4"/>
      <c r="AR102" s="4"/>
      <c r="AS102" s="4"/>
      <c r="AT102" s="4"/>
      <c r="AU102" s="4"/>
      <c r="AV102" s="4"/>
      <c r="AW102" s="4"/>
      <c r="AX102" s="4"/>
      <c r="AY102" s="4"/>
      <c r="AZ102" s="4"/>
      <c r="BA102" s="4"/>
      <c r="BB102" s="4"/>
      <c r="BC102" s="4"/>
      <c r="BD102" s="4"/>
      <c r="BE102" s="4"/>
      <c r="BF102" s="4"/>
      <c r="BG102" s="4"/>
      <c r="BH102" s="4"/>
      <c r="BI102" s="4"/>
      <c r="BJ102" s="4"/>
      <c r="BK102" s="4"/>
      <c r="BL102" s="4"/>
      <c r="BM102" s="4"/>
      <c r="BN102" s="4"/>
      <c r="BO102" s="4"/>
      <c r="BP102" s="4"/>
      <c r="BQ102" s="4"/>
      <c r="BR102" s="4"/>
      <c r="BS102" s="4"/>
      <c r="BT102" s="4"/>
      <c r="BU102" s="4"/>
      <c r="BV102" s="4"/>
      <c r="BW102" s="4"/>
      <c r="BX102" s="4"/>
      <c r="BY102" s="4"/>
      <c r="BZ102" s="4"/>
      <c r="CA102" s="4"/>
      <c r="CB102" s="4"/>
      <c r="CC102" s="4"/>
      <c r="CD102" s="4"/>
      <c r="CE102" s="4"/>
      <c r="CF102" s="4"/>
      <c r="CG102" s="4"/>
      <c r="CH102" s="4"/>
      <c r="CI102" s="4"/>
      <c r="CJ102" s="4"/>
      <c r="CK102" s="4"/>
      <c r="CL102" s="4"/>
      <c r="CM102" s="4"/>
      <c r="CN102" s="4"/>
      <c r="CO102" s="4"/>
      <c r="CP102" s="4"/>
      <c r="CQ102" s="4"/>
      <c r="CR102" s="4"/>
      <c r="CS102" s="4"/>
      <c r="CT102" s="4"/>
      <c r="CU102" s="4"/>
      <c r="CV102" s="4"/>
      <c r="CW102" s="4"/>
      <c r="CX102" s="4"/>
      <c r="CY102" s="4"/>
      <c r="CZ102" s="4"/>
      <c r="DA102" s="4"/>
      <c r="DB102" s="4"/>
      <c r="DC102" s="4"/>
      <c r="DD102" s="4"/>
      <c r="DE102" s="4"/>
      <c r="DF102" s="4"/>
      <c r="DG102" s="4"/>
      <c r="DH102" s="4"/>
      <c r="DI102" s="4"/>
      <c r="DJ102" s="4"/>
      <c r="DK102" s="4"/>
      <c r="DL102" s="4"/>
      <c r="DM102" s="4"/>
      <c r="DN102" s="4"/>
      <c r="DO102" s="4"/>
      <c r="DP102" s="4"/>
      <c r="DQ102" s="4"/>
      <c r="DR102" s="4"/>
      <c r="DS102" s="4"/>
      <c r="DT102" s="4"/>
      <c r="DU102" s="4"/>
      <c r="DV102" s="4"/>
      <c r="DW102" s="4"/>
      <c r="DX102" s="4"/>
      <c r="DY102" s="4"/>
      <c r="DZ102" s="4"/>
      <c r="EA102" s="4"/>
      <c r="EB102" s="4"/>
      <c r="EC102" s="4"/>
      <c r="ED102" s="4"/>
      <c r="EE102" s="4"/>
      <c r="EF102" s="4"/>
      <c r="EG102" s="4"/>
      <c r="EH102" s="4"/>
      <c r="EI102" s="4"/>
      <c r="EJ102" s="4"/>
      <c r="EK102" s="4"/>
      <c r="EL102" s="4"/>
      <c r="EM102" s="4"/>
      <c r="EN102" s="4"/>
      <c r="EO102" s="4"/>
      <c r="EP102" s="4"/>
      <c r="EQ102" s="4"/>
      <c r="ER102" s="4"/>
      <c r="ES102" s="4"/>
    </row>
    <row r="103" spans="28:149" ht="20.100000000000001" customHeight="1" x14ac:dyDescent="0.25">
      <c r="AB103" s="4"/>
      <c r="AC103" s="4"/>
      <c r="AD103" s="4"/>
      <c r="AE103" s="4"/>
      <c r="AF103" s="4"/>
      <c r="AG103" s="4"/>
      <c r="AH103" s="4"/>
      <c r="AI103" s="4"/>
      <c r="AJ103" s="4"/>
      <c r="AK103" s="4"/>
      <c r="AL103" s="4"/>
      <c r="AM103" s="4"/>
      <c r="AN103" s="4"/>
      <c r="AO103" s="4"/>
      <c r="AP103" s="4"/>
      <c r="AQ103" s="4"/>
      <c r="AR103" s="4"/>
      <c r="AS103" s="4"/>
      <c r="AT103" s="4"/>
      <c r="AU103" s="4"/>
      <c r="AV103" s="4"/>
      <c r="AW103" s="4"/>
      <c r="AX103" s="4"/>
      <c r="AY103" s="4"/>
      <c r="AZ103" s="4"/>
      <c r="BA103" s="4"/>
      <c r="BB103" s="4"/>
      <c r="BC103" s="4"/>
      <c r="BD103" s="4"/>
      <c r="BE103" s="4"/>
      <c r="BF103" s="4"/>
      <c r="BG103" s="4"/>
      <c r="BH103" s="4"/>
      <c r="BI103" s="4"/>
      <c r="BJ103" s="4"/>
      <c r="BK103" s="4"/>
      <c r="BL103" s="4"/>
      <c r="BM103" s="4"/>
      <c r="BN103" s="4"/>
      <c r="BO103" s="4"/>
      <c r="BP103" s="4"/>
      <c r="BQ103" s="4"/>
      <c r="BR103" s="4"/>
      <c r="BS103" s="4"/>
      <c r="BT103" s="4"/>
      <c r="BU103" s="4"/>
      <c r="BV103" s="4"/>
      <c r="BW103" s="4"/>
      <c r="BX103" s="4"/>
      <c r="BY103" s="4"/>
      <c r="BZ103" s="4"/>
      <c r="CA103" s="4"/>
      <c r="CB103" s="4"/>
      <c r="CC103" s="4"/>
      <c r="CD103" s="4"/>
      <c r="CE103" s="4"/>
      <c r="CF103" s="4"/>
      <c r="CG103" s="4"/>
      <c r="CH103" s="4"/>
      <c r="CI103" s="4"/>
      <c r="CJ103" s="4"/>
      <c r="CK103" s="4"/>
      <c r="CL103" s="4"/>
      <c r="CM103" s="4"/>
      <c r="CN103" s="4"/>
      <c r="CO103" s="4"/>
      <c r="CP103" s="4"/>
      <c r="CQ103" s="4"/>
      <c r="CR103" s="4"/>
      <c r="CS103" s="4"/>
      <c r="CT103" s="4"/>
      <c r="CU103" s="4"/>
      <c r="CV103" s="4"/>
      <c r="CW103" s="4"/>
      <c r="CX103" s="4"/>
      <c r="CY103" s="4"/>
      <c r="CZ103" s="4"/>
      <c r="DA103" s="4"/>
      <c r="DB103" s="4"/>
      <c r="DC103" s="4"/>
      <c r="DD103" s="4"/>
      <c r="DE103" s="4"/>
      <c r="DF103" s="4"/>
      <c r="DG103" s="4"/>
      <c r="DH103" s="4"/>
      <c r="DI103" s="4"/>
      <c r="DJ103" s="4"/>
      <c r="DK103" s="4"/>
      <c r="DL103" s="4"/>
      <c r="DM103" s="4"/>
      <c r="DN103" s="4"/>
      <c r="DO103" s="4"/>
      <c r="DP103" s="4"/>
      <c r="DQ103" s="4"/>
      <c r="DR103" s="4"/>
      <c r="DS103" s="4"/>
      <c r="DT103" s="4"/>
      <c r="DU103" s="4"/>
      <c r="DV103" s="4"/>
      <c r="DW103" s="4"/>
      <c r="DX103" s="4"/>
      <c r="DY103" s="4"/>
      <c r="DZ103" s="4"/>
      <c r="EA103" s="4"/>
      <c r="EB103" s="4"/>
      <c r="EC103" s="4"/>
      <c r="ED103" s="4"/>
      <c r="EE103" s="4"/>
      <c r="EF103" s="4"/>
      <c r="EG103" s="4"/>
      <c r="EH103" s="4"/>
      <c r="EI103" s="4"/>
      <c r="EJ103" s="4"/>
      <c r="EK103" s="4"/>
      <c r="EL103" s="4"/>
      <c r="EM103" s="4"/>
      <c r="EN103" s="4"/>
      <c r="EO103" s="4"/>
      <c r="EP103" s="4"/>
      <c r="EQ103" s="4"/>
      <c r="ER103" s="4"/>
      <c r="ES103" s="4"/>
    </row>
    <row r="104" spans="28:149" ht="20.100000000000001" customHeight="1" x14ac:dyDescent="0.25">
      <c r="AB104" s="4"/>
      <c r="AC104" s="4"/>
      <c r="AD104" s="4"/>
      <c r="AE104" s="4"/>
      <c r="AF104" s="4"/>
      <c r="AG104" s="4"/>
      <c r="AH104" s="4"/>
      <c r="AI104" s="4"/>
      <c r="AJ104" s="4"/>
      <c r="AK104" s="4"/>
      <c r="AL104" s="4"/>
      <c r="AM104" s="4"/>
      <c r="AN104" s="4"/>
      <c r="AO104" s="4"/>
      <c r="AP104" s="4"/>
      <c r="AQ104" s="4"/>
      <c r="AR104" s="4"/>
      <c r="AS104" s="4"/>
      <c r="AT104" s="4"/>
      <c r="AU104" s="4"/>
      <c r="AV104" s="4"/>
      <c r="AW104" s="4"/>
      <c r="AX104" s="4"/>
      <c r="AY104" s="4"/>
      <c r="AZ104" s="4"/>
      <c r="BA104" s="4"/>
      <c r="BB104" s="4"/>
      <c r="BC104" s="4"/>
      <c r="BD104" s="4"/>
      <c r="BE104" s="4"/>
      <c r="BF104" s="4"/>
      <c r="BG104" s="4"/>
      <c r="BH104" s="4"/>
      <c r="BI104" s="4"/>
      <c r="BJ104" s="4"/>
      <c r="BK104" s="4"/>
      <c r="BL104" s="4"/>
      <c r="BM104" s="4"/>
      <c r="BN104" s="4"/>
      <c r="BO104" s="4"/>
      <c r="BP104" s="4"/>
      <c r="BQ104" s="4"/>
      <c r="BR104" s="4"/>
      <c r="BS104" s="4"/>
      <c r="BT104" s="4"/>
      <c r="BU104" s="4"/>
      <c r="BV104" s="4"/>
      <c r="BW104" s="4"/>
      <c r="BX104" s="4"/>
      <c r="BY104" s="4"/>
      <c r="BZ104" s="4"/>
      <c r="CA104" s="4"/>
      <c r="CB104" s="4"/>
      <c r="CC104" s="4"/>
      <c r="CD104" s="4"/>
      <c r="CE104" s="4"/>
      <c r="CF104" s="4"/>
      <c r="CG104" s="4"/>
      <c r="CH104" s="4"/>
      <c r="CI104" s="4"/>
      <c r="CJ104" s="4"/>
      <c r="CK104" s="4"/>
      <c r="CL104" s="4"/>
      <c r="CM104" s="4"/>
      <c r="CN104" s="4"/>
      <c r="CO104" s="4"/>
      <c r="CP104" s="4"/>
      <c r="CQ104" s="4"/>
      <c r="CR104" s="4"/>
      <c r="CS104" s="4"/>
      <c r="CT104" s="4"/>
      <c r="CU104" s="4"/>
      <c r="CV104" s="4"/>
      <c r="CW104" s="4"/>
      <c r="CX104" s="4"/>
      <c r="CY104" s="4"/>
      <c r="CZ104" s="4"/>
      <c r="DA104" s="4"/>
      <c r="DB104" s="4"/>
      <c r="DC104" s="4"/>
      <c r="DD104" s="4"/>
      <c r="DE104" s="4"/>
      <c r="DF104" s="4"/>
      <c r="DG104" s="4"/>
      <c r="DH104" s="4"/>
      <c r="DI104" s="4"/>
      <c r="DJ104" s="4"/>
      <c r="DK104" s="4"/>
      <c r="DL104" s="4"/>
      <c r="DM104" s="4"/>
      <c r="DN104" s="4"/>
      <c r="DO104" s="4"/>
      <c r="DP104" s="4"/>
      <c r="DQ104" s="4"/>
      <c r="DR104" s="4"/>
      <c r="DS104" s="4"/>
      <c r="DT104" s="4"/>
      <c r="DU104" s="4"/>
      <c r="DV104" s="4"/>
      <c r="DW104" s="4"/>
      <c r="DX104" s="4"/>
      <c r="DY104" s="4"/>
      <c r="DZ104" s="4"/>
      <c r="EA104" s="4"/>
      <c r="EB104" s="4"/>
      <c r="EC104" s="4"/>
      <c r="ED104" s="4"/>
      <c r="EE104" s="4"/>
      <c r="EF104" s="4"/>
      <c r="EG104" s="4"/>
      <c r="EH104" s="4"/>
      <c r="EI104" s="4"/>
      <c r="EJ104" s="4"/>
      <c r="EK104" s="4"/>
      <c r="EL104" s="4"/>
      <c r="EM104" s="4"/>
      <c r="EN104" s="4"/>
      <c r="EO104" s="4"/>
      <c r="EP104" s="4"/>
      <c r="EQ104" s="4"/>
      <c r="ER104" s="4"/>
      <c r="ES104" s="4"/>
    </row>
    <row r="105" spans="28:149" ht="20.100000000000001" customHeight="1" x14ac:dyDescent="0.25">
      <c r="AB105" s="4"/>
      <c r="AC105" s="4"/>
      <c r="AD105" s="4"/>
      <c r="AE105" s="4"/>
      <c r="AF105" s="4"/>
      <c r="AG105" s="4"/>
      <c r="AH105" s="4"/>
      <c r="AI105" s="4"/>
      <c r="AJ105" s="4"/>
      <c r="AK105" s="4"/>
      <c r="AL105" s="4"/>
      <c r="AM105" s="4"/>
      <c r="AN105" s="4"/>
      <c r="AO105" s="4"/>
      <c r="AP105" s="4"/>
      <c r="AQ105" s="4"/>
      <c r="AR105" s="4"/>
      <c r="AS105" s="4"/>
      <c r="AT105" s="4"/>
      <c r="AU105" s="4"/>
      <c r="AV105" s="4"/>
      <c r="AW105" s="4"/>
      <c r="AX105" s="4"/>
      <c r="AY105" s="4"/>
      <c r="AZ105" s="4"/>
      <c r="BA105" s="4"/>
      <c r="BB105" s="4"/>
      <c r="BC105" s="4"/>
      <c r="BD105" s="4"/>
      <c r="BE105" s="4"/>
      <c r="BF105" s="4"/>
      <c r="BG105" s="4"/>
      <c r="BH105" s="4"/>
      <c r="BI105" s="4"/>
      <c r="BJ105" s="4"/>
      <c r="BK105" s="4"/>
      <c r="BL105" s="4"/>
      <c r="BM105" s="4"/>
      <c r="BN105" s="4"/>
      <c r="BO105" s="4"/>
      <c r="BP105" s="4"/>
      <c r="BQ105" s="4"/>
      <c r="BR105" s="4"/>
      <c r="BS105" s="4"/>
      <c r="BT105" s="4"/>
      <c r="BU105" s="4"/>
      <c r="BV105" s="4"/>
      <c r="BW105" s="4"/>
      <c r="BX105" s="4"/>
      <c r="BY105" s="4"/>
      <c r="BZ105" s="4"/>
      <c r="CA105" s="4"/>
      <c r="CB105" s="4"/>
      <c r="CC105" s="4"/>
      <c r="CD105" s="4"/>
      <c r="CE105" s="4"/>
      <c r="CF105" s="4"/>
      <c r="CG105" s="4"/>
      <c r="CH105" s="4"/>
      <c r="CI105" s="4"/>
      <c r="CJ105" s="4"/>
      <c r="CK105" s="4"/>
      <c r="CL105" s="4"/>
      <c r="CM105" s="4"/>
      <c r="CN105" s="4"/>
      <c r="CO105" s="4"/>
      <c r="CP105" s="4"/>
      <c r="CQ105" s="4"/>
      <c r="CR105" s="4"/>
      <c r="CS105" s="4"/>
      <c r="CT105" s="4"/>
      <c r="CU105" s="4"/>
      <c r="CV105" s="4"/>
      <c r="CW105" s="4"/>
      <c r="CX105" s="4"/>
      <c r="CY105" s="4"/>
      <c r="CZ105" s="4"/>
      <c r="DA105" s="4"/>
      <c r="DB105" s="4"/>
      <c r="DC105" s="4"/>
      <c r="DD105" s="4"/>
      <c r="DE105" s="4"/>
      <c r="DF105" s="4"/>
      <c r="DG105" s="4"/>
      <c r="DH105" s="4"/>
      <c r="DI105" s="4"/>
      <c r="DJ105" s="4"/>
      <c r="DK105" s="4"/>
      <c r="DL105" s="4"/>
      <c r="DM105" s="4"/>
      <c r="DN105" s="4"/>
      <c r="DO105" s="4"/>
      <c r="DP105" s="4"/>
      <c r="DQ105" s="4"/>
      <c r="DR105" s="4"/>
      <c r="DS105" s="4"/>
      <c r="DT105" s="4"/>
      <c r="DU105" s="4"/>
      <c r="DV105" s="4"/>
      <c r="DW105" s="4"/>
      <c r="DX105" s="4"/>
      <c r="DY105" s="4"/>
      <c r="DZ105" s="4"/>
      <c r="EA105" s="4"/>
      <c r="EB105" s="4"/>
      <c r="EC105" s="4"/>
      <c r="ED105" s="4"/>
      <c r="EE105" s="4"/>
      <c r="EF105" s="4"/>
      <c r="EG105" s="4"/>
      <c r="EH105" s="4"/>
      <c r="EI105" s="4"/>
      <c r="EJ105" s="4"/>
      <c r="EK105" s="4"/>
      <c r="EL105" s="4"/>
      <c r="EM105" s="4"/>
      <c r="EN105" s="4"/>
      <c r="EO105" s="4"/>
      <c r="EP105" s="4"/>
      <c r="EQ105" s="4"/>
      <c r="ER105" s="4"/>
      <c r="ES105" s="4"/>
    </row>
    <row r="106" spans="28:149" ht="20.100000000000001" customHeight="1" x14ac:dyDescent="0.25">
      <c r="AB106" s="4"/>
      <c r="AC106" s="4"/>
      <c r="AD106" s="4"/>
      <c r="AE106" s="4"/>
      <c r="AF106" s="4"/>
      <c r="AG106" s="4"/>
      <c r="AH106" s="4"/>
      <c r="AI106" s="4"/>
      <c r="AJ106" s="4"/>
      <c r="AK106" s="4"/>
      <c r="AL106" s="4"/>
      <c r="AM106" s="4"/>
      <c r="AN106" s="4"/>
      <c r="AO106" s="4"/>
      <c r="AP106" s="4"/>
      <c r="AQ106" s="4"/>
      <c r="AR106" s="4"/>
      <c r="AS106" s="4"/>
      <c r="AT106" s="4"/>
      <c r="AU106" s="4"/>
      <c r="AV106" s="4"/>
      <c r="AW106" s="4"/>
      <c r="AX106" s="4"/>
      <c r="AY106" s="4"/>
      <c r="AZ106" s="4"/>
      <c r="BA106" s="4"/>
      <c r="BB106" s="4"/>
      <c r="BC106" s="4"/>
      <c r="BD106" s="4"/>
      <c r="BE106" s="4"/>
      <c r="BF106" s="4"/>
      <c r="BG106" s="4"/>
      <c r="BH106" s="4"/>
      <c r="BI106" s="4"/>
      <c r="BJ106" s="4"/>
      <c r="BK106" s="4"/>
      <c r="BL106" s="4"/>
      <c r="BM106" s="4"/>
      <c r="BN106" s="4"/>
      <c r="BO106" s="4"/>
      <c r="BP106" s="4"/>
      <c r="BQ106" s="4"/>
      <c r="BR106" s="4"/>
      <c r="BS106" s="4"/>
      <c r="BT106" s="4"/>
      <c r="BU106" s="4"/>
      <c r="BV106" s="4"/>
      <c r="BW106" s="4"/>
      <c r="BX106" s="4"/>
      <c r="BY106" s="4"/>
      <c r="BZ106" s="4"/>
      <c r="CA106" s="4"/>
      <c r="CB106" s="4"/>
      <c r="CC106" s="4"/>
      <c r="CD106" s="4"/>
      <c r="CE106" s="4"/>
      <c r="CF106" s="4"/>
      <c r="CG106" s="4"/>
      <c r="CH106" s="4"/>
      <c r="CI106" s="4"/>
      <c r="CJ106" s="4"/>
      <c r="CK106" s="4"/>
      <c r="CL106" s="4"/>
      <c r="CM106" s="4"/>
      <c r="CN106" s="4"/>
      <c r="CO106" s="4"/>
      <c r="CP106" s="4"/>
      <c r="CQ106" s="4"/>
      <c r="CR106" s="4"/>
      <c r="CS106" s="4"/>
      <c r="CT106" s="4"/>
      <c r="CU106" s="4"/>
      <c r="CV106" s="4"/>
      <c r="CW106" s="4"/>
      <c r="CX106" s="4"/>
      <c r="CY106" s="4"/>
      <c r="CZ106" s="4"/>
      <c r="DA106" s="4"/>
      <c r="DB106" s="4"/>
      <c r="DC106" s="4"/>
      <c r="DD106" s="4"/>
      <c r="DE106" s="4"/>
      <c r="DF106" s="4"/>
      <c r="DG106" s="4"/>
      <c r="DH106" s="4"/>
      <c r="DI106" s="4"/>
      <c r="DJ106" s="4"/>
      <c r="DK106" s="4"/>
      <c r="DL106" s="4"/>
      <c r="DM106" s="4"/>
      <c r="DN106" s="4"/>
      <c r="DO106" s="4"/>
      <c r="DP106" s="4"/>
      <c r="DQ106" s="4"/>
      <c r="DR106" s="4"/>
      <c r="DS106" s="4"/>
      <c r="DT106" s="4"/>
      <c r="DU106" s="4"/>
      <c r="DV106" s="4"/>
      <c r="DW106" s="4"/>
      <c r="DX106" s="4"/>
      <c r="DY106" s="4"/>
      <c r="DZ106" s="4"/>
      <c r="EA106" s="4"/>
      <c r="EB106" s="4"/>
      <c r="EC106" s="4"/>
      <c r="ED106" s="4"/>
      <c r="EE106" s="4"/>
      <c r="EF106" s="4"/>
      <c r="EG106" s="4"/>
      <c r="EH106" s="4"/>
      <c r="EI106" s="4"/>
      <c r="EJ106" s="4"/>
      <c r="EK106" s="4"/>
      <c r="EL106" s="4"/>
      <c r="EM106" s="4"/>
      <c r="EN106" s="4"/>
      <c r="EO106" s="4"/>
      <c r="EP106" s="4"/>
      <c r="EQ106" s="4"/>
      <c r="ER106" s="4"/>
      <c r="ES106" s="4"/>
    </row>
    <row r="107" spans="28:149" ht="20.100000000000001" customHeight="1" x14ac:dyDescent="0.25">
      <c r="AB107" s="4"/>
      <c r="AC107" s="4"/>
      <c r="AD107" s="4"/>
      <c r="AE107" s="4"/>
      <c r="AF107" s="4"/>
      <c r="AG107" s="4"/>
      <c r="AH107" s="4"/>
      <c r="AI107" s="4"/>
      <c r="AJ107" s="4"/>
      <c r="AK107" s="4"/>
      <c r="AL107" s="4"/>
      <c r="AM107" s="4"/>
      <c r="AN107" s="4"/>
      <c r="AO107" s="4"/>
      <c r="AP107" s="4"/>
      <c r="AQ107" s="4"/>
      <c r="AR107" s="4"/>
      <c r="AS107" s="4"/>
      <c r="AT107" s="4"/>
      <c r="AU107" s="4"/>
      <c r="AV107" s="4"/>
      <c r="AW107" s="4"/>
      <c r="AX107" s="4"/>
      <c r="AY107" s="4"/>
      <c r="AZ107" s="4"/>
      <c r="BA107" s="4"/>
      <c r="BB107" s="4"/>
      <c r="BC107" s="4"/>
      <c r="BD107" s="4"/>
      <c r="BE107" s="4"/>
      <c r="BF107" s="4"/>
      <c r="BG107" s="4"/>
      <c r="BH107" s="4"/>
      <c r="BI107" s="4"/>
      <c r="BJ107" s="4"/>
      <c r="BK107" s="4"/>
      <c r="BL107" s="4"/>
      <c r="BM107" s="4"/>
      <c r="BN107" s="4"/>
      <c r="BO107" s="4"/>
      <c r="BP107" s="4"/>
      <c r="BQ107" s="4"/>
      <c r="BR107" s="4"/>
      <c r="BS107" s="4"/>
      <c r="BT107" s="4"/>
      <c r="BU107" s="4"/>
      <c r="BV107" s="4"/>
      <c r="BW107" s="4"/>
      <c r="BX107" s="4"/>
      <c r="BY107" s="4"/>
      <c r="BZ107" s="4"/>
      <c r="CA107" s="4"/>
      <c r="CB107" s="4"/>
      <c r="CC107" s="4"/>
      <c r="CD107" s="4"/>
      <c r="CE107" s="4"/>
      <c r="CF107" s="4"/>
      <c r="CG107" s="4"/>
      <c r="CH107" s="4"/>
      <c r="CI107" s="4"/>
      <c r="CJ107" s="4"/>
      <c r="CK107" s="4"/>
      <c r="CL107" s="4"/>
      <c r="CM107" s="4"/>
      <c r="CN107" s="4"/>
      <c r="CO107" s="4"/>
      <c r="CP107" s="4"/>
      <c r="CQ107" s="4"/>
      <c r="CR107" s="4"/>
      <c r="CS107" s="4"/>
      <c r="CT107" s="4"/>
      <c r="CU107" s="4"/>
      <c r="CV107" s="4"/>
      <c r="CW107" s="4"/>
      <c r="CX107" s="4"/>
      <c r="CY107" s="4"/>
      <c r="CZ107" s="4"/>
      <c r="DA107" s="4"/>
      <c r="DB107" s="4"/>
      <c r="DC107" s="4"/>
      <c r="DD107" s="4"/>
      <c r="DE107" s="4"/>
      <c r="DF107" s="4"/>
      <c r="DG107" s="4"/>
      <c r="DH107" s="4"/>
      <c r="DI107" s="4"/>
      <c r="DJ107" s="4"/>
      <c r="DK107" s="4"/>
      <c r="DL107" s="4"/>
      <c r="DM107" s="4"/>
      <c r="DN107" s="4"/>
      <c r="DO107" s="4"/>
      <c r="DP107" s="4"/>
      <c r="DQ107" s="4"/>
      <c r="DR107" s="4"/>
      <c r="DS107" s="4"/>
      <c r="DT107" s="4"/>
      <c r="DU107" s="4"/>
      <c r="DV107" s="4"/>
      <c r="DW107" s="4"/>
      <c r="DX107" s="4"/>
      <c r="DY107" s="4"/>
      <c r="DZ107" s="4"/>
      <c r="EA107" s="4"/>
      <c r="EB107" s="4"/>
      <c r="EC107" s="4"/>
      <c r="ED107" s="4"/>
      <c r="EE107" s="4"/>
      <c r="EF107" s="4"/>
      <c r="EG107" s="4"/>
      <c r="EH107" s="4"/>
      <c r="EI107" s="4"/>
      <c r="EJ107" s="4"/>
      <c r="EK107" s="4"/>
      <c r="EL107" s="4"/>
      <c r="EM107" s="4"/>
      <c r="EN107" s="4"/>
      <c r="EO107" s="4"/>
      <c r="EP107" s="4"/>
      <c r="EQ107" s="4"/>
      <c r="ER107" s="4"/>
      <c r="ES107" s="4"/>
    </row>
    <row r="108" spans="28:149" ht="20.100000000000001" customHeight="1" x14ac:dyDescent="0.25">
      <c r="AB108" s="4"/>
      <c r="AC108" s="4"/>
      <c r="AD108" s="4"/>
      <c r="AE108" s="4"/>
      <c r="AF108" s="4"/>
      <c r="AG108" s="4"/>
      <c r="AH108" s="4"/>
      <c r="AI108" s="4"/>
      <c r="AJ108" s="4"/>
      <c r="AK108" s="4"/>
      <c r="AL108" s="4"/>
      <c r="AM108" s="4"/>
      <c r="AN108" s="4"/>
      <c r="AO108" s="4"/>
      <c r="AP108" s="4"/>
      <c r="AQ108" s="4"/>
      <c r="AR108" s="4"/>
      <c r="AS108" s="4"/>
      <c r="AT108" s="4"/>
      <c r="AU108" s="4"/>
      <c r="AV108" s="4"/>
      <c r="AW108" s="4"/>
      <c r="AX108" s="4"/>
      <c r="AY108" s="4"/>
      <c r="AZ108" s="4"/>
      <c r="BA108" s="4"/>
      <c r="BB108" s="4"/>
      <c r="BC108" s="4"/>
      <c r="BD108" s="4"/>
      <c r="BE108" s="4"/>
      <c r="BF108" s="4"/>
      <c r="BG108" s="4"/>
      <c r="BH108" s="4"/>
      <c r="BI108" s="4"/>
      <c r="BJ108" s="4"/>
      <c r="BK108" s="4"/>
      <c r="BL108" s="4"/>
      <c r="BM108" s="4"/>
      <c r="BN108" s="4"/>
      <c r="BO108" s="4"/>
      <c r="BP108" s="4"/>
      <c r="BQ108" s="4"/>
      <c r="BR108" s="4"/>
      <c r="BS108" s="4"/>
      <c r="BT108" s="4"/>
      <c r="BU108" s="4"/>
      <c r="BV108" s="4"/>
      <c r="BW108" s="4"/>
      <c r="BX108" s="4"/>
      <c r="BY108" s="4"/>
      <c r="BZ108" s="4"/>
      <c r="CA108" s="4"/>
      <c r="CB108" s="4"/>
      <c r="CC108" s="4"/>
      <c r="CD108" s="4"/>
      <c r="CE108" s="4"/>
      <c r="CF108" s="4"/>
      <c r="CG108" s="4"/>
      <c r="CH108" s="4"/>
      <c r="CI108" s="4"/>
      <c r="CJ108" s="4"/>
      <c r="CK108" s="4"/>
      <c r="CL108" s="4"/>
      <c r="CM108" s="4"/>
      <c r="CN108" s="4"/>
      <c r="CO108" s="4"/>
      <c r="CP108" s="4"/>
      <c r="CQ108" s="4"/>
      <c r="CR108" s="4"/>
      <c r="CS108" s="4"/>
      <c r="CT108" s="4"/>
      <c r="CU108" s="4"/>
      <c r="CV108" s="4"/>
      <c r="CW108" s="4"/>
      <c r="CX108" s="4"/>
      <c r="CY108" s="4"/>
      <c r="CZ108" s="4"/>
      <c r="DA108" s="4"/>
      <c r="DB108" s="4"/>
      <c r="DC108" s="4"/>
      <c r="DD108" s="4"/>
      <c r="DE108" s="4"/>
      <c r="DF108" s="4"/>
      <c r="DG108" s="4"/>
      <c r="DH108" s="4"/>
      <c r="DI108" s="4"/>
      <c r="DJ108" s="4"/>
      <c r="DK108" s="4"/>
      <c r="DL108" s="4"/>
      <c r="DM108" s="4"/>
      <c r="DN108" s="4"/>
      <c r="DO108" s="4"/>
      <c r="DP108" s="4"/>
      <c r="DQ108" s="4"/>
      <c r="DR108" s="4"/>
      <c r="DS108" s="4"/>
      <c r="DT108" s="4"/>
      <c r="DU108" s="4"/>
      <c r="DV108" s="4"/>
      <c r="DW108" s="4"/>
      <c r="DX108" s="4"/>
      <c r="DY108" s="4"/>
      <c r="DZ108" s="4"/>
      <c r="EA108" s="4"/>
      <c r="EB108" s="4"/>
      <c r="EC108" s="4"/>
      <c r="ED108" s="4"/>
      <c r="EE108" s="4"/>
      <c r="EF108" s="4"/>
      <c r="EG108" s="4"/>
      <c r="EH108" s="4"/>
      <c r="EI108" s="4"/>
      <c r="EJ108" s="4"/>
      <c r="EK108" s="4"/>
      <c r="EL108" s="4"/>
      <c r="EM108" s="4"/>
      <c r="EN108" s="4"/>
      <c r="EO108" s="4"/>
      <c r="EP108" s="4"/>
      <c r="EQ108" s="4"/>
      <c r="ER108" s="4"/>
      <c r="ES108" s="4"/>
    </row>
    <row r="109" spans="28:149" ht="20.100000000000001" customHeight="1" x14ac:dyDescent="0.25">
      <c r="AB109" s="4"/>
      <c r="AC109" s="4"/>
      <c r="AD109" s="4"/>
      <c r="AE109" s="4"/>
      <c r="AF109" s="4"/>
      <c r="AG109" s="4"/>
      <c r="AH109" s="4"/>
      <c r="AI109" s="4"/>
      <c r="AJ109" s="4"/>
      <c r="AK109" s="4"/>
      <c r="AL109" s="4"/>
      <c r="AM109" s="4"/>
      <c r="AN109" s="4"/>
      <c r="AO109" s="4"/>
      <c r="AP109" s="4"/>
      <c r="AQ109" s="4"/>
      <c r="AR109" s="4"/>
      <c r="AS109" s="4"/>
      <c r="AT109" s="4"/>
      <c r="AU109" s="4"/>
      <c r="AV109" s="4"/>
      <c r="AW109" s="4"/>
      <c r="AX109" s="4"/>
      <c r="AY109" s="4"/>
      <c r="AZ109" s="4"/>
      <c r="BA109" s="4"/>
      <c r="BB109" s="4"/>
      <c r="BC109" s="4"/>
      <c r="BD109" s="4"/>
      <c r="BE109" s="4"/>
      <c r="BF109" s="4"/>
      <c r="BG109" s="4"/>
      <c r="BH109" s="4"/>
      <c r="BI109" s="4"/>
      <c r="BJ109" s="4"/>
      <c r="BK109" s="4"/>
      <c r="BL109" s="4"/>
      <c r="BM109" s="4"/>
      <c r="BN109" s="4"/>
      <c r="BO109" s="4"/>
      <c r="BP109" s="4"/>
      <c r="BQ109" s="4"/>
      <c r="BR109" s="4"/>
      <c r="BS109" s="4"/>
      <c r="BT109" s="4"/>
      <c r="BU109" s="4"/>
      <c r="BV109" s="4"/>
      <c r="BW109" s="4"/>
      <c r="BX109" s="4"/>
      <c r="BY109" s="4"/>
      <c r="BZ109" s="4"/>
      <c r="CA109" s="4"/>
      <c r="CB109" s="4"/>
      <c r="CC109" s="4"/>
      <c r="CD109" s="4"/>
      <c r="CE109" s="4"/>
      <c r="CF109" s="4"/>
      <c r="CG109" s="4"/>
      <c r="CH109" s="4"/>
      <c r="CI109" s="4"/>
      <c r="CJ109" s="4"/>
      <c r="CK109" s="4"/>
      <c r="CL109" s="4"/>
      <c r="CM109" s="4"/>
      <c r="CN109" s="4"/>
      <c r="CO109" s="4"/>
      <c r="CP109" s="4"/>
      <c r="CQ109" s="4"/>
      <c r="CR109" s="4"/>
      <c r="CS109" s="4"/>
      <c r="CT109" s="4"/>
      <c r="CU109" s="4"/>
      <c r="CV109" s="4"/>
      <c r="CW109" s="4"/>
      <c r="CX109" s="4"/>
      <c r="CY109" s="4"/>
      <c r="CZ109" s="4"/>
      <c r="DA109" s="4"/>
      <c r="DB109" s="4"/>
      <c r="DC109" s="4"/>
      <c r="DD109" s="4"/>
      <c r="DE109" s="4"/>
      <c r="DF109" s="4"/>
      <c r="DG109" s="4"/>
      <c r="DH109" s="4"/>
      <c r="DI109" s="4"/>
      <c r="DJ109" s="4"/>
      <c r="DK109" s="4"/>
      <c r="DL109" s="4"/>
      <c r="DM109" s="4"/>
      <c r="DN109" s="4"/>
      <c r="DO109" s="4"/>
      <c r="DP109" s="4"/>
      <c r="DQ109" s="4"/>
      <c r="DR109" s="4"/>
      <c r="DS109" s="4"/>
      <c r="DT109" s="4"/>
      <c r="DU109" s="4"/>
      <c r="DV109" s="4"/>
      <c r="DW109" s="4"/>
      <c r="DX109" s="4"/>
      <c r="DY109" s="4"/>
      <c r="DZ109" s="4"/>
      <c r="EA109" s="4"/>
      <c r="EB109" s="4"/>
      <c r="EC109" s="4"/>
      <c r="ED109" s="4"/>
      <c r="EE109" s="4"/>
      <c r="EF109" s="4"/>
      <c r="EG109" s="4"/>
      <c r="EH109" s="4"/>
      <c r="EI109" s="4"/>
      <c r="EJ109" s="4"/>
      <c r="EK109" s="4"/>
      <c r="EL109" s="4"/>
      <c r="EM109" s="4"/>
      <c r="EN109" s="4"/>
      <c r="EO109" s="4"/>
      <c r="EP109" s="4"/>
      <c r="EQ109" s="4"/>
      <c r="ER109" s="4"/>
      <c r="ES109" s="4"/>
    </row>
    <row r="110" spans="28:149" ht="20.100000000000001" customHeight="1" x14ac:dyDescent="0.25">
      <c r="AB110" s="4"/>
      <c r="AC110" s="4"/>
      <c r="AD110" s="4"/>
      <c r="AE110" s="4"/>
      <c r="AF110" s="4"/>
      <c r="AG110" s="4"/>
      <c r="AH110" s="4"/>
      <c r="AI110" s="4"/>
      <c r="AJ110" s="4"/>
      <c r="AK110" s="4"/>
      <c r="AL110" s="4"/>
      <c r="AM110" s="4"/>
      <c r="AN110" s="4"/>
      <c r="AO110" s="4"/>
      <c r="AP110" s="4"/>
      <c r="AQ110" s="4"/>
      <c r="AR110" s="4"/>
      <c r="AS110" s="4"/>
      <c r="AT110" s="4"/>
      <c r="AU110" s="4"/>
      <c r="AV110" s="4"/>
      <c r="AW110" s="4"/>
      <c r="AX110" s="4"/>
      <c r="AY110" s="4"/>
      <c r="AZ110" s="4"/>
      <c r="BA110" s="4"/>
      <c r="BB110" s="4"/>
      <c r="BC110" s="4"/>
      <c r="BD110" s="4"/>
      <c r="BE110" s="4"/>
      <c r="BF110" s="4"/>
      <c r="BG110" s="4"/>
      <c r="BH110" s="4"/>
      <c r="BI110" s="4"/>
      <c r="BJ110" s="4"/>
      <c r="BK110" s="4"/>
      <c r="BL110" s="4"/>
      <c r="BM110" s="4"/>
      <c r="BN110" s="4"/>
      <c r="BO110" s="4"/>
      <c r="BP110" s="4"/>
      <c r="BQ110" s="4"/>
      <c r="BR110" s="4"/>
      <c r="BS110" s="4"/>
      <c r="BT110" s="4"/>
      <c r="BU110" s="4"/>
      <c r="BV110" s="4"/>
      <c r="BW110" s="4"/>
      <c r="BX110" s="4"/>
      <c r="BY110" s="4"/>
      <c r="BZ110" s="4"/>
      <c r="CA110" s="4"/>
      <c r="CB110" s="4"/>
      <c r="CC110" s="4"/>
      <c r="CD110" s="4"/>
      <c r="CE110" s="4"/>
      <c r="CF110" s="4"/>
      <c r="CG110" s="4"/>
      <c r="CH110" s="4"/>
      <c r="CI110" s="4"/>
      <c r="CJ110" s="4"/>
      <c r="CK110" s="4"/>
      <c r="CL110" s="4"/>
      <c r="CM110" s="4"/>
      <c r="CN110" s="4"/>
      <c r="CO110" s="4"/>
      <c r="CP110" s="4"/>
      <c r="CQ110" s="4"/>
      <c r="CR110" s="4"/>
      <c r="CS110" s="4"/>
      <c r="CT110" s="4"/>
      <c r="CU110" s="4"/>
      <c r="CV110" s="4"/>
      <c r="CW110" s="4"/>
      <c r="CX110" s="4"/>
      <c r="CY110" s="4"/>
      <c r="CZ110" s="4"/>
      <c r="DA110" s="4"/>
      <c r="DB110" s="4"/>
      <c r="DC110" s="4"/>
      <c r="DD110" s="4"/>
      <c r="DE110" s="4"/>
      <c r="DF110" s="4"/>
      <c r="DG110" s="4"/>
      <c r="DH110" s="4"/>
      <c r="DI110" s="4"/>
      <c r="DJ110" s="4"/>
      <c r="DK110" s="4"/>
      <c r="DL110" s="4"/>
      <c r="DM110" s="4"/>
      <c r="DN110" s="4"/>
      <c r="DO110" s="4"/>
      <c r="DP110" s="4"/>
      <c r="DQ110" s="4"/>
      <c r="DR110" s="4"/>
      <c r="DS110" s="4"/>
      <c r="DT110" s="4"/>
      <c r="DU110" s="4"/>
      <c r="DV110" s="4"/>
      <c r="DW110" s="4"/>
      <c r="DX110" s="4"/>
      <c r="DY110" s="4"/>
      <c r="DZ110" s="4"/>
      <c r="EA110" s="4"/>
      <c r="EB110" s="4"/>
      <c r="EC110" s="4"/>
      <c r="ED110" s="4"/>
      <c r="EE110" s="4"/>
      <c r="EF110" s="4"/>
      <c r="EG110" s="4"/>
      <c r="EH110" s="4"/>
      <c r="EI110" s="4"/>
      <c r="EJ110" s="4"/>
      <c r="EK110" s="4"/>
      <c r="EL110" s="4"/>
      <c r="EM110" s="4"/>
      <c r="EN110" s="4"/>
      <c r="EO110" s="4"/>
      <c r="EP110" s="4"/>
      <c r="EQ110" s="4"/>
      <c r="ER110" s="4"/>
      <c r="ES110" s="4"/>
    </row>
    <row r="111" spans="28:149" ht="20.100000000000001" customHeight="1" x14ac:dyDescent="0.25">
      <c r="AB111" s="4"/>
      <c r="AC111" s="4"/>
      <c r="AD111" s="4"/>
      <c r="AE111" s="4"/>
      <c r="AF111" s="4"/>
      <c r="AG111" s="4"/>
      <c r="AH111" s="4"/>
      <c r="AI111" s="4"/>
      <c r="AJ111" s="4"/>
      <c r="AK111" s="4"/>
      <c r="AL111" s="4"/>
      <c r="AM111" s="4"/>
      <c r="AN111" s="4"/>
      <c r="AO111" s="4"/>
      <c r="AP111" s="4"/>
      <c r="AQ111" s="4"/>
      <c r="AR111" s="4"/>
      <c r="AS111" s="4"/>
      <c r="AT111" s="4"/>
      <c r="AU111" s="4"/>
      <c r="AV111" s="4"/>
      <c r="AW111" s="4"/>
      <c r="AX111" s="4"/>
      <c r="AY111" s="4"/>
      <c r="AZ111" s="4"/>
      <c r="BA111" s="4"/>
      <c r="BB111" s="4"/>
      <c r="BC111" s="4"/>
      <c r="BD111" s="4"/>
      <c r="BE111" s="4"/>
      <c r="BF111" s="4"/>
      <c r="BG111" s="4"/>
      <c r="BH111" s="4"/>
      <c r="BI111" s="4"/>
      <c r="BJ111" s="4"/>
      <c r="BK111" s="4"/>
      <c r="BL111" s="4"/>
      <c r="BM111" s="4"/>
      <c r="BN111" s="4"/>
      <c r="BO111" s="4"/>
      <c r="BP111" s="4"/>
      <c r="BQ111" s="4"/>
      <c r="BR111" s="4"/>
      <c r="BS111" s="4"/>
      <c r="BT111" s="4"/>
      <c r="BU111" s="4"/>
      <c r="BV111" s="4"/>
      <c r="BW111" s="4"/>
      <c r="BX111" s="4"/>
      <c r="BY111" s="4"/>
      <c r="BZ111" s="4"/>
      <c r="CA111" s="4"/>
      <c r="CB111" s="4"/>
      <c r="CC111" s="4"/>
      <c r="CD111" s="4"/>
      <c r="CE111" s="4"/>
      <c r="CF111" s="4"/>
      <c r="CG111" s="4"/>
      <c r="CH111" s="4"/>
      <c r="CI111" s="4"/>
      <c r="CJ111" s="4"/>
      <c r="CK111" s="4"/>
      <c r="CL111" s="4"/>
      <c r="CM111" s="4"/>
      <c r="CN111" s="4"/>
      <c r="CO111" s="4"/>
      <c r="CP111" s="4"/>
      <c r="CQ111" s="4"/>
      <c r="CR111" s="4"/>
      <c r="CS111" s="4"/>
      <c r="CT111" s="4"/>
      <c r="CU111" s="4"/>
      <c r="CV111" s="4"/>
      <c r="CW111" s="4"/>
      <c r="CX111" s="4"/>
      <c r="CY111" s="4"/>
      <c r="CZ111" s="4"/>
      <c r="DA111" s="4"/>
      <c r="DB111" s="4"/>
      <c r="DC111" s="4"/>
      <c r="DD111" s="4"/>
      <c r="DE111" s="4"/>
      <c r="DF111" s="4"/>
      <c r="DG111" s="4"/>
      <c r="DH111" s="4"/>
      <c r="DI111" s="4"/>
      <c r="DJ111" s="4"/>
      <c r="DK111" s="4"/>
      <c r="DL111" s="4"/>
      <c r="DM111" s="4"/>
      <c r="DN111" s="4"/>
      <c r="DO111" s="4"/>
      <c r="DP111" s="4"/>
      <c r="DQ111" s="4"/>
      <c r="DR111" s="4"/>
      <c r="DS111" s="4"/>
      <c r="DT111" s="4"/>
      <c r="DU111" s="4"/>
      <c r="DV111" s="4"/>
      <c r="DW111" s="4"/>
      <c r="DX111" s="4"/>
      <c r="DY111" s="4"/>
      <c r="DZ111" s="4"/>
      <c r="EA111" s="4"/>
      <c r="EB111" s="4"/>
      <c r="EC111" s="4"/>
      <c r="ED111" s="4"/>
      <c r="EE111" s="4"/>
      <c r="EF111" s="4"/>
      <c r="EG111" s="4"/>
      <c r="EH111" s="4"/>
      <c r="EI111" s="4"/>
      <c r="EJ111" s="4"/>
      <c r="EK111" s="4"/>
      <c r="EL111" s="4"/>
      <c r="EM111" s="4"/>
      <c r="EN111" s="4"/>
      <c r="EO111" s="4"/>
      <c r="EP111" s="4"/>
      <c r="EQ111" s="4"/>
      <c r="ER111" s="4"/>
      <c r="ES111" s="4"/>
    </row>
    <row r="112" spans="28:149" ht="20.100000000000001" customHeight="1" x14ac:dyDescent="0.25">
      <c r="AB112" s="4"/>
      <c r="AC112" s="4"/>
      <c r="AD112" s="4"/>
      <c r="AE112" s="4"/>
      <c r="AF112" s="4"/>
      <c r="AG112" s="4"/>
      <c r="AH112" s="4"/>
      <c r="AI112" s="4"/>
      <c r="AJ112" s="4"/>
      <c r="AK112" s="4"/>
      <c r="AL112" s="4"/>
      <c r="AM112" s="4"/>
      <c r="AN112" s="4"/>
      <c r="AO112" s="4"/>
      <c r="AP112" s="4"/>
      <c r="AQ112" s="4"/>
      <c r="AR112" s="4"/>
      <c r="AS112" s="4"/>
      <c r="AT112" s="4"/>
      <c r="AU112" s="4"/>
      <c r="AV112" s="4"/>
      <c r="AW112" s="4"/>
      <c r="AX112" s="4"/>
      <c r="AY112" s="4"/>
      <c r="AZ112" s="4"/>
      <c r="BA112" s="4"/>
      <c r="BB112" s="4"/>
      <c r="BC112" s="4"/>
      <c r="BD112" s="4"/>
      <c r="BE112" s="4"/>
      <c r="BF112" s="4"/>
      <c r="BG112" s="4"/>
      <c r="BH112" s="4"/>
      <c r="BI112" s="4"/>
      <c r="BJ112" s="4"/>
      <c r="BK112" s="4"/>
      <c r="BL112" s="4"/>
      <c r="BM112" s="4"/>
      <c r="BN112" s="4"/>
      <c r="BO112" s="4"/>
      <c r="BP112" s="4"/>
      <c r="BQ112" s="4"/>
      <c r="BR112" s="4"/>
      <c r="BS112" s="4"/>
      <c r="BT112" s="4"/>
      <c r="BU112" s="4"/>
      <c r="BV112" s="4"/>
      <c r="BW112" s="4"/>
      <c r="BX112" s="4"/>
      <c r="BY112" s="4"/>
      <c r="BZ112" s="4"/>
      <c r="CA112" s="4"/>
      <c r="CB112" s="4"/>
      <c r="CC112" s="4"/>
      <c r="CD112" s="4"/>
      <c r="CE112" s="4"/>
      <c r="CF112" s="4"/>
      <c r="CG112" s="4"/>
      <c r="CH112" s="4"/>
      <c r="CI112" s="4"/>
      <c r="CJ112" s="4"/>
      <c r="CK112" s="4"/>
      <c r="CL112" s="4"/>
      <c r="CM112" s="4"/>
      <c r="CN112" s="4"/>
      <c r="CO112" s="4"/>
      <c r="CP112" s="4"/>
      <c r="CQ112" s="4"/>
      <c r="CR112" s="4"/>
      <c r="CS112" s="4"/>
      <c r="CT112" s="4"/>
      <c r="CU112" s="4"/>
      <c r="CV112" s="4"/>
      <c r="CW112" s="4"/>
      <c r="CX112" s="4"/>
      <c r="CY112" s="4"/>
      <c r="CZ112" s="4"/>
      <c r="DA112" s="4"/>
      <c r="DB112" s="4"/>
      <c r="DC112" s="4"/>
      <c r="DD112" s="4"/>
      <c r="DE112" s="4"/>
      <c r="DF112" s="4"/>
      <c r="DG112" s="4"/>
      <c r="DH112" s="4"/>
      <c r="DI112" s="4"/>
      <c r="DJ112" s="4"/>
      <c r="DK112" s="4"/>
      <c r="DL112" s="4"/>
      <c r="DM112" s="4"/>
      <c r="DN112" s="4"/>
      <c r="DO112" s="4"/>
      <c r="DP112" s="4"/>
      <c r="DQ112" s="4"/>
      <c r="DR112" s="4"/>
      <c r="DS112" s="4"/>
      <c r="DT112" s="4"/>
      <c r="DU112" s="4"/>
      <c r="DV112" s="4"/>
      <c r="DW112" s="4"/>
      <c r="DX112" s="4"/>
      <c r="DY112" s="4"/>
      <c r="DZ112" s="4"/>
      <c r="EA112" s="4"/>
      <c r="EB112" s="4"/>
      <c r="EC112" s="4"/>
      <c r="ED112" s="4"/>
      <c r="EE112" s="4"/>
      <c r="EF112" s="4"/>
      <c r="EG112" s="4"/>
      <c r="EH112" s="4"/>
      <c r="EI112" s="4"/>
      <c r="EJ112" s="4"/>
      <c r="EK112" s="4"/>
      <c r="EL112" s="4"/>
      <c r="EM112" s="4"/>
      <c r="EN112" s="4"/>
      <c r="EO112" s="4"/>
      <c r="EP112" s="4"/>
      <c r="EQ112" s="4"/>
      <c r="ER112" s="4"/>
      <c r="ES112" s="4"/>
    </row>
    <row r="113" spans="28:149" ht="20.100000000000001" customHeight="1" x14ac:dyDescent="0.25">
      <c r="AB113" s="4"/>
      <c r="AC113" s="4"/>
      <c r="AD113" s="4"/>
      <c r="AE113" s="4"/>
      <c r="AF113" s="4"/>
      <c r="AG113" s="4"/>
      <c r="AH113" s="4"/>
      <c r="AI113" s="4"/>
      <c r="AJ113" s="4"/>
      <c r="AK113" s="4"/>
      <c r="AL113" s="4"/>
      <c r="AM113" s="4"/>
      <c r="AN113" s="4"/>
      <c r="AO113" s="4"/>
      <c r="AP113" s="4"/>
      <c r="AQ113" s="4"/>
      <c r="AR113" s="4"/>
      <c r="AS113" s="4"/>
      <c r="AT113" s="4"/>
      <c r="AU113" s="4"/>
      <c r="AV113" s="4"/>
      <c r="AW113" s="4"/>
      <c r="AX113" s="4"/>
      <c r="AY113" s="4"/>
      <c r="AZ113" s="4"/>
      <c r="BA113" s="4"/>
      <c r="BB113" s="4"/>
      <c r="BC113" s="4"/>
      <c r="BD113" s="4"/>
      <c r="BE113" s="4"/>
      <c r="BF113" s="4"/>
      <c r="BG113" s="4"/>
      <c r="BH113" s="4"/>
      <c r="BI113" s="4"/>
      <c r="BJ113" s="4"/>
      <c r="BK113" s="4"/>
      <c r="BL113" s="4"/>
      <c r="BM113" s="4"/>
      <c r="BN113" s="4"/>
      <c r="BO113" s="4"/>
      <c r="BP113" s="4"/>
      <c r="BQ113" s="4"/>
      <c r="BR113" s="4"/>
      <c r="BS113" s="4"/>
      <c r="BT113" s="4"/>
      <c r="BU113" s="4"/>
      <c r="BV113" s="4"/>
      <c r="BW113" s="4"/>
      <c r="BX113" s="4"/>
      <c r="BY113" s="4"/>
      <c r="BZ113" s="4"/>
      <c r="CA113" s="4"/>
      <c r="CB113" s="4"/>
      <c r="CC113" s="4"/>
      <c r="CD113" s="4"/>
      <c r="CE113" s="4"/>
      <c r="CF113" s="4"/>
      <c r="CG113" s="4"/>
      <c r="CH113" s="4"/>
      <c r="CI113" s="4"/>
      <c r="CJ113" s="4"/>
      <c r="CK113" s="4"/>
      <c r="CL113" s="4"/>
      <c r="CM113" s="4"/>
      <c r="CN113" s="4"/>
      <c r="CO113" s="4"/>
      <c r="CP113" s="4"/>
      <c r="CQ113" s="4"/>
      <c r="CR113" s="4"/>
      <c r="CS113" s="4"/>
      <c r="CT113" s="4"/>
      <c r="CU113" s="4"/>
      <c r="CV113" s="4"/>
      <c r="CW113" s="4"/>
      <c r="CX113" s="4"/>
      <c r="CY113" s="4"/>
      <c r="CZ113" s="4"/>
      <c r="DA113" s="4"/>
      <c r="DB113" s="4"/>
      <c r="DC113" s="4"/>
      <c r="DD113" s="4"/>
      <c r="DE113" s="4"/>
      <c r="DF113" s="4"/>
      <c r="DG113" s="4"/>
      <c r="DH113" s="4"/>
      <c r="DI113" s="4"/>
      <c r="DJ113" s="4"/>
      <c r="DK113" s="4"/>
      <c r="DL113" s="4"/>
      <c r="DM113" s="4"/>
      <c r="DN113" s="4"/>
      <c r="DO113" s="4"/>
      <c r="DP113" s="4"/>
      <c r="DQ113" s="4"/>
      <c r="DR113" s="4"/>
      <c r="DS113" s="4"/>
      <c r="DT113" s="4"/>
      <c r="DU113" s="4"/>
      <c r="DV113" s="4"/>
      <c r="DW113" s="4"/>
      <c r="DX113" s="4"/>
      <c r="DY113" s="4"/>
      <c r="DZ113" s="4"/>
      <c r="EA113" s="4"/>
      <c r="EB113" s="4"/>
      <c r="EC113" s="4"/>
      <c r="ED113" s="4"/>
      <c r="EE113" s="4"/>
      <c r="EF113" s="4"/>
      <c r="EG113" s="4"/>
      <c r="EH113" s="4"/>
      <c r="EI113" s="4"/>
      <c r="EJ113" s="4"/>
      <c r="EK113" s="4"/>
      <c r="EL113" s="4"/>
      <c r="EM113" s="4"/>
      <c r="EN113" s="4"/>
      <c r="EO113" s="4"/>
      <c r="EP113" s="4"/>
      <c r="EQ113" s="4"/>
      <c r="ER113" s="4"/>
      <c r="ES113" s="4"/>
    </row>
    <row r="114" spans="28:149" ht="20.100000000000001" customHeight="1" x14ac:dyDescent="0.25">
      <c r="AB114" s="4"/>
      <c r="AC114" s="4"/>
      <c r="AD114" s="4"/>
      <c r="AE114" s="4"/>
      <c r="AF114" s="4"/>
      <c r="AG114" s="4"/>
      <c r="AH114" s="4"/>
      <c r="AI114" s="4"/>
      <c r="AJ114" s="4"/>
      <c r="AK114" s="4"/>
      <c r="AL114" s="4"/>
      <c r="AM114" s="4"/>
      <c r="AN114" s="4"/>
      <c r="AO114" s="4"/>
      <c r="AP114" s="4"/>
      <c r="AQ114" s="4"/>
      <c r="AR114" s="4"/>
      <c r="AS114" s="4"/>
      <c r="AT114" s="4"/>
      <c r="AU114" s="4"/>
      <c r="AV114" s="4"/>
      <c r="AW114" s="4"/>
      <c r="AX114" s="4"/>
      <c r="AY114" s="4"/>
      <c r="AZ114" s="4"/>
      <c r="BA114" s="4"/>
      <c r="BB114" s="4"/>
      <c r="BC114" s="4"/>
      <c r="BD114" s="4"/>
      <c r="BE114" s="4"/>
      <c r="BF114" s="4"/>
      <c r="BG114" s="4"/>
      <c r="BH114" s="4"/>
      <c r="BI114" s="4"/>
      <c r="BJ114" s="4"/>
      <c r="BK114" s="4"/>
      <c r="BL114" s="4"/>
      <c r="BM114" s="4"/>
      <c r="BN114" s="4"/>
      <c r="BO114" s="4"/>
      <c r="BP114" s="4"/>
      <c r="BQ114" s="4"/>
      <c r="BR114" s="4"/>
      <c r="BS114" s="4"/>
      <c r="BT114" s="4"/>
      <c r="BU114" s="4"/>
      <c r="BV114" s="4"/>
      <c r="BW114" s="4"/>
      <c r="BX114" s="4"/>
      <c r="BY114" s="4"/>
      <c r="BZ114" s="4"/>
      <c r="CA114" s="4"/>
      <c r="CB114" s="4"/>
      <c r="CC114" s="4"/>
      <c r="CD114" s="4"/>
      <c r="CE114" s="4"/>
      <c r="CF114" s="4"/>
      <c r="CG114" s="4"/>
      <c r="CH114" s="4"/>
      <c r="CI114" s="4"/>
      <c r="CJ114" s="4"/>
      <c r="CK114" s="4"/>
      <c r="CL114" s="4"/>
      <c r="CM114" s="4"/>
      <c r="CN114" s="4"/>
      <c r="CO114" s="4"/>
      <c r="CP114" s="4"/>
      <c r="CQ114" s="4"/>
      <c r="CR114" s="4"/>
      <c r="CS114" s="4"/>
      <c r="CT114" s="4"/>
      <c r="CU114" s="4"/>
      <c r="CV114" s="4"/>
      <c r="CW114" s="4"/>
      <c r="CX114" s="4"/>
      <c r="CY114" s="4"/>
      <c r="CZ114" s="4"/>
      <c r="DA114" s="4"/>
      <c r="DB114" s="4"/>
      <c r="DC114" s="4"/>
      <c r="DD114" s="4"/>
      <c r="DE114" s="4"/>
      <c r="DF114" s="4"/>
      <c r="DG114" s="4"/>
      <c r="DH114" s="4"/>
      <c r="DI114" s="4"/>
      <c r="DJ114" s="4"/>
      <c r="DK114" s="4"/>
      <c r="DL114" s="4"/>
      <c r="DM114" s="4"/>
      <c r="DN114" s="4"/>
      <c r="DO114" s="4"/>
      <c r="DP114" s="4"/>
      <c r="DQ114" s="4"/>
      <c r="DR114" s="4"/>
      <c r="DS114" s="4"/>
      <c r="DT114" s="4"/>
      <c r="DU114" s="4"/>
      <c r="DV114" s="4"/>
      <c r="DW114" s="4"/>
      <c r="DX114" s="4"/>
      <c r="DY114" s="4"/>
      <c r="DZ114" s="4"/>
      <c r="EA114" s="4"/>
      <c r="EB114" s="4"/>
      <c r="EC114" s="4"/>
      <c r="ED114" s="4"/>
      <c r="EE114" s="4"/>
      <c r="EF114" s="4"/>
      <c r="EG114" s="4"/>
      <c r="EH114" s="4"/>
      <c r="EI114" s="4"/>
      <c r="EJ114" s="4"/>
      <c r="EK114" s="4"/>
      <c r="EL114" s="4"/>
      <c r="EM114" s="4"/>
      <c r="EN114" s="4"/>
      <c r="EO114" s="4"/>
      <c r="EP114" s="4"/>
      <c r="EQ114" s="4"/>
      <c r="ER114" s="4"/>
      <c r="ES114" s="4"/>
    </row>
    <row r="115" spans="28:149" ht="20.100000000000001" customHeight="1" x14ac:dyDescent="0.25">
      <c r="AB115" s="4"/>
      <c r="AC115" s="4"/>
      <c r="AD115" s="4"/>
      <c r="AE115" s="4"/>
      <c r="AF115" s="4"/>
      <c r="AG115" s="4"/>
      <c r="AH115" s="4"/>
      <c r="AI115" s="4"/>
      <c r="AJ115" s="4"/>
      <c r="AK115" s="4"/>
      <c r="AL115" s="4"/>
      <c r="AM115" s="4"/>
      <c r="AN115" s="4"/>
      <c r="AO115" s="4"/>
      <c r="AP115" s="4"/>
      <c r="AQ115" s="4"/>
      <c r="AR115" s="4"/>
      <c r="AS115" s="4"/>
      <c r="AT115" s="4"/>
      <c r="AU115" s="4"/>
      <c r="AV115" s="4"/>
      <c r="AW115" s="4"/>
      <c r="AX115" s="4"/>
      <c r="AY115" s="4"/>
      <c r="AZ115" s="4"/>
      <c r="BA115" s="4"/>
      <c r="BB115" s="4"/>
      <c r="BC115" s="4"/>
      <c r="BD115" s="4"/>
      <c r="BE115" s="4"/>
      <c r="BF115" s="4"/>
      <c r="BG115" s="4"/>
      <c r="BH115" s="4"/>
      <c r="BI115" s="4"/>
      <c r="BJ115" s="4"/>
      <c r="BK115" s="4"/>
      <c r="BL115" s="4"/>
      <c r="BM115" s="4"/>
      <c r="BN115" s="4"/>
      <c r="BO115" s="4"/>
      <c r="BP115" s="4"/>
      <c r="BQ115" s="4"/>
      <c r="BR115" s="4"/>
      <c r="BS115" s="4"/>
      <c r="BT115" s="4"/>
      <c r="BU115" s="4"/>
      <c r="BV115" s="4"/>
      <c r="BW115" s="4"/>
      <c r="BX115" s="4"/>
      <c r="BY115" s="4"/>
      <c r="BZ115" s="4"/>
      <c r="CA115" s="4"/>
      <c r="CB115" s="4"/>
      <c r="CC115" s="4"/>
      <c r="CD115" s="4"/>
      <c r="CE115" s="4"/>
      <c r="CF115" s="4"/>
      <c r="CG115" s="4"/>
      <c r="CH115" s="4"/>
      <c r="CI115" s="4"/>
      <c r="CJ115" s="4"/>
      <c r="CK115" s="4"/>
      <c r="CL115" s="4"/>
      <c r="CM115" s="4"/>
      <c r="CN115" s="4"/>
      <c r="CO115" s="4"/>
      <c r="CP115" s="4"/>
      <c r="CQ115" s="4"/>
      <c r="CR115" s="4"/>
      <c r="CS115" s="4"/>
      <c r="CT115" s="4"/>
      <c r="CU115" s="4"/>
      <c r="CV115" s="4"/>
      <c r="CW115" s="4"/>
      <c r="CX115" s="4"/>
      <c r="CY115" s="4"/>
      <c r="CZ115" s="4"/>
      <c r="DA115" s="4"/>
      <c r="DB115" s="4"/>
      <c r="DC115" s="4"/>
      <c r="DD115" s="4"/>
      <c r="DE115" s="4"/>
      <c r="DF115" s="4"/>
      <c r="DG115" s="4"/>
      <c r="DH115" s="4"/>
      <c r="DI115" s="4"/>
      <c r="DJ115" s="4"/>
      <c r="DK115" s="4"/>
      <c r="DL115" s="4"/>
      <c r="DM115" s="4"/>
      <c r="DN115" s="4"/>
      <c r="DO115" s="4"/>
      <c r="DP115" s="4"/>
      <c r="DQ115" s="4"/>
      <c r="DR115" s="4"/>
      <c r="DS115" s="4"/>
      <c r="DT115" s="4"/>
      <c r="DU115" s="4"/>
      <c r="DV115" s="4"/>
      <c r="DW115" s="4"/>
      <c r="DX115" s="4"/>
      <c r="DY115" s="4"/>
      <c r="DZ115" s="4"/>
      <c r="EA115" s="4"/>
      <c r="EB115" s="4"/>
      <c r="EC115" s="4"/>
      <c r="ED115" s="4"/>
      <c r="EE115" s="4"/>
      <c r="EF115" s="4"/>
      <c r="EG115" s="4"/>
      <c r="EH115" s="4"/>
      <c r="EI115" s="4"/>
      <c r="EJ115" s="4"/>
      <c r="EK115" s="4"/>
      <c r="EL115" s="4"/>
      <c r="EM115" s="4"/>
      <c r="EN115" s="4"/>
      <c r="EO115" s="4"/>
      <c r="EP115" s="4"/>
      <c r="EQ115" s="4"/>
      <c r="ER115" s="4"/>
      <c r="ES115" s="4"/>
    </row>
    <row r="116" spans="28:149" ht="20.100000000000001" customHeight="1" x14ac:dyDescent="0.25">
      <c r="AB116" s="4"/>
      <c r="AC116" s="4"/>
      <c r="AD116" s="4"/>
      <c r="AE116" s="4"/>
      <c r="AF116" s="4"/>
      <c r="AG116" s="4"/>
      <c r="AH116" s="4"/>
      <c r="AI116" s="4"/>
      <c r="AJ116" s="4"/>
      <c r="AK116" s="4"/>
      <c r="AL116" s="4"/>
      <c r="AM116" s="4"/>
      <c r="AN116" s="4"/>
      <c r="AO116" s="4"/>
      <c r="AP116" s="4"/>
      <c r="AQ116" s="4"/>
      <c r="AR116" s="4"/>
      <c r="AS116" s="4"/>
      <c r="AT116" s="4"/>
      <c r="AU116" s="4"/>
      <c r="AV116" s="4"/>
      <c r="AW116" s="4"/>
      <c r="AX116" s="4"/>
      <c r="AY116" s="4"/>
      <c r="AZ116" s="4"/>
      <c r="BA116" s="4"/>
      <c r="BB116" s="4"/>
      <c r="BC116" s="4"/>
      <c r="BD116" s="4"/>
      <c r="BE116" s="4"/>
      <c r="BF116" s="4"/>
      <c r="BG116" s="4"/>
      <c r="BH116" s="4"/>
      <c r="BI116" s="4"/>
      <c r="BJ116" s="4"/>
      <c r="BK116" s="4"/>
      <c r="BL116" s="4"/>
      <c r="BM116" s="4"/>
      <c r="BN116" s="4"/>
      <c r="BO116" s="4"/>
      <c r="BP116" s="4"/>
      <c r="BQ116" s="4"/>
      <c r="BR116" s="4"/>
      <c r="BS116" s="4"/>
      <c r="BT116" s="4"/>
      <c r="BU116" s="4"/>
      <c r="BV116" s="4"/>
      <c r="BW116" s="4"/>
      <c r="BX116" s="4"/>
      <c r="BY116" s="4"/>
      <c r="BZ116" s="4"/>
      <c r="CA116" s="4"/>
      <c r="CB116" s="4"/>
      <c r="CC116" s="4"/>
      <c r="CD116" s="4"/>
      <c r="CE116" s="4"/>
      <c r="CF116" s="4"/>
      <c r="CG116" s="4"/>
      <c r="CH116" s="4"/>
      <c r="CI116" s="4"/>
      <c r="CJ116" s="4"/>
      <c r="CK116" s="4"/>
      <c r="CL116" s="4"/>
      <c r="CM116" s="4"/>
      <c r="CN116" s="4"/>
      <c r="CO116" s="4"/>
      <c r="CP116" s="4"/>
      <c r="CQ116" s="4"/>
      <c r="CR116" s="4"/>
      <c r="CS116" s="4"/>
      <c r="CT116" s="4"/>
      <c r="CU116" s="4"/>
      <c r="CV116" s="4"/>
      <c r="CW116" s="4"/>
      <c r="CX116" s="4"/>
      <c r="CY116" s="4"/>
      <c r="CZ116" s="4"/>
      <c r="DA116" s="4"/>
      <c r="DB116" s="4"/>
      <c r="DC116" s="4"/>
      <c r="DD116" s="4"/>
      <c r="DE116" s="4"/>
      <c r="DF116" s="4"/>
      <c r="DG116" s="4"/>
      <c r="DH116" s="4"/>
      <c r="DI116" s="4"/>
      <c r="DJ116" s="4"/>
      <c r="DK116" s="4"/>
      <c r="DL116" s="4"/>
      <c r="DM116" s="4"/>
      <c r="DN116" s="4"/>
      <c r="DO116" s="4"/>
      <c r="DP116" s="4"/>
      <c r="DQ116" s="4"/>
      <c r="DR116" s="4"/>
      <c r="DS116" s="4"/>
      <c r="DT116" s="4"/>
      <c r="DU116" s="4"/>
      <c r="DV116" s="4"/>
      <c r="DW116" s="4"/>
      <c r="DX116" s="4"/>
      <c r="DY116" s="4"/>
      <c r="DZ116" s="4"/>
      <c r="EA116" s="4"/>
      <c r="EB116" s="4"/>
      <c r="EC116" s="4"/>
      <c r="ED116" s="4"/>
      <c r="EE116" s="4"/>
      <c r="EF116" s="4"/>
      <c r="EG116" s="4"/>
      <c r="EH116" s="4"/>
      <c r="EI116" s="4"/>
      <c r="EJ116" s="4"/>
      <c r="EK116" s="4"/>
      <c r="EL116" s="4"/>
      <c r="EM116" s="4"/>
      <c r="EN116" s="4"/>
      <c r="EO116" s="4"/>
      <c r="EP116" s="4"/>
      <c r="EQ116" s="4"/>
      <c r="ER116" s="4"/>
      <c r="ES116" s="4"/>
    </row>
    <row r="117" spans="28:149" x14ac:dyDescent="0.25">
      <c r="AB117" s="4"/>
      <c r="AC117" s="4"/>
      <c r="AD117" s="4"/>
      <c r="AE117" s="4"/>
      <c r="AF117" s="4"/>
      <c r="AG117" s="4"/>
      <c r="AH117" s="4"/>
      <c r="AI117" s="4"/>
      <c r="AJ117" s="4"/>
      <c r="AK117" s="4"/>
      <c r="AL117" s="4"/>
      <c r="AM117" s="4"/>
      <c r="AN117" s="4"/>
      <c r="AO117" s="4"/>
      <c r="AP117" s="4"/>
      <c r="AQ117" s="4"/>
      <c r="AR117" s="4"/>
      <c r="AS117" s="4"/>
      <c r="AT117" s="4"/>
      <c r="AU117" s="4"/>
      <c r="AV117" s="4"/>
      <c r="AW117" s="4"/>
      <c r="AX117" s="4"/>
      <c r="AY117" s="4"/>
      <c r="AZ117" s="4"/>
      <c r="BA117" s="4"/>
      <c r="BB117" s="4"/>
      <c r="BC117" s="4"/>
      <c r="BD117" s="4"/>
      <c r="BE117" s="4"/>
      <c r="BF117" s="4"/>
      <c r="BG117" s="4"/>
      <c r="BH117" s="4"/>
      <c r="BI117" s="4"/>
      <c r="BJ117" s="4"/>
      <c r="BK117" s="4"/>
      <c r="BL117" s="4"/>
      <c r="BM117" s="4"/>
      <c r="BN117" s="4"/>
      <c r="BO117" s="4"/>
      <c r="BP117" s="4"/>
      <c r="BQ117" s="4"/>
      <c r="BR117" s="4"/>
      <c r="BS117" s="4"/>
      <c r="BT117" s="4"/>
      <c r="BU117" s="4"/>
      <c r="BV117" s="4"/>
      <c r="BW117" s="4"/>
      <c r="BX117" s="4"/>
      <c r="BY117" s="4"/>
      <c r="BZ117" s="4"/>
      <c r="CA117" s="4"/>
      <c r="CB117" s="4"/>
      <c r="CC117" s="4"/>
      <c r="CD117" s="4"/>
      <c r="CE117" s="4"/>
      <c r="CF117" s="4"/>
      <c r="CG117" s="4"/>
      <c r="CH117" s="4"/>
      <c r="CI117" s="4"/>
      <c r="CJ117" s="4"/>
      <c r="CK117" s="4"/>
      <c r="CL117" s="4"/>
      <c r="CM117" s="4"/>
      <c r="CN117" s="4"/>
      <c r="CO117" s="4"/>
      <c r="CP117" s="4"/>
      <c r="CQ117" s="4"/>
      <c r="CR117" s="4"/>
      <c r="CS117" s="4"/>
      <c r="CT117" s="4"/>
      <c r="CU117" s="4"/>
      <c r="CV117" s="4"/>
      <c r="CW117" s="4"/>
      <c r="CX117" s="4"/>
      <c r="CY117" s="4"/>
      <c r="CZ117" s="4"/>
      <c r="DA117" s="4"/>
      <c r="DB117" s="4"/>
      <c r="DC117" s="4"/>
      <c r="DD117" s="4"/>
      <c r="DE117" s="4"/>
      <c r="DF117" s="4"/>
      <c r="DG117" s="4"/>
      <c r="DH117" s="4"/>
      <c r="DI117" s="4"/>
      <c r="DJ117" s="4"/>
      <c r="DK117" s="4"/>
      <c r="DL117" s="4"/>
      <c r="DM117" s="4"/>
      <c r="DN117" s="4"/>
      <c r="DO117" s="4"/>
      <c r="DP117" s="4"/>
      <c r="DQ117" s="4"/>
      <c r="DR117" s="4"/>
      <c r="DS117" s="4"/>
      <c r="DT117" s="4"/>
      <c r="DU117" s="4"/>
      <c r="DV117" s="4"/>
      <c r="DW117" s="4"/>
      <c r="DX117" s="4"/>
      <c r="DY117" s="4"/>
      <c r="DZ117" s="4"/>
      <c r="EA117" s="4"/>
      <c r="EB117" s="4"/>
      <c r="EC117" s="4"/>
      <c r="ED117" s="4"/>
      <c r="EE117" s="4"/>
      <c r="EF117" s="4"/>
      <c r="EG117" s="4"/>
      <c r="EH117" s="4"/>
      <c r="EI117" s="4"/>
      <c r="EJ117" s="4"/>
      <c r="EK117" s="4"/>
      <c r="EL117" s="4"/>
      <c r="EM117" s="4"/>
      <c r="EN117" s="4"/>
      <c r="EO117" s="4"/>
      <c r="EP117" s="4"/>
      <c r="EQ117" s="4"/>
      <c r="ER117" s="4"/>
      <c r="ES117" s="4"/>
    </row>
    <row r="118" spans="28:149" x14ac:dyDescent="0.25">
      <c r="AB118" s="4"/>
      <c r="AC118" s="4"/>
      <c r="AD118" s="4"/>
      <c r="AE118" s="4"/>
      <c r="AF118" s="4"/>
      <c r="AG118" s="4"/>
      <c r="AH118" s="4"/>
      <c r="AI118" s="4"/>
      <c r="AJ118" s="4"/>
      <c r="AK118" s="4"/>
      <c r="AL118" s="4"/>
      <c r="AM118" s="4"/>
      <c r="AN118" s="4"/>
      <c r="AO118" s="4"/>
      <c r="AP118" s="4"/>
      <c r="AQ118" s="4"/>
      <c r="AR118" s="4"/>
      <c r="AS118" s="4"/>
      <c r="AT118" s="4"/>
      <c r="AU118" s="4"/>
      <c r="AV118" s="4"/>
      <c r="AW118" s="4"/>
      <c r="AX118" s="4"/>
      <c r="AY118" s="4"/>
      <c r="AZ118" s="4"/>
      <c r="BA118" s="4"/>
      <c r="BB118" s="4"/>
      <c r="BC118" s="4"/>
      <c r="BD118" s="4"/>
      <c r="BE118" s="4"/>
      <c r="BF118" s="4"/>
      <c r="BG118" s="4"/>
      <c r="BH118" s="4"/>
      <c r="BI118" s="4"/>
      <c r="BJ118" s="4"/>
      <c r="BK118" s="4"/>
      <c r="BL118" s="4"/>
      <c r="BM118" s="4"/>
      <c r="BN118" s="4"/>
      <c r="BO118" s="4"/>
      <c r="BP118" s="4"/>
      <c r="BQ118" s="4"/>
      <c r="BR118" s="4"/>
      <c r="BS118" s="4"/>
      <c r="BT118" s="4"/>
      <c r="BU118" s="4"/>
      <c r="BV118" s="4"/>
      <c r="BW118" s="4"/>
      <c r="BX118" s="4"/>
      <c r="BY118" s="4"/>
      <c r="BZ118" s="4"/>
      <c r="CA118" s="4"/>
      <c r="CB118" s="4"/>
      <c r="CC118" s="4"/>
      <c r="CD118" s="4"/>
      <c r="CE118" s="4"/>
      <c r="CF118" s="4"/>
      <c r="CG118" s="4"/>
      <c r="CH118" s="4"/>
      <c r="CI118" s="4"/>
      <c r="CJ118" s="4"/>
      <c r="CK118" s="4"/>
      <c r="CL118" s="4"/>
      <c r="CM118" s="4"/>
      <c r="CN118" s="4"/>
      <c r="CO118" s="4"/>
      <c r="CP118" s="4"/>
      <c r="CQ118" s="4"/>
      <c r="CR118" s="4"/>
      <c r="CS118" s="4"/>
      <c r="CT118" s="4"/>
      <c r="CU118" s="4"/>
      <c r="CV118" s="4"/>
      <c r="CW118" s="4"/>
      <c r="CX118" s="4"/>
      <c r="CY118" s="4"/>
      <c r="CZ118" s="4"/>
      <c r="DA118" s="4"/>
      <c r="DB118" s="4"/>
      <c r="DC118" s="4"/>
      <c r="DD118" s="4"/>
      <c r="DE118" s="4"/>
      <c r="DF118" s="4"/>
      <c r="DG118" s="4"/>
      <c r="DH118" s="4"/>
      <c r="DI118" s="4"/>
      <c r="DJ118" s="4"/>
      <c r="DK118" s="4"/>
      <c r="DL118" s="4"/>
      <c r="DM118" s="4"/>
      <c r="DN118" s="4"/>
      <c r="DO118" s="4"/>
      <c r="DP118" s="4"/>
      <c r="DQ118" s="4"/>
      <c r="DR118" s="4"/>
      <c r="DS118" s="4"/>
      <c r="DT118" s="4"/>
      <c r="DU118" s="4"/>
      <c r="DV118" s="4"/>
      <c r="DW118" s="4"/>
      <c r="DX118" s="4"/>
      <c r="DY118" s="4"/>
      <c r="DZ118" s="4"/>
      <c r="EA118" s="4"/>
      <c r="EB118" s="4"/>
      <c r="EC118" s="4"/>
      <c r="ED118" s="4"/>
      <c r="EE118" s="4"/>
      <c r="EF118" s="4"/>
      <c r="EG118" s="4"/>
      <c r="EH118" s="4"/>
      <c r="EI118" s="4"/>
      <c r="EJ118" s="4"/>
      <c r="EK118" s="4"/>
      <c r="EL118" s="4"/>
      <c r="EM118" s="4"/>
      <c r="EN118" s="4"/>
      <c r="EO118" s="4"/>
      <c r="EP118" s="4"/>
      <c r="EQ118" s="4"/>
      <c r="ER118" s="4"/>
      <c r="ES118" s="4"/>
    </row>
    <row r="119" spans="28:149" x14ac:dyDescent="0.25">
      <c r="AB119" s="4"/>
      <c r="AC119" s="4"/>
      <c r="AD119" s="4"/>
      <c r="AE119" s="4"/>
      <c r="AF119" s="4"/>
      <c r="AG119" s="4"/>
      <c r="AH119" s="4"/>
      <c r="AI119" s="4"/>
      <c r="AJ119" s="4"/>
      <c r="AK119" s="4"/>
      <c r="AL119" s="4"/>
      <c r="AM119" s="4"/>
      <c r="AN119" s="4"/>
      <c r="AO119" s="4"/>
      <c r="AP119" s="4"/>
      <c r="AQ119" s="4"/>
      <c r="AR119" s="4"/>
      <c r="AS119" s="4"/>
      <c r="AT119" s="4"/>
      <c r="AU119" s="4"/>
      <c r="AV119" s="4"/>
      <c r="AW119" s="4"/>
      <c r="AX119" s="4"/>
      <c r="AY119" s="4"/>
      <c r="AZ119" s="4"/>
      <c r="BA119" s="4"/>
      <c r="BB119" s="4"/>
      <c r="BC119" s="4"/>
      <c r="BD119" s="4"/>
      <c r="BE119" s="4"/>
      <c r="BF119" s="4"/>
      <c r="BG119" s="4"/>
      <c r="BH119" s="4"/>
      <c r="BI119" s="4"/>
      <c r="BJ119" s="4"/>
      <c r="BK119" s="4"/>
      <c r="BL119" s="4"/>
      <c r="BM119" s="4"/>
      <c r="BN119" s="4"/>
      <c r="BO119" s="4"/>
      <c r="BP119" s="4"/>
      <c r="BQ119" s="4"/>
      <c r="BR119" s="4"/>
      <c r="BS119" s="4"/>
      <c r="BT119" s="4"/>
      <c r="BU119" s="4"/>
      <c r="BV119" s="4"/>
      <c r="BW119" s="4"/>
      <c r="BX119" s="4"/>
      <c r="BY119" s="4"/>
      <c r="BZ119" s="4"/>
      <c r="CA119" s="4"/>
      <c r="CB119" s="4"/>
      <c r="CC119" s="4"/>
      <c r="CD119" s="4"/>
      <c r="CE119" s="4"/>
      <c r="CF119" s="4"/>
      <c r="CG119" s="4"/>
      <c r="CH119" s="4"/>
      <c r="CI119" s="4"/>
      <c r="CJ119" s="4"/>
      <c r="CK119" s="4"/>
      <c r="CL119" s="4"/>
      <c r="CM119" s="4"/>
      <c r="CN119" s="4"/>
      <c r="CO119" s="4"/>
      <c r="CP119" s="4"/>
      <c r="CQ119" s="4"/>
      <c r="CR119" s="4"/>
      <c r="CS119" s="4"/>
      <c r="CT119" s="4"/>
      <c r="CU119" s="4"/>
      <c r="CV119" s="4"/>
      <c r="CW119" s="4"/>
      <c r="CX119" s="4"/>
      <c r="CY119" s="4"/>
      <c r="CZ119" s="4"/>
      <c r="DA119" s="4"/>
      <c r="DB119" s="4"/>
      <c r="DC119" s="4"/>
      <c r="DD119" s="4"/>
      <c r="DE119" s="4"/>
      <c r="DF119" s="4"/>
      <c r="DG119" s="4"/>
      <c r="DH119" s="4"/>
      <c r="DI119" s="4"/>
      <c r="DJ119" s="4"/>
      <c r="DK119" s="4"/>
      <c r="DL119" s="4"/>
      <c r="DM119" s="4"/>
      <c r="DN119" s="4"/>
      <c r="DO119" s="4"/>
      <c r="DP119" s="4"/>
      <c r="DQ119" s="4"/>
      <c r="DR119" s="4"/>
      <c r="DS119" s="4"/>
      <c r="DT119" s="4"/>
      <c r="DU119" s="4"/>
      <c r="DV119" s="4"/>
      <c r="DW119" s="4"/>
      <c r="DX119" s="4"/>
      <c r="DY119" s="4"/>
      <c r="DZ119" s="4"/>
      <c r="EA119" s="4"/>
      <c r="EB119" s="4"/>
      <c r="EC119" s="4"/>
      <c r="ED119" s="4"/>
      <c r="EE119" s="4"/>
      <c r="EF119" s="4"/>
      <c r="EG119" s="4"/>
      <c r="EH119" s="4"/>
      <c r="EI119" s="4"/>
      <c r="EJ119" s="4"/>
      <c r="EK119" s="4"/>
      <c r="EL119" s="4"/>
      <c r="EM119" s="4"/>
      <c r="EN119" s="4"/>
      <c r="EO119" s="4"/>
      <c r="EP119" s="4"/>
      <c r="EQ119" s="4"/>
      <c r="ER119" s="4"/>
      <c r="ES119" s="4"/>
    </row>
    <row r="120" spans="28:149" x14ac:dyDescent="0.25">
      <c r="AB120" s="4"/>
      <c r="AC120" s="4"/>
      <c r="AD120" s="4"/>
      <c r="AE120" s="4"/>
      <c r="AF120" s="4"/>
      <c r="AG120" s="4"/>
      <c r="AH120" s="4"/>
      <c r="AI120" s="4"/>
      <c r="AJ120" s="4"/>
      <c r="AK120" s="4"/>
      <c r="AL120" s="4"/>
      <c r="AM120" s="4"/>
      <c r="AN120" s="4"/>
      <c r="AO120" s="4"/>
      <c r="AP120" s="4"/>
      <c r="AQ120" s="4"/>
      <c r="AR120" s="4"/>
      <c r="AS120" s="4"/>
      <c r="AT120" s="4"/>
      <c r="AU120" s="4"/>
      <c r="AV120" s="4"/>
      <c r="AW120" s="4"/>
      <c r="AX120" s="4"/>
      <c r="AY120" s="4"/>
      <c r="AZ120" s="4"/>
      <c r="BA120" s="4"/>
      <c r="BB120" s="4"/>
      <c r="BC120" s="4"/>
      <c r="BD120" s="4"/>
      <c r="BE120" s="4"/>
      <c r="BF120" s="4"/>
      <c r="BG120" s="4"/>
      <c r="BH120" s="4"/>
      <c r="BI120" s="4"/>
      <c r="BJ120" s="4"/>
      <c r="BK120" s="4"/>
      <c r="BL120" s="4"/>
      <c r="BM120" s="4"/>
      <c r="BN120" s="4"/>
      <c r="BO120" s="4"/>
      <c r="BP120" s="4"/>
      <c r="BQ120" s="4"/>
      <c r="BR120" s="4"/>
      <c r="BS120" s="4"/>
      <c r="BT120" s="4"/>
      <c r="BU120" s="4"/>
      <c r="BV120" s="4"/>
      <c r="BW120" s="4"/>
      <c r="BX120" s="4"/>
      <c r="BY120" s="4"/>
      <c r="BZ120" s="4"/>
      <c r="CA120" s="4"/>
      <c r="CB120" s="4"/>
      <c r="CC120" s="4"/>
      <c r="CD120" s="4"/>
      <c r="CE120" s="4"/>
      <c r="CF120" s="4"/>
      <c r="CG120" s="4"/>
      <c r="CH120" s="4"/>
      <c r="CI120" s="4"/>
      <c r="CJ120" s="4"/>
      <c r="CK120" s="4"/>
      <c r="CL120" s="4"/>
      <c r="CM120" s="4"/>
      <c r="CN120" s="4"/>
      <c r="CO120" s="4"/>
      <c r="CP120" s="4"/>
      <c r="CQ120" s="4"/>
      <c r="CR120" s="4"/>
      <c r="CS120" s="4"/>
      <c r="CT120" s="4"/>
      <c r="CU120" s="4"/>
      <c r="CV120" s="4"/>
      <c r="CW120" s="4"/>
      <c r="CX120" s="4"/>
      <c r="CY120" s="4"/>
      <c r="CZ120" s="4"/>
      <c r="DA120" s="4"/>
      <c r="DB120" s="4"/>
      <c r="DC120" s="4"/>
      <c r="DD120" s="4"/>
      <c r="DE120" s="4"/>
      <c r="DF120" s="4"/>
      <c r="DG120" s="4"/>
      <c r="DH120" s="4"/>
      <c r="DI120" s="4"/>
      <c r="DJ120" s="4"/>
      <c r="DK120" s="4"/>
      <c r="DL120" s="4"/>
      <c r="DM120" s="4"/>
      <c r="DN120" s="4"/>
      <c r="DO120" s="4"/>
      <c r="DP120" s="4"/>
      <c r="DQ120" s="4"/>
      <c r="DR120" s="4"/>
      <c r="DS120" s="4"/>
      <c r="DT120" s="4"/>
      <c r="DU120" s="4"/>
      <c r="DV120" s="4"/>
      <c r="DW120" s="4"/>
      <c r="DX120" s="4"/>
      <c r="DY120" s="4"/>
      <c r="DZ120" s="4"/>
      <c r="EA120" s="4"/>
      <c r="EB120" s="4"/>
      <c r="EC120" s="4"/>
      <c r="ED120" s="4"/>
      <c r="EE120" s="4"/>
      <c r="EF120" s="4"/>
      <c r="EG120" s="4"/>
      <c r="EH120" s="4"/>
      <c r="EI120" s="4"/>
      <c r="EJ120" s="4"/>
      <c r="EK120" s="4"/>
      <c r="EL120" s="4"/>
      <c r="EM120" s="4"/>
      <c r="EN120" s="4"/>
      <c r="EO120" s="4"/>
      <c r="EP120" s="4"/>
      <c r="EQ120" s="4"/>
      <c r="ER120" s="4"/>
      <c r="ES120" s="4"/>
    </row>
    <row r="121" spans="28:149" x14ac:dyDescent="0.25">
      <c r="AB121" s="4"/>
      <c r="AC121" s="4"/>
      <c r="AD121" s="4"/>
      <c r="AE121" s="4"/>
      <c r="AF121" s="4"/>
      <c r="AG121" s="4"/>
      <c r="AH121" s="4"/>
      <c r="AI121" s="4"/>
      <c r="AJ121" s="4"/>
      <c r="AK121" s="4"/>
      <c r="AL121" s="4"/>
      <c r="AM121" s="4"/>
      <c r="AN121" s="4"/>
      <c r="AO121" s="4"/>
      <c r="AP121" s="4"/>
      <c r="AQ121" s="4"/>
      <c r="AR121" s="4"/>
      <c r="AS121" s="4"/>
      <c r="AT121" s="4"/>
      <c r="AU121" s="4"/>
      <c r="AV121" s="4"/>
      <c r="AW121" s="4"/>
      <c r="AX121" s="4"/>
      <c r="AY121" s="4"/>
      <c r="AZ121" s="4"/>
      <c r="BA121" s="4"/>
      <c r="BB121" s="4"/>
      <c r="BC121" s="4"/>
      <c r="BD121" s="4"/>
      <c r="BE121" s="4"/>
      <c r="BF121" s="4"/>
      <c r="BG121" s="4"/>
      <c r="BH121" s="4"/>
      <c r="BI121" s="4"/>
      <c r="BJ121" s="4"/>
      <c r="BK121" s="4"/>
      <c r="BL121" s="4"/>
      <c r="BM121" s="4"/>
      <c r="BN121" s="4"/>
      <c r="BO121" s="4"/>
      <c r="BP121" s="4"/>
      <c r="BQ121" s="4"/>
      <c r="BR121" s="4"/>
      <c r="BS121" s="4"/>
      <c r="BT121" s="4"/>
      <c r="BU121" s="4"/>
      <c r="BV121" s="4"/>
      <c r="BW121" s="4"/>
      <c r="BX121" s="4"/>
      <c r="BY121" s="4"/>
      <c r="BZ121" s="4"/>
      <c r="CA121" s="4"/>
      <c r="CB121" s="4"/>
      <c r="CC121" s="4"/>
      <c r="CD121" s="4"/>
      <c r="CE121" s="4"/>
      <c r="CF121" s="4"/>
      <c r="CG121" s="4"/>
      <c r="CH121" s="4"/>
      <c r="CI121" s="4"/>
      <c r="CJ121" s="4"/>
      <c r="CK121" s="4"/>
      <c r="CL121" s="4"/>
      <c r="CM121" s="4"/>
      <c r="CN121" s="4"/>
      <c r="CO121" s="4"/>
      <c r="CP121" s="4"/>
      <c r="CQ121" s="4"/>
      <c r="CR121" s="4"/>
      <c r="CS121" s="4"/>
      <c r="CT121" s="4"/>
      <c r="CU121" s="4"/>
      <c r="CV121" s="4"/>
      <c r="CW121" s="4"/>
      <c r="CX121" s="4"/>
      <c r="CY121" s="4"/>
      <c r="CZ121" s="4"/>
      <c r="DA121" s="4"/>
      <c r="DB121" s="4"/>
      <c r="DC121" s="4"/>
      <c r="DD121" s="4"/>
      <c r="DE121" s="4"/>
      <c r="DF121" s="4"/>
      <c r="DG121" s="4"/>
      <c r="DH121" s="4"/>
      <c r="DI121" s="4"/>
      <c r="DJ121" s="4"/>
      <c r="DK121" s="4"/>
      <c r="DL121" s="4"/>
      <c r="DM121" s="4"/>
      <c r="DN121" s="4"/>
      <c r="DO121" s="4"/>
      <c r="DP121" s="4"/>
      <c r="DQ121" s="4"/>
      <c r="DR121" s="4"/>
      <c r="DS121" s="4"/>
      <c r="DT121" s="4"/>
      <c r="DU121" s="4"/>
      <c r="DV121" s="4"/>
      <c r="DW121" s="4"/>
      <c r="DX121" s="4"/>
      <c r="DY121" s="4"/>
      <c r="DZ121" s="4"/>
      <c r="EA121" s="4"/>
      <c r="EB121" s="4"/>
      <c r="EC121" s="4"/>
      <c r="ED121" s="4"/>
      <c r="EE121" s="4"/>
      <c r="EF121" s="4"/>
      <c r="EG121" s="4"/>
      <c r="EH121" s="4"/>
      <c r="EI121" s="4"/>
      <c r="EJ121" s="4"/>
      <c r="EK121" s="4"/>
      <c r="EL121" s="4"/>
      <c r="EM121" s="4"/>
      <c r="EN121" s="4"/>
      <c r="EO121" s="4"/>
      <c r="EP121" s="4"/>
      <c r="EQ121" s="4"/>
      <c r="ER121" s="4"/>
      <c r="ES121" s="4"/>
    </row>
    <row r="122" spans="28:149" x14ac:dyDescent="0.25">
      <c r="AB122" s="4"/>
      <c r="AC122" s="4"/>
      <c r="AD122" s="4"/>
      <c r="AE122" s="4"/>
      <c r="AF122" s="4"/>
      <c r="AG122" s="4"/>
      <c r="AH122" s="4"/>
      <c r="AI122" s="4"/>
      <c r="AJ122" s="4"/>
      <c r="AK122" s="4"/>
      <c r="AL122" s="4"/>
      <c r="AM122" s="4"/>
      <c r="AN122" s="4"/>
      <c r="AO122" s="4"/>
      <c r="AP122" s="4"/>
      <c r="AQ122" s="4"/>
      <c r="AR122" s="4"/>
      <c r="AS122" s="4"/>
      <c r="AT122" s="4"/>
      <c r="AU122" s="4"/>
      <c r="AV122" s="4"/>
      <c r="AW122" s="4"/>
      <c r="AX122" s="4"/>
      <c r="AY122" s="4"/>
      <c r="AZ122" s="4"/>
      <c r="BA122" s="4"/>
      <c r="BB122" s="4"/>
      <c r="BC122" s="4"/>
      <c r="BD122" s="4"/>
      <c r="BE122" s="4"/>
      <c r="BF122" s="4"/>
      <c r="BG122" s="4"/>
      <c r="BH122" s="4"/>
      <c r="BI122" s="4"/>
      <c r="BJ122" s="4"/>
      <c r="BK122" s="4"/>
      <c r="BL122" s="4"/>
      <c r="BM122" s="4"/>
      <c r="BN122" s="4"/>
      <c r="BO122" s="4"/>
      <c r="BP122" s="4"/>
      <c r="BQ122" s="4"/>
      <c r="BR122" s="4"/>
      <c r="BS122" s="4"/>
      <c r="BT122" s="4"/>
      <c r="BU122" s="4"/>
      <c r="BV122" s="4"/>
      <c r="BW122" s="4"/>
      <c r="BX122" s="4"/>
      <c r="BY122" s="4"/>
      <c r="BZ122" s="4"/>
      <c r="CA122" s="4"/>
      <c r="CB122" s="4"/>
      <c r="CC122" s="4"/>
      <c r="CD122" s="4"/>
      <c r="CE122" s="4"/>
      <c r="CF122" s="4"/>
      <c r="CG122" s="4"/>
      <c r="CH122" s="4"/>
      <c r="CI122" s="4"/>
      <c r="CJ122" s="4"/>
      <c r="CK122" s="4"/>
      <c r="CL122" s="4"/>
      <c r="CM122" s="4"/>
      <c r="CN122" s="4"/>
      <c r="CO122" s="4"/>
      <c r="CP122" s="4"/>
      <c r="CQ122" s="4"/>
      <c r="CR122" s="4"/>
      <c r="CS122" s="4"/>
      <c r="CT122" s="4"/>
      <c r="CU122" s="4"/>
      <c r="CV122" s="4"/>
      <c r="CW122" s="4"/>
      <c r="CX122" s="4"/>
      <c r="CY122" s="4"/>
      <c r="CZ122" s="4"/>
      <c r="DA122" s="4"/>
      <c r="DB122" s="4"/>
      <c r="DC122" s="4"/>
      <c r="DD122" s="4"/>
      <c r="DE122" s="4"/>
      <c r="DF122" s="4"/>
      <c r="DG122" s="4"/>
      <c r="DH122" s="4"/>
      <c r="DI122" s="4"/>
      <c r="DJ122" s="4"/>
      <c r="DK122" s="4"/>
      <c r="DL122" s="4"/>
      <c r="DM122" s="4"/>
      <c r="DN122" s="4"/>
      <c r="DO122" s="4"/>
      <c r="DP122" s="4"/>
      <c r="DQ122" s="4"/>
      <c r="DR122" s="4"/>
      <c r="DS122" s="4"/>
      <c r="DT122" s="4"/>
      <c r="DU122" s="4"/>
      <c r="DV122" s="4"/>
      <c r="DW122" s="4"/>
      <c r="DX122" s="4"/>
      <c r="DY122" s="4"/>
      <c r="DZ122" s="4"/>
      <c r="EA122" s="4"/>
      <c r="EB122" s="4"/>
      <c r="EC122" s="4"/>
      <c r="ED122" s="4"/>
      <c r="EE122" s="4"/>
      <c r="EF122" s="4"/>
      <c r="EG122" s="4"/>
      <c r="EH122" s="4"/>
      <c r="EI122" s="4"/>
      <c r="EJ122" s="4"/>
      <c r="EK122" s="4"/>
      <c r="EL122" s="4"/>
      <c r="EM122" s="4"/>
      <c r="EN122" s="4"/>
      <c r="EO122" s="4"/>
      <c r="EP122" s="4"/>
      <c r="EQ122" s="4"/>
      <c r="ER122" s="4"/>
      <c r="ES122" s="4"/>
    </row>
    <row r="123" spans="28:149" x14ac:dyDescent="0.25">
      <c r="AB123" s="4"/>
      <c r="AC123" s="4"/>
      <c r="AD123" s="4"/>
      <c r="AE123" s="4"/>
      <c r="AF123" s="4"/>
      <c r="AG123" s="4"/>
      <c r="AH123" s="4"/>
      <c r="AI123" s="4"/>
      <c r="AJ123" s="4"/>
      <c r="AK123" s="4"/>
      <c r="AL123" s="4"/>
      <c r="AM123" s="4"/>
      <c r="AN123" s="4"/>
      <c r="AO123" s="4"/>
      <c r="AP123" s="4"/>
      <c r="AQ123" s="4"/>
      <c r="AR123" s="4"/>
      <c r="AS123" s="4"/>
      <c r="AT123" s="4"/>
      <c r="AU123" s="4"/>
      <c r="AV123" s="4"/>
      <c r="AW123" s="4"/>
      <c r="AX123" s="4"/>
      <c r="AY123" s="4"/>
      <c r="AZ123" s="4"/>
      <c r="BA123" s="4"/>
      <c r="BB123" s="4"/>
      <c r="BC123" s="4"/>
      <c r="BD123" s="4"/>
      <c r="BE123" s="4"/>
      <c r="BF123" s="4"/>
      <c r="BG123" s="4"/>
      <c r="BH123" s="4"/>
      <c r="BI123" s="4"/>
      <c r="BJ123" s="4"/>
      <c r="BK123" s="4"/>
      <c r="BL123" s="4"/>
      <c r="BM123" s="4"/>
      <c r="BN123" s="4"/>
      <c r="BO123" s="4"/>
      <c r="BP123" s="4"/>
      <c r="BQ123" s="4"/>
      <c r="BR123" s="4"/>
      <c r="BS123" s="4"/>
      <c r="BT123" s="4"/>
      <c r="BU123" s="4"/>
      <c r="BV123" s="4"/>
      <c r="BW123" s="4"/>
      <c r="BX123" s="4"/>
      <c r="BY123" s="4"/>
      <c r="BZ123" s="4"/>
      <c r="CA123" s="4"/>
      <c r="CB123" s="4"/>
      <c r="CC123" s="4"/>
      <c r="CD123" s="4"/>
      <c r="CE123" s="4"/>
      <c r="CF123" s="4"/>
      <c r="CG123" s="4"/>
      <c r="CH123" s="4"/>
      <c r="CI123" s="4"/>
      <c r="CJ123" s="4"/>
      <c r="CK123" s="4"/>
      <c r="CL123" s="4"/>
      <c r="CM123" s="4"/>
      <c r="CN123" s="4"/>
      <c r="CO123" s="4"/>
      <c r="CP123" s="4"/>
      <c r="CQ123" s="4"/>
      <c r="CR123" s="4"/>
      <c r="CS123" s="4"/>
      <c r="CT123" s="4"/>
      <c r="CU123" s="4"/>
      <c r="CV123" s="4"/>
      <c r="CW123" s="4"/>
      <c r="CX123" s="4"/>
      <c r="CY123" s="4"/>
      <c r="CZ123" s="4"/>
      <c r="DA123" s="4"/>
      <c r="DB123" s="4"/>
      <c r="DC123" s="4"/>
      <c r="DD123" s="4"/>
      <c r="DE123" s="4"/>
      <c r="DF123" s="4"/>
      <c r="DG123" s="4"/>
      <c r="DH123" s="4"/>
      <c r="DI123" s="4"/>
      <c r="DJ123" s="4"/>
      <c r="DK123" s="4"/>
      <c r="DL123" s="4"/>
      <c r="DM123" s="4"/>
      <c r="DN123" s="4"/>
      <c r="DO123" s="4"/>
      <c r="DP123" s="4"/>
      <c r="DQ123" s="4"/>
      <c r="DR123" s="4"/>
      <c r="DS123" s="4"/>
      <c r="DT123" s="4"/>
      <c r="DU123" s="4"/>
      <c r="DV123" s="4"/>
      <c r="DW123" s="4"/>
      <c r="DX123" s="4"/>
      <c r="DY123" s="4"/>
      <c r="DZ123" s="4"/>
      <c r="EA123" s="4"/>
      <c r="EB123" s="4"/>
      <c r="EC123" s="4"/>
      <c r="ED123" s="4"/>
      <c r="EE123" s="4"/>
      <c r="EF123" s="4"/>
      <c r="EG123" s="4"/>
      <c r="EH123" s="4"/>
      <c r="EI123" s="4"/>
      <c r="EJ123" s="4"/>
      <c r="EK123" s="4"/>
      <c r="EL123" s="4"/>
      <c r="EM123" s="4"/>
      <c r="EN123" s="4"/>
      <c r="EO123" s="4"/>
      <c r="EP123" s="4"/>
      <c r="EQ123" s="4"/>
      <c r="ER123" s="4"/>
      <c r="ES123" s="4"/>
    </row>
    <row r="124" spans="28:149" x14ac:dyDescent="0.25">
      <c r="AB124" s="4"/>
      <c r="AC124" s="4"/>
      <c r="AD124" s="4"/>
      <c r="AE124" s="4"/>
      <c r="AF124" s="4"/>
      <c r="AG124" s="4"/>
      <c r="AH124" s="4"/>
      <c r="AI124" s="4"/>
      <c r="AJ124" s="4"/>
      <c r="AK124" s="4"/>
      <c r="AL124" s="4"/>
      <c r="AM124" s="4"/>
      <c r="AN124" s="4"/>
      <c r="AO124" s="4"/>
      <c r="AP124" s="4"/>
      <c r="AQ124" s="4"/>
      <c r="AR124" s="4"/>
      <c r="AS124" s="4"/>
      <c r="AT124" s="4"/>
      <c r="AU124" s="4"/>
      <c r="AV124" s="4"/>
      <c r="AW124" s="4"/>
      <c r="AX124" s="4"/>
      <c r="AY124" s="4"/>
      <c r="AZ124" s="4"/>
      <c r="BA124" s="4"/>
      <c r="BB124" s="4"/>
      <c r="BC124" s="4"/>
      <c r="BD124" s="4"/>
      <c r="BE124" s="4"/>
      <c r="BF124" s="4"/>
      <c r="BG124" s="4"/>
      <c r="BH124" s="4"/>
      <c r="BI124" s="4"/>
      <c r="BJ124" s="4"/>
      <c r="BK124" s="4"/>
      <c r="BL124" s="4"/>
      <c r="BM124" s="4"/>
      <c r="BN124" s="4"/>
      <c r="BO124" s="4"/>
      <c r="BP124" s="4"/>
      <c r="BQ124" s="4"/>
      <c r="BR124" s="4"/>
      <c r="BS124" s="4"/>
      <c r="BT124" s="4"/>
      <c r="BU124" s="4"/>
      <c r="BV124" s="4"/>
      <c r="BW124" s="4"/>
      <c r="BX124" s="4"/>
      <c r="BY124" s="4"/>
      <c r="BZ124" s="4"/>
      <c r="CA124" s="4"/>
      <c r="CB124" s="4"/>
      <c r="CC124" s="4"/>
      <c r="CD124" s="4"/>
      <c r="CE124" s="4"/>
      <c r="CF124" s="4"/>
      <c r="CG124" s="4"/>
      <c r="CH124" s="4"/>
      <c r="CI124" s="4"/>
      <c r="CJ124" s="4"/>
      <c r="CK124" s="4"/>
      <c r="CL124" s="4"/>
      <c r="CM124" s="4"/>
      <c r="CN124" s="4"/>
      <c r="CO124" s="4"/>
      <c r="CP124" s="4"/>
      <c r="CQ124" s="4"/>
      <c r="CR124" s="4"/>
      <c r="CS124" s="4"/>
      <c r="CT124" s="4"/>
      <c r="CU124" s="4"/>
      <c r="CV124" s="4"/>
      <c r="CW124" s="4"/>
      <c r="CX124" s="4"/>
      <c r="CY124" s="4"/>
      <c r="CZ124" s="4"/>
      <c r="DA124" s="4"/>
      <c r="DB124" s="4"/>
      <c r="DC124" s="4"/>
      <c r="DD124" s="4"/>
      <c r="DE124" s="4"/>
      <c r="DF124" s="4"/>
      <c r="DG124" s="4"/>
      <c r="DH124" s="4"/>
      <c r="DI124" s="4"/>
      <c r="DJ124" s="4"/>
      <c r="DK124" s="4"/>
      <c r="DL124" s="4"/>
      <c r="DM124" s="4"/>
      <c r="DN124" s="4"/>
      <c r="DO124" s="4"/>
      <c r="DP124" s="4"/>
      <c r="DQ124" s="4"/>
      <c r="DR124" s="4"/>
      <c r="DS124" s="4"/>
      <c r="DT124" s="4"/>
      <c r="DU124" s="4"/>
      <c r="DV124" s="4"/>
      <c r="DW124" s="4"/>
      <c r="DX124" s="4"/>
      <c r="DY124" s="4"/>
      <c r="DZ124" s="4"/>
      <c r="EA124" s="4"/>
      <c r="EB124" s="4"/>
      <c r="EC124" s="4"/>
      <c r="ED124" s="4"/>
      <c r="EE124" s="4"/>
      <c r="EF124" s="4"/>
      <c r="EG124" s="4"/>
      <c r="EH124" s="4"/>
      <c r="EI124" s="4"/>
      <c r="EJ124" s="4"/>
      <c r="EK124" s="4"/>
      <c r="EL124" s="4"/>
      <c r="EM124" s="4"/>
      <c r="EN124" s="4"/>
      <c r="EO124" s="4"/>
      <c r="EP124" s="4"/>
      <c r="EQ124" s="4"/>
      <c r="ER124" s="4"/>
      <c r="ES124" s="4"/>
    </row>
    <row r="125" spans="28:149" x14ac:dyDescent="0.25">
      <c r="AB125" s="4"/>
      <c r="AC125" s="4"/>
      <c r="AD125" s="4"/>
      <c r="AE125" s="4"/>
      <c r="AF125" s="4"/>
      <c r="AG125" s="4"/>
      <c r="AH125" s="4"/>
      <c r="AI125" s="4"/>
      <c r="AJ125" s="4"/>
      <c r="AK125" s="4"/>
      <c r="AL125" s="4"/>
      <c r="AM125" s="4"/>
      <c r="AN125" s="4"/>
      <c r="AO125" s="4"/>
      <c r="AP125" s="4"/>
      <c r="AQ125" s="4"/>
      <c r="AR125" s="4"/>
      <c r="AS125" s="4"/>
      <c r="AT125" s="4"/>
      <c r="AU125" s="4"/>
      <c r="AV125" s="4"/>
      <c r="AW125" s="4"/>
      <c r="AX125" s="4"/>
      <c r="AY125" s="4"/>
      <c r="AZ125" s="4"/>
      <c r="BA125" s="4"/>
      <c r="BB125" s="4"/>
      <c r="BC125" s="4"/>
      <c r="BD125" s="4"/>
      <c r="BE125" s="4"/>
      <c r="BF125" s="4"/>
      <c r="BG125" s="4"/>
      <c r="BH125" s="4"/>
      <c r="BI125" s="4"/>
      <c r="BJ125" s="4"/>
      <c r="BK125" s="4"/>
      <c r="BL125" s="4"/>
      <c r="BM125" s="4"/>
      <c r="BN125" s="4"/>
      <c r="BO125" s="4"/>
      <c r="BP125" s="4"/>
      <c r="BQ125" s="4"/>
      <c r="BR125" s="4"/>
      <c r="BS125" s="4"/>
      <c r="BT125" s="4"/>
      <c r="BU125" s="4"/>
      <c r="BV125" s="4"/>
      <c r="BW125" s="4"/>
      <c r="BX125" s="4"/>
      <c r="BY125" s="4"/>
      <c r="BZ125" s="4"/>
      <c r="CA125" s="4"/>
      <c r="CB125" s="4"/>
      <c r="CC125" s="4"/>
      <c r="CD125" s="4"/>
      <c r="CE125" s="4"/>
      <c r="CF125" s="4"/>
      <c r="CG125" s="4"/>
      <c r="CH125" s="4"/>
      <c r="CI125" s="4"/>
      <c r="CJ125" s="4"/>
      <c r="CK125" s="4"/>
      <c r="CL125" s="4"/>
      <c r="CM125" s="4"/>
      <c r="CN125" s="4"/>
      <c r="CO125" s="4"/>
      <c r="CP125" s="4"/>
      <c r="CQ125" s="4"/>
      <c r="CR125" s="4"/>
      <c r="CS125" s="4"/>
      <c r="CT125" s="4"/>
      <c r="CU125" s="4"/>
      <c r="CV125" s="4"/>
      <c r="CW125" s="4"/>
      <c r="CX125" s="4"/>
      <c r="CY125" s="4"/>
      <c r="CZ125" s="4"/>
      <c r="DA125" s="4"/>
      <c r="DB125" s="4"/>
      <c r="DC125" s="4"/>
      <c r="DD125" s="4"/>
      <c r="DE125" s="4"/>
      <c r="DF125" s="4"/>
      <c r="DG125" s="4"/>
      <c r="DH125" s="4"/>
      <c r="DI125" s="4"/>
      <c r="DJ125" s="4"/>
      <c r="DK125" s="4"/>
      <c r="DL125" s="4"/>
      <c r="DM125" s="4"/>
      <c r="DN125" s="4"/>
      <c r="DO125" s="4"/>
      <c r="DP125" s="4"/>
      <c r="DQ125" s="4"/>
      <c r="DR125" s="4"/>
      <c r="DS125" s="4"/>
      <c r="DT125" s="4"/>
      <c r="DU125" s="4"/>
      <c r="DV125" s="4"/>
      <c r="DW125" s="4"/>
      <c r="DX125" s="4"/>
      <c r="DY125" s="4"/>
      <c r="DZ125" s="4"/>
      <c r="EA125" s="4"/>
      <c r="EB125" s="4"/>
      <c r="EC125" s="4"/>
      <c r="ED125" s="4"/>
      <c r="EE125" s="4"/>
      <c r="EF125" s="4"/>
      <c r="EG125" s="4"/>
      <c r="EH125" s="4"/>
      <c r="EI125" s="4"/>
      <c r="EJ125" s="4"/>
      <c r="EK125" s="4"/>
      <c r="EL125" s="4"/>
      <c r="EM125" s="4"/>
      <c r="EN125" s="4"/>
      <c r="EO125" s="4"/>
      <c r="EP125" s="4"/>
      <c r="EQ125" s="4"/>
      <c r="ER125" s="4"/>
      <c r="ES125" s="4"/>
    </row>
    <row r="126" spans="28:149" x14ac:dyDescent="0.25">
      <c r="AB126" s="4"/>
      <c r="AC126" s="4"/>
      <c r="AD126" s="4"/>
      <c r="AE126" s="4"/>
      <c r="AF126" s="4"/>
      <c r="AG126" s="4"/>
      <c r="AH126" s="4"/>
      <c r="AI126" s="4"/>
      <c r="AJ126" s="4"/>
      <c r="AK126" s="4"/>
      <c r="AL126" s="4"/>
      <c r="AM126" s="4"/>
      <c r="AN126" s="4"/>
      <c r="AO126" s="4"/>
      <c r="AP126" s="4"/>
      <c r="AQ126" s="4"/>
      <c r="AR126" s="4"/>
      <c r="AS126" s="4"/>
      <c r="AT126" s="4"/>
      <c r="AU126" s="4"/>
      <c r="AV126" s="4"/>
      <c r="AW126" s="4"/>
      <c r="AX126" s="4"/>
      <c r="AY126" s="4"/>
      <c r="AZ126" s="4"/>
      <c r="BA126" s="4"/>
      <c r="BB126" s="4"/>
      <c r="BC126" s="4"/>
      <c r="BD126" s="4"/>
      <c r="BE126" s="4"/>
      <c r="BF126" s="4"/>
      <c r="BG126" s="4"/>
      <c r="BH126" s="4"/>
      <c r="BI126" s="4"/>
      <c r="BJ126" s="4"/>
      <c r="BK126" s="4"/>
      <c r="BL126" s="4"/>
      <c r="BM126" s="4"/>
      <c r="BN126" s="4"/>
      <c r="BO126" s="4"/>
      <c r="BP126" s="4"/>
      <c r="BQ126" s="4"/>
      <c r="BR126" s="4"/>
      <c r="BS126" s="4"/>
      <c r="BT126" s="4"/>
      <c r="BU126" s="4"/>
      <c r="BV126" s="4"/>
      <c r="BW126" s="4"/>
      <c r="BX126" s="4"/>
      <c r="BY126" s="4"/>
      <c r="BZ126" s="4"/>
      <c r="CA126" s="4"/>
      <c r="CB126" s="4"/>
      <c r="CC126" s="4"/>
      <c r="CD126" s="4"/>
      <c r="CE126" s="4"/>
      <c r="CF126" s="4"/>
      <c r="CG126" s="4"/>
      <c r="CH126" s="4"/>
      <c r="CI126" s="4"/>
      <c r="CJ126" s="4"/>
      <c r="CK126" s="4"/>
      <c r="CL126" s="4"/>
      <c r="CM126" s="4"/>
      <c r="CN126" s="4"/>
      <c r="CO126" s="4"/>
      <c r="CP126" s="4"/>
      <c r="CQ126" s="4"/>
      <c r="CR126" s="4"/>
      <c r="CS126" s="4"/>
      <c r="CT126" s="4"/>
      <c r="CU126" s="4"/>
      <c r="CV126" s="4"/>
      <c r="CW126" s="4"/>
      <c r="CX126" s="4"/>
      <c r="CY126" s="4"/>
      <c r="CZ126" s="4"/>
      <c r="DA126" s="4"/>
      <c r="DB126" s="4"/>
      <c r="DC126" s="4"/>
      <c r="DD126" s="4"/>
      <c r="DE126" s="4"/>
      <c r="DF126" s="4"/>
      <c r="DG126" s="4"/>
      <c r="DH126" s="4"/>
      <c r="DI126" s="4"/>
      <c r="DJ126" s="4"/>
      <c r="DK126" s="4"/>
      <c r="DL126" s="4"/>
      <c r="DM126" s="4"/>
      <c r="DN126" s="4"/>
      <c r="DO126" s="4"/>
      <c r="DP126" s="4"/>
      <c r="DQ126" s="4"/>
      <c r="DR126" s="4"/>
      <c r="DS126" s="4"/>
      <c r="DT126" s="4"/>
      <c r="DU126" s="4"/>
      <c r="DV126" s="4"/>
      <c r="DW126" s="4"/>
      <c r="DX126" s="4"/>
      <c r="DY126" s="4"/>
      <c r="DZ126" s="4"/>
      <c r="EA126" s="4"/>
      <c r="EB126" s="4"/>
      <c r="EC126" s="4"/>
      <c r="ED126" s="4"/>
      <c r="EE126" s="4"/>
      <c r="EF126" s="4"/>
      <c r="EG126" s="4"/>
      <c r="EH126" s="4"/>
      <c r="EI126" s="4"/>
      <c r="EJ126" s="4"/>
      <c r="EK126" s="4"/>
      <c r="EL126" s="4"/>
      <c r="EM126" s="4"/>
      <c r="EN126" s="4"/>
      <c r="EO126" s="4"/>
      <c r="EP126" s="4"/>
      <c r="EQ126" s="4"/>
      <c r="ER126" s="4"/>
      <c r="ES126" s="4"/>
    </row>
    <row r="127" spans="28:149" x14ac:dyDescent="0.25">
      <c r="AB127" s="4"/>
      <c r="AC127" s="4"/>
      <c r="AD127" s="4"/>
      <c r="AE127" s="4"/>
      <c r="AF127" s="4"/>
      <c r="AG127" s="4"/>
      <c r="AH127" s="4"/>
      <c r="AI127" s="4"/>
      <c r="AJ127" s="4"/>
      <c r="AK127" s="4"/>
      <c r="AL127" s="4"/>
      <c r="AM127" s="4"/>
      <c r="AN127" s="4"/>
      <c r="AO127" s="4"/>
      <c r="AP127" s="4"/>
      <c r="AQ127" s="4"/>
      <c r="AR127" s="4"/>
      <c r="AS127" s="4"/>
      <c r="AT127" s="4"/>
      <c r="AU127" s="4"/>
      <c r="AV127" s="4"/>
      <c r="AW127" s="4"/>
      <c r="AX127" s="4"/>
      <c r="AY127" s="4"/>
      <c r="AZ127" s="4"/>
      <c r="BA127" s="4"/>
      <c r="BB127" s="4"/>
      <c r="BC127" s="4"/>
      <c r="BD127" s="4"/>
      <c r="BE127" s="4"/>
      <c r="BF127" s="4"/>
      <c r="BG127" s="4"/>
      <c r="BH127" s="4"/>
      <c r="BI127" s="4"/>
      <c r="BJ127" s="4"/>
      <c r="BK127" s="4"/>
      <c r="BL127" s="4"/>
      <c r="BM127" s="4"/>
      <c r="BN127" s="4"/>
      <c r="BO127" s="4"/>
      <c r="BP127" s="4"/>
      <c r="BQ127" s="4"/>
      <c r="BR127" s="4"/>
      <c r="BS127" s="4"/>
      <c r="BT127" s="4"/>
      <c r="BU127" s="4"/>
      <c r="BV127" s="4"/>
      <c r="BW127" s="4"/>
      <c r="BX127" s="4"/>
      <c r="BY127" s="4"/>
      <c r="BZ127" s="4"/>
      <c r="CA127" s="4"/>
      <c r="CB127" s="4"/>
      <c r="CC127" s="4"/>
      <c r="CD127" s="4"/>
      <c r="CE127" s="4"/>
      <c r="CF127" s="4"/>
      <c r="CG127" s="4"/>
      <c r="CH127" s="4"/>
      <c r="CI127" s="4"/>
      <c r="CJ127" s="4"/>
      <c r="CK127" s="4"/>
      <c r="CL127" s="4"/>
      <c r="CM127" s="4"/>
      <c r="CN127" s="4"/>
      <c r="CO127" s="4"/>
      <c r="CP127" s="4"/>
      <c r="CQ127" s="4"/>
      <c r="CR127" s="4"/>
      <c r="CS127" s="4"/>
      <c r="CT127" s="4"/>
      <c r="CU127" s="4"/>
      <c r="CV127" s="4"/>
      <c r="CW127" s="4"/>
      <c r="CX127" s="4"/>
      <c r="CY127" s="4"/>
      <c r="CZ127" s="4"/>
      <c r="DA127" s="4"/>
      <c r="DB127" s="4"/>
      <c r="DC127" s="4"/>
      <c r="DD127" s="4"/>
      <c r="DE127" s="4"/>
      <c r="DF127" s="4"/>
      <c r="DG127" s="4"/>
      <c r="DH127" s="4"/>
      <c r="DI127" s="4"/>
      <c r="DJ127" s="4"/>
      <c r="DK127" s="4"/>
      <c r="DL127" s="4"/>
      <c r="DM127" s="4"/>
      <c r="DN127" s="4"/>
      <c r="DO127" s="4"/>
      <c r="DP127" s="4"/>
      <c r="DQ127" s="4"/>
      <c r="DR127" s="4"/>
      <c r="DS127" s="4"/>
      <c r="DT127" s="4"/>
      <c r="DU127" s="4"/>
      <c r="DV127" s="4"/>
      <c r="DW127" s="4"/>
      <c r="DX127" s="4"/>
      <c r="DY127" s="4"/>
      <c r="DZ127" s="4"/>
      <c r="EA127" s="4"/>
      <c r="EB127" s="4"/>
      <c r="EC127" s="4"/>
      <c r="ED127" s="4"/>
      <c r="EE127" s="4"/>
      <c r="EF127" s="4"/>
      <c r="EG127" s="4"/>
      <c r="EH127" s="4"/>
      <c r="EI127" s="4"/>
      <c r="EJ127" s="4"/>
      <c r="EK127" s="4"/>
      <c r="EL127" s="4"/>
      <c r="EM127" s="4"/>
      <c r="EN127" s="4"/>
      <c r="EO127" s="4"/>
      <c r="EP127" s="4"/>
      <c r="EQ127" s="4"/>
      <c r="ER127" s="4"/>
      <c r="ES127" s="4"/>
    </row>
    <row r="128" spans="28:149" x14ac:dyDescent="0.25">
      <c r="AB128" s="4"/>
      <c r="AC128" s="4"/>
      <c r="AD128" s="4"/>
      <c r="AE128" s="4"/>
      <c r="AF128" s="4"/>
      <c r="AG128" s="4"/>
      <c r="AH128" s="4"/>
      <c r="AI128" s="4"/>
      <c r="AJ128" s="4"/>
      <c r="AK128" s="4"/>
      <c r="AL128" s="4"/>
      <c r="AM128" s="4"/>
      <c r="AN128" s="4"/>
      <c r="AO128" s="4"/>
      <c r="AP128" s="4"/>
      <c r="AQ128" s="4"/>
      <c r="AR128" s="4"/>
      <c r="AS128" s="4"/>
      <c r="AT128" s="4"/>
      <c r="AU128" s="4"/>
      <c r="AV128" s="4"/>
      <c r="AW128" s="4"/>
      <c r="AX128" s="4"/>
      <c r="AY128" s="4"/>
      <c r="AZ128" s="4"/>
      <c r="BA128" s="4"/>
      <c r="BB128" s="4"/>
      <c r="BC128" s="4"/>
      <c r="BD128" s="4"/>
      <c r="BE128" s="4"/>
      <c r="BF128" s="4"/>
      <c r="BG128" s="4"/>
      <c r="BH128" s="4"/>
      <c r="BI128" s="4"/>
      <c r="BJ128" s="4"/>
      <c r="BK128" s="4"/>
      <c r="BL128" s="4"/>
      <c r="BM128" s="4"/>
      <c r="BN128" s="4"/>
      <c r="BO128" s="4"/>
      <c r="BP128" s="4"/>
      <c r="BQ128" s="4"/>
      <c r="BR128" s="4"/>
      <c r="BS128" s="4"/>
      <c r="BT128" s="4"/>
      <c r="BU128" s="4"/>
      <c r="BV128" s="4"/>
      <c r="BW128" s="4"/>
      <c r="BX128" s="4"/>
      <c r="BY128" s="4"/>
      <c r="BZ128" s="4"/>
      <c r="CA128" s="4"/>
      <c r="CB128" s="4"/>
      <c r="CC128" s="4"/>
      <c r="CD128" s="4"/>
      <c r="CE128" s="4"/>
      <c r="CF128" s="4"/>
      <c r="CG128" s="4"/>
      <c r="CH128" s="4"/>
      <c r="CI128" s="4"/>
      <c r="CJ128" s="4"/>
      <c r="CK128" s="4"/>
      <c r="CL128" s="4"/>
      <c r="CM128" s="4"/>
      <c r="CN128" s="4"/>
      <c r="CO128" s="4"/>
      <c r="CP128" s="4"/>
      <c r="CQ128" s="4"/>
      <c r="CR128" s="4"/>
      <c r="CS128" s="4"/>
      <c r="CT128" s="4"/>
      <c r="CU128" s="4"/>
      <c r="CV128" s="4"/>
      <c r="CW128" s="4"/>
      <c r="CX128" s="4"/>
      <c r="CY128" s="4"/>
      <c r="CZ128" s="4"/>
      <c r="DA128" s="4"/>
      <c r="DB128" s="4"/>
      <c r="DC128" s="4"/>
      <c r="DD128" s="4"/>
      <c r="DE128" s="4"/>
      <c r="DF128" s="4"/>
      <c r="DG128" s="4"/>
      <c r="DH128" s="4"/>
      <c r="DI128" s="4"/>
      <c r="DJ128" s="4"/>
      <c r="DK128" s="4"/>
      <c r="DL128" s="4"/>
      <c r="DM128" s="4"/>
      <c r="DN128" s="4"/>
      <c r="DO128" s="4"/>
      <c r="DP128" s="4"/>
      <c r="DQ128" s="4"/>
      <c r="DR128" s="4"/>
      <c r="DS128" s="4"/>
      <c r="DT128" s="4"/>
      <c r="DU128" s="4"/>
      <c r="DV128" s="4"/>
      <c r="DW128" s="4"/>
      <c r="DX128" s="4"/>
      <c r="DY128" s="4"/>
      <c r="DZ128" s="4"/>
      <c r="EA128" s="4"/>
      <c r="EB128" s="4"/>
      <c r="EC128" s="4"/>
      <c r="ED128" s="4"/>
      <c r="EE128" s="4"/>
      <c r="EF128" s="4"/>
      <c r="EG128" s="4"/>
      <c r="EH128" s="4"/>
      <c r="EI128" s="4"/>
      <c r="EJ128" s="4"/>
      <c r="EK128" s="4"/>
      <c r="EL128" s="4"/>
      <c r="EM128" s="4"/>
      <c r="EN128" s="4"/>
      <c r="EO128" s="4"/>
      <c r="EP128" s="4"/>
      <c r="EQ128" s="4"/>
      <c r="ER128" s="4"/>
      <c r="ES128" s="4"/>
    </row>
    <row r="129" spans="28:149" x14ac:dyDescent="0.25">
      <c r="AB129" s="4"/>
      <c r="AC129" s="4"/>
      <c r="AD129" s="4"/>
      <c r="AE129" s="4"/>
      <c r="AF129" s="4"/>
      <c r="AG129" s="4"/>
      <c r="AH129" s="4"/>
      <c r="AI129" s="4"/>
      <c r="AJ129" s="4"/>
      <c r="AK129" s="4"/>
      <c r="AL129" s="4"/>
      <c r="AM129" s="4"/>
      <c r="AN129" s="4"/>
      <c r="AO129" s="4"/>
      <c r="AP129" s="4"/>
      <c r="AQ129" s="4"/>
      <c r="AR129" s="4"/>
      <c r="AS129" s="4"/>
      <c r="AT129" s="4"/>
      <c r="AU129" s="4"/>
      <c r="AV129" s="4"/>
      <c r="AW129" s="4"/>
      <c r="AX129" s="4"/>
      <c r="AY129" s="4"/>
      <c r="AZ129" s="4"/>
      <c r="BA129" s="4"/>
      <c r="BB129" s="4"/>
      <c r="BC129" s="4"/>
      <c r="BD129" s="4"/>
      <c r="BE129" s="4"/>
      <c r="BF129" s="4"/>
      <c r="BG129" s="4"/>
      <c r="BH129" s="4"/>
      <c r="BI129" s="4"/>
      <c r="BJ129" s="4"/>
      <c r="BK129" s="4"/>
      <c r="BL129" s="4"/>
      <c r="BM129" s="4"/>
      <c r="BN129" s="4"/>
      <c r="BO129" s="4"/>
      <c r="BP129" s="4"/>
      <c r="BQ129" s="4"/>
      <c r="BR129" s="4"/>
      <c r="BS129" s="4"/>
      <c r="BT129" s="4"/>
      <c r="BU129" s="4"/>
      <c r="BV129" s="4"/>
      <c r="BW129" s="4"/>
      <c r="BX129" s="4"/>
      <c r="BY129" s="4"/>
      <c r="BZ129" s="4"/>
      <c r="CA129" s="4"/>
      <c r="CB129" s="4"/>
      <c r="CC129" s="4"/>
      <c r="CD129" s="4"/>
      <c r="CE129" s="4"/>
      <c r="CF129" s="4"/>
      <c r="CG129" s="4"/>
      <c r="CH129" s="4"/>
      <c r="CI129" s="4"/>
      <c r="CJ129" s="4"/>
      <c r="CK129" s="4"/>
      <c r="CL129" s="4"/>
      <c r="CM129" s="4"/>
      <c r="CN129" s="4"/>
      <c r="CO129" s="4"/>
      <c r="CP129" s="4"/>
      <c r="CQ129" s="4"/>
      <c r="CR129" s="4"/>
      <c r="CS129" s="4"/>
      <c r="CT129" s="4"/>
      <c r="CU129" s="4"/>
      <c r="CV129" s="4"/>
      <c r="CW129" s="4"/>
      <c r="CX129" s="4"/>
      <c r="CY129" s="4"/>
      <c r="CZ129" s="4"/>
      <c r="DA129" s="4"/>
      <c r="DB129" s="4"/>
      <c r="DC129" s="4"/>
      <c r="DD129" s="4"/>
      <c r="DE129" s="4"/>
      <c r="DF129" s="4"/>
      <c r="DG129" s="4"/>
      <c r="DH129" s="4"/>
      <c r="DI129" s="4"/>
      <c r="DJ129" s="4"/>
      <c r="DK129" s="4"/>
      <c r="DL129" s="4"/>
      <c r="DM129" s="4"/>
      <c r="DN129" s="4"/>
      <c r="DO129" s="4"/>
      <c r="DP129" s="4"/>
      <c r="DQ129" s="4"/>
      <c r="DR129" s="4"/>
      <c r="DS129" s="4"/>
      <c r="DT129" s="4"/>
      <c r="DU129" s="4"/>
      <c r="DV129" s="4"/>
      <c r="DW129" s="4"/>
      <c r="DX129" s="4"/>
      <c r="DY129" s="4"/>
      <c r="DZ129" s="4"/>
      <c r="EA129" s="4"/>
      <c r="EB129" s="4"/>
      <c r="EC129" s="4"/>
      <c r="ED129" s="4"/>
      <c r="EE129" s="4"/>
      <c r="EF129" s="4"/>
      <c r="EG129" s="4"/>
      <c r="EH129" s="4"/>
      <c r="EI129" s="4"/>
      <c r="EJ129" s="4"/>
      <c r="EK129" s="4"/>
      <c r="EL129" s="4"/>
      <c r="EM129" s="4"/>
      <c r="EN129" s="4"/>
      <c r="EO129" s="4"/>
      <c r="EP129" s="4"/>
      <c r="EQ129" s="4"/>
      <c r="ER129" s="4"/>
      <c r="ES129" s="4"/>
    </row>
    <row r="130" spans="28:149" x14ac:dyDescent="0.25">
      <c r="AB130" s="4"/>
      <c r="AC130" s="4"/>
      <c r="AD130" s="4"/>
      <c r="AE130" s="4"/>
      <c r="AF130" s="4"/>
      <c r="AG130" s="4"/>
      <c r="AH130" s="4"/>
      <c r="AI130" s="4"/>
      <c r="AJ130" s="4"/>
      <c r="AK130" s="4"/>
      <c r="AL130" s="4"/>
      <c r="AM130" s="4"/>
      <c r="AN130" s="4"/>
      <c r="AO130" s="4"/>
      <c r="AP130" s="4"/>
      <c r="AQ130" s="4"/>
      <c r="AR130" s="4"/>
      <c r="AS130" s="4"/>
      <c r="AT130" s="4"/>
      <c r="AU130" s="4"/>
      <c r="AV130" s="4"/>
      <c r="AW130" s="4"/>
      <c r="AX130" s="4"/>
      <c r="AY130" s="4"/>
      <c r="AZ130" s="4"/>
      <c r="BA130" s="4"/>
      <c r="BB130" s="4"/>
      <c r="BC130" s="4"/>
      <c r="BD130" s="4"/>
      <c r="BE130" s="4"/>
      <c r="BF130" s="4"/>
      <c r="BG130" s="4"/>
      <c r="BH130" s="4"/>
      <c r="BI130" s="4"/>
      <c r="BJ130" s="4"/>
      <c r="BK130" s="4"/>
      <c r="BL130" s="4"/>
      <c r="BM130" s="4"/>
      <c r="BN130" s="4"/>
      <c r="BO130" s="4"/>
      <c r="BP130" s="4"/>
      <c r="BQ130" s="4"/>
      <c r="BR130" s="4"/>
      <c r="BS130" s="4"/>
      <c r="BT130" s="4"/>
      <c r="BU130" s="4"/>
      <c r="BV130" s="4"/>
      <c r="BW130" s="4"/>
      <c r="BX130" s="4"/>
      <c r="BY130" s="4"/>
      <c r="BZ130" s="4"/>
      <c r="CA130" s="4"/>
      <c r="CB130" s="4"/>
      <c r="CC130" s="4"/>
      <c r="CD130" s="4"/>
      <c r="CE130" s="4"/>
      <c r="CF130" s="4"/>
      <c r="CG130" s="4"/>
      <c r="CH130" s="4"/>
      <c r="CI130" s="4"/>
      <c r="CJ130" s="4"/>
      <c r="CK130" s="4"/>
      <c r="CL130" s="4"/>
      <c r="CM130" s="4"/>
      <c r="CN130" s="4"/>
      <c r="CO130" s="4"/>
      <c r="CP130" s="4"/>
      <c r="CQ130" s="4"/>
      <c r="CR130" s="4"/>
      <c r="CS130" s="4"/>
      <c r="CT130" s="4"/>
      <c r="CU130" s="4"/>
      <c r="CV130" s="4"/>
      <c r="CW130" s="4"/>
      <c r="CX130" s="4"/>
      <c r="CY130" s="4"/>
      <c r="CZ130" s="4"/>
      <c r="DA130" s="4"/>
      <c r="DB130" s="4"/>
      <c r="DC130" s="4"/>
      <c r="DD130" s="4"/>
      <c r="DE130" s="4"/>
      <c r="DF130" s="4"/>
      <c r="DG130" s="4"/>
      <c r="DH130" s="4"/>
      <c r="DI130" s="4"/>
      <c r="DJ130" s="4"/>
      <c r="DK130" s="4"/>
      <c r="DL130" s="4"/>
      <c r="DM130" s="4"/>
      <c r="DN130" s="4"/>
      <c r="DO130" s="4"/>
      <c r="DP130" s="4"/>
      <c r="DQ130" s="4"/>
      <c r="DR130" s="4"/>
      <c r="DS130" s="4"/>
      <c r="DT130" s="4"/>
      <c r="DU130" s="4"/>
      <c r="DV130" s="4"/>
      <c r="DW130" s="4"/>
      <c r="DX130" s="4"/>
      <c r="DY130" s="4"/>
      <c r="DZ130" s="4"/>
      <c r="EA130" s="4"/>
      <c r="EB130" s="4"/>
      <c r="EC130" s="4"/>
      <c r="ED130" s="4"/>
      <c r="EE130" s="4"/>
      <c r="EF130" s="4"/>
      <c r="EG130" s="4"/>
      <c r="EH130" s="4"/>
      <c r="EI130" s="4"/>
      <c r="EJ130" s="4"/>
      <c r="EK130" s="4"/>
      <c r="EL130" s="4"/>
      <c r="EM130" s="4"/>
      <c r="EN130" s="4"/>
      <c r="EO130" s="4"/>
      <c r="EP130" s="4"/>
      <c r="EQ130" s="4"/>
      <c r="ER130" s="4"/>
      <c r="ES130" s="4"/>
    </row>
    <row r="131" spans="28:149" x14ac:dyDescent="0.25">
      <c r="AB131" s="4"/>
      <c r="AC131" s="4"/>
      <c r="AD131" s="4"/>
      <c r="AE131" s="4"/>
      <c r="AF131" s="4"/>
      <c r="AG131" s="4"/>
      <c r="AH131" s="4"/>
      <c r="AI131" s="4"/>
      <c r="AJ131" s="4"/>
      <c r="AK131" s="4"/>
      <c r="AL131" s="4"/>
      <c r="AM131" s="4"/>
      <c r="AN131" s="4"/>
      <c r="AO131" s="4"/>
      <c r="AP131" s="4"/>
      <c r="AQ131" s="4"/>
      <c r="AR131" s="4"/>
      <c r="AS131" s="4"/>
      <c r="AT131" s="4"/>
      <c r="AU131" s="4"/>
      <c r="AV131" s="4"/>
      <c r="AW131" s="4"/>
      <c r="AX131" s="4"/>
      <c r="AY131" s="4"/>
      <c r="AZ131" s="4"/>
      <c r="BA131" s="4"/>
      <c r="BB131" s="4"/>
      <c r="BC131" s="4"/>
      <c r="BD131" s="4"/>
      <c r="BE131" s="4"/>
      <c r="BF131" s="4"/>
      <c r="BG131" s="4"/>
      <c r="BH131" s="4"/>
      <c r="BI131" s="4"/>
      <c r="BJ131" s="4"/>
      <c r="BK131" s="4"/>
      <c r="BL131" s="4"/>
      <c r="BM131" s="4"/>
      <c r="BN131" s="4"/>
      <c r="BO131" s="4"/>
      <c r="BP131" s="4"/>
      <c r="BQ131" s="4"/>
      <c r="BR131" s="4"/>
      <c r="BS131" s="4"/>
      <c r="BT131" s="4"/>
      <c r="BU131" s="4"/>
      <c r="BV131" s="4"/>
      <c r="BW131" s="4"/>
      <c r="BX131" s="4"/>
      <c r="BY131" s="4"/>
      <c r="BZ131" s="4"/>
      <c r="CA131" s="4"/>
      <c r="CB131" s="4"/>
      <c r="CC131" s="4"/>
      <c r="CD131" s="4"/>
      <c r="CE131" s="4"/>
      <c r="CF131" s="4"/>
      <c r="CG131" s="4"/>
      <c r="CH131" s="4"/>
      <c r="CI131" s="4"/>
      <c r="CJ131" s="4"/>
      <c r="CK131" s="4"/>
      <c r="CL131" s="4"/>
      <c r="CM131" s="4"/>
      <c r="CN131" s="4"/>
      <c r="CO131" s="4"/>
      <c r="CP131" s="4"/>
      <c r="CQ131" s="4"/>
      <c r="CR131" s="4"/>
      <c r="CS131" s="4"/>
      <c r="CT131" s="4"/>
      <c r="CU131" s="4"/>
      <c r="CV131" s="4"/>
      <c r="CW131" s="4"/>
      <c r="CX131" s="4"/>
      <c r="CY131" s="4"/>
      <c r="CZ131" s="4"/>
      <c r="DA131" s="4"/>
      <c r="DB131" s="4"/>
      <c r="DC131" s="4"/>
      <c r="DD131" s="4"/>
      <c r="DE131" s="4"/>
      <c r="DF131" s="4"/>
      <c r="DG131" s="4"/>
      <c r="DH131" s="4"/>
      <c r="DI131" s="4"/>
      <c r="DJ131" s="4"/>
      <c r="DK131" s="4"/>
      <c r="DL131" s="4"/>
      <c r="DM131" s="4"/>
      <c r="DN131" s="4"/>
      <c r="DO131" s="4"/>
      <c r="DP131" s="4"/>
      <c r="DQ131" s="4"/>
      <c r="DR131" s="4"/>
      <c r="DS131" s="4"/>
      <c r="DT131" s="4"/>
      <c r="DU131" s="4"/>
      <c r="DV131" s="4"/>
      <c r="DW131" s="4"/>
      <c r="DX131" s="4"/>
      <c r="DY131" s="4"/>
      <c r="DZ131" s="4"/>
      <c r="EA131" s="4"/>
      <c r="EB131" s="4"/>
      <c r="EC131" s="4"/>
      <c r="ED131" s="4"/>
      <c r="EE131" s="4"/>
      <c r="EF131" s="4"/>
      <c r="EG131" s="4"/>
      <c r="EH131" s="4"/>
      <c r="EI131" s="4"/>
      <c r="EJ131" s="4"/>
      <c r="EK131" s="4"/>
      <c r="EL131" s="4"/>
      <c r="EM131" s="4"/>
      <c r="EN131" s="4"/>
      <c r="EO131" s="4"/>
      <c r="EP131" s="4"/>
      <c r="EQ131" s="4"/>
      <c r="ER131" s="4"/>
      <c r="ES131" s="4"/>
    </row>
    <row r="132" spans="28:149" x14ac:dyDescent="0.25">
      <c r="AB132" s="4"/>
      <c r="AC132" s="4"/>
      <c r="AD132" s="4"/>
      <c r="AE132" s="4"/>
      <c r="AF132" s="4"/>
      <c r="AG132" s="4"/>
      <c r="AH132" s="4"/>
      <c r="AI132" s="4"/>
      <c r="AJ132" s="4"/>
      <c r="AK132" s="4"/>
      <c r="AL132" s="4"/>
      <c r="AM132" s="4"/>
      <c r="AN132" s="4"/>
      <c r="AO132" s="4"/>
      <c r="AP132" s="4"/>
      <c r="AQ132" s="4"/>
      <c r="AR132" s="4"/>
      <c r="AS132" s="4"/>
      <c r="AT132" s="4"/>
      <c r="AU132" s="4"/>
      <c r="AV132" s="4"/>
      <c r="AW132" s="4"/>
      <c r="AX132" s="4"/>
      <c r="AY132" s="4"/>
      <c r="AZ132" s="4"/>
      <c r="BA132" s="4"/>
      <c r="BB132" s="4"/>
      <c r="BC132" s="4"/>
      <c r="BD132" s="4"/>
      <c r="BE132" s="4"/>
      <c r="BF132" s="4"/>
      <c r="BG132" s="4"/>
      <c r="BH132" s="4"/>
      <c r="BI132" s="4"/>
      <c r="BJ132" s="4"/>
      <c r="BK132" s="4"/>
      <c r="BL132" s="4"/>
      <c r="BM132" s="4"/>
      <c r="BN132" s="4"/>
      <c r="BO132" s="4"/>
      <c r="BP132" s="4"/>
      <c r="BQ132" s="4"/>
      <c r="BR132" s="4"/>
      <c r="BS132" s="4"/>
      <c r="BT132" s="4"/>
      <c r="BU132" s="4"/>
      <c r="BV132" s="4"/>
      <c r="BW132" s="4"/>
      <c r="BX132" s="4"/>
      <c r="BY132" s="4"/>
      <c r="BZ132" s="4"/>
      <c r="CA132" s="4"/>
      <c r="CB132" s="4"/>
      <c r="CC132" s="4"/>
      <c r="CD132" s="4"/>
      <c r="CE132" s="4"/>
      <c r="CF132" s="4"/>
      <c r="CG132" s="4"/>
      <c r="CH132" s="4"/>
      <c r="CI132" s="4"/>
      <c r="CJ132" s="4"/>
      <c r="CK132" s="4"/>
      <c r="CL132" s="4"/>
      <c r="CM132" s="4"/>
      <c r="CN132" s="4"/>
      <c r="CO132" s="4"/>
      <c r="CP132" s="4"/>
      <c r="CQ132" s="4"/>
      <c r="CR132" s="4"/>
      <c r="CS132" s="4"/>
      <c r="CT132" s="4"/>
      <c r="CU132" s="4"/>
      <c r="CV132" s="4"/>
      <c r="CW132" s="4"/>
      <c r="CX132" s="4"/>
      <c r="CY132" s="4"/>
      <c r="CZ132" s="4"/>
      <c r="DA132" s="4"/>
      <c r="DB132" s="4"/>
      <c r="DC132" s="4"/>
      <c r="DD132" s="4"/>
      <c r="DE132" s="4"/>
      <c r="DF132" s="4"/>
      <c r="DG132" s="4"/>
      <c r="DH132" s="4"/>
      <c r="DI132" s="4"/>
      <c r="DJ132" s="4"/>
      <c r="DK132" s="4"/>
      <c r="DL132" s="4"/>
      <c r="DM132" s="4"/>
      <c r="DN132" s="4"/>
      <c r="DO132" s="4"/>
      <c r="DP132" s="4"/>
      <c r="DQ132" s="4"/>
      <c r="DR132" s="4"/>
      <c r="DS132" s="4"/>
      <c r="DT132" s="4"/>
      <c r="DU132" s="4"/>
      <c r="DV132" s="4"/>
      <c r="DW132" s="4"/>
      <c r="DX132" s="4"/>
      <c r="DY132" s="4"/>
      <c r="DZ132" s="4"/>
      <c r="EA132" s="4"/>
      <c r="EB132" s="4"/>
      <c r="EC132" s="4"/>
      <c r="ED132" s="4"/>
      <c r="EE132" s="4"/>
      <c r="EF132" s="4"/>
      <c r="EG132" s="4"/>
      <c r="EH132" s="4"/>
      <c r="EI132" s="4"/>
      <c r="EJ132" s="4"/>
      <c r="EK132" s="4"/>
      <c r="EL132" s="4"/>
      <c r="EM132" s="4"/>
      <c r="EN132" s="4"/>
      <c r="EO132" s="4"/>
      <c r="EP132" s="4"/>
      <c r="EQ132" s="4"/>
      <c r="ER132" s="4"/>
      <c r="ES132" s="4"/>
    </row>
    <row r="133" spans="28:149" x14ac:dyDescent="0.25">
      <c r="AB133" s="4"/>
      <c r="AC133" s="4"/>
      <c r="AD133" s="4"/>
      <c r="AE133" s="4"/>
      <c r="AF133" s="4"/>
      <c r="AG133" s="4"/>
      <c r="AH133" s="4"/>
      <c r="AI133" s="4"/>
      <c r="AJ133" s="4"/>
      <c r="AK133" s="4"/>
      <c r="AL133" s="4"/>
      <c r="AM133" s="4"/>
      <c r="AN133" s="4"/>
      <c r="AO133" s="4"/>
      <c r="AP133" s="4"/>
      <c r="AQ133" s="4"/>
      <c r="AR133" s="4"/>
      <c r="AS133" s="4"/>
      <c r="AT133" s="4"/>
      <c r="AU133" s="4"/>
      <c r="AV133" s="4"/>
      <c r="AW133" s="4"/>
      <c r="AX133" s="4"/>
      <c r="AY133" s="4"/>
      <c r="AZ133" s="4"/>
      <c r="BA133" s="4"/>
      <c r="BB133" s="4"/>
      <c r="BC133" s="4"/>
      <c r="BD133" s="4"/>
      <c r="BE133" s="4"/>
      <c r="BF133" s="4"/>
      <c r="BG133" s="4"/>
      <c r="BH133" s="4"/>
      <c r="BI133" s="4"/>
      <c r="BJ133" s="4"/>
      <c r="BK133" s="4"/>
      <c r="BL133" s="4"/>
      <c r="BM133" s="4"/>
      <c r="BN133" s="4"/>
      <c r="BO133" s="4"/>
      <c r="BP133" s="4"/>
      <c r="BQ133" s="4"/>
      <c r="BR133" s="4"/>
      <c r="BS133" s="4"/>
      <c r="BT133" s="4"/>
      <c r="BU133" s="4"/>
      <c r="BV133" s="4"/>
      <c r="BW133" s="4"/>
      <c r="BX133" s="4"/>
      <c r="BY133" s="4"/>
      <c r="BZ133" s="4"/>
      <c r="CA133" s="4"/>
      <c r="CB133" s="4"/>
      <c r="CC133" s="4"/>
      <c r="CD133" s="4"/>
      <c r="CE133" s="4"/>
      <c r="CF133" s="4"/>
      <c r="CG133" s="4"/>
      <c r="CH133" s="4"/>
      <c r="CI133" s="4"/>
      <c r="CJ133" s="4"/>
      <c r="CK133" s="4"/>
      <c r="CL133" s="4"/>
      <c r="CM133" s="4"/>
      <c r="CN133" s="4"/>
      <c r="CO133" s="4"/>
      <c r="CP133" s="4"/>
      <c r="CQ133" s="4"/>
      <c r="CR133" s="4"/>
      <c r="CS133" s="4"/>
      <c r="CT133" s="4"/>
      <c r="CU133" s="4"/>
      <c r="CV133" s="4"/>
      <c r="CW133" s="4"/>
      <c r="CX133" s="4"/>
      <c r="CY133" s="4"/>
      <c r="CZ133" s="4"/>
      <c r="DA133" s="4"/>
      <c r="DB133" s="4"/>
      <c r="DC133" s="4"/>
      <c r="DD133" s="4"/>
      <c r="DE133" s="4"/>
      <c r="DF133" s="4"/>
      <c r="DG133" s="4"/>
      <c r="DH133" s="4"/>
      <c r="DI133" s="4"/>
      <c r="DJ133" s="4"/>
      <c r="DK133" s="4"/>
      <c r="DL133" s="4"/>
      <c r="DM133" s="4"/>
      <c r="DN133" s="4"/>
      <c r="DO133" s="4"/>
      <c r="DP133" s="4"/>
      <c r="DQ133" s="4"/>
      <c r="DR133" s="4"/>
      <c r="DS133" s="4"/>
      <c r="DT133" s="4"/>
      <c r="DU133" s="4"/>
      <c r="DV133" s="4"/>
      <c r="DW133" s="4"/>
      <c r="DX133" s="4"/>
      <c r="DY133" s="4"/>
      <c r="DZ133" s="4"/>
      <c r="EA133" s="4"/>
      <c r="EB133" s="4"/>
      <c r="EC133" s="4"/>
      <c r="ED133" s="4"/>
      <c r="EE133" s="4"/>
      <c r="EF133" s="4"/>
      <c r="EG133" s="4"/>
      <c r="EH133" s="4"/>
      <c r="EI133" s="4"/>
      <c r="EJ133" s="4"/>
      <c r="EK133" s="4"/>
      <c r="EL133" s="4"/>
      <c r="EM133" s="4"/>
      <c r="EN133" s="4"/>
      <c r="EO133" s="4"/>
      <c r="EP133" s="4"/>
      <c r="EQ133" s="4"/>
      <c r="ER133" s="4"/>
      <c r="ES133" s="4"/>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1AC87D-2E9B-4211-951E-4673B391B123}">
  <dimension ref="A1:S218"/>
  <sheetViews>
    <sheetView showGridLines="0" topLeftCell="A178" zoomScale="85" zoomScaleNormal="85" workbookViewId="0">
      <selection activeCell="D198" sqref="D194:D198"/>
    </sheetView>
  </sheetViews>
  <sheetFormatPr defaultRowHeight="15.75" x14ac:dyDescent="0.25"/>
  <cols>
    <col min="1" max="1" width="26.875" style="3" customWidth="1"/>
    <col min="2" max="2" width="4.125" style="3" customWidth="1"/>
    <col min="3" max="3" width="4.125" style="14" customWidth="1"/>
    <col min="4" max="4" width="41.25" style="14" customWidth="1"/>
    <col min="5" max="10" width="26.875" style="14" customWidth="1"/>
    <col min="11" max="18" width="30.625" style="8" customWidth="1"/>
    <col min="19" max="19" width="4.625" style="8" customWidth="1"/>
    <col min="20" max="16384" width="9" style="3"/>
  </cols>
  <sheetData>
    <row r="1" spans="1:19" ht="30" customHeight="1" x14ac:dyDescent="0.35">
      <c r="A1" s="139" t="e" vm="1">
        <v>#VALUE!</v>
      </c>
      <c r="C1" s="97" t="s">
        <v>309</v>
      </c>
      <c r="D1" s="4"/>
      <c r="E1" s="4"/>
      <c r="F1" s="4"/>
      <c r="G1" s="4"/>
      <c r="H1" s="4"/>
      <c r="I1" s="4"/>
      <c r="J1" s="4"/>
      <c r="K1" s="4"/>
      <c r="L1" s="4"/>
      <c r="M1" s="4"/>
      <c r="N1" s="4"/>
      <c r="O1" s="4"/>
      <c r="P1" s="4"/>
      <c r="Q1" s="4"/>
      <c r="R1" s="4"/>
      <c r="S1" s="4"/>
    </row>
    <row r="2" spans="1:19" ht="20.100000000000001" customHeight="1" x14ac:dyDescent="0.25">
      <c r="A2" s="4"/>
      <c r="C2" s="2"/>
      <c r="D2" s="2"/>
      <c r="E2" s="2"/>
      <c r="F2" s="2"/>
      <c r="G2" s="2"/>
      <c r="H2" s="2"/>
      <c r="I2" s="2"/>
      <c r="J2" s="2"/>
      <c r="K2" s="2"/>
      <c r="L2" s="2"/>
      <c r="M2" s="2"/>
      <c r="N2" s="2"/>
      <c r="O2" s="2"/>
      <c r="P2" s="2"/>
      <c r="Q2" s="2"/>
      <c r="R2" s="2"/>
      <c r="S2" s="2"/>
    </row>
    <row r="3" spans="1:19" ht="30" customHeight="1" x14ac:dyDescent="0.25">
      <c r="C3" s="28"/>
      <c r="D3" s="28"/>
      <c r="E3" s="28"/>
      <c r="F3" s="28"/>
      <c r="G3" s="28"/>
      <c r="H3" s="28"/>
      <c r="I3" s="28"/>
      <c r="J3" s="28"/>
      <c r="K3" s="28"/>
      <c r="L3" s="28"/>
      <c r="M3" s="28"/>
      <c r="N3" s="28"/>
      <c r="O3" s="28"/>
      <c r="P3" s="28"/>
      <c r="Q3" s="28"/>
      <c r="R3" s="28"/>
      <c r="S3" s="28"/>
    </row>
    <row r="4" spans="1:19" ht="30" customHeight="1" x14ac:dyDescent="0.25">
      <c r="C4" s="7"/>
      <c r="D4" s="7"/>
      <c r="E4" s="7"/>
      <c r="F4" s="7"/>
      <c r="G4" s="7"/>
      <c r="H4" s="7"/>
      <c r="I4" s="7"/>
      <c r="J4" s="7"/>
    </row>
    <row r="5" spans="1:19" ht="30" customHeight="1" x14ac:dyDescent="0.25">
      <c r="C5" s="8"/>
      <c r="D5" s="9" t="s">
        <v>391</v>
      </c>
      <c r="E5" s="7"/>
      <c r="F5" s="7"/>
      <c r="G5" s="7"/>
      <c r="H5" s="7"/>
      <c r="I5" s="7"/>
      <c r="J5" s="7"/>
    </row>
    <row r="6" spans="1:19" ht="30" customHeight="1" x14ac:dyDescent="0.25">
      <c r="C6" s="8"/>
      <c r="D6" s="143" t="s">
        <v>395</v>
      </c>
      <c r="E6" s="148"/>
      <c r="F6" s="148"/>
      <c r="G6" s="148"/>
      <c r="H6" s="148"/>
      <c r="I6" s="148"/>
      <c r="J6" s="148"/>
    </row>
    <row r="7" spans="1:19" ht="30" customHeight="1" x14ac:dyDescent="0.25">
      <c r="C7" s="8"/>
      <c r="D7" s="81" t="s">
        <v>326</v>
      </c>
      <c r="E7" s="82"/>
      <c r="F7" s="82"/>
      <c r="G7" s="83"/>
      <c r="H7" s="7"/>
      <c r="I7" s="7"/>
      <c r="J7" s="7"/>
    </row>
    <row r="8" spans="1:19" ht="30" customHeight="1" x14ac:dyDescent="0.25">
      <c r="C8" s="8"/>
      <c r="D8" s="33" t="s">
        <v>327</v>
      </c>
      <c r="E8" s="34"/>
      <c r="F8" s="34"/>
      <c r="G8" s="35"/>
      <c r="H8" s="7"/>
      <c r="I8" s="7"/>
      <c r="J8" s="7"/>
    </row>
    <row r="9" spans="1:19" ht="30" customHeight="1" x14ac:dyDescent="0.25">
      <c r="C9" s="8"/>
      <c r="D9" s="148"/>
      <c r="E9" s="148"/>
      <c r="F9" s="148"/>
      <c r="G9" s="148"/>
      <c r="H9" s="148"/>
      <c r="I9" s="148"/>
      <c r="J9" s="148"/>
      <c r="K9" s="46" t="str" cm="1">
        <f t="array" ref="K9">IF(
  SUMPRODUCT((Table_Input_Pesticides[Constituent unit (select)]="fraction of product")*(Table_Input_Pesticides[Active ingredient 1 amount]&gt;1)*(Table_Input_Pesticides[Active ingredient 2 amount]&lt;&gt;""))&gt;0,
  "Alert: If constituent unit is fraction of product, amount cannot exceed 1",
  IF(
    SUMPRODUCT((Table_Input_Pesticides[Constituent unit (select)]="grams/litre or grams/kg")*(Table_Input_Pesticides[Active ingredient 1 amount]&lt;1)*(Table_Input_Pesticides[Active ingredient 2 amount]&lt;&gt;""))&gt;0,
    "Alert: If constituent unit is grams/kg or litre, amount cannot be less than 1",
    ""
  )
)</f>
        <v/>
      </c>
      <c r="N9" s="46" t="str" cm="1">
        <f t="array" ref="N9">IF(
  SUMPRODUCT((Table_Input_Pesticides[Constituent unit (select)]="fraction of product")*(Table_Input_Pesticides[Active ingredient 2 amount]&gt;1)*(Table_Input_Pesticides[Active ingredient 2 amount]&lt;&gt;""))&gt;0,
  "Alert: If constituent unit is fraction of product, amount cannot exceed 1",
  IF(
    SUMPRODUCT((Table_Input_Pesticides[Constituent unit (select)]="grams/litre or grams/kg")*(Table_Input_Pesticides[Active ingredient 2 amount]&lt;1)*(Table_Input_Pesticides[Active ingredient 2 amount]&lt;&gt;""))&gt;0,
    "Alert: If constituent unit is grams/kg or litre, amount cannot be less than 1",
    ""
  )
)</f>
        <v/>
      </c>
      <c r="Q9" s="46" t="str" cm="1">
        <f t="array" ref="Q9">IF(
  SUMPRODUCT((Table_Input_Pesticides[Constituent unit (select)]="fraction of product")*(Table_Input_Pesticides[Active ingredient 3 amount]&gt;1)*(Table_Input_Pesticides[Active ingredient 3 amount]&lt;&gt;""))&gt;0,
  "Alert: If constituent unit is fraction of product, amount cannot exceed 1",
  IF(
    SUMPRODUCT((Table_Input_Pesticides[Constituent unit (select)]="grams/litre or grams/kg")*(Table_Input_Pesticides[Active ingredient 3 amount]&lt;1)*(Table_Input_Pesticides[Active ingredient 3 amount]&lt;&gt;""))&gt;0,
    "Alert: If constituent unit is grams/kg or litre, amount cannot be less than 1",
    ""
  )
)</f>
        <v/>
      </c>
    </row>
    <row r="10" spans="1:19" ht="30" customHeight="1" x14ac:dyDescent="0.25">
      <c r="D10" s="155" t="s">
        <v>171</v>
      </c>
      <c r="E10" s="155" t="s">
        <v>328</v>
      </c>
      <c r="F10" s="155" t="s">
        <v>329</v>
      </c>
      <c r="G10" s="155" t="s">
        <v>206</v>
      </c>
      <c r="H10" s="155" t="s">
        <v>330</v>
      </c>
      <c r="I10" s="155" t="s">
        <v>455</v>
      </c>
      <c r="J10" s="155" t="s">
        <v>331</v>
      </c>
      <c r="K10" s="164" t="s">
        <v>332</v>
      </c>
      <c r="L10" s="164" t="s">
        <v>451</v>
      </c>
      <c r="M10" s="164" t="s">
        <v>333</v>
      </c>
      <c r="N10" s="164" t="s">
        <v>334</v>
      </c>
      <c r="O10" s="164" t="s">
        <v>452</v>
      </c>
      <c r="P10" s="164" t="s">
        <v>335</v>
      </c>
      <c r="Q10" s="164" t="s">
        <v>336</v>
      </c>
      <c r="R10" s="164" t="s">
        <v>453</v>
      </c>
    </row>
    <row r="11" spans="1:19" ht="30" customHeight="1" x14ac:dyDescent="0.25">
      <c r="D11" s="141" t="s">
        <v>457</v>
      </c>
      <c r="E11" s="156">
        <v>10</v>
      </c>
      <c r="F11" s="37" t="s">
        <v>447</v>
      </c>
      <c r="G11" s="58">
        <v>100</v>
      </c>
      <c r="H11" s="39">
        <f>Table_Input_Pesticides[[#This Row],[Amount applied per ha]]*Table_Input_Pesticides[[#This Row],[Application area (ha)]]</f>
        <v>1000</v>
      </c>
      <c r="I11" s="37" t="s">
        <v>446</v>
      </c>
      <c r="J11" s="37" t="s">
        <v>445</v>
      </c>
      <c r="K11" s="58">
        <v>100</v>
      </c>
      <c r="L11" s="39">
        <f>Table_Input_Pesticides[[#This Row],[Total applied]]*Table_Input_Pesticides[[#This Row],[Active ingredient 1 amount]]*IF(Table_Input_Pesticides[[#This Row],[Constituent unit (select)]]="fraction of product", 1, 10^-3)</f>
        <v>100</v>
      </c>
      <c r="M11" s="37" t="s">
        <v>445</v>
      </c>
      <c r="N11" s="58">
        <v>100</v>
      </c>
      <c r="O11" s="39">
        <f>Table_Input_Pesticides[[#This Row],[Total applied]]*Table_Input_Pesticides[[#This Row],[Active ingredient 2 amount]]*IF(Table_Input_Pesticides[[#This Row],[Constituent unit (select)]]="fraction of product", 1, 10^-3)</f>
        <v>100</v>
      </c>
      <c r="P11" s="37" t="s">
        <v>718</v>
      </c>
      <c r="Q11" s="58">
        <v>100</v>
      </c>
      <c r="R11" s="39">
        <f>Table_Input_Pesticides[[#This Row],[Total applied]]*Table_Input_Pesticides[[#This Row],[Active ingredient 3 amount]]*IF(Table_Input_Pesticides[[#This Row],[Constituent unit (select)]]="fraction of product", 1, 10^-3)</f>
        <v>100</v>
      </c>
    </row>
    <row r="12" spans="1:19" ht="30" customHeight="1" x14ac:dyDescent="0.25">
      <c r="C12" s="8"/>
      <c r="D12" s="141" t="s">
        <v>456</v>
      </c>
      <c r="E12" s="156">
        <v>10</v>
      </c>
      <c r="F12" s="37" t="s">
        <v>337</v>
      </c>
      <c r="G12" s="58">
        <v>100</v>
      </c>
      <c r="H12" s="39">
        <f>Table_Input_Pesticides[[#This Row],[Amount applied per ha]]*Table_Input_Pesticides[[#This Row],[Application area (ha)]]</f>
        <v>1000</v>
      </c>
      <c r="I12" s="37" t="s">
        <v>446</v>
      </c>
      <c r="J12" s="37" t="s">
        <v>445</v>
      </c>
      <c r="K12" s="58">
        <v>100</v>
      </c>
      <c r="L12" s="39">
        <f>Table_Input_Pesticides[[#This Row],[Total applied]]*Table_Input_Pesticides[[#This Row],[Active ingredient 1 amount]]*IF(Table_Input_Pesticides[[#This Row],[Constituent unit (select)]]="fraction of product", 1, 10^-3)</f>
        <v>100</v>
      </c>
      <c r="M12" s="37" t="s">
        <v>716</v>
      </c>
      <c r="N12" s="58">
        <v>100</v>
      </c>
      <c r="O12" s="39">
        <f>Table_Input_Pesticides[[#This Row],[Total applied]]*Table_Input_Pesticides[[#This Row],[Active ingredient 2 amount]]*IF(Table_Input_Pesticides[[#This Row],[Constituent unit (select)]]="fraction of product", 1, 10^-3)</f>
        <v>100</v>
      </c>
      <c r="P12" s="37" t="s">
        <v>719</v>
      </c>
      <c r="Q12" s="58">
        <v>100</v>
      </c>
      <c r="R12" s="39">
        <f>Table_Input_Pesticides[[#This Row],[Total applied]]*Table_Input_Pesticides[[#This Row],[Active ingredient 3 amount]]*IF(Table_Input_Pesticides[[#This Row],[Constituent unit (select)]]="fraction of product", 1, 10^-3)</f>
        <v>100</v>
      </c>
    </row>
    <row r="13" spans="1:19" ht="30" customHeight="1" x14ac:dyDescent="0.25">
      <c r="C13" s="8"/>
      <c r="D13" s="141" t="s">
        <v>454</v>
      </c>
      <c r="E13" s="156">
        <v>10</v>
      </c>
      <c r="F13" s="37" t="s">
        <v>447</v>
      </c>
      <c r="G13" s="58">
        <v>100</v>
      </c>
      <c r="H13" s="39">
        <f>Table_Input_Pesticides[[#This Row],[Amount applied per ha]]*Table_Input_Pesticides[[#This Row],[Application area (ha)]]</f>
        <v>1000</v>
      </c>
      <c r="I13" s="37" t="s">
        <v>446</v>
      </c>
      <c r="J13" s="37" t="s">
        <v>445</v>
      </c>
      <c r="K13" s="58">
        <v>100</v>
      </c>
      <c r="L13" s="39">
        <f>Table_Input_Pesticides[[#This Row],[Total applied]]*Table_Input_Pesticides[[#This Row],[Active ingredient 1 amount]]*IF(Table_Input_Pesticides[[#This Row],[Constituent unit (select)]]="fraction of product", 1, 10^-3)</f>
        <v>100</v>
      </c>
      <c r="M13" s="37" t="s">
        <v>717</v>
      </c>
      <c r="N13" s="58">
        <v>100</v>
      </c>
      <c r="O13" s="39">
        <f>Table_Input_Pesticides[[#This Row],[Total applied]]*Table_Input_Pesticides[[#This Row],[Active ingredient 2 amount]]*IF(Table_Input_Pesticides[[#This Row],[Constituent unit (select)]]="fraction of product", 1, 10^-3)</f>
        <v>100</v>
      </c>
      <c r="P13" s="37" t="s">
        <v>720</v>
      </c>
      <c r="Q13" s="58">
        <v>100</v>
      </c>
      <c r="R13" s="39">
        <f>Table_Input_Pesticides[[#This Row],[Total applied]]*Table_Input_Pesticides[[#This Row],[Active ingredient 3 amount]]*IF(Table_Input_Pesticides[[#This Row],[Constituent unit (select)]]="fraction of product", 1, 10^-3)</f>
        <v>100</v>
      </c>
    </row>
    <row r="14" spans="1:19" ht="30" customHeight="1" x14ac:dyDescent="0.25">
      <c r="D14" s="141"/>
      <c r="E14" s="156"/>
      <c r="F14" s="37"/>
      <c r="G14" s="163"/>
      <c r="H14" s="39">
        <f>Table_Input_Pesticides[[#This Row],[Amount applied per ha]]*Table_Input_Pesticides[[#This Row],[Application area (ha)]]</f>
        <v>0</v>
      </c>
      <c r="I14" s="37"/>
      <c r="J14" s="37"/>
      <c r="K14" s="163"/>
      <c r="L14" s="39">
        <f>Table_Input_Pesticides[[#This Row],[Total applied]]*Table_Input_Pesticides[[#This Row],[Active ingredient 1 amount]]*IF(Table_Input_Pesticides[[#This Row],[Constituent unit (select)]]="fraction of product", 1, 10^-3)</f>
        <v>0</v>
      </c>
      <c r="M14" s="37"/>
      <c r="N14" s="163"/>
      <c r="O14" s="39">
        <f>Table_Input_Pesticides[[#This Row],[Total applied]]*Table_Input_Pesticides[[#This Row],[Active ingredient 2 amount]]*IF(Table_Input_Pesticides[[#This Row],[Constituent unit (select)]]="fraction of product", 1, 10^-3)</f>
        <v>0</v>
      </c>
      <c r="P14" s="37"/>
      <c r="Q14" s="163"/>
      <c r="R14" s="39">
        <f>Table_Input_Pesticides[[#This Row],[Total applied]]*Table_Input_Pesticides[[#This Row],[Active ingredient 3 amount]]*IF(Table_Input_Pesticides[[#This Row],[Constituent unit (select)]]="fraction of product", 1, 10^-3)</f>
        <v>0</v>
      </c>
    </row>
    <row r="15" spans="1:19" ht="30" customHeight="1" x14ac:dyDescent="0.25">
      <c r="D15" s="141"/>
      <c r="E15" s="156"/>
      <c r="F15" s="37"/>
      <c r="G15" s="163"/>
      <c r="H15" s="39">
        <f>Table_Input_Pesticides[[#This Row],[Amount applied per ha]]*Table_Input_Pesticides[[#This Row],[Application area (ha)]]</f>
        <v>0</v>
      </c>
      <c r="I15" s="37"/>
      <c r="J15" s="37"/>
      <c r="K15" s="163"/>
      <c r="L15" s="39">
        <f>Table_Input_Pesticides[[#This Row],[Total applied]]*Table_Input_Pesticides[[#This Row],[Active ingredient 1 amount]]*IF(Table_Input_Pesticides[[#This Row],[Constituent unit (select)]]="fraction of product", 1, 10^-3)</f>
        <v>0</v>
      </c>
      <c r="M15" s="37"/>
      <c r="N15" s="163"/>
      <c r="O15" s="39">
        <f>Table_Input_Pesticides[[#This Row],[Total applied]]*Table_Input_Pesticides[[#This Row],[Active ingredient 2 amount]]*IF(Table_Input_Pesticides[[#This Row],[Constituent unit (select)]]="fraction of product", 1, 10^-3)</f>
        <v>0</v>
      </c>
      <c r="P15" s="37"/>
      <c r="Q15" s="163"/>
      <c r="R15" s="39">
        <f>Table_Input_Pesticides[[#This Row],[Total applied]]*Table_Input_Pesticides[[#This Row],[Active ingredient 3 amount]]*IF(Table_Input_Pesticides[[#This Row],[Constituent unit (select)]]="fraction of product", 1, 10^-3)</f>
        <v>0</v>
      </c>
    </row>
    <row r="16" spans="1:19" ht="30" customHeight="1" x14ac:dyDescent="0.25">
      <c r="D16" s="141"/>
      <c r="E16" s="156"/>
      <c r="F16" s="37"/>
      <c r="G16" s="163"/>
      <c r="H16" s="39">
        <f>Table_Input_Pesticides[[#This Row],[Amount applied per ha]]*Table_Input_Pesticides[[#This Row],[Application area (ha)]]</f>
        <v>0</v>
      </c>
      <c r="I16" s="37"/>
      <c r="J16" s="37"/>
      <c r="K16" s="163"/>
      <c r="L16" s="39">
        <f>Table_Input_Pesticides[[#This Row],[Total applied]]*Table_Input_Pesticides[[#This Row],[Active ingredient 1 amount]]*IF(Table_Input_Pesticides[[#This Row],[Constituent unit (select)]]="fraction of product", 1, 10^-3)</f>
        <v>0</v>
      </c>
      <c r="M16" s="37"/>
      <c r="N16" s="163"/>
      <c r="O16" s="39">
        <f>Table_Input_Pesticides[[#This Row],[Total applied]]*Table_Input_Pesticides[[#This Row],[Active ingredient 2 amount]]*IF(Table_Input_Pesticides[[#This Row],[Constituent unit (select)]]="fraction of product", 1, 10^-3)</f>
        <v>0</v>
      </c>
      <c r="P16" s="37"/>
      <c r="Q16" s="163"/>
      <c r="R16" s="39">
        <f>Table_Input_Pesticides[[#This Row],[Total applied]]*Table_Input_Pesticides[[#This Row],[Active ingredient 3 amount]]*IF(Table_Input_Pesticides[[#This Row],[Constituent unit (select)]]="fraction of product", 1, 10^-3)</f>
        <v>0</v>
      </c>
    </row>
    <row r="17" spans="3:18" ht="30" customHeight="1" x14ac:dyDescent="0.25">
      <c r="C17" s="8"/>
      <c r="D17" s="141"/>
      <c r="E17" s="156"/>
      <c r="F17" s="37"/>
      <c r="G17" s="163"/>
      <c r="H17" s="39">
        <f>Table_Input_Pesticides[[#This Row],[Amount applied per ha]]*Table_Input_Pesticides[[#This Row],[Application area (ha)]]</f>
        <v>0</v>
      </c>
      <c r="I17" s="37"/>
      <c r="J17" s="37"/>
      <c r="K17" s="163"/>
      <c r="L17" s="39">
        <f>Table_Input_Pesticides[[#This Row],[Total applied]]*Table_Input_Pesticides[[#This Row],[Active ingredient 1 amount]]*IF(Table_Input_Pesticides[[#This Row],[Constituent unit (select)]]="fraction of product", 1, 10^-3)</f>
        <v>0</v>
      </c>
      <c r="M17" s="37"/>
      <c r="N17" s="163"/>
      <c r="O17" s="39">
        <f>Table_Input_Pesticides[[#This Row],[Total applied]]*Table_Input_Pesticides[[#This Row],[Active ingredient 2 amount]]*IF(Table_Input_Pesticides[[#This Row],[Constituent unit (select)]]="fraction of product", 1, 10^-3)</f>
        <v>0</v>
      </c>
      <c r="P17" s="37"/>
      <c r="Q17" s="163"/>
      <c r="R17" s="39">
        <f>Table_Input_Pesticides[[#This Row],[Total applied]]*Table_Input_Pesticides[[#This Row],[Active ingredient 3 amount]]*IF(Table_Input_Pesticides[[#This Row],[Constituent unit (select)]]="fraction of product", 1, 10^-3)</f>
        <v>0</v>
      </c>
    </row>
    <row r="18" spans="3:18" ht="30" customHeight="1" x14ac:dyDescent="0.25">
      <c r="C18" s="8"/>
      <c r="D18" s="141"/>
      <c r="E18" s="156"/>
      <c r="F18" s="37"/>
      <c r="G18" s="163"/>
      <c r="H18" s="39">
        <f>Table_Input_Pesticides[[#This Row],[Amount applied per ha]]*Table_Input_Pesticides[[#This Row],[Application area (ha)]]</f>
        <v>0</v>
      </c>
      <c r="I18" s="37"/>
      <c r="J18" s="37"/>
      <c r="K18" s="163"/>
      <c r="L18" s="39">
        <f>Table_Input_Pesticides[[#This Row],[Total applied]]*Table_Input_Pesticides[[#This Row],[Active ingredient 1 amount]]*IF(Table_Input_Pesticides[[#This Row],[Constituent unit (select)]]="fraction of product", 1, 10^-3)</f>
        <v>0</v>
      </c>
      <c r="M18" s="37"/>
      <c r="N18" s="163"/>
      <c r="O18" s="39">
        <f>Table_Input_Pesticides[[#This Row],[Total applied]]*Table_Input_Pesticides[[#This Row],[Active ingredient 2 amount]]*IF(Table_Input_Pesticides[[#This Row],[Constituent unit (select)]]="fraction of product", 1, 10^-3)</f>
        <v>0</v>
      </c>
      <c r="P18" s="37"/>
      <c r="Q18" s="163"/>
      <c r="R18" s="39">
        <f>Table_Input_Pesticides[[#This Row],[Total applied]]*Table_Input_Pesticides[[#This Row],[Active ingredient 3 amount]]*IF(Table_Input_Pesticides[[#This Row],[Constituent unit (select)]]="fraction of product", 1, 10^-3)</f>
        <v>0</v>
      </c>
    </row>
    <row r="19" spans="3:18" ht="30" customHeight="1" x14ac:dyDescent="0.25">
      <c r="D19" s="141"/>
      <c r="E19" s="156"/>
      <c r="F19" s="37"/>
      <c r="G19" s="163"/>
      <c r="H19" s="39">
        <f>Table_Input_Pesticides[[#This Row],[Amount applied per ha]]*Table_Input_Pesticides[[#This Row],[Application area (ha)]]</f>
        <v>0</v>
      </c>
      <c r="I19" s="37"/>
      <c r="J19" s="37"/>
      <c r="K19" s="163"/>
      <c r="L19" s="39">
        <f>Table_Input_Pesticides[[#This Row],[Total applied]]*Table_Input_Pesticides[[#This Row],[Active ingredient 1 amount]]*IF(Table_Input_Pesticides[[#This Row],[Constituent unit (select)]]="fraction of product", 1, 10^-3)</f>
        <v>0</v>
      </c>
      <c r="M19" s="37"/>
      <c r="N19" s="163"/>
      <c r="O19" s="39">
        <f>Table_Input_Pesticides[[#This Row],[Total applied]]*Table_Input_Pesticides[[#This Row],[Active ingredient 2 amount]]*IF(Table_Input_Pesticides[[#This Row],[Constituent unit (select)]]="fraction of product", 1, 10^-3)</f>
        <v>0</v>
      </c>
      <c r="P19" s="37"/>
      <c r="Q19" s="163"/>
      <c r="R19" s="39">
        <f>Table_Input_Pesticides[[#This Row],[Total applied]]*Table_Input_Pesticides[[#This Row],[Active ingredient 3 amount]]*IF(Table_Input_Pesticides[[#This Row],[Constituent unit (select)]]="fraction of product", 1, 10^-3)</f>
        <v>0</v>
      </c>
    </row>
    <row r="20" spans="3:18" ht="30" customHeight="1" x14ac:dyDescent="0.25">
      <c r="D20" s="141"/>
      <c r="E20" s="156"/>
      <c r="F20" s="37"/>
      <c r="G20" s="163"/>
      <c r="H20" s="39">
        <f>Table_Input_Pesticides[[#This Row],[Amount applied per ha]]*Table_Input_Pesticides[[#This Row],[Application area (ha)]]</f>
        <v>0</v>
      </c>
      <c r="I20" s="37"/>
      <c r="J20" s="37"/>
      <c r="K20" s="163"/>
      <c r="L20" s="39">
        <f>Table_Input_Pesticides[[#This Row],[Total applied]]*Table_Input_Pesticides[[#This Row],[Active ingredient 1 amount]]*IF(Table_Input_Pesticides[[#This Row],[Constituent unit (select)]]="fraction of product", 1, 10^-3)</f>
        <v>0</v>
      </c>
      <c r="M20" s="37"/>
      <c r="N20" s="163"/>
      <c r="O20" s="39">
        <f>Table_Input_Pesticides[[#This Row],[Total applied]]*Table_Input_Pesticides[[#This Row],[Active ingredient 2 amount]]*IF(Table_Input_Pesticides[[#This Row],[Constituent unit (select)]]="fraction of product", 1, 10^-3)</f>
        <v>0</v>
      </c>
      <c r="P20" s="37"/>
      <c r="Q20" s="163"/>
      <c r="R20" s="39">
        <f>Table_Input_Pesticides[[#This Row],[Total applied]]*Table_Input_Pesticides[[#This Row],[Active ingredient 3 amount]]*IF(Table_Input_Pesticides[[#This Row],[Constituent unit (select)]]="fraction of product", 1, 10^-3)</f>
        <v>0</v>
      </c>
    </row>
    <row r="21" spans="3:18" ht="30" customHeight="1" x14ac:dyDescent="0.25">
      <c r="D21" s="7"/>
      <c r="E21" s="7"/>
      <c r="F21" s="7"/>
      <c r="G21" s="7"/>
      <c r="H21" s="7"/>
      <c r="I21" s="7"/>
      <c r="J21" s="7"/>
    </row>
    <row r="22" spans="3:18" ht="30" customHeight="1" x14ac:dyDescent="0.25">
      <c r="D22" s="143" t="s">
        <v>312</v>
      </c>
      <c r="E22" s="8"/>
      <c r="F22" s="8"/>
    </row>
    <row r="23" spans="3:18" ht="30" customHeight="1" x14ac:dyDescent="0.25">
      <c r="D23" s="36" t="s">
        <v>171</v>
      </c>
      <c r="E23" s="36" t="s">
        <v>370</v>
      </c>
      <c r="F23" s="36" t="s">
        <v>373</v>
      </c>
    </row>
    <row r="24" spans="3:18" ht="30" customHeight="1" x14ac:dyDescent="0.25">
      <c r="D24" s="75" t="s">
        <v>413</v>
      </c>
      <c r="E24" s="37" t="s">
        <v>372</v>
      </c>
      <c r="F24" s="58">
        <v>100</v>
      </c>
    </row>
    <row r="25" spans="3:18" ht="30" customHeight="1" x14ac:dyDescent="0.25">
      <c r="C25" s="8"/>
      <c r="D25" s="75" t="s">
        <v>412</v>
      </c>
      <c r="E25" s="150" t="s">
        <v>371</v>
      </c>
      <c r="F25" s="151">
        <v>100</v>
      </c>
    </row>
    <row r="26" spans="3:18" ht="30" customHeight="1" x14ac:dyDescent="0.25">
      <c r="C26" s="8"/>
      <c r="D26" s="75" t="s">
        <v>313</v>
      </c>
      <c r="E26" s="150" t="s">
        <v>314</v>
      </c>
      <c r="F26" s="151">
        <v>100</v>
      </c>
    </row>
    <row r="27" spans="3:18" ht="30" customHeight="1" x14ac:dyDescent="0.25">
      <c r="C27" s="8"/>
      <c r="D27" s="75" t="s">
        <v>313</v>
      </c>
      <c r="E27" s="150" t="s">
        <v>314</v>
      </c>
      <c r="F27" s="151">
        <v>100</v>
      </c>
    </row>
    <row r="28" spans="3:18" ht="30" customHeight="1" x14ac:dyDescent="0.25">
      <c r="D28" s="75" t="s">
        <v>413</v>
      </c>
      <c r="E28" s="150" t="s">
        <v>372</v>
      </c>
      <c r="F28" s="151">
        <v>100</v>
      </c>
    </row>
    <row r="29" spans="3:18" ht="30" customHeight="1" x14ac:dyDescent="0.25">
      <c r="D29" s="75" t="s">
        <v>413</v>
      </c>
      <c r="E29" s="150" t="s">
        <v>372</v>
      </c>
      <c r="F29" s="151">
        <v>100</v>
      </c>
    </row>
    <row r="30" spans="3:18" ht="30" customHeight="1" x14ac:dyDescent="0.25">
      <c r="D30" s="162"/>
      <c r="E30" s="37"/>
      <c r="F30" s="163"/>
    </row>
    <row r="31" spans="3:18" ht="30" customHeight="1" x14ac:dyDescent="0.25">
      <c r="D31" s="162"/>
      <c r="E31" s="37"/>
      <c r="F31" s="163"/>
    </row>
    <row r="32" spans="3:18" ht="30" customHeight="1" x14ac:dyDescent="0.25">
      <c r="D32" s="162"/>
      <c r="E32" s="37"/>
      <c r="F32" s="163"/>
    </row>
    <row r="33" spans="3:6" ht="30" customHeight="1" x14ac:dyDescent="0.25">
      <c r="D33" s="162"/>
      <c r="E33" s="37"/>
      <c r="F33" s="163"/>
    </row>
    <row r="34" spans="3:6" ht="30" customHeight="1" x14ac:dyDescent="0.25"/>
    <row r="35" spans="3:6" ht="30" customHeight="1" x14ac:dyDescent="0.25">
      <c r="D35" s="143" t="s">
        <v>399</v>
      </c>
      <c r="E35" s="8"/>
      <c r="F35" s="8"/>
    </row>
    <row r="36" spans="3:6" ht="30" customHeight="1" x14ac:dyDescent="0.25">
      <c r="D36" s="36" t="s">
        <v>171</v>
      </c>
      <c r="E36" s="36" t="s">
        <v>370</v>
      </c>
      <c r="F36" s="36" t="s">
        <v>404</v>
      </c>
    </row>
    <row r="37" spans="3:6" ht="30" customHeight="1" x14ac:dyDescent="0.25">
      <c r="D37" s="75" t="s">
        <v>408</v>
      </c>
      <c r="E37" s="65" t="s">
        <v>400</v>
      </c>
      <c r="F37" s="58">
        <v>100</v>
      </c>
    </row>
    <row r="38" spans="3:6" ht="30" customHeight="1" x14ac:dyDescent="0.25">
      <c r="D38" s="75" t="s">
        <v>409</v>
      </c>
      <c r="E38" s="165" t="s">
        <v>401</v>
      </c>
      <c r="F38" s="151">
        <v>100</v>
      </c>
    </row>
    <row r="39" spans="3:6" ht="30" customHeight="1" x14ac:dyDescent="0.25">
      <c r="D39" s="75" t="s">
        <v>410</v>
      </c>
      <c r="E39" s="165" t="s">
        <v>402</v>
      </c>
      <c r="F39" s="151">
        <v>100</v>
      </c>
    </row>
    <row r="40" spans="3:6" ht="30" customHeight="1" x14ac:dyDescent="0.25">
      <c r="D40" s="75" t="s">
        <v>411</v>
      </c>
      <c r="E40" s="165" t="s">
        <v>403</v>
      </c>
      <c r="F40" s="151">
        <v>100</v>
      </c>
    </row>
    <row r="41" spans="3:6" ht="30" customHeight="1" x14ac:dyDescent="0.25">
      <c r="D41" s="75" t="s">
        <v>408</v>
      </c>
      <c r="E41" s="165" t="s">
        <v>400</v>
      </c>
      <c r="F41" s="151">
        <v>100</v>
      </c>
    </row>
    <row r="42" spans="3:6" ht="30" customHeight="1" x14ac:dyDescent="0.25">
      <c r="D42" s="75" t="s">
        <v>409</v>
      </c>
      <c r="E42" s="165" t="s">
        <v>401</v>
      </c>
      <c r="F42" s="151">
        <v>100</v>
      </c>
    </row>
    <row r="43" spans="3:6" ht="30" customHeight="1" x14ac:dyDescent="0.25">
      <c r="D43" s="162"/>
      <c r="E43" s="65"/>
      <c r="F43" s="169"/>
    </row>
    <row r="44" spans="3:6" ht="30" customHeight="1" x14ac:dyDescent="0.25">
      <c r="C44" s="8"/>
      <c r="D44" s="162"/>
      <c r="E44" s="65"/>
      <c r="F44" s="169"/>
    </row>
    <row r="45" spans="3:6" ht="30" customHeight="1" x14ac:dyDescent="0.25">
      <c r="C45" s="8"/>
      <c r="D45" s="162"/>
      <c r="E45" s="65"/>
      <c r="F45" s="169"/>
    </row>
    <row r="46" spans="3:6" ht="30" customHeight="1" x14ac:dyDescent="0.25">
      <c r="C46" s="8"/>
      <c r="D46" s="162"/>
      <c r="E46" s="65"/>
      <c r="F46" s="169"/>
    </row>
    <row r="47" spans="3:6" ht="30" customHeight="1" x14ac:dyDescent="0.25">
      <c r="C47" s="8"/>
    </row>
    <row r="48" spans="3:6" ht="30" customHeight="1" x14ac:dyDescent="0.25">
      <c r="C48" s="8"/>
    </row>
    <row r="49" spans="3:17" ht="30" customHeight="1" x14ac:dyDescent="0.25">
      <c r="C49" s="8"/>
      <c r="D49" s="9" t="s">
        <v>392</v>
      </c>
    </row>
    <row r="50" spans="3:17" ht="30" customHeight="1" x14ac:dyDescent="0.25">
      <c r="D50" s="143" t="s">
        <v>317</v>
      </c>
      <c r="E50" s="144"/>
      <c r="F50" s="59"/>
    </row>
    <row r="51" spans="3:17" ht="30" customHeight="1" x14ac:dyDescent="0.25">
      <c r="D51" s="8" t="str" cm="1">
        <f t="array" ref="D51:D53">Table_SourceData_Scope3_LickBlocks[Product]</f>
        <v>Lick block, dry season mix</v>
      </c>
      <c r="E51" s="58">
        <v>100</v>
      </c>
      <c r="F51" s="57" t="s">
        <v>377</v>
      </c>
    </row>
    <row r="52" spans="3:17" ht="30" customHeight="1" x14ac:dyDescent="0.25">
      <c r="D52" s="8" t="str">
        <v>Lick block, mineral</v>
      </c>
      <c r="E52" s="58">
        <v>100</v>
      </c>
      <c r="F52" s="57" t="s">
        <v>377</v>
      </c>
    </row>
    <row r="53" spans="3:17" ht="30" customHeight="1" x14ac:dyDescent="0.25">
      <c r="D53" s="8" t="str">
        <v>Lick block, weaner</v>
      </c>
      <c r="E53" s="58">
        <v>100</v>
      </c>
      <c r="F53" s="57" t="s">
        <v>377</v>
      </c>
    </row>
    <row r="54" spans="3:17" ht="30" customHeight="1" x14ac:dyDescent="0.25">
      <c r="D54" s="8"/>
      <c r="E54" s="8"/>
      <c r="F54" s="8"/>
    </row>
    <row r="55" spans="3:17" ht="30" customHeight="1" x14ac:dyDescent="0.25">
      <c r="D55" s="143" t="s">
        <v>430</v>
      </c>
      <c r="E55" s="7"/>
      <c r="F55" s="7"/>
    </row>
    <row r="56" spans="3:17" ht="30" customHeight="1" x14ac:dyDescent="0.25">
      <c r="D56" s="8" t="str" cm="1">
        <f t="array" ref="D56:D59">Table_SourceData_Scope3_MixedRations[Product]</f>
        <v>Feed for chickens</v>
      </c>
      <c r="E56" s="58">
        <v>100</v>
      </c>
      <c r="F56" s="57" t="s">
        <v>377</v>
      </c>
    </row>
    <row r="57" spans="3:17" ht="30" customHeight="1" x14ac:dyDescent="0.25">
      <c r="D57" s="8" t="str">
        <v>Feed for dairy calves</v>
      </c>
      <c r="E57" s="58">
        <v>100</v>
      </c>
      <c r="F57" s="57" t="s">
        <v>377</v>
      </c>
    </row>
    <row r="58" spans="3:17" ht="30" customHeight="1" x14ac:dyDescent="0.25">
      <c r="D58" s="8" t="str">
        <v>Feed for dairy cows</v>
      </c>
      <c r="E58" s="58">
        <v>100</v>
      </c>
      <c r="F58" s="57" t="s">
        <v>377</v>
      </c>
    </row>
    <row r="59" spans="3:17" ht="30" customHeight="1" x14ac:dyDescent="0.25">
      <c r="D59" s="8" t="str">
        <v>Feed for pigs</v>
      </c>
      <c r="E59" s="58">
        <v>100</v>
      </c>
      <c r="F59" s="57" t="s">
        <v>377</v>
      </c>
    </row>
    <row r="60" spans="3:17" ht="30" customHeight="1" x14ac:dyDescent="0.25">
      <c r="D60" s="7"/>
      <c r="E60" s="7"/>
      <c r="F60" s="7"/>
    </row>
    <row r="61" spans="3:17" ht="30" customHeight="1" x14ac:dyDescent="0.25">
      <c r="D61" s="143" t="s">
        <v>656</v>
      </c>
      <c r="E61" s="7"/>
      <c r="F61" s="7"/>
    </row>
    <row r="62" spans="3:17" ht="30" customHeight="1" x14ac:dyDescent="0.25">
      <c r="D62" s="38" t="s">
        <v>319</v>
      </c>
      <c r="E62" s="38" t="s">
        <v>320</v>
      </c>
      <c r="F62" s="38" t="s">
        <v>212</v>
      </c>
      <c r="G62" s="38" t="s">
        <v>421</v>
      </c>
      <c r="H62" s="38" t="s">
        <v>176</v>
      </c>
      <c r="I62" s="38" t="s">
        <v>321</v>
      </c>
      <c r="J62" s="38" t="s">
        <v>426</v>
      </c>
      <c r="K62" s="38" t="s">
        <v>178</v>
      </c>
      <c r="L62" s="38" t="s">
        <v>322</v>
      </c>
      <c r="M62" s="38" t="s">
        <v>427</v>
      </c>
      <c r="N62" s="38" t="s">
        <v>180</v>
      </c>
      <c r="O62" s="38" t="s">
        <v>323</v>
      </c>
      <c r="P62" s="38" t="s">
        <v>428</v>
      </c>
      <c r="Q62" s="38" t="s">
        <v>182</v>
      </c>
    </row>
    <row r="63" spans="3:17" ht="30" customHeight="1" x14ac:dyDescent="0.25">
      <c r="D63" s="15"/>
      <c r="E63" s="146">
        <v>1200</v>
      </c>
      <c r="F63" s="37" t="s">
        <v>420</v>
      </c>
      <c r="G63" s="37" t="s">
        <v>369</v>
      </c>
      <c r="H63" s="40">
        <v>0.35</v>
      </c>
      <c r="I63" s="37" t="s">
        <v>422</v>
      </c>
      <c r="J63" s="37" t="s">
        <v>423</v>
      </c>
      <c r="K63" s="40">
        <v>0.22</v>
      </c>
      <c r="L63" s="37" t="s">
        <v>324</v>
      </c>
      <c r="M63" s="37" t="s">
        <v>361</v>
      </c>
      <c r="N63" s="40">
        <v>0.12</v>
      </c>
      <c r="O63" s="37" t="s">
        <v>429</v>
      </c>
      <c r="P63" s="37" t="s">
        <v>363</v>
      </c>
      <c r="Q63" s="40">
        <v>0.05</v>
      </c>
    </row>
    <row r="64" spans="3:17" ht="30" customHeight="1" x14ac:dyDescent="0.25">
      <c r="D64" s="15"/>
      <c r="E64" s="146">
        <v>3456</v>
      </c>
      <c r="F64" s="37" t="s">
        <v>416</v>
      </c>
      <c r="G64" s="37" t="s">
        <v>419</v>
      </c>
      <c r="H64" s="40">
        <v>0.2</v>
      </c>
      <c r="I64" s="37" t="s">
        <v>424</v>
      </c>
      <c r="J64" s="37" t="s">
        <v>362</v>
      </c>
      <c r="K64" s="40">
        <v>0.2</v>
      </c>
      <c r="L64" s="37"/>
      <c r="M64" s="37"/>
      <c r="N64" s="40"/>
      <c r="O64" s="37"/>
      <c r="P64" s="37"/>
      <c r="Q64" s="40"/>
    </row>
    <row r="65" spans="4:17" ht="30" customHeight="1" x14ac:dyDescent="0.25">
      <c r="D65" s="15" t="s">
        <v>325</v>
      </c>
      <c r="E65" s="146">
        <v>300</v>
      </c>
      <c r="F65" s="37" t="s">
        <v>418</v>
      </c>
      <c r="G65" s="37" t="s">
        <v>363</v>
      </c>
      <c r="H65" s="40">
        <v>0.8</v>
      </c>
      <c r="I65" s="37" t="s">
        <v>417</v>
      </c>
      <c r="J65" s="37" t="s">
        <v>425</v>
      </c>
      <c r="K65" s="40">
        <v>0.2</v>
      </c>
      <c r="L65" s="37"/>
      <c r="M65" s="37"/>
      <c r="N65" s="40"/>
      <c r="O65" s="37"/>
      <c r="P65" s="37"/>
      <c r="Q65" s="40"/>
    </row>
    <row r="66" spans="4:17" ht="30" customHeight="1" x14ac:dyDescent="0.25">
      <c r="D66" s="15"/>
      <c r="E66" s="146">
        <v>500</v>
      </c>
      <c r="F66" s="37" t="s">
        <v>431</v>
      </c>
      <c r="G66" s="37" t="s">
        <v>362</v>
      </c>
      <c r="H66" s="40">
        <v>1</v>
      </c>
      <c r="I66" s="37"/>
      <c r="J66" s="37"/>
      <c r="K66" s="40"/>
      <c r="L66" s="37"/>
      <c r="M66" s="37"/>
      <c r="N66" s="40"/>
      <c r="O66" s="37"/>
      <c r="P66" s="37"/>
      <c r="Q66" s="40"/>
    </row>
    <row r="67" spans="4:17" ht="30" customHeight="1" x14ac:dyDescent="0.25">
      <c r="D67" s="15"/>
      <c r="E67" s="146"/>
      <c r="F67" s="37"/>
      <c r="G67" s="37"/>
      <c r="H67" s="40"/>
      <c r="I67" s="37"/>
      <c r="J67" s="37"/>
      <c r="K67" s="40"/>
      <c r="L67" s="37"/>
      <c r="M67" s="37"/>
      <c r="N67" s="40"/>
      <c r="O67" s="37"/>
      <c r="P67" s="37"/>
      <c r="Q67" s="40"/>
    </row>
    <row r="68" spans="4:17" ht="30" customHeight="1" x14ac:dyDescent="0.25">
      <c r="D68" s="15"/>
      <c r="E68" s="146"/>
      <c r="F68" s="37"/>
      <c r="G68" s="37"/>
      <c r="H68" s="40"/>
      <c r="I68" s="37"/>
      <c r="J68" s="37"/>
      <c r="K68" s="40"/>
      <c r="L68" s="37"/>
      <c r="M68" s="37"/>
      <c r="N68" s="40"/>
      <c r="O68" s="37"/>
      <c r="P68" s="37"/>
      <c r="Q68" s="40"/>
    </row>
    <row r="69" spans="4:17" ht="30" customHeight="1" x14ac:dyDescent="0.25">
      <c r="D69" s="15"/>
      <c r="E69" s="146"/>
      <c r="F69" s="37"/>
      <c r="G69" s="37"/>
      <c r="H69" s="40"/>
      <c r="I69" s="37"/>
      <c r="J69" s="37"/>
      <c r="K69" s="40"/>
      <c r="L69" s="37"/>
      <c r="M69" s="37"/>
      <c r="N69" s="40"/>
      <c r="O69" s="37"/>
      <c r="P69" s="37"/>
      <c r="Q69" s="40"/>
    </row>
    <row r="70" spans="4:17" ht="30" customHeight="1" x14ac:dyDescent="0.25">
      <c r="D70" s="15"/>
      <c r="E70" s="146"/>
      <c r="F70" s="37"/>
      <c r="G70" s="37"/>
      <c r="H70" s="40"/>
      <c r="I70" s="37"/>
      <c r="J70" s="37"/>
      <c r="K70" s="40"/>
      <c r="L70" s="37"/>
      <c r="M70" s="37"/>
      <c r="N70" s="40"/>
      <c r="O70" s="37"/>
      <c r="P70" s="37"/>
      <c r="Q70" s="40"/>
    </row>
    <row r="71" spans="4:17" ht="30" customHeight="1" x14ac:dyDescent="0.25">
      <c r="D71" s="15"/>
      <c r="E71" s="146"/>
      <c r="F71" s="37"/>
      <c r="G71" s="37"/>
      <c r="H71" s="40"/>
      <c r="I71" s="37"/>
      <c r="J71" s="37"/>
      <c r="K71" s="40"/>
      <c r="L71" s="37"/>
      <c r="M71" s="37"/>
      <c r="N71" s="40"/>
      <c r="O71" s="37"/>
      <c r="P71" s="37"/>
      <c r="Q71" s="40"/>
    </row>
    <row r="72" spans="4:17" ht="30" customHeight="1" x14ac:dyDescent="0.25">
      <c r="D72" s="15"/>
      <c r="E72" s="146"/>
      <c r="F72" s="37"/>
      <c r="G72" s="37"/>
      <c r="H72" s="40"/>
      <c r="I72" s="37"/>
      <c r="J72" s="37"/>
      <c r="K72" s="40"/>
      <c r="L72" s="37"/>
      <c r="M72" s="37"/>
      <c r="N72" s="40"/>
      <c r="O72" s="37"/>
      <c r="P72" s="37"/>
      <c r="Q72" s="40"/>
    </row>
    <row r="73" spans="4:17" ht="30" customHeight="1" x14ac:dyDescent="0.25"/>
    <row r="74" spans="4:17" ht="30" customHeight="1" x14ac:dyDescent="0.25">
      <c r="K74" s="14"/>
    </row>
    <row r="75" spans="4:17" ht="30" customHeight="1" x14ac:dyDescent="0.25">
      <c r="D75" s="9" t="s">
        <v>458</v>
      </c>
    </row>
    <row r="76" spans="4:17" ht="30" customHeight="1" x14ac:dyDescent="0.25">
      <c r="D76" s="143" t="s">
        <v>351</v>
      </c>
    </row>
    <row r="77" spans="4:17" ht="30" customHeight="1" x14ac:dyDescent="0.25">
      <c r="D77" s="10" t="s">
        <v>386</v>
      </c>
      <c r="E77" s="10" t="s">
        <v>462</v>
      </c>
      <c r="F77" s="10" t="s">
        <v>349</v>
      </c>
      <c r="G77" s="10" t="s">
        <v>459</v>
      </c>
      <c r="H77" s="10" t="s">
        <v>352</v>
      </c>
      <c r="I77" s="10" t="s">
        <v>350</v>
      </c>
      <c r="J77" s="164" t="s">
        <v>460</v>
      </c>
      <c r="K77" s="164" t="s">
        <v>461</v>
      </c>
    </row>
    <row r="78" spans="4:17" ht="30" customHeight="1" x14ac:dyDescent="0.25">
      <c r="D78" s="75" t="s">
        <v>550</v>
      </c>
      <c r="E78" s="159">
        <v>45547</v>
      </c>
      <c r="F78" s="37" t="s">
        <v>520</v>
      </c>
      <c r="G78" s="65" t="s">
        <v>360</v>
      </c>
      <c r="H78" s="37" t="s">
        <v>468</v>
      </c>
      <c r="I78" s="58">
        <v>100</v>
      </c>
      <c r="J78" s="39" cm="1">
        <f t="array" ref="J78">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f>
        <v>210</v>
      </c>
      <c r="K78" s="58">
        <v>205</v>
      </c>
    </row>
    <row r="79" spans="4:17" ht="30" customHeight="1" x14ac:dyDescent="0.25">
      <c r="D79" s="75"/>
      <c r="E79" s="159">
        <v>45292</v>
      </c>
      <c r="F79" s="150" t="s">
        <v>521</v>
      </c>
      <c r="G79" s="65" t="s">
        <v>359</v>
      </c>
      <c r="H79" s="37" t="s">
        <v>467</v>
      </c>
      <c r="I79" s="58">
        <v>100</v>
      </c>
      <c r="J79" s="39" cm="1">
        <f t="array" ref="J79">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f>
        <v>470</v>
      </c>
      <c r="K79" s="58">
        <v>465</v>
      </c>
    </row>
    <row r="80" spans="4:17" ht="30" customHeight="1" x14ac:dyDescent="0.25">
      <c r="D80" s="162"/>
      <c r="E80" s="162"/>
      <c r="F80" s="150"/>
      <c r="G80" s="65"/>
      <c r="H80" s="172"/>
      <c r="I80" s="163"/>
      <c r="J80" s="39" cm="1">
        <f t="array" ref="J80">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f>
        <v>0</v>
      </c>
      <c r="K80" s="163"/>
    </row>
    <row r="81" spans="4:11" ht="30" customHeight="1" x14ac:dyDescent="0.25">
      <c r="D81" s="162"/>
      <c r="E81" s="162"/>
      <c r="F81" s="150"/>
      <c r="G81" s="65"/>
      <c r="H81" s="172"/>
      <c r="I81" s="163"/>
      <c r="J81" s="39" cm="1">
        <f t="array" ref="J81">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f>
        <v>0</v>
      </c>
      <c r="K81" s="163"/>
    </row>
    <row r="82" spans="4:11" ht="30" customHeight="1" x14ac:dyDescent="0.25">
      <c r="D82" s="162"/>
      <c r="E82" s="162"/>
      <c r="F82" s="150"/>
      <c r="G82" s="65"/>
      <c r="H82" s="172"/>
      <c r="I82" s="163"/>
      <c r="J82" s="39" cm="1">
        <f t="array" ref="J82">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f>
        <v>0</v>
      </c>
      <c r="K82" s="163"/>
    </row>
    <row r="83" spans="4:11" ht="30" customHeight="1" x14ac:dyDescent="0.25">
      <c r="D83" s="162"/>
      <c r="E83" s="162"/>
      <c r="F83" s="150"/>
      <c r="G83" s="65"/>
      <c r="H83" s="172"/>
      <c r="I83" s="163"/>
      <c r="J83" s="39" cm="1">
        <f t="array" ref="J83">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f>
        <v>0</v>
      </c>
      <c r="K83" s="163"/>
    </row>
    <row r="84" spans="4:11" ht="30" customHeight="1" x14ac:dyDescent="0.25">
      <c r="D84" s="162"/>
      <c r="E84" s="162"/>
      <c r="F84" s="150"/>
      <c r="G84" s="65"/>
      <c r="H84" s="172"/>
      <c r="I84" s="163"/>
      <c r="J84" s="39" cm="1">
        <f t="array" ref="J84">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f>
        <v>0</v>
      </c>
      <c r="K84" s="163"/>
    </row>
    <row r="85" spans="4:11" ht="30" customHeight="1" x14ac:dyDescent="0.25">
      <c r="D85" s="162"/>
      <c r="E85" s="162"/>
      <c r="F85" s="150"/>
      <c r="G85" s="65"/>
      <c r="H85" s="172"/>
      <c r="I85" s="163"/>
      <c r="J85" s="39" cm="1">
        <f t="array" ref="J85">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f>
        <v>0</v>
      </c>
      <c r="K85" s="163"/>
    </row>
    <row r="86" spans="4:11" ht="30" customHeight="1" x14ac:dyDescent="0.25">
      <c r="D86" s="162"/>
      <c r="E86" s="162"/>
      <c r="F86" s="150"/>
      <c r="G86" s="65"/>
      <c r="H86" s="172"/>
      <c r="I86" s="163"/>
      <c r="J86" s="39" cm="1">
        <f t="array" ref="J86">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f>
        <v>0</v>
      </c>
      <c r="K86" s="163"/>
    </row>
    <row r="87" spans="4:11" ht="30" customHeight="1" x14ac:dyDescent="0.25">
      <c r="D87" s="162"/>
      <c r="E87" s="162"/>
      <c r="F87" s="150"/>
      <c r="G87" s="65"/>
      <c r="H87" s="172"/>
      <c r="I87" s="163"/>
      <c r="J87" s="39" cm="1">
        <f t="array" ref="J87">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f>
        <v>0</v>
      </c>
      <c r="K87" s="163"/>
    </row>
    <row r="88" spans="4:11" ht="30" customHeight="1" x14ac:dyDescent="0.25"/>
    <row r="89" spans="4:11" ht="30" customHeight="1" x14ac:dyDescent="0.25">
      <c r="D89" s="143" t="s">
        <v>367</v>
      </c>
    </row>
    <row r="90" spans="4:11" ht="30" customHeight="1" x14ac:dyDescent="0.25">
      <c r="D90" s="164" t="s">
        <v>386</v>
      </c>
      <c r="E90" s="164" t="s">
        <v>349</v>
      </c>
      <c r="F90" s="164" t="s">
        <v>552</v>
      </c>
      <c r="G90" s="164" t="s">
        <v>350</v>
      </c>
      <c r="H90" s="164" t="s">
        <v>460</v>
      </c>
      <c r="I90" s="164" t="s">
        <v>461</v>
      </c>
    </row>
    <row r="91" spans="4:11" ht="30" customHeight="1" x14ac:dyDescent="0.25">
      <c r="D91" s="75" t="s">
        <v>551</v>
      </c>
      <c r="E91" s="37" t="s">
        <v>557</v>
      </c>
      <c r="F91" s="37" t="s">
        <v>547</v>
      </c>
      <c r="G91" s="58">
        <v>100</v>
      </c>
      <c r="H91" s="39" cm="1">
        <f t="array" ref="H91">Common_InputFunctions.Utility_LookupValueInTableOneColumnAndHeader(Table_Input_LivestockPurchases_Dairy[[#This Row],[Breed (select)]],Table_Input_LivestockPurchases_Dairy[[#This Row],[Class (select)]],Table_SourceData_Dairy_WjCowsHeifers[Breed],Table_SourceData_Dairy_WjCowsHeifers[#Headers],Table_SourceData_Dairy_WjCowsHeifers[], 0)</f>
        <v>350</v>
      </c>
      <c r="I91" s="58">
        <v>350</v>
      </c>
    </row>
    <row r="92" spans="4:11" ht="30" customHeight="1" x14ac:dyDescent="0.25">
      <c r="D92" s="162"/>
      <c r="E92" s="150" t="s">
        <v>548</v>
      </c>
      <c r="F92" s="37" t="s">
        <v>577</v>
      </c>
      <c r="G92" s="163">
        <v>100</v>
      </c>
      <c r="H92" s="39" cm="1">
        <f t="array" ref="H92">Common_InputFunctions.Utility_LookupValueInTableOneColumnAndHeader(Table_Input_LivestockPurchases_Dairy[[#This Row],[Breed (select)]],Table_Input_LivestockPurchases_Dairy[[#This Row],[Class (select)]],Table_SourceData_Dairy_WjCowsHeifers[Breed],Table_SourceData_Dairy_WjCowsHeifers[#Headers],Table_SourceData_Dairy_WjCowsHeifers[], 0)</f>
        <v>650</v>
      </c>
      <c r="I92" s="163">
        <v>625</v>
      </c>
    </row>
    <row r="93" spans="4:11" ht="30" customHeight="1" x14ac:dyDescent="0.25">
      <c r="D93" s="162"/>
      <c r="E93" s="150" t="s">
        <v>548</v>
      </c>
      <c r="F93" s="37" t="s">
        <v>657</v>
      </c>
      <c r="G93" s="163"/>
      <c r="H93" s="39" cm="1">
        <f t="array" ref="H93">Common_InputFunctions.Utility_LookupValueInTableOneColumnAndHeader(Table_Input_LivestockPurchases_Dairy[[#This Row],[Breed (select)]],Table_Input_LivestockPurchases_Dairy[[#This Row],[Class (select)]],Table_SourceData_Dairy_WjCowsHeifers[Breed],Table_SourceData_Dairy_WjCowsHeifers[#Headers],Table_SourceData_Dairy_WjCowsHeifers[], 0)</f>
        <v>600</v>
      </c>
      <c r="I93" s="163"/>
    </row>
    <row r="94" spans="4:11" ht="30" customHeight="1" x14ac:dyDescent="0.25">
      <c r="D94" s="162"/>
      <c r="E94" s="150"/>
      <c r="F94" s="37"/>
      <c r="G94" s="163"/>
      <c r="H94" s="39" cm="1">
        <f t="array" ref="H94">Common_InputFunctions.Utility_LookupValueInTableOneColumnAndHeader(Table_Input_LivestockPurchases_Dairy[[#This Row],[Breed (select)]],Table_Input_LivestockPurchases_Dairy[[#This Row],[Class (select)]],Table_SourceData_Dairy_WjCowsHeifers[Breed],Table_SourceData_Dairy_WjCowsHeifers[#Headers],Table_SourceData_Dairy_WjCowsHeifers[], 0)</f>
        <v>0</v>
      </c>
      <c r="I94" s="163"/>
    </row>
    <row r="95" spans="4:11" ht="30" customHeight="1" x14ac:dyDescent="0.25">
      <c r="D95" s="162"/>
      <c r="E95" s="150"/>
      <c r="F95" s="37"/>
      <c r="G95" s="163"/>
      <c r="H95" s="39" cm="1">
        <f t="array" ref="H95">Common_InputFunctions.Utility_LookupValueInTableOneColumnAndHeader(Table_Input_LivestockPurchases_Dairy[[#This Row],[Breed (select)]],Table_Input_LivestockPurchases_Dairy[[#This Row],[Class (select)]],Table_SourceData_Dairy_WjCowsHeifers[Breed],Table_SourceData_Dairy_WjCowsHeifers[#Headers],Table_SourceData_Dairy_WjCowsHeifers[], 0)</f>
        <v>0</v>
      </c>
      <c r="I95" s="163"/>
    </row>
    <row r="96" spans="4:11" ht="30" customHeight="1" x14ac:dyDescent="0.25">
      <c r="D96" s="162"/>
      <c r="E96" s="150"/>
      <c r="F96" s="37"/>
      <c r="G96" s="163"/>
      <c r="H96" s="39" cm="1">
        <f t="array" ref="H96">Common_InputFunctions.Utility_LookupValueInTableOneColumnAndHeader(Table_Input_LivestockPurchases_Dairy[[#This Row],[Breed (select)]],Table_Input_LivestockPurchases_Dairy[[#This Row],[Class (select)]],Table_SourceData_Dairy_WjCowsHeifers[Breed],Table_SourceData_Dairy_WjCowsHeifers[#Headers],Table_SourceData_Dairy_WjCowsHeifers[], 0)</f>
        <v>0</v>
      </c>
      <c r="I96" s="163"/>
    </row>
    <row r="97" spans="4:9" ht="30" customHeight="1" x14ac:dyDescent="0.25">
      <c r="D97" s="162"/>
      <c r="E97" s="150"/>
      <c r="F97" s="37"/>
      <c r="G97" s="163"/>
      <c r="H97" s="39" cm="1">
        <f t="array" ref="H97">Common_InputFunctions.Utility_LookupValueInTableOneColumnAndHeader(Table_Input_LivestockPurchases_Dairy[[#This Row],[Breed (select)]],Table_Input_LivestockPurchases_Dairy[[#This Row],[Class (select)]],Table_SourceData_Dairy_WjCowsHeifers[Breed],Table_SourceData_Dairy_WjCowsHeifers[#Headers],Table_SourceData_Dairy_WjCowsHeifers[], 0)</f>
        <v>0</v>
      </c>
      <c r="I97" s="163"/>
    </row>
    <row r="98" spans="4:9" ht="30" customHeight="1" x14ac:dyDescent="0.25">
      <c r="D98" s="162"/>
      <c r="E98" s="150"/>
      <c r="F98" s="37"/>
      <c r="G98" s="163"/>
      <c r="H98" s="39" cm="1">
        <f t="array" ref="H98">Common_InputFunctions.Utility_LookupValueInTableOneColumnAndHeader(Table_Input_LivestockPurchases_Dairy[[#This Row],[Breed (select)]],Table_Input_LivestockPurchases_Dairy[[#This Row],[Class (select)]],Table_SourceData_Dairy_WjCowsHeifers[Breed],Table_SourceData_Dairy_WjCowsHeifers[#Headers],Table_SourceData_Dairy_WjCowsHeifers[], 0)</f>
        <v>0</v>
      </c>
      <c r="I98" s="163"/>
    </row>
    <row r="99" spans="4:9" ht="30" customHeight="1" x14ac:dyDescent="0.25">
      <c r="D99" s="162"/>
      <c r="E99" s="150"/>
      <c r="F99" s="37"/>
      <c r="G99" s="163"/>
      <c r="H99" s="39" cm="1">
        <f t="array" ref="H99">Common_InputFunctions.Utility_LookupValueInTableOneColumnAndHeader(Table_Input_LivestockPurchases_Dairy[[#This Row],[Breed (select)]],Table_Input_LivestockPurchases_Dairy[[#This Row],[Class (select)]],Table_SourceData_Dairy_WjCowsHeifers[Breed],Table_SourceData_Dairy_WjCowsHeifers[#Headers],Table_SourceData_Dairy_WjCowsHeifers[], 0)</f>
        <v>0</v>
      </c>
      <c r="I99" s="163"/>
    </row>
    <row r="100" spans="4:9" ht="30" customHeight="1" x14ac:dyDescent="0.25">
      <c r="D100" s="162"/>
      <c r="E100" s="150"/>
      <c r="F100" s="37"/>
      <c r="G100" s="163"/>
      <c r="H100" s="39" cm="1">
        <f t="array" ref="H100">Common_InputFunctions.Utility_LookupValueInTableOneColumnAndHeader(Table_Input_LivestockPurchases_Dairy[[#This Row],[Breed (select)]],Table_Input_LivestockPurchases_Dairy[[#This Row],[Class (select)]],Table_SourceData_Dairy_WjCowsHeifers[Breed],Table_SourceData_Dairy_WjCowsHeifers[#Headers],Table_SourceData_Dairy_WjCowsHeifers[], 0)</f>
        <v>0</v>
      </c>
      <c r="I100" s="163"/>
    </row>
    <row r="101" spans="4:9" ht="30" customHeight="1" x14ac:dyDescent="0.25"/>
    <row r="102" spans="4:9" ht="30" customHeight="1" x14ac:dyDescent="0.25">
      <c r="D102" s="143" t="s">
        <v>576</v>
      </c>
    </row>
    <row r="103" spans="4:9" ht="30" customHeight="1" x14ac:dyDescent="0.25">
      <c r="D103" s="164" t="s">
        <v>386</v>
      </c>
      <c r="E103" s="164" t="s">
        <v>349</v>
      </c>
      <c r="F103" s="164" t="s">
        <v>350</v>
      </c>
      <c r="G103" s="164" t="s">
        <v>460</v>
      </c>
      <c r="H103" s="164" t="s">
        <v>461</v>
      </c>
    </row>
    <row r="104" spans="4:9" ht="30" customHeight="1" x14ac:dyDescent="0.25">
      <c r="D104" s="75" t="s">
        <v>599</v>
      </c>
      <c r="E104" s="37" t="s">
        <v>600</v>
      </c>
      <c r="F104" s="58">
        <v>100</v>
      </c>
      <c r="G104" s="39" cm="1">
        <f t="array" ref="G104">Common_InputFunctions.Utility_LookupValueInTableNumber(Table_Input_LivestockPurchases_Pigs[[#This Row],[Class (select)]], Table_SourceData_Swine_Liveweight[Livestock type j],Table_SourceData_Swine_Liveweight[Average liveweight (kg)])</f>
        <v>188</v>
      </c>
      <c r="H104" s="58">
        <v>180</v>
      </c>
    </row>
    <row r="105" spans="4:9" ht="30" customHeight="1" x14ac:dyDescent="0.25">
      <c r="D105" s="162" t="s">
        <v>602</v>
      </c>
      <c r="E105" s="150" t="s">
        <v>601</v>
      </c>
      <c r="F105" s="163">
        <v>100</v>
      </c>
      <c r="G105" s="39" cm="1">
        <f t="array" ref="G105">Common_InputFunctions.Utility_LookupValueInTableNumber(Table_Input_LivestockPurchases_Pigs[[#This Row],[Class (select)]], Table_SourceData_Swine_Liveweight[Livestock type j],Table_SourceData_Swine_Liveweight[Average liveweight (kg)])</f>
        <v>39</v>
      </c>
      <c r="H105" s="163">
        <v>38</v>
      </c>
    </row>
    <row r="106" spans="4:9" ht="30" customHeight="1" x14ac:dyDescent="0.25">
      <c r="D106" s="162"/>
      <c r="E106" s="150"/>
      <c r="F106" s="163"/>
      <c r="G106" s="39" cm="1">
        <f t="array" ref="G106">Common_InputFunctions.Utility_LookupValueInTableNumber(Table_Input_LivestockPurchases_Pigs[[#This Row],[Class (select)]], Table_SourceData_Swine_Liveweight[Livestock type j],Table_SourceData_Swine_Liveweight[Average liveweight (kg)])</f>
        <v>0</v>
      </c>
      <c r="H106" s="163"/>
    </row>
    <row r="107" spans="4:9" ht="30" customHeight="1" x14ac:dyDescent="0.25">
      <c r="D107" s="162"/>
      <c r="E107" s="150"/>
      <c r="F107" s="163"/>
      <c r="G107" s="39" cm="1">
        <f t="array" ref="G107">Common_InputFunctions.Utility_LookupValueInTableNumber(Table_Input_LivestockPurchases_Pigs[[#This Row],[Class (select)]], Table_SourceData_Swine_Liveweight[Livestock type j],Table_SourceData_Swine_Liveweight[Average liveweight (kg)])</f>
        <v>0</v>
      </c>
      <c r="H107" s="163"/>
    </row>
    <row r="108" spans="4:9" ht="30" customHeight="1" x14ac:dyDescent="0.25">
      <c r="D108" s="162"/>
      <c r="E108" s="150"/>
      <c r="F108" s="163"/>
      <c r="G108" s="39" cm="1">
        <f t="array" ref="G108">Common_InputFunctions.Utility_LookupValueInTableNumber(Table_Input_LivestockPurchases_Pigs[[#This Row],[Class (select)]], Table_SourceData_Swine_Liveweight[Livestock type j],Table_SourceData_Swine_Liveweight[Average liveweight (kg)])</f>
        <v>0</v>
      </c>
      <c r="H108" s="163"/>
    </row>
    <row r="109" spans="4:9" ht="30" customHeight="1" x14ac:dyDescent="0.25">
      <c r="D109" s="162"/>
      <c r="E109" s="150"/>
      <c r="F109" s="163"/>
      <c r="G109" s="39" cm="1">
        <f t="array" ref="G109">Common_InputFunctions.Utility_LookupValueInTableNumber(Table_Input_LivestockPurchases_Pigs[[#This Row],[Class (select)]], Table_SourceData_Swine_Liveweight[Livestock type j],Table_SourceData_Swine_Liveweight[Average liveweight (kg)])</f>
        <v>0</v>
      </c>
      <c r="H109" s="163"/>
    </row>
    <row r="110" spans="4:9" ht="30" customHeight="1" x14ac:dyDescent="0.25">
      <c r="D110" s="162"/>
      <c r="E110" s="150"/>
      <c r="F110" s="163"/>
      <c r="G110" s="39" cm="1">
        <f t="array" ref="G110">Common_InputFunctions.Utility_LookupValueInTableNumber(Table_Input_LivestockPurchases_Pigs[[#This Row],[Class (select)]], Table_SourceData_Swine_Liveweight[Livestock type j],Table_SourceData_Swine_Liveweight[Average liveweight (kg)])</f>
        <v>0</v>
      </c>
      <c r="H110" s="163"/>
    </row>
    <row r="111" spans="4:9" ht="30" customHeight="1" x14ac:dyDescent="0.25">
      <c r="D111" s="162"/>
      <c r="E111" s="150"/>
      <c r="F111" s="163"/>
      <c r="G111" s="39" cm="1">
        <f t="array" ref="G111">Common_InputFunctions.Utility_LookupValueInTableNumber(Table_Input_LivestockPurchases_Pigs[[#This Row],[Class (select)]], Table_SourceData_Swine_Liveweight[Livestock type j],Table_SourceData_Swine_Liveweight[Average liveweight (kg)])</f>
        <v>0</v>
      </c>
      <c r="H111" s="163"/>
    </row>
    <row r="112" spans="4:9" ht="30" customHeight="1" x14ac:dyDescent="0.25">
      <c r="D112" s="162"/>
      <c r="E112" s="150"/>
      <c r="F112" s="163"/>
      <c r="G112" s="39" cm="1">
        <f t="array" ref="G112">Common_InputFunctions.Utility_LookupValueInTableNumber(Table_Input_LivestockPurchases_Pigs[[#This Row],[Class (select)]], Table_SourceData_Swine_Liveweight[Livestock type j],Table_SourceData_Swine_Liveweight[Average liveweight (kg)])</f>
        <v>0</v>
      </c>
      <c r="H112" s="163"/>
    </row>
    <row r="113" spans="4:16" ht="30" customHeight="1" x14ac:dyDescent="0.25">
      <c r="D113" s="162"/>
      <c r="E113" s="150"/>
      <c r="F113" s="163"/>
      <c r="G113" s="39" cm="1">
        <f t="array" ref="G113">Common_InputFunctions.Utility_LookupValueInTableNumber(Table_Input_LivestockPurchases_Pigs[[#This Row],[Class (select)]], Table_SourceData_Swine_Liveweight[Livestock type j],Table_SourceData_Swine_Liveweight[Average liveweight (kg)])</f>
        <v>0</v>
      </c>
      <c r="H113" s="163"/>
      <c r="L113" s="7"/>
      <c r="M113" s="7"/>
      <c r="N113" s="7"/>
      <c r="O113" s="7"/>
      <c r="P113" s="7"/>
    </row>
    <row r="114" spans="4:16" ht="30" customHeight="1" x14ac:dyDescent="0.25">
      <c r="L114" s="7"/>
      <c r="M114" s="7"/>
      <c r="N114" s="7"/>
      <c r="O114" s="7"/>
      <c r="P114" s="7"/>
    </row>
    <row r="115" spans="4:16" ht="30" customHeight="1" x14ac:dyDescent="0.25">
      <c r="D115" s="143" t="s">
        <v>604</v>
      </c>
      <c r="L115" s="7"/>
      <c r="M115" s="7"/>
      <c r="N115" s="7"/>
      <c r="O115" s="7"/>
      <c r="P115" s="7"/>
    </row>
    <row r="116" spans="4:16" ht="30" customHeight="1" x14ac:dyDescent="0.25">
      <c r="D116" s="164" t="s">
        <v>386</v>
      </c>
      <c r="E116" s="164" t="s">
        <v>349</v>
      </c>
      <c r="F116" s="164" t="s">
        <v>350</v>
      </c>
      <c r="G116" s="164" t="s">
        <v>460</v>
      </c>
      <c r="H116" s="164" t="s">
        <v>461</v>
      </c>
      <c r="N116" s="7"/>
      <c r="O116" s="7"/>
      <c r="P116" s="7"/>
    </row>
    <row r="117" spans="4:16" ht="30" customHeight="1" x14ac:dyDescent="0.25">
      <c r="D117" s="75" t="s">
        <v>605</v>
      </c>
      <c r="E117" s="37" t="s">
        <v>633</v>
      </c>
      <c r="F117" s="58">
        <v>100</v>
      </c>
      <c r="G117" s="39" cm="1">
        <f t="array" ref="G117">Common_InputFunctions.Utility_LookupValueInTableNumber(Table_Input_LivestockPurchases_Poultry[[#This Row],[Class (select)]], Table_SourceData_Poultry_Liveweights[Livestock class j],Table_SourceData_Poultry_Liveweights[Average liveweight (kg)])</f>
        <v>1.3</v>
      </c>
      <c r="H117" s="58">
        <v>1.3</v>
      </c>
      <c r="N117" s="7"/>
      <c r="O117" s="7"/>
      <c r="P117" s="7"/>
    </row>
    <row r="118" spans="4:16" ht="30" customHeight="1" x14ac:dyDescent="0.25">
      <c r="D118" s="162" t="s">
        <v>606</v>
      </c>
      <c r="E118" s="150" t="s">
        <v>634</v>
      </c>
      <c r="F118" s="163">
        <v>100</v>
      </c>
      <c r="G118" s="39" cm="1">
        <f t="array" ref="G118">Common_InputFunctions.Utility_LookupValueInTableNumber(Table_Input_LivestockPurchases_Poultry[[#This Row],[Class (select)]], Table_SourceData_Poultry_Liveweights[Livestock class j],Table_SourceData_Poultry_Liveweights[Average liveweight (kg)])</f>
        <v>1.4</v>
      </c>
      <c r="H118" s="163">
        <v>1.4</v>
      </c>
      <c r="N118" s="9"/>
      <c r="O118" s="9"/>
      <c r="P118" s="7"/>
    </row>
    <row r="119" spans="4:16" ht="30" customHeight="1" x14ac:dyDescent="0.25">
      <c r="D119" s="162"/>
      <c r="E119" s="150"/>
      <c r="F119" s="163"/>
      <c r="G119" s="39" cm="1">
        <f t="array" ref="G119">Common_InputFunctions.Utility_LookupValueInTableNumber(Table_Input_LivestockPurchases_Poultry[[#This Row],[Class (select)]], Table_SourceData_Poultry_Liveweights[Livestock class j],Table_SourceData_Poultry_Liveweights[Average liveweight (kg)])</f>
        <v>0</v>
      </c>
      <c r="H119" s="163"/>
      <c r="P119" s="148"/>
    </row>
    <row r="120" spans="4:16" ht="30" customHeight="1" x14ac:dyDescent="0.25">
      <c r="D120" s="162"/>
      <c r="E120" s="150"/>
      <c r="F120" s="163"/>
      <c r="G120" s="39" cm="1">
        <f t="array" ref="G120">Common_InputFunctions.Utility_LookupValueInTableNumber(Table_Input_LivestockPurchases_Poultry[[#This Row],[Class (select)]], Table_SourceData_Poultry_Liveweights[Livestock class j],Table_SourceData_Poultry_Liveweights[Average liveweight (kg)])</f>
        <v>0</v>
      </c>
      <c r="H120" s="163"/>
      <c r="P120" s="148"/>
    </row>
    <row r="121" spans="4:16" ht="30" customHeight="1" x14ac:dyDescent="0.25">
      <c r="D121" s="162"/>
      <c r="E121" s="150"/>
      <c r="F121" s="163"/>
      <c r="G121" s="39" cm="1">
        <f t="array" ref="G121">Common_InputFunctions.Utility_LookupValueInTableNumber(Table_Input_LivestockPurchases_Poultry[[#This Row],[Class (select)]], Table_SourceData_Poultry_Liveweights[Livestock class j],Table_SourceData_Poultry_Liveweights[Average liveweight (kg)])</f>
        <v>0</v>
      </c>
      <c r="H121" s="163"/>
      <c r="P121" s="148"/>
    </row>
    <row r="122" spans="4:16" ht="30" customHeight="1" x14ac:dyDescent="0.25">
      <c r="D122" s="162"/>
      <c r="E122" s="150"/>
      <c r="F122" s="163"/>
      <c r="G122" s="39" cm="1">
        <f t="array" ref="G122">Common_InputFunctions.Utility_LookupValueInTableNumber(Table_Input_LivestockPurchases_Poultry[[#This Row],[Class (select)]], Table_SourceData_Poultry_Liveweights[Livestock class j],Table_SourceData_Poultry_Liveweights[Average liveweight (kg)])</f>
        <v>0</v>
      </c>
      <c r="H122" s="163"/>
      <c r="P122" s="148"/>
    </row>
    <row r="123" spans="4:16" ht="30" customHeight="1" x14ac:dyDescent="0.25">
      <c r="D123" s="162"/>
      <c r="E123" s="150"/>
      <c r="F123" s="163"/>
      <c r="G123" s="39" cm="1">
        <f t="array" ref="G123">Common_InputFunctions.Utility_LookupValueInTableNumber(Table_Input_LivestockPurchases_Poultry[[#This Row],[Class (select)]], Table_SourceData_Poultry_Liveweights[Livestock class j],Table_SourceData_Poultry_Liveweights[Average liveweight (kg)])</f>
        <v>0</v>
      </c>
      <c r="H123" s="163"/>
      <c r="P123" s="148"/>
    </row>
    <row r="124" spans="4:16" ht="30" customHeight="1" x14ac:dyDescent="0.25">
      <c r="D124" s="162"/>
      <c r="E124" s="150"/>
      <c r="F124" s="163"/>
      <c r="G124" s="39" cm="1">
        <f t="array" ref="G124">Common_InputFunctions.Utility_LookupValueInTableNumber(Table_Input_LivestockPurchases_Poultry[[#This Row],[Class (select)]], Table_SourceData_Poultry_Liveweights[Livestock class j],Table_SourceData_Poultry_Liveweights[Average liveweight (kg)])</f>
        <v>0</v>
      </c>
      <c r="H124" s="163"/>
      <c r="N124" s="7"/>
      <c r="O124" s="7"/>
      <c r="P124" s="7"/>
    </row>
    <row r="125" spans="4:16" ht="30" customHeight="1" x14ac:dyDescent="0.25">
      <c r="D125" s="162"/>
      <c r="E125" s="150"/>
      <c r="F125" s="163"/>
      <c r="G125" s="39" cm="1">
        <f t="array" ref="G125">Common_InputFunctions.Utility_LookupValueInTableNumber(Table_Input_LivestockPurchases_Poultry[[#This Row],[Class (select)]], Table_SourceData_Poultry_Liveweights[Livestock class j],Table_SourceData_Poultry_Liveweights[Average liveweight (kg)])</f>
        <v>0</v>
      </c>
      <c r="H125" s="163"/>
      <c r="N125" s="7"/>
      <c r="O125" s="7"/>
      <c r="P125" s="7"/>
    </row>
    <row r="126" spans="4:16" ht="30" customHeight="1" x14ac:dyDescent="0.25">
      <c r="D126" s="162"/>
      <c r="E126" s="150"/>
      <c r="F126" s="163"/>
      <c r="G126" s="39" cm="1">
        <f t="array" ref="G126">Common_InputFunctions.Utility_LookupValueInTableNumber(Table_Input_LivestockPurchases_Poultry[[#This Row],[Class (select)]], Table_SourceData_Poultry_Liveweights[Livestock class j],Table_SourceData_Poultry_Liveweights[Average liveweight (kg)])</f>
        <v>0</v>
      </c>
      <c r="H126" s="163"/>
    </row>
    <row r="127" spans="4:16" ht="30" customHeight="1" x14ac:dyDescent="0.25"/>
    <row r="128" spans="4:16" ht="30" customHeight="1" x14ac:dyDescent="0.25">
      <c r="D128" s="143" t="s">
        <v>649</v>
      </c>
    </row>
    <row r="129" spans="12:13" ht="30" customHeight="1" x14ac:dyDescent="0.25">
      <c r="L129" s="7"/>
      <c r="M129" s="7"/>
    </row>
    <row r="130" spans="12:13" ht="30" customHeight="1" x14ac:dyDescent="0.25">
      <c r="L130" s="7"/>
      <c r="M130" s="7"/>
    </row>
    <row r="131" spans="12:13" ht="30" customHeight="1" x14ac:dyDescent="0.25">
      <c r="L131" s="9"/>
      <c r="M131" s="9"/>
    </row>
    <row r="132" spans="12:13" ht="30" customHeight="1" x14ac:dyDescent="0.25"/>
    <row r="133" spans="12:13" ht="30" customHeight="1" x14ac:dyDescent="0.25"/>
    <row r="134" spans="12:13" ht="30" customHeight="1" x14ac:dyDescent="0.25"/>
    <row r="135" spans="12:13" ht="30" customHeight="1" x14ac:dyDescent="0.25"/>
    <row r="136" spans="12:13" ht="30" customHeight="1" x14ac:dyDescent="0.25"/>
    <row r="137" spans="12:13" ht="30" customHeight="1" x14ac:dyDescent="0.25">
      <c r="L137" s="7"/>
      <c r="M137" s="7"/>
    </row>
    <row r="138" spans="12:13" ht="30" customHeight="1" x14ac:dyDescent="0.25">
      <c r="L138" s="7"/>
      <c r="M138" s="7"/>
    </row>
    <row r="149" spans="4:7" ht="23.25" x14ac:dyDescent="0.25">
      <c r="D149" s="9" t="s">
        <v>644</v>
      </c>
    </row>
    <row r="150" spans="4:7" x14ac:dyDescent="0.25">
      <c r="D150" s="12"/>
    </row>
    <row r="151" spans="4:7" x14ac:dyDescent="0.25">
      <c r="D151" s="167" t="s">
        <v>645</v>
      </c>
      <c r="E151" s="167" t="s">
        <v>655</v>
      </c>
      <c r="F151" s="167" t="s">
        <v>650</v>
      </c>
      <c r="G151" s="167" t="s">
        <v>126</v>
      </c>
    </row>
    <row r="152" spans="4:7" x14ac:dyDescent="0.25">
      <c r="D152" s="75" t="s">
        <v>646</v>
      </c>
      <c r="E152" s="75" t="s">
        <v>647</v>
      </c>
      <c r="F152" s="58">
        <v>10000</v>
      </c>
      <c r="G152" s="37" t="s">
        <v>652</v>
      </c>
    </row>
    <row r="153" spans="4:7" x14ac:dyDescent="0.25">
      <c r="D153" s="162" t="s">
        <v>648</v>
      </c>
      <c r="E153" s="162" t="s">
        <v>654</v>
      </c>
      <c r="F153" s="163">
        <v>1000</v>
      </c>
      <c r="G153" s="37" t="s">
        <v>653</v>
      </c>
    </row>
    <row r="154" spans="4:7" x14ac:dyDescent="0.25">
      <c r="D154" s="162"/>
      <c r="E154" s="162"/>
      <c r="F154" s="163"/>
      <c r="G154" s="37"/>
    </row>
    <row r="155" spans="4:7" x14ac:dyDescent="0.25">
      <c r="D155" s="162"/>
      <c r="E155" s="162"/>
      <c r="F155" s="163"/>
      <c r="G155" s="37"/>
    </row>
    <row r="156" spans="4:7" x14ac:dyDescent="0.25">
      <c r="D156" s="162"/>
      <c r="E156" s="162"/>
      <c r="F156" s="163"/>
      <c r="G156" s="37"/>
    </row>
    <row r="157" spans="4:7" x14ac:dyDescent="0.25">
      <c r="D157" s="162"/>
      <c r="E157" s="162"/>
      <c r="F157" s="163"/>
      <c r="G157" s="37"/>
    </row>
    <row r="158" spans="4:7" x14ac:dyDescent="0.25">
      <c r="D158" s="162"/>
      <c r="E158" s="162"/>
      <c r="F158" s="163"/>
      <c r="G158" s="37"/>
    </row>
    <row r="159" spans="4:7" x14ac:dyDescent="0.25">
      <c r="D159" s="162"/>
      <c r="E159" s="162"/>
      <c r="F159" s="163"/>
      <c r="G159" s="37"/>
    </row>
    <row r="160" spans="4:7" x14ac:dyDescent="0.25">
      <c r="D160" s="162"/>
      <c r="E160" s="162"/>
      <c r="F160" s="163"/>
      <c r="G160" s="37"/>
    </row>
    <row r="161" spans="4:11" x14ac:dyDescent="0.25">
      <c r="D161" s="162"/>
      <c r="E161" s="162"/>
      <c r="F161" s="163"/>
      <c r="G161" s="37"/>
    </row>
    <row r="164" spans="4:11" ht="23.25" x14ac:dyDescent="0.25">
      <c r="D164" s="9" t="s">
        <v>394</v>
      </c>
    </row>
    <row r="165" spans="4:11" ht="28.5" x14ac:dyDescent="0.25">
      <c r="D165" s="84" t="s">
        <v>310</v>
      </c>
      <c r="E165" s="84" t="s">
        <v>311</v>
      </c>
      <c r="F165" s="84" t="s">
        <v>438</v>
      </c>
      <c r="G165" s="84" t="s">
        <v>635</v>
      </c>
      <c r="H165" s="84" t="s">
        <v>439</v>
      </c>
      <c r="I165" s="84" t="s">
        <v>638</v>
      </c>
      <c r="K165" s="7"/>
    </row>
    <row r="166" spans="4:11" x14ac:dyDescent="0.25">
      <c r="D166" s="141" t="s">
        <v>440</v>
      </c>
      <c r="E166" s="58">
        <v>100000</v>
      </c>
      <c r="F166" s="37" t="s">
        <v>441</v>
      </c>
      <c r="G166" s="79">
        <f>100%</f>
        <v>1</v>
      </c>
      <c r="H166" s="58">
        <v>0.02</v>
      </c>
      <c r="I166" s="39">
        <f>Table_Input_Packaging[[#This Row],[Quantity purchased]]*Table_Input_Packaging[[#This Row],[Percent of packaging that is primary material]]*Table_Input_Packaging[[#This Row],[Weight per unit (kg)]]</f>
        <v>2000</v>
      </c>
      <c r="K166" s="7"/>
    </row>
    <row r="167" spans="4:11" x14ac:dyDescent="0.25">
      <c r="D167" s="141"/>
      <c r="E167" s="170"/>
      <c r="F167" s="37"/>
      <c r="G167" s="171">
        <f>100%</f>
        <v>1</v>
      </c>
      <c r="H167" s="163"/>
      <c r="I167" s="39">
        <f>Table_Input_Packaging[[#This Row],[Quantity purchased]]*Table_Input_Packaging[[#This Row],[Percent of packaging that is primary material]]*Table_Input_Packaging[[#This Row],[Weight per unit (kg)]]</f>
        <v>0</v>
      </c>
      <c r="K167" s="7"/>
    </row>
    <row r="168" spans="4:11" x14ac:dyDescent="0.25">
      <c r="D168" s="141"/>
      <c r="E168" s="170"/>
      <c r="F168" s="37"/>
      <c r="G168" s="171">
        <f>100%</f>
        <v>1</v>
      </c>
      <c r="H168" s="163"/>
      <c r="I168" s="39">
        <f>Table_Input_Packaging[[#This Row],[Quantity purchased]]*Table_Input_Packaging[[#This Row],[Percent of packaging that is primary material]]*Table_Input_Packaging[[#This Row],[Weight per unit (kg)]]</f>
        <v>0</v>
      </c>
      <c r="K168" s="7"/>
    </row>
    <row r="169" spans="4:11" x14ac:dyDescent="0.25">
      <c r="D169" s="141"/>
      <c r="E169" s="170"/>
      <c r="F169" s="37"/>
      <c r="G169" s="171">
        <f>100%</f>
        <v>1</v>
      </c>
      <c r="H169" s="163"/>
      <c r="I169" s="39">
        <f>Table_Input_Packaging[[#This Row],[Quantity purchased]]*Table_Input_Packaging[[#This Row],[Percent of packaging that is primary material]]*Table_Input_Packaging[[#This Row],[Weight per unit (kg)]]</f>
        <v>0</v>
      </c>
      <c r="K169" s="7"/>
    </row>
    <row r="170" spans="4:11" ht="23.25" x14ac:dyDescent="0.25">
      <c r="D170" s="141"/>
      <c r="E170" s="170"/>
      <c r="F170" s="37"/>
      <c r="G170" s="171">
        <f>100%</f>
        <v>1</v>
      </c>
      <c r="H170" s="163"/>
      <c r="I170" s="39">
        <f>Table_Input_Packaging[[#This Row],[Quantity purchased]]*Table_Input_Packaging[[#This Row],[Percent of packaging that is primary material]]*Table_Input_Packaging[[#This Row],[Weight per unit (kg)]]</f>
        <v>0</v>
      </c>
      <c r="K170" s="9"/>
    </row>
    <row r="171" spans="4:11" x14ac:dyDescent="0.25">
      <c r="D171" s="141"/>
      <c r="E171" s="170"/>
      <c r="F171" s="37"/>
      <c r="G171" s="171">
        <f>100%</f>
        <v>1</v>
      </c>
      <c r="H171" s="163"/>
      <c r="I171" s="39">
        <f>Table_Input_Packaging[[#This Row],[Quantity purchased]]*Table_Input_Packaging[[#This Row],[Percent of packaging that is primary material]]*Table_Input_Packaging[[#This Row],[Weight per unit (kg)]]</f>
        <v>0</v>
      </c>
    </row>
    <row r="172" spans="4:11" x14ac:dyDescent="0.25">
      <c r="D172" s="141"/>
      <c r="E172" s="170"/>
      <c r="F172" s="37"/>
      <c r="G172" s="171">
        <f>100%</f>
        <v>1</v>
      </c>
      <c r="H172" s="163"/>
      <c r="I172" s="39">
        <f>Table_Input_Packaging[[#This Row],[Quantity purchased]]*Table_Input_Packaging[[#This Row],[Percent of packaging that is primary material]]*Table_Input_Packaging[[#This Row],[Weight per unit (kg)]]</f>
        <v>0</v>
      </c>
    </row>
    <row r="173" spans="4:11" x14ac:dyDescent="0.25">
      <c r="D173" s="141"/>
      <c r="E173" s="170"/>
      <c r="F173" s="37"/>
      <c r="G173" s="171">
        <f>100%</f>
        <v>1</v>
      </c>
      <c r="H173" s="163"/>
      <c r="I173" s="39">
        <f>Table_Input_Packaging[[#This Row],[Quantity purchased]]*Table_Input_Packaging[[#This Row],[Percent of packaging that is primary material]]*Table_Input_Packaging[[#This Row],[Weight per unit (kg)]]</f>
        <v>0</v>
      </c>
    </row>
    <row r="174" spans="4:11" x14ac:dyDescent="0.25">
      <c r="D174" s="141"/>
      <c r="E174" s="170"/>
      <c r="F174" s="37"/>
      <c r="G174" s="171">
        <f>100%</f>
        <v>1</v>
      </c>
      <c r="H174" s="163"/>
      <c r="I174" s="39">
        <f>Table_Input_Packaging[[#This Row],[Quantity purchased]]*Table_Input_Packaging[[#This Row],[Percent of packaging that is primary material]]*Table_Input_Packaging[[#This Row],[Weight per unit (kg)]]</f>
        <v>0</v>
      </c>
    </row>
    <row r="175" spans="4:11" x14ac:dyDescent="0.25">
      <c r="D175" s="141"/>
      <c r="E175" s="170"/>
      <c r="F175" s="37"/>
      <c r="G175" s="171">
        <f>100%</f>
        <v>1</v>
      </c>
      <c r="H175" s="163"/>
      <c r="I175" s="39">
        <f>Table_Input_Packaging[[#This Row],[Quantity purchased]]*Table_Input_Packaging[[#This Row],[Percent of packaging that is primary material]]*Table_Input_Packaging[[#This Row],[Weight per unit (kg)]]</f>
        <v>0</v>
      </c>
    </row>
    <row r="176" spans="4:11" x14ac:dyDescent="0.25">
      <c r="K176" s="7"/>
    </row>
    <row r="177" spans="4:19" x14ac:dyDescent="0.25">
      <c r="K177" s="7"/>
    </row>
    <row r="178" spans="4:19" ht="23.25" x14ac:dyDescent="0.25">
      <c r="D178" s="9" t="s">
        <v>736</v>
      </c>
    </row>
    <row r="179" spans="4:19" x14ac:dyDescent="0.25">
      <c r="D179" s="12"/>
    </row>
    <row r="180" spans="4:19" x14ac:dyDescent="0.25">
      <c r="D180" s="167" t="s">
        <v>737</v>
      </c>
      <c r="E180" s="167" t="s">
        <v>650</v>
      </c>
      <c r="F180" s="167" t="s">
        <v>126</v>
      </c>
      <c r="J180" s="8"/>
      <c r="S180" s="3"/>
    </row>
    <row r="181" spans="4:19" x14ac:dyDescent="0.25">
      <c r="D181" s="75" t="s">
        <v>739</v>
      </c>
      <c r="E181" s="58">
        <v>10000</v>
      </c>
      <c r="F181" s="37" t="s">
        <v>377</v>
      </c>
      <c r="J181" s="8"/>
      <c r="S181" s="3"/>
    </row>
    <row r="182" spans="4:19" x14ac:dyDescent="0.25">
      <c r="D182" s="162" t="s">
        <v>740</v>
      </c>
      <c r="E182" s="163">
        <v>100</v>
      </c>
      <c r="F182" s="37" t="s">
        <v>738</v>
      </c>
      <c r="J182" s="8"/>
      <c r="S182" s="3"/>
    </row>
    <row r="183" spans="4:19" x14ac:dyDescent="0.25">
      <c r="D183" s="162" t="s">
        <v>741</v>
      </c>
      <c r="E183" s="163">
        <v>10000</v>
      </c>
      <c r="F183" s="37" t="s">
        <v>377</v>
      </c>
      <c r="J183" s="8"/>
      <c r="S183" s="3"/>
    </row>
    <row r="184" spans="4:19" x14ac:dyDescent="0.25">
      <c r="D184" s="162"/>
      <c r="E184" s="163"/>
      <c r="F184" s="37"/>
      <c r="J184" s="8"/>
      <c r="S184" s="3"/>
    </row>
    <row r="185" spans="4:19" x14ac:dyDescent="0.25">
      <c r="D185" s="162"/>
      <c r="E185" s="163"/>
      <c r="F185" s="37"/>
      <c r="J185" s="8"/>
      <c r="S185" s="3"/>
    </row>
    <row r="186" spans="4:19" x14ac:dyDescent="0.25">
      <c r="D186" s="162"/>
      <c r="E186" s="163"/>
      <c r="F186" s="37"/>
      <c r="J186" s="8"/>
      <c r="S186" s="3"/>
    </row>
    <row r="187" spans="4:19" x14ac:dyDescent="0.25">
      <c r="D187" s="162"/>
      <c r="E187" s="163"/>
      <c r="F187" s="37"/>
      <c r="J187" s="8"/>
      <c r="S187" s="3"/>
    </row>
    <row r="188" spans="4:19" x14ac:dyDescent="0.25">
      <c r="D188" s="162"/>
      <c r="E188" s="163"/>
      <c r="F188" s="37"/>
      <c r="J188" s="8"/>
      <c r="S188" s="3"/>
    </row>
    <row r="189" spans="4:19" x14ac:dyDescent="0.25">
      <c r="D189" s="162"/>
      <c r="E189" s="163"/>
      <c r="F189" s="37"/>
      <c r="I189" s="7"/>
      <c r="J189" s="8"/>
      <c r="S189" s="3"/>
    </row>
    <row r="190" spans="4:19" x14ac:dyDescent="0.25">
      <c r="D190" s="162"/>
      <c r="E190" s="163"/>
      <c r="F190" s="37"/>
      <c r="I190" s="7"/>
      <c r="J190" s="8"/>
      <c r="S190" s="3"/>
    </row>
    <row r="191" spans="4:19" x14ac:dyDescent="0.25">
      <c r="J191" s="7"/>
    </row>
    <row r="192" spans="4:19" x14ac:dyDescent="0.25">
      <c r="J192" s="7"/>
    </row>
    <row r="193" spans="4:10" ht="23.25" x14ac:dyDescent="0.25">
      <c r="D193" s="9" t="s">
        <v>444</v>
      </c>
      <c r="J193" s="7"/>
    </row>
    <row r="194" spans="4:10" ht="23.25" x14ac:dyDescent="0.25">
      <c r="D194" s="8" t="str">
        <f>'Constants - Scope 3'!E204</f>
        <v>Barley grain (for seed)</v>
      </c>
      <c r="E194" s="58">
        <v>500</v>
      </c>
      <c r="F194" s="57" t="s">
        <v>377</v>
      </c>
      <c r="J194" s="9"/>
    </row>
    <row r="195" spans="4:10" x14ac:dyDescent="0.25">
      <c r="D195" s="8" t="str">
        <f>'Constants - Scope 3'!E205</f>
        <v>Maize grain (for seed)</v>
      </c>
      <c r="E195" s="58">
        <v>600</v>
      </c>
      <c r="F195" s="57" t="s">
        <v>377</v>
      </c>
      <c r="G195" s="7"/>
      <c r="H195" s="8"/>
      <c r="J195" s="8"/>
    </row>
    <row r="196" spans="4:10" x14ac:dyDescent="0.25">
      <c r="D196" s="8" t="str">
        <f>'Constants - Scope 3'!E207</f>
        <v>Oat grain (for seed)</v>
      </c>
      <c r="E196" s="58">
        <v>700</v>
      </c>
      <c r="F196" s="57" t="s">
        <v>377</v>
      </c>
      <c r="G196" s="7"/>
      <c r="H196" s="8"/>
      <c r="J196" s="8"/>
    </row>
    <row r="197" spans="4:10" x14ac:dyDescent="0.25">
      <c r="D197" s="8" t="str">
        <f>'Constants - Scope 3'!E208</f>
        <v>Sorghum grain (for seed)</v>
      </c>
      <c r="E197" s="58">
        <v>800</v>
      </c>
      <c r="F197" s="57" t="s">
        <v>377</v>
      </c>
      <c r="G197" s="7"/>
      <c r="H197" s="7"/>
      <c r="J197" s="8"/>
    </row>
    <row r="198" spans="4:10" x14ac:dyDescent="0.25">
      <c r="D198" s="8" t="str">
        <f>'Constants - Scope 3'!E209</f>
        <v>Wheat grain (for seed)</v>
      </c>
      <c r="E198" s="58">
        <v>900</v>
      </c>
      <c r="F198" s="57" t="s">
        <v>377</v>
      </c>
      <c r="G198" s="7"/>
      <c r="H198" s="7"/>
      <c r="I198" s="7"/>
      <c r="J198" s="8"/>
    </row>
    <row r="199" spans="4:10" x14ac:dyDescent="0.25">
      <c r="G199" s="7"/>
      <c r="I199" s="7"/>
      <c r="J199" s="8"/>
    </row>
    <row r="200" spans="4:10" ht="23.25" x14ac:dyDescent="0.25">
      <c r="D200" s="9" t="s">
        <v>450</v>
      </c>
      <c r="G200" s="8"/>
      <c r="I200" s="7"/>
      <c r="J200" s="7"/>
    </row>
    <row r="201" spans="4:10" x14ac:dyDescent="0.25">
      <c r="D201" s="8" t="str">
        <f>'Constants - Scope 3'!E202</f>
        <v>Animal ear tags (large)</v>
      </c>
      <c r="E201" s="58">
        <v>100</v>
      </c>
      <c r="F201" s="57" t="s">
        <v>437</v>
      </c>
      <c r="G201" s="8"/>
      <c r="I201" s="7"/>
      <c r="J201" s="7"/>
    </row>
    <row r="202" spans="4:10" x14ac:dyDescent="0.25">
      <c r="D202" s="8" t="str">
        <f>'Constants - Scope 3'!E203</f>
        <v>Animal ear tags (small)</v>
      </c>
      <c r="E202" s="58">
        <v>200</v>
      </c>
      <c r="F202" s="57" t="s">
        <v>437</v>
      </c>
      <c r="G202" s="8"/>
      <c r="I202" s="7"/>
    </row>
    <row r="203" spans="4:10" x14ac:dyDescent="0.25">
      <c r="D203" s="8" t="str">
        <f>'Constants - Scope 3'!E206</f>
        <v>Nylon netting</v>
      </c>
      <c r="E203" s="58">
        <v>300</v>
      </c>
      <c r="F203" s="57" t="s">
        <v>377</v>
      </c>
      <c r="G203" s="8"/>
      <c r="I203" s="7"/>
    </row>
    <row r="204" spans="4:10" x14ac:dyDescent="0.25">
      <c r="G204" s="8"/>
      <c r="I204" s="8"/>
    </row>
    <row r="205" spans="4:10" x14ac:dyDescent="0.25">
      <c r="G205" s="7"/>
      <c r="I205" s="8"/>
    </row>
    <row r="206" spans="4:10" ht="23.25" x14ac:dyDescent="0.25">
      <c r="D206" s="9" t="s">
        <v>643</v>
      </c>
      <c r="G206" s="7"/>
      <c r="I206" s="8"/>
    </row>
    <row r="207" spans="4:10" x14ac:dyDescent="0.25">
      <c r="D207" s="12"/>
      <c r="I207" s="8"/>
    </row>
    <row r="208" spans="4:10" x14ac:dyDescent="0.25">
      <c r="D208" s="167" t="s">
        <v>637</v>
      </c>
      <c r="E208" s="167" t="s">
        <v>636</v>
      </c>
      <c r="F208" s="167" t="s">
        <v>126</v>
      </c>
      <c r="I208" s="8"/>
    </row>
    <row r="209" spans="4:9" x14ac:dyDescent="0.25">
      <c r="D209" s="75" t="s">
        <v>742</v>
      </c>
      <c r="E209" s="58">
        <v>1000</v>
      </c>
      <c r="F209" s="75" t="s">
        <v>377</v>
      </c>
      <c r="I209" s="7"/>
    </row>
    <row r="210" spans="4:9" x14ac:dyDescent="0.25">
      <c r="D210" s="162"/>
      <c r="E210" s="163"/>
      <c r="F210" s="162"/>
      <c r="I210" s="7"/>
    </row>
    <row r="211" spans="4:9" x14ac:dyDescent="0.25">
      <c r="D211" s="162"/>
      <c r="E211" s="163"/>
      <c r="F211" s="162"/>
    </row>
    <row r="212" spans="4:9" x14ac:dyDescent="0.25">
      <c r="D212" s="162"/>
      <c r="E212" s="163"/>
      <c r="F212" s="162"/>
    </row>
    <row r="213" spans="4:9" x14ac:dyDescent="0.25">
      <c r="D213" s="162"/>
      <c r="E213" s="163"/>
      <c r="F213" s="162"/>
    </row>
    <row r="214" spans="4:9" x14ac:dyDescent="0.25">
      <c r="D214" s="162"/>
      <c r="E214" s="163"/>
      <c r="F214" s="162"/>
    </row>
    <row r="215" spans="4:9" x14ac:dyDescent="0.25">
      <c r="D215" s="162"/>
      <c r="E215" s="163"/>
      <c r="F215" s="162"/>
    </row>
    <row r="216" spans="4:9" x14ac:dyDescent="0.25">
      <c r="D216" s="162"/>
      <c r="E216" s="163"/>
      <c r="F216" s="162"/>
    </row>
    <row r="217" spans="4:9" x14ac:dyDescent="0.25">
      <c r="D217" s="162"/>
      <c r="E217" s="163"/>
      <c r="F217" s="162"/>
    </row>
    <row r="218" spans="4:9" x14ac:dyDescent="0.25">
      <c r="D218" s="162"/>
      <c r="E218" s="163"/>
      <c r="F218" s="162"/>
    </row>
  </sheetData>
  <phoneticPr fontId="53" type="noConversion"/>
  <dataValidations count="18">
    <dataValidation type="list" allowBlank="1" showInputMessage="1" showErrorMessage="1" sqref="E24:E33" xr:uid="{C432D3D7-90B5-49EB-9686-44E33AA46DF7}">
      <formula1>INDIRECT("Table_SourceData_Scope3_ChemicalsCleaning[Product]")</formula1>
    </dataValidation>
    <dataValidation type="list" allowBlank="1" showInputMessage="1" showErrorMessage="1" sqref="F166:F175" xr:uid="{C1194F4C-B4BA-4C6C-9335-96226E3C874D}">
      <formula1>INDIRECT("Table_SourceData_Scope3_Packaging[Product]")</formula1>
    </dataValidation>
    <dataValidation type="list" allowBlank="1" showInputMessage="1" showErrorMessage="1" sqref="J11:J20 M11:M20 P11:P20" xr:uid="{4EB7609B-9081-416E-B296-83CB5579804F}">
      <formula1>INDIRECT("Table_SourceData_Scope3_Pesticides[Product]")</formula1>
    </dataValidation>
    <dataValidation type="list" allowBlank="1" showInputMessage="1" showErrorMessage="1" sqref="I11:I20" xr:uid="{8108ECDB-1F4C-43F2-85A5-19117852A987}">
      <formula1>"grams/litre or grams/kg, fraction of product"</formula1>
    </dataValidation>
    <dataValidation type="list" allowBlank="1" showInputMessage="1" showErrorMessage="1" sqref="F11:F20" xr:uid="{3E384BB8-0CCC-45EA-83A2-5F436B025D10}">
      <formula1>"kg / hectare, litre / hectare"</formula1>
    </dataValidation>
    <dataValidation type="list" allowBlank="1" showInputMessage="1" showErrorMessage="1" sqref="E37:E46" xr:uid="{F14848CE-F457-49B7-A95E-514E2B530B92}">
      <formula1>INDIRECT("Table_SourceData_Scope3_ChemicalsPharmacy[Product]")</formula1>
    </dataValidation>
    <dataValidation type="list" allowBlank="1" showInputMessage="1" showErrorMessage="1" sqref="H78:H87" xr:uid="{579B6E80-B21D-49A6-A5CC-E0740A79C06C}">
      <formula1>INDIRECT("Table_ProductRegions_Beefcattle[Region]")</formula1>
    </dataValidation>
    <dataValidation type="list" allowBlank="1" showInputMessage="1" showErrorMessage="1" sqref="G78:G87" xr:uid="{D038D161-4CB4-4F66-9EA9-1B3DFD795E64}">
      <formula1>INDIRECT(TRIM("Table_SourceData_LivestockProduct_Beefcattle[Product]"))</formula1>
    </dataValidation>
    <dataValidation type="list" allowBlank="1" showInputMessage="1" showErrorMessage="1" sqref="F78:F87" xr:uid="{E820CFC8-651A-4AAE-8CFC-0434A22A2CFE}">
      <formula1>INDIRECT("Table_LivestockClasses_Beefcattle[Livestock class]")</formula1>
    </dataValidation>
    <dataValidation type="list" allowBlank="1" showInputMessage="1" showErrorMessage="1" sqref="F91:F100" xr:uid="{6C01C856-27C6-4CD3-9F44-CB174DFAC047}">
      <formula1>INDIRECT("Table_SourceData_Dairy_WjCowsHeifers[Breed]")</formula1>
    </dataValidation>
    <dataValidation type="list" allowBlank="1" showInputMessage="1" showErrorMessage="1" sqref="E91:E100" xr:uid="{5781C060-ED70-4962-97D0-9C205A1D4D9A}">
      <formula1>INDIRECT("Table_SourceData_Dairy_WjCowsHeifers[[#Headers],[Milking cows]:[Heifers &lt; 1 (weaned)]]")</formula1>
    </dataValidation>
    <dataValidation type="list" allowBlank="1" showInputMessage="1" showErrorMessage="1" sqref="E104:E113" xr:uid="{4ACF2D94-C615-4145-8F1B-25113D24F04E}">
      <formula1>INDIRECT("Table_SourceData_Swine_Liveweight[Livestock type j]")</formula1>
    </dataValidation>
    <dataValidation type="list" allowBlank="1" showInputMessage="1" showErrorMessage="1" sqref="E117:E126" xr:uid="{EF3323C3-C624-43FE-8DC3-2DC12C1B5DDD}">
      <formula1>INDIRECT("Table_SourceData_Poultry_Liveweights[Livestock class j]")</formula1>
    </dataValidation>
    <dataValidation type="list" allowBlank="1" showInputMessage="1" showErrorMessage="1" sqref="G152:G161" xr:uid="{92F419C3-BB6B-4ED0-BE3F-195DAC4808A6}">
      <formula1>"Hour, Hectare"</formula1>
    </dataValidation>
    <dataValidation type="list" allowBlank="1" showInputMessage="1" showErrorMessage="1" sqref="G63:G72 J63:J72 M63:M72 P63:P72" xr:uid="{299DE751-C45B-453E-A22E-D9874EC037B6}">
      <formula1>INDIRECT("Table_ProductRegions_" &amp; SUBSTITUTE(SUBSTITUTE(SUBSTITUTE(SUBSTITUTE(F63, " ", ""), ",", ""), "(", ""), ")", "") &amp; "[Region]")</formula1>
    </dataValidation>
    <dataValidation type="list" allowBlank="1" showInputMessage="1" showErrorMessage="1" sqref="F63:F72 I63:I72 L63:L72 O63:O72" xr:uid="{1054A587-AE3C-4093-8FA5-82F7F165672F}">
      <formula1>INDIRECT(_xlfn.UNIQUE("Table_SourceData_Scope3_Feed[Product]"))</formula1>
    </dataValidation>
    <dataValidation type="list" allowBlank="1" showInputMessage="1" showErrorMessage="1" sqref="N122:N123 H195:H196 J198:J199 L135:L136" xr:uid="{0AD8851A-09E8-483B-9827-926349C05F01}">
      <formula1>INDIRECT("Table_Scope3_AquacultureFeedBait[Feed / Bait ingredient]")</formula1>
    </dataValidation>
    <dataValidation type="list" allowBlank="1" showInputMessage="1" showErrorMessage="1" sqref="F181:F190" xr:uid="{9C8B3973-FAC4-43D3-9591-1F01F0AB4558}">
      <formula1>"kg, m3"</formula1>
    </dataValidation>
  </dataValidations>
  <pageMargins left="0.7" right="0.7" top="0.75" bottom="0.75" header="0.3" footer="0.3"/>
  <pageSetup orientation="portrait" r:id="rId1"/>
  <tableParts count="12">
    <tablePart r:id="rId2"/>
    <tablePart r:id="rId3"/>
    <tablePart r:id="rId4"/>
    <tablePart r:id="rId5"/>
    <tablePart r:id="rId6"/>
    <tablePart r:id="rId7"/>
    <tablePart r:id="rId8"/>
    <tablePart r:id="rId9"/>
    <tablePart r:id="rId10"/>
    <tablePart r:id="rId11"/>
    <tablePart r:id="rId12"/>
    <tablePart r:id="rId13"/>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16BCF7-DDD5-4171-BB69-0003446FB5EC}">
  <dimension ref="A1:J350"/>
  <sheetViews>
    <sheetView showGridLines="0" zoomScale="85" zoomScaleNormal="85" workbookViewId="0">
      <selection activeCell="G12" sqref="G12"/>
    </sheetView>
  </sheetViews>
  <sheetFormatPr defaultRowHeight="15.75" x14ac:dyDescent="0.25"/>
  <cols>
    <col min="1" max="1" width="26.875" style="3" customWidth="1"/>
    <col min="2" max="2" width="4.125" style="3" customWidth="1"/>
    <col min="3" max="3" width="4.125" style="8" customWidth="1"/>
    <col min="4" max="4" width="45.625" style="8" customWidth="1"/>
    <col min="5" max="5" width="41.125" style="8" customWidth="1"/>
    <col min="6" max="9" width="21.75" style="8" customWidth="1"/>
    <col min="10" max="10" width="4.125" style="8" customWidth="1"/>
    <col min="11" max="11" width="4.125" style="3" customWidth="1"/>
    <col min="12" max="16384" width="9" style="3"/>
  </cols>
  <sheetData>
    <row r="1" spans="1:10" s="27" customFormat="1" ht="30" customHeight="1" x14ac:dyDescent="0.35">
      <c r="A1" s="27" t="e" vm="1">
        <v>#VALUE!</v>
      </c>
      <c r="C1" s="27" t="s">
        <v>119</v>
      </c>
    </row>
    <row r="2" spans="1:10" s="2" customFormat="1" ht="20.100000000000001" customHeight="1" x14ac:dyDescent="0.25"/>
    <row r="3" spans="1:10" ht="20.100000000000001" customHeight="1" x14ac:dyDescent="0.25">
      <c r="A3" s="16" t="str">
        <f>HYPERLINK("#'Home'!A1", "Home")</f>
        <v>Home</v>
      </c>
      <c r="C3" s="28"/>
      <c r="D3" s="28"/>
      <c r="E3" s="28"/>
      <c r="F3" s="28"/>
      <c r="G3" s="28"/>
      <c r="H3" s="28"/>
      <c r="I3" s="28"/>
      <c r="J3" s="28"/>
    </row>
    <row r="4" spans="1:10" ht="20.100000000000001" customHeight="1" x14ac:dyDescent="0.25">
      <c r="A4" s="16" t="str">
        <f>HYPERLINK("#'Overview'!A1", "Overview")</f>
        <v>Overview</v>
      </c>
    </row>
    <row r="5" spans="1:10" ht="20.100000000000001" customHeight="1" x14ac:dyDescent="0.25">
      <c r="A5" s="16" t="str">
        <f>HYPERLINK("#'Results'!A1", "Results")</f>
        <v>Results</v>
      </c>
      <c r="D5" s="9" t="s">
        <v>120</v>
      </c>
      <c r="E5" s="7"/>
      <c r="F5" s="7"/>
      <c r="G5" s="7"/>
      <c r="H5" s="7"/>
    </row>
    <row r="6" spans="1:10" ht="20.100000000000001" customHeight="1" x14ac:dyDescent="0.25">
      <c r="A6" s="18"/>
      <c r="D6" s="14"/>
      <c r="E6" s="14"/>
      <c r="F6" s="14"/>
      <c r="G6" s="14"/>
      <c r="H6" s="14"/>
      <c r="I6" s="14"/>
    </row>
    <row r="7" spans="1:10" ht="20.100000000000001" customHeight="1" x14ac:dyDescent="0.25">
      <c r="A7" s="19" t="s">
        <v>67</v>
      </c>
      <c r="D7" s="29" t="s">
        <v>121</v>
      </c>
      <c r="E7" s="30"/>
      <c r="F7" s="30"/>
      <c r="G7" s="30"/>
      <c r="H7" s="31"/>
    </row>
    <row r="8" spans="1:10" ht="20.100000000000001" customHeight="1" x14ac:dyDescent="0.25">
      <c r="A8" s="32" t="str">
        <f>HYPERLINK("#'Input - Fuel'!A1", "Fuel")</f>
        <v>Fuel</v>
      </c>
      <c r="D8" s="33" t="s">
        <v>122</v>
      </c>
      <c r="E8" s="34"/>
      <c r="F8" s="34"/>
      <c r="G8" s="34"/>
      <c r="H8" s="35"/>
    </row>
    <row r="9" spans="1:10" ht="20.100000000000001" customHeight="1" x14ac:dyDescent="0.25">
      <c r="A9" s="16"/>
      <c r="D9" s="14"/>
      <c r="E9" s="14"/>
      <c r="F9" s="14"/>
      <c r="G9" s="14"/>
      <c r="H9" s="14"/>
      <c r="I9" s="14"/>
    </row>
    <row r="10" spans="1:10" ht="20.100000000000001" customHeight="1" x14ac:dyDescent="0.25">
      <c r="A10" s="20" t="s">
        <v>77</v>
      </c>
      <c r="D10" s="36" t="s">
        <v>123</v>
      </c>
      <c r="E10" s="36" t="s">
        <v>124</v>
      </c>
      <c r="F10" s="36" t="s">
        <v>125</v>
      </c>
      <c r="G10" s="36" t="s">
        <v>126</v>
      </c>
      <c r="H10" s="36" t="s">
        <v>127</v>
      </c>
      <c r="I10" s="36" t="s">
        <v>128</v>
      </c>
    </row>
    <row r="11" spans="1:10" ht="20.100000000000001" customHeight="1" x14ac:dyDescent="0.25">
      <c r="A11" s="16" t="str">
        <f>HYPERLINK("#'8.1.1.1-2 Transport fuel'!A1", "8.1.1.1-2 Transport fuel")</f>
        <v>8.1.1.1-2 Transport fuel</v>
      </c>
      <c r="D11" s="37" t="s">
        <v>91</v>
      </c>
      <c r="E11" s="37" t="s">
        <v>98</v>
      </c>
      <c r="F11" s="38">
        <v>1000</v>
      </c>
      <c r="G11" s="39" t="e" cm="1">
        <f t="array" ref="G11">Common_InputFunctions.Utility_LookupValueInTable(Table_Input_Fuel[[#This Row],[Fuel type (select)]],#REF!, #REF!)</f>
        <v>#REF!</v>
      </c>
      <c r="H11" s="40">
        <f>1</f>
        <v>1</v>
      </c>
      <c r="I11" s="39">
        <f>Table_Input_Fuel[[#This Row],[Amount purchased]]*Table_Input_Fuel[[#This Row],[Percent consumed]]*10^-3</f>
        <v>1</v>
      </c>
    </row>
    <row r="12" spans="1:10" ht="20.100000000000001" customHeight="1" x14ac:dyDescent="0.25">
      <c r="A12" s="16" t="str">
        <f>HYPERLINK("#'8.2.1.1-2 Stationary fuel'!A1", "8.2.1.1-2 Stationary fuel")</f>
        <v>8.2.1.1-2 Stationary fuel</v>
      </c>
      <c r="D12" s="37" t="s">
        <v>91</v>
      </c>
      <c r="E12" s="37" t="s">
        <v>98</v>
      </c>
      <c r="F12" s="38">
        <v>1000</v>
      </c>
      <c r="G12" s="39" t="e" cm="1">
        <f t="array" ref="G12">Common_InputFunctions.Utility_LookupValueInTable(Table_Input_Fuel[[#This Row],[Fuel type (select)]],#REF!, #REF!)</f>
        <v>#REF!</v>
      </c>
      <c r="H12" s="40">
        <f>1</f>
        <v>1</v>
      </c>
      <c r="I12" s="39">
        <f>Table_Input_Fuel[[#This Row],[Amount purchased]]*Table_Input_Fuel[[#This Row],[Percent consumed]]*10^-3</f>
        <v>1</v>
      </c>
    </row>
    <row r="13" spans="1:10" ht="20.100000000000001" customHeight="1" x14ac:dyDescent="0.25">
      <c r="A13" s="16" t="str">
        <f>HYPERLINK("#'8.X.1.1-2 General use fuel'!A1", "8.X.1.1-2 General use fuel")</f>
        <v>8.X.1.1-2 General use fuel</v>
      </c>
    </row>
    <row r="14" spans="1:10" ht="20.100000000000001" customHeight="1" x14ac:dyDescent="0.25">
      <c r="A14" s="16"/>
    </row>
    <row r="15" spans="1:10" ht="20.100000000000001" customHeight="1" x14ac:dyDescent="0.25">
      <c r="A15" s="21" t="s">
        <v>78</v>
      </c>
    </row>
    <row r="16" spans="1:10" ht="20.100000000000001" customHeight="1" x14ac:dyDescent="0.25">
      <c r="A16" s="16" t="str">
        <f>HYPERLINK("#'Constants - Fuel'!A1", "Constants - Fuel")</f>
        <v>Constants - Fuel</v>
      </c>
    </row>
    <row r="17" spans="1:1" ht="20.100000000000001" customHeight="1" x14ac:dyDescent="0.25">
      <c r="A17" s="16" t="str">
        <f>HYPERLINK("#'Constants - Common'!A1", "Constants - Common")</f>
        <v>Constants - Common</v>
      </c>
    </row>
    <row r="18" spans="1:1" ht="20.100000000000001" customHeight="1" x14ac:dyDescent="0.25"/>
    <row r="19" spans="1:1" ht="20.100000000000001" customHeight="1" x14ac:dyDescent="0.25"/>
    <row r="20" spans="1:1" ht="20.100000000000001" customHeight="1" x14ac:dyDescent="0.25">
      <c r="A20" s="16"/>
    </row>
    <row r="21" spans="1:1" ht="20.100000000000001" customHeight="1" x14ac:dyDescent="0.25">
      <c r="A21" s="16"/>
    </row>
    <row r="22" spans="1:1" ht="20.100000000000001" customHeight="1" x14ac:dyDescent="0.25"/>
    <row r="23" spans="1:1" ht="20.100000000000001" customHeight="1" x14ac:dyDescent="0.25">
      <c r="A23" s="16"/>
    </row>
    <row r="24" spans="1:1" ht="20.100000000000001" customHeight="1" x14ac:dyDescent="0.25"/>
    <row r="25" spans="1:1" ht="20.100000000000001" customHeight="1" x14ac:dyDescent="0.25"/>
    <row r="26" spans="1:1" ht="20.100000000000001" customHeight="1" x14ac:dyDescent="0.25"/>
    <row r="27" spans="1:1" ht="20.100000000000001" customHeight="1" x14ac:dyDescent="0.25"/>
    <row r="28" spans="1:1" ht="20.100000000000001" customHeight="1" x14ac:dyDescent="0.25"/>
    <row r="29" spans="1:1" ht="20.100000000000001" customHeight="1" x14ac:dyDescent="0.25">
      <c r="A29" s="16"/>
    </row>
    <row r="30" spans="1:1" ht="20.100000000000001" customHeight="1" x14ac:dyDescent="0.25">
      <c r="A30" s="16"/>
    </row>
    <row r="31" spans="1:1" ht="20.100000000000001" customHeight="1" x14ac:dyDescent="0.25">
      <c r="A31" s="41"/>
    </row>
    <row r="32" spans="1:1" ht="20.100000000000001" customHeight="1" x14ac:dyDescent="0.25">
      <c r="A32" s="41"/>
    </row>
    <row r="33" spans="1:10" ht="20.100000000000001" customHeight="1" x14ac:dyDescent="0.25">
      <c r="A33" s="16"/>
    </row>
    <row r="34" spans="1:10" ht="20.100000000000001" customHeight="1" x14ac:dyDescent="0.25"/>
    <row r="35" spans="1:10" ht="20.100000000000001" customHeight="1" x14ac:dyDescent="0.25"/>
    <row r="36" spans="1:10" ht="20.100000000000001" customHeight="1" x14ac:dyDescent="0.25"/>
    <row r="37" spans="1:10" ht="20.100000000000001" customHeight="1" x14ac:dyDescent="0.25"/>
    <row r="38" spans="1:10" ht="20.100000000000001" customHeight="1" x14ac:dyDescent="0.25">
      <c r="C38" s="42"/>
      <c r="J38" s="42"/>
    </row>
    <row r="39" spans="1:10" ht="20.100000000000001" customHeight="1" x14ac:dyDescent="0.25">
      <c r="A39" s="16"/>
      <c r="C39" s="42"/>
      <c r="J39" s="42"/>
    </row>
    <row r="40" spans="1:10" s="43" customFormat="1" ht="20.100000000000001" customHeight="1" x14ac:dyDescent="0.25">
      <c r="C40" s="8"/>
      <c r="D40" s="8"/>
      <c r="E40" s="8"/>
      <c r="F40" s="8"/>
      <c r="G40" s="8"/>
      <c r="H40" s="8"/>
      <c r="I40" s="8"/>
      <c r="J40" s="8"/>
    </row>
    <row r="41" spans="1:10" s="43" customFormat="1" ht="20.100000000000001" customHeight="1" x14ac:dyDescent="0.25">
      <c r="A41" s="44"/>
      <c r="C41" s="8"/>
      <c r="D41" s="8"/>
      <c r="E41" s="8"/>
      <c r="F41" s="8"/>
      <c r="G41" s="8"/>
      <c r="H41" s="8"/>
      <c r="I41" s="8"/>
      <c r="J41" s="8"/>
    </row>
    <row r="42" spans="1:10" ht="20.100000000000001" customHeight="1" x14ac:dyDescent="0.25"/>
    <row r="43" spans="1:10" ht="20.100000000000001" customHeight="1" x14ac:dyDescent="0.25"/>
    <row r="44" spans="1:10" ht="20.100000000000001" customHeight="1" x14ac:dyDescent="0.25">
      <c r="A44" s="45"/>
    </row>
    <row r="45" spans="1:10" ht="20.100000000000001" customHeight="1" x14ac:dyDescent="0.25"/>
    <row r="46" spans="1:10" ht="20.100000000000001" customHeight="1" x14ac:dyDescent="0.25"/>
    <row r="47" spans="1:10" ht="20.100000000000001" customHeight="1" x14ac:dyDescent="0.25"/>
    <row r="48" spans="1:10"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row r="64"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350" spans="4:4" x14ac:dyDescent="0.25">
      <c r="D350" s="46"/>
    </row>
  </sheetData>
  <conditionalFormatting sqref="F36">
    <cfRule type="cellIs" dxfId="37" priority="9" operator="lessThan">
      <formula>0</formula>
    </cfRule>
  </conditionalFormatting>
  <conditionalFormatting sqref="F115:F116">
    <cfRule type="cellIs" dxfId="36" priority="8" operator="lessThan">
      <formula>0</formula>
    </cfRule>
  </conditionalFormatting>
  <conditionalFormatting sqref="F127:F128">
    <cfRule type="cellIs" dxfId="35" priority="7" operator="lessThan">
      <formula>0</formula>
    </cfRule>
  </conditionalFormatting>
  <conditionalFormatting sqref="F139:F140">
    <cfRule type="cellIs" dxfId="34" priority="6" operator="lessThan">
      <formula>0</formula>
    </cfRule>
  </conditionalFormatting>
  <conditionalFormatting sqref="F151:F152">
    <cfRule type="cellIs" dxfId="33" priority="5" operator="lessThan">
      <formula>0</formula>
    </cfRule>
  </conditionalFormatting>
  <conditionalFormatting sqref="F239:F240">
    <cfRule type="cellIs" dxfId="32" priority="17" operator="lessThan">
      <formula>0</formula>
    </cfRule>
  </conditionalFormatting>
  <conditionalFormatting sqref="F244:F245">
    <cfRule type="cellIs" dxfId="31" priority="16" operator="lessThan">
      <formula>0</formula>
    </cfRule>
  </conditionalFormatting>
  <conditionalFormatting sqref="F249:F250">
    <cfRule type="cellIs" dxfId="30" priority="15" operator="lessThan">
      <formula>0</formula>
    </cfRule>
  </conditionalFormatting>
  <conditionalFormatting sqref="F273:F274">
    <cfRule type="cellIs" dxfId="29" priority="14" operator="lessThan">
      <formula>0</formula>
    </cfRule>
  </conditionalFormatting>
  <conditionalFormatting sqref="F278:F279">
    <cfRule type="cellIs" dxfId="28" priority="13" operator="lessThan">
      <formula>0</formula>
    </cfRule>
  </conditionalFormatting>
  <conditionalFormatting sqref="F283:F284">
    <cfRule type="cellIs" dxfId="27" priority="12" operator="lessThan">
      <formula>0</formula>
    </cfRule>
  </conditionalFormatting>
  <conditionalFormatting sqref="I20 I22:I26 I30:I31 H32:H34 I35 I37:I39 I41:I42 I193 E199:G199 I199">
    <cfRule type="cellIs" dxfId="26" priority="11" operator="lessThan">
      <formula>0</formula>
    </cfRule>
  </conditionalFormatting>
  <conditionalFormatting sqref="I46:I50">
    <cfRule type="cellIs" dxfId="25" priority="4" operator="lessThan">
      <formula>0</formula>
    </cfRule>
  </conditionalFormatting>
  <conditionalFormatting sqref="I54 I113">
    <cfRule type="cellIs" dxfId="24" priority="10" operator="lessThan">
      <formula>0</formula>
    </cfRule>
  </conditionalFormatting>
  <conditionalFormatting sqref="I65:I67">
    <cfRule type="cellIs" dxfId="23" priority="3" operator="lessThan">
      <formula>0</formula>
    </cfRule>
  </conditionalFormatting>
  <conditionalFormatting sqref="I71:I74">
    <cfRule type="cellIs" dxfId="22" priority="2" operator="lessThan">
      <formula>0</formula>
    </cfRule>
  </conditionalFormatting>
  <conditionalFormatting sqref="I78:I82">
    <cfRule type="cellIs" dxfId="21" priority="1" operator="lessThan">
      <formula>0</formula>
    </cfRule>
  </conditionalFormatting>
  <dataValidations count="9">
    <dataValidation type="list" allowBlank="1" showInputMessage="1" showErrorMessage="1" sqref="D11:D12" xr:uid="{AB05C837-AE8B-4535-9828-0C4A841DBABE}">
      <formula1>INDIRECT("Table_FuelTypesPerUse[#Headers]")</formula1>
    </dataValidation>
    <dataValidation type="list" allowBlank="1" showInputMessage="1" showErrorMessage="1" sqref="D33:D34" xr:uid="{E61046C4-2597-462B-8601-A71BA10ADC4B}">
      <formula1>INDIRECT("Table_SourceData_OrganicFertiliserTypes[Organic fertiliser type]")</formula1>
    </dataValidation>
    <dataValidation type="list" allowBlank="1" showInputMessage="1" showErrorMessage="1" sqref="H13:H14" xr:uid="{CB064B41-B1CB-47F8-811A-5923DE4D14B4}">
      <formula1>INDIRECT("Table_Fertiliser_ChemicalCompounds[Fertiliser type f]")</formula1>
    </dataValidation>
    <dataValidation type="list" allowBlank="1" showInputMessage="1" showErrorMessage="1" sqref="E53" xr:uid="{0EF9A726-27B5-435D-9717-19BF8055C1BD}">
      <formula1>INDIRECT("Table_SourceData_Swine_CropProdSystems[Production system]")</formula1>
    </dataValidation>
    <dataValidation type="list" allowBlank="1" showInputMessage="1" showErrorMessage="1" sqref="E54" xr:uid="{98AF71EF-A6CF-4E35-BE64-B07AAB53937E}">
      <formula1>INDIRECT("Table_SourceData_Swine_IrrigationMethods[Irrigation method]")</formula1>
    </dataValidation>
    <dataValidation type="list" allowBlank="1" showInputMessage="1" showErrorMessage="1" sqref="E238 E243 E248 E282 E277 E272 E150 E138 E114 E126" xr:uid="{300F7878-07F3-4F04-BED9-4696EEC1A88D}">
      <formula1>"Yes, No"</formula1>
    </dataValidation>
    <dataValidation type="list" allowBlank="1" showInputMessage="1" showErrorMessage="1" sqref="E214" xr:uid="{B6A52EB3-2524-4DF6-B092-A157B0196195}">
      <formula1>INDIRECT("Table_SourceData_Dairy_ProductionSystemTemplates[Area]")</formula1>
    </dataValidation>
    <dataValidation type="list" allowBlank="1" showInputMessage="1" showErrorMessage="1" sqref="D266" xr:uid="{7B99DD2A-31EE-40A0-B38A-69AC69E22FD9}">
      <formula1>INDIRECT("Table_SourceData_PoultryMMSStage1[MMS]")</formula1>
    </dataValidation>
    <dataValidation type="list" allowBlank="1" showInputMessage="1" showErrorMessage="1" sqref="E11:E12" xr:uid="{0445C2B7-1C90-4304-96FE-3C15DC2D16F4}">
      <formula1>_xlfn.TRIMRANGE(INDIRECT("Table_FuelTypesPerUse["&amp;D11&amp;"]"))</formula1>
    </dataValidation>
  </dataValidations>
  <pageMargins left="0.7" right="0.7" top="0.75" bottom="0.75" header="0.3" footer="0.3"/>
  <pageSetup paperSize="9" orientation="portrait"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72299A-2CFF-433C-84D9-A1BED0455EEB}">
  <dimension ref="A1:L365"/>
  <sheetViews>
    <sheetView showGridLines="0" topLeftCell="A19" zoomScaleNormal="100" workbookViewId="0">
      <selection activeCell="G27" sqref="G27"/>
    </sheetView>
  </sheetViews>
  <sheetFormatPr defaultRowHeight="15.75" x14ac:dyDescent="0.25"/>
  <cols>
    <col min="1" max="1" width="26.875" style="3" customWidth="1"/>
    <col min="2" max="2" width="4.125" style="3" customWidth="1"/>
    <col min="3" max="3" width="4.125" style="8" customWidth="1"/>
    <col min="4" max="4" width="58.375" style="8" customWidth="1"/>
    <col min="5" max="5" width="41.125" style="8" customWidth="1"/>
    <col min="6" max="8" width="21.75" style="8" customWidth="1"/>
    <col min="9" max="9" width="26" style="8" customWidth="1"/>
    <col min="10" max="10" width="4.125" style="8" customWidth="1"/>
    <col min="11" max="11" width="4.125" style="3" customWidth="1"/>
    <col min="12" max="16384" width="9" style="3"/>
  </cols>
  <sheetData>
    <row r="1" spans="1:10" s="27" customFormat="1" ht="30" customHeight="1" x14ac:dyDescent="0.35">
      <c r="A1" s="27" t="e" vm="1">
        <v>#VALUE!</v>
      </c>
      <c r="C1" s="27" t="s">
        <v>244</v>
      </c>
    </row>
    <row r="2" spans="1:10" s="2" customFormat="1" ht="20.100000000000001" customHeight="1" x14ac:dyDescent="0.25"/>
    <row r="3" spans="1:10" ht="20.100000000000001" customHeight="1" x14ac:dyDescent="0.25">
      <c r="A3" s="16" t="str">
        <f>HYPERLINK("#'Home'!A1", "Home")</f>
        <v>Home</v>
      </c>
      <c r="C3" s="28"/>
      <c r="D3" s="28"/>
      <c r="E3" s="28"/>
      <c r="F3" s="28"/>
      <c r="G3" s="28"/>
      <c r="H3" s="28"/>
      <c r="I3" s="28"/>
      <c r="J3" s="28"/>
    </row>
    <row r="4" spans="1:10" ht="20.100000000000001" customHeight="1" x14ac:dyDescent="0.25">
      <c r="A4" s="16" t="str">
        <f>HYPERLINK("#'Overview'!A1", "Overview")</f>
        <v>Overview</v>
      </c>
    </row>
    <row r="5" spans="1:10" ht="20.100000000000001" customHeight="1" x14ac:dyDescent="0.25">
      <c r="A5" s="16" t="str">
        <f>HYPERLINK("#'Results'!A1", "Results")</f>
        <v>Results</v>
      </c>
      <c r="D5" s="9" t="s">
        <v>245</v>
      </c>
    </row>
    <row r="6" spans="1:10" ht="20.100000000000001" customHeight="1" x14ac:dyDescent="0.25">
      <c r="A6" s="18"/>
    </row>
    <row r="7" spans="1:10" ht="20.100000000000001" customHeight="1" x14ac:dyDescent="0.25">
      <c r="A7" s="19" t="s">
        <v>67</v>
      </c>
      <c r="D7" s="63" t="s">
        <v>246</v>
      </c>
    </row>
    <row r="8" spans="1:10" ht="20.100000000000001" customHeight="1" x14ac:dyDescent="0.25">
      <c r="A8" s="32" t="str">
        <f>HYPERLINK("#'Input - Electricity'!A1", "Electricity")</f>
        <v>Electricity</v>
      </c>
    </row>
    <row r="9" spans="1:10" ht="20.100000000000001" customHeight="1" x14ac:dyDescent="0.25">
      <c r="A9" s="16"/>
      <c r="D9" s="89" t="s">
        <v>247</v>
      </c>
      <c r="E9" s="90"/>
      <c r="F9" s="14"/>
    </row>
    <row r="10" spans="1:10" ht="20.100000000000001" customHeight="1" x14ac:dyDescent="0.25">
      <c r="A10" s="20" t="s">
        <v>77</v>
      </c>
      <c r="D10" s="14"/>
      <c r="E10" s="14"/>
      <c r="F10" s="14"/>
    </row>
    <row r="11" spans="1:10" ht="20.100000000000001" customHeight="1" x14ac:dyDescent="0.25">
      <c r="A11" s="16" t="str">
        <f>HYPERLINK("#'14.1.1-2 Purchased electricity'!A1", "14.1.1-2 Purchased electricity")</f>
        <v>14.1.1-2 Purchased electricity</v>
      </c>
      <c r="D11" s="8" t="s">
        <v>248</v>
      </c>
      <c r="E11" s="91">
        <v>500</v>
      </c>
      <c r="F11" s="57" t="s">
        <v>249</v>
      </c>
    </row>
    <row r="12" spans="1:10" ht="20.100000000000001" customHeight="1" x14ac:dyDescent="0.25">
      <c r="A12" s="16"/>
      <c r="D12" s="8" t="s">
        <v>250</v>
      </c>
      <c r="E12" s="39" t="str">
        <f>IF('Input - Site'!E21="Western Australia", 'Input - Site'!E22, 'Input - Site'!E21)</f>
        <v>ACT</v>
      </c>
      <c r="F12" s="14"/>
    </row>
    <row r="13" spans="1:10" ht="20.100000000000001" customHeight="1" x14ac:dyDescent="0.25">
      <c r="A13" s="21" t="s">
        <v>78</v>
      </c>
      <c r="D13" s="8" t="s">
        <v>251</v>
      </c>
      <c r="E13" s="37" t="s">
        <v>339</v>
      </c>
      <c r="F13" s="57" t="s">
        <v>196</v>
      </c>
    </row>
    <row r="14" spans="1:10" ht="20.100000000000001" customHeight="1" x14ac:dyDescent="0.25">
      <c r="A14" s="16" t="str">
        <f>HYPERLINK("#'Constants - Electricity'!A1", "Constants - Electricity")</f>
        <v>Constants - Electricity</v>
      </c>
    </row>
    <row r="15" spans="1:10" ht="20.100000000000001" customHeight="1" x14ac:dyDescent="0.25">
      <c r="A15" s="16" t="str">
        <f>HYPERLINK("#'Constants - Common'!A1", "Constants - Common")</f>
        <v>Constants - Common</v>
      </c>
    </row>
    <row r="16" spans="1:10" ht="20.100000000000001" customHeight="1" x14ac:dyDescent="0.25">
      <c r="C16" s="92"/>
      <c r="D16" s="92"/>
      <c r="E16" s="92"/>
      <c r="F16" s="92"/>
      <c r="G16" s="92"/>
      <c r="H16" s="92"/>
      <c r="I16" s="92"/>
      <c r="J16" s="92"/>
    </row>
    <row r="17" spans="1:11" ht="20.100000000000001" customHeight="1" x14ac:dyDescent="0.25">
      <c r="D17" s="9" t="s">
        <v>252</v>
      </c>
    </row>
    <row r="18" spans="1:11" ht="20.100000000000001" customHeight="1" x14ac:dyDescent="0.25">
      <c r="E18" s="46" t="str">
        <f>IF(E12="ACT", "", "ALERT: Your farm is not in the ACT, so the JRPP is not applicable")</f>
        <v/>
      </c>
    </row>
    <row r="19" spans="1:11" ht="20.100000000000001" customHeight="1" x14ac:dyDescent="0.25">
      <c r="D19" s="8" t="s">
        <v>253</v>
      </c>
      <c r="E19" s="91">
        <v>30000</v>
      </c>
      <c r="F19" s="57" t="s">
        <v>249</v>
      </c>
    </row>
    <row r="20" spans="1:11" ht="20.100000000000001" customHeight="1" x14ac:dyDescent="0.25">
      <c r="A20" s="16"/>
      <c r="D20" s="8" t="s">
        <v>254</v>
      </c>
      <c r="E20" s="79">
        <v>0.1</v>
      </c>
      <c r="F20" s="57" t="s">
        <v>255</v>
      </c>
    </row>
    <row r="21" spans="1:11" ht="20.100000000000001" customHeight="1" x14ac:dyDescent="0.25">
      <c r="A21" s="16"/>
      <c r="D21" s="8" t="s">
        <v>256</v>
      </c>
      <c r="E21" s="79">
        <v>0.1</v>
      </c>
      <c r="F21" s="57" t="s">
        <v>255</v>
      </c>
    </row>
    <row r="22" spans="1:11" ht="20.100000000000001" customHeight="1" x14ac:dyDescent="0.25"/>
    <row r="23" spans="1:11" ht="20.100000000000001" customHeight="1" x14ac:dyDescent="0.25">
      <c r="A23" s="16"/>
      <c r="D23" s="8" t="s">
        <v>257</v>
      </c>
      <c r="E23" s="91">
        <v>10000</v>
      </c>
      <c r="F23" s="57" t="s">
        <v>249</v>
      </c>
    </row>
    <row r="24" spans="1:11" ht="20.100000000000001" customHeight="1" x14ac:dyDescent="0.25"/>
    <row r="25" spans="1:11" ht="20.100000000000001" customHeight="1" x14ac:dyDescent="0.25">
      <c r="D25" s="8" t="s">
        <v>258</v>
      </c>
      <c r="E25" s="93" t="str">
        <f>TEXT('Input - Site'!$E$12, "dd mmm yyyy")</f>
        <v>01 Jan 2024</v>
      </c>
    </row>
    <row r="26" spans="1:11" ht="20.100000000000001" customHeight="1" x14ac:dyDescent="0.25">
      <c r="D26" s="8" t="s">
        <v>259</v>
      </c>
      <c r="E26" s="93" t="str">
        <f>TEXT('Input - Site'!$E$13, "dd mmm yyyy")</f>
        <v>31 Dec 2024</v>
      </c>
    </row>
    <row r="27" spans="1:11" ht="20.100000000000001" customHeight="1" x14ac:dyDescent="0.25"/>
    <row r="28" spans="1:11" ht="20.100000000000001" customHeight="1" x14ac:dyDescent="0.25">
      <c r="D28" s="63" t="s">
        <v>260</v>
      </c>
    </row>
    <row r="29" spans="1:11" ht="20.100000000000001" customHeight="1" x14ac:dyDescent="0.25">
      <c r="A29" s="16"/>
      <c r="K29" s="43"/>
    </row>
    <row r="30" spans="1:11" ht="20.100000000000001" customHeight="1" x14ac:dyDescent="0.25">
      <c r="A30" s="16"/>
      <c r="D30" s="89" t="s">
        <v>121</v>
      </c>
      <c r="E30" s="90"/>
      <c r="K30" s="43"/>
    </row>
    <row r="31" spans="1:11" ht="20.100000000000001" customHeight="1" x14ac:dyDescent="0.25">
      <c r="A31" s="41"/>
      <c r="K31" s="43"/>
    </row>
    <row r="32" spans="1:11" ht="20.100000000000001" customHeight="1" x14ac:dyDescent="0.25">
      <c r="A32" s="41"/>
      <c r="D32" s="36" t="s">
        <v>261</v>
      </c>
      <c r="E32" s="36" t="s">
        <v>262</v>
      </c>
      <c r="F32" s="36" t="s">
        <v>263</v>
      </c>
      <c r="G32" s="36" t="s">
        <v>264</v>
      </c>
      <c r="H32" s="36" t="s">
        <v>265</v>
      </c>
      <c r="I32" s="36" t="s">
        <v>266</v>
      </c>
      <c r="K32" s="43"/>
    </row>
    <row r="33" spans="1:12" ht="20.100000000000001" customHeight="1" x14ac:dyDescent="0.25">
      <c r="A33" s="16"/>
      <c r="D33" s="10" t="s">
        <v>267</v>
      </c>
      <c r="E33" s="37" t="s">
        <v>268</v>
      </c>
      <c r="F33" s="94">
        <v>44185</v>
      </c>
      <c r="G33" s="10">
        <v>12</v>
      </c>
      <c r="H33" s="39">
        <f>Table_Input_RECSurrendered[[#This Row],[Number of certificates]]</f>
        <v>12</v>
      </c>
      <c r="I33" s="39" t="str">
        <f>IF(DATEDIF(Table_Input_RECSurrendered[[#This Row],[Generation date]],DATEVALUE($E$26),"M")&gt;36,"Ineligible - older than 36 months","Elegible")</f>
        <v>Ineligible - older than 36 months</v>
      </c>
      <c r="K33" s="43"/>
    </row>
    <row r="34" spans="1:12" ht="20.100000000000001" customHeight="1" x14ac:dyDescent="0.25">
      <c r="D34" s="10"/>
      <c r="E34" s="37" t="s">
        <v>269</v>
      </c>
      <c r="F34" s="94">
        <v>44575</v>
      </c>
      <c r="G34" s="10">
        <v>5</v>
      </c>
      <c r="H34" s="39">
        <f>Table_Input_RECSurrendered[[#This Row],[Number of certificates]]</f>
        <v>5</v>
      </c>
      <c r="I34" s="39" t="str">
        <f>IF(DATEDIF(Table_Input_RECSurrendered[[#This Row],[Generation date]],DATEVALUE($E$26),"M")&gt;36,"Ineligible - older than 36 months","Elegible")</f>
        <v>Elegible</v>
      </c>
      <c r="K34" s="43"/>
    </row>
    <row r="35" spans="1:12" ht="20.100000000000001" customHeight="1" x14ac:dyDescent="0.25">
      <c r="D35" s="10"/>
      <c r="E35" s="37" t="s">
        <v>268</v>
      </c>
      <c r="F35" s="94">
        <v>45438</v>
      </c>
      <c r="G35" s="10">
        <v>5</v>
      </c>
      <c r="H35" s="39">
        <f>Table_Input_RECSurrendered[[#This Row],[Number of certificates]]</f>
        <v>5</v>
      </c>
      <c r="I35" s="39" t="str">
        <f>IF(DATEDIF(Table_Input_RECSurrendered[[#This Row],[Generation date]],DATEVALUE($E$26),"M")&gt;36,"Ineligible - older than 36 months","Elegible")</f>
        <v>Elegible</v>
      </c>
    </row>
    <row r="36" spans="1:12" ht="20.100000000000001" customHeight="1" x14ac:dyDescent="0.25">
      <c r="L36" s="43"/>
    </row>
    <row r="37" spans="1:12" ht="20.100000000000001" customHeight="1" x14ac:dyDescent="0.25">
      <c r="D37" s="8" t="s">
        <v>270</v>
      </c>
      <c r="E37" s="39">
        <f>SUMIF(Table_Input_RECSurrendered[Elegibility], "Elegible", Table_Input_RECSurrendered[MWh])</f>
        <v>10</v>
      </c>
      <c r="F37" s="57" t="s">
        <v>265</v>
      </c>
      <c r="L37" s="43"/>
    </row>
    <row r="38" spans="1:12" ht="20.100000000000001" customHeight="1" x14ac:dyDescent="0.25">
      <c r="C38" s="42"/>
    </row>
    <row r="39" spans="1:12" ht="20.100000000000001" customHeight="1" x14ac:dyDescent="0.25">
      <c r="A39" s="16"/>
      <c r="C39" s="42"/>
      <c r="D39" s="63" t="s">
        <v>271</v>
      </c>
      <c r="J39" s="42"/>
    </row>
    <row r="40" spans="1:12" s="43" customFormat="1" ht="20.100000000000001" customHeight="1" x14ac:dyDescent="0.25">
      <c r="C40" s="8"/>
      <c r="D40" s="8"/>
      <c r="E40" s="8"/>
      <c r="F40" s="8"/>
      <c r="G40" s="8"/>
      <c r="H40" s="8"/>
      <c r="I40" s="8"/>
      <c r="J40" s="8"/>
    </row>
    <row r="41" spans="1:12" s="43" customFormat="1" ht="20.100000000000001" customHeight="1" x14ac:dyDescent="0.25">
      <c r="A41" s="44"/>
      <c r="C41" s="8"/>
      <c r="D41" s="36" t="s">
        <v>261</v>
      </c>
      <c r="E41" s="36" t="s">
        <v>141</v>
      </c>
      <c r="F41" s="36" t="s">
        <v>263</v>
      </c>
      <c r="G41" s="36" t="s">
        <v>264</v>
      </c>
      <c r="H41" s="36" t="s">
        <v>265</v>
      </c>
      <c r="I41" s="36" t="s">
        <v>266</v>
      </c>
      <c r="J41" s="8"/>
      <c r="L41" s="43" t="s">
        <v>272</v>
      </c>
    </row>
    <row r="42" spans="1:12" ht="20.100000000000001" customHeight="1" x14ac:dyDescent="0.25">
      <c r="D42" s="10" t="s">
        <v>273</v>
      </c>
      <c r="E42" s="95" t="str">
        <f>"Issued for generated electricity"</f>
        <v>Issued for generated electricity</v>
      </c>
      <c r="F42" s="94">
        <v>44697</v>
      </c>
      <c r="G42" s="10">
        <v>10</v>
      </c>
      <c r="H42" s="39">
        <f>Table_Input_RECConsumedByEntity[[#This Row],[Number of certificates]]</f>
        <v>10</v>
      </c>
      <c r="I42" s="39" t="str">
        <f>IF(AND(Table_Input_RECConsumedByEntity[[#This Row],[Generation date]]&gt;=DATEVALUE($E$25), Table_Input_RECConsumedByEntity[[#This Row],[Generation date]]&lt;= DATEVALUE($E$26)), "Elegible", "Ineligible - outside reporting year")</f>
        <v>Ineligible - outside reporting year</v>
      </c>
    </row>
    <row r="43" spans="1:12" ht="20.100000000000001" customHeight="1" x14ac:dyDescent="0.25">
      <c r="D43" s="10"/>
      <c r="E43" s="95" t="str">
        <f>"Issued for generated electricity"</f>
        <v>Issued for generated electricity</v>
      </c>
      <c r="F43" s="94">
        <v>45483</v>
      </c>
      <c r="G43" s="10">
        <v>4</v>
      </c>
      <c r="H43" s="39">
        <f>Table_Input_RECConsumedByEntity[[#This Row],[Number of certificates]]</f>
        <v>4</v>
      </c>
      <c r="I43" s="39" t="str">
        <f>IF(AND(Table_Input_RECConsumedByEntity[[#This Row],[Generation date]]&gt;=DATEVALUE($E$25), Table_Input_RECConsumedByEntity[[#This Row],[Generation date]]&lt;= DATEVALUE($E$26)), "Elegible", "Ineligible - outside reporting year")</f>
        <v>Elegible</v>
      </c>
    </row>
    <row r="44" spans="1:12" ht="20.100000000000001" customHeight="1" x14ac:dyDescent="0.25">
      <c r="A44" s="45"/>
      <c r="D44" s="10"/>
      <c r="E44" s="95" t="str">
        <f>"Issued for generated electricity"</f>
        <v>Issued for generated electricity</v>
      </c>
      <c r="F44" s="94">
        <v>45607</v>
      </c>
      <c r="G44" s="10">
        <v>7</v>
      </c>
      <c r="H44" s="39">
        <f>Table_Input_RECConsumedByEntity[[#This Row],[Number of certificates]]</f>
        <v>7</v>
      </c>
      <c r="I44" s="39" t="str">
        <f>IF(AND(Table_Input_RECConsumedByEntity[[#This Row],[Generation date]]&gt;=DATEVALUE($E$25), Table_Input_RECConsumedByEntity[[#This Row],[Generation date]]&lt;= DATEVALUE($E$26)), "Elegible", "Ineligible - outside reporting year")</f>
        <v>Elegible</v>
      </c>
    </row>
    <row r="45" spans="1:12" ht="20.100000000000001" customHeight="1" x14ac:dyDescent="0.25"/>
    <row r="46" spans="1:12" ht="20.100000000000001" customHeight="1" x14ac:dyDescent="0.25">
      <c r="D46" s="8" t="s">
        <v>274</v>
      </c>
      <c r="E46" s="39">
        <f>SUMIF(Table_Input_RECConsumedByEntity[Elegibility], "Elegible", Table_Input_RECConsumedByEntity[Number of certificates])</f>
        <v>11</v>
      </c>
      <c r="F46" s="57" t="s">
        <v>265</v>
      </c>
    </row>
    <row r="47" spans="1:12" ht="20.100000000000001" customHeight="1" x14ac:dyDescent="0.25"/>
    <row r="48" spans="1:12" ht="20.100000000000001" customHeight="1" x14ac:dyDescent="0.25"/>
    <row r="49" spans="4:4" ht="20.100000000000001" customHeight="1" x14ac:dyDescent="0.25"/>
    <row r="50" spans="4:4" ht="20.100000000000001" customHeight="1" x14ac:dyDescent="0.25"/>
    <row r="51" spans="4:4" ht="20.100000000000001" customHeight="1" x14ac:dyDescent="0.25"/>
    <row r="52" spans="4:4" ht="20.100000000000001" customHeight="1" x14ac:dyDescent="0.25"/>
    <row r="53" spans="4:4" ht="20.100000000000001" customHeight="1" x14ac:dyDescent="0.25">
      <c r="D53" s="96"/>
    </row>
    <row r="54" spans="4:4" ht="20.100000000000001" customHeight="1" x14ac:dyDescent="0.25"/>
    <row r="55" spans="4:4" ht="20.100000000000001" customHeight="1" x14ac:dyDescent="0.25">
      <c r="D55" s="96"/>
    </row>
    <row r="56" spans="4:4" ht="20.100000000000001" customHeight="1" x14ac:dyDescent="0.25">
      <c r="D56" s="96"/>
    </row>
    <row r="57" spans="4:4" ht="20.100000000000001" customHeight="1" x14ac:dyDescent="0.25"/>
    <row r="58" spans="4:4" ht="20.100000000000001" customHeight="1" x14ac:dyDescent="0.25"/>
    <row r="59" spans="4:4" ht="20.100000000000001" customHeight="1" x14ac:dyDescent="0.25"/>
    <row r="60" spans="4:4" ht="20.100000000000001" customHeight="1" x14ac:dyDescent="0.25"/>
    <row r="61" spans="4:4" ht="20.100000000000001" customHeight="1" x14ac:dyDescent="0.25"/>
    <row r="62" spans="4:4" ht="20.100000000000001" customHeight="1" x14ac:dyDescent="0.25"/>
    <row r="63" spans="4:4" ht="20.100000000000001" customHeight="1" x14ac:dyDescent="0.25"/>
    <row r="64" spans="4:4"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365" spans="4:4" x14ac:dyDescent="0.25">
      <c r="D365" s="46"/>
    </row>
  </sheetData>
  <conditionalFormatting sqref="F130:F131">
    <cfRule type="cellIs" dxfId="20" priority="8" operator="lessThan">
      <formula>0</formula>
    </cfRule>
  </conditionalFormatting>
  <conditionalFormatting sqref="F142:F143">
    <cfRule type="cellIs" dxfId="19" priority="7" operator="lessThan">
      <formula>0</formula>
    </cfRule>
  </conditionalFormatting>
  <conditionalFormatting sqref="F154:F155">
    <cfRule type="cellIs" dxfId="18" priority="6" operator="lessThan">
      <formula>0</formula>
    </cfRule>
  </conditionalFormatting>
  <conditionalFormatting sqref="F166:F167">
    <cfRule type="cellIs" dxfId="17" priority="5" operator="lessThan">
      <formula>0</formula>
    </cfRule>
  </conditionalFormatting>
  <conditionalFormatting sqref="F254:F255">
    <cfRule type="cellIs" dxfId="16" priority="17" operator="lessThan">
      <formula>0</formula>
    </cfRule>
  </conditionalFormatting>
  <conditionalFormatting sqref="F259:F260">
    <cfRule type="cellIs" dxfId="15" priority="16" operator="lessThan">
      <formula>0</formula>
    </cfRule>
  </conditionalFormatting>
  <conditionalFormatting sqref="F264:F265">
    <cfRule type="cellIs" dxfId="14" priority="15" operator="lessThan">
      <formula>0</formula>
    </cfRule>
  </conditionalFormatting>
  <conditionalFormatting sqref="F288:F289">
    <cfRule type="cellIs" dxfId="13" priority="14" operator="lessThan">
      <formula>0</formula>
    </cfRule>
  </conditionalFormatting>
  <conditionalFormatting sqref="F293:F294">
    <cfRule type="cellIs" dxfId="12" priority="13" operator="lessThan">
      <formula>0</formula>
    </cfRule>
  </conditionalFormatting>
  <conditionalFormatting sqref="F298:F299">
    <cfRule type="cellIs" dxfId="11" priority="12" operator="lessThan">
      <formula>0</formula>
    </cfRule>
  </conditionalFormatting>
  <conditionalFormatting sqref="I59:I63">
    <cfRule type="cellIs" dxfId="10" priority="4" operator="lessThan">
      <formula>0</formula>
    </cfRule>
  </conditionalFormatting>
  <conditionalFormatting sqref="I67 I126">
    <cfRule type="cellIs" dxfId="9" priority="10" operator="lessThan">
      <formula>0</formula>
    </cfRule>
  </conditionalFormatting>
  <conditionalFormatting sqref="I78:I80">
    <cfRule type="cellIs" dxfId="8" priority="3" operator="lessThan">
      <formula>0</formula>
    </cfRule>
  </conditionalFormatting>
  <conditionalFormatting sqref="I84:I87">
    <cfRule type="cellIs" dxfId="7" priority="2" operator="lessThan">
      <formula>0</formula>
    </cfRule>
  </conditionalFormatting>
  <conditionalFormatting sqref="I91:I95">
    <cfRule type="cellIs" dxfId="6" priority="1" operator="lessThan">
      <formula>0</formula>
    </cfRule>
  </conditionalFormatting>
  <conditionalFormatting sqref="J31 I45:I46 H47:H49 I48 I50:I52 I54:I55 I206 I212 E214:G214">
    <cfRule type="cellIs" dxfId="5" priority="11" operator="lessThan">
      <formula>0</formula>
    </cfRule>
  </conditionalFormatting>
  <conditionalFormatting sqref="J35 I36 J37 I39 F51">
    <cfRule type="cellIs" dxfId="4" priority="9" operator="lessThan">
      <formula>0</formula>
    </cfRule>
  </conditionalFormatting>
  <dataValidations count="6">
    <dataValidation type="list" allowBlank="1" showInputMessage="1" showErrorMessage="1" sqref="E33:E35" xr:uid="{FBACCABC-AF99-44FB-9146-6F32E67A5303}">
      <formula1>"Purchased certificate, Issued for generated electricity"</formula1>
    </dataValidation>
    <dataValidation type="list" allowBlank="1" showInputMessage="1" showErrorMessage="1" sqref="E13" xr:uid="{E4F8F83F-4341-4C8F-8B4E-3BD34EE5E4F4}">
      <formula1>INDIRECT("Table_SourceData_ElectricityEFs[State, Territory or grid description]")</formula1>
    </dataValidation>
    <dataValidation type="list" allowBlank="1" showInputMessage="1" showErrorMessage="1" sqref="E69" xr:uid="{5829DD4C-82EE-4484-BFD4-BF665CA59C05}">
      <formula1>INDIRECT("Table_SourceData_Swine_IrrigationMethods[Irrigation method]")</formula1>
    </dataValidation>
    <dataValidation type="list" allowBlank="1" showInputMessage="1" showErrorMessage="1" sqref="E253 E258 E263 E297 E292 E287 E165 E153 E129 E141" xr:uid="{110E900E-E296-4031-BCA4-9ED9DDD251B6}">
      <formula1>"Yes, No"</formula1>
    </dataValidation>
    <dataValidation type="list" allowBlank="1" showInputMessage="1" showErrorMessage="1" sqref="E229" xr:uid="{2AF8AB1C-BD2F-4557-A61A-4DD9335E9F3D}">
      <formula1>INDIRECT("Table_SourceData_Dairy_ProductionSystemTemplates[Area]")</formula1>
    </dataValidation>
    <dataValidation type="list" allowBlank="1" showInputMessage="1" showErrorMessage="1" sqref="D281" xr:uid="{80CC41A3-3729-4900-AAA2-039D4AFBBB7A}">
      <formula1>INDIRECT("Table_SourceData_PoultryMMSStage1[MMS]")</formula1>
    </dataValidation>
  </dataValidations>
  <pageMargins left="0.7" right="0.7" top="0.75" bottom="0.75" header="0.3" footer="0.3"/>
  <pageSetup paperSize="9" orientation="portrait" r:id="rId1"/>
  <tableParts count="2">
    <tablePart r:id="rId2"/>
    <tablePart r:id="rId3"/>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61147D-A830-4473-A3AF-93B3D933246B}">
  <dimension ref="C1:AO502"/>
  <sheetViews>
    <sheetView showGridLines="0" topLeftCell="A62" zoomScale="40" zoomScaleNormal="40" workbookViewId="0">
      <selection activeCell="K262" sqref="K262"/>
    </sheetView>
  </sheetViews>
  <sheetFormatPr defaultRowHeight="15.75" x14ac:dyDescent="0.25"/>
  <cols>
    <col min="1" max="1" width="30.625" customWidth="1"/>
    <col min="2" max="2" width="4.625" customWidth="1"/>
    <col min="3" max="3" width="4.625" style="8" customWidth="1"/>
    <col min="4" max="40" width="30.625" style="8" customWidth="1"/>
    <col min="41" max="41" width="4.625" style="8" customWidth="1"/>
  </cols>
  <sheetData>
    <row r="1" spans="4:8" ht="30" customHeight="1" x14ac:dyDescent="0.25"/>
    <row r="2" spans="4:8" ht="20.100000000000001" customHeight="1" x14ac:dyDescent="0.25"/>
    <row r="3" spans="4:8" ht="20.100000000000001" customHeight="1" x14ac:dyDescent="0.25"/>
    <row r="4" spans="4:8" ht="20.100000000000001" customHeight="1" x14ac:dyDescent="0.25"/>
    <row r="5" spans="4:8" ht="20.100000000000001" customHeight="1" x14ac:dyDescent="0.25">
      <c r="D5" s="9" t="str" cm="1">
        <f t="array" ref="D5">Scope3_Equations.VEERG_15_1_1_1__1_EmissionsFromPurchasedLivestock_Title()</f>
        <v>Total emissions from purchased livestock</v>
      </c>
    </row>
    <row r="6" spans="4:8" ht="20.100000000000001" customHeight="1" x14ac:dyDescent="0.25">
      <c r="D6" s="11" t="str" cm="1">
        <f t="array" ref="D6">Scope3_Equations.VEERG_15_1_1_1__1_EmissionsFromPurchasedLivestock_Source()</f>
        <v>VEERG 2026: 15.1.1.1, Equation (1)</v>
      </c>
    </row>
    <row r="7" spans="4:8" ht="20.100000000000001" customHeight="1" x14ac:dyDescent="0.25">
      <c r="D7" s="178" t="s">
        <v>667</v>
      </c>
      <c r="E7" s="178" t="str" cm="1">
        <f t="array" aca="1" ref="E7" ca="1">Common_InputFunctions.Utility_DisplayFunctionName(J23)</f>
        <v>=Scope3_Equations.VEERG_15_1_1_1__1_EmissionsFromPurchasedLivestock</v>
      </c>
    </row>
    <row r="8" spans="4:8" ht="20.100000000000001" customHeight="1" x14ac:dyDescent="0.25"/>
    <row r="9" spans="4:8" ht="20.100000000000001" customHeight="1" x14ac:dyDescent="0.25">
      <c r="H9" s="178"/>
    </row>
    <row r="10" spans="4:8" ht="20.100000000000001" customHeight="1" x14ac:dyDescent="0.25">
      <c r="D10" s="24" t="s">
        <v>668</v>
      </c>
      <c r="E10" s="8" t="str" cm="1">
        <f t="array" ref="E10">Scope3_Equations.VEERG_15_1_1_1__1_EmissionsFromPurchasedLivestock_Variable()</f>
        <v>E</v>
      </c>
    </row>
    <row r="11" spans="4:8" ht="20.100000000000001" customHeight="1" x14ac:dyDescent="0.25">
      <c r="D11" s="24" t="s">
        <v>97</v>
      </c>
      <c r="E11" s="13" t="str" cm="1">
        <f t="array" ref="E11">Scope3_Equations.VEERG_15_1_1_1__1_EmissionsFromPurchasedLivestock_Unit()</f>
        <v>t CO2e</v>
      </c>
    </row>
    <row r="12" spans="4:8" ht="20.100000000000001" customHeight="1" x14ac:dyDescent="0.25"/>
    <row r="13" spans="4:8" ht="20.100000000000001" customHeight="1" x14ac:dyDescent="0.25">
      <c r="D13" s="174" t="str" cm="1">
        <f t="array" ref="D13:E17">_xlfn.CHOOSECOLS(Scope3_Equations.VEERG_15_1_1_1__1_EmissionsFromPurchasedLivestock_Arguments(),1,2)</f>
        <v>N_co</v>
      </c>
      <c r="E13" s="177" t="str">
        <v>number of animals purchased in livestock type c from origin o</v>
      </c>
      <c r="F13" s="173"/>
      <c r="G13" s="174" t="str" cm="1">
        <f t="array" ref="G13:H17">_xlfn.CHOOSECOLS(Scope3_Equations.VEERG_15_1_1_1__1_EmissionsFromPurchasedLivestock_Arguments(),3,4)</f>
        <v>head</v>
      </c>
      <c r="H13" s="175" t="str">
        <v>Input</v>
      </c>
    </row>
    <row r="14" spans="4:8" ht="20.100000000000001" customHeight="1" x14ac:dyDescent="0.25">
      <c r="D14" s="174" t="str">
        <v>W_co</v>
      </c>
      <c r="E14" s="177" t="str">
        <v>average liveweight of purchased livestock at point of purchase</v>
      </c>
      <c r="F14" s="173"/>
      <c r="G14" s="174" t="str">
        <v>kg/head</v>
      </c>
      <c r="H14" s="175" t="str">
        <v>Input</v>
      </c>
    </row>
    <row r="15" spans="4:8" ht="20.100000000000001" customHeight="1" x14ac:dyDescent="0.25">
      <c r="D15" s="174" t="str">
        <v>EF_co</v>
      </c>
      <c r="E15" s="177" t="str">
        <v>emission factor per livestock type and origin</v>
      </c>
      <c r="F15" s="173"/>
      <c r="G15" s="174" t="str">
        <v>kg CO2e/kg</v>
      </c>
      <c r="H15" s="176" t="str">
        <v>Constant</v>
      </c>
    </row>
    <row r="16" spans="4:8" ht="20.100000000000001" customHeight="1" x14ac:dyDescent="0.25">
      <c r="D16" s="174" t="str">
        <v>c</v>
      </c>
      <c r="E16" s="177" t="str">
        <v>livestock type</v>
      </c>
      <c r="F16" s="173"/>
      <c r="G16" s="174" t="str">
        <v/>
      </c>
      <c r="H16" s="175" t="str">
        <v>Input</v>
      </c>
    </row>
    <row r="17" spans="4:16" ht="20.100000000000001" customHeight="1" x14ac:dyDescent="0.25">
      <c r="D17" s="174" t="str">
        <v>o</v>
      </c>
      <c r="E17" s="177" t="str">
        <v>origin</v>
      </c>
      <c r="F17" s="173"/>
      <c r="G17" s="174" t="str">
        <v/>
      </c>
      <c r="H17" s="175" t="str">
        <v>Input</v>
      </c>
    </row>
    <row r="18" spans="4:16" ht="20.100000000000001" customHeight="1" x14ac:dyDescent="0.25"/>
    <row r="19" spans="4:16" ht="20.100000000000001" customHeight="1" x14ac:dyDescent="0.25">
      <c r="D19" s="89" t="s">
        <v>603</v>
      </c>
      <c r="E19" s="105"/>
      <c r="F19" s="90"/>
    </row>
    <row r="20" spans="4:16" ht="20.100000000000001" customHeight="1" x14ac:dyDescent="0.25"/>
    <row r="21" spans="4:16" ht="20.100000000000001" customHeight="1" x14ac:dyDescent="0.25">
      <c r="D21" s="143" t="s">
        <v>351</v>
      </c>
    </row>
    <row r="22" spans="4:16" ht="20.100000000000001" customHeight="1" x14ac:dyDescent="0.25">
      <c r="D22" s="36" t="s">
        <v>390</v>
      </c>
      <c r="E22" s="153" t="s">
        <v>661</v>
      </c>
      <c r="F22" s="153" t="s">
        <v>660</v>
      </c>
      <c r="G22" s="153" t="s">
        <v>662</v>
      </c>
      <c r="H22" s="153" t="s">
        <v>663</v>
      </c>
      <c r="I22" s="49" t="s">
        <v>665</v>
      </c>
      <c r="J22" s="49" t="s">
        <v>674</v>
      </c>
      <c r="K22" s="153" t="s">
        <v>664</v>
      </c>
      <c r="L22" s="36" t="s">
        <v>666</v>
      </c>
      <c r="M22" s="49" t="s">
        <v>676</v>
      </c>
      <c r="N22" s="36" t="s">
        <v>670</v>
      </c>
      <c r="O22" s="36" t="s">
        <v>671</v>
      </c>
      <c r="P22" s="36" t="s">
        <v>672</v>
      </c>
    </row>
    <row r="23" spans="4:16" ht="20.100000000000001" customHeight="1" x14ac:dyDescent="0.25">
      <c r="D23" s="39" t="str" cm="1">
        <f t="array" ref="D23:D32">IFERROR(INDEX(Table_Input_LivestockPurchases_Beefcattle[Transaction name], _xlfn.SEQUENCE(10)), "")</f>
        <v>Cows from Barry</v>
      </c>
      <c r="E23" s="39" t="str" cm="1">
        <f t="array" ref="E23:E32">IFERROR(INDEX(Table_Input_LivestockPurchases_Beefcattle[Purchase class (select)], _xlfn.SEQUENCE(10)), "")</f>
        <v>Cattle, for prime beef</v>
      </c>
      <c r="F23" s="39" t="str" cm="1">
        <f t="array" ref="F23:F32">IFERROR(_xlfn.XLOOKUP(INDEX(Table_Input_LivestockPurchases_Beefcattle[Source region (Select)], _xlfn.SEQUENCE(10)), Table_ProductRegions_Beefcattle[Region],Table_ProductRegions_Beefcattle[Scope3 region]), "")</f>
        <v>WA</v>
      </c>
      <c r="G23" s="39" cm="1">
        <f t="array" ref="G23:G32">IFERROR(INDEX(Table_Input_LivestockPurchases_Beefcattle[Quantity (head)], _xlfn.SEQUENCE(10)), "")</f>
        <v>100</v>
      </c>
      <c r="H23" s="39" cm="1">
        <f t="array" ref="H23:H32">IFERROR(INDEX(Table_Input_LivestockPurchases_Beefcattle[Liveweight (kg/head) Method 1], _xlfn.SEQUENCE(10)), 0)</f>
        <v>210</v>
      </c>
      <c r="I23" s="39" cm="1">
        <f t="array" ref="I23">Common_InputFunctions.Utility_LookupValueInTableTwoColumns(E23,F23,Table_SourceData_Scope3_Animals[Product],Table_SourceData_Scope3_Animals[Region of origin],Table_SourceData_Scope3_Animals[AusLCI Emissions intensity], 0)</f>
        <v>20.8</v>
      </c>
      <c r="J23" s="152" cm="1">
        <f t="array" ref="J23">Scope3_Equations.VEERG_15_1_1_1__1_EmissionsFromPurchasedLivestock(G23,H23,I23)</f>
        <v>436.8</v>
      </c>
      <c r="K23" s="39" cm="1">
        <f t="array" ref="K23:K32">IFERROR(INDEX(Table_Input_LivestockPurchases_Beefcattle[Liveweight (kg/head) Method 2], _xlfn.SEQUENCE(10)), "")</f>
        <v>205</v>
      </c>
      <c r="L23" s="58">
        <v>20</v>
      </c>
      <c r="M23" s="152" cm="1">
        <f t="array" ref="M23">Scope3_Equations.VEERG_15_1_1_1__1_EmissionsFromPurchasedLivestock(G23,K23,IF(L23, L23, I23))</f>
        <v>410</v>
      </c>
      <c r="N23" s="75" t="s">
        <v>640</v>
      </c>
      <c r="O23" s="37" t="s">
        <v>639</v>
      </c>
      <c r="P23" s="168" t="s">
        <v>641</v>
      </c>
    </row>
    <row r="24" spans="4:16" ht="20.100000000000001" customHeight="1" x14ac:dyDescent="0.25">
      <c r="D24" s="39">
        <v>0</v>
      </c>
      <c r="E24" s="39" t="str">
        <v>Cattle, for manufacturing beef</v>
      </c>
      <c r="F24" s="39" t="str">
        <v>WA</v>
      </c>
      <c r="G24" s="39">
        <v>100</v>
      </c>
      <c r="H24" s="39">
        <v>470</v>
      </c>
      <c r="I24" s="39" cm="1">
        <f t="array" ref="I24">Common_InputFunctions.Utility_LookupValueInTableTwoColumns(E24,F24,Table_SourceData_Scope3_Animals[Product],Table_SourceData_Scope3_Animals[Region of origin],Table_SourceData_Scope3_Animals[AusLCI Emissions intensity], 0)</f>
        <v>13.1</v>
      </c>
      <c r="J24" s="152" cm="1">
        <f t="array" ref="J24">Scope3_Equations.VEERG_15_1_1_1__1_EmissionsFromPurchasedLivestock(G24,H24,I24)</f>
        <v>615.70000000000005</v>
      </c>
      <c r="K24" s="39">
        <v>465</v>
      </c>
      <c r="L24" s="58">
        <v>13</v>
      </c>
      <c r="M24" s="152" cm="1">
        <f t="array" ref="M24">Scope3_Equations.VEERG_15_1_1_1__1_EmissionsFromPurchasedLivestock(G24,K24,IF(L24, L24, I24))</f>
        <v>604.5</v>
      </c>
      <c r="N24" s="75"/>
      <c r="O24" s="37"/>
      <c r="P24" s="75"/>
    </row>
    <row r="25" spans="4:16" ht="20.100000000000001" customHeight="1" x14ac:dyDescent="0.25">
      <c r="D25" s="39">
        <v>0</v>
      </c>
      <c r="E25" s="39">
        <v>0</v>
      </c>
      <c r="F25" s="39" t="str">
        <v/>
      </c>
      <c r="G25" s="39">
        <v>0</v>
      </c>
      <c r="H25" s="39">
        <v>0</v>
      </c>
      <c r="I25" s="39" cm="1">
        <f t="array" ref="I25">Common_InputFunctions.Utility_LookupValueInTableTwoColumns(E25,F25,Table_SourceData_Scope3_Animals[Product],Table_SourceData_Scope3_Animals[Region of origin],Table_SourceData_Scope3_Animals[AusLCI Emissions intensity], 0)</f>
        <v>0</v>
      </c>
      <c r="J25" s="152" cm="1">
        <f t="array" ref="J25">Scope3_Equations.VEERG_15_1_1_1__1_EmissionsFromPurchasedLivestock(G25,H25,I25)</f>
        <v>0</v>
      </c>
      <c r="K25" s="39">
        <v>0</v>
      </c>
      <c r="L25" s="58"/>
      <c r="M25" s="152" cm="1">
        <f t="array" ref="M25">Scope3_Equations.VEERG_15_1_1_1__1_EmissionsFromPurchasedLivestock(G25,K25,IF(L25, L25, I25))</f>
        <v>0</v>
      </c>
      <c r="N25" s="75"/>
      <c r="O25" s="37"/>
      <c r="P25" s="75"/>
    </row>
    <row r="26" spans="4:16" ht="20.100000000000001" customHeight="1" x14ac:dyDescent="0.25">
      <c r="D26" s="39">
        <v>0</v>
      </c>
      <c r="E26" s="39">
        <v>0</v>
      </c>
      <c r="F26" s="39" t="str">
        <v/>
      </c>
      <c r="G26" s="39">
        <v>0</v>
      </c>
      <c r="H26" s="39">
        <v>0</v>
      </c>
      <c r="I26" s="39" cm="1">
        <f t="array" ref="I26">Common_InputFunctions.Utility_LookupValueInTableTwoColumns(E26,F26,Table_SourceData_Scope3_Animals[Product],Table_SourceData_Scope3_Animals[Region of origin],Table_SourceData_Scope3_Animals[AusLCI Emissions intensity], 0)</f>
        <v>0</v>
      </c>
      <c r="J26" s="152" cm="1">
        <f t="array" ref="J26">Scope3_Equations.VEERG_15_1_1_1__1_EmissionsFromPurchasedLivestock(G26,H26,I26)</f>
        <v>0</v>
      </c>
      <c r="K26" s="39">
        <v>0</v>
      </c>
      <c r="L26" s="58"/>
      <c r="M26" s="152" cm="1">
        <f t="array" ref="M26">Scope3_Equations.VEERG_15_1_1_1__1_EmissionsFromPurchasedLivestock(G26,K26,IF(L26, L26, I26))</f>
        <v>0</v>
      </c>
      <c r="N26" s="75"/>
      <c r="O26" s="37"/>
      <c r="P26" s="75"/>
    </row>
    <row r="27" spans="4:16" ht="20.100000000000001" customHeight="1" x14ac:dyDescent="0.25">
      <c r="D27" s="39">
        <v>0</v>
      </c>
      <c r="E27" s="39">
        <v>0</v>
      </c>
      <c r="F27" s="39" t="str">
        <v/>
      </c>
      <c r="G27" s="39">
        <v>0</v>
      </c>
      <c r="H27" s="39">
        <v>0</v>
      </c>
      <c r="I27" s="39" cm="1">
        <f t="array" ref="I27">Common_InputFunctions.Utility_LookupValueInTableTwoColumns(E27,F27,Table_SourceData_Scope3_Animals[Product],Table_SourceData_Scope3_Animals[Region of origin],Table_SourceData_Scope3_Animals[AusLCI Emissions intensity], 0)</f>
        <v>0</v>
      </c>
      <c r="J27" s="152" cm="1">
        <f t="array" ref="J27">Scope3_Equations.VEERG_15_1_1_1__1_EmissionsFromPurchasedLivestock(G27,H27,I27)</f>
        <v>0</v>
      </c>
      <c r="K27" s="39">
        <v>0</v>
      </c>
      <c r="L27" s="58"/>
      <c r="M27" s="152" cm="1">
        <f t="array" ref="M27">Scope3_Equations.VEERG_15_1_1_1__1_EmissionsFromPurchasedLivestock(G27,K27,IF(L27, L27, I27))</f>
        <v>0</v>
      </c>
      <c r="N27" s="75"/>
      <c r="O27" s="37"/>
      <c r="P27" s="75"/>
    </row>
    <row r="28" spans="4:16" ht="20.100000000000001" customHeight="1" x14ac:dyDescent="0.25">
      <c r="D28" s="39">
        <v>0</v>
      </c>
      <c r="E28" s="39">
        <v>0</v>
      </c>
      <c r="F28" s="39" t="str">
        <v/>
      </c>
      <c r="G28" s="39">
        <v>0</v>
      </c>
      <c r="H28" s="39">
        <v>0</v>
      </c>
      <c r="I28" s="39" cm="1">
        <f t="array" ref="I28">Common_InputFunctions.Utility_LookupValueInTableTwoColumns(E28,F28,Table_SourceData_Scope3_Animals[Product],Table_SourceData_Scope3_Animals[Region of origin],Table_SourceData_Scope3_Animals[AusLCI Emissions intensity], 0)</f>
        <v>0</v>
      </c>
      <c r="J28" s="152" cm="1">
        <f t="array" ref="J28">Scope3_Equations.VEERG_15_1_1_1__1_EmissionsFromPurchasedLivestock(G28,H28,I28)</f>
        <v>0</v>
      </c>
      <c r="K28" s="39">
        <v>0</v>
      </c>
      <c r="L28" s="58"/>
      <c r="M28" s="152" cm="1">
        <f t="array" ref="M28">Scope3_Equations.VEERG_15_1_1_1__1_EmissionsFromPurchasedLivestock(G28,K28,IF(L28, L28, I28))</f>
        <v>0</v>
      </c>
      <c r="N28" s="75"/>
      <c r="O28" s="37"/>
      <c r="P28" s="75"/>
    </row>
    <row r="29" spans="4:16" ht="20.100000000000001" customHeight="1" x14ac:dyDescent="0.25">
      <c r="D29" s="39">
        <v>0</v>
      </c>
      <c r="E29" s="39">
        <v>0</v>
      </c>
      <c r="F29" s="39" t="str">
        <v/>
      </c>
      <c r="G29" s="39">
        <v>0</v>
      </c>
      <c r="H29" s="39">
        <v>0</v>
      </c>
      <c r="I29" s="39" cm="1">
        <f t="array" ref="I29">Common_InputFunctions.Utility_LookupValueInTableTwoColumns(E29,F29,Table_SourceData_Scope3_Animals[Product],Table_SourceData_Scope3_Animals[Region of origin],Table_SourceData_Scope3_Animals[AusLCI Emissions intensity], 0)</f>
        <v>0</v>
      </c>
      <c r="J29" s="152" cm="1">
        <f t="array" ref="J29">Scope3_Equations.VEERG_15_1_1_1__1_EmissionsFromPurchasedLivestock(G29,H29,I29)</f>
        <v>0</v>
      </c>
      <c r="K29" s="39">
        <v>0</v>
      </c>
      <c r="L29" s="58"/>
      <c r="M29" s="152" cm="1">
        <f t="array" ref="M29">Scope3_Equations.VEERG_15_1_1_1__1_EmissionsFromPurchasedLivestock(G29,K29,IF(L29, L29, I29))</f>
        <v>0</v>
      </c>
      <c r="N29" s="75"/>
      <c r="O29" s="37"/>
      <c r="P29" s="75"/>
    </row>
    <row r="30" spans="4:16" ht="20.100000000000001" customHeight="1" x14ac:dyDescent="0.25">
      <c r="D30" s="39">
        <v>0</v>
      </c>
      <c r="E30" s="39">
        <v>0</v>
      </c>
      <c r="F30" s="39" t="str">
        <v/>
      </c>
      <c r="G30" s="39">
        <v>0</v>
      </c>
      <c r="H30" s="39">
        <v>0</v>
      </c>
      <c r="I30" s="39" cm="1">
        <f t="array" ref="I30">Common_InputFunctions.Utility_LookupValueInTableTwoColumns(E30,F30,Table_SourceData_Scope3_Animals[Product],Table_SourceData_Scope3_Animals[Region of origin],Table_SourceData_Scope3_Animals[AusLCI Emissions intensity], 0)</f>
        <v>0</v>
      </c>
      <c r="J30" s="152" cm="1">
        <f t="array" ref="J30">Scope3_Equations.VEERG_15_1_1_1__1_EmissionsFromPurchasedLivestock(G30,H30,I30)</f>
        <v>0</v>
      </c>
      <c r="K30" s="39">
        <v>0</v>
      </c>
      <c r="L30" s="58"/>
      <c r="M30" s="152" cm="1">
        <f t="array" ref="M30">Scope3_Equations.VEERG_15_1_1_1__1_EmissionsFromPurchasedLivestock(G30,K30,IF(L30, L30, I30))</f>
        <v>0</v>
      </c>
      <c r="N30" s="75"/>
      <c r="O30" s="37"/>
      <c r="P30" s="75"/>
    </row>
    <row r="31" spans="4:16" ht="20.100000000000001" customHeight="1" x14ac:dyDescent="0.25">
      <c r="D31" s="39">
        <v>0</v>
      </c>
      <c r="E31" s="39">
        <v>0</v>
      </c>
      <c r="F31" s="39" t="str">
        <v/>
      </c>
      <c r="G31" s="39">
        <v>0</v>
      </c>
      <c r="H31" s="39">
        <v>0</v>
      </c>
      <c r="I31" s="39" cm="1">
        <f t="array" ref="I31">Common_InputFunctions.Utility_LookupValueInTableTwoColumns(E31,F31,Table_SourceData_Scope3_Animals[Product],Table_SourceData_Scope3_Animals[Region of origin],Table_SourceData_Scope3_Animals[AusLCI Emissions intensity], 0)</f>
        <v>0</v>
      </c>
      <c r="J31" s="152" cm="1">
        <f t="array" ref="J31">Scope3_Equations.VEERG_15_1_1_1__1_EmissionsFromPurchasedLivestock(G31,H31,I31)</f>
        <v>0</v>
      </c>
      <c r="K31" s="39">
        <v>0</v>
      </c>
      <c r="L31" s="58"/>
      <c r="M31" s="152" cm="1">
        <f t="array" ref="M31">Scope3_Equations.VEERG_15_1_1_1__1_EmissionsFromPurchasedLivestock(G31,K31,IF(L31, L31, I31))</f>
        <v>0</v>
      </c>
      <c r="N31" s="75"/>
      <c r="O31" s="37"/>
      <c r="P31" s="75"/>
    </row>
    <row r="32" spans="4:16" ht="20.100000000000001" customHeight="1" x14ac:dyDescent="0.25">
      <c r="D32" s="39">
        <v>0</v>
      </c>
      <c r="E32" s="39">
        <v>0</v>
      </c>
      <c r="F32" s="39" t="str">
        <v/>
      </c>
      <c r="G32" s="39">
        <v>0</v>
      </c>
      <c r="H32" s="39">
        <v>0</v>
      </c>
      <c r="I32" s="39" cm="1">
        <f t="array" ref="I32">Common_InputFunctions.Utility_LookupValueInTableTwoColumns(E32,F32,Table_SourceData_Scope3_Animals[Product],Table_SourceData_Scope3_Animals[Region of origin],Table_SourceData_Scope3_Animals[AusLCI Emissions intensity], 0)</f>
        <v>0</v>
      </c>
      <c r="J32" s="152" cm="1">
        <f t="array" ref="J32">Scope3_Equations.VEERG_15_1_1_1__1_EmissionsFromPurchasedLivestock(G32,H32,I32)</f>
        <v>0</v>
      </c>
      <c r="K32" s="39">
        <v>0</v>
      </c>
      <c r="L32" s="58"/>
      <c r="M32" s="152" cm="1">
        <f t="array" ref="M32">Scope3_Equations.VEERG_15_1_1_1__1_EmissionsFromPurchasedLivestock(G32,K32,IF(L32, L32, I32))</f>
        <v>0</v>
      </c>
      <c r="N32" s="75"/>
      <c r="O32" s="37"/>
      <c r="P32" s="75"/>
    </row>
    <row r="33" spans="4:13" ht="20.100000000000001" customHeight="1" x14ac:dyDescent="0.25"/>
    <row r="34" spans="4:13" ht="20.100000000000001" customHeight="1" x14ac:dyDescent="0.25">
      <c r="D34" s="179" t="s">
        <v>690</v>
      </c>
      <c r="E34" s="92">
        <f>SUM(J23:J32)</f>
        <v>1052.5</v>
      </c>
      <c r="F34" s="180" t="str">
        <f>$E$11</f>
        <v>t CO2e</v>
      </c>
    </row>
    <row r="35" spans="4:13" ht="20.100000000000001" customHeight="1" x14ac:dyDescent="0.25">
      <c r="D35" s="179" t="s">
        <v>691</v>
      </c>
      <c r="E35" s="92">
        <f>SUM(M23:M32)</f>
        <v>1014.5</v>
      </c>
      <c r="F35" s="180" t="str">
        <f>$E$11</f>
        <v>t CO2e</v>
      </c>
    </row>
    <row r="36" spans="4:13" ht="20.100000000000001" customHeight="1" x14ac:dyDescent="0.25"/>
    <row r="37" spans="4:13" ht="20.100000000000001" customHeight="1" x14ac:dyDescent="0.25"/>
    <row r="38" spans="4:13" ht="20.100000000000001" customHeight="1" x14ac:dyDescent="0.25">
      <c r="D38" s="143" t="s">
        <v>367</v>
      </c>
    </row>
    <row r="39" spans="4:13" ht="20.100000000000001" customHeight="1" x14ac:dyDescent="0.25">
      <c r="D39" s="174" t="s">
        <v>669</v>
      </c>
      <c r="E39" s="39" cm="1">
        <f t="array" ref="E39">Common_InputFunctions.Utility_LookupValueInTableNumber("Dairy cows", Table_SourceData_Scope3_Animals[Product],Table_SourceData_Scope3_Animals[AusLCI Emissions intensity])</f>
        <v>4.41</v>
      </c>
    </row>
    <row r="40" spans="4:13" ht="20.100000000000001" customHeight="1" x14ac:dyDescent="0.25"/>
    <row r="41" spans="4:13" ht="20.100000000000001" customHeight="1" x14ac:dyDescent="0.25">
      <c r="D41" s="36" t="s">
        <v>390</v>
      </c>
      <c r="E41" s="153" t="s">
        <v>662</v>
      </c>
      <c r="F41" s="153" t="s">
        <v>663</v>
      </c>
      <c r="G41" s="49" t="s">
        <v>674</v>
      </c>
      <c r="H41" s="153" t="s">
        <v>664</v>
      </c>
      <c r="I41" s="36" t="s">
        <v>666</v>
      </c>
      <c r="J41" s="49" t="s">
        <v>676</v>
      </c>
      <c r="K41" s="36" t="s">
        <v>670</v>
      </c>
      <c r="L41" s="36" t="s">
        <v>671</v>
      </c>
      <c r="M41" s="36" t="s">
        <v>672</v>
      </c>
    </row>
    <row r="42" spans="4:13" ht="20.100000000000001" customHeight="1" x14ac:dyDescent="0.25">
      <c r="D42" s="39" t="str" cm="1">
        <f t="array" ref="D42:D51">IFERROR(INDEX(Table_Input_LivestockPurchases_Dairy[Transaction name], _xlfn.SEQUENCE(10)), "")</f>
        <v>Dairy cows from Denise</v>
      </c>
      <c r="E42" s="39" cm="1">
        <f t="array" ref="E42:E51">IFERROR(INDEX(Table_Input_LivestockPurchases_Dairy[Quantity (head)], _xlfn.SEQUENCE(10)), 0)</f>
        <v>100</v>
      </c>
      <c r="F42" s="39" cm="1">
        <f t="array" ref="F42:F51">IFERROR(INDEX(Table_Input_LivestockPurchases_Dairy[Liveweight (kg/head) Method 1], _xlfn.SEQUENCE(10)), 0)</f>
        <v>350</v>
      </c>
      <c r="G42" s="152" cm="1">
        <f t="array" ref="G42">Scope3_Equations.VEERG_15_1_1_1__1_EmissionsFromPurchasedLivestock(E42,F42,$E$39)</f>
        <v>154.35</v>
      </c>
      <c r="H42" s="39" cm="1">
        <f t="array" ref="H42:H51">IFERROR(INDEX(Table_Input_LivestockPurchases_Dairy[Liveweight (kg/head) Method 2], _xlfn.SEQUENCE(10)), "")</f>
        <v>350</v>
      </c>
      <c r="I42" s="58">
        <v>4</v>
      </c>
      <c r="J42" s="152" cm="1">
        <f t="array" ref="J42">Scope3_Equations.VEERG_15_1_1_1__1_EmissionsFromPurchasedLivestock(E42,H42,IF(I42,I42,$E$39))</f>
        <v>140</v>
      </c>
      <c r="K42" s="75" t="s">
        <v>640</v>
      </c>
      <c r="L42" s="37" t="s">
        <v>639</v>
      </c>
      <c r="M42" s="168" t="s">
        <v>641</v>
      </c>
    </row>
    <row r="43" spans="4:13" ht="20.100000000000001" customHeight="1" x14ac:dyDescent="0.25">
      <c r="D43" s="39">
        <v>0</v>
      </c>
      <c r="E43" s="39">
        <v>100</v>
      </c>
      <c r="F43" s="39">
        <v>650</v>
      </c>
      <c r="G43" s="152" cm="1">
        <f t="array" ref="G43">Scope3_Equations.VEERG_15_1_1_1__1_EmissionsFromPurchasedLivestock(E43,F43,$E$39)</f>
        <v>286.65000000000003</v>
      </c>
      <c r="H43" s="39">
        <v>625</v>
      </c>
      <c r="I43" s="58"/>
      <c r="J43" s="152" cm="1">
        <f t="array" ref="J43">Scope3_Equations.VEERG_15_1_1_1__1_EmissionsFromPurchasedLivestock(E43,H43,IF(I43,I43,$E$39))</f>
        <v>275.625</v>
      </c>
      <c r="K43" s="75"/>
      <c r="L43" s="37"/>
      <c r="M43" s="75"/>
    </row>
    <row r="44" spans="4:13" ht="20.100000000000001" customHeight="1" x14ac:dyDescent="0.25">
      <c r="D44" s="39">
        <v>0</v>
      </c>
      <c r="E44" s="39">
        <v>0</v>
      </c>
      <c r="F44" s="39">
        <v>600</v>
      </c>
      <c r="G44" s="152" cm="1">
        <f t="array" ref="G44">Scope3_Equations.VEERG_15_1_1_1__1_EmissionsFromPurchasedLivestock(E44,F44,$E$39)</f>
        <v>0</v>
      </c>
      <c r="H44" s="39">
        <v>0</v>
      </c>
      <c r="I44" s="58"/>
      <c r="J44" s="152" cm="1">
        <f t="array" ref="J44">Scope3_Equations.VEERG_15_1_1_1__1_EmissionsFromPurchasedLivestock(E44,H44,IF(I44,I44,$E$39))</f>
        <v>0</v>
      </c>
      <c r="K44" s="75"/>
      <c r="L44" s="37"/>
      <c r="M44" s="75"/>
    </row>
    <row r="45" spans="4:13" ht="20.100000000000001" customHeight="1" x14ac:dyDescent="0.25">
      <c r="D45" s="39">
        <v>0</v>
      </c>
      <c r="E45" s="39">
        <v>0</v>
      </c>
      <c r="F45" s="39">
        <v>0</v>
      </c>
      <c r="G45" s="152" cm="1">
        <f t="array" ref="G45">Scope3_Equations.VEERG_15_1_1_1__1_EmissionsFromPurchasedLivestock(E45,F45,$E$39)</f>
        <v>0</v>
      </c>
      <c r="H45" s="39">
        <v>0</v>
      </c>
      <c r="I45" s="58"/>
      <c r="J45" s="152" cm="1">
        <f t="array" ref="J45">Scope3_Equations.VEERG_15_1_1_1__1_EmissionsFromPurchasedLivestock(E45,H45,IF(I45,I45,$E$39))</f>
        <v>0</v>
      </c>
      <c r="K45" s="75"/>
      <c r="L45" s="37"/>
      <c r="M45" s="75"/>
    </row>
    <row r="46" spans="4:13" ht="20.100000000000001" customHeight="1" x14ac:dyDescent="0.25">
      <c r="D46" s="39">
        <v>0</v>
      </c>
      <c r="E46" s="39">
        <v>0</v>
      </c>
      <c r="F46" s="39">
        <v>0</v>
      </c>
      <c r="G46" s="152" cm="1">
        <f t="array" ref="G46">Scope3_Equations.VEERG_15_1_1_1__1_EmissionsFromPurchasedLivestock(E46,F46,$E$39)</f>
        <v>0</v>
      </c>
      <c r="H46" s="39">
        <v>0</v>
      </c>
      <c r="I46" s="58"/>
      <c r="J46" s="152" cm="1">
        <f t="array" ref="J46">Scope3_Equations.VEERG_15_1_1_1__1_EmissionsFromPurchasedLivestock(E46,H46,IF(I46,I46,$E$39))</f>
        <v>0</v>
      </c>
      <c r="K46" s="75"/>
      <c r="L46" s="37"/>
      <c r="M46" s="75"/>
    </row>
    <row r="47" spans="4:13" ht="20.100000000000001" customHeight="1" x14ac:dyDescent="0.25">
      <c r="D47" s="39">
        <v>0</v>
      </c>
      <c r="E47" s="39">
        <v>0</v>
      </c>
      <c r="F47" s="39">
        <v>0</v>
      </c>
      <c r="G47" s="152" cm="1">
        <f t="array" ref="G47">Scope3_Equations.VEERG_15_1_1_1__1_EmissionsFromPurchasedLivestock(E47,F47,$E$39)</f>
        <v>0</v>
      </c>
      <c r="H47" s="39">
        <v>0</v>
      </c>
      <c r="I47" s="58"/>
      <c r="J47" s="152" cm="1">
        <f t="array" ref="J47">Scope3_Equations.VEERG_15_1_1_1__1_EmissionsFromPurchasedLivestock(E47,H47,IF(I47,I47,$E$39))</f>
        <v>0</v>
      </c>
      <c r="K47" s="75"/>
      <c r="L47" s="37"/>
      <c r="M47" s="75"/>
    </row>
    <row r="48" spans="4:13" ht="20.100000000000001" customHeight="1" x14ac:dyDescent="0.25">
      <c r="D48" s="39">
        <v>0</v>
      </c>
      <c r="E48" s="39">
        <v>0</v>
      </c>
      <c r="F48" s="39">
        <v>0</v>
      </c>
      <c r="G48" s="152" cm="1">
        <f t="array" ref="G48">Scope3_Equations.VEERG_15_1_1_1__1_EmissionsFromPurchasedLivestock(E48,F48,$E$39)</f>
        <v>0</v>
      </c>
      <c r="H48" s="39">
        <v>0</v>
      </c>
      <c r="I48" s="58"/>
      <c r="J48" s="152" cm="1">
        <f t="array" ref="J48">Scope3_Equations.VEERG_15_1_1_1__1_EmissionsFromPurchasedLivestock(E48,H48,IF(I48,I48,$E$39))</f>
        <v>0</v>
      </c>
      <c r="K48" s="75"/>
      <c r="L48" s="37"/>
      <c r="M48" s="75"/>
    </row>
    <row r="49" spans="4:13" ht="20.100000000000001" customHeight="1" x14ac:dyDescent="0.25">
      <c r="D49" s="39">
        <v>0</v>
      </c>
      <c r="E49" s="39">
        <v>0</v>
      </c>
      <c r="F49" s="39">
        <v>0</v>
      </c>
      <c r="G49" s="152" cm="1">
        <f t="array" ref="G49">Scope3_Equations.VEERG_15_1_1_1__1_EmissionsFromPurchasedLivestock(E49,F49,$E$39)</f>
        <v>0</v>
      </c>
      <c r="H49" s="39">
        <v>0</v>
      </c>
      <c r="I49" s="58"/>
      <c r="J49" s="152" cm="1">
        <f t="array" ref="J49">Scope3_Equations.VEERG_15_1_1_1__1_EmissionsFromPurchasedLivestock(E49,H49,IF(I49,I49,$E$39))</f>
        <v>0</v>
      </c>
      <c r="K49" s="75"/>
      <c r="L49" s="37"/>
      <c r="M49" s="75"/>
    </row>
    <row r="50" spans="4:13" ht="20.100000000000001" customHeight="1" x14ac:dyDescent="0.25">
      <c r="D50" s="39">
        <v>0</v>
      </c>
      <c r="E50" s="39">
        <v>0</v>
      </c>
      <c r="F50" s="39">
        <v>0</v>
      </c>
      <c r="G50" s="152" cm="1">
        <f t="array" ref="G50">Scope3_Equations.VEERG_15_1_1_1__1_EmissionsFromPurchasedLivestock(E50,F50,$E$39)</f>
        <v>0</v>
      </c>
      <c r="H50" s="39">
        <v>0</v>
      </c>
      <c r="I50" s="58"/>
      <c r="J50" s="152" cm="1">
        <f t="array" ref="J50">Scope3_Equations.VEERG_15_1_1_1__1_EmissionsFromPurchasedLivestock(E50,H50,IF(I50,I50,$E$39))</f>
        <v>0</v>
      </c>
      <c r="K50" s="75"/>
      <c r="L50" s="37"/>
      <c r="M50" s="75"/>
    </row>
    <row r="51" spans="4:13" ht="20.100000000000001" customHeight="1" x14ac:dyDescent="0.25">
      <c r="D51" s="39">
        <v>0</v>
      </c>
      <c r="E51" s="39">
        <v>0</v>
      </c>
      <c r="F51" s="39">
        <v>0</v>
      </c>
      <c r="G51" s="152" cm="1">
        <f t="array" ref="G51">Scope3_Equations.VEERG_15_1_1_1__1_EmissionsFromPurchasedLivestock(E51,F51,$E$39)</f>
        <v>0</v>
      </c>
      <c r="H51" s="39">
        <v>0</v>
      </c>
      <c r="I51" s="58"/>
      <c r="J51" s="152" cm="1">
        <f t="array" ref="J51">Scope3_Equations.VEERG_15_1_1_1__1_EmissionsFromPurchasedLivestock(E51,H51,IF(I51,I51,$E$39))</f>
        <v>0</v>
      </c>
      <c r="K51" s="75"/>
      <c r="L51" s="37"/>
      <c r="M51" s="75"/>
    </row>
    <row r="52" spans="4:13" ht="20.100000000000001" customHeight="1" x14ac:dyDescent="0.25"/>
    <row r="53" spans="4:13" ht="20.100000000000001" customHeight="1" x14ac:dyDescent="0.25">
      <c r="D53" s="179" t="s">
        <v>688</v>
      </c>
      <c r="E53" s="92">
        <f>SUM(G42:G51)</f>
        <v>441</v>
      </c>
      <c r="F53" s="180" t="str">
        <f>$E$11</f>
        <v>t CO2e</v>
      </c>
    </row>
    <row r="54" spans="4:13" ht="20.100000000000001" customHeight="1" x14ac:dyDescent="0.25">
      <c r="D54" s="179" t="s">
        <v>689</v>
      </c>
      <c r="E54" s="92">
        <f>SUM(J42:J51)</f>
        <v>415.625</v>
      </c>
      <c r="F54" s="180" t="str">
        <f>$E$11</f>
        <v>t CO2e</v>
      </c>
    </row>
    <row r="55" spans="4:13" ht="20.100000000000001" customHeight="1" x14ac:dyDescent="0.25"/>
    <row r="56" spans="4:13" ht="20.100000000000001" customHeight="1" x14ac:dyDescent="0.25"/>
    <row r="57" spans="4:13" ht="20.100000000000001" customHeight="1" x14ac:dyDescent="0.25">
      <c r="D57" s="143" t="s">
        <v>576</v>
      </c>
    </row>
    <row r="58" spans="4:13" ht="20.100000000000001" customHeight="1" x14ac:dyDescent="0.25">
      <c r="D58" s="174" t="s">
        <v>669</v>
      </c>
      <c r="E58" s="39" cm="1">
        <f t="array" ref="E58">Common_InputFunctions.Utility_LookupValueInTableNumber("Pigs", Table_SourceData_Scope3_Animals[Product],Table_SourceData_Scope3_Animals[AusLCI Emissions intensity])</f>
        <v>3.38</v>
      </c>
    </row>
    <row r="59" spans="4:13" ht="20.100000000000001" customHeight="1" x14ac:dyDescent="0.25"/>
    <row r="60" spans="4:13" ht="20.100000000000001" customHeight="1" x14ac:dyDescent="0.25">
      <c r="D60" s="36" t="s">
        <v>390</v>
      </c>
      <c r="E60" s="153" t="s">
        <v>662</v>
      </c>
      <c r="F60" s="153" t="s">
        <v>663</v>
      </c>
      <c r="G60" s="49" t="s">
        <v>674</v>
      </c>
      <c r="H60" s="153" t="s">
        <v>664</v>
      </c>
      <c r="I60" s="36" t="s">
        <v>666</v>
      </c>
      <c r="J60" s="49" t="s">
        <v>676</v>
      </c>
      <c r="K60" s="36" t="s">
        <v>670</v>
      </c>
      <c r="L60" s="36" t="s">
        <v>671</v>
      </c>
      <c r="M60" s="36" t="s">
        <v>672</v>
      </c>
    </row>
    <row r="61" spans="4:13" ht="20.100000000000001" customHeight="1" x14ac:dyDescent="0.25">
      <c r="D61" s="39" t="str" cm="1">
        <f t="array" ref="D61:D70">IFERROR(INDEX(Table_Input_LivestockPurchases_Pigs[Transaction name], _xlfn.SEQUENCE(10)), "")</f>
        <v>Pigs from Pam</v>
      </c>
      <c r="E61" s="39" cm="1">
        <f t="array" ref="E61:E70">IFERROR(INDEX(Table_Input_LivestockPurchases_Pigs[Quantity (head)], _xlfn.SEQUENCE(10)), 0)</f>
        <v>100</v>
      </c>
      <c r="F61" s="39" cm="1">
        <f t="array" ref="F61:F70">IFERROR(INDEX(Table_Input_LivestockPurchases_Pigs[Liveweight (kg/head) Method 1], _xlfn.SEQUENCE(10)), 0)</f>
        <v>188</v>
      </c>
      <c r="G61" s="152" cm="1">
        <f t="array" ref="G61">Scope3_Equations.VEERG_15_1_1_1__1_EmissionsFromPurchasedLivestock(E61,F61,$E$58)</f>
        <v>63.544000000000004</v>
      </c>
      <c r="H61" s="39" cm="1">
        <f t="array" ref="H61:H70">IFERROR(INDEX(Table_Input_LivestockPurchases_Pigs[Liveweight (kg/head) Method 2], _xlfn.SEQUENCE(10)), 0)</f>
        <v>180</v>
      </c>
      <c r="I61" s="58">
        <v>3.38</v>
      </c>
      <c r="J61" s="152" cm="1">
        <f t="array" ref="J61">Scope3_Equations.VEERG_15_1_1_1__1_EmissionsFromPurchasedLivestock(E61,H61,IF(I61, I61,$E$58))</f>
        <v>60.84</v>
      </c>
      <c r="K61" s="75"/>
      <c r="L61" s="37"/>
      <c r="M61" s="168"/>
    </row>
    <row r="62" spans="4:13" ht="20.100000000000001" customHeight="1" x14ac:dyDescent="0.25">
      <c r="D62" s="39" t="str">
        <v>Swine from Samantha</v>
      </c>
      <c r="E62" s="39">
        <v>100</v>
      </c>
      <c r="F62" s="39">
        <v>39</v>
      </c>
      <c r="G62" s="152" cm="1">
        <f t="array" ref="G62">Scope3_Equations.VEERG_15_1_1_1__1_EmissionsFromPurchasedLivestock(E62,F62,$E$58)</f>
        <v>13.182</v>
      </c>
      <c r="H62" s="39">
        <v>38</v>
      </c>
      <c r="I62" s="58">
        <v>3.3</v>
      </c>
      <c r="J62" s="152" cm="1">
        <f t="array" ref="J62">Scope3_Equations.VEERG_15_1_1_1__1_EmissionsFromPurchasedLivestock(E62,H62,IF(I62, I62,$E$58))</f>
        <v>12.540000000000001</v>
      </c>
      <c r="K62" s="75"/>
      <c r="L62" s="37"/>
      <c r="M62" s="75"/>
    </row>
    <row r="63" spans="4:13" ht="20.100000000000001" customHeight="1" x14ac:dyDescent="0.25">
      <c r="D63" s="39">
        <v>0</v>
      </c>
      <c r="E63" s="39">
        <v>0</v>
      </c>
      <c r="F63" s="39">
        <v>0</v>
      </c>
      <c r="G63" s="152" cm="1">
        <f t="array" ref="G63">Scope3_Equations.VEERG_15_1_1_1__1_EmissionsFromPurchasedLivestock(E63,F63,$E$58)</f>
        <v>0</v>
      </c>
      <c r="H63" s="39">
        <v>0</v>
      </c>
      <c r="I63" s="58"/>
      <c r="J63" s="152" cm="1">
        <f t="array" ref="J63">Scope3_Equations.VEERG_15_1_1_1__1_EmissionsFromPurchasedLivestock(E63,H63,IF(I63, I63,$E$58))</f>
        <v>0</v>
      </c>
      <c r="K63" s="75"/>
      <c r="L63" s="37"/>
      <c r="M63" s="75"/>
    </row>
    <row r="64" spans="4:13" ht="20.100000000000001" customHeight="1" x14ac:dyDescent="0.25">
      <c r="D64" s="39">
        <v>0</v>
      </c>
      <c r="E64" s="39">
        <v>0</v>
      </c>
      <c r="F64" s="39">
        <v>0</v>
      </c>
      <c r="G64" s="152" cm="1">
        <f t="array" ref="G64">Scope3_Equations.VEERG_15_1_1_1__1_EmissionsFromPurchasedLivestock(E64,F64,$E$58)</f>
        <v>0</v>
      </c>
      <c r="H64" s="39">
        <v>0</v>
      </c>
      <c r="I64" s="58"/>
      <c r="J64" s="152" cm="1">
        <f t="array" ref="J64">Scope3_Equations.VEERG_15_1_1_1__1_EmissionsFromPurchasedLivestock(E64,H64,IF(I64, I64,$E$58))</f>
        <v>0</v>
      </c>
      <c r="K64" s="75"/>
      <c r="L64" s="37"/>
      <c r="M64" s="75"/>
    </row>
    <row r="65" spans="4:13" ht="20.100000000000001" customHeight="1" x14ac:dyDescent="0.25">
      <c r="D65" s="39">
        <v>0</v>
      </c>
      <c r="E65" s="39">
        <v>0</v>
      </c>
      <c r="F65" s="39">
        <v>0</v>
      </c>
      <c r="G65" s="152" cm="1">
        <f t="array" ref="G65">Scope3_Equations.VEERG_15_1_1_1__1_EmissionsFromPurchasedLivestock(E65,F65,$E$58)</f>
        <v>0</v>
      </c>
      <c r="H65" s="39">
        <v>0</v>
      </c>
      <c r="I65" s="58"/>
      <c r="J65" s="152" cm="1">
        <f t="array" ref="J65">Scope3_Equations.VEERG_15_1_1_1__1_EmissionsFromPurchasedLivestock(E65,H65,IF(I65, I65,$E$58))</f>
        <v>0</v>
      </c>
      <c r="K65" s="75"/>
      <c r="L65" s="37"/>
      <c r="M65" s="75"/>
    </row>
    <row r="66" spans="4:13" ht="20.100000000000001" customHeight="1" x14ac:dyDescent="0.25">
      <c r="D66" s="39">
        <v>0</v>
      </c>
      <c r="E66" s="39">
        <v>0</v>
      </c>
      <c r="F66" s="39">
        <v>0</v>
      </c>
      <c r="G66" s="152" cm="1">
        <f t="array" ref="G66">Scope3_Equations.VEERG_15_1_1_1__1_EmissionsFromPurchasedLivestock(E66,F66,$E$58)</f>
        <v>0</v>
      </c>
      <c r="H66" s="39">
        <v>0</v>
      </c>
      <c r="I66" s="58"/>
      <c r="J66" s="152" cm="1">
        <f t="array" ref="J66">Scope3_Equations.VEERG_15_1_1_1__1_EmissionsFromPurchasedLivestock(E66,H66,IF(I66, I66,$E$58))</f>
        <v>0</v>
      </c>
      <c r="K66" s="75"/>
      <c r="L66" s="37"/>
      <c r="M66" s="75"/>
    </row>
    <row r="67" spans="4:13" ht="20.100000000000001" customHeight="1" x14ac:dyDescent="0.25">
      <c r="D67" s="39">
        <v>0</v>
      </c>
      <c r="E67" s="39">
        <v>0</v>
      </c>
      <c r="F67" s="39">
        <v>0</v>
      </c>
      <c r="G67" s="152" cm="1">
        <f t="array" ref="G67">Scope3_Equations.VEERG_15_1_1_1__1_EmissionsFromPurchasedLivestock(E67,F67,$E$58)</f>
        <v>0</v>
      </c>
      <c r="H67" s="39">
        <v>0</v>
      </c>
      <c r="I67" s="58"/>
      <c r="J67" s="152" cm="1">
        <f t="array" ref="J67">Scope3_Equations.VEERG_15_1_1_1__1_EmissionsFromPurchasedLivestock(E67,H67,IF(I67, I67,$E$58))</f>
        <v>0</v>
      </c>
      <c r="K67" s="75"/>
      <c r="L67" s="37"/>
      <c r="M67" s="75"/>
    </row>
    <row r="68" spans="4:13" ht="20.100000000000001" customHeight="1" x14ac:dyDescent="0.25">
      <c r="D68" s="39">
        <v>0</v>
      </c>
      <c r="E68" s="39">
        <v>0</v>
      </c>
      <c r="F68" s="39">
        <v>0</v>
      </c>
      <c r="G68" s="152" cm="1">
        <f t="array" ref="G68">Scope3_Equations.VEERG_15_1_1_1__1_EmissionsFromPurchasedLivestock(E68,F68,$E$58)</f>
        <v>0</v>
      </c>
      <c r="H68" s="39">
        <v>0</v>
      </c>
      <c r="I68" s="58"/>
      <c r="J68" s="152" cm="1">
        <f t="array" ref="J68">Scope3_Equations.VEERG_15_1_1_1__1_EmissionsFromPurchasedLivestock(E68,H68,IF(I68, I68,$E$58))</f>
        <v>0</v>
      </c>
      <c r="K68" s="75"/>
      <c r="L68" s="37"/>
      <c r="M68" s="75"/>
    </row>
    <row r="69" spans="4:13" ht="20.100000000000001" customHeight="1" x14ac:dyDescent="0.25">
      <c r="D69" s="39">
        <v>0</v>
      </c>
      <c r="E69" s="39">
        <v>0</v>
      </c>
      <c r="F69" s="39">
        <v>0</v>
      </c>
      <c r="G69" s="152" cm="1">
        <f t="array" ref="G69">Scope3_Equations.VEERG_15_1_1_1__1_EmissionsFromPurchasedLivestock(E69,F69,$E$58)</f>
        <v>0</v>
      </c>
      <c r="H69" s="39">
        <v>0</v>
      </c>
      <c r="I69" s="58"/>
      <c r="J69" s="152" cm="1">
        <f t="array" ref="J69">Scope3_Equations.VEERG_15_1_1_1__1_EmissionsFromPurchasedLivestock(E69,H69,IF(I69, I69,$E$58))</f>
        <v>0</v>
      </c>
      <c r="K69" s="75"/>
      <c r="L69" s="37"/>
      <c r="M69" s="75"/>
    </row>
    <row r="70" spans="4:13" ht="20.100000000000001" customHeight="1" x14ac:dyDescent="0.25">
      <c r="D70" s="39">
        <v>0</v>
      </c>
      <c r="E70" s="39">
        <v>0</v>
      </c>
      <c r="F70" s="39">
        <v>0</v>
      </c>
      <c r="G70" s="152" cm="1">
        <f t="array" ref="G70">Scope3_Equations.VEERG_15_1_1_1__1_EmissionsFromPurchasedLivestock(E70,F70,$E$58)</f>
        <v>0</v>
      </c>
      <c r="H70" s="39">
        <v>0</v>
      </c>
      <c r="I70" s="58"/>
      <c r="J70" s="152" cm="1">
        <f t="array" ref="J70">Scope3_Equations.VEERG_15_1_1_1__1_EmissionsFromPurchasedLivestock(E70,H70,IF(I70, I70,$E$58))</f>
        <v>0</v>
      </c>
      <c r="K70" s="75"/>
      <c r="L70" s="37"/>
      <c r="M70" s="75"/>
    </row>
    <row r="71" spans="4:13" ht="20.100000000000001" customHeight="1" x14ac:dyDescent="0.25"/>
    <row r="72" spans="4:13" ht="20.100000000000001" customHeight="1" x14ac:dyDescent="0.25">
      <c r="D72" s="179" t="s">
        <v>686</v>
      </c>
      <c r="E72" s="92">
        <f>SUM(G61:G70)</f>
        <v>76.725999999999999</v>
      </c>
      <c r="F72" s="180" t="str">
        <f>$E$11</f>
        <v>t CO2e</v>
      </c>
    </row>
    <row r="73" spans="4:13" ht="20.100000000000001" customHeight="1" x14ac:dyDescent="0.25">
      <c r="D73" s="179" t="s">
        <v>687</v>
      </c>
      <c r="E73" s="92">
        <f>SUM(J61:J70)</f>
        <v>73.38000000000001</v>
      </c>
      <c r="F73" s="180" t="str">
        <f>$E$11</f>
        <v>t CO2e</v>
      </c>
    </row>
    <row r="74" spans="4:13" ht="20.100000000000001" customHeight="1" x14ac:dyDescent="0.25"/>
    <row r="75" spans="4:13" ht="20.100000000000001" customHeight="1" x14ac:dyDescent="0.25">
      <c r="D75" s="143" t="s">
        <v>604</v>
      </c>
    </row>
    <row r="76" spans="4:13" ht="20.100000000000001" customHeight="1" x14ac:dyDescent="0.25">
      <c r="D76" s="174" t="s">
        <v>669</v>
      </c>
      <c r="E76" s="39" cm="1">
        <f t="array" ref="E76">Common_InputFunctions.Utility_LookupValueInTableNumber("Chickens", Table_SourceData_Scope3_Animals[Product],Table_SourceData_Scope3_Animals[AusLCI Emissions intensity])</f>
        <v>1.36</v>
      </c>
    </row>
    <row r="77" spans="4:13" ht="20.100000000000001" customHeight="1" x14ac:dyDescent="0.25"/>
    <row r="78" spans="4:13" ht="20.100000000000001" customHeight="1" x14ac:dyDescent="0.25">
      <c r="D78" s="36" t="s">
        <v>390</v>
      </c>
      <c r="E78" s="153" t="s">
        <v>662</v>
      </c>
      <c r="F78" s="153" t="s">
        <v>663</v>
      </c>
      <c r="G78" s="49" t="s">
        <v>674</v>
      </c>
      <c r="H78" s="153" t="s">
        <v>664</v>
      </c>
      <c r="I78" s="36" t="s">
        <v>666</v>
      </c>
      <c r="J78" s="49" t="s">
        <v>676</v>
      </c>
      <c r="K78" s="36" t="s">
        <v>670</v>
      </c>
      <c r="L78" s="36" t="s">
        <v>671</v>
      </c>
      <c r="M78" s="36" t="s">
        <v>672</v>
      </c>
    </row>
    <row r="79" spans="4:13" ht="20.100000000000001" customHeight="1" x14ac:dyDescent="0.25">
      <c r="D79" s="39" t="str" cm="1">
        <f t="array" ref="D79:D88">IFERROR(INDEX(Table_Input_LivestockPurchases_Poultry[Transaction name], _xlfn.SEQUENCE(10)), "")</f>
        <v>Chooks from Carolyn</v>
      </c>
      <c r="E79" s="39" cm="1">
        <f t="array" ref="E79:E88">IFERROR(INDEX(Table_Input_LivestockPurchases_Poultry[Quantity (head)], _xlfn.SEQUENCE(10)), "")</f>
        <v>100</v>
      </c>
      <c r="F79" s="39" cm="1">
        <f t="array" ref="F79:F88">IFERROR(INDEX(Table_Input_LivestockPurchases_Poultry[Liveweight (kg/head) Method 1], _xlfn.SEQUENCE(10)), "")</f>
        <v>1.3</v>
      </c>
      <c r="G79" s="152" cm="1">
        <f t="array" ref="G79">Scope3_Equations.VEERG_15_1_1_1__1_EmissionsFromPurchasedLivestock(E79,F79,$E$76)</f>
        <v>0.17680000000000001</v>
      </c>
      <c r="H79" s="39" cm="1">
        <f t="array" ref="H79:H88">IFERROR(INDEX(Table_Input_LivestockPurchases_Poultry[Liveweight (kg/head) Method 2], _xlfn.SEQUENCE(10)), "")</f>
        <v>1.3</v>
      </c>
      <c r="I79" s="58">
        <v>1.3</v>
      </c>
      <c r="J79" s="152" cm="1">
        <f t="array" ref="J79">Scope3_Equations.VEERG_15_1_1_1__1_EmissionsFromPurchasedLivestock(E79,H79,IF(I79, I79,$E$76))</f>
        <v>0.16900000000000001</v>
      </c>
      <c r="K79" s="75"/>
      <c r="L79" s="37"/>
      <c r="M79" s="168"/>
    </row>
    <row r="80" spans="4:13" ht="20.100000000000001" customHeight="1" x14ac:dyDescent="0.25">
      <c r="D80" s="39" t="str">
        <v>Roosters from Raj</v>
      </c>
      <c r="E80" s="39">
        <v>100</v>
      </c>
      <c r="F80" s="39">
        <v>1.4</v>
      </c>
      <c r="G80" s="152" cm="1">
        <f t="array" ref="G80">Scope3_Equations.VEERG_15_1_1_1__1_EmissionsFromPurchasedLivestock(E80,F80,$E$76)</f>
        <v>0.19040000000000001</v>
      </c>
      <c r="H80" s="39">
        <v>1.4</v>
      </c>
      <c r="I80" s="58"/>
      <c r="J80" s="152" cm="1">
        <f t="array" ref="J80">Scope3_Equations.VEERG_15_1_1_1__1_EmissionsFromPurchasedLivestock(E80,H80,IF(I80, I80,$E$76))</f>
        <v>0.19040000000000001</v>
      </c>
      <c r="K80" s="75"/>
      <c r="L80" s="37"/>
      <c r="M80" s="75"/>
    </row>
    <row r="81" spans="4:13" ht="20.100000000000001" customHeight="1" x14ac:dyDescent="0.25">
      <c r="D81" s="39">
        <v>0</v>
      </c>
      <c r="E81" s="39">
        <v>0</v>
      </c>
      <c r="F81" s="39">
        <v>0</v>
      </c>
      <c r="G81" s="152" cm="1">
        <f t="array" ref="G81">Scope3_Equations.VEERG_15_1_1_1__1_EmissionsFromPurchasedLivestock(E81,F81,$E$76)</f>
        <v>0</v>
      </c>
      <c r="H81" s="39">
        <v>0</v>
      </c>
      <c r="I81" s="58"/>
      <c r="J81" s="152" cm="1">
        <f t="array" ref="J81">Scope3_Equations.VEERG_15_1_1_1__1_EmissionsFromPurchasedLivestock(E81,H81,IF(I81, I81,$E$76))</f>
        <v>0</v>
      </c>
      <c r="K81" s="75"/>
      <c r="L81" s="37"/>
      <c r="M81" s="75"/>
    </row>
    <row r="82" spans="4:13" ht="20.100000000000001" customHeight="1" x14ac:dyDescent="0.25">
      <c r="D82" s="39">
        <v>0</v>
      </c>
      <c r="E82" s="39">
        <v>0</v>
      </c>
      <c r="F82" s="39">
        <v>0</v>
      </c>
      <c r="G82" s="152" cm="1">
        <f t="array" ref="G82">Scope3_Equations.VEERG_15_1_1_1__1_EmissionsFromPurchasedLivestock(E82,F82,$E$76)</f>
        <v>0</v>
      </c>
      <c r="H82" s="39">
        <v>0</v>
      </c>
      <c r="I82" s="58"/>
      <c r="J82" s="152" cm="1">
        <f t="array" ref="J82">Scope3_Equations.VEERG_15_1_1_1__1_EmissionsFromPurchasedLivestock(E82,H82,IF(I82, I82,$E$76))</f>
        <v>0</v>
      </c>
      <c r="K82" s="75"/>
      <c r="L82" s="37"/>
      <c r="M82" s="75"/>
    </row>
    <row r="83" spans="4:13" ht="20.100000000000001" customHeight="1" x14ac:dyDescent="0.25">
      <c r="D83" s="39">
        <v>0</v>
      </c>
      <c r="E83" s="39">
        <v>0</v>
      </c>
      <c r="F83" s="39">
        <v>0</v>
      </c>
      <c r="G83" s="152" cm="1">
        <f t="array" ref="G83">Scope3_Equations.VEERG_15_1_1_1__1_EmissionsFromPurchasedLivestock(E83,F83,$E$76)</f>
        <v>0</v>
      </c>
      <c r="H83" s="39">
        <v>0</v>
      </c>
      <c r="I83" s="58"/>
      <c r="J83" s="152" cm="1">
        <f t="array" ref="J83">Scope3_Equations.VEERG_15_1_1_1__1_EmissionsFromPurchasedLivestock(E83,H83,IF(I83, I83,$E$76))</f>
        <v>0</v>
      </c>
      <c r="K83" s="75"/>
      <c r="L83" s="37"/>
      <c r="M83" s="75"/>
    </row>
    <row r="84" spans="4:13" ht="20.100000000000001" customHeight="1" x14ac:dyDescent="0.25">
      <c r="D84" s="39">
        <v>0</v>
      </c>
      <c r="E84" s="39">
        <v>0</v>
      </c>
      <c r="F84" s="39">
        <v>0</v>
      </c>
      <c r="G84" s="152" cm="1">
        <f t="array" ref="G84">Scope3_Equations.VEERG_15_1_1_1__1_EmissionsFromPurchasedLivestock(E84,F84,$E$76)</f>
        <v>0</v>
      </c>
      <c r="H84" s="39">
        <v>0</v>
      </c>
      <c r="I84" s="58"/>
      <c r="J84" s="152" cm="1">
        <f t="array" ref="J84">Scope3_Equations.VEERG_15_1_1_1__1_EmissionsFromPurchasedLivestock(E84,H84,IF(I84, I84,$E$76))</f>
        <v>0</v>
      </c>
      <c r="K84" s="75"/>
      <c r="L84" s="37"/>
      <c r="M84" s="75"/>
    </row>
    <row r="85" spans="4:13" ht="20.100000000000001" customHeight="1" x14ac:dyDescent="0.25">
      <c r="D85" s="39">
        <v>0</v>
      </c>
      <c r="E85" s="39">
        <v>0</v>
      </c>
      <c r="F85" s="39">
        <v>0</v>
      </c>
      <c r="G85" s="152" cm="1">
        <f t="array" ref="G85">Scope3_Equations.VEERG_15_1_1_1__1_EmissionsFromPurchasedLivestock(E85,F85,$E$76)</f>
        <v>0</v>
      </c>
      <c r="H85" s="39">
        <v>0</v>
      </c>
      <c r="I85" s="58"/>
      <c r="J85" s="152" cm="1">
        <f t="array" ref="J85">Scope3_Equations.VEERG_15_1_1_1__1_EmissionsFromPurchasedLivestock(E85,H85,IF(I85, I85,$E$76))</f>
        <v>0</v>
      </c>
      <c r="K85" s="75"/>
      <c r="L85" s="37"/>
      <c r="M85" s="75"/>
    </row>
    <row r="86" spans="4:13" ht="20.100000000000001" customHeight="1" x14ac:dyDescent="0.25">
      <c r="D86" s="39">
        <v>0</v>
      </c>
      <c r="E86" s="39">
        <v>0</v>
      </c>
      <c r="F86" s="39">
        <v>0</v>
      </c>
      <c r="G86" s="152" cm="1">
        <f t="array" ref="G86">Scope3_Equations.VEERG_15_1_1_1__1_EmissionsFromPurchasedLivestock(E86,F86,$E$76)</f>
        <v>0</v>
      </c>
      <c r="H86" s="39">
        <v>0</v>
      </c>
      <c r="I86" s="58"/>
      <c r="J86" s="152" cm="1">
        <f t="array" ref="J86">Scope3_Equations.VEERG_15_1_1_1__1_EmissionsFromPurchasedLivestock(E86,H86,IF(I86, I86,$E$76))</f>
        <v>0</v>
      </c>
      <c r="K86" s="75"/>
      <c r="L86" s="37"/>
      <c r="M86" s="75"/>
    </row>
    <row r="87" spans="4:13" ht="20.100000000000001" customHeight="1" x14ac:dyDescent="0.25">
      <c r="D87" s="39">
        <v>0</v>
      </c>
      <c r="E87" s="39">
        <v>0</v>
      </c>
      <c r="F87" s="39">
        <v>0</v>
      </c>
      <c r="G87" s="152" cm="1">
        <f t="array" ref="G87">Scope3_Equations.VEERG_15_1_1_1__1_EmissionsFromPurchasedLivestock(E87,F87,$E$76)</f>
        <v>0</v>
      </c>
      <c r="H87" s="39">
        <v>0</v>
      </c>
      <c r="I87" s="58"/>
      <c r="J87" s="152" cm="1">
        <f t="array" ref="J87">Scope3_Equations.VEERG_15_1_1_1__1_EmissionsFromPurchasedLivestock(E87,H87,IF(I87, I87,$E$76))</f>
        <v>0</v>
      </c>
      <c r="K87" s="75"/>
      <c r="L87" s="37"/>
      <c r="M87" s="75"/>
    </row>
    <row r="88" spans="4:13" ht="20.100000000000001" customHeight="1" x14ac:dyDescent="0.25">
      <c r="D88" s="39">
        <v>0</v>
      </c>
      <c r="E88" s="39">
        <v>0</v>
      </c>
      <c r="F88" s="39">
        <v>0</v>
      </c>
      <c r="G88" s="152" cm="1">
        <f t="array" ref="G88">Scope3_Equations.VEERG_15_1_1_1__1_EmissionsFromPurchasedLivestock(E88,F88,$E$76)</f>
        <v>0</v>
      </c>
      <c r="H88" s="39">
        <v>0</v>
      </c>
      <c r="I88" s="58"/>
      <c r="J88" s="152" cm="1">
        <f t="array" ref="J88">Scope3_Equations.VEERG_15_1_1_1__1_EmissionsFromPurchasedLivestock(E88,H88,IF(I88, I88,$E$76))</f>
        <v>0</v>
      </c>
      <c r="K88" s="75"/>
      <c r="L88" s="37"/>
      <c r="M88" s="75"/>
    </row>
    <row r="89" spans="4:13" ht="20.100000000000001" customHeight="1" x14ac:dyDescent="0.25"/>
    <row r="90" spans="4:13" ht="20.100000000000001" customHeight="1" x14ac:dyDescent="0.25">
      <c r="D90" s="179" t="s">
        <v>684</v>
      </c>
      <c r="E90" s="92">
        <f>SUM(G79:G88)</f>
        <v>0.36720000000000003</v>
      </c>
      <c r="F90" s="180" t="str">
        <f>$E$11</f>
        <v>t CO2e</v>
      </c>
    </row>
    <row r="91" spans="4:13" ht="20.100000000000001" customHeight="1" x14ac:dyDescent="0.25">
      <c r="D91" s="179" t="s">
        <v>685</v>
      </c>
      <c r="E91" s="92">
        <f>SUM(J79:J88)</f>
        <v>0.35940000000000005</v>
      </c>
      <c r="F91" s="180" t="str">
        <f>$E$11</f>
        <v>t CO2e</v>
      </c>
    </row>
    <row r="92" spans="4:13" ht="20.100000000000001" customHeight="1" x14ac:dyDescent="0.25"/>
    <row r="93" spans="4:13" ht="20.100000000000001" customHeight="1" x14ac:dyDescent="0.25">
      <c r="D93" s="181" t="s">
        <v>674</v>
      </c>
      <c r="E93" s="182">
        <f>E34+E53+E72+E90</f>
        <v>1570.5932</v>
      </c>
      <c r="F93" s="183" t="str">
        <f>$E$11</f>
        <v>t CO2e</v>
      </c>
    </row>
    <row r="94" spans="4:13" ht="20.100000000000001" customHeight="1" x14ac:dyDescent="0.25">
      <c r="D94" s="181" t="s">
        <v>676</v>
      </c>
      <c r="E94" s="182">
        <f>E35+E54+E73+E91</f>
        <v>1503.8644000000002</v>
      </c>
      <c r="F94" s="183" t="str">
        <f>$E$11</f>
        <v>t CO2e</v>
      </c>
    </row>
    <row r="95" spans="4:13" ht="20.100000000000001" customHeight="1" x14ac:dyDescent="0.25"/>
    <row r="96" spans="4:13" ht="20.100000000000001" customHeight="1" x14ac:dyDescent="0.25"/>
    <row r="97" spans="3:41" ht="20.100000000000001" customHeight="1" x14ac:dyDescent="0.25">
      <c r="C97" s="92"/>
      <c r="D97" s="92"/>
      <c r="E97" s="92"/>
      <c r="F97" s="92"/>
      <c r="G97" s="92"/>
      <c r="H97" s="92"/>
      <c r="I97" s="92"/>
      <c r="J97" s="92"/>
      <c r="K97" s="92"/>
      <c r="L97" s="92"/>
      <c r="M97" s="92"/>
      <c r="N97" s="92"/>
      <c r="O97" s="92"/>
      <c r="P97" s="92"/>
      <c r="Q97" s="92"/>
      <c r="R97" s="92"/>
      <c r="S97" s="92"/>
      <c r="T97" s="92"/>
      <c r="U97" s="92"/>
      <c r="V97" s="92"/>
      <c r="W97" s="92"/>
      <c r="X97" s="92"/>
      <c r="Y97" s="92"/>
      <c r="Z97" s="92"/>
      <c r="AA97" s="92"/>
      <c r="AB97" s="92"/>
      <c r="AC97" s="92"/>
      <c r="AD97" s="92"/>
      <c r="AE97" s="92"/>
      <c r="AF97" s="92"/>
      <c r="AG97" s="92"/>
      <c r="AH97" s="92"/>
      <c r="AI97" s="92"/>
      <c r="AJ97" s="92"/>
      <c r="AK97" s="92"/>
      <c r="AL97" s="92"/>
      <c r="AM97" s="92"/>
      <c r="AN97" s="92"/>
      <c r="AO97" s="92"/>
    </row>
    <row r="98" spans="3:41" ht="20.100000000000001" customHeight="1" x14ac:dyDescent="0.25">
      <c r="D98" s="9" t="str" cm="1">
        <f t="array" ref="D98">Scope3_Equations.VEERG_15_2_1_1__1_EmissionsFromPurchasedFeed_Title()</f>
        <v>Emissions from purchased feed</v>
      </c>
    </row>
    <row r="99" spans="3:41" ht="20.100000000000001" customHeight="1" x14ac:dyDescent="0.25">
      <c r="D99" s="11" t="str" cm="1">
        <f t="array" ref="D99">Scope3_Equations.VEERG_15_2_1_1__1_EmissionsFromPurchasedFeed_Source()</f>
        <v>VEERG 2026: 15.2.1.1, Equation (1)</v>
      </c>
    </row>
    <row r="100" spans="3:41" ht="20.100000000000001" customHeight="1" x14ac:dyDescent="0.25">
      <c r="D100" s="178" t="s">
        <v>667</v>
      </c>
      <c r="E100" s="178" t="str" cm="1">
        <f t="array" aca="1" ref="E100" ca="1">Common_InputFunctions.Utility_DisplayFunctionName(G119)</f>
        <v>=Scope3_Equations.VEERG_15_2_1_1__1_EmissionsFromPurchasedFeed</v>
      </c>
    </row>
    <row r="101" spans="3:41" ht="20.100000000000001" customHeight="1" x14ac:dyDescent="0.25"/>
    <row r="102" spans="3:41" ht="20.100000000000001" customHeight="1" x14ac:dyDescent="0.25">
      <c r="H102" s="178"/>
    </row>
    <row r="103" spans="3:41" ht="20.100000000000001" customHeight="1" x14ac:dyDescent="0.25">
      <c r="D103" s="24" t="s">
        <v>668</v>
      </c>
      <c r="E103" s="8" t="str" cm="1">
        <f t="array" ref="E103">Scope3_Equations.VEERG_15_2_1_1__1_EmissionsFromPurchasedFeed_Variable()</f>
        <v>E</v>
      </c>
    </row>
    <row r="104" spans="3:41" ht="20.100000000000001" customHeight="1" x14ac:dyDescent="0.25">
      <c r="D104" s="24" t="s">
        <v>97</v>
      </c>
      <c r="E104" s="13" t="str" cm="1">
        <f t="array" ref="E104">Scope3_Equations.VEERG_15_2_1_1__1_EmissionsFromPurchasedFeed_Unit()</f>
        <v>t CO2e</v>
      </c>
    </row>
    <row r="105" spans="3:41" ht="20.100000000000001" customHeight="1" x14ac:dyDescent="0.25"/>
    <row r="106" spans="3:41" ht="20.100000000000001" customHeight="1" x14ac:dyDescent="0.25">
      <c r="D106" s="174" t="str" cm="1">
        <f t="array" ref="D106:E108">_xlfn.CHOOSECOLS(Scope3_Equations.VEERG_15_2_1_1__1_EmissionsFromPurchasedFeed_Arguments(),1,2)</f>
        <v>Q_j</v>
      </c>
      <c r="E106" s="177" t="str">
        <v>quantity of feed type j purchased</v>
      </c>
      <c r="F106" s="173"/>
      <c r="G106" s="174" t="str" cm="1">
        <f t="array" ref="G106:H108">_xlfn.CHOOSECOLS(Scope3_Equations.VEERG_15_2_1_1__1_EmissionsFromPurchasedFeed_Arguments(),3,4)</f>
        <v>t</v>
      </c>
      <c r="H106" s="175" t="str">
        <v>Input</v>
      </c>
    </row>
    <row r="107" spans="3:41" ht="20.100000000000001" customHeight="1" x14ac:dyDescent="0.25">
      <c r="D107" s="174" t="str">
        <v>EF_j</v>
      </c>
      <c r="E107" s="177" t="str">
        <v>emission factor of purchased feed</v>
      </c>
      <c r="F107" s="173"/>
      <c r="G107" s="174" t="str">
        <v>kg CO2e/kg</v>
      </c>
      <c r="H107" s="175" t="str">
        <v>Constant</v>
      </c>
    </row>
    <row r="108" spans="3:41" ht="20.100000000000001" customHeight="1" x14ac:dyDescent="0.25">
      <c r="D108" s="174" t="str">
        <v>j</v>
      </c>
      <c r="E108" s="177" t="str">
        <v>feed type</v>
      </c>
      <c r="F108" s="173"/>
      <c r="G108" s="174" t="str">
        <v/>
      </c>
      <c r="H108" s="176" t="str">
        <v>Input</v>
      </c>
    </row>
    <row r="109" spans="3:41" ht="20.100000000000001" customHeight="1" x14ac:dyDescent="0.25"/>
    <row r="110" spans="3:41" ht="20.100000000000001" customHeight="1" x14ac:dyDescent="0.25">
      <c r="D110" s="143" t="s">
        <v>318</v>
      </c>
    </row>
    <row r="111" spans="3:41" ht="20.100000000000001" customHeight="1" x14ac:dyDescent="0.25"/>
    <row r="112" spans="3:41" ht="20.100000000000001" customHeight="1" x14ac:dyDescent="0.25">
      <c r="D112" s="29" t="s">
        <v>678</v>
      </c>
      <c r="E112" s="31"/>
      <c r="F112" s="29"/>
      <c r="G112" s="30"/>
      <c r="H112" s="31"/>
    </row>
    <row r="113" spans="4:28" ht="20.100000000000001" customHeight="1" x14ac:dyDescent="0.25">
      <c r="D113" s="81" t="s">
        <v>679</v>
      </c>
      <c r="E113" s="83"/>
      <c r="F113" s="81"/>
      <c r="G113" s="82"/>
      <c r="H113" s="83"/>
    </row>
    <row r="114" spans="4:28" ht="20.100000000000001" customHeight="1" x14ac:dyDescent="0.25">
      <c r="D114" s="33" t="s">
        <v>680</v>
      </c>
      <c r="E114" s="35"/>
      <c r="F114" s="33"/>
      <c r="G114" s="34"/>
      <c r="H114" s="35"/>
    </row>
    <row r="115" spans="4:28" ht="20.100000000000001" customHeight="1" x14ac:dyDescent="0.25"/>
    <row r="116" spans="4:28" ht="20.100000000000001" customHeight="1" x14ac:dyDescent="0.25">
      <c r="D116" s="89" t="s">
        <v>432</v>
      </c>
      <c r="E116" s="105"/>
      <c r="F116" s="90"/>
    </row>
    <row r="117" spans="4:28" ht="20.100000000000001" customHeight="1" x14ac:dyDescent="0.25"/>
    <row r="118" spans="4:28" ht="20.100000000000001" customHeight="1" x14ac:dyDescent="0.25">
      <c r="D118" s="36" t="s">
        <v>436</v>
      </c>
      <c r="E118" s="36" t="s">
        <v>673</v>
      </c>
      <c r="F118" s="49" t="s">
        <v>677</v>
      </c>
      <c r="G118" s="49" t="s">
        <v>674</v>
      </c>
      <c r="H118" s="36" t="s">
        <v>675</v>
      </c>
      <c r="I118" s="49" t="s">
        <v>676</v>
      </c>
      <c r="J118" s="36" t="s">
        <v>670</v>
      </c>
      <c r="K118" s="36" t="s">
        <v>671</v>
      </c>
      <c r="L118" s="36" t="s">
        <v>672</v>
      </c>
      <c r="M118" s="49" t="s">
        <v>175</v>
      </c>
      <c r="N118" s="49" t="s">
        <v>415</v>
      </c>
      <c r="O118" s="49" t="s">
        <v>176</v>
      </c>
      <c r="P118" s="49" t="s">
        <v>374</v>
      </c>
      <c r="Q118" s="49" t="s">
        <v>177</v>
      </c>
      <c r="R118" s="49" t="s">
        <v>433</v>
      </c>
      <c r="S118" s="49" t="s">
        <v>178</v>
      </c>
      <c r="T118" s="49" t="s">
        <v>378</v>
      </c>
      <c r="U118" s="49" t="s">
        <v>179</v>
      </c>
      <c r="V118" s="49" t="s">
        <v>434</v>
      </c>
      <c r="W118" s="49" t="s">
        <v>180</v>
      </c>
      <c r="X118" s="49" t="s">
        <v>379</v>
      </c>
      <c r="Y118" s="49" t="s">
        <v>181</v>
      </c>
      <c r="Z118" s="49" t="s">
        <v>435</v>
      </c>
      <c r="AA118" s="49" t="s">
        <v>182</v>
      </c>
      <c r="AB118" s="49" t="s">
        <v>380</v>
      </c>
    </row>
    <row r="119" spans="4:28" ht="20.100000000000001" customHeight="1" x14ac:dyDescent="0.25">
      <c r="D119" s="39" cm="1">
        <f t="array" ref="D119:D128">IFERROR(INDEX(Table_Input_FeedBlends[Feed blend name], _xlfn.SEQUENCE(10)), "")</f>
        <v>0</v>
      </c>
      <c r="E119" s="39" cm="1">
        <f t="array" ref="E119:E128">IFERROR(INDEX(Table_Input_FeedBlends[Amount fed (kg)], _xlfn.SEQUENCE(10)), "")</f>
        <v>1200</v>
      </c>
      <c r="F119" s="39">
        <f>IFERROR((O119*P119)+(S119*T119)+(W119*X119)+(AA119*AB119), 0)</f>
        <v>4.3399999999999994E-2</v>
      </c>
      <c r="G119" s="152" cm="1">
        <f t="array" ref="G119">Scope3_Equations.VEERG_15_2_1_1__1_EmissionsFromPurchasedFeed(E119,F119)</f>
        <v>52.079999999999991</v>
      </c>
      <c r="H119" s="58">
        <v>0.04</v>
      </c>
      <c r="I119" s="152" cm="1">
        <f t="array" ref="I119">Scope3_Equations.VEERG_15_2_1_1__1_EmissionsFromPurchasedFeed(E119,IF(H119,H119, F119))</f>
        <v>48</v>
      </c>
      <c r="J119" s="75"/>
      <c r="K119" s="37"/>
      <c r="L119" s="168"/>
      <c r="M119" s="39" t="str" cm="1">
        <f t="array" ref="M119:M128">IFERROR(INDEX(Table_Input_FeedBlends[Ingredient 1 (select)], _xlfn.SEQUENCE(10)), "")</f>
        <v>Oaten hay</v>
      </c>
      <c r="N119" s="39" t="str" cm="1">
        <f t="array" ref="N119:N128">IFERROR(INDEX(Table_Input_FeedBlends[Ingredient 1 source region], _xlfn.SEQUENCE(10)), "")</f>
        <v>WA</v>
      </c>
      <c r="O119" s="39" cm="1">
        <f t="array" ref="O119:O128">IFERROR(INDEX(Table_Input_FeedBlends[Ingredient 1 percent], _xlfn.SEQUENCE(10)), "")</f>
        <v>0.35</v>
      </c>
      <c r="P119" s="39" cm="1">
        <f t="array" ref="P119">_xlfn.LET(_xlpm.result, Common_InputFunctions.Utility_LookupValueInTableTwoColumns(M119, N119, Table_SourceData_Scope3_Feed[Product], Table_SourceData_Scope3_Feed[Region of origin], Table_SourceData_Scope3_Feed[AusLCI Emissions intensity]), IF(_xlpm.result="", 0, _xlpm.result))</f>
        <v>0.124</v>
      </c>
      <c r="Q119" s="39" t="str" cm="1">
        <f t="array" ref="Q119:Q128">IFERROR(INDEX(Table_Input_FeedBlends[Ingredient 2 (select)], _xlfn.SEQUENCE(10)), "")</f>
        <v>Sardines (whole)</v>
      </c>
      <c r="R119" s="39" t="str" cm="1">
        <f t="array" ref="R119:R128">IFERROR(INDEX(Table_Input_FeedBlends[Ingredient 2 source region], _xlfn.SEQUENCE(10)), "")</f>
        <v>SA</v>
      </c>
      <c r="S119" s="39" cm="1">
        <f t="array" ref="S119:S128">IFERROR(INDEX(Table_Input_FeedBlends[Ingredient 2 percent], _xlfn.SEQUENCE(10)), "")</f>
        <v>0.22</v>
      </c>
      <c r="T119" s="39" cm="1">
        <f t="array" ref="T119">_xlfn.LET(_xlpm.result, Common_InputFunctions.Utility_LookupValueInTableTwoColumns(Q119, _xlfn.IFS(Q119="Urea", IF(#REF!="", "Global",#REF!), Q119="Ammonia", IF(#REF!="", "Global",#REF!), TRUE, "Global"), Table_SourceData_Scope3_InorganicFertiliser[Chemical compound],Table_SourceData_Scope3_InorganicFertiliser[Region of origin],Table_SourceData_Scope3_InorganicFertiliser[AusLCI Emissions intensity]), IF(_xlpm.result="", 0, _xlpm.result))</f>
        <v>0</v>
      </c>
      <c r="U119" s="39" t="str" cm="1">
        <f t="array" ref="U119:U128">IFERROR(INDEX(Table_Input_FeedBlends[Ingredient 3 (select)], _xlfn.SEQUENCE(10)), "")</f>
        <v>Canola oil</v>
      </c>
      <c r="V119" s="39" t="str" cm="1">
        <f t="array" ref="V119:V128">IFERROR(INDEX(Table_Input_FeedBlends[Ingredient 3 source region], _xlfn.SEQUENCE(10)), "")</f>
        <v>Australia</v>
      </c>
      <c r="W119" s="39" cm="1">
        <f t="array" ref="W119:W128">IFERROR(INDEX(Table_Input_FeedBlends[Ingredient 3 percent], _xlfn.SEQUENCE(10)), "")</f>
        <v>0.12</v>
      </c>
      <c r="X119" s="39" cm="1">
        <f t="array" ref="X119">_xlfn.LET(_xlpm.result, Common_InputFunctions.Utility_LookupValueInTableTwoColumns(U119, _xlfn.IFS(U119="Urea", IF(#REF!="", "Global",#REF!), U119="Ammonia", IF(#REF!="", "Global",#REF!), TRUE, "Global"), Table_SourceData_Scope3_InorganicFertiliser[Chemical compound],Table_SourceData_Scope3_InorganicFertiliser[Region of origin],Table_SourceData_Scope3_InorganicFertiliser[AusLCI Emissions intensity]), IF(_xlpm.result="", 0, _xlpm.result))</f>
        <v>0</v>
      </c>
      <c r="Y119" s="39" t="str" cm="1">
        <f t="array" ref="Y119:Y128">IFERROR(INDEX(Table_Input_FeedBlends[Ingredient 4 (select)], _xlfn.SEQUENCE(10)), "")</f>
        <v>Molasses</v>
      </c>
      <c r="Z119" s="39" t="str" cm="1">
        <f t="array" ref="Z119:Z128">IFERROR(INDEX(Table_Input_FeedBlends[Ingredient 4 source region], _xlfn.SEQUENCE(10)), "")</f>
        <v>QLD</v>
      </c>
      <c r="AA119" s="39" cm="1">
        <f t="array" ref="AA119:AA128">IFERROR(INDEX(Table_Input_FeedBlends[Ingredient 4 percent], _xlfn.SEQUENCE(10)), "")</f>
        <v>0.05</v>
      </c>
      <c r="AB119" s="39" cm="1">
        <f t="array" ref="AB119">_xlfn.LET(_xlpm.result, Common_InputFunctions.Utility_LookupValueInTableTwoColumns(Y119, _xlfn.IFS(Y119="Urea", IF(#REF!="", "Global",#REF!), Y119="Ammonia", IF(#REF!="", "Global",#REF!), TRUE, "Global"), Table_SourceData_Scope3_InorganicFertiliser[Chemical compound],Table_SourceData_Scope3_InorganicFertiliser[Region of origin],Table_SourceData_Scope3_InorganicFertiliser[AusLCI Emissions intensity]), IF(_xlpm.result="", 0, _xlpm.result))</f>
        <v>0</v>
      </c>
    </row>
    <row r="120" spans="4:28" ht="20.100000000000001" customHeight="1" x14ac:dyDescent="0.25">
      <c r="D120" s="39">
        <v>0</v>
      </c>
      <c r="E120" s="39">
        <v>3456</v>
      </c>
      <c r="F120" s="39">
        <f>IFERROR((O120*P120)+(S120*T120)+(W120*X120)+(AA120*AB120), 0)</f>
        <v>2.7800000000000005E-2</v>
      </c>
      <c r="G120" s="152" cm="1">
        <f t="array" ref="G120">Scope3_Equations.VEERG_15_2_1_1__1_EmissionsFromPurchasedFeed(E120,F120)</f>
        <v>96.07680000000002</v>
      </c>
      <c r="H120" s="58">
        <v>0.03</v>
      </c>
      <c r="I120" s="152" cm="1">
        <f t="array" ref="I120">Scope3_Equations.VEERG_15_2_1_1__1_EmissionsFromPurchasedFeed(E120,IF(H120,H120, F120))</f>
        <v>103.67999999999999</v>
      </c>
      <c r="J120" s="75"/>
      <c r="K120" s="37"/>
      <c r="L120" s="75"/>
      <c r="M120" s="39" t="str">
        <v>Cereal hay</v>
      </c>
      <c r="N120" s="39" t="str">
        <v>TAS</v>
      </c>
      <c r="O120" s="39">
        <v>0.2</v>
      </c>
      <c r="P120" s="39" cm="1">
        <f t="array" ref="P120">_xlfn.LET(_xlpm.result, Common_InputFunctions.Utility_LookupValueInTableTwoColumns(M120, N120, Table_SourceData_Scope3_Feed[Product], Table_SourceData_Scope3_Feed[Region of origin], Table_SourceData_Scope3_Feed[AusLCI Emissions intensity]), IF(_xlpm.result="", 0, _xlpm.result))</f>
        <v>0.13900000000000001</v>
      </c>
      <c r="Q120" s="39" t="str">
        <v>Lucerne hay</v>
      </c>
      <c r="R120" s="39" t="str">
        <v>NSW</v>
      </c>
      <c r="S120" s="39">
        <v>0.2</v>
      </c>
      <c r="T120" s="39" cm="1">
        <f t="array" ref="T120">_xlfn.LET(_xlpm.result, Common_InputFunctions.Utility_LookupValueInTableTwoColumns(Q120, _xlfn.IFS(Q120="Urea", IF(#REF!="", "Global",#REF!), Q120="Ammonia", IF(#REF!="", "Global",#REF!), TRUE, "Global"), Table_SourceData_Scope3_InorganicFertiliser[Chemical compound],Table_SourceData_Scope3_InorganicFertiliser[Region of origin],Table_SourceData_Scope3_InorganicFertiliser[AusLCI Emissions intensity]), IF(_xlpm.result="", 0, _xlpm.result))</f>
        <v>0</v>
      </c>
      <c r="U120" s="39">
        <v>0</v>
      </c>
      <c r="V120" s="39">
        <v>0</v>
      </c>
      <c r="W120" s="39">
        <v>0</v>
      </c>
      <c r="X120" s="39" cm="1">
        <f t="array" ref="X120">_xlfn.LET(_xlpm.result, Common_InputFunctions.Utility_LookupValueInTableTwoColumns(U120, _xlfn.IFS(U120="Urea", IF(#REF!="", "Global",#REF!), U120="Ammonia", IF(#REF!="", "Global",#REF!), TRUE, "Global"), Table_SourceData_Scope3_InorganicFertiliser[Chemical compound],Table_SourceData_Scope3_InorganicFertiliser[Region of origin],Table_SourceData_Scope3_InorganicFertiliser[AusLCI Emissions intensity]), IF(_xlpm.result="", 0, _xlpm.result))</f>
        <v>0</v>
      </c>
      <c r="Y120" s="39">
        <v>0</v>
      </c>
      <c r="Z120" s="39">
        <v>0</v>
      </c>
      <c r="AA120" s="39">
        <v>0</v>
      </c>
      <c r="AB120" s="39" cm="1">
        <f t="array" ref="AB120">_xlfn.LET(_xlpm.result, Common_InputFunctions.Utility_LookupValueInTableTwoColumns(Y120, _xlfn.IFS(Y120="Urea", IF(#REF!="", "Global",#REF!), Y120="Ammonia", IF(#REF!="", "Global",#REF!), TRUE, "Global"), Table_SourceData_Scope3_InorganicFertiliser[Chemical compound],Table_SourceData_Scope3_InorganicFertiliser[Region of origin],Table_SourceData_Scope3_InorganicFertiliser[AusLCI Emissions intensity]), IF(_xlpm.result="", 0, _xlpm.result))</f>
        <v>0</v>
      </c>
    </row>
    <row r="121" spans="4:28" ht="20.100000000000001" customHeight="1" x14ac:dyDescent="0.25">
      <c r="D121" s="39" t="str">
        <v>Hay bales in paddock</v>
      </c>
      <c r="E121" s="39">
        <v>300</v>
      </c>
      <c r="F121" s="39">
        <f>IFERROR((O121*P121)+(S121*T121)+(W121*X121)+(AA121*AB121), 0)</f>
        <v>0.14880000000000002</v>
      </c>
      <c r="G121" s="152" cm="1">
        <f t="array" ref="G121">Scope3_Equations.VEERG_15_2_1_1__1_EmissionsFromPurchasedFeed(E121,F121)</f>
        <v>44.640000000000008</v>
      </c>
      <c r="H121" s="58">
        <v>0.14000000000000001</v>
      </c>
      <c r="I121" s="152" cm="1">
        <f t="array" ref="I121">Scope3_Equations.VEERG_15_2_1_1__1_EmissionsFromPurchasedFeed(E121,IF(H121,H121, F121))</f>
        <v>42.000000000000007</v>
      </c>
      <c r="J121" s="75"/>
      <c r="K121" s="37"/>
      <c r="L121" s="75"/>
      <c r="M121" s="39" t="str">
        <v>Maize grain</v>
      </c>
      <c r="N121" s="39" t="str">
        <v>QLD</v>
      </c>
      <c r="O121" s="39">
        <v>0.8</v>
      </c>
      <c r="P121" s="39" cm="1">
        <f t="array" ref="P121">_xlfn.LET(_xlpm.result, Common_InputFunctions.Utility_LookupValueInTableTwoColumns(M121, N121, Table_SourceData_Scope3_Feed[Product], Table_SourceData_Scope3_Feed[Region of origin], Table_SourceData_Scope3_Feed[AusLCI Emissions intensity]), IF(_xlpm.result="", 0, _xlpm.result))</f>
        <v>0.186</v>
      </c>
      <c r="Q121" s="39" t="str">
        <v>Soybean meal</v>
      </c>
      <c r="R121" s="39" t="str">
        <v>Brazil</v>
      </c>
      <c r="S121" s="39">
        <v>0.2</v>
      </c>
      <c r="T121" s="39" cm="1">
        <f t="array" ref="T121">_xlfn.LET(_xlpm.result, Common_InputFunctions.Utility_LookupValueInTableTwoColumns(Q121, _xlfn.IFS(Q121="Urea", IF(#REF!="", "Global",#REF!), Q121="Ammonia", IF(#REF!="", "Global",#REF!), TRUE, "Global"), Table_SourceData_Scope3_InorganicFertiliser[Chemical compound],Table_SourceData_Scope3_InorganicFertiliser[Region of origin],Table_SourceData_Scope3_InorganicFertiliser[AusLCI Emissions intensity]), IF(_xlpm.result="", 0, _xlpm.result))</f>
        <v>0</v>
      </c>
      <c r="U121" s="39">
        <v>0</v>
      </c>
      <c r="V121" s="39">
        <v>0</v>
      </c>
      <c r="W121" s="39">
        <v>0</v>
      </c>
      <c r="X121" s="39" cm="1">
        <f t="array" ref="X121">_xlfn.LET(_xlpm.result, Common_InputFunctions.Utility_LookupValueInTableTwoColumns(U121, _xlfn.IFS(U121="Urea", IF(#REF!="", "Global",#REF!), U121="Ammonia", IF(#REF!="", "Global",#REF!), TRUE, "Global"), Table_SourceData_Scope3_InorganicFertiliser[Chemical compound],Table_SourceData_Scope3_InorganicFertiliser[Region of origin],Table_SourceData_Scope3_InorganicFertiliser[AusLCI Emissions intensity]), IF(_xlpm.result="", 0, _xlpm.result))</f>
        <v>0</v>
      </c>
      <c r="Y121" s="39">
        <v>0</v>
      </c>
      <c r="Z121" s="39">
        <v>0</v>
      </c>
      <c r="AA121" s="39">
        <v>0</v>
      </c>
      <c r="AB121" s="39" cm="1">
        <f t="array" ref="AB121">_xlfn.LET(_xlpm.result, Common_InputFunctions.Utility_LookupValueInTableTwoColumns(Y121, _xlfn.IFS(Y121="Urea", IF(#REF!="", "Global",#REF!), Y121="Ammonia", IF(#REF!="", "Global",#REF!), TRUE, "Global"), Table_SourceData_Scope3_InorganicFertiliser[Chemical compound],Table_SourceData_Scope3_InorganicFertiliser[Region of origin],Table_SourceData_Scope3_InorganicFertiliser[AusLCI Emissions intensity]), IF(_xlpm.result="", 0, _xlpm.result))</f>
        <v>0</v>
      </c>
    </row>
    <row r="122" spans="4:28" ht="20.100000000000001" customHeight="1" x14ac:dyDescent="0.25">
      <c r="D122" s="39">
        <v>0</v>
      </c>
      <c r="E122" s="39">
        <v>500</v>
      </c>
      <c r="F122" s="39">
        <f>IFERROR((O122*P122)+(S122*T122)+(W122*X122)+(AA122*AB122), 0)</f>
        <v>0.311</v>
      </c>
      <c r="G122" s="152" cm="1">
        <f t="array" ref="G122">Scope3_Equations.VEERG_15_2_1_1__1_EmissionsFromPurchasedFeed(E122,F122)</f>
        <v>155.5</v>
      </c>
      <c r="H122" s="58"/>
      <c r="I122" s="152" cm="1">
        <f t="array" ref="I122">Scope3_Equations.VEERG_15_2_1_1__1_EmissionsFromPurchasedFeed(E122,IF(H122,H122, F122))</f>
        <v>155.5</v>
      </c>
      <c r="J122" s="75"/>
      <c r="K122" s="37"/>
      <c r="L122" s="75"/>
      <c r="M122" s="39" t="str">
        <v>Pasture hay</v>
      </c>
      <c r="N122" s="39" t="str">
        <v>NSW</v>
      </c>
      <c r="O122" s="39">
        <v>1</v>
      </c>
      <c r="P122" s="39" cm="1">
        <f t="array" ref="P122">_xlfn.LET(_xlpm.result, Common_InputFunctions.Utility_LookupValueInTableTwoColumns(M122, N122, Table_SourceData_Scope3_Feed[Product], Table_SourceData_Scope3_Feed[Region of origin], Table_SourceData_Scope3_Feed[AusLCI Emissions intensity]), IF(_xlpm.result="", 0, _xlpm.result))</f>
        <v>0.311</v>
      </c>
      <c r="Q122" s="39">
        <v>0</v>
      </c>
      <c r="R122" s="39">
        <v>0</v>
      </c>
      <c r="S122" s="39">
        <v>0</v>
      </c>
      <c r="T122" s="39" cm="1">
        <f t="array" ref="T122">_xlfn.LET(_xlpm.result, Common_InputFunctions.Utility_LookupValueInTableTwoColumns(Q122, _xlfn.IFS(Q122="Urea", IF(#REF!="", "Global",#REF!), Q122="Ammonia", IF(#REF!="", "Global",#REF!), TRUE, "Global"), Table_SourceData_Scope3_InorganicFertiliser[Chemical compound],Table_SourceData_Scope3_InorganicFertiliser[Region of origin],Table_SourceData_Scope3_InorganicFertiliser[AusLCI Emissions intensity]), IF(_xlpm.result="", 0, _xlpm.result))</f>
        <v>0</v>
      </c>
      <c r="U122" s="39">
        <v>0</v>
      </c>
      <c r="V122" s="39">
        <v>0</v>
      </c>
      <c r="W122" s="39">
        <v>0</v>
      </c>
      <c r="X122" s="39" cm="1">
        <f t="array" ref="X122">_xlfn.LET(_xlpm.result, Common_InputFunctions.Utility_LookupValueInTableTwoColumns(U122, _xlfn.IFS(U122="Urea", IF(#REF!="", "Global",#REF!), U122="Ammonia", IF(#REF!="", "Global",#REF!), TRUE, "Global"), Table_SourceData_Scope3_InorganicFertiliser[Chemical compound],Table_SourceData_Scope3_InorganicFertiliser[Region of origin],Table_SourceData_Scope3_InorganicFertiliser[AusLCI Emissions intensity]), IF(_xlpm.result="", 0, _xlpm.result))</f>
        <v>0</v>
      </c>
      <c r="Y122" s="39">
        <v>0</v>
      </c>
      <c r="Z122" s="39">
        <v>0</v>
      </c>
      <c r="AA122" s="39">
        <v>0</v>
      </c>
      <c r="AB122" s="39" cm="1">
        <f t="array" ref="AB122">_xlfn.LET(_xlpm.result, Common_InputFunctions.Utility_LookupValueInTableTwoColumns(Y122, _xlfn.IFS(Y122="Urea", IF(#REF!="", "Global",#REF!), Y122="Ammonia", IF(#REF!="", "Global",#REF!), TRUE, "Global"), Table_SourceData_Scope3_InorganicFertiliser[Chemical compound],Table_SourceData_Scope3_InorganicFertiliser[Region of origin],Table_SourceData_Scope3_InorganicFertiliser[AusLCI Emissions intensity]), IF(_xlpm.result="", 0, _xlpm.result))</f>
        <v>0</v>
      </c>
    </row>
    <row r="123" spans="4:28" ht="20.100000000000001" customHeight="1" x14ac:dyDescent="0.25">
      <c r="D123" s="39">
        <v>0</v>
      </c>
      <c r="E123" s="39">
        <v>0</v>
      </c>
      <c r="F123" s="39">
        <f>IFERROR((O123*P123)+(S123*T123)+(W123*X123)+(AA123*AB123), 0)</f>
        <v>0</v>
      </c>
      <c r="G123" s="152" cm="1">
        <f t="array" ref="G123">Scope3_Equations.VEERG_15_2_1_1__1_EmissionsFromPurchasedFeed(E123,F123)</f>
        <v>0</v>
      </c>
      <c r="H123" s="58"/>
      <c r="I123" s="152" cm="1">
        <f t="array" ref="I123">Scope3_Equations.VEERG_15_2_1_1__1_EmissionsFromPurchasedFeed(E123,IF(H123,H123, F123))</f>
        <v>0</v>
      </c>
      <c r="J123" s="75"/>
      <c r="K123" s="37"/>
      <c r="L123" s="75"/>
      <c r="M123" s="39">
        <v>0</v>
      </c>
      <c r="N123" s="39">
        <v>0</v>
      </c>
      <c r="O123" s="39">
        <v>0</v>
      </c>
      <c r="P123" s="39" cm="1">
        <f t="array" ref="P123">_xlfn.LET(_xlpm.result, Common_InputFunctions.Utility_LookupValueInTableTwoColumns(M123, N123, Table_SourceData_Scope3_Feed[Product], Table_SourceData_Scope3_Feed[Region of origin], Table_SourceData_Scope3_Feed[AusLCI Emissions intensity]), IF(_xlpm.result="", 0, _xlpm.result))</f>
        <v>0</v>
      </c>
      <c r="Q123" s="39">
        <v>0</v>
      </c>
      <c r="R123" s="39">
        <v>0</v>
      </c>
      <c r="S123" s="39">
        <v>0</v>
      </c>
      <c r="T123" s="39" cm="1">
        <f t="array" ref="T123">_xlfn.LET(_xlpm.result, Common_InputFunctions.Utility_LookupValueInTableTwoColumns(Q123, _xlfn.IFS(Q123="Urea", IF(#REF!="", "Global",#REF!), Q123="Ammonia", IF(#REF!="", "Global",#REF!), TRUE, "Global"), Table_SourceData_Scope3_InorganicFertiliser[Chemical compound],Table_SourceData_Scope3_InorganicFertiliser[Region of origin],Table_SourceData_Scope3_InorganicFertiliser[AusLCI Emissions intensity]), IF(_xlpm.result="", 0, _xlpm.result))</f>
        <v>0</v>
      </c>
      <c r="U123" s="39">
        <v>0</v>
      </c>
      <c r="V123" s="39">
        <v>0</v>
      </c>
      <c r="W123" s="39">
        <v>0</v>
      </c>
      <c r="X123" s="39" cm="1">
        <f t="array" ref="X123">_xlfn.LET(_xlpm.result, Common_InputFunctions.Utility_LookupValueInTableTwoColumns(U123, _xlfn.IFS(U123="Urea", IF(#REF!="", "Global",#REF!), U123="Ammonia", IF(#REF!="", "Global",#REF!), TRUE, "Global"), Table_SourceData_Scope3_InorganicFertiliser[Chemical compound],Table_SourceData_Scope3_InorganicFertiliser[Region of origin],Table_SourceData_Scope3_InorganicFertiliser[AusLCI Emissions intensity]), IF(_xlpm.result="", 0, _xlpm.result))</f>
        <v>0</v>
      </c>
      <c r="Y123" s="39">
        <v>0</v>
      </c>
      <c r="Z123" s="39">
        <v>0</v>
      </c>
      <c r="AA123" s="39">
        <v>0</v>
      </c>
      <c r="AB123" s="39" cm="1">
        <f t="array" ref="AB123">_xlfn.LET(_xlpm.result, Common_InputFunctions.Utility_LookupValueInTableTwoColumns(Y123, _xlfn.IFS(Y123="Urea", IF(#REF!="", "Global",#REF!), Y123="Ammonia", IF(#REF!="", "Global",#REF!), TRUE, "Global"), Table_SourceData_Scope3_InorganicFertiliser[Chemical compound],Table_SourceData_Scope3_InorganicFertiliser[Region of origin],Table_SourceData_Scope3_InorganicFertiliser[AusLCI Emissions intensity]), IF(_xlpm.result="", 0, _xlpm.result))</f>
        <v>0</v>
      </c>
    </row>
    <row r="124" spans="4:28" ht="20.100000000000001" customHeight="1" x14ac:dyDescent="0.25">
      <c r="D124" s="39">
        <v>0</v>
      </c>
      <c r="E124" s="39">
        <v>0</v>
      </c>
      <c r="F124" s="39">
        <f>IFERROR((O124*P124)+(S124*T124)+(W124*X124)+(AA124*AB124), 0)</f>
        <v>0</v>
      </c>
      <c r="G124" s="152" cm="1">
        <f t="array" ref="G124">Scope3_Equations.VEERG_15_2_1_1__1_EmissionsFromPurchasedFeed(E124,F124)</f>
        <v>0</v>
      </c>
      <c r="H124" s="58"/>
      <c r="I124" s="152" cm="1">
        <f t="array" ref="I124">Scope3_Equations.VEERG_15_2_1_1__1_EmissionsFromPurchasedFeed(E124,IF(H124,H124, F124))</f>
        <v>0</v>
      </c>
      <c r="J124" s="75"/>
      <c r="K124" s="37"/>
      <c r="L124" s="75"/>
      <c r="M124" s="39">
        <v>0</v>
      </c>
      <c r="N124" s="39">
        <v>0</v>
      </c>
      <c r="O124" s="39">
        <v>0</v>
      </c>
      <c r="P124" s="39" cm="1">
        <f t="array" ref="P124">_xlfn.LET(_xlpm.result, Common_InputFunctions.Utility_LookupValueInTableTwoColumns(M124, N124, Table_SourceData_Scope3_Feed[Product], Table_SourceData_Scope3_Feed[Region of origin], Table_SourceData_Scope3_Feed[AusLCI Emissions intensity]), IF(_xlpm.result="", 0, _xlpm.result))</f>
        <v>0</v>
      </c>
      <c r="Q124" s="39">
        <v>0</v>
      </c>
      <c r="R124" s="39">
        <v>0</v>
      </c>
      <c r="S124" s="39">
        <v>0</v>
      </c>
      <c r="T124" s="39" cm="1">
        <f t="array" ref="T124">_xlfn.LET(_xlpm.result, Common_InputFunctions.Utility_LookupValueInTableTwoColumns(Q124, _xlfn.IFS(Q124="Urea", IF(#REF!="", "Global",#REF!), Q124="Ammonia", IF(#REF!="", "Global",#REF!), TRUE, "Global"), Table_SourceData_Scope3_InorganicFertiliser[Chemical compound],Table_SourceData_Scope3_InorganicFertiliser[Region of origin],Table_SourceData_Scope3_InorganicFertiliser[AusLCI Emissions intensity]), IF(_xlpm.result="", 0, _xlpm.result))</f>
        <v>0</v>
      </c>
      <c r="U124" s="39">
        <v>0</v>
      </c>
      <c r="V124" s="39">
        <v>0</v>
      </c>
      <c r="W124" s="39">
        <v>0</v>
      </c>
      <c r="X124" s="39" cm="1">
        <f t="array" ref="X124">_xlfn.LET(_xlpm.result, Common_InputFunctions.Utility_LookupValueInTableTwoColumns(U124, _xlfn.IFS(U124="Urea", IF(#REF!="", "Global",#REF!), U124="Ammonia", IF(#REF!="", "Global",#REF!), TRUE, "Global"), Table_SourceData_Scope3_InorganicFertiliser[Chemical compound],Table_SourceData_Scope3_InorganicFertiliser[Region of origin],Table_SourceData_Scope3_InorganicFertiliser[AusLCI Emissions intensity]), IF(_xlpm.result="", 0, _xlpm.result))</f>
        <v>0</v>
      </c>
      <c r="Y124" s="39">
        <v>0</v>
      </c>
      <c r="Z124" s="39">
        <v>0</v>
      </c>
      <c r="AA124" s="39">
        <v>0</v>
      </c>
      <c r="AB124" s="39" cm="1">
        <f t="array" ref="AB124">_xlfn.LET(_xlpm.result, Common_InputFunctions.Utility_LookupValueInTableTwoColumns(Y124, _xlfn.IFS(Y124="Urea", IF(#REF!="", "Global",#REF!), Y124="Ammonia", IF(#REF!="", "Global",#REF!), TRUE, "Global"), Table_SourceData_Scope3_InorganicFertiliser[Chemical compound],Table_SourceData_Scope3_InorganicFertiliser[Region of origin],Table_SourceData_Scope3_InorganicFertiliser[AusLCI Emissions intensity]), IF(_xlpm.result="", 0, _xlpm.result))</f>
        <v>0</v>
      </c>
    </row>
    <row r="125" spans="4:28" ht="20.100000000000001" customHeight="1" x14ac:dyDescent="0.25">
      <c r="D125" s="39">
        <v>0</v>
      </c>
      <c r="E125" s="39">
        <v>0</v>
      </c>
      <c r="F125" s="39">
        <f>IFERROR((O125*P125)+(S125*T125)+(W125*X125)+(AA125*AB125), 0)</f>
        <v>0</v>
      </c>
      <c r="G125" s="152" cm="1">
        <f t="array" ref="G125">Scope3_Equations.VEERG_15_2_1_1__1_EmissionsFromPurchasedFeed(E125,F125)</f>
        <v>0</v>
      </c>
      <c r="H125" s="58"/>
      <c r="I125" s="152" cm="1">
        <f t="array" ref="I125">Scope3_Equations.VEERG_15_2_1_1__1_EmissionsFromPurchasedFeed(E125,IF(H125,H125, F125))</f>
        <v>0</v>
      </c>
      <c r="J125" s="75"/>
      <c r="K125" s="37"/>
      <c r="L125" s="75"/>
      <c r="M125" s="39">
        <v>0</v>
      </c>
      <c r="N125" s="39">
        <v>0</v>
      </c>
      <c r="O125" s="39">
        <v>0</v>
      </c>
      <c r="P125" s="39" cm="1">
        <f t="array" ref="P125">_xlfn.LET(_xlpm.result, Common_InputFunctions.Utility_LookupValueInTableTwoColumns(M125, N125, Table_SourceData_Scope3_Feed[Product], Table_SourceData_Scope3_Feed[Region of origin], Table_SourceData_Scope3_Feed[AusLCI Emissions intensity]), IF(_xlpm.result="", 0, _xlpm.result))</f>
        <v>0</v>
      </c>
      <c r="Q125" s="39">
        <v>0</v>
      </c>
      <c r="R125" s="39">
        <v>0</v>
      </c>
      <c r="S125" s="39">
        <v>0</v>
      </c>
      <c r="T125" s="39" cm="1">
        <f t="array" ref="T125">_xlfn.LET(_xlpm.result, Common_InputFunctions.Utility_LookupValueInTableTwoColumns(Q125, _xlfn.IFS(Q125="Urea", IF(#REF!="", "Global",#REF!), Q125="Ammonia", IF(#REF!="", "Global",#REF!), TRUE, "Global"), Table_SourceData_Scope3_InorganicFertiliser[Chemical compound],Table_SourceData_Scope3_InorganicFertiliser[Region of origin],Table_SourceData_Scope3_InorganicFertiliser[AusLCI Emissions intensity]), IF(_xlpm.result="", 0, _xlpm.result))</f>
        <v>0</v>
      </c>
      <c r="U125" s="39">
        <v>0</v>
      </c>
      <c r="V125" s="39">
        <v>0</v>
      </c>
      <c r="W125" s="39">
        <v>0</v>
      </c>
      <c r="X125" s="39" cm="1">
        <f t="array" ref="X125">_xlfn.LET(_xlpm.result, Common_InputFunctions.Utility_LookupValueInTableTwoColumns(U125, _xlfn.IFS(U125="Urea", IF(#REF!="", "Global",#REF!), U125="Ammonia", IF(#REF!="", "Global",#REF!), TRUE, "Global"), Table_SourceData_Scope3_InorganicFertiliser[Chemical compound],Table_SourceData_Scope3_InorganicFertiliser[Region of origin],Table_SourceData_Scope3_InorganicFertiliser[AusLCI Emissions intensity]), IF(_xlpm.result="", 0, _xlpm.result))</f>
        <v>0</v>
      </c>
      <c r="Y125" s="39">
        <v>0</v>
      </c>
      <c r="Z125" s="39">
        <v>0</v>
      </c>
      <c r="AA125" s="39">
        <v>0</v>
      </c>
      <c r="AB125" s="39" cm="1">
        <f t="array" ref="AB125">_xlfn.LET(_xlpm.result, Common_InputFunctions.Utility_LookupValueInTableTwoColumns(Y125, _xlfn.IFS(Y125="Urea", IF(#REF!="", "Global",#REF!), Y125="Ammonia", IF(#REF!="", "Global",#REF!), TRUE, "Global"), Table_SourceData_Scope3_InorganicFertiliser[Chemical compound],Table_SourceData_Scope3_InorganicFertiliser[Region of origin],Table_SourceData_Scope3_InorganicFertiliser[AusLCI Emissions intensity]), IF(_xlpm.result="", 0, _xlpm.result))</f>
        <v>0</v>
      </c>
    </row>
    <row r="126" spans="4:28" ht="20.100000000000001" customHeight="1" x14ac:dyDescent="0.25">
      <c r="D126" s="39">
        <v>0</v>
      </c>
      <c r="E126" s="39">
        <v>0</v>
      </c>
      <c r="F126" s="39">
        <f>IFERROR((O126*P126)+(S126*T126)+(W126*X126)+(AA126*AB126), 0)</f>
        <v>0</v>
      </c>
      <c r="G126" s="152" cm="1">
        <f t="array" ref="G126">Scope3_Equations.VEERG_15_2_1_1__1_EmissionsFromPurchasedFeed(E126,F126)</f>
        <v>0</v>
      </c>
      <c r="H126" s="58"/>
      <c r="I126" s="152" cm="1">
        <f t="array" ref="I126">Scope3_Equations.VEERG_15_2_1_1__1_EmissionsFromPurchasedFeed(E126,IF(H126,H126, F126))</f>
        <v>0</v>
      </c>
      <c r="J126" s="75"/>
      <c r="K126" s="37"/>
      <c r="L126" s="75"/>
      <c r="M126" s="39">
        <v>0</v>
      </c>
      <c r="N126" s="39">
        <v>0</v>
      </c>
      <c r="O126" s="39">
        <v>0</v>
      </c>
      <c r="P126" s="39" cm="1">
        <f t="array" ref="P126">_xlfn.LET(_xlpm.result, Common_InputFunctions.Utility_LookupValueInTableTwoColumns(M126, N126, Table_SourceData_Scope3_Feed[Product], Table_SourceData_Scope3_Feed[Region of origin], Table_SourceData_Scope3_Feed[AusLCI Emissions intensity]), IF(_xlpm.result="", 0, _xlpm.result))</f>
        <v>0</v>
      </c>
      <c r="Q126" s="39">
        <v>0</v>
      </c>
      <c r="R126" s="39">
        <v>0</v>
      </c>
      <c r="S126" s="39">
        <v>0</v>
      </c>
      <c r="T126" s="39" cm="1">
        <f t="array" ref="T126">_xlfn.LET(_xlpm.result, Common_InputFunctions.Utility_LookupValueInTableTwoColumns(Q126, _xlfn.IFS(Q126="Urea", IF(#REF!="", "Global",#REF!), Q126="Ammonia", IF(#REF!="", "Global",#REF!), TRUE, "Global"), Table_SourceData_Scope3_InorganicFertiliser[Chemical compound],Table_SourceData_Scope3_InorganicFertiliser[Region of origin],Table_SourceData_Scope3_InorganicFertiliser[AusLCI Emissions intensity]), IF(_xlpm.result="", 0, _xlpm.result))</f>
        <v>0</v>
      </c>
      <c r="U126" s="39">
        <v>0</v>
      </c>
      <c r="V126" s="39">
        <v>0</v>
      </c>
      <c r="W126" s="39">
        <v>0</v>
      </c>
      <c r="X126" s="39" cm="1">
        <f t="array" ref="X126">_xlfn.LET(_xlpm.result, Common_InputFunctions.Utility_LookupValueInTableTwoColumns(U126, _xlfn.IFS(U126="Urea", IF(#REF!="", "Global",#REF!), U126="Ammonia", IF(#REF!="", "Global",#REF!), TRUE, "Global"), Table_SourceData_Scope3_InorganicFertiliser[Chemical compound],Table_SourceData_Scope3_InorganicFertiliser[Region of origin],Table_SourceData_Scope3_InorganicFertiliser[AusLCI Emissions intensity]), IF(_xlpm.result="", 0, _xlpm.result))</f>
        <v>0</v>
      </c>
      <c r="Y126" s="39">
        <v>0</v>
      </c>
      <c r="Z126" s="39">
        <v>0</v>
      </c>
      <c r="AA126" s="39">
        <v>0</v>
      </c>
      <c r="AB126" s="39" cm="1">
        <f t="array" ref="AB126">_xlfn.LET(_xlpm.result, Common_InputFunctions.Utility_LookupValueInTableTwoColumns(Y126, _xlfn.IFS(Y126="Urea", IF(#REF!="", "Global",#REF!), Y126="Ammonia", IF(#REF!="", "Global",#REF!), TRUE, "Global"), Table_SourceData_Scope3_InorganicFertiliser[Chemical compound],Table_SourceData_Scope3_InorganicFertiliser[Region of origin],Table_SourceData_Scope3_InorganicFertiliser[AusLCI Emissions intensity]), IF(_xlpm.result="", 0, _xlpm.result))</f>
        <v>0</v>
      </c>
    </row>
    <row r="127" spans="4:28" ht="20.100000000000001" customHeight="1" x14ac:dyDescent="0.25">
      <c r="D127" s="39">
        <v>0</v>
      </c>
      <c r="E127" s="39">
        <v>0</v>
      </c>
      <c r="F127" s="39">
        <f>IFERROR((O127*P127)+(S127*T127)+(W127*X127)+(AA127*AB127), 0)</f>
        <v>0</v>
      </c>
      <c r="G127" s="152" cm="1">
        <f t="array" ref="G127">Scope3_Equations.VEERG_15_2_1_1__1_EmissionsFromPurchasedFeed(E127,F127)</f>
        <v>0</v>
      </c>
      <c r="H127" s="58"/>
      <c r="I127" s="152" cm="1">
        <f t="array" ref="I127">Scope3_Equations.VEERG_15_2_1_1__1_EmissionsFromPurchasedFeed(E127,IF(H127,H127, F127))</f>
        <v>0</v>
      </c>
      <c r="J127" s="75"/>
      <c r="K127" s="37"/>
      <c r="L127" s="75"/>
      <c r="M127" s="39">
        <v>0</v>
      </c>
      <c r="N127" s="39">
        <v>0</v>
      </c>
      <c r="O127" s="39">
        <v>0</v>
      </c>
      <c r="P127" s="39" cm="1">
        <f t="array" ref="P127">_xlfn.LET(_xlpm.result, Common_InputFunctions.Utility_LookupValueInTableTwoColumns(M127, N127, Table_SourceData_Scope3_Feed[Product], Table_SourceData_Scope3_Feed[Region of origin], Table_SourceData_Scope3_Feed[AusLCI Emissions intensity]), IF(_xlpm.result="", 0, _xlpm.result))</f>
        <v>0</v>
      </c>
      <c r="Q127" s="39">
        <v>0</v>
      </c>
      <c r="R127" s="39">
        <v>0</v>
      </c>
      <c r="S127" s="39">
        <v>0</v>
      </c>
      <c r="T127" s="39" cm="1">
        <f t="array" ref="T127">_xlfn.LET(_xlpm.result, Common_InputFunctions.Utility_LookupValueInTableTwoColumns(Q127, _xlfn.IFS(Q127="Urea", IF(#REF!="", "Global",#REF!), Q127="Ammonia", IF(#REF!="", "Global",#REF!), TRUE, "Global"), Table_SourceData_Scope3_InorganicFertiliser[Chemical compound],Table_SourceData_Scope3_InorganicFertiliser[Region of origin],Table_SourceData_Scope3_InorganicFertiliser[AusLCI Emissions intensity]), IF(_xlpm.result="", 0, _xlpm.result))</f>
        <v>0</v>
      </c>
      <c r="U127" s="39">
        <v>0</v>
      </c>
      <c r="V127" s="39">
        <v>0</v>
      </c>
      <c r="W127" s="39">
        <v>0</v>
      </c>
      <c r="X127" s="39" cm="1">
        <f t="array" ref="X127">_xlfn.LET(_xlpm.result, Common_InputFunctions.Utility_LookupValueInTableTwoColumns(U127, _xlfn.IFS(U127="Urea", IF(#REF!="", "Global",#REF!), U127="Ammonia", IF(#REF!="", "Global",#REF!), TRUE, "Global"), Table_SourceData_Scope3_InorganicFertiliser[Chemical compound],Table_SourceData_Scope3_InorganicFertiliser[Region of origin],Table_SourceData_Scope3_InorganicFertiliser[AusLCI Emissions intensity]), IF(_xlpm.result="", 0, _xlpm.result))</f>
        <v>0</v>
      </c>
      <c r="Y127" s="39">
        <v>0</v>
      </c>
      <c r="Z127" s="39">
        <v>0</v>
      </c>
      <c r="AA127" s="39">
        <v>0</v>
      </c>
      <c r="AB127" s="39" cm="1">
        <f t="array" ref="AB127">_xlfn.LET(_xlpm.result, Common_InputFunctions.Utility_LookupValueInTableTwoColumns(Y127, _xlfn.IFS(Y127="Urea", IF(#REF!="", "Global",#REF!), Y127="Ammonia", IF(#REF!="", "Global",#REF!), TRUE, "Global"), Table_SourceData_Scope3_InorganicFertiliser[Chemical compound],Table_SourceData_Scope3_InorganicFertiliser[Region of origin],Table_SourceData_Scope3_InorganicFertiliser[AusLCI Emissions intensity]), IF(_xlpm.result="", 0, _xlpm.result))</f>
        <v>0</v>
      </c>
    </row>
    <row r="128" spans="4:28" ht="20.100000000000001" customHeight="1" x14ac:dyDescent="0.25">
      <c r="D128" s="39">
        <v>0</v>
      </c>
      <c r="E128" s="39">
        <v>0</v>
      </c>
      <c r="F128" s="39">
        <f>IFERROR((O128*P128)+(S128*T128)+(W128*X128)+(AA128*AB128), 0)</f>
        <v>0</v>
      </c>
      <c r="G128" s="152" cm="1">
        <f t="array" ref="G128">Scope3_Equations.VEERG_15_2_1_1__1_EmissionsFromPurchasedFeed(E128,F128)</f>
        <v>0</v>
      </c>
      <c r="H128" s="58"/>
      <c r="I128" s="152" cm="1">
        <f t="array" ref="I128">Scope3_Equations.VEERG_15_2_1_1__1_EmissionsFromPurchasedFeed(E128,IF(H128,H128, F128))</f>
        <v>0</v>
      </c>
      <c r="J128" s="75"/>
      <c r="K128" s="37"/>
      <c r="L128" s="75"/>
      <c r="M128" s="39">
        <v>0</v>
      </c>
      <c r="N128" s="39">
        <v>0</v>
      </c>
      <c r="O128" s="39">
        <v>0</v>
      </c>
      <c r="P128" s="39" cm="1">
        <f t="array" ref="P128">_xlfn.LET(_xlpm.result, Common_InputFunctions.Utility_LookupValueInTableTwoColumns(M128, N128, Table_SourceData_Scope3_Feed[Product], Table_SourceData_Scope3_Feed[Region of origin], Table_SourceData_Scope3_Feed[AusLCI Emissions intensity]), IF(_xlpm.result="", 0, _xlpm.result))</f>
        <v>0</v>
      </c>
      <c r="Q128" s="39">
        <v>0</v>
      </c>
      <c r="R128" s="39">
        <v>0</v>
      </c>
      <c r="S128" s="39">
        <v>0</v>
      </c>
      <c r="T128" s="39" cm="1">
        <f t="array" ref="T128">_xlfn.LET(_xlpm.result, Common_InputFunctions.Utility_LookupValueInTableTwoColumns(Q128, _xlfn.IFS(Q128="Urea", IF(#REF!="", "Global",#REF!), Q128="Ammonia", IF(#REF!="", "Global",#REF!), TRUE, "Global"), Table_SourceData_Scope3_InorganicFertiliser[Chemical compound],Table_SourceData_Scope3_InorganicFertiliser[Region of origin],Table_SourceData_Scope3_InorganicFertiliser[AusLCI Emissions intensity]), IF(_xlpm.result="", 0, _xlpm.result))</f>
        <v>0</v>
      </c>
      <c r="U128" s="39">
        <v>0</v>
      </c>
      <c r="V128" s="39">
        <v>0</v>
      </c>
      <c r="W128" s="39">
        <v>0</v>
      </c>
      <c r="X128" s="39" cm="1">
        <f t="array" ref="X128">_xlfn.LET(_xlpm.result, Common_InputFunctions.Utility_LookupValueInTableTwoColumns(U128, _xlfn.IFS(U128="Urea", IF(#REF!="", "Global",#REF!), U128="Ammonia", IF(#REF!="", "Global",#REF!), TRUE, "Global"), Table_SourceData_Scope3_InorganicFertiliser[Chemical compound],Table_SourceData_Scope3_InorganicFertiliser[Region of origin],Table_SourceData_Scope3_InorganicFertiliser[AusLCI Emissions intensity]), IF(_xlpm.result="", 0, _xlpm.result))</f>
        <v>0</v>
      </c>
      <c r="Y128" s="39">
        <v>0</v>
      </c>
      <c r="Z128" s="39">
        <v>0</v>
      </c>
      <c r="AA128" s="39">
        <v>0</v>
      </c>
      <c r="AB128" s="39" cm="1">
        <f t="array" ref="AB128">_xlfn.LET(_xlpm.result, Common_InputFunctions.Utility_LookupValueInTableTwoColumns(Y128, _xlfn.IFS(Y128="Urea", IF(#REF!="", "Global",#REF!), Y128="Ammonia", IF(#REF!="", "Global",#REF!), TRUE, "Global"), Table_SourceData_Scope3_InorganicFertiliser[Chemical compound],Table_SourceData_Scope3_InorganicFertiliser[Region of origin],Table_SourceData_Scope3_InorganicFertiliser[AusLCI Emissions intensity]), IF(_xlpm.result="", 0, _xlpm.result))</f>
        <v>0</v>
      </c>
    </row>
    <row r="129" spans="4:12" ht="20.100000000000001" customHeight="1" x14ac:dyDescent="0.25"/>
    <row r="130" spans="4:12" ht="20.100000000000001" customHeight="1" x14ac:dyDescent="0.25">
      <c r="D130" s="179" t="s">
        <v>684</v>
      </c>
      <c r="E130" s="92">
        <f>SUM(G119:G128)</f>
        <v>348.29680000000002</v>
      </c>
      <c r="F130" s="180" t="str">
        <f>$E$104</f>
        <v>t CO2e</v>
      </c>
    </row>
    <row r="131" spans="4:12" ht="20.100000000000001" customHeight="1" x14ac:dyDescent="0.25">
      <c r="D131" s="179" t="s">
        <v>685</v>
      </c>
      <c r="E131" s="92">
        <f>SUM(I119:I128)</f>
        <v>349.18</v>
      </c>
      <c r="F131" s="180" t="str">
        <f>$E$104</f>
        <v>t CO2e</v>
      </c>
    </row>
    <row r="132" spans="4:12" ht="20.100000000000001" customHeight="1" x14ac:dyDescent="0.25"/>
    <row r="133" spans="4:12" ht="20.100000000000001" customHeight="1" x14ac:dyDescent="0.25"/>
    <row r="134" spans="4:12" ht="20.100000000000001" customHeight="1" x14ac:dyDescent="0.25">
      <c r="D134" s="143" t="s">
        <v>430</v>
      </c>
    </row>
    <row r="135" spans="4:12" ht="20.100000000000001" customHeight="1" x14ac:dyDescent="0.25">
      <c r="D135" s="36" t="s">
        <v>219</v>
      </c>
      <c r="E135" s="36" t="s">
        <v>673</v>
      </c>
      <c r="F135" s="49" t="s">
        <v>677</v>
      </c>
      <c r="G135" s="49" t="s">
        <v>674</v>
      </c>
      <c r="H135" s="36" t="s">
        <v>675</v>
      </c>
      <c r="I135" s="49" t="s">
        <v>676</v>
      </c>
      <c r="J135" s="36" t="s">
        <v>670</v>
      </c>
      <c r="K135" s="36" t="s">
        <v>671</v>
      </c>
      <c r="L135" s="36" t="s">
        <v>672</v>
      </c>
    </row>
    <row r="136" spans="4:12" ht="20.100000000000001" customHeight="1" x14ac:dyDescent="0.25">
      <c r="D136" s="39" t="str">
        <f>'Input - Farm Inputs'!D56</f>
        <v>Feed for chickens</v>
      </c>
      <c r="E136" s="39">
        <f>'Input - Farm Inputs'!E56</f>
        <v>100</v>
      </c>
      <c r="F136" s="39" cm="1">
        <f t="array" ref="F136">Common_InputFunctions.Utility_LookupValueInTableNumber(D136,Table_SourceData_Scope3_MixedRations[Product],Table_SourceData_Scope3_MixedRations[AusLCI Emissions intensity])</f>
        <v>0.59399999999999997</v>
      </c>
      <c r="G136" s="152" cm="1">
        <f t="array" ref="G136">Scope3_Equations.VEERG_15_2_1_1__1_EmissionsFromPurchasedFeed(E136,F136)</f>
        <v>59.4</v>
      </c>
      <c r="H136" s="58">
        <v>0.5</v>
      </c>
      <c r="I136" s="152" cm="1">
        <f t="array" ref="I136">Scope3_Equations.VEERG_15_2_1_1__1_EmissionsFromPurchasedFeed(E136,IF(H136,H136, F136))</f>
        <v>50</v>
      </c>
      <c r="J136" s="75"/>
      <c r="K136" s="37"/>
      <c r="L136" s="168"/>
    </row>
    <row r="137" spans="4:12" ht="20.100000000000001" customHeight="1" x14ac:dyDescent="0.25">
      <c r="D137" s="39" t="str">
        <f>'Input - Farm Inputs'!D57</f>
        <v>Feed for dairy calves</v>
      </c>
      <c r="E137" s="39">
        <f>'Input - Farm Inputs'!E57</f>
        <v>100</v>
      </c>
      <c r="F137" s="39" cm="1">
        <f t="array" ref="F137">Common_InputFunctions.Utility_LookupValueInTableNumber(D137,Table_SourceData_Scope3_MixedRations[Product],Table_SourceData_Scope3_MixedRations[AusLCI Emissions intensity])</f>
        <v>0.41899999999999998</v>
      </c>
      <c r="G137" s="152" cm="1">
        <f t="array" ref="G137">Scope3_Equations.VEERG_15_2_1_1__1_EmissionsFromPurchasedFeed(E137,F137)</f>
        <v>41.9</v>
      </c>
      <c r="H137" s="58">
        <v>0.4</v>
      </c>
      <c r="I137" s="152" cm="1">
        <f t="array" ref="I137">Scope3_Equations.VEERG_15_2_1_1__1_EmissionsFromPurchasedFeed(E137,IF(H137,H137, F137))</f>
        <v>40</v>
      </c>
      <c r="J137" s="75"/>
      <c r="K137" s="37"/>
      <c r="L137" s="75"/>
    </row>
    <row r="138" spans="4:12" ht="20.100000000000001" customHeight="1" x14ac:dyDescent="0.25">
      <c r="D138" s="39" t="str">
        <f>'Input - Farm Inputs'!D58</f>
        <v>Feed for dairy cows</v>
      </c>
      <c r="E138" s="39">
        <f>'Input - Farm Inputs'!E58</f>
        <v>100</v>
      </c>
      <c r="F138" s="39" cm="1">
        <f t="array" ref="F138">Common_InputFunctions.Utility_LookupValueInTableNumber(D138,Table_SourceData_Scope3_MixedRations[Product],Table_SourceData_Scope3_MixedRations[AusLCI Emissions intensity])</f>
        <v>0.33300000000000002</v>
      </c>
      <c r="G138" s="152" cm="1">
        <f t="array" ref="G138">Scope3_Equations.VEERG_15_2_1_1__1_EmissionsFromPurchasedFeed(E138,F138)</f>
        <v>33.300000000000004</v>
      </c>
      <c r="H138" s="58">
        <v>0</v>
      </c>
      <c r="I138" s="152" cm="1">
        <f t="array" ref="I138">Scope3_Equations.VEERG_15_2_1_1__1_EmissionsFromPurchasedFeed(E138,IF(H138,H138, F138))</f>
        <v>33.300000000000004</v>
      </c>
      <c r="J138" s="75"/>
      <c r="K138" s="37"/>
      <c r="L138" s="75"/>
    </row>
    <row r="139" spans="4:12" ht="20.100000000000001" customHeight="1" x14ac:dyDescent="0.25">
      <c r="D139" s="39" t="str">
        <f>'Input - Farm Inputs'!D59</f>
        <v>Feed for pigs</v>
      </c>
      <c r="E139" s="39">
        <f>'Input - Farm Inputs'!E59</f>
        <v>100</v>
      </c>
      <c r="F139" s="39" cm="1">
        <f t="array" ref="F139">Common_InputFunctions.Utility_LookupValueInTableNumber(D139,Table_SourceData_Scope3_MixedRations[Product],Table_SourceData_Scope3_MixedRations[AusLCI Emissions intensity])</f>
        <v>0.40300000000000002</v>
      </c>
      <c r="G139" s="152" cm="1">
        <f t="array" ref="G139">Scope3_Equations.VEERG_15_2_1_1__1_EmissionsFromPurchasedFeed(E139,F139)</f>
        <v>40.300000000000004</v>
      </c>
      <c r="H139" s="58">
        <v>0</v>
      </c>
      <c r="I139" s="152" cm="1">
        <f t="array" ref="I139">Scope3_Equations.VEERG_15_2_1_1__1_EmissionsFromPurchasedFeed(E139,IF(H139,H139, F139))</f>
        <v>40.300000000000004</v>
      </c>
      <c r="J139" s="75"/>
      <c r="K139" s="37"/>
      <c r="L139" s="75"/>
    </row>
    <row r="140" spans="4:12" ht="20.100000000000001" customHeight="1" x14ac:dyDescent="0.25"/>
    <row r="141" spans="4:12" ht="20.100000000000001" customHeight="1" x14ac:dyDescent="0.25">
      <c r="D141" s="179" t="s">
        <v>684</v>
      </c>
      <c r="E141" s="92">
        <f>SUM(G136:G139)</f>
        <v>174.9</v>
      </c>
      <c r="F141" s="180" t="str">
        <f>$E$104</f>
        <v>t CO2e</v>
      </c>
    </row>
    <row r="142" spans="4:12" ht="20.100000000000001" customHeight="1" x14ac:dyDescent="0.25">
      <c r="D142" s="179" t="s">
        <v>685</v>
      </c>
      <c r="E142" s="92">
        <f>SUM(I136:I139)</f>
        <v>163.60000000000002</v>
      </c>
      <c r="F142" s="180" t="str">
        <f>$E$104</f>
        <v>t CO2e</v>
      </c>
    </row>
    <row r="143" spans="4:12" ht="20.100000000000001" customHeight="1" x14ac:dyDescent="0.25"/>
    <row r="144" spans="4:12" ht="20.100000000000001" customHeight="1" x14ac:dyDescent="0.25">
      <c r="D144" s="181" t="s">
        <v>674</v>
      </c>
      <c r="E144" s="182">
        <f>E130+E141</f>
        <v>523.19680000000005</v>
      </c>
      <c r="F144" s="183" t="str">
        <f>$E$104</f>
        <v>t CO2e</v>
      </c>
    </row>
    <row r="145" spans="3:41" ht="20.100000000000001" customHeight="1" x14ac:dyDescent="0.25">
      <c r="D145" s="181" t="s">
        <v>676</v>
      </c>
      <c r="E145" s="182">
        <f>E131+E142</f>
        <v>512.78</v>
      </c>
      <c r="F145" s="183" t="str">
        <f>$E$104</f>
        <v>t CO2e</v>
      </c>
    </row>
    <row r="146" spans="3:41" ht="20.100000000000001" customHeight="1" x14ac:dyDescent="0.25"/>
    <row r="147" spans="3:41" ht="20.100000000000001" customHeight="1" x14ac:dyDescent="0.25"/>
    <row r="148" spans="3:41" ht="20.100000000000001" customHeight="1" x14ac:dyDescent="0.25">
      <c r="C148" s="92"/>
      <c r="D148" s="92"/>
      <c r="E148" s="92"/>
      <c r="F148" s="92"/>
      <c r="G148" s="92"/>
      <c r="H148" s="92"/>
      <c r="I148" s="92"/>
      <c r="J148" s="92"/>
      <c r="K148" s="92"/>
      <c r="L148" s="92"/>
      <c r="M148" s="92"/>
      <c r="N148" s="92"/>
      <c r="O148" s="92"/>
      <c r="P148" s="92"/>
      <c r="Q148" s="92"/>
      <c r="R148" s="92"/>
      <c r="S148" s="92"/>
      <c r="T148" s="92"/>
      <c r="U148" s="92"/>
      <c r="V148" s="92"/>
      <c r="W148" s="92"/>
      <c r="X148" s="92"/>
      <c r="Y148" s="92"/>
      <c r="Z148" s="92"/>
      <c r="AA148" s="92"/>
      <c r="AB148" s="92"/>
      <c r="AC148" s="92"/>
      <c r="AD148" s="92"/>
      <c r="AE148" s="92"/>
      <c r="AF148" s="92"/>
      <c r="AG148" s="92"/>
      <c r="AH148" s="92"/>
      <c r="AI148" s="92"/>
      <c r="AJ148" s="92"/>
      <c r="AK148" s="92"/>
      <c r="AL148" s="92"/>
      <c r="AM148" s="92"/>
      <c r="AN148" s="92"/>
      <c r="AO148" s="92"/>
    </row>
    <row r="149" spans="3:41" ht="20.100000000000001" customHeight="1" x14ac:dyDescent="0.25">
      <c r="D149" s="9" t="str" cm="1">
        <f t="array" ref="D149">Scope3_Equations.VEERG_15_3_1_1__1_EmissionsFromPurchasedMineralSupplements_Title()</f>
        <v>Total emissions from purchased mineral supplements</v>
      </c>
    </row>
    <row r="150" spans="3:41" ht="20.100000000000001" customHeight="1" x14ac:dyDescent="0.25">
      <c r="D150" s="11" t="str" cm="1">
        <f t="array" ref="D150">Scope3_Equations.VEERG_15_3_1_1__1_EmissionsFromPurchasedMineralSupplements_Source()</f>
        <v>VEERG 2026: 15.3.1.1, Equation (1)</v>
      </c>
    </row>
    <row r="151" spans="3:41" ht="20.100000000000001" customHeight="1" x14ac:dyDescent="0.25">
      <c r="D151" s="178" t="s">
        <v>667</v>
      </c>
      <c r="E151" s="178" t="str" cm="1">
        <f t="array" aca="1" ref="E151" ca="1">Common_InputFunctions.Utility_DisplayFunctionName(G162)</f>
        <v>=Scope3_Equations.VEERG_15_3_1_1__1_EmissionsFromPurchasedMineralSupplements</v>
      </c>
    </row>
    <row r="152" spans="3:41" ht="20.100000000000001" customHeight="1" x14ac:dyDescent="0.25"/>
    <row r="153" spans="3:41" ht="20.100000000000001" customHeight="1" x14ac:dyDescent="0.25">
      <c r="H153" s="178"/>
    </row>
    <row r="154" spans="3:41" ht="20.100000000000001" customHeight="1" x14ac:dyDescent="0.25">
      <c r="D154" s="24" t="s">
        <v>668</v>
      </c>
      <c r="E154" s="8" t="str" cm="1">
        <f t="array" ref="E154">Scope3_Equations.VEERG_15_3_1_1__1_EmissionsFromPurchasedMineralSupplements_Variable()</f>
        <v>E</v>
      </c>
    </row>
    <row r="155" spans="3:41" ht="20.100000000000001" customHeight="1" x14ac:dyDescent="0.25">
      <c r="D155" s="24" t="s">
        <v>97</v>
      </c>
      <c r="E155" s="13" t="str" cm="1">
        <f t="array" ref="E155">Scope3_Equations.VEERG_15_3_1_1__1_EmissionsFromPurchasedMineralSupplements_Unit()</f>
        <v>t CO2e</v>
      </c>
    </row>
    <row r="156" spans="3:41" ht="20.100000000000001" customHeight="1" x14ac:dyDescent="0.25"/>
    <row r="157" spans="3:41" ht="20.100000000000001" customHeight="1" x14ac:dyDescent="0.25">
      <c r="D157" s="174" t="str" cm="1">
        <f t="array" ref="D157:E159">_xlfn.CHOOSECOLS(Scope3_Equations.VEERG_15_3_1_1__1_EmissionsFromPurchasedMineralSupplements_Arguments(),1,2)</f>
        <v>Q_m</v>
      </c>
      <c r="E157" s="177" t="str">
        <v>total quantity of mineral supplement type m used</v>
      </c>
      <c r="F157" s="173"/>
      <c r="G157" s="174" t="str" cm="1">
        <f t="array" ref="G157:H159">_xlfn.CHOOSECOLS(Scope3_Equations.VEERG_15_3_1_1__1_EmissionsFromPurchasedMineralSupplements_Arguments(),3,4)</f>
        <v>t</v>
      </c>
      <c r="H157" s="175" t="str">
        <v>Input</v>
      </c>
    </row>
    <row r="158" spans="3:41" ht="20.100000000000001" customHeight="1" x14ac:dyDescent="0.25">
      <c r="D158" s="174" t="str">
        <v>EF_m</v>
      </c>
      <c r="E158" s="177" t="str">
        <v>emission factor of purchased mineral supplement</v>
      </c>
      <c r="F158" s="173"/>
      <c r="G158" s="174" t="str">
        <v>kg CO2e/kg</v>
      </c>
      <c r="H158" s="175" t="str">
        <v>Constant</v>
      </c>
    </row>
    <row r="159" spans="3:41" ht="20.100000000000001" customHeight="1" x14ac:dyDescent="0.25">
      <c r="D159" s="174" t="str">
        <v>m</v>
      </c>
      <c r="E159" s="177" t="str">
        <v>mineral supplement type</v>
      </c>
      <c r="F159" s="173"/>
      <c r="G159" s="174" t="str">
        <v/>
      </c>
      <c r="H159" s="176" t="str">
        <v>Input</v>
      </c>
    </row>
    <row r="160" spans="3:41" ht="20.100000000000001" customHeight="1" x14ac:dyDescent="0.25"/>
    <row r="161" spans="3:41" ht="20.100000000000001" customHeight="1" x14ac:dyDescent="0.25">
      <c r="D161" s="36" t="s">
        <v>219</v>
      </c>
      <c r="E161" s="36" t="s">
        <v>681</v>
      </c>
      <c r="F161" s="49" t="s">
        <v>682</v>
      </c>
      <c r="G161" s="49" t="s">
        <v>674</v>
      </c>
      <c r="H161" s="36" t="s">
        <v>683</v>
      </c>
      <c r="I161" s="49" t="s">
        <v>676</v>
      </c>
      <c r="J161" s="36" t="s">
        <v>670</v>
      </c>
      <c r="K161" s="36" t="s">
        <v>671</v>
      </c>
      <c r="L161" s="36" t="s">
        <v>672</v>
      </c>
    </row>
    <row r="162" spans="3:41" ht="20.100000000000001" customHeight="1" x14ac:dyDescent="0.25">
      <c r="D162" s="39" t="str">
        <f>'Input - Farm Inputs'!D51</f>
        <v>Lick block, dry season mix</v>
      </c>
      <c r="E162" s="39">
        <f>'Input - Farm Inputs'!E51</f>
        <v>100</v>
      </c>
      <c r="F162" s="39" cm="1">
        <f t="array" ref="F162">Common_InputFunctions.Utility_LookupValueInTableNumber(D162,Table_SourceData_Scope3_LickBlocks[Product],Table_SourceData_Scope3_LickBlocks[AusLCI Emissions intensity])</f>
        <v>0.88100000000000001</v>
      </c>
      <c r="G162" s="152" cm="1">
        <f t="array" ref="G162">Scope3_Equations.VEERG_15_3_1_1__1_EmissionsFromPurchasedMineralSupplements(E162,F162)</f>
        <v>88.1</v>
      </c>
      <c r="H162" s="58">
        <v>0.8</v>
      </c>
      <c r="I162" s="152" cm="1">
        <f t="array" ref="I162">Scope3_Equations.VEERG_15_3_1_1__1_EmissionsFromPurchasedMineralSupplements(E162,IF(H162, H162, F162))</f>
        <v>80</v>
      </c>
      <c r="J162" s="75"/>
      <c r="K162" s="37"/>
      <c r="L162" s="168"/>
    </row>
    <row r="163" spans="3:41" ht="20.100000000000001" customHeight="1" x14ac:dyDescent="0.25">
      <c r="D163" s="39" t="str">
        <f>'Input - Farm Inputs'!D52</f>
        <v>Lick block, mineral</v>
      </c>
      <c r="E163" s="39">
        <f>'Input - Farm Inputs'!E52</f>
        <v>100</v>
      </c>
      <c r="F163" s="39" cm="1">
        <f t="array" ref="F163">Common_InputFunctions.Utility_LookupValueInTableNumber(D163,Table_SourceData_Scope3_LickBlocks[Product],Table_SourceData_Scope3_LickBlocks[AusLCI Emissions intensity])</f>
        <v>0.67700000000000005</v>
      </c>
      <c r="G163" s="152" cm="1">
        <f t="array" ref="G163">Scope3_Equations.VEERG_15_3_1_1__1_EmissionsFromPurchasedMineralSupplements(E163,F163)</f>
        <v>67.7</v>
      </c>
      <c r="H163" s="58">
        <v>0.6</v>
      </c>
      <c r="I163" s="152" cm="1">
        <f t="array" ref="I163">Scope3_Equations.VEERG_15_3_1_1__1_EmissionsFromPurchasedMineralSupplements(E163,IF(H163, H163, F163))</f>
        <v>60</v>
      </c>
      <c r="J163" s="75"/>
      <c r="K163" s="37"/>
      <c r="L163" s="75"/>
    </row>
    <row r="164" spans="3:41" ht="20.100000000000001" customHeight="1" x14ac:dyDescent="0.25">
      <c r="D164" s="39" t="str">
        <f>'Input - Farm Inputs'!D53</f>
        <v>Lick block, weaner</v>
      </c>
      <c r="E164" s="39">
        <f>'Input - Farm Inputs'!E53</f>
        <v>100</v>
      </c>
      <c r="F164" s="39" cm="1">
        <f t="array" ref="F164">Common_InputFunctions.Utility_LookupValueInTableNumber(D164,Table_SourceData_Scope3_LickBlocks[Product],Table_SourceData_Scope3_LickBlocks[AusLCI Emissions intensity])</f>
        <v>0.23100000000000001</v>
      </c>
      <c r="G164" s="152" cm="1">
        <f t="array" ref="G164">Scope3_Equations.VEERG_15_3_1_1__1_EmissionsFromPurchasedMineralSupplements(E164,F164)</f>
        <v>23.1</v>
      </c>
      <c r="H164" s="58">
        <v>0.2</v>
      </c>
      <c r="I164" s="152" cm="1">
        <f t="array" ref="I164">Scope3_Equations.VEERG_15_3_1_1__1_EmissionsFromPurchasedMineralSupplements(E164,IF(H164, H164, F164))</f>
        <v>20</v>
      </c>
      <c r="J164" s="75"/>
      <c r="K164" s="37"/>
      <c r="L164" s="75"/>
    </row>
    <row r="165" spans="3:41" ht="20.100000000000001" customHeight="1" x14ac:dyDescent="0.25"/>
    <row r="166" spans="3:41" ht="20.100000000000001" customHeight="1" x14ac:dyDescent="0.25">
      <c r="D166" s="181" t="s">
        <v>674</v>
      </c>
      <c r="E166" s="182">
        <f>SUM(G162:G164)</f>
        <v>178.9</v>
      </c>
      <c r="F166" s="183" t="str">
        <f>$E$155</f>
        <v>t CO2e</v>
      </c>
    </row>
    <row r="167" spans="3:41" ht="20.100000000000001" customHeight="1" x14ac:dyDescent="0.25">
      <c r="D167" s="181" t="s">
        <v>676</v>
      </c>
      <c r="E167" s="182">
        <f>SUM(I162:I164)</f>
        <v>160</v>
      </c>
      <c r="F167" s="183" t="str">
        <f>$E$155</f>
        <v>t CO2e</v>
      </c>
    </row>
    <row r="168" spans="3:41" ht="20.100000000000001" customHeight="1" x14ac:dyDescent="0.25"/>
    <row r="169" spans="3:41" ht="20.100000000000001" customHeight="1" x14ac:dyDescent="0.25"/>
    <row r="170" spans="3:41" ht="20.100000000000001" customHeight="1" x14ac:dyDescent="0.25">
      <c r="C170" s="92"/>
      <c r="D170" s="92"/>
      <c r="E170" s="92"/>
      <c r="F170" s="92"/>
      <c r="G170" s="92"/>
      <c r="H170" s="92"/>
      <c r="I170" s="92"/>
      <c r="J170" s="92"/>
      <c r="K170" s="92"/>
      <c r="L170" s="92"/>
      <c r="M170" s="92"/>
      <c r="N170" s="92"/>
      <c r="O170" s="92"/>
      <c r="P170" s="92"/>
      <c r="Q170" s="92"/>
      <c r="R170" s="92"/>
      <c r="S170" s="92"/>
      <c r="T170" s="92"/>
      <c r="U170" s="92"/>
      <c r="V170" s="92"/>
      <c r="W170" s="92"/>
      <c r="X170" s="92"/>
      <c r="Y170" s="92"/>
      <c r="Z170" s="92"/>
      <c r="AA170" s="92"/>
      <c r="AB170" s="92"/>
      <c r="AC170" s="92"/>
      <c r="AD170" s="92"/>
      <c r="AE170" s="92"/>
      <c r="AF170" s="92"/>
      <c r="AG170" s="92"/>
      <c r="AH170" s="92"/>
      <c r="AI170" s="92"/>
      <c r="AJ170" s="92"/>
      <c r="AK170" s="92"/>
      <c r="AL170" s="92"/>
      <c r="AM170" s="92"/>
      <c r="AN170" s="92"/>
      <c r="AO170" s="92"/>
    </row>
    <row r="171" spans="3:41" ht="20.100000000000001" customHeight="1" x14ac:dyDescent="0.25">
      <c r="D171" s="9" t="str" cm="1">
        <f t="array" ref="D171">Scope3_Equations.VEERG_15_4_1_1__X_EmissionFactorFromPurchasedFertiliserComponents_Title()</f>
        <v>Emission factor for fertiliser product derived from components</v>
      </c>
    </row>
    <row r="172" spans="3:41" ht="20.100000000000001" customHeight="1" x14ac:dyDescent="0.25">
      <c r="D172" s="11" t="str" cm="1">
        <f t="array" ref="D172">Scope3_Equations.VEERG_15_4_1_1__X_EmissionFactorFromPurchasedFertiliserComponents_Source()</f>
        <v>GAF</v>
      </c>
    </row>
    <row r="173" spans="3:41" ht="20.100000000000001" customHeight="1" x14ac:dyDescent="0.25">
      <c r="D173" s="12" t="str" cm="1">
        <f t="array" ref="D173">Scope3_Equations.VEERG_15_4_1_1__X_EmissionFactorFromPurchasedFertiliserComponents_Variation()</f>
        <v>VARIATION ON SOURCE: This equation is added to calculate an EF value from fertiliser components that can be used in 15.4.1.1 (1)</v>
      </c>
    </row>
    <row r="174" spans="3:41" ht="20.100000000000001" customHeight="1" x14ac:dyDescent="0.25">
      <c r="D174" s="178" t="s">
        <v>667</v>
      </c>
      <c r="E174" s="178" t="str" cm="1">
        <f t="array" aca="1" ref="E174" ca="1">Common_InputFunctions.Utility_DisplayFunctionName(F221)</f>
        <v>=Scope3_Equations.VEERG_15_4_1_1__X_EmissionFactorFromPurchasedFertiliserComponents</v>
      </c>
    </row>
    <row r="175" spans="3:41" ht="20.100000000000001" customHeight="1" x14ac:dyDescent="0.25"/>
    <row r="176" spans="3:41" ht="20.100000000000001" customHeight="1" x14ac:dyDescent="0.25"/>
    <row r="177" spans="4:8" ht="20.100000000000001" customHeight="1" x14ac:dyDescent="0.25">
      <c r="D177" s="24" t="s">
        <v>668</v>
      </c>
      <c r="E177" s="8" t="str" cm="1">
        <f t="array" ref="E177">Scope3_Equations.VEERG_15_4_1_1__X_EmissionFactorFromPurchasedFertiliserComponents_Variable()</f>
        <v>EF_f</v>
      </c>
    </row>
    <row r="178" spans="4:8" ht="20.100000000000001" customHeight="1" x14ac:dyDescent="0.25">
      <c r="D178" s="24" t="s">
        <v>97</v>
      </c>
      <c r="E178" s="13" t="str" cm="1">
        <f t="array" ref="E178">Scope3_Equations.VEERG_15_4_1_1__X_EmissionFactorFromPurchasedFertiliserComponents_Unit()</f>
        <v>kg CO2e/kg fertiliser</v>
      </c>
    </row>
    <row r="179" spans="4:8" ht="20.100000000000001" customHeight="1" x14ac:dyDescent="0.25"/>
    <row r="180" spans="4:8" ht="20.100000000000001" customHeight="1" x14ac:dyDescent="0.25">
      <c r="D180" s="174" t="str" cm="1">
        <f t="array" ref="D180:E183">_xlfn.CHOOSECOLS(Scope3_Equations.VEERG_15_4_1_1__X_EmissionFactorFromPurchasedFertiliserComponents_Arguments(),1,2)</f>
        <v>F_cf</v>
      </c>
      <c r="E180" s="177" t="str">
        <v>fraction of component c contained within the inorganic fertiliser f</v>
      </c>
      <c r="F180" s="173"/>
      <c r="G180" s="174" t="str" cm="1">
        <f t="array" ref="G180:H183">_xlfn.CHOOSECOLS(Scope3_Equations.VEERG_15_4_1_1__X_EmissionFactorFromPurchasedFertiliserComponents_Arguments(),3,4)</f>
        <v>wt%</v>
      </c>
      <c r="H180" s="175" t="str">
        <v>Input</v>
      </c>
    </row>
    <row r="181" spans="4:8" ht="20.100000000000001" customHeight="1" x14ac:dyDescent="0.25">
      <c r="D181" s="174" t="str">
        <v>EF_c</v>
      </c>
      <c r="E181" s="177" t="str">
        <v>emission factor for the production of component c</v>
      </c>
      <c r="F181" s="173"/>
      <c r="G181" s="174" t="str">
        <v>kg CO2e/kg component</v>
      </c>
      <c r="H181" s="176" t="str">
        <v>Constant</v>
      </c>
    </row>
    <row r="182" spans="4:8" ht="20.100000000000001" customHeight="1" x14ac:dyDescent="0.25">
      <c r="D182" s="174" t="str">
        <v>c</v>
      </c>
      <c r="E182" s="177" t="str">
        <v>fertiliser component</v>
      </c>
      <c r="F182" s="173"/>
      <c r="G182" s="174" t="str">
        <v/>
      </c>
      <c r="H182" s="175" t="str">
        <v>Input</v>
      </c>
    </row>
    <row r="183" spans="4:8" ht="20.100000000000001" customHeight="1" x14ac:dyDescent="0.25">
      <c r="D183" s="174" t="str">
        <v>f</v>
      </c>
      <c r="E183" s="177" t="str">
        <v>inorganic fertiliser type</v>
      </c>
      <c r="F183" s="173"/>
      <c r="G183" s="174" t="str">
        <v/>
      </c>
      <c r="H183" s="175" t="str">
        <v>Input</v>
      </c>
    </row>
    <row r="184" spans="4:8" ht="20.100000000000001" customHeight="1" x14ac:dyDescent="0.25"/>
    <row r="185" spans="4:8" ht="20.100000000000001" customHeight="1" x14ac:dyDescent="0.25"/>
    <row r="186" spans="4:8" ht="20.100000000000001" customHeight="1" x14ac:dyDescent="0.25">
      <c r="D186" s="9" t="str" cm="1">
        <f t="array" ref="D186">Scope3_Equations.VEERG_15_4_1_1__1_EmissionsFromPurchasedFertiliser_Title()</f>
        <v>Emissions from purchased fertiliser</v>
      </c>
    </row>
    <row r="187" spans="4:8" ht="20.100000000000001" customHeight="1" x14ac:dyDescent="0.25">
      <c r="D187" s="11" t="str" cm="1">
        <f t="array" ref="D187">Scope3_Equations.VEERG_15_4_1_1__1_EmissionsFromPurchasedFertiliser_Source()</f>
        <v>VEERG 2026: 15.4.1.1, Equation (1)</v>
      </c>
    </row>
    <row r="188" spans="4:8" ht="20.100000000000001" customHeight="1" x14ac:dyDescent="0.25">
      <c r="D188" s="178" t="s">
        <v>667</v>
      </c>
      <c r="E188" s="178" t="str" cm="1">
        <f t="array" aca="1" ref="E188" ca="1">Common_InputFunctions.Utility_DisplayFunctionName(G221)</f>
        <v>=Scope3_Equations.VEERG_15_4_1_1__1_EmissionsFromPurchasedFertiliser</v>
      </c>
    </row>
    <row r="189" spans="4:8" ht="20.100000000000001" customHeight="1" x14ac:dyDescent="0.25"/>
    <row r="190" spans="4:8" ht="20.100000000000001" customHeight="1" x14ac:dyDescent="0.25"/>
    <row r="191" spans="4:8" ht="20.100000000000001" customHeight="1" x14ac:dyDescent="0.25">
      <c r="D191" s="24" t="s">
        <v>668</v>
      </c>
      <c r="E191" s="8" t="str" cm="1">
        <f t="array" ref="E191">Scope3_Equations.VEERG_15_4_1_1__1_EmissionsFromPurchasedFertiliser_Variable()</f>
        <v>E</v>
      </c>
    </row>
    <row r="192" spans="4:8" ht="20.100000000000001" customHeight="1" x14ac:dyDescent="0.25">
      <c r="D192" s="24" t="s">
        <v>97</v>
      </c>
      <c r="E192" s="13" t="str" cm="1">
        <f t="array" ref="E192">Scope3_Equations.VEERG_15_4_1_1__1_EmissionsFromPurchasedFertiliser_Unit()</f>
        <v>t CO2e</v>
      </c>
    </row>
    <row r="193" spans="4:8" ht="20.100000000000001" customHeight="1" x14ac:dyDescent="0.25"/>
    <row r="194" spans="4:8" ht="20.100000000000001" customHeight="1" x14ac:dyDescent="0.25">
      <c r="D194" s="174" t="str" cm="1">
        <f t="array" ref="D194:E197">_xlfn.CHOOSECOLS(Scope3_Equations.VEERG_15_4_1_1__1_EmissionsFromPurchasedFertiliser_Arguments(),1,2)</f>
        <v>TM_jf</v>
      </c>
      <c r="E194" s="174" t="str">
        <v>quantity of inorganic fertiliser type f purchased and applied to production system j</v>
      </c>
      <c r="F194" s="174"/>
      <c r="G194" s="174" t="str" cm="1">
        <f t="array" ref="G194:H197">_xlfn.CHOOSECOLS(Scope3_Equations.VEERG_15_4_1_1__1_EmissionsFromPurchasedFertiliser_Arguments(),3,4)</f>
        <v>kg</v>
      </c>
      <c r="H194" s="175" t="str">
        <v>Input</v>
      </c>
    </row>
    <row r="195" spans="4:8" ht="20.100000000000001" customHeight="1" x14ac:dyDescent="0.25">
      <c r="D195" s="174" t="str">
        <v>EF_f</v>
      </c>
      <c r="E195" s="174" t="str">
        <v>emission factor of purchased inorganic fertiliser</v>
      </c>
      <c r="F195" s="174"/>
      <c r="G195" s="174" t="str">
        <v>kg CO2e/kg</v>
      </c>
      <c r="H195" s="176" t="str">
        <v>Constant</v>
      </c>
    </row>
    <row r="196" spans="4:8" ht="20.100000000000001" customHeight="1" x14ac:dyDescent="0.25">
      <c r="D196" s="174" t="str">
        <v>j</v>
      </c>
      <c r="E196" s="174" t="str">
        <v>production system</v>
      </c>
      <c r="F196" s="174"/>
      <c r="G196" s="174" t="str">
        <v/>
      </c>
      <c r="H196" s="175" t="str">
        <v>Input</v>
      </c>
    </row>
    <row r="197" spans="4:8" ht="20.100000000000001" customHeight="1" x14ac:dyDescent="0.25">
      <c r="D197" s="174" t="str">
        <v>f</v>
      </c>
      <c r="E197" s="174" t="str">
        <v>inorganic fertiliser type</v>
      </c>
      <c r="F197" s="174"/>
      <c r="G197" s="174" t="str">
        <v/>
      </c>
      <c r="H197" s="175" t="str">
        <v>Input</v>
      </c>
    </row>
    <row r="198" spans="4:8" ht="20.100000000000001" customHeight="1" x14ac:dyDescent="0.25"/>
    <row r="199" spans="4:8" ht="20.100000000000001" customHeight="1" x14ac:dyDescent="0.25"/>
    <row r="200" spans="4:8" ht="20.100000000000001" customHeight="1" x14ac:dyDescent="0.25">
      <c r="D200" s="9" t="str" cm="1">
        <f t="array" ref="D200">Scope3_Equations.VEERG_15_4_1_1__2_EmissionsFromPurchasedFertiliserComponents_Title()</f>
        <v>Emissions from purchased fertiliser components</v>
      </c>
    </row>
    <row r="201" spans="4:8" ht="20.100000000000001" customHeight="1" x14ac:dyDescent="0.25">
      <c r="D201" s="11" t="str" cm="1">
        <f t="array" ref="D201">Scope3_Equations.VEERG_15_4_1_1__2_EmissionsFromPurchasedFertiliserComponents_Source()</f>
        <v>VEERG 2026: 15.4.1.1, Equation (2)</v>
      </c>
    </row>
    <row r="202" spans="4:8" ht="20.100000000000001" customHeight="1" x14ac:dyDescent="0.25">
      <c r="D202" s="12" t="str" cm="1">
        <f t="array" ref="D202">Scope3_Equations.VEERG_15_4_1_1__2_EmissionsFromPurchasedFertiliserComponents_Variation()</f>
        <v>VARIATION ON SOURCE: removes division by 100 for F_cf, treating F_cf as fraction instead of percent because it is a fraction in scope 1 equations. Convert kg to tonnes by mutiplying by 10^-3.</v>
      </c>
    </row>
    <row r="203" spans="4:8" ht="20.100000000000001" customHeight="1" x14ac:dyDescent="0.25">
      <c r="D203" s="178" t="s">
        <v>667</v>
      </c>
      <c r="E203" s="178" t="str" cm="1">
        <f t="array" aca="1" ref="E203" ca="1">Common_InputFunctions.Utility_DisplayFunctionName(H221)</f>
        <v>=Scope3_Equations.VEERG_15_4_1_1__2_EmissionsFromPurchasedFertiliserComponentsVariation</v>
      </c>
    </row>
    <row r="204" spans="4:8" ht="20.100000000000001" customHeight="1" x14ac:dyDescent="0.25"/>
    <row r="205" spans="4:8" ht="20.100000000000001" customHeight="1" x14ac:dyDescent="0.25"/>
    <row r="206" spans="4:8" ht="20.100000000000001" customHeight="1" x14ac:dyDescent="0.25">
      <c r="D206" s="24" t="s">
        <v>668</v>
      </c>
      <c r="E206" s="8" t="str" cm="1">
        <f t="array" ref="E206">Scope3_Equations.VEERG_15_4_1_1__2_EmissionsFromPurchasedFertiliserComponents_Variable()</f>
        <v>E</v>
      </c>
    </row>
    <row r="207" spans="4:8" ht="20.100000000000001" customHeight="1" x14ac:dyDescent="0.25">
      <c r="D207" s="24" t="s">
        <v>97</v>
      </c>
      <c r="E207" s="13" t="str" cm="1">
        <f t="array" ref="E207">Scope3_Equations.VEERG_15_4_1_1__2_EmissionsFromPurchasedFertiliserComponents_Unit()</f>
        <v>t CO2e</v>
      </c>
    </row>
    <row r="208" spans="4:8" ht="20.100000000000001" customHeight="1" x14ac:dyDescent="0.25"/>
    <row r="209" spans="4:40" ht="20.100000000000001" customHeight="1" x14ac:dyDescent="0.25">
      <c r="D209" s="174" t="str" cm="1">
        <f t="array" ref="D209:E214">_xlfn.CHOOSECOLS(Scope3_Equations.VEERG_15_4_1_1__2_EmissionsFromPurchasedFertiliserComponents_Arguments(),1,2)</f>
        <v>F_cf</v>
      </c>
      <c r="E209" s="177" t="str">
        <v>fraction of component c contained within the inorganic fertiliser f</v>
      </c>
      <c r="F209" s="173"/>
      <c r="G209" s="174" t="str" cm="1">
        <f t="array" ref="G209:H214">_xlfn.CHOOSECOLS(Scope3_Equations.VEERG_15_4_1_1__2_EmissionsFromPurchasedFertiliserComponents_Arguments(),3,4)</f>
        <v>wt%</v>
      </c>
      <c r="H209" s="175" t="str">
        <v>Input</v>
      </c>
    </row>
    <row r="210" spans="4:40" ht="20.100000000000001" customHeight="1" x14ac:dyDescent="0.25">
      <c r="D210" s="174" t="str">
        <v>TM_jf</v>
      </c>
      <c r="E210" s="177" t="str">
        <v>quantity of inorganic fertiliser type f purchased and applied to production system j</v>
      </c>
      <c r="F210" s="173"/>
      <c r="G210" s="174" t="str">
        <v>kg</v>
      </c>
      <c r="H210" s="176" t="str">
        <v>Input</v>
      </c>
    </row>
    <row r="211" spans="4:40" ht="20.100000000000001" customHeight="1" x14ac:dyDescent="0.25">
      <c r="D211" s="174" t="str">
        <v>EF_c</v>
      </c>
      <c r="E211" s="177" t="str">
        <v>emission factor for the production of component c</v>
      </c>
      <c r="F211" s="173"/>
      <c r="G211" s="174" t="str">
        <v>kg CO2e/kg component</v>
      </c>
      <c r="H211" s="176" t="str">
        <v>Constant</v>
      </c>
    </row>
    <row r="212" spans="4:40" ht="20.100000000000001" customHeight="1" x14ac:dyDescent="0.25">
      <c r="D212" s="174" t="str">
        <v>c</v>
      </c>
      <c r="E212" s="177" t="str">
        <v>fertiliser component</v>
      </c>
      <c r="F212" s="173"/>
      <c r="G212" s="174" t="str">
        <v/>
      </c>
      <c r="H212" s="175" t="str">
        <v>Input</v>
      </c>
    </row>
    <row r="213" spans="4:40" ht="20.100000000000001" customHeight="1" x14ac:dyDescent="0.25">
      <c r="D213" s="174" t="str">
        <v>f</v>
      </c>
      <c r="E213" s="177" t="str">
        <v>inorganic fertiliser type</v>
      </c>
      <c r="F213" s="173"/>
      <c r="G213" s="174" t="str">
        <v/>
      </c>
      <c r="H213" s="175" t="str">
        <v>Input</v>
      </c>
    </row>
    <row r="214" spans="4:40" ht="20.100000000000001" customHeight="1" x14ac:dyDescent="0.25">
      <c r="D214" s="174" t="str">
        <v>j</v>
      </c>
      <c r="E214" s="177" t="str">
        <v>production system</v>
      </c>
      <c r="F214" s="173"/>
      <c r="G214" s="174" t="str">
        <v/>
      </c>
      <c r="H214" s="175" t="str">
        <v>Input</v>
      </c>
    </row>
    <row r="215" spans="4:40" ht="20.100000000000001" customHeight="1" x14ac:dyDescent="0.25"/>
    <row r="216" spans="4:40" ht="20.100000000000001" customHeight="1" x14ac:dyDescent="0.25">
      <c r="D216" s="143" t="s">
        <v>398</v>
      </c>
    </row>
    <row r="217" spans="4:40" ht="20.100000000000001" customHeight="1" x14ac:dyDescent="0.25"/>
    <row r="218" spans="4:40" ht="20.100000000000001" customHeight="1" x14ac:dyDescent="0.25">
      <c r="D218" s="89" t="s">
        <v>397</v>
      </c>
      <c r="E218" s="105"/>
      <c r="F218" s="90"/>
    </row>
    <row r="219" spans="4:40" ht="20.100000000000001" customHeight="1" x14ac:dyDescent="0.25"/>
    <row r="220" spans="4:40" ht="20.100000000000001" customHeight="1" x14ac:dyDescent="0.25">
      <c r="D220" s="36" t="s">
        <v>219</v>
      </c>
      <c r="E220" s="36" t="s">
        <v>385</v>
      </c>
      <c r="F220" s="49" t="s">
        <v>709</v>
      </c>
      <c r="G220" s="49" t="s">
        <v>693</v>
      </c>
      <c r="H220" s="49" t="s">
        <v>692</v>
      </c>
      <c r="I220" s="36" t="s">
        <v>710</v>
      </c>
      <c r="J220" s="49" t="s">
        <v>694</v>
      </c>
      <c r="K220" s="49" t="s">
        <v>695</v>
      </c>
      <c r="L220" s="36" t="s">
        <v>670</v>
      </c>
      <c r="M220" s="36" t="s">
        <v>671</v>
      </c>
      <c r="N220" s="36" t="s">
        <v>672</v>
      </c>
      <c r="O220" s="49" t="s">
        <v>173</v>
      </c>
      <c r="P220" s="49" t="s">
        <v>174</v>
      </c>
      <c r="Q220" s="49" t="s">
        <v>175</v>
      </c>
      <c r="R220" s="49" t="s">
        <v>176</v>
      </c>
      <c r="S220" s="49" t="s">
        <v>697</v>
      </c>
      <c r="T220" s="36" t="s">
        <v>698</v>
      </c>
      <c r="U220" s="49" t="s">
        <v>177</v>
      </c>
      <c r="V220" s="49" t="s">
        <v>178</v>
      </c>
      <c r="W220" s="49" t="s">
        <v>699</v>
      </c>
      <c r="X220" s="36" t="s">
        <v>700</v>
      </c>
      <c r="Y220" s="49" t="s">
        <v>179</v>
      </c>
      <c r="Z220" s="49" t="s">
        <v>180</v>
      </c>
      <c r="AA220" s="49" t="s">
        <v>701</v>
      </c>
      <c r="AB220" s="36" t="s">
        <v>702</v>
      </c>
      <c r="AC220" s="49" t="s">
        <v>181</v>
      </c>
      <c r="AD220" s="49" t="s">
        <v>182</v>
      </c>
      <c r="AE220" s="49" t="s">
        <v>703</v>
      </c>
      <c r="AF220" s="36" t="s">
        <v>704</v>
      </c>
      <c r="AG220" s="49" t="s">
        <v>183</v>
      </c>
      <c r="AH220" s="49" t="s">
        <v>184</v>
      </c>
      <c r="AI220" s="49" t="s">
        <v>705</v>
      </c>
      <c r="AJ220" s="36" t="s">
        <v>706</v>
      </c>
      <c r="AK220" s="49" t="s">
        <v>185</v>
      </c>
      <c r="AL220" s="49" t="s">
        <v>186</v>
      </c>
      <c r="AM220" s="49" t="s">
        <v>707</v>
      </c>
      <c r="AN220" s="36" t="s">
        <v>708</v>
      </c>
    </row>
    <row r="221" spans="4:40" ht="20.100000000000001" customHeight="1" x14ac:dyDescent="0.25">
      <c r="D221" s="39" t="str" cm="1">
        <f t="array" ref="D221:D230">IFERROR(INDEX(Table_Input_InorganicFertiliser_Brands[Product (select)], _xlfn.SEQUENCE(10)), "")</f>
        <v>CoRoN 12-0-10</v>
      </c>
      <c r="E221" s="39" cm="1">
        <f t="array" ref="E221:E230">IFERROR(INDEX(Table_Input_InorganicFertiliser_Brands[Total applied (kg)], _xlfn.SEQUENCE(10)), 0)</f>
        <v>12150.000000000002</v>
      </c>
      <c r="F221" s="39" cm="1">
        <f t="array" ref="F221">Scope3_Equations.VEERG_15_4_1_1__X_EmissionFactorFromPurchasedFertiliserComponents(R221,S221)+
Scope3_Equations.VEERG_15_4_1_1__X_EmissionFactorFromPurchasedFertiliserComponents(V221,W221)+
Scope3_Equations.VEERG_15_4_1_1__X_EmissionFactorFromPurchasedFertiliserComponents(Z221,AA221)+
Scope3_Equations.VEERG_15_4_1_1__X_EmissionFactorFromPurchasedFertiliserComponents(AD221,AE221)+
Scope3_Equations.VEERG_15_4_1_1__X_EmissionFactorFromPurchasedFertiliserComponents(AH221,AI221)+
Scope3_Equations.VEERG_15_4_1_1__X_EmissionFactorFromPurchasedFertiliserComponents(AL221,AM221)</f>
        <v>0.40629130443200001</v>
      </c>
      <c r="G221" s="152" cm="1">
        <f t="array" ref="G221">Scope3_Equations.VEERG_15_4_1_1__1_EmissionsFromPurchasedFertiliser(E221,F221)</f>
        <v>4.9364393488488014</v>
      </c>
      <c r="H221" s="39" cm="1">
        <f t="array" ref="H221">Scope3_Equations.VEERG_15_4_1_1__2_EmissionsFromPurchasedFertiliserComponentsVariation(R221, $E221,S221)+
Scope3_Equations.VEERG_15_4_1_1__2_EmissionsFromPurchasedFertiliserComponentsVariation(V221, $E221,W221)+
Scope3_Equations.VEERG_15_4_1_1__2_EmissionsFromPurchasedFertiliserComponentsVariation(Z221, $E221,AA221)+
Scope3_Equations.VEERG_15_4_1_1__2_EmissionsFromPurchasedFertiliserComponentsVariation(AD221, $E221,AE221)+
Scope3_Equations.VEERG_15_4_1_1__2_EmissionsFromPurchasedFertiliserComponentsVariation(AH221, $E221,AI221)+
Scope3_Equations.VEERG_15_4_1_1__2_EmissionsFromPurchasedFertiliserComponentsVariation(AL221, $E221,AM221)</f>
        <v>4.9364393488488023</v>
      </c>
      <c r="I221" s="58">
        <v>0.4</v>
      </c>
      <c r="J221" s="152" cm="1">
        <f t="array" ref="J221">Scope3_Equations.VEERG_15_4_1_1__1_EmissionsFromPurchasedFertiliser(E221,I221)</f>
        <v>4.8600000000000012</v>
      </c>
      <c r="K221" s="152" cm="1">
        <f t="array" ref="K221">Scope3_Equations.VEERG_15_4_1_1__2_EmissionsFromPurchasedFertiliserComponentsVariation(R221, $E221,IF(T221,T221,S221))+
Scope3_Equations.VEERG_15_4_1_1__2_EmissionsFromPurchasedFertiliserComponentsVariation(V221, $E221,IF(X221,X221,W221))+
Scope3_Equations.VEERG_15_4_1_1__2_EmissionsFromPurchasedFertiliserComponentsVariation(Z221, $E221,IF(AB221,AB221,AA221))+
Scope3_Equations.VEERG_15_4_1_1__2_EmissionsFromPurchasedFertiliserComponentsVariation(AD221, $E221,IF(AF221,AF221,AE221))+
Scope3_Equations.VEERG_15_4_1_1__2_EmissionsFromPurchasedFertiliserComponentsVariation(AH221, $E221,IF(AJ221,AJ221,AI221))+
Scope3_Equations.VEERG_15_4_1_1__2_EmissionsFromPurchasedFertiliserComponentsVariation(AL221, $E221,IF(AN221,AN221,AM221))</f>
        <v>4.6909565226900014</v>
      </c>
      <c r="L221" s="75"/>
      <c r="M221" s="37"/>
      <c r="N221" s="168"/>
      <c r="O221" s="39" t="str" cm="1">
        <f t="array" ref="O221:O230">IFERROR(INDEX(Table_Input_InorganicFertiliser_Brands[Urea source], _xlfn.SEQUENCE(10)), "")</f>
        <v/>
      </c>
      <c r="P221" s="39" t="str" cm="1">
        <f t="array" ref="P221:P230">IFERROR(INDEX(Table_Input_InorganicFertiliser_Brands[Ammonia source], _xlfn.SEQUENCE(10)), "")</f>
        <v/>
      </c>
      <c r="Q221" s="39" t="str" cm="1">
        <f t="array" ref="Q221:Q230">IFERROR(INDEX(Table_Input_InorganicFertiliser_Brands[Ingredient 1], _xlfn.SEQUENCE(10)), "")</f>
        <v>Urea</v>
      </c>
      <c r="R221" s="39" cm="1">
        <f t="array" ref="R221:R230">IFERROR(INDEX(_xlfn.LET(_xlpm.result, Table_Input_InorganicFertiliser_Brands[Ingredient 1 percent], IF(_xlpm.result="", 0, _xlpm.result)), _xlfn.SEQUENCE(10)), 0)</f>
        <v>0.19565217400000001</v>
      </c>
      <c r="S221" s="39" cm="1">
        <f t="array" ref="S221">_xlfn.LET(_xlpm.result, Common_InputFunctions.Utility_LookupValueInTableTwoColumns(Q221, _xlfn.IFS(Q221="Urea",IF($O221="", "Global", $O221), Q221="Ammonia", IF($P221="", "Global", $P221), TRUE, "Global"), Table_SourceData_Scope3_InorganicFertiliser[Chemical compound],Table_SourceData_Scope3_InorganicFertiliser[Region of origin],Table_SourceData_Scope3_InorganicFertiliser[AusLCI Emissions intensity]), IF(_xlpm.result="", 0, _xlpm.result))</f>
        <v>0.96799999999999997</v>
      </c>
      <c r="T221" s="58">
        <v>0.9</v>
      </c>
      <c r="U221" s="39" t="str" cm="1">
        <f t="array" ref="U221:U230">IFERROR(INDEX(Table_Input_InorganicFertiliser_Brands[Ingredient 2], _xlfn.SEQUENCE(10)), "")</f>
        <v>Potassium - Generic</v>
      </c>
      <c r="V221" s="39" cm="1">
        <f t="array" ref="V221:V230">IFERROR(INDEX(_xlfn.LET(_xlpm.result, Table_Input_InorganicFertiliser_Brands[Ingredient 2 percent], IF(_xlpm.result="", 0, _xlpm.result)), _xlfn.SEQUENCE(10)), 0)</f>
        <v>0.1</v>
      </c>
      <c r="W221" s="39" cm="1">
        <f t="array" ref="W221">_xlfn.LET(_xlpm.result, Common_InputFunctions.Utility_LookupValueInTableTwoColumns(U221, _xlfn.IFS(U221="Urea",IF($O221="", "Global", $O221), U221="Ammonia", IF($P221="", "Global", $P221), TRUE, "Global"), Table_SourceData_Scope3_InorganicFertiliser[Chemical compound],Table_SourceData_Scope3_InorganicFertiliser[Region of origin],Table_SourceData_Scope3_InorganicFertiliser[AusLCI Emissions intensity]), IF(_xlpm.result="", 0, _xlpm.result))</f>
        <v>0.90900000000000003</v>
      </c>
      <c r="X221" s="58">
        <v>0.9</v>
      </c>
      <c r="Y221" s="39" t="str" cm="1">
        <f t="array" ref="Y221:Y230">IFERROR(INDEX(Table_Input_InorganicFertiliser_Brands[Ingredient 3], _xlfn.SEQUENCE(10)), "")</f>
        <v>Nitrogen - Generic</v>
      </c>
      <c r="Z221" s="39" cm="1">
        <f t="array" ref="Z221:Z230">IFERROR(INDEX(_xlfn.LET(_xlpm.result, Table_Input_InorganicFertiliser_Brands[Ingredient 3 percent], IF(_xlpm.result="", 0, _xlpm.result)), _xlfn.SEQUENCE(10)), 0)</f>
        <v>0.03</v>
      </c>
      <c r="AA221" s="39" cm="1">
        <f t="array" ref="AA221">_xlfn.LET(_xlpm.result, Common_InputFunctions.Utility_LookupValueInTableTwoColumns(Y221, _xlfn.IFS(Y221="Urea",IF($O221="", "Global", $O221), Y221="Ammonia", IF($P221="", "Global", $P221), TRUE, "Global"), Table_SourceData_Scope3_InorganicFertiliser[Chemical compound],Table_SourceData_Scope3_InorganicFertiliser[Region of origin],Table_SourceData_Scope3_InorganicFertiliser[AusLCI Emissions intensity]), IF(_xlpm.result="", 0, _xlpm.result))</f>
        <v>4.2</v>
      </c>
      <c r="AB221" s="58">
        <v>4</v>
      </c>
      <c r="AC221" s="39" t="str" cm="1">
        <f t="array" ref="AC221:AC230">IFERROR(INDEX(Table_Input_InorganicFertiliser_Brands[Ingredient 4], _xlfn.SEQUENCE(10)), "")</f>
        <v>Boron</v>
      </c>
      <c r="AD221" s="39" cm="1">
        <f t="array" ref="AD221:AD230">IFERROR(INDEX(_xlfn.LET(_xlpm.result, Table_Input_InorganicFertiliser_Brands[Ingredient 4 percent], IF(_xlpm.result="", 0, _xlpm.result)), _xlfn.SEQUENCE(10)), 0)</f>
        <v>5.0000000000000001E-3</v>
      </c>
      <c r="AE221" s="39" cm="1">
        <f t="array" ref="AE221">_xlfn.LET(_xlpm.result, Common_InputFunctions.Utility_LookupValueInTableTwoColumns(AC221, _xlfn.IFS(AC221="Urea",IF($O221="", "Global", $O221), AC221="Ammonia", IF($P221="", "Global", $P221), TRUE, "Global"), Table_SourceData_Scope3_InorganicFertiliser[Chemical compound],Table_SourceData_Scope3_InorganicFertiliser[Region of origin],Table_SourceData_Scope3_InorganicFertiliser[AusLCI Emissions intensity]), IF(_xlpm.result="", 0, _xlpm.result))</f>
        <v>0</v>
      </c>
      <c r="AF221" s="58">
        <v>0</v>
      </c>
      <c r="AG221" s="39" t="str" cm="1">
        <f t="array" ref="AG221:AG230">IFERROR(INDEX(Table_Input_InorganicFertiliser_Brands[Ingredient 5], _xlfn.SEQUENCE(10)), "")</f>
        <v/>
      </c>
      <c r="AH221" s="39" cm="1">
        <f t="array" ref="AH221:AH230">IFERROR(INDEX(_xlfn.LET(_xlpm.result, Table_Input_InorganicFertiliser_Brands[Ingredient 5 percent], IF(_xlpm.result="", 0, _xlpm.result)), _xlfn.SEQUENCE(10)), 0)</f>
        <v>0</v>
      </c>
      <c r="AI221" s="39" cm="1">
        <f t="array" ref="AI221">_xlfn.LET(_xlpm.result, Common_InputFunctions.Utility_LookupValueInTableTwoColumns(AG221, _xlfn.IFS(AG221="Urea",IF($O221="", "Global", $O221), AG221="Ammonia", IF($P221="", "Global", $P221), TRUE, "Global"), Table_SourceData_Scope3_InorganicFertiliser[Chemical compound],Table_SourceData_Scope3_InorganicFertiliser[Region of origin],Table_SourceData_Scope3_InorganicFertiliser[AusLCI Emissions intensity]), IF(_xlpm.result="", 0, _xlpm.result))</f>
        <v>0</v>
      </c>
      <c r="AJ221" s="58">
        <v>0</v>
      </c>
      <c r="AK221" s="39" t="str" cm="1">
        <f t="array" ref="AK221:AK230">IFERROR(INDEX(Table_Input_InorganicFertiliser_Brands[Ingredient 6], _xlfn.SEQUENCE(10)), "")</f>
        <v/>
      </c>
      <c r="AL221" s="39" cm="1">
        <f t="array" ref="AL221:AL230">IFERROR(INDEX(_xlfn.LET(_xlpm.result, Table_Input_InorganicFertiliser_Brands[Ingredient 6 percent], IF(_xlpm.result="", 0, _xlpm.result)), _xlfn.SEQUENCE(10)), 0)</f>
        <v>0</v>
      </c>
      <c r="AM221" s="39" cm="1">
        <f t="array" ref="AM221">_xlfn.LET(_xlpm.result, Common_InputFunctions.Utility_LookupValueInTableTwoColumns(AK221, _xlfn.IFS(AK221="Urea",IF($O221="", "Global", $O221), AK221="Ammonia", IF($P221="", "Global", $P221), TRUE, "Global"), Table_SourceData_Scope3_InorganicFertiliser[Chemical compound],Table_SourceData_Scope3_InorganicFertiliser[Region of origin],Table_SourceData_Scope3_InorganicFertiliser[AusLCI Emissions intensity]), IF(_xlpm.result="", 0, _xlpm.result))</f>
        <v>0</v>
      </c>
      <c r="AN221" s="58"/>
    </row>
    <row r="222" spans="4:40" ht="20.100000000000001" customHeight="1" x14ac:dyDescent="0.25">
      <c r="D222" s="39" t="str">
        <v>Boost-It</v>
      </c>
      <c r="E222" s="39">
        <v>20000</v>
      </c>
      <c r="F222" s="39" cm="1">
        <f t="array" ref="F222">Scope3_Equations.VEERG_15_4_1_1__X_EmissionFactorFromPurchasedFertiliserComponents(R222,S222)+
Scope3_Equations.VEERG_15_4_1_1__X_EmissionFactorFromPurchasedFertiliserComponents(V222,W222)+
Scope3_Equations.VEERG_15_4_1_1__X_EmissionFactorFromPurchasedFertiliserComponents(Z222,AA222)+
Scope3_Equations.VEERG_15_4_1_1__X_EmissionFactorFromPurchasedFertiliserComponents(AD222,AE222)+
Scope3_Equations.VEERG_15_4_1_1__X_EmissionFactorFromPurchasedFertiliserComponents(AH222,AI222)+
Scope3_Equations.VEERG_15_4_1_1__X_EmissionFactorFromPurchasedFertiliserComponents(AL222,AM222)</f>
        <v>0.91618347784000009</v>
      </c>
      <c r="G222" s="152" cm="1">
        <f t="array" ref="G222">Scope3_Equations.VEERG_15_4_1_1__1_EmissionsFromPurchasedFertiliser(E222,F222)</f>
        <v>18.323669556800002</v>
      </c>
      <c r="H222" s="39" cm="1">
        <f t="array" ref="H222">Scope3_Equations.VEERG_15_4_1_1__2_EmissionsFromPurchasedFertiliserComponentsVariation(R222, $E222,S222)+
Scope3_Equations.VEERG_15_4_1_1__2_EmissionsFromPurchasedFertiliserComponentsVariation(V222, $E222,W222)+
Scope3_Equations.VEERG_15_4_1_1__2_EmissionsFromPurchasedFertiliserComponentsVariation(Z222, $E222,AA222)+
Scope3_Equations.VEERG_15_4_1_1__2_EmissionsFromPurchasedFertiliserComponentsVariation(AD222, $E222,AE222)+
Scope3_Equations.VEERG_15_4_1_1__2_EmissionsFromPurchasedFertiliserComponentsVariation(AH222, $E222,AI222)+
Scope3_Equations.VEERG_15_4_1_1__2_EmissionsFromPurchasedFertiliserComponentsVariation(AL222, $E222,AM222)</f>
        <v>18.323669556799999</v>
      </c>
      <c r="I222" s="58">
        <v>0.9</v>
      </c>
      <c r="J222" s="152" cm="1">
        <f t="array" ref="J222">Scope3_Equations.VEERG_15_4_1_1__1_EmissionsFromPurchasedFertiliser(E222,I222)</f>
        <v>18</v>
      </c>
      <c r="K222" s="152" cm="1">
        <f t="array" ref="K222">Scope3_Equations.VEERG_15_4_1_1__2_EmissionsFromPurchasedFertiliserComponentsVariation(R222, $E222,IF(T222,T222,S222))+
Scope3_Equations.VEERG_15_4_1_1__2_EmissionsFromPurchasedFertiliserComponentsVariation(V222, $E222,IF(X222,X222,W222))+
Scope3_Equations.VEERG_15_4_1_1__2_EmissionsFromPurchasedFertiliserComponentsVariation(Z222, $E222,IF(AB222,AB222,AA222))+
Scope3_Equations.VEERG_15_4_1_1__2_EmissionsFromPurchasedFertiliserComponentsVariation(AD222, $E222,IF(AF222,AF222,AE222))+
Scope3_Equations.VEERG_15_4_1_1__2_EmissionsFromPurchasedFertiliserComponentsVariation(AH222, $E222,IF(AJ222,AJ222,AI222))+
Scope3_Equations.VEERG_15_4_1_1__2_EmissionsFromPurchasedFertiliserComponentsVariation(AL222, $E222,IF(AN222,AN222,AM222))</f>
        <v>18.323669556799999</v>
      </c>
      <c r="L222" s="75"/>
      <c r="M222" s="37"/>
      <c r="N222" s="75"/>
      <c r="O222" s="39" t="str">
        <v/>
      </c>
      <c r="P222" s="39" t="str">
        <v/>
      </c>
      <c r="Q222" s="39" t="str">
        <v>Urea</v>
      </c>
      <c r="R222" s="39">
        <v>0.52173913000000005</v>
      </c>
      <c r="S222" s="39" cm="1">
        <f t="array" ref="S222">_xlfn.LET(_xlpm.result, Common_InputFunctions.Utility_LookupValueInTableTwoColumns(Q222, _xlfn.IFS(Q222="Urea",IF($O222="", "Global", $O222), Q222="Ammonia", IF($P222="", "Global", $P222), TRUE, "Global"), Table_SourceData_Scope3_InorganicFertiliser[Chemical compound],Table_SourceData_Scope3_InorganicFertiliser[Region of origin],Table_SourceData_Scope3_InorganicFertiliser[AusLCI Emissions intensity]), IF(_xlpm.result="", 0, _xlpm.result))</f>
        <v>0.96799999999999997</v>
      </c>
      <c r="T222" s="58"/>
      <c r="U222" s="39" t="str">
        <v>Potassium - Generic</v>
      </c>
      <c r="V222" s="39">
        <v>0.08</v>
      </c>
      <c r="W222" s="39" cm="1">
        <f t="array" ref="W222">_xlfn.LET(_xlpm.result, Common_InputFunctions.Utility_LookupValueInTableTwoColumns(U222, _xlfn.IFS(U222="Urea",IF($O222="", "Global", $O222), U222="Ammonia", IF($P222="", "Global", $P222), TRUE, "Global"), Table_SourceData_Scope3_InorganicFertiliser[Chemical compound],Table_SourceData_Scope3_InorganicFertiliser[Region of origin],Table_SourceData_Scope3_InorganicFertiliser[AusLCI Emissions intensity]), IF(_xlpm.result="", 0, _xlpm.result))</f>
        <v>0.90900000000000003</v>
      </c>
      <c r="X222" s="58"/>
      <c r="Y222" s="39" t="str">
        <v>Sulfur - Generic</v>
      </c>
      <c r="Z222" s="39">
        <v>5.2999999999999999E-2</v>
      </c>
      <c r="AA222" s="39" cm="1">
        <f t="array" ref="AA222">_xlfn.LET(_xlpm.result, Common_InputFunctions.Utility_LookupValueInTableTwoColumns(Y222, _xlfn.IFS(Y222="Urea",IF($O222="", "Global", $O222), Y222="Ammonia", IF($P222="", "Global", $P222), TRUE, "Global"), Table_SourceData_Scope3_InorganicFertiliser[Chemical compound],Table_SourceData_Scope3_InorganicFertiliser[Region of origin],Table_SourceData_Scope3_InorganicFertiliser[AusLCI Emissions intensity]), IF(_xlpm.result="", 0, _xlpm.result))</f>
        <v>2.5</v>
      </c>
      <c r="AB222" s="58"/>
      <c r="AC222" s="39" t="str">
        <v>Phosphorus - Generic</v>
      </c>
      <c r="AD222" s="39">
        <v>5.1999999999999998E-2</v>
      </c>
      <c r="AE222" s="39" cm="1">
        <f t="array" ref="AE222">_xlfn.LET(_xlpm.result, Common_InputFunctions.Utility_LookupValueInTableTwoColumns(AC222, _xlfn.IFS(AC222="Urea",IF($O222="", "Global", $O222), AC222="Ammonia", IF($P222="", "Global", $P222), TRUE, "Global"), Table_SourceData_Scope3_InorganicFertiliser[Chemical compound],Table_SourceData_Scope3_InorganicFertiliser[Region of origin],Table_SourceData_Scope3_InorganicFertiliser[AusLCI Emissions intensity]), IF(_xlpm.result="", 0, _xlpm.result))</f>
        <v>3.96</v>
      </c>
      <c r="AF222" s="58"/>
      <c r="AG222" s="39" t="str">
        <v>Magnesium</v>
      </c>
      <c r="AH222" s="39">
        <v>1.2999999999999999E-2</v>
      </c>
      <c r="AI222" s="39" cm="1">
        <f t="array" ref="AI222">_xlfn.LET(_xlpm.result, Common_InputFunctions.Utility_LookupValueInTableTwoColumns(AG222, _xlfn.IFS(AG222="Urea",IF($O222="", "Global", $O222), AG222="Ammonia", IF($P222="", "Global", $P222), TRUE, "Global"), Table_SourceData_Scope3_InorganicFertiliser[Chemical compound],Table_SourceData_Scope3_InorganicFertiliser[Region of origin],Table_SourceData_Scope3_InorganicFertiliser[AusLCI Emissions intensity]), IF(_xlpm.result="", 0, _xlpm.result))</f>
        <v>0</v>
      </c>
      <c r="AJ222" s="58"/>
      <c r="AK222" s="39" t="str">
        <v>Zinc</v>
      </c>
      <c r="AL222" s="39">
        <v>2E-3</v>
      </c>
      <c r="AM222" s="39" cm="1">
        <f t="array" ref="AM222">_xlfn.LET(_xlpm.result, Common_InputFunctions.Utility_LookupValueInTableTwoColumns(AK222, _xlfn.IFS(AK222="Urea",IF($O222="", "Global", $O222), AK222="Ammonia", IF($P222="", "Global", $P222), TRUE, "Global"), Table_SourceData_Scope3_InorganicFertiliser[Chemical compound],Table_SourceData_Scope3_InorganicFertiliser[Region of origin],Table_SourceData_Scope3_InorganicFertiliser[AusLCI Emissions intensity]), IF(_xlpm.result="", 0, _xlpm.result))</f>
        <v>0</v>
      </c>
      <c r="AN222" s="58"/>
    </row>
    <row r="223" spans="4:40" ht="20.100000000000001" customHeight="1" x14ac:dyDescent="0.25">
      <c r="D223" s="39" t="str">
        <v>CoRoN 12-0-10</v>
      </c>
      <c r="E223" s="39">
        <v>12150.000000000002</v>
      </c>
      <c r="F223" s="39" cm="1">
        <f t="array" ref="F223">Scope3_Equations.VEERG_15_4_1_1__X_EmissionFactorFromPurchasedFertiliserComponents(R223,S223)+
Scope3_Equations.VEERG_15_4_1_1__X_EmissionFactorFromPurchasedFertiliserComponents(V223,W223)+
Scope3_Equations.VEERG_15_4_1_1__X_EmissionFactorFromPurchasedFertiliserComponents(Z223,AA223)+
Scope3_Equations.VEERG_15_4_1_1__X_EmissionFactorFromPurchasedFertiliserComponents(AD223,AE223)+
Scope3_Equations.VEERG_15_4_1_1__X_EmissionFactorFromPurchasedFertiliserComponents(AH223,AI223)+
Scope3_Equations.VEERG_15_4_1_1__X_EmissionFactorFromPurchasedFertiliserComponents(AL223,AM223)</f>
        <v>0.40629130443200001</v>
      </c>
      <c r="G223" s="152" cm="1">
        <f t="array" ref="G223">Scope3_Equations.VEERG_15_4_1_1__1_EmissionsFromPurchasedFertiliser(E223,F223)</f>
        <v>4.9364393488488014</v>
      </c>
      <c r="H223" s="39" cm="1">
        <f t="array" ref="H223">Scope3_Equations.VEERG_15_4_1_1__2_EmissionsFromPurchasedFertiliserComponentsVariation(R223, $E223,S223)+
Scope3_Equations.VEERG_15_4_1_1__2_EmissionsFromPurchasedFertiliserComponentsVariation(V223, $E223,W223)+
Scope3_Equations.VEERG_15_4_1_1__2_EmissionsFromPurchasedFertiliserComponentsVariation(Z223, $E223,AA223)+
Scope3_Equations.VEERG_15_4_1_1__2_EmissionsFromPurchasedFertiliserComponentsVariation(AD223, $E223,AE223)+
Scope3_Equations.VEERG_15_4_1_1__2_EmissionsFromPurchasedFertiliserComponentsVariation(AH223, $E223,AI223)+
Scope3_Equations.VEERG_15_4_1_1__2_EmissionsFromPurchasedFertiliserComponentsVariation(AL223, $E223,AM223)</f>
        <v>4.9364393488488023</v>
      </c>
      <c r="I223" s="58">
        <v>0.4</v>
      </c>
      <c r="J223" s="152" cm="1">
        <f t="array" ref="J223">Scope3_Equations.VEERG_15_4_1_1__1_EmissionsFromPurchasedFertiliser(E223,I223)</f>
        <v>4.8600000000000012</v>
      </c>
      <c r="K223" s="152" cm="1">
        <f t="array" ref="K223">Scope3_Equations.VEERG_15_4_1_1__2_EmissionsFromPurchasedFertiliserComponentsVariation(R223, $E223,IF(T223,T223,S223))+
Scope3_Equations.VEERG_15_4_1_1__2_EmissionsFromPurchasedFertiliserComponentsVariation(V223, $E223,IF(X223,X223,W223))+
Scope3_Equations.VEERG_15_4_1_1__2_EmissionsFromPurchasedFertiliserComponentsVariation(Z223, $E223,IF(AB223,AB223,AA223))+
Scope3_Equations.VEERG_15_4_1_1__2_EmissionsFromPurchasedFertiliserComponentsVariation(AD223, $E223,IF(AF223,AF223,AE223))+
Scope3_Equations.VEERG_15_4_1_1__2_EmissionsFromPurchasedFertiliserComponentsVariation(AH223, $E223,IF(AJ223,AJ223,AI223))+
Scope3_Equations.VEERG_15_4_1_1__2_EmissionsFromPurchasedFertiliserComponentsVariation(AL223, $E223,IF(AN223,AN223,AM223))</f>
        <v>4.9364393488488023</v>
      </c>
      <c r="L223" s="75"/>
      <c r="M223" s="37"/>
      <c r="N223" s="75"/>
      <c r="O223" s="39" t="str">
        <v/>
      </c>
      <c r="P223" s="39" t="str">
        <v/>
      </c>
      <c r="Q223" s="39" t="str">
        <v>Urea</v>
      </c>
      <c r="R223" s="39">
        <v>0.19565217400000001</v>
      </c>
      <c r="S223" s="39" cm="1">
        <f t="array" ref="S223">_xlfn.LET(_xlpm.result, Common_InputFunctions.Utility_LookupValueInTableTwoColumns(Q223, _xlfn.IFS(Q223="Urea",IF($O223="", "Global", $O223), Q223="Ammonia", IF($P223="", "Global", $P223), TRUE, "Global"), Table_SourceData_Scope3_InorganicFertiliser[Chemical compound],Table_SourceData_Scope3_InorganicFertiliser[Region of origin],Table_SourceData_Scope3_InorganicFertiliser[AusLCI Emissions intensity]), IF(_xlpm.result="", 0, _xlpm.result))</f>
        <v>0.96799999999999997</v>
      </c>
      <c r="T223" s="58"/>
      <c r="U223" s="39" t="str">
        <v>Potassium - Generic</v>
      </c>
      <c r="V223" s="39">
        <v>0.1</v>
      </c>
      <c r="W223" s="39" cm="1">
        <f t="array" ref="W223">_xlfn.LET(_xlpm.result, Common_InputFunctions.Utility_LookupValueInTableTwoColumns(U223, _xlfn.IFS(U223="Urea",IF($O223="", "Global", $O223), U223="Ammonia", IF($P223="", "Global", $P223), TRUE, "Global"), Table_SourceData_Scope3_InorganicFertiliser[Chemical compound],Table_SourceData_Scope3_InorganicFertiliser[Region of origin],Table_SourceData_Scope3_InorganicFertiliser[AusLCI Emissions intensity]), IF(_xlpm.result="", 0, _xlpm.result))</f>
        <v>0.90900000000000003</v>
      </c>
      <c r="X223" s="58"/>
      <c r="Y223" s="39" t="str">
        <v>Nitrogen - Generic</v>
      </c>
      <c r="Z223" s="39">
        <v>0.03</v>
      </c>
      <c r="AA223" s="39" cm="1">
        <f t="array" ref="AA223">_xlfn.LET(_xlpm.result, Common_InputFunctions.Utility_LookupValueInTableTwoColumns(Y223, _xlfn.IFS(Y223="Urea",IF($O223="", "Global", $O223), Y223="Ammonia", IF($P223="", "Global", $P223), TRUE, "Global"), Table_SourceData_Scope3_InorganicFertiliser[Chemical compound],Table_SourceData_Scope3_InorganicFertiliser[Region of origin],Table_SourceData_Scope3_InorganicFertiliser[AusLCI Emissions intensity]), IF(_xlpm.result="", 0, _xlpm.result))</f>
        <v>4.2</v>
      </c>
      <c r="AB223" s="58"/>
      <c r="AC223" s="39" t="str">
        <v>Boron</v>
      </c>
      <c r="AD223" s="39">
        <v>5.0000000000000001E-3</v>
      </c>
      <c r="AE223" s="39" cm="1">
        <f t="array" ref="AE223">_xlfn.LET(_xlpm.result, Common_InputFunctions.Utility_LookupValueInTableTwoColumns(AC223, _xlfn.IFS(AC223="Urea",IF($O223="", "Global", $O223), AC223="Ammonia", IF($P223="", "Global", $P223), TRUE, "Global"), Table_SourceData_Scope3_InorganicFertiliser[Chemical compound],Table_SourceData_Scope3_InorganicFertiliser[Region of origin],Table_SourceData_Scope3_InorganicFertiliser[AusLCI Emissions intensity]), IF(_xlpm.result="", 0, _xlpm.result))</f>
        <v>0</v>
      </c>
      <c r="AF223" s="58"/>
      <c r="AG223" s="39" t="str">
        <v/>
      </c>
      <c r="AH223" s="39">
        <v>0</v>
      </c>
      <c r="AI223" s="39" cm="1">
        <f t="array" ref="AI223">_xlfn.LET(_xlpm.result, Common_InputFunctions.Utility_LookupValueInTableTwoColumns(AG223, _xlfn.IFS(AG223="Urea",IF($O223="", "Global", $O223), AG223="Ammonia", IF($P223="", "Global", $P223), TRUE, "Global"), Table_SourceData_Scope3_InorganicFertiliser[Chemical compound],Table_SourceData_Scope3_InorganicFertiliser[Region of origin],Table_SourceData_Scope3_InorganicFertiliser[AusLCI Emissions intensity]), IF(_xlpm.result="", 0, _xlpm.result))</f>
        <v>0</v>
      </c>
      <c r="AJ223" s="58"/>
      <c r="AK223" s="39" t="str">
        <v/>
      </c>
      <c r="AL223" s="39">
        <v>0</v>
      </c>
      <c r="AM223" s="39" cm="1">
        <f t="array" ref="AM223">_xlfn.LET(_xlpm.result, Common_InputFunctions.Utility_LookupValueInTableTwoColumns(AK223, _xlfn.IFS(AK223="Urea",IF($O223="", "Global", $O223), AK223="Ammonia", IF($P223="", "Global", $P223), TRUE, "Global"), Table_SourceData_Scope3_InorganicFertiliser[Chemical compound],Table_SourceData_Scope3_InorganicFertiliser[Region of origin],Table_SourceData_Scope3_InorganicFertiliser[AusLCI Emissions intensity]), IF(_xlpm.result="", 0, _xlpm.result))</f>
        <v>0</v>
      </c>
      <c r="AN223" s="58"/>
    </row>
    <row r="224" spans="4:40" ht="20.100000000000001" customHeight="1" x14ac:dyDescent="0.25">
      <c r="D224" s="39" t="str">
        <v/>
      </c>
      <c r="E224" s="39">
        <v>0</v>
      </c>
      <c r="F224" s="39" cm="1">
        <f t="array" ref="F224">Scope3_Equations.VEERG_15_4_1_1__X_EmissionFactorFromPurchasedFertiliserComponents(R224,S224)+
Scope3_Equations.VEERG_15_4_1_1__X_EmissionFactorFromPurchasedFertiliserComponents(V224,W224)+
Scope3_Equations.VEERG_15_4_1_1__X_EmissionFactorFromPurchasedFertiliserComponents(Z224,AA224)+
Scope3_Equations.VEERG_15_4_1_1__X_EmissionFactorFromPurchasedFertiliserComponents(AD224,AE224)+
Scope3_Equations.VEERG_15_4_1_1__X_EmissionFactorFromPurchasedFertiliserComponents(AH224,AI224)+
Scope3_Equations.VEERG_15_4_1_1__X_EmissionFactorFromPurchasedFertiliserComponents(AL224,AM224)</f>
        <v>0</v>
      </c>
      <c r="G224" s="152" cm="1">
        <f t="array" ref="G224">Scope3_Equations.VEERG_15_4_1_1__1_EmissionsFromPurchasedFertiliser(E224,F224)</f>
        <v>0</v>
      </c>
      <c r="H224" s="39" cm="1">
        <f t="array" ref="H224">Scope3_Equations.VEERG_15_4_1_1__2_EmissionsFromPurchasedFertiliserComponentsVariation(R224, $E224,S224)+
Scope3_Equations.VEERG_15_4_1_1__2_EmissionsFromPurchasedFertiliserComponentsVariation(V224, $E224,W224)+
Scope3_Equations.VEERG_15_4_1_1__2_EmissionsFromPurchasedFertiliserComponentsVariation(Z224, $E224,AA224)+
Scope3_Equations.VEERG_15_4_1_1__2_EmissionsFromPurchasedFertiliserComponentsVariation(AD224, $E224,AE224)+
Scope3_Equations.VEERG_15_4_1_1__2_EmissionsFromPurchasedFertiliserComponentsVariation(AH224, $E224,AI224)+
Scope3_Equations.VEERG_15_4_1_1__2_EmissionsFromPurchasedFertiliserComponentsVariation(AL224, $E224,AM224)</f>
        <v>0</v>
      </c>
      <c r="I224" s="58"/>
      <c r="J224" s="152" cm="1">
        <f t="array" ref="J224">Scope3_Equations.VEERG_15_4_1_1__1_EmissionsFromPurchasedFertiliser(E224,I224)</f>
        <v>0</v>
      </c>
      <c r="K224" s="152" cm="1">
        <f t="array" ref="K224">Scope3_Equations.VEERG_15_4_1_1__2_EmissionsFromPurchasedFertiliserComponentsVariation(R224, $E224,IF(T224,T224,S224))+
Scope3_Equations.VEERG_15_4_1_1__2_EmissionsFromPurchasedFertiliserComponentsVariation(V224, $E224,IF(X224,X224,W224))+
Scope3_Equations.VEERG_15_4_1_1__2_EmissionsFromPurchasedFertiliserComponentsVariation(Z224, $E224,IF(AB224,AB224,AA224))+
Scope3_Equations.VEERG_15_4_1_1__2_EmissionsFromPurchasedFertiliserComponentsVariation(AD224, $E224,IF(AF224,AF224,AE224))+
Scope3_Equations.VEERG_15_4_1_1__2_EmissionsFromPurchasedFertiliserComponentsVariation(AH224, $E224,IF(AJ224,AJ224,AI224))+
Scope3_Equations.VEERG_15_4_1_1__2_EmissionsFromPurchasedFertiliserComponentsVariation(AL224, $E224,IF(AN224,AN224,AM224))</f>
        <v>0</v>
      </c>
      <c r="L224" s="75"/>
      <c r="M224" s="37"/>
      <c r="N224" s="75"/>
      <c r="O224" s="39" t="str">
        <v/>
      </c>
      <c r="P224" s="39" t="str">
        <v/>
      </c>
      <c r="Q224" s="39" t="str">
        <v/>
      </c>
      <c r="R224" s="39">
        <v>0</v>
      </c>
      <c r="S224" s="39" cm="1">
        <f t="array" ref="S224">_xlfn.LET(_xlpm.result, Common_InputFunctions.Utility_LookupValueInTableTwoColumns(Q224, _xlfn.IFS(Q224="Urea",IF($O224="", "Global", $O224), Q224="Ammonia", IF($P224="", "Global", $P224), TRUE, "Global"), Table_SourceData_Scope3_InorganicFertiliser[Chemical compound],Table_SourceData_Scope3_InorganicFertiliser[Region of origin],Table_SourceData_Scope3_InorganicFertiliser[AusLCI Emissions intensity]), IF(_xlpm.result="", 0, _xlpm.result))</f>
        <v>0</v>
      </c>
      <c r="T224" s="58"/>
      <c r="U224" s="39" t="str">
        <v/>
      </c>
      <c r="V224" s="39">
        <v>0</v>
      </c>
      <c r="W224" s="39" cm="1">
        <f t="array" ref="W224">_xlfn.LET(_xlpm.result, Common_InputFunctions.Utility_LookupValueInTableTwoColumns(U224, _xlfn.IFS(U224="Urea",IF($O224="", "Global", $O224), U224="Ammonia", IF($P224="", "Global", $P224), TRUE, "Global"), Table_SourceData_Scope3_InorganicFertiliser[Chemical compound],Table_SourceData_Scope3_InorganicFertiliser[Region of origin],Table_SourceData_Scope3_InorganicFertiliser[AusLCI Emissions intensity]), IF(_xlpm.result="", 0, _xlpm.result))</f>
        <v>0</v>
      </c>
      <c r="X224" s="58"/>
      <c r="Y224" s="39" t="str">
        <v/>
      </c>
      <c r="Z224" s="39">
        <v>0</v>
      </c>
      <c r="AA224" s="39" cm="1">
        <f t="array" ref="AA224">_xlfn.LET(_xlpm.result, Common_InputFunctions.Utility_LookupValueInTableTwoColumns(Y224, _xlfn.IFS(Y224="Urea",IF($O224="", "Global", $O224), Y224="Ammonia", IF($P224="", "Global", $P224), TRUE, "Global"), Table_SourceData_Scope3_InorganicFertiliser[Chemical compound],Table_SourceData_Scope3_InorganicFertiliser[Region of origin],Table_SourceData_Scope3_InorganicFertiliser[AusLCI Emissions intensity]), IF(_xlpm.result="", 0, _xlpm.result))</f>
        <v>0</v>
      </c>
      <c r="AB224" s="58"/>
      <c r="AC224" s="39" t="str">
        <v/>
      </c>
      <c r="AD224" s="39">
        <v>0</v>
      </c>
      <c r="AE224" s="39" cm="1">
        <f t="array" ref="AE224">_xlfn.LET(_xlpm.result, Common_InputFunctions.Utility_LookupValueInTableTwoColumns(AC224, _xlfn.IFS(AC224="Urea",IF($O224="", "Global", $O224), AC224="Ammonia", IF($P224="", "Global", $P224), TRUE, "Global"), Table_SourceData_Scope3_InorganicFertiliser[Chemical compound],Table_SourceData_Scope3_InorganicFertiliser[Region of origin],Table_SourceData_Scope3_InorganicFertiliser[AusLCI Emissions intensity]), IF(_xlpm.result="", 0, _xlpm.result))</f>
        <v>0</v>
      </c>
      <c r="AF224" s="58"/>
      <c r="AG224" s="39" t="str">
        <v/>
      </c>
      <c r="AH224" s="39">
        <v>0</v>
      </c>
      <c r="AI224" s="39" cm="1">
        <f t="array" ref="AI224">_xlfn.LET(_xlpm.result, Common_InputFunctions.Utility_LookupValueInTableTwoColumns(AG224, _xlfn.IFS(AG224="Urea",IF($O224="", "Global", $O224), AG224="Ammonia", IF($P224="", "Global", $P224), TRUE, "Global"), Table_SourceData_Scope3_InorganicFertiliser[Chemical compound],Table_SourceData_Scope3_InorganicFertiliser[Region of origin],Table_SourceData_Scope3_InorganicFertiliser[AusLCI Emissions intensity]), IF(_xlpm.result="", 0, _xlpm.result))</f>
        <v>0</v>
      </c>
      <c r="AJ224" s="58"/>
      <c r="AK224" s="39" t="str">
        <v/>
      </c>
      <c r="AL224" s="39">
        <v>0</v>
      </c>
      <c r="AM224" s="39" cm="1">
        <f t="array" ref="AM224">_xlfn.LET(_xlpm.result, Common_InputFunctions.Utility_LookupValueInTableTwoColumns(AK224, _xlfn.IFS(AK224="Urea",IF($O224="", "Global", $O224), AK224="Ammonia", IF($P224="", "Global", $P224), TRUE, "Global"), Table_SourceData_Scope3_InorganicFertiliser[Chemical compound],Table_SourceData_Scope3_InorganicFertiliser[Region of origin],Table_SourceData_Scope3_InorganicFertiliser[AusLCI Emissions intensity]), IF(_xlpm.result="", 0, _xlpm.result))</f>
        <v>0</v>
      </c>
      <c r="AN224" s="58"/>
    </row>
    <row r="225" spans="4:40" ht="20.100000000000001" customHeight="1" x14ac:dyDescent="0.25">
      <c r="D225" s="39" t="str">
        <v/>
      </c>
      <c r="E225" s="39">
        <v>0</v>
      </c>
      <c r="F225" s="39" cm="1">
        <f t="array" ref="F225">Scope3_Equations.VEERG_15_4_1_1__X_EmissionFactorFromPurchasedFertiliserComponents(R225,S225)+
Scope3_Equations.VEERG_15_4_1_1__X_EmissionFactorFromPurchasedFertiliserComponents(V225,W225)+
Scope3_Equations.VEERG_15_4_1_1__X_EmissionFactorFromPurchasedFertiliserComponents(Z225,AA225)+
Scope3_Equations.VEERG_15_4_1_1__X_EmissionFactorFromPurchasedFertiliserComponents(AD225,AE225)+
Scope3_Equations.VEERG_15_4_1_1__X_EmissionFactorFromPurchasedFertiliserComponents(AH225,AI225)+
Scope3_Equations.VEERG_15_4_1_1__X_EmissionFactorFromPurchasedFertiliserComponents(AL225,AM225)</f>
        <v>0</v>
      </c>
      <c r="G225" s="152" cm="1">
        <f t="array" ref="G225">Scope3_Equations.VEERG_15_4_1_1__1_EmissionsFromPurchasedFertiliser(E225,F225)</f>
        <v>0</v>
      </c>
      <c r="H225" s="39" cm="1">
        <f t="array" ref="H225">Scope3_Equations.VEERG_15_4_1_1__2_EmissionsFromPurchasedFertiliserComponentsVariation(R225, $E225,S225)+
Scope3_Equations.VEERG_15_4_1_1__2_EmissionsFromPurchasedFertiliserComponentsVariation(V225, $E225,W225)+
Scope3_Equations.VEERG_15_4_1_1__2_EmissionsFromPurchasedFertiliserComponentsVariation(Z225, $E225,AA225)+
Scope3_Equations.VEERG_15_4_1_1__2_EmissionsFromPurchasedFertiliserComponentsVariation(AD225, $E225,AE225)+
Scope3_Equations.VEERG_15_4_1_1__2_EmissionsFromPurchasedFertiliserComponentsVariation(AH225, $E225,AI225)+
Scope3_Equations.VEERG_15_4_1_1__2_EmissionsFromPurchasedFertiliserComponentsVariation(AL225, $E225,AM225)</f>
        <v>0</v>
      </c>
      <c r="I225" s="58"/>
      <c r="J225" s="152" cm="1">
        <f t="array" ref="J225">Scope3_Equations.VEERG_15_4_1_1__1_EmissionsFromPurchasedFertiliser(E225,I225)</f>
        <v>0</v>
      </c>
      <c r="K225" s="152" cm="1">
        <f t="array" ref="K225">Scope3_Equations.VEERG_15_4_1_1__2_EmissionsFromPurchasedFertiliserComponentsVariation(R225, $E225,IF(T225,T225,S225))+
Scope3_Equations.VEERG_15_4_1_1__2_EmissionsFromPurchasedFertiliserComponentsVariation(V225, $E225,IF(X225,X225,W225))+
Scope3_Equations.VEERG_15_4_1_1__2_EmissionsFromPurchasedFertiliserComponentsVariation(Z225, $E225,IF(AB225,AB225,AA225))+
Scope3_Equations.VEERG_15_4_1_1__2_EmissionsFromPurchasedFertiliserComponentsVariation(AD225, $E225,IF(AF225,AF225,AE225))+
Scope3_Equations.VEERG_15_4_1_1__2_EmissionsFromPurchasedFertiliserComponentsVariation(AH225, $E225,IF(AJ225,AJ225,AI225))+
Scope3_Equations.VEERG_15_4_1_1__2_EmissionsFromPurchasedFertiliserComponentsVariation(AL225, $E225,IF(AN225,AN225,AM225))</f>
        <v>0</v>
      </c>
      <c r="L225" s="75"/>
      <c r="M225" s="37"/>
      <c r="N225" s="75"/>
      <c r="O225" s="39" t="str">
        <v/>
      </c>
      <c r="P225" s="39" t="str">
        <v/>
      </c>
      <c r="Q225" s="39" t="str">
        <v/>
      </c>
      <c r="R225" s="39">
        <v>0</v>
      </c>
      <c r="S225" s="39" cm="1">
        <f t="array" ref="S225">_xlfn.LET(_xlpm.result, Common_InputFunctions.Utility_LookupValueInTableTwoColumns(Q225, _xlfn.IFS(Q225="Urea",IF($O225="", "Global", $O225), Q225="Ammonia", IF($P225="", "Global", $P225), TRUE, "Global"), Table_SourceData_Scope3_InorganicFertiliser[Chemical compound],Table_SourceData_Scope3_InorganicFertiliser[Region of origin],Table_SourceData_Scope3_InorganicFertiliser[AusLCI Emissions intensity]), IF(_xlpm.result="", 0, _xlpm.result))</f>
        <v>0</v>
      </c>
      <c r="T225" s="58"/>
      <c r="U225" s="39" t="str">
        <v/>
      </c>
      <c r="V225" s="39">
        <v>0</v>
      </c>
      <c r="W225" s="39" cm="1">
        <f t="array" ref="W225">_xlfn.LET(_xlpm.result, Common_InputFunctions.Utility_LookupValueInTableTwoColumns(U225, _xlfn.IFS(U225="Urea",IF($O225="", "Global", $O225), U225="Ammonia", IF($P225="", "Global", $P225), TRUE, "Global"), Table_SourceData_Scope3_InorganicFertiliser[Chemical compound],Table_SourceData_Scope3_InorganicFertiliser[Region of origin],Table_SourceData_Scope3_InorganicFertiliser[AusLCI Emissions intensity]), IF(_xlpm.result="", 0, _xlpm.result))</f>
        <v>0</v>
      </c>
      <c r="X225" s="58"/>
      <c r="Y225" s="39" t="str">
        <v/>
      </c>
      <c r="Z225" s="39">
        <v>0</v>
      </c>
      <c r="AA225" s="39" cm="1">
        <f t="array" ref="AA225">_xlfn.LET(_xlpm.result, Common_InputFunctions.Utility_LookupValueInTableTwoColumns(Y225, _xlfn.IFS(Y225="Urea",IF($O225="", "Global", $O225), Y225="Ammonia", IF($P225="", "Global", $P225), TRUE, "Global"), Table_SourceData_Scope3_InorganicFertiliser[Chemical compound],Table_SourceData_Scope3_InorganicFertiliser[Region of origin],Table_SourceData_Scope3_InorganicFertiliser[AusLCI Emissions intensity]), IF(_xlpm.result="", 0, _xlpm.result))</f>
        <v>0</v>
      </c>
      <c r="AB225" s="58"/>
      <c r="AC225" s="39" t="str">
        <v/>
      </c>
      <c r="AD225" s="39">
        <v>0</v>
      </c>
      <c r="AE225" s="39" cm="1">
        <f t="array" ref="AE225">_xlfn.LET(_xlpm.result, Common_InputFunctions.Utility_LookupValueInTableTwoColumns(AC225, _xlfn.IFS(AC225="Urea",IF($O225="", "Global", $O225), AC225="Ammonia", IF($P225="", "Global", $P225), TRUE, "Global"), Table_SourceData_Scope3_InorganicFertiliser[Chemical compound],Table_SourceData_Scope3_InorganicFertiliser[Region of origin],Table_SourceData_Scope3_InorganicFertiliser[AusLCI Emissions intensity]), IF(_xlpm.result="", 0, _xlpm.result))</f>
        <v>0</v>
      </c>
      <c r="AF225" s="58"/>
      <c r="AG225" s="39" t="str">
        <v/>
      </c>
      <c r="AH225" s="39">
        <v>0</v>
      </c>
      <c r="AI225" s="39" cm="1">
        <f t="array" ref="AI225">_xlfn.LET(_xlpm.result, Common_InputFunctions.Utility_LookupValueInTableTwoColumns(AG225, _xlfn.IFS(AG225="Urea",IF($O225="", "Global", $O225), AG225="Ammonia", IF($P225="", "Global", $P225), TRUE, "Global"), Table_SourceData_Scope3_InorganicFertiliser[Chemical compound],Table_SourceData_Scope3_InorganicFertiliser[Region of origin],Table_SourceData_Scope3_InorganicFertiliser[AusLCI Emissions intensity]), IF(_xlpm.result="", 0, _xlpm.result))</f>
        <v>0</v>
      </c>
      <c r="AJ225" s="58"/>
      <c r="AK225" s="39" t="str">
        <v/>
      </c>
      <c r="AL225" s="39">
        <v>0</v>
      </c>
      <c r="AM225" s="39" cm="1">
        <f t="array" ref="AM225">_xlfn.LET(_xlpm.result, Common_InputFunctions.Utility_LookupValueInTableTwoColumns(AK225, _xlfn.IFS(AK225="Urea",IF($O225="", "Global", $O225), AK225="Ammonia", IF($P225="", "Global", $P225), TRUE, "Global"), Table_SourceData_Scope3_InorganicFertiliser[Chemical compound],Table_SourceData_Scope3_InorganicFertiliser[Region of origin],Table_SourceData_Scope3_InorganicFertiliser[AusLCI Emissions intensity]), IF(_xlpm.result="", 0, _xlpm.result))</f>
        <v>0</v>
      </c>
      <c r="AN225" s="58"/>
    </row>
    <row r="226" spans="4:40" ht="20.100000000000001" customHeight="1" x14ac:dyDescent="0.25">
      <c r="D226" s="39" t="str">
        <v/>
      </c>
      <c r="E226" s="39">
        <v>0</v>
      </c>
      <c r="F226" s="39" cm="1">
        <f t="array" ref="F226">Scope3_Equations.VEERG_15_4_1_1__X_EmissionFactorFromPurchasedFertiliserComponents(R226,S226)+
Scope3_Equations.VEERG_15_4_1_1__X_EmissionFactorFromPurchasedFertiliserComponents(V226,W226)+
Scope3_Equations.VEERG_15_4_1_1__X_EmissionFactorFromPurchasedFertiliserComponents(Z226,AA226)+
Scope3_Equations.VEERG_15_4_1_1__X_EmissionFactorFromPurchasedFertiliserComponents(AD226,AE226)+
Scope3_Equations.VEERG_15_4_1_1__X_EmissionFactorFromPurchasedFertiliserComponents(AH226,AI226)+
Scope3_Equations.VEERG_15_4_1_1__X_EmissionFactorFromPurchasedFertiliserComponents(AL226,AM226)</f>
        <v>0</v>
      </c>
      <c r="G226" s="152" cm="1">
        <f t="array" ref="G226">Scope3_Equations.VEERG_15_4_1_1__1_EmissionsFromPurchasedFertiliser(E226,F226)</f>
        <v>0</v>
      </c>
      <c r="H226" s="39" cm="1">
        <f t="array" ref="H226">Scope3_Equations.VEERG_15_4_1_1__2_EmissionsFromPurchasedFertiliserComponentsVariation(R226, $E226,S226)+
Scope3_Equations.VEERG_15_4_1_1__2_EmissionsFromPurchasedFertiliserComponentsVariation(V226, $E226,W226)+
Scope3_Equations.VEERG_15_4_1_1__2_EmissionsFromPurchasedFertiliserComponentsVariation(Z226, $E226,AA226)+
Scope3_Equations.VEERG_15_4_1_1__2_EmissionsFromPurchasedFertiliserComponentsVariation(AD226, $E226,AE226)+
Scope3_Equations.VEERG_15_4_1_1__2_EmissionsFromPurchasedFertiliserComponentsVariation(AH226, $E226,AI226)+
Scope3_Equations.VEERG_15_4_1_1__2_EmissionsFromPurchasedFertiliserComponentsVariation(AL226, $E226,AM226)</f>
        <v>0</v>
      </c>
      <c r="I226" s="58"/>
      <c r="J226" s="152" cm="1">
        <f t="array" ref="J226">Scope3_Equations.VEERG_15_4_1_1__1_EmissionsFromPurchasedFertiliser(E226,I226)</f>
        <v>0</v>
      </c>
      <c r="K226" s="152" cm="1">
        <f t="array" ref="K226">Scope3_Equations.VEERG_15_4_1_1__2_EmissionsFromPurchasedFertiliserComponentsVariation(R226, $E226,IF(T226,T226,S226))+
Scope3_Equations.VEERG_15_4_1_1__2_EmissionsFromPurchasedFertiliserComponentsVariation(V226, $E226,IF(X226,X226,W226))+
Scope3_Equations.VEERG_15_4_1_1__2_EmissionsFromPurchasedFertiliserComponentsVariation(Z226, $E226,IF(AB226,AB226,AA226))+
Scope3_Equations.VEERG_15_4_1_1__2_EmissionsFromPurchasedFertiliserComponentsVariation(AD226, $E226,IF(AF226,AF226,AE226))+
Scope3_Equations.VEERG_15_4_1_1__2_EmissionsFromPurchasedFertiliserComponentsVariation(AH226, $E226,IF(AJ226,AJ226,AI226))+
Scope3_Equations.VEERG_15_4_1_1__2_EmissionsFromPurchasedFertiliserComponentsVariation(AL226, $E226,IF(AN226,AN226,AM226))</f>
        <v>0</v>
      </c>
      <c r="L226" s="75"/>
      <c r="M226" s="37"/>
      <c r="N226" s="75"/>
      <c r="O226" s="39" t="str">
        <v/>
      </c>
      <c r="P226" s="39" t="str">
        <v/>
      </c>
      <c r="Q226" s="39" t="str">
        <v/>
      </c>
      <c r="R226" s="39">
        <v>0</v>
      </c>
      <c r="S226" s="39" cm="1">
        <f t="array" ref="S226">_xlfn.LET(_xlpm.result, Common_InputFunctions.Utility_LookupValueInTableTwoColumns(Q226, _xlfn.IFS(Q226="Urea",IF($O226="", "Global", $O226), Q226="Ammonia", IF($P226="", "Global", $P226), TRUE, "Global"), Table_SourceData_Scope3_InorganicFertiliser[Chemical compound],Table_SourceData_Scope3_InorganicFertiliser[Region of origin],Table_SourceData_Scope3_InorganicFertiliser[AusLCI Emissions intensity]), IF(_xlpm.result="", 0, _xlpm.result))</f>
        <v>0</v>
      </c>
      <c r="T226" s="58"/>
      <c r="U226" s="39" t="str">
        <v/>
      </c>
      <c r="V226" s="39">
        <v>0</v>
      </c>
      <c r="W226" s="39" cm="1">
        <f t="array" ref="W226">_xlfn.LET(_xlpm.result, Common_InputFunctions.Utility_LookupValueInTableTwoColumns(U226, _xlfn.IFS(U226="Urea",IF($O226="", "Global", $O226), U226="Ammonia", IF($P226="", "Global", $P226), TRUE, "Global"), Table_SourceData_Scope3_InorganicFertiliser[Chemical compound],Table_SourceData_Scope3_InorganicFertiliser[Region of origin],Table_SourceData_Scope3_InorganicFertiliser[AusLCI Emissions intensity]), IF(_xlpm.result="", 0, _xlpm.result))</f>
        <v>0</v>
      </c>
      <c r="X226" s="58"/>
      <c r="Y226" s="39" t="str">
        <v/>
      </c>
      <c r="Z226" s="39">
        <v>0</v>
      </c>
      <c r="AA226" s="39" cm="1">
        <f t="array" ref="AA226">_xlfn.LET(_xlpm.result, Common_InputFunctions.Utility_LookupValueInTableTwoColumns(Y226, _xlfn.IFS(Y226="Urea",IF($O226="", "Global", $O226), Y226="Ammonia", IF($P226="", "Global", $P226), TRUE, "Global"), Table_SourceData_Scope3_InorganicFertiliser[Chemical compound],Table_SourceData_Scope3_InorganicFertiliser[Region of origin],Table_SourceData_Scope3_InorganicFertiliser[AusLCI Emissions intensity]), IF(_xlpm.result="", 0, _xlpm.result))</f>
        <v>0</v>
      </c>
      <c r="AB226" s="58"/>
      <c r="AC226" s="39" t="str">
        <v/>
      </c>
      <c r="AD226" s="39">
        <v>0</v>
      </c>
      <c r="AE226" s="39" cm="1">
        <f t="array" ref="AE226">_xlfn.LET(_xlpm.result, Common_InputFunctions.Utility_LookupValueInTableTwoColumns(AC226, _xlfn.IFS(AC226="Urea",IF($O226="", "Global", $O226), AC226="Ammonia", IF($P226="", "Global", $P226), TRUE, "Global"), Table_SourceData_Scope3_InorganicFertiliser[Chemical compound],Table_SourceData_Scope3_InorganicFertiliser[Region of origin],Table_SourceData_Scope3_InorganicFertiliser[AusLCI Emissions intensity]), IF(_xlpm.result="", 0, _xlpm.result))</f>
        <v>0</v>
      </c>
      <c r="AF226" s="58"/>
      <c r="AG226" s="39" t="str">
        <v/>
      </c>
      <c r="AH226" s="39">
        <v>0</v>
      </c>
      <c r="AI226" s="39" cm="1">
        <f t="array" ref="AI226">_xlfn.LET(_xlpm.result, Common_InputFunctions.Utility_LookupValueInTableTwoColumns(AG226, _xlfn.IFS(AG226="Urea",IF($O226="", "Global", $O226), AG226="Ammonia", IF($P226="", "Global", $P226), TRUE, "Global"), Table_SourceData_Scope3_InorganicFertiliser[Chemical compound],Table_SourceData_Scope3_InorganicFertiliser[Region of origin],Table_SourceData_Scope3_InorganicFertiliser[AusLCI Emissions intensity]), IF(_xlpm.result="", 0, _xlpm.result))</f>
        <v>0</v>
      </c>
      <c r="AJ226" s="58"/>
      <c r="AK226" s="39" t="str">
        <v/>
      </c>
      <c r="AL226" s="39">
        <v>0</v>
      </c>
      <c r="AM226" s="39" cm="1">
        <f t="array" ref="AM226">_xlfn.LET(_xlpm.result, Common_InputFunctions.Utility_LookupValueInTableTwoColumns(AK226, _xlfn.IFS(AK226="Urea",IF($O226="", "Global", $O226), AK226="Ammonia", IF($P226="", "Global", $P226), TRUE, "Global"), Table_SourceData_Scope3_InorganicFertiliser[Chemical compound],Table_SourceData_Scope3_InorganicFertiliser[Region of origin],Table_SourceData_Scope3_InorganicFertiliser[AusLCI Emissions intensity]), IF(_xlpm.result="", 0, _xlpm.result))</f>
        <v>0</v>
      </c>
      <c r="AN226" s="58"/>
    </row>
    <row r="227" spans="4:40" ht="20.100000000000001" customHeight="1" x14ac:dyDescent="0.25">
      <c r="D227" s="39" t="str">
        <v/>
      </c>
      <c r="E227" s="39">
        <v>0</v>
      </c>
      <c r="F227" s="39" cm="1">
        <f t="array" ref="F227">Scope3_Equations.VEERG_15_4_1_1__X_EmissionFactorFromPurchasedFertiliserComponents(R227,S227)+
Scope3_Equations.VEERG_15_4_1_1__X_EmissionFactorFromPurchasedFertiliserComponents(V227,W227)+
Scope3_Equations.VEERG_15_4_1_1__X_EmissionFactorFromPurchasedFertiliserComponents(Z227,AA227)+
Scope3_Equations.VEERG_15_4_1_1__X_EmissionFactorFromPurchasedFertiliserComponents(AD227,AE227)+
Scope3_Equations.VEERG_15_4_1_1__X_EmissionFactorFromPurchasedFertiliserComponents(AH227,AI227)+
Scope3_Equations.VEERG_15_4_1_1__X_EmissionFactorFromPurchasedFertiliserComponents(AL227,AM227)</f>
        <v>0</v>
      </c>
      <c r="G227" s="152" cm="1">
        <f t="array" ref="G227">Scope3_Equations.VEERG_15_4_1_1__1_EmissionsFromPurchasedFertiliser(E227,F227)</f>
        <v>0</v>
      </c>
      <c r="H227" s="39" cm="1">
        <f t="array" ref="H227">Scope3_Equations.VEERG_15_4_1_1__2_EmissionsFromPurchasedFertiliserComponentsVariation(R227, $E227,S227)+
Scope3_Equations.VEERG_15_4_1_1__2_EmissionsFromPurchasedFertiliserComponentsVariation(V227, $E227,W227)+
Scope3_Equations.VEERG_15_4_1_1__2_EmissionsFromPurchasedFertiliserComponentsVariation(Z227, $E227,AA227)+
Scope3_Equations.VEERG_15_4_1_1__2_EmissionsFromPurchasedFertiliserComponentsVariation(AD227, $E227,AE227)+
Scope3_Equations.VEERG_15_4_1_1__2_EmissionsFromPurchasedFertiliserComponentsVariation(AH227, $E227,AI227)+
Scope3_Equations.VEERG_15_4_1_1__2_EmissionsFromPurchasedFertiliserComponentsVariation(AL227, $E227,AM227)</f>
        <v>0</v>
      </c>
      <c r="I227" s="58"/>
      <c r="J227" s="152" cm="1">
        <f t="array" ref="J227">Scope3_Equations.VEERG_15_4_1_1__1_EmissionsFromPurchasedFertiliser(E227,I227)</f>
        <v>0</v>
      </c>
      <c r="K227" s="152" cm="1">
        <f t="array" ref="K227">Scope3_Equations.VEERG_15_4_1_1__2_EmissionsFromPurchasedFertiliserComponentsVariation(R227, $E227,IF(T227,T227,S227))+
Scope3_Equations.VEERG_15_4_1_1__2_EmissionsFromPurchasedFertiliserComponentsVariation(V227, $E227,IF(X227,X227,W227))+
Scope3_Equations.VEERG_15_4_1_1__2_EmissionsFromPurchasedFertiliserComponentsVariation(Z227, $E227,IF(AB227,AB227,AA227))+
Scope3_Equations.VEERG_15_4_1_1__2_EmissionsFromPurchasedFertiliserComponentsVariation(AD227, $E227,IF(AF227,AF227,AE227))+
Scope3_Equations.VEERG_15_4_1_1__2_EmissionsFromPurchasedFertiliserComponentsVariation(AH227, $E227,IF(AJ227,AJ227,AI227))+
Scope3_Equations.VEERG_15_4_1_1__2_EmissionsFromPurchasedFertiliserComponentsVariation(AL227, $E227,IF(AN227,AN227,AM227))</f>
        <v>0</v>
      </c>
      <c r="L227" s="75"/>
      <c r="M227" s="37"/>
      <c r="N227" s="75"/>
      <c r="O227" s="39" t="str">
        <v/>
      </c>
      <c r="P227" s="39" t="str">
        <v/>
      </c>
      <c r="Q227" s="39" t="str">
        <v/>
      </c>
      <c r="R227" s="39">
        <v>0</v>
      </c>
      <c r="S227" s="39" cm="1">
        <f t="array" ref="S227">_xlfn.LET(_xlpm.result, Common_InputFunctions.Utility_LookupValueInTableTwoColumns(Q227, _xlfn.IFS(Q227="Urea",IF($O227="", "Global", $O227), Q227="Ammonia", IF($P227="", "Global", $P227), TRUE, "Global"), Table_SourceData_Scope3_InorganicFertiliser[Chemical compound],Table_SourceData_Scope3_InorganicFertiliser[Region of origin],Table_SourceData_Scope3_InorganicFertiliser[AusLCI Emissions intensity]), IF(_xlpm.result="", 0, _xlpm.result))</f>
        <v>0</v>
      </c>
      <c r="T227" s="58"/>
      <c r="U227" s="39" t="str">
        <v/>
      </c>
      <c r="V227" s="39">
        <v>0</v>
      </c>
      <c r="W227" s="39" cm="1">
        <f t="array" ref="W227">_xlfn.LET(_xlpm.result, Common_InputFunctions.Utility_LookupValueInTableTwoColumns(U227, _xlfn.IFS(U227="Urea",IF($O227="", "Global", $O227), U227="Ammonia", IF($P227="", "Global", $P227), TRUE, "Global"), Table_SourceData_Scope3_InorganicFertiliser[Chemical compound],Table_SourceData_Scope3_InorganicFertiliser[Region of origin],Table_SourceData_Scope3_InorganicFertiliser[AusLCI Emissions intensity]), IF(_xlpm.result="", 0, _xlpm.result))</f>
        <v>0</v>
      </c>
      <c r="X227" s="58"/>
      <c r="Y227" s="39" t="str">
        <v/>
      </c>
      <c r="Z227" s="39">
        <v>0</v>
      </c>
      <c r="AA227" s="39" cm="1">
        <f t="array" ref="AA227">_xlfn.LET(_xlpm.result, Common_InputFunctions.Utility_LookupValueInTableTwoColumns(Y227, _xlfn.IFS(Y227="Urea",IF($O227="", "Global", $O227), Y227="Ammonia", IF($P227="", "Global", $P227), TRUE, "Global"), Table_SourceData_Scope3_InorganicFertiliser[Chemical compound],Table_SourceData_Scope3_InorganicFertiliser[Region of origin],Table_SourceData_Scope3_InorganicFertiliser[AusLCI Emissions intensity]), IF(_xlpm.result="", 0, _xlpm.result))</f>
        <v>0</v>
      </c>
      <c r="AB227" s="58"/>
      <c r="AC227" s="39" t="str">
        <v/>
      </c>
      <c r="AD227" s="39">
        <v>0</v>
      </c>
      <c r="AE227" s="39" cm="1">
        <f t="array" ref="AE227">_xlfn.LET(_xlpm.result, Common_InputFunctions.Utility_LookupValueInTableTwoColumns(AC227, _xlfn.IFS(AC227="Urea",IF($O227="", "Global", $O227), AC227="Ammonia", IF($P227="", "Global", $P227), TRUE, "Global"), Table_SourceData_Scope3_InorganicFertiliser[Chemical compound],Table_SourceData_Scope3_InorganicFertiliser[Region of origin],Table_SourceData_Scope3_InorganicFertiliser[AusLCI Emissions intensity]), IF(_xlpm.result="", 0, _xlpm.result))</f>
        <v>0</v>
      </c>
      <c r="AF227" s="58"/>
      <c r="AG227" s="39" t="str">
        <v/>
      </c>
      <c r="AH227" s="39">
        <v>0</v>
      </c>
      <c r="AI227" s="39" cm="1">
        <f t="array" ref="AI227">_xlfn.LET(_xlpm.result, Common_InputFunctions.Utility_LookupValueInTableTwoColumns(AG227, _xlfn.IFS(AG227="Urea",IF($O227="", "Global", $O227), AG227="Ammonia", IF($P227="", "Global", $P227), TRUE, "Global"), Table_SourceData_Scope3_InorganicFertiliser[Chemical compound],Table_SourceData_Scope3_InorganicFertiliser[Region of origin],Table_SourceData_Scope3_InorganicFertiliser[AusLCI Emissions intensity]), IF(_xlpm.result="", 0, _xlpm.result))</f>
        <v>0</v>
      </c>
      <c r="AJ227" s="58"/>
      <c r="AK227" s="39" t="str">
        <v/>
      </c>
      <c r="AL227" s="39">
        <v>0</v>
      </c>
      <c r="AM227" s="39" cm="1">
        <f t="array" ref="AM227">_xlfn.LET(_xlpm.result, Common_InputFunctions.Utility_LookupValueInTableTwoColumns(AK227, _xlfn.IFS(AK227="Urea",IF($O227="", "Global", $O227), AK227="Ammonia", IF($P227="", "Global", $P227), TRUE, "Global"), Table_SourceData_Scope3_InorganicFertiliser[Chemical compound],Table_SourceData_Scope3_InorganicFertiliser[Region of origin],Table_SourceData_Scope3_InorganicFertiliser[AusLCI Emissions intensity]), IF(_xlpm.result="", 0, _xlpm.result))</f>
        <v>0</v>
      </c>
      <c r="AN227" s="58"/>
    </row>
    <row r="228" spans="4:40" ht="20.100000000000001" customHeight="1" x14ac:dyDescent="0.25">
      <c r="D228" s="39" t="str">
        <v/>
      </c>
      <c r="E228" s="39">
        <v>0</v>
      </c>
      <c r="F228" s="39" cm="1">
        <f t="array" ref="F228">Scope3_Equations.VEERG_15_4_1_1__X_EmissionFactorFromPurchasedFertiliserComponents(R228,S228)+
Scope3_Equations.VEERG_15_4_1_1__X_EmissionFactorFromPurchasedFertiliserComponents(V228,W228)+
Scope3_Equations.VEERG_15_4_1_1__X_EmissionFactorFromPurchasedFertiliserComponents(Z228,AA228)+
Scope3_Equations.VEERG_15_4_1_1__X_EmissionFactorFromPurchasedFertiliserComponents(AD228,AE228)+
Scope3_Equations.VEERG_15_4_1_1__X_EmissionFactorFromPurchasedFertiliserComponents(AH228,AI228)+
Scope3_Equations.VEERG_15_4_1_1__X_EmissionFactorFromPurchasedFertiliserComponents(AL228,AM228)</f>
        <v>0</v>
      </c>
      <c r="G228" s="152" cm="1">
        <f t="array" ref="G228">Scope3_Equations.VEERG_15_4_1_1__1_EmissionsFromPurchasedFertiliser(E228,F228)</f>
        <v>0</v>
      </c>
      <c r="H228" s="39" cm="1">
        <f t="array" ref="H228">Scope3_Equations.VEERG_15_4_1_1__2_EmissionsFromPurchasedFertiliserComponentsVariation(R228, $E228,S228)+
Scope3_Equations.VEERG_15_4_1_1__2_EmissionsFromPurchasedFertiliserComponentsVariation(V228, $E228,W228)+
Scope3_Equations.VEERG_15_4_1_1__2_EmissionsFromPurchasedFertiliserComponentsVariation(Z228, $E228,AA228)+
Scope3_Equations.VEERG_15_4_1_1__2_EmissionsFromPurchasedFertiliserComponentsVariation(AD228, $E228,AE228)+
Scope3_Equations.VEERG_15_4_1_1__2_EmissionsFromPurchasedFertiliserComponentsVariation(AH228, $E228,AI228)+
Scope3_Equations.VEERG_15_4_1_1__2_EmissionsFromPurchasedFertiliserComponentsVariation(AL228, $E228,AM228)</f>
        <v>0</v>
      </c>
      <c r="I228" s="58"/>
      <c r="J228" s="152" cm="1">
        <f t="array" ref="J228">Scope3_Equations.VEERG_15_4_1_1__1_EmissionsFromPurchasedFertiliser(E228,I228)</f>
        <v>0</v>
      </c>
      <c r="K228" s="152" cm="1">
        <f t="array" ref="K228">Scope3_Equations.VEERG_15_4_1_1__2_EmissionsFromPurchasedFertiliserComponentsVariation(R228, $E228,IF(T228,T228,S228))+
Scope3_Equations.VEERG_15_4_1_1__2_EmissionsFromPurchasedFertiliserComponentsVariation(V228, $E228,IF(X228,X228,W228))+
Scope3_Equations.VEERG_15_4_1_1__2_EmissionsFromPurchasedFertiliserComponentsVariation(Z228, $E228,IF(AB228,AB228,AA228))+
Scope3_Equations.VEERG_15_4_1_1__2_EmissionsFromPurchasedFertiliserComponentsVariation(AD228, $E228,IF(AF228,AF228,AE228))+
Scope3_Equations.VEERG_15_4_1_1__2_EmissionsFromPurchasedFertiliserComponentsVariation(AH228, $E228,IF(AJ228,AJ228,AI228))+
Scope3_Equations.VEERG_15_4_1_1__2_EmissionsFromPurchasedFertiliserComponentsVariation(AL228, $E228,IF(AN228,AN228,AM228))</f>
        <v>0</v>
      </c>
      <c r="L228" s="75"/>
      <c r="M228" s="37"/>
      <c r="N228" s="75"/>
      <c r="O228" s="39" t="str">
        <v/>
      </c>
      <c r="P228" s="39" t="str">
        <v/>
      </c>
      <c r="Q228" s="39" t="str">
        <v/>
      </c>
      <c r="R228" s="39">
        <v>0</v>
      </c>
      <c r="S228" s="39" cm="1">
        <f t="array" ref="S228">_xlfn.LET(_xlpm.result, Common_InputFunctions.Utility_LookupValueInTableTwoColumns(Q228, _xlfn.IFS(Q228="Urea",IF($O228="", "Global", $O228), Q228="Ammonia", IF($P228="", "Global", $P228), TRUE, "Global"), Table_SourceData_Scope3_InorganicFertiliser[Chemical compound],Table_SourceData_Scope3_InorganicFertiliser[Region of origin],Table_SourceData_Scope3_InorganicFertiliser[AusLCI Emissions intensity]), IF(_xlpm.result="", 0, _xlpm.result))</f>
        <v>0</v>
      </c>
      <c r="T228" s="58"/>
      <c r="U228" s="39" t="str">
        <v/>
      </c>
      <c r="V228" s="39">
        <v>0</v>
      </c>
      <c r="W228" s="39" cm="1">
        <f t="array" ref="W228">_xlfn.LET(_xlpm.result, Common_InputFunctions.Utility_LookupValueInTableTwoColumns(U228, _xlfn.IFS(U228="Urea",IF($O228="", "Global", $O228), U228="Ammonia", IF($P228="", "Global", $P228), TRUE, "Global"), Table_SourceData_Scope3_InorganicFertiliser[Chemical compound],Table_SourceData_Scope3_InorganicFertiliser[Region of origin],Table_SourceData_Scope3_InorganicFertiliser[AusLCI Emissions intensity]), IF(_xlpm.result="", 0, _xlpm.result))</f>
        <v>0</v>
      </c>
      <c r="X228" s="58"/>
      <c r="Y228" s="39" t="str">
        <v/>
      </c>
      <c r="Z228" s="39">
        <v>0</v>
      </c>
      <c r="AA228" s="39" cm="1">
        <f t="array" ref="AA228">_xlfn.LET(_xlpm.result, Common_InputFunctions.Utility_LookupValueInTableTwoColumns(Y228, _xlfn.IFS(Y228="Urea",IF($O228="", "Global", $O228), Y228="Ammonia", IF($P228="", "Global", $P228), TRUE, "Global"), Table_SourceData_Scope3_InorganicFertiliser[Chemical compound],Table_SourceData_Scope3_InorganicFertiliser[Region of origin],Table_SourceData_Scope3_InorganicFertiliser[AusLCI Emissions intensity]), IF(_xlpm.result="", 0, _xlpm.result))</f>
        <v>0</v>
      </c>
      <c r="AB228" s="58"/>
      <c r="AC228" s="39" t="str">
        <v/>
      </c>
      <c r="AD228" s="39">
        <v>0</v>
      </c>
      <c r="AE228" s="39" cm="1">
        <f t="array" ref="AE228">_xlfn.LET(_xlpm.result, Common_InputFunctions.Utility_LookupValueInTableTwoColumns(AC228, _xlfn.IFS(AC228="Urea",IF($O228="", "Global", $O228), AC228="Ammonia", IF($P228="", "Global", $P228), TRUE, "Global"), Table_SourceData_Scope3_InorganicFertiliser[Chemical compound],Table_SourceData_Scope3_InorganicFertiliser[Region of origin],Table_SourceData_Scope3_InorganicFertiliser[AusLCI Emissions intensity]), IF(_xlpm.result="", 0, _xlpm.result))</f>
        <v>0</v>
      </c>
      <c r="AF228" s="58"/>
      <c r="AG228" s="39" t="str">
        <v/>
      </c>
      <c r="AH228" s="39">
        <v>0</v>
      </c>
      <c r="AI228" s="39" cm="1">
        <f t="array" ref="AI228">_xlfn.LET(_xlpm.result, Common_InputFunctions.Utility_LookupValueInTableTwoColumns(AG228, _xlfn.IFS(AG228="Urea",IF($O228="", "Global", $O228), AG228="Ammonia", IF($P228="", "Global", $P228), TRUE, "Global"), Table_SourceData_Scope3_InorganicFertiliser[Chemical compound],Table_SourceData_Scope3_InorganicFertiliser[Region of origin],Table_SourceData_Scope3_InorganicFertiliser[AusLCI Emissions intensity]), IF(_xlpm.result="", 0, _xlpm.result))</f>
        <v>0</v>
      </c>
      <c r="AJ228" s="58"/>
      <c r="AK228" s="39" t="str">
        <v/>
      </c>
      <c r="AL228" s="39">
        <v>0</v>
      </c>
      <c r="AM228" s="39" cm="1">
        <f t="array" ref="AM228">_xlfn.LET(_xlpm.result, Common_InputFunctions.Utility_LookupValueInTableTwoColumns(AK228, _xlfn.IFS(AK228="Urea",IF($O228="", "Global", $O228), AK228="Ammonia", IF($P228="", "Global", $P228), TRUE, "Global"), Table_SourceData_Scope3_InorganicFertiliser[Chemical compound],Table_SourceData_Scope3_InorganicFertiliser[Region of origin],Table_SourceData_Scope3_InorganicFertiliser[AusLCI Emissions intensity]), IF(_xlpm.result="", 0, _xlpm.result))</f>
        <v>0</v>
      </c>
      <c r="AN228" s="58"/>
    </row>
    <row r="229" spans="4:40" ht="20.100000000000001" customHeight="1" x14ac:dyDescent="0.25">
      <c r="D229" s="39" t="str">
        <v/>
      </c>
      <c r="E229" s="39">
        <v>0</v>
      </c>
      <c r="F229" s="39" cm="1">
        <f t="array" ref="F229">Scope3_Equations.VEERG_15_4_1_1__X_EmissionFactorFromPurchasedFertiliserComponents(R229,S229)+
Scope3_Equations.VEERG_15_4_1_1__X_EmissionFactorFromPurchasedFertiliserComponents(V229,W229)+
Scope3_Equations.VEERG_15_4_1_1__X_EmissionFactorFromPurchasedFertiliserComponents(Z229,AA229)+
Scope3_Equations.VEERG_15_4_1_1__X_EmissionFactorFromPurchasedFertiliserComponents(AD229,AE229)+
Scope3_Equations.VEERG_15_4_1_1__X_EmissionFactorFromPurchasedFertiliserComponents(AH229,AI229)+
Scope3_Equations.VEERG_15_4_1_1__X_EmissionFactorFromPurchasedFertiliserComponents(AL229,AM229)</f>
        <v>0</v>
      </c>
      <c r="G229" s="152" cm="1">
        <f t="array" ref="G229">Scope3_Equations.VEERG_15_4_1_1__1_EmissionsFromPurchasedFertiliser(E229,F229)</f>
        <v>0</v>
      </c>
      <c r="H229" s="39" cm="1">
        <f t="array" ref="H229">Scope3_Equations.VEERG_15_4_1_1__2_EmissionsFromPurchasedFertiliserComponentsVariation(R229, $E229,S229)+
Scope3_Equations.VEERG_15_4_1_1__2_EmissionsFromPurchasedFertiliserComponentsVariation(V229, $E229,W229)+
Scope3_Equations.VEERG_15_4_1_1__2_EmissionsFromPurchasedFertiliserComponentsVariation(Z229, $E229,AA229)+
Scope3_Equations.VEERG_15_4_1_1__2_EmissionsFromPurchasedFertiliserComponentsVariation(AD229, $E229,AE229)+
Scope3_Equations.VEERG_15_4_1_1__2_EmissionsFromPurchasedFertiliserComponentsVariation(AH229, $E229,AI229)+
Scope3_Equations.VEERG_15_4_1_1__2_EmissionsFromPurchasedFertiliserComponentsVariation(AL229, $E229,AM229)</f>
        <v>0</v>
      </c>
      <c r="I229" s="58"/>
      <c r="J229" s="152" cm="1">
        <f t="array" ref="J229">Scope3_Equations.VEERG_15_4_1_1__1_EmissionsFromPurchasedFertiliser(E229,I229)</f>
        <v>0</v>
      </c>
      <c r="K229" s="152" cm="1">
        <f t="array" ref="K229">Scope3_Equations.VEERG_15_4_1_1__2_EmissionsFromPurchasedFertiliserComponentsVariation(R229, $E229,IF(T229,T229,S229))+
Scope3_Equations.VEERG_15_4_1_1__2_EmissionsFromPurchasedFertiliserComponentsVariation(V229, $E229,IF(X229,X229,W229))+
Scope3_Equations.VEERG_15_4_1_1__2_EmissionsFromPurchasedFertiliserComponentsVariation(Z229, $E229,IF(AB229,AB229,AA229))+
Scope3_Equations.VEERG_15_4_1_1__2_EmissionsFromPurchasedFertiliserComponentsVariation(AD229, $E229,IF(AF229,AF229,AE229))+
Scope3_Equations.VEERG_15_4_1_1__2_EmissionsFromPurchasedFertiliserComponentsVariation(AH229, $E229,IF(AJ229,AJ229,AI229))+
Scope3_Equations.VEERG_15_4_1_1__2_EmissionsFromPurchasedFertiliserComponentsVariation(AL229, $E229,IF(AN229,AN229,AM229))</f>
        <v>0</v>
      </c>
      <c r="L229" s="75"/>
      <c r="M229" s="37"/>
      <c r="N229" s="75"/>
      <c r="O229" s="39" t="str">
        <v/>
      </c>
      <c r="P229" s="39" t="str">
        <v/>
      </c>
      <c r="Q229" s="39" t="str">
        <v/>
      </c>
      <c r="R229" s="39">
        <v>0</v>
      </c>
      <c r="S229" s="39" cm="1">
        <f t="array" ref="S229">_xlfn.LET(_xlpm.result, Common_InputFunctions.Utility_LookupValueInTableTwoColumns(Q229, _xlfn.IFS(Q229="Urea",IF($O229="", "Global", $O229), Q229="Ammonia", IF($P229="", "Global", $P229), TRUE, "Global"), Table_SourceData_Scope3_InorganicFertiliser[Chemical compound],Table_SourceData_Scope3_InorganicFertiliser[Region of origin],Table_SourceData_Scope3_InorganicFertiliser[AusLCI Emissions intensity]), IF(_xlpm.result="", 0, _xlpm.result))</f>
        <v>0</v>
      </c>
      <c r="T229" s="58"/>
      <c r="U229" s="39" t="str">
        <v/>
      </c>
      <c r="V229" s="39">
        <v>0</v>
      </c>
      <c r="W229" s="39" cm="1">
        <f t="array" ref="W229">_xlfn.LET(_xlpm.result, Common_InputFunctions.Utility_LookupValueInTableTwoColumns(U229, _xlfn.IFS(U229="Urea",IF($O229="", "Global", $O229), U229="Ammonia", IF($P229="", "Global", $P229), TRUE, "Global"), Table_SourceData_Scope3_InorganicFertiliser[Chemical compound],Table_SourceData_Scope3_InorganicFertiliser[Region of origin],Table_SourceData_Scope3_InorganicFertiliser[AusLCI Emissions intensity]), IF(_xlpm.result="", 0, _xlpm.result))</f>
        <v>0</v>
      </c>
      <c r="X229" s="58"/>
      <c r="Y229" s="39" t="str">
        <v/>
      </c>
      <c r="Z229" s="39">
        <v>0</v>
      </c>
      <c r="AA229" s="39" cm="1">
        <f t="array" ref="AA229">_xlfn.LET(_xlpm.result, Common_InputFunctions.Utility_LookupValueInTableTwoColumns(Y229, _xlfn.IFS(Y229="Urea",IF($O229="", "Global", $O229), Y229="Ammonia", IF($P229="", "Global", $P229), TRUE, "Global"), Table_SourceData_Scope3_InorganicFertiliser[Chemical compound],Table_SourceData_Scope3_InorganicFertiliser[Region of origin],Table_SourceData_Scope3_InorganicFertiliser[AusLCI Emissions intensity]), IF(_xlpm.result="", 0, _xlpm.result))</f>
        <v>0</v>
      </c>
      <c r="AB229" s="58"/>
      <c r="AC229" s="39" t="str">
        <v/>
      </c>
      <c r="AD229" s="39">
        <v>0</v>
      </c>
      <c r="AE229" s="39" cm="1">
        <f t="array" ref="AE229">_xlfn.LET(_xlpm.result, Common_InputFunctions.Utility_LookupValueInTableTwoColumns(AC229, _xlfn.IFS(AC229="Urea",IF($O229="", "Global", $O229), AC229="Ammonia", IF($P229="", "Global", $P229), TRUE, "Global"), Table_SourceData_Scope3_InorganicFertiliser[Chemical compound],Table_SourceData_Scope3_InorganicFertiliser[Region of origin],Table_SourceData_Scope3_InorganicFertiliser[AusLCI Emissions intensity]), IF(_xlpm.result="", 0, _xlpm.result))</f>
        <v>0</v>
      </c>
      <c r="AF229" s="58"/>
      <c r="AG229" s="39" t="str">
        <v/>
      </c>
      <c r="AH229" s="39">
        <v>0</v>
      </c>
      <c r="AI229" s="39" cm="1">
        <f t="array" ref="AI229">_xlfn.LET(_xlpm.result, Common_InputFunctions.Utility_LookupValueInTableTwoColumns(AG229, _xlfn.IFS(AG229="Urea",IF($O229="", "Global", $O229), AG229="Ammonia", IF($P229="", "Global", $P229), TRUE, "Global"), Table_SourceData_Scope3_InorganicFertiliser[Chemical compound],Table_SourceData_Scope3_InorganicFertiliser[Region of origin],Table_SourceData_Scope3_InorganicFertiliser[AusLCI Emissions intensity]), IF(_xlpm.result="", 0, _xlpm.result))</f>
        <v>0</v>
      </c>
      <c r="AJ229" s="58"/>
      <c r="AK229" s="39" t="str">
        <v/>
      </c>
      <c r="AL229" s="39">
        <v>0</v>
      </c>
      <c r="AM229" s="39" cm="1">
        <f t="array" ref="AM229">_xlfn.LET(_xlpm.result, Common_InputFunctions.Utility_LookupValueInTableTwoColumns(AK229, _xlfn.IFS(AK229="Urea",IF($O229="", "Global", $O229), AK229="Ammonia", IF($P229="", "Global", $P229), TRUE, "Global"), Table_SourceData_Scope3_InorganicFertiliser[Chemical compound],Table_SourceData_Scope3_InorganicFertiliser[Region of origin],Table_SourceData_Scope3_InorganicFertiliser[AusLCI Emissions intensity]), IF(_xlpm.result="", 0, _xlpm.result))</f>
        <v>0</v>
      </c>
      <c r="AN229" s="58"/>
    </row>
    <row r="230" spans="4:40" ht="20.100000000000001" customHeight="1" x14ac:dyDescent="0.25">
      <c r="D230" s="39" t="str">
        <v/>
      </c>
      <c r="E230" s="39">
        <v>0</v>
      </c>
      <c r="F230" s="39" cm="1">
        <f t="array" ref="F230">Scope3_Equations.VEERG_15_4_1_1__X_EmissionFactorFromPurchasedFertiliserComponents(R230,S230)+
Scope3_Equations.VEERG_15_4_1_1__X_EmissionFactorFromPurchasedFertiliserComponents(V230,W230)+
Scope3_Equations.VEERG_15_4_1_1__X_EmissionFactorFromPurchasedFertiliserComponents(Z230,AA230)+
Scope3_Equations.VEERG_15_4_1_1__X_EmissionFactorFromPurchasedFertiliserComponents(AD230,AE230)+
Scope3_Equations.VEERG_15_4_1_1__X_EmissionFactorFromPurchasedFertiliserComponents(AH230,AI230)+
Scope3_Equations.VEERG_15_4_1_1__X_EmissionFactorFromPurchasedFertiliserComponents(AL230,AM230)</f>
        <v>0</v>
      </c>
      <c r="G230" s="152" cm="1">
        <f t="array" ref="G230">Scope3_Equations.VEERG_15_4_1_1__1_EmissionsFromPurchasedFertiliser(E230,F230)</f>
        <v>0</v>
      </c>
      <c r="H230" s="39" cm="1">
        <f t="array" ref="H230">Scope3_Equations.VEERG_15_4_1_1__2_EmissionsFromPurchasedFertiliserComponentsVariation(R230, $E230,S230)+
Scope3_Equations.VEERG_15_4_1_1__2_EmissionsFromPurchasedFertiliserComponentsVariation(V230, $E230,W230)+
Scope3_Equations.VEERG_15_4_1_1__2_EmissionsFromPurchasedFertiliserComponentsVariation(Z230, $E230,AA230)+
Scope3_Equations.VEERG_15_4_1_1__2_EmissionsFromPurchasedFertiliserComponentsVariation(AD230, $E230,AE230)+
Scope3_Equations.VEERG_15_4_1_1__2_EmissionsFromPurchasedFertiliserComponentsVariation(AH230, $E230,AI230)+
Scope3_Equations.VEERG_15_4_1_1__2_EmissionsFromPurchasedFertiliserComponentsVariation(AL230, $E230,AM230)</f>
        <v>0</v>
      </c>
      <c r="I230" s="58"/>
      <c r="J230" s="152" cm="1">
        <f t="array" ref="J230">Scope3_Equations.VEERG_15_4_1_1__1_EmissionsFromPurchasedFertiliser(E230,I230)</f>
        <v>0</v>
      </c>
      <c r="K230" s="152" cm="1">
        <f t="array" ref="K230">Scope3_Equations.VEERG_15_4_1_1__2_EmissionsFromPurchasedFertiliserComponentsVariation(R230, $E230,IF(T230,T230,S230))+
Scope3_Equations.VEERG_15_4_1_1__2_EmissionsFromPurchasedFertiliserComponentsVariation(V230, $E230,IF(X230,X230,W230))+
Scope3_Equations.VEERG_15_4_1_1__2_EmissionsFromPurchasedFertiliserComponentsVariation(Z230, $E230,IF(AB230,AB230,AA230))+
Scope3_Equations.VEERG_15_4_1_1__2_EmissionsFromPurchasedFertiliserComponentsVariation(AD230, $E230,IF(AF230,AF230,AE230))+
Scope3_Equations.VEERG_15_4_1_1__2_EmissionsFromPurchasedFertiliserComponentsVariation(AH230, $E230,IF(AJ230,AJ230,AI230))+
Scope3_Equations.VEERG_15_4_1_1__2_EmissionsFromPurchasedFertiliserComponentsVariation(AL230, $E230,IF(AN230,AN230,AM230))</f>
        <v>0</v>
      </c>
      <c r="L230" s="75"/>
      <c r="M230" s="37"/>
      <c r="N230" s="75"/>
      <c r="O230" s="39" t="str">
        <v/>
      </c>
      <c r="P230" s="39" t="str">
        <v/>
      </c>
      <c r="Q230" s="39" t="str">
        <v/>
      </c>
      <c r="R230" s="39">
        <v>0</v>
      </c>
      <c r="S230" s="39" cm="1">
        <f t="array" ref="S230">_xlfn.LET(_xlpm.result, Common_InputFunctions.Utility_LookupValueInTableTwoColumns(Q230, _xlfn.IFS(Q230="Urea",IF($O230="", "Global", $O230), Q230="Ammonia", IF($P230="", "Global", $P230), TRUE, "Global"), Table_SourceData_Scope3_InorganicFertiliser[Chemical compound],Table_SourceData_Scope3_InorganicFertiliser[Region of origin],Table_SourceData_Scope3_InorganicFertiliser[AusLCI Emissions intensity]), IF(_xlpm.result="", 0, _xlpm.result))</f>
        <v>0</v>
      </c>
      <c r="T230" s="58"/>
      <c r="U230" s="39" t="str">
        <v/>
      </c>
      <c r="V230" s="39">
        <v>0</v>
      </c>
      <c r="W230" s="39" cm="1">
        <f t="array" ref="W230">_xlfn.LET(_xlpm.result, Common_InputFunctions.Utility_LookupValueInTableTwoColumns(U230, _xlfn.IFS(U230="Urea",IF($O230="", "Global", $O230), U230="Ammonia", IF($P230="", "Global", $P230), TRUE, "Global"), Table_SourceData_Scope3_InorganicFertiliser[Chemical compound],Table_SourceData_Scope3_InorganicFertiliser[Region of origin],Table_SourceData_Scope3_InorganicFertiliser[AusLCI Emissions intensity]), IF(_xlpm.result="", 0, _xlpm.result))</f>
        <v>0</v>
      </c>
      <c r="X230" s="58"/>
      <c r="Y230" s="39" t="str">
        <v/>
      </c>
      <c r="Z230" s="39">
        <v>0</v>
      </c>
      <c r="AA230" s="39" cm="1">
        <f t="array" ref="AA230">_xlfn.LET(_xlpm.result, Common_InputFunctions.Utility_LookupValueInTableTwoColumns(Y230, _xlfn.IFS(Y230="Urea",IF($O230="", "Global", $O230), Y230="Ammonia", IF($P230="", "Global", $P230), TRUE, "Global"), Table_SourceData_Scope3_InorganicFertiliser[Chemical compound],Table_SourceData_Scope3_InorganicFertiliser[Region of origin],Table_SourceData_Scope3_InorganicFertiliser[AusLCI Emissions intensity]), IF(_xlpm.result="", 0, _xlpm.result))</f>
        <v>0</v>
      </c>
      <c r="AB230" s="58"/>
      <c r="AC230" s="39" t="str">
        <v/>
      </c>
      <c r="AD230" s="39">
        <v>0</v>
      </c>
      <c r="AE230" s="39" cm="1">
        <f t="array" ref="AE230">_xlfn.LET(_xlpm.result, Common_InputFunctions.Utility_LookupValueInTableTwoColumns(AC230, _xlfn.IFS(AC230="Urea",IF($O230="", "Global", $O230), AC230="Ammonia", IF($P230="", "Global", $P230), TRUE, "Global"), Table_SourceData_Scope3_InorganicFertiliser[Chemical compound],Table_SourceData_Scope3_InorganicFertiliser[Region of origin],Table_SourceData_Scope3_InorganicFertiliser[AusLCI Emissions intensity]), IF(_xlpm.result="", 0, _xlpm.result))</f>
        <v>0</v>
      </c>
      <c r="AF230" s="58"/>
      <c r="AG230" s="39" t="str">
        <v/>
      </c>
      <c r="AH230" s="39">
        <v>0</v>
      </c>
      <c r="AI230" s="39" cm="1">
        <f t="array" ref="AI230">_xlfn.LET(_xlpm.result, Common_InputFunctions.Utility_LookupValueInTableTwoColumns(AG230, _xlfn.IFS(AG230="Urea",IF($O230="", "Global", $O230), AG230="Ammonia", IF($P230="", "Global", $P230), TRUE, "Global"), Table_SourceData_Scope3_InorganicFertiliser[Chemical compound],Table_SourceData_Scope3_InorganicFertiliser[Region of origin],Table_SourceData_Scope3_InorganicFertiliser[AusLCI Emissions intensity]), IF(_xlpm.result="", 0, _xlpm.result))</f>
        <v>0</v>
      </c>
      <c r="AJ230" s="58"/>
      <c r="AK230" s="39" t="str">
        <v/>
      </c>
      <c r="AL230" s="39">
        <v>0</v>
      </c>
      <c r="AM230" s="39" cm="1">
        <f t="array" ref="AM230">_xlfn.LET(_xlpm.result, Common_InputFunctions.Utility_LookupValueInTableTwoColumns(AK230, _xlfn.IFS(AK230="Urea",IF($O230="", "Global", $O230), AK230="Ammonia", IF($P230="", "Global", $P230), TRUE, "Global"), Table_SourceData_Scope3_InorganicFertiliser[Chemical compound],Table_SourceData_Scope3_InorganicFertiliser[Region of origin],Table_SourceData_Scope3_InorganicFertiliser[AusLCI Emissions intensity]), IF(_xlpm.result="", 0, _xlpm.result))</f>
        <v>0</v>
      </c>
      <c r="AN230" s="58"/>
    </row>
    <row r="231" spans="4:40" ht="20.100000000000001" customHeight="1" x14ac:dyDescent="0.25"/>
    <row r="232" spans="4:40" ht="20.100000000000001" customHeight="1" x14ac:dyDescent="0.25">
      <c r="D232" s="143" t="s">
        <v>696</v>
      </c>
    </row>
    <row r="233" spans="4:40" ht="20.100000000000001" customHeight="1" x14ac:dyDescent="0.25"/>
    <row r="234" spans="4:40" ht="20.100000000000001" customHeight="1" x14ac:dyDescent="0.25">
      <c r="D234" s="89" t="s">
        <v>711</v>
      </c>
      <c r="E234" s="105"/>
      <c r="F234" s="90"/>
    </row>
    <row r="235" spans="4:40" ht="20.100000000000001" customHeight="1" x14ac:dyDescent="0.25"/>
    <row r="236" spans="4:40" ht="20.100000000000001" customHeight="1" x14ac:dyDescent="0.25">
      <c r="D236" s="36" t="s">
        <v>436</v>
      </c>
      <c r="E236" s="36" t="s">
        <v>385</v>
      </c>
      <c r="F236" s="49" t="s">
        <v>709</v>
      </c>
      <c r="G236" s="49" t="s">
        <v>693</v>
      </c>
      <c r="H236" s="49" t="s">
        <v>692</v>
      </c>
      <c r="I236" s="36" t="s">
        <v>710</v>
      </c>
      <c r="J236" s="49" t="s">
        <v>694</v>
      </c>
      <c r="K236" s="49" t="s">
        <v>695</v>
      </c>
      <c r="L236" s="36" t="s">
        <v>670</v>
      </c>
      <c r="M236" s="36" t="s">
        <v>671</v>
      </c>
      <c r="N236" s="36" t="s">
        <v>672</v>
      </c>
      <c r="O236" s="49" t="s">
        <v>173</v>
      </c>
      <c r="P236" s="49" t="s">
        <v>174</v>
      </c>
      <c r="Q236" s="49" t="s">
        <v>175</v>
      </c>
      <c r="R236" s="49" t="s">
        <v>176</v>
      </c>
      <c r="S236" s="49" t="s">
        <v>697</v>
      </c>
      <c r="T236" s="36" t="s">
        <v>698</v>
      </c>
      <c r="U236" s="49" t="s">
        <v>177</v>
      </c>
      <c r="V236" s="49" t="s">
        <v>178</v>
      </c>
      <c r="W236" s="49" t="s">
        <v>699</v>
      </c>
      <c r="X236" s="36" t="s">
        <v>700</v>
      </c>
      <c r="Y236" s="49" t="s">
        <v>179</v>
      </c>
      <c r="Z236" s="49" t="s">
        <v>180</v>
      </c>
      <c r="AA236" s="49" t="s">
        <v>701</v>
      </c>
      <c r="AB236" s="36" t="s">
        <v>702</v>
      </c>
      <c r="AC236" s="49" t="s">
        <v>181</v>
      </c>
      <c r="AD236" s="49" t="s">
        <v>182</v>
      </c>
      <c r="AE236" s="49" t="s">
        <v>703</v>
      </c>
      <c r="AF236" s="36" t="s">
        <v>704</v>
      </c>
    </row>
    <row r="237" spans="4:40" ht="20.100000000000001" customHeight="1" x14ac:dyDescent="0.25">
      <c r="D237" s="39" t="str" cm="1">
        <f t="array" ref="D237:D246">IFERROR(INDEX(Table_Input_InorganicFertiliser_Custom[Custom blend name], _xlfn.SEQUENCE(10)), "")</f>
        <v>My first custom blend</v>
      </c>
      <c r="E237" s="39" cm="1">
        <f t="array" ref="E237:E246">IFERROR(INDEX(Table_Input_InorganicFertiliser_Custom[Total applied (kg)], _xlfn.SEQUENCE(10)), 0)</f>
        <v>10000</v>
      </c>
      <c r="F237" s="39" cm="1">
        <f t="array" ref="F237">Scope3_Equations.VEERG_15_4_1_1__X_EmissionFactorFromPurchasedFertiliserComponents(R237,S237)+
Scope3_Equations.VEERG_15_4_1_1__X_EmissionFactorFromPurchasedFertiliserComponents(V237,W237)+
Scope3_Equations.VEERG_15_4_1_1__X_EmissionFactorFromPurchasedFertiliserComponents(Z237,AA237)+
Scope3_Equations.VEERG_15_4_1_1__X_EmissionFactorFromPurchasedFertiliserComponents(AD237,AE237)</f>
        <v>1.6099000000000001</v>
      </c>
      <c r="G237" s="152" cm="1">
        <f t="array" ref="G237">Scope3_Equations.VEERG_15_4_1_1__1_EmissionsFromPurchasedFertiliser(E237,F237)</f>
        <v>16.099000000000004</v>
      </c>
      <c r="H237" s="39" cm="1">
        <f t="array" ref="H237">Scope3_Equations.VEERG_15_4_1_1__2_EmissionsFromPurchasedFertiliserComponentsVariation(R237, $E237,S237)+
Scope3_Equations.VEERG_15_4_1_1__2_EmissionsFromPurchasedFertiliserComponentsVariation(V237, $E237,W237)+
Scope3_Equations.VEERG_15_4_1_1__2_EmissionsFromPurchasedFertiliserComponentsVariation(Z237, $E237,AA237)+
Scope3_Equations.VEERG_15_4_1_1__2_EmissionsFromPurchasedFertiliserComponentsVariation(AD237, $E237,AE237)</f>
        <v>16.099</v>
      </c>
      <c r="I237" s="58">
        <v>0.4</v>
      </c>
      <c r="J237" s="152" cm="1">
        <f t="array" ref="J237">Scope3_Equations.VEERG_15_4_1_1__1_EmissionsFromPurchasedFertiliser(E237,I237)</f>
        <v>4</v>
      </c>
      <c r="K237" s="152" cm="1">
        <f t="array" ref="K237">Scope3_Equations.VEERG_15_4_1_1__2_EmissionsFromPurchasedFertiliserComponentsVariation(R237, $E237,IF(T237,T237,S237))+
Scope3_Equations.VEERG_15_4_1_1__2_EmissionsFromPurchasedFertiliserComponentsVariation(V237, $E237,IF(X237,X237,W237))+
Scope3_Equations.VEERG_15_4_1_1__2_EmissionsFromPurchasedFertiliserComponentsVariation(Z237, $E237,IF(AB237,AB237,AA237))+
Scope3_Equations.VEERG_15_4_1_1__2_EmissionsFromPurchasedFertiliserComponentsVariation(AD237, $E237,IF(AF237,AF237,AE237))</f>
        <v>13.25</v>
      </c>
      <c r="L237" s="75"/>
      <c r="M237" s="37"/>
      <c r="N237" s="168"/>
      <c r="O237" s="39" t="str" cm="1">
        <f t="array" ref="O237:O246">IFERROR(INDEX(Table_Input_InorganicFertiliser_Custom[Urea source], _xlfn.SEQUENCE(10)), "")</f>
        <v>Canada</v>
      </c>
      <c r="P237" s="39" t="str" cm="1">
        <f t="array" ref="P237:P246">IFERROR(INDEX(Table_Input_InorganicFertiliser_Custom[Ammonia source], _xlfn.SEQUENCE(10)), "")</f>
        <v>Global</v>
      </c>
      <c r="Q237" s="39" t="str" cm="1">
        <f t="array" ref="Q237:Q246">IFERROR(INDEX(Table_Input_InorganicFertiliser_Custom[Ingredient 1 (select)], _xlfn.SEQUENCE(10)), "")</f>
        <v>Ammonia</v>
      </c>
      <c r="R237" s="39" cm="1">
        <f t="array" ref="R237:R246">IFERROR(INDEX(_xlfn.LET(_xlpm.result, Table_Input_InorganicFertiliser_Custom[Ingredient 1 percent], IF(_xlpm.result="", 0, _xlpm.result)), _xlfn.SEQUENCE(10)), 0)</f>
        <v>0.45</v>
      </c>
      <c r="S237" s="39" cm="1">
        <f t="array" ref="S237">_xlfn.LET(_xlpm.result, Common_InputFunctions.Utility_LookupValueInTableTwoColumns(Q237, _xlfn.IFS(Q237="Urea",IF($O237="", "Global", $O237), Q237="Ammonia", IF($P237="", "Global", $P237), TRUE, "Global"), Table_SourceData_Scope3_InorganicFertiliser[Chemical compound],Table_SourceData_Scope3_InorganicFertiliser[Region of origin],Table_SourceData_Scope3_InorganicFertiliser[AusLCI Emissions intensity]), IF(_xlpm.result="", 0, _xlpm.result))</f>
        <v>2.3199999999999998</v>
      </c>
      <c r="T237" s="58">
        <v>0.9</v>
      </c>
      <c r="U237" s="39" t="str" cm="1">
        <f t="array" ref="U237:U246">IFERROR(INDEX(Table_Input_InorganicFertiliser_Custom[Ingredient 2], _xlfn.SEQUENCE(10)), "")</f>
        <v>Calcium nitrate</v>
      </c>
      <c r="V237" s="39" cm="1">
        <f t="array" ref="V237:V246">IFERROR(INDEX(_xlfn.LET(_xlpm.result, Table_Input_InorganicFertiliser_Custom[Ingredient 2 percent], IF(_xlpm.result="", 0, _xlpm.result)), _xlfn.SEQUENCE(10)), 0)</f>
        <v>0.3</v>
      </c>
      <c r="W237" s="39" cm="1">
        <f t="array" ref="W237">_xlfn.LET(_xlpm.result, Common_InputFunctions.Utility_LookupValueInTableTwoColumns(U237, _xlfn.IFS(U237="Urea",IF($O237="", "Global", $O237), U237="Ammonia", IF($P237="", "Global", $P237), TRUE, "Global"), Table_SourceData_Scope3_InorganicFertiliser[Chemical compound],Table_SourceData_Scope3_InorganicFertiliser[Region of origin],Table_SourceData_Scope3_InorganicFertiliser[AusLCI Emissions intensity]), IF(_xlpm.result="", 0, _xlpm.result))</f>
        <v>0.75</v>
      </c>
      <c r="X237" s="58">
        <v>0.9</v>
      </c>
      <c r="Y237" s="39" t="str" cm="1">
        <f t="array" ref="Y237:Y246">IFERROR(INDEX(Table_Input_InorganicFertiliser_Custom[Ingredient 3], _xlfn.SEQUENCE(10)), "")</f>
        <v>Potassium - Generic</v>
      </c>
      <c r="Z237" s="39" cm="1">
        <f t="array" ref="Z237:Z246">IFERROR(INDEX(_xlfn.LET(_xlpm.result, Table_Input_InorganicFertiliser_Custom[Ingredient 3 percent], IF(_xlpm.result="", 0, _xlpm.result)), _xlfn.SEQUENCE(10)), 0)</f>
        <v>0.1</v>
      </c>
      <c r="AA237" s="39" cm="1">
        <f t="array" ref="AA237">_xlfn.LET(_xlpm.result, Common_InputFunctions.Utility_LookupValueInTableTwoColumns(Y237, _xlfn.IFS(Y237="Urea",IF($O237="", "Global", $O237), Y237="Ammonia", IF($P237="", "Global", $P237), TRUE, "Global"), Table_SourceData_Scope3_InorganicFertiliser[Chemical compound],Table_SourceData_Scope3_InorganicFertiliser[Region of origin],Table_SourceData_Scope3_InorganicFertiliser[AusLCI Emissions intensity]), IF(_xlpm.result="", 0, _xlpm.result))</f>
        <v>0.90900000000000003</v>
      </c>
      <c r="AB237" s="58">
        <v>4</v>
      </c>
      <c r="AC237" s="39" t="str" cm="1">
        <f t="array" ref="AC237:AC246">IFERROR(INDEX(Table_Input_InorganicFertiliser_Custom[Ingredient 4], _xlfn.SEQUENCE(10)), "")</f>
        <v>Sulfur - Generic</v>
      </c>
      <c r="AD237" s="39" cm="1">
        <f t="array" ref="AD237:AD246">IFERROR(INDEX(_xlfn.LET(_xlpm.result, Table_Input_InorganicFertiliser_Custom[Ingredient 4 percent], IF(_xlpm.result="", 0, _xlpm.result)), _xlfn.SEQUENCE(10)), 0)</f>
        <v>0.1</v>
      </c>
      <c r="AE237" s="39" cm="1">
        <f t="array" ref="AE237">_xlfn.LET(_xlpm.result, Common_InputFunctions.Utility_LookupValueInTableTwoColumns(AC237, _xlfn.IFS(AC237="Urea",IF($O237="", "Global", $O237), AC237="Ammonia", IF($P237="", "Global", $P237), TRUE, "Global"), Table_SourceData_Scope3_InorganicFertiliser[Chemical compound],Table_SourceData_Scope3_InorganicFertiliser[Region of origin],Table_SourceData_Scope3_InorganicFertiliser[AusLCI Emissions intensity]), IF(_xlpm.result="", 0, _xlpm.result))</f>
        <v>2.5</v>
      </c>
      <c r="AF237" s="58">
        <v>0</v>
      </c>
    </row>
    <row r="238" spans="4:40" ht="20.100000000000001" customHeight="1" x14ac:dyDescent="0.25">
      <c r="D238" s="39">
        <v>0</v>
      </c>
      <c r="E238" s="39">
        <v>10000</v>
      </c>
      <c r="F238" s="39" cm="1">
        <f t="array" ref="F238">Scope3_Equations.VEERG_15_4_1_1__X_EmissionFactorFromPurchasedFertiliserComponents(R238,S238)+
Scope3_Equations.VEERG_15_4_1_1__X_EmissionFactorFromPurchasedFertiliserComponents(V238,W238)+
Scope3_Equations.VEERG_15_4_1_1__X_EmissionFactorFromPurchasedFertiliserComponents(Z238,AA238)+
Scope3_Equations.VEERG_15_4_1_1__X_EmissionFactorFromPurchasedFertiliserComponents(AD238,AE238)</f>
        <v>0.9527000000000001</v>
      </c>
      <c r="G238" s="152" cm="1">
        <f t="array" ref="G238">Scope3_Equations.VEERG_15_4_1_1__1_EmissionsFromPurchasedFertiliser(E238,F238)</f>
        <v>9.5270000000000028</v>
      </c>
      <c r="H238" s="39" cm="1">
        <f t="array" ref="H238">Scope3_Equations.VEERG_15_4_1_1__2_EmissionsFromPurchasedFertiliserComponentsVariation(R238, $E238,S238)+
Scope3_Equations.VEERG_15_4_1_1__2_EmissionsFromPurchasedFertiliserComponentsVariation(V238, $E238,W238)+
Scope3_Equations.VEERG_15_4_1_1__2_EmissionsFromPurchasedFertiliserComponentsVariation(Z238, $E238,AA238)+
Scope3_Equations.VEERG_15_4_1_1__2_EmissionsFromPurchasedFertiliserComponentsVariation(AD238, $E238,AE238)</f>
        <v>9.527000000000001</v>
      </c>
      <c r="I238" s="58">
        <v>0.9</v>
      </c>
      <c r="J238" s="152" cm="1">
        <f t="array" ref="J238">Scope3_Equations.VEERG_15_4_1_1__1_EmissionsFromPurchasedFertiliser(E238,I238)</f>
        <v>9</v>
      </c>
      <c r="K238" s="152" cm="1">
        <f t="array" ref="K238">Scope3_Equations.VEERG_15_4_1_1__2_EmissionsFromPurchasedFertiliserComponentsVariation(R238, $E238,IF(T238,T238,S238))+
Scope3_Equations.VEERG_15_4_1_1__2_EmissionsFromPurchasedFertiliserComponentsVariation(V238, $E238,IF(X238,X238,W238))+
Scope3_Equations.VEERG_15_4_1_1__2_EmissionsFromPurchasedFertiliserComponentsVariation(Z238, $E238,IF(AB238,AB238,AA238))+
Scope3_Equations.VEERG_15_4_1_1__2_EmissionsFromPurchasedFertiliserComponentsVariation(AD238, $E238,IF(AF238,AF238,AE238))</f>
        <v>9.527000000000001</v>
      </c>
      <c r="L238" s="75"/>
      <c r="M238" s="37"/>
      <c r="N238" s="75"/>
      <c r="O238" s="39" t="str">
        <v>Canada</v>
      </c>
      <c r="P238" s="39" t="str">
        <v>Canada</v>
      </c>
      <c r="Q238" s="39" t="str">
        <v>Urea</v>
      </c>
      <c r="R238" s="39">
        <v>0.9</v>
      </c>
      <c r="S238" s="39" cm="1">
        <f t="array" ref="S238">_xlfn.LET(_xlpm.result, Common_InputFunctions.Utility_LookupValueInTableTwoColumns(Q238, _xlfn.IFS(Q238="Urea",IF($O238="", "Global", $O238), Q238="Ammonia", IF($P238="", "Global", $P238), TRUE, "Global"), Table_SourceData_Scope3_InorganicFertiliser[Chemical compound],Table_SourceData_Scope3_InorganicFertiliser[Region of origin],Table_SourceData_Scope3_InorganicFertiliser[AusLCI Emissions intensity]), IF(_xlpm.result="", 0, _xlpm.result))</f>
        <v>0.82299999999999995</v>
      </c>
      <c r="T238" s="58"/>
      <c r="U238" s="39" t="str">
        <v>Ammonia</v>
      </c>
      <c r="V238" s="39">
        <v>0.1</v>
      </c>
      <c r="W238" s="39" cm="1">
        <f t="array" ref="W238">_xlfn.LET(_xlpm.result, Common_InputFunctions.Utility_LookupValueInTableTwoColumns(U238, _xlfn.IFS(U238="Urea",IF($O238="", "Global", $O238), U238="Ammonia", IF($P238="", "Global", $P238), TRUE, "Global"), Table_SourceData_Scope3_InorganicFertiliser[Chemical compound],Table_SourceData_Scope3_InorganicFertiliser[Region of origin],Table_SourceData_Scope3_InorganicFertiliser[AusLCI Emissions intensity]), IF(_xlpm.result="", 0, _xlpm.result))</f>
        <v>2.12</v>
      </c>
      <c r="X238" s="58"/>
      <c r="Y238" s="39">
        <v>0</v>
      </c>
      <c r="Z238" s="39">
        <v>0</v>
      </c>
      <c r="AA238" s="39" cm="1">
        <f t="array" ref="AA238">_xlfn.LET(_xlpm.result, Common_InputFunctions.Utility_LookupValueInTableTwoColumns(Y238, _xlfn.IFS(Y238="Urea",IF($O238="", "Global", $O238), Y238="Ammonia", IF($P238="", "Global", $P238), TRUE, "Global"), Table_SourceData_Scope3_InorganicFertiliser[Chemical compound],Table_SourceData_Scope3_InorganicFertiliser[Region of origin],Table_SourceData_Scope3_InorganicFertiliser[AusLCI Emissions intensity]), IF(_xlpm.result="", 0, _xlpm.result))</f>
        <v>0</v>
      </c>
      <c r="AB238" s="58"/>
      <c r="AC238" s="39">
        <v>0</v>
      </c>
      <c r="AD238" s="39">
        <v>0</v>
      </c>
      <c r="AE238" s="39" cm="1">
        <f t="array" ref="AE238">_xlfn.LET(_xlpm.result, Common_InputFunctions.Utility_LookupValueInTableTwoColumns(AC238, _xlfn.IFS(AC238="Urea",IF($O238="", "Global", $O238), AC238="Ammonia", IF($P238="", "Global", $P238), TRUE, "Global"), Table_SourceData_Scope3_InorganicFertiliser[Chemical compound],Table_SourceData_Scope3_InorganicFertiliser[Region of origin],Table_SourceData_Scope3_InorganicFertiliser[AusLCI Emissions intensity]), IF(_xlpm.result="", 0, _xlpm.result))</f>
        <v>0</v>
      </c>
      <c r="AF238" s="58"/>
    </row>
    <row r="239" spans="4:40" ht="20.100000000000001" customHeight="1" x14ac:dyDescent="0.25">
      <c r="D239" s="39" t="str">
        <v/>
      </c>
      <c r="E239" s="39">
        <v>0</v>
      </c>
      <c r="F239" s="39" cm="1">
        <f t="array" ref="F239">Scope3_Equations.VEERG_15_4_1_1__X_EmissionFactorFromPurchasedFertiliserComponents(R239,S239)+
Scope3_Equations.VEERG_15_4_1_1__X_EmissionFactorFromPurchasedFertiliserComponents(V239,W239)+
Scope3_Equations.VEERG_15_4_1_1__X_EmissionFactorFromPurchasedFertiliserComponents(Z239,AA239)+
Scope3_Equations.VEERG_15_4_1_1__X_EmissionFactorFromPurchasedFertiliserComponents(AD239,AE239)</f>
        <v>0</v>
      </c>
      <c r="G239" s="152" cm="1">
        <f t="array" ref="G239">Scope3_Equations.VEERG_15_4_1_1__1_EmissionsFromPurchasedFertiliser(E239,F239)</f>
        <v>0</v>
      </c>
      <c r="H239" s="39" cm="1">
        <f t="array" ref="H239">Scope3_Equations.VEERG_15_4_1_1__2_EmissionsFromPurchasedFertiliserComponentsVariation(R239, $E239,S239)+
Scope3_Equations.VEERG_15_4_1_1__2_EmissionsFromPurchasedFertiliserComponentsVariation(V239, $E239,W239)+
Scope3_Equations.VEERG_15_4_1_1__2_EmissionsFromPurchasedFertiliserComponentsVariation(Z239, $E239,AA239)+
Scope3_Equations.VEERG_15_4_1_1__2_EmissionsFromPurchasedFertiliserComponentsVariation(AD239, $E239,AE239)</f>
        <v>0</v>
      </c>
      <c r="I239" s="58">
        <v>0.4</v>
      </c>
      <c r="J239" s="152" cm="1">
        <f t="array" ref="J239">Scope3_Equations.VEERG_15_4_1_1__1_EmissionsFromPurchasedFertiliser(E239,I239)</f>
        <v>0</v>
      </c>
      <c r="K239" s="152" cm="1">
        <f t="array" ref="K239">Scope3_Equations.VEERG_15_4_1_1__2_EmissionsFromPurchasedFertiliserComponentsVariation(R239, $E239,IF(T239,T239,S239))+
Scope3_Equations.VEERG_15_4_1_1__2_EmissionsFromPurchasedFertiliserComponentsVariation(V239, $E239,IF(X239,X239,W239))+
Scope3_Equations.VEERG_15_4_1_1__2_EmissionsFromPurchasedFertiliserComponentsVariation(Z239, $E239,IF(AB239,AB239,AA239))+
Scope3_Equations.VEERG_15_4_1_1__2_EmissionsFromPurchasedFertiliserComponentsVariation(AD239, $E239,IF(AF239,AF239,AE239))</f>
        <v>0</v>
      </c>
      <c r="L239" s="75"/>
      <c r="M239" s="37"/>
      <c r="N239" s="75"/>
      <c r="O239" s="39" t="str">
        <v/>
      </c>
      <c r="P239" s="39" t="str">
        <v/>
      </c>
      <c r="Q239" s="39" t="str">
        <v/>
      </c>
      <c r="R239" s="39">
        <v>0</v>
      </c>
      <c r="S239" s="39" cm="1">
        <f t="array" ref="S239">_xlfn.LET(_xlpm.result, Common_InputFunctions.Utility_LookupValueInTableTwoColumns(Q239, _xlfn.IFS(Q239="Urea",IF($O239="", "Global", $O239), Q239="Ammonia", IF($P239="", "Global", $P239), TRUE, "Global"), Table_SourceData_Scope3_InorganicFertiliser[Chemical compound],Table_SourceData_Scope3_InorganicFertiliser[Region of origin],Table_SourceData_Scope3_InorganicFertiliser[AusLCI Emissions intensity]), IF(_xlpm.result="", 0, _xlpm.result))</f>
        <v>0</v>
      </c>
      <c r="T239" s="58"/>
      <c r="U239" s="39" t="str">
        <v/>
      </c>
      <c r="V239" s="39">
        <v>0</v>
      </c>
      <c r="W239" s="39" cm="1">
        <f t="array" ref="W239">_xlfn.LET(_xlpm.result, Common_InputFunctions.Utility_LookupValueInTableTwoColumns(U239, _xlfn.IFS(U239="Urea",IF($O239="", "Global", $O239), U239="Ammonia", IF($P239="", "Global", $P239), TRUE, "Global"), Table_SourceData_Scope3_InorganicFertiliser[Chemical compound],Table_SourceData_Scope3_InorganicFertiliser[Region of origin],Table_SourceData_Scope3_InorganicFertiliser[AusLCI Emissions intensity]), IF(_xlpm.result="", 0, _xlpm.result))</f>
        <v>0</v>
      </c>
      <c r="X239" s="58"/>
      <c r="Y239" s="39" t="str">
        <v/>
      </c>
      <c r="Z239" s="39">
        <v>0</v>
      </c>
      <c r="AA239" s="39" cm="1">
        <f t="array" ref="AA239">_xlfn.LET(_xlpm.result, Common_InputFunctions.Utility_LookupValueInTableTwoColumns(Y239, _xlfn.IFS(Y239="Urea",IF($O239="", "Global", $O239), Y239="Ammonia", IF($P239="", "Global", $P239), TRUE, "Global"), Table_SourceData_Scope3_InorganicFertiliser[Chemical compound],Table_SourceData_Scope3_InorganicFertiliser[Region of origin],Table_SourceData_Scope3_InorganicFertiliser[AusLCI Emissions intensity]), IF(_xlpm.result="", 0, _xlpm.result))</f>
        <v>0</v>
      </c>
      <c r="AB239" s="58"/>
      <c r="AC239" s="39" t="str">
        <v/>
      </c>
      <c r="AD239" s="39">
        <v>0</v>
      </c>
      <c r="AE239" s="39" cm="1">
        <f t="array" ref="AE239">_xlfn.LET(_xlpm.result, Common_InputFunctions.Utility_LookupValueInTableTwoColumns(AC239, _xlfn.IFS(AC239="Urea",IF($O239="", "Global", $O239), AC239="Ammonia", IF($P239="", "Global", $P239), TRUE, "Global"), Table_SourceData_Scope3_InorganicFertiliser[Chemical compound],Table_SourceData_Scope3_InorganicFertiliser[Region of origin],Table_SourceData_Scope3_InorganicFertiliser[AusLCI Emissions intensity]), IF(_xlpm.result="", 0, _xlpm.result))</f>
        <v>0</v>
      </c>
      <c r="AF239" s="58"/>
    </row>
    <row r="240" spans="4:40" ht="20.100000000000001" customHeight="1" x14ac:dyDescent="0.25">
      <c r="D240" s="39" t="str">
        <v/>
      </c>
      <c r="E240" s="39">
        <v>0</v>
      </c>
      <c r="F240" s="39" cm="1">
        <f t="array" ref="F240">Scope3_Equations.VEERG_15_4_1_1__X_EmissionFactorFromPurchasedFertiliserComponents(R240,S240)+
Scope3_Equations.VEERG_15_4_1_1__X_EmissionFactorFromPurchasedFertiliserComponents(V240,W240)+
Scope3_Equations.VEERG_15_4_1_1__X_EmissionFactorFromPurchasedFertiliserComponents(Z240,AA240)+
Scope3_Equations.VEERG_15_4_1_1__X_EmissionFactorFromPurchasedFertiliserComponents(AD240,AE240)</f>
        <v>0</v>
      </c>
      <c r="G240" s="152" cm="1">
        <f t="array" ref="G240">Scope3_Equations.VEERG_15_4_1_1__1_EmissionsFromPurchasedFertiliser(E240,F240)</f>
        <v>0</v>
      </c>
      <c r="H240" s="39" cm="1">
        <f t="array" ref="H240">Scope3_Equations.VEERG_15_4_1_1__2_EmissionsFromPurchasedFertiliserComponentsVariation(R240, $E240,S240)+
Scope3_Equations.VEERG_15_4_1_1__2_EmissionsFromPurchasedFertiliserComponentsVariation(V240, $E240,W240)+
Scope3_Equations.VEERG_15_4_1_1__2_EmissionsFromPurchasedFertiliserComponentsVariation(Z240, $E240,AA240)+
Scope3_Equations.VEERG_15_4_1_1__2_EmissionsFromPurchasedFertiliserComponentsVariation(AD240, $E240,AE240)</f>
        <v>0</v>
      </c>
      <c r="I240" s="58"/>
      <c r="J240" s="152" cm="1">
        <f t="array" ref="J240">Scope3_Equations.VEERG_15_4_1_1__1_EmissionsFromPurchasedFertiliser(E240,I240)</f>
        <v>0</v>
      </c>
      <c r="K240" s="152" cm="1">
        <f t="array" ref="K240">Scope3_Equations.VEERG_15_4_1_1__2_EmissionsFromPurchasedFertiliserComponentsVariation(R240, $E240,IF(T240,T240,S240))+
Scope3_Equations.VEERG_15_4_1_1__2_EmissionsFromPurchasedFertiliserComponentsVariation(V240, $E240,IF(X240,X240,W240))+
Scope3_Equations.VEERG_15_4_1_1__2_EmissionsFromPurchasedFertiliserComponentsVariation(Z240, $E240,IF(AB240,AB240,AA240))+
Scope3_Equations.VEERG_15_4_1_1__2_EmissionsFromPurchasedFertiliserComponentsVariation(AD240, $E240,IF(AF240,AF240,AE240))</f>
        <v>0</v>
      </c>
      <c r="L240" s="75"/>
      <c r="M240" s="37"/>
      <c r="N240" s="75"/>
      <c r="O240" s="39" t="str">
        <v/>
      </c>
      <c r="P240" s="39" t="str">
        <v/>
      </c>
      <c r="Q240" s="39" t="str">
        <v/>
      </c>
      <c r="R240" s="39">
        <v>0</v>
      </c>
      <c r="S240" s="39" cm="1">
        <f t="array" ref="S240">_xlfn.LET(_xlpm.result, Common_InputFunctions.Utility_LookupValueInTableTwoColumns(Q240, _xlfn.IFS(Q240="Urea",IF($O240="", "Global", $O240), Q240="Ammonia", IF($P240="", "Global", $P240), TRUE, "Global"), Table_SourceData_Scope3_InorganicFertiliser[Chemical compound],Table_SourceData_Scope3_InorganicFertiliser[Region of origin],Table_SourceData_Scope3_InorganicFertiliser[AusLCI Emissions intensity]), IF(_xlpm.result="", 0, _xlpm.result))</f>
        <v>0</v>
      </c>
      <c r="T240" s="58"/>
      <c r="U240" s="39" t="str">
        <v/>
      </c>
      <c r="V240" s="39">
        <v>0</v>
      </c>
      <c r="W240" s="39" cm="1">
        <f t="array" ref="W240">_xlfn.LET(_xlpm.result, Common_InputFunctions.Utility_LookupValueInTableTwoColumns(U240, _xlfn.IFS(U240="Urea",IF($O240="", "Global", $O240), U240="Ammonia", IF($P240="", "Global", $P240), TRUE, "Global"), Table_SourceData_Scope3_InorganicFertiliser[Chemical compound],Table_SourceData_Scope3_InorganicFertiliser[Region of origin],Table_SourceData_Scope3_InorganicFertiliser[AusLCI Emissions intensity]), IF(_xlpm.result="", 0, _xlpm.result))</f>
        <v>0</v>
      </c>
      <c r="X240" s="58"/>
      <c r="Y240" s="39" t="str">
        <v/>
      </c>
      <c r="Z240" s="39">
        <v>0</v>
      </c>
      <c r="AA240" s="39" cm="1">
        <f t="array" ref="AA240">_xlfn.LET(_xlpm.result, Common_InputFunctions.Utility_LookupValueInTableTwoColumns(Y240, _xlfn.IFS(Y240="Urea",IF($O240="", "Global", $O240), Y240="Ammonia", IF($P240="", "Global", $P240), TRUE, "Global"), Table_SourceData_Scope3_InorganicFertiliser[Chemical compound],Table_SourceData_Scope3_InorganicFertiliser[Region of origin],Table_SourceData_Scope3_InorganicFertiliser[AusLCI Emissions intensity]), IF(_xlpm.result="", 0, _xlpm.result))</f>
        <v>0</v>
      </c>
      <c r="AB240" s="58"/>
      <c r="AC240" s="39" t="str">
        <v/>
      </c>
      <c r="AD240" s="39">
        <v>0</v>
      </c>
      <c r="AE240" s="39" cm="1">
        <f t="array" ref="AE240">_xlfn.LET(_xlpm.result, Common_InputFunctions.Utility_LookupValueInTableTwoColumns(AC240, _xlfn.IFS(AC240="Urea",IF($O240="", "Global", $O240), AC240="Ammonia", IF($P240="", "Global", $P240), TRUE, "Global"), Table_SourceData_Scope3_InorganicFertiliser[Chemical compound],Table_SourceData_Scope3_InorganicFertiliser[Region of origin],Table_SourceData_Scope3_InorganicFertiliser[AusLCI Emissions intensity]), IF(_xlpm.result="", 0, _xlpm.result))</f>
        <v>0</v>
      </c>
      <c r="AF240" s="58"/>
    </row>
    <row r="241" spans="3:41" ht="20.100000000000001" customHeight="1" x14ac:dyDescent="0.25">
      <c r="D241" s="39" t="str">
        <v/>
      </c>
      <c r="E241" s="39">
        <v>0</v>
      </c>
      <c r="F241" s="39" cm="1">
        <f t="array" ref="F241">Scope3_Equations.VEERG_15_4_1_1__X_EmissionFactorFromPurchasedFertiliserComponents(R241,S241)+
Scope3_Equations.VEERG_15_4_1_1__X_EmissionFactorFromPurchasedFertiliserComponents(V241,W241)+
Scope3_Equations.VEERG_15_4_1_1__X_EmissionFactorFromPurchasedFertiliserComponents(Z241,AA241)+
Scope3_Equations.VEERG_15_4_1_1__X_EmissionFactorFromPurchasedFertiliserComponents(AD241,AE241)</f>
        <v>0</v>
      </c>
      <c r="G241" s="152" cm="1">
        <f t="array" ref="G241">Scope3_Equations.VEERG_15_4_1_1__1_EmissionsFromPurchasedFertiliser(E241,F241)</f>
        <v>0</v>
      </c>
      <c r="H241" s="39" cm="1">
        <f t="array" ref="H241">Scope3_Equations.VEERG_15_4_1_1__2_EmissionsFromPurchasedFertiliserComponentsVariation(R241, $E241,S241)+
Scope3_Equations.VEERG_15_4_1_1__2_EmissionsFromPurchasedFertiliserComponentsVariation(V241, $E241,W241)+
Scope3_Equations.VEERG_15_4_1_1__2_EmissionsFromPurchasedFertiliserComponentsVariation(Z241, $E241,AA241)+
Scope3_Equations.VEERG_15_4_1_1__2_EmissionsFromPurchasedFertiliserComponentsVariation(AD241, $E241,AE241)</f>
        <v>0</v>
      </c>
      <c r="I241" s="58"/>
      <c r="J241" s="152" cm="1">
        <f t="array" ref="J241">Scope3_Equations.VEERG_15_4_1_1__1_EmissionsFromPurchasedFertiliser(E241,I241)</f>
        <v>0</v>
      </c>
      <c r="K241" s="152" cm="1">
        <f t="array" ref="K241">Scope3_Equations.VEERG_15_4_1_1__2_EmissionsFromPurchasedFertiliserComponentsVariation(R241, $E241,IF(T241,T241,S241))+
Scope3_Equations.VEERG_15_4_1_1__2_EmissionsFromPurchasedFertiliserComponentsVariation(V241, $E241,IF(X241,X241,W241))+
Scope3_Equations.VEERG_15_4_1_1__2_EmissionsFromPurchasedFertiliserComponentsVariation(Z241, $E241,IF(AB241,AB241,AA241))+
Scope3_Equations.VEERG_15_4_1_1__2_EmissionsFromPurchasedFertiliserComponentsVariation(AD241, $E241,IF(AF241,AF241,AE241))</f>
        <v>0</v>
      </c>
      <c r="L241" s="75"/>
      <c r="M241" s="37"/>
      <c r="N241" s="75"/>
      <c r="O241" s="39" t="str">
        <v/>
      </c>
      <c r="P241" s="39" t="str">
        <v/>
      </c>
      <c r="Q241" s="39" t="str">
        <v/>
      </c>
      <c r="R241" s="39">
        <v>0</v>
      </c>
      <c r="S241" s="39" cm="1">
        <f t="array" ref="S241">_xlfn.LET(_xlpm.result, Common_InputFunctions.Utility_LookupValueInTableTwoColumns(Q241, _xlfn.IFS(Q241="Urea",IF($O241="", "Global", $O241), Q241="Ammonia", IF($P241="", "Global", $P241), TRUE, "Global"), Table_SourceData_Scope3_InorganicFertiliser[Chemical compound],Table_SourceData_Scope3_InorganicFertiliser[Region of origin],Table_SourceData_Scope3_InorganicFertiliser[AusLCI Emissions intensity]), IF(_xlpm.result="", 0, _xlpm.result))</f>
        <v>0</v>
      </c>
      <c r="T241" s="58"/>
      <c r="U241" s="39" t="str">
        <v/>
      </c>
      <c r="V241" s="39">
        <v>0</v>
      </c>
      <c r="W241" s="39" cm="1">
        <f t="array" ref="W241">_xlfn.LET(_xlpm.result, Common_InputFunctions.Utility_LookupValueInTableTwoColumns(U241, _xlfn.IFS(U241="Urea",IF($O241="", "Global", $O241), U241="Ammonia", IF($P241="", "Global", $P241), TRUE, "Global"), Table_SourceData_Scope3_InorganicFertiliser[Chemical compound],Table_SourceData_Scope3_InorganicFertiliser[Region of origin],Table_SourceData_Scope3_InorganicFertiliser[AusLCI Emissions intensity]), IF(_xlpm.result="", 0, _xlpm.result))</f>
        <v>0</v>
      </c>
      <c r="X241" s="58"/>
      <c r="Y241" s="39" t="str">
        <v/>
      </c>
      <c r="Z241" s="39">
        <v>0</v>
      </c>
      <c r="AA241" s="39" cm="1">
        <f t="array" ref="AA241">_xlfn.LET(_xlpm.result, Common_InputFunctions.Utility_LookupValueInTableTwoColumns(Y241, _xlfn.IFS(Y241="Urea",IF($O241="", "Global", $O241), Y241="Ammonia", IF($P241="", "Global", $P241), TRUE, "Global"), Table_SourceData_Scope3_InorganicFertiliser[Chemical compound],Table_SourceData_Scope3_InorganicFertiliser[Region of origin],Table_SourceData_Scope3_InorganicFertiliser[AusLCI Emissions intensity]), IF(_xlpm.result="", 0, _xlpm.result))</f>
        <v>0</v>
      </c>
      <c r="AB241" s="58"/>
      <c r="AC241" s="39" t="str">
        <v/>
      </c>
      <c r="AD241" s="39">
        <v>0</v>
      </c>
      <c r="AE241" s="39" cm="1">
        <f t="array" ref="AE241">_xlfn.LET(_xlpm.result, Common_InputFunctions.Utility_LookupValueInTableTwoColumns(AC241, _xlfn.IFS(AC241="Urea",IF($O241="", "Global", $O241), AC241="Ammonia", IF($P241="", "Global", $P241), TRUE, "Global"), Table_SourceData_Scope3_InorganicFertiliser[Chemical compound],Table_SourceData_Scope3_InorganicFertiliser[Region of origin],Table_SourceData_Scope3_InorganicFertiliser[AusLCI Emissions intensity]), IF(_xlpm.result="", 0, _xlpm.result))</f>
        <v>0</v>
      </c>
      <c r="AF241" s="58"/>
    </row>
    <row r="242" spans="3:41" ht="20.100000000000001" customHeight="1" x14ac:dyDescent="0.25">
      <c r="D242" s="39" t="str">
        <v/>
      </c>
      <c r="E242" s="39">
        <v>0</v>
      </c>
      <c r="F242" s="39" cm="1">
        <f t="array" ref="F242">Scope3_Equations.VEERG_15_4_1_1__X_EmissionFactorFromPurchasedFertiliserComponents(R242,S242)+
Scope3_Equations.VEERG_15_4_1_1__X_EmissionFactorFromPurchasedFertiliserComponents(V242,W242)+
Scope3_Equations.VEERG_15_4_1_1__X_EmissionFactorFromPurchasedFertiliserComponents(Z242,AA242)+
Scope3_Equations.VEERG_15_4_1_1__X_EmissionFactorFromPurchasedFertiliserComponents(AD242,AE242)</f>
        <v>0</v>
      </c>
      <c r="G242" s="152" cm="1">
        <f t="array" ref="G242">Scope3_Equations.VEERG_15_4_1_1__1_EmissionsFromPurchasedFertiliser(E242,F242)</f>
        <v>0</v>
      </c>
      <c r="H242" s="39" cm="1">
        <f t="array" ref="H242">Scope3_Equations.VEERG_15_4_1_1__2_EmissionsFromPurchasedFertiliserComponentsVariation(R242, $E242,S242)+
Scope3_Equations.VEERG_15_4_1_1__2_EmissionsFromPurchasedFertiliserComponentsVariation(V242, $E242,W242)+
Scope3_Equations.VEERG_15_4_1_1__2_EmissionsFromPurchasedFertiliserComponentsVariation(Z242, $E242,AA242)+
Scope3_Equations.VEERG_15_4_1_1__2_EmissionsFromPurchasedFertiliserComponentsVariation(AD242, $E242,AE242)</f>
        <v>0</v>
      </c>
      <c r="I242" s="58"/>
      <c r="J242" s="152" cm="1">
        <f t="array" ref="J242">Scope3_Equations.VEERG_15_4_1_1__1_EmissionsFromPurchasedFertiliser(E242,I242)</f>
        <v>0</v>
      </c>
      <c r="K242" s="152" cm="1">
        <f t="array" ref="K242">Scope3_Equations.VEERG_15_4_1_1__2_EmissionsFromPurchasedFertiliserComponentsVariation(R242, $E242,IF(T242,T242,S242))+
Scope3_Equations.VEERG_15_4_1_1__2_EmissionsFromPurchasedFertiliserComponentsVariation(V242, $E242,IF(X242,X242,W242))+
Scope3_Equations.VEERG_15_4_1_1__2_EmissionsFromPurchasedFertiliserComponentsVariation(Z242, $E242,IF(AB242,AB242,AA242))+
Scope3_Equations.VEERG_15_4_1_1__2_EmissionsFromPurchasedFertiliserComponentsVariation(AD242, $E242,IF(AF242,AF242,AE242))</f>
        <v>0</v>
      </c>
      <c r="L242" s="75"/>
      <c r="M242" s="37"/>
      <c r="N242" s="75"/>
      <c r="O242" s="39" t="str">
        <v/>
      </c>
      <c r="P242" s="39" t="str">
        <v/>
      </c>
      <c r="Q242" s="39" t="str">
        <v/>
      </c>
      <c r="R242" s="39">
        <v>0</v>
      </c>
      <c r="S242" s="39" cm="1">
        <f t="array" ref="S242">_xlfn.LET(_xlpm.result, Common_InputFunctions.Utility_LookupValueInTableTwoColumns(Q242, _xlfn.IFS(Q242="Urea",IF($O242="", "Global", $O242), Q242="Ammonia", IF($P242="", "Global", $P242), TRUE, "Global"), Table_SourceData_Scope3_InorganicFertiliser[Chemical compound],Table_SourceData_Scope3_InorganicFertiliser[Region of origin],Table_SourceData_Scope3_InorganicFertiliser[AusLCI Emissions intensity]), IF(_xlpm.result="", 0, _xlpm.result))</f>
        <v>0</v>
      </c>
      <c r="T242" s="58"/>
      <c r="U242" s="39" t="str">
        <v/>
      </c>
      <c r="V242" s="39">
        <v>0</v>
      </c>
      <c r="W242" s="39" cm="1">
        <f t="array" ref="W242">_xlfn.LET(_xlpm.result, Common_InputFunctions.Utility_LookupValueInTableTwoColumns(U242, _xlfn.IFS(U242="Urea",IF($O242="", "Global", $O242), U242="Ammonia", IF($P242="", "Global", $P242), TRUE, "Global"), Table_SourceData_Scope3_InorganicFertiliser[Chemical compound],Table_SourceData_Scope3_InorganicFertiliser[Region of origin],Table_SourceData_Scope3_InorganicFertiliser[AusLCI Emissions intensity]), IF(_xlpm.result="", 0, _xlpm.result))</f>
        <v>0</v>
      </c>
      <c r="X242" s="58"/>
      <c r="Y242" s="39" t="str">
        <v/>
      </c>
      <c r="Z242" s="39">
        <v>0</v>
      </c>
      <c r="AA242" s="39" cm="1">
        <f t="array" ref="AA242">_xlfn.LET(_xlpm.result, Common_InputFunctions.Utility_LookupValueInTableTwoColumns(Y242, _xlfn.IFS(Y242="Urea",IF($O242="", "Global", $O242), Y242="Ammonia", IF($P242="", "Global", $P242), TRUE, "Global"), Table_SourceData_Scope3_InorganicFertiliser[Chemical compound],Table_SourceData_Scope3_InorganicFertiliser[Region of origin],Table_SourceData_Scope3_InorganicFertiliser[AusLCI Emissions intensity]), IF(_xlpm.result="", 0, _xlpm.result))</f>
        <v>0</v>
      </c>
      <c r="AB242" s="58"/>
      <c r="AC242" s="39" t="str">
        <v/>
      </c>
      <c r="AD242" s="39">
        <v>0</v>
      </c>
      <c r="AE242" s="39" cm="1">
        <f t="array" ref="AE242">_xlfn.LET(_xlpm.result, Common_InputFunctions.Utility_LookupValueInTableTwoColumns(AC242, _xlfn.IFS(AC242="Urea",IF($O242="", "Global", $O242), AC242="Ammonia", IF($P242="", "Global", $P242), TRUE, "Global"), Table_SourceData_Scope3_InorganicFertiliser[Chemical compound],Table_SourceData_Scope3_InorganicFertiliser[Region of origin],Table_SourceData_Scope3_InorganicFertiliser[AusLCI Emissions intensity]), IF(_xlpm.result="", 0, _xlpm.result))</f>
        <v>0</v>
      </c>
      <c r="AF242" s="58"/>
    </row>
    <row r="243" spans="3:41" ht="20.100000000000001" customHeight="1" x14ac:dyDescent="0.25">
      <c r="D243" s="39" t="str">
        <v/>
      </c>
      <c r="E243" s="39">
        <v>0</v>
      </c>
      <c r="F243" s="39" cm="1">
        <f t="array" ref="F243">Scope3_Equations.VEERG_15_4_1_1__X_EmissionFactorFromPurchasedFertiliserComponents(R243,S243)+
Scope3_Equations.VEERG_15_4_1_1__X_EmissionFactorFromPurchasedFertiliserComponents(V243,W243)+
Scope3_Equations.VEERG_15_4_1_1__X_EmissionFactorFromPurchasedFertiliserComponents(Z243,AA243)+
Scope3_Equations.VEERG_15_4_1_1__X_EmissionFactorFromPurchasedFertiliserComponents(AD243,AE243)</f>
        <v>0</v>
      </c>
      <c r="G243" s="152" cm="1">
        <f t="array" ref="G243">Scope3_Equations.VEERG_15_4_1_1__1_EmissionsFromPurchasedFertiliser(E243,F243)</f>
        <v>0</v>
      </c>
      <c r="H243" s="39" cm="1">
        <f t="array" ref="H243">Scope3_Equations.VEERG_15_4_1_1__2_EmissionsFromPurchasedFertiliserComponentsVariation(R243, $E243,S243)+
Scope3_Equations.VEERG_15_4_1_1__2_EmissionsFromPurchasedFertiliserComponentsVariation(V243, $E243,W243)+
Scope3_Equations.VEERG_15_4_1_1__2_EmissionsFromPurchasedFertiliserComponentsVariation(Z243, $E243,AA243)+
Scope3_Equations.VEERG_15_4_1_1__2_EmissionsFromPurchasedFertiliserComponentsVariation(AD243, $E243,AE243)</f>
        <v>0</v>
      </c>
      <c r="I243" s="58"/>
      <c r="J243" s="152" cm="1">
        <f t="array" ref="J243">Scope3_Equations.VEERG_15_4_1_1__1_EmissionsFromPurchasedFertiliser(E243,I243)</f>
        <v>0</v>
      </c>
      <c r="K243" s="152" cm="1">
        <f t="array" ref="K243">Scope3_Equations.VEERG_15_4_1_1__2_EmissionsFromPurchasedFertiliserComponentsVariation(R243, $E243,IF(T243,T243,S243))+
Scope3_Equations.VEERG_15_4_1_1__2_EmissionsFromPurchasedFertiliserComponentsVariation(V243, $E243,IF(X243,X243,W243))+
Scope3_Equations.VEERG_15_4_1_1__2_EmissionsFromPurchasedFertiliserComponentsVariation(Z243, $E243,IF(AB243,AB243,AA243))+
Scope3_Equations.VEERG_15_4_1_1__2_EmissionsFromPurchasedFertiliserComponentsVariation(AD243, $E243,IF(AF243,AF243,AE243))</f>
        <v>0</v>
      </c>
      <c r="L243" s="75"/>
      <c r="M243" s="37"/>
      <c r="N243" s="75"/>
      <c r="O243" s="39" t="str">
        <v/>
      </c>
      <c r="P243" s="39" t="str">
        <v/>
      </c>
      <c r="Q243" s="39" t="str">
        <v/>
      </c>
      <c r="R243" s="39">
        <v>0</v>
      </c>
      <c r="S243" s="39" cm="1">
        <f t="array" ref="S243">_xlfn.LET(_xlpm.result, Common_InputFunctions.Utility_LookupValueInTableTwoColumns(Q243, _xlfn.IFS(Q243="Urea",IF($O243="", "Global", $O243), Q243="Ammonia", IF($P243="", "Global", $P243), TRUE, "Global"), Table_SourceData_Scope3_InorganicFertiliser[Chemical compound],Table_SourceData_Scope3_InorganicFertiliser[Region of origin],Table_SourceData_Scope3_InorganicFertiliser[AusLCI Emissions intensity]), IF(_xlpm.result="", 0, _xlpm.result))</f>
        <v>0</v>
      </c>
      <c r="T243" s="58"/>
      <c r="U243" s="39" t="str">
        <v/>
      </c>
      <c r="V243" s="39">
        <v>0</v>
      </c>
      <c r="W243" s="39" cm="1">
        <f t="array" ref="W243">_xlfn.LET(_xlpm.result, Common_InputFunctions.Utility_LookupValueInTableTwoColumns(U243, _xlfn.IFS(U243="Urea",IF($O243="", "Global", $O243), U243="Ammonia", IF($P243="", "Global", $P243), TRUE, "Global"), Table_SourceData_Scope3_InorganicFertiliser[Chemical compound],Table_SourceData_Scope3_InorganicFertiliser[Region of origin],Table_SourceData_Scope3_InorganicFertiliser[AusLCI Emissions intensity]), IF(_xlpm.result="", 0, _xlpm.result))</f>
        <v>0</v>
      </c>
      <c r="X243" s="58"/>
      <c r="Y243" s="39" t="str">
        <v/>
      </c>
      <c r="Z243" s="39">
        <v>0</v>
      </c>
      <c r="AA243" s="39" cm="1">
        <f t="array" ref="AA243">_xlfn.LET(_xlpm.result, Common_InputFunctions.Utility_LookupValueInTableTwoColumns(Y243, _xlfn.IFS(Y243="Urea",IF($O243="", "Global", $O243), Y243="Ammonia", IF($P243="", "Global", $P243), TRUE, "Global"), Table_SourceData_Scope3_InorganicFertiliser[Chemical compound],Table_SourceData_Scope3_InorganicFertiliser[Region of origin],Table_SourceData_Scope3_InorganicFertiliser[AusLCI Emissions intensity]), IF(_xlpm.result="", 0, _xlpm.result))</f>
        <v>0</v>
      </c>
      <c r="AB243" s="58"/>
      <c r="AC243" s="39" t="str">
        <v/>
      </c>
      <c r="AD243" s="39">
        <v>0</v>
      </c>
      <c r="AE243" s="39" cm="1">
        <f t="array" ref="AE243">_xlfn.LET(_xlpm.result, Common_InputFunctions.Utility_LookupValueInTableTwoColumns(AC243, _xlfn.IFS(AC243="Urea",IF($O243="", "Global", $O243), AC243="Ammonia", IF($P243="", "Global", $P243), TRUE, "Global"), Table_SourceData_Scope3_InorganicFertiliser[Chemical compound],Table_SourceData_Scope3_InorganicFertiliser[Region of origin],Table_SourceData_Scope3_InorganicFertiliser[AusLCI Emissions intensity]), IF(_xlpm.result="", 0, _xlpm.result))</f>
        <v>0</v>
      </c>
      <c r="AF243" s="58"/>
    </row>
    <row r="244" spans="3:41" ht="20.100000000000001" customHeight="1" x14ac:dyDescent="0.25">
      <c r="D244" s="39" t="str">
        <v/>
      </c>
      <c r="E244" s="39">
        <v>0</v>
      </c>
      <c r="F244" s="39" cm="1">
        <f t="array" ref="F244">Scope3_Equations.VEERG_15_4_1_1__X_EmissionFactorFromPurchasedFertiliserComponents(R244,S244)+
Scope3_Equations.VEERG_15_4_1_1__X_EmissionFactorFromPurchasedFertiliserComponents(V244,W244)+
Scope3_Equations.VEERG_15_4_1_1__X_EmissionFactorFromPurchasedFertiliserComponents(Z244,AA244)+
Scope3_Equations.VEERG_15_4_1_1__X_EmissionFactorFromPurchasedFertiliserComponents(AD244,AE244)</f>
        <v>0</v>
      </c>
      <c r="G244" s="152" cm="1">
        <f t="array" ref="G244">Scope3_Equations.VEERG_15_4_1_1__1_EmissionsFromPurchasedFertiliser(E244,F244)</f>
        <v>0</v>
      </c>
      <c r="H244" s="39" cm="1">
        <f t="array" ref="H244">Scope3_Equations.VEERG_15_4_1_1__2_EmissionsFromPurchasedFertiliserComponentsVariation(R244, $E244,S244)+
Scope3_Equations.VEERG_15_4_1_1__2_EmissionsFromPurchasedFertiliserComponentsVariation(V244, $E244,W244)+
Scope3_Equations.VEERG_15_4_1_1__2_EmissionsFromPurchasedFertiliserComponentsVariation(Z244, $E244,AA244)+
Scope3_Equations.VEERG_15_4_1_1__2_EmissionsFromPurchasedFertiliserComponentsVariation(AD244, $E244,AE244)</f>
        <v>0</v>
      </c>
      <c r="I244" s="58"/>
      <c r="J244" s="152" cm="1">
        <f t="array" ref="J244">Scope3_Equations.VEERG_15_4_1_1__1_EmissionsFromPurchasedFertiliser(E244,I244)</f>
        <v>0</v>
      </c>
      <c r="K244" s="152" cm="1">
        <f t="array" ref="K244">Scope3_Equations.VEERG_15_4_1_1__2_EmissionsFromPurchasedFertiliserComponentsVariation(R244, $E244,IF(T244,T244,S244))+
Scope3_Equations.VEERG_15_4_1_1__2_EmissionsFromPurchasedFertiliserComponentsVariation(V244, $E244,IF(X244,X244,W244))+
Scope3_Equations.VEERG_15_4_1_1__2_EmissionsFromPurchasedFertiliserComponentsVariation(Z244, $E244,IF(AB244,AB244,AA244))+
Scope3_Equations.VEERG_15_4_1_1__2_EmissionsFromPurchasedFertiliserComponentsVariation(AD244, $E244,IF(AF244,AF244,AE244))</f>
        <v>0</v>
      </c>
      <c r="L244" s="75"/>
      <c r="M244" s="37"/>
      <c r="N244" s="75"/>
      <c r="O244" s="39" t="str">
        <v/>
      </c>
      <c r="P244" s="39" t="str">
        <v/>
      </c>
      <c r="Q244" s="39" t="str">
        <v/>
      </c>
      <c r="R244" s="39">
        <v>0</v>
      </c>
      <c r="S244" s="39" cm="1">
        <f t="array" ref="S244">_xlfn.LET(_xlpm.result, Common_InputFunctions.Utility_LookupValueInTableTwoColumns(Q244, _xlfn.IFS(Q244="Urea",IF($O244="", "Global", $O244), Q244="Ammonia", IF($P244="", "Global", $P244), TRUE, "Global"), Table_SourceData_Scope3_InorganicFertiliser[Chemical compound],Table_SourceData_Scope3_InorganicFertiliser[Region of origin],Table_SourceData_Scope3_InorganicFertiliser[AusLCI Emissions intensity]), IF(_xlpm.result="", 0, _xlpm.result))</f>
        <v>0</v>
      </c>
      <c r="T244" s="58"/>
      <c r="U244" s="39" t="str">
        <v/>
      </c>
      <c r="V244" s="39">
        <v>0</v>
      </c>
      <c r="W244" s="39" cm="1">
        <f t="array" ref="W244">_xlfn.LET(_xlpm.result, Common_InputFunctions.Utility_LookupValueInTableTwoColumns(U244, _xlfn.IFS(U244="Urea",IF($O244="", "Global", $O244), U244="Ammonia", IF($P244="", "Global", $P244), TRUE, "Global"), Table_SourceData_Scope3_InorganicFertiliser[Chemical compound],Table_SourceData_Scope3_InorganicFertiliser[Region of origin],Table_SourceData_Scope3_InorganicFertiliser[AusLCI Emissions intensity]), IF(_xlpm.result="", 0, _xlpm.result))</f>
        <v>0</v>
      </c>
      <c r="X244" s="58"/>
      <c r="Y244" s="39" t="str">
        <v/>
      </c>
      <c r="Z244" s="39">
        <v>0</v>
      </c>
      <c r="AA244" s="39" cm="1">
        <f t="array" ref="AA244">_xlfn.LET(_xlpm.result, Common_InputFunctions.Utility_LookupValueInTableTwoColumns(Y244, _xlfn.IFS(Y244="Urea",IF($O244="", "Global", $O244), Y244="Ammonia", IF($P244="", "Global", $P244), TRUE, "Global"), Table_SourceData_Scope3_InorganicFertiliser[Chemical compound],Table_SourceData_Scope3_InorganicFertiliser[Region of origin],Table_SourceData_Scope3_InorganicFertiliser[AusLCI Emissions intensity]), IF(_xlpm.result="", 0, _xlpm.result))</f>
        <v>0</v>
      </c>
      <c r="AB244" s="58"/>
      <c r="AC244" s="39" t="str">
        <v/>
      </c>
      <c r="AD244" s="39">
        <v>0</v>
      </c>
      <c r="AE244" s="39" cm="1">
        <f t="array" ref="AE244">_xlfn.LET(_xlpm.result, Common_InputFunctions.Utility_LookupValueInTableTwoColumns(AC244, _xlfn.IFS(AC244="Urea",IF($O244="", "Global", $O244), AC244="Ammonia", IF($P244="", "Global", $P244), TRUE, "Global"), Table_SourceData_Scope3_InorganicFertiliser[Chemical compound],Table_SourceData_Scope3_InorganicFertiliser[Region of origin],Table_SourceData_Scope3_InorganicFertiliser[AusLCI Emissions intensity]), IF(_xlpm.result="", 0, _xlpm.result))</f>
        <v>0</v>
      </c>
      <c r="AF244" s="58"/>
    </row>
    <row r="245" spans="3:41" ht="20.100000000000001" customHeight="1" x14ac:dyDescent="0.25">
      <c r="D245" s="39" t="str">
        <v/>
      </c>
      <c r="E245" s="39">
        <v>0</v>
      </c>
      <c r="F245" s="39" cm="1">
        <f t="array" ref="F245">Scope3_Equations.VEERG_15_4_1_1__X_EmissionFactorFromPurchasedFertiliserComponents(R245,S245)+
Scope3_Equations.VEERG_15_4_1_1__X_EmissionFactorFromPurchasedFertiliserComponents(V245,W245)+
Scope3_Equations.VEERG_15_4_1_1__X_EmissionFactorFromPurchasedFertiliserComponents(Z245,AA245)+
Scope3_Equations.VEERG_15_4_1_1__X_EmissionFactorFromPurchasedFertiliserComponents(AD245,AE245)</f>
        <v>0</v>
      </c>
      <c r="G245" s="152" cm="1">
        <f t="array" ref="G245">Scope3_Equations.VEERG_15_4_1_1__1_EmissionsFromPurchasedFertiliser(E245,F245)</f>
        <v>0</v>
      </c>
      <c r="H245" s="39" cm="1">
        <f t="array" ref="H245">Scope3_Equations.VEERG_15_4_1_1__2_EmissionsFromPurchasedFertiliserComponentsVariation(R245, $E245,S245)+
Scope3_Equations.VEERG_15_4_1_1__2_EmissionsFromPurchasedFertiliserComponentsVariation(V245, $E245,W245)+
Scope3_Equations.VEERG_15_4_1_1__2_EmissionsFromPurchasedFertiliserComponentsVariation(Z245, $E245,AA245)+
Scope3_Equations.VEERG_15_4_1_1__2_EmissionsFromPurchasedFertiliserComponentsVariation(AD245, $E245,AE245)</f>
        <v>0</v>
      </c>
      <c r="I245" s="58"/>
      <c r="J245" s="152" cm="1">
        <f t="array" ref="J245">Scope3_Equations.VEERG_15_4_1_1__1_EmissionsFromPurchasedFertiliser(E245,I245)</f>
        <v>0</v>
      </c>
      <c r="K245" s="152" cm="1">
        <f t="array" ref="K245">Scope3_Equations.VEERG_15_4_1_1__2_EmissionsFromPurchasedFertiliserComponentsVariation(R245, $E245,IF(T245,T245,S245))+
Scope3_Equations.VEERG_15_4_1_1__2_EmissionsFromPurchasedFertiliserComponentsVariation(V245, $E245,IF(X245,X245,W245))+
Scope3_Equations.VEERG_15_4_1_1__2_EmissionsFromPurchasedFertiliserComponentsVariation(Z245, $E245,IF(AB245,AB245,AA245))+
Scope3_Equations.VEERG_15_4_1_1__2_EmissionsFromPurchasedFertiliserComponentsVariation(AD245, $E245,IF(AF245,AF245,AE245))</f>
        <v>0</v>
      </c>
      <c r="L245" s="75"/>
      <c r="M245" s="37"/>
      <c r="N245" s="75"/>
      <c r="O245" s="39" t="str">
        <v/>
      </c>
      <c r="P245" s="39" t="str">
        <v/>
      </c>
      <c r="Q245" s="39" t="str">
        <v/>
      </c>
      <c r="R245" s="39">
        <v>0</v>
      </c>
      <c r="S245" s="39" cm="1">
        <f t="array" ref="S245">_xlfn.LET(_xlpm.result, Common_InputFunctions.Utility_LookupValueInTableTwoColumns(Q245, _xlfn.IFS(Q245="Urea",IF($O245="", "Global", $O245), Q245="Ammonia", IF($P245="", "Global", $P245), TRUE, "Global"), Table_SourceData_Scope3_InorganicFertiliser[Chemical compound],Table_SourceData_Scope3_InorganicFertiliser[Region of origin],Table_SourceData_Scope3_InorganicFertiliser[AusLCI Emissions intensity]), IF(_xlpm.result="", 0, _xlpm.result))</f>
        <v>0</v>
      </c>
      <c r="T245" s="58"/>
      <c r="U245" s="39" t="str">
        <v/>
      </c>
      <c r="V245" s="39">
        <v>0</v>
      </c>
      <c r="W245" s="39" cm="1">
        <f t="array" ref="W245">_xlfn.LET(_xlpm.result, Common_InputFunctions.Utility_LookupValueInTableTwoColumns(U245, _xlfn.IFS(U245="Urea",IF($O245="", "Global", $O245), U245="Ammonia", IF($P245="", "Global", $P245), TRUE, "Global"), Table_SourceData_Scope3_InorganicFertiliser[Chemical compound],Table_SourceData_Scope3_InorganicFertiliser[Region of origin],Table_SourceData_Scope3_InorganicFertiliser[AusLCI Emissions intensity]), IF(_xlpm.result="", 0, _xlpm.result))</f>
        <v>0</v>
      </c>
      <c r="X245" s="58"/>
      <c r="Y245" s="39" t="str">
        <v/>
      </c>
      <c r="Z245" s="39">
        <v>0</v>
      </c>
      <c r="AA245" s="39" cm="1">
        <f t="array" ref="AA245">_xlfn.LET(_xlpm.result, Common_InputFunctions.Utility_LookupValueInTableTwoColumns(Y245, _xlfn.IFS(Y245="Urea",IF($O245="", "Global", $O245), Y245="Ammonia", IF($P245="", "Global", $P245), TRUE, "Global"), Table_SourceData_Scope3_InorganicFertiliser[Chemical compound],Table_SourceData_Scope3_InorganicFertiliser[Region of origin],Table_SourceData_Scope3_InorganicFertiliser[AusLCI Emissions intensity]), IF(_xlpm.result="", 0, _xlpm.result))</f>
        <v>0</v>
      </c>
      <c r="AB245" s="58"/>
      <c r="AC245" s="39" t="str">
        <v/>
      </c>
      <c r="AD245" s="39">
        <v>0</v>
      </c>
      <c r="AE245" s="39" cm="1">
        <f t="array" ref="AE245">_xlfn.LET(_xlpm.result, Common_InputFunctions.Utility_LookupValueInTableTwoColumns(AC245, _xlfn.IFS(AC245="Urea",IF($O245="", "Global", $O245), AC245="Ammonia", IF($P245="", "Global", $P245), TRUE, "Global"), Table_SourceData_Scope3_InorganicFertiliser[Chemical compound],Table_SourceData_Scope3_InorganicFertiliser[Region of origin],Table_SourceData_Scope3_InorganicFertiliser[AusLCI Emissions intensity]), IF(_xlpm.result="", 0, _xlpm.result))</f>
        <v>0</v>
      </c>
      <c r="AF245" s="58"/>
    </row>
    <row r="246" spans="3:41" ht="20.100000000000001" customHeight="1" x14ac:dyDescent="0.25">
      <c r="D246" s="39" t="str">
        <v/>
      </c>
      <c r="E246" s="39">
        <v>0</v>
      </c>
      <c r="F246" s="39" cm="1">
        <f t="array" ref="F246">Scope3_Equations.VEERG_15_4_1_1__X_EmissionFactorFromPurchasedFertiliserComponents(R246,S246)+
Scope3_Equations.VEERG_15_4_1_1__X_EmissionFactorFromPurchasedFertiliserComponents(V246,W246)+
Scope3_Equations.VEERG_15_4_1_1__X_EmissionFactorFromPurchasedFertiliserComponents(Z246,AA246)+
Scope3_Equations.VEERG_15_4_1_1__X_EmissionFactorFromPurchasedFertiliserComponents(AD246,AE246)</f>
        <v>0</v>
      </c>
      <c r="G246" s="152" cm="1">
        <f t="array" ref="G246">Scope3_Equations.VEERG_15_4_1_1__1_EmissionsFromPurchasedFertiliser(E246,F246)</f>
        <v>0</v>
      </c>
      <c r="H246" s="39" cm="1">
        <f t="array" ref="H246">Scope3_Equations.VEERG_15_4_1_1__2_EmissionsFromPurchasedFertiliserComponentsVariation(R246, $E246,S246)+
Scope3_Equations.VEERG_15_4_1_1__2_EmissionsFromPurchasedFertiliserComponentsVariation(V246, $E246,W246)+
Scope3_Equations.VEERG_15_4_1_1__2_EmissionsFromPurchasedFertiliserComponentsVariation(Z246, $E246,AA246)+
Scope3_Equations.VEERG_15_4_1_1__2_EmissionsFromPurchasedFertiliserComponentsVariation(AD246, $E246,AE246)</f>
        <v>0</v>
      </c>
      <c r="I246" s="58"/>
      <c r="J246" s="152" cm="1">
        <f t="array" ref="J246">Scope3_Equations.VEERG_15_4_1_1__1_EmissionsFromPurchasedFertiliser(E246,I246)</f>
        <v>0</v>
      </c>
      <c r="K246" s="152" cm="1">
        <f t="array" ref="K246">Scope3_Equations.VEERG_15_4_1_1__2_EmissionsFromPurchasedFertiliserComponentsVariation(R246, $E246,IF(T246,T246,S246))+
Scope3_Equations.VEERG_15_4_1_1__2_EmissionsFromPurchasedFertiliserComponentsVariation(V246, $E246,IF(X246,X246,W246))+
Scope3_Equations.VEERG_15_4_1_1__2_EmissionsFromPurchasedFertiliserComponentsVariation(Z246, $E246,IF(AB246,AB246,AA246))+
Scope3_Equations.VEERG_15_4_1_1__2_EmissionsFromPurchasedFertiliserComponentsVariation(AD246, $E246,IF(AF246,AF246,AE246))</f>
        <v>0</v>
      </c>
      <c r="L246" s="75"/>
      <c r="M246" s="37"/>
      <c r="N246" s="75"/>
      <c r="O246" s="39" t="str">
        <v/>
      </c>
      <c r="P246" s="39" t="str">
        <v/>
      </c>
      <c r="Q246" s="39" t="str">
        <v/>
      </c>
      <c r="R246" s="39">
        <v>0</v>
      </c>
      <c r="S246" s="39" cm="1">
        <f t="array" ref="S246">_xlfn.LET(_xlpm.result, Common_InputFunctions.Utility_LookupValueInTableTwoColumns(Q246, _xlfn.IFS(Q246="Urea",IF($O246="", "Global", $O246), Q246="Ammonia", IF($P246="", "Global", $P246), TRUE, "Global"), Table_SourceData_Scope3_InorganicFertiliser[Chemical compound],Table_SourceData_Scope3_InorganicFertiliser[Region of origin],Table_SourceData_Scope3_InorganicFertiliser[AusLCI Emissions intensity]), IF(_xlpm.result="", 0, _xlpm.result))</f>
        <v>0</v>
      </c>
      <c r="T246" s="58"/>
      <c r="U246" s="39" t="str">
        <v/>
      </c>
      <c r="V246" s="39">
        <v>0</v>
      </c>
      <c r="W246" s="39" cm="1">
        <f t="array" ref="W246">_xlfn.LET(_xlpm.result, Common_InputFunctions.Utility_LookupValueInTableTwoColumns(U246, _xlfn.IFS(U246="Urea",IF($O246="", "Global", $O246), U246="Ammonia", IF($P246="", "Global", $P246), TRUE, "Global"), Table_SourceData_Scope3_InorganicFertiliser[Chemical compound],Table_SourceData_Scope3_InorganicFertiliser[Region of origin],Table_SourceData_Scope3_InorganicFertiliser[AusLCI Emissions intensity]), IF(_xlpm.result="", 0, _xlpm.result))</f>
        <v>0</v>
      </c>
      <c r="X246" s="58"/>
      <c r="Y246" s="39" t="str">
        <v/>
      </c>
      <c r="Z246" s="39">
        <v>0</v>
      </c>
      <c r="AA246" s="39" cm="1">
        <f t="array" ref="AA246">_xlfn.LET(_xlpm.result, Common_InputFunctions.Utility_LookupValueInTableTwoColumns(Y246, _xlfn.IFS(Y246="Urea",IF($O246="", "Global", $O246), Y246="Ammonia", IF($P246="", "Global", $P246), TRUE, "Global"), Table_SourceData_Scope3_InorganicFertiliser[Chemical compound],Table_SourceData_Scope3_InorganicFertiliser[Region of origin],Table_SourceData_Scope3_InorganicFertiliser[AusLCI Emissions intensity]), IF(_xlpm.result="", 0, _xlpm.result))</f>
        <v>0</v>
      </c>
      <c r="AB246" s="58"/>
      <c r="AC246" s="39" t="str">
        <v/>
      </c>
      <c r="AD246" s="39">
        <v>0</v>
      </c>
      <c r="AE246" s="39" cm="1">
        <f t="array" ref="AE246">_xlfn.LET(_xlpm.result, Common_InputFunctions.Utility_LookupValueInTableTwoColumns(AC246, _xlfn.IFS(AC246="Urea",IF($O246="", "Global", $O246), AC246="Ammonia", IF($P246="", "Global", $P246), TRUE, "Global"), Table_SourceData_Scope3_InorganicFertiliser[Chemical compound],Table_SourceData_Scope3_InorganicFertiliser[Region of origin],Table_SourceData_Scope3_InorganicFertiliser[AusLCI Emissions intensity]), IF(_xlpm.result="", 0, _xlpm.result))</f>
        <v>0</v>
      </c>
      <c r="AF246" s="58"/>
    </row>
    <row r="247" spans="3:41" ht="20.100000000000001" customHeight="1" x14ac:dyDescent="0.25"/>
    <row r="248" spans="3:41" ht="20.100000000000001" customHeight="1" x14ac:dyDescent="0.25">
      <c r="D248" s="184" t="s">
        <v>712</v>
      </c>
      <c r="E248" s="182">
        <f>SUM(G221:G230)+SUM(G237:G246)</f>
        <v>53.822548254497605</v>
      </c>
      <c r="F248" s="183" t="str">
        <f>$E$155</f>
        <v>t CO2e</v>
      </c>
    </row>
    <row r="249" spans="3:41" ht="20.100000000000001" customHeight="1" x14ac:dyDescent="0.25">
      <c r="D249" s="184" t="s">
        <v>713</v>
      </c>
      <c r="E249" s="182">
        <f>SUM(J221:J230)+SUM(J237:J246)</f>
        <v>40.72</v>
      </c>
      <c r="F249" s="183" t="str">
        <f>$E$155</f>
        <v>t CO2e</v>
      </c>
    </row>
    <row r="250" spans="3:41" ht="20.100000000000001" customHeight="1" x14ac:dyDescent="0.25"/>
    <row r="251" spans="3:41" ht="20.100000000000001" customHeight="1" x14ac:dyDescent="0.25">
      <c r="D251" s="184" t="s">
        <v>714</v>
      </c>
      <c r="E251" s="182">
        <f>SUM(H221:H230)+SUM(H237:H246)</f>
        <v>53.822548254497605</v>
      </c>
      <c r="F251" s="183" t="str">
        <f>$E$155</f>
        <v>t CO2e</v>
      </c>
    </row>
    <row r="252" spans="3:41" ht="20.100000000000001" customHeight="1" x14ac:dyDescent="0.25">
      <c r="D252" s="184" t="s">
        <v>715</v>
      </c>
      <c r="E252" s="182">
        <f>SUM(K221:K230)+SUM(K237:K246)</f>
        <v>50.728065428338802</v>
      </c>
      <c r="F252" s="183" t="str">
        <f>$E$155</f>
        <v>t CO2e</v>
      </c>
    </row>
    <row r="253" spans="3:41" ht="20.100000000000001" customHeight="1" x14ac:dyDescent="0.25"/>
    <row r="254" spans="3:41" ht="20.100000000000001" customHeight="1" x14ac:dyDescent="0.25"/>
    <row r="255" spans="3:41" ht="20.100000000000001" customHeight="1" x14ac:dyDescent="0.25">
      <c r="C255" s="92"/>
      <c r="D255" s="92"/>
      <c r="E255" s="92"/>
      <c r="F255" s="92"/>
      <c r="G255" s="92"/>
      <c r="H255" s="92"/>
      <c r="I255" s="92"/>
      <c r="J255" s="92"/>
      <c r="K255" s="92"/>
      <c r="L255" s="92"/>
      <c r="M255" s="92"/>
      <c r="N255" s="92"/>
      <c r="O255" s="92"/>
      <c r="P255" s="92"/>
      <c r="Q255" s="92"/>
      <c r="R255" s="92"/>
      <c r="S255" s="92"/>
      <c r="T255" s="92"/>
      <c r="U255" s="92"/>
      <c r="V255" s="92"/>
      <c r="W255" s="92"/>
      <c r="X255" s="92"/>
      <c r="Y255" s="92"/>
      <c r="Z255" s="92"/>
      <c r="AA255" s="92"/>
      <c r="AB255" s="92"/>
      <c r="AC255" s="92"/>
      <c r="AD255" s="92"/>
      <c r="AE255" s="92"/>
      <c r="AF255" s="92"/>
      <c r="AG255" s="92"/>
      <c r="AH255" s="92"/>
      <c r="AI255" s="92"/>
      <c r="AJ255" s="92"/>
      <c r="AK255" s="92"/>
      <c r="AL255" s="92"/>
      <c r="AM255" s="92"/>
      <c r="AN255" s="92"/>
      <c r="AO255" s="92"/>
    </row>
    <row r="256" spans="3:41" ht="20.100000000000001" customHeight="1" x14ac:dyDescent="0.25">
      <c r="C256" s="185"/>
      <c r="D256" s="186" t="str" cm="1">
        <f t="array" ref="D256">Scope3_Equations.VEERG_15_5_1_1__1_EmissionsFromPurchasedAgrichemicals_Title()</f>
        <v>Total emissions from purchased agrichemicals</v>
      </c>
      <c r="E256" s="185"/>
      <c r="F256" s="185"/>
      <c r="G256" s="185"/>
      <c r="H256" s="185"/>
      <c r="I256" s="185"/>
      <c r="J256" s="185"/>
      <c r="K256" s="185"/>
      <c r="L256" s="185"/>
      <c r="M256" s="185"/>
      <c r="N256" s="185"/>
      <c r="O256" s="185"/>
      <c r="P256" s="185"/>
      <c r="Q256" s="185"/>
      <c r="R256" s="185"/>
      <c r="S256" s="185"/>
      <c r="T256" s="185"/>
      <c r="U256" s="185"/>
      <c r="V256" s="185"/>
      <c r="W256" s="185"/>
      <c r="X256" s="185"/>
      <c r="Y256" s="185"/>
      <c r="Z256" s="185"/>
      <c r="AA256" s="185"/>
      <c r="AB256" s="185"/>
      <c r="AC256" s="185"/>
      <c r="AD256" s="185"/>
      <c r="AE256" s="185"/>
      <c r="AF256" s="185"/>
      <c r="AG256" s="185"/>
      <c r="AH256" s="185"/>
      <c r="AI256" s="185"/>
      <c r="AJ256" s="185"/>
      <c r="AK256" s="185"/>
      <c r="AL256" s="185"/>
      <c r="AM256" s="185"/>
      <c r="AN256" s="185"/>
      <c r="AO256" s="185"/>
    </row>
    <row r="257" spans="4:9" ht="20.100000000000001" customHeight="1" x14ac:dyDescent="0.25">
      <c r="D257" s="11" t="str" cm="1">
        <f t="array" ref="D257">Scope3_Equations.VEERG_15_5_1_1__1_EmissionsFromPurchasedAgrichemicals_Source()</f>
        <v>VEERG 2026: 15.5.1.1, Equation (1)</v>
      </c>
    </row>
    <row r="258" spans="4:9" ht="20.100000000000001" customHeight="1" x14ac:dyDescent="0.25">
      <c r="D258" s="178" t="s">
        <v>667</v>
      </c>
      <c r="E258" s="178" t="str" cm="1">
        <f t="array" aca="1" ref="E258" ca="1">Common_InputFunctions.Utility_DisplayFunctionName(G270)</f>
        <v>=Scope3_Equations.VEERG_15_5_1_1__1_EmissionsFromPurchasedAgrichemicals</v>
      </c>
    </row>
    <row r="259" spans="4:9" ht="20.100000000000001" customHeight="1" x14ac:dyDescent="0.25"/>
    <row r="260" spans="4:9" ht="20.100000000000001" customHeight="1" x14ac:dyDescent="0.25"/>
    <row r="261" spans="4:9" ht="20.100000000000001" customHeight="1" x14ac:dyDescent="0.25"/>
    <row r="262" spans="4:9" ht="20.100000000000001" customHeight="1" x14ac:dyDescent="0.25">
      <c r="D262" s="24" t="s">
        <v>668</v>
      </c>
      <c r="E262" s="8" t="str" cm="1">
        <f t="array" ref="E262">Scope3_Equations.VEERG_15_5_1_1__1_EmissionsFromPurchasedAgrichemicals_Variable()</f>
        <v>E</v>
      </c>
    </row>
    <row r="263" spans="4:9" ht="20.100000000000001" customHeight="1" x14ac:dyDescent="0.25">
      <c r="D263" s="24" t="s">
        <v>97</v>
      </c>
      <c r="E263" s="13" t="str" cm="1">
        <f t="array" ref="E263">Scope3_Equations.VEERG_15_5_1_1__1_EmissionsFromPurchasedAgrichemicals_Unit()</f>
        <v>t CO2e</v>
      </c>
    </row>
    <row r="264" spans="4:9" ht="20.100000000000001" customHeight="1" x14ac:dyDescent="0.25"/>
    <row r="265" spans="4:9" x14ac:dyDescent="0.25">
      <c r="D265" s="174" t="str" cm="1">
        <f t="array" ref="D265:E267">_xlfn.CHOOSECOLS(Scope3_Equations.VEERG_15_5_1_1__1_EmissionsFromPurchasedAgrichemicals_Arguments(),1,2)</f>
        <v>Q_h</v>
      </c>
      <c r="E265" s="177" t="str">
        <v>quantity of active ingredients in agrichemical type h purchased and applied to soils</v>
      </c>
      <c r="F265" s="173"/>
      <c r="G265" s="174" t="str" cm="1">
        <f t="array" ref="G265:H267">_xlfn.CHOOSECOLS(Scope3_Equations.VEERG_15_5_1_1__1_EmissionsFromPurchasedAgrichemicals_Arguments(),3,4)</f>
        <v>kg ai</v>
      </c>
      <c r="H265" s="175" t="str">
        <v>Input</v>
      </c>
    </row>
    <row r="266" spans="4:9" x14ac:dyDescent="0.25">
      <c r="D266" s="174" t="str">
        <v>EF_h</v>
      </c>
      <c r="E266" s="177" t="str">
        <v>emission factor for purchased agrichemical active ingredient</v>
      </c>
      <c r="F266" s="173"/>
      <c r="G266" s="174" t="str">
        <v>kg CO2e/kg ai</v>
      </c>
      <c r="H266" s="176" t="str">
        <v>Constant</v>
      </c>
    </row>
    <row r="267" spans="4:9" x14ac:dyDescent="0.25">
      <c r="D267" s="174" t="str">
        <v>h</v>
      </c>
      <c r="E267" s="177" t="str">
        <v>agrichemical type</v>
      </c>
      <c r="F267" s="173"/>
      <c r="G267" s="174" t="str">
        <v/>
      </c>
      <c r="H267" s="175" t="str">
        <v>Input</v>
      </c>
    </row>
    <row r="269" spans="4:9" ht="17.25" x14ac:dyDescent="0.25">
      <c r="D269" s="36" t="s">
        <v>721</v>
      </c>
      <c r="E269" s="36" t="s">
        <v>207</v>
      </c>
      <c r="F269" s="49" t="s">
        <v>722</v>
      </c>
      <c r="G269" s="49" t="s">
        <v>674</v>
      </c>
      <c r="H269" s="36" t="s">
        <v>723</v>
      </c>
      <c r="I269" s="49" t="s">
        <v>676</v>
      </c>
    </row>
    <row r="270" spans="4:9" x14ac:dyDescent="0.25">
      <c r="D270" s="39" t="str" cm="1">
        <f t="array" ref="D270:D281">Table_SourceData_Scope3_Pesticides[Product]</f>
        <v>2,4-D</v>
      </c>
      <c r="E270" s="39">
        <f>SUMIF(Table_Input_Pesticides[Active ingredient 1 (select)],D270,Table_Input_Pesticides[Total active ingredient 1 (kg)])+
SUMIF(Table_Input_Pesticides[Active ingredient 2 (select)],D270,Table_Input_Pesticides[Total active ingredient 2 (kg)])+
SUMIF(Table_Input_Pesticides[Active ingredient 3 (select)],D270,Table_Input_Pesticides[Total active ingredient 3 (kg)])</f>
        <v>100</v>
      </c>
      <c r="F270" s="39" cm="1">
        <f t="array" ref="F270">Common_InputFunctions.Utility_LookupValueInTableNumber(D270,Table_SourceData_Scope3_Pesticides[Product],Table_SourceData_Scope3_Pesticides[AusLCI Emissions intensity])</f>
        <v>5.2</v>
      </c>
      <c r="G270" s="39" cm="1">
        <f t="array" ref="G270">Scope3_Equations.VEERG_15_5_1_1__1_EmissionsFromPurchasedAgrichemicals($E270,F270)</f>
        <v>0.52</v>
      </c>
      <c r="H270" s="58">
        <v>5</v>
      </c>
      <c r="I270" s="39" cm="1">
        <f t="array" ref="I270">Scope3_Equations.VEERG_15_5_1_1__1_EmissionsFromPurchasedAgrichemicals($E270,IF(H270,H270,F270))</f>
        <v>0.5</v>
      </c>
    </row>
    <row r="271" spans="4:9" x14ac:dyDescent="0.25">
      <c r="D271" s="39" t="str">
        <v>Atrazine</v>
      </c>
      <c r="E271" s="39">
        <f>SUMIF(Table_Input_Pesticides[Active ingredient 1 (select)],D271,Table_Input_Pesticides[Total active ingredient 1 (kg)])+
SUMIF(Table_Input_Pesticides[Active ingredient 2 (select)],D271,Table_Input_Pesticides[Total active ingredient 2 (kg)])+
SUMIF(Table_Input_Pesticides[Active ingredient 3 (select)],D271,Table_Input_Pesticides[Total active ingredient 3 (kg)])</f>
        <v>0</v>
      </c>
      <c r="F271" s="39" cm="1">
        <f t="array" ref="F271">Common_InputFunctions.Utility_LookupValueInTableNumber(D271,Table_SourceData_Scope3_Pesticides[Product],Table_SourceData_Scope3_Pesticides[AusLCI Emissions intensity])</f>
        <v>8.3800000000000008</v>
      </c>
      <c r="G271" s="39" cm="1">
        <f t="array" ref="G271">Scope3_Equations.VEERG_15_5_1_1__1_EmissionsFromPurchasedAgrichemicals($E271,F271)</f>
        <v>0</v>
      </c>
      <c r="H271" s="58">
        <v>8</v>
      </c>
      <c r="I271" s="39" cm="1">
        <f t="array" ref="I271">Scope3_Equations.VEERG_15_5_1_1__1_EmissionsFromPurchasedAgrichemicals($E271,IF(H271,H271,F271))</f>
        <v>0</v>
      </c>
    </row>
    <row r="272" spans="4:9" x14ac:dyDescent="0.25">
      <c r="D272" s="39" t="str">
        <v>Diuron</v>
      </c>
      <c r="E272" s="39">
        <f>SUMIF(Table_Input_Pesticides[Active ingredient 1 (select)],D272,Table_Input_Pesticides[Total active ingredient 1 (kg)])+
SUMIF(Table_Input_Pesticides[Active ingredient 2 (select)],D272,Table_Input_Pesticides[Total active ingredient 2 (kg)])+
SUMIF(Table_Input_Pesticides[Active ingredient 3 (select)],D272,Table_Input_Pesticides[Total active ingredient 3 (kg)])</f>
        <v>0</v>
      </c>
      <c r="F272" s="39" cm="1">
        <f t="array" ref="F272">Common_InputFunctions.Utility_LookupValueInTableNumber(D272,Table_SourceData_Scope3_Pesticides[Product],Table_SourceData_Scope3_Pesticides[AusLCI Emissions intensity])</f>
        <v>8.8000000000000007</v>
      </c>
      <c r="G272" s="39" cm="1">
        <f t="array" ref="G272">Scope3_Equations.VEERG_15_5_1_1__1_EmissionsFromPurchasedAgrichemicals($E272,F272)</f>
        <v>0</v>
      </c>
      <c r="H272" s="58"/>
      <c r="I272" s="39" cm="1">
        <f t="array" ref="I272">Scope3_Equations.VEERG_15_5_1_1__1_EmissionsFromPurchasedAgrichemicals($E272,IF(H272,H272,F272))</f>
        <v>0</v>
      </c>
    </row>
    <row r="273" spans="3:41" x14ac:dyDescent="0.25">
      <c r="D273" s="39" t="str">
        <v>Glyphosate</v>
      </c>
      <c r="E273" s="39">
        <f>SUMIF(Table_Input_Pesticides[Active ingredient 1 (select)],D273,Table_Input_Pesticides[Total active ingredient 1 (kg)])+
SUMIF(Table_Input_Pesticides[Active ingredient 2 (select)],D273,Table_Input_Pesticides[Total active ingredient 2 (kg)])+
SUMIF(Table_Input_Pesticides[Active ingredient 3 (select)],D273,Table_Input_Pesticides[Total active ingredient 3 (kg)])</f>
        <v>100</v>
      </c>
      <c r="F273" s="39" cm="1">
        <f t="array" ref="F273">Common_InputFunctions.Utility_LookupValueInTableNumber(D273,Table_SourceData_Scope3_Pesticides[Product],Table_SourceData_Scope3_Pesticides[AusLCI Emissions intensity])</f>
        <v>10.3</v>
      </c>
      <c r="G273" s="39" cm="1">
        <f t="array" ref="G273">Scope3_Equations.VEERG_15_5_1_1__1_EmissionsFromPurchasedAgrichemicals($E273,F273)</f>
        <v>1.03</v>
      </c>
      <c r="H273" s="58"/>
      <c r="I273" s="39" cm="1">
        <f t="array" ref="I273">Scope3_Equations.VEERG_15_5_1_1__1_EmissionsFromPurchasedAgrichemicals($E273,IF(H273,H273,F273))</f>
        <v>1.03</v>
      </c>
    </row>
    <row r="274" spans="3:41" x14ac:dyDescent="0.25">
      <c r="D274" s="39" t="str">
        <v>Mancozeb</v>
      </c>
      <c r="E274" s="39">
        <f>SUMIF(Table_Input_Pesticides[Active ingredient 1 (select)],D274,Table_Input_Pesticides[Total active ingredient 1 (kg)])+
SUMIF(Table_Input_Pesticides[Active ingredient 2 (select)],D274,Table_Input_Pesticides[Total active ingredient 2 (kg)])+
SUMIF(Table_Input_Pesticides[Active ingredient 3 (select)],D274,Table_Input_Pesticides[Total active ingredient 3 (kg)])</f>
        <v>0</v>
      </c>
      <c r="F274" s="39" cm="1">
        <f t="array" ref="F274">Common_InputFunctions.Utility_LookupValueInTableNumber(D274,Table_SourceData_Scope3_Pesticides[Product],Table_SourceData_Scope3_Pesticides[AusLCI Emissions intensity])</f>
        <v>4.55</v>
      </c>
      <c r="G274" s="39" cm="1">
        <f t="array" ref="G274">Scope3_Equations.VEERG_15_5_1_1__1_EmissionsFromPurchasedAgrichemicals($E274,F274)</f>
        <v>0</v>
      </c>
      <c r="H274" s="58"/>
      <c r="I274" s="39" cm="1">
        <f t="array" ref="I274">Scope3_Equations.VEERG_15_5_1_1__1_EmissionsFromPurchasedAgrichemicals($E274,IF(H274,H274,F274))</f>
        <v>0</v>
      </c>
    </row>
    <row r="275" spans="3:41" x14ac:dyDescent="0.25">
      <c r="D275" s="39" t="str">
        <v>MCPA</v>
      </c>
      <c r="E275" s="39">
        <f>SUMIF(Table_Input_Pesticides[Active ingredient 1 (select)],D275,Table_Input_Pesticides[Total active ingredient 1 (kg)])+
SUMIF(Table_Input_Pesticides[Active ingredient 2 (select)],D275,Table_Input_Pesticides[Total active ingredient 2 (kg)])+
SUMIF(Table_Input_Pesticides[Active ingredient 3 (select)],D275,Table_Input_Pesticides[Total active ingredient 3 (kg)])</f>
        <v>0</v>
      </c>
      <c r="F275" s="39" cm="1">
        <f t="array" ref="F275">Common_InputFunctions.Utility_LookupValueInTableNumber(D275,Table_SourceData_Scope3_Pesticides[Product],Table_SourceData_Scope3_Pesticides[AusLCI Emissions intensity])</f>
        <v>5.6</v>
      </c>
      <c r="G275" s="39" cm="1">
        <f t="array" ref="G275">Scope3_Equations.VEERG_15_5_1_1__1_EmissionsFromPurchasedAgrichemicals($E275,F275)</f>
        <v>0</v>
      </c>
      <c r="H275" s="58"/>
      <c r="I275" s="39" cm="1">
        <f t="array" ref="I275">Scope3_Equations.VEERG_15_5_1_1__1_EmissionsFromPurchasedAgrichemicals($E275,IF(H275,H275,F275))</f>
        <v>0</v>
      </c>
    </row>
    <row r="276" spans="3:41" x14ac:dyDescent="0.25">
      <c r="D276" s="39" t="str">
        <v>Metolachlor</v>
      </c>
      <c r="E276" s="39">
        <f>SUMIF(Table_Input_Pesticides[Active ingredient 1 (select)],D276,Table_Input_Pesticides[Total active ingredient 1 (kg)])+
SUMIF(Table_Input_Pesticides[Active ingredient 2 (select)],D276,Table_Input_Pesticides[Total active ingredient 2 (kg)])+
SUMIF(Table_Input_Pesticides[Active ingredient 3 (select)],D276,Table_Input_Pesticides[Total active ingredient 3 (kg)])</f>
        <v>100</v>
      </c>
      <c r="F276" s="39" cm="1">
        <f t="array" ref="F276">Common_InputFunctions.Utility_LookupValueInTableNumber(D276,Table_SourceData_Scope3_Pesticides[Product],Table_SourceData_Scope3_Pesticides[AusLCI Emissions intensity])</f>
        <v>8.06</v>
      </c>
      <c r="G276" s="39" cm="1">
        <f t="array" ref="G276">Scope3_Equations.VEERG_15_5_1_1__1_EmissionsFromPurchasedAgrichemicals($E276,F276)</f>
        <v>0.80600000000000005</v>
      </c>
      <c r="H276" s="58"/>
      <c r="I276" s="39" cm="1">
        <f t="array" ref="I276">Scope3_Equations.VEERG_15_5_1_1__1_EmissionsFromPurchasedAgrichemicals($E276,IF(H276,H276,F276))</f>
        <v>0.80600000000000005</v>
      </c>
    </row>
    <row r="277" spans="3:41" x14ac:dyDescent="0.25">
      <c r="D277" s="39" t="str">
        <v>Metsulfuron-methyl</v>
      </c>
      <c r="E277" s="39">
        <f>SUMIF(Table_Input_Pesticides[Active ingredient 1 (select)],D277,Table_Input_Pesticides[Total active ingredient 1 (kg)])+
SUMIF(Table_Input_Pesticides[Active ingredient 2 (select)],D277,Table_Input_Pesticides[Total active ingredient 2 (kg)])+
SUMIF(Table_Input_Pesticides[Active ingredient 3 (select)],D277,Table_Input_Pesticides[Total active ingredient 3 (kg)])</f>
        <v>0</v>
      </c>
      <c r="F277" s="39" cm="1">
        <f t="array" ref="F277">Common_InputFunctions.Utility_LookupValueInTableNumber(D277,Table_SourceData_Scope3_Pesticides[Product],Table_SourceData_Scope3_Pesticides[AusLCI Emissions intensity])</f>
        <v>8.8000000000000007</v>
      </c>
      <c r="G277" s="39" cm="1">
        <f t="array" ref="G277">Scope3_Equations.VEERG_15_5_1_1__1_EmissionsFromPurchasedAgrichemicals($E277,F277)</f>
        <v>0</v>
      </c>
      <c r="H277" s="58"/>
      <c r="I277" s="39" cm="1">
        <f t="array" ref="I277">Scope3_Equations.VEERG_15_5_1_1__1_EmissionsFromPurchasedAgrichemicals($E277,IF(H277,H277,F277))</f>
        <v>0</v>
      </c>
    </row>
    <row r="278" spans="3:41" x14ac:dyDescent="0.25">
      <c r="D278" s="39" t="str">
        <v>Pesticides (generic)</v>
      </c>
      <c r="E278" s="39">
        <f>SUMIF(Table_Input_Pesticides[Active ingredient 1 (select)],D278,Table_Input_Pesticides[Total active ingredient 1 (kg)])+
SUMIF(Table_Input_Pesticides[Active ingredient 2 (select)],D278,Table_Input_Pesticides[Total active ingredient 2 (kg)])+
SUMIF(Table_Input_Pesticides[Active ingredient 3 (select)],D278,Table_Input_Pesticides[Total active ingredient 3 (kg)])</f>
        <v>400</v>
      </c>
      <c r="F278" s="39" cm="1">
        <f t="array" ref="F278">Common_InputFunctions.Utility_LookupValueInTableNumber(D278,Table_SourceData_Scope3_Pesticides[Product],Table_SourceData_Scope3_Pesticides[AusLCI Emissions intensity])</f>
        <v>9.16</v>
      </c>
      <c r="G278" s="39" cm="1">
        <f t="array" ref="G278">Scope3_Equations.VEERG_15_5_1_1__1_EmissionsFromPurchasedAgrichemicals($E278,F278)</f>
        <v>3.6640000000000001</v>
      </c>
      <c r="H278" s="58"/>
      <c r="I278" s="39" cm="1">
        <f t="array" ref="I278">Scope3_Equations.VEERG_15_5_1_1__1_EmissionsFromPurchasedAgrichemicals($E278,IF(H278,H278,F278))</f>
        <v>3.6640000000000001</v>
      </c>
    </row>
    <row r="279" spans="3:41" x14ac:dyDescent="0.25">
      <c r="D279" s="39" t="str">
        <v>Tri-allate</v>
      </c>
      <c r="E279" s="39">
        <f>SUMIF(Table_Input_Pesticides[Active ingredient 1 (select)],D279,Table_Input_Pesticides[Total active ingredient 1 (kg)])+
SUMIF(Table_Input_Pesticides[Active ingredient 2 (select)],D279,Table_Input_Pesticides[Total active ingredient 2 (kg)])+
SUMIF(Table_Input_Pesticides[Active ingredient 3 (select)],D279,Table_Input_Pesticides[Total active ingredient 3 (kg)])</f>
        <v>0</v>
      </c>
      <c r="F279" s="39" cm="1">
        <f t="array" ref="F279">Common_InputFunctions.Utility_LookupValueInTableNumber(D279,Table_SourceData_Scope3_Pesticides[Product],Table_SourceData_Scope3_Pesticides[AusLCI Emissions intensity])</f>
        <v>8.57</v>
      </c>
      <c r="G279" s="39" cm="1">
        <f t="array" ref="G279">Scope3_Equations.VEERG_15_5_1_1__1_EmissionsFromPurchasedAgrichemicals($E279,F279)</f>
        <v>0</v>
      </c>
      <c r="H279" s="58"/>
      <c r="I279" s="39" cm="1">
        <f t="array" ref="I279">Scope3_Equations.VEERG_15_5_1_1__1_EmissionsFromPurchasedAgrichemicals($E279,IF(H279,H279,F279))</f>
        <v>0</v>
      </c>
    </row>
    <row r="280" spans="3:41" x14ac:dyDescent="0.25">
      <c r="D280" s="39" t="str">
        <v>Tribenuron methyl</v>
      </c>
      <c r="E280" s="39">
        <f>SUMIF(Table_Input_Pesticides[Active ingredient 1 (select)],D280,Table_Input_Pesticides[Total active ingredient 1 (kg)])+
SUMIF(Table_Input_Pesticides[Active ingredient 2 (select)],D280,Table_Input_Pesticides[Total active ingredient 2 (kg)])+
SUMIF(Table_Input_Pesticides[Active ingredient 3 (select)],D280,Table_Input_Pesticides[Total active ingredient 3 (kg)])</f>
        <v>100</v>
      </c>
      <c r="F280" s="39" cm="1">
        <f t="array" ref="F280">Common_InputFunctions.Utility_LookupValueInTableNumber(D280,Table_SourceData_Scope3_Pesticides[Product],Table_SourceData_Scope3_Pesticides[AusLCI Emissions intensity])</f>
        <v>8.8000000000000007</v>
      </c>
      <c r="G280" s="39" cm="1">
        <f t="array" ref="G280">Scope3_Equations.VEERG_15_5_1_1__1_EmissionsFromPurchasedAgrichemicals($E280,F280)</f>
        <v>0.88000000000000012</v>
      </c>
      <c r="H280" s="58"/>
      <c r="I280" s="39" cm="1">
        <f t="array" ref="I280">Scope3_Equations.VEERG_15_5_1_1__1_EmissionsFromPurchasedAgrichemicals($E280,IF(H280,H280,F280))</f>
        <v>0.88000000000000012</v>
      </c>
    </row>
    <row r="281" spans="3:41" x14ac:dyDescent="0.25">
      <c r="D281" s="39" t="str">
        <v>Trifluralin</v>
      </c>
      <c r="E281" s="39">
        <f>SUMIF(Table_Input_Pesticides[Active ingredient 1 (select)],D281,Table_Input_Pesticides[Total active ingredient 1 (kg)])+
SUMIF(Table_Input_Pesticides[Active ingredient 2 (select)],D281,Table_Input_Pesticides[Total active ingredient 2 (kg)])+
SUMIF(Table_Input_Pesticides[Active ingredient 3 (select)],D281,Table_Input_Pesticides[Total active ingredient 3 (kg)])</f>
        <v>100</v>
      </c>
      <c r="F281" s="39" cm="1">
        <f t="array" ref="F281">Common_InputFunctions.Utility_LookupValueInTableNumber(D281,Table_SourceData_Scope3_Pesticides[Product],Table_SourceData_Scope3_Pesticides[AusLCI Emissions intensity])</f>
        <v>6.16</v>
      </c>
      <c r="G281" s="39" cm="1">
        <f t="array" ref="G281">Scope3_Equations.VEERG_15_5_1_1__1_EmissionsFromPurchasedAgrichemicals($E281,F281)</f>
        <v>0.61599999999999999</v>
      </c>
      <c r="H281" s="58"/>
      <c r="I281" s="39" cm="1">
        <f t="array" ref="I281">Scope3_Equations.VEERG_15_5_1_1__1_EmissionsFromPurchasedAgrichemicals($E281,IF(H281,H281,F281))</f>
        <v>0.61599999999999999</v>
      </c>
    </row>
    <row r="283" spans="3:41" ht="20.25" x14ac:dyDescent="0.25">
      <c r="D283" s="184" t="s">
        <v>674</v>
      </c>
      <c r="E283" s="182">
        <f>SUM(G270:G281)</f>
        <v>7.5159999999999991</v>
      </c>
      <c r="F283" s="183" t="str">
        <f>$E$155</f>
        <v>t CO2e</v>
      </c>
    </row>
    <row r="284" spans="3:41" ht="20.25" x14ac:dyDescent="0.25">
      <c r="D284" s="184" t="s">
        <v>676</v>
      </c>
      <c r="E284" s="182">
        <f>SUM(I270:I281)</f>
        <v>7.4959999999999996</v>
      </c>
      <c r="F284" s="183" t="str">
        <f>$E$155</f>
        <v>t CO2e</v>
      </c>
    </row>
    <row r="287" spans="3:41" x14ac:dyDescent="0.25">
      <c r="C287" s="92"/>
      <c r="D287" s="92"/>
      <c r="E287" s="92"/>
      <c r="F287" s="92"/>
      <c r="G287" s="92"/>
      <c r="H287" s="92"/>
      <c r="I287" s="92"/>
      <c r="J287" s="92"/>
      <c r="K287" s="92"/>
      <c r="L287" s="92"/>
      <c r="M287" s="92"/>
      <c r="N287" s="92"/>
      <c r="O287" s="92"/>
      <c r="P287" s="92"/>
      <c r="Q287" s="92"/>
      <c r="R287" s="92"/>
      <c r="S287" s="92"/>
      <c r="T287" s="92"/>
      <c r="U287" s="92"/>
      <c r="V287" s="92"/>
      <c r="W287" s="92"/>
      <c r="X287" s="92"/>
      <c r="Y287" s="92"/>
      <c r="Z287" s="92"/>
      <c r="AA287" s="92"/>
      <c r="AB287" s="92"/>
      <c r="AC287" s="92"/>
      <c r="AD287" s="92"/>
      <c r="AE287" s="92"/>
      <c r="AF287" s="92"/>
      <c r="AG287" s="92"/>
      <c r="AH287" s="92"/>
      <c r="AI287" s="92"/>
      <c r="AJ287" s="92"/>
      <c r="AK287" s="92"/>
      <c r="AL287" s="92"/>
      <c r="AM287" s="92"/>
      <c r="AN287" s="92"/>
      <c r="AO287" s="92"/>
    </row>
    <row r="288" spans="3:41" ht="23.25" x14ac:dyDescent="0.25">
      <c r="D288" s="9" t="str" cm="1">
        <f t="array" ref="D288">Scope3_Equations.VEERG_15_6_1_1__1_EmissionsFromPurchasedLime_Title()</f>
        <v>Embedded emissions for purchased lime</v>
      </c>
    </row>
    <row r="289" spans="4:13" x14ac:dyDescent="0.25">
      <c r="D289" s="11" t="str" cm="1">
        <f t="array" ref="D289">Scope3_Equations.VEERG_15_6_1_1__1_EmissionsFromPurchasedLime_Source()</f>
        <v>VEERG 2026: 15.6.1.1, Equation (1)</v>
      </c>
    </row>
    <row r="290" spans="4:13" x14ac:dyDescent="0.25">
      <c r="D290" s="178" t="s">
        <v>667</v>
      </c>
      <c r="E290" s="178" t="str" cm="1">
        <f t="array" aca="1" ref="E290" ca="1">Common_InputFunctions.Utility_DisplayFunctionName(I305)</f>
        <v>=Scope3_Equations.VEERG_15_6_1_1__1_EmissionsFromPurchasedLime</v>
      </c>
    </row>
    <row r="293" spans="4:13" x14ac:dyDescent="0.25">
      <c r="D293" s="24" t="s">
        <v>668</v>
      </c>
      <c r="E293" s="8" t="str" cm="1">
        <f t="array" ref="E293">Scope3_Equations.VEERG_15_6_1_1__1_EmissionsFromPurchasedLime_Variable()</f>
        <v>E</v>
      </c>
    </row>
    <row r="294" spans="4:13" x14ac:dyDescent="0.25">
      <c r="D294" s="24" t="s">
        <v>97</v>
      </c>
      <c r="E294" s="8" t="str" cm="1">
        <f t="array" ref="E294">Scope3_Equations.VEERG_15_6_1_1__1_EmissionsFromPurchasedLime_Unit()</f>
        <v>t CO2e</v>
      </c>
    </row>
    <row r="296" spans="4:13" x14ac:dyDescent="0.25">
      <c r="D296" s="174" t="str" cm="1">
        <f t="array" ref="D296:E297">_xlfn.CHOOSECOLS(Scope3_Equations.VEERG_15_6_1_1__1_EmissionsFromPurchasedLime_Arguments(),1,2)</f>
        <v>M_lime</v>
      </c>
      <c r="E296" s="174" t="str">
        <v>total quantity of lime applied to soils</v>
      </c>
      <c r="F296" s="174" t="str" cm="1">
        <f t="array" ref="F296:G297">_xlfn.CHOOSECOLS(Scope3_Equations.VEERG_15_6_1_1__1_EmissionsFromPurchasedLime_Arguments(),3,4)</f>
        <v>t</v>
      </c>
      <c r="G296" s="175" t="str">
        <v>Input</v>
      </c>
    </row>
    <row r="297" spans="4:13" x14ac:dyDescent="0.25">
      <c r="D297" s="174" t="str">
        <v>EF_l</v>
      </c>
      <c r="E297" s="174" t="str">
        <v>emission factor for purchased lime</v>
      </c>
      <c r="F297" s="174" t="str">
        <v>t CO2e/t</v>
      </c>
      <c r="G297" s="176" t="str">
        <v>Constant</v>
      </c>
    </row>
    <row r="299" spans="4:13" x14ac:dyDescent="0.25">
      <c r="E299" s="49" t="s">
        <v>442</v>
      </c>
      <c r="F299" s="36" t="s">
        <v>443</v>
      </c>
    </row>
    <row r="300" spans="4:13" ht="18.75" x14ac:dyDescent="0.25">
      <c r="D300" s="8" t="s">
        <v>726</v>
      </c>
      <c r="E300" s="39" cm="1">
        <f t="array" ref="E300">Common_InputFunctions.Utility_LookupValueInTableNumber("Limestone (crushed)", Table_SourceData_Scope3_SoilAmeliorants[Product],Table_SourceData_Scope3_SoilAmeliorants[AusLCI Emissions intensity])*10^-3</f>
        <v>4.85E-5</v>
      </c>
      <c r="F300" s="58">
        <v>4.0000000000000003E-5</v>
      </c>
      <c r="G300" s="57" t="str">
        <f>$F$297</f>
        <v>t CO2e/t</v>
      </c>
    </row>
    <row r="301" spans="4:13" ht="18.75" x14ac:dyDescent="0.25">
      <c r="D301" s="8" t="s">
        <v>727</v>
      </c>
      <c r="E301" s="39" cm="1">
        <f t="array" ref="E301">Common_InputFunctions.Utility_LookupValueInTableNumber("Dolomite", Table_SourceData_Scope3_SoilAmeliorants[Product],Table_SourceData_Scope3_SoilAmeliorants[AusLCI Emissions intensity])*10^-3</f>
        <v>6.5199999999999999E-5</v>
      </c>
      <c r="F301" s="58">
        <v>6.0000000000000002E-5</v>
      </c>
      <c r="G301" s="57"/>
    </row>
    <row r="302" spans="4:13" ht="18.75" x14ac:dyDescent="0.25">
      <c r="D302" s="8" t="s">
        <v>728</v>
      </c>
      <c r="E302" s="39" cm="1">
        <f t="array" ref="E302">Common_InputFunctions.Utility_LookupValueInTableNumber("Gypsum", Table_SourceData_Scope3_SoilAmeliorants[Product],Table_SourceData_Scope3_SoilAmeliorants[AusLCI Emissions intensity])*10^-3</f>
        <v>6.5199999999999999E-5</v>
      </c>
      <c r="F302" s="58">
        <v>6.0000000000000002E-5</v>
      </c>
      <c r="G302" s="57"/>
    </row>
    <row r="304" spans="4:13" ht="17.25" x14ac:dyDescent="0.25">
      <c r="D304" s="36" t="s">
        <v>171</v>
      </c>
      <c r="E304" s="153" t="s">
        <v>724</v>
      </c>
      <c r="F304" s="36" t="s">
        <v>729</v>
      </c>
      <c r="G304" s="36" t="s">
        <v>730</v>
      </c>
      <c r="H304" s="36" t="s">
        <v>731</v>
      </c>
      <c r="I304" s="49" t="s">
        <v>674</v>
      </c>
      <c r="J304" s="49" t="s">
        <v>725</v>
      </c>
      <c r="K304" s="36" t="s">
        <v>670</v>
      </c>
      <c r="L304" s="36" t="s">
        <v>671</v>
      </c>
      <c r="M304" s="36" t="s">
        <v>672</v>
      </c>
    </row>
    <row r="305" spans="3:41" x14ac:dyDescent="0.25">
      <c r="D305" s="39" t="str" cm="1">
        <f t="array" ref="D305:D314">IFERROR(INDEX(Table_Input_SoilAmeliorants[Product], _xlfn.SEQUENCE(10)), "")</f>
        <v>Lime product 1</v>
      </c>
      <c r="E305" s="39" cm="1">
        <f t="array" ref="E305:E314">IFERROR(INDEX(Table_Input_SoilAmeliorants[Total amount applied (t)], _xlfn.SEQUENCE(10)), 0)</f>
        <v>10000</v>
      </c>
      <c r="F305" s="39" cm="1">
        <f t="array" ref="F305:F314">IFERROR(INDEX(Table_Input_SoilAmeliorants[Percent Lime CaCO3], _xlfn.SEQUENCE(10)), 0)*E305</f>
        <v>4000</v>
      </c>
      <c r="G305" s="39" cm="1">
        <f t="array" ref="G305:G314">IFERROR(INDEX(Table_Input_SoilAmeliorants[Percent Dolomite CaMg(CO3)2], _xlfn.SEQUENCE(10)), 0)*E305</f>
        <v>3000</v>
      </c>
      <c r="H305" s="39" cm="1">
        <f t="array" ref="H305:H314">IFERROR(INDEX(Table_Input_SoilAmeliorants[Percent Gypsum], _xlfn.SEQUENCE(10)), 0)*E305</f>
        <v>2500</v>
      </c>
      <c r="I305" s="152" cm="1">
        <f t="array" ref="I305">Scope3_Equations.VEERG_15_6_1_1__1_EmissionsFromPurchasedLime(F305,$E$300)+
Scope3_Equations.VEERG_15_6_1_1__1_EmissionsFromPurchasedLime(G305,$E$301)+
Scope3_Equations.VEERG_15_6_1_1__1_EmissionsFromPurchasedLime(H305,$E$302)</f>
        <v>0.55259999999999998</v>
      </c>
      <c r="J305" s="152" cm="1">
        <f t="array" ref="J305">Scope3_Equations.VEERG_15_6_1_1__1_EmissionsFromPurchasedLime(F305,IF($F$300,$F$300,$E$300))+
Scope3_Equations.VEERG_15_6_1_1__1_EmissionsFromPurchasedLime(G305,IF($F$301,$F$301,$E$301))+
Scope3_Equations.VEERG_15_6_1_1__1_EmissionsFromPurchasedLime(H305,IF($F$302,$F$302,$E$302))</f>
        <v>0.49</v>
      </c>
      <c r="K305" s="75"/>
      <c r="L305" s="37"/>
      <c r="M305" s="75"/>
    </row>
    <row r="306" spans="3:41" x14ac:dyDescent="0.25">
      <c r="D306" s="39" t="str">
        <v>Lime product 2</v>
      </c>
      <c r="E306" s="39">
        <v>10000</v>
      </c>
      <c r="F306" s="39">
        <v>10000</v>
      </c>
      <c r="G306" s="39">
        <v>0</v>
      </c>
      <c r="H306" s="39">
        <v>0</v>
      </c>
      <c r="I306" s="152" cm="1">
        <f t="array" ref="I306">Scope3_Equations.VEERG_15_6_1_1__1_EmissionsFromPurchasedLime(F306,$E$300)+
Scope3_Equations.VEERG_15_6_1_1__1_EmissionsFromPurchasedLime(G306,$E$301)+
Scope3_Equations.VEERG_15_6_1_1__1_EmissionsFromPurchasedLime(H306,$E$302)</f>
        <v>0.48499999999999999</v>
      </c>
      <c r="J306" s="152" cm="1">
        <f t="array" ref="J306">Scope3_Equations.VEERG_15_6_1_1__1_EmissionsFromPurchasedLime(F306,IF($F$300,$F$300,$E$300))+
Scope3_Equations.VEERG_15_6_1_1__1_EmissionsFromPurchasedLime(G306,IF($F$301,$F$301,$E$301))+
Scope3_Equations.VEERG_15_6_1_1__1_EmissionsFromPurchasedLime(H306,IF($F$302,$F$302,$E$302))</f>
        <v>0.4</v>
      </c>
      <c r="K306" s="75"/>
      <c r="L306" s="37"/>
      <c r="M306" s="75"/>
    </row>
    <row r="307" spans="3:41" x14ac:dyDescent="0.25">
      <c r="D307" s="39" t="str">
        <v/>
      </c>
      <c r="E307" s="39">
        <v>0</v>
      </c>
      <c r="F307" s="39">
        <v>0</v>
      </c>
      <c r="G307" s="39">
        <v>0</v>
      </c>
      <c r="H307" s="39">
        <v>0</v>
      </c>
      <c r="I307" s="152" cm="1">
        <f t="array" ref="I307">Scope3_Equations.VEERG_15_6_1_1__1_EmissionsFromPurchasedLime(F307,$E$300)+
Scope3_Equations.VEERG_15_6_1_1__1_EmissionsFromPurchasedLime(G307,$E$301)+
Scope3_Equations.VEERG_15_6_1_1__1_EmissionsFromPurchasedLime(H307,$E$302)</f>
        <v>0</v>
      </c>
      <c r="J307" s="152" cm="1">
        <f t="array" ref="J307">Scope3_Equations.VEERG_15_6_1_1__1_EmissionsFromPurchasedLime(F307,IF($F$300,$F$300,$E$300))+
Scope3_Equations.VEERG_15_6_1_1__1_EmissionsFromPurchasedLime(G307,IF($F$301,$F$301,$E$301))+
Scope3_Equations.VEERG_15_6_1_1__1_EmissionsFromPurchasedLime(H307,IF($F$302,$F$302,$E$302))</f>
        <v>0</v>
      </c>
      <c r="K307" s="75"/>
      <c r="L307" s="37"/>
      <c r="M307" s="75"/>
    </row>
    <row r="308" spans="3:41" x14ac:dyDescent="0.25">
      <c r="D308" s="39" t="str">
        <v/>
      </c>
      <c r="E308" s="39">
        <v>0</v>
      </c>
      <c r="F308" s="39">
        <v>0</v>
      </c>
      <c r="G308" s="39">
        <v>0</v>
      </c>
      <c r="H308" s="39">
        <v>0</v>
      </c>
      <c r="I308" s="152" cm="1">
        <f t="array" ref="I308">Scope3_Equations.VEERG_15_6_1_1__1_EmissionsFromPurchasedLime(F308,$E$300)+
Scope3_Equations.VEERG_15_6_1_1__1_EmissionsFromPurchasedLime(G308,$E$301)+
Scope3_Equations.VEERG_15_6_1_1__1_EmissionsFromPurchasedLime(H308,$E$302)</f>
        <v>0</v>
      </c>
      <c r="J308" s="152" cm="1">
        <f t="array" ref="J308">Scope3_Equations.VEERG_15_6_1_1__1_EmissionsFromPurchasedLime(F308,IF($F$300,$F$300,$E$300))+
Scope3_Equations.VEERG_15_6_1_1__1_EmissionsFromPurchasedLime(G308,IF($F$301,$F$301,$E$301))+
Scope3_Equations.VEERG_15_6_1_1__1_EmissionsFromPurchasedLime(H308,IF($F$302,$F$302,$E$302))</f>
        <v>0</v>
      </c>
      <c r="K308" s="75"/>
      <c r="L308" s="37"/>
      <c r="M308" s="75"/>
    </row>
    <row r="309" spans="3:41" x14ac:dyDescent="0.25">
      <c r="D309" s="39" t="str">
        <v/>
      </c>
      <c r="E309" s="39">
        <v>0</v>
      </c>
      <c r="F309" s="39">
        <v>0</v>
      </c>
      <c r="G309" s="39">
        <v>0</v>
      </c>
      <c r="H309" s="39">
        <v>0</v>
      </c>
      <c r="I309" s="152" cm="1">
        <f t="array" ref="I309">Scope3_Equations.VEERG_15_6_1_1__1_EmissionsFromPurchasedLime(F309,$E$300)+
Scope3_Equations.VEERG_15_6_1_1__1_EmissionsFromPurchasedLime(G309,$E$301)+
Scope3_Equations.VEERG_15_6_1_1__1_EmissionsFromPurchasedLime(H309,$E$302)</f>
        <v>0</v>
      </c>
      <c r="J309" s="152" cm="1">
        <f t="array" ref="J309">Scope3_Equations.VEERG_15_6_1_1__1_EmissionsFromPurchasedLime(F309,IF($F$300,$F$300,$E$300))+
Scope3_Equations.VEERG_15_6_1_1__1_EmissionsFromPurchasedLime(G309,IF($F$301,$F$301,$E$301))+
Scope3_Equations.VEERG_15_6_1_1__1_EmissionsFromPurchasedLime(H309,IF($F$302,$F$302,$E$302))</f>
        <v>0</v>
      </c>
      <c r="K309" s="75"/>
      <c r="L309" s="37"/>
      <c r="M309" s="75"/>
    </row>
    <row r="310" spans="3:41" x14ac:dyDescent="0.25">
      <c r="D310" s="39" t="str">
        <v/>
      </c>
      <c r="E310" s="39">
        <v>0</v>
      </c>
      <c r="F310" s="39">
        <v>0</v>
      </c>
      <c r="G310" s="39">
        <v>0</v>
      </c>
      <c r="H310" s="39">
        <v>0</v>
      </c>
      <c r="I310" s="152" cm="1">
        <f t="array" ref="I310">Scope3_Equations.VEERG_15_6_1_1__1_EmissionsFromPurchasedLime(F310,$E$300)+
Scope3_Equations.VEERG_15_6_1_1__1_EmissionsFromPurchasedLime(G310,$E$301)+
Scope3_Equations.VEERG_15_6_1_1__1_EmissionsFromPurchasedLime(H310,$E$302)</f>
        <v>0</v>
      </c>
      <c r="J310" s="152" cm="1">
        <f t="array" ref="J310">Scope3_Equations.VEERG_15_6_1_1__1_EmissionsFromPurchasedLime(F310,IF($F$300,$F$300,$E$300))+
Scope3_Equations.VEERG_15_6_1_1__1_EmissionsFromPurchasedLime(G310,IF($F$301,$F$301,$E$301))+
Scope3_Equations.VEERG_15_6_1_1__1_EmissionsFromPurchasedLime(H310,IF($F$302,$F$302,$E$302))</f>
        <v>0</v>
      </c>
      <c r="K310" s="75"/>
      <c r="L310" s="37"/>
      <c r="M310" s="75"/>
    </row>
    <row r="311" spans="3:41" x14ac:dyDescent="0.25">
      <c r="D311" s="39" t="str">
        <v/>
      </c>
      <c r="E311" s="39">
        <v>0</v>
      </c>
      <c r="F311" s="39">
        <v>0</v>
      </c>
      <c r="G311" s="39">
        <v>0</v>
      </c>
      <c r="H311" s="39">
        <v>0</v>
      </c>
      <c r="I311" s="152" cm="1">
        <f t="array" ref="I311">Scope3_Equations.VEERG_15_6_1_1__1_EmissionsFromPurchasedLime(F311,$E$300)+
Scope3_Equations.VEERG_15_6_1_1__1_EmissionsFromPurchasedLime(G311,$E$301)+
Scope3_Equations.VEERG_15_6_1_1__1_EmissionsFromPurchasedLime(H311,$E$302)</f>
        <v>0</v>
      </c>
      <c r="J311" s="152" cm="1">
        <f t="array" ref="J311">Scope3_Equations.VEERG_15_6_1_1__1_EmissionsFromPurchasedLime(F311,IF($F$300,$F$300,$E$300))+
Scope3_Equations.VEERG_15_6_1_1__1_EmissionsFromPurchasedLime(G311,IF($F$301,$F$301,$E$301))+
Scope3_Equations.VEERG_15_6_1_1__1_EmissionsFromPurchasedLime(H311,IF($F$302,$F$302,$E$302))</f>
        <v>0</v>
      </c>
      <c r="K311" s="75"/>
      <c r="L311" s="37"/>
      <c r="M311" s="75"/>
    </row>
    <row r="312" spans="3:41" x14ac:dyDescent="0.25">
      <c r="D312" s="39" t="str">
        <v/>
      </c>
      <c r="E312" s="39">
        <v>0</v>
      </c>
      <c r="F312" s="39">
        <v>0</v>
      </c>
      <c r="G312" s="39">
        <v>0</v>
      </c>
      <c r="H312" s="39">
        <v>0</v>
      </c>
      <c r="I312" s="152" cm="1">
        <f t="array" ref="I312">Scope3_Equations.VEERG_15_6_1_1__1_EmissionsFromPurchasedLime(F312,$E$300)+
Scope3_Equations.VEERG_15_6_1_1__1_EmissionsFromPurchasedLime(G312,$E$301)+
Scope3_Equations.VEERG_15_6_1_1__1_EmissionsFromPurchasedLime(H312,$E$302)</f>
        <v>0</v>
      </c>
      <c r="J312" s="152" cm="1">
        <f t="array" ref="J312">Scope3_Equations.VEERG_15_6_1_1__1_EmissionsFromPurchasedLime(F312,IF($F$300,$F$300,$E$300))+
Scope3_Equations.VEERG_15_6_1_1__1_EmissionsFromPurchasedLime(G312,IF($F$301,$F$301,$E$301))+
Scope3_Equations.VEERG_15_6_1_1__1_EmissionsFromPurchasedLime(H312,IF($F$302,$F$302,$E$302))</f>
        <v>0</v>
      </c>
      <c r="K312" s="75"/>
      <c r="L312" s="37"/>
      <c r="M312" s="75"/>
    </row>
    <row r="313" spans="3:41" x14ac:dyDescent="0.25">
      <c r="D313" s="39" t="str">
        <v/>
      </c>
      <c r="E313" s="39">
        <v>0</v>
      </c>
      <c r="F313" s="39">
        <v>0</v>
      </c>
      <c r="G313" s="39">
        <v>0</v>
      </c>
      <c r="H313" s="39">
        <v>0</v>
      </c>
      <c r="I313" s="152" cm="1">
        <f t="array" ref="I313">Scope3_Equations.VEERG_15_6_1_1__1_EmissionsFromPurchasedLime(F313,$E$300)+
Scope3_Equations.VEERG_15_6_1_1__1_EmissionsFromPurchasedLime(G313,$E$301)+
Scope3_Equations.VEERG_15_6_1_1__1_EmissionsFromPurchasedLime(H313,$E$302)</f>
        <v>0</v>
      </c>
      <c r="J313" s="152" cm="1">
        <f t="array" ref="J313">Scope3_Equations.VEERG_15_6_1_1__1_EmissionsFromPurchasedLime(F313,IF($F$300,$F$300,$E$300))+
Scope3_Equations.VEERG_15_6_1_1__1_EmissionsFromPurchasedLime(G313,IF($F$301,$F$301,$E$301))+
Scope3_Equations.VEERG_15_6_1_1__1_EmissionsFromPurchasedLime(H313,IF($F$302,$F$302,$E$302))</f>
        <v>0</v>
      </c>
      <c r="K313" s="75"/>
      <c r="L313" s="37"/>
      <c r="M313" s="75"/>
    </row>
    <row r="314" spans="3:41" x14ac:dyDescent="0.25">
      <c r="D314" s="39" t="str">
        <v/>
      </c>
      <c r="E314" s="39">
        <v>0</v>
      </c>
      <c r="F314" s="39">
        <v>0</v>
      </c>
      <c r="G314" s="39">
        <v>0</v>
      </c>
      <c r="H314" s="39">
        <v>0</v>
      </c>
      <c r="I314" s="152" cm="1">
        <f t="array" ref="I314">Scope3_Equations.VEERG_15_6_1_1__1_EmissionsFromPurchasedLime(F314,$E$300)+
Scope3_Equations.VEERG_15_6_1_1__1_EmissionsFromPurchasedLime(G314,$E$301)+
Scope3_Equations.VEERG_15_6_1_1__1_EmissionsFromPurchasedLime(H314,$E$302)</f>
        <v>0</v>
      </c>
      <c r="J314" s="152" cm="1">
        <f t="array" ref="J314">Scope3_Equations.VEERG_15_6_1_1__1_EmissionsFromPurchasedLime(F314,IF($F$300,$F$300,$E$300))+
Scope3_Equations.VEERG_15_6_1_1__1_EmissionsFromPurchasedLime(G314,IF($F$301,$F$301,$E$301))+
Scope3_Equations.VEERG_15_6_1_1__1_EmissionsFromPurchasedLime(H314,IF($F$302,$F$302,$E$302))</f>
        <v>0</v>
      </c>
      <c r="K314" s="75"/>
      <c r="L314" s="37"/>
      <c r="M314" s="75"/>
    </row>
    <row r="316" spans="3:41" ht="20.25" x14ac:dyDescent="0.25">
      <c r="D316" s="184" t="s">
        <v>674</v>
      </c>
      <c r="E316" s="182">
        <f>SUM(I305:I314)</f>
        <v>1.0375999999999999</v>
      </c>
      <c r="F316" s="183" t="str">
        <f>$E$155</f>
        <v>t CO2e</v>
      </c>
    </row>
    <row r="317" spans="3:41" ht="20.25" x14ac:dyDescent="0.25">
      <c r="D317" s="184" t="s">
        <v>676</v>
      </c>
      <c r="E317" s="182">
        <f>SUM(J305:J314)</f>
        <v>0.89</v>
      </c>
      <c r="F317" s="183" t="str">
        <f>$E$155</f>
        <v>t CO2e</v>
      </c>
    </row>
    <row r="320" spans="3:41" x14ac:dyDescent="0.25">
      <c r="C320" s="92"/>
      <c r="D320" s="92"/>
      <c r="E320" s="92"/>
      <c r="F320" s="92"/>
      <c r="G320" s="92"/>
      <c r="H320" s="92"/>
      <c r="I320" s="92"/>
      <c r="J320" s="92"/>
      <c r="K320" s="92"/>
      <c r="L320" s="92"/>
      <c r="M320" s="92"/>
      <c r="N320" s="92"/>
      <c r="O320" s="92"/>
      <c r="P320" s="92"/>
      <c r="Q320" s="92"/>
      <c r="R320" s="92"/>
      <c r="S320" s="92"/>
      <c r="T320" s="92"/>
      <c r="U320" s="92"/>
      <c r="V320" s="92"/>
      <c r="W320" s="92"/>
      <c r="X320" s="92"/>
      <c r="Y320" s="92"/>
      <c r="Z320" s="92"/>
      <c r="AA320" s="92"/>
      <c r="AB320" s="92"/>
      <c r="AC320" s="92"/>
      <c r="AD320" s="92"/>
      <c r="AE320" s="92"/>
      <c r="AF320" s="92"/>
      <c r="AG320" s="92"/>
      <c r="AH320" s="92"/>
      <c r="AI320" s="92"/>
      <c r="AJ320" s="92"/>
      <c r="AK320" s="92"/>
      <c r="AL320" s="92"/>
      <c r="AM320" s="92"/>
      <c r="AN320" s="92"/>
      <c r="AO320" s="92"/>
    </row>
    <row r="321" spans="3:41" ht="23.25" x14ac:dyDescent="0.25">
      <c r="C321" s="185"/>
      <c r="D321" s="186" t="str" cm="1">
        <f t="array" ref="D321">Scope3_Equations.VEERG_15_7_1_1__1_EmissionsFromPurchasedServices_Title()</f>
        <v>Emissions of purchased services and contractor operations</v>
      </c>
      <c r="E321" s="185"/>
      <c r="F321" s="185"/>
      <c r="G321" s="185"/>
      <c r="H321" s="185"/>
      <c r="I321" s="185"/>
      <c r="J321" s="185"/>
      <c r="K321" s="185"/>
      <c r="L321" s="185"/>
      <c r="M321" s="185"/>
      <c r="N321" s="185"/>
      <c r="O321" s="185"/>
      <c r="P321" s="185"/>
      <c r="Q321" s="185"/>
      <c r="R321" s="185"/>
      <c r="S321" s="185"/>
      <c r="T321" s="185"/>
      <c r="U321" s="185"/>
      <c r="V321" s="185"/>
      <c r="W321" s="185"/>
      <c r="X321" s="185"/>
      <c r="Y321" s="185"/>
      <c r="Z321" s="185"/>
      <c r="AA321" s="185"/>
      <c r="AB321" s="185"/>
      <c r="AC321" s="185"/>
      <c r="AD321" s="185"/>
      <c r="AE321" s="185"/>
      <c r="AF321" s="185"/>
      <c r="AG321" s="185"/>
      <c r="AH321" s="185"/>
      <c r="AI321" s="185"/>
      <c r="AJ321" s="185"/>
      <c r="AK321" s="185"/>
      <c r="AL321" s="185"/>
      <c r="AM321" s="185"/>
      <c r="AN321" s="185"/>
      <c r="AO321" s="185"/>
    </row>
    <row r="322" spans="3:41" x14ac:dyDescent="0.25">
      <c r="D322" s="11" t="str" cm="1">
        <f t="array" ref="D322">Scope3_Equations.VEERG_15_7_1_1__1_EmissionsFromPurchasedServices_Source()</f>
        <v>VEERG 2026: 15.7.1.1, Equation (1)</v>
      </c>
    </row>
    <row r="323" spans="3:41" x14ac:dyDescent="0.25">
      <c r="D323" s="178" t="s">
        <v>667</v>
      </c>
      <c r="E323" s="178" t="str" cm="1">
        <f t="array" aca="1" ref="E323" ca="1">Common_InputFunctions.Utility_DisplayFunctionName(K336)</f>
        <v>=Scope3_Equations.VEERG_15_7_1_1__1_EmissionsFromPurchasedServices</v>
      </c>
    </row>
    <row r="326" spans="3:41" x14ac:dyDescent="0.25">
      <c r="D326" s="24" t="s">
        <v>668</v>
      </c>
      <c r="E326" s="8" t="str" cm="1">
        <f t="array" ref="E326">Scope3_Equations.VEERG_15_7_1_1__1_EmissionsFromPurchasedServices_Variable()</f>
        <v>E</v>
      </c>
    </row>
    <row r="327" spans="3:41" x14ac:dyDescent="0.25">
      <c r="D327" s="24" t="s">
        <v>97</v>
      </c>
      <c r="E327" s="8" t="str" cm="1">
        <f t="array" ref="E327">Scope3_Equations.VEERG_15_7_1_1__1_EmissionsFromPurchasedServices_Unit()</f>
        <v>t CO2e</v>
      </c>
    </row>
    <row r="329" spans="3:41" x14ac:dyDescent="0.25">
      <c r="D329" s="174" t="str" cm="1">
        <f t="array" ref="D329:E331">_xlfn.CHOOSECOLS(Scope3_Equations.VEERG_15_7_1_1__1_EmissionsFromPurchasedServices_Arguments(),1,2)</f>
        <v>A_p</v>
      </c>
      <c r="E329" s="177" t="str">
        <v>activity data of the service that was purchased</v>
      </c>
      <c r="F329" s="173"/>
      <c r="G329" s="174" t="str" cm="1">
        <f t="array" ref="G329:H331">_xlfn.CHOOSECOLS(Scope3_Equations.VEERG_15_7_1_1__1_EmissionsFromPurchasedServices_Arguments(),3,4)</f>
        <v>ha or h</v>
      </c>
      <c r="H329" s="175" t="str">
        <v>Input</v>
      </c>
    </row>
    <row r="330" spans="3:41" x14ac:dyDescent="0.25">
      <c r="D330" s="174" t="str">
        <v>EF_p</v>
      </c>
      <c r="E330" s="177" t="str">
        <v>life cycle emission factor for the purchased service</v>
      </c>
      <c r="F330" s="173"/>
      <c r="G330" s="174" t="str">
        <v>kg CO2e/ha or kg CO2e/h</v>
      </c>
      <c r="H330" s="176" t="str">
        <v>Constant</v>
      </c>
    </row>
    <row r="331" spans="3:41" x14ac:dyDescent="0.25">
      <c r="D331" s="174" t="str">
        <v>p</v>
      </c>
      <c r="E331" s="177" t="str">
        <v>service type</v>
      </c>
      <c r="F331" s="173"/>
      <c r="G331" s="174" t="str">
        <v/>
      </c>
      <c r="H331" s="175" t="str">
        <v>Input</v>
      </c>
    </row>
    <row r="333" spans="3:41" x14ac:dyDescent="0.25">
      <c r="D333" s="12" t="s">
        <v>732</v>
      </c>
    </row>
    <row r="335" spans="3:41" x14ac:dyDescent="0.25">
      <c r="D335" s="36" t="s">
        <v>645</v>
      </c>
      <c r="E335" s="36" t="s">
        <v>655</v>
      </c>
      <c r="F335" s="36" t="s">
        <v>650</v>
      </c>
      <c r="G335" s="36" t="s">
        <v>126</v>
      </c>
      <c r="H335" s="49" t="s">
        <v>448</v>
      </c>
      <c r="I335" s="49" t="s">
        <v>381</v>
      </c>
      <c r="J335" s="36" t="s">
        <v>449</v>
      </c>
      <c r="K335" s="49" t="s">
        <v>382</v>
      </c>
      <c r="L335" s="49" t="s">
        <v>651</v>
      </c>
      <c r="M335" s="36" t="s">
        <v>670</v>
      </c>
      <c r="N335" s="36" t="s">
        <v>671</v>
      </c>
      <c r="O335" s="36" t="s">
        <v>672</v>
      </c>
    </row>
    <row r="336" spans="3:41" x14ac:dyDescent="0.25">
      <c r="D336" s="39" t="str" cm="1">
        <f t="array" ref="D336:D345">IFERROR(INDEX(Table_Input_ServicesAndContractors[Service provider / contractor], _xlfn.SEQUENCE(10)), "")</f>
        <v>Pete's Pickers</v>
      </c>
      <c r="E336" s="39" t="str" cm="1">
        <f t="array" ref="E336:E345">IFERROR(INDEX(Table_Input_ServicesAndContractors[Activity], _xlfn.SEQUENCE(10)), "")</f>
        <v>Fruit picking</v>
      </c>
      <c r="F336" s="39" cm="1">
        <f t="array" ref="F336:F345">IFERROR(INDEX(Table_Input_ServicesAndContractors[Total amount], _xlfn.SEQUENCE(10)), "")</f>
        <v>10000</v>
      </c>
      <c r="G336" s="39" t="str" cm="1">
        <f t="array" ref="G336:G345">IFERROR(INDEX(Table_Input_ServicesAndContractors[Amount unit], _xlfn.SEQUENCE(10)), "")</f>
        <v>Hour</v>
      </c>
      <c r="H336" s="39" t="s">
        <v>642</v>
      </c>
      <c r="I336" s="39" t="s">
        <v>642</v>
      </c>
      <c r="J336" s="58">
        <v>4</v>
      </c>
      <c r="K336" s="152" cm="1">
        <f t="array" ref="K336">Scope3_Equations.VEERG_15_7_1_1__1_EmissionsFromPurchasedServices(F336,J336)</f>
        <v>40</v>
      </c>
      <c r="L336" s="39" t="str">
        <f>"t CO2e / " &amp; G336</f>
        <v>t CO2e / Hour</v>
      </c>
      <c r="M336" s="75"/>
      <c r="N336" s="37"/>
      <c r="O336" s="75"/>
    </row>
    <row r="337" spans="3:41" x14ac:dyDescent="0.25">
      <c r="D337" s="39" t="str">
        <v>Harini's Harvesting Services Pty Ltd</v>
      </c>
      <c r="E337" s="39" t="str">
        <v>Wheat harvesting</v>
      </c>
      <c r="F337" s="39">
        <v>1000</v>
      </c>
      <c r="G337" s="39" t="str">
        <v>Hectare</v>
      </c>
      <c r="H337" s="39" t="s">
        <v>642</v>
      </c>
      <c r="I337" s="39" t="s">
        <v>642</v>
      </c>
      <c r="J337" s="58">
        <v>2</v>
      </c>
      <c r="K337" s="152" cm="1">
        <f t="array" ref="K337">Scope3_Equations.VEERG_15_7_1_1__1_EmissionsFromPurchasedServices(F337,J337)</f>
        <v>2</v>
      </c>
      <c r="L337" s="39" t="str">
        <f t="shared" ref="L337:L345" si="0">"t CO2e / " &amp; G337</f>
        <v>t CO2e / Hectare</v>
      </c>
      <c r="M337" s="75"/>
      <c r="N337" s="37"/>
      <c r="O337" s="75"/>
    </row>
    <row r="338" spans="3:41" x14ac:dyDescent="0.25">
      <c r="D338" s="39">
        <v>0</v>
      </c>
      <c r="E338" s="39">
        <v>0</v>
      </c>
      <c r="F338" s="39">
        <v>0</v>
      </c>
      <c r="G338" s="39">
        <v>0</v>
      </c>
      <c r="H338" s="39" t="s">
        <v>642</v>
      </c>
      <c r="I338" s="39" t="s">
        <v>642</v>
      </c>
      <c r="J338" s="58"/>
      <c r="K338" s="152" cm="1">
        <f t="array" ref="K338">Scope3_Equations.VEERG_15_7_1_1__1_EmissionsFromPurchasedServices(F338,J338)</f>
        <v>0</v>
      </c>
      <c r="L338" s="39" t="str">
        <f t="shared" si="0"/>
        <v>t CO2e / 0</v>
      </c>
      <c r="M338" s="75"/>
      <c r="N338" s="37"/>
      <c r="O338" s="75"/>
    </row>
    <row r="339" spans="3:41" x14ac:dyDescent="0.25">
      <c r="D339" s="39">
        <v>0</v>
      </c>
      <c r="E339" s="39">
        <v>0</v>
      </c>
      <c r="F339" s="39">
        <v>0</v>
      </c>
      <c r="G339" s="39">
        <v>0</v>
      </c>
      <c r="H339" s="39" t="s">
        <v>642</v>
      </c>
      <c r="I339" s="39" t="s">
        <v>642</v>
      </c>
      <c r="J339" s="58"/>
      <c r="K339" s="152" cm="1">
        <f t="array" ref="K339">Scope3_Equations.VEERG_15_7_1_1__1_EmissionsFromPurchasedServices(F339,J339)</f>
        <v>0</v>
      </c>
      <c r="L339" s="39" t="str">
        <f t="shared" si="0"/>
        <v>t CO2e / 0</v>
      </c>
      <c r="M339" s="75"/>
      <c r="N339" s="37"/>
      <c r="O339" s="75"/>
    </row>
    <row r="340" spans="3:41" x14ac:dyDescent="0.25">
      <c r="D340" s="39">
        <v>0</v>
      </c>
      <c r="E340" s="39">
        <v>0</v>
      </c>
      <c r="F340" s="39">
        <v>0</v>
      </c>
      <c r="G340" s="39">
        <v>0</v>
      </c>
      <c r="H340" s="39" t="s">
        <v>642</v>
      </c>
      <c r="I340" s="39" t="s">
        <v>642</v>
      </c>
      <c r="J340" s="58"/>
      <c r="K340" s="152" cm="1">
        <f t="array" ref="K340">Scope3_Equations.VEERG_15_7_1_1__1_EmissionsFromPurchasedServices(F340,J340)</f>
        <v>0</v>
      </c>
      <c r="L340" s="39" t="str">
        <f t="shared" si="0"/>
        <v>t CO2e / 0</v>
      </c>
      <c r="M340" s="75"/>
      <c r="N340" s="37"/>
      <c r="O340" s="75"/>
    </row>
    <row r="341" spans="3:41" x14ac:dyDescent="0.25">
      <c r="D341" s="39">
        <v>0</v>
      </c>
      <c r="E341" s="39">
        <v>0</v>
      </c>
      <c r="F341" s="39">
        <v>0</v>
      </c>
      <c r="G341" s="39">
        <v>0</v>
      </c>
      <c r="H341" s="39" t="s">
        <v>642</v>
      </c>
      <c r="I341" s="39" t="s">
        <v>642</v>
      </c>
      <c r="J341" s="58"/>
      <c r="K341" s="152" cm="1">
        <f t="array" ref="K341">Scope3_Equations.VEERG_15_7_1_1__1_EmissionsFromPurchasedServices(F341,J341)</f>
        <v>0</v>
      </c>
      <c r="L341" s="39" t="str">
        <f t="shared" si="0"/>
        <v>t CO2e / 0</v>
      </c>
      <c r="M341" s="75"/>
      <c r="N341" s="37"/>
      <c r="O341" s="75"/>
    </row>
    <row r="342" spans="3:41" x14ac:dyDescent="0.25">
      <c r="D342" s="39">
        <v>0</v>
      </c>
      <c r="E342" s="39">
        <v>0</v>
      </c>
      <c r="F342" s="39">
        <v>0</v>
      </c>
      <c r="G342" s="39">
        <v>0</v>
      </c>
      <c r="H342" s="39" t="s">
        <v>642</v>
      </c>
      <c r="I342" s="39" t="s">
        <v>642</v>
      </c>
      <c r="J342" s="58"/>
      <c r="K342" s="152" cm="1">
        <f t="array" ref="K342">Scope3_Equations.VEERG_15_7_1_1__1_EmissionsFromPurchasedServices(F342,J342)</f>
        <v>0</v>
      </c>
      <c r="L342" s="39" t="str">
        <f t="shared" si="0"/>
        <v>t CO2e / 0</v>
      </c>
      <c r="M342" s="75"/>
      <c r="N342" s="37"/>
      <c r="O342" s="75"/>
    </row>
    <row r="343" spans="3:41" x14ac:dyDescent="0.25">
      <c r="D343" s="39">
        <v>0</v>
      </c>
      <c r="E343" s="39">
        <v>0</v>
      </c>
      <c r="F343" s="39">
        <v>0</v>
      </c>
      <c r="G343" s="39">
        <v>0</v>
      </c>
      <c r="H343" s="39" t="s">
        <v>642</v>
      </c>
      <c r="I343" s="39" t="s">
        <v>642</v>
      </c>
      <c r="J343" s="58"/>
      <c r="K343" s="152" cm="1">
        <f t="array" ref="K343">Scope3_Equations.VEERG_15_7_1_1__1_EmissionsFromPurchasedServices(F343,J343)</f>
        <v>0</v>
      </c>
      <c r="L343" s="39" t="str">
        <f t="shared" si="0"/>
        <v>t CO2e / 0</v>
      </c>
      <c r="M343" s="75"/>
      <c r="N343" s="37"/>
      <c r="O343" s="75"/>
    </row>
    <row r="344" spans="3:41" x14ac:dyDescent="0.25">
      <c r="D344" s="39">
        <v>0</v>
      </c>
      <c r="E344" s="39">
        <v>0</v>
      </c>
      <c r="F344" s="39">
        <v>0</v>
      </c>
      <c r="G344" s="39">
        <v>0</v>
      </c>
      <c r="H344" s="39" t="s">
        <v>642</v>
      </c>
      <c r="I344" s="39" t="s">
        <v>642</v>
      </c>
      <c r="J344" s="58"/>
      <c r="K344" s="152" cm="1">
        <f t="array" ref="K344">Scope3_Equations.VEERG_15_7_1_1__1_EmissionsFromPurchasedServices(F344,J344)</f>
        <v>0</v>
      </c>
      <c r="L344" s="39" t="str">
        <f t="shared" si="0"/>
        <v>t CO2e / 0</v>
      </c>
      <c r="M344" s="75"/>
      <c r="N344" s="37"/>
      <c r="O344" s="75"/>
    </row>
    <row r="345" spans="3:41" x14ac:dyDescent="0.25">
      <c r="D345" s="39">
        <v>0</v>
      </c>
      <c r="E345" s="39">
        <v>0</v>
      </c>
      <c r="F345" s="39">
        <v>0</v>
      </c>
      <c r="G345" s="39">
        <v>0</v>
      </c>
      <c r="H345" s="39" t="s">
        <v>642</v>
      </c>
      <c r="I345" s="39" t="s">
        <v>642</v>
      </c>
      <c r="J345" s="58"/>
      <c r="K345" s="152" cm="1">
        <f t="array" ref="K345">Scope3_Equations.VEERG_15_7_1_1__1_EmissionsFromPurchasedServices(F345,J345)</f>
        <v>0</v>
      </c>
      <c r="L345" s="39" t="str">
        <f t="shared" si="0"/>
        <v>t CO2e / 0</v>
      </c>
      <c r="M345" s="75"/>
      <c r="N345" s="37"/>
      <c r="O345" s="75"/>
    </row>
    <row r="347" spans="3:41" ht="20.25" x14ac:dyDescent="0.25">
      <c r="D347" s="184" t="s">
        <v>674</v>
      </c>
      <c r="E347" s="182" t="s">
        <v>642</v>
      </c>
      <c r="F347" s="183" t="str">
        <f>$E$155</f>
        <v>t CO2e</v>
      </c>
    </row>
    <row r="348" spans="3:41" ht="20.25" x14ac:dyDescent="0.25">
      <c r="D348" s="184" t="s">
        <v>676</v>
      </c>
      <c r="E348" s="182">
        <f>SUM(K336:K345)</f>
        <v>42</v>
      </c>
      <c r="F348" s="183" t="str">
        <f>$E$155</f>
        <v>t CO2e</v>
      </c>
    </row>
    <row r="351" spans="3:41" x14ac:dyDescent="0.25">
      <c r="C351" s="92"/>
      <c r="D351" s="92"/>
      <c r="E351" s="92"/>
      <c r="F351" s="92"/>
      <c r="G351" s="92"/>
      <c r="H351" s="92"/>
      <c r="I351" s="92"/>
      <c r="J351" s="92"/>
      <c r="K351" s="92"/>
      <c r="L351" s="92"/>
      <c r="M351" s="92"/>
      <c r="N351" s="92"/>
      <c r="O351" s="92"/>
      <c r="P351" s="92"/>
      <c r="Q351" s="92"/>
      <c r="R351" s="92"/>
      <c r="S351" s="92"/>
      <c r="T351" s="92"/>
      <c r="U351" s="92"/>
      <c r="V351" s="92"/>
      <c r="W351" s="92"/>
      <c r="X351" s="92"/>
      <c r="Y351" s="92"/>
      <c r="Z351" s="92"/>
      <c r="AA351" s="92"/>
      <c r="AB351" s="92"/>
      <c r="AC351" s="92"/>
      <c r="AD351" s="92"/>
      <c r="AE351" s="92"/>
      <c r="AF351" s="92"/>
      <c r="AG351" s="92"/>
      <c r="AH351" s="92"/>
      <c r="AI351" s="92"/>
      <c r="AJ351" s="92"/>
      <c r="AK351" s="92"/>
      <c r="AL351" s="92"/>
      <c r="AM351" s="92"/>
      <c r="AN351" s="92"/>
      <c r="AO351" s="92"/>
    </row>
    <row r="352" spans="3:41" ht="23.25" x14ac:dyDescent="0.25">
      <c r="C352" s="185"/>
      <c r="D352" s="186" t="str" cm="1">
        <f t="array" ref="D352">Scope3_Equations.VEERG_15_8_1_1__1_EmissionsFromPurchasedPackaging_Title()</f>
        <v>Embedded emissions from use of packaging materials</v>
      </c>
      <c r="E352" s="185"/>
      <c r="F352" s="185"/>
      <c r="G352" s="185"/>
      <c r="H352" s="185"/>
      <c r="I352" s="185"/>
      <c r="J352" s="185"/>
      <c r="K352" s="185"/>
      <c r="L352" s="185"/>
      <c r="M352" s="185"/>
      <c r="N352" s="185"/>
      <c r="O352" s="185"/>
      <c r="P352" s="185"/>
      <c r="Q352" s="185"/>
      <c r="R352" s="185"/>
      <c r="S352" s="185"/>
      <c r="T352" s="185"/>
      <c r="U352" s="185"/>
      <c r="V352" s="185"/>
      <c r="W352" s="185"/>
      <c r="X352" s="185"/>
      <c r="Y352" s="185"/>
      <c r="Z352" s="185"/>
      <c r="AA352" s="185"/>
      <c r="AB352" s="185"/>
      <c r="AC352" s="185"/>
      <c r="AD352" s="185"/>
      <c r="AE352" s="185"/>
      <c r="AF352" s="185"/>
      <c r="AG352" s="185"/>
      <c r="AH352" s="185"/>
      <c r="AI352" s="185"/>
      <c r="AJ352" s="185"/>
      <c r="AK352" s="185"/>
      <c r="AL352" s="185"/>
      <c r="AM352" s="185"/>
      <c r="AN352" s="185"/>
      <c r="AO352" s="185"/>
    </row>
    <row r="353" spans="4:13" x14ac:dyDescent="0.25">
      <c r="D353" s="11" t="str" cm="1">
        <f t="array" ref="D353">Scope3_Equations.VEERG_15_8_1_1__1_EmissionsFromPurchasedPackaging_Source()</f>
        <v>VEERG 2026: 15.8.1.1, Equation (1)</v>
      </c>
    </row>
    <row r="354" spans="4:13" x14ac:dyDescent="0.25">
      <c r="D354" s="12" t="str" cm="1">
        <f t="array" ref="D354">Scope3_Equations.VEERG_15_8_1_1__1_EmissionsFromPurchasedPackaging_Variation()</f>
        <v>VARIATION ON SOURCE: Changed unit of Q from 'units' to 'kg' as EF data is in kg.</v>
      </c>
    </row>
    <row r="355" spans="4:13" x14ac:dyDescent="0.25">
      <c r="D355" s="178" t="s">
        <v>667</v>
      </c>
      <c r="E355" s="178" t="str" cm="1">
        <f t="array" aca="1" ref="E355" ca="1">Common_InputFunctions.Utility_DisplayFunctionName(H367)</f>
        <v>=Scope3_Equations.VEERG_15_8_1_1__1_EmissionsFromPurchasedPackaging</v>
      </c>
    </row>
    <row r="359" spans="4:13" x14ac:dyDescent="0.25">
      <c r="D359" s="24" t="s">
        <v>668</v>
      </c>
      <c r="E359" s="8" t="str" cm="1">
        <f t="array" ref="E359">Scope3_Equations.VEERG_15_8_1_1__1_EmissionsFromPurchasedPackaging_Variable()</f>
        <v>E</v>
      </c>
    </row>
    <row r="360" spans="4:13" x14ac:dyDescent="0.25">
      <c r="D360" s="24" t="s">
        <v>97</v>
      </c>
      <c r="E360" s="13" t="str" cm="1">
        <f t="array" ref="E360">Scope3_Equations.VEERG_15_8_1_1__1_EmissionsFromPurchasedPackaging_Unit()</f>
        <v>t CO2e</v>
      </c>
    </row>
    <row r="362" spans="4:13" x14ac:dyDescent="0.25">
      <c r="D362" s="174" t="str" cm="1">
        <f t="array" ref="D362:E364">_xlfn.CHOOSECOLS(Scope3_Equations.VEERG_15_8_1_1__1_EmissionsFromPurchasedPackaging_Arguments(),1,2)</f>
        <v>Q_p</v>
      </c>
      <c r="E362" s="174" t="str">
        <v>units of packaging type p</v>
      </c>
      <c r="F362" s="174" t="str" cm="1">
        <f t="array" ref="F362:G364">_xlfn.CHOOSECOLS(Scope3_Equations.VEERG_15_8_1_1__1_EmissionsFromPurchasedPackaging_Arguments(),3,4)</f>
        <v>units</v>
      </c>
      <c r="G362" s="175" t="str">
        <v>Input</v>
      </c>
    </row>
    <row r="363" spans="4:13" x14ac:dyDescent="0.25">
      <c r="D363" s="174" t="str">
        <v>EF_p</v>
      </c>
      <c r="E363" s="174" t="str">
        <v>emission factor for packaging type p</v>
      </c>
      <c r="F363" s="174" t="str">
        <v>kg CO2e/unit</v>
      </c>
      <c r="G363" s="176" t="str">
        <v>Constant</v>
      </c>
    </row>
    <row r="364" spans="4:13" x14ac:dyDescent="0.25">
      <c r="D364" s="174" t="str">
        <v>p</v>
      </c>
      <c r="E364" s="174" t="str">
        <v>packaging type</v>
      </c>
      <c r="F364" s="174" t="str">
        <v/>
      </c>
      <c r="G364" s="175" t="str">
        <v>Input</v>
      </c>
    </row>
    <row r="366" spans="4:13" ht="17.25" x14ac:dyDescent="0.25">
      <c r="D366" s="36" t="s">
        <v>390</v>
      </c>
      <c r="E366" s="153" t="s">
        <v>438</v>
      </c>
      <c r="F366" s="153" t="s">
        <v>733</v>
      </c>
      <c r="G366" s="49" t="s">
        <v>734</v>
      </c>
      <c r="H366" s="49" t="s">
        <v>674</v>
      </c>
      <c r="I366" s="36" t="s">
        <v>735</v>
      </c>
      <c r="J366" s="49" t="s">
        <v>676</v>
      </c>
      <c r="K366" s="36" t="s">
        <v>670</v>
      </c>
      <c r="L366" s="36" t="s">
        <v>671</v>
      </c>
      <c r="M366" s="36" t="s">
        <v>672</v>
      </c>
    </row>
    <row r="367" spans="4:13" x14ac:dyDescent="0.25">
      <c r="D367" s="39" t="str" cm="1">
        <f t="array" ref="D367:D376">IFERROR(INDEX(Table_Input_Packaging[Packaging name], _xlfn.SEQUENCE(10)), "")</f>
        <v>250g punnet</v>
      </c>
      <c r="E367" s="39" t="str" cm="1">
        <f t="array" ref="E367:E376">IFERROR(INDEX(Table_Input_Packaging[Primary material], _xlfn.SEQUENCE(10)), "")</f>
        <v>Plastic sheet HDPE</v>
      </c>
      <c r="F367" s="39" cm="1">
        <f t="array" ref="F367:F376">IFERROR(INDEX(Table_Input_Packaging[Total weight purchased (kg)], _xlfn.SEQUENCE(10)), "")</f>
        <v>2000</v>
      </c>
      <c r="G367" s="39" cm="1">
        <f t="array" ref="G367">Common_InputFunctions.Utility_LookupValueInTableNumber(E367,Table_SourceData_Scope3_Packaging[Product],Table_SourceData_Scope3_Packaging[AusLCI Emissions intensity])</f>
        <v>3.72</v>
      </c>
      <c r="H367" s="152" cm="1">
        <f t="array" ref="H367">Scope3_Equations.VEERG_15_8_1_1__1_EmissionsFromPurchasedPackaging(F367,G367)</f>
        <v>7.44</v>
      </c>
      <c r="I367" s="58">
        <v>3</v>
      </c>
      <c r="J367" s="152" cm="1">
        <f t="array" ref="J367">Scope3_Equations.VEERG_15_8_1_1__1_EmissionsFromPurchasedPackaging(F367,IF(I367,I367,G367))</f>
        <v>6</v>
      </c>
      <c r="K367" s="75"/>
      <c r="L367" s="37"/>
      <c r="M367" s="75"/>
    </row>
    <row r="368" spans="4:13" x14ac:dyDescent="0.25">
      <c r="D368" s="39">
        <v>0</v>
      </c>
      <c r="E368" s="39">
        <v>0</v>
      </c>
      <c r="F368" s="39">
        <v>0</v>
      </c>
      <c r="G368" s="39" cm="1">
        <f t="array" ref="G368">Common_InputFunctions.Utility_LookupValueInTableNumber(E368,Table_SourceData_Scope3_Packaging[Product],Table_SourceData_Scope3_Packaging[AusLCI Emissions intensity])</f>
        <v>0</v>
      </c>
      <c r="H368" s="152" cm="1">
        <f t="array" ref="H368">Scope3_Equations.VEERG_15_8_1_1__1_EmissionsFromPurchasedPackaging(F368,G368)</f>
        <v>0</v>
      </c>
      <c r="I368" s="58"/>
      <c r="J368" s="152" cm="1">
        <f t="array" ref="J368">Scope3_Equations.VEERG_15_8_1_1__1_EmissionsFromPurchasedPackaging(F368,IF(I368,I368,G368))</f>
        <v>0</v>
      </c>
      <c r="K368" s="75"/>
      <c r="L368" s="37"/>
      <c r="M368" s="75"/>
    </row>
    <row r="369" spans="3:41" x14ac:dyDescent="0.25">
      <c r="D369" s="39">
        <v>0</v>
      </c>
      <c r="E369" s="39">
        <v>0</v>
      </c>
      <c r="F369" s="39">
        <v>0</v>
      </c>
      <c r="G369" s="39" cm="1">
        <f t="array" ref="G369">Common_InputFunctions.Utility_LookupValueInTableNumber(E369,Table_SourceData_Scope3_Packaging[Product],Table_SourceData_Scope3_Packaging[AusLCI Emissions intensity])</f>
        <v>0</v>
      </c>
      <c r="H369" s="152" cm="1">
        <f t="array" ref="H369">Scope3_Equations.VEERG_15_8_1_1__1_EmissionsFromPurchasedPackaging(F369,G369)</f>
        <v>0</v>
      </c>
      <c r="I369" s="58"/>
      <c r="J369" s="152" cm="1">
        <f t="array" ref="J369">Scope3_Equations.VEERG_15_8_1_1__1_EmissionsFromPurchasedPackaging(F369,IF(I369,I369,G369))</f>
        <v>0</v>
      </c>
      <c r="K369" s="75"/>
      <c r="L369" s="37"/>
      <c r="M369" s="75"/>
    </row>
    <row r="370" spans="3:41" x14ac:dyDescent="0.25">
      <c r="D370" s="39">
        <v>0</v>
      </c>
      <c r="E370" s="39">
        <v>0</v>
      </c>
      <c r="F370" s="39">
        <v>0</v>
      </c>
      <c r="G370" s="39" cm="1">
        <f t="array" ref="G370">Common_InputFunctions.Utility_LookupValueInTableNumber(E370,Table_SourceData_Scope3_Packaging[Product],Table_SourceData_Scope3_Packaging[AusLCI Emissions intensity])</f>
        <v>0</v>
      </c>
      <c r="H370" s="152" cm="1">
        <f t="array" ref="H370">Scope3_Equations.VEERG_15_8_1_1__1_EmissionsFromPurchasedPackaging(F370,G370)</f>
        <v>0</v>
      </c>
      <c r="I370" s="58"/>
      <c r="J370" s="152" cm="1">
        <f t="array" ref="J370">Scope3_Equations.VEERG_15_8_1_1__1_EmissionsFromPurchasedPackaging(F370,IF(I370,I370,G370))</f>
        <v>0</v>
      </c>
      <c r="K370" s="75"/>
      <c r="L370" s="37"/>
      <c r="M370" s="75"/>
    </row>
    <row r="371" spans="3:41" x14ac:dyDescent="0.25">
      <c r="D371" s="39">
        <v>0</v>
      </c>
      <c r="E371" s="39">
        <v>0</v>
      </c>
      <c r="F371" s="39">
        <v>0</v>
      </c>
      <c r="G371" s="39" cm="1">
        <f t="array" ref="G371">Common_InputFunctions.Utility_LookupValueInTableNumber(E371,Table_SourceData_Scope3_Packaging[Product],Table_SourceData_Scope3_Packaging[AusLCI Emissions intensity])</f>
        <v>0</v>
      </c>
      <c r="H371" s="152" cm="1">
        <f t="array" ref="H371">Scope3_Equations.VEERG_15_8_1_1__1_EmissionsFromPurchasedPackaging(F371,G371)</f>
        <v>0</v>
      </c>
      <c r="I371" s="58"/>
      <c r="J371" s="152" cm="1">
        <f t="array" ref="J371">Scope3_Equations.VEERG_15_8_1_1__1_EmissionsFromPurchasedPackaging(F371,IF(I371,I371,G371))</f>
        <v>0</v>
      </c>
      <c r="K371" s="75"/>
      <c r="L371" s="37"/>
      <c r="M371" s="75"/>
    </row>
    <row r="372" spans="3:41" x14ac:dyDescent="0.25">
      <c r="D372" s="39">
        <v>0</v>
      </c>
      <c r="E372" s="39">
        <v>0</v>
      </c>
      <c r="F372" s="39">
        <v>0</v>
      </c>
      <c r="G372" s="39" cm="1">
        <f t="array" ref="G372">Common_InputFunctions.Utility_LookupValueInTableNumber(E372,Table_SourceData_Scope3_Packaging[Product],Table_SourceData_Scope3_Packaging[AusLCI Emissions intensity])</f>
        <v>0</v>
      </c>
      <c r="H372" s="152" cm="1">
        <f t="array" ref="H372">Scope3_Equations.VEERG_15_8_1_1__1_EmissionsFromPurchasedPackaging(F372,G372)</f>
        <v>0</v>
      </c>
      <c r="I372" s="58"/>
      <c r="J372" s="152" cm="1">
        <f t="array" ref="J372">Scope3_Equations.VEERG_15_8_1_1__1_EmissionsFromPurchasedPackaging(F372,IF(I372,I372,G372))</f>
        <v>0</v>
      </c>
      <c r="K372" s="75"/>
      <c r="L372" s="37"/>
      <c r="M372" s="75"/>
    </row>
    <row r="373" spans="3:41" x14ac:dyDescent="0.25">
      <c r="D373" s="39">
        <v>0</v>
      </c>
      <c r="E373" s="39">
        <v>0</v>
      </c>
      <c r="F373" s="39">
        <v>0</v>
      </c>
      <c r="G373" s="39" cm="1">
        <f t="array" ref="G373">Common_InputFunctions.Utility_LookupValueInTableNumber(E373,Table_SourceData_Scope3_Packaging[Product],Table_SourceData_Scope3_Packaging[AusLCI Emissions intensity])</f>
        <v>0</v>
      </c>
      <c r="H373" s="152" cm="1">
        <f t="array" ref="H373">Scope3_Equations.VEERG_15_8_1_1__1_EmissionsFromPurchasedPackaging(F373,G373)</f>
        <v>0</v>
      </c>
      <c r="I373" s="58"/>
      <c r="J373" s="152" cm="1">
        <f t="array" ref="J373">Scope3_Equations.VEERG_15_8_1_1__1_EmissionsFromPurchasedPackaging(F373,IF(I373,I373,G373))</f>
        <v>0</v>
      </c>
      <c r="K373" s="75"/>
      <c r="L373" s="37"/>
      <c r="M373" s="75"/>
    </row>
    <row r="374" spans="3:41" x14ac:dyDescent="0.25">
      <c r="D374" s="39">
        <v>0</v>
      </c>
      <c r="E374" s="39">
        <v>0</v>
      </c>
      <c r="F374" s="39">
        <v>0</v>
      </c>
      <c r="G374" s="39" cm="1">
        <f t="array" ref="G374">Common_InputFunctions.Utility_LookupValueInTableNumber(E374,Table_SourceData_Scope3_Packaging[Product],Table_SourceData_Scope3_Packaging[AusLCI Emissions intensity])</f>
        <v>0</v>
      </c>
      <c r="H374" s="152" cm="1">
        <f t="array" ref="H374">Scope3_Equations.VEERG_15_8_1_1__1_EmissionsFromPurchasedPackaging(F374,G374)</f>
        <v>0</v>
      </c>
      <c r="I374" s="58"/>
      <c r="J374" s="152" cm="1">
        <f t="array" ref="J374">Scope3_Equations.VEERG_15_8_1_1__1_EmissionsFromPurchasedPackaging(F374,IF(I374,I374,G374))</f>
        <v>0</v>
      </c>
      <c r="K374" s="75"/>
      <c r="L374" s="37"/>
      <c r="M374" s="75"/>
    </row>
    <row r="375" spans="3:41" x14ac:dyDescent="0.25">
      <c r="D375" s="39">
        <v>0</v>
      </c>
      <c r="E375" s="39">
        <v>0</v>
      </c>
      <c r="F375" s="39">
        <v>0</v>
      </c>
      <c r="G375" s="39" cm="1">
        <f t="array" ref="G375">Common_InputFunctions.Utility_LookupValueInTableNumber(E375,Table_SourceData_Scope3_Packaging[Product],Table_SourceData_Scope3_Packaging[AusLCI Emissions intensity])</f>
        <v>0</v>
      </c>
      <c r="H375" s="152" cm="1">
        <f t="array" ref="H375">Scope3_Equations.VEERG_15_8_1_1__1_EmissionsFromPurchasedPackaging(F375,G375)</f>
        <v>0</v>
      </c>
      <c r="I375" s="58"/>
      <c r="J375" s="152" cm="1">
        <f t="array" ref="J375">Scope3_Equations.VEERG_15_8_1_1__1_EmissionsFromPurchasedPackaging(F375,IF(I375,I375,G375))</f>
        <v>0</v>
      </c>
      <c r="K375" s="75"/>
      <c r="L375" s="37"/>
      <c r="M375" s="75"/>
    </row>
    <row r="376" spans="3:41" x14ac:dyDescent="0.25">
      <c r="D376" s="39">
        <v>0</v>
      </c>
      <c r="E376" s="39">
        <v>0</v>
      </c>
      <c r="F376" s="39">
        <v>0</v>
      </c>
      <c r="G376" s="39" cm="1">
        <f t="array" ref="G376">Common_InputFunctions.Utility_LookupValueInTableNumber(E376,Table_SourceData_Scope3_Packaging[Product],Table_SourceData_Scope3_Packaging[AusLCI Emissions intensity])</f>
        <v>0</v>
      </c>
      <c r="H376" s="152" cm="1">
        <f t="array" ref="H376">Scope3_Equations.VEERG_15_8_1_1__1_EmissionsFromPurchasedPackaging(F376,G376)</f>
        <v>0</v>
      </c>
      <c r="I376" s="58"/>
      <c r="J376" s="152" cm="1">
        <f t="array" ref="J376">Scope3_Equations.VEERG_15_8_1_1__1_EmissionsFromPurchasedPackaging(F376,IF(I376,I376,G376))</f>
        <v>0</v>
      </c>
      <c r="K376" s="75"/>
      <c r="L376" s="37"/>
      <c r="M376" s="75"/>
    </row>
    <row r="378" spans="3:41" ht="20.25" x14ac:dyDescent="0.25">
      <c r="D378" s="184" t="s">
        <v>674</v>
      </c>
      <c r="E378" s="182" t="s">
        <v>642</v>
      </c>
      <c r="F378" s="183" t="str">
        <f>$E$155</f>
        <v>t CO2e</v>
      </c>
    </row>
    <row r="379" spans="3:41" ht="20.25" x14ac:dyDescent="0.25">
      <c r="D379" s="184" t="s">
        <v>676</v>
      </c>
      <c r="E379" s="182">
        <f>SUM(J367:J376)</f>
        <v>6</v>
      </c>
      <c r="F379" s="183" t="str">
        <f>$E$155</f>
        <v>t CO2e</v>
      </c>
    </row>
    <row r="382" spans="3:41" x14ac:dyDescent="0.25">
      <c r="C382" s="92"/>
      <c r="D382" s="92"/>
      <c r="E382" s="92"/>
      <c r="F382" s="92"/>
      <c r="G382" s="92"/>
      <c r="H382" s="92"/>
      <c r="I382" s="92"/>
      <c r="J382" s="92"/>
      <c r="K382" s="92"/>
      <c r="L382" s="92"/>
      <c r="M382" s="92"/>
      <c r="N382" s="92"/>
      <c r="O382" s="92"/>
      <c r="P382" s="92"/>
      <c r="Q382" s="92"/>
      <c r="R382" s="92"/>
      <c r="S382" s="92"/>
      <c r="T382" s="92"/>
      <c r="U382" s="92"/>
      <c r="V382" s="92"/>
      <c r="W382" s="92"/>
      <c r="X382" s="92"/>
      <c r="Y382" s="92"/>
      <c r="Z382" s="92"/>
      <c r="AA382" s="92"/>
      <c r="AB382" s="92"/>
      <c r="AC382" s="92"/>
      <c r="AD382" s="92"/>
      <c r="AE382" s="92"/>
      <c r="AF382" s="92"/>
      <c r="AG382" s="92"/>
      <c r="AH382" s="92"/>
      <c r="AI382" s="92"/>
      <c r="AJ382" s="92"/>
      <c r="AK382" s="92"/>
      <c r="AL382" s="92"/>
      <c r="AM382" s="92"/>
      <c r="AN382" s="92"/>
      <c r="AO382" s="92"/>
    </row>
    <row r="383" spans="3:41" ht="23.25" x14ac:dyDescent="0.25">
      <c r="C383" s="185"/>
      <c r="D383" s="186" t="str" cm="1">
        <f t="array" ref="D383">Scope3_Equations.VEERG_15_9_1_1__1_EmissionsFromPurchasedGrowMedia_Title()</f>
        <v>Embedded emissions from use of grow media products</v>
      </c>
      <c r="E383" s="185"/>
      <c r="F383" s="185"/>
      <c r="G383" s="185"/>
      <c r="H383" s="185"/>
      <c r="I383" s="185"/>
      <c r="J383" s="185"/>
      <c r="K383" s="185"/>
      <c r="L383" s="185"/>
      <c r="M383" s="185"/>
      <c r="N383" s="185"/>
      <c r="O383" s="185"/>
      <c r="P383" s="185"/>
      <c r="Q383" s="185"/>
      <c r="R383" s="185"/>
      <c r="S383" s="185"/>
      <c r="T383" s="185"/>
      <c r="U383" s="185"/>
      <c r="V383" s="185"/>
      <c r="W383" s="185"/>
      <c r="X383" s="185"/>
      <c r="Y383" s="185"/>
      <c r="Z383" s="185"/>
      <c r="AA383" s="185"/>
      <c r="AB383" s="185"/>
      <c r="AC383" s="185"/>
      <c r="AD383" s="185"/>
      <c r="AE383" s="185"/>
      <c r="AF383" s="185"/>
      <c r="AG383" s="185"/>
      <c r="AH383" s="185"/>
      <c r="AI383" s="185"/>
      <c r="AJ383" s="185"/>
      <c r="AK383" s="185"/>
      <c r="AL383" s="185"/>
      <c r="AM383" s="185"/>
      <c r="AN383" s="185"/>
      <c r="AO383" s="185"/>
    </row>
    <row r="384" spans="3:41" x14ac:dyDescent="0.25">
      <c r="C384" s="185"/>
      <c r="D384" s="187" t="str" cm="1">
        <f t="array" ref="D384">Scope3_Equations.VEERG_15_9_1_1__1_EmissionsFromPurchasedGrowMedia_Source()</f>
        <v>VEERG 2026: 15.9.1.1, Equation (1)</v>
      </c>
      <c r="E384" s="185"/>
      <c r="F384" s="185"/>
      <c r="G384" s="185"/>
      <c r="H384" s="185"/>
      <c r="I384" s="185"/>
      <c r="J384" s="185"/>
      <c r="K384" s="185"/>
      <c r="L384" s="185"/>
      <c r="M384" s="185"/>
      <c r="N384" s="185"/>
      <c r="O384" s="185"/>
      <c r="P384" s="185"/>
      <c r="Q384" s="185"/>
      <c r="R384" s="185"/>
      <c r="S384" s="185"/>
      <c r="T384" s="185"/>
      <c r="U384" s="185"/>
      <c r="V384" s="185"/>
      <c r="W384" s="185"/>
      <c r="X384" s="185"/>
      <c r="Y384" s="185"/>
      <c r="Z384" s="185"/>
      <c r="AA384" s="185"/>
      <c r="AB384" s="185"/>
      <c r="AC384" s="185"/>
      <c r="AD384" s="185"/>
      <c r="AE384" s="185"/>
      <c r="AF384" s="185"/>
      <c r="AG384" s="185"/>
      <c r="AH384" s="185"/>
      <c r="AI384" s="185"/>
      <c r="AJ384" s="185"/>
      <c r="AK384" s="185"/>
      <c r="AL384" s="185"/>
      <c r="AM384" s="185"/>
      <c r="AN384" s="185"/>
      <c r="AO384" s="185"/>
    </row>
    <row r="385" spans="3:41" x14ac:dyDescent="0.25">
      <c r="C385" s="185"/>
      <c r="D385" s="188" t="s">
        <v>667</v>
      </c>
      <c r="E385" s="188" t="str" cm="1">
        <f t="array" aca="1" ref="E385" ca="1">Common_InputFunctions.Utility_DisplayFunctionName(J399)</f>
        <v>=Scope3_Equations.VEERG_15_9_1_1__1_EmissionsFromPurchasedGrowMedia</v>
      </c>
      <c r="F385" s="185"/>
      <c r="G385" s="185"/>
      <c r="H385" s="185"/>
      <c r="I385" s="185"/>
      <c r="J385" s="185"/>
      <c r="K385" s="185"/>
      <c r="L385" s="185"/>
      <c r="M385" s="185"/>
      <c r="N385" s="185"/>
      <c r="O385" s="185"/>
      <c r="P385" s="185"/>
      <c r="Q385" s="185"/>
      <c r="R385" s="185"/>
      <c r="S385" s="185"/>
      <c r="T385" s="185"/>
      <c r="U385" s="185"/>
      <c r="V385" s="185"/>
      <c r="W385" s="185"/>
      <c r="X385" s="185"/>
      <c r="Y385" s="185"/>
      <c r="Z385" s="185"/>
      <c r="AA385" s="185"/>
      <c r="AB385" s="185"/>
      <c r="AC385" s="185"/>
      <c r="AD385" s="185"/>
      <c r="AE385" s="185"/>
      <c r="AF385" s="185"/>
      <c r="AG385" s="185"/>
      <c r="AH385" s="185"/>
      <c r="AI385" s="185"/>
      <c r="AJ385" s="185"/>
      <c r="AK385" s="185"/>
      <c r="AL385" s="185"/>
      <c r="AM385" s="185"/>
      <c r="AN385" s="185"/>
      <c r="AO385" s="185"/>
    </row>
    <row r="389" spans="3:41" x14ac:dyDescent="0.25">
      <c r="D389" s="24" t="s">
        <v>668</v>
      </c>
      <c r="E389" s="8" t="str" cm="1">
        <f t="array" ref="E389">Scope3_Equations.VEERG_15_9_1_1__1_EmissionsFromPurchasedGrowMedia_Variable()</f>
        <v>E</v>
      </c>
    </row>
    <row r="390" spans="3:41" x14ac:dyDescent="0.25">
      <c r="D390" s="24" t="s">
        <v>97</v>
      </c>
      <c r="E390" s="8" t="str" cm="1">
        <f t="array" ref="E390">Scope3_Equations.VEERG_15_9_1_1__1_EmissionsFromPurchasedGrowMedia_Unit()</f>
        <v>t CO2e</v>
      </c>
    </row>
    <row r="392" spans="3:41" x14ac:dyDescent="0.25">
      <c r="D392" s="174" t="str" cm="1">
        <f t="array" ref="D392:E394">_xlfn.CHOOSECOLS(Scope3_Equations.VEERG_15_9_1_1__1_EmissionsFromPurchasedGrowMedia_Arguments(),1,2)</f>
        <v>Q_g</v>
      </c>
      <c r="E392" s="174" t="str">
        <v>total quantity of grow media type g</v>
      </c>
      <c r="F392" s="174" t="str" cm="1">
        <f t="array" ref="F392:G394">_xlfn.CHOOSECOLS(Scope3_Equations.VEERG_15_9_1_1__1_EmissionsFromPurchasedGrowMedia_Arguments(),3,4)</f>
        <v>kg or m3</v>
      </c>
      <c r="G392" s="175" t="str">
        <v>Input</v>
      </c>
    </row>
    <row r="393" spans="3:41" x14ac:dyDescent="0.25">
      <c r="D393" s="174" t="str">
        <v>EF_g</v>
      </c>
      <c r="E393" s="174" t="str">
        <v>emission factor for grow media type g</v>
      </c>
      <c r="F393" s="174" t="str">
        <v>kg CO2e/kg or kg CO2e/m3</v>
      </c>
      <c r="G393" s="176" t="str">
        <v>Constant</v>
      </c>
    </row>
    <row r="394" spans="3:41" x14ac:dyDescent="0.25">
      <c r="D394" s="174" t="str">
        <v>g</v>
      </c>
      <c r="E394" s="174" t="str">
        <v>grow media type</v>
      </c>
      <c r="F394" s="174" t="str">
        <v/>
      </c>
      <c r="G394" s="175" t="str">
        <v>Input</v>
      </c>
    </row>
    <row r="396" spans="3:41" x14ac:dyDescent="0.25">
      <c r="D396" s="12" t="s">
        <v>732</v>
      </c>
    </row>
    <row r="398" spans="3:41" x14ac:dyDescent="0.25">
      <c r="D398" s="36" t="s">
        <v>737</v>
      </c>
      <c r="E398" s="36" t="s">
        <v>650</v>
      </c>
      <c r="F398" s="36" t="s">
        <v>126</v>
      </c>
      <c r="G398" s="49" t="s">
        <v>448</v>
      </c>
      <c r="H398" s="49" t="s">
        <v>381</v>
      </c>
      <c r="I398" s="36" t="s">
        <v>449</v>
      </c>
      <c r="J398" s="49" t="s">
        <v>382</v>
      </c>
      <c r="K398" s="49" t="s">
        <v>651</v>
      </c>
      <c r="L398" s="36" t="s">
        <v>670</v>
      </c>
      <c r="M398" s="36" t="s">
        <v>671</v>
      </c>
      <c r="N398" s="36" t="s">
        <v>672</v>
      </c>
    </row>
    <row r="399" spans="3:41" x14ac:dyDescent="0.25">
      <c r="D399" s="39" t="str" cm="1">
        <f t="array" ref="D399:D408">IFERROR(INDEX(Table_Input_GrowMedia[Grow media type], _xlfn.SEQUENCE(10)), "")</f>
        <v>Coir</v>
      </c>
      <c r="E399" s="39" cm="1">
        <f t="array" ref="E399:E408">IFERROR(INDEX(Table_Input_GrowMedia[Total amount], _xlfn.SEQUENCE(10)), "")</f>
        <v>10000</v>
      </c>
      <c r="F399" s="39" t="str" cm="1">
        <f t="array" ref="F399:F408">IFERROR(INDEX(Table_Input_GrowMedia[Amount unit], _xlfn.SEQUENCE(10)), "")</f>
        <v>kg</v>
      </c>
      <c r="G399" s="39" t="s">
        <v>642</v>
      </c>
      <c r="H399" s="39" t="s">
        <v>642</v>
      </c>
      <c r="I399" s="58">
        <v>4</v>
      </c>
      <c r="J399" s="152" cm="1">
        <f t="array" ref="J399">Scope3_Equations.VEERG_15_9_1_1__1_EmissionsFromPurchasedGrowMedia(E399,I399)</f>
        <v>40</v>
      </c>
      <c r="K399" s="39" t="str">
        <f>"t CO2e / " &amp; F399</f>
        <v>t CO2e / kg</v>
      </c>
      <c r="L399" s="75"/>
      <c r="M399" s="37"/>
      <c r="N399" s="75"/>
    </row>
    <row r="400" spans="3:41" x14ac:dyDescent="0.25">
      <c r="D400" s="39" t="str">
        <v>Peat moss</v>
      </c>
      <c r="E400" s="39">
        <v>100</v>
      </c>
      <c r="F400" s="39" t="str">
        <v>m3</v>
      </c>
      <c r="G400" s="39" t="s">
        <v>642</v>
      </c>
      <c r="H400" s="39" t="s">
        <v>642</v>
      </c>
      <c r="I400" s="58">
        <v>2</v>
      </c>
      <c r="J400" s="152" cm="1">
        <f t="array" ref="J400">Scope3_Equations.VEERG_15_9_1_1__1_EmissionsFromPurchasedGrowMedia(E400,I400)</f>
        <v>0.2</v>
      </c>
      <c r="K400" s="39" t="str">
        <f t="shared" ref="K400:K408" si="1">"t CO2e / " &amp; F400</f>
        <v>t CO2e / m3</v>
      </c>
      <c r="L400" s="75"/>
      <c r="M400" s="37"/>
      <c r="N400" s="75"/>
    </row>
    <row r="401" spans="3:41" x14ac:dyDescent="0.25">
      <c r="D401" s="39" t="str">
        <v>tiny gravel</v>
      </c>
      <c r="E401" s="39">
        <v>10000</v>
      </c>
      <c r="F401" s="39" t="str">
        <v>kg</v>
      </c>
      <c r="G401" s="39" t="s">
        <v>642</v>
      </c>
      <c r="H401" s="39" t="s">
        <v>642</v>
      </c>
      <c r="I401" s="58"/>
      <c r="J401" s="152" cm="1">
        <f t="array" ref="J401">Scope3_Equations.VEERG_15_9_1_1__1_EmissionsFromPurchasedGrowMedia(E401,I401)</f>
        <v>0</v>
      </c>
      <c r="K401" s="39" t="str">
        <f t="shared" si="1"/>
        <v>t CO2e / kg</v>
      </c>
      <c r="L401" s="75"/>
      <c r="M401" s="37"/>
      <c r="N401" s="75"/>
    </row>
    <row r="402" spans="3:41" x14ac:dyDescent="0.25">
      <c r="D402" s="39">
        <v>0</v>
      </c>
      <c r="E402" s="39">
        <v>0</v>
      </c>
      <c r="F402" s="39">
        <v>0</v>
      </c>
      <c r="G402" s="39" t="s">
        <v>642</v>
      </c>
      <c r="H402" s="39" t="s">
        <v>642</v>
      </c>
      <c r="I402" s="58"/>
      <c r="J402" s="152" cm="1">
        <f t="array" ref="J402">Scope3_Equations.VEERG_15_9_1_1__1_EmissionsFromPurchasedGrowMedia(E402,I402)</f>
        <v>0</v>
      </c>
      <c r="K402" s="39" t="str">
        <f t="shared" si="1"/>
        <v>t CO2e / 0</v>
      </c>
      <c r="L402" s="75"/>
      <c r="M402" s="37"/>
      <c r="N402" s="75"/>
    </row>
    <row r="403" spans="3:41" x14ac:dyDescent="0.25">
      <c r="D403" s="39">
        <v>0</v>
      </c>
      <c r="E403" s="39">
        <v>0</v>
      </c>
      <c r="F403" s="39">
        <v>0</v>
      </c>
      <c r="G403" s="39" t="s">
        <v>642</v>
      </c>
      <c r="H403" s="39" t="s">
        <v>642</v>
      </c>
      <c r="I403" s="58"/>
      <c r="J403" s="152" cm="1">
        <f t="array" ref="J403">Scope3_Equations.VEERG_15_9_1_1__1_EmissionsFromPurchasedGrowMedia(E403,I403)</f>
        <v>0</v>
      </c>
      <c r="K403" s="39" t="str">
        <f t="shared" si="1"/>
        <v>t CO2e / 0</v>
      </c>
      <c r="L403" s="75"/>
      <c r="M403" s="37"/>
      <c r="N403" s="75"/>
    </row>
    <row r="404" spans="3:41" x14ac:dyDescent="0.25">
      <c r="D404" s="39">
        <v>0</v>
      </c>
      <c r="E404" s="39">
        <v>0</v>
      </c>
      <c r="F404" s="39">
        <v>0</v>
      </c>
      <c r="G404" s="39" t="s">
        <v>642</v>
      </c>
      <c r="H404" s="39" t="s">
        <v>642</v>
      </c>
      <c r="I404" s="58"/>
      <c r="J404" s="152" cm="1">
        <f t="array" ref="J404">Scope3_Equations.VEERG_15_9_1_1__1_EmissionsFromPurchasedGrowMedia(E404,I404)</f>
        <v>0</v>
      </c>
      <c r="K404" s="39" t="str">
        <f t="shared" si="1"/>
        <v>t CO2e / 0</v>
      </c>
      <c r="L404" s="75"/>
      <c r="M404" s="37"/>
      <c r="N404" s="75"/>
    </row>
    <row r="405" spans="3:41" x14ac:dyDescent="0.25">
      <c r="D405" s="39">
        <v>0</v>
      </c>
      <c r="E405" s="39">
        <v>0</v>
      </c>
      <c r="F405" s="39">
        <v>0</v>
      </c>
      <c r="G405" s="39" t="s">
        <v>642</v>
      </c>
      <c r="H405" s="39" t="s">
        <v>642</v>
      </c>
      <c r="I405" s="58"/>
      <c r="J405" s="152" cm="1">
        <f t="array" ref="J405">Scope3_Equations.VEERG_15_9_1_1__1_EmissionsFromPurchasedGrowMedia(E405,I405)</f>
        <v>0</v>
      </c>
      <c r="K405" s="39" t="str">
        <f t="shared" si="1"/>
        <v>t CO2e / 0</v>
      </c>
      <c r="L405" s="75"/>
      <c r="M405" s="37"/>
      <c r="N405" s="75"/>
    </row>
    <row r="406" spans="3:41" x14ac:dyDescent="0.25">
      <c r="D406" s="39">
        <v>0</v>
      </c>
      <c r="E406" s="39">
        <v>0</v>
      </c>
      <c r="F406" s="39">
        <v>0</v>
      </c>
      <c r="G406" s="39" t="s">
        <v>642</v>
      </c>
      <c r="H406" s="39" t="s">
        <v>642</v>
      </c>
      <c r="I406" s="58"/>
      <c r="J406" s="152" cm="1">
        <f t="array" ref="J406">Scope3_Equations.VEERG_15_9_1_1__1_EmissionsFromPurchasedGrowMedia(E406,I406)</f>
        <v>0</v>
      </c>
      <c r="K406" s="39" t="str">
        <f t="shared" si="1"/>
        <v>t CO2e / 0</v>
      </c>
      <c r="L406" s="75"/>
      <c r="M406" s="37"/>
      <c r="N406" s="75"/>
    </row>
    <row r="407" spans="3:41" x14ac:dyDescent="0.25">
      <c r="D407" s="39">
        <v>0</v>
      </c>
      <c r="E407" s="39">
        <v>0</v>
      </c>
      <c r="F407" s="39">
        <v>0</v>
      </c>
      <c r="G407" s="39" t="s">
        <v>642</v>
      </c>
      <c r="H407" s="39" t="s">
        <v>642</v>
      </c>
      <c r="I407" s="58"/>
      <c r="J407" s="152" cm="1">
        <f t="array" ref="J407">Scope3_Equations.VEERG_15_9_1_1__1_EmissionsFromPurchasedGrowMedia(E407,I407)</f>
        <v>0</v>
      </c>
      <c r="K407" s="39" t="str">
        <f t="shared" si="1"/>
        <v>t CO2e / 0</v>
      </c>
      <c r="L407" s="75"/>
      <c r="M407" s="37"/>
      <c r="N407" s="75"/>
    </row>
    <row r="408" spans="3:41" x14ac:dyDescent="0.25">
      <c r="D408" s="39">
        <v>0</v>
      </c>
      <c r="E408" s="39">
        <v>0</v>
      </c>
      <c r="F408" s="39">
        <v>0</v>
      </c>
      <c r="G408" s="39" t="s">
        <v>642</v>
      </c>
      <c r="H408" s="39" t="s">
        <v>642</v>
      </c>
      <c r="I408" s="58"/>
      <c r="J408" s="152" cm="1">
        <f t="array" ref="J408">Scope3_Equations.VEERG_15_9_1_1__1_EmissionsFromPurchasedGrowMedia(E408,I408)</f>
        <v>0</v>
      </c>
      <c r="K408" s="39" t="str">
        <f t="shared" si="1"/>
        <v>t CO2e / 0</v>
      </c>
      <c r="L408" s="75"/>
      <c r="M408" s="37"/>
      <c r="N408" s="75"/>
    </row>
    <row r="410" spans="3:41" ht="20.25" x14ac:dyDescent="0.25">
      <c r="D410" s="184" t="s">
        <v>674</v>
      </c>
      <c r="E410" s="182" t="s">
        <v>642</v>
      </c>
      <c r="F410" s="183" t="str">
        <f>$E$155</f>
        <v>t CO2e</v>
      </c>
    </row>
    <row r="411" spans="3:41" ht="20.25" x14ac:dyDescent="0.25">
      <c r="D411" s="184" t="s">
        <v>676</v>
      </c>
      <c r="E411" s="182">
        <f>SUM(J399:J408)</f>
        <v>40.200000000000003</v>
      </c>
      <c r="F411" s="183" t="str">
        <f>$E$155</f>
        <v>t CO2e</v>
      </c>
    </row>
    <row r="414" spans="3:41" x14ac:dyDescent="0.25">
      <c r="C414" s="92"/>
      <c r="D414" s="92"/>
      <c r="E414" s="92"/>
      <c r="F414" s="92"/>
      <c r="G414" s="92"/>
      <c r="H414" s="92"/>
      <c r="I414" s="92"/>
      <c r="J414" s="92"/>
      <c r="K414" s="92"/>
      <c r="L414" s="92"/>
      <c r="M414" s="92"/>
      <c r="N414" s="92"/>
      <c r="O414" s="92"/>
      <c r="P414" s="92"/>
      <c r="Q414" s="92"/>
      <c r="R414" s="92"/>
      <c r="S414" s="92"/>
      <c r="T414" s="92"/>
      <c r="U414" s="92"/>
      <c r="V414" s="92"/>
      <c r="W414" s="92"/>
      <c r="X414" s="92"/>
      <c r="Y414" s="92"/>
      <c r="Z414" s="92"/>
      <c r="AA414" s="92"/>
      <c r="AB414" s="92"/>
      <c r="AC414" s="92"/>
      <c r="AD414" s="92"/>
      <c r="AE414" s="92"/>
      <c r="AF414" s="92"/>
      <c r="AG414" s="92"/>
      <c r="AH414" s="92"/>
      <c r="AI414" s="92"/>
      <c r="AJ414" s="92"/>
      <c r="AK414" s="92"/>
      <c r="AL414" s="92"/>
      <c r="AM414" s="92"/>
      <c r="AN414" s="92"/>
      <c r="AO414" s="92"/>
    </row>
    <row r="415" spans="3:41" ht="23.25" x14ac:dyDescent="0.25">
      <c r="C415" s="185"/>
      <c r="D415" s="186" t="str" cm="1">
        <f t="array" ref="D415">Scope3_Equations.VEERG_15_10_1_1__1_OtherPurchasedGoodsAndServices_Title()</f>
        <v>Other purchased goods and services generic estimate</v>
      </c>
      <c r="E415" s="185"/>
      <c r="F415" s="185"/>
      <c r="G415" s="185"/>
      <c r="H415" s="185"/>
      <c r="I415" s="185"/>
      <c r="J415" s="185"/>
      <c r="K415" s="185"/>
      <c r="L415" s="185"/>
      <c r="M415" s="185"/>
      <c r="N415" s="185"/>
      <c r="O415" s="185"/>
      <c r="P415" s="185"/>
      <c r="Q415" s="185"/>
      <c r="R415" s="185"/>
      <c r="S415" s="185"/>
      <c r="T415" s="185"/>
      <c r="U415" s="185"/>
      <c r="V415" s="185"/>
      <c r="W415" s="185"/>
      <c r="X415" s="185"/>
      <c r="Y415" s="185"/>
      <c r="Z415" s="185"/>
      <c r="AA415" s="185"/>
      <c r="AB415" s="185"/>
      <c r="AC415" s="185"/>
      <c r="AD415" s="185"/>
      <c r="AE415" s="185"/>
      <c r="AF415" s="185"/>
      <c r="AG415" s="185"/>
      <c r="AH415" s="185"/>
      <c r="AI415" s="185"/>
      <c r="AJ415" s="185"/>
      <c r="AK415" s="185"/>
      <c r="AL415" s="185"/>
      <c r="AM415" s="185"/>
      <c r="AN415" s="185"/>
      <c r="AO415" s="185"/>
    </row>
    <row r="416" spans="3:41" x14ac:dyDescent="0.25">
      <c r="C416" s="185"/>
      <c r="D416" s="187" t="str" cm="1">
        <f t="array" ref="D416">Scope3_Equations.VEERG_15_10_1_1__1_OtherPurchasedGoodsAndServices_Source()</f>
        <v>VEERG 2026: 15.10, generic placeholder equation</v>
      </c>
      <c r="E416" s="185"/>
      <c r="F416" s="185"/>
      <c r="G416" s="185"/>
      <c r="H416" s="185"/>
      <c r="I416" s="185"/>
      <c r="J416" s="185"/>
      <c r="K416" s="185"/>
      <c r="L416" s="185"/>
      <c r="M416" s="185"/>
      <c r="N416" s="185"/>
      <c r="O416" s="185"/>
      <c r="P416" s="185"/>
      <c r="Q416" s="185"/>
      <c r="R416" s="185"/>
      <c r="S416" s="185"/>
      <c r="T416" s="185"/>
      <c r="U416" s="185"/>
      <c r="V416" s="185"/>
      <c r="W416" s="185"/>
      <c r="X416" s="185"/>
      <c r="Y416" s="185"/>
      <c r="Z416" s="185"/>
      <c r="AA416" s="185"/>
      <c r="AB416" s="185"/>
      <c r="AC416" s="185"/>
      <c r="AD416" s="185"/>
      <c r="AE416" s="185"/>
      <c r="AF416" s="185"/>
      <c r="AG416" s="185"/>
      <c r="AH416" s="185"/>
      <c r="AI416" s="185"/>
      <c r="AJ416" s="185"/>
      <c r="AK416" s="185"/>
      <c r="AL416" s="185"/>
      <c r="AM416" s="185"/>
      <c r="AN416" s="185"/>
      <c r="AO416" s="185"/>
    </row>
    <row r="417" spans="4:13" x14ac:dyDescent="0.25">
      <c r="D417" s="12" t="s">
        <v>745</v>
      </c>
    </row>
    <row r="418" spans="4:13" x14ac:dyDescent="0.25">
      <c r="D418" s="188" t="s">
        <v>667</v>
      </c>
      <c r="E418" s="188" t="str" cm="1">
        <f t="array" aca="1" ref="E418" ca="1">Common_InputFunctions.Utility_DisplayFunctionName(H430)</f>
        <v>=Scope3_Equations.VEERG_15_10_1_1__1_OtherPurchasedGoodsAndServices</v>
      </c>
    </row>
    <row r="421" spans="4:13" x14ac:dyDescent="0.25">
      <c r="D421" s="24" t="s">
        <v>668</v>
      </c>
      <c r="E421" s="8" t="str" cm="1">
        <f t="array" ref="E421">Scope3_Equations.VEERG_15_10_1_1__1_OtherPurchasedGoodsAndServices_Variable()</f>
        <v>emissions</v>
      </c>
    </row>
    <row r="422" spans="4:13" x14ac:dyDescent="0.25">
      <c r="D422" s="24" t="s">
        <v>97</v>
      </c>
      <c r="E422" s="13" t="str" cm="1">
        <f t="array" ref="E422">Scope3_Equations.VEERG_15_10_1_1__1_OtherPurchasedGoodsAndServices_Unit()</f>
        <v>t CO2e</v>
      </c>
    </row>
    <row r="424" spans="4:13" x14ac:dyDescent="0.25">
      <c r="D424" s="174" t="str" cm="1">
        <f t="array" ref="D424:E425">_xlfn.CHOOSECOLS(Scope3_Equations.VEERG_15_10_1_1__1_OtherPurchasedGoodsAndServices_Arguments(),1,2)</f>
        <v>activity_data</v>
      </c>
      <c r="E424" s="177" t="str">
        <v>measured activity for the purchased good or service</v>
      </c>
      <c r="F424" s="173"/>
      <c r="G424" s="174" t="str" cm="1">
        <f t="array" ref="G424:H425">_xlfn.CHOOSECOLS(Scope3_Equations.VEERG_15_10_1_1__1_OtherPurchasedGoodsAndServices_Arguments(),3,4)</f>
        <v>varies</v>
      </c>
      <c r="H424" s="175" t="str">
        <v>Input</v>
      </c>
    </row>
    <row r="425" spans="4:13" x14ac:dyDescent="0.25">
      <c r="D425" s="174" t="str">
        <v>emission_factor</v>
      </c>
      <c r="E425" s="177" t="str">
        <v>lifecycle emissions per unit of activity</v>
      </c>
      <c r="F425" s="173"/>
      <c r="G425" s="174" t="str">
        <v>varies</v>
      </c>
      <c r="H425" s="176" t="str">
        <v>Constant</v>
      </c>
    </row>
    <row r="427" spans="4:13" ht="18.75" x14ac:dyDescent="0.25">
      <c r="D427" s="143" t="s">
        <v>405</v>
      </c>
    </row>
    <row r="429" spans="4:13" x14ac:dyDescent="0.25">
      <c r="D429" s="36" t="s">
        <v>390</v>
      </c>
      <c r="E429" s="153" t="s">
        <v>308</v>
      </c>
      <c r="F429" s="153" t="s">
        <v>407</v>
      </c>
      <c r="G429" s="49" t="s">
        <v>384</v>
      </c>
      <c r="H429" s="49" t="s">
        <v>674</v>
      </c>
      <c r="I429" s="36" t="s">
        <v>387</v>
      </c>
      <c r="J429" s="49" t="s">
        <v>676</v>
      </c>
      <c r="K429" s="36" t="s">
        <v>670</v>
      </c>
      <c r="L429" s="36" t="s">
        <v>671</v>
      </c>
      <c r="M429" s="36" t="s">
        <v>672</v>
      </c>
    </row>
    <row r="430" spans="4:13" x14ac:dyDescent="0.25">
      <c r="D430" s="39" t="str" cm="1">
        <f t="array" ref="D430:D439">IFERROR(INDEX(Table_Input_ChemicalsCleaning[Product name], _xlfn.SEQUENCE(10)), "")</f>
        <v>Acid kleen</v>
      </c>
      <c r="E430" s="39" t="str" cm="1">
        <f t="array" ref="E430:E439">IFERROR(INDEX(Table_Input_ChemicalsCleaning[Type (select)], _xlfn.SEQUENCE(10)), "")</f>
        <v>Phosphoric acid</v>
      </c>
      <c r="F430" s="39" cm="1">
        <f t="array" ref="F430:F439">IFERROR(INDEX(Table_Input_ChemicalsCleaning[Quantity purchased (kg)], _xlfn.SEQUENCE(10)), "")</f>
        <v>100</v>
      </c>
      <c r="G430" s="39" cm="1">
        <f t="array" ref="G430">Common_InputFunctions.Utility_LookupValueInTableNumber(E430,Table_SourceData_Scope3_ChemicalsCleaning[Product],Table_SourceData_Scope3_ChemicalsCleaning[AusLCI Emissions intensity])</f>
        <v>0.90700000000000003</v>
      </c>
      <c r="H430" s="152" cm="1">
        <f t="array" ref="H430">Scope3_Equations.VEERG_15_10_1_1__1_OtherPurchasedGoodsAndServices(F430,G430*10^-3)</f>
        <v>9.0700000000000003E-2</v>
      </c>
      <c r="I430" s="58">
        <v>1.3</v>
      </c>
      <c r="J430" s="152" cm="1">
        <f t="array" ref="J430">Scope3_Equations.VEERG_15_10_1_1__1_OtherPurchasedGoodsAndServices(F430,IF(I430,I430,G430)*10^-3)</f>
        <v>0.13</v>
      </c>
      <c r="K430" s="75"/>
      <c r="L430" s="37"/>
      <c r="M430" s="75"/>
    </row>
    <row r="431" spans="4:13" x14ac:dyDescent="0.25">
      <c r="D431" s="39" t="str">
        <v>Kleen alk</v>
      </c>
      <c r="E431" s="39" t="str">
        <v>Alkaline cleaner</v>
      </c>
      <c r="F431" s="39">
        <v>100</v>
      </c>
      <c r="G431" s="39" cm="1">
        <f t="array" ref="G431">Common_InputFunctions.Utility_LookupValueInTableNumber(E431,Table_SourceData_Scope3_ChemicalsCleaning[Product],Table_SourceData_Scope3_ChemicalsCleaning[AusLCI Emissions intensity])</f>
        <v>0.72199999999999998</v>
      </c>
      <c r="H431" s="152" cm="1">
        <f t="array" ref="H431">Scope3_Equations.VEERG_15_10_1_1__1_OtherPurchasedGoodsAndServices(F431,G431*10^-3)</f>
        <v>7.22E-2</v>
      </c>
      <c r="I431" s="58">
        <v>8</v>
      </c>
      <c r="J431" s="152" cm="1">
        <f t="array" ref="J431">Scope3_Equations.VEERG_15_10_1_1__1_OtherPurchasedGoodsAndServices(F431,IF(I431,I431,G431)*10^-3)</f>
        <v>0.8</v>
      </c>
      <c r="K431" s="75"/>
      <c r="L431" s="37"/>
      <c r="M431" s="75"/>
    </row>
    <row r="432" spans="4:13" x14ac:dyDescent="0.25">
      <c r="D432" s="39" t="str">
        <v>White king</v>
      </c>
      <c r="E432" s="39" t="str">
        <v>Bleach</v>
      </c>
      <c r="F432" s="39">
        <v>100</v>
      </c>
      <c r="G432" s="39" cm="1">
        <f t="array" ref="G432">Common_InputFunctions.Utility_LookupValueInTableNumber(E432,Table_SourceData_Scope3_ChemicalsCleaning[Product],Table_SourceData_Scope3_ChemicalsCleaning[AusLCI Emissions intensity])</f>
        <v>0.80400000000000005</v>
      </c>
      <c r="H432" s="152" cm="1">
        <f t="array" ref="H432">Scope3_Equations.VEERG_15_10_1_1__1_OtherPurchasedGoodsAndServices(F432,G432*10^-3)</f>
        <v>8.0399999999999999E-2</v>
      </c>
      <c r="I432" s="58">
        <v>4</v>
      </c>
      <c r="J432" s="152" cm="1">
        <f t="array" ref="J432">Scope3_Equations.VEERG_15_10_1_1__1_OtherPurchasedGoodsAndServices(F432,IF(I432,I432,G432)*10^-3)</f>
        <v>0.4</v>
      </c>
      <c r="K432" s="75"/>
      <c r="L432" s="37"/>
      <c r="M432" s="75"/>
    </row>
    <row r="433" spans="4:13" x14ac:dyDescent="0.25">
      <c r="D433" s="39" t="str">
        <v>White king</v>
      </c>
      <c r="E433" s="39" t="str">
        <v>Bleach</v>
      </c>
      <c r="F433" s="39">
        <v>100</v>
      </c>
      <c r="G433" s="39" cm="1">
        <f t="array" ref="G433">Common_InputFunctions.Utility_LookupValueInTableNumber(E433,Table_SourceData_Scope3_ChemicalsCleaning[Product],Table_SourceData_Scope3_ChemicalsCleaning[AusLCI Emissions intensity])</f>
        <v>0.80400000000000005</v>
      </c>
      <c r="H433" s="152" cm="1">
        <f t="array" ref="H433">Scope3_Equations.VEERG_15_10_1_1__1_OtherPurchasedGoodsAndServices(F433,G433*10^-3)</f>
        <v>8.0399999999999999E-2</v>
      </c>
      <c r="I433" s="58">
        <v>3</v>
      </c>
      <c r="J433" s="152" cm="1">
        <f t="array" ref="J433">Scope3_Equations.VEERG_15_10_1_1__1_OtherPurchasedGoodsAndServices(F433,IF(I433,I433,G433)*10^-3)</f>
        <v>0.3</v>
      </c>
      <c r="K433" s="75"/>
      <c r="L433" s="37"/>
      <c r="M433" s="75"/>
    </row>
    <row r="434" spans="4:13" x14ac:dyDescent="0.25">
      <c r="D434" s="39" t="str">
        <v>Acid kleen</v>
      </c>
      <c r="E434" s="39" t="str">
        <v>Phosphoric acid</v>
      </c>
      <c r="F434" s="39">
        <v>100</v>
      </c>
      <c r="G434" s="39" cm="1">
        <f t="array" ref="G434">Common_InputFunctions.Utility_LookupValueInTableNumber(E434,Table_SourceData_Scope3_ChemicalsCleaning[Product],Table_SourceData_Scope3_ChemicalsCleaning[AusLCI Emissions intensity])</f>
        <v>0.90700000000000003</v>
      </c>
      <c r="H434" s="152" cm="1">
        <f t="array" ref="H434">Scope3_Equations.VEERG_15_10_1_1__1_OtherPurchasedGoodsAndServices(F434,G434*10^-3)</f>
        <v>9.0700000000000003E-2</v>
      </c>
      <c r="I434" s="58">
        <v>6</v>
      </c>
      <c r="J434" s="152" cm="1">
        <f t="array" ref="J434">Scope3_Equations.VEERG_15_10_1_1__1_OtherPurchasedGoodsAndServices(F434,IF(I434,I434,G434)*10^-3)</f>
        <v>0.6</v>
      </c>
      <c r="K434" s="75"/>
      <c r="L434" s="37"/>
      <c r="M434" s="75"/>
    </row>
    <row r="435" spans="4:13" x14ac:dyDescent="0.25">
      <c r="D435" s="39" t="str">
        <v>Acid kleen</v>
      </c>
      <c r="E435" s="39" t="str">
        <v>Phosphoric acid</v>
      </c>
      <c r="F435" s="39">
        <v>100</v>
      </c>
      <c r="G435" s="39" cm="1">
        <f t="array" ref="G435">Common_InputFunctions.Utility_LookupValueInTableNumber(E435,Table_SourceData_Scope3_ChemicalsCleaning[Product],Table_SourceData_Scope3_ChemicalsCleaning[AusLCI Emissions intensity])</f>
        <v>0.90700000000000003</v>
      </c>
      <c r="H435" s="152" cm="1">
        <f t="array" ref="H435">Scope3_Equations.VEERG_15_10_1_1__1_OtherPurchasedGoodsAndServices(F435,G435*10^-3)</f>
        <v>9.0700000000000003E-2</v>
      </c>
      <c r="I435" s="58">
        <v>5</v>
      </c>
      <c r="J435" s="152" cm="1">
        <f t="array" ref="J435">Scope3_Equations.VEERG_15_10_1_1__1_OtherPurchasedGoodsAndServices(F435,IF(I435,I435,G435)*10^-3)</f>
        <v>0.5</v>
      </c>
      <c r="K435" s="75"/>
      <c r="L435" s="37"/>
      <c r="M435" s="75"/>
    </row>
    <row r="436" spans="4:13" x14ac:dyDescent="0.25">
      <c r="D436" s="39">
        <v>0</v>
      </c>
      <c r="E436" s="39">
        <v>0</v>
      </c>
      <c r="F436" s="39">
        <v>0</v>
      </c>
      <c r="G436" s="39" cm="1">
        <f t="array" ref="G436">Common_InputFunctions.Utility_LookupValueInTableNumber(E436,Table_SourceData_Scope3_ChemicalsCleaning[Product],Table_SourceData_Scope3_ChemicalsCleaning[AusLCI Emissions intensity])</f>
        <v>0</v>
      </c>
      <c r="H436" s="152" cm="1">
        <f t="array" ref="H436">Scope3_Equations.VEERG_15_10_1_1__1_OtherPurchasedGoodsAndServices(F436,G436*10^-3)</f>
        <v>0</v>
      </c>
      <c r="I436" s="58"/>
      <c r="J436" s="152" cm="1">
        <f t="array" ref="J436">Scope3_Equations.VEERG_15_10_1_1__1_OtherPurchasedGoodsAndServices(F436,IF(I436,I436,G436)*10^-3)</f>
        <v>0</v>
      </c>
      <c r="K436" s="75"/>
      <c r="L436" s="37"/>
      <c r="M436" s="75"/>
    </row>
    <row r="437" spans="4:13" x14ac:dyDescent="0.25">
      <c r="D437" s="39">
        <v>0</v>
      </c>
      <c r="E437" s="39">
        <v>0</v>
      </c>
      <c r="F437" s="39">
        <v>0</v>
      </c>
      <c r="G437" s="39" cm="1">
        <f t="array" ref="G437">Common_InputFunctions.Utility_LookupValueInTableNumber(E437,Table_SourceData_Scope3_ChemicalsCleaning[Product],Table_SourceData_Scope3_ChemicalsCleaning[AusLCI Emissions intensity])</f>
        <v>0</v>
      </c>
      <c r="H437" s="152" cm="1">
        <f t="array" ref="H437">Scope3_Equations.VEERG_15_10_1_1__1_OtherPurchasedGoodsAndServices(F437,G437*10^-3)</f>
        <v>0</v>
      </c>
      <c r="I437" s="58"/>
      <c r="J437" s="152" cm="1">
        <f t="array" ref="J437">Scope3_Equations.VEERG_15_10_1_1__1_OtherPurchasedGoodsAndServices(F437,IF(I437,I437,G437)*10^-3)</f>
        <v>0</v>
      </c>
      <c r="K437" s="75"/>
      <c r="L437" s="37"/>
      <c r="M437" s="75"/>
    </row>
    <row r="438" spans="4:13" x14ac:dyDescent="0.25">
      <c r="D438" s="39">
        <v>0</v>
      </c>
      <c r="E438" s="39">
        <v>0</v>
      </c>
      <c r="F438" s="39">
        <v>0</v>
      </c>
      <c r="G438" s="39" cm="1">
        <f t="array" ref="G438">Common_InputFunctions.Utility_LookupValueInTableNumber(E438,Table_SourceData_Scope3_ChemicalsCleaning[Product],Table_SourceData_Scope3_ChemicalsCleaning[AusLCI Emissions intensity])</f>
        <v>0</v>
      </c>
      <c r="H438" s="152" cm="1">
        <f t="array" ref="H438">Scope3_Equations.VEERG_15_10_1_1__1_OtherPurchasedGoodsAndServices(F438,G438*10^-3)</f>
        <v>0</v>
      </c>
      <c r="I438" s="58"/>
      <c r="J438" s="152" cm="1">
        <f t="array" ref="J438">Scope3_Equations.VEERG_15_10_1_1__1_OtherPurchasedGoodsAndServices(F438,IF(I438,I438,G438)*10^-3)</f>
        <v>0</v>
      </c>
      <c r="K438" s="75"/>
      <c r="L438" s="37"/>
      <c r="M438" s="75"/>
    </row>
    <row r="439" spans="4:13" x14ac:dyDescent="0.25">
      <c r="D439" s="39">
        <v>0</v>
      </c>
      <c r="E439" s="39">
        <v>0</v>
      </c>
      <c r="F439" s="39">
        <v>0</v>
      </c>
      <c r="G439" s="39" cm="1">
        <f t="array" ref="G439">Common_InputFunctions.Utility_LookupValueInTableNumber(E439,Table_SourceData_Scope3_ChemicalsCleaning[Product],Table_SourceData_Scope3_ChemicalsCleaning[AusLCI Emissions intensity])</f>
        <v>0</v>
      </c>
      <c r="H439" s="152" cm="1">
        <f t="array" ref="H439">Scope3_Equations.VEERG_15_10_1_1__1_OtherPurchasedGoodsAndServices(F439,G439*10^-3)</f>
        <v>0</v>
      </c>
      <c r="I439" s="58"/>
      <c r="J439" s="152" cm="1">
        <f t="array" ref="J439">Scope3_Equations.VEERG_15_10_1_1__1_OtherPurchasedGoodsAndServices(F439,IF(I439,I439,G439)*10^-3)</f>
        <v>0</v>
      </c>
      <c r="K439" s="75"/>
      <c r="L439" s="37"/>
      <c r="M439" s="75"/>
    </row>
    <row r="441" spans="4:13" ht="20.25" x14ac:dyDescent="0.25">
      <c r="D441" s="184" t="s">
        <v>674</v>
      </c>
      <c r="E441" s="182">
        <f>SUM(H430:H439)</f>
        <v>0.50509999999999999</v>
      </c>
      <c r="F441" s="183" t="str">
        <f>$E$155</f>
        <v>t CO2e</v>
      </c>
    </row>
    <row r="442" spans="4:13" ht="20.25" x14ac:dyDescent="0.25">
      <c r="D442" s="184" t="s">
        <v>676</v>
      </c>
      <c r="E442" s="182">
        <f>SUM(J430:J439)</f>
        <v>2.73</v>
      </c>
      <c r="F442" s="183" t="str">
        <f>$E$155</f>
        <v>t CO2e</v>
      </c>
    </row>
    <row r="445" spans="4:13" ht="18.75" x14ac:dyDescent="0.25">
      <c r="D445" s="143" t="s">
        <v>406</v>
      </c>
    </row>
    <row r="447" spans="4:13" x14ac:dyDescent="0.25">
      <c r="D447" s="36" t="s">
        <v>390</v>
      </c>
      <c r="E447" s="153" t="s">
        <v>308</v>
      </c>
      <c r="F447" s="153" t="s">
        <v>404</v>
      </c>
      <c r="G447" s="49" t="s">
        <v>658</v>
      </c>
      <c r="H447" s="49" t="s">
        <v>674</v>
      </c>
      <c r="I447" s="36" t="s">
        <v>659</v>
      </c>
      <c r="J447" s="49" t="s">
        <v>676</v>
      </c>
      <c r="K447" s="36" t="s">
        <v>670</v>
      </c>
      <c r="L447" s="36" t="s">
        <v>671</v>
      </c>
      <c r="M447" s="36" t="s">
        <v>672</v>
      </c>
    </row>
    <row r="448" spans="4:13" x14ac:dyDescent="0.25">
      <c r="D448" s="39" t="str" cm="1">
        <f t="array" ref="D448:D457">IFERROR(INDEX(Table_Input_ChemicalsPharmacy[Product name], _xlfn.SEQUENCE(10)), "")</f>
        <v>Cow bug off</v>
      </c>
      <c r="E448" s="39" t="str" cm="1">
        <f t="array" ref="E448:E457">IFERROR(INDEX(Table_Input_ChemicalsPharmacy[Type (select)], _xlfn.SEQUENCE(10)), "")</f>
        <v>Parasite control for cattle (external), dipping</v>
      </c>
      <c r="F448" s="39" cm="1">
        <f t="array" ref="F448:F457">IFERROR(INDEX(Table_Input_ChemicalsCleaning[Quantity purchased (kg)], _xlfn.SEQUENCE(10)), "")</f>
        <v>100</v>
      </c>
      <c r="G448" s="39" cm="1">
        <f t="array" ref="G448">Common_InputFunctions.Utility_LookupValueInTableNumber(E448,Table_SourceData_Scope3_ChemicalsPharmacy[Product],Table_SourceData_Scope3_ChemicalsPharmacy[AusLCI Emissions intensity])</f>
        <v>5.4699999999999999E-2</v>
      </c>
      <c r="H448" s="152" cm="1">
        <f t="array" ref="H448">Scope3_Equations.VEERG_15_10_1_1__1_OtherPurchasedGoodsAndServices(F448,G448*10^-3)</f>
        <v>5.47E-3</v>
      </c>
      <c r="I448" s="58">
        <v>0.05</v>
      </c>
      <c r="J448" s="152" cm="1">
        <f t="array" ref="J448">Scope3_Equations.VEERG_15_10_1_1__1_OtherPurchasedGoodsAndServices(F448,IF(I448,I448,G448)*10^-3)</f>
        <v>5.0000000000000001E-3</v>
      </c>
      <c r="K448" s="75"/>
      <c r="L448" s="37"/>
      <c r="M448" s="75"/>
    </row>
    <row r="449" spans="4:13" x14ac:dyDescent="0.25">
      <c r="D449" s="39" t="str">
        <v>Cow worm-away</v>
      </c>
      <c r="E449" s="39" t="str">
        <v>Parasite control for cattle (internal)</v>
      </c>
      <c r="F449" s="39">
        <v>100</v>
      </c>
      <c r="G449" s="39" cm="1">
        <f t="array" ref="G449">Common_InputFunctions.Utility_LookupValueInTableNumber(E449,Table_SourceData_Scope3_ChemicalsPharmacy[Product],Table_SourceData_Scope3_ChemicalsPharmacy[AusLCI Emissions intensity])</f>
        <v>1.4200000000000001E-2</v>
      </c>
      <c r="H449" s="152" cm="1">
        <f t="array" ref="H449">Scope3_Equations.VEERG_15_10_1_1__1_OtherPurchasedGoodsAndServices(F449,G449*10^-3)</f>
        <v>1.42E-3</v>
      </c>
      <c r="I449" s="58">
        <v>0.01</v>
      </c>
      <c r="J449" s="152" cm="1">
        <f t="array" ref="J449">Scope3_Equations.VEERG_15_10_1_1__1_OtherPurchasedGoodsAndServices(F449,IF(I449,I449,G449)*10^-3)</f>
        <v>1E-3</v>
      </c>
      <c r="K449" s="75"/>
      <c r="L449" s="37"/>
      <c r="M449" s="75"/>
    </row>
    <row r="450" spans="4:13" x14ac:dyDescent="0.25">
      <c r="D450" s="39" t="str">
        <v>Sheep bug off</v>
      </c>
      <c r="E450" s="39" t="str">
        <v>Parasite control for sheep (external)</v>
      </c>
      <c r="F450" s="39">
        <v>100</v>
      </c>
      <c r="G450" s="39" cm="1">
        <f t="array" ref="G450">Common_InputFunctions.Utility_LookupValueInTableNumber(E450,Table_SourceData_Scope3_ChemicalsPharmacy[Product],Table_SourceData_Scope3_ChemicalsPharmacy[AusLCI Emissions intensity])</f>
        <v>1.43E-2</v>
      </c>
      <c r="H450" s="152" cm="1">
        <f t="array" ref="H450">Scope3_Equations.VEERG_15_10_1_1__1_OtherPurchasedGoodsAndServices(F450,G450*10^-3)</f>
        <v>1.4300000000000001E-3</v>
      </c>
      <c r="I450" s="58">
        <v>0.01</v>
      </c>
      <c r="J450" s="152" cm="1">
        <f t="array" ref="J450">Scope3_Equations.VEERG_15_10_1_1__1_OtherPurchasedGoodsAndServices(F450,IF(I450,I450,G450)*10^-3)</f>
        <v>1E-3</v>
      </c>
      <c r="K450" s="75"/>
      <c r="L450" s="37"/>
      <c r="M450" s="75"/>
    </row>
    <row r="451" spans="4:13" x14ac:dyDescent="0.25">
      <c r="D451" s="39" t="str">
        <v>Sheep worm-away</v>
      </c>
      <c r="E451" s="39" t="str">
        <v>Parasite control for sheep (internal)</v>
      </c>
      <c r="F451" s="39">
        <v>100</v>
      </c>
      <c r="G451" s="39" cm="1">
        <f t="array" ref="G451">Common_InputFunctions.Utility_LookupValueInTableNumber(E451,Table_SourceData_Scope3_ChemicalsPharmacy[Product],Table_SourceData_Scope3_ChemicalsPharmacy[AusLCI Emissions intensity])</f>
        <v>4.2599999999999999E-3</v>
      </c>
      <c r="H451" s="152" cm="1">
        <f t="array" ref="H451">Scope3_Equations.VEERG_15_10_1_1__1_OtherPurchasedGoodsAndServices(F451,G451*10^-3)</f>
        <v>4.26E-4</v>
      </c>
      <c r="I451" s="58">
        <v>4.0000000000000001E-3</v>
      </c>
      <c r="J451" s="152" cm="1">
        <f t="array" ref="J451">Scope3_Equations.VEERG_15_10_1_1__1_OtherPurchasedGoodsAndServices(F451,IF(I451,I451,G451)*10^-3)</f>
        <v>3.9999999999999996E-4</v>
      </c>
      <c r="K451" s="75"/>
      <c r="L451" s="37"/>
      <c r="M451" s="75"/>
    </row>
    <row r="452" spans="4:13" x14ac:dyDescent="0.25">
      <c r="D452" s="39" t="str">
        <v>Cow bug off</v>
      </c>
      <c r="E452" s="39" t="str">
        <v>Parasite control for cattle (external), dipping</v>
      </c>
      <c r="F452" s="39">
        <v>100</v>
      </c>
      <c r="G452" s="39" cm="1">
        <f t="array" ref="G452">Common_InputFunctions.Utility_LookupValueInTableNumber(E452,Table_SourceData_Scope3_ChemicalsPharmacy[Product],Table_SourceData_Scope3_ChemicalsPharmacy[AusLCI Emissions intensity])</f>
        <v>5.4699999999999999E-2</v>
      </c>
      <c r="H452" s="152" cm="1">
        <f t="array" ref="H452">Scope3_Equations.VEERG_15_10_1_1__1_OtherPurchasedGoodsAndServices(F452,G452*10^-3)</f>
        <v>5.47E-3</v>
      </c>
      <c r="I452" s="58">
        <v>0.05</v>
      </c>
      <c r="J452" s="152" cm="1">
        <f t="array" ref="J452">Scope3_Equations.VEERG_15_10_1_1__1_OtherPurchasedGoodsAndServices(F452,IF(I452,I452,G452)*10^-3)</f>
        <v>5.0000000000000001E-3</v>
      </c>
      <c r="K452" s="75"/>
      <c r="L452" s="37"/>
      <c r="M452" s="75"/>
    </row>
    <row r="453" spans="4:13" x14ac:dyDescent="0.25">
      <c r="D453" s="39" t="str">
        <v>Cow worm-away</v>
      </c>
      <c r="E453" s="39" t="str">
        <v>Parasite control for cattle (internal)</v>
      </c>
      <c r="F453" s="39">
        <v>100</v>
      </c>
      <c r="G453" s="39" cm="1">
        <f t="array" ref="G453">Common_InputFunctions.Utility_LookupValueInTableNumber(E453,Table_SourceData_Scope3_ChemicalsPharmacy[Product],Table_SourceData_Scope3_ChemicalsPharmacy[AusLCI Emissions intensity])</f>
        <v>1.4200000000000001E-2</v>
      </c>
      <c r="H453" s="152" cm="1">
        <f t="array" ref="H453">Scope3_Equations.VEERG_15_10_1_1__1_OtherPurchasedGoodsAndServices(F453,G453*10^-3)</f>
        <v>1.42E-3</v>
      </c>
      <c r="I453" s="58">
        <v>0.01</v>
      </c>
      <c r="J453" s="152" cm="1">
        <f t="array" ref="J453">Scope3_Equations.VEERG_15_10_1_1__1_OtherPurchasedGoodsAndServices(F453,IF(I453,I453,G453)*10^-3)</f>
        <v>1E-3</v>
      </c>
      <c r="K453" s="75"/>
      <c r="L453" s="37"/>
      <c r="M453" s="75"/>
    </row>
    <row r="454" spans="4:13" x14ac:dyDescent="0.25">
      <c r="D454" s="39">
        <v>0</v>
      </c>
      <c r="E454" s="39">
        <v>0</v>
      </c>
      <c r="F454" s="39">
        <v>0</v>
      </c>
      <c r="G454" s="39" cm="1">
        <f t="array" ref="G454">Common_InputFunctions.Utility_LookupValueInTableNumber(E454,Table_SourceData_Scope3_ChemicalsPharmacy[Product],Table_SourceData_Scope3_ChemicalsPharmacy[AusLCI Emissions intensity])</f>
        <v>0</v>
      </c>
      <c r="H454" s="152" cm="1">
        <f t="array" ref="H454">Scope3_Equations.VEERG_15_10_1_1__1_OtherPurchasedGoodsAndServices(F454,G454*10^-3)</f>
        <v>0</v>
      </c>
      <c r="I454" s="58"/>
      <c r="J454" s="152" cm="1">
        <f t="array" ref="J454">Scope3_Equations.VEERG_15_10_1_1__1_OtherPurchasedGoodsAndServices(F454,IF(I454,I454,G454)*10^-3)</f>
        <v>0</v>
      </c>
      <c r="K454" s="75"/>
      <c r="L454" s="37"/>
      <c r="M454" s="75"/>
    </row>
    <row r="455" spans="4:13" x14ac:dyDescent="0.25">
      <c r="D455" s="39">
        <v>0</v>
      </c>
      <c r="E455" s="39">
        <v>0</v>
      </c>
      <c r="F455" s="39">
        <v>0</v>
      </c>
      <c r="G455" s="39" cm="1">
        <f t="array" ref="G455">Common_InputFunctions.Utility_LookupValueInTableNumber(E455,Table_SourceData_Scope3_ChemicalsPharmacy[Product],Table_SourceData_Scope3_ChemicalsPharmacy[AusLCI Emissions intensity])</f>
        <v>0</v>
      </c>
      <c r="H455" s="152" cm="1">
        <f t="array" ref="H455">Scope3_Equations.VEERG_15_10_1_1__1_OtherPurchasedGoodsAndServices(F455,G455*10^-3)</f>
        <v>0</v>
      </c>
      <c r="I455" s="58"/>
      <c r="J455" s="152" cm="1">
        <f t="array" ref="J455">Scope3_Equations.VEERG_15_10_1_1__1_OtherPurchasedGoodsAndServices(F455,IF(I455,I455,G455)*10^-3)</f>
        <v>0</v>
      </c>
      <c r="K455" s="75"/>
      <c r="L455" s="37"/>
      <c r="M455" s="75"/>
    </row>
    <row r="456" spans="4:13" x14ac:dyDescent="0.25">
      <c r="D456" s="39">
        <v>0</v>
      </c>
      <c r="E456" s="39">
        <v>0</v>
      </c>
      <c r="F456" s="39">
        <v>0</v>
      </c>
      <c r="G456" s="39" cm="1">
        <f t="array" ref="G456">Common_InputFunctions.Utility_LookupValueInTableNumber(E456,Table_SourceData_Scope3_ChemicalsPharmacy[Product],Table_SourceData_Scope3_ChemicalsPharmacy[AusLCI Emissions intensity])</f>
        <v>0</v>
      </c>
      <c r="H456" s="152" cm="1">
        <f t="array" ref="H456">Scope3_Equations.VEERG_15_10_1_1__1_OtherPurchasedGoodsAndServices(F456,G456*10^-3)</f>
        <v>0</v>
      </c>
      <c r="I456" s="58"/>
      <c r="J456" s="152" cm="1">
        <f t="array" ref="J456">Scope3_Equations.VEERG_15_10_1_1__1_OtherPurchasedGoodsAndServices(F456,IF(I456,I456,G456)*10^-3)</f>
        <v>0</v>
      </c>
      <c r="K456" s="75"/>
      <c r="L456" s="37"/>
      <c r="M456" s="75"/>
    </row>
    <row r="457" spans="4:13" x14ac:dyDescent="0.25">
      <c r="D457" s="39">
        <v>0</v>
      </c>
      <c r="E457" s="39">
        <v>0</v>
      </c>
      <c r="F457" s="39">
        <v>0</v>
      </c>
      <c r="G457" s="39" cm="1">
        <f t="array" ref="G457">Common_InputFunctions.Utility_LookupValueInTableNumber(E457,Table_SourceData_Scope3_ChemicalsPharmacy[Product],Table_SourceData_Scope3_ChemicalsPharmacy[AusLCI Emissions intensity])</f>
        <v>0</v>
      </c>
      <c r="H457" s="152" cm="1">
        <f t="array" ref="H457">Scope3_Equations.VEERG_15_10_1_1__1_OtherPurchasedGoodsAndServices(F457,G457*10^-3)</f>
        <v>0</v>
      </c>
      <c r="I457" s="58"/>
      <c r="J457" s="152" cm="1">
        <f t="array" ref="J457">Scope3_Equations.VEERG_15_10_1_1__1_OtherPurchasedGoodsAndServices(F457,IF(I457,I457,G457)*10^-3)</f>
        <v>0</v>
      </c>
      <c r="K457" s="75"/>
      <c r="L457" s="37"/>
      <c r="M457" s="75"/>
    </row>
    <row r="459" spans="4:13" ht="20.25" x14ac:dyDescent="0.25">
      <c r="D459" s="184" t="s">
        <v>674</v>
      </c>
      <c r="E459" s="182">
        <f>SUM(H448:H457)</f>
        <v>1.5636000000000001E-2</v>
      </c>
      <c r="F459" s="183" t="str">
        <f>$E$155</f>
        <v>t CO2e</v>
      </c>
    </row>
    <row r="460" spans="4:13" ht="20.25" x14ac:dyDescent="0.25">
      <c r="D460" s="184" t="s">
        <v>676</v>
      </c>
      <c r="E460" s="182">
        <f>SUM(J448:J457)</f>
        <v>1.3400000000000002E-2</v>
      </c>
      <c r="F460" s="183" t="str">
        <f>$E$155</f>
        <v>t CO2e</v>
      </c>
    </row>
    <row r="463" spans="4:13" ht="18.75" x14ac:dyDescent="0.25">
      <c r="D463" s="143" t="s">
        <v>444</v>
      </c>
    </row>
    <row r="465" spans="4:12" x14ac:dyDescent="0.25">
      <c r="D465" s="36" t="s">
        <v>171</v>
      </c>
      <c r="E465" s="36" t="s">
        <v>746</v>
      </c>
      <c r="F465" s="49" t="s">
        <v>658</v>
      </c>
      <c r="G465" s="49" t="s">
        <v>674</v>
      </c>
      <c r="H465" s="36" t="s">
        <v>659</v>
      </c>
      <c r="I465" s="49" t="s">
        <v>676</v>
      </c>
      <c r="J465" s="36" t="s">
        <v>670</v>
      </c>
      <c r="K465" s="36" t="s">
        <v>671</v>
      </c>
      <c r="L465" s="36" t="s">
        <v>672</v>
      </c>
    </row>
    <row r="466" spans="4:12" x14ac:dyDescent="0.25">
      <c r="D466" s="39" t="str">
        <f>'Input - Farm Inputs'!D194</f>
        <v>Barley grain (for seed)</v>
      </c>
      <c r="E466" s="39">
        <f>'Input - Farm Inputs'!E194</f>
        <v>500</v>
      </c>
      <c r="F466" s="39" cm="1">
        <f t="array" ref="F466">Common_InputFunctions.Utility_LookupValueInTableNumber(D466,Table_SourceData_Scope3_Other[Product],Table_SourceData_Scope3_Other[AusLCI Emissions intensity])</f>
        <v>0.23899999999999999</v>
      </c>
      <c r="G466" s="152" cm="1">
        <f t="array" ref="G466">Scope3_Equations.VEERG_15_10_1_1__1_OtherPurchasedGoodsAndServices(E466,F466*10^-3)</f>
        <v>0.1195</v>
      </c>
      <c r="H466" s="58">
        <v>0.2</v>
      </c>
      <c r="I466" s="152" cm="1">
        <f t="array" ref="I466">Scope3_Equations.VEERG_15_10_1_1__1_OtherPurchasedGoodsAndServices(E466,IF(H466,H466,F466)*10^-3)</f>
        <v>0.1</v>
      </c>
      <c r="J466" s="75"/>
      <c r="K466" s="37"/>
      <c r="L466" s="75"/>
    </row>
    <row r="467" spans="4:12" x14ac:dyDescent="0.25">
      <c r="D467" s="39" t="str">
        <f>'Input - Farm Inputs'!D195</f>
        <v>Maize grain (for seed)</v>
      </c>
      <c r="E467" s="39">
        <f>'Input - Farm Inputs'!E195</f>
        <v>600</v>
      </c>
      <c r="F467" s="39" cm="1">
        <f t="array" ref="F467">Common_InputFunctions.Utility_LookupValueInTableNumber(D467,Table_SourceData_Scope3_Other[Product],Table_SourceData_Scope3_Other[AusLCI Emissions intensity])</f>
        <v>0.18099999999999999</v>
      </c>
      <c r="G467" s="152" cm="1">
        <f t="array" ref="G467">Scope3_Equations.VEERG_15_10_1_1__1_OtherPurchasedGoodsAndServices(E467,F467*10^-3)</f>
        <v>0.1086</v>
      </c>
      <c r="H467" s="58"/>
      <c r="I467" s="152" cm="1">
        <f t="array" ref="I467">Scope3_Equations.VEERG_15_10_1_1__1_OtherPurchasedGoodsAndServices(E467,IF(H467,H467,F467)*10^-3)</f>
        <v>0.1086</v>
      </c>
      <c r="J467" s="75"/>
      <c r="K467" s="37"/>
      <c r="L467" s="75"/>
    </row>
    <row r="468" spans="4:12" x14ac:dyDescent="0.25">
      <c r="D468" s="39" t="str">
        <f>'Input - Farm Inputs'!D196</f>
        <v>Oat grain (for seed)</v>
      </c>
      <c r="E468" s="39">
        <f>'Input - Farm Inputs'!E196</f>
        <v>700</v>
      </c>
      <c r="F468" s="39" cm="1">
        <f t="array" ref="F468">Common_InputFunctions.Utility_LookupValueInTableNumber(D468,Table_SourceData_Scope3_Other[Product],Table_SourceData_Scope3_Other[AusLCI Emissions intensity])</f>
        <v>0.27</v>
      </c>
      <c r="G468" s="152" cm="1">
        <f t="array" ref="G468">Scope3_Equations.VEERG_15_10_1_1__1_OtherPurchasedGoodsAndServices(E468,F468*10^-3)</f>
        <v>0.189</v>
      </c>
      <c r="H468" s="58">
        <v>0.2</v>
      </c>
      <c r="I468" s="152" cm="1">
        <f t="array" ref="I468">Scope3_Equations.VEERG_15_10_1_1__1_OtherPurchasedGoodsAndServices(E468,IF(H468,H468,F468)*10^-3)</f>
        <v>0.14000000000000001</v>
      </c>
      <c r="J468" s="75"/>
      <c r="K468" s="37"/>
      <c r="L468" s="75"/>
    </row>
    <row r="469" spans="4:12" x14ac:dyDescent="0.25">
      <c r="D469" s="39" t="str">
        <f>'Input - Farm Inputs'!D197</f>
        <v>Sorghum grain (for seed)</v>
      </c>
      <c r="E469" s="39">
        <f>'Input - Farm Inputs'!E197</f>
        <v>800</v>
      </c>
      <c r="F469" s="39" cm="1">
        <f t="array" ref="F469">Common_InputFunctions.Utility_LookupValueInTableNumber(D469,Table_SourceData_Scope3_Other[Product],Table_SourceData_Scope3_Other[AusLCI Emissions intensity])</f>
        <v>0.23200000000000001</v>
      </c>
      <c r="G469" s="152" cm="1">
        <f t="array" ref="G469">Scope3_Equations.VEERG_15_10_1_1__1_OtherPurchasedGoodsAndServices(E469,F469*10^-3)</f>
        <v>0.18560000000000001</v>
      </c>
      <c r="H469" s="58"/>
      <c r="I469" s="152" cm="1">
        <f t="array" ref="I469">Scope3_Equations.VEERG_15_10_1_1__1_OtherPurchasedGoodsAndServices(E469,IF(H469,H469,F469)*10^-3)</f>
        <v>0.18560000000000001</v>
      </c>
      <c r="J469" s="75"/>
      <c r="K469" s="37"/>
      <c r="L469" s="75"/>
    </row>
    <row r="470" spans="4:12" x14ac:dyDescent="0.25">
      <c r="D470" s="39" t="str">
        <f>'Input - Farm Inputs'!D198</f>
        <v>Wheat grain (for seed)</v>
      </c>
      <c r="E470" s="39">
        <f>'Input - Farm Inputs'!E198</f>
        <v>900</v>
      </c>
      <c r="F470" s="39" cm="1">
        <f t="array" ref="F470">Common_InputFunctions.Utility_LookupValueInTableNumber(D470,Table_SourceData_Scope3_Other[Product],Table_SourceData_Scope3_Other[AusLCI Emissions intensity])</f>
        <v>0.26800000000000002</v>
      </c>
      <c r="G470" s="152" cm="1">
        <f t="array" ref="G470">Scope3_Equations.VEERG_15_10_1_1__1_OtherPurchasedGoodsAndServices(E470,F470*10^-3)</f>
        <v>0.2412</v>
      </c>
      <c r="H470" s="58">
        <v>0.2</v>
      </c>
      <c r="I470" s="152" cm="1">
        <f t="array" ref="I470">Scope3_Equations.VEERG_15_10_1_1__1_OtherPurchasedGoodsAndServices(E470,IF(H470,H470,F470)*10^-3)</f>
        <v>0.18000000000000002</v>
      </c>
      <c r="J470" s="75"/>
      <c r="K470" s="37"/>
      <c r="L470" s="75"/>
    </row>
    <row r="472" spans="4:12" ht="20.25" x14ac:dyDescent="0.25">
      <c r="D472" s="184" t="s">
        <v>674</v>
      </c>
      <c r="E472" s="182">
        <f>SUM(G466:G470)</f>
        <v>0.84389999999999998</v>
      </c>
      <c r="F472" s="183" t="str">
        <f>$E$155</f>
        <v>t CO2e</v>
      </c>
    </row>
    <row r="473" spans="4:12" ht="20.25" x14ac:dyDescent="0.25">
      <c r="D473" s="184" t="s">
        <v>676</v>
      </c>
      <c r="E473" s="182">
        <f>SUM(I466:I470)</f>
        <v>0.71420000000000006</v>
      </c>
      <c r="F473" s="183" t="str">
        <f>$E$155</f>
        <v>t CO2e</v>
      </c>
    </row>
    <row r="476" spans="4:12" ht="18.75" x14ac:dyDescent="0.25">
      <c r="D476" s="143" t="s">
        <v>747</v>
      </c>
    </row>
    <row r="478" spans="4:12" x14ac:dyDescent="0.25">
      <c r="D478" s="36" t="s">
        <v>171</v>
      </c>
      <c r="E478" s="36" t="s">
        <v>746</v>
      </c>
      <c r="F478" s="49" t="s">
        <v>658</v>
      </c>
      <c r="G478" s="49" t="s">
        <v>674</v>
      </c>
      <c r="H478" s="36" t="s">
        <v>659</v>
      </c>
      <c r="I478" s="49" t="s">
        <v>676</v>
      </c>
      <c r="J478" s="36" t="s">
        <v>670</v>
      </c>
      <c r="K478" s="36" t="s">
        <v>671</v>
      </c>
      <c r="L478" s="36" t="s">
        <v>672</v>
      </c>
    </row>
    <row r="479" spans="4:12" x14ac:dyDescent="0.25">
      <c r="D479" s="39" t="str">
        <f>'Input - Farm Inputs'!D201</f>
        <v>Animal ear tags (large)</v>
      </c>
      <c r="E479" s="39">
        <f>'Input - Farm Inputs'!E201</f>
        <v>100</v>
      </c>
      <c r="F479" s="39" cm="1">
        <f t="array" ref="F479">Common_InputFunctions.Utility_LookupValueInTableNumber(D479,Table_SourceData_Scope3_Other[Product],Table_SourceData_Scope3_Other[AusLCI Emissions intensity])</f>
        <v>4.24E-2</v>
      </c>
      <c r="G479" s="152" cm="1">
        <f t="array" ref="G479">Scope3_Equations.VEERG_15_10_1_1__1_OtherPurchasedGoodsAndServices(E479,F479*10^-3)</f>
        <v>4.2399999999999998E-3</v>
      </c>
      <c r="H479" s="58">
        <v>0.2</v>
      </c>
      <c r="I479" s="152" cm="1">
        <f t="array" ref="I479">Scope3_Equations.VEERG_15_10_1_1__1_OtherPurchasedGoodsAndServices(E479,IF(H479,H479,F479)*10^-3)</f>
        <v>0.02</v>
      </c>
      <c r="J479" s="75"/>
      <c r="K479" s="37"/>
      <c r="L479" s="75"/>
    </row>
    <row r="480" spans="4:12" x14ac:dyDescent="0.25">
      <c r="D480" s="39" t="str">
        <f>'Input - Farm Inputs'!D202</f>
        <v>Animal ear tags (small)</v>
      </c>
      <c r="E480" s="39">
        <f>'Input - Farm Inputs'!E202</f>
        <v>200</v>
      </c>
      <c r="F480" s="39" cm="1">
        <f t="array" ref="F480">Common_InputFunctions.Utility_LookupValueInTableNumber(D480,Table_SourceData_Scope3_Other[Product],Table_SourceData_Scope3_Other[AusLCI Emissions intensity])</f>
        <v>2.93E-2</v>
      </c>
      <c r="G480" s="152" cm="1">
        <f t="array" ref="G480">Scope3_Equations.VEERG_15_10_1_1__1_OtherPurchasedGoodsAndServices(E480,F480*10^-3)</f>
        <v>5.8599999999999998E-3</v>
      </c>
      <c r="H480" s="58"/>
      <c r="I480" s="152" cm="1">
        <f t="array" ref="I480">Scope3_Equations.VEERG_15_10_1_1__1_OtherPurchasedGoodsAndServices(E480,IF(H480,H480,F480)*10^-3)</f>
        <v>5.8599999999999998E-3</v>
      </c>
      <c r="J480" s="75"/>
      <c r="K480" s="37"/>
      <c r="L480" s="75"/>
    </row>
    <row r="481" spans="4:14" x14ac:dyDescent="0.25">
      <c r="D481" s="39" t="str">
        <f>'Input - Farm Inputs'!D203</f>
        <v>Nylon netting</v>
      </c>
      <c r="E481" s="39">
        <f>'Input - Farm Inputs'!E203</f>
        <v>300</v>
      </c>
      <c r="F481" s="39" cm="1">
        <f t="array" ref="F481">Common_InputFunctions.Utility_LookupValueInTableNumber(D481,Table_SourceData_Scope3_Other[Product],Table_SourceData_Scope3_Other[AusLCI Emissions intensity])</f>
        <v>9.81</v>
      </c>
      <c r="G481" s="152" cm="1">
        <f t="array" ref="G481">Scope3_Equations.VEERG_15_10_1_1__1_OtherPurchasedGoodsAndServices(E481,F481*10^-3)</f>
        <v>2.9430000000000005</v>
      </c>
      <c r="H481" s="58">
        <v>0.2</v>
      </c>
      <c r="I481" s="152" cm="1">
        <f t="array" ref="I481">Scope3_Equations.VEERG_15_10_1_1__1_OtherPurchasedGoodsAndServices(E481,IF(H481,H481,F481)*10^-3)</f>
        <v>6.0000000000000005E-2</v>
      </c>
      <c r="J481" s="75"/>
      <c r="K481" s="37"/>
      <c r="L481" s="75"/>
    </row>
    <row r="483" spans="4:14" ht="20.25" x14ac:dyDescent="0.25">
      <c r="D483" s="184" t="s">
        <v>674</v>
      </c>
      <c r="E483" s="182">
        <f>SUM(G479:G481)</f>
        <v>2.9531000000000005</v>
      </c>
      <c r="F483" s="183" t="str">
        <f>$E$155</f>
        <v>t CO2e</v>
      </c>
    </row>
    <row r="484" spans="4:14" ht="20.25" x14ac:dyDescent="0.25">
      <c r="D484" s="184" t="s">
        <v>676</v>
      </c>
      <c r="E484" s="182">
        <f>SUM(I479:I481)</f>
        <v>8.5860000000000006E-2</v>
      </c>
      <c r="F484" s="183" t="str">
        <f>$E$155</f>
        <v>t CO2e</v>
      </c>
    </row>
    <row r="487" spans="4:14" ht="18.75" x14ac:dyDescent="0.25">
      <c r="D487" s="143" t="s">
        <v>748</v>
      </c>
    </row>
    <row r="489" spans="4:14" x14ac:dyDescent="0.25">
      <c r="D489" s="36" t="s">
        <v>171</v>
      </c>
      <c r="E489" s="36" t="s">
        <v>636</v>
      </c>
      <c r="F489" s="36" t="s">
        <v>126</v>
      </c>
      <c r="G489" s="49" t="s">
        <v>448</v>
      </c>
      <c r="H489" s="49" t="s">
        <v>381</v>
      </c>
      <c r="I489" s="36" t="s">
        <v>449</v>
      </c>
      <c r="J489" s="36" t="s">
        <v>743</v>
      </c>
      <c r="K489" s="49" t="s">
        <v>382</v>
      </c>
      <c r="L489" s="36" t="s">
        <v>670</v>
      </c>
      <c r="M489" s="36" t="s">
        <v>671</v>
      </c>
      <c r="N489" s="36" t="s">
        <v>672</v>
      </c>
    </row>
    <row r="490" spans="4:14" x14ac:dyDescent="0.25">
      <c r="D490" s="39" t="str" cm="1">
        <f t="array" ref="D490:D499">IFERROR(INDEX(Table_Input_UncategorisedProductsServices[Product / service name], _xlfn.SEQUENCE(10)), "")</f>
        <v>Something</v>
      </c>
      <c r="E490" s="39" cm="1">
        <f t="array" ref="E490:E499">IFERROR(INDEX(Table_Input_UncategorisedProductsServices[Amount], _xlfn.SEQUENCE(10)), "")</f>
        <v>1000</v>
      </c>
      <c r="F490" s="39" t="str" cm="1">
        <f t="array" ref="F490:F499">IFERROR(INDEX(Table_Input_UncategorisedProductsServices[Amount unit], _xlfn.SEQUENCE(10)), "")</f>
        <v>kg</v>
      </c>
      <c r="G490" s="39" t="s">
        <v>642</v>
      </c>
      <c r="H490" s="39" t="s">
        <v>642</v>
      </c>
      <c r="I490" s="58">
        <v>4</v>
      </c>
      <c r="J490" s="37" t="s">
        <v>744</v>
      </c>
      <c r="K490" s="152" cm="1">
        <f t="array" ref="K490">Scope3_Equations.VEERG_15_10_1_1__1_OtherPurchasedGoodsAndServices(E490,IF(J490="kg / amount unit", I490*10^-3, I490))</f>
        <v>4000</v>
      </c>
      <c r="L490" s="75"/>
      <c r="M490" s="37"/>
      <c r="N490" s="168"/>
    </row>
    <row r="491" spans="4:14" x14ac:dyDescent="0.25">
      <c r="D491" s="39">
        <v>0</v>
      </c>
      <c r="E491" s="39">
        <v>0</v>
      </c>
      <c r="F491" s="39">
        <v>0</v>
      </c>
      <c r="G491" s="39" t="s">
        <v>642</v>
      </c>
      <c r="H491" s="39" t="s">
        <v>642</v>
      </c>
      <c r="I491" s="58">
        <v>2</v>
      </c>
      <c r="J491" s="37" t="s">
        <v>744</v>
      </c>
      <c r="K491" s="152" cm="1">
        <f t="array" ref="K491">Scope3_Equations.VEERG_15_10_1_1__1_OtherPurchasedGoodsAndServices(E491,IF(J491="kg / amount unit", I491*10^-3, I491))</f>
        <v>0</v>
      </c>
      <c r="L491" s="75"/>
      <c r="M491" s="37"/>
      <c r="N491" s="75"/>
    </row>
    <row r="492" spans="4:14" x14ac:dyDescent="0.25">
      <c r="D492" s="39">
        <v>0</v>
      </c>
      <c r="E492" s="39">
        <v>0</v>
      </c>
      <c r="F492" s="39">
        <v>0</v>
      </c>
      <c r="G492" s="39" t="s">
        <v>642</v>
      </c>
      <c r="H492" s="39" t="s">
        <v>642</v>
      </c>
      <c r="I492" s="58"/>
      <c r="J492" s="37"/>
      <c r="K492" s="152" cm="1">
        <f t="array" ref="K492">Scope3_Equations.VEERG_15_10_1_1__1_OtherPurchasedGoodsAndServices(E492,IF(J492="kg / amount unit", I492*10^-3, I492))</f>
        <v>0</v>
      </c>
      <c r="L492" s="75"/>
      <c r="M492" s="37"/>
      <c r="N492" s="75"/>
    </row>
    <row r="493" spans="4:14" x14ac:dyDescent="0.25">
      <c r="D493" s="39">
        <v>0</v>
      </c>
      <c r="E493" s="39">
        <v>0</v>
      </c>
      <c r="F493" s="39">
        <v>0</v>
      </c>
      <c r="G493" s="39" t="s">
        <v>642</v>
      </c>
      <c r="H493" s="39" t="s">
        <v>642</v>
      </c>
      <c r="I493" s="58"/>
      <c r="J493" s="37"/>
      <c r="K493" s="152" cm="1">
        <f t="array" ref="K493">Scope3_Equations.VEERG_15_10_1_1__1_OtherPurchasedGoodsAndServices(E493,IF(J493="kg / amount unit", I493*10^-3, I493))</f>
        <v>0</v>
      </c>
      <c r="L493" s="75"/>
      <c r="M493" s="37"/>
      <c r="N493" s="75"/>
    </row>
    <row r="494" spans="4:14" x14ac:dyDescent="0.25">
      <c r="D494" s="39">
        <v>0</v>
      </c>
      <c r="E494" s="39">
        <v>0</v>
      </c>
      <c r="F494" s="39">
        <v>0</v>
      </c>
      <c r="G494" s="39" t="s">
        <v>642</v>
      </c>
      <c r="H494" s="39" t="s">
        <v>642</v>
      </c>
      <c r="I494" s="58"/>
      <c r="J494" s="37"/>
      <c r="K494" s="152" cm="1">
        <f t="array" ref="K494">Scope3_Equations.VEERG_15_10_1_1__1_OtherPurchasedGoodsAndServices(E494,IF(J494="kg / amount unit", I494*10^-3, I494))</f>
        <v>0</v>
      </c>
      <c r="L494" s="75"/>
      <c r="M494" s="37"/>
      <c r="N494" s="75"/>
    </row>
    <row r="495" spans="4:14" x14ac:dyDescent="0.25">
      <c r="D495" s="39">
        <v>0</v>
      </c>
      <c r="E495" s="39">
        <v>0</v>
      </c>
      <c r="F495" s="39">
        <v>0</v>
      </c>
      <c r="G495" s="39" t="s">
        <v>642</v>
      </c>
      <c r="H495" s="39" t="s">
        <v>642</v>
      </c>
      <c r="I495" s="58"/>
      <c r="J495" s="37"/>
      <c r="K495" s="152" cm="1">
        <f t="array" ref="K495">Scope3_Equations.VEERG_15_10_1_1__1_OtherPurchasedGoodsAndServices(E495,IF(J495="kg / amount unit", I495*10^-3, I495))</f>
        <v>0</v>
      </c>
      <c r="L495" s="75"/>
      <c r="M495" s="37"/>
      <c r="N495" s="75"/>
    </row>
    <row r="496" spans="4:14" x14ac:dyDescent="0.25">
      <c r="D496" s="39">
        <v>0</v>
      </c>
      <c r="E496" s="39">
        <v>0</v>
      </c>
      <c r="F496" s="39">
        <v>0</v>
      </c>
      <c r="G496" s="39" t="s">
        <v>642</v>
      </c>
      <c r="H496" s="39" t="s">
        <v>642</v>
      </c>
      <c r="I496" s="58"/>
      <c r="J496" s="37"/>
      <c r="K496" s="152" cm="1">
        <f t="array" ref="K496">Scope3_Equations.VEERG_15_10_1_1__1_OtherPurchasedGoodsAndServices(E496,IF(J496="kg / amount unit", I496*10^-3, I496))</f>
        <v>0</v>
      </c>
      <c r="L496" s="75"/>
      <c r="M496" s="37"/>
      <c r="N496" s="75"/>
    </row>
    <row r="497" spans="4:14" x14ac:dyDescent="0.25">
      <c r="D497" s="39">
        <v>0</v>
      </c>
      <c r="E497" s="39">
        <v>0</v>
      </c>
      <c r="F497" s="39">
        <v>0</v>
      </c>
      <c r="G497" s="39" t="s">
        <v>642</v>
      </c>
      <c r="H497" s="39" t="s">
        <v>642</v>
      </c>
      <c r="I497" s="58"/>
      <c r="J497" s="37"/>
      <c r="K497" s="152" cm="1">
        <f t="array" ref="K497">Scope3_Equations.VEERG_15_10_1_1__1_OtherPurchasedGoodsAndServices(E497,IF(J497="kg / amount unit", I497*10^-3, I497))</f>
        <v>0</v>
      </c>
      <c r="L497" s="75"/>
      <c r="M497" s="37"/>
      <c r="N497" s="75"/>
    </row>
    <row r="498" spans="4:14" x14ac:dyDescent="0.25">
      <c r="D498" s="39">
        <v>0</v>
      </c>
      <c r="E498" s="39">
        <v>0</v>
      </c>
      <c r="F498" s="39">
        <v>0</v>
      </c>
      <c r="G498" s="39" t="s">
        <v>642</v>
      </c>
      <c r="H498" s="39" t="s">
        <v>642</v>
      </c>
      <c r="I498" s="58"/>
      <c r="J498" s="37"/>
      <c r="K498" s="152" cm="1">
        <f t="array" ref="K498">Scope3_Equations.VEERG_15_10_1_1__1_OtherPurchasedGoodsAndServices(E498,IF(J498="kg / amount unit", I498*10^-3, I498))</f>
        <v>0</v>
      </c>
      <c r="L498" s="75"/>
      <c r="M498" s="37"/>
      <c r="N498" s="75"/>
    </row>
    <row r="499" spans="4:14" x14ac:dyDescent="0.25">
      <c r="D499" s="39">
        <v>0</v>
      </c>
      <c r="E499" s="39">
        <v>0</v>
      </c>
      <c r="F499" s="39">
        <v>0</v>
      </c>
      <c r="G499" s="39" t="s">
        <v>642</v>
      </c>
      <c r="H499" s="39" t="s">
        <v>642</v>
      </c>
      <c r="I499" s="58"/>
      <c r="J499" s="37"/>
      <c r="K499" s="152" cm="1">
        <f t="array" ref="K499">Scope3_Equations.VEERG_15_10_1_1__1_OtherPurchasedGoodsAndServices(E499,IF(J499="kg / amount unit", I499*10^-3, I499))</f>
        <v>0</v>
      </c>
      <c r="L499" s="75"/>
      <c r="M499" s="37"/>
      <c r="N499" s="75"/>
    </row>
    <row r="501" spans="4:14" ht="20.25" x14ac:dyDescent="0.25">
      <c r="D501" s="184" t="s">
        <v>674</v>
      </c>
      <c r="E501" s="182" t="s">
        <v>642</v>
      </c>
      <c r="F501" s="183" t="str">
        <f>$E$155</f>
        <v>t CO2e</v>
      </c>
    </row>
    <row r="502" spans="4:14" ht="20.25" x14ac:dyDescent="0.25">
      <c r="D502" s="184" t="s">
        <v>676</v>
      </c>
      <c r="E502" s="182">
        <f>SUM(K490:K499)</f>
        <v>4000</v>
      </c>
      <c r="F502" s="183" t="str">
        <f>$E$155</f>
        <v>t CO2e</v>
      </c>
    </row>
  </sheetData>
  <dataValidations disablePrompts="1" count="2">
    <dataValidation type="list" allowBlank="1" showInputMessage="1" showErrorMessage="1" sqref="L42:L51 L61:L70 L79:L88 L430:L439 L448:L457 K119:K128 L367:L376 K136:K139 K162:K164 O23:O32 M221:M231 L305:L314 K273:K282 N336:N345 M490:M499 M237:M251 M399:M408 K466:K470 K479:K483" xr:uid="{A98F9A2A-5979-48D5-8578-50210547ED4A}">
      <formula1>INDIRECT("Table_SourceData_DataScores_Scope3[Data source]")</formula1>
    </dataValidation>
    <dataValidation type="list" allowBlank="1" showInputMessage="1" showErrorMessage="1" sqref="J490:J499" xr:uid="{329D1E08-2407-476E-911D-B5DBC99D27A4}">
      <formula1>"kg / amount unit, t / amount unit"</formula1>
    </dataValidation>
  </dataValidations>
  <pageMargins left="0.7" right="0.7" top="0.75" bottom="0.75" header="0.3" footer="0.3"/>
  <pageSetup paperSize="9"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8C099-CA4F-45D0-9F7B-FE40BE525417}">
  <dimension ref="C1:Q238"/>
  <sheetViews>
    <sheetView showGridLines="0" topLeftCell="A190" zoomScale="85" zoomScaleNormal="85" workbookViewId="0">
      <selection activeCell="E21" sqref="E21"/>
    </sheetView>
  </sheetViews>
  <sheetFormatPr defaultRowHeight="15.75" x14ac:dyDescent="0.25"/>
  <cols>
    <col min="1" max="1" width="30.625" customWidth="1"/>
    <col min="2" max="2" width="4.625" customWidth="1"/>
    <col min="3" max="3" width="4.625" style="8" customWidth="1"/>
    <col min="4" max="16" width="30.625" style="8" customWidth="1"/>
    <col min="17" max="17" width="9" style="8"/>
  </cols>
  <sheetData>
    <row r="1" spans="3:17" ht="30" customHeight="1" x14ac:dyDescent="0.25">
      <c r="C1"/>
      <c r="D1"/>
      <c r="E1"/>
      <c r="F1"/>
      <c r="G1"/>
      <c r="H1"/>
      <c r="I1"/>
      <c r="J1"/>
      <c r="K1"/>
      <c r="L1"/>
      <c r="M1"/>
      <c r="N1"/>
      <c r="O1"/>
      <c r="P1"/>
      <c r="Q1"/>
    </row>
    <row r="2" spans="3:17" ht="20.100000000000001" customHeight="1" x14ac:dyDescent="0.25">
      <c r="C2"/>
      <c r="D2"/>
      <c r="E2"/>
      <c r="F2"/>
      <c r="G2"/>
      <c r="H2"/>
      <c r="I2"/>
      <c r="J2"/>
      <c r="K2"/>
      <c r="L2"/>
      <c r="M2"/>
      <c r="N2"/>
      <c r="O2"/>
      <c r="P2"/>
      <c r="Q2"/>
    </row>
    <row r="3" spans="3:17" ht="20.100000000000001" customHeight="1" x14ac:dyDescent="0.25"/>
    <row r="4" spans="3:17" ht="20.100000000000001" customHeight="1" x14ac:dyDescent="0.25"/>
    <row r="5" spans="3:17" ht="20.100000000000001" customHeight="1" x14ac:dyDescent="0.25"/>
    <row r="6" spans="3:17" ht="20.100000000000001" customHeight="1" x14ac:dyDescent="0.25"/>
    <row r="7" spans="3:17" ht="20.100000000000001" customHeight="1" x14ac:dyDescent="0.25"/>
    <row r="8" spans="3:17" ht="20.100000000000001" customHeight="1" x14ac:dyDescent="0.25"/>
    <row r="9" spans="3:17" ht="20.100000000000001" customHeight="1" x14ac:dyDescent="0.25"/>
    <row r="10" spans="3:17" ht="20.100000000000001" customHeight="1" x14ac:dyDescent="0.25"/>
    <row r="11" spans="3:17" ht="20.100000000000001" customHeight="1" x14ac:dyDescent="0.25"/>
    <row r="12" spans="3:17" ht="20.100000000000001" customHeight="1" x14ac:dyDescent="0.25"/>
    <row r="13" spans="3:17" ht="20.100000000000001" customHeight="1" x14ac:dyDescent="0.25"/>
    <row r="14" spans="3:17" ht="20.100000000000001" customHeight="1" x14ac:dyDescent="0.25"/>
    <row r="15" spans="3:17" ht="20.100000000000001" customHeight="1" x14ac:dyDescent="0.25"/>
    <row r="16" spans="3:17" ht="20.100000000000001" customHeight="1" x14ac:dyDescent="0.25"/>
    <row r="17" spans="4:11" ht="20.100000000000001" customHeight="1" x14ac:dyDescent="0.25"/>
    <row r="18" spans="4:11" ht="20.100000000000001" customHeight="1" x14ac:dyDescent="0.25"/>
    <row r="19" spans="4:11" ht="20.100000000000001" customHeight="1" x14ac:dyDescent="0.25"/>
    <row r="20" spans="4:11" ht="20.100000000000001" customHeight="1" x14ac:dyDescent="0.25"/>
    <row r="21" spans="4:11" ht="20.100000000000001" customHeight="1" x14ac:dyDescent="0.25"/>
    <row r="22" spans="4:11" ht="20.100000000000001" customHeight="1" x14ac:dyDescent="0.25"/>
    <row r="23" spans="4:11" ht="20.100000000000001" customHeight="1" x14ac:dyDescent="0.25"/>
    <row r="24" spans="4:11" ht="20.100000000000001" customHeight="1" x14ac:dyDescent="0.25"/>
    <row r="25" spans="4:11" ht="20.100000000000001" customHeight="1" x14ac:dyDescent="0.25"/>
    <row r="26" spans="4:11" ht="20.100000000000001" customHeight="1" x14ac:dyDescent="0.25"/>
    <row r="27" spans="4:11" ht="20.100000000000001" customHeight="1" x14ac:dyDescent="0.25"/>
    <row r="28" spans="4:11" ht="20.100000000000001" customHeight="1" x14ac:dyDescent="0.25"/>
    <row r="29" spans="4:11" ht="20.100000000000001" customHeight="1" x14ac:dyDescent="0.25"/>
    <row r="30" spans="4:11" ht="20.100000000000001" customHeight="1" x14ac:dyDescent="0.25"/>
    <row r="31" spans="4:11" ht="20.100000000000001" customHeight="1" x14ac:dyDescent="0.25"/>
    <row r="32" spans="4:11" ht="20.100000000000001" customHeight="1" x14ac:dyDescent="0.25">
      <c r="D32" s="9" t="s">
        <v>388</v>
      </c>
      <c r="K32" s="8" t="s">
        <v>463</v>
      </c>
    </row>
    <row r="33" spans="4:12" ht="20.100000000000001" customHeight="1" x14ac:dyDescent="0.25">
      <c r="D33" s="10" t="s">
        <v>343</v>
      </c>
      <c r="E33" s="10" t="s">
        <v>219</v>
      </c>
      <c r="F33" s="10" t="s">
        <v>344</v>
      </c>
      <c r="G33" s="10" t="s">
        <v>300</v>
      </c>
      <c r="H33" s="10" t="s">
        <v>301</v>
      </c>
      <c r="I33" s="10" t="s">
        <v>389</v>
      </c>
      <c r="K33" s="10" t="s">
        <v>414</v>
      </c>
      <c r="L33" s="10" t="s">
        <v>546</v>
      </c>
    </row>
    <row r="34" spans="4:12" ht="20.100000000000001" customHeight="1" x14ac:dyDescent="0.25">
      <c r="D34" s="10" t="str" cm="1">
        <f t="array" ref="D34">Common_InputFunctions.Utility_DisplayArrayInTable(Scope3_SourceData.Scope3_Livestock_Data(), Table_SourceData_Scope3_Animals[[#Headers],[Category]], 0, 2)</f>
        <v>Beef cattle</v>
      </c>
      <c r="E34" s="10" t="str" cm="1">
        <f t="array" ref="E34">Common_InputFunctions.Utility_DisplayArrayInTable(Scope3_SourceData.Scope3_Livestock_Data(), Table_SourceData_Scope3_Animals[[#Headers],[Category]], 0, 2)</f>
        <v>Cattle, for manufacturing beef</v>
      </c>
      <c r="F34" s="10" t="str" cm="1">
        <f t="array" ref="F34">Common_InputFunctions.Utility_DisplayArrayInTable(Scope3_SourceData.Scope3_Livestock_Data(), Table_SourceData_Scope3_Animals[[#Headers],[Category]], 0, 2)</f>
        <v>Australia</v>
      </c>
      <c r="G34" s="10" t="str" cm="1">
        <f t="array" ref="G34">Common_InputFunctions.Utility_DisplayArrayInTable(Scope3_SourceData.Scope3_Livestock_Data(), Table_SourceData_Scope3_Animals[[#Headers],[Category]], 0, 2)</f>
        <v>kg liveweight</v>
      </c>
      <c r="H34" s="10" cm="1">
        <f t="array" ref="H34">Common_InputFunctions.Utility_DisplayArrayInTable(Scope3_SourceData.Scope3_Livestock_Data(), Table_SourceData_Scope3_Animals[[#Headers],[Category]], 0, 2)</f>
        <v>11</v>
      </c>
      <c r="I34" s="10" t="str" cm="1">
        <f t="array" ref="I34">Common_InputFunctions.Utility_DisplayArrayInTable(Scope3_SourceData.Scope3_Livestock_Data(), Table_SourceData_Scope3_Animals[[#Headers],[Category]], 0, 2)</f>
        <v>at market</v>
      </c>
      <c r="K34" s="10" t="s">
        <v>338</v>
      </c>
      <c r="L34" s="10" t="s">
        <v>362</v>
      </c>
    </row>
    <row r="35" spans="4:12" ht="20.100000000000001" customHeight="1" x14ac:dyDescent="0.25">
      <c r="D35" s="10" t="str" cm="1">
        <f t="array" ref="D35">Common_InputFunctions.Utility_DisplayArrayInTable(Scope3_SourceData.Scope3_Livestock_Data(), Table_SourceData_Scope3_Animals[[#Headers],[Category]], 0, 2)</f>
        <v>Beef cattle</v>
      </c>
      <c r="E35" s="10" t="str" cm="1">
        <f t="array" ref="E35">Common_InputFunctions.Utility_DisplayArrayInTable(Scope3_SourceData.Scope3_Livestock_Data(), Table_SourceData_Scope3_Animals[[#Headers],[Category]], 0, 2)</f>
        <v>Cattle, for manufacturing beef</v>
      </c>
      <c r="F35" s="10" t="str" cm="1">
        <f t="array" ref="F35">Common_InputFunctions.Utility_DisplayArrayInTable(Scope3_SourceData.Scope3_Livestock_Data(), Table_SourceData_Scope3_Animals[[#Headers],[Category]], 0, 2)</f>
        <v>NSW</v>
      </c>
      <c r="G35" s="10" t="str" cm="1">
        <f t="array" ref="G35">Common_InputFunctions.Utility_DisplayArrayInTable(Scope3_SourceData.Scope3_Livestock_Data(), Table_SourceData_Scope3_Animals[[#Headers],[Category]], 0, 2)</f>
        <v>kg liveweight</v>
      </c>
      <c r="H35" s="10" cm="1">
        <f t="array" ref="H35">Common_InputFunctions.Utility_DisplayArrayInTable(Scope3_SourceData.Scope3_Livestock_Data(), Table_SourceData_Scope3_Animals[[#Headers],[Category]], 0, 2)</f>
        <v>8.2100000000000009</v>
      </c>
      <c r="I35" s="10" t="str" cm="1">
        <f t="array" ref="I35">Common_InputFunctions.Utility_DisplayArrayInTable(Scope3_SourceData.Scope3_Livestock_Data(), Table_SourceData_Scope3_Animals[[#Headers],[Category]], 0, 2)</f>
        <v>at market</v>
      </c>
      <c r="K35" s="10" t="s">
        <v>362</v>
      </c>
      <c r="L35" s="10" t="s">
        <v>362</v>
      </c>
    </row>
    <row r="36" spans="4:12" ht="20.100000000000001" customHeight="1" x14ac:dyDescent="0.25">
      <c r="D36" s="10" t="str" cm="1">
        <f t="array" ref="D36">Common_InputFunctions.Utility_DisplayArrayInTable(Scope3_SourceData.Scope3_Livestock_Data(), Table_SourceData_Scope3_Animals[[#Headers],[Category]], 0, 2)</f>
        <v>Beef cattle</v>
      </c>
      <c r="E36" s="10" t="str" cm="1">
        <f t="array" ref="E36">Common_InputFunctions.Utility_DisplayArrayInTable(Scope3_SourceData.Scope3_Livestock_Data(), Table_SourceData_Scope3_Animals[[#Headers],[Category]], 0, 2)</f>
        <v>Cattle, for manufacturing beef</v>
      </c>
      <c r="F36" s="10" t="str" cm="1">
        <f t="array" ref="F36">Common_InputFunctions.Utility_DisplayArrayInTable(Scope3_SourceData.Scope3_Livestock_Data(), Table_SourceData_Scope3_Animals[[#Headers],[Category]], 0, 2)</f>
        <v>NT</v>
      </c>
      <c r="G36" s="10" t="str" cm="1">
        <f t="array" ref="G36">Common_InputFunctions.Utility_DisplayArrayInTable(Scope3_SourceData.Scope3_Livestock_Data(), Table_SourceData_Scope3_Animals[[#Headers],[Category]], 0, 2)</f>
        <v>kg liveweight</v>
      </c>
      <c r="H36" s="10" cm="1">
        <f t="array" ref="H36">Common_InputFunctions.Utility_DisplayArrayInTable(Scope3_SourceData.Scope3_Livestock_Data(), Table_SourceData_Scope3_Animals[[#Headers],[Category]], 0, 2)</f>
        <v>12.2</v>
      </c>
      <c r="I36" s="10" t="str" cm="1">
        <f t="array" ref="I36">Common_InputFunctions.Utility_DisplayArrayInTable(Scope3_SourceData.Scope3_Livestock_Data(), Table_SourceData_Scope3_Animals[[#Headers],[Category]], 0, 2)</f>
        <v>at market</v>
      </c>
      <c r="K36" s="10" t="s">
        <v>423</v>
      </c>
      <c r="L36" s="10" t="s">
        <v>423</v>
      </c>
    </row>
    <row r="37" spans="4:12" ht="20.100000000000001" customHeight="1" x14ac:dyDescent="0.25">
      <c r="D37" s="10" t="str" cm="1">
        <f t="array" ref="D37">Common_InputFunctions.Utility_DisplayArrayInTable(Scope3_SourceData.Scope3_Livestock_Data(), Table_SourceData_Scope3_Animals[[#Headers],[Category]], 0, 2)</f>
        <v>Beef cattle</v>
      </c>
      <c r="E37" s="10" t="str" cm="1">
        <f t="array" ref="E37">Common_InputFunctions.Utility_DisplayArrayInTable(Scope3_SourceData.Scope3_Livestock_Data(), Table_SourceData_Scope3_Animals[[#Headers],[Category]], 0, 2)</f>
        <v>Cattle, for manufacturing beef</v>
      </c>
      <c r="F37" s="10" t="str" cm="1">
        <f t="array" ref="F37">Common_InputFunctions.Utility_DisplayArrayInTable(Scope3_SourceData.Scope3_Livestock_Data(), Table_SourceData_Scope3_Animals[[#Headers],[Category]], 0, 2)</f>
        <v>QLD</v>
      </c>
      <c r="G37" s="10" t="str" cm="1">
        <f t="array" ref="G37">Common_InputFunctions.Utility_DisplayArrayInTable(Scope3_SourceData.Scope3_Livestock_Data(), Table_SourceData_Scope3_Animals[[#Headers],[Category]], 0, 2)</f>
        <v>kg liveweight</v>
      </c>
      <c r="H37" s="10" cm="1">
        <f t="array" ref="H37">Common_InputFunctions.Utility_DisplayArrayInTable(Scope3_SourceData.Scope3_Livestock_Data(), Table_SourceData_Scope3_Animals[[#Headers],[Category]], 0, 2)</f>
        <v>10.9</v>
      </c>
      <c r="I37" s="10" t="str" cm="1">
        <f t="array" ref="I37">Common_InputFunctions.Utility_DisplayArrayInTable(Scope3_SourceData.Scope3_Livestock_Data(), Table_SourceData_Scope3_Animals[[#Headers],[Category]], 0, 2)</f>
        <v>at market</v>
      </c>
      <c r="K37" s="10" t="s">
        <v>419</v>
      </c>
      <c r="L37" s="10" t="s">
        <v>419</v>
      </c>
    </row>
    <row r="38" spans="4:12" ht="20.100000000000001" customHeight="1" x14ac:dyDescent="0.25">
      <c r="D38" s="10" t="str" cm="1">
        <f t="array" ref="D38">Common_InputFunctions.Utility_DisplayArrayInTable(Scope3_SourceData.Scope3_Livestock_Data(), Table_SourceData_Scope3_Animals[[#Headers],[Category]], 0, 2)</f>
        <v>Beef cattle</v>
      </c>
      <c r="E38" s="10" t="str" cm="1">
        <f t="array" ref="E38">Common_InputFunctions.Utility_DisplayArrayInTable(Scope3_SourceData.Scope3_Livestock_Data(), Table_SourceData_Scope3_Animals[[#Headers],[Category]], 0, 2)</f>
        <v>Cattle, for manufacturing beef</v>
      </c>
      <c r="F38" s="10" t="str" cm="1">
        <f t="array" ref="F38">Common_InputFunctions.Utility_DisplayArrayInTable(Scope3_SourceData.Scope3_Livestock_Data(), Table_SourceData_Scope3_Animals[[#Headers],[Category]], 0, 2)</f>
        <v>SA</v>
      </c>
      <c r="G38" s="10" t="str" cm="1">
        <f t="array" ref="G38">Common_InputFunctions.Utility_DisplayArrayInTable(Scope3_SourceData.Scope3_Livestock_Data(), Table_SourceData_Scope3_Animals[[#Headers],[Category]], 0, 2)</f>
        <v>kg liveweight</v>
      </c>
      <c r="H38" s="10" cm="1">
        <f t="array" ref="H38">Common_InputFunctions.Utility_DisplayArrayInTable(Scope3_SourceData.Scope3_Livestock_Data(), Table_SourceData_Scope3_Animals[[#Headers],[Category]], 0, 2)</f>
        <v>7.63</v>
      </c>
      <c r="I38" s="10" t="str" cm="1">
        <f t="array" ref="I38">Common_InputFunctions.Utility_DisplayArrayInTable(Scope3_SourceData.Scope3_Livestock_Data(), Table_SourceData_Scope3_Animals[[#Headers],[Category]], 0, 2)</f>
        <v>at market</v>
      </c>
      <c r="K38" s="10" t="s">
        <v>368</v>
      </c>
      <c r="L38" s="10" t="s">
        <v>368</v>
      </c>
    </row>
    <row r="39" spans="4:12" ht="20.100000000000001" customHeight="1" x14ac:dyDescent="0.25">
      <c r="D39" s="10" t="str" cm="1">
        <f t="array" ref="D39">Common_InputFunctions.Utility_DisplayArrayInTable(Scope3_SourceData.Scope3_Livestock_Data(), Table_SourceData_Scope3_Animals[[#Headers],[Category]], 0, 2)</f>
        <v>Beef cattle</v>
      </c>
      <c r="E39" s="10" t="str" cm="1">
        <f t="array" ref="E39">Common_InputFunctions.Utility_DisplayArrayInTable(Scope3_SourceData.Scope3_Livestock_Data(), Table_SourceData_Scope3_Animals[[#Headers],[Category]], 0, 2)</f>
        <v>Cattle, for manufacturing beef</v>
      </c>
      <c r="F39" s="10" t="str" cm="1">
        <f t="array" ref="F39">Common_InputFunctions.Utility_DisplayArrayInTable(Scope3_SourceData.Scope3_Livestock_Data(), Table_SourceData_Scope3_Animals[[#Headers],[Category]], 0, 2)</f>
        <v>TAS</v>
      </c>
      <c r="G39" s="10" t="str" cm="1">
        <f t="array" ref="G39">Common_InputFunctions.Utility_DisplayArrayInTable(Scope3_SourceData.Scope3_Livestock_Data(), Table_SourceData_Scope3_Animals[[#Headers],[Category]], 0, 2)</f>
        <v>kg liveweight</v>
      </c>
      <c r="H39" s="10" cm="1">
        <f t="array" ref="H39">Common_InputFunctions.Utility_DisplayArrayInTable(Scope3_SourceData.Scope3_Livestock_Data(), Table_SourceData_Scope3_Animals[[#Headers],[Category]], 0, 2)</f>
        <v>8.75</v>
      </c>
      <c r="I39" s="10" t="str" cm="1">
        <f t="array" ref="I39">Common_InputFunctions.Utility_DisplayArrayInTable(Scope3_SourceData.Scope3_Livestock_Data(), Table_SourceData_Scope3_Animals[[#Headers],[Category]], 0, 2)</f>
        <v>at market</v>
      </c>
      <c r="K39" s="10" t="s">
        <v>467</v>
      </c>
      <c r="L39" s="10" t="s">
        <v>369</v>
      </c>
    </row>
    <row r="40" spans="4:12" ht="20.100000000000001" customHeight="1" x14ac:dyDescent="0.25">
      <c r="D40" s="10" t="str" cm="1">
        <f t="array" ref="D40">Common_InputFunctions.Utility_DisplayArrayInTable(Scope3_SourceData.Scope3_Livestock_Data(), Table_SourceData_Scope3_Animals[[#Headers],[Category]], 0, 2)</f>
        <v>Beef cattle</v>
      </c>
      <c r="E40" s="10" t="str" cm="1">
        <f t="array" ref="E40">Common_InputFunctions.Utility_DisplayArrayInTable(Scope3_SourceData.Scope3_Livestock_Data(), Table_SourceData_Scope3_Animals[[#Headers],[Category]], 0, 2)</f>
        <v>Cattle, for manufacturing beef</v>
      </c>
      <c r="F40" s="10" t="str" cm="1">
        <f t="array" ref="F40">Common_InputFunctions.Utility_DisplayArrayInTable(Scope3_SourceData.Scope3_Livestock_Data(), Table_SourceData_Scope3_Animals[[#Headers],[Category]], 0, 2)</f>
        <v>VIC</v>
      </c>
      <c r="G40" s="10" t="str" cm="1">
        <f t="array" ref="G40">Common_InputFunctions.Utility_DisplayArrayInTable(Scope3_SourceData.Scope3_Livestock_Data(), Table_SourceData_Scope3_Animals[[#Headers],[Category]], 0, 2)</f>
        <v>kg liveweight</v>
      </c>
      <c r="H40" s="10" cm="1">
        <f t="array" ref="H40">Common_InputFunctions.Utility_DisplayArrayInTable(Scope3_SourceData.Scope3_Livestock_Data(), Table_SourceData_Scope3_Animals[[#Headers],[Category]], 0, 2)</f>
        <v>8.17</v>
      </c>
      <c r="I40" s="10" t="str" cm="1">
        <f t="array" ref="I40">Common_InputFunctions.Utility_DisplayArrayInTable(Scope3_SourceData.Scope3_Livestock_Data(), Table_SourceData_Scope3_Animals[[#Headers],[Category]], 0, 2)</f>
        <v>at market</v>
      </c>
      <c r="K40" s="10" t="s">
        <v>466</v>
      </c>
      <c r="L40" s="10" t="s">
        <v>369</v>
      </c>
    </row>
    <row r="41" spans="4:12" ht="20.100000000000001" customHeight="1" x14ac:dyDescent="0.25">
      <c r="D41" s="10" t="str" cm="1">
        <f t="array" ref="D41">Common_InputFunctions.Utility_DisplayArrayInTable(Scope3_SourceData.Scope3_Livestock_Data(), Table_SourceData_Scope3_Animals[[#Headers],[Category]], 0, 2)</f>
        <v>Beef cattle</v>
      </c>
      <c r="E41" s="10" t="str" cm="1">
        <f t="array" ref="E41">Common_InputFunctions.Utility_DisplayArrayInTable(Scope3_SourceData.Scope3_Livestock_Data(), Table_SourceData_Scope3_Animals[[#Headers],[Category]], 0, 2)</f>
        <v>Cattle, for manufacturing beef</v>
      </c>
      <c r="F41" s="10" t="str" cm="1">
        <f t="array" ref="F41">Common_InputFunctions.Utility_DisplayArrayInTable(Scope3_SourceData.Scope3_Livestock_Data(), Table_SourceData_Scope3_Animals[[#Headers],[Category]], 0, 2)</f>
        <v>WA</v>
      </c>
      <c r="G41" s="10" t="str" cm="1">
        <f t="array" ref="G41">Common_InputFunctions.Utility_DisplayArrayInTable(Scope3_SourceData.Scope3_Livestock_Data(), Table_SourceData_Scope3_Animals[[#Headers],[Category]], 0, 2)</f>
        <v>kg liveweight</v>
      </c>
      <c r="H41" s="10" cm="1">
        <f t="array" ref="H41">Common_InputFunctions.Utility_DisplayArrayInTable(Scope3_SourceData.Scope3_Livestock_Data(), Table_SourceData_Scope3_Animals[[#Headers],[Category]], 0, 2)</f>
        <v>13.1</v>
      </c>
      <c r="I41" s="10" t="str" cm="1">
        <f t="array" ref="I41">Common_InputFunctions.Utility_DisplayArrayInTable(Scope3_SourceData.Scope3_Livestock_Data(), Table_SourceData_Scope3_Animals[[#Headers],[Category]], 0, 2)</f>
        <v>at market</v>
      </c>
      <c r="K41" s="10" t="s">
        <v>468</v>
      </c>
      <c r="L41" s="10" t="s">
        <v>369</v>
      </c>
    </row>
    <row r="42" spans="4:12" ht="20.100000000000001" customHeight="1" x14ac:dyDescent="0.25">
      <c r="D42" s="10" t="str" cm="1">
        <f t="array" ref="D42">Common_InputFunctions.Utility_DisplayArrayInTable(Scope3_SourceData.Scope3_Livestock_Data(), Table_SourceData_Scope3_Animals[[#Headers],[Category]], 0, 2)</f>
        <v>Beef cattle</v>
      </c>
      <c r="E42" s="10" t="str" cm="1">
        <f t="array" ref="E42">Common_InputFunctions.Utility_DisplayArrayInTable(Scope3_SourceData.Scope3_Livestock_Data(), Table_SourceData_Scope3_Animals[[#Headers],[Category]], 0, 2)</f>
        <v>Cattle, for prime beef</v>
      </c>
      <c r="F42" s="10" t="str" cm="1">
        <f t="array" ref="F42">Common_InputFunctions.Utility_DisplayArrayInTable(Scope3_SourceData.Scope3_Livestock_Data(), Table_SourceData_Scope3_Animals[[#Headers],[Category]], 0, 2)</f>
        <v>Australia</v>
      </c>
      <c r="G42" s="10" t="str" cm="1">
        <f t="array" ref="G42">Common_InputFunctions.Utility_DisplayArrayInTable(Scope3_SourceData.Scope3_Livestock_Data(), Table_SourceData_Scope3_Animals[[#Headers],[Category]], 0, 2)</f>
        <v>kg liveweight</v>
      </c>
      <c r="H42" s="10" cm="1">
        <f t="array" ref="H42">Common_InputFunctions.Utility_DisplayArrayInTable(Scope3_SourceData.Scope3_Livestock_Data(), Table_SourceData_Scope3_Animals[[#Headers],[Category]], 0, 2)</f>
        <v>14.5</v>
      </c>
      <c r="I42" s="10" t="str" cm="1">
        <f t="array" ref="I42">Common_InputFunctions.Utility_DisplayArrayInTable(Scope3_SourceData.Scope3_Livestock_Data(), Table_SourceData_Scope3_Animals[[#Headers],[Category]], 0, 2)</f>
        <v>at market</v>
      </c>
      <c r="K42" s="10" t="s">
        <v>469</v>
      </c>
      <c r="L42" s="10" t="s">
        <v>465</v>
      </c>
    </row>
    <row r="43" spans="4:12" ht="20.100000000000001" customHeight="1" x14ac:dyDescent="0.25">
      <c r="D43" s="10" t="str" cm="1">
        <f t="array" ref="D43">Common_InputFunctions.Utility_DisplayArrayInTable(Scope3_SourceData.Scope3_Livestock_Data(), Table_SourceData_Scope3_Animals[[#Headers],[Category]], 0, 2)</f>
        <v>Beef cattle</v>
      </c>
      <c r="E43" s="10" t="str" cm="1">
        <f t="array" ref="E43">Common_InputFunctions.Utility_DisplayArrayInTable(Scope3_SourceData.Scope3_Livestock_Data(), Table_SourceData_Scope3_Animals[[#Headers],[Category]], 0, 2)</f>
        <v>Cattle, for prime beef</v>
      </c>
      <c r="F43" s="10" t="str" cm="1">
        <f t="array" ref="F43">Common_InputFunctions.Utility_DisplayArrayInTable(Scope3_SourceData.Scope3_Livestock_Data(), Table_SourceData_Scope3_Animals[[#Headers],[Category]], 0, 2)</f>
        <v>NSW</v>
      </c>
      <c r="G43" s="10" t="str" cm="1">
        <f t="array" ref="G43">Common_InputFunctions.Utility_DisplayArrayInTable(Scope3_SourceData.Scope3_Livestock_Data(), Table_SourceData_Scope3_Animals[[#Headers],[Category]], 0, 2)</f>
        <v>kg liveweight</v>
      </c>
      <c r="H43" s="10" cm="1">
        <f t="array" ref="H43">Common_InputFunctions.Utility_DisplayArrayInTable(Scope3_SourceData.Scope3_Livestock_Data(), Table_SourceData_Scope3_Animals[[#Headers],[Category]], 0, 2)</f>
        <v>11.3</v>
      </c>
      <c r="I43" s="10" t="str" cm="1">
        <f t="array" ref="I43">Common_InputFunctions.Utility_DisplayArrayInTable(Scope3_SourceData.Scope3_Livestock_Data(), Table_SourceData_Scope3_Animals[[#Headers],[Category]], 0, 2)</f>
        <v>at market</v>
      </c>
      <c r="K43" s="10" t="s">
        <v>470</v>
      </c>
      <c r="L43" s="10" t="s">
        <v>465</v>
      </c>
    </row>
    <row r="44" spans="4:12" ht="20.100000000000001" customHeight="1" x14ac:dyDescent="0.25">
      <c r="D44" s="10" t="str" cm="1">
        <f t="array" ref="D44">Common_InputFunctions.Utility_DisplayArrayInTable(Scope3_SourceData.Scope3_Livestock_Data(), Table_SourceData_Scope3_Animals[[#Headers],[Category]], 0, 2)</f>
        <v>Beef cattle</v>
      </c>
      <c r="E44" s="10" t="str" cm="1">
        <f t="array" ref="E44">Common_InputFunctions.Utility_DisplayArrayInTable(Scope3_SourceData.Scope3_Livestock_Data(), Table_SourceData_Scope3_Animals[[#Headers],[Category]], 0, 2)</f>
        <v>Cattle, for prime beef</v>
      </c>
      <c r="F44" s="10" t="str" cm="1">
        <f t="array" ref="F44">Common_InputFunctions.Utility_DisplayArrayInTable(Scope3_SourceData.Scope3_Livestock_Data(), Table_SourceData_Scope3_Animals[[#Headers],[Category]], 0, 2)</f>
        <v>NT</v>
      </c>
      <c r="G44" s="10" t="str" cm="1">
        <f t="array" ref="G44">Common_InputFunctions.Utility_DisplayArrayInTable(Scope3_SourceData.Scope3_Livestock_Data(), Table_SourceData_Scope3_Animals[[#Headers],[Category]], 0, 2)</f>
        <v>kg liveweight</v>
      </c>
      <c r="H44" s="10" cm="1">
        <f t="array" ref="H44">Common_InputFunctions.Utility_DisplayArrayInTable(Scope3_SourceData.Scope3_Livestock_Data(), Table_SourceData_Scope3_Animals[[#Headers],[Category]], 0, 2)</f>
        <v>18.899999999999999</v>
      </c>
      <c r="I44" s="10" t="str" cm="1">
        <f t="array" ref="I44">Common_InputFunctions.Utility_DisplayArrayInTable(Scope3_SourceData.Scope3_Livestock_Data(), Table_SourceData_Scope3_Animals[[#Headers],[Category]], 0, 2)</f>
        <v>at market</v>
      </c>
      <c r="K44" s="10" t="s">
        <v>471</v>
      </c>
      <c r="L44" s="10" t="s">
        <v>465</v>
      </c>
    </row>
    <row r="45" spans="4:12" ht="20.100000000000001" customHeight="1" x14ac:dyDescent="0.25">
      <c r="D45" s="10" t="str" cm="1">
        <f t="array" ref="D45">Common_InputFunctions.Utility_DisplayArrayInTable(Scope3_SourceData.Scope3_Livestock_Data(), Table_SourceData_Scope3_Animals[[#Headers],[Category]], 0, 2)</f>
        <v>Beef cattle</v>
      </c>
      <c r="E45" s="10" t="str" cm="1">
        <f t="array" ref="E45">Common_InputFunctions.Utility_DisplayArrayInTable(Scope3_SourceData.Scope3_Livestock_Data(), Table_SourceData_Scope3_Animals[[#Headers],[Category]], 0, 2)</f>
        <v>Cattle, for prime beef</v>
      </c>
      <c r="F45" s="10" t="str" cm="1">
        <f t="array" ref="F45">Common_InputFunctions.Utility_DisplayArrayInTable(Scope3_SourceData.Scope3_Livestock_Data(), Table_SourceData_Scope3_Animals[[#Headers],[Category]], 0, 2)</f>
        <v>QLD</v>
      </c>
      <c r="G45" s="10" t="str" cm="1">
        <f t="array" ref="G45">Common_InputFunctions.Utility_DisplayArrayInTable(Scope3_SourceData.Scope3_Livestock_Data(), Table_SourceData_Scope3_Animals[[#Headers],[Category]], 0, 2)</f>
        <v>kg liveweight</v>
      </c>
      <c r="H45" s="10" cm="1">
        <f t="array" ref="H45">Common_InputFunctions.Utility_DisplayArrayInTable(Scope3_SourceData.Scope3_Livestock_Data(), Table_SourceData_Scope3_Animals[[#Headers],[Category]], 0, 2)</f>
        <v>13.9</v>
      </c>
      <c r="I45" s="10" t="str" cm="1">
        <f t="array" ref="I45">Common_InputFunctions.Utility_DisplayArrayInTable(Scope3_SourceData.Scope3_Livestock_Data(), Table_SourceData_Scope3_Animals[[#Headers],[Category]], 0, 2)</f>
        <v>at market</v>
      </c>
      <c r="K45" s="10" t="s">
        <v>472</v>
      </c>
      <c r="L45" s="10" t="s">
        <v>363</v>
      </c>
    </row>
    <row r="46" spans="4:12" ht="20.100000000000001" customHeight="1" x14ac:dyDescent="0.25">
      <c r="D46" s="10" t="str" cm="1">
        <f t="array" ref="D46">Common_InputFunctions.Utility_DisplayArrayInTable(Scope3_SourceData.Scope3_Livestock_Data(), Table_SourceData_Scope3_Animals[[#Headers],[Category]], 0, 2)</f>
        <v>Beef cattle</v>
      </c>
      <c r="E46" s="10" t="str" cm="1">
        <f t="array" ref="E46">Common_InputFunctions.Utility_DisplayArrayInTable(Scope3_SourceData.Scope3_Livestock_Data(), Table_SourceData_Scope3_Animals[[#Headers],[Category]], 0, 2)</f>
        <v>Cattle, for prime beef</v>
      </c>
      <c r="F46" s="10" t="str" cm="1">
        <f t="array" ref="F46">Common_InputFunctions.Utility_DisplayArrayInTable(Scope3_SourceData.Scope3_Livestock_Data(), Table_SourceData_Scope3_Animals[[#Headers],[Category]], 0, 2)</f>
        <v>SA</v>
      </c>
      <c r="G46" s="10" t="str" cm="1">
        <f t="array" ref="G46">Common_InputFunctions.Utility_DisplayArrayInTable(Scope3_SourceData.Scope3_Livestock_Data(), Table_SourceData_Scope3_Animals[[#Headers],[Category]], 0, 2)</f>
        <v>kg liveweight</v>
      </c>
      <c r="H46" s="10" cm="1">
        <f t="array" ref="H46">Common_InputFunctions.Utility_DisplayArrayInTable(Scope3_SourceData.Scope3_Livestock_Data(), Table_SourceData_Scope3_Animals[[#Headers],[Category]], 0, 2)</f>
        <v>12.3</v>
      </c>
      <c r="I46" s="10" t="str" cm="1">
        <f t="array" ref="I46">Common_InputFunctions.Utility_DisplayArrayInTable(Scope3_SourceData.Scope3_Livestock_Data(), Table_SourceData_Scope3_Animals[[#Headers],[Category]], 0, 2)</f>
        <v>at market</v>
      </c>
      <c r="K46" s="10" t="s">
        <v>473</v>
      </c>
      <c r="L46" s="10" t="s">
        <v>363</v>
      </c>
    </row>
    <row r="47" spans="4:12" ht="20.100000000000001" customHeight="1" x14ac:dyDescent="0.25">
      <c r="D47" s="10" t="str" cm="1">
        <f t="array" ref="D47">Common_InputFunctions.Utility_DisplayArrayInTable(Scope3_SourceData.Scope3_Livestock_Data(), Table_SourceData_Scope3_Animals[[#Headers],[Category]], 0, 2)</f>
        <v>Beef cattle</v>
      </c>
      <c r="E47" s="10" t="str" cm="1">
        <f t="array" ref="E47">Common_InputFunctions.Utility_DisplayArrayInTable(Scope3_SourceData.Scope3_Livestock_Data(), Table_SourceData_Scope3_Animals[[#Headers],[Category]], 0, 2)</f>
        <v>Cattle, for prime beef</v>
      </c>
      <c r="F47" s="10" t="str" cm="1">
        <f t="array" ref="F47">Common_InputFunctions.Utility_DisplayArrayInTable(Scope3_SourceData.Scope3_Livestock_Data(), Table_SourceData_Scope3_Animals[[#Headers],[Category]], 0, 2)</f>
        <v>TAS</v>
      </c>
      <c r="G47" s="10" t="str" cm="1">
        <f t="array" ref="G47">Common_InputFunctions.Utility_DisplayArrayInTable(Scope3_SourceData.Scope3_Livestock_Data(), Table_SourceData_Scope3_Animals[[#Headers],[Category]], 0, 2)</f>
        <v>kg liveweight</v>
      </c>
      <c r="H47" s="10" cm="1">
        <f t="array" ref="H47">Common_InputFunctions.Utility_DisplayArrayInTable(Scope3_SourceData.Scope3_Livestock_Data(), Table_SourceData_Scope3_Animals[[#Headers],[Category]], 0, 2)</f>
        <v>11.5</v>
      </c>
      <c r="I47" s="10" t="str" cm="1">
        <f t="array" ref="I47">Common_InputFunctions.Utility_DisplayArrayInTable(Scope3_SourceData.Scope3_Livestock_Data(), Table_SourceData_Scope3_Animals[[#Headers],[Category]], 0, 2)</f>
        <v>at market</v>
      </c>
      <c r="K47" s="10" t="s">
        <v>474</v>
      </c>
      <c r="L47" s="10" t="s">
        <v>363</v>
      </c>
    </row>
    <row r="48" spans="4:12" ht="20.100000000000001" customHeight="1" x14ac:dyDescent="0.25">
      <c r="D48" s="10" t="str" cm="1">
        <f t="array" ref="D48">Common_InputFunctions.Utility_DisplayArrayInTable(Scope3_SourceData.Scope3_Livestock_Data(), Table_SourceData_Scope3_Animals[[#Headers],[Category]], 0, 2)</f>
        <v>Beef cattle</v>
      </c>
      <c r="E48" s="10" t="str" cm="1">
        <f t="array" ref="E48">Common_InputFunctions.Utility_DisplayArrayInTable(Scope3_SourceData.Scope3_Livestock_Data(), Table_SourceData_Scope3_Animals[[#Headers],[Category]], 0, 2)</f>
        <v>Cattle, for prime beef</v>
      </c>
      <c r="F48" s="10" t="str" cm="1">
        <f t="array" ref="F48">Common_InputFunctions.Utility_DisplayArrayInTable(Scope3_SourceData.Scope3_Livestock_Data(), Table_SourceData_Scope3_Animals[[#Headers],[Category]], 0, 2)</f>
        <v>VIC</v>
      </c>
      <c r="G48" s="10" t="str" cm="1">
        <f t="array" ref="G48">Common_InputFunctions.Utility_DisplayArrayInTable(Scope3_SourceData.Scope3_Livestock_Data(), Table_SourceData_Scope3_Animals[[#Headers],[Category]], 0, 2)</f>
        <v>kg liveweight</v>
      </c>
      <c r="H48" s="10" cm="1">
        <f t="array" ref="H48">Common_InputFunctions.Utility_DisplayArrayInTable(Scope3_SourceData.Scope3_Livestock_Data(), Table_SourceData_Scope3_Animals[[#Headers],[Category]], 0, 2)</f>
        <v>11.5</v>
      </c>
      <c r="I48" s="10" t="str" cm="1">
        <f t="array" ref="I48">Common_InputFunctions.Utility_DisplayArrayInTable(Scope3_SourceData.Scope3_Livestock_Data(), Table_SourceData_Scope3_Animals[[#Headers],[Category]], 0, 2)</f>
        <v>at market</v>
      </c>
      <c r="K48" s="10" t="s">
        <v>475</v>
      </c>
      <c r="L48" s="10" t="s">
        <v>363</v>
      </c>
    </row>
    <row r="49" spans="4:12" ht="20.100000000000001" customHeight="1" x14ac:dyDescent="0.25">
      <c r="D49" s="10" t="str" cm="1">
        <f t="array" ref="D49">Common_InputFunctions.Utility_DisplayArrayInTable(Scope3_SourceData.Scope3_Livestock_Data(), Table_SourceData_Scope3_Animals[[#Headers],[Category]], 0, 2)</f>
        <v>Beef cattle</v>
      </c>
      <c r="E49" s="10" t="str" cm="1">
        <f t="array" ref="E49">Common_InputFunctions.Utility_DisplayArrayInTable(Scope3_SourceData.Scope3_Livestock_Data(), Table_SourceData_Scope3_Animals[[#Headers],[Category]], 0, 2)</f>
        <v>Cattle, for prime beef</v>
      </c>
      <c r="F49" s="10" t="str" cm="1">
        <f t="array" ref="F49">Common_InputFunctions.Utility_DisplayArrayInTable(Scope3_SourceData.Scope3_Livestock_Data(), Table_SourceData_Scope3_Animals[[#Headers],[Category]], 0, 2)</f>
        <v>WA</v>
      </c>
      <c r="G49" s="10" t="str" cm="1">
        <f t="array" ref="G49">Common_InputFunctions.Utility_DisplayArrayInTable(Scope3_SourceData.Scope3_Livestock_Data(), Table_SourceData_Scope3_Animals[[#Headers],[Category]], 0, 2)</f>
        <v>kg liveweight</v>
      </c>
      <c r="H49" s="10" cm="1">
        <f t="array" ref="H49">Common_InputFunctions.Utility_DisplayArrayInTable(Scope3_SourceData.Scope3_Livestock_Data(), Table_SourceData_Scope3_Animals[[#Headers],[Category]], 0, 2)</f>
        <v>20.8</v>
      </c>
      <c r="I49" s="10" t="str" cm="1">
        <f t="array" ref="I49">Common_InputFunctions.Utility_DisplayArrayInTable(Scope3_SourceData.Scope3_Livestock_Data(), Table_SourceData_Scope3_Animals[[#Headers],[Category]], 0, 2)</f>
        <v>at market</v>
      </c>
      <c r="K49" s="8" t="s">
        <v>361</v>
      </c>
      <c r="L49" s="8" t="s">
        <v>361</v>
      </c>
    </row>
    <row r="50" spans="4:12" ht="20.100000000000001" customHeight="1" x14ac:dyDescent="0.25">
      <c r="D50" s="10" t="str" cm="1">
        <f t="array" ref="D50">Common_InputFunctions.Utility_DisplayArrayInTable(Scope3_SourceData.Scope3_Livestock_Data(), Table_SourceData_Scope3_Animals[[#Headers],[Category]], 0, 2)</f>
        <v>Beef cattle</v>
      </c>
      <c r="E50" s="10" t="str" cm="1">
        <f t="array" ref="E50">Common_InputFunctions.Utility_DisplayArrayInTable(Scope3_SourceData.Scope3_Livestock_Data(), Table_SourceData_Scope3_Animals[[#Headers],[Category]], 0, 2)</f>
        <v>Cattle, weaners</v>
      </c>
      <c r="F50" s="10" t="str" cm="1">
        <f t="array" ref="F50">Common_InputFunctions.Utility_DisplayArrayInTable(Scope3_SourceData.Scope3_Livestock_Data(), Table_SourceData_Scope3_Animals[[#Headers],[Category]], 0, 2)</f>
        <v>Australia</v>
      </c>
      <c r="G50" s="10" t="str" cm="1">
        <f t="array" ref="G50">Common_InputFunctions.Utility_DisplayArrayInTable(Scope3_SourceData.Scope3_Livestock_Data(), Table_SourceData_Scope3_Animals[[#Headers],[Category]], 0, 2)</f>
        <v>kg liveweight</v>
      </c>
      <c r="H50" s="10" cm="1">
        <f t="array" ref="H50">Common_InputFunctions.Utility_DisplayArrayInTable(Scope3_SourceData.Scope3_Livestock_Data(), Table_SourceData_Scope3_Animals[[#Headers],[Category]], 0, 2)</f>
        <v>15.5</v>
      </c>
      <c r="I50" s="10" t="str" cm="1">
        <f t="array" ref="I50">Common_InputFunctions.Utility_DisplayArrayInTable(Scope3_SourceData.Scope3_Livestock_Data(), Table_SourceData_Scope3_Animals[[#Headers],[Category]], 0, 2)</f>
        <v>at market</v>
      </c>
    </row>
    <row r="51" spans="4:12" ht="20.100000000000001" customHeight="1" x14ac:dyDescent="0.25">
      <c r="D51" s="10" t="str" cm="1">
        <f t="array" ref="D51">Common_InputFunctions.Utility_DisplayArrayInTable(Scope3_SourceData.Scope3_Livestock_Data(), Table_SourceData_Scope3_Animals[[#Headers],[Category]], 0, 2)</f>
        <v>Beef cattle</v>
      </c>
      <c r="E51" s="10" t="str" cm="1">
        <f t="array" ref="E51">Common_InputFunctions.Utility_DisplayArrayInTable(Scope3_SourceData.Scope3_Livestock_Data(), Table_SourceData_Scope3_Animals[[#Headers],[Category]], 0, 2)</f>
        <v>Cattle, weaners</v>
      </c>
      <c r="F51" s="10" t="str" cm="1">
        <f t="array" ref="F51">Common_InputFunctions.Utility_DisplayArrayInTable(Scope3_SourceData.Scope3_Livestock_Data(), Table_SourceData_Scope3_Animals[[#Headers],[Category]], 0, 2)</f>
        <v>NSW</v>
      </c>
      <c r="G51" s="10" t="str" cm="1">
        <f t="array" ref="G51">Common_InputFunctions.Utility_DisplayArrayInTable(Scope3_SourceData.Scope3_Livestock_Data(), Table_SourceData_Scope3_Animals[[#Headers],[Category]], 0, 2)</f>
        <v>kg liveweight</v>
      </c>
      <c r="H51" s="10" cm="1">
        <f t="array" ref="H51">Common_InputFunctions.Utility_DisplayArrayInTable(Scope3_SourceData.Scope3_Livestock_Data(), Table_SourceData_Scope3_Animals[[#Headers],[Category]], 0, 2)</f>
        <v>12.7</v>
      </c>
      <c r="I51" s="10" t="str" cm="1">
        <f t="array" ref="I51">Common_InputFunctions.Utility_DisplayArrayInTable(Scope3_SourceData.Scope3_Livestock_Data(), Table_SourceData_Scope3_Animals[[#Headers],[Category]], 0, 2)</f>
        <v>at market</v>
      </c>
      <c r="K51" s="8" t="s">
        <v>545</v>
      </c>
    </row>
    <row r="52" spans="4:12" ht="20.100000000000001" customHeight="1" x14ac:dyDescent="0.25">
      <c r="D52" s="10" t="str" cm="1">
        <f t="array" ref="D52">Common_InputFunctions.Utility_DisplayArrayInTable(Scope3_SourceData.Scope3_Livestock_Data(), Table_SourceData_Scope3_Animals[[#Headers],[Category]], 0, 2)</f>
        <v>Beef cattle</v>
      </c>
      <c r="E52" s="10" t="str" cm="1">
        <f t="array" ref="E52">Common_InputFunctions.Utility_DisplayArrayInTable(Scope3_SourceData.Scope3_Livestock_Data(), Table_SourceData_Scope3_Animals[[#Headers],[Category]], 0, 2)</f>
        <v>Cattle, weaners</v>
      </c>
      <c r="F52" s="10" t="str" cm="1">
        <f t="array" ref="F52">Common_InputFunctions.Utility_DisplayArrayInTable(Scope3_SourceData.Scope3_Livestock_Data(), Table_SourceData_Scope3_Animals[[#Headers],[Category]], 0, 2)</f>
        <v>NT</v>
      </c>
      <c r="G52" s="10" t="str" cm="1">
        <f t="array" ref="G52">Common_InputFunctions.Utility_DisplayArrayInTable(Scope3_SourceData.Scope3_Livestock_Data(), Table_SourceData_Scope3_Animals[[#Headers],[Category]], 0, 2)</f>
        <v>kg liveweight</v>
      </c>
      <c r="H52" s="10" cm="1">
        <f t="array" ref="H52">Common_InputFunctions.Utility_DisplayArrayInTable(Scope3_SourceData.Scope3_Livestock_Data(), Table_SourceData_Scope3_Animals[[#Headers],[Category]], 0, 2)</f>
        <v>19.100000000000001</v>
      </c>
      <c r="I52" s="10" t="str" cm="1">
        <f t="array" ref="I52">Common_InputFunctions.Utility_DisplayArrayInTable(Scope3_SourceData.Scope3_Livestock_Data(), Table_SourceData_Scope3_Animals[[#Headers],[Category]], 0, 2)</f>
        <v>at market</v>
      </c>
      <c r="K52" s="10" t="s">
        <v>307</v>
      </c>
    </row>
    <row r="53" spans="4:12" ht="20.100000000000001" customHeight="1" x14ac:dyDescent="0.25">
      <c r="D53" s="10" t="str" cm="1">
        <f t="array" ref="D53">Common_InputFunctions.Utility_DisplayArrayInTable(Scope3_SourceData.Scope3_Livestock_Data(), Table_SourceData_Scope3_Animals[[#Headers],[Category]], 0, 2)</f>
        <v>Beef cattle</v>
      </c>
      <c r="E53" s="10" t="str" cm="1">
        <f t="array" ref="E53">Common_InputFunctions.Utility_DisplayArrayInTable(Scope3_SourceData.Scope3_Livestock_Data(), Table_SourceData_Scope3_Animals[[#Headers],[Category]], 0, 2)</f>
        <v>Cattle, weaners</v>
      </c>
      <c r="F53" s="10" t="str" cm="1">
        <f t="array" ref="F53">Common_InputFunctions.Utility_DisplayArrayInTable(Scope3_SourceData.Scope3_Livestock_Data(), Table_SourceData_Scope3_Animals[[#Headers],[Category]], 0, 2)</f>
        <v>QLD</v>
      </c>
      <c r="G53" s="10" t="str" cm="1">
        <f t="array" ref="G53">Common_InputFunctions.Utility_DisplayArrayInTable(Scope3_SourceData.Scope3_Livestock_Data(), Table_SourceData_Scope3_Animals[[#Headers],[Category]], 0, 2)</f>
        <v>kg liveweight</v>
      </c>
      <c r="H53" s="10" cm="1">
        <f t="array" ref="H53">Common_InputFunctions.Utility_DisplayArrayInTable(Scope3_SourceData.Scope3_Livestock_Data(), Table_SourceData_Scope3_Animals[[#Headers],[Category]], 0, 2)</f>
        <v>20.5</v>
      </c>
      <c r="I53" s="10" t="str" cm="1">
        <f t="array" ref="I53">Common_InputFunctions.Utility_DisplayArrayInTable(Scope3_SourceData.Scope3_Livestock_Data(), Table_SourceData_Scope3_Animals[[#Headers],[Category]], 0, 2)</f>
        <v>at market</v>
      </c>
      <c r="K53" s="10" t="str">
        <f>Table_SourceData_PastureBeef_LiveweightAllStates[[#Headers],[Bulls &lt; 1 year]]</f>
        <v>Bulls &lt; 1 year</v>
      </c>
    </row>
    <row r="54" spans="4:12" ht="20.100000000000001" customHeight="1" x14ac:dyDescent="0.25">
      <c r="D54" s="10" t="str" cm="1">
        <f t="array" ref="D54">Common_InputFunctions.Utility_DisplayArrayInTable(Scope3_SourceData.Scope3_Livestock_Data(), Table_SourceData_Scope3_Animals[[#Headers],[Category]], 0, 2)</f>
        <v>Beef cattle</v>
      </c>
      <c r="E54" s="10" t="str" cm="1">
        <f t="array" ref="E54">Common_InputFunctions.Utility_DisplayArrayInTable(Scope3_SourceData.Scope3_Livestock_Data(), Table_SourceData_Scope3_Animals[[#Headers],[Category]], 0, 2)</f>
        <v>Cattle, weaners</v>
      </c>
      <c r="F54" s="10" t="str" cm="1">
        <f t="array" ref="F54">Common_InputFunctions.Utility_DisplayArrayInTable(Scope3_SourceData.Scope3_Livestock_Data(), Table_SourceData_Scope3_Animals[[#Headers],[Category]], 0, 2)</f>
        <v>SA</v>
      </c>
      <c r="G54" s="10" t="str" cm="1">
        <f t="array" ref="G54">Common_InputFunctions.Utility_DisplayArrayInTable(Scope3_SourceData.Scope3_Livestock_Data(), Table_SourceData_Scope3_Animals[[#Headers],[Category]], 0, 2)</f>
        <v>kg liveweight</v>
      </c>
      <c r="H54" s="10" cm="1">
        <f t="array" ref="H54">Common_InputFunctions.Utility_DisplayArrayInTable(Scope3_SourceData.Scope3_Livestock_Data(), Table_SourceData_Scope3_Animals[[#Headers],[Category]], 0, 2)</f>
        <v>10.8</v>
      </c>
      <c r="I54" s="10" t="str" cm="1">
        <f t="array" ref="I54">Common_InputFunctions.Utility_DisplayArrayInTable(Scope3_SourceData.Scope3_Livestock_Data(), Table_SourceData_Scope3_Animals[[#Headers],[Category]], 0, 2)</f>
        <v>at market</v>
      </c>
      <c r="K54" s="10" t="str">
        <f>Table_SourceData_PastureBeef_LiveweightAllStates[[#Headers],[Bulls &gt; 1 year]]</f>
        <v>Bulls &gt; 1 year</v>
      </c>
    </row>
    <row r="55" spans="4:12" ht="20.100000000000001" customHeight="1" x14ac:dyDescent="0.25">
      <c r="D55" s="10" t="str" cm="1">
        <f t="array" ref="D55">Common_InputFunctions.Utility_DisplayArrayInTable(Scope3_SourceData.Scope3_Livestock_Data(), Table_SourceData_Scope3_Animals[[#Headers],[Category]], 0, 2)</f>
        <v>Beef cattle</v>
      </c>
      <c r="E55" s="10" t="str" cm="1">
        <f t="array" ref="E55">Common_InputFunctions.Utility_DisplayArrayInTable(Scope3_SourceData.Scope3_Livestock_Data(), Table_SourceData_Scope3_Animals[[#Headers],[Category]], 0, 2)</f>
        <v>Cattle, weaners</v>
      </c>
      <c r="F55" s="10" t="str" cm="1">
        <f t="array" ref="F55">Common_InputFunctions.Utility_DisplayArrayInTable(Scope3_SourceData.Scope3_Livestock_Data(), Table_SourceData_Scope3_Animals[[#Headers],[Category]], 0, 2)</f>
        <v>TAS</v>
      </c>
      <c r="G55" s="10" t="str" cm="1">
        <f t="array" ref="G55">Common_InputFunctions.Utility_DisplayArrayInTable(Scope3_SourceData.Scope3_Livestock_Data(), Table_SourceData_Scope3_Animals[[#Headers],[Category]], 0, 2)</f>
        <v>kg liveweight</v>
      </c>
      <c r="H55" s="10" cm="1">
        <f t="array" ref="H55">Common_InputFunctions.Utility_DisplayArrayInTable(Scope3_SourceData.Scope3_Livestock_Data(), Table_SourceData_Scope3_Animals[[#Headers],[Category]], 0, 2)</f>
        <v>13.4</v>
      </c>
      <c r="I55" s="10" t="str" cm="1">
        <f t="array" ref="I55">Common_InputFunctions.Utility_DisplayArrayInTable(Scope3_SourceData.Scope3_Livestock_Data(), Table_SourceData_Scope3_Animals[[#Headers],[Category]], 0, 2)</f>
        <v>at market</v>
      </c>
      <c r="K55" s="10" t="str">
        <f>Table_SourceData_PastureBeef_LiveweightAllStates[[#Headers],[Cows &lt; 1 year]]</f>
        <v>Cows &lt; 1 year</v>
      </c>
    </row>
    <row r="56" spans="4:12" ht="20.100000000000001" customHeight="1" x14ac:dyDescent="0.25">
      <c r="D56" s="10" t="str" cm="1">
        <f t="array" ref="D56">Common_InputFunctions.Utility_DisplayArrayInTable(Scope3_SourceData.Scope3_Livestock_Data(), Table_SourceData_Scope3_Animals[[#Headers],[Category]], 0, 2)</f>
        <v>Beef cattle</v>
      </c>
      <c r="E56" s="10" t="str" cm="1">
        <f t="array" ref="E56">Common_InputFunctions.Utility_DisplayArrayInTable(Scope3_SourceData.Scope3_Livestock_Data(), Table_SourceData_Scope3_Animals[[#Headers],[Category]], 0, 2)</f>
        <v>Cattle, weaners</v>
      </c>
      <c r="F56" s="10" t="str" cm="1">
        <f t="array" ref="F56">Common_InputFunctions.Utility_DisplayArrayInTable(Scope3_SourceData.Scope3_Livestock_Data(), Table_SourceData_Scope3_Animals[[#Headers],[Category]], 0, 2)</f>
        <v>VIC</v>
      </c>
      <c r="G56" s="10" t="str" cm="1">
        <f t="array" ref="G56">Common_InputFunctions.Utility_DisplayArrayInTable(Scope3_SourceData.Scope3_Livestock_Data(), Table_SourceData_Scope3_Animals[[#Headers],[Category]], 0, 2)</f>
        <v>kg liveweight</v>
      </c>
      <c r="H56" s="10" cm="1">
        <f t="array" ref="H56">Common_InputFunctions.Utility_DisplayArrayInTable(Scope3_SourceData.Scope3_Livestock_Data(), Table_SourceData_Scope3_Animals[[#Headers],[Category]], 0, 2)</f>
        <v>12</v>
      </c>
      <c r="I56" s="10" t="str" cm="1">
        <f t="array" ref="I56">Common_InputFunctions.Utility_DisplayArrayInTable(Scope3_SourceData.Scope3_Livestock_Data(), Table_SourceData_Scope3_Animals[[#Headers],[Category]], 0, 2)</f>
        <v>at market</v>
      </c>
      <c r="K56" s="10" t="str">
        <f>Table_SourceData_PastureBeef_LiveweightAllStates[[#Headers],[Cows 1-2 years]]</f>
        <v>Cows 1-2 years</v>
      </c>
    </row>
    <row r="57" spans="4:12" ht="20.100000000000001" customHeight="1" x14ac:dyDescent="0.25">
      <c r="D57" s="10" t="str" cm="1">
        <f t="array" ref="D57">Common_InputFunctions.Utility_DisplayArrayInTable(Scope3_SourceData.Scope3_Livestock_Data(), Table_SourceData_Scope3_Animals[[#Headers],[Category]], 0, 2)</f>
        <v>Beef cattle</v>
      </c>
      <c r="E57" s="10" t="str" cm="1">
        <f t="array" ref="E57">Common_InputFunctions.Utility_DisplayArrayInTable(Scope3_SourceData.Scope3_Livestock_Data(), Table_SourceData_Scope3_Animals[[#Headers],[Category]], 0, 2)</f>
        <v>Cattle, weaners</v>
      </c>
      <c r="F57" s="10" t="str" cm="1">
        <f t="array" ref="F57">Common_InputFunctions.Utility_DisplayArrayInTable(Scope3_SourceData.Scope3_Livestock_Data(), Table_SourceData_Scope3_Animals[[#Headers],[Category]], 0, 2)</f>
        <v>WA</v>
      </c>
      <c r="G57" s="10" t="str" cm="1">
        <f t="array" ref="G57">Common_InputFunctions.Utility_DisplayArrayInTable(Scope3_SourceData.Scope3_Livestock_Data(), Table_SourceData_Scope3_Animals[[#Headers],[Category]], 0, 2)</f>
        <v>kg liveweight</v>
      </c>
      <c r="H57" s="10" cm="1">
        <f t="array" ref="H57">Common_InputFunctions.Utility_DisplayArrayInTable(Scope3_SourceData.Scope3_Livestock_Data(), Table_SourceData_Scope3_Animals[[#Headers],[Category]], 0, 2)</f>
        <v>12.4</v>
      </c>
      <c r="I57" s="10" t="str" cm="1">
        <f t="array" ref="I57">Common_InputFunctions.Utility_DisplayArrayInTable(Scope3_SourceData.Scope3_Livestock_Data(), Table_SourceData_Scope3_Animals[[#Headers],[Category]], 0, 2)</f>
        <v>at market</v>
      </c>
      <c r="K57" s="10" t="str">
        <f>Table_SourceData_PastureBeef_LiveweightAllStates[[#Headers],[Cows 2-3 years]]</f>
        <v>Cows 2-3 years</v>
      </c>
    </row>
    <row r="58" spans="4:12" ht="20.100000000000001" customHeight="1" x14ac:dyDescent="0.25">
      <c r="D58" s="10" t="str" cm="1">
        <f t="array" ref="D58">Common_InputFunctions.Utility_DisplayArrayInTable(Scope3_SourceData.Scope3_Livestock_Data(), Table_SourceData_Scope3_Animals[[#Headers],[Category]], 0, 2)</f>
        <v>Chickens</v>
      </c>
      <c r="E58" s="10" t="str" cm="1">
        <f t="array" ref="E58">Common_InputFunctions.Utility_DisplayArrayInTable(Scope3_SourceData.Scope3_Livestock_Data(), Table_SourceData_Scope3_Animals[[#Headers],[Category]], 0, 2)</f>
        <v>Chickens</v>
      </c>
      <c r="F58" s="10" t="str" cm="1">
        <f t="array" ref="F58">Common_InputFunctions.Utility_DisplayArrayInTable(Scope3_SourceData.Scope3_Livestock_Data(), Table_SourceData_Scope3_Animals[[#Headers],[Category]], 0, 2)</f>
        <v>Australia</v>
      </c>
      <c r="G58" s="10" t="str" cm="1">
        <f t="array" ref="G58">Common_InputFunctions.Utility_DisplayArrayInTable(Scope3_SourceData.Scope3_Livestock_Data(), Table_SourceData_Scope3_Animals[[#Headers],[Category]], 0, 2)</f>
        <v>kg liveweight</v>
      </c>
      <c r="H58" s="10" cm="1">
        <f t="array" ref="H58">Common_InputFunctions.Utility_DisplayArrayInTable(Scope3_SourceData.Scope3_Livestock_Data(), Table_SourceData_Scope3_Animals[[#Headers],[Category]], 0, 2)</f>
        <v>1.36</v>
      </c>
      <c r="I58" s="10" t="str" cm="1">
        <f t="array" ref="I58">Common_InputFunctions.Utility_DisplayArrayInTable(Scope3_SourceData.Scope3_Livestock_Data(), Table_SourceData_Scope3_Animals[[#Headers],[Category]], 0, 2)</f>
        <v>at market</v>
      </c>
      <c r="K58" s="10" t="str">
        <f>Table_SourceData_PastureBeef_LiveweightAllStates[[#Headers],[Cows &gt; 3 years]]</f>
        <v>Cows &gt; 3 years</v>
      </c>
    </row>
    <row r="59" spans="4:12" ht="20.100000000000001" customHeight="1" x14ac:dyDescent="0.25">
      <c r="D59" s="10" t="str" cm="1">
        <f t="array" ref="D59">Common_InputFunctions.Utility_DisplayArrayInTable(Scope3_SourceData.Scope3_Livestock_Data(), Table_SourceData_Scope3_Animals[[#Headers],[Category]], 0, 2)</f>
        <v>Dairy cattle</v>
      </c>
      <c r="E59" s="10" t="str" cm="1">
        <f t="array" ref="E59">Common_InputFunctions.Utility_DisplayArrayInTable(Scope3_SourceData.Scope3_Livestock_Data(), Table_SourceData_Scope3_Animals[[#Headers],[Category]], 0, 2)</f>
        <v>Dairy cows</v>
      </c>
      <c r="F59" s="10" t="str" cm="1">
        <f t="array" ref="F59">Common_InputFunctions.Utility_DisplayArrayInTable(Scope3_SourceData.Scope3_Livestock_Data(), Table_SourceData_Scope3_Animals[[#Headers],[Category]], 0, 2)</f>
        <v>VIC</v>
      </c>
      <c r="G59" s="10" t="str" cm="1">
        <f t="array" ref="G59">Common_InputFunctions.Utility_DisplayArrayInTable(Scope3_SourceData.Scope3_Livestock_Data(), Table_SourceData_Scope3_Animals[[#Headers],[Category]], 0, 2)</f>
        <v>kg liveweight</v>
      </c>
      <c r="H59" s="10" cm="1">
        <f t="array" ref="H59">Common_InputFunctions.Utility_DisplayArrayInTable(Scope3_SourceData.Scope3_Livestock_Data(), Table_SourceData_Scope3_Animals[[#Headers],[Category]], 0, 2)</f>
        <v>4.41</v>
      </c>
      <c r="I59" s="10" t="str" cm="1">
        <f t="array" ref="I59">Common_InputFunctions.Utility_DisplayArrayInTable(Scope3_SourceData.Scope3_Livestock_Data(), Table_SourceData_Scope3_Animals[[#Headers],[Category]], 0, 2)</f>
        <v>at market</v>
      </c>
      <c r="K59" s="10" t="str">
        <f>Table_SourceData_PastureBeef_LiveweightAllStates[[#Headers],[Steers &lt; 1 year]]</f>
        <v>Steers &lt; 1 year</v>
      </c>
    </row>
    <row r="60" spans="4:12" ht="20.100000000000001" customHeight="1" x14ac:dyDescent="0.25">
      <c r="D60" s="10" t="str" cm="1">
        <f t="array" ref="D60">Common_InputFunctions.Utility_DisplayArrayInTable(Scope3_SourceData.Scope3_Livestock_Data(), Table_SourceData_Scope3_Animals[[#Headers],[Category]], 0, 2)</f>
        <v>Pigs</v>
      </c>
      <c r="E60" s="10" t="str" cm="1">
        <f t="array" ref="E60">Common_InputFunctions.Utility_DisplayArrayInTable(Scope3_SourceData.Scope3_Livestock_Data(), Table_SourceData_Scope3_Animals[[#Headers],[Category]], 0, 2)</f>
        <v>Pigs</v>
      </c>
      <c r="F60" s="10" t="str" cm="1">
        <f t="array" ref="F60">Common_InputFunctions.Utility_DisplayArrayInTable(Scope3_SourceData.Scope3_Livestock_Data(), Table_SourceData_Scope3_Animals[[#Headers],[Category]], 0, 2)</f>
        <v>Australia</v>
      </c>
      <c r="G60" s="10" t="str" cm="1">
        <f t="array" ref="G60">Common_InputFunctions.Utility_DisplayArrayInTable(Scope3_SourceData.Scope3_Livestock_Data(), Table_SourceData_Scope3_Animals[[#Headers],[Category]], 0, 2)</f>
        <v>kg liveweight</v>
      </c>
      <c r="H60" s="10" cm="1">
        <f t="array" ref="H60">Common_InputFunctions.Utility_DisplayArrayInTable(Scope3_SourceData.Scope3_Livestock_Data(), Table_SourceData_Scope3_Animals[[#Headers],[Category]], 0, 2)</f>
        <v>3.38</v>
      </c>
      <c r="I60" s="10" t="str" cm="1">
        <f t="array" ref="I60">Common_InputFunctions.Utility_DisplayArrayInTable(Scope3_SourceData.Scope3_Livestock_Data(), Table_SourceData_Scope3_Animals[[#Headers],[Category]], 0, 2)</f>
        <v>at market</v>
      </c>
      <c r="K60" s="10" t="str">
        <f>Table_SourceData_PastureBeef_LiveweightAllStates[[#Headers],[Steers 1-2 years]]</f>
        <v>Steers 1-2 years</v>
      </c>
    </row>
    <row r="61" spans="4:12" ht="20.100000000000001" customHeight="1" x14ac:dyDescent="0.25">
      <c r="D61" s="10" t="str" cm="1">
        <f t="array" ref="D61">Common_InputFunctions.Utility_DisplayArrayInTable(Scope3_SourceData.Scope3_Livestock_Data(), Table_SourceData_Scope3_Animals[[#Headers],[Category]], 0, 2)</f>
        <v>Sheep</v>
      </c>
      <c r="E61" s="10" t="str" cm="1">
        <f t="array" ref="E61">Common_InputFunctions.Utility_DisplayArrayInTable(Scope3_SourceData.Scope3_Livestock_Data(), Table_SourceData_Scope3_Animals[[#Headers],[Category]], 0, 2)</f>
        <v>Sheep, for mutton</v>
      </c>
      <c r="F61" s="10" t="str" cm="1">
        <f t="array" ref="F61">Common_InputFunctions.Utility_DisplayArrayInTable(Scope3_SourceData.Scope3_Livestock_Data(), Table_SourceData_Scope3_Animals[[#Headers],[Category]], 0, 2)</f>
        <v>Australia</v>
      </c>
      <c r="G61" s="10" t="str" cm="1">
        <f t="array" ref="G61">Common_InputFunctions.Utility_DisplayArrayInTable(Scope3_SourceData.Scope3_Livestock_Data(), Table_SourceData_Scope3_Animals[[#Headers],[Category]], 0, 2)</f>
        <v>kg liveweight</v>
      </c>
      <c r="H61" s="10" cm="1">
        <f t="array" ref="H61">Common_InputFunctions.Utility_DisplayArrayInTable(Scope3_SourceData.Scope3_Livestock_Data(), Table_SourceData_Scope3_Animals[[#Headers],[Category]], 0, 2)</f>
        <v>6.81</v>
      </c>
      <c r="I61" s="10" t="str" cm="1">
        <f t="array" ref="I61">Common_InputFunctions.Utility_DisplayArrayInTable(Scope3_SourceData.Scope3_Livestock_Data(), Table_SourceData_Scope3_Animals[[#Headers],[Category]], 0, 2)</f>
        <v>at market</v>
      </c>
      <c r="K61" s="10" t="str">
        <f>Table_SourceData_PastureBeef_LiveweightAllStates[[#Headers],[Steers 2-3 years]]</f>
        <v>Steers 2-3 years</v>
      </c>
    </row>
    <row r="62" spans="4:12" ht="20.100000000000001" customHeight="1" x14ac:dyDescent="0.25">
      <c r="D62" s="10" t="str" cm="1">
        <f t="array" ref="D62">Common_InputFunctions.Utility_DisplayArrayInTable(Scope3_SourceData.Scope3_Livestock_Data(), Table_SourceData_Scope3_Animals[[#Headers],[Category]], 0, 2)</f>
        <v>Sheep</v>
      </c>
      <c r="E62" s="10" t="str" cm="1">
        <f t="array" ref="E62">Common_InputFunctions.Utility_DisplayArrayInTable(Scope3_SourceData.Scope3_Livestock_Data(), Table_SourceData_Scope3_Animals[[#Headers],[Category]], 0, 2)</f>
        <v>Sheep, for mutton</v>
      </c>
      <c r="F62" s="10" t="str" cm="1">
        <f t="array" ref="F62">Common_InputFunctions.Utility_DisplayArrayInTable(Scope3_SourceData.Scope3_Livestock_Data(), Table_SourceData_Scope3_Animals[[#Headers],[Category]], 0, 2)</f>
        <v>NSW</v>
      </c>
      <c r="G62" s="10" t="str" cm="1">
        <f t="array" ref="G62">Common_InputFunctions.Utility_DisplayArrayInTable(Scope3_SourceData.Scope3_Livestock_Data(), Table_SourceData_Scope3_Animals[[#Headers],[Category]], 0, 2)</f>
        <v>kg liveweight</v>
      </c>
      <c r="H62" s="10" cm="1">
        <f t="array" ref="H62">Common_InputFunctions.Utility_DisplayArrayInTable(Scope3_SourceData.Scope3_Livestock_Data(), Table_SourceData_Scope3_Animals[[#Headers],[Category]], 0, 2)</f>
        <v>2.2599999999999998</v>
      </c>
      <c r="I62" s="10" t="str" cm="1">
        <f t="array" ref="I62">Common_InputFunctions.Utility_DisplayArrayInTable(Scope3_SourceData.Scope3_Livestock_Data(), Table_SourceData_Scope3_Animals[[#Headers],[Category]], 0, 2)</f>
        <v>at market</v>
      </c>
      <c r="K62" s="10" t="str">
        <f>Table_SourceData_PastureBeef_LiveweightAllStates[[#Headers],[Steers &gt;3 years]]</f>
        <v>Steers &gt;3 years</v>
      </c>
    </row>
    <row r="63" spans="4:12" ht="20.100000000000001" customHeight="1" x14ac:dyDescent="0.25">
      <c r="D63" s="10" t="str" cm="1">
        <f t="array" ref="D63">Common_InputFunctions.Utility_DisplayArrayInTable(Scope3_SourceData.Scope3_Livestock_Data(), Table_SourceData_Scope3_Animals[[#Headers],[Category]], 0, 2)</f>
        <v>Sheep</v>
      </c>
      <c r="E63" s="10" t="str" cm="1">
        <f t="array" ref="E63">Common_InputFunctions.Utility_DisplayArrayInTable(Scope3_SourceData.Scope3_Livestock_Data(), Table_SourceData_Scope3_Animals[[#Headers],[Category]], 0, 2)</f>
        <v>Sheep, for mutton</v>
      </c>
      <c r="F63" s="10" t="str" cm="1">
        <f t="array" ref="F63">Common_InputFunctions.Utility_DisplayArrayInTable(Scope3_SourceData.Scope3_Livestock_Data(), Table_SourceData_Scope3_Animals[[#Headers],[Category]], 0, 2)</f>
        <v>QLD</v>
      </c>
      <c r="G63" s="10" t="str" cm="1">
        <f t="array" ref="G63">Common_InputFunctions.Utility_DisplayArrayInTable(Scope3_SourceData.Scope3_Livestock_Data(), Table_SourceData_Scope3_Animals[[#Headers],[Category]], 0, 2)</f>
        <v>kg liveweight</v>
      </c>
      <c r="H63" s="10" cm="1">
        <f t="array" ref="H63">Common_InputFunctions.Utility_DisplayArrayInTable(Scope3_SourceData.Scope3_Livestock_Data(), Table_SourceData_Scope3_Animals[[#Headers],[Category]], 0, 2)</f>
        <v>6.33</v>
      </c>
      <c r="I63" s="10" t="str" cm="1">
        <f t="array" ref="I63">Common_InputFunctions.Utility_DisplayArrayInTable(Scope3_SourceData.Scope3_Livestock_Data(), Table_SourceData_Scope3_Animals[[#Headers],[Category]], 0, 2)</f>
        <v>at market</v>
      </c>
    </row>
    <row r="64" spans="4:12" ht="20.100000000000001" customHeight="1" x14ac:dyDescent="0.25">
      <c r="D64" s="10" t="str" cm="1">
        <f t="array" ref="D64">Common_InputFunctions.Utility_DisplayArrayInTable(Scope3_SourceData.Scope3_Livestock_Data(), Table_SourceData_Scope3_Animals[[#Headers],[Category]], 0, 2)</f>
        <v>Sheep</v>
      </c>
      <c r="E64" s="10" t="str" cm="1">
        <f t="array" ref="E64">Common_InputFunctions.Utility_DisplayArrayInTable(Scope3_SourceData.Scope3_Livestock_Data(), Table_SourceData_Scope3_Animals[[#Headers],[Category]], 0, 2)</f>
        <v>Sheep, for mutton</v>
      </c>
      <c r="F64" s="10" t="str" cm="1">
        <f t="array" ref="F64">Common_InputFunctions.Utility_DisplayArrayInTable(Scope3_SourceData.Scope3_Livestock_Data(), Table_SourceData_Scope3_Animals[[#Headers],[Category]], 0, 2)</f>
        <v>SA</v>
      </c>
      <c r="G64" s="10" t="str" cm="1">
        <f t="array" ref="G64">Common_InputFunctions.Utility_DisplayArrayInTable(Scope3_SourceData.Scope3_Livestock_Data(), Table_SourceData_Scope3_Animals[[#Headers],[Category]], 0, 2)</f>
        <v>kg liveweight</v>
      </c>
      <c r="H64" s="10" cm="1">
        <f t="array" ref="H64">Common_InputFunctions.Utility_DisplayArrayInTable(Scope3_SourceData.Scope3_Livestock_Data(), Table_SourceData_Scope3_Animals[[#Headers],[Category]], 0, 2)</f>
        <v>6.18</v>
      </c>
      <c r="I64" s="10" t="str" cm="1">
        <f t="array" ref="I64">Common_InputFunctions.Utility_DisplayArrayInTable(Scope3_SourceData.Scope3_Livestock_Data(), Table_SourceData_Scope3_Animals[[#Headers],[Category]], 0, 2)</f>
        <v>at market</v>
      </c>
    </row>
    <row r="65" spans="4:9" ht="20.100000000000001" customHeight="1" x14ac:dyDescent="0.25">
      <c r="D65" s="10" t="str" cm="1">
        <f t="array" ref="D65">Common_InputFunctions.Utility_DisplayArrayInTable(Scope3_SourceData.Scope3_Livestock_Data(), Table_SourceData_Scope3_Animals[[#Headers],[Category]], 0, 2)</f>
        <v>Sheep</v>
      </c>
      <c r="E65" s="10" t="str" cm="1">
        <f t="array" ref="E65">Common_InputFunctions.Utility_DisplayArrayInTable(Scope3_SourceData.Scope3_Livestock_Data(), Table_SourceData_Scope3_Animals[[#Headers],[Category]], 0, 2)</f>
        <v>Sheep, for mutton</v>
      </c>
      <c r="F65" s="10" t="str" cm="1">
        <f t="array" ref="F65">Common_InputFunctions.Utility_DisplayArrayInTable(Scope3_SourceData.Scope3_Livestock_Data(), Table_SourceData_Scope3_Animals[[#Headers],[Category]], 0, 2)</f>
        <v>TAS</v>
      </c>
      <c r="G65" s="10" t="str" cm="1">
        <f t="array" ref="G65">Common_InputFunctions.Utility_DisplayArrayInTable(Scope3_SourceData.Scope3_Livestock_Data(), Table_SourceData_Scope3_Animals[[#Headers],[Category]], 0, 2)</f>
        <v>kg liveweight</v>
      </c>
      <c r="H65" s="10" cm="1">
        <f t="array" ref="H65">Common_InputFunctions.Utility_DisplayArrayInTable(Scope3_SourceData.Scope3_Livestock_Data(), Table_SourceData_Scope3_Animals[[#Headers],[Category]], 0, 2)</f>
        <v>7.5</v>
      </c>
      <c r="I65" s="10" t="str" cm="1">
        <f t="array" ref="I65">Common_InputFunctions.Utility_DisplayArrayInTable(Scope3_SourceData.Scope3_Livestock_Data(), Table_SourceData_Scope3_Animals[[#Headers],[Category]], 0, 2)</f>
        <v>at market</v>
      </c>
    </row>
    <row r="66" spans="4:9" ht="20.100000000000001" customHeight="1" x14ac:dyDescent="0.25">
      <c r="D66" s="10" t="str" cm="1">
        <f t="array" ref="D66">Common_InputFunctions.Utility_DisplayArrayInTable(Scope3_SourceData.Scope3_Livestock_Data(), Table_SourceData_Scope3_Animals[[#Headers],[Category]], 0, 2)</f>
        <v>Sheep</v>
      </c>
      <c r="E66" s="10" t="str" cm="1">
        <f t="array" ref="E66">Common_InputFunctions.Utility_DisplayArrayInTable(Scope3_SourceData.Scope3_Livestock_Data(), Table_SourceData_Scope3_Animals[[#Headers],[Category]], 0, 2)</f>
        <v>Sheep, for mutton</v>
      </c>
      <c r="F66" s="10" t="str" cm="1">
        <f t="array" ref="F66">Common_InputFunctions.Utility_DisplayArrayInTable(Scope3_SourceData.Scope3_Livestock_Data(), Table_SourceData_Scope3_Animals[[#Headers],[Category]], 0, 2)</f>
        <v>VIC</v>
      </c>
      <c r="G66" s="10" t="str" cm="1">
        <f t="array" ref="G66">Common_InputFunctions.Utility_DisplayArrayInTable(Scope3_SourceData.Scope3_Livestock_Data(), Table_SourceData_Scope3_Animals[[#Headers],[Category]], 0, 2)</f>
        <v>kg liveweight</v>
      </c>
      <c r="H66" s="10" cm="1">
        <f t="array" ref="H66">Common_InputFunctions.Utility_DisplayArrayInTable(Scope3_SourceData.Scope3_Livestock_Data(), Table_SourceData_Scope3_Animals[[#Headers],[Category]], 0, 2)</f>
        <v>8.08</v>
      </c>
      <c r="I66" s="10" t="str" cm="1">
        <f t="array" ref="I66">Common_InputFunctions.Utility_DisplayArrayInTable(Scope3_SourceData.Scope3_Livestock_Data(), Table_SourceData_Scope3_Animals[[#Headers],[Category]], 0, 2)</f>
        <v>at market</v>
      </c>
    </row>
    <row r="67" spans="4:9" ht="20.100000000000001" customHeight="1" x14ac:dyDescent="0.25">
      <c r="D67" s="10" t="str" cm="1">
        <f t="array" ref="D67">Common_InputFunctions.Utility_DisplayArrayInTable(Scope3_SourceData.Scope3_Livestock_Data(), Table_SourceData_Scope3_Animals[[#Headers],[Category]], 0, 2)</f>
        <v>Sheep</v>
      </c>
      <c r="E67" s="10" t="str" cm="1">
        <f t="array" ref="E67">Common_InputFunctions.Utility_DisplayArrayInTable(Scope3_SourceData.Scope3_Livestock_Data(), Table_SourceData_Scope3_Animals[[#Headers],[Category]], 0, 2)</f>
        <v>Sheep, for mutton</v>
      </c>
      <c r="F67" s="10" t="str" cm="1">
        <f t="array" ref="F67">Common_InputFunctions.Utility_DisplayArrayInTable(Scope3_SourceData.Scope3_Livestock_Data(), Table_SourceData_Scope3_Animals[[#Headers],[Category]], 0, 2)</f>
        <v>WA</v>
      </c>
      <c r="G67" s="10" t="str" cm="1">
        <f t="array" ref="G67">Common_InputFunctions.Utility_DisplayArrayInTable(Scope3_SourceData.Scope3_Livestock_Data(), Table_SourceData_Scope3_Animals[[#Headers],[Category]], 0, 2)</f>
        <v>kg liveweight</v>
      </c>
      <c r="H67" s="10" cm="1">
        <f t="array" ref="H67">Common_InputFunctions.Utility_DisplayArrayInTable(Scope3_SourceData.Scope3_Livestock_Data(), Table_SourceData_Scope3_Animals[[#Headers],[Category]], 0, 2)</f>
        <v>5.45</v>
      </c>
      <c r="I67" s="10" t="str" cm="1">
        <f t="array" ref="I67">Common_InputFunctions.Utility_DisplayArrayInTable(Scope3_SourceData.Scope3_Livestock_Data(), Table_SourceData_Scope3_Animals[[#Headers],[Category]], 0, 2)</f>
        <v>at market</v>
      </c>
    </row>
    <row r="68" spans="4:9" ht="20.100000000000001" customHeight="1" x14ac:dyDescent="0.25">
      <c r="D68" s="10" t="str" cm="1">
        <f t="array" ref="D68">Common_InputFunctions.Utility_DisplayArrayInTable(Scope3_SourceData.Scope3_Livestock_Data(), Table_SourceData_Scope3_Animals[[#Headers],[Category]], 0, 2)</f>
        <v>Sheep</v>
      </c>
      <c r="E68" s="10" t="str" cm="1">
        <f t="array" ref="E68">Common_InputFunctions.Utility_DisplayArrayInTable(Scope3_SourceData.Scope3_Livestock_Data(), Table_SourceData_Scope3_Animals[[#Headers],[Category]], 0, 2)</f>
        <v>Sheep, for prime lamb</v>
      </c>
      <c r="F68" s="10" t="str" cm="1">
        <f t="array" ref="F68">Common_InputFunctions.Utility_DisplayArrayInTable(Scope3_SourceData.Scope3_Livestock_Data(), Table_SourceData_Scope3_Animals[[#Headers],[Category]], 0, 2)</f>
        <v>Australia</v>
      </c>
      <c r="G68" s="10" t="str" cm="1">
        <f t="array" ref="G68">Common_InputFunctions.Utility_DisplayArrayInTable(Scope3_SourceData.Scope3_Livestock_Data(), Table_SourceData_Scope3_Animals[[#Headers],[Category]], 0, 2)</f>
        <v>kg liveweight</v>
      </c>
      <c r="H68" s="10" cm="1">
        <f t="array" ref="H68">Common_InputFunctions.Utility_DisplayArrayInTable(Scope3_SourceData.Scope3_Livestock_Data(), Table_SourceData_Scope3_Animals[[#Headers],[Category]], 0, 2)</f>
        <v>7.15</v>
      </c>
      <c r="I68" s="10" t="str" cm="1">
        <f t="array" ref="I68">Common_InputFunctions.Utility_DisplayArrayInTable(Scope3_SourceData.Scope3_Livestock_Data(), Table_SourceData_Scope3_Animals[[#Headers],[Category]], 0, 2)</f>
        <v>at market</v>
      </c>
    </row>
    <row r="69" spans="4:9" ht="20.100000000000001" customHeight="1" x14ac:dyDescent="0.25">
      <c r="D69" s="10" t="str" cm="1">
        <f t="array" ref="D69">Common_InputFunctions.Utility_DisplayArrayInTable(Scope3_SourceData.Scope3_Livestock_Data(), Table_SourceData_Scope3_Animals[[#Headers],[Category]], 0, 2)</f>
        <v>Sheep</v>
      </c>
      <c r="E69" s="10" t="str" cm="1">
        <f t="array" ref="E69">Common_InputFunctions.Utility_DisplayArrayInTable(Scope3_SourceData.Scope3_Livestock_Data(), Table_SourceData_Scope3_Animals[[#Headers],[Category]], 0, 2)</f>
        <v>Sheep, for prime lamb</v>
      </c>
      <c r="F69" s="10" t="str" cm="1">
        <f t="array" ref="F69">Common_InputFunctions.Utility_DisplayArrayInTable(Scope3_SourceData.Scope3_Livestock_Data(), Table_SourceData_Scope3_Animals[[#Headers],[Category]], 0, 2)</f>
        <v>NSW</v>
      </c>
      <c r="G69" s="10" t="str" cm="1">
        <f t="array" ref="G69">Common_InputFunctions.Utility_DisplayArrayInTable(Scope3_SourceData.Scope3_Livestock_Data(), Table_SourceData_Scope3_Animals[[#Headers],[Category]], 0, 2)</f>
        <v>kg liveweight</v>
      </c>
      <c r="H69" s="10" cm="1">
        <f t="array" ref="H69">Common_InputFunctions.Utility_DisplayArrayInTable(Scope3_SourceData.Scope3_Livestock_Data(), Table_SourceData_Scope3_Animals[[#Headers],[Category]], 0, 2)</f>
        <v>8.2899999999999991</v>
      </c>
      <c r="I69" s="10" t="str" cm="1">
        <f t="array" ref="I69">Common_InputFunctions.Utility_DisplayArrayInTable(Scope3_SourceData.Scope3_Livestock_Data(), Table_SourceData_Scope3_Animals[[#Headers],[Category]], 0, 2)</f>
        <v>at market</v>
      </c>
    </row>
    <row r="70" spans="4:9" ht="20.100000000000001" customHeight="1" x14ac:dyDescent="0.25">
      <c r="D70" s="10" t="str" cm="1">
        <f t="array" ref="D70">Common_InputFunctions.Utility_DisplayArrayInTable(Scope3_SourceData.Scope3_Livestock_Data(), Table_SourceData_Scope3_Animals[[#Headers],[Category]], 0, 2)</f>
        <v>Sheep</v>
      </c>
      <c r="E70" s="10" t="str" cm="1">
        <f t="array" ref="E70">Common_InputFunctions.Utility_DisplayArrayInTable(Scope3_SourceData.Scope3_Livestock_Data(), Table_SourceData_Scope3_Animals[[#Headers],[Category]], 0, 2)</f>
        <v>Sheep, for prime lamb</v>
      </c>
      <c r="F70" s="10" t="str" cm="1">
        <f t="array" ref="F70">Common_InputFunctions.Utility_DisplayArrayInTable(Scope3_SourceData.Scope3_Livestock_Data(), Table_SourceData_Scope3_Animals[[#Headers],[Category]], 0, 2)</f>
        <v>QLD</v>
      </c>
      <c r="G70" s="10" t="str" cm="1">
        <f t="array" ref="G70">Common_InputFunctions.Utility_DisplayArrayInTable(Scope3_SourceData.Scope3_Livestock_Data(), Table_SourceData_Scope3_Animals[[#Headers],[Category]], 0, 2)</f>
        <v>kg liveweight</v>
      </c>
      <c r="H70" s="10" cm="1">
        <f t="array" ref="H70">Common_InputFunctions.Utility_DisplayArrayInTable(Scope3_SourceData.Scope3_Livestock_Data(), Table_SourceData_Scope3_Animals[[#Headers],[Category]], 0, 2)</f>
        <v>6.39</v>
      </c>
      <c r="I70" s="10" t="str" cm="1">
        <f t="array" ref="I70">Common_InputFunctions.Utility_DisplayArrayInTable(Scope3_SourceData.Scope3_Livestock_Data(), Table_SourceData_Scope3_Animals[[#Headers],[Category]], 0, 2)</f>
        <v>at market</v>
      </c>
    </row>
    <row r="71" spans="4:9" ht="20.100000000000001" customHeight="1" x14ac:dyDescent="0.25">
      <c r="D71" s="10" t="str" cm="1">
        <f t="array" ref="D71">Common_InputFunctions.Utility_DisplayArrayInTable(Scope3_SourceData.Scope3_Livestock_Data(), Table_SourceData_Scope3_Animals[[#Headers],[Category]], 0, 2)</f>
        <v>Sheep</v>
      </c>
      <c r="E71" s="10" t="str" cm="1">
        <f t="array" ref="E71">Common_InputFunctions.Utility_DisplayArrayInTable(Scope3_SourceData.Scope3_Livestock_Data(), Table_SourceData_Scope3_Animals[[#Headers],[Category]], 0, 2)</f>
        <v>Sheep, for prime lamb</v>
      </c>
      <c r="F71" s="10" t="str" cm="1">
        <f t="array" ref="F71">Common_InputFunctions.Utility_DisplayArrayInTable(Scope3_SourceData.Scope3_Livestock_Data(), Table_SourceData_Scope3_Animals[[#Headers],[Category]], 0, 2)</f>
        <v>SA</v>
      </c>
      <c r="G71" s="10" t="str" cm="1">
        <f t="array" ref="G71">Common_InputFunctions.Utility_DisplayArrayInTable(Scope3_SourceData.Scope3_Livestock_Data(), Table_SourceData_Scope3_Animals[[#Headers],[Category]], 0, 2)</f>
        <v>kg liveweight</v>
      </c>
      <c r="H71" s="10" cm="1">
        <f t="array" ref="H71">Common_InputFunctions.Utility_DisplayArrayInTable(Scope3_SourceData.Scope3_Livestock_Data(), Table_SourceData_Scope3_Animals[[#Headers],[Category]], 0, 2)</f>
        <v>6.87</v>
      </c>
      <c r="I71" s="10" t="str" cm="1">
        <f t="array" ref="I71">Common_InputFunctions.Utility_DisplayArrayInTable(Scope3_SourceData.Scope3_Livestock_Data(), Table_SourceData_Scope3_Animals[[#Headers],[Category]], 0, 2)</f>
        <v>at market</v>
      </c>
    </row>
    <row r="72" spans="4:9" ht="20.100000000000001" customHeight="1" x14ac:dyDescent="0.25">
      <c r="D72" s="10" t="str" cm="1">
        <f t="array" ref="D72">Common_InputFunctions.Utility_DisplayArrayInTable(Scope3_SourceData.Scope3_Livestock_Data(), Table_SourceData_Scope3_Animals[[#Headers],[Category]], 0, 2)</f>
        <v>Sheep</v>
      </c>
      <c r="E72" s="10" t="str" cm="1">
        <f t="array" ref="E72">Common_InputFunctions.Utility_DisplayArrayInTable(Scope3_SourceData.Scope3_Livestock_Data(), Table_SourceData_Scope3_Animals[[#Headers],[Category]], 0, 2)</f>
        <v>Sheep, for prime lamb</v>
      </c>
      <c r="F72" s="10" t="str" cm="1">
        <f t="array" ref="F72">Common_InputFunctions.Utility_DisplayArrayInTable(Scope3_SourceData.Scope3_Livestock_Data(), Table_SourceData_Scope3_Animals[[#Headers],[Category]], 0, 2)</f>
        <v>TAS</v>
      </c>
      <c r="G72" s="10" t="str" cm="1">
        <f t="array" ref="G72">Common_InputFunctions.Utility_DisplayArrayInTable(Scope3_SourceData.Scope3_Livestock_Data(), Table_SourceData_Scope3_Animals[[#Headers],[Category]], 0, 2)</f>
        <v>kg liveweight</v>
      </c>
      <c r="H72" s="10" cm="1">
        <f t="array" ref="H72">Common_InputFunctions.Utility_DisplayArrayInTable(Scope3_SourceData.Scope3_Livestock_Data(), Table_SourceData_Scope3_Animals[[#Headers],[Category]], 0, 2)</f>
        <v>8.66</v>
      </c>
      <c r="I72" s="10" t="str" cm="1">
        <f t="array" ref="I72">Common_InputFunctions.Utility_DisplayArrayInTable(Scope3_SourceData.Scope3_Livestock_Data(), Table_SourceData_Scope3_Animals[[#Headers],[Category]], 0, 2)</f>
        <v>at market</v>
      </c>
    </row>
    <row r="73" spans="4:9" ht="20.100000000000001" customHeight="1" x14ac:dyDescent="0.25">
      <c r="D73" s="10" t="str" cm="1">
        <f t="array" ref="D73">Common_InputFunctions.Utility_DisplayArrayInTable(Scope3_SourceData.Scope3_Livestock_Data(), Table_SourceData_Scope3_Animals[[#Headers],[Category]], 0, 2)</f>
        <v>Sheep</v>
      </c>
      <c r="E73" s="10" t="str" cm="1">
        <f t="array" ref="E73">Common_InputFunctions.Utility_DisplayArrayInTable(Scope3_SourceData.Scope3_Livestock_Data(), Table_SourceData_Scope3_Animals[[#Headers],[Category]], 0, 2)</f>
        <v>Sheep, for prime lamb</v>
      </c>
      <c r="F73" s="10" t="str" cm="1">
        <f t="array" ref="F73">Common_InputFunctions.Utility_DisplayArrayInTable(Scope3_SourceData.Scope3_Livestock_Data(), Table_SourceData_Scope3_Animals[[#Headers],[Category]], 0, 2)</f>
        <v>VIC</v>
      </c>
      <c r="G73" s="10" t="str" cm="1">
        <f t="array" ref="G73">Common_InputFunctions.Utility_DisplayArrayInTable(Scope3_SourceData.Scope3_Livestock_Data(), Table_SourceData_Scope3_Animals[[#Headers],[Category]], 0, 2)</f>
        <v>kg liveweight</v>
      </c>
      <c r="H73" s="10" cm="1">
        <f t="array" ref="H73">Common_InputFunctions.Utility_DisplayArrayInTable(Scope3_SourceData.Scope3_Livestock_Data(), Table_SourceData_Scope3_Animals[[#Headers],[Category]], 0, 2)</f>
        <v>10</v>
      </c>
      <c r="I73" s="10" t="str" cm="1">
        <f t="array" ref="I73">Common_InputFunctions.Utility_DisplayArrayInTable(Scope3_SourceData.Scope3_Livestock_Data(), Table_SourceData_Scope3_Animals[[#Headers],[Category]], 0, 2)</f>
        <v>at market</v>
      </c>
    </row>
    <row r="74" spans="4:9" ht="20.100000000000001" customHeight="1" x14ac:dyDescent="0.25">
      <c r="D74" s="10" t="str" cm="1">
        <f t="array" ref="D74">Common_InputFunctions.Utility_DisplayArrayInTable(Scope3_SourceData.Scope3_Livestock_Data(), Table_SourceData_Scope3_Animals[[#Headers],[Category]], 0, 2)</f>
        <v>Sheep</v>
      </c>
      <c r="E74" s="10" t="str" cm="1">
        <f t="array" ref="E74">Common_InputFunctions.Utility_DisplayArrayInTable(Scope3_SourceData.Scope3_Livestock_Data(), Table_SourceData_Scope3_Animals[[#Headers],[Category]], 0, 2)</f>
        <v>Sheep, for prime lamb</v>
      </c>
      <c r="F74" s="10" t="str" cm="1">
        <f t="array" ref="F74">Common_InputFunctions.Utility_DisplayArrayInTable(Scope3_SourceData.Scope3_Livestock_Data(), Table_SourceData_Scope3_Animals[[#Headers],[Category]], 0, 2)</f>
        <v>WA</v>
      </c>
      <c r="G74" s="10" t="str" cm="1">
        <f t="array" ref="G74">Common_InputFunctions.Utility_DisplayArrayInTable(Scope3_SourceData.Scope3_Livestock_Data(), Table_SourceData_Scope3_Animals[[#Headers],[Category]], 0, 2)</f>
        <v>kg liveweight</v>
      </c>
      <c r="H74" s="10" cm="1">
        <f t="array" ref="H74">Common_InputFunctions.Utility_DisplayArrayInTable(Scope3_SourceData.Scope3_Livestock_Data(), Table_SourceData_Scope3_Animals[[#Headers],[Category]], 0, 2)</f>
        <v>5.67</v>
      </c>
      <c r="I74" s="10" t="str" cm="1">
        <f t="array" ref="I74">Common_InputFunctions.Utility_DisplayArrayInTable(Scope3_SourceData.Scope3_Livestock_Data(), Table_SourceData_Scope3_Animals[[#Headers],[Category]], 0, 2)</f>
        <v>at market</v>
      </c>
    </row>
    <row r="75" spans="4:9" ht="20.100000000000001" customHeight="1" x14ac:dyDescent="0.25"/>
    <row r="76" spans="4:9" ht="20.100000000000001" customHeight="1" x14ac:dyDescent="0.25">
      <c r="D76" s="9" t="s">
        <v>391</v>
      </c>
    </row>
    <row r="77" spans="4:9" ht="20.100000000000001" customHeight="1" x14ac:dyDescent="0.25">
      <c r="D77" s="10" t="s">
        <v>343</v>
      </c>
      <c r="E77" s="10" t="s">
        <v>219</v>
      </c>
      <c r="F77" s="10" t="s">
        <v>344</v>
      </c>
      <c r="G77" s="10" t="s">
        <v>300</v>
      </c>
      <c r="H77" s="10" t="s">
        <v>301</v>
      </c>
      <c r="I77" s="10" t="s">
        <v>389</v>
      </c>
    </row>
    <row r="78" spans="4:9" ht="20.100000000000001" customHeight="1" x14ac:dyDescent="0.25">
      <c r="D78" s="10" t="str" cm="1">
        <f t="array" ref="D78">Common_InputFunctions.Utility_DisplayArrayInTable(Scope3_SourceData.Scope3_Chemicals_Data(), Table_SourceData_Scope3_ChemicalsCleaning[[#Headers],[Category]], 0, 2)</f>
        <v>Cleaning chemicals</v>
      </c>
      <c r="E78" s="10" t="str" cm="1">
        <f t="array" ref="E78">Common_InputFunctions.Utility_DisplayArrayInTable(Scope3_SourceData.Scope3_Chemicals_Data(), Table_SourceData_Scope3_ChemicalsCleaning[[#Headers],[Category]], 0, 2)</f>
        <v>Alkaline cleaner</v>
      </c>
      <c r="F78" s="10" t="str" cm="1">
        <f t="array" ref="F78">Common_InputFunctions.Utility_DisplayArrayInTable(Scope3_SourceData.Scope3_Chemicals_Data(), Table_SourceData_Scope3_ChemicalsCleaning[[#Headers],[Category]], 0, 2)</f>
        <v>Global</v>
      </c>
      <c r="G78" s="10" t="str" cm="1">
        <f t="array" ref="G78">Common_InputFunctions.Utility_DisplayArrayInTable(Scope3_SourceData.Scope3_Chemicals_Data(), Table_SourceData_Scope3_ChemicalsCleaning[[#Headers],[Category]], 0, 2)</f>
        <v>kg</v>
      </c>
      <c r="H78" s="10" cm="1">
        <f t="array" ref="H78">Common_InputFunctions.Utility_DisplayArrayInTable(Scope3_SourceData.Scope3_Chemicals_Data(), Table_SourceData_Scope3_ChemicalsCleaning[[#Headers],[Category]], 0, 2)</f>
        <v>0.72199999999999998</v>
      </c>
      <c r="I78" s="10" t="str" cm="1">
        <f t="array" ref="I78">Common_InputFunctions.Utility_DisplayArrayInTable(Scope3_SourceData.Scope3_Chemicals_Data(), Table_SourceData_Scope3_ChemicalsCleaning[[#Headers],[Category]], 0, 2)</f>
        <v>at manufacturer</v>
      </c>
    </row>
    <row r="79" spans="4:9" ht="20.100000000000001" customHeight="1" x14ac:dyDescent="0.25">
      <c r="D79" s="10" t="str" cm="1">
        <f t="array" ref="D79">Common_InputFunctions.Utility_DisplayArrayInTable(Scope3_SourceData.Scope3_Chemicals_Data(), Table_SourceData_Scope3_ChemicalsCleaning[[#Headers],[Category]], 0, 2)</f>
        <v>Cleaning chemicals</v>
      </c>
      <c r="E79" s="10" t="str" cm="1">
        <f t="array" ref="E79">Common_InputFunctions.Utility_DisplayArrayInTable(Scope3_SourceData.Scope3_Chemicals_Data(), Table_SourceData_Scope3_ChemicalsCleaning[[#Headers],[Category]], 0, 2)</f>
        <v>Bleach</v>
      </c>
      <c r="F79" s="10" t="str" cm="1">
        <f t="array" ref="F79">Common_InputFunctions.Utility_DisplayArrayInTable(Scope3_SourceData.Scope3_Chemicals_Data(), Table_SourceData_Scope3_ChemicalsCleaning[[#Headers],[Category]], 0, 2)</f>
        <v>Global</v>
      </c>
      <c r="G79" s="10" t="str" cm="1">
        <f t="array" ref="G79">Common_InputFunctions.Utility_DisplayArrayInTable(Scope3_SourceData.Scope3_Chemicals_Data(), Table_SourceData_Scope3_ChemicalsCleaning[[#Headers],[Category]], 0, 2)</f>
        <v>kg</v>
      </c>
      <c r="H79" s="10" cm="1">
        <f t="array" ref="H79">Common_InputFunctions.Utility_DisplayArrayInTable(Scope3_SourceData.Scope3_Chemicals_Data(), Table_SourceData_Scope3_ChemicalsCleaning[[#Headers],[Category]], 0, 2)</f>
        <v>0.80400000000000005</v>
      </c>
      <c r="I79" s="10" t="str" cm="1">
        <f t="array" ref="I79">Common_InputFunctions.Utility_DisplayArrayInTable(Scope3_SourceData.Scope3_Chemicals_Data(), Table_SourceData_Scope3_ChemicalsCleaning[[#Headers],[Category]], 0, 2)</f>
        <v>at manufacturer</v>
      </c>
    </row>
    <row r="80" spans="4:9" ht="20.100000000000001" customHeight="1" x14ac:dyDescent="0.25">
      <c r="D80" s="10" t="str" cm="1">
        <f t="array" ref="D80">Common_InputFunctions.Utility_DisplayArrayInTable(Scope3_SourceData.Scope3_Chemicals_Data(), Table_SourceData_Scope3_ChemicalsCleaning[[#Headers],[Category]], 0, 2)</f>
        <v>Cleaning chemicals</v>
      </c>
      <c r="E80" s="10" t="str" cm="1">
        <f t="array" ref="E80">Common_InputFunctions.Utility_DisplayArrayInTable(Scope3_SourceData.Scope3_Chemicals_Data(), Table_SourceData_Scope3_ChemicalsCleaning[[#Headers],[Category]], 0, 2)</f>
        <v>Phosphoric acid</v>
      </c>
      <c r="F80" s="10" t="str" cm="1">
        <f t="array" ref="F80">Common_InputFunctions.Utility_DisplayArrayInTable(Scope3_SourceData.Scope3_Chemicals_Data(), Table_SourceData_Scope3_ChemicalsCleaning[[#Headers],[Category]], 0, 2)</f>
        <v>Global</v>
      </c>
      <c r="G80" s="10" t="str" cm="1">
        <f t="array" ref="G80">Common_InputFunctions.Utility_DisplayArrayInTable(Scope3_SourceData.Scope3_Chemicals_Data(), Table_SourceData_Scope3_ChemicalsCleaning[[#Headers],[Category]], 0, 2)</f>
        <v>kg</v>
      </c>
      <c r="H80" s="10" cm="1">
        <f t="array" ref="H80">Common_InputFunctions.Utility_DisplayArrayInTable(Scope3_SourceData.Scope3_Chemicals_Data(), Table_SourceData_Scope3_ChemicalsCleaning[[#Headers],[Category]], 0, 2)</f>
        <v>0.90700000000000003</v>
      </c>
      <c r="I80" s="10" t="str" cm="1">
        <f t="array" ref="I80">Common_InputFunctions.Utility_DisplayArrayInTable(Scope3_SourceData.Scope3_Chemicals_Data(), Table_SourceData_Scope3_ChemicalsCleaning[[#Headers],[Category]], 0, 2)</f>
        <v>at manufacturer</v>
      </c>
    </row>
    <row r="81" spans="4:16" ht="20.100000000000001" customHeight="1" x14ac:dyDescent="0.25"/>
    <row r="82" spans="4:16" ht="20.100000000000001" customHeight="1" x14ac:dyDescent="0.25">
      <c r="D82" s="10" t="s">
        <v>343</v>
      </c>
      <c r="E82" s="10" t="s">
        <v>219</v>
      </c>
      <c r="F82" s="10" t="s">
        <v>344</v>
      </c>
      <c r="G82" s="10" t="s">
        <v>300</v>
      </c>
      <c r="H82" s="10" t="s">
        <v>301</v>
      </c>
      <c r="I82" s="10" t="s">
        <v>389</v>
      </c>
    </row>
    <row r="83" spans="4:16" ht="20.100000000000001" customHeight="1" x14ac:dyDescent="0.25">
      <c r="D83" s="10" t="str" cm="1">
        <f t="array" ref="D83">Common_InputFunctions.Utility_DisplayArrayInTable(Scope3_SourceData.Scope3_Chemicals_Data(), Table_SourceData_Scope3_ChemicalsPharmacy[[#Headers],[Category]], -3, 2)</f>
        <v>Pharmacy chemicals</v>
      </c>
      <c r="E83" s="10" t="str" cm="1">
        <f t="array" ref="E83">Common_InputFunctions.Utility_DisplayArrayInTable(Scope3_SourceData.Scope3_Chemicals_Data(), Table_SourceData_Scope3_ChemicalsPharmacy[[#Headers],[Category]], -3, 2)</f>
        <v>Parasite control for cattle (external), dipping</v>
      </c>
      <c r="F83" s="10" t="str" cm="1">
        <f t="array" ref="F83">Common_InputFunctions.Utility_DisplayArrayInTable(Scope3_SourceData.Scope3_Chemicals_Data(), Table_SourceData_Scope3_ChemicalsPharmacy[[#Headers],[Category]], -3, 2)</f>
        <v>Global</v>
      </c>
      <c r="G83" s="10" t="str" cm="1">
        <f t="array" ref="G83">Common_InputFunctions.Utility_DisplayArrayInTable(Scope3_SourceData.Scope3_Chemicals_Data(), Table_SourceData_Scope3_ChemicalsPharmacy[[#Headers],[Category]], -3, 2)</f>
        <v>p (head)</v>
      </c>
      <c r="H83" s="10" cm="1">
        <f t="array" ref="H83">Common_InputFunctions.Utility_DisplayArrayInTable(Scope3_SourceData.Scope3_Chemicals_Data(), Table_SourceData_Scope3_ChemicalsPharmacy[[#Headers],[Category]], -3, 2)</f>
        <v>5.4699999999999999E-2</v>
      </c>
      <c r="I83" s="10" t="str" cm="1">
        <f t="array" ref="I83">Common_InputFunctions.Utility_DisplayArrayInTable(Scope3_SourceData.Scope3_Chemicals_Data(), Table_SourceData_Scope3_ChemicalsPharmacy[[#Headers],[Category]], -3, 2)</f>
        <v>at manufacturer</v>
      </c>
    </row>
    <row r="84" spans="4:16" ht="20.100000000000001" customHeight="1" x14ac:dyDescent="0.25">
      <c r="D84" s="10" t="str" cm="1">
        <f t="array" ref="D84">Common_InputFunctions.Utility_DisplayArrayInTable(Scope3_SourceData.Scope3_Chemicals_Data(), Table_SourceData_Scope3_ChemicalsPharmacy[[#Headers],[Category]], -3, 2)</f>
        <v>Pharmacy chemicals</v>
      </c>
      <c r="E84" s="10" t="str" cm="1">
        <f t="array" ref="E84">Common_InputFunctions.Utility_DisplayArrayInTable(Scope3_SourceData.Scope3_Chemicals_Data(), Table_SourceData_Scope3_ChemicalsPharmacy[[#Headers],[Category]], -3, 2)</f>
        <v>Parasite control for cattle (internal)</v>
      </c>
      <c r="F84" s="10" t="str" cm="1">
        <f t="array" ref="F84">Common_InputFunctions.Utility_DisplayArrayInTable(Scope3_SourceData.Scope3_Chemicals_Data(), Table_SourceData_Scope3_ChemicalsPharmacy[[#Headers],[Category]], -3, 2)</f>
        <v>Global</v>
      </c>
      <c r="G84" s="10" t="str" cm="1">
        <f t="array" ref="G84">Common_InputFunctions.Utility_DisplayArrayInTable(Scope3_SourceData.Scope3_Chemicals_Data(), Table_SourceData_Scope3_ChemicalsPharmacy[[#Headers],[Category]], -3, 2)</f>
        <v>p (head)</v>
      </c>
      <c r="H84" s="10" cm="1">
        <f t="array" ref="H84">Common_InputFunctions.Utility_DisplayArrayInTable(Scope3_SourceData.Scope3_Chemicals_Data(), Table_SourceData_Scope3_ChemicalsPharmacy[[#Headers],[Category]], -3, 2)</f>
        <v>1.4200000000000001E-2</v>
      </c>
      <c r="I84" s="10" t="str" cm="1">
        <f t="array" ref="I84">Common_InputFunctions.Utility_DisplayArrayInTable(Scope3_SourceData.Scope3_Chemicals_Data(), Table_SourceData_Scope3_ChemicalsPharmacy[[#Headers],[Category]], -3, 2)</f>
        <v>at manufacturer</v>
      </c>
    </row>
    <row r="85" spans="4:16" ht="20.100000000000001" customHeight="1" x14ac:dyDescent="0.25">
      <c r="D85" s="10" t="str" cm="1">
        <f t="array" ref="D85">Common_InputFunctions.Utility_DisplayArrayInTable(Scope3_SourceData.Scope3_Chemicals_Data(), Table_SourceData_Scope3_ChemicalsPharmacy[[#Headers],[Category]], -3, 2)</f>
        <v>Pharmacy chemicals</v>
      </c>
      <c r="E85" s="10" t="str" cm="1">
        <f t="array" ref="E85">Common_InputFunctions.Utility_DisplayArrayInTable(Scope3_SourceData.Scope3_Chemicals_Data(), Table_SourceData_Scope3_ChemicalsPharmacy[[#Headers],[Category]], -3, 2)</f>
        <v>Parasite control for sheep (external)</v>
      </c>
      <c r="F85" s="10" t="str" cm="1">
        <f t="array" ref="F85">Common_InputFunctions.Utility_DisplayArrayInTable(Scope3_SourceData.Scope3_Chemicals_Data(), Table_SourceData_Scope3_ChemicalsPharmacy[[#Headers],[Category]], -3, 2)</f>
        <v>Global</v>
      </c>
      <c r="G85" s="10" t="str" cm="1">
        <f t="array" ref="G85">Common_InputFunctions.Utility_DisplayArrayInTable(Scope3_SourceData.Scope3_Chemicals_Data(), Table_SourceData_Scope3_ChemicalsPharmacy[[#Headers],[Category]], -3, 2)</f>
        <v>p (head)</v>
      </c>
      <c r="H85" s="10" cm="1">
        <f t="array" ref="H85">Common_InputFunctions.Utility_DisplayArrayInTable(Scope3_SourceData.Scope3_Chemicals_Data(), Table_SourceData_Scope3_ChemicalsPharmacy[[#Headers],[Category]], -3, 2)</f>
        <v>1.43E-2</v>
      </c>
      <c r="I85" s="10" t="str" cm="1">
        <f t="array" ref="I85">Common_InputFunctions.Utility_DisplayArrayInTable(Scope3_SourceData.Scope3_Chemicals_Data(), Table_SourceData_Scope3_ChemicalsPharmacy[[#Headers],[Category]], -3, 2)</f>
        <v>at manufacturer</v>
      </c>
    </row>
    <row r="86" spans="4:16" ht="20.100000000000001" customHeight="1" x14ac:dyDescent="0.25">
      <c r="D86" s="10" t="str" cm="1">
        <f t="array" ref="D86">Common_InputFunctions.Utility_DisplayArrayInTable(Scope3_SourceData.Scope3_Chemicals_Data(), Table_SourceData_Scope3_ChemicalsPharmacy[[#Headers],[Category]], -3, 2)</f>
        <v>Pharmacy chemicals</v>
      </c>
      <c r="E86" s="10" t="str" cm="1">
        <f t="array" ref="E86">Common_InputFunctions.Utility_DisplayArrayInTable(Scope3_SourceData.Scope3_Chemicals_Data(), Table_SourceData_Scope3_ChemicalsPharmacy[[#Headers],[Category]], -3, 2)</f>
        <v>Parasite control for sheep (internal)</v>
      </c>
      <c r="F86" s="10" t="str" cm="1">
        <f t="array" ref="F86">Common_InputFunctions.Utility_DisplayArrayInTable(Scope3_SourceData.Scope3_Chemicals_Data(), Table_SourceData_Scope3_ChemicalsPharmacy[[#Headers],[Category]], -3, 2)</f>
        <v>Global</v>
      </c>
      <c r="G86" s="10" t="str" cm="1">
        <f t="array" ref="G86">Common_InputFunctions.Utility_DisplayArrayInTable(Scope3_SourceData.Scope3_Chemicals_Data(), Table_SourceData_Scope3_ChemicalsPharmacy[[#Headers],[Category]], -3, 2)</f>
        <v>p (head)</v>
      </c>
      <c r="H86" s="10" cm="1">
        <f t="array" ref="H86">Common_InputFunctions.Utility_DisplayArrayInTable(Scope3_SourceData.Scope3_Chemicals_Data(), Table_SourceData_Scope3_ChemicalsPharmacy[[#Headers],[Category]], -3, 2)</f>
        <v>4.2599999999999999E-3</v>
      </c>
      <c r="I86" s="10" t="str" cm="1">
        <f t="array" ref="I86">Common_InputFunctions.Utility_DisplayArrayInTable(Scope3_SourceData.Scope3_Chemicals_Data(), Table_SourceData_Scope3_ChemicalsPharmacy[[#Headers],[Category]], -3, 2)</f>
        <v>at manufacturer</v>
      </c>
    </row>
    <row r="87" spans="4:16" ht="20.100000000000001" customHeight="1" x14ac:dyDescent="0.25"/>
    <row r="88" spans="4:16" ht="20.100000000000001" customHeight="1" x14ac:dyDescent="0.25">
      <c r="D88" s="9" t="s">
        <v>392</v>
      </c>
    </row>
    <row r="89" spans="4:16" ht="20.100000000000001" customHeight="1" x14ac:dyDescent="0.25">
      <c r="D89" s="10" t="s">
        <v>343</v>
      </c>
      <c r="E89" s="10" t="s">
        <v>219</v>
      </c>
      <c r="F89" s="10" t="s">
        <v>344</v>
      </c>
      <c r="G89" s="10" t="s">
        <v>300</v>
      </c>
      <c r="H89" s="10" t="s">
        <v>301</v>
      </c>
      <c r="I89" s="10" t="s">
        <v>389</v>
      </c>
      <c r="K89" s="10" t="s">
        <v>219</v>
      </c>
      <c r="L89" s="10" t="s">
        <v>414</v>
      </c>
      <c r="M89" s="8" t="str">
        <f>"Table_ProductRegions_" &amp; SUBSTITUTE(SUBSTITUTE(SUBSTITUTE(SUBSTITUTE(K90, " ", ""), ",", ""), "(", ""), ")", "")</f>
        <v>Table_ProductRegions_Sardineswhole</v>
      </c>
    </row>
    <row r="90" spans="4:16" ht="20.100000000000001" customHeight="1" x14ac:dyDescent="0.25">
      <c r="D90" s="10" t="str" cm="1">
        <f t="array" ref="D90">Common_InputFunctions.Utility_DisplayArrayInTable(Scope3_SourceData.Scope3_Feed_Data(), Table_SourceData_Scope3_Feed[[#Headers],[Category]], 0, 2)</f>
        <v>Aquaculture feed</v>
      </c>
      <c r="E90" s="10" t="str" cm="1">
        <f t="array" ref="E90">Common_InputFunctions.Utility_DisplayArrayInTable(Scope3_SourceData.Scope3_Feed_Data(), Table_SourceData_Scope3_Feed[[#Headers],[Category]], 0, 2)</f>
        <v>Sardines (whole)</v>
      </c>
      <c r="F90" s="10" t="str" cm="1">
        <f t="array" ref="F90">Common_InputFunctions.Utility_DisplayArrayInTable(Scope3_SourceData.Scope3_Feed_Data(), Table_SourceData_Scope3_Feed[[#Headers],[Category]], 0, 2)</f>
        <v>SA</v>
      </c>
      <c r="G90" s="10" t="str" cm="1">
        <f t="array" ref="G90">Common_InputFunctions.Utility_DisplayArrayInTable(Scope3_SourceData.Scope3_Feed_Data(), Table_SourceData_Scope3_Feed[[#Headers],[Category]], 0, 2)</f>
        <v>kg</v>
      </c>
      <c r="H90" s="10" cm="1">
        <f t="array" ref="H90">Common_InputFunctions.Utility_DisplayArrayInTable(Scope3_SourceData.Scope3_Feed_Data(), Table_SourceData_Scope3_Feed[[#Headers],[Category]], 0, 2)</f>
        <v>0.376</v>
      </c>
      <c r="I90" s="10" t="str" cm="1">
        <f t="array" ref="I90">Common_InputFunctions.Utility_DisplayArrayInTable(Scope3_SourceData.Scope3_Feed_Data(), Table_SourceData_Scope3_Feed[[#Headers],[Category]], 0, 2)</f>
        <v>at market</v>
      </c>
      <c r="K90" s="10" t="str">
        <f>Table_SourceData_Scope3_Feed[[#This Row],[Product]]</f>
        <v>Sardines (whole)</v>
      </c>
      <c r="L90" s="10" t="str">
        <f>Table_SourceData_Scope3_Feed[[#This Row],[Region of origin]]</f>
        <v>SA</v>
      </c>
      <c r="N90" s="10" t="s">
        <v>219</v>
      </c>
      <c r="O90" s="10" t="s">
        <v>414</v>
      </c>
      <c r="P90" s="8" t="str">
        <f>"Table_ProductRegions_" &amp; SUBSTITUTE(SUBSTITUTE(SUBSTITUTE(SUBSTITUTE(N91, " ", ""), ",", ""), "(", ""), ")", "")</f>
        <v>Table_ProductRegions_Barleygrain</v>
      </c>
    </row>
    <row r="91" spans="4:16" ht="20.100000000000001" customHeight="1" x14ac:dyDescent="0.25">
      <c r="D91" s="10" t="str" cm="1">
        <f t="array" ref="D91">Common_InputFunctions.Utility_DisplayArrayInTable(Scope3_SourceData.Scope3_Feed_Data(), Table_SourceData_Scope3_Feed[[#Headers],[Category]], 0, 2)</f>
        <v>Grain</v>
      </c>
      <c r="E91" s="10" t="str" cm="1">
        <f t="array" ref="E91">Common_InputFunctions.Utility_DisplayArrayInTable(Scope3_SourceData.Scope3_Feed_Data(), Table_SourceData_Scope3_Feed[[#Headers],[Category]], 0, 2)</f>
        <v>Barley grain</v>
      </c>
      <c r="F91" s="10" t="str" cm="1">
        <f t="array" ref="F91">Common_InputFunctions.Utility_DisplayArrayInTable(Scope3_SourceData.Scope3_Feed_Data(), Table_SourceData_Scope3_Feed[[#Headers],[Category]], 0, 2)</f>
        <v>Australia</v>
      </c>
      <c r="G91" s="10" t="str" cm="1">
        <f t="array" ref="G91">Common_InputFunctions.Utility_DisplayArrayInTable(Scope3_SourceData.Scope3_Feed_Data(), Table_SourceData_Scope3_Feed[[#Headers],[Category]], 0, 2)</f>
        <v>kg</v>
      </c>
      <c r="H91" s="10" cm="1">
        <f t="array" ref="H91">Common_InputFunctions.Utility_DisplayArrayInTable(Scope3_SourceData.Scope3_Feed_Data(), Table_SourceData_Scope3_Feed[[#Headers],[Category]], 0, 2)</f>
        <v>0.23899999999999999</v>
      </c>
      <c r="I91" s="10" t="str" cm="1">
        <f t="array" ref="I91">Common_InputFunctions.Utility_DisplayArrayInTable(Scope3_SourceData.Scope3_Feed_Data(), Table_SourceData_Scope3_Feed[[#Headers],[Category]], 0, 2)</f>
        <v>at market</v>
      </c>
      <c r="N91" s="10" t="str">
        <f>Table_SourceData_Scope3_Feed[[#This Row],[Product]]</f>
        <v>Barley grain</v>
      </c>
      <c r="O91" s="10" t="str">
        <f>Table_SourceData_Scope3_Feed[[#This Row],[Region of origin]]</f>
        <v>Australia</v>
      </c>
    </row>
    <row r="92" spans="4:16" ht="20.100000000000001" customHeight="1" x14ac:dyDescent="0.25">
      <c r="D92" s="10" t="str" cm="1">
        <f t="array" ref="D92">Common_InputFunctions.Utility_DisplayArrayInTable(Scope3_SourceData.Scope3_Feed_Data(), Table_SourceData_Scope3_Feed[[#Headers],[Category]], 0, 2)</f>
        <v>Grain</v>
      </c>
      <c r="E92" s="10" t="str" cm="1">
        <f t="array" ref="E92">Common_InputFunctions.Utility_DisplayArrayInTable(Scope3_SourceData.Scope3_Feed_Data(), Table_SourceData_Scope3_Feed[[#Headers],[Category]], 0, 2)</f>
        <v>Barley grain</v>
      </c>
      <c r="F92" s="10" t="str" cm="1">
        <f t="array" ref="F92">Common_InputFunctions.Utility_DisplayArrayInTable(Scope3_SourceData.Scope3_Feed_Data(), Table_SourceData_Scope3_Feed[[#Headers],[Category]], 0, 2)</f>
        <v>NSW</v>
      </c>
      <c r="G92" s="10" t="str" cm="1">
        <f t="array" ref="G92">Common_InputFunctions.Utility_DisplayArrayInTable(Scope3_SourceData.Scope3_Feed_Data(), Table_SourceData_Scope3_Feed[[#Headers],[Category]], 0, 2)</f>
        <v>kg</v>
      </c>
      <c r="H92" s="10" cm="1">
        <f t="array" ref="H92">Common_InputFunctions.Utility_DisplayArrayInTable(Scope3_SourceData.Scope3_Feed_Data(), Table_SourceData_Scope3_Feed[[#Headers],[Category]], 0, 2)</f>
        <v>0.25600000000000001</v>
      </c>
      <c r="I92" s="10" t="str" cm="1">
        <f t="array" ref="I92">Common_InputFunctions.Utility_DisplayArrayInTable(Scope3_SourceData.Scope3_Feed_Data(), Table_SourceData_Scope3_Feed[[#Headers],[Category]], 0, 2)</f>
        <v>at market</v>
      </c>
      <c r="N92" s="10" t="str">
        <f>Table_SourceData_Scope3_Feed[[#This Row],[Product]]</f>
        <v>Barley grain</v>
      </c>
      <c r="O92" s="10" t="str">
        <f>Table_SourceData_Scope3_Feed[[#This Row],[Region of origin]]</f>
        <v>NSW</v>
      </c>
    </row>
    <row r="93" spans="4:16" ht="20.100000000000001" customHeight="1" x14ac:dyDescent="0.25">
      <c r="D93" s="10" t="str" cm="1">
        <f t="array" ref="D93">Common_InputFunctions.Utility_DisplayArrayInTable(Scope3_SourceData.Scope3_Feed_Data(), Table_SourceData_Scope3_Feed[[#Headers],[Category]], 0, 2)</f>
        <v>Grain</v>
      </c>
      <c r="E93" s="10" t="str" cm="1">
        <f t="array" ref="E93">Common_InputFunctions.Utility_DisplayArrayInTable(Scope3_SourceData.Scope3_Feed_Data(), Table_SourceData_Scope3_Feed[[#Headers],[Category]], 0, 2)</f>
        <v>Barley grain</v>
      </c>
      <c r="F93" s="10" t="str" cm="1">
        <f t="array" ref="F93">Common_InputFunctions.Utility_DisplayArrayInTable(Scope3_SourceData.Scope3_Feed_Data(), Table_SourceData_Scope3_Feed[[#Headers],[Category]], 0, 2)</f>
        <v>NT</v>
      </c>
      <c r="G93" s="10" t="str" cm="1">
        <f t="array" ref="G93">Common_InputFunctions.Utility_DisplayArrayInTable(Scope3_SourceData.Scope3_Feed_Data(), Table_SourceData_Scope3_Feed[[#Headers],[Category]], 0, 2)</f>
        <v>kg</v>
      </c>
      <c r="H93" s="10" cm="1">
        <f t="array" ref="H93">Common_InputFunctions.Utility_DisplayArrayInTable(Scope3_SourceData.Scope3_Feed_Data(), Table_SourceData_Scope3_Feed[[#Headers],[Category]], 0, 2)</f>
        <v>0.33200000000000002</v>
      </c>
      <c r="I93" s="10" t="str" cm="1">
        <f t="array" ref="I93">Common_InputFunctions.Utility_DisplayArrayInTable(Scope3_SourceData.Scope3_Feed_Data(), Table_SourceData_Scope3_Feed[[#Headers],[Category]], 0, 2)</f>
        <v>at market</v>
      </c>
      <c r="N93" s="10" t="str">
        <f>Table_SourceData_Scope3_Feed[[#This Row],[Product]]</f>
        <v>Barley grain</v>
      </c>
      <c r="O93" s="10" t="str">
        <f>Table_SourceData_Scope3_Feed[[#This Row],[Region of origin]]</f>
        <v>NT</v>
      </c>
    </row>
    <row r="94" spans="4:16" ht="20.100000000000001" customHeight="1" x14ac:dyDescent="0.25">
      <c r="D94" s="10" t="str" cm="1">
        <f t="array" ref="D94">Common_InputFunctions.Utility_DisplayArrayInTable(Scope3_SourceData.Scope3_Feed_Data(), Table_SourceData_Scope3_Feed[[#Headers],[Category]], 0, 2)</f>
        <v>Grain</v>
      </c>
      <c r="E94" s="10" t="str" cm="1">
        <f t="array" ref="E94">Common_InputFunctions.Utility_DisplayArrayInTable(Scope3_SourceData.Scope3_Feed_Data(), Table_SourceData_Scope3_Feed[[#Headers],[Category]], 0, 2)</f>
        <v>Barley grain</v>
      </c>
      <c r="F94" s="10" t="str" cm="1">
        <f t="array" ref="F94">Common_InputFunctions.Utility_DisplayArrayInTable(Scope3_SourceData.Scope3_Feed_Data(), Table_SourceData_Scope3_Feed[[#Headers],[Category]], 0, 2)</f>
        <v>QLD</v>
      </c>
      <c r="G94" s="10" t="str" cm="1">
        <f t="array" ref="G94">Common_InputFunctions.Utility_DisplayArrayInTable(Scope3_SourceData.Scope3_Feed_Data(), Table_SourceData_Scope3_Feed[[#Headers],[Category]], 0, 2)</f>
        <v>kg</v>
      </c>
      <c r="H94" s="10" cm="1">
        <f t="array" ref="H94">Common_InputFunctions.Utility_DisplayArrayInTable(Scope3_SourceData.Scope3_Feed_Data(), Table_SourceData_Scope3_Feed[[#Headers],[Category]], 0, 2)</f>
        <v>0.26900000000000002</v>
      </c>
      <c r="I94" s="10" t="str" cm="1">
        <f t="array" ref="I94">Common_InputFunctions.Utility_DisplayArrayInTable(Scope3_SourceData.Scope3_Feed_Data(), Table_SourceData_Scope3_Feed[[#Headers],[Category]], 0, 2)</f>
        <v>at market</v>
      </c>
      <c r="N94" s="10" t="str">
        <f>Table_SourceData_Scope3_Feed[[#This Row],[Product]]</f>
        <v>Barley grain</v>
      </c>
      <c r="O94" s="10" t="str">
        <f>Table_SourceData_Scope3_Feed[[#This Row],[Region of origin]]</f>
        <v>QLD</v>
      </c>
    </row>
    <row r="95" spans="4:16" ht="20.100000000000001" customHeight="1" x14ac:dyDescent="0.25">
      <c r="D95" s="10" t="str" cm="1">
        <f t="array" ref="D95">Common_InputFunctions.Utility_DisplayArrayInTable(Scope3_SourceData.Scope3_Feed_Data(), Table_SourceData_Scope3_Feed[[#Headers],[Category]], 0, 2)</f>
        <v>Grain</v>
      </c>
      <c r="E95" s="10" t="str" cm="1">
        <f t="array" ref="E95">Common_InputFunctions.Utility_DisplayArrayInTable(Scope3_SourceData.Scope3_Feed_Data(), Table_SourceData_Scope3_Feed[[#Headers],[Category]], 0, 2)</f>
        <v>Barley grain</v>
      </c>
      <c r="F95" s="10" t="str" cm="1">
        <f t="array" ref="F95">Common_InputFunctions.Utility_DisplayArrayInTable(Scope3_SourceData.Scope3_Feed_Data(), Table_SourceData_Scope3_Feed[[#Headers],[Category]], 0, 2)</f>
        <v>SA</v>
      </c>
      <c r="G95" s="10" t="str" cm="1">
        <f t="array" ref="G95">Common_InputFunctions.Utility_DisplayArrayInTable(Scope3_SourceData.Scope3_Feed_Data(), Table_SourceData_Scope3_Feed[[#Headers],[Category]], 0, 2)</f>
        <v>kg</v>
      </c>
      <c r="H95" s="10" cm="1">
        <f t="array" ref="H95">Common_InputFunctions.Utility_DisplayArrayInTable(Scope3_SourceData.Scope3_Feed_Data(), Table_SourceData_Scope3_Feed[[#Headers],[Category]], 0, 2)</f>
        <v>0.223</v>
      </c>
      <c r="I95" s="10" t="str" cm="1">
        <f t="array" ref="I95">Common_InputFunctions.Utility_DisplayArrayInTable(Scope3_SourceData.Scope3_Feed_Data(), Table_SourceData_Scope3_Feed[[#Headers],[Category]], 0, 2)</f>
        <v>at market</v>
      </c>
      <c r="N95" s="10" t="str">
        <f>Table_SourceData_Scope3_Feed[[#This Row],[Product]]</f>
        <v>Barley grain</v>
      </c>
      <c r="O95" s="10" t="str">
        <f>Table_SourceData_Scope3_Feed[[#This Row],[Region of origin]]</f>
        <v>SA</v>
      </c>
    </row>
    <row r="96" spans="4:16" ht="20.100000000000001" customHeight="1" x14ac:dyDescent="0.25">
      <c r="D96" s="10" t="str" cm="1">
        <f t="array" ref="D96">Common_InputFunctions.Utility_DisplayArrayInTable(Scope3_SourceData.Scope3_Feed_Data(), Table_SourceData_Scope3_Feed[[#Headers],[Category]], 0, 2)</f>
        <v>Grain</v>
      </c>
      <c r="E96" s="10" t="str" cm="1">
        <f t="array" ref="E96">Common_InputFunctions.Utility_DisplayArrayInTable(Scope3_SourceData.Scope3_Feed_Data(), Table_SourceData_Scope3_Feed[[#Headers],[Category]], 0, 2)</f>
        <v>Barley grain</v>
      </c>
      <c r="F96" s="10" t="str" cm="1">
        <f t="array" ref="F96">Common_InputFunctions.Utility_DisplayArrayInTable(Scope3_SourceData.Scope3_Feed_Data(), Table_SourceData_Scope3_Feed[[#Headers],[Category]], 0, 2)</f>
        <v>TAS</v>
      </c>
      <c r="G96" s="10" t="str" cm="1">
        <f t="array" ref="G96">Common_InputFunctions.Utility_DisplayArrayInTable(Scope3_SourceData.Scope3_Feed_Data(), Table_SourceData_Scope3_Feed[[#Headers],[Category]], 0, 2)</f>
        <v>kg</v>
      </c>
      <c r="H96" s="10" cm="1">
        <f t="array" ref="H96">Common_InputFunctions.Utility_DisplayArrayInTable(Scope3_SourceData.Scope3_Feed_Data(), Table_SourceData_Scope3_Feed[[#Headers],[Category]], 0, 2)</f>
        <v>0.307</v>
      </c>
      <c r="I96" s="10" t="str" cm="1">
        <f t="array" ref="I96">Common_InputFunctions.Utility_DisplayArrayInTable(Scope3_SourceData.Scope3_Feed_Data(), Table_SourceData_Scope3_Feed[[#Headers],[Category]], 0, 2)</f>
        <v>at market</v>
      </c>
      <c r="N96" s="10" t="str">
        <f>Table_SourceData_Scope3_Feed[[#This Row],[Product]]</f>
        <v>Barley grain</v>
      </c>
      <c r="O96" s="10" t="str">
        <f>Table_SourceData_Scope3_Feed[[#This Row],[Region of origin]]</f>
        <v>TAS</v>
      </c>
    </row>
    <row r="97" spans="4:16" ht="20.100000000000001" customHeight="1" x14ac:dyDescent="0.25">
      <c r="D97" s="10" t="str" cm="1">
        <f t="array" ref="D97">Common_InputFunctions.Utility_DisplayArrayInTable(Scope3_SourceData.Scope3_Feed_Data(), Table_SourceData_Scope3_Feed[[#Headers],[Category]], 0, 2)</f>
        <v>Grain</v>
      </c>
      <c r="E97" s="10" t="str" cm="1">
        <f t="array" ref="E97">Common_InputFunctions.Utility_DisplayArrayInTable(Scope3_SourceData.Scope3_Feed_Data(), Table_SourceData_Scope3_Feed[[#Headers],[Category]], 0, 2)</f>
        <v>Barley grain</v>
      </c>
      <c r="F97" s="10" t="str" cm="1">
        <f t="array" ref="F97">Common_InputFunctions.Utility_DisplayArrayInTable(Scope3_SourceData.Scope3_Feed_Data(), Table_SourceData_Scope3_Feed[[#Headers],[Category]], 0, 2)</f>
        <v>VIC</v>
      </c>
      <c r="G97" s="10" t="str" cm="1">
        <f t="array" ref="G97">Common_InputFunctions.Utility_DisplayArrayInTable(Scope3_SourceData.Scope3_Feed_Data(), Table_SourceData_Scope3_Feed[[#Headers],[Category]], 0, 2)</f>
        <v>kg</v>
      </c>
      <c r="H97" s="10" cm="1">
        <f t="array" ref="H97">Common_InputFunctions.Utility_DisplayArrayInTable(Scope3_SourceData.Scope3_Feed_Data(), Table_SourceData_Scope3_Feed[[#Headers],[Category]], 0, 2)</f>
        <v>0.24099999999999999</v>
      </c>
      <c r="I97" s="10" t="str" cm="1">
        <f t="array" ref="I97">Common_InputFunctions.Utility_DisplayArrayInTable(Scope3_SourceData.Scope3_Feed_Data(), Table_SourceData_Scope3_Feed[[#Headers],[Category]], 0, 2)</f>
        <v>at market</v>
      </c>
      <c r="N97" s="10" t="str">
        <f>Table_SourceData_Scope3_Feed[[#This Row],[Product]]</f>
        <v>Barley grain</v>
      </c>
      <c r="O97" s="10" t="str">
        <f>Table_SourceData_Scope3_Feed[[#This Row],[Region of origin]]</f>
        <v>VIC</v>
      </c>
    </row>
    <row r="98" spans="4:16" ht="20.100000000000001" customHeight="1" x14ac:dyDescent="0.25">
      <c r="D98" s="10" t="str" cm="1">
        <f t="array" ref="D98">Common_InputFunctions.Utility_DisplayArrayInTable(Scope3_SourceData.Scope3_Feed_Data(), Table_SourceData_Scope3_Feed[[#Headers],[Category]], 0, 2)</f>
        <v>Grain</v>
      </c>
      <c r="E98" s="10" t="str" cm="1">
        <f t="array" ref="E98">Common_InputFunctions.Utility_DisplayArrayInTable(Scope3_SourceData.Scope3_Feed_Data(), Table_SourceData_Scope3_Feed[[#Headers],[Category]], 0, 2)</f>
        <v>Barley grain</v>
      </c>
      <c r="F98" s="10" t="str" cm="1">
        <f t="array" ref="F98">Common_InputFunctions.Utility_DisplayArrayInTable(Scope3_SourceData.Scope3_Feed_Data(), Table_SourceData_Scope3_Feed[[#Headers],[Category]], 0, 2)</f>
        <v>WA</v>
      </c>
      <c r="G98" s="10" t="str" cm="1">
        <f t="array" ref="G98">Common_InputFunctions.Utility_DisplayArrayInTable(Scope3_SourceData.Scope3_Feed_Data(), Table_SourceData_Scope3_Feed[[#Headers],[Category]], 0, 2)</f>
        <v>kg</v>
      </c>
      <c r="H98" s="10" cm="1">
        <f t="array" ref="H98">Common_InputFunctions.Utility_DisplayArrayInTable(Scope3_SourceData.Scope3_Feed_Data(), Table_SourceData_Scope3_Feed[[#Headers],[Category]], 0, 2)</f>
        <v>0.23599999999999999</v>
      </c>
      <c r="I98" s="10" t="str" cm="1">
        <f t="array" ref="I98">Common_InputFunctions.Utility_DisplayArrayInTable(Scope3_SourceData.Scope3_Feed_Data(), Table_SourceData_Scope3_Feed[[#Headers],[Category]], 0, 2)</f>
        <v>at market</v>
      </c>
      <c r="K98" s="10" t="s">
        <v>219</v>
      </c>
      <c r="L98" s="10" t="s">
        <v>414</v>
      </c>
      <c r="M98" s="8" t="str">
        <f>"Table_ProductRegions_" &amp; SUBSTITUTE(SUBSTITUTE(SUBSTITUTE(SUBSTITUTE(K99, " ", ""), ",", ""), "(", ""), ")", "")</f>
        <v>Table_ProductRegions_Maizegrain</v>
      </c>
      <c r="N98" s="10" t="str">
        <f>Table_SourceData_Scope3_Feed[[#This Row],[Product]]</f>
        <v>Barley grain</v>
      </c>
      <c r="O98" s="10" t="str">
        <f>Table_SourceData_Scope3_Feed[[#This Row],[Region of origin]]</f>
        <v>WA</v>
      </c>
    </row>
    <row r="99" spans="4:16" ht="20.100000000000001" customHeight="1" x14ac:dyDescent="0.25">
      <c r="D99" s="10" t="str" cm="1">
        <f t="array" ref="D99">Common_InputFunctions.Utility_DisplayArrayInTable(Scope3_SourceData.Scope3_Feed_Data(), Table_SourceData_Scope3_Feed[[#Headers],[Category]], 0, 2)</f>
        <v>Grain</v>
      </c>
      <c r="E99" s="10" t="str" cm="1">
        <f t="array" ref="E99">Common_InputFunctions.Utility_DisplayArrayInTable(Scope3_SourceData.Scope3_Feed_Data(), Table_SourceData_Scope3_Feed[[#Headers],[Category]], 0, 2)</f>
        <v>Maize grain</v>
      </c>
      <c r="F99" s="10" t="str" cm="1">
        <f t="array" ref="F99">Common_InputFunctions.Utility_DisplayArrayInTable(Scope3_SourceData.Scope3_Feed_Data(), Table_SourceData_Scope3_Feed[[#Headers],[Category]], 0, 2)</f>
        <v>Australia</v>
      </c>
      <c r="G99" s="10" t="str" cm="1">
        <f t="array" ref="G99">Common_InputFunctions.Utility_DisplayArrayInTable(Scope3_SourceData.Scope3_Feed_Data(), Table_SourceData_Scope3_Feed[[#Headers],[Category]], 0, 2)</f>
        <v>kg</v>
      </c>
      <c r="H99" s="10" cm="1">
        <f t="array" ref="H99">Common_InputFunctions.Utility_DisplayArrayInTable(Scope3_SourceData.Scope3_Feed_Data(), Table_SourceData_Scope3_Feed[[#Headers],[Category]], 0, 2)</f>
        <v>0.18099999999999999</v>
      </c>
      <c r="I99" s="10" t="str" cm="1">
        <f t="array" ref="I99">Common_InputFunctions.Utility_DisplayArrayInTable(Scope3_SourceData.Scope3_Feed_Data(), Table_SourceData_Scope3_Feed[[#Headers],[Category]], 0, 2)</f>
        <v>at market</v>
      </c>
      <c r="K99" s="10" t="str">
        <f>Table_SourceData_Scope3_Feed[[#This Row],[Product]]</f>
        <v>Maize grain</v>
      </c>
      <c r="L99" s="10" t="str">
        <f>Table_SourceData_Scope3_Feed[[#This Row],[Region of origin]]</f>
        <v>Australia</v>
      </c>
    </row>
    <row r="100" spans="4:16" ht="20.100000000000001" customHeight="1" x14ac:dyDescent="0.25">
      <c r="D100" s="10" t="str" cm="1">
        <f t="array" ref="D100">Common_InputFunctions.Utility_DisplayArrayInTable(Scope3_SourceData.Scope3_Feed_Data(), Table_SourceData_Scope3_Feed[[#Headers],[Category]], 0, 2)</f>
        <v>Grain</v>
      </c>
      <c r="E100" s="10" t="str" cm="1">
        <f t="array" ref="E100">Common_InputFunctions.Utility_DisplayArrayInTable(Scope3_SourceData.Scope3_Feed_Data(), Table_SourceData_Scope3_Feed[[#Headers],[Category]], 0, 2)</f>
        <v>Maize grain</v>
      </c>
      <c r="F100" s="10" t="str" cm="1">
        <f t="array" ref="F100">Common_InputFunctions.Utility_DisplayArrayInTable(Scope3_SourceData.Scope3_Feed_Data(), Table_SourceData_Scope3_Feed[[#Headers],[Category]], 0, 2)</f>
        <v>NSW</v>
      </c>
      <c r="G100" s="10" t="str" cm="1">
        <f t="array" ref="G100">Common_InputFunctions.Utility_DisplayArrayInTable(Scope3_SourceData.Scope3_Feed_Data(), Table_SourceData_Scope3_Feed[[#Headers],[Category]], 0, 2)</f>
        <v>kg</v>
      </c>
      <c r="H100" s="10" cm="1">
        <f t="array" ref="H100">Common_InputFunctions.Utility_DisplayArrayInTable(Scope3_SourceData.Scope3_Feed_Data(), Table_SourceData_Scope3_Feed[[#Headers],[Category]], 0, 2)</f>
        <v>0.16900000000000001</v>
      </c>
      <c r="I100" s="10" t="str" cm="1">
        <f t="array" ref="I100">Common_InputFunctions.Utility_DisplayArrayInTable(Scope3_SourceData.Scope3_Feed_Data(), Table_SourceData_Scope3_Feed[[#Headers],[Category]], 0, 2)</f>
        <v>at market</v>
      </c>
      <c r="K100" s="10" t="str">
        <f>Table_SourceData_Scope3_Feed[[#This Row],[Product]]</f>
        <v>Maize grain</v>
      </c>
      <c r="L100" s="10" t="str">
        <f>Table_SourceData_Scope3_Feed[[#This Row],[Region of origin]]</f>
        <v>NSW</v>
      </c>
    </row>
    <row r="101" spans="4:16" ht="20.100000000000001" customHeight="1" x14ac:dyDescent="0.25">
      <c r="D101" s="10" t="str" cm="1">
        <f t="array" ref="D101">Common_InputFunctions.Utility_DisplayArrayInTable(Scope3_SourceData.Scope3_Feed_Data(), Table_SourceData_Scope3_Feed[[#Headers],[Category]], 0, 2)</f>
        <v>Grain</v>
      </c>
      <c r="E101" s="10" t="str" cm="1">
        <f t="array" ref="E101">Common_InputFunctions.Utility_DisplayArrayInTable(Scope3_SourceData.Scope3_Feed_Data(), Table_SourceData_Scope3_Feed[[#Headers],[Category]], 0, 2)</f>
        <v>Maize grain</v>
      </c>
      <c r="F101" s="10" t="str" cm="1">
        <f t="array" ref="F101">Common_InputFunctions.Utility_DisplayArrayInTable(Scope3_SourceData.Scope3_Feed_Data(), Table_SourceData_Scope3_Feed[[#Headers],[Category]], 0, 2)</f>
        <v>NT</v>
      </c>
      <c r="G101" s="10" t="str" cm="1">
        <f t="array" ref="G101">Common_InputFunctions.Utility_DisplayArrayInTable(Scope3_SourceData.Scope3_Feed_Data(), Table_SourceData_Scope3_Feed[[#Headers],[Category]], 0, 2)</f>
        <v>kg</v>
      </c>
      <c r="H101" s="10" cm="1">
        <f t="array" ref="H101">Common_InputFunctions.Utility_DisplayArrayInTable(Scope3_SourceData.Scope3_Feed_Data(), Table_SourceData_Scope3_Feed[[#Headers],[Category]], 0, 2)</f>
        <v>0.25600000000000001</v>
      </c>
      <c r="I101" s="10" t="str" cm="1">
        <f t="array" ref="I101">Common_InputFunctions.Utility_DisplayArrayInTable(Scope3_SourceData.Scope3_Feed_Data(), Table_SourceData_Scope3_Feed[[#Headers],[Category]], 0, 2)</f>
        <v>at market</v>
      </c>
      <c r="K101" s="10" t="str">
        <f>Table_SourceData_Scope3_Feed[[#This Row],[Product]]</f>
        <v>Maize grain</v>
      </c>
      <c r="L101" s="10" t="str">
        <f>Table_SourceData_Scope3_Feed[[#This Row],[Region of origin]]</f>
        <v>NT</v>
      </c>
    </row>
    <row r="102" spans="4:16" ht="20.100000000000001" customHeight="1" x14ac:dyDescent="0.25">
      <c r="D102" s="10" t="str" cm="1">
        <f t="array" ref="D102">Common_InputFunctions.Utility_DisplayArrayInTable(Scope3_SourceData.Scope3_Feed_Data(), Table_SourceData_Scope3_Feed[[#Headers],[Category]], 0, 2)</f>
        <v>Grain</v>
      </c>
      <c r="E102" s="10" t="str" cm="1">
        <f t="array" ref="E102">Common_InputFunctions.Utility_DisplayArrayInTable(Scope3_SourceData.Scope3_Feed_Data(), Table_SourceData_Scope3_Feed[[#Headers],[Category]], 0, 2)</f>
        <v>Maize grain</v>
      </c>
      <c r="F102" s="10" t="str" cm="1">
        <f t="array" ref="F102">Common_InputFunctions.Utility_DisplayArrayInTable(Scope3_SourceData.Scope3_Feed_Data(), Table_SourceData_Scope3_Feed[[#Headers],[Category]], 0, 2)</f>
        <v>QLD</v>
      </c>
      <c r="G102" s="10" t="str" cm="1">
        <f t="array" ref="G102">Common_InputFunctions.Utility_DisplayArrayInTable(Scope3_SourceData.Scope3_Feed_Data(), Table_SourceData_Scope3_Feed[[#Headers],[Category]], 0, 2)</f>
        <v>kg</v>
      </c>
      <c r="H102" s="10" cm="1">
        <f t="array" ref="H102">Common_InputFunctions.Utility_DisplayArrayInTable(Scope3_SourceData.Scope3_Feed_Data(), Table_SourceData_Scope3_Feed[[#Headers],[Category]], 0, 2)</f>
        <v>0.186</v>
      </c>
      <c r="I102" s="10" t="str" cm="1">
        <f t="array" ref="I102">Common_InputFunctions.Utility_DisplayArrayInTable(Scope3_SourceData.Scope3_Feed_Data(), Table_SourceData_Scope3_Feed[[#Headers],[Category]], 0, 2)</f>
        <v>at market</v>
      </c>
      <c r="K102" s="10" t="str">
        <f>Table_SourceData_Scope3_Feed[[#This Row],[Product]]</f>
        <v>Maize grain</v>
      </c>
      <c r="L102" s="10" t="str">
        <f>Table_SourceData_Scope3_Feed[[#This Row],[Region of origin]]</f>
        <v>QLD</v>
      </c>
    </row>
    <row r="103" spans="4:16" ht="20.100000000000001" customHeight="1" x14ac:dyDescent="0.25">
      <c r="D103" s="10" t="str" cm="1">
        <f t="array" ref="D103">Common_InputFunctions.Utility_DisplayArrayInTable(Scope3_SourceData.Scope3_Feed_Data(), Table_SourceData_Scope3_Feed[[#Headers],[Category]], 0, 2)</f>
        <v>Grain</v>
      </c>
      <c r="E103" s="10" t="str" cm="1">
        <f t="array" ref="E103">Common_InputFunctions.Utility_DisplayArrayInTable(Scope3_SourceData.Scope3_Feed_Data(), Table_SourceData_Scope3_Feed[[#Headers],[Category]], 0, 2)</f>
        <v>Maize grain</v>
      </c>
      <c r="F103" s="10" t="str" cm="1">
        <f t="array" ref="F103">Common_InputFunctions.Utility_DisplayArrayInTable(Scope3_SourceData.Scope3_Feed_Data(), Table_SourceData_Scope3_Feed[[#Headers],[Category]], 0, 2)</f>
        <v>SA</v>
      </c>
      <c r="G103" s="10" t="str" cm="1">
        <f t="array" ref="G103">Common_InputFunctions.Utility_DisplayArrayInTable(Scope3_SourceData.Scope3_Feed_Data(), Table_SourceData_Scope3_Feed[[#Headers],[Category]], 0, 2)</f>
        <v>kg</v>
      </c>
      <c r="H103" s="10" cm="1">
        <f t="array" ref="H103">Common_InputFunctions.Utility_DisplayArrayInTable(Scope3_SourceData.Scope3_Feed_Data(), Table_SourceData_Scope3_Feed[[#Headers],[Category]], 0, 2)</f>
        <v>0.17599999999999999</v>
      </c>
      <c r="I103" s="10" t="str" cm="1">
        <f t="array" ref="I103">Common_InputFunctions.Utility_DisplayArrayInTable(Scope3_SourceData.Scope3_Feed_Data(), Table_SourceData_Scope3_Feed[[#Headers],[Category]], 0, 2)</f>
        <v>at market</v>
      </c>
      <c r="K103" s="10" t="str">
        <f>Table_SourceData_Scope3_Feed[[#This Row],[Product]]</f>
        <v>Maize grain</v>
      </c>
      <c r="L103" s="10" t="str">
        <f>Table_SourceData_Scope3_Feed[[#This Row],[Region of origin]]</f>
        <v>SA</v>
      </c>
    </row>
    <row r="104" spans="4:16" ht="20.100000000000001" customHeight="1" x14ac:dyDescent="0.25">
      <c r="D104" s="10" t="str" cm="1">
        <f t="array" ref="D104">Common_InputFunctions.Utility_DisplayArrayInTable(Scope3_SourceData.Scope3_Feed_Data(), Table_SourceData_Scope3_Feed[[#Headers],[Category]], 0, 2)</f>
        <v>Grain</v>
      </c>
      <c r="E104" s="10" t="str" cm="1">
        <f t="array" ref="E104">Common_InputFunctions.Utility_DisplayArrayInTable(Scope3_SourceData.Scope3_Feed_Data(), Table_SourceData_Scope3_Feed[[#Headers],[Category]], 0, 2)</f>
        <v>Maize grain</v>
      </c>
      <c r="F104" s="10" t="str" cm="1">
        <f t="array" ref="F104">Common_InputFunctions.Utility_DisplayArrayInTable(Scope3_SourceData.Scope3_Feed_Data(), Table_SourceData_Scope3_Feed[[#Headers],[Category]], 0, 2)</f>
        <v>VIC</v>
      </c>
      <c r="G104" s="10" t="str" cm="1">
        <f t="array" ref="G104">Common_InputFunctions.Utility_DisplayArrayInTable(Scope3_SourceData.Scope3_Feed_Data(), Table_SourceData_Scope3_Feed[[#Headers],[Category]], 0, 2)</f>
        <v>kg</v>
      </c>
      <c r="H104" s="10" cm="1">
        <f t="array" ref="H104">Common_InputFunctions.Utility_DisplayArrayInTable(Scope3_SourceData.Scope3_Feed_Data(), Table_SourceData_Scope3_Feed[[#Headers],[Category]], 0, 2)</f>
        <v>0.159</v>
      </c>
      <c r="I104" s="10" t="str" cm="1">
        <f t="array" ref="I104">Common_InputFunctions.Utility_DisplayArrayInTable(Scope3_SourceData.Scope3_Feed_Data(), Table_SourceData_Scope3_Feed[[#Headers],[Category]], 0, 2)</f>
        <v>at market</v>
      </c>
      <c r="K104" s="10" t="str">
        <f>Table_SourceData_Scope3_Feed[[#This Row],[Product]]</f>
        <v>Maize grain</v>
      </c>
      <c r="L104" s="10" t="str">
        <f>Table_SourceData_Scope3_Feed[[#This Row],[Region of origin]]</f>
        <v>VIC</v>
      </c>
    </row>
    <row r="105" spans="4:16" ht="20.100000000000001" customHeight="1" x14ac:dyDescent="0.25">
      <c r="D105" s="10" t="str" cm="1">
        <f t="array" ref="D105">Common_InputFunctions.Utility_DisplayArrayInTable(Scope3_SourceData.Scope3_Feed_Data(), Table_SourceData_Scope3_Feed[[#Headers],[Category]], 0, 2)</f>
        <v>Grain</v>
      </c>
      <c r="E105" s="10" t="str" cm="1">
        <f t="array" ref="E105">Common_InputFunctions.Utility_DisplayArrayInTable(Scope3_SourceData.Scope3_Feed_Data(), Table_SourceData_Scope3_Feed[[#Headers],[Category]], 0, 2)</f>
        <v>Maize grain</v>
      </c>
      <c r="F105" s="10" t="str" cm="1">
        <f t="array" ref="F105">Common_InputFunctions.Utility_DisplayArrayInTable(Scope3_SourceData.Scope3_Feed_Data(), Table_SourceData_Scope3_Feed[[#Headers],[Category]], 0, 2)</f>
        <v>WA</v>
      </c>
      <c r="G105" s="10" t="str" cm="1">
        <f t="array" ref="G105">Common_InputFunctions.Utility_DisplayArrayInTable(Scope3_SourceData.Scope3_Feed_Data(), Table_SourceData_Scope3_Feed[[#Headers],[Category]], 0, 2)</f>
        <v>kg</v>
      </c>
      <c r="H105" s="10" cm="1">
        <f t="array" ref="H105">Common_InputFunctions.Utility_DisplayArrayInTable(Scope3_SourceData.Scope3_Feed_Data(), Table_SourceData_Scope3_Feed[[#Headers],[Category]], 0, 2)</f>
        <v>0.28499999999999998</v>
      </c>
      <c r="I105" s="10" t="str" cm="1">
        <f t="array" ref="I105">Common_InputFunctions.Utility_DisplayArrayInTable(Scope3_SourceData.Scope3_Feed_Data(), Table_SourceData_Scope3_Feed[[#Headers],[Category]], 0, 2)</f>
        <v>at market</v>
      </c>
      <c r="K105" s="10" t="str">
        <f>Table_SourceData_Scope3_Feed[[#This Row],[Product]]</f>
        <v>Maize grain</v>
      </c>
      <c r="L105" s="10" t="str">
        <f>Table_SourceData_Scope3_Feed[[#This Row],[Region of origin]]</f>
        <v>WA</v>
      </c>
      <c r="N105" s="10" t="s">
        <v>219</v>
      </c>
      <c r="O105" s="10" t="s">
        <v>414</v>
      </c>
      <c r="P105" s="8" t="str">
        <f>"Table_ProductRegions_" &amp; SUBSTITUTE(SUBSTITUTE(SUBSTITUTE(SUBSTITUTE(N106, " ", ""), ",", ""), "(", ""), ")", "")</f>
        <v>Table_ProductRegions_Sorghumgrain</v>
      </c>
    </row>
    <row r="106" spans="4:16" ht="20.100000000000001" customHeight="1" x14ac:dyDescent="0.25">
      <c r="D106" s="10" t="str" cm="1">
        <f t="array" ref="D106">Common_InputFunctions.Utility_DisplayArrayInTable(Scope3_SourceData.Scope3_Feed_Data(), Table_SourceData_Scope3_Feed[[#Headers],[Category]], 0, 2)</f>
        <v>Grain</v>
      </c>
      <c r="E106" s="10" t="str" cm="1">
        <f t="array" ref="E106">Common_InputFunctions.Utility_DisplayArrayInTable(Scope3_SourceData.Scope3_Feed_Data(), Table_SourceData_Scope3_Feed[[#Headers],[Category]], 0, 2)</f>
        <v>Sorghum grain</v>
      </c>
      <c r="F106" s="10" t="str" cm="1">
        <f t="array" ref="F106">Common_InputFunctions.Utility_DisplayArrayInTable(Scope3_SourceData.Scope3_Feed_Data(), Table_SourceData_Scope3_Feed[[#Headers],[Category]], 0, 2)</f>
        <v>Australia</v>
      </c>
      <c r="G106" s="10" t="str" cm="1">
        <f t="array" ref="G106">Common_InputFunctions.Utility_DisplayArrayInTable(Scope3_SourceData.Scope3_Feed_Data(), Table_SourceData_Scope3_Feed[[#Headers],[Category]], 0, 2)</f>
        <v>kg</v>
      </c>
      <c r="H106" s="10" cm="1">
        <f t="array" ref="H106">Common_InputFunctions.Utility_DisplayArrayInTable(Scope3_SourceData.Scope3_Feed_Data(), Table_SourceData_Scope3_Feed[[#Headers],[Category]], 0, 2)</f>
        <v>0.23200000000000001</v>
      </c>
      <c r="I106" s="10" t="str" cm="1">
        <f t="array" ref="I106">Common_InputFunctions.Utility_DisplayArrayInTable(Scope3_SourceData.Scope3_Feed_Data(), Table_SourceData_Scope3_Feed[[#Headers],[Category]], 0, 2)</f>
        <v>at market</v>
      </c>
      <c r="N106" s="10" t="str">
        <f>Table_SourceData_Scope3_Feed[[#This Row],[Product]]</f>
        <v>Sorghum grain</v>
      </c>
      <c r="O106" s="10" t="str">
        <f>Table_SourceData_Scope3_Feed[[#This Row],[Region of origin]]</f>
        <v>Australia</v>
      </c>
    </row>
    <row r="107" spans="4:16" ht="20.100000000000001" customHeight="1" x14ac:dyDescent="0.25">
      <c r="D107" s="10" t="str" cm="1">
        <f t="array" ref="D107">Common_InputFunctions.Utility_DisplayArrayInTable(Scope3_SourceData.Scope3_Feed_Data(), Table_SourceData_Scope3_Feed[[#Headers],[Category]], 0, 2)</f>
        <v>Grain</v>
      </c>
      <c r="E107" s="10" t="str" cm="1">
        <f t="array" ref="E107">Common_InputFunctions.Utility_DisplayArrayInTable(Scope3_SourceData.Scope3_Feed_Data(), Table_SourceData_Scope3_Feed[[#Headers],[Category]], 0, 2)</f>
        <v>Sorghum grain</v>
      </c>
      <c r="F107" s="10" t="str" cm="1">
        <f t="array" ref="F107">Common_InputFunctions.Utility_DisplayArrayInTable(Scope3_SourceData.Scope3_Feed_Data(), Table_SourceData_Scope3_Feed[[#Headers],[Category]], 0, 2)</f>
        <v>NSW</v>
      </c>
      <c r="G107" s="10" t="str" cm="1">
        <f t="array" ref="G107">Common_InputFunctions.Utility_DisplayArrayInTable(Scope3_SourceData.Scope3_Feed_Data(), Table_SourceData_Scope3_Feed[[#Headers],[Category]], 0, 2)</f>
        <v>kg</v>
      </c>
      <c r="H107" s="10" cm="1">
        <f t="array" ref="H107">Common_InputFunctions.Utility_DisplayArrayInTable(Scope3_SourceData.Scope3_Feed_Data(), Table_SourceData_Scope3_Feed[[#Headers],[Category]], 0, 2)</f>
        <v>0.23200000000000001</v>
      </c>
      <c r="I107" s="10" t="str" cm="1">
        <f t="array" ref="I107">Common_InputFunctions.Utility_DisplayArrayInTable(Scope3_SourceData.Scope3_Feed_Data(), Table_SourceData_Scope3_Feed[[#Headers],[Category]], 0, 2)</f>
        <v>at market</v>
      </c>
      <c r="N107" s="10" t="str">
        <f>Table_SourceData_Scope3_Feed[[#This Row],[Product]]</f>
        <v>Sorghum grain</v>
      </c>
      <c r="O107" s="10" t="str">
        <f>Table_SourceData_Scope3_Feed[[#This Row],[Region of origin]]</f>
        <v>NSW</v>
      </c>
    </row>
    <row r="108" spans="4:16" ht="20.100000000000001" customHeight="1" x14ac:dyDescent="0.25">
      <c r="D108" s="10" t="str" cm="1">
        <f t="array" ref="D108">Common_InputFunctions.Utility_DisplayArrayInTable(Scope3_SourceData.Scope3_Feed_Data(), Table_SourceData_Scope3_Feed[[#Headers],[Category]], 0, 2)</f>
        <v>Grain</v>
      </c>
      <c r="E108" s="10" t="str" cm="1">
        <f t="array" ref="E108">Common_InputFunctions.Utility_DisplayArrayInTable(Scope3_SourceData.Scope3_Feed_Data(), Table_SourceData_Scope3_Feed[[#Headers],[Category]], 0, 2)</f>
        <v>Sorghum grain</v>
      </c>
      <c r="F108" s="10" t="str" cm="1">
        <f t="array" ref="F108">Common_InputFunctions.Utility_DisplayArrayInTable(Scope3_SourceData.Scope3_Feed_Data(), Table_SourceData_Scope3_Feed[[#Headers],[Category]], 0, 2)</f>
        <v>QLD</v>
      </c>
      <c r="G108" s="10" t="str" cm="1">
        <f t="array" ref="G108">Common_InputFunctions.Utility_DisplayArrayInTable(Scope3_SourceData.Scope3_Feed_Data(), Table_SourceData_Scope3_Feed[[#Headers],[Category]], 0, 2)</f>
        <v>kg</v>
      </c>
      <c r="H108" s="10" cm="1">
        <f t="array" ref="H108">Common_InputFunctions.Utility_DisplayArrayInTable(Scope3_SourceData.Scope3_Feed_Data(), Table_SourceData_Scope3_Feed[[#Headers],[Category]], 0, 2)</f>
        <v>0.23100000000000001</v>
      </c>
      <c r="I108" s="10" t="str" cm="1">
        <f t="array" ref="I108">Common_InputFunctions.Utility_DisplayArrayInTable(Scope3_SourceData.Scope3_Feed_Data(), Table_SourceData_Scope3_Feed[[#Headers],[Category]], 0, 2)</f>
        <v>at market</v>
      </c>
      <c r="N108" s="10" t="str">
        <f>Table_SourceData_Scope3_Feed[[#This Row],[Product]]</f>
        <v>Sorghum grain</v>
      </c>
      <c r="O108" s="10" t="str">
        <f>Table_SourceData_Scope3_Feed[[#This Row],[Region of origin]]</f>
        <v>QLD</v>
      </c>
    </row>
    <row r="109" spans="4:16" ht="20.100000000000001" customHeight="1" x14ac:dyDescent="0.25">
      <c r="D109" s="10" t="str" cm="1">
        <f t="array" ref="D109">Common_InputFunctions.Utility_DisplayArrayInTable(Scope3_SourceData.Scope3_Feed_Data(), Table_SourceData_Scope3_Feed[[#Headers],[Category]], 0, 2)</f>
        <v>Grain</v>
      </c>
      <c r="E109" s="10" t="str" cm="1">
        <f t="array" ref="E109">Common_InputFunctions.Utility_DisplayArrayInTable(Scope3_SourceData.Scope3_Feed_Data(), Table_SourceData_Scope3_Feed[[#Headers],[Category]], 0, 2)</f>
        <v>Sorghum grain</v>
      </c>
      <c r="F109" s="10" t="str" cm="1">
        <f t="array" ref="F109">Common_InputFunctions.Utility_DisplayArrayInTable(Scope3_SourceData.Scope3_Feed_Data(), Table_SourceData_Scope3_Feed[[#Headers],[Category]], 0, 2)</f>
        <v>SA</v>
      </c>
      <c r="G109" s="10" t="str" cm="1">
        <f t="array" ref="G109">Common_InputFunctions.Utility_DisplayArrayInTable(Scope3_SourceData.Scope3_Feed_Data(), Table_SourceData_Scope3_Feed[[#Headers],[Category]], 0, 2)</f>
        <v>kg</v>
      </c>
      <c r="H109" s="10" cm="1">
        <f t="array" ref="H109">Common_InputFunctions.Utility_DisplayArrayInTable(Scope3_SourceData.Scope3_Feed_Data(), Table_SourceData_Scope3_Feed[[#Headers],[Category]], 0, 2)</f>
        <v>0.218</v>
      </c>
      <c r="I109" s="10" t="str" cm="1">
        <f t="array" ref="I109">Common_InputFunctions.Utility_DisplayArrayInTable(Scope3_SourceData.Scope3_Feed_Data(), Table_SourceData_Scope3_Feed[[#Headers],[Category]], 0, 2)</f>
        <v>at market</v>
      </c>
      <c r="N109" s="10" t="str">
        <f>Table_SourceData_Scope3_Feed[[#This Row],[Product]]</f>
        <v>Sorghum grain</v>
      </c>
      <c r="O109" s="10" t="str">
        <f>Table_SourceData_Scope3_Feed[[#This Row],[Region of origin]]</f>
        <v>SA</v>
      </c>
    </row>
    <row r="110" spans="4:16" ht="20.100000000000001" customHeight="1" x14ac:dyDescent="0.25">
      <c r="D110" s="10" t="str" cm="1">
        <f t="array" ref="D110">Common_InputFunctions.Utility_DisplayArrayInTable(Scope3_SourceData.Scope3_Feed_Data(), Table_SourceData_Scope3_Feed[[#Headers],[Category]], 0, 2)</f>
        <v>Grain</v>
      </c>
      <c r="E110" s="10" t="str" cm="1">
        <f t="array" ref="E110">Common_InputFunctions.Utility_DisplayArrayInTable(Scope3_SourceData.Scope3_Feed_Data(), Table_SourceData_Scope3_Feed[[#Headers],[Category]], 0, 2)</f>
        <v>Sorghum grain</v>
      </c>
      <c r="F110" s="10" t="str" cm="1">
        <f t="array" ref="F110">Common_InputFunctions.Utility_DisplayArrayInTable(Scope3_SourceData.Scope3_Feed_Data(), Table_SourceData_Scope3_Feed[[#Headers],[Category]], 0, 2)</f>
        <v>VIC</v>
      </c>
      <c r="G110" s="10" t="str" cm="1">
        <f t="array" ref="G110">Common_InputFunctions.Utility_DisplayArrayInTable(Scope3_SourceData.Scope3_Feed_Data(), Table_SourceData_Scope3_Feed[[#Headers],[Category]], 0, 2)</f>
        <v>kg</v>
      </c>
      <c r="H110" s="10" cm="1">
        <f t="array" ref="H110">Common_InputFunctions.Utility_DisplayArrayInTable(Scope3_SourceData.Scope3_Feed_Data(), Table_SourceData_Scope3_Feed[[#Headers],[Category]], 0, 2)</f>
        <v>0.246</v>
      </c>
      <c r="I110" s="10" t="str" cm="1">
        <f t="array" ref="I110">Common_InputFunctions.Utility_DisplayArrayInTable(Scope3_SourceData.Scope3_Feed_Data(), Table_SourceData_Scope3_Feed[[#Headers],[Category]], 0, 2)</f>
        <v>at market</v>
      </c>
      <c r="K110" s="10" t="s">
        <v>219</v>
      </c>
      <c r="L110" s="10" t="s">
        <v>414</v>
      </c>
      <c r="M110" s="8" t="str">
        <f>"Table_ProductRegions_" &amp; SUBSTITUTE(SUBSTITUTE(SUBSTITUTE(SUBSTITUTE(K111, " ", ""), ",", ""), "(", ""), ")", "")</f>
        <v>Table_ProductRegions_Wheatgrain</v>
      </c>
      <c r="N110" s="10" t="str">
        <f>Table_SourceData_Scope3_Feed[[#This Row],[Product]]</f>
        <v>Sorghum grain</v>
      </c>
      <c r="O110" s="10" t="str">
        <f>Table_SourceData_Scope3_Feed[[#This Row],[Region of origin]]</f>
        <v>VIC</v>
      </c>
    </row>
    <row r="111" spans="4:16" ht="20.100000000000001" customHeight="1" x14ac:dyDescent="0.25">
      <c r="D111" s="10" t="str" cm="1">
        <f t="array" ref="D111">Common_InputFunctions.Utility_DisplayArrayInTable(Scope3_SourceData.Scope3_Feed_Data(), Table_SourceData_Scope3_Feed[[#Headers],[Category]], 0, 2)</f>
        <v>Grain</v>
      </c>
      <c r="E111" s="10" t="str" cm="1">
        <f t="array" ref="E111">Common_InputFunctions.Utility_DisplayArrayInTable(Scope3_SourceData.Scope3_Feed_Data(), Table_SourceData_Scope3_Feed[[#Headers],[Category]], 0, 2)</f>
        <v>Wheat grain</v>
      </c>
      <c r="F111" s="10" t="str" cm="1">
        <f t="array" ref="F111">Common_InputFunctions.Utility_DisplayArrayInTable(Scope3_SourceData.Scope3_Feed_Data(), Table_SourceData_Scope3_Feed[[#Headers],[Category]], 0, 2)</f>
        <v>Australia</v>
      </c>
      <c r="G111" s="10" t="str" cm="1">
        <f t="array" ref="G111">Common_InputFunctions.Utility_DisplayArrayInTable(Scope3_SourceData.Scope3_Feed_Data(), Table_SourceData_Scope3_Feed[[#Headers],[Category]], 0, 2)</f>
        <v>kg</v>
      </c>
      <c r="H111" s="10" cm="1">
        <f t="array" ref="H111">Common_InputFunctions.Utility_DisplayArrayInTable(Scope3_SourceData.Scope3_Feed_Data(), Table_SourceData_Scope3_Feed[[#Headers],[Category]], 0, 2)</f>
        <v>0.26800000000000002</v>
      </c>
      <c r="I111" s="10" t="str" cm="1">
        <f t="array" ref="I111">Common_InputFunctions.Utility_DisplayArrayInTable(Scope3_SourceData.Scope3_Feed_Data(), Table_SourceData_Scope3_Feed[[#Headers],[Category]], 0, 2)</f>
        <v>at market</v>
      </c>
      <c r="K111" s="10" t="str">
        <f>Table_SourceData_Scope3_Feed[[#This Row],[Product]]</f>
        <v>Wheat grain</v>
      </c>
      <c r="L111" s="10" t="str">
        <f>Table_SourceData_Scope3_Feed[[#This Row],[Region of origin]]</f>
        <v>Australia</v>
      </c>
    </row>
    <row r="112" spans="4:16" ht="20.100000000000001" customHeight="1" x14ac:dyDescent="0.25">
      <c r="D112" s="10" t="str" cm="1">
        <f t="array" ref="D112">Common_InputFunctions.Utility_DisplayArrayInTable(Scope3_SourceData.Scope3_Feed_Data(), Table_SourceData_Scope3_Feed[[#Headers],[Category]], 0, 2)</f>
        <v>Grain</v>
      </c>
      <c r="E112" s="10" t="str" cm="1">
        <f t="array" ref="E112">Common_InputFunctions.Utility_DisplayArrayInTable(Scope3_SourceData.Scope3_Feed_Data(), Table_SourceData_Scope3_Feed[[#Headers],[Category]], 0, 2)</f>
        <v>Wheat grain</v>
      </c>
      <c r="F112" s="10" t="str" cm="1">
        <f t="array" ref="F112">Common_InputFunctions.Utility_DisplayArrayInTable(Scope3_SourceData.Scope3_Feed_Data(), Table_SourceData_Scope3_Feed[[#Headers],[Category]], 0, 2)</f>
        <v>NSW</v>
      </c>
      <c r="G112" s="10" t="str" cm="1">
        <f t="array" ref="G112">Common_InputFunctions.Utility_DisplayArrayInTable(Scope3_SourceData.Scope3_Feed_Data(), Table_SourceData_Scope3_Feed[[#Headers],[Category]], 0, 2)</f>
        <v>kg</v>
      </c>
      <c r="H112" s="10" cm="1">
        <f t="array" ref="H112">Common_InputFunctions.Utility_DisplayArrayInTable(Scope3_SourceData.Scope3_Feed_Data(), Table_SourceData_Scope3_Feed[[#Headers],[Category]], 0, 2)</f>
        <v>0.28199999999999997</v>
      </c>
      <c r="I112" s="10" t="str" cm="1">
        <f t="array" ref="I112">Common_InputFunctions.Utility_DisplayArrayInTable(Scope3_SourceData.Scope3_Feed_Data(), Table_SourceData_Scope3_Feed[[#Headers],[Category]], 0, 2)</f>
        <v>at market</v>
      </c>
      <c r="K112" s="10" t="str">
        <f>Table_SourceData_Scope3_Feed[[#This Row],[Product]]</f>
        <v>Wheat grain</v>
      </c>
      <c r="L112" s="10" t="str">
        <f>Table_SourceData_Scope3_Feed[[#This Row],[Region of origin]]</f>
        <v>NSW</v>
      </c>
    </row>
    <row r="113" spans="4:16" ht="20.100000000000001" customHeight="1" x14ac:dyDescent="0.25">
      <c r="D113" s="10" t="str" cm="1">
        <f t="array" ref="D113">Common_InputFunctions.Utility_DisplayArrayInTable(Scope3_SourceData.Scope3_Feed_Data(), Table_SourceData_Scope3_Feed[[#Headers],[Category]], 0, 2)</f>
        <v>Grain</v>
      </c>
      <c r="E113" s="10" t="str" cm="1">
        <f t="array" ref="E113">Common_InputFunctions.Utility_DisplayArrayInTable(Scope3_SourceData.Scope3_Feed_Data(), Table_SourceData_Scope3_Feed[[#Headers],[Category]], 0, 2)</f>
        <v>Wheat grain</v>
      </c>
      <c r="F113" s="10" t="str" cm="1">
        <f t="array" ref="F113">Common_InputFunctions.Utility_DisplayArrayInTable(Scope3_SourceData.Scope3_Feed_Data(), Table_SourceData_Scope3_Feed[[#Headers],[Category]], 0, 2)</f>
        <v>NT</v>
      </c>
      <c r="G113" s="10" t="str" cm="1">
        <f t="array" ref="G113">Common_InputFunctions.Utility_DisplayArrayInTable(Scope3_SourceData.Scope3_Feed_Data(), Table_SourceData_Scope3_Feed[[#Headers],[Category]], 0, 2)</f>
        <v>kg</v>
      </c>
      <c r="H113" s="10" cm="1">
        <f t="array" ref="H113">Common_InputFunctions.Utility_DisplayArrayInTable(Scope3_SourceData.Scope3_Feed_Data(), Table_SourceData_Scope3_Feed[[#Headers],[Category]], 0, 2)</f>
        <v>0.38500000000000001</v>
      </c>
      <c r="I113" s="10" t="str" cm="1">
        <f t="array" ref="I113">Common_InputFunctions.Utility_DisplayArrayInTable(Scope3_SourceData.Scope3_Feed_Data(), Table_SourceData_Scope3_Feed[[#Headers],[Category]], 0, 2)</f>
        <v>at market</v>
      </c>
      <c r="K113" s="10" t="str">
        <f>Table_SourceData_Scope3_Feed[[#This Row],[Product]]</f>
        <v>Wheat grain</v>
      </c>
      <c r="L113" s="10" t="str">
        <f>Table_SourceData_Scope3_Feed[[#This Row],[Region of origin]]</f>
        <v>NT</v>
      </c>
    </row>
    <row r="114" spans="4:16" ht="20.100000000000001" customHeight="1" x14ac:dyDescent="0.25">
      <c r="D114" s="10" t="str" cm="1">
        <f t="array" ref="D114">Common_InputFunctions.Utility_DisplayArrayInTable(Scope3_SourceData.Scope3_Feed_Data(), Table_SourceData_Scope3_Feed[[#Headers],[Category]], 0, 2)</f>
        <v>Grain</v>
      </c>
      <c r="E114" s="10" t="str" cm="1">
        <f t="array" ref="E114">Common_InputFunctions.Utility_DisplayArrayInTable(Scope3_SourceData.Scope3_Feed_Data(), Table_SourceData_Scope3_Feed[[#Headers],[Category]], 0, 2)</f>
        <v>Wheat grain</v>
      </c>
      <c r="F114" s="10" t="str" cm="1">
        <f t="array" ref="F114">Common_InputFunctions.Utility_DisplayArrayInTable(Scope3_SourceData.Scope3_Feed_Data(), Table_SourceData_Scope3_Feed[[#Headers],[Category]], 0, 2)</f>
        <v>QLD</v>
      </c>
      <c r="G114" s="10" t="str" cm="1">
        <f t="array" ref="G114">Common_InputFunctions.Utility_DisplayArrayInTable(Scope3_SourceData.Scope3_Feed_Data(), Table_SourceData_Scope3_Feed[[#Headers],[Category]], 0, 2)</f>
        <v>kg</v>
      </c>
      <c r="H114" s="10" cm="1">
        <f t="array" ref="H114">Common_InputFunctions.Utility_DisplayArrayInTable(Scope3_SourceData.Scope3_Feed_Data(), Table_SourceData_Scope3_Feed[[#Headers],[Category]], 0, 2)</f>
        <v>0.29599999999999999</v>
      </c>
      <c r="I114" s="10" t="str" cm="1">
        <f t="array" ref="I114">Common_InputFunctions.Utility_DisplayArrayInTable(Scope3_SourceData.Scope3_Feed_Data(), Table_SourceData_Scope3_Feed[[#Headers],[Category]], 0, 2)</f>
        <v>at market</v>
      </c>
      <c r="K114" s="10" t="str">
        <f>Table_SourceData_Scope3_Feed[[#This Row],[Product]]</f>
        <v>Wheat grain</v>
      </c>
      <c r="L114" s="10" t="str">
        <f>Table_SourceData_Scope3_Feed[[#This Row],[Region of origin]]</f>
        <v>QLD</v>
      </c>
    </row>
    <row r="115" spans="4:16" ht="20.100000000000001" customHeight="1" x14ac:dyDescent="0.25">
      <c r="D115" s="10" t="str" cm="1">
        <f t="array" ref="D115">Common_InputFunctions.Utility_DisplayArrayInTable(Scope3_SourceData.Scope3_Feed_Data(), Table_SourceData_Scope3_Feed[[#Headers],[Category]], 0, 2)</f>
        <v>Grain</v>
      </c>
      <c r="E115" s="10" t="str" cm="1">
        <f t="array" ref="E115">Common_InputFunctions.Utility_DisplayArrayInTable(Scope3_SourceData.Scope3_Feed_Data(), Table_SourceData_Scope3_Feed[[#Headers],[Category]], 0, 2)</f>
        <v>Wheat grain</v>
      </c>
      <c r="F115" s="10" t="str" cm="1">
        <f t="array" ref="F115">Common_InputFunctions.Utility_DisplayArrayInTable(Scope3_SourceData.Scope3_Feed_Data(), Table_SourceData_Scope3_Feed[[#Headers],[Category]], 0, 2)</f>
        <v>SA</v>
      </c>
      <c r="G115" s="10" t="str" cm="1">
        <f t="array" ref="G115">Common_InputFunctions.Utility_DisplayArrayInTable(Scope3_SourceData.Scope3_Feed_Data(), Table_SourceData_Scope3_Feed[[#Headers],[Category]], 0, 2)</f>
        <v>kg</v>
      </c>
      <c r="H115" s="10" cm="1">
        <f t="array" ref="H115">Common_InputFunctions.Utility_DisplayArrayInTable(Scope3_SourceData.Scope3_Feed_Data(), Table_SourceData_Scope3_Feed[[#Headers],[Category]], 0, 2)</f>
        <v>0.24099999999999999</v>
      </c>
      <c r="I115" s="10" t="str" cm="1">
        <f t="array" ref="I115">Common_InputFunctions.Utility_DisplayArrayInTable(Scope3_SourceData.Scope3_Feed_Data(), Table_SourceData_Scope3_Feed[[#Headers],[Category]], 0, 2)</f>
        <v>at market</v>
      </c>
      <c r="K115" s="10" t="str">
        <f>Table_SourceData_Scope3_Feed[[#This Row],[Product]]</f>
        <v>Wheat grain</v>
      </c>
      <c r="L115" s="10" t="str">
        <f>Table_SourceData_Scope3_Feed[[#This Row],[Region of origin]]</f>
        <v>SA</v>
      </c>
    </row>
    <row r="116" spans="4:16" ht="20.100000000000001" customHeight="1" x14ac:dyDescent="0.25">
      <c r="D116" s="10" t="str" cm="1">
        <f t="array" ref="D116">Common_InputFunctions.Utility_DisplayArrayInTable(Scope3_SourceData.Scope3_Feed_Data(), Table_SourceData_Scope3_Feed[[#Headers],[Category]], 0, 2)</f>
        <v>Grain</v>
      </c>
      <c r="E116" s="10" t="str" cm="1">
        <f t="array" ref="E116">Common_InputFunctions.Utility_DisplayArrayInTable(Scope3_SourceData.Scope3_Feed_Data(), Table_SourceData_Scope3_Feed[[#Headers],[Category]], 0, 2)</f>
        <v>Wheat grain</v>
      </c>
      <c r="F116" s="10" t="str" cm="1">
        <f t="array" ref="F116">Common_InputFunctions.Utility_DisplayArrayInTable(Scope3_SourceData.Scope3_Feed_Data(), Table_SourceData_Scope3_Feed[[#Headers],[Category]], 0, 2)</f>
        <v>TAS</v>
      </c>
      <c r="G116" s="10" t="str" cm="1">
        <f t="array" ref="G116">Common_InputFunctions.Utility_DisplayArrayInTable(Scope3_SourceData.Scope3_Feed_Data(), Table_SourceData_Scope3_Feed[[#Headers],[Category]], 0, 2)</f>
        <v>kg</v>
      </c>
      <c r="H116" s="10" cm="1">
        <f t="array" ref="H116">Common_InputFunctions.Utility_DisplayArrayInTable(Scope3_SourceData.Scope3_Feed_Data(), Table_SourceData_Scope3_Feed[[#Headers],[Category]], 0, 2)</f>
        <v>0.33800000000000002</v>
      </c>
      <c r="I116" s="10" t="str" cm="1">
        <f t="array" ref="I116">Common_InputFunctions.Utility_DisplayArrayInTable(Scope3_SourceData.Scope3_Feed_Data(), Table_SourceData_Scope3_Feed[[#Headers],[Category]], 0, 2)</f>
        <v>at market</v>
      </c>
      <c r="K116" s="10" t="str">
        <f>Table_SourceData_Scope3_Feed[[#This Row],[Product]]</f>
        <v>Wheat grain</v>
      </c>
      <c r="L116" s="10" t="str">
        <f>Table_SourceData_Scope3_Feed[[#This Row],[Region of origin]]</f>
        <v>TAS</v>
      </c>
    </row>
    <row r="117" spans="4:16" ht="20.100000000000001" customHeight="1" x14ac:dyDescent="0.25">
      <c r="D117" s="10" t="str" cm="1">
        <f t="array" ref="D117">Common_InputFunctions.Utility_DisplayArrayInTable(Scope3_SourceData.Scope3_Feed_Data(), Table_SourceData_Scope3_Feed[[#Headers],[Category]], 0, 2)</f>
        <v>Grain</v>
      </c>
      <c r="E117" s="10" t="str" cm="1">
        <f t="array" ref="E117">Common_InputFunctions.Utility_DisplayArrayInTable(Scope3_SourceData.Scope3_Feed_Data(), Table_SourceData_Scope3_Feed[[#Headers],[Category]], 0, 2)</f>
        <v>Wheat grain</v>
      </c>
      <c r="F117" s="10" t="str" cm="1">
        <f t="array" ref="F117">Common_InputFunctions.Utility_DisplayArrayInTable(Scope3_SourceData.Scope3_Feed_Data(), Table_SourceData_Scope3_Feed[[#Headers],[Category]], 0, 2)</f>
        <v>VIC</v>
      </c>
      <c r="G117" s="10" t="str" cm="1">
        <f t="array" ref="G117">Common_InputFunctions.Utility_DisplayArrayInTable(Scope3_SourceData.Scope3_Feed_Data(), Table_SourceData_Scope3_Feed[[#Headers],[Category]], 0, 2)</f>
        <v>kg</v>
      </c>
      <c r="H117" s="10" cm="1">
        <f t="array" ref="H117">Common_InputFunctions.Utility_DisplayArrayInTable(Scope3_SourceData.Scope3_Feed_Data(), Table_SourceData_Scope3_Feed[[#Headers],[Category]], 0, 2)</f>
        <v>0.26600000000000001</v>
      </c>
      <c r="I117" s="10" t="str" cm="1">
        <f t="array" ref="I117">Common_InputFunctions.Utility_DisplayArrayInTable(Scope3_SourceData.Scope3_Feed_Data(), Table_SourceData_Scope3_Feed[[#Headers],[Category]], 0, 2)</f>
        <v>at market</v>
      </c>
      <c r="K117" s="10" t="str">
        <f>Table_SourceData_Scope3_Feed[[#This Row],[Product]]</f>
        <v>Wheat grain</v>
      </c>
      <c r="L117" s="10" t="str">
        <f>Table_SourceData_Scope3_Feed[[#This Row],[Region of origin]]</f>
        <v>VIC</v>
      </c>
    </row>
    <row r="118" spans="4:16" ht="20.100000000000001" customHeight="1" x14ac:dyDescent="0.25">
      <c r="D118" s="10" t="str" cm="1">
        <f t="array" ref="D118">Common_InputFunctions.Utility_DisplayArrayInTable(Scope3_SourceData.Scope3_Feed_Data(), Table_SourceData_Scope3_Feed[[#Headers],[Category]], 0, 2)</f>
        <v>Grain</v>
      </c>
      <c r="E118" s="10" t="str" cm="1">
        <f t="array" ref="E118">Common_InputFunctions.Utility_DisplayArrayInTable(Scope3_SourceData.Scope3_Feed_Data(), Table_SourceData_Scope3_Feed[[#Headers],[Category]], 0, 2)</f>
        <v>Wheat grain</v>
      </c>
      <c r="F118" s="10" t="str" cm="1">
        <f t="array" ref="F118">Common_InputFunctions.Utility_DisplayArrayInTable(Scope3_SourceData.Scope3_Feed_Data(), Table_SourceData_Scope3_Feed[[#Headers],[Category]], 0, 2)</f>
        <v>WA</v>
      </c>
      <c r="G118" s="10" t="str" cm="1">
        <f t="array" ref="G118">Common_InputFunctions.Utility_DisplayArrayInTable(Scope3_SourceData.Scope3_Feed_Data(), Table_SourceData_Scope3_Feed[[#Headers],[Category]], 0, 2)</f>
        <v>kg</v>
      </c>
      <c r="H118" s="10" cm="1">
        <f t="array" ref="H118">Common_InputFunctions.Utility_DisplayArrayInTable(Scope3_SourceData.Scope3_Feed_Data(), Table_SourceData_Scope3_Feed[[#Headers],[Category]], 0, 2)</f>
        <v>0.26100000000000001</v>
      </c>
      <c r="I118" s="10" t="str" cm="1">
        <f t="array" ref="I118">Common_InputFunctions.Utility_DisplayArrayInTable(Scope3_SourceData.Scope3_Feed_Data(), Table_SourceData_Scope3_Feed[[#Headers],[Category]], 0, 2)</f>
        <v>at market</v>
      </c>
      <c r="K118" s="10" t="str">
        <f>Table_SourceData_Scope3_Feed[[#This Row],[Product]]</f>
        <v>Wheat grain</v>
      </c>
      <c r="L118" s="10" t="str">
        <f>Table_SourceData_Scope3_Feed[[#This Row],[Region of origin]]</f>
        <v>WA</v>
      </c>
      <c r="N118" s="10" t="s">
        <v>219</v>
      </c>
      <c r="O118" s="10" t="s">
        <v>414</v>
      </c>
      <c r="P118" s="8" t="str">
        <f>"Table_ProductRegions_" &amp; SUBSTITUTE(SUBSTITUTE(SUBSTITUTE(SUBSTITUTE(N119, " ", ""), ",", ""), "(", ""), ")", "")</f>
        <v>Table_ProductRegions_Cerealhay</v>
      </c>
    </row>
    <row r="119" spans="4:16" ht="20.100000000000001" customHeight="1" x14ac:dyDescent="0.25">
      <c r="D119" s="10" t="str" cm="1">
        <f t="array" ref="D119">Common_InputFunctions.Utility_DisplayArrayInTable(Scope3_SourceData.Scope3_Feed_Data(), Table_SourceData_Scope3_Feed[[#Headers],[Category]], 0, 2)</f>
        <v>Hay</v>
      </c>
      <c r="E119" s="10" t="str" cm="1">
        <f t="array" ref="E119">Common_InputFunctions.Utility_DisplayArrayInTable(Scope3_SourceData.Scope3_Feed_Data(), Table_SourceData_Scope3_Feed[[#Headers],[Category]], 0, 2)</f>
        <v>Cereal hay</v>
      </c>
      <c r="F119" s="10" t="str" cm="1">
        <f t="array" ref="F119">Common_InputFunctions.Utility_DisplayArrayInTable(Scope3_SourceData.Scope3_Feed_Data(), Table_SourceData_Scope3_Feed[[#Headers],[Category]], 0, 2)</f>
        <v>Australia</v>
      </c>
      <c r="G119" s="10" t="str" cm="1">
        <f t="array" ref="G119">Common_InputFunctions.Utility_DisplayArrayInTable(Scope3_SourceData.Scope3_Feed_Data(), Table_SourceData_Scope3_Feed[[#Headers],[Category]], 0, 2)</f>
        <v>kg</v>
      </c>
      <c r="H119" s="10" cm="1">
        <f t="array" ref="H119">Common_InputFunctions.Utility_DisplayArrayInTable(Scope3_SourceData.Scope3_Feed_Data(), Table_SourceData_Scope3_Feed[[#Headers],[Category]], 0, 2)</f>
        <v>0.11700000000000001</v>
      </c>
      <c r="I119" s="10" t="str" cm="1">
        <f t="array" ref="I119">Common_InputFunctions.Utility_DisplayArrayInTable(Scope3_SourceData.Scope3_Feed_Data(), Table_SourceData_Scope3_Feed[[#Headers],[Category]], 0, 2)</f>
        <v>at market</v>
      </c>
      <c r="N119" s="10" t="str">
        <f>Table_SourceData_Scope3_Feed[[#This Row],[Product]]</f>
        <v>Cereal hay</v>
      </c>
      <c r="O119" s="10" t="str">
        <f>Table_SourceData_Scope3_Feed[[#This Row],[Region of origin]]</f>
        <v>Australia</v>
      </c>
    </row>
    <row r="120" spans="4:16" ht="20.100000000000001" customHeight="1" x14ac:dyDescent="0.25">
      <c r="D120" s="10" t="str" cm="1">
        <f t="array" ref="D120">Common_InputFunctions.Utility_DisplayArrayInTable(Scope3_SourceData.Scope3_Feed_Data(), Table_SourceData_Scope3_Feed[[#Headers],[Category]], 0, 2)</f>
        <v>Hay</v>
      </c>
      <c r="E120" s="10" t="str" cm="1">
        <f t="array" ref="E120">Common_InputFunctions.Utility_DisplayArrayInTable(Scope3_SourceData.Scope3_Feed_Data(), Table_SourceData_Scope3_Feed[[#Headers],[Category]], 0, 2)</f>
        <v>Cereal hay</v>
      </c>
      <c r="F120" s="10" t="str" cm="1">
        <f t="array" ref="F120">Common_InputFunctions.Utility_DisplayArrayInTable(Scope3_SourceData.Scope3_Feed_Data(), Table_SourceData_Scope3_Feed[[#Headers],[Category]], 0, 2)</f>
        <v>NSW</v>
      </c>
      <c r="G120" s="10" t="str" cm="1">
        <f t="array" ref="G120">Common_InputFunctions.Utility_DisplayArrayInTable(Scope3_SourceData.Scope3_Feed_Data(), Table_SourceData_Scope3_Feed[[#Headers],[Category]], 0, 2)</f>
        <v>kg</v>
      </c>
      <c r="H120" s="10" cm="1">
        <f t="array" ref="H120">Common_InputFunctions.Utility_DisplayArrayInTable(Scope3_SourceData.Scope3_Feed_Data(), Table_SourceData_Scope3_Feed[[#Headers],[Category]], 0, 2)</f>
        <v>0.11600000000000001</v>
      </c>
      <c r="I120" s="10" t="str" cm="1">
        <f t="array" ref="I120">Common_InputFunctions.Utility_DisplayArrayInTable(Scope3_SourceData.Scope3_Feed_Data(), Table_SourceData_Scope3_Feed[[#Headers],[Category]], 0, 2)</f>
        <v>at market</v>
      </c>
      <c r="N120" s="10" t="str">
        <f>Table_SourceData_Scope3_Feed[[#This Row],[Product]]</f>
        <v>Cereal hay</v>
      </c>
      <c r="O120" s="10" t="str">
        <f>Table_SourceData_Scope3_Feed[[#This Row],[Region of origin]]</f>
        <v>NSW</v>
      </c>
    </row>
    <row r="121" spans="4:16" ht="20.100000000000001" customHeight="1" x14ac:dyDescent="0.25">
      <c r="D121" s="10" t="str" cm="1">
        <f t="array" ref="D121">Common_InputFunctions.Utility_DisplayArrayInTable(Scope3_SourceData.Scope3_Feed_Data(), Table_SourceData_Scope3_Feed[[#Headers],[Category]], 0, 2)</f>
        <v>Hay</v>
      </c>
      <c r="E121" s="10" t="str" cm="1">
        <f t="array" ref="E121">Common_InputFunctions.Utility_DisplayArrayInTable(Scope3_SourceData.Scope3_Feed_Data(), Table_SourceData_Scope3_Feed[[#Headers],[Category]], 0, 2)</f>
        <v>Cereal hay</v>
      </c>
      <c r="F121" s="10" t="str" cm="1">
        <f t="array" ref="F121">Common_InputFunctions.Utility_DisplayArrayInTable(Scope3_SourceData.Scope3_Feed_Data(), Table_SourceData_Scope3_Feed[[#Headers],[Category]], 0, 2)</f>
        <v>QLD</v>
      </c>
      <c r="G121" s="10" t="str" cm="1">
        <f t="array" ref="G121">Common_InputFunctions.Utility_DisplayArrayInTable(Scope3_SourceData.Scope3_Feed_Data(), Table_SourceData_Scope3_Feed[[#Headers],[Category]], 0, 2)</f>
        <v>kg</v>
      </c>
      <c r="H121" s="10" cm="1">
        <f t="array" ref="H121">Common_InputFunctions.Utility_DisplayArrayInTable(Scope3_SourceData.Scope3_Feed_Data(), Table_SourceData_Scope3_Feed[[#Headers],[Category]], 0, 2)</f>
        <v>0.11799999999999999</v>
      </c>
      <c r="I121" s="10" t="str" cm="1">
        <f t="array" ref="I121">Common_InputFunctions.Utility_DisplayArrayInTable(Scope3_SourceData.Scope3_Feed_Data(), Table_SourceData_Scope3_Feed[[#Headers],[Category]], 0, 2)</f>
        <v>at market</v>
      </c>
      <c r="N121" s="10" t="str">
        <f>Table_SourceData_Scope3_Feed[[#This Row],[Product]]</f>
        <v>Cereal hay</v>
      </c>
      <c r="O121" s="10" t="str">
        <f>Table_SourceData_Scope3_Feed[[#This Row],[Region of origin]]</f>
        <v>QLD</v>
      </c>
    </row>
    <row r="122" spans="4:16" ht="20.100000000000001" customHeight="1" x14ac:dyDescent="0.25">
      <c r="D122" s="10" t="str" cm="1">
        <f t="array" ref="D122">Common_InputFunctions.Utility_DisplayArrayInTable(Scope3_SourceData.Scope3_Feed_Data(), Table_SourceData_Scope3_Feed[[#Headers],[Category]], 0, 2)</f>
        <v>Hay</v>
      </c>
      <c r="E122" s="10" t="str" cm="1">
        <f t="array" ref="E122">Common_InputFunctions.Utility_DisplayArrayInTable(Scope3_SourceData.Scope3_Feed_Data(), Table_SourceData_Scope3_Feed[[#Headers],[Category]], 0, 2)</f>
        <v>Cereal hay</v>
      </c>
      <c r="F122" s="10" t="str" cm="1">
        <f t="array" ref="F122">Common_InputFunctions.Utility_DisplayArrayInTable(Scope3_SourceData.Scope3_Feed_Data(), Table_SourceData_Scope3_Feed[[#Headers],[Category]], 0, 2)</f>
        <v>SA</v>
      </c>
      <c r="G122" s="10" t="str" cm="1">
        <f t="array" ref="G122">Common_InputFunctions.Utility_DisplayArrayInTable(Scope3_SourceData.Scope3_Feed_Data(), Table_SourceData_Scope3_Feed[[#Headers],[Category]], 0, 2)</f>
        <v>kg</v>
      </c>
      <c r="H122" s="10" cm="1">
        <f t="array" ref="H122">Common_InputFunctions.Utility_DisplayArrayInTable(Scope3_SourceData.Scope3_Feed_Data(), Table_SourceData_Scope3_Feed[[#Headers],[Category]], 0, 2)</f>
        <v>0.111</v>
      </c>
      <c r="I122" s="10" t="str" cm="1">
        <f t="array" ref="I122">Common_InputFunctions.Utility_DisplayArrayInTable(Scope3_SourceData.Scope3_Feed_Data(), Table_SourceData_Scope3_Feed[[#Headers],[Category]], 0, 2)</f>
        <v>at market</v>
      </c>
      <c r="N122" s="10" t="str">
        <f>Table_SourceData_Scope3_Feed[[#This Row],[Product]]</f>
        <v>Cereal hay</v>
      </c>
      <c r="O122" s="10" t="str">
        <f>Table_SourceData_Scope3_Feed[[#This Row],[Region of origin]]</f>
        <v>SA</v>
      </c>
    </row>
    <row r="123" spans="4:16" ht="20.100000000000001" customHeight="1" x14ac:dyDescent="0.25">
      <c r="D123" s="10" t="str" cm="1">
        <f t="array" ref="D123">Common_InputFunctions.Utility_DisplayArrayInTable(Scope3_SourceData.Scope3_Feed_Data(), Table_SourceData_Scope3_Feed[[#Headers],[Category]], 0, 2)</f>
        <v>Hay</v>
      </c>
      <c r="E123" s="10" t="str" cm="1">
        <f t="array" ref="E123">Common_InputFunctions.Utility_DisplayArrayInTable(Scope3_SourceData.Scope3_Feed_Data(), Table_SourceData_Scope3_Feed[[#Headers],[Category]], 0, 2)</f>
        <v>Cereal hay</v>
      </c>
      <c r="F123" s="10" t="str" cm="1">
        <f t="array" ref="F123">Common_InputFunctions.Utility_DisplayArrayInTable(Scope3_SourceData.Scope3_Feed_Data(), Table_SourceData_Scope3_Feed[[#Headers],[Category]], 0, 2)</f>
        <v>TAS</v>
      </c>
      <c r="G123" s="10" t="str" cm="1">
        <f t="array" ref="G123">Common_InputFunctions.Utility_DisplayArrayInTable(Scope3_SourceData.Scope3_Feed_Data(), Table_SourceData_Scope3_Feed[[#Headers],[Category]], 0, 2)</f>
        <v>kg</v>
      </c>
      <c r="H123" s="10" cm="1">
        <f t="array" ref="H123">Common_InputFunctions.Utility_DisplayArrayInTable(Scope3_SourceData.Scope3_Feed_Data(), Table_SourceData_Scope3_Feed[[#Headers],[Category]], 0, 2)</f>
        <v>0.13900000000000001</v>
      </c>
      <c r="I123" s="10" t="str" cm="1">
        <f t="array" ref="I123">Common_InputFunctions.Utility_DisplayArrayInTable(Scope3_SourceData.Scope3_Feed_Data(), Table_SourceData_Scope3_Feed[[#Headers],[Category]], 0, 2)</f>
        <v>at market</v>
      </c>
      <c r="N123" s="10" t="str">
        <f>Table_SourceData_Scope3_Feed[[#This Row],[Product]]</f>
        <v>Cereal hay</v>
      </c>
      <c r="O123" s="10" t="str">
        <f>Table_SourceData_Scope3_Feed[[#This Row],[Region of origin]]</f>
        <v>TAS</v>
      </c>
    </row>
    <row r="124" spans="4:16" ht="20.100000000000001" customHeight="1" x14ac:dyDescent="0.25">
      <c r="D124" s="10" t="str" cm="1">
        <f t="array" ref="D124">Common_InputFunctions.Utility_DisplayArrayInTable(Scope3_SourceData.Scope3_Feed_Data(), Table_SourceData_Scope3_Feed[[#Headers],[Category]], 0, 2)</f>
        <v>Hay</v>
      </c>
      <c r="E124" s="10" t="str" cm="1">
        <f t="array" ref="E124">Common_InputFunctions.Utility_DisplayArrayInTable(Scope3_SourceData.Scope3_Feed_Data(), Table_SourceData_Scope3_Feed[[#Headers],[Category]], 0, 2)</f>
        <v>Cereal hay</v>
      </c>
      <c r="F124" s="10" t="str" cm="1">
        <f t="array" ref="F124">Common_InputFunctions.Utility_DisplayArrayInTable(Scope3_SourceData.Scope3_Feed_Data(), Table_SourceData_Scope3_Feed[[#Headers],[Category]], 0, 2)</f>
        <v>VIC</v>
      </c>
      <c r="G124" s="10" t="str" cm="1">
        <f t="array" ref="G124">Common_InputFunctions.Utility_DisplayArrayInTable(Scope3_SourceData.Scope3_Feed_Data(), Table_SourceData_Scope3_Feed[[#Headers],[Category]], 0, 2)</f>
        <v>kg</v>
      </c>
      <c r="H124" s="10" cm="1">
        <f t="array" ref="H124">Common_InputFunctions.Utility_DisplayArrayInTable(Scope3_SourceData.Scope3_Feed_Data(), Table_SourceData_Scope3_Feed[[#Headers],[Category]], 0, 2)</f>
        <v>0.11600000000000001</v>
      </c>
      <c r="I124" s="10" t="str" cm="1">
        <f t="array" ref="I124">Common_InputFunctions.Utility_DisplayArrayInTable(Scope3_SourceData.Scope3_Feed_Data(), Table_SourceData_Scope3_Feed[[#Headers],[Category]], 0, 2)</f>
        <v>at market</v>
      </c>
      <c r="N124" s="10" t="str">
        <f>Table_SourceData_Scope3_Feed[[#This Row],[Product]]</f>
        <v>Cereal hay</v>
      </c>
      <c r="O124" s="10" t="str">
        <f>Table_SourceData_Scope3_Feed[[#This Row],[Region of origin]]</f>
        <v>VIC</v>
      </c>
    </row>
    <row r="125" spans="4:16" ht="20.100000000000001" customHeight="1" x14ac:dyDescent="0.25">
      <c r="D125" s="10" t="str" cm="1">
        <f t="array" ref="D125">Common_InputFunctions.Utility_DisplayArrayInTable(Scope3_SourceData.Scope3_Feed_Data(), Table_SourceData_Scope3_Feed[[#Headers],[Category]], 0, 2)</f>
        <v>Hay</v>
      </c>
      <c r="E125" s="10" t="str" cm="1">
        <f t="array" ref="E125">Common_InputFunctions.Utility_DisplayArrayInTable(Scope3_SourceData.Scope3_Feed_Data(), Table_SourceData_Scope3_Feed[[#Headers],[Category]], 0, 2)</f>
        <v>Cereal hay</v>
      </c>
      <c r="F125" s="10" t="str" cm="1">
        <f t="array" ref="F125">Common_InputFunctions.Utility_DisplayArrayInTable(Scope3_SourceData.Scope3_Feed_Data(), Table_SourceData_Scope3_Feed[[#Headers],[Category]], 0, 2)</f>
        <v>WA</v>
      </c>
      <c r="G125" s="10" t="str" cm="1">
        <f t="array" ref="G125">Common_InputFunctions.Utility_DisplayArrayInTable(Scope3_SourceData.Scope3_Feed_Data(), Table_SourceData_Scope3_Feed[[#Headers],[Category]], 0, 2)</f>
        <v>kg</v>
      </c>
      <c r="H125" s="10" cm="1">
        <f t="array" ref="H125">Common_InputFunctions.Utility_DisplayArrayInTable(Scope3_SourceData.Scope3_Feed_Data(), Table_SourceData_Scope3_Feed[[#Headers],[Category]], 0, 2)</f>
        <v>0.122</v>
      </c>
      <c r="I125" s="10" t="str" cm="1">
        <f t="array" ref="I125">Common_InputFunctions.Utility_DisplayArrayInTable(Scope3_SourceData.Scope3_Feed_Data(), Table_SourceData_Scope3_Feed[[#Headers],[Category]], 0, 2)</f>
        <v>at market</v>
      </c>
      <c r="K125" s="10" t="s">
        <v>219</v>
      </c>
      <c r="L125" s="10" t="s">
        <v>414</v>
      </c>
      <c r="M125" s="8" t="str">
        <f>"Table_ProductRegions_" &amp; SUBSTITUTE(SUBSTITUTE(SUBSTITUTE(SUBSTITUTE(K126, " ", ""), ",", ""), "(", ""), ")", "")</f>
        <v>Table_ProductRegions_Cerealsilage</v>
      </c>
      <c r="N125" s="10" t="str">
        <f>Table_SourceData_Scope3_Feed[[#This Row],[Product]]</f>
        <v>Cereal hay</v>
      </c>
      <c r="O125" s="10" t="str">
        <f>Table_SourceData_Scope3_Feed[[#This Row],[Region of origin]]</f>
        <v>WA</v>
      </c>
    </row>
    <row r="126" spans="4:16" ht="20.100000000000001" customHeight="1" x14ac:dyDescent="0.25">
      <c r="D126" s="10" t="str" cm="1">
        <f t="array" ref="D126">Common_InputFunctions.Utility_DisplayArrayInTable(Scope3_SourceData.Scope3_Feed_Data(), Table_SourceData_Scope3_Feed[[#Headers],[Category]], 0, 2)</f>
        <v>Hay</v>
      </c>
      <c r="E126" s="10" t="str" cm="1">
        <f t="array" ref="E126">Common_InputFunctions.Utility_DisplayArrayInTable(Scope3_SourceData.Scope3_Feed_Data(), Table_SourceData_Scope3_Feed[[#Headers],[Category]], 0, 2)</f>
        <v>Cereal silage</v>
      </c>
      <c r="F126" s="10" t="str" cm="1">
        <f t="array" ref="F126">Common_InputFunctions.Utility_DisplayArrayInTable(Scope3_SourceData.Scope3_Feed_Data(), Table_SourceData_Scope3_Feed[[#Headers],[Category]], 0, 2)</f>
        <v>Australia</v>
      </c>
      <c r="G126" s="10" t="str" cm="1">
        <f t="array" ref="G126">Common_InputFunctions.Utility_DisplayArrayInTable(Scope3_SourceData.Scope3_Feed_Data(), Table_SourceData_Scope3_Feed[[#Headers],[Category]], 0, 2)</f>
        <v>kg</v>
      </c>
      <c r="H126" s="10" cm="1">
        <f t="array" ref="H126">Common_InputFunctions.Utility_DisplayArrayInTable(Scope3_SourceData.Scope3_Feed_Data(), Table_SourceData_Scope3_Feed[[#Headers],[Category]], 0, 2)</f>
        <v>7.4399999999999994E-2</v>
      </c>
      <c r="I126" s="10" t="str" cm="1">
        <f t="array" ref="I126">Common_InputFunctions.Utility_DisplayArrayInTable(Scope3_SourceData.Scope3_Feed_Data(), Table_SourceData_Scope3_Feed[[#Headers],[Category]], 0, 2)</f>
        <v>at market</v>
      </c>
      <c r="K126" s="10" t="str">
        <f>Table_SourceData_Scope3_Feed[[#This Row],[Product]]</f>
        <v>Cereal silage</v>
      </c>
      <c r="L126" s="10" t="str">
        <f>Table_SourceData_Scope3_Feed[[#This Row],[Region of origin]]</f>
        <v>Australia</v>
      </c>
    </row>
    <row r="127" spans="4:16" ht="20.100000000000001" customHeight="1" x14ac:dyDescent="0.25">
      <c r="D127" s="10" t="str" cm="1">
        <f t="array" ref="D127">Common_InputFunctions.Utility_DisplayArrayInTable(Scope3_SourceData.Scope3_Feed_Data(), Table_SourceData_Scope3_Feed[[#Headers],[Category]], 0, 2)</f>
        <v>Hay</v>
      </c>
      <c r="E127" s="10" t="str" cm="1">
        <f t="array" ref="E127">Common_InputFunctions.Utility_DisplayArrayInTable(Scope3_SourceData.Scope3_Feed_Data(), Table_SourceData_Scope3_Feed[[#Headers],[Category]], 0, 2)</f>
        <v>Cereal silage</v>
      </c>
      <c r="F127" s="10" t="str" cm="1">
        <f t="array" ref="F127">Common_InputFunctions.Utility_DisplayArrayInTable(Scope3_SourceData.Scope3_Feed_Data(), Table_SourceData_Scope3_Feed[[#Headers],[Category]], 0, 2)</f>
        <v>NSW</v>
      </c>
      <c r="G127" s="10" t="str" cm="1">
        <f t="array" ref="G127">Common_InputFunctions.Utility_DisplayArrayInTable(Scope3_SourceData.Scope3_Feed_Data(), Table_SourceData_Scope3_Feed[[#Headers],[Category]], 0, 2)</f>
        <v>kg</v>
      </c>
      <c r="H127" s="10" cm="1">
        <f t="array" ref="H127">Common_InputFunctions.Utility_DisplayArrayInTable(Scope3_SourceData.Scope3_Feed_Data(), Table_SourceData_Scope3_Feed[[#Headers],[Category]], 0, 2)</f>
        <v>7.3899999999999993E-2</v>
      </c>
      <c r="I127" s="10" t="str" cm="1">
        <f t="array" ref="I127">Common_InputFunctions.Utility_DisplayArrayInTable(Scope3_SourceData.Scope3_Feed_Data(), Table_SourceData_Scope3_Feed[[#Headers],[Category]], 0, 2)</f>
        <v>at market</v>
      </c>
      <c r="K127" s="10" t="str">
        <f>Table_SourceData_Scope3_Feed[[#This Row],[Product]]</f>
        <v>Cereal silage</v>
      </c>
      <c r="L127" s="10" t="str">
        <f>Table_SourceData_Scope3_Feed[[#This Row],[Region of origin]]</f>
        <v>NSW</v>
      </c>
    </row>
    <row r="128" spans="4:16" ht="20.100000000000001" customHeight="1" x14ac:dyDescent="0.25">
      <c r="D128" s="10" t="str" cm="1">
        <f t="array" ref="D128">Common_InputFunctions.Utility_DisplayArrayInTable(Scope3_SourceData.Scope3_Feed_Data(), Table_SourceData_Scope3_Feed[[#Headers],[Category]], 0, 2)</f>
        <v>Hay</v>
      </c>
      <c r="E128" s="10" t="str" cm="1">
        <f t="array" ref="E128">Common_InputFunctions.Utility_DisplayArrayInTable(Scope3_SourceData.Scope3_Feed_Data(), Table_SourceData_Scope3_Feed[[#Headers],[Category]], 0, 2)</f>
        <v>Cereal silage</v>
      </c>
      <c r="F128" s="10" t="str" cm="1">
        <f t="array" ref="F128">Common_InputFunctions.Utility_DisplayArrayInTable(Scope3_SourceData.Scope3_Feed_Data(), Table_SourceData_Scope3_Feed[[#Headers],[Category]], 0, 2)</f>
        <v>QLD</v>
      </c>
      <c r="G128" s="10" t="str" cm="1">
        <f t="array" ref="G128">Common_InputFunctions.Utility_DisplayArrayInTable(Scope3_SourceData.Scope3_Feed_Data(), Table_SourceData_Scope3_Feed[[#Headers],[Category]], 0, 2)</f>
        <v>kg</v>
      </c>
      <c r="H128" s="10" cm="1">
        <f t="array" ref="H128">Common_InputFunctions.Utility_DisplayArrayInTable(Scope3_SourceData.Scope3_Feed_Data(), Table_SourceData_Scope3_Feed[[#Headers],[Category]], 0, 2)</f>
        <v>7.9000000000000001E-2</v>
      </c>
      <c r="I128" s="10" t="str" cm="1">
        <f t="array" ref="I128">Common_InputFunctions.Utility_DisplayArrayInTable(Scope3_SourceData.Scope3_Feed_Data(), Table_SourceData_Scope3_Feed[[#Headers],[Category]], 0, 2)</f>
        <v>at market</v>
      </c>
      <c r="K128" s="10" t="str">
        <f>Table_SourceData_Scope3_Feed[[#This Row],[Product]]</f>
        <v>Cereal silage</v>
      </c>
      <c r="L128" s="10" t="str">
        <f>Table_SourceData_Scope3_Feed[[#This Row],[Region of origin]]</f>
        <v>QLD</v>
      </c>
    </row>
    <row r="129" spans="4:16" ht="20.100000000000001" customHeight="1" x14ac:dyDescent="0.25">
      <c r="D129" s="10" t="str" cm="1">
        <f t="array" ref="D129">Common_InputFunctions.Utility_DisplayArrayInTable(Scope3_SourceData.Scope3_Feed_Data(), Table_SourceData_Scope3_Feed[[#Headers],[Category]], 0, 2)</f>
        <v>Hay</v>
      </c>
      <c r="E129" s="10" t="str" cm="1">
        <f t="array" ref="E129">Common_InputFunctions.Utility_DisplayArrayInTable(Scope3_SourceData.Scope3_Feed_Data(), Table_SourceData_Scope3_Feed[[#Headers],[Category]], 0, 2)</f>
        <v>Cereal silage</v>
      </c>
      <c r="F129" s="10" t="str" cm="1">
        <f t="array" ref="F129">Common_InputFunctions.Utility_DisplayArrayInTable(Scope3_SourceData.Scope3_Feed_Data(), Table_SourceData_Scope3_Feed[[#Headers],[Category]], 0, 2)</f>
        <v>SA</v>
      </c>
      <c r="G129" s="10" t="str" cm="1">
        <f t="array" ref="G129">Common_InputFunctions.Utility_DisplayArrayInTable(Scope3_SourceData.Scope3_Feed_Data(), Table_SourceData_Scope3_Feed[[#Headers],[Category]], 0, 2)</f>
        <v>kg</v>
      </c>
      <c r="H129" s="10" cm="1">
        <f t="array" ref="H129">Common_InputFunctions.Utility_DisplayArrayInTable(Scope3_SourceData.Scope3_Feed_Data(), Table_SourceData_Scope3_Feed[[#Headers],[Category]], 0, 2)</f>
        <v>7.0599999999999996E-2</v>
      </c>
      <c r="I129" s="10" t="str" cm="1">
        <f t="array" ref="I129">Common_InputFunctions.Utility_DisplayArrayInTable(Scope3_SourceData.Scope3_Feed_Data(), Table_SourceData_Scope3_Feed[[#Headers],[Category]], 0, 2)</f>
        <v>at market</v>
      </c>
      <c r="K129" s="10" t="str">
        <f>Table_SourceData_Scope3_Feed[[#This Row],[Product]]</f>
        <v>Cereal silage</v>
      </c>
      <c r="L129" s="10" t="str">
        <f>Table_SourceData_Scope3_Feed[[#This Row],[Region of origin]]</f>
        <v>SA</v>
      </c>
    </row>
    <row r="130" spans="4:16" ht="20.100000000000001" customHeight="1" x14ac:dyDescent="0.25">
      <c r="D130" s="10" t="str" cm="1">
        <f t="array" ref="D130">Common_InputFunctions.Utility_DisplayArrayInTable(Scope3_SourceData.Scope3_Feed_Data(), Table_SourceData_Scope3_Feed[[#Headers],[Category]], 0, 2)</f>
        <v>Hay</v>
      </c>
      <c r="E130" s="10" t="str" cm="1">
        <f t="array" ref="E130">Common_InputFunctions.Utility_DisplayArrayInTable(Scope3_SourceData.Scope3_Feed_Data(), Table_SourceData_Scope3_Feed[[#Headers],[Category]], 0, 2)</f>
        <v>Cereal silage</v>
      </c>
      <c r="F130" s="10" t="str" cm="1">
        <f t="array" ref="F130">Common_InputFunctions.Utility_DisplayArrayInTable(Scope3_SourceData.Scope3_Feed_Data(), Table_SourceData_Scope3_Feed[[#Headers],[Category]], 0, 2)</f>
        <v>TAS</v>
      </c>
      <c r="G130" s="10" t="str" cm="1">
        <f t="array" ref="G130">Common_InputFunctions.Utility_DisplayArrayInTable(Scope3_SourceData.Scope3_Feed_Data(), Table_SourceData_Scope3_Feed[[#Headers],[Category]], 0, 2)</f>
        <v>kg</v>
      </c>
      <c r="H130" s="10" cm="1">
        <f t="array" ref="H130">Common_InputFunctions.Utility_DisplayArrayInTable(Scope3_SourceData.Scope3_Feed_Data(), Table_SourceData_Scope3_Feed[[#Headers],[Category]], 0, 2)</f>
        <v>8.0799999999999997E-2</v>
      </c>
      <c r="I130" s="10" t="str" cm="1">
        <f t="array" ref="I130">Common_InputFunctions.Utility_DisplayArrayInTable(Scope3_SourceData.Scope3_Feed_Data(), Table_SourceData_Scope3_Feed[[#Headers],[Category]], 0, 2)</f>
        <v>at market</v>
      </c>
      <c r="K130" s="10" t="str">
        <f>Table_SourceData_Scope3_Feed[[#This Row],[Product]]</f>
        <v>Cereal silage</v>
      </c>
      <c r="L130" s="10" t="str">
        <f>Table_SourceData_Scope3_Feed[[#This Row],[Region of origin]]</f>
        <v>TAS</v>
      </c>
    </row>
    <row r="131" spans="4:16" ht="20.100000000000001" customHeight="1" x14ac:dyDescent="0.25">
      <c r="D131" s="10" t="str" cm="1">
        <f t="array" ref="D131">Common_InputFunctions.Utility_DisplayArrayInTable(Scope3_SourceData.Scope3_Feed_Data(), Table_SourceData_Scope3_Feed[[#Headers],[Category]], 0, 2)</f>
        <v>Hay</v>
      </c>
      <c r="E131" s="10" t="str" cm="1">
        <f t="array" ref="E131">Common_InputFunctions.Utility_DisplayArrayInTable(Scope3_SourceData.Scope3_Feed_Data(), Table_SourceData_Scope3_Feed[[#Headers],[Category]], 0, 2)</f>
        <v>Cereal silage</v>
      </c>
      <c r="F131" s="10" t="str" cm="1">
        <f t="array" ref="F131">Common_InputFunctions.Utility_DisplayArrayInTable(Scope3_SourceData.Scope3_Feed_Data(), Table_SourceData_Scope3_Feed[[#Headers],[Category]], 0, 2)</f>
        <v>VIC</v>
      </c>
      <c r="G131" s="10" t="str" cm="1">
        <f t="array" ref="G131">Common_InputFunctions.Utility_DisplayArrayInTable(Scope3_SourceData.Scope3_Feed_Data(), Table_SourceData_Scope3_Feed[[#Headers],[Category]], 0, 2)</f>
        <v>kg</v>
      </c>
      <c r="H131" s="10" cm="1">
        <f t="array" ref="H131">Common_InputFunctions.Utility_DisplayArrayInTable(Scope3_SourceData.Scope3_Feed_Data(), Table_SourceData_Scope3_Feed[[#Headers],[Category]], 0, 2)</f>
        <v>7.3599999999999999E-2</v>
      </c>
      <c r="I131" s="10" t="str" cm="1">
        <f t="array" ref="I131">Common_InputFunctions.Utility_DisplayArrayInTable(Scope3_SourceData.Scope3_Feed_Data(), Table_SourceData_Scope3_Feed[[#Headers],[Category]], 0, 2)</f>
        <v>at market</v>
      </c>
      <c r="K131" s="10" t="str">
        <f>Table_SourceData_Scope3_Feed[[#This Row],[Product]]</f>
        <v>Cereal silage</v>
      </c>
      <c r="L131" s="10" t="str">
        <f>Table_SourceData_Scope3_Feed[[#This Row],[Region of origin]]</f>
        <v>VIC</v>
      </c>
      <c r="N131" s="10" t="s">
        <v>219</v>
      </c>
      <c r="O131" s="10" t="s">
        <v>414</v>
      </c>
      <c r="P131" s="8" t="str">
        <f>"Table_ProductRegions_" &amp; SUBSTITUTE(SUBSTITUTE(SUBSTITUTE(SUBSTITUTE(N132, " ", ""), ",", ""), "(", ""), ")", "")</f>
        <v>Table_ProductRegions_Lucernehay</v>
      </c>
    </row>
    <row r="132" spans="4:16" ht="20.100000000000001" customHeight="1" x14ac:dyDescent="0.25">
      <c r="D132" s="10" t="str" cm="1">
        <f t="array" ref="D132">Common_InputFunctions.Utility_DisplayArrayInTable(Scope3_SourceData.Scope3_Feed_Data(), Table_SourceData_Scope3_Feed[[#Headers],[Category]], 0, 2)</f>
        <v>Hay</v>
      </c>
      <c r="E132" s="10" t="str" cm="1">
        <f t="array" ref="E132">Common_InputFunctions.Utility_DisplayArrayInTable(Scope3_SourceData.Scope3_Feed_Data(), Table_SourceData_Scope3_Feed[[#Headers],[Category]], 0, 2)</f>
        <v>Lucerne hay</v>
      </c>
      <c r="F132" s="10" t="str" cm="1">
        <f t="array" ref="F132">Common_InputFunctions.Utility_DisplayArrayInTable(Scope3_SourceData.Scope3_Feed_Data(), Table_SourceData_Scope3_Feed[[#Headers],[Category]], 0, 2)</f>
        <v>Australia</v>
      </c>
      <c r="G132" s="10" t="str" cm="1">
        <f t="array" ref="G132">Common_InputFunctions.Utility_DisplayArrayInTable(Scope3_SourceData.Scope3_Feed_Data(), Table_SourceData_Scope3_Feed[[#Headers],[Category]], 0, 2)</f>
        <v>kg</v>
      </c>
      <c r="H132" s="10" cm="1">
        <f t="array" ref="H132">Common_InputFunctions.Utility_DisplayArrayInTable(Scope3_SourceData.Scope3_Feed_Data(), Table_SourceData_Scope3_Feed[[#Headers],[Category]], 0, 2)</f>
        <v>0.11700000000000001</v>
      </c>
      <c r="I132" s="10" t="str" cm="1">
        <f t="array" ref="I132">Common_InputFunctions.Utility_DisplayArrayInTable(Scope3_SourceData.Scope3_Feed_Data(), Table_SourceData_Scope3_Feed[[#Headers],[Category]], 0, 2)</f>
        <v>at market</v>
      </c>
      <c r="N132" s="10" t="str">
        <f>Table_SourceData_Scope3_Feed[[#This Row],[Product]]</f>
        <v>Lucerne hay</v>
      </c>
      <c r="O132" s="10" t="str">
        <f>Table_SourceData_Scope3_Feed[[#This Row],[Region of origin]]</f>
        <v>Australia</v>
      </c>
    </row>
    <row r="133" spans="4:16" ht="20.100000000000001" customHeight="1" x14ac:dyDescent="0.25">
      <c r="D133" s="10" t="str" cm="1">
        <f t="array" ref="D133">Common_InputFunctions.Utility_DisplayArrayInTable(Scope3_SourceData.Scope3_Feed_Data(), Table_SourceData_Scope3_Feed[[#Headers],[Category]], 0, 2)</f>
        <v>Hay</v>
      </c>
      <c r="E133" s="10" t="str" cm="1">
        <f t="array" ref="E133">Common_InputFunctions.Utility_DisplayArrayInTable(Scope3_SourceData.Scope3_Feed_Data(), Table_SourceData_Scope3_Feed[[#Headers],[Category]], 0, 2)</f>
        <v>Lucerne hay</v>
      </c>
      <c r="F133" s="10" t="str" cm="1">
        <f t="array" ref="F133">Common_InputFunctions.Utility_DisplayArrayInTable(Scope3_SourceData.Scope3_Feed_Data(), Table_SourceData_Scope3_Feed[[#Headers],[Category]], 0, 2)</f>
        <v>NSW</v>
      </c>
      <c r="G133" s="10" t="str" cm="1">
        <f t="array" ref="G133">Common_InputFunctions.Utility_DisplayArrayInTable(Scope3_SourceData.Scope3_Feed_Data(), Table_SourceData_Scope3_Feed[[#Headers],[Category]], 0, 2)</f>
        <v>kg</v>
      </c>
      <c r="H133" s="10" cm="1">
        <f t="array" ref="H133">Common_InputFunctions.Utility_DisplayArrayInTable(Scope3_SourceData.Scope3_Feed_Data(), Table_SourceData_Scope3_Feed[[#Headers],[Category]], 0, 2)</f>
        <v>0.113</v>
      </c>
      <c r="I133" s="10" t="str" cm="1">
        <f t="array" ref="I133">Common_InputFunctions.Utility_DisplayArrayInTable(Scope3_SourceData.Scope3_Feed_Data(), Table_SourceData_Scope3_Feed[[#Headers],[Category]], 0, 2)</f>
        <v>at market</v>
      </c>
      <c r="N133" s="10" t="str">
        <f>Table_SourceData_Scope3_Feed[[#This Row],[Product]]</f>
        <v>Lucerne hay</v>
      </c>
      <c r="O133" s="10" t="str">
        <f>Table_SourceData_Scope3_Feed[[#This Row],[Region of origin]]</f>
        <v>NSW</v>
      </c>
    </row>
    <row r="134" spans="4:16" ht="20.100000000000001" customHeight="1" x14ac:dyDescent="0.25">
      <c r="D134" s="10" t="str" cm="1">
        <f t="array" ref="D134">Common_InputFunctions.Utility_DisplayArrayInTable(Scope3_SourceData.Scope3_Feed_Data(), Table_SourceData_Scope3_Feed[[#Headers],[Category]], 0, 2)</f>
        <v>Hay</v>
      </c>
      <c r="E134" s="10" t="str" cm="1">
        <f t="array" ref="E134">Common_InputFunctions.Utility_DisplayArrayInTable(Scope3_SourceData.Scope3_Feed_Data(), Table_SourceData_Scope3_Feed[[#Headers],[Category]], 0, 2)</f>
        <v>Lucerne hay</v>
      </c>
      <c r="F134" s="10" t="str" cm="1">
        <f t="array" ref="F134">Common_InputFunctions.Utility_DisplayArrayInTable(Scope3_SourceData.Scope3_Feed_Data(), Table_SourceData_Scope3_Feed[[#Headers],[Category]], 0, 2)</f>
        <v>QLD</v>
      </c>
      <c r="G134" s="10" t="str" cm="1">
        <f t="array" ref="G134">Common_InputFunctions.Utility_DisplayArrayInTable(Scope3_SourceData.Scope3_Feed_Data(), Table_SourceData_Scope3_Feed[[#Headers],[Category]], 0, 2)</f>
        <v>kg</v>
      </c>
      <c r="H134" s="10" cm="1">
        <f t="array" ref="H134">Common_InputFunctions.Utility_DisplayArrayInTable(Scope3_SourceData.Scope3_Feed_Data(), Table_SourceData_Scope3_Feed[[#Headers],[Category]], 0, 2)</f>
        <v>0.14299999999999999</v>
      </c>
      <c r="I134" s="10" t="str" cm="1">
        <f t="array" ref="I134">Common_InputFunctions.Utility_DisplayArrayInTable(Scope3_SourceData.Scope3_Feed_Data(), Table_SourceData_Scope3_Feed[[#Headers],[Category]], 0, 2)</f>
        <v>at market</v>
      </c>
      <c r="N134" s="10" t="str">
        <f>Table_SourceData_Scope3_Feed[[#This Row],[Product]]</f>
        <v>Lucerne hay</v>
      </c>
      <c r="O134" s="10" t="str">
        <f>Table_SourceData_Scope3_Feed[[#This Row],[Region of origin]]</f>
        <v>QLD</v>
      </c>
    </row>
    <row r="135" spans="4:16" ht="20.100000000000001" customHeight="1" x14ac:dyDescent="0.25">
      <c r="D135" s="10" t="str" cm="1">
        <f t="array" ref="D135">Common_InputFunctions.Utility_DisplayArrayInTable(Scope3_SourceData.Scope3_Feed_Data(), Table_SourceData_Scope3_Feed[[#Headers],[Category]], 0, 2)</f>
        <v>Hay</v>
      </c>
      <c r="E135" s="10" t="str" cm="1">
        <f t="array" ref="E135">Common_InputFunctions.Utility_DisplayArrayInTable(Scope3_SourceData.Scope3_Feed_Data(), Table_SourceData_Scope3_Feed[[#Headers],[Category]], 0, 2)</f>
        <v>Lucerne hay</v>
      </c>
      <c r="F135" s="10" t="str" cm="1">
        <f t="array" ref="F135">Common_InputFunctions.Utility_DisplayArrayInTable(Scope3_SourceData.Scope3_Feed_Data(), Table_SourceData_Scope3_Feed[[#Headers],[Category]], 0, 2)</f>
        <v>SA</v>
      </c>
      <c r="G135" s="10" t="str" cm="1">
        <f t="array" ref="G135">Common_InputFunctions.Utility_DisplayArrayInTable(Scope3_SourceData.Scope3_Feed_Data(), Table_SourceData_Scope3_Feed[[#Headers],[Category]], 0, 2)</f>
        <v>kg</v>
      </c>
      <c r="H135" s="10" cm="1">
        <f t="array" ref="H135">Common_InputFunctions.Utility_DisplayArrayInTable(Scope3_SourceData.Scope3_Feed_Data(), Table_SourceData_Scope3_Feed[[#Headers],[Category]], 0, 2)</f>
        <v>0.106</v>
      </c>
      <c r="I135" s="10" t="str" cm="1">
        <f t="array" ref="I135">Common_InputFunctions.Utility_DisplayArrayInTable(Scope3_SourceData.Scope3_Feed_Data(), Table_SourceData_Scope3_Feed[[#Headers],[Category]], 0, 2)</f>
        <v>at market</v>
      </c>
      <c r="N135" s="10" t="str">
        <f>Table_SourceData_Scope3_Feed[[#This Row],[Product]]</f>
        <v>Lucerne hay</v>
      </c>
      <c r="O135" s="10" t="str">
        <f>Table_SourceData_Scope3_Feed[[#This Row],[Region of origin]]</f>
        <v>SA</v>
      </c>
    </row>
    <row r="136" spans="4:16" ht="20.100000000000001" customHeight="1" x14ac:dyDescent="0.25">
      <c r="D136" s="10" t="str" cm="1">
        <f t="array" ref="D136">Common_InputFunctions.Utility_DisplayArrayInTable(Scope3_SourceData.Scope3_Feed_Data(), Table_SourceData_Scope3_Feed[[#Headers],[Category]], 0, 2)</f>
        <v>Hay</v>
      </c>
      <c r="E136" s="10" t="str" cm="1">
        <f t="array" ref="E136">Common_InputFunctions.Utility_DisplayArrayInTable(Scope3_SourceData.Scope3_Feed_Data(), Table_SourceData_Scope3_Feed[[#Headers],[Category]], 0, 2)</f>
        <v>Lucerne hay</v>
      </c>
      <c r="F136" s="10" t="str" cm="1">
        <f t="array" ref="F136">Common_InputFunctions.Utility_DisplayArrayInTable(Scope3_SourceData.Scope3_Feed_Data(), Table_SourceData_Scope3_Feed[[#Headers],[Category]], 0, 2)</f>
        <v>TAS</v>
      </c>
      <c r="G136" s="10" t="str" cm="1">
        <f t="array" ref="G136">Common_InputFunctions.Utility_DisplayArrayInTable(Scope3_SourceData.Scope3_Feed_Data(), Table_SourceData_Scope3_Feed[[#Headers],[Category]], 0, 2)</f>
        <v>kg</v>
      </c>
      <c r="H136" s="10" cm="1">
        <f t="array" ref="H136">Common_InputFunctions.Utility_DisplayArrayInTable(Scope3_SourceData.Scope3_Feed_Data(), Table_SourceData_Scope3_Feed[[#Headers],[Category]], 0, 2)</f>
        <v>0.113</v>
      </c>
      <c r="I136" s="10" t="str" cm="1">
        <f t="array" ref="I136">Common_InputFunctions.Utility_DisplayArrayInTable(Scope3_SourceData.Scope3_Feed_Data(), Table_SourceData_Scope3_Feed[[#Headers],[Category]], 0, 2)</f>
        <v>at market</v>
      </c>
      <c r="N136" s="10" t="str">
        <f>Table_SourceData_Scope3_Feed[[#This Row],[Product]]</f>
        <v>Lucerne hay</v>
      </c>
      <c r="O136" s="10" t="str">
        <f>Table_SourceData_Scope3_Feed[[#This Row],[Region of origin]]</f>
        <v>TAS</v>
      </c>
    </row>
    <row r="137" spans="4:16" ht="20.100000000000001" customHeight="1" x14ac:dyDescent="0.25">
      <c r="D137" s="10" t="str" cm="1">
        <f t="array" ref="D137">Common_InputFunctions.Utility_DisplayArrayInTable(Scope3_SourceData.Scope3_Feed_Data(), Table_SourceData_Scope3_Feed[[#Headers],[Category]], 0, 2)</f>
        <v>Hay</v>
      </c>
      <c r="E137" s="10" t="str" cm="1">
        <f t="array" ref="E137">Common_InputFunctions.Utility_DisplayArrayInTable(Scope3_SourceData.Scope3_Feed_Data(), Table_SourceData_Scope3_Feed[[#Headers],[Category]], 0, 2)</f>
        <v>Lucerne hay</v>
      </c>
      <c r="F137" s="10" t="str" cm="1">
        <f t="array" ref="F137">Common_InputFunctions.Utility_DisplayArrayInTable(Scope3_SourceData.Scope3_Feed_Data(), Table_SourceData_Scope3_Feed[[#Headers],[Category]], 0, 2)</f>
        <v>VIC</v>
      </c>
      <c r="G137" s="10" t="str" cm="1">
        <f t="array" ref="G137">Common_InputFunctions.Utility_DisplayArrayInTable(Scope3_SourceData.Scope3_Feed_Data(), Table_SourceData_Scope3_Feed[[#Headers],[Category]], 0, 2)</f>
        <v>kg</v>
      </c>
      <c r="H137" s="10" cm="1">
        <f t="array" ref="H137">Common_InputFunctions.Utility_DisplayArrayInTable(Scope3_SourceData.Scope3_Feed_Data(), Table_SourceData_Scope3_Feed[[#Headers],[Category]], 0, 2)</f>
        <v>0.106</v>
      </c>
      <c r="I137" s="10" t="str" cm="1">
        <f t="array" ref="I137">Common_InputFunctions.Utility_DisplayArrayInTable(Scope3_SourceData.Scope3_Feed_Data(), Table_SourceData_Scope3_Feed[[#Headers],[Category]], 0, 2)</f>
        <v>at market</v>
      </c>
      <c r="N137" s="10" t="str">
        <f>Table_SourceData_Scope3_Feed[[#This Row],[Product]]</f>
        <v>Lucerne hay</v>
      </c>
      <c r="O137" s="10" t="str">
        <f>Table_SourceData_Scope3_Feed[[#This Row],[Region of origin]]</f>
        <v>VIC</v>
      </c>
    </row>
    <row r="138" spans="4:16" ht="20.100000000000001" customHeight="1" x14ac:dyDescent="0.25">
      <c r="D138" s="10" t="str" cm="1">
        <f t="array" ref="D138">Common_InputFunctions.Utility_DisplayArrayInTable(Scope3_SourceData.Scope3_Feed_Data(), Table_SourceData_Scope3_Feed[[#Headers],[Category]], 0, 2)</f>
        <v>Hay</v>
      </c>
      <c r="E138" s="10" t="str" cm="1">
        <f t="array" ref="E138">Common_InputFunctions.Utility_DisplayArrayInTable(Scope3_SourceData.Scope3_Feed_Data(), Table_SourceData_Scope3_Feed[[#Headers],[Category]], 0, 2)</f>
        <v>Maize silage</v>
      </c>
      <c r="F138" s="10" t="str" cm="1">
        <f t="array" ref="F138">Common_InputFunctions.Utility_DisplayArrayInTable(Scope3_SourceData.Scope3_Feed_Data(), Table_SourceData_Scope3_Feed[[#Headers],[Category]], 0, 2)</f>
        <v>VIC</v>
      </c>
      <c r="G138" s="10" t="str" cm="1">
        <f t="array" ref="G138">Common_InputFunctions.Utility_DisplayArrayInTable(Scope3_SourceData.Scope3_Feed_Data(), Table_SourceData_Scope3_Feed[[#Headers],[Category]], 0, 2)</f>
        <v>kg</v>
      </c>
      <c r="H138" s="10" cm="1">
        <f t="array" ref="H138">Common_InputFunctions.Utility_DisplayArrayInTable(Scope3_SourceData.Scope3_Feed_Data(), Table_SourceData_Scope3_Feed[[#Headers],[Category]], 0, 2)</f>
        <v>0.16300000000000001</v>
      </c>
      <c r="I138" s="10" t="str" cm="1">
        <f t="array" ref="I138">Common_InputFunctions.Utility_DisplayArrayInTable(Scope3_SourceData.Scope3_Feed_Data(), Table_SourceData_Scope3_Feed[[#Headers],[Category]], 0, 2)</f>
        <v>at market</v>
      </c>
      <c r="K138" s="10" t="s">
        <v>219</v>
      </c>
      <c r="L138" s="10" t="s">
        <v>414</v>
      </c>
      <c r="M138" s="8" t="str">
        <f>"Table_ProductRegions_" &amp; SUBSTITUTE(SUBSTITUTE(SUBSTITUTE(SUBSTITUTE(K139, " ", ""), ",", ""), "(", ""), ")", "")</f>
        <v>Table_ProductRegions_Oatenhay</v>
      </c>
      <c r="N138" s="10" t="str">
        <f>Table_SourceData_Scope3_Feed[[#This Row],[Product]]</f>
        <v>Maize silage</v>
      </c>
      <c r="O138" s="10" t="str">
        <f>Table_SourceData_Scope3_Feed[[#This Row],[Region of origin]]</f>
        <v>VIC</v>
      </c>
    </row>
    <row r="139" spans="4:16" ht="20.100000000000001" customHeight="1" x14ac:dyDescent="0.25">
      <c r="D139" s="10" t="str" cm="1">
        <f t="array" ref="D139">Common_InputFunctions.Utility_DisplayArrayInTable(Scope3_SourceData.Scope3_Feed_Data(), Table_SourceData_Scope3_Feed[[#Headers],[Category]], 0, 2)</f>
        <v>Hay</v>
      </c>
      <c r="E139" s="10" t="str" cm="1">
        <f t="array" ref="E139">Common_InputFunctions.Utility_DisplayArrayInTable(Scope3_SourceData.Scope3_Feed_Data(), Table_SourceData_Scope3_Feed[[#Headers],[Category]], 0, 2)</f>
        <v>Oaten hay</v>
      </c>
      <c r="F139" s="10" t="str" cm="1">
        <f t="array" ref="F139">Common_InputFunctions.Utility_DisplayArrayInTable(Scope3_SourceData.Scope3_Feed_Data(), Table_SourceData_Scope3_Feed[[#Headers],[Category]], 0, 2)</f>
        <v>Australia</v>
      </c>
      <c r="G139" s="10" t="str" cm="1">
        <f t="array" ref="G139">Common_InputFunctions.Utility_DisplayArrayInTable(Scope3_SourceData.Scope3_Feed_Data(), Table_SourceData_Scope3_Feed[[#Headers],[Category]], 0, 2)</f>
        <v>kg</v>
      </c>
      <c r="H139" s="10" cm="1">
        <f t="array" ref="H139">Common_InputFunctions.Utility_DisplayArrayInTable(Scope3_SourceData.Scope3_Feed_Data(), Table_SourceData_Scope3_Feed[[#Headers],[Category]], 0, 2)</f>
        <v>0.12</v>
      </c>
      <c r="I139" s="10" t="str" cm="1">
        <f t="array" ref="I139">Common_InputFunctions.Utility_DisplayArrayInTable(Scope3_SourceData.Scope3_Feed_Data(), Table_SourceData_Scope3_Feed[[#Headers],[Category]], 0, 2)</f>
        <v>at market</v>
      </c>
      <c r="K139" s="10" t="str">
        <f>Table_SourceData_Scope3_Feed[[#This Row],[Product]]</f>
        <v>Oaten hay</v>
      </c>
      <c r="L139" s="10" t="str">
        <f>Table_SourceData_Scope3_Feed[[#This Row],[Region of origin]]</f>
        <v>Australia</v>
      </c>
    </row>
    <row r="140" spans="4:16" ht="20.100000000000001" customHeight="1" x14ac:dyDescent="0.25">
      <c r="D140" s="10" t="str" cm="1">
        <f t="array" ref="D140">Common_InputFunctions.Utility_DisplayArrayInTable(Scope3_SourceData.Scope3_Feed_Data(), Table_SourceData_Scope3_Feed[[#Headers],[Category]], 0, 2)</f>
        <v>Hay</v>
      </c>
      <c r="E140" s="10" t="str" cm="1">
        <f t="array" ref="E140">Common_InputFunctions.Utility_DisplayArrayInTable(Scope3_SourceData.Scope3_Feed_Data(), Table_SourceData_Scope3_Feed[[#Headers],[Category]], 0, 2)</f>
        <v>Oaten hay</v>
      </c>
      <c r="F140" s="10" t="str" cm="1">
        <f t="array" ref="F140">Common_InputFunctions.Utility_DisplayArrayInTable(Scope3_SourceData.Scope3_Feed_Data(), Table_SourceData_Scope3_Feed[[#Headers],[Category]], 0, 2)</f>
        <v>NSW</v>
      </c>
      <c r="G140" s="10" t="str" cm="1">
        <f t="array" ref="G140">Common_InputFunctions.Utility_DisplayArrayInTable(Scope3_SourceData.Scope3_Feed_Data(), Table_SourceData_Scope3_Feed[[#Headers],[Category]], 0, 2)</f>
        <v>kg</v>
      </c>
      <c r="H140" s="10" cm="1">
        <f t="array" ref="H140">Common_InputFunctions.Utility_DisplayArrayInTable(Scope3_SourceData.Scope3_Feed_Data(), Table_SourceData_Scope3_Feed[[#Headers],[Category]], 0, 2)</f>
        <v>0.11899999999999999</v>
      </c>
      <c r="I140" s="10" t="str" cm="1">
        <f t="array" ref="I140">Common_InputFunctions.Utility_DisplayArrayInTable(Scope3_SourceData.Scope3_Feed_Data(), Table_SourceData_Scope3_Feed[[#Headers],[Category]], 0, 2)</f>
        <v>at market</v>
      </c>
      <c r="K140" s="10" t="str">
        <f>Table_SourceData_Scope3_Feed[[#This Row],[Product]]</f>
        <v>Oaten hay</v>
      </c>
      <c r="L140" s="10" t="str">
        <f>Table_SourceData_Scope3_Feed[[#This Row],[Region of origin]]</f>
        <v>NSW</v>
      </c>
    </row>
    <row r="141" spans="4:16" ht="20.100000000000001" customHeight="1" x14ac:dyDescent="0.25">
      <c r="D141" s="10" t="str" cm="1">
        <f t="array" ref="D141">Common_InputFunctions.Utility_DisplayArrayInTable(Scope3_SourceData.Scope3_Feed_Data(), Table_SourceData_Scope3_Feed[[#Headers],[Category]], 0, 2)</f>
        <v>Hay</v>
      </c>
      <c r="E141" s="10" t="str" cm="1">
        <f t="array" ref="E141">Common_InputFunctions.Utility_DisplayArrayInTable(Scope3_SourceData.Scope3_Feed_Data(), Table_SourceData_Scope3_Feed[[#Headers],[Category]], 0, 2)</f>
        <v>Oaten hay</v>
      </c>
      <c r="F141" s="10" t="str" cm="1">
        <f t="array" ref="F141">Common_InputFunctions.Utility_DisplayArrayInTable(Scope3_SourceData.Scope3_Feed_Data(), Table_SourceData_Scope3_Feed[[#Headers],[Category]], 0, 2)</f>
        <v>QLD</v>
      </c>
      <c r="G141" s="10" t="str" cm="1">
        <f t="array" ref="G141">Common_InputFunctions.Utility_DisplayArrayInTable(Scope3_SourceData.Scope3_Feed_Data(), Table_SourceData_Scope3_Feed[[#Headers],[Category]], 0, 2)</f>
        <v>kg</v>
      </c>
      <c r="H141" s="10" cm="1">
        <f t="array" ref="H141">Common_InputFunctions.Utility_DisplayArrayInTable(Scope3_SourceData.Scope3_Feed_Data(), Table_SourceData_Scope3_Feed[[#Headers],[Category]], 0, 2)</f>
        <v>0.11700000000000001</v>
      </c>
      <c r="I141" s="10" t="str" cm="1">
        <f t="array" ref="I141">Common_InputFunctions.Utility_DisplayArrayInTable(Scope3_SourceData.Scope3_Feed_Data(), Table_SourceData_Scope3_Feed[[#Headers],[Category]], 0, 2)</f>
        <v>at market</v>
      </c>
      <c r="K141" s="10" t="str">
        <f>Table_SourceData_Scope3_Feed[[#This Row],[Product]]</f>
        <v>Oaten hay</v>
      </c>
      <c r="L141" s="10" t="str">
        <f>Table_SourceData_Scope3_Feed[[#This Row],[Region of origin]]</f>
        <v>QLD</v>
      </c>
    </row>
    <row r="142" spans="4:16" ht="20.100000000000001" customHeight="1" x14ac:dyDescent="0.25">
      <c r="D142" s="10" t="str" cm="1">
        <f t="array" ref="D142">Common_InputFunctions.Utility_DisplayArrayInTable(Scope3_SourceData.Scope3_Feed_Data(), Table_SourceData_Scope3_Feed[[#Headers],[Category]], 0, 2)</f>
        <v>Hay</v>
      </c>
      <c r="E142" s="10" t="str" cm="1">
        <f t="array" ref="E142">Common_InputFunctions.Utility_DisplayArrayInTable(Scope3_SourceData.Scope3_Feed_Data(), Table_SourceData_Scope3_Feed[[#Headers],[Category]], 0, 2)</f>
        <v>Oaten hay</v>
      </c>
      <c r="F142" s="10" t="str" cm="1">
        <f t="array" ref="F142">Common_InputFunctions.Utility_DisplayArrayInTable(Scope3_SourceData.Scope3_Feed_Data(), Table_SourceData_Scope3_Feed[[#Headers],[Category]], 0, 2)</f>
        <v>SA</v>
      </c>
      <c r="G142" s="10" t="str" cm="1">
        <f t="array" ref="G142">Common_InputFunctions.Utility_DisplayArrayInTable(Scope3_SourceData.Scope3_Feed_Data(), Table_SourceData_Scope3_Feed[[#Headers],[Category]], 0, 2)</f>
        <v>kg</v>
      </c>
      <c r="H142" s="10" cm="1">
        <f t="array" ref="H142">Common_InputFunctions.Utility_DisplayArrayInTable(Scope3_SourceData.Scope3_Feed_Data(), Table_SourceData_Scope3_Feed[[#Headers],[Category]], 0, 2)</f>
        <v>0.114</v>
      </c>
      <c r="I142" s="10" t="str" cm="1">
        <f t="array" ref="I142">Common_InputFunctions.Utility_DisplayArrayInTable(Scope3_SourceData.Scope3_Feed_Data(), Table_SourceData_Scope3_Feed[[#Headers],[Category]], 0, 2)</f>
        <v>at market</v>
      </c>
      <c r="K142" s="10" t="str">
        <f>Table_SourceData_Scope3_Feed[[#This Row],[Product]]</f>
        <v>Oaten hay</v>
      </c>
      <c r="L142" s="10" t="str">
        <f>Table_SourceData_Scope3_Feed[[#This Row],[Region of origin]]</f>
        <v>SA</v>
      </c>
    </row>
    <row r="143" spans="4:16" ht="20.100000000000001" customHeight="1" x14ac:dyDescent="0.25">
      <c r="D143" s="10" t="str" cm="1">
        <f t="array" ref="D143">Common_InputFunctions.Utility_DisplayArrayInTable(Scope3_SourceData.Scope3_Feed_Data(), Table_SourceData_Scope3_Feed[[#Headers],[Category]], 0, 2)</f>
        <v>Hay</v>
      </c>
      <c r="E143" s="10" t="str" cm="1">
        <f t="array" ref="E143">Common_InputFunctions.Utility_DisplayArrayInTable(Scope3_SourceData.Scope3_Feed_Data(), Table_SourceData_Scope3_Feed[[#Headers],[Category]], 0, 2)</f>
        <v>Oaten hay</v>
      </c>
      <c r="F143" s="10" t="str" cm="1">
        <f t="array" ref="F143">Common_InputFunctions.Utility_DisplayArrayInTable(Scope3_SourceData.Scope3_Feed_Data(), Table_SourceData_Scope3_Feed[[#Headers],[Category]], 0, 2)</f>
        <v>VIC</v>
      </c>
      <c r="G143" s="10" t="str" cm="1">
        <f t="array" ref="G143">Common_InputFunctions.Utility_DisplayArrayInTable(Scope3_SourceData.Scope3_Feed_Data(), Table_SourceData_Scope3_Feed[[#Headers],[Category]], 0, 2)</f>
        <v>kg</v>
      </c>
      <c r="H143" s="10" cm="1">
        <f t="array" ref="H143">Common_InputFunctions.Utility_DisplayArrayInTable(Scope3_SourceData.Scope3_Feed_Data(), Table_SourceData_Scope3_Feed[[#Headers],[Category]], 0, 2)</f>
        <v>0.11799999999999999</v>
      </c>
      <c r="I143" s="10" t="str" cm="1">
        <f t="array" ref="I143">Common_InputFunctions.Utility_DisplayArrayInTable(Scope3_SourceData.Scope3_Feed_Data(), Table_SourceData_Scope3_Feed[[#Headers],[Category]], 0, 2)</f>
        <v>at market</v>
      </c>
      <c r="K143" s="10" t="str">
        <f>Table_SourceData_Scope3_Feed[[#This Row],[Product]]</f>
        <v>Oaten hay</v>
      </c>
      <c r="L143" s="10" t="str">
        <f>Table_SourceData_Scope3_Feed[[#This Row],[Region of origin]]</f>
        <v>VIC</v>
      </c>
    </row>
    <row r="144" spans="4:16" ht="20.100000000000001" customHeight="1" x14ac:dyDescent="0.25">
      <c r="D144" s="10" t="str" cm="1">
        <f t="array" ref="D144">Common_InputFunctions.Utility_DisplayArrayInTable(Scope3_SourceData.Scope3_Feed_Data(), Table_SourceData_Scope3_Feed[[#Headers],[Category]], 0, 2)</f>
        <v>Hay</v>
      </c>
      <c r="E144" s="10" t="str" cm="1">
        <f t="array" ref="E144">Common_InputFunctions.Utility_DisplayArrayInTable(Scope3_SourceData.Scope3_Feed_Data(), Table_SourceData_Scope3_Feed[[#Headers],[Category]], 0, 2)</f>
        <v>Oaten hay</v>
      </c>
      <c r="F144" s="10" t="str" cm="1">
        <f t="array" ref="F144">Common_InputFunctions.Utility_DisplayArrayInTable(Scope3_SourceData.Scope3_Feed_Data(), Table_SourceData_Scope3_Feed[[#Headers],[Category]], 0, 2)</f>
        <v>WA</v>
      </c>
      <c r="G144" s="10" t="str" cm="1">
        <f t="array" ref="G144">Common_InputFunctions.Utility_DisplayArrayInTable(Scope3_SourceData.Scope3_Feed_Data(), Table_SourceData_Scope3_Feed[[#Headers],[Category]], 0, 2)</f>
        <v>kg</v>
      </c>
      <c r="H144" s="10" cm="1">
        <f t="array" ref="H144">Common_InputFunctions.Utility_DisplayArrayInTable(Scope3_SourceData.Scope3_Feed_Data(), Table_SourceData_Scope3_Feed[[#Headers],[Category]], 0, 2)</f>
        <v>0.124</v>
      </c>
      <c r="I144" s="10" t="str" cm="1">
        <f t="array" ref="I144">Common_InputFunctions.Utility_DisplayArrayInTable(Scope3_SourceData.Scope3_Feed_Data(), Table_SourceData_Scope3_Feed[[#Headers],[Category]], 0, 2)</f>
        <v>at market</v>
      </c>
      <c r="K144" s="10" t="str">
        <f>Table_SourceData_Scope3_Feed[[#This Row],[Product]]</f>
        <v>Oaten hay</v>
      </c>
      <c r="L144" s="10" t="str">
        <f>Table_SourceData_Scope3_Feed[[#This Row],[Region of origin]]</f>
        <v>WA</v>
      </c>
      <c r="N144" s="10" t="s">
        <v>219</v>
      </c>
      <c r="O144" s="10" t="s">
        <v>414</v>
      </c>
      <c r="P144" s="8" t="str">
        <f>"Table_ProductRegions_" &amp; SUBSTITUTE(SUBSTITUTE(SUBSTITUTE(SUBSTITUTE(N145, " ", ""), ",", ""), "(", ""), ")", "")</f>
        <v>Table_ProductRegions_Pasturehay</v>
      </c>
    </row>
    <row r="145" spans="4:16" ht="20.100000000000001" customHeight="1" x14ac:dyDescent="0.25">
      <c r="D145" s="10" t="str" cm="1">
        <f t="array" ref="D145">Common_InputFunctions.Utility_DisplayArrayInTable(Scope3_SourceData.Scope3_Feed_Data(), Table_SourceData_Scope3_Feed[[#Headers],[Category]], 0, 2)</f>
        <v>Hay</v>
      </c>
      <c r="E145" s="10" t="str" cm="1">
        <f t="array" ref="E145">Common_InputFunctions.Utility_DisplayArrayInTable(Scope3_SourceData.Scope3_Feed_Data(), Table_SourceData_Scope3_Feed[[#Headers],[Category]], 0, 2)</f>
        <v>Pasture hay</v>
      </c>
      <c r="F145" s="10" t="str" cm="1">
        <f t="array" ref="F145">Common_InputFunctions.Utility_DisplayArrayInTable(Scope3_SourceData.Scope3_Feed_Data(), Table_SourceData_Scope3_Feed[[#Headers],[Category]], 0, 2)</f>
        <v>Australia</v>
      </c>
      <c r="G145" s="10" t="str" cm="1">
        <f t="array" ref="G145">Common_InputFunctions.Utility_DisplayArrayInTable(Scope3_SourceData.Scope3_Feed_Data(), Table_SourceData_Scope3_Feed[[#Headers],[Category]], 0, 2)</f>
        <v>kg</v>
      </c>
      <c r="H145" s="10" cm="1">
        <f t="array" ref="H145">Common_InputFunctions.Utility_DisplayArrayInTable(Scope3_SourceData.Scope3_Feed_Data(), Table_SourceData_Scope3_Feed[[#Headers],[Category]], 0, 2)</f>
        <v>0.33900000000000002</v>
      </c>
      <c r="I145" s="10" t="str" cm="1">
        <f t="array" ref="I145">Common_InputFunctions.Utility_DisplayArrayInTable(Scope3_SourceData.Scope3_Feed_Data(), Table_SourceData_Scope3_Feed[[#Headers],[Category]], 0, 2)</f>
        <v>at market</v>
      </c>
      <c r="N145" s="10" t="str">
        <f>Table_SourceData_Scope3_Feed[[#This Row],[Product]]</f>
        <v>Pasture hay</v>
      </c>
      <c r="O145" s="10" t="str">
        <f>Table_SourceData_Scope3_Feed[[#This Row],[Region of origin]]</f>
        <v>Australia</v>
      </c>
    </row>
    <row r="146" spans="4:16" ht="20.100000000000001" customHeight="1" x14ac:dyDescent="0.25">
      <c r="D146" s="10" t="str" cm="1">
        <f t="array" ref="D146">Common_InputFunctions.Utility_DisplayArrayInTable(Scope3_SourceData.Scope3_Feed_Data(), Table_SourceData_Scope3_Feed[[#Headers],[Category]], 0, 2)</f>
        <v>Hay</v>
      </c>
      <c r="E146" s="10" t="str" cm="1">
        <f t="array" ref="E146">Common_InputFunctions.Utility_DisplayArrayInTable(Scope3_SourceData.Scope3_Feed_Data(), Table_SourceData_Scope3_Feed[[#Headers],[Category]], 0, 2)</f>
        <v>Pasture hay</v>
      </c>
      <c r="F146" s="10" t="str" cm="1">
        <f t="array" ref="F146">Common_InputFunctions.Utility_DisplayArrayInTable(Scope3_SourceData.Scope3_Feed_Data(), Table_SourceData_Scope3_Feed[[#Headers],[Category]], 0, 2)</f>
        <v>NSW</v>
      </c>
      <c r="G146" s="10" t="str" cm="1">
        <f t="array" ref="G146">Common_InputFunctions.Utility_DisplayArrayInTable(Scope3_SourceData.Scope3_Feed_Data(), Table_SourceData_Scope3_Feed[[#Headers],[Category]], 0, 2)</f>
        <v>kg</v>
      </c>
      <c r="H146" s="10" cm="1">
        <f t="array" ref="H146">Common_InputFunctions.Utility_DisplayArrayInTable(Scope3_SourceData.Scope3_Feed_Data(), Table_SourceData_Scope3_Feed[[#Headers],[Category]], 0, 2)</f>
        <v>0.311</v>
      </c>
      <c r="I146" s="10" t="str" cm="1">
        <f t="array" ref="I146">Common_InputFunctions.Utility_DisplayArrayInTable(Scope3_SourceData.Scope3_Feed_Data(), Table_SourceData_Scope3_Feed[[#Headers],[Category]], 0, 2)</f>
        <v>at market</v>
      </c>
      <c r="N146" s="10" t="str">
        <f>Table_SourceData_Scope3_Feed[[#This Row],[Product]]</f>
        <v>Pasture hay</v>
      </c>
      <c r="O146" s="10" t="str">
        <f>Table_SourceData_Scope3_Feed[[#This Row],[Region of origin]]</f>
        <v>NSW</v>
      </c>
    </row>
    <row r="147" spans="4:16" ht="20.100000000000001" customHeight="1" x14ac:dyDescent="0.25">
      <c r="D147" s="10" t="str" cm="1">
        <f t="array" ref="D147">Common_InputFunctions.Utility_DisplayArrayInTable(Scope3_SourceData.Scope3_Feed_Data(), Table_SourceData_Scope3_Feed[[#Headers],[Category]], 0, 2)</f>
        <v>Hay</v>
      </c>
      <c r="E147" s="10" t="str" cm="1">
        <f t="array" ref="E147">Common_InputFunctions.Utility_DisplayArrayInTable(Scope3_SourceData.Scope3_Feed_Data(), Table_SourceData_Scope3_Feed[[#Headers],[Category]], 0, 2)</f>
        <v>Pasture hay</v>
      </c>
      <c r="F147" s="10" t="str" cm="1">
        <f t="array" ref="F147">Common_InputFunctions.Utility_DisplayArrayInTable(Scope3_SourceData.Scope3_Feed_Data(), Table_SourceData_Scope3_Feed[[#Headers],[Category]], 0, 2)</f>
        <v>QLD</v>
      </c>
      <c r="G147" s="10" t="str" cm="1">
        <f t="array" ref="G147">Common_InputFunctions.Utility_DisplayArrayInTable(Scope3_SourceData.Scope3_Feed_Data(), Table_SourceData_Scope3_Feed[[#Headers],[Category]], 0, 2)</f>
        <v>kg</v>
      </c>
      <c r="H147" s="10" cm="1">
        <f t="array" ref="H147">Common_InputFunctions.Utility_DisplayArrayInTable(Scope3_SourceData.Scope3_Feed_Data(), Table_SourceData_Scope3_Feed[[#Headers],[Category]], 0, 2)</f>
        <v>0.254</v>
      </c>
      <c r="I147" s="10" t="str" cm="1">
        <f t="array" ref="I147">Common_InputFunctions.Utility_DisplayArrayInTable(Scope3_SourceData.Scope3_Feed_Data(), Table_SourceData_Scope3_Feed[[#Headers],[Category]], 0, 2)</f>
        <v>at market</v>
      </c>
      <c r="N147" s="10" t="str">
        <f>Table_SourceData_Scope3_Feed[[#This Row],[Product]]</f>
        <v>Pasture hay</v>
      </c>
      <c r="O147" s="10" t="str">
        <f>Table_SourceData_Scope3_Feed[[#This Row],[Region of origin]]</f>
        <v>QLD</v>
      </c>
    </row>
    <row r="148" spans="4:16" ht="20.100000000000001" customHeight="1" x14ac:dyDescent="0.25">
      <c r="D148" s="10" t="str" cm="1">
        <f t="array" ref="D148">Common_InputFunctions.Utility_DisplayArrayInTable(Scope3_SourceData.Scope3_Feed_Data(), Table_SourceData_Scope3_Feed[[#Headers],[Category]], 0, 2)</f>
        <v>Hay</v>
      </c>
      <c r="E148" s="10" t="str" cm="1">
        <f t="array" ref="E148">Common_InputFunctions.Utility_DisplayArrayInTable(Scope3_SourceData.Scope3_Feed_Data(), Table_SourceData_Scope3_Feed[[#Headers],[Category]], 0, 2)</f>
        <v>Pasture hay</v>
      </c>
      <c r="F148" s="10" t="str" cm="1">
        <f t="array" ref="F148">Common_InputFunctions.Utility_DisplayArrayInTable(Scope3_SourceData.Scope3_Feed_Data(), Table_SourceData_Scope3_Feed[[#Headers],[Category]], 0, 2)</f>
        <v>SA</v>
      </c>
      <c r="G148" s="10" t="str" cm="1">
        <f t="array" ref="G148">Common_InputFunctions.Utility_DisplayArrayInTable(Scope3_SourceData.Scope3_Feed_Data(), Table_SourceData_Scope3_Feed[[#Headers],[Category]], 0, 2)</f>
        <v>kg</v>
      </c>
      <c r="H148" s="10" cm="1">
        <f t="array" ref="H148">Common_InputFunctions.Utility_DisplayArrayInTable(Scope3_SourceData.Scope3_Feed_Data(), Table_SourceData_Scope3_Feed[[#Headers],[Category]], 0, 2)</f>
        <v>0.313</v>
      </c>
      <c r="I148" s="10" t="str" cm="1">
        <f t="array" ref="I148">Common_InputFunctions.Utility_DisplayArrayInTable(Scope3_SourceData.Scope3_Feed_Data(), Table_SourceData_Scope3_Feed[[#Headers],[Category]], 0, 2)</f>
        <v>at market</v>
      </c>
      <c r="N148" s="10" t="str">
        <f>Table_SourceData_Scope3_Feed[[#This Row],[Product]]</f>
        <v>Pasture hay</v>
      </c>
      <c r="O148" s="10" t="str">
        <f>Table_SourceData_Scope3_Feed[[#This Row],[Region of origin]]</f>
        <v>SA</v>
      </c>
    </row>
    <row r="149" spans="4:16" ht="20.100000000000001" customHeight="1" x14ac:dyDescent="0.25">
      <c r="D149" s="10" t="str" cm="1">
        <f t="array" ref="D149">Common_InputFunctions.Utility_DisplayArrayInTable(Scope3_SourceData.Scope3_Feed_Data(), Table_SourceData_Scope3_Feed[[#Headers],[Category]], 0, 2)</f>
        <v>Hay</v>
      </c>
      <c r="E149" s="10" t="str" cm="1">
        <f t="array" ref="E149">Common_InputFunctions.Utility_DisplayArrayInTable(Scope3_SourceData.Scope3_Feed_Data(), Table_SourceData_Scope3_Feed[[#Headers],[Category]], 0, 2)</f>
        <v>Pasture hay</v>
      </c>
      <c r="F149" s="10" t="str" cm="1">
        <f t="array" ref="F149">Common_InputFunctions.Utility_DisplayArrayInTable(Scope3_SourceData.Scope3_Feed_Data(), Table_SourceData_Scope3_Feed[[#Headers],[Category]], 0, 2)</f>
        <v>TAS</v>
      </c>
      <c r="G149" s="10" t="str" cm="1">
        <f t="array" ref="G149">Common_InputFunctions.Utility_DisplayArrayInTable(Scope3_SourceData.Scope3_Feed_Data(), Table_SourceData_Scope3_Feed[[#Headers],[Category]], 0, 2)</f>
        <v>kg</v>
      </c>
      <c r="H149" s="10" cm="1">
        <f t="array" ref="H149">Common_InputFunctions.Utility_DisplayArrayInTable(Scope3_SourceData.Scope3_Feed_Data(), Table_SourceData_Scope3_Feed[[#Headers],[Category]], 0, 2)</f>
        <v>0.39800000000000002</v>
      </c>
      <c r="I149" s="10" t="str" cm="1">
        <f t="array" ref="I149">Common_InputFunctions.Utility_DisplayArrayInTable(Scope3_SourceData.Scope3_Feed_Data(), Table_SourceData_Scope3_Feed[[#Headers],[Category]], 0, 2)</f>
        <v>at market</v>
      </c>
      <c r="N149" s="10" t="str">
        <f>Table_SourceData_Scope3_Feed[[#This Row],[Product]]</f>
        <v>Pasture hay</v>
      </c>
      <c r="O149" s="10" t="str">
        <f>Table_SourceData_Scope3_Feed[[#This Row],[Region of origin]]</f>
        <v>TAS</v>
      </c>
    </row>
    <row r="150" spans="4:16" ht="20.100000000000001" customHeight="1" x14ac:dyDescent="0.25">
      <c r="D150" s="10" t="str" cm="1">
        <f t="array" ref="D150">Common_InputFunctions.Utility_DisplayArrayInTable(Scope3_SourceData.Scope3_Feed_Data(), Table_SourceData_Scope3_Feed[[#Headers],[Category]], 0, 2)</f>
        <v>Hay</v>
      </c>
      <c r="E150" s="10" t="str" cm="1">
        <f t="array" ref="E150">Common_InputFunctions.Utility_DisplayArrayInTable(Scope3_SourceData.Scope3_Feed_Data(), Table_SourceData_Scope3_Feed[[#Headers],[Category]], 0, 2)</f>
        <v>Pasture hay</v>
      </c>
      <c r="F150" s="10" t="str" cm="1">
        <f t="array" ref="F150">Common_InputFunctions.Utility_DisplayArrayInTable(Scope3_SourceData.Scope3_Feed_Data(), Table_SourceData_Scope3_Feed[[#Headers],[Category]], 0, 2)</f>
        <v>VIC</v>
      </c>
      <c r="G150" s="10" t="str" cm="1">
        <f t="array" ref="G150">Common_InputFunctions.Utility_DisplayArrayInTable(Scope3_SourceData.Scope3_Feed_Data(), Table_SourceData_Scope3_Feed[[#Headers],[Category]], 0, 2)</f>
        <v>kg</v>
      </c>
      <c r="H150" s="10" cm="1">
        <f t="array" ref="H150">Common_InputFunctions.Utility_DisplayArrayInTable(Scope3_SourceData.Scope3_Feed_Data(), Table_SourceData_Scope3_Feed[[#Headers],[Category]], 0, 2)</f>
        <v>0.34499999999999997</v>
      </c>
      <c r="I150" s="10" t="str" cm="1">
        <f t="array" ref="I150">Common_InputFunctions.Utility_DisplayArrayInTable(Scope3_SourceData.Scope3_Feed_Data(), Table_SourceData_Scope3_Feed[[#Headers],[Category]], 0, 2)</f>
        <v>at market</v>
      </c>
      <c r="N150" s="10" t="str">
        <f>Table_SourceData_Scope3_Feed[[#This Row],[Product]]</f>
        <v>Pasture hay</v>
      </c>
      <c r="O150" s="10" t="str">
        <f>Table_SourceData_Scope3_Feed[[#This Row],[Region of origin]]</f>
        <v>VIC</v>
      </c>
    </row>
    <row r="151" spans="4:16" ht="20.100000000000001" customHeight="1" x14ac:dyDescent="0.25">
      <c r="D151" s="10" t="str" cm="1">
        <f t="array" ref="D151">Common_InputFunctions.Utility_DisplayArrayInTable(Scope3_SourceData.Scope3_Feed_Data(), Table_SourceData_Scope3_Feed[[#Headers],[Category]], 0, 2)</f>
        <v>Hay</v>
      </c>
      <c r="E151" s="10" t="str" cm="1">
        <f t="array" ref="E151">Common_InputFunctions.Utility_DisplayArrayInTable(Scope3_SourceData.Scope3_Feed_Data(), Table_SourceData_Scope3_Feed[[#Headers],[Category]], 0, 2)</f>
        <v>Pasture hay</v>
      </c>
      <c r="F151" s="10" t="str" cm="1">
        <f t="array" ref="F151">Common_InputFunctions.Utility_DisplayArrayInTable(Scope3_SourceData.Scope3_Feed_Data(), Table_SourceData_Scope3_Feed[[#Headers],[Category]], 0, 2)</f>
        <v>WA</v>
      </c>
      <c r="G151" s="10" t="str" cm="1">
        <f t="array" ref="G151">Common_InputFunctions.Utility_DisplayArrayInTable(Scope3_SourceData.Scope3_Feed_Data(), Table_SourceData_Scope3_Feed[[#Headers],[Category]], 0, 2)</f>
        <v>kg</v>
      </c>
      <c r="H151" s="10" cm="1">
        <f t="array" ref="H151">Common_InputFunctions.Utility_DisplayArrayInTable(Scope3_SourceData.Scope3_Feed_Data(), Table_SourceData_Scope3_Feed[[#Headers],[Category]], 0, 2)</f>
        <v>0.36799999999999999</v>
      </c>
      <c r="I151" s="10" t="str" cm="1">
        <f t="array" ref="I151">Common_InputFunctions.Utility_DisplayArrayInTable(Scope3_SourceData.Scope3_Feed_Data(), Table_SourceData_Scope3_Feed[[#Headers],[Category]], 0, 2)</f>
        <v>at market</v>
      </c>
      <c r="K151" s="154" t="s">
        <v>219</v>
      </c>
      <c r="L151" s="154" t="s">
        <v>414</v>
      </c>
      <c r="M151" s="8" t="str">
        <f>"Table_ProductRegions_" &amp; SUBSTITUTE(SUBSTITUTE(SUBSTITUTE(SUBSTITUTE(K152, " ", ""), ",", ""), "(", ""), ")", "")</f>
        <v>Table_ProductRegions_Canolameal</v>
      </c>
      <c r="N151" s="10" t="str">
        <f>Table_SourceData_Scope3_Feed[[#This Row],[Product]]</f>
        <v>Pasture hay</v>
      </c>
      <c r="O151" s="10" t="str">
        <f>Table_SourceData_Scope3_Feed[[#This Row],[Region of origin]]</f>
        <v>WA</v>
      </c>
    </row>
    <row r="152" spans="4:16" ht="20.100000000000001" customHeight="1" x14ac:dyDescent="0.25">
      <c r="D152" s="10" t="str" cm="1">
        <f t="array" ref="D152">Common_InputFunctions.Utility_DisplayArrayInTable(Scope3_SourceData.Scope3_Feed_Data(), Table_SourceData_Scope3_Feed[[#Headers],[Category]], 0, 2)</f>
        <v>Meal</v>
      </c>
      <c r="E152" s="10" t="str" cm="1">
        <f t="array" ref="E152">Common_InputFunctions.Utility_DisplayArrayInTable(Scope3_SourceData.Scope3_Feed_Data(), Table_SourceData_Scope3_Feed[[#Headers],[Category]], 0, 2)</f>
        <v>Canola meal</v>
      </c>
      <c r="F152" s="10" t="str" cm="1">
        <f t="array" ref="F152">Common_InputFunctions.Utility_DisplayArrayInTable(Scope3_SourceData.Scope3_Feed_Data(), Table_SourceData_Scope3_Feed[[#Headers],[Category]], 0, 2)</f>
        <v>Australia</v>
      </c>
      <c r="G152" s="10" t="str" cm="1">
        <f t="array" ref="G152">Common_InputFunctions.Utility_DisplayArrayInTable(Scope3_SourceData.Scope3_Feed_Data(), Table_SourceData_Scope3_Feed[[#Headers],[Category]], 0, 2)</f>
        <v>kg</v>
      </c>
      <c r="H152" s="10" cm="1">
        <f t="array" ref="H152">Common_InputFunctions.Utility_DisplayArrayInTable(Scope3_SourceData.Scope3_Feed_Data(), Table_SourceData_Scope3_Feed[[#Headers],[Category]], 0, 2)</f>
        <v>0.24399999999999999</v>
      </c>
      <c r="I152" s="10" t="str" cm="1">
        <f t="array" ref="I152">Common_InputFunctions.Utility_DisplayArrayInTable(Scope3_SourceData.Scope3_Feed_Data(), Table_SourceData_Scope3_Feed[[#Headers],[Category]], 0, 2)</f>
        <v>at market</v>
      </c>
      <c r="K152" s="8" t="str">
        <f>Table_SourceData_Scope3_Feed[[#This Row],[Product]]</f>
        <v>Canola meal</v>
      </c>
      <c r="L152" s="8" t="str">
        <f>Table_SourceData_Scope3_Feed[[#This Row],[Region of origin]]</f>
        <v>Australia</v>
      </c>
      <c r="N152" s="10" t="s">
        <v>219</v>
      </c>
      <c r="O152" s="10" t="s">
        <v>414</v>
      </c>
      <c r="P152" s="8" t="str">
        <f>"Table_ProductRegions_" &amp; SUBSTITUTE(SUBSTITUTE(SUBSTITUTE(SUBSTITUTE(N153, " ", ""), ",", ""), "(", ""), ")", "")</f>
        <v>Table_ProductRegions_Meatmeal</v>
      </c>
    </row>
    <row r="153" spans="4:16" ht="20.100000000000001" customHeight="1" x14ac:dyDescent="0.25">
      <c r="D153" s="10" t="str" cm="1">
        <f t="array" ref="D153">Common_InputFunctions.Utility_DisplayArrayInTable(Scope3_SourceData.Scope3_Feed_Data(), Table_SourceData_Scope3_Feed[[#Headers],[Category]], 0, 2)</f>
        <v>Meal</v>
      </c>
      <c r="E153" s="10" t="str" cm="1">
        <f t="array" ref="E153">Common_InputFunctions.Utility_DisplayArrayInTable(Scope3_SourceData.Scope3_Feed_Data(), Table_SourceData_Scope3_Feed[[#Headers],[Category]], 0, 2)</f>
        <v>Meat meal</v>
      </c>
      <c r="F153" s="10" t="str" cm="1">
        <f t="array" ref="F153">Common_InputFunctions.Utility_DisplayArrayInTable(Scope3_SourceData.Scope3_Feed_Data(), Table_SourceData_Scope3_Feed[[#Headers],[Category]], 0, 2)</f>
        <v>Australia</v>
      </c>
      <c r="G153" s="10" t="str" cm="1">
        <f t="array" ref="G153">Common_InputFunctions.Utility_DisplayArrayInTable(Scope3_SourceData.Scope3_Feed_Data(), Table_SourceData_Scope3_Feed[[#Headers],[Category]], 0, 2)</f>
        <v>kg</v>
      </c>
      <c r="H153" s="10" cm="1">
        <f t="array" ref="H153">Common_InputFunctions.Utility_DisplayArrayInTable(Scope3_SourceData.Scope3_Feed_Data(), Table_SourceData_Scope3_Feed[[#Headers],[Category]], 0, 2)</f>
        <v>0.40799999999999997</v>
      </c>
      <c r="I153" s="10" t="str" cm="1">
        <f t="array" ref="I153">Common_InputFunctions.Utility_DisplayArrayInTable(Scope3_SourceData.Scope3_Feed_Data(), Table_SourceData_Scope3_Feed[[#Headers],[Category]], 0, 2)</f>
        <v>at market</v>
      </c>
      <c r="K153" s="10" t="s">
        <v>219</v>
      </c>
      <c r="L153" s="10" t="s">
        <v>414</v>
      </c>
      <c r="M153" s="8" t="str">
        <f>"Table_ProductRegions_" &amp; SUBSTITUTE(SUBSTITUTE(SUBSTITUTE(SUBSTITUTE(K154, " ", ""), ",", ""), "(", ""), ")", "")</f>
        <v>Table_ProductRegions_Soybeanmeal</v>
      </c>
      <c r="N153" s="10" t="str">
        <f>Table_SourceData_Scope3_Feed[[#This Row],[Product]]</f>
        <v>Meat meal</v>
      </c>
      <c r="O153" s="10" t="str">
        <f>Table_SourceData_Scope3_Feed[[#This Row],[Region of origin]]</f>
        <v>Australia</v>
      </c>
    </row>
    <row r="154" spans="4:16" ht="20.100000000000001" customHeight="1" x14ac:dyDescent="0.25">
      <c r="D154" s="10" t="str" cm="1">
        <f t="array" ref="D154">Common_InputFunctions.Utility_DisplayArrayInTable(Scope3_SourceData.Scope3_Feed_Data(), Table_SourceData_Scope3_Feed[[#Headers],[Category]], 0, 2)</f>
        <v>Meal</v>
      </c>
      <c r="E154" s="10" t="str" cm="1">
        <f t="array" ref="E154">Common_InputFunctions.Utility_DisplayArrayInTable(Scope3_SourceData.Scope3_Feed_Data(), Table_SourceData_Scope3_Feed[[#Headers],[Category]], 0, 2)</f>
        <v>Soybean meal</v>
      </c>
      <c r="F154" s="10" t="str" cm="1">
        <f t="array" ref="F154">Common_InputFunctions.Utility_DisplayArrayInTable(Scope3_SourceData.Scope3_Feed_Data(), Table_SourceData_Scope3_Feed[[#Headers],[Category]], 0, 2)</f>
        <v>Brazil</v>
      </c>
      <c r="G154" s="10" t="str" cm="1">
        <f t="array" ref="G154">Common_InputFunctions.Utility_DisplayArrayInTable(Scope3_SourceData.Scope3_Feed_Data(), Table_SourceData_Scope3_Feed[[#Headers],[Category]], 0, 2)</f>
        <v>kg</v>
      </c>
      <c r="H154" s="10" cm="1">
        <f t="array" ref="H154">Common_InputFunctions.Utility_DisplayArrayInTable(Scope3_SourceData.Scope3_Feed_Data(), Table_SourceData_Scope3_Feed[[#Headers],[Category]], 0, 2)</f>
        <v>0.42599999999999999</v>
      </c>
      <c r="I154" s="10" t="str" cm="1">
        <f t="array" ref="I154">Common_InputFunctions.Utility_DisplayArrayInTable(Scope3_SourceData.Scope3_Feed_Data(), Table_SourceData_Scope3_Feed[[#Headers],[Category]], 0, 2)</f>
        <v>at market</v>
      </c>
      <c r="K154" s="10" t="str">
        <f>Table_SourceData_Scope3_Feed[[#This Row],[Product]]</f>
        <v>Soybean meal</v>
      </c>
      <c r="L154" s="10" t="str">
        <f>Table_SourceData_Scope3_Feed[[#This Row],[Region of origin]]</f>
        <v>Brazil</v>
      </c>
      <c r="N154" s="10" t="s">
        <v>219</v>
      </c>
      <c r="O154" s="10" t="s">
        <v>414</v>
      </c>
      <c r="P154" s="8" t="str">
        <f>"Table_ProductRegions_" &amp; SUBSTITUTE(SUBSTITUTE(SUBSTITUTE(SUBSTITUTE(N155, " ", ""), ",", ""), "(", ""), ")", "")</f>
        <v>Table_ProductRegions_Wheatbran</v>
      </c>
    </row>
    <row r="155" spans="4:16" ht="20.100000000000001" customHeight="1" x14ac:dyDescent="0.25">
      <c r="D155" s="10" t="str" cm="1">
        <f t="array" ref="D155">Common_InputFunctions.Utility_DisplayArrayInTable(Scope3_SourceData.Scope3_Feed_Data(), Table_SourceData_Scope3_Feed[[#Headers],[Category]], 0, 2)</f>
        <v>Meal</v>
      </c>
      <c r="E155" s="10" t="str" cm="1">
        <f t="array" ref="E155">Common_InputFunctions.Utility_DisplayArrayInTable(Scope3_SourceData.Scope3_Feed_Data(), Table_SourceData_Scope3_Feed[[#Headers],[Category]], 0, 2)</f>
        <v>Wheat bran</v>
      </c>
      <c r="F155" s="10" t="str" cm="1">
        <f t="array" ref="F155">Common_InputFunctions.Utility_DisplayArrayInTable(Scope3_SourceData.Scope3_Feed_Data(), Table_SourceData_Scope3_Feed[[#Headers],[Category]], 0, 2)</f>
        <v>Australia</v>
      </c>
      <c r="G155" s="10" t="str" cm="1">
        <f t="array" ref="G155">Common_InputFunctions.Utility_DisplayArrayInTable(Scope3_SourceData.Scope3_Feed_Data(), Table_SourceData_Scope3_Feed[[#Headers],[Category]], 0, 2)</f>
        <v>kg</v>
      </c>
      <c r="H155" s="10" cm="1">
        <f t="array" ref="H155">Common_InputFunctions.Utility_DisplayArrayInTable(Scope3_SourceData.Scope3_Feed_Data(), Table_SourceData_Scope3_Feed[[#Headers],[Category]], 0, 2)</f>
        <v>0.19600000000000001</v>
      </c>
      <c r="I155" s="10" t="str" cm="1">
        <f t="array" ref="I155">Common_InputFunctions.Utility_DisplayArrayInTable(Scope3_SourceData.Scope3_Feed_Data(), Table_SourceData_Scope3_Feed[[#Headers],[Category]], 0, 2)</f>
        <v>at market</v>
      </c>
      <c r="K155" s="10" t="s">
        <v>219</v>
      </c>
      <c r="L155" s="10" t="s">
        <v>414</v>
      </c>
      <c r="M155" s="8" t="str">
        <f>"Table_ProductRegions_" &amp; SUBSTITUTE(SUBSTITUTE(SUBSTITUTE(SUBSTITUTE(K156, " ", ""), ",", ""), "(", ""), ")", "")</f>
        <v>Table_ProductRegions_Bentonite</v>
      </c>
      <c r="N155" s="10" t="str">
        <f>Table_SourceData_Scope3_Feed[[#This Row],[Product]]</f>
        <v>Wheat bran</v>
      </c>
      <c r="O155" s="10" t="str">
        <f>Table_SourceData_Scope3_Feed[[#This Row],[Region of origin]]</f>
        <v>Australia</v>
      </c>
    </row>
    <row r="156" spans="4:16" ht="20.100000000000001" customHeight="1" x14ac:dyDescent="0.25">
      <c r="D156" s="8" t="str" cm="1">
        <f t="array" ref="D156">Common_InputFunctions.Utility_DisplayArrayInTable(Scope3_SourceData.Scope3_Feed_Data(), Table_SourceData_Scope3_Feed[[#Headers],[Category]], -4, 2)</f>
        <v>Other</v>
      </c>
      <c r="E156" s="8" t="str" cm="1">
        <f t="array" ref="E156">Common_InputFunctions.Utility_DisplayArrayInTable(Scope3_SourceData.Scope3_Feed_Data(), Table_SourceData_Scope3_Feed[[#Headers],[Category]], -4, 2)</f>
        <v>Bentonite</v>
      </c>
      <c r="F156" s="8" t="str" cm="1">
        <f t="array" ref="F156">Common_InputFunctions.Utility_DisplayArrayInTable(Scope3_SourceData.Scope3_Feed_Data(), Table_SourceData_Scope3_Feed[[#Headers],[Category]], -4, 2)</f>
        <v>Australia</v>
      </c>
      <c r="G156" s="8" t="str" cm="1">
        <f t="array" ref="G156">Common_InputFunctions.Utility_DisplayArrayInTable(Scope3_SourceData.Scope3_Feed_Data(), Table_SourceData_Scope3_Feed[[#Headers],[Category]], -4, 2)</f>
        <v>kg</v>
      </c>
      <c r="H156" s="8" cm="1">
        <f t="array" ref="H156">Common_InputFunctions.Utility_DisplayArrayInTable(Scope3_SourceData.Scope3_Feed_Data(), Table_SourceData_Scope3_Feed[[#Headers],[Category]], -4, 2)</f>
        <v>6.5199999999999994E-2</v>
      </c>
      <c r="I156" s="8" t="str" cm="1">
        <f t="array" ref="I156">Common_InputFunctions.Utility_DisplayArrayInTable(Scope3_SourceData.Scope3_Feed_Data(), Table_SourceData_Scope3_Feed[[#Headers],[Category]], -4, 2)</f>
        <v>at market</v>
      </c>
      <c r="K156" s="10" t="str">
        <f>Table_SourceData_Scope3_Feed[[#This Row],[Product]]</f>
        <v>Bentonite</v>
      </c>
      <c r="L156" s="10" t="str">
        <f>Table_SourceData_Scope3_Feed[[#This Row],[Region of origin]]</f>
        <v>Australia</v>
      </c>
      <c r="N156" s="10" t="s">
        <v>219</v>
      </c>
      <c r="O156" s="10" t="s">
        <v>414</v>
      </c>
      <c r="P156" s="8" t="str">
        <f>"Table_ProductRegions_" &amp; SUBSTITUTE(SUBSTITUTE(SUBSTITUTE(SUBSTITUTE(N157, " ", ""), ",", ""), "(", ""), ")", "")</f>
        <v>Table_ProductRegions_Canolaoil</v>
      </c>
    </row>
    <row r="157" spans="4:16" ht="20.100000000000001" customHeight="1" x14ac:dyDescent="0.25">
      <c r="D157" s="8" t="str" cm="1">
        <f t="array" ref="D157">Common_InputFunctions.Utility_DisplayArrayInTable(Scope3_SourceData.Scope3_Feed_Data(), Table_SourceData_Scope3_Feed[[#Headers],[Category]], -4, 2)</f>
        <v>Other</v>
      </c>
      <c r="E157" s="8" t="str" cm="1">
        <f t="array" ref="E157">Common_InputFunctions.Utility_DisplayArrayInTable(Scope3_SourceData.Scope3_Feed_Data(), Table_SourceData_Scope3_Feed[[#Headers],[Category]], -4, 2)</f>
        <v>Canola oil</v>
      </c>
      <c r="F157" s="8" t="str" cm="1">
        <f t="array" ref="F157">Common_InputFunctions.Utility_DisplayArrayInTable(Scope3_SourceData.Scope3_Feed_Data(), Table_SourceData_Scope3_Feed[[#Headers],[Category]], -4, 2)</f>
        <v>Australia</v>
      </c>
      <c r="G157" s="8" t="str" cm="1">
        <f t="array" ref="G157">Common_InputFunctions.Utility_DisplayArrayInTable(Scope3_SourceData.Scope3_Feed_Data(), Table_SourceData_Scope3_Feed[[#Headers],[Category]], -4, 2)</f>
        <v>kg</v>
      </c>
      <c r="H157" s="8" cm="1">
        <f t="array" ref="H157">Common_InputFunctions.Utility_DisplayArrayInTable(Scope3_SourceData.Scope3_Feed_Data(), Table_SourceData_Scope3_Feed[[#Headers],[Category]], -4, 2)</f>
        <v>0.87</v>
      </c>
      <c r="I157" s="8" t="str" cm="1">
        <f t="array" ref="I157">Common_InputFunctions.Utility_DisplayArrayInTable(Scope3_SourceData.Scope3_Feed_Data(), Table_SourceData_Scope3_Feed[[#Headers],[Category]], -4, 2)</f>
        <v>at market</v>
      </c>
      <c r="K157" s="10" t="s">
        <v>219</v>
      </c>
      <c r="L157" s="10" t="s">
        <v>414</v>
      </c>
      <c r="M157" s="8" t="str">
        <f>"Table_ProductRegions_" &amp; SUBSTITUTE(SUBSTITUTE(SUBSTITUTE(SUBSTITUTE(K158, " ", ""), ",", ""), "(", ""), ")", "")</f>
        <v>Table_ProductRegions_Cottonseed</v>
      </c>
      <c r="N157" s="10" t="str">
        <f>Table_SourceData_Scope3_Feed[[#This Row],[Product]]</f>
        <v>Canola oil</v>
      </c>
      <c r="O157" s="10" t="str">
        <f>Table_SourceData_Scope3_Feed[[#This Row],[Region of origin]]</f>
        <v>Australia</v>
      </c>
    </row>
    <row r="158" spans="4:16" ht="20.100000000000001" customHeight="1" x14ac:dyDescent="0.25">
      <c r="D158" s="8" t="str" cm="1">
        <f t="array" ref="D158">Common_InputFunctions.Utility_DisplayArrayInTable(Scope3_SourceData.Scope3_Feed_Data(), Table_SourceData_Scope3_Feed[[#Headers],[Category]], -4, 2)</f>
        <v>Other</v>
      </c>
      <c r="E158" s="8" t="str" cm="1">
        <f t="array" ref="E158">Common_InputFunctions.Utility_DisplayArrayInTable(Scope3_SourceData.Scope3_Feed_Data(), Table_SourceData_Scope3_Feed[[#Headers],[Category]], -4, 2)</f>
        <v>Cotton seed</v>
      </c>
      <c r="F158" s="8" t="str" cm="1">
        <f t="array" ref="F158">Common_InputFunctions.Utility_DisplayArrayInTable(Scope3_SourceData.Scope3_Feed_Data(), Table_SourceData_Scope3_Feed[[#Headers],[Category]], -4, 2)</f>
        <v>Australia</v>
      </c>
      <c r="G158" s="8" t="str" cm="1">
        <f t="array" ref="G158">Common_InputFunctions.Utility_DisplayArrayInTable(Scope3_SourceData.Scope3_Feed_Data(), Table_SourceData_Scope3_Feed[[#Headers],[Category]], -4, 2)</f>
        <v>kg</v>
      </c>
      <c r="H158" s="8" cm="1">
        <f t="array" ref="H158">Common_InputFunctions.Utility_DisplayArrayInTable(Scope3_SourceData.Scope3_Feed_Data(), Table_SourceData_Scope3_Feed[[#Headers],[Category]], -4, 2)</f>
        <v>0.19700000000000001</v>
      </c>
      <c r="I158" s="8" t="str" cm="1">
        <f t="array" ref="I158">Common_InputFunctions.Utility_DisplayArrayInTable(Scope3_SourceData.Scope3_Feed_Data(), Table_SourceData_Scope3_Feed[[#Headers],[Category]], -4, 2)</f>
        <v>at market</v>
      </c>
      <c r="K158" s="10" t="str">
        <f>Table_SourceData_Scope3_Feed[[#This Row],[Product]]</f>
        <v>Cotton seed</v>
      </c>
      <c r="L158" s="10" t="str">
        <f>Table_SourceData_Scope3_Feed[[#This Row],[Region of origin]]</f>
        <v>Australia</v>
      </c>
      <c r="N158" s="10" t="s">
        <v>219</v>
      </c>
      <c r="O158" s="10" t="s">
        <v>414</v>
      </c>
      <c r="P158" s="8" t="str">
        <f>"Table_ProductRegions_" &amp; SUBSTITUTE(SUBSTITUTE(SUBSTITUTE(SUBSTITUTE(N159, " ", ""), ",", ""), "(", ""), ")", "")</f>
        <v>Table_ProductRegions_Molasses</v>
      </c>
    </row>
    <row r="159" spans="4:16" ht="20.100000000000001" customHeight="1" x14ac:dyDescent="0.25">
      <c r="D159" s="8" t="str" cm="1">
        <f t="array" ref="D159">Common_InputFunctions.Utility_DisplayArrayInTable(Scope3_SourceData.Scope3_Feed_Data(), Table_SourceData_Scope3_Feed[[#Headers],[Category]], -7, 2)</f>
        <v>Other</v>
      </c>
      <c r="E159" s="8" t="str" cm="1">
        <f t="array" ref="E159">Common_InputFunctions.Utility_DisplayArrayInTable(Scope3_SourceData.Scope3_Feed_Data(), Table_SourceData_Scope3_Feed[[#Headers],[Category]], -7, 2)</f>
        <v>Molasses</v>
      </c>
      <c r="F159" s="8" t="str" cm="1">
        <f t="array" ref="F159">Common_InputFunctions.Utility_DisplayArrayInTable(Scope3_SourceData.Scope3_Feed_Data(), Table_SourceData_Scope3_Feed[[#Headers],[Category]], -7, 2)</f>
        <v>QLD</v>
      </c>
      <c r="G159" s="8" t="str" cm="1">
        <f t="array" ref="G159">Common_InputFunctions.Utility_DisplayArrayInTable(Scope3_SourceData.Scope3_Feed_Data(), Table_SourceData_Scope3_Feed[[#Headers],[Category]], -7, 2)</f>
        <v>kg</v>
      </c>
      <c r="H159" s="8" cm="1">
        <f t="array" ref="H159">Common_InputFunctions.Utility_DisplayArrayInTable(Scope3_SourceData.Scope3_Feed_Data(), Table_SourceData_Scope3_Feed[[#Headers],[Category]], -7, 2)</f>
        <v>0.184</v>
      </c>
      <c r="I159" s="8" t="str" cm="1">
        <f t="array" ref="I159">Common_InputFunctions.Utility_DisplayArrayInTable(Scope3_SourceData.Scope3_Feed_Data(), Table_SourceData_Scope3_Feed[[#Headers],[Category]], -7, 2)</f>
        <v>at market</v>
      </c>
      <c r="N159" s="10" t="str">
        <f>Table_SourceData_Scope3_Feed[[#This Row],[Product]]</f>
        <v>Molasses</v>
      </c>
      <c r="O159" s="10" t="str">
        <f>Table_SourceData_Scope3_Feed[[#This Row],[Region of origin]]</f>
        <v>QLD</v>
      </c>
    </row>
    <row r="160" spans="4:16" ht="20.100000000000001" customHeight="1" x14ac:dyDescent="0.25"/>
    <row r="161" spans="4:13" ht="20.100000000000001" customHeight="1" x14ac:dyDescent="0.25">
      <c r="D161" s="10" t="s">
        <v>343</v>
      </c>
      <c r="E161" s="10" t="s">
        <v>219</v>
      </c>
      <c r="F161" s="10" t="s">
        <v>344</v>
      </c>
      <c r="G161" s="10" t="s">
        <v>300</v>
      </c>
      <c r="H161" s="10" t="s">
        <v>301</v>
      </c>
      <c r="I161" s="10" t="s">
        <v>389</v>
      </c>
    </row>
    <row r="162" spans="4:13" ht="20.100000000000001" customHeight="1" x14ac:dyDescent="0.25">
      <c r="D162" s="10" t="str" cm="1">
        <f t="array" ref="D162">Common_InputFunctions.Utility_DisplayArrayInTable(Scope3_SourceData.Scope3_Feed_Data(), Table_SourceData_Scope3_MixedRations[[#Headers],[Category]], -66, 2)</f>
        <v>Mixed rations</v>
      </c>
      <c r="E162" s="10" t="str" cm="1">
        <f t="array" ref="E162">Common_InputFunctions.Utility_DisplayArrayInTable(Scope3_SourceData.Scope3_Feed_Data(), Table_SourceData_Scope3_MixedRations[[#Headers],[Category]], -66, 2)</f>
        <v>Feed for chickens</v>
      </c>
      <c r="F162" s="10" t="str" cm="1">
        <f t="array" ref="F162">Common_InputFunctions.Utility_DisplayArrayInTable(Scope3_SourceData.Scope3_Feed_Data(), Table_SourceData_Scope3_MixedRations[[#Headers],[Category]], -66, 2)</f>
        <v>Australia</v>
      </c>
      <c r="G162" s="10" t="str" cm="1">
        <f t="array" ref="G162">Common_InputFunctions.Utility_DisplayArrayInTable(Scope3_SourceData.Scope3_Feed_Data(), Table_SourceData_Scope3_MixedRations[[#Headers],[Category]], -66, 2)</f>
        <v>kg</v>
      </c>
      <c r="H162" s="10" cm="1">
        <f t="array" ref="H162">Common_InputFunctions.Utility_DisplayArrayInTable(Scope3_SourceData.Scope3_Feed_Data(), Table_SourceData_Scope3_MixedRations[[#Headers],[Category]], -66, 2)</f>
        <v>0.59399999999999997</v>
      </c>
      <c r="I162" s="10" t="str" cm="1">
        <f t="array" ref="I162">Common_InputFunctions.Utility_DisplayArrayInTable(Scope3_SourceData.Scope3_Feed_Data(), Table_SourceData_Scope3_MixedRations[[#Headers],[Category]], -66, 2)</f>
        <v>at market</v>
      </c>
    </row>
    <row r="163" spans="4:13" ht="20.100000000000001" customHeight="1" x14ac:dyDescent="0.25">
      <c r="D163" s="10" t="str" cm="1">
        <f t="array" ref="D163">Common_InputFunctions.Utility_DisplayArrayInTable(Scope3_SourceData.Scope3_Feed_Data(), Table_SourceData_Scope3_MixedRations[[#Headers],[Category]], -66, 2)</f>
        <v>Mixed rations</v>
      </c>
      <c r="E163" s="10" t="str" cm="1">
        <f t="array" ref="E163">Common_InputFunctions.Utility_DisplayArrayInTable(Scope3_SourceData.Scope3_Feed_Data(), Table_SourceData_Scope3_MixedRations[[#Headers],[Category]], -66, 2)</f>
        <v>Feed for dairy calves</v>
      </c>
      <c r="F163" s="10" t="str" cm="1">
        <f t="array" ref="F163">Common_InputFunctions.Utility_DisplayArrayInTable(Scope3_SourceData.Scope3_Feed_Data(), Table_SourceData_Scope3_MixedRations[[#Headers],[Category]], -66, 2)</f>
        <v>Australia</v>
      </c>
      <c r="G163" s="10" t="str" cm="1">
        <f t="array" ref="G163">Common_InputFunctions.Utility_DisplayArrayInTable(Scope3_SourceData.Scope3_Feed_Data(), Table_SourceData_Scope3_MixedRations[[#Headers],[Category]], -66, 2)</f>
        <v>kg</v>
      </c>
      <c r="H163" s="10" cm="1">
        <f t="array" ref="H163">Common_InputFunctions.Utility_DisplayArrayInTable(Scope3_SourceData.Scope3_Feed_Data(), Table_SourceData_Scope3_MixedRations[[#Headers],[Category]], -66, 2)</f>
        <v>0.41899999999999998</v>
      </c>
      <c r="I163" s="10" t="str" cm="1">
        <f t="array" ref="I163">Common_InputFunctions.Utility_DisplayArrayInTable(Scope3_SourceData.Scope3_Feed_Data(), Table_SourceData_Scope3_MixedRations[[#Headers],[Category]], -66, 2)</f>
        <v>at market</v>
      </c>
    </row>
    <row r="164" spans="4:13" ht="20.100000000000001" customHeight="1" x14ac:dyDescent="0.25">
      <c r="D164" s="10" t="str" cm="1">
        <f t="array" ref="D164">Common_InputFunctions.Utility_DisplayArrayInTable(Scope3_SourceData.Scope3_Feed_Data(), Table_SourceData_Scope3_MixedRations[[#Headers],[Category]], -66, 2)</f>
        <v>Mixed rations</v>
      </c>
      <c r="E164" s="10" t="str" cm="1">
        <f t="array" ref="E164">Common_InputFunctions.Utility_DisplayArrayInTable(Scope3_SourceData.Scope3_Feed_Data(), Table_SourceData_Scope3_MixedRations[[#Headers],[Category]], -66, 2)</f>
        <v>Feed for dairy cows</v>
      </c>
      <c r="F164" s="10" t="str" cm="1">
        <f t="array" ref="F164">Common_InputFunctions.Utility_DisplayArrayInTable(Scope3_SourceData.Scope3_Feed_Data(), Table_SourceData_Scope3_MixedRations[[#Headers],[Category]], -66, 2)</f>
        <v>Australia</v>
      </c>
      <c r="G164" s="10" t="str" cm="1">
        <f t="array" ref="G164">Common_InputFunctions.Utility_DisplayArrayInTable(Scope3_SourceData.Scope3_Feed_Data(), Table_SourceData_Scope3_MixedRations[[#Headers],[Category]], -66, 2)</f>
        <v>kg</v>
      </c>
      <c r="H164" s="10" cm="1">
        <f t="array" ref="H164">Common_InputFunctions.Utility_DisplayArrayInTable(Scope3_SourceData.Scope3_Feed_Data(), Table_SourceData_Scope3_MixedRations[[#Headers],[Category]], -66, 2)</f>
        <v>0.33300000000000002</v>
      </c>
      <c r="I164" s="10" t="str" cm="1">
        <f t="array" ref="I164">Common_InputFunctions.Utility_DisplayArrayInTable(Scope3_SourceData.Scope3_Feed_Data(), Table_SourceData_Scope3_MixedRations[[#Headers],[Category]], -66, 2)</f>
        <v>at market</v>
      </c>
    </row>
    <row r="165" spans="4:13" ht="20.100000000000001" customHeight="1" x14ac:dyDescent="0.25">
      <c r="D165" s="10" t="str" cm="1">
        <f t="array" ref="D165">Common_InputFunctions.Utility_DisplayArrayInTable(Scope3_SourceData.Scope3_Feed_Data(), Table_SourceData_Scope3_MixedRations[[#Headers],[Category]], -66, 2)</f>
        <v>Mixed rations</v>
      </c>
      <c r="E165" s="10" t="str" cm="1">
        <f t="array" ref="E165">Common_InputFunctions.Utility_DisplayArrayInTable(Scope3_SourceData.Scope3_Feed_Data(), Table_SourceData_Scope3_MixedRations[[#Headers],[Category]], -66, 2)</f>
        <v>Feed for pigs</v>
      </c>
      <c r="F165" s="10" t="str" cm="1">
        <f t="array" ref="F165">Common_InputFunctions.Utility_DisplayArrayInTable(Scope3_SourceData.Scope3_Feed_Data(), Table_SourceData_Scope3_MixedRations[[#Headers],[Category]], -66, 2)</f>
        <v>Australia</v>
      </c>
      <c r="G165" s="10" t="str" cm="1">
        <f t="array" ref="G165">Common_InputFunctions.Utility_DisplayArrayInTable(Scope3_SourceData.Scope3_Feed_Data(), Table_SourceData_Scope3_MixedRations[[#Headers],[Category]], -66, 2)</f>
        <v>kg</v>
      </c>
      <c r="H165" s="10" cm="1">
        <f t="array" ref="H165">Common_InputFunctions.Utility_DisplayArrayInTable(Scope3_SourceData.Scope3_Feed_Data(), Table_SourceData_Scope3_MixedRations[[#Headers],[Category]], -66, 2)</f>
        <v>0.40300000000000002</v>
      </c>
      <c r="I165" s="10" t="str" cm="1">
        <f t="array" ref="I165">Common_InputFunctions.Utility_DisplayArrayInTable(Scope3_SourceData.Scope3_Feed_Data(), Table_SourceData_Scope3_MixedRations[[#Headers],[Category]], -66, 2)</f>
        <v>at market</v>
      </c>
    </row>
    <row r="166" spans="4:13" ht="20.100000000000001" customHeight="1" x14ac:dyDescent="0.25"/>
    <row r="167" spans="4:13" ht="20.100000000000001" customHeight="1" x14ac:dyDescent="0.25">
      <c r="D167" s="10" t="s">
        <v>343</v>
      </c>
      <c r="E167" s="10" t="s">
        <v>219</v>
      </c>
      <c r="F167" s="10" t="s">
        <v>344</v>
      </c>
      <c r="G167" s="10" t="s">
        <v>300</v>
      </c>
      <c r="H167" s="10" t="s">
        <v>301</v>
      </c>
      <c r="I167" s="10" t="s">
        <v>389</v>
      </c>
    </row>
    <row r="168" spans="4:13" ht="20.100000000000001" customHeight="1" x14ac:dyDescent="0.25">
      <c r="D168" s="10" t="str" cm="1">
        <f t="array" ref="D168">Common_InputFunctions.Utility_DisplayArrayInTable(Scope3_SourceData.Scope3_Feed_Data(), Table_SourceData_Scope3_LickBlocks[[#Headers],[Category]], -73, 2)</f>
        <v>Other</v>
      </c>
      <c r="E168" s="10" t="str" cm="1">
        <f t="array" ref="E168">Common_InputFunctions.Utility_DisplayArrayInTable(Scope3_SourceData.Scope3_Feed_Data(), Table_SourceData_Scope3_LickBlocks[[#Headers],[Category]], -73, 2)</f>
        <v>Lick block, dry season mix</v>
      </c>
      <c r="F168" s="10" t="str" cm="1">
        <f t="array" ref="F168">Common_InputFunctions.Utility_DisplayArrayInTable(Scope3_SourceData.Scope3_Feed_Data(), Table_SourceData_Scope3_LickBlocks[[#Headers],[Category]], -73, 2)</f>
        <v>Australia</v>
      </c>
      <c r="G168" s="10" t="str" cm="1">
        <f t="array" ref="G168">Common_InputFunctions.Utility_DisplayArrayInTable(Scope3_SourceData.Scope3_Feed_Data(), Table_SourceData_Scope3_LickBlocks[[#Headers],[Category]], -73, 2)</f>
        <v>kg</v>
      </c>
      <c r="H168" s="10" cm="1">
        <f t="array" ref="H168">Common_InputFunctions.Utility_DisplayArrayInTable(Scope3_SourceData.Scope3_Feed_Data(), Table_SourceData_Scope3_LickBlocks[[#Headers],[Category]], -73, 2)</f>
        <v>0.88100000000000001</v>
      </c>
      <c r="I168" s="10" t="str" cm="1">
        <f t="array" ref="I168">Common_InputFunctions.Utility_DisplayArrayInTable(Scope3_SourceData.Scope3_Feed_Data(), Table_SourceData_Scope3_LickBlocks[[#Headers],[Category]], -73, 2)</f>
        <v>at market</v>
      </c>
    </row>
    <row r="169" spans="4:13" ht="20.100000000000001" customHeight="1" x14ac:dyDescent="0.25">
      <c r="D169" s="10" t="str" cm="1">
        <f t="array" ref="D169">Common_InputFunctions.Utility_DisplayArrayInTable(Scope3_SourceData.Scope3_Feed_Data(), Table_SourceData_Scope3_LickBlocks[[#Headers],[Category]], -73, 2)</f>
        <v>Other</v>
      </c>
      <c r="E169" s="10" t="str" cm="1">
        <f t="array" ref="E169">Common_InputFunctions.Utility_DisplayArrayInTable(Scope3_SourceData.Scope3_Feed_Data(), Table_SourceData_Scope3_LickBlocks[[#Headers],[Category]], -73, 2)</f>
        <v>Lick block, mineral</v>
      </c>
      <c r="F169" s="10" t="str" cm="1">
        <f t="array" ref="F169">Common_InputFunctions.Utility_DisplayArrayInTable(Scope3_SourceData.Scope3_Feed_Data(), Table_SourceData_Scope3_LickBlocks[[#Headers],[Category]], -73, 2)</f>
        <v>Australia</v>
      </c>
      <c r="G169" s="10" t="str" cm="1">
        <f t="array" ref="G169">Common_InputFunctions.Utility_DisplayArrayInTable(Scope3_SourceData.Scope3_Feed_Data(), Table_SourceData_Scope3_LickBlocks[[#Headers],[Category]], -73, 2)</f>
        <v>kg</v>
      </c>
      <c r="H169" s="10" cm="1">
        <f t="array" ref="H169">Common_InputFunctions.Utility_DisplayArrayInTable(Scope3_SourceData.Scope3_Feed_Data(), Table_SourceData_Scope3_LickBlocks[[#Headers],[Category]], -73, 2)</f>
        <v>0.67700000000000005</v>
      </c>
      <c r="I169" s="10" t="str" cm="1">
        <f t="array" ref="I169">Common_InputFunctions.Utility_DisplayArrayInTable(Scope3_SourceData.Scope3_Feed_Data(), Table_SourceData_Scope3_LickBlocks[[#Headers],[Category]], -73, 2)</f>
        <v>at market</v>
      </c>
    </row>
    <row r="170" spans="4:13" ht="20.100000000000001" customHeight="1" x14ac:dyDescent="0.25">
      <c r="D170" s="10" t="str" cm="1">
        <f t="array" ref="D170">Common_InputFunctions.Utility_DisplayArrayInTable(Scope3_SourceData.Scope3_Feed_Data(), Table_SourceData_Scope3_LickBlocks[[#Headers],[Category]], -73, 2)</f>
        <v>Other</v>
      </c>
      <c r="E170" s="10" t="str" cm="1">
        <f t="array" ref="E170">Common_InputFunctions.Utility_DisplayArrayInTable(Scope3_SourceData.Scope3_Feed_Data(), Table_SourceData_Scope3_LickBlocks[[#Headers],[Category]], -73, 2)</f>
        <v>Lick block, weaner</v>
      </c>
      <c r="F170" s="10" t="str" cm="1">
        <f t="array" ref="F170">Common_InputFunctions.Utility_DisplayArrayInTable(Scope3_SourceData.Scope3_Feed_Data(), Table_SourceData_Scope3_LickBlocks[[#Headers],[Category]], -73, 2)</f>
        <v>Australia</v>
      </c>
      <c r="G170" s="10" t="str" cm="1">
        <f t="array" ref="G170">Common_InputFunctions.Utility_DisplayArrayInTable(Scope3_SourceData.Scope3_Feed_Data(), Table_SourceData_Scope3_LickBlocks[[#Headers],[Category]], -73, 2)</f>
        <v>kg</v>
      </c>
      <c r="H170" s="10" cm="1">
        <f t="array" ref="H170">Common_InputFunctions.Utility_DisplayArrayInTable(Scope3_SourceData.Scope3_Feed_Data(), Table_SourceData_Scope3_LickBlocks[[#Headers],[Category]], -73, 2)</f>
        <v>0.23100000000000001</v>
      </c>
      <c r="I170" s="10" t="str" cm="1">
        <f t="array" ref="I170">Common_InputFunctions.Utility_DisplayArrayInTable(Scope3_SourceData.Scope3_Feed_Data(), Table_SourceData_Scope3_LickBlocks[[#Headers],[Category]], -73, 2)</f>
        <v>at market</v>
      </c>
    </row>
    <row r="171" spans="4:13" ht="20.100000000000001" customHeight="1" x14ac:dyDescent="0.25"/>
    <row r="172" spans="4:13" ht="20.100000000000001" customHeight="1" x14ac:dyDescent="0.25">
      <c r="D172" s="9" t="s">
        <v>375</v>
      </c>
    </row>
    <row r="173" spans="4:13" ht="20.100000000000001" customHeight="1" x14ac:dyDescent="0.25">
      <c r="D173" s="10" t="s">
        <v>343</v>
      </c>
      <c r="E173" s="10" t="s">
        <v>219</v>
      </c>
      <c r="F173" s="10" t="s">
        <v>344</v>
      </c>
      <c r="G173" s="10" t="s">
        <v>298</v>
      </c>
      <c r="H173" s="10" t="s">
        <v>173</v>
      </c>
      <c r="I173" s="10" t="s">
        <v>174</v>
      </c>
      <c r="J173" s="10" t="s">
        <v>299</v>
      </c>
      <c r="K173" s="10" t="s">
        <v>300</v>
      </c>
      <c r="L173" s="10" t="s">
        <v>301</v>
      </c>
      <c r="M173" s="10" t="s">
        <v>389</v>
      </c>
    </row>
    <row r="174" spans="4:13" ht="20.100000000000001" customHeight="1" x14ac:dyDescent="0.25">
      <c r="D174" s="10" t="str" cm="1">
        <f t="array" ref="D174">Common_InputFunctions.Utility_DisplayArrayInTable(Scope3_SourceData.Scope3_InorganicFertilisers_Data(), Table_SourceData_Scope3_InorganicFertiliser[[#Headers],[Category]], 0, 2)</f>
        <v>Inorganic fertilisers</v>
      </c>
      <c r="E174" s="10" t="str" cm="1">
        <f t="array" ref="E174">Common_InputFunctions.Utility_DisplayArrayInTable(Scope3_SourceData.Scope3_InorganicFertilisers_Data(), Table_SourceData_Scope3_InorganicFertiliser[[#Headers],[Category]], 0, 2)</f>
        <v>Ammonia, AU market mix</v>
      </c>
      <c r="F174" s="10" t="str" cm="1">
        <f t="array" ref="F174">Common_InputFunctions.Utility_DisplayArrayInTable(Scope3_SourceData.Scope3_InorganicFertilisers_Data(), Table_SourceData_Scope3_InorganicFertiliser[[#Headers],[Category]], 0, 2)</f>
        <v>Global</v>
      </c>
      <c r="G174" s="10" t="str">
        <f>'Constants - Fertiliser'!$D$37</f>
        <v>Ammonia</v>
      </c>
      <c r="H174" s="10"/>
      <c r="I174" s="10" t="str">
        <f>'Constants - Fertiliser'!$V$20</f>
        <v>Global</v>
      </c>
      <c r="J174" s="10"/>
      <c r="K174" s="10" t="str" cm="1">
        <f t="array" ref="K174">Common_InputFunctions.Utility_DisplayArrayInTable(Scope3_SourceData.Scope3_InorganicFertilisers_Data(), Table_SourceData_Scope3_InorganicFertiliser[[#Headers],[Category]], 0, -2)</f>
        <v>kg</v>
      </c>
      <c r="L174" s="10" cm="1">
        <f t="array" ref="L174">Common_InputFunctions.Utility_DisplayArrayInTable(Scope3_SourceData.Scope3_InorganicFertilisers_Data(), Table_SourceData_Scope3_InorganicFertiliser[[#Headers],[Category]], 0, -2)</f>
        <v>2.3199999999999998</v>
      </c>
      <c r="M174" s="10" t="str" cm="1">
        <f t="array" ref="M174">Common_InputFunctions.Utility_DisplayArrayInTable(Scope3_SourceData.Scope3_InorganicFertilisers_Data(), Table_SourceData_Scope3_InorganicFertiliser[[#Headers],[Category]], 0, -2)</f>
        <v>at market</v>
      </c>
    </row>
    <row r="175" spans="4:13" ht="20.100000000000001" customHeight="1" x14ac:dyDescent="0.25">
      <c r="D175" s="10" t="str" cm="1">
        <f t="array" ref="D175">Common_InputFunctions.Utility_DisplayArrayInTable(Scope3_SourceData.Scope3_InorganicFertilisers_Data(), Table_SourceData_Scope3_InorganicFertiliser[[#Headers],[Category]], 0, 2)</f>
        <v>Inorganic fertilisers</v>
      </c>
      <c r="E175" s="10" t="str" cm="1">
        <f t="array" ref="E175">Common_InputFunctions.Utility_DisplayArrayInTable(Scope3_SourceData.Scope3_InorganicFertilisers_Data(), Table_SourceData_Scope3_InorganicFertiliser[[#Headers],[Category]], 0, 2)</f>
        <v>Ammonia, Canada</v>
      </c>
      <c r="F175" s="10" t="str" cm="1">
        <f t="array" ref="F175">Common_InputFunctions.Utility_DisplayArrayInTable(Scope3_SourceData.Scope3_InorganicFertilisers_Data(), Table_SourceData_Scope3_InorganicFertiliser[[#Headers],[Category]], 0, 2)</f>
        <v>Canada</v>
      </c>
      <c r="G175" s="10" t="str">
        <f>'Constants - Fertiliser'!$D$37</f>
        <v>Ammonia</v>
      </c>
      <c r="H175" s="10"/>
      <c r="I175" s="10" t="str">
        <f>'Constants - Fertiliser'!$V$21</f>
        <v>Canada</v>
      </c>
      <c r="J175" s="10"/>
      <c r="K175" s="10" t="str" cm="1">
        <f t="array" ref="K175">Common_InputFunctions.Utility_DisplayArrayInTable(Scope3_SourceData.Scope3_InorganicFertilisers_Data(), Table_SourceData_Scope3_InorganicFertiliser[[#Headers],[Category]], 0, -2)</f>
        <v>kg</v>
      </c>
      <c r="L175" s="10" cm="1">
        <f t="array" ref="L175">Common_InputFunctions.Utility_DisplayArrayInTable(Scope3_SourceData.Scope3_InorganicFertilisers_Data(), Table_SourceData_Scope3_InorganicFertiliser[[#Headers],[Category]], 0, -2)</f>
        <v>2.12</v>
      </c>
      <c r="M175" s="10" t="str" cm="1">
        <f t="array" ref="M175">Common_InputFunctions.Utility_DisplayArrayInTable(Scope3_SourceData.Scope3_InorganicFertilisers_Data(), Table_SourceData_Scope3_InorganicFertiliser[[#Headers],[Category]], 0, -2)</f>
        <v>at market</v>
      </c>
    </row>
    <row r="176" spans="4:13" ht="20.100000000000001" customHeight="1" x14ac:dyDescent="0.25">
      <c r="D176" s="10" t="str" cm="1">
        <f t="array" ref="D176">Common_InputFunctions.Utility_DisplayArrayInTable(Scope3_SourceData.Scope3_InorganicFertilisers_Data(), Table_SourceData_Scope3_InorganicFertiliser[[#Headers],[Category]], 0, 2)</f>
        <v>Inorganic fertilisers</v>
      </c>
      <c r="E176" s="10" t="str" cm="1">
        <f t="array" ref="E176">Common_InputFunctions.Utility_DisplayArrayInTable(Scope3_SourceData.Scope3_InorganicFertilisers_Data(), Table_SourceData_Scope3_InorganicFertiliser[[#Headers],[Category]], 0, 2)</f>
        <v>Ammonia, China</v>
      </c>
      <c r="F176" s="10" t="str" cm="1">
        <f t="array" ref="F176">Common_InputFunctions.Utility_DisplayArrayInTable(Scope3_SourceData.Scope3_InorganicFertilisers_Data(), Table_SourceData_Scope3_InorganicFertiliser[[#Headers],[Category]], 0, 2)</f>
        <v>China</v>
      </c>
      <c r="G176" s="10" t="str">
        <f>'Constants - Fertiliser'!$D$37</f>
        <v>Ammonia</v>
      </c>
      <c r="H176" s="10"/>
      <c r="I176" s="10" t="str">
        <f>'Constants - Fertiliser'!$V$22</f>
        <v>China</v>
      </c>
      <c r="J176" s="10"/>
      <c r="K176" s="10" t="str" cm="1">
        <f t="array" ref="K176">Common_InputFunctions.Utility_DisplayArrayInTable(Scope3_SourceData.Scope3_InorganicFertilisers_Data(), Table_SourceData_Scope3_InorganicFertiliser[[#Headers],[Category]], 0, -2)</f>
        <v>kg</v>
      </c>
      <c r="L176" s="10" cm="1">
        <f t="array" ref="L176">Common_InputFunctions.Utility_DisplayArrayInTable(Scope3_SourceData.Scope3_InorganicFertilisers_Data(), Table_SourceData_Scope3_InorganicFertiliser[[#Headers],[Category]], 0, -2)</f>
        <v>4.17</v>
      </c>
      <c r="M176" s="10" t="str" cm="1">
        <f t="array" ref="M176">Common_InputFunctions.Utility_DisplayArrayInTable(Scope3_SourceData.Scope3_InorganicFertilisers_Data(), Table_SourceData_Scope3_InorganicFertiliser[[#Headers],[Category]], 0, -2)</f>
        <v>at market</v>
      </c>
    </row>
    <row r="177" spans="4:16" ht="20.100000000000001" customHeight="1" x14ac:dyDescent="0.25">
      <c r="D177" s="10" t="str" cm="1">
        <f t="array" ref="D177">Common_InputFunctions.Utility_DisplayArrayInTable(Scope3_SourceData.Scope3_InorganicFertilisers_Data(), Table_SourceData_Scope3_InorganicFertiliser[[#Headers],[Category]], 0, 2)</f>
        <v>Inorganic fertilisers</v>
      </c>
      <c r="E177" s="10" t="str" cm="1">
        <f t="array" ref="E177">Common_InputFunctions.Utility_DisplayArrayInTable(Scope3_SourceData.Scope3_InorganicFertilisers_Data(), Table_SourceData_Scope3_InorganicFertiliser[[#Headers],[Category]], 0, 2)</f>
        <v>Ammonia, Yemen</v>
      </c>
      <c r="F177" s="10" t="str" cm="1">
        <f t="array" ref="F177">Common_InputFunctions.Utility_DisplayArrayInTable(Scope3_SourceData.Scope3_InorganicFertilisers_Data(), Table_SourceData_Scope3_InorganicFertiliser[[#Headers],[Category]], 0, 2)</f>
        <v>Yemen</v>
      </c>
      <c r="G177" s="10" t="str">
        <f>'Constants - Fertiliser'!$D$37</f>
        <v>Ammonia</v>
      </c>
      <c r="H177" s="10"/>
      <c r="I177" s="10" t="str">
        <f>'Constants - Fertiliser'!$V$23</f>
        <v>Yemen</v>
      </c>
      <c r="J177" s="10"/>
      <c r="K177" s="10" t="str" cm="1">
        <f t="array" ref="K177">Common_InputFunctions.Utility_DisplayArrayInTable(Scope3_SourceData.Scope3_InorganicFertilisers_Data(), Table_SourceData_Scope3_InorganicFertiliser[[#Headers],[Category]], 0, -2)</f>
        <v>kg</v>
      </c>
      <c r="L177" s="10" cm="1">
        <f t="array" ref="L177">Common_InputFunctions.Utility_DisplayArrayInTable(Scope3_SourceData.Scope3_InorganicFertilisers_Data(), Table_SourceData_Scope3_InorganicFertiliser[[#Headers],[Category]], 0, -2)</f>
        <v>2.2599999999999998</v>
      </c>
      <c r="M177" s="10" t="str" cm="1">
        <f t="array" ref="M177">Common_InputFunctions.Utility_DisplayArrayInTable(Scope3_SourceData.Scope3_InorganicFertilisers_Data(), Table_SourceData_Scope3_InorganicFertiliser[[#Headers],[Category]], 0, -2)</f>
        <v>at market</v>
      </c>
    </row>
    <row r="178" spans="4:16" ht="20.100000000000001" customHeight="1" x14ac:dyDescent="0.25">
      <c r="D178" s="10" t="str" cm="1">
        <f t="array" ref="D178">Common_InputFunctions.Utility_DisplayArrayInTable(Scope3_SourceData.Scope3_InorganicFertilisers_Data(), Table_SourceData_Scope3_InorganicFertiliser[[#Headers],[Category]], 0, 2)</f>
        <v>Inorganic fertilisers</v>
      </c>
      <c r="E178" s="10" t="str" cm="1">
        <f t="array" ref="E178">Common_InputFunctions.Utility_DisplayArrayInTable(Scope3_SourceData.Scope3_InorganicFertilisers_Data(), Table_SourceData_Scope3_InorganicFertiliser[[#Headers],[Category]], 0, 2)</f>
        <v>Ammonium nitrate, AU market mix</v>
      </c>
      <c r="F178" s="10" t="str" cm="1">
        <f t="array" ref="F178">Common_InputFunctions.Utility_DisplayArrayInTable(Scope3_SourceData.Scope3_InorganicFertilisers_Data(), Table_SourceData_Scope3_InorganicFertiliser[[#Headers],[Category]], 0, 2)</f>
        <v>Global</v>
      </c>
      <c r="G178" s="10" t="str">
        <f>'Constants - Fertiliser'!$D$25</f>
        <v>Ammonium nitrate (AN)</v>
      </c>
      <c r="H178" s="10"/>
      <c r="I178" s="10"/>
      <c r="J178" s="10"/>
      <c r="K178" s="10" t="str" cm="1">
        <f t="array" ref="K178">Common_InputFunctions.Utility_DisplayArrayInTable(Scope3_SourceData.Scope3_InorganicFertilisers_Data(), Table_SourceData_Scope3_InorganicFertiliser[[#Headers],[Category]], 0, -2)</f>
        <v>kg</v>
      </c>
      <c r="L178" s="10" cm="1">
        <f t="array" ref="L178">Common_InputFunctions.Utility_DisplayArrayInTable(Scope3_SourceData.Scope3_InorganicFertilisers_Data(), Table_SourceData_Scope3_InorganicFertiliser[[#Headers],[Category]], 0, -2)</f>
        <v>2.21</v>
      </c>
      <c r="M178" s="10" t="str" cm="1">
        <f t="array" ref="M178">Common_InputFunctions.Utility_DisplayArrayInTable(Scope3_SourceData.Scope3_InorganicFertilisers_Data(), Table_SourceData_Scope3_InorganicFertiliser[[#Headers],[Category]], 0, -2)</f>
        <v>at market</v>
      </c>
    </row>
    <row r="179" spans="4:16" ht="20.100000000000001" customHeight="1" x14ac:dyDescent="0.25">
      <c r="D179" s="10" t="str" cm="1">
        <f t="array" ref="D179">Common_InputFunctions.Utility_DisplayArrayInTable(Scope3_SourceData.Scope3_InorganicFertilisers_Data(), Table_SourceData_Scope3_InorganicFertiliser[[#Headers],[Category]], 0, 2)</f>
        <v>Inorganic fertilisers</v>
      </c>
      <c r="E179" s="10" t="str" cm="1">
        <f t="array" ref="E179">Common_InputFunctions.Utility_DisplayArrayInTable(Scope3_SourceData.Scope3_InorganicFertilisers_Data(), Table_SourceData_Scope3_InorganicFertiliser[[#Headers],[Category]], 0, 2)</f>
        <v>Calcium ammonium nitrate, AU market mix</v>
      </c>
      <c r="F179" s="10" t="str" cm="1">
        <f t="array" ref="F179">Common_InputFunctions.Utility_DisplayArrayInTable(Scope3_SourceData.Scope3_InorganicFertilisers_Data(), Table_SourceData_Scope3_InorganicFertiliser[[#Headers],[Category]], 0, 2)</f>
        <v>Global</v>
      </c>
      <c r="G179" s="10" t="str">
        <f>'Constants - Fertiliser'!$D$26</f>
        <v>Calcium ammonium nitrate (CAN)</v>
      </c>
      <c r="H179" s="10"/>
      <c r="I179" s="10"/>
      <c r="J179" s="10"/>
      <c r="K179" s="10" t="str" cm="1">
        <f t="array" ref="K179">Common_InputFunctions.Utility_DisplayArrayInTable(Scope3_SourceData.Scope3_InorganicFertilisers_Data(), Table_SourceData_Scope3_InorganicFertiliser[[#Headers],[Category]], 0, -2)</f>
        <v>kg</v>
      </c>
      <c r="L179" s="10" cm="1">
        <f t="array" ref="L179">Common_InputFunctions.Utility_DisplayArrayInTable(Scope3_SourceData.Scope3_InorganicFertilisers_Data(), Table_SourceData_Scope3_InorganicFertiliser[[#Headers],[Category]], 0, -2)</f>
        <v>1.1499999999999999</v>
      </c>
      <c r="M179" s="10" t="str" cm="1">
        <f t="array" ref="M179">Common_InputFunctions.Utility_DisplayArrayInTable(Scope3_SourceData.Scope3_InorganicFertilisers_Data(), Table_SourceData_Scope3_InorganicFertiliser[[#Headers],[Category]], 0, -2)</f>
        <v>at market</v>
      </c>
    </row>
    <row r="180" spans="4:16" ht="20.100000000000001" customHeight="1" x14ac:dyDescent="0.25">
      <c r="D180" s="10" t="str" cm="1">
        <f t="array" ref="D180">Common_InputFunctions.Utility_DisplayArrayInTable(Scope3_SourceData.Scope3_InorganicFertilisers_Data(), Table_SourceData_Scope3_InorganicFertiliser[[#Headers],[Category]], 0, 2)</f>
        <v>Inorganic fertilisers</v>
      </c>
      <c r="E180" s="10" t="str" cm="1">
        <f t="array" ref="E180">Common_InputFunctions.Utility_DisplayArrayInTable(Scope3_SourceData.Scope3_InorganicFertilisers_Data(), Table_SourceData_Scope3_InorganicFertiliser[[#Headers],[Category]], 0, 2)</f>
        <v>Calcium nitrate</v>
      </c>
      <c r="F180" s="10" t="str" cm="1">
        <f t="array" ref="F180">Common_InputFunctions.Utility_DisplayArrayInTable(Scope3_SourceData.Scope3_InorganicFertilisers_Data(), Table_SourceData_Scope3_InorganicFertiliser[[#Headers],[Category]], 0, 2)</f>
        <v>Global</v>
      </c>
      <c r="G180" s="10" t="str">
        <f>'Constants - Fertiliser'!$D$38</f>
        <v>Calcium nitrate</v>
      </c>
      <c r="H180" s="10"/>
      <c r="I180" s="10"/>
      <c r="J180" s="10"/>
      <c r="K180" s="10" t="str" cm="1">
        <f t="array" ref="K180">Common_InputFunctions.Utility_DisplayArrayInTable(Scope3_SourceData.Scope3_InorganicFertilisers_Data(), Table_SourceData_Scope3_InorganicFertiliser[[#Headers],[Category]], 0, -2)</f>
        <v>kg</v>
      </c>
      <c r="L180" s="10" cm="1">
        <f t="array" ref="L180">Common_InputFunctions.Utility_DisplayArrayInTable(Scope3_SourceData.Scope3_InorganicFertilisers_Data(), Table_SourceData_Scope3_InorganicFertiliser[[#Headers],[Category]], 0, -2)</f>
        <v>0.75</v>
      </c>
      <c r="M180" s="10" t="str" cm="1">
        <f t="array" ref="M180">Common_InputFunctions.Utility_DisplayArrayInTable(Scope3_SourceData.Scope3_InorganicFertilisers_Data(), Table_SourceData_Scope3_InorganicFertiliser[[#Headers],[Category]], 0, -2)</f>
        <v>at market</v>
      </c>
    </row>
    <row r="181" spans="4:16" ht="20.100000000000001" customHeight="1" x14ac:dyDescent="0.25">
      <c r="D181" s="10" t="str" cm="1">
        <f t="array" ref="D181">Common_InputFunctions.Utility_DisplayArrayInTable(Scope3_SourceData.Scope3_InorganicFertilisers_Data(), Table_SourceData_Scope3_InorganicFertiliser[[#Headers],[Category]], 0, 2)</f>
        <v>Inorganic fertilisers</v>
      </c>
      <c r="E181" s="10" t="str" cm="1">
        <f t="array" ref="E181">Common_InputFunctions.Utility_DisplayArrayInTable(Scope3_SourceData.Scope3_InorganicFertilisers_Data(), Table_SourceData_Scope3_InorganicFertiliser[[#Headers],[Category]], 0, 2)</f>
        <v>Diammonium phosphate, AU market mix</v>
      </c>
      <c r="F181" s="10" t="str" cm="1">
        <f t="array" ref="F181">Common_InputFunctions.Utility_DisplayArrayInTable(Scope3_SourceData.Scope3_InorganicFertilisers_Data(), Table_SourceData_Scope3_InorganicFertiliser[[#Headers],[Category]], 0, 2)</f>
        <v>Global</v>
      </c>
      <c r="G181" s="10" t="str">
        <f>'Constants - Fertiliser'!$D$21</f>
        <v>Diammonium phosphate (DAP)</v>
      </c>
      <c r="H181" s="10"/>
      <c r="I181" s="10"/>
      <c r="J181" s="10"/>
      <c r="K181" s="10" t="str" cm="1">
        <f t="array" ref="K181">Common_InputFunctions.Utility_DisplayArrayInTable(Scope3_SourceData.Scope3_InorganicFertilisers_Data(), Table_SourceData_Scope3_InorganicFertiliser[[#Headers],[Category]], 0, -2)</f>
        <v>kg</v>
      </c>
      <c r="L181" s="10" cm="1">
        <f t="array" ref="L181">Common_InputFunctions.Utility_DisplayArrayInTable(Scope3_SourceData.Scope3_InorganicFertilisers_Data(), Table_SourceData_Scope3_InorganicFertiliser[[#Headers],[Category]], 0, -2)</f>
        <v>1.34</v>
      </c>
      <c r="M181" s="10" t="str" cm="1">
        <f t="array" ref="M181">Common_InputFunctions.Utility_DisplayArrayInTable(Scope3_SourceData.Scope3_InorganicFertilisers_Data(), Table_SourceData_Scope3_InorganicFertiliser[[#Headers],[Category]], 0, -2)</f>
        <v>at market</v>
      </c>
    </row>
    <row r="182" spans="4:16" ht="20.100000000000001" customHeight="1" x14ac:dyDescent="0.25">
      <c r="D182" s="10" t="str" cm="1">
        <f t="array" ref="D182">Common_InputFunctions.Utility_DisplayArrayInTable(Scope3_SourceData.Scope3_InorganicFertilisers_Data(), Table_SourceData_Scope3_InorganicFertiliser[[#Headers],[Category]], 0, 2)</f>
        <v>Inorganic fertilisers</v>
      </c>
      <c r="E182" s="10" t="str" cm="1">
        <f t="array" ref="E182">Common_InputFunctions.Utility_DisplayArrayInTable(Scope3_SourceData.Scope3_InorganicFertilisers_Data(), Table_SourceData_Scope3_InorganicFertiliser[[#Headers],[Category]], 0, 2)</f>
        <v>Double superphosphate, AU market mix</v>
      </c>
      <c r="F182" s="10" t="str" cm="1">
        <f t="array" ref="F182">Common_InputFunctions.Utility_DisplayArrayInTable(Scope3_SourceData.Scope3_InorganicFertilisers_Data(), Table_SourceData_Scope3_InorganicFertiliser[[#Headers],[Category]], 0, 2)</f>
        <v>Global</v>
      </c>
      <c r="G182" s="10" t="str">
        <f>'Constants - Fertiliser'!$D$35</f>
        <v>Double superphosphate</v>
      </c>
      <c r="H182" s="10"/>
      <c r="I182" s="10"/>
      <c r="J182" s="10"/>
      <c r="K182" s="10" t="str" cm="1">
        <f t="array" ref="K182">Common_InputFunctions.Utility_DisplayArrayInTable(Scope3_SourceData.Scope3_InorganicFertilisers_Data(), Table_SourceData_Scope3_InorganicFertiliser[[#Headers],[Category]], 0, -2)</f>
        <v>kg</v>
      </c>
      <c r="L182" s="10" cm="1">
        <f t="array" ref="L182">Common_InputFunctions.Utility_DisplayArrayInTable(Scope3_SourceData.Scope3_InorganicFertilisers_Data(), Table_SourceData_Scope3_InorganicFertiliser[[#Headers],[Category]], 0, -2)</f>
        <v>0.39200000000000002</v>
      </c>
      <c r="M182" s="10" t="str" cm="1">
        <f t="array" ref="M182">Common_InputFunctions.Utility_DisplayArrayInTable(Scope3_SourceData.Scope3_InorganicFertilisers_Data(), Table_SourceData_Scope3_InorganicFertiliser[[#Headers],[Category]], 0, -2)</f>
        <v>at market</v>
      </c>
    </row>
    <row r="183" spans="4:16" ht="20.100000000000001" customHeight="1" x14ac:dyDescent="0.25">
      <c r="D183" s="10" t="str" cm="1">
        <f t="array" ref="D183">Common_InputFunctions.Utility_DisplayArrayInTable(Scope3_SourceData.Scope3_InorganicFertilisers_Data(), Table_SourceData_Scope3_InorganicFertiliser[[#Headers],[Category]], 0, 2)</f>
        <v>Inorganic fertilisers</v>
      </c>
      <c r="E183" s="10" t="str" cm="1">
        <f t="array" ref="E183">Common_InputFunctions.Utility_DisplayArrayInTable(Scope3_SourceData.Scope3_InorganicFertilisers_Data(), Table_SourceData_Scope3_InorganicFertiliser[[#Headers],[Category]], 0, 2)</f>
        <v>Monoammonium phosphate, AU market mix</v>
      </c>
      <c r="F183" s="10" t="str" cm="1">
        <f t="array" ref="F183">Common_InputFunctions.Utility_DisplayArrayInTable(Scope3_SourceData.Scope3_InorganicFertilisers_Data(), Table_SourceData_Scope3_InorganicFertiliser[[#Headers],[Category]], 0, 2)</f>
        <v>Global</v>
      </c>
      <c r="G183" s="10" t="str">
        <f>'Constants - Fertiliser'!$D$20</f>
        <v>Monoammonium phosphate (MAP)</v>
      </c>
      <c r="H183" s="10"/>
      <c r="I183" s="10"/>
      <c r="J183" s="10"/>
      <c r="K183" s="10" t="str" cm="1">
        <f t="array" ref="K183">Common_InputFunctions.Utility_DisplayArrayInTable(Scope3_SourceData.Scope3_InorganicFertilisers_Data(), Table_SourceData_Scope3_InorganicFertiliser[[#Headers],[Category]], 0, -2)</f>
        <v>kg</v>
      </c>
      <c r="L183" s="10" cm="1">
        <f t="array" ref="L183">Common_InputFunctions.Utility_DisplayArrayInTable(Scope3_SourceData.Scope3_InorganicFertilisers_Data(), Table_SourceData_Scope3_InorganicFertiliser[[#Headers],[Category]], 0, -2)</f>
        <v>0.82699999999999996</v>
      </c>
      <c r="M183" s="10" t="str" cm="1">
        <f t="array" ref="M183">Common_InputFunctions.Utility_DisplayArrayInTable(Scope3_SourceData.Scope3_InorganicFertilisers_Data(), Table_SourceData_Scope3_InorganicFertiliser[[#Headers],[Category]], 0, -2)</f>
        <v>at market</v>
      </c>
    </row>
    <row r="184" spans="4:16" ht="20.100000000000001" customHeight="1" x14ac:dyDescent="0.25">
      <c r="D184" s="10" t="str" cm="1">
        <f t="array" ref="D184">Common_InputFunctions.Utility_DisplayArrayInTable(Scope3_SourceData.Scope3_InorganicFertilisers_Data(), Table_SourceData_Scope3_InorganicFertiliser[[#Headers],[Category]], 0, 2)</f>
        <v>Inorganic fertilisers</v>
      </c>
      <c r="E184" s="10" t="str" cm="1">
        <f t="array" ref="E184">Common_InputFunctions.Utility_DisplayArrayInTable(Scope3_SourceData.Scope3_InorganicFertilisers_Data(), Table_SourceData_Scope3_InorganicFertiliser[[#Headers],[Category]], 0, 2)</f>
        <v>Muriate of potash, AU market mix</v>
      </c>
      <c r="F184" s="10" t="str" cm="1">
        <f t="array" ref="F184">Common_InputFunctions.Utility_DisplayArrayInTable(Scope3_SourceData.Scope3_InorganicFertilisers_Data(), Table_SourceData_Scope3_InorganicFertiliser[[#Headers],[Category]], 0, 2)</f>
        <v>Global</v>
      </c>
      <c r="G184" s="10" t="str">
        <f>'Constants - Fertiliser'!$D$34</f>
        <v>Muriate of potash (MOP)</v>
      </c>
      <c r="H184" s="10"/>
      <c r="I184" s="10"/>
      <c r="J184" s="10"/>
      <c r="K184" s="10" t="str" cm="1">
        <f t="array" ref="K184">Common_InputFunctions.Utility_DisplayArrayInTable(Scope3_SourceData.Scope3_InorganicFertilisers_Data(), Table_SourceData_Scope3_InorganicFertiliser[[#Headers],[Category]], 0, -2)</f>
        <v>kg</v>
      </c>
      <c r="L184" s="10" cm="1">
        <f t="array" ref="L184">Common_InputFunctions.Utility_DisplayArrayInTable(Scope3_SourceData.Scope3_InorganicFertilisers_Data(), Table_SourceData_Scope3_InorganicFertiliser[[#Headers],[Category]], 0, -2)</f>
        <v>0.54900000000000004</v>
      </c>
      <c r="M184" s="10" t="str" cm="1">
        <f t="array" ref="M184">Common_InputFunctions.Utility_DisplayArrayInTable(Scope3_SourceData.Scope3_InorganicFertilisers_Data(), Table_SourceData_Scope3_InorganicFertiliser[[#Headers],[Category]], 0, -2)</f>
        <v>at market</v>
      </c>
    </row>
    <row r="185" spans="4:16" ht="20.100000000000001" customHeight="1" x14ac:dyDescent="0.25">
      <c r="D185" s="10" t="str" cm="1">
        <f t="array" ref="D185">Common_InputFunctions.Utility_DisplayArrayInTable(Scope3_SourceData.Scope3_InorganicFertilisers_Data(), Table_SourceData_Scope3_InorganicFertiliser[[#Headers],[Category]], 0, 2)</f>
        <v>Inorganic fertilisers</v>
      </c>
      <c r="E185" s="10" t="str" cm="1">
        <f t="array" ref="E185">Common_InputFunctions.Utility_DisplayArrayInTable(Scope3_SourceData.Scope3_InorganicFertilisers_Data(), Table_SourceData_Scope3_InorganicFertiliser[[#Headers],[Category]], 0, 2)</f>
        <v>Nitrogen from ammonia, AU market mix</v>
      </c>
      <c r="F185" s="10" t="str" cm="1">
        <f t="array" ref="F185">Common_InputFunctions.Utility_DisplayArrayInTable(Scope3_SourceData.Scope3_InorganicFertilisers_Data(), Table_SourceData_Scope3_InorganicFertiliser[[#Headers],[Category]], 0, 2)</f>
        <v>Global</v>
      </c>
      <c r="G185" s="10" t="str">
        <f>'Constants - Fertiliser'!$D$27</f>
        <v>Nitrogen - Ammoniacal</v>
      </c>
      <c r="H185" s="10"/>
      <c r="I185" s="10"/>
      <c r="J185" s="10"/>
      <c r="K185" s="10" t="str" cm="1">
        <f t="array" ref="K185">Common_InputFunctions.Utility_DisplayArrayInTable(Scope3_SourceData.Scope3_InorganicFertilisers_Data(), Table_SourceData_Scope3_InorganicFertiliser[[#Headers],[Category]], 0, -2)</f>
        <v>kg N</v>
      </c>
      <c r="L185" s="10" cm="1">
        <f t="array" ref="L185">Common_InputFunctions.Utility_DisplayArrayInTable(Scope3_SourceData.Scope3_InorganicFertilisers_Data(), Table_SourceData_Scope3_InorganicFertiliser[[#Headers],[Category]], 0, -2)</f>
        <v>2.83</v>
      </c>
      <c r="M185" s="10" t="str" cm="1">
        <f t="array" ref="M185">Common_InputFunctions.Utility_DisplayArrayInTable(Scope3_SourceData.Scope3_InorganicFertilisers_Data(), Table_SourceData_Scope3_InorganicFertiliser[[#Headers],[Category]], 0, -2)</f>
        <v>at market</v>
      </c>
      <c r="N185" s="10"/>
      <c r="O185" s="10"/>
      <c r="P185" s="10"/>
    </row>
    <row r="186" spans="4:16" ht="20.100000000000001" customHeight="1" x14ac:dyDescent="0.25">
      <c r="D186" s="10" t="str" cm="1">
        <f t="array" ref="D186">Common_InputFunctions.Utility_DisplayArrayInTable(Scope3_SourceData.Scope3_InorganicFertilisers_Data(), Table_SourceData_Scope3_InorganicFertiliser[[#Headers],[Category]], 0, 2)</f>
        <v>Inorganic fertilisers</v>
      </c>
      <c r="E186" s="10" t="str" cm="1">
        <f t="array" ref="E186">Common_InputFunctions.Utility_DisplayArrayInTable(Scope3_SourceData.Scope3_InorganicFertilisers_Data(), Table_SourceData_Scope3_InorganicFertiliser[[#Headers],[Category]], 0, 2)</f>
        <v>Nitrogen from fertilizer, AU market mix</v>
      </c>
      <c r="F186" s="10" t="str" cm="1">
        <f t="array" ref="F186">Common_InputFunctions.Utility_DisplayArrayInTable(Scope3_SourceData.Scope3_InorganicFertilisers_Data(), Table_SourceData_Scope3_InorganicFertiliser[[#Headers],[Category]], 0, 2)</f>
        <v>Global</v>
      </c>
      <c r="G186" s="10" t="str">
        <f>'Constants - Fertiliser'!$D$29</f>
        <v>Nitrogen - Generic</v>
      </c>
      <c r="H186" s="10"/>
      <c r="I186" s="10"/>
      <c r="J186" s="10"/>
      <c r="K186" s="10" t="str" cm="1">
        <f t="array" ref="K186">Common_InputFunctions.Utility_DisplayArrayInTable(Scope3_SourceData.Scope3_InorganicFertilisers_Data(), Table_SourceData_Scope3_InorganicFertiliser[[#Headers],[Category]], 0, -2)</f>
        <v>kg N</v>
      </c>
      <c r="L186" s="10" cm="1">
        <f t="array" ref="L186">Common_InputFunctions.Utility_DisplayArrayInTable(Scope3_SourceData.Scope3_InorganicFertilisers_Data(), Table_SourceData_Scope3_InorganicFertiliser[[#Headers],[Category]], 0, -2)</f>
        <v>4.2</v>
      </c>
      <c r="M186" s="10" t="str" cm="1">
        <f t="array" ref="M186">Common_InputFunctions.Utility_DisplayArrayInTable(Scope3_SourceData.Scope3_InorganicFertilisers_Data(), Table_SourceData_Scope3_InorganicFertiliser[[#Headers],[Category]], 0, -2)</f>
        <v>at market</v>
      </c>
      <c r="N186" s="10"/>
      <c r="O186" s="10"/>
      <c r="P186" s="10"/>
    </row>
    <row r="187" spans="4:16" ht="20.100000000000001" customHeight="1" x14ac:dyDescent="0.25">
      <c r="D187" s="10" t="str" cm="1">
        <f t="array" ref="D187">Common_InputFunctions.Utility_DisplayArrayInTable(Scope3_SourceData.Scope3_InorganicFertilisers_Data(), Table_SourceData_Scope3_InorganicFertiliser[[#Headers],[Category]], 0, 2)</f>
        <v>Inorganic fertilisers</v>
      </c>
      <c r="E187" s="10" t="str" cm="1">
        <f t="array" ref="E187">Common_InputFunctions.Utility_DisplayArrayInTable(Scope3_SourceData.Scope3_InorganicFertilisers_Data(), Table_SourceData_Scope3_InorganicFertiliser[[#Headers],[Category]], 0, 2)</f>
        <v>Nitrogen from nitrate fertilizer, AU market mix</v>
      </c>
      <c r="F187" s="10" t="str" cm="1">
        <f t="array" ref="F187">Common_InputFunctions.Utility_DisplayArrayInTable(Scope3_SourceData.Scope3_InorganicFertilisers_Data(), Table_SourceData_Scope3_InorganicFertiliser[[#Headers],[Category]], 0, 2)</f>
        <v>Global</v>
      </c>
      <c r="G187" s="10" t="str">
        <f>'Constants - Fertiliser'!$D$28</f>
        <v>Nitrogen - Nitrate</v>
      </c>
      <c r="H187" s="10"/>
      <c r="I187" s="10"/>
      <c r="J187" s="10"/>
      <c r="K187" s="10" t="str" cm="1">
        <f t="array" ref="K187">Common_InputFunctions.Utility_DisplayArrayInTable(Scope3_SourceData.Scope3_InorganicFertilisers_Data(), Table_SourceData_Scope3_InorganicFertiliser[[#Headers],[Category]], 0, -2)</f>
        <v>kg N</v>
      </c>
      <c r="L187" s="10" cm="1">
        <f t="array" ref="L187">Common_InputFunctions.Utility_DisplayArrayInTable(Scope3_SourceData.Scope3_InorganicFertilisers_Data(), Table_SourceData_Scope3_InorganicFertiliser[[#Headers],[Category]], 0, -2)</f>
        <v>5.47</v>
      </c>
      <c r="M187" s="10" t="str" cm="1">
        <f t="array" ref="M187">Common_InputFunctions.Utility_DisplayArrayInTable(Scope3_SourceData.Scope3_InorganicFertilisers_Data(), Table_SourceData_Scope3_InorganicFertiliser[[#Headers],[Category]], 0, -2)</f>
        <v>at market</v>
      </c>
      <c r="N187" s="10"/>
      <c r="O187" s="10"/>
      <c r="P187" s="10"/>
    </row>
    <row r="188" spans="4:16" ht="20.100000000000001" customHeight="1" x14ac:dyDescent="0.25">
      <c r="D188" s="10" t="str" cm="1">
        <f t="array" ref="D188">Common_InputFunctions.Utility_DisplayArrayInTable(Scope3_SourceData.Scope3_InorganicFertilisers_Data(), Table_SourceData_Scope3_InorganicFertiliser[[#Headers],[Category]], 0, 2)</f>
        <v>Inorganic fertilisers</v>
      </c>
      <c r="E188" s="10" t="str" cm="1">
        <f t="array" ref="E188">Common_InputFunctions.Utility_DisplayArrayInTable(Scope3_SourceData.Scope3_InorganicFertilisers_Data(), Table_SourceData_Scope3_InorganicFertiliser[[#Headers],[Category]], 0, 2)</f>
        <v>Phosphorus from fertilizer, AU market mix</v>
      </c>
      <c r="F188" s="10" t="str" cm="1">
        <f t="array" ref="F188">Common_InputFunctions.Utility_DisplayArrayInTable(Scope3_SourceData.Scope3_InorganicFertilisers_Data(), Table_SourceData_Scope3_InorganicFertiliser[[#Headers],[Category]], 0, 2)</f>
        <v>Global</v>
      </c>
      <c r="G188" s="10" t="str">
        <f>'Constants - Fertiliser'!$D$30</f>
        <v>Phosphorus - Generic</v>
      </c>
      <c r="H188" s="10"/>
      <c r="I188" s="10"/>
      <c r="J188" s="10"/>
      <c r="K188" s="10" t="str" cm="1">
        <f t="array" ref="K188">Common_InputFunctions.Utility_DisplayArrayInTable(Scope3_SourceData.Scope3_InorganicFertilisers_Data(), Table_SourceData_Scope3_InorganicFertiliser[[#Headers],[Category]], 0, -2)</f>
        <v>kg P</v>
      </c>
      <c r="L188" s="10" cm="1">
        <f t="array" ref="L188">Common_InputFunctions.Utility_DisplayArrayInTable(Scope3_SourceData.Scope3_InorganicFertilisers_Data(), Table_SourceData_Scope3_InorganicFertiliser[[#Headers],[Category]], 0, -2)</f>
        <v>3.96</v>
      </c>
      <c r="M188" s="10" t="str" cm="1">
        <f t="array" ref="M188">Common_InputFunctions.Utility_DisplayArrayInTable(Scope3_SourceData.Scope3_InorganicFertilisers_Data(), Table_SourceData_Scope3_InorganicFertiliser[[#Headers],[Category]], 0, -2)</f>
        <v>at market</v>
      </c>
      <c r="N188" s="10"/>
      <c r="O188" s="10"/>
      <c r="P188" s="10"/>
    </row>
    <row r="189" spans="4:16" ht="20.100000000000001" customHeight="1" x14ac:dyDescent="0.25">
      <c r="D189" s="10" t="str" cm="1">
        <f t="array" ref="D189">Common_InputFunctions.Utility_DisplayArrayInTable(Scope3_SourceData.Scope3_InorganicFertilisers_Data(), Table_SourceData_Scope3_InorganicFertiliser[[#Headers],[Category]], 0, 2)</f>
        <v>Inorganic fertilisers</v>
      </c>
      <c r="E189" s="10" t="str" cm="1">
        <f t="array" ref="E189">Common_InputFunctions.Utility_DisplayArrayInTable(Scope3_SourceData.Scope3_InorganicFertilisers_Data(), Table_SourceData_Scope3_InorganicFertiliser[[#Headers],[Category]], 0, 2)</f>
        <v>Potassium from fertilizer, AU market mix</v>
      </c>
      <c r="F189" s="10" t="str" cm="1">
        <f t="array" ref="F189">Common_InputFunctions.Utility_DisplayArrayInTable(Scope3_SourceData.Scope3_InorganicFertilisers_Data(), Table_SourceData_Scope3_InorganicFertiliser[[#Headers],[Category]], 0, 2)</f>
        <v>Global</v>
      </c>
      <c r="G189" s="10" t="str">
        <f>'Constants - Fertiliser'!$D$31</f>
        <v>Potassium - Generic</v>
      </c>
      <c r="H189" s="10"/>
      <c r="I189" s="10"/>
      <c r="J189" s="10"/>
      <c r="K189" s="10" t="str" cm="1">
        <f t="array" ref="K189">Common_InputFunctions.Utility_DisplayArrayInTable(Scope3_SourceData.Scope3_InorganicFertilisers_Data(), Table_SourceData_Scope3_InorganicFertiliser[[#Headers],[Category]], 0, -2)</f>
        <v>kg K</v>
      </c>
      <c r="L189" s="10" cm="1">
        <f t="array" ref="L189">Common_InputFunctions.Utility_DisplayArrayInTable(Scope3_SourceData.Scope3_InorganicFertilisers_Data(), Table_SourceData_Scope3_InorganicFertiliser[[#Headers],[Category]], 0, -2)</f>
        <v>0.90900000000000003</v>
      </c>
      <c r="M189" s="10" t="str" cm="1">
        <f t="array" ref="M189">Common_InputFunctions.Utility_DisplayArrayInTable(Scope3_SourceData.Scope3_InorganicFertilisers_Data(), Table_SourceData_Scope3_InorganicFertiliser[[#Headers],[Category]], 0, -2)</f>
        <v>at market</v>
      </c>
      <c r="N189" s="10"/>
      <c r="O189" s="10"/>
      <c r="P189" s="10"/>
    </row>
    <row r="190" spans="4:16" ht="20.100000000000001" customHeight="1" x14ac:dyDescent="0.25">
      <c r="D190" s="10" t="str" cm="1">
        <f t="array" ref="D190">Common_InputFunctions.Utility_DisplayArrayInTable(Scope3_SourceData.Scope3_InorganicFertilisers_Data(), Table_SourceData_Scope3_InorganicFertiliser[[#Headers],[Category]], 0, 2)</f>
        <v>Inorganic fertilisers</v>
      </c>
      <c r="E190" s="10" t="str" cm="1">
        <f t="array" ref="E190">Common_InputFunctions.Utility_DisplayArrayInTable(Scope3_SourceData.Scope3_InorganicFertilisers_Data(), Table_SourceData_Scope3_InorganicFertiliser[[#Headers],[Category]], 0, 2)</f>
        <v>Single superphosphate, AU market mix</v>
      </c>
      <c r="F190" s="10" t="str" cm="1">
        <f t="array" ref="F190">Common_InputFunctions.Utility_DisplayArrayInTable(Scope3_SourceData.Scope3_InorganicFertilisers_Data(), Table_SourceData_Scope3_InorganicFertiliser[[#Headers],[Category]], 0, 2)</f>
        <v>Global</v>
      </c>
      <c r="G190" s="10" t="str">
        <f>'Constants - Fertiliser'!$D$36</f>
        <v>Single superphosphate (SSP)</v>
      </c>
      <c r="H190" s="10"/>
      <c r="I190" s="10"/>
      <c r="J190" s="10"/>
      <c r="K190" s="10" t="str" cm="1">
        <f t="array" ref="K190">Common_InputFunctions.Utility_DisplayArrayInTable(Scope3_SourceData.Scope3_InorganicFertilisers_Data(), Table_SourceData_Scope3_InorganicFertiliser[[#Headers],[Category]], 0, -2)</f>
        <v>kg</v>
      </c>
      <c r="L190" s="10" cm="1">
        <f t="array" ref="L190">Common_InputFunctions.Utility_DisplayArrayInTable(Scope3_SourceData.Scope3_InorganicFertilisers_Data(), Table_SourceData_Scope3_InorganicFertiliser[[#Headers],[Category]], 0, -2)</f>
        <v>0.22700000000000001</v>
      </c>
      <c r="M190" s="10" t="str" cm="1">
        <f t="array" ref="M190">Common_InputFunctions.Utility_DisplayArrayInTable(Scope3_SourceData.Scope3_InorganicFertilisers_Data(), Table_SourceData_Scope3_InorganicFertiliser[[#Headers],[Category]], 0, -2)</f>
        <v>at market</v>
      </c>
      <c r="N190" s="10"/>
      <c r="O190" s="10"/>
      <c r="P190" s="10"/>
    </row>
    <row r="191" spans="4:16" ht="20.100000000000001" customHeight="1" x14ac:dyDescent="0.25">
      <c r="D191" s="10" t="str" cm="1">
        <f t="array" ref="D191">Common_InputFunctions.Utility_DisplayArrayInTable(Scope3_SourceData.Scope3_InorganicFertilisers_Data(), Table_SourceData_Scope3_InorganicFertiliser[[#Headers],[Category]], 0, 2)</f>
        <v>Inorganic fertilisers</v>
      </c>
      <c r="E191" s="10" t="str" cm="1">
        <f t="array" ref="E191">Common_InputFunctions.Utility_DisplayArrayInTable(Scope3_SourceData.Scope3_InorganicFertilisers_Data(), Table_SourceData_Scope3_InorganicFertiliser[[#Headers],[Category]], 0, 2)</f>
        <v>Sulfur from fertilizer, AU market mix</v>
      </c>
      <c r="F191" s="10" t="str" cm="1">
        <f t="array" ref="F191">Common_InputFunctions.Utility_DisplayArrayInTable(Scope3_SourceData.Scope3_InorganicFertilisers_Data(), Table_SourceData_Scope3_InorganicFertiliser[[#Headers],[Category]], 0, 2)</f>
        <v>Global</v>
      </c>
      <c r="G191" s="10" t="str">
        <f>'Constants - Fertiliser'!$D$32</f>
        <v>Sulfur - Generic</v>
      </c>
      <c r="H191" s="10"/>
      <c r="I191" s="10"/>
      <c r="J191" s="10"/>
      <c r="K191" s="10" t="str" cm="1">
        <f t="array" ref="K191">Common_InputFunctions.Utility_DisplayArrayInTable(Scope3_SourceData.Scope3_InorganicFertilisers_Data(), Table_SourceData_Scope3_InorganicFertiliser[[#Headers],[Category]], 0, -2)</f>
        <v>kg S</v>
      </c>
      <c r="L191" s="10" cm="1">
        <f t="array" ref="L191">Common_InputFunctions.Utility_DisplayArrayInTable(Scope3_SourceData.Scope3_InorganicFertilisers_Data(), Table_SourceData_Scope3_InorganicFertiliser[[#Headers],[Category]], 0, -2)</f>
        <v>2.5</v>
      </c>
      <c r="M191" s="10" t="str" cm="1">
        <f t="array" ref="M191">Common_InputFunctions.Utility_DisplayArrayInTable(Scope3_SourceData.Scope3_InorganicFertilisers_Data(), Table_SourceData_Scope3_InorganicFertiliser[[#Headers],[Category]], 0, -2)</f>
        <v>at market</v>
      </c>
      <c r="N191" s="10"/>
      <c r="O191" s="10"/>
      <c r="P191" s="10"/>
    </row>
    <row r="192" spans="4:16" ht="20.100000000000001" customHeight="1" x14ac:dyDescent="0.25">
      <c r="D192" s="10" t="str" cm="1">
        <f t="array" ref="D192">Common_InputFunctions.Utility_DisplayArrayInTable(Scope3_SourceData.Scope3_InorganicFertilisers_Data(), Table_SourceData_Scope3_InorganicFertiliser[[#Headers],[Category]], 0, 2)</f>
        <v>Inorganic fertilisers</v>
      </c>
      <c r="E192" s="10" t="str" cm="1">
        <f t="array" ref="E192">Common_InputFunctions.Utility_DisplayArrayInTable(Scope3_SourceData.Scope3_InorganicFertilisers_Data(), Table_SourceData_Scope3_InorganicFertiliser[[#Headers],[Category]], 0, 2)</f>
        <v>Ammonium sulphate, AU market mix</v>
      </c>
      <c r="F192" s="10" t="str" cm="1">
        <f t="array" ref="F192">Common_InputFunctions.Utility_DisplayArrayInTable(Scope3_SourceData.Scope3_InorganicFertilisers_Data(), Table_SourceData_Scope3_InorganicFertiliser[[#Headers],[Category]], 0, 2)</f>
        <v>Global</v>
      </c>
      <c r="G192" s="10" t="str">
        <f>'Constants - Fertiliser'!$D$23</f>
        <v>Sulphate of ammonia (SOA)</v>
      </c>
      <c r="H192" s="10"/>
      <c r="I192" s="10"/>
      <c r="J192" s="10"/>
      <c r="K192" s="10" t="str" cm="1">
        <f t="array" ref="K192">Common_InputFunctions.Utility_DisplayArrayInTable(Scope3_SourceData.Scope3_InorganicFertilisers_Data(), Table_SourceData_Scope3_InorganicFertiliser[[#Headers],[Category]], 0, -2)</f>
        <v>kg</v>
      </c>
      <c r="L192" s="10" cm="1">
        <f t="array" ref="L192">Common_InputFunctions.Utility_DisplayArrayInTable(Scope3_SourceData.Scope3_InorganicFertilisers_Data(), Table_SourceData_Scope3_InorganicFertiliser[[#Headers],[Category]], 0, -2)</f>
        <v>0.86499999999999999</v>
      </c>
      <c r="M192" s="10" t="str" cm="1">
        <f t="array" ref="M192">Common_InputFunctions.Utility_DisplayArrayInTable(Scope3_SourceData.Scope3_InorganicFertilisers_Data(), Table_SourceData_Scope3_InorganicFertiliser[[#Headers],[Category]], 0, -2)</f>
        <v>at market</v>
      </c>
      <c r="N192" s="10"/>
      <c r="O192" s="10"/>
      <c r="P192" s="10"/>
    </row>
    <row r="193" spans="4:16" ht="20.100000000000001" customHeight="1" x14ac:dyDescent="0.25">
      <c r="D193" s="10" t="str" cm="1">
        <f t="array" ref="D193">Common_InputFunctions.Utility_DisplayArrayInTable(Scope3_SourceData.Scope3_InorganicFertilisers_Data(), Table_SourceData_Scope3_InorganicFertiliser[[#Headers],[Category]], 0, 2)</f>
        <v>Inorganic fertilisers</v>
      </c>
      <c r="E193" s="10" t="str" cm="1">
        <f t="array" ref="E193">Common_InputFunctions.Utility_DisplayArrayInTable(Scope3_SourceData.Scope3_InorganicFertilisers_Data(), Table_SourceData_Scope3_InorganicFertiliser[[#Headers],[Category]], 0, 2)</f>
        <v>Urea ammonium nitrate, AU market mix</v>
      </c>
      <c r="F193" s="10" t="str" cm="1">
        <f t="array" ref="F193">Common_InputFunctions.Utility_DisplayArrayInTable(Scope3_SourceData.Scope3_InorganicFertilisers_Data(), Table_SourceData_Scope3_InorganicFertiliser[[#Headers],[Category]], 0, 2)</f>
        <v>Global</v>
      </c>
      <c r="G193" s="10" t="str">
        <f>'Constants - Fertiliser'!$D$24</f>
        <v>Urea-ammonium nitrate (UAN)</v>
      </c>
      <c r="H193" s="10"/>
      <c r="I193" s="10"/>
      <c r="J193" s="10"/>
      <c r="K193" s="10" t="str" cm="1">
        <f t="array" ref="K193">Common_InputFunctions.Utility_DisplayArrayInTable(Scope3_SourceData.Scope3_InorganicFertilisers_Data(), Table_SourceData_Scope3_InorganicFertiliser[[#Headers],[Category]], 0, -2)</f>
        <v>kg</v>
      </c>
      <c r="L193" s="10" cm="1">
        <f t="array" ref="L193">Common_InputFunctions.Utility_DisplayArrayInTable(Scope3_SourceData.Scope3_InorganicFertilisers_Data(), Table_SourceData_Scope3_InorganicFertiliser[[#Headers],[Category]], 0, -2)</f>
        <v>1.75</v>
      </c>
      <c r="M193" s="10" t="str" cm="1">
        <f t="array" ref="M193">Common_InputFunctions.Utility_DisplayArrayInTable(Scope3_SourceData.Scope3_InorganicFertilisers_Data(), Table_SourceData_Scope3_InorganicFertiliser[[#Headers],[Category]], 0, -2)</f>
        <v>at market</v>
      </c>
      <c r="N193" s="10"/>
      <c r="O193" s="10"/>
      <c r="P193" s="10"/>
    </row>
    <row r="194" spans="4:16" ht="20.100000000000001" customHeight="1" x14ac:dyDescent="0.25">
      <c r="D194" s="10" t="str" cm="1">
        <f t="array" ref="D194">Common_InputFunctions.Utility_DisplayArrayInTable(Scope3_SourceData.Scope3_InorganicFertilisers_Data(), Table_SourceData_Scope3_InorganicFertiliser[[#Headers],[Category]], 0, 2)</f>
        <v>Inorganic fertilisers</v>
      </c>
      <c r="E194" s="10" t="str" cm="1">
        <f t="array" ref="E194">Common_InputFunctions.Utility_DisplayArrayInTable(Scope3_SourceData.Scope3_InorganicFertilisers_Data(), Table_SourceData_Scope3_InorganicFertiliser[[#Headers],[Category]], 0, 2)</f>
        <v>Urea, AU market mix</v>
      </c>
      <c r="F194" s="10" t="str" cm="1">
        <f t="array" ref="F194">Common_InputFunctions.Utility_DisplayArrayInTable(Scope3_SourceData.Scope3_InorganicFertilisers_Data(), Table_SourceData_Scope3_InorganicFertiliser[[#Headers],[Category]], 0, 2)</f>
        <v>Global</v>
      </c>
      <c r="G194" s="10" t="str">
        <f>'Constants - Fertiliser'!$D$22</f>
        <v>Urea</v>
      </c>
      <c r="H194" s="10" t="str">
        <f>'Constants - Fertiliser'!$V$20</f>
        <v>Global</v>
      </c>
      <c r="I194" s="10"/>
      <c r="J194" s="10"/>
      <c r="K194" s="10" t="str" cm="1">
        <f t="array" ref="K194">Common_InputFunctions.Utility_DisplayArrayInTable(Scope3_SourceData.Scope3_InorganicFertilisers_Data(), Table_SourceData_Scope3_InorganicFertiliser[[#Headers],[Category]], 0, -2)</f>
        <v>kg</v>
      </c>
      <c r="L194" s="10" cm="1">
        <f t="array" ref="L194">Common_InputFunctions.Utility_DisplayArrayInTable(Scope3_SourceData.Scope3_InorganicFertilisers_Data(), Table_SourceData_Scope3_InorganicFertiliser[[#Headers],[Category]], 0, -2)</f>
        <v>0.96799999999999997</v>
      </c>
      <c r="M194" s="10" t="str" cm="1">
        <f t="array" ref="M194">Common_InputFunctions.Utility_DisplayArrayInTable(Scope3_SourceData.Scope3_InorganicFertilisers_Data(), Table_SourceData_Scope3_InorganicFertiliser[[#Headers],[Category]], 0, -2)</f>
        <v>at market</v>
      </c>
      <c r="N194" s="10"/>
      <c r="O194" s="10"/>
      <c r="P194" s="10"/>
    </row>
    <row r="195" spans="4:16" ht="20.100000000000001" customHeight="1" x14ac:dyDescent="0.25">
      <c r="D195" s="10" t="str" cm="1">
        <f t="array" ref="D195">Common_InputFunctions.Utility_DisplayArrayInTable(Scope3_SourceData.Scope3_InorganicFertilisers_Data(), Table_SourceData_Scope3_InorganicFertiliser[[#Headers],[Category]], 0, 2)</f>
        <v>Inorganic fertilisers</v>
      </c>
      <c r="E195" s="10" t="str" cm="1">
        <f t="array" ref="E195">Common_InputFunctions.Utility_DisplayArrayInTable(Scope3_SourceData.Scope3_InorganicFertilisers_Data(), Table_SourceData_Scope3_InorganicFertiliser[[#Headers],[Category]], 0, 2)</f>
        <v>Urea, Canada</v>
      </c>
      <c r="F195" s="10" t="str" cm="1">
        <f t="array" ref="F195">Common_InputFunctions.Utility_DisplayArrayInTable(Scope3_SourceData.Scope3_InorganicFertilisers_Data(), Table_SourceData_Scope3_InorganicFertiliser[[#Headers],[Category]], 0, 2)</f>
        <v>Canada</v>
      </c>
      <c r="G195" s="10" t="str">
        <f>'Constants - Fertiliser'!$D$22</f>
        <v>Urea</v>
      </c>
      <c r="H195" s="10" t="str">
        <f>'Constants - Fertiliser'!$V$21</f>
        <v>Canada</v>
      </c>
      <c r="I195" s="10"/>
      <c r="J195" s="10"/>
      <c r="K195" s="10" t="str" cm="1">
        <f t="array" ref="K195">Common_InputFunctions.Utility_DisplayArrayInTable(Scope3_SourceData.Scope3_InorganicFertilisers_Data(), Table_SourceData_Scope3_InorganicFertiliser[[#Headers],[Category]], 0, -2)</f>
        <v>kg</v>
      </c>
      <c r="L195" s="10" cm="1">
        <f t="array" ref="L195">Common_InputFunctions.Utility_DisplayArrayInTable(Scope3_SourceData.Scope3_InorganicFertilisers_Data(), Table_SourceData_Scope3_InorganicFertiliser[[#Headers],[Category]], 0, -2)</f>
        <v>0.82299999999999995</v>
      </c>
      <c r="M195" s="10" t="str" cm="1">
        <f t="array" ref="M195">Common_InputFunctions.Utility_DisplayArrayInTable(Scope3_SourceData.Scope3_InorganicFertilisers_Data(), Table_SourceData_Scope3_InorganicFertiliser[[#Headers],[Category]], 0, -2)</f>
        <v>at market</v>
      </c>
      <c r="N195" s="10"/>
      <c r="O195" s="10"/>
      <c r="P195" s="10"/>
    </row>
    <row r="196" spans="4:16" ht="20.100000000000001" customHeight="1" x14ac:dyDescent="0.25">
      <c r="D196" s="10" t="str" cm="1">
        <f t="array" ref="D196">Common_InputFunctions.Utility_DisplayArrayInTable(Scope3_SourceData.Scope3_InorganicFertilisers_Data(), Table_SourceData_Scope3_InorganicFertiliser[[#Headers],[Category]], 0, 2)</f>
        <v>Inorganic fertilisers</v>
      </c>
      <c r="E196" s="10" t="str" cm="1">
        <f t="array" ref="E196">Common_InputFunctions.Utility_DisplayArrayInTable(Scope3_SourceData.Scope3_InorganicFertilisers_Data(), Table_SourceData_Scope3_InorganicFertiliser[[#Headers],[Category]], 0, 2)</f>
        <v>Urea, China</v>
      </c>
      <c r="F196" s="10" t="str" cm="1">
        <f t="array" ref="F196">Common_InputFunctions.Utility_DisplayArrayInTable(Scope3_SourceData.Scope3_InorganicFertilisers_Data(), Table_SourceData_Scope3_InorganicFertiliser[[#Headers],[Category]], 0, 2)</f>
        <v>China</v>
      </c>
      <c r="G196" s="10" t="str">
        <f>'Constants - Fertiliser'!$D$22</f>
        <v>Urea</v>
      </c>
      <c r="H196" s="10" t="str">
        <f>'Constants - Fertiliser'!$V$22</f>
        <v>China</v>
      </c>
      <c r="I196" s="10"/>
      <c r="J196" s="10"/>
      <c r="K196" s="10" t="str" cm="1">
        <f t="array" ref="K196">Common_InputFunctions.Utility_DisplayArrayInTable(Scope3_SourceData.Scope3_InorganicFertilisers_Data(), Table_SourceData_Scope3_InorganicFertiliser[[#Headers],[Category]], 0, -2)</f>
        <v>kg</v>
      </c>
      <c r="L196" s="10" cm="1">
        <f t="array" ref="L196">Common_InputFunctions.Utility_DisplayArrayInTable(Scope3_SourceData.Scope3_InorganicFertilisers_Data(), Table_SourceData_Scope3_InorganicFertiliser[[#Headers],[Category]], 0, -2)</f>
        <v>2.09</v>
      </c>
      <c r="M196" s="10" t="str" cm="1">
        <f t="array" ref="M196">Common_InputFunctions.Utility_DisplayArrayInTable(Scope3_SourceData.Scope3_InorganicFertilisers_Data(), Table_SourceData_Scope3_InorganicFertiliser[[#Headers],[Category]], 0, -2)</f>
        <v>at market</v>
      </c>
      <c r="N196" s="10"/>
      <c r="O196" s="10"/>
      <c r="P196" s="10"/>
    </row>
    <row r="197" spans="4:16" ht="20.100000000000001" customHeight="1" x14ac:dyDescent="0.25">
      <c r="D197" s="10" t="str" cm="1">
        <f t="array" ref="D197">Common_InputFunctions.Utility_DisplayArrayInTable(Scope3_SourceData.Scope3_InorganicFertilisers_Data(), Table_SourceData_Scope3_InorganicFertiliser[[#Headers],[Category]], 0, 2)</f>
        <v>Inorganic fertilisers</v>
      </c>
      <c r="E197" s="10" t="str" cm="1">
        <f t="array" ref="E197">Common_InputFunctions.Utility_DisplayArrayInTable(Scope3_SourceData.Scope3_InorganicFertilisers_Data(), Table_SourceData_Scope3_InorganicFertiliser[[#Headers],[Category]], 0, 2)</f>
        <v>Urea, Yemen</v>
      </c>
      <c r="F197" s="10" t="str" cm="1">
        <f t="array" ref="F197">Common_InputFunctions.Utility_DisplayArrayInTable(Scope3_SourceData.Scope3_InorganicFertilisers_Data(), Table_SourceData_Scope3_InorganicFertiliser[[#Headers],[Category]], 0, 2)</f>
        <v>Yemen</v>
      </c>
      <c r="G197" s="10" t="str">
        <f>'Constants - Fertiliser'!$D$22</f>
        <v>Urea</v>
      </c>
      <c r="H197" s="10" t="str">
        <f>'Constants - Fertiliser'!$V$23</f>
        <v>Yemen</v>
      </c>
      <c r="I197" s="10"/>
      <c r="J197" s="10"/>
      <c r="K197" s="10" t="str" cm="1">
        <f t="array" ref="K197">Common_InputFunctions.Utility_DisplayArrayInTable(Scope3_SourceData.Scope3_InorganicFertilisers_Data(), Table_SourceData_Scope3_InorganicFertiliser[[#Headers],[Category]], 0, -2)</f>
        <v>kg</v>
      </c>
      <c r="L197" s="10" cm="1">
        <f t="array" ref="L197">Common_InputFunctions.Utility_DisplayArrayInTable(Scope3_SourceData.Scope3_InorganicFertilisers_Data(), Table_SourceData_Scope3_InorganicFertiliser[[#Headers],[Category]], 0, -2)</f>
        <v>0.96299999999999997</v>
      </c>
      <c r="M197" s="10" t="str" cm="1">
        <f t="array" ref="M197">Common_InputFunctions.Utility_DisplayArrayInTable(Scope3_SourceData.Scope3_InorganicFertilisers_Data(), Table_SourceData_Scope3_InorganicFertiliser[[#Headers],[Category]], 0, -2)</f>
        <v>at market</v>
      </c>
      <c r="N197" s="10"/>
      <c r="O197" s="10"/>
      <c r="P197" s="10"/>
    </row>
    <row r="198" spans="4:16" ht="20.100000000000001" customHeight="1" x14ac:dyDescent="0.25">
      <c r="D198" s="10" t="str" cm="1">
        <f t="array" ref="D198">Common_InputFunctions.Utility_DisplayArrayInTable(Scope3_SourceData.Scope3_InorganicFertilisers_Data(), Table_SourceData_Scope3_InorganicFertiliser[[#Headers],[Category]], 0, 2)</f>
        <v>Inorganic fertilisers</v>
      </c>
      <c r="E198" s="10" t="str" cm="1">
        <f t="array" ref="E198">Common_InputFunctions.Utility_DisplayArrayInTable(Scope3_SourceData.Scope3_InorganicFertilisers_Data(), Table_SourceData_Scope3_InorganicFertiliser[[#Headers],[Category]], 0, 2)</f>
        <v>Zinc from fertilizer</v>
      </c>
      <c r="F198" s="10" t="str" cm="1">
        <f t="array" ref="F198">Common_InputFunctions.Utility_DisplayArrayInTable(Scope3_SourceData.Scope3_InorganicFertilisers_Data(), Table_SourceData_Scope3_InorganicFertiliser[[#Headers],[Category]], 0, 2)</f>
        <v>Global</v>
      </c>
      <c r="G198" s="10" t="str">
        <f>'Constants - Fertiliser'!$D$33</f>
        <v>Zinc - Generic</v>
      </c>
      <c r="H198" s="10"/>
      <c r="I198" s="10"/>
      <c r="J198" s="10"/>
      <c r="K198" s="10" t="str" cm="1">
        <f t="array" ref="K198">Common_InputFunctions.Utility_DisplayArrayInTable(Scope3_SourceData.Scope3_InorganicFertilisers_Data(), Table_SourceData_Scope3_InorganicFertiliser[[#Headers],[Category]], 0, -2)</f>
        <v>kg Zn</v>
      </c>
      <c r="L198" s="10" cm="1">
        <f t="array" ref="L198">Common_InputFunctions.Utility_DisplayArrayInTable(Scope3_SourceData.Scope3_InorganicFertilisers_Data(), Table_SourceData_Scope3_InorganicFertiliser[[#Headers],[Category]], 0, -2)</f>
        <v>4.82</v>
      </c>
      <c r="M198" s="10" t="str" cm="1">
        <f t="array" ref="M198">Common_InputFunctions.Utility_DisplayArrayInTable(Scope3_SourceData.Scope3_InorganicFertilisers_Data(), Table_SourceData_Scope3_InorganicFertiliser[[#Headers],[Category]], 0, -2)</f>
        <v>at market</v>
      </c>
      <c r="N198" s="10"/>
      <c r="O198" s="10"/>
      <c r="P198" s="10"/>
    </row>
    <row r="199" spans="4:16" ht="20.100000000000001" customHeight="1" x14ac:dyDescent="0.25">
      <c r="N199" s="10"/>
      <c r="O199" s="10"/>
      <c r="P199" s="10"/>
    </row>
    <row r="200" spans="4:16" ht="20.100000000000001" customHeight="1" x14ac:dyDescent="0.25">
      <c r="D200" s="9" t="s">
        <v>393</v>
      </c>
      <c r="N200" s="10"/>
      <c r="O200" s="10"/>
      <c r="P200" s="10"/>
    </row>
    <row r="201" spans="4:16" ht="20.100000000000001" customHeight="1" x14ac:dyDescent="0.25">
      <c r="D201" s="10" t="s">
        <v>343</v>
      </c>
      <c r="E201" s="10" t="s">
        <v>219</v>
      </c>
      <c r="F201" s="10" t="s">
        <v>344</v>
      </c>
      <c r="G201" s="10" t="s">
        <v>300</v>
      </c>
      <c r="H201" s="10" t="s">
        <v>301</v>
      </c>
      <c r="I201" s="10" t="s">
        <v>389</v>
      </c>
      <c r="N201" s="10"/>
      <c r="O201" s="10"/>
      <c r="P201" s="10"/>
    </row>
    <row r="202" spans="4:16" ht="20.100000000000001" customHeight="1" x14ac:dyDescent="0.25">
      <c r="D202" s="10" t="str" cm="1">
        <f t="array" ref="D202">Common_InputFunctions.Utility_DisplayArrayInTable(Scope3_SourceData.Scope3_Other_Data(), Table_SourceData_Scope3_Other[[#Headers],[Category]], 0, 2)</f>
        <v>Other</v>
      </c>
      <c r="E202" s="10" t="str" cm="1">
        <f t="array" ref="E202">Common_InputFunctions.Utility_DisplayArrayInTable(Scope3_SourceData.Scope3_Other_Data(), Table_SourceData_Scope3_Other[[#Headers],[Category]], 0, 2)</f>
        <v>Animal ear tags (large)</v>
      </c>
      <c r="F202" s="10" t="str" cm="1">
        <f t="array" ref="F202">Common_InputFunctions.Utility_DisplayArrayInTable(Scope3_SourceData.Scope3_Other_Data(), Table_SourceData_Scope3_Other[[#Headers],[Category]], 0, 2)</f>
        <v>Australia</v>
      </c>
      <c r="G202" s="10" t="str" cm="1">
        <f t="array" ref="G202">Common_InputFunctions.Utility_DisplayArrayInTable(Scope3_SourceData.Scope3_Other_Data(), Table_SourceData_Scope3_Other[[#Headers],[Category]], 0, 2)</f>
        <v>p</v>
      </c>
      <c r="H202" s="10" cm="1">
        <f t="array" ref="H202">Common_InputFunctions.Utility_DisplayArrayInTable(Scope3_SourceData.Scope3_Other_Data(), Table_SourceData_Scope3_Other[[#Headers],[Category]], 0, 2)</f>
        <v>4.24E-2</v>
      </c>
      <c r="I202" s="10" t="str" cm="1">
        <f t="array" ref="I202">Common_InputFunctions.Utility_DisplayArrayInTable(Scope3_SourceData.Scope3_Other_Data(), Table_SourceData_Scope3_Other[[#Headers],[Category]], 0, 2)</f>
        <v>at market</v>
      </c>
      <c r="N202" s="10"/>
      <c r="O202" s="10"/>
      <c r="P202" s="10"/>
    </row>
    <row r="203" spans="4:16" ht="20.100000000000001" customHeight="1" x14ac:dyDescent="0.25">
      <c r="D203" s="10" t="str" cm="1">
        <f t="array" ref="D203">Common_InputFunctions.Utility_DisplayArrayInTable(Scope3_SourceData.Scope3_Other_Data(), Table_SourceData_Scope3_Other[[#Headers],[Category]], 0, 2)</f>
        <v>Other</v>
      </c>
      <c r="E203" s="10" t="str" cm="1">
        <f t="array" ref="E203">Common_InputFunctions.Utility_DisplayArrayInTable(Scope3_SourceData.Scope3_Other_Data(), Table_SourceData_Scope3_Other[[#Headers],[Category]], 0, 2)</f>
        <v>Animal ear tags (small)</v>
      </c>
      <c r="F203" s="10" t="str" cm="1">
        <f t="array" ref="F203">Common_InputFunctions.Utility_DisplayArrayInTable(Scope3_SourceData.Scope3_Other_Data(), Table_SourceData_Scope3_Other[[#Headers],[Category]], 0, 2)</f>
        <v>Australia</v>
      </c>
      <c r="G203" s="10" t="str" cm="1">
        <f t="array" ref="G203">Common_InputFunctions.Utility_DisplayArrayInTable(Scope3_SourceData.Scope3_Other_Data(), Table_SourceData_Scope3_Other[[#Headers],[Category]], 0, 2)</f>
        <v>p</v>
      </c>
      <c r="H203" s="10" cm="1">
        <f t="array" ref="H203">Common_InputFunctions.Utility_DisplayArrayInTable(Scope3_SourceData.Scope3_Other_Data(), Table_SourceData_Scope3_Other[[#Headers],[Category]], 0, 2)</f>
        <v>2.93E-2</v>
      </c>
      <c r="I203" s="10" t="str" cm="1">
        <f t="array" ref="I203">Common_InputFunctions.Utility_DisplayArrayInTable(Scope3_SourceData.Scope3_Other_Data(), Table_SourceData_Scope3_Other[[#Headers],[Category]], 0, 2)</f>
        <v>at market</v>
      </c>
      <c r="N203" s="10"/>
      <c r="O203" s="10"/>
      <c r="P203" s="10"/>
    </row>
    <row r="204" spans="4:16" ht="20.100000000000001" customHeight="1" x14ac:dyDescent="0.25">
      <c r="D204" s="10" t="str" cm="1">
        <f t="array" ref="D204">Common_InputFunctions.Utility_DisplayArrayInTable(Scope3_SourceData.Scope3_Other_Data(), Table_SourceData_Scope3_Other[[#Headers],[Category]], 0, 2)</f>
        <v>Other</v>
      </c>
      <c r="E204" s="10" t="str" cm="1">
        <f t="array" ref="E204">Common_InputFunctions.Utility_DisplayArrayInTable(Scope3_SourceData.Scope3_Other_Data(), Table_SourceData_Scope3_Other[[#Headers],[Category]], 0, 2)</f>
        <v>Barley grain (for seed)</v>
      </c>
      <c r="F204" s="10" t="str" cm="1">
        <f t="array" ref="F204">Common_InputFunctions.Utility_DisplayArrayInTable(Scope3_SourceData.Scope3_Other_Data(), Table_SourceData_Scope3_Other[[#Headers],[Category]], 0, 2)</f>
        <v>Australia</v>
      </c>
      <c r="G204" s="10" t="str" cm="1">
        <f t="array" ref="G204">Common_InputFunctions.Utility_DisplayArrayInTable(Scope3_SourceData.Scope3_Other_Data(), Table_SourceData_Scope3_Other[[#Headers],[Category]], 0, 2)</f>
        <v>kg</v>
      </c>
      <c r="H204" s="10" cm="1">
        <f t="array" ref="H204">Common_InputFunctions.Utility_DisplayArrayInTable(Scope3_SourceData.Scope3_Other_Data(), Table_SourceData_Scope3_Other[[#Headers],[Category]], 0, 2)</f>
        <v>0.23899999999999999</v>
      </c>
      <c r="I204" s="10" t="str" cm="1">
        <f t="array" ref="I204">Common_InputFunctions.Utility_DisplayArrayInTable(Scope3_SourceData.Scope3_Other_Data(), Table_SourceData_Scope3_Other[[#Headers],[Category]], 0, 2)</f>
        <v>at market</v>
      </c>
      <c r="N204" s="10"/>
      <c r="O204" s="10"/>
      <c r="P204" s="10"/>
    </row>
    <row r="205" spans="4:16" ht="20.100000000000001" customHeight="1" x14ac:dyDescent="0.25">
      <c r="D205" s="10" t="str" cm="1">
        <f t="array" ref="D205">Common_InputFunctions.Utility_DisplayArrayInTable(Scope3_SourceData.Scope3_Other_Data(), Table_SourceData_Scope3_Other[[#Headers],[Category]], 0, 2)</f>
        <v>Other</v>
      </c>
      <c r="E205" s="10" t="str" cm="1">
        <f t="array" ref="E205">Common_InputFunctions.Utility_DisplayArrayInTable(Scope3_SourceData.Scope3_Other_Data(), Table_SourceData_Scope3_Other[[#Headers],[Category]], 0, 2)</f>
        <v>Maize grain (for seed)</v>
      </c>
      <c r="F205" s="10" t="str" cm="1">
        <f t="array" ref="F205">Common_InputFunctions.Utility_DisplayArrayInTable(Scope3_SourceData.Scope3_Other_Data(), Table_SourceData_Scope3_Other[[#Headers],[Category]], 0, 2)</f>
        <v>Australia</v>
      </c>
      <c r="G205" s="10" t="str" cm="1">
        <f t="array" ref="G205">Common_InputFunctions.Utility_DisplayArrayInTable(Scope3_SourceData.Scope3_Other_Data(), Table_SourceData_Scope3_Other[[#Headers],[Category]], 0, 2)</f>
        <v>kg</v>
      </c>
      <c r="H205" s="10" cm="1">
        <f t="array" ref="H205">Common_InputFunctions.Utility_DisplayArrayInTable(Scope3_SourceData.Scope3_Other_Data(), Table_SourceData_Scope3_Other[[#Headers],[Category]], 0, 2)</f>
        <v>0.18099999999999999</v>
      </c>
      <c r="I205" s="10" t="str" cm="1">
        <f t="array" ref="I205">Common_InputFunctions.Utility_DisplayArrayInTable(Scope3_SourceData.Scope3_Other_Data(), Table_SourceData_Scope3_Other[[#Headers],[Category]], 0, 2)</f>
        <v>at market</v>
      </c>
      <c r="N205" s="10"/>
      <c r="O205" s="10"/>
      <c r="P205" s="10"/>
    </row>
    <row r="206" spans="4:16" ht="20.100000000000001" customHeight="1" x14ac:dyDescent="0.25">
      <c r="D206" s="10" t="str" cm="1">
        <f t="array" ref="D206">Common_InputFunctions.Utility_DisplayArrayInTable(Scope3_SourceData.Scope3_Other_Data(), Table_SourceData_Scope3_Other[[#Headers],[Category]], 0, 2)</f>
        <v>Other</v>
      </c>
      <c r="E206" s="10" t="str" cm="1">
        <f t="array" ref="E206">Common_InputFunctions.Utility_DisplayArrayInTable(Scope3_SourceData.Scope3_Other_Data(), Table_SourceData_Scope3_Other[[#Headers],[Category]], 0, 2)</f>
        <v>Nylon netting</v>
      </c>
      <c r="F206" s="10" t="str" cm="1">
        <f t="array" ref="F206">Common_InputFunctions.Utility_DisplayArrayInTable(Scope3_SourceData.Scope3_Other_Data(), Table_SourceData_Scope3_Other[[#Headers],[Category]], 0, 2)</f>
        <v>Global</v>
      </c>
      <c r="G206" s="10" t="str" cm="1">
        <f t="array" ref="G206">Common_InputFunctions.Utility_DisplayArrayInTable(Scope3_SourceData.Scope3_Other_Data(), Table_SourceData_Scope3_Other[[#Headers],[Category]], 0, 2)</f>
        <v>kg</v>
      </c>
      <c r="H206" s="10" cm="1">
        <f t="array" ref="H206">Common_InputFunctions.Utility_DisplayArrayInTable(Scope3_SourceData.Scope3_Other_Data(), Table_SourceData_Scope3_Other[[#Headers],[Category]], 0, 2)</f>
        <v>9.81</v>
      </c>
      <c r="I206" s="10" t="str" cm="1">
        <f t="array" ref="I206">Common_InputFunctions.Utility_DisplayArrayInTable(Scope3_SourceData.Scope3_Other_Data(), Table_SourceData_Scope3_Other[[#Headers],[Category]], 0, 2)</f>
        <v>at market</v>
      </c>
      <c r="N206" s="10"/>
      <c r="O206" s="10"/>
      <c r="P206" s="10"/>
    </row>
    <row r="207" spans="4:16" ht="20.100000000000001" customHeight="1" x14ac:dyDescent="0.25">
      <c r="D207" s="10" t="str" cm="1">
        <f t="array" ref="D207">Common_InputFunctions.Utility_DisplayArrayInTable(Scope3_SourceData.Scope3_Other_Data(), Table_SourceData_Scope3_Other[[#Headers],[Category]], 0, 2)</f>
        <v>Other</v>
      </c>
      <c r="E207" s="10" t="str" cm="1">
        <f t="array" ref="E207">Common_InputFunctions.Utility_DisplayArrayInTable(Scope3_SourceData.Scope3_Other_Data(), Table_SourceData_Scope3_Other[[#Headers],[Category]], 0, 2)</f>
        <v>Oat grain (for seed)</v>
      </c>
      <c r="F207" s="10" t="str" cm="1">
        <f t="array" ref="F207">Common_InputFunctions.Utility_DisplayArrayInTable(Scope3_SourceData.Scope3_Other_Data(), Table_SourceData_Scope3_Other[[#Headers],[Category]], 0, 2)</f>
        <v>Australia</v>
      </c>
      <c r="G207" s="10" t="str" cm="1">
        <f t="array" ref="G207">Common_InputFunctions.Utility_DisplayArrayInTable(Scope3_SourceData.Scope3_Other_Data(), Table_SourceData_Scope3_Other[[#Headers],[Category]], 0, 2)</f>
        <v>kg</v>
      </c>
      <c r="H207" s="10" cm="1">
        <f t="array" ref="H207">Common_InputFunctions.Utility_DisplayArrayInTable(Scope3_SourceData.Scope3_Other_Data(), Table_SourceData_Scope3_Other[[#Headers],[Category]], 0, 2)</f>
        <v>0.27</v>
      </c>
      <c r="I207" s="10" t="str" cm="1">
        <f t="array" ref="I207">Common_InputFunctions.Utility_DisplayArrayInTable(Scope3_SourceData.Scope3_Other_Data(), Table_SourceData_Scope3_Other[[#Headers],[Category]], 0, 2)</f>
        <v>at market</v>
      </c>
      <c r="N207" s="10"/>
      <c r="O207" s="10"/>
      <c r="P207" s="10"/>
    </row>
    <row r="208" spans="4:16" ht="20.100000000000001" customHeight="1" x14ac:dyDescent="0.25">
      <c r="D208" s="10" t="str" cm="1">
        <f t="array" ref="D208">Common_InputFunctions.Utility_DisplayArrayInTable(Scope3_SourceData.Scope3_Other_Data(), Table_SourceData_Scope3_Other[[#Headers],[Category]], 0, 2)</f>
        <v>Other</v>
      </c>
      <c r="E208" s="10" t="str" cm="1">
        <f t="array" ref="E208">Common_InputFunctions.Utility_DisplayArrayInTable(Scope3_SourceData.Scope3_Other_Data(), Table_SourceData_Scope3_Other[[#Headers],[Category]], 0, 2)</f>
        <v>Sorghum grain (for seed)</v>
      </c>
      <c r="F208" s="10" t="str" cm="1">
        <f t="array" ref="F208">Common_InputFunctions.Utility_DisplayArrayInTable(Scope3_SourceData.Scope3_Other_Data(), Table_SourceData_Scope3_Other[[#Headers],[Category]], 0, 2)</f>
        <v>Australia</v>
      </c>
      <c r="G208" s="10" t="str" cm="1">
        <f t="array" ref="G208">Common_InputFunctions.Utility_DisplayArrayInTable(Scope3_SourceData.Scope3_Other_Data(), Table_SourceData_Scope3_Other[[#Headers],[Category]], 0, 2)</f>
        <v>kg</v>
      </c>
      <c r="H208" s="10" cm="1">
        <f t="array" ref="H208">Common_InputFunctions.Utility_DisplayArrayInTable(Scope3_SourceData.Scope3_Other_Data(), Table_SourceData_Scope3_Other[[#Headers],[Category]], 0, 2)</f>
        <v>0.23200000000000001</v>
      </c>
      <c r="I208" s="10" t="str" cm="1">
        <f t="array" ref="I208">Common_InputFunctions.Utility_DisplayArrayInTable(Scope3_SourceData.Scope3_Other_Data(), Table_SourceData_Scope3_Other[[#Headers],[Category]], 0, 2)</f>
        <v>at market</v>
      </c>
      <c r="N208" s="10"/>
      <c r="O208" s="10"/>
      <c r="P208" s="10"/>
    </row>
    <row r="209" spans="4:16" ht="20.100000000000001" customHeight="1" x14ac:dyDescent="0.25">
      <c r="D209" s="10" t="str" cm="1">
        <f t="array" ref="D209">Common_InputFunctions.Utility_DisplayArrayInTable(Scope3_SourceData.Scope3_Other_Data(), Table_SourceData_Scope3_Other[[#Headers],[Category]], 0, 2)</f>
        <v>Other</v>
      </c>
      <c r="E209" s="10" t="str" cm="1">
        <f t="array" ref="E209">Common_InputFunctions.Utility_DisplayArrayInTable(Scope3_SourceData.Scope3_Other_Data(), Table_SourceData_Scope3_Other[[#Headers],[Category]], 0, 2)</f>
        <v>Wheat grain (for seed)</v>
      </c>
      <c r="F209" s="10" t="str" cm="1">
        <f t="array" ref="F209">Common_InputFunctions.Utility_DisplayArrayInTable(Scope3_SourceData.Scope3_Other_Data(), Table_SourceData_Scope3_Other[[#Headers],[Category]], 0, 2)</f>
        <v>Australia</v>
      </c>
      <c r="G209" s="10" t="str" cm="1">
        <f t="array" ref="G209">Common_InputFunctions.Utility_DisplayArrayInTable(Scope3_SourceData.Scope3_Other_Data(), Table_SourceData_Scope3_Other[[#Headers],[Category]], 0, 2)</f>
        <v>kg</v>
      </c>
      <c r="H209" s="10" cm="1">
        <f t="array" ref="H209">Common_InputFunctions.Utility_DisplayArrayInTable(Scope3_SourceData.Scope3_Other_Data(), Table_SourceData_Scope3_Other[[#Headers],[Category]], 0, 2)</f>
        <v>0.26800000000000002</v>
      </c>
      <c r="I209" s="10" t="str" cm="1">
        <f t="array" ref="I209">Common_InputFunctions.Utility_DisplayArrayInTable(Scope3_SourceData.Scope3_Other_Data(), Table_SourceData_Scope3_Other[[#Headers],[Category]], 0, 2)</f>
        <v>at market</v>
      </c>
      <c r="N209" s="10"/>
      <c r="O209" s="10"/>
      <c r="P209" s="10"/>
    </row>
    <row r="210" spans="4:16" ht="20.100000000000001" customHeight="1" x14ac:dyDescent="0.25">
      <c r="N210" s="10"/>
      <c r="O210" s="10"/>
      <c r="P210" s="10"/>
    </row>
    <row r="211" spans="4:16" ht="20.100000000000001" customHeight="1" x14ac:dyDescent="0.25">
      <c r="D211" s="9" t="s">
        <v>394</v>
      </c>
    </row>
    <row r="212" spans="4:16" ht="20.100000000000001" customHeight="1" x14ac:dyDescent="0.25">
      <c r="D212" s="10" t="s">
        <v>343</v>
      </c>
      <c r="E212" s="10" t="s">
        <v>219</v>
      </c>
      <c r="F212" s="10" t="s">
        <v>344</v>
      </c>
      <c r="G212" s="10" t="s">
        <v>300</v>
      </c>
      <c r="H212" s="10" t="s">
        <v>301</v>
      </c>
      <c r="I212" s="10" t="s">
        <v>389</v>
      </c>
    </row>
    <row r="213" spans="4:16" ht="20.100000000000001" customHeight="1" x14ac:dyDescent="0.25">
      <c r="D213" s="10" t="str" cm="1">
        <f t="array" ref="D213">Common_InputFunctions.Utility_DisplayArrayInTable(Scope3_SourceData.Scope3_Packaging_Data(), Table_SourceData_Scope3_Packaging[[#Headers],[Category]], 0, 2)</f>
        <v>Packaging</v>
      </c>
      <c r="E213" s="10" t="str" cm="1">
        <f t="array" ref="E213">Common_InputFunctions.Utility_DisplayArrayInTable(Scope3_SourceData.Scope3_Packaging_Data(), Table_SourceData_Scope3_Packaging[[#Headers],[Category]], 0, 2)</f>
        <v>Corrugated board</v>
      </c>
      <c r="F213" s="10" t="str" cm="1">
        <f t="array" ref="F213">Common_InputFunctions.Utility_DisplayArrayInTable(Scope3_SourceData.Scope3_Packaging_Data(), Table_SourceData_Scope3_Packaging[[#Headers],[Category]], 0, 2)</f>
        <v>Global</v>
      </c>
      <c r="G213" s="10" t="str" cm="1">
        <f t="array" ref="G213">Common_InputFunctions.Utility_DisplayArrayInTable(Scope3_SourceData.Scope3_Packaging_Data(), Table_SourceData_Scope3_Packaging[[#Headers],[Category]], 0, 2)</f>
        <v>kg</v>
      </c>
      <c r="H213" s="10" cm="1">
        <f t="array" ref="H213">Common_InputFunctions.Utility_DisplayArrayInTable(Scope3_SourceData.Scope3_Packaging_Data(), Table_SourceData_Scope3_Packaging[[#Headers],[Category]], 0, 2)</f>
        <v>1.05</v>
      </c>
      <c r="I213" s="10" t="str" cm="1">
        <f t="array" ref="I213">Common_InputFunctions.Utility_DisplayArrayInTable(Scope3_SourceData.Scope3_Packaging_Data(), Table_SourceData_Scope3_Packaging[[#Headers],[Category]], 0, 2)</f>
        <v>at manufacturer</v>
      </c>
    </row>
    <row r="214" spans="4:16" ht="20.100000000000001" customHeight="1" x14ac:dyDescent="0.25">
      <c r="D214" s="10" t="str" cm="1">
        <f t="array" ref="D214">Common_InputFunctions.Utility_DisplayArrayInTable(Scope3_SourceData.Scope3_Packaging_Data(), Table_SourceData_Scope3_Packaging[[#Headers],[Category]], 0, 2)</f>
        <v>Packaging</v>
      </c>
      <c r="E214" s="10" t="str" cm="1">
        <f t="array" ref="E214">Common_InputFunctions.Utility_DisplayArrayInTable(Scope3_SourceData.Scope3_Packaging_Data(), Table_SourceData_Scope3_Packaging[[#Headers],[Category]], 0, 2)</f>
        <v>Plastic crate polypropylene</v>
      </c>
      <c r="F214" s="10" t="str" cm="1">
        <f t="array" ref="F214">Common_InputFunctions.Utility_DisplayArrayInTable(Scope3_SourceData.Scope3_Packaging_Data(), Table_SourceData_Scope3_Packaging[[#Headers],[Category]], 0, 2)</f>
        <v>Global</v>
      </c>
      <c r="G214" s="10" t="str" cm="1">
        <f t="array" ref="G214">Common_InputFunctions.Utility_DisplayArrayInTable(Scope3_SourceData.Scope3_Packaging_Data(), Table_SourceData_Scope3_Packaging[[#Headers],[Category]], 0, 2)</f>
        <v>p</v>
      </c>
      <c r="H214" s="10" cm="1">
        <f t="array" ref="H214">Common_InputFunctions.Utility_DisplayArrayInTable(Scope3_SourceData.Scope3_Packaging_Data(), Table_SourceData_Scope3_Packaging[[#Headers],[Category]], 0, 2)</f>
        <v>3.99</v>
      </c>
      <c r="I214" s="10" t="str" cm="1">
        <f t="array" ref="I214">Common_InputFunctions.Utility_DisplayArrayInTable(Scope3_SourceData.Scope3_Packaging_Data(), Table_SourceData_Scope3_Packaging[[#Headers],[Category]], 0, 2)</f>
        <v>at manufacturer</v>
      </c>
    </row>
    <row r="215" spans="4:16" ht="20.100000000000001" customHeight="1" x14ac:dyDescent="0.25">
      <c r="D215" s="10" t="str" cm="1">
        <f t="array" ref="D215">Common_InputFunctions.Utility_DisplayArrayInTable(Scope3_SourceData.Scope3_Packaging_Data(), Table_SourceData_Scope3_Packaging[[#Headers],[Category]], 0, 2)</f>
        <v>Packaging</v>
      </c>
      <c r="E215" s="10" t="str" cm="1">
        <f t="array" ref="E215">Common_InputFunctions.Utility_DisplayArrayInTable(Scope3_SourceData.Scope3_Packaging_Data(), Table_SourceData_Scope3_Packaging[[#Headers],[Category]], 0, 2)</f>
        <v>Plastic film LDPE</v>
      </c>
      <c r="F215" s="10" t="str" cm="1">
        <f t="array" ref="F215">Common_InputFunctions.Utility_DisplayArrayInTable(Scope3_SourceData.Scope3_Packaging_Data(), Table_SourceData_Scope3_Packaging[[#Headers],[Category]], 0, 2)</f>
        <v>Global</v>
      </c>
      <c r="G215" s="10" t="str" cm="1">
        <f t="array" ref="G215">Common_InputFunctions.Utility_DisplayArrayInTable(Scope3_SourceData.Scope3_Packaging_Data(), Table_SourceData_Scope3_Packaging[[#Headers],[Category]], 0, 2)</f>
        <v>kg</v>
      </c>
      <c r="H215" s="10" cm="1">
        <f t="array" ref="H215">Common_InputFunctions.Utility_DisplayArrayInTable(Scope3_SourceData.Scope3_Packaging_Data(), Table_SourceData_Scope3_Packaging[[#Headers],[Category]], 0, 2)</f>
        <v>3.44</v>
      </c>
      <c r="I215" s="10" t="str" cm="1">
        <f t="array" ref="I215">Common_InputFunctions.Utility_DisplayArrayInTable(Scope3_SourceData.Scope3_Packaging_Data(), Table_SourceData_Scope3_Packaging[[#Headers],[Category]], 0, 2)</f>
        <v>at manufacturer</v>
      </c>
    </row>
    <row r="216" spans="4:16" ht="20.100000000000001" customHeight="1" x14ac:dyDescent="0.25">
      <c r="D216" s="10" t="str" cm="1">
        <f t="array" ref="D216">Common_InputFunctions.Utility_DisplayArrayInTable(Scope3_SourceData.Scope3_Packaging_Data(), Table_SourceData_Scope3_Packaging[[#Headers],[Category]], 0, 2)</f>
        <v>Packaging</v>
      </c>
      <c r="E216" s="10" t="str" cm="1">
        <f t="array" ref="E216">Common_InputFunctions.Utility_DisplayArrayInTable(Scope3_SourceData.Scope3_Packaging_Data(), Table_SourceData_Scope3_Packaging[[#Headers],[Category]], 0, 2)</f>
        <v>Plastic sheet HDPE</v>
      </c>
      <c r="F216" s="10" t="str" cm="1">
        <f t="array" ref="F216">Common_InputFunctions.Utility_DisplayArrayInTable(Scope3_SourceData.Scope3_Packaging_Data(), Table_SourceData_Scope3_Packaging[[#Headers],[Category]], 0, 2)</f>
        <v>Global</v>
      </c>
      <c r="G216" s="10" t="str" cm="1">
        <f t="array" ref="G216">Common_InputFunctions.Utility_DisplayArrayInTable(Scope3_SourceData.Scope3_Packaging_Data(), Table_SourceData_Scope3_Packaging[[#Headers],[Category]], 0, 2)</f>
        <v>kg</v>
      </c>
      <c r="H216" s="10" cm="1">
        <f t="array" ref="H216">Common_InputFunctions.Utility_DisplayArrayInTable(Scope3_SourceData.Scope3_Packaging_Data(), Table_SourceData_Scope3_Packaging[[#Headers],[Category]], 0, 2)</f>
        <v>3.72</v>
      </c>
      <c r="I216" s="10" t="str" cm="1">
        <f t="array" ref="I216">Common_InputFunctions.Utility_DisplayArrayInTable(Scope3_SourceData.Scope3_Packaging_Data(), Table_SourceData_Scope3_Packaging[[#Headers],[Category]], 0, 2)</f>
        <v>at manufacturer</v>
      </c>
    </row>
    <row r="217" spans="4:16" ht="20.100000000000001" customHeight="1" x14ac:dyDescent="0.25"/>
    <row r="218" spans="4:16" ht="20.100000000000001" customHeight="1" x14ac:dyDescent="0.25">
      <c r="D218" s="9" t="s">
        <v>395</v>
      </c>
    </row>
    <row r="219" spans="4:16" ht="20.100000000000001" customHeight="1" x14ac:dyDescent="0.25">
      <c r="D219" s="10" t="s">
        <v>343</v>
      </c>
      <c r="E219" s="10" t="s">
        <v>219</v>
      </c>
      <c r="F219" s="10" t="s">
        <v>344</v>
      </c>
      <c r="G219" s="10" t="s">
        <v>300</v>
      </c>
      <c r="H219" s="10" t="s">
        <v>301</v>
      </c>
      <c r="I219" s="10" t="s">
        <v>389</v>
      </c>
    </row>
    <row r="220" spans="4:16" ht="20.100000000000001" customHeight="1" x14ac:dyDescent="0.25">
      <c r="D220" s="10" t="str" cm="1">
        <f t="array" ref="D220">Common_InputFunctions.Utility_DisplayArrayInTable(Scope3_SourceData.Scope3_Pesticides_Data(), Table_SourceData_Scope3_Pesticides[[#Headers],[Category]], 0, 2)</f>
        <v>Pesticides</v>
      </c>
      <c r="E220" s="10" t="str" cm="1">
        <f t="array" ref="E220">Common_InputFunctions.Utility_DisplayArrayInTable(Scope3_SourceData.Scope3_Pesticides_Data(), Table_SourceData_Scope3_Pesticides[[#Headers],[Category]], 0, 2)</f>
        <v>2,4-D</v>
      </c>
      <c r="F220" s="10" t="str" cm="1">
        <f t="array" ref="F220">Common_InputFunctions.Utility_DisplayArrayInTable(Scope3_SourceData.Scope3_Pesticides_Data(), Table_SourceData_Scope3_Pesticides[[#Headers],[Category]], 0, 2)</f>
        <v>Global</v>
      </c>
      <c r="G220" s="10" t="str" cm="1">
        <f t="array" ref="G220">Common_InputFunctions.Utility_DisplayArrayInTable(Scope3_SourceData.Scope3_Pesticides_Data(), Table_SourceData_Scope3_Pesticides[[#Headers],[Category]], 0, 2)</f>
        <v>kg AI</v>
      </c>
      <c r="H220" s="10" cm="1">
        <f t="array" ref="H220">Common_InputFunctions.Utility_DisplayArrayInTable(Scope3_SourceData.Scope3_Pesticides_Data(), Table_SourceData_Scope3_Pesticides[[#Headers],[Category]], 0, 2)</f>
        <v>5.2</v>
      </c>
      <c r="I220" s="10" t="str" cm="1">
        <f t="array" ref="I220">Common_InputFunctions.Utility_DisplayArrayInTable(Scope3_SourceData.Scope3_Pesticides_Data(), Table_SourceData_Scope3_Pesticides[[#Headers],[Category]], 0, 2)</f>
        <v>at market</v>
      </c>
    </row>
    <row r="221" spans="4:16" ht="20.100000000000001" customHeight="1" x14ac:dyDescent="0.25">
      <c r="D221" s="10" t="str" cm="1">
        <f t="array" ref="D221">Common_InputFunctions.Utility_DisplayArrayInTable(Scope3_SourceData.Scope3_Pesticides_Data(), Table_SourceData_Scope3_Pesticides[[#Headers],[Category]], 0, 2)</f>
        <v>Pesticides</v>
      </c>
      <c r="E221" s="10" t="str" cm="1">
        <f t="array" ref="E221">Common_InputFunctions.Utility_DisplayArrayInTable(Scope3_SourceData.Scope3_Pesticides_Data(), Table_SourceData_Scope3_Pesticides[[#Headers],[Category]], 0, 2)</f>
        <v>Atrazine</v>
      </c>
      <c r="F221" s="10" t="str" cm="1">
        <f t="array" ref="F221">Common_InputFunctions.Utility_DisplayArrayInTable(Scope3_SourceData.Scope3_Pesticides_Data(), Table_SourceData_Scope3_Pesticides[[#Headers],[Category]], 0, 2)</f>
        <v>Global</v>
      </c>
      <c r="G221" s="10" t="str" cm="1">
        <f t="array" ref="G221">Common_InputFunctions.Utility_DisplayArrayInTable(Scope3_SourceData.Scope3_Pesticides_Data(), Table_SourceData_Scope3_Pesticides[[#Headers],[Category]], 0, 2)</f>
        <v>kg AI</v>
      </c>
      <c r="H221" s="10" cm="1">
        <f t="array" ref="H221">Common_InputFunctions.Utility_DisplayArrayInTable(Scope3_SourceData.Scope3_Pesticides_Data(), Table_SourceData_Scope3_Pesticides[[#Headers],[Category]], 0, 2)</f>
        <v>8.3800000000000008</v>
      </c>
      <c r="I221" s="10" t="str" cm="1">
        <f t="array" ref="I221">Common_InputFunctions.Utility_DisplayArrayInTable(Scope3_SourceData.Scope3_Pesticides_Data(), Table_SourceData_Scope3_Pesticides[[#Headers],[Category]], 0, 2)</f>
        <v>at market</v>
      </c>
    </row>
    <row r="222" spans="4:16" ht="20.100000000000001" customHeight="1" x14ac:dyDescent="0.25">
      <c r="D222" s="10" t="str" cm="1">
        <f t="array" ref="D222">Common_InputFunctions.Utility_DisplayArrayInTable(Scope3_SourceData.Scope3_Pesticides_Data(), Table_SourceData_Scope3_Pesticides[[#Headers],[Category]], 0, 2)</f>
        <v>Pesticides</v>
      </c>
      <c r="E222" s="10" t="str" cm="1">
        <f t="array" ref="E222">Common_InputFunctions.Utility_DisplayArrayInTable(Scope3_SourceData.Scope3_Pesticides_Data(), Table_SourceData_Scope3_Pesticides[[#Headers],[Category]], 0, 2)</f>
        <v>Diuron</v>
      </c>
      <c r="F222" s="10" t="str" cm="1">
        <f t="array" ref="F222">Common_InputFunctions.Utility_DisplayArrayInTable(Scope3_SourceData.Scope3_Pesticides_Data(), Table_SourceData_Scope3_Pesticides[[#Headers],[Category]], 0, 2)</f>
        <v>Global</v>
      </c>
      <c r="G222" s="10" t="str" cm="1">
        <f t="array" ref="G222">Common_InputFunctions.Utility_DisplayArrayInTable(Scope3_SourceData.Scope3_Pesticides_Data(), Table_SourceData_Scope3_Pesticides[[#Headers],[Category]], 0, 2)</f>
        <v>kg AI</v>
      </c>
      <c r="H222" s="10" cm="1">
        <f t="array" ref="H222">Common_InputFunctions.Utility_DisplayArrayInTable(Scope3_SourceData.Scope3_Pesticides_Data(), Table_SourceData_Scope3_Pesticides[[#Headers],[Category]], 0, 2)</f>
        <v>8.8000000000000007</v>
      </c>
      <c r="I222" s="10" t="str" cm="1">
        <f t="array" ref="I222">Common_InputFunctions.Utility_DisplayArrayInTable(Scope3_SourceData.Scope3_Pesticides_Data(), Table_SourceData_Scope3_Pesticides[[#Headers],[Category]], 0, 2)</f>
        <v>at market</v>
      </c>
    </row>
    <row r="223" spans="4:16" ht="20.100000000000001" customHeight="1" x14ac:dyDescent="0.25">
      <c r="D223" s="10" t="str" cm="1">
        <f t="array" ref="D223">Common_InputFunctions.Utility_DisplayArrayInTable(Scope3_SourceData.Scope3_Pesticides_Data(), Table_SourceData_Scope3_Pesticides[[#Headers],[Category]], 0, 2)</f>
        <v>Pesticides</v>
      </c>
      <c r="E223" s="10" t="str" cm="1">
        <f t="array" ref="E223">Common_InputFunctions.Utility_DisplayArrayInTable(Scope3_SourceData.Scope3_Pesticides_Data(), Table_SourceData_Scope3_Pesticides[[#Headers],[Category]], 0, 2)</f>
        <v>Glyphosate</v>
      </c>
      <c r="F223" s="10" t="str" cm="1">
        <f t="array" ref="F223">Common_InputFunctions.Utility_DisplayArrayInTable(Scope3_SourceData.Scope3_Pesticides_Data(), Table_SourceData_Scope3_Pesticides[[#Headers],[Category]], 0, 2)</f>
        <v>Global</v>
      </c>
      <c r="G223" s="10" t="str" cm="1">
        <f t="array" ref="G223">Common_InputFunctions.Utility_DisplayArrayInTable(Scope3_SourceData.Scope3_Pesticides_Data(), Table_SourceData_Scope3_Pesticides[[#Headers],[Category]], 0, 2)</f>
        <v>kg AI</v>
      </c>
      <c r="H223" s="10" cm="1">
        <f t="array" ref="H223">Common_InputFunctions.Utility_DisplayArrayInTable(Scope3_SourceData.Scope3_Pesticides_Data(), Table_SourceData_Scope3_Pesticides[[#Headers],[Category]], 0, 2)</f>
        <v>10.3</v>
      </c>
      <c r="I223" s="10" t="str" cm="1">
        <f t="array" ref="I223">Common_InputFunctions.Utility_DisplayArrayInTable(Scope3_SourceData.Scope3_Pesticides_Data(), Table_SourceData_Scope3_Pesticides[[#Headers],[Category]], 0, 2)</f>
        <v>at market</v>
      </c>
    </row>
    <row r="224" spans="4:16" ht="20.100000000000001" customHeight="1" x14ac:dyDescent="0.25">
      <c r="D224" s="10" t="str" cm="1">
        <f t="array" ref="D224">Common_InputFunctions.Utility_DisplayArrayInTable(Scope3_SourceData.Scope3_Pesticides_Data(), Table_SourceData_Scope3_Pesticides[[#Headers],[Category]], 0, 2)</f>
        <v>Pesticides</v>
      </c>
      <c r="E224" s="10" t="str" cm="1">
        <f t="array" ref="E224">Common_InputFunctions.Utility_DisplayArrayInTable(Scope3_SourceData.Scope3_Pesticides_Data(), Table_SourceData_Scope3_Pesticides[[#Headers],[Category]], 0, 2)</f>
        <v>Mancozeb</v>
      </c>
      <c r="F224" s="10" t="str" cm="1">
        <f t="array" ref="F224">Common_InputFunctions.Utility_DisplayArrayInTable(Scope3_SourceData.Scope3_Pesticides_Data(), Table_SourceData_Scope3_Pesticides[[#Headers],[Category]], 0, 2)</f>
        <v>Global</v>
      </c>
      <c r="G224" s="10" t="str" cm="1">
        <f t="array" ref="G224">Common_InputFunctions.Utility_DisplayArrayInTable(Scope3_SourceData.Scope3_Pesticides_Data(), Table_SourceData_Scope3_Pesticides[[#Headers],[Category]], 0, 2)</f>
        <v>kg AI</v>
      </c>
      <c r="H224" s="10" cm="1">
        <f t="array" ref="H224">Common_InputFunctions.Utility_DisplayArrayInTable(Scope3_SourceData.Scope3_Pesticides_Data(), Table_SourceData_Scope3_Pesticides[[#Headers],[Category]], 0, 2)</f>
        <v>4.55</v>
      </c>
      <c r="I224" s="10" t="str" cm="1">
        <f t="array" ref="I224">Common_InputFunctions.Utility_DisplayArrayInTable(Scope3_SourceData.Scope3_Pesticides_Data(), Table_SourceData_Scope3_Pesticides[[#Headers],[Category]], 0, 2)</f>
        <v>at market</v>
      </c>
    </row>
    <row r="225" spans="4:9" ht="20.100000000000001" customHeight="1" x14ac:dyDescent="0.25">
      <c r="D225" s="10" t="str" cm="1">
        <f t="array" ref="D225">Common_InputFunctions.Utility_DisplayArrayInTable(Scope3_SourceData.Scope3_Pesticides_Data(), Table_SourceData_Scope3_Pesticides[[#Headers],[Category]], 0, 2)</f>
        <v>Pesticides</v>
      </c>
      <c r="E225" s="10" t="str" cm="1">
        <f t="array" ref="E225">Common_InputFunctions.Utility_DisplayArrayInTable(Scope3_SourceData.Scope3_Pesticides_Data(), Table_SourceData_Scope3_Pesticides[[#Headers],[Category]], 0, 2)</f>
        <v>MCPA</v>
      </c>
      <c r="F225" s="10" t="str" cm="1">
        <f t="array" ref="F225">Common_InputFunctions.Utility_DisplayArrayInTable(Scope3_SourceData.Scope3_Pesticides_Data(), Table_SourceData_Scope3_Pesticides[[#Headers],[Category]], 0, 2)</f>
        <v>Global</v>
      </c>
      <c r="G225" s="10" t="str" cm="1">
        <f t="array" ref="G225">Common_InputFunctions.Utility_DisplayArrayInTable(Scope3_SourceData.Scope3_Pesticides_Data(), Table_SourceData_Scope3_Pesticides[[#Headers],[Category]], 0, 2)</f>
        <v>kg AI</v>
      </c>
      <c r="H225" s="10" cm="1">
        <f t="array" ref="H225">Common_InputFunctions.Utility_DisplayArrayInTable(Scope3_SourceData.Scope3_Pesticides_Data(), Table_SourceData_Scope3_Pesticides[[#Headers],[Category]], 0, 2)</f>
        <v>5.6</v>
      </c>
      <c r="I225" s="10" t="str" cm="1">
        <f t="array" ref="I225">Common_InputFunctions.Utility_DisplayArrayInTable(Scope3_SourceData.Scope3_Pesticides_Data(), Table_SourceData_Scope3_Pesticides[[#Headers],[Category]], 0, 2)</f>
        <v>at market</v>
      </c>
    </row>
    <row r="226" spans="4:9" ht="20.100000000000001" customHeight="1" x14ac:dyDescent="0.25">
      <c r="D226" s="10" t="str" cm="1">
        <f t="array" ref="D226">Common_InputFunctions.Utility_DisplayArrayInTable(Scope3_SourceData.Scope3_Pesticides_Data(), Table_SourceData_Scope3_Pesticides[[#Headers],[Category]], 0, 2)</f>
        <v>Pesticides</v>
      </c>
      <c r="E226" s="10" t="str" cm="1">
        <f t="array" ref="E226">Common_InputFunctions.Utility_DisplayArrayInTable(Scope3_SourceData.Scope3_Pesticides_Data(), Table_SourceData_Scope3_Pesticides[[#Headers],[Category]], 0, 2)</f>
        <v>Metolachlor</v>
      </c>
      <c r="F226" s="10" t="str" cm="1">
        <f t="array" ref="F226">Common_InputFunctions.Utility_DisplayArrayInTable(Scope3_SourceData.Scope3_Pesticides_Data(), Table_SourceData_Scope3_Pesticides[[#Headers],[Category]], 0, 2)</f>
        <v>Global</v>
      </c>
      <c r="G226" s="10" t="str" cm="1">
        <f t="array" ref="G226">Common_InputFunctions.Utility_DisplayArrayInTable(Scope3_SourceData.Scope3_Pesticides_Data(), Table_SourceData_Scope3_Pesticides[[#Headers],[Category]], 0, 2)</f>
        <v>kg AI</v>
      </c>
      <c r="H226" s="10" cm="1">
        <f t="array" ref="H226">Common_InputFunctions.Utility_DisplayArrayInTable(Scope3_SourceData.Scope3_Pesticides_Data(), Table_SourceData_Scope3_Pesticides[[#Headers],[Category]], 0, 2)</f>
        <v>8.06</v>
      </c>
      <c r="I226" s="10" t="str" cm="1">
        <f t="array" ref="I226">Common_InputFunctions.Utility_DisplayArrayInTable(Scope3_SourceData.Scope3_Pesticides_Data(), Table_SourceData_Scope3_Pesticides[[#Headers],[Category]], 0, 2)</f>
        <v>at market</v>
      </c>
    </row>
    <row r="227" spans="4:9" ht="20.100000000000001" customHeight="1" x14ac:dyDescent="0.25">
      <c r="D227" s="10" t="str" cm="1">
        <f t="array" ref="D227">Common_InputFunctions.Utility_DisplayArrayInTable(Scope3_SourceData.Scope3_Pesticides_Data(), Table_SourceData_Scope3_Pesticides[[#Headers],[Category]], 0, 2)</f>
        <v>Pesticides</v>
      </c>
      <c r="E227" s="10" t="str" cm="1">
        <f t="array" ref="E227">Common_InputFunctions.Utility_DisplayArrayInTable(Scope3_SourceData.Scope3_Pesticides_Data(), Table_SourceData_Scope3_Pesticides[[#Headers],[Category]], 0, 2)</f>
        <v>Metsulfuron-methyl</v>
      </c>
      <c r="F227" s="10" t="str" cm="1">
        <f t="array" ref="F227">Common_InputFunctions.Utility_DisplayArrayInTable(Scope3_SourceData.Scope3_Pesticides_Data(), Table_SourceData_Scope3_Pesticides[[#Headers],[Category]], 0, 2)</f>
        <v>Global</v>
      </c>
      <c r="G227" s="10" t="str" cm="1">
        <f t="array" ref="G227">Common_InputFunctions.Utility_DisplayArrayInTable(Scope3_SourceData.Scope3_Pesticides_Data(), Table_SourceData_Scope3_Pesticides[[#Headers],[Category]], 0, 2)</f>
        <v>kg AI</v>
      </c>
      <c r="H227" s="10" cm="1">
        <f t="array" ref="H227">Common_InputFunctions.Utility_DisplayArrayInTable(Scope3_SourceData.Scope3_Pesticides_Data(), Table_SourceData_Scope3_Pesticides[[#Headers],[Category]], 0, 2)</f>
        <v>8.8000000000000007</v>
      </c>
      <c r="I227" s="10" t="str" cm="1">
        <f t="array" ref="I227">Common_InputFunctions.Utility_DisplayArrayInTable(Scope3_SourceData.Scope3_Pesticides_Data(), Table_SourceData_Scope3_Pesticides[[#Headers],[Category]], 0, 2)</f>
        <v>at market</v>
      </c>
    </row>
    <row r="228" spans="4:9" ht="20.100000000000001" customHeight="1" x14ac:dyDescent="0.25">
      <c r="D228" s="10" t="str" cm="1">
        <f t="array" ref="D228">Common_InputFunctions.Utility_DisplayArrayInTable(Scope3_SourceData.Scope3_Pesticides_Data(), Table_SourceData_Scope3_Pesticides[[#Headers],[Category]], 0, 2)</f>
        <v>Pesticides</v>
      </c>
      <c r="E228" s="10" t="str" cm="1">
        <f t="array" ref="E228">Common_InputFunctions.Utility_DisplayArrayInTable(Scope3_SourceData.Scope3_Pesticides_Data(), Table_SourceData_Scope3_Pesticides[[#Headers],[Category]], 0, 2)</f>
        <v>Pesticides (generic)</v>
      </c>
      <c r="F228" s="10" t="str" cm="1">
        <f t="array" ref="F228">Common_InputFunctions.Utility_DisplayArrayInTable(Scope3_SourceData.Scope3_Pesticides_Data(), Table_SourceData_Scope3_Pesticides[[#Headers],[Category]], 0, 2)</f>
        <v>Global</v>
      </c>
      <c r="G228" s="10" t="str" cm="1">
        <f t="array" ref="G228">Common_InputFunctions.Utility_DisplayArrayInTable(Scope3_SourceData.Scope3_Pesticides_Data(), Table_SourceData_Scope3_Pesticides[[#Headers],[Category]], 0, 2)</f>
        <v>kg AI</v>
      </c>
      <c r="H228" s="10" cm="1">
        <f t="array" ref="H228">Common_InputFunctions.Utility_DisplayArrayInTable(Scope3_SourceData.Scope3_Pesticides_Data(), Table_SourceData_Scope3_Pesticides[[#Headers],[Category]], 0, 2)</f>
        <v>9.16</v>
      </c>
      <c r="I228" s="10" t="str" cm="1">
        <f t="array" ref="I228">Common_InputFunctions.Utility_DisplayArrayInTable(Scope3_SourceData.Scope3_Pesticides_Data(), Table_SourceData_Scope3_Pesticides[[#Headers],[Category]], 0, 2)</f>
        <v>at market</v>
      </c>
    </row>
    <row r="229" spans="4:9" ht="20.100000000000001" customHeight="1" x14ac:dyDescent="0.25">
      <c r="D229" s="10" t="str" cm="1">
        <f t="array" ref="D229">Common_InputFunctions.Utility_DisplayArrayInTable(Scope3_SourceData.Scope3_Pesticides_Data(), Table_SourceData_Scope3_Pesticides[[#Headers],[Category]], 0, 2)</f>
        <v>Pesticides</v>
      </c>
      <c r="E229" s="10" t="str" cm="1">
        <f t="array" ref="E229">Common_InputFunctions.Utility_DisplayArrayInTable(Scope3_SourceData.Scope3_Pesticides_Data(), Table_SourceData_Scope3_Pesticides[[#Headers],[Category]], 0, 2)</f>
        <v>Tri-allate</v>
      </c>
      <c r="F229" s="10" t="str" cm="1">
        <f t="array" ref="F229">Common_InputFunctions.Utility_DisplayArrayInTable(Scope3_SourceData.Scope3_Pesticides_Data(), Table_SourceData_Scope3_Pesticides[[#Headers],[Category]], 0, 2)</f>
        <v>Global</v>
      </c>
      <c r="G229" s="10" t="str" cm="1">
        <f t="array" ref="G229">Common_InputFunctions.Utility_DisplayArrayInTable(Scope3_SourceData.Scope3_Pesticides_Data(), Table_SourceData_Scope3_Pesticides[[#Headers],[Category]], 0, 2)</f>
        <v>kg AI</v>
      </c>
      <c r="H229" s="10" cm="1">
        <f t="array" ref="H229">Common_InputFunctions.Utility_DisplayArrayInTable(Scope3_SourceData.Scope3_Pesticides_Data(), Table_SourceData_Scope3_Pesticides[[#Headers],[Category]], 0, 2)</f>
        <v>8.57</v>
      </c>
      <c r="I229" s="10" t="str" cm="1">
        <f t="array" ref="I229">Common_InputFunctions.Utility_DisplayArrayInTable(Scope3_SourceData.Scope3_Pesticides_Data(), Table_SourceData_Scope3_Pesticides[[#Headers],[Category]], 0, 2)</f>
        <v>at market</v>
      </c>
    </row>
    <row r="230" spans="4:9" ht="20.100000000000001" customHeight="1" x14ac:dyDescent="0.25">
      <c r="D230" s="10" t="str" cm="1">
        <f t="array" ref="D230">Common_InputFunctions.Utility_DisplayArrayInTable(Scope3_SourceData.Scope3_Pesticides_Data(), Table_SourceData_Scope3_Pesticides[[#Headers],[Category]], 0, 2)</f>
        <v>Pesticides</v>
      </c>
      <c r="E230" s="10" t="str" cm="1">
        <f t="array" ref="E230">Common_InputFunctions.Utility_DisplayArrayInTable(Scope3_SourceData.Scope3_Pesticides_Data(), Table_SourceData_Scope3_Pesticides[[#Headers],[Category]], 0, 2)</f>
        <v>Tribenuron methyl</v>
      </c>
      <c r="F230" s="10" t="str" cm="1">
        <f t="array" ref="F230">Common_InputFunctions.Utility_DisplayArrayInTable(Scope3_SourceData.Scope3_Pesticides_Data(), Table_SourceData_Scope3_Pesticides[[#Headers],[Category]], 0, 2)</f>
        <v>Global</v>
      </c>
      <c r="G230" s="10" t="str" cm="1">
        <f t="array" ref="G230">Common_InputFunctions.Utility_DisplayArrayInTable(Scope3_SourceData.Scope3_Pesticides_Data(), Table_SourceData_Scope3_Pesticides[[#Headers],[Category]], 0, 2)</f>
        <v>kg AI</v>
      </c>
      <c r="H230" s="10" cm="1">
        <f t="array" ref="H230">Common_InputFunctions.Utility_DisplayArrayInTable(Scope3_SourceData.Scope3_Pesticides_Data(), Table_SourceData_Scope3_Pesticides[[#Headers],[Category]], 0, 2)</f>
        <v>8.8000000000000007</v>
      </c>
      <c r="I230" s="10" t="str" cm="1">
        <f t="array" ref="I230">Common_InputFunctions.Utility_DisplayArrayInTable(Scope3_SourceData.Scope3_Pesticides_Data(), Table_SourceData_Scope3_Pesticides[[#Headers],[Category]], 0, 2)</f>
        <v>at market</v>
      </c>
    </row>
    <row r="231" spans="4:9" ht="20.100000000000001" customHeight="1" x14ac:dyDescent="0.25">
      <c r="D231" s="10" t="str" cm="1">
        <f t="array" ref="D231">Common_InputFunctions.Utility_DisplayArrayInTable(Scope3_SourceData.Scope3_Pesticides_Data(), Table_SourceData_Scope3_Pesticides[[#Headers],[Category]], 0, 2)</f>
        <v>Pesticides</v>
      </c>
      <c r="E231" s="10" t="str" cm="1">
        <f t="array" ref="E231">Common_InputFunctions.Utility_DisplayArrayInTable(Scope3_SourceData.Scope3_Pesticides_Data(), Table_SourceData_Scope3_Pesticides[[#Headers],[Category]], 0, 2)</f>
        <v>Trifluralin</v>
      </c>
      <c r="F231" s="10" t="str" cm="1">
        <f t="array" ref="F231">Common_InputFunctions.Utility_DisplayArrayInTable(Scope3_SourceData.Scope3_Pesticides_Data(), Table_SourceData_Scope3_Pesticides[[#Headers],[Category]], 0, 2)</f>
        <v>Global</v>
      </c>
      <c r="G231" s="10" t="str" cm="1">
        <f t="array" ref="G231">Common_InputFunctions.Utility_DisplayArrayInTable(Scope3_SourceData.Scope3_Pesticides_Data(), Table_SourceData_Scope3_Pesticides[[#Headers],[Category]], 0, 2)</f>
        <v>kg AI</v>
      </c>
      <c r="H231" s="10" cm="1">
        <f t="array" ref="H231">Common_InputFunctions.Utility_DisplayArrayInTable(Scope3_SourceData.Scope3_Pesticides_Data(), Table_SourceData_Scope3_Pesticides[[#Headers],[Category]], 0, 2)</f>
        <v>6.16</v>
      </c>
      <c r="I231" s="10" t="str" cm="1">
        <f t="array" ref="I231">Common_InputFunctions.Utility_DisplayArrayInTable(Scope3_SourceData.Scope3_Pesticides_Data(), Table_SourceData_Scope3_Pesticides[[#Headers],[Category]], 0, 2)</f>
        <v>at market</v>
      </c>
    </row>
    <row r="232" spans="4:9" ht="20.100000000000001" customHeight="1" x14ac:dyDescent="0.25"/>
    <row r="233" spans="4:9" ht="20.100000000000001" customHeight="1" x14ac:dyDescent="0.25">
      <c r="D233" s="9" t="s">
        <v>396</v>
      </c>
    </row>
    <row r="234" spans="4:9" ht="20.100000000000001" customHeight="1" x14ac:dyDescent="0.25">
      <c r="D234" s="10" t="s">
        <v>343</v>
      </c>
      <c r="E234" s="10" t="s">
        <v>219</v>
      </c>
      <c r="F234" s="10" t="s">
        <v>344</v>
      </c>
      <c r="G234" s="10" t="s">
        <v>300</v>
      </c>
      <c r="H234" s="10" t="s">
        <v>301</v>
      </c>
      <c r="I234" s="10" t="s">
        <v>389</v>
      </c>
    </row>
    <row r="235" spans="4:9" ht="20.100000000000001" customHeight="1" x14ac:dyDescent="0.25">
      <c r="D235" s="10" t="str" cm="1">
        <f t="array" ref="D235">Common_InputFunctions.Utility_DisplayArrayInTable(Scope3_SourceData.Scope3_SoilAmendments_Data(), Table_SourceData_Scope3_SoilAmeliorants[[#Headers],[Category]], 0, 2)</f>
        <v>Soil ameliorants</v>
      </c>
      <c r="E235" s="10" t="str" cm="1">
        <f t="array" ref="E235">Common_InputFunctions.Utility_DisplayArrayInTable(Scope3_SourceData.Scope3_SoilAmendments_Data(), Table_SourceData_Scope3_SoilAmeliorants[[#Headers],[Category]], 0, 2)</f>
        <v>Dolomite</v>
      </c>
      <c r="F235" s="10" t="str" cm="1">
        <f t="array" ref="F235">Common_InputFunctions.Utility_DisplayArrayInTable(Scope3_SourceData.Scope3_SoilAmendments_Data(), Table_SourceData_Scope3_SoilAmeliorants[[#Headers],[Category]], 0, 2)</f>
        <v>Australia</v>
      </c>
      <c r="G235" s="10" t="str" cm="1">
        <f t="array" ref="G235">Common_InputFunctions.Utility_DisplayArrayInTable(Scope3_SourceData.Scope3_SoilAmendments_Data(), Table_SourceData_Scope3_SoilAmeliorants[[#Headers],[Category]], 0, 2)</f>
        <v>kg</v>
      </c>
      <c r="H235" s="10" cm="1">
        <f t="array" ref="H235">Common_InputFunctions.Utility_DisplayArrayInTable(Scope3_SourceData.Scope3_SoilAmendments_Data(), Table_SourceData_Scope3_SoilAmeliorants[[#Headers],[Category]], 0, 2)</f>
        <v>6.5199999999999994E-2</v>
      </c>
      <c r="I235" s="10" t="str" cm="1">
        <f t="array" ref="I235">Common_InputFunctions.Utility_DisplayArrayInTable(Scope3_SourceData.Scope3_SoilAmendments_Data(), Table_SourceData_Scope3_SoilAmeliorants[[#Headers],[Category]], 0, 2)</f>
        <v>at market</v>
      </c>
    </row>
    <row r="236" spans="4:9" ht="20.100000000000001" customHeight="1" x14ac:dyDescent="0.25">
      <c r="D236" s="10" t="str" cm="1">
        <f t="array" ref="D236">Common_InputFunctions.Utility_DisplayArrayInTable(Scope3_SourceData.Scope3_SoilAmendments_Data(), Table_SourceData_Scope3_SoilAmeliorants[[#Headers],[Category]], 0, 2)</f>
        <v>Soil ameliorants</v>
      </c>
      <c r="E236" s="10" t="str" cm="1">
        <f t="array" ref="E236">Common_InputFunctions.Utility_DisplayArrayInTable(Scope3_SourceData.Scope3_SoilAmendments_Data(), Table_SourceData_Scope3_SoilAmeliorants[[#Headers],[Category]], 0, 2)</f>
        <v>Gypsum</v>
      </c>
      <c r="F236" s="10" t="str" cm="1">
        <f t="array" ref="F236">Common_InputFunctions.Utility_DisplayArrayInTable(Scope3_SourceData.Scope3_SoilAmendments_Data(), Table_SourceData_Scope3_SoilAmeliorants[[#Headers],[Category]], 0, 2)</f>
        <v>Australia</v>
      </c>
      <c r="G236" s="10" t="str" cm="1">
        <f t="array" ref="G236">Common_InputFunctions.Utility_DisplayArrayInTable(Scope3_SourceData.Scope3_SoilAmendments_Data(), Table_SourceData_Scope3_SoilAmeliorants[[#Headers],[Category]], 0, 2)</f>
        <v>kg</v>
      </c>
      <c r="H236" s="10" cm="1">
        <f t="array" ref="H236">Common_InputFunctions.Utility_DisplayArrayInTable(Scope3_SourceData.Scope3_SoilAmendments_Data(), Table_SourceData_Scope3_SoilAmeliorants[[#Headers],[Category]], 0, 2)</f>
        <v>6.5199999999999994E-2</v>
      </c>
      <c r="I236" s="10" t="str" cm="1">
        <f t="array" ref="I236">Common_InputFunctions.Utility_DisplayArrayInTable(Scope3_SourceData.Scope3_SoilAmendments_Data(), Table_SourceData_Scope3_SoilAmeliorants[[#Headers],[Category]], 0, 2)</f>
        <v>at market</v>
      </c>
    </row>
    <row r="237" spans="4:9" ht="20.100000000000001" customHeight="1" x14ac:dyDescent="0.25">
      <c r="D237" s="10" t="str" cm="1">
        <f t="array" ref="D237">Common_InputFunctions.Utility_DisplayArrayInTable(Scope3_SourceData.Scope3_SoilAmendments_Data(), Table_SourceData_Scope3_SoilAmeliorants[[#Headers],[Category]], 0, 2)</f>
        <v>Soil ameliorants</v>
      </c>
      <c r="E237" s="10" t="str" cm="1">
        <f t="array" ref="E237">Common_InputFunctions.Utility_DisplayArrayInTable(Scope3_SourceData.Scope3_SoilAmendments_Data(), Table_SourceData_Scope3_SoilAmeliorants[[#Headers],[Category]], 0, 2)</f>
        <v>Limestone (crushed)</v>
      </c>
      <c r="F237" s="10" t="str" cm="1">
        <f t="array" ref="F237">Common_InputFunctions.Utility_DisplayArrayInTable(Scope3_SourceData.Scope3_SoilAmendments_Data(), Table_SourceData_Scope3_SoilAmeliorants[[#Headers],[Category]], 0, 2)</f>
        <v>Australia</v>
      </c>
      <c r="G237" s="10" t="str" cm="1">
        <f t="array" ref="G237">Common_InputFunctions.Utility_DisplayArrayInTable(Scope3_SourceData.Scope3_SoilAmendments_Data(), Table_SourceData_Scope3_SoilAmeliorants[[#Headers],[Category]], 0, 2)</f>
        <v>kg</v>
      </c>
      <c r="H237" s="10" cm="1">
        <f t="array" ref="H237">Common_InputFunctions.Utility_DisplayArrayInTable(Scope3_SourceData.Scope3_SoilAmendments_Data(), Table_SourceData_Scope3_SoilAmeliorants[[#Headers],[Category]], 0, 2)</f>
        <v>4.8500000000000001E-2</v>
      </c>
      <c r="I237" s="10" t="str" cm="1">
        <f t="array" ref="I237">Common_InputFunctions.Utility_DisplayArrayInTable(Scope3_SourceData.Scope3_SoilAmendments_Data(), Table_SourceData_Scope3_SoilAmeliorants[[#Headers],[Category]], 0, 2)</f>
        <v>at market</v>
      </c>
    </row>
    <row r="238" spans="4:9" ht="20.100000000000001" customHeight="1" x14ac:dyDescent="0.25"/>
  </sheetData>
  <pageMargins left="0.7" right="0.7" top="0.75" bottom="0.75" header="0.3" footer="0.3"/>
  <tableParts count="31">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 r:id="rId26"/>
    <tablePart r:id="rId27"/>
    <tablePart r:id="rId28"/>
    <tablePart r:id="rId29"/>
    <tablePart r:id="rId30"/>
    <tablePart r:id="rId3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52E42C-5876-4A28-9CD6-6FAFED639EAA}">
  <dimension ref="C1:Q202"/>
  <sheetViews>
    <sheetView showGridLines="0" topLeftCell="A5" workbookViewId="0">
      <selection activeCell="E7" sqref="E7"/>
    </sheetView>
  </sheetViews>
  <sheetFormatPr defaultRowHeight="15.75" x14ac:dyDescent="0.25"/>
  <cols>
    <col min="1" max="1" width="30.625" customWidth="1"/>
    <col min="2" max="2" width="4.625" customWidth="1"/>
    <col min="3" max="3" width="4.625" style="8" customWidth="1"/>
    <col min="4" max="10" width="30.625" style="8" customWidth="1"/>
    <col min="11" max="11" width="4.625" style="8" customWidth="1"/>
  </cols>
  <sheetData>
    <row r="1" spans="3:11" ht="30" customHeight="1" x14ac:dyDescent="0.35">
      <c r="C1" s="1"/>
      <c r="D1" s="1"/>
      <c r="E1" s="1"/>
      <c r="F1" s="1"/>
      <c r="G1" s="1"/>
      <c r="H1" s="1"/>
      <c r="I1" s="1"/>
      <c r="J1" s="1"/>
      <c r="K1" s="1"/>
    </row>
    <row r="2" spans="3:11" ht="20.100000000000001" customHeight="1" x14ac:dyDescent="0.25">
      <c r="C2" s="5"/>
      <c r="D2" s="5"/>
      <c r="E2" s="5"/>
      <c r="F2" s="5"/>
      <c r="G2" s="5"/>
      <c r="H2" s="5"/>
      <c r="I2" s="5"/>
      <c r="J2" s="5"/>
      <c r="K2" s="5"/>
    </row>
    <row r="3" spans="3:11" ht="20.100000000000001" customHeight="1" x14ac:dyDescent="0.25"/>
    <row r="4" spans="3:11" ht="20.100000000000001" customHeight="1" x14ac:dyDescent="0.25">
      <c r="D4" s="9" t="str" cm="1">
        <f t="array" ref="D4">CommonLivestock_SourceData.SourceData_Livestock_Common_SymbolsMMS_Title()</f>
        <v>Table 5.12 Additional symbols used in algorithms for manure related emissions</v>
      </c>
    </row>
    <row r="5" spans="3:11" ht="20.100000000000001" customHeight="1" x14ac:dyDescent="0.25">
      <c r="D5" s="11" t="str" cm="1">
        <f t="array" ref="D5">CommonLivestock_SourceData.SourceData_Livestock_Common_SymbolsMMS_Source()</f>
        <v>National Inventory Report 2023 Volume 1: Table 5.12</v>
      </c>
    </row>
    <row r="6" spans="3:11" ht="20.100000000000001" customHeight="1" x14ac:dyDescent="0.25">
      <c r="D6" s="10" t="s">
        <v>353</v>
      </c>
      <c r="E6" s="10" t="s">
        <v>354</v>
      </c>
      <c r="F6" s="10" t="s">
        <v>355</v>
      </c>
    </row>
    <row r="7" spans="3:11" ht="20.100000000000001" customHeight="1" x14ac:dyDescent="0.25">
      <c r="D7" s="10" t="str" cm="1">
        <f t="array" ref="D7">Common_InputFunctions.Utility_DisplayArrayInTable(CommonLivestock_SourceData.SourceData_Livestock_Common_SymbolsMMS_Data(), Table_Data_MMSSymbols[[#Headers],[Symbol]], 0)</f>
        <v>1</v>
      </c>
      <c r="E7" s="10" t="str" cm="1">
        <f t="array" ref="E7">Common_InputFunctions.Utility_DisplayArrayInTable(CommonLivestock_SourceData.SourceData_Livestock_Common_SymbolsMMS_Data(), Table_Data_MMSSymbols[[#Headers],[Symbol]], 0)</f>
        <v>Anaerobic lagoon</v>
      </c>
      <c r="F7" s="10" t="str" cm="1">
        <f t="array" ref="F7">Common_InputFunctions.Utility_DisplayArrayInTable(CommonLivestock_SourceData.SourceData_Livestock_Common_SymbolsMMS_Data(), Table_Data_MMSSymbols[[#Headers],[Symbol]], 0)</f>
        <v>Anaerobic lagoon (m=1)</v>
      </c>
    </row>
    <row r="8" spans="3:11" ht="20.100000000000001" customHeight="1" x14ac:dyDescent="0.25">
      <c r="D8" s="10" t="str" cm="1">
        <f t="array" ref="D8">Common_InputFunctions.Utility_DisplayArrayInTable(CommonLivestock_SourceData.SourceData_Livestock_Common_SymbolsMMS_Data(), Table_Data_MMSSymbols[[#Headers],[Symbol]], 0)</f>
        <v>2</v>
      </c>
      <c r="E8" s="10" t="str" cm="1">
        <f t="array" ref="E8">Common_InputFunctions.Utility_DisplayArrayInTable(CommonLivestock_SourceData.SourceData_Livestock_Common_SymbolsMMS_Data(), Table_Data_MMSSymbols[[#Headers],[Symbol]], 0)</f>
        <v>Liquid systems</v>
      </c>
      <c r="F8" s="10" t="str" cm="1">
        <f t="array" ref="F8">Common_InputFunctions.Utility_DisplayArrayInTable(CommonLivestock_SourceData.SourceData_Livestock_Common_SymbolsMMS_Data(), Table_Data_MMSSymbols[[#Headers],[Symbol]], 0)</f>
        <v>Liquid systems (m=2)</v>
      </c>
    </row>
    <row r="9" spans="3:11" ht="20.100000000000001" customHeight="1" x14ac:dyDescent="0.25">
      <c r="D9" s="10" t="str" cm="1">
        <f t="array" ref="D9">Common_InputFunctions.Utility_DisplayArrayInTable(CommonLivestock_SourceData.SourceData_Livestock_Common_SymbolsMMS_Data(), Table_Data_MMSSymbols[[#Headers],[Symbol]], 0)</f>
        <v>3</v>
      </c>
      <c r="E9" s="10" t="str" cm="1">
        <f t="array" ref="E9">Common_InputFunctions.Utility_DisplayArrayInTable(CommonLivestock_SourceData.SourceData_Livestock_Common_SymbolsMMS_Data(), Table_Data_MMSSymbols[[#Headers],[Symbol]], 0)</f>
        <v>Daily spread</v>
      </c>
      <c r="F9" s="10" t="str" cm="1">
        <f t="array" ref="F9">Common_InputFunctions.Utility_DisplayArrayInTable(CommonLivestock_SourceData.SourceData_Livestock_Common_SymbolsMMS_Data(), Table_Data_MMSSymbols[[#Headers],[Symbol]], 0)</f>
        <v>Daily spread (m=3)</v>
      </c>
    </row>
    <row r="10" spans="3:11" ht="20.100000000000001" customHeight="1" x14ac:dyDescent="0.25">
      <c r="D10" s="10" t="str" cm="1">
        <f t="array" ref="D10">Common_InputFunctions.Utility_DisplayArrayInTable(CommonLivestock_SourceData.SourceData_Livestock_Common_SymbolsMMS_Data(), Table_Data_MMSSymbols[[#Headers],[Symbol]], 0)</f>
        <v>3a</v>
      </c>
      <c r="E10" s="10" t="str" cm="1">
        <f t="array" ref="E10">Common_InputFunctions.Utility_DisplayArrayInTable(CommonLivestock_SourceData.SourceData_Livestock_Common_SymbolsMMS_Data(), Table_Data_MMSSymbols[[#Headers],[Symbol]], 0)</f>
        <v>Sump and dispersal system</v>
      </c>
      <c r="F10" s="10" t="str" cm="1">
        <f t="array" ref="F10">Common_InputFunctions.Utility_DisplayArrayInTable(CommonLivestock_SourceData.SourceData_Livestock_Common_SymbolsMMS_Data(), Table_Data_MMSSymbols[[#Headers],[Symbol]], 0)</f>
        <v>Sump and dispersal system (m=3a)</v>
      </c>
    </row>
    <row r="11" spans="3:11" ht="20.100000000000001" customHeight="1" x14ac:dyDescent="0.25">
      <c r="D11" s="10" t="str" cm="1">
        <f t="array" ref="D11">Common_InputFunctions.Utility_DisplayArrayInTable(CommonLivestock_SourceData.SourceData_Livestock_Common_SymbolsMMS_Data(), Table_Data_MMSSymbols[[#Headers],[Symbol]], 0)</f>
        <v>3b</v>
      </c>
      <c r="E11" s="10" t="str" cm="1">
        <f t="array" ref="E11">Common_InputFunctions.Utility_DisplayArrayInTable(CommonLivestock_SourceData.SourceData_Livestock_Common_SymbolsMMS_Data(), Table_Data_MMSSymbols[[#Headers],[Symbol]], 0)</f>
        <v>Drains to paddock</v>
      </c>
      <c r="F11" s="10" t="str" cm="1">
        <f t="array" ref="F11">Common_InputFunctions.Utility_DisplayArrayInTable(CommonLivestock_SourceData.SourceData_Livestock_Common_SymbolsMMS_Data(), Table_Data_MMSSymbols[[#Headers],[Symbol]], 0)</f>
        <v>Drains to paddock (m=3b)</v>
      </c>
    </row>
    <row r="12" spans="3:11" ht="20.100000000000001" customHeight="1" x14ac:dyDescent="0.25">
      <c r="D12" s="10" t="str" cm="1">
        <f t="array" ref="D12">Common_InputFunctions.Utility_DisplayArrayInTable(CommonLivestock_SourceData.SourceData_Livestock_Common_SymbolsMMS_Data(), Table_Data_MMSSymbols[[#Headers],[Symbol]], 0)</f>
        <v>4</v>
      </c>
      <c r="E12" s="10" t="str" cm="1">
        <f t="array" ref="E12">Common_InputFunctions.Utility_DisplayArrayInTable(CommonLivestock_SourceData.SourceData_Livestock_Common_SymbolsMMS_Data(), Table_Data_MMSSymbols[[#Headers],[Symbol]], 0)</f>
        <v>Solid storage</v>
      </c>
      <c r="F12" s="10" t="str" cm="1">
        <f t="array" ref="F12">Common_InputFunctions.Utility_DisplayArrayInTable(CommonLivestock_SourceData.SourceData_Livestock_Common_SymbolsMMS_Data(), Table_Data_MMSSymbols[[#Headers],[Symbol]], 0)</f>
        <v>Solid storage (m=4)</v>
      </c>
    </row>
    <row r="13" spans="3:11" ht="20.100000000000001" customHeight="1" x14ac:dyDescent="0.25">
      <c r="D13" s="10" t="str" cm="1">
        <f t="array" ref="D13">Common_InputFunctions.Utility_DisplayArrayInTable(CommonLivestock_SourceData.SourceData_Livestock_Common_SymbolsMMS_Data(), Table_Data_MMSSymbols[[#Headers],[Symbol]], 0)</f>
        <v>5</v>
      </c>
      <c r="E13" s="10" t="str" cm="1">
        <f t="array" ref="E13">Common_InputFunctions.Utility_DisplayArrayInTable(CommonLivestock_SourceData.SourceData_Livestock_Common_SymbolsMMS_Data(), Table_Data_MMSSymbols[[#Headers],[Symbol]], 0)</f>
        <v>Drylot (feed pad)</v>
      </c>
      <c r="F13" s="10" t="str" cm="1">
        <f t="array" ref="F13">Common_InputFunctions.Utility_DisplayArrayInTable(CommonLivestock_SourceData.SourceData_Livestock_Common_SymbolsMMS_Data(), Table_Data_MMSSymbols[[#Headers],[Symbol]], 0)</f>
        <v>Drylot (feed pad) (m=5)</v>
      </c>
    </row>
    <row r="14" spans="3:11" ht="20.100000000000001" customHeight="1" x14ac:dyDescent="0.25">
      <c r="D14" s="10" t="str" cm="1">
        <f t="array" ref="D14">Common_InputFunctions.Utility_DisplayArrayInTable(CommonLivestock_SourceData.SourceData_Livestock_Common_SymbolsMMS_Data(), Table_Data_MMSSymbols[[#Headers],[Symbol]], 0)</f>
        <v>6</v>
      </c>
      <c r="E14" s="10" t="str" cm="1">
        <f t="array" ref="E14">Common_InputFunctions.Utility_DisplayArrayInTable(CommonLivestock_SourceData.SourceData_Livestock_Common_SymbolsMMS_Data(), Table_Data_MMSSymbols[[#Headers],[Symbol]], 0)</f>
        <v>Composting (passive windrow)</v>
      </c>
      <c r="F14" s="10" t="str" cm="1">
        <f t="array" ref="F14">Common_InputFunctions.Utility_DisplayArrayInTable(CommonLivestock_SourceData.SourceData_Livestock_Common_SymbolsMMS_Data(), Table_Data_MMSSymbols[[#Headers],[Symbol]], 0)</f>
        <v>Composting (passive windrow) (m=6)</v>
      </c>
    </row>
    <row r="15" spans="3:11" ht="20.100000000000001" customHeight="1" x14ac:dyDescent="0.25">
      <c r="D15" s="10" t="str" cm="1">
        <f t="array" ref="D15">Common_InputFunctions.Utility_DisplayArrayInTable(CommonLivestock_SourceData.SourceData_Livestock_Common_SymbolsMMS_Data(), Table_Data_MMSSymbols[[#Headers],[Symbol]], 0)</f>
        <v>7</v>
      </c>
      <c r="E15" s="10" t="str" cm="1">
        <f t="array" ref="E15">Common_InputFunctions.Utility_DisplayArrayInTable(CommonLivestock_SourceData.SourceData_Livestock_Common_SymbolsMMS_Data(), Table_Data_MMSSymbols[[#Headers],[Symbol]], 0)</f>
        <v>Digester / covered lagoons</v>
      </c>
      <c r="F15" s="10" t="str" cm="1">
        <f t="array" ref="F15">Common_InputFunctions.Utility_DisplayArrayInTable(CommonLivestock_SourceData.SourceData_Livestock_Common_SymbolsMMS_Data(), Table_Data_MMSSymbols[[#Headers],[Symbol]], 0)</f>
        <v>Digester / covered lagoons (m=7)</v>
      </c>
    </row>
    <row r="16" spans="3:11" ht="20.100000000000001" customHeight="1" x14ac:dyDescent="0.25">
      <c r="D16" s="10" t="str" cm="1">
        <f t="array" ref="D16">Common_InputFunctions.Utility_DisplayArrayInTable(CommonLivestock_SourceData.SourceData_Livestock_Common_SymbolsMMS_Data(), Table_Data_MMSSymbols[[#Headers],[Symbol]], 0)</f>
        <v>8</v>
      </c>
      <c r="E16" s="10" t="str" cm="1">
        <f t="array" ref="E16">Common_InputFunctions.Utility_DisplayArrayInTable(CommonLivestock_SourceData.SourceData_Livestock_Common_SymbolsMMS_Data(), Table_Data_MMSSymbols[[#Headers],[Symbol]], 0)</f>
        <v>Deep litter</v>
      </c>
      <c r="F16" s="10" t="str" cm="1">
        <f t="array" ref="F16">Common_InputFunctions.Utility_DisplayArrayInTable(CommonLivestock_SourceData.SourceData_Livestock_Common_SymbolsMMS_Data(), Table_Data_MMSSymbols[[#Headers],[Symbol]], 0)</f>
        <v>Deep litter (m=8)</v>
      </c>
    </row>
    <row r="17" spans="4:6" ht="20.100000000000001" customHeight="1" x14ac:dyDescent="0.25">
      <c r="D17" s="10" t="str" cm="1">
        <f t="array" ref="D17">Common_InputFunctions.Utility_DisplayArrayInTable(CommonLivestock_SourceData.SourceData_Livestock_Common_SymbolsMMS_Data(), Table_Data_MMSSymbols[[#Headers],[Symbol]], 0)</f>
        <v>9</v>
      </c>
      <c r="E17" s="10" t="str" cm="1">
        <f t="array" ref="E17">Common_InputFunctions.Utility_DisplayArrayInTable(CommonLivestock_SourceData.SourceData_Livestock_Common_SymbolsMMS_Data(), Table_Data_MMSSymbols[[#Headers],[Symbol]], 0)</f>
        <v>Pit storage</v>
      </c>
      <c r="F17" s="10" t="str" cm="1">
        <f t="array" ref="F17">Common_InputFunctions.Utility_DisplayArrayInTable(CommonLivestock_SourceData.SourceData_Livestock_Common_SymbolsMMS_Data(), Table_Data_MMSSymbols[[#Headers],[Symbol]], 0)</f>
        <v>Pit storage (m=9)</v>
      </c>
    </row>
    <row r="18" spans="4:6" ht="20.100000000000001" customHeight="1" x14ac:dyDescent="0.25">
      <c r="D18" s="10" t="str" cm="1">
        <f t="array" ref="D18">Common_InputFunctions.Utility_DisplayArrayInTable(CommonLivestock_SourceData.SourceData_Livestock_Common_SymbolsMMS_Data(), Table_Data_MMSSymbols[[#Headers],[Symbol]], 0)</f>
        <v>10</v>
      </c>
      <c r="E18" s="10" t="str" cm="1">
        <f t="array" ref="E18">Common_InputFunctions.Utility_DisplayArrayInTable(CommonLivestock_SourceData.SourceData_Livestock_Common_SymbolsMMS_Data(), Table_Data_MMSSymbols[[#Headers],[Symbol]], 0)</f>
        <v>Poultry manure with bedding</v>
      </c>
      <c r="F18" s="10" t="str" cm="1">
        <f t="array" ref="F18">Common_InputFunctions.Utility_DisplayArrayInTable(CommonLivestock_SourceData.SourceData_Livestock_Common_SymbolsMMS_Data(), Table_Data_MMSSymbols[[#Headers],[Symbol]], 0)</f>
        <v>Poultry manure with bedding (m=10)</v>
      </c>
    </row>
    <row r="19" spans="4:6" ht="20.100000000000001" customHeight="1" x14ac:dyDescent="0.25">
      <c r="D19" s="10" t="str" cm="1">
        <f t="array" ref="D19">Common_InputFunctions.Utility_DisplayArrayInTable(CommonLivestock_SourceData.SourceData_Livestock_Common_SymbolsMMS_Data(), Table_Data_MMSSymbols[[#Headers],[Symbol]], 0)</f>
        <v>11</v>
      </c>
      <c r="E19" s="10" t="str" cm="1">
        <f t="array" ref="E19">Common_InputFunctions.Utility_DisplayArrayInTable(CommonLivestock_SourceData.SourceData_Livestock_Common_SymbolsMMS_Data(), Table_Data_MMSSymbols[[#Headers],[Symbol]], 0)</f>
        <v>Poultry manure without bedding</v>
      </c>
      <c r="F19" s="10" t="str" cm="1">
        <f t="array" ref="F19">Common_InputFunctions.Utility_DisplayArrayInTable(CommonLivestock_SourceData.SourceData_Livestock_Common_SymbolsMMS_Data(), Table_Data_MMSSymbols[[#Headers],[Symbol]], 0)</f>
        <v>Poultry manure without bedding (m=11)</v>
      </c>
    </row>
    <row r="20" spans="4:6" ht="20.100000000000001" customHeight="1" x14ac:dyDescent="0.25">
      <c r="D20" s="10" t="str" cm="1">
        <f t="array" ref="D20">Common_InputFunctions.Utility_DisplayArrayInTable(CommonLivestock_SourceData.SourceData_Livestock_Common_SymbolsMMS_Data(), Table_Data_MMSSymbols[[#Headers],[Symbol]], 0)</f>
        <v>11a</v>
      </c>
      <c r="E20" s="10" t="str" cm="1">
        <f t="array" ref="E20">Common_InputFunctions.Utility_DisplayArrayInTable(CommonLivestock_SourceData.SourceData_Livestock_Common_SymbolsMMS_Data(), Table_Data_MMSSymbols[[#Headers],[Symbol]], 0)</f>
        <v>Belt manure removal</v>
      </c>
      <c r="F20" s="10" t="str" cm="1">
        <f t="array" ref="F20">Common_InputFunctions.Utility_DisplayArrayInTable(CommonLivestock_SourceData.SourceData_Livestock_Common_SymbolsMMS_Data(), Table_Data_MMSSymbols[[#Headers],[Symbol]], 0)</f>
        <v>Belt manure removal (m=11a)</v>
      </c>
    </row>
    <row r="21" spans="4:6" ht="20.100000000000001" customHeight="1" x14ac:dyDescent="0.25">
      <c r="D21" s="10" t="str" cm="1">
        <f t="array" ref="D21">Common_InputFunctions.Utility_DisplayArrayInTable(CommonLivestock_SourceData.SourceData_Livestock_Common_SymbolsMMS_Data(), Table_Data_MMSSymbols[[#Headers],[Symbol]], 0)</f>
        <v>11b</v>
      </c>
      <c r="E21" s="10" t="str" cm="1">
        <f t="array" ref="E21">Common_InputFunctions.Utility_DisplayArrayInTable(CommonLivestock_SourceData.SourceData_Livestock_Common_SymbolsMMS_Data(), Table_Data_MMSSymbols[[#Headers],[Symbol]], 0)</f>
        <v>Manure stored in house</v>
      </c>
      <c r="F21" s="10" t="str" cm="1">
        <f t="array" ref="F21">Common_InputFunctions.Utility_DisplayArrayInTable(CommonLivestock_SourceData.SourceData_Livestock_Common_SymbolsMMS_Data(), Table_Data_MMSSymbols[[#Headers],[Symbol]], 0)</f>
        <v>Manure stored in house (m=11b)</v>
      </c>
    </row>
    <row r="22" spans="4:6" ht="20.100000000000001" customHeight="1" x14ac:dyDescent="0.25">
      <c r="D22" s="10" t="str" cm="1">
        <f t="array" ref="D22">Common_InputFunctions.Utility_DisplayArrayInTable(CommonLivestock_SourceData.SourceData_Livestock_Common_SymbolsMMS_Data(), Table_Data_MMSSymbols[[#Headers],[Symbol]], 0)</f>
        <v>12</v>
      </c>
      <c r="E22" s="10" t="str" cm="1">
        <f t="array" ref="E22">Common_InputFunctions.Utility_DisplayArrayInTable(CommonLivestock_SourceData.SourceData_Livestock_Common_SymbolsMMS_Data(), Table_Data_MMSSymbols[[#Headers],[Symbol]], 0)</f>
        <v>Direct processing</v>
      </c>
      <c r="F22" s="10" t="str" cm="1">
        <f t="array" ref="F22">Common_InputFunctions.Utility_DisplayArrayInTable(CommonLivestock_SourceData.SourceData_Livestock_Common_SymbolsMMS_Data(), Table_Data_MMSSymbols[[#Headers],[Symbol]], 0)</f>
        <v>Direct processing (m=12)</v>
      </c>
    </row>
    <row r="23" spans="4:6" ht="20.100000000000001" customHeight="1" x14ac:dyDescent="0.25">
      <c r="D23" s="10" t="str" cm="1">
        <f t="array" ref="D23">Common_InputFunctions.Utility_DisplayArrayInTable(CommonLivestock_SourceData.SourceData_Livestock_Common_SymbolsMMS_Data(), Table_Data_MMSSymbols[[#Headers],[Symbol]], 0)</f>
        <v>13</v>
      </c>
      <c r="E23" s="10" t="str" cm="1">
        <f t="array" ref="E23">Common_InputFunctions.Utility_DisplayArrayInTable(CommonLivestock_SourceData.SourceData_Livestock_Common_SymbolsMMS_Data(), Table_Data_MMSSymbols[[#Headers],[Symbol]], 0)</f>
        <v>Direct application</v>
      </c>
      <c r="F23" s="10" t="str" cm="1">
        <f t="array" ref="F23">Common_InputFunctions.Utility_DisplayArrayInTable(CommonLivestock_SourceData.SourceData_Livestock_Common_SymbolsMMS_Data(), Table_Data_MMSSymbols[[#Headers],[Symbol]], 0)</f>
        <v>Direct application (m=13)</v>
      </c>
    </row>
    <row r="24" spans="4:6" ht="20.100000000000001" customHeight="1" x14ac:dyDescent="0.25">
      <c r="D24" s="10" t="str" cm="1">
        <f t="array" ref="D24">Common_InputFunctions.Utility_DisplayArrayInTable(CommonLivestock_SourceData.SourceData_Livestock_Common_SymbolsMMS_Data(), Table_Data_MMSSymbols[[#Headers],[Symbol]], 0)</f>
        <v>14</v>
      </c>
      <c r="E24" s="10" t="str" cm="1">
        <f t="array" ref="E24">Common_InputFunctions.Utility_DisplayArrayInTable(CommonLivestock_SourceData.SourceData_Livestock_Common_SymbolsMMS_Data(), Table_Data_MMSSymbols[[#Headers],[Symbol]], 0)</f>
        <v>Pasture range and paddock</v>
      </c>
      <c r="F24" s="10" t="str" cm="1">
        <f t="array" ref="F24">Common_InputFunctions.Utility_DisplayArrayInTable(CommonLivestock_SourceData.SourceData_Livestock_Common_SymbolsMMS_Data(), Table_Data_MMSSymbols[[#Headers],[Symbol]], 0)</f>
        <v>Pasture range and paddock (m=14)</v>
      </c>
    </row>
    <row r="25" spans="4:6" ht="20.100000000000001" customHeight="1" x14ac:dyDescent="0.25"/>
    <row r="26" spans="4:6" ht="20.100000000000001" customHeight="1" x14ac:dyDescent="0.25">
      <c r="D26" s="9" t="str" cm="1">
        <f t="array" ref="D26">CommonLivestock_SourceData.SourceData_Livestock_Product_BeefCattle_Title()</f>
        <v>Beef cattle products for scope 3</v>
      </c>
    </row>
    <row r="27" spans="4:6" ht="20.100000000000001" customHeight="1" x14ac:dyDescent="0.25">
      <c r="D27" s="11" t="str" cm="1">
        <f t="array" ref="D27">CommonLivestock_SourceData.SourceData_Livestock_Product_BeefCattle_Source()</f>
        <v>Lifecycles. (2026). Greenhouse Gas Emission Intensities for Material Inputs to Australian Agriculture, Fisheries and Forestry. Version 48. doi 10.5281/zenodo.19656580</v>
      </c>
    </row>
    <row r="28" spans="4:6" ht="20.100000000000001" customHeight="1" x14ac:dyDescent="0.25">
      <c r="D28" s="10" t="s">
        <v>219</v>
      </c>
      <c r="E28" s="10" t="s">
        <v>356</v>
      </c>
      <c r="F28" s="8" t="s">
        <v>357</v>
      </c>
    </row>
    <row r="29" spans="4:6" ht="20.100000000000001" customHeight="1" x14ac:dyDescent="0.25">
      <c r="D29" s="10" t="str" cm="1">
        <f t="array" ref="D29">Common_InputFunctions.Utility_DisplayArrayInTable(CommonLivestock_SourceData.SourceData_Livestock_Product_BeefCattle_Data(),Table_SourceData_LivestockProduct_Beefcattle[[#Headers],[Product]],0)</f>
        <v>Cattle, for manufacturing beef</v>
      </c>
      <c r="E29" s="10" t="str" cm="1">
        <f t="array" ref="E29">Common_InputFunctions.Utility_DisplayArrayInTable(CommonLivestock_SourceData.SourceData_Livestock_Product_BeefCattle_Data(),Table_SourceData_LivestockProduct_Beefcattle[[#Headers],[Product]],0)</f>
        <v>Australia</v>
      </c>
    </row>
    <row r="30" spans="4:6" ht="20.100000000000001" customHeight="1" x14ac:dyDescent="0.25">
      <c r="D30" s="8" t="str" cm="1">
        <f t="array" ref="D30">Common_InputFunctions.Utility_DisplayArrayInTable(CommonLivestock_SourceData.SourceData_Livestock_Product_BeefCattle_Data(),Table_SourceData_LivestockProduct_Beefcattle[[#Headers],[Product]],0)</f>
        <v>Cattle, for prime beef</v>
      </c>
      <c r="E30" s="10" t="str" cm="1">
        <f t="array" ref="E30">Common_InputFunctions.Utility_DisplayArrayInTable(CommonLivestock_SourceData.SourceData_Livestock_Product_BeefCattle_Data(),Table_SourceData_LivestockProduct_Beefcattle[[#Headers],[Product]],0)</f>
        <v>NSW</v>
      </c>
    </row>
    <row r="31" spans="4:6" ht="20.100000000000001" customHeight="1" x14ac:dyDescent="0.25">
      <c r="D31" s="8" t="str" cm="1">
        <f t="array" ref="D31">Common_InputFunctions.Utility_DisplayArrayInTable(CommonLivestock_SourceData.SourceData_Livestock_Product_BeefCattle_Data(),Table_SourceData_LivestockProduct_Beefcattle[[#Headers],[Product]],0)</f>
        <v>Cattle, weaners</v>
      </c>
      <c r="E31" s="10" t="str" cm="1">
        <f t="array" ref="E31">Common_InputFunctions.Utility_DisplayArrayInTable(CommonLivestock_SourceData.SourceData_Livestock_Product_BeefCattle_Data(),Table_SourceData_LivestockProduct_Beefcattle[[#Headers],[Product]],0)</f>
        <v>NT</v>
      </c>
    </row>
    <row r="32" spans="4:6" ht="20.100000000000001" customHeight="1" x14ac:dyDescent="0.25">
      <c r="D32" s="8" t="str" cm="1">
        <f t="array" ref="D32">Common_InputFunctions.Utility_DisplayArrayInTable(CommonLivestock_SourceData.SourceData_Livestock_Product_BeefCattle_Data(),Table_SourceData_LivestockProduct_Beefcattle[[#Headers],[Product]],0)</f>
        <v/>
      </c>
      <c r="E32" s="10" t="str" cm="1">
        <f t="array" ref="E32">Common_InputFunctions.Utility_DisplayArrayInTable(CommonLivestock_SourceData.SourceData_Livestock_Product_BeefCattle_Data(),Table_SourceData_LivestockProduct_Beefcattle[[#Headers],[Product]],0)</f>
        <v>QLD</v>
      </c>
    </row>
    <row r="33" spans="4:6" ht="20.100000000000001" customHeight="1" x14ac:dyDescent="0.25">
      <c r="D33" s="8" t="str" cm="1">
        <f t="array" ref="D33">Common_InputFunctions.Utility_DisplayArrayInTable(CommonLivestock_SourceData.SourceData_Livestock_Product_BeefCattle_Data(),Table_SourceData_LivestockProduct_Beefcattle[[#Headers],[Product]],0)</f>
        <v/>
      </c>
      <c r="E33" s="10" t="str" cm="1">
        <f t="array" ref="E33">Common_InputFunctions.Utility_DisplayArrayInTable(CommonLivestock_SourceData.SourceData_Livestock_Product_BeefCattle_Data(),Table_SourceData_LivestockProduct_Beefcattle[[#Headers],[Product]],0)</f>
        <v>SA</v>
      </c>
    </row>
    <row r="34" spans="4:6" ht="20.100000000000001" customHeight="1" x14ac:dyDescent="0.25">
      <c r="D34" s="8" t="str" cm="1">
        <f t="array" ref="D34">Common_InputFunctions.Utility_DisplayArrayInTable(CommonLivestock_SourceData.SourceData_Livestock_Product_BeefCattle_Data(),Table_SourceData_LivestockProduct_Beefcattle[[#Headers],[Product]],0)</f>
        <v/>
      </c>
      <c r="E34" s="10" t="str" cm="1">
        <f t="array" ref="E34">Common_InputFunctions.Utility_DisplayArrayInTable(CommonLivestock_SourceData.SourceData_Livestock_Product_BeefCattle_Data(),Table_SourceData_LivestockProduct_Beefcattle[[#Headers],[Product]],0)</f>
        <v>TAS</v>
      </c>
    </row>
    <row r="35" spans="4:6" ht="20.100000000000001" customHeight="1" x14ac:dyDescent="0.25">
      <c r="D35" s="8" t="str" cm="1">
        <f t="array" ref="D35">Common_InputFunctions.Utility_DisplayArrayInTable(CommonLivestock_SourceData.SourceData_Livestock_Product_BeefCattle_Data(),Table_SourceData_LivestockProduct_Beefcattle[[#Headers],[Product]],0)</f>
        <v/>
      </c>
      <c r="E35" s="10" t="str" cm="1">
        <f t="array" ref="E35">Common_InputFunctions.Utility_DisplayArrayInTable(CommonLivestock_SourceData.SourceData_Livestock_Product_BeefCattle_Data(),Table_SourceData_LivestockProduct_Beefcattle[[#Headers],[Product]],0)</f>
        <v>VIC</v>
      </c>
    </row>
    <row r="36" spans="4:6" ht="20.100000000000001" customHeight="1" x14ac:dyDescent="0.25">
      <c r="D36" s="8" t="str" cm="1">
        <f t="array" ref="D36">Common_InputFunctions.Utility_DisplayArrayInTable(CommonLivestock_SourceData.SourceData_Livestock_Product_BeefCattle_Data(),Table_SourceData_LivestockProduct_Beefcattle[[#Headers],[Product]],0)</f>
        <v/>
      </c>
      <c r="E36" s="10" t="str" cm="1">
        <f t="array" ref="E36">Common_InputFunctions.Utility_DisplayArrayInTable(CommonLivestock_SourceData.SourceData_Livestock_Product_BeefCattle_Data(),Table_SourceData_LivestockProduct_Beefcattle[[#Headers],[Product]],0)</f>
        <v>WA</v>
      </c>
    </row>
    <row r="37" spans="4:6" ht="20.100000000000001" customHeight="1" x14ac:dyDescent="0.25"/>
    <row r="38" spans="4:6" ht="20.100000000000001" customHeight="1" x14ac:dyDescent="0.25">
      <c r="D38" s="9" t="str" cm="1">
        <f t="array" ref="D38">CommonLivestock_SourceData.SourceData_Livestock_Product_Sheep_Title()</f>
        <v>Sheep products for scope 3</v>
      </c>
    </row>
    <row r="39" spans="4:6" ht="20.100000000000001" customHeight="1" x14ac:dyDescent="0.25">
      <c r="D39" s="11" t="str" cm="1">
        <f t="array" ref="D39">CommonLivestock_SourceData.SourceData_Livestock_Product_Sheep_Source()</f>
        <v>Lifecycles. (2026). Greenhouse Gas Emission Intensities for Material Inputs to Australian Agriculture, Fisheries and Forestry. Version 48. doi 10.5281/zenodo.19656580</v>
      </c>
    </row>
    <row r="40" spans="4:6" ht="20.100000000000001" customHeight="1" x14ac:dyDescent="0.25">
      <c r="D40" s="10" t="s">
        <v>219</v>
      </c>
      <c r="E40" s="10" t="s">
        <v>356</v>
      </c>
      <c r="F40" s="8" t="s">
        <v>358</v>
      </c>
    </row>
    <row r="41" spans="4:6" ht="20.100000000000001" customHeight="1" x14ac:dyDescent="0.25">
      <c r="D41" s="10" t="str" cm="1">
        <f t="array" ref="D41">Common_InputFunctions.Utility_DisplayArrayInTable(CommonLivestock_SourceData.SourceData_Livestock_Product_Sheep_Data(),Table_SourceData_LivestockProduct_Sheep[[#Headers],[Product]],0)</f>
        <v>Sheep, for mutton</v>
      </c>
      <c r="E41" s="10" t="str" cm="1">
        <f t="array" ref="E41">Common_InputFunctions.Utility_DisplayArrayInTable(CommonLivestock_SourceData.SourceData_Livestock_Product_Sheep_Data(),Table_SourceData_LivestockProduct_Sheep[[#Headers],[Product]],0)</f>
        <v>Australia</v>
      </c>
    </row>
    <row r="42" spans="4:6" ht="20.100000000000001" customHeight="1" x14ac:dyDescent="0.25">
      <c r="D42" s="10" t="str" cm="1">
        <f t="array" ref="D42">Common_InputFunctions.Utility_DisplayArrayInTable(CommonLivestock_SourceData.SourceData_Livestock_Product_Sheep_Data(),Table_SourceData_LivestockProduct_Sheep[[#Headers],[Product]],0)</f>
        <v>Sheep, for prime lamb</v>
      </c>
      <c r="E42" s="10" t="str" cm="1">
        <f t="array" ref="E42">Common_InputFunctions.Utility_DisplayArrayInTable(CommonLivestock_SourceData.SourceData_Livestock_Product_Sheep_Data(),Table_SourceData_LivestockProduct_Sheep[[#Headers],[Product]],0)</f>
        <v>NSW</v>
      </c>
    </row>
    <row r="43" spans="4:6" ht="20.100000000000001" customHeight="1" x14ac:dyDescent="0.25">
      <c r="D43" s="10" t="str" cm="1">
        <f t="array" ref="D43">Common_InputFunctions.Utility_DisplayArrayInTable(CommonLivestock_SourceData.SourceData_Livestock_Product_Sheep_Data(),Table_SourceData_LivestockProduct_Sheep[[#Headers],[Product]],0)</f>
        <v/>
      </c>
      <c r="E43" s="10" t="str" cm="1">
        <f t="array" ref="E43">Common_InputFunctions.Utility_DisplayArrayInTable(CommonLivestock_SourceData.SourceData_Livestock_Product_Sheep_Data(),Table_SourceData_LivestockProduct_Sheep[[#Headers],[Product]],0)</f>
        <v>QLD</v>
      </c>
    </row>
    <row r="44" spans="4:6" ht="20.100000000000001" customHeight="1" x14ac:dyDescent="0.25">
      <c r="D44" s="10" t="str" cm="1">
        <f t="array" ref="D44">Common_InputFunctions.Utility_DisplayArrayInTable(CommonLivestock_SourceData.SourceData_Livestock_Product_Sheep_Data(),Table_SourceData_LivestockProduct_Sheep[[#Headers],[Product]],0)</f>
        <v/>
      </c>
      <c r="E44" s="10" t="str" cm="1">
        <f t="array" ref="E44">Common_InputFunctions.Utility_DisplayArrayInTable(CommonLivestock_SourceData.SourceData_Livestock_Product_Sheep_Data(),Table_SourceData_LivestockProduct_Sheep[[#Headers],[Product]],0)</f>
        <v>SA</v>
      </c>
    </row>
    <row r="45" spans="4:6" ht="20.100000000000001" customHeight="1" x14ac:dyDescent="0.25">
      <c r="D45" s="10" t="str" cm="1">
        <f t="array" ref="D45">Common_InputFunctions.Utility_DisplayArrayInTable(CommonLivestock_SourceData.SourceData_Livestock_Product_Sheep_Data(),Table_SourceData_LivestockProduct_Sheep[[#Headers],[Product]],0)</f>
        <v/>
      </c>
      <c r="E45" s="10" t="str" cm="1">
        <f t="array" ref="E45">Common_InputFunctions.Utility_DisplayArrayInTable(CommonLivestock_SourceData.SourceData_Livestock_Product_Sheep_Data(),Table_SourceData_LivestockProduct_Sheep[[#Headers],[Product]],0)</f>
        <v>TAS</v>
      </c>
    </row>
    <row r="46" spans="4:6" ht="20.100000000000001" customHeight="1" x14ac:dyDescent="0.25">
      <c r="D46" s="10" t="str" cm="1">
        <f t="array" ref="D46">Common_InputFunctions.Utility_DisplayArrayInTable(CommonLivestock_SourceData.SourceData_Livestock_Product_Sheep_Data(),Table_SourceData_LivestockProduct_Sheep[[#Headers],[Product]],0)</f>
        <v/>
      </c>
      <c r="E46" s="10" t="str" cm="1">
        <f t="array" ref="E46">Common_InputFunctions.Utility_DisplayArrayInTable(CommonLivestock_SourceData.SourceData_Livestock_Product_Sheep_Data(),Table_SourceData_LivestockProduct_Sheep[[#Headers],[Product]],0)</f>
        <v>VIC</v>
      </c>
    </row>
    <row r="47" spans="4:6" ht="20.100000000000001" customHeight="1" x14ac:dyDescent="0.25">
      <c r="D47" s="10" t="str" cm="1">
        <f t="array" ref="D47">Common_InputFunctions.Utility_DisplayArrayInTable(CommonLivestock_SourceData.SourceData_Livestock_Product_Sheep_Data(),Table_SourceData_LivestockProduct_Sheep[[#Headers],[Product]],0)</f>
        <v/>
      </c>
      <c r="E47" s="10" t="str" cm="1">
        <f t="array" ref="E47">Common_InputFunctions.Utility_DisplayArrayInTable(CommonLivestock_SourceData.SourceData_Livestock_Product_Sheep_Data(),Table_SourceData_LivestockProduct_Sheep[[#Headers],[Product]],0)</f>
        <v>WA</v>
      </c>
    </row>
    <row r="48" spans="4:6" ht="20.100000000000001" customHeight="1" x14ac:dyDescent="0.25"/>
    <row r="49" spans="4:6" ht="20.100000000000001" customHeight="1" x14ac:dyDescent="0.25">
      <c r="D49" s="9" t="str" cm="1">
        <f t="array" ref="D49">CommonLivestock_SourceData.SourceData_Livestock_Product_Chickens_Title()</f>
        <v>Chickens products for scope 3</v>
      </c>
    </row>
    <row r="50" spans="4:6" ht="20.100000000000001" customHeight="1" x14ac:dyDescent="0.25">
      <c r="D50" s="11" t="str" cm="1">
        <f t="array" ref="D50">CommonLivestock_SourceData.SourceData_Livestock_Product_Chickens_Source()</f>
        <v>Lifecycles. (2026). Greenhouse Gas Emission Intensities for Material Inputs to Australian Agriculture, Fisheries and Forestry. Version 48. doi 10.5281/zenodo.19656580</v>
      </c>
    </row>
    <row r="51" spans="4:6" ht="20.100000000000001" customHeight="1" x14ac:dyDescent="0.25">
      <c r="D51" s="10" t="s">
        <v>219</v>
      </c>
      <c r="E51" s="10" t="s">
        <v>356</v>
      </c>
      <c r="F51" s="8" t="s">
        <v>364</v>
      </c>
    </row>
    <row r="52" spans="4:6" ht="20.100000000000001" customHeight="1" x14ac:dyDescent="0.25">
      <c r="D52" s="10" t="str" cm="1">
        <f t="array" ref="D52">Common_InputFunctions.Utility_DisplayArrayInTable(CommonLivestock_SourceData.SourceData_Livestock_Product_Chickens_Data(),Table_SourceData_LivestockProduct_Chickens[[#Headers],[Product]],0)</f>
        <v>Chickens</v>
      </c>
      <c r="E52" s="10" t="str" cm="1">
        <f t="array" ref="E52">Common_InputFunctions.Utility_DisplayArrayInTable(CommonLivestock_SourceData.SourceData_Livestock_Product_Chickens_Data(),Table_SourceData_LivestockProduct_Chickens[[#Headers],[Product]],0)</f>
        <v>Australia</v>
      </c>
    </row>
    <row r="53" spans="4:6" ht="20.100000000000001" customHeight="1" x14ac:dyDescent="0.25"/>
    <row r="54" spans="4:6" ht="20.100000000000001" customHeight="1" x14ac:dyDescent="0.25">
      <c r="D54" s="9" t="str" cm="1">
        <f t="array" ref="D54">CommonLivestock_SourceData.SourceData_Livestock_Product_Dairycattle_Title()</f>
        <v>Dairy cattle products for scope 3</v>
      </c>
    </row>
    <row r="55" spans="4:6" ht="20.100000000000001" customHeight="1" x14ac:dyDescent="0.25">
      <c r="D55" s="11" t="str" cm="1">
        <f t="array" ref="D55">CommonLivestock_SourceData.SourceData_Livestock_Product_Dairycattle_Source()</f>
        <v>Lifecycles. (2026). Greenhouse Gas Emission Intensities for Material Inputs to Australian Agriculture, Fisheries and Forestry. Version 48. doi 10.5281/zenodo.19656580</v>
      </c>
    </row>
    <row r="56" spans="4:6" ht="20.100000000000001" customHeight="1" x14ac:dyDescent="0.25">
      <c r="D56" s="10" t="s">
        <v>219</v>
      </c>
      <c r="E56" s="10" t="s">
        <v>356</v>
      </c>
      <c r="F56" s="8" t="s">
        <v>365</v>
      </c>
    </row>
    <row r="57" spans="4:6" ht="20.100000000000001" customHeight="1" x14ac:dyDescent="0.25">
      <c r="D57" s="10" t="str" cm="1">
        <f t="array" ref="D57">Common_InputFunctions.Utility_DisplayArrayInTable(CommonLivestock_SourceData.SourceData_Livestock_Product_Dairycattle_Data(),Table_SourceData_LivestockProduct_Dairycattle[[#Headers],[Product]],0)</f>
        <v>Dairy cows</v>
      </c>
      <c r="E57" s="10" t="str" cm="1">
        <f t="array" ref="E57">Common_InputFunctions.Utility_DisplayArrayInTable(CommonLivestock_SourceData.SourceData_Livestock_Product_Dairycattle_Data(),Table_SourceData_LivestockProduct_Dairycattle[[#Headers],[Product]],0)</f>
        <v>VIC</v>
      </c>
    </row>
    <row r="58" spans="4:6" ht="20.100000000000001" customHeight="1" x14ac:dyDescent="0.25"/>
    <row r="59" spans="4:6" ht="20.100000000000001" customHeight="1" x14ac:dyDescent="0.25">
      <c r="D59" s="9" t="str" cm="1">
        <f t="array" ref="D59">CommonLivestock_SourceData.SourceData_Livestock_Product_Pigs_Title()</f>
        <v>Pigs products for scope 3</v>
      </c>
    </row>
    <row r="60" spans="4:6" ht="20.100000000000001" customHeight="1" x14ac:dyDescent="0.25">
      <c r="D60" s="11" t="str" cm="1">
        <f t="array" ref="D60">CommonLivestock_SourceData.SourceData_Livestock_Product_Pigs_Source()</f>
        <v>Lifecycles. (2026). Greenhouse Gas Emission Intensities for Material Inputs to Australian Agriculture, Fisheries and Forestry. Version 48. doi 10.5281/zenodo.19656580</v>
      </c>
    </row>
    <row r="61" spans="4:6" ht="20.100000000000001" customHeight="1" x14ac:dyDescent="0.25">
      <c r="D61" s="10" t="s">
        <v>219</v>
      </c>
      <c r="E61" s="10" t="s">
        <v>356</v>
      </c>
      <c r="F61" s="8" t="s">
        <v>366</v>
      </c>
    </row>
    <row r="62" spans="4:6" ht="20.100000000000001" customHeight="1" x14ac:dyDescent="0.25">
      <c r="D62" s="10" t="str" cm="1">
        <f t="array" ref="D62">Common_InputFunctions.Utility_DisplayArrayInTable(CommonLivestock_SourceData.SourceData_Livestock_Product_Pigs_Data(),Table_SourceData_LivestockProduct_Pigs[[#Headers],[Product]],0)</f>
        <v>Pigs</v>
      </c>
      <c r="E62" s="10" t="str" cm="1">
        <f t="array" ref="E62">Common_InputFunctions.Utility_DisplayArrayInTable(CommonLivestock_SourceData.SourceData_Livestock_Product_Pigs_Data(),Table_SourceData_LivestockProduct_Pigs[[#Headers],[Product]],0)</f>
        <v>Australia</v>
      </c>
    </row>
    <row r="63" spans="4:6" ht="20.100000000000001" customHeight="1" x14ac:dyDescent="0.25"/>
    <row r="64" spans="4:6" ht="20.100000000000001" customHeight="1" x14ac:dyDescent="0.25"/>
    <row r="65" spans="12:17" ht="20.100000000000001" customHeight="1" x14ac:dyDescent="0.25">
      <c r="L65" s="8"/>
      <c r="M65" s="8"/>
      <c r="N65" s="8"/>
      <c r="O65" s="8"/>
      <c r="P65" s="8"/>
      <c r="Q65" s="8"/>
    </row>
    <row r="66" spans="12:17" ht="20.100000000000001" customHeight="1" x14ac:dyDescent="0.25">
      <c r="L66" s="8"/>
      <c r="M66" s="8"/>
      <c r="N66" s="8"/>
      <c r="O66" s="8"/>
      <c r="P66" s="8"/>
      <c r="Q66" s="8"/>
    </row>
    <row r="67" spans="12:17" ht="20.100000000000001" customHeight="1" x14ac:dyDescent="0.25">
      <c r="L67" s="8"/>
      <c r="M67" s="8"/>
      <c r="N67" s="8"/>
      <c r="O67" s="8"/>
      <c r="P67" s="8"/>
      <c r="Q67" s="8"/>
    </row>
    <row r="68" spans="12:17" ht="20.100000000000001" customHeight="1" x14ac:dyDescent="0.25">
      <c r="L68" s="8"/>
      <c r="M68" s="8"/>
      <c r="N68" s="8"/>
      <c r="O68" s="8"/>
      <c r="P68" s="8"/>
      <c r="Q68" s="8"/>
    </row>
    <row r="69" spans="12:17" ht="20.100000000000001" customHeight="1" x14ac:dyDescent="0.25">
      <c r="L69" s="8"/>
      <c r="M69" s="8"/>
      <c r="N69" s="8"/>
      <c r="O69" s="8"/>
      <c r="P69" s="8"/>
      <c r="Q69" s="8"/>
    </row>
    <row r="70" spans="12:17" ht="20.100000000000001" customHeight="1" x14ac:dyDescent="0.25">
      <c r="L70" s="8"/>
      <c r="M70" s="8"/>
      <c r="N70" s="8"/>
      <c r="O70" s="8"/>
      <c r="P70" s="8"/>
      <c r="Q70" s="8"/>
    </row>
    <row r="71" spans="12:17" ht="20.100000000000001" customHeight="1" x14ac:dyDescent="0.25">
      <c r="L71" s="8"/>
      <c r="M71" s="8"/>
      <c r="N71" s="8"/>
      <c r="O71" s="8"/>
      <c r="P71" s="8"/>
      <c r="Q71" s="8"/>
    </row>
    <row r="72" spans="12:17" ht="20.100000000000001" customHeight="1" x14ac:dyDescent="0.25">
      <c r="L72" s="8"/>
      <c r="M72" s="8"/>
      <c r="N72" s="8"/>
      <c r="O72" s="8"/>
      <c r="P72" s="8"/>
      <c r="Q72" s="8"/>
    </row>
    <row r="73" spans="12:17" ht="20.100000000000001" customHeight="1" x14ac:dyDescent="0.25">
      <c r="L73" s="8"/>
      <c r="M73" s="8"/>
      <c r="N73" s="8"/>
      <c r="O73" s="8"/>
      <c r="P73" s="8"/>
      <c r="Q73" s="8"/>
    </row>
    <row r="74" spans="12:17" ht="20.100000000000001" customHeight="1" x14ac:dyDescent="0.25">
      <c r="L74" s="8"/>
      <c r="M74" s="8"/>
      <c r="N74" s="8"/>
      <c r="O74" s="8"/>
      <c r="P74" s="8"/>
      <c r="Q74" s="8"/>
    </row>
    <row r="75" spans="12:17" x14ac:dyDescent="0.25">
      <c r="L75" s="8"/>
      <c r="M75" s="8"/>
      <c r="N75" s="8"/>
      <c r="O75" s="8"/>
      <c r="P75" s="8"/>
      <c r="Q75" s="8"/>
    </row>
    <row r="76" spans="12:17" x14ac:dyDescent="0.25">
      <c r="L76" s="8"/>
      <c r="M76" s="8"/>
      <c r="N76" s="8"/>
      <c r="O76" s="8"/>
      <c r="P76" s="8"/>
      <c r="Q76" s="8"/>
    </row>
    <row r="77" spans="12:17" x14ac:dyDescent="0.25">
      <c r="L77" s="8"/>
      <c r="M77" s="8"/>
      <c r="N77" s="8"/>
      <c r="O77" s="8"/>
      <c r="P77" s="8"/>
      <c r="Q77" s="8"/>
    </row>
    <row r="78" spans="12:17" x14ac:dyDescent="0.25">
      <c r="L78" s="8"/>
      <c r="M78" s="8"/>
      <c r="N78" s="8"/>
      <c r="O78" s="8"/>
      <c r="P78" s="8"/>
      <c r="Q78" s="8"/>
    </row>
    <row r="79" spans="12:17" x14ac:dyDescent="0.25">
      <c r="L79" s="8"/>
      <c r="M79" s="8"/>
      <c r="N79" s="8"/>
      <c r="O79" s="8"/>
      <c r="P79" s="8"/>
      <c r="Q79" s="8"/>
    </row>
    <row r="80" spans="12:17" x14ac:dyDescent="0.25">
      <c r="L80" s="8"/>
      <c r="M80" s="8"/>
      <c r="N80" s="8"/>
      <c r="O80" s="8"/>
      <c r="P80" s="8"/>
      <c r="Q80" s="8"/>
    </row>
    <row r="81" spans="12:17" x14ac:dyDescent="0.25">
      <c r="L81" s="8"/>
      <c r="M81" s="8"/>
      <c r="N81" s="8"/>
      <c r="O81" s="8"/>
      <c r="P81" s="8"/>
      <c r="Q81" s="8"/>
    </row>
    <row r="82" spans="12:17" x14ac:dyDescent="0.25">
      <c r="L82" s="8"/>
      <c r="M82" s="8"/>
      <c r="N82" s="8"/>
      <c r="O82" s="8"/>
      <c r="P82" s="8"/>
      <c r="Q82" s="8"/>
    </row>
    <row r="83" spans="12:17" x14ac:dyDescent="0.25">
      <c r="L83" s="8"/>
      <c r="M83" s="8"/>
      <c r="N83" s="8"/>
      <c r="O83" s="8"/>
      <c r="P83" s="8"/>
      <c r="Q83" s="8"/>
    </row>
    <row r="84" spans="12:17" x14ac:dyDescent="0.25">
      <c r="L84" s="8"/>
      <c r="M84" s="8"/>
      <c r="N84" s="8"/>
      <c r="O84" s="8"/>
      <c r="P84" s="8"/>
      <c r="Q84" s="8"/>
    </row>
    <row r="85" spans="12:17" x14ac:dyDescent="0.25">
      <c r="L85" s="8"/>
      <c r="M85" s="8"/>
      <c r="N85" s="8"/>
      <c r="O85" s="8"/>
      <c r="P85" s="8"/>
      <c r="Q85" s="8"/>
    </row>
    <row r="86" spans="12:17" x14ac:dyDescent="0.25">
      <c r="L86" s="8"/>
      <c r="M86" s="8"/>
      <c r="N86" s="8"/>
      <c r="O86" s="8"/>
      <c r="P86" s="8"/>
      <c r="Q86" s="8"/>
    </row>
    <row r="87" spans="12:17" x14ac:dyDescent="0.25">
      <c r="L87" s="8"/>
      <c r="M87" s="8"/>
      <c r="N87" s="8"/>
      <c r="O87" s="8"/>
      <c r="P87" s="8"/>
      <c r="Q87" s="8"/>
    </row>
    <row r="88" spans="12:17" x14ac:dyDescent="0.25">
      <c r="L88" s="8"/>
      <c r="M88" s="8"/>
      <c r="N88" s="8"/>
      <c r="O88" s="8"/>
      <c r="P88" s="8"/>
      <c r="Q88" s="8"/>
    </row>
    <row r="89" spans="12:17" x14ac:dyDescent="0.25">
      <c r="L89" s="8"/>
      <c r="M89" s="8"/>
      <c r="N89" s="8"/>
      <c r="O89" s="8"/>
      <c r="P89" s="8"/>
      <c r="Q89" s="8"/>
    </row>
    <row r="90" spans="12:17" x14ac:dyDescent="0.25">
      <c r="L90" s="8"/>
      <c r="M90" s="8"/>
      <c r="N90" s="8"/>
      <c r="O90" s="8"/>
      <c r="P90" s="8"/>
      <c r="Q90" s="8"/>
    </row>
    <row r="91" spans="12:17" x14ac:dyDescent="0.25">
      <c r="L91" s="8"/>
      <c r="M91" s="8"/>
      <c r="N91" s="8"/>
      <c r="O91" s="8"/>
      <c r="P91" s="8"/>
      <c r="Q91" s="8"/>
    </row>
    <row r="92" spans="12:17" x14ac:dyDescent="0.25">
      <c r="L92" s="8"/>
      <c r="M92" s="8"/>
      <c r="N92" s="8"/>
      <c r="O92" s="8"/>
      <c r="P92" s="8"/>
      <c r="Q92" s="8"/>
    </row>
    <row r="93" spans="12:17" x14ac:dyDescent="0.25">
      <c r="L93" s="8"/>
      <c r="M93" s="8"/>
      <c r="N93" s="8"/>
      <c r="O93" s="8"/>
      <c r="P93" s="8"/>
      <c r="Q93" s="8"/>
    </row>
    <row r="94" spans="12:17" x14ac:dyDescent="0.25">
      <c r="L94" s="8"/>
      <c r="M94" s="8"/>
      <c r="N94" s="8"/>
      <c r="O94" s="8"/>
      <c r="P94" s="8"/>
      <c r="Q94" s="8"/>
    </row>
    <row r="95" spans="12:17" x14ac:dyDescent="0.25">
      <c r="L95" s="8"/>
      <c r="M95" s="8"/>
      <c r="N95" s="8"/>
      <c r="O95" s="8"/>
      <c r="P95" s="8"/>
      <c r="Q95" s="8"/>
    </row>
    <row r="96" spans="12:17" x14ac:dyDescent="0.25">
      <c r="L96" s="8"/>
      <c r="M96" s="8"/>
      <c r="N96" s="8"/>
      <c r="O96" s="8"/>
      <c r="P96" s="8"/>
      <c r="Q96" s="8"/>
    </row>
    <row r="97" spans="12:17" x14ac:dyDescent="0.25">
      <c r="L97" s="8"/>
      <c r="M97" s="8"/>
      <c r="N97" s="8"/>
      <c r="O97" s="8"/>
      <c r="P97" s="8"/>
      <c r="Q97" s="8"/>
    </row>
    <row r="98" spans="12:17" x14ac:dyDescent="0.25">
      <c r="L98" s="8"/>
      <c r="M98" s="8"/>
      <c r="N98" s="8"/>
      <c r="O98" s="8"/>
      <c r="P98" s="8"/>
      <c r="Q98" s="8"/>
    </row>
    <row r="99" spans="12:17" x14ac:dyDescent="0.25">
      <c r="L99" s="8"/>
      <c r="M99" s="8"/>
      <c r="N99" s="8"/>
      <c r="O99" s="8"/>
      <c r="P99" s="8"/>
      <c r="Q99" s="8"/>
    </row>
    <row r="100" spans="12:17" x14ac:dyDescent="0.25">
      <c r="L100" s="8"/>
      <c r="M100" s="8"/>
      <c r="N100" s="8"/>
      <c r="O100" s="8"/>
      <c r="P100" s="8"/>
      <c r="Q100" s="8"/>
    </row>
    <row r="101" spans="12:17" x14ac:dyDescent="0.25">
      <c r="L101" s="8"/>
      <c r="M101" s="8"/>
      <c r="N101" s="8"/>
      <c r="O101" s="8"/>
      <c r="P101" s="8"/>
      <c r="Q101" s="8"/>
    </row>
    <row r="102" spans="12:17" x14ac:dyDescent="0.25">
      <c r="L102" s="8"/>
      <c r="M102" s="8"/>
      <c r="N102" s="8"/>
      <c r="O102" s="8"/>
      <c r="P102" s="8"/>
      <c r="Q102" s="8"/>
    </row>
    <row r="103" spans="12:17" x14ac:dyDescent="0.25">
      <c r="L103" s="8"/>
      <c r="M103" s="8"/>
      <c r="N103" s="8"/>
      <c r="O103" s="8"/>
      <c r="P103" s="8"/>
      <c r="Q103" s="8"/>
    </row>
    <row r="104" spans="12:17" x14ac:dyDescent="0.25">
      <c r="L104" s="8"/>
      <c r="M104" s="8"/>
      <c r="N104" s="8"/>
      <c r="O104" s="8"/>
      <c r="P104" s="8"/>
      <c r="Q104" s="8"/>
    </row>
    <row r="105" spans="12:17" x14ac:dyDescent="0.25">
      <c r="L105" s="8"/>
      <c r="M105" s="8"/>
      <c r="N105" s="8"/>
      <c r="O105" s="8"/>
      <c r="P105" s="8"/>
      <c r="Q105" s="8"/>
    </row>
    <row r="106" spans="12:17" x14ac:dyDescent="0.25">
      <c r="L106" s="8"/>
      <c r="M106" s="8"/>
      <c r="N106" s="8"/>
      <c r="O106" s="8"/>
      <c r="P106" s="8"/>
      <c r="Q106" s="8"/>
    </row>
    <row r="107" spans="12:17" x14ac:dyDescent="0.25">
      <c r="L107" s="8"/>
      <c r="M107" s="8"/>
      <c r="N107" s="8"/>
      <c r="O107" s="8"/>
      <c r="P107" s="8"/>
      <c r="Q107" s="8"/>
    </row>
    <row r="108" spans="12:17" x14ac:dyDescent="0.25">
      <c r="L108" s="8"/>
      <c r="M108" s="8"/>
      <c r="N108" s="8"/>
      <c r="O108" s="8"/>
      <c r="P108" s="8"/>
      <c r="Q108" s="8"/>
    </row>
    <row r="109" spans="12:17" x14ac:dyDescent="0.25">
      <c r="L109" s="8"/>
      <c r="M109" s="8"/>
      <c r="N109" s="8"/>
      <c r="O109" s="8"/>
      <c r="P109" s="8"/>
      <c r="Q109" s="8"/>
    </row>
    <row r="110" spans="12:17" x14ac:dyDescent="0.25">
      <c r="L110" s="8"/>
      <c r="M110" s="8"/>
      <c r="N110" s="8"/>
      <c r="O110" s="8"/>
      <c r="P110" s="8"/>
      <c r="Q110" s="8"/>
    </row>
    <row r="111" spans="12:17" x14ac:dyDescent="0.25">
      <c r="L111" s="8"/>
      <c r="M111" s="8"/>
      <c r="N111" s="8"/>
      <c r="O111" s="8"/>
      <c r="P111" s="8"/>
      <c r="Q111" s="8"/>
    </row>
    <row r="112" spans="12:17" x14ac:dyDescent="0.25">
      <c r="L112" s="8"/>
      <c r="M112" s="8"/>
      <c r="N112" s="8"/>
      <c r="O112" s="8"/>
      <c r="P112" s="8"/>
      <c r="Q112" s="8"/>
    </row>
    <row r="113" spans="12:17" x14ac:dyDescent="0.25">
      <c r="L113" s="8"/>
      <c r="M113" s="8"/>
      <c r="N113" s="8"/>
      <c r="O113" s="8"/>
      <c r="P113" s="8"/>
      <c r="Q113" s="8"/>
    </row>
    <row r="114" spans="12:17" x14ac:dyDescent="0.25">
      <c r="L114" s="8"/>
      <c r="M114" s="8"/>
      <c r="N114" s="8"/>
      <c r="O114" s="8"/>
      <c r="P114" s="8"/>
      <c r="Q114" s="8"/>
    </row>
    <row r="115" spans="12:17" x14ac:dyDescent="0.25">
      <c r="L115" s="8"/>
      <c r="M115" s="8"/>
      <c r="N115" s="8"/>
      <c r="O115" s="8"/>
      <c r="P115" s="8"/>
      <c r="Q115" s="8"/>
    </row>
    <row r="116" spans="12:17" x14ac:dyDescent="0.25">
      <c r="L116" s="8"/>
      <c r="M116" s="8"/>
      <c r="N116" s="8"/>
      <c r="O116" s="8"/>
      <c r="P116" s="8"/>
      <c r="Q116" s="8"/>
    </row>
    <row r="117" spans="12:17" x14ac:dyDescent="0.25">
      <c r="L117" s="8"/>
      <c r="M117" s="8"/>
      <c r="N117" s="8"/>
      <c r="O117" s="8"/>
      <c r="P117" s="8"/>
      <c r="Q117" s="8"/>
    </row>
    <row r="118" spans="12:17" x14ac:dyDescent="0.25">
      <c r="L118" s="8"/>
      <c r="M118" s="8"/>
      <c r="N118" s="8"/>
      <c r="O118" s="8"/>
      <c r="P118" s="8"/>
      <c r="Q118" s="8"/>
    </row>
    <row r="119" spans="12:17" x14ac:dyDescent="0.25">
      <c r="L119" s="8"/>
      <c r="M119" s="8"/>
      <c r="N119" s="8"/>
      <c r="O119" s="8"/>
      <c r="P119" s="8"/>
      <c r="Q119" s="8"/>
    </row>
    <row r="120" spans="12:17" x14ac:dyDescent="0.25">
      <c r="L120" s="8"/>
      <c r="M120" s="8"/>
      <c r="N120" s="8"/>
      <c r="O120" s="8"/>
      <c r="P120" s="8"/>
      <c r="Q120" s="8"/>
    </row>
    <row r="121" spans="12:17" x14ac:dyDescent="0.25">
      <c r="L121" s="8"/>
      <c r="M121" s="8"/>
      <c r="N121" s="8"/>
      <c r="O121" s="8"/>
      <c r="P121" s="8"/>
      <c r="Q121" s="8"/>
    </row>
    <row r="122" spans="12:17" x14ac:dyDescent="0.25">
      <c r="L122" s="8"/>
      <c r="M122" s="8"/>
      <c r="N122" s="8"/>
      <c r="O122" s="8"/>
      <c r="P122" s="8"/>
      <c r="Q122" s="8"/>
    </row>
    <row r="123" spans="12:17" x14ac:dyDescent="0.25">
      <c r="L123" s="8"/>
      <c r="M123" s="8"/>
      <c r="N123" s="8"/>
      <c r="O123" s="8"/>
      <c r="P123" s="8"/>
      <c r="Q123" s="8"/>
    </row>
    <row r="124" spans="12:17" x14ac:dyDescent="0.25">
      <c r="L124" s="8"/>
      <c r="M124" s="8"/>
      <c r="N124" s="8"/>
      <c r="O124" s="8"/>
      <c r="P124" s="8"/>
      <c r="Q124" s="8"/>
    </row>
    <row r="125" spans="12:17" x14ac:dyDescent="0.25">
      <c r="L125" s="8"/>
      <c r="M125" s="8"/>
      <c r="N125" s="8"/>
      <c r="O125" s="8"/>
      <c r="P125" s="8"/>
      <c r="Q125" s="8"/>
    </row>
    <row r="126" spans="12:17" x14ac:dyDescent="0.25">
      <c r="L126" s="8"/>
      <c r="M126" s="8"/>
      <c r="N126" s="8"/>
      <c r="O126" s="8"/>
      <c r="P126" s="8"/>
      <c r="Q126" s="8"/>
    </row>
    <row r="127" spans="12:17" x14ac:dyDescent="0.25">
      <c r="L127" s="8"/>
      <c r="M127" s="8"/>
      <c r="N127" s="8"/>
      <c r="O127" s="8"/>
      <c r="P127" s="8"/>
      <c r="Q127" s="8"/>
    </row>
    <row r="128" spans="12:17" x14ac:dyDescent="0.25">
      <c r="L128" s="8"/>
      <c r="M128" s="8"/>
      <c r="N128" s="8"/>
      <c r="O128" s="8"/>
      <c r="P128" s="8"/>
      <c r="Q128" s="8"/>
    </row>
    <row r="129" spans="12:17" x14ac:dyDescent="0.25">
      <c r="L129" s="8"/>
      <c r="M129" s="8"/>
      <c r="N129" s="8"/>
      <c r="O129" s="8"/>
      <c r="P129" s="8"/>
      <c r="Q129" s="8"/>
    </row>
    <row r="130" spans="12:17" x14ac:dyDescent="0.25">
      <c r="L130" s="8"/>
      <c r="M130" s="8"/>
      <c r="N130" s="8"/>
      <c r="O130" s="8"/>
      <c r="P130" s="8"/>
      <c r="Q130" s="8"/>
    </row>
    <row r="131" spans="12:17" x14ac:dyDescent="0.25">
      <c r="L131" s="8"/>
      <c r="M131" s="8"/>
      <c r="N131" s="8"/>
      <c r="O131" s="8"/>
      <c r="P131" s="8"/>
      <c r="Q131" s="8"/>
    </row>
    <row r="132" spans="12:17" x14ac:dyDescent="0.25">
      <c r="L132" s="8"/>
      <c r="M132" s="8"/>
      <c r="N132" s="8"/>
      <c r="O132" s="8"/>
      <c r="P132" s="8"/>
      <c r="Q132" s="8"/>
    </row>
    <row r="133" spans="12:17" x14ac:dyDescent="0.25">
      <c r="L133" s="8"/>
      <c r="M133" s="8"/>
      <c r="N133" s="8"/>
      <c r="O133" s="8"/>
      <c r="P133" s="8"/>
      <c r="Q133" s="8"/>
    </row>
    <row r="134" spans="12:17" x14ac:dyDescent="0.25">
      <c r="L134" s="8"/>
      <c r="M134" s="8"/>
      <c r="N134" s="8"/>
      <c r="O134" s="8"/>
      <c r="P134" s="8"/>
      <c r="Q134" s="8"/>
    </row>
    <row r="135" spans="12:17" x14ac:dyDescent="0.25">
      <c r="L135" s="8"/>
      <c r="M135" s="8"/>
      <c r="N135" s="8"/>
      <c r="O135" s="8"/>
      <c r="P135" s="8"/>
      <c r="Q135" s="8"/>
    </row>
    <row r="136" spans="12:17" x14ac:dyDescent="0.25">
      <c r="L136" s="8"/>
      <c r="M136" s="8"/>
      <c r="N136" s="8"/>
      <c r="O136" s="8"/>
      <c r="P136" s="8"/>
      <c r="Q136" s="8"/>
    </row>
    <row r="137" spans="12:17" x14ac:dyDescent="0.25">
      <c r="L137" s="8"/>
      <c r="M137" s="8"/>
      <c r="N137" s="8"/>
      <c r="O137" s="8"/>
      <c r="P137" s="8"/>
      <c r="Q137" s="8"/>
    </row>
    <row r="138" spans="12:17" x14ac:dyDescent="0.25">
      <c r="L138" s="8"/>
      <c r="M138" s="8"/>
      <c r="N138" s="8"/>
      <c r="O138" s="8"/>
      <c r="P138" s="8"/>
      <c r="Q138" s="8"/>
    </row>
    <row r="139" spans="12:17" x14ac:dyDescent="0.25">
      <c r="L139" s="8"/>
      <c r="M139" s="8"/>
      <c r="N139" s="8"/>
      <c r="O139" s="8"/>
      <c r="P139" s="8"/>
      <c r="Q139" s="8"/>
    </row>
    <row r="140" spans="12:17" x14ac:dyDescent="0.25">
      <c r="L140" s="8"/>
      <c r="M140" s="8"/>
      <c r="N140" s="8"/>
      <c r="O140" s="8"/>
      <c r="P140" s="8"/>
      <c r="Q140" s="8"/>
    </row>
    <row r="141" spans="12:17" x14ac:dyDescent="0.25">
      <c r="L141" s="8"/>
      <c r="M141" s="8"/>
      <c r="N141" s="8"/>
      <c r="O141" s="8"/>
      <c r="P141" s="8"/>
      <c r="Q141" s="8"/>
    </row>
    <row r="142" spans="12:17" x14ac:dyDescent="0.25">
      <c r="L142" s="8"/>
      <c r="M142" s="8"/>
      <c r="N142" s="8"/>
      <c r="O142" s="8"/>
      <c r="P142" s="8"/>
      <c r="Q142" s="8"/>
    </row>
    <row r="143" spans="12:17" x14ac:dyDescent="0.25">
      <c r="L143" s="8"/>
      <c r="M143" s="8"/>
      <c r="N143" s="8"/>
      <c r="O143" s="8"/>
      <c r="P143" s="8"/>
      <c r="Q143" s="8"/>
    </row>
    <row r="144" spans="12:17" x14ac:dyDescent="0.25">
      <c r="L144" s="8"/>
      <c r="M144" s="8"/>
      <c r="N144" s="8"/>
      <c r="O144" s="8"/>
      <c r="P144" s="8"/>
      <c r="Q144" s="8"/>
    </row>
    <row r="145" spans="12:17" x14ac:dyDescent="0.25">
      <c r="L145" s="8"/>
      <c r="M145" s="8"/>
      <c r="N145" s="8"/>
      <c r="O145" s="8"/>
      <c r="P145" s="8"/>
      <c r="Q145" s="8"/>
    </row>
    <row r="146" spans="12:17" x14ac:dyDescent="0.25">
      <c r="L146" s="8"/>
      <c r="M146" s="8"/>
      <c r="N146" s="8"/>
      <c r="O146" s="8"/>
      <c r="P146" s="8"/>
      <c r="Q146" s="8"/>
    </row>
    <row r="147" spans="12:17" x14ac:dyDescent="0.25">
      <c r="L147" s="8"/>
      <c r="M147" s="8"/>
      <c r="N147" s="8"/>
      <c r="O147" s="8"/>
      <c r="P147" s="8"/>
      <c r="Q147" s="8"/>
    </row>
    <row r="148" spans="12:17" x14ac:dyDescent="0.25">
      <c r="L148" s="8"/>
      <c r="M148" s="8"/>
      <c r="N148" s="8"/>
      <c r="O148" s="8"/>
      <c r="P148" s="8"/>
      <c r="Q148" s="8"/>
    </row>
    <row r="149" spans="12:17" x14ac:dyDescent="0.25">
      <c r="L149" s="8"/>
      <c r="M149" s="8"/>
      <c r="N149" s="8"/>
      <c r="O149" s="8"/>
      <c r="P149" s="8"/>
      <c r="Q149" s="8"/>
    </row>
    <row r="150" spans="12:17" x14ac:dyDescent="0.25">
      <c r="L150" s="8"/>
      <c r="M150" s="8"/>
      <c r="N150" s="8"/>
      <c r="O150" s="8"/>
      <c r="P150" s="8"/>
      <c r="Q150" s="8"/>
    </row>
    <row r="151" spans="12:17" x14ac:dyDescent="0.25">
      <c r="L151" s="8"/>
      <c r="M151" s="8"/>
      <c r="N151" s="8"/>
      <c r="O151" s="8"/>
      <c r="P151" s="8"/>
      <c r="Q151" s="8"/>
    </row>
    <row r="152" spans="12:17" x14ac:dyDescent="0.25">
      <c r="L152" s="8"/>
      <c r="M152" s="8"/>
      <c r="N152" s="8"/>
      <c r="O152" s="8"/>
      <c r="P152" s="8"/>
      <c r="Q152" s="8"/>
    </row>
    <row r="153" spans="12:17" x14ac:dyDescent="0.25">
      <c r="L153" s="8"/>
      <c r="M153" s="8"/>
      <c r="N153" s="8"/>
      <c r="O153" s="8"/>
      <c r="P153" s="8"/>
      <c r="Q153" s="8"/>
    </row>
    <row r="154" spans="12:17" x14ac:dyDescent="0.25">
      <c r="L154" s="8"/>
      <c r="M154" s="8"/>
      <c r="N154" s="8"/>
      <c r="O154" s="8"/>
      <c r="P154" s="8"/>
      <c r="Q154" s="8"/>
    </row>
    <row r="155" spans="12:17" x14ac:dyDescent="0.25">
      <c r="L155" s="8"/>
      <c r="M155" s="8"/>
      <c r="N155" s="8"/>
      <c r="O155" s="8"/>
      <c r="P155" s="8"/>
      <c r="Q155" s="8"/>
    </row>
    <row r="156" spans="12:17" x14ac:dyDescent="0.25">
      <c r="L156" s="8"/>
      <c r="M156" s="8"/>
      <c r="N156" s="8"/>
      <c r="O156" s="8"/>
      <c r="P156" s="8"/>
      <c r="Q156" s="8"/>
    </row>
    <row r="157" spans="12:17" x14ac:dyDescent="0.25">
      <c r="L157" s="8"/>
      <c r="M157" s="8"/>
      <c r="N157" s="8"/>
      <c r="O157" s="8"/>
      <c r="P157" s="8"/>
      <c r="Q157" s="8"/>
    </row>
    <row r="158" spans="12:17" x14ac:dyDescent="0.25">
      <c r="L158" s="8"/>
      <c r="M158" s="8"/>
      <c r="N158" s="8"/>
      <c r="O158" s="8"/>
      <c r="P158" s="8"/>
      <c r="Q158" s="8"/>
    </row>
    <row r="159" spans="12:17" x14ac:dyDescent="0.25">
      <c r="L159" s="8"/>
      <c r="M159" s="8"/>
      <c r="N159" s="8"/>
      <c r="O159" s="8"/>
      <c r="P159" s="8"/>
      <c r="Q159" s="8"/>
    </row>
    <row r="160" spans="12:17" x14ac:dyDescent="0.25">
      <c r="L160" s="8"/>
      <c r="M160" s="8"/>
      <c r="N160" s="8"/>
      <c r="O160" s="8"/>
      <c r="P160" s="8"/>
      <c r="Q160" s="8"/>
    </row>
    <row r="161" spans="12:17" x14ac:dyDescent="0.25">
      <c r="L161" s="8"/>
      <c r="M161" s="8"/>
      <c r="N161" s="8"/>
      <c r="O161" s="8"/>
      <c r="P161" s="8"/>
      <c r="Q161" s="8"/>
    </row>
    <row r="162" spans="12:17" x14ac:dyDescent="0.25">
      <c r="L162" s="8"/>
      <c r="M162" s="8"/>
      <c r="N162" s="8"/>
      <c r="O162" s="8"/>
      <c r="P162" s="8"/>
      <c r="Q162" s="8"/>
    </row>
    <row r="163" spans="12:17" x14ac:dyDescent="0.25">
      <c r="L163" s="8"/>
      <c r="M163" s="8"/>
      <c r="N163" s="8"/>
      <c r="O163" s="8"/>
      <c r="P163" s="8"/>
      <c r="Q163" s="8"/>
    </row>
    <row r="164" spans="12:17" x14ac:dyDescent="0.25">
      <c r="L164" s="8"/>
      <c r="M164" s="8"/>
      <c r="N164" s="8"/>
      <c r="O164" s="8"/>
      <c r="P164" s="8"/>
      <c r="Q164" s="8"/>
    </row>
    <row r="165" spans="12:17" x14ac:dyDescent="0.25">
      <c r="L165" s="8"/>
      <c r="M165" s="8"/>
      <c r="N165" s="8"/>
      <c r="O165" s="8"/>
      <c r="P165" s="8"/>
      <c r="Q165" s="8"/>
    </row>
    <row r="166" spans="12:17" x14ac:dyDescent="0.25">
      <c r="L166" s="8"/>
      <c r="M166" s="8"/>
      <c r="N166" s="8"/>
      <c r="O166" s="8"/>
      <c r="P166" s="8"/>
      <c r="Q166" s="8"/>
    </row>
    <row r="167" spans="12:17" x14ac:dyDescent="0.25">
      <c r="L167" s="8"/>
      <c r="M167" s="8"/>
      <c r="N167" s="8"/>
      <c r="O167" s="8"/>
      <c r="P167" s="8"/>
      <c r="Q167" s="8"/>
    </row>
    <row r="168" spans="12:17" x14ac:dyDescent="0.25">
      <c r="L168" s="8"/>
      <c r="M168" s="8"/>
      <c r="N168" s="8"/>
      <c r="O168" s="8"/>
      <c r="P168" s="8"/>
      <c r="Q168" s="8"/>
    </row>
    <row r="169" spans="12:17" x14ac:dyDescent="0.25">
      <c r="L169" s="8"/>
      <c r="M169" s="8"/>
      <c r="N169" s="8"/>
      <c r="O169" s="8"/>
      <c r="P169" s="8"/>
      <c r="Q169" s="8"/>
    </row>
    <row r="170" spans="12:17" x14ac:dyDescent="0.25">
      <c r="L170" s="8"/>
      <c r="M170" s="8"/>
      <c r="N170" s="8"/>
      <c r="O170" s="8"/>
      <c r="P170" s="8"/>
      <c r="Q170" s="8"/>
    </row>
    <row r="171" spans="12:17" x14ac:dyDescent="0.25">
      <c r="L171" s="8"/>
      <c r="M171" s="8"/>
      <c r="N171" s="8"/>
      <c r="O171" s="8"/>
      <c r="P171" s="8"/>
      <c r="Q171" s="8"/>
    </row>
    <row r="172" spans="12:17" x14ac:dyDescent="0.25">
      <c r="L172" s="8"/>
      <c r="M172" s="8"/>
      <c r="N172" s="8"/>
      <c r="O172" s="8"/>
      <c r="P172" s="8"/>
      <c r="Q172" s="8"/>
    </row>
    <row r="173" spans="12:17" x14ac:dyDescent="0.25">
      <c r="L173" s="8"/>
      <c r="M173" s="8"/>
      <c r="N173" s="8"/>
      <c r="O173" s="8"/>
      <c r="P173" s="8"/>
      <c r="Q173" s="8"/>
    </row>
    <row r="174" spans="12:17" x14ac:dyDescent="0.25">
      <c r="L174" s="8"/>
      <c r="M174" s="8"/>
      <c r="N174" s="8"/>
      <c r="O174" s="8"/>
      <c r="P174" s="8"/>
      <c r="Q174" s="8"/>
    </row>
    <row r="175" spans="12:17" x14ac:dyDescent="0.25">
      <c r="L175" s="8"/>
      <c r="M175" s="8"/>
      <c r="N175" s="8"/>
      <c r="O175" s="8"/>
      <c r="P175" s="8"/>
      <c r="Q175" s="8"/>
    </row>
    <row r="176" spans="12:17" x14ac:dyDescent="0.25">
      <c r="L176" s="8"/>
      <c r="M176" s="8"/>
      <c r="N176" s="8"/>
      <c r="O176" s="8"/>
      <c r="P176" s="8"/>
      <c r="Q176" s="8"/>
    </row>
    <row r="177" spans="12:17" x14ac:dyDescent="0.25">
      <c r="L177" s="8"/>
      <c r="M177" s="8"/>
      <c r="N177" s="8"/>
      <c r="O177" s="8"/>
      <c r="P177" s="8"/>
      <c r="Q177" s="8"/>
    </row>
    <row r="178" spans="12:17" x14ac:dyDescent="0.25">
      <c r="L178" s="8"/>
      <c r="M178" s="8"/>
      <c r="N178" s="8"/>
      <c r="O178" s="8"/>
      <c r="P178" s="8"/>
      <c r="Q178" s="8"/>
    </row>
    <row r="179" spans="12:17" x14ac:dyDescent="0.25">
      <c r="L179" s="8"/>
      <c r="M179" s="8"/>
      <c r="N179" s="8"/>
      <c r="O179" s="8"/>
      <c r="P179" s="8"/>
      <c r="Q179" s="8"/>
    </row>
    <row r="180" spans="12:17" x14ac:dyDescent="0.25">
      <c r="L180" s="8"/>
      <c r="M180" s="8"/>
      <c r="N180" s="8"/>
      <c r="O180" s="8"/>
      <c r="P180" s="8"/>
      <c r="Q180" s="8"/>
    </row>
    <row r="181" spans="12:17" x14ac:dyDescent="0.25">
      <c r="L181" s="8"/>
      <c r="M181" s="8"/>
      <c r="N181" s="8"/>
      <c r="O181" s="8"/>
      <c r="P181" s="8"/>
      <c r="Q181" s="8"/>
    </row>
    <row r="182" spans="12:17" x14ac:dyDescent="0.25">
      <c r="L182" s="8"/>
      <c r="M182" s="8"/>
      <c r="N182" s="8"/>
      <c r="O182" s="8"/>
      <c r="P182" s="8"/>
      <c r="Q182" s="8"/>
    </row>
    <row r="183" spans="12:17" x14ac:dyDescent="0.25">
      <c r="L183" s="8"/>
      <c r="M183" s="8"/>
      <c r="N183" s="8"/>
      <c r="O183" s="8"/>
      <c r="P183" s="8"/>
      <c r="Q183" s="8"/>
    </row>
    <row r="184" spans="12:17" x14ac:dyDescent="0.25">
      <c r="L184" s="8"/>
      <c r="M184" s="8"/>
      <c r="N184" s="8"/>
      <c r="O184" s="8"/>
      <c r="P184" s="8"/>
      <c r="Q184" s="8"/>
    </row>
    <row r="185" spans="12:17" x14ac:dyDescent="0.25">
      <c r="L185" s="8"/>
      <c r="M185" s="8"/>
      <c r="N185" s="8"/>
      <c r="O185" s="8"/>
      <c r="P185" s="8"/>
      <c r="Q185" s="8"/>
    </row>
    <row r="186" spans="12:17" x14ac:dyDescent="0.25">
      <c r="L186" s="8"/>
      <c r="M186" s="8"/>
      <c r="N186" s="8"/>
      <c r="O186" s="8"/>
      <c r="P186" s="8"/>
      <c r="Q186" s="8"/>
    </row>
    <row r="187" spans="12:17" x14ac:dyDescent="0.25">
      <c r="L187" s="8"/>
      <c r="M187" s="8"/>
      <c r="N187" s="8"/>
      <c r="O187" s="8"/>
      <c r="P187" s="8"/>
      <c r="Q187" s="8"/>
    </row>
    <row r="188" spans="12:17" x14ac:dyDescent="0.25">
      <c r="L188" s="8"/>
      <c r="M188" s="8"/>
      <c r="N188" s="8"/>
      <c r="O188" s="8"/>
      <c r="P188" s="8"/>
      <c r="Q188" s="8"/>
    </row>
    <row r="189" spans="12:17" x14ac:dyDescent="0.25">
      <c r="L189" s="8"/>
      <c r="M189" s="8"/>
      <c r="N189" s="8"/>
      <c r="O189" s="8"/>
      <c r="P189" s="8"/>
      <c r="Q189" s="8"/>
    </row>
    <row r="190" spans="12:17" x14ac:dyDescent="0.25">
      <c r="L190" s="8"/>
      <c r="M190" s="8"/>
      <c r="N190" s="8"/>
      <c r="O190" s="8"/>
      <c r="P190" s="8"/>
      <c r="Q190" s="8"/>
    </row>
    <row r="191" spans="12:17" x14ac:dyDescent="0.25">
      <c r="L191" s="8"/>
      <c r="M191" s="8"/>
      <c r="N191" s="8"/>
      <c r="O191" s="8"/>
      <c r="P191" s="8"/>
      <c r="Q191" s="8"/>
    </row>
    <row r="192" spans="12:17" x14ac:dyDescent="0.25">
      <c r="L192" s="8"/>
      <c r="M192" s="8"/>
      <c r="N192" s="8"/>
      <c r="O192" s="8"/>
      <c r="P192" s="8"/>
      <c r="Q192" s="8"/>
    </row>
    <row r="193" spans="12:17" x14ac:dyDescent="0.25">
      <c r="L193" s="8"/>
      <c r="M193" s="8"/>
      <c r="N193" s="8"/>
      <c r="O193" s="8"/>
      <c r="P193" s="8"/>
      <c r="Q193" s="8"/>
    </row>
    <row r="194" spans="12:17" x14ac:dyDescent="0.25">
      <c r="L194" s="8"/>
      <c r="M194" s="8"/>
      <c r="N194" s="8"/>
      <c r="O194" s="8"/>
      <c r="P194" s="8"/>
      <c r="Q194" s="8"/>
    </row>
    <row r="195" spans="12:17" x14ac:dyDescent="0.25">
      <c r="L195" s="8"/>
      <c r="M195" s="8"/>
      <c r="N195" s="8"/>
      <c r="O195" s="8"/>
      <c r="P195" s="8"/>
      <c r="Q195" s="8"/>
    </row>
    <row r="196" spans="12:17" x14ac:dyDescent="0.25">
      <c r="L196" s="8"/>
      <c r="M196" s="8"/>
      <c r="N196" s="8"/>
      <c r="O196" s="8"/>
      <c r="P196" s="8"/>
      <c r="Q196" s="8"/>
    </row>
    <row r="197" spans="12:17" x14ac:dyDescent="0.25">
      <c r="L197" s="8"/>
      <c r="M197" s="8"/>
      <c r="N197" s="8"/>
      <c r="O197" s="8"/>
      <c r="P197" s="8"/>
      <c r="Q197" s="8"/>
    </row>
    <row r="198" spans="12:17" x14ac:dyDescent="0.25">
      <c r="L198" s="8"/>
      <c r="M198" s="8"/>
      <c r="N198" s="8"/>
      <c r="O198" s="8"/>
      <c r="P198" s="8"/>
      <c r="Q198" s="8"/>
    </row>
    <row r="199" spans="12:17" x14ac:dyDescent="0.25">
      <c r="L199" s="8"/>
      <c r="M199" s="8"/>
      <c r="N199" s="8"/>
      <c r="O199" s="8"/>
      <c r="P199" s="8"/>
      <c r="Q199" s="8"/>
    </row>
    <row r="200" spans="12:17" x14ac:dyDescent="0.25">
      <c r="L200" s="8"/>
      <c r="M200" s="8"/>
      <c r="N200" s="8"/>
      <c r="O200" s="8"/>
      <c r="P200" s="8"/>
      <c r="Q200" s="8"/>
    </row>
    <row r="201" spans="12:17" x14ac:dyDescent="0.25">
      <c r="L201" s="8"/>
      <c r="M201" s="8"/>
      <c r="N201" s="8"/>
      <c r="O201" s="8"/>
      <c r="P201" s="8"/>
      <c r="Q201" s="8"/>
    </row>
    <row r="202" spans="12:17" x14ac:dyDescent="0.25">
      <c r="L202" s="8"/>
      <c r="M202" s="8"/>
      <c r="N202" s="8"/>
      <c r="O202" s="8"/>
      <c r="P202" s="8"/>
      <c r="Q202" s="8"/>
    </row>
  </sheetData>
  <phoneticPr fontId="53" type="noConversion"/>
  <pageMargins left="0.7" right="0.7" top="0.75" bottom="0.75" header="0.3" footer="0.3"/>
  <tableParts count="6">
    <tablePart r:id="rId1"/>
    <tablePart r:id="rId2"/>
    <tablePart r:id="rId3"/>
    <tablePart r:id="rId4"/>
    <tablePart r:id="rId5"/>
    <tablePart r:id="rId6"/>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5B47D-1432-4DA7-9DEF-464E02E6C39D}">
  <dimension ref="D2:H46"/>
  <sheetViews>
    <sheetView topLeftCell="A27" workbookViewId="0">
      <selection activeCell="E9" sqref="E9"/>
    </sheetView>
  </sheetViews>
  <sheetFormatPr defaultRowHeight="15.75" x14ac:dyDescent="0.25"/>
  <cols>
    <col min="4" max="4" width="39" customWidth="1"/>
    <col min="5" max="5" width="33.75" customWidth="1"/>
    <col min="6" max="6" width="37.375" customWidth="1"/>
  </cols>
  <sheetData>
    <row r="2" spans="4:8" x14ac:dyDescent="0.25">
      <c r="D2" t="s">
        <v>292</v>
      </c>
    </row>
    <row r="3" spans="4:8" x14ac:dyDescent="0.25">
      <c r="D3" s="47" t="s">
        <v>129</v>
      </c>
      <c r="E3" s="8"/>
      <c r="F3" s="8"/>
    </row>
    <row r="4" spans="4:8" x14ac:dyDescent="0.25">
      <c r="D4" s="48" t="s">
        <v>130</v>
      </c>
      <c r="E4" s="8"/>
      <c r="F4" s="8"/>
    </row>
    <row r="5" spans="4:8" x14ac:dyDescent="0.25">
      <c r="D5" s="49" t="s">
        <v>131</v>
      </c>
      <c r="E5" s="49" t="s">
        <v>132</v>
      </c>
      <c r="F5" s="49" t="s">
        <v>133</v>
      </c>
      <c r="H5" s="36" t="s">
        <v>134</v>
      </c>
    </row>
    <row r="6" spans="4:8" x14ac:dyDescent="0.25">
      <c r="D6" s="7" t="e">
        <f>#REF!</f>
        <v>#REF!</v>
      </c>
      <c r="E6" s="50" t="str">
        <f>'Constants - Fuel'!$E$10</f>
        <v>Gasoline</v>
      </c>
      <c r="F6" s="50" t="str">
        <f>'Constants - Fuel'!$G$131</f>
        <v>Petrol</v>
      </c>
      <c r="H6" cm="1">
        <f t="array" ref="H6">Fuel_InputFunctions.Fuel_TotalConsumption(Table_Input_Fuel[Amount consumed],Table_Input_Fuel[Fuel use (select)],D6,Table_Input_Fuel[Fuel type (select)],F6)</f>
        <v>0</v>
      </c>
    </row>
    <row r="7" spans="4:8" x14ac:dyDescent="0.25">
      <c r="D7" s="51" t="e">
        <f>$D$6</f>
        <v>#REF!</v>
      </c>
      <c r="E7" s="50" t="str">
        <f>'Constants - Fuel'!$E$11</f>
        <v>Diesel oil</v>
      </c>
      <c r="F7" s="50" t="str">
        <f>'Constants - Fuel'!$G$132</f>
        <v>Diesel</v>
      </c>
      <c r="H7" cm="1">
        <f t="array" ref="H7">Fuel_InputFunctions.Fuel_TotalConsumption(Table_Input_Fuel[Amount consumed],Table_Input_Fuel[Fuel use (select)],D7,Table_Input_Fuel[Fuel type (select)],F7)</f>
        <v>0</v>
      </c>
    </row>
    <row r="8" spans="4:8" x14ac:dyDescent="0.25">
      <c r="D8" s="51" t="e">
        <f t="shared" ref="D8:D13" si="0">$D$6</f>
        <v>#REF!</v>
      </c>
      <c r="E8" s="50" t="str">
        <f>'Constants - Fuel'!$E$12</f>
        <v>Liquefied petroleum gas (LPG)</v>
      </c>
      <c r="F8" s="50" t="str">
        <f>'Constants - Fuel'!$G$133</f>
        <v>Liquefied petroleum gas (LPG)</v>
      </c>
      <c r="H8" cm="1">
        <f t="array" ref="H8">Fuel_InputFunctions.Fuel_TotalConsumption(Table_Input_Fuel[Amount consumed],Table_Input_Fuel[Fuel use (select)],D8,Table_Input_Fuel[Fuel type (select)],F8)</f>
        <v>0</v>
      </c>
    </row>
    <row r="9" spans="4:8" x14ac:dyDescent="0.25">
      <c r="D9" s="51" t="e">
        <f t="shared" si="0"/>
        <v>#REF!</v>
      </c>
      <c r="E9" s="50" t="str">
        <f>'Constants - Fuel'!$E$13</f>
        <v>Fuel oil</v>
      </c>
      <c r="F9" s="50" t="str">
        <f>'Constants - Fuel'!$G$134</f>
        <v>Fuel oil</v>
      </c>
      <c r="H9" cm="1">
        <f t="array" ref="H9">Fuel_InputFunctions.Fuel_TotalConsumption(Table_Input_Fuel[Amount consumed],Table_Input_Fuel[Fuel use (select)],D9,Table_Input_Fuel[Fuel type (select)],F9)</f>
        <v>0</v>
      </c>
    </row>
    <row r="10" spans="4:8" x14ac:dyDescent="0.25">
      <c r="D10" s="51" t="e">
        <f t="shared" si="0"/>
        <v>#REF!</v>
      </c>
      <c r="E10" s="50" t="str">
        <f>'Constants - Fuel'!$E$14</f>
        <v>Ethanol</v>
      </c>
      <c r="F10" s="50" t="str">
        <f>'Constants - Fuel'!$G$135</f>
        <v>Ethanol</v>
      </c>
      <c r="H10" cm="1">
        <f t="array" ref="H10">Fuel_InputFunctions.Fuel_TotalConsumption(Table_Input_Fuel[Amount consumed],Table_Input_Fuel[Fuel use (select)],D10,Table_Input_Fuel[Fuel type (select)],F10)</f>
        <v>0</v>
      </c>
    </row>
    <row r="11" spans="4:8" x14ac:dyDescent="0.25">
      <c r="D11" s="51" t="e">
        <f t="shared" si="0"/>
        <v>#REF!</v>
      </c>
      <c r="E11" s="50" t="str">
        <f>'Constants - Fuel'!$E$15</f>
        <v>Biodiesel</v>
      </c>
      <c r="F11" s="50" t="str">
        <f>'Constants - Fuel'!$G$136</f>
        <v>Biodiesel</v>
      </c>
      <c r="H11" cm="1">
        <f t="array" ref="H11">Fuel_InputFunctions.Fuel_TotalConsumption(Table_Input_Fuel[Amount consumed],Table_Input_Fuel[Fuel use (select)],D11,Table_Input_Fuel[Fuel type (select)],F11)</f>
        <v>0</v>
      </c>
    </row>
    <row r="12" spans="4:8" x14ac:dyDescent="0.25">
      <c r="D12" s="51" t="e">
        <f t="shared" si="0"/>
        <v>#REF!</v>
      </c>
      <c r="E12" s="50" t="str">
        <f>'Constants - Fuel'!$E$16</f>
        <v>Renewable diesel</v>
      </c>
      <c r="F12" s="50" t="str">
        <f>'Constants - Fuel'!$G$137</f>
        <v>Renewable diesel</v>
      </c>
      <c r="H12" cm="1">
        <f t="array" ref="H12">Fuel_InputFunctions.Fuel_TotalConsumption(Table_Input_Fuel[Amount consumed],Table_Input_Fuel[Fuel use (select)],D12,Table_Input_Fuel[Fuel type (select)],F12)</f>
        <v>0</v>
      </c>
    </row>
    <row r="13" spans="4:8" x14ac:dyDescent="0.25">
      <c r="D13" s="51" t="e">
        <f t="shared" si="0"/>
        <v>#REF!</v>
      </c>
      <c r="E13" s="50" t="str">
        <f>'Constants - Fuel'!$E$17</f>
        <v>Other biofuels</v>
      </c>
      <c r="F13" s="50" t="str">
        <f>'Constants - Fuel'!$G$138</f>
        <v>Other biofuels</v>
      </c>
      <c r="H13" cm="1">
        <f t="array" ref="H13">Fuel_InputFunctions.Fuel_TotalConsumption(Table_Input_Fuel[Amount consumed],Table_Input_Fuel[Fuel use (select)],D13,Table_Input_Fuel[Fuel type (select)],F13)</f>
        <v>0</v>
      </c>
    </row>
    <row r="14" spans="4:8" x14ac:dyDescent="0.25">
      <c r="D14" s="52" t="e">
        <f>#REF!</f>
        <v>#REF!</v>
      </c>
      <c r="E14" s="53" t="str">
        <f>'Constants - Fuel'!$E$11</f>
        <v>Diesel oil</v>
      </c>
      <c r="F14" s="53" t="str">
        <f>'Constants - Fuel'!$H$131</f>
        <v>Diesel</v>
      </c>
      <c r="H14" cm="1">
        <f t="array" ref="H14">Fuel_InputFunctions.Fuel_TotalConsumption(Table_Input_Fuel[Amount consumed],Table_Input_Fuel[Fuel use (select)],D14,Table_Input_Fuel[Fuel type (select)],F14)</f>
        <v>0</v>
      </c>
    </row>
    <row r="15" spans="4:8" x14ac:dyDescent="0.25">
      <c r="D15" s="52" t="e">
        <f>#REF!</f>
        <v>#REF!</v>
      </c>
      <c r="E15" s="53" t="str">
        <f>'Constants - Fuel'!$E$28</f>
        <v>Gasoline for use as fuel in an aircraft</v>
      </c>
      <c r="F15" s="53" t="str">
        <f>'Constants - Fuel'!$F$131</f>
        <v>Avgas</v>
      </c>
      <c r="H15" cm="1">
        <f t="array" ref="H15">Fuel_InputFunctions.Fuel_TotalConsumption(Table_Input_Fuel[Amount consumed],Table_Input_Fuel[Fuel use (select)],D15,Table_Input_Fuel[Fuel type (select)],F15)</f>
        <v>0</v>
      </c>
    </row>
    <row r="16" spans="4:8" x14ac:dyDescent="0.25">
      <c r="D16" s="51" t="e">
        <f>$D$15</f>
        <v>#REF!</v>
      </c>
      <c r="E16" s="50" t="str">
        <f>'Constants - Fuel'!$E$29</f>
        <v>Kerosene for use as fuel in an aircraft</v>
      </c>
      <c r="F16" s="50" t="str">
        <f>'Constants - Fuel'!$F$132</f>
        <v>Jet A1, Jet B</v>
      </c>
      <c r="H16" cm="1">
        <f t="array" ref="H16">Fuel_InputFunctions.Fuel_TotalConsumption(Table_Input_Fuel[Amount consumed],Table_Input_Fuel[Fuel use (select)],D16,Table_Input_Fuel[Fuel type (select)],F16)</f>
        <v>0</v>
      </c>
    </row>
    <row r="17" spans="4:8" x14ac:dyDescent="0.25">
      <c r="D17" s="51" t="e">
        <f>$D$15</f>
        <v>#REF!</v>
      </c>
      <c r="E17" s="50" t="str">
        <f>'Constants - Fuel'!$E$30</f>
        <v>Renewable aviation kerosene</v>
      </c>
      <c r="F17" s="50" t="str">
        <f>'Constants - Fuel'!$F$133</f>
        <v>Renewable aviation kerosene</v>
      </c>
      <c r="H17" cm="1">
        <f t="array" ref="H17">Fuel_InputFunctions.Fuel_TotalConsumption(Table_Input_Fuel[Amount consumed],Table_Input_Fuel[Fuel use (select)],D17,Table_Input_Fuel[Fuel type (select)],F17)</f>
        <v>0</v>
      </c>
    </row>
    <row r="18" spans="4:8" x14ac:dyDescent="0.25">
      <c r="D18" s="52" t="e">
        <f>#REF!</f>
        <v>#REF!</v>
      </c>
      <c r="E18" s="53" t="str">
        <f>'Constants - Fuel'!$E$10</f>
        <v>Gasoline</v>
      </c>
      <c r="F18" s="53" t="str">
        <f>'Constants - Fuel'!$I$131</f>
        <v>Petrol</v>
      </c>
      <c r="H18" cm="1">
        <f t="array" ref="H18">Fuel_InputFunctions.Fuel_TotalConsumption(Table_Input_Fuel[Amount consumed],Table_Input_Fuel[Fuel use (select)],D18,Table_Input_Fuel[Fuel type (select)],F18)</f>
        <v>0</v>
      </c>
    </row>
    <row r="19" spans="4:8" x14ac:dyDescent="0.25">
      <c r="D19" s="51" t="e">
        <f>$D$18</f>
        <v>#REF!</v>
      </c>
      <c r="E19" s="50" t="str">
        <f>'Constants - Fuel'!$E$11</f>
        <v>Diesel oil</v>
      </c>
      <c r="F19" s="50" t="str">
        <f>'Constants - Fuel'!$I$132</f>
        <v>Diesel</v>
      </c>
      <c r="H19" cm="1">
        <f t="array" ref="H19">Fuel_InputFunctions.Fuel_TotalConsumption(Table_Input_Fuel[Amount consumed],Table_Input_Fuel[Fuel use (select)],D19,Table_Input_Fuel[Fuel type (select)],F19)</f>
        <v>0</v>
      </c>
    </row>
    <row r="20" spans="4:8" x14ac:dyDescent="0.25">
      <c r="D20" s="51" t="e">
        <f>$D$18</f>
        <v>#REF!</v>
      </c>
      <c r="E20" s="50" t="str">
        <f>'Constants - Fuel'!$E$33</f>
        <v>Fuel Oil</v>
      </c>
      <c r="F20" s="50" t="str">
        <f>'Constants - Fuel'!$I$133</f>
        <v>Fuel oil</v>
      </c>
      <c r="H20" cm="1">
        <f t="array" ref="H20">Fuel_InputFunctions.Fuel_TotalConsumption(Table_Input_Fuel[Amount consumed],Table_Input_Fuel[Fuel use (select)],D20,Table_Input_Fuel[Fuel type (select)],F20)</f>
        <v>0</v>
      </c>
    </row>
    <row r="23" spans="4:8" x14ac:dyDescent="0.25">
      <c r="D23" t="s">
        <v>293</v>
      </c>
    </row>
    <row r="24" spans="4:8" ht="17.25" x14ac:dyDescent="0.25">
      <c r="D24" s="49" t="s">
        <v>136</v>
      </c>
      <c r="E24" s="36" t="s">
        <v>235</v>
      </c>
    </row>
    <row r="25" spans="4:8" x14ac:dyDescent="0.25">
      <c r="D25" s="39" t="str" cm="1">
        <f t="array" ref="D25:D43">Table_Fertiliser_ChemicalCompounds[Fertiliser type f]</f>
        <v>Monoammonium phosphate (MAP)</v>
      </c>
      <c r="E25" s="39" cm="1">
        <f t="array" ref="E25">Fertiliser_InputFunctions.Fertiliser_TotalChemicalCompoundAppliedAllIngredients($D25,Table_Input_InorganicFertiliser_Brands[Total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Fertiliser_InputFunctions.Fertiliser_TotalChemicalCompoundAppliedAllIngredients($D25,Table_Input_InorganicFertiliser_Custom[Total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row>
    <row r="26" spans="4:8" x14ac:dyDescent="0.25">
      <c r="D26" s="39" t="str">
        <v>Diammonium phosphate (DAP)</v>
      </c>
      <c r="E26" s="39" cm="1">
        <f t="array" ref="E26">Fertiliser_InputFunctions.Fertiliser_TotalChemicalCompoundAppliedAllIngredients($D26,Table_Input_InorganicFertiliser_Brands[Total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Fertiliser_InputFunctions.Fertiliser_TotalChemicalCompoundAppliedAllIngredients($D26,Table_Input_InorganicFertiliser_Custom[Total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row>
    <row r="27" spans="4:8" x14ac:dyDescent="0.25">
      <c r="D27" s="39" t="str">
        <v>Urea</v>
      </c>
      <c r="E27" s="39" cm="1">
        <f t="array" ref="E27">Fertiliser_InputFunctions.Fertiliser_TotalChemicalCompoundAppliedAllIngredients($D27,Table_Input_InorganicFertiliser_Brands[Total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Fertiliser_InputFunctions.Fertiliser_TotalChemicalCompoundAppliedAllIngredients($D27,Table_Input_InorganicFertiliser_Custom[Total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24189.130428200002</v>
      </c>
    </row>
    <row r="28" spans="4:8" x14ac:dyDescent="0.25">
      <c r="D28" s="39" t="str">
        <v>Sulphate of ammonia (SOA)</v>
      </c>
      <c r="E28" s="39" cm="1">
        <f t="array" ref="E28">Fertiliser_InputFunctions.Fertiliser_TotalChemicalCompoundAppliedAllIngredients($D28,Table_Input_InorganicFertiliser_Brands[Total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Fertiliser_InputFunctions.Fertiliser_TotalChemicalCompoundAppliedAllIngredients($D28,Table_Input_InorganicFertiliser_Custom[Total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row>
    <row r="29" spans="4:8" x14ac:dyDescent="0.25">
      <c r="D29" s="39" t="str">
        <v>Urea-ammonium nitrate (UAN)</v>
      </c>
      <c r="E29" s="39" cm="1">
        <f t="array" ref="E29">Fertiliser_InputFunctions.Fertiliser_TotalChemicalCompoundAppliedAllIngredients($D29,Table_Input_InorganicFertiliser_Brands[Total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Fertiliser_InputFunctions.Fertiliser_TotalChemicalCompoundAppliedAllIngredients($D29,Table_Input_InorganicFertiliser_Custom[Total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row>
    <row r="30" spans="4:8" x14ac:dyDescent="0.25">
      <c r="D30" s="39" t="str">
        <v>Ammonium nitrate (AN)</v>
      </c>
      <c r="E30" s="39" cm="1">
        <f t="array" ref="E30">Fertiliser_InputFunctions.Fertiliser_TotalChemicalCompoundAppliedAllIngredients($D30,Table_Input_InorganicFertiliser_Brands[Total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Fertiliser_InputFunctions.Fertiliser_TotalChemicalCompoundAppliedAllIngredients($D30,Table_Input_InorganicFertiliser_Custom[Total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row>
    <row r="31" spans="4:8" x14ac:dyDescent="0.25">
      <c r="D31" s="39" t="str">
        <v>Calcium ammonium nitrate (CAN)</v>
      </c>
      <c r="E31" s="39" cm="1">
        <f t="array" ref="E31">Fertiliser_InputFunctions.Fertiliser_TotalChemicalCompoundAppliedAllIngredients($D31,Table_Input_InorganicFertiliser_Brands[Total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Fertiliser_InputFunctions.Fertiliser_TotalChemicalCompoundAppliedAllIngredients($D31,Table_Input_InorganicFertiliser_Custom[Total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row>
    <row r="32" spans="4:8" x14ac:dyDescent="0.25">
      <c r="D32" s="39" t="str">
        <v>Nitrogen - Ammoniacal</v>
      </c>
      <c r="E32" s="39" cm="1">
        <f t="array" ref="E32">Fertiliser_InputFunctions.Fertiliser_TotalChemicalCompoundAppliedAllIngredients($D32,Table_Input_InorganicFertiliser_Brands[Total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Fertiliser_InputFunctions.Fertiliser_TotalChemicalCompoundAppliedAllIngredients($D32,Table_Input_InorganicFertiliser_Custom[Total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row>
    <row r="33" spans="4:5" x14ac:dyDescent="0.25">
      <c r="D33" s="39" t="str">
        <v>Nitrogen - Nitrate</v>
      </c>
      <c r="E33" s="39" cm="1">
        <f t="array" ref="E33">Fertiliser_InputFunctions.Fertiliser_TotalChemicalCompoundAppliedAllIngredients($D33,Table_Input_InorganicFertiliser_Brands[Total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Fertiliser_InputFunctions.Fertiliser_TotalChemicalCompoundAppliedAllIngredients($D33,Table_Input_InorganicFertiliser_Custom[Total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row>
    <row r="34" spans="4:5" x14ac:dyDescent="0.25">
      <c r="D34" s="39" t="str">
        <v>Nitrogen - Generic</v>
      </c>
      <c r="E34" s="39" cm="1">
        <f t="array" ref="E34">Fertiliser_InputFunctions.Fertiliser_TotalChemicalCompoundAppliedAllIngredients($D34,Table_Input_InorganicFertiliser_Brands[Total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Fertiliser_InputFunctions.Fertiliser_TotalChemicalCompoundAppliedAllIngredients($D34,Table_Input_InorganicFertiliser_Custom[Total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729.00000000000011</v>
      </c>
    </row>
    <row r="35" spans="4:5" x14ac:dyDescent="0.25">
      <c r="D35" s="39" t="str">
        <v>Phosphorus - Generic</v>
      </c>
      <c r="E35" s="39" cm="1">
        <f t="array" ref="E35">Fertiliser_InputFunctions.Fertiliser_TotalChemicalCompoundAppliedAllIngredients($D35,Table_Input_InorganicFertiliser_Brands[Total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Fertiliser_InputFunctions.Fertiliser_TotalChemicalCompoundAppliedAllIngredients($D35,Table_Input_InorganicFertiliser_Custom[Total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1040</v>
      </c>
    </row>
    <row r="36" spans="4:5" x14ac:dyDescent="0.25">
      <c r="D36" s="39" t="str">
        <v>Potassium - Generic</v>
      </c>
      <c r="E36" s="39" cm="1">
        <f t="array" ref="E36">Fertiliser_InputFunctions.Fertiliser_TotalChemicalCompoundAppliedAllIngredients($D36,Table_Input_InorganicFertiliser_Brands[Total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Fertiliser_InputFunctions.Fertiliser_TotalChemicalCompoundAppliedAllIngredients($D36,Table_Input_InorganicFertiliser_Custom[Total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5030</v>
      </c>
    </row>
    <row r="37" spans="4:5" x14ac:dyDescent="0.25">
      <c r="D37" s="39" t="str">
        <v>Sulfur - Generic</v>
      </c>
      <c r="E37" s="39" cm="1">
        <f t="array" ref="E37">Fertiliser_InputFunctions.Fertiliser_TotalChemicalCompoundAppliedAllIngredients($D37,Table_Input_InorganicFertiliser_Brands[Total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Fertiliser_InputFunctions.Fertiliser_TotalChemicalCompoundAppliedAllIngredients($D37,Table_Input_InorganicFertiliser_Custom[Total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2060</v>
      </c>
    </row>
    <row r="38" spans="4:5" x14ac:dyDescent="0.25">
      <c r="D38" s="39" t="str">
        <v>Zinc - Generic</v>
      </c>
      <c r="E38" s="39" cm="1">
        <f t="array" ref="E38">Fertiliser_InputFunctions.Fertiliser_TotalChemicalCompoundAppliedAllIngredients($D38,Table_Input_InorganicFertiliser_Brands[Total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Fertiliser_InputFunctions.Fertiliser_TotalChemicalCompoundAppliedAllIngredients($D38,Table_Input_InorganicFertiliser_Custom[Total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row>
    <row r="39" spans="4:5" x14ac:dyDescent="0.25">
      <c r="D39" s="39" t="str">
        <v>Muriate of potash (MOP)</v>
      </c>
      <c r="E39" s="39" cm="1">
        <f t="array" ref="E39">Fertiliser_InputFunctions.Fertiliser_TotalChemicalCompoundAppliedAllIngredients($D39,Table_Input_InorganicFertiliser_Brands[Total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Fertiliser_InputFunctions.Fertiliser_TotalChemicalCompoundAppliedAllIngredients($D39,Table_Input_InorganicFertiliser_Custom[Total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row>
    <row r="40" spans="4:5" x14ac:dyDescent="0.25">
      <c r="D40" s="39" t="str">
        <v>Double superphosphate</v>
      </c>
      <c r="E40" s="39" cm="1">
        <f t="array" ref="E40">Fertiliser_InputFunctions.Fertiliser_TotalChemicalCompoundAppliedAllIngredients($D40,Table_Input_InorganicFertiliser_Brands[Total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Fertiliser_InputFunctions.Fertiliser_TotalChemicalCompoundAppliedAllIngredients($D40,Table_Input_InorganicFertiliser_Custom[Total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row>
    <row r="41" spans="4:5" x14ac:dyDescent="0.25">
      <c r="D41" s="39" t="str">
        <v>Single superphosphate (SSP)</v>
      </c>
      <c r="E41" s="39" cm="1">
        <f t="array" ref="E41">Fertiliser_InputFunctions.Fertiliser_TotalChemicalCompoundAppliedAllIngredients($D41,Table_Input_InorganicFertiliser_Brands[Total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Fertiliser_InputFunctions.Fertiliser_TotalChemicalCompoundAppliedAllIngredients($D41,Table_Input_InorganicFertiliser_Custom[Total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row>
    <row r="42" spans="4:5" x14ac:dyDescent="0.25">
      <c r="D42" s="39" t="str">
        <v>Ammonia</v>
      </c>
      <c r="E42" s="39" cm="1">
        <f t="array" ref="E42">Fertiliser_InputFunctions.Fertiliser_TotalChemicalCompoundAppliedAllIngredients($D42,Table_Input_InorganicFertiliser_Brands[Total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Fertiliser_InputFunctions.Fertiliser_TotalChemicalCompoundAppliedAllIngredients($D42,Table_Input_InorganicFertiliser_Custom[Total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5500</v>
      </c>
    </row>
    <row r="43" spans="4:5" x14ac:dyDescent="0.25">
      <c r="D43" t="str">
        <v>Calcium nitrate</v>
      </c>
    </row>
    <row r="44" spans="4:5" x14ac:dyDescent="0.25">
      <c r="D44" t="s">
        <v>294</v>
      </c>
    </row>
    <row r="45" spans="4:5" x14ac:dyDescent="0.25">
      <c r="D45" t="s">
        <v>295</v>
      </c>
      <c r="E45" s="138">
        <f>'Input - Electricity'!E11</f>
        <v>500</v>
      </c>
    </row>
    <row r="46" spans="4:5" x14ac:dyDescent="0.25">
      <c r="D46" t="s">
        <v>296</v>
      </c>
      <c r="E46" t="str">
        <f>'Input - Electricity'!E13</f>
        <v>Western Australia - South West Interconnected System (SWIS)</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FA21E6-7866-4801-882F-E1A523B12899}">
  <dimension ref="A1:AI165"/>
  <sheetViews>
    <sheetView showGridLines="0" zoomScaleNormal="100" workbookViewId="0">
      <selection activeCell="V23" sqref="V23"/>
    </sheetView>
  </sheetViews>
  <sheetFormatPr defaultRowHeight="15.75" x14ac:dyDescent="0.25"/>
  <cols>
    <col min="1" max="1" width="26.875" style="3" customWidth="1"/>
    <col min="2" max="2" width="4.125" style="3" customWidth="1"/>
    <col min="3" max="3" width="4.125" style="8" customWidth="1"/>
    <col min="4" max="9" width="18.125" style="8" customWidth="1"/>
    <col min="10" max="10" width="23" style="8" customWidth="1"/>
    <col min="11" max="31" width="18.125" style="8" customWidth="1"/>
    <col min="32" max="32" width="4.125" style="8" customWidth="1"/>
    <col min="33" max="16384" width="9" style="3"/>
  </cols>
  <sheetData>
    <row r="1" spans="1:35" s="1" customFormat="1" ht="30" customHeight="1" x14ac:dyDescent="0.35">
      <c r="A1" s="1" t="e" vm="1">
        <v>#VALUE!</v>
      </c>
      <c r="C1" s="1" t="s">
        <v>135</v>
      </c>
      <c r="AG1" s="3"/>
      <c r="AH1" s="3"/>
      <c r="AI1" s="3"/>
    </row>
    <row r="2" spans="1:35" s="2" customFormat="1" ht="20.100000000000001" customHeight="1" x14ac:dyDescent="0.25">
      <c r="A2" s="3"/>
      <c r="AG2" s="3"/>
      <c r="AH2" s="3"/>
      <c r="AI2" s="3"/>
    </row>
    <row r="3" spans="1:35" ht="20.100000000000001" customHeight="1" x14ac:dyDescent="0.25">
      <c r="A3" s="16" t="str">
        <f>HYPERLINK("#'Home'!A1", "Home")</f>
        <v>Home</v>
      </c>
      <c r="C3" s="5"/>
      <c r="D3" s="5"/>
      <c r="E3" s="5"/>
      <c r="F3" s="5"/>
      <c r="G3" s="5"/>
      <c r="H3" s="5"/>
      <c r="I3" s="5"/>
      <c r="J3" s="5"/>
      <c r="K3" s="5"/>
      <c r="L3" s="5"/>
      <c r="M3" s="5"/>
      <c r="N3" s="5"/>
      <c r="O3" s="5"/>
      <c r="P3" s="5"/>
      <c r="Q3" s="5"/>
      <c r="R3" s="5"/>
      <c r="S3" s="5"/>
      <c r="T3" s="5"/>
      <c r="U3" s="5"/>
      <c r="V3" s="5"/>
      <c r="W3" s="5"/>
      <c r="X3" s="5"/>
      <c r="Y3" s="5"/>
      <c r="Z3" s="5"/>
      <c r="AA3" s="5"/>
      <c r="AB3" s="5"/>
      <c r="AC3" s="5"/>
      <c r="AD3" s="5"/>
      <c r="AE3" s="5"/>
      <c r="AF3" s="5"/>
    </row>
    <row r="4" spans="1:35" ht="20.100000000000001" customHeight="1" x14ac:dyDescent="0.25">
      <c r="A4" s="16" t="str">
        <f>HYPERLINK("#'Overview'!A1", "Overview")</f>
        <v>Overview</v>
      </c>
    </row>
    <row r="5" spans="1:35" ht="20.100000000000001" customHeight="1" x14ac:dyDescent="0.25">
      <c r="A5" s="16" t="str">
        <f>HYPERLINK("#'Results'!A1", "Results")</f>
        <v>Results</v>
      </c>
      <c r="D5" s="9" t="str" cm="1">
        <f t="array" ref="D5">Fertiliser_SourceData.Fertiliser_ChemicalCompoundElements_Title()</f>
        <v>Common inorganic fertilisers</v>
      </c>
      <c r="E5" s="17"/>
      <c r="F5" s="17"/>
      <c r="G5" s="17"/>
      <c r="H5" s="17"/>
      <c r="I5" s="17"/>
      <c r="J5" s="17"/>
    </row>
    <row r="6" spans="1:35" ht="20.100000000000001" customHeight="1" x14ac:dyDescent="0.25">
      <c r="A6" s="18"/>
      <c r="D6" s="11" t="str" cm="1">
        <f t="array" ref="D6">Fertiliser_SourceData.Fertiliser_ChemicalCompoundElements_Source()</f>
        <v>Table A.2.2.3: Fraction of nitrogen in common inorganic fertilisers (kgN/kg) (FNorganic,f) AND Table A.2.2.4: Fraction of urea in common inorganic fertilisers (kg urea/kg) (FUf)</v>
      </c>
    </row>
    <row r="7" spans="1:35" ht="20.100000000000001" customHeight="1" x14ac:dyDescent="0.25">
      <c r="A7" s="19" t="s">
        <v>67</v>
      </c>
      <c r="D7" s="12" t="str" cm="1">
        <f t="array" ref="D7:D18">Fertiliser_SourceData.Fertiliser_ChemicalCompoundElements_Variation()</f>
        <v>VARIATION ON SOURCE</v>
      </c>
    </row>
    <row r="8" spans="1:35" ht="20.100000000000001" customHeight="1" x14ac:dyDescent="0.25">
      <c r="A8" s="16" t="str">
        <f>HYPERLINK("#'Input - Site'!A1", "Site")</f>
        <v>Site</v>
      </c>
      <c r="D8" s="12" t="str">
        <v>Added 'Basis' column to allow cross-referencing with table Table A.2.2.6: Fraction of inorganic fertiliser f that volatilises as NH3 and NOx ((kg NH3-N + NOx-N)/kg N) (FracGASFf)</v>
      </c>
    </row>
    <row r="9" spans="1:35" ht="20.100000000000001" customHeight="1" x14ac:dyDescent="0.25">
      <c r="A9" s="16" t="str">
        <f>HYPERLINK("#'Input - Fertiliser'!A1", "Fertiliser")</f>
        <v>Fertiliser</v>
      </c>
      <c r="D9" s="12" t="str">
        <v>Added extra fertiliser types and generic chemical compounds to allow for custom NPKS blends</v>
      </c>
    </row>
    <row r="10" spans="1:35" ht="20.100000000000001" customHeight="1" x14ac:dyDescent="0.25">
      <c r="A10" s="16"/>
      <c r="D10" s="12" t="str">
        <v>Added extra 'Scope 3 definition' column to allow mapping with scope 3 data</v>
      </c>
    </row>
    <row r="11" spans="1:35" ht="20.100000000000001" customHeight="1" x14ac:dyDescent="0.25">
      <c r="A11" s="20" t="s">
        <v>77</v>
      </c>
      <c r="D11" s="12" t="str">
        <v>Added 'Source' column</v>
      </c>
    </row>
    <row r="12" spans="1:35" ht="20.100000000000001" customHeight="1" x14ac:dyDescent="0.25">
      <c r="A12" s="16" t="str">
        <f>HYPERLINK("#'5.1.1.1-2 Inorganic Fert N2O'!A1", "5.1.1.1-2 Inorganic Fert N2O")</f>
        <v>5.1.1.1-2 Inorganic Fert N2O</v>
      </c>
      <c r="D12" s="12" t="str">
        <v>Combined data from Table A.2.2.3 and Table A.2.2.4 into one table to aid lookup.</v>
      </c>
    </row>
    <row r="13" spans="1:35" ht="20.100000000000001" customHeight="1" x14ac:dyDescent="0.25">
      <c r="A13" s="16" t="str">
        <f>HYPERLINK("#'5.1.1.3-4 Inorganic fert CO2'!A1", "5.1.1.3-4 Inorganic fert CO2")</f>
        <v>5.1.1.3-4 Inorganic fert CO2</v>
      </c>
      <c r="D13" s="12" t="str">
        <v>Excluded 'References' column</v>
      </c>
    </row>
    <row r="14" spans="1:35" ht="20.100000000000001" customHeight="1" x14ac:dyDescent="0.25">
      <c r="A14" s="16" t="str">
        <f>HYPERLINK("#'5.2.1.1-2 Organic Fert N2O'!A1", "5.2.1.1-2 Organic Fert N2O")</f>
        <v>5.2.1.1-2 Organic Fert N2O</v>
      </c>
      <c r="D14" s="12" t="str">
        <v>Excluded 'Ammonium sulfate' as it is a duplicate of 'Sulphate of ammonia (SOA)'</v>
      </c>
    </row>
    <row r="15" spans="1:35" ht="20.100000000000001" customHeight="1" x14ac:dyDescent="0.25">
      <c r="A15" s="16" t="str">
        <f>HYPERLINK("#'5.3.1.1-2 Lime CO2'!A1", "5.3.1.1-2 Lime CO2")</f>
        <v>5.3.1.1-2 Lime CO2</v>
      </c>
      <c r="D15" s="12" t="str">
        <v>Excluded 'Calcium nitrate' as no scope 3 value available.</v>
      </c>
    </row>
    <row r="16" spans="1:35" ht="20.100000000000001" customHeight="1" x14ac:dyDescent="0.25">
      <c r="A16" s="16" t="str">
        <f>HYPERLINK("#'5.4.1.1-4 Atmos deposition'!A1", "5.4.1.1-4 Atmos deposition")</f>
        <v>5.4.1.1-4 Atmos deposition</v>
      </c>
      <c r="D16" s="12" t="str">
        <v>Set 'Nitrogen - Generic' basis as 'Urea-based fertilisers, as urea is the most commonly used form of nitrogen in Australian fertilisers</v>
      </c>
    </row>
    <row r="17" spans="1:22" ht="20.100000000000001" customHeight="1" x14ac:dyDescent="0.25">
      <c r="A17" s="16" t="str">
        <f>HYPERLINK("#'5.5.1.1-2 Leaching and runoff'!A1", "5.5.1.1-2 Leaching and runoff")</f>
        <v>5.5.1.1-2 Leaching and runoff</v>
      </c>
      <c r="D17" s="12" t="str">
        <v>Set 'Urea-ammonium nitrate' basis as 'Urea-based fertiliser'</v>
      </c>
      <c r="K17" s="9" t="str" cm="1">
        <f t="array" ref="K17">Fertiliser_SourceData.Fertiliser_FractionNCommonFertilisers_Title()</f>
        <v>Fraction of nitrogen in common inorganic fertilisers (kgN/kg) (FNorganic,f)</v>
      </c>
      <c r="Q17" s="9" t="str" cm="1">
        <f t="array" ref="Q17">Fertiliser_SourceData.Fertiliser_FractionUreaCommonFertilisers_Title()</f>
        <v>Fraction of urea in common inorganic fertilisers (kg urea/kg) (FUf)</v>
      </c>
      <c r="V17" s="9" t="str" cm="1">
        <f t="array" ref="V17">Fertiliser_SourceData.Fertiliser_UreaAmmoniaSourceRegions_Title()</f>
        <v>Source regions for urea and ammonia</v>
      </c>
    </row>
    <row r="18" spans="1:22" ht="20.100000000000001" customHeight="1" x14ac:dyDescent="0.25">
      <c r="D18" s="12" t="str">
        <v>Ammonia has an FN value of 0.8235 based on (14/17)x100, where 14 is the mass of nitrogen in ammonia and 17 is the molar mass of ammonia.</v>
      </c>
      <c r="K18" s="11" t="str" cm="1">
        <f t="array" ref="K18">Fertiliser_SourceData.Fertiliser_FractionNCommonFertilisers_Source()</f>
        <v>VEERG 2026: Table A.2.2.3</v>
      </c>
      <c r="Q18" s="11" t="str" cm="1">
        <f t="array" ref="Q18">Fertiliser_SourceData.Fertiliser_FractionUreaCommonFertilisers_Source()</f>
        <v>VEERG 2026: Table A.2.2.4</v>
      </c>
      <c r="V18" s="11" t="str" cm="1">
        <f t="array" ref="V18">Fertiliser_SourceData.Fertiliser_UreaAmmoniaSourceRegions_Source()</f>
        <v>Lifecycles. (2026). Greenhouse Gas Emission Intensities for Material Inputs to Australian Agriculture, Fisheries and Forestry. Version 48. doi 10.5281/zenodo.19656580</v>
      </c>
    </row>
    <row r="19" spans="1:22" ht="20.100000000000001" customHeight="1" x14ac:dyDescent="0.25">
      <c r="A19" s="21" t="s">
        <v>78</v>
      </c>
      <c r="D19" s="3" t="s">
        <v>136</v>
      </c>
      <c r="E19" s="3" t="s">
        <v>137</v>
      </c>
      <c r="F19" s="3" t="s">
        <v>138</v>
      </c>
      <c r="G19" s="3" t="s">
        <v>139</v>
      </c>
      <c r="H19" s="3" t="s">
        <v>140</v>
      </c>
      <c r="I19" s="3" t="s">
        <v>141</v>
      </c>
      <c r="K19" s="10" t="s">
        <v>136</v>
      </c>
      <c r="L19" s="10" t="s">
        <v>137</v>
      </c>
      <c r="Q19" s="10" t="s">
        <v>136</v>
      </c>
      <c r="R19" s="10" t="s">
        <v>137</v>
      </c>
      <c r="V19" s="10" t="s">
        <v>141</v>
      </c>
    </row>
    <row r="20" spans="1:22" ht="20.100000000000001" customHeight="1" x14ac:dyDescent="0.25">
      <c r="A20" s="22" t="str">
        <f>HYPERLINK("#'Constants - Fertiliser'!A1", "Constants - Fertiliser")</f>
        <v>Constants - Fertiliser</v>
      </c>
      <c r="D20" s="54" t="str" cm="1">
        <f t="array" ref="D20">Common_InputFunctions.Utility_DisplayArrayInTable(Fertiliser_SourceData.Fertiliser_ChemicalCompoundElements_Data(),Table_Fertiliser_ChemicalCompounds[[#Headers],[Fertiliser type f]], 0)</f>
        <v>Monoammonium phosphate (MAP)</v>
      </c>
      <c r="E20" s="54" cm="1">
        <f t="array" ref="E20">Common_InputFunctions.Utility_DisplayArrayInTable(Fertiliser_SourceData.Fertiliser_ChemicalCompoundElements_Data(),Table_Fertiliser_ChemicalCompounds[[#Headers],[Fertiliser type f]], 0)</f>
        <v>0.1</v>
      </c>
      <c r="F20" s="54" cm="1">
        <f t="array" ref="F20">Common_InputFunctions.Utility_DisplayArrayInTable(Fertiliser_SourceData.Fertiliser_ChemicalCompoundElements_Data(),Table_Fertiliser_ChemicalCompounds[[#Headers],[Fertiliser type f]], 0)</f>
        <v>0</v>
      </c>
      <c r="G20" s="54" t="str" cm="1">
        <f t="array" ref="G20">Common_InputFunctions.Utility_DisplayArrayInTable(Fertiliser_SourceData.Fertiliser_ChemicalCompoundElements_Data(),Table_Fertiliser_ChemicalCompounds[[#Headers],[Fertiliser type f]], 0)</f>
        <v>Ammonium-based fertilisers</v>
      </c>
      <c r="H20" s="54" t="str" cm="1">
        <f t="array" ref="H20">Common_InputFunctions.Utility_DisplayArrayInTable(Fertiliser_SourceData.Fertiliser_ChemicalCompoundElements_Data(),Table_Fertiliser_ChemicalCompounds[[#Headers],[Fertiliser type f]], 0)</f>
        <v>Monoammonium phosphate (MAP)</v>
      </c>
      <c r="I20" s="54" t="str" cm="1">
        <f t="array" ref="I20">Common_InputFunctions.Utility_DisplayArrayInTable(Fertiliser_SourceData.Fertiliser_ChemicalCompoundElements_Data(),Table_Fertiliser_ChemicalCompounds[[#Headers],[Fertiliser type f]], 0)</f>
        <v>VEERG</v>
      </c>
      <c r="K20" s="10" t="str" cm="1">
        <f t="array" ref="K20">Common_InputFunctions.Utility_DisplayArrayInTable(Fertiliser_SourceData.Fertiliser_FractionNCommonFertilisers_Data(), Table2[[#Headers],[Fertiliser type f]], 0)</f>
        <v>Monoammonium phosphate (MAP)</v>
      </c>
      <c r="L20" s="10" cm="1">
        <f t="array" ref="L20">Common_InputFunctions.Utility_DisplayArrayInTable(Fertiliser_SourceData.Fertiliser_FractionNCommonFertilisers_Data(), Table2[[#Headers],[Fertiliser type f]], 0)</f>
        <v>0.1</v>
      </c>
      <c r="Q20" s="10" t="str" cm="1">
        <f t="array" ref="Q20">Common_InputFunctions.Utility_DisplayArrayInTable(Fertiliser_SourceData.Fertiliser_FractionUreaCommonFertilisers_Data(), Table28[[#Headers],[Fertiliser type f]], 0)</f>
        <v>Monoammonium phosphate (MAP)</v>
      </c>
      <c r="R20" s="10" cm="1">
        <f t="array" ref="R20">Common_InputFunctions.Utility_DisplayArrayInTable(Fertiliser_SourceData.Fertiliser_FractionUreaCommonFertilisers_Data(), Table28[[#Headers],[Fertiliser type f]], 0)</f>
        <v>0</v>
      </c>
      <c r="V20" s="10" t="str" cm="1">
        <f t="array" ref="V20">Common_InputFunctions.Utility_DisplayArrayInTable(Fertiliser_SourceData.Fertiliser_UreaAmmoniaSourceRegions_Data(),Table_SourceData_Fertiliser_UreaAmmoniaSources[[#Headers],[Source]],0)</f>
        <v>Global</v>
      </c>
    </row>
    <row r="21" spans="1:22" ht="20.100000000000001" customHeight="1" x14ac:dyDescent="0.25">
      <c r="A21" s="16" t="str">
        <f>HYPERLINK("#'Constants - Common'!A1", "Constants - Common")</f>
        <v>Constants - Common</v>
      </c>
      <c r="D21" s="54" t="str" cm="1">
        <f t="array" ref="D21">Common_InputFunctions.Utility_DisplayArrayInTable(Fertiliser_SourceData.Fertiliser_ChemicalCompoundElements_Data(),Table_Fertiliser_ChemicalCompounds[[#Headers],[Fertiliser type f]], 0)</f>
        <v>Diammonium phosphate (DAP)</v>
      </c>
      <c r="E21" s="54" cm="1">
        <f t="array" ref="E21">Common_InputFunctions.Utility_DisplayArrayInTable(Fertiliser_SourceData.Fertiliser_ChemicalCompoundElements_Data(),Table_Fertiliser_ChemicalCompounds[[#Headers],[Fertiliser type f]], 0)</f>
        <v>0.18</v>
      </c>
      <c r="F21" s="54" cm="1">
        <f t="array" ref="F21">Common_InputFunctions.Utility_DisplayArrayInTable(Fertiliser_SourceData.Fertiliser_ChemicalCompoundElements_Data(),Table_Fertiliser_ChemicalCompounds[[#Headers],[Fertiliser type f]], 0)</f>
        <v>0</v>
      </c>
      <c r="G21" s="54" t="str" cm="1">
        <f t="array" ref="G21">Common_InputFunctions.Utility_DisplayArrayInTable(Fertiliser_SourceData.Fertiliser_ChemicalCompoundElements_Data(),Table_Fertiliser_ChemicalCompounds[[#Headers],[Fertiliser type f]], 0)</f>
        <v>Ammonium-based fertilisers</v>
      </c>
      <c r="H21" s="54" t="str" cm="1">
        <f t="array" ref="H21">Common_InputFunctions.Utility_DisplayArrayInTable(Fertiliser_SourceData.Fertiliser_ChemicalCompoundElements_Data(),Table_Fertiliser_ChemicalCompounds[[#Headers],[Fertiliser type f]], 0)</f>
        <v>Diammonium phosphate (DAP)</v>
      </c>
      <c r="I21" s="54" t="str" cm="1">
        <f t="array" ref="I21">Common_InputFunctions.Utility_DisplayArrayInTable(Fertiliser_SourceData.Fertiliser_ChemicalCompoundElements_Data(),Table_Fertiliser_ChemicalCompounds[[#Headers],[Fertiliser type f]], 0)</f>
        <v>VEERG</v>
      </c>
      <c r="K21" s="10" t="str" cm="1">
        <f t="array" ref="K21">Common_InputFunctions.Utility_DisplayArrayInTable(Fertiliser_SourceData.Fertiliser_FractionNCommonFertilisers_Data(), Table2[[#Headers],[Fertiliser type f]], 0)</f>
        <v>Diammonium phosphate (DAP)</v>
      </c>
      <c r="L21" s="10" cm="1">
        <f t="array" ref="L21">Common_InputFunctions.Utility_DisplayArrayInTable(Fertiliser_SourceData.Fertiliser_FractionNCommonFertilisers_Data(), Table2[[#Headers],[Fertiliser type f]], 0)</f>
        <v>0.18</v>
      </c>
      <c r="Q21" s="10" t="str" cm="1">
        <f t="array" ref="Q21">Common_InputFunctions.Utility_DisplayArrayInTable(Fertiliser_SourceData.Fertiliser_FractionUreaCommonFertilisers_Data(), Table28[[#Headers],[Fertiliser type f]], 0)</f>
        <v>Diammonium phosphate (DAP)</v>
      </c>
      <c r="R21" s="10" cm="1">
        <f t="array" ref="R21">Common_InputFunctions.Utility_DisplayArrayInTable(Fertiliser_SourceData.Fertiliser_FractionUreaCommonFertilisers_Data(), Table28[[#Headers],[Fertiliser type f]], 0)</f>
        <v>0</v>
      </c>
      <c r="V21" s="10" t="str" cm="1">
        <f t="array" ref="V21">Common_InputFunctions.Utility_DisplayArrayInTable(Fertiliser_SourceData.Fertiliser_UreaAmmoniaSourceRegions_Data(),Table_SourceData_Fertiliser_UreaAmmoniaSources[[#Headers],[Source]],0)</f>
        <v>Canada</v>
      </c>
    </row>
    <row r="22" spans="1:22" ht="20.100000000000001" customHeight="1" x14ac:dyDescent="0.25">
      <c r="D22" s="54" t="str" cm="1">
        <f t="array" ref="D22">Common_InputFunctions.Utility_DisplayArrayInTable(Fertiliser_SourceData.Fertiliser_ChemicalCompoundElements_Data(),Table_Fertiliser_ChemicalCompounds[[#Headers],[Fertiliser type f]], 0)</f>
        <v>Urea</v>
      </c>
      <c r="E22" s="54" cm="1">
        <f t="array" ref="E22">Common_InputFunctions.Utility_DisplayArrayInTable(Fertiliser_SourceData.Fertiliser_ChemicalCompoundElements_Data(),Table_Fertiliser_ChemicalCompounds[[#Headers],[Fertiliser type f]], 0)</f>
        <v>0.46</v>
      </c>
      <c r="F22" s="54" cm="1">
        <f t="array" ref="F22">Common_InputFunctions.Utility_DisplayArrayInTable(Fertiliser_SourceData.Fertiliser_ChemicalCompoundElements_Data(),Table_Fertiliser_ChemicalCompounds[[#Headers],[Fertiliser type f]], 0)</f>
        <v>1</v>
      </c>
      <c r="G22" s="54" t="str" cm="1">
        <f t="array" ref="G22">Common_InputFunctions.Utility_DisplayArrayInTable(Fertiliser_SourceData.Fertiliser_ChemicalCompoundElements_Data(),Table_Fertiliser_ChemicalCompounds[[#Headers],[Fertiliser type f]], 0)</f>
        <v>Urea-based fertilisers</v>
      </c>
      <c r="H22" s="54" t="str" cm="1">
        <f t="array" ref="H22">Common_InputFunctions.Utility_DisplayArrayInTable(Fertiliser_SourceData.Fertiliser_ChemicalCompoundElements_Data(),Table_Fertiliser_ChemicalCompounds[[#Headers],[Fertiliser type f]], 0)</f>
        <v>Urea</v>
      </c>
      <c r="I22" s="54" t="str" cm="1">
        <f t="array" ref="I22">Common_InputFunctions.Utility_DisplayArrayInTable(Fertiliser_SourceData.Fertiliser_ChemicalCompoundElements_Data(),Table_Fertiliser_ChemicalCompounds[[#Headers],[Fertiliser type f]], 0)</f>
        <v>VEERG</v>
      </c>
      <c r="K22" s="10" t="str" cm="1">
        <f t="array" ref="K22">Common_InputFunctions.Utility_DisplayArrayInTable(Fertiliser_SourceData.Fertiliser_FractionNCommonFertilisers_Data(), Table2[[#Headers],[Fertiliser type f]], 0)</f>
        <v>Urea</v>
      </c>
      <c r="L22" s="10" cm="1">
        <f t="array" ref="L22">Common_InputFunctions.Utility_DisplayArrayInTable(Fertiliser_SourceData.Fertiliser_FractionNCommonFertilisers_Data(), Table2[[#Headers],[Fertiliser type f]], 0)</f>
        <v>0.46</v>
      </c>
      <c r="Q22" s="10" t="str" cm="1">
        <f t="array" ref="Q22">Common_InputFunctions.Utility_DisplayArrayInTable(Fertiliser_SourceData.Fertiliser_FractionUreaCommonFertilisers_Data(), Table28[[#Headers],[Fertiliser type f]], 0)</f>
        <v>Urea</v>
      </c>
      <c r="R22" s="10" cm="1">
        <f t="array" ref="R22">Common_InputFunctions.Utility_DisplayArrayInTable(Fertiliser_SourceData.Fertiliser_FractionUreaCommonFertilisers_Data(), Table28[[#Headers],[Fertiliser type f]], 0)</f>
        <v>1</v>
      </c>
      <c r="V22" s="10" t="str" cm="1">
        <f t="array" ref="V22">Common_InputFunctions.Utility_DisplayArrayInTable(Fertiliser_SourceData.Fertiliser_UreaAmmoniaSourceRegions_Data(),Table_SourceData_Fertiliser_UreaAmmoniaSources[[#Headers],[Source]],0)</f>
        <v>China</v>
      </c>
    </row>
    <row r="23" spans="1:22" ht="20.100000000000001" customHeight="1" x14ac:dyDescent="0.25">
      <c r="A23" s="16"/>
      <c r="D23" s="54" t="str" cm="1">
        <f t="array" ref="D23">Common_InputFunctions.Utility_DisplayArrayInTable(Fertiliser_SourceData.Fertiliser_ChemicalCompoundElements_Data(),Table_Fertiliser_ChemicalCompounds[[#Headers],[Fertiliser type f]], 0)</f>
        <v>Sulphate of ammonia (SOA)</v>
      </c>
      <c r="E23" s="54" cm="1">
        <f t="array" ref="E23">Common_InputFunctions.Utility_DisplayArrayInTable(Fertiliser_SourceData.Fertiliser_ChemicalCompoundElements_Data(),Table_Fertiliser_ChemicalCompounds[[#Headers],[Fertiliser type f]], 0)</f>
        <v>0.21</v>
      </c>
      <c r="F23" s="54" cm="1">
        <f t="array" ref="F23">Common_InputFunctions.Utility_DisplayArrayInTable(Fertiliser_SourceData.Fertiliser_ChemicalCompoundElements_Data(),Table_Fertiliser_ChemicalCompounds[[#Headers],[Fertiliser type f]], 0)</f>
        <v>0</v>
      </c>
      <c r="G23" s="54" t="str" cm="1">
        <f t="array" ref="G23">Common_InputFunctions.Utility_DisplayArrayInTable(Fertiliser_SourceData.Fertiliser_ChemicalCompoundElements_Data(),Table_Fertiliser_ChemicalCompounds[[#Headers],[Fertiliser type f]], 0)</f>
        <v>Ammonium-based fertilisers</v>
      </c>
      <c r="H23" s="54" t="str" cm="1">
        <f t="array" ref="H23">Common_InputFunctions.Utility_DisplayArrayInTable(Fertiliser_SourceData.Fertiliser_ChemicalCompoundElements_Data(),Table_Fertiliser_ChemicalCompounds[[#Headers],[Fertiliser type f]], 0)</f>
        <v>Sulphate of ammonia (SOA)</v>
      </c>
      <c r="I23" s="54" t="str" cm="1">
        <f t="array" ref="I23">Common_InputFunctions.Utility_DisplayArrayInTable(Fertiliser_SourceData.Fertiliser_ChemicalCompoundElements_Data(),Table_Fertiliser_ChemicalCompounds[[#Headers],[Fertiliser type f]], 0)</f>
        <v>VEERG</v>
      </c>
      <c r="K23" s="10" t="str" cm="1">
        <f t="array" ref="K23">Common_InputFunctions.Utility_DisplayArrayInTable(Fertiliser_SourceData.Fertiliser_FractionNCommonFertilisers_Data(), Table2[[#Headers],[Fertiliser type f]], 0)</f>
        <v>Sulphate of ammonia (SOA)</v>
      </c>
      <c r="L23" s="10" cm="1">
        <f t="array" ref="L23">Common_InputFunctions.Utility_DisplayArrayInTable(Fertiliser_SourceData.Fertiliser_FractionNCommonFertilisers_Data(), Table2[[#Headers],[Fertiliser type f]], 0)</f>
        <v>0.21</v>
      </c>
      <c r="Q23" s="10" t="str" cm="1">
        <f t="array" ref="Q23">Common_InputFunctions.Utility_DisplayArrayInTable(Fertiliser_SourceData.Fertiliser_FractionUreaCommonFertilisers_Data(), Table28[[#Headers],[Fertiliser type f]], 0)</f>
        <v>Sulphate of ammonia (SOA)</v>
      </c>
      <c r="R23" s="10" cm="1">
        <f t="array" ref="R23">Common_InputFunctions.Utility_DisplayArrayInTable(Fertiliser_SourceData.Fertiliser_FractionUreaCommonFertilisers_Data(), Table28[[#Headers],[Fertiliser type f]], 0)</f>
        <v>0</v>
      </c>
      <c r="V23" s="10" t="str" cm="1">
        <f t="array" ref="V23">Common_InputFunctions.Utility_DisplayArrayInTable(Fertiliser_SourceData.Fertiliser_UreaAmmoniaSourceRegions_Data(),Table_SourceData_Fertiliser_UreaAmmoniaSources[[#Headers],[Source]],0)</f>
        <v>Yemen</v>
      </c>
    </row>
    <row r="24" spans="1:22" ht="20.100000000000001" customHeight="1" x14ac:dyDescent="0.25">
      <c r="D24" s="54" t="str" cm="1">
        <f t="array" ref="D24">Common_InputFunctions.Utility_DisplayArrayInTable(Fertiliser_SourceData.Fertiliser_ChemicalCompoundElements_Data(),Table_Fertiliser_ChemicalCompounds[[#Headers],[Fertiliser type f]], 0)</f>
        <v>Urea-ammonium nitrate (UAN)</v>
      </c>
      <c r="E24" s="54" cm="1">
        <f t="array" ref="E24">Common_InputFunctions.Utility_DisplayArrayInTable(Fertiliser_SourceData.Fertiliser_ChemicalCompoundElements_Data(),Table_Fertiliser_ChemicalCompounds[[#Headers],[Fertiliser type f]], 0)</f>
        <v>0.32</v>
      </c>
      <c r="F24" s="54" cm="1">
        <f t="array" ref="F24">Common_InputFunctions.Utility_DisplayArrayInTable(Fertiliser_SourceData.Fertiliser_ChemicalCompoundElements_Data(),Table_Fertiliser_ChemicalCompounds[[#Headers],[Fertiliser type f]], 0)</f>
        <v>0.35</v>
      </c>
      <c r="G24" s="54" t="str" cm="1">
        <f t="array" ref="G24">Common_InputFunctions.Utility_DisplayArrayInTable(Fertiliser_SourceData.Fertiliser_ChemicalCompoundElements_Data(),Table_Fertiliser_ChemicalCompounds[[#Headers],[Fertiliser type f]], 0)</f>
        <v>Urea-based fertilisers</v>
      </c>
      <c r="H24" s="54" t="str" cm="1">
        <f t="array" ref="H24">Common_InputFunctions.Utility_DisplayArrayInTable(Fertiliser_SourceData.Fertiliser_ChemicalCompoundElements_Data(),Table_Fertiliser_ChemicalCompounds[[#Headers],[Fertiliser type f]], 0)</f>
        <v>Urea-ammonium nitrate (UAN)</v>
      </c>
      <c r="I24" s="54" t="str" cm="1">
        <f t="array" ref="I24">Common_InputFunctions.Utility_DisplayArrayInTable(Fertiliser_SourceData.Fertiliser_ChemicalCompoundElements_Data(),Table_Fertiliser_ChemicalCompounds[[#Headers],[Fertiliser type f]], 0)</f>
        <v>VEERG</v>
      </c>
      <c r="K24" s="10" t="str" cm="1">
        <f t="array" ref="K24">Common_InputFunctions.Utility_DisplayArrayInTable(Fertiliser_SourceData.Fertiliser_FractionNCommonFertilisers_Data(), Table2[[#Headers],[Fertiliser type f]], 0)</f>
        <v>Urea-ammonium nitrate (UAN)</v>
      </c>
      <c r="L24" s="10" cm="1">
        <f t="array" ref="L24">Common_InputFunctions.Utility_DisplayArrayInTable(Fertiliser_SourceData.Fertiliser_FractionNCommonFertilisers_Data(), Table2[[#Headers],[Fertiliser type f]], 0)</f>
        <v>0.32</v>
      </c>
      <c r="Q24" s="10" t="str" cm="1">
        <f t="array" ref="Q24">Common_InputFunctions.Utility_DisplayArrayInTable(Fertiliser_SourceData.Fertiliser_FractionUreaCommonFertilisers_Data(), Table28[[#Headers],[Fertiliser type f]], 0)</f>
        <v>Urea-ammonium nitrate (UAN)</v>
      </c>
      <c r="R24" s="10" cm="1">
        <f t="array" ref="R24">Common_InputFunctions.Utility_DisplayArrayInTable(Fertiliser_SourceData.Fertiliser_FractionUreaCommonFertilisers_Data(), Table28[[#Headers],[Fertiliser type f]], 0)</f>
        <v>0.35</v>
      </c>
    </row>
    <row r="25" spans="1:22" ht="20.100000000000001" customHeight="1" x14ac:dyDescent="0.25">
      <c r="D25" s="54" t="str" cm="1">
        <f t="array" ref="D25">Common_InputFunctions.Utility_DisplayArrayInTable(Fertiliser_SourceData.Fertiliser_ChemicalCompoundElements_Data(),Table_Fertiliser_ChemicalCompounds[[#Headers],[Fertiliser type f]], 0)</f>
        <v>Ammonium nitrate (AN)</v>
      </c>
      <c r="E25" s="54" cm="1">
        <f t="array" ref="E25">Common_InputFunctions.Utility_DisplayArrayInTable(Fertiliser_SourceData.Fertiliser_ChemicalCompoundElements_Data(),Table_Fertiliser_ChemicalCompounds[[#Headers],[Fertiliser type f]], 0)</f>
        <v>0.33700000000000002</v>
      </c>
      <c r="F25" s="54" cm="1">
        <f t="array" ref="F25">Common_InputFunctions.Utility_DisplayArrayInTable(Fertiliser_SourceData.Fertiliser_ChemicalCompoundElements_Data(),Table_Fertiliser_ChemicalCompounds[[#Headers],[Fertiliser type f]], 0)</f>
        <v>0</v>
      </c>
      <c r="G25" s="54" t="str" cm="1">
        <f t="array" ref="G25">Common_InputFunctions.Utility_DisplayArrayInTable(Fertiliser_SourceData.Fertiliser_ChemicalCompoundElements_Data(),Table_Fertiliser_ChemicalCompounds[[#Headers],[Fertiliser type f]], 0)</f>
        <v>Ammonium-nitrate based fertilisers</v>
      </c>
      <c r="H25" s="54" t="str" cm="1">
        <f t="array" ref="H25">Common_InputFunctions.Utility_DisplayArrayInTable(Fertiliser_SourceData.Fertiliser_ChemicalCompoundElements_Data(),Table_Fertiliser_ChemicalCompounds[[#Headers],[Fertiliser type f]], 0)</f>
        <v>Ammonium nitrate (AN)</v>
      </c>
      <c r="I25" s="54" t="str" cm="1">
        <f t="array" ref="I25">Common_InputFunctions.Utility_DisplayArrayInTable(Fertiliser_SourceData.Fertiliser_ChemicalCompoundElements_Data(),Table_Fertiliser_ChemicalCompounds[[#Headers],[Fertiliser type f]], 0)</f>
        <v>VEERG</v>
      </c>
      <c r="K25" s="10" t="str" cm="1">
        <f t="array" ref="K25">Common_InputFunctions.Utility_DisplayArrayInTable(Fertiliser_SourceData.Fertiliser_FractionNCommonFertilisers_Data(), Table2[[#Headers],[Fertiliser type f]], 0)</f>
        <v>Ammonium nitrate (AN)</v>
      </c>
      <c r="L25" s="10" cm="1">
        <f t="array" ref="L25">Common_InputFunctions.Utility_DisplayArrayInTable(Fertiliser_SourceData.Fertiliser_FractionNCommonFertilisers_Data(), Table2[[#Headers],[Fertiliser type f]], 0)</f>
        <v>0.33700000000000002</v>
      </c>
      <c r="Q25" s="10" t="str" cm="1">
        <f t="array" ref="Q25">Common_InputFunctions.Utility_DisplayArrayInTable(Fertiliser_SourceData.Fertiliser_FractionUreaCommonFertilisers_Data(), Table28[[#Headers],[Fertiliser type f]], 0)</f>
        <v>Ammonium nitrate (AN)</v>
      </c>
      <c r="R25" s="10" cm="1">
        <f t="array" ref="R25">Common_InputFunctions.Utility_DisplayArrayInTable(Fertiliser_SourceData.Fertiliser_FractionUreaCommonFertilisers_Data(), Table28[[#Headers],[Fertiliser type f]], 0)</f>
        <v>0</v>
      </c>
    </row>
    <row r="26" spans="1:22" ht="20.100000000000001" customHeight="1" x14ac:dyDescent="0.25">
      <c r="D26" s="54" t="str" cm="1">
        <f t="array" ref="D26">Common_InputFunctions.Utility_DisplayArrayInTable(Fertiliser_SourceData.Fertiliser_ChemicalCompoundElements_Data(),Table_Fertiliser_ChemicalCompounds[[#Headers],[Fertiliser type f]], 0)</f>
        <v>Calcium ammonium nitrate (CAN)</v>
      </c>
      <c r="E26" s="54" cm="1">
        <f t="array" ref="E26">Common_InputFunctions.Utility_DisplayArrayInTable(Fertiliser_SourceData.Fertiliser_ChemicalCompoundElements_Data(),Table_Fertiliser_ChemicalCompounds[[#Headers],[Fertiliser type f]], 0)</f>
        <v>0.27</v>
      </c>
      <c r="F26" s="54" cm="1">
        <f t="array" ref="F26">Common_InputFunctions.Utility_DisplayArrayInTable(Fertiliser_SourceData.Fertiliser_ChemicalCompoundElements_Data(),Table_Fertiliser_ChemicalCompounds[[#Headers],[Fertiliser type f]], 0)</f>
        <v>0</v>
      </c>
      <c r="G26" s="54" t="str" cm="1">
        <f t="array" ref="G26">Common_InputFunctions.Utility_DisplayArrayInTable(Fertiliser_SourceData.Fertiliser_ChemicalCompoundElements_Data(),Table_Fertiliser_ChemicalCompounds[[#Headers],[Fertiliser type f]], 0)</f>
        <v>Ammonium-nitrate based fertilisers</v>
      </c>
      <c r="H26" s="54" t="str" cm="1">
        <f t="array" ref="H26">Common_InputFunctions.Utility_DisplayArrayInTable(Fertiliser_SourceData.Fertiliser_ChemicalCompoundElements_Data(),Table_Fertiliser_ChemicalCompounds[[#Headers],[Fertiliser type f]], 0)</f>
        <v>Calcium ammonium nitrate (CAN)</v>
      </c>
      <c r="I26" s="54" t="str" cm="1">
        <f t="array" ref="I26">Common_InputFunctions.Utility_DisplayArrayInTable(Fertiliser_SourceData.Fertiliser_ChemicalCompoundElements_Data(),Table_Fertiliser_ChemicalCompounds[[#Headers],[Fertiliser type f]], 0)</f>
        <v>VEERG</v>
      </c>
      <c r="K26" s="10" t="str" cm="1">
        <f t="array" ref="K26">Common_InputFunctions.Utility_DisplayArrayInTable(Fertiliser_SourceData.Fertiliser_FractionNCommonFertilisers_Data(), Table2[[#Headers],[Fertiliser type f]], 0)</f>
        <v>Calcium ammonium nitrate (CAN)</v>
      </c>
      <c r="L26" s="10" cm="1">
        <f t="array" ref="L26">Common_InputFunctions.Utility_DisplayArrayInTable(Fertiliser_SourceData.Fertiliser_FractionNCommonFertilisers_Data(), Table2[[#Headers],[Fertiliser type f]], 0)</f>
        <v>0.27</v>
      </c>
      <c r="Q26" s="10" t="str" cm="1">
        <f t="array" ref="Q26">Common_InputFunctions.Utility_DisplayArrayInTable(Fertiliser_SourceData.Fertiliser_FractionUreaCommonFertilisers_Data(), Table28[[#Headers],[Fertiliser type f]], 0)</f>
        <v>Calcium ammonium nitrate (CAN)</v>
      </c>
      <c r="R26" s="10" cm="1">
        <f t="array" ref="R26">Common_InputFunctions.Utility_DisplayArrayInTable(Fertiliser_SourceData.Fertiliser_FractionUreaCommonFertilisers_Data(), Table28[[#Headers],[Fertiliser type f]], 0)</f>
        <v>0</v>
      </c>
    </row>
    <row r="27" spans="1:22" ht="20.100000000000001" customHeight="1" x14ac:dyDescent="0.25">
      <c r="D27" s="54" t="str" cm="1">
        <f t="array" ref="D27">Common_InputFunctions.Utility_DisplayArrayInTable(Fertiliser_SourceData.Fertiliser_ChemicalCompoundElements_Data(),Table_Fertiliser_ChemicalCompounds[[#Headers],[Fertiliser type f]], 0)</f>
        <v>Nitrogen - Ammoniacal</v>
      </c>
      <c r="E27" s="54" cm="1">
        <f t="array" ref="E27">Common_InputFunctions.Utility_DisplayArrayInTable(Fertiliser_SourceData.Fertiliser_ChemicalCompoundElements_Data(),Table_Fertiliser_ChemicalCompounds[[#Headers],[Fertiliser type f]], 0)</f>
        <v>1</v>
      </c>
      <c r="F27" s="54" cm="1">
        <f t="array" ref="F27">Common_InputFunctions.Utility_DisplayArrayInTable(Fertiliser_SourceData.Fertiliser_ChemicalCompoundElements_Data(),Table_Fertiliser_ChemicalCompounds[[#Headers],[Fertiliser type f]], 0)</f>
        <v>0</v>
      </c>
      <c r="G27" s="54" t="str" cm="1">
        <f t="array" ref="G27">Common_InputFunctions.Utility_DisplayArrayInTable(Fertiliser_SourceData.Fertiliser_ChemicalCompoundElements_Data(),Table_Fertiliser_ChemicalCompounds[[#Headers],[Fertiliser type f]], 0)</f>
        <v>Ammonium-based fertilisers</v>
      </c>
      <c r="H27" s="54" t="str" cm="1">
        <f t="array" ref="H27">Common_InputFunctions.Utility_DisplayArrayInTable(Fertiliser_SourceData.Fertiliser_ChemicalCompoundElements_Data(),Table_Fertiliser_ChemicalCompounds[[#Headers],[Fertiliser type f]], 0)</f>
        <v>Nitrogen - Ammoniacal</v>
      </c>
      <c r="I27" s="54" t="str" cm="1">
        <f t="array" ref="I27">Common_InputFunctions.Utility_DisplayArrayInTable(Fertiliser_SourceData.Fertiliser_ChemicalCompoundElements_Data(),Table_Fertiliser_ChemicalCompounds[[#Headers],[Fertiliser type f]], 0)</f>
        <v>LifeCycles</v>
      </c>
      <c r="K27" s="10" t="str" cm="1">
        <f t="array" ref="K27">Common_InputFunctions.Utility_DisplayArrayInTable(Fertiliser_SourceData.Fertiliser_FractionNCommonFertilisers_Data(), Table2[[#Headers],[Fertiliser type f]], 0)</f>
        <v>Ammonium Sulfate</v>
      </c>
      <c r="L27" s="10" cm="1">
        <f t="array" ref="L27">Common_InputFunctions.Utility_DisplayArrayInTable(Fertiliser_SourceData.Fertiliser_FractionNCommonFertilisers_Data(), Table2[[#Headers],[Fertiliser type f]], 0)</f>
        <v>0.21</v>
      </c>
      <c r="Q27" s="10" t="str" cm="1">
        <f t="array" ref="Q27">Common_InputFunctions.Utility_DisplayArrayInTable(Fertiliser_SourceData.Fertiliser_FractionUreaCommonFertilisers_Data(), Table28[[#Headers],[Fertiliser type f]], 0)</f>
        <v>Ammonium Sulfate</v>
      </c>
      <c r="R27" s="10" cm="1">
        <f t="array" ref="R27">Common_InputFunctions.Utility_DisplayArrayInTable(Fertiliser_SourceData.Fertiliser_FractionUreaCommonFertilisers_Data(), Table28[[#Headers],[Fertiliser type f]], 0)</f>
        <v>0</v>
      </c>
    </row>
    <row r="28" spans="1:22" ht="20.100000000000001" customHeight="1" x14ac:dyDescent="0.25">
      <c r="D28" s="54" t="str" cm="1">
        <f t="array" ref="D28">Common_InputFunctions.Utility_DisplayArrayInTable(Fertiliser_SourceData.Fertiliser_ChemicalCompoundElements_Data(),Table_Fertiliser_ChemicalCompounds[[#Headers],[Fertiliser type f]], 0)</f>
        <v>Nitrogen - Nitrate</v>
      </c>
      <c r="E28" s="54" cm="1">
        <f t="array" ref="E28">Common_InputFunctions.Utility_DisplayArrayInTable(Fertiliser_SourceData.Fertiliser_ChemicalCompoundElements_Data(),Table_Fertiliser_ChemicalCompounds[[#Headers],[Fertiliser type f]], 0)</f>
        <v>1</v>
      </c>
      <c r="F28" s="54" cm="1">
        <f t="array" ref="F28">Common_InputFunctions.Utility_DisplayArrayInTable(Fertiliser_SourceData.Fertiliser_ChemicalCompoundElements_Data(),Table_Fertiliser_ChemicalCompounds[[#Headers],[Fertiliser type f]], 0)</f>
        <v>0</v>
      </c>
      <c r="G28" s="54" t="str" cm="1">
        <f t="array" ref="G28">Common_InputFunctions.Utility_DisplayArrayInTable(Fertiliser_SourceData.Fertiliser_ChemicalCompoundElements_Data(),Table_Fertiliser_ChemicalCompounds[[#Headers],[Fertiliser type f]], 0)</f>
        <v>Nitrate-based fertilisers</v>
      </c>
      <c r="H28" s="54" t="str" cm="1">
        <f t="array" ref="H28">Common_InputFunctions.Utility_DisplayArrayInTable(Fertiliser_SourceData.Fertiliser_ChemicalCompoundElements_Data(),Table_Fertiliser_ChemicalCompounds[[#Headers],[Fertiliser type f]], 0)</f>
        <v>Nitrogen from Nitrate</v>
      </c>
      <c r="I28" s="54" t="str" cm="1">
        <f t="array" ref="I28">Common_InputFunctions.Utility_DisplayArrayInTable(Fertiliser_SourceData.Fertiliser_ChemicalCompoundElements_Data(),Table_Fertiliser_ChemicalCompounds[[#Headers],[Fertiliser type f]], 0)</f>
        <v>LifeCycles</v>
      </c>
      <c r="K28" s="10" t="str" cm="1">
        <f t="array" ref="K28">Common_InputFunctions.Utility_DisplayArrayInTable(Fertiliser_SourceData.Fertiliser_FractionNCommonFertilisers_Data(), Table2[[#Headers],[Fertiliser type f]], 0)</f>
        <v>Calcium Nitrate</v>
      </c>
      <c r="L28" s="10" cm="1">
        <f t="array" ref="L28">Common_InputFunctions.Utility_DisplayArrayInTable(Fertiliser_SourceData.Fertiliser_FractionNCommonFertilisers_Data(), Table2[[#Headers],[Fertiliser type f]], 0)</f>
        <v>0.155</v>
      </c>
      <c r="Q28" s="10" t="str" cm="1">
        <f t="array" ref="Q28">Common_InputFunctions.Utility_DisplayArrayInTable(Fertiliser_SourceData.Fertiliser_FractionUreaCommonFertilisers_Data(), Table28[[#Headers],[Fertiliser type f]], 0)</f>
        <v>Calcium Nitrate</v>
      </c>
      <c r="R28" s="10" cm="1">
        <f t="array" ref="R28">Common_InputFunctions.Utility_DisplayArrayInTable(Fertiliser_SourceData.Fertiliser_FractionUreaCommonFertilisers_Data(), Table28[[#Headers],[Fertiliser type f]], 0)</f>
        <v>0</v>
      </c>
    </row>
    <row r="29" spans="1:22" ht="20.100000000000001" customHeight="1" x14ac:dyDescent="0.25">
      <c r="D29" s="54" t="str" cm="1">
        <f t="array" ref="D29">Common_InputFunctions.Utility_DisplayArrayInTable(Fertiliser_SourceData.Fertiliser_ChemicalCompoundElements_Data(),Table_Fertiliser_ChemicalCompounds[[#Headers],[Fertiliser type f]], 0)</f>
        <v>Nitrogen - Generic</v>
      </c>
      <c r="E29" s="54" cm="1">
        <f t="array" ref="E29">Common_InputFunctions.Utility_DisplayArrayInTable(Fertiliser_SourceData.Fertiliser_ChemicalCompoundElements_Data(),Table_Fertiliser_ChemicalCompounds[[#Headers],[Fertiliser type f]], 0)</f>
        <v>1</v>
      </c>
      <c r="F29" s="54" cm="1">
        <f t="array" ref="F29">Common_InputFunctions.Utility_DisplayArrayInTable(Fertiliser_SourceData.Fertiliser_ChemicalCompoundElements_Data(),Table_Fertiliser_ChemicalCompounds[[#Headers],[Fertiliser type f]], 0)</f>
        <v>0</v>
      </c>
      <c r="G29" s="54" t="str" cm="1">
        <f t="array" ref="G29">Common_InputFunctions.Utility_DisplayArrayInTable(Fertiliser_SourceData.Fertiliser_ChemicalCompoundElements_Data(),Table_Fertiliser_ChemicalCompounds[[#Headers],[Fertiliser type f]], 0)</f>
        <v>Urea-based fertilisers</v>
      </c>
      <c r="H29" s="54" t="str" cm="1">
        <f t="array" ref="H29">Common_InputFunctions.Utility_DisplayArrayInTable(Fertiliser_SourceData.Fertiliser_ChemicalCompoundElements_Data(),Table_Fertiliser_ChemicalCompounds[[#Headers],[Fertiliser type f]], 0)</f>
        <v>Nitrogen from fertiliser</v>
      </c>
      <c r="I29" s="54" t="str" cm="1">
        <f t="array" ref="I29">Common_InputFunctions.Utility_DisplayArrayInTable(Fertiliser_SourceData.Fertiliser_ChemicalCompoundElements_Data(),Table_Fertiliser_ChemicalCompounds[[#Headers],[Fertiliser type f]], 0)</f>
        <v>LifeCycles</v>
      </c>
    </row>
    <row r="30" spans="1:22" ht="20.100000000000001" customHeight="1" x14ac:dyDescent="0.25">
      <c r="D30" s="54" t="str" cm="1">
        <f t="array" ref="D30">Common_InputFunctions.Utility_DisplayArrayInTable(Fertiliser_SourceData.Fertiliser_ChemicalCompoundElements_Data(),Table_Fertiliser_ChemicalCompounds[[#Headers],[Fertiliser type f]], 0)</f>
        <v>Phosphorus - Generic</v>
      </c>
      <c r="E30" s="54" cm="1">
        <f t="array" ref="E30">Common_InputFunctions.Utility_DisplayArrayInTable(Fertiliser_SourceData.Fertiliser_ChemicalCompoundElements_Data(),Table_Fertiliser_ChemicalCompounds[[#Headers],[Fertiliser type f]], 0)</f>
        <v>0</v>
      </c>
      <c r="F30" s="54" cm="1">
        <f t="array" ref="F30">Common_InputFunctions.Utility_DisplayArrayInTable(Fertiliser_SourceData.Fertiliser_ChemicalCompoundElements_Data(),Table_Fertiliser_ChemicalCompounds[[#Headers],[Fertiliser type f]], 0)</f>
        <v>0</v>
      </c>
      <c r="G30" s="54" t="str" cm="1">
        <f t="array" ref="G30">Common_InputFunctions.Utility_DisplayArrayInTable(Fertiliser_SourceData.Fertiliser_ChemicalCompoundElements_Data(),Table_Fertiliser_ChemicalCompounds[[#Headers],[Fertiliser type f]], 0)</f>
        <v>Other fertilisers</v>
      </c>
      <c r="H30" s="54" t="str" cm="1">
        <f t="array" ref="H30">Common_InputFunctions.Utility_DisplayArrayInTable(Fertiliser_SourceData.Fertiliser_ChemicalCompoundElements_Data(),Table_Fertiliser_ChemicalCompounds[[#Headers],[Fertiliser type f]], 0)</f>
        <v>Phosphorus from fertiliser</v>
      </c>
      <c r="I30" s="54" t="str" cm="1">
        <f t="array" ref="I30">Common_InputFunctions.Utility_DisplayArrayInTable(Fertiliser_SourceData.Fertiliser_ChemicalCompoundElements_Data(),Table_Fertiliser_ChemicalCompounds[[#Headers],[Fertiliser type f]], 0)</f>
        <v>LifeCycles</v>
      </c>
    </row>
    <row r="31" spans="1:22" ht="20.100000000000001" customHeight="1" x14ac:dyDescent="0.25">
      <c r="D31" s="54" t="str" cm="1">
        <f t="array" ref="D31">Common_InputFunctions.Utility_DisplayArrayInTable(Fertiliser_SourceData.Fertiliser_ChemicalCompoundElements_Data(),Table_Fertiliser_ChemicalCompounds[[#Headers],[Fertiliser type f]], 0)</f>
        <v>Potassium - Generic</v>
      </c>
      <c r="E31" s="54" cm="1">
        <f t="array" ref="E31">Common_InputFunctions.Utility_DisplayArrayInTable(Fertiliser_SourceData.Fertiliser_ChemicalCompoundElements_Data(),Table_Fertiliser_ChemicalCompounds[[#Headers],[Fertiliser type f]], 0)</f>
        <v>0</v>
      </c>
      <c r="F31" s="54" cm="1">
        <f t="array" ref="F31">Common_InputFunctions.Utility_DisplayArrayInTable(Fertiliser_SourceData.Fertiliser_ChemicalCompoundElements_Data(),Table_Fertiliser_ChemicalCompounds[[#Headers],[Fertiliser type f]], 0)</f>
        <v>0</v>
      </c>
      <c r="G31" s="54" t="str" cm="1">
        <f t="array" ref="G31">Common_InputFunctions.Utility_DisplayArrayInTable(Fertiliser_SourceData.Fertiliser_ChemicalCompoundElements_Data(),Table_Fertiliser_ChemicalCompounds[[#Headers],[Fertiliser type f]], 0)</f>
        <v>Other fertilisers</v>
      </c>
      <c r="H31" s="54" t="str" cm="1">
        <f t="array" ref="H31">Common_InputFunctions.Utility_DisplayArrayInTable(Fertiliser_SourceData.Fertiliser_ChemicalCompoundElements_Data(),Table_Fertiliser_ChemicalCompounds[[#Headers],[Fertiliser type f]], 0)</f>
        <v>Potassium from fertiliser</v>
      </c>
      <c r="I31" s="54" t="str" cm="1">
        <f t="array" ref="I31">Common_InputFunctions.Utility_DisplayArrayInTable(Fertiliser_SourceData.Fertiliser_ChemicalCompoundElements_Data(),Table_Fertiliser_ChemicalCompounds[[#Headers],[Fertiliser type f]], 0)</f>
        <v>LifeCycles</v>
      </c>
    </row>
    <row r="32" spans="1:22" ht="20.100000000000001" customHeight="1" x14ac:dyDescent="0.25">
      <c r="D32" s="54" t="str" cm="1">
        <f t="array" ref="D32">Common_InputFunctions.Utility_DisplayArrayInTable(Fertiliser_SourceData.Fertiliser_ChemicalCompoundElements_Data(),Table_Fertiliser_ChemicalCompounds[[#Headers],[Fertiliser type f]], 0)</f>
        <v>Sulfur - Generic</v>
      </c>
      <c r="E32" s="54" cm="1">
        <f t="array" ref="E32">Common_InputFunctions.Utility_DisplayArrayInTable(Fertiliser_SourceData.Fertiliser_ChemicalCompoundElements_Data(),Table_Fertiliser_ChemicalCompounds[[#Headers],[Fertiliser type f]], 0)</f>
        <v>0</v>
      </c>
      <c r="F32" s="54" cm="1">
        <f t="array" ref="F32">Common_InputFunctions.Utility_DisplayArrayInTable(Fertiliser_SourceData.Fertiliser_ChemicalCompoundElements_Data(),Table_Fertiliser_ChemicalCompounds[[#Headers],[Fertiliser type f]], 0)</f>
        <v>0</v>
      </c>
      <c r="G32" s="54" t="str" cm="1">
        <f t="array" ref="G32">Common_InputFunctions.Utility_DisplayArrayInTable(Fertiliser_SourceData.Fertiliser_ChemicalCompoundElements_Data(),Table_Fertiliser_ChemicalCompounds[[#Headers],[Fertiliser type f]], 0)</f>
        <v>Other fertilisers</v>
      </c>
      <c r="H32" s="54" t="str" cm="1">
        <f t="array" ref="H32">Common_InputFunctions.Utility_DisplayArrayInTable(Fertiliser_SourceData.Fertiliser_ChemicalCompoundElements_Data(),Table_Fertiliser_ChemicalCompounds[[#Headers],[Fertiliser type f]], 0)</f>
        <v>Sulfur from fertiliser</v>
      </c>
      <c r="I32" s="54" t="str" cm="1">
        <f t="array" ref="I32">Common_InputFunctions.Utility_DisplayArrayInTable(Fertiliser_SourceData.Fertiliser_ChemicalCompoundElements_Data(),Table_Fertiliser_ChemicalCompounds[[#Headers],[Fertiliser type f]], 0)</f>
        <v>LifeCycles</v>
      </c>
    </row>
    <row r="33" spans="4:10" ht="20.100000000000001" customHeight="1" x14ac:dyDescent="0.25">
      <c r="D33" s="54" t="str" cm="1">
        <f t="array" ref="D33">Common_InputFunctions.Utility_DisplayArrayInTable(Fertiliser_SourceData.Fertiliser_ChemicalCompoundElements_Data(),Table_Fertiliser_ChemicalCompounds[[#Headers],[Fertiliser type f]], 0)</f>
        <v>Zinc - Generic</v>
      </c>
      <c r="E33" s="54" cm="1">
        <f t="array" ref="E33">Common_InputFunctions.Utility_DisplayArrayInTable(Fertiliser_SourceData.Fertiliser_ChemicalCompoundElements_Data(),Table_Fertiliser_ChemicalCompounds[[#Headers],[Fertiliser type f]], 0)</f>
        <v>0</v>
      </c>
      <c r="F33" s="54" cm="1">
        <f t="array" ref="F33">Common_InputFunctions.Utility_DisplayArrayInTable(Fertiliser_SourceData.Fertiliser_ChemicalCompoundElements_Data(),Table_Fertiliser_ChemicalCompounds[[#Headers],[Fertiliser type f]], 0)</f>
        <v>0</v>
      </c>
      <c r="G33" s="54" t="str" cm="1">
        <f t="array" ref="G33">Common_InputFunctions.Utility_DisplayArrayInTable(Fertiliser_SourceData.Fertiliser_ChemicalCompoundElements_Data(),Table_Fertiliser_ChemicalCompounds[[#Headers],[Fertiliser type f]], 0)</f>
        <v>Other fertilisers</v>
      </c>
      <c r="H33" s="54" t="str" cm="1">
        <f t="array" ref="H33">Common_InputFunctions.Utility_DisplayArrayInTable(Fertiliser_SourceData.Fertiliser_ChemicalCompoundElements_Data(),Table_Fertiliser_ChemicalCompounds[[#Headers],[Fertiliser type f]], 0)</f>
        <v>Zinc from fertiliser</v>
      </c>
      <c r="I33" s="54" t="str" cm="1">
        <f t="array" ref="I33">Common_InputFunctions.Utility_DisplayArrayInTable(Fertiliser_SourceData.Fertiliser_ChemicalCompoundElements_Data(),Table_Fertiliser_ChemicalCompounds[[#Headers],[Fertiliser type f]], 0)</f>
        <v>LifeCycles</v>
      </c>
    </row>
    <row r="34" spans="4:10" ht="20.100000000000001" customHeight="1" x14ac:dyDescent="0.25">
      <c r="D34" s="54" t="str" cm="1">
        <f t="array" ref="D34">Common_InputFunctions.Utility_DisplayArrayInTable(Fertiliser_SourceData.Fertiliser_ChemicalCompoundElements_Data(),Table_Fertiliser_ChemicalCompounds[[#Headers],[Fertiliser type f]], 0)</f>
        <v>Muriate of potash (MOP)</v>
      </c>
      <c r="E34" s="54" cm="1">
        <f t="array" ref="E34">Common_InputFunctions.Utility_DisplayArrayInTable(Fertiliser_SourceData.Fertiliser_ChemicalCompoundElements_Data(),Table_Fertiliser_ChemicalCompounds[[#Headers],[Fertiliser type f]], 0)</f>
        <v>0</v>
      </c>
      <c r="F34" s="54" cm="1">
        <f t="array" ref="F34">Common_InputFunctions.Utility_DisplayArrayInTable(Fertiliser_SourceData.Fertiliser_ChemicalCompoundElements_Data(),Table_Fertiliser_ChemicalCompounds[[#Headers],[Fertiliser type f]], 0)</f>
        <v>0</v>
      </c>
      <c r="G34" s="54" t="str" cm="1">
        <f t="array" ref="G34">Common_InputFunctions.Utility_DisplayArrayInTable(Fertiliser_SourceData.Fertiliser_ChemicalCompoundElements_Data(),Table_Fertiliser_ChemicalCompounds[[#Headers],[Fertiliser type f]], 0)</f>
        <v>Other fertilisers</v>
      </c>
      <c r="H34" s="54" t="str" cm="1">
        <f t="array" ref="H34">Common_InputFunctions.Utility_DisplayArrayInTable(Fertiliser_SourceData.Fertiliser_ChemicalCompoundElements_Data(),Table_Fertiliser_ChemicalCompounds[[#Headers],[Fertiliser type f]], 0)</f>
        <v>Muriate of potash (MOP)</v>
      </c>
      <c r="I34" s="54" t="str" cm="1">
        <f t="array" ref="I34">Common_InputFunctions.Utility_DisplayArrayInTable(Fertiliser_SourceData.Fertiliser_ChemicalCompoundElements_Data(),Table_Fertiliser_ChemicalCompounds[[#Headers],[Fertiliser type f]], 0)</f>
        <v>LifeCycles</v>
      </c>
    </row>
    <row r="35" spans="4:10" ht="20.100000000000001" customHeight="1" x14ac:dyDescent="0.25">
      <c r="D35" s="54" t="str" cm="1">
        <f t="array" ref="D35">Common_InputFunctions.Utility_DisplayArrayInTable(Fertiliser_SourceData.Fertiliser_ChemicalCompoundElements_Data(),Table_Fertiliser_ChemicalCompounds[[#Headers],[Fertiliser type f]], 0)</f>
        <v>Double superphosphate</v>
      </c>
      <c r="E35" s="54" cm="1">
        <f t="array" ref="E35">Common_InputFunctions.Utility_DisplayArrayInTable(Fertiliser_SourceData.Fertiliser_ChemicalCompoundElements_Data(),Table_Fertiliser_ChemicalCompounds[[#Headers],[Fertiliser type f]], 0)</f>
        <v>0</v>
      </c>
      <c r="F35" s="54" cm="1">
        <f t="array" ref="F35">Common_InputFunctions.Utility_DisplayArrayInTable(Fertiliser_SourceData.Fertiliser_ChemicalCompoundElements_Data(),Table_Fertiliser_ChemicalCompounds[[#Headers],[Fertiliser type f]], 0)</f>
        <v>0</v>
      </c>
      <c r="G35" s="54" t="str" cm="1">
        <f t="array" ref="G35">Common_InputFunctions.Utility_DisplayArrayInTable(Fertiliser_SourceData.Fertiliser_ChemicalCompoundElements_Data(),Table_Fertiliser_ChemicalCompounds[[#Headers],[Fertiliser type f]], 0)</f>
        <v>Other fertilisers</v>
      </c>
      <c r="H35" s="54" t="str" cm="1">
        <f t="array" ref="H35">Common_InputFunctions.Utility_DisplayArrayInTable(Fertiliser_SourceData.Fertiliser_ChemicalCompoundElements_Data(),Table_Fertiliser_ChemicalCompounds[[#Headers],[Fertiliser type f]], 0)</f>
        <v>Double superphosphate</v>
      </c>
      <c r="I35" s="54" t="str" cm="1">
        <f t="array" ref="I35">Common_InputFunctions.Utility_DisplayArrayInTable(Fertiliser_SourceData.Fertiliser_ChemicalCompoundElements_Data(),Table_Fertiliser_ChemicalCompounds[[#Headers],[Fertiliser type f]], 0)</f>
        <v>LifeCycles</v>
      </c>
    </row>
    <row r="36" spans="4:10" ht="20.100000000000001" customHeight="1" x14ac:dyDescent="0.25">
      <c r="D36" s="54" t="str" cm="1">
        <f t="array" ref="D36">Common_InputFunctions.Utility_DisplayArrayInTable(Fertiliser_SourceData.Fertiliser_ChemicalCompoundElements_Data(),Table_Fertiliser_ChemicalCompounds[[#Headers],[Fertiliser type f]], 0)</f>
        <v>Single superphosphate (SSP)</v>
      </c>
      <c r="E36" s="54" cm="1">
        <f t="array" ref="E36">Common_InputFunctions.Utility_DisplayArrayInTable(Fertiliser_SourceData.Fertiliser_ChemicalCompoundElements_Data(),Table_Fertiliser_ChemicalCompounds[[#Headers],[Fertiliser type f]], 0)</f>
        <v>0</v>
      </c>
      <c r="F36" s="54" cm="1">
        <f t="array" ref="F36">Common_InputFunctions.Utility_DisplayArrayInTable(Fertiliser_SourceData.Fertiliser_ChemicalCompoundElements_Data(),Table_Fertiliser_ChemicalCompounds[[#Headers],[Fertiliser type f]], 0)</f>
        <v>0</v>
      </c>
      <c r="G36" s="54" t="str" cm="1">
        <f t="array" ref="G36">Common_InputFunctions.Utility_DisplayArrayInTable(Fertiliser_SourceData.Fertiliser_ChemicalCompoundElements_Data(),Table_Fertiliser_ChemicalCompounds[[#Headers],[Fertiliser type f]], 0)</f>
        <v>Other fertilisers</v>
      </c>
      <c r="H36" s="54" t="str" cm="1">
        <f t="array" ref="H36">Common_InputFunctions.Utility_DisplayArrayInTable(Fertiliser_SourceData.Fertiliser_ChemicalCompoundElements_Data(),Table_Fertiliser_ChemicalCompounds[[#Headers],[Fertiliser type f]], 0)</f>
        <v>Single superphosphate (SSP)</v>
      </c>
      <c r="I36" s="54" t="str" cm="1">
        <f t="array" ref="I36">Common_InputFunctions.Utility_DisplayArrayInTable(Fertiliser_SourceData.Fertiliser_ChemicalCompoundElements_Data(),Table_Fertiliser_ChemicalCompounds[[#Headers],[Fertiliser type f]], 0)</f>
        <v>LifeCycles</v>
      </c>
    </row>
    <row r="37" spans="4:10" ht="20.100000000000001" customHeight="1" x14ac:dyDescent="0.25">
      <c r="D37" s="54" t="str" cm="1">
        <f t="array" ref="D37">Common_InputFunctions.Utility_DisplayArrayInTable(Fertiliser_SourceData.Fertiliser_ChemicalCompoundElements_Data(),Table_Fertiliser_ChemicalCompounds[[#Headers],[Fertiliser type f]], 0)</f>
        <v>Ammonia</v>
      </c>
      <c r="E37" s="54" cm="1">
        <f t="array" ref="E37">Common_InputFunctions.Utility_DisplayArrayInTable(Fertiliser_SourceData.Fertiliser_ChemicalCompoundElements_Data(),Table_Fertiliser_ChemicalCompounds[[#Headers],[Fertiliser type f]], 0)</f>
        <v>0.82350000000000001</v>
      </c>
      <c r="F37" s="54" cm="1">
        <f t="array" ref="F37">Common_InputFunctions.Utility_DisplayArrayInTable(Fertiliser_SourceData.Fertiliser_ChemicalCompoundElements_Data(),Table_Fertiliser_ChemicalCompounds[[#Headers],[Fertiliser type f]], 0)</f>
        <v>0</v>
      </c>
      <c r="G37" s="54" t="str" cm="1">
        <f t="array" ref="G37">Common_InputFunctions.Utility_DisplayArrayInTable(Fertiliser_SourceData.Fertiliser_ChemicalCompoundElements_Data(),Table_Fertiliser_ChemicalCompounds[[#Headers],[Fertiliser type f]], 0)</f>
        <v>Ammonium-based fertilisers</v>
      </c>
      <c r="H37" s="54" t="str" cm="1">
        <f t="array" ref="H37">Common_InputFunctions.Utility_DisplayArrayInTable(Fertiliser_SourceData.Fertiliser_ChemicalCompoundElements_Data(),Table_Fertiliser_ChemicalCompounds[[#Headers],[Fertiliser type f]], 0)</f>
        <v>Ammonia</v>
      </c>
      <c r="I37" s="54" t="str" cm="1">
        <f t="array" ref="I37">Common_InputFunctions.Utility_DisplayArrayInTable(Fertiliser_SourceData.Fertiliser_ChemicalCompoundElements_Data(),Table_Fertiliser_ChemicalCompounds[[#Headers],[Fertiliser type f]], 0)</f>
        <v>LifeCycles</v>
      </c>
    </row>
    <row r="38" spans="4:10" ht="20.100000000000001" customHeight="1" x14ac:dyDescent="0.25">
      <c r="D38" s="8" t="str" cm="1">
        <f t="array" ref="D38">Common_InputFunctions.Utility_DisplayArrayInTable(Fertiliser_SourceData.Fertiliser_ChemicalCompoundElements_Data(),Table_Fertiliser_ChemicalCompounds[[#Headers],[Fertiliser type f]], 0)</f>
        <v>Calcium nitrate</v>
      </c>
      <c r="E38" s="8" cm="1">
        <f t="array" ref="E38">Common_InputFunctions.Utility_DisplayArrayInTable(Fertiliser_SourceData.Fertiliser_ChemicalCompoundElements_Data(),Table_Fertiliser_ChemicalCompounds[[#Headers],[Fertiliser type f]], 0)</f>
        <v>0.155</v>
      </c>
      <c r="F38" s="8" cm="1">
        <f t="array" ref="F38">Common_InputFunctions.Utility_DisplayArrayInTable(Fertiliser_SourceData.Fertiliser_ChemicalCompoundElements_Data(),Table_Fertiliser_ChemicalCompounds[[#Headers],[Fertiliser type f]], 0)</f>
        <v>0</v>
      </c>
      <c r="G38" s="8" t="str" cm="1">
        <f t="array" ref="G38">Common_InputFunctions.Utility_DisplayArrayInTable(Fertiliser_SourceData.Fertiliser_ChemicalCompoundElements_Data(),Table_Fertiliser_ChemicalCompounds[[#Headers],[Fertiliser type f]], 0)</f>
        <v>Nitrate-based fertilisers</v>
      </c>
      <c r="H38" s="8" t="str" cm="1">
        <f t="array" ref="H38">Common_InputFunctions.Utility_DisplayArrayInTable(Fertiliser_SourceData.Fertiliser_ChemicalCompoundElements_Data(),Table_Fertiliser_ChemicalCompounds[[#Headers],[Fertiliser type f]], 0)</f>
        <v>Calcium nitrate</v>
      </c>
      <c r="I38" s="8" t="str" cm="1">
        <f t="array" ref="I38">Common_InputFunctions.Utility_DisplayArrayInTable(Fertiliser_SourceData.Fertiliser_ChemicalCompoundElements_Data(),Table_Fertiliser_ChemicalCompounds[[#Headers],[Fertiliser type f]], 0)</f>
        <v>VEERG</v>
      </c>
    </row>
    <row r="39" spans="4:10" ht="20.100000000000001" customHeight="1" x14ac:dyDescent="0.25"/>
    <row r="40" spans="4:10" ht="20.100000000000001" customHeight="1" x14ac:dyDescent="0.25">
      <c r="D40" s="9" t="s">
        <v>142</v>
      </c>
      <c r="F40" s="9" t="s">
        <v>143</v>
      </c>
      <c r="H40" s="9" t="s">
        <v>144</v>
      </c>
      <c r="J40" s="9" t="s">
        <v>145</v>
      </c>
    </row>
    <row r="41" spans="4:10" ht="20.100000000000001" customHeight="1" x14ac:dyDescent="0.25">
      <c r="D41" s="10" t="s">
        <v>146</v>
      </c>
      <c r="F41" s="10" t="s">
        <v>146</v>
      </c>
      <c r="H41" s="10" t="s">
        <v>43</v>
      </c>
      <c r="J41" s="10" t="s">
        <v>147</v>
      </c>
    </row>
    <row r="42" spans="4:10" ht="20.100000000000001" customHeight="1" x14ac:dyDescent="0.25">
      <c r="D42" s="10" t="s">
        <v>148</v>
      </c>
      <c r="F42" s="10" t="s">
        <v>148</v>
      </c>
      <c r="H42" s="10" t="s">
        <v>149</v>
      </c>
      <c r="J42" s="10" t="s">
        <v>150</v>
      </c>
    </row>
    <row r="43" spans="4:10" ht="20.100000000000001" customHeight="1" x14ac:dyDescent="0.25">
      <c r="D43" s="8" t="s">
        <v>151</v>
      </c>
      <c r="F43" s="8" t="s">
        <v>152</v>
      </c>
      <c r="H43" s="10" t="s">
        <v>153</v>
      </c>
      <c r="J43" s="8" t="s">
        <v>154</v>
      </c>
    </row>
    <row r="44" spans="4:10" ht="20.100000000000001" customHeight="1" x14ac:dyDescent="0.25">
      <c r="F44" s="8" t="s">
        <v>155</v>
      </c>
      <c r="H44" s="8" t="s">
        <v>156</v>
      </c>
      <c r="J44" s="8" t="s">
        <v>157</v>
      </c>
    </row>
    <row r="45" spans="4:10" ht="20.100000000000001" customHeight="1" x14ac:dyDescent="0.25">
      <c r="F45" s="8" t="s">
        <v>158</v>
      </c>
      <c r="H45" s="8" t="s">
        <v>159</v>
      </c>
      <c r="J45" s="8" t="s">
        <v>160</v>
      </c>
    </row>
    <row r="46" spans="4:10" ht="20.100000000000001" customHeight="1" x14ac:dyDescent="0.25">
      <c r="H46" s="8" t="s">
        <v>161</v>
      </c>
      <c r="J46" s="8" t="s">
        <v>162</v>
      </c>
    </row>
    <row r="47" spans="4:10" ht="20.100000000000001" customHeight="1" x14ac:dyDescent="0.25"/>
    <row r="48" spans="4:10" ht="20.100000000000001" customHeight="1" x14ac:dyDescent="0.25">
      <c r="D48" s="9" t="str" cm="1">
        <f t="array" ref="D48">Fertiliser_SourceData.Fertiliser_FracGASF_Title()</f>
        <v>Fraction of inorganic fertiliser that volatilises as NH3 and NOx</v>
      </c>
      <c r="G48" s="17"/>
    </row>
    <row r="49" spans="4:8" ht="20.100000000000001" customHeight="1" x14ac:dyDescent="0.25">
      <c r="D49" s="11" t="str" cm="1">
        <f t="array" ref="D49">Fertiliser_SourceData.Fertiliser_FracGASF_Source()</f>
        <v>Table A.2.2.6: Fraction of inorganic fertiliser f that volatilises as NH3 and NOx ((kg NH3–N + NOx–N)/kg N) (FracGASFf)</v>
      </c>
      <c r="G49" s="17"/>
    </row>
    <row r="50" spans="4:8" ht="20.100000000000001" customHeight="1" x14ac:dyDescent="0.25">
      <c r="D50" s="10" t="s">
        <v>136</v>
      </c>
      <c r="E50" s="10" t="s">
        <v>163</v>
      </c>
      <c r="G50" s="17"/>
    </row>
    <row r="51" spans="4:8" ht="20.100000000000001" customHeight="1" x14ac:dyDescent="0.25">
      <c r="D51" s="10" t="str" cm="1">
        <f t="array" ref="D51">Common_InputFunctions.Utility_DisplayArrayInTable(Fertiliser_SourceData.Fertiliser_FracGASF_Data(), Table_SourceData_Fertiliser_FracGASF[[#Headers],[Fertiliser type f]], 0)</f>
        <v>Urea-based fertilisers</v>
      </c>
      <c r="E51" s="10" cm="1">
        <f t="array" ref="E51">Common_InputFunctions.Utility_DisplayArrayInTable(Fertiliser_SourceData.Fertiliser_FracGASF_Data(), Table_SourceData_Fertiliser_FracGASF[[#Headers],[Fertiliser type f]], 0)</f>
        <v>0.15</v>
      </c>
      <c r="G51" s="17"/>
    </row>
    <row r="52" spans="4:8" ht="20.100000000000001" customHeight="1" x14ac:dyDescent="0.25">
      <c r="D52" s="8" t="str" cm="1">
        <f t="array" ref="D52">Common_InputFunctions.Utility_DisplayArrayInTable(Fertiliser_SourceData.Fertiliser_FracGASF_Data(), Table_SourceData_Fertiliser_FracGASF[[#Headers],[Fertiliser type f]], 0)</f>
        <v>Ammonium-based fertilisers</v>
      </c>
      <c r="E52" s="10" cm="1">
        <f t="array" ref="E52">Common_InputFunctions.Utility_DisplayArrayInTable(Fertiliser_SourceData.Fertiliser_FracGASF_Data(), Table_SourceData_Fertiliser_FracGASF[[#Headers],[Fertiliser type f]], 0)</f>
        <v>0.08</v>
      </c>
      <c r="G52" s="17"/>
    </row>
    <row r="53" spans="4:8" ht="20.100000000000001" customHeight="1" x14ac:dyDescent="0.25">
      <c r="D53" s="8" t="str" cm="1">
        <f t="array" ref="D53">Common_InputFunctions.Utility_DisplayArrayInTable(Fertiliser_SourceData.Fertiliser_FracGASF_Data(), Table_SourceData_Fertiliser_FracGASF[[#Headers],[Fertiliser type f]], 0)</f>
        <v>Nitrate-based fertilisers</v>
      </c>
      <c r="E53" s="10" cm="1">
        <f t="array" ref="E53">Common_InputFunctions.Utility_DisplayArrayInTable(Fertiliser_SourceData.Fertiliser_FracGASF_Data(), Table_SourceData_Fertiliser_FracGASF[[#Headers],[Fertiliser type f]], 0)</f>
        <v>0.01</v>
      </c>
      <c r="G53" s="17"/>
    </row>
    <row r="54" spans="4:8" ht="20.100000000000001" customHeight="1" x14ac:dyDescent="0.25">
      <c r="D54" s="8" t="str" cm="1">
        <f t="array" ref="D54">Common_InputFunctions.Utility_DisplayArrayInTable(Fertiliser_SourceData.Fertiliser_FracGASF_Data(), Table_SourceData_Fertiliser_FracGASF[[#Headers],[Fertiliser type f]], 0)</f>
        <v>Ammonium-nitrate based fertilisers</v>
      </c>
      <c r="E54" s="10" cm="1">
        <f t="array" ref="E54">Common_InputFunctions.Utility_DisplayArrayInTable(Fertiliser_SourceData.Fertiliser_FracGASF_Data(), Table_SourceData_Fertiliser_FracGASF[[#Headers],[Fertiliser type f]], 0)</f>
        <v>0.05</v>
      </c>
      <c r="G54" s="17"/>
      <c r="H54" s="17"/>
    </row>
    <row r="55" spans="4:8" ht="20.100000000000001" customHeight="1" x14ac:dyDescent="0.25">
      <c r="D55" s="8" t="str" cm="1">
        <f t="array" ref="D55">Common_InputFunctions.Utility_DisplayArrayInTable(Fertiliser_SourceData.Fertiliser_FracGASF_Data(), Table_SourceData_Fertiliser_FracGASF[[#Headers],[Fertiliser type f]], 0)</f>
        <v>Other fertilisers</v>
      </c>
      <c r="E55" s="10" cm="1">
        <f t="array" ref="E55">Common_InputFunctions.Utility_DisplayArrayInTable(Fertiliser_SourceData.Fertiliser_FracGASF_Data(), Table_SourceData_Fertiliser_FracGASF[[#Headers],[Fertiliser type f]], 0)</f>
        <v>0.11</v>
      </c>
      <c r="G55" s="17"/>
      <c r="H55" s="17"/>
    </row>
    <row r="56" spans="4:8" ht="20.100000000000001" customHeight="1" x14ac:dyDescent="0.25"/>
    <row r="57" spans="4:8" ht="20.100000000000001" customHeight="1" x14ac:dyDescent="0.25"/>
    <row r="58" spans="4:8" ht="20.100000000000001" customHeight="1" x14ac:dyDescent="0.25">
      <c r="D58" s="9" t="str" cm="1">
        <f t="array" ref="D58">Fertiliser_SourceData.Fertiliser_EFUreaCO2_Title()</f>
        <v>Emission factor for carbon emissions from urea application</v>
      </c>
    </row>
    <row r="59" spans="4:8" ht="20.100000000000001" customHeight="1" x14ac:dyDescent="0.25">
      <c r="D59" s="11" t="str" cm="1">
        <f t="array" ref="D59">Fertiliser_SourceData.Fertiliser_EFUreaCO2_Source()</f>
        <v>VEERG 2026: 5.1.2.2 Constant Parameters</v>
      </c>
    </row>
    <row r="60" spans="4:8" ht="20.100000000000001" customHeight="1" x14ac:dyDescent="0.25">
      <c r="D60" s="24" t="str" cm="1">
        <f t="array" ref="D60">Fertiliser_SourceData.Fertiliser_EFUreaCO2_Variable()</f>
        <v>EFureaCO2</v>
      </c>
      <c r="E60" s="8" cm="1">
        <f t="array" ref="E60">Fertiliser_SourceData.Fertiliser_EFUreaCO2_Data()</f>
        <v>0.2</v>
      </c>
      <c r="F60" s="13" t="str" cm="1">
        <f t="array" ref="F60">Fertiliser_SourceData.Fertiliser_EFUreaCO2_Unit()</f>
        <v>kg C/kg urea</v>
      </c>
    </row>
    <row r="61" spans="4:8" ht="20.100000000000001" customHeight="1" x14ac:dyDescent="0.25"/>
    <row r="62" spans="4:8" ht="20.100000000000001" customHeight="1" x14ac:dyDescent="0.25"/>
    <row r="63" spans="4:8" ht="20.100000000000001" customHeight="1" x14ac:dyDescent="0.25">
      <c r="D63" s="9" t="str" cm="1">
        <f t="array" ref="D63">Fertiliser_SourceData.Fertiliser_LimeDolomiteGypsumConstants_Title()</f>
        <v>Constants for lime, dolomite and gypsum</v>
      </c>
    </row>
    <row r="64" spans="4:8" ht="20.100000000000001" customHeight="1" x14ac:dyDescent="0.25">
      <c r="D64" s="11" t="str" cm="1">
        <f t="array" ref="D64">Fertiliser_SourceData.Fertiliser_LimeDolomiteGypsumConstants_Source()</f>
        <v>VEERG 2026: 5.3.2.3 Constant Parameters</v>
      </c>
    </row>
    <row r="65" spans="4:6" ht="20.100000000000001" customHeight="1" x14ac:dyDescent="0.25">
      <c r="D65" s="10" t="s">
        <v>164</v>
      </c>
      <c r="E65" s="10" t="s">
        <v>165</v>
      </c>
      <c r="F65" s="10" t="s">
        <v>166</v>
      </c>
    </row>
    <row r="66" spans="4:6" ht="20.100000000000001" customHeight="1" x14ac:dyDescent="0.25">
      <c r="D66" s="10" t="str" cm="1">
        <f t="array" ref="D66">Common_InputFunctions.Utility_DisplayArrayInTable(Fertiliser_SourceData.Fertiliser_LimeDolomiteGypsumConstants_Data(), Table_SourceData_Fertiliser_LimeDolomiteConstants[[#Headers],[Element]], 0)</f>
        <v>Lime (Calcium carbonate)</v>
      </c>
      <c r="E66" s="10" cm="1">
        <f t="array" ref="E66">Common_InputFunctions.Utility_DisplayArrayInTable(Fertiliser_SourceData.Fertiliser_LimeDolomiteGypsumConstants_Data(), Table_SourceData_Fertiliser_LimeDolomiteConstants[[#Headers],[Element]], 0)</f>
        <v>0.9</v>
      </c>
      <c r="F66" s="10" cm="1">
        <f t="array" ref="F66">Common_InputFunctions.Utility_DisplayArrayInTable(Fertiliser_SourceData.Fertiliser_LimeDolomiteGypsumConstants_Data(), Table_SourceData_Fertiliser_LimeDolomiteConstants[[#Headers],[Element]], 0)</f>
        <v>0.12</v>
      </c>
    </row>
    <row r="67" spans="4:6" ht="20.100000000000001" customHeight="1" x14ac:dyDescent="0.25">
      <c r="D67" s="8" t="str" cm="1">
        <f t="array" ref="D67">Common_InputFunctions.Utility_DisplayArrayInTable(Fertiliser_SourceData.Fertiliser_LimeDolomiteGypsumConstants_Data(), Table_SourceData_Fertiliser_LimeDolomiteConstants[[#Headers],[Element]], 0)</f>
        <v>Dolomite (Magnesium carbonate)</v>
      </c>
      <c r="E67" s="10" cm="1">
        <f t="array" ref="E67">Common_InputFunctions.Utility_DisplayArrayInTable(Fertiliser_SourceData.Fertiliser_LimeDolomiteGypsumConstants_Data(), Table_SourceData_Fertiliser_LimeDolomiteConstants[[#Headers],[Element]], 0)</f>
        <v>0.95</v>
      </c>
      <c r="F67" s="10" cm="1">
        <f t="array" ref="F67">Common_InputFunctions.Utility_DisplayArrayInTable(Fertiliser_SourceData.Fertiliser_LimeDolomiteGypsumConstants_Data(), Table_SourceData_Fertiliser_LimeDolomiteConstants[[#Headers],[Element]], 0)</f>
        <v>0.13</v>
      </c>
    </row>
    <row r="68" spans="4:6" ht="20.100000000000001" customHeight="1" x14ac:dyDescent="0.25">
      <c r="D68" s="8" t="str" cm="1">
        <f t="array" ref="D68">Common_InputFunctions.Utility_DisplayArrayInTable(Fertiliser_SourceData.Fertiliser_LimeDolomiteGypsumConstants_Data(), Table_SourceData_Fertiliser_LimeDolomiteConstants[[#Headers],[Element]], 0)</f>
        <v>Gypsum</v>
      </c>
      <c r="E68" s="10" cm="1">
        <f t="array" ref="E68">Common_InputFunctions.Utility_DisplayArrayInTable(Fertiliser_SourceData.Fertiliser_LimeDolomiteGypsumConstants_Data(), Table_SourceData_Fertiliser_LimeDolomiteConstants[[#Headers],[Element]], 0)</f>
        <v>0</v>
      </c>
      <c r="F68" s="10" cm="1">
        <f t="array" ref="F68">Common_InputFunctions.Utility_DisplayArrayInTable(Fertiliser_SourceData.Fertiliser_LimeDolomiteGypsumConstants_Data(), Table_SourceData_Fertiliser_LimeDolomiteConstants[[#Headers],[Element]], 0)</f>
        <v>0</v>
      </c>
    </row>
    <row r="69" spans="4:6" ht="20.100000000000001" customHeight="1" x14ac:dyDescent="0.25"/>
    <row r="70" spans="4:6" ht="20.100000000000001" customHeight="1" x14ac:dyDescent="0.25"/>
    <row r="71" spans="4:6" ht="20.100000000000001" customHeight="1" x14ac:dyDescent="0.25">
      <c r="D71" s="9" t="str" cm="1">
        <f t="array" ref="D71">Fertiliser_SourceData.Fertiliser_FracGASMSoil_Title()</f>
        <v>Fraction of organic fertiliser that volatilises as NH3 and NOx</v>
      </c>
    </row>
    <row r="72" spans="4:6" ht="20.100000000000001" customHeight="1" x14ac:dyDescent="0.25">
      <c r="D72" s="11" t="str" cm="1">
        <f t="array" ref="D72">Fertiliser_SourceData.Fertiliser_FracGASMSoil_Source()</f>
        <v>VEERG 2026: 5.4.2.3 Constant Parameters</v>
      </c>
    </row>
    <row r="73" spans="4:6" ht="20.100000000000001" customHeight="1" x14ac:dyDescent="0.25">
      <c r="D73" s="24" t="str" cm="1">
        <f t="array" ref="D73">Fertiliser_SourceData.Fertiliser_FracGASMSoil_Variable()</f>
        <v>FracGASMsoil</v>
      </c>
      <c r="E73" s="8" cm="1">
        <f t="array" ref="E73">Fertiliser_SourceData.Fertiliser_FracGASMSoil_Data()</f>
        <v>0.21</v>
      </c>
      <c r="F73" s="13" t="str" cm="1">
        <f t="array" ref="F73">Fertiliser_SourceData.Fertiliser_FracGASMSoil_Unit()</f>
        <v>(kg NH3-N + NOx-N)/kg N</v>
      </c>
    </row>
    <row r="74" spans="4:6" ht="20.100000000000001" customHeight="1" x14ac:dyDescent="0.25"/>
    <row r="75" spans="4:6" ht="20.100000000000001" customHeight="1" x14ac:dyDescent="0.25"/>
    <row r="76" spans="4:6" ht="20.100000000000001" customHeight="1" x14ac:dyDescent="0.25">
      <c r="D76" s="9" t="str" cm="1">
        <f t="array" ref="D76">Fertiliser_SourceData.Fertiliser_FracLEACH_Title()</f>
        <v>Fraction of nitrogen that is lost through leaching and runoff</v>
      </c>
    </row>
    <row r="77" spans="4:6" ht="20.100000000000001" customHeight="1" x14ac:dyDescent="0.25">
      <c r="D77" s="11" t="str" cm="1">
        <f t="array" ref="D77">Fertiliser_SourceData.Fertiliser_FracLEACH_Source()</f>
        <v>VEERG 2026: 5.5.2.3 Constant Parameters</v>
      </c>
    </row>
    <row r="78" spans="4:6" ht="20.100000000000001" customHeight="1" x14ac:dyDescent="0.25">
      <c r="D78" s="24" t="str" cm="1">
        <f t="array" ref="D78">Fertiliser_SourceData.Fertiliser_FracLEACH_Variable()</f>
        <v>FracLEACH</v>
      </c>
      <c r="E78" s="8" cm="1">
        <f t="array" ref="E78">Fertiliser_SourceData.Fertiliser_FracLEACH_Data()</f>
        <v>0.24</v>
      </c>
      <c r="F78" s="13" t="str" cm="1">
        <f t="array" ref="F78">Fertiliser_SourceData.Fertiliser_FracLEACH_Unit()</f>
        <v>fraction</v>
      </c>
    </row>
    <row r="79" spans="4:6" ht="20.100000000000001" customHeight="1" x14ac:dyDescent="0.25"/>
    <row r="80" spans="4:6" ht="20.100000000000001" customHeight="1" x14ac:dyDescent="0.25"/>
    <row r="81" spans="4:31" ht="20.100000000000001" customHeight="1" x14ac:dyDescent="0.25">
      <c r="D81" s="9" t="str" cm="1">
        <f t="array" ref="D81">Fertiliser_SourceData.Fertiliser_EFLeach_Title()</f>
        <v>Emission factor for nitrogen leaching and runoff</v>
      </c>
    </row>
    <row r="82" spans="4:31" ht="20.100000000000001" customHeight="1" x14ac:dyDescent="0.25">
      <c r="D82" s="11" t="str" cm="1">
        <f t="array" ref="D82">Fertiliser_SourceData.Fertiliser_EFLeach_Source()</f>
        <v>VEERG 2026: 5.5.2.3 Constant Parameters</v>
      </c>
    </row>
    <row r="83" spans="4:31" ht="20.100000000000001" customHeight="1" x14ac:dyDescent="0.25">
      <c r="D83" s="24" t="str" cm="1">
        <f t="array" ref="D83">Fertiliser_SourceData.Fertiliser_EFLeach_Variable()</f>
        <v>EFLeach</v>
      </c>
      <c r="E83" s="8" cm="1">
        <f t="array" ref="E83">Fertiliser_SourceData.Fertiliser_EFLeach_Data()</f>
        <v>1.0999999999999999E-2</v>
      </c>
      <c r="F83" s="13" t="str" cm="1">
        <f t="array" ref="F83">Fertiliser_SourceData.Fertiliser_EFLeach_Unit()</f>
        <v>kg N2O-N / kg N</v>
      </c>
    </row>
    <row r="84" spans="4:31" ht="20.100000000000001" customHeight="1" x14ac:dyDescent="0.25"/>
    <row r="85" spans="4:31" ht="20.100000000000001" customHeight="1" x14ac:dyDescent="0.25"/>
    <row r="86" spans="4:31" ht="20.100000000000001" customHeight="1" x14ac:dyDescent="0.25"/>
    <row r="87" spans="4:31" ht="20.100000000000001" customHeight="1" x14ac:dyDescent="0.25">
      <c r="D87" s="9" t="s">
        <v>167</v>
      </c>
      <c r="E87" s="17"/>
      <c r="F87" s="17"/>
      <c r="G87" s="17"/>
      <c r="H87" s="17"/>
      <c r="I87" s="17"/>
      <c r="J87" s="17"/>
      <c r="K87" s="17"/>
      <c r="L87" s="17"/>
      <c r="N87" s="17"/>
      <c r="O87" s="17"/>
      <c r="P87" s="17"/>
      <c r="Q87" s="17"/>
      <c r="R87" s="17"/>
      <c r="S87" s="17"/>
      <c r="T87" s="17"/>
      <c r="U87" s="17"/>
    </row>
    <row r="88" spans="4:31" ht="20.100000000000001" customHeight="1" x14ac:dyDescent="0.25">
      <c r="D88" s="17"/>
    </row>
    <row r="89" spans="4:31" ht="20.100000000000001" customHeight="1" x14ac:dyDescent="0.25">
      <c r="D89" s="55" t="s">
        <v>168</v>
      </c>
      <c r="E89" s="10" t="s">
        <v>169</v>
      </c>
      <c r="F89" s="10" t="s">
        <v>170</v>
      </c>
      <c r="G89" s="56" t="s">
        <v>171</v>
      </c>
      <c r="H89" s="56" t="s">
        <v>97</v>
      </c>
      <c r="I89" s="56" t="s">
        <v>172</v>
      </c>
      <c r="J89" s="56" t="s">
        <v>173</v>
      </c>
      <c r="K89" s="56" t="s">
        <v>174</v>
      </c>
      <c r="L89" s="56" t="s">
        <v>175</v>
      </c>
      <c r="M89" s="56" t="s">
        <v>176</v>
      </c>
      <c r="N89" s="56" t="s">
        <v>177</v>
      </c>
      <c r="O89" s="10" t="s">
        <v>178</v>
      </c>
      <c r="P89" s="10" t="s">
        <v>179</v>
      </c>
      <c r="Q89" s="10" t="s">
        <v>180</v>
      </c>
      <c r="R89" s="56" t="s">
        <v>181</v>
      </c>
      <c r="S89" s="56" t="s">
        <v>182</v>
      </c>
      <c r="T89" s="10" t="s">
        <v>183</v>
      </c>
      <c r="U89" s="56" t="s">
        <v>184</v>
      </c>
      <c r="V89" s="56" t="s">
        <v>185</v>
      </c>
      <c r="W89" s="56" t="s">
        <v>186</v>
      </c>
      <c r="X89" s="56" t="s">
        <v>187</v>
      </c>
      <c r="Y89" s="56" t="s">
        <v>188</v>
      </c>
      <c r="Z89" s="10" t="s">
        <v>189</v>
      </c>
      <c r="AA89" s="10" t="s">
        <v>190</v>
      </c>
      <c r="AB89" s="10" t="s">
        <v>191</v>
      </c>
      <c r="AC89" s="10" t="s">
        <v>192</v>
      </c>
      <c r="AD89" s="10" t="s">
        <v>193</v>
      </c>
      <c r="AE89" s="10" t="s">
        <v>194</v>
      </c>
    </row>
    <row r="90" spans="4:31" ht="20.100000000000001" customHeight="1" x14ac:dyDescent="0.25">
      <c r="D90" s="54" t="str" cm="1">
        <f t="array" ref="D90">Common_InputFunctions.Utility_DisplayArrayInTable(Fertiliser_SourceData.Fertiliser_Products_Data1(),FertiliserProducts[[#Headers],[Include or Exclude]], -1)</f>
        <v>Include</v>
      </c>
      <c r="E90" s="54" t="str" cm="1">
        <f t="array" ref="E90">Common_InputFunctions.Utility_DisplayArrayInTable(Fertiliser_SourceData.Fertiliser_Products_Data1(),FertiliserProducts[[#Headers],[Include or Exclude]], 0)</f>
        <v/>
      </c>
      <c r="F90" s="54" t="str" cm="1">
        <f t="array" ref="F90">Common_InputFunctions.Utility_DisplayArrayInTable(Fertiliser_SourceData.Fertiliser_Products_Data1(),FertiliserProducts[[#Headers],[Include or Exclude]], 0)</f>
        <v>Campbells fertilisers Australia</v>
      </c>
      <c r="G90" s="54" t="str" cm="1">
        <f t="array" ref="G90">Common_InputFunctions.Utility_DisplayArrayInTable(Fertiliser_SourceData.Fertiliser_Products_Data1(),FertiliserProducts[[#Headers],[Include or Exclude]], 0)</f>
        <v>Aqua Finish</v>
      </c>
      <c r="H90" s="54" t="str" cm="1">
        <f t="array" ref="H90">Common_InputFunctions.Utility_DisplayArrayInTable(Fertiliser_SourceData.Fertiliser_Products_Data1(),FertiliserProducts[[#Headers],[Include or Exclude]], 0)</f>
        <v>L</v>
      </c>
      <c r="I90" s="54" cm="1">
        <f t="array" ref="I90">Common_InputFunctions.Utility_DisplayArrayInTable(Fertiliser_SourceData.Fertiliser_Products_Data1(),FertiliserProducts[[#Headers],[Include or Exclude]], 0)</f>
        <v>1.26</v>
      </c>
      <c r="J90" s="54" t="str" cm="1">
        <f t="array" ref="J90">Common_InputFunctions.Utility_DisplayArrayInTable(Fertiliser_SourceData.Fertiliser_Products_Data1(),FertiliserProducts[[#Headers],[Include or Exclude]], 0)</f>
        <v/>
      </c>
      <c r="K90" s="54" t="str" cm="1">
        <f t="array" ref="K90">Common_InputFunctions.Utility_DisplayArrayInTable(Fertiliser_SourceData.Fertiliser_Products_Data1(),FertiliserProducts[[#Headers],[Include or Exclude]], 0)</f>
        <v/>
      </c>
      <c r="L90" s="54" t="str" cm="1">
        <f t="array" ref="L90">Common_InputFunctions.Utility_DisplayArrayInTable(Fertiliser_SourceData.Fertiliser_Products_Data1(),FertiliserProducts[[#Headers],[Include or Exclude]], 0)</f>
        <v>Potassium - Generic</v>
      </c>
      <c r="M90" s="10" cm="1">
        <f t="array" ref="M90">Common_InputFunctions.Utility_DisplayArrayInTable(Fertiliser_SourceData.Fertiliser_Products_Data1(),FertiliserProducts[[#Headers],[Include or Exclude]], 0)</f>
        <v>0.22500000000000001</v>
      </c>
      <c r="N90" s="54" t="str" cm="1">
        <f t="array" ref="N90">Common_InputFunctions.Utility_DisplayArrayInTable(Fertiliser_SourceData.Fertiliser_Products_Data1(),FertiliserProducts[[#Headers],[Include or Exclude]], 0)</f>
        <v>Phosphorus - Generic</v>
      </c>
      <c r="O90" s="54" cm="1">
        <f t="array" ref="O90">Common_InputFunctions.Utility_DisplayArrayInTable(Fertiliser_SourceData.Fertiliser_Products_Data1(),FertiliserProducts[[#Headers],[Include or Exclude]], 0)</f>
        <v>0.04</v>
      </c>
      <c r="P90" s="54" t="str" cm="1">
        <f t="array" ref="P90">Common_InputFunctions.Utility_DisplayArrayInTable(Fertiliser_SourceData.Fertiliser_Products_Data1(),FertiliserProducts[[#Headers],[Include or Exclude]], 0)</f>
        <v>Nitrogen - Generic</v>
      </c>
      <c r="Q90" s="54" cm="1">
        <f t="array" ref="Q90">Common_InputFunctions.Utility_DisplayArrayInTable(Fertiliser_SourceData.Fertiliser_Products_Data1(),FertiliserProducts[[#Headers],[Include or Exclude]], 0)</f>
        <v>2.5999999999999999E-2</v>
      </c>
      <c r="R90" s="54" t="str" cm="1">
        <f t="array" ref="R90">Common_InputFunctions.Utility_DisplayArrayInTable(Fertiliser_SourceData.Fertiliser_Products_Data1(),FertiliserProducts[[#Headers],[Include or Exclude]], 0)</f>
        <v/>
      </c>
      <c r="S90" s="54" t="str" cm="1">
        <f t="array" ref="S90">Common_InputFunctions.Utility_DisplayArrayInTable(Fertiliser_SourceData.Fertiliser_Products_Data1(),FertiliserProducts[[#Headers],[Include or Exclude]], 0)</f>
        <v/>
      </c>
      <c r="T90" s="54" t="str" cm="1">
        <f t="array" ref="T90">Common_InputFunctions.Utility_DisplayArrayInTable(Fertiliser_SourceData.Fertiliser_Products_Data1(),FertiliserProducts[[#Headers],[Include or Exclude]], 0)</f>
        <v/>
      </c>
      <c r="U90" s="54" t="str" cm="1">
        <f t="array" ref="U90">Common_InputFunctions.Utility_DisplayArrayInTable(Fertiliser_SourceData.Fertiliser_Products_Data1(),FertiliserProducts[[#Headers],[Include or Exclude]], 0)</f>
        <v/>
      </c>
      <c r="V90" s="10" t="str" cm="1">
        <f t="array" ref="V90">Common_InputFunctions.Utility_DisplayArrayInTable(Fertiliser_SourceData.Fertiliser_Products_Data1(),FertiliserProducts[[#Headers],[Include or Exclude]], 0)</f>
        <v/>
      </c>
      <c r="W90" s="10" t="str" cm="1">
        <f t="array" ref="W90">Common_InputFunctions.Utility_DisplayArrayInTable(Fertiliser_SourceData.Fertiliser_Products_Data1(),FertiliserProducts[[#Headers],[Include or Exclude]], 0)</f>
        <v/>
      </c>
      <c r="X90" s="10" t="str" cm="1">
        <f t="array" ref="X90">Common_InputFunctions.Utility_DisplayArrayInTable(Fertiliser_SourceData.Fertiliser_Products_Data1(),FertiliserProducts[[#Headers],[Include or Exclude]], 0)</f>
        <v/>
      </c>
      <c r="Y90" s="10" t="str" cm="1">
        <f t="array" ref="Y90">Common_InputFunctions.Utility_DisplayArrayInTable(Fertiliser_SourceData.Fertiliser_Products_Data1(),FertiliserProducts[[#Headers],[Include or Exclude]], 0)</f>
        <v/>
      </c>
      <c r="Z90" s="10" t="str" cm="1">
        <f t="array" ref="Z90">Common_InputFunctions.Utility_DisplayArrayInTable(Fertiliser_SourceData.Fertiliser_Products_Data1(),FertiliserProducts[[#Headers],[Include or Exclude]], 0)</f>
        <v/>
      </c>
      <c r="AA90" s="10" t="str" cm="1">
        <f t="array" ref="AA90">Common_InputFunctions.Utility_DisplayArrayInTable(Fertiliser_SourceData.Fertiliser_Products_Data1(),FertiliserProducts[[#Headers],[Include or Exclude]], 0)</f>
        <v/>
      </c>
      <c r="AB90" s="10" t="str" cm="1">
        <f t="array" ref="AB90">Common_InputFunctions.Utility_DisplayArrayInTable(Fertiliser_SourceData.Fertiliser_Products_Data1(),FertiliserProducts[[#Headers],[Include or Exclude]], 0)</f>
        <v/>
      </c>
      <c r="AC90" s="10" t="str" cm="1">
        <f t="array" ref="AC90">Common_InputFunctions.Utility_DisplayArrayInTable(Fertiliser_SourceData.Fertiliser_Products_Data1(),FertiliserProducts[[#Headers],[Include or Exclude]], 0)</f>
        <v/>
      </c>
      <c r="AD90" s="10" t="str" cm="1">
        <f t="array" ref="AD90">Common_InputFunctions.Utility_DisplayArrayInTable(Fertiliser_SourceData.Fertiliser_Products_Data1(),FertiliserProducts[[#Headers],[Include or Exclude]], 0)</f>
        <v/>
      </c>
      <c r="AE90" s="10" t="str" cm="1">
        <f t="array" ref="AE90">Common_InputFunctions.Utility_DisplayArrayInTable(Fertiliser_SourceData.Fertiliser_Products_Data1(),FertiliserProducts[[#Headers],[Include or Exclude]], 0)</f>
        <v/>
      </c>
    </row>
    <row r="91" spans="4:31" ht="20.100000000000001" customHeight="1" x14ac:dyDescent="0.25">
      <c r="D91" s="54" t="str" cm="1">
        <f t="array" ref="D91">Common_InputFunctions.Utility_DisplayArrayInTable(Fertiliser_SourceData.Fertiliser_Products_Data1(),FertiliserProducts[[#Headers],[Include or Exclude]], 0)</f>
        <v>Include</v>
      </c>
      <c r="E91" s="54" t="str" cm="1">
        <f t="array" ref="E91">Common_InputFunctions.Utility_DisplayArrayInTable(Fertiliser_SourceData.Fertiliser_Products_Data1(),FertiliserProducts[[#Headers],[Include or Exclude]], 0)</f>
        <v/>
      </c>
      <c r="F91" s="54" t="str" cm="1">
        <f t="array" ref="F91">Common_InputFunctions.Utility_DisplayArrayInTable(Fertiliser_SourceData.Fertiliser_Products_Data1(),FertiliserProducts[[#Headers],[Include or Exclude]], 0)</f>
        <v>Campbells fertilisers Australia</v>
      </c>
      <c r="G91" s="54" t="str" cm="1">
        <f t="array" ref="G91">Common_InputFunctions.Utility_DisplayArrayInTable(Fertiliser_SourceData.Fertiliser_Products_Data1(),FertiliserProducts[[#Headers],[Include or Exclude]], 0)</f>
        <v>Aqua Grow</v>
      </c>
      <c r="H91" s="54" t="str" cm="1">
        <f t="array" ref="H91">Common_InputFunctions.Utility_DisplayArrayInTable(Fertiliser_SourceData.Fertiliser_Products_Data1(),FertiliserProducts[[#Headers],[Include or Exclude]], 0)</f>
        <v>L</v>
      </c>
      <c r="I91" s="54" cm="1">
        <f t="array" ref="I91">Common_InputFunctions.Utility_DisplayArrayInTable(Fertiliser_SourceData.Fertiliser_Products_Data1(),FertiliserProducts[[#Headers],[Include or Exclude]], 0)</f>
        <v>1.26</v>
      </c>
      <c r="J91" s="54" t="str" cm="1">
        <f t="array" ref="J91">Common_InputFunctions.Utility_DisplayArrayInTable(Fertiliser_SourceData.Fertiliser_Products_Data1(),FertiliserProducts[[#Headers],[Include or Exclude]], 0)</f>
        <v/>
      </c>
      <c r="K91" s="54" t="str" cm="1">
        <f t="array" ref="K91">Common_InputFunctions.Utility_DisplayArrayInTable(Fertiliser_SourceData.Fertiliser_Products_Data1(),FertiliserProducts[[#Headers],[Include or Exclude]], 0)</f>
        <v/>
      </c>
      <c r="L91" s="54" t="str" cm="1">
        <f t="array" ref="L91">Common_InputFunctions.Utility_DisplayArrayInTable(Fertiliser_SourceData.Fertiliser_Products_Data1(),FertiliserProducts[[#Headers],[Include or Exclude]], 0)</f>
        <v>Potassium - Generic</v>
      </c>
      <c r="M91" s="10" cm="1">
        <f t="array" ref="M91">Common_InputFunctions.Utility_DisplayArrayInTable(Fertiliser_SourceData.Fertiliser_Products_Data1(),FertiliserProducts[[#Headers],[Include or Exclude]], 0)</f>
        <v>0.105</v>
      </c>
      <c r="N91" s="54" t="str" cm="1">
        <f t="array" ref="N91">Common_InputFunctions.Utility_DisplayArrayInTable(Fertiliser_SourceData.Fertiliser_Products_Data1(),FertiliserProducts[[#Headers],[Include or Exclude]], 0)</f>
        <v>Nitrogen - Generic</v>
      </c>
      <c r="O91" s="54" cm="1">
        <f t="array" ref="O91">Common_InputFunctions.Utility_DisplayArrayInTable(Fertiliser_SourceData.Fertiliser_Products_Data1(),FertiliserProducts[[#Headers],[Include or Exclude]], 0)</f>
        <v>9.6000000000000002E-2</v>
      </c>
      <c r="P91" s="54" t="str" cm="1">
        <f t="array" ref="P91">Common_InputFunctions.Utility_DisplayArrayInTable(Fertiliser_SourceData.Fertiliser_Products_Data1(),FertiliserProducts[[#Headers],[Include or Exclude]], 0)</f>
        <v>Phosphorus - Generic</v>
      </c>
      <c r="Q91" s="54" cm="1">
        <f t="array" ref="Q91">Common_InputFunctions.Utility_DisplayArrayInTable(Fertiliser_SourceData.Fertiliser_Products_Data1(),FertiliserProducts[[#Headers],[Include or Exclude]], 0)</f>
        <v>0.05</v>
      </c>
      <c r="R91" s="54" t="str" cm="1">
        <f t="array" ref="R91">Common_InputFunctions.Utility_DisplayArrayInTable(Fertiliser_SourceData.Fertiliser_Products_Data1(),FertiliserProducts[[#Headers],[Include or Exclude]], 0)</f>
        <v/>
      </c>
      <c r="S91" s="54" t="str" cm="1">
        <f t="array" ref="S91">Common_InputFunctions.Utility_DisplayArrayInTable(Fertiliser_SourceData.Fertiliser_Products_Data1(),FertiliserProducts[[#Headers],[Include or Exclude]], 0)</f>
        <v/>
      </c>
      <c r="T91" s="54" t="str" cm="1">
        <f t="array" ref="T91">Common_InputFunctions.Utility_DisplayArrayInTable(Fertiliser_SourceData.Fertiliser_Products_Data1(),FertiliserProducts[[#Headers],[Include or Exclude]], 0)</f>
        <v/>
      </c>
      <c r="U91" s="54" t="str" cm="1">
        <f t="array" ref="U91">Common_InputFunctions.Utility_DisplayArrayInTable(Fertiliser_SourceData.Fertiliser_Products_Data1(),FertiliserProducts[[#Headers],[Include or Exclude]], 0)</f>
        <v/>
      </c>
      <c r="V91" s="10" t="str" cm="1">
        <f t="array" ref="V91">Common_InputFunctions.Utility_DisplayArrayInTable(Fertiliser_SourceData.Fertiliser_Products_Data1(),FertiliserProducts[[#Headers],[Include or Exclude]], 0)</f>
        <v/>
      </c>
      <c r="W91" s="10" t="str" cm="1">
        <f t="array" ref="W91">Common_InputFunctions.Utility_DisplayArrayInTable(Fertiliser_SourceData.Fertiliser_Products_Data1(),FertiliserProducts[[#Headers],[Include or Exclude]], 0)</f>
        <v/>
      </c>
      <c r="X91" s="10" t="str" cm="1">
        <f t="array" ref="X91">Common_InputFunctions.Utility_DisplayArrayInTable(Fertiliser_SourceData.Fertiliser_Products_Data1(),FertiliserProducts[[#Headers],[Include or Exclude]], 0)</f>
        <v/>
      </c>
      <c r="Y91" s="10" t="str" cm="1">
        <f t="array" ref="Y91">Common_InputFunctions.Utility_DisplayArrayInTable(Fertiliser_SourceData.Fertiliser_Products_Data1(),FertiliserProducts[[#Headers],[Include or Exclude]], 0)</f>
        <v/>
      </c>
      <c r="Z91" s="10" t="str" cm="1">
        <f t="array" ref="Z91">Common_InputFunctions.Utility_DisplayArrayInTable(Fertiliser_SourceData.Fertiliser_Products_Data1(),FertiliserProducts[[#Headers],[Include or Exclude]], 0)</f>
        <v/>
      </c>
      <c r="AA91" s="10" t="str" cm="1">
        <f t="array" ref="AA91">Common_InputFunctions.Utility_DisplayArrayInTable(Fertiliser_SourceData.Fertiliser_Products_Data1(),FertiliserProducts[[#Headers],[Include or Exclude]], 0)</f>
        <v/>
      </c>
      <c r="AB91" s="10" t="str" cm="1">
        <f t="array" ref="AB91">Common_InputFunctions.Utility_DisplayArrayInTable(Fertiliser_SourceData.Fertiliser_Products_Data1(),FertiliserProducts[[#Headers],[Include or Exclude]], 0)</f>
        <v/>
      </c>
      <c r="AC91" s="10" t="str" cm="1">
        <f t="array" ref="AC91">Common_InputFunctions.Utility_DisplayArrayInTable(Fertiliser_SourceData.Fertiliser_Products_Data1(),FertiliserProducts[[#Headers],[Include or Exclude]], 0)</f>
        <v/>
      </c>
      <c r="AD91" s="10" t="str" cm="1">
        <f t="array" ref="AD91">Common_InputFunctions.Utility_DisplayArrayInTable(Fertiliser_SourceData.Fertiliser_Products_Data1(),FertiliserProducts[[#Headers],[Include or Exclude]], 0)</f>
        <v/>
      </c>
      <c r="AE91" s="10" t="str" cm="1">
        <f t="array" ref="AE91">Common_InputFunctions.Utility_DisplayArrayInTable(Fertiliser_SourceData.Fertiliser_Products_Data1(),FertiliserProducts[[#Headers],[Include or Exclude]], 0)</f>
        <v/>
      </c>
    </row>
    <row r="92" spans="4:31" ht="20.100000000000001" customHeight="1" x14ac:dyDescent="0.25">
      <c r="D92" s="54" t="str" cm="1">
        <f t="array" ref="D92">Common_InputFunctions.Utility_DisplayArrayInTable(Fertiliser_SourceData.Fertiliser_Products_Data1(),FertiliserProducts[[#Headers],[Include or Exclude]], 0)</f>
        <v>Include</v>
      </c>
      <c r="E92" s="54" t="str" cm="1">
        <f t="array" ref="E92">Common_InputFunctions.Utility_DisplayArrayInTable(Fertiliser_SourceData.Fertiliser_Products_Data1(),FertiliserProducts[[#Headers],[Include or Exclude]], 0)</f>
        <v/>
      </c>
      <c r="F92" s="54" t="str" cm="1">
        <f t="array" ref="F92">Common_InputFunctions.Utility_DisplayArrayInTable(Fertiliser_SourceData.Fertiliser_Products_Data1(),FertiliserProducts[[#Headers],[Include or Exclude]], 0)</f>
        <v>Campbells fertilisers Australia</v>
      </c>
      <c r="G92" s="54" t="str" cm="1">
        <f t="array" ref="G92">Common_InputFunctions.Utility_DisplayArrayInTable(Fertiliser_SourceData.Fertiliser_Products_Data1(),FertiliserProducts[[#Headers],[Include or Exclude]], 0)</f>
        <v>Aqua Nitro AN</v>
      </c>
      <c r="H92" s="54" t="str" cm="1">
        <f t="array" ref="H92">Common_InputFunctions.Utility_DisplayArrayInTable(Fertiliser_SourceData.Fertiliser_Products_Data1(),FertiliserProducts[[#Headers],[Include or Exclude]], 0)</f>
        <v>L</v>
      </c>
      <c r="I92" s="54" cm="1">
        <f t="array" ref="I92">Common_InputFunctions.Utility_DisplayArrayInTable(Fertiliser_SourceData.Fertiliser_Products_Data1(),FertiliserProducts[[#Headers],[Include or Exclude]], 0)</f>
        <v>1.24</v>
      </c>
      <c r="J92" s="54" t="str" cm="1">
        <f t="array" ref="J92">Common_InputFunctions.Utility_DisplayArrayInTable(Fertiliser_SourceData.Fertiliser_Products_Data1(),FertiliserProducts[[#Headers],[Include or Exclude]], 0)</f>
        <v/>
      </c>
      <c r="K92" s="54" t="str" cm="1">
        <f t="array" ref="K92">Common_InputFunctions.Utility_DisplayArrayInTable(Fertiliser_SourceData.Fertiliser_Products_Data1(),FertiliserProducts[[#Headers],[Include or Exclude]], 0)</f>
        <v/>
      </c>
      <c r="L92" s="54" t="str" cm="1">
        <f t="array" ref="L92">Common_InputFunctions.Utility_DisplayArrayInTable(Fertiliser_SourceData.Fertiliser_Products_Data1(),FertiliserProducts[[#Headers],[Include or Exclude]], 0)</f>
        <v>Nitrogen - Ammoniacal</v>
      </c>
      <c r="M92" s="10" cm="1">
        <f t="array" ref="M92">Common_InputFunctions.Utility_DisplayArrayInTable(Fertiliser_SourceData.Fertiliser_Products_Data1(),FertiliserProducts[[#Headers],[Include or Exclude]], 0)</f>
        <v>0.223</v>
      </c>
      <c r="N92" s="54" t="str" cm="1">
        <f t="array" ref="N92">Common_InputFunctions.Utility_DisplayArrayInTable(Fertiliser_SourceData.Fertiliser_Products_Data1(),FertiliserProducts[[#Headers],[Include or Exclude]], 0)</f>
        <v/>
      </c>
      <c r="O92" s="54" t="str" cm="1">
        <f t="array" ref="O92">Common_InputFunctions.Utility_DisplayArrayInTable(Fertiliser_SourceData.Fertiliser_Products_Data1(),FertiliserProducts[[#Headers],[Include or Exclude]], 0)</f>
        <v/>
      </c>
      <c r="P92" s="54" t="str" cm="1">
        <f t="array" ref="P92">Common_InputFunctions.Utility_DisplayArrayInTable(Fertiliser_SourceData.Fertiliser_Products_Data1(),FertiliserProducts[[#Headers],[Include or Exclude]], 0)</f>
        <v/>
      </c>
      <c r="Q92" s="54" t="str" cm="1">
        <f t="array" ref="Q92">Common_InputFunctions.Utility_DisplayArrayInTable(Fertiliser_SourceData.Fertiliser_Products_Data1(),FertiliserProducts[[#Headers],[Include or Exclude]], 0)</f>
        <v/>
      </c>
      <c r="R92" s="54" t="str" cm="1">
        <f t="array" ref="R92">Common_InputFunctions.Utility_DisplayArrayInTable(Fertiliser_SourceData.Fertiliser_Products_Data1(),FertiliserProducts[[#Headers],[Include or Exclude]], 0)</f>
        <v/>
      </c>
      <c r="S92" s="54" t="str" cm="1">
        <f t="array" ref="S92">Common_InputFunctions.Utility_DisplayArrayInTable(Fertiliser_SourceData.Fertiliser_Products_Data1(),FertiliserProducts[[#Headers],[Include or Exclude]], 0)</f>
        <v/>
      </c>
      <c r="T92" s="54" t="str" cm="1">
        <f t="array" ref="T92">Common_InputFunctions.Utility_DisplayArrayInTable(Fertiliser_SourceData.Fertiliser_Products_Data1(),FertiliserProducts[[#Headers],[Include or Exclude]], 0)</f>
        <v/>
      </c>
      <c r="U92" s="54" t="str" cm="1">
        <f t="array" ref="U92">Common_InputFunctions.Utility_DisplayArrayInTable(Fertiliser_SourceData.Fertiliser_Products_Data1(),FertiliserProducts[[#Headers],[Include or Exclude]], 0)</f>
        <v/>
      </c>
      <c r="V92" s="10" t="str" cm="1">
        <f t="array" ref="V92">Common_InputFunctions.Utility_DisplayArrayInTable(Fertiliser_SourceData.Fertiliser_Products_Data1(),FertiliserProducts[[#Headers],[Include or Exclude]], 0)</f>
        <v/>
      </c>
      <c r="W92" s="10" t="str" cm="1">
        <f t="array" ref="W92">Common_InputFunctions.Utility_DisplayArrayInTable(Fertiliser_SourceData.Fertiliser_Products_Data1(),FertiliserProducts[[#Headers],[Include or Exclude]], 0)</f>
        <v/>
      </c>
      <c r="X92" s="10" t="str" cm="1">
        <f t="array" ref="X92">Common_InputFunctions.Utility_DisplayArrayInTable(Fertiliser_SourceData.Fertiliser_Products_Data1(),FertiliserProducts[[#Headers],[Include or Exclude]], 0)</f>
        <v/>
      </c>
      <c r="Y92" s="10" t="str" cm="1">
        <f t="array" ref="Y92">Common_InputFunctions.Utility_DisplayArrayInTable(Fertiliser_SourceData.Fertiliser_Products_Data1(),FertiliserProducts[[#Headers],[Include or Exclude]], 0)</f>
        <v/>
      </c>
      <c r="Z92" s="10" t="str" cm="1">
        <f t="array" ref="Z92">Common_InputFunctions.Utility_DisplayArrayInTable(Fertiliser_SourceData.Fertiliser_Products_Data1(),FertiliserProducts[[#Headers],[Include or Exclude]], 0)</f>
        <v/>
      </c>
      <c r="AA92" s="10" t="str" cm="1">
        <f t="array" ref="AA92">Common_InputFunctions.Utility_DisplayArrayInTable(Fertiliser_SourceData.Fertiliser_Products_Data1(),FertiliserProducts[[#Headers],[Include or Exclude]], 0)</f>
        <v/>
      </c>
      <c r="AB92" s="10" t="str" cm="1">
        <f t="array" ref="AB92">Common_InputFunctions.Utility_DisplayArrayInTable(Fertiliser_SourceData.Fertiliser_Products_Data1(),FertiliserProducts[[#Headers],[Include or Exclude]], 0)</f>
        <v/>
      </c>
      <c r="AC92" s="10" t="str" cm="1">
        <f t="array" ref="AC92">Common_InputFunctions.Utility_DisplayArrayInTable(Fertiliser_SourceData.Fertiliser_Products_Data1(),FertiliserProducts[[#Headers],[Include or Exclude]], 0)</f>
        <v/>
      </c>
      <c r="AD92" s="10" t="str" cm="1">
        <f t="array" ref="AD92">Common_InputFunctions.Utility_DisplayArrayInTable(Fertiliser_SourceData.Fertiliser_Products_Data1(),FertiliserProducts[[#Headers],[Include or Exclude]], 0)</f>
        <v/>
      </c>
      <c r="AE92" s="10" t="str" cm="1">
        <f t="array" ref="AE92">Common_InputFunctions.Utility_DisplayArrayInTable(Fertiliser_SourceData.Fertiliser_Products_Data1(),FertiliserProducts[[#Headers],[Include or Exclude]], 0)</f>
        <v/>
      </c>
    </row>
    <row r="93" spans="4:31" ht="20.100000000000001" customHeight="1" x14ac:dyDescent="0.25">
      <c r="D93" s="54" t="str" cm="1">
        <f t="array" ref="D93">Common_InputFunctions.Utility_DisplayArrayInTable(Fertiliser_SourceData.Fertiliser_Products_Data1(),FertiliserProducts[[#Headers],[Include or Exclude]], 0)</f>
        <v>Include</v>
      </c>
      <c r="E93" s="54" t="str" cm="1">
        <f t="array" ref="E93">Common_InputFunctions.Utility_DisplayArrayInTable(Fertiliser_SourceData.Fertiliser_Products_Data1(),FertiliserProducts[[#Headers],[Include or Exclude]], 0)</f>
        <v/>
      </c>
      <c r="F93" s="54" t="str" cm="1">
        <f t="array" ref="F93">Common_InputFunctions.Utility_DisplayArrayInTable(Fertiliser_SourceData.Fertiliser_Products_Data1(),FertiliserProducts[[#Headers],[Include or Exclude]], 0)</f>
        <v>Campbells fertilisers Australia</v>
      </c>
      <c r="G93" s="54" t="str" cm="1">
        <f t="array" ref="G93">Common_InputFunctions.Utility_DisplayArrayInTable(Fertiliser_SourceData.Fertiliser_Products_Data1(),FertiliserProducts[[#Headers],[Include or Exclude]], 0)</f>
        <v>Aqua Start</v>
      </c>
      <c r="H93" s="54" t="str" cm="1">
        <f t="array" ref="H93">Common_InputFunctions.Utility_DisplayArrayInTable(Fertiliser_SourceData.Fertiliser_Products_Data1(),FertiliserProducts[[#Headers],[Include or Exclude]], 0)</f>
        <v>L</v>
      </c>
      <c r="I93" s="54" cm="1">
        <f t="array" ref="I93">Common_InputFunctions.Utility_DisplayArrayInTable(Fertiliser_SourceData.Fertiliser_Products_Data1(),FertiliserProducts[[#Headers],[Include or Exclude]], 0)</f>
        <v>1.25</v>
      </c>
      <c r="J93" s="54" t="str" cm="1">
        <f t="array" ref="J93">Common_InputFunctions.Utility_DisplayArrayInTable(Fertiliser_SourceData.Fertiliser_Products_Data1(),FertiliserProducts[[#Headers],[Include or Exclude]], 0)</f>
        <v/>
      </c>
      <c r="K93" s="54" t="str" cm="1">
        <f t="array" ref="K93">Common_InputFunctions.Utility_DisplayArrayInTable(Fertiliser_SourceData.Fertiliser_Products_Data1(),FertiliserProducts[[#Headers],[Include or Exclude]], 0)</f>
        <v/>
      </c>
      <c r="L93" s="54" t="str" cm="1">
        <f t="array" ref="L93">Common_InputFunctions.Utility_DisplayArrayInTable(Fertiliser_SourceData.Fertiliser_Products_Data1(),FertiliserProducts[[#Headers],[Include or Exclude]], 0)</f>
        <v>Nitrogen - Generic</v>
      </c>
      <c r="M93" s="10" cm="1">
        <f t="array" ref="M93">Common_InputFunctions.Utility_DisplayArrayInTable(Fertiliser_SourceData.Fertiliser_Products_Data1(),FertiliserProducts[[#Headers],[Include or Exclude]], 0)</f>
        <v>0.10299999999999999</v>
      </c>
      <c r="N93" s="54" t="str" cm="1">
        <f t="array" ref="N93">Common_InputFunctions.Utility_DisplayArrayInTable(Fertiliser_SourceData.Fertiliser_Products_Data1(),FertiliserProducts[[#Headers],[Include or Exclude]], 0)</f>
        <v>Phosphorus - Generic</v>
      </c>
      <c r="O93" s="54" cm="1">
        <f t="array" ref="O93">Common_InputFunctions.Utility_DisplayArrayInTable(Fertiliser_SourceData.Fertiliser_Products_Data1(),FertiliserProducts[[#Headers],[Include or Exclude]], 0)</f>
        <v>0.1</v>
      </c>
      <c r="P93" s="54" t="str" cm="1">
        <f t="array" ref="P93">Common_InputFunctions.Utility_DisplayArrayInTable(Fertiliser_SourceData.Fertiliser_Products_Data1(),FertiliserProducts[[#Headers],[Include or Exclude]], 0)</f>
        <v>Potassium - Generic</v>
      </c>
      <c r="Q93" s="54" cm="1">
        <f t="array" ref="Q93">Common_InputFunctions.Utility_DisplayArrayInTable(Fertiliser_SourceData.Fertiliser_Products_Data1(),FertiliserProducts[[#Headers],[Include or Exclude]], 0)</f>
        <v>3.4000000000000002E-2</v>
      </c>
      <c r="R93" s="54" t="str" cm="1">
        <f t="array" ref="R93">Common_InputFunctions.Utility_DisplayArrayInTable(Fertiliser_SourceData.Fertiliser_Products_Data1(),FertiliserProducts[[#Headers],[Include or Exclude]], 0)</f>
        <v/>
      </c>
      <c r="S93" s="54" t="str" cm="1">
        <f t="array" ref="S93">Common_InputFunctions.Utility_DisplayArrayInTable(Fertiliser_SourceData.Fertiliser_Products_Data1(),FertiliserProducts[[#Headers],[Include or Exclude]], 0)</f>
        <v/>
      </c>
      <c r="T93" s="54" t="str" cm="1">
        <f t="array" ref="T93">Common_InputFunctions.Utility_DisplayArrayInTable(Fertiliser_SourceData.Fertiliser_Products_Data1(),FertiliserProducts[[#Headers],[Include or Exclude]], 0)</f>
        <v/>
      </c>
      <c r="U93" s="54" t="str" cm="1">
        <f t="array" ref="U93">Common_InputFunctions.Utility_DisplayArrayInTable(Fertiliser_SourceData.Fertiliser_Products_Data1(),FertiliserProducts[[#Headers],[Include or Exclude]], 0)</f>
        <v/>
      </c>
      <c r="V93" s="10" t="str" cm="1">
        <f t="array" ref="V93">Common_InputFunctions.Utility_DisplayArrayInTable(Fertiliser_SourceData.Fertiliser_Products_Data1(),FertiliserProducts[[#Headers],[Include or Exclude]], 0)</f>
        <v/>
      </c>
      <c r="W93" s="10" t="str" cm="1">
        <f t="array" ref="W93">Common_InputFunctions.Utility_DisplayArrayInTable(Fertiliser_SourceData.Fertiliser_Products_Data1(),FertiliserProducts[[#Headers],[Include or Exclude]], 0)</f>
        <v/>
      </c>
      <c r="X93" s="10" t="str" cm="1">
        <f t="array" ref="X93">Common_InputFunctions.Utility_DisplayArrayInTable(Fertiliser_SourceData.Fertiliser_Products_Data1(),FertiliserProducts[[#Headers],[Include or Exclude]], 0)</f>
        <v/>
      </c>
      <c r="Y93" s="10" t="str" cm="1">
        <f t="array" ref="Y93">Common_InputFunctions.Utility_DisplayArrayInTable(Fertiliser_SourceData.Fertiliser_Products_Data1(),FertiliserProducts[[#Headers],[Include or Exclude]], 0)</f>
        <v/>
      </c>
      <c r="Z93" s="10" t="str" cm="1">
        <f t="array" ref="Z93">Common_InputFunctions.Utility_DisplayArrayInTable(Fertiliser_SourceData.Fertiliser_Products_Data1(),FertiliserProducts[[#Headers],[Include or Exclude]], 0)</f>
        <v/>
      </c>
      <c r="AA93" s="10" t="str" cm="1">
        <f t="array" ref="AA93">Common_InputFunctions.Utility_DisplayArrayInTable(Fertiliser_SourceData.Fertiliser_Products_Data1(),FertiliserProducts[[#Headers],[Include or Exclude]], 0)</f>
        <v/>
      </c>
      <c r="AB93" s="10" t="str" cm="1">
        <f t="array" ref="AB93">Common_InputFunctions.Utility_DisplayArrayInTable(Fertiliser_SourceData.Fertiliser_Products_Data1(),FertiliserProducts[[#Headers],[Include or Exclude]], 0)</f>
        <v/>
      </c>
      <c r="AC93" s="10" t="str" cm="1">
        <f t="array" ref="AC93">Common_InputFunctions.Utility_DisplayArrayInTable(Fertiliser_SourceData.Fertiliser_Products_Data1(),FertiliserProducts[[#Headers],[Include or Exclude]], 0)</f>
        <v/>
      </c>
      <c r="AD93" s="10" t="str" cm="1">
        <f t="array" ref="AD93">Common_InputFunctions.Utility_DisplayArrayInTable(Fertiliser_SourceData.Fertiliser_Products_Data1(),FertiliserProducts[[#Headers],[Include or Exclude]], 0)</f>
        <v/>
      </c>
      <c r="AE93" s="10" t="str" cm="1">
        <f t="array" ref="AE93">Common_InputFunctions.Utility_DisplayArrayInTable(Fertiliser_SourceData.Fertiliser_Products_Data1(),FertiliserProducts[[#Headers],[Include or Exclude]], 0)</f>
        <v/>
      </c>
    </row>
    <row r="94" spans="4:31" ht="20.100000000000001" customHeight="1" x14ac:dyDescent="0.25">
      <c r="D94" s="54" t="str" cm="1">
        <f t="array" ref="D94">Common_InputFunctions.Utility_DisplayArrayInTable(Fertiliser_SourceData.Fertiliser_Products_Data1(),FertiliserProducts[[#Headers],[Include or Exclude]], 0)</f>
        <v>Include</v>
      </c>
      <c r="E94" s="54" t="str" cm="1">
        <f t="array" ref="E94">Common_InputFunctions.Utility_DisplayArrayInTable(Fertiliser_SourceData.Fertiliser_Products_Data1(),FertiliserProducts[[#Headers],[Include or Exclude]], 0)</f>
        <v/>
      </c>
      <c r="F94" s="54" t="str" cm="1">
        <f t="array" ref="F94">Common_InputFunctions.Utility_DisplayArrayInTable(Fertiliser_SourceData.Fertiliser_Products_Data1(),FertiliserProducts[[#Headers],[Include or Exclude]], 0)</f>
        <v>Campbells fertilisers Australia</v>
      </c>
      <c r="G94" s="54" t="str" cm="1">
        <f t="array" ref="G94">Common_InputFunctions.Utility_DisplayArrayInTable(Fertiliser_SourceData.Fertiliser_Products_Data1(),FertiliserProducts[[#Headers],[Include or Exclude]], 0)</f>
        <v>Aqua Thio-Complete</v>
      </c>
      <c r="H94" s="54" t="str" cm="1">
        <f t="array" ref="H94">Common_InputFunctions.Utility_DisplayArrayInTable(Fertiliser_SourceData.Fertiliser_Products_Data1(),FertiliserProducts[[#Headers],[Include or Exclude]], 0)</f>
        <v>L</v>
      </c>
      <c r="I94" s="54" cm="1">
        <f t="array" ref="I94">Common_InputFunctions.Utility_DisplayArrayInTable(Fertiliser_SourceData.Fertiliser_Products_Data1(),FertiliserProducts[[#Headers],[Include or Exclude]], 0)</f>
        <v>1.43</v>
      </c>
      <c r="J94" s="54" t="str" cm="1">
        <f t="array" ref="J94">Common_InputFunctions.Utility_DisplayArrayInTable(Fertiliser_SourceData.Fertiliser_Products_Data1(),FertiliserProducts[[#Headers],[Include or Exclude]], 0)</f>
        <v/>
      </c>
      <c r="K94" s="54" t="str" cm="1">
        <f t="array" ref="K94">Common_InputFunctions.Utility_DisplayArrayInTable(Fertiliser_SourceData.Fertiliser_Products_Data1(),FertiliserProducts[[#Headers],[Include or Exclude]], 0)</f>
        <v/>
      </c>
      <c r="L94" s="54" t="str" cm="1">
        <f t="array" ref="L94">Common_InputFunctions.Utility_DisplayArrayInTable(Fertiliser_SourceData.Fertiliser_Products_Data1(),FertiliserProducts[[#Headers],[Include or Exclude]], 0)</f>
        <v>Potassium - Generic</v>
      </c>
      <c r="M94" s="10" cm="1">
        <f t="array" ref="M94">Common_InputFunctions.Utility_DisplayArrayInTable(Fertiliser_SourceData.Fertiliser_Products_Data1(),FertiliserProducts[[#Headers],[Include or Exclude]], 0)</f>
        <v>0.22500000000000001</v>
      </c>
      <c r="N94" s="54" t="str" cm="1">
        <f t="array" ref="N94">Common_InputFunctions.Utility_DisplayArrayInTable(Fertiliser_SourceData.Fertiliser_Products_Data1(),FertiliserProducts[[#Headers],[Include or Exclude]], 0)</f>
        <v>Phosphorus - Generic</v>
      </c>
      <c r="O94" s="54" cm="1">
        <f t="array" ref="O94">Common_InputFunctions.Utility_DisplayArrayInTable(Fertiliser_SourceData.Fertiliser_Products_Data1(),FertiliserProducts[[#Headers],[Include or Exclude]], 0)</f>
        <v>3.7999999999999999E-2</v>
      </c>
      <c r="P94" s="54" t="str" cm="1">
        <f t="array" ref="P94">Common_InputFunctions.Utility_DisplayArrayInTable(Fertiliser_SourceData.Fertiliser_Products_Data1(),FertiliserProducts[[#Headers],[Include or Exclude]], 0)</f>
        <v>Nitrogen - Generic</v>
      </c>
      <c r="Q94" s="54" cm="1">
        <f t="array" ref="Q94">Common_InputFunctions.Utility_DisplayArrayInTable(Fertiliser_SourceData.Fertiliser_Products_Data1(),FertiliserProducts[[#Headers],[Include or Exclude]], 0)</f>
        <v>2.5000000000000001E-2</v>
      </c>
      <c r="R94" s="54" t="str" cm="1">
        <f t="array" ref="R94">Common_InputFunctions.Utility_DisplayArrayInTable(Fertiliser_SourceData.Fertiliser_Products_Data1(),FertiliserProducts[[#Headers],[Include or Exclude]], 0)</f>
        <v/>
      </c>
      <c r="S94" s="54" t="str" cm="1">
        <f t="array" ref="S94">Common_InputFunctions.Utility_DisplayArrayInTable(Fertiliser_SourceData.Fertiliser_Products_Data1(),FertiliserProducts[[#Headers],[Include or Exclude]], 0)</f>
        <v/>
      </c>
      <c r="T94" s="54" t="str" cm="1">
        <f t="array" ref="T94">Common_InputFunctions.Utility_DisplayArrayInTable(Fertiliser_SourceData.Fertiliser_Products_Data1(),FertiliserProducts[[#Headers],[Include or Exclude]], 0)</f>
        <v/>
      </c>
      <c r="U94" s="54" t="str" cm="1">
        <f t="array" ref="U94">Common_InputFunctions.Utility_DisplayArrayInTable(Fertiliser_SourceData.Fertiliser_Products_Data1(),FertiliserProducts[[#Headers],[Include or Exclude]], 0)</f>
        <v/>
      </c>
      <c r="V94" s="10" t="str" cm="1">
        <f t="array" ref="V94">Common_InputFunctions.Utility_DisplayArrayInTable(Fertiliser_SourceData.Fertiliser_Products_Data1(),FertiliserProducts[[#Headers],[Include or Exclude]], 0)</f>
        <v/>
      </c>
      <c r="W94" s="10" t="str" cm="1">
        <f t="array" ref="W94">Common_InputFunctions.Utility_DisplayArrayInTable(Fertiliser_SourceData.Fertiliser_Products_Data1(),FertiliserProducts[[#Headers],[Include or Exclude]], 0)</f>
        <v/>
      </c>
      <c r="X94" s="10" t="str" cm="1">
        <f t="array" ref="X94">Common_InputFunctions.Utility_DisplayArrayInTable(Fertiliser_SourceData.Fertiliser_Products_Data1(),FertiliserProducts[[#Headers],[Include or Exclude]], 0)</f>
        <v/>
      </c>
      <c r="Y94" s="10" t="str" cm="1">
        <f t="array" ref="Y94">Common_InputFunctions.Utility_DisplayArrayInTable(Fertiliser_SourceData.Fertiliser_Products_Data1(),FertiliserProducts[[#Headers],[Include or Exclude]], 0)</f>
        <v/>
      </c>
      <c r="Z94" s="10" t="str" cm="1">
        <f t="array" ref="Z94">Common_InputFunctions.Utility_DisplayArrayInTable(Fertiliser_SourceData.Fertiliser_Products_Data1(),FertiliserProducts[[#Headers],[Include or Exclude]], 0)</f>
        <v/>
      </c>
      <c r="AA94" s="10" t="str" cm="1">
        <f t="array" ref="AA94">Common_InputFunctions.Utility_DisplayArrayInTable(Fertiliser_SourceData.Fertiliser_Products_Data1(),FertiliserProducts[[#Headers],[Include or Exclude]], 0)</f>
        <v/>
      </c>
      <c r="AB94" s="10" t="str" cm="1">
        <f t="array" ref="AB94">Common_InputFunctions.Utility_DisplayArrayInTable(Fertiliser_SourceData.Fertiliser_Products_Data1(),FertiliserProducts[[#Headers],[Include or Exclude]], 0)</f>
        <v/>
      </c>
      <c r="AC94" s="10" t="str" cm="1">
        <f t="array" ref="AC94">Common_InputFunctions.Utility_DisplayArrayInTable(Fertiliser_SourceData.Fertiliser_Products_Data1(),FertiliserProducts[[#Headers],[Include or Exclude]], 0)</f>
        <v/>
      </c>
      <c r="AD94" s="10" t="str" cm="1">
        <f t="array" ref="AD94">Common_InputFunctions.Utility_DisplayArrayInTable(Fertiliser_SourceData.Fertiliser_Products_Data1(),FertiliserProducts[[#Headers],[Include or Exclude]], 0)</f>
        <v/>
      </c>
      <c r="AE94" s="10" t="str" cm="1">
        <f t="array" ref="AE94">Common_InputFunctions.Utility_DisplayArrayInTable(Fertiliser_SourceData.Fertiliser_Products_Data1(),FertiliserProducts[[#Headers],[Include or Exclude]], 0)</f>
        <v/>
      </c>
    </row>
    <row r="95" spans="4:31" ht="20.100000000000001" customHeight="1" x14ac:dyDescent="0.25">
      <c r="D95" s="54" t="str" cm="1">
        <f t="array" ref="D95">Common_InputFunctions.Utility_DisplayArrayInTable(Fertiliser_SourceData.Fertiliser_Products_Data1(),FertiliserProducts[[#Headers],[Include or Exclude]], 0)</f>
        <v>Include</v>
      </c>
      <c r="E95" s="54" t="str" cm="1">
        <f t="array" ref="E95">Common_InputFunctions.Utility_DisplayArrayInTable(Fertiliser_SourceData.Fertiliser_Products_Data1(),FertiliserProducts[[#Headers],[Include or Exclude]], 0)</f>
        <v/>
      </c>
      <c r="F95" s="54" t="str" cm="1">
        <f t="array" ref="F95">Common_InputFunctions.Utility_DisplayArrayInTable(Fertiliser_SourceData.Fertiliser_Products_Data1(),FertiliserProducts[[#Headers],[Include or Exclude]], 0)</f>
        <v>Campbells fertilisers Australia</v>
      </c>
      <c r="G95" s="54" t="str" cm="1">
        <f t="array" ref="G95">Common_InputFunctions.Utility_DisplayArrayInTable(Fertiliser_SourceData.Fertiliser_Products_Data1(),FertiliserProducts[[#Headers],[Include or Exclude]], 0)</f>
        <v>Aqua Thio-Emerge</v>
      </c>
      <c r="H95" s="54" t="str" cm="1">
        <f t="array" ref="H95">Common_InputFunctions.Utility_DisplayArrayInTable(Fertiliser_SourceData.Fertiliser_Products_Data1(),FertiliserProducts[[#Headers],[Include or Exclude]], 0)</f>
        <v>L</v>
      </c>
      <c r="I95" s="54" cm="1">
        <f t="array" ref="I95">Common_InputFunctions.Utility_DisplayArrayInTable(Fertiliser_SourceData.Fertiliser_Products_Data1(),FertiliserProducts[[#Headers],[Include or Exclude]], 0)</f>
        <v>1.29</v>
      </c>
      <c r="J95" s="54" t="str" cm="1">
        <f t="array" ref="J95">Common_InputFunctions.Utility_DisplayArrayInTable(Fertiliser_SourceData.Fertiliser_Products_Data1(),FertiliserProducts[[#Headers],[Include or Exclude]], 0)</f>
        <v/>
      </c>
      <c r="K95" s="54" t="str" cm="1">
        <f t="array" ref="K95">Common_InputFunctions.Utility_DisplayArrayInTable(Fertiliser_SourceData.Fertiliser_Products_Data1(),FertiliserProducts[[#Headers],[Include or Exclude]], 0)</f>
        <v/>
      </c>
      <c r="L95" s="54" t="str" cm="1">
        <f t="array" ref="L95">Common_InputFunctions.Utility_DisplayArrayInTable(Fertiliser_SourceData.Fertiliser_Products_Data1(),FertiliserProducts[[#Headers],[Include or Exclude]], 0)</f>
        <v>Nitrogen - Generic</v>
      </c>
      <c r="M95" s="10" cm="1">
        <f t="array" ref="M95">Common_InputFunctions.Utility_DisplayArrayInTable(Fertiliser_SourceData.Fertiliser_Products_Data1(),FertiliserProducts[[#Headers],[Include or Exclude]], 0)</f>
        <v>0.105</v>
      </c>
      <c r="N95" s="54" t="str" cm="1">
        <f t="array" ref="N95">Common_InputFunctions.Utility_DisplayArrayInTable(Fertiliser_SourceData.Fertiliser_Products_Data1(),FertiliserProducts[[#Headers],[Include or Exclude]], 0)</f>
        <v>Phosphorus - Generic</v>
      </c>
      <c r="O95" s="54" cm="1">
        <f t="array" ref="O95">Common_InputFunctions.Utility_DisplayArrayInTable(Fertiliser_SourceData.Fertiliser_Products_Data1(),FertiliserProducts[[#Headers],[Include or Exclude]], 0)</f>
        <v>9.4E-2</v>
      </c>
      <c r="P95" s="54" t="str" cm="1">
        <f t="array" ref="P95">Common_InputFunctions.Utility_DisplayArrayInTable(Fertiliser_SourceData.Fertiliser_Products_Data1(),FertiliserProducts[[#Headers],[Include or Exclude]], 0)</f>
        <v>Potassium - Generic</v>
      </c>
      <c r="Q95" s="54" cm="1">
        <f t="array" ref="Q95">Common_InputFunctions.Utility_DisplayArrayInTable(Fertiliser_SourceData.Fertiliser_Products_Data1(),FertiliserProducts[[#Headers],[Include or Exclude]], 0)</f>
        <v>0.04</v>
      </c>
      <c r="R95" s="54" t="str" cm="1">
        <f t="array" ref="R95">Common_InputFunctions.Utility_DisplayArrayInTable(Fertiliser_SourceData.Fertiliser_Products_Data1(),FertiliserProducts[[#Headers],[Include or Exclude]], 0)</f>
        <v>Sulfur - Generic</v>
      </c>
      <c r="S95" s="54" cm="1">
        <f t="array" ref="S95">Common_InputFunctions.Utility_DisplayArrayInTable(Fertiliser_SourceData.Fertiliser_Products_Data1(),FertiliserProducts[[#Headers],[Include or Exclude]], 0)</f>
        <v>0.03</v>
      </c>
      <c r="T95" s="54" t="str" cm="1">
        <f t="array" ref="T95">Common_InputFunctions.Utility_DisplayArrayInTable(Fertiliser_SourceData.Fertiliser_Products_Data1(),FertiliserProducts[[#Headers],[Include or Exclude]], 0)</f>
        <v/>
      </c>
      <c r="U95" s="54" t="str" cm="1">
        <f t="array" ref="U95">Common_InputFunctions.Utility_DisplayArrayInTable(Fertiliser_SourceData.Fertiliser_Products_Data1(),FertiliserProducts[[#Headers],[Include or Exclude]], 0)</f>
        <v/>
      </c>
      <c r="V95" s="10" t="str" cm="1">
        <f t="array" ref="V95">Common_InputFunctions.Utility_DisplayArrayInTable(Fertiliser_SourceData.Fertiliser_Products_Data1(),FertiliserProducts[[#Headers],[Include or Exclude]], 0)</f>
        <v/>
      </c>
      <c r="W95" s="10" t="str" cm="1">
        <f t="array" ref="W95">Common_InputFunctions.Utility_DisplayArrayInTable(Fertiliser_SourceData.Fertiliser_Products_Data1(),FertiliserProducts[[#Headers],[Include or Exclude]], 0)</f>
        <v/>
      </c>
      <c r="X95" s="10" t="str" cm="1">
        <f t="array" ref="X95">Common_InputFunctions.Utility_DisplayArrayInTable(Fertiliser_SourceData.Fertiliser_Products_Data1(),FertiliserProducts[[#Headers],[Include or Exclude]], 0)</f>
        <v/>
      </c>
      <c r="Y95" s="10" t="str" cm="1">
        <f t="array" ref="Y95">Common_InputFunctions.Utility_DisplayArrayInTable(Fertiliser_SourceData.Fertiliser_Products_Data1(),FertiliserProducts[[#Headers],[Include or Exclude]], 0)</f>
        <v/>
      </c>
      <c r="Z95" s="10" t="str" cm="1">
        <f t="array" ref="Z95">Common_InputFunctions.Utility_DisplayArrayInTable(Fertiliser_SourceData.Fertiliser_Products_Data1(),FertiliserProducts[[#Headers],[Include or Exclude]], 0)</f>
        <v/>
      </c>
      <c r="AA95" s="10" t="str" cm="1">
        <f t="array" ref="AA95">Common_InputFunctions.Utility_DisplayArrayInTable(Fertiliser_SourceData.Fertiliser_Products_Data1(),FertiliserProducts[[#Headers],[Include or Exclude]], 0)</f>
        <v/>
      </c>
      <c r="AB95" s="10" t="str" cm="1">
        <f t="array" ref="AB95">Common_InputFunctions.Utility_DisplayArrayInTable(Fertiliser_SourceData.Fertiliser_Products_Data1(),FertiliserProducts[[#Headers],[Include or Exclude]], 0)</f>
        <v/>
      </c>
      <c r="AC95" s="10" t="str" cm="1">
        <f t="array" ref="AC95">Common_InputFunctions.Utility_DisplayArrayInTable(Fertiliser_SourceData.Fertiliser_Products_Data1(),FertiliserProducts[[#Headers],[Include or Exclude]], 0)</f>
        <v/>
      </c>
      <c r="AD95" s="10" t="str" cm="1">
        <f t="array" ref="AD95">Common_InputFunctions.Utility_DisplayArrayInTable(Fertiliser_SourceData.Fertiliser_Products_Data1(),FertiliserProducts[[#Headers],[Include or Exclude]], 0)</f>
        <v/>
      </c>
      <c r="AE95" s="10" t="str" cm="1">
        <f t="array" ref="AE95">Common_InputFunctions.Utility_DisplayArrayInTable(Fertiliser_SourceData.Fertiliser_Products_Data1(),FertiliserProducts[[#Headers],[Include or Exclude]], 0)</f>
        <v/>
      </c>
    </row>
    <row r="96" spans="4:31" ht="20.100000000000001" customHeight="1" x14ac:dyDescent="0.25">
      <c r="D96" s="54" t="str" cm="1">
        <f t="array" ref="D96">Common_InputFunctions.Utility_DisplayArrayInTable(Fertiliser_SourceData.Fertiliser_Products_Data1(),FertiliserProducts[[#Headers],[Include or Exclude]], 0)</f>
        <v>Include</v>
      </c>
      <c r="E96" s="54" t="str" cm="1">
        <f t="array" ref="E96">Common_InputFunctions.Utility_DisplayArrayInTable(Fertiliser_SourceData.Fertiliser_Products_Data1(),FertiliserProducts[[#Headers],[Include or Exclude]], 0)</f>
        <v/>
      </c>
      <c r="F96" s="54" t="str" cm="1">
        <f t="array" ref="F96">Common_InputFunctions.Utility_DisplayArrayInTable(Fertiliser_SourceData.Fertiliser_Products_Data1(),FertiliserProducts[[#Headers],[Include or Exclude]], 0)</f>
        <v>Campbells fertilisers Australia</v>
      </c>
      <c r="G96" s="54" t="str" cm="1">
        <f t="array" ref="G96">Common_InputFunctions.Utility_DisplayArrayInTable(Fertiliser_SourceData.Fertiliser_Products_Data1(),FertiliserProducts[[#Headers],[Include or Exclude]], 0)</f>
        <v>Aqua Thio-Flourish</v>
      </c>
      <c r="H96" s="54" t="str" cm="1">
        <f t="array" ref="H96">Common_InputFunctions.Utility_DisplayArrayInTable(Fertiliser_SourceData.Fertiliser_Products_Data1(),FertiliserProducts[[#Headers],[Include or Exclude]], 0)</f>
        <v>L</v>
      </c>
      <c r="I96" s="54" cm="1">
        <f t="array" ref="I96">Common_InputFunctions.Utility_DisplayArrayInTable(Fertiliser_SourceData.Fertiliser_Products_Data1(),FertiliserProducts[[#Headers],[Include or Exclude]], 0)</f>
        <v>1.32</v>
      </c>
      <c r="J96" s="54" t="str" cm="1">
        <f t="array" ref="J96">Common_InputFunctions.Utility_DisplayArrayInTable(Fertiliser_SourceData.Fertiliser_Products_Data1(),FertiliserProducts[[#Headers],[Include or Exclude]], 0)</f>
        <v/>
      </c>
      <c r="K96" s="54" t="str" cm="1">
        <f t="array" ref="K96">Common_InputFunctions.Utility_DisplayArrayInTable(Fertiliser_SourceData.Fertiliser_Products_Data1(),FertiliserProducts[[#Headers],[Include or Exclude]], 0)</f>
        <v/>
      </c>
      <c r="L96" s="54" t="str" cm="1">
        <f t="array" ref="L96">Common_InputFunctions.Utility_DisplayArrayInTable(Fertiliser_SourceData.Fertiliser_Products_Data1(),FertiliserProducts[[#Headers],[Include or Exclude]], 0)</f>
        <v>Potassium - Generic</v>
      </c>
      <c r="M96" s="10" cm="1">
        <f t="array" ref="M96">Common_InputFunctions.Utility_DisplayArrayInTable(Fertiliser_SourceData.Fertiliser_Products_Data1(),FertiliserProducts[[#Headers],[Include or Exclude]], 0)</f>
        <v>0.108</v>
      </c>
      <c r="N96" s="54" t="str" cm="1">
        <f t="array" ref="N96">Common_InputFunctions.Utility_DisplayArrayInTable(Fertiliser_SourceData.Fertiliser_Products_Data1(),FertiliserProducts[[#Headers],[Include or Exclude]], 0)</f>
        <v>Nitrogen - Generic</v>
      </c>
      <c r="O96" s="54" cm="1">
        <f t="array" ref="O96">Common_InputFunctions.Utility_DisplayArrayInTable(Fertiliser_SourceData.Fertiliser_Products_Data1(),FertiliserProducts[[#Headers],[Include or Exclude]], 0)</f>
        <v>9.5000000000000001E-2</v>
      </c>
      <c r="P96" s="54" t="str" cm="1">
        <f t="array" ref="P96">Common_InputFunctions.Utility_DisplayArrayInTable(Fertiliser_SourceData.Fertiliser_Products_Data1(),FertiliserProducts[[#Headers],[Include or Exclude]], 0)</f>
        <v>Sulfur - Generic</v>
      </c>
      <c r="Q96" s="54" cm="1">
        <f t="array" ref="Q96">Common_InputFunctions.Utility_DisplayArrayInTable(Fertiliser_SourceData.Fertiliser_Products_Data1(),FertiliserProducts[[#Headers],[Include or Exclude]], 0)</f>
        <v>8.1000000000000003E-2</v>
      </c>
      <c r="R96" s="54" t="str" cm="1">
        <f t="array" ref="R96">Common_InputFunctions.Utility_DisplayArrayInTable(Fertiliser_SourceData.Fertiliser_Products_Data1(),FertiliserProducts[[#Headers],[Include or Exclude]], 0)</f>
        <v>Phosphorus - Generic</v>
      </c>
      <c r="S96" s="54" cm="1">
        <f t="array" ref="S96">Common_InputFunctions.Utility_DisplayArrayInTable(Fertiliser_SourceData.Fertiliser_Products_Data1(),FertiliserProducts[[#Headers],[Include or Exclude]], 0)</f>
        <v>4.7E-2</v>
      </c>
      <c r="T96" s="54" t="str" cm="1">
        <f t="array" ref="T96">Common_InputFunctions.Utility_DisplayArrayInTable(Fertiliser_SourceData.Fertiliser_Products_Data1(),FertiliserProducts[[#Headers],[Include or Exclude]], 0)</f>
        <v/>
      </c>
      <c r="U96" s="54" t="str" cm="1">
        <f t="array" ref="U96">Common_InputFunctions.Utility_DisplayArrayInTable(Fertiliser_SourceData.Fertiliser_Products_Data1(),FertiliserProducts[[#Headers],[Include or Exclude]], 0)</f>
        <v/>
      </c>
      <c r="V96" s="10" t="str" cm="1">
        <f t="array" ref="V96">Common_InputFunctions.Utility_DisplayArrayInTable(Fertiliser_SourceData.Fertiliser_Products_Data1(),FertiliserProducts[[#Headers],[Include or Exclude]], 0)</f>
        <v/>
      </c>
      <c r="W96" s="10" t="str" cm="1">
        <f t="array" ref="W96">Common_InputFunctions.Utility_DisplayArrayInTable(Fertiliser_SourceData.Fertiliser_Products_Data1(),FertiliserProducts[[#Headers],[Include or Exclude]], 0)</f>
        <v/>
      </c>
      <c r="X96" s="10" t="str" cm="1">
        <f t="array" ref="X96">Common_InputFunctions.Utility_DisplayArrayInTable(Fertiliser_SourceData.Fertiliser_Products_Data1(),FertiliserProducts[[#Headers],[Include or Exclude]], 0)</f>
        <v/>
      </c>
      <c r="Y96" s="10" t="str" cm="1">
        <f t="array" ref="Y96">Common_InputFunctions.Utility_DisplayArrayInTable(Fertiliser_SourceData.Fertiliser_Products_Data1(),FertiliserProducts[[#Headers],[Include or Exclude]], 0)</f>
        <v/>
      </c>
      <c r="Z96" s="10" t="str" cm="1">
        <f t="array" ref="Z96">Common_InputFunctions.Utility_DisplayArrayInTable(Fertiliser_SourceData.Fertiliser_Products_Data1(),FertiliserProducts[[#Headers],[Include or Exclude]], 0)</f>
        <v/>
      </c>
      <c r="AA96" s="10" t="str" cm="1">
        <f t="array" ref="AA96">Common_InputFunctions.Utility_DisplayArrayInTable(Fertiliser_SourceData.Fertiliser_Products_Data1(),FertiliserProducts[[#Headers],[Include or Exclude]], 0)</f>
        <v/>
      </c>
      <c r="AB96" s="10" t="str" cm="1">
        <f t="array" ref="AB96">Common_InputFunctions.Utility_DisplayArrayInTable(Fertiliser_SourceData.Fertiliser_Products_Data1(),FertiliserProducts[[#Headers],[Include or Exclude]], 0)</f>
        <v/>
      </c>
      <c r="AC96" s="10" t="str" cm="1">
        <f t="array" ref="AC96">Common_InputFunctions.Utility_DisplayArrayInTable(Fertiliser_SourceData.Fertiliser_Products_Data1(),FertiliserProducts[[#Headers],[Include or Exclude]], 0)</f>
        <v/>
      </c>
      <c r="AD96" s="10" t="str" cm="1">
        <f t="array" ref="AD96">Common_InputFunctions.Utility_DisplayArrayInTable(Fertiliser_SourceData.Fertiliser_Products_Data1(),FertiliserProducts[[#Headers],[Include or Exclude]], 0)</f>
        <v/>
      </c>
      <c r="AE96" s="10" t="str" cm="1">
        <f t="array" ref="AE96">Common_InputFunctions.Utility_DisplayArrayInTable(Fertiliser_SourceData.Fertiliser_Products_Data1(),FertiliserProducts[[#Headers],[Include or Exclude]], 0)</f>
        <v/>
      </c>
    </row>
    <row r="97" spans="4:31" ht="20.100000000000001" customHeight="1" x14ac:dyDescent="0.25">
      <c r="D97" s="54" t="str" cm="1">
        <f t="array" ref="D97">Common_InputFunctions.Utility_DisplayArrayInTable(Fertiliser_SourceData.Fertiliser_Products_Data1(),FertiliserProducts[[#Headers],[Include or Exclude]], 0)</f>
        <v>Include - Absent ingredients &lt; 2%</v>
      </c>
      <c r="E97" s="54" t="str" cm="1">
        <f t="array" ref="E97">Common_InputFunctions.Utility_DisplayArrayInTable(Fertiliser_SourceData.Fertiliser_Products_Data1(),FertiliserProducts[[#Headers],[Include or Exclude]], 0)</f>
        <v>Amount of urea calculated from urea nitrogen amount</v>
      </c>
      <c r="F97" s="54" t="str" cm="1">
        <f t="array" ref="F97">Common_InputFunctions.Utility_DisplayArrayInTable(Fertiliser_SourceData.Fertiliser_Products_Data1(),FertiliserProducts[[#Headers],[Include or Exclude]], 0)</f>
        <v>Campbells fertilisers Australia</v>
      </c>
      <c r="G97" s="54" t="str" cm="1">
        <f t="array" ref="G97">Common_InputFunctions.Utility_DisplayArrayInTable(Fertiliser_SourceData.Fertiliser_Products_Data1(),FertiliserProducts[[#Headers],[Include or Exclude]], 0)</f>
        <v>Boost-It</v>
      </c>
      <c r="H97" s="54" t="str" cm="1">
        <f t="array" ref="H97">Common_InputFunctions.Utility_DisplayArrayInTable(Fertiliser_SourceData.Fertiliser_Products_Data1(),FertiliserProducts[[#Headers],[Include or Exclude]], 0)</f>
        <v>kg</v>
      </c>
      <c r="I97" s="54" cm="1">
        <f t="array" ref="I97">Common_InputFunctions.Utility_DisplayArrayInTable(Fertiliser_SourceData.Fertiliser_Products_Data1(),FertiliserProducts[[#Headers],[Include or Exclude]], 0)</f>
        <v>1</v>
      </c>
      <c r="J97" s="54" t="str" cm="1">
        <f t="array" ref="J97">Common_InputFunctions.Utility_DisplayArrayInTable(Fertiliser_SourceData.Fertiliser_Products_Data1(),FertiliserProducts[[#Headers],[Include or Exclude]], 0)</f>
        <v/>
      </c>
      <c r="K97" s="54" t="str" cm="1">
        <f t="array" ref="K97">Common_InputFunctions.Utility_DisplayArrayInTable(Fertiliser_SourceData.Fertiliser_Products_Data1(),FertiliserProducts[[#Headers],[Include or Exclude]], 0)</f>
        <v/>
      </c>
      <c r="L97" s="54" t="str" cm="1">
        <f t="array" ref="L97">Common_InputFunctions.Utility_DisplayArrayInTable(Fertiliser_SourceData.Fertiliser_Products_Data1(),FertiliserProducts[[#Headers],[Include or Exclude]], 0)</f>
        <v>Urea</v>
      </c>
      <c r="M97" s="10" cm="1">
        <f t="array" ref="M97">Common_InputFunctions.Utility_DisplayArrayInTable(Fertiliser_SourceData.Fertiliser_Products_Data1(),FertiliserProducts[[#Headers],[Include or Exclude]], 0)</f>
        <v>0.52173913000000005</v>
      </c>
      <c r="N97" s="54" t="str" cm="1">
        <f t="array" ref="N97">Common_InputFunctions.Utility_DisplayArrayInTable(Fertiliser_SourceData.Fertiliser_Products_Data1(),FertiliserProducts[[#Headers],[Include or Exclude]], 0)</f>
        <v>Potassium - Generic</v>
      </c>
      <c r="O97" s="54" cm="1">
        <f t="array" ref="O97">Common_InputFunctions.Utility_DisplayArrayInTable(Fertiliser_SourceData.Fertiliser_Products_Data1(),FertiliserProducts[[#Headers],[Include or Exclude]], 0)</f>
        <v>0.08</v>
      </c>
      <c r="P97" s="54" t="str" cm="1">
        <f t="array" ref="P97">Common_InputFunctions.Utility_DisplayArrayInTable(Fertiliser_SourceData.Fertiliser_Products_Data1(),FertiliserProducts[[#Headers],[Include or Exclude]], 0)</f>
        <v>Sulfur - Generic</v>
      </c>
      <c r="Q97" s="54" cm="1">
        <f t="array" ref="Q97">Common_InputFunctions.Utility_DisplayArrayInTable(Fertiliser_SourceData.Fertiliser_Products_Data1(),FertiliserProducts[[#Headers],[Include or Exclude]], 0)</f>
        <v>5.2999999999999999E-2</v>
      </c>
      <c r="R97" s="54" t="str" cm="1">
        <f t="array" ref="R97">Common_InputFunctions.Utility_DisplayArrayInTable(Fertiliser_SourceData.Fertiliser_Products_Data1(),FertiliserProducts[[#Headers],[Include or Exclude]], 0)</f>
        <v>Phosphorus - Generic</v>
      </c>
      <c r="S97" s="54" cm="1">
        <f t="array" ref="S97">Common_InputFunctions.Utility_DisplayArrayInTable(Fertiliser_SourceData.Fertiliser_Products_Data1(),FertiliserProducts[[#Headers],[Include or Exclude]], 0)</f>
        <v>5.1999999999999998E-2</v>
      </c>
      <c r="T97" s="54" t="str" cm="1">
        <f t="array" ref="T97">Common_InputFunctions.Utility_DisplayArrayInTable(Fertiliser_SourceData.Fertiliser_Products_Data1(),FertiliserProducts[[#Headers],[Include or Exclude]], 0)</f>
        <v>Magnesium</v>
      </c>
      <c r="U97" s="54" cm="1">
        <f t="array" ref="U97">Common_InputFunctions.Utility_DisplayArrayInTable(Fertiliser_SourceData.Fertiliser_Products_Data1(),FertiliserProducts[[#Headers],[Include or Exclude]], 0)</f>
        <v>1.2999999999999999E-2</v>
      </c>
      <c r="V97" s="10" t="str" cm="1">
        <f t="array" ref="V97">Common_InputFunctions.Utility_DisplayArrayInTable(Fertiliser_SourceData.Fertiliser_Products_Data1(),FertiliserProducts[[#Headers],[Include or Exclude]], 0)</f>
        <v>Zinc</v>
      </c>
      <c r="W97" s="10" cm="1">
        <f t="array" ref="W97">Common_InputFunctions.Utility_DisplayArrayInTable(Fertiliser_SourceData.Fertiliser_Products_Data1(),FertiliserProducts[[#Headers],[Include or Exclude]], 0)</f>
        <v>2E-3</v>
      </c>
      <c r="X97" s="10" t="str" cm="1">
        <f t="array" ref="X97">Common_InputFunctions.Utility_DisplayArrayInTable(Fertiliser_SourceData.Fertiliser_Products_Data1(),FertiliserProducts[[#Headers],[Include or Exclude]], 0)</f>
        <v>Manganese</v>
      </c>
      <c r="Y97" s="10" cm="1">
        <f t="array" ref="Y97">Common_InputFunctions.Utility_DisplayArrayInTable(Fertiliser_SourceData.Fertiliser_Products_Data1(),FertiliserProducts[[#Headers],[Include or Exclude]], 0)</f>
        <v>3.5000000000000001E-3</v>
      </c>
      <c r="Z97" s="10" t="str" cm="1">
        <f t="array" ref="Z97">Common_InputFunctions.Utility_DisplayArrayInTable(Fertiliser_SourceData.Fertiliser_Products_Data1(),FertiliserProducts[[#Headers],[Include or Exclude]], 0)</f>
        <v>Iron</v>
      </c>
      <c r="AA97" s="10" cm="1">
        <f t="array" ref="AA97">Common_InputFunctions.Utility_DisplayArrayInTable(Fertiliser_SourceData.Fertiliser_Products_Data1(),FertiliserProducts[[#Headers],[Include or Exclude]], 0)</f>
        <v>1.2999999999999999E-3</v>
      </c>
      <c r="AB97" s="10" t="str" cm="1">
        <f t="array" ref="AB97">Common_InputFunctions.Utility_DisplayArrayInTable(Fertiliser_SourceData.Fertiliser_Products_Data1(),FertiliserProducts[[#Headers],[Include or Exclude]], 0)</f>
        <v>Copper</v>
      </c>
      <c r="AC97" s="10" cm="1">
        <f t="array" ref="AC97">Common_InputFunctions.Utility_DisplayArrayInTable(Fertiliser_SourceData.Fertiliser_Products_Data1(),FertiliserProducts[[#Headers],[Include or Exclude]], 0)</f>
        <v>6.9999999999999999E-4</v>
      </c>
      <c r="AD97" s="10" t="str" cm="1">
        <f t="array" ref="AD97">Common_InputFunctions.Utility_DisplayArrayInTable(Fertiliser_SourceData.Fertiliser_Products_Data1(),FertiliserProducts[[#Headers],[Include or Exclude]], 0)</f>
        <v>Boron</v>
      </c>
      <c r="AE97" s="10" cm="1">
        <f t="array" ref="AE97">Common_InputFunctions.Utility_DisplayArrayInTable(Fertiliser_SourceData.Fertiliser_Products_Data1(),FertiliserProducts[[#Headers],[Include or Exclude]], 0)</f>
        <v>6.9999999999999999E-4</v>
      </c>
    </row>
    <row r="98" spans="4:31" ht="20.100000000000001" customHeight="1" x14ac:dyDescent="0.25">
      <c r="D98" s="54" t="str" cm="1">
        <f t="array" ref="D98">Common_InputFunctions.Utility_DisplayArrayInTable(Fertiliser_SourceData.Fertiliser_Products_Data1(),FertiliserProducts[[#Headers],[Include or Exclude]], 0)</f>
        <v>Include</v>
      </c>
      <c r="E98" s="54" t="str" cm="1">
        <f t="array" ref="E98">Common_InputFunctions.Utility_DisplayArrayInTable(Fertiliser_SourceData.Fertiliser_Products_Data1(),FertiliserProducts[[#Headers],[Include or Exclude]], 0)</f>
        <v/>
      </c>
      <c r="F98" s="54" t="str" cm="1">
        <f t="array" ref="F98">Common_InputFunctions.Utility_DisplayArrayInTable(Fertiliser_SourceData.Fertiliser_Products_Data1(),FertiliserProducts[[#Headers],[Include or Exclude]], 0)</f>
        <v>Campbells fertilisers Australia</v>
      </c>
      <c r="G98" s="54" t="str" cm="1">
        <f t="array" ref="G98">Common_InputFunctions.Utility_DisplayArrayInTable(Fertiliser_SourceData.Fertiliser_Products_Data1(),FertiliserProducts[[#Headers],[Include or Exclude]], 0)</f>
        <v>Bronze</v>
      </c>
      <c r="H98" s="54" t="str" cm="1">
        <f t="array" ref="H98">Common_InputFunctions.Utility_DisplayArrayInTable(Fertiliser_SourceData.Fertiliser_Products_Data1(),FertiliserProducts[[#Headers],[Include or Exclude]], 0)</f>
        <v>kg</v>
      </c>
      <c r="I98" s="54" cm="1">
        <f t="array" ref="I98">Common_InputFunctions.Utility_DisplayArrayInTable(Fertiliser_SourceData.Fertiliser_Products_Data1(),FertiliserProducts[[#Headers],[Include or Exclude]], 0)</f>
        <v>1</v>
      </c>
      <c r="J98" s="54" t="str" cm="1">
        <f t="array" ref="J98">Common_InputFunctions.Utility_DisplayArrayInTable(Fertiliser_SourceData.Fertiliser_Products_Data1(),FertiliserProducts[[#Headers],[Include or Exclude]], 0)</f>
        <v/>
      </c>
      <c r="K98" s="54" t="str" cm="1">
        <f t="array" ref="K98">Common_InputFunctions.Utility_DisplayArrayInTable(Fertiliser_SourceData.Fertiliser_Products_Data1(),FertiliserProducts[[#Headers],[Include or Exclude]], 0)</f>
        <v/>
      </c>
      <c r="L98" s="54" t="str" cm="1">
        <f t="array" ref="L98">Common_InputFunctions.Utility_DisplayArrayInTable(Fertiliser_SourceData.Fertiliser_Products_Data1(),FertiliserProducts[[#Headers],[Include or Exclude]], 0)</f>
        <v>Muriate of Potash (MOP)</v>
      </c>
      <c r="M98" s="10" cm="1">
        <f t="array" ref="M98">Common_InputFunctions.Utility_DisplayArrayInTable(Fertiliser_SourceData.Fertiliser_Products_Data1(),FertiliserProducts[[#Headers],[Include or Exclude]], 0)</f>
        <v>0.23200000000000001</v>
      </c>
      <c r="N98" s="54" t="str" cm="1">
        <f t="array" ref="N98">Common_InputFunctions.Utility_DisplayArrayInTable(Fertiliser_SourceData.Fertiliser_Products_Data1(),FertiliserProducts[[#Headers],[Include or Exclude]], 0)</f>
        <v>Nitrogen - Generic</v>
      </c>
      <c r="O98" s="54" cm="1">
        <f t="array" ref="O98">Common_InputFunctions.Utility_DisplayArrayInTable(Fertiliser_SourceData.Fertiliser_Products_Data1(),FertiliserProducts[[#Headers],[Include or Exclude]], 0)</f>
        <v>0.17</v>
      </c>
      <c r="P98" s="54" t="str" cm="1">
        <f t="array" ref="P98">Common_InputFunctions.Utility_DisplayArrayInTable(Fertiliser_SourceData.Fertiliser_Products_Data1(),FertiliserProducts[[#Headers],[Include or Exclude]], 0)</f>
        <v>Sulfur - Generic</v>
      </c>
      <c r="Q98" s="54" cm="1">
        <f t="array" ref="Q98">Common_InputFunctions.Utility_DisplayArrayInTable(Fertiliser_SourceData.Fertiliser_Products_Data1(),FertiliserProducts[[#Headers],[Include or Exclude]], 0)</f>
        <v>5.0000000000000001E-3</v>
      </c>
      <c r="R98" s="54" t="str" cm="1">
        <f t="array" ref="R98">Common_InputFunctions.Utility_DisplayArrayInTable(Fertiliser_SourceData.Fertiliser_Products_Data1(),FertiliserProducts[[#Headers],[Include or Exclude]], 0)</f>
        <v>Magnesium</v>
      </c>
      <c r="S98" s="54" cm="1">
        <f t="array" ref="S98">Common_InputFunctions.Utility_DisplayArrayInTable(Fertiliser_SourceData.Fertiliser_Products_Data1(),FertiliserProducts[[#Headers],[Include or Exclude]], 0)</f>
        <v>2.3999999999999998E-3</v>
      </c>
      <c r="T98" s="54" t="str" cm="1">
        <f t="array" ref="T98">Common_InputFunctions.Utility_DisplayArrayInTable(Fertiliser_SourceData.Fertiliser_Products_Data1(),FertiliserProducts[[#Headers],[Include or Exclude]], 0)</f>
        <v>Phosphorus - Generic</v>
      </c>
      <c r="U98" s="54" cm="1">
        <f t="array" ref="U98">Common_InputFunctions.Utility_DisplayArrayInTable(Fertiliser_SourceData.Fertiliser_Products_Data1(),FertiliserProducts[[#Headers],[Include or Exclude]], 0)</f>
        <v>4.0000000000000002E-4</v>
      </c>
      <c r="V98" s="10" t="str" cm="1">
        <f t="array" ref="V98">Common_InputFunctions.Utility_DisplayArrayInTable(Fertiliser_SourceData.Fertiliser_Products_Data1(),FertiliserProducts[[#Headers],[Include or Exclude]], 0)</f>
        <v/>
      </c>
      <c r="W98" s="10" t="str" cm="1">
        <f t="array" ref="W98">Common_InputFunctions.Utility_DisplayArrayInTable(Fertiliser_SourceData.Fertiliser_Products_Data1(),FertiliserProducts[[#Headers],[Include or Exclude]], 0)</f>
        <v/>
      </c>
      <c r="X98" s="10" t="str" cm="1">
        <f t="array" ref="X98">Common_InputFunctions.Utility_DisplayArrayInTable(Fertiliser_SourceData.Fertiliser_Products_Data1(),FertiliserProducts[[#Headers],[Include or Exclude]], 0)</f>
        <v/>
      </c>
      <c r="Y98" s="10" t="str" cm="1">
        <f t="array" ref="Y98">Common_InputFunctions.Utility_DisplayArrayInTable(Fertiliser_SourceData.Fertiliser_Products_Data1(),FertiliserProducts[[#Headers],[Include or Exclude]], 0)</f>
        <v/>
      </c>
      <c r="Z98" s="10" t="str" cm="1">
        <f t="array" ref="Z98">Common_InputFunctions.Utility_DisplayArrayInTable(Fertiliser_SourceData.Fertiliser_Products_Data1(),FertiliserProducts[[#Headers],[Include or Exclude]], 0)</f>
        <v/>
      </c>
      <c r="AA98" s="10" t="str" cm="1">
        <f t="array" ref="AA98">Common_InputFunctions.Utility_DisplayArrayInTable(Fertiliser_SourceData.Fertiliser_Products_Data1(),FertiliserProducts[[#Headers],[Include or Exclude]], 0)</f>
        <v/>
      </c>
      <c r="AB98" s="10" t="str" cm="1">
        <f t="array" ref="AB98">Common_InputFunctions.Utility_DisplayArrayInTable(Fertiliser_SourceData.Fertiliser_Products_Data1(),FertiliserProducts[[#Headers],[Include or Exclude]], 0)</f>
        <v/>
      </c>
      <c r="AC98" s="10" t="str" cm="1">
        <f t="array" ref="AC98">Common_InputFunctions.Utility_DisplayArrayInTable(Fertiliser_SourceData.Fertiliser_Products_Data1(),FertiliserProducts[[#Headers],[Include or Exclude]], 0)</f>
        <v/>
      </c>
      <c r="AD98" s="10" t="str" cm="1">
        <f t="array" ref="AD98">Common_InputFunctions.Utility_DisplayArrayInTable(Fertiliser_SourceData.Fertiliser_Products_Data1(),FertiliserProducts[[#Headers],[Include or Exclude]], 0)</f>
        <v/>
      </c>
      <c r="AE98" s="10" t="str" cm="1">
        <f t="array" ref="AE98">Common_InputFunctions.Utility_DisplayArrayInTable(Fertiliser_SourceData.Fertiliser_Products_Data1(),FertiliserProducts[[#Headers],[Include or Exclude]], 0)</f>
        <v/>
      </c>
    </row>
    <row r="99" spans="4:31" ht="20.100000000000001" customHeight="1" x14ac:dyDescent="0.25">
      <c r="D99" s="54" t="str" cm="1">
        <f t="array" ref="D99">Common_InputFunctions.Utility_DisplayArrayInTable(Fertiliser_SourceData.Fertiliser_Products_Data1(),FertiliserProducts[[#Headers],[Include or Exclude]], 0)</f>
        <v>Include</v>
      </c>
      <c r="E99" s="54" t="str" cm="1">
        <f t="array" ref="E99">Common_InputFunctions.Utility_DisplayArrayInTable(Fertiliser_SourceData.Fertiliser_Products_Data1(),FertiliserProducts[[#Headers],[Include or Exclude]], 0)</f>
        <v>50/50 nitrate and ammoniacal nitrogen (ammonium nitrate)</v>
      </c>
      <c r="F99" s="54" t="str" cm="1">
        <f t="array" ref="F99">Common_InputFunctions.Utility_DisplayArrayInTable(Fertiliser_SourceData.Fertiliser_Products_Data1(),FertiliserProducts[[#Headers],[Include or Exclude]], 0)</f>
        <v>Campbells fertilisers Australia</v>
      </c>
      <c r="G99" s="54" t="str" cm="1">
        <f t="array" ref="G99">Common_InputFunctions.Utility_DisplayArrayInTable(Fertiliser_SourceData.Fertiliser_Products_Data1(),FertiliserProducts[[#Headers],[Include or Exclude]], 0)</f>
        <v>Compass</v>
      </c>
      <c r="H99" s="54" t="str" cm="1">
        <f t="array" ref="H99">Common_InputFunctions.Utility_DisplayArrayInTable(Fertiliser_SourceData.Fertiliser_Products_Data1(),FertiliserProducts[[#Headers],[Include or Exclude]], 0)</f>
        <v>kg</v>
      </c>
      <c r="I99" s="54" cm="1">
        <f t="array" ref="I99">Common_InputFunctions.Utility_DisplayArrayInTable(Fertiliser_SourceData.Fertiliser_Products_Data1(),FertiliserProducts[[#Headers],[Include or Exclude]], 0)</f>
        <v>1</v>
      </c>
      <c r="J99" s="54" t="str" cm="1">
        <f t="array" ref="J99">Common_InputFunctions.Utility_DisplayArrayInTable(Fertiliser_SourceData.Fertiliser_Products_Data1(),FertiliserProducts[[#Headers],[Include or Exclude]], 0)</f>
        <v/>
      </c>
      <c r="K99" s="54" t="str" cm="1">
        <f t="array" ref="K99">Common_InputFunctions.Utility_DisplayArrayInTable(Fertiliser_SourceData.Fertiliser_Products_Data1(),FertiliserProducts[[#Headers],[Include or Exclude]], 0)</f>
        <v/>
      </c>
      <c r="L99" s="54" t="str" cm="1">
        <f t="array" ref="L99">Common_InputFunctions.Utility_DisplayArrayInTable(Fertiliser_SourceData.Fertiliser_Products_Data1(),FertiliserProducts[[#Headers],[Include or Exclude]], 0)</f>
        <v>Nitrogen - Ammoniacal</v>
      </c>
      <c r="M99" s="10" cm="1">
        <f t="array" ref="M99">Common_InputFunctions.Utility_DisplayArrayInTable(Fertiliser_SourceData.Fertiliser_Products_Data1(),FertiliserProducts[[#Headers],[Include or Exclude]], 0)</f>
        <v>7.4999999999999997E-2</v>
      </c>
      <c r="N99" s="54" t="str" cm="1">
        <f t="array" ref="N99">Common_InputFunctions.Utility_DisplayArrayInTable(Fertiliser_SourceData.Fertiliser_Products_Data1(),FertiliserProducts[[#Headers],[Include or Exclude]], 0)</f>
        <v>Nitrogen - Nitrate</v>
      </c>
      <c r="O99" s="54" cm="1">
        <f t="array" ref="O99">Common_InputFunctions.Utility_DisplayArrayInTable(Fertiliser_SourceData.Fertiliser_Products_Data1(),FertiliserProducts[[#Headers],[Include or Exclude]], 0)</f>
        <v>7.4999999999999997E-2</v>
      </c>
      <c r="P99" s="54" t="str" cm="1">
        <f t="array" ref="P99">Common_InputFunctions.Utility_DisplayArrayInTable(Fertiliser_SourceData.Fertiliser_Products_Data1(),FertiliserProducts[[#Headers],[Include or Exclude]], 0)</f>
        <v>Potassium - Generic</v>
      </c>
      <c r="Q99" s="54" cm="1">
        <f t="array" ref="Q99">Common_InputFunctions.Utility_DisplayArrayInTable(Fertiliser_SourceData.Fertiliser_Products_Data1(),FertiliserProducts[[#Headers],[Include or Exclude]], 0)</f>
        <v>0.125</v>
      </c>
      <c r="R99" s="54" t="str" cm="1">
        <f t="array" ref="R99">Common_InputFunctions.Utility_DisplayArrayInTable(Fertiliser_SourceData.Fertiliser_Products_Data1(),FertiliserProducts[[#Headers],[Include or Exclude]], 0)</f>
        <v>Phosphorus-Generic</v>
      </c>
      <c r="S99" s="54" cm="1">
        <f t="array" ref="S99">Common_InputFunctions.Utility_DisplayArrayInTable(Fertiliser_SourceData.Fertiliser_Products_Data1(),FertiliserProducts[[#Headers],[Include or Exclude]], 0)</f>
        <v>6.5000000000000002E-2</v>
      </c>
      <c r="T99" s="54" t="str" cm="1">
        <f t="array" ref="T99">Common_InputFunctions.Utility_DisplayArrayInTable(Fertiliser_SourceData.Fertiliser_Products_Data1(),FertiliserProducts[[#Headers],[Include or Exclude]], 0)</f>
        <v>Sulfur - Generic</v>
      </c>
      <c r="U99" s="54" cm="1">
        <f t="array" ref="U99">Common_InputFunctions.Utility_DisplayArrayInTable(Fertiliser_SourceData.Fertiliser_Products_Data1(),FertiliserProducts[[#Headers],[Include or Exclude]], 0)</f>
        <v>0.06</v>
      </c>
      <c r="V99" s="10" t="str" cm="1">
        <f t="array" ref="V99">Common_InputFunctions.Utility_DisplayArrayInTable(Fertiliser_SourceData.Fertiliser_Products_Data1(),FertiliserProducts[[#Headers],[Include or Exclude]], 0)</f>
        <v/>
      </c>
      <c r="W99" s="10" t="str" cm="1">
        <f t="array" ref="W99">Common_InputFunctions.Utility_DisplayArrayInTable(Fertiliser_SourceData.Fertiliser_Products_Data1(),FertiliserProducts[[#Headers],[Include or Exclude]], 0)</f>
        <v/>
      </c>
      <c r="X99" s="10" t="str" cm="1">
        <f t="array" ref="X99">Common_InputFunctions.Utility_DisplayArrayInTable(Fertiliser_SourceData.Fertiliser_Products_Data1(),FertiliserProducts[[#Headers],[Include or Exclude]], 0)</f>
        <v/>
      </c>
      <c r="Y99" s="10" t="str" cm="1">
        <f t="array" ref="Y99">Common_InputFunctions.Utility_DisplayArrayInTable(Fertiliser_SourceData.Fertiliser_Products_Data1(),FertiliserProducts[[#Headers],[Include or Exclude]], 0)</f>
        <v/>
      </c>
      <c r="Z99" s="10" t="str" cm="1">
        <f t="array" ref="Z99">Common_InputFunctions.Utility_DisplayArrayInTable(Fertiliser_SourceData.Fertiliser_Products_Data1(),FertiliserProducts[[#Headers],[Include or Exclude]], 0)</f>
        <v/>
      </c>
      <c r="AA99" s="10" t="str" cm="1">
        <f t="array" ref="AA99">Common_InputFunctions.Utility_DisplayArrayInTable(Fertiliser_SourceData.Fertiliser_Products_Data1(),FertiliserProducts[[#Headers],[Include or Exclude]], 0)</f>
        <v/>
      </c>
      <c r="AB99" s="10" t="str" cm="1">
        <f t="array" ref="AB99">Common_InputFunctions.Utility_DisplayArrayInTable(Fertiliser_SourceData.Fertiliser_Products_Data1(),FertiliserProducts[[#Headers],[Include or Exclude]], 0)</f>
        <v/>
      </c>
      <c r="AC99" s="10" t="str" cm="1">
        <f t="array" ref="AC99">Common_InputFunctions.Utility_DisplayArrayInTable(Fertiliser_SourceData.Fertiliser_Products_Data1(),FertiliserProducts[[#Headers],[Include or Exclude]], 0)</f>
        <v/>
      </c>
      <c r="AD99" s="10" t="str" cm="1">
        <f t="array" ref="AD99">Common_InputFunctions.Utility_DisplayArrayInTable(Fertiliser_SourceData.Fertiliser_Products_Data1(),FertiliserProducts[[#Headers],[Include or Exclude]], 0)</f>
        <v/>
      </c>
      <c r="AE99" s="10" t="str" cm="1">
        <f t="array" ref="AE99">Common_InputFunctions.Utility_DisplayArrayInTable(Fertiliser_SourceData.Fertiliser_Products_Data1(),FertiliserProducts[[#Headers],[Include or Exclude]], 0)</f>
        <v/>
      </c>
    </row>
    <row r="100" spans="4:31" ht="20.100000000000001" customHeight="1" x14ac:dyDescent="0.25">
      <c r="D100" s="54" t="str" cm="1">
        <f t="array" ref="D100">Common_InputFunctions.Utility_DisplayArrayInTable(Fertiliser_SourceData.Fertiliser_Products_Data1(),FertiliserProducts[[#Headers],[Include or Exclude]], 0)</f>
        <v>Include - Absent ingredients &lt; 2%</v>
      </c>
      <c r="E100" s="54" t="str" cm="1">
        <f t="array" ref="E100">Common_InputFunctions.Utility_DisplayArrayInTable(Fertiliser_SourceData.Fertiliser_Products_Data1(),FertiliserProducts[[#Headers],[Include or Exclude]], 0)</f>
        <v>Controlled release N treated as generic, Amount of urea calculated from urea nitrogen amount</v>
      </c>
      <c r="F100" s="54" t="str" cm="1">
        <f t="array" ref="F100">Common_InputFunctions.Utility_DisplayArrayInTable(Fertiliser_SourceData.Fertiliser_Products_Data1(),FertiliserProducts[[#Headers],[Include or Exclude]], 0)</f>
        <v>Campbells fertilisers Australia</v>
      </c>
      <c r="G100" s="54" t="str" cm="1">
        <f t="array" ref="G100">Common_InputFunctions.Utility_DisplayArrayInTable(Fertiliser_SourceData.Fertiliser_Products_Data1(),FertiliserProducts[[#Headers],[Include or Exclude]], 0)</f>
        <v>CoRoN 12-0-10</v>
      </c>
      <c r="H100" s="54" t="str" cm="1">
        <f t="array" ref="H100">Common_InputFunctions.Utility_DisplayArrayInTable(Fertiliser_SourceData.Fertiliser_Products_Data1(),FertiliserProducts[[#Headers],[Include or Exclude]], 0)</f>
        <v>L</v>
      </c>
      <c r="I100" s="54" cm="1">
        <f t="array" ref="I100">Common_InputFunctions.Utility_DisplayArrayInTable(Fertiliser_SourceData.Fertiliser_Products_Data1(),FertiliserProducts[[#Headers],[Include or Exclude]], 0)</f>
        <v>1.2150000000000001</v>
      </c>
      <c r="J100" s="54" t="str" cm="1">
        <f t="array" ref="J100">Common_InputFunctions.Utility_DisplayArrayInTable(Fertiliser_SourceData.Fertiliser_Products_Data1(),FertiliserProducts[[#Headers],[Include or Exclude]], 0)</f>
        <v/>
      </c>
      <c r="K100" s="54" t="str" cm="1">
        <f t="array" ref="K100">Common_InputFunctions.Utility_DisplayArrayInTable(Fertiliser_SourceData.Fertiliser_Products_Data1(),FertiliserProducts[[#Headers],[Include or Exclude]], 0)</f>
        <v/>
      </c>
      <c r="L100" s="54" t="str" cm="1">
        <f t="array" ref="L100">Common_InputFunctions.Utility_DisplayArrayInTable(Fertiliser_SourceData.Fertiliser_Products_Data1(),FertiliserProducts[[#Headers],[Include or Exclude]], 0)</f>
        <v>Urea</v>
      </c>
      <c r="M100" s="10" cm="1">
        <f t="array" ref="M100">Common_InputFunctions.Utility_DisplayArrayInTable(Fertiliser_SourceData.Fertiliser_Products_Data1(),FertiliserProducts[[#Headers],[Include or Exclude]], 0)</f>
        <v>0.19565217400000001</v>
      </c>
      <c r="N100" s="54" t="str" cm="1">
        <f t="array" ref="N100">Common_InputFunctions.Utility_DisplayArrayInTable(Fertiliser_SourceData.Fertiliser_Products_Data1(),FertiliserProducts[[#Headers],[Include or Exclude]], 0)</f>
        <v>Potassium - Generic</v>
      </c>
      <c r="O100" s="54" cm="1">
        <f t="array" ref="O100">Common_InputFunctions.Utility_DisplayArrayInTable(Fertiliser_SourceData.Fertiliser_Products_Data1(),FertiliserProducts[[#Headers],[Include or Exclude]], 0)</f>
        <v>0.1</v>
      </c>
      <c r="P100" s="54" t="str" cm="1">
        <f t="array" ref="P100">Common_InputFunctions.Utility_DisplayArrayInTable(Fertiliser_SourceData.Fertiliser_Products_Data1(),FertiliserProducts[[#Headers],[Include or Exclude]], 0)</f>
        <v>Nitrogen - Generic</v>
      </c>
      <c r="Q100" s="54" cm="1">
        <f t="array" ref="Q100">Common_InputFunctions.Utility_DisplayArrayInTable(Fertiliser_SourceData.Fertiliser_Products_Data1(),FertiliserProducts[[#Headers],[Include or Exclude]], 0)</f>
        <v>0.03</v>
      </c>
      <c r="R100" s="54" t="str" cm="1">
        <f t="array" ref="R100">Common_InputFunctions.Utility_DisplayArrayInTable(Fertiliser_SourceData.Fertiliser_Products_Data1(),FertiliserProducts[[#Headers],[Include or Exclude]], 0)</f>
        <v>Boron</v>
      </c>
      <c r="S100" s="54" cm="1">
        <f t="array" ref="S100">Common_InputFunctions.Utility_DisplayArrayInTable(Fertiliser_SourceData.Fertiliser_Products_Data1(),FertiliserProducts[[#Headers],[Include or Exclude]], 0)</f>
        <v>5.0000000000000001E-3</v>
      </c>
      <c r="T100" s="54" t="str" cm="1">
        <f t="array" ref="T100">Common_InputFunctions.Utility_DisplayArrayInTable(Fertiliser_SourceData.Fertiliser_Products_Data1(),FertiliserProducts[[#Headers],[Include or Exclude]], 0)</f>
        <v/>
      </c>
      <c r="U100" s="54" t="str" cm="1">
        <f t="array" ref="U100">Common_InputFunctions.Utility_DisplayArrayInTable(Fertiliser_SourceData.Fertiliser_Products_Data1(),FertiliserProducts[[#Headers],[Include or Exclude]], 0)</f>
        <v/>
      </c>
      <c r="V100" s="10" t="str" cm="1">
        <f t="array" ref="V100">Common_InputFunctions.Utility_DisplayArrayInTable(Fertiliser_SourceData.Fertiliser_Products_Data1(),FertiliserProducts[[#Headers],[Include or Exclude]], 0)</f>
        <v/>
      </c>
      <c r="W100" s="10" t="str" cm="1">
        <f t="array" ref="W100">Common_InputFunctions.Utility_DisplayArrayInTable(Fertiliser_SourceData.Fertiliser_Products_Data1(),FertiliserProducts[[#Headers],[Include or Exclude]], 0)</f>
        <v/>
      </c>
      <c r="X100" s="10" t="str" cm="1">
        <f t="array" ref="X100">Common_InputFunctions.Utility_DisplayArrayInTable(Fertiliser_SourceData.Fertiliser_Products_Data1(),FertiliserProducts[[#Headers],[Include or Exclude]], 0)</f>
        <v/>
      </c>
      <c r="Y100" s="10" t="str" cm="1">
        <f t="array" ref="Y100">Common_InputFunctions.Utility_DisplayArrayInTable(Fertiliser_SourceData.Fertiliser_Products_Data1(),FertiliserProducts[[#Headers],[Include or Exclude]], 0)</f>
        <v/>
      </c>
      <c r="Z100" s="10" t="str" cm="1">
        <f t="array" ref="Z100">Common_InputFunctions.Utility_DisplayArrayInTable(Fertiliser_SourceData.Fertiliser_Products_Data1(),FertiliserProducts[[#Headers],[Include or Exclude]], 0)</f>
        <v/>
      </c>
      <c r="AA100" s="10" t="str" cm="1">
        <f t="array" ref="AA100">Common_InputFunctions.Utility_DisplayArrayInTable(Fertiliser_SourceData.Fertiliser_Products_Data1(),FertiliserProducts[[#Headers],[Include or Exclude]], 0)</f>
        <v/>
      </c>
      <c r="AB100" s="10" t="str" cm="1">
        <f t="array" ref="AB100">Common_InputFunctions.Utility_DisplayArrayInTable(Fertiliser_SourceData.Fertiliser_Products_Data1(),FertiliserProducts[[#Headers],[Include or Exclude]], 0)</f>
        <v/>
      </c>
      <c r="AC100" s="10" t="str" cm="1">
        <f t="array" ref="AC100">Common_InputFunctions.Utility_DisplayArrayInTable(Fertiliser_SourceData.Fertiliser_Products_Data1(),FertiliserProducts[[#Headers],[Include or Exclude]], 0)</f>
        <v/>
      </c>
      <c r="AD100" s="10" t="str" cm="1">
        <f t="array" ref="AD100">Common_InputFunctions.Utility_DisplayArrayInTable(Fertiliser_SourceData.Fertiliser_Products_Data1(),FertiliserProducts[[#Headers],[Include or Exclude]], 0)</f>
        <v/>
      </c>
      <c r="AE100" s="10" t="str" cm="1">
        <f t="array" ref="AE100">Common_InputFunctions.Utility_DisplayArrayInTable(Fertiliser_SourceData.Fertiliser_Products_Data1(),FertiliserProducts[[#Headers],[Include or Exclude]], 0)</f>
        <v/>
      </c>
    </row>
    <row r="101" spans="4:31" ht="20.100000000000001" customHeight="1" x14ac:dyDescent="0.25">
      <c r="D101" s="54" t="str" cm="1">
        <f t="array" ref="D101">Common_InputFunctions.Utility_DisplayArrayInTable(Fertiliser_SourceData.Fertiliser_Products_Data1(),FertiliserProducts[[#Headers],[Include or Exclude]], 0)</f>
        <v/>
      </c>
      <c r="E101" s="54" t="str" cm="1">
        <f t="array" ref="E101">Common_InputFunctions.Utility_DisplayArrayInTable(Fertiliser_SourceData.Fertiliser_Products_Data1(),FertiliserProducts[[#Headers],[Include or Exclude]], 0)</f>
        <v/>
      </c>
      <c r="F101" s="54" t="str" cm="1">
        <f t="array" ref="F101">Common_InputFunctions.Utility_DisplayArrayInTable(Fertiliser_SourceData.Fertiliser_Products_Data1(),FertiliserProducts[[#Headers],[Include or Exclude]], 0)</f>
        <v/>
      </c>
      <c r="G101" s="54" t="str" cm="1">
        <f t="array" ref="G101">Common_InputFunctions.Utility_DisplayArrayInTable(Fertiliser_SourceData.Fertiliser_Products_Data1(),FertiliserProducts[[#Headers],[Include or Exclude]], 0)</f>
        <v/>
      </c>
      <c r="H101" s="54" t="str" cm="1">
        <f t="array" ref="H101">Common_InputFunctions.Utility_DisplayArrayInTable(Fertiliser_SourceData.Fertiliser_Products_Data1(),FertiliserProducts[[#Headers],[Include or Exclude]], 0)</f>
        <v/>
      </c>
      <c r="I101" s="54" t="str" cm="1">
        <f t="array" ref="I101">Common_InputFunctions.Utility_DisplayArrayInTable(Fertiliser_SourceData.Fertiliser_Products_Data1(),FertiliserProducts[[#Headers],[Include or Exclude]], 0)</f>
        <v/>
      </c>
      <c r="J101" s="54" t="str" cm="1">
        <f t="array" ref="J101">Common_InputFunctions.Utility_DisplayArrayInTable(Fertiliser_SourceData.Fertiliser_Products_Data1(),FertiliserProducts[[#Headers],[Include or Exclude]], 0)</f>
        <v/>
      </c>
      <c r="K101" s="54" t="str" cm="1">
        <f t="array" ref="K101">Common_InputFunctions.Utility_DisplayArrayInTable(Fertiliser_SourceData.Fertiliser_Products_Data1(),FertiliserProducts[[#Headers],[Include or Exclude]], 0)</f>
        <v/>
      </c>
      <c r="L101" s="54" t="str" cm="1">
        <f t="array" ref="L101">Common_InputFunctions.Utility_DisplayArrayInTable(Fertiliser_SourceData.Fertiliser_Products_Data1(),FertiliserProducts[[#Headers],[Include or Exclude]], 0)</f>
        <v/>
      </c>
      <c r="M101" s="10" t="str" cm="1">
        <f t="array" ref="M101">Common_InputFunctions.Utility_DisplayArrayInTable(Fertiliser_SourceData.Fertiliser_Products_Data1(),FertiliserProducts[[#Headers],[Include or Exclude]], 0)</f>
        <v/>
      </c>
      <c r="N101" s="54" t="str" cm="1">
        <f t="array" ref="N101">Common_InputFunctions.Utility_DisplayArrayInTable(Fertiliser_SourceData.Fertiliser_Products_Data1(),FertiliserProducts[[#Headers],[Include or Exclude]], 0)</f>
        <v/>
      </c>
      <c r="O101" s="54" t="str" cm="1">
        <f t="array" ref="O101">Common_InputFunctions.Utility_DisplayArrayInTable(Fertiliser_SourceData.Fertiliser_Products_Data1(),FertiliserProducts[[#Headers],[Include or Exclude]], 0)</f>
        <v/>
      </c>
      <c r="P101" s="54" t="str" cm="1">
        <f t="array" ref="P101">Common_InputFunctions.Utility_DisplayArrayInTable(Fertiliser_SourceData.Fertiliser_Products_Data1(),FertiliserProducts[[#Headers],[Include or Exclude]], 0)</f>
        <v/>
      </c>
      <c r="Q101" s="54" t="str" cm="1">
        <f t="array" ref="Q101">Common_InputFunctions.Utility_DisplayArrayInTable(Fertiliser_SourceData.Fertiliser_Products_Data1(),FertiliserProducts[[#Headers],[Include or Exclude]], 0)</f>
        <v/>
      </c>
      <c r="R101" s="54" t="str" cm="1">
        <f t="array" ref="R101">Common_InputFunctions.Utility_DisplayArrayInTable(Fertiliser_SourceData.Fertiliser_Products_Data1(),FertiliserProducts[[#Headers],[Include or Exclude]], 0)</f>
        <v/>
      </c>
      <c r="S101" s="54" t="str" cm="1">
        <f t="array" ref="S101">Common_InputFunctions.Utility_DisplayArrayInTable(Fertiliser_SourceData.Fertiliser_Products_Data1(),FertiliserProducts[[#Headers],[Include or Exclude]], 0)</f>
        <v/>
      </c>
      <c r="T101" s="54" t="str" cm="1">
        <f t="array" ref="T101">Common_InputFunctions.Utility_DisplayArrayInTable(Fertiliser_SourceData.Fertiliser_Products_Data1(),FertiliserProducts[[#Headers],[Include or Exclude]], 0)</f>
        <v/>
      </c>
      <c r="U101" s="54" t="str" cm="1">
        <f t="array" ref="U101">Common_InputFunctions.Utility_DisplayArrayInTable(Fertiliser_SourceData.Fertiliser_Products_Data1(),FertiliserProducts[[#Headers],[Include or Exclude]], 0)</f>
        <v/>
      </c>
      <c r="V101" s="10" t="str" cm="1">
        <f t="array" ref="V101">Common_InputFunctions.Utility_DisplayArrayInTable(Fertiliser_SourceData.Fertiliser_Products_Data1(),FertiliserProducts[[#Headers],[Include or Exclude]], 0)</f>
        <v/>
      </c>
      <c r="W101" s="10" t="str" cm="1">
        <f t="array" ref="W101">Common_InputFunctions.Utility_DisplayArrayInTable(Fertiliser_SourceData.Fertiliser_Products_Data1(),FertiliserProducts[[#Headers],[Include or Exclude]], 0)</f>
        <v/>
      </c>
      <c r="X101" s="10" t="str" cm="1">
        <f t="array" ref="X101">Common_InputFunctions.Utility_DisplayArrayInTable(Fertiliser_SourceData.Fertiliser_Products_Data1(),FertiliserProducts[[#Headers],[Include or Exclude]], 0)</f>
        <v/>
      </c>
      <c r="Y101" s="10" t="str" cm="1">
        <f t="array" ref="Y101">Common_InputFunctions.Utility_DisplayArrayInTable(Fertiliser_SourceData.Fertiliser_Products_Data1(),FertiliserProducts[[#Headers],[Include or Exclude]], 0)</f>
        <v/>
      </c>
      <c r="Z101" s="10" t="str" cm="1">
        <f t="array" ref="Z101">Common_InputFunctions.Utility_DisplayArrayInTable(Fertiliser_SourceData.Fertiliser_Products_Data1(),FertiliserProducts[[#Headers],[Include or Exclude]], 0)</f>
        <v/>
      </c>
      <c r="AA101" s="10" t="str" cm="1">
        <f t="array" ref="AA101">Common_InputFunctions.Utility_DisplayArrayInTable(Fertiliser_SourceData.Fertiliser_Products_Data1(),FertiliserProducts[[#Headers],[Include or Exclude]], 0)</f>
        <v/>
      </c>
      <c r="AB101" s="10" t="str" cm="1">
        <f t="array" ref="AB101">Common_InputFunctions.Utility_DisplayArrayInTable(Fertiliser_SourceData.Fertiliser_Products_Data1(),FertiliserProducts[[#Headers],[Include or Exclude]], 0)</f>
        <v/>
      </c>
      <c r="AC101" s="10" t="str" cm="1">
        <f t="array" ref="AC101">Common_InputFunctions.Utility_DisplayArrayInTable(Fertiliser_SourceData.Fertiliser_Products_Data1(),FertiliserProducts[[#Headers],[Include or Exclude]], 0)</f>
        <v/>
      </c>
      <c r="AD101" s="10" t="str" cm="1">
        <f t="array" ref="AD101">Common_InputFunctions.Utility_DisplayArrayInTable(Fertiliser_SourceData.Fertiliser_Products_Data1(),FertiliserProducts[[#Headers],[Include or Exclude]], 0)</f>
        <v/>
      </c>
      <c r="AE101" s="10" t="str" cm="1">
        <f t="array" ref="AE101">Common_InputFunctions.Utility_DisplayArrayInTable(Fertiliser_SourceData.Fertiliser_Products_Data1(),FertiliserProducts[[#Headers],[Include or Exclude]], 0)</f>
        <v/>
      </c>
    </row>
    <row r="102" spans="4:31" ht="20.100000000000001" customHeight="1" x14ac:dyDescent="0.25">
      <c r="D102" s="54" t="str" cm="1">
        <f t="array" ref="D102">Common_InputFunctions.Utility_DisplayArrayInTable(Fertiliser_SourceData.Fertiliser_Products_Data1(),FertiliserProducts[[#Headers],[Include or Exclude]], 0)</f>
        <v/>
      </c>
      <c r="E102" s="54" t="str" cm="1">
        <f t="array" ref="E102">Common_InputFunctions.Utility_DisplayArrayInTable(Fertiliser_SourceData.Fertiliser_Products_Data1(),FertiliserProducts[[#Headers],[Include or Exclude]], 0)</f>
        <v/>
      </c>
      <c r="F102" s="54" t="str" cm="1">
        <f t="array" ref="F102">Common_InputFunctions.Utility_DisplayArrayInTable(Fertiliser_SourceData.Fertiliser_Products_Data1(),FertiliserProducts[[#Headers],[Include or Exclude]], 0)</f>
        <v/>
      </c>
      <c r="G102" s="54" t="str" cm="1">
        <f t="array" ref="G102">Common_InputFunctions.Utility_DisplayArrayInTable(Fertiliser_SourceData.Fertiliser_Products_Data1(),FertiliserProducts[[#Headers],[Include or Exclude]], 0)</f>
        <v/>
      </c>
      <c r="H102" s="54" t="str" cm="1">
        <f t="array" ref="H102">Common_InputFunctions.Utility_DisplayArrayInTable(Fertiliser_SourceData.Fertiliser_Products_Data1(),FertiliserProducts[[#Headers],[Include or Exclude]], 0)</f>
        <v/>
      </c>
      <c r="I102" s="54" t="str" cm="1">
        <f t="array" ref="I102">Common_InputFunctions.Utility_DisplayArrayInTable(Fertiliser_SourceData.Fertiliser_Products_Data1(),FertiliserProducts[[#Headers],[Include or Exclude]], 0)</f>
        <v/>
      </c>
      <c r="J102" s="54" t="str" cm="1">
        <f t="array" ref="J102">Common_InputFunctions.Utility_DisplayArrayInTable(Fertiliser_SourceData.Fertiliser_Products_Data1(),FertiliserProducts[[#Headers],[Include or Exclude]], 0)</f>
        <v/>
      </c>
      <c r="K102" s="54" t="str" cm="1">
        <f t="array" ref="K102">Common_InputFunctions.Utility_DisplayArrayInTable(Fertiliser_SourceData.Fertiliser_Products_Data1(),FertiliserProducts[[#Headers],[Include or Exclude]], 0)</f>
        <v/>
      </c>
      <c r="L102" s="54" t="str" cm="1">
        <f t="array" ref="L102">Common_InputFunctions.Utility_DisplayArrayInTable(Fertiliser_SourceData.Fertiliser_Products_Data1(),FertiliserProducts[[#Headers],[Include or Exclude]], 0)</f>
        <v/>
      </c>
      <c r="M102" s="10" t="str" cm="1">
        <f t="array" ref="M102">Common_InputFunctions.Utility_DisplayArrayInTable(Fertiliser_SourceData.Fertiliser_Products_Data1(),FertiliserProducts[[#Headers],[Include or Exclude]], 0)</f>
        <v/>
      </c>
      <c r="N102" s="54" t="str" cm="1">
        <f t="array" ref="N102">Common_InputFunctions.Utility_DisplayArrayInTable(Fertiliser_SourceData.Fertiliser_Products_Data1(),FertiliserProducts[[#Headers],[Include or Exclude]], 0)</f>
        <v/>
      </c>
      <c r="O102" s="54" t="str" cm="1">
        <f t="array" ref="O102">Common_InputFunctions.Utility_DisplayArrayInTable(Fertiliser_SourceData.Fertiliser_Products_Data1(),FertiliserProducts[[#Headers],[Include or Exclude]], 0)</f>
        <v/>
      </c>
      <c r="P102" s="54" t="str" cm="1">
        <f t="array" ref="P102">Common_InputFunctions.Utility_DisplayArrayInTable(Fertiliser_SourceData.Fertiliser_Products_Data1(),FertiliserProducts[[#Headers],[Include or Exclude]], 0)</f>
        <v/>
      </c>
      <c r="Q102" s="54" t="str" cm="1">
        <f t="array" ref="Q102">Common_InputFunctions.Utility_DisplayArrayInTable(Fertiliser_SourceData.Fertiliser_Products_Data1(),FertiliserProducts[[#Headers],[Include or Exclude]], 0)</f>
        <v/>
      </c>
      <c r="R102" s="54" t="str" cm="1">
        <f t="array" ref="R102">Common_InputFunctions.Utility_DisplayArrayInTable(Fertiliser_SourceData.Fertiliser_Products_Data1(),FertiliserProducts[[#Headers],[Include or Exclude]], 0)</f>
        <v/>
      </c>
      <c r="S102" s="54" t="str" cm="1">
        <f t="array" ref="S102">Common_InputFunctions.Utility_DisplayArrayInTable(Fertiliser_SourceData.Fertiliser_Products_Data1(),FertiliserProducts[[#Headers],[Include or Exclude]], 0)</f>
        <v/>
      </c>
      <c r="T102" s="54" t="str" cm="1">
        <f t="array" ref="T102">Common_InputFunctions.Utility_DisplayArrayInTable(Fertiliser_SourceData.Fertiliser_Products_Data1(),FertiliserProducts[[#Headers],[Include or Exclude]], 0)</f>
        <v/>
      </c>
      <c r="U102" s="54" t="str" cm="1">
        <f t="array" ref="U102">Common_InputFunctions.Utility_DisplayArrayInTable(Fertiliser_SourceData.Fertiliser_Products_Data1(),FertiliserProducts[[#Headers],[Include or Exclude]], 0)</f>
        <v/>
      </c>
      <c r="V102" s="10" t="str" cm="1">
        <f t="array" ref="V102">Common_InputFunctions.Utility_DisplayArrayInTable(Fertiliser_SourceData.Fertiliser_Products_Data1(),FertiliserProducts[[#Headers],[Include or Exclude]], 0)</f>
        <v/>
      </c>
      <c r="W102" s="10" t="str" cm="1">
        <f t="array" ref="W102">Common_InputFunctions.Utility_DisplayArrayInTable(Fertiliser_SourceData.Fertiliser_Products_Data1(),FertiliserProducts[[#Headers],[Include or Exclude]], 0)</f>
        <v/>
      </c>
      <c r="X102" s="10" t="str" cm="1">
        <f t="array" ref="X102">Common_InputFunctions.Utility_DisplayArrayInTable(Fertiliser_SourceData.Fertiliser_Products_Data1(),FertiliserProducts[[#Headers],[Include or Exclude]], 0)</f>
        <v/>
      </c>
      <c r="Y102" s="10" t="str" cm="1">
        <f t="array" ref="Y102">Common_InputFunctions.Utility_DisplayArrayInTable(Fertiliser_SourceData.Fertiliser_Products_Data1(),FertiliserProducts[[#Headers],[Include or Exclude]], 0)</f>
        <v/>
      </c>
      <c r="Z102" s="10" t="str" cm="1">
        <f t="array" ref="Z102">Common_InputFunctions.Utility_DisplayArrayInTable(Fertiliser_SourceData.Fertiliser_Products_Data1(),FertiliserProducts[[#Headers],[Include or Exclude]], 0)</f>
        <v/>
      </c>
      <c r="AA102" s="10" t="str" cm="1">
        <f t="array" ref="AA102">Common_InputFunctions.Utility_DisplayArrayInTable(Fertiliser_SourceData.Fertiliser_Products_Data1(),FertiliserProducts[[#Headers],[Include or Exclude]], 0)</f>
        <v/>
      </c>
      <c r="AB102" s="10" t="str" cm="1">
        <f t="array" ref="AB102">Common_InputFunctions.Utility_DisplayArrayInTable(Fertiliser_SourceData.Fertiliser_Products_Data1(),FertiliserProducts[[#Headers],[Include or Exclude]], 0)</f>
        <v/>
      </c>
      <c r="AC102" s="10" t="str" cm="1">
        <f t="array" ref="AC102">Common_InputFunctions.Utility_DisplayArrayInTable(Fertiliser_SourceData.Fertiliser_Products_Data1(),FertiliserProducts[[#Headers],[Include or Exclude]], 0)</f>
        <v/>
      </c>
      <c r="AD102" s="10" t="str" cm="1">
        <f t="array" ref="AD102">Common_InputFunctions.Utility_DisplayArrayInTable(Fertiliser_SourceData.Fertiliser_Products_Data1(),FertiliserProducts[[#Headers],[Include or Exclude]], 0)</f>
        <v/>
      </c>
      <c r="AE102" s="10" t="str" cm="1">
        <f t="array" ref="AE102">Common_InputFunctions.Utility_DisplayArrayInTable(Fertiliser_SourceData.Fertiliser_Products_Data1(),FertiliserProducts[[#Headers],[Include or Exclude]], 0)</f>
        <v/>
      </c>
    </row>
    <row r="103" spans="4:31" ht="20.100000000000001" customHeight="1" x14ac:dyDescent="0.25">
      <c r="D103" s="54" t="str" cm="1">
        <f t="array" ref="D103">Common_InputFunctions.Utility_DisplayArrayInTable(Fertiliser_SourceData.Fertiliser_Products_Data1(),FertiliserProducts[[#Headers],[Include or Exclude]], 0)</f>
        <v/>
      </c>
      <c r="E103" s="54" t="str" cm="1">
        <f t="array" ref="E103">Common_InputFunctions.Utility_DisplayArrayInTable(Fertiliser_SourceData.Fertiliser_Products_Data1(),FertiliserProducts[[#Headers],[Include or Exclude]], 0)</f>
        <v/>
      </c>
      <c r="F103" s="54" t="str" cm="1">
        <f t="array" ref="F103">Common_InputFunctions.Utility_DisplayArrayInTable(Fertiliser_SourceData.Fertiliser_Products_Data1(),FertiliserProducts[[#Headers],[Include or Exclude]], 0)</f>
        <v/>
      </c>
      <c r="G103" s="54" t="str" cm="1">
        <f t="array" ref="G103">Common_InputFunctions.Utility_DisplayArrayInTable(Fertiliser_SourceData.Fertiliser_Products_Data1(),FertiliserProducts[[#Headers],[Include or Exclude]], 0)</f>
        <v/>
      </c>
      <c r="H103" s="54" t="str" cm="1">
        <f t="array" ref="H103">Common_InputFunctions.Utility_DisplayArrayInTable(Fertiliser_SourceData.Fertiliser_Products_Data1(),FertiliserProducts[[#Headers],[Include or Exclude]], 0)</f>
        <v/>
      </c>
      <c r="I103" s="54" t="str" cm="1">
        <f t="array" ref="I103">Common_InputFunctions.Utility_DisplayArrayInTable(Fertiliser_SourceData.Fertiliser_Products_Data1(),FertiliserProducts[[#Headers],[Include or Exclude]], 0)</f>
        <v/>
      </c>
      <c r="J103" s="54" t="str" cm="1">
        <f t="array" ref="J103">Common_InputFunctions.Utility_DisplayArrayInTable(Fertiliser_SourceData.Fertiliser_Products_Data1(),FertiliserProducts[[#Headers],[Include or Exclude]], 0)</f>
        <v/>
      </c>
      <c r="K103" s="54" t="str" cm="1">
        <f t="array" ref="K103">Common_InputFunctions.Utility_DisplayArrayInTable(Fertiliser_SourceData.Fertiliser_Products_Data1(),FertiliserProducts[[#Headers],[Include or Exclude]], 0)</f>
        <v/>
      </c>
      <c r="L103" s="54" t="str" cm="1">
        <f t="array" ref="L103">Common_InputFunctions.Utility_DisplayArrayInTable(Fertiliser_SourceData.Fertiliser_Products_Data1(),FertiliserProducts[[#Headers],[Include or Exclude]], 0)</f>
        <v/>
      </c>
      <c r="M103" s="10" t="str" cm="1">
        <f t="array" ref="M103">Common_InputFunctions.Utility_DisplayArrayInTable(Fertiliser_SourceData.Fertiliser_Products_Data1(),FertiliserProducts[[#Headers],[Include or Exclude]], 0)</f>
        <v/>
      </c>
      <c r="N103" s="54" t="str" cm="1">
        <f t="array" ref="N103">Common_InputFunctions.Utility_DisplayArrayInTable(Fertiliser_SourceData.Fertiliser_Products_Data1(),FertiliserProducts[[#Headers],[Include or Exclude]], 0)</f>
        <v/>
      </c>
      <c r="O103" s="54" t="str" cm="1">
        <f t="array" ref="O103">Common_InputFunctions.Utility_DisplayArrayInTable(Fertiliser_SourceData.Fertiliser_Products_Data1(),FertiliserProducts[[#Headers],[Include or Exclude]], 0)</f>
        <v/>
      </c>
      <c r="P103" s="54" t="str" cm="1">
        <f t="array" ref="P103">Common_InputFunctions.Utility_DisplayArrayInTable(Fertiliser_SourceData.Fertiliser_Products_Data1(),FertiliserProducts[[#Headers],[Include or Exclude]], 0)</f>
        <v/>
      </c>
      <c r="Q103" s="54" t="str" cm="1">
        <f t="array" ref="Q103">Common_InputFunctions.Utility_DisplayArrayInTable(Fertiliser_SourceData.Fertiliser_Products_Data1(),FertiliserProducts[[#Headers],[Include or Exclude]], 0)</f>
        <v/>
      </c>
      <c r="R103" s="54" t="str" cm="1">
        <f t="array" ref="R103">Common_InputFunctions.Utility_DisplayArrayInTable(Fertiliser_SourceData.Fertiliser_Products_Data1(),FertiliserProducts[[#Headers],[Include or Exclude]], 0)</f>
        <v/>
      </c>
      <c r="S103" s="54" t="str" cm="1">
        <f t="array" ref="S103">Common_InputFunctions.Utility_DisplayArrayInTable(Fertiliser_SourceData.Fertiliser_Products_Data1(),FertiliserProducts[[#Headers],[Include or Exclude]], 0)</f>
        <v/>
      </c>
      <c r="T103" s="54" t="str" cm="1">
        <f t="array" ref="T103">Common_InputFunctions.Utility_DisplayArrayInTable(Fertiliser_SourceData.Fertiliser_Products_Data1(),FertiliserProducts[[#Headers],[Include or Exclude]], 0)</f>
        <v/>
      </c>
      <c r="U103" s="54" t="str" cm="1">
        <f t="array" ref="U103">Common_InputFunctions.Utility_DisplayArrayInTable(Fertiliser_SourceData.Fertiliser_Products_Data1(),FertiliserProducts[[#Headers],[Include or Exclude]], 0)</f>
        <v/>
      </c>
      <c r="V103" s="10" t="str" cm="1">
        <f t="array" ref="V103">Common_InputFunctions.Utility_DisplayArrayInTable(Fertiliser_SourceData.Fertiliser_Products_Data1(),FertiliserProducts[[#Headers],[Include or Exclude]], 0)</f>
        <v/>
      </c>
      <c r="W103" s="10" t="str" cm="1">
        <f t="array" ref="W103">Common_InputFunctions.Utility_DisplayArrayInTable(Fertiliser_SourceData.Fertiliser_Products_Data1(),FertiliserProducts[[#Headers],[Include or Exclude]], 0)</f>
        <v/>
      </c>
      <c r="X103" s="10" t="str" cm="1">
        <f t="array" ref="X103">Common_InputFunctions.Utility_DisplayArrayInTable(Fertiliser_SourceData.Fertiliser_Products_Data1(),FertiliserProducts[[#Headers],[Include or Exclude]], 0)</f>
        <v/>
      </c>
      <c r="Y103" s="10" t="str" cm="1">
        <f t="array" ref="Y103">Common_InputFunctions.Utility_DisplayArrayInTable(Fertiliser_SourceData.Fertiliser_Products_Data1(),FertiliserProducts[[#Headers],[Include or Exclude]], 0)</f>
        <v/>
      </c>
      <c r="Z103" s="10" t="str" cm="1">
        <f t="array" ref="Z103">Common_InputFunctions.Utility_DisplayArrayInTable(Fertiliser_SourceData.Fertiliser_Products_Data1(),FertiliserProducts[[#Headers],[Include or Exclude]], 0)</f>
        <v/>
      </c>
      <c r="AA103" s="10" t="str" cm="1">
        <f t="array" ref="AA103">Common_InputFunctions.Utility_DisplayArrayInTable(Fertiliser_SourceData.Fertiliser_Products_Data1(),FertiliserProducts[[#Headers],[Include or Exclude]], 0)</f>
        <v/>
      </c>
      <c r="AB103" s="10" t="str" cm="1">
        <f t="array" ref="AB103">Common_InputFunctions.Utility_DisplayArrayInTable(Fertiliser_SourceData.Fertiliser_Products_Data1(),FertiliserProducts[[#Headers],[Include or Exclude]], 0)</f>
        <v/>
      </c>
      <c r="AC103" s="10" t="str" cm="1">
        <f t="array" ref="AC103">Common_InputFunctions.Utility_DisplayArrayInTable(Fertiliser_SourceData.Fertiliser_Products_Data1(),FertiliserProducts[[#Headers],[Include or Exclude]], 0)</f>
        <v/>
      </c>
      <c r="AD103" s="10" t="str" cm="1">
        <f t="array" ref="AD103">Common_InputFunctions.Utility_DisplayArrayInTable(Fertiliser_SourceData.Fertiliser_Products_Data1(),FertiliserProducts[[#Headers],[Include or Exclude]], 0)</f>
        <v/>
      </c>
      <c r="AE103" s="10" t="str" cm="1">
        <f t="array" ref="AE103">Common_InputFunctions.Utility_DisplayArrayInTable(Fertiliser_SourceData.Fertiliser_Products_Data1(),FertiliserProducts[[#Headers],[Include or Exclude]], 0)</f>
        <v/>
      </c>
    </row>
    <row r="104" spans="4:31" ht="20.100000000000001" customHeight="1" x14ac:dyDescent="0.25">
      <c r="D104" s="54" t="str" cm="1">
        <f t="array" ref="D104">Common_InputFunctions.Utility_DisplayArrayInTable(Fertiliser_SourceData.Fertiliser_Products_Data1(),FertiliserProducts[[#Headers],[Include or Exclude]], 0)</f>
        <v/>
      </c>
      <c r="E104" s="54" t="str" cm="1">
        <f t="array" ref="E104">Common_InputFunctions.Utility_DisplayArrayInTable(Fertiliser_SourceData.Fertiliser_Products_Data1(),FertiliserProducts[[#Headers],[Include or Exclude]], 0)</f>
        <v/>
      </c>
      <c r="F104" s="54" t="str" cm="1">
        <f t="array" ref="F104">Common_InputFunctions.Utility_DisplayArrayInTable(Fertiliser_SourceData.Fertiliser_Products_Data1(),FertiliserProducts[[#Headers],[Include or Exclude]], 0)</f>
        <v/>
      </c>
      <c r="G104" s="54" t="str" cm="1">
        <f t="array" ref="G104">Common_InputFunctions.Utility_DisplayArrayInTable(Fertiliser_SourceData.Fertiliser_Products_Data1(),FertiliserProducts[[#Headers],[Include or Exclude]], 0)</f>
        <v/>
      </c>
      <c r="H104" s="54" t="str" cm="1">
        <f t="array" ref="H104">Common_InputFunctions.Utility_DisplayArrayInTable(Fertiliser_SourceData.Fertiliser_Products_Data1(),FertiliserProducts[[#Headers],[Include or Exclude]], 0)</f>
        <v/>
      </c>
      <c r="I104" s="54" t="str" cm="1">
        <f t="array" ref="I104">Common_InputFunctions.Utility_DisplayArrayInTable(Fertiliser_SourceData.Fertiliser_Products_Data1(),FertiliserProducts[[#Headers],[Include or Exclude]], 0)</f>
        <v/>
      </c>
      <c r="J104" s="54" t="str" cm="1">
        <f t="array" ref="J104">Common_InputFunctions.Utility_DisplayArrayInTable(Fertiliser_SourceData.Fertiliser_Products_Data1(),FertiliserProducts[[#Headers],[Include or Exclude]], 0)</f>
        <v/>
      </c>
      <c r="K104" s="54" t="str" cm="1">
        <f t="array" ref="K104">Common_InputFunctions.Utility_DisplayArrayInTable(Fertiliser_SourceData.Fertiliser_Products_Data1(),FertiliserProducts[[#Headers],[Include or Exclude]], 0)</f>
        <v/>
      </c>
      <c r="L104" s="54" t="str" cm="1">
        <f t="array" ref="L104">Common_InputFunctions.Utility_DisplayArrayInTable(Fertiliser_SourceData.Fertiliser_Products_Data1(),FertiliserProducts[[#Headers],[Include or Exclude]], 0)</f>
        <v/>
      </c>
      <c r="M104" s="10" t="str" cm="1">
        <f t="array" ref="M104">Common_InputFunctions.Utility_DisplayArrayInTable(Fertiliser_SourceData.Fertiliser_Products_Data1(),FertiliserProducts[[#Headers],[Include or Exclude]], 0)</f>
        <v/>
      </c>
      <c r="N104" s="54" t="str" cm="1">
        <f t="array" ref="N104">Common_InputFunctions.Utility_DisplayArrayInTable(Fertiliser_SourceData.Fertiliser_Products_Data1(),FertiliserProducts[[#Headers],[Include or Exclude]], 0)</f>
        <v/>
      </c>
      <c r="O104" s="54" t="str" cm="1">
        <f t="array" ref="O104">Common_InputFunctions.Utility_DisplayArrayInTable(Fertiliser_SourceData.Fertiliser_Products_Data1(),FertiliserProducts[[#Headers],[Include or Exclude]], 0)</f>
        <v/>
      </c>
      <c r="P104" s="54" t="str" cm="1">
        <f t="array" ref="P104">Common_InputFunctions.Utility_DisplayArrayInTable(Fertiliser_SourceData.Fertiliser_Products_Data1(),FertiliserProducts[[#Headers],[Include or Exclude]], 0)</f>
        <v/>
      </c>
      <c r="Q104" s="54" t="str" cm="1">
        <f t="array" ref="Q104">Common_InputFunctions.Utility_DisplayArrayInTable(Fertiliser_SourceData.Fertiliser_Products_Data1(),FertiliserProducts[[#Headers],[Include or Exclude]], 0)</f>
        <v/>
      </c>
      <c r="R104" s="54" t="str" cm="1">
        <f t="array" ref="R104">Common_InputFunctions.Utility_DisplayArrayInTable(Fertiliser_SourceData.Fertiliser_Products_Data1(),FertiliserProducts[[#Headers],[Include or Exclude]], 0)</f>
        <v/>
      </c>
      <c r="S104" s="54" t="str" cm="1">
        <f t="array" ref="S104">Common_InputFunctions.Utility_DisplayArrayInTable(Fertiliser_SourceData.Fertiliser_Products_Data1(),FertiliserProducts[[#Headers],[Include or Exclude]], 0)</f>
        <v/>
      </c>
      <c r="T104" s="54" t="str" cm="1">
        <f t="array" ref="T104">Common_InputFunctions.Utility_DisplayArrayInTable(Fertiliser_SourceData.Fertiliser_Products_Data1(),FertiliserProducts[[#Headers],[Include or Exclude]], 0)</f>
        <v/>
      </c>
      <c r="U104" s="54" t="str" cm="1">
        <f t="array" ref="U104">Common_InputFunctions.Utility_DisplayArrayInTable(Fertiliser_SourceData.Fertiliser_Products_Data1(),FertiliserProducts[[#Headers],[Include or Exclude]], 0)</f>
        <v/>
      </c>
      <c r="V104" s="10" t="str" cm="1">
        <f t="array" ref="V104">Common_InputFunctions.Utility_DisplayArrayInTable(Fertiliser_SourceData.Fertiliser_Products_Data1(),FertiliserProducts[[#Headers],[Include or Exclude]], 0)</f>
        <v/>
      </c>
      <c r="W104" s="10" t="str" cm="1">
        <f t="array" ref="W104">Common_InputFunctions.Utility_DisplayArrayInTable(Fertiliser_SourceData.Fertiliser_Products_Data1(),FertiliserProducts[[#Headers],[Include or Exclude]], 0)</f>
        <v/>
      </c>
      <c r="X104" s="10" t="str" cm="1">
        <f t="array" ref="X104">Common_InputFunctions.Utility_DisplayArrayInTable(Fertiliser_SourceData.Fertiliser_Products_Data1(),FertiliserProducts[[#Headers],[Include or Exclude]], 0)</f>
        <v/>
      </c>
      <c r="Y104" s="10" t="str" cm="1">
        <f t="array" ref="Y104">Common_InputFunctions.Utility_DisplayArrayInTable(Fertiliser_SourceData.Fertiliser_Products_Data1(),FertiliserProducts[[#Headers],[Include or Exclude]], 0)</f>
        <v/>
      </c>
      <c r="Z104" s="10" t="str" cm="1">
        <f t="array" ref="Z104">Common_InputFunctions.Utility_DisplayArrayInTable(Fertiliser_SourceData.Fertiliser_Products_Data1(),FertiliserProducts[[#Headers],[Include or Exclude]], 0)</f>
        <v/>
      </c>
      <c r="AA104" s="10" t="str" cm="1">
        <f t="array" ref="AA104">Common_InputFunctions.Utility_DisplayArrayInTable(Fertiliser_SourceData.Fertiliser_Products_Data1(),FertiliserProducts[[#Headers],[Include or Exclude]], 0)</f>
        <v/>
      </c>
      <c r="AB104" s="10" t="str" cm="1">
        <f t="array" ref="AB104">Common_InputFunctions.Utility_DisplayArrayInTable(Fertiliser_SourceData.Fertiliser_Products_Data1(),FertiliserProducts[[#Headers],[Include or Exclude]], 0)</f>
        <v/>
      </c>
      <c r="AC104" s="10" t="str" cm="1">
        <f t="array" ref="AC104">Common_InputFunctions.Utility_DisplayArrayInTable(Fertiliser_SourceData.Fertiliser_Products_Data1(),FertiliserProducts[[#Headers],[Include or Exclude]], 0)</f>
        <v/>
      </c>
      <c r="AD104" s="10" t="str" cm="1">
        <f t="array" ref="AD104">Common_InputFunctions.Utility_DisplayArrayInTable(Fertiliser_SourceData.Fertiliser_Products_Data1(),FertiliserProducts[[#Headers],[Include or Exclude]], 0)</f>
        <v/>
      </c>
      <c r="AE104" s="10" t="str" cm="1">
        <f t="array" ref="AE104">Common_InputFunctions.Utility_DisplayArrayInTable(Fertiliser_SourceData.Fertiliser_Products_Data1(),FertiliserProducts[[#Headers],[Include or Exclude]], 0)</f>
        <v/>
      </c>
    </row>
    <row r="105" spans="4:31" ht="20.100000000000001" customHeight="1" x14ac:dyDescent="0.25">
      <c r="D105" s="54" t="str" cm="1">
        <f t="array" ref="D105">Common_InputFunctions.Utility_DisplayArrayInTable(Fertiliser_SourceData.Fertiliser_Products_Data1(),FertiliserProducts[[#Headers],[Include or Exclude]], 0)</f>
        <v/>
      </c>
      <c r="E105" s="54" t="str" cm="1">
        <f t="array" ref="E105">Common_InputFunctions.Utility_DisplayArrayInTable(Fertiliser_SourceData.Fertiliser_Products_Data1(),FertiliserProducts[[#Headers],[Include or Exclude]], 0)</f>
        <v/>
      </c>
      <c r="F105" s="54" t="str" cm="1">
        <f t="array" ref="F105">Common_InputFunctions.Utility_DisplayArrayInTable(Fertiliser_SourceData.Fertiliser_Products_Data1(),FertiliserProducts[[#Headers],[Include or Exclude]], 0)</f>
        <v/>
      </c>
      <c r="G105" s="54" t="str" cm="1">
        <f t="array" ref="G105">Common_InputFunctions.Utility_DisplayArrayInTable(Fertiliser_SourceData.Fertiliser_Products_Data1(),FertiliserProducts[[#Headers],[Include or Exclude]], 0)</f>
        <v/>
      </c>
      <c r="H105" s="54" t="str" cm="1">
        <f t="array" ref="H105">Common_InputFunctions.Utility_DisplayArrayInTable(Fertiliser_SourceData.Fertiliser_Products_Data1(),FertiliserProducts[[#Headers],[Include or Exclude]], 0)</f>
        <v/>
      </c>
      <c r="I105" s="54" t="str" cm="1">
        <f t="array" ref="I105">Common_InputFunctions.Utility_DisplayArrayInTable(Fertiliser_SourceData.Fertiliser_Products_Data1(),FertiliserProducts[[#Headers],[Include or Exclude]], 0)</f>
        <v/>
      </c>
      <c r="J105" s="54" t="str" cm="1">
        <f t="array" ref="J105">Common_InputFunctions.Utility_DisplayArrayInTable(Fertiliser_SourceData.Fertiliser_Products_Data1(),FertiliserProducts[[#Headers],[Include or Exclude]], 0)</f>
        <v/>
      </c>
      <c r="K105" s="54" t="str" cm="1">
        <f t="array" ref="K105">Common_InputFunctions.Utility_DisplayArrayInTable(Fertiliser_SourceData.Fertiliser_Products_Data1(),FertiliserProducts[[#Headers],[Include or Exclude]], 0)</f>
        <v/>
      </c>
      <c r="L105" s="54" t="str" cm="1">
        <f t="array" ref="L105">Common_InputFunctions.Utility_DisplayArrayInTable(Fertiliser_SourceData.Fertiliser_Products_Data1(),FertiliserProducts[[#Headers],[Include or Exclude]], 0)</f>
        <v/>
      </c>
      <c r="M105" s="10" t="str" cm="1">
        <f t="array" ref="M105">Common_InputFunctions.Utility_DisplayArrayInTable(Fertiliser_SourceData.Fertiliser_Products_Data1(),FertiliserProducts[[#Headers],[Include or Exclude]], 0)</f>
        <v/>
      </c>
      <c r="N105" s="54" t="str" cm="1">
        <f t="array" ref="N105">Common_InputFunctions.Utility_DisplayArrayInTable(Fertiliser_SourceData.Fertiliser_Products_Data1(),FertiliserProducts[[#Headers],[Include or Exclude]], 0)</f>
        <v/>
      </c>
      <c r="O105" s="54" t="str" cm="1">
        <f t="array" ref="O105">Common_InputFunctions.Utility_DisplayArrayInTable(Fertiliser_SourceData.Fertiliser_Products_Data1(),FertiliserProducts[[#Headers],[Include or Exclude]], 0)</f>
        <v/>
      </c>
      <c r="P105" s="54" t="str" cm="1">
        <f t="array" ref="P105">Common_InputFunctions.Utility_DisplayArrayInTable(Fertiliser_SourceData.Fertiliser_Products_Data1(),FertiliserProducts[[#Headers],[Include or Exclude]], 0)</f>
        <v/>
      </c>
      <c r="Q105" s="54" t="str" cm="1">
        <f t="array" ref="Q105">Common_InputFunctions.Utility_DisplayArrayInTable(Fertiliser_SourceData.Fertiliser_Products_Data1(),FertiliserProducts[[#Headers],[Include or Exclude]], 0)</f>
        <v/>
      </c>
      <c r="R105" s="54" t="str" cm="1">
        <f t="array" ref="R105">Common_InputFunctions.Utility_DisplayArrayInTable(Fertiliser_SourceData.Fertiliser_Products_Data1(),FertiliserProducts[[#Headers],[Include or Exclude]], 0)</f>
        <v/>
      </c>
      <c r="S105" s="54" t="str" cm="1">
        <f t="array" ref="S105">Common_InputFunctions.Utility_DisplayArrayInTable(Fertiliser_SourceData.Fertiliser_Products_Data1(),FertiliserProducts[[#Headers],[Include or Exclude]], 0)</f>
        <v/>
      </c>
      <c r="T105" s="54" t="str" cm="1">
        <f t="array" ref="T105">Common_InputFunctions.Utility_DisplayArrayInTable(Fertiliser_SourceData.Fertiliser_Products_Data1(),FertiliserProducts[[#Headers],[Include or Exclude]], 0)</f>
        <v/>
      </c>
      <c r="U105" s="54" t="str" cm="1">
        <f t="array" ref="U105">Common_InputFunctions.Utility_DisplayArrayInTable(Fertiliser_SourceData.Fertiliser_Products_Data1(),FertiliserProducts[[#Headers],[Include or Exclude]], 0)</f>
        <v/>
      </c>
      <c r="V105" s="10" t="str" cm="1">
        <f t="array" ref="V105">Common_InputFunctions.Utility_DisplayArrayInTable(Fertiliser_SourceData.Fertiliser_Products_Data1(),FertiliserProducts[[#Headers],[Include or Exclude]], 0)</f>
        <v/>
      </c>
      <c r="W105" s="10" t="str" cm="1">
        <f t="array" ref="W105">Common_InputFunctions.Utility_DisplayArrayInTable(Fertiliser_SourceData.Fertiliser_Products_Data1(),FertiliserProducts[[#Headers],[Include or Exclude]], 0)</f>
        <v/>
      </c>
      <c r="X105" s="10" t="str" cm="1">
        <f t="array" ref="X105">Common_InputFunctions.Utility_DisplayArrayInTable(Fertiliser_SourceData.Fertiliser_Products_Data1(),FertiliserProducts[[#Headers],[Include or Exclude]], 0)</f>
        <v/>
      </c>
      <c r="Y105" s="10" t="str" cm="1">
        <f t="array" ref="Y105">Common_InputFunctions.Utility_DisplayArrayInTable(Fertiliser_SourceData.Fertiliser_Products_Data1(),FertiliserProducts[[#Headers],[Include or Exclude]], 0)</f>
        <v/>
      </c>
      <c r="Z105" s="10" t="str" cm="1">
        <f t="array" ref="Z105">Common_InputFunctions.Utility_DisplayArrayInTable(Fertiliser_SourceData.Fertiliser_Products_Data1(),FertiliserProducts[[#Headers],[Include or Exclude]], 0)</f>
        <v/>
      </c>
      <c r="AA105" s="10" t="str" cm="1">
        <f t="array" ref="AA105">Common_InputFunctions.Utility_DisplayArrayInTable(Fertiliser_SourceData.Fertiliser_Products_Data1(),FertiliserProducts[[#Headers],[Include or Exclude]], 0)</f>
        <v/>
      </c>
      <c r="AB105" s="10" t="str" cm="1">
        <f t="array" ref="AB105">Common_InputFunctions.Utility_DisplayArrayInTable(Fertiliser_SourceData.Fertiliser_Products_Data1(),FertiliserProducts[[#Headers],[Include or Exclude]], 0)</f>
        <v/>
      </c>
      <c r="AC105" s="10" t="str" cm="1">
        <f t="array" ref="AC105">Common_InputFunctions.Utility_DisplayArrayInTable(Fertiliser_SourceData.Fertiliser_Products_Data1(),FertiliserProducts[[#Headers],[Include or Exclude]], 0)</f>
        <v/>
      </c>
      <c r="AD105" s="10" t="str" cm="1">
        <f t="array" ref="AD105">Common_InputFunctions.Utility_DisplayArrayInTable(Fertiliser_SourceData.Fertiliser_Products_Data1(),FertiliserProducts[[#Headers],[Include or Exclude]], 0)</f>
        <v/>
      </c>
      <c r="AE105" s="10" t="str" cm="1">
        <f t="array" ref="AE105">Common_InputFunctions.Utility_DisplayArrayInTable(Fertiliser_SourceData.Fertiliser_Products_Data1(),FertiliserProducts[[#Headers],[Include or Exclude]], 0)</f>
        <v/>
      </c>
    </row>
    <row r="106" spans="4:31" ht="20.100000000000001" customHeight="1" x14ac:dyDescent="0.25">
      <c r="D106" s="54" t="str" cm="1">
        <f t="array" ref="D106">Common_InputFunctions.Utility_DisplayArrayInTable(Fertiliser_SourceData.Fertiliser_Products_Data1(),FertiliserProducts[[#Headers],[Include or Exclude]], 0)</f>
        <v/>
      </c>
      <c r="E106" s="54" t="str" cm="1">
        <f t="array" ref="E106">Common_InputFunctions.Utility_DisplayArrayInTable(Fertiliser_SourceData.Fertiliser_Products_Data1(),FertiliserProducts[[#Headers],[Include or Exclude]], 0)</f>
        <v/>
      </c>
      <c r="F106" s="54" t="str" cm="1">
        <f t="array" ref="F106">Common_InputFunctions.Utility_DisplayArrayInTable(Fertiliser_SourceData.Fertiliser_Products_Data1(),FertiliserProducts[[#Headers],[Include or Exclude]], 0)</f>
        <v/>
      </c>
      <c r="G106" s="54" t="str" cm="1">
        <f t="array" ref="G106">Common_InputFunctions.Utility_DisplayArrayInTable(Fertiliser_SourceData.Fertiliser_Products_Data1(),FertiliserProducts[[#Headers],[Include or Exclude]], 0)</f>
        <v/>
      </c>
      <c r="H106" s="54" t="str" cm="1">
        <f t="array" ref="H106">Common_InputFunctions.Utility_DisplayArrayInTable(Fertiliser_SourceData.Fertiliser_Products_Data1(),FertiliserProducts[[#Headers],[Include or Exclude]], 0)</f>
        <v/>
      </c>
      <c r="I106" s="54" t="str" cm="1">
        <f t="array" ref="I106">Common_InputFunctions.Utility_DisplayArrayInTable(Fertiliser_SourceData.Fertiliser_Products_Data1(),FertiliserProducts[[#Headers],[Include or Exclude]], 0)</f>
        <v/>
      </c>
      <c r="J106" s="54" t="str" cm="1">
        <f t="array" ref="J106">Common_InputFunctions.Utility_DisplayArrayInTable(Fertiliser_SourceData.Fertiliser_Products_Data1(),FertiliserProducts[[#Headers],[Include or Exclude]], 0)</f>
        <v/>
      </c>
      <c r="K106" s="54" t="str" cm="1">
        <f t="array" ref="K106">Common_InputFunctions.Utility_DisplayArrayInTable(Fertiliser_SourceData.Fertiliser_Products_Data1(),FertiliserProducts[[#Headers],[Include or Exclude]], 0)</f>
        <v/>
      </c>
      <c r="L106" s="54" t="str" cm="1">
        <f t="array" ref="L106">Common_InputFunctions.Utility_DisplayArrayInTable(Fertiliser_SourceData.Fertiliser_Products_Data1(),FertiliserProducts[[#Headers],[Include or Exclude]], 0)</f>
        <v/>
      </c>
      <c r="M106" s="10" t="str" cm="1">
        <f t="array" ref="M106">Common_InputFunctions.Utility_DisplayArrayInTable(Fertiliser_SourceData.Fertiliser_Products_Data1(),FertiliserProducts[[#Headers],[Include or Exclude]], 0)</f>
        <v/>
      </c>
      <c r="N106" s="54" t="str" cm="1">
        <f t="array" ref="N106">Common_InputFunctions.Utility_DisplayArrayInTable(Fertiliser_SourceData.Fertiliser_Products_Data1(),FertiliserProducts[[#Headers],[Include or Exclude]], 0)</f>
        <v/>
      </c>
      <c r="O106" s="54" t="str" cm="1">
        <f t="array" ref="O106">Common_InputFunctions.Utility_DisplayArrayInTable(Fertiliser_SourceData.Fertiliser_Products_Data1(),FertiliserProducts[[#Headers],[Include or Exclude]], 0)</f>
        <v/>
      </c>
      <c r="P106" s="54" t="str" cm="1">
        <f t="array" ref="P106">Common_InputFunctions.Utility_DisplayArrayInTable(Fertiliser_SourceData.Fertiliser_Products_Data1(),FertiliserProducts[[#Headers],[Include or Exclude]], 0)</f>
        <v/>
      </c>
      <c r="Q106" s="54" t="str" cm="1">
        <f t="array" ref="Q106">Common_InputFunctions.Utility_DisplayArrayInTable(Fertiliser_SourceData.Fertiliser_Products_Data1(),FertiliserProducts[[#Headers],[Include or Exclude]], 0)</f>
        <v/>
      </c>
      <c r="R106" s="54" t="str" cm="1">
        <f t="array" ref="R106">Common_InputFunctions.Utility_DisplayArrayInTable(Fertiliser_SourceData.Fertiliser_Products_Data1(),FertiliserProducts[[#Headers],[Include or Exclude]], 0)</f>
        <v/>
      </c>
      <c r="S106" s="54" t="str" cm="1">
        <f t="array" ref="S106">Common_InputFunctions.Utility_DisplayArrayInTable(Fertiliser_SourceData.Fertiliser_Products_Data1(),FertiliserProducts[[#Headers],[Include or Exclude]], 0)</f>
        <v/>
      </c>
      <c r="T106" s="54" t="str" cm="1">
        <f t="array" ref="T106">Common_InputFunctions.Utility_DisplayArrayInTable(Fertiliser_SourceData.Fertiliser_Products_Data1(),FertiliserProducts[[#Headers],[Include or Exclude]], 0)</f>
        <v/>
      </c>
      <c r="U106" s="54" t="str" cm="1">
        <f t="array" ref="U106">Common_InputFunctions.Utility_DisplayArrayInTable(Fertiliser_SourceData.Fertiliser_Products_Data1(),FertiliserProducts[[#Headers],[Include or Exclude]], 0)</f>
        <v/>
      </c>
      <c r="V106" s="10" t="str" cm="1">
        <f t="array" ref="V106">Common_InputFunctions.Utility_DisplayArrayInTable(Fertiliser_SourceData.Fertiliser_Products_Data1(),FertiliserProducts[[#Headers],[Include or Exclude]], 0)</f>
        <v/>
      </c>
      <c r="W106" s="10" t="str" cm="1">
        <f t="array" ref="W106">Common_InputFunctions.Utility_DisplayArrayInTable(Fertiliser_SourceData.Fertiliser_Products_Data1(),FertiliserProducts[[#Headers],[Include or Exclude]], 0)</f>
        <v/>
      </c>
      <c r="X106" s="10" t="str" cm="1">
        <f t="array" ref="X106">Common_InputFunctions.Utility_DisplayArrayInTable(Fertiliser_SourceData.Fertiliser_Products_Data1(),FertiliserProducts[[#Headers],[Include or Exclude]], 0)</f>
        <v/>
      </c>
      <c r="Y106" s="10" t="str" cm="1">
        <f t="array" ref="Y106">Common_InputFunctions.Utility_DisplayArrayInTable(Fertiliser_SourceData.Fertiliser_Products_Data1(),FertiliserProducts[[#Headers],[Include or Exclude]], 0)</f>
        <v/>
      </c>
      <c r="Z106" s="10" t="str" cm="1">
        <f t="array" ref="Z106">Common_InputFunctions.Utility_DisplayArrayInTable(Fertiliser_SourceData.Fertiliser_Products_Data1(),FertiliserProducts[[#Headers],[Include or Exclude]], 0)</f>
        <v/>
      </c>
      <c r="AA106" s="10" t="str" cm="1">
        <f t="array" ref="AA106">Common_InputFunctions.Utility_DisplayArrayInTable(Fertiliser_SourceData.Fertiliser_Products_Data1(),FertiliserProducts[[#Headers],[Include or Exclude]], 0)</f>
        <v/>
      </c>
      <c r="AB106" s="10" t="str" cm="1">
        <f t="array" ref="AB106">Common_InputFunctions.Utility_DisplayArrayInTable(Fertiliser_SourceData.Fertiliser_Products_Data1(),FertiliserProducts[[#Headers],[Include or Exclude]], 0)</f>
        <v/>
      </c>
      <c r="AC106" s="10" t="str" cm="1">
        <f t="array" ref="AC106">Common_InputFunctions.Utility_DisplayArrayInTable(Fertiliser_SourceData.Fertiliser_Products_Data1(),FertiliserProducts[[#Headers],[Include or Exclude]], 0)</f>
        <v/>
      </c>
      <c r="AD106" s="10" t="str" cm="1">
        <f t="array" ref="AD106">Common_InputFunctions.Utility_DisplayArrayInTable(Fertiliser_SourceData.Fertiliser_Products_Data1(),FertiliserProducts[[#Headers],[Include or Exclude]], 0)</f>
        <v/>
      </c>
      <c r="AE106" s="10" t="str" cm="1">
        <f t="array" ref="AE106">Common_InputFunctions.Utility_DisplayArrayInTable(Fertiliser_SourceData.Fertiliser_Products_Data1(),FertiliserProducts[[#Headers],[Include or Exclude]], 0)</f>
        <v/>
      </c>
    </row>
    <row r="107" spans="4:31" ht="20.100000000000001" customHeight="1" x14ac:dyDescent="0.25">
      <c r="D107" s="54" t="str" cm="1">
        <f t="array" ref="D107">Common_InputFunctions.Utility_DisplayArrayInTable(Fertiliser_SourceData.Fertiliser_Products_Data1(),FertiliserProducts[[#Headers],[Include or Exclude]], 0)</f>
        <v/>
      </c>
      <c r="E107" s="54" t="str" cm="1">
        <f t="array" ref="E107">Common_InputFunctions.Utility_DisplayArrayInTable(Fertiliser_SourceData.Fertiliser_Products_Data1(),FertiliserProducts[[#Headers],[Include or Exclude]], 0)</f>
        <v/>
      </c>
      <c r="F107" s="54" t="str" cm="1">
        <f t="array" ref="F107">Common_InputFunctions.Utility_DisplayArrayInTable(Fertiliser_SourceData.Fertiliser_Products_Data1(),FertiliserProducts[[#Headers],[Include or Exclude]], 0)</f>
        <v/>
      </c>
      <c r="G107" s="54" t="str" cm="1">
        <f t="array" ref="G107">Common_InputFunctions.Utility_DisplayArrayInTable(Fertiliser_SourceData.Fertiliser_Products_Data1(),FertiliserProducts[[#Headers],[Include or Exclude]], 0)</f>
        <v/>
      </c>
      <c r="H107" s="54" t="str" cm="1">
        <f t="array" ref="H107">Common_InputFunctions.Utility_DisplayArrayInTable(Fertiliser_SourceData.Fertiliser_Products_Data1(),FertiliserProducts[[#Headers],[Include or Exclude]], 0)</f>
        <v/>
      </c>
      <c r="I107" s="54" t="str" cm="1">
        <f t="array" ref="I107">Common_InputFunctions.Utility_DisplayArrayInTable(Fertiliser_SourceData.Fertiliser_Products_Data1(),FertiliserProducts[[#Headers],[Include or Exclude]], 0)</f>
        <v/>
      </c>
      <c r="J107" s="54" t="str" cm="1">
        <f t="array" ref="J107">Common_InputFunctions.Utility_DisplayArrayInTable(Fertiliser_SourceData.Fertiliser_Products_Data1(),FertiliserProducts[[#Headers],[Include or Exclude]], 0)</f>
        <v/>
      </c>
      <c r="K107" s="54" t="str" cm="1">
        <f t="array" ref="K107">Common_InputFunctions.Utility_DisplayArrayInTable(Fertiliser_SourceData.Fertiliser_Products_Data1(),FertiliserProducts[[#Headers],[Include or Exclude]], 0)</f>
        <v/>
      </c>
      <c r="L107" s="54" t="str" cm="1">
        <f t="array" ref="L107">Common_InputFunctions.Utility_DisplayArrayInTable(Fertiliser_SourceData.Fertiliser_Products_Data1(),FertiliserProducts[[#Headers],[Include or Exclude]], 0)</f>
        <v/>
      </c>
      <c r="M107" s="10" t="str" cm="1">
        <f t="array" ref="M107">Common_InputFunctions.Utility_DisplayArrayInTable(Fertiliser_SourceData.Fertiliser_Products_Data1(),FertiliserProducts[[#Headers],[Include or Exclude]], 0)</f>
        <v/>
      </c>
      <c r="N107" s="54" t="str" cm="1">
        <f t="array" ref="N107">Common_InputFunctions.Utility_DisplayArrayInTable(Fertiliser_SourceData.Fertiliser_Products_Data1(),FertiliserProducts[[#Headers],[Include or Exclude]], 0)</f>
        <v/>
      </c>
      <c r="O107" s="54" t="str" cm="1">
        <f t="array" ref="O107">Common_InputFunctions.Utility_DisplayArrayInTable(Fertiliser_SourceData.Fertiliser_Products_Data1(),FertiliserProducts[[#Headers],[Include or Exclude]], 0)</f>
        <v/>
      </c>
      <c r="P107" s="54" t="str" cm="1">
        <f t="array" ref="P107">Common_InputFunctions.Utility_DisplayArrayInTable(Fertiliser_SourceData.Fertiliser_Products_Data1(),FertiliserProducts[[#Headers],[Include or Exclude]], 0)</f>
        <v/>
      </c>
      <c r="Q107" s="54" t="str" cm="1">
        <f t="array" ref="Q107">Common_InputFunctions.Utility_DisplayArrayInTable(Fertiliser_SourceData.Fertiliser_Products_Data1(),FertiliserProducts[[#Headers],[Include or Exclude]], 0)</f>
        <v/>
      </c>
      <c r="R107" s="54" t="str" cm="1">
        <f t="array" ref="R107">Common_InputFunctions.Utility_DisplayArrayInTable(Fertiliser_SourceData.Fertiliser_Products_Data1(),FertiliserProducts[[#Headers],[Include or Exclude]], 0)</f>
        <v/>
      </c>
      <c r="S107" s="54" t="str" cm="1">
        <f t="array" ref="S107">Common_InputFunctions.Utility_DisplayArrayInTable(Fertiliser_SourceData.Fertiliser_Products_Data1(),FertiliserProducts[[#Headers],[Include or Exclude]], 0)</f>
        <v/>
      </c>
      <c r="T107" s="54" t="str" cm="1">
        <f t="array" ref="T107">Common_InputFunctions.Utility_DisplayArrayInTable(Fertiliser_SourceData.Fertiliser_Products_Data1(),FertiliserProducts[[#Headers],[Include or Exclude]], 0)</f>
        <v/>
      </c>
      <c r="U107" s="54" t="str" cm="1">
        <f t="array" ref="U107">Common_InputFunctions.Utility_DisplayArrayInTable(Fertiliser_SourceData.Fertiliser_Products_Data1(),FertiliserProducts[[#Headers],[Include or Exclude]], 0)</f>
        <v/>
      </c>
      <c r="V107" s="10" t="str" cm="1">
        <f t="array" ref="V107">Common_InputFunctions.Utility_DisplayArrayInTable(Fertiliser_SourceData.Fertiliser_Products_Data1(),FertiliserProducts[[#Headers],[Include or Exclude]], 0)</f>
        <v/>
      </c>
      <c r="W107" s="10" t="str" cm="1">
        <f t="array" ref="W107">Common_InputFunctions.Utility_DisplayArrayInTable(Fertiliser_SourceData.Fertiliser_Products_Data1(),FertiliserProducts[[#Headers],[Include or Exclude]], 0)</f>
        <v/>
      </c>
      <c r="X107" s="10" t="str" cm="1">
        <f t="array" ref="X107">Common_InputFunctions.Utility_DisplayArrayInTable(Fertiliser_SourceData.Fertiliser_Products_Data1(),FertiliserProducts[[#Headers],[Include or Exclude]], 0)</f>
        <v/>
      </c>
      <c r="Y107" s="10" t="str" cm="1">
        <f t="array" ref="Y107">Common_InputFunctions.Utility_DisplayArrayInTable(Fertiliser_SourceData.Fertiliser_Products_Data1(),FertiliserProducts[[#Headers],[Include or Exclude]], 0)</f>
        <v/>
      </c>
      <c r="Z107" s="10" t="str" cm="1">
        <f t="array" ref="Z107">Common_InputFunctions.Utility_DisplayArrayInTable(Fertiliser_SourceData.Fertiliser_Products_Data1(),FertiliserProducts[[#Headers],[Include or Exclude]], 0)</f>
        <v/>
      </c>
      <c r="AA107" s="10" t="str" cm="1">
        <f t="array" ref="AA107">Common_InputFunctions.Utility_DisplayArrayInTable(Fertiliser_SourceData.Fertiliser_Products_Data1(),FertiliserProducts[[#Headers],[Include or Exclude]], 0)</f>
        <v/>
      </c>
      <c r="AB107" s="10" t="str" cm="1">
        <f t="array" ref="AB107">Common_InputFunctions.Utility_DisplayArrayInTable(Fertiliser_SourceData.Fertiliser_Products_Data1(),FertiliserProducts[[#Headers],[Include or Exclude]], 0)</f>
        <v/>
      </c>
      <c r="AC107" s="10" t="str" cm="1">
        <f t="array" ref="AC107">Common_InputFunctions.Utility_DisplayArrayInTable(Fertiliser_SourceData.Fertiliser_Products_Data1(),FertiliserProducts[[#Headers],[Include or Exclude]], 0)</f>
        <v/>
      </c>
      <c r="AD107" s="10" t="str" cm="1">
        <f t="array" ref="AD107">Common_InputFunctions.Utility_DisplayArrayInTable(Fertiliser_SourceData.Fertiliser_Products_Data1(),FertiliserProducts[[#Headers],[Include or Exclude]], 0)</f>
        <v/>
      </c>
      <c r="AE107" s="10" t="str" cm="1">
        <f t="array" ref="AE107">Common_InputFunctions.Utility_DisplayArrayInTable(Fertiliser_SourceData.Fertiliser_Products_Data1(),FertiliserProducts[[#Headers],[Include or Exclude]], 0)</f>
        <v/>
      </c>
    </row>
    <row r="108" spans="4:31" ht="20.100000000000001" customHeight="1" x14ac:dyDescent="0.25">
      <c r="D108" s="54" t="str" cm="1">
        <f t="array" ref="D108">Common_InputFunctions.Utility_DisplayArrayInTable(Fertiliser_SourceData.Fertiliser_Products_Data1(),FertiliserProducts[[#Headers],[Include or Exclude]], 0)</f>
        <v/>
      </c>
      <c r="E108" s="54" t="str" cm="1">
        <f t="array" ref="E108">Common_InputFunctions.Utility_DisplayArrayInTable(Fertiliser_SourceData.Fertiliser_Products_Data1(),FertiliserProducts[[#Headers],[Include or Exclude]], 0)</f>
        <v/>
      </c>
      <c r="F108" s="54" t="str" cm="1">
        <f t="array" ref="F108">Common_InputFunctions.Utility_DisplayArrayInTable(Fertiliser_SourceData.Fertiliser_Products_Data1(),FertiliserProducts[[#Headers],[Include or Exclude]], 0)</f>
        <v/>
      </c>
      <c r="G108" s="54" t="str" cm="1">
        <f t="array" ref="G108">Common_InputFunctions.Utility_DisplayArrayInTable(Fertiliser_SourceData.Fertiliser_Products_Data1(),FertiliserProducts[[#Headers],[Include or Exclude]], 0)</f>
        <v/>
      </c>
      <c r="H108" s="54" t="str" cm="1">
        <f t="array" ref="H108">Common_InputFunctions.Utility_DisplayArrayInTable(Fertiliser_SourceData.Fertiliser_Products_Data1(),FertiliserProducts[[#Headers],[Include or Exclude]], 0)</f>
        <v/>
      </c>
      <c r="I108" s="54" t="str" cm="1">
        <f t="array" ref="I108">Common_InputFunctions.Utility_DisplayArrayInTable(Fertiliser_SourceData.Fertiliser_Products_Data1(),FertiliserProducts[[#Headers],[Include or Exclude]], 0)</f>
        <v/>
      </c>
      <c r="J108" s="54" t="str" cm="1">
        <f t="array" ref="J108">Common_InputFunctions.Utility_DisplayArrayInTable(Fertiliser_SourceData.Fertiliser_Products_Data1(),FertiliserProducts[[#Headers],[Include or Exclude]], 0)</f>
        <v/>
      </c>
      <c r="K108" s="54" t="str" cm="1">
        <f t="array" ref="K108">Common_InputFunctions.Utility_DisplayArrayInTable(Fertiliser_SourceData.Fertiliser_Products_Data1(),FertiliserProducts[[#Headers],[Include or Exclude]], 0)</f>
        <v/>
      </c>
      <c r="L108" s="54" t="str" cm="1">
        <f t="array" ref="L108">Common_InputFunctions.Utility_DisplayArrayInTable(Fertiliser_SourceData.Fertiliser_Products_Data1(),FertiliserProducts[[#Headers],[Include or Exclude]], 0)</f>
        <v/>
      </c>
      <c r="M108" s="10" t="str" cm="1">
        <f t="array" ref="M108">Common_InputFunctions.Utility_DisplayArrayInTable(Fertiliser_SourceData.Fertiliser_Products_Data1(),FertiliserProducts[[#Headers],[Include or Exclude]], 0)</f>
        <v/>
      </c>
      <c r="N108" s="54" t="str" cm="1">
        <f t="array" ref="N108">Common_InputFunctions.Utility_DisplayArrayInTable(Fertiliser_SourceData.Fertiliser_Products_Data1(),FertiliserProducts[[#Headers],[Include or Exclude]], 0)</f>
        <v/>
      </c>
      <c r="O108" s="54" t="str" cm="1">
        <f t="array" ref="O108">Common_InputFunctions.Utility_DisplayArrayInTable(Fertiliser_SourceData.Fertiliser_Products_Data1(),FertiliserProducts[[#Headers],[Include or Exclude]], 0)</f>
        <v/>
      </c>
      <c r="P108" s="54" t="str" cm="1">
        <f t="array" ref="P108">Common_InputFunctions.Utility_DisplayArrayInTable(Fertiliser_SourceData.Fertiliser_Products_Data1(),FertiliserProducts[[#Headers],[Include or Exclude]], 0)</f>
        <v/>
      </c>
      <c r="Q108" s="54" t="str" cm="1">
        <f t="array" ref="Q108">Common_InputFunctions.Utility_DisplayArrayInTable(Fertiliser_SourceData.Fertiliser_Products_Data1(),FertiliserProducts[[#Headers],[Include or Exclude]], 0)</f>
        <v/>
      </c>
      <c r="R108" s="54" t="str" cm="1">
        <f t="array" ref="R108">Common_InputFunctions.Utility_DisplayArrayInTable(Fertiliser_SourceData.Fertiliser_Products_Data1(),FertiliserProducts[[#Headers],[Include or Exclude]], 0)</f>
        <v/>
      </c>
      <c r="S108" s="54" t="str" cm="1">
        <f t="array" ref="S108">Common_InputFunctions.Utility_DisplayArrayInTable(Fertiliser_SourceData.Fertiliser_Products_Data1(),FertiliserProducts[[#Headers],[Include or Exclude]], 0)</f>
        <v/>
      </c>
      <c r="T108" s="54" t="str" cm="1">
        <f t="array" ref="T108">Common_InputFunctions.Utility_DisplayArrayInTable(Fertiliser_SourceData.Fertiliser_Products_Data1(),FertiliserProducts[[#Headers],[Include or Exclude]], 0)</f>
        <v/>
      </c>
      <c r="U108" s="54" t="str" cm="1">
        <f t="array" ref="U108">Common_InputFunctions.Utility_DisplayArrayInTable(Fertiliser_SourceData.Fertiliser_Products_Data1(),FertiliserProducts[[#Headers],[Include or Exclude]], 0)</f>
        <v/>
      </c>
      <c r="V108" s="10" t="str" cm="1">
        <f t="array" ref="V108">Common_InputFunctions.Utility_DisplayArrayInTable(Fertiliser_SourceData.Fertiliser_Products_Data1(),FertiliserProducts[[#Headers],[Include or Exclude]], 0)</f>
        <v/>
      </c>
      <c r="W108" s="10" t="str" cm="1">
        <f t="array" ref="W108">Common_InputFunctions.Utility_DisplayArrayInTable(Fertiliser_SourceData.Fertiliser_Products_Data1(),FertiliserProducts[[#Headers],[Include or Exclude]], 0)</f>
        <v/>
      </c>
      <c r="X108" s="10" t="str" cm="1">
        <f t="array" ref="X108">Common_InputFunctions.Utility_DisplayArrayInTable(Fertiliser_SourceData.Fertiliser_Products_Data1(),FertiliserProducts[[#Headers],[Include or Exclude]], 0)</f>
        <v/>
      </c>
      <c r="Y108" s="10" t="str" cm="1">
        <f t="array" ref="Y108">Common_InputFunctions.Utility_DisplayArrayInTable(Fertiliser_SourceData.Fertiliser_Products_Data1(),FertiliserProducts[[#Headers],[Include or Exclude]], 0)</f>
        <v/>
      </c>
      <c r="Z108" s="10" t="str" cm="1">
        <f t="array" ref="Z108">Common_InputFunctions.Utility_DisplayArrayInTable(Fertiliser_SourceData.Fertiliser_Products_Data1(),FertiliserProducts[[#Headers],[Include or Exclude]], 0)</f>
        <v/>
      </c>
      <c r="AA108" s="10" t="str" cm="1">
        <f t="array" ref="AA108">Common_InputFunctions.Utility_DisplayArrayInTable(Fertiliser_SourceData.Fertiliser_Products_Data1(),FertiliserProducts[[#Headers],[Include or Exclude]], 0)</f>
        <v/>
      </c>
      <c r="AB108" s="10" t="str" cm="1">
        <f t="array" ref="AB108">Common_InputFunctions.Utility_DisplayArrayInTable(Fertiliser_SourceData.Fertiliser_Products_Data1(),FertiliserProducts[[#Headers],[Include or Exclude]], 0)</f>
        <v/>
      </c>
      <c r="AC108" s="10" t="str" cm="1">
        <f t="array" ref="AC108">Common_InputFunctions.Utility_DisplayArrayInTable(Fertiliser_SourceData.Fertiliser_Products_Data1(),FertiliserProducts[[#Headers],[Include or Exclude]], 0)</f>
        <v/>
      </c>
      <c r="AD108" s="10" t="str" cm="1">
        <f t="array" ref="AD108">Common_InputFunctions.Utility_DisplayArrayInTable(Fertiliser_SourceData.Fertiliser_Products_Data1(),FertiliserProducts[[#Headers],[Include or Exclude]], 0)</f>
        <v/>
      </c>
      <c r="AE108" s="10" t="str" cm="1">
        <f t="array" ref="AE108">Common_InputFunctions.Utility_DisplayArrayInTable(Fertiliser_SourceData.Fertiliser_Products_Data1(),FertiliserProducts[[#Headers],[Include or Exclude]], 0)</f>
        <v/>
      </c>
    </row>
    <row r="109" spans="4:31" ht="20.100000000000001" customHeight="1" x14ac:dyDescent="0.25">
      <c r="D109" s="54" t="str" cm="1">
        <f t="array" ref="D109">Common_InputFunctions.Utility_DisplayArrayInTable(Fertiliser_SourceData.Fertiliser_Products_Data2(),FertiliserProducts[[#Headers],[Include or Exclude]], 20)</f>
        <v>Product</v>
      </c>
      <c r="E109" s="54" t="str" cm="1">
        <f t="array" ref="E109">Common_InputFunctions.Utility_DisplayArrayInTable(Fertiliser_SourceData.Fertiliser_Products_Data2(),FertiliserProducts[[#Headers],[Include or Exclude]], 20)</f>
        <v>Ingredient 1</v>
      </c>
      <c r="F109" s="54" t="str" cm="1">
        <f t="array" ref="F109">Common_InputFunctions.Utility_DisplayArrayInTable(Fertiliser_SourceData.Fertiliser_Products_Data2(),FertiliserProducts[[#Headers],[Include or Exclude]], 20)</f>
        <v>Ingredient 1 percent</v>
      </c>
      <c r="G109" s="54" t="str" cm="1">
        <f t="array" ref="G109">Common_InputFunctions.Utility_DisplayArrayInTable(Fertiliser_SourceData.Fertiliser_Products_Data2(),FertiliserProducts[[#Headers],[Include or Exclude]], 20)</f>
        <v>Ingredient 1 source</v>
      </c>
      <c r="H109" s="54" t="str" cm="1">
        <f t="array" ref="H109">Common_InputFunctions.Utility_DisplayArrayInTable(Fertiliser_SourceData.Fertiliser_Products_Data2(),FertiliserProducts[[#Headers],[Include or Exclude]], 20)</f>
        <v>Ingredient 2</v>
      </c>
      <c r="I109" s="54" t="str" cm="1">
        <f t="array" ref="I109">Common_InputFunctions.Utility_DisplayArrayInTable(Fertiliser_SourceData.Fertiliser_Products_Data2(),FertiliserProducts[[#Headers],[Include or Exclude]], 20)</f>
        <v>Ingredient 2 percent</v>
      </c>
      <c r="J109" s="54" t="str" cm="1">
        <f t="array" ref="J109">Common_InputFunctions.Utility_DisplayArrayInTable(Fertiliser_SourceData.Fertiliser_Products_Data2(),FertiliserProducts[[#Headers],[Include or Exclude]], 20)</f>
        <v>Ingredient 2 source</v>
      </c>
      <c r="K109" s="54" t="str" cm="1">
        <f t="array" ref="K109">Common_InputFunctions.Utility_DisplayArrayInTable(Fertiliser_SourceData.Fertiliser_Products_Data2(),FertiliserProducts[[#Headers],[Include or Exclude]], 20)</f>
        <v>Ingredient 3</v>
      </c>
      <c r="L109" s="54" t="str" cm="1">
        <f t="array" ref="L109">Common_InputFunctions.Utility_DisplayArrayInTable(Fertiliser_SourceData.Fertiliser_Products_Data2(),FertiliserProducts[[#Headers],[Include or Exclude]], 20)</f>
        <v>Ingredient 3 percent</v>
      </c>
      <c r="M109" s="54" t="str" cm="1">
        <f t="array" ref="M109">Common_InputFunctions.Utility_DisplayArrayInTable(Fertiliser_SourceData.Fertiliser_Products_Data2(),FertiliserProducts[[#Headers],[Include or Exclude]], 20)</f>
        <v>Ingredient 3 source</v>
      </c>
      <c r="N109" s="54" t="str" cm="1">
        <f t="array" ref="N109">Common_InputFunctions.Utility_DisplayArrayInTable(Fertiliser_SourceData.Fertiliser_Products_Data2(),FertiliserProducts[[#Headers],[Include or Exclude]], 20)</f>
        <v>Ingredient 4</v>
      </c>
      <c r="O109" s="54" t="str" cm="1">
        <f t="array" ref="O109">Common_InputFunctions.Utility_DisplayArrayInTable(Fertiliser_SourceData.Fertiliser_Products_Data2(),FertiliserProducts[[#Headers],[Include or Exclude]], 20)</f>
        <v>Ingredient 4 percent</v>
      </c>
      <c r="P109" s="54" t="str" cm="1">
        <f t="array" ref="P109">Common_InputFunctions.Utility_DisplayArrayInTable(Fertiliser_SourceData.Fertiliser_Products_Data2(),FertiliserProducts[[#Headers],[Include or Exclude]], 20)</f>
        <v>Ingredient 4 source</v>
      </c>
      <c r="Q109" s="54" t="str" cm="1">
        <f t="array" ref="Q109">Common_InputFunctions.Utility_DisplayArrayInTable(Fertiliser_SourceData.Fertiliser_Products_Data2(),FertiliserProducts[[#Headers],[Include or Exclude]], 20)</f>
        <v>Ingredient 5</v>
      </c>
      <c r="R109" s="54" t="str" cm="1">
        <f t="array" ref="R109">Common_InputFunctions.Utility_DisplayArrayInTable(Fertiliser_SourceData.Fertiliser_Products_Data2(),FertiliserProducts[[#Headers],[Include or Exclude]], 20)</f>
        <v>Ingredient 5 percent</v>
      </c>
      <c r="S109" s="54" t="str" cm="1">
        <f t="array" ref="S109">Common_InputFunctions.Utility_DisplayArrayInTable(Fertiliser_SourceData.Fertiliser_Products_Data2(),FertiliserProducts[[#Headers],[Include or Exclude]], 20)</f>
        <v>Ingredient 5 source</v>
      </c>
      <c r="T109" s="54" t="str" cm="1">
        <f t="array" ref="T109">Common_InputFunctions.Utility_DisplayArrayInTable(Fertiliser_SourceData.Fertiliser_Products_Data2(),FertiliserProducts[[#Headers],[Include or Exclude]], 20)</f>
        <v>Ingredient 6</v>
      </c>
      <c r="U109" s="54" t="str" cm="1">
        <f t="array" ref="U109">Common_InputFunctions.Utility_DisplayArrayInTable(Fertiliser_SourceData.Fertiliser_Products_Data2(),FertiliserProducts[[#Headers],[Include or Exclude]], 20)</f>
        <v>Ingredient 6 percent</v>
      </c>
      <c r="V109" s="54" t="str" cm="1">
        <f t="array" ref="V109">Common_InputFunctions.Utility_DisplayArrayInTable(Fertiliser_SourceData.Fertiliser_Products_Data2(),FertiliserProducts[[#Headers],[Include or Exclude]], 20)</f>
        <v>Ingredient 6 source</v>
      </c>
      <c r="W109" s="54" t="str" cm="1">
        <f t="array" ref="W109">Common_InputFunctions.Utility_DisplayArrayInTable(Fertiliser_SourceData.Fertiliser_Products_Data2(),FertiliserProducts[[#Headers],[Include or Exclude]], 20)</f>
        <v>Product info link</v>
      </c>
      <c r="X109" s="54" t="str" cm="1">
        <f t="array" ref="X109">Common_InputFunctions.Utility_DisplayArrayInTable(Fertiliser_SourceData.Fertiliser_Products_Data2(),FertiliserProducts[[#Headers],[Include or Exclude]], 20)</f>
        <v/>
      </c>
      <c r="Y109" s="54" t="str" cm="1">
        <f t="array" ref="Y109">Common_InputFunctions.Utility_DisplayArrayInTable(Fertiliser_SourceData.Fertiliser_Products_Data2(),FertiliserProducts[[#Headers],[Include or Exclude]], 20)</f>
        <v/>
      </c>
      <c r="Z109" s="54" t="str" cm="1">
        <f t="array" ref="Z109">Common_InputFunctions.Utility_DisplayArrayInTable(Fertiliser_SourceData.Fertiliser_Products_Data2(),FertiliserProducts[[#Headers],[Include or Exclude]], 20)</f>
        <v/>
      </c>
      <c r="AA109" s="10" t="str" cm="1">
        <f t="array" ref="AA109">Common_InputFunctions.Utility_DisplayArrayInTable(Fertiliser_SourceData.Fertiliser_Products_Data2(),FertiliserProducts[[#Headers],[Include or Exclude]], 20)</f>
        <v/>
      </c>
      <c r="AB109" s="10" t="str" cm="1">
        <f t="array" ref="AB109">Common_InputFunctions.Utility_DisplayArrayInTable(Fertiliser_SourceData.Fertiliser_Products_Data2(),FertiliserProducts[[#Headers],[Include or Exclude]], 20)</f>
        <v/>
      </c>
      <c r="AC109" s="10" t="str" cm="1">
        <f t="array" ref="AC109">Common_InputFunctions.Utility_DisplayArrayInTable(Fertiliser_SourceData.Fertiliser_Products_Data2(),FertiliserProducts[[#Headers],[Include or Exclude]], 20)</f>
        <v/>
      </c>
      <c r="AD109" s="10" t="str" cm="1">
        <f t="array" ref="AD109">Common_InputFunctions.Utility_DisplayArrayInTable(Fertiliser_SourceData.Fertiliser_Products_Data2(),FertiliserProducts[[#Headers],[Include or Exclude]], 20)</f>
        <v/>
      </c>
      <c r="AE109" s="10" t="str" cm="1">
        <f t="array" ref="AE109">Common_InputFunctions.Utility_DisplayArrayInTable(Fertiliser_SourceData.Fertiliser_Products_Data2(),FertiliserProducts[[#Headers],[Include or Exclude]], 20)</f>
        <v/>
      </c>
    </row>
    <row r="110" spans="4:31" ht="20.100000000000001" customHeight="1" x14ac:dyDescent="0.25">
      <c r="D110" s="54" t="str" cm="1">
        <f t="array" ref="D110">Common_InputFunctions.Utility_DisplayArrayInTable(Fertiliser_SourceData.Fertiliser_Products_Data2(),FertiliserProducts[[#Headers],[Include or Exclude]], 20)</f>
        <v>Manganese Sulphate</v>
      </c>
      <c r="E110" s="54" t="str" cm="1">
        <f t="array" ref="E110">Common_InputFunctions.Utility_DisplayArrayInTable(Fertiliser_SourceData.Fertiliser_Products_Data2(),FertiliserProducts[[#Headers],[Include or Exclude]], 20)</f>
        <v/>
      </c>
      <c r="F110" s="54" t="str" cm="1">
        <f t="array" ref="F110">Common_InputFunctions.Utility_DisplayArrayInTable(Fertiliser_SourceData.Fertiliser_Products_Data2(),FertiliserProducts[[#Headers],[Include or Exclude]], 20)</f>
        <v/>
      </c>
      <c r="G110" s="54" t="str" cm="1">
        <f t="array" ref="G110">Common_InputFunctions.Utility_DisplayArrayInTable(Fertiliser_SourceData.Fertiliser_Products_Data2(),FertiliserProducts[[#Headers],[Include or Exclude]], 20)</f>
        <v/>
      </c>
      <c r="H110" s="54" t="str" cm="1">
        <f t="array" ref="H110">Common_InputFunctions.Utility_DisplayArrayInTable(Fertiliser_SourceData.Fertiliser_Products_Data2(),FertiliserProducts[[#Headers],[Include or Exclude]], 20)</f>
        <v/>
      </c>
      <c r="I110" s="54" t="str" cm="1">
        <f t="array" ref="I110">Common_InputFunctions.Utility_DisplayArrayInTable(Fertiliser_SourceData.Fertiliser_Products_Data2(),FertiliserProducts[[#Headers],[Include or Exclude]], 20)</f>
        <v/>
      </c>
      <c r="J110" s="54" t="str" cm="1">
        <f t="array" ref="J110">Common_InputFunctions.Utility_DisplayArrayInTable(Fertiliser_SourceData.Fertiliser_Products_Data2(),FertiliserProducts[[#Headers],[Include or Exclude]], 20)</f>
        <v/>
      </c>
      <c r="K110" s="54" t="str" cm="1">
        <f t="array" ref="K110">Common_InputFunctions.Utility_DisplayArrayInTable(Fertiliser_SourceData.Fertiliser_Products_Data2(),FertiliserProducts[[#Headers],[Include or Exclude]], 20)</f>
        <v/>
      </c>
      <c r="L110" s="54" t="str" cm="1">
        <f t="array" ref="L110">Common_InputFunctions.Utility_DisplayArrayInTable(Fertiliser_SourceData.Fertiliser_Products_Data2(),FertiliserProducts[[#Headers],[Include or Exclude]], 20)</f>
        <v/>
      </c>
      <c r="M110" s="54" t="str" cm="1">
        <f t="array" ref="M110">Common_InputFunctions.Utility_DisplayArrayInTable(Fertiliser_SourceData.Fertiliser_Products_Data2(),FertiliserProducts[[#Headers],[Include or Exclude]], 20)</f>
        <v/>
      </c>
      <c r="N110" s="54" t="str" cm="1">
        <f t="array" ref="N110">Common_InputFunctions.Utility_DisplayArrayInTable(Fertiliser_SourceData.Fertiliser_Products_Data2(),FertiliserProducts[[#Headers],[Include or Exclude]], 20)</f>
        <v/>
      </c>
      <c r="O110" s="54" t="str" cm="1">
        <f t="array" ref="O110">Common_InputFunctions.Utility_DisplayArrayInTable(Fertiliser_SourceData.Fertiliser_Products_Data2(),FertiliserProducts[[#Headers],[Include or Exclude]], 20)</f>
        <v/>
      </c>
      <c r="P110" s="54" t="str" cm="1">
        <f t="array" ref="P110">Common_InputFunctions.Utility_DisplayArrayInTable(Fertiliser_SourceData.Fertiliser_Products_Data2(),FertiliserProducts[[#Headers],[Include or Exclude]], 20)</f>
        <v/>
      </c>
      <c r="Q110" s="54" t="str" cm="1">
        <f t="array" ref="Q110">Common_InputFunctions.Utility_DisplayArrayInTable(Fertiliser_SourceData.Fertiliser_Products_Data2(),FertiliserProducts[[#Headers],[Include or Exclude]], 20)</f>
        <v/>
      </c>
      <c r="R110" s="54" t="str" cm="1">
        <f t="array" ref="R110">Common_InputFunctions.Utility_DisplayArrayInTable(Fertiliser_SourceData.Fertiliser_Products_Data2(),FertiliserProducts[[#Headers],[Include or Exclude]], 20)</f>
        <v/>
      </c>
      <c r="S110" s="54" t="str" cm="1">
        <f t="array" ref="S110">Common_InputFunctions.Utility_DisplayArrayInTable(Fertiliser_SourceData.Fertiliser_Products_Data2(),FertiliserProducts[[#Headers],[Include or Exclude]], 20)</f>
        <v/>
      </c>
      <c r="T110" s="54" t="str" cm="1">
        <f t="array" ref="T110">Common_InputFunctions.Utility_DisplayArrayInTable(Fertiliser_SourceData.Fertiliser_Products_Data2(),FertiliserProducts[[#Headers],[Include or Exclude]], 20)</f>
        <v/>
      </c>
      <c r="U110" s="54" t="str" cm="1">
        <f t="array" ref="U110">Common_InputFunctions.Utility_DisplayArrayInTable(Fertiliser_SourceData.Fertiliser_Products_Data2(),FertiliserProducts[[#Headers],[Include or Exclude]], 20)</f>
        <v/>
      </c>
      <c r="V110" s="54" t="str" cm="1">
        <f t="array" ref="V110">Common_InputFunctions.Utility_DisplayArrayInTable(Fertiliser_SourceData.Fertiliser_Products_Data2(),FertiliserProducts[[#Headers],[Include or Exclude]], 20)</f>
        <v/>
      </c>
      <c r="W110" s="54" t="str" cm="1">
        <f t="array" ref="W110">Common_InputFunctions.Utility_DisplayArrayInTable(Fertiliser_SourceData.Fertiliser_Products_Data2(),FertiliserProducts[[#Headers],[Include or Exclude]], 20)</f>
        <v>Incitec Pivot Fertilisers</v>
      </c>
      <c r="X110" s="54" t="str" cm="1">
        <f t="array" ref="X110">Common_InputFunctions.Utility_DisplayArrayInTable(Fertiliser_SourceData.Fertiliser_Products_Data2(),FertiliserProducts[[#Headers],[Include or Exclude]], 20)</f>
        <v/>
      </c>
      <c r="Y110" s="54" t="str" cm="1">
        <f t="array" ref="Y110">Common_InputFunctions.Utility_DisplayArrayInTable(Fertiliser_SourceData.Fertiliser_Products_Data2(),FertiliserProducts[[#Headers],[Include or Exclude]], 20)</f>
        <v/>
      </c>
      <c r="Z110" s="54" t="str" cm="1">
        <f t="array" ref="Z110">Common_InputFunctions.Utility_DisplayArrayInTable(Fertiliser_SourceData.Fertiliser_Products_Data2(),FertiliserProducts[[#Headers],[Include or Exclude]], 20)</f>
        <v/>
      </c>
      <c r="AA110" s="10" t="str" cm="1">
        <f t="array" ref="AA110">Common_InputFunctions.Utility_DisplayArrayInTable(Fertiliser_SourceData.Fertiliser_Products_Data2(),FertiliserProducts[[#Headers],[Include or Exclude]], 20)</f>
        <v/>
      </c>
      <c r="AB110" s="10" t="str" cm="1">
        <f t="array" ref="AB110">Common_InputFunctions.Utility_DisplayArrayInTable(Fertiliser_SourceData.Fertiliser_Products_Data2(),FertiliserProducts[[#Headers],[Include or Exclude]], 20)</f>
        <v/>
      </c>
      <c r="AC110" s="10" t="str" cm="1">
        <f t="array" ref="AC110">Common_InputFunctions.Utility_DisplayArrayInTable(Fertiliser_SourceData.Fertiliser_Products_Data2(),FertiliserProducts[[#Headers],[Include or Exclude]], 20)</f>
        <v/>
      </c>
      <c r="AD110" s="10" t="str" cm="1">
        <f t="array" ref="AD110">Common_InputFunctions.Utility_DisplayArrayInTable(Fertiliser_SourceData.Fertiliser_Products_Data2(),FertiliserProducts[[#Headers],[Include or Exclude]], 20)</f>
        <v/>
      </c>
      <c r="AE110" s="10" t="str" cm="1">
        <f t="array" ref="AE110">Common_InputFunctions.Utility_DisplayArrayInTable(Fertiliser_SourceData.Fertiliser_Products_Data2(),FertiliserProducts[[#Headers],[Include or Exclude]], 20)</f>
        <v/>
      </c>
    </row>
    <row r="111" spans="4:31" ht="20.100000000000001" customHeight="1" x14ac:dyDescent="0.25">
      <c r="D111" s="54" t="str" cm="1">
        <f t="array" ref="D111">Common_InputFunctions.Utility_DisplayArrayInTable(Fertiliser_SourceData.Fertiliser_Products_Data2(),FertiliserProducts[[#Headers],[Include or Exclude]], 20)</f>
        <v>MAP</v>
      </c>
      <c r="E111" s="54" t="str" cm="1">
        <f t="array" ref="E111">Common_InputFunctions.Utility_DisplayArrayInTable(Fertiliser_SourceData.Fertiliser_Products_Data2(),FertiliserProducts[[#Headers],[Include or Exclude]], 20)</f>
        <v/>
      </c>
      <c r="F111" s="54" t="str" cm="1">
        <f t="array" ref="F111">Common_InputFunctions.Utility_DisplayArrayInTable(Fertiliser_SourceData.Fertiliser_Products_Data2(),FertiliserProducts[[#Headers],[Include or Exclude]], 20)</f>
        <v/>
      </c>
      <c r="G111" s="54" t="str" cm="1">
        <f t="array" ref="G111">Common_InputFunctions.Utility_DisplayArrayInTable(Fertiliser_SourceData.Fertiliser_Products_Data2(),FertiliserProducts[[#Headers],[Include or Exclude]], 20)</f>
        <v/>
      </c>
      <c r="H111" s="54" t="str" cm="1">
        <f t="array" ref="H111">Common_InputFunctions.Utility_DisplayArrayInTable(Fertiliser_SourceData.Fertiliser_Products_Data2(),FertiliserProducts[[#Headers],[Include or Exclude]], 20)</f>
        <v/>
      </c>
      <c r="I111" s="54" t="str" cm="1">
        <f t="array" ref="I111">Common_InputFunctions.Utility_DisplayArrayInTable(Fertiliser_SourceData.Fertiliser_Products_Data2(),FertiliserProducts[[#Headers],[Include or Exclude]], 20)</f>
        <v/>
      </c>
      <c r="J111" s="54" t="str" cm="1">
        <f t="array" ref="J111">Common_InputFunctions.Utility_DisplayArrayInTable(Fertiliser_SourceData.Fertiliser_Products_Data2(),FertiliserProducts[[#Headers],[Include or Exclude]], 20)</f>
        <v/>
      </c>
      <c r="K111" s="54" t="str" cm="1">
        <f t="array" ref="K111">Common_InputFunctions.Utility_DisplayArrayInTable(Fertiliser_SourceData.Fertiliser_Products_Data2(),FertiliserProducts[[#Headers],[Include or Exclude]], 20)</f>
        <v/>
      </c>
      <c r="L111" s="54" t="str" cm="1">
        <f t="array" ref="L111">Common_InputFunctions.Utility_DisplayArrayInTable(Fertiliser_SourceData.Fertiliser_Products_Data2(),FertiliserProducts[[#Headers],[Include or Exclude]], 20)</f>
        <v/>
      </c>
      <c r="M111" s="54" t="str" cm="1">
        <f t="array" ref="M111">Common_InputFunctions.Utility_DisplayArrayInTable(Fertiliser_SourceData.Fertiliser_Products_Data2(),FertiliserProducts[[#Headers],[Include or Exclude]], 20)</f>
        <v/>
      </c>
      <c r="N111" s="54" t="str" cm="1">
        <f t="array" ref="N111">Common_InputFunctions.Utility_DisplayArrayInTable(Fertiliser_SourceData.Fertiliser_Products_Data2(),FertiliserProducts[[#Headers],[Include or Exclude]], 20)</f>
        <v/>
      </c>
      <c r="O111" s="54" t="str" cm="1">
        <f t="array" ref="O111">Common_InputFunctions.Utility_DisplayArrayInTable(Fertiliser_SourceData.Fertiliser_Products_Data2(),FertiliserProducts[[#Headers],[Include or Exclude]], 20)</f>
        <v/>
      </c>
      <c r="P111" s="54" t="str" cm="1">
        <f t="array" ref="P111">Common_InputFunctions.Utility_DisplayArrayInTable(Fertiliser_SourceData.Fertiliser_Products_Data2(),FertiliserProducts[[#Headers],[Include or Exclude]], 20)</f>
        <v/>
      </c>
      <c r="Q111" s="54" t="str" cm="1">
        <f t="array" ref="Q111">Common_InputFunctions.Utility_DisplayArrayInTable(Fertiliser_SourceData.Fertiliser_Products_Data2(),FertiliserProducts[[#Headers],[Include or Exclude]], 20)</f>
        <v/>
      </c>
      <c r="R111" s="54" t="str" cm="1">
        <f t="array" ref="R111">Common_InputFunctions.Utility_DisplayArrayInTable(Fertiliser_SourceData.Fertiliser_Products_Data2(),FertiliserProducts[[#Headers],[Include or Exclude]], 20)</f>
        <v/>
      </c>
      <c r="S111" s="54" t="str" cm="1">
        <f t="array" ref="S111">Common_InputFunctions.Utility_DisplayArrayInTable(Fertiliser_SourceData.Fertiliser_Products_Data2(),FertiliserProducts[[#Headers],[Include or Exclude]], 20)</f>
        <v/>
      </c>
      <c r="T111" s="54" t="str" cm="1">
        <f t="array" ref="T111">Common_InputFunctions.Utility_DisplayArrayInTable(Fertiliser_SourceData.Fertiliser_Products_Data2(),FertiliserProducts[[#Headers],[Include or Exclude]], 20)</f>
        <v/>
      </c>
      <c r="U111" s="54" t="str" cm="1">
        <f t="array" ref="U111">Common_InputFunctions.Utility_DisplayArrayInTable(Fertiliser_SourceData.Fertiliser_Products_Data2(),FertiliserProducts[[#Headers],[Include or Exclude]], 20)</f>
        <v/>
      </c>
      <c r="V111" s="54" t="str" cm="1">
        <f t="array" ref="V111">Common_InputFunctions.Utility_DisplayArrayInTable(Fertiliser_SourceData.Fertiliser_Products_Data2(),FertiliserProducts[[#Headers],[Include or Exclude]], 20)</f>
        <v/>
      </c>
      <c r="W111" s="54" t="str" cm="1">
        <f t="array" ref="W111">Common_InputFunctions.Utility_DisplayArrayInTable(Fertiliser_SourceData.Fertiliser_Products_Data2(),FertiliserProducts[[#Headers],[Include or Exclude]], 20)</f>
        <v>Incitec Pivot Fertilisers</v>
      </c>
      <c r="X111" s="54" t="str" cm="1">
        <f t="array" ref="X111">Common_InputFunctions.Utility_DisplayArrayInTable(Fertiliser_SourceData.Fertiliser_Products_Data2(),FertiliserProducts[[#Headers],[Include or Exclude]], 20)</f>
        <v/>
      </c>
      <c r="Y111" s="54" t="str" cm="1">
        <f t="array" ref="Y111">Common_InputFunctions.Utility_DisplayArrayInTable(Fertiliser_SourceData.Fertiliser_Products_Data2(),FertiliserProducts[[#Headers],[Include or Exclude]], 20)</f>
        <v/>
      </c>
      <c r="Z111" s="54" t="str" cm="1">
        <f t="array" ref="Z111">Common_InputFunctions.Utility_DisplayArrayInTable(Fertiliser_SourceData.Fertiliser_Products_Data2(),FertiliserProducts[[#Headers],[Include or Exclude]], 20)</f>
        <v/>
      </c>
      <c r="AA111" s="10" t="str" cm="1">
        <f t="array" ref="AA111">Common_InputFunctions.Utility_DisplayArrayInTable(Fertiliser_SourceData.Fertiliser_Products_Data2(),FertiliserProducts[[#Headers],[Include or Exclude]], 20)</f>
        <v/>
      </c>
      <c r="AB111" s="10" t="str" cm="1">
        <f t="array" ref="AB111">Common_InputFunctions.Utility_DisplayArrayInTable(Fertiliser_SourceData.Fertiliser_Products_Data2(),FertiliserProducts[[#Headers],[Include or Exclude]], 20)</f>
        <v/>
      </c>
      <c r="AC111" s="10" t="str" cm="1">
        <f t="array" ref="AC111">Common_InputFunctions.Utility_DisplayArrayInTable(Fertiliser_SourceData.Fertiliser_Products_Data2(),FertiliserProducts[[#Headers],[Include or Exclude]], 20)</f>
        <v/>
      </c>
      <c r="AD111" s="10" t="str" cm="1">
        <f t="array" ref="AD111">Common_InputFunctions.Utility_DisplayArrayInTable(Fertiliser_SourceData.Fertiliser_Products_Data2(),FertiliserProducts[[#Headers],[Include or Exclude]], 20)</f>
        <v/>
      </c>
      <c r="AE111" s="10" t="str" cm="1">
        <f t="array" ref="AE111">Common_InputFunctions.Utility_DisplayArrayInTable(Fertiliser_SourceData.Fertiliser_Products_Data2(),FertiliserProducts[[#Headers],[Include or Exclude]], 20)</f>
        <v/>
      </c>
    </row>
    <row r="112" spans="4:31" ht="20.100000000000001" customHeight="1" x14ac:dyDescent="0.25">
      <c r="D112" s="54" t="str" cm="1">
        <f t="array" ref="D112">Common_InputFunctions.Utility_DisplayArrayInTable(Fertiliser_SourceData.Fertiliser_Products_Data2(),FertiliserProducts[[#Headers],[Include or Exclude]], 20)</f>
        <v>MAP Impact</v>
      </c>
      <c r="E112" s="54" t="str" cm="1">
        <f t="array" ref="E112">Common_InputFunctions.Utility_DisplayArrayInTable(Fertiliser_SourceData.Fertiliser_Products_Data2(),FertiliserProducts[[#Headers],[Include or Exclude]], 20)</f>
        <v/>
      </c>
      <c r="F112" s="54" t="str" cm="1">
        <f t="array" ref="F112">Common_InputFunctions.Utility_DisplayArrayInTable(Fertiliser_SourceData.Fertiliser_Products_Data2(),FertiliserProducts[[#Headers],[Include or Exclude]], 20)</f>
        <v/>
      </c>
      <c r="G112" s="54" t="str" cm="1">
        <f t="array" ref="G112">Common_InputFunctions.Utility_DisplayArrayInTable(Fertiliser_SourceData.Fertiliser_Products_Data2(),FertiliserProducts[[#Headers],[Include or Exclude]], 20)</f>
        <v/>
      </c>
      <c r="H112" s="54" t="str" cm="1">
        <f t="array" ref="H112">Common_InputFunctions.Utility_DisplayArrayInTable(Fertiliser_SourceData.Fertiliser_Products_Data2(),FertiliserProducts[[#Headers],[Include or Exclude]], 20)</f>
        <v/>
      </c>
      <c r="I112" s="54" t="str" cm="1">
        <f t="array" ref="I112">Common_InputFunctions.Utility_DisplayArrayInTable(Fertiliser_SourceData.Fertiliser_Products_Data2(),FertiliserProducts[[#Headers],[Include or Exclude]], 20)</f>
        <v/>
      </c>
      <c r="J112" s="54" t="str" cm="1">
        <f t="array" ref="J112">Common_InputFunctions.Utility_DisplayArrayInTable(Fertiliser_SourceData.Fertiliser_Products_Data2(),FertiliserProducts[[#Headers],[Include or Exclude]], 20)</f>
        <v/>
      </c>
      <c r="K112" s="54" t="str" cm="1">
        <f t="array" ref="K112">Common_InputFunctions.Utility_DisplayArrayInTable(Fertiliser_SourceData.Fertiliser_Products_Data2(),FertiliserProducts[[#Headers],[Include or Exclude]], 20)</f>
        <v/>
      </c>
      <c r="L112" s="54" t="str" cm="1">
        <f t="array" ref="L112">Common_InputFunctions.Utility_DisplayArrayInTable(Fertiliser_SourceData.Fertiliser_Products_Data2(),FertiliserProducts[[#Headers],[Include or Exclude]], 20)</f>
        <v/>
      </c>
      <c r="M112" s="54" t="str" cm="1">
        <f t="array" ref="M112">Common_InputFunctions.Utility_DisplayArrayInTable(Fertiliser_SourceData.Fertiliser_Products_Data2(),FertiliserProducts[[#Headers],[Include or Exclude]], 20)</f>
        <v/>
      </c>
      <c r="N112" s="54" t="str" cm="1">
        <f t="array" ref="N112">Common_InputFunctions.Utility_DisplayArrayInTable(Fertiliser_SourceData.Fertiliser_Products_Data2(),FertiliserProducts[[#Headers],[Include or Exclude]], 20)</f>
        <v/>
      </c>
      <c r="O112" s="54" t="str" cm="1">
        <f t="array" ref="O112">Common_InputFunctions.Utility_DisplayArrayInTable(Fertiliser_SourceData.Fertiliser_Products_Data2(),FertiliserProducts[[#Headers],[Include or Exclude]], 20)</f>
        <v/>
      </c>
      <c r="P112" s="54" t="str" cm="1">
        <f t="array" ref="P112">Common_InputFunctions.Utility_DisplayArrayInTable(Fertiliser_SourceData.Fertiliser_Products_Data2(),FertiliserProducts[[#Headers],[Include or Exclude]], 20)</f>
        <v/>
      </c>
      <c r="Q112" s="54" t="str" cm="1">
        <f t="array" ref="Q112">Common_InputFunctions.Utility_DisplayArrayInTable(Fertiliser_SourceData.Fertiliser_Products_Data2(),FertiliserProducts[[#Headers],[Include or Exclude]], 20)</f>
        <v/>
      </c>
      <c r="R112" s="54" t="str" cm="1">
        <f t="array" ref="R112">Common_InputFunctions.Utility_DisplayArrayInTable(Fertiliser_SourceData.Fertiliser_Products_Data2(),FertiliserProducts[[#Headers],[Include or Exclude]], 20)</f>
        <v/>
      </c>
      <c r="S112" s="54" t="str" cm="1">
        <f t="array" ref="S112">Common_InputFunctions.Utility_DisplayArrayInTable(Fertiliser_SourceData.Fertiliser_Products_Data2(),FertiliserProducts[[#Headers],[Include or Exclude]], 20)</f>
        <v/>
      </c>
      <c r="T112" s="54" t="str" cm="1">
        <f t="array" ref="T112">Common_InputFunctions.Utility_DisplayArrayInTable(Fertiliser_SourceData.Fertiliser_Products_Data2(),FertiliserProducts[[#Headers],[Include or Exclude]], 20)</f>
        <v/>
      </c>
      <c r="U112" s="54" t="str" cm="1">
        <f t="array" ref="U112">Common_InputFunctions.Utility_DisplayArrayInTable(Fertiliser_SourceData.Fertiliser_Products_Data2(),FertiliserProducts[[#Headers],[Include or Exclude]], 20)</f>
        <v/>
      </c>
      <c r="V112" s="54" t="str" cm="1">
        <f t="array" ref="V112">Common_InputFunctions.Utility_DisplayArrayInTable(Fertiliser_SourceData.Fertiliser_Products_Data2(),FertiliserProducts[[#Headers],[Include or Exclude]], 20)</f>
        <v/>
      </c>
      <c r="W112" s="54" t="str" cm="1">
        <f t="array" ref="W112">Common_InputFunctions.Utility_DisplayArrayInTable(Fertiliser_SourceData.Fertiliser_Products_Data2(),FertiliserProducts[[#Headers],[Include or Exclude]], 20)</f>
        <v>Impact fertilisers</v>
      </c>
      <c r="X112" s="54" t="str" cm="1">
        <f t="array" ref="X112">Common_InputFunctions.Utility_DisplayArrayInTable(Fertiliser_SourceData.Fertiliser_Products_Data2(),FertiliserProducts[[#Headers],[Include or Exclude]], 20)</f>
        <v/>
      </c>
      <c r="Y112" s="54" t="str" cm="1">
        <f t="array" ref="Y112">Common_InputFunctions.Utility_DisplayArrayInTable(Fertiliser_SourceData.Fertiliser_Products_Data2(),FertiliserProducts[[#Headers],[Include or Exclude]], 20)</f>
        <v/>
      </c>
      <c r="Z112" s="54" t="str" cm="1">
        <f t="array" ref="Z112">Common_InputFunctions.Utility_DisplayArrayInTable(Fertiliser_SourceData.Fertiliser_Products_Data2(),FertiliserProducts[[#Headers],[Include or Exclude]], 20)</f>
        <v/>
      </c>
      <c r="AA112" s="10" t="str" cm="1">
        <f t="array" ref="AA112">Common_InputFunctions.Utility_DisplayArrayInTable(Fertiliser_SourceData.Fertiliser_Products_Data2(),FertiliserProducts[[#Headers],[Include or Exclude]], 20)</f>
        <v/>
      </c>
      <c r="AB112" s="10" t="str" cm="1">
        <f t="array" ref="AB112">Common_InputFunctions.Utility_DisplayArrayInTable(Fertiliser_SourceData.Fertiliser_Products_Data2(),FertiliserProducts[[#Headers],[Include or Exclude]], 20)</f>
        <v/>
      </c>
      <c r="AC112" s="10" t="str" cm="1">
        <f t="array" ref="AC112">Common_InputFunctions.Utility_DisplayArrayInTable(Fertiliser_SourceData.Fertiliser_Products_Data2(),FertiliserProducts[[#Headers],[Include or Exclude]], 20)</f>
        <v/>
      </c>
      <c r="AD112" s="10" t="str" cm="1">
        <f t="array" ref="AD112">Common_InputFunctions.Utility_DisplayArrayInTable(Fertiliser_SourceData.Fertiliser_Products_Data2(),FertiliserProducts[[#Headers],[Include or Exclude]], 20)</f>
        <v/>
      </c>
      <c r="AE112" s="10" t="str" cm="1">
        <f t="array" ref="AE112">Common_InputFunctions.Utility_DisplayArrayInTable(Fertiliser_SourceData.Fertiliser_Products_Data2(),FertiliserProducts[[#Headers],[Include or Exclude]], 20)</f>
        <v/>
      </c>
    </row>
    <row r="113" spans="4:31" ht="20.100000000000001" customHeight="1" x14ac:dyDescent="0.25">
      <c r="D113" s="54" t="str" cm="1">
        <f t="array" ref="D113">Common_InputFunctions.Utility_DisplayArrayInTable(Fertiliser_SourceData.Fertiliser_Products_Data2(),FertiliserProducts[[#Headers],[Include or Exclude]], 20)</f>
        <v>MAPSZC</v>
      </c>
      <c r="E113" s="54" t="str" cm="1">
        <f t="array" ref="E113">Common_InputFunctions.Utility_DisplayArrayInTable(Fertiliser_SourceData.Fertiliser_Products_Data2(),FertiliserProducts[[#Headers],[Include or Exclude]], 20)</f>
        <v/>
      </c>
      <c r="F113" s="54" t="str" cm="1">
        <f t="array" ref="F113">Common_InputFunctions.Utility_DisplayArrayInTable(Fertiliser_SourceData.Fertiliser_Products_Data2(),FertiliserProducts[[#Headers],[Include or Exclude]], 20)</f>
        <v/>
      </c>
      <c r="G113" s="54" t="str" cm="1">
        <f t="array" ref="G113">Common_InputFunctions.Utility_DisplayArrayInTable(Fertiliser_SourceData.Fertiliser_Products_Data2(),FertiliserProducts[[#Headers],[Include or Exclude]], 20)</f>
        <v/>
      </c>
      <c r="H113" s="54" t="str" cm="1">
        <f t="array" ref="H113">Common_InputFunctions.Utility_DisplayArrayInTable(Fertiliser_SourceData.Fertiliser_Products_Data2(),FertiliserProducts[[#Headers],[Include or Exclude]], 20)</f>
        <v/>
      </c>
      <c r="I113" s="54" t="str" cm="1">
        <f t="array" ref="I113">Common_InputFunctions.Utility_DisplayArrayInTable(Fertiliser_SourceData.Fertiliser_Products_Data2(),FertiliserProducts[[#Headers],[Include or Exclude]], 20)</f>
        <v/>
      </c>
      <c r="J113" s="54" t="str" cm="1">
        <f t="array" ref="J113">Common_InputFunctions.Utility_DisplayArrayInTable(Fertiliser_SourceData.Fertiliser_Products_Data2(),FertiliserProducts[[#Headers],[Include or Exclude]], 20)</f>
        <v/>
      </c>
      <c r="K113" s="54" t="str" cm="1">
        <f t="array" ref="K113">Common_InputFunctions.Utility_DisplayArrayInTable(Fertiliser_SourceData.Fertiliser_Products_Data2(),FertiliserProducts[[#Headers],[Include or Exclude]], 20)</f>
        <v/>
      </c>
      <c r="L113" s="54" t="str" cm="1">
        <f t="array" ref="L113">Common_InputFunctions.Utility_DisplayArrayInTable(Fertiliser_SourceData.Fertiliser_Products_Data2(),FertiliserProducts[[#Headers],[Include or Exclude]], 20)</f>
        <v/>
      </c>
      <c r="M113" s="54" t="str" cm="1">
        <f t="array" ref="M113">Common_InputFunctions.Utility_DisplayArrayInTable(Fertiliser_SourceData.Fertiliser_Products_Data2(),FertiliserProducts[[#Headers],[Include or Exclude]], 20)</f>
        <v/>
      </c>
      <c r="N113" s="54" t="str" cm="1">
        <f t="array" ref="N113">Common_InputFunctions.Utility_DisplayArrayInTable(Fertiliser_SourceData.Fertiliser_Products_Data2(),FertiliserProducts[[#Headers],[Include or Exclude]], 20)</f>
        <v/>
      </c>
      <c r="O113" s="54" t="str" cm="1">
        <f t="array" ref="O113">Common_InputFunctions.Utility_DisplayArrayInTable(Fertiliser_SourceData.Fertiliser_Products_Data2(),FertiliserProducts[[#Headers],[Include or Exclude]], 20)</f>
        <v/>
      </c>
      <c r="P113" s="54" t="str" cm="1">
        <f t="array" ref="P113">Common_InputFunctions.Utility_DisplayArrayInTable(Fertiliser_SourceData.Fertiliser_Products_Data2(),FertiliserProducts[[#Headers],[Include or Exclude]], 20)</f>
        <v/>
      </c>
      <c r="Q113" s="54" t="str" cm="1">
        <f t="array" ref="Q113">Common_InputFunctions.Utility_DisplayArrayInTable(Fertiliser_SourceData.Fertiliser_Products_Data2(),FertiliserProducts[[#Headers],[Include or Exclude]], 20)</f>
        <v/>
      </c>
      <c r="R113" s="54" t="str" cm="1">
        <f t="array" ref="R113">Common_InputFunctions.Utility_DisplayArrayInTable(Fertiliser_SourceData.Fertiliser_Products_Data2(),FertiliserProducts[[#Headers],[Include or Exclude]], 20)</f>
        <v/>
      </c>
      <c r="S113" s="54" t="str" cm="1">
        <f t="array" ref="S113">Common_InputFunctions.Utility_DisplayArrayInTable(Fertiliser_SourceData.Fertiliser_Products_Data2(),FertiliserProducts[[#Headers],[Include or Exclude]], 20)</f>
        <v/>
      </c>
      <c r="T113" s="54" t="str" cm="1">
        <f t="array" ref="T113">Common_InputFunctions.Utility_DisplayArrayInTable(Fertiliser_SourceData.Fertiliser_Products_Data2(),FertiliserProducts[[#Headers],[Include or Exclude]], 20)</f>
        <v/>
      </c>
      <c r="U113" s="54" t="str" cm="1">
        <f t="array" ref="U113">Common_InputFunctions.Utility_DisplayArrayInTable(Fertiliser_SourceData.Fertiliser_Products_Data2(),FertiliserProducts[[#Headers],[Include or Exclude]], 20)</f>
        <v/>
      </c>
      <c r="V113" s="54" t="str" cm="1">
        <f t="array" ref="V113">Common_InputFunctions.Utility_DisplayArrayInTable(Fertiliser_SourceData.Fertiliser_Products_Data2(),FertiliserProducts[[#Headers],[Include or Exclude]], 20)</f>
        <v/>
      </c>
      <c r="W113" s="54" t="str" cm="1">
        <f t="array" ref="W113">Common_InputFunctions.Utility_DisplayArrayInTable(Fertiliser_SourceData.Fertiliser_Products_Data2(),FertiliserProducts[[#Headers],[Include or Exclude]], 20)</f>
        <v>Summit Fertilizers</v>
      </c>
      <c r="X113" s="54" t="str" cm="1">
        <f t="array" ref="X113">Common_InputFunctions.Utility_DisplayArrayInTable(Fertiliser_SourceData.Fertiliser_Products_Data2(),FertiliserProducts[[#Headers],[Include or Exclude]], 20)</f>
        <v/>
      </c>
      <c r="Y113" s="54" t="str" cm="1">
        <f t="array" ref="Y113">Common_InputFunctions.Utility_DisplayArrayInTable(Fertiliser_SourceData.Fertiliser_Products_Data2(),FertiliserProducts[[#Headers],[Include or Exclude]], 20)</f>
        <v/>
      </c>
      <c r="Z113" s="54" t="str" cm="1">
        <f t="array" ref="Z113">Common_InputFunctions.Utility_DisplayArrayInTable(Fertiliser_SourceData.Fertiliser_Products_Data2(),FertiliserProducts[[#Headers],[Include or Exclude]], 20)</f>
        <v/>
      </c>
      <c r="AA113" s="10" t="str" cm="1">
        <f t="array" ref="AA113">Common_InputFunctions.Utility_DisplayArrayInTable(Fertiliser_SourceData.Fertiliser_Products_Data2(),FertiliserProducts[[#Headers],[Include or Exclude]], 20)</f>
        <v/>
      </c>
      <c r="AB113" s="10" t="str" cm="1">
        <f t="array" ref="AB113">Common_InputFunctions.Utility_DisplayArrayInTable(Fertiliser_SourceData.Fertiliser_Products_Data2(),FertiliserProducts[[#Headers],[Include or Exclude]], 20)</f>
        <v/>
      </c>
      <c r="AC113" s="10" t="str" cm="1">
        <f t="array" ref="AC113">Common_InputFunctions.Utility_DisplayArrayInTable(Fertiliser_SourceData.Fertiliser_Products_Data2(),FertiliserProducts[[#Headers],[Include or Exclude]], 20)</f>
        <v/>
      </c>
      <c r="AD113" s="10" t="str" cm="1">
        <f t="array" ref="AD113">Common_InputFunctions.Utility_DisplayArrayInTable(Fertiliser_SourceData.Fertiliser_Products_Data2(),FertiliserProducts[[#Headers],[Include or Exclude]], 20)</f>
        <v/>
      </c>
      <c r="AE113" s="10" t="str" cm="1">
        <f t="array" ref="AE113">Common_InputFunctions.Utility_DisplayArrayInTable(Fertiliser_SourceData.Fertiliser_Products_Data2(),FertiliserProducts[[#Headers],[Include or Exclude]], 20)</f>
        <v/>
      </c>
    </row>
    <row r="114" spans="4:31" ht="20.100000000000001" customHeight="1" x14ac:dyDescent="0.25">
      <c r="D114" s="54" t="str" cm="1">
        <f t="array" ref="D114">Common_InputFunctions.Utility_DisplayArrayInTable(Fertiliser_SourceData.Fertiliser_Products_Data2(),FertiliserProducts[[#Headers],[Include or Exclude]], 20)</f>
        <v>Maximum N-Pact 29-0-0</v>
      </c>
      <c r="E114" s="54" t="str" cm="1">
        <f t="array" ref="E114">Common_InputFunctions.Utility_DisplayArrayInTable(Fertiliser_SourceData.Fertiliser_Products_Data2(),FertiliserProducts[[#Headers],[Include or Exclude]], 20)</f>
        <v/>
      </c>
      <c r="F114" s="54" t="str" cm="1">
        <f t="array" ref="F114">Common_InputFunctions.Utility_DisplayArrayInTable(Fertiliser_SourceData.Fertiliser_Products_Data2(),FertiliserProducts[[#Headers],[Include or Exclude]], 20)</f>
        <v/>
      </c>
      <c r="G114" s="54" t="str" cm="1">
        <f t="array" ref="G114">Common_InputFunctions.Utility_DisplayArrayInTable(Fertiliser_SourceData.Fertiliser_Products_Data2(),FertiliserProducts[[#Headers],[Include or Exclude]], 20)</f>
        <v/>
      </c>
      <c r="H114" s="54" t="str" cm="1">
        <f t="array" ref="H114">Common_InputFunctions.Utility_DisplayArrayInTable(Fertiliser_SourceData.Fertiliser_Products_Data2(),FertiliserProducts[[#Headers],[Include or Exclude]], 20)</f>
        <v/>
      </c>
      <c r="I114" s="54" t="str" cm="1">
        <f t="array" ref="I114">Common_InputFunctions.Utility_DisplayArrayInTable(Fertiliser_SourceData.Fertiliser_Products_Data2(),FertiliserProducts[[#Headers],[Include or Exclude]], 20)</f>
        <v/>
      </c>
      <c r="J114" s="54" t="str" cm="1">
        <f t="array" ref="J114">Common_InputFunctions.Utility_DisplayArrayInTable(Fertiliser_SourceData.Fertiliser_Products_Data2(),FertiliserProducts[[#Headers],[Include or Exclude]], 20)</f>
        <v/>
      </c>
      <c r="K114" s="54" t="str" cm="1">
        <f t="array" ref="K114">Common_InputFunctions.Utility_DisplayArrayInTable(Fertiliser_SourceData.Fertiliser_Products_Data2(),FertiliserProducts[[#Headers],[Include or Exclude]], 20)</f>
        <v/>
      </c>
      <c r="L114" s="54" t="str" cm="1">
        <f t="array" ref="L114">Common_InputFunctions.Utility_DisplayArrayInTable(Fertiliser_SourceData.Fertiliser_Products_Data2(),FertiliserProducts[[#Headers],[Include or Exclude]], 20)</f>
        <v/>
      </c>
      <c r="M114" s="54" t="str" cm="1">
        <f t="array" ref="M114">Common_InputFunctions.Utility_DisplayArrayInTable(Fertiliser_SourceData.Fertiliser_Products_Data2(),FertiliserProducts[[#Headers],[Include or Exclude]], 20)</f>
        <v/>
      </c>
      <c r="N114" s="54" t="str" cm="1">
        <f t="array" ref="N114">Common_InputFunctions.Utility_DisplayArrayInTable(Fertiliser_SourceData.Fertiliser_Products_Data2(),FertiliserProducts[[#Headers],[Include or Exclude]], 20)</f>
        <v/>
      </c>
      <c r="O114" s="54" t="str" cm="1">
        <f t="array" ref="O114">Common_InputFunctions.Utility_DisplayArrayInTable(Fertiliser_SourceData.Fertiliser_Products_Data2(),FertiliserProducts[[#Headers],[Include or Exclude]], 20)</f>
        <v/>
      </c>
      <c r="P114" s="54" t="str" cm="1">
        <f t="array" ref="P114">Common_InputFunctions.Utility_DisplayArrayInTable(Fertiliser_SourceData.Fertiliser_Products_Data2(),FertiliserProducts[[#Headers],[Include or Exclude]], 20)</f>
        <v/>
      </c>
      <c r="Q114" s="54" t="str" cm="1">
        <f t="array" ref="Q114">Common_InputFunctions.Utility_DisplayArrayInTable(Fertiliser_SourceData.Fertiliser_Products_Data2(),FertiliserProducts[[#Headers],[Include or Exclude]], 20)</f>
        <v/>
      </c>
      <c r="R114" s="54" t="str" cm="1">
        <f t="array" ref="R114">Common_InputFunctions.Utility_DisplayArrayInTable(Fertiliser_SourceData.Fertiliser_Products_Data2(),FertiliserProducts[[#Headers],[Include or Exclude]], 20)</f>
        <v/>
      </c>
      <c r="S114" s="54" t="str" cm="1">
        <f t="array" ref="S114">Common_InputFunctions.Utility_DisplayArrayInTable(Fertiliser_SourceData.Fertiliser_Products_Data2(),FertiliserProducts[[#Headers],[Include or Exclude]], 20)</f>
        <v/>
      </c>
      <c r="T114" s="54" t="str" cm="1">
        <f t="array" ref="T114">Common_InputFunctions.Utility_DisplayArrayInTable(Fertiliser_SourceData.Fertiliser_Products_Data2(),FertiliserProducts[[#Headers],[Include or Exclude]], 20)</f>
        <v/>
      </c>
      <c r="U114" s="54" t="str" cm="1">
        <f t="array" ref="U114">Common_InputFunctions.Utility_DisplayArrayInTable(Fertiliser_SourceData.Fertiliser_Products_Data2(),FertiliserProducts[[#Headers],[Include or Exclude]], 20)</f>
        <v/>
      </c>
      <c r="V114" s="54" t="str" cm="1">
        <f t="array" ref="V114">Common_InputFunctions.Utility_DisplayArrayInTable(Fertiliser_SourceData.Fertiliser_Products_Data2(),FertiliserProducts[[#Headers],[Include or Exclude]], 20)</f>
        <v/>
      </c>
      <c r="W114" s="54" t="str" cm="1">
        <f t="array" ref="W114">Common_InputFunctions.Utility_DisplayArrayInTable(Fertiliser_SourceData.Fertiliser_Products_Data2(),FertiliserProducts[[#Headers],[Include or Exclude]], 20)</f>
        <v>Maximum N-Pact | Loveland (lovelandagriproducts.com.au)</v>
      </c>
      <c r="X114" s="54" t="str" cm="1">
        <f t="array" ref="X114">Common_InputFunctions.Utility_DisplayArrayInTable(Fertiliser_SourceData.Fertiliser_Products_Data2(),FertiliserProducts[[#Headers],[Include or Exclude]], 20)</f>
        <v/>
      </c>
      <c r="Y114" s="54" t="str" cm="1">
        <f t="array" ref="Y114">Common_InputFunctions.Utility_DisplayArrayInTable(Fertiliser_SourceData.Fertiliser_Products_Data2(),FertiliserProducts[[#Headers],[Include or Exclude]], 20)</f>
        <v/>
      </c>
      <c r="Z114" s="54" t="str" cm="1">
        <f t="array" ref="Z114">Common_InputFunctions.Utility_DisplayArrayInTable(Fertiliser_SourceData.Fertiliser_Products_Data2(),FertiliserProducts[[#Headers],[Include or Exclude]], 20)</f>
        <v/>
      </c>
      <c r="AA114" s="10" t="str" cm="1">
        <f t="array" ref="AA114">Common_InputFunctions.Utility_DisplayArrayInTable(Fertiliser_SourceData.Fertiliser_Products_Data2(),FertiliserProducts[[#Headers],[Include or Exclude]], 20)</f>
        <v/>
      </c>
      <c r="AB114" s="10" t="str" cm="1">
        <f t="array" ref="AB114">Common_InputFunctions.Utility_DisplayArrayInTable(Fertiliser_SourceData.Fertiliser_Products_Data2(),FertiliserProducts[[#Headers],[Include or Exclude]], 20)</f>
        <v/>
      </c>
      <c r="AC114" s="10" t="str" cm="1">
        <f t="array" ref="AC114">Common_InputFunctions.Utility_DisplayArrayInTable(Fertiliser_SourceData.Fertiliser_Products_Data2(),FertiliserProducts[[#Headers],[Include or Exclude]], 20)</f>
        <v/>
      </c>
      <c r="AD114" s="10" t="str" cm="1">
        <f t="array" ref="AD114">Common_InputFunctions.Utility_DisplayArrayInTable(Fertiliser_SourceData.Fertiliser_Products_Data2(),FertiliserProducts[[#Headers],[Include or Exclude]], 20)</f>
        <v/>
      </c>
      <c r="AE114" s="10" t="str" cm="1">
        <f t="array" ref="AE114">Common_InputFunctions.Utility_DisplayArrayInTable(Fertiliser_SourceData.Fertiliser_Products_Data2(),FertiliserProducts[[#Headers],[Include or Exclude]], 20)</f>
        <v/>
      </c>
    </row>
    <row r="115" spans="4:31" ht="20.100000000000001" customHeight="1" x14ac:dyDescent="0.25">
      <c r="D115" s="54" t="str" cm="1">
        <f t="array" ref="D115">Common_InputFunctions.Utility_DisplayArrayInTable(Fertiliser_SourceData.Fertiliser_Products_Data2(),FertiliserProducts[[#Headers],[Include or Exclude]], 20)</f>
        <v>Microsol 12-6-44</v>
      </c>
      <c r="E115" s="54" t="str" cm="1">
        <f t="array" ref="E115">Common_InputFunctions.Utility_DisplayArrayInTable(Fertiliser_SourceData.Fertiliser_Products_Data2(),FertiliserProducts[[#Headers],[Include or Exclude]], 20)</f>
        <v/>
      </c>
      <c r="F115" s="54" t="str" cm="1">
        <f t="array" ref="F115">Common_InputFunctions.Utility_DisplayArrayInTable(Fertiliser_SourceData.Fertiliser_Products_Data2(),FertiliserProducts[[#Headers],[Include or Exclude]], 20)</f>
        <v/>
      </c>
      <c r="G115" s="54" t="str" cm="1">
        <f t="array" ref="G115">Common_InputFunctions.Utility_DisplayArrayInTable(Fertiliser_SourceData.Fertiliser_Products_Data2(),FertiliserProducts[[#Headers],[Include or Exclude]], 20)</f>
        <v/>
      </c>
      <c r="H115" s="54" t="str" cm="1">
        <f t="array" ref="H115">Common_InputFunctions.Utility_DisplayArrayInTable(Fertiliser_SourceData.Fertiliser_Products_Data2(),FertiliserProducts[[#Headers],[Include or Exclude]], 20)</f>
        <v/>
      </c>
      <c r="I115" s="54" t="str" cm="1">
        <f t="array" ref="I115">Common_InputFunctions.Utility_DisplayArrayInTable(Fertiliser_SourceData.Fertiliser_Products_Data2(),FertiliserProducts[[#Headers],[Include or Exclude]], 20)</f>
        <v/>
      </c>
      <c r="J115" s="54" t="str" cm="1">
        <f t="array" ref="J115">Common_InputFunctions.Utility_DisplayArrayInTable(Fertiliser_SourceData.Fertiliser_Products_Data2(),FertiliserProducts[[#Headers],[Include or Exclude]], 20)</f>
        <v/>
      </c>
      <c r="K115" s="54" t="str" cm="1">
        <f t="array" ref="K115">Common_InputFunctions.Utility_DisplayArrayInTable(Fertiliser_SourceData.Fertiliser_Products_Data2(),FertiliserProducts[[#Headers],[Include or Exclude]], 20)</f>
        <v/>
      </c>
      <c r="L115" s="54" t="str" cm="1">
        <f t="array" ref="L115">Common_InputFunctions.Utility_DisplayArrayInTable(Fertiliser_SourceData.Fertiliser_Products_Data2(),FertiliserProducts[[#Headers],[Include or Exclude]], 20)</f>
        <v/>
      </c>
      <c r="M115" s="54" t="str" cm="1">
        <f t="array" ref="M115">Common_InputFunctions.Utility_DisplayArrayInTable(Fertiliser_SourceData.Fertiliser_Products_Data2(),FertiliserProducts[[#Headers],[Include or Exclude]], 20)</f>
        <v/>
      </c>
      <c r="N115" s="54" t="str" cm="1">
        <f t="array" ref="N115">Common_InputFunctions.Utility_DisplayArrayInTable(Fertiliser_SourceData.Fertiliser_Products_Data2(),FertiliserProducts[[#Headers],[Include or Exclude]], 20)</f>
        <v/>
      </c>
      <c r="O115" s="54" t="str" cm="1">
        <f t="array" ref="O115">Common_InputFunctions.Utility_DisplayArrayInTable(Fertiliser_SourceData.Fertiliser_Products_Data2(),FertiliserProducts[[#Headers],[Include or Exclude]], 20)</f>
        <v/>
      </c>
      <c r="P115" s="54" t="str" cm="1">
        <f t="array" ref="P115">Common_InputFunctions.Utility_DisplayArrayInTable(Fertiliser_SourceData.Fertiliser_Products_Data2(),FertiliserProducts[[#Headers],[Include or Exclude]], 20)</f>
        <v/>
      </c>
      <c r="Q115" s="54" t="str" cm="1">
        <f t="array" ref="Q115">Common_InputFunctions.Utility_DisplayArrayInTable(Fertiliser_SourceData.Fertiliser_Products_Data2(),FertiliserProducts[[#Headers],[Include or Exclude]], 20)</f>
        <v/>
      </c>
      <c r="R115" s="54" t="str" cm="1">
        <f t="array" ref="R115">Common_InputFunctions.Utility_DisplayArrayInTable(Fertiliser_SourceData.Fertiliser_Products_Data2(),FertiliserProducts[[#Headers],[Include or Exclude]], 20)</f>
        <v/>
      </c>
      <c r="S115" s="54" t="str" cm="1">
        <f t="array" ref="S115">Common_InputFunctions.Utility_DisplayArrayInTable(Fertiliser_SourceData.Fertiliser_Products_Data2(),FertiliserProducts[[#Headers],[Include or Exclude]], 20)</f>
        <v/>
      </c>
      <c r="T115" s="54" t="str" cm="1">
        <f t="array" ref="T115">Common_InputFunctions.Utility_DisplayArrayInTable(Fertiliser_SourceData.Fertiliser_Products_Data2(),FertiliserProducts[[#Headers],[Include or Exclude]], 20)</f>
        <v/>
      </c>
      <c r="U115" s="54" t="str" cm="1">
        <f t="array" ref="U115">Common_InputFunctions.Utility_DisplayArrayInTable(Fertiliser_SourceData.Fertiliser_Products_Data2(),FertiliserProducts[[#Headers],[Include or Exclude]], 20)</f>
        <v/>
      </c>
      <c r="V115" s="54" t="str" cm="1">
        <f t="array" ref="V115">Common_InputFunctions.Utility_DisplayArrayInTable(Fertiliser_SourceData.Fertiliser_Products_Data2(),FertiliserProducts[[#Headers],[Include or Exclude]], 20)</f>
        <v/>
      </c>
      <c r="W115" s="54" t="str" cm="1">
        <f t="array" ref="W115">Common_InputFunctions.Utility_DisplayArrayInTable(Fertiliser_SourceData.Fertiliser_Products_Data2(),FertiliserProducts[[#Headers],[Include or Exclude]], 20)</f>
        <v>Rigbytaylor Microsol Range</v>
      </c>
      <c r="X115" s="54" t="str" cm="1">
        <f t="array" ref="X115">Common_InputFunctions.Utility_DisplayArrayInTable(Fertiliser_SourceData.Fertiliser_Products_Data2(),FertiliserProducts[[#Headers],[Include or Exclude]], 20)</f>
        <v/>
      </c>
      <c r="Y115" s="54" t="str" cm="1">
        <f t="array" ref="Y115">Common_InputFunctions.Utility_DisplayArrayInTable(Fertiliser_SourceData.Fertiliser_Products_Data2(),FertiliserProducts[[#Headers],[Include or Exclude]], 20)</f>
        <v/>
      </c>
      <c r="Z115" s="54" t="str" cm="1">
        <f t="array" ref="Z115">Common_InputFunctions.Utility_DisplayArrayInTable(Fertiliser_SourceData.Fertiliser_Products_Data2(),FertiliserProducts[[#Headers],[Include or Exclude]], 20)</f>
        <v/>
      </c>
      <c r="AA115" s="10" t="str" cm="1">
        <f t="array" ref="AA115">Common_InputFunctions.Utility_DisplayArrayInTable(Fertiliser_SourceData.Fertiliser_Products_Data2(),FertiliserProducts[[#Headers],[Include or Exclude]], 20)</f>
        <v/>
      </c>
      <c r="AB115" s="10" t="str" cm="1">
        <f t="array" ref="AB115">Common_InputFunctions.Utility_DisplayArrayInTable(Fertiliser_SourceData.Fertiliser_Products_Data2(),FertiliserProducts[[#Headers],[Include or Exclude]], 20)</f>
        <v/>
      </c>
      <c r="AC115" s="10" t="str" cm="1">
        <f t="array" ref="AC115">Common_InputFunctions.Utility_DisplayArrayInTable(Fertiliser_SourceData.Fertiliser_Products_Data2(),FertiliserProducts[[#Headers],[Include or Exclude]], 20)</f>
        <v/>
      </c>
      <c r="AD115" s="10" t="str" cm="1">
        <f t="array" ref="AD115">Common_InputFunctions.Utility_DisplayArrayInTable(Fertiliser_SourceData.Fertiliser_Products_Data2(),FertiliserProducts[[#Headers],[Include or Exclude]], 20)</f>
        <v/>
      </c>
      <c r="AE115" s="10" t="str" cm="1">
        <f t="array" ref="AE115">Common_InputFunctions.Utility_DisplayArrayInTable(Fertiliser_SourceData.Fertiliser_Products_Data2(),FertiliserProducts[[#Headers],[Include or Exclude]], 20)</f>
        <v/>
      </c>
    </row>
    <row r="116" spans="4:31" ht="20.100000000000001" customHeight="1" x14ac:dyDescent="0.25">
      <c r="D116" s="54" t="str" cm="1">
        <f t="array" ref="D116">Common_InputFunctions.Utility_DisplayArrayInTable(Fertiliser_SourceData.Fertiliser_Products_Data2(),FertiliserProducts[[#Headers],[Include or Exclude]], 20)</f>
        <v>Microsol 16-32-16</v>
      </c>
      <c r="E116" s="54" t="str" cm="1">
        <f t="array" ref="E116">Common_InputFunctions.Utility_DisplayArrayInTable(Fertiliser_SourceData.Fertiliser_Products_Data2(),FertiliserProducts[[#Headers],[Include or Exclude]], 20)</f>
        <v/>
      </c>
      <c r="F116" s="54" t="str" cm="1">
        <f t="array" ref="F116">Common_InputFunctions.Utility_DisplayArrayInTable(Fertiliser_SourceData.Fertiliser_Products_Data2(),FertiliserProducts[[#Headers],[Include or Exclude]], 20)</f>
        <v/>
      </c>
      <c r="G116" s="54" t="str" cm="1">
        <f t="array" ref="G116">Common_InputFunctions.Utility_DisplayArrayInTable(Fertiliser_SourceData.Fertiliser_Products_Data2(),FertiliserProducts[[#Headers],[Include or Exclude]], 20)</f>
        <v/>
      </c>
      <c r="H116" s="54" t="str" cm="1">
        <f t="array" ref="H116">Common_InputFunctions.Utility_DisplayArrayInTable(Fertiliser_SourceData.Fertiliser_Products_Data2(),FertiliserProducts[[#Headers],[Include or Exclude]], 20)</f>
        <v/>
      </c>
      <c r="I116" s="54" t="str" cm="1">
        <f t="array" ref="I116">Common_InputFunctions.Utility_DisplayArrayInTable(Fertiliser_SourceData.Fertiliser_Products_Data2(),FertiliserProducts[[#Headers],[Include or Exclude]], 20)</f>
        <v/>
      </c>
      <c r="J116" s="54" t="str" cm="1">
        <f t="array" ref="J116">Common_InputFunctions.Utility_DisplayArrayInTable(Fertiliser_SourceData.Fertiliser_Products_Data2(),FertiliserProducts[[#Headers],[Include or Exclude]], 20)</f>
        <v/>
      </c>
      <c r="K116" s="54" t="str" cm="1">
        <f t="array" ref="K116">Common_InputFunctions.Utility_DisplayArrayInTable(Fertiliser_SourceData.Fertiliser_Products_Data2(),FertiliserProducts[[#Headers],[Include or Exclude]], 20)</f>
        <v/>
      </c>
      <c r="L116" s="54" t="str" cm="1">
        <f t="array" ref="L116">Common_InputFunctions.Utility_DisplayArrayInTable(Fertiliser_SourceData.Fertiliser_Products_Data2(),FertiliserProducts[[#Headers],[Include or Exclude]], 20)</f>
        <v/>
      </c>
      <c r="M116" s="54" t="str" cm="1">
        <f t="array" ref="M116">Common_InputFunctions.Utility_DisplayArrayInTable(Fertiliser_SourceData.Fertiliser_Products_Data2(),FertiliserProducts[[#Headers],[Include or Exclude]], 20)</f>
        <v/>
      </c>
      <c r="N116" s="54" t="str" cm="1">
        <f t="array" ref="N116">Common_InputFunctions.Utility_DisplayArrayInTable(Fertiliser_SourceData.Fertiliser_Products_Data2(),FertiliserProducts[[#Headers],[Include or Exclude]], 20)</f>
        <v/>
      </c>
      <c r="O116" s="54" t="str" cm="1">
        <f t="array" ref="O116">Common_InputFunctions.Utility_DisplayArrayInTable(Fertiliser_SourceData.Fertiliser_Products_Data2(),FertiliserProducts[[#Headers],[Include or Exclude]], 20)</f>
        <v/>
      </c>
      <c r="P116" s="54" t="str" cm="1">
        <f t="array" ref="P116">Common_InputFunctions.Utility_DisplayArrayInTable(Fertiliser_SourceData.Fertiliser_Products_Data2(),FertiliserProducts[[#Headers],[Include or Exclude]], 20)</f>
        <v/>
      </c>
      <c r="Q116" s="54" t="str" cm="1">
        <f t="array" ref="Q116">Common_InputFunctions.Utility_DisplayArrayInTable(Fertiliser_SourceData.Fertiliser_Products_Data2(),FertiliserProducts[[#Headers],[Include or Exclude]], 20)</f>
        <v/>
      </c>
      <c r="R116" s="54" t="str" cm="1">
        <f t="array" ref="R116">Common_InputFunctions.Utility_DisplayArrayInTable(Fertiliser_SourceData.Fertiliser_Products_Data2(),FertiliserProducts[[#Headers],[Include or Exclude]], 20)</f>
        <v/>
      </c>
      <c r="S116" s="54" t="str" cm="1">
        <f t="array" ref="S116">Common_InputFunctions.Utility_DisplayArrayInTable(Fertiliser_SourceData.Fertiliser_Products_Data2(),FertiliserProducts[[#Headers],[Include or Exclude]], 20)</f>
        <v/>
      </c>
      <c r="T116" s="54" t="str" cm="1">
        <f t="array" ref="T116">Common_InputFunctions.Utility_DisplayArrayInTable(Fertiliser_SourceData.Fertiliser_Products_Data2(),FertiliserProducts[[#Headers],[Include or Exclude]], 20)</f>
        <v/>
      </c>
      <c r="U116" s="54" t="str" cm="1">
        <f t="array" ref="U116">Common_InputFunctions.Utility_DisplayArrayInTable(Fertiliser_SourceData.Fertiliser_Products_Data2(),FertiliserProducts[[#Headers],[Include or Exclude]], 20)</f>
        <v/>
      </c>
      <c r="V116" s="54" t="str" cm="1">
        <f t="array" ref="V116">Common_InputFunctions.Utility_DisplayArrayInTable(Fertiliser_SourceData.Fertiliser_Products_Data2(),FertiliserProducts[[#Headers],[Include or Exclude]], 20)</f>
        <v/>
      </c>
      <c r="W116" s="54" t="str" cm="1">
        <f t="array" ref="W116">Common_InputFunctions.Utility_DisplayArrayInTable(Fertiliser_SourceData.Fertiliser_Products_Data2(),FertiliserProducts[[#Headers],[Include or Exclude]], 20)</f>
        <v>Rigbytaylor Microsol Range</v>
      </c>
      <c r="X116" s="54" t="str" cm="1">
        <f t="array" ref="X116">Common_InputFunctions.Utility_DisplayArrayInTable(Fertiliser_SourceData.Fertiliser_Products_Data2(),FertiliserProducts[[#Headers],[Include or Exclude]], 20)</f>
        <v/>
      </c>
      <c r="Y116" s="54" t="str" cm="1">
        <f t="array" ref="Y116">Common_InputFunctions.Utility_DisplayArrayInTable(Fertiliser_SourceData.Fertiliser_Products_Data2(),FertiliserProducts[[#Headers],[Include or Exclude]], 20)</f>
        <v/>
      </c>
      <c r="Z116" s="54" t="str" cm="1">
        <f t="array" ref="Z116">Common_InputFunctions.Utility_DisplayArrayInTable(Fertiliser_SourceData.Fertiliser_Products_Data2(),FertiliserProducts[[#Headers],[Include or Exclude]], 20)</f>
        <v/>
      </c>
      <c r="AA116" s="10" t="str" cm="1">
        <f t="array" ref="AA116">Common_InputFunctions.Utility_DisplayArrayInTable(Fertiliser_SourceData.Fertiliser_Products_Data2(),FertiliserProducts[[#Headers],[Include or Exclude]], 20)</f>
        <v/>
      </c>
      <c r="AB116" s="10" t="str" cm="1">
        <f t="array" ref="AB116">Common_InputFunctions.Utility_DisplayArrayInTable(Fertiliser_SourceData.Fertiliser_Products_Data2(),FertiliserProducts[[#Headers],[Include or Exclude]], 20)</f>
        <v/>
      </c>
      <c r="AC116" s="10" t="str" cm="1">
        <f t="array" ref="AC116">Common_InputFunctions.Utility_DisplayArrayInTable(Fertiliser_SourceData.Fertiliser_Products_Data2(),FertiliserProducts[[#Headers],[Include or Exclude]], 20)</f>
        <v/>
      </c>
      <c r="AD116" s="10" t="str" cm="1">
        <f t="array" ref="AD116">Common_InputFunctions.Utility_DisplayArrayInTable(Fertiliser_SourceData.Fertiliser_Products_Data2(),FertiliserProducts[[#Headers],[Include or Exclude]], 20)</f>
        <v/>
      </c>
      <c r="AE116" s="10" t="str" cm="1">
        <f t="array" ref="AE116">Common_InputFunctions.Utility_DisplayArrayInTable(Fertiliser_SourceData.Fertiliser_Products_Data2(),FertiliserProducts[[#Headers],[Include or Exclude]], 20)</f>
        <v/>
      </c>
    </row>
    <row r="117" spans="4:31" ht="20.100000000000001" customHeight="1" x14ac:dyDescent="0.25">
      <c r="D117" s="54" t="str" cm="1">
        <f t="array" ref="D117">Common_InputFunctions.Utility_DisplayArrayInTable(Fertiliser_SourceData.Fertiliser_Products_Data2(),FertiliserProducts[[#Headers],[Include or Exclude]], 20)</f>
        <v>Microsol 25-5-10</v>
      </c>
      <c r="E117" s="54" t="str" cm="1">
        <f t="array" ref="E117">Common_InputFunctions.Utility_DisplayArrayInTable(Fertiliser_SourceData.Fertiliser_Products_Data2(),FertiliserProducts[[#Headers],[Include or Exclude]], 20)</f>
        <v/>
      </c>
      <c r="F117" s="54" t="str" cm="1">
        <f t="array" ref="F117">Common_InputFunctions.Utility_DisplayArrayInTable(Fertiliser_SourceData.Fertiliser_Products_Data2(),FertiliserProducts[[#Headers],[Include or Exclude]], 20)</f>
        <v/>
      </c>
      <c r="G117" s="54" t="str" cm="1">
        <f t="array" ref="G117">Common_InputFunctions.Utility_DisplayArrayInTable(Fertiliser_SourceData.Fertiliser_Products_Data2(),FertiliserProducts[[#Headers],[Include or Exclude]], 20)</f>
        <v/>
      </c>
      <c r="H117" s="54" t="str" cm="1">
        <f t="array" ref="H117">Common_InputFunctions.Utility_DisplayArrayInTable(Fertiliser_SourceData.Fertiliser_Products_Data2(),FertiliserProducts[[#Headers],[Include or Exclude]], 20)</f>
        <v/>
      </c>
      <c r="I117" s="54" t="str" cm="1">
        <f t="array" ref="I117">Common_InputFunctions.Utility_DisplayArrayInTable(Fertiliser_SourceData.Fertiliser_Products_Data2(),FertiliserProducts[[#Headers],[Include or Exclude]], 20)</f>
        <v/>
      </c>
      <c r="J117" s="54" t="str" cm="1">
        <f t="array" ref="J117">Common_InputFunctions.Utility_DisplayArrayInTable(Fertiliser_SourceData.Fertiliser_Products_Data2(),FertiliserProducts[[#Headers],[Include or Exclude]], 20)</f>
        <v/>
      </c>
      <c r="K117" s="54" t="str" cm="1">
        <f t="array" ref="K117">Common_InputFunctions.Utility_DisplayArrayInTable(Fertiliser_SourceData.Fertiliser_Products_Data2(),FertiliserProducts[[#Headers],[Include or Exclude]], 20)</f>
        <v/>
      </c>
      <c r="L117" s="54" t="str" cm="1">
        <f t="array" ref="L117">Common_InputFunctions.Utility_DisplayArrayInTable(Fertiliser_SourceData.Fertiliser_Products_Data2(),FertiliserProducts[[#Headers],[Include or Exclude]], 20)</f>
        <v/>
      </c>
      <c r="M117" s="54" t="str" cm="1">
        <f t="array" ref="M117">Common_InputFunctions.Utility_DisplayArrayInTable(Fertiliser_SourceData.Fertiliser_Products_Data2(),FertiliserProducts[[#Headers],[Include or Exclude]], 20)</f>
        <v/>
      </c>
      <c r="N117" s="54" t="str" cm="1">
        <f t="array" ref="N117">Common_InputFunctions.Utility_DisplayArrayInTable(Fertiliser_SourceData.Fertiliser_Products_Data2(),FertiliserProducts[[#Headers],[Include or Exclude]], 20)</f>
        <v/>
      </c>
      <c r="O117" s="54" t="str" cm="1">
        <f t="array" ref="O117">Common_InputFunctions.Utility_DisplayArrayInTable(Fertiliser_SourceData.Fertiliser_Products_Data2(),FertiliserProducts[[#Headers],[Include or Exclude]], 20)</f>
        <v/>
      </c>
      <c r="P117" s="54" t="str" cm="1">
        <f t="array" ref="P117">Common_InputFunctions.Utility_DisplayArrayInTable(Fertiliser_SourceData.Fertiliser_Products_Data2(),FertiliserProducts[[#Headers],[Include or Exclude]], 20)</f>
        <v/>
      </c>
      <c r="Q117" s="54" t="str" cm="1">
        <f t="array" ref="Q117">Common_InputFunctions.Utility_DisplayArrayInTable(Fertiliser_SourceData.Fertiliser_Products_Data2(),FertiliserProducts[[#Headers],[Include or Exclude]], 20)</f>
        <v/>
      </c>
      <c r="R117" s="54" t="str" cm="1">
        <f t="array" ref="R117">Common_InputFunctions.Utility_DisplayArrayInTable(Fertiliser_SourceData.Fertiliser_Products_Data2(),FertiliserProducts[[#Headers],[Include or Exclude]], 20)</f>
        <v/>
      </c>
      <c r="S117" s="54" t="str" cm="1">
        <f t="array" ref="S117">Common_InputFunctions.Utility_DisplayArrayInTable(Fertiliser_SourceData.Fertiliser_Products_Data2(),FertiliserProducts[[#Headers],[Include or Exclude]], 20)</f>
        <v/>
      </c>
      <c r="T117" s="54" t="str" cm="1">
        <f t="array" ref="T117">Common_InputFunctions.Utility_DisplayArrayInTable(Fertiliser_SourceData.Fertiliser_Products_Data2(),FertiliserProducts[[#Headers],[Include or Exclude]], 20)</f>
        <v/>
      </c>
      <c r="U117" s="54" t="str" cm="1">
        <f t="array" ref="U117">Common_InputFunctions.Utility_DisplayArrayInTable(Fertiliser_SourceData.Fertiliser_Products_Data2(),FertiliserProducts[[#Headers],[Include or Exclude]], 20)</f>
        <v/>
      </c>
      <c r="V117" s="54" t="str" cm="1">
        <f t="array" ref="V117">Common_InputFunctions.Utility_DisplayArrayInTable(Fertiliser_SourceData.Fertiliser_Products_Data2(),FertiliserProducts[[#Headers],[Include or Exclude]], 20)</f>
        <v/>
      </c>
      <c r="W117" s="54" t="str" cm="1">
        <f t="array" ref="W117">Common_InputFunctions.Utility_DisplayArrayInTable(Fertiliser_SourceData.Fertiliser_Products_Data2(),FertiliserProducts[[#Headers],[Include or Exclude]], 20)</f>
        <v>Rigbytaylor Microsol Range</v>
      </c>
      <c r="X117" s="54" t="str" cm="1">
        <f t="array" ref="X117">Common_InputFunctions.Utility_DisplayArrayInTable(Fertiliser_SourceData.Fertiliser_Products_Data2(),FertiliserProducts[[#Headers],[Include or Exclude]], 20)</f>
        <v/>
      </c>
      <c r="Y117" s="54" t="str" cm="1">
        <f t="array" ref="Y117">Common_InputFunctions.Utility_DisplayArrayInTable(Fertiliser_SourceData.Fertiliser_Products_Data2(),FertiliserProducts[[#Headers],[Include or Exclude]], 20)</f>
        <v/>
      </c>
      <c r="Z117" s="54" t="str" cm="1">
        <f t="array" ref="Z117">Common_InputFunctions.Utility_DisplayArrayInTable(Fertiliser_SourceData.Fertiliser_Products_Data2(),FertiliserProducts[[#Headers],[Include or Exclude]], 20)</f>
        <v/>
      </c>
      <c r="AA117" s="10" t="str" cm="1">
        <f t="array" ref="AA117">Common_InputFunctions.Utility_DisplayArrayInTable(Fertiliser_SourceData.Fertiliser_Products_Data2(),FertiliserProducts[[#Headers],[Include or Exclude]], 20)</f>
        <v/>
      </c>
      <c r="AB117" s="10" t="str" cm="1">
        <f t="array" ref="AB117">Common_InputFunctions.Utility_DisplayArrayInTable(Fertiliser_SourceData.Fertiliser_Products_Data2(),FertiliserProducts[[#Headers],[Include or Exclude]], 20)</f>
        <v/>
      </c>
      <c r="AC117" s="10" t="str" cm="1">
        <f t="array" ref="AC117">Common_InputFunctions.Utility_DisplayArrayInTable(Fertiliser_SourceData.Fertiliser_Products_Data2(),FertiliserProducts[[#Headers],[Include or Exclude]], 20)</f>
        <v/>
      </c>
      <c r="AD117" s="10" t="str" cm="1">
        <f t="array" ref="AD117">Common_InputFunctions.Utility_DisplayArrayInTable(Fertiliser_SourceData.Fertiliser_Products_Data2(),FertiliserProducts[[#Headers],[Include or Exclude]], 20)</f>
        <v/>
      </c>
      <c r="AE117" s="10" t="str" cm="1">
        <f t="array" ref="AE117">Common_InputFunctions.Utility_DisplayArrayInTable(Fertiliser_SourceData.Fertiliser_Products_Data2(),FertiliserProducts[[#Headers],[Include or Exclude]], 20)</f>
        <v/>
      </c>
    </row>
    <row r="118" spans="4:31" ht="20.100000000000001" customHeight="1" x14ac:dyDescent="0.25">
      <c r="D118" s="54" t="str" cm="1">
        <f t="array" ref="D118">Common_InputFunctions.Utility_DisplayArrayInTable(Fertiliser_SourceData.Fertiliser_Products_Data2(),FertiliserProducts[[#Headers],[Include or Exclude]], 20)</f>
        <v>Microsol 28-0-14</v>
      </c>
      <c r="E118" s="54" t="str" cm="1">
        <f t="array" ref="E118">Common_InputFunctions.Utility_DisplayArrayInTable(Fertiliser_SourceData.Fertiliser_Products_Data2(),FertiliserProducts[[#Headers],[Include or Exclude]], 20)</f>
        <v/>
      </c>
      <c r="F118" s="54" t="str" cm="1">
        <f t="array" ref="F118">Common_InputFunctions.Utility_DisplayArrayInTable(Fertiliser_SourceData.Fertiliser_Products_Data2(),FertiliserProducts[[#Headers],[Include or Exclude]], 20)</f>
        <v/>
      </c>
      <c r="G118" s="54" t="str" cm="1">
        <f t="array" ref="G118">Common_InputFunctions.Utility_DisplayArrayInTable(Fertiliser_SourceData.Fertiliser_Products_Data2(),FertiliserProducts[[#Headers],[Include or Exclude]], 20)</f>
        <v/>
      </c>
      <c r="H118" s="54" t="str" cm="1">
        <f t="array" ref="H118">Common_InputFunctions.Utility_DisplayArrayInTable(Fertiliser_SourceData.Fertiliser_Products_Data2(),FertiliserProducts[[#Headers],[Include or Exclude]], 20)</f>
        <v/>
      </c>
      <c r="I118" s="54" t="str" cm="1">
        <f t="array" ref="I118">Common_InputFunctions.Utility_DisplayArrayInTable(Fertiliser_SourceData.Fertiliser_Products_Data2(),FertiliserProducts[[#Headers],[Include or Exclude]], 20)</f>
        <v/>
      </c>
      <c r="J118" s="54" t="str" cm="1">
        <f t="array" ref="J118">Common_InputFunctions.Utility_DisplayArrayInTable(Fertiliser_SourceData.Fertiliser_Products_Data2(),FertiliserProducts[[#Headers],[Include or Exclude]], 20)</f>
        <v/>
      </c>
      <c r="K118" s="54" t="str" cm="1">
        <f t="array" ref="K118">Common_InputFunctions.Utility_DisplayArrayInTable(Fertiliser_SourceData.Fertiliser_Products_Data2(),FertiliserProducts[[#Headers],[Include or Exclude]], 20)</f>
        <v/>
      </c>
      <c r="L118" s="54" t="str" cm="1">
        <f t="array" ref="L118">Common_InputFunctions.Utility_DisplayArrayInTable(Fertiliser_SourceData.Fertiliser_Products_Data2(),FertiliserProducts[[#Headers],[Include or Exclude]], 20)</f>
        <v/>
      </c>
      <c r="M118" s="54" t="str" cm="1">
        <f t="array" ref="M118">Common_InputFunctions.Utility_DisplayArrayInTable(Fertiliser_SourceData.Fertiliser_Products_Data2(),FertiliserProducts[[#Headers],[Include or Exclude]], 20)</f>
        <v/>
      </c>
      <c r="N118" s="54" t="str" cm="1">
        <f t="array" ref="N118">Common_InputFunctions.Utility_DisplayArrayInTable(Fertiliser_SourceData.Fertiliser_Products_Data2(),FertiliserProducts[[#Headers],[Include or Exclude]], 20)</f>
        <v/>
      </c>
      <c r="O118" s="54" t="str" cm="1">
        <f t="array" ref="O118">Common_InputFunctions.Utility_DisplayArrayInTable(Fertiliser_SourceData.Fertiliser_Products_Data2(),FertiliserProducts[[#Headers],[Include or Exclude]], 20)</f>
        <v/>
      </c>
      <c r="P118" s="54" t="str" cm="1">
        <f t="array" ref="P118">Common_InputFunctions.Utility_DisplayArrayInTable(Fertiliser_SourceData.Fertiliser_Products_Data2(),FertiliserProducts[[#Headers],[Include or Exclude]], 20)</f>
        <v/>
      </c>
      <c r="Q118" s="54" t="str" cm="1">
        <f t="array" ref="Q118">Common_InputFunctions.Utility_DisplayArrayInTable(Fertiliser_SourceData.Fertiliser_Products_Data2(),FertiliserProducts[[#Headers],[Include or Exclude]], 20)</f>
        <v/>
      </c>
      <c r="R118" s="54" t="str" cm="1">
        <f t="array" ref="R118">Common_InputFunctions.Utility_DisplayArrayInTable(Fertiliser_SourceData.Fertiliser_Products_Data2(),FertiliserProducts[[#Headers],[Include or Exclude]], 20)</f>
        <v/>
      </c>
      <c r="S118" s="54" t="str" cm="1">
        <f t="array" ref="S118">Common_InputFunctions.Utility_DisplayArrayInTable(Fertiliser_SourceData.Fertiliser_Products_Data2(),FertiliserProducts[[#Headers],[Include or Exclude]], 20)</f>
        <v/>
      </c>
      <c r="T118" s="54" t="str" cm="1">
        <f t="array" ref="T118">Common_InputFunctions.Utility_DisplayArrayInTable(Fertiliser_SourceData.Fertiliser_Products_Data2(),FertiliserProducts[[#Headers],[Include or Exclude]], 20)</f>
        <v/>
      </c>
      <c r="U118" s="54" t="str" cm="1">
        <f t="array" ref="U118">Common_InputFunctions.Utility_DisplayArrayInTable(Fertiliser_SourceData.Fertiliser_Products_Data2(),FertiliserProducts[[#Headers],[Include or Exclude]], 20)</f>
        <v/>
      </c>
      <c r="V118" s="54" t="str" cm="1">
        <f t="array" ref="V118">Common_InputFunctions.Utility_DisplayArrayInTable(Fertiliser_SourceData.Fertiliser_Products_Data2(),FertiliserProducts[[#Headers],[Include or Exclude]], 20)</f>
        <v/>
      </c>
      <c r="W118" s="54" t="str" cm="1">
        <f t="array" ref="W118">Common_InputFunctions.Utility_DisplayArrayInTable(Fertiliser_SourceData.Fertiliser_Products_Data2(),FertiliserProducts[[#Headers],[Include or Exclude]], 20)</f>
        <v>Rigbytaylor Microsol Range</v>
      </c>
      <c r="X118" s="54" t="str" cm="1">
        <f t="array" ref="X118">Common_InputFunctions.Utility_DisplayArrayInTable(Fertiliser_SourceData.Fertiliser_Products_Data2(),FertiliserProducts[[#Headers],[Include or Exclude]], 20)</f>
        <v/>
      </c>
      <c r="Y118" s="54" t="str" cm="1">
        <f t="array" ref="Y118">Common_InputFunctions.Utility_DisplayArrayInTable(Fertiliser_SourceData.Fertiliser_Products_Data2(),FertiliserProducts[[#Headers],[Include or Exclude]], 20)</f>
        <v/>
      </c>
      <c r="Z118" s="54" t="str" cm="1">
        <f t="array" ref="Z118">Common_InputFunctions.Utility_DisplayArrayInTable(Fertiliser_SourceData.Fertiliser_Products_Data2(),FertiliserProducts[[#Headers],[Include or Exclude]], 20)</f>
        <v/>
      </c>
      <c r="AA118" s="10" t="str" cm="1">
        <f t="array" ref="AA118">Common_InputFunctions.Utility_DisplayArrayInTable(Fertiliser_SourceData.Fertiliser_Products_Data2(),FertiliserProducts[[#Headers],[Include or Exclude]], 20)</f>
        <v/>
      </c>
      <c r="AB118" s="10" t="str" cm="1">
        <f t="array" ref="AB118">Common_InputFunctions.Utility_DisplayArrayInTable(Fertiliser_SourceData.Fertiliser_Products_Data2(),FertiliserProducts[[#Headers],[Include or Exclude]], 20)</f>
        <v/>
      </c>
      <c r="AC118" s="10" t="str" cm="1">
        <f t="array" ref="AC118">Common_InputFunctions.Utility_DisplayArrayInTable(Fertiliser_SourceData.Fertiliser_Products_Data2(),FertiliserProducts[[#Headers],[Include or Exclude]], 20)</f>
        <v/>
      </c>
      <c r="AD118" s="10" t="str" cm="1">
        <f t="array" ref="AD118">Common_InputFunctions.Utility_DisplayArrayInTable(Fertiliser_SourceData.Fertiliser_Products_Data2(),FertiliserProducts[[#Headers],[Include or Exclude]], 20)</f>
        <v/>
      </c>
      <c r="AE118" s="10" t="str" cm="1">
        <f t="array" ref="AE118">Common_InputFunctions.Utility_DisplayArrayInTable(Fertiliser_SourceData.Fertiliser_Products_Data2(),FertiliserProducts[[#Headers],[Include or Exclude]], 20)</f>
        <v/>
      </c>
    </row>
    <row r="119" spans="4:31" ht="20.100000000000001" customHeight="1" x14ac:dyDescent="0.25">
      <c r="D119" s="54" t="str" cm="1">
        <f t="array" ref="D119">Common_InputFunctions.Utility_DisplayArrayInTable(Fertiliser_SourceData.Fertiliser_Products_Data2(),FertiliserProducts[[#Headers],[Include or Exclude]], 20)</f>
        <v>Mono Potassium Phosphate MKP</v>
      </c>
      <c r="E119" s="54" t="str" cm="1">
        <f t="array" ref="E119">Common_InputFunctions.Utility_DisplayArrayInTable(Fertiliser_SourceData.Fertiliser_Products_Data2(),FertiliserProducts[[#Headers],[Include or Exclude]], 20)</f>
        <v/>
      </c>
      <c r="F119" s="54" t="str" cm="1">
        <f t="array" ref="F119">Common_InputFunctions.Utility_DisplayArrayInTable(Fertiliser_SourceData.Fertiliser_Products_Data2(),FertiliserProducts[[#Headers],[Include or Exclude]], 20)</f>
        <v/>
      </c>
      <c r="G119" s="54" t="str" cm="1">
        <f t="array" ref="G119">Common_InputFunctions.Utility_DisplayArrayInTable(Fertiliser_SourceData.Fertiliser_Products_Data2(),FertiliserProducts[[#Headers],[Include or Exclude]], 20)</f>
        <v/>
      </c>
      <c r="H119" s="54" t="str" cm="1">
        <f t="array" ref="H119">Common_InputFunctions.Utility_DisplayArrayInTable(Fertiliser_SourceData.Fertiliser_Products_Data2(),FertiliserProducts[[#Headers],[Include or Exclude]], 20)</f>
        <v/>
      </c>
      <c r="I119" s="54" t="str" cm="1">
        <f t="array" ref="I119">Common_InputFunctions.Utility_DisplayArrayInTable(Fertiliser_SourceData.Fertiliser_Products_Data2(),FertiliserProducts[[#Headers],[Include or Exclude]], 20)</f>
        <v/>
      </c>
      <c r="J119" s="54" t="str" cm="1">
        <f t="array" ref="J119">Common_InputFunctions.Utility_DisplayArrayInTable(Fertiliser_SourceData.Fertiliser_Products_Data2(),FertiliserProducts[[#Headers],[Include or Exclude]], 20)</f>
        <v/>
      </c>
      <c r="K119" s="54" t="str" cm="1">
        <f t="array" ref="K119">Common_InputFunctions.Utility_DisplayArrayInTable(Fertiliser_SourceData.Fertiliser_Products_Data2(),FertiliserProducts[[#Headers],[Include or Exclude]], 20)</f>
        <v/>
      </c>
      <c r="L119" s="54" t="str" cm="1">
        <f t="array" ref="L119">Common_InputFunctions.Utility_DisplayArrayInTable(Fertiliser_SourceData.Fertiliser_Products_Data2(),FertiliserProducts[[#Headers],[Include or Exclude]], 20)</f>
        <v/>
      </c>
      <c r="M119" s="54" t="str" cm="1">
        <f t="array" ref="M119">Common_InputFunctions.Utility_DisplayArrayInTable(Fertiliser_SourceData.Fertiliser_Products_Data2(),FertiliserProducts[[#Headers],[Include or Exclude]], 20)</f>
        <v/>
      </c>
      <c r="N119" s="54" t="str" cm="1">
        <f t="array" ref="N119">Common_InputFunctions.Utility_DisplayArrayInTable(Fertiliser_SourceData.Fertiliser_Products_Data2(),FertiliserProducts[[#Headers],[Include or Exclude]], 20)</f>
        <v/>
      </c>
      <c r="O119" s="54" t="str" cm="1">
        <f t="array" ref="O119">Common_InputFunctions.Utility_DisplayArrayInTable(Fertiliser_SourceData.Fertiliser_Products_Data2(),FertiliserProducts[[#Headers],[Include or Exclude]], 20)</f>
        <v/>
      </c>
      <c r="P119" s="54" t="str" cm="1">
        <f t="array" ref="P119">Common_InputFunctions.Utility_DisplayArrayInTable(Fertiliser_SourceData.Fertiliser_Products_Data2(),FertiliserProducts[[#Headers],[Include or Exclude]], 20)</f>
        <v/>
      </c>
      <c r="Q119" s="54" t="str" cm="1">
        <f t="array" ref="Q119">Common_InputFunctions.Utility_DisplayArrayInTable(Fertiliser_SourceData.Fertiliser_Products_Data2(),FertiliserProducts[[#Headers],[Include or Exclude]], 20)</f>
        <v/>
      </c>
      <c r="R119" s="54" t="str" cm="1">
        <f t="array" ref="R119">Common_InputFunctions.Utility_DisplayArrayInTable(Fertiliser_SourceData.Fertiliser_Products_Data2(),FertiliserProducts[[#Headers],[Include or Exclude]], 20)</f>
        <v/>
      </c>
      <c r="S119" s="54" t="str" cm="1">
        <f t="array" ref="S119">Common_InputFunctions.Utility_DisplayArrayInTable(Fertiliser_SourceData.Fertiliser_Products_Data2(),FertiliserProducts[[#Headers],[Include or Exclude]], 20)</f>
        <v/>
      </c>
      <c r="T119" s="54" t="str" cm="1">
        <f t="array" ref="T119">Common_InputFunctions.Utility_DisplayArrayInTable(Fertiliser_SourceData.Fertiliser_Products_Data2(),FertiliserProducts[[#Headers],[Include or Exclude]], 20)</f>
        <v/>
      </c>
      <c r="U119" s="54" t="str" cm="1">
        <f t="array" ref="U119">Common_InputFunctions.Utility_DisplayArrayInTable(Fertiliser_SourceData.Fertiliser_Products_Data2(),FertiliserProducts[[#Headers],[Include or Exclude]], 20)</f>
        <v/>
      </c>
      <c r="V119" s="54" t="str" cm="1">
        <f t="array" ref="V119">Common_InputFunctions.Utility_DisplayArrayInTable(Fertiliser_SourceData.Fertiliser_Products_Data2(),FertiliserProducts[[#Headers],[Include or Exclude]], 20)</f>
        <v/>
      </c>
      <c r="W119" s="54" t="str" cm="1">
        <f t="array" ref="W119">Common_InputFunctions.Utility_DisplayArrayInTable(Fertiliser_SourceData.Fertiliser_Products_Data2(),FertiliserProducts[[#Headers],[Include or Exclude]], 20)</f>
        <v>Swancrop</v>
      </c>
      <c r="X119" s="54" t="str" cm="1">
        <f t="array" ref="X119">Common_InputFunctions.Utility_DisplayArrayInTable(Fertiliser_SourceData.Fertiliser_Products_Data2(),FertiliserProducts[[#Headers],[Include or Exclude]], 20)</f>
        <v/>
      </c>
      <c r="Y119" s="54" t="str" cm="1">
        <f t="array" ref="Y119">Common_InputFunctions.Utility_DisplayArrayInTable(Fertiliser_SourceData.Fertiliser_Products_Data2(),FertiliserProducts[[#Headers],[Include or Exclude]], 20)</f>
        <v/>
      </c>
      <c r="Z119" s="54" t="str" cm="1">
        <f t="array" ref="Z119">Common_InputFunctions.Utility_DisplayArrayInTable(Fertiliser_SourceData.Fertiliser_Products_Data2(),FertiliserProducts[[#Headers],[Include or Exclude]], 20)</f>
        <v/>
      </c>
      <c r="AA119" s="10" t="str" cm="1">
        <f t="array" ref="AA119">Common_InputFunctions.Utility_DisplayArrayInTable(Fertiliser_SourceData.Fertiliser_Products_Data2(),FertiliserProducts[[#Headers],[Include or Exclude]], 20)</f>
        <v/>
      </c>
      <c r="AB119" s="10" t="str" cm="1">
        <f t="array" ref="AB119">Common_InputFunctions.Utility_DisplayArrayInTable(Fertiliser_SourceData.Fertiliser_Products_Data2(),FertiliserProducts[[#Headers],[Include or Exclude]], 20)</f>
        <v/>
      </c>
      <c r="AC119" s="10" t="str" cm="1">
        <f t="array" ref="AC119">Common_InputFunctions.Utility_DisplayArrayInTable(Fertiliser_SourceData.Fertiliser_Products_Data2(),FertiliserProducts[[#Headers],[Include or Exclude]], 20)</f>
        <v/>
      </c>
      <c r="AD119" s="10" t="str" cm="1">
        <f t="array" ref="AD119">Common_InputFunctions.Utility_DisplayArrayInTable(Fertiliser_SourceData.Fertiliser_Products_Data2(),FertiliserProducts[[#Headers],[Include or Exclude]], 20)</f>
        <v/>
      </c>
      <c r="AE119" s="10" t="str" cm="1">
        <f t="array" ref="AE119">Common_InputFunctions.Utility_DisplayArrayInTable(Fertiliser_SourceData.Fertiliser_Products_Data2(),FertiliserProducts[[#Headers],[Include or Exclude]], 20)</f>
        <v/>
      </c>
    </row>
    <row r="120" spans="4:31" ht="20.100000000000001" customHeight="1" x14ac:dyDescent="0.25">
      <c r="D120" s="54" t="str" cm="1">
        <f t="array" ref="D120">Common_InputFunctions.Utility_DisplayArrayInTable(Fertiliser_SourceData.Fertiliser_Products_Data2(),FertiliserProducts[[#Headers],[Include or Exclude]], 20)</f>
        <v>Muriate Of Potash MOP</v>
      </c>
      <c r="E120" s="54" t="str" cm="1">
        <f t="array" ref="E120">Common_InputFunctions.Utility_DisplayArrayInTable(Fertiliser_SourceData.Fertiliser_Products_Data2(),FertiliserProducts[[#Headers],[Include or Exclude]], 20)</f>
        <v/>
      </c>
      <c r="F120" s="54" t="str" cm="1">
        <f t="array" ref="F120">Common_InputFunctions.Utility_DisplayArrayInTable(Fertiliser_SourceData.Fertiliser_Products_Data2(),FertiliserProducts[[#Headers],[Include or Exclude]], 20)</f>
        <v/>
      </c>
      <c r="G120" s="54" t="str" cm="1">
        <f t="array" ref="G120">Common_InputFunctions.Utility_DisplayArrayInTable(Fertiliser_SourceData.Fertiliser_Products_Data2(),FertiliserProducts[[#Headers],[Include or Exclude]], 20)</f>
        <v/>
      </c>
      <c r="H120" s="54" t="str" cm="1">
        <f t="array" ref="H120">Common_InputFunctions.Utility_DisplayArrayInTable(Fertiliser_SourceData.Fertiliser_Products_Data2(),FertiliserProducts[[#Headers],[Include or Exclude]], 20)</f>
        <v/>
      </c>
      <c r="I120" s="54" t="str" cm="1">
        <f t="array" ref="I120">Common_InputFunctions.Utility_DisplayArrayInTable(Fertiliser_SourceData.Fertiliser_Products_Data2(),FertiliserProducts[[#Headers],[Include or Exclude]], 20)</f>
        <v/>
      </c>
      <c r="J120" s="54" t="str" cm="1">
        <f t="array" ref="J120">Common_InputFunctions.Utility_DisplayArrayInTable(Fertiliser_SourceData.Fertiliser_Products_Data2(),FertiliserProducts[[#Headers],[Include or Exclude]], 20)</f>
        <v/>
      </c>
      <c r="K120" s="54" t="str" cm="1">
        <f t="array" ref="K120">Common_InputFunctions.Utility_DisplayArrayInTable(Fertiliser_SourceData.Fertiliser_Products_Data2(),FertiliserProducts[[#Headers],[Include or Exclude]], 20)</f>
        <v/>
      </c>
      <c r="L120" s="54" t="str" cm="1">
        <f t="array" ref="L120">Common_InputFunctions.Utility_DisplayArrayInTable(Fertiliser_SourceData.Fertiliser_Products_Data2(),FertiliserProducts[[#Headers],[Include or Exclude]], 20)</f>
        <v/>
      </c>
      <c r="M120" s="54" t="str" cm="1">
        <f t="array" ref="M120">Common_InputFunctions.Utility_DisplayArrayInTable(Fertiliser_SourceData.Fertiliser_Products_Data2(),FertiliserProducts[[#Headers],[Include or Exclude]], 20)</f>
        <v/>
      </c>
      <c r="N120" s="54" t="str" cm="1">
        <f t="array" ref="N120">Common_InputFunctions.Utility_DisplayArrayInTable(Fertiliser_SourceData.Fertiliser_Products_Data2(),FertiliserProducts[[#Headers],[Include or Exclude]], 20)</f>
        <v/>
      </c>
      <c r="O120" s="54" t="str" cm="1">
        <f t="array" ref="O120">Common_InputFunctions.Utility_DisplayArrayInTable(Fertiliser_SourceData.Fertiliser_Products_Data2(),FertiliserProducts[[#Headers],[Include or Exclude]], 20)</f>
        <v/>
      </c>
      <c r="P120" s="54" t="str" cm="1">
        <f t="array" ref="P120">Common_InputFunctions.Utility_DisplayArrayInTable(Fertiliser_SourceData.Fertiliser_Products_Data2(),FertiliserProducts[[#Headers],[Include or Exclude]], 20)</f>
        <v/>
      </c>
      <c r="Q120" s="54" t="str" cm="1">
        <f t="array" ref="Q120">Common_InputFunctions.Utility_DisplayArrayInTable(Fertiliser_SourceData.Fertiliser_Products_Data2(),FertiliserProducts[[#Headers],[Include or Exclude]], 20)</f>
        <v/>
      </c>
      <c r="R120" s="54" t="str" cm="1">
        <f t="array" ref="R120">Common_InputFunctions.Utility_DisplayArrayInTable(Fertiliser_SourceData.Fertiliser_Products_Data2(),FertiliserProducts[[#Headers],[Include or Exclude]], 20)</f>
        <v/>
      </c>
      <c r="S120" s="54" t="str" cm="1">
        <f t="array" ref="S120">Common_InputFunctions.Utility_DisplayArrayInTable(Fertiliser_SourceData.Fertiliser_Products_Data2(),FertiliserProducts[[#Headers],[Include or Exclude]], 20)</f>
        <v/>
      </c>
      <c r="T120" s="54" t="str" cm="1">
        <f t="array" ref="T120">Common_InputFunctions.Utility_DisplayArrayInTable(Fertiliser_SourceData.Fertiliser_Products_Data2(),FertiliserProducts[[#Headers],[Include or Exclude]], 20)</f>
        <v/>
      </c>
      <c r="U120" s="54" t="str" cm="1">
        <f t="array" ref="U120">Common_InputFunctions.Utility_DisplayArrayInTable(Fertiliser_SourceData.Fertiliser_Products_Data2(),FertiliserProducts[[#Headers],[Include or Exclude]], 20)</f>
        <v/>
      </c>
      <c r="V120" s="54" t="str" cm="1">
        <f t="array" ref="V120">Common_InputFunctions.Utility_DisplayArrayInTable(Fertiliser_SourceData.Fertiliser_Products_Data2(),FertiliserProducts[[#Headers],[Include or Exclude]], 20)</f>
        <v/>
      </c>
      <c r="W120" s="54" t="str" cm="1">
        <f t="array" ref="W120">Common_InputFunctions.Utility_DisplayArrayInTable(Fertiliser_SourceData.Fertiliser_Products_Data2(),FertiliserProducts[[#Headers],[Include or Exclude]], 20)</f>
        <v>MountCompass Fertilisers Blends</v>
      </c>
      <c r="X120" s="54" t="str" cm="1">
        <f t="array" ref="X120">Common_InputFunctions.Utility_DisplayArrayInTable(Fertiliser_SourceData.Fertiliser_Products_Data2(),FertiliserProducts[[#Headers],[Include or Exclude]], 20)</f>
        <v/>
      </c>
      <c r="Y120" s="54" t="str" cm="1">
        <f t="array" ref="Y120">Common_InputFunctions.Utility_DisplayArrayInTable(Fertiliser_SourceData.Fertiliser_Products_Data2(),FertiliserProducts[[#Headers],[Include or Exclude]], 20)</f>
        <v/>
      </c>
      <c r="Z120" s="54" t="str" cm="1">
        <f t="array" ref="Z120">Common_InputFunctions.Utility_DisplayArrayInTable(Fertiliser_SourceData.Fertiliser_Products_Data2(),FertiliserProducts[[#Headers],[Include or Exclude]], 20)</f>
        <v/>
      </c>
      <c r="AA120" s="10" t="str" cm="1">
        <f t="array" ref="AA120">Common_InputFunctions.Utility_DisplayArrayInTable(Fertiliser_SourceData.Fertiliser_Products_Data2(),FertiliserProducts[[#Headers],[Include or Exclude]], 20)</f>
        <v/>
      </c>
      <c r="AB120" s="10" t="str" cm="1">
        <f t="array" ref="AB120">Common_InputFunctions.Utility_DisplayArrayInTable(Fertiliser_SourceData.Fertiliser_Products_Data2(),FertiliserProducts[[#Headers],[Include or Exclude]], 20)</f>
        <v/>
      </c>
      <c r="AC120" s="10" t="str" cm="1">
        <f t="array" ref="AC120">Common_InputFunctions.Utility_DisplayArrayInTable(Fertiliser_SourceData.Fertiliser_Products_Data2(),FertiliserProducts[[#Headers],[Include or Exclude]], 20)</f>
        <v/>
      </c>
      <c r="AD120" s="10" t="str" cm="1">
        <f t="array" ref="AD120">Common_InputFunctions.Utility_DisplayArrayInTable(Fertiliser_SourceData.Fertiliser_Products_Data2(),FertiliserProducts[[#Headers],[Include or Exclude]], 20)</f>
        <v/>
      </c>
      <c r="AE120" s="10" t="str" cm="1">
        <f t="array" ref="AE120">Common_InputFunctions.Utility_DisplayArrayInTable(Fertiliser_SourceData.Fertiliser_Products_Data2(),FertiliserProducts[[#Headers],[Include or Exclude]], 20)</f>
        <v/>
      </c>
    </row>
    <row r="121" spans="4:31" ht="20.100000000000001" customHeight="1" x14ac:dyDescent="0.25">
      <c r="D121" s="54" t="str" cm="1">
        <f t="array" ref="D121">Common_InputFunctions.Utility_DisplayArrayInTable(Fertiliser_SourceData.Fertiliser_Products_Data2(),FertiliserProducts[[#Headers],[Include or Exclude]], 20)</f>
        <v>NitroPlus</v>
      </c>
      <c r="E121" s="54" t="str" cm="1">
        <f t="array" ref="E121">Common_InputFunctions.Utility_DisplayArrayInTable(Fertiliser_SourceData.Fertiliser_Products_Data2(),FertiliserProducts[[#Headers],[Include or Exclude]], 20)</f>
        <v/>
      </c>
      <c r="F121" s="54" t="str" cm="1">
        <f t="array" ref="F121">Common_InputFunctions.Utility_DisplayArrayInTable(Fertiliser_SourceData.Fertiliser_Products_Data2(),FertiliserProducts[[#Headers],[Include or Exclude]], 20)</f>
        <v/>
      </c>
      <c r="G121" s="54" t="str" cm="1">
        <f t="array" ref="G121">Common_InputFunctions.Utility_DisplayArrayInTable(Fertiliser_SourceData.Fertiliser_Products_Data2(),FertiliserProducts[[#Headers],[Include or Exclude]], 20)</f>
        <v/>
      </c>
      <c r="H121" s="54" t="str" cm="1">
        <f t="array" ref="H121">Common_InputFunctions.Utility_DisplayArrayInTable(Fertiliser_SourceData.Fertiliser_Products_Data2(),FertiliserProducts[[#Headers],[Include or Exclude]], 20)</f>
        <v/>
      </c>
      <c r="I121" s="54" t="str" cm="1">
        <f t="array" ref="I121">Common_InputFunctions.Utility_DisplayArrayInTable(Fertiliser_SourceData.Fertiliser_Products_Data2(),FertiliserProducts[[#Headers],[Include or Exclude]], 20)</f>
        <v/>
      </c>
      <c r="J121" s="54" t="str" cm="1">
        <f t="array" ref="J121">Common_InputFunctions.Utility_DisplayArrayInTable(Fertiliser_SourceData.Fertiliser_Products_Data2(),FertiliserProducts[[#Headers],[Include or Exclude]], 20)</f>
        <v/>
      </c>
      <c r="K121" s="54" t="str" cm="1">
        <f t="array" ref="K121">Common_InputFunctions.Utility_DisplayArrayInTable(Fertiliser_SourceData.Fertiliser_Products_Data2(),FertiliserProducts[[#Headers],[Include or Exclude]], 20)</f>
        <v/>
      </c>
      <c r="L121" s="54" t="str" cm="1">
        <f t="array" ref="L121">Common_InputFunctions.Utility_DisplayArrayInTable(Fertiliser_SourceData.Fertiliser_Products_Data2(),FertiliserProducts[[#Headers],[Include or Exclude]], 20)</f>
        <v/>
      </c>
      <c r="M121" s="54" t="str" cm="1">
        <f t="array" ref="M121">Common_InputFunctions.Utility_DisplayArrayInTable(Fertiliser_SourceData.Fertiliser_Products_Data2(),FertiliserProducts[[#Headers],[Include or Exclude]], 20)</f>
        <v/>
      </c>
      <c r="N121" s="54" t="str" cm="1">
        <f t="array" ref="N121">Common_InputFunctions.Utility_DisplayArrayInTable(Fertiliser_SourceData.Fertiliser_Products_Data2(),FertiliserProducts[[#Headers],[Include or Exclude]], 20)</f>
        <v/>
      </c>
      <c r="O121" s="54" t="str" cm="1">
        <f t="array" ref="O121">Common_InputFunctions.Utility_DisplayArrayInTable(Fertiliser_SourceData.Fertiliser_Products_Data2(),FertiliserProducts[[#Headers],[Include or Exclude]], 20)</f>
        <v/>
      </c>
      <c r="P121" s="54" t="str" cm="1">
        <f t="array" ref="P121">Common_InputFunctions.Utility_DisplayArrayInTable(Fertiliser_SourceData.Fertiliser_Products_Data2(),FertiliserProducts[[#Headers],[Include or Exclude]], 20)</f>
        <v/>
      </c>
      <c r="Q121" s="54" t="str" cm="1">
        <f t="array" ref="Q121">Common_InputFunctions.Utility_DisplayArrayInTable(Fertiliser_SourceData.Fertiliser_Products_Data2(),FertiliserProducts[[#Headers],[Include or Exclude]], 20)</f>
        <v/>
      </c>
      <c r="R121" s="54" t="str" cm="1">
        <f t="array" ref="R121">Common_InputFunctions.Utility_DisplayArrayInTable(Fertiliser_SourceData.Fertiliser_Products_Data2(),FertiliserProducts[[#Headers],[Include or Exclude]], 20)</f>
        <v/>
      </c>
      <c r="S121" s="54" t="str" cm="1">
        <f t="array" ref="S121">Common_InputFunctions.Utility_DisplayArrayInTable(Fertiliser_SourceData.Fertiliser_Products_Data2(),FertiliserProducts[[#Headers],[Include or Exclude]], 20)</f>
        <v/>
      </c>
      <c r="T121" s="54" t="str" cm="1">
        <f t="array" ref="T121">Common_InputFunctions.Utility_DisplayArrayInTable(Fertiliser_SourceData.Fertiliser_Products_Data2(),FertiliserProducts[[#Headers],[Include or Exclude]], 20)</f>
        <v/>
      </c>
      <c r="U121" s="54" t="str" cm="1">
        <f t="array" ref="U121">Common_InputFunctions.Utility_DisplayArrayInTable(Fertiliser_SourceData.Fertiliser_Products_Data2(),FertiliserProducts[[#Headers],[Include or Exclude]], 20)</f>
        <v/>
      </c>
      <c r="V121" s="54" t="str" cm="1">
        <f t="array" ref="V121">Common_InputFunctions.Utility_DisplayArrayInTable(Fertiliser_SourceData.Fertiliser_Products_Data2(),FertiliserProducts[[#Headers],[Include or Exclude]], 20)</f>
        <v/>
      </c>
      <c r="W121" s="54" t="str" cm="1">
        <f t="array" ref="W121">Common_InputFunctions.Utility_DisplayArrayInTable(Fertiliser_SourceData.Fertiliser_Products_Data2(),FertiliserProducts[[#Headers],[Include or Exclude]], 20)</f>
        <v>AgroStock Group Nitro Plus</v>
      </c>
      <c r="X121" s="54" t="str" cm="1">
        <f t="array" ref="X121">Common_InputFunctions.Utility_DisplayArrayInTable(Fertiliser_SourceData.Fertiliser_Products_Data2(),FertiliserProducts[[#Headers],[Include or Exclude]], 20)</f>
        <v/>
      </c>
      <c r="Y121" s="54" t="str" cm="1">
        <f t="array" ref="Y121">Common_InputFunctions.Utility_DisplayArrayInTable(Fertiliser_SourceData.Fertiliser_Products_Data2(),FertiliserProducts[[#Headers],[Include or Exclude]], 20)</f>
        <v/>
      </c>
      <c r="Z121" s="54" t="str" cm="1">
        <f t="array" ref="Z121">Common_InputFunctions.Utility_DisplayArrayInTable(Fertiliser_SourceData.Fertiliser_Products_Data2(),FertiliserProducts[[#Headers],[Include or Exclude]], 20)</f>
        <v/>
      </c>
      <c r="AA121" s="10" t="str" cm="1">
        <f t="array" ref="AA121">Common_InputFunctions.Utility_DisplayArrayInTable(Fertiliser_SourceData.Fertiliser_Products_Data2(),FertiliserProducts[[#Headers],[Include or Exclude]], 20)</f>
        <v/>
      </c>
      <c r="AB121" s="10" t="str" cm="1">
        <f t="array" ref="AB121">Common_InputFunctions.Utility_DisplayArrayInTable(Fertiliser_SourceData.Fertiliser_Products_Data2(),FertiliserProducts[[#Headers],[Include or Exclude]], 20)</f>
        <v/>
      </c>
      <c r="AC121" s="10" t="str" cm="1">
        <f t="array" ref="AC121">Common_InputFunctions.Utility_DisplayArrayInTable(Fertiliser_SourceData.Fertiliser_Products_Data2(),FertiliserProducts[[#Headers],[Include or Exclude]], 20)</f>
        <v/>
      </c>
      <c r="AD121" s="10" t="str" cm="1">
        <f t="array" ref="AD121">Common_InputFunctions.Utility_DisplayArrayInTable(Fertiliser_SourceData.Fertiliser_Products_Data2(),FertiliserProducts[[#Headers],[Include or Exclude]], 20)</f>
        <v/>
      </c>
      <c r="AE121" s="10" t="str" cm="1">
        <f t="array" ref="AE121">Common_InputFunctions.Utility_DisplayArrayInTable(Fertiliser_SourceData.Fertiliser_Products_Data2(),FertiliserProducts[[#Headers],[Include or Exclude]], 20)</f>
        <v/>
      </c>
    </row>
    <row r="122" spans="4:31" ht="20.100000000000001" customHeight="1" x14ac:dyDescent="0.25">
      <c r="D122" s="54" t="str" cm="1">
        <f t="array" ref="D122">Common_InputFunctions.Utility_DisplayArrayInTable(Fertiliser_SourceData.Fertiliser_Products_Data2(),FertiliserProducts[[#Headers],[Include or Exclude]], 20)</f>
        <v>NutraGold</v>
      </c>
      <c r="E122" s="54" t="str" cm="1">
        <f t="array" ref="E122">Common_InputFunctions.Utility_DisplayArrayInTable(Fertiliser_SourceData.Fertiliser_Products_Data2(),FertiliserProducts[[#Headers],[Include or Exclude]], 20)</f>
        <v/>
      </c>
      <c r="F122" s="54" t="str" cm="1">
        <f t="array" ref="F122">Common_InputFunctions.Utility_DisplayArrayInTable(Fertiliser_SourceData.Fertiliser_Products_Data2(),FertiliserProducts[[#Headers],[Include or Exclude]], 20)</f>
        <v/>
      </c>
      <c r="G122" s="54" t="str" cm="1">
        <f t="array" ref="G122">Common_InputFunctions.Utility_DisplayArrayInTable(Fertiliser_SourceData.Fertiliser_Products_Data2(),FertiliserProducts[[#Headers],[Include or Exclude]], 20)</f>
        <v/>
      </c>
      <c r="H122" s="54" t="str" cm="1">
        <f t="array" ref="H122">Common_InputFunctions.Utility_DisplayArrayInTable(Fertiliser_SourceData.Fertiliser_Products_Data2(),FertiliserProducts[[#Headers],[Include or Exclude]], 20)</f>
        <v/>
      </c>
      <c r="I122" s="54" t="str" cm="1">
        <f t="array" ref="I122">Common_InputFunctions.Utility_DisplayArrayInTable(Fertiliser_SourceData.Fertiliser_Products_Data2(),FertiliserProducts[[#Headers],[Include or Exclude]], 20)</f>
        <v/>
      </c>
      <c r="J122" s="54" t="str" cm="1">
        <f t="array" ref="J122">Common_InputFunctions.Utility_DisplayArrayInTable(Fertiliser_SourceData.Fertiliser_Products_Data2(),FertiliserProducts[[#Headers],[Include or Exclude]], 20)</f>
        <v/>
      </c>
      <c r="K122" s="54" t="str" cm="1">
        <f t="array" ref="K122">Common_InputFunctions.Utility_DisplayArrayInTable(Fertiliser_SourceData.Fertiliser_Products_Data2(),FertiliserProducts[[#Headers],[Include or Exclude]], 20)</f>
        <v/>
      </c>
      <c r="L122" s="54" t="str" cm="1">
        <f t="array" ref="L122">Common_InputFunctions.Utility_DisplayArrayInTable(Fertiliser_SourceData.Fertiliser_Products_Data2(),FertiliserProducts[[#Headers],[Include or Exclude]], 20)</f>
        <v/>
      </c>
      <c r="M122" s="54" t="str" cm="1">
        <f t="array" ref="M122">Common_InputFunctions.Utility_DisplayArrayInTable(Fertiliser_SourceData.Fertiliser_Products_Data2(),FertiliserProducts[[#Headers],[Include or Exclude]], 20)</f>
        <v/>
      </c>
      <c r="N122" s="54" t="str" cm="1">
        <f t="array" ref="N122">Common_InputFunctions.Utility_DisplayArrayInTable(Fertiliser_SourceData.Fertiliser_Products_Data2(),FertiliserProducts[[#Headers],[Include or Exclude]], 20)</f>
        <v/>
      </c>
      <c r="O122" s="54" t="str" cm="1">
        <f t="array" ref="O122">Common_InputFunctions.Utility_DisplayArrayInTable(Fertiliser_SourceData.Fertiliser_Products_Data2(),FertiliserProducts[[#Headers],[Include or Exclude]], 20)</f>
        <v/>
      </c>
      <c r="P122" s="54" t="str" cm="1">
        <f t="array" ref="P122">Common_InputFunctions.Utility_DisplayArrayInTable(Fertiliser_SourceData.Fertiliser_Products_Data2(),FertiliserProducts[[#Headers],[Include or Exclude]], 20)</f>
        <v/>
      </c>
      <c r="Q122" s="54" t="str" cm="1">
        <f t="array" ref="Q122">Common_InputFunctions.Utility_DisplayArrayInTable(Fertiliser_SourceData.Fertiliser_Products_Data2(),FertiliserProducts[[#Headers],[Include or Exclude]], 20)</f>
        <v/>
      </c>
      <c r="R122" s="54" t="str" cm="1">
        <f t="array" ref="R122">Common_InputFunctions.Utility_DisplayArrayInTable(Fertiliser_SourceData.Fertiliser_Products_Data2(),FertiliserProducts[[#Headers],[Include or Exclude]], 20)</f>
        <v/>
      </c>
      <c r="S122" s="54" t="str" cm="1">
        <f t="array" ref="S122">Common_InputFunctions.Utility_DisplayArrayInTable(Fertiliser_SourceData.Fertiliser_Products_Data2(),FertiliserProducts[[#Headers],[Include or Exclude]], 20)</f>
        <v/>
      </c>
      <c r="T122" s="54" t="str" cm="1">
        <f t="array" ref="T122">Common_InputFunctions.Utility_DisplayArrayInTable(Fertiliser_SourceData.Fertiliser_Products_Data2(),FertiliserProducts[[#Headers],[Include or Exclude]], 20)</f>
        <v/>
      </c>
      <c r="U122" s="54" t="str" cm="1">
        <f t="array" ref="U122">Common_InputFunctions.Utility_DisplayArrayInTable(Fertiliser_SourceData.Fertiliser_Products_Data2(),FertiliserProducts[[#Headers],[Include or Exclude]], 20)</f>
        <v/>
      </c>
      <c r="V122" s="54" t="str" cm="1">
        <f t="array" ref="V122">Common_InputFunctions.Utility_DisplayArrayInTable(Fertiliser_SourceData.Fertiliser_Products_Data2(),FertiliserProducts[[#Headers],[Include or Exclude]], 20)</f>
        <v/>
      </c>
      <c r="W122" s="54" t="str" cm="1">
        <f t="array" ref="W122">Common_InputFunctions.Utility_DisplayArrayInTable(Fertiliser_SourceData.Fertiliser_Products_Data2(),FertiliserProducts[[#Headers],[Include or Exclude]], 20)</f>
        <v>Swancrop</v>
      </c>
      <c r="X122" s="54" t="str" cm="1">
        <f t="array" ref="X122">Common_InputFunctions.Utility_DisplayArrayInTable(Fertiliser_SourceData.Fertiliser_Products_Data2(),FertiliserProducts[[#Headers],[Include or Exclude]], 20)</f>
        <v/>
      </c>
      <c r="Y122" s="54" t="str" cm="1">
        <f t="array" ref="Y122">Common_InputFunctions.Utility_DisplayArrayInTable(Fertiliser_SourceData.Fertiliser_Products_Data2(),FertiliserProducts[[#Headers],[Include or Exclude]], 20)</f>
        <v/>
      </c>
      <c r="Z122" s="54" t="str" cm="1">
        <f t="array" ref="Z122">Common_InputFunctions.Utility_DisplayArrayInTable(Fertiliser_SourceData.Fertiliser_Products_Data2(),FertiliserProducts[[#Headers],[Include or Exclude]], 20)</f>
        <v/>
      </c>
      <c r="AA122" s="10" t="str" cm="1">
        <f t="array" ref="AA122">Common_InputFunctions.Utility_DisplayArrayInTable(Fertiliser_SourceData.Fertiliser_Products_Data2(),FertiliserProducts[[#Headers],[Include or Exclude]], 20)</f>
        <v/>
      </c>
      <c r="AB122" s="10" t="str" cm="1">
        <f t="array" ref="AB122">Common_InputFunctions.Utility_DisplayArrayInTable(Fertiliser_SourceData.Fertiliser_Products_Data2(),FertiliserProducts[[#Headers],[Include or Exclude]], 20)</f>
        <v/>
      </c>
      <c r="AC122" s="10" t="str" cm="1">
        <f t="array" ref="AC122">Common_InputFunctions.Utility_DisplayArrayInTable(Fertiliser_SourceData.Fertiliser_Products_Data2(),FertiliserProducts[[#Headers],[Include or Exclude]], 20)</f>
        <v/>
      </c>
      <c r="AD122" s="10" t="str" cm="1">
        <f t="array" ref="AD122">Common_InputFunctions.Utility_DisplayArrayInTable(Fertiliser_SourceData.Fertiliser_Products_Data2(),FertiliserProducts[[#Headers],[Include or Exclude]], 20)</f>
        <v/>
      </c>
      <c r="AE122" s="10" t="str" cm="1">
        <f t="array" ref="AE122">Common_InputFunctions.Utility_DisplayArrayInTable(Fertiliser_SourceData.Fertiliser_Products_Data2(),FertiliserProducts[[#Headers],[Include or Exclude]], 20)</f>
        <v/>
      </c>
    </row>
    <row r="123" spans="4:31" ht="20.100000000000001" customHeight="1" x14ac:dyDescent="0.25">
      <c r="D123" s="54" t="str" cm="1">
        <f t="array" ref="D123">Common_InputFunctions.Utility_DisplayArrayInTable(Fertiliser_SourceData.Fertiliser_Products_Data2(),FertiliserProducts[[#Headers],[Include or Exclude]], 20)</f>
        <v>Pro Performance 18-3-6</v>
      </c>
      <c r="E123" s="54" t="str" cm="1">
        <f t="array" ref="E123">Common_InputFunctions.Utility_DisplayArrayInTable(Fertiliser_SourceData.Fertiliser_Products_Data2(),FertiliserProducts[[#Headers],[Include or Exclude]], 20)</f>
        <v/>
      </c>
      <c r="F123" s="54" t="str" cm="1">
        <f t="array" ref="F123">Common_InputFunctions.Utility_DisplayArrayInTable(Fertiliser_SourceData.Fertiliser_Products_Data2(),FertiliserProducts[[#Headers],[Include or Exclude]], 20)</f>
        <v/>
      </c>
      <c r="G123" s="54" t="str" cm="1">
        <f t="array" ref="G123">Common_InputFunctions.Utility_DisplayArrayInTable(Fertiliser_SourceData.Fertiliser_Products_Data2(),FertiliserProducts[[#Headers],[Include or Exclude]], 20)</f>
        <v/>
      </c>
      <c r="H123" s="54" t="str" cm="1">
        <f t="array" ref="H123">Common_InputFunctions.Utility_DisplayArrayInTable(Fertiliser_SourceData.Fertiliser_Products_Data2(),FertiliserProducts[[#Headers],[Include or Exclude]], 20)</f>
        <v/>
      </c>
      <c r="I123" s="54" t="str" cm="1">
        <f t="array" ref="I123">Common_InputFunctions.Utility_DisplayArrayInTable(Fertiliser_SourceData.Fertiliser_Products_Data2(),FertiliserProducts[[#Headers],[Include or Exclude]], 20)</f>
        <v/>
      </c>
      <c r="J123" s="54" t="str" cm="1">
        <f t="array" ref="J123">Common_InputFunctions.Utility_DisplayArrayInTable(Fertiliser_SourceData.Fertiliser_Products_Data2(),FertiliserProducts[[#Headers],[Include or Exclude]], 20)</f>
        <v/>
      </c>
      <c r="K123" s="54" t="str" cm="1">
        <f t="array" ref="K123">Common_InputFunctions.Utility_DisplayArrayInTable(Fertiliser_SourceData.Fertiliser_Products_Data2(),FertiliserProducts[[#Headers],[Include or Exclude]], 20)</f>
        <v/>
      </c>
      <c r="L123" s="54" t="str" cm="1">
        <f t="array" ref="L123">Common_InputFunctions.Utility_DisplayArrayInTable(Fertiliser_SourceData.Fertiliser_Products_Data2(),FertiliserProducts[[#Headers],[Include or Exclude]], 20)</f>
        <v/>
      </c>
      <c r="M123" s="54" t="str" cm="1">
        <f t="array" ref="M123">Common_InputFunctions.Utility_DisplayArrayInTable(Fertiliser_SourceData.Fertiliser_Products_Data2(),FertiliserProducts[[#Headers],[Include or Exclude]], 20)</f>
        <v/>
      </c>
      <c r="N123" s="54" t="str" cm="1">
        <f t="array" ref="N123">Common_InputFunctions.Utility_DisplayArrayInTable(Fertiliser_SourceData.Fertiliser_Products_Data2(),FertiliserProducts[[#Headers],[Include or Exclude]], 20)</f>
        <v/>
      </c>
      <c r="O123" s="54" t="str" cm="1">
        <f t="array" ref="O123">Common_InputFunctions.Utility_DisplayArrayInTable(Fertiliser_SourceData.Fertiliser_Products_Data2(),FertiliserProducts[[#Headers],[Include or Exclude]], 20)</f>
        <v/>
      </c>
      <c r="P123" s="54" t="str" cm="1">
        <f t="array" ref="P123">Common_InputFunctions.Utility_DisplayArrayInTable(Fertiliser_SourceData.Fertiliser_Products_Data2(),FertiliserProducts[[#Headers],[Include or Exclude]], 20)</f>
        <v/>
      </c>
      <c r="Q123" s="54" t="str" cm="1">
        <f t="array" ref="Q123">Common_InputFunctions.Utility_DisplayArrayInTable(Fertiliser_SourceData.Fertiliser_Products_Data2(),FertiliserProducts[[#Headers],[Include or Exclude]], 20)</f>
        <v/>
      </c>
      <c r="R123" s="54" t="str" cm="1">
        <f t="array" ref="R123">Common_InputFunctions.Utility_DisplayArrayInTable(Fertiliser_SourceData.Fertiliser_Products_Data2(),FertiliserProducts[[#Headers],[Include or Exclude]], 20)</f>
        <v/>
      </c>
      <c r="S123" s="54" t="str" cm="1">
        <f t="array" ref="S123">Common_InputFunctions.Utility_DisplayArrayInTable(Fertiliser_SourceData.Fertiliser_Products_Data2(),FertiliserProducts[[#Headers],[Include or Exclude]], 20)</f>
        <v/>
      </c>
      <c r="T123" s="54" t="str" cm="1">
        <f t="array" ref="T123">Common_InputFunctions.Utility_DisplayArrayInTable(Fertiliser_SourceData.Fertiliser_Products_Data2(),FertiliserProducts[[#Headers],[Include or Exclude]], 20)</f>
        <v/>
      </c>
      <c r="U123" s="54" t="str" cm="1">
        <f t="array" ref="U123">Common_InputFunctions.Utility_DisplayArrayInTable(Fertiliser_SourceData.Fertiliser_Products_Data2(),FertiliserProducts[[#Headers],[Include or Exclude]], 20)</f>
        <v/>
      </c>
      <c r="V123" s="54" t="str" cm="1">
        <f t="array" ref="V123">Common_InputFunctions.Utility_DisplayArrayInTable(Fertiliser_SourceData.Fertiliser_Products_Data2(),FertiliserProducts[[#Headers],[Include or Exclude]], 20)</f>
        <v/>
      </c>
      <c r="W123" s="54" t="str" cm="1">
        <f t="array" ref="W123">Common_InputFunctions.Utility_DisplayArrayInTable(Fertiliser_SourceData.Fertiliser_Products_Data2(),FertiliserProducts[[#Headers],[Include or Exclude]], 20)</f>
        <v>Pro Turf Formula</v>
      </c>
      <c r="X123" s="54" t="str" cm="1">
        <f t="array" ref="X123">Common_InputFunctions.Utility_DisplayArrayInTable(Fertiliser_SourceData.Fertiliser_Products_Data2(),FertiliserProducts[[#Headers],[Include or Exclude]], 20)</f>
        <v/>
      </c>
      <c r="Y123" s="54" t="str" cm="1">
        <f t="array" ref="Y123">Common_InputFunctions.Utility_DisplayArrayInTable(Fertiliser_SourceData.Fertiliser_Products_Data2(),FertiliserProducts[[#Headers],[Include or Exclude]], 20)</f>
        <v/>
      </c>
      <c r="Z123" s="54" t="str" cm="1">
        <f t="array" ref="Z123">Common_InputFunctions.Utility_DisplayArrayInTable(Fertiliser_SourceData.Fertiliser_Products_Data2(),FertiliserProducts[[#Headers],[Include or Exclude]], 20)</f>
        <v/>
      </c>
      <c r="AA123" s="10" t="str" cm="1">
        <f t="array" ref="AA123">Common_InputFunctions.Utility_DisplayArrayInTable(Fertiliser_SourceData.Fertiliser_Products_Data2(),FertiliserProducts[[#Headers],[Include or Exclude]], 20)</f>
        <v/>
      </c>
      <c r="AB123" s="10" t="str" cm="1">
        <f t="array" ref="AB123">Common_InputFunctions.Utility_DisplayArrayInTable(Fertiliser_SourceData.Fertiliser_Products_Data2(),FertiliserProducts[[#Headers],[Include or Exclude]], 20)</f>
        <v/>
      </c>
      <c r="AC123" s="10" t="str" cm="1">
        <f t="array" ref="AC123">Common_InputFunctions.Utility_DisplayArrayInTable(Fertiliser_SourceData.Fertiliser_Products_Data2(),FertiliserProducts[[#Headers],[Include or Exclude]], 20)</f>
        <v/>
      </c>
      <c r="AD123" s="10" t="str" cm="1">
        <f t="array" ref="AD123">Common_InputFunctions.Utility_DisplayArrayInTable(Fertiliser_SourceData.Fertiliser_Products_Data2(),FertiliserProducts[[#Headers],[Include or Exclude]], 20)</f>
        <v/>
      </c>
      <c r="AE123" s="10" t="str" cm="1">
        <f t="array" ref="AE123">Common_InputFunctions.Utility_DisplayArrayInTable(Fertiliser_SourceData.Fertiliser_Products_Data2(),FertiliserProducts[[#Headers],[Include or Exclude]], 20)</f>
        <v/>
      </c>
    </row>
    <row r="124" spans="4:31" ht="20.100000000000001" customHeight="1" x14ac:dyDescent="0.25">
      <c r="D124" s="54" t="str" cm="1">
        <f t="array" ref="D124">Common_InputFunctions.Utility_DisplayArrayInTable(Fertiliser_SourceData.Fertiliser_Products_Data2(),FertiliserProducts[[#Headers],[Include or Exclude]], 20)</f>
        <v>SOA</v>
      </c>
      <c r="E124" s="54" t="str" cm="1">
        <f t="array" ref="E124">Common_InputFunctions.Utility_DisplayArrayInTable(Fertiliser_SourceData.Fertiliser_Products_Data2(),FertiliserProducts[[#Headers],[Include or Exclude]], 20)</f>
        <v/>
      </c>
      <c r="F124" s="54" t="str" cm="1">
        <f t="array" ref="F124">Common_InputFunctions.Utility_DisplayArrayInTable(Fertiliser_SourceData.Fertiliser_Products_Data2(),FertiliserProducts[[#Headers],[Include or Exclude]], 20)</f>
        <v/>
      </c>
      <c r="G124" s="54" t="str" cm="1">
        <f t="array" ref="G124">Common_InputFunctions.Utility_DisplayArrayInTable(Fertiliser_SourceData.Fertiliser_Products_Data2(),FertiliserProducts[[#Headers],[Include or Exclude]], 20)</f>
        <v/>
      </c>
      <c r="H124" s="54" t="str" cm="1">
        <f t="array" ref="H124">Common_InputFunctions.Utility_DisplayArrayInTable(Fertiliser_SourceData.Fertiliser_Products_Data2(),FertiliserProducts[[#Headers],[Include or Exclude]], 20)</f>
        <v/>
      </c>
      <c r="I124" s="54" t="str" cm="1">
        <f t="array" ref="I124">Common_InputFunctions.Utility_DisplayArrayInTable(Fertiliser_SourceData.Fertiliser_Products_Data2(),FertiliserProducts[[#Headers],[Include or Exclude]], 20)</f>
        <v/>
      </c>
      <c r="J124" s="54" t="str" cm="1">
        <f t="array" ref="J124">Common_InputFunctions.Utility_DisplayArrayInTable(Fertiliser_SourceData.Fertiliser_Products_Data2(),FertiliserProducts[[#Headers],[Include or Exclude]], 20)</f>
        <v/>
      </c>
      <c r="K124" s="54" t="str" cm="1">
        <f t="array" ref="K124">Common_InputFunctions.Utility_DisplayArrayInTable(Fertiliser_SourceData.Fertiliser_Products_Data2(),FertiliserProducts[[#Headers],[Include or Exclude]], 20)</f>
        <v/>
      </c>
      <c r="L124" s="54" t="str" cm="1">
        <f t="array" ref="L124">Common_InputFunctions.Utility_DisplayArrayInTable(Fertiliser_SourceData.Fertiliser_Products_Data2(),FertiliserProducts[[#Headers],[Include or Exclude]], 20)</f>
        <v/>
      </c>
      <c r="M124" s="54" t="str" cm="1">
        <f t="array" ref="M124">Common_InputFunctions.Utility_DisplayArrayInTable(Fertiliser_SourceData.Fertiliser_Products_Data2(),FertiliserProducts[[#Headers],[Include or Exclude]], 20)</f>
        <v/>
      </c>
      <c r="N124" s="54" t="str" cm="1">
        <f t="array" ref="N124">Common_InputFunctions.Utility_DisplayArrayInTable(Fertiliser_SourceData.Fertiliser_Products_Data2(),FertiliserProducts[[#Headers],[Include or Exclude]], 20)</f>
        <v/>
      </c>
      <c r="O124" s="54" t="str" cm="1">
        <f t="array" ref="O124">Common_InputFunctions.Utility_DisplayArrayInTable(Fertiliser_SourceData.Fertiliser_Products_Data2(),FertiliserProducts[[#Headers],[Include or Exclude]], 20)</f>
        <v/>
      </c>
      <c r="P124" s="54" t="str" cm="1">
        <f t="array" ref="P124">Common_InputFunctions.Utility_DisplayArrayInTable(Fertiliser_SourceData.Fertiliser_Products_Data2(),FertiliserProducts[[#Headers],[Include or Exclude]], 20)</f>
        <v/>
      </c>
      <c r="Q124" s="54" t="str" cm="1">
        <f t="array" ref="Q124">Common_InputFunctions.Utility_DisplayArrayInTable(Fertiliser_SourceData.Fertiliser_Products_Data2(),FertiliserProducts[[#Headers],[Include or Exclude]], 20)</f>
        <v/>
      </c>
      <c r="R124" s="54" t="str" cm="1">
        <f t="array" ref="R124">Common_InputFunctions.Utility_DisplayArrayInTable(Fertiliser_SourceData.Fertiliser_Products_Data2(),FertiliserProducts[[#Headers],[Include or Exclude]], 20)</f>
        <v/>
      </c>
      <c r="S124" s="54" t="str" cm="1">
        <f t="array" ref="S124">Common_InputFunctions.Utility_DisplayArrayInTable(Fertiliser_SourceData.Fertiliser_Products_Data2(),FertiliserProducts[[#Headers],[Include or Exclude]], 20)</f>
        <v/>
      </c>
      <c r="T124" s="54" t="str" cm="1">
        <f t="array" ref="T124">Common_InputFunctions.Utility_DisplayArrayInTable(Fertiliser_SourceData.Fertiliser_Products_Data2(),FertiliserProducts[[#Headers],[Include or Exclude]], 20)</f>
        <v/>
      </c>
      <c r="U124" s="54" t="str" cm="1">
        <f t="array" ref="U124">Common_InputFunctions.Utility_DisplayArrayInTable(Fertiliser_SourceData.Fertiliser_Products_Data2(),FertiliserProducts[[#Headers],[Include or Exclude]], 20)</f>
        <v/>
      </c>
      <c r="V124" s="54" t="str" cm="1">
        <f t="array" ref="V124">Common_InputFunctions.Utility_DisplayArrayInTable(Fertiliser_SourceData.Fertiliser_Products_Data2(),FertiliserProducts[[#Headers],[Include or Exclude]], 20)</f>
        <v/>
      </c>
      <c r="W124" s="54" t="str" cm="1">
        <f t="array" ref="W124">Common_InputFunctions.Utility_DisplayArrayInTable(Fertiliser_SourceData.Fertiliser_Products_Data2(),FertiliserProducts[[#Headers],[Include or Exclude]], 20)</f>
        <v>MountCompass Fertilisers Blends</v>
      </c>
      <c r="X124" s="54" t="str" cm="1">
        <f t="array" ref="X124">Common_InputFunctions.Utility_DisplayArrayInTable(Fertiliser_SourceData.Fertiliser_Products_Data2(),FertiliserProducts[[#Headers],[Include or Exclude]], 20)</f>
        <v/>
      </c>
      <c r="Y124" s="54" t="str" cm="1">
        <f t="array" ref="Y124">Common_InputFunctions.Utility_DisplayArrayInTable(Fertiliser_SourceData.Fertiliser_Products_Data2(),FertiliserProducts[[#Headers],[Include or Exclude]], 20)</f>
        <v/>
      </c>
      <c r="Z124" s="54" t="str" cm="1">
        <f t="array" ref="Z124">Common_InputFunctions.Utility_DisplayArrayInTable(Fertiliser_SourceData.Fertiliser_Products_Data2(),FertiliserProducts[[#Headers],[Include or Exclude]], 20)</f>
        <v/>
      </c>
      <c r="AA124" s="10" t="str" cm="1">
        <f t="array" ref="AA124">Common_InputFunctions.Utility_DisplayArrayInTable(Fertiliser_SourceData.Fertiliser_Products_Data2(),FertiliserProducts[[#Headers],[Include or Exclude]], 20)</f>
        <v/>
      </c>
      <c r="AB124" s="10" t="str" cm="1">
        <f t="array" ref="AB124">Common_InputFunctions.Utility_DisplayArrayInTable(Fertiliser_SourceData.Fertiliser_Products_Data2(),FertiliserProducts[[#Headers],[Include or Exclude]], 20)</f>
        <v/>
      </c>
      <c r="AC124" s="10" t="str" cm="1">
        <f t="array" ref="AC124">Common_InputFunctions.Utility_DisplayArrayInTable(Fertiliser_SourceData.Fertiliser_Products_Data2(),FertiliserProducts[[#Headers],[Include or Exclude]], 20)</f>
        <v/>
      </c>
      <c r="AD124" s="10" t="str" cm="1">
        <f t="array" ref="AD124">Common_InputFunctions.Utility_DisplayArrayInTable(Fertiliser_SourceData.Fertiliser_Products_Data2(),FertiliserProducts[[#Headers],[Include or Exclude]], 20)</f>
        <v/>
      </c>
      <c r="AE124" s="10" t="str" cm="1">
        <f t="array" ref="AE124">Common_InputFunctions.Utility_DisplayArrayInTable(Fertiliser_SourceData.Fertiliser_Products_Data2(),FertiliserProducts[[#Headers],[Include or Exclude]], 20)</f>
        <v/>
      </c>
    </row>
    <row r="125" spans="4:31" ht="20.100000000000001" customHeight="1" x14ac:dyDescent="0.25">
      <c r="D125" s="54" t="str" cm="1">
        <f t="array" ref="D125">Common_InputFunctions.Utility_DisplayArrayInTable(Fertiliser_SourceData.Fertiliser_Products_Data2(),FertiliserProducts[[#Headers],[Include or Exclude]], 20)</f>
        <v>SSP</v>
      </c>
      <c r="E125" s="54" t="str" cm="1">
        <f t="array" ref="E125">Common_InputFunctions.Utility_DisplayArrayInTable(Fertiliser_SourceData.Fertiliser_Products_Data2(),FertiliserProducts[[#Headers],[Include or Exclude]], 20)</f>
        <v/>
      </c>
      <c r="F125" s="54" t="str" cm="1">
        <f t="array" ref="F125">Common_InputFunctions.Utility_DisplayArrayInTable(Fertiliser_SourceData.Fertiliser_Products_Data2(),FertiliserProducts[[#Headers],[Include or Exclude]], 20)</f>
        <v/>
      </c>
      <c r="G125" s="54" t="str" cm="1">
        <f t="array" ref="G125">Common_InputFunctions.Utility_DisplayArrayInTable(Fertiliser_SourceData.Fertiliser_Products_Data2(),FertiliserProducts[[#Headers],[Include or Exclude]], 20)</f>
        <v/>
      </c>
      <c r="H125" s="54" t="str" cm="1">
        <f t="array" ref="H125">Common_InputFunctions.Utility_DisplayArrayInTable(Fertiliser_SourceData.Fertiliser_Products_Data2(),FertiliserProducts[[#Headers],[Include or Exclude]], 20)</f>
        <v/>
      </c>
      <c r="I125" s="54" t="str" cm="1">
        <f t="array" ref="I125">Common_InputFunctions.Utility_DisplayArrayInTable(Fertiliser_SourceData.Fertiliser_Products_Data2(),FertiliserProducts[[#Headers],[Include or Exclude]], 20)</f>
        <v/>
      </c>
      <c r="J125" s="54" t="str" cm="1">
        <f t="array" ref="J125">Common_InputFunctions.Utility_DisplayArrayInTable(Fertiliser_SourceData.Fertiliser_Products_Data2(),FertiliserProducts[[#Headers],[Include or Exclude]], 20)</f>
        <v/>
      </c>
      <c r="K125" s="54" t="str" cm="1">
        <f t="array" ref="K125">Common_InputFunctions.Utility_DisplayArrayInTable(Fertiliser_SourceData.Fertiliser_Products_Data2(),FertiliserProducts[[#Headers],[Include or Exclude]], 20)</f>
        <v/>
      </c>
      <c r="L125" s="54" t="str" cm="1">
        <f t="array" ref="L125">Common_InputFunctions.Utility_DisplayArrayInTable(Fertiliser_SourceData.Fertiliser_Products_Data2(),FertiliserProducts[[#Headers],[Include or Exclude]], 20)</f>
        <v/>
      </c>
      <c r="M125" s="54" t="str" cm="1">
        <f t="array" ref="M125">Common_InputFunctions.Utility_DisplayArrayInTable(Fertiliser_SourceData.Fertiliser_Products_Data2(),FertiliserProducts[[#Headers],[Include or Exclude]], 20)</f>
        <v/>
      </c>
      <c r="N125" s="54" t="str" cm="1">
        <f t="array" ref="N125">Common_InputFunctions.Utility_DisplayArrayInTable(Fertiliser_SourceData.Fertiliser_Products_Data2(),FertiliserProducts[[#Headers],[Include or Exclude]], 20)</f>
        <v/>
      </c>
      <c r="O125" s="54" t="str" cm="1">
        <f t="array" ref="O125">Common_InputFunctions.Utility_DisplayArrayInTable(Fertiliser_SourceData.Fertiliser_Products_Data2(),FertiliserProducts[[#Headers],[Include or Exclude]], 20)</f>
        <v/>
      </c>
      <c r="P125" s="54" t="str" cm="1">
        <f t="array" ref="P125">Common_InputFunctions.Utility_DisplayArrayInTable(Fertiliser_SourceData.Fertiliser_Products_Data2(),FertiliserProducts[[#Headers],[Include or Exclude]], 20)</f>
        <v/>
      </c>
      <c r="Q125" s="54" t="str" cm="1">
        <f t="array" ref="Q125">Common_InputFunctions.Utility_DisplayArrayInTable(Fertiliser_SourceData.Fertiliser_Products_Data2(),FertiliserProducts[[#Headers],[Include or Exclude]], 20)</f>
        <v/>
      </c>
      <c r="R125" s="54" t="str" cm="1">
        <f t="array" ref="R125">Common_InputFunctions.Utility_DisplayArrayInTable(Fertiliser_SourceData.Fertiliser_Products_Data2(),FertiliserProducts[[#Headers],[Include or Exclude]], 20)</f>
        <v/>
      </c>
      <c r="S125" s="54" t="str" cm="1">
        <f t="array" ref="S125">Common_InputFunctions.Utility_DisplayArrayInTable(Fertiliser_SourceData.Fertiliser_Products_Data2(),FertiliserProducts[[#Headers],[Include or Exclude]], 20)</f>
        <v/>
      </c>
      <c r="T125" s="54" t="str" cm="1">
        <f t="array" ref="T125">Common_InputFunctions.Utility_DisplayArrayInTable(Fertiliser_SourceData.Fertiliser_Products_Data2(),FertiliserProducts[[#Headers],[Include or Exclude]], 20)</f>
        <v/>
      </c>
      <c r="U125" s="54" t="str" cm="1">
        <f t="array" ref="U125">Common_InputFunctions.Utility_DisplayArrayInTable(Fertiliser_SourceData.Fertiliser_Products_Data2(),FertiliserProducts[[#Headers],[Include or Exclude]], 20)</f>
        <v/>
      </c>
      <c r="V125" s="54" t="str" cm="1">
        <f t="array" ref="V125">Common_InputFunctions.Utility_DisplayArrayInTable(Fertiliser_SourceData.Fertiliser_Products_Data2(),FertiliserProducts[[#Headers],[Include or Exclude]], 20)</f>
        <v/>
      </c>
      <c r="W125" s="54" t="str" cm="1">
        <f t="array" ref="W125">Common_InputFunctions.Utility_DisplayArrayInTable(Fertiliser_SourceData.Fertiliser_Products_Data2(),FertiliserProducts[[#Headers],[Include or Exclude]], 20)</f>
        <v>Impact fertilisers</v>
      </c>
      <c r="X125" s="54" t="str" cm="1">
        <f t="array" ref="X125">Common_InputFunctions.Utility_DisplayArrayInTable(Fertiliser_SourceData.Fertiliser_Products_Data2(),FertiliserProducts[[#Headers],[Include or Exclude]], 20)</f>
        <v/>
      </c>
      <c r="Y125" s="54" t="str" cm="1">
        <f t="array" ref="Y125">Common_InputFunctions.Utility_DisplayArrayInTable(Fertiliser_SourceData.Fertiliser_Products_Data2(),FertiliserProducts[[#Headers],[Include or Exclude]], 20)</f>
        <v/>
      </c>
      <c r="Z125" s="54" t="str" cm="1">
        <f t="array" ref="Z125">Common_InputFunctions.Utility_DisplayArrayInTable(Fertiliser_SourceData.Fertiliser_Products_Data2(),FertiliserProducts[[#Headers],[Include or Exclude]], 20)</f>
        <v/>
      </c>
      <c r="AA125" s="10" t="str" cm="1">
        <f t="array" ref="AA125">Common_InputFunctions.Utility_DisplayArrayInTable(Fertiliser_SourceData.Fertiliser_Products_Data2(),FertiliserProducts[[#Headers],[Include or Exclude]], 20)</f>
        <v/>
      </c>
      <c r="AB125" s="10" t="str" cm="1">
        <f t="array" ref="AB125">Common_InputFunctions.Utility_DisplayArrayInTable(Fertiliser_SourceData.Fertiliser_Products_Data2(),FertiliserProducts[[#Headers],[Include or Exclude]], 20)</f>
        <v/>
      </c>
      <c r="AC125" s="10" t="str" cm="1">
        <f t="array" ref="AC125">Common_InputFunctions.Utility_DisplayArrayInTable(Fertiliser_SourceData.Fertiliser_Products_Data2(),FertiliserProducts[[#Headers],[Include or Exclude]], 20)</f>
        <v/>
      </c>
      <c r="AD125" s="10" t="str" cm="1">
        <f t="array" ref="AD125">Common_InputFunctions.Utility_DisplayArrayInTable(Fertiliser_SourceData.Fertiliser_Products_Data2(),FertiliserProducts[[#Headers],[Include or Exclude]], 20)</f>
        <v/>
      </c>
      <c r="AE125" s="10" t="str" cm="1">
        <f t="array" ref="AE125">Common_InputFunctions.Utility_DisplayArrayInTable(Fertiliser_SourceData.Fertiliser_Products_Data2(),FertiliserProducts[[#Headers],[Include or Exclude]], 20)</f>
        <v/>
      </c>
    </row>
    <row r="126" spans="4:31" ht="20.100000000000001" customHeight="1" x14ac:dyDescent="0.25">
      <c r="D126" s="54" t="str" cm="1">
        <f t="array" ref="D126">Common_InputFunctions.Utility_DisplayArrayInTable(Fertiliser_SourceData.Fertiliser_Products_Data2(),FertiliserProducts[[#Headers],[Include or Exclude]], 20)</f>
        <v>Super Phos</v>
      </c>
      <c r="E126" s="54" t="str" cm="1">
        <f t="array" ref="E126">Common_InputFunctions.Utility_DisplayArrayInTable(Fertiliser_SourceData.Fertiliser_Products_Data2(),FertiliserProducts[[#Headers],[Include or Exclude]], 20)</f>
        <v/>
      </c>
      <c r="F126" s="54" t="str" cm="1">
        <f t="array" ref="F126">Common_InputFunctions.Utility_DisplayArrayInTable(Fertiliser_SourceData.Fertiliser_Products_Data2(),FertiliserProducts[[#Headers],[Include or Exclude]], 20)</f>
        <v/>
      </c>
      <c r="G126" s="54" t="str" cm="1">
        <f t="array" ref="G126">Common_InputFunctions.Utility_DisplayArrayInTable(Fertiliser_SourceData.Fertiliser_Products_Data2(),FertiliserProducts[[#Headers],[Include or Exclude]], 20)</f>
        <v/>
      </c>
      <c r="H126" s="54" t="str" cm="1">
        <f t="array" ref="H126">Common_InputFunctions.Utility_DisplayArrayInTable(Fertiliser_SourceData.Fertiliser_Products_Data2(),FertiliserProducts[[#Headers],[Include or Exclude]], 20)</f>
        <v/>
      </c>
      <c r="I126" s="54" t="str" cm="1">
        <f t="array" ref="I126">Common_InputFunctions.Utility_DisplayArrayInTable(Fertiliser_SourceData.Fertiliser_Products_Data2(),FertiliserProducts[[#Headers],[Include or Exclude]], 20)</f>
        <v/>
      </c>
      <c r="J126" s="54" t="str" cm="1">
        <f t="array" ref="J126">Common_InputFunctions.Utility_DisplayArrayInTable(Fertiliser_SourceData.Fertiliser_Products_Data2(),FertiliserProducts[[#Headers],[Include or Exclude]], 20)</f>
        <v/>
      </c>
      <c r="K126" s="54" t="str" cm="1">
        <f t="array" ref="K126">Common_InputFunctions.Utility_DisplayArrayInTable(Fertiliser_SourceData.Fertiliser_Products_Data2(),FertiliserProducts[[#Headers],[Include or Exclude]], 20)</f>
        <v/>
      </c>
      <c r="L126" s="54" t="str" cm="1">
        <f t="array" ref="L126">Common_InputFunctions.Utility_DisplayArrayInTable(Fertiliser_SourceData.Fertiliser_Products_Data2(),FertiliserProducts[[#Headers],[Include or Exclude]], 20)</f>
        <v/>
      </c>
      <c r="M126" s="54" t="str" cm="1">
        <f t="array" ref="M126">Common_InputFunctions.Utility_DisplayArrayInTable(Fertiliser_SourceData.Fertiliser_Products_Data2(),FertiliserProducts[[#Headers],[Include or Exclude]], 20)</f>
        <v/>
      </c>
      <c r="N126" s="54" t="str" cm="1">
        <f t="array" ref="N126">Common_InputFunctions.Utility_DisplayArrayInTable(Fertiliser_SourceData.Fertiliser_Products_Data2(),FertiliserProducts[[#Headers],[Include or Exclude]], 20)</f>
        <v/>
      </c>
      <c r="O126" s="54" t="str" cm="1">
        <f t="array" ref="O126">Common_InputFunctions.Utility_DisplayArrayInTable(Fertiliser_SourceData.Fertiliser_Products_Data2(),FertiliserProducts[[#Headers],[Include or Exclude]], 20)</f>
        <v/>
      </c>
      <c r="P126" s="54" t="str" cm="1">
        <f t="array" ref="P126">Common_InputFunctions.Utility_DisplayArrayInTable(Fertiliser_SourceData.Fertiliser_Products_Data2(),FertiliserProducts[[#Headers],[Include or Exclude]], 20)</f>
        <v/>
      </c>
      <c r="Q126" s="54" t="str" cm="1">
        <f t="array" ref="Q126">Common_InputFunctions.Utility_DisplayArrayInTable(Fertiliser_SourceData.Fertiliser_Products_Data2(),FertiliserProducts[[#Headers],[Include or Exclude]], 20)</f>
        <v/>
      </c>
      <c r="R126" s="54" t="str" cm="1">
        <f t="array" ref="R126">Common_InputFunctions.Utility_DisplayArrayInTable(Fertiliser_SourceData.Fertiliser_Products_Data2(),FertiliserProducts[[#Headers],[Include or Exclude]], 20)</f>
        <v/>
      </c>
      <c r="S126" s="54" t="str" cm="1">
        <f t="array" ref="S126">Common_InputFunctions.Utility_DisplayArrayInTable(Fertiliser_SourceData.Fertiliser_Products_Data2(),FertiliserProducts[[#Headers],[Include or Exclude]], 20)</f>
        <v/>
      </c>
      <c r="T126" s="54" t="str" cm="1">
        <f t="array" ref="T126">Common_InputFunctions.Utility_DisplayArrayInTable(Fertiliser_SourceData.Fertiliser_Products_Data2(),FertiliserProducts[[#Headers],[Include or Exclude]], 20)</f>
        <v/>
      </c>
      <c r="U126" s="54" t="str" cm="1">
        <f t="array" ref="U126">Common_InputFunctions.Utility_DisplayArrayInTable(Fertiliser_SourceData.Fertiliser_Products_Data2(),FertiliserProducts[[#Headers],[Include or Exclude]], 20)</f>
        <v/>
      </c>
      <c r="V126" s="54" t="str" cm="1">
        <f t="array" ref="V126">Common_InputFunctions.Utility_DisplayArrayInTable(Fertiliser_SourceData.Fertiliser_Products_Data2(),FertiliserProducts[[#Headers],[Include or Exclude]], 20)</f>
        <v/>
      </c>
      <c r="W126" s="54" t="str" cm="1">
        <f t="array" ref="W126">Common_InputFunctions.Utility_DisplayArrayInTable(Fertiliser_SourceData.Fertiliser_Products_Data2(),FertiliserProducts[[#Headers],[Include or Exclude]], 20)</f>
        <v>CSBP Super PHOS</v>
      </c>
      <c r="X126" s="54" t="str" cm="1">
        <f t="array" ref="X126">Common_InputFunctions.Utility_DisplayArrayInTable(Fertiliser_SourceData.Fertiliser_Products_Data2(),FertiliserProducts[[#Headers],[Include or Exclude]], 20)</f>
        <v/>
      </c>
      <c r="Y126" s="54" t="str" cm="1">
        <f t="array" ref="Y126">Common_InputFunctions.Utility_DisplayArrayInTable(Fertiliser_SourceData.Fertiliser_Products_Data2(),FertiliserProducts[[#Headers],[Include or Exclude]], 20)</f>
        <v/>
      </c>
      <c r="Z126" s="54" t="str" cm="1">
        <f t="array" ref="Z126">Common_InputFunctions.Utility_DisplayArrayInTable(Fertiliser_SourceData.Fertiliser_Products_Data2(),FertiliserProducts[[#Headers],[Include or Exclude]], 20)</f>
        <v/>
      </c>
      <c r="AA126" s="10" t="str" cm="1">
        <f t="array" ref="AA126">Common_InputFunctions.Utility_DisplayArrayInTable(Fertiliser_SourceData.Fertiliser_Products_Data2(),FertiliserProducts[[#Headers],[Include or Exclude]], 20)</f>
        <v/>
      </c>
      <c r="AB126" s="10" t="str" cm="1">
        <f t="array" ref="AB126">Common_InputFunctions.Utility_DisplayArrayInTable(Fertiliser_SourceData.Fertiliser_Products_Data2(),FertiliserProducts[[#Headers],[Include or Exclude]], 20)</f>
        <v/>
      </c>
      <c r="AC126" s="10" t="str" cm="1">
        <f t="array" ref="AC126">Common_InputFunctions.Utility_DisplayArrayInTable(Fertiliser_SourceData.Fertiliser_Products_Data2(),FertiliserProducts[[#Headers],[Include or Exclude]], 20)</f>
        <v/>
      </c>
      <c r="AD126" s="10" t="str" cm="1">
        <f t="array" ref="AD126">Common_InputFunctions.Utility_DisplayArrayInTable(Fertiliser_SourceData.Fertiliser_Products_Data2(),FertiliserProducts[[#Headers],[Include or Exclude]], 20)</f>
        <v/>
      </c>
      <c r="AE126" s="10" t="str" cm="1">
        <f t="array" ref="AE126">Common_InputFunctions.Utility_DisplayArrayInTable(Fertiliser_SourceData.Fertiliser_Products_Data2(),FertiliserProducts[[#Headers],[Include or Exclude]], 20)</f>
        <v/>
      </c>
    </row>
    <row r="127" spans="4:31" ht="20.100000000000001" customHeight="1" x14ac:dyDescent="0.25">
      <c r="D127" s="54" t="str" cm="1">
        <f t="array" ref="D127">Common_InputFunctions.Utility_DisplayArrayInTable(Fertiliser_SourceData.Fertiliser_Products_Data2(),FertiliserProducts[[#Headers],[Include or Exclude]], 20)</f>
        <v>Super SR Extra</v>
      </c>
      <c r="E127" s="54" t="str" cm="1">
        <f t="array" ref="E127">Common_InputFunctions.Utility_DisplayArrayInTable(Fertiliser_SourceData.Fertiliser_Products_Data2(),FertiliserProducts[[#Headers],[Include or Exclude]], 20)</f>
        <v/>
      </c>
      <c r="F127" s="54" t="str" cm="1">
        <f t="array" ref="F127">Common_InputFunctions.Utility_DisplayArrayInTable(Fertiliser_SourceData.Fertiliser_Products_Data2(),FertiliserProducts[[#Headers],[Include or Exclude]], 20)</f>
        <v/>
      </c>
      <c r="G127" s="54" t="str" cm="1">
        <f t="array" ref="G127">Common_InputFunctions.Utility_DisplayArrayInTable(Fertiliser_SourceData.Fertiliser_Products_Data2(),FertiliserProducts[[#Headers],[Include or Exclude]], 20)</f>
        <v/>
      </c>
      <c r="H127" s="54" t="str" cm="1">
        <f t="array" ref="H127">Common_InputFunctions.Utility_DisplayArrayInTable(Fertiliser_SourceData.Fertiliser_Products_Data2(),FertiliserProducts[[#Headers],[Include or Exclude]], 20)</f>
        <v/>
      </c>
      <c r="I127" s="54" t="str" cm="1">
        <f t="array" ref="I127">Common_InputFunctions.Utility_DisplayArrayInTable(Fertiliser_SourceData.Fertiliser_Products_Data2(),FertiliserProducts[[#Headers],[Include or Exclude]], 20)</f>
        <v/>
      </c>
      <c r="J127" s="54" t="str" cm="1">
        <f t="array" ref="J127">Common_InputFunctions.Utility_DisplayArrayInTable(Fertiliser_SourceData.Fertiliser_Products_Data2(),FertiliserProducts[[#Headers],[Include or Exclude]], 20)</f>
        <v/>
      </c>
      <c r="K127" s="54" t="str" cm="1">
        <f t="array" ref="K127">Common_InputFunctions.Utility_DisplayArrayInTable(Fertiliser_SourceData.Fertiliser_Products_Data2(),FertiliserProducts[[#Headers],[Include or Exclude]], 20)</f>
        <v/>
      </c>
      <c r="L127" s="54" t="str" cm="1">
        <f t="array" ref="L127">Common_InputFunctions.Utility_DisplayArrayInTable(Fertiliser_SourceData.Fertiliser_Products_Data2(),FertiliserProducts[[#Headers],[Include or Exclude]], 20)</f>
        <v/>
      </c>
      <c r="M127" s="54" t="str" cm="1">
        <f t="array" ref="M127">Common_InputFunctions.Utility_DisplayArrayInTable(Fertiliser_SourceData.Fertiliser_Products_Data2(),FertiliserProducts[[#Headers],[Include or Exclude]], 20)</f>
        <v/>
      </c>
      <c r="N127" s="54" t="str" cm="1">
        <f t="array" ref="N127">Common_InputFunctions.Utility_DisplayArrayInTable(Fertiliser_SourceData.Fertiliser_Products_Data2(),FertiliserProducts[[#Headers],[Include or Exclude]], 20)</f>
        <v/>
      </c>
      <c r="O127" s="54" t="str" cm="1">
        <f t="array" ref="O127">Common_InputFunctions.Utility_DisplayArrayInTable(Fertiliser_SourceData.Fertiliser_Products_Data2(),FertiliserProducts[[#Headers],[Include or Exclude]], 20)</f>
        <v/>
      </c>
      <c r="P127" s="54" t="str" cm="1">
        <f t="array" ref="P127">Common_InputFunctions.Utility_DisplayArrayInTable(Fertiliser_SourceData.Fertiliser_Products_Data2(),FertiliserProducts[[#Headers],[Include or Exclude]], 20)</f>
        <v/>
      </c>
      <c r="Q127" s="54" t="str" cm="1">
        <f t="array" ref="Q127">Common_InputFunctions.Utility_DisplayArrayInTable(Fertiliser_SourceData.Fertiliser_Products_Data2(),FertiliserProducts[[#Headers],[Include or Exclude]], 20)</f>
        <v/>
      </c>
      <c r="R127" s="54" t="str" cm="1">
        <f t="array" ref="R127">Common_InputFunctions.Utility_DisplayArrayInTable(Fertiliser_SourceData.Fertiliser_Products_Data2(),FertiliserProducts[[#Headers],[Include or Exclude]], 20)</f>
        <v/>
      </c>
      <c r="S127" s="54" t="str" cm="1">
        <f t="array" ref="S127">Common_InputFunctions.Utility_DisplayArrayInTable(Fertiliser_SourceData.Fertiliser_Products_Data2(),FertiliserProducts[[#Headers],[Include or Exclude]], 20)</f>
        <v/>
      </c>
      <c r="T127" s="54" t="str" cm="1">
        <f t="array" ref="T127">Common_InputFunctions.Utility_DisplayArrayInTable(Fertiliser_SourceData.Fertiliser_Products_Data2(),FertiliserProducts[[#Headers],[Include or Exclude]], 20)</f>
        <v/>
      </c>
      <c r="U127" s="54" t="str" cm="1">
        <f t="array" ref="U127">Common_InputFunctions.Utility_DisplayArrayInTable(Fertiliser_SourceData.Fertiliser_Products_Data2(),FertiliserProducts[[#Headers],[Include or Exclude]], 20)</f>
        <v/>
      </c>
      <c r="V127" s="54" t="str" cm="1">
        <f t="array" ref="V127">Common_InputFunctions.Utility_DisplayArrayInTable(Fertiliser_SourceData.Fertiliser_Products_Data2(),FertiliserProducts[[#Headers],[Include or Exclude]], 20)</f>
        <v/>
      </c>
      <c r="W127" s="54" t="str" cm="1">
        <f t="array" ref="W127">Common_InputFunctions.Utility_DisplayArrayInTable(Fertiliser_SourceData.Fertiliser_Products_Data2(),FertiliserProducts[[#Headers],[Include or Exclude]], 20)</f>
        <v>CSBP Super Potash</v>
      </c>
      <c r="X127" s="54" t="str" cm="1">
        <f t="array" ref="X127">Common_InputFunctions.Utility_DisplayArrayInTable(Fertiliser_SourceData.Fertiliser_Products_Data2(),FertiliserProducts[[#Headers],[Include or Exclude]], 20)</f>
        <v/>
      </c>
      <c r="Y127" s="54" t="str" cm="1">
        <f t="array" ref="Y127">Common_InputFunctions.Utility_DisplayArrayInTable(Fertiliser_SourceData.Fertiliser_Products_Data2(),FertiliserProducts[[#Headers],[Include or Exclude]], 20)</f>
        <v/>
      </c>
      <c r="Z127" s="54" t="str" cm="1">
        <f t="array" ref="Z127">Common_InputFunctions.Utility_DisplayArrayInTable(Fertiliser_SourceData.Fertiliser_Products_Data2(),FertiliserProducts[[#Headers],[Include or Exclude]], 20)</f>
        <v/>
      </c>
      <c r="AA127" s="10" t="str" cm="1">
        <f t="array" ref="AA127">Common_InputFunctions.Utility_DisplayArrayInTable(Fertiliser_SourceData.Fertiliser_Products_Data2(),FertiliserProducts[[#Headers],[Include or Exclude]], 20)</f>
        <v/>
      </c>
      <c r="AB127" s="10" t="str" cm="1">
        <f t="array" ref="AB127">Common_InputFunctions.Utility_DisplayArrayInTable(Fertiliser_SourceData.Fertiliser_Products_Data2(),FertiliserProducts[[#Headers],[Include or Exclude]], 20)</f>
        <v/>
      </c>
      <c r="AC127" s="10" t="str" cm="1">
        <f t="array" ref="AC127">Common_InputFunctions.Utility_DisplayArrayInTable(Fertiliser_SourceData.Fertiliser_Products_Data2(),FertiliserProducts[[#Headers],[Include or Exclude]], 20)</f>
        <v/>
      </c>
      <c r="AD127" s="10" t="str" cm="1">
        <f t="array" ref="AD127">Common_InputFunctions.Utility_DisplayArrayInTable(Fertiliser_SourceData.Fertiliser_Products_Data2(),FertiliserProducts[[#Headers],[Include or Exclude]], 20)</f>
        <v/>
      </c>
      <c r="AE127" s="10" t="str" cm="1">
        <f t="array" ref="AE127">Common_InputFunctions.Utility_DisplayArrayInTable(Fertiliser_SourceData.Fertiliser_Products_Data2(),FertiliserProducts[[#Headers],[Include or Exclude]], 20)</f>
        <v/>
      </c>
    </row>
    <row r="128" spans="4:31" ht="20.100000000000001" customHeight="1" x14ac:dyDescent="0.25">
      <c r="D128" s="54" t="str" cm="1">
        <f t="array" ref="D128">Common_InputFunctions.Utility_DisplayArrayInTable(Fertiliser_SourceData.Fertiliser_Products_Data2(),FertiliserProducts[[#Headers],[Include or Exclude]], 20)</f>
        <v>SuPerfect</v>
      </c>
      <c r="E128" s="54" t="str" cm="1">
        <f t="array" ref="E128">Common_InputFunctions.Utility_DisplayArrayInTable(Fertiliser_SourceData.Fertiliser_Products_Data2(),FertiliserProducts[[#Headers],[Include or Exclude]], 20)</f>
        <v/>
      </c>
      <c r="F128" s="54" t="str" cm="1">
        <f t="array" ref="F128">Common_InputFunctions.Utility_DisplayArrayInTable(Fertiliser_SourceData.Fertiliser_Products_Data2(),FertiliserProducts[[#Headers],[Include or Exclude]], 20)</f>
        <v/>
      </c>
      <c r="G128" s="54" t="str" cm="1">
        <f t="array" ref="G128">Common_InputFunctions.Utility_DisplayArrayInTable(Fertiliser_SourceData.Fertiliser_Products_Data2(),FertiliserProducts[[#Headers],[Include or Exclude]], 20)</f>
        <v/>
      </c>
      <c r="H128" s="54" t="str" cm="1">
        <f t="array" ref="H128">Common_InputFunctions.Utility_DisplayArrayInTable(Fertiliser_SourceData.Fertiliser_Products_Data2(),FertiliserProducts[[#Headers],[Include or Exclude]], 20)</f>
        <v/>
      </c>
      <c r="I128" s="54" t="str" cm="1">
        <f t="array" ref="I128">Common_InputFunctions.Utility_DisplayArrayInTable(Fertiliser_SourceData.Fertiliser_Products_Data2(),FertiliserProducts[[#Headers],[Include or Exclude]], 20)</f>
        <v/>
      </c>
      <c r="J128" s="54" t="str" cm="1">
        <f t="array" ref="J128">Common_InputFunctions.Utility_DisplayArrayInTable(Fertiliser_SourceData.Fertiliser_Products_Data2(),FertiliserProducts[[#Headers],[Include or Exclude]], 20)</f>
        <v/>
      </c>
      <c r="K128" s="54" t="str" cm="1">
        <f t="array" ref="K128">Common_InputFunctions.Utility_DisplayArrayInTable(Fertiliser_SourceData.Fertiliser_Products_Data2(),FertiliserProducts[[#Headers],[Include or Exclude]], 20)</f>
        <v/>
      </c>
      <c r="L128" s="54" t="str" cm="1">
        <f t="array" ref="L128">Common_InputFunctions.Utility_DisplayArrayInTable(Fertiliser_SourceData.Fertiliser_Products_Data2(),FertiliserProducts[[#Headers],[Include or Exclude]], 20)</f>
        <v/>
      </c>
      <c r="M128" s="54" t="str" cm="1">
        <f t="array" ref="M128">Common_InputFunctions.Utility_DisplayArrayInTable(Fertiliser_SourceData.Fertiliser_Products_Data2(),FertiliserProducts[[#Headers],[Include or Exclude]], 20)</f>
        <v/>
      </c>
      <c r="N128" s="54" t="str" cm="1">
        <f t="array" ref="N128">Common_InputFunctions.Utility_DisplayArrayInTable(Fertiliser_SourceData.Fertiliser_Products_Data2(),FertiliserProducts[[#Headers],[Include or Exclude]], 20)</f>
        <v/>
      </c>
      <c r="O128" s="54" t="str" cm="1">
        <f t="array" ref="O128">Common_InputFunctions.Utility_DisplayArrayInTable(Fertiliser_SourceData.Fertiliser_Products_Data2(),FertiliserProducts[[#Headers],[Include or Exclude]], 20)</f>
        <v/>
      </c>
      <c r="P128" s="54" t="str" cm="1">
        <f t="array" ref="P128">Common_InputFunctions.Utility_DisplayArrayInTable(Fertiliser_SourceData.Fertiliser_Products_Data2(),FertiliserProducts[[#Headers],[Include or Exclude]], 20)</f>
        <v/>
      </c>
      <c r="Q128" s="54" t="str" cm="1">
        <f t="array" ref="Q128">Common_InputFunctions.Utility_DisplayArrayInTable(Fertiliser_SourceData.Fertiliser_Products_Data2(),FertiliserProducts[[#Headers],[Include or Exclude]], 20)</f>
        <v/>
      </c>
      <c r="R128" s="54" t="str" cm="1">
        <f t="array" ref="R128">Common_InputFunctions.Utility_DisplayArrayInTable(Fertiliser_SourceData.Fertiliser_Products_Data2(),FertiliserProducts[[#Headers],[Include or Exclude]], 20)</f>
        <v/>
      </c>
      <c r="S128" s="54" t="str" cm="1">
        <f t="array" ref="S128">Common_InputFunctions.Utility_DisplayArrayInTable(Fertiliser_SourceData.Fertiliser_Products_Data2(),FertiliserProducts[[#Headers],[Include or Exclude]], 20)</f>
        <v/>
      </c>
      <c r="T128" s="54" t="str" cm="1">
        <f t="array" ref="T128">Common_InputFunctions.Utility_DisplayArrayInTable(Fertiliser_SourceData.Fertiliser_Products_Data2(),FertiliserProducts[[#Headers],[Include or Exclude]], 20)</f>
        <v/>
      </c>
      <c r="U128" s="54" t="str" cm="1">
        <f t="array" ref="U128">Common_InputFunctions.Utility_DisplayArrayInTable(Fertiliser_SourceData.Fertiliser_Products_Data2(),FertiliserProducts[[#Headers],[Include or Exclude]], 20)</f>
        <v/>
      </c>
      <c r="V128" s="54" t="str" cm="1">
        <f t="array" ref="V128">Common_InputFunctions.Utility_DisplayArrayInTable(Fertiliser_SourceData.Fertiliser_Products_Data2(),FertiliserProducts[[#Headers],[Include or Exclude]], 20)</f>
        <v/>
      </c>
      <c r="W128" s="54" t="str" cm="1">
        <f t="array" ref="W128">Common_InputFunctions.Utility_DisplayArrayInTable(Fertiliser_SourceData.Fertiliser_Products_Data2(),FertiliserProducts[[#Headers],[Include or Exclude]], 20)</f>
        <v>Incitec Pivot Fertilisers</v>
      </c>
      <c r="X128" s="54" t="str" cm="1">
        <f t="array" ref="X128">Common_InputFunctions.Utility_DisplayArrayInTable(Fertiliser_SourceData.Fertiliser_Products_Data2(),FertiliserProducts[[#Headers],[Include or Exclude]], 20)</f>
        <v/>
      </c>
      <c r="Y128" s="54" t="str" cm="1">
        <f t="array" ref="Y128">Common_InputFunctions.Utility_DisplayArrayInTable(Fertiliser_SourceData.Fertiliser_Products_Data2(),FertiliserProducts[[#Headers],[Include or Exclude]], 20)</f>
        <v/>
      </c>
      <c r="Z128" s="54" t="str" cm="1">
        <f t="array" ref="Z128">Common_InputFunctions.Utility_DisplayArrayInTable(Fertiliser_SourceData.Fertiliser_Products_Data2(),FertiliserProducts[[#Headers],[Include or Exclude]], 20)</f>
        <v/>
      </c>
      <c r="AA128" s="10" t="str" cm="1">
        <f t="array" ref="AA128">Common_InputFunctions.Utility_DisplayArrayInTable(Fertiliser_SourceData.Fertiliser_Products_Data2(),FertiliserProducts[[#Headers],[Include or Exclude]], 20)</f>
        <v/>
      </c>
      <c r="AB128" s="10" t="str" cm="1">
        <f t="array" ref="AB128">Common_InputFunctions.Utility_DisplayArrayInTable(Fertiliser_SourceData.Fertiliser_Products_Data2(),FertiliserProducts[[#Headers],[Include or Exclude]], 20)</f>
        <v/>
      </c>
      <c r="AC128" s="10" t="str" cm="1">
        <f t="array" ref="AC128">Common_InputFunctions.Utility_DisplayArrayInTable(Fertiliser_SourceData.Fertiliser_Products_Data2(),FertiliserProducts[[#Headers],[Include or Exclude]], 20)</f>
        <v/>
      </c>
      <c r="AD128" s="10" t="str" cm="1">
        <f t="array" ref="AD128">Common_InputFunctions.Utility_DisplayArrayInTable(Fertiliser_SourceData.Fertiliser_Products_Data2(),FertiliserProducts[[#Headers],[Include or Exclude]], 20)</f>
        <v/>
      </c>
      <c r="AE128" s="10" t="str" cm="1">
        <f t="array" ref="AE128">Common_InputFunctions.Utility_DisplayArrayInTable(Fertiliser_SourceData.Fertiliser_Products_Data2(),FertiliserProducts[[#Headers],[Include or Exclude]], 20)</f>
        <v/>
      </c>
    </row>
    <row r="129" spans="4:31" ht="20.100000000000001" customHeight="1" x14ac:dyDescent="0.25">
      <c r="D129" s="54" t="str" cm="1">
        <f t="array" ref="D129">Common_InputFunctions.Utility_DisplayArrayInTable(Fertiliser_SourceData.Fertiliser_Products_Data3(),FertiliserProducts[[#Headers],[Include or Exclude]], 40)</f>
        <v>Product</v>
      </c>
      <c r="E129" s="54" t="str" cm="1">
        <f t="array" ref="E129">Common_InputFunctions.Utility_DisplayArrayInTable(Fertiliser_SourceData.Fertiliser_Products_Data3(),FertiliserProducts[[#Headers],[Include or Exclude]], 40)</f>
        <v>Ingredient 1</v>
      </c>
      <c r="F129" s="54" t="str" cm="1">
        <f t="array" ref="F129">Common_InputFunctions.Utility_DisplayArrayInTable(Fertiliser_SourceData.Fertiliser_Products_Data3(),FertiliserProducts[[#Headers],[Include or Exclude]], 40)</f>
        <v>Ingredient 1 percent</v>
      </c>
      <c r="G129" s="54" t="str" cm="1">
        <f t="array" ref="G129">Common_InputFunctions.Utility_DisplayArrayInTable(Fertiliser_SourceData.Fertiliser_Products_Data3(),FertiliserProducts[[#Headers],[Include or Exclude]], 40)</f>
        <v>Ingredient 1 source</v>
      </c>
      <c r="H129" s="54" t="str" cm="1">
        <f t="array" ref="H129">Common_InputFunctions.Utility_DisplayArrayInTable(Fertiliser_SourceData.Fertiliser_Products_Data3(),FertiliserProducts[[#Headers],[Include or Exclude]], 40)</f>
        <v>Ingredient 2</v>
      </c>
      <c r="I129" s="54" t="str" cm="1">
        <f t="array" ref="I129">Common_InputFunctions.Utility_DisplayArrayInTable(Fertiliser_SourceData.Fertiliser_Products_Data3(),FertiliserProducts[[#Headers],[Include or Exclude]], 40)</f>
        <v>Ingredient 2 percent</v>
      </c>
      <c r="J129" s="54" t="str" cm="1">
        <f t="array" ref="J129">Common_InputFunctions.Utility_DisplayArrayInTable(Fertiliser_SourceData.Fertiliser_Products_Data3(),FertiliserProducts[[#Headers],[Include or Exclude]], 40)</f>
        <v>Ingredient 2 source</v>
      </c>
      <c r="K129" s="54" t="str" cm="1">
        <f t="array" ref="K129">Common_InputFunctions.Utility_DisplayArrayInTable(Fertiliser_SourceData.Fertiliser_Products_Data3(),FertiliserProducts[[#Headers],[Include or Exclude]], 40)</f>
        <v>Ingredient 3</v>
      </c>
      <c r="L129" s="54" t="str" cm="1">
        <f t="array" ref="L129">Common_InputFunctions.Utility_DisplayArrayInTable(Fertiliser_SourceData.Fertiliser_Products_Data3(),FertiliserProducts[[#Headers],[Include or Exclude]], 40)</f>
        <v>Ingredient 3 percent</v>
      </c>
      <c r="M129" s="54" t="str" cm="1">
        <f t="array" ref="M129">Common_InputFunctions.Utility_DisplayArrayInTable(Fertiliser_SourceData.Fertiliser_Products_Data3(),FertiliserProducts[[#Headers],[Include or Exclude]], 40)</f>
        <v>Ingredient 3 source</v>
      </c>
      <c r="N129" s="54" t="str" cm="1">
        <f t="array" ref="N129">Common_InputFunctions.Utility_DisplayArrayInTable(Fertiliser_SourceData.Fertiliser_Products_Data3(),FertiliserProducts[[#Headers],[Include or Exclude]], 40)</f>
        <v>Ingredient 4</v>
      </c>
      <c r="O129" s="54" t="str" cm="1">
        <f t="array" ref="O129">Common_InputFunctions.Utility_DisplayArrayInTable(Fertiliser_SourceData.Fertiliser_Products_Data3(),FertiliserProducts[[#Headers],[Include or Exclude]], 40)</f>
        <v>Ingredient 4 percent</v>
      </c>
      <c r="P129" s="54" t="str" cm="1">
        <f t="array" ref="P129">Common_InputFunctions.Utility_DisplayArrayInTable(Fertiliser_SourceData.Fertiliser_Products_Data3(),FertiliserProducts[[#Headers],[Include or Exclude]], 40)</f>
        <v>Ingredient 4 source</v>
      </c>
      <c r="Q129" s="54" t="str" cm="1">
        <f t="array" ref="Q129">Common_InputFunctions.Utility_DisplayArrayInTable(Fertiliser_SourceData.Fertiliser_Products_Data3(),FertiliserProducts[[#Headers],[Include or Exclude]], 40)</f>
        <v>Ingredient 5</v>
      </c>
      <c r="R129" s="54" t="str" cm="1">
        <f t="array" ref="R129">Common_InputFunctions.Utility_DisplayArrayInTable(Fertiliser_SourceData.Fertiliser_Products_Data3(),FertiliserProducts[[#Headers],[Include or Exclude]], 40)</f>
        <v>Ingredient 5 percent</v>
      </c>
      <c r="S129" s="54" t="str" cm="1">
        <f t="array" ref="S129">Common_InputFunctions.Utility_DisplayArrayInTable(Fertiliser_SourceData.Fertiliser_Products_Data3(),FertiliserProducts[[#Headers],[Include or Exclude]], 40)</f>
        <v>Ingredient 5 source</v>
      </c>
      <c r="T129" s="54" t="str" cm="1">
        <f t="array" ref="T129">Common_InputFunctions.Utility_DisplayArrayInTable(Fertiliser_SourceData.Fertiliser_Products_Data3(),FertiliserProducts[[#Headers],[Include or Exclude]], 40)</f>
        <v>Ingredient 6</v>
      </c>
      <c r="U129" s="54" t="str" cm="1">
        <f t="array" ref="U129">Common_InputFunctions.Utility_DisplayArrayInTable(Fertiliser_SourceData.Fertiliser_Products_Data3(),FertiliserProducts[[#Headers],[Include or Exclude]], 40)</f>
        <v>Ingredient 6 percent</v>
      </c>
      <c r="V129" s="54" t="str" cm="1">
        <f t="array" ref="V129">Common_InputFunctions.Utility_DisplayArrayInTable(Fertiliser_SourceData.Fertiliser_Products_Data3(),FertiliserProducts[[#Headers],[Include or Exclude]], 40)</f>
        <v>Ingredient 6 source</v>
      </c>
      <c r="W129" s="54" t="str" cm="1">
        <f t="array" ref="W129">Common_InputFunctions.Utility_DisplayArrayInTable(Fertiliser_SourceData.Fertiliser_Products_Data3(),FertiliserProducts[[#Headers],[Include or Exclude]], 40)</f>
        <v>Product info link</v>
      </c>
      <c r="X129" s="54" t="str" cm="1">
        <f t="array" ref="X129">Common_InputFunctions.Utility_DisplayArrayInTable(Fertiliser_SourceData.Fertiliser_Products_Data3(),FertiliserProducts[[#Headers],[Include or Exclude]], 40)</f>
        <v/>
      </c>
      <c r="Y129" s="54" t="str" cm="1">
        <f t="array" ref="Y129">Common_InputFunctions.Utility_DisplayArrayInTable(Fertiliser_SourceData.Fertiliser_Products_Data3(),FertiliserProducts[[#Headers],[Include or Exclude]], 40)</f>
        <v/>
      </c>
      <c r="Z129" s="54" t="str" cm="1">
        <f t="array" ref="Z129">Common_InputFunctions.Utility_DisplayArrayInTable(Fertiliser_SourceData.Fertiliser_Products_Data3(),FertiliserProducts[[#Headers],[Include or Exclude]], 40)</f>
        <v/>
      </c>
      <c r="AA129" s="10" t="str" cm="1">
        <f t="array" ref="AA129">Common_InputFunctions.Utility_DisplayArrayInTable(Fertiliser_SourceData.Fertiliser_Products_Data3(),FertiliserProducts[[#Headers],[Include or Exclude]], 40)</f>
        <v/>
      </c>
      <c r="AB129" s="10" t="str" cm="1">
        <f t="array" ref="AB129">Common_InputFunctions.Utility_DisplayArrayInTable(Fertiliser_SourceData.Fertiliser_Products_Data3(),FertiliserProducts[[#Headers],[Include or Exclude]], 40)</f>
        <v/>
      </c>
      <c r="AC129" s="10" t="str" cm="1">
        <f t="array" ref="AC129">Common_InputFunctions.Utility_DisplayArrayInTable(Fertiliser_SourceData.Fertiliser_Products_Data3(),FertiliserProducts[[#Headers],[Include or Exclude]], 40)</f>
        <v/>
      </c>
      <c r="AD129" s="10" t="str" cm="1">
        <f t="array" ref="AD129">Common_InputFunctions.Utility_DisplayArrayInTable(Fertiliser_SourceData.Fertiliser_Products_Data3(),FertiliserProducts[[#Headers],[Include or Exclude]], 40)</f>
        <v/>
      </c>
      <c r="AE129" s="10" t="str" cm="1">
        <f t="array" ref="AE129">Common_InputFunctions.Utility_DisplayArrayInTable(Fertiliser_SourceData.Fertiliser_Products_Data3(),FertiliserProducts[[#Headers],[Include or Exclude]], 40)</f>
        <v/>
      </c>
    </row>
    <row r="130" spans="4:31" ht="20.100000000000001" customHeight="1" x14ac:dyDescent="0.25">
      <c r="D130" s="54" t="str" cm="1">
        <f t="array" ref="D130">Common_InputFunctions.Utility_DisplayArrayInTable(Fertiliser_SourceData.Fertiliser_Products_Data3(),FertiliserProducts[[#Headers],[Include or Exclude]], 40)</f>
        <v>Yara K-Flow 0-0-15</v>
      </c>
      <c r="E130" s="54" t="str" cm="1">
        <f t="array" ref="E130">Common_InputFunctions.Utility_DisplayArrayInTable(Fertiliser_SourceData.Fertiliser_Products_Data3(),FertiliserProducts[[#Headers],[Include or Exclude]], 40)</f>
        <v/>
      </c>
      <c r="F130" s="54" t="str" cm="1">
        <f t="array" ref="F130">Common_InputFunctions.Utility_DisplayArrayInTable(Fertiliser_SourceData.Fertiliser_Products_Data3(),FertiliserProducts[[#Headers],[Include or Exclude]], 40)</f>
        <v/>
      </c>
      <c r="G130" s="54" t="str" cm="1">
        <f t="array" ref="G130">Common_InputFunctions.Utility_DisplayArrayInTable(Fertiliser_SourceData.Fertiliser_Products_Data3(),FertiliserProducts[[#Headers],[Include or Exclude]], 40)</f>
        <v/>
      </c>
      <c r="H130" s="54" t="str" cm="1">
        <f t="array" ref="H130">Common_InputFunctions.Utility_DisplayArrayInTable(Fertiliser_SourceData.Fertiliser_Products_Data3(),FertiliserProducts[[#Headers],[Include or Exclude]], 40)</f>
        <v/>
      </c>
      <c r="I130" s="54" t="str" cm="1">
        <f t="array" ref="I130">Common_InputFunctions.Utility_DisplayArrayInTable(Fertiliser_SourceData.Fertiliser_Products_Data3(),FertiliserProducts[[#Headers],[Include or Exclude]], 40)</f>
        <v/>
      </c>
      <c r="J130" s="54" t="str" cm="1">
        <f t="array" ref="J130">Common_InputFunctions.Utility_DisplayArrayInTable(Fertiliser_SourceData.Fertiliser_Products_Data3(),FertiliserProducts[[#Headers],[Include or Exclude]], 40)</f>
        <v/>
      </c>
      <c r="K130" s="54" t="str" cm="1">
        <f t="array" ref="K130">Common_InputFunctions.Utility_DisplayArrayInTable(Fertiliser_SourceData.Fertiliser_Products_Data3(),FertiliserProducts[[#Headers],[Include or Exclude]], 40)</f>
        <v/>
      </c>
      <c r="L130" s="54" t="str" cm="1">
        <f t="array" ref="L130">Common_InputFunctions.Utility_DisplayArrayInTable(Fertiliser_SourceData.Fertiliser_Products_Data3(),FertiliserProducts[[#Headers],[Include or Exclude]], 40)</f>
        <v/>
      </c>
      <c r="M130" s="54" t="str" cm="1">
        <f t="array" ref="M130">Common_InputFunctions.Utility_DisplayArrayInTable(Fertiliser_SourceData.Fertiliser_Products_Data3(),FertiliserProducts[[#Headers],[Include or Exclude]], 40)</f>
        <v/>
      </c>
      <c r="N130" s="54" t="str" cm="1">
        <f t="array" ref="N130">Common_InputFunctions.Utility_DisplayArrayInTable(Fertiliser_SourceData.Fertiliser_Products_Data3(),FertiliserProducts[[#Headers],[Include or Exclude]], 40)</f>
        <v/>
      </c>
      <c r="O130" s="54" t="str" cm="1">
        <f t="array" ref="O130">Common_InputFunctions.Utility_DisplayArrayInTable(Fertiliser_SourceData.Fertiliser_Products_Data3(),FertiliserProducts[[#Headers],[Include or Exclude]], 40)</f>
        <v/>
      </c>
      <c r="P130" s="54" t="str" cm="1">
        <f t="array" ref="P130">Common_InputFunctions.Utility_DisplayArrayInTable(Fertiliser_SourceData.Fertiliser_Products_Data3(),FertiliserProducts[[#Headers],[Include or Exclude]], 40)</f>
        <v/>
      </c>
      <c r="Q130" s="54" t="str" cm="1">
        <f t="array" ref="Q130">Common_InputFunctions.Utility_DisplayArrayInTable(Fertiliser_SourceData.Fertiliser_Products_Data3(),FertiliserProducts[[#Headers],[Include or Exclude]], 40)</f>
        <v/>
      </c>
      <c r="R130" s="54" t="str" cm="1">
        <f t="array" ref="R130">Common_InputFunctions.Utility_DisplayArrayInTable(Fertiliser_SourceData.Fertiliser_Products_Data3(),FertiliserProducts[[#Headers],[Include or Exclude]], 40)</f>
        <v/>
      </c>
      <c r="S130" s="54" t="str" cm="1">
        <f t="array" ref="S130">Common_InputFunctions.Utility_DisplayArrayInTable(Fertiliser_SourceData.Fertiliser_Products_Data3(),FertiliserProducts[[#Headers],[Include or Exclude]], 40)</f>
        <v/>
      </c>
      <c r="T130" s="54" t="str" cm="1">
        <f t="array" ref="T130">Common_InputFunctions.Utility_DisplayArrayInTable(Fertiliser_SourceData.Fertiliser_Products_Data3(),FertiliserProducts[[#Headers],[Include or Exclude]], 40)</f>
        <v/>
      </c>
      <c r="U130" s="54" t="str" cm="1">
        <f t="array" ref="U130">Common_InputFunctions.Utility_DisplayArrayInTable(Fertiliser_SourceData.Fertiliser_Products_Data3(),FertiliserProducts[[#Headers],[Include or Exclude]], 40)</f>
        <v/>
      </c>
      <c r="V130" s="54" t="str" cm="1">
        <f t="array" ref="V130">Common_InputFunctions.Utility_DisplayArrayInTable(Fertiliser_SourceData.Fertiliser_Products_Data3(),FertiliserProducts[[#Headers],[Include or Exclude]], 40)</f>
        <v/>
      </c>
      <c r="W130" s="54" t="str" cm="1">
        <f t="array" ref="W130">Common_InputFunctions.Utility_DisplayArrayInTable(Fertiliser_SourceData.Fertiliser_Products_Data3(),FertiliserProducts[[#Headers],[Include or Exclude]], 40)</f>
        <v>Crop Nutrition Solutions (Yara Australia)</v>
      </c>
      <c r="X130" s="54" t="str" cm="1">
        <f t="array" ref="X130">Common_InputFunctions.Utility_DisplayArrayInTable(Fertiliser_SourceData.Fertiliser_Products_Data3(),FertiliserProducts[[#Headers],[Include or Exclude]], 40)</f>
        <v/>
      </c>
      <c r="Y130" s="54" t="str" cm="1">
        <f t="array" ref="Y130">Common_InputFunctions.Utility_DisplayArrayInTable(Fertiliser_SourceData.Fertiliser_Products_Data3(),FertiliserProducts[[#Headers],[Include or Exclude]], 40)</f>
        <v/>
      </c>
      <c r="Z130" s="54" t="str" cm="1">
        <f t="array" ref="Z130">Common_InputFunctions.Utility_DisplayArrayInTable(Fertiliser_SourceData.Fertiliser_Products_Data3(),FertiliserProducts[[#Headers],[Include or Exclude]], 40)</f>
        <v/>
      </c>
      <c r="AA130" s="10" t="str" cm="1">
        <f t="array" ref="AA130">Common_InputFunctions.Utility_DisplayArrayInTable(Fertiliser_SourceData.Fertiliser_Products_Data3(),FertiliserProducts[[#Headers],[Include or Exclude]], 40)</f>
        <v/>
      </c>
      <c r="AB130" s="10" t="str" cm="1">
        <f t="array" ref="AB130">Common_InputFunctions.Utility_DisplayArrayInTable(Fertiliser_SourceData.Fertiliser_Products_Data3(),FertiliserProducts[[#Headers],[Include or Exclude]], 40)</f>
        <v/>
      </c>
      <c r="AC130" s="10" t="str" cm="1">
        <f t="array" ref="AC130">Common_InputFunctions.Utility_DisplayArrayInTable(Fertiliser_SourceData.Fertiliser_Products_Data3(),FertiliserProducts[[#Headers],[Include or Exclude]], 40)</f>
        <v/>
      </c>
      <c r="AD130" s="10" t="str" cm="1">
        <f t="array" ref="AD130">Common_InputFunctions.Utility_DisplayArrayInTable(Fertiliser_SourceData.Fertiliser_Products_Data3(),FertiliserProducts[[#Headers],[Include or Exclude]], 40)</f>
        <v/>
      </c>
      <c r="AE130" s="10" t="str" cm="1">
        <f t="array" ref="AE130">Common_InputFunctions.Utility_DisplayArrayInTable(Fertiliser_SourceData.Fertiliser_Products_Data3(),FertiliserProducts[[#Headers],[Include or Exclude]], 40)</f>
        <v/>
      </c>
    </row>
    <row r="131" spans="4:31" ht="20.100000000000001" customHeight="1" x14ac:dyDescent="0.25">
      <c r="D131" s="54" t="str" cm="1">
        <f t="array" ref="D131">Common_InputFunctions.Utility_DisplayArrayInTable(Fertiliser_SourceData.Fertiliser_Products_Data3(),FertiliserProducts[[#Headers],[Include or Exclude]], 40)</f>
        <v>Yara K-Flow 0-14-30</v>
      </c>
      <c r="E131" s="54" t="str" cm="1">
        <f t="array" ref="E131">Common_InputFunctions.Utility_DisplayArrayInTable(Fertiliser_SourceData.Fertiliser_Products_Data3(),FertiliserProducts[[#Headers],[Include or Exclude]], 40)</f>
        <v/>
      </c>
      <c r="F131" s="54" t="str" cm="1">
        <f t="array" ref="F131">Common_InputFunctions.Utility_DisplayArrayInTable(Fertiliser_SourceData.Fertiliser_Products_Data3(),FertiliserProducts[[#Headers],[Include or Exclude]], 40)</f>
        <v/>
      </c>
      <c r="G131" s="54" t="str" cm="1">
        <f t="array" ref="G131">Common_InputFunctions.Utility_DisplayArrayInTable(Fertiliser_SourceData.Fertiliser_Products_Data3(),FertiliserProducts[[#Headers],[Include or Exclude]], 40)</f>
        <v/>
      </c>
      <c r="H131" s="54" t="str" cm="1">
        <f t="array" ref="H131">Common_InputFunctions.Utility_DisplayArrayInTable(Fertiliser_SourceData.Fertiliser_Products_Data3(),FertiliserProducts[[#Headers],[Include or Exclude]], 40)</f>
        <v/>
      </c>
      <c r="I131" s="54" t="str" cm="1">
        <f t="array" ref="I131">Common_InputFunctions.Utility_DisplayArrayInTable(Fertiliser_SourceData.Fertiliser_Products_Data3(),FertiliserProducts[[#Headers],[Include or Exclude]], 40)</f>
        <v/>
      </c>
      <c r="J131" s="54" t="str" cm="1">
        <f t="array" ref="J131">Common_InputFunctions.Utility_DisplayArrayInTable(Fertiliser_SourceData.Fertiliser_Products_Data3(),FertiliserProducts[[#Headers],[Include or Exclude]], 40)</f>
        <v/>
      </c>
      <c r="K131" s="54" t="str" cm="1">
        <f t="array" ref="K131">Common_InputFunctions.Utility_DisplayArrayInTable(Fertiliser_SourceData.Fertiliser_Products_Data3(),FertiliserProducts[[#Headers],[Include or Exclude]], 40)</f>
        <v/>
      </c>
      <c r="L131" s="54" t="str" cm="1">
        <f t="array" ref="L131">Common_InputFunctions.Utility_DisplayArrayInTable(Fertiliser_SourceData.Fertiliser_Products_Data3(),FertiliserProducts[[#Headers],[Include or Exclude]], 40)</f>
        <v/>
      </c>
      <c r="M131" s="54" t="str" cm="1">
        <f t="array" ref="M131">Common_InputFunctions.Utility_DisplayArrayInTable(Fertiliser_SourceData.Fertiliser_Products_Data3(),FertiliserProducts[[#Headers],[Include or Exclude]], 40)</f>
        <v/>
      </c>
      <c r="N131" s="54" t="str" cm="1">
        <f t="array" ref="N131">Common_InputFunctions.Utility_DisplayArrayInTable(Fertiliser_SourceData.Fertiliser_Products_Data3(),FertiliserProducts[[#Headers],[Include or Exclude]], 40)</f>
        <v/>
      </c>
      <c r="O131" s="54" t="str" cm="1">
        <f t="array" ref="O131">Common_InputFunctions.Utility_DisplayArrayInTable(Fertiliser_SourceData.Fertiliser_Products_Data3(),FertiliserProducts[[#Headers],[Include or Exclude]], 40)</f>
        <v/>
      </c>
      <c r="P131" s="54" t="str" cm="1">
        <f t="array" ref="P131">Common_InputFunctions.Utility_DisplayArrayInTable(Fertiliser_SourceData.Fertiliser_Products_Data3(),FertiliserProducts[[#Headers],[Include or Exclude]], 40)</f>
        <v/>
      </c>
      <c r="Q131" s="54" t="str" cm="1">
        <f t="array" ref="Q131">Common_InputFunctions.Utility_DisplayArrayInTable(Fertiliser_SourceData.Fertiliser_Products_Data3(),FertiliserProducts[[#Headers],[Include or Exclude]], 40)</f>
        <v/>
      </c>
      <c r="R131" s="54" t="str" cm="1">
        <f t="array" ref="R131">Common_InputFunctions.Utility_DisplayArrayInTable(Fertiliser_SourceData.Fertiliser_Products_Data3(),FertiliserProducts[[#Headers],[Include or Exclude]], 40)</f>
        <v/>
      </c>
      <c r="S131" s="54" t="str" cm="1">
        <f t="array" ref="S131">Common_InputFunctions.Utility_DisplayArrayInTable(Fertiliser_SourceData.Fertiliser_Products_Data3(),FertiliserProducts[[#Headers],[Include or Exclude]], 40)</f>
        <v/>
      </c>
      <c r="T131" s="54" t="str" cm="1">
        <f t="array" ref="T131">Common_InputFunctions.Utility_DisplayArrayInTable(Fertiliser_SourceData.Fertiliser_Products_Data3(),FertiliserProducts[[#Headers],[Include or Exclude]], 40)</f>
        <v/>
      </c>
      <c r="U131" s="54" t="str" cm="1">
        <f t="array" ref="U131">Common_InputFunctions.Utility_DisplayArrayInTable(Fertiliser_SourceData.Fertiliser_Products_Data3(),FertiliserProducts[[#Headers],[Include or Exclude]], 40)</f>
        <v/>
      </c>
      <c r="V131" s="54" t="str" cm="1">
        <f t="array" ref="V131">Common_InputFunctions.Utility_DisplayArrayInTable(Fertiliser_SourceData.Fertiliser_Products_Data3(),FertiliserProducts[[#Headers],[Include or Exclude]], 40)</f>
        <v/>
      </c>
      <c r="W131" s="54" t="str" cm="1">
        <f t="array" ref="W131">Common_InputFunctions.Utility_DisplayArrayInTable(Fertiliser_SourceData.Fertiliser_Products_Data3(),FertiliserProducts[[#Headers],[Include or Exclude]], 40)</f>
        <v>Crop Nutrition Solutions (Yara Australia)</v>
      </c>
      <c r="X131" s="54" t="str" cm="1">
        <f t="array" ref="X131">Common_InputFunctions.Utility_DisplayArrayInTable(Fertiliser_SourceData.Fertiliser_Products_Data3(),FertiliserProducts[[#Headers],[Include or Exclude]], 40)</f>
        <v/>
      </c>
      <c r="Y131" s="54" t="str" cm="1">
        <f t="array" ref="Y131">Common_InputFunctions.Utility_DisplayArrayInTable(Fertiliser_SourceData.Fertiliser_Products_Data3(),FertiliserProducts[[#Headers],[Include or Exclude]], 40)</f>
        <v/>
      </c>
      <c r="Z131" s="54" t="str" cm="1">
        <f t="array" ref="Z131">Common_InputFunctions.Utility_DisplayArrayInTable(Fertiliser_SourceData.Fertiliser_Products_Data3(),FertiliserProducts[[#Headers],[Include or Exclude]], 40)</f>
        <v/>
      </c>
      <c r="AA131" s="10" t="str" cm="1">
        <f t="array" ref="AA131">Common_InputFunctions.Utility_DisplayArrayInTable(Fertiliser_SourceData.Fertiliser_Products_Data3(),FertiliserProducts[[#Headers],[Include or Exclude]], 40)</f>
        <v/>
      </c>
      <c r="AB131" s="10" t="str" cm="1">
        <f t="array" ref="AB131">Common_InputFunctions.Utility_DisplayArrayInTable(Fertiliser_SourceData.Fertiliser_Products_Data3(),FertiliserProducts[[#Headers],[Include or Exclude]], 40)</f>
        <v/>
      </c>
      <c r="AC131" s="10" t="str" cm="1">
        <f t="array" ref="AC131">Common_InputFunctions.Utility_DisplayArrayInTable(Fertiliser_SourceData.Fertiliser_Products_Data3(),FertiliserProducts[[#Headers],[Include or Exclude]], 40)</f>
        <v/>
      </c>
      <c r="AD131" s="10" t="str" cm="1">
        <f t="array" ref="AD131">Common_InputFunctions.Utility_DisplayArrayInTable(Fertiliser_SourceData.Fertiliser_Products_Data3(),FertiliserProducts[[#Headers],[Include or Exclude]], 40)</f>
        <v/>
      </c>
      <c r="AE131" s="10" t="str" cm="1">
        <f t="array" ref="AE131">Common_InputFunctions.Utility_DisplayArrayInTable(Fertiliser_SourceData.Fertiliser_Products_Data3(),FertiliserProducts[[#Headers],[Include or Exclude]], 40)</f>
        <v/>
      </c>
    </row>
    <row r="132" spans="4:31" ht="20.100000000000001" customHeight="1" x14ac:dyDescent="0.25">
      <c r="D132" s="54" t="str" cm="1">
        <f t="array" ref="D132">Common_InputFunctions.Utility_DisplayArrayInTable(Fertiliser_SourceData.Fertiliser_Products_Data3(),FertiliserProducts[[#Headers],[Include or Exclude]], 40)</f>
        <v>Yara K-Flow 0-7-36</v>
      </c>
      <c r="E132" s="54" t="str" cm="1">
        <f t="array" ref="E132">Common_InputFunctions.Utility_DisplayArrayInTable(Fertiliser_SourceData.Fertiliser_Products_Data3(),FertiliserProducts[[#Headers],[Include or Exclude]], 40)</f>
        <v/>
      </c>
      <c r="F132" s="54" t="str" cm="1">
        <f t="array" ref="F132">Common_InputFunctions.Utility_DisplayArrayInTable(Fertiliser_SourceData.Fertiliser_Products_Data3(),FertiliserProducts[[#Headers],[Include or Exclude]], 40)</f>
        <v/>
      </c>
      <c r="G132" s="54" t="str" cm="1">
        <f t="array" ref="G132">Common_InputFunctions.Utility_DisplayArrayInTable(Fertiliser_SourceData.Fertiliser_Products_Data3(),FertiliserProducts[[#Headers],[Include or Exclude]], 40)</f>
        <v/>
      </c>
      <c r="H132" s="54" t="str" cm="1">
        <f t="array" ref="H132">Common_InputFunctions.Utility_DisplayArrayInTable(Fertiliser_SourceData.Fertiliser_Products_Data3(),FertiliserProducts[[#Headers],[Include or Exclude]], 40)</f>
        <v/>
      </c>
      <c r="I132" s="54" t="str" cm="1">
        <f t="array" ref="I132">Common_InputFunctions.Utility_DisplayArrayInTable(Fertiliser_SourceData.Fertiliser_Products_Data3(),FertiliserProducts[[#Headers],[Include or Exclude]], 40)</f>
        <v/>
      </c>
      <c r="J132" s="54" t="str" cm="1">
        <f t="array" ref="J132">Common_InputFunctions.Utility_DisplayArrayInTable(Fertiliser_SourceData.Fertiliser_Products_Data3(),FertiliserProducts[[#Headers],[Include or Exclude]], 40)</f>
        <v/>
      </c>
      <c r="K132" s="54" t="str" cm="1">
        <f t="array" ref="K132">Common_InputFunctions.Utility_DisplayArrayInTable(Fertiliser_SourceData.Fertiliser_Products_Data3(),FertiliserProducts[[#Headers],[Include or Exclude]], 40)</f>
        <v/>
      </c>
      <c r="L132" s="54" t="str" cm="1">
        <f t="array" ref="L132">Common_InputFunctions.Utility_DisplayArrayInTable(Fertiliser_SourceData.Fertiliser_Products_Data3(),FertiliserProducts[[#Headers],[Include or Exclude]], 40)</f>
        <v/>
      </c>
      <c r="M132" s="54" t="str" cm="1">
        <f t="array" ref="M132">Common_InputFunctions.Utility_DisplayArrayInTable(Fertiliser_SourceData.Fertiliser_Products_Data3(),FertiliserProducts[[#Headers],[Include or Exclude]], 40)</f>
        <v/>
      </c>
      <c r="N132" s="54" t="str" cm="1">
        <f t="array" ref="N132">Common_InputFunctions.Utility_DisplayArrayInTable(Fertiliser_SourceData.Fertiliser_Products_Data3(),FertiliserProducts[[#Headers],[Include or Exclude]], 40)</f>
        <v/>
      </c>
      <c r="O132" s="54" t="str" cm="1">
        <f t="array" ref="O132">Common_InputFunctions.Utility_DisplayArrayInTable(Fertiliser_SourceData.Fertiliser_Products_Data3(),FertiliserProducts[[#Headers],[Include or Exclude]], 40)</f>
        <v/>
      </c>
      <c r="P132" s="54" t="str" cm="1">
        <f t="array" ref="P132">Common_InputFunctions.Utility_DisplayArrayInTable(Fertiliser_SourceData.Fertiliser_Products_Data3(),FertiliserProducts[[#Headers],[Include or Exclude]], 40)</f>
        <v/>
      </c>
      <c r="Q132" s="54" t="str" cm="1">
        <f t="array" ref="Q132">Common_InputFunctions.Utility_DisplayArrayInTable(Fertiliser_SourceData.Fertiliser_Products_Data3(),FertiliserProducts[[#Headers],[Include or Exclude]], 40)</f>
        <v/>
      </c>
      <c r="R132" s="54" t="str" cm="1">
        <f t="array" ref="R132">Common_InputFunctions.Utility_DisplayArrayInTable(Fertiliser_SourceData.Fertiliser_Products_Data3(),FertiliserProducts[[#Headers],[Include or Exclude]], 40)</f>
        <v/>
      </c>
      <c r="S132" s="54" t="str" cm="1">
        <f t="array" ref="S132">Common_InputFunctions.Utility_DisplayArrayInTable(Fertiliser_SourceData.Fertiliser_Products_Data3(),FertiliserProducts[[#Headers],[Include or Exclude]], 40)</f>
        <v/>
      </c>
      <c r="T132" s="54" t="str" cm="1">
        <f t="array" ref="T132">Common_InputFunctions.Utility_DisplayArrayInTable(Fertiliser_SourceData.Fertiliser_Products_Data3(),FertiliserProducts[[#Headers],[Include or Exclude]], 40)</f>
        <v/>
      </c>
      <c r="U132" s="54" t="str" cm="1">
        <f t="array" ref="U132">Common_InputFunctions.Utility_DisplayArrayInTable(Fertiliser_SourceData.Fertiliser_Products_Data3(),FertiliserProducts[[#Headers],[Include or Exclude]], 40)</f>
        <v/>
      </c>
      <c r="V132" s="54" t="str" cm="1">
        <f t="array" ref="V132">Common_InputFunctions.Utility_DisplayArrayInTable(Fertiliser_SourceData.Fertiliser_Products_Data3(),FertiliserProducts[[#Headers],[Include or Exclude]], 40)</f>
        <v/>
      </c>
      <c r="W132" s="54" t="str" cm="1">
        <f t="array" ref="W132">Common_InputFunctions.Utility_DisplayArrayInTable(Fertiliser_SourceData.Fertiliser_Products_Data3(),FertiliserProducts[[#Headers],[Include or Exclude]], 40)</f>
        <v>Crop Nutrition Solutions (Yara Australia)</v>
      </c>
      <c r="X132" s="54" t="str" cm="1">
        <f t="array" ref="X132">Common_InputFunctions.Utility_DisplayArrayInTable(Fertiliser_SourceData.Fertiliser_Products_Data3(),FertiliserProducts[[#Headers],[Include or Exclude]], 40)</f>
        <v/>
      </c>
      <c r="Y132" s="54" t="str" cm="1">
        <f t="array" ref="Y132">Common_InputFunctions.Utility_DisplayArrayInTable(Fertiliser_SourceData.Fertiliser_Products_Data3(),FertiliserProducts[[#Headers],[Include or Exclude]], 40)</f>
        <v/>
      </c>
      <c r="Z132" s="54" t="str" cm="1">
        <f t="array" ref="Z132">Common_InputFunctions.Utility_DisplayArrayInTable(Fertiliser_SourceData.Fertiliser_Products_Data3(),FertiliserProducts[[#Headers],[Include or Exclude]], 40)</f>
        <v/>
      </c>
      <c r="AA132" s="10" t="str" cm="1">
        <f t="array" ref="AA132">Common_InputFunctions.Utility_DisplayArrayInTable(Fertiliser_SourceData.Fertiliser_Products_Data3(),FertiliserProducts[[#Headers],[Include or Exclude]], 40)</f>
        <v/>
      </c>
      <c r="AB132" s="10" t="str" cm="1">
        <f t="array" ref="AB132">Common_InputFunctions.Utility_DisplayArrayInTable(Fertiliser_SourceData.Fertiliser_Products_Data3(),FertiliserProducts[[#Headers],[Include or Exclude]], 40)</f>
        <v/>
      </c>
      <c r="AC132" s="10" t="str" cm="1">
        <f t="array" ref="AC132">Common_InputFunctions.Utility_DisplayArrayInTable(Fertiliser_SourceData.Fertiliser_Products_Data3(),FertiliserProducts[[#Headers],[Include or Exclude]], 40)</f>
        <v/>
      </c>
      <c r="AD132" s="10" t="str" cm="1">
        <f t="array" ref="AD132">Common_InputFunctions.Utility_DisplayArrayInTable(Fertiliser_SourceData.Fertiliser_Products_Data3(),FertiliserProducts[[#Headers],[Include or Exclude]], 40)</f>
        <v/>
      </c>
      <c r="AE132" s="10" t="str" cm="1">
        <f t="array" ref="AE132">Common_InputFunctions.Utility_DisplayArrayInTable(Fertiliser_SourceData.Fertiliser_Products_Data3(),FertiliserProducts[[#Headers],[Include or Exclude]], 40)</f>
        <v/>
      </c>
    </row>
    <row r="133" spans="4:31" ht="20.100000000000001" customHeight="1" x14ac:dyDescent="0.25">
      <c r="D133" s="54" t="str" cm="1">
        <f t="array" ref="D133">Common_InputFunctions.Utility_DisplayArrayInTable(Fertiliser_SourceData.Fertiliser_Products_Data3(),FertiliserProducts[[#Headers],[Include or Exclude]], 40)</f>
        <v>Yara K-Flow 13-0-7</v>
      </c>
      <c r="E133" s="54" t="str" cm="1">
        <f t="array" ref="E133">Common_InputFunctions.Utility_DisplayArrayInTable(Fertiliser_SourceData.Fertiliser_Products_Data3(),FertiliserProducts[[#Headers],[Include or Exclude]], 40)</f>
        <v/>
      </c>
      <c r="F133" s="54" t="str" cm="1">
        <f t="array" ref="F133">Common_InputFunctions.Utility_DisplayArrayInTable(Fertiliser_SourceData.Fertiliser_Products_Data3(),FertiliserProducts[[#Headers],[Include or Exclude]], 40)</f>
        <v/>
      </c>
      <c r="G133" s="54" t="str" cm="1">
        <f t="array" ref="G133">Common_InputFunctions.Utility_DisplayArrayInTable(Fertiliser_SourceData.Fertiliser_Products_Data3(),FertiliserProducts[[#Headers],[Include or Exclude]], 40)</f>
        <v/>
      </c>
      <c r="H133" s="54" t="str" cm="1">
        <f t="array" ref="H133">Common_InputFunctions.Utility_DisplayArrayInTable(Fertiliser_SourceData.Fertiliser_Products_Data3(),FertiliserProducts[[#Headers],[Include or Exclude]], 40)</f>
        <v/>
      </c>
      <c r="I133" s="54" t="str" cm="1">
        <f t="array" ref="I133">Common_InputFunctions.Utility_DisplayArrayInTable(Fertiliser_SourceData.Fertiliser_Products_Data3(),FertiliserProducts[[#Headers],[Include or Exclude]], 40)</f>
        <v/>
      </c>
      <c r="J133" s="54" t="str" cm="1">
        <f t="array" ref="J133">Common_InputFunctions.Utility_DisplayArrayInTable(Fertiliser_SourceData.Fertiliser_Products_Data3(),FertiliserProducts[[#Headers],[Include or Exclude]], 40)</f>
        <v/>
      </c>
      <c r="K133" s="54" t="str" cm="1">
        <f t="array" ref="K133">Common_InputFunctions.Utility_DisplayArrayInTable(Fertiliser_SourceData.Fertiliser_Products_Data3(),FertiliserProducts[[#Headers],[Include or Exclude]], 40)</f>
        <v/>
      </c>
      <c r="L133" s="54" t="str" cm="1">
        <f t="array" ref="L133">Common_InputFunctions.Utility_DisplayArrayInTable(Fertiliser_SourceData.Fertiliser_Products_Data3(),FertiliserProducts[[#Headers],[Include or Exclude]], 40)</f>
        <v/>
      </c>
      <c r="M133" s="54" t="str" cm="1">
        <f t="array" ref="M133">Common_InputFunctions.Utility_DisplayArrayInTable(Fertiliser_SourceData.Fertiliser_Products_Data3(),FertiliserProducts[[#Headers],[Include or Exclude]], 40)</f>
        <v/>
      </c>
      <c r="N133" s="54" t="str" cm="1">
        <f t="array" ref="N133">Common_InputFunctions.Utility_DisplayArrayInTable(Fertiliser_SourceData.Fertiliser_Products_Data3(),FertiliserProducts[[#Headers],[Include or Exclude]], 40)</f>
        <v/>
      </c>
      <c r="O133" s="54" t="str" cm="1">
        <f t="array" ref="O133">Common_InputFunctions.Utility_DisplayArrayInTable(Fertiliser_SourceData.Fertiliser_Products_Data3(),FertiliserProducts[[#Headers],[Include or Exclude]], 40)</f>
        <v/>
      </c>
      <c r="P133" s="54" t="str" cm="1">
        <f t="array" ref="P133">Common_InputFunctions.Utility_DisplayArrayInTable(Fertiliser_SourceData.Fertiliser_Products_Data3(),FertiliserProducts[[#Headers],[Include or Exclude]], 40)</f>
        <v/>
      </c>
      <c r="Q133" s="54" t="str" cm="1">
        <f t="array" ref="Q133">Common_InputFunctions.Utility_DisplayArrayInTable(Fertiliser_SourceData.Fertiliser_Products_Data3(),FertiliserProducts[[#Headers],[Include or Exclude]], 40)</f>
        <v/>
      </c>
      <c r="R133" s="54" t="str" cm="1">
        <f t="array" ref="R133">Common_InputFunctions.Utility_DisplayArrayInTable(Fertiliser_SourceData.Fertiliser_Products_Data3(),FertiliserProducts[[#Headers],[Include or Exclude]], 40)</f>
        <v/>
      </c>
      <c r="S133" s="54" t="str" cm="1">
        <f t="array" ref="S133">Common_InputFunctions.Utility_DisplayArrayInTable(Fertiliser_SourceData.Fertiliser_Products_Data3(),FertiliserProducts[[#Headers],[Include or Exclude]], 40)</f>
        <v/>
      </c>
      <c r="T133" s="54" t="str" cm="1">
        <f t="array" ref="T133">Common_InputFunctions.Utility_DisplayArrayInTable(Fertiliser_SourceData.Fertiliser_Products_Data3(),FertiliserProducts[[#Headers],[Include or Exclude]], 40)</f>
        <v/>
      </c>
      <c r="U133" s="54" t="str" cm="1">
        <f t="array" ref="U133">Common_InputFunctions.Utility_DisplayArrayInTable(Fertiliser_SourceData.Fertiliser_Products_Data3(),FertiliserProducts[[#Headers],[Include or Exclude]], 40)</f>
        <v/>
      </c>
      <c r="V133" s="54" t="str" cm="1">
        <f t="array" ref="V133">Common_InputFunctions.Utility_DisplayArrayInTable(Fertiliser_SourceData.Fertiliser_Products_Data3(),FertiliserProducts[[#Headers],[Include or Exclude]], 40)</f>
        <v/>
      </c>
      <c r="W133" s="54" t="str" cm="1">
        <f t="array" ref="W133">Common_InputFunctions.Utility_DisplayArrayInTable(Fertiliser_SourceData.Fertiliser_Products_Data3(),FertiliserProducts[[#Headers],[Include or Exclude]], 40)</f>
        <v>Crop Nutrition Solutions (Yara Australia)</v>
      </c>
      <c r="X133" s="54" t="str" cm="1">
        <f t="array" ref="X133">Common_InputFunctions.Utility_DisplayArrayInTable(Fertiliser_SourceData.Fertiliser_Products_Data3(),FertiliserProducts[[#Headers],[Include or Exclude]], 40)</f>
        <v/>
      </c>
      <c r="Y133" s="54" t="str" cm="1">
        <f t="array" ref="Y133">Common_InputFunctions.Utility_DisplayArrayInTable(Fertiliser_SourceData.Fertiliser_Products_Data3(),FertiliserProducts[[#Headers],[Include or Exclude]], 40)</f>
        <v/>
      </c>
      <c r="Z133" s="54" t="str" cm="1">
        <f t="array" ref="Z133">Common_InputFunctions.Utility_DisplayArrayInTable(Fertiliser_SourceData.Fertiliser_Products_Data3(),FertiliserProducts[[#Headers],[Include or Exclude]], 40)</f>
        <v/>
      </c>
      <c r="AA133" s="10" t="str" cm="1">
        <f t="array" ref="AA133">Common_InputFunctions.Utility_DisplayArrayInTable(Fertiliser_SourceData.Fertiliser_Products_Data3(),FertiliserProducts[[#Headers],[Include or Exclude]], 40)</f>
        <v/>
      </c>
      <c r="AB133" s="10" t="str" cm="1">
        <f t="array" ref="AB133">Common_InputFunctions.Utility_DisplayArrayInTable(Fertiliser_SourceData.Fertiliser_Products_Data3(),FertiliserProducts[[#Headers],[Include or Exclude]], 40)</f>
        <v/>
      </c>
      <c r="AC133" s="10" t="str" cm="1">
        <f t="array" ref="AC133">Common_InputFunctions.Utility_DisplayArrayInTable(Fertiliser_SourceData.Fertiliser_Products_Data3(),FertiliserProducts[[#Headers],[Include or Exclude]], 40)</f>
        <v/>
      </c>
      <c r="AD133" s="10" t="str" cm="1">
        <f t="array" ref="AD133">Common_InputFunctions.Utility_DisplayArrayInTable(Fertiliser_SourceData.Fertiliser_Products_Data3(),FertiliserProducts[[#Headers],[Include or Exclude]], 40)</f>
        <v/>
      </c>
      <c r="AE133" s="10" t="str" cm="1">
        <f t="array" ref="AE133">Common_InputFunctions.Utility_DisplayArrayInTable(Fertiliser_SourceData.Fertiliser_Products_Data3(),FertiliserProducts[[#Headers],[Include or Exclude]], 40)</f>
        <v/>
      </c>
    </row>
    <row r="134" spans="4:31" ht="20.100000000000001" customHeight="1" x14ac:dyDescent="0.25">
      <c r="D134" s="54" t="str" cm="1">
        <f t="array" ref="D134">Common_InputFunctions.Utility_DisplayArrayInTable(Fertiliser_SourceData.Fertiliser_Products_Data3(),FertiliserProducts[[#Headers],[Include or Exclude]], 40)</f>
        <v>Yara K-Flow 4-0-12</v>
      </c>
      <c r="E134" s="54" t="str" cm="1">
        <f t="array" ref="E134">Common_InputFunctions.Utility_DisplayArrayInTable(Fertiliser_SourceData.Fertiliser_Products_Data3(),FertiliserProducts[[#Headers],[Include or Exclude]], 40)</f>
        <v/>
      </c>
      <c r="F134" s="54" t="str" cm="1">
        <f t="array" ref="F134">Common_InputFunctions.Utility_DisplayArrayInTable(Fertiliser_SourceData.Fertiliser_Products_Data3(),FertiliserProducts[[#Headers],[Include or Exclude]], 40)</f>
        <v/>
      </c>
      <c r="G134" s="54" t="str" cm="1">
        <f t="array" ref="G134">Common_InputFunctions.Utility_DisplayArrayInTable(Fertiliser_SourceData.Fertiliser_Products_Data3(),FertiliserProducts[[#Headers],[Include or Exclude]], 40)</f>
        <v/>
      </c>
      <c r="H134" s="54" t="str" cm="1">
        <f t="array" ref="H134">Common_InputFunctions.Utility_DisplayArrayInTable(Fertiliser_SourceData.Fertiliser_Products_Data3(),FertiliserProducts[[#Headers],[Include or Exclude]], 40)</f>
        <v/>
      </c>
      <c r="I134" s="54" t="str" cm="1">
        <f t="array" ref="I134">Common_InputFunctions.Utility_DisplayArrayInTable(Fertiliser_SourceData.Fertiliser_Products_Data3(),FertiliserProducts[[#Headers],[Include or Exclude]], 40)</f>
        <v/>
      </c>
      <c r="J134" s="54" t="str" cm="1">
        <f t="array" ref="J134">Common_InputFunctions.Utility_DisplayArrayInTable(Fertiliser_SourceData.Fertiliser_Products_Data3(),FertiliserProducts[[#Headers],[Include or Exclude]], 40)</f>
        <v/>
      </c>
      <c r="K134" s="54" t="str" cm="1">
        <f t="array" ref="K134">Common_InputFunctions.Utility_DisplayArrayInTable(Fertiliser_SourceData.Fertiliser_Products_Data3(),FertiliserProducts[[#Headers],[Include or Exclude]], 40)</f>
        <v/>
      </c>
      <c r="L134" s="54" t="str" cm="1">
        <f t="array" ref="L134">Common_InputFunctions.Utility_DisplayArrayInTable(Fertiliser_SourceData.Fertiliser_Products_Data3(),FertiliserProducts[[#Headers],[Include or Exclude]], 40)</f>
        <v/>
      </c>
      <c r="M134" s="54" t="str" cm="1">
        <f t="array" ref="M134">Common_InputFunctions.Utility_DisplayArrayInTable(Fertiliser_SourceData.Fertiliser_Products_Data3(),FertiliserProducts[[#Headers],[Include or Exclude]], 40)</f>
        <v/>
      </c>
      <c r="N134" s="54" t="str" cm="1">
        <f t="array" ref="N134">Common_InputFunctions.Utility_DisplayArrayInTable(Fertiliser_SourceData.Fertiliser_Products_Data3(),FertiliserProducts[[#Headers],[Include or Exclude]], 40)</f>
        <v/>
      </c>
      <c r="O134" s="54" t="str" cm="1">
        <f t="array" ref="O134">Common_InputFunctions.Utility_DisplayArrayInTable(Fertiliser_SourceData.Fertiliser_Products_Data3(),FertiliserProducts[[#Headers],[Include or Exclude]], 40)</f>
        <v/>
      </c>
      <c r="P134" s="54" t="str" cm="1">
        <f t="array" ref="P134">Common_InputFunctions.Utility_DisplayArrayInTable(Fertiliser_SourceData.Fertiliser_Products_Data3(),FertiliserProducts[[#Headers],[Include or Exclude]], 40)</f>
        <v/>
      </c>
      <c r="Q134" s="54" t="str" cm="1">
        <f t="array" ref="Q134">Common_InputFunctions.Utility_DisplayArrayInTable(Fertiliser_SourceData.Fertiliser_Products_Data3(),FertiliserProducts[[#Headers],[Include or Exclude]], 40)</f>
        <v/>
      </c>
      <c r="R134" s="54" t="str" cm="1">
        <f t="array" ref="R134">Common_InputFunctions.Utility_DisplayArrayInTable(Fertiliser_SourceData.Fertiliser_Products_Data3(),FertiliserProducts[[#Headers],[Include or Exclude]], 40)</f>
        <v/>
      </c>
      <c r="S134" s="54" t="str" cm="1">
        <f t="array" ref="S134">Common_InputFunctions.Utility_DisplayArrayInTable(Fertiliser_SourceData.Fertiliser_Products_Data3(),FertiliserProducts[[#Headers],[Include or Exclude]], 40)</f>
        <v/>
      </c>
      <c r="T134" s="54" t="str" cm="1">
        <f t="array" ref="T134">Common_InputFunctions.Utility_DisplayArrayInTable(Fertiliser_SourceData.Fertiliser_Products_Data3(),FertiliserProducts[[#Headers],[Include or Exclude]], 40)</f>
        <v/>
      </c>
      <c r="U134" s="54" t="str" cm="1">
        <f t="array" ref="U134">Common_InputFunctions.Utility_DisplayArrayInTable(Fertiliser_SourceData.Fertiliser_Products_Data3(),FertiliserProducts[[#Headers],[Include or Exclude]], 40)</f>
        <v/>
      </c>
      <c r="V134" s="54" t="str" cm="1">
        <f t="array" ref="V134">Common_InputFunctions.Utility_DisplayArrayInTable(Fertiliser_SourceData.Fertiliser_Products_Data3(),FertiliserProducts[[#Headers],[Include or Exclude]], 40)</f>
        <v/>
      </c>
      <c r="W134" s="54" t="str" cm="1">
        <f t="array" ref="W134">Common_InputFunctions.Utility_DisplayArrayInTable(Fertiliser_SourceData.Fertiliser_Products_Data3(),FertiliserProducts[[#Headers],[Include or Exclude]], 40)</f>
        <v>Crop Nutrition Solutions (Yara Australia)</v>
      </c>
      <c r="X134" s="54" t="str" cm="1">
        <f t="array" ref="X134">Common_InputFunctions.Utility_DisplayArrayInTable(Fertiliser_SourceData.Fertiliser_Products_Data3(),FertiliserProducts[[#Headers],[Include or Exclude]], 40)</f>
        <v/>
      </c>
      <c r="Y134" s="54" t="str" cm="1">
        <f t="array" ref="Y134">Common_InputFunctions.Utility_DisplayArrayInTable(Fertiliser_SourceData.Fertiliser_Products_Data3(),FertiliserProducts[[#Headers],[Include or Exclude]], 40)</f>
        <v/>
      </c>
      <c r="Z134" s="54" t="str" cm="1">
        <f t="array" ref="Z134">Common_InputFunctions.Utility_DisplayArrayInTable(Fertiliser_SourceData.Fertiliser_Products_Data3(),FertiliserProducts[[#Headers],[Include or Exclude]], 40)</f>
        <v/>
      </c>
      <c r="AA134" s="10" t="str" cm="1">
        <f t="array" ref="AA134">Common_InputFunctions.Utility_DisplayArrayInTable(Fertiliser_SourceData.Fertiliser_Products_Data3(),FertiliserProducts[[#Headers],[Include or Exclude]], 40)</f>
        <v/>
      </c>
      <c r="AB134" s="10" t="str" cm="1">
        <f t="array" ref="AB134">Common_InputFunctions.Utility_DisplayArrayInTable(Fertiliser_SourceData.Fertiliser_Products_Data3(),FertiliserProducts[[#Headers],[Include or Exclude]], 40)</f>
        <v/>
      </c>
      <c r="AC134" s="10" t="str" cm="1">
        <f t="array" ref="AC134">Common_InputFunctions.Utility_DisplayArrayInTable(Fertiliser_SourceData.Fertiliser_Products_Data3(),FertiliserProducts[[#Headers],[Include or Exclude]], 40)</f>
        <v/>
      </c>
      <c r="AD134" s="10" t="str" cm="1">
        <f t="array" ref="AD134">Common_InputFunctions.Utility_DisplayArrayInTable(Fertiliser_SourceData.Fertiliser_Products_Data3(),FertiliserProducts[[#Headers],[Include or Exclude]], 40)</f>
        <v/>
      </c>
      <c r="AE134" s="10" t="str" cm="1">
        <f t="array" ref="AE134">Common_InputFunctions.Utility_DisplayArrayInTable(Fertiliser_SourceData.Fertiliser_Products_Data3(),FertiliserProducts[[#Headers],[Include or Exclude]], 40)</f>
        <v/>
      </c>
    </row>
    <row r="135" spans="4:31" ht="20.100000000000001" customHeight="1" x14ac:dyDescent="0.25">
      <c r="D135" s="54" t="str" cm="1">
        <f t="array" ref="D135">Common_InputFunctions.Utility_DisplayArrayInTable(Fertiliser_SourceData.Fertiliser_Products_Data3(),FertiliserProducts[[#Headers],[Include or Exclude]], 40)</f>
        <v>Yara Liquids MICRO-SUL</v>
      </c>
      <c r="E135" s="54" t="str" cm="1">
        <f t="array" ref="E135">Common_InputFunctions.Utility_DisplayArrayInTable(Fertiliser_SourceData.Fertiliser_Products_Data3(),FertiliserProducts[[#Headers],[Include or Exclude]], 40)</f>
        <v/>
      </c>
      <c r="F135" s="54" t="str" cm="1">
        <f t="array" ref="F135">Common_InputFunctions.Utility_DisplayArrayInTable(Fertiliser_SourceData.Fertiliser_Products_Data3(),FertiliserProducts[[#Headers],[Include or Exclude]], 40)</f>
        <v/>
      </c>
      <c r="G135" s="54" t="str" cm="1">
        <f t="array" ref="G135">Common_InputFunctions.Utility_DisplayArrayInTable(Fertiliser_SourceData.Fertiliser_Products_Data3(),FertiliserProducts[[#Headers],[Include or Exclude]], 40)</f>
        <v/>
      </c>
      <c r="H135" s="54" t="str" cm="1">
        <f t="array" ref="H135">Common_InputFunctions.Utility_DisplayArrayInTable(Fertiliser_SourceData.Fertiliser_Products_Data3(),FertiliserProducts[[#Headers],[Include or Exclude]], 40)</f>
        <v/>
      </c>
      <c r="I135" s="54" t="str" cm="1">
        <f t="array" ref="I135">Common_InputFunctions.Utility_DisplayArrayInTable(Fertiliser_SourceData.Fertiliser_Products_Data3(),FertiliserProducts[[#Headers],[Include or Exclude]], 40)</f>
        <v/>
      </c>
      <c r="J135" s="54" t="str" cm="1">
        <f t="array" ref="J135">Common_InputFunctions.Utility_DisplayArrayInTable(Fertiliser_SourceData.Fertiliser_Products_Data3(),FertiliserProducts[[#Headers],[Include or Exclude]], 40)</f>
        <v/>
      </c>
      <c r="K135" s="54" t="str" cm="1">
        <f t="array" ref="K135">Common_InputFunctions.Utility_DisplayArrayInTable(Fertiliser_SourceData.Fertiliser_Products_Data3(),FertiliserProducts[[#Headers],[Include or Exclude]], 40)</f>
        <v/>
      </c>
      <c r="L135" s="54" t="str" cm="1">
        <f t="array" ref="L135">Common_InputFunctions.Utility_DisplayArrayInTable(Fertiliser_SourceData.Fertiliser_Products_Data3(),FertiliserProducts[[#Headers],[Include or Exclude]], 40)</f>
        <v/>
      </c>
      <c r="M135" s="54" t="str" cm="1">
        <f t="array" ref="M135">Common_InputFunctions.Utility_DisplayArrayInTable(Fertiliser_SourceData.Fertiliser_Products_Data3(),FertiliserProducts[[#Headers],[Include or Exclude]], 40)</f>
        <v/>
      </c>
      <c r="N135" s="54" t="str" cm="1">
        <f t="array" ref="N135">Common_InputFunctions.Utility_DisplayArrayInTable(Fertiliser_SourceData.Fertiliser_Products_Data3(),FertiliserProducts[[#Headers],[Include or Exclude]], 40)</f>
        <v/>
      </c>
      <c r="O135" s="54" t="str" cm="1">
        <f t="array" ref="O135">Common_InputFunctions.Utility_DisplayArrayInTable(Fertiliser_SourceData.Fertiliser_Products_Data3(),FertiliserProducts[[#Headers],[Include or Exclude]], 40)</f>
        <v/>
      </c>
      <c r="P135" s="54" t="str" cm="1">
        <f t="array" ref="P135">Common_InputFunctions.Utility_DisplayArrayInTable(Fertiliser_SourceData.Fertiliser_Products_Data3(),FertiliserProducts[[#Headers],[Include or Exclude]], 40)</f>
        <v/>
      </c>
      <c r="Q135" s="54" t="str" cm="1">
        <f t="array" ref="Q135">Common_InputFunctions.Utility_DisplayArrayInTable(Fertiliser_SourceData.Fertiliser_Products_Data3(),FertiliserProducts[[#Headers],[Include or Exclude]], 40)</f>
        <v/>
      </c>
      <c r="R135" s="54" t="str" cm="1">
        <f t="array" ref="R135">Common_InputFunctions.Utility_DisplayArrayInTable(Fertiliser_SourceData.Fertiliser_Products_Data3(),FertiliserProducts[[#Headers],[Include or Exclude]], 40)</f>
        <v/>
      </c>
      <c r="S135" s="54" t="str" cm="1">
        <f t="array" ref="S135">Common_InputFunctions.Utility_DisplayArrayInTable(Fertiliser_SourceData.Fertiliser_Products_Data3(),FertiliserProducts[[#Headers],[Include or Exclude]], 40)</f>
        <v/>
      </c>
      <c r="T135" s="54" t="str" cm="1">
        <f t="array" ref="T135">Common_InputFunctions.Utility_DisplayArrayInTable(Fertiliser_SourceData.Fertiliser_Products_Data3(),FertiliserProducts[[#Headers],[Include or Exclude]], 40)</f>
        <v/>
      </c>
      <c r="U135" s="54" t="str" cm="1">
        <f t="array" ref="U135">Common_InputFunctions.Utility_DisplayArrayInTable(Fertiliser_SourceData.Fertiliser_Products_Data3(),FertiliserProducts[[#Headers],[Include or Exclude]], 40)</f>
        <v/>
      </c>
      <c r="V135" s="54" t="str" cm="1">
        <f t="array" ref="V135">Common_InputFunctions.Utility_DisplayArrayInTable(Fertiliser_SourceData.Fertiliser_Products_Data3(),FertiliserProducts[[#Headers],[Include or Exclude]], 40)</f>
        <v/>
      </c>
      <c r="W135" s="54" t="str" cm="1">
        <f t="array" ref="W135">Common_InputFunctions.Utility_DisplayArrayInTable(Fertiliser_SourceData.Fertiliser_Products_Data3(),FertiliserProducts[[#Headers],[Include or Exclude]], 40)</f>
        <v>Crop Nutrition Solutions (Yara Australia)</v>
      </c>
      <c r="X135" s="54" t="str" cm="1">
        <f t="array" ref="X135">Common_InputFunctions.Utility_DisplayArrayInTable(Fertiliser_SourceData.Fertiliser_Products_Data3(),FertiliserProducts[[#Headers],[Include or Exclude]], 40)</f>
        <v/>
      </c>
      <c r="Y135" s="54" t="str" cm="1">
        <f t="array" ref="Y135">Common_InputFunctions.Utility_DisplayArrayInTable(Fertiliser_SourceData.Fertiliser_Products_Data3(),FertiliserProducts[[#Headers],[Include or Exclude]], 40)</f>
        <v/>
      </c>
      <c r="Z135" s="54" t="str" cm="1">
        <f t="array" ref="Z135">Common_InputFunctions.Utility_DisplayArrayInTable(Fertiliser_SourceData.Fertiliser_Products_Data3(),FertiliserProducts[[#Headers],[Include or Exclude]], 40)</f>
        <v/>
      </c>
      <c r="AA135" s="10" t="str" cm="1">
        <f t="array" ref="AA135">Common_InputFunctions.Utility_DisplayArrayInTable(Fertiliser_SourceData.Fertiliser_Products_Data3(),FertiliserProducts[[#Headers],[Include or Exclude]], 40)</f>
        <v/>
      </c>
      <c r="AB135" s="10" t="str" cm="1">
        <f t="array" ref="AB135">Common_InputFunctions.Utility_DisplayArrayInTable(Fertiliser_SourceData.Fertiliser_Products_Data3(),FertiliserProducts[[#Headers],[Include or Exclude]], 40)</f>
        <v/>
      </c>
      <c r="AC135" s="10" t="str" cm="1">
        <f t="array" ref="AC135">Common_InputFunctions.Utility_DisplayArrayInTable(Fertiliser_SourceData.Fertiliser_Products_Data3(),FertiliserProducts[[#Headers],[Include or Exclude]], 40)</f>
        <v/>
      </c>
      <c r="AD135" s="10" t="str" cm="1">
        <f t="array" ref="AD135">Common_InputFunctions.Utility_DisplayArrayInTable(Fertiliser_SourceData.Fertiliser_Products_Data3(),FertiliserProducts[[#Headers],[Include or Exclude]], 40)</f>
        <v/>
      </c>
      <c r="AE135" s="10" t="str" cm="1">
        <f t="array" ref="AE135">Common_InputFunctions.Utility_DisplayArrayInTable(Fertiliser_SourceData.Fertiliser_Products_Data3(),FertiliserProducts[[#Headers],[Include or Exclude]], 40)</f>
        <v/>
      </c>
    </row>
    <row r="136" spans="4:31" ht="20.100000000000001" customHeight="1" x14ac:dyDescent="0.25">
      <c r="D136" s="54" t="str" cm="1">
        <f t="array" ref="D136">Common_InputFunctions.Utility_DisplayArrayInTable(Fertiliser_SourceData.Fertiliser_Products_Data3(),FertiliserProducts[[#Headers],[Include or Exclude]], 40)</f>
        <v>Yara Liquids N24</v>
      </c>
      <c r="E136" s="54" t="str" cm="1">
        <f t="array" ref="E136">Common_InputFunctions.Utility_DisplayArrayInTable(Fertiliser_SourceData.Fertiliser_Products_Data3(),FertiliserProducts[[#Headers],[Include or Exclude]], 40)</f>
        <v/>
      </c>
      <c r="F136" s="54" t="str" cm="1">
        <f t="array" ref="F136">Common_InputFunctions.Utility_DisplayArrayInTable(Fertiliser_SourceData.Fertiliser_Products_Data3(),FertiliserProducts[[#Headers],[Include or Exclude]], 40)</f>
        <v/>
      </c>
      <c r="G136" s="54" t="str" cm="1">
        <f t="array" ref="G136">Common_InputFunctions.Utility_DisplayArrayInTable(Fertiliser_SourceData.Fertiliser_Products_Data3(),FertiliserProducts[[#Headers],[Include or Exclude]], 40)</f>
        <v/>
      </c>
      <c r="H136" s="54" t="str" cm="1">
        <f t="array" ref="H136">Common_InputFunctions.Utility_DisplayArrayInTable(Fertiliser_SourceData.Fertiliser_Products_Data3(),FertiliserProducts[[#Headers],[Include or Exclude]], 40)</f>
        <v/>
      </c>
      <c r="I136" s="54" t="str" cm="1">
        <f t="array" ref="I136">Common_InputFunctions.Utility_DisplayArrayInTable(Fertiliser_SourceData.Fertiliser_Products_Data3(),FertiliserProducts[[#Headers],[Include or Exclude]], 40)</f>
        <v/>
      </c>
      <c r="J136" s="54" t="str" cm="1">
        <f t="array" ref="J136">Common_InputFunctions.Utility_DisplayArrayInTable(Fertiliser_SourceData.Fertiliser_Products_Data3(),FertiliserProducts[[#Headers],[Include or Exclude]], 40)</f>
        <v/>
      </c>
      <c r="K136" s="54" t="str" cm="1">
        <f t="array" ref="K136">Common_InputFunctions.Utility_DisplayArrayInTable(Fertiliser_SourceData.Fertiliser_Products_Data3(),FertiliserProducts[[#Headers],[Include or Exclude]], 40)</f>
        <v/>
      </c>
      <c r="L136" s="54" t="str" cm="1">
        <f t="array" ref="L136">Common_InputFunctions.Utility_DisplayArrayInTable(Fertiliser_SourceData.Fertiliser_Products_Data3(),FertiliserProducts[[#Headers],[Include or Exclude]], 40)</f>
        <v/>
      </c>
      <c r="M136" s="54" t="str" cm="1">
        <f t="array" ref="M136">Common_InputFunctions.Utility_DisplayArrayInTable(Fertiliser_SourceData.Fertiliser_Products_Data3(),FertiliserProducts[[#Headers],[Include or Exclude]], 40)</f>
        <v/>
      </c>
      <c r="N136" s="54" t="str" cm="1">
        <f t="array" ref="N136">Common_InputFunctions.Utility_DisplayArrayInTable(Fertiliser_SourceData.Fertiliser_Products_Data3(),FertiliserProducts[[#Headers],[Include or Exclude]], 40)</f>
        <v/>
      </c>
      <c r="O136" s="54" t="str" cm="1">
        <f t="array" ref="O136">Common_InputFunctions.Utility_DisplayArrayInTable(Fertiliser_SourceData.Fertiliser_Products_Data3(),FertiliserProducts[[#Headers],[Include or Exclude]], 40)</f>
        <v/>
      </c>
      <c r="P136" s="54" t="str" cm="1">
        <f t="array" ref="P136">Common_InputFunctions.Utility_DisplayArrayInTable(Fertiliser_SourceData.Fertiliser_Products_Data3(),FertiliserProducts[[#Headers],[Include or Exclude]], 40)</f>
        <v/>
      </c>
      <c r="Q136" s="54" t="str" cm="1">
        <f t="array" ref="Q136">Common_InputFunctions.Utility_DisplayArrayInTable(Fertiliser_SourceData.Fertiliser_Products_Data3(),FertiliserProducts[[#Headers],[Include or Exclude]], 40)</f>
        <v/>
      </c>
      <c r="R136" s="54" t="str" cm="1">
        <f t="array" ref="R136">Common_InputFunctions.Utility_DisplayArrayInTable(Fertiliser_SourceData.Fertiliser_Products_Data3(),FertiliserProducts[[#Headers],[Include or Exclude]], 40)</f>
        <v/>
      </c>
      <c r="S136" s="54" t="str" cm="1">
        <f t="array" ref="S136">Common_InputFunctions.Utility_DisplayArrayInTable(Fertiliser_SourceData.Fertiliser_Products_Data3(),FertiliserProducts[[#Headers],[Include or Exclude]], 40)</f>
        <v/>
      </c>
      <c r="T136" s="54" t="str" cm="1">
        <f t="array" ref="T136">Common_InputFunctions.Utility_DisplayArrayInTable(Fertiliser_SourceData.Fertiliser_Products_Data3(),FertiliserProducts[[#Headers],[Include or Exclude]], 40)</f>
        <v/>
      </c>
      <c r="U136" s="54" t="str" cm="1">
        <f t="array" ref="U136">Common_InputFunctions.Utility_DisplayArrayInTable(Fertiliser_SourceData.Fertiliser_Products_Data3(),FertiliserProducts[[#Headers],[Include or Exclude]], 40)</f>
        <v/>
      </c>
      <c r="V136" s="54" t="str" cm="1">
        <f t="array" ref="V136">Common_InputFunctions.Utility_DisplayArrayInTable(Fertiliser_SourceData.Fertiliser_Products_Data3(),FertiliserProducts[[#Headers],[Include or Exclude]], 40)</f>
        <v/>
      </c>
      <c r="W136" s="54" t="str" cm="1">
        <f t="array" ref="W136">Common_InputFunctions.Utility_DisplayArrayInTable(Fertiliser_SourceData.Fertiliser_Products_Data3(),FertiliserProducts[[#Headers],[Include or Exclude]], 40)</f>
        <v>Crop Nutrition Solutions (Yara Australia)</v>
      </c>
      <c r="X136" s="54" t="str" cm="1">
        <f t="array" ref="X136">Common_InputFunctions.Utility_DisplayArrayInTable(Fertiliser_SourceData.Fertiliser_Products_Data3(),FertiliserProducts[[#Headers],[Include or Exclude]], 40)</f>
        <v/>
      </c>
      <c r="Y136" s="54" t="str" cm="1">
        <f t="array" ref="Y136">Common_InputFunctions.Utility_DisplayArrayInTable(Fertiliser_SourceData.Fertiliser_Products_Data3(),FertiliserProducts[[#Headers],[Include or Exclude]], 40)</f>
        <v/>
      </c>
      <c r="Z136" s="54" t="str" cm="1">
        <f t="array" ref="Z136">Common_InputFunctions.Utility_DisplayArrayInTable(Fertiliser_SourceData.Fertiliser_Products_Data3(),FertiliserProducts[[#Headers],[Include or Exclude]], 40)</f>
        <v/>
      </c>
      <c r="AA136" s="10" t="str" cm="1">
        <f t="array" ref="AA136">Common_InputFunctions.Utility_DisplayArrayInTable(Fertiliser_SourceData.Fertiliser_Products_Data3(),FertiliserProducts[[#Headers],[Include or Exclude]], 40)</f>
        <v/>
      </c>
      <c r="AB136" s="10" t="str" cm="1">
        <f t="array" ref="AB136">Common_InputFunctions.Utility_DisplayArrayInTable(Fertiliser_SourceData.Fertiliser_Products_Data3(),FertiliserProducts[[#Headers],[Include or Exclude]], 40)</f>
        <v/>
      </c>
      <c r="AC136" s="10" t="str" cm="1">
        <f t="array" ref="AC136">Common_InputFunctions.Utility_DisplayArrayInTable(Fertiliser_SourceData.Fertiliser_Products_Data3(),FertiliserProducts[[#Headers],[Include or Exclude]], 40)</f>
        <v/>
      </c>
      <c r="AD136" s="10" t="str" cm="1">
        <f t="array" ref="AD136">Common_InputFunctions.Utility_DisplayArrayInTable(Fertiliser_SourceData.Fertiliser_Products_Data3(),FertiliserProducts[[#Headers],[Include or Exclude]], 40)</f>
        <v/>
      </c>
      <c r="AE136" s="10" t="str" cm="1">
        <f t="array" ref="AE136">Common_InputFunctions.Utility_DisplayArrayInTable(Fertiliser_SourceData.Fertiliser_Products_Data3(),FertiliserProducts[[#Headers],[Include or Exclude]], 40)</f>
        <v/>
      </c>
    </row>
    <row r="137" spans="4:31" ht="20.100000000000001" customHeight="1" x14ac:dyDescent="0.25">
      <c r="D137" s="54" t="str" cm="1">
        <f t="array" ref="D137">Common_InputFunctions.Utility_DisplayArrayInTable(Fertiliser_SourceData.Fertiliser_Products_Data3(),FertiliserProducts[[#Headers],[Include or Exclude]], 40)</f>
        <v>Yara Liquids N25</v>
      </c>
      <c r="E137" s="54" t="str" cm="1">
        <f t="array" ref="E137">Common_InputFunctions.Utility_DisplayArrayInTable(Fertiliser_SourceData.Fertiliser_Products_Data3(),FertiliserProducts[[#Headers],[Include or Exclude]], 40)</f>
        <v/>
      </c>
      <c r="F137" s="54" t="str" cm="1">
        <f t="array" ref="F137">Common_InputFunctions.Utility_DisplayArrayInTable(Fertiliser_SourceData.Fertiliser_Products_Data3(),FertiliserProducts[[#Headers],[Include or Exclude]], 40)</f>
        <v/>
      </c>
      <c r="G137" s="54" t="str" cm="1">
        <f t="array" ref="G137">Common_InputFunctions.Utility_DisplayArrayInTable(Fertiliser_SourceData.Fertiliser_Products_Data3(),FertiliserProducts[[#Headers],[Include or Exclude]], 40)</f>
        <v/>
      </c>
      <c r="H137" s="54" t="str" cm="1">
        <f t="array" ref="H137">Common_InputFunctions.Utility_DisplayArrayInTable(Fertiliser_SourceData.Fertiliser_Products_Data3(),FertiliserProducts[[#Headers],[Include or Exclude]], 40)</f>
        <v/>
      </c>
      <c r="I137" s="54" t="str" cm="1">
        <f t="array" ref="I137">Common_InputFunctions.Utility_DisplayArrayInTable(Fertiliser_SourceData.Fertiliser_Products_Data3(),FertiliserProducts[[#Headers],[Include or Exclude]], 40)</f>
        <v/>
      </c>
      <c r="J137" s="54" t="str" cm="1">
        <f t="array" ref="J137">Common_InputFunctions.Utility_DisplayArrayInTable(Fertiliser_SourceData.Fertiliser_Products_Data3(),FertiliserProducts[[#Headers],[Include or Exclude]], 40)</f>
        <v/>
      </c>
      <c r="K137" s="54" t="str" cm="1">
        <f t="array" ref="K137">Common_InputFunctions.Utility_DisplayArrayInTable(Fertiliser_SourceData.Fertiliser_Products_Data3(),FertiliserProducts[[#Headers],[Include or Exclude]], 40)</f>
        <v/>
      </c>
      <c r="L137" s="54" t="str" cm="1">
        <f t="array" ref="L137">Common_InputFunctions.Utility_DisplayArrayInTable(Fertiliser_SourceData.Fertiliser_Products_Data3(),FertiliserProducts[[#Headers],[Include or Exclude]], 40)</f>
        <v/>
      </c>
      <c r="M137" s="54" t="str" cm="1">
        <f t="array" ref="M137">Common_InputFunctions.Utility_DisplayArrayInTable(Fertiliser_SourceData.Fertiliser_Products_Data3(),FertiliserProducts[[#Headers],[Include or Exclude]], 40)</f>
        <v/>
      </c>
      <c r="N137" s="54" t="str" cm="1">
        <f t="array" ref="N137">Common_InputFunctions.Utility_DisplayArrayInTable(Fertiliser_SourceData.Fertiliser_Products_Data3(),FertiliserProducts[[#Headers],[Include or Exclude]], 40)</f>
        <v/>
      </c>
      <c r="O137" s="54" t="str" cm="1">
        <f t="array" ref="O137">Common_InputFunctions.Utility_DisplayArrayInTable(Fertiliser_SourceData.Fertiliser_Products_Data3(),FertiliserProducts[[#Headers],[Include or Exclude]], 40)</f>
        <v/>
      </c>
      <c r="P137" s="54" t="str" cm="1">
        <f t="array" ref="P137">Common_InputFunctions.Utility_DisplayArrayInTable(Fertiliser_SourceData.Fertiliser_Products_Data3(),FertiliserProducts[[#Headers],[Include or Exclude]], 40)</f>
        <v/>
      </c>
      <c r="Q137" s="54" t="str" cm="1">
        <f t="array" ref="Q137">Common_InputFunctions.Utility_DisplayArrayInTable(Fertiliser_SourceData.Fertiliser_Products_Data3(),FertiliserProducts[[#Headers],[Include or Exclude]], 40)</f>
        <v/>
      </c>
      <c r="R137" s="54" t="str" cm="1">
        <f t="array" ref="R137">Common_InputFunctions.Utility_DisplayArrayInTable(Fertiliser_SourceData.Fertiliser_Products_Data3(),FertiliserProducts[[#Headers],[Include or Exclude]], 40)</f>
        <v/>
      </c>
      <c r="S137" s="54" t="str" cm="1">
        <f t="array" ref="S137">Common_InputFunctions.Utility_DisplayArrayInTable(Fertiliser_SourceData.Fertiliser_Products_Data3(),FertiliserProducts[[#Headers],[Include or Exclude]], 40)</f>
        <v/>
      </c>
      <c r="T137" s="54" t="str" cm="1">
        <f t="array" ref="T137">Common_InputFunctions.Utility_DisplayArrayInTable(Fertiliser_SourceData.Fertiliser_Products_Data3(),FertiliserProducts[[#Headers],[Include or Exclude]], 40)</f>
        <v/>
      </c>
      <c r="U137" s="54" t="str" cm="1">
        <f t="array" ref="U137">Common_InputFunctions.Utility_DisplayArrayInTable(Fertiliser_SourceData.Fertiliser_Products_Data3(),FertiliserProducts[[#Headers],[Include or Exclude]], 40)</f>
        <v/>
      </c>
      <c r="V137" s="54" t="str" cm="1">
        <f t="array" ref="V137">Common_InputFunctions.Utility_DisplayArrayInTable(Fertiliser_SourceData.Fertiliser_Products_Data3(),FertiliserProducts[[#Headers],[Include or Exclude]], 40)</f>
        <v/>
      </c>
      <c r="W137" s="54" t="str" cm="1">
        <f t="array" ref="W137">Common_InputFunctions.Utility_DisplayArrayInTable(Fertiliser_SourceData.Fertiliser_Products_Data3(),FertiliserProducts[[#Headers],[Include or Exclude]], 40)</f>
        <v>Crop Nutrition Solutions (Yara Australia)</v>
      </c>
      <c r="X137" s="54" t="str" cm="1">
        <f t="array" ref="X137">Common_InputFunctions.Utility_DisplayArrayInTable(Fertiliser_SourceData.Fertiliser_Products_Data3(),FertiliserProducts[[#Headers],[Include or Exclude]], 40)</f>
        <v/>
      </c>
      <c r="Y137" s="54" t="str" cm="1">
        <f t="array" ref="Y137">Common_InputFunctions.Utility_DisplayArrayInTable(Fertiliser_SourceData.Fertiliser_Products_Data3(),FertiliserProducts[[#Headers],[Include or Exclude]], 40)</f>
        <v/>
      </c>
      <c r="Z137" s="54" t="str" cm="1">
        <f t="array" ref="Z137">Common_InputFunctions.Utility_DisplayArrayInTable(Fertiliser_SourceData.Fertiliser_Products_Data3(),FertiliserProducts[[#Headers],[Include or Exclude]], 40)</f>
        <v/>
      </c>
      <c r="AA137" s="10" t="str" cm="1">
        <f t="array" ref="AA137">Common_InputFunctions.Utility_DisplayArrayInTable(Fertiliser_SourceData.Fertiliser_Products_Data3(),FertiliserProducts[[#Headers],[Include or Exclude]], 40)</f>
        <v/>
      </c>
      <c r="AB137" s="10" t="str" cm="1">
        <f t="array" ref="AB137">Common_InputFunctions.Utility_DisplayArrayInTable(Fertiliser_SourceData.Fertiliser_Products_Data3(),FertiliserProducts[[#Headers],[Include or Exclude]], 40)</f>
        <v/>
      </c>
      <c r="AC137" s="10" t="str" cm="1">
        <f t="array" ref="AC137">Common_InputFunctions.Utility_DisplayArrayInTable(Fertiliser_SourceData.Fertiliser_Products_Data3(),FertiliserProducts[[#Headers],[Include or Exclude]], 40)</f>
        <v/>
      </c>
      <c r="AD137" s="10" t="str" cm="1">
        <f t="array" ref="AD137">Common_InputFunctions.Utility_DisplayArrayInTable(Fertiliser_SourceData.Fertiliser_Products_Data3(),FertiliserProducts[[#Headers],[Include or Exclude]], 40)</f>
        <v/>
      </c>
      <c r="AE137" s="10" t="str" cm="1">
        <f t="array" ref="AE137">Common_InputFunctions.Utility_DisplayArrayInTable(Fertiliser_SourceData.Fertiliser_Products_Data3(),FertiliserProducts[[#Headers],[Include or Exclude]], 40)</f>
        <v/>
      </c>
    </row>
    <row r="138" spans="4:31" ht="20.100000000000001" customHeight="1" x14ac:dyDescent="0.25">
      <c r="D138" s="54" t="str" cm="1">
        <f t="array" ref="D138">Common_InputFunctions.Utility_DisplayArrayInTable(Fertiliser_SourceData.Fertiliser_Products_Data3(),FertiliserProducts[[#Headers],[Include or Exclude]], 40)</f>
        <v>Yara Liquids N26</v>
      </c>
      <c r="E138" s="54" t="str" cm="1">
        <f t="array" ref="E138">Common_InputFunctions.Utility_DisplayArrayInTable(Fertiliser_SourceData.Fertiliser_Products_Data3(),FertiliserProducts[[#Headers],[Include or Exclude]], 40)</f>
        <v/>
      </c>
      <c r="F138" s="54" t="str" cm="1">
        <f t="array" ref="F138">Common_InputFunctions.Utility_DisplayArrayInTable(Fertiliser_SourceData.Fertiliser_Products_Data3(),FertiliserProducts[[#Headers],[Include or Exclude]], 40)</f>
        <v/>
      </c>
      <c r="G138" s="54" t="str" cm="1">
        <f t="array" ref="G138">Common_InputFunctions.Utility_DisplayArrayInTable(Fertiliser_SourceData.Fertiliser_Products_Data3(),FertiliserProducts[[#Headers],[Include or Exclude]], 40)</f>
        <v/>
      </c>
      <c r="H138" s="54" t="str" cm="1">
        <f t="array" ref="H138">Common_InputFunctions.Utility_DisplayArrayInTable(Fertiliser_SourceData.Fertiliser_Products_Data3(),FertiliserProducts[[#Headers],[Include or Exclude]], 40)</f>
        <v/>
      </c>
      <c r="I138" s="54" t="str" cm="1">
        <f t="array" ref="I138">Common_InputFunctions.Utility_DisplayArrayInTable(Fertiliser_SourceData.Fertiliser_Products_Data3(),FertiliserProducts[[#Headers],[Include or Exclude]], 40)</f>
        <v/>
      </c>
      <c r="J138" s="54" t="str" cm="1">
        <f t="array" ref="J138">Common_InputFunctions.Utility_DisplayArrayInTable(Fertiliser_SourceData.Fertiliser_Products_Data3(),FertiliserProducts[[#Headers],[Include or Exclude]], 40)</f>
        <v/>
      </c>
      <c r="K138" s="54" t="str" cm="1">
        <f t="array" ref="K138">Common_InputFunctions.Utility_DisplayArrayInTable(Fertiliser_SourceData.Fertiliser_Products_Data3(),FertiliserProducts[[#Headers],[Include or Exclude]], 40)</f>
        <v/>
      </c>
      <c r="L138" s="54" t="str" cm="1">
        <f t="array" ref="L138">Common_InputFunctions.Utility_DisplayArrayInTable(Fertiliser_SourceData.Fertiliser_Products_Data3(),FertiliserProducts[[#Headers],[Include or Exclude]], 40)</f>
        <v/>
      </c>
      <c r="M138" s="54" t="str" cm="1">
        <f t="array" ref="M138">Common_InputFunctions.Utility_DisplayArrayInTable(Fertiliser_SourceData.Fertiliser_Products_Data3(),FertiliserProducts[[#Headers],[Include or Exclude]], 40)</f>
        <v/>
      </c>
      <c r="N138" s="54" t="str" cm="1">
        <f t="array" ref="N138">Common_InputFunctions.Utility_DisplayArrayInTable(Fertiliser_SourceData.Fertiliser_Products_Data3(),FertiliserProducts[[#Headers],[Include or Exclude]], 40)</f>
        <v/>
      </c>
      <c r="O138" s="54" t="str" cm="1">
        <f t="array" ref="O138">Common_InputFunctions.Utility_DisplayArrayInTable(Fertiliser_SourceData.Fertiliser_Products_Data3(),FertiliserProducts[[#Headers],[Include or Exclude]], 40)</f>
        <v/>
      </c>
      <c r="P138" s="54" t="str" cm="1">
        <f t="array" ref="P138">Common_InputFunctions.Utility_DisplayArrayInTable(Fertiliser_SourceData.Fertiliser_Products_Data3(),FertiliserProducts[[#Headers],[Include or Exclude]], 40)</f>
        <v/>
      </c>
      <c r="Q138" s="54" t="str" cm="1">
        <f t="array" ref="Q138">Common_InputFunctions.Utility_DisplayArrayInTable(Fertiliser_SourceData.Fertiliser_Products_Data3(),FertiliserProducts[[#Headers],[Include or Exclude]], 40)</f>
        <v/>
      </c>
      <c r="R138" s="54" t="str" cm="1">
        <f t="array" ref="R138">Common_InputFunctions.Utility_DisplayArrayInTable(Fertiliser_SourceData.Fertiliser_Products_Data3(),FertiliserProducts[[#Headers],[Include or Exclude]], 40)</f>
        <v/>
      </c>
      <c r="S138" s="54" t="str" cm="1">
        <f t="array" ref="S138">Common_InputFunctions.Utility_DisplayArrayInTable(Fertiliser_SourceData.Fertiliser_Products_Data3(),FertiliserProducts[[#Headers],[Include or Exclude]], 40)</f>
        <v/>
      </c>
      <c r="T138" s="54" t="str" cm="1">
        <f t="array" ref="T138">Common_InputFunctions.Utility_DisplayArrayInTable(Fertiliser_SourceData.Fertiliser_Products_Data3(),FertiliserProducts[[#Headers],[Include or Exclude]], 40)</f>
        <v/>
      </c>
      <c r="U138" s="54" t="str" cm="1">
        <f t="array" ref="U138">Common_InputFunctions.Utility_DisplayArrayInTable(Fertiliser_SourceData.Fertiliser_Products_Data3(),FertiliserProducts[[#Headers],[Include or Exclude]], 40)</f>
        <v/>
      </c>
      <c r="V138" s="54" t="str" cm="1">
        <f t="array" ref="V138">Common_InputFunctions.Utility_DisplayArrayInTable(Fertiliser_SourceData.Fertiliser_Products_Data3(),FertiliserProducts[[#Headers],[Include or Exclude]], 40)</f>
        <v/>
      </c>
      <c r="W138" s="54" t="str" cm="1">
        <f t="array" ref="W138">Common_InputFunctions.Utility_DisplayArrayInTable(Fertiliser_SourceData.Fertiliser_Products_Data3(),FertiliserProducts[[#Headers],[Include or Exclude]], 40)</f>
        <v>Crop Nutrition Solutions (Yara Australia)</v>
      </c>
      <c r="X138" s="54" t="str" cm="1">
        <f t="array" ref="X138">Common_InputFunctions.Utility_DisplayArrayInTable(Fertiliser_SourceData.Fertiliser_Products_Data3(),FertiliserProducts[[#Headers],[Include or Exclude]], 40)</f>
        <v/>
      </c>
      <c r="Y138" s="54" t="str" cm="1">
        <f t="array" ref="Y138">Common_InputFunctions.Utility_DisplayArrayInTable(Fertiliser_SourceData.Fertiliser_Products_Data3(),FertiliserProducts[[#Headers],[Include or Exclude]], 40)</f>
        <v/>
      </c>
      <c r="Z138" s="54" t="str" cm="1">
        <f t="array" ref="Z138">Common_InputFunctions.Utility_DisplayArrayInTable(Fertiliser_SourceData.Fertiliser_Products_Data3(),FertiliserProducts[[#Headers],[Include or Exclude]], 40)</f>
        <v/>
      </c>
      <c r="AA138" s="10" t="str" cm="1">
        <f t="array" ref="AA138">Common_InputFunctions.Utility_DisplayArrayInTable(Fertiliser_SourceData.Fertiliser_Products_Data3(),FertiliserProducts[[#Headers],[Include or Exclude]], 40)</f>
        <v/>
      </c>
      <c r="AB138" s="10" t="str" cm="1">
        <f t="array" ref="AB138">Common_InputFunctions.Utility_DisplayArrayInTable(Fertiliser_SourceData.Fertiliser_Products_Data3(),FertiliserProducts[[#Headers],[Include or Exclude]], 40)</f>
        <v/>
      </c>
      <c r="AC138" s="10" t="str" cm="1">
        <f t="array" ref="AC138">Common_InputFunctions.Utility_DisplayArrayInTable(Fertiliser_SourceData.Fertiliser_Products_Data3(),FertiliserProducts[[#Headers],[Include or Exclude]], 40)</f>
        <v/>
      </c>
      <c r="AD138" s="10" t="str" cm="1">
        <f t="array" ref="AD138">Common_InputFunctions.Utility_DisplayArrayInTable(Fertiliser_SourceData.Fertiliser_Products_Data3(),FertiliserProducts[[#Headers],[Include or Exclude]], 40)</f>
        <v/>
      </c>
      <c r="AE138" s="10" t="str" cm="1">
        <f t="array" ref="AE138">Common_InputFunctions.Utility_DisplayArrayInTable(Fertiliser_SourceData.Fertiliser_Products_Data3(),FertiliserProducts[[#Headers],[Include or Exclude]], 40)</f>
        <v/>
      </c>
    </row>
    <row r="139" spans="4:31" ht="20.100000000000001" customHeight="1" x14ac:dyDescent="0.25">
      <c r="D139" s="54" t="str" cm="1">
        <f t="array" ref="D139">Common_InputFunctions.Utility_DisplayArrayInTable(Fertiliser_SourceData.Fertiliser_Products_Data3(),FertiliserProducts[[#Headers],[Include or Exclude]], 40)</f>
        <v>Yara Liquids N42</v>
      </c>
      <c r="E139" s="54" t="str" cm="1">
        <f t="array" ref="E139">Common_InputFunctions.Utility_DisplayArrayInTable(Fertiliser_SourceData.Fertiliser_Products_Data3(),FertiliserProducts[[#Headers],[Include or Exclude]], 40)</f>
        <v/>
      </c>
      <c r="F139" s="54" t="str" cm="1">
        <f t="array" ref="F139">Common_InputFunctions.Utility_DisplayArrayInTable(Fertiliser_SourceData.Fertiliser_Products_Data3(),FertiliserProducts[[#Headers],[Include or Exclude]], 40)</f>
        <v/>
      </c>
      <c r="G139" s="54" t="str" cm="1">
        <f t="array" ref="G139">Common_InputFunctions.Utility_DisplayArrayInTable(Fertiliser_SourceData.Fertiliser_Products_Data3(),FertiliserProducts[[#Headers],[Include or Exclude]], 40)</f>
        <v/>
      </c>
      <c r="H139" s="54" t="str" cm="1">
        <f t="array" ref="H139">Common_InputFunctions.Utility_DisplayArrayInTable(Fertiliser_SourceData.Fertiliser_Products_Data3(),FertiliserProducts[[#Headers],[Include or Exclude]], 40)</f>
        <v/>
      </c>
      <c r="I139" s="54" t="str" cm="1">
        <f t="array" ref="I139">Common_InputFunctions.Utility_DisplayArrayInTable(Fertiliser_SourceData.Fertiliser_Products_Data3(),FertiliserProducts[[#Headers],[Include or Exclude]], 40)</f>
        <v/>
      </c>
      <c r="J139" s="54" t="str" cm="1">
        <f t="array" ref="J139">Common_InputFunctions.Utility_DisplayArrayInTable(Fertiliser_SourceData.Fertiliser_Products_Data3(),FertiliserProducts[[#Headers],[Include or Exclude]], 40)</f>
        <v/>
      </c>
      <c r="K139" s="54" t="str" cm="1">
        <f t="array" ref="K139">Common_InputFunctions.Utility_DisplayArrayInTable(Fertiliser_SourceData.Fertiliser_Products_Data3(),FertiliserProducts[[#Headers],[Include or Exclude]], 40)</f>
        <v/>
      </c>
      <c r="L139" s="54" t="str" cm="1">
        <f t="array" ref="L139">Common_InputFunctions.Utility_DisplayArrayInTable(Fertiliser_SourceData.Fertiliser_Products_Data3(),FertiliserProducts[[#Headers],[Include or Exclude]], 40)</f>
        <v/>
      </c>
      <c r="M139" s="54" t="str" cm="1">
        <f t="array" ref="M139">Common_InputFunctions.Utility_DisplayArrayInTable(Fertiliser_SourceData.Fertiliser_Products_Data3(),FertiliserProducts[[#Headers],[Include or Exclude]], 40)</f>
        <v/>
      </c>
      <c r="N139" s="54" t="str" cm="1">
        <f t="array" ref="N139">Common_InputFunctions.Utility_DisplayArrayInTable(Fertiliser_SourceData.Fertiliser_Products_Data3(),FertiliserProducts[[#Headers],[Include or Exclude]], 40)</f>
        <v/>
      </c>
      <c r="O139" s="54" t="str" cm="1">
        <f t="array" ref="O139">Common_InputFunctions.Utility_DisplayArrayInTable(Fertiliser_SourceData.Fertiliser_Products_Data3(),FertiliserProducts[[#Headers],[Include or Exclude]], 40)</f>
        <v/>
      </c>
      <c r="P139" s="54" t="str" cm="1">
        <f t="array" ref="P139">Common_InputFunctions.Utility_DisplayArrayInTable(Fertiliser_SourceData.Fertiliser_Products_Data3(),FertiliserProducts[[#Headers],[Include or Exclude]], 40)</f>
        <v/>
      </c>
      <c r="Q139" s="54" t="str" cm="1">
        <f t="array" ref="Q139">Common_InputFunctions.Utility_DisplayArrayInTable(Fertiliser_SourceData.Fertiliser_Products_Data3(),FertiliserProducts[[#Headers],[Include or Exclude]], 40)</f>
        <v/>
      </c>
      <c r="R139" s="54" t="str" cm="1">
        <f t="array" ref="R139">Common_InputFunctions.Utility_DisplayArrayInTable(Fertiliser_SourceData.Fertiliser_Products_Data3(),FertiliserProducts[[#Headers],[Include or Exclude]], 40)</f>
        <v/>
      </c>
      <c r="S139" s="54" t="str" cm="1">
        <f t="array" ref="S139">Common_InputFunctions.Utility_DisplayArrayInTable(Fertiliser_SourceData.Fertiliser_Products_Data3(),FertiliserProducts[[#Headers],[Include or Exclude]], 40)</f>
        <v/>
      </c>
      <c r="T139" s="54" t="str" cm="1">
        <f t="array" ref="T139">Common_InputFunctions.Utility_DisplayArrayInTable(Fertiliser_SourceData.Fertiliser_Products_Data3(),FertiliserProducts[[#Headers],[Include or Exclude]], 40)</f>
        <v/>
      </c>
      <c r="U139" s="54" t="str" cm="1">
        <f t="array" ref="U139">Common_InputFunctions.Utility_DisplayArrayInTable(Fertiliser_SourceData.Fertiliser_Products_Data3(),FertiliserProducts[[#Headers],[Include or Exclude]], 40)</f>
        <v/>
      </c>
      <c r="V139" s="54" t="str" cm="1">
        <f t="array" ref="V139">Common_InputFunctions.Utility_DisplayArrayInTable(Fertiliser_SourceData.Fertiliser_Products_Data3(),FertiliserProducts[[#Headers],[Include or Exclude]], 40)</f>
        <v/>
      </c>
      <c r="W139" s="54" t="str" cm="1">
        <f t="array" ref="W139">Common_InputFunctions.Utility_DisplayArrayInTable(Fertiliser_SourceData.Fertiliser_Products_Data3(),FertiliserProducts[[#Headers],[Include or Exclude]], 40)</f>
        <v>Crop Nutrition Solutions (Yara Australia)</v>
      </c>
      <c r="X139" s="54" t="str" cm="1">
        <f t="array" ref="X139">Common_InputFunctions.Utility_DisplayArrayInTable(Fertiliser_SourceData.Fertiliser_Products_Data3(),FertiliserProducts[[#Headers],[Include or Exclude]], 40)</f>
        <v/>
      </c>
      <c r="Y139" s="54" t="str" cm="1">
        <f t="array" ref="Y139">Common_InputFunctions.Utility_DisplayArrayInTable(Fertiliser_SourceData.Fertiliser_Products_Data3(),FertiliserProducts[[#Headers],[Include or Exclude]], 40)</f>
        <v/>
      </c>
      <c r="Z139" s="54" t="str" cm="1">
        <f t="array" ref="Z139">Common_InputFunctions.Utility_DisplayArrayInTable(Fertiliser_SourceData.Fertiliser_Products_Data3(),FertiliserProducts[[#Headers],[Include or Exclude]], 40)</f>
        <v/>
      </c>
      <c r="AA139" s="10" t="str" cm="1">
        <f t="array" ref="AA139">Common_InputFunctions.Utility_DisplayArrayInTable(Fertiliser_SourceData.Fertiliser_Products_Data3(),FertiliserProducts[[#Headers],[Include or Exclude]], 40)</f>
        <v/>
      </c>
      <c r="AB139" s="10" t="str" cm="1">
        <f t="array" ref="AB139">Common_InputFunctions.Utility_DisplayArrayInTable(Fertiliser_SourceData.Fertiliser_Products_Data3(),FertiliserProducts[[#Headers],[Include or Exclude]], 40)</f>
        <v/>
      </c>
      <c r="AC139" s="10" t="str" cm="1">
        <f t="array" ref="AC139">Common_InputFunctions.Utility_DisplayArrayInTable(Fertiliser_SourceData.Fertiliser_Products_Data3(),FertiliserProducts[[#Headers],[Include or Exclude]], 40)</f>
        <v/>
      </c>
      <c r="AD139" s="10" t="str" cm="1">
        <f t="array" ref="AD139">Common_InputFunctions.Utility_DisplayArrayInTable(Fertiliser_SourceData.Fertiliser_Products_Data3(),FertiliserProducts[[#Headers],[Include or Exclude]], 40)</f>
        <v/>
      </c>
      <c r="AE139" s="10" t="str" cm="1">
        <f t="array" ref="AE139">Common_InputFunctions.Utility_DisplayArrayInTable(Fertiliser_SourceData.Fertiliser_Products_Data3(),FertiliserProducts[[#Headers],[Include or Exclude]], 40)</f>
        <v/>
      </c>
    </row>
    <row r="140" spans="4:31" ht="20.100000000000001" customHeight="1" x14ac:dyDescent="0.25">
      <c r="D140" s="54" t="str" cm="1">
        <f t="array" ref="D140">Common_InputFunctions.Utility_DisplayArrayInTable(Fertiliser_SourceData.Fertiliser_Products_Data3(),FertiliserProducts[[#Headers],[Include or Exclude]], 40)</f>
        <v>Yara Liquids N-CAL 15+18Ca</v>
      </c>
      <c r="E140" s="54" t="str" cm="1">
        <f t="array" ref="E140">Common_InputFunctions.Utility_DisplayArrayInTable(Fertiliser_SourceData.Fertiliser_Products_Data3(),FertiliserProducts[[#Headers],[Include or Exclude]], 40)</f>
        <v/>
      </c>
      <c r="F140" s="54" t="str" cm="1">
        <f t="array" ref="F140">Common_InputFunctions.Utility_DisplayArrayInTable(Fertiliser_SourceData.Fertiliser_Products_Data3(),FertiliserProducts[[#Headers],[Include or Exclude]], 40)</f>
        <v/>
      </c>
      <c r="G140" s="54" t="str" cm="1">
        <f t="array" ref="G140">Common_InputFunctions.Utility_DisplayArrayInTable(Fertiliser_SourceData.Fertiliser_Products_Data3(),FertiliserProducts[[#Headers],[Include or Exclude]], 40)</f>
        <v/>
      </c>
      <c r="H140" s="54" t="str" cm="1">
        <f t="array" ref="H140">Common_InputFunctions.Utility_DisplayArrayInTable(Fertiliser_SourceData.Fertiliser_Products_Data3(),FertiliserProducts[[#Headers],[Include or Exclude]], 40)</f>
        <v/>
      </c>
      <c r="I140" s="54" t="str" cm="1">
        <f t="array" ref="I140">Common_InputFunctions.Utility_DisplayArrayInTable(Fertiliser_SourceData.Fertiliser_Products_Data3(),FertiliserProducts[[#Headers],[Include or Exclude]], 40)</f>
        <v/>
      </c>
      <c r="J140" s="54" t="str" cm="1">
        <f t="array" ref="J140">Common_InputFunctions.Utility_DisplayArrayInTable(Fertiliser_SourceData.Fertiliser_Products_Data3(),FertiliserProducts[[#Headers],[Include or Exclude]], 40)</f>
        <v/>
      </c>
      <c r="K140" s="54" t="str" cm="1">
        <f t="array" ref="K140">Common_InputFunctions.Utility_DisplayArrayInTable(Fertiliser_SourceData.Fertiliser_Products_Data3(),FertiliserProducts[[#Headers],[Include or Exclude]], 40)</f>
        <v/>
      </c>
      <c r="L140" s="54" t="str" cm="1">
        <f t="array" ref="L140">Common_InputFunctions.Utility_DisplayArrayInTable(Fertiliser_SourceData.Fertiliser_Products_Data3(),FertiliserProducts[[#Headers],[Include or Exclude]], 40)</f>
        <v/>
      </c>
      <c r="M140" s="54" t="str" cm="1">
        <f t="array" ref="M140">Common_InputFunctions.Utility_DisplayArrayInTable(Fertiliser_SourceData.Fertiliser_Products_Data3(),FertiliserProducts[[#Headers],[Include or Exclude]], 40)</f>
        <v/>
      </c>
      <c r="N140" s="54" t="str" cm="1">
        <f t="array" ref="N140">Common_InputFunctions.Utility_DisplayArrayInTable(Fertiliser_SourceData.Fertiliser_Products_Data3(),FertiliserProducts[[#Headers],[Include or Exclude]], 40)</f>
        <v/>
      </c>
      <c r="O140" s="54" t="str" cm="1">
        <f t="array" ref="O140">Common_InputFunctions.Utility_DisplayArrayInTable(Fertiliser_SourceData.Fertiliser_Products_Data3(),FertiliserProducts[[#Headers],[Include or Exclude]], 40)</f>
        <v/>
      </c>
      <c r="P140" s="54" t="str" cm="1">
        <f t="array" ref="P140">Common_InputFunctions.Utility_DisplayArrayInTable(Fertiliser_SourceData.Fertiliser_Products_Data3(),FertiliserProducts[[#Headers],[Include or Exclude]], 40)</f>
        <v/>
      </c>
      <c r="Q140" s="54" t="str" cm="1">
        <f t="array" ref="Q140">Common_InputFunctions.Utility_DisplayArrayInTable(Fertiliser_SourceData.Fertiliser_Products_Data3(),FertiliserProducts[[#Headers],[Include or Exclude]], 40)</f>
        <v/>
      </c>
      <c r="R140" s="54" t="str" cm="1">
        <f t="array" ref="R140">Common_InputFunctions.Utility_DisplayArrayInTable(Fertiliser_SourceData.Fertiliser_Products_Data3(),FertiliserProducts[[#Headers],[Include or Exclude]], 40)</f>
        <v/>
      </c>
      <c r="S140" s="54" t="str" cm="1">
        <f t="array" ref="S140">Common_InputFunctions.Utility_DisplayArrayInTable(Fertiliser_SourceData.Fertiliser_Products_Data3(),FertiliserProducts[[#Headers],[Include or Exclude]], 40)</f>
        <v/>
      </c>
      <c r="T140" s="54" t="str" cm="1">
        <f t="array" ref="T140">Common_InputFunctions.Utility_DisplayArrayInTable(Fertiliser_SourceData.Fertiliser_Products_Data3(),FertiliserProducts[[#Headers],[Include or Exclude]], 40)</f>
        <v/>
      </c>
      <c r="U140" s="54" t="str" cm="1">
        <f t="array" ref="U140">Common_InputFunctions.Utility_DisplayArrayInTable(Fertiliser_SourceData.Fertiliser_Products_Data3(),FertiliserProducts[[#Headers],[Include or Exclude]], 40)</f>
        <v/>
      </c>
      <c r="V140" s="54" t="str" cm="1">
        <f t="array" ref="V140">Common_InputFunctions.Utility_DisplayArrayInTable(Fertiliser_SourceData.Fertiliser_Products_Data3(),FertiliserProducts[[#Headers],[Include or Exclude]], 40)</f>
        <v/>
      </c>
      <c r="W140" s="54" t="str" cm="1">
        <f t="array" ref="W140">Common_InputFunctions.Utility_DisplayArrayInTable(Fertiliser_SourceData.Fertiliser_Products_Data3(),FertiliserProducts[[#Headers],[Include or Exclude]], 40)</f>
        <v>Crop Nutrition Solutions (Yara Australia)</v>
      </c>
      <c r="X140" s="54" t="str" cm="1">
        <f t="array" ref="X140">Common_InputFunctions.Utility_DisplayArrayInTable(Fertiliser_SourceData.Fertiliser_Products_Data3(),FertiliserProducts[[#Headers],[Include or Exclude]], 40)</f>
        <v/>
      </c>
      <c r="Y140" s="54" t="str" cm="1">
        <f t="array" ref="Y140">Common_InputFunctions.Utility_DisplayArrayInTable(Fertiliser_SourceData.Fertiliser_Products_Data3(),FertiliserProducts[[#Headers],[Include or Exclude]], 40)</f>
        <v/>
      </c>
      <c r="Z140" s="54" t="str" cm="1">
        <f t="array" ref="Z140">Common_InputFunctions.Utility_DisplayArrayInTable(Fertiliser_SourceData.Fertiliser_Products_Data3(),FertiliserProducts[[#Headers],[Include or Exclude]], 40)</f>
        <v/>
      </c>
      <c r="AA140" s="10" t="str" cm="1">
        <f t="array" ref="AA140">Common_InputFunctions.Utility_DisplayArrayInTable(Fertiliser_SourceData.Fertiliser_Products_Data3(),FertiliserProducts[[#Headers],[Include or Exclude]], 40)</f>
        <v/>
      </c>
      <c r="AB140" s="10" t="str" cm="1">
        <f t="array" ref="AB140">Common_InputFunctions.Utility_DisplayArrayInTable(Fertiliser_SourceData.Fertiliser_Products_Data3(),FertiliserProducts[[#Headers],[Include or Exclude]], 40)</f>
        <v/>
      </c>
      <c r="AC140" s="10" t="str" cm="1">
        <f t="array" ref="AC140">Common_InputFunctions.Utility_DisplayArrayInTable(Fertiliser_SourceData.Fertiliser_Products_Data3(),FertiliserProducts[[#Headers],[Include or Exclude]], 40)</f>
        <v/>
      </c>
      <c r="AD140" s="10" t="str" cm="1">
        <f t="array" ref="AD140">Common_InputFunctions.Utility_DisplayArrayInTable(Fertiliser_SourceData.Fertiliser_Products_Data3(),FertiliserProducts[[#Headers],[Include or Exclude]], 40)</f>
        <v/>
      </c>
      <c r="AE140" s="10" t="str" cm="1">
        <f t="array" ref="AE140">Common_InputFunctions.Utility_DisplayArrayInTable(Fertiliser_SourceData.Fertiliser_Products_Data3(),FertiliserProducts[[#Headers],[Include or Exclude]], 40)</f>
        <v/>
      </c>
    </row>
    <row r="141" spans="4:31" ht="20.100000000000001" customHeight="1" x14ac:dyDescent="0.25">
      <c r="D141" s="54" t="str" cm="1">
        <f t="array" ref="D141">Common_InputFunctions.Utility_DisplayArrayInTable(Fertiliser_SourceData.Fertiliser_Products_Data3(),FertiliserProducts[[#Headers],[Include or Exclude]], 40)</f>
        <v>Yara Liquids N-CAL 20+10Ca+B</v>
      </c>
      <c r="E141" s="54" t="str" cm="1">
        <f t="array" ref="E141">Common_InputFunctions.Utility_DisplayArrayInTable(Fertiliser_SourceData.Fertiliser_Products_Data3(),FertiliserProducts[[#Headers],[Include or Exclude]], 40)</f>
        <v/>
      </c>
      <c r="F141" s="54" t="str" cm="1">
        <f t="array" ref="F141">Common_InputFunctions.Utility_DisplayArrayInTable(Fertiliser_SourceData.Fertiliser_Products_Data3(),FertiliserProducts[[#Headers],[Include or Exclude]], 40)</f>
        <v/>
      </c>
      <c r="G141" s="54" t="str" cm="1">
        <f t="array" ref="G141">Common_InputFunctions.Utility_DisplayArrayInTable(Fertiliser_SourceData.Fertiliser_Products_Data3(),FertiliserProducts[[#Headers],[Include or Exclude]], 40)</f>
        <v/>
      </c>
      <c r="H141" s="54" t="str" cm="1">
        <f t="array" ref="H141">Common_InputFunctions.Utility_DisplayArrayInTable(Fertiliser_SourceData.Fertiliser_Products_Data3(),FertiliserProducts[[#Headers],[Include or Exclude]], 40)</f>
        <v/>
      </c>
      <c r="I141" s="54" t="str" cm="1">
        <f t="array" ref="I141">Common_InputFunctions.Utility_DisplayArrayInTable(Fertiliser_SourceData.Fertiliser_Products_Data3(),FertiliserProducts[[#Headers],[Include or Exclude]], 40)</f>
        <v/>
      </c>
      <c r="J141" s="54" t="str" cm="1">
        <f t="array" ref="J141">Common_InputFunctions.Utility_DisplayArrayInTable(Fertiliser_SourceData.Fertiliser_Products_Data3(),FertiliserProducts[[#Headers],[Include or Exclude]], 40)</f>
        <v/>
      </c>
      <c r="K141" s="54" t="str" cm="1">
        <f t="array" ref="K141">Common_InputFunctions.Utility_DisplayArrayInTable(Fertiliser_SourceData.Fertiliser_Products_Data3(),FertiliserProducts[[#Headers],[Include or Exclude]], 40)</f>
        <v/>
      </c>
      <c r="L141" s="54" t="str" cm="1">
        <f t="array" ref="L141">Common_InputFunctions.Utility_DisplayArrayInTable(Fertiliser_SourceData.Fertiliser_Products_Data3(),FertiliserProducts[[#Headers],[Include or Exclude]], 40)</f>
        <v/>
      </c>
      <c r="M141" s="54" t="str" cm="1">
        <f t="array" ref="M141">Common_InputFunctions.Utility_DisplayArrayInTable(Fertiliser_SourceData.Fertiliser_Products_Data3(),FertiliserProducts[[#Headers],[Include or Exclude]], 40)</f>
        <v/>
      </c>
      <c r="N141" s="54" t="str" cm="1">
        <f t="array" ref="N141">Common_InputFunctions.Utility_DisplayArrayInTable(Fertiliser_SourceData.Fertiliser_Products_Data3(),FertiliserProducts[[#Headers],[Include or Exclude]], 40)</f>
        <v/>
      </c>
      <c r="O141" s="54" t="str" cm="1">
        <f t="array" ref="O141">Common_InputFunctions.Utility_DisplayArrayInTable(Fertiliser_SourceData.Fertiliser_Products_Data3(),FertiliserProducts[[#Headers],[Include or Exclude]], 40)</f>
        <v/>
      </c>
      <c r="P141" s="54" t="str" cm="1">
        <f t="array" ref="P141">Common_InputFunctions.Utility_DisplayArrayInTable(Fertiliser_SourceData.Fertiliser_Products_Data3(),FertiliserProducts[[#Headers],[Include or Exclude]], 40)</f>
        <v/>
      </c>
      <c r="Q141" s="54" t="str" cm="1">
        <f t="array" ref="Q141">Common_InputFunctions.Utility_DisplayArrayInTable(Fertiliser_SourceData.Fertiliser_Products_Data3(),FertiliserProducts[[#Headers],[Include or Exclude]], 40)</f>
        <v/>
      </c>
      <c r="R141" s="54" t="str" cm="1">
        <f t="array" ref="R141">Common_InputFunctions.Utility_DisplayArrayInTable(Fertiliser_SourceData.Fertiliser_Products_Data3(),FertiliserProducts[[#Headers],[Include or Exclude]], 40)</f>
        <v/>
      </c>
      <c r="S141" s="54" t="str" cm="1">
        <f t="array" ref="S141">Common_InputFunctions.Utility_DisplayArrayInTable(Fertiliser_SourceData.Fertiliser_Products_Data3(),FertiliserProducts[[#Headers],[Include or Exclude]], 40)</f>
        <v/>
      </c>
      <c r="T141" s="54" t="str" cm="1">
        <f t="array" ref="T141">Common_InputFunctions.Utility_DisplayArrayInTable(Fertiliser_SourceData.Fertiliser_Products_Data3(),FertiliserProducts[[#Headers],[Include or Exclude]], 40)</f>
        <v/>
      </c>
      <c r="U141" s="54" t="str" cm="1">
        <f t="array" ref="U141">Common_InputFunctions.Utility_DisplayArrayInTable(Fertiliser_SourceData.Fertiliser_Products_Data3(),FertiliserProducts[[#Headers],[Include or Exclude]], 40)</f>
        <v/>
      </c>
      <c r="V141" s="54" t="str" cm="1">
        <f t="array" ref="V141">Common_InputFunctions.Utility_DisplayArrayInTable(Fertiliser_SourceData.Fertiliser_Products_Data3(),FertiliserProducts[[#Headers],[Include or Exclude]], 40)</f>
        <v/>
      </c>
      <c r="W141" s="54" t="str" cm="1">
        <f t="array" ref="W141">Common_InputFunctions.Utility_DisplayArrayInTable(Fertiliser_SourceData.Fertiliser_Products_Data3(),FertiliserProducts[[#Headers],[Include or Exclude]], 40)</f>
        <v>Crop Nutrition Solutions (Yara Australia)</v>
      </c>
      <c r="X141" s="54" t="str" cm="1">
        <f t="array" ref="X141">Common_InputFunctions.Utility_DisplayArrayInTable(Fertiliser_SourceData.Fertiliser_Products_Data3(),FertiliserProducts[[#Headers],[Include or Exclude]], 40)</f>
        <v/>
      </c>
      <c r="Y141" s="54" t="str" cm="1">
        <f t="array" ref="Y141">Common_InputFunctions.Utility_DisplayArrayInTable(Fertiliser_SourceData.Fertiliser_Products_Data3(),FertiliserProducts[[#Headers],[Include or Exclude]], 40)</f>
        <v/>
      </c>
      <c r="Z141" s="54" t="str" cm="1">
        <f t="array" ref="Z141">Common_InputFunctions.Utility_DisplayArrayInTable(Fertiliser_SourceData.Fertiliser_Products_Data3(),FertiliserProducts[[#Headers],[Include or Exclude]], 40)</f>
        <v/>
      </c>
      <c r="AA141" s="10" t="str" cm="1">
        <f t="array" ref="AA141">Common_InputFunctions.Utility_DisplayArrayInTable(Fertiliser_SourceData.Fertiliser_Products_Data3(),FertiliserProducts[[#Headers],[Include or Exclude]], 40)</f>
        <v/>
      </c>
      <c r="AB141" s="10" t="str" cm="1">
        <f t="array" ref="AB141">Common_InputFunctions.Utility_DisplayArrayInTable(Fertiliser_SourceData.Fertiliser_Products_Data3(),FertiliserProducts[[#Headers],[Include or Exclude]], 40)</f>
        <v/>
      </c>
      <c r="AC141" s="10" t="str" cm="1">
        <f t="array" ref="AC141">Common_InputFunctions.Utility_DisplayArrayInTable(Fertiliser_SourceData.Fertiliser_Products_Data3(),FertiliserProducts[[#Headers],[Include or Exclude]], 40)</f>
        <v/>
      </c>
      <c r="AD141" s="10" t="str" cm="1">
        <f t="array" ref="AD141">Common_InputFunctions.Utility_DisplayArrayInTable(Fertiliser_SourceData.Fertiliser_Products_Data3(),FertiliserProducts[[#Headers],[Include or Exclude]], 40)</f>
        <v/>
      </c>
      <c r="AE141" s="10" t="str" cm="1">
        <f t="array" ref="AE141">Common_InputFunctions.Utility_DisplayArrayInTable(Fertiliser_SourceData.Fertiliser_Products_Data3(),FertiliserProducts[[#Headers],[Include or Exclude]], 40)</f>
        <v/>
      </c>
    </row>
    <row r="142" spans="4:31" ht="20.100000000000001" customHeight="1" x14ac:dyDescent="0.25">
      <c r="D142" s="54" t="str" cm="1">
        <f t="array" ref="D142">Common_InputFunctions.Utility_DisplayArrayInTable(Fertiliser_SourceData.Fertiliser_Products_Data3(),FertiliserProducts[[#Headers],[Include or Exclude]], 40)</f>
        <v>Yara Liquids N-CAL 35+6Ca</v>
      </c>
      <c r="E142" s="54" t="str" cm="1">
        <f t="array" ref="E142">Common_InputFunctions.Utility_DisplayArrayInTable(Fertiliser_SourceData.Fertiliser_Products_Data3(),FertiliserProducts[[#Headers],[Include or Exclude]], 40)</f>
        <v/>
      </c>
      <c r="F142" s="54" t="str" cm="1">
        <f t="array" ref="F142">Common_InputFunctions.Utility_DisplayArrayInTable(Fertiliser_SourceData.Fertiliser_Products_Data3(),FertiliserProducts[[#Headers],[Include or Exclude]], 40)</f>
        <v/>
      </c>
      <c r="G142" s="54" t="str" cm="1">
        <f t="array" ref="G142">Common_InputFunctions.Utility_DisplayArrayInTable(Fertiliser_SourceData.Fertiliser_Products_Data3(),FertiliserProducts[[#Headers],[Include or Exclude]], 40)</f>
        <v/>
      </c>
      <c r="H142" s="54" t="str" cm="1">
        <f t="array" ref="H142">Common_InputFunctions.Utility_DisplayArrayInTable(Fertiliser_SourceData.Fertiliser_Products_Data3(),FertiliserProducts[[#Headers],[Include or Exclude]], 40)</f>
        <v/>
      </c>
      <c r="I142" s="54" t="str" cm="1">
        <f t="array" ref="I142">Common_InputFunctions.Utility_DisplayArrayInTable(Fertiliser_SourceData.Fertiliser_Products_Data3(),FertiliserProducts[[#Headers],[Include or Exclude]], 40)</f>
        <v/>
      </c>
      <c r="J142" s="54" t="str" cm="1">
        <f t="array" ref="J142">Common_InputFunctions.Utility_DisplayArrayInTable(Fertiliser_SourceData.Fertiliser_Products_Data3(),FertiliserProducts[[#Headers],[Include or Exclude]], 40)</f>
        <v/>
      </c>
      <c r="K142" s="54" t="str" cm="1">
        <f t="array" ref="K142">Common_InputFunctions.Utility_DisplayArrayInTable(Fertiliser_SourceData.Fertiliser_Products_Data3(),FertiliserProducts[[#Headers],[Include or Exclude]], 40)</f>
        <v/>
      </c>
      <c r="L142" s="54" t="str" cm="1">
        <f t="array" ref="L142">Common_InputFunctions.Utility_DisplayArrayInTable(Fertiliser_SourceData.Fertiliser_Products_Data3(),FertiliserProducts[[#Headers],[Include or Exclude]], 40)</f>
        <v/>
      </c>
      <c r="M142" s="54" t="str" cm="1">
        <f t="array" ref="M142">Common_InputFunctions.Utility_DisplayArrayInTable(Fertiliser_SourceData.Fertiliser_Products_Data3(),FertiliserProducts[[#Headers],[Include or Exclude]], 40)</f>
        <v/>
      </c>
      <c r="N142" s="54" t="str" cm="1">
        <f t="array" ref="N142">Common_InputFunctions.Utility_DisplayArrayInTable(Fertiliser_SourceData.Fertiliser_Products_Data3(),FertiliserProducts[[#Headers],[Include or Exclude]], 40)</f>
        <v/>
      </c>
      <c r="O142" s="54" t="str" cm="1">
        <f t="array" ref="O142">Common_InputFunctions.Utility_DisplayArrayInTable(Fertiliser_SourceData.Fertiliser_Products_Data3(),FertiliserProducts[[#Headers],[Include or Exclude]], 40)</f>
        <v/>
      </c>
      <c r="P142" s="54" t="str" cm="1">
        <f t="array" ref="P142">Common_InputFunctions.Utility_DisplayArrayInTable(Fertiliser_SourceData.Fertiliser_Products_Data3(),FertiliserProducts[[#Headers],[Include or Exclude]], 40)</f>
        <v/>
      </c>
      <c r="Q142" s="54" t="str" cm="1">
        <f t="array" ref="Q142">Common_InputFunctions.Utility_DisplayArrayInTable(Fertiliser_SourceData.Fertiliser_Products_Data3(),FertiliserProducts[[#Headers],[Include or Exclude]], 40)</f>
        <v/>
      </c>
      <c r="R142" s="54" t="str" cm="1">
        <f t="array" ref="R142">Common_InputFunctions.Utility_DisplayArrayInTable(Fertiliser_SourceData.Fertiliser_Products_Data3(),FertiliserProducts[[#Headers],[Include or Exclude]], 40)</f>
        <v/>
      </c>
      <c r="S142" s="54" t="str" cm="1">
        <f t="array" ref="S142">Common_InputFunctions.Utility_DisplayArrayInTable(Fertiliser_SourceData.Fertiliser_Products_Data3(),FertiliserProducts[[#Headers],[Include or Exclude]], 40)</f>
        <v/>
      </c>
      <c r="T142" s="54" t="str" cm="1">
        <f t="array" ref="T142">Common_InputFunctions.Utility_DisplayArrayInTable(Fertiliser_SourceData.Fertiliser_Products_Data3(),FertiliserProducts[[#Headers],[Include or Exclude]], 40)</f>
        <v/>
      </c>
      <c r="U142" s="54" t="str" cm="1">
        <f t="array" ref="U142">Common_InputFunctions.Utility_DisplayArrayInTable(Fertiliser_SourceData.Fertiliser_Products_Data3(),FertiliserProducts[[#Headers],[Include or Exclude]], 40)</f>
        <v/>
      </c>
      <c r="V142" s="54" t="str" cm="1">
        <f t="array" ref="V142">Common_InputFunctions.Utility_DisplayArrayInTable(Fertiliser_SourceData.Fertiliser_Products_Data3(),FertiliserProducts[[#Headers],[Include or Exclude]], 40)</f>
        <v/>
      </c>
      <c r="W142" s="54" t="str" cm="1">
        <f t="array" ref="W142">Common_InputFunctions.Utility_DisplayArrayInTable(Fertiliser_SourceData.Fertiliser_Products_Data3(),FertiliserProducts[[#Headers],[Include or Exclude]], 40)</f>
        <v>Crop Nutrition Solutions (Yara Australia)</v>
      </c>
      <c r="X142" s="54" t="str" cm="1">
        <f t="array" ref="X142">Common_InputFunctions.Utility_DisplayArrayInTable(Fertiliser_SourceData.Fertiliser_Products_Data3(),FertiliserProducts[[#Headers],[Include or Exclude]], 40)</f>
        <v/>
      </c>
      <c r="Y142" s="54" t="str" cm="1">
        <f t="array" ref="Y142">Common_InputFunctions.Utility_DisplayArrayInTable(Fertiliser_SourceData.Fertiliser_Products_Data3(),FertiliserProducts[[#Headers],[Include or Exclude]], 40)</f>
        <v/>
      </c>
      <c r="Z142" s="54" t="str" cm="1">
        <f t="array" ref="Z142">Common_InputFunctions.Utility_DisplayArrayInTable(Fertiliser_SourceData.Fertiliser_Products_Data3(),FertiliserProducts[[#Headers],[Include or Exclude]], 40)</f>
        <v/>
      </c>
      <c r="AA142" s="10" t="str" cm="1">
        <f t="array" ref="AA142">Common_InputFunctions.Utility_DisplayArrayInTable(Fertiliser_SourceData.Fertiliser_Products_Data3(),FertiliserProducts[[#Headers],[Include or Exclude]], 40)</f>
        <v/>
      </c>
      <c r="AB142" s="10" t="str" cm="1">
        <f t="array" ref="AB142">Common_InputFunctions.Utility_DisplayArrayInTable(Fertiliser_SourceData.Fertiliser_Products_Data3(),FertiliserProducts[[#Headers],[Include or Exclude]], 40)</f>
        <v/>
      </c>
      <c r="AC142" s="10" t="str" cm="1">
        <f t="array" ref="AC142">Common_InputFunctions.Utility_DisplayArrayInTable(Fertiliser_SourceData.Fertiliser_Products_Data3(),FertiliserProducts[[#Headers],[Include or Exclude]], 40)</f>
        <v/>
      </c>
      <c r="AD142" s="10" t="str" cm="1">
        <f t="array" ref="AD142">Common_InputFunctions.Utility_DisplayArrayInTable(Fertiliser_SourceData.Fertiliser_Products_Data3(),FertiliserProducts[[#Headers],[Include or Exclude]], 40)</f>
        <v/>
      </c>
      <c r="AE142" s="10" t="str" cm="1">
        <f t="array" ref="AE142">Common_InputFunctions.Utility_DisplayArrayInTable(Fertiliser_SourceData.Fertiliser_Products_Data3(),FertiliserProducts[[#Headers],[Include or Exclude]], 40)</f>
        <v/>
      </c>
    </row>
    <row r="143" spans="4:31" ht="20.100000000000001" customHeight="1" x14ac:dyDescent="0.25">
      <c r="D143" s="54" t="str" cm="1">
        <f t="array" ref="D143">Common_InputFunctions.Utility_DisplayArrayInTable(Fertiliser_SourceData.Fertiliser_Products_Data3(),FertiliserProducts[[#Headers],[Include or Exclude]], 40)</f>
        <v>Yara Liquids N-FOL 24</v>
      </c>
      <c r="E143" s="54" t="str" cm="1">
        <f t="array" ref="E143">Common_InputFunctions.Utility_DisplayArrayInTable(Fertiliser_SourceData.Fertiliser_Products_Data3(),FertiliserProducts[[#Headers],[Include or Exclude]], 40)</f>
        <v/>
      </c>
      <c r="F143" s="54" t="str" cm="1">
        <f t="array" ref="F143">Common_InputFunctions.Utility_DisplayArrayInTable(Fertiliser_SourceData.Fertiliser_Products_Data3(),FertiliserProducts[[#Headers],[Include or Exclude]], 40)</f>
        <v/>
      </c>
      <c r="G143" s="54" t="str" cm="1">
        <f t="array" ref="G143">Common_InputFunctions.Utility_DisplayArrayInTable(Fertiliser_SourceData.Fertiliser_Products_Data3(),FertiliserProducts[[#Headers],[Include or Exclude]], 40)</f>
        <v/>
      </c>
      <c r="H143" s="54" t="str" cm="1">
        <f t="array" ref="H143">Common_InputFunctions.Utility_DisplayArrayInTable(Fertiliser_SourceData.Fertiliser_Products_Data3(),FertiliserProducts[[#Headers],[Include or Exclude]], 40)</f>
        <v/>
      </c>
      <c r="I143" s="54" t="str" cm="1">
        <f t="array" ref="I143">Common_InputFunctions.Utility_DisplayArrayInTable(Fertiliser_SourceData.Fertiliser_Products_Data3(),FertiliserProducts[[#Headers],[Include or Exclude]], 40)</f>
        <v/>
      </c>
      <c r="J143" s="54" t="str" cm="1">
        <f t="array" ref="J143">Common_InputFunctions.Utility_DisplayArrayInTable(Fertiliser_SourceData.Fertiliser_Products_Data3(),FertiliserProducts[[#Headers],[Include or Exclude]], 40)</f>
        <v/>
      </c>
      <c r="K143" s="54" t="str" cm="1">
        <f t="array" ref="K143">Common_InputFunctions.Utility_DisplayArrayInTable(Fertiliser_SourceData.Fertiliser_Products_Data3(),FertiliserProducts[[#Headers],[Include or Exclude]], 40)</f>
        <v/>
      </c>
      <c r="L143" s="54" t="str" cm="1">
        <f t="array" ref="L143">Common_InputFunctions.Utility_DisplayArrayInTable(Fertiliser_SourceData.Fertiliser_Products_Data3(),FertiliserProducts[[#Headers],[Include or Exclude]], 40)</f>
        <v/>
      </c>
      <c r="M143" s="54" t="str" cm="1">
        <f t="array" ref="M143">Common_InputFunctions.Utility_DisplayArrayInTable(Fertiliser_SourceData.Fertiliser_Products_Data3(),FertiliserProducts[[#Headers],[Include or Exclude]], 40)</f>
        <v/>
      </c>
      <c r="N143" s="54" t="str" cm="1">
        <f t="array" ref="N143">Common_InputFunctions.Utility_DisplayArrayInTable(Fertiliser_SourceData.Fertiliser_Products_Data3(),FertiliserProducts[[#Headers],[Include or Exclude]], 40)</f>
        <v/>
      </c>
      <c r="O143" s="54" t="str" cm="1">
        <f t="array" ref="O143">Common_InputFunctions.Utility_DisplayArrayInTable(Fertiliser_SourceData.Fertiliser_Products_Data3(),FertiliserProducts[[#Headers],[Include or Exclude]], 40)</f>
        <v/>
      </c>
      <c r="P143" s="54" t="str" cm="1">
        <f t="array" ref="P143">Common_InputFunctions.Utility_DisplayArrayInTable(Fertiliser_SourceData.Fertiliser_Products_Data3(),FertiliserProducts[[#Headers],[Include or Exclude]], 40)</f>
        <v/>
      </c>
      <c r="Q143" s="54" t="str" cm="1">
        <f t="array" ref="Q143">Common_InputFunctions.Utility_DisplayArrayInTable(Fertiliser_SourceData.Fertiliser_Products_Data3(),FertiliserProducts[[#Headers],[Include or Exclude]], 40)</f>
        <v/>
      </c>
      <c r="R143" s="54" t="str" cm="1">
        <f t="array" ref="R143">Common_InputFunctions.Utility_DisplayArrayInTable(Fertiliser_SourceData.Fertiliser_Products_Data3(),FertiliserProducts[[#Headers],[Include or Exclude]], 40)</f>
        <v/>
      </c>
      <c r="S143" s="54" t="str" cm="1">
        <f t="array" ref="S143">Common_InputFunctions.Utility_DisplayArrayInTable(Fertiliser_SourceData.Fertiliser_Products_Data3(),FertiliserProducts[[#Headers],[Include or Exclude]], 40)</f>
        <v/>
      </c>
      <c r="T143" s="54" t="str" cm="1">
        <f t="array" ref="T143">Common_InputFunctions.Utility_DisplayArrayInTable(Fertiliser_SourceData.Fertiliser_Products_Data3(),FertiliserProducts[[#Headers],[Include or Exclude]], 40)</f>
        <v/>
      </c>
      <c r="U143" s="54" t="str" cm="1">
        <f t="array" ref="U143">Common_InputFunctions.Utility_DisplayArrayInTable(Fertiliser_SourceData.Fertiliser_Products_Data3(),FertiliserProducts[[#Headers],[Include or Exclude]], 40)</f>
        <v/>
      </c>
      <c r="V143" s="54" t="str" cm="1">
        <f t="array" ref="V143">Common_InputFunctions.Utility_DisplayArrayInTable(Fertiliser_SourceData.Fertiliser_Products_Data3(),FertiliserProducts[[#Headers],[Include or Exclude]], 40)</f>
        <v/>
      </c>
      <c r="W143" s="54" t="str" cm="1">
        <f t="array" ref="W143">Common_InputFunctions.Utility_DisplayArrayInTable(Fertiliser_SourceData.Fertiliser_Products_Data3(),FertiliserProducts[[#Headers],[Include or Exclude]], 40)</f>
        <v>Crop Nutrition Solutions (Yara Australia)</v>
      </c>
      <c r="X143" s="54" t="str" cm="1">
        <f t="array" ref="X143">Common_InputFunctions.Utility_DisplayArrayInTable(Fertiliser_SourceData.Fertiliser_Products_Data3(),FertiliserProducts[[#Headers],[Include or Exclude]], 40)</f>
        <v/>
      </c>
      <c r="Y143" s="54" t="str" cm="1">
        <f t="array" ref="Y143">Common_InputFunctions.Utility_DisplayArrayInTable(Fertiliser_SourceData.Fertiliser_Products_Data3(),FertiliserProducts[[#Headers],[Include or Exclude]], 40)</f>
        <v/>
      </c>
      <c r="Z143" s="54" t="str" cm="1">
        <f t="array" ref="Z143">Common_InputFunctions.Utility_DisplayArrayInTable(Fertiliser_SourceData.Fertiliser_Products_Data3(),FertiliserProducts[[#Headers],[Include or Exclude]], 40)</f>
        <v/>
      </c>
      <c r="AA143" s="10" t="str" cm="1">
        <f t="array" ref="AA143">Common_InputFunctions.Utility_DisplayArrayInTable(Fertiliser_SourceData.Fertiliser_Products_Data3(),FertiliserProducts[[#Headers],[Include or Exclude]], 40)</f>
        <v/>
      </c>
      <c r="AB143" s="10" t="str" cm="1">
        <f t="array" ref="AB143">Common_InputFunctions.Utility_DisplayArrayInTable(Fertiliser_SourceData.Fertiliser_Products_Data3(),FertiliserProducts[[#Headers],[Include or Exclude]], 40)</f>
        <v/>
      </c>
      <c r="AC143" s="10" t="str" cm="1">
        <f t="array" ref="AC143">Common_InputFunctions.Utility_DisplayArrayInTable(Fertiliser_SourceData.Fertiliser_Products_Data3(),FertiliserProducts[[#Headers],[Include or Exclude]], 40)</f>
        <v/>
      </c>
      <c r="AD143" s="10" t="str" cm="1">
        <f t="array" ref="AD143">Common_InputFunctions.Utility_DisplayArrayInTable(Fertiliser_SourceData.Fertiliser_Products_Data3(),FertiliserProducts[[#Headers],[Include or Exclude]], 40)</f>
        <v/>
      </c>
      <c r="AE143" s="10" t="str" cm="1">
        <f t="array" ref="AE143">Common_InputFunctions.Utility_DisplayArrayInTable(Fertiliser_SourceData.Fertiliser_Products_Data3(),FertiliserProducts[[#Headers],[Include or Exclude]], 40)</f>
        <v/>
      </c>
    </row>
    <row r="144" spans="4:31" ht="20.100000000000001" customHeight="1" x14ac:dyDescent="0.25">
      <c r="D144" s="54" t="str" cm="1">
        <f t="array" ref="D144">Common_InputFunctions.Utility_DisplayArrayInTable(Fertiliser_SourceData.Fertiliser_Products_Data3(),FertiliserProducts[[#Headers],[Include or Exclude]], 40)</f>
        <v>Yara Liquids N-FOL 24+TE</v>
      </c>
      <c r="E144" s="54" t="str" cm="1">
        <f t="array" ref="E144">Common_InputFunctions.Utility_DisplayArrayInTable(Fertiliser_SourceData.Fertiliser_Products_Data3(),FertiliserProducts[[#Headers],[Include or Exclude]], 40)</f>
        <v/>
      </c>
      <c r="F144" s="54" t="str" cm="1">
        <f t="array" ref="F144">Common_InputFunctions.Utility_DisplayArrayInTable(Fertiliser_SourceData.Fertiliser_Products_Data3(),FertiliserProducts[[#Headers],[Include or Exclude]], 40)</f>
        <v/>
      </c>
      <c r="G144" s="54" t="str" cm="1">
        <f t="array" ref="G144">Common_InputFunctions.Utility_DisplayArrayInTable(Fertiliser_SourceData.Fertiliser_Products_Data3(),FertiliserProducts[[#Headers],[Include or Exclude]], 40)</f>
        <v/>
      </c>
      <c r="H144" s="54" t="str" cm="1">
        <f t="array" ref="H144">Common_InputFunctions.Utility_DisplayArrayInTable(Fertiliser_SourceData.Fertiliser_Products_Data3(),FertiliserProducts[[#Headers],[Include or Exclude]], 40)</f>
        <v/>
      </c>
      <c r="I144" s="54" t="str" cm="1">
        <f t="array" ref="I144">Common_InputFunctions.Utility_DisplayArrayInTable(Fertiliser_SourceData.Fertiliser_Products_Data3(),FertiliserProducts[[#Headers],[Include or Exclude]], 40)</f>
        <v/>
      </c>
      <c r="J144" s="54" t="str" cm="1">
        <f t="array" ref="J144">Common_InputFunctions.Utility_DisplayArrayInTable(Fertiliser_SourceData.Fertiliser_Products_Data3(),FertiliserProducts[[#Headers],[Include or Exclude]], 40)</f>
        <v/>
      </c>
      <c r="K144" s="54" t="str" cm="1">
        <f t="array" ref="K144">Common_InputFunctions.Utility_DisplayArrayInTable(Fertiliser_SourceData.Fertiliser_Products_Data3(),FertiliserProducts[[#Headers],[Include or Exclude]], 40)</f>
        <v/>
      </c>
      <c r="L144" s="54" t="str" cm="1">
        <f t="array" ref="L144">Common_InputFunctions.Utility_DisplayArrayInTable(Fertiliser_SourceData.Fertiliser_Products_Data3(),FertiliserProducts[[#Headers],[Include or Exclude]], 40)</f>
        <v/>
      </c>
      <c r="M144" s="54" t="str" cm="1">
        <f t="array" ref="M144">Common_InputFunctions.Utility_DisplayArrayInTable(Fertiliser_SourceData.Fertiliser_Products_Data3(),FertiliserProducts[[#Headers],[Include or Exclude]], 40)</f>
        <v/>
      </c>
      <c r="N144" s="54" t="str" cm="1">
        <f t="array" ref="N144">Common_InputFunctions.Utility_DisplayArrayInTable(Fertiliser_SourceData.Fertiliser_Products_Data3(),FertiliserProducts[[#Headers],[Include or Exclude]], 40)</f>
        <v/>
      </c>
      <c r="O144" s="54" t="str" cm="1">
        <f t="array" ref="O144">Common_InputFunctions.Utility_DisplayArrayInTable(Fertiliser_SourceData.Fertiliser_Products_Data3(),FertiliserProducts[[#Headers],[Include or Exclude]], 40)</f>
        <v/>
      </c>
      <c r="P144" s="54" t="str" cm="1">
        <f t="array" ref="P144">Common_InputFunctions.Utility_DisplayArrayInTable(Fertiliser_SourceData.Fertiliser_Products_Data3(),FertiliserProducts[[#Headers],[Include or Exclude]], 40)</f>
        <v/>
      </c>
      <c r="Q144" s="54" t="str" cm="1">
        <f t="array" ref="Q144">Common_InputFunctions.Utility_DisplayArrayInTable(Fertiliser_SourceData.Fertiliser_Products_Data3(),FertiliserProducts[[#Headers],[Include or Exclude]], 40)</f>
        <v/>
      </c>
      <c r="R144" s="54" t="str" cm="1">
        <f t="array" ref="R144">Common_InputFunctions.Utility_DisplayArrayInTable(Fertiliser_SourceData.Fertiliser_Products_Data3(),FertiliserProducts[[#Headers],[Include or Exclude]], 40)</f>
        <v/>
      </c>
      <c r="S144" s="54" t="str" cm="1">
        <f t="array" ref="S144">Common_InputFunctions.Utility_DisplayArrayInTable(Fertiliser_SourceData.Fertiliser_Products_Data3(),FertiliserProducts[[#Headers],[Include or Exclude]], 40)</f>
        <v/>
      </c>
      <c r="T144" s="54" t="str" cm="1">
        <f t="array" ref="T144">Common_InputFunctions.Utility_DisplayArrayInTable(Fertiliser_SourceData.Fertiliser_Products_Data3(),FertiliserProducts[[#Headers],[Include or Exclude]], 40)</f>
        <v/>
      </c>
      <c r="U144" s="54" t="str" cm="1">
        <f t="array" ref="U144">Common_InputFunctions.Utility_DisplayArrayInTable(Fertiliser_SourceData.Fertiliser_Products_Data3(),FertiliserProducts[[#Headers],[Include or Exclude]], 40)</f>
        <v/>
      </c>
      <c r="V144" s="54" t="str" cm="1">
        <f t="array" ref="V144">Common_InputFunctions.Utility_DisplayArrayInTable(Fertiliser_SourceData.Fertiliser_Products_Data3(),FertiliserProducts[[#Headers],[Include or Exclude]], 40)</f>
        <v/>
      </c>
      <c r="W144" s="54" t="str" cm="1">
        <f t="array" ref="W144">Common_InputFunctions.Utility_DisplayArrayInTable(Fertiliser_SourceData.Fertiliser_Products_Data3(),FertiliserProducts[[#Headers],[Include or Exclude]], 40)</f>
        <v>Crop Nutrition Solutions (Yara Australia)</v>
      </c>
      <c r="X144" s="54" t="str" cm="1">
        <f t="array" ref="X144">Common_InputFunctions.Utility_DisplayArrayInTable(Fertiliser_SourceData.Fertiliser_Products_Data3(),FertiliserProducts[[#Headers],[Include or Exclude]], 40)</f>
        <v/>
      </c>
      <c r="Y144" s="54" t="str" cm="1">
        <f t="array" ref="Y144">Common_InputFunctions.Utility_DisplayArrayInTable(Fertiliser_SourceData.Fertiliser_Products_Data3(),FertiliserProducts[[#Headers],[Include or Exclude]], 40)</f>
        <v/>
      </c>
      <c r="Z144" s="54" t="str" cm="1">
        <f t="array" ref="Z144">Common_InputFunctions.Utility_DisplayArrayInTable(Fertiliser_SourceData.Fertiliser_Products_Data3(),FertiliserProducts[[#Headers],[Include or Exclude]], 40)</f>
        <v/>
      </c>
      <c r="AA144" s="10" t="str" cm="1">
        <f t="array" ref="AA144">Common_InputFunctions.Utility_DisplayArrayInTable(Fertiliser_SourceData.Fertiliser_Products_Data3(),FertiliserProducts[[#Headers],[Include or Exclude]], 40)</f>
        <v/>
      </c>
      <c r="AB144" s="10" t="str" cm="1">
        <f t="array" ref="AB144">Common_InputFunctions.Utility_DisplayArrayInTable(Fertiliser_SourceData.Fertiliser_Products_Data3(),FertiliserProducts[[#Headers],[Include or Exclude]], 40)</f>
        <v/>
      </c>
      <c r="AC144" s="10" t="str" cm="1">
        <f t="array" ref="AC144">Common_InputFunctions.Utility_DisplayArrayInTable(Fertiliser_SourceData.Fertiliser_Products_Data3(),FertiliserProducts[[#Headers],[Include or Exclude]], 40)</f>
        <v/>
      </c>
      <c r="AD144" s="10" t="str" cm="1">
        <f t="array" ref="AD144">Common_InputFunctions.Utility_DisplayArrayInTable(Fertiliser_SourceData.Fertiliser_Products_Data3(),FertiliserProducts[[#Headers],[Include or Exclude]], 40)</f>
        <v/>
      </c>
      <c r="AE144" s="10" t="str" cm="1">
        <f t="array" ref="AE144">Common_InputFunctions.Utility_DisplayArrayInTable(Fertiliser_SourceData.Fertiliser_Products_Data3(),FertiliserProducts[[#Headers],[Include or Exclude]], 40)</f>
        <v/>
      </c>
    </row>
    <row r="145" spans="4:31" ht="20.100000000000001" customHeight="1" x14ac:dyDescent="0.25">
      <c r="D145" s="54" t="str" cm="1">
        <f t="array" ref="D145">Common_InputFunctions.Utility_DisplayArrayInTable(Fertiliser_SourceData.Fertiliser_Products_Data3(),FertiliserProducts[[#Headers],[Include or Exclude]], 40)</f>
        <v>Yara Liquids P-FOL Zinc</v>
      </c>
      <c r="E145" s="54" t="str" cm="1">
        <f t="array" ref="E145">Common_InputFunctions.Utility_DisplayArrayInTable(Fertiliser_SourceData.Fertiliser_Products_Data3(),FertiliserProducts[[#Headers],[Include or Exclude]], 40)</f>
        <v/>
      </c>
      <c r="F145" s="54" t="str" cm="1">
        <f t="array" ref="F145">Common_InputFunctions.Utility_DisplayArrayInTable(Fertiliser_SourceData.Fertiliser_Products_Data3(),FertiliserProducts[[#Headers],[Include or Exclude]], 40)</f>
        <v/>
      </c>
      <c r="G145" s="54" t="str" cm="1">
        <f t="array" ref="G145">Common_InputFunctions.Utility_DisplayArrayInTable(Fertiliser_SourceData.Fertiliser_Products_Data3(),FertiliserProducts[[#Headers],[Include or Exclude]], 40)</f>
        <v/>
      </c>
      <c r="H145" s="54" t="str" cm="1">
        <f t="array" ref="H145">Common_InputFunctions.Utility_DisplayArrayInTable(Fertiliser_SourceData.Fertiliser_Products_Data3(),FertiliserProducts[[#Headers],[Include or Exclude]], 40)</f>
        <v/>
      </c>
      <c r="I145" s="54" t="str" cm="1">
        <f t="array" ref="I145">Common_InputFunctions.Utility_DisplayArrayInTable(Fertiliser_SourceData.Fertiliser_Products_Data3(),FertiliserProducts[[#Headers],[Include or Exclude]], 40)</f>
        <v/>
      </c>
      <c r="J145" s="54" t="str" cm="1">
        <f t="array" ref="J145">Common_InputFunctions.Utility_DisplayArrayInTable(Fertiliser_SourceData.Fertiliser_Products_Data3(),FertiliserProducts[[#Headers],[Include or Exclude]], 40)</f>
        <v/>
      </c>
      <c r="K145" s="54" t="str" cm="1">
        <f t="array" ref="K145">Common_InputFunctions.Utility_DisplayArrayInTable(Fertiliser_SourceData.Fertiliser_Products_Data3(),FertiliserProducts[[#Headers],[Include or Exclude]], 40)</f>
        <v/>
      </c>
      <c r="L145" s="54" t="str" cm="1">
        <f t="array" ref="L145">Common_InputFunctions.Utility_DisplayArrayInTable(Fertiliser_SourceData.Fertiliser_Products_Data3(),FertiliserProducts[[#Headers],[Include or Exclude]], 40)</f>
        <v/>
      </c>
      <c r="M145" s="54" t="str" cm="1">
        <f t="array" ref="M145">Common_InputFunctions.Utility_DisplayArrayInTable(Fertiliser_SourceData.Fertiliser_Products_Data3(),FertiliserProducts[[#Headers],[Include or Exclude]], 40)</f>
        <v/>
      </c>
      <c r="N145" s="54" t="str" cm="1">
        <f t="array" ref="N145">Common_InputFunctions.Utility_DisplayArrayInTable(Fertiliser_SourceData.Fertiliser_Products_Data3(),FertiliserProducts[[#Headers],[Include or Exclude]], 40)</f>
        <v/>
      </c>
      <c r="O145" s="54" t="str" cm="1">
        <f t="array" ref="O145">Common_InputFunctions.Utility_DisplayArrayInTable(Fertiliser_SourceData.Fertiliser_Products_Data3(),FertiliserProducts[[#Headers],[Include or Exclude]], 40)</f>
        <v/>
      </c>
      <c r="P145" s="54" t="str" cm="1">
        <f t="array" ref="P145">Common_InputFunctions.Utility_DisplayArrayInTable(Fertiliser_SourceData.Fertiliser_Products_Data3(),FertiliserProducts[[#Headers],[Include or Exclude]], 40)</f>
        <v/>
      </c>
      <c r="Q145" s="54" t="str" cm="1">
        <f t="array" ref="Q145">Common_InputFunctions.Utility_DisplayArrayInTable(Fertiliser_SourceData.Fertiliser_Products_Data3(),FertiliserProducts[[#Headers],[Include or Exclude]], 40)</f>
        <v/>
      </c>
      <c r="R145" s="54" t="str" cm="1">
        <f t="array" ref="R145">Common_InputFunctions.Utility_DisplayArrayInTable(Fertiliser_SourceData.Fertiliser_Products_Data3(),FertiliserProducts[[#Headers],[Include or Exclude]], 40)</f>
        <v/>
      </c>
      <c r="S145" s="54" t="str" cm="1">
        <f t="array" ref="S145">Common_InputFunctions.Utility_DisplayArrayInTable(Fertiliser_SourceData.Fertiliser_Products_Data3(),FertiliserProducts[[#Headers],[Include or Exclude]], 40)</f>
        <v/>
      </c>
      <c r="T145" s="54" t="str" cm="1">
        <f t="array" ref="T145">Common_InputFunctions.Utility_DisplayArrayInTable(Fertiliser_SourceData.Fertiliser_Products_Data3(),FertiliserProducts[[#Headers],[Include or Exclude]], 40)</f>
        <v/>
      </c>
      <c r="U145" s="54" t="str" cm="1">
        <f t="array" ref="U145">Common_InputFunctions.Utility_DisplayArrayInTable(Fertiliser_SourceData.Fertiliser_Products_Data3(),FertiliserProducts[[#Headers],[Include or Exclude]], 40)</f>
        <v/>
      </c>
      <c r="V145" s="54" t="str" cm="1">
        <f t="array" ref="V145">Common_InputFunctions.Utility_DisplayArrayInTable(Fertiliser_SourceData.Fertiliser_Products_Data3(),FertiliserProducts[[#Headers],[Include or Exclude]], 40)</f>
        <v/>
      </c>
      <c r="W145" s="54" t="str" cm="1">
        <f t="array" ref="W145">Common_InputFunctions.Utility_DisplayArrayInTable(Fertiliser_SourceData.Fertiliser_Products_Data3(),FertiliserProducts[[#Headers],[Include or Exclude]], 40)</f>
        <v>Crop Nutrition Solutions (Yara Australia)</v>
      </c>
      <c r="X145" s="54" t="str" cm="1">
        <f t="array" ref="X145">Common_InputFunctions.Utility_DisplayArrayInTable(Fertiliser_SourceData.Fertiliser_Products_Data3(),FertiliserProducts[[#Headers],[Include or Exclude]], 40)</f>
        <v/>
      </c>
      <c r="Y145" s="54" t="str" cm="1">
        <f t="array" ref="Y145">Common_InputFunctions.Utility_DisplayArrayInTable(Fertiliser_SourceData.Fertiliser_Products_Data3(),FertiliserProducts[[#Headers],[Include or Exclude]], 40)</f>
        <v/>
      </c>
      <c r="Z145" s="54" t="str" cm="1">
        <f t="array" ref="Z145">Common_InputFunctions.Utility_DisplayArrayInTable(Fertiliser_SourceData.Fertiliser_Products_Data3(),FertiliserProducts[[#Headers],[Include or Exclude]], 40)</f>
        <v/>
      </c>
      <c r="AA145" s="10" t="str" cm="1">
        <f t="array" ref="AA145">Common_InputFunctions.Utility_DisplayArrayInTable(Fertiliser_SourceData.Fertiliser_Products_Data3(),FertiliserProducts[[#Headers],[Include or Exclude]], 40)</f>
        <v/>
      </c>
      <c r="AB145" s="10" t="str" cm="1">
        <f t="array" ref="AB145">Common_InputFunctions.Utility_DisplayArrayInTable(Fertiliser_SourceData.Fertiliser_Products_Data3(),FertiliserProducts[[#Headers],[Include or Exclude]], 40)</f>
        <v/>
      </c>
      <c r="AC145" s="10" t="str" cm="1">
        <f t="array" ref="AC145">Common_InputFunctions.Utility_DisplayArrayInTable(Fertiliser_SourceData.Fertiliser_Products_Data3(),FertiliserProducts[[#Headers],[Include or Exclude]], 40)</f>
        <v/>
      </c>
      <c r="AD145" s="10" t="str" cm="1">
        <f t="array" ref="AD145">Common_InputFunctions.Utility_DisplayArrayInTable(Fertiliser_SourceData.Fertiliser_Products_Data3(),FertiliserProducts[[#Headers],[Include or Exclude]], 40)</f>
        <v/>
      </c>
      <c r="AE145" s="10" t="str" cm="1">
        <f t="array" ref="AE145">Common_InputFunctions.Utility_DisplayArrayInTable(Fertiliser_SourceData.Fertiliser_Products_Data3(),FertiliserProducts[[#Headers],[Include or Exclude]], 40)</f>
        <v/>
      </c>
    </row>
    <row r="146" spans="4:31" ht="20.100000000000001" customHeight="1" x14ac:dyDescent="0.25">
      <c r="D146" s="54" t="str" cm="1">
        <f t="array" ref="D146">Common_InputFunctions.Utility_DisplayArrayInTable(Fertiliser_SourceData.Fertiliser_Products_Data3(),FertiliserProducts[[#Headers],[Include or Exclude]], 40)</f>
        <v>Yara Liquids SULSA 11-0-0+12S</v>
      </c>
      <c r="E146" s="54" t="str" cm="1">
        <f t="array" ref="E146">Common_InputFunctions.Utility_DisplayArrayInTable(Fertiliser_SourceData.Fertiliser_Products_Data3(),FertiliserProducts[[#Headers],[Include or Exclude]], 40)</f>
        <v/>
      </c>
      <c r="F146" s="54" t="str" cm="1">
        <f t="array" ref="F146">Common_InputFunctions.Utility_DisplayArrayInTable(Fertiliser_SourceData.Fertiliser_Products_Data3(),FertiliserProducts[[#Headers],[Include or Exclude]], 40)</f>
        <v/>
      </c>
      <c r="G146" s="54" t="str" cm="1">
        <f t="array" ref="G146">Common_InputFunctions.Utility_DisplayArrayInTable(Fertiliser_SourceData.Fertiliser_Products_Data3(),FertiliserProducts[[#Headers],[Include or Exclude]], 40)</f>
        <v/>
      </c>
      <c r="H146" s="54" t="str" cm="1">
        <f t="array" ref="H146">Common_InputFunctions.Utility_DisplayArrayInTable(Fertiliser_SourceData.Fertiliser_Products_Data3(),FertiliserProducts[[#Headers],[Include or Exclude]], 40)</f>
        <v/>
      </c>
      <c r="I146" s="54" t="str" cm="1">
        <f t="array" ref="I146">Common_InputFunctions.Utility_DisplayArrayInTable(Fertiliser_SourceData.Fertiliser_Products_Data3(),FertiliserProducts[[#Headers],[Include or Exclude]], 40)</f>
        <v/>
      </c>
      <c r="J146" s="54" t="str" cm="1">
        <f t="array" ref="J146">Common_InputFunctions.Utility_DisplayArrayInTable(Fertiliser_SourceData.Fertiliser_Products_Data3(),FertiliserProducts[[#Headers],[Include or Exclude]], 40)</f>
        <v/>
      </c>
      <c r="K146" s="54" t="str" cm="1">
        <f t="array" ref="K146">Common_InputFunctions.Utility_DisplayArrayInTable(Fertiliser_SourceData.Fertiliser_Products_Data3(),FertiliserProducts[[#Headers],[Include or Exclude]], 40)</f>
        <v/>
      </c>
      <c r="L146" s="54" t="str" cm="1">
        <f t="array" ref="L146">Common_InputFunctions.Utility_DisplayArrayInTable(Fertiliser_SourceData.Fertiliser_Products_Data3(),FertiliserProducts[[#Headers],[Include or Exclude]], 40)</f>
        <v/>
      </c>
      <c r="M146" s="54" t="str" cm="1">
        <f t="array" ref="M146">Common_InputFunctions.Utility_DisplayArrayInTable(Fertiliser_SourceData.Fertiliser_Products_Data3(),FertiliserProducts[[#Headers],[Include or Exclude]], 40)</f>
        <v/>
      </c>
      <c r="N146" s="54" t="str" cm="1">
        <f t="array" ref="N146">Common_InputFunctions.Utility_DisplayArrayInTable(Fertiliser_SourceData.Fertiliser_Products_Data3(),FertiliserProducts[[#Headers],[Include or Exclude]], 40)</f>
        <v/>
      </c>
      <c r="O146" s="54" t="str" cm="1">
        <f t="array" ref="O146">Common_InputFunctions.Utility_DisplayArrayInTable(Fertiliser_SourceData.Fertiliser_Products_Data3(),FertiliserProducts[[#Headers],[Include or Exclude]], 40)</f>
        <v/>
      </c>
      <c r="P146" s="54" t="str" cm="1">
        <f t="array" ref="P146">Common_InputFunctions.Utility_DisplayArrayInTable(Fertiliser_SourceData.Fertiliser_Products_Data3(),FertiliserProducts[[#Headers],[Include or Exclude]], 40)</f>
        <v/>
      </c>
      <c r="Q146" s="54" t="str" cm="1">
        <f t="array" ref="Q146">Common_InputFunctions.Utility_DisplayArrayInTable(Fertiliser_SourceData.Fertiliser_Products_Data3(),FertiliserProducts[[#Headers],[Include or Exclude]], 40)</f>
        <v/>
      </c>
      <c r="R146" s="54" t="str" cm="1">
        <f t="array" ref="R146">Common_InputFunctions.Utility_DisplayArrayInTable(Fertiliser_SourceData.Fertiliser_Products_Data3(),FertiliserProducts[[#Headers],[Include or Exclude]], 40)</f>
        <v/>
      </c>
      <c r="S146" s="54" t="str" cm="1">
        <f t="array" ref="S146">Common_InputFunctions.Utility_DisplayArrayInTable(Fertiliser_SourceData.Fertiliser_Products_Data3(),FertiliserProducts[[#Headers],[Include or Exclude]], 40)</f>
        <v/>
      </c>
      <c r="T146" s="54" t="str" cm="1">
        <f t="array" ref="T146">Common_InputFunctions.Utility_DisplayArrayInTable(Fertiliser_SourceData.Fertiliser_Products_Data3(),FertiliserProducts[[#Headers],[Include or Exclude]], 40)</f>
        <v/>
      </c>
      <c r="U146" s="54" t="str" cm="1">
        <f t="array" ref="U146">Common_InputFunctions.Utility_DisplayArrayInTable(Fertiliser_SourceData.Fertiliser_Products_Data3(),FertiliserProducts[[#Headers],[Include or Exclude]], 40)</f>
        <v/>
      </c>
      <c r="V146" s="54" t="str" cm="1">
        <f t="array" ref="V146">Common_InputFunctions.Utility_DisplayArrayInTable(Fertiliser_SourceData.Fertiliser_Products_Data3(),FertiliserProducts[[#Headers],[Include or Exclude]], 40)</f>
        <v/>
      </c>
      <c r="W146" s="54" t="str" cm="1">
        <f t="array" ref="W146">Common_InputFunctions.Utility_DisplayArrayInTable(Fertiliser_SourceData.Fertiliser_Products_Data3(),FertiliserProducts[[#Headers],[Include or Exclude]], 40)</f>
        <v>Crop Nutrition Solutions (Yara Australia)</v>
      </c>
      <c r="X146" s="54" t="str" cm="1">
        <f t="array" ref="X146">Common_InputFunctions.Utility_DisplayArrayInTable(Fertiliser_SourceData.Fertiliser_Products_Data3(),FertiliserProducts[[#Headers],[Include or Exclude]], 40)</f>
        <v/>
      </c>
      <c r="Y146" s="54" t="str" cm="1">
        <f t="array" ref="Y146">Common_InputFunctions.Utility_DisplayArrayInTable(Fertiliser_SourceData.Fertiliser_Products_Data3(),FertiliserProducts[[#Headers],[Include or Exclude]], 40)</f>
        <v/>
      </c>
      <c r="Z146" s="54" t="str" cm="1">
        <f t="array" ref="Z146">Common_InputFunctions.Utility_DisplayArrayInTable(Fertiliser_SourceData.Fertiliser_Products_Data3(),FertiliserProducts[[#Headers],[Include or Exclude]], 40)</f>
        <v/>
      </c>
      <c r="AA146" s="10" t="str" cm="1">
        <f t="array" ref="AA146">Common_InputFunctions.Utility_DisplayArrayInTable(Fertiliser_SourceData.Fertiliser_Products_Data3(),FertiliserProducts[[#Headers],[Include or Exclude]], 40)</f>
        <v/>
      </c>
      <c r="AB146" s="10" t="str" cm="1">
        <f t="array" ref="AB146">Common_InputFunctions.Utility_DisplayArrayInTable(Fertiliser_SourceData.Fertiliser_Products_Data3(),FertiliserProducts[[#Headers],[Include or Exclude]], 40)</f>
        <v/>
      </c>
      <c r="AC146" s="10" t="str" cm="1">
        <f t="array" ref="AC146">Common_InputFunctions.Utility_DisplayArrayInTable(Fertiliser_SourceData.Fertiliser_Products_Data3(),FertiliserProducts[[#Headers],[Include or Exclude]], 40)</f>
        <v/>
      </c>
      <c r="AD146" s="10" t="str" cm="1">
        <f t="array" ref="AD146">Common_InputFunctions.Utility_DisplayArrayInTable(Fertiliser_SourceData.Fertiliser_Products_Data3(),FertiliserProducts[[#Headers],[Include or Exclude]], 40)</f>
        <v/>
      </c>
      <c r="AE146" s="10" t="str" cm="1">
        <f t="array" ref="AE146">Common_InputFunctions.Utility_DisplayArrayInTable(Fertiliser_SourceData.Fertiliser_Products_Data3(),FertiliserProducts[[#Headers],[Include or Exclude]], 40)</f>
        <v/>
      </c>
    </row>
    <row r="147" spans="4:31" ht="20.100000000000001" customHeight="1" x14ac:dyDescent="0.25">
      <c r="D147" s="54" t="str" cm="1">
        <f t="array" ref="D147">Common_InputFunctions.Utility_DisplayArrayInTable(Fertiliser_SourceData.Fertiliser_Products_Data3(),FertiliserProducts[[#Headers],[Include or Exclude]], 40)</f>
        <v>Yara Liquids SULSA 24-3-0+6S</v>
      </c>
      <c r="E147" s="54" t="str" cm="1">
        <f t="array" ref="E147">Common_InputFunctions.Utility_DisplayArrayInTable(Fertiliser_SourceData.Fertiliser_Products_Data3(),FertiliserProducts[[#Headers],[Include or Exclude]], 40)</f>
        <v/>
      </c>
      <c r="F147" s="54" t="str" cm="1">
        <f t="array" ref="F147">Common_InputFunctions.Utility_DisplayArrayInTable(Fertiliser_SourceData.Fertiliser_Products_Data3(),FertiliserProducts[[#Headers],[Include or Exclude]], 40)</f>
        <v/>
      </c>
      <c r="G147" s="54" t="str" cm="1">
        <f t="array" ref="G147">Common_InputFunctions.Utility_DisplayArrayInTable(Fertiliser_SourceData.Fertiliser_Products_Data3(),FertiliserProducts[[#Headers],[Include or Exclude]], 40)</f>
        <v/>
      </c>
      <c r="H147" s="54" t="str" cm="1">
        <f t="array" ref="H147">Common_InputFunctions.Utility_DisplayArrayInTable(Fertiliser_SourceData.Fertiliser_Products_Data3(),FertiliserProducts[[#Headers],[Include or Exclude]], 40)</f>
        <v/>
      </c>
      <c r="I147" s="54" t="str" cm="1">
        <f t="array" ref="I147">Common_InputFunctions.Utility_DisplayArrayInTable(Fertiliser_SourceData.Fertiliser_Products_Data3(),FertiliserProducts[[#Headers],[Include or Exclude]], 40)</f>
        <v/>
      </c>
      <c r="J147" s="54" t="str" cm="1">
        <f t="array" ref="J147">Common_InputFunctions.Utility_DisplayArrayInTable(Fertiliser_SourceData.Fertiliser_Products_Data3(),FertiliserProducts[[#Headers],[Include or Exclude]], 40)</f>
        <v/>
      </c>
      <c r="K147" s="54" t="str" cm="1">
        <f t="array" ref="K147">Common_InputFunctions.Utility_DisplayArrayInTable(Fertiliser_SourceData.Fertiliser_Products_Data3(),FertiliserProducts[[#Headers],[Include or Exclude]], 40)</f>
        <v/>
      </c>
      <c r="L147" s="54" t="str" cm="1">
        <f t="array" ref="L147">Common_InputFunctions.Utility_DisplayArrayInTable(Fertiliser_SourceData.Fertiliser_Products_Data3(),FertiliserProducts[[#Headers],[Include or Exclude]], 40)</f>
        <v/>
      </c>
      <c r="M147" s="54" t="str" cm="1">
        <f t="array" ref="M147">Common_InputFunctions.Utility_DisplayArrayInTable(Fertiliser_SourceData.Fertiliser_Products_Data3(),FertiliserProducts[[#Headers],[Include or Exclude]], 40)</f>
        <v/>
      </c>
      <c r="N147" s="54" t="str" cm="1">
        <f t="array" ref="N147">Common_InputFunctions.Utility_DisplayArrayInTable(Fertiliser_SourceData.Fertiliser_Products_Data3(),FertiliserProducts[[#Headers],[Include or Exclude]], 40)</f>
        <v/>
      </c>
      <c r="O147" s="54" t="str" cm="1">
        <f t="array" ref="O147">Common_InputFunctions.Utility_DisplayArrayInTable(Fertiliser_SourceData.Fertiliser_Products_Data3(),FertiliserProducts[[#Headers],[Include or Exclude]], 40)</f>
        <v/>
      </c>
      <c r="P147" s="54" t="str" cm="1">
        <f t="array" ref="P147">Common_InputFunctions.Utility_DisplayArrayInTable(Fertiliser_SourceData.Fertiliser_Products_Data3(),FertiliserProducts[[#Headers],[Include or Exclude]], 40)</f>
        <v/>
      </c>
      <c r="Q147" s="54" t="str" cm="1">
        <f t="array" ref="Q147">Common_InputFunctions.Utility_DisplayArrayInTable(Fertiliser_SourceData.Fertiliser_Products_Data3(),FertiliserProducts[[#Headers],[Include or Exclude]], 40)</f>
        <v/>
      </c>
      <c r="R147" s="54" t="str" cm="1">
        <f t="array" ref="R147">Common_InputFunctions.Utility_DisplayArrayInTable(Fertiliser_SourceData.Fertiliser_Products_Data3(),FertiliserProducts[[#Headers],[Include or Exclude]], 40)</f>
        <v/>
      </c>
      <c r="S147" s="54" t="str" cm="1">
        <f t="array" ref="S147">Common_InputFunctions.Utility_DisplayArrayInTable(Fertiliser_SourceData.Fertiliser_Products_Data3(),FertiliserProducts[[#Headers],[Include or Exclude]], 40)</f>
        <v/>
      </c>
      <c r="T147" s="54" t="str" cm="1">
        <f t="array" ref="T147">Common_InputFunctions.Utility_DisplayArrayInTable(Fertiliser_SourceData.Fertiliser_Products_Data3(),FertiliserProducts[[#Headers],[Include or Exclude]], 40)</f>
        <v/>
      </c>
      <c r="U147" s="54" t="str" cm="1">
        <f t="array" ref="U147">Common_InputFunctions.Utility_DisplayArrayInTable(Fertiliser_SourceData.Fertiliser_Products_Data3(),FertiliserProducts[[#Headers],[Include or Exclude]], 40)</f>
        <v/>
      </c>
      <c r="V147" s="54" t="str" cm="1">
        <f t="array" ref="V147">Common_InputFunctions.Utility_DisplayArrayInTable(Fertiliser_SourceData.Fertiliser_Products_Data3(),FertiliserProducts[[#Headers],[Include or Exclude]], 40)</f>
        <v/>
      </c>
      <c r="W147" s="54" t="str" cm="1">
        <f t="array" ref="W147">Common_InputFunctions.Utility_DisplayArrayInTable(Fertiliser_SourceData.Fertiliser_Products_Data3(),FertiliserProducts[[#Headers],[Include or Exclude]], 40)</f>
        <v>Crop Nutrition Solutions (Yara Australia)</v>
      </c>
      <c r="X147" s="54" t="str" cm="1">
        <f t="array" ref="X147">Common_InputFunctions.Utility_DisplayArrayInTable(Fertiliser_SourceData.Fertiliser_Products_Data3(),FertiliserProducts[[#Headers],[Include or Exclude]], 40)</f>
        <v/>
      </c>
      <c r="Y147" s="54" t="str" cm="1">
        <f t="array" ref="Y147">Common_InputFunctions.Utility_DisplayArrayInTable(Fertiliser_SourceData.Fertiliser_Products_Data3(),FertiliserProducts[[#Headers],[Include or Exclude]], 40)</f>
        <v/>
      </c>
      <c r="Z147" s="54" t="str" cm="1">
        <f t="array" ref="Z147">Common_InputFunctions.Utility_DisplayArrayInTable(Fertiliser_SourceData.Fertiliser_Products_Data3(),FertiliserProducts[[#Headers],[Include or Exclude]], 40)</f>
        <v/>
      </c>
      <c r="AA147" s="10" t="str" cm="1">
        <f t="array" ref="AA147">Common_InputFunctions.Utility_DisplayArrayInTable(Fertiliser_SourceData.Fertiliser_Products_Data3(),FertiliserProducts[[#Headers],[Include or Exclude]], 40)</f>
        <v/>
      </c>
      <c r="AB147" s="10" t="str" cm="1">
        <f t="array" ref="AB147">Common_InputFunctions.Utility_DisplayArrayInTable(Fertiliser_SourceData.Fertiliser_Products_Data3(),FertiliserProducts[[#Headers],[Include or Exclude]], 40)</f>
        <v/>
      </c>
      <c r="AC147" s="10" t="str" cm="1">
        <f t="array" ref="AC147">Common_InputFunctions.Utility_DisplayArrayInTable(Fertiliser_SourceData.Fertiliser_Products_Data3(),FertiliserProducts[[#Headers],[Include or Exclude]], 40)</f>
        <v/>
      </c>
      <c r="AD147" s="10" t="str" cm="1">
        <f t="array" ref="AD147">Common_InputFunctions.Utility_DisplayArrayInTable(Fertiliser_SourceData.Fertiliser_Products_Data3(),FertiliserProducts[[#Headers],[Include or Exclude]], 40)</f>
        <v/>
      </c>
      <c r="AE147" s="10" t="str" cm="1">
        <f t="array" ref="AE147">Common_InputFunctions.Utility_DisplayArrayInTable(Fertiliser_SourceData.Fertiliser_Products_Data3(),FertiliserProducts[[#Headers],[Include or Exclude]], 40)</f>
        <v/>
      </c>
    </row>
    <row r="148" spans="4:31" ht="20.100000000000001" customHeight="1" x14ac:dyDescent="0.25">
      <c r="D148" s="54" t="str" cm="1">
        <f t="array" ref="D148">Common_InputFunctions.Utility_DisplayArrayInTable(Fertiliser_SourceData.Fertiliser_Products_Data3(),FertiliserProducts[[#Headers],[Include or Exclude]], 40)</f>
        <v>Yara Liquids SULSA 27-0-0+7S</v>
      </c>
      <c r="E148" s="54" t="str" cm="1">
        <f t="array" ref="E148">Common_InputFunctions.Utility_DisplayArrayInTable(Fertiliser_SourceData.Fertiliser_Products_Data3(),FertiliserProducts[[#Headers],[Include or Exclude]], 40)</f>
        <v/>
      </c>
      <c r="F148" s="54" t="str" cm="1">
        <f t="array" ref="F148">Common_InputFunctions.Utility_DisplayArrayInTable(Fertiliser_SourceData.Fertiliser_Products_Data3(),FertiliserProducts[[#Headers],[Include or Exclude]], 40)</f>
        <v/>
      </c>
      <c r="G148" s="54" t="str" cm="1">
        <f t="array" ref="G148">Common_InputFunctions.Utility_DisplayArrayInTable(Fertiliser_SourceData.Fertiliser_Products_Data3(),FertiliserProducts[[#Headers],[Include or Exclude]], 40)</f>
        <v/>
      </c>
      <c r="H148" s="54" t="str" cm="1">
        <f t="array" ref="H148">Common_InputFunctions.Utility_DisplayArrayInTable(Fertiliser_SourceData.Fertiliser_Products_Data3(),FertiliserProducts[[#Headers],[Include or Exclude]], 40)</f>
        <v/>
      </c>
      <c r="I148" s="54" t="str" cm="1">
        <f t="array" ref="I148">Common_InputFunctions.Utility_DisplayArrayInTable(Fertiliser_SourceData.Fertiliser_Products_Data3(),FertiliserProducts[[#Headers],[Include or Exclude]], 40)</f>
        <v/>
      </c>
      <c r="J148" s="54" t="str" cm="1">
        <f t="array" ref="J148">Common_InputFunctions.Utility_DisplayArrayInTable(Fertiliser_SourceData.Fertiliser_Products_Data3(),FertiliserProducts[[#Headers],[Include or Exclude]], 40)</f>
        <v/>
      </c>
      <c r="K148" s="54" t="str" cm="1">
        <f t="array" ref="K148">Common_InputFunctions.Utility_DisplayArrayInTable(Fertiliser_SourceData.Fertiliser_Products_Data3(),FertiliserProducts[[#Headers],[Include or Exclude]], 40)</f>
        <v/>
      </c>
      <c r="L148" s="54" t="str" cm="1">
        <f t="array" ref="L148">Common_InputFunctions.Utility_DisplayArrayInTable(Fertiliser_SourceData.Fertiliser_Products_Data3(),FertiliserProducts[[#Headers],[Include or Exclude]], 40)</f>
        <v/>
      </c>
      <c r="M148" s="54" t="str" cm="1">
        <f t="array" ref="M148">Common_InputFunctions.Utility_DisplayArrayInTable(Fertiliser_SourceData.Fertiliser_Products_Data3(),FertiliserProducts[[#Headers],[Include or Exclude]], 40)</f>
        <v/>
      </c>
      <c r="N148" s="54" t="str" cm="1">
        <f t="array" ref="N148">Common_InputFunctions.Utility_DisplayArrayInTable(Fertiliser_SourceData.Fertiliser_Products_Data3(),FertiliserProducts[[#Headers],[Include or Exclude]], 40)</f>
        <v/>
      </c>
      <c r="O148" s="54" t="str" cm="1">
        <f t="array" ref="O148">Common_InputFunctions.Utility_DisplayArrayInTable(Fertiliser_SourceData.Fertiliser_Products_Data3(),FertiliserProducts[[#Headers],[Include or Exclude]], 40)</f>
        <v/>
      </c>
      <c r="P148" s="54" t="str" cm="1">
        <f t="array" ref="P148">Common_InputFunctions.Utility_DisplayArrayInTable(Fertiliser_SourceData.Fertiliser_Products_Data3(),FertiliserProducts[[#Headers],[Include or Exclude]], 40)</f>
        <v/>
      </c>
      <c r="Q148" s="54" t="str" cm="1">
        <f t="array" ref="Q148">Common_InputFunctions.Utility_DisplayArrayInTable(Fertiliser_SourceData.Fertiliser_Products_Data3(),FertiliserProducts[[#Headers],[Include or Exclude]], 40)</f>
        <v/>
      </c>
      <c r="R148" s="54" t="str" cm="1">
        <f t="array" ref="R148">Common_InputFunctions.Utility_DisplayArrayInTable(Fertiliser_SourceData.Fertiliser_Products_Data3(),FertiliserProducts[[#Headers],[Include or Exclude]], 40)</f>
        <v/>
      </c>
      <c r="S148" s="54" t="str" cm="1">
        <f t="array" ref="S148">Common_InputFunctions.Utility_DisplayArrayInTable(Fertiliser_SourceData.Fertiliser_Products_Data3(),FertiliserProducts[[#Headers],[Include or Exclude]], 40)</f>
        <v/>
      </c>
      <c r="T148" s="54" t="str" cm="1">
        <f t="array" ref="T148">Common_InputFunctions.Utility_DisplayArrayInTable(Fertiliser_SourceData.Fertiliser_Products_Data3(),FertiliserProducts[[#Headers],[Include or Exclude]], 40)</f>
        <v/>
      </c>
      <c r="U148" s="54" t="str" cm="1">
        <f t="array" ref="U148">Common_InputFunctions.Utility_DisplayArrayInTable(Fertiliser_SourceData.Fertiliser_Products_Data3(),FertiliserProducts[[#Headers],[Include or Exclude]], 40)</f>
        <v/>
      </c>
      <c r="V148" s="54" t="str" cm="1">
        <f t="array" ref="V148">Common_InputFunctions.Utility_DisplayArrayInTable(Fertiliser_SourceData.Fertiliser_Products_Data3(),FertiliserProducts[[#Headers],[Include or Exclude]], 40)</f>
        <v/>
      </c>
      <c r="W148" s="54" t="str" cm="1">
        <f t="array" ref="W148">Common_InputFunctions.Utility_DisplayArrayInTable(Fertiliser_SourceData.Fertiliser_Products_Data3(),FertiliserProducts[[#Headers],[Include or Exclude]], 40)</f>
        <v>Crop Nutrition Solutions (Yara Australia)</v>
      </c>
      <c r="X148" s="54" t="str" cm="1">
        <f t="array" ref="X148">Common_InputFunctions.Utility_DisplayArrayInTable(Fertiliser_SourceData.Fertiliser_Products_Data3(),FertiliserProducts[[#Headers],[Include or Exclude]], 40)</f>
        <v/>
      </c>
      <c r="Y148" s="54" t="str" cm="1">
        <f t="array" ref="Y148">Common_InputFunctions.Utility_DisplayArrayInTable(Fertiliser_SourceData.Fertiliser_Products_Data3(),FertiliserProducts[[#Headers],[Include or Exclude]], 40)</f>
        <v/>
      </c>
      <c r="Z148" s="54" t="str" cm="1">
        <f t="array" ref="Z148">Common_InputFunctions.Utility_DisplayArrayInTable(Fertiliser_SourceData.Fertiliser_Products_Data3(),FertiliserProducts[[#Headers],[Include or Exclude]], 40)</f>
        <v/>
      </c>
      <c r="AA148" s="10" t="str" cm="1">
        <f t="array" ref="AA148">Common_InputFunctions.Utility_DisplayArrayInTable(Fertiliser_SourceData.Fertiliser_Products_Data3(),FertiliserProducts[[#Headers],[Include or Exclude]], 40)</f>
        <v/>
      </c>
      <c r="AB148" s="10" t="str" cm="1">
        <f t="array" ref="AB148">Common_InputFunctions.Utility_DisplayArrayInTable(Fertiliser_SourceData.Fertiliser_Products_Data3(),FertiliserProducts[[#Headers],[Include or Exclude]], 40)</f>
        <v/>
      </c>
      <c r="AC148" s="10" t="str" cm="1">
        <f t="array" ref="AC148">Common_InputFunctions.Utility_DisplayArrayInTable(Fertiliser_SourceData.Fertiliser_Products_Data3(),FertiliserProducts[[#Headers],[Include or Exclude]], 40)</f>
        <v/>
      </c>
      <c r="AD148" s="10" t="str" cm="1">
        <f t="array" ref="AD148">Common_InputFunctions.Utility_DisplayArrayInTable(Fertiliser_SourceData.Fertiliser_Products_Data3(),FertiliserProducts[[#Headers],[Include or Exclude]], 40)</f>
        <v/>
      </c>
      <c r="AE148" s="10" t="str" cm="1">
        <f t="array" ref="AE148">Common_InputFunctions.Utility_DisplayArrayInTable(Fertiliser_SourceData.Fertiliser_Products_Data3(),FertiliserProducts[[#Headers],[Include or Exclude]], 40)</f>
        <v/>
      </c>
    </row>
    <row r="149" spans="4:31" ht="20.100000000000001" customHeight="1" x14ac:dyDescent="0.25">
      <c r="D149" s="54" t="str" cm="1">
        <f t="array" ref="D149">Common_InputFunctions.Utility_DisplayArrayInTable(Fertiliser_SourceData.Fertiliser_Products_Data4(),FertiliserProducts[[#Headers],[Include or Exclude]], 60)</f>
        <v>Product</v>
      </c>
      <c r="E149" s="54" t="str" cm="1">
        <f t="array" ref="E149">Common_InputFunctions.Utility_DisplayArrayInTable(Fertiliser_SourceData.Fertiliser_Products_Data4(),FertiliserProducts[[#Headers],[Include or Exclude]], 60)</f>
        <v>Ingredient 1</v>
      </c>
      <c r="F149" s="54" t="str" cm="1">
        <f t="array" ref="F149">Common_InputFunctions.Utility_DisplayArrayInTable(Fertiliser_SourceData.Fertiliser_Products_Data4(),FertiliserProducts[[#Headers],[Include or Exclude]], 60)</f>
        <v>Ingredient 1 percent</v>
      </c>
      <c r="G149" s="54" t="str" cm="1">
        <f t="array" ref="G149">Common_InputFunctions.Utility_DisplayArrayInTable(Fertiliser_SourceData.Fertiliser_Products_Data4(),FertiliserProducts[[#Headers],[Include or Exclude]], 60)</f>
        <v>Ingredient 1 source</v>
      </c>
      <c r="H149" s="54" t="str" cm="1">
        <f t="array" ref="H149">Common_InputFunctions.Utility_DisplayArrayInTable(Fertiliser_SourceData.Fertiliser_Products_Data4(),FertiliserProducts[[#Headers],[Include or Exclude]], 60)</f>
        <v>Ingredient 2</v>
      </c>
      <c r="I149" s="54" t="str" cm="1">
        <f t="array" ref="I149">Common_InputFunctions.Utility_DisplayArrayInTable(Fertiliser_SourceData.Fertiliser_Products_Data4(),FertiliserProducts[[#Headers],[Include or Exclude]], 60)</f>
        <v>Ingredient 2 percent</v>
      </c>
      <c r="J149" s="54" t="str" cm="1">
        <f t="array" ref="J149">Common_InputFunctions.Utility_DisplayArrayInTable(Fertiliser_SourceData.Fertiliser_Products_Data4(),FertiliserProducts[[#Headers],[Include or Exclude]], 60)</f>
        <v>Ingredient 2 source</v>
      </c>
      <c r="K149" s="54" t="str" cm="1">
        <f t="array" ref="K149">Common_InputFunctions.Utility_DisplayArrayInTable(Fertiliser_SourceData.Fertiliser_Products_Data4(),FertiliserProducts[[#Headers],[Include or Exclude]], 60)</f>
        <v>Ingredient 3</v>
      </c>
      <c r="L149" s="54" t="str" cm="1">
        <f t="array" ref="L149">Common_InputFunctions.Utility_DisplayArrayInTable(Fertiliser_SourceData.Fertiliser_Products_Data4(),FertiliserProducts[[#Headers],[Include or Exclude]], 60)</f>
        <v>Ingredient 3 percent</v>
      </c>
      <c r="M149" s="54" t="str" cm="1">
        <f t="array" ref="M149">Common_InputFunctions.Utility_DisplayArrayInTable(Fertiliser_SourceData.Fertiliser_Products_Data4(),FertiliserProducts[[#Headers],[Include or Exclude]], 60)</f>
        <v>Ingredient 3 source</v>
      </c>
      <c r="N149" s="54" t="str" cm="1">
        <f t="array" ref="N149">Common_InputFunctions.Utility_DisplayArrayInTable(Fertiliser_SourceData.Fertiliser_Products_Data4(),FertiliserProducts[[#Headers],[Include or Exclude]], 60)</f>
        <v>Ingredient 4</v>
      </c>
      <c r="O149" s="54" t="str" cm="1">
        <f t="array" ref="O149">Common_InputFunctions.Utility_DisplayArrayInTable(Fertiliser_SourceData.Fertiliser_Products_Data4(),FertiliserProducts[[#Headers],[Include or Exclude]], 60)</f>
        <v>Ingredient 4 percent</v>
      </c>
      <c r="P149" s="54" t="str" cm="1">
        <f t="array" ref="P149">Common_InputFunctions.Utility_DisplayArrayInTable(Fertiliser_SourceData.Fertiliser_Products_Data4(),FertiliserProducts[[#Headers],[Include or Exclude]], 60)</f>
        <v>Ingredient 4 source</v>
      </c>
      <c r="Q149" s="54" t="str" cm="1">
        <f t="array" ref="Q149">Common_InputFunctions.Utility_DisplayArrayInTable(Fertiliser_SourceData.Fertiliser_Products_Data4(),FertiliserProducts[[#Headers],[Include or Exclude]], 60)</f>
        <v>Ingredient 5</v>
      </c>
      <c r="R149" s="54" t="str" cm="1">
        <f t="array" ref="R149">Common_InputFunctions.Utility_DisplayArrayInTable(Fertiliser_SourceData.Fertiliser_Products_Data4(),FertiliserProducts[[#Headers],[Include or Exclude]], 60)</f>
        <v>Ingredient 5 percent</v>
      </c>
      <c r="S149" s="54" t="str" cm="1">
        <f t="array" ref="S149">Common_InputFunctions.Utility_DisplayArrayInTable(Fertiliser_SourceData.Fertiliser_Products_Data4(),FertiliserProducts[[#Headers],[Include or Exclude]], 60)</f>
        <v>Ingredient 5 source</v>
      </c>
      <c r="T149" s="54" t="str" cm="1">
        <f t="array" ref="T149">Common_InputFunctions.Utility_DisplayArrayInTable(Fertiliser_SourceData.Fertiliser_Products_Data4(),FertiliserProducts[[#Headers],[Include or Exclude]], 60)</f>
        <v>Ingredient 6</v>
      </c>
      <c r="U149" s="54" t="str" cm="1">
        <f t="array" ref="U149">Common_InputFunctions.Utility_DisplayArrayInTable(Fertiliser_SourceData.Fertiliser_Products_Data4(),FertiliserProducts[[#Headers],[Include or Exclude]], 60)</f>
        <v>Ingredient 6 percent</v>
      </c>
      <c r="V149" s="54" t="str" cm="1">
        <f t="array" ref="V149">Common_InputFunctions.Utility_DisplayArrayInTable(Fertiliser_SourceData.Fertiliser_Products_Data4(),FertiliserProducts[[#Headers],[Include or Exclude]], 60)</f>
        <v>Ingredient 6 source</v>
      </c>
      <c r="W149" s="54" t="str" cm="1">
        <f t="array" ref="W149">Common_InputFunctions.Utility_DisplayArrayInTable(Fertiliser_SourceData.Fertiliser_Products_Data4(),FertiliserProducts[[#Headers],[Include or Exclude]], 60)</f>
        <v>Product info link</v>
      </c>
      <c r="X149" s="54" t="str" cm="1">
        <f t="array" ref="X149">Common_InputFunctions.Utility_DisplayArrayInTable(Fertiliser_SourceData.Fertiliser_Products_Data4(),FertiliserProducts[[#Headers],[Include or Exclude]], 60)</f>
        <v/>
      </c>
      <c r="Y149" s="54" t="str" cm="1">
        <f t="array" ref="Y149">Common_InputFunctions.Utility_DisplayArrayInTable(Fertiliser_SourceData.Fertiliser_Products_Data4(),FertiliserProducts[[#Headers],[Include or Exclude]], 60)</f>
        <v/>
      </c>
      <c r="Z149" s="54" t="str" cm="1">
        <f t="array" ref="Z149">Common_InputFunctions.Utility_DisplayArrayInTable(Fertiliser_SourceData.Fertiliser_Products_Data4(),FertiliserProducts[[#Headers],[Include or Exclude]], 60)</f>
        <v/>
      </c>
      <c r="AA149" s="10" t="str" cm="1">
        <f t="array" ref="AA149">Common_InputFunctions.Utility_DisplayArrayInTable(Fertiliser_SourceData.Fertiliser_Products_Data4(),FertiliserProducts[[#Headers],[Include or Exclude]], 60)</f>
        <v/>
      </c>
      <c r="AB149" s="10" t="str" cm="1">
        <f t="array" ref="AB149">Common_InputFunctions.Utility_DisplayArrayInTable(Fertiliser_SourceData.Fertiliser_Products_Data4(),FertiliserProducts[[#Headers],[Include or Exclude]], 60)</f>
        <v/>
      </c>
      <c r="AC149" s="10" t="str" cm="1">
        <f t="array" ref="AC149">Common_InputFunctions.Utility_DisplayArrayInTable(Fertiliser_SourceData.Fertiliser_Products_Data4(),FertiliserProducts[[#Headers],[Include or Exclude]], 60)</f>
        <v/>
      </c>
      <c r="AD149" s="10" t="str" cm="1">
        <f t="array" ref="AD149">Common_InputFunctions.Utility_DisplayArrayInTable(Fertiliser_SourceData.Fertiliser_Products_Data4(),FertiliserProducts[[#Headers],[Include or Exclude]], 60)</f>
        <v/>
      </c>
      <c r="AE149" s="10" t="str" cm="1">
        <f t="array" ref="AE149">Common_InputFunctions.Utility_DisplayArrayInTable(Fertiliser_SourceData.Fertiliser_Products_Data4(),FertiliserProducts[[#Headers],[Include or Exclude]], 60)</f>
        <v/>
      </c>
    </row>
    <row r="150" spans="4:31" ht="20.100000000000001" customHeight="1" x14ac:dyDescent="0.25">
      <c r="D150" s="54" t="str" cm="1">
        <f t="array" ref="D150">Common_InputFunctions.Utility_DisplayArrayInTable(Fertiliser_SourceData.Fertiliser_Products_Data4(),FertiliserProducts[[#Headers],[Include or Exclude]], 60)</f>
        <v>YaraVita BRASSITREL PRO</v>
      </c>
      <c r="E150" s="54" t="str" cm="1">
        <f t="array" ref="E150">Common_InputFunctions.Utility_DisplayArrayInTable(Fertiliser_SourceData.Fertiliser_Products_Data4(),FertiliserProducts[[#Headers],[Include or Exclude]], 60)</f>
        <v/>
      </c>
      <c r="F150" s="54" t="str" cm="1">
        <f t="array" ref="F150">Common_InputFunctions.Utility_DisplayArrayInTable(Fertiliser_SourceData.Fertiliser_Products_Data4(),FertiliserProducts[[#Headers],[Include or Exclude]], 60)</f>
        <v/>
      </c>
      <c r="G150" s="54" t="str" cm="1">
        <f t="array" ref="G150">Common_InputFunctions.Utility_DisplayArrayInTable(Fertiliser_SourceData.Fertiliser_Products_Data4(),FertiliserProducts[[#Headers],[Include or Exclude]], 60)</f>
        <v/>
      </c>
      <c r="H150" s="54" t="str" cm="1">
        <f t="array" ref="H150">Common_InputFunctions.Utility_DisplayArrayInTable(Fertiliser_SourceData.Fertiliser_Products_Data4(),FertiliserProducts[[#Headers],[Include or Exclude]], 60)</f>
        <v/>
      </c>
      <c r="I150" s="54" t="str" cm="1">
        <f t="array" ref="I150">Common_InputFunctions.Utility_DisplayArrayInTable(Fertiliser_SourceData.Fertiliser_Products_Data4(),FertiliserProducts[[#Headers],[Include or Exclude]], 60)</f>
        <v/>
      </c>
      <c r="J150" s="54" t="str" cm="1">
        <f t="array" ref="J150">Common_InputFunctions.Utility_DisplayArrayInTable(Fertiliser_SourceData.Fertiliser_Products_Data4(),FertiliserProducts[[#Headers],[Include or Exclude]], 60)</f>
        <v/>
      </c>
      <c r="K150" s="54" t="str" cm="1">
        <f t="array" ref="K150">Common_InputFunctions.Utility_DisplayArrayInTable(Fertiliser_SourceData.Fertiliser_Products_Data4(),FertiliserProducts[[#Headers],[Include or Exclude]], 60)</f>
        <v/>
      </c>
      <c r="L150" s="54" t="str" cm="1">
        <f t="array" ref="L150">Common_InputFunctions.Utility_DisplayArrayInTable(Fertiliser_SourceData.Fertiliser_Products_Data4(),FertiliserProducts[[#Headers],[Include or Exclude]], 60)</f>
        <v/>
      </c>
      <c r="M150" s="54" t="str" cm="1">
        <f t="array" ref="M150">Common_InputFunctions.Utility_DisplayArrayInTable(Fertiliser_SourceData.Fertiliser_Products_Data4(),FertiliserProducts[[#Headers],[Include or Exclude]], 60)</f>
        <v/>
      </c>
      <c r="N150" s="54" t="str" cm="1">
        <f t="array" ref="N150">Common_InputFunctions.Utility_DisplayArrayInTable(Fertiliser_SourceData.Fertiliser_Products_Data4(),FertiliserProducts[[#Headers],[Include or Exclude]], 60)</f>
        <v/>
      </c>
      <c r="O150" s="54" t="str" cm="1">
        <f t="array" ref="O150">Common_InputFunctions.Utility_DisplayArrayInTable(Fertiliser_SourceData.Fertiliser_Products_Data4(),FertiliserProducts[[#Headers],[Include or Exclude]], 60)</f>
        <v/>
      </c>
      <c r="P150" s="54" t="str" cm="1">
        <f t="array" ref="P150">Common_InputFunctions.Utility_DisplayArrayInTable(Fertiliser_SourceData.Fertiliser_Products_Data4(),FertiliserProducts[[#Headers],[Include or Exclude]], 60)</f>
        <v/>
      </c>
      <c r="Q150" s="54" t="str" cm="1">
        <f t="array" ref="Q150">Common_InputFunctions.Utility_DisplayArrayInTable(Fertiliser_SourceData.Fertiliser_Products_Data4(),FertiliserProducts[[#Headers],[Include or Exclude]], 60)</f>
        <v/>
      </c>
      <c r="R150" s="54" t="str" cm="1">
        <f t="array" ref="R150">Common_InputFunctions.Utility_DisplayArrayInTable(Fertiliser_SourceData.Fertiliser_Products_Data4(),FertiliserProducts[[#Headers],[Include or Exclude]], 60)</f>
        <v/>
      </c>
      <c r="S150" s="54" t="str" cm="1">
        <f t="array" ref="S150">Common_InputFunctions.Utility_DisplayArrayInTable(Fertiliser_SourceData.Fertiliser_Products_Data4(),FertiliserProducts[[#Headers],[Include or Exclude]], 60)</f>
        <v/>
      </c>
      <c r="T150" s="54" t="str" cm="1">
        <f t="array" ref="T150">Common_InputFunctions.Utility_DisplayArrayInTable(Fertiliser_SourceData.Fertiliser_Products_Data4(),FertiliserProducts[[#Headers],[Include or Exclude]], 60)</f>
        <v/>
      </c>
      <c r="U150" s="54" t="str" cm="1">
        <f t="array" ref="U150">Common_InputFunctions.Utility_DisplayArrayInTable(Fertiliser_SourceData.Fertiliser_Products_Data4(),FertiliserProducts[[#Headers],[Include or Exclude]], 60)</f>
        <v/>
      </c>
      <c r="V150" s="54" t="str" cm="1">
        <f t="array" ref="V150">Common_InputFunctions.Utility_DisplayArrayInTable(Fertiliser_SourceData.Fertiliser_Products_Data4(),FertiliserProducts[[#Headers],[Include or Exclude]], 60)</f>
        <v/>
      </c>
      <c r="W150" s="54" t="str" cm="1">
        <f t="array" ref="W150">Common_InputFunctions.Utility_DisplayArrayInTable(Fertiliser_SourceData.Fertiliser_Products_Data4(),FertiliserProducts[[#Headers],[Include or Exclude]], 60)</f>
        <v>Crop Nutrition Solutions (Yara Australia)</v>
      </c>
      <c r="X150" s="54" t="str" cm="1">
        <f t="array" ref="X150">Common_InputFunctions.Utility_DisplayArrayInTable(Fertiliser_SourceData.Fertiliser_Products_Data4(),FertiliserProducts[[#Headers],[Include or Exclude]], 60)</f>
        <v/>
      </c>
      <c r="Y150" s="54" t="str" cm="1">
        <f t="array" ref="Y150">Common_InputFunctions.Utility_DisplayArrayInTable(Fertiliser_SourceData.Fertiliser_Products_Data4(),FertiliserProducts[[#Headers],[Include or Exclude]], 60)</f>
        <v/>
      </c>
      <c r="Z150" s="54" t="str" cm="1">
        <f t="array" ref="Z150">Common_InputFunctions.Utility_DisplayArrayInTable(Fertiliser_SourceData.Fertiliser_Products_Data4(),FertiliserProducts[[#Headers],[Include or Exclude]], 60)</f>
        <v/>
      </c>
      <c r="AA150" s="10" t="str" cm="1">
        <f t="array" ref="AA150">Common_InputFunctions.Utility_DisplayArrayInTable(Fertiliser_SourceData.Fertiliser_Products_Data4(),FertiliserProducts[[#Headers],[Include or Exclude]], 60)</f>
        <v/>
      </c>
      <c r="AB150" s="10" t="str" cm="1">
        <f t="array" ref="AB150">Common_InputFunctions.Utility_DisplayArrayInTable(Fertiliser_SourceData.Fertiliser_Products_Data4(),FertiliserProducts[[#Headers],[Include or Exclude]], 60)</f>
        <v/>
      </c>
      <c r="AC150" s="10" t="str" cm="1">
        <f t="array" ref="AC150">Common_InputFunctions.Utility_DisplayArrayInTable(Fertiliser_SourceData.Fertiliser_Products_Data4(),FertiliserProducts[[#Headers],[Include or Exclude]], 60)</f>
        <v/>
      </c>
      <c r="AD150" s="10" t="str" cm="1">
        <f t="array" ref="AD150">Common_InputFunctions.Utility_DisplayArrayInTable(Fertiliser_SourceData.Fertiliser_Products_Data4(),FertiliserProducts[[#Headers],[Include or Exclude]], 60)</f>
        <v/>
      </c>
      <c r="AE150" s="10" t="str" cm="1">
        <f t="array" ref="AE150">Common_InputFunctions.Utility_DisplayArrayInTable(Fertiliser_SourceData.Fertiliser_Products_Data4(),FertiliserProducts[[#Headers],[Include or Exclude]], 60)</f>
        <v/>
      </c>
    </row>
    <row r="151" spans="4:31" ht="20.100000000000001" customHeight="1" x14ac:dyDescent="0.25">
      <c r="D151" s="54" t="str" cm="1">
        <f t="array" ref="D151">Common_InputFunctions.Utility_DisplayArrayInTable(Fertiliser_SourceData.Fertiliser_Products_Data4(),FertiliserProducts[[#Headers],[Include or Exclude]], 60)</f>
        <v>YaraVita BUD BUILDER FL</v>
      </c>
      <c r="E151" s="54" t="str" cm="1">
        <f t="array" ref="E151">Common_InputFunctions.Utility_DisplayArrayInTable(Fertiliser_SourceData.Fertiliser_Products_Data4(),FertiliserProducts[[#Headers],[Include or Exclude]], 60)</f>
        <v/>
      </c>
      <c r="F151" s="54" t="str" cm="1">
        <f t="array" ref="F151">Common_InputFunctions.Utility_DisplayArrayInTable(Fertiliser_SourceData.Fertiliser_Products_Data4(),FertiliserProducts[[#Headers],[Include or Exclude]], 60)</f>
        <v/>
      </c>
      <c r="G151" s="54" t="str" cm="1">
        <f t="array" ref="G151">Common_InputFunctions.Utility_DisplayArrayInTable(Fertiliser_SourceData.Fertiliser_Products_Data4(),FertiliserProducts[[#Headers],[Include or Exclude]], 60)</f>
        <v/>
      </c>
      <c r="H151" s="54" t="str" cm="1">
        <f t="array" ref="H151">Common_InputFunctions.Utility_DisplayArrayInTable(Fertiliser_SourceData.Fertiliser_Products_Data4(),FertiliserProducts[[#Headers],[Include or Exclude]], 60)</f>
        <v/>
      </c>
      <c r="I151" s="54" t="str" cm="1">
        <f t="array" ref="I151">Common_InputFunctions.Utility_DisplayArrayInTable(Fertiliser_SourceData.Fertiliser_Products_Data4(),FertiliserProducts[[#Headers],[Include or Exclude]], 60)</f>
        <v/>
      </c>
      <c r="J151" s="54" t="str" cm="1">
        <f t="array" ref="J151">Common_InputFunctions.Utility_DisplayArrayInTable(Fertiliser_SourceData.Fertiliser_Products_Data4(),FertiliserProducts[[#Headers],[Include or Exclude]], 60)</f>
        <v/>
      </c>
      <c r="K151" s="54" t="str" cm="1">
        <f t="array" ref="K151">Common_InputFunctions.Utility_DisplayArrayInTable(Fertiliser_SourceData.Fertiliser_Products_Data4(),FertiliserProducts[[#Headers],[Include or Exclude]], 60)</f>
        <v/>
      </c>
      <c r="L151" s="54" t="str" cm="1">
        <f t="array" ref="L151">Common_InputFunctions.Utility_DisplayArrayInTable(Fertiliser_SourceData.Fertiliser_Products_Data4(),FertiliserProducts[[#Headers],[Include or Exclude]], 60)</f>
        <v/>
      </c>
      <c r="M151" s="54" t="str" cm="1">
        <f t="array" ref="M151">Common_InputFunctions.Utility_DisplayArrayInTable(Fertiliser_SourceData.Fertiliser_Products_Data4(),FertiliserProducts[[#Headers],[Include or Exclude]], 60)</f>
        <v/>
      </c>
      <c r="N151" s="54" t="str" cm="1">
        <f t="array" ref="N151">Common_InputFunctions.Utility_DisplayArrayInTable(Fertiliser_SourceData.Fertiliser_Products_Data4(),FertiliserProducts[[#Headers],[Include or Exclude]], 60)</f>
        <v/>
      </c>
      <c r="O151" s="54" t="str" cm="1">
        <f t="array" ref="O151">Common_InputFunctions.Utility_DisplayArrayInTable(Fertiliser_SourceData.Fertiliser_Products_Data4(),FertiliserProducts[[#Headers],[Include or Exclude]], 60)</f>
        <v/>
      </c>
      <c r="P151" s="54" t="str" cm="1">
        <f t="array" ref="P151">Common_InputFunctions.Utility_DisplayArrayInTable(Fertiliser_SourceData.Fertiliser_Products_Data4(),FertiliserProducts[[#Headers],[Include or Exclude]], 60)</f>
        <v/>
      </c>
      <c r="Q151" s="54" t="str" cm="1">
        <f t="array" ref="Q151">Common_InputFunctions.Utility_DisplayArrayInTable(Fertiliser_SourceData.Fertiliser_Products_Data4(),FertiliserProducts[[#Headers],[Include or Exclude]], 60)</f>
        <v/>
      </c>
      <c r="R151" s="54" t="str" cm="1">
        <f t="array" ref="R151">Common_InputFunctions.Utility_DisplayArrayInTable(Fertiliser_SourceData.Fertiliser_Products_Data4(),FertiliserProducts[[#Headers],[Include or Exclude]], 60)</f>
        <v/>
      </c>
      <c r="S151" s="54" t="str" cm="1">
        <f t="array" ref="S151">Common_InputFunctions.Utility_DisplayArrayInTable(Fertiliser_SourceData.Fertiliser_Products_Data4(),FertiliserProducts[[#Headers],[Include or Exclude]], 60)</f>
        <v/>
      </c>
      <c r="T151" s="54" t="str" cm="1">
        <f t="array" ref="T151">Common_InputFunctions.Utility_DisplayArrayInTable(Fertiliser_SourceData.Fertiliser_Products_Data4(),FertiliserProducts[[#Headers],[Include or Exclude]], 60)</f>
        <v/>
      </c>
      <c r="U151" s="54" t="str" cm="1">
        <f t="array" ref="U151">Common_InputFunctions.Utility_DisplayArrayInTable(Fertiliser_SourceData.Fertiliser_Products_Data4(),FertiliserProducts[[#Headers],[Include or Exclude]], 60)</f>
        <v/>
      </c>
      <c r="V151" s="54" t="str" cm="1">
        <f t="array" ref="V151">Common_InputFunctions.Utility_DisplayArrayInTable(Fertiliser_SourceData.Fertiliser_Products_Data4(),FertiliserProducts[[#Headers],[Include or Exclude]], 60)</f>
        <v/>
      </c>
      <c r="W151" s="54" t="str" cm="1">
        <f t="array" ref="W151">Common_InputFunctions.Utility_DisplayArrayInTable(Fertiliser_SourceData.Fertiliser_Products_Data4(),FertiliserProducts[[#Headers],[Include or Exclude]], 60)</f>
        <v>Crop Nutrition Solutions (Yara Australia)</v>
      </c>
      <c r="X151" s="54" t="str" cm="1">
        <f t="array" ref="X151">Common_InputFunctions.Utility_DisplayArrayInTable(Fertiliser_SourceData.Fertiliser_Products_Data4(),FertiliserProducts[[#Headers],[Include or Exclude]], 60)</f>
        <v/>
      </c>
      <c r="Y151" s="54" t="str" cm="1">
        <f t="array" ref="Y151">Common_InputFunctions.Utility_DisplayArrayInTable(Fertiliser_SourceData.Fertiliser_Products_Data4(),FertiliserProducts[[#Headers],[Include or Exclude]], 60)</f>
        <v/>
      </c>
      <c r="Z151" s="54" t="str" cm="1">
        <f t="array" ref="Z151">Common_InputFunctions.Utility_DisplayArrayInTable(Fertiliser_SourceData.Fertiliser_Products_Data4(),FertiliserProducts[[#Headers],[Include or Exclude]], 60)</f>
        <v/>
      </c>
      <c r="AA151" s="10" t="str" cm="1">
        <f t="array" ref="AA151">Common_InputFunctions.Utility_DisplayArrayInTable(Fertiliser_SourceData.Fertiliser_Products_Data4(),FertiliserProducts[[#Headers],[Include or Exclude]], 60)</f>
        <v/>
      </c>
      <c r="AB151" s="10" t="str" cm="1">
        <f t="array" ref="AB151">Common_InputFunctions.Utility_DisplayArrayInTable(Fertiliser_SourceData.Fertiliser_Products_Data4(),FertiliserProducts[[#Headers],[Include or Exclude]], 60)</f>
        <v/>
      </c>
      <c r="AC151" s="10" t="str" cm="1">
        <f t="array" ref="AC151">Common_InputFunctions.Utility_DisplayArrayInTable(Fertiliser_SourceData.Fertiliser_Products_Data4(),FertiliserProducts[[#Headers],[Include or Exclude]], 60)</f>
        <v/>
      </c>
      <c r="AD151" s="10" t="str" cm="1">
        <f t="array" ref="AD151">Common_InputFunctions.Utility_DisplayArrayInTable(Fertiliser_SourceData.Fertiliser_Products_Data4(),FertiliserProducts[[#Headers],[Include or Exclude]], 60)</f>
        <v/>
      </c>
      <c r="AE151" s="10" t="str" cm="1">
        <f t="array" ref="AE151">Common_InputFunctions.Utility_DisplayArrayInTable(Fertiliser_SourceData.Fertiliser_Products_Data4(),FertiliserProducts[[#Headers],[Include or Exclude]], 60)</f>
        <v/>
      </c>
    </row>
    <row r="152" spans="4:31" ht="20.100000000000001" customHeight="1" x14ac:dyDescent="0.25">
      <c r="D152" s="54" t="str" cm="1">
        <f t="array" ref="D152">Common_InputFunctions.Utility_DisplayArrayInTable(Fertiliser_SourceData.Fertiliser_Products_Data4(),FertiliserProducts[[#Headers],[Include or Exclude]], 60)</f>
        <v>YaraVita FRUTREL</v>
      </c>
      <c r="E152" s="54" t="str" cm="1">
        <f t="array" ref="E152">Common_InputFunctions.Utility_DisplayArrayInTable(Fertiliser_SourceData.Fertiliser_Products_Data4(),FertiliserProducts[[#Headers],[Include or Exclude]], 60)</f>
        <v/>
      </c>
      <c r="F152" s="54" t="str" cm="1">
        <f t="array" ref="F152">Common_InputFunctions.Utility_DisplayArrayInTable(Fertiliser_SourceData.Fertiliser_Products_Data4(),FertiliserProducts[[#Headers],[Include or Exclude]], 60)</f>
        <v/>
      </c>
      <c r="G152" s="54" t="str" cm="1">
        <f t="array" ref="G152">Common_InputFunctions.Utility_DisplayArrayInTable(Fertiliser_SourceData.Fertiliser_Products_Data4(),FertiliserProducts[[#Headers],[Include or Exclude]], 60)</f>
        <v/>
      </c>
      <c r="H152" s="54" t="str" cm="1">
        <f t="array" ref="H152">Common_InputFunctions.Utility_DisplayArrayInTable(Fertiliser_SourceData.Fertiliser_Products_Data4(),FertiliserProducts[[#Headers],[Include or Exclude]], 60)</f>
        <v/>
      </c>
      <c r="I152" s="54" t="str" cm="1">
        <f t="array" ref="I152">Common_InputFunctions.Utility_DisplayArrayInTable(Fertiliser_SourceData.Fertiliser_Products_Data4(),FertiliserProducts[[#Headers],[Include or Exclude]], 60)</f>
        <v/>
      </c>
      <c r="J152" s="54" t="str" cm="1">
        <f t="array" ref="J152">Common_InputFunctions.Utility_DisplayArrayInTable(Fertiliser_SourceData.Fertiliser_Products_Data4(),FertiliserProducts[[#Headers],[Include or Exclude]], 60)</f>
        <v/>
      </c>
      <c r="K152" s="54" t="str" cm="1">
        <f t="array" ref="K152">Common_InputFunctions.Utility_DisplayArrayInTable(Fertiliser_SourceData.Fertiliser_Products_Data4(),FertiliserProducts[[#Headers],[Include or Exclude]], 60)</f>
        <v/>
      </c>
      <c r="L152" s="54" t="str" cm="1">
        <f t="array" ref="L152">Common_InputFunctions.Utility_DisplayArrayInTable(Fertiliser_SourceData.Fertiliser_Products_Data4(),FertiliserProducts[[#Headers],[Include or Exclude]], 60)</f>
        <v/>
      </c>
      <c r="M152" s="54" t="str" cm="1">
        <f t="array" ref="M152">Common_InputFunctions.Utility_DisplayArrayInTable(Fertiliser_SourceData.Fertiliser_Products_Data4(),FertiliserProducts[[#Headers],[Include or Exclude]], 60)</f>
        <v/>
      </c>
      <c r="N152" s="54" t="str" cm="1">
        <f t="array" ref="N152">Common_InputFunctions.Utility_DisplayArrayInTable(Fertiliser_SourceData.Fertiliser_Products_Data4(),FertiliserProducts[[#Headers],[Include or Exclude]], 60)</f>
        <v/>
      </c>
      <c r="O152" s="54" t="str" cm="1">
        <f t="array" ref="O152">Common_InputFunctions.Utility_DisplayArrayInTable(Fertiliser_SourceData.Fertiliser_Products_Data4(),FertiliserProducts[[#Headers],[Include or Exclude]], 60)</f>
        <v/>
      </c>
      <c r="P152" s="54" t="str" cm="1">
        <f t="array" ref="P152">Common_InputFunctions.Utility_DisplayArrayInTable(Fertiliser_SourceData.Fertiliser_Products_Data4(),FertiliserProducts[[#Headers],[Include or Exclude]], 60)</f>
        <v/>
      </c>
      <c r="Q152" s="54" t="str" cm="1">
        <f t="array" ref="Q152">Common_InputFunctions.Utility_DisplayArrayInTable(Fertiliser_SourceData.Fertiliser_Products_Data4(),FertiliserProducts[[#Headers],[Include or Exclude]], 60)</f>
        <v/>
      </c>
      <c r="R152" s="54" t="str" cm="1">
        <f t="array" ref="R152">Common_InputFunctions.Utility_DisplayArrayInTable(Fertiliser_SourceData.Fertiliser_Products_Data4(),FertiliserProducts[[#Headers],[Include or Exclude]], 60)</f>
        <v/>
      </c>
      <c r="S152" s="54" t="str" cm="1">
        <f t="array" ref="S152">Common_InputFunctions.Utility_DisplayArrayInTable(Fertiliser_SourceData.Fertiliser_Products_Data4(),FertiliserProducts[[#Headers],[Include or Exclude]], 60)</f>
        <v/>
      </c>
      <c r="T152" s="54" t="str" cm="1">
        <f t="array" ref="T152">Common_InputFunctions.Utility_DisplayArrayInTable(Fertiliser_SourceData.Fertiliser_Products_Data4(),FertiliserProducts[[#Headers],[Include or Exclude]], 60)</f>
        <v/>
      </c>
      <c r="U152" s="54" t="str" cm="1">
        <f t="array" ref="U152">Common_InputFunctions.Utility_DisplayArrayInTable(Fertiliser_SourceData.Fertiliser_Products_Data4(),FertiliserProducts[[#Headers],[Include or Exclude]], 60)</f>
        <v/>
      </c>
      <c r="V152" s="54" t="str" cm="1">
        <f t="array" ref="V152">Common_InputFunctions.Utility_DisplayArrayInTable(Fertiliser_SourceData.Fertiliser_Products_Data4(),FertiliserProducts[[#Headers],[Include or Exclude]], 60)</f>
        <v/>
      </c>
      <c r="W152" s="54" t="str" cm="1">
        <f t="array" ref="W152">Common_InputFunctions.Utility_DisplayArrayInTable(Fertiliser_SourceData.Fertiliser_Products_Data4(),FertiliserProducts[[#Headers],[Include or Exclude]], 60)</f>
        <v>Crop Nutrition Solutions (Yara Australia)</v>
      </c>
      <c r="X152" s="54" t="str" cm="1">
        <f t="array" ref="X152">Common_InputFunctions.Utility_DisplayArrayInTable(Fertiliser_SourceData.Fertiliser_Products_Data4(),FertiliserProducts[[#Headers],[Include or Exclude]], 60)</f>
        <v/>
      </c>
      <c r="Y152" s="54" t="str" cm="1">
        <f t="array" ref="Y152">Common_InputFunctions.Utility_DisplayArrayInTable(Fertiliser_SourceData.Fertiliser_Products_Data4(),FertiliserProducts[[#Headers],[Include or Exclude]], 60)</f>
        <v/>
      </c>
      <c r="Z152" s="54" t="str" cm="1">
        <f t="array" ref="Z152">Common_InputFunctions.Utility_DisplayArrayInTable(Fertiliser_SourceData.Fertiliser_Products_Data4(),FertiliserProducts[[#Headers],[Include or Exclude]], 60)</f>
        <v/>
      </c>
      <c r="AA152" s="10" t="str" cm="1">
        <f t="array" ref="AA152">Common_InputFunctions.Utility_DisplayArrayInTable(Fertiliser_SourceData.Fertiliser_Products_Data4(),FertiliserProducts[[#Headers],[Include or Exclude]], 60)</f>
        <v/>
      </c>
      <c r="AB152" s="10" t="str" cm="1">
        <f t="array" ref="AB152">Common_InputFunctions.Utility_DisplayArrayInTable(Fertiliser_SourceData.Fertiliser_Products_Data4(),FertiliserProducts[[#Headers],[Include or Exclude]], 60)</f>
        <v/>
      </c>
      <c r="AC152" s="10" t="str" cm="1">
        <f t="array" ref="AC152">Common_InputFunctions.Utility_DisplayArrayInTable(Fertiliser_SourceData.Fertiliser_Products_Data4(),FertiliserProducts[[#Headers],[Include or Exclude]], 60)</f>
        <v/>
      </c>
      <c r="AD152" s="10" t="str" cm="1">
        <f t="array" ref="AD152">Common_InputFunctions.Utility_DisplayArrayInTable(Fertiliser_SourceData.Fertiliser_Products_Data4(),FertiliserProducts[[#Headers],[Include or Exclude]], 60)</f>
        <v/>
      </c>
      <c r="AE152" s="10" t="str" cm="1">
        <f t="array" ref="AE152">Common_InputFunctions.Utility_DisplayArrayInTable(Fertiliser_SourceData.Fertiliser_Products_Data4(),FertiliserProducts[[#Headers],[Include or Exclude]], 60)</f>
        <v/>
      </c>
    </row>
    <row r="153" spans="4:31" ht="20.100000000000001" customHeight="1" x14ac:dyDescent="0.25">
      <c r="D153" s="54" t="str" cm="1">
        <f t="array" ref="D153">Common_InputFunctions.Utility_DisplayArrayInTable(Fertiliser_SourceData.Fertiliser_Products_Data4(),FertiliserProducts[[#Headers],[Include or Exclude]], 60)</f>
        <v>YaraVita GLYTREL ZnP</v>
      </c>
      <c r="E153" s="54" t="str" cm="1">
        <f t="array" ref="E153">Common_InputFunctions.Utility_DisplayArrayInTable(Fertiliser_SourceData.Fertiliser_Products_Data4(),FertiliserProducts[[#Headers],[Include or Exclude]], 60)</f>
        <v/>
      </c>
      <c r="F153" s="54" t="str" cm="1">
        <f t="array" ref="F153">Common_InputFunctions.Utility_DisplayArrayInTable(Fertiliser_SourceData.Fertiliser_Products_Data4(),FertiliserProducts[[#Headers],[Include or Exclude]], 60)</f>
        <v/>
      </c>
      <c r="G153" s="54" t="str" cm="1">
        <f t="array" ref="G153">Common_InputFunctions.Utility_DisplayArrayInTable(Fertiliser_SourceData.Fertiliser_Products_Data4(),FertiliserProducts[[#Headers],[Include or Exclude]], 60)</f>
        <v/>
      </c>
      <c r="H153" s="54" t="str" cm="1">
        <f t="array" ref="H153">Common_InputFunctions.Utility_DisplayArrayInTable(Fertiliser_SourceData.Fertiliser_Products_Data4(),FertiliserProducts[[#Headers],[Include or Exclude]], 60)</f>
        <v/>
      </c>
      <c r="I153" s="54" t="str" cm="1">
        <f t="array" ref="I153">Common_InputFunctions.Utility_DisplayArrayInTable(Fertiliser_SourceData.Fertiliser_Products_Data4(),FertiliserProducts[[#Headers],[Include or Exclude]], 60)</f>
        <v/>
      </c>
      <c r="J153" s="54" t="str" cm="1">
        <f t="array" ref="J153">Common_InputFunctions.Utility_DisplayArrayInTable(Fertiliser_SourceData.Fertiliser_Products_Data4(),FertiliserProducts[[#Headers],[Include or Exclude]], 60)</f>
        <v/>
      </c>
      <c r="K153" s="54" t="str" cm="1">
        <f t="array" ref="K153">Common_InputFunctions.Utility_DisplayArrayInTable(Fertiliser_SourceData.Fertiliser_Products_Data4(),FertiliserProducts[[#Headers],[Include or Exclude]], 60)</f>
        <v/>
      </c>
      <c r="L153" s="54" t="str" cm="1">
        <f t="array" ref="L153">Common_InputFunctions.Utility_DisplayArrayInTable(Fertiliser_SourceData.Fertiliser_Products_Data4(),FertiliserProducts[[#Headers],[Include or Exclude]], 60)</f>
        <v/>
      </c>
      <c r="M153" s="54" t="str" cm="1">
        <f t="array" ref="M153">Common_InputFunctions.Utility_DisplayArrayInTable(Fertiliser_SourceData.Fertiliser_Products_Data4(),FertiliserProducts[[#Headers],[Include or Exclude]], 60)</f>
        <v/>
      </c>
      <c r="N153" s="54" t="str" cm="1">
        <f t="array" ref="N153">Common_InputFunctions.Utility_DisplayArrayInTable(Fertiliser_SourceData.Fertiliser_Products_Data4(),FertiliserProducts[[#Headers],[Include or Exclude]], 60)</f>
        <v/>
      </c>
      <c r="O153" s="54" t="str" cm="1">
        <f t="array" ref="O153">Common_InputFunctions.Utility_DisplayArrayInTable(Fertiliser_SourceData.Fertiliser_Products_Data4(),FertiliserProducts[[#Headers],[Include or Exclude]], 60)</f>
        <v/>
      </c>
      <c r="P153" s="54" t="str" cm="1">
        <f t="array" ref="P153">Common_InputFunctions.Utility_DisplayArrayInTable(Fertiliser_SourceData.Fertiliser_Products_Data4(),FertiliserProducts[[#Headers],[Include or Exclude]], 60)</f>
        <v/>
      </c>
      <c r="Q153" s="54" t="str" cm="1">
        <f t="array" ref="Q153">Common_InputFunctions.Utility_DisplayArrayInTable(Fertiliser_SourceData.Fertiliser_Products_Data4(),FertiliserProducts[[#Headers],[Include or Exclude]], 60)</f>
        <v/>
      </c>
      <c r="R153" s="54" t="str" cm="1">
        <f t="array" ref="R153">Common_InputFunctions.Utility_DisplayArrayInTable(Fertiliser_SourceData.Fertiliser_Products_Data4(),FertiliserProducts[[#Headers],[Include or Exclude]], 60)</f>
        <v/>
      </c>
      <c r="S153" s="54" t="str" cm="1">
        <f t="array" ref="S153">Common_InputFunctions.Utility_DisplayArrayInTable(Fertiliser_SourceData.Fertiliser_Products_Data4(),FertiliserProducts[[#Headers],[Include or Exclude]], 60)</f>
        <v/>
      </c>
      <c r="T153" s="54" t="str" cm="1">
        <f t="array" ref="T153">Common_InputFunctions.Utility_DisplayArrayInTable(Fertiliser_SourceData.Fertiliser_Products_Data4(),FertiliserProducts[[#Headers],[Include or Exclude]], 60)</f>
        <v/>
      </c>
      <c r="U153" s="54" t="str" cm="1">
        <f t="array" ref="U153">Common_InputFunctions.Utility_DisplayArrayInTable(Fertiliser_SourceData.Fertiliser_Products_Data4(),FertiliserProducts[[#Headers],[Include or Exclude]], 60)</f>
        <v/>
      </c>
      <c r="V153" s="54" t="str" cm="1">
        <f t="array" ref="V153">Common_InputFunctions.Utility_DisplayArrayInTable(Fertiliser_SourceData.Fertiliser_Products_Data4(),FertiliserProducts[[#Headers],[Include or Exclude]], 60)</f>
        <v/>
      </c>
      <c r="W153" s="54" t="str" cm="1">
        <f t="array" ref="W153">Common_InputFunctions.Utility_DisplayArrayInTable(Fertiliser_SourceData.Fertiliser_Products_Data4(),FertiliserProducts[[#Headers],[Include or Exclude]], 60)</f>
        <v>Crop Nutrition Solutions (Yara Australia)</v>
      </c>
      <c r="X153" s="54" t="str" cm="1">
        <f t="array" ref="X153">Common_InputFunctions.Utility_DisplayArrayInTable(Fertiliser_SourceData.Fertiliser_Products_Data4(),FertiliserProducts[[#Headers],[Include or Exclude]], 60)</f>
        <v/>
      </c>
      <c r="Y153" s="54" t="str" cm="1">
        <f t="array" ref="Y153">Common_InputFunctions.Utility_DisplayArrayInTable(Fertiliser_SourceData.Fertiliser_Products_Data4(),FertiliserProducts[[#Headers],[Include or Exclude]], 60)</f>
        <v/>
      </c>
      <c r="Z153" s="54" t="str" cm="1">
        <f t="array" ref="Z153">Common_InputFunctions.Utility_DisplayArrayInTable(Fertiliser_SourceData.Fertiliser_Products_Data4(),FertiliserProducts[[#Headers],[Include or Exclude]], 60)</f>
        <v/>
      </c>
      <c r="AA153" s="10" t="str" cm="1">
        <f t="array" ref="AA153">Common_InputFunctions.Utility_DisplayArrayInTable(Fertiliser_SourceData.Fertiliser_Products_Data4(),FertiliserProducts[[#Headers],[Include or Exclude]], 60)</f>
        <v/>
      </c>
      <c r="AB153" s="10" t="str" cm="1">
        <f t="array" ref="AB153">Common_InputFunctions.Utility_DisplayArrayInTable(Fertiliser_SourceData.Fertiliser_Products_Data4(),FertiliserProducts[[#Headers],[Include or Exclude]], 60)</f>
        <v/>
      </c>
      <c r="AC153" s="10" t="str" cm="1">
        <f t="array" ref="AC153">Common_InputFunctions.Utility_DisplayArrayInTable(Fertiliser_SourceData.Fertiliser_Products_Data4(),FertiliserProducts[[#Headers],[Include or Exclude]], 60)</f>
        <v/>
      </c>
      <c r="AD153" s="10" t="str" cm="1">
        <f t="array" ref="AD153">Common_InputFunctions.Utility_DisplayArrayInTable(Fertiliser_SourceData.Fertiliser_Products_Data4(),FertiliserProducts[[#Headers],[Include or Exclude]], 60)</f>
        <v/>
      </c>
      <c r="AE153" s="10" t="str" cm="1">
        <f t="array" ref="AE153">Common_InputFunctions.Utility_DisplayArrayInTable(Fertiliser_SourceData.Fertiliser_Products_Data4(),FertiliserProducts[[#Headers],[Include or Exclude]], 60)</f>
        <v/>
      </c>
    </row>
    <row r="154" spans="4:31" ht="20.100000000000001" customHeight="1" x14ac:dyDescent="0.25"/>
    <row r="155" spans="4:31" ht="20.100000000000001" customHeight="1" x14ac:dyDescent="0.25"/>
    <row r="156" spans="4:31" ht="20.100000000000001" customHeight="1" x14ac:dyDescent="0.25"/>
    <row r="157" spans="4:31" ht="20.100000000000001" customHeight="1" x14ac:dyDescent="0.25"/>
    <row r="158" spans="4:31" ht="20.100000000000001" customHeight="1" x14ac:dyDescent="0.25"/>
    <row r="159" spans="4:31" ht="20.100000000000001" customHeight="1" x14ac:dyDescent="0.25"/>
    <row r="160" spans="4:31"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tableParts count="11">
    <tablePart r:id="rId1"/>
    <tablePart r:id="rId2"/>
    <tablePart r:id="rId3"/>
    <tablePart r:id="rId4"/>
    <tablePart r:id="rId5"/>
    <tablePart r:id="rId6"/>
    <tablePart r:id="rId7"/>
    <tablePart r:id="rId8"/>
    <tablePart r:id="rId9"/>
    <tablePart r:id="rId10"/>
    <tablePart r:id="rId1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48FCB0-62AE-4125-B897-4FCFD0B878B7}">
  <dimension ref="A1:AI165"/>
  <sheetViews>
    <sheetView showGridLines="0" tabSelected="1" zoomScaleNormal="100" workbookViewId="0">
      <selection activeCell="G16" sqref="G16"/>
    </sheetView>
  </sheetViews>
  <sheetFormatPr defaultRowHeight="15.75" x14ac:dyDescent="0.25"/>
  <cols>
    <col min="1" max="1" width="26.875" customWidth="1"/>
    <col min="2" max="2" width="4.125" customWidth="1"/>
    <col min="3" max="3" width="4.125" style="8" customWidth="1"/>
    <col min="4" max="4" width="34.25" style="8" customWidth="1"/>
    <col min="5" max="5" width="18.125" style="8" customWidth="1"/>
    <col min="6" max="6" width="18.875" style="8" customWidth="1"/>
    <col min="7" max="8" width="38" style="8" customWidth="1"/>
    <col min="9" max="9" width="38.125" style="8" customWidth="1"/>
    <col min="10" max="10" width="32.875" style="8" customWidth="1"/>
    <col min="11" max="11" width="29.375" style="8" customWidth="1"/>
    <col min="12" max="31" width="18.125" style="8" customWidth="1"/>
    <col min="32" max="32" width="4.125" style="8" customWidth="1"/>
  </cols>
  <sheetData>
    <row r="1" spans="1:35" s="1" customFormat="1" ht="30" customHeight="1" x14ac:dyDescent="0.35">
      <c r="A1" s="1" t="e" vm="1">
        <v>#VALUE!</v>
      </c>
      <c r="C1" s="1" t="s">
        <v>66</v>
      </c>
      <c r="AG1"/>
      <c r="AH1"/>
      <c r="AI1"/>
    </row>
    <row r="2" spans="1:35" s="2" customFormat="1" ht="20.100000000000001" customHeight="1" x14ac:dyDescent="0.25">
      <c r="A2"/>
      <c r="AG2"/>
      <c r="AH2"/>
      <c r="AI2"/>
    </row>
    <row r="3" spans="1:35" ht="20.100000000000001" customHeight="1" x14ac:dyDescent="0.25">
      <c r="A3" s="16" t="str">
        <f>HYPERLINK("#'Home'!A1", "Home")</f>
        <v>Home</v>
      </c>
      <c r="C3" s="5"/>
      <c r="D3" s="5"/>
      <c r="E3" s="5"/>
      <c r="F3" s="5"/>
      <c r="G3" s="5"/>
      <c r="H3" s="5"/>
      <c r="I3" s="5"/>
      <c r="J3" s="5"/>
      <c r="K3" s="5"/>
      <c r="L3" s="5"/>
      <c r="M3" s="5"/>
      <c r="N3" s="5"/>
      <c r="O3" s="5"/>
      <c r="P3" s="5"/>
      <c r="Q3" s="5"/>
      <c r="R3" s="5"/>
      <c r="S3" s="5"/>
      <c r="T3" s="5"/>
      <c r="U3" s="5"/>
      <c r="V3" s="5"/>
      <c r="W3" s="5"/>
      <c r="X3" s="5"/>
      <c r="Y3" s="5"/>
      <c r="Z3" s="5"/>
      <c r="AA3" s="5"/>
      <c r="AB3" s="5"/>
      <c r="AC3" s="5"/>
      <c r="AD3" s="5"/>
      <c r="AE3" s="5"/>
      <c r="AF3" s="5"/>
    </row>
    <row r="4" spans="1:35" ht="20.100000000000001" customHeight="1" x14ac:dyDescent="0.25">
      <c r="A4" s="16" t="str">
        <f>HYPERLINK("#'Overview'!A1", "Overview")</f>
        <v>Overview</v>
      </c>
    </row>
    <row r="5" spans="1:35" ht="20.100000000000001" customHeight="1" x14ac:dyDescent="0.25">
      <c r="A5" s="16" t="str">
        <f>HYPERLINK("#'Results'!A1", "Results")</f>
        <v>Results</v>
      </c>
      <c r="D5" s="9" t="str" cm="1">
        <f t="array" ref="D5">Fuel_SourceData.Fuel_Scope1Scope3EmissionFactorsTransport_Title()</f>
        <v>Fuel scope 1 and 3 emission factors - Transport</v>
      </c>
      <c r="E5" s="189"/>
      <c r="F5" s="189"/>
      <c r="G5" s="189"/>
      <c r="H5" s="189"/>
      <c r="I5" s="189"/>
      <c r="J5" s="189"/>
      <c r="K5" s="189"/>
      <c r="L5" s="189"/>
    </row>
    <row r="6" spans="1:35" ht="20.100000000000001" customHeight="1" x14ac:dyDescent="0.25">
      <c r="A6" s="18"/>
      <c r="D6" s="8" t="str" cm="1">
        <f t="array" ref="D6">Fuel_SourceData.Fuel_Scope1Scope3EmissionFactorsTransport_Description()</f>
        <v>Direct (scope 1) and indirect (scope 3) emission factors for the consumption of transport fuels in different transport equipment</v>
      </c>
      <c r="E6" s="189"/>
      <c r="F6" s="189"/>
      <c r="G6" s="189"/>
      <c r="H6" s="189"/>
      <c r="I6" s="189"/>
      <c r="J6" s="189"/>
      <c r="K6" s="189"/>
      <c r="L6" s="189"/>
    </row>
    <row r="7" spans="1:35" ht="20.100000000000001" customHeight="1" x14ac:dyDescent="0.25">
      <c r="A7" s="19" t="s">
        <v>67</v>
      </c>
      <c r="D7" s="11" t="str" cm="1">
        <f t="array" ref="D7">Fuel_SourceData.Fuel_Scope1Scope3EmissionFactorsTransport_Source()</f>
        <v>Australian National Greenhouse Accounts Factors 2025 - Table 9</v>
      </c>
      <c r="E7" s="189"/>
      <c r="F7" s="189"/>
      <c r="G7" s="189"/>
      <c r="H7" s="189"/>
      <c r="I7" s="189"/>
      <c r="J7" s="189"/>
      <c r="K7" s="189"/>
      <c r="L7" s="189"/>
    </row>
    <row r="8" spans="1:35" ht="20.100000000000001" customHeight="1" x14ac:dyDescent="0.25">
      <c r="A8" s="16" t="str">
        <f>HYPERLINK("#'Input - Fuel'!A1", "Fuel")</f>
        <v>Fuel</v>
      </c>
      <c r="D8" s="12" t="str" cm="1">
        <f t="array" ref="D8">"⚠️" &amp; Fuel_SourceData.Fuel_Scope1Scope3EmissionFactorsTransport_Variation()</f>
        <v>⚠️VARIATION OF SOURCE DATA: 'NE' values returned as zero for calculations.</v>
      </c>
      <c r="E8" s="189"/>
      <c r="F8" s="189"/>
      <c r="G8" s="189"/>
      <c r="H8" s="189"/>
      <c r="I8" s="189"/>
      <c r="J8" s="189"/>
      <c r="K8" s="189"/>
      <c r="L8" s="189"/>
    </row>
    <row r="9" spans="1:35" ht="20.100000000000001" customHeight="1" x14ac:dyDescent="0.25">
      <c r="A9" s="16"/>
      <c r="D9" s="195" t="s">
        <v>68</v>
      </c>
      <c r="E9" s="195" t="s">
        <v>69</v>
      </c>
      <c r="F9" s="195" t="s">
        <v>70</v>
      </c>
      <c r="G9" s="195" t="s">
        <v>71</v>
      </c>
      <c r="H9" s="195" t="s">
        <v>72</v>
      </c>
      <c r="I9" s="195" t="s">
        <v>73</v>
      </c>
      <c r="J9" s="195" t="s">
        <v>74</v>
      </c>
      <c r="K9" s="195" t="s">
        <v>75</v>
      </c>
      <c r="L9" s="195" t="s">
        <v>76</v>
      </c>
    </row>
    <row r="10" spans="1:35" ht="20.100000000000001" customHeight="1" x14ac:dyDescent="0.25">
      <c r="A10" s="20" t="s">
        <v>77</v>
      </c>
      <c r="D10" s="196" t="str" cm="1">
        <f t="array" ref="D10">Common_InputFunctions.Utility_DisplayArrayInTable(Fuel_SourceData.Fuel_Scope1Scope3EmissionFactorsTransport_Data(), Table_Fuel_EFs_Transport118[[#Headers],[Transport type]], 0)</f>
        <v>Cars and light commercial vehicles</v>
      </c>
      <c r="E10" s="196" t="str" cm="1">
        <f t="array" ref="E10">Common_InputFunctions.Utility_DisplayArrayInTable(Fuel_SourceData.Fuel_Scope1Scope3EmissionFactorsTransport_Data(), Table_Fuel_EFs_Transport118[[#Headers],[Transport type]], 0)</f>
        <v>Gasoline</v>
      </c>
      <c r="F10" s="196" cm="1">
        <f t="array" ref="F10">Common_InputFunctions.Utility_DisplayArrayInTable(Fuel_SourceData.Fuel_Scope1Scope3EmissionFactorsTransport_Data(), Table_Fuel_EFs_Transport118[[#Headers],[Transport type]], 0)</f>
        <v>34.200000000000003</v>
      </c>
      <c r="G10" s="196" t="str" cm="1">
        <f t="array" ref="G10">Common_InputFunctions.Utility_DisplayArrayInTable(Fuel_SourceData.Fuel_Scope1Scope3EmissionFactorsTransport_Data(), Table_Fuel_EFs_Transport118[[#Headers],[Transport type]], 0)</f>
        <v>kl</v>
      </c>
      <c r="H10" s="196" cm="1">
        <f t="array" ref="H10">Common_InputFunctions.Utility_DisplayArrayInTable(Fuel_SourceData.Fuel_Scope1Scope3EmissionFactorsTransport_Data(), Table_Fuel_EFs_Transport118[[#Headers],[Transport type]], 0)</f>
        <v>67.400000000000006</v>
      </c>
      <c r="I10" s="196" cm="1">
        <f t="array" ref="I10">Common_InputFunctions.Utility_DisplayArrayInTable(Fuel_SourceData.Fuel_Scope1Scope3EmissionFactorsTransport_Data(), Table_Fuel_EFs_Transport118[[#Headers],[Transport type]], 0)</f>
        <v>0.02</v>
      </c>
      <c r="J10" s="196" cm="1">
        <f t="array" ref="J10">Common_InputFunctions.Utility_DisplayArrayInTable(Fuel_SourceData.Fuel_Scope1Scope3EmissionFactorsTransport_Data(), Table_Fuel_EFs_Transport118[[#Headers],[Transport type]], 0)</f>
        <v>0.2</v>
      </c>
      <c r="K10" s="196" cm="1">
        <f t="array" ref="K10">Common_InputFunctions.Utility_DisplayArrayInTable(Fuel_SourceData.Fuel_Scope1Scope3EmissionFactorsTransport_Data(), Table_Fuel_EFs_Transport118[[#Headers],[Transport type]], 0)</f>
        <v>67.62</v>
      </c>
      <c r="L10" s="196" cm="1">
        <f t="array" ref="L10">Common_InputFunctions.Utility_DisplayArrayInTable(Fuel_SourceData.Fuel_Scope1Scope3EmissionFactorsTransport_Data(), Table_Fuel_EFs_Transport118[[#Headers],[Transport type]], 0)</f>
        <v>17.2</v>
      </c>
    </row>
    <row r="11" spans="1:35" ht="20.100000000000001" customHeight="1" x14ac:dyDescent="0.25">
      <c r="A11" s="16" t="str">
        <f>HYPERLINK("#'8.1.1.1-2 Transport fuel'!A1", "8.1.1.1-2 Transport fuel")</f>
        <v>8.1.1.1-2 Transport fuel</v>
      </c>
      <c r="D11" s="196" t="str" cm="1">
        <f t="array" ref="D11">Common_InputFunctions.Utility_DisplayArrayInTable(Fuel_SourceData.Fuel_Scope1Scope3EmissionFactorsTransport_Data(), Table_Fuel_EFs_Transport118[[#Headers],[Transport type]], 0)</f>
        <v>Cars and light commercial vehicles</v>
      </c>
      <c r="E11" s="196" t="str" cm="1">
        <f t="array" ref="E11">Common_InputFunctions.Utility_DisplayArrayInTable(Fuel_SourceData.Fuel_Scope1Scope3EmissionFactorsTransport_Data(), Table_Fuel_EFs_Transport118[[#Headers],[Transport type]], 0)</f>
        <v>Diesel oil</v>
      </c>
      <c r="F11" s="196" cm="1">
        <f t="array" ref="F11">Common_InputFunctions.Utility_DisplayArrayInTable(Fuel_SourceData.Fuel_Scope1Scope3EmissionFactorsTransport_Data(), Table_Fuel_EFs_Transport118[[#Headers],[Transport type]], 0)</f>
        <v>38.6</v>
      </c>
      <c r="G11" s="196" t="str" cm="1">
        <f t="array" ref="G11">Common_InputFunctions.Utility_DisplayArrayInTable(Fuel_SourceData.Fuel_Scope1Scope3EmissionFactorsTransport_Data(), Table_Fuel_EFs_Transport118[[#Headers],[Transport type]], 0)</f>
        <v>kl</v>
      </c>
      <c r="H11" s="196" cm="1">
        <f t="array" ref="H11">Common_InputFunctions.Utility_DisplayArrayInTable(Fuel_SourceData.Fuel_Scope1Scope3EmissionFactorsTransport_Data(), Table_Fuel_EFs_Transport118[[#Headers],[Transport type]], 0)</f>
        <v>69.900000000000006</v>
      </c>
      <c r="I11" s="196" cm="1">
        <f t="array" ref="I11">Common_InputFunctions.Utility_DisplayArrayInTable(Fuel_SourceData.Fuel_Scope1Scope3EmissionFactorsTransport_Data(), Table_Fuel_EFs_Transport118[[#Headers],[Transport type]], 0)</f>
        <v>0.01</v>
      </c>
      <c r="J11" s="196" cm="1">
        <f t="array" ref="J11">Common_InputFunctions.Utility_DisplayArrayInTable(Fuel_SourceData.Fuel_Scope1Scope3EmissionFactorsTransport_Data(), Table_Fuel_EFs_Transport118[[#Headers],[Transport type]], 0)</f>
        <v>0.5</v>
      </c>
      <c r="K11" s="196" cm="1">
        <f t="array" ref="K11">Common_InputFunctions.Utility_DisplayArrayInTable(Fuel_SourceData.Fuel_Scope1Scope3EmissionFactorsTransport_Data(), Table_Fuel_EFs_Transport118[[#Headers],[Transport type]], 0)</f>
        <v>70.41</v>
      </c>
      <c r="L11" s="196" cm="1">
        <f t="array" ref="L11">Common_InputFunctions.Utility_DisplayArrayInTable(Fuel_SourceData.Fuel_Scope1Scope3EmissionFactorsTransport_Data(), Table_Fuel_EFs_Transport118[[#Headers],[Transport type]], 0)</f>
        <v>17.3</v>
      </c>
    </row>
    <row r="12" spans="1:35" ht="20.100000000000001" customHeight="1" x14ac:dyDescent="0.25">
      <c r="A12" s="16" t="str">
        <f>HYPERLINK("#'8.2.1.1-2 Stationary fuel'!A1", "8.2.1.1-2 Stationary fuel")</f>
        <v>8.2.1.1-2 Stationary fuel</v>
      </c>
      <c r="D12" s="196" t="str" cm="1">
        <f t="array" ref="D12">Common_InputFunctions.Utility_DisplayArrayInTable(Fuel_SourceData.Fuel_Scope1Scope3EmissionFactorsTransport_Data(), Table_Fuel_EFs_Transport118[[#Headers],[Transport type]], 0)</f>
        <v>Cars and light commercial vehicles</v>
      </c>
      <c r="E12" s="196" t="str" cm="1">
        <f t="array" ref="E12">Common_InputFunctions.Utility_DisplayArrayInTable(Fuel_SourceData.Fuel_Scope1Scope3EmissionFactorsTransport_Data(), Table_Fuel_EFs_Transport118[[#Headers],[Transport type]], 0)</f>
        <v>Liquefied petroleum gas (LPG)</v>
      </c>
      <c r="F12" s="196" cm="1">
        <f t="array" ref="F12">Common_InputFunctions.Utility_DisplayArrayInTable(Fuel_SourceData.Fuel_Scope1Scope3EmissionFactorsTransport_Data(), Table_Fuel_EFs_Transport118[[#Headers],[Transport type]], 0)</f>
        <v>26.2</v>
      </c>
      <c r="G12" s="196" t="str" cm="1">
        <f t="array" ref="G12">Common_InputFunctions.Utility_DisplayArrayInTable(Fuel_SourceData.Fuel_Scope1Scope3EmissionFactorsTransport_Data(), Table_Fuel_EFs_Transport118[[#Headers],[Transport type]], 0)</f>
        <v>kl</v>
      </c>
      <c r="H12" s="196" cm="1">
        <f t="array" ref="H12">Common_InputFunctions.Utility_DisplayArrayInTable(Fuel_SourceData.Fuel_Scope1Scope3EmissionFactorsTransport_Data(), Table_Fuel_EFs_Transport118[[#Headers],[Transport type]], 0)</f>
        <v>60.2</v>
      </c>
      <c r="I12" s="196" cm="1">
        <f t="array" ref="I12">Common_InputFunctions.Utility_DisplayArrayInTable(Fuel_SourceData.Fuel_Scope1Scope3EmissionFactorsTransport_Data(), Table_Fuel_EFs_Transport118[[#Headers],[Transport type]], 0)</f>
        <v>0.5</v>
      </c>
      <c r="J12" s="196" cm="1">
        <f t="array" ref="J12">Common_InputFunctions.Utility_DisplayArrayInTable(Fuel_SourceData.Fuel_Scope1Scope3EmissionFactorsTransport_Data(), Table_Fuel_EFs_Transport118[[#Headers],[Transport type]], 0)</f>
        <v>0.3</v>
      </c>
      <c r="K12" s="196" cm="1">
        <f t="array" ref="K12">Common_InputFunctions.Utility_DisplayArrayInTable(Fuel_SourceData.Fuel_Scope1Scope3EmissionFactorsTransport_Data(), Table_Fuel_EFs_Transport118[[#Headers],[Transport type]], 0)</f>
        <v>61</v>
      </c>
      <c r="L12" s="196" cm="1">
        <f t="array" ref="L12">Common_InputFunctions.Utility_DisplayArrayInTable(Fuel_SourceData.Fuel_Scope1Scope3EmissionFactorsTransport_Data(), Table_Fuel_EFs_Transport118[[#Headers],[Transport type]], 0)</f>
        <v>20.2</v>
      </c>
    </row>
    <row r="13" spans="1:35" ht="20.100000000000001" customHeight="1" x14ac:dyDescent="0.25">
      <c r="A13" s="16" t="str">
        <f>HYPERLINK("#'8.X.1.1-2 General use fuel'!A1", "8.X.1.1-2 General use fuel")</f>
        <v>8.X.1.1-2 General use fuel</v>
      </c>
      <c r="D13" s="196" t="str" cm="1">
        <f t="array" ref="D13">Common_InputFunctions.Utility_DisplayArrayInTable(Fuel_SourceData.Fuel_Scope1Scope3EmissionFactorsTransport_Data(), Table_Fuel_EFs_Transport118[[#Headers],[Transport type]], 0)</f>
        <v>Cars and light commercial vehicles</v>
      </c>
      <c r="E13" s="196" t="str" cm="1">
        <f t="array" ref="E13">Common_InputFunctions.Utility_DisplayArrayInTable(Fuel_SourceData.Fuel_Scope1Scope3EmissionFactorsTransport_Data(), Table_Fuel_EFs_Transport118[[#Headers],[Transport type]], 0)</f>
        <v>Fuel oil</v>
      </c>
      <c r="F13" s="196" cm="1">
        <f t="array" ref="F13">Common_InputFunctions.Utility_DisplayArrayInTable(Fuel_SourceData.Fuel_Scope1Scope3EmissionFactorsTransport_Data(), Table_Fuel_EFs_Transport118[[#Headers],[Transport type]], 0)</f>
        <v>39.700000000000003</v>
      </c>
      <c r="G13" s="196" t="str" cm="1">
        <f t="array" ref="G13">Common_InputFunctions.Utility_DisplayArrayInTable(Fuel_SourceData.Fuel_Scope1Scope3EmissionFactorsTransport_Data(), Table_Fuel_EFs_Transport118[[#Headers],[Transport type]], 0)</f>
        <v>kl</v>
      </c>
      <c r="H13" s="196" cm="1">
        <f t="array" ref="H13">Common_InputFunctions.Utility_DisplayArrayInTable(Fuel_SourceData.Fuel_Scope1Scope3EmissionFactorsTransport_Data(), Table_Fuel_EFs_Transport118[[#Headers],[Transport type]], 0)</f>
        <v>73.599999999999994</v>
      </c>
      <c r="I13" s="196" cm="1">
        <f t="array" ref="I13">Common_InputFunctions.Utility_DisplayArrayInTable(Fuel_SourceData.Fuel_Scope1Scope3EmissionFactorsTransport_Data(), Table_Fuel_EFs_Transport118[[#Headers],[Transport type]], 0)</f>
        <v>0.08</v>
      </c>
      <c r="J13" s="196" cm="1">
        <f t="array" ref="J13">Common_InputFunctions.Utility_DisplayArrayInTable(Fuel_SourceData.Fuel_Scope1Scope3EmissionFactorsTransport_Data(), Table_Fuel_EFs_Transport118[[#Headers],[Transport type]], 0)</f>
        <v>0.5</v>
      </c>
      <c r="K13" s="196" cm="1">
        <f t="array" ref="K13">Common_InputFunctions.Utility_DisplayArrayInTable(Fuel_SourceData.Fuel_Scope1Scope3EmissionFactorsTransport_Data(), Table_Fuel_EFs_Transport118[[#Headers],[Transport type]], 0)</f>
        <v>74.180000000000007</v>
      </c>
      <c r="L13" s="196" cm="1">
        <f t="array" ref="L13">Common_InputFunctions.Utility_DisplayArrayInTable(Fuel_SourceData.Fuel_Scope1Scope3EmissionFactorsTransport_Data(), Table_Fuel_EFs_Transport118[[#Headers],[Transport type]], 0)</f>
        <v>18</v>
      </c>
    </row>
    <row r="14" spans="1:35" ht="20.100000000000001" customHeight="1" x14ac:dyDescent="0.25">
      <c r="A14" s="16"/>
      <c r="D14" s="196" t="str" cm="1">
        <f t="array" ref="D14">Common_InputFunctions.Utility_DisplayArrayInTable(Fuel_SourceData.Fuel_Scope1Scope3EmissionFactorsTransport_Data(), Table_Fuel_EFs_Transport118[[#Headers],[Transport type]], 0)</f>
        <v>Cars and light commercial vehicles</v>
      </c>
      <c r="E14" s="196" t="str" cm="1">
        <f t="array" ref="E14">Common_InputFunctions.Utility_DisplayArrayInTable(Fuel_SourceData.Fuel_Scope1Scope3EmissionFactorsTransport_Data(), Table_Fuel_EFs_Transport118[[#Headers],[Transport type]], 0)</f>
        <v>Ethanol</v>
      </c>
      <c r="F14" s="196" cm="1">
        <f t="array" ref="F14">Common_InputFunctions.Utility_DisplayArrayInTable(Fuel_SourceData.Fuel_Scope1Scope3EmissionFactorsTransport_Data(), Table_Fuel_EFs_Transport118[[#Headers],[Transport type]], 0)</f>
        <v>23.4</v>
      </c>
      <c r="G14" s="196" t="str" cm="1">
        <f t="array" ref="G14">Common_InputFunctions.Utility_DisplayArrayInTable(Fuel_SourceData.Fuel_Scope1Scope3EmissionFactorsTransport_Data(), Table_Fuel_EFs_Transport118[[#Headers],[Transport type]], 0)</f>
        <v>kl</v>
      </c>
      <c r="H14" s="196" cm="1">
        <f t="array" ref="H14">Common_InputFunctions.Utility_DisplayArrayInTable(Fuel_SourceData.Fuel_Scope1Scope3EmissionFactorsTransport_Data(), Table_Fuel_EFs_Transport118[[#Headers],[Transport type]], 0)</f>
        <v>0</v>
      </c>
      <c r="I14" s="196" cm="1">
        <f t="array" ref="I14">Common_InputFunctions.Utility_DisplayArrayInTable(Fuel_SourceData.Fuel_Scope1Scope3EmissionFactorsTransport_Data(), Table_Fuel_EFs_Transport118[[#Headers],[Transport type]], 0)</f>
        <v>0.2</v>
      </c>
      <c r="J14" s="196" cm="1">
        <f t="array" ref="J14">Common_InputFunctions.Utility_DisplayArrayInTable(Fuel_SourceData.Fuel_Scope1Scope3EmissionFactorsTransport_Data(), Table_Fuel_EFs_Transport118[[#Headers],[Transport type]], 0)</f>
        <v>0.2</v>
      </c>
      <c r="K14" s="196" cm="1">
        <f t="array" ref="K14">Common_InputFunctions.Utility_DisplayArrayInTable(Fuel_SourceData.Fuel_Scope1Scope3EmissionFactorsTransport_Data(), Table_Fuel_EFs_Transport118[[#Headers],[Transport type]], 0)</f>
        <v>0.4</v>
      </c>
      <c r="L14" s="196" t="str" cm="1">
        <f t="array" ref="L14">Common_InputFunctions.Utility_DisplayArrayInTable(Fuel_SourceData.Fuel_Scope1Scope3EmissionFactorsTransport_Data(), Table_Fuel_EFs_Transport118[[#Headers],[Transport type]], 0)</f>
        <v>NE</v>
      </c>
    </row>
    <row r="15" spans="1:35" ht="20.100000000000001" customHeight="1" x14ac:dyDescent="0.25">
      <c r="A15" s="21" t="s">
        <v>78</v>
      </c>
      <c r="D15" s="196" t="str" cm="1">
        <f t="array" ref="D15">Common_InputFunctions.Utility_DisplayArrayInTable(Fuel_SourceData.Fuel_Scope1Scope3EmissionFactorsTransport_Data(), Table_Fuel_EFs_Transport118[[#Headers],[Transport type]], 0)</f>
        <v>Cars and light commercial vehicles</v>
      </c>
      <c r="E15" s="196" t="str" cm="1">
        <f t="array" ref="E15">Common_InputFunctions.Utility_DisplayArrayInTable(Fuel_SourceData.Fuel_Scope1Scope3EmissionFactorsTransport_Data(), Table_Fuel_EFs_Transport118[[#Headers],[Transport type]], 0)</f>
        <v>Biodiesel</v>
      </c>
      <c r="F15" s="196" cm="1">
        <f t="array" ref="F15">Common_InputFunctions.Utility_DisplayArrayInTable(Fuel_SourceData.Fuel_Scope1Scope3EmissionFactorsTransport_Data(), Table_Fuel_EFs_Transport118[[#Headers],[Transport type]], 0)</f>
        <v>34.6</v>
      </c>
      <c r="G15" s="196" t="str" cm="1">
        <f t="array" ref="G15">Common_InputFunctions.Utility_DisplayArrayInTable(Fuel_SourceData.Fuel_Scope1Scope3EmissionFactorsTransport_Data(), Table_Fuel_EFs_Transport118[[#Headers],[Transport type]], 0)</f>
        <v>kl</v>
      </c>
      <c r="H15" s="196" cm="1">
        <f t="array" ref="H15">Common_InputFunctions.Utility_DisplayArrayInTable(Fuel_SourceData.Fuel_Scope1Scope3EmissionFactorsTransport_Data(), Table_Fuel_EFs_Transport118[[#Headers],[Transport type]], 0)</f>
        <v>0</v>
      </c>
      <c r="I15" s="196" cm="1">
        <f t="array" ref="I15">Common_InputFunctions.Utility_DisplayArrayInTable(Fuel_SourceData.Fuel_Scope1Scope3EmissionFactorsTransport_Data(), Table_Fuel_EFs_Transport118[[#Headers],[Transport type]], 0)</f>
        <v>0.8</v>
      </c>
      <c r="J15" s="196" cm="1">
        <f t="array" ref="J15">Common_InputFunctions.Utility_DisplayArrayInTable(Fuel_SourceData.Fuel_Scope1Scope3EmissionFactorsTransport_Data(), Table_Fuel_EFs_Transport118[[#Headers],[Transport type]], 0)</f>
        <v>1.7</v>
      </c>
      <c r="K15" s="196" cm="1">
        <f t="array" ref="K15">Common_InputFunctions.Utility_DisplayArrayInTable(Fuel_SourceData.Fuel_Scope1Scope3EmissionFactorsTransport_Data(), Table_Fuel_EFs_Transport118[[#Headers],[Transport type]], 0)</f>
        <v>2.5</v>
      </c>
      <c r="L15" s="196" t="str" cm="1">
        <f t="array" ref="L15">Common_InputFunctions.Utility_DisplayArrayInTable(Fuel_SourceData.Fuel_Scope1Scope3EmissionFactorsTransport_Data(), Table_Fuel_EFs_Transport118[[#Headers],[Transport type]], 0)</f>
        <v>NE</v>
      </c>
    </row>
    <row r="16" spans="1:35" ht="20.100000000000001" customHeight="1" x14ac:dyDescent="0.25">
      <c r="A16" s="22" t="str">
        <f>HYPERLINK("#'Constants - Fuel'!A1", "Constants - Fuel")</f>
        <v>Constants - Fuel</v>
      </c>
      <c r="D16" s="196" t="str" cm="1">
        <f t="array" ref="D16">Common_InputFunctions.Utility_DisplayArrayInTable(Fuel_SourceData.Fuel_Scope1Scope3EmissionFactorsTransport_Data(), Table_Fuel_EFs_Transport118[[#Headers],[Transport type]], 0)</f>
        <v>Cars and light commercial vehicles</v>
      </c>
      <c r="E16" s="196" t="str" cm="1">
        <f t="array" ref="E16">Common_InputFunctions.Utility_DisplayArrayInTable(Fuel_SourceData.Fuel_Scope1Scope3EmissionFactorsTransport_Data(), Table_Fuel_EFs_Transport118[[#Headers],[Transport type]], 0)</f>
        <v>Renewable diesel</v>
      </c>
      <c r="F16" s="196" cm="1">
        <f t="array" ref="F16">Common_InputFunctions.Utility_DisplayArrayInTable(Fuel_SourceData.Fuel_Scope1Scope3EmissionFactorsTransport_Data(), Table_Fuel_EFs_Transport118[[#Headers],[Transport type]], 0)</f>
        <v>38.6</v>
      </c>
      <c r="G16" s="196" t="str" cm="1">
        <f t="array" ref="G16">Common_InputFunctions.Utility_DisplayArrayInTable(Fuel_SourceData.Fuel_Scope1Scope3EmissionFactorsTransport_Data(), Table_Fuel_EFs_Transport118[[#Headers],[Transport type]], 0)</f>
        <v>kl</v>
      </c>
      <c r="H16" s="196" cm="1">
        <f t="array" ref="H16">Common_InputFunctions.Utility_DisplayArrayInTable(Fuel_SourceData.Fuel_Scope1Scope3EmissionFactorsTransport_Data(), Table_Fuel_EFs_Transport118[[#Headers],[Transport type]], 0)</f>
        <v>0</v>
      </c>
      <c r="I16" s="196" cm="1">
        <f t="array" ref="I16">Common_InputFunctions.Utility_DisplayArrayInTable(Fuel_SourceData.Fuel_Scope1Scope3EmissionFactorsTransport_Data(), Table_Fuel_EFs_Transport118[[#Headers],[Transport type]], 0)</f>
        <v>0.01</v>
      </c>
      <c r="J16" s="196" cm="1">
        <f t="array" ref="J16">Common_InputFunctions.Utility_DisplayArrayInTable(Fuel_SourceData.Fuel_Scope1Scope3EmissionFactorsTransport_Data(), Table_Fuel_EFs_Transport118[[#Headers],[Transport type]], 0)</f>
        <v>0.5</v>
      </c>
      <c r="K16" s="196" cm="1">
        <f t="array" ref="K16">Common_InputFunctions.Utility_DisplayArrayInTable(Fuel_SourceData.Fuel_Scope1Scope3EmissionFactorsTransport_Data(), Table_Fuel_EFs_Transport118[[#Headers],[Transport type]], 0)</f>
        <v>0.51</v>
      </c>
      <c r="L16" s="196" t="str" cm="1">
        <f t="array" ref="L16">Common_InputFunctions.Utility_DisplayArrayInTable(Fuel_SourceData.Fuel_Scope1Scope3EmissionFactorsTransport_Data(), Table_Fuel_EFs_Transport118[[#Headers],[Transport type]], 0)</f>
        <v>NE</v>
      </c>
    </row>
    <row r="17" spans="1:12" ht="20.100000000000001" customHeight="1" x14ac:dyDescent="0.25">
      <c r="A17" s="16" t="str">
        <f>HYPERLINK("#'Constants - Common'!A1", "Constants - Common")</f>
        <v>Constants - Common</v>
      </c>
      <c r="D17" s="196" t="str" cm="1">
        <f t="array" ref="D17">Common_InputFunctions.Utility_DisplayArrayInTable(Fuel_SourceData.Fuel_Scope1Scope3EmissionFactorsTransport_Data(), Table_Fuel_EFs_Transport118[[#Headers],[Transport type]], 0)</f>
        <v>Cars and light commercial vehicles</v>
      </c>
      <c r="E17" s="196" t="str" cm="1">
        <f t="array" ref="E17">Common_InputFunctions.Utility_DisplayArrayInTable(Fuel_SourceData.Fuel_Scope1Scope3EmissionFactorsTransport_Data(), Table_Fuel_EFs_Transport118[[#Headers],[Transport type]], 0)</f>
        <v>Other biofuels</v>
      </c>
      <c r="F17" s="196" cm="1">
        <f t="array" ref="F17">Common_InputFunctions.Utility_DisplayArrayInTable(Fuel_SourceData.Fuel_Scope1Scope3EmissionFactorsTransport_Data(), Table_Fuel_EFs_Transport118[[#Headers],[Transport type]], 0)</f>
        <v>23.4</v>
      </c>
      <c r="G17" s="196" t="str" cm="1">
        <f t="array" ref="G17">Common_InputFunctions.Utility_DisplayArrayInTable(Fuel_SourceData.Fuel_Scope1Scope3EmissionFactorsTransport_Data(), Table_Fuel_EFs_Transport118[[#Headers],[Transport type]], 0)</f>
        <v>kl</v>
      </c>
      <c r="H17" s="196" cm="1">
        <f t="array" ref="H17">Common_InputFunctions.Utility_DisplayArrayInTable(Fuel_SourceData.Fuel_Scope1Scope3EmissionFactorsTransport_Data(), Table_Fuel_EFs_Transport118[[#Headers],[Transport type]], 0)</f>
        <v>0</v>
      </c>
      <c r="I17" s="196" cm="1">
        <f t="array" ref="I17">Common_InputFunctions.Utility_DisplayArrayInTable(Fuel_SourceData.Fuel_Scope1Scope3EmissionFactorsTransport_Data(), Table_Fuel_EFs_Transport118[[#Headers],[Transport type]], 0)</f>
        <v>0.8</v>
      </c>
      <c r="J17" s="196" cm="1">
        <f t="array" ref="J17">Common_InputFunctions.Utility_DisplayArrayInTable(Fuel_SourceData.Fuel_Scope1Scope3EmissionFactorsTransport_Data(), Table_Fuel_EFs_Transport118[[#Headers],[Transport type]], 0)</f>
        <v>1.7</v>
      </c>
      <c r="K17" s="196" cm="1">
        <f t="array" ref="K17">Common_InputFunctions.Utility_DisplayArrayInTable(Fuel_SourceData.Fuel_Scope1Scope3EmissionFactorsTransport_Data(), Table_Fuel_EFs_Transport118[[#Headers],[Transport type]], 0)</f>
        <v>2.5</v>
      </c>
      <c r="L17" s="196" t="str" cm="1">
        <f t="array" ref="L17">Common_InputFunctions.Utility_DisplayArrayInTable(Fuel_SourceData.Fuel_Scope1Scope3EmissionFactorsTransport_Data(), Table_Fuel_EFs_Transport118[[#Headers],[Transport type]], 0)</f>
        <v>NE</v>
      </c>
    </row>
    <row r="18" spans="1:12" ht="20.100000000000001" customHeight="1" x14ac:dyDescent="0.25">
      <c r="D18" s="196" t="str" cm="1">
        <f t="array" ref="D18">Common_InputFunctions.Utility_DisplayArrayInTable(Fuel_SourceData.Fuel_Scope1Scope3EmissionFactorsTransport_Data(), Table_Fuel_EFs_Transport118[[#Headers],[Transport type]], 0)</f>
        <v>Light duty vehicles</v>
      </c>
      <c r="E18" s="196" t="str" cm="1">
        <f t="array" ref="E18">Common_InputFunctions.Utility_DisplayArrayInTable(Fuel_SourceData.Fuel_Scope1Scope3EmissionFactorsTransport_Data(), Table_Fuel_EFs_Transport118[[#Headers],[Transport type]], 0)</f>
        <v>Compressed natural gas</v>
      </c>
      <c r="F18" s="196" cm="1">
        <f t="array" ref="F18">Common_InputFunctions.Utility_DisplayArrayInTable(Fuel_SourceData.Fuel_Scope1Scope3EmissionFactorsTransport_Data(), Table_Fuel_EFs_Transport118[[#Headers],[Transport type]], 0)</f>
        <v>3.9300000000000002E-2</v>
      </c>
      <c r="G18" s="196" t="str" cm="1">
        <f t="array" ref="G18">Common_InputFunctions.Utility_DisplayArrayInTable(Fuel_SourceData.Fuel_Scope1Scope3EmissionFactorsTransport_Data(), Table_Fuel_EFs_Transport118[[#Headers],[Transport type]], 0)</f>
        <v>m3</v>
      </c>
      <c r="H18" s="196" cm="1">
        <f t="array" ref="H18">Common_InputFunctions.Utility_DisplayArrayInTable(Fuel_SourceData.Fuel_Scope1Scope3EmissionFactorsTransport_Data(), Table_Fuel_EFs_Transport118[[#Headers],[Transport type]], 0)</f>
        <v>51.4</v>
      </c>
      <c r="I18" s="196" cm="1">
        <f t="array" ref="I18">Common_InputFunctions.Utility_DisplayArrayInTable(Fuel_SourceData.Fuel_Scope1Scope3EmissionFactorsTransport_Data(), Table_Fuel_EFs_Transport118[[#Headers],[Transport type]], 0)</f>
        <v>7.3</v>
      </c>
      <c r="J18" s="196" cm="1">
        <f t="array" ref="J18">Common_InputFunctions.Utility_DisplayArrayInTable(Fuel_SourceData.Fuel_Scope1Scope3EmissionFactorsTransport_Data(), Table_Fuel_EFs_Transport118[[#Headers],[Transport type]], 0)</f>
        <v>0.3</v>
      </c>
      <c r="K18" s="196" cm="1">
        <f t="array" ref="K18">Common_InputFunctions.Utility_DisplayArrayInTable(Fuel_SourceData.Fuel_Scope1Scope3EmissionFactorsTransport_Data(), Table_Fuel_EFs_Transport118[[#Headers],[Transport type]], 0)</f>
        <v>59</v>
      </c>
      <c r="L18" s="196" cm="1">
        <f t="array" ref="L18">Common_InputFunctions.Utility_DisplayArrayInTable(Fuel_SourceData.Fuel_Scope1Scope3EmissionFactorsTransport_Data(), Table_Fuel_EFs_Transport118[[#Headers],[Transport type]], 0)</f>
        <v>18</v>
      </c>
    </row>
    <row r="19" spans="1:12" ht="20.100000000000001" customHeight="1" x14ac:dyDescent="0.25">
      <c r="D19" s="196" t="str" cm="1">
        <f t="array" ref="D19">Common_InputFunctions.Utility_DisplayArrayInTable(Fuel_SourceData.Fuel_Scope1Scope3EmissionFactorsTransport_Data(), Table_Fuel_EFs_Transport118[[#Headers],[Transport type]], 0)</f>
        <v>Light duty vehicles</v>
      </c>
      <c r="E19" s="196" t="str" cm="1">
        <f t="array" ref="E19">Common_InputFunctions.Utility_DisplayArrayInTable(Fuel_SourceData.Fuel_Scope1Scope3EmissionFactorsTransport_Data(), Table_Fuel_EFs_Transport118[[#Headers],[Transport type]], 0)</f>
        <v>Liquefied natural gas</v>
      </c>
      <c r="F19" s="196" cm="1">
        <f t="array" ref="F19">Common_InputFunctions.Utility_DisplayArrayInTable(Fuel_SourceData.Fuel_Scope1Scope3EmissionFactorsTransport_Data(), Table_Fuel_EFs_Transport118[[#Headers],[Transport type]], 0)</f>
        <v>25.3</v>
      </c>
      <c r="G19" s="196" t="str" cm="1">
        <f t="array" ref="G19">Common_InputFunctions.Utility_DisplayArrayInTable(Fuel_SourceData.Fuel_Scope1Scope3EmissionFactorsTransport_Data(), Table_Fuel_EFs_Transport118[[#Headers],[Transport type]], 0)</f>
        <v>kl</v>
      </c>
      <c r="H19" s="196" cm="1">
        <f t="array" ref="H19">Common_InputFunctions.Utility_DisplayArrayInTable(Fuel_SourceData.Fuel_Scope1Scope3EmissionFactorsTransport_Data(), Table_Fuel_EFs_Transport118[[#Headers],[Transport type]], 0)</f>
        <v>51.4</v>
      </c>
      <c r="I19" s="196" cm="1">
        <f t="array" ref="I19">Common_InputFunctions.Utility_DisplayArrayInTable(Fuel_SourceData.Fuel_Scope1Scope3EmissionFactorsTransport_Data(), Table_Fuel_EFs_Transport118[[#Headers],[Transport type]], 0)</f>
        <v>7.3</v>
      </c>
      <c r="J19" s="196" cm="1">
        <f t="array" ref="J19">Common_InputFunctions.Utility_DisplayArrayInTable(Fuel_SourceData.Fuel_Scope1Scope3EmissionFactorsTransport_Data(), Table_Fuel_EFs_Transport118[[#Headers],[Transport type]], 0)</f>
        <v>0.3</v>
      </c>
      <c r="K19" s="196" cm="1">
        <f t="array" ref="K19">Common_InputFunctions.Utility_DisplayArrayInTable(Fuel_SourceData.Fuel_Scope1Scope3EmissionFactorsTransport_Data(), Table_Fuel_EFs_Transport118[[#Headers],[Transport type]], 0)</f>
        <v>59</v>
      </c>
      <c r="L19" s="196" cm="1">
        <f t="array" ref="L19">Common_InputFunctions.Utility_DisplayArrayInTable(Fuel_SourceData.Fuel_Scope1Scope3EmissionFactorsTransport_Data(), Table_Fuel_EFs_Transport118[[#Headers],[Transport type]], 0)</f>
        <v>18</v>
      </c>
    </row>
    <row r="20" spans="1:12" ht="20.100000000000001" customHeight="1" x14ac:dyDescent="0.25">
      <c r="A20" s="16"/>
      <c r="D20" s="196" t="str" cm="1">
        <f t="array" ref="D20">Common_InputFunctions.Utility_DisplayArrayInTable(Fuel_SourceData.Fuel_Scope1Scope3EmissionFactorsTransport_Data(), Table_Fuel_EFs_Transport118[[#Headers],[Transport type]], 0)</f>
        <v>Heavy duty vehicles</v>
      </c>
      <c r="E20" s="196" t="str" cm="1">
        <f t="array" ref="E20">Common_InputFunctions.Utility_DisplayArrayInTable(Fuel_SourceData.Fuel_Scope1Scope3EmissionFactorsTransport_Data(), Table_Fuel_EFs_Transport118[[#Headers],[Transport type]], 0)</f>
        <v>Compressed natural gas</v>
      </c>
      <c r="F20" s="196" cm="1">
        <f t="array" ref="F20">Common_InputFunctions.Utility_DisplayArrayInTable(Fuel_SourceData.Fuel_Scope1Scope3EmissionFactorsTransport_Data(), Table_Fuel_EFs_Transport118[[#Headers],[Transport type]], 0)</f>
        <v>3.9300000000000002E-2</v>
      </c>
      <c r="G20" s="196" t="str" cm="1">
        <f t="array" ref="G20">Common_InputFunctions.Utility_DisplayArrayInTable(Fuel_SourceData.Fuel_Scope1Scope3EmissionFactorsTransport_Data(), Table_Fuel_EFs_Transport118[[#Headers],[Transport type]], 0)</f>
        <v>m3</v>
      </c>
      <c r="H20" s="196" cm="1">
        <f t="array" ref="H20">Common_InputFunctions.Utility_DisplayArrayInTable(Fuel_SourceData.Fuel_Scope1Scope3EmissionFactorsTransport_Data(), Table_Fuel_EFs_Transport118[[#Headers],[Transport type]], 0)</f>
        <v>51.4</v>
      </c>
      <c r="I20" s="196" cm="1">
        <f t="array" ref="I20">Common_InputFunctions.Utility_DisplayArrayInTable(Fuel_SourceData.Fuel_Scope1Scope3EmissionFactorsTransport_Data(), Table_Fuel_EFs_Transport118[[#Headers],[Transport type]], 0)</f>
        <v>2.8</v>
      </c>
      <c r="J20" s="196" cm="1">
        <f t="array" ref="J20">Common_InputFunctions.Utility_DisplayArrayInTable(Fuel_SourceData.Fuel_Scope1Scope3EmissionFactorsTransport_Data(), Table_Fuel_EFs_Transport118[[#Headers],[Transport type]], 0)</f>
        <v>0.3</v>
      </c>
      <c r="K20" s="196" cm="1">
        <f t="array" ref="K20">Common_InputFunctions.Utility_DisplayArrayInTable(Fuel_SourceData.Fuel_Scope1Scope3EmissionFactorsTransport_Data(), Table_Fuel_EFs_Transport118[[#Headers],[Transport type]], 0)</f>
        <v>54.5</v>
      </c>
      <c r="L20" s="196" cm="1">
        <f t="array" ref="L20">Common_InputFunctions.Utility_DisplayArrayInTable(Fuel_SourceData.Fuel_Scope1Scope3EmissionFactorsTransport_Data(), Table_Fuel_EFs_Transport118[[#Headers],[Transport type]], 0)</f>
        <v>18</v>
      </c>
    </row>
    <row r="21" spans="1:12" ht="20.100000000000001" customHeight="1" x14ac:dyDescent="0.25">
      <c r="A21" s="16"/>
      <c r="D21" s="196" t="str" cm="1">
        <f t="array" ref="D21">Common_InputFunctions.Utility_DisplayArrayInTable(Fuel_SourceData.Fuel_Scope1Scope3EmissionFactorsTransport_Data(), Table_Fuel_EFs_Transport118[[#Headers],[Transport type]], 0)</f>
        <v>Heavy duty vehicles</v>
      </c>
      <c r="E21" s="196" t="str" cm="1">
        <f t="array" ref="E21">Common_InputFunctions.Utility_DisplayArrayInTable(Fuel_SourceData.Fuel_Scope1Scope3EmissionFactorsTransport_Data(), Table_Fuel_EFs_Transport118[[#Headers],[Transport type]], 0)</f>
        <v>Liquefied natural gas</v>
      </c>
      <c r="F21" s="196" cm="1">
        <f t="array" ref="F21">Common_InputFunctions.Utility_DisplayArrayInTable(Fuel_SourceData.Fuel_Scope1Scope3EmissionFactorsTransport_Data(), Table_Fuel_EFs_Transport118[[#Headers],[Transport type]], 0)</f>
        <v>25.3</v>
      </c>
      <c r="G21" s="196" t="str" cm="1">
        <f t="array" ref="G21">Common_InputFunctions.Utility_DisplayArrayInTable(Fuel_SourceData.Fuel_Scope1Scope3EmissionFactorsTransport_Data(), Table_Fuel_EFs_Transport118[[#Headers],[Transport type]], 0)</f>
        <v>kl</v>
      </c>
      <c r="H21" s="196" cm="1">
        <f t="array" ref="H21">Common_InputFunctions.Utility_DisplayArrayInTable(Fuel_SourceData.Fuel_Scope1Scope3EmissionFactorsTransport_Data(), Table_Fuel_EFs_Transport118[[#Headers],[Transport type]], 0)</f>
        <v>51.4</v>
      </c>
      <c r="I21" s="196" cm="1">
        <f t="array" ref="I21">Common_InputFunctions.Utility_DisplayArrayInTable(Fuel_SourceData.Fuel_Scope1Scope3EmissionFactorsTransport_Data(), Table_Fuel_EFs_Transport118[[#Headers],[Transport type]], 0)</f>
        <v>2.8</v>
      </c>
      <c r="J21" s="196" cm="1">
        <f t="array" ref="J21">Common_InputFunctions.Utility_DisplayArrayInTable(Fuel_SourceData.Fuel_Scope1Scope3EmissionFactorsTransport_Data(), Table_Fuel_EFs_Transport118[[#Headers],[Transport type]], 0)</f>
        <v>0.3</v>
      </c>
      <c r="K21" s="196" cm="1">
        <f t="array" ref="K21">Common_InputFunctions.Utility_DisplayArrayInTable(Fuel_SourceData.Fuel_Scope1Scope3EmissionFactorsTransport_Data(), Table_Fuel_EFs_Transport118[[#Headers],[Transport type]], 0)</f>
        <v>54.5</v>
      </c>
      <c r="L21" s="196" cm="1">
        <f t="array" ref="L21">Common_InputFunctions.Utility_DisplayArrayInTable(Fuel_SourceData.Fuel_Scope1Scope3EmissionFactorsTransport_Data(), Table_Fuel_EFs_Transport118[[#Headers],[Transport type]], 0)</f>
        <v>18</v>
      </c>
    </row>
    <row r="22" spans="1:12" ht="20.100000000000001" customHeight="1" x14ac:dyDescent="0.25">
      <c r="D22" s="196" t="str" cm="1">
        <f t="array" ref="D22">Common_InputFunctions.Utility_DisplayArrayInTable(Fuel_SourceData.Fuel_Scope1Scope3EmissionFactorsTransport_Data(), Table_Fuel_EFs_Transport118[[#Headers],[Transport type]], 0)</f>
        <v>Heavy duty vehicles</v>
      </c>
      <c r="E22" s="196" t="str" cm="1">
        <f t="array" ref="E22">Common_InputFunctions.Utility_DisplayArrayInTable(Fuel_SourceData.Fuel_Scope1Scope3EmissionFactorsTransport_Data(), Table_Fuel_EFs_Transport118[[#Headers],[Transport type]], 0)</f>
        <v>Diesel oil - Euro iv or higher</v>
      </c>
      <c r="F22" s="196" cm="1">
        <f t="array" ref="F22">Common_InputFunctions.Utility_DisplayArrayInTable(Fuel_SourceData.Fuel_Scope1Scope3EmissionFactorsTransport_Data(), Table_Fuel_EFs_Transport118[[#Headers],[Transport type]], 0)</f>
        <v>38.6</v>
      </c>
      <c r="G22" s="196" t="str" cm="1">
        <f t="array" ref="G22">Common_InputFunctions.Utility_DisplayArrayInTable(Fuel_SourceData.Fuel_Scope1Scope3EmissionFactorsTransport_Data(), Table_Fuel_EFs_Transport118[[#Headers],[Transport type]], 0)</f>
        <v>kl</v>
      </c>
      <c r="H22" s="196" cm="1">
        <f t="array" ref="H22">Common_InputFunctions.Utility_DisplayArrayInTable(Fuel_SourceData.Fuel_Scope1Scope3EmissionFactorsTransport_Data(), Table_Fuel_EFs_Transport118[[#Headers],[Transport type]], 0)</f>
        <v>69.900000000000006</v>
      </c>
      <c r="I22" s="196" cm="1">
        <f t="array" ref="I22">Common_InputFunctions.Utility_DisplayArrayInTable(Fuel_SourceData.Fuel_Scope1Scope3EmissionFactorsTransport_Data(), Table_Fuel_EFs_Transport118[[#Headers],[Transport type]], 0)</f>
        <v>7.0000000000000007E-2</v>
      </c>
      <c r="J22" s="196" cm="1">
        <f t="array" ref="J22">Common_InputFunctions.Utility_DisplayArrayInTable(Fuel_SourceData.Fuel_Scope1Scope3EmissionFactorsTransport_Data(), Table_Fuel_EFs_Transport118[[#Headers],[Transport type]], 0)</f>
        <v>0.4</v>
      </c>
      <c r="K22" s="196" cm="1">
        <f t="array" ref="K22">Common_InputFunctions.Utility_DisplayArrayInTable(Fuel_SourceData.Fuel_Scope1Scope3EmissionFactorsTransport_Data(), Table_Fuel_EFs_Transport118[[#Headers],[Transport type]], 0)</f>
        <v>70.37</v>
      </c>
      <c r="L22" s="196" cm="1">
        <f t="array" ref="L22">Common_InputFunctions.Utility_DisplayArrayInTable(Fuel_SourceData.Fuel_Scope1Scope3EmissionFactorsTransport_Data(), Table_Fuel_EFs_Transport118[[#Headers],[Transport type]], 0)</f>
        <v>17.3</v>
      </c>
    </row>
    <row r="23" spans="1:12" ht="20.100000000000001" customHeight="1" x14ac:dyDescent="0.25">
      <c r="A23" s="16"/>
      <c r="D23" s="196" t="str" cm="1">
        <f t="array" ref="D23">Common_InputFunctions.Utility_DisplayArrayInTable(Fuel_SourceData.Fuel_Scope1Scope3EmissionFactorsTransport_Data(), Table_Fuel_EFs_Transport118[[#Headers],[Transport type]], 0)</f>
        <v>Heavy duty vehicles</v>
      </c>
      <c r="E23" s="196" t="str" cm="1">
        <f t="array" ref="E23">Common_InputFunctions.Utility_DisplayArrayInTable(Fuel_SourceData.Fuel_Scope1Scope3EmissionFactorsTransport_Data(), Table_Fuel_EFs_Transport118[[#Headers],[Transport type]], 0)</f>
        <v>Diesel oil - Euro iii</v>
      </c>
      <c r="F23" s="196" cm="1">
        <f t="array" ref="F23">Common_InputFunctions.Utility_DisplayArrayInTable(Fuel_SourceData.Fuel_Scope1Scope3EmissionFactorsTransport_Data(), Table_Fuel_EFs_Transport118[[#Headers],[Transport type]], 0)</f>
        <v>38.6</v>
      </c>
      <c r="G23" s="196" t="str" cm="1">
        <f t="array" ref="G23">Common_InputFunctions.Utility_DisplayArrayInTable(Fuel_SourceData.Fuel_Scope1Scope3EmissionFactorsTransport_Data(), Table_Fuel_EFs_Transport118[[#Headers],[Transport type]], 0)</f>
        <v>kl</v>
      </c>
      <c r="H23" s="196" cm="1">
        <f t="array" ref="H23">Common_InputFunctions.Utility_DisplayArrayInTable(Fuel_SourceData.Fuel_Scope1Scope3EmissionFactorsTransport_Data(), Table_Fuel_EFs_Transport118[[#Headers],[Transport type]], 0)</f>
        <v>69.900000000000006</v>
      </c>
      <c r="I23" s="196" cm="1">
        <f t="array" ref="I23">Common_InputFunctions.Utility_DisplayArrayInTable(Fuel_SourceData.Fuel_Scope1Scope3EmissionFactorsTransport_Data(), Table_Fuel_EFs_Transport118[[#Headers],[Transport type]], 0)</f>
        <v>0.1</v>
      </c>
      <c r="J23" s="196" cm="1">
        <f t="array" ref="J23">Common_InputFunctions.Utility_DisplayArrayInTable(Fuel_SourceData.Fuel_Scope1Scope3EmissionFactorsTransport_Data(), Table_Fuel_EFs_Transport118[[#Headers],[Transport type]], 0)</f>
        <v>0.4</v>
      </c>
      <c r="K23" s="196" cm="1">
        <f t="array" ref="K23">Common_InputFunctions.Utility_DisplayArrayInTable(Fuel_SourceData.Fuel_Scope1Scope3EmissionFactorsTransport_Data(), Table_Fuel_EFs_Transport118[[#Headers],[Transport type]], 0)</f>
        <v>70.400000000000006</v>
      </c>
      <c r="L23" s="196" cm="1">
        <f t="array" ref="L23">Common_InputFunctions.Utility_DisplayArrayInTable(Fuel_SourceData.Fuel_Scope1Scope3EmissionFactorsTransport_Data(), Table_Fuel_EFs_Transport118[[#Headers],[Transport type]], 0)</f>
        <v>17.3</v>
      </c>
    </row>
    <row r="24" spans="1:12" ht="20.100000000000001" customHeight="1" x14ac:dyDescent="0.25">
      <c r="D24" s="196" t="str" cm="1">
        <f t="array" ref="D24">Common_InputFunctions.Utility_DisplayArrayInTable(Fuel_SourceData.Fuel_Scope1Scope3EmissionFactorsTransport_Data(), Table_Fuel_EFs_Transport118[[#Headers],[Transport type]], 0)</f>
        <v>Heavy duty vehicles</v>
      </c>
      <c r="E24" s="196" t="str" cm="1">
        <f t="array" ref="E24">Common_InputFunctions.Utility_DisplayArrayInTable(Fuel_SourceData.Fuel_Scope1Scope3EmissionFactorsTransport_Data(), Table_Fuel_EFs_Transport118[[#Headers],[Transport type]], 0)</f>
        <v>Diesel oil - Euro i</v>
      </c>
      <c r="F24" s="196" cm="1">
        <f t="array" ref="F24">Common_InputFunctions.Utility_DisplayArrayInTable(Fuel_SourceData.Fuel_Scope1Scope3EmissionFactorsTransport_Data(), Table_Fuel_EFs_Transport118[[#Headers],[Transport type]], 0)</f>
        <v>38.6</v>
      </c>
      <c r="G24" s="196" t="str" cm="1">
        <f t="array" ref="G24">Common_InputFunctions.Utility_DisplayArrayInTable(Fuel_SourceData.Fuel_Scope1Scope3EmissionFactorsTransport_Data(), Table_Fuel_EFs_Transport118[[#Headers],[Transport type]], 0)</f>
        <v>kl</v>
      </c>
      <c r="H24" s="196" cm="1">
        <f t="array" ref="H24">Common_InputFunctions.Utility_DisplayArrayInTable(Fuel_SourceData.Fuel_Scope1Scope3EmissionFactorsTransport_Data(), Table_Fuel_EFs_Transport118[[#Headers],[Transport type]], 0)</f>
        <v>69.900000000000006</v>
      </c>
      <c r="I24" s="196" cm="1">
        <f t="array" ref="I24">Common_InputFunctions.Utility_DisplayArrayInTable(Fuel_SourceData.Fuel_Scope1Scope3EmissionFactorsTransport_Data(), Table_Fuel_EFs_Transport118[[#Headers],[Transport type]], 0)</f>
        <v>0.2</v>
      </c>
      <c r="J24" s="196" cm="1">
        <f t="array" ref="J24">Common_InputFunctions.Utility_DisplayArrayInTable(Fuel_SourceData.Fuel_Scope1Scope3EmissionFactorsTransport_Data(), Table_Fuel_EFs_Transport118[[#Headers],[Transport type]], 0)</f>
        <v>0.4</v>
      </c>
      <c r="K24" s="196" cm="1">
        <f t="array" ref="K24">Common_InputFunctions.Utility_DisplayArrayInTable(Fuel_SourceData.Fuel_Scope1Scope3EmissionFactorsTransport_Data(), Table_Fuel_EFs_Transport118[[#Headers],[Transport type]], 0)</f>
        <v>70.5</v>
      </c>
      <c r="L24" s="196" cm="1">
        <f t="array" ref="L24">Common_InputFunctions.Utility_DisplayArrayInTable(Fuel_SourceData.Fuel_Scope1Scope3EmissionFactorsTransport_Data(), Table_Fuel_EFs_Transport118[[#Headers],[Transport type]], 0)</f>
        <v>17.3</v>
      </c>
    </row>
    <row r="25" spans="1:12" ht="20.100000000000001" customHeight="1" x14ac:dyDescent="0.25">
      <c r="D25" s="196" t="str" cm="1">
        <f t="array" ref="D25">Common_InputFunctions.Utility_DisplayArrayInTable(Fuel_SourceData.Fuel_Scope1Scope3EmissionFactorsTransport_Data(), Table_Fuel_EFs_Transport118[[#Headers],[Transport type]], 0)</f>
        <v>Heavy duty vehicles</v>
      </c>
      <c r="E25" s="196" t="str" cm="1">
        <f t="array" ref="E25">Common_InputFunctions.Utility_DisplayArrayInTable(Fuel_SourceData.Fuel_Scope1Scope3EmissionFactorsTransport_Data(), Table_Fuel_EFs_Transport118[[#Headers],[Transport type]], 0)</f>
        <v>Renewable diesel – Euro iv or higher</v>
      </c>
      <c r="F25" s="196" cm="1">
        <f t="array" ref="F25">Common_InputFunctions.Utility_DisplayArrayInTable(Fuel_SourceData.Fuel_Scope1Scope3EmissionFactorsTransport_Data(), Table_Fuel_EFs_Transport118[[#Headers],[Transport type]], 0)</f>
        <v>38.6</v>
      </c>
      <c r="G25" s="196" t="str" cm="1">
        <f t="array" ref="G25">Common_InputFunctions.Utility_DisplayArrayInTable(Fuel_SourceData.Fuel_Scope1Scope3EmissionFactorsTransport_Data(), Table_Fuel_EFs_Transport118[[#Headers],[Transport type]], 0)</f>
        <v>kl</v>
      </c>
      <c r="H25" s="196" cm="1">
        <f t="array" ref="H25">Common_InputFunctions.Utility_DisplayArrayInTable(Fuel_SourceData.Fuel_Scope1Scope3EmissionFactorsTransport_Data(), Table_Fuel_EFs_Transport118[[#Headers],[Transport type]], 0)</f>
        <v>0</v>
      </c>
      <c r="I25" s="196" cm="1">
        <f t="array" ref="I25">Common_InputFunctions.Utility_DisplayArrayInTable(Fuel_SourceData.Fuel_Scope1Scope3EmissionFactorsTransport_Data(), Table_Fuel_EFs_Transport118[[#Headers],[Transport type]], 0)</f>
        <v>7.0000000000000007E-2</v>
      </c>
      <c r="J25" s="196" cm="1">
        <f t="array" ref="J25">Common_InputFunctions.Utility_DisplayArrayInTable(Fuel_SourceData.Fuel_Scope1Scope3EmissionFactorsTransport_Data(), Table_Fuel_EFs_Transport118[[#Headers],[Transport type]], 0)</f>
        <v>0.4</v>
      </c>
      <c r="K25" s="196" cm="1">
        <f t="array" ref="K25">Common_InputFunctions.Utility_DisplayArrayInTable(Fuel_SourceData.Fuel_Scope1Scope3EmissionFactorsTransport_Data(), Table_Fuel_EFs_Transport118[[#Headers],[Transport type]], 0)</f>
        <v>0.47</v>
      </c>
      <c r="L25" s="196" t="str" cm="1">
        <f t="array" ref="L25">Common_InputFunctions.Utility_DisplayArrayInTable(Fuel_SourceData.Fuel_Scope1Scope3EmissionFactorsTransport_Data(), Table_Fuel_EFs_Transport118[[#Headers],[Transport type]], 0)</f>
        <v>NE</v>
      </c>
    </row>
    <row r="26" spans="1:12" ht="20.100000000000001" customHeight="1" x14ac:dyDescent="0.25">
      <c r="D26" s="196" t="str" cm="1">
        <f t="array" ref="D26">Common_InputFunctions.Utility_DisplayArrayInTable(Fuel_SourceData.Fuel_Scope1Scope3EmissionFactorsTransport_Data(), Table_Fuel_EFs_Transport118[[#Headers],[Transport type]], 0)</f>
        <v>Heavy duty vehicles</v>
      </c>
      <c r="E26" s="196" t="str" cm="1">
        <f t="array" ref="E26">Common_InputFunctions.Utility_DisplayArrayInTable(Fuel_SourceData.Fuel_Scope1Scope3EmissionFactorsTransport_Data(), Table_Fuel_EFs_Transport118[[#Headers],[Transport type]], 0)</f>
        <v>Renewable diesel – Euro iii</v>
      </c>
      <c r="F26" s="196" cm="1">
        <f t="array" ref="F26">Common_InputFunctions.Utility_DisplayArrayInTable(Fuel_SourceData.Fuel_Scope1Scope3EmissionFactorsTransport_Data(), Table_Fuel_EFs_Transport118[[#Headers],[Transport type]], 0)</f>
        <v>38.6</v>
      </c>
      <c r="G26" s="196" t="str" cm="1">
        <f t="array" ref="G26">Common_InputFunctions.Utility_DisplayArrayInTable(Fuel_SourceData.Fuel_Scope1Scope3EmissionFactorsTransport_Data(), Table_Fuel_EFs_Transport118[[#Headers],[Transport type]], 0)</f>
        <v>kl</v>
      </c>
      <c r="H26" s="196" cm="1">
        <f t="array" ref="H26">Common_InputFunctions.Utility_DisplayArrayInTable(Fuel_SourceData.Fuel_Scope1Scope3EmissionFactorsTransport_Data(), Table_Fuel_EFs_Transport118[[#Headers],[Transport type]], 0)</f>
        <v>0</v>
      </c>
      <c r="I26" s="196" cm="1">
        <f t="array" ref="I26">Common_InputFunctions.Utility_DisplayArrayInTable(Fuel_SourceData.Fuel_Scope1Scope3EmissionFactorsTransport_Data(), Table_Fuel_EFs_Transport118[[#Headers],[Transport type]], 0)</f>
        <v>0.1</v>
      </c>
      <c r="J26" s="196" cm="1">
        <f t="array" ref="J26">Common_InputFunctions.Utility_DisplayArrayInTable(Fuel_SourceData.Fuel_Scope1Scope3EmissionFactorsTransport_Data(), Table_Fuel_EFs_Transport118[[#Headers],[Transport type]], 0)</f>
        <v>0.4</v>
      </c>
      <c r="K26" s="196" cm="1">
        <f t="array" ref="K26">Common_InputFunctions.Utility_DisplayArrayInTable(Fuel_SourceData.Fuel_Scope1Scope3EmissionFactorsTransport_Data(), Table_Fuel_EFs_Transport118[[#Headers],[Transport type]], 0)</f>
        <v>0.5</v>
      </c>
      <c r="L26" s="196" t="str" cm="1">
        <f t="array" ref="L26">Common_InputFunctions.Utility_DisplayArrayInTable(Fuel_SourceData.Fuel_Scope1Scope3EmissionFactorsTransport_Data(), Table_Fuel_EFs_Transport118[[#Headers],[Transport type]], 0)</f>
        <v>NE</v>
      </c>
    </row>
    <row r="27" spans="1:12" ht="20.100000000000001" customHeight="1" x14ac:dyDescent="0.25">
      <c r="D27" s="196" t="str" cm="1">
        <f t="array" ref="D27">Common_InputFunctions.Utility_DisplayArrayInTable(Fuel_SourceData.Fuel_Scope1Scope3EmissionFactorsTransport_Data(), Table_Fuel_EFs_Transport118[[#Headers],[Transport type]], 0)</f>
        <v>Heavy duty vehicles</v>
      </c>
      <c r="E27" s="196" t="str" cm="1">
        <f t="array" ref="E27">Common_InputFunctions.Utility_DisplayArrayInTable(Fuel_SourceData.Fuel_Scope1Scope3EmissionFactorsTransport_Data(), Table_Fuel_EFs_Transport118[[#Headers],[Transport type]], 0)</f>
        <v>Renewable diesel – Euro i</v>
      </c>
      <c r="F27" s="196" cm="1">
        <f t="array" ref="F27">Common_InputFunctions.Utility_DisplayArrayInTable(Fuel_SourceData.Fuel_Scope1Scope3EmissionFactorsTransport_Data(), Table_Fuel_EFs_Transport118[[#Headers],[Transport type]], 0)</f>
        <v>38.6</v>
      </c>
      <c r="G27" s="196" t="str" cm="1">
        <f t="array" ref="G27">Common_InputFunctions.Utility_DisplayArrayInTable(Fuel_SourceData.Fuel_Scope1Scope3EmissionFactorsTransport_Data(), Table_Fuel_EFs_Transport118[[#Headers],[Transport type]], 0)</f>
        <v>kl</v>
      </c>
      <c r="H27" s="196" cm="1">
        <f t="array" ref="H27">Common_InputFunctions.Utility_DisplayArrayInTable(Fuel_SourceData.Fuel_Scope1Scope3EmissionFactorsTransport_Data(), Table_Fuel_EFs_Transport118[[#Headers],[Transport type]], 0)</f>
        <v>0</v>
      </c>
      <c r="I27" s="196" cm="1">
        <f t="array" ref="I27">Common_InputFunctions.Utility_DisplayArrayInTable(Fuel_SourceData.Fuel_Scope1Scope3EmissionFactorsTransport_Data(), Table_Fuel_EFs_Transport118[[#Headers],[Transport type]], 0)</f>
        <v>0.2</v>
      </c>
      <c r="J27" s="196" cm="1">
        <f t="array" ref="J27">Common_InputFunctions.Utility_DisplayArrayInTable(Fuel_SourceData.Fuel_Scope1Scope3EmissionFactorsTransport_Data(), Table_Fuel_EFs_Transport118[[#Headers],[Transport type]], 0)</f>
        <v>0.4</v>
      </c>
      <c r="K27" s="196" cm="1">
        <f t="array" ref="K27">Common_InputFunctions.Utility_DisplayArrayInTable(Fuel_SourceData.Fuel_Scope1Scope3EmissionFactorsTransport_Data(), Table_Fuel_EFs_Transport118[[#Headers],[Transport type]], 0)</f>
        <v>0.6</v>
      </c>
      <c r="L27" s="196" t="str" cm="1">
        <f t="array" ref="L27">Common_InputFunctions.Utility_DisplayArrayInTable(Fuel_SourceData.Fuel_Scope1Scope3EmissionFactorsTransport_Data(), Table_Fuel_EFs_Transport118[[#Headers],[Transport type]], 0)</f>
        <v>NE</v>
      </c>
    </row>
    <row r="28" spans="1:12" ht="20.100000000000001" customHeight="1" x14ac:dyDescent="0.25">
      <c r="D28" s="196" t="str" cm="1">
        <f t="array" ref="D28">Common_InputFunctions.Utility_DisplayArrayInTable(Fuel_SourceData.Fuel_Scope1Scope3EmissionFactorsTransport_Data(), Table_Fuel_EFs_Transport118[[#Headers],[Transport type]], 0)</f>
        <v>Aviation</v>
      </c>
      <c r="E28" s="196" t="str" cm="1">
        <f t="array" ref="E28">Common_InputFunctions.Utility_DisplayArrayInTable(Fuel_SourceData.Fuel_Scope1Scope3EmissionFactorsTransport_Data(), Table_Fuel_EFs_Transport118[[#Headers],[Transport type]], 0)</f>
        <v>Gasoline for use as fuel in an aircraft</v>
      </c>
      <c r="F28" s="196" cm="1">
        <f t="array" ref="F28">Common_InputFunctions.Utility_DisplayArrayInTable(Fuel_SourceData.Fuel_Scope1Scope3EmissionFactorsTransport_Data(), Table_Fuel_EFs_Transport118[[#Headers],[Transport type]], 0)</f>
        <v>33.1</v>
      </c>
      <c r="G28" s="196" t="str" cm="1">
        <f t="array" ref="G28">Common_InputFunctions.Utility_DisplayArrayInTable(Fuel_SourceData.Fuel_Scope1Scope3EmissionFactorsTransport_Data(), Table_Fuel_EFs_Transport118[[#Headers],[Transport type]], 0)</f>
        <v>kl</v>
      </c>
      <c r="H28" s="196" cm="1">
        <f t="array" ref="H28">Common_InputFunctions.Utility_DisplayArrayInTable(Fuel_SourceData.Fuel_Scope1Scope3EmissionFactorsTransport_Data(), Table_Fuel_EFs_Transport118[[#Headers],[Transport type]], 0)</f>
        <v>67</v>
      </c>
      <c r="I28" s="196" cm="1">
        <f t="array" ref="I28">Common_InputFunctions.Utility_DisplayArrayInTable(Fuel_SourceData.Fuel_Scope1Scope3EmissionFactorsTransport_Data(), Table_Fuel_EFs_Transport118[[#Headers],[Transport type]], 0)</f>
        <v>0.06</v>
      </c>
      <c r="J28" s="196" cm="1">
        <f t="array" ref="J28">Common_InputFunctions.Utility_DisplayArrayInTable(Fuel_SourceData.Fuel_Scope1Scope3EmissionFactorsTransport_Data(), Table_Fuel_EFs_Transport118[[#Headers],[Transport type]], 0)</f>
        <v>0.6</v>
      </c>
      <c r="K28" s="196" cm="1">
        <f t="array" ref="K28">Common_InputFunctions.Utility_DisplayArrayInTable(Fuel_SourceData.Fuel_Scope1Scope3EmissionFactorsTransport_Data(), Table_Fuel_EFs_Transport118[[#Headers],[Transport type]], 0)</f>
        <v>67.66</v>
      </c>
      <c r="L28" s="196" cm="1">
        <f t="array" ref="L28">Common_InputFunctions.Utility_DisplayArrayInTable(Fuel_SourceData.Fuel_Scope1Scope3EmissionFactorsTransport_Data(), Table_Fuel_EFs_Transport118[[#Headers],[Transport type]], 0)</f>
        <v>18</v>
      </c>
    </row>
    <row r="29" spans="1:12" ht="20.100000000000001" customHeight="1" x14ac:dyDescent="0.25">
      <c r="D29" s="196" t="str" cm="1">
        <f t="array" ref="D29">Common_InputFunctions.Utility_DisplayArrayInTable(Fuel_SourceData.Fuel_Scope1Scope3EmissionFactorsTransport_Data(), Table_Fuel_EFs_Transport118[[#Headers],[Transport type]], 0)</f>
        <v>Aviation</v>
      </c>
      <c r="E29" s="196" t="str" cm="1">
        <f t="array" ref="E29">Common_InputFunctions.Utility_DisplayArrayInTable(Fuel_SourceData.Fuel_Scope1Scope3EmissionFactorsTransport_Data(), Table_Fuel_EFs_Transport118[[#Headers],[Transport type]], 0)</f>
        <v>Kerosene for use as fuel in an aircraft</v>
      </c>
      <c r="F29" s="196" cm="1">
        <f t="array" ref="F29">Common_InputFunctions.Utility_DisplayArrayInTable(Fuel_SourceData.Fuel_Scope1Scope3EmissionFactorsTransport_Data(), Table_Fuel_EFs_Transport118[[#Headers],[Transport type]], 0)</f>
        <v>36.799999999999997</v>
      </c>
      <c r="G29" s="196" t="str" cm="1">
        <f t="array" ref="G29">Common_InputFunctions.Utility_DisplayArrayInTable(Fuel_SourceData.Fuel_Scope1Scope3EmissionFactorsTransport_Data(), Table_Fuel_EFs_Transport118[[#Headers],[Transport type]], 0)</f>
        <v>kl</v>
      </c>
      <c r="H29" s="196" cm="1">
        <f t="array" ref="H29">Common_InputFunctions.Utility_DisplayArrayInTable(Fuel_SourceData.Fuel_Scope1Scope3EmissionFactorsTransport_Data(), Table_Fuel_EFs_Transport118[[#Headers],[Transport type]], 0)</f>
        <v>69.599999999999994</v>
      </c>
      <c r="I29" s="196" cm="1">
        <f t="array" ref="I29">Common_InputFunctions.Utility_DisplayArrayInTable(Fuel_SourceData.Fuel_Scope1Scope3EmissionFactorsTransport_Data(), Table_Fuel_EFs_Transport118[[#Headers],[Transport type]], 0)</f>
        <v>0.01</v>
      </c>
      <c r="J29" s="196" cm="1">
        <f t="array" ref="J29">Common_InputFunctions.Utility_DisplayArrayInTable(Fuel_SourceData.Fuel_Scope1Scope3EmissionFactorsTransport_Data(), Table_Fuel_EFs_Transport118[[#Headers],[Transport type]], 0)</f>
        <v>0.6</v>
      </c>
      <c r="K29" s="196" cm="1">
        <f t="array" ref="K29">Common_InputFunctions.Utility_DisplayArrayInTable(Fuel_SourceData.Fuel_Scope1Scope3EmissionFactorsTransport_Data(), Table_Fuel_EFs_Transport118[[#Headers],[Transport type]], 0)</f>
        <v>70.209999999999994</v>
      </c>
      <c r="L29" s="196" cm="1">
        <f t="array" ref="L29">Common_InputFunctions.Utility_DisplayArrayInTable(Fuel_SourceData.Fuel_Scope1Scope3EmissionFactorsTransport_Data(), Table_Fuel_EFs_Transport118[[#Headers],[Transport type]], 0)</f>
        <v>18</v>
      </c>
    </row>
    <row r="30" spans="1:12" ht="20.100000000000001" customHeight="1" x14ac:dyDescent="0.25">
      <c r="D30" s="196" t="str" cm="1">
        <f t="array" ref="D30">Common_InputFunctions.Utility_DisplayArrayInTable(Fuel_SourceData.Fuel_Scope1Scope3EmissionFactorsTransport_Data(), Table_Fuel_EFs_Transport118[[#Headers],[Transport type]], 0)</f>
        <v>Aviation</v>
      </c>
      <c r="E30" s="196" t="str" cm="1">
        <f t="array" ref="E30">Common_InputFunctions.Utility_DisplayArrayInTable(Fuel_SourceData.Fuel_Scope1Scope3EmissionFactorsTransport_Data(), Table_Fuel_EFs_Transport118[[#Headers],[Transport type]], 0)</f>
        <v>Renewable aviation kerosene</v>
      </c>
      <c r="F30" s="196" cm="1">
        <f t="array" ref="F30">Common_InputFunctions.Utility_DisplayArrayInTable(Fuel_SourceData.Fuel_Scope1Scope3EmissionFactorsTransport_Data(), Table_Fuel_EFs_Transport118[[#Headers],[Transport type]], 0)</f>
        <v>36.799999999999997</v>
      </c>
      <c r="G30" s="196" t="str" cm="1">
        <f t="array" ref="G30">Common_InputFunctions.Utility_DisplayArrayInTable(Fuel_SourceData.Fuel_Scope1Scope3EmissionFactorsTransport_Data(), Table_Fuel_EFs_Transport118[[#Headers],[Transport type]], 0)</f>
        <v>kl</v>
      </c>
      <c r="H30" s="196" cm="1">
        <f t="array" ref="H30">Common_InputFunctions.Utility_DisplayArrayInTable(Fuel_SourceData.Fuel_Scope1Scope3EmissionFactorsTransport_Data(), Table_Fuel_EFs_Transport118[[#Headers],[Transport type]], 0)</f>
        <v>0</v>
      </c>
      <c r="I30" s="196" cm="1">
        <f t="array" ref="I30">Common_InputFunctions.Utility_DisplayArrayInTable(Fuel_SourceData.Fuel_Scope1Scope3EmissionFactorsTransport_Data(), Table_Fuel_EFs_Transport118[[#Headers],[Transport type]], 0)</f>
        <v>0.01</v>
      </c>
      <c r="J30" s="196" cm="1">
        <f t="array" ref="J30">Common_InputFunctions.Utility_DisplayArrayInTable(Fuel_SourceData.Fuel_Scope1Scope3EmissionFactorsTransport_Data(), Table_Fuel_EFs_Transport118[[#Headers],[Transport type]], 0)</f>
        <v>0.6</v>
      </c>
      <c r="K30" s="196" cm="1">
        <f t="array" ref="K30">Common_InputFunctions.Utility_DisplayArrayInTable(Fuel_SourceData.Fuel_Scope1Scope3EmissionFactorsTransport_Data(), Table_Fuel_EFs_Transport118[[#Headers],[Transport type]], 0)</f>
        <v>0.61</v>
      </c>
      <c r="L30" s="196" t="str" cm="1">
        <f t="array" ref="L30">Common_InputFunctions.Utility_DisplayArrayInTable(Fuel_SourceData.Fuel_Scope1Scope3EmissionFactorsTransport_Data(), Table_Fuel_EFs_Transport118[[#Headers],[Transport type]], 0)</f>
        <v>NE</v>
      </c>
    </row>
    <row r="31" spans="1:12" ht="20.100000000000001" customHeight="1" x14ac:dyDescent="0.25">
      <c r="D31" s="196" t="str" cm="1">
        <f t="array" ref="D31">Common_InputFunctions.Utility_DisplayArrayInTable(Fuel_SourceData.Fuel_Scope1Scope3EmissionFactorsTransport_Data(), Table_Fuel_EFs_Transport118[[#Headers],[Transport type]], 0)</f>
        <v>Vessels</v>
      </c>
      <c r="E31" s="196" t="str" cm="1">
        <f t="array" ref="E31">Common_InputFunctions.Utility_DisplayArrayInTable(Fuel_SourceData.Fuel_Scope1Scope3EmissionFactorsTransport_Data(), Table_Fuel_EFs_Transport118[[#Headers],[Transport type]], 0)</f>
        <v>Gasoline</v>
      </c>
      <c r="F31" s="196" cm="1">
        <f t="array" ref="F31">Common_InputFunctions.Utility_DisplayArrayInTable(Fuel_SourceData.Fuel_Scope1Scope3EmissionFactorsTransport_Data(), Table_Fuel_EFs_Transport118[[#Headers],[Transport type]], 0)</f>
        <v>34.200000000000003</v>
      </c>
      <c r="G31" s="196" t="str" cm="1">
        <f t="array" ref="G31">Common_InputFunctions.Utility_DisplayArrayInTable(Fuel_SourceData.Fuel_Scope1Scope3EmissionFactorsTransport_Data(), Table_Fuel_EFs_Transport118[[#Headers],[Transport type]], 0)</f>
        <v>kL</v>
      </c>
      <c r="H31" s="196" cm="1">
        <f t="array" ref="H31">Common_InputFunctions.Utility_DisplayArrayInTable(Fuel_SourceData.Fuel_Scope1Scope3EmissionFactorsTransport_Data(), Table_Fuel_EFs_Transport118[[#Headers],[Transport type]], 0)</f>
        <v>67.400000000000006</v>
      </c>
      <c r="I31" s="196" cm="1">
        <f t="array" ref="I31">Common_InputFunctions.Utility_DisplayArrayInTable(Fuel_SourceData.Fuel_Scope1Scope3EmissionFactorsTransport_Data(), Table_Fuel_EFs_Transport118[[#Headers],[Transport type]], 0)</f>
        <v>10.1</v>
      </c>
      <c r="J31" s="196" cm="1">
        <f t="array" ref="J31">Common_InputFunctions.Utility_DisplayArrayInTable(Fuel_SourceData.Fuel_Scope1Scope3EmissionFactorsTransport_Data(), Table_Fuel_EFs_Transport118[[#Headers],[Transport type]], 0)</f>
        <v>0.3</v>
      </c>
      <c r="K31" s="196" t="str" cm="1">
        <f t="array" ref="K31">Common_InputFunctions.Utility_DisplayArrayInTable(Fuel_SourceData.Fuel_Scope1Scope3EmissionFactorsTransport_Data(), Table_Fuel_EFs_Transport118[[#Headers],[Transport type]], 0)</f>
        <v/>
      </c>
      <c r="L31" s="196" cm="1">
        <f t="array" ref="L31">Common_InputFunctions.Utility_DisplayArrayInTable(Fuel_SourceData.Fuel_Scope1Scope3EmissionFactorsTransport_Data(), Table_Fuel_EFs_Transport118[[#Headers],[Transport type]], 0)</f>
        <v>17.2</v>
      </c>
    </row>
    <row r="32" spans="1:12" ht="20.100000000000001" customHeight="1" x14ac:dyDescent="0.25">
      <c r="D32" s="166" t="str" cm="1">
        <f t="array" ref="D32">Common_InputFunctions.Utility_DisplayArrayInTable(Fuel_SourceData.Fuel_Scope1Scope3EmissionFactorsTransport_Data(), Table_Fuel_EFs_Transport118[[#Headers],[Transport type]], 0)</f>
        <v>Vessels</v>
      </c>
      <c r="E32" s="166" t="str" cm="1">
        <f t="array" ref="E32">Common_InputFunctions.Utility_DisplayArrayInTable(Fuel_SourceData.Fuel_Scope1Scope3EmissionFactorsTransport_Data(), Table_Fuel_EFs_Transport118[[#Headers],[Transport type]], 0)</f>
        <v>Diesel oil</v>
      </c>
      <c r="F32" s="166" cm="1">
        <f t="array" ref="F32">Common_InputFunctions.Utility_DisplayArrayInTable(Fuel_SourceData.Fuel_Scope1Scope3EmissionFactorsTransport_Data(), Table_Fuel_EFs_Transport118[[#Headers],[Transport type]], 0)</f>
        <v>38.6</v>
      </c>
      <c r="G32" s="166" t="str" cm="1">
        <f t="array" ref="G32">Common_InputFunctions.Utility_DisplayArrayInTable(Fuel_SourceData.Fuel_Scope1Scope3EmissionFactorsTransport_Data(), Table_Fuel_EFs_Transport118[[#Headers],[Transport type]], 0)</f>
        <v>kL</v>
      </c>
      <c r="H32" s="166" cm="1">
        <f t="array" ref="H32">Common_InputFunctions.Utility_DisplayArrayInTable(Fuel_SourceData.Fuel_Scope1Scope3EmissionFactorsTransport_Data(), Table_Fuel_EFs_Transport118[[#Headers],[Transport type]], 0)</f>
        <v>69.900000000000006</v>
      </c>
      <c r="I32" s="166" cm="1">
        <f t="array" ref="I32">Common_InputFunctions.Utility_DisplayArrayInTable(Fuel_SourceData.Fuel_Scope1Scope3EmissionFactorsTransport_Data(), Table_Fuel_EFs_Transport118[[#Headers],[Transport type]], 0)</f>
        <v>0.2</v>
      </c>
      <c r="J32" s="166" cm="1">
        <f t="array" ref="J32">Common_InputFunctions.Utility_DisplayArrayInTable(Fuel_SourceData.Fuel_Scope1Scope3EmissionFactorsTransport_Data(), Table_Fuel_EFs_Transport118[[#Headers],[Transport type]], 0)</f>
        <v>0.5</v>
      </c>
      <c r="K32" s="166" t="str" cm="1">
        <f t="array" ref="K32">Common_InputFunctions.Utility_DisplayArrayInTable(Fuel_SourceData.Fuel_Scope1Scope3EmissionFactorsTransport_Data(), Table_Fuel_EFs_Transport118[[#Headers],[Transport type]], 0)</f>
        <v/>
      </c>
      <c r="L32" s="166" cm="1">
        <f t="array" ref="L32">Common_InputFunctions.Utility_DisplayArrayInTable(Fuel_SourceData.Fuel_Scope1Scope3EmissionFactorsTransport_Data(), Table_Fuel_EFs_Transport118[[#Headers],[Transport type]], 0)</f>
        <v>17.3</v>
      </c>
    </row>
    <row r="33" spans="4:12" ht="20.100000000000001" customHeight="1" x14ac:dyDescent="0.25">
      <c r="D33" s="166" t="str" cm="1">
        <f t="array" ref="D33">Common_InputFunctions.Utility_DisplayArrayInTable(Fuel_SourceData.Fuel_Scope1Scope3EmissionFactorsTransport_Data(), Table_Fuel_EFs_Transport118[[#Headers],[Transport type]], 0)</f>
        <v>Vessels</v>
      </c>
      <c r="E33" s="166" t="str" cm="1">
        <f t="array" ref="E33">Common_InputFunctions.Utility_DisplayArrayInTable(Fuel_SourceData.Fuel_Scope1Scope3EmissionFactorsTransport_Data(), Table_Fuel_EFs_Transport118[[#Headers],[Transport type]], 0)</f>
        <v>Fuel Oil</v>
      </c>
      <c r="F33" s="166" cm="1">
        <f t="array" ref="F33">Common_InputFunctions.Utility_DisplayArrayInTable(Fuel_SourceData.Fuel_Scope1Scope3EmissionFactorsTransport_Data(), Table_Fuel_EFs_Transport118[[#Headers],[Transport type]], 0)</f>
        <v>39.700000000000003</v>
      </c>
      <c r="G33" s="166" t="str" cm="1">
        <f t="array" ref="G33">Common_InputFunctions.Utility_DisplayArrayInTable(Fuel_SourceData.Fuel_Scope1Scope3EmissionFactorsTransport_Data(), Table_Fuel_EFs_Transport118[[#Headers],[Transport type]], 0)</f>
        <v>kL</v>
      </c>
      <c r="H33" s="166" cm="1">
        <f t="array" ref="H33">Common_InputFunctions.Utility_DisplayArrayInTable(Fuel_SourceData.Fuel_Scope1Scope3EmissionFactorsTransport_Data(), Table_Fuel_EFs_Transport118[[#Headers],[Transport type]], 0)</f>
        <v>73.599999999999994</v>
      </c>
      <c r="I33" s="166" cm="1">
        <f t="array" ref="I33">Common_InputFunctions.Utility_DisplayArrayInTable(Fuel_SourceData.Fuel_Scope1Scope3EmissionFactorsTransport_Data(), Table_Fuel_EFs_Transport118[[#Headers],[Transport type]], 0)</f>
        <v>0.2</v>
      </c>
      <c r="J33" s="166" cm="1">
        <f t="array" ref="J33">Common_InputFunctions.Utility_DisplayArrayInTable(Fuel_SourceData.Fuel_Scope1Scope3EmissionFactorsTransport_Data(), Table_Fuel_EFs_Transport118[[#Headers],[Transport type]], 0)</f>
        <v>0.5</v>
      </c>
      <c r="K33" s="166" t="str" cm="1">
        <f t="array" ref="K33">Common_InputFunctions.Utility_DisplayArrayInTable(Fuel_SourceData.Fuel_Scope1Scope3EmissionFactorsTransport_Data(), Table_Fuel_EFs_Transport118[[#Headers],[Transport type]], 0)</f>
        <v/>
      </c>
      <c r="L33" s="166" cm="1">
        <f t="array" ref="L33">Common_InputFunctions.Utility_DisplayArrayInTable(Fuel_SourceData.Fuel_Scope1Scope3EmissionFactorsTransport_Data(), Table_Fuel_EFs_Transport118[[#Headers],[Transport type]], 0)</f>
        <v>18</v>
      </c>
    </row>
    <row r="34" spans="4:12" ht="20.100000000000001" customHeight="1" x14ac:dyDescent="0.25">
      <c r="D34" s="166" t="str" cm="1">
        <f t="array" ref="D34">Common_InputFunctions.Utility_DisplayArrayInTable(Fuel_SourceData.Fuel_Scope1Scope3EmissionFactorsTransport_Data(), Table_Fuel_EFs_Transport118[[#Headers],[Transport type]], 0)</f>
        <v>Off-road Agriculture and forestry equipment</v>
      </c>
      <c r="E34" s="166" t="str" cm="1">
        <f t="array" ref="E34">Common_InputFunctions.Utility_DisplayArrayInTable(Fuel_SourceData.Fuel_Scope1Scope3EmissionFactorsTransport_Data(), Table_Fuel_EFs_Transport118[[#Headers],[Transport type]], 0)</f>
        <v>Diesel oil</v>
      </c>
      <c r="F34" s="166" cm="1">
        <f t="array" ref="F34">Common_InputFunctions.Utility_DisplayArrayInTable(Fuel_SourceData.Fuel_Scope1Scope3EmissionFactorsTransport_Data(), Table_Fuel_EFs_Transport118[[#Headers],[Transport type]], 0)</f>
        <v>38.6</v>
      </c>
      <c r="G34" s="166" t="str" cm="1">
        <f t="array" ref="G34">Common_InputFunctions.Utility_DisplayArrayInTable(Fuel_SourceData.Fuel_Scope1Scope3EmissionFactorsTransport_Data(), Table_Fuel_EFs_Transport118[[#Headers],[Transport type]], 0)</f>
        <v>kL</v>
      </c>
      <c r="H34" s="166" cm="1">
        <f t="array" ref="H34">Common_InputFunctions.Utility_DisplayArrayInTable(Fuel_SourceData.Fuel_Scope1Scope3EmissionFactorsTransport_Data(), Table_Fuel_EFs_Transport118[[#Headers],[Transport type]], 0)</f>
        <v>69.900000000000006</v>
      </c>
      <c r="I34" s="166" cm="1">
        <f t="array" ref="I34">Common_InputFunctions.Utility_DisplayArrayInTable(Fuel_SourceData.Fuel_Scope1Scope3EmissionFactorsTransport_Data(), Table_Fuel_EFs_Transport118[[#Headers],[Transport type]], 0)</f>
        <v>0.3</v>
      </c>
      <c r="J34" s="166" cm="1">
        <f t="array" ref="J34">Common_InputFunctions.Utility_DisplayArrayInTable(Fuel_SourceData.Fuel_Scope1Scope3EmissionFactorsTransport_Data(), Table_Fuel_EFs_Transport118[[#Headers],[Transport type]], 0)</f>
        <v>0.5</v>
      </c>
      <c r="K34" s="166" t="str" cm="1">
        <f t="array" ref="K34">Common_InputFunctions.Utility_DisplayArrayInTable(Fuel_SourceData.Fuel_Scope1Scope3EmissionFactorsTransport_Data(), Table_Fuel_EFs_Transport118[[#Headers],[Transport type]], 0)</f>
        <v/>
      </c>
      <c r="L34" s="166" cm="1">
        <f t="array" ref="L34">Common_InputFunctions.Utility_DisplayArrayInTable(Fuel_SourceData.Fuel_Scope1Scope3EmissionFactorsTransport_Data(), Table_Fuel_EFs_Transport118[[#Headers],[Transport type]], 0)</f>
        <v>17.3</v>
      </c>
    </row>
    <row r="35" spans="4:12" ht="20.100000000000001" customHeight="1" x14ac:dyDescent="0.25"/>
    <row r="36" spans="4:12" ht="20.100000000000001" customHeight="1" x14ac:dyDescent="0.25"/>
    <row r="37" spans="4:12" ht="20.100000000000001" customHeight="1" x14ac:dyDescent="0.25">
      <c r="D37" s="9" t="str" cm="1">
        <f t="array" ref="D37">Fuel_SourceData.Fuel_Scope1Scope3EmissionFactorsTransportOffRoad_Title()</f>
        <v>Fuel scope 1 and 3 emission factors - Off-road equipment and vessels</v>
      </c>
    </row>
    <row r="38" spans="4:12" ht="20.100000000000001" customHeight="1" x14ac:dyDescent="0.25">
      <c r="D38" s="11" t="str" cm="1">
        <f t="array" ref="D38">Fuel_SourceData.Fuel_Scope1Scope3EmissionFactorsTransportOffRoad_Source()</f>
        <v>VEERG 2026: Table A.4.2.1</v>
      </c>
    </row>
    <row r="39" spans="4:12" ht="20.100000000000001" customHeight="1" x14ac:dyDescent="0.25">
      <c r="D39" s="166" t="s">
        <v>79</v>
      </c>
      <c r="E39" s="166" t="s">
        <v>80</v>
      </c>
      <c r="F39" s="166" t="s">
        <v>81</v>
      </c>
      <c r="G39" s="166" t="s">
        <v>82</v>
      </c>
      <c r="H39" s="166" t="s">
        <v>83</v>
      </c>
      <c r="I39" s="166" t="s">
        <v>84</v>
      </c>
      <c r="J39" s="166" t="s">
        <v>85</v>
      </c>
    </row>
    <row r="40" spans="4:12" ht="20.100000000000001" customHeight="1" x14ac:dyDescent="0.25">
      <c r="D40" s="166" t="str" cm="1">
        <f t="array" ref="D40">Common_InputFunctions.Utility_DisplayArrayInTable(Fuel_SourceData.Fuel_Scope1Scope3EmissionFactorsTransportOffRoad_Data(), Table_SourceData_Fuel_TransportOffroad123[[#Headers],[Transport type t]],0)</f>
        <v>Vessel</v>
      </c>
      <c r="E40" s="166" t="str" cm="1">
        <f t="array" ref="E40">Common_InputFunctions.Utility_DisplayArrayInTable(Fuel_SourceData.Fuel_Scope1Scope3EmissionFactorsTransportOffRoad_Data(), Table_SourceData_Fuel_TransportOffroad123[[#Headers],[Transport type t]],0)</f>
        <v>Petrol</v>
      </c>
      <c r="F40" s="166" cm="1">
        <f t="array" ref="F40">Common_InputFunctions.Utility_DisplayArrayInTable(Fuel_SourceData.Fuel_Scope1Scope3EmissionFactorsTransportOffRoad_Data(), Table_SourceData_Fuel_TransportOffroad123[[#Headers],[Transport type t]],0)</f>
        <v>34.200000000000003</v>
      </c>
      <c r="G40" s="166" cm="1">
        <f t="array" ref="G40">Common_InputFunctions.Utility_DisplayArrayInTable(Fuel_SourceData.Fuel_Scope1Scope3EmissionFactorsTransportOffRoad_Data(), Table_SourceData_Fuel_TransportOffroad123[[#Headers],[Transport type t]],0)</f>
        <v>67.400000000000006</v>
      </c>
      <c r="H40" s="166" cm="1">
        <f t="array" ref="H40">Common_InputFunctions.Utility_DisplayArrayInTable(Fuel_SourceData.Fuel_Scope1Scope3EmissionFactorsTransportOffRoad_Data(), Table_SourceData_Fuel_TransportOffroad123[[#Headers],[Transport type t]],0)</f>
        <v>10.1</v>
      </c>
      <c r="I40" s="166" cm="1">
        <f t="array" ref="I40">Common_InputFunctions.Utility_DisplayArrayInTable(Fuel_SourceData.Fuel_Scope1Scope3EmissionFactorsTransportOffRoad_Data(), Table_SourceData_Fuel_TransportOffroad123[[#Headers],[Transport type t]],0)</f>
        <v>0.3</v>
      </c>
      <c r="J40" s="166" cm="1">
        <f t="array" ref="J40">Common_InputFunctions.Utility_DisplayArrayInTable(Fuel_SourceData.Fuel_Scope1Scope3EmissionFactorsTransportOffRoad_Data(), Table_SourceData_Fuel_TransportOffroad123[[#Headers],[Transport type t]],0)</f>
        <v>17.2</v>
      </c>
    </row>
    <row r="41" spans="4:12" ht="20.100000000000001" customHeight="1" x14ac:dyDescent="0.25">
      <c r="D41" s="166" t="str" cm="1">
        <f t="array" ref="D41">Common_InputFunctions.Utility_DisplayArrayInTable(Fuel_SourceData.Fuel_Scope1Scope3EmissionFactorsTransportOffRoad_Data(), Table_SourceData_Fuel_TransportOffroad123[[#Headers],[Transport type t]],0)</f>
        <v>Vessel</v>
      </c>
      <c r="E41" s="166" t="str" cm="1">
        <f t="array" ref="E41">Common_InputFunctions.Utility_DisplayArrayInTable(Fuel_SourceData.Fuel_Scope1Scope3EmissionFactorsTransportOffRoad_Data(), Table_SourceData_Fuel_TransportOffroad123[[#Headers],[Transport type t]],0)</f>
        <v>Diesel</v>
      </c>
      <c r="F41" s="166" cm="1">
        <f t="array" ref="F41">Common_InputFunctions.Utility_DisplayArrayInTable(Fuel_SourceData.Fuel_Scope1Scope3EmissionFactorsTransportOffRoad_Data(), Table_SourceData_Fuel_TransportOffroad123[[#Headers],[Transport type t]],0)</f>
        <v>38.6</v>
      </c>
      <c r="G41" s="166" cm="1">
        <f t="array" ref="G41">Common_InputFunctions.Utility_DisplayArrayInTable(Fuel_SourceData.Fuel_Scope1Scope3EmissionFactorsTransportOffRoad_Data(), Table_SourceData_Fuel_TransportOffroad123[[#Headers],[Transport type t]],0)</f>
        <v>69.900000000000006</v>
      </c>
      <c r="H41" s="166" cm="1">
        <f t="array" ref="H41">Common_InputFunctions.Utility_DisplayArrayInTable(Fuel_SourceData.Fuel_Scope1Scope3EmissionFactorsTransportOffRoad_Data(), Table_SourceData_Fuel_TransportOffroad123[[#Headers],[Transport type t]],0)</f>
        <v>0.2</v>
      </c>
      <c r="I41" s="166" cm="1">
        <f t="array" ref="I41">Common_InputFunctions.Utility_DisplayArrayInTable(Fuel_SourceData.Fuel_Scope1Scope3EmissionFactorsTransportOffRoad_Data(), Table_SourceData_Fuel_TransportOffroad123[[#Headers],[Transport type t]],0)</f>
        <v>0.5</v>
      </c>
      <c r="J41" s="166" cm="1">
        <f t="array" ref="J41">Common_InputFunctions.Utility_DisplayArrayInTable(Fuel_SourceData.Fuel_Scope1Scope3EmissionFactorsTransportOffRoad_Data(), Table_SourceData_Fuel_TransportOffroad123[[#Headers],[Transport type t]],0)</f>
        <v>17.3</v>
      </c>
    </row>
    <row r="42" spans="4:12" ht="20.100000000000001" customHeight="1" x14ac:dyDescent="0.25">
      <c r="D42" s="166" t="str" cm="1">
        <f t="array" ref="D42">Common_InputFunctions.Utility_DisplayArrayInTable(Fuel_SourceData.Fuel_Scope1Scope3EmissionFactorsTransportOffRoad_Data(), Table_SourceData_Fuel_TransportOffroad123[[#Headers],[Transport type t]],0)</f>
        <v>Vessel</v>
      </c>
      <c r="E42" s="166" t="str" cm="1">
        <f t="array" ref="E42">Common_InputFunctions.Utility_DisplayArrayInTable(Fuel_SourceData.Fuel_Scope1Scope3EmissionFactorsTransportOffRoad_Data(), Table_SourceData_Fuel_TransportOffroad123[[#Headers],[Transport type t]],0)</f>
        <v>Fuel Oil</v>
      </c>
      <c r="F42" s="166" cm="1">
        <f t="array" ref="F42">Common_InputFunctions.Utility_DisplayArrayInTable(Fuel_SourceData.Fuel_Scope1Scope3EmissionFactorsTransportOffRoad_Data(), Table_SourceData_Fuel_TransportOffroad123[[#Headers],[Transport type t]],0)</f>
        <v>39.700000000000003</v>
      </c>
      <c r="G42" s="166" cm="1">
        <f t="array" ref="G42">Common_InputFunctions.Utility_DisplayArrayInTable(Fuel_SourceData.Fuel_Scope1Scope3EmissionFactorsTransportOffRoad_Data(), Table_SourceData_Fuel_TransportOffroad123[[#Headers],[Transport type t]],0)</f>
        <v>73.599999999999994</v>
      </c>
      <c r="H42" s="166" cm="1">
        <f t="array" ref="H42">Common_InputFunctions.Utility_DisplayArrayInTable(Fuel_SourceData.Fuel_Scope1Scope3EmissionFactorsTransportOffRoad_Data(), Table_SourceData_Fuel_TransportOffroad123[[#Headers],[Transport type t]],0)</f>
        <v>0.2</v>
      </c>
      <c r="I42" s="166" cm="1">
        <f t="array" ref="I42">Common_InputFunctions.Utility_DisplayArrayInTable(Fuel_SourceData.Fuel_Scope1Scope3EmissionFactorsTransportOffRoad_Data(), Table_SourceData_Fuel_TransportOffroad123[[#Headers],[Transport type t]],0)</f>
        <v>0.5</v>
      </c>
      <c r="J42" s="166" cm="1">
        <f t="array" ref="J42">Common_InputFunctions.Utility_DisplayArrayInTable(Fuel_SourceData.Fuel_Scope1Scope3EmissionFactorsTransportOffRoad_Data(), Table_SourceData_Fuel_TransportOffroad123[[#Headers],[Transport type t]],0)</f>
        <v>18</v>
      </c>
    </row>
    <row r="43" spans="4:12" ht="20.100000000000001" customHeight="1" x14ac:dyDescent="0.25">
      <c r="D43" s="166" t="str" cm="1">
        <f t="array" ref="D43">Common_InputFunctions.Utility_DisplayArrayInTable(Fuel_SourceData.Fuel_Scope1Scope3EmissionFactorsTransportOffRoad_Data(), Table_SourceData_Fuel_TransportOffroad123[[#Headers],[Transport type t]],0)</f>
        <v>Off-road Agriculture and forestry equipment</v>
      </c>
      <c r="E43" s="166" t="str" cm="1">
        <f t="array" ref="E43">Common_InputFunctions.Utility_DisplayArrayInTable(Fuel_SourceData.Fuel_Scope1Scope3EmissionFactorsTransportOffRoad_Data(), Table_SourceData_Fuel_TransportOffroad123[[#Headers],[Transport type t]],0)</f>
        <v>Diesel</v>
      </c>
      <c r="F43" s="166" cm="1">
        <f t="array" ref="F43">Common_InputFunctions.Utility_DisplayArrayInTable(Fuel_SourceData.Fuel_Scope1Scope3EmissionFactorsTransportOffRoad_Data(), Table_SourceData_Fuel_TransportOffroad123[[#Headers],[Transport type t]],0)</f>
        <v>38.6</v>
      </c>
      <c r="G43" s="166" cm="1">
        <f t="array" ref="G43">Common_InputFunctions.Utility_DisplayArrayInTable(Fuel_SourceData.Fuel_Scope1Scope3EmissionFactorsTransportOffRoad_Data(), Table_SourceData_Fuel_TransportOffroad123[[#Headers],[Transport type t]],0)</f>
        <v>69.900000000000006</v>
      </c>
      <c r="H43" s="166" cm="1">
        <f t="array" ref="H43">Common_InputFunctions.Utility_DisplayArrayInTable(Fuel_SourceData.Fuel_Scope1Scope3EmissionFactorsTransportOffRoad_Data(), Table_SourceData_Fuel_TransportOffroad123[[#Headers],[Transport type t]],0)</f>
        <v>0.3</v>
      </c>
      <c r="I43" s="166" cm="1">
        <f t="array" ref="I43">Common_InputFunctions.Utility_DisplayArrayInTable(Fuel_SourceData.Fuel_Scope1Scope3EmissionFactorsTransportOffRoad_Data(), Table_SourceData_Fuel_TransportOffroad123[[#Headers],[Transport type t]],0)</f>
        <v>0.5</v>
      </c>
      <c r="J43" s="166" cm="1">
        <f t="array" ref="J43">Common_InputFunctions.Utility_DisplayArrayInTable(Fuel_SourceData.Fuel_Scope1Scope3EmissionFactorsTransportOffRoad_Data(), Table_SourceData_Fuel_TransportOffroad123[[#Headers],[Transport type t]],0)</f>
        <v>17.3</v>
      </c>
    </row>
    <row r="44" spans="4:12" ht="20.100000000000001" customHeight="1" x14ac:dyDescent="0.25"/>
    <row r="45" spans="4:12" ht="20.100000000000001" customHeight="1" x14ac:dyDescent="0.25"/>
    <row r="46" spans="4:12" ht="20.100000000000001" customHeight="1" x14ac:dyDescent="0.25"/>
    <row r="47" spans="4:12" ht="20.100000000000001" customHeight="1" x14ac:dyDescent="0.25"/>
    <row r="48" spans="4:12" ht="20.100000000000001" customHeight="1" x14ac:dyDescent="0.25"/>
    <row r="49" spans="4:12" ht="20.100000000000001" customHeight="1" x14ac:dyDescent="0.25">
      <c r="D49" s="9" t="str" cm="1">
        <f t="array" ref="D49">Fuel_SourceData.Fuel_Scope1Scope3EmissionFactorsStationaryLiquid_Title()</f>
        <v>Fuel scope 1 and 3 emission factors - Stationary liquid fuels</v>
      </c>
      <c r="E49" s="189"/>
      <c r="F49" s="189"/>
      <c r="G49" s="189"/>
      <c r="H49" s="189"/>
      <c r="I49" s="189"/>
      <c r="J49" s="189"/>
      <c r="K49" s="189"/>
      <c r="L49" s="189"/>
    </row>
    <row r="50" spans="4:12" ht="20.100000000000001" customHeight="1" x14ac:dyDescent="0.25">
      <c r="D50" s="8" t="str" cm="1">
        <f t="array" ref="D50">Fuel_SourceData.Fuel_Scope1Scope3EmissionFactorsStationaryLiquid_Description()</f>
        <v>Direct (Scope 1) and indirect (scope 3) emission factors for the consumption of liquid fuels, including certain petroleum based products for stationary energy purposes.</v>
      </c>
      <c r="E50" s="189"/>
      <c r="F50" s="189"/>
      <c r="G50" s="189"/>
      <c r="H50" s="189"/>
      <c r="I50" s="189"/>
      <c r="J50" s="189"/>
      <c r="K50" s="189"/>
      <c r="L50" s="189"/>
    </row>
    <row r="51" spans="4:12" ht="20.100000000000001" customHeight="1" x14ac:dyDescent="0.25">
      <c r="D51" s="11" t="str" cm="1">
        <f t="array" ref="D51">Fuel_SourceData.Fuel_Scope1Scope3EmissionFactorsStationaryLiquid_Source()</f>
        <v>Australian National Greenhouse Accounts Factors 2025 - Table 8</v>
      </c>
      <c r="E51" s="189"/>
      <c r="F51" s="189"/>
      <c r="G51" s="189"/>
      <c r="H51" s="189"/>
      <c r="I51" s="189"/>
      <c r="J51" s="189"/>
      <c r="K51" s="189"/>
      <c r="L51" s="189"/>
    </row>
    <row r="52" spans="4:12" ht="20.100000000000001" customHeight="1" x14ac:dyDescent="0.25">
      <c r="D52" s="12" t="str" cm="1">
        <f t="array" ref="D52">"⚠️" &amp; Fuel_SourceData.Fuel_Scope1Scope3EmissionFactorsStationaryLiquid_Variation()</f>
        <v>⚠️VARIATION OF SOURCE DATA: 'NE' values returned as zero for calculations.</v>
      </c>
      <c r="E52" s="189"/>
      <c r="F52" s="189"/>
      <c r="G52" s="189"/>
      <c r="H52" s="189"/>
      <c r="I52" s="189"/>
      <c r="J52" s="189"/>
      <c r="K52" s="189"/>
      <c r="L52" s="189"/>
    </row>
    <row r="53" spans="4:12" ht="20.100000000000001" customHeight="1" x14ac:dyDescent="0.25">
      <c r="D53" s="194" t="s">
        <v>69</v>
      </c>
      <c r="E53" s="195" t="s">
        <v>70</v>
      </c>
      <c r="F53" s="194" t="s">
        <v>71</v>
      </c>
      <c r="G53" s="195" t="s">
        <v>72</v>
      </c>
      <c r="H53" s="195" t="s">
        <v>73</v>
      </c>
      <c r="I53" s="195" t="s">
        <v>74</v>
      </c>
      <c r="J53" s="195" t="s">
        <v>75</v>
      </c>
      <c r="K53" s="195" t="s">
        <v>76</v>
      </c>
      <c r="L53" s="189"/>
    </row>
    <row r="54" spans="4:12" ht="20.100000000000001" customHeight="1" x14ac:dyDescent="0.25">
      <c r="D54" s="196" t="str" cm="1">
        <f t="array" ref="D54">Common_InputFunctions.Utility_DisplayArrayInTable(Fuel_SourceData.Fuel_Scope1Scope3EmissionFactorsStationaryLiquid_Data(), Table_Fuel_EFs_StationaryLiquid117[[#Headers],[Fuel combusted]],0)</f>
        <v>Petroleum based oils (other than petroleum based oil used as fuel), e.g. lubricants</v>
      </c>
      <c r="E54" s="196" cm="1">
        <f t="array" ref="E54">Common_InputFunctions.Utility_DisplayArrayInTable(Fuel_SourceData.Fuel_Scope1Scope3EmissionFactorsStationaryLiquid_Data(), Table_Fuel_EFs_StationaryLiquid117[[#Headers],[Fuel combusted]],0)</f>
        <v>38.799999999999997</v>
      </c>
      <c r="F54" s="196" t="str" cm="1">
        <f t="array" ref="F54">Common_InputFunctions.Utility_DisplayArrayInTable(Fuel_SourceData.Fuel_Scope1Scope3EmissionFactorsStationaryLiquid_Data(), Table_Fuel_EFs_StationaryLiquid117[[#Headers],[Fuel combusted]],0)</f>
        <v>kl</v>
      </c>
      <c r="G54" s="196" cm="1">
        <f t="array" ref="G54">Common_InputFunctions.Utility_DisplayArrayInTable(Fuel_SourceData.Fuel_Scope1Scope3EmissionFactorsStationaryLiquid_Data(), Table_Fuel_EFs_StationaryLiquid117[[#Headers],[Fuel combusted]],0)</f>
        <v>13.9</v>
      </c>
      <c r="H54" s="196" cm="1">
        <f t="array" ref="H54">Common_InputFunctions.Utility_DisplayArrayInTable(Fuel_SourceData.Fuel_Scope1Scope3EmissionFactorsStationaryLiquid_Data(), Table_Fuel_EFs_StationaryLiquid117[[#Headers],[Fuel combusted]],0)</f>
        <v>0</v>
      </c>
      <c r="I54" s="196" cm="1">
        <f t="array" ref="I54">Common_InputFunctions.Utility_DisplayArrayInTable(Fuel_SourceData.Fuel_Scope1Scope3EmissionFactorsStationaryLiquid_Data(), Table_Fuel_EFs_StationaryLiquid117[[#Headers],[Fuel combusted]],0)</f>
        <v>0</v>
      </c>
      <c r="J54" s="196" cm="1">
        <f t="array" ref="J54">Common_InputFunctions.Utility_DisplayArrayInTable(Fuel_SourceData.Fuel_Scope1Scope3EmissionFactorsStationaryLiquid_Data(), Table_Fuel_EFs_StationaryLiquid117[[#Headers],[Fuel combusted]],0)</f>
        <v>13.9</v>
      </c>
      <c r="K54" s="196" cm="1">
        <f t="array" ref="K54">Common_InputFunctions.Utility_DisplayArrayInTable(Fuel_SourceData.Fuel_Scope1Scope3EmissionFactorsStationaryLiquid_Data(), Table_Fuel_EFs_StationaryLiquid117[[#Headers],[Fuel combusted]],0)</f>
        <v>18</v>
      </c>
      <c r="L54" s="189"/>
    </row>
    <row r="55" spans="4:12" ht="20.100000000000001" customHeight="1" x14ac:dyDescent="0.25">
      <c r="D55" s="196" t="str" cm="1">
        <f t="array" ref="D55">Common_InputFunctions.Utility_DisplayArrayInTable(Fuel_SourceData.Fuel_Scope1Scope3EmissionFactorsStationaryLiquid_Data(), Table_Fuel_EFs_StationaryLiquid117[[#Headers],[Fuel combusted]],0)</f>
        <v>Petroleum based greases</v>
      </c>
      <c r="E55" s="196" cm="1">
        <f t="array" ref="E55">Common_InputFunctions.Utility_DisplayArrayInTable(Fuel_SourceData.Fuel_Scope1Scope3EmissionFactorsStationaryLiquid_Data(), Table_Fuel_EFs_StationaryLiquid117[[#Headers],[Fuel combusted]],0)</f>
        <v>38.799999999999997</v>
      </c>
      <c r="F55" s="196" t="str" cm="1">
        <f t="array" ref="F55">Common_InputFunctions.Utility_DisplayArrayInTable(Fuel_SourceData.Fuel_Scope1Scope3EmissionFactorsStationaryLiquid_Data(), Table_Fuel_EFs_StationaryLiquid117[[#Headers],[Fuel combusted]],0)</f>
        <v>kl</v>
      </c>
      <c r="G55" s="196" cm="1">
        <f t="array" ref="G55">Common_InputFunctions.Utility_DisplayArrayInTable(Fuel_SourceData.Fuel_Scope1Scope3EmissionFactorsStationaryLiquid_Data(), Table_Fuel_EFs_StationaryLiquid117[[#Headers],[Fuel combusted]],0)</f>
        <v>3.5</v>
      </c>
      <c r="H55" s="196" cm="1">
        <f t="array" ref="H55">Common_InputFunctions.Utility_DisplayArrayInTable(Fuel_SourceData.Fuel_Scope1Scope3EmissionFactorsStationaryLiquid_Data(), Table_Fuel_EFs_StationaryLiquid117[[#Headers],[Fuel combusted]],0)</f>
        <v>0</v>
      </c>
      <c r="I55" s="196" cm="1">
        <f t="array" ref="I55">Common_InputFunctions.Utility_DisplayArrayInTable(Fuel_SourceData.Fuel_Scope1Scope3EmissionFactorsStationaryLiquid_Data(), Table_Fuel_EFs_StationaryLiquid117[[#Headers],[Fuel combusted]],0)</f>
        <v>0</v>
      </c>
      <c r="J55" s="196" cm="1">
        <f t="array" ref="J55">Common_InputFunctions.Utility_DisplayArrayInTable(Fuel_SourceData.Fuel_Scope1Scope3EmissionFactorsStationaryLiquid_Data(), Table_Fuel_EFs_StationaryLiquid117[[#Headers],[Fuel combusted]],0)</f>
        <v>3.5</v>
      </c>
      <c r="K55" s="196" cm="1">
        <f t="array" ref="K55">Common_InputFunctions.Utility_DisplayArrayInTable(Fuel_SourceData.Fuel_Scope1Scope3EmissionFactorsStationaryLiquid_Data(), Table_Fuel_EFs_StationaryLiquid117[[#Headers],[Fuel combusted]],0)</f>
        <v>18</v>
      </c>
      <c r="L55" s="189"/>
    </row>
    <row r="56" spans="4:12" ht="20.100000000000001" customHeight="1" x14ac:dyDescent="0.25">
      <c r="D56" s="196" t="str" cm="1">
        <f t="array" ref="D56">Common_InputFunctions.Utility_DisplayArrayInTable(Fuel_SourceData.Fuel_Scope1Scope3EmissionFactorsStationaryLiquid_Data(), Table_Fuel_EFs_StationaryLiquid117[[#Headers],[Fuel combusted]],0)</f>
        <v>Crude oil including crude oil condensates</v>
      </c>
      <c r="E56" s="196" cm="1">
        <f t="array" ref="E56">Common_InputFunctions.Utility_DisplayArrayInTable(Fuel_SourceData.Fuel_Scope1Scope3EmissionFactorsStationaryLiquid_Data(), Table_Fuel_EFs_StationaryLiquid117[[#Headers],[Fuel combusted]],0)</f>
        <v>45.3</v>
      </c>
      <c r="F56" s="196" t="str" cm="1">
        <f t="array" ref="F56">Common_InputFunctions.Utility_DisplayArrayInTable(Fuel_SourceData.Fuel_Scope1Scope3EmissionFactorsStationaryLiquid_Data(), Table_Fuel_EFs_StationaryLiquid117[[#Headers],[Fuel combusted]],0)</f>
        <v>t</v>
      </c>
      <c r="G56" s="196" cm="1">
        <f t="array" ref="G56">Common_InputFunctions.Utility_DisplayArrayInTable(Fuel_SourceData.Fuel_Scope1Scope3EmissionFactorsStationaryLiquid_Data(), Table_Fuel_EFs_StationaryLiquid117[[#Headers],[Fuel combusted]],0)</f>
        <v>69.599999999999994</v>
      </c>
      <c r="H56" s="196" cm="1">
        <f t="array" ref="H56">Common_InputFunctions.Utility_DisplayArrayInTable(Fuel_SourceData.Fuel_Scope1Scope3EmissionFactorsStationaryLiquid_Data(), Table_Fuel_EFs_StationaryLiquid117[[#Headers],[Fuel combusted]],0)</f>
        <v>0.08</v>
      </c>
      <c r="I56" s="196" cm="1">
        <f t="array" ref="I56">Common_InputFunctions.Utility_DisplayArrayInTable(Fuel_SourceData.Fuel_Scope1Scope3EmissionFactorsStationaryLiquid_Data(), Table_Fuel_EFs_StationaryLiquid117[[#Headers],[Fuel combusted]],0)</f>
        <v>0.2</v>
      </c>
      <c r="J56" s="196" cm="1">
        <f t="array" ref="J56">Common_InputFunctions.Utility_DisplayArrayInTable(Fuel_SourceData.Fuel_Scope1Scope3EmissionFactorsStationaryLiquid_Data(), Table_Fuel_EFs_StationaryLiquid117[[#Headers],[Fuel combusted]],0)</f>
        <v>69.88</v>
      </c>
      <c r="K56" s="196" t="str" cm="1">
        <f t="array" ref="K56">Common_InputFunctions.Utility_DisplayArrayInTable(Fuel_SourceData.Fuel_Scope1Scope3EmissionFactorsStationaryLiquid_Data(), Table_Fuel_EFs_StationaryLiquid117[[#Headers],[Fuel combusted]],0)</f>
        <v>NE</v>
      </c>
      <c r="L56" s="189"/>
    </row>
    <row r="57" spans="4:12" ht="20.100000000000001" customHeight="1" x14ac:dyDescent="0.25">
      <c r="D57" s="196" t="str" cm="1">
        <f t="array" ref="D57">Common_InputFunctions.Utility_DisplayArrayInTable(Fuel_SourceData.Fuel_Scope1Scope3EmissionFactorsStationaryLiquid_Data(), Table_Fuel_EFs_StationaryLiquid117[[#Headers],[Fuel combusted]],0)</f>
        <v>Other natural gas liquids</v>
      </c>
      <c r="E57" s="196" cm="1">
        <f t="array" ref="E57">Common_InputFunctions.Utility_DisplayArrayInTable(Fuel_SourceData.Fuel_Scope1Scope3EmissionFactorsStationaryLiquid_Data(), Table_Fuel_EFs_StationaryLiquid117[[#Headers],[Fuel combusted]],0)</f>
        <v>46.5</v>
      </c>
      <c r="F57" s="196" t="str" cm="1">
        <f t="array" ref="F57">Common_InputFunctions.Utility_DisplayArrayInTable(Fuel_SourceData.Fuel_Scope1Scope3EmissionFactorsStationaryLiquid_Data(), Table_Fuel_EFs_StationaryLiquid117[[#Headers],[Fuel combusted]],0)</f>
        <v>t</v>
      </c>
      <c r="G57" s="196" cm="1">
        <f t="array" ref="G57">Common_InputFunctions.Utility_DisplayArrayInTable(Fuel_SourceData.Fuel_Scope1Scope3EmissionFactorsStationaryLiquid_Data(), Table_Fuel_EFs_StationaryLiquid117[[#Headers],[Fuel combusted]],0)</f>
        <v>61</v>
      </c>
      <c r="H57" s="196" cm="1">
        <f t="array" ref="H57">Common_InputFunctions.Utility_DisplayArrayInTable(Fuel_SourceData.Fuel_Scope1Scope3EmissionFactorsStationaryLiquid_Data(), Table_Fuel_EFs_StationaryLiquid117[[#Headers],[Fuel combusted]],0)</f>
        <v>0.08</v>
      </c>
      <c r="I57" s="196" cm="1">
        <f t="array" ref="I57">Common_InputFunctions.Utility_DisplayArrayInTable(Fuel_SourceData.Fuel_Scope1Scope3EmissionFactorsStationaryLiquid_Data(), Table_Fuel_EFs_StationaryLiquid117[[#Headers],[Fuel combusted]],0)</f>
        <v>0.2</v>
      </c>
      <c r="J57" s="196" cm="1">
        <f t="array" ref="J57">Common_InputFunctions.Utility_DisplayArrayInTable(Fuel_SourceData.Fuel_Scope1Scope3EmissionFactorsStationaryLiquid_Data(), Table_Fuel_EFs_StationaryLiquid117[[#Headers],[Fuel combusted]],0)</f>
        <v>61.28</v>
      </c>
      <c r="K57" s="196" t="str" cm="1">
        <f t="array" ref="K57">Common_InputFunctions.Utility_DisplayArrayInTable(Fuel_SourceData.Fuel_Scope1Scope3EmissionFactorsStationaryLiquid_Data(), Table_Fuel_EFs_StationaryLiquid117[[#Headers],[Fuel combusted]],0)</f>
        <v>NE</v>
      </c>
      <c r="L57" s="189"/>
    </row>
    <row r="58" spans="4:12" ht="20.100000000000001" customHeight="1" x14ac:dyDescent="0.25">
      <c r="D58" s="196" t="str" cm="1">
        <f t="array" ref="D58">Common_InputFunctions.Utility_DisplayArrayInTable(Fuel_SourceData.Fuel_Scope1Scope3EmissionFactorsStationaryLiquid_Data(), Table_Fuel_EFs_StationaryLiquid117[[#Headers],[Fuel combusted]],0)</f>
        <v>Automotive gasoline / petrol (other than for use as fuel in an aircraft)</v>
      </c>
      <c r="E58" s="196" cm="1">
        <f t="array" ref="E58">Common_InputFunctions.Utility_DisplayArrayInTable(Fuel_SourceData.Fuel_Scope1Scope3EmissionFactorsStationaryLiquid_Data(), Table_Fuel_EFs_StationaryLiquid117[[#Headers],[Fuel combusted]],0)</f>
        <v>34.200000000000003</v>
      </c>
      <c r="F58" s="196" t="str" cm="1">
        <f t="array" ref="F58">Common_InputFunctions.Utility_DisplayArrayInTable(Fuel_SourceData.Fuel_Scope1Scope3EmissionFactorsStationaryLiquid_Data(), Table_Fuel_EFs_StationaryLiquid117[[#Headers],[Fuel combusted]],0)</f>
        <v>kL</v>
      </c>
      <c r="G58" s="196" cm="1">
        <f t="array" ref="G58">Common_InputFunctions.Utility_DisplayArrayInTable(Fuel_SourceData.Fuel_Scope1Scope3EmissionFactorsStationaryLiquid_Data(), Table_Fuel_EFs_StationaryLiquid117[[#Headers],[Fuel combusted]],0)</f>
        <v>67.400000000000006</v>
      </c>
      <c r="H58" s="196" cm="1">
        <f t="array" ref="H58">Common_InputFunctions.Utility_DisplayArrayInTable(Fuel_SourceData.Fuel_Scope1Scope3EmissionFactorsStationaryLiquid_Data(), Table_Fuel_EFs_StationaryLiquid117[[#Headers],[Fuel combusted]],0)</f>
        <v>0.2</v>
      </c>
      <c r="I58" s="196" cm="1">
        <f t="array" ref="I58">Common_InputFunctions.Utility_DisplayArrayInTable(Fuel_SourceData.Fuel_Scope1Scope3EmissionFactorsStationaryLiquid_Data(), Table_Fuel_EFs_StationaryLiquid117[[#Headers],[Fuel combusted]],0)</f>
        <v>0.2</v>
      </c>
      <c r="J58" s="196" cm="1">
        <f t="array" ref="J58">Common_InputFunctions.Utility_DisplayArrayInTable(Fuel_SourceData.Fuel_Scope1Scope3EmissionFactorsStationaryLiquid_Data(), Table_Fuel_EFs_StationaryLiquid117[[#Headers],[Fuel combusted]],0)</f>
        <v>67.8</v>
      </c>
      <c r="K58" s="196" cm="1">
        <f t="array" ref="K58">Common_InputFunctions.Utility_DisplayArrayInTable(Fuel_SourceData.Fuel_Scope1Scope3EmissionFactorsStationaryLiquid_Data(), Table_Fuel_EFs_StationaryLiquid117[[#Headers],[Fuel combusted]],0)</f>
        <v>17.2</v>
      </c>
      <c r="L58" s="189"/>
    </row>
    <row r="59" spans="4:12" ht="20.100000000000001" customHeight="1" x14ac:dyDescent="0.25">
      <c r="D59" s="196" t="str" cm="1">
        <f t="array" ref="D59">Common_InputFunctions.Utility_DisplayArrayInTable(Fuel_SourceData.Fuel_Scope1Scope3EmissionFactorsStationaryLiquid_Data(), Table_Fuel_EFs_StationaryLiquid117[[#Headers],[Fuel combusted]],0)</f>
        <v>Aviation gasoline</v>
      </c>
      <c r="E59" s="196" cm="1">
        <f t="array" ref="E59">Common_InputFunctions.Utility_DisplayArrayInTable(Fuel_SourceData.Fuel_Scope1Scope3EmissionFactorsStationaryLiquid_Data(), Table_Fuel_EFs_StationaryLiquid117[[#Headers],[Fuel combusted]],0)</f>
        <v>33.1</v>
      </c>
      <c r="F59" s="196" t="str" cm="1">
        <f t="array" ref="F59">Common_InputFunctions.Utility_DisplayArrayInTable(Fuel_SourceData.Fuel_Scope1Scope3EmissionFactorsStationaryLiquid_Data(), Table_Fuel_EFs_StationaryLiquid117[[#Headers],[Fuel combusted]],0)</f>
        <v>kL</v>
      </c>
      <c r="G59" s="196" cm="1">
        <f t="array" ref="G59">Common_InputFunctions.Utility_DisplayArrayInTable(Fuel_SourceData.Fuel_Scope1Scope3EmissionFactorsStationaryLiquid_Data(), Table_Fuel_EFs_StationaryLiquid117[[#Headers],[Fuel combusted]],0)</f>
        <v>67</v>
      </c>
      <c r="H59" s="196" cm="1">
        <f t="array" ref="H59">Common_InputFunctions.Utility_DisplayArrayInTable(Fuel_SourceData.Fuel_Scope1Scope3EmissionFactorsStationaryLiquid_Data(), Table_Fuel_EFs_StationaryLiquid117[[#Headers],[Fuel combusted]],0)</f>
        <v>0.2</v>
      </c>
      <c r="I59" s="196" cm="1">
        <f t="array" ref="I59">Common_InputFunctions.Utility_DisplayArrayInTable(Fuel_SourceData.Fuel_Scope1Scope3EmissionFactorsStationaryLiquid_Data(), Table_Fuel_EFs_StationaryLiquid117[[#Headers],[Fuel combusted]],0)</f>
        <v>0.2</v>
      </c>
      <c r="J59" s="196" cm="1">
        <f t="array" ref="J59">Common_InputFunctions.Utility_DisplayArrayInTable(Fuel_SourceData.Fuel_Scope1Scope3EmissionFactorsStationaryLiquid_Data(), Table_Fuel_EFs_StationaryLiquid117[[#Headers],[Fuel combusted]],0)</f>
        <v>67.400000000000006</v>
      </c>
      <c r="K59" s="196" cm="1">
        <f t="array" ref="K59">Common_InputFunctions.Utility_DisplayArrayInTable(Fuel_SourceData.Fuel_Scope1Scope3EmissionFactorsStationaryLiquid_Data(), Table_Fuel_EFs_StationaryLiquid117[[#Headers],[Fuel combusted]],0)</f>
        <v>18</v>
      </c>
      <c r="L59" s="189"/>
    </row>
    <row r="60" spans="4:12" ht="20.100000000000001" customHeight="1" x14ac:dyDescent="0.25">
      <c r="D60" s="196" t="str" cm="1">
        <f t="array" ref="D60">Common_InputFunctions.Utility_DisplayArrayInTable(Fuel_SourceData.Fuel_Scope1Scope3EmissionFactorsStationaryLiquid_Data(), Table_Fuel_EFs_StationaryLiquid117[[#Headers],[Fuel combusted]],0)</f>
        <v>Kerosene (other than for use as fuel in an aircraft)</v>
      </c>
      <c r="E60" s="196" cm="1">
        <f t="array" ref="E60">Common_InputFunctions.Utility_DisplayArrayInTable(Fuel_SourceData.Fuel_Scope1Scope3EmissionFactorsStationaryLiquid_Data(), Table_Fuel_EFs_StationaryLiquid117[[#Headers],[Fuel combusted]],0)</f>
        <v>37.5</v>
      </c>
      <c r="F60" s="196" t="str" cm="1">
        <f t="array" ref="F60">Common_InputFunctions.Utility_DisplayArrayInTable(Fuel_SourceData.Fuel_Scope1Scope3EmissionFactorsStationaryLiquid_Data(), Table_Fuel_EFs_StationaryLiquid117[[#Headers],[Fuel combusted]],0)</f>
        <v>kL</v>
      </c>
      <c r="G60" s="196" cm="1">
        <f t="array" ref="G60">Common_InputFunctions.Utility_DisplayArrayInTable(Fuel_SourceData.Fuel_Scope1Scope3EmissionFactorsStationaryLiquid_Data(), Table_Fuel_EFs_StationaryLiquid117[[#Headers],[Fuel combusted]],0)</f>
        <v>68.900000000000006</v>
      </c>
      <c r="H60" s="196" cm="1">
        <f t="array" ref="H60">Common_InputFunctions.Utility_DisplayArrayInTable(Fuel_SourceData.Fuel_Scope1Scope3EmissionFactorsStationaryLiquid_Data(), Table_Fuel_EFs_StationaryLiquid117[[#Headers],[Fuel combusted]],0)</f>
        <v>0.01</v>
      </c>
      <c r="I60" s="196" cm="1">
        <f t="array" ref="I60">Common_InputFunctions.Utility_DisplayArrayInTable(Fuel_SourceData.Fuel_Scope1Scope3EmissionFactorsStationaryLiquid_Data(), Table_Fuel_EFs_StationaryLiquid117[[#Headers],[Fuel combusted]],0)</f>
        <v>0.2</v>
      </c>
      <c r="J60" s="196" cm="1">
        <f t="array" ref="J60">Common_InputFunctions.Utility_DisplayArrayInTable(Fuel_SourceData.Fuel_Scope1Scope3EmissionFactorsStationaryLiquid_Data(), Table_Fuel_EFs_StationaryLiquid117[[#Headers],[Fuel combusted]],0)</f>
        <v>69.11</v>
      </c>
      <c r="K60" s="196" cm="1">
        <f t="array" ref="K60">Common_InputFunctions.Utility_DisplayArrayInTable(Fuel_SourceData.Fuel_Scope1Scope3EmissionFactorsStationaryLiquid_Data(), Table_Fuel_EFs_StationaryLiquid117[[#Headers],[Fuel combusted]],0)</f>
        <v>18</v>
      </c>
      <c r="L60" s="189"/>
    </row>
    <row r="61" spans="4:12" ht="20.100000000000001" customHeight="1" x14ac:dyDescent="0.25">
      <c r="D61" s="196" t="str" cm="1">
        <f t="array" ref="D61">Common_InputFunctions.Utility_DisplayArrayInTable(Fuel_SourceData.Fuel_Scope1Scope3EmissionFactorsStationaryLiquid_Data(), Table_Fuel_EFs_StationaryLiquid117[[#Headers],[Fuel combusted]],0)</f>
        <v>Aviation turbine fuel / kerosene</v>
      </c>
      <c r="E61" s="196" cm="1">
        <f t="array" ref="E61">Common_InputFunctions.Utility_DisplayArrayInTable(Fuel_SourceData.Fuel_Scope1Scope3EmissionFactorsStationaryLiquid_Data(), Table_Fuel_EFs_StationaryLiquid117[[#Headers],[Fuel combusted]],0)</f>
        <v>36.799999999999997</v>
      </c>
      <c r="F61" s="196" t="str" cm="1">
        <f t="array" ref="F61">Common_InputFunctions.Utility_DisplayArrayInTable(Fuel_SourceData.Fuel_Scope1Scope3EmissionFactorsStationaryLiquid_Data(), Table_Fuel_EFs_StationaryLiquid117[[#Headers],[Fuel combusted]],0)</f>
        <v>kL</v>
      </c>
      <c r="G61" s="196" cm="1">
        <f t="array" ref="G61">Common_InputFunctions.Utility_DisplayArrayInTable(Fuel_SourceData.Fuel_Scope1Scope3EmissionFactorsStationaryLiquid_Data(), Table_Fuel_EFs_StationaryLiquid117[[#Headers],[Fuel combusted]],0)</f>
        <v>69.599999999999994</v>
      </c>
      <c r="H61" s="196" cm="1">
        <f t="array" ref="H61">Common_InputFunctions.Utility_DisplayArrayInTable(Fuel_SourceData.Fuel_Scope1Scope3EmissionFactorsStationaryLiquid_Data(), Table_Fuel_EFs_StationaryLiquid117[[#Headers],[Fuel combusted]],0)</f>
        <v>0.02</v>
      </c>
      <c r="I61" s="196" cm="1">
        <f t="array" ref="I61">Common_InputFunctions.Utility_DisplayArrayInTable(Fuel_SourceData.Fuel_Scope1Scope3EmissionFactorsStationaryLiquid_Data(), Table_Fuel_EFs_StationaryLiquid117[[#Headers],[Fuel combusted]],0)</f>
        <v>0.2</v>
      </c>
      <c r="J61" s="196" cm="1">
        <f t="array" ref="J61">Common_InputFunctions.Utility_DisplayArrayInTable(Fuel_SourceData.Fuel_Scope1Scope3EmissionFactorsStationaryLiquid_Data(), Table_Fuel_EFs_StationaryLiquid117[[#Headers],[Fuel combusted]],0)</f>
        <v>69.819999999999993</v>
      </c>
      <c r="K61" s="196" cm="1">
        <f t="array" ref="K61">Common_InputFunctions.Utility_DisplayArrayInTable(Fuel_SourceData.Fuel_Scope1Scope3EmissionFactorsStationaryLiquid_Data(), Table_Fuel_EFs_StationaryLiquid117[[#Headers],[Fuel combusted]],0)</f>
        <v>18</v>
      </c>
      <c r="L61" s="189"/>
    </row>
    <row r="62" spans="4:12" ht="20.100000000000001" customHeight="1" x14ac:dyDescent="0.25">
      <c r="D62" s="196" t="str" cm="1">
        <f t="array" ref="D62">Common_InputFunctions.Utility_DisplayArrayInTable(Fuel_SourceData.Fuel_Scope1Scope3EmissionFactorsStationaryLiquid_Data(), Table_Fuel_EFs_StationaryLiquid117[[#Headers],[Fuel combusted]],0)</f>
        <v>Heating oil</v>
      </c>
      <c r="E62" s="196" cm="1">
        <f t="array" ref="E62">Common_InputFunctions.Utility_DisplayArrayInTable(Fuel_SourceData.Fuel_Scope1Scope3EmissionFactorsStationaryLiquid_Data(), Table_Fuel_EFs_StationaryLiquid117[[#Headers],[Fuel combusted]],0)</f>
        <v>37.299999999999997</v>
      </c>
      <c r="F62" s="196" t="str" cm="1">
        <f t="array" ref="F62">Common_InputFunctions.Utility_DisplayArrayInTable(Fuel_SourceData.Fuel_Scope1Scope3EmissionFactorsStationaryLiquid_Data(), Table_Fuel_EFs_StationaryLiquid117[[#Headers],[Fuel combusted]],0)</f>
        <v>kL</v>
      </c>
      <c r="G62" s="196" cm="1">
        <f t="array" ref="G62">Common_InputFunctions.Utility_DisplayArrayInTable(Fuel_SourceData.Fuel_Scope1Scope3EmissionFactorsStationaryLiquid_Data(), Table_Fuel_EFs_StationaryLiquid117[[#Headers],[Fuel combusted]],0)</f>
        <v>69.5</v>
      </c>
      <c r="H62" s="196" cm="1">
        <f t="array" ref="H62">Common_InputFunctions.Utility_DisplayArrayInTable(Fuel_SourceData.Fuel_Scope1Scope3EmissionFactorsStationaryLiquid_Data(), Table_Fuel_EFs_StationaryLiquid117[[#Headers],[Fuel combusted]],0)</f>
        <v>0.03</v>
      </c>
      <c r="I62" s="196" cm="1">
        <f t="array" ref="I62">Common_InputFunctions.Utility_DisplayArrayInTable(Fuel_SourceData.Fuel_Scope1Scope3EmissionFactorsStationaryLiquid_Data(), Table_Fuel_EFs_StationaryLiquid117[[#Headers],[Fuel combusted]],0)</f>
        <v>0.2</v>
      </c>
      <c r="J62" s="196" cm="1">
        <f t="array" ref="J62">Common_InputFunctions.Utility_DisplayArrayInTable(Fuel_SourceData.Fuel_Scope1Scope3EmissionFactorsStationaryLiquid_Data(), Table_Fuel_EFs_StationaryLiquid117[[#Headers],[Fuel combusted]],0)</f>
        <v>69.73</v>
      </c>
      <c r="K62" s="196" cm="1">
        <f t="array" ref="K62">Common_InputFunctions.Utility_DisplayArrayInTable(Fuel_SourceData.Fuel_Scope1Scope3EmissionFactorsStationaryLiquid_Data(), Table_Fuel_EFs_StationaryLiquid117[[#Headers],[Fuel combusted]],0)</f>
        <v>18</v>
      </c>
      <c r="L62" s="189"/>
    </row>
    <row r="63" spans="4:12" ht="20.100000000000001" customHeight="1" x14ac:dyDescent="0.25">
      <c r="D63" s="196" t="str" cm="1">
        <f t="array" ref="D63">Common_InputFunctions.Utility_DisplayArrayInTable(Fuel_SourceData.Fuel_Scope1Scope3EmissionFactorsStationaryLiquid_Data(), Table_Fuel_EFs_StationaryLiquid117[[#Headers],[Fuel combusted]],0)</f>
        <v>Diesel oil</v>
      </c>
      <c r="E63" s="196" cm="1">
        <f t="array" ref="E63">Common_InputFunctions.Utility_DisplayArrayInTable(Fuel_SourceData.Fuel_Scope1Scope3EmissionFactorsStationaryLiquid_Data(), Table_Fuel_EFs_StationaryLiquid117[[#Headers],[Fuel combusted]],0)</f>
        <v>38.6</v>
      </c>
      <c r="F63" s="196" t="str" cm="1">
        <f t="array" ref="F63">Common_InputFunctions.Utility_DisplayArrayInTable(Fuel_SourceData.Fuel_Scope1Scope3EmissionFactorsStationaryLiquid_Data(), Table_Fuel_EFs_StationaryLiquid117[[#Headers],[Fuel combusted]],0)</f>
        <v>kL</v>
      </c>
      <c r="G63" s="196" cm="1">
        <f t="array" ref="G63">Common_InputFunctions.Utility_DisplayArrayInTable(Fuel_SourceData.Fuel_Scope1Scope3EmissionFactorsStationaryLiquid_Data(), Table_Fuel_EFs_StationaryLiquid117[[#Headers],[Fuel combusted]],0)</f>
        <v>69.900000000000006</v>
      </c>
      <c r="H63" s="196" cm="1">
        <f t="array" ref="H63">Common_InputFunctions.Utility_DisplayArrayInTable(Fuel_SourceData.Fuel_Scope1Scope3EmissionFactorsStationaryLiquid_Data(), Table_Fuel_EFs_StationaryLiquid117[[#Headers],[Fuel combusted]],0)</f>
        <v>0.1</v>
      </c>
      <c r="I63" s="196" cm="1">
        <f t="array" ref="I63">Common_InputFunctions.Utility_DisplayArrayInTable(Fuel_SourceData.Fuel_Scope1Scope3EmissionFactorsStationaryLiquid_Data(), Table_Fuel_EFs_StationaryLiquid117[[#Headers],[Fuel combusted]],0)</f>
        <v>0.2</v>
      </c>
      <c r="J63" s="196" cm="1">
        <f t="array" ref="J63">Common_InputFunctions.Utility_DisplayArrayInTable(Fuel_SourceData.Fuel_Scope1Scope3EmissionFactorsStationaryLiquid_Data(), Table_Fuel_EFs_StationaryLiquid117[[#Headers],[Fuel combusted]],0)</f>
        <v>70.2</v>
      </c>
      <c r="K63" s="196" cm="1">
        <f t="array" ref="K63">Common_InputFunctions.Utility_DisplayArrayInTable(Fuel_SourceData.Fuel_Scope1Scope3EmissionFactorsStationaryLiquid_Data(), Table_Fuel_EFs_StationaryLiquid117[[#Headers],[Fuel combusted]],0)</f>
        <v>17.3</v>
      </c>
      <c r="L63" s="189"/>
    </row>
    <row r="64" spans="4:12" ht="20.100000000000001" customHeight="1" x14ac:dyDescent="0.25">
      <c r="D64" s="196" t="str" cm="1">
        <f t="array" ref="D64">Common_InputFunctions.Utility_DisplayArrayInTable(Fuel_SourceData.Fuel_Scope1Scope3EmissionFactorsStationaryLiquid_Data(), Table_Fuel_EFs_StationaryLiquid117[[#Headers],[Fuel combusted]],0)</f>
        <v>Fuel oil</v>
      </c>
      <c r="E64" s="196" cm="1">
        <f t="array" ref="E64">Common_InputFunctions.Utility_DisplayArrayInTable(Fuel_SourceData.Fuel_Scope1Scope3EmissionFactorsStationaryLiquid_Data(), Table_Fuel_EFs_StationaryLiquid117[[#Headers],[Fuel combusted]],0)</f>
        <v>39.700000000000003</v>
      </c>
      <c r="F64" s="196" t="str" cm="1">
        <f t="array" ref="F64">Common_InputFunctions.Utility_DisplayArrayInTable(Fuel_SourceData.Fuel_Scope1Scope3EmissionFactorsStationaryLiquid_Data(), Table_Fuel_EFs_StationaryLiquid117[[#Headers],[Fuel combusted]],0)</f>
        <v>kL</v>
      </c>
      <c r="G64" s="196" cm="1">
        <f t="array" ref="G64">Common_InputFunctions.Utility_DisplayArrayInTable(Fuel_SourceData.Fuel_Scope1Scope3EmissionFactorsStationaryLiquid_Data(), Table_Fuel_EFs_StationaryLiquid117[[#Headers],[Fuel combusted]],0)</f>
        <v>73.599999999999994</v>
      </c>
      <c r="H64" s="196" cm="1">
        <f t="array" ref="H64">Common_InputFunctions.Utility_DisplayArrayInTable(Fuel_SourceData.Fuel_Scope1Scope3EmissionFactorsStationaryLiquid_Data(), Table_Fuel_EFs_StationaryLiquid117[[#Headers],[Fuel combusted]],0)</f>
        <v>0.04</v>
      </c>
      <c r="I64" s="196" cm="1">
        <f t="array" ref="I64">Common_InputFunctions.Utility_DisplayArrayInTable(Fuel_SourceData.Fuel_Scope1Scope3EmissionFactorsStationaryLiquid_Data(), Table_Fuel_EFs_StationaryLiquid117[[#Headers],[Fuel combusted]],0)</f>
        <v>0.2</v>
      </c>
      <c r="J64" s="196" cm="1">
        <f t="array" ref="J64">Common_InputFunctions.Utility_DisplayArrayInTable(Fuel_SourceData.Fuel_Scope1Scope3EmissionFactorsStationaryLiquid_Data(), Table_Fuel_EFs_StationaryLiquid117[[#Headers],[Fuel combusted]],0)</f>
        <v>73.84</v>
      </c>
      <c r="K64" s="196" cm="1">
        <f t="array" ref="K64">Common_InputFunctions.Utility_DisplayArrayInTable(Fuel_SourceData.Fuel_Scope1Scope3EmissionFactorsStationaryLiquid_Data(), Table_Fuel_EFs_StationaryLiquid117[[#Headers],[Fuel combusted]],0)</f>
        <v>18</v>
      </c>
      <c r="L64" s="189"/>
    </row>
    <row r="65" spans="4:13" ht="20.100000000000001" customHeight="1" x14ac:dyDescent="0.25">
      <c r="D65" s="196" t="str" cm="1">
        <f t="array" ref="D65">Common_InputFunctions.Utility_DisplayArrayInTable(Fuel_SourceData.Fuel_Scope1Scope3EmissionFactorsStationaryLiquid_Data(), Table_Fuel_EFs_StationaryLiquid117[[#Headers],[Fuel combusted]],0)</f>
        <v>Liquefied aromatic hydrocarbons</v>
      </c>
      <c r="E65" s="196" cm="1">
        <f t="array" ref="E65">Common_InputFunctions.Utility_DisplayArrayInTable(Fuel_SourceData.Fuel_Scope1Scope3EmissionFactorsStationaryLiquid_Data(), Table_Fuel_EFs_StationaryLiquid117[[#Headers],[Fuel combusted]],0)</f>
        <v>34.4</v>
      </c>
      <c r="F65" s="196" t="str" cm="1">
        <f t="array" ref="F65">Common_InputFunctions.Utility_DisplayArrayInTable(Fuel_SourceData.Fuel_Scope1Scope3EmissionFactorsStationaryLiquid_Data(), Table_Fuel_EFs_StationaryLiquid117[[#Headers],[Fuel combusted]],0)</f>
        <v>kL</v>
      </c>
      <c r="G65" s="196" cm="1">
        <f t="array" ref="G65">Common_InputFunctions.Utility_DisplayArrayInTable(Fuel_SourceData.Fuel_Scope1Scope3EmissionFactorsStationaryLiquid_Data(), Table_Fuel_EFs_StationaryLiquid117[[#Headers],[Fuel combusted]],0)</f>
        <v>69.7</v>
      </c>
      <c r="H65" s="196" cm="1">
        <f t="array" ref="H65">Common_InputFunctions.Utility_DisplayArrayInTable(Fuel_SourceData.Fuel_Scope1Scope3EmissionFactorsStationaryLiquid_Data(), Table_Fuel_EFs_StationaryLiquid117[[#Headers],[Fuel combusted]],0)</f>
        <v>0.03</v>
      </c>
      <c r="I65" s="196" cm="1">
        <f t="array" ref="I65">Common_InputFunctions.Utility_DisplayArrayInTable(Fuel_SourceData.Fuel_Scope1Scope3EmissionFactorsStationaryLiquid_Data(), Table_Fuel_EFs_StationaryLiquid117[[#Headers],[Fuel combusted]],0)</f>
        <v>0.2</v>
      </c>
      <c r="J65" s="196" cm="1">
        <f t="array" ref="J65">Common_InputFunctions.Utility_DisplayArrayInTable(Fuel_SourceData.Fuel_Scope1Scope3EmissionFactorsStationaryLiquid_Data(), Table_Fuel_EFs_StationaryLiquid117[[#Headers],[Fuel combusted]],0)</f>
        <v>69.930000000000007</v>
      </c>
      <c r="K65" s="196" cm="1">
        <f t="array" ref="K65">Common_InputFunctions.Utility_DisplayArrayInTable(Fuel_SourceData.Fuel_Scope1Scope3EmissionFactorsStationaryLiquid_Data(), Table_Fuel_EFs_StationaryLiquid117[[#Headers],[Fuel combusted]],0)</f>
        <v>18</v>
      </c>
      <c r="L65" s="189"/>
    </row>
    <row r="66" spans="4:13" ht="20.100000000000001" customHeight="1" x14ac:dyDescent="0.25">
      <c r="D66" s="196" t="str" cm="1">
        <f t="array" ref="D66">Common_InputFunctions.Utility_DisplayArrayInTable(Fuel_SourceData.Fuel_Scope1Scope3EmissionFactorsStationaryLiquid_Data(), Table_Fuel_EFs_StationaryLiquid117[[#Headers],[Fuel combusted]],0)</f>
        <v>Solvents: mineral turpentine or white spirits</v>
      </c>
      <c r="E66" s="196" cm="1">
        <f t="array" ref="E66">Common_InputFunctions.Utility_DisplayArrayInTable(Fuel_SourceData.Fuel_Scope1Scope3EmissionFactorsStationaryLiquid_Data(), Table_Fuel_EFs_StationaryLiquid117[[#Headers],[Fuel combusted]],0)</f>
        <v>34.4</v>
      </c>
      <c r="F66" s="196" t="str" cm="1">
        <f t="array" ref="F66">Common_InputFunctions.Utility_DisplayArrayInTable(Fuel_SourceData.Fuel_Scope1Scope3EmissionFactorsStationaryLiquid_Data(), Table_Fuel_EFs_StationaryLiquid117[[#Headers],[Fuel combusted]],0)</f>
        <v>kL</v>
      </c>
      <c r="G66" s="196" cm="1">
        <f t="array" ref="G66">Common_InputFunctions.Utility_DisplayArrayInTable(Fuel_SourceData.Fuel_Scope1Scope3EmissionFactorsStationaryLiquid_Data(), Table_Fuel_EFs_StationaryLiquid117[[#Headers],[Fuel combusted]],0)</f>
        <v>69.7</v>
      </c>
      <c r="H66" s="196" cm="1">
        <f t="array" ref="H66">Common_InputFunctions.Utility_DisplayArrayInTable(Fuel_SourceData.Fuel_Scope1Scope3EmissionFactorsStationaryLiquid_Data(), Table_Fuel_EFs_StationaryLiquid117[[#Headers],[Fuel combusted]],0)</f>
        <v>0.03</v>
      </c>
      <c r="I66" s="196" cm="1">
        <f t="array" ref="I66">Common_InputFunctions.Utility_DisplayArrayInTable(Fuel_SourceData.Fuel_Scope1Scope3EmissionFactorsStationaryLiquid_Data(), Table_Fuel_EFs_StationaryLiquid117[[#Headers],[Fuel combusted]],0)</f>
        <v>0.2</v>
      </c>
      <c r="J66" s="196" cm="1">
        <f t="array" ref="J66">Common_InputFunctions.Utility_DisplayArrayInTable(Fuel_SourceData.Fuel_Scope1Scope3EmissionFactorsStationaryLiquid_Data(), Table_Fuel_EFs_StationaryLiquid117[[#Headers],[Fuel combusted]],0)</f>
        <v>69.930000000000007</v>
      </c>
      <c r="K66" s="196" cm="1">
        <f t="array" ref="K66">Common_InputFunctions.Utility_DisplayArrayInTable(Fuel_SourceData.Fuel_Scope1Scope3EmissionFactorsStationaryLiquid_Data(), Table_Fuel_EFs_StationaryLiquid117[[#Headers],[Fuel combusted]],0)</f>
        <v>18</v>
      </c>
      <c r="L66" s="189"/>
    </row>
    <row r="67" spans="4:13" ht="20.100000000000001" customHeight="1" x14ac:dyDescent="0.25">
      <c r="D67" s="196" t="str" cm="1">
        <f t="array" ref="D67">Common_InputFunctions.Utility_DisplayArrayInTable(Fuel_SourceData.Fuel_Scope1Scope3EmissionFactorsStationaryLiquid_Data(), Table_Fuel_EFs_StationaryLiquid117[[#Headers],[Fuel combusted]],0)</f>
        <v>Liquefied petroleum gas (LPG)</v>
      </c>
      <c r="E67" s="196" cm="1">
        <f t="array" ref="E67">Common_InputFunctions.Utility_DisplayArrayInTable(Fuel_SourceData.Fuel_Scope1Scope3EmissionFactorsStationaryLiquid_Data(), Table_Fuel_EFs_StationaryLiquid117[[#Headers],[Fuel combusted]],0)</f>
        <v>25.7</v>
      </c>
      <c r="F67" s="196" t="str" cm="1">
        <f t="array" ref="F67">Common_InputFunctions.Utility_DisplayArrayInTable(Fuel_SourceData.Fuel_Scope1Scope3EmissionFactorsStationaryLiquid_Data(), Table_Fuel_EFs_StationaryLiquid117[[#Headers],[Fuel combusted]],0)</f>
        <v>kL</v>
      </c>
      <c r="G67" s="196" cm="1">
        <f t="array" ref="G67">Common_InputFunctions.Utility_DisplayArrayInTable(Fuel_SourceData.Fuel_Scope1Scope3EmissionFactorsStationaryLiquid_Data(), Table_Fuel_EFs_StationaryLiquid117[[#Headers],[Fuel combusted]],0)</f>
        <v>60.2</v>
      </c>
      <c r="H67" s="196" cm="1">
        <f t="array" ref="H67">Common_InputFunctions.Utility_DisplayArrayInTable(Fuel_SourceData.Fuel_Scope1Scope3EmissionFactorsStationaryLiquid_Data(), Table_Fuel_EFs_StationaryLiquid117[[#Headers],[Fuel combusted]],0)</f>
        <v>0.2</v>
      </c>
      <c r="I67" s="196" cm="1">
        <f t="array" ref="I67">Common_InputFunctions.Utility_DisplayArrayInTable(Fuel_SourceData.Fuel_Scope1Scope3EmissionFactorsStationaryLiquid_Data(), Table_Fuel_EFs_StationaryLiquid117[[#Headers],[Fuel combusted]],0)</f>
        <v>0.2</v>
      </c>
      <c r="J67" s="196" cm="1">
        <f t="array" ref="J67">Common_InputFunctions.Utility_DisplayArrayInTable(Fuel_SourceData.Fuel_Scope1Scope3EmissionFactorsStationaryLiquid_Data(), Table_Fuel_EFs_StationaryLiquid117[[#Headers],[Fuel combusted]],0)</f>
        <v>60.6</v>
      </c>
      <c r="K67" s="196" cm="1">
        <f t="array" ref="K67">Common_InputFunctions.Utility_DisplayArrayInTable(Fuel_SourceData.Fuel_Scope1Scope3EmissionFactorsStationaryLiquid_Data(), Table_Fuel_EFs_StationaryLiquid117[[#Headers],[Fuel combusted]],0)</f>
        <v>20.2</v>
      </c>
      <c r="L67" s="189"/>
    </row>
    <row r="68" spans="4:13" ht="20.100000000000001" customHeight="1" x14ac:dyDescent="0.25">
      <c r="D68" s="196" t="str" cm="1">
        <f t="array" ref="D68">Common_InputFunctions.Utility_DisplayArrayInTable(Fuel_SourceData.Fuel_Scope1Scope3EmissionFactorsStationaryLiquid_Data(), Table_Fuel_EFs_StationaryLiquid117[[#Headers],[Fuel combusted]],0)</f>
        <v>Naphtha</v>
      </c>
      <c r="E68" s="196" cm="1">
        <f t="array" ref="E68">Common_InputFunctions.Utility_DisplayArrayInTable(Fuel_SourceData.Fuel_Scope1Scope3EmissionFactorsStationaryLiquid_Data(), Table_Fuel_EFs_StationaryLiquid117[[#Headers],[Fuel combusted]],0)</f>
        <v>31.4</v>
      </c>
      <c r="F68" s="196" t="str" cm="1">
        <f t="array" ref="F68">Common_InputFunctions.Utility_DisplayArrayInTable(Fuel_SourceData.Fuel_Scope1Scope3EmissionFactorsStationaryLiquid_Data(), Table_Fuel_EFs_StationaryLiquid117[[#Headers],[Fuel combusted]],0)</f>
        <v>kL</v>
      </c>
      <c r="G68" s="196" cm="1">
        <f t="array" ref="G68">Common_InputFunctions.Utility_DisplayArrayInTable(Fuel_SourceData.Fuel_Scope1Scope3EmissionFactorsStationaryLiquid_Data(), Table_Fuel_EFs_StationaryLiquid117[[#Headers],[Fuel combusted]],0)</f>
        <v>69.8</v>
      </c>
      <c r="H68" s="196" cm="1">
        <f t="array" ref="H68">Common_InputFunctions.Utility_DisplayArrayInTable(Fuel_SourceData.Fuel_Scope1Scope3EmissionFactorsStationaryLiquid_Data(), Table_Fuel_EFs_StationaryLiquid117[[#Headers],[Fuel combusted]],0)</f>
        <v>0.01</v>
      </c>
      <c r="I68" s="196" cm="1">
        <f t="array" ref="I68">Common_InputFunctions.Utility_DisplayArrayInTable(Fuel_SourceData.Fuel_Scope1Scope3EmissionFactorsStationaryLiquid_Data(), Table_Fuel_EFs_StationaryLiquid117[[#Headers],[Fuel combusted]],0)</f>
        <v>0.01</v>
      </c>
      <c r="J68" s="196" cm="1">
        <f t="array" ref="J68">Common_InputFunctions.Utility_DisplayArrayInTable(Fuel_SourceData.Fuel_Scope1Scope3EmissionFactorsStationaryLiquid_Data(), Table_Fuel_EFs_StationaryLiquid117[[#Headers],[Fuel combusted]],0)</f>
        <v>69.819999999999993</v>
      </c>
      <c r="K68" s="196" cm="1">
        <f t="array" ref="K68">Common_InputFunctions.Utility_DisplayArrayInTable(Fuel_SourceData.Fuel_Scope1Scope3EmissionFactorsStationaryLiquid_Data(), Table_Fuel_EFs_StationaryLiquid117[[#Headers],[Fuel combusted]],0)</f>
        <v>18</v>
      </c>
      <c r="L68" s="189"/>
    </row>
    <row r="69" spans="4:13" ht="20.100000000000001" customHeight="1" x14ac:dyDescent="0.25">
      <c r="D69" s="196" t="str" cm="1">
        <f t="array" ref="D69">Common_InputFunctions.Utility_DisplayArrayInTable(Fuel_SourceData.Fuel_Scope1Scope3EmissionFactorsStationaryLiquid_Data(), Table_Fuel_EFs_StationaryLiquid117[[#Headers],[Fuel combusted]],0)</f>
        <v>Petroleum coke</v>
      </c>
      <c r="E69" s="196" cm="1">
        <f t="array" ref="E69">Common_InputFunctions.Utility_DisplayArrayInTable(Fuel_SourceData.Fuel_Scope1Scope3EmissionFactorsStationaryLiquid_Data(), Table_Fuel_EFs_StationaryLiquid117[[#Headers],[Fuel combusted]],0)</f>
        <v>34.200000000000003</v>
      </c>
      <c r="F69" s="196" t="str" cm="1">
        <f t="array" ref="F69">Common_InputFunctions.Utility_DisplayArrayInTable(Fuel_SourceData.Fuel_Scope1Scope3EmissionFactorsStationaryLiquid_Data(), Table_Fuel_EFs_StationaryLiquid117[[#Headers],[Fuel combusted]],0)</f>
        <v>t</v>
      </c>
      <c r="G69" s="196" cm="1">
        <f t="array" ref="G69">Common_InputFunctions.Utility_DisplayArrayInTable(Fuel_SourceData.Fuel_Scope1Scope3EmissionFactorsStationaryLiquid_Data(), Table_Fuel_EFs_StationaryLiquid117[[#Headers],[Fuel combusted]],0)</f>
        <v>92.6</v>
      </c>
      <c r="H69" s="196" cm="1">
        <f t="array" ref="H69">Common_InputFunctions.Utility_DisplayArrayInTable(Fuel_SourceData.Fuel_Scope1Scope3EmissionFactorsStationaryLiquid_Data(), Table_Fuel_EFs_StationaryLiquid117[[#Headers],[Fuel combusted]],0)</f>
        <v>0.08</v>
      </c>
      <c r="I69" s="196" cm="1">
        <f t="array" ref="I69">Common_InputFunctions.Utility_DisplayArrayInTable(Fuel_SourceData.Fuel_Scope1Scope3EmissionFactorsStationaryLiquid_Data(), Table_Fuel_EFs_StationaryLiquid117[[#Headers],[Fuel combusted]],0)</f>
        <v>0.2</v>
      </c>
      <c r="J69" s="196" cm="1">
        <f t="array" ref="J69">Common_InputFunctions.Utility_DisplayArrayInTable(Fuel_SourceData.Fuel_Scope1Scope3EmissionFactorsStationaryLiquid_Data(), Table_Fuel_EFs_StationaryLiquid117[[#Headers],[Fuel combusted]],0)</f>
        <v>92.88</v>
      </c>
      <c r="K69" s="196" cm="1">
        <f t="array" ref="K69">Common_InputFunctions.Utility_DisplayArrayInTable(Fuel_SourceData.Fuel_Scope1Scope3EmissionFactorsStationaryLiquid_Data(), Table_Fuel_EFs_StationaryLiquid117[[#Headers],[Fuel combusted]],0)</f>
        <v>18</v>
      </c>
      <c r="L69" s="189"/>
    </row>
    <row r="70" spans="4:13" ht="20.100000000000001" customHeight="1" x14ac:dyDescent="0.25">
      <c r="D70" s="196" t="str" cm="1">
        <f t="array" ref="D70">Common_InputFunctions.Utility_DisplayArrayInTable(Fuel_SourceData.Fuel_Scope1Scope3EmissionFactorsStationaryLiquid_Data(), Table_Fuel_EFs_StationaryLiquid117[[#Headers],[Fuel combusted]],0)</f>
        <v>Refinery gas and liquids</v>
      </c>
      <c r="E70" s="196" cm="1">
        <f t="array" ref="E70">Common_InputFunctions.Utility_DisplayArrayInTable(Fuel_SourceData.Fuel_Scope1Scope3EmissionFactorsStationaryLiquid_Data(), Table_Fuel_EFs_StationaryLiquid117[[#Headers],[Fuel combusted]],0)</f>
        <v>42.9</v>
      </c>
      <c r="F70" s="196" t="str" cm="1">
        <f t="array" ref="F70">Common_InputFunctions.Utility_DisplayArrayInTable(Fuel_SourceData.Fuel_Scope1Scope3EmissionFactorsStationaryLiquid_Data(), Table_Fuel_EFs_StationaryLiquid117[[#Headers],[Fuel combusted]],0)</f>
        <v>t</v>
      </c>
      <c r="G70" s="196" cm="1">
        <f t="array" ref="G70">Common_InputFunctions.Utility_DisplayArrayInTable(Fuel_SourceData.Fuel_Scope1Scope3EmissionFactorsStationaryLiquid_Data(), Table_Fuel_EFs_StationaryLiquid117[[#Headers],[Fuel combusted]],0)</f>
        <v>54.7</v>
      </c>
      <c r="H70" s="196" cm="1">
        <f t="array" ref="H70">Common_InputFunctions.Utility_DisplayArrayInTable(Fuel_SourceData.Fuel_Scope1Scope3EmissionFactorsStationaryLiquid_Data(), Table_Fuel_EFs_StationaryLiquid117[[#Headers],[Fuel combusted]],0)</f>
        <v>0.03</v>
      </c>
      <c r="I70" s="196" cm="1">
        <f t="array" ref="I70">Common_InputFunctions.Utility_DisplayArrayInTable(Fuel_SourceData.Fuel_Scope1Scope3EmissionFactorsStationaryLiquid_Data(), Table_Fuel_EFs_StationaryLiquid117[[#Headers],[Fuel combusted]],0)</f>
        <v>0.03</v>
      </c>
      <c r="J70" s="196" cm="1">
        <f t="array" ref="J70">Common_InputFunctions.Utility_DisplayArrayInTable(Fuel_SourceData.Fuel_Scope1Scope3EmissionFactorsStationaryLiquid_Data(), Table_Fuel_EFs_StationaryLiquid117[[#Headers],[Fuel combusted]],0)</f>
        <v>54.76</v>
      </c>
      <c r="K70" s="196" cm="1">
        <f t="array" ref="K70">Common_InputFunctions.Utility_DisplayArrayInTable(Fuel_SourceData.Fuel_Scope1Scope3EmissionFactorsStationaryLiquid_Data(), Table_Fuel_EFs_StationaryLiquid117[[#Headers],[Fuel combusted]],0)</f>
        <v>18</v>
      </c>
      <c r="L70" s="189"/>
    </row>
    <row r="71" spans="4:13" ht="20.100000000000001" customHeight="1" x14ac:dyDescent="0.25">
      <c r="D71" s="196" t="str" cm="1">
        <f t="array" ref="D71">Common_InputFunctions.Utility_DisplayArrayInTable(Fuel_SourceData.Fuel_Scope1Scope3EmissionFactorsStationaryLiquid_Data(), Table_Fuel_EFs_StationaryLiquid117[[#Headers],[Fuel combusted]],0)</f>
        <v>Refinery coke</v>
      </c>
      <c r="E71" s="196" cm="1">
        <f t="array" ref="E71">Common_InputFunctions.Utility_DisplayArrayInTable(Fuel_SourceData.Fuel_Scope1Scope3EmissionFactorsStationaryLiquid_Data(), Table_Fuel_EFs_StationaryLiquid117[[#Headers],[Fuel combusted]],0)</f>
        <v>34.200000000000003</v>
      </c>
      <c r="F71" s="196" t="str" cm="1">
        <f t="array" ref="F71">Common_InputFunctions.Utility_DisplayArrayInTable(Fuel_SourceData.Fuel_Scope1Scope3EmissionFactorsStationaryLiquid_Data(), Table_Fuel_EFs_StationaryLiquid117[[#Headers],[Fuel combusted]],0)</f>
        <v>t</v>
      </c>
      <c r="G71" s="196" cm="1">
        <f t="array" ref="G71">Common_InputFunctions.Utility_DisplayArrayInTable(Fuel_SourceData.Fuel_Scope1Scope3EmissionFactorsStationaryLiquid_Data(), Table_Fuel_EFs_StationaryLiquid117[[#Headers],[Fuel combusted]],0)</f>
        <v>92.6</v>
      </c>
      <c r="H71" s="196" cm="1">
        <f t="array" ref="H71">Common_InputFunctions.Utility_DisplayArrayInTable(Fuel_SourceData.Fuel_Scope1Scope3EmissionFactorsStationaryLiquid_Data(), Table_Fuel_EFs_StationaryLiquid117[[#Headers],[Fuel combusted]],0)</f>
        <v>0.08</v>
      </c>
      <c r="I71" s="196" cm="1">
        <f t="array" ref="I71">Common_InputFunctions.Utility_DisplayArrayInTable(Fuel_SourceData.Fuel_Scope1Scope3EmissionFactorsStationaryLiquid_Data(), Table_Fuel_EFs_StationaryLiquid117[[#Headers],[Fuel combusted]],0)</f>
        <v>0.2</v>
      </c>
      <c r="J71" s="196" cm="1">
        <f t="array" ref="J71">Common_InputFunctions.Utility_DisplayArrayInTable(Fuel_SourceData.Fuel_Scope1Scope3EmissionFactorsStationaryLiquid_Data(), Table_Fuel_EFs_StationaryLiquid117[[#Headers],[Fuel combusted]],0)</f>
        <v>92.88</v>
      </c>
      <c r="K71" s="196" cm="1">
        <f t="array" ref="K71">Common_InputFunctions.Utility_DisplayArrayInTable(Fuel_SourceData.Fuel_Scope1Scope3EmissionFactorsStationaryLiquid_Data(), Table_Fuel_EFs_StationaryLiquid117[[#Headers],[Fuel combusted]],0)</f>
        <v>18</v>
      </c>
      <c r="L71" s="189"/>
    </row>
    <row r="72" spans="4:13" ht="20.100000000000001" customHeight="1" x14ac:dyDescent="0.25">
      <c r="D72" s="196" t="str" cm="1">
        <f t="array" ref="D72">Common_InputFunctions.Utility_DisplayArrayInTable(Fuel_SourceData.Fuel_Scope1Scope3EmissionFactorsStationaryLiquid_Data(), Table_Fuel_EFs_StationaryLiquid117[[#Headers],[Fuel combusted]],0)</f>
        <v>Petroleum based products other than mentioned in the items above</v>
      </c>
      <c r="E72" s="196" cm="1">
        <f t="array" ref="E72">Common_InputFunctions.Utility_DisplayArrayInTable(Fuel_SourceData.Fuel_Scope1Scope3EmissionFactorsStationaryLiquid_Data(), Table_Fuel_EFs_StationaryLiquid117[[#Headers],[Fuel combusted]],0)</f>
        <v>34.4</v>
      </c>
      <c r="F72" s="196" t="str" cm="1">
        <f t="array" ref="F72">Common_InputFunctions.Utility_DisplayArrayInTable(Fuel_SourceData.Fuel_Scope1Scope3EmissionFactorsStationaryLiquid_Data(), Table_Fuel_EFs_StationaryLiquid117[[#Headers],[Fuel combusted]],0)</f>
        <v>kL</v>
      </c>
      <c r="G72" s="196" cm="1">
        <f t="array" ref="G72">Common_InputFunctions.Utility_DisplayArrayInTable(Fuel_SourceData.Fuel_Scope1Scope3EmissionFactorsStationaryLiquid_Data(), Table_Fuel_EFs_StationaryLiquid117[[#Headers],[Fuel combusted]],0)</f>
        <v>69.8</v>
      </c>
      <c r="H72" s="196" cm="1">
        <f t="array" ref="H72">Common_InputFunctions.Utility_DisplayArrayInTable(Fuel_SourceData.Fuel_Scope1Scope3EmissionFactorsStationaryLiquid_Data(), Table_Fuel_EFs_StationaryLiquid117[[#Headers],[Fuel combusted]],0)</f>
        <v>0.02</v>
      </c>
      <c r="I72" s="196" cm="1">
        <f t="array" ref="I72">Common_InputFunctions.Utility_DisplayArrayInTable(Fuel_SourceData.Fuel_Scope1Scope3EmissionFactorsStationaryLiquid_Data(), Table_Fuel_EFs_StationaryLiquid117[[#Headers],[Fuel combusted]],0)</f>
        <v>0.1</v>
      </c>
      <c r="J72" s="196" cm="1">
        <f t="array" ref="J72">Common_InputFunctions.Utility_DisplayArrayInTable(Fuel_SourceData.Fuel_Scope1Scope3EmissionFactorsStationaryLiquid_Data(), Table_Fuel_EFs_StationaryLiquid117[[#Headers],[Fuel combusted]],0)</f>
        <v>69.92</v>
      </c>
      <c r="K72" s="196" cm="1">
        <f t="array" ref="K72">Common_InputFunctions.Utility_DisplayArrayInTable(Fuel_SourceData.Fuel_Scope1Scope3EmissionFactorsStationaryLiquid_Data(), Table_Fuel_EFs_StationaryLiquid117[[#Headers],[Fuel combusted]],0)</f>
        <v>18</v>
      </c>
      <c r="L72" s="189"/>
    </row>
    <row r="73" spans="4:13" ht="20.100000000000001" customHeight="1" x14ac:dyDescent="0.25">
      <c r="D73" s="196" t="str" cm="1">
        <f t="array" ref="D73">Common_InputFunctions.Utility_DisplayArrayInTable(Fuel_SourceData.Fuel_Scope1Scope3EmissionFactorsStationaryLiquid_Data(), Table_Fuel_EFs_StationaryLiquid117[[#Headers],[Fuel combusted]],0)</f>
        <v>Biodiesel</v>
      </c>
      <c r="E73" s="196" cm="1">
        <f t="array" ref="E73">Common_InputFunctions.Utility_DisplayArrayInTable(Fuel_SourceData.Fuel_Scope1Scope3EmissionFactorsStationaryLiquid_Data(), Table_Fuel_EFs_StationaryLiquid117[[#Headers],[Fuel combusted]],0)</f>
        <v>34.6</v>
      </c>
      <c r="F73" s="196" t="str" cm="1">
        <f t="array" ref="F73">Common_InputFunctions.Utility_DisplayArrayInTable(Fuel_SourceData.Fuel_Scope1Scope3EmissionFactorsStationaryLiquid_Data(), Table_Fuel_EFs_StationaryLiquid117[[#Headers],[Fuel combusted]],0)</f>
        <v>kL</v>
      </c>
      <c r="G73" s="196" cm="1">
        <f t="array" ref="G73">Common_InputFunctions.Utility_DisplayArrayInTable(Fuel_SourceData.Fuel_Scope1Scope3EmissionFactorsStationaryLiquid_Data(), Table_Fuel_EFs_StationaryLiquid117[[#Headers],[Fuel combusted]],0)</f>
        <v>0</v>
      </c>
      <c r="H73" s="196" cm="1">
        <f t="array" ref="H73">Common_InputFunctions.Utility_DisplayArrayInTable(Fuel_SourceData.Fuel_Scope1Scope3EmissionFactorsStationaryLiquid_Data(), Table_Fuel_EFs_StationaryLiquid117[[#Headers],[Fuel combusted]],0)</f>
        <v>0.08</v>
      </c>
      <c r="I73" s="196" cm="1">
        <f t="array" ref="I73">Common_InputFunctions.Utility_DisplayArrayInTable(Fuel_SourceData.Fuel_Scope1Scope3EmissionFactorsStationaryLiquid_Data(), Table_Fuel_EFs_StationaryLiquid117[[#Headers],[Fuel combusted]],0)</f>
        <v>0.2</v>
      </c>
      <c r="J73" s="196" cm="1">
        <f t="array" ref="J73">Common_InputFunctions.Utility_DisplayArrayInTable(Fuel_SourceData.Fuel_Scope1Scope3EmissionFactorsStationaryLiquid_Data(), Table_Fuel_EFs_StationaryLiquid117[[#Headers],[Fuel combusted]],0)</f>
        <v>0.28000000000000003</v>
      </c>
      <c r="K73" s="196" t="str" cm="1">
        <f t="array" ref="K73">Common_InputFunctions.Utility_DisplayArrayInTable(Fuel_SourceData.Fuel_Scope1Scope3EmissionFactorsStationaryLiquid_Data(), Table_Fuel_EFs_StationaryLiquid117[[#Headers],[Fuel combusted]],0)</f>
        <v>NE</v>
      </c>
      <c r="L73" s="189"/>
    </row>
    <row r="74" spans="4:13" ht="20.100000000000001" customHeight="1" x14ac:dyDescent="0.25">
      <c r="D74" s="196" t="str" cm="1">
        <f t="array" ref="D74">Common_InputFunctions.Utility_DisplayArrayInTable(Fuel_SourceData.Fuel_Scope1Scope3EmissionFactorsStationaryLiquid_Data(), Table_Fuel_EFs_StationaryLiquid117[[#Headers],[Fuel combusted]],0)</f>
        <v>Ethanol for use as a fuel in an internal combustion engine</v>
      </c>
      <c r="E74" s="196" cm="1">
        <f t="array" ref="E74">Common_InputFunctions.Utility_DisplayArrayInTable(Fuel_SourceData.Fuel_Scope1Scope3EmissionFactorsStationaryLiquid_Data(), Table_Fuel_EFs_StationaryLiquid117[[#Headers],[Fuel combusted]],0)</f>
        <v>23.4</v>
      </c>
      <c r="F74" s="196" t="str" cm="1">
        <f t="array" ref="F74">Common_InputFunctions.Utility_DisplayArrayInTable(Fuel_SourceData.Fuel_Scope1Scope3EmissionFactorsStationaryLiquid_Data(), Table_Fuel_EFs_StationaryLiquid117[[#Headers],[Fuel combusted]],0)</f>
        <v>kL</v>
      </c>
      <c r="G74" s="196" cm="1">
        <f t="array" ref="G74">Common_InputFunctions.Utility_DisplayArrayInTable(Fuel_SourceData.Fuel_Scope1Scope3EmissionFactorsStationaryLiquid_Data(), Table_Fuel_EFs_StationaryLiquid117[[#Headers],[Fuel combusted]],0)</f>
        <v>0</v>
      </c>
      <c r="H74" s="196" cm="1">
        <f t="array" ref="H74">Common_InputFunctions.Utility_DisplayArrayInTable(Fuel_SourceData.Fuel_Scope1Scope3EmissionFactorsStationaryLiquid_Data(), Table_Fuel_EFs_StationaryLiquid117[[#Headers],[Fuel combusted]],0)</f>
        <v>0.08</v>
      </c>
      <c r="I74" s="196" cm="1">
        <f t="array" ref="I74">Common_InputFunctions.Utility_DisplayArrayInTable(Fuel_SourceData.Fuel_Scope1Scope3EmissionFactorsStationaryLiquid_Data(), Table_Fuel_EFs_StationaryLiquid117[[#Headers],[Fuel combusted]],0)</f>
        <v>0.2</v>
      </c>
      <c r="J74" s="196" cm="1">
        <f t="array" ref="J74">Common_InputFunctions.Utility_DisplayArrayInTable(Fuel_SourceData.Fuel_Scope1Scope3EmissionFactorsStationaryLiquid_Data(), Table_Fuel_EFs_StationaryLiquid117[[#Headers],[Fuel combusted]],0)</f>
        <v>0.28000000000000003</v>
      </c>
      <c r="K74" s="196" t="str" cm="1">
        <f t="array" ref="K74">Common_InputFunctions.Utility_DisplayArrayInTable(Fuel_SourceData.Fuel_Scope1Scope3EmissionFactorsStationaryLiquid_Data(), Table_Fuel_EFs_StationaryLiquid117[[#Headers],[Fuel combusted]],0)</f>
        <v>NE</v>
      </c>
      <c r="L74" s="189"/>
    </row>
    <row r="75" spans="4:13" ht="20.100000000000001" customHeight="1" x14ac:dyDescent="0.25">
      <c r="D75" s="196" t="str" cm="1">
        <f t="array" ref="D75">Common_InputFunctions.Utility_DisplayArrayInTable(Fuel_SourceData.Fuel_Scope1Scope3EmissionFactorsStationaryLiquid_Data(), Table_Fuel_EFs_StationaryLiquid117[[#Headers],[Fuel combusted]],0)</f>
        <v>Biofuels other than those mentioned in the items above and below</v>
      </c>
      <c r="E75" s="196" cm="1">
        <f t="array" ref="E75">Common_InputFunctions.Utility_DisplayArrayInTable(Fuel_SourceData.Fuel_Scope1Scope3EmissionFactorsStationaryLiquid_Data(), Table_Fuel_EFs_StationaryLiquid117[[#Headers],[Fuel combusted]],0)</f>
        <v>23.4</v>
      </c>
      <c r="F75" s="196" t="str" cm="1">
        <f t="array" ref="F75">Common_InputFunctions.Utility_DisplayArrayInTable(Fuel_SourceData.Fuel_Scope1Scope3EmissionFactorsStationaryLiquid_Data(), Table_Fuel_EFs_StationaryLiquid117[[#Headers],[Fuel combusted]],0)</f>
        <v>kL</v>
      </c>
      <c r="G75" s="196" cm="1">
        <f t="array" ref="G75">Common_InputFunctions.Utility_DisplayArrayInTable(Fuel_SourceData.Fuel_Scope1Scope3EmissionFactorsStationaryLiquid_Data(), Table_Fuel_EFs_StationaryLiquid117[[#Headers],[Fuel combusted]],0)</f>
        <v>0</v>
      </c>
      <c r="H75" s="196" cm="1">
        <f t="array" ref="H75">Common_InputFunctions.Utility_DisplayArrayInTable(Fuel_SourceData.Fuel_Scope1Scope3EmissionFactorsStationaryLiquid_Data(), Table_Fuel_EFs_StationaryLiquid117[[#Headers],[Fuel combusted]],0)</f>
        <v>0.08</v>
      </c>
      <c r="I75" s="196" cm="1">
        <f t="array" ref="I75">Common_InputFunctions.Utility_DisplayArrayInTable(Fuel_SourceData.Fuel_Scope1Scope3EmissionFactorsStationaryLiquid_Data(), Table_Fuel_EFs_StationaryLiquid117[[#Headers],[Fuel combusted]],0)</f>
        <v>0.2</v>
      </c>
      <c r="J75" s="196" cm="1">
        <f t="array" ref="J75">Common_InputFunctions.Utility_DisplayArrayInTable(Fuel_SourceData.Fuel_Scope1Scope3EmissionFactorsStationaryLiquid_Data(), Table_Fuel_EFs_StationaryLiquid117[[#Headers],[Fuel combusted]],0)</f>
        <v>0.28000000000000003</v>
      </c>
      <c r="K75" s="196" t="str" cm="1">
        <f t="array" ref="K75">Common_InputFunctions.Utility_DisplayArrayInTable(Fuel_SourceData.Fuel_Scope1Scope3EmissionFactorsStationaryLiquid_Data(), Table_Fuel_EFs_StationaryLiquid117[[#Headers],[Fuel combusted]],0)</f>
        <v>NE</v>
      </c>
      <c r="L75" s="189"/>
    </row>
    <row r="76" spans="4:13" ht="20.100000000000001" customHeight="1" x14ac:dyDescent="0.25">
      <c r="D76" s="196" t="str" cm="1">
        <f t="array" ref="D76">Common_InputFunctions.Utility_DisplayArrayInTable(Fuel_SourceData.Fuel_Scope1Scope3EmissionFactorsStationaryLiquid_Data(), Table_Fuel_EFs_StationaryLiquid117[[#Headers],[Fuel combusted]],0)</f>
        <v>Renewable aviation kerosene</v>
      </c>
      <c r="E76" s="196" cm="1">
        <f t="array" ref="E76">Common_InputFunctions.Utility_DisplayArrayInTable(Fuel_SourceData.Fuel_Scope1Scope3EmissionFactorsStationaryLiquid_Data(), Table_Fuel_EFs_StationaryLiquid117[[#Headers],[Fuel combusted]],0)</f>
        <v>36.799999999999997</v>
      </c>
      <c r="F76" s="196" t="str" cm="1">
        <f t="array" ref="F76">Common_InputFunctions.Utility_DisplayArrayInTable(Fuel_SourceData.Fuel_Scope1Scope3EmissionFactorsStationaryLiquid_Data(), Table_Fuel_EFs_StationaryLiquid117[[#Headers],[Fuel combusted]],0)</f>
        <v>kL</v>
      </c>
      <c r="G76" s="196" cm="1">
        <f t="array" ref="G76">Common_InputFunctions.Utility_DisplayArrayInTable(Fuel_SourceData.Fuel_Scope1Scope3EmissionFactorsStationaryLiquid_Data(), Table_Fuel_EFs_StationaryLiquid117[[#Headers],[Fuel combusted]],0)</f>
        <v>0</v>
      </c>
      <c r="H76" s="196" cm="1">
        <f t="array" ref="H76">Common_InputFunctions.Utility_DisplayArrayInTable(Fuel_SourceData.Fuel_Scope1Scope3EmissionFactorsStationaryLiquid_Data(), Table_Fuel_EFs_StationaryLiquid117[[#Headers],[Fuel combusted]],0)</f>
        <v>0.02</v>
      </c>
      <c r="I76" s="196" cm="1">
        <f t="array" ref="I76">Common_InputFunctions.Utility_DisplayArrayInTable(Fuel_SourceData.Fuel_Scope1Scope3EmissionFactorsStationaryLiquid_Data(), Table_Fuel_EFs_StationaryLiquid117[[#Headers],[Fuel combusted]],0)</f>
        <v>0.2</v>
      </c>
      <c r="J76" s="196" cm="1">
        <f t="array" ref="J76">Common_InputFunctions.Utility_DisplayArrayInTable(Fuel_SourceData.Fuel_Scope1Scope3EmissionFactorsStationaryLiquid_Data(), Table_Fuel_EFs_StationaryLiquid117[[#Headers],[Fuel combusted]],0)</f>
        <v>0.22</v>
      </c>
      <c r="K76" s="196" t="str" cm="1">
        <f t="array" ref="K76">Common_InputFunctions.Utility_DisplayArrayInTable(Fuel_SourceData.Fuel_Scope1Scope3EmissionFactorsStationaryLiquid_Data(), Table_Fuel_EFs_StationaryLiquid117[[#Headers],[Fuel combusted]],0)</f>
        <v>NE</v>
      </c>
      <c r="L76" s="189"/>
    </row>
    <row r="77" spans="4:13" ht="20.100000000000001" customHeight="1" x14ac:dyDescent="0.25">
      <c r="D77" s="196" t="str" cm="1">
        <f t="array" ref="D77">Common_InputFunctions.Utility_DisplayArrayInTable(Fuel_SourceData.Fuel_Scope1Scope3EmissionFactorsStationaryLiquid_Data(), Table_Fuel_EFs_StationaryLiquid117[[#Headers],[Fuel combusted]],0)</f>
        <v>Renewable diesel</v>
      </c>
      <c r="E77" s="196" cm="1">
        <f t="array" ref="E77">Common_InputFunctions.Utility_DisplayArrayInTable(Fuel_SourceData.Fuel_Scope1Scope3EmissionFactorsStationaryLiquid_Data(), Table_Fuel_EFs_StationaryLiquid117[[#Headers],[Fuel combusted]],0)</f>
        <v>38.6</v>
      </c>
      <c r="F77" s="196" t="str" cm="1">
        <f t="array" ref="F77">Common_InputFunctions.Utility_DisplayArrayInTable(Fuel_SourceData.Fuel_Scope1Scope3EmissionFactorsStationaryLiquid_Data(), Table_Fuel_EFs_StationaryLiquid117[[#Headers],[Fuel combusted]],0)</f>
        <v>kL</v>
      </c>
      <c r="G77" s="196" cm="1">
        <f t="array" ref="G77">Common_InputFunctions.Utility_DisplayArrayInTable(Fuel_SourceData.Fuel_Scope1Scope3EmissionFactorsStationaryLiquid_Data(), Table_Fuel_EFs_StationaryLiquid117[[#Headers],[Fuel combusted]],0)</f>
        <v>0</v>
      </c>
      <c r="H77" s="196" cm="1">
        <f t="array" ref="H77">Common_InputFunctions.Utility_DisplayArrayInTable(Fuel_SourceData.Fuel_Scope1Scope3EmissionFactorsStationaryLiquid_Data(), Table_Fuel_EFs_StationaryLiquid117[[#Headers],[Fuel combusted]],0)</f>
        <v>0.1</v>
      </c>
      <c r="I77" s="196" cm="1">
        <f t="array" ref="I77">Common_InputFunctions.Utility_DisplayArrayInTable(Fuel_SourceData.Fuel_Scope1Scope3EmissionFactorsStationaryLiquid_Data(), Table_Fuel_EFs_StationaryLiquid117[[#Headers],[Fuel combusted]],0)</f>
        <v>0.2</v>
      </c>
      <c r="J77" s="196" cm="1">
        <f t="array" ref="J77">Common_InputFunctions.Utility_DisplayArrayInTable(Fuel_SourceData.Fuel_Scope1Scope3EmissionFactorsStationaryLiquid_Data(), Table_Fuel_EFs_StationaryLiquid117[[#Headers],[Fuel combusted]],0)</f>
        <v>0.3</v>
      </c>
      <c r="K77" s="196" t="str" cm="1">
        <f t="array" ref="K77">Common_InputFunctions.Utility_DisplayArrayInTable(Fuel_SourceData.Fuel_Scope1Scope3EmissionFactorsStationaryLiquid_Data(), Table_Fuel_EFs_StationaryLiquid117[[#Headers],[Fuel combusted]],0)</f>
        <v>NE</v>
      </c>
      <c r="L77" s="189"/>
    </row>
    <row r="78" spans="4:13" ht="20.100000000000001" customHeight="1" x14ac:dyDescent="0.25">
      <c r="D78" s="189"/>
      <c r="E78" s="189"/>
      <c r="F78" s="189"/>
      <c r="G78" s="189"/>
      <c r="H78" s="189"/>
      <c r="I78" s="189"/>
      <c r="J78" s="189"/>
      <c r="K78" s="189"/>
      <c r="L78" s="189"/>
    </row>
    <row r="79" spans="4:13" ht="20.100000000000001" customHeight="1" x14ac:dyDescent="0.25">
      <c r="D79" s="189"/>
      <c r="E79" s="189"/>
      <c r="F79" s="189"/>
      <c r="G79" s="189"/>
      <c r="H79" s="189"/>
      <c r="I79" s="189"/>
      <c r="J79" s="189"/>
      <c r="K79" s="189"/>
      <c r="L79" s="189"/>
      <c r="M79" s="189"/>
    </row>
    <row r="80" spans="4:13" ht="20.100000000000001" customHeight="1" x14ac:dyDescent="0.25">
      <c r="D80" s="189"/>
      <c r="E80" s="189"/>
      <c r="F80" s="189"/>
      <c r="G80" s="189"/>
      <c r="H80" s="189"/>
      <c r="I80" s="189"/>
      <c r="J80" s="189"/>
      <c r="K80" s="189"/>
      <c r="L80" s="189"/>
      <c r="M80" s="189"/>
    </row>
    <row r="81" spans="4:12" ht="20.100000000000001" customHeight="1" x14ac:dyDescent="0.25">
      <c r="D81" s="9" t="str" cm="1">
        <f t="array" ref="D81">Fuel_SourceData.Fuel_Scope1EmissionFactorsStationaryGaseous_Title()</f>
        <v>Fuel scope 1 emission factors - Stationary gaseous fuels</v>
      </c>
      <c r="E81" s="189"/>
      <c r="F81" s="189"/>
      <c r="G81" s="189"/>
      <c r="H81" s="189"/>
      <c r="I81" s="189"/>
      <c r="J81" s="189"/>
      <c r="K81" s="189"/>
      <c r="L81" s="189"/>
    </row>
    <row r="82" spans="4:12" ht="20.100000000000001" customHeight="1" x14ac:dyDescent="0.25">
      <c r="D82" s="8" t="str" cm="1">
        <f t="array" ref="D82">Fuel_SourceData.Fuel_Scope1EmissionFactorsStationaryGaseous_Description()</f>
        <v xml:space="preserve">Direct (Scope 1) emission factors for the consumption of gaseous fuels including liquefied natural gas  </v>
      </c>
      <c r="E82" s="189"/>
      <c r="F82" s="189"/>
      <c r="G82" s="189"/>
      <c r="H82" s="189"/>
      <c r="I82" s="189"/>
      <c r="J82" s="189"/>
      <c r="K82" s="189"/>
      <c r="L82" s="189"/>
    </row>
    <row r="83" spans="4:12" ht="20.100000000000001" customHeight="1" x14ac:dyDescent="0.25">
      <c r="D83" s="11" t="str" cm="1">
        <f t="array" ref="D83">Fuel_SourceData.Fuel_Scope1EmissionFactorsStationaryGaseous_Source()</f>
        <v>Australian National Greenhouse Accounts Factors 2025 - Table 5</v>
      </c>
      <c r="E83" s="189"/>
      <c r="F83" s="189"/>
      <c r="G83" s="189"/>
      <c r="H83" s="189"/>
      <c r="I83" s="189"/>
      <c r="J83" s="189"/>
      <c r="K83" s="189"/>
      <c r="L83" s="189"/>
    </row>
    <row r="84" spans="4:12" ht="20.100000000000001" customHeight="1" x14ac:dyDescent="0.25">
      <c r="D84" s="12" t="str" cm="1">
        <f t="array" ref="D84">"⚠️" &amp; Fuel_SourceData.Fuel_Scope1EmissionFactorsStationaryGaseous_Variation()</f>
        <v>⚠️VARIATION OF SOURCE DATA: 'Natural gas distributed in a pipeline - Gigajoules' and 'Town gas - Gigajoules' were added, each with an energy content factor of 1 GJ per unit of fuel. This is for users who have fuel consumption data in GJ rather than m3.</v>
      </c>
      <c r="E84" s="189"/>
      <c r="F84" s="189"/>
      <c r="G84" s="189"/>
      <c r="H84" s="189"/>
      <c r="I84" s="189"/>
      <c r="J84" s="189"/>
      <c r="K84" s="189"/>
      <c r="L84" s="189"/>
    </row>
    <row r="85" spans="4:12" ht="20.100000000000001" customHeight="1" x14ac:dyDescent="0.25">
      <c r="D85" s="189"/>
      <c r="E85" s="189"/>
      <c r="F85" s="189"/>
      <c r="G85" s="189"/>
      <c r="H85" s="189"/>
      <c r="I85" s="189"/>
      <c r="J85" s="189"/>
      <c r="K85" s="189"/>
      <c r="L85" s="189"/>
    </row>
    <row r="86" spans="4:12" ht="20.100000000000001" customHeight="1" x14ac:dyDescent="0.25">
      <c r="D86" s="194" t="s">
        <v>69</v>
      </c>
      <c r="E86" s="195" t="s">
        <v>70</v>
      </c>
      <c r="F86" s="194" t="s">
        <v>71</v>
      </c>
      <c r="G86" s="195" t="s">
        <v>72</v>
      </c>
      <c r="H86" s="195" t="s">
        <v>73</v>
      </c>
      <c r="I86" s="195" t="s">
        <v>74</v>
      </c>
      <c r="J86" s="195" t="s">
        <v>75</v>
      </c>
      <c r="K86" s="189"/>
      <c r="L86" s="189"/>
    </row>
    <row r="87" spans="4:12" ht="20.100000000000001" customHeight="1" x14ac:dyDescent="0.25">
      <c r="D87" s="196" t="str" cm="1">
        <f t="array" ref="D87">Common_InputFunctions.Utility_DisplayArrayInTable(Fuel_SourceData.Fuel_Scope1EmissionFactorsStationaryGaseous_Data(), Table_Fuel_EFs_StationaryGaseous120[[#Headers],[Fuel combusted]],0)</f>
        <v>Natural gas distributed in a pipeline</v>
      </c>
      <c r="E87" s="196" cm="1">
        <f t="array" ref="E87">Common_InputFunctions.Utility_DisplayArrayInTable(Fuel_SourceData.Fuel_Scope1EmissionFactorsStationaryGaseous_Data(), Table_Fuel_EFs_StationaryGaseous120[[#Headers],[Fuel combusted]],0)</f>
        <v>3.9300000000000002E-2</v>
      </c>
      <c r="F87" s="196" t="str" cm="1">
        <f t="array" ref="F87">Common_InputFunctions.Utility_DisplayArrayInTable(Fuel_SourceData.Fuel_Scope1EmissionFactorsStationaryGaseous_Data(), Table_Fuel_EFs_StationaryGaseous120[[#Headers],[Fuel combusted]],0)</f>
        <v>m3</v>
      </c>
      <c r="G87" s="196" cm="1">
        <f t="array" ref="G87">Common_InputFunctions.Utility_DisplayArrayInTable(Fuel_SourceData.Fuel_Scope1EmissionFactorsStationaryGaseous_Data(), Table_Fuel_EFs_StationaryGaseous120[[#Headers],[Fuel combusted]],0)</f>
        <v>51.4</v>
      </c>
      <c r="H87" s="196" cm="1">
        <f t="array" ref="H87">Common_InputFunctions.Utility_DisplayArrayInTable(Fuel_SourceData.Fuel_Scope1EmissionFactorsStationaryGaseous_Data(), Table_Fuel_EFs_StationaryGaseous120[[#Headers],[Fuel combusted]],0)</f>
        <v>0.1</v>
      </c>
      <c r="I87" s="196" cm="1">
        <f t="array" ref="I87">Common_InputFunctions.Utility_DisplayArrayInTable(Fuel_SourceData.Fuel_Scope1EmissionFactorsStationaryGaseous_Data(), Table_Fuel_EFs_StationaryGaseous120[[#Headers],[Fuel combusted]],0)</f>
        <v>0.03</v>
      </c>
      <c r="J87" s="196" cm="1">
        <f t="array" ref="J87">Common_InputFunctions.Utility_DisplayArrayInTable(Fuel_SourceData.Fuel_Scope1EmissionFactorsStationaryGaseous_Data(), Table_Fuel_EFs_StationaryGaseous120[[#Headers],[Fuel combusted]],0)</f>
        <v>51.53</v>
      </c>
      <c r="K87" s="189"/>
      <c r="L87" s="189"/>
    </row>
    <row r="88" spans="4:12" ht="20.100000000000001" customHeight="1" x14ac:dyDescent="0.25">
      <c r="D88" s="196" t="str" cm="1">
        <f t="array" ref="D88">Common_InputFunctions.Utility_DisplayArrayInTable(Fuel_SourceData.Fuel_Scope1EmissionFactorsStationaryGaseous_Data(), Table_Fuel_EFs_StationaryGaseous120[[#Headers],[Fuel combusted]],0)</f>
        <v>Coal seam methane that is captured for combustion</v>
      </c>
      <c r="E88" s="196" cm="1">
        <f t="array" ref="E88">Common_InputFunctions.Utility_DisplayArrayInTable(Fuel_SourceData.Fuel_Scope1EmissionFactorsStationaryGaseous_Data(), Table_Fuel_EFs_StationaryGaseous120[[#Headers],[Fuel combusted]],0)</f>
        <v>3.7699999999999997E-2</v>
      </c>
      <c r="F88" s="196" t="str" cm="1">
        <f t="array" ref="F88">Common_InputFunctions.Utility_DisplayArrayInTable(Fuel_SourceData.Fuel_Scope1EmissionFactorsStationaryGaseous_Data(), Table_Fuel_EFs_StationaryGaseous120[[#Headers],[Fuel combusted]],0)</f>
        <v>m3</v>
      </c>
      <c r="G88" s="196" cm="1">
        <f t="array" ref="G88">Common_InputFunctions.Utility_DisplayArrayInTable(Fuel_SourceData.Fuel_Scope1EmissionFactorsStationaryGaseous_Data(), Table_Fuel_EFs_StationaryGaseous120[[#Headers],[Fuel combusted]],0)</f>
        <v>51.4</v>
      </c>
      <c r="H88" s="196" cm="1">
        <f t="array" ref="H88">Common_InputFunctions.Utility_DisplayArrayInTable(Fuel_SourceData.Fuel_Scope1EmissionFactorsStationaryGaseous_Data(), Table_Fuel_EFs_StationaryGaseous120[[#Headers],[Fuel combusted]],0)</f>
        <v>0.2</v>
      </c>
      <c r="I88" s="196" cm="1">
        <f t="array" ref="I88">Common_InputFunctions.Utility_DisplayArrayInTable(Fuel_SourceData.Fuel_Scope1EmissionFactorsStationaryGaseous_Data(), Table_Fuel_EFs_StationaryGaseous120[[#Headers],[Fuel combusted]],0)</f>
        <v>0.03</v>
      </c>
      <c r="J88" s="196" cm="1">
        <f t="array" ref="J88">Common_InputFunctions.Utility_DisplayArrayInTable(Fuel_SourceData.Fuel_Scope1EmissionFactorsStationaryGaseous_Data(), Table_Fuel_EFs_StationaryGaseous120[[#Headers],[Fuel combusted]],0)</f>
        <v>51.63</v>
      </c>
      <c r="K88" s="189"/>
      <c r="L88" s="189"/>
    </row>
    <row r="89" spans="4:12" ht="20.100000000000001" customHeight="1" x14ac:dyDescent="0.25">
      <c r="D89" s="196" t="str" cm="1">
        <f t="array" ref="D89">Common_InputFunctions.Utility_DisplayArrayInTable(Fuel_SourceData.Fuel_Scope1EmissionFactorsStationaryGaseous_Data(), Table_Fuel_EFs_StationaryGaseous120[[#Headers],[Fuel combusted]],0)</f>
        <v>Coal mine waste gas that is captured for combustion</v>
      </c>
      <c r="E89" s="196" cm="1">
        <f t="array" ref="E89">Common_InputFunctions.Utility_DisplayArrayInTable(Fuel_SourceData.Fuel_Scope1EmissionFactorsStationaryGaseous_Data(), Table_Fuel_EFs_StationaryGaseous120[[#Headers],[Fuel combusted]],0)</f>
        <v>3.7699999999999997E-2</v>
      </c>
      <c r="F89" s="196" t="str" cm="1">
        <f t="array" ref="F89">Common_InputFunctions.Utility_DisplayArrayInTable(Fuel_SourceData.Fuel_Scope1EmissionFactorsStationaryGaseous_Data(), Table_Fuel_EFs_StationaryGaseous120[[#Headers],[Fuel combusted]],0)</f>
        <v>m3</v>
      </c>
      <c r="G89" s="196" cm="1">
        <f t="array" ref="G89">Common_InputFunctions.Utility_DisplayArrayInTable(Fuel_SourceData.Fuel_Scope1EmissionFactorsStationaryGaseous_Data(), Table_Fuel_EFs_StationaryGaseous120[[#Headers],[Fuel combusted]],0)</f>
        <v>51.9</v>
      </c>
      <c r="H89" s="196" cm="1">
        <f t="array" ref="H89">Common_InputFunctions.Utility_DisplayArrayInTable(Fuel_SourceData.Fuel_Scope1EmissionFactorsStationaryGaseous_Data(), Table_Fuel_EFs_StationaryGaseous120[[#Headers],[Fuel combusted]],0)</f>
        <v>4.5999999999999996</v>
      </c>
      <c r="I89" s="196" cm="1">
        <f t="array" ref="I89">Common_InputFunctions.Utility_DisplayArrayInTable(Fuel_SourceData.Fuel_Scope1EmissionFactorsStationaryGaseous_Data(), Table_Fuel_EFs_StationaryGaseous120[[#Headers],[Fuel combusted]],0)</f>
        <v>0.3</v>
      </c>
      <c r="J89" s="196" cm="1">
        <f t="array" ref="J89">Common_InputFunctions.Utility_DisplayArrayInTable(Fuel_SourceData.Fuel_Scope1EmissionFactorsStationaryGaseous_Data(), Table_Fuel_EFs_StationaryGaseous120[[#Headers],[Fuel combusted]],0)</f>
        <v>56.8</v>
      </c>
      <c r="K89" s="189"/>
      <c r="L89" s="189"/>
    </row>
    <row r="90" spans="4:12" ht="20.100000000000001" customHeight="1" x14ac:dyDescent="0.25">
      <c r="D90" s="196" t="str" cm="1">
        <f t="array" ref="D90">Common_InputFunctions.Utility_DisplayArrayInTable(Fuel_SourceData.Fuel_Scope1EmissionFactorsStationaryGaseous_Data(), Table_Fuel_EFs_StationaryGaseous120[[#Headers],[Fuel combusted]],0)</f>
        <v>Compressed natural gas(reverting to standard conditions)</v>
      </c>
      <c r="E90" s="196" cm="1">
        <f t="array" ref="E90">Common_InputFunctions.Utility_DisplayArrayInTable(Fuel_SourceData.Fuel_Scope1EmissionFactorsStationaryGaseous_Data(), Table_Fuel_EFs_StationaryGaseous120[[#Headers],[Fuel combusted]],0)</f>
        <v>3.9300000000000002E-2</v>
      </c>
      <c r="F90" s="196" t="str" cm="1">
        <f t="array" ref="F90">Common_InputFunctions.Utility_DisplayArrayInTable(Fuel_SourceData.Fuel_Scope1EmissionFactorsStationaryGaseous_Data(), Table_Fuel_EFs_StationaryGaseous120[[#Headers],[Fuel combusted]],0)</f>
        <v>m3</v>
      </c>
      <c r="G90" s="196" cm="1">
        <f t="array" ref="G90">Common_InputFunctions.Utility_DisplayArrayInTable(Fuel_SourceData.Fuel_Scope1EmissionFactorsStationaryGaseous_Data(), Table_Fuel_EFs_StationaryGaseous120[[#Headers],[Fuel combusted]],0)</f>
        <v>51.4</v>
      </c>
      <c r="H90" s="196" cm="1">
        <f t="array" ref="H90">Common_InputFunctions.Utility_DisplayArrayInTable(Fuel_SourceData.Fuel_Scope1EmissionFactorsStationaryGaseous_Data(), Table_Fuel_EFs_StationaryGaseous120[[#Headers],[Fuel combusted]],0)</f>
        <v>0.1</v>
      </c>
      <c r="I90" s="196" cm="1">
        <f t="array" ref="I90">Common_InputFunctions.Utility_DisplayArrayInTable(Fuel_SourceData.Fuel_Scope1EmissionFactorsStationaryGaseous_Data(), Table_Fuel_EFs_StationaryGaseous120[[#Headers],[Fuel combusted]],0)</f>
        <v>0.03</v>
      </c>
      <c r="J90" s="196" cm="1">
        <f t="array" ref="J90">Common_InputFunctions.Utility_DisplayArrayInTable(Fuel_SourceData.Fuel_Scope1EmissionFactorsStationaryGaseous_Data(), Table_Fuel_EFs_StationaryGaseous120[[#Headers],[Fuel combusted]],0)</f>
        <v>51.53</v>
      </c>
      <c r="K90" s="189"/>
      <c r="L90" s="189"/>
    </row>
    <row r="91" spans="4:12" ht="20.100000000000001" customHeight="1" x14ac:dyDescent="0.25">
      <c r="D91" s="196" t="str" cm="1">
        <f t="array" ref="D91">Common_InputFunctions.Utility_DisplayArrayInTable(Fuel_SourceData.Fuel_Scope1EmissionFactorsStationaryGaseous_Data(), Table_Fuel_EFs_StationaryGaseous120[[#Headers],[Fuel combusted]],0)</f>
        <v>Unprocessed natural gas</v>
      </c>
      <c r="E91" s="196" cm="1">
        <f t="array" ref="E91">Common_InputFunctions.Utility_DisplayArrayInTable(Fuel_SourceData.Fuel_Scope1EmissionFactorsStationaryGaseous_Data(), Table_Fuel_EFs_StationaryGaseous120[[#Headers],[Fuel combusted]],0)</f>
        <v>3.9300000000000002E-2</v>
      </c>
      <c r="F91" s="196" t="str" cm="1">
        <f t="array" ref="F91">Common_InputFunctions.Utility_DisplayArrayInTable(Fuel_SourceData.Fuel_Scope1EmissionFactorsStationaryGaseous_Data(), Table_Fuel_EFs_StationaryGaseous120[[#Headers],[Fuel combusted]],0)</f>
        <v>m3</v>
      </c>
      <c r="G91" s="196" cm="1">
        <f t="array" ref="G91">Common_InputFunctions.Utility_DisplayArrayInTable(Fuel_SourceData.Fuel_Scope1EmissionFactorsStationaryGaseous_Data(), Table_Fuel_EFs_StationaryGaseous120[[#Headers],[Fuel combusted]],0)</f>
        <v>51.4</v>
      </c>
      <c r="H91" s="196" cm="1">
        <f t="array" ref="H91">Common_InputFunctions.Utility_DisplayArrayInTable(Fuel_SourceData.Fuel_Scope1EmissionFactorsStationaryGaseous_Data(), Table_Fuel_EFs_StationaryGaseous120[[#Headers],[Fuel combusted]],0)</f>
        <v>0.1</v>
      </c>
      <c r="I91" s="196" cm="1">
        <f t="array" ref="I91">Common_InputFunctions.Utility_DisplayArrayInTable(Fuel_SourceData.Fuel_Scope1EmissionFactorsStationaryGaseous_Data(), Table_Fuel_EFs_StationaryGaseous120[[#Headers],[Fuel combusted]],0)</f>
        <v>0.03</v>
      </c>
      <c r="J91" s="196" cm="1">
        <f t="array" ref="J91">Common_InputFunctions.Utility_DisplayArrayInTable(Fuel_SourceData.Fuel_Scope1EmissionFactorsStationaryGaseous_Data(), Table_Fuel_EFs_StationaryGaseous120[[#Headers],[Fuel combusted]],0)</f>
        <v>51.53</v>
      </c>
      <c r="K91" s="189"/>
      <c r="L91" s="189"/>
    </row>
    <row r="92" spans="4:12" ht="20.100000000000001" customHeight="1" x14ac:dyDescent="0.25">
      <c r="D92" s="196" t="str" cm="1">
        <f t="array" ref="D92">Common_InputFunctions.Utility_DisplayArrayInTable(Fuel_SourceData.Fuel_Scope1EmissionFactorsStationaryGaseous_Data(), Table_Fuel_EFs_StationaryGaseous120[[#Headers],[Fuel combusted]],0)</f>
        <v>Ethane</v>
      </c>
      <c r="E92" s="196" cm="1">
        <f t="array" ref="E92">Common_InputFunctions.Utility_DisplayArrayInTable(Fuel_SourceData.Fuel_Scope1EmissionFactorsStationaryGaseous_Data(), Table_Fuel_EFs_StationaryGaseous120[[#Headers],[Fuel combusted]],0)</f>
        <v>6.2899999999999998E-2</v>
      </c>
      <c r="F92" s="196" t="str" cm="1">
        <f t="array" ref="F92">Common_InputFunctions.Utility_DisplayArrayInTable(Fuel_SourceData.Fuel_Scope1EmissionFactorsStationaryGaseous_Data(), Table_Fuel_EFs_StationaryGaseous120[[#Headers],[Fuel combusted]],0)</f>
        <v>m3</v>
      </c>
      <c r="G92" s="196" cm="1">
        <f t="array" ref="G92">Common_InputFunctions.Utility_DisplayArrayInTable(Fuel_SourceData.Fuel_Scope1EmissionFactorsStationaryGaseous_Data(), Table_Fuel_EFs_StationaryGaseous120[[#Headers],[Fuel combusted]],0)</f>
        <v>56.5</v>
      </c>
      <c r="H92" s="196" cm="1">
        <f t="array" ref="H92">Common_InputFunctions.Utility_DisplayArrayInTable(Fuel_SourceData.Fuel_Scope1EmissionFactorsStationaryGaseous_Data(), Table_Fuel_EFs_StationaryGaseous120[[#Headers],[Fuel combusted]],0)</f>
        <v>0.03</v>
      </c>
      <c r="I92" s="196" cm="1">
        <f t="array" ref="I92">Common_InputFunctions.Utility_DisplayArrayInTable(Fuel_SourceData.Fuel_Scope1EmissionFactorsStationaryGaseous_Data(), Table_Fuel_EFs_StationaryGaseous120[[#Headers],[Fuel combusted]],0)</f>
        <v>0.03</v>
      </c>
      <c r="J92" s="196" cm="1">
        <f t="array" ref="J92">Common_InputFunctions.Utility_DisplayArrayInTable(Fuel_SourceData.Fuel_Scope1EmissionFactorsStationaryGaseous_Data(), Table_Fuel_EFs_StationaryGaseous120[[#Headers],[Fuel combusted]],0)</f>
        <v>56.56</v>
      </c>
      <c r="K92" s="189"/>
      <c r="L92" s="189"/>
    </row>
    <row r="93" spans="4:12" ht="20.100000000000001" customHeight="1" x14ac:dyDescent="0.25">
      <c r="D93" s="196" t="str" cm="1">
        <f t="array" ref="D93">Common_InputFunctions.Utility_DisplayArrayInTable(Fuel_SourceData.Fuel_Scope1EmissionFactorsStationaryGaseous_Data(), Table_Fuel_EFs_StationaryGaseous120[[#Headers],[Fuel combusted]],0)</f>
        <v>Coke oven gas</v>
      </c>
      <c r="E93" s="196" cm="1">
        <f t="array" ref="E93">Common_InputFunctions.Utility_DisplayArrayInTable(Fuel_SourceData.Fuel_Scope1EmissionFactorsStationaryGaseous_Data(), Table_Fuel_EFs_StationaryGaseous120[[#Headers],[Fuel combusted]],0)</f>
        <v>1.8100000000000002E-2</v>
      </c>
      <c r="F93" s="196" t="str" cm="1">
        <f t="array" ref="F93">Common_InputFunctions.Utility_DisplayArrayInTable(Fuel_SourceData.Fuel_Scope1EmissionFactorsStationaryGaseous_Data(), Table_Fuel_EFs_StationaryGaseous120[[#Headers],[Fuel combusted]],0)</f>
        <v>m3</v>
      </c>
      <c r="G93" s="196" cm="1">
        <f t="array" ref="G93">Common_InputFunctions.Utility_DisplayArrayInTable(Fuel_SourceData.Fuel_Scope1EmissionFactorsStationaryGaseous_Data(), Table_Fuel_EFs_StationaryGaseous120[[#Headers],[Fuel combusted]],0)</f>
        <v>37</v>
      </c>
      <c r="H93" s="196" cm="1">
        <f t="array" ref="H93">Common_InputFunctions.Utility_DisplayArrayInTable(Fuel_SourceData.Fuel_Scope1EmissionFactorsStationaryGaseous_Data(), Table_Fuel_EFs_StationaryGaseous120[[#Headers],[Fuel combusted]],0)</f>
        <v>0.03</v>
      </c>
      <c r="I93" s="196" cm="1">
        <f t="array" ref="I93">Common_InputFunctions.Utility_DisplayArrayInTable(Fuel_SourceData.Fuel_Scope1EmissionFactorsStationaryGaseous_Data(), Table_Fuel_EFs_StationaryGaseous120[[#Headers],[Fuel combusted]],0)</f>
        <v>0.05</v>
      </c>
      <c r="J93" s="196" cm="1">
        <f t="array" ref="J93">Common_InputFunctions.Utility_DisplayArrayInTable(Fuel_SourceData.Fuel_Scope1EmissionFactorsStationaryGaseous_Data(), Table_Fuel_EFs_StationaryGaseous120[[#Headers],[Fuel combusted]],0)</f>
        <v>37.08</v>
      </c>
      <c r="K93" s="189"/>
      <c r="L93" s="189"/>
    </row>
    <row r="94" spans="4:12" ht="20.100000000000001" customHeight="1" x14ac:dyDescent="0.25">
      <c r="D94" s="196" t="str" cm="1">
        <f t="array" ref="D94">Common_InputFunctions.Utility_DisplayArrayInTable(Fuel_SourceData.Fuel_Scope1EmissionFactorsStationaryGaseous_Data(), Table_Fuel_EFs_StationaryGaseous120[[#Headers],[Fuel combusted]],0)</f>
        <v>Blast furnace gas</v>
      </c>
      <c r="E94" s="196" cm="1">
        <f t="array" ref="E94">Common_InputFunctions.Utility_DisplayArrayInTable(Fuel_SourceData.Fuel_Scope1EmissionFactorsStationaryGaseous_Data(), Table_Fuel_EFs_StationaryGaseous120[[#Headers],[Fuel combusted]],0)</f>
        <v>4.0000000000000001E-3</v>
      </c>
      <c r="F94" s="196" t="str" cm="1">
        <f t="array" ref="F94">Common_InputFunctions.Utility_DisplayArrayInTable(Fuel_SourceData.Fuel_Scope1EmissionFactorsStationaryGaseous_Data(), Table_Fuel_EFs_StationaryGaseous120[[#Headers],[Fuel combusted]],0)</f>
        <v>m3</v>
      </c>
      <c r="G94" s="196" cm="1">
        <f t="array" ref="G94">Common_InputFunctions.Utility_DisplayArrayInTable(Fuel_SourceData.Fuel_Scope1EmissionFactorsStationaryGaseous_Data(), Table_Fuel_EFs_StationaryGaseous120[[#Headers],[Fuel combusted]],0)</f>
        <v>234</v>
      </c>
      <c r="H94" s="196" cm="1">
        <f t="array" ref="H94">Common_InputFunctions.Utility_DisplayArrayInTable(Fuel_SourceData.Fuel_Scope1EmissionFactorsStationaryGaseous_Data(), Table_Fuel_EFs_StationaryGaseous120[[#Headers],[Fuel combusted]],0)</f>
        <v>0.03</v>
      </c>
      <c r="I94" s="196" cm="1">
        <f t="array" ref="I94">Common_InputFunctions.Utility_DisplayArrayInTable(Fuel_SourceData.Fuel_Scope1EmissionFactorsStationaryGaseous_Data(), Table_Fuel_EFs_StationaryGaseous120[[#Headers],[Fuel combusted]],0)</f>
        <v>0.02</v>
      </c>
      <c r="J94" s="196" cm="1">
        <f t="array" ref="J94">Common_InputFunctions.Utility_DisplayArrayInTable(Fuel_SourceData.Fuel_Scope1EmissionFactorsStationaryGaseous_Data(), Table_Fuel_EFs_StationaryGaseous120[[#Headers],[Fuel combusted]],0)</f>
        <v>234.05</v>
      </c>
      <c r="K94" s="189"/>
      <c r="L94" s="189"/>
    </row>
    <row r="95" spans="4:12" ht="20.100000000000001" customHeight="1" x14ac:dyDescent="0.25">
      <c r="D95" s="196" t="str" cm="1">
        <f t="array" ref="D95">Common_InputFunctions.Utility_DisplayArrayInTable(Fuel_SourceData.Fuel_Scope1EmissionFactorsStationaryGaseous_Data(), Table_Fuel_EFs_StationaryGaseous120[[#Headers],[Fuel combusted]],0)</f>
        <v>Town gas</v>
      </c>
      <c r="E95" s="196" cm="1">
        <f t="array" ref="E95">Common_InputFunctions.Utility_DisplayArrayInTable(Fuel_SourceData.Fuel_Scope1EmissionFactorsStationaryGaseous_Data(), Table_Fuel_EFs_StationaryGaseous120[[#Headers],[Fuel combusted]],0)</f>
        <v>3.9E-2</v>
      </c>
      <c r="F95" s="196" t="str" cm="1">
        <f t="array" ref="F95">Common_InputFunctions.Utility_DisplayArrayInTable(Fuel_SourceData.Fuel_Scope1EmissionFactorsStationaryGaseous_Data(), Table_Fuel_EFs_StationaryGaseous120[[#Headers],[Fuel combusted]],0)</f>
        <v>m3</v>
      </c>
      <c r="G95" s="196" cm="1">
        <f t="array" ref="G95">Common_InputFunctions.Utility_DisplayArrayInTable(Fuel_SourceData.Fuel_Scope1EmissionFactorsStationaryGaseous_Data(), Table_Fuel_EFs_StationaryGaseous120[[#Headers],[Fuel combusted]],0)</f>
        <v>60.2</v>
      </c>
      <c r="H95" s="196" cm="1">
        <f t="array" ref="H95">Common_InputFunctions.Utility_DisplayArrayInTable(Fuel_SourceData.Fuel_Scope1EmissionFactorsStationaryGaseous_Data(), Table_Fuel_EFs_StationaryGaseous120[[#Headers],[Fuel combusted]],0)</f>
        <v>0.04</v>
      </c>
      <c r="I95" s="196" cm="1">
        <f t="array" ref="I95">Common_InputFunctions.Utility_DisplayArrayInTable(Fuel_SourceData.Fuel_Scope1EmissionFactorsStationaryGaseous_Data(), Table_Fuel_EFs_StationaryGaseous120[[#Headers],[Fuel combusted]],0)</f>
        <v>0.03</v>
      </c>
      <c r="J95" s="196" cm="1">
        <f t="array" ref="J95">Common_InputFunctions.Utility_DisplayArrayInTable(Fuel_SourceData.Fuel_Scope1EmissionFactorsStationaryGaseous_Data(), Table_Fuel_EFs_StationaryGaseous120[[#Headers],[Fuel combusted]],0)</f>
        <v>60.27</v>
      </c>
      <c r="K95" s="189"/>
      <c r="L95" s="189"/>
    </row>
    <row r="96" spans="4:12" ht="20.100000000000001" customHeight="1" x14ac:dyDescent="0.25">
      <c r="D96" s="196" t="str" cm="1">
        <f t="array" ref="D96">Common_InputFunctions.Utility_DisplayArrayInTable(Fuel_SourceData.Fuel_Scope1EmissionFactorsStationaryGaseous_Data(), Table_Fuel_EFs_StationaryGaseous120[[#Headers],[Fuel combusted]],0)</f>
        <v>Liquefied natural gas</v>
      </c>
      <c r="E96" s="196" cm="1">
        <f t="array" ref="E96">Common_InputFunctions.Utility_DisplayArrayInTable(Fuel_SourceData.Fuel_Scope1EmissionFactorsStationaryGaseous_Data(), Table_Fuel_EFs_StationaryGaseous120[[#Headers],[Fuel combusted]],0)</f>
        <v>25.3</v>
      </c>
      <c r="F96" s="196" t="str" cm="1">
        <f t="array" ref="F96">Common_InputFunctions.Utility_DisplayArrayInTable(Fuel_SourceData.Fuel_Scope1EmissionFactorsStationaryGaseous_Data(), Table_Fuel_EFs_StationaryGaseous120[[#Headers],[Fuel combusted]],0)</f>
        <v>kL</v>
      </c>
      <c r="G96" s="196" cm="1">
        <f t="array" ref="G96">Common_InputFunctions.Utility_DisplayArrayInTable(Fuel_SourceData.Fuel_Scope1EmissionFactorsStationaryGaseous_Data(), Table_Fuel_EFs_StationaryGaseous120[[#Headers],[Fuel combusted]],0)</f>
        <v>51.4</v>
      </c>
      <c r="H96" s="196" cm="1">
        <f t="array" ref="H96">Common_InputFunctions.Utility_DisplayArrayInTable(Fuel_SourceData.Fuel_Scope1EmissionFactorsStationaryGaseous_Data(), Table_Fuel_EFs_StationaryGaseous120[[#Headers],[Fuel combusted]],0)</f>
        <v>0.1</v>
      </c>
      <c r="I96" s="196" cm="1">
        <f t="array" ref="I96">Common_InputFunctions.Utility_DisplayArrayInTable(Fuel_SourceData.Fuel_Scope1EmissionFactorsStationaryGaseous_Data(), Table_Fuel_EFs_StationaryGaseous120[[#Headers],[Fuel combusted]],0)</f>
        <v>0.03</v>
      </c>
      <c r="J96" s="196" cm="1">
        <f t="array" ref="J96">Common_InputFunctions.Utility_DisplayArrayInTable(Fuel_SourceData.Fuel_Scope1EmissionFactorsStationaryGaseous_Data(), Table_Fuel_EFs_StationaryGaseous120[[#Headers],[Fuel combusted]],0)</f>
        <v>51.53</v>
      </c>
      <c r="K96" s="189"/>
      <c r="L96" s="189"/>
    </row>
    <row r="97" spans="4:13" ht="20.100000000000001" customHeight="1" x14ac:dyDescent="0.25">
      <c r="D97" s="196" t="str" cm="1">
        <f t="array" ref="D97">Common_InputFunctions.Utility_DisplayArrayInTable(Fuel_SourceData.Fuel_Scope1EmissionFactorsStationaryGaseous_Data(), Table_Fuel_EFs_StationaryGaseous120[[#Headers],[Fuel combusted]],0)</f>
        <v>Gaseous fossil fuels other than those mentioned in the items above</v>
      </c>
      <c r="E97" s="196" cm="1">
        <f t="array" ref="E97">Common_InputFunctions.Utility_DisplayArrayInTable(Fuel_SourceData.Fuel_Scope1EmissionFactorsStationaryGaseous_Data(), Table_Fuel_EFs_StationaryGaseous120[[#Headers],[Fuel combusted]],0)</f>
        <v>3.9E-2</v>
      </c>
      <c r="F97" s="196" t="str" cm="1">
        <f t="array" ref="F97">Common_InputFunctions.Utility_DisplayArrayInTable(Fuel_SourceData.Fuel_Scope1EmissionFactorsStationaryGaseous_Data(), Table_Fuel_EFs_StationaryGaseous120[[#Headers],[Fuel combusted]],0)</f>
        <v>m3</v>
      </c>
      <c r="G97" s="196" cm="1">
        <f t="array" ref="G97">Common_InputFunctions.Utility_DisplayArrayInTable(Fuel_SourceData.Fuel_Scope1EmissionFactorsStationaryGaseous_Data(), Table_Fuel_EFs_StationaryGaseous120[[#Headers],[Fuel combusted]],0)</f>
        <v>51.4</v>
      </c>
      <c r="H97" s="196" cm="1">
        <f t="array" ref="H97">Common_InputFunctions.Utility_DisplayArrayInTable(Fuel_SourceData.Fuel_Scope1EmissionFactorsStationaryGaseous_Data(), Table_Fuel_EFs_StationaryGaseous120[[#Headers],[Fuel combusted]],0)</f>
        <v>0.1</v>
      </c>
      <c r="I97" s="196" cm="1">
        <f t="array" ref="I97">Common_InputFunctions.Utility_DisplayArrayInTable(Fuel_SourceData.Fuel_Scope1EmissionFactorsStationaryGaseous_Data(), Table_Fuel_EFs_StationaryGaseous120[[#Headers],[Fuel combusted]],0)</f>
        <v>0.03</v>
      </c>
      <c r="J97" s="196" cm="1">
        <f t="array" ref="J97">Common_InputFunctions.Utility_DisplayArrayInTable(Fuel_SourceData.Fuel_Scope1EmissionFactorsStationaryGaseous_Data(), Table_Fuel_EFs_StationaryGaseous120[[#Headers],[Fuel combusted]],0)</f>
        <v>51.53</v>
      </c>
      <c r="K97" s="189"/>
      <c r="L97" s="189"/>
    </row>
    <row r="98" spans="4:13" ht="20.100000000000001" customHeight="1" x14ac:dyDescent="0.25">
      <c r="D98" s="196" t="str" cm="1">
        <f t="array" ref="D98">Common_InputFunctions.Utility_DisplayArrayInTable(Fuel_SourceData.Fuel_Scope1EmissionFactorsStationaryGaseous_Data(), Table_Fuel_EFs_StationaryGaseous120[[#Headers],[Fuel combusted]],0)</f>
        <v>Landfill biogas that is captured for combustion (methane only)</v>
      </c>
      <c r="E98" s="196" cm="1">
        <f t="array" ref="E98">Common_InputFunctions.Utility_DisplayArrayInTable(Fuel_SourceData.Fuel_Scope1EmissionFactorsStationaryGaseous_Data(), Table_Fuel_EFs_StationaryGaseous120[[#Headers],[Fuel combusted]],0)</f>
        <v>3.7699999999999997E-2</v>
      </c>
      <c r="F98" s="196" t="str" cm="1">
        <f t="array" ref="F98">Common_InputFunctions.Utility_DisplayArrayInTable(Fuel_SourceData.Fuel_Scope1EmissionFactorsStationaryGaseous_Data(), Table_Fuel_EFs_StationaryGaseous120[[#Headers],[Fuel combusted]],0)</f>
        <v>m3</v>
      </c>
      <c r="G98" s="196" cm="1">
        <f t="array" ref="G98">Common_InputFunctions.Utility_DisplayArrayInTable(Fuel_SourceData.Fuel_Scope1EmissionFactorsStationaryGaseous_Data(), Table_Fuel_EFs_StationaryGaseous120[[#Headers],[Fuel combusted]],0)</f>
        <v>0</v>
      </c>
      <c r="H98" s="196" cm="1">
        <f t="array" ref="H98">Common_InputFunctions.Utility_DisplayArrayInTable(Fuel_SourceData.Fuel_Scope1EmissionFactorsStationaryGaseous_Data(), Table_Fuel_EFs_StationaryGaseous120[[#Headers],[Fuel combusted]],0)</f>
        <v>6.4</v>
      </c>
      <c r="I98" s="196" cm="1">
        <f t="array" ref="I98">Common_InputFunctions.Utility_DisplayArrayInTable(Fuel_SourceData.Fuel_Scope1EmissionFactorsStationaryGaseous_Data(), Table_Fuel_EFs_StationaryGaseous120[[#Headers],[Fuel combusted]],0)</f>
        <v>0.03</v>
      </c>
      <c r="J98" s="196" cm="1">
        <f t="array" ref="J98">Common_InputFunctions.Utility_DisplayArrayInTable(Fuel_SourceData.Fuel_Scope1EmissionFactorsStationaryGaseous_Data(), Table_Fuel_EFs_StationaryGaseous120[[#Headers],[Fuel combusted]],0)</f>
        <v>6.43</v>
      </c>
      <c r="K98" s="189"/>
      <c r="L98" s="189"/>
    </row>
    <row r="99" spans="4:13" ht="20.100000000000001" customHeight="1" x14ac:dyDescent="0.25">
      <c r="D99" s="196" t="str" cm="1">
        <f t="array" ref="D99">Common_InputFunctions.Utility_DisplayArrayInTable(Fuel_SourceData.Fuel_Scope1EmissionFactorsStationaryGaseous_Data(), Table_Fuel_EFs_StationaryGaseous120[[#Headers],[Fuel combusted]],0)</f>
        <v>Sludge biogas that is captured for combustion (methane only)</v>
      </c>
      <c r="E99" s="196" cm="1">
        <f t="array" ref="E99">Common_InputFunctions.Utility_DisplayArrayInTable(Fuel_SourceData.Fuel_Scope1EmissionFactorsStationaryGaseous_Data(), Table_Fuel_EFs_StationaryGaseous120[[#Headers],[Fuel combusted]],0)</f>
        <v>3.7699999999999997E-2</v>
      </c>
      <c r="F99" s="196" t="str" cm="1">
        <f t="array" ref="F99">Common_InputFunctions.Utility_DisplayArrayInTable(Fuel_SourceData.Fuel_Scope1EmissionFactorsStationaryGaseous_Data(), Table_Fuel_EFs_StationaryGaseous120[[#Headers],[Fuel combusted]],0)</f>
        <v>m3</v>
      </c>
      <c r="G99" s="196" cm="1">
        <f t="array" ref="G99">Common_InputFunctions.Utility_DisplayArrayInTable(Fuel_SourceData.Fuel_Scope1EmissionFactorsStationaryGaseous_Data(), Table_Fuel_EFs_StationaryGaseous120[[#Headers],[Fuel combusted]],0)</f>
        <v>0</v>
      </c>
      <c r="H99" s="196" cm="1">
        <f t="array" ref="H99">Common_InputFunctions.Utility_DisplayArrayInTable(Fuel_SourceData.Fuel_Scope1EmissionFactorsStationaryGaseous_Data(), Table_Fuel_EFs_StationaryGaseous120[[#Headers],[Fuel combusted]],0)</f>
        <v>6.4</v>
      </c>
      <c r="I99" s="196" cm="1">
        <f t="array" ref="I99">Common_InputFunctions.Utility_DisplayArrayInTable(Fuel_SourceData.Fuel_Scope1EmissionFactorsStationaryGaseous_Data(), Table_Fuel_EFs_StationaryGaseous120[[#Headers],[Fuel combusted]],0)</f>
        <v>0.03</v>
      </c>
      <c r="J99" s="196" cm="1">
        <f t="array" ref="J99">Common_InputFunctions.Utility_DisplayArrayInTable(Fuel_SourceData.Fuel_Scope1EmissionFactorsStationaryGaseous_Data(), Table_Fuel_EFs_StationaryGaseous120[[#Headers],[Fuel combusted]],0)</f>
        <v>6.43</v>
      </c>
      <c r="K99" s="189"/>
      <c r="L99" s="189"/>
    </row>
    <row r="100" spans="4:13" ht="20.100000000000001" customHeight="1" x14ac:dyDescent="0.25">
      <c r="D100" s="196" t="str" cm="1">
        <f t="array" ref="D100">Common_InputFunctions.Utility_DisplayArrayInTable(Fuel_SourceData.Fuel_Scope1EmissionFactorsStationaryGaseous_Data(), Table_Fuel_EFs_StationaryGaseous120[[#Headers],[Fuel combusted]],0)</f>
        <v>A biogas that is captured for combustion, other than those mentioned in the items above</v>
      </c>
      <c r="E100" s="196" cm="1">
        <f t="array" ref="E100">Common_InputFunctions.Utility_DisplayArrayInTable(Fuel_SourceData.Fuel_Scope1EmissionFactorsStationaryGaseous_Data(), Table_Fuel_EFs_StationaryGaseous120[[#Headers],[Fuel combusted]],0)</f>
        <v>3.6999999999999998E-2</v>
      </c>
      <c r="F100" s="196" t="str" cm="1">
        <f t="array" ref="F100">Common_InputFunctions.Utility_DisplayArrayInTable(Fuel_SourceData.Fuel_Scope1EmissionFactorsStationaryGaseous_Data(), Table_Fuel_EFs_StationaryGaseous120[[#Headers],[Fuel combusted]],0)</f>
        <v>m3</v>
      </c>
      <c r="G100" s="196" cm="1">
        <f t="array" ref="G100">Common_InputFunctions.Utility_DisplayArrayInTable(Fuel_SourceData.Fuel_Scope1EmissionFactorsStationaryGaseous_Data(), Table_Fuel_EFs_StationaryGaseous120[[#Headers],[Fuel combusted]],0)</f>
        <v>0</v>
      </c>
      <c r="H100" s="196" cm="1">
        <f t="array" ref="H100">Common_InputFunctions.Utility_DisplayArrayInTable(Fuel_SourceData.Fuel_Scope1EmissionFactorsStationaryGaseous_Data(), Table_Fuel_EFs_StationaryGaseous120[[#Headers],[Fuel combusted]],0)</f>
        <v>6.4</v>
      </c>
      <c r="I100" s="196" cm="1">
        <f t="array" ref="I100">Common_InputFunctions.Utility_DisplayArrayInTable(Fuel_SourceData.Fuel_Scope1EmissionFactorsStationaryGaseous_Data(), Table_Fuel_EFs_StationaryGaseous120[[#Headers],[Fuel combusted]],0)</f>
        <v>0.03</v>
      </c>
      <c r="J100" s="196" cm="1">
        <f t="array" ref="J100">Common_InputFunctions.Utility_DisplayArrayInTable(Fuel_SourceData.Fuel_Scope1EmissionFactorsStationaryGaseous_Data(), Table_Fuel_EFs_StationaryGaseous120[[#Headers],[Fuel combusted]],0)</f>
        <v>6.43</v>
      </c>
      <c r="K100" s="189"/>
      <c r="L100" s="189"/>
    </row>
    <row r="101" spans="4:13" ht="20.100000000000001" customHeight="1" x14ac:dyDescent="0.25">
      <c r="D101" s="196" t="str" cm="1">
        <f t="array" ref="D101">Common_InputFunctions.Utility_DisplayArrayInTable(Fuel_SourceData.Fuel_Scope1EmissionFactorsStationaryGaseous_Data(), Table_Fuel_EFs_StationaryGaseous120[[#Headers],[Fuel combusted]],0)</f>
        <v>Biomethane</v>
      </c>
      <c r="E101" s="196" cm="1">
        <f t="array" ref="E101">Common_InputFunctions.Utility_DisplayArrayInTable(Fuel_SourceData.Fuel_Scope1EmissionFactorsStationaryGaseous_Data(), Table_Fuel_EFs_StationaryGaseous120[[#Headers],[Fuel combusted]],0)</f>
        <v>3.9300000000000002E-2</v>
      </c>
      <c r="F101" s="196" t="str" cm="1">
        <f t="array" ref="F101">Common_InputFunctions.Utility_DisplayArrayInTable(Fuel_SourceData.Fuel_Scope1EmissionFactorsStationaryGaseous_Data(), Table_Fuel_EFs_StationaryGaseous120[[#Headers],[Fuel combusted]],0)</f>
        <v>m3</v>
      </c>
      <c r="G101" s="196" cm="1">
        <f t="array" ref="G101">Common_InputFunctions.Utility_DisplayArrayInTable(Fuel_SourceData.Fuel_Scope1EmissionFactorsStationaryGaseous_Data(), Table_Fuel_EFs_StationaryGaseous120[[#Headers],[Fuel combusted]],0)</f>
        <v>0</v>
      </c>
      <c r="H101" s="196" cm="1">
        <f t="array" ref="H101">Common_InputFunctions.Utility_DisplayArrayInTable(Fuel_SourceData.Fuel_Scope1EmissionFactorsStationaryGaseous_Data(), Table_Fuel_EFs_StationaryGaseous120[[#Headers],[Fuel combusted]],0)</f>
        <v>0.1</v>
      </c>
      <c r="I101" s="196" cm="1">
        <f t="array" ref="I101">Common_InputFunctions.Utility_DisplayArrayInTable(Fuel_SourceData.Fuel_Scope1EmissionFactorsStationaryGaseous_Data(), Table_Fuel_EFs_StationaryGaseous120[[#Headers],[Fuel combusted]],0)</f>
        <v>0.03</v>
      </c>
      <c r="J101" s="196" cm="1">
        <f t="array" ref="J101">Common_InputFunctions.Utility_DisplayArrayInTable(Fuel_SourceData.Fuel_Scope1EmissionFactorsStationaryGaseous_Data(), Table_Fuel_EFs_StationaryGaseous120[[#Headers],[Fuel combusted]],0)</f>
        <v>0.13</v>
      </c>
      <c r="K101" s="189"/>
      <c r="L101" s="189"/>
    </row>
    <row r="102" spans="4:13" ht="20.100000000000001" customHeight="1" x14ac:dyDescent="0.25">
      <c r="D102" s="196" t="str" cm="1">
        <f t="array" ref="D102">Common_InputFunctions.Utility_DisplayArrayInTable(Fuel_SourceData.Fuel_Scope1EmissionFactorsStationaryGaseous_Data(), Table_Fuel_EFs_StationaryGaseous120[[#Headers],[Fuel combusted]],0)</f>
        <v>Hydrogen</v>
      </c>
      <c r="E102" s="196" cm="1">
        <f t="array" ref="E102">Common_InputFunctions.Utility_DisplayArrayInTable(Fuel_SourceData.Fuel_Scope1EmissionFactorsStationaryGaseous_Data(), Table_Fuel_EFs_StationaryGaseous120[[#Headers],[Fuel combusted]],0)</f>
        <v>1.2200000000000001E-2</v>
      </c>
      <c r="F102" s="196" t="str" cm="1">
        <f t="array" ref="F102">Common_InputFunctions.Utility_DisplayArrayInTable(Fuel_SourceData.Fuel_Scope1EmissionFactorsStationaryGaseous_Data(), Table_Fuel_EFs_StationaryGaseous120[[#Headers],[Fuel combusted]],0)</f>
        <v>m3</v>
      </c>
      <c r="G102" s="196" cm="1">
        <f t="array" ref="G102">Common_InputFunctions.Utility_DisplayArrayInTable(Fuel_SourceData.Fuel_Scope1EmissionFactorsStationaryGaseous_Data(), Table_Fuel_EFs_StationaryGaseous120[[#Headers],[Fuel combusted]],0)</f>
        <v>0</v>
      </c>
      <c r="H102" s="196" cm="1">
        <f t="array" ref="H102">Common_InputFunctions.Utility_DisplayArrayInTable(Fuel_SourceData.Fuel_Scope1EmissionFactorsStationaryGaseous_Data(), Table_Fuel_EFs_StationaryGaseous120[[#Headers],[Fuel combusted]],0)</f>
        <v>0</v>
      </c>
      <c r="I102" s="196" cm="1">
        <f t="array" ref="I102">Common_InputFunctions.Utility_DisplayArrayInTable(Fuel_SourceData.Fuel_Scope1EmissionFactorsStationaryGaseous_Data(), Table_Fuel_EFs_StationaryGaseous120[[#Headers],[Fuel combusted]],0)</f>
        <v>0.5</v>
      </c>
      <c r="J102" s="196" cm="1">
        <f t="array" ref="J102">Common_InputFunctions.Utility_DisplayArrayInTable(Fuel_SourceData.Fuel_Scope1EmissionFactorsStationaryGaseous_Data(), Table_Fuel_EFs_StationaryGaseous120[[#Headers],[Fuel combusted]],0)</f>
        <v>0.5</v>
      </c>
      <c r="K102" s="189"/>
      <c r="L102" s="189"/>
    </row>
    <row r="103" spans="4:13" ht="20.100000000000001" customHeight="1" x14ac:dyDescent="0.25">
      <c r="D103" s="196" t="str" cm="1">
        <f t="array" ref="D103">Common_InputFunctions.Utility_DisplayArrayInTable(Fuel_SourceData.Fuel_Scope1EmissionFactorsStationaryGaseous_Data(), Table_Fuel_EFs_StationaryGaseous120[[#Headers],[Fuel combusted]],0)</f>
        <v>Natural gas distributed in a pipeline - Gigajoules</v>
      </c>
      <c r="E103" s="196" cm="1">
        <f t="array" ref="E103">Common_InputFunctions.Utility_DisplayArrayInTable(Fuel_SourceData.Fuel_Scope1EmissionFactorsStationaryGaseous_Data(), Table_Fuel_EFs_StationaryGaseous120[[#Headers],[Fuel combusted]],0)</f>
        <v>1</v>
      </c>
      <c r="F103" s="196" t="str" cm="1">
        <f t="array" ref="F103">Common_InputFunctions.Utility_DisplayArrayInTable(Fuel_SourceData.Fuel_Scope1EmissionFactorsStationaryGaseous_Data(), Table_Fuel_EFs_StationaryGaseous120[[#Headers],[Fuel combusted]],0)</f>
        <v>GJ</v>
      </c>
      <c r="G103" s="196" cm="1">
        <f t="array" ref="G103">Common_InputFunctions.Utility_DisplayArrayInTable(Fuel_SourceData.Fuel_Scope1EmissionFactorsStationaryGaseous_Data(), Table_Fuel_EFs_StationaryGaseous120[[#Headers],[Fuel combusted]],0)</f>
        <v>51.4</v>
      </c>
      <c r="H103" s="196" cm="1">
        <f t="array" ref="H103">Common_InputFunctions.Utility_DisplayArrayInTable(Fuel_SourceData.Fuel_Scope1EmissionFactorsStationaryGaseous_Data(), Table_Fuel_EFs_StationaryGaseous120[[#Headers],[Fuel combusted]],0)</f>
        <v>0.1</v>
      </c>
      <c r="I103" s="196" cm="1">
        <f t="array" ref="I103">Common_InputFunctions.Utility_DisplayArrayInTable(Fuel_SourceData.Fuel_Scope1EmissionFactorsStationaryGaseous_Data(), Table_Fuel_EFs_StationaryGaseous120[[#Headers],[Fuel combusted]],0)</f>
        <v>0.03</v>
      </c>
      <c r="J103" s="196" cm="1">
        <f t="array" ref="J103">Common_InputFunctions.Utility_DisplayArrayInTable(Fuel_SourceData.Fuel_Scope1EmissionFactorsStationaryGaseous_Data(), Table_Fuel_EFs_StationaryGaseous120[[#Headers],[Fuel combusted]],0)</f>
        <v>51.53</v>
      </c>
      <c r="K103" s="189"/>
      <c r="L103" s="189"/>
    </row>
    <row r="104" spans="4:13" ht="20.100000000000001" customHeight="1" x14ac:dyDescent="0.25">
      <c r="D104" s="196" t="str" cm="1">
        <f t="array" ref="D104">Common_InputFunctions.Utility_DisplayArrayInTable(Fuel_SourceData.Fuel_Scope1EmissionFactorsStationaryGaseous_Data(), Table_Fuel_EFs_StationaryGaseous120[[#Headers],[Fuel combusted]],0)</f>
        <v>Town gas - Gigajoules</v>
      </c>
      <c r="E104" s="196" cm="1">
        <f t="array" ref="E104">Common_InputFunctions.Utility_DisplayArrayInTable(Fuel_SourceData.Fuel_Scope1EmissionFactorsStationaryGaseous_Data(), Table_Fuel_EFs_StationaryGaseous120[[#Headers],[Fuel combusted]],0)</f>
        <v>1</v>
      </c>
      <c r="F104" s="196" t="str" cm="1">
        <f t="array" ref="F104">Common_InputFunctions.Utility_DisplayArrayInTable(Fuel_SourceData.Fuel_Scope1EmissionFactorsStationaryGaseous_Data(), Table_Fuel_EFs_StationaryGaseous120[[#Headers],[Fuel combusted]],0)</f>
        <v>GJ</v>
      </c>
      <c r="G104" s="196" cm="1">
        <f t="array" ref="G104">Common_InputFunctions.Utility_DisplayArrayInTable(Fuel_SourceData.Fuel_Scope1EmissionFactorsStationaryGaseous_Data(), Table_Fuel_EFs_StationaryGaseous120[[#Headers],[Fuel combusted]],0)</f>
        <v>60.2</v>
      </c>
      <c r="H104" s="196" cm="1">
        <f t="array" ref="H104">Common_InputFunctions.Utility_DisplayArrayInTable(Fuel_SourceData.Fuel_Scope1EmissionFactorsStationaryGaseous_Data(), Table_Fuel_EFs_StationaryGaseous120[[#Headers],[Fuel combusted]],0)</f>
        <v>0.04</v>
      </c>
      <c r="I104" s="196" cm="1">
        <f t="array" ref="I104">Common_InputFunctions.Utility_DisplayArrayInTable(Fuel_SourceData.Fuel_Scope1EmissionFactorsStationaryGaseous_Data(), Table_Fuel_EFs_StationaryGaseous120[[#Headers],[Fuel combusted]],0)</f>
        <v>0.03</v>
      </c>
      <c r="J104" s="196" cm="1">
        <f t="array" ref="J104">Common_InputFunctions.Utility_DisplayArrayInTable(Fuel_SourceData.Fuel_Scope1EmissionFactorsStationaryGaseous_Data(), Table_Fuel_EFs_StationaryGaseous120[[#Headers],[Fuel combusted]],0)</f>
        <v>60.27</v>
      </c>
      <c r="K104" s="189"/>
      <c r="L104" s="189"/>
    </row>
    <row r="105" spans="4:13" ht="20.100000000000001" customHeight="1" x14ac:dyDescent="0.25">
      <c r="D105" s="189"/>
      <c r="E105" s="189"/>
      <c r="F105" s="189"/>
      <c r="G105" s="189"/>
      <c r="H105" s="189"/>
      <c r="I105" s="189"/>
      <c r="J105" s="189"/>
      <c r="K105" s="189"/>
      <c r="L105" s="189"/>
      <c r="M105" s="189"/>
    </row>
    <row r="106" spans="4:13" ht="20.100000000000001" customHeight="1" x14ac:dyDescent="0.25">
      <c r="D106" s="189"/>
      <c r="E106" s="189"/>
      <c r="F106" s="189"/>
      <c r="G106" s="189"/>
      <c r="H106" s="189"/>
      <c r="I106" s="189"/>
      <c r="J106" s="189"/>
      <c r="K106" s="189"/>
      <c r="L106" s="189"/>
      <c r="M106" s="189"/>
    </row>
    <row r="107" spans="4:13" ht="20.100000000000001" customHeight="1" x14ac:dyDescent="0.25">
      <c r="D107" s="9" t="str" cm="1">
        <f t="array" ref="D107">Fuel_SourceData.Fuel_Scope3EmissionFactorsStationaryGaseous_Title()</f>
        <v>Fuel scope 3 emission factors - Stationary gaseous fuels</v>
      </c>
      <c r="E107" s="189"/>
      <c r="F107" s="189"/>
      <c r="G107" s="189"/>
      <c r="H107" s="189"/>
      <c r="I107" s="189"/>
      <c r="J107" s="189"/>
      <c r="K107" s="189"/>
      <c r="L107" s="189"/>
    </row>
    <row r="108" spans="4:13" ht="20.100000000000001" customHeight="1" x14ac:dyDescent="0.25">
      <c r="D108" s="8" t="str" cm="1">
        <f t="array" ref="D108">Fuel_SourceData.Fuel_Scope3EmissionFactorsStationaryGaseous_Description()</f>
        <v>Indirect (Scope 3) emission factors for the consumption of natural gas.</v>
      </c>
      <c r="E108" s="189"/>
      <c r="F108" s="189"/>
      <c r="G108" s="189"/>
      <c r="H108" s="189"/>
      <c r="I108" s="189"/>
      <c r="J108" s="189"/>
      <c r="K108" s="189"/>
      <c r="L108" s="189"/>
    </row>
    <row r="109" spans="4:13" ht="20.100000000000001" customHeight="1" x14ac:dyDescent="0.25">
      <c r="D109" s="11" t="str" cm="1">
        <f t="array" ref="D109">Fuel_SourceData.Fuel_Scope3EmissionFactorsStationaryGaseous_Source()</f>
        <v>Australian National Greenhouse Accounts Factors 2025 - Table 6</v>
      </c>
      <c r="E109" s="189"/>
      <c r="F109" s="189"/>
      <c r="G109" s="189"/>
      <c r="H109" s="189"/>
      <c r="I109" s="189"/>
      <c r="J109" s="189"/>
      <c r="K109" s="189"/>
      <c r="L109" s="189"/>
    </row>
    <row r="110" spans="4:13" ht="20.100000000000001" customHeight="1" x14ac:dyDescent="0.25">
      <c r="D110" s="12" t="str" cm="1">
        <f t="array" ref="D110">"⚠️"&amp;Fuel_SourceData.Fuel_Scope3EmissionFactorsStationaryGaseous_Variation()</f>
        <v>⚠️VARIATION OF SOURCE DATA: NSW and ACT split into separate rows. 'C' Values for Tasmania and Northern Territory replaced with those for Victoria and Western Australia respectively. (See appendices)</v>
      </c>
      <c r="E110" s="189"/>
      <c r="F110" s="189"/>
      <c r="G110" s="189"/>
      <c r="H110" s="189"/>
      <c r="I110" s="189"/>
      <c r="J110" s="189"/>
      <c r="K110" s="189"/>
      <c r="L110" s="189"/>
    </row>
    <row r="111" spans="4:13" ht="20.100000000000001" customHeight="1" x14ac:dyDescent="0.25">
      <c r="D111" s="189"/>
      <c r="E111" s="189"/>
      <c r="F111" s="189"/>
      <c r="G111" s="189"/>
      <c r="H111" s="189"/>
      <c r="I111" s="189"/>
      <c r="J111" s="189"/>
      <c r="K111" s="189"/>
      <c r="L111" s="189"/>
    </row>
    <row r="112" spans="4:13" ht="20.100000000000001" customHeight="1" x14ac:dyDescent="0.25">
      <c r="D112" s="194" t="s">
        <v>86</v>
      </c>
      <c r="E112" s="195" t="s">
        <v>749</v>
      </c>
      <c r="F112" s="195" t="s">
        <v>750</v>
      </c>
      <c r="G112" s="189"/>
      <c r="H112" s="24" t="s">
        <v>87</v>
      </c>
      <c r="I112" s="189"/>
      <c r="J112" s="189"/>
      <c r="K112" s="189"/>
      <c r="L112" s="189"/>
    </row>
    <row r="113" spans="4:13" ht="20.100000000000001" customHeight="1" x14ac:dyDescent="0.25">
      <c r="D113" s="196" t="str" cm="1">
        <f t="array" ref="D113">Common_InputFunctions.Utility_DisplayArrayInTable(Fuel_SourceData.Fuel_Scope3EmissionFactorsStationaryGaseous_Data(), Table_Fuel_EFs_StationaryGaseous34121[[#Headers],[State or territory]],0)</f>
        <v>New South Wales</v>
      </c>
      <c r="E113" s="196" cm="1">
        <f t="array" ref="E113">Common_InputFunctions.Utility_DisplayArrayInTable(Fuel_SourceData.Fuel_Scope3EmissionFactorsStationaryGaseous_Data(), Table_Fuel_EFs_StationaryGaseous34121[[#Headers],[State or territory]],0)</f>
        <v>13.1</v>
      </c>
      <c r="F113" s="196" cm="1">
        <f t="array" ref="F113">Common_InputFunctions.Utility_DisplayArrayInTable(Fuel_SourceData.Fuel_Scope3EmissionFactorsStationaryGaseous_Data(), Table_Fuel_EFs_StationaryGaseous34121[[#Headers],[State or territory]],0)</f>
        <v>14</v>
      </c>
      <c r="G113" s="25" t="str" cm="1">
        <f t="array" ref="G113:H124">Fuel_SourceData.Fuel_Scope3EmissionFactorsStationaryGaseous_Appendices()</f>
        <v>-</v>
      </c>
      <c r="H113" s="8" t="str">
        <v>As Scope 3 factors are calculated at the point where natural gas is delivered to end users, it is necessary to calculate consumption at each of the load centres.</v>
      </c>
      <c r="I113" s="189"/>
      <c r="J113" s="189"/>
      <c r="K113" s="189"/>
      <c r="L113" s="189"/>
    </row>
    <row r="114" spans="4:13" ht="20.100000000000001" customHeight="1" x14ac:dyDescent="0.25">
      <c r="D114" s="196" t="str" cm="1">
        <f t="array" ref="D114">Common_InputFunctions.Utility_DisplayArrayInTable(Fuel_SourceData.Fuel_Scope3EmissionFactorsStationaryGaseous_Data(), Table_Fuel_EFs_StationaryGaseous34121[[#Headers],[State or territory]],0)</f>
        <v>ACT</v>
      </c>
      <c r="E114" s="196" cm="1">
        <f t="array" ref="E114">Common_InputFunctions.Utility_DisplayArrayInTable(Fuel_SourceData.Fuel_Scope3EmissionFactorsStationaryGaseous_Data(), Table_Fuel_EFs_StationaryGaseous34121[[#Headers],[State or territory]],0)</f>
        <v>13.1</v>
      </c>
      <c r="F114" s="196" cm="1">
        <f t="array" ref="F114">Common_InputFunctions.Utility_DisplayArrayInTable(Fuel_SourceData.Fuel_Scope3EmissionFactorsStationaryGaseous_Data(), Table_Fuel_EFs_StationaryGaseous34121[[#Headers],[State or territory]],0)</f>
        <v>14</v>
      </c>
      <c r="G114" s="25" t="str">
        <v/>
      </c>
      <c r="H114" s="8" t="str">
        <v>Gas reaches end users either from the metro distribution networks or direct from the high - pressure distribution pipelines.</v>
      </c>
      <c r="I114" s="189"/>
      <c r="J114" s="189"/>
      <c r="K114" s="189"/>
      <c r="L114" s="189"/>
    </row>
    <row r="115" spans="4:13" ht="20.100000000000001" customHeight="1" x14ac:dyDescent="0.25">
      <c r="D115" s="196" t="str" cm="1">
        <f t="array" ref="D115">Common_InputFunctions.Utility_DisplayArrayInTable(Fuel_SourceData.Fuel_Scope3EmissionFactorsStationaryGaseous_Data(), Table_Fuel_EFs_StationaryGaseous34121[[#Headers],[State or territory]],0)</f>
        <v>Victoria</v>
      </c>
      <c r="E115" s="196" cm="1">
        <f t="array" ref="E115">Common_InputFunctions.Utility_DisplayArrayInTable(Fuel_SourceData.Fuel_Scope3EmissionFactorsStationaryGaseous_Data(), Table_Fuel_EFs_StationaryGaseous34121[[#Headers],[State or territory]],0)</f>
        <v>4</v>
      </c>
      <c r="F115" s="196" cm="1">
        <f t="array" ref="F115">Common_InputFunctions.Utility_DisplayArrayInTable(Fuel_SourceData.Fuel_Scope3EmissionFactorsStationaryGaseous_Data(), Table_Fuel_EFs_StationaryGaseous34121[[#Headers],[State or territory]],0)</f>
        <v>4</v>
      </c>
      <c r="G115" s="25" t="str">
        <v/>
      </c>
      <c r="H115" s="8" t="str">
        <v>Households and commercial users tend to be served by the former, and electricity generators and large industrial plants from the latter.</v>
      </c>
      <c r="I115" s="189"/>
      <c r="J115" s="189"/>
      <c r="K115" s="189"/>
      <c r="L115" s="189"/>
    </row>
    <row r="116" spans="4:13" ht="20.100000000000001" customHeight="1" x14ac:dyDescent="0.25">
      <c r="D116" s="196" t="str" cm="1">
        <f t="array" ref="D116">Common_InputFunctions.Utility_DisplayArrayInTable(Fuel_SourceData.Fuel_Scope3EmissionFactorsStationaryGaseous_Data(), Table_Fuel_EFs_StationaryGaseous34121[[#Headers],[State or territory]],0)</f>
        <v>Queensland</v>
      </c>
      <c r="E116" s="196" cm="1">
        <f t="array" ref="E116">Common_InputFunctions.Utility_DisplayArrayInTable(Fuel_SourceData.Fuel_Scope3EmissionFactorsStationaryGaseous_Data(), Table_Fuel_EFs_StationaryGaseous34121[[#Headers],[State or territory]],0)</f>
        <v>8.8000000000000007</v>
      </c>
      <c r="F116" s="196" cm="1">
        <f t="array" ref="F116">Common_InputFunctions.Utility_DisplayArrayInTable(Fuel_SourceData.Fuel_Scope3EmissionFactorsStationaryGaseous_Data(), Table_Fuel_EFs_StationaryGaseous34121[[#Headers],[State or territory]],0)</f>
        <v>7.9</v>
      </c>
      <c r="G116" s="25" t="str">
        <v>-</v>
      </c>
      <c r="H116" s="8" t="str">
        <v>Metro is defined as located on or east of the dividing range in NSW, including Canberra and Queanbeyan, Melbourne, Brisbane, Adelaide or Perth.</v>
      </c>
      <c r="I116" s="189"/>
      <c r="J116" s="189"/>
      <c r="K116" s="189"/>
      <c r="L116" s="189"/>
    </row>
    <row r="117" spans="4:13" ht="20.100000000000001" customHeight="1" x14ac:dyDescent="0.25">
      <c r="D117" s="196" t="str" cm="1">
        <f t="array" ref="D117">Common_InputFunctions.Utility_DisplayArrayInTable(Fuel_SourceData.Fuel_Scope3EmissionFactorsStationaryGaseous_Data(), Table_Fuel_EFs_StationaryGaseous34121[[#Headers],[State or territory]],0)</f>
        <v>South Australia</v>
      </c>
      <c r="E117" s="196" cm="1">
        <f t="array" ref="E117">Common_InputFunctions.Utility_DisplayArrayInTable(Fuel_SourceData.Fuel_Scope3EmissionFactorsStationaryGaseous_Data(), Table_Fuel_EFs_StationaryGaseous34121[[#Headers],[State or territory]],0)</f>
        <v>10.7</v>
      </c>
      <c r="F117" s="196" cm="1">
        <f t="array" ref="F117">Common_InputFunctions.Utility_DisplayArrayInTable(Fuel_SourceData.Fuel_Scope3EmissionFactorsStationaryGaseous_Data(), Table_Fuel_EFs_StationaryGaseous34121[[#Headers],[State or territory]],0)</f>
        <v>10.6</v>
      </c>
      <c r="G117" s="25" t="str">
        <v/>
      </c>
      <c r="H117" s="8" t="str">
        <v>Otherwise, the non - metro factor should be used.</v>
      </c>
      <c r="I117" s="189"/>
      <c r="J117" s="189"/>
      <c r="K117" s="189"/>
      <c r="L117" s="189"/>
    </row>
    <row r="118" spans="4:13" ht="20.100000000000001" customHeight="1" x14ac:dyDescent="0.25">
      <c r="D118" s="196" t="str" cm="1">
        <f t="array" ref="D118">Common_InputFunctions.Utility_DisplayArrayInTable(Fuel_SourceData.Fuel_Scope3EmissionFactorsStationaryGaseous_Data(), Table_Fuel_EFs_StationaryGaseous34121[[#Headers],[State or territory]],0)</f>
        <v>Western Australia</v>
      </c>
      <c r="E118" s="196" cm="1">
        <f t="array" ref="E118">Common_InputFunctions.Utility_DisplayArrayInTable(Fuel_SourceData.Fuel_Scope3EmissionFactorsStationaryGaseous_Data(), Table_Fuel_EFs_StationaryGaseous34121[[#Headers],[State or territory]],0)</f>
        <v>4.0999999999999996</v>
      </c>
      <c r="F118" s="196" cm="1">
        <f t="array" ref="F118">Common_InputFunctions.Utility_DisplayArrayInTable(Fuel_SourceData.Fuel_Scope3EmissionFactorsStationaryGaseous_Data(), Table_Fuel_EFs_StationaryGaseous34121[[#Headers],[State or territory]],0)</f>
        <v>4</v>
      </c>
      <c r="G118" s="25" t="str">
        <v>-</v>
      </c>
      <c r="H118" s="8" t="str">
        <v>Factors are calculated for all natural gas distributed in a pipeline which may include coal seam methane.</v>
      </c>
      <c r="I118" s="189"/>
      <c r="J118" s="189"/>
      <c r="K118" s="189"/>
      <c r="L118" s="189"/>
    </row>
    <row r="119" spans="4:13" ht="20.100000000000001" customHeight="1" x14ac:dyDescent="0.25">
      <c r="D119" s="196" t="str" cm="1">
        <f t="array" ref="D119">Common_InputFunctions.Utility_DisplayArrayInTable(Fuel_SourceData.Fuel_Scope3EmissionFactorsStationaryGaseous_Data(), Table_Fuel_EFs_StationaryGaseous34121[[#Headers],[State or territory]],0)</f>
        <v>Tasmania</v>
      </c>
      <c r="E119" s="196" cm="1">
        <f t="array" ref="E119">Common_InputFunctions.Utility_DisplayArrayInTable(Fuel_SourceData.Fuel_Scope3EmissionFactorsStationaryGaseous_Data(), Table_Fuel_EFs_StationaryGaseous34121[[#Headers],[State or territory]],0)</f>
        <v>4</v>
      </c>
      <c r="F119" s="196" cm="1">
        <f t="array" ref="F119">Common_InputFunctions.Utility_DisplayArrayInTable(Fuel_SourceData.Fuel_Scope3EmissionFactorsStationaryGaseous_Data(), Table_Fuel_EFs_StationaryGaseous34121[[#Headers],[State or territory]],0)</f>
        <v>4</v>
      </c>
      <c r="G119" s="25" t="str">
        <v>-</v>
      </c>
      <c r="H119" s="8" t="str">
        <v>Table 6 is not applicable to ethane. See Table 7 Indirect (Scope 3) emissions from the consumption of ethane.</v>
      </c>
      <c r="I119" s="189"/>
      <c r="J119" s="189"/>
      <c r="K119" s="189"/>
      <c r="L119" s="189"/>
    </row>
    <row r="120" spans="4:13" ht="20.100000000000001" customHeight="1" x14ac:dyDescent="0.25">
      <c r="D120" s="196" t="str" cm="1">
        <f t="array" ref="D120">Common_InputFunctions.Utility_DisplayArrayInTable(Fuel_SourceData.Fuel_Scope3EmissionFactorsStationaryGaseous_Data(), Table_Fuel_EFs_StationaryGaseous34121[[#Headers],[State or territory]],0)</f>
        <v>Northern Territory</v>
      </c>
      <c r="E120" s="196" cm="1">
        <f t="array" ref="E120">Common_InputFunctions.Utility_DisplayArrayInTable(Fuel_SourceData.Fuel_Scope3EmissionFactorsStationaryGaseous_Data(), Table_Fuel_EFs_StationaryGaseous34121[[#Headers],[State or territory]],0)</f>
        <v>4.0999999999999996</v>
      </c>
      <c r="F120" s="196" cm="1">
        <f t="array" ref="F120">Common_InputFunctions.Utility_DisplayArrayInTable(Fuel_SourceData.Fuel_Scope3EmissionFactorsStationaryGaseous_Data(), Table_Fuel_EFs_StationaryGaseous34121[[#Headers],[State or territory]],0)</f>
        <v>4</v>
      </c>
      <c r="G120" s="25" t="str">
        <v>-</v>
      </c>
      <c r="H120" s="8" t="str">
        <v>C = Confidential. Scope 3 emission factors for Tasmania and the Northern Territory are not available due to confidentiality constraints that arise</v>
      </c>
      <c r="I120" s="189"/>
      <c r="J120" s="189"/>
      <c r="K120" s="189"/>
      <c r="L120" s="189"/>
    </row>
    <row r="121" spans="4:13" ht="20.100000000000001" customHeight="1" x14ac:dyDescent="0.25">
      <c r="D121" s="148"/>
      <c r="E121" s="148"/>
      <c r="F121" s="148"/>
      <c r="G121" s="25" t="str">
        <v/>
      </c>
      <c r="H121" s="8" t="str">
        <v>from the use of a limited number of NGER data inputs. It is suggested that for Tasmania the use of the Victorian emission factors is appropriate,</v>
      </c>
      <c r="I121" s="189"/>
      <c r="J121" s="189"/>
      <c r="K121" s="189"/>
      <c r="L121" s="189"/>
    </row>
    <row r="122" spans="4:13" ht="20.100000000000001" customHeight="1" x14ac:dyDescent="0.25">
      <c r="D122" s="189"/>
      <c r="F122" s="190"/>
      <c r="G122" s="25" t="str">
        <v/>
      </c>
      <c r="H122" s="8" t="str">
        <v>while for Northern Territory the use of the Western Australian emission factors is appropriate.</v>
      </c>
      <c r="I122" s="189"/>
      <c r="J122" s="189"/>
      <c r="K122" s="189"/>
      <c r="L122" s="189"/>
    </row>
    <row r="123" spans="4:13" ht="20.100000000000001" customHeight="1" x14ac:dyDescent="0.25">
      <c r="D123" s="26"/>
      <c r="F123" s="190"/>
      <c r="G123" s="25" t="str">
        <v>-</v>
      </c>
      <c r="H123" s="8" t="str">
        <v>Scope 3 emission factors do not include fugitive emission leakage from low pressure natural gas distribution pipeline networks while those from high pressure</v>
      </c>
      <c r="I123" s="189"/>
      <c r="J123" s="189"/>
      <c r="K123" s="189"/>
      <c r="L123" s="189"/>
    </row>
    <row r="124" spans="4:13" ht="20.100000000000001" customHeight="1" x14ac:dyDescent="0.25">
      <c r="D124" s="26"/>
      <c r="F124" s="190"/>
      <c r="G124" s="189" t="str">
        <v/>
      </c>
      <c r="H124" s="8" t="str">
        <v>gas networks are considered negligible.</v>
      </c>
      <c r="I124" s="189"/>
      <c r="J124" s="189"/>
      <c r="K124" s="189"/>
      <c r="L124" s="189"/>
    </row>
    <row r="125" spans="4:13" ht="20.100000000000001" customHeight="1" x14ac:dyDescent="0.25">
      <c r="D125" s="26"/>
      <c r="F125" s="190"/>
      <c r="G125" s="189"/>
      <c r="H125" s="189"/>
      <c r="I125" s="189"/>
      <c r="J125" s="189"/>
      <c r="K125" s="189"/>
      <c r="L125" s="189"/>
    </row>
    <row r="126" spans="4:13" ht="20.100000000000001" customHeight="1" x14ac:dyDescent="0.25">
      <c r="D126" s="189"/>
      <c r="E126" s="189"/>
      <c r="F126" s="189"/>
      <c r="G126" s="189"/>
      <c r="H126" s="189"/>
      <c r="I126" s="189"/>
      <c r="J126" s="189"/>
      <c r="K126" s="189"/>
      <c r="L126" s="189"/>
      <c r="M126" s="189"/>
    </row>
    <row r="127" spans="4:13" ht="20.100000000000001" customHeight="1" x14ac:dyDescent="0.25">
      <c r="D127" s="189"/>
      <c r="E127" s="189"/>
      <c r="F127" s="189"/>
      <c r="G127" s="189"/>
      <c r="H127" s="189"/>
      <c r="I127" s="189"/>
      <c r="J127" s="189"/>
      <c r="K127" s="189"/>
      <c r="L127" s="189"/>
      <c r="M127" s="189"/>
    </row>
    <row r="128" spans="4:13" ht="20.100000000000001" customHeight="1" x14ac:dyDescent="0.25">
      <c r="D128" s="189"/>
      <c r="E128" s="189"/>
      <c r="F128" s="189"/>
      <c r="G128" s="189"/>
      <c r="H128" s="189"/>
      <c r="I128" s="189"/>
      <c r="J128" s="189"/>
      <c r="K128" s="189"/>
      <c r="L128" s="189"/>
      <c r="M128" s="189"/>
    </row>
    <row r="129" spans="4:33" ht="20.100000000000001" customHeight="1" x14ac:dyDescent="0.25">
      <c r="D129" s="191"/>
      <c r="E129" s="189"/>
      <c r="F129" s="189"/>
      <c r="G129" s="189"/>
      <c r="H129" s="189"/>
      <c r="I129" s="189"/>
      <c r="J129" s="189"/>
      <c r="K129" s="189"/>
      <c r="L129" s="189"/>
    </row>
    <row r="130" spans="4:33" ht="20.100000000000001" customHeight="1" x14ac:dyDescent="0.25">
      <c r="D130" s="192" t="s">
        <v>88</v>
      </c>
      <c r="E130" s="192" t="s">
        <v>89</v>
      </c>
      <c r="F130" s="192" t="s">
        <v>90</v>
      </c>
      <c r="G130" s="192" t="s">
        <v>91</v>
      </c>
      <c r="H130" s="192" t="s">
        <v>92</v>
      </c>
      <c r="I130" s="192" t="s">
        <v>93</v>
      </c>
      <c r="J130" s="192" t="s">
        <v>94</v>
      </c>
      <c r="K130" s="189"/>
      <c r="L130" s="189"/>
      <c r="M130" s="189"/>
      <c r="AG130" s="8"/>
    </row>
    <row r="131" spans="4:33" ht="20.100000000000001" customHeight="1" x14ac:dyDescent="0.25">
      <c r="D131" s="193" t="str">
        <f>$D$143</f>
        <v>Petrol</v>
      </c>
      <c r="E131" s="193" t="str">
        <f>$D$143</f>
        <v>Petrol</v>
      </c>
      <c r="F131" s="193" t="str">
        <f>$D$150</f>
        <v>Avgas</v>
      </c>
      <c r="G131" s="193" t="str">
        <f>$D$143</f>
        <v>Petrol</v>
      </c>
      <c r="H131" s="193" t="str">
        <f>$D$144</f>
        <v>Diesel</v>
      </c>
      <c r="I131" s="193" t="str">
        <f>$D$143</f>
        <v>Petrol</v>
      </c>
      <c r="J131" s="193" t="str">
        <f>$D$143</f>
        <v>Petrol</v>
      </c>
      <c r="K131" s="189"/>
      <c r="L131" s="189"/>
      <c r="M131" s="189"/>
      <c r="AG131" s="8"/>
    </row>
    <row r="132" spans="4:33" ht="20.100000000000001" customHeight="1" x14ac:dyDescent="0.25">
      <c r="D132" s="193" t="str">
        <f>$D$144</f>
        <v>Diesel</v>
      </c>
      <c r="E132" s="193" t="str">
        <f>$D$144</f>
        <v>Diesel</v>
      </c>
      <c r="F132" s="193" t="str">
        <f>$D$151</f>
        <v>Jet A1, Jet B</v>
      </c>
      <c r="G132" s="193" t="str">
        <f>$D$144</f>
        <v>Diesel</v>
      </c>
      <c r="H132" s="193"/>
      <c r="I132" s="193" t="str">
        <f>$D$144</f>
        <v>Diesel</v>
      </c>
      <c r="J132" s="193" t="str">
        <f>$D$144</f>
        <v>Diesel</v>
      </c>
      <c r="K132" s="189"/>
      <c r="L132" s="189"/>
      <c r="M132" s="189"/>
      <c r="AG132" s="8"/>
    </row>
    <row r="133" spans="4:33" ht="20.100000000000001" customHeight="1" x14ac:dyDescent="0.25">
      <c r="D133" s="193" t="str">
        <f>$D$145</f>
        <v>Liquefied petroleum gas (LPG)</v>
      </c>
      <c r="E133" s="193" t="str">
        <f>$D$145</f>
        <v>Liquefied petroleum gas (LPG)</v>
      </c>
      <c r="F133" s="193" t="str">
        <f>$D$152</f>
        <v>Renewable aviation kerosene</v>
      </c>
      <c r="G133" s="193" t="str">
        <f>$D$145</f>
        <v>Liquefied petroleum gas (LPG)</v>
      </c>
      <c r="H133" s="193"/>
      <c r="I133" s="193" t="s">
        <v>95</v>
      </c>
      <c r="J133" s="193" t="str">
        <f>$D$145</f>
        <v>Liquefied petroleum gas (LPG)</v>
      </c>
      <c r="K133" s="189"/>
      <c r="L133" s="189"/>
      <c r="M133" s="189"/>
      <c r="AG133" s="8"/>
    </row>
    <row r="134" spans="4:33" ht="20.100000000000001" customHeight="1" x14ac:dyDescent="0.25">
      <c r="D134" s="193" t="str">
        <f>$D$146</f>
        <v>Biodiesel</v>
      </c>
      <c r="E134" s="193" t="str">
        <f>$D$146</f>
        <v>Biodiesel</v>
      </c>
      <c r="F134" s="192"/>
      <c r="G134" s="193" t="str">
        <f>$D$160</f>
        <v>Fuel oil</v>
      </c>
      <c r="H134" s="193"/>
      <c r="I134" s="193"/>
      <c r="J134" s="193" t="str">
        <f>$D$146</f>
        <v>Biodiesel</v>
      </c>
      <c r="K134" s="189"/>
      <c r="L134" s="189"/>
      <c r="M134" s="189"/>
      <c r="AG134" s="8"/>
    </row>
    <row r="135" spans="4:33" ht="20.100000000000001" customHeight="1" x14ac:dyDescent="0.25">
      <c r="D135" s="193" t="str">
        <f>$D$147</f>
        <v>Ethanol</v>
      </c>
      <c r="E135" s="193" t="str">
        <f>$D$147</f>
        <v>Ethanol</v>
      </c>
      <c r="F135" s="192"/>
      <c r="G135" s="193" t="str">
        <f>$D$147</f>
        <v>Ethanol</v>
      </c>
      <c r="H135" s="193"/>
      <c r="I135" s="193"/>
      <c r="J135" s="193" t="str">
        <f>$D$147</f>
        <v>Ethanol</v>
      </c>
      <c r="K135" s="189"/>
      <c r="L135" s="189"/>
      <c r="M135" s="189"/>
      <c r="AG135" s="8"/>
    </row>
    <row r="136" spans="4:33" ht="20.100000000000001" customHeight="1" x14ac:dyDescent="0.25">
      <c r="D136" s="193" t="str">
        <f>$D$148</f>
        <v>Other biofuels</v>
      </c>
      <c r="E136" s="193" t="str">
        <f>$D$148</f>
        <v>Other biofuels</v>
      </c>
      <c r="F136" s="192"/>
      <c r="G136" s="193" t="str">
        <f>$D$146</f>
        <v>Biodiesel</v>
      </c>
      <c r="H136" s="193"/>
      <c r="I136" s="193"/>
      <c r="J136" s="193" t="str">
        <f>$D$148</f>
        <v>Other biofuels</v>
      </c>
      <c r="K136" s="189"/>
      <c r="L136" s="189"/>
      <c r="M136" s="189"/>
      <c r="AG136" s="8"/>
    </row>
    <row r="137" spans="4:33" ht="20.100000000000001" customHeight="1" x14ac:dyDescent="0.25">
      <c r="D137" s="193" t="str">
        <f>$D$149</f>
        <v>Renewable diesel</v>
      </c>
      <c r="E137" s="193" t="str">
        <f>$D$149</f>
        <v>Renewable diesel</v>
      </c>
      <c r="F137" s="192"/>
      <c r="G137" s="193" t="str">
        <f>$D$149</f>
        <v>Renewable diesel</v>
      </c>
      <c r="H137" s="193"/>
      <c r="I137" s="193"/>
      <c r="J137" s="193" t="str">
        <f>$D$149</f>
        <v>Renewable diesel</v>
      </c>
      <c r="K137" s="189"/>
      <c r="L137" s="189"/>
      <c r="M137" s="189"/>
      <c r="AG137" s="8"/>
    </row>
    <row r="138" spans="4:33" ht="20.100000000000001" customHeight="1" x14ac:dyDescent="0.25">
      <c r="D138" s="192"/>
      <c r="E138" s="192" t="str">
        <f>$D$161</f>
        <v>Natural gas (via pipeline) in GJ</v>
      </c>
      <c r="F138" s="192"/>
      <c r="G138" s="193" t="str">
        <f>$D$148</f>
        <v>Other biofuels</v>
      </c>
      <c r="H138" s="193"/>
      <c r="I138" s="193"/>
      <c r="J138" s="192" t="str">
        <f>$D$161</f>
        <v>Natural gas (via pipeline) in GJ</v>
      </c>
      <c r="K138" s="189"/>
      <c r="L138" s="189"/>
      <c r="M138" s="189"/>
      <c r="AG138" s="8"/>
    </row>
    <row r="139" spans="4:33" ht="20.100000000000001" customHeight="1" x14ac:dyDescent="0.25">
      <c r="D139" s="192"/>
      <c r="E139" s="192" t="str">
        <f>$D$162</f>
        <v>Town gas in GJ</v>
      </c>
      <c r="F139" s="192"/>
      <c r="G139" s="192"/>
      <c r="H139" s="192"/>
      <c r="I139" s="192"/>
      <c r="J139" s="192" t="str">
        <f>$D$162</f>
        <v>Town gas in GJ</v>
      </c>
      <c r="K139" s="189"/>
      <c r="L139" s="189"/>
      <c r="M139" s="189"/>
      <c r="AG139" s="8"/>
    </row>
    <row r="140" spans="4:33" ht="20.100000000000001" customHeight="1" x14ac:dyDescent="0.25">
      <c r="D140" s="189"/>
      <c r="E140" s="189"/>
      <c r="F140" s="189"/>
      <c r="G140" s="189"/>
      <c r="H140" s="189"/>
      <c r="I140" s="189"/>
      <c r="J140" s="189"/>
      <c r="K140" s="189"/>
      <c r="L140" s="189"/>
    </row>
    <row r="141" spans="4:33" ht="20.100000000000001" customHeight="1" x14ac:dyDescent="0.25">
      <c r="D141" s="189"/>
      <c r="E141" s="189"/>
      <c r="F141" s="189"/>
      <c r="G141" s="189"/>
      <c r="H141" s="189"/>
      <c r="I141" s="189"/>
      <c r="J141" s="189"/>
      <c r="K141" s="189"/>
      <c r="L141" s="189"/>
    </row>
    <row r="142" spans="4:33" ht="20.100000000000001" customHeight="1" x14ac:dyDescent="0.25">
      <c r="D142" s="192" t="s">
        <v>96</v>
      </c>
      <c r="E142" s="192" t="s">
        <v>97</v>
      </c>
      <c r="F142" s="189"/>
      <c r="G142" s="189"/>
      <c r="H142" s="189"/>
      <c r="I142" s="189"/>
      <c r="J142" s="189"/>
      <c r="K142" s="189"/>
      <c r="L142" s="189"/>
    </row>
    <row r="143" spans="4:33" ht="20.100000000000001" customHeight="1" x14ac:dyDescent="0.25">
      <c r="D143" s="193" t="s">
        <v>98</v>
      </c>
      <c r="E143" s="192" t="s">
        <v>99</v>
      </c>
      <c r="F143" s="189"/>
      <c r="G143" s="189"/>
      <c r="H143" s="189"/>
      <c r="I143" s="189"/>
      <c r="J143" s="189"/>
      <c r="K143" s="189"/>
      <c r="L143" s="189"/>
    </row>
    <row r="144" spans="4:33" ht="20.100000000000001" customHeight="1" x14ac:dyDescent="0.25">
      <c r="D144" s="193" t="s">
        <v>100</v>
      </c>
      <c r="E144" s="192" t="s">
        <v>99</v>
      </c>
      <c r="F144" s="189"/>
      <c r="G144" s="189"/>
      <c r="H144" s="189"/>
      <c r="I144" s="189"/>
      <c r="J144" s="189"/>
      <c r="K144" s="189"/>
      <c r="L144" s="189"/>
    </row>
    <row r="145" spans="4:12" ht="20.100000000000001" customHeight="1" x14ac:dyDescent="0.25">
      <c r="D145" s="193" t="s">
        <v>101</v>
      </c>
      <c r="E145" s="192" t="s">
        <v>99</v>
      </c>
      <c r="F145" s="189"/>
      <c r="G145" s="189"/>
      <c r="H145" s="189"/>
      <c r="I145" s="189"/>
      <c r="J145" s="189"/>
      <c r="K145" s="189"/>
      <c r="L145" s="189"/>
    </row>
    <row r="146" spans="4:12" ht="20.100000000000001" customHeight="1" x14ac:dyDescent="0.25">
      <c r="D146" s="193" t="s">
        <v>102</v>
      </c>
      <c r="E146" s="192" t="s">
        <v>99</v>
      </c>
      <c r="F146" s="189"/>
      <c r="G146" s="189"/>
      <c r="H146" s="189"/>
      <c r="I146" s="189"/>
      <c r="J146" s="189"/>
      <c r="K146" s="189"/>
      <c r="L146" s="189"/>
    </row>
    <row r="147" spans="4:12" ht="20.100000000000001" customHeight="1" x14ac:dyDescent="0.25">
      <c r="D147" s="193" t="s">
        <v>103</v>
      </c>
      <c r="E147" s="192" t="s">
        <v>99</v>
      </c>
      <c r="F147" s="189"/>
      <c r="G147" s="189"/>
      <c r="H147" s="189"/>
      <c r="I147" s="189"/>
      <c r="J147" s="189"/>
      <c r="K147" s="189"/>
      <c r="L147" s="189"/>
    </row>
    <row r="148" spans="4:12" ht="20.100000000000001" customHeight="1" x14ac:dyDescent="0.25">
      <c r="D148" s="193" t="s">
        <v>104</v>
      </c>
      <c r="E148" s="192" t="s">
        <v>99</v>
      </c>
      <c r="F148" s="189"/>
      <c r="G148" s="189"/>
      <c r="H148" s="189"/>
      <c r="I148" s="189"/>
      <c r="J148" s="189"/>
      <c r="K148" s="189"/>
      <c r="L148" s="189"/>
    </row>
    <row r="149" spans="4:12" ht="20.100000000000001" customHeight="1" x14ac:dyDescent="0.25">
      <c r="D149" s="193" t="s">
        <v>105</v>
      </c>
      <c r="E149" s="192" t="s">
        <v>99</v>
      </c>
      <c r="F149" s="189"/>
      <c r="G149" s="189"/>
      <c r="H149" s="189"/>
      <c r="I149" s="189"/>
      <c r="J149" s="189"/>
      <c r="K149" s="189"/>
      <c r="L149" s="189"/>
    </row>
    <row r="150" spans="4:12" ht="20.100000000000001" customHeight="1" x14ac:dyDescent="0.25">
      <c r="D150" s="193" t="s">
        <v>106</v>
      </c>
      <c r="E150" s="192" t="s">
        <v>99</v>
      </c>
      <c r="F150" s="189"/>
      <c r="G150" s="189"/>
      <c r="H150" s="189"/>
      <c r="I150" s="189"/>
      <c r="J150" s="189"/>
      <c r="K150" s="189"/>
      <c r="L150" s="189"/>
    </row>
    <row r="151" spans="4:12" ht="20.100000000000001" customHeight="1" x14ac:dyDescent="0.25">
      <c r="D151" s="193" t="s">
        <v>107</v>
      </c>
      <c r="E151" s="192" t="s">
        <v>99</v>
      </c>
      <c r="F151" s="189"/>
      <c r="G151" s="189"/>
      <c r="H151" s="189"/>
      <c r="I151" s="189"/>
      <c r="J151" s="189"/>
      <c r="K151" s="189"/>
      <c r="L151" s="189"/>
    </row>
    <row r="152" spans="4:12" ht="20.100000000000001" customHeight="1" x14ac:dyDescent="0.25">
      <c r="D152" s="193" t="s">
        <v>108</v>
      </c>
      <c r="E152" s="192" t="s">
        <v>99</v>
      </c>
      <c r="F152" s="189"/>
      <c r="G152" s="189"/>
      <c r="H152" s="189"/>
      <c r="I152" s="189"/>
      <c r="J152" s="189"/>
      <c r="K152" s="189"/>
      <c r="L152" s="189"/>
    </row>
    <row r="153" spans="4:12" ht="20.100000000000001" customHeight="1" x14ac:dyDescent="0.25">
      <c r="D153" s="193" t="s">
        <v>109</v>
      </c>
      <c r="E153" s="192" t="s">
        <v>99</v>
      </c>
      <c r="F153" s="189"/>
      <c r="G153" s="189"/>
      <c r="H153" s="189"/>
      <c r="I153" s="189"/>
      <c r="J153" s="189"/>
      <c r="K153" s="189"/>
      <c r="L153" s="189"/>
    </row>
    <row r="154" spans="4:12" ht="20.100000000000001" customHeight="1" x14ac:dyDescent="0.25">
      <c r="D154" s="193" t="s">
        <v>110</v>
      </c>
      <c r="E154" s="192" t="s">
        <v>99</v>
      </c>
      <c r="F154" s="189"/>
      <c r="G154" s="189"/>
      <c r="H154" s="189"/>
      <c r="I154" s="189"/>
      <c r="J154" s="189"/>
      <c r="K154" s="189"/>
      <c r="L154" s="189"/>
    </row>
    <row r="155" spans="4:12" ht="20.100000000000001" customHeight="1" x14ac:dyDescent="0.25">
      <c r="D155" s="193" t="s">
        <v>111</v>
      </c>
      <c r="E155" s="192" t="s">
        <v>99</v>
      </c>
      <c r="F155" s="189"/>
      <c r="G155" s="189"/>
      <c r="H155" s="189"/>
      <c r="I155" s="189"/>
      <c r="J155" s="189"/>
      <c r="K155" s="189"/>
      <c r="L155" s="189"/>
    </row>
    <row r="156" spans="4:12" ht="20.100000000000001" customHeight="1" x14ac:dyDescent="0.25">
      <c r="D156" s="193" t="s">
        <v>112</v>
      </c>
      <c r="E156" s="192" t="s">
        <v>99</v>
      </c>
      <c r="F156" s="189"/>
      <c r="G156" s="189"/>
      <c r="H156" s="189"/>
      <c r="I156" s="189"/>
      <c r="J156" s="189"/>
      <c r="K156" s="189"/>
      <c r="L156" s="189"/>
    </row>
    <row r="157" spans="4:12" ht="20.100000000000001" customHeight="1" x14ac:dyDescent="0.25">
      <c r="D157" s="193" t="s">
        <v>113</v>
      </c>
      <c r="E157" s="192" t="s">
        <v>99</v>
      </c>
      <c r="F157" s="189"/>
      <c r="G157" s="189"/>
      <c r="H157" s="189"/>
      <c r="I157" s="189"/>
      <c r="J157" s="189"/>
      <c r="K157" s="189"/>
      <c r="L157" s="189"/>
    </row>
    <row r="158" spans="4:12" ht="20.100000000000001" customHeight="1" x14ac:dyDescent="0.25">
      <c r="D158" s="193" t="s">
        <v>114</v>
      </c>
      <c r="E158" s="192" t="s">
        <v>99</v>
      </c>
      <c r="F158" s="189"/>
      <c r="G158" s="189"/>
      <c r="H158" s="189"/>
      <c r="I158" s="189"/>
      <c r="J158" s="189"/>
      <c r="K158" s="189"/>
      <c r="L158" s="189"/>
    </row>
    <row r="159" spans="4:12" ht="20.100000000000001" customHeight="1" x14ac:dyDescent="0.25">
      <c r="D159" s="193" t="s">
        <v>115</v>
      </c>
      <c r="E159" s="192" t="s">
        <v>99</v>
      </c>
      <c r="F159" s="189"/>
      <c r="G159" s="189"/>
      <c r="H159" s="189"/>
      <c r="I159" s="189"/>
      <c r="J159" s="189"/>
      <c r="K159" s="189"/>
      <c r="L159" s="189"/>
    </row>
    <row r="160" spans="4:12" ht="20.100000000000001" customHeight="1" x14ac:dyDescent="0.25">
      <c r="D160" s="193" t="s">
        <v>95</v>
      </c>
      <c r="E160" s="192" t="s">
        <v>99</v>
      </c>
      <c r="F160" s="189"/>
      <c r="G160" s="189"/>
      <c r="H160" s="189"/>
      <c r="I160" s="189"/>
      <c r="J160" s="189"/>
      <c r="K160" s="189"/>
      <c r="L160" s="189"/>
    </row>
    <row r="161" spans="4:12" ht="20.100000000000001" customHeight="1" x14ac:dyDescent="0.25">
      <c r="D161" s="192" t="s">
        <v>116</v>
      </c>
      <c r="E161" s="192" t="s">
        <v>117</v>
      </c>
      <c r="F161" s="189"/>
      <c r="G161" s="189"/>
      <c r="H161" s="189"/>
      <c r="I161" s="189"/>
      <c r="J161" s="189"/>
      <c r="K161" s="189"/>
      <c r="L161" s="189"/>
    </row>
    <row r="162" spans="4:12" ht="20.100000000000001" customHeight="1" x14ac:dyDescent="0.25">
      <c r="D162" s="192" t="s">
        <v>118</v>
      </c>
      <c r="E162" s="192" t="s">
        <v>117</v>
      </c>
      <c r="F162" s="189"/>
      <c r="G162" s="189"/>
      <c r="H162" s="189"/>
      <c r="I162" s="189"/>
      <c r="J162" s="189"/>
      <c r="K162" s="189"/>
      <c r="L162" s="189"/>
    </row>
    <row r="163" spans="4:12" ht="20.100000000000001" customHeight="1" x14ac:dyDescent="0.25"/>
    <row r="164" spans="4:12" ht="20.100000000000001" customHeight="1" x14ac:dyDescent="0.25"/>
    <row r="165" spans="4:12" ht="20.100000000000001" customHeight="1" x14ac:dyDescent="0.25"/>
  </sheetData>
  <pageMargins left="0.7" right="0.7" top="0.75" bottom="0.75" header="0.3" footer="0.3"/>
  <tableParts count="7">
    <tablePart r:id="rId1"/>
    <tablePart r:id="rId2"/>
    <tablePart r:id="rId3"/>
    <tablePart r:id="rId4"/>
    <tablePart r:id="rId5"/>
    <tablePart r:id="rId6"/>
    <tablePart r:id="rId7"/>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1864D7-894B-4062-A058-3EA5D26C0564}">
  <dimension ref="A1:AI165"/>
  <sheetViews>
    <sheetView showGridLines="0" zoomScaleNormal="100" workbookViewId="0">
      <selection activeCell="D33" sqref="D33"/>
    </sheetView>
  </sheetViews>
  <sheetFormatPr defaultRowHeight="15.75" x14ac:dyDescent="0.25"/>
  <cols>
    <col min="1" max="1" width="26.875" style="3" customWidth="1"/>
    <col min="2" max="2" width="4.125" style="3" customWidth="1"/>
    <col min="3" max="3" width="4.125" style="8" customWidth="1"/>
    <col min="4" max="4" width="34.25" style="8" customWidth="1"/>
    <col min="5" max="5" width="26.875" style="8" customWidth="1"/>
    <col min="6" max="6" width="25.875" style="8" customWidth="1"/>
    <col min="7" max="8" width="38" style="8" customWidth="1"/>
    <col min="9" max="9" width="38.125" style="8" customWidth="1"/>
    <col min="10" max="10" width="32.875" style="8" customWidth="1"/>
    <col min="11" max="11" width="29.375" style="8" customWidth="1"/>
    <col min="12" max="31" width="18.125" style="8" customWidth="1"/>
    <col min="32" max="32" width="4.125" style="8" customWidth="1"/>
    <col min="33" max="16384" width="9" style="3"/>
  </cols>
  <sheetData>
    <row r="1" spans="1:35" s="1" customFormat="1" ht="30" customHeight="1" x14ac:dyDescent="0.35">
      <c r="A1" s="1" t="e" vm="1">
        <v>#VALUE!</v>
      </c>
      <c r="C1" s="1" t="s">
        <v>236</v>
      </c>
      <c r="AG1" s="3"/>
      <c r="AH1" s="3"/>
      <c r="AI1" s="3"/>
    </row>
    <row r="2" spans="1:35" s="2" customFormat="1" ht="20.100000000000001" customHeight="1" x14ac:dyDescent="0.25">
      <c r="AG2" s="3"/>
      <c r="AH2" s="3"/>
      <c r="AI2" s="3"/>
    </row>
    <row r="3" spans="1:35" ht="20.100000000000001" customHeight="1" x14ac:dyDescent="0.25">
      <c r="A3" s="16" t="str">
        <f>HYPERLINK("#'Home'!A1", "Home")</f>
        <v>Home</v>
      </c>
      <c r="C3" s="5"/>
      <c r="D3" s="5"/>
      <c r="E3" s="5"/>
      <c r="F3" s="5"/>
      <c r="G3" s="5"/>
      <c r="H3" s="5"/>
      <c r="I3" s="5"/>
      <c r="J3" s="5"/>
      <c r="K3" s="5"/>
      <c r="L3" s="5"/>
      <c r="M3" s="5"/>
      <c r="N3" s="5"/>
      <c r="O3" s="5"/>
      <c r="P3" s="5"/>
      <c r="Q3" s="5"/>
      <c r="R3" s="5"/>
      <c r="S3" s="5"/>
      <c r="T3" s="5"/>
      <c r="U3" s="5"/>
      <c r="V3" s="5"/>
      <c r="W3" s="5"/>
      <c r="X3" s="5"/>
      <c r="Y3" s="5"/>
      <c r="Z3" s="5"/>
      <c r="AA3" s="5"/>
      <c r="AB3" s="5"/>
      <c r="AC3" s="5"/>
      <c r="AD3" s="5"/>
      <c r="AE3" s="5"/>
      <c r="AF3" s="5"/>
    </row>
    <row r="4" spans="1:35" ht="20.100000000000001" customHeight="1" x14ac:dyDescent="0.25">
      <c r="A4" s="16" t="str">
        <f>HYPERLINK("#'Overview'!A1", "Overview")</f>
        <v>Overview</v>
      </c>
    </row>
    <row r="5" spans="1:35" ht="20.100000000000001" customHeight="1" x14ac:dyDescent="0.25">
      <c r="A5" s="16" t="str">
        <f>HYPERLINK("#'Results'!A1", "Results")</f>
        <v>Results</v>
      </c>
      <c r="D5" s="9" t="str" cm="1">
        <f t="array" ref="D5">Electricity_SourceData.Electricity_Scope2Scope3LocationBased_Title()</f>
        <v>Electricity scope 2 and scope 3 location-based emission factors</v>
      </c>
    </row>
    <row r="6" spans="1:35" ht="20.100000000000001" customHeight="1" x14ac:dyDescent="0.25">
      <c r="A6" s="18"/>
      <c r="D6" s="11" t="str" cm="1">
        <f t="array" ref="D6">Electricity_SourceData.Electricity_Scope2Scope3LocationBased_Source()</f>
        <v>Australian National Greenhouse Accounts Factors 2025 - Table 1</v>
      </c>
      <c r="E6" s="14"/>
      <c r="F6" s="14"/>
    </row>
    <row r="7" spans="1:35" ht="20.100000000000001" customHeight="1" x14ac:dyDescent="0.25">
      <c r="A7" s="19" t="s">
        <v>67</v>
      </c>
      <c r="D7" s="12" t="str" cm="1">
        <f t="array" ref="D7">"⚠️" &amp; Electricity_SourceData.Electricity_Scope2Scope3LocationBased_Variation()</f>
        <v>⚠️VARIATION OF SOURCE DATA: NSW and ACT split into separate rows.</v>
      </c>
      <c r="E7" s="14"/>
      <c r="F7" s="14"/>
    </row>
    <row r="8" spans="1:35" ht="20.100000000000001" customHeight="1" x14ac:dyDescent="0.25">
      <c r="A8" s="16" t="str">
        <f>HYPERLINK("#'Input - Electricity'!A1", "Electricity")</f>
        <v>Electricity</v>
      </c>
      <c r="D8" s="14"/>
      <c r="E8" s="14"/>
      <c r="F8" s="14"/>
    </row>
    <row r="9" spans="1:35" ht="20.100000000000001" customHeight="1" x14ac:dyDescent="0.25">
      <c r="A9" s="16"/>
      <c r="D9" s="23" t="s">
        <v>237</v>
      </c>
      <c r="E9" s="23" t="s">
        <v>238</v>
      </c>
      <c r="F9" s="23" t="s">
        <v>239</v>
      </c>
    </row>
    <row r="10" spans="1:35" ht="20.100000000000001" customHeight="1" x14ac:dyDescent="0.25">
      <c r="A10" s="20" t="s">
        <v>77</v>
      </c>
      <c r="D10" s="3" t="str" cm="1">
        <f t="array" ref="D10">Common_InputFunctions.Utility_DisplayArrayInTable(Electricity_SourceData.Electricity_Scope2Scope3LocationBased_Data(), Table_SourceData_ElectricityEFs[[#Headers],[State, Territory or grid description]], 0)</f>
        <v>New South Wales</v>
      </c>
      <c r="E10" s="3" cm="1">
        <f t="array" ref="E10">Common_InputFunctions.Utility_DisplayArrayInTable(Electricity_SourceData.Electricity_Scope2Scope3LocationBased_Data(), Table_SourceData_ElectricityEFs[[#Headers],[State, Territory or grid description]], 0)</f>
        <v>0.64</v>
      </c>
      <c r="F10" s="3" cm="1">
        <f t="array" ref="F10">Common_InputFunctions.Utility_DisplayArrayInTable(Electricity_SourceData.Electricity_Scope2Scope3LocationBased_Data(), Table_SourceData_ElectricityEFs[[#Headers],[State, Territory or grid description]], 0)</f>
        <v>0.03</v>
      </c>
    </row>
    <row r="11" spans="1:35" ht="20.100000000000001" customHeight="1" x14ac:dyDescent="0.25">
      <c r="A11" s="16" t="str">
        <f>HYPERLINK("#'14.1.1-2 Purchased electricity'!A1", "14.1.1-2 Purchased electricity")</f>
        <v>14.1.1-2 Purchased electricity</v>
      </c>
      <c r="D11" s="3" t="str" cm="1">
        <f t="array" ref="D11">Common_InputFunctions.Utility_DisplayArrayInTable(Electricity_SourceData.Electricity_Scope2Scope3LocationBased_Data(), Table_SourceData_ElectricityEFs[[#Headers],[State, Territory or grid description]], 0)</f>
        <v>ACT</v>
      </c>
      <c r="E11" s="3" cm="1">
        <f t="array" ref="E11">Common_InputFunctions.Utility_DisplayArrayInTable(Electricity_SourceData.Electricity_Scope2Scope3LocationBased_Data(), Table_SourceData_ElectricityEFs[[#Headers],[State, Territory or grid description]], 0)</f>
        <v>0.64</v>
      </c>
      <c r="F11" s="3" cm="1">
        <f t="array" ref="F11">Common_InputFunctions.Utility_DisplayArrayInTable(Electricity_SourceData.Electricity_Scope2Scope3LocationBased_Data(), Table_SourceData_ElectricityEFs[[#Headers],[State, Territory or grid description]], 0)</f>
        <v>0.03</v>
      </c>
    </row>
    <row r="12" spans="1:35" ht="20.100000000000001" customHeight="1" x14ac:dyDescent="0.25">
      <c r="A12" s="16"/>
      <c r="D12" s="3" t="str" cm="1">
        <f t="array" ref="D12">Common_InputFunctions.Utility_DisplayArrayInTable(Electricity_SourceData.Electricity_Scope2Scope3LocationBased_Data(), Table_SourceData_ElectricityEFs[[#Headers],[State, Territory or grid description]], 0)</f>
        <v>Victoria</v>
      </c>
      <c r="E12" s="3" cm="1">
        <f t="array" ref="E12">Common_InputFunctions.Utility_DisplayArrayInTable(Electricity_SourceData.Electricity_Scope2Scope3LocationBased_Data(), Table_SourceData_ElectricityEFs[[#Headers],[State, Territory or grid description]], 0)</f>
        <v>0.78</v>
      </c>
      <c r="F12" s="3" cm="1">
        <f t="array" ref="F12">Common_InputFunctions.Utility_DisplayArrayInTable(Electricity_SourceData.Electricity_Scope2Scope3LocationBased_Data(), Table_SourceData_ElectricityEFs[[#Headers],[State, Territory or grid description]], 0)</f>
        <v>0.09</v>
      </c>
    </row>
    <row r="13" spans="1:35" ht="20.100000000000001" customHeight="1" x14ac:dyDescent="0.25">
      <c r="A13" s="21" t="s">
        <v>78</v>
      </c>
      <c r="D13" s="3" t="str" cm="1">
        <f t="array" ref="D13">Common_InputFunctions.Utility_DisplayArrayInTable(Electricity_SourceData.Electricity_Scope2Scope3LocationBased_Data(), Table_SourceData_ElectricityEFs[[#Headers],[State, Territory or grid description]], 0)</f>
        <v>Queensland</v>
      </c>
      <c r="E13" s="3" cm="1">
        <f t="array" ref="E13">Common_InputFunctions.Utility_DisplayArrayInTable(Electricity_SourceData.Electricity_Scope2Scope3LocationBased_Data(), Table_SourceData_ElectricityEFs[[#Headers],[State, Territory or grid description]], 0)</f>
        <v>0.67</v>
      </c>
      <c r="F13" s="3" cm="1">
        <f t="array" ref="F13">Common_InputFunctions.Utility_DisplayArrayInTable(Electricity_SourceData.Electricity_Scope2Scope3LocationBased_Data(), Table_SourceData_ElectricityEFs[[#Headers],[State, Territory or grid description]], 0)</f>
        <v>0.09</v>
      </c>
    </row>
    <row r="14" spans="1:35" ht="20.100000000000001" customHeight="1" x14ac:dyDescent="0.25">
      <c r="A14" s="22" t="str">
        <f>HYPERLINK("#'Constants - Electricity'!A1", "Constants - Electricity")</f>
        <v>Constants - Electricity</v>
      </c>
      <c r="D14" s="3" t="str" cm="1">
        <f t="array" ref="D14">Common_InputFunctions.Utility_DisplayArrayInTable(Electricity_SourceData.Electricity_Scope2Scope3LocationBased_Data(), Table_SourceData_ElectricityEFs[[#Headers],[State, Territory or grid description]], 0)</f>
        <v>South Australia</v>
      </c>
      <c r="E14" s="3" cm="1">
        <f t="array" ref="E14">Common_InputFunctions.Utility_DisplayArrayInTable(Electricity_SourceData.Electricity_Scope2Scope3LocationBased_Data(), Table_SourceData_ElectricityEFs[[#Headers],[State, Territory or grid description]], 0)</f>
        <v>0.22</v>
      </c>
      <c r="F14" s="3" cm="1">
        <f t="array" ref="F14">Common_InputFunctions.Utility_DisplayArrayInTable(Electricity_SourceData.Electricity_Scope2Scope3LocationBased_Data(), Table_SourceData_ElectricityEFs[[#Headers],[State, Territory or grid description]], 0)</f>
        <v>0.04</v>
      </c>
    </row>
    <row r="15" spans="1:35" ht="20.100000000000001" customHeight="1" x14ac:dyDescent="0.25">
      <c r="A15" s="16" t="str">
        <f>HYPERLINK("#'Constants - Common'!A1", "Constants - Common")</f>
        <v>Constants - Common</v>
      </c>
      <c r="D15" s="3" t="str" cm="1">
        <f t="array" ref="D15">Common_InputFunctions.Utility_DisplayArrayInTable(Electricity_SourceData.Electricity_Scope2Scope3LocationBased_Data(), Table_SourceData_ElectricityEFs[[#Headers],[State, Territory or grid description]], 0)</f>
        <v>Western Australia - South West Interconnected System (SWIS)</v>
      </c>
      <c r="E15" s="3" cm="1">
        <f t="array" ref="E15">Common_InputFunctions.Utility_DisplayArrayInTable(Electricity_SourceData.Electricity_Scope2Scope3LocationBased_Data(), Table_SourceData_ElectricityEFs[[#Headers],[State, Territory or grid description]], 0)</f>
        <v>0.5</v>
      </c>
      <c r="F15" s="3" cm="1">
        <f t="array" ref="F15">Common_InputFunctions.Utility_DisplayArrayInTable(Electricity_SourceData.Electricity_Scope2Scope3LocationBased_Data(), Table_SourceData_ElectricityEFs[[#Headers],[State, Territory or grid description]], 0)</f>
        <v>0.06</v>
      </c>
    </row>
    <row r="16" spans="1:35" ht="20.100000000000001" customHeight="1" x14ac:dyDescent="0.25">
      <c r="D16" s="3" t="str" cm="1">
        <f t="array" ref="D16">Common_InputFunctions.Utility_DisplayArrayInTable(Electricity_SourceData.Electricity_Scope2Scope3LocationBased_Data(), Table_SourceData_ElectricityEFs[[#Headers],[State, Territory or grid description]], 0)</f>
        <v>Western Australia - North Western Interconnected System (NWIS)</v>
      </c>
      <c r="E16" s="3" cm="1">
        <f t="array" ref="E16">Common_InputFunctions.Utility_DisplayArrayInTable(Electricity_SourceData.Electricity_Scope2Scope3LocationBased_Data(), Table_SourceData_ElectricityEFs[[#Headers],[State, Territory or grid description]], 0)</f>
        <v>0.56000000000000005</v>
      </c>
      <c r="F16" s="3" cm="1">
        <f t="array" ref="F16">Common_InputFunctions.Utility_DisplayArrayInTable(Electricity_SourceData.Electricity_Scope2Scope3LocationBased_Data(), Table_SourceData_ElectricityEFs[[#Headers],[State, Territory or grid description]], 0)</f>
        <v>0.09</v>
      </c>
    </row>
    <row r="17" spans="1:8" ht="20.100000000000001" customHeight="1" x14ac:dyDescent="0.25">
      <c r="D17" s="3" t="str" cm="1">
        <f t="array" ref="D17">Common_InputFunctions.Utility_DisplayArrayInTable(Electricity_SourceData.Electricity_Scope2Scope3LocationBased_Data(), Table_SourceData_ElectricityEFs[[#Headers],[State, Territory or grid description]], 0)</f>
        <v>Tasmania</v>
      </c>
      <c r="E17" s="3" cm="1">
        <f t="array" ref="E17">Common_InputFunctions.Utility_DisplayArrayInTable(Electricity_SourceData.Electricity_Scope2Scope3LocationBased_Data(), Table_SourceData_ElectricityEFs[[#Headers],[State, Territory or grid description]], 0)</f>
        <v>0.2</v>
      </c>
      <c r="F17" s="3" cm="1">
        <f t="array" ref="F17">Common_InputFunctions.Utility_DisplayArrayInTable(Electricity_SourceData.Electricity_Scope2Scope3LocationBased_Data(), Table_SourceData_ElectricityEFs[[#Headers],[State, Territory or grid description]], 0)</f>
        <v>0.03</v>
      </c>
    </row>
    <row r="18" spans="1:8" ht="20.100000000000001" customHeight="1" x14ac:dyDescent="0.25">
      <c r="D18" s="3" t="str" cm="1">
        <f t="array" ref="D18">Common_InputFunctions.Utility_DisplayArrayInTable(Electricity_SourceData.Electricity_Scope2Scope3LocationBased_Data(), Table_SourceData_ElectricityEFs[[#Headers],[State, Territory or grid description]], 0)</f>
        <v>Northern Territory - Darwin Katherine Interconnected System (DKIS)</v>
      </c>
      <c r="E18" s="3" cm="1">
        <f t="array" ref="E18">Common_InputFunctions.Utility_DisplayArrayInTable(Electricity_SourceData.Electricity_Scope2Scope3LocationBased_Data(), Table_SourceData_ElectricityEFs[[#Headers],[State, Territory or grid description]], 0)</f>
        <v>0.56000000000000005</v>
      </c>
      <c r="F18" s="3" cm="1">
        <f t="array" ref="F18">Common_InputFunctions.Utility_DisplayArrayInTable(Electricity_SourceData.Electricity_Scope2Scope3LocationBased_Data(), Table_SourceData_ElectricityEFs[[#Headers],[State, Territory or grid description]], 0)</f>
        <v>0.09</v>
      </c>
    </row>
    <row r="19" spans="1:8" ht="20.100000000000001" customHeight="1" x14ac:dyDescent="0.25">
      <c r="D19" s="3" t="str" cm="1">
        <f t="array" ref="D19">Common_InputFunctions.Utility_DisplayArrayInTable(Electricity_SourceData.Electricity_Scope2Scope3LocationBased_Data(), Table_SourceData_ElectricityEFs[[#Headers],[State, Territory or grid description]], 0)</f>
        <v>National</v>
      </c>
      <c r="E19" s="3" cm="1">
        <f t="array" ref="E19">Common_InputFunctions.Utility_DisplayArrayInTable(Electricity_SourceData.Electricity_Scope2Scope3LocationBased_Data(), Table_SourceData_ElectricityEFs[[#Headers],[State, Territory or grid description]], 0)</f>
        <v>0.62</v>
      </c>
      <c r="F19" s="3" cm="1">
        <f t="array" ref="F19">Common_InputFunctions.Utility_DisplayArrayInTable(Electricity_SourceData.Electricity_Scope2Scope3LocationBased_Data(), Table_SourceData_ElectricityEFs[[#Headers],[State, Territory or grid description]], 0)</f>
        <v>7.0000000000000007E-2</v>
      </c>
    </row>
    <row r="20" spans="1:8" ht="20.100000000000001" customHeight="1" x14ac:dyDescent="0.25">
      <c r="A20" s="16"/>
    </row>
    <row r="21" spans="1:8" ht="20.100000000000001" customHeight="1" x14ac:dyDescent="0.25">
      <c r="A21" s="16"/>
      <c r="D21" s="9" t="str" cm="1">
        <f t="array" ref="D21">Electricity_SourceData.Electricity_Scope2Scope3MarketBased_Title()</f>
        <v>Electricity scope 2 and scope 3 market-based emission factors</v>
      </c>
    </row>
    <row r="22" spans="1:8" ht="20.100000000000001" customHeight="1" x14ac:dyDescent="0.25">
      <c r="D22" s="11" t="str" cm="1">
        <f t="array" ref="D22">Electricity_SourceData.Electricity_Scope2Scope3MarketBased_Source()</f>
        <v>Australian National Greenhouse Accounts Factors 2025 - Table 2a</v>
      </c>
    </row>
    <row r="23" spans="1:8" ht="20.100000000000001" customHeight="1" x14ac:dyDescent="0.25">
      <c r="A23" s="16"/>
    </row>
    <row r="24" spans="1:8" ht="20.100000000000001" customHeight="1" x14ac:dyDescent="0.25">
      <c r="D24" s="54" t="s">
        <v>237</v>
      </c>
      <c r="E24" s="54" t="s">
        <v>240</v>
      </c>
      <c r="F24" s="54" t="s">
        <v>241</v>
      </c>
      <c r="G24" s="54" t="s">
        <v>242</v>
      </c>
      <c r="H24" s="54" t="s">
        <v>243</v>
      </c>
    </row>
    <row r="25" spans="1:8" ht="20.100000000000001" customHeight="1" x14ac:dyDescent="0.25">
      <c r="D25" s="3" t="str" cm="1">
        <f t="array" ref="D25">Common_InputFunctions.Utility_DisplayArrayInTable(Electricity_SourceData.Electricity_Scope2Scope3MarketBased_Data(), Table_SourceData_ElectricityEFsMarketBased[[#Headers],[State, Territory or grid description]], 0)</f>
        <v>National</v>
      </c>
      <c r="E25" s="3" cm="1">
        <f t="array" ref="E25">Common_InputFunctions.Utility_DisplayArrayInTable(Electricity_SourceData.Electricity_Scope2Scope3MarketBased_Data(), Table_SourceData_ElectricityEFsMarketBased[[#Headers],[State, Territory or grid description]], 0)</f>
        <v>0.81</v>
      </c>
      <c r="F25" s="3" cm="1">
        <f t="array" ref="F25">Common_InputFunctions.Utility_DisplayArrayInTable(Electricity_SourceData.Electricity_Scope2Scope3MarketBased_Data(), Table_SourceData_ElectricityEFsMarketBased[[#Headers],[State, Territory or grid description]], 0)</f>
        <v>226</v>
      </c>
      <c r="G25" s="3" cm="1">
        <f t="array" ref="G25">Common_InputFunctions.Utility_DisplayArrayInTable(Electricity_SourceData.Electricity_Scope2Scope3MarketBased_Data(), Table_SourceData_ElectricityEFsMarketBased[[#Headers],[State, Territory or grid description]], 0)</f>
        <v>0.1</v>
      </c>
      <c r="H25" s="3" cm="1">
        <f t="array" ref="H25">Common_InputFunctions.Utility_DisplayArrayInTable(Electricity_SourceData.Electricity_Scope2Scope3MarketBased_Data(), Table_SourceData_ElectricityEFsMarketBased[[#Headers],[State, Territory or grid description]], 0)</f>
        <v>29</v>
      </c>
    </row>
    <row r="26" spans="1:8" ht="20.100000000000001" customHeight="1" x14ac:dyDescent="0.25"/>
    <row r="27" spans="1:8" ht="20.100000000000001" customHeight="1" x14ac:dyDescent="0.25"/>
    <row r="28" spans="1:8" ht="20.100000000000001" customHeight="1" x14ac:dyDescent="0.25"/>
    <row r="29" spans="1:8" ht="20.100000000000001" customHeight="1" x14ac:dyDescent="0.25"/>
    <row r="30" spans="1:8" ht="20.100000000000001" customHeight="1" x14ac:dyDescent="0.25"/>
    <row r="31" spans="1:8" ht="20.100000000000001" customHeight="1" x14ac:dyDescent="0.25"/>
    <row r="32" spans="1:8" ht="20.100000000000001" customHeight="1" x14ac:dyDescent="0.25"/>
    <row r="33" ht="20.100000000000001" customHeight="1" x14ac:dyDescent="0.25"/>
    <row r="34" ht="20.100000000000001" customHeight="1" x14ac:dyDescent="0.25"/>
    <row r="35" ht="20.100000000000001" customHeight="1" x14ac:dyDescent="0.25"/>
    <row r="36" ht="20.100000000000001" customHeight="1" x14ac:dyDescent="0.25"/>
    <row r="37" ht="20.100000000000001" customHeight="1" x14ac:dyDescent="0.25"/>
    <row r="38" ht="20.100000000000001" customHeight="1" x14ac:dyDescent="0.25"/>
    <row r="39" ht="20.100000000000001" customHeight="1" x14ac:dyDescent="0.25"/>
    <row r="40" ht="20.100000000000001" customHeight="1" x14ac:dyDescent="0.25"/>
    <row r="41" ht="20.100000000000001" customHeight="1" x14ac:dyDescent="0.25"/>
    <row r="42" ht="20.100000000000001" customHeight="1" x14ac:dyDescent="0.25"/>
    <row r="43" ht="20.100000000000001" customHeight="1" x14ac:dyDescent="0.25"/>
    <row r="44" ht="20.100000000000001" customHeight="1" x14ac:dyDescent="0.25"/>
    <row r="45" ht="20.100000000000001" customHeight="1" x14ac:dyDescent="0.25"/>
    <row r="46" ht="20.100000000000001" customHeight="1" x14ac:dyDescent="0.25"/>
    <row r="47" ht="20.100000000000001" customHeight="1" x14ac:dyDescent="0.25"/>
    <row r="48"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row r="64"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tableParts count="2">
    <tablePart r:id="rId1"/>
    <tablePart r:id="rId2"/>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D23AD1-C9C2-421A-B7E6-200CAC66A40A}">
  <dimension ref="A1:BY259"/>
  <sheetViews>
    <sheetView showGridLines="0" topLeftCell="A137" zoomScale="85" zoomScaleNormal="85" workbookViewId="0">
      <selection activeCell="D19" sqref="D19"/>
    </sheetView>
  </sheetViews>
  <sheetFormatPr defaultColWidth="8" defaultRowHeight="15.75" x14ac:dyDescent="0.25"/>
  <cols>
    <col min="1" max="1" width="26.875" style="4" customWidth="1"/>
    <col min="2" max="2" width="2.375" style="4" customWidth="1"/>
    <col min="3" max="3" width="4.125" style="8" customWidth="1"/>
    <col min="4" max="4" width="42" style="8" customWidth="1"/>
    <col min="5" max="6" width="18.125" style="8" customWidth="1"/>
    <col min="7" max="7" width="26.5" style="8" customWidth="1"/>
    <col min="8" max="9" width="18.125" style="8" customWidth="1"/>
    <col min="10" max="10" width="30" style="8" customWidth="1"/>
    <col min="11" max="13" width="18.125" style="8" customWidth="1"/>
    <col min="14" max="14" width="29" style="8" customWidth="1"/>
    <col min="15" max="15" width="31.875" style="8" customWidth="1"/>
    <col min="16" max="16" width="18.375" style="8" customWidth="1"/>
    <col min="17" max="17" width="18.625" style="8" customWidth="1"/>
    <col min="18" max="18" width="27.25" style="8" customWidth="1"/>
    <col min="19" max="20" width="18.125" style="8" customWidth="1"/>
    <col min="21" max="21" width="4.125" style="8" customWidth="1"/>
    <col min="22" max="33" width="18.125" style="4" customWidth="1"/>
    <col min="34" max="39" width="19.125" style="4" customWidth="1"/>
    <col min="40" max="44" width="18.125" style="4" customWidth="1"/>
    <col min="45" max="65" width="8" style="4"/>
    <col min="66" max="16384" width="8" style="7"/>
  </cols>
  <sheetData>
    <row r="1" spans="1:65" s="1" customFormat="1" ht="30" customHeight="1" x14ac:dyDescent="0.35">
      <c r="A1" s="1" t="e" vm="1">
        <v>#VALUE!</v>
      </c>
      <c r="C1" s="1" t="s">
        <v>0</v>
      </c>
    </row>
    <row r="2" spans="1:65" s="2" customFormat="1" ht="20.100000000000001" customHeight="1" x14ac:dyDescent="0.25"/>
    <row r="3" spans="1:65" ht="20.100000000000001" customHeight="1" x14ac:dyDescent="0.25">
      <c r="A3" s="3"/>
      <c r="C3" s="5"/>
      <c r="D3" s="5"/>
      <c r="E3" s="5"/>
      <c r="F3" s="5"/>
      <c r="G3" s="5"/>
      <c r="H3" s="5"/>
      <c r="I3" s="5"/>
      <c r="J3" s="5"/>
      <c r="K3" s="5"/>
      <c r="L3" s="5"/>
      <c r="M3" s="5"/>
      <c r="N3" s="5"/>
      <c r="O3" s="5"/>
      <c r="P3" s="5"/>
      <c r="Q3" s="5"/>
      <c r="R3" s="5"/>
      <c r="S3" s="5"/>
      <c r="T3" s="5"/>
      <c r="U3" s="5"/>
      <c r="V3" s="6"/>
      <c r="W3" s="6"/>
    </row>
    <row r="4" spans="1:65" ht="20.100000000000001" customHeight="1" x14ac:dyDescent="0.25">
      <c r="A4" s="3"/>
      <c r="BM4" s="7"/>
    </row>
    <row r="5" spans="1:65" ht="20.100000000000001" customHeight="1" x14ac:dyDescent="0.25">
      <c r="A5" s="3"/>
      <c r="D5" s="9" t="str" cm="1">
        <f t="array" ref="D5">Common_SourceData.Common_SourceData_AustralianStatesTerritories_Title()</f>
        <v>Australian states and territories</v>
      </c>
      <c r="BM5" s="7"/>
    </row>
    <row r="6" spans="1:65" ht="20.100000000000001" customHeight="1" x14ac:dyDescent="0.25">
      <c r="A6" s="3"/>
      <c r="D6" s="10" t="s">
        <v>1</v>
      </c>
      <c r="E6" s="10" t="s">
        <v>2</v>
      </c>
      <c r="F6" s="10" t="s">
        <v>3</v>
      </c>
    </row>
    <row r="7" spans="1:65" ht="20.100000000000001" customHeight="1" x14ac:dyDescent="0.25">
      <c r="A7" s="3"/>
      <c r="D7" s="10" t="str" cm="1">
        <f t="array" ref="D7">Common_InputFunctions.Utility_DisplayArrayInTable(Common_SourceData.Common_SourceData_AustralianStatesTerritories_Data(),Table_AustralianStates[[#Headers],[State/Territory]],0)</f>
        <v>New South Wales</v>
      </c>
      <c r="E7" s="10" t="str" cm="1">
        <f t="array" ref="E7">Common_InputFunctions.Utility_DisplayArrayInTable(Common_SourceData.Common_SourceData_AustralianStatesTerritories_Data(),Table_AustralianStates[[#Headers],[State/Territory]],0)</f>
        <v>New South Wales</v>
      </c>
      <c r="F7" s="10" t="str" cm="1">
        <f t="array" ref="F7">Common_InputFunctions.Utility_DisplayArrayInTable(Common_SourceData.Common_SourceData_AustralianStatesTerritories_Data(),Table_AustralianStates[[#Headers],[State/Territory]],0)</f>
        <v>NSW</v>
      </c>
    </row>
    <row r="8" spans="1:65" ht="20.100000000000001" customHeight="1" x14ac:dyDescent="0.25">
      <c r="A8" s="3"/>
      <c r="D8" s="10" t="str" cm="1">
        <f t="array" ref="D8">Common_InputFunctions.Utility_DisplayArrayInTable(Common_SourceData.Common_SourceData_AustralianStatesTerritories_Data(),Table_AustralianStates[[#Headers],[State/Territory]],0)</f>
        <v>Australian Capital Territory</v>
      </c>
      <c r="E8" s="10" t="str" cm="1">
        <f t="array" ref="E8">Common_InputFunctions.Utility_DisplayArrayInTable(Common_SourceData.Common_SourceData_AustralianStatesTerritories_Data(),Table_AustralianStates[[#Headers],[State/Territory]],0)</f>
        <v>ACT</v>
      </c>
      <c r="F8" s="10" t="str" cm="1">
        <f t="array" ref="F8">Common_InputFunctions.Utility_DisplayArrayInTable(Common_SourceData.Common_SourceData_AustralianStatesTerritories_Data(),Table_AustralianStates[[#Headers],[State/Territory]],0)</f>
        <v>ACT</v>
      </c>
    </row>
    <row r="9" spans="1:65" ht="20.100000000000001" customHeight="1" x14ac:dyDescent="0.25">
      <c r="A9" s="3"/>
      <c r="D9" s="10" t="str" cm="1">
        <f t="array" ref="D9">Common_InputFunctions.Utility_DisplayArrayInTable(Common_SourceData.Common_SourceData_AustralianStatesTerritories_Data(),Table_AustralianStates[[#Headers],[State/Territory]],0)</f>
        <v>Victoria</v>
      </c>
      <c r="E9" s="10" t="str" cm="1">
        <f t="array" ref="E9">Common_InputFunctions.Utility_DisplayArrayInTable(Common_SourceData.Common_SourceData_AustralianStatesTerritories_Data(),Table_AustralianStates[[#Headers],[State/Territory]],0)</f>
        <v>Victoria</v>
      </c>
      <c r="F9" s="10" t="str" cm="1">
        <f t="array" ref="F9">Common_InputFunctions.Utility_DisplayArrayInTable(Common_SourceData.Common_SourceData_AustralianStatesTerritories_Data(),Table_AustralianStates[[#Headers],[State/Territory]],0)</f>
        <v>VIC</v>
      </c>
    </row>
    <row r="10" spans="1:65" ht="20.100000000000001" customHeight="1" x14ac:dyDescent="0.25">
      <c r="A10" s="3"/>
      <c r="D10" s="10" t="str" cm="1">
        <f t="array" ref="D10">Common_InputFunctions.Utility_DisplayArrayInTable(Common_SourceData.Common_SourceData_AustralianStatesTerritories_Data(),Table_AustralianStates[[#Headers],[State/Territory]],0)</f>
        <v>Queensland</v>
      </c>
      <c r="E10" s="10" t="str" cm="1">
        <f t="array" ref="E10">Common_InputFunctions.Utility_DisplayArrayInTable(Common_SourceData.Common_SourceData_AustralianStatesTerritories_Data(),Table_AustralianStates[[#Headers],[State/Territory]],0)</f>
        <v>Queensland</v>
      </c>
      <c r="F10" s="10" t="str" cm="1">
        <f t="array" ref="F10">Common_InputFunctions.Utility_DisplayArrayInTable(Common_SourceData.Common_SourceData_AustralianStatesTerritories_Data(),Table_AustralianStates[[#Headers],[State/Territory]],0)</f>
        <v>QLD</v>
      </c>
    </row>
    <row r="11" spans="1:65" ht="20.100000000000001" customHeight="1" x14ac:dyDescent="0.25">
      <c r="A11" s="3"/>
      <c r="D11" s="10" t="str" cm="1">
        <f t="array" ref="D11">Common_InputFunctions.Utility_DisplayArrayInTable(Common_SourceData.Common_SourceData_AustralianStatesTerritories_Data(),Table_AustralianStates[[#Headers],[State/Territory]],0)</f>
        <v>South Australia</v>
      </c>
      <c r="E11" s="10" t="str" cm="1">
        <f t="array" ref="E11">Common_InputFunctions.Utility_DisplayArrayInTable(Common_SourceData.Common_SourceData_AustralianStatesTerritories_Data(),Table_AustralianStates[[#Headers],[State/Territory]],0)</f>
        <v>South Australia</v>
      </c>
      <c r="F11" s="10" t="str" cm="1">
        <f t="array" ref="F11">Common_InputFunctions.Utility_DisplayArrayInTable(Common_SourceData.Common_SourceData_AustralianStatesTerritories_Data(),Table_AustralianStates[[#Headers],[State/Territory]],0)</f>
        <v>SA</v>
      </c>
      <c r="BM11" s="7"/>
    </row>
    <row r="12" spans="1:65" ht="20.100000000000001" customHeight="1" x14ac:dyDescent="0.25">
      <c r="A12" s="3"/>
      <c r="D12" s="10" t="str" cm="1">
        <f t="array" ref="D12">Common_InputFunctions.Utility_DisplayArrayInTable(Common_SourceData.Common_SourceData_AustralianStatesTerritories_Data(),Table_AustralianStates[[#Headers],[State/Territory]],0)</f>
        <v>Western Australia</v>
      </c>
      <c r="E12" s="10" t="str" cm="1">
        <f t="array" ref="E12">Common_InputFunctions.Utility_DisplayArrayInTable(Common_SourceData.Common_SourceData_AustralianStatesTerritories_Data(),Table_AustralianStates[[#Headers],[State/Territory]],0)</f>
        <v>Western Australia</v>
      </c>
      <c r="F12" s="10" t="str" cm="1">
        <f t="array" ref="F12">Common_InputFunctions.Utility_DisplayArrayInTable(Common_SourceData.Common_SourceData_AustralianStatesTerritories_Data(),Table_AustralianStates[[#Headers],[State/Territory]],0)</f>
        <v>WA</v>
      </c>
      <c r="BM12" s="7"/>
    </row>
    <row r="13" spans="1:65" ht="20.100000000000001" customHeight="1" x14ac:dyDescent="0.25">
      <c r="A13" s="3"/>
      <c r="D13" s="10" t="str" cm="1">
        <f t="array" ref="D13">Common_InputFunctions.Utility_DisplayArrayInTable(Common_SourceData.Common_SourceData_AustralianStatesTerritories_Data(),Table_AustralianStates[[#Headers],[State/Territory]],0)</f>
        <v>Tasmania</v>
      </c>
      <c r="E13" s="10" t="str" cm="1">
        <f t="array" ref="E13">Common_InputFunctions.Utility_DisplayArrayInTable(Common_SourceData.Common_SourceData_AustralianStatesTerritories_Data(),Table_AustralianStates[[#Headers],[State/Territory]],0)</f>
        <v>Tasmania</v>
      </c>
      <c r="F13" s="10" t="str" cm="1">
        <f t="array" ref="F13">Common_InputFunctions.Utility_DisplayArrayInTable(Common_SourceData.Common_SourceData_AustralianStatesTerritories_Data(),Table_AustralianStates[[#Headers],[State/Territory]],0)</f>
        <v>TAS</v>
      </c>
    </row>
    <row r="14" spans="1:65" ht="20.100000000000001" customHeight="1" x14ac:dyDescent="0.25">
      <c r="A14" s="3"/>
      <c r="D14" s="10" t="str" cm="1">
        <f t="array" ref="D14">Common_InputFunctions.Utility_DisplayArrayInTable(Common_SourceData.Common_SourceData_AustralianStatesTerritories_Data(),Table_AustralianStates[[#Headers],[State/Territory]],0)</f>
        <v>Northern Territory</v>
      </c>
      <c r="E14" s="10" t="str" cm="1">
        <f t="array" ref="E14">Common_InputFunctions.Utility_DisplayArrayInTable(Common_SourceData.Common_SourceData_AustralianStatesTerritories_Data(),Table_AustralianStates[[#Headers],[State/Territory]],0)</f>
        <v>Northern Territory</v>
      </c>
      <c r="F14" s="10" t="str" cm="1">
        <f t="array" ref="F14">Common_InputFunctions.Utility_DisplayArrayInTable(Common_SourceData.Common_SourceData_AustralianStatesTerritories_Data(),Table_AustralianStates[[#Headers],[State/Territory]],0)</f>
        <v>NT</v>
      </c>
    </row>
    <row r="15" spans="1:65" ht="20.100000000000001" customHeight="1" x14ac:dyDescent="0.25">
      <c r="A15" s="3"/>
    </row>
    <row r="16" spans="1:65" ht="20.100000000000001" customHeight="1" x14ac:dyDescent="0.25">
      <c r="A16" s="3"/>
    </row>
    <row r="17" spans="1:4" ht="20.100000000000001" customHeight="1" x14ac:dyDescent="0.25">
      <c r="A17" s="3"/>
    </row>
    <row r="18" spans="1:4" ht="20.100000000000001" customHeight="1" x14ac:dyDescent="0.25">
      <c r="A18" s="3"/>
      <c r="D18" s="9" t="str" cm="1">
        <f t="array" ref="D18">Common_SourceData.Common_SourceData_WASA4Areas_Title()</f>
        <v>ABS Statistcal Areas Level 4 - Western Australia</v>
      </c>
    </row>
    <row r="19" spans="1:4" ht="20.100000000000001" customHeight="1" x14ac:dyDescent="0.25">
      <c r="A19" s="3"/>
      <c r="D19" s="11" t="str" cm="1">
        <f t="array" ref="D19">Common_SourceData.Common_SourceData_WASA4Areas_Source()</f>
        <v>Australian Bureau of Statistics (ABS) - Statistical Areas Level 2 - 2021 - Shapefile</v>
      </c>
    </row>
    <row r="20" spans="1:4" ht="20.100000000000001" customHeight="1" x14ac:dyDescent="0.25">
      <c r="A20" s="3"/>
      <c r="D20" s="10" t="s">
        <v>4</v>
      </c>
    </row>
    <row r="21" spans="1:4" ht="20.100000000000001" customHeight="1" x14ac:dyDescent="0.25">
      <c r="A21" s="3"/>
      <c r="D21" s="10" t="str" cm="1">
        <f t="array" ref="D21">Common_InputFunctions.Utility_DisplayArrayInTable(Common_SourceData.Common_SourceData_WASA4Areas_Data(), Table_WASA4Areas[[#Headers],[SA 4 Name]], 0)</f>
        <v>Bunbury</v>
      </c>
    </row>
    <row r="22" spans="1:4" ht="20.100000000000001" customHeight="1" x14ac:dyDescent="0.25">
      <c r="A22" s="3"/>
      <c r="D22" s="10" t="str" cm="1">
        <f t="array" ref="D22">Common_InputFunctions.Utility_DisplayArrayInTable(Common_SourceData.Common_SourceData_WASA4Areas_Data(), Table_WASA4Areas[[#Headers],[SA 4 Name]], 0)</f>
        <v>Mandurah</v>
      </c>
    </row>
    <row r="23" spans="1:4" ht="20.100000000000001" customHeight="1" x14ac:dyDescent="0.25">
      <c r="A23" s="3"/>
      <c r="D23" s="10" t="str" cm="1">
        <f t="array" ref="D23">Common_InputFunctions.Utility_DisplayArrayInTable(Common_SourceData.Common_SourceData_WASA4Areas_Data(), Table_WASA4Areas[[#Headers],[SA 4 Name]], 0)</f>
        <v>Perth - Inner</v>
      </c>
    </row>
    <row r="24" spans="1:4" ht="20.100000000000001" customHeight="1" x14ac:dyDescent="0.25">
      <c r="A24" s="3"/>
      <c r="D24" s="10" t="str" cm="1">
        <f t="array" ref="D24">Common_InputFunctions.Utility_DisplayArrayInTable(Common_SourceData.Common_SourceData_WASA4Areas_Data(), Table_WASA4Areas[[#Headers],[SA 4 Name]], 0)</f>
        <v>Perth - North East</v>
      </c>
    </row>
    <row r="25" spans="1:4" ht="20.100000000000001" customHeight="1" x14ac:dyDescent="0.25">
      <c r="A25" s="3"/>
      <c r="D25" s="10" t="str" cm="1">
        <f t="array" ref="D25">Common_InputFunctions.Utility_DisplayArrayInTable(Common_SourceData.Common_SourceData_WASA4Areas_Data(), Table_WASA4Areas[[#Headers],[SA 4 Name]], 0)</f>
        <v>Perth - North West</v>
      </c>
    </row>
    <row r="26" spans="1:4" ht="20.100000000000001" customHeight="1" x14ac:dyDescent="0.25">
      <c r="A26" s="3"/>
      <c r="D26" s="10" t="str" cm="1">
        <f t="array" ref="D26">Common_InputFunctions.Utility_DisplayArrayInTable(Common_SourceData.Common_SourceData_WASA4Areas_Data(), Table_WASA4Areas[[#Headers],[SA 4 Name]], 0)</f>
        <v>Perth - South East</v>
      </c>
    </row>
    <row r="27" spans="1:4" ht="20.100000000000001" customHeight="1" x14ac:dyDescent="0.25">
      <c r="A27" s="3"/>
      <c r="D27" s="10" t="str" cm="1">
        <f t="array" ref="D27">Common_InputFunctions.Utility_DisplayArrayInTable(Common_SourceData.Common_SourceData_WASA4Areas_Data(), Table_WASA4Areas[[#Headers],[SA 4 Name]], 0)</f>
        <v>Perth - South West</v>
      </c>
    </row>
    <row r="28" spans="1:4" ht="20.100000000000001" customHeight="1" x14ac:dyDescent="0.25">
      <c r="A28" s="3"/>
      <c r="D28" s="10" t="str" cm="1">
        <f t="array" ref="D28">Common_InputFunctions.Utility_DisplayArrayInTable(Common_SourceData.Common_SourceData_WASA4Areas_Data(), Table_WASA4Areas[[#Headers],[SA 4 Name]], 0)</f>
        <v>Western Australia - Wheat Belt</v>
      </c>
    </row>
    <row r="29" spans="1:4" ht="20.100000000000001" customHeight="1" x14ac:dyDescent="0.25">
      <c r="A29" s="3"/>
      <c r="D29" s="10" t="str" cm="1">
        <f t="array" ref="D29">Common_InputFunctions.Utility_DisplayArrayInTable(Common_SourceData.Common_SourceData_WASA4Areas_Data(), Table_WASA4Areas[[#Headers],[SA 4 Name]], 0)</f>
        <v>Western Australia - Outback (North)</v>
      </c>
    </row>
    <row r="30" spans="1:4" ht="20.100000000000001" customHeight="1" x14ac:dyDescent="0.25">
      <c r="A30" s="3"/>
      <c r="D30" s="10" t="str" cm="1">
        <f t="array" ref="D30">Common_InputFunctions.Utility_DisplayArrayInTable(Common_SourceData.Common_SourceData_WASA4Areas_Data(), Table_WASA4Areas[[#Headers],[SA 4 Name]], 0)</f>
        <v>Western Australia - Outback (South)</v>
      </c>
    </row>
    <row r="31" spans="1:4" ht="20.100000000000001" customHeight="1" x14ac:dyDescent="0.25">
      <c r="A31" s="3"/>
    </row>
    <row r="32" spans="1:4" ht="20.100000000000001" customHeight="1" x14ac:dyDescent="0.25">
      <c r="A32" s="3"/>
    </row>
    <row r="33" spans="1:8" ht="20.100000000000001" customHeight="1" x14ac:dyDescent="0.25">
      <c r="A33" s="3"/>
    </row>
    <row r="34" spans="1:8" ht="20.100000000000001" customHeight="1" x14ac:dyDescent="0.25">
      <c r="A34" s="3"/>
      <c r="D34" s="9" t="str" cm="1">
        <f t="array" ref="D34">Common_SourceData.Common_SourceData_GWP_Title()</f>
        <v>Global warming potential for greenhouse gases</v>
      </c>
    </row>
    <row r="35" spans="1:8" ht="20.100000000000001" customHeight="1" x14ac:dyDescent="0.25">
      <c r="A35" s="3"/>
      <c r="D35" s="11" t="str" cm="1">
        <f t="array" ref="D35">Common_SourceData.Common_SourceData_GWP_Source()</f>
        <v>XXXXXXX</v>
      </c>
    </row>
    <row r="36" spans="1:8" ht="20.100000000000001" customHeight="1" x14ac:dyDescent="0.25">
      <c r="A36" s="3"/>
      <c r="D36" s="10" t="s">
        <v>5</v>
      </c>
      <c r="E36" s="10" t="s">
        <v>6</v>
      </c>
    </row>
    <row r="37" spans="1:8" ht="20.100000000000001" customHeight="1" x14ac:dyDescent="0.25">
      <c r="A37" s="3"/>
      <c r="D37" s="10" t="str" cm="1">
        <f t="array" ref="D37">Common_InputFunctions.Utility_DisplayArrayInTable(Common_SourceData.Common_SourceData_GWP_Data(), Table_GWPData[[#Headers],[Gas]], 0)</f>
        <v>CO2</v>
      </c>
      <c r="E37" s="10" cm="1">
        <f t="array" ref="E37">Common_InputFunctions.Utility_DisplayArrayInTable(Common_SourceData.Common_SourceData_GWP_Data(), Table_GWPData[[#Headers],[Gas]], 0)</f>
        <v>1</v>
      </c>
    </row>
    <row r="38" spans="1:8" ht="20.100000000000001" customHeight="1" x14ac:dyDescent="0.25">
      <c r="A38" s="3"/>
      <c r="D38" s="10" t="str" cm="1">
        <f t="array" ref="D38">Common_InputFunctions.Utility_DisplayArrayInTable(Common_SourceData.Common_SourceData_GWP_Data(), Table_GWPData[[#Headers],[Gas]], 0)</f>
        <v>CH4</v>
      </c>
      <c r="E38" s="10" cm="1">
        <f t="array" ref="E38">Common_InputFunctions.Utility_DisplayArrayInTable(Common_SourceData.Common_SourceData_GWP_Data(), Table_GWPData[[#Headers],[Gas]], 0)</f>
        <v>28</v>
      </c>
    </row>
    <row r="39" spans="1:8" ht="20.100000000000001" customHeight="1" x14ac:dyDescent="0.25">
      <c r="A39" s="3"/>
      <c r="D39" s="10" t="str" cm="1">
        <f t="array" ref="D39">Common_InputFunctions.Utility_DisplayArrayInTable(Common_SourceData.Common_SourceData_GWP_Data(), Table_GWPData[[#Headers],[Gas]], 0)</f>
        <v>N2O</v>
      </c>
      <c r="E39" s="10" cm="1">
        <f t="array" ref="E39">Common_InputFunctions.Utility_DisplayArrayInTable(Common_SourceData.Common_SourceData_GWP_Data(), Table_GWPData[[#Headers],[Gas]], 0)</f>
        <v>265</v>
      </c>
    </row>
    <row r="40" spans="1:8" ht="20.100000000000001" customHeight="1" x14ac:dyDescent="0.25">
      <c r="A40" s="3"/>
      <c r="D40" s="10" t="str" cm="1">
        <f t="array" ref="D40">Common_InputFunctions.Utility_DisplayArrayInTable(Common_SourceData.Common_SourceData_GWP_Data(), Table_GWPData[[#Headers],[Gas]], 0)</f>
        <v>CF4</v>
      </c>
      <c r="E40" s="10" cm="1">
        <f t="array" ref="E40">Common_InputFunctions.Utility_DisplayArrayInTable(Common_SourceData.Common_SourceData_GWP_Data(), Table_GWPData[[#Headers],[Gas]], 0)</f>
        <v>6630</v>
      </c>
    </row>
    <row r="41" spans="1:8" ht="20.100000000000001" customHeight="1" x14ac:dyDescent="0.25">
      <c r="A41" s="3"/>
      <c r="D41" s="10" t="str" cm="1">
        <f t="array" ref="D41">Common_InputFunctions.Utility_DisplayArrayInTable(Common_SourceData.Common_SourceData_GWP_Data(), Table_GWPData[[#Headers],[Gas]], 0)</f>
        <v>C2F6</v>
      </c>
      <c r="E41" s="10" cm="1">
        <f t="array" ref="E41">Common_InputFunctions.Utility_DisplayArrayInTable(Common_SourceData.Common_SourceData_GWP_Data(), Table_GWPData[[#Headers],[Gas]], 0)</f>
        <v>12200</v>
      </c>
    </row>
    <row r="42" spans="1:8" ht="20.100000000000001" customHeight="1" x14ac:dyDescent="0.25">
      <c r="D42" s="10" t="str" cm="1">
        <f t="array" ref="D42">Common_InputFunctions.Utility_DisplayArrayInTable(Common_SourceData.Common_SourceData_GWP_Data(), Table_GWPData[[#Headers],[Gas]], 0)</f>
        <v>SF6</v>
      </c>
      <c r="E42" s="10" cm="1">
        <f t="array" ref="E42">Common_InputFunctions.Utility_DisplayArrayInTable(Common_SourceData.Common_SourceData_GWP_Data(), Table_GWPData[[#Headers],[Gas]], 0)</f>
        <v>22800</v>
      </c>
    </row>
    <row r="43" spans="1:8" ht="20.100000000000001" customHeight="1" x14ac:dyDescent="0.25">
      <c r="D43" s="10" t="str" cm="1">
        <f t="array" ref="D43">Common_InputFunctions.Utility_DisplayArrayInTable(Common_SourceData.Common_SourceData_GWP_Data(), Table_GWPData[[#Headers],[Gas]], 0)</f>
        <v>NF3</v>
      </c>
      <c r="E43" s="10" cm="1">
        <f t="array" ref="E43">Common_InputFunctions.Utility_DisplayArrayInTable(Common_SourceData.Common_SourceData_GWP_Data(), Table_GWPData[[#Headers],[Gas]], 0)</f>
        <v>17200</v>
      </c>
    </row>
    <row r="44" spans="1:8" ht="20.100000000000001" customHeight="1" x14ac:dyDescent="0.25"/>
    <row r="45" spans="1:8" ht="20.100000000000001" customHeight="1" x14ac:dyDescent="0.25">
      <c r="D45" s="9" t="str" cm="1">
        <f t="array" ref="D45">Common_SourceData.Common_SourceData_ConvertGasElementalToMolecular_Title()</f>
        <v>Factor to convert elemental mass of gas to molecular mass</v>
      </c>
    </row>
    <row r="46" spans="1:8" ht="20.100000000000001" customHeight="1" x14ac:dyDescent="0.25">
      <c r="D46" s="11" t="str" cm="1">
        <f t="array" ref="D46">Common_SourceData.Common_SourceData_ConvertGasElementalToMolecular_Source()</f>
        <v>XXXXXXX</v>
      </c>
    </row>
    <row r="47" spans="1:8" ht="20.100000000000001" customHeight="1" x14ac:dyDescent="0.25">
      <c r="D47" s="10" t="s">
        <v>5</v>
      </c>
      <c r="E47" s="10" t="s">
        <v>7</v>
      </c>
      <c r="F47" s="10" t="s">
        <v>8</v>
      </c>
      <c r="G47" s="10" t="s">
        <v>9</v>
      </c>
      <c r="H47" s="10" t="s">
        <v>10</v>
      </c>
    </row>
    <row r="48" spans="1:8" ht="20.100000000000001" customHeight="1" x14ac:dyDescent="0.25">
      <c r="D48" s="10" t="str" cm="1">
        <f t="array" ref="D48">Common_InputFunctions.Utility_DisplayArrayInTable(Common_SourceData.Common_SourceData_ConvertGasElementalToMolecular_Data(),Table_GasToMolecularConversionFactor[[#Headers],[Gas]], 0)</f>
        <v>CO2</v>
      </c>
      <c r="E48" s="10" t="str" cm="1">
        <f t="array" ref="E48">Common_InputFunctions.Utility_DisplayArrayInTable(Common_SourceData.Common_SourceData_ConvertGasElementalToMolecular_Data(),Table_GasToMolecularConversionFactor[[#Headers],[Gas]], 0)</f>
        <v>44/12</v>
      </c>
      <c r="F48" s="10" cm="1">
        <f t="array" ref="F48">Common_InputFunctions.Utility_DisplayArrayInTable(Common_SourceData.Common_SourceData_ConvertGasElementalToMolecular_Data(),Table_GasToMolecularConversionFactor[[#Headers],[Gas]], 0)</f>
        <v>44</v>
      </c>
      <c r="G48" s="10" cm="1">
        <f t="array" ref="G48">Common_InputFunctions.Utility_DisplayArrayInTable(Common_SourceData.Common_SourceData_ConvertGasElementalToMolecular_Data(),Table_GasToMolecularConversionFactor[[#Headers],[Gas]], 0)</f>
        <v>12</v>
      </c>
      <c r="H48" s="10">
        <f>Table_GasToMolecularConversionFactor[[#This Row],[Conversion factor 1]]/Table_GasToMolecularConversionFactor[[#This Row],[Conversion factor 2]]</f>
        <v>3.6666666666666665</v>
      </c>
    </row>
    <row r="49" spans="4:8" ht="20.100000000000001" customHeight="1" x14ac:dyDescent="0.25">
      <c r="D49" s="10" t="str" cm="1">
        <f t="array" ref="D49">Common_InputFunctions.Utility_DisplayArrayInTable(Common_SourceData.Common_SourceData_ConvertGasElementalToMolecular_Data(),Table_GasToMolecularConversionFactor[[#Headers],[Gas]], 0)</f>
        <v>CH4</v>
      </c>
      <c r="E49" s="10" t="str" cm="1">
        <f t="array" ref="E49">Common_InputFunctions.Utility_DisplayArrayInTable(Common_SourceData.Common_SourceData_ConvertGasElementalToMolecular_Data(),Table_GasToMolecularConversionFactor[[#Headers],[Gas]], 0)</f>
        <v>16/12</v>
      </c>
      <c r="F49" s="10" cm="1">
        <f t="array" ref="F49">Common_InputFunctions.Utility_DisplayArrayInTable(Common_SourceData.Common_SourceData_ConvertGasElementalToMolecular_Data(),Table_GasToMolecularConversionFactor[[#Headers],[Gas]], 0)</f>
        <v>16</v>
      </c>
      <c r="G49" s="10" cm="1">
        <f t="array" ref="G49">Common_InputFunctions.Utility_DisplayArrayInTable(Common_SourceData.Common_SourceData_ConvertGasElementalToMolecular_Data(),Table_GasToMolecularConversionFactor[[#Headers],[Gas]], 0)</f>
        <v>12</v>
      </c>
      <c r="H49" s="10">
        <f>Table_GasToMolecularConversionFactor[[#This Row],[Conversion factor 1]]/Table_GasToMolecularConversionFactor[[#This Row],[Conversion factor 2]]</f>
        <v>1.3333333333333333</v>
      </c>
    </row>
    <row r="50" spans="4:8" ht="20.100000000000001" customHeight="1" x14ac:dyDescent="0.25">
      <c r="D50" s="10" t="str" cm="1">
        <f t="array" ref="D50">Common_InputFunctions.Utility_DisplayArrayInTable(Common_SourceData.Common_SourceData_ConvertGasElementalToMolecular_Data(),Table_GasToMolecularConversionFactor[[#Headers],[Gas]], 0)</f>
        <v>N2O</v>
      </c>
      <c r="E50" s="10" t="str" cm="1">
        <f t="array" ref="E50">Common_InputFunctions.Utility_DisplayArrayInTable(Common_SourceData.Common_SourceData_ConvertGasElementalToMolecular_Data(),Table_GasToMolecularConversionFactor[[#Headers],[Gas]], 0)</f>
        <v>44/28</v>
      </c>
      <c r="F50" s="10" cm="1">
        <f t="array" ref="F50">Common_InputFunctions.Utility_DisplayArrayInTable(Common_SourceData.Common_SourceData_ConvertGasElementalToMolecular_Data(),Table_GasToMolecularConversionFactor[[#Headers],[Gas]], 0)</f>
        <v>44</v>
      </c>
      <c r="G50" s="10" cm="1">
        <f t="array" ref="G50">Common_InputFunctions.Utility_DisplayArrayInTable(Common_SourceData.Common_SourceData_ConvertGasElementalToMolecular_Data(),Table_GasToMolecularConversionFactor[[#Headers],[Gas]], 0)</f>
        <v>28</v>
      </c>
      <c r="H50" s="10">
        <f>Table_GasToMolecularConversionFactor[[#This Row],[Conversion factor 1]]/Table_GasToMolecularConversionFactor[[#This Row],[Conversion factor 2]]</f>
        <v>1.5714285714285714</v>
      </c>
    </row>
    <row r="51" spans="4:8" ht="20.100000000000001" customHeight="1" x14ac:dyDescent="0.25">
      <c r="D51" s="10" t="str" cm="1">
        <f t="array" ref="D51">Common_InputFunctions.Utility_DisplayArrayInTable(Common_SourceData.Common_SourceData_ConvertGasElementalToMolecular_Data(),Table_GasToMolecularConversionFactor[[#Headers],[Gas]], 0)</f>
        <v>Nox</v>
      </c>
      <c r="E51" s="10" t="str" cm="1">
        <f t="array" ref="E51">Common_InputFunctions.Utility_DisplayArrayInTable(Common_SourceData.Common_SourceData_ConvertGasElementalToMolecular_Data(),Table_GasToMolecularConversionFactor[[#Headers],[Gas]], 0)</f>
        <v>46/14</v>
      </c>
      <c r="F51" s="10" cm="1">
        <f t="array" ref="F51">Common_InputFunctions.Utility_DisplayArrayInTable(Common_SourceData.Common_SourceData_ConvertGasElementalToMolecular_Data(),Table_GasToMolecularConversionFactor[[#Headers],[Gas]], 0)</f>
        <v>46</v>
      </c>
      <c r="G51" s="10" cm="1">
        <f t="array" ref="G51">Common_InputFunctions.Utility_DisplayArrayInTable(Common_SourceData.Common_SourceData_ConvertGasElementalToMolecular_Data(),Table_GasToMolecularConversionFactor[[#Headers],[Gas]], 0)</f>
        <v>14</v>
      </c>
      <c r="H51" s="10">
        <f>Table_GasToMolecularConversionFactor[[#This Row],[Conversion factor 1]]/Table_GasToMolecularConversionFactor[[#This Row],[Conversion factor 2]]</f>
        <v>3.2857142857142856</v>
      </c>
    </row>
    <row r="52" spans="4:8" ht="20.100000000000001" customHeight="1" x14ac:dyDescent="0.25">
      <c r="D52" s="10" t="str" cm="1">
        <f t="array" ref="D52">Common_InputFunctions.Utility_DisplayArrayInTable(Common_SourceData.Common_SourceData_ConvertGasElementalToMolecular_Data(),Table_GasToMolecularConversionFactor[[#Headers],[Gas]], 0)</f>
        <v>CO</v>
      </c>
      <c r="E52" s="10" t="str" cm="1">
        <f t="array" ref="E52">Common_InputFunctions.Utility_DisplayArrayInTable(Common_SourceData.Common_SourceData_ConvertGasElementalToMolecular_Data(),Table_GasToMolecularConversionFactor[[#Headers],[Gas]], 0)</f>
        <v>28/12</v>
      </c>
      <c r="F52" s="10" cm="1">
        <f t="array" ref="F52">Common_InputFunctions.Utility_DisplayArrayInTable(Common_SourceData.Common_SourceData_ConvertGasElementalToMolecular_Data(),Table_GasToMolecularConversionFactor[[#Headers],[Gas]], 0)</f>
        <v>28</v>
      </c>
      <c r="G52" s="10" cm="1">
        <f t="array" ref="G52">Common_InputFunctions.Utility_DisplayArrayInTable(Common_SourceData.Common_SourceData_ConvertGasElementalToMolecular_Data(),Table_GasToMolecularConversionFactor[[#Headers],[Gas]], 0)</f>
        <v>12</v>
      </c>
      <c r="H52" s="10">
        <f>Table_GasToMolecularConversionFactor[[#This Row],[Conversion factor 1]]/Table_GasToMolecularConversionFactor[[#This Row],[Conversion factor 2]]</f>
        <v>2.3333333333333335</v>
      </c>
    </row>
    <row r="53" spans="4:8" ht="20.100000000000001" customHeight="1" x14ac:dyDescent="0.25">
      <c r="D53" s="10" t="str" cm="1">
        <f t="array" ref="D53">Common_InputFunctions.Utility_DisplayArrayInTable(Common_SourceData.Common_SourceData_ConvertGasElementalToMolecular_Data(),Table_GasToMolecularConversionFactor[[#Headers],[Gas]], 0)</f>
        <v>CO2 Lime</v>
      </c>
      <c r="E53" s="10" t="str" cm="1">
        <f t="array" ref="E53">Common_InputFunctions.Utility_DisplayArrayInTable(Common_SourceData.Common_SourceData_ConvertGasElementalToMolecular_Data(),Table_GasToMolecularConversionFactor[[#Headers],[Gas]], 0)</f>
        <v>44/12</v>
      </c>
      <c r="F53" s="10" cm="1">
        <f t="array" ref="F53">Common_InputFunctions.Utility_DisplayArrayInTable(Common_SourceData.Common_SourceData_ConvertGasElementalToMolecular_Data(),Table_GasToMolecularConversionFactor[[#Headers],[Gas]], 0)</f>
        <v>44</v>
      </c>
      <c r="G53" s="10" cm="1">
        <f t="array" ref="G53">Common_InputFunctions.Utility_DisplayArrayInTable(Common_SourceData.Common_SourceData_ConvertGasElementalToMolecular_Data(),Table_GasToMolecularConversionFactor[[#Headers],[Gas]], 0)</f>
        <v>12</v>
      </c>
      <c r="H53" s="10">
        <f>Table_GasToMolecularConversionFactor[[#This Row],[Conversion factor 1]]/Table_GasToMolecularConversionFactor[[#This Row],[Conversion factor 2]]</f>
        <v>3.6666666666666665</v>
      </c>
    </row>
    <row r="54" spans="4:8" ht="20.100000000000001" customHeight="1" x14ac:dyDescent="0.25">
      <c r="D54" s="10" t="str" cm="1">
        <f t="array" ref="D54">Common_InputFunctions.Utility_DisplayArrayInTable(Common_SourceData.Common_SourceData_ConvertGasElementalToMolecular_Data(),Table_GasToMolecularConversionFactor[[#Headers],[Gas]], 0)</f>
        <v>NMVOC</v>
      </c>
      <c r="E54" s="10" t="str" cm="1">
        <f t="array" ref="E54">Common_InputFunctions.Utility_DisplayArrayInTable(Common_SourceData.Common_SourceData_ConvertGasElementalToMolecular_Data(),Table_GasToMolecularConversionFactor[[#Headers],[Gas]], 0)</f>
        <v>14/12</v>
      </c>
      <c r="F54" s="10" cm="1">
        <f t="array" ref="F54">Common_InputFunctions.Utility_DisplayArrayInTable(Common_SourceData.Common_SourceData_ConvertGasElementalToMolecular_Data(),Table_GasToMolecularConversionFactor[[#Headers],[Gas]], 0)</f>
        <v>14</v>
      </c>
      <c r="G54" s="10" cm="1">
        <f t="array" ref="G54">Common_InputFunctions.Utility_DisplayArrayInTable(Common_SourceData.Common_SourceData_ConvertGasElementalToMolecular_Data(),Table_GasToMolecularConversionFactor[[#Headers],[Gas]], 0)</f>
        <v>12</v>
      </c>
      <c r="H54" s="10">
        <f>Table_GasToMolecularConversionFactor[[#This Row],[Conversion factor 1]]/Table_GasToMolecularConversionFactor[[#This Row],[Conversion factor 2]]</f>
        <v>1.1666666666666667</v>
      </c>
    </row>
    <row r="55" spans="4:8" ht="20.100000000000001" customHeight="1" x14ac:dyDescent="0.25"/>
    <row r="56" spans="4:8" ht="20.100000000000001" customHeight="1" x14ac:dyDescent="0.25"/>
    <row r="57" spans="4:8" ht="20.100000000000001" customHeight="1" x14ac:dyDescent="0.25">
      <c r="D57" s="9" t="str" cm="1">
        <f t="array" ref="D57">Common_SourceData.Common_SourceData_WetAndDryZones_Title()</f>
        <v>VEERG Australian wet and dry zones</v>
      </c>
    </row>
    <row r="58" spans="4:8" ht="20.100000000000001" customHeight="1" x14ac:dyDescent="0.25">
      <c r="D58" s="11" t="str" cm="1">
        <f t="array" ref="D58">Common_SourceData.Common_SourceData_WetAndDryZones_Source()</f>
        <v>VEERG 2026: Table 1.2: Translating climate zones to wet and dry zones</v>
      </c>
    </row>
    <row r="59" spans="4:8" ht="20.100000000000001" customHeight="1" x14ac:dyDescent="0.25">
      <c r="D59" s="12" t="str" cm="1">
        <f t="array" ref="D59:D61">"⚠️" &amp; Common_SourceData.Common_SourceData_WetAndDryZones_Variation()</f>
        <v>⚠️VARIATION OF SOURCE DATA:</v>
      </c>
    </row>
    <row r="60" spans="4:8" ht="20.100000000000001" customHeight="1" x14ac:dyDescent="0.25">
      <c r="D60" s="12" t="str">
        <v>⚠️Added warm / cool temperate moist / dry - low frost and high temp classes to accommodate climate scenarios excluded by VEERG criteria.</v>
      </c>
    </row>
    <row r="61" spans="4:8" ht="20.100000000000001" customHeight="1" x14ac:dyDescent="0.25">
      <c r="D61" s="12" t="str">
        <v>⚠️Fixed typo - Changed 'Fry' to 'Dry'.</v>
      </c>
    </row>
    <row r="62" spans="4:8" ht="20.100000000000001" customHeight="1" x14ac:dyDescent="0.25"/>
    <row r="63" spans="4:8" ht="20.100000000000001" customHeight="1" x14ac:dyDescent="0.25">
      <c r="D63" s="10" t="s">
        <v>11</v>
      </c>
      <c r="E63" s="10" t="s">
        <v>12</v>
      </c>
    </row>
    <row r="64" spans="4:8" ht="20.100000000000001" customHeight="1" x14ac:dyDescent="0.25">
      <c r="D64" s="10" t="str" cm="1">
        <f t="array" ref="D64">Common_InputFunctions.Utility_DisplayArrayInTable(Common_SourceData.Common_SourceData_WetAndDryZones_Data(), Table_SourceData_WetDryZones[[#Headers],[Climate zone]], 0)</f>
        <v>Tropical montane</v>
      </c>
      <c r="E64" s="10" t="str" cm="1">
        <f t="array" ref="E64">Common_InputFunctions.Utility_DisplayArrayInTable(Common_SourceData.Common_SourceData_WetAndDryZones_Data(), Table_SourceData_WetDryZones[[#Headers],[Climate zone]], 0)</f>
        <v>Wet climate zone</v>
      </c>
    </row>
    <row r="65" spans="4:5" ht="20.100000000000001" customHeight="1" x14ac:dyDescent="0.25">
      <c r="D65" s="10" t="str" cm="1">
        <f t="array" ref="D65">Common_InputFunctions.Utility_DisplayArrayInTable(Common_SourceData.Common_SourceData_WetAndDryZones_Data(), Table_SourceData_WetDryZones[[#Headers],[Climate zone]], 0)</f>
        <v>Tropical wet</v>
      </c>
      <c r="E65" s="10" t="str" cm="1">
        <f t="array" ref="E65">Common_InputFunctions.Utility_DisplayArrayInTable(Common_SourceData.Common_SourceData_WetAndDryZones_Data(), Table_SourceData_WetDryZones[[#Headers],[Climate zone]], 0)</f>
        <v>Wet climate zone</v>
      </c>
    </row>
    <row r="66" spans="4:5" ht="20.100000000000001" customHeight="1" x14ac:dyDescent="0.25">
      <c r="D66" s="10" t="str" cm="1">
        <f t="array" ref="D66">Common_InputFunctions.Utility_DisplayArrayInTable(Common_SourceData.Common_SourceData_WetAndDryZones_Data(), Table_SourceData_WetDryZones[[#Headers],[Climate zone]], 0)</f>
        <v>Tropical moist</v>
      </c>
      <c r="E66" s="10" t="str" cm="1">
        <f t="array" ref="E66">Common_InputFunctions.Utility_DisplayArrayInTable(Common_SourceData.Common_SourceData_WetAndDryZones_Data(), Table_SourceData_WetDryZones[[#Headers],[Climate zone]], 0)</f>
        <v>Wet climate zone</v>
      </c>
    </row>
    <row r="67" spans="4:5" ht="20.100000000000001" customHeight="1" x14ac:dyDescent="0.25">
      <c r="D67" s="10" t="str" cm="1">
        <f t="array" ref="D67">Common_InputFunctions.Utility_DisplayArrayInTable(Common_SourceData.Common_SourceData_WetAndDryZones_Data(), Table_SourceData_WetDryZones[[#Headers],[Climate zone]], 0)</f>
        <v>Tropical dry</v>
      </c>
      <c r="E67" s="10" t="str" cm="1">
        <f t="array" ref="E67">Common_InputFunctions.Utility_DisplayArrayInTable(Common_SourceData.Common_SourceData_WetAndDryZones_Data(), Table_SourceData_WetDryZones[[#Headers],[Climate zone]], 0)</f>
        <v>Dry climate zone</v>
      </c>
    </row>
    <row r="68" spans="4:5" ht="20.100000000000001" customHeight="1" x14ac:dyDescent="0.25">
      <c r="D68" s="10" t="str" cm="1">
        <f t="array" ref="D68">Common_InputFunctions.Utility_DisplayArrayInTable(Common_SourceData.Common_SourceData_WetAndDryZones_Data(), Table_SourceData_WetDryZones[[#Headers],[Climate zone]], 0)</f>
        <v>Warm temperate moist</v>
      </c>
      <c r="E68" s="10" t="str" cm="1">
        <f t="array" ref="E68">Common_InputFunctions.Utility_DisplayArrayInTable(Common_SourceData.Common_SourceData_WetAndDryZones_Data(), Table_SourceData_WetDryZones[[#Headers],[Climate zone]], 0)</f>
        <v>Wet climate zone</v>
      </c>
    </row>
    <row r="69" spans="4:5" ht="20.100000000000001" customHeight="1" x14ac:dyDescent="0.25">
      <c r="D69" s="10" t="str" cm="1">
        <f t="array" ref="D69">Common_InputFunctions.Utility_DisplayArrayInTable(Common_SourceData.Common_SourceData_WetAndDryZones_Data(), Table_SourceData_WetDryZones[[#Headers],[Climate zone]], 0)</f>
        <v>Warm temperate dry</v>
      </c>
      <c r="E69" s="10" t="str" cm="1">
        <f t="array" ref="E69">Common_InputFunctions.Utility_DisplayArrayInTable(Common_SourceData.Common_SourceData_WetAndDryZones_Data(), Table_SourceData_WetDryZones[[#Headers],[Climate zone]], 0)</f>
        <v>Dry climate zone</v>
      </c>
    </row>
    <row r="70" spans="4:5" ht="20.100000000000001" customHeight="1" x14ac:dyDescent="0.25">
      <c r="D70" s="10" t="str" cm="1">
        <f t="array" ref="D70">Common_InputFunctions.Utility_DisplayArrayInTable(Common_SourceData.Common_SourceData_WetAndDryZones_Data(), Table_SourceData_WetDryZones[[#Headers],[Climate zone]], 0)</f>
        <v>Cool temperate moist</v>
      </c>
      <c r="E70" s="10" t="str" cm="1">
        <f t="array" ref="E70">Common_InputFunctions.Utility_DisplayArrayInTable(Common_SourceData.Common_SourceData_WetAndDryZones_Data(), Table_SourceData_WetDryZones[[#Headers],[Climate zone]], 0)</f>
        <v>Wet climate zone</v>
      </c>
    </row>
    <row r="71" spans="4:5" ht="20.100000000000001" customHeight="1" x14ac:dyDescent="0.25">
      <c r="D71" s="10" t="str" cm="1">
        <f t="array" ref="D71">Common_InputFunctions.Utility_DisplayArrayInTable(Common_SourceData.Common_SourceData_WetAndDryZones_Data(), Table_SourceData_WetDryZones[[#Headers],[Climate zone]], 0)</f>
        <v>Cool temperate dry</v>
      </c>
      <c r="E71" s="10" t="str" cm="1">
        <f t="array" ref="E71">Common_InputFunctions.Utility_DisplayArrayInTable(Common_SourceData.Common_SourceData_WetAndDryZones_Data(), Table_SourceData_WetDryZones[[#Headers],[Climate zone]], 0)</f>
        <v>Dry climate zone</v>
      </c>
    </row>
    <row r="72" spans="4:5" ht="20.100000000000001" customHeight="1" x14ac:dyDescent="0.25">
      <c r="D72" s="10" t="str" cm="1">
        <f t="array" ref="D72">Common_InputFunctions.Utility_DisplayArrayInTable(Common_SourceData.Common_SourceData_WetAndDryZones_Data(), Table_SourceData_WetDryZones[[#Headers],[Climate zone]], 0)</f>
        <v>Warm temperate moist - low frost</v>
      </c>
      <c r="E72" s="10" t="str" cm="1">
        <f t="array" ref="E72">Common_InputFunctions.Utility_DisplayArrayInTable(Common_SourceData.Common_SourceData_WetAndDryZones_Data(), Table_SourceData_WetDryZones[[#Headers],[Climate zone]], 0)</f>
        <v>Wet climate zone</v>
      </c>
    </row>
    <row r="73" spans="4:5" ht="20.100000000000001" customHeight="1" x14ac:dyDescent="0.25">
      <c r="D73" s="10" t="str" cm="1">
        <f t="array" ref="D73">Common_InputFunctions.Utility_DisplayArrayInTable(Common_SourceData.Common_SourceData_WetAndDryZones_Data(), Table_SourceData_WetDryZones[[#Headers],[Climate zone]], 0)</f>
        <v>Warm temperate dry - low frost</v>
      </c>
      <c r="E73" s="10" t="str" cm="1">
        <f t="array" ref="E73">Common_InputFunctions.Utility_DisplayArrayInTable(Common_SourceData.Common_SourceData_WetAndDryZones_Data(), Table_SourceData_WetDryZones[[#Headers],[Climate zone]], 0)</f>
        <v>Dry climate zone</v>
      </c>
    </row>
    <row r="74" spans="4:5" ht="20.100000000000001" customHeight="1" x14ac:dyDescent="0.25">
      <c r="D74" s="10" t="str" cm="1">
        <f t="array" ref="D74">Common_InputFunctions.Utility_DisplayArrayInTable(Common_SourceData.Common_SourceData_WetAndDryZones_Data(), Table_SourceData_WetDryZones[[#Headers],[Climate zone]], 0)</f>
        <v>Warm temperate moist - high temp</v>
      </c>
      <c r="E74" s="10" t="str" cm="1">
        <f t="array" ref="E74">Common_InputFunctions.Utility_DisplayArrayInTable(Common_SourceData.Common_SourceData_WetAndDryZones_Data(), Table_SourceData_WetDryZones[[#Headers],[Climate zone]], 0)</f>
        <v>Wet climate zone</v>
      </c>
    </row>
    <row r="75" spans="4:5" ht="20.100000000000001" customHeight="1" x14ac:dyDescent="0.25">
      <c r="D75" s="10" t="str" cm="1">
        <f t="array" ref="D75">Common_InputFunctions.Utility_DisplayArrayInTable(Common_SourceData.Common_SourceData_WetAndDryZones_Data(), Table_SourceData_WetDryZones[[#Headers],[Climate zone]], 0)</f>
        <v>Warm temperate dry - high temp</v>
      </c>
      <c r="E75" s="10" t="str" cm="1">
        <f t="array" ref="E75">Common_InputFunctions.Utility_DisplayArrayInTable(Common_SourceData.Common_SourceData_WetAndDryZones_Data(), Table_SourceData_WetDryZones[[#Headers],[Climate zone]], 0)</f>
        <v>Dry climate zone</v>
      </c>
    </row>
    <row r="76" spans="4:5" ht="20.100000000000001" customHeight="1" x14ac:dyDescent="0.25">
      <c r="D76" s="10" t="str" cm="1">
        <f t="array" ref="D76">Common_InputFunctions.Utility_DisplayArrayInTable(Common_SourceData.Common_SourceData_WetAndDryZones_Data(), Table_SourceData_WetDryZones[[#Headers],[Climate zone]], 0)</f>
        <v>Cool temperate moist - low frost</v>
      </c>
      <c r="E76" s="10" t="str" cm="1">
        <f t="array" ref="E76">Common_InputFunctions.Utility_DisplayArrayInTable(Common_SourceData.Common_SourceData_WetAndDryZones_Data(), Table_SourceData_WetDryZones[[#Headers],[Climate zone]], 0)</f>
        <v>Wet climate zone</v>
      </c>
    </row>
    <row r="77" spans="4:5" ht="20.100000000000001" customHeight="1" x14ac:dyDescent="0.25">
      <c r="D77" s="10" t="str" cm="1">
        <f t="array" ref="D77">Common_InputFunctions.Utility_DisplayArrayInTable(Common_SourceData.Common_SourceData_WetAndDryZones_Data(), Table_SourceData_WetDryZones[[#Headers],[Climate zone]], 0)</f>
        <v>Cool temperate dry - low frost</v>
      </c>
      <c r="E77" s="10" t="str" cm="1">
        <f t="array" ref="E77">Common_InputFunctions.Utility_DisplayArrayInTable(Common_SourceData.Common_SourceData_WetAndDryZones_Data(), Table_SourceData_WetDryZones[[#Headers],[Climate zone]], 0)</f>
        <v>Dry climate zone</v>
      </c>
    </row>
    <row r="78" spans="4:5" ht="20.100000000000001" customHeight="1" x14ac:dyDescent="0.25"/>
    <row r="79" spans="4:5" ht="20.100000000000001" customHeight="1" x14ac:dyDescent="0.25"/>
    <row r="80" spans="4:5" ht="20.100000000000001" customHeight="1" x14ac:dyDescent="0.25"/>
    <row r="81" spans="4:20" ht="20.100000000000001" customHeight="1" x14ac:dyDescent="0.25">
      <c r="D81" s="9" t="str" cm="1">
        <f t="array" ref="D81">Common_SourceData.Common_SourceData_ClimateZones_Title()</f>
        <v>VEERG Australian climate zones</v>
      </c>
    </row>
    <row r="82" spans="4:20" ht="20.100000000000001" customHeight="1" x14ac:dyDescent="0.25">
      <c r="D82" s="11" t="str" cm="1">
        <f t="array" ref="D82">Common_SourceData.Common_SourceData_ClimateZones_Source()</f>
        <v>VEERG 2026: Table 1.3: Climate and Rainfall zone classifications and definitions</v>
      </c>
    </row>
    <row r="83" spans="4:20" ht="20.100000000000001" customHeight="1" x14ac:dyDescent="0.25">
      <c r="D83" s="12" t="str" cm="1">
        <f t="array" ref="D83:D87">"⚠️" &amp; Common_SourceData.Common_SourceData_ClimateZones_Variation()</f>
        <v>⚠️VARIATION OF SOURCE DATA:</v>
      </c>
    </row>
    <row r="84" spans="4:20" ht="20.100000000000001" customHeight="1" x14ac:dyDescent="0.25">
      <c r="D84" s="12" t="str">
        <v>⚠️Added warm / cool temperate moist / dry - low frost and high temp classes to accommodate climate scenarios excluded by VEERG criteria.</v>
      </c>
    </row>
    <row r="85" spans="4:20" ht="20.100000000000001" customHeight="1" x14ac:dyDescent="0.25">
      <c r="D85" s="12" t="str">
        <v>⚠️Fixed typo in MAT value for warm temperate dry - changed 10 to 11.</v>
      </c>
    </row>
    <row r="86" spans="4:20" ht="20.100000000000001" customHeight="1" x14ac:dyDescent="0.25">
      <c r="D86" s="12" t="str">
        <v>⚠️Added min and max columns for MAT, MAP, frost days per year, elevation, MAP:PET to calculate zones from real climate data.</v>
      </c>
    </row>
    <row r="87" spans="4:20" ht="20.100000000000001" customHeight="1" x14ac:dyDescent="0.25">
      <c r="D87" s="12" t="str">
        <v>⚠️GAF accepts rainfall as a proxy for precipitation.</v>
      </c>
    </row>
    <row r="88" spans="4:20" ht="20.100000000000001" customHeight="1" x14ac:dyDescent="0.25"/>
    <row r="89" spans="4:20" ht="20.100000000000001" customHeight="1" x14ac:dyDescent="0.25">
      <c r="D89" s="10" t="s">
        <v>11</v>
      </c>
      <c r="E89" s="10" t="s">
        <v>13</v>
      </c>
      <c r="F89" s="10" t="s">
        <v>14</v>
      </c>
      <c r="G89" s="10" t="s">
        <v>15</v>
      </c>
      <c r="H89" s="10" t="s">
        <v>16</v>
      </c>
      <c r="I89" s="10" t="s">
        <v>17</v>
      </c>
      <c r="J89" s="10" t="s">
        <v>18</v>
      </c>
      <c r="K89" s="10" t="s">
        <v>19</v>
      </c>
      <c r="L89" s="10" t="s">
        <v>20</v>
      </c>
      <c r="M89" s="10" t="s">
        <v>21</v>
      </c>
      <c r="N89" s="10" t="s">
        <v>22</v>
      </c>
      <c r="O89" s="10" t="s">
        <v>23</v>
      </c>
      <c r="P89" s="10" t="s">
        <v>24</v>
      </c>
      <c r="Q89" s="10" t="s">
        <v>25</v>
      </c>
      <c r="R89" s="10" t="s">
        <v>26</v>
      </c>
      <c r="S89" s="10" t="s">
        <v>27</v>
      </c>
      <c r="T89" s="10"/>
    </row>
    <row r="90" spans="4:20" ht="20.100000000000001" customHeight="1" x14ac:dyDescent="0.25">
      <c r="D90" s="10" t="str" cm="1">
        <f t="array" ref="D90">Common_InputFunctions.Utility_DisplayArrayInTable(Common_SourceData.Common_SourceData_ClimateZones_Data(), Table_SourceData_ClimateZones[[#Headers],[Climate zone]], 0)</f>
        <v>Tropical montane</v>
      </c>
      <c r="E90" s="10" t="str" cm="1">
        <f t="array" ref="E90">Common_InputFunctions.Utility_DisplayArrayInTable(Common_SourceData.Common_SourceData_ClimateZones_Data(), Table_SourceData_ClimateZones[[#Headers],[Climate zone]], 0)</f>
        <v>&gt; 18 C</v>
      </c>
      <c r="F90" s="10" t="str" cm="1">
        <f t="array" ref="F90">Common_InputFunctions.Utility_DisplayArrayInTable(Common_SourceData.Common_SourceData_ClimateZones_Data(), Table_SourceData_ClimateZones[[#Headers],[Climate zone]], 0)</f>
        <v>Any</v>
      </c>
      <c r="G90" s="10" t="str" cm="1">
        <f t="array" ref="G90">Common_InputFunctions.Utility_DisplayArrayInTable(Common_SourceData.Common_SourceData_ClimateZones_Data(), Table_SourceData_ClimateZones[[#Headers],[Climate zone]], 0)</f>
        <v>≤ 7</v>
      </c>
      <c r="H90" s="10" t="str" cm="1">
        <f t="array" ref="H90">Common_InputFunctions.Utility_DisplayArrayInTable(Common_SourceData.Common_SourceData_ClimateZones_Data(), Table_SourceData_ClimateZones[[#Headers],[Climate zone]], 0)</f>
        <v>&gt; 1000 m</v>
      </c>
      <c r="I90" s="10" t="str" cm="1">
        <f t="array" ref="I90">Common_InputFunctions.Utility_DisplayArrayInTable(Common_SourceData.Common_SourceData_ClimateZones_Data(), Table_SourceData_ClimateZones[[#Headers],[Climate zone]], 0)</f>
        <v>Any</v>
      </c>
      <c r="J90" s="10" cm="1">
        <f t="array" ref="J90">Common_InputFunctions.Utility_DisplayArrayInTable(Common_SourceData.Common_SourceData_ClimateZones_Data(), Table_SourceData_ClimateZones[[#Headers],[Climate zone]], 0)</f>
        <v>18.001000000000001</v>
      </c>
      <c r="K90" s="10" cm="1">
        <f t="array" ref="K90">Common_InputFunctions.Utility_DisplayArrayInTable(Common_SourceData.Common_SourceData_ClimateZones_Data(), Table_SourceData_ClimateZones[[#Headers],[Climate zone]], 0)</f>
        <v>999999</v>
      </c>
      <c r="L90" s="10" cm="1">
        <f t="array" ref="L90">Common_InputFunctions.Utility_DisplayArrayInTable(Common_SourceData.Common_SourceData_ClimateZones_Data(), Table_SourceData_ClimateZones[[#Headers],[Climate zone]], 0)</f>
        <v>-999999</v>
      </c>
      <c r="M90" s="10" cm="1">
        <f t="array" ref="M90">Common_InputFunctions.Utility_DisplayArrayInTable(Common_SourceData.Common_SourceData_ClimateZones_Data(), Table_SourceData_ClimateZones[[#Headers],[Climate zone]], 0)</f>
        <v>999999</v>
      </c>
      <c r="N90" s="10" cm="1">
        <f t="array" ref="N90">Common_InputFunctions.Utility_DisplayArrayInTable(Common_SourceData.Common_SourceData_ClimateZones_Data(), Table_SourceData_ClimateZones[[#Headers],[Climate zone]], 0)</f>
        <v>-999999</v>
      </c>
      <c r="O90" s="10" cm="1">
        <f t="array" ref="O90">Common_InputFunctions.Utility_DisplayArrayInTable(Common_SourceData.Common_SourceData_ClimateZones_Data(), Table_SourceData_ClimateZones[[#Headers],[Climate zone]], 0)</f>
        <v>7</v>
      </c>
      <c r="P90" s="10" cm="1">
        <f t="array" ref="P90">Common_InputFunctions.Utility_DisplayArrayInTable(Common_SourceData.Common_SourceData_ClimateZones_Data(), Table_SourceData_ClimateZones[[#Headers],[Climate zone]], 0)</f>
        <v>1000</v>
      </c>
      <c r="Q90" s="10" cm="1">
        <f t="array" ref="Q90">Common_InputFunctions.Utility_DisplayArrayInTable(Common_SourceData.Common_SourceData_ClimateZones_Data(), Table_SourceData_ClimateZones[[#Headers],[Climate zone]], 0)</f>
        <v>999999</v>
      </c>
      <c r="R90" s="10" cm="1">
        <f t="array" ref="R90">Common_InputFunctions.Utility_DisplayArrayInTable(Common_SourceData.Common_SourceData_ClimateZones_Data(), Table_SourceData_ClimateZones[[#Headers],[Climate zone]], 0)</f>
        <v>-999999</v>
      </c>
      <c r="S90" s="10" cm="1">
        <f t="array" ref="S90">Common_InputFunctions.Utility_DisplayArrayInTable(Common_SourceData.Common_SourceData_ClimateZones_Data(), Table_SourceData_ClimateZones[[#Headers],[Climate zone]], 0)</f>
        <v>999999</v>
      </c>
      <c r="T90" s="10"/>
    </row>
    <row r="91" spans="4:20" ht="20.100000000000001" customHeight="1" x14ac:dyDescent="0.25">
      <c r="D91" s="10" t="str" cm="1">
        <f t="array" ref="D91">Common_InputFunctions.Utility_DisplayArrayInTable(Common_SourceData.Common_SourceData_ClimateZones_Data(), Table_SourceData_ClimateZones[[#Headers],[Climate zone]], 0)</f>
        <v>Tropical wet</v>
      </c>
      <c r="E91" s="10" t="str" cm="1">
        <f t="array" ref="E91">Common_InputFunctions.Utility_DisplayArrayInTable(Common_SourceData.Common_SourceData_ClimateZones_Data(), Table_SourceData_ClimateZones[[#Headers],[Climate zone]], 0)</f>
        <v>&gt; 18 C</v>
      </c>
      <c r="F91" s="10" t="str" cm="1">
        <f t="array" ref="F91">Common_InputFunctions.Utility_DisplayArrayInTable(Common_SourceData.Common_SourceData_ClimateZones_Data(), Table_SourceData_ClimateZones[[#Headers],[Climate zone]], 0)</f>
        <v>&gt; 2000 mm</v>
      </c>
      <c r="G91" s="10" t="str" cm="1">
        <f t="array" ref="G91">Common_InputFunctions.Utility_DisplayArrayInTable(Common_SourceData.Common_SourceData_ClimateZones_Data(), Table_SourceData_ClimateZones[[#Headers],[Climate zone]], 0)</f>
        <v>≤ 7</v>
      </c>
      <c r="H91" s="10" t="str" cm="1">
        <f t="array" ref="H91">Common_InputFunctions.Utility_DisplayArrayInTable(Common_SourceData.Common_SourceData_ClimateZones_Data(), Table_SourceData_ClimateZones[[#Headers],[Climate zone]], 0)</f>
        <v>≤ 1000 m</v>
      </c>
      <c r="I91" s="10" t="str" cm="1">
        <f t="array" ref="I91">Common_InputFunctions.Utility_DisplayArrayInTable(Common_SourceData.Common_SourceData_ClimateZones_Data(), Table_SourceData_ClimateZones[[#Headers],[Climate zone]], 0)</f>
        <v>Any</v>
      </c>
      <c r="J91" s="10" cm="1">
        <f t="array" ref="J91">Common_InputFunctions.Utility_DisplayArrayInTable(Common_SourceData.Common_SourceData_ClimateZones_Data(), Table_SourceData_ClimateZones[[#Headers],[Climate zone]], 0)</f>
        <v>18.001000000000001</v>
      </c>
      <c r="K91" s="10" cm="1">
        <f t="array" ref="K91">Common_InputFunctions.Utility_DisplayArrayInTable(Common_SourceData.Common_SourceData_ClimateZones_Data(), Table_SourceData_ClimateZones[[#Headers],[Climate zone]], 0)</f>
        <v>999999</v>
      </c>
      <c r="L91" s="10" cm="1">
        <f t="array" ref="L91">Common_InputFunctions.Utility_DisplayArrayInTable(Common_SourceData.Common_SourceData_ClimateZones_Data(), Table_SourceData_ClimateZones[[#Headers],[Climate zone]], 0)</f>
        <v>2000.001</v>
      </c>
      <c r="M91" s="10" cm="1">
        <f t="array" ref="M91">Common_InputFunctions.Utility_DisplayArrayInTable(Common_SourceData.Common_SourceData_ClimateZones_Data(), Table_SourceData_ClimateZones[[#Headers],[Climate zone]], 0)</f>
        <v>999999</v>
      </c>
      <c r="N91" s="10" cm="1">
        <f t="array" ref="N91">Common_InputFunctions.Utility_DisplayArrayInTable(Common_SourceData.Common_SourceData_ClimateZones_Data(), Table_SourceData_ClimateZones[[#Headers],[Climate zone]], 0)</f>
        <v>-999999</v>
      </c>
      <c r="O91" s="10" cm="1">
        <f t="array" ref="O91">Common_InputFunctions.Utility_DisplayArrayInTable(Common_SourceData.Common_SourceData_ClimateZones_Data(), Table_SourceData_ClimateZones[[#Headers],[Climate zone]], 0)</f>
        <v>7</v>
      </c>
      <c r="P91" s="10" cm="1">
        <f t="array" ref="P91">Common_InputFunctions.Utility_DisplayArrayInTable(Common_SourceData.Common_SourceData_ClimateZones_Data(), Table_SourceData_ClimateZones[[#Headers],[Climate zone]], 0)</f>
        <v>-999999</v>
      </c>
      <c r="Q91" s="10" cm="1">
        <f t="array" ref="Q91">Common_InputFunctions.Utility_DisplayArrayInTable(Common_SourceData.Common_SourceData_ClimateZones_Data(), Table_SourceData_ClimateZones[[#Headers],[Climate zone]], 0)</f>
        <v>999.99900000000002</v>
      </c>
      <c r="R91" s="10" cm="1">
        <f t="array" ref="R91">Common_InputFunctions.Utility_DisplayArrayInTable(Common_SourceData.Common_SourceData_ClimateZones_Data(), Table_SourceData_ClimateZones[[#Headers],[Climate zone]], 0)</f>
        <v>-999999</v>
      </c>
      <c r="S91" s="10" cm="1">
        <f t="array" ref="S91">Common_InputFunctions.Utility_DisplayArrayInTable(Common_SourceData.Common_SourceData_ClimateZones_Data(), Table_SourceData_ClimateZones[[#Headers],[Climate zone]], 0)</f>
        <v>999999</v>
      </c>
      <c r="T91" s="10"/>
    </row>
    <row r="92" spans="4:20" ht="20.100000000000001" customHeight="1" x14ac:dyDescent="0.25">
      <c r="D92" s="10" t="str" cm="1">
        <f t="array" ref="D92">Common_InputFunctions.Utility_DisplayArrayInTable(Common_SourceData.Common_SourceData_ClimateZones_Data(), Table_SourceData_ClimateZones[[#Headers],[Climate zone]], 0)</f>
        <v>Tropical moist</v>
      </c>
      <c r="E92" s="10" t="str" cm="1">
        <f t="array" ref="E92">Common_InputFunctions.Utility_DisplayArrayInTable(Common_SourceData.Common_SourceData_ClimateZones_Data(), Table_SourceData_ClimateZones[[#Headers],[Climate zone]], 0)</f>
        <v>&gt; 18 C</v>
      </c>
      <c r="F92" s="10" t="str" cm="1">
        <f t="array" ref="F92">Common_InputFunctions.Utility_DisplayArrayInTable(Common_SourceData.Common_SourceData_ClimateZones_Data(), Table_SourceData_ClimateZones[[#Headers],[Climate zone]], 0)</f>
        <v>&gt; 1000 mm - ≤ 2000 mm</v>
      </c>
      <c r="G92" s="10" t="str" cm="1">
        <f t="array" ref="G92">Common_InputFunctions.Utility_DisplayArrayInTable(Common_SourceData.Common_SourceData_ClimateZones_Data(), Table_SourceData_ClimateZones[[#Headers],[Climate zone]], 0)</f>
        <v>≤ 7</v>
      </c>
      <c r="H92" s="10" t="str" cm="1">
        <f t="array" ref="H92">Common_InputFunctions.Utility_DisplayArrayInTable(Common_SourceData.Common_SourceData_ClimateZones_Data(), Table_SourceData_ClimateZones[[#Headers],[Climate zone]], 0)</f>
        <v>≤ 1000 m</v>
      </c>
      <c r="I92" s="10" t="str" cm="1">
        <f t="array" ref="I92">Common_InputFunctions.Utility_DisplayArrayInTable(Common_SourceData.Common_SourceData_ClimateZones_Data(), Table_SourceData_ClimateZones[[#Headers],[Climate zone]], 0)</f>
        <v>Any</v>
      </c>
      <c r="J92" s="10" cm="1">
        <f t="array" ref="J92">Common_InputFunctions.Utility_DisplayArrayInTable(Common_SourceData.Common_SourceData_ClimateZones_Data(), Table_SourceData_ClimateZones[[#Headers],[Climate zone]], 0)</f>
        <v>18.001000000000001</v>
      </c>
      <c r="K92" s="10" cm="1">
        <f t="array" ref="K92">Common_InputFunctions.Utility_DisplayArrayInTable(Common_SourceData.Common_SourceData_ClimateZones_Data(), Table_SourceData_ClimateZones[[#Headers],[Climate zone]], 0)</f>
        <v>999999</v>
      </c>
      <c r="L92" s="10" cm="1">
        <f t="array" ref="L92">Common_InputFunctions.Utility_DisplayArrayInTable(Common_SourceData.Common_SourceData_ClimateZones_Data(), Table_SourceData_ClimateZones[[#Headers],[Climate zone]], 0)</f>
        <v>1000.001</v>
      </c>
      <c r="M92" s="10" cm="1">
        <f t="array" ref="M92">Common_InputFunctions.Utility_DisplayArrayInTable(Common_SourceData.Common_SourceData_ClimateZones_Data(), Table_SourceData_ClimateZones[[#Headers],[Climate zone]], 0)</f>
        <v>2000</v>
      </c>
      <c r="N92" s="10" cm="1">
        <f t="array" ref="N92">Common_InputFunctions.Utility_DisplayArrayInTable(Common_SourceData.Common_SourceData_ClimateZones_Data(), Table_SourceData_ClimateZones[[#Headers],[Climate zone]], 0)</f>
        <v>-999999</v>
      </c>
      <c r="O92" s="10" cm="1">
        <f t="array" ref="O92">Common_InputFunctions.Utility_DisplayArrayInTable(Common_SourceData.Common_SourceData_ClimateZones_Data(), Table_SourceData_ClimateZones[[#Headers],[Climate zone]], 0)</f>
        <v>7</v>
      </c>
      <c r="P92" s="10" cm="1">
        <f t="array" ref="P92">Common_InputFunctions.Utility_DisplayArrayInTable(Common_SourceData.Common_SourceData_ClimateZones_Data(), Table_SourceData_ClimateZones[[#Headers],[Climate zone]], 0)</f>
        <v>-999999</v>
      </c>
      <c r="Q92" s="10" cm="1">
        <f t="array" ref="Q92">Common_InputFunctions.Utility_DisplayArrayInTable(Common_SourceData.Common_SourceData_ClimateZones_Data(), Table_SourceData_ClimateZones[[#Headers],[Climate zone]], 0)</f>
        <v>999.99900000000002</v>
      </c>
      <c r="R92" s="10" cm="1">
        <f t="array" ref="R92">Common_InputFunctions.Utility_DisplayArrayInTable(Common_SourceData.Common_SourceData_ClimateZones_Data(), Table_SourceData_ClimateZones[[#Headers],[Climate zone]], 0)</f>
        <v>-999999</v>
      </c>
      <c r="S92" s="10" cm="1">
        <f t="array" ref="S92">Common_InputFunctions.Utility_DisplayArrayInTable(Common_SourceData.Common_SourceData_ClimateZones_Data(), Table_SourceData_ClimateZones[[#Headers],[Climate zone]], 0)</f>
        <v>999999</v>
      </c>
      <c r="T92" s="10"/>
    </row>
    <row r="93" spans="4:20" ht="20.100000000000001" customHeight="1" x14ac:dyDescent="0.25">
      <c r="D93" s="10" t="str" cm="1">
        <f t="array" ref="D93">Common_InputFunctions.Utility_DisplayArrayInTable(Common_SourceData.Common_SourceData_ClimateZones_Data(), Table_SourceData_ClimateZones[[#Headers],[Climate zone]], 0)</f>
        <v>Tropical dry</v>
      </c>
      <c r="E93" s="10" t="str" cm="1">
        <f t="array" ref="E93">Common_InputFunctions.Utility_DisplayArrayInTable(Common_SourceData.Common_SourceData_ClimateZones_Data(), Table_SourceData_ClimateZones[[#Headers],[Climate zone]], 0)</f>
        <v>&gt; 18 C</v>
      </c>
      <c r="F93" s="10" t="str" cm="1">
        <f t="array" ref="F93">Common_InputFunctions.Utility_DisplayArrayInTable(Common_SourceData.Common_SourceData_ClimateZones_Data(), Table_SourceData_ClimateZones[[#Headers],[Climate zone]], 0)</f>
        <v>≤ 1000 mm</v>
      </c>
      <c r="G93" s="10" t="str" cm="1">
        <f t="array" ref="G93">Common_InputFunctions.Utility_DisplayArrayInTable(Common_SourceData.Common_SourceData_ClimateZones_Data(), Table_SourceData_ClimateZones[[#Headers],[Climate zone]], 0)</f>
        <v>≤ 7</v>
      </c>
      <c r="H93" s="10" t="str" cm="1">
        <f t="array" ref="H93">Common_InputFunctions.Utility_DisplayArrayInTable(Common_SourceData.Common_SourceData_ClimateZones_Data(), Table_SourceData_ClimateZones[[#Headers],[Climate zone]], 0)</f>
        <v>≤ 1000 m</v>
      </c>
      <c r="I93" s="10" t="str" cm="1">
        <f t="array" ref="I93">Common_InputFunctions.Utility_DisplayArrayInTable(Common_SourceData.Common_SourceData_ClimateZones_Data(), Table_SourceData_ClimateZones[[#Headers],[Climate zone]], 0)</f>
        <v>Any</v>
      </c>
      <c r="J93" s="10" cm="1">
        <f t="array" ref="J93">Common_InputFunctions.Utility_DisplayArrayInTable(Common_SourceData.Common_SourceData_ClimateZones_Data(), Table_SourceData_ClimateZones[[#Headers],[Climate zone]], 0)</f>
        <v>18.001000000000001</v>
      </c>
      <c r="K93" s="10" cm="1">
        <f t="array" ref="K93">Common_InputFunctions.Utility_DisplayArrayInTable(Common_SourceData.Common_SourceData_ClimateZones_Data(), Table_SourceData_ClimateZones[[#Headers],[Climate zone]], 0)</f>
        <v>999999</v>
      </c>
      <c r="L93" s="10" cm="1">
        <f t="array" ref="L93">Common_InputFunctions.Utility_DisplayArrayInTable(Common_SourceData.Common_SourceData_ClimateZones_Data(), Table_SourceData_ClimateZones[[#Headers],[Climate zone]], 0)</f>
        <v>-999999</v>
      </c>
      <c r="M93" s="10" cm="1">
        <f t="array" ref="M93">Common_InputFunctions.Utility_DisplayArrayInTable(Common_SourceData.Common_SourceData_ClimateZones_Data(), Table_SourceData_ClimateZones[[#Headers],[Climate zone]], 0)</f>
        <v>1000</v>
      </c>
      <c r="N93" s="10" cm="1">
        <f t="array" ref="N93">Common_InputFunctions.Utility_DisplayArrayInTable(Common_SourceData.Common_SourceData_ClimateZones_Data(), Table_SourceData_ClimateZones[[#Headers],[Climate zone]], 0)</f>
        <v>-999999</v>
      </c>
      <c r="O93" s="10" cm="1">
        <f t="array" ref="O93">Common_InputFunctions.Utility_DisplayArrayInTable(Common_SourceData.Common_SourceData_ClimateZones_Data(), Table_SourceData_ClimateZones[[#Headers],[Climate zone]], 0)</f>
        <v>7</v>
      </c>
      <c r="P93" s="10" cm="1">
        <f t="array" ref="P93">Common_InputFunctions.Utility_DisplayArrayInTable(Common_SourceData.Common_SourceData_ClimateZones_Data(), Table_SourceData_ClimateZones[[#Headers],[Climate zone]], 0)</f>
        <v>-999999</v>
      </c>
      <c r="Q93" s="10" cm="1">
        <f t="array" ref="Q93">Common_InputFunctions.Utility_DisplayArrayInTable(Common_SourceData.Common_SourceData_ClimateZones_Data(), Table_SourceData_ClimateZones[[#Headers],[Climate zone]], 0)</f>
        <v>999.99900000000002</v>
      </c>
      <c r="R93" s="10" cm="1">
        <f t="array" ref="R93">Common_InputFunctions.Utility_DisplayArrayInTable(Common_SourceData.Common_SourceData_ClimateZones_Data(), Table_SourceData_ClimateZones[[#Headers],[Climate zone]], 0)</f>
        <v>-999999</v>
      </c>
      <c r="S93" s="10" cm="1">
        <f t="array" ref="S93">Common_InputFunctions.Utility_DisplayArrayInTable(Common_SourceData.Common_SourceData_ClimateZones_Data(), Table_SourceData_ClimateZones[[#Headers],[Climate zone]], 0)</f>
        <v>999999</v>
      </c>
      <c r="T93" s="10"/>
    </row>
    <row r="94" spans="4:20" ht="20.100000000000001" customHeight="1" x14ac:dyDescent="0.25">
      <c r="D94" s="10" t="str" cm="1">
        <f t="array" ref="D94">Common_InputFunctions.Utility_DisplayArrayInTable(Common_SourceData.Common_SourceData_ClimateZones_Data(), Table_SourceData_ClimateZones[[#Headers],[Climate zone]], 0)</f>
        <v>Warm temperate moist</v>
      </c>
      <c r="E94" s="10" t="str" cm="1">
        <f t="array" ref="E94">Common_InputFunctions.Utility_DisplayArrayInTable(Common_SourceData.Common_SourceData_ClimateZones_Data(), Table_SourceData_ClimateZones[[#Headers],[Climate zone]], 0)</f>
        <v>&gt; 10 C</v>
      </c>
      <c r="F94" s="10" t="str" cm="1">
        <f t="array" ref="F94">Common_InputFunctions.Utility_DisplayArrayInTable(Common_SourceData.Common_SourceData_ClimateZones_Data(), Table_SourceData_ClimateZones[[#Headers],[Climate zone]], 0)</f>
        <v>Any</v>
      </c>
      <c r="G94" s="10" t="str" cm="1">
        <f t="array" ref="G94">Common_InputFunctions.Utility_DisplayArrayInTable(Common_SourceData.Common_SourceData_ClimateZones_Data(), Table_SourceData_ClimateZones[[#Headers],[Climate zone]], 0)</f>
        <v>Any</v>
      </c>
      <c r="H94" s="10" t="str" cm="1">
        <f t="array" ref="H94">Common_InputFunctions.Utility_DisplayArrayInTable(Common_SourceData.Common_SourceData_ClimateZones_Data(), Table_SourceData_ClimateZones[[#Headers],[Climate zone]], 0)</f>
        <v>Any</v>
      </c>
      <c r="I94" s="10" t="str" cm="1">
        <f t="array" ref="I94">Common_InputFunctions.Utility_DisplayArrayInTable(Common_SourceData.Common_SourceData_ClimateZones_Data(), Table_SourceData_ClimateZones[[#Headers],[Climate zone]], 0)</f>
        <v>&gt; 1</v>
      </c>
      <c r="J94" s="10" cm="1">
        <f t="array" ref="J94">Common_InputFunctions.Utility_DisplayArrayInTable(Common_SourceData.Common_SourceData_ClimateZones_Data(), Table_SourceData_ClimateZones[[#Headers],[Climate zone]], 0)</f>
        <v>10.000999999999999</v>
      </c>
      <c r="K94" s="10" cm="1">
        <f t="array" ref="K94">Common_InputFunctions.Utility_DisplayArrayInTable(Common_SourceData.Common_SourceData_ClimateZones_Data(), Table_SourceData_ClimateZones[[#Headers],[Climate zone]], 0)</f>
        <v>999999</v>
      </c>
      <c r="L94" s="10" cm="1">
        <f t="array" ref="L94">Common_InputFunctions.Utility_DisplayArrayInTable(Common_SourceData.Common_SourceData_ClimateZones_Data(), Table_SourceData_ClimateZones[[#Headers],[Climate zone]], 0)</f>
        <v>-999999</v>
      </c>
      <c r="M94" s="10" cm="1">
        <f t="array" ref="M94">Common_InputFunctions.Utility_DisplayArrayInTable(Common_SourceData.Common_SourceData_ClimateZones_Data(), Table_SourceData_ClimateZones[[#Headers],[Climate zone]], 0)</f>
        <v>999999</v>
      </c>
      <c r="N94" s="10" cm="1">
        <f t="array" ref="N94">Common_InputFunctions.Utility_DisplayArrayInTable(Common_SourceData.Common_SourceData_ClimateZones_Data(), Table_SourceData_ClimateZones[[#Headers],[Climate zone]], 0)</f>
        <v>-999999</v>
      </c>
      <c r="O94" s="10" cm="1">
        <f t="array" ref="O94">Common_InputFunctions.Utility_DisplayArrayInTable(Common_SourceData.Common_SourceData_ClimateZones_Data(), Table_SourceData_ClimateZones[[#Headers],[Climate zone]], 0)</f>
        <v>999999</v>
      </c>
      <c r="P94" s="10" cm="1">
        <f t="array" ref="P94">Common_InputFunctions.Utility_DisplayArrayInTable(Common_SourceData.Common_SourceData_ClimateZones_Data(), Table_SourceData_ClimateZones[[#Headers],[Climate zone]], 0)</f>
        <v>-999999</v>
      </c>
      <c r="Q94" s="10" cm="1">
        <f t="array" ref="Q94">Common_InputFunctions.Utility_DisplayArrayInTable(Common_SourceData.Common_SourceData_ClimateZones_Data(), Table_SourceData_ClimateZones[[#Headers],[Climate zone]], 0)</f>
        <v>999999</v>
      </c>
      <c r="R94" s="10" cm="1">
        <f t="array" ref="R94">Common_InputFunctions.Utility_DisplayArrayInTable(Common_SourceData.Common_SourceData_ClimateZones_Data(), Table_SourceData_ClimateZones[[#Headers],[Climate zone]], 0)</f>
        <v>1.0009999999999999</v>
      </c>
      <c r="S94" s="10" cm="1">
        <f t="array" ref="S94">Common_InputFunctions.Utility_DisplayArrayInTable(Common_SourceData.Common_SourceData_ClimateZones_Data(), Table_SourceData_ClimateZones[[#Headers],[Climate zone]], 0)</f>
        <v>999999</v>
      </c>
      <c r="T94" s="10"/>
    </row>
    <row r="95" spans="4:20" ht="20.100000000000001" customHeight="1" x14ac:dyDescent="0.25">
      <c r="D95" s="10" t="str" cm="1">
        <f t="array" ref="D95">Common_InputFunctions.Utility_DisplayArrayInTable(Common_SourceData.Common_SourceData_ClimateZones_Data(), Table_SourceData_ClimateZones[[#Headers],[Climate zone]], 0)</f>
        <v>Warm temperate dry</v>
      </c>
      <c r="E95" s="10" t="str" cm="1">
        <f t="array" ref="E95">Common_InputFunctions.Utility_DisplayArrayInTable(Common_SourceData.Common_SourceData_ClimateZones_Data(), Table_SourceData_ClimateZones[[#Headers],[Climate zone]], 0)</f>
        <v>&gt; 10 C</v>
      </c>
      <c r="F95" s="10" t="str" cm="1">
        <f t="array" ref="F95">Common_InputFunctions.Utility_DisplayArrayInTable(Common_SourceData.Common_SourceData_ClimateZones_Data(), Table_SourceData_ClimateZones[[#Headers],[Climate zone]], 0)</f>
        <v>Any</v>
      </c>
      <c r="G95" s="10" t="str" cm="1">
        <f t="array" ref="G95">Common_InputFunctions.Utility_DisplayArrayInTable(Common_SourceData.Common_SourceData_ClimateZones_Data(), Table_SourceData_ClimateZones[[#Headers],[Climate zone]], 0)</f>
        <v>Any</v>
      </c>
      <c r="H95" s="10" t="str" cm="1">
        <f t="array" ref="H95">Common_InputFunctions.Utility_DisplayArrayInTable(Common_SourceData.Common_SourceData_ClimateZones_Data(), Table_SourceData_ClimateZones[[#Headers],[Climate zone]], 0)</f>
        <v>Any</v>
      </c>
      <c r="I95" s="10" t="str" cm="1">
        <f t="array" ref="I95">Common_InputFunctions.Utility_DisplayArrayInTable(Common_SourceData.Common_SourceData_ClimateZones_Data(), Table_SourceData_ClimateZones[[#Headers],[Climate zone]], 0)</f>
        <v>≤ 1</v>
      </c>
      <c r="J95" s="10" cm="1">
        <f t="array" ref="J95">Common_InputFunctions.Utility_DisplayArrayInTable(Common_SourceData.Common_SourceData_ClimateZones_Data(), Table_SourceData_ClimateZones[[#Headers],[Climate zone]], 0)</f>
        <v>10.000999999999999</v>
      </c>
      <c r="K95" s="10" cm="1">
        <f t="array" ref="K95">Common_InputFunctions.Utility_DisplayArrayInTable(Common_SourceData.Common_SourceData_ClimateZones_Data(), Table_SourceData_ClimateZones[[#Headers],[Climate zone]], 0)</f>
        <v>999999</v>
      </c>
      <c r="L95" s="10" cm="1">
        <f t="array" ref="L95">Common_InputFunctions.Utility_DisplayArrayInTable(Common_SourceData.Common_SourceData_ClimateZones_Data(), Table_SourceData_ClimateZones[[#Headers],[Climate zone]], 0)</f>
        <v>-999999</v>
      </c>
      <c r="M95" s="10" cm="1">
        <f t="array" ref="M95">Common_InputFunctions.Utility_DisplayArrayInTable(Common_SourceData.Common_SourceData_ClimateZones_Data(), Table_SourceData_ClimateZones[[#Headers],[Climate zone]], 0)</f>
        <v>999999</v>
      </c>
      <c r="N95" s="10" cm="1">
        <f t="array" ref="N95">Common_InputFunctions.Utility_DisplayArrayInTable(Common_SourceData.Common_SourceData_ClimateZones_Data(), Table_SourceData_ClimateZones[[#Headers],[Climate zone]], 0)</f>
        <v>-999999</v>
      </c>
      <c r="O95" s="10" cm="1">
        <f t="array" ref="O95">Common_InputFunctions.Utility_DisplayArrayInTable(Common_SourceData.Common_SourceData_ClimateZones_Data(), Table_SourceData_ClimateZones[[#Headers],[Climate zone]], 0)</f>
        <v>999999</v>
      </c>
      <c r="P95" s="10" cm="1">
        <f t="array" ref="P95">Common_InputFunctions.Utility_DisplayArrayInTable(Common_SourceData.Common_SourceData_ClimateZones_Data(), Table_SourceData_ClimateZones[[#Headers],[Climate zone]], 0)</f>
        <v>-999999</v>
      </c>
      <c r="Q95" s="10" cm="1">
        <f t="array" ref="Q95">Common_InputFunctions.Utility_DisplayArrayInTable(Common_SourceData.Common_SourceData_ClimateZones_Data(), Table_SourceData_ClimateZones[[#Headers],[Climate zone]], 0)</f>
        <v>999999</v>
      </c>
      <c r="R95" s="10" cm="1">
        <f t="array" ref="R95">Common_InputFunctions.Utility_DisplayArrayInTable(Common_SourceData.Common_SourceData_ClimateZones_Data(), Table_SourceData_ClimateZones[[#Headers],[Climate zone]], 0)</f>
        <v>-999999</v>
      </c>
      <c r="S95" s="10" cm="1">
        <f t="array" ref="S95">Common_InputFunctions.Utility_DisplayArrayInTable(Common_SourceData.Common_SourceData_ClimateZones_Data(), Table_SourceData_ClimateZones[[#Headers],[Climate zone]], 0)</f>
        <v>1</v>
      </c>
      <c r="T95" s="10"/>
    </row>
    <row r="96" spans="4:20" ht="20.100000000000001" customHeight="1" x14ac:dyDescent="0.25">
      <c r="D96" s="10" t="str" cm="1">
        <f t="array" ref="D96">Common_InputFunctions.Utility_DisplayArrayInTable(Common_SourceData.Common_SourceData_ClimateZones_Data(), Table_SourceData_ClimateZones[[#Headers],[Climate zone]], 0)</f>
        <v>Cool temperate moist</v>
      </c>
      <c r="E96" s="10" t="str" cm="1">
        <f t="array" ref="E96">Common_InputFunctions.Utility_DisplayArrayInTable(Common_SourceData.Common_SourceData_ClimateZones_Data(), Table_SourceData_ClimateZones[[#Headers],[Climate zone]], 0)</f>
        <v>&gt; 0 C - ≤ 10 C</v>
      </c>
      <c r="F96" s="10" t="str" cm="1">
        <f t="array" ref="F96">Common_InputFunctions.Utility_DisplayArrayInTable(Common_SourceData.Common_SourceData_ClimateZones_Data(), Table_SourceData_ClimateZones[[#Headers],[Climate zone]], 0)</f>
        <v>Any</v>
      </c>
      <c r="G96" s="10" t="str" cm="1">
        <f t="array" ref="G96">Common_InputFunctions.Utility_DisplayArrayInTable(Common_SourceData.Common_SourceData_ClimateZones_Data(), Table_SourceData_ClimateZones[[#Headers],[Climate zone]], 0)</f>
        <v>Any</v>
      </c>
      <c r="H96" s="10" t="str" cm="1">
        <f t="array" ref="H96">Common_InputFunctions.Utility_DisplayArrayInTable(Common_SourceData.Common_SourceData_ClimateZones_Data(), Table_SourceData_ClimateZones[[#Headers],[Climate zone]], 0)</f>
        <v>Any</v>
      </c>
      <c r="I96" s="10" t="str" cm="1">
        <f t="array" ref="I96">Common_InputFunctions.Utility_DisplayArrayInTable(Common_SourceData.Common_SourceData_ClimateZones_Data(), Table_SourceData_ClimateZones[[#Headers],[Climate zone]], 0)</f>
        <v>&gt; 1</v>
      </c>
      <c r="J96" s="10" cm="1">
        <f t="array" ref="J96">Common_InputFunctions.Utility_DisplayArrayInTable(Common_SourceData.Common_SourceData_ClimateZones_Data(), Table_SourceData_ClimateZones[[#Headers],[Climate zone]], 0)</f>
        <v>-999999</v>
      </c>
      <c r="K96" s="10" cm="1">
        <f t="array" ref="K96">Common_InputFunctions.Utility_DisplayArrayInTable(Common_SourceData.Common_SourceData_ClimateZones_Data(), Table_SourceData_ClimateZones[[#Headers],[Climate zone]], 0)</f>
        <v>10</v>
      </c>
      <c r="L96" s="10" cm="1">
        <f t="array" ref="L96">Common_InputFunctions.Utility_DisplayArrayInTable(Common_SourceData.Common_SourceData_ClimateZones_Data(), Table_SourceData_ClimateZones[[#Headers],[Climate zone]], 0)</f>
        <v>-999999</v>
      </c>
      <c r="M96" s="10" cm="1">
        <f t="array" ref="M96">Common_InputFunctions.Utility_DisplayArrayInTable(Common_SourceData.Common_SourceData_ClimateZones_Data(), Table_SourceData_ClimateZones[[#Headers],[Climate zone]], 0)</f>
        <v>999999</v>
      </c>
      <c r="N96" s="10" cm="1">
        <f t="array" ref="N96">Common_InputFunctions.Utility_DisplayArrayInTable(Common_SourceData.Common_SourceData_ClimateZones_Data(), Table_SourceData_ClimateZones[[#Headers],[Climate zone]], 0)</f>
        <v>-999999</v>
      </c>
      <c r="O96" s="10" cm="1">
        <f t="array" ref="O96">Common_InputFunctions.Utility_DisplayArrayInTable(Common_SourceData.Common_SourceData_ClimateZones_Data(), Table_SourceData_ClimateZones[[#Headers],[Climate zone]], 0)</f>
        <v>999999</v>
      </c>
      <c r="P96" s="10" cm="1">
        <f t="array" ref="P96">Common_InputFunctions.Utility_DisplayArrayInTable(Common_SourceData.Common_SourceData_ClimateZones_Data(), Table_SourceData_ClimateZones[[#Headers],[Climate zone]], 0)</f>
        <v>-999999</v>
      </c>
      <c r="Q96" s="10" cm="1">
        <f t="array" ref="Q96">Common_InputFunctions.Utility_DisplayArrayInTable(Common_SourceData.Common_SourceData_ClimateZones_Data(), Table_SourceData_ClimateZones[[#Headers],[Climate zone]], 0)</f>
        <v>999999</v>
      </c>
      <c r="R96" s="10" cm="1">
        <f t="array" ref="R96">Common_InputFunctions.Utility_DisplayArrayInTable(Common_SourceData.Common_SourceData_ClimateZones_Data(), Table_SourceData_ClimateZones[[#Headers],[Climate zone]], 0)</f>
        <v>1.0009999999999999</v>
      </c>
      <c r="S96" s="10" cm="1">
        <f t="array" ref="S96">Common_InputFunctions.Utility_DisplayArrayInTable(Common_SourceData.Common_SourceData_ClimateZones_Data(), Table_SourceData_ClimateZones[[#Headers],[Climate zone]], 0)</f>
        <v>999999</v>
      </c>
      <c r="T96" s="10"/>
    </row>
    <row r="97" spans="4:20" ht="20.100000000000001" customHeight="1" x14ac:dyDescent="0.25">
      <c r="D97" s="10" t="str" cm="1">
        <f t="array" ref="D97">Common_InputFunctions.Utility_DisplayArrayInTable(Common_SourceData.Common_SourceData_ClimateZones_Data(), Table_SourceData_ClimateZones[[#Headers],[Climate zone]], 0)</f>
        <v>Cool temperate dry</v>
      </c>
      <c r="E97" s="10" t="str" cm="1">
        <f t="array" ref="E97">Common_InputFunctions.Utility_DisplayArrayInTable(Common_SourceData.Common_SourceData_ClimateZones_Data(), Table_SourceData_ClimateZones[[#Headers],[Climate zone]], 0)</f>
        <v>&gt; 0 C - ≤ 10 C</v>
      </c>
      <c r="F97" s="10" t="str" cm="1">
        <f t="array" ref="F97">Common_InputFunctions.Utility_DisplayArrayInTable(Common_SourceData.Common_SourceData_ClimateZones_Data(), Table_SourceData_ClimateZones[[#Headers],[Climate zone]], 0)</f>
        <v>Any</v>
      </c>
      <c r="G97" s="10" t="str" cm="1">
        <f t="array" ref="G97">Common_InputFunctions.Utility_DisplayArrayInTable(Common_SourceData.Common_SourceData_ClimateZones_Data(), Table_SourceData_ClimateZones[[#Headers],[Climate zone]], 0)</f>
        <v>Any</v>
      </c>
      <c r="H97" s="10" t="str" cm="1">
        <f t="array" ref="H97">Common_InputFunctions.Utility_DisplayArrayInTable(Common_SourceData.Common_SourceData_ClimateZones_Data(), Table_SourceData_ClimateZones[[#Headers],[Climate zone]], 0)</f>
        <v>Any</v>
      </c>
      <c r="I97" s="10" t="str" cm="1">
        <f t="array" ref="I97">Common_InputFunctions.Utility_DisplayArrayInTable(Common_SourceData.Common_SourceData_ClimateZones_Data(), Table_SourceData_ClimateZones[[#Headers],[Climate zone]], 0)</f>
        <v>≤ 1</v>
      </c>
      <c r="J97" s="10" cm="1">
        <f t="array" ref="J97">Common_InputFunctions.Utility_DisplayArrayInTable(Common_SourceData.Common_SourceData_ClimateZones_Data(), Table_SourceData_ClimateZones[[#Headers],[Climate zone]], 0)</f>
        <v>-999999</v>
      </c>
      <c r="K97" s="10" cm="1">
        <f t="array" ref="K97">Common_InputFunctions.Utility_DisplayArrayInTable(Common_SourceData.Common_SourceData_ClimateZones_Data(), Table_SourceData_ClimateZones[[#Headers],[Climate zone]], 0)</f>
        <v>10</v>
      </c>
      <c r="L97" s="10" cm="1">
        <f t="array" ref="L97">Common_InputFunctions.Utility_DisplayArrayInTable(Common_SourceData.Common_SourceData_ClimateZones_Data(), Table_SourceData_ClimateZones[[#Headers],[Climate zone]], 0)</f>
        <v>-999999</v>
      </c>
      <c r="M97" s="10" cm="1">
        <f t="array" ref="M97">Common_InputFunctions.Utility_DisplayArrayInTable(Common_SourceData.Common_SourceData_ClimateZones_Data(), Table_SourceData_ClimateZones[[#Headers],[Climate zone]], 0)</f>
        <v>999999</v>
      </c>
      <c r="N97" s="10" cm="1">
        <f t="array" ref="N97">Common_InputFunctions.Utility_DisplayArrayInTable(Common_SourceData.Common_SourceData_ClimateZones_Data(), Table_SourceData_ClimateZones[[#Headers],[Climate zone]], 0)</f>
        <v>-999999</v>
      </c>
      <c r="O97" s="10" cm="1">
        <f t="array" ref="O97">Common_InputFunctions.Utility_DisplayArrayInTable(Common_SourceData.Common_SourceData_ClimateZones_Data(), Table_SourceData_ClimateZones[[#Headers],[Climate zone]], 0)</f>
        <v>999999</v>
      </c>
      <c r="P97" s="10" cm="1">
        <f t="array" ref="P97">Common_InputFunctions.Utility_DisplayArrayInTable(Common_SourceData.Common_SourceData_ClimateZones_Data(), Table_SourceData_ClimateZones[[#Headers],[Climate zone]], 0)</f>
        <v>-999999</v>
      </c>
      <c r="Q97" s="10" cm="1">
        <f t="array" ref="Q97">Common_InputFunctions.Utility_DisplayArrayInTable(Common_SourceData.Common_SourceData_ClimateZones_Data(), Table_SourceData_ClimateZones[[#Headers],[Climate zone]], 0)</f>
        <v>999999</v>
      </c>
      <c r="R97" s="10" cm="1">
        <f t="array" ref="R97">Common_InputFunctions.Utility_DisplayArrayInTable(Common_SourceData.Common_SourceData_ClimateZones_Data(), Table_SourceData_ClimateZones[[#Headers],[Climate zone]], 0)</f>
        <v>-999999</v>
      </c>
      <c r="S97" s="10" cm="1">
        <f t="array" ref="S97">Common_InputFunctions.Utility_DisplayArrayInTable(Common_SourceData.Common_SourceData_ClimateZones_Data(), Table_SourceData_ClimateZones[[#Headers],[Climate zone]], 0)</f>
        <v>1</v>
      </c>
      <c r="T97" s="10"/>
    </row>
    <row r="98" spans="4:20" ht="20.100000000000001" customHeight="1" x14ac:dyDescent="0.25">
      <c r="D98" s="13" t="str" cm="1">
        <f t="array" ref="D98:D101">Common_SourceData.Common_SourceData_ClimateZones_Appendices()</f>
        <v>Note:</v>
      </c>
    </row>
    <row r="99" spans="4:20" ht="20.100000000000001" customHeight="1" x14ac:dyDescent="0.25">
      <c r="D99" s="13" t="str">
        <v>MAT = mean annual temperature</v>
      </c>
    </row>
    <row r="100" spans="4:20" ht="20.100000000000001" customHeight="1" x14ac:dyDescent="0.25">
      <c r="D100" s="13" t="str">
        <v>MAP = mean annual precipitation</v>
      </c>
    </row>
    <row r="101" spans="4:20" ht="20.100000000000001" customHeight="1" x14ac:dyDescent="0.25">
      <c r="D101" s="13" t="str">
        <v>PET = potential evapotranspiration</v>
      </c>
    </row>
    <row r="102" spans="4:20" ht="20.100000000000001" customHeight="1" x14ac:dyDescent="0.25">
      <c r="D102" s="13"/>
    </row>
    <row r="103" spans="4:20" ht="20.100000000000001" customHeight="1" x14ac:dyDescent="0.25"/>
    <row r="104" spans="4:20" ht="20.100000000000001" customHeight="1" x14ac:dyDescent="0.25"/>
    <row r="105" spans="4:20" ht="20.100000000000001" customHeight="1" x14ac:dyDescent="0.25">
      <c r="D105" s="9" t="str" cm="1">
        <f t="array" ref="D105">Common_SourceData.Common_SourceData_TemperatureZones_Title()</f>
        <v>VEERG Australian temperature zones</v>
      </c>
    </row>
    <row r="106" spans="4:20" ht="20.100000000000001" customHeight="1" x14ac:dyDescent="0.25">
      <c r="D106" s="11" t="str" cm="1">
        <f t="array" ref="D106">Common_SourceData.Common_SourceData_TemperatureZones_Source()</f>
        <v>VEERG 2026: Table 1.3: Climate and Rainfall zone classifications and definitions</v>
      </c>
    </row>
    <row r="107" spans="4:20" ht="20.100000000000001" customHeight="1" x14ac:dyDescent="0.25">
      <c r="D107" s="12" t="str" cm="1">
        <f t="array" ref="D107">"⚠️" &amp; Common_SourceData.Common_SourceData_TemperatureZones_Variation()</f>
        <v>⚠️VARIATION OF SOURCE DATA: Added extra MAT min and MAT max columns to calculate zone from real temperature data.</v>
      </c>
    </row>
    <row r="108" spans="4:20" ht="20.100000000000001" customHeight="1" x14ac:dyDescent="0.25"/>
    <row r="109" spans="4:20" ht="20.100000000000001" customHeight="1" x14ac:dyDescent="0.25">
      <c r="D109" s="10" t="s">
        <v>28</v>
      </c>
      <c r="E109" s="10" t="s">
        <v>13</v>
      </c>
      <c r="F109" s="10" t="s">
        <v>29</v>
      </c>
      <c r="G109" s="10" t="s">
        <v>30</v>
      </c>
    </row>
    <row r="110" spans="4:20" ht="20.100000000000001" customHeight="1" x14ac:dyDescent="0.25">
      <c r="D110" s="10" t="str" cm="1">
        <f t="array" ref="D110">Common_InputFunctions.Utility_DisplayArrayInTable(Common_SourceData.Common_SourceData_TemperatureZones_Data(),Table_SourceData_TemperatureZones[[#Headers],[Temperature Zone]],0)</f>
        <v>Warm</v>
      </c>
      <c r="E110" s="10" t="str" cm="1">
        <f t="array" ref="E110">Common_InputFunctions.Utility_DisplayArrayInTable(Common_SourceData.Common_SourceData_TemperatureZones_Data(),Table_SourceData_TemperatureZones[[#Headers],[Temperature Zone]],0)</f>
        <v>≥ 26 C</v>
      </c>
      <c r="F110" s="10" cm="1">
        <f t="array" ref="F110">Common_InputFunctions.Utility_DisplayArrayInTable(Common_SourceData.Common_SourceData_TemperatureZones_Data(),Table_SourceData_TemperatureZones[[#Headers],[Temperature Zone]],0)</f>
        <v>26</v>
      </c>
      <c r="G110" s="10" cm="1">
        <f t="array" ref="G110">Common_InputFunctions.Utility_DisplayArrayInTable(Common_SourceData.Common_SourceData_TemperatureZones_Data(),Table_SourceData_TemperatureZones[[#Headers],[Temperature Zone]],0)</f>
        <v>999999</v>
      </c>
    </row>
    <row r="111" spans="4:20" ht="20.100000000000001" customHeight="1" x14ac:dyDescent="0.25">
      <c r="D111" s="10" t="str" cm="1">
        <f t="array" ref="D111">Common_InputFunctions.Utility_DisplayArrayInTable(Common_SourceData.Common_SourceData_TemperatureZones_Data(),Table_SourceData_TemperatureZones[[#Headers],[Temperature Zone]],0)</f>
        <v>Temperate</v>
      </c>
      <c r="E111" s="10" t="str" cm="1">
        <f t="array" ref="E111">Common_InputFunctions.Utility_DisplayArrayInTable(Common_SourceData.Common_SourceData_TemperatureZones_Data(),Table_SourceData_TemperatureZones[[#Headers],[Temperature Zone]],0)</f>
        <v>15 - 25 C</v>
      </c>
      <c r="F111" s="10" cm="1">
        <f t="array" ref="F111">Common_InputFunctions.Utility_DisplayArrayInTable(Common_SourceData.Common_SourceData_TemperatureZones_Data(),Table_SourceData_TemperatureZones[[#Headers],[Temperature Zone]],0)</f>
        <v>15</v>
      </c>
      <c r="G111" s="10" cm="1">
        <f t="array" ref="G111">Common_InputFunctions.Utility_DisplayArrayInTable(Common_SourceData.Common_SourceData_TemperatureZones_Data(),Table_SourceData_TemperatureZones[[#Headers],[Temperature Zone]],0)</f>
        <v>25.998999999999999</v>
      </c>
    </row>
    <row r="112" spans="4:20" ht="20.100000000000001" customHeight="1" x14ac:dyDescent="0.25">
      <c r="D112" s="10" t="str" cm="1">
        <f t="array" ref="D112">Common_InputFunctions.Utility_DisplayArrayInTable(Common_SourceData.Common_SourceData_TemperatureZones_Data(),Table_SourceData_TemperatureZones[[#Headers],[Temperature Zone]],0)</f>
        <v>Cool</v>
      </c>
      <c r="E112" s="10" t="str" cm="1">
        <f t="array" ref="E112">Common_InputFunctions.Utility_DisplayArrayInTable(Common_SourceData.Common_SourceData_TemperatureZones_Data(),Table_SourceData_TemperatureZones[[#Headers],[Temperature Zone]],0)</f>
        <v>≤ 14 C</v>
      </c>
      <c r="F112" s="10" cm="1">
        <f t="array" ref="F112">Common_InputFunctions.Utility_DisplayArrayInTable(Common_SourceData.Common_SourceData_TemperatureZones_Data(),Table_SourceData_TemperatureZones[[#Headers],[Temperature Zone]],0)</f>
        <v>-999999</v>
      </c>
      <c r="G112" s="10" cm="1">
        <f t="array" ref="G112">Common_InputFunctions.Utility_DisplayArrayInTable(Common_SourceData.Common_SourceData_TemperatureZones_Data(),Table_SourceData_TemperatureZones[[#Headers],[Temperature Zone]],0)</f>
        <v>14.999000000000001</v>
      </c>
    </row>
    <row r="113" spans="4:66" ht="20.100000000000001" customHeight="1" x14ac:dyDescent="0.25"/>
    <row r="114" spans="4:66" ht="20.100000000000001" customHeight="1" x14ac:dyDescent="0.25"/>
    <row r="115" spans="4:66" ht="20.100000000000001" customHeight="1" x14ac:dyDescent="0.25">
      <c r="D115" s="9" t="str" cm="1">
        <f t="array" ref="D115">Common_SourceData.Common_SourceData_RainfallZones_Title()</f>
        <v>VEERG Australian rainfall zones</v>
      </c>
      <c r="BN115" s="4"/>
    </row>
    <row r="116" spans="4:66" ht="20.100000000000001" customHeight="1" x14ac:dyDescent="0.25">
      <c r="D116" s="11" t="str" cm="1">
        <f t="array" ref="D116">Common_SourceData.Common_SourceData_RainfallZones_Source()</f>
        <v>VEERG 2026: Table 1.3: Climate and Rainfall zone classifications and definitions</v>
      </c>
      <c r="BN116" s="4"/>
    </row>
    <row r="117" spans="4:66" ht="20.100000000000001" customHeight="1" x14ac:dyDescent="0.25">
      <c r="D117" s="12" t="str" cm="1">
        <f t="array" ref="D117">"⚠️" &amp; Common_SourceData.Common_SourceData_RainfallZones_Variation()</f>
        <v>⚠️VARIATION OF SOURCE DATA: Added extra Rainfall min and Rainfall max columns to calculate zone from real rainfall data.</v>
      </c>
      <c r="BN117" s="4"/>
    </row>
    <row r="118" spans="4:66" ht="20.100000000000001" customHeight="1" x14ac:dyDescent="0.25">
      <c r="BN118" s="4"/>
    </row>
    <row r="119" spans="4:66" ht="20.100000000000001" customHeight="1" x14ac:dyDescent="0.25">
      <c r="D119" s="10" t="s">
        <v>31</v>
      </c>
      <c r="E119" s="10" t="s">
        <v>32</v>
      </c>
      <c r="F119" s="10" t="s">
        <v>20</v>
      </c>
      <c r="G119" s="10" t="s">
        <v>21</v>
      </c>
      <c r="BN119" s="4"/>
    </row>
    <row r="120" spans="4:66" ht="20.100000000000001" customHeight="1" x14ac:dyDescent="0.25">
      <c r="D120" s="10" t="str" cm="1">
        <f t="array" ref="D120">Common_InputFunctions.Utility_DisplayArrayInTable(Common_SourceData.Common_SourceData_RainfallZones_Data(),Table_SourceData_RainfallZones[[#Headers],[Rainfall Zone]],0)</f>
        <v>High rainfall</v>
      </c>
      <c r="E120" s="10" t="str" cm="1">
        <f t="array" ref="E120">Common_InputFunctions.Utility_DisplayArrayInTable(Common_SourceData.Common_SourceData_RainfallZones_Data(),Table_SourceData_RainfallZones[[#Headers],[Rainfall Zone]],0)</f>
        <v>Annual rainfall &gt; 600mm</v>
      </c>
      <c r="F120" s="10" cm="1">
        <f t="array" ref="F120">Common_InputFunctions.Utility_DisplayArrayInTable(Common_SourceData.Common_SourceData_RainfallZones_Data(),Table_SourceData_RainfallZones[[#Headers],[Rainfall Zone]],0)</f>
        <v>600.00099999999998</v>
      </c>
      <c r="G120" s="10" cm="1">
        <f t="array" ref="G120">Common_InputFunctions.Utility_DisplayArrayInTable(Common_SourceData.Common_SourceData_RainfallZones_Data(),Table_SourceData_RainfallZones[[#Headers],[Rainfall Zone]],0)</f>
        <v>999999</v>
      </c>
      <c r="BN120" s="4"/>
    </row>
    <row r="121" spans="4:66" ht="20.100000000000001" customHeight="1" x14ac:dyDescent="0.25">
      <c r="D121" s="10" t="str" cm="1">
        <f t="array" ref="D121">Common_InputFunctions.Utility_DisplayArrayInTable(Common_SourceData.Common_SourceData_RainfallZones_Data(),Table_SourceData_RainfallZones[[#Headers],[Rainfall Zone]],0)</f>
        <v>Low rainfall</v>
      </c>
      <c r="E121" s="10" t="str" cm="1">
        <f t="array" ref="E121">Common_InputFunctions.Utility_DisplayArrayInTable(Common_SourceData.Common_SourceData_RainfallZones_Data(),Table_SourceData_RainfallZones[[#Headers],[Rainfall Zone]],0)</f>
        <v>Annual rainfall ≤ 600mm</v>
      </c>
      <c r="F121" s="10" cm="1">
        <f t="array" ref="F121">Common_InputFunctions.Utility_DisplayArrayInTable(Common_SourceData.Common_SourceData_RainfallZones_Data(),Table_SourceData_RainfallZones[[#Headers],[Rainfall Zone]],0)</f>
        <v>-999999</v>
      </c>
      <c r="G121" s="10" cm="1">
        <f t="array" ref="G121">Common_InputFunctions.Utility_DisplayArrayInTable(Common_SourceData.Common_SourceData_RainfallZones_Data(),Table_SourceData_RainfallZones[[#Headers],[Rainfall Zone]],0)</f>
        <v>600</v>
      </c>
      <c r="BN121" s="4"/>
    </row>
    <row r="122" spans="4:66" ht="20.100000000000001" customHeight="1" x14ac:dyDescent="0.25">
      <c r="BN122" s="4"/>
    </row>
    <row r="123" spans="4:66" ht="20.100000000000001" customHeight="1" x14ac:dyDescent="0.25"/>
    <row r="124" spans="4:66" ht="20.100000000000001" customHeight="1" x14ac:dyDescent="0.25">
      <c r="D124" s="9" t="str" cm="1">
        <f t="array" ref="D124">Common_SourceData.Common_SourceData_LeachingZones_Title()</f>
        <v>VEERG Australian leaching zones</v>
      </c>
    </row>
    <row r="125" spans="4:66" ht="20.100000000000001" customHeight="1" x14ac:dyDescent="0.25">
      <c r="D125" s="11" t="str" cm="1">
        <f t="array" ref="D125">Common_SourceData.Common_SourceData_LeachingZones_Source()</f>
        <v>VEERG 2026: Table 1.3: Climate and Rainfall zone classifications and definitions</v>
      </c>
    </row>
    <row r="126" spans="4:66" ht="20.100000000000001" customHeight="1" x14ac:dyDescent="0.25"/>
    <row r="127" spans="4:66" ht="20.100000000000001" customHeight="1" x14ac:dyDescent="0.25">
      <c r="D127" s="10" t="s">
        <v>33</v>
      </c>
      <c r="E127" s="10" t="s">
        <v>34</v>
      </c>
    </row>
    <row r="128" spans="4:66" ht="20.100000000000001" customHeight="1" x14ac:dyDescent="0.25">
      <c r="D128" s="10" t="str" cm="1">
        <f t="array" ref="D128">Common_InputFunctions.Utility_DisplayArrayInTable(Common_SourceData.Common_SourceData_LeachingZones_Data(), Table_SourceData_LeachingZones[[#Headers],[Leaching Zone]], 0)</f>
        <v>Leaching occurs</v>
      </c>
      <c r="E128" s="10" t="str" cm="1">
        <f t="array" ref="E128">Common_InputFunctions.Utility_DisplayArrayInTable(Common_SourceData.Common_SourceData_LeachingZones_Data(), Table_SourceData_LeachingZones[[#Headers],[Leaching Zone]], 0)</f>
        <v>Σ(𝑟𝑎𝑖𝑛)&gt;Σ(𝐸𝑇0)+𝑠𝑜𝑖𝑙 𝑤𝑎𝑡𝑒𝑟 ℎ𝑜𝑙𝑑𝑖𝑛𝑔 𝑐𝑎𝑝𝑎𝑐𝑖𝑡𝑦</v>
      </c>
    </row>
    <row r="129" spans="4:77" ht="20.100000000000001" customHeight="1" x14ac:dyDescent="0.25">
      <c r="D129" s="10" t="str" cm="1">
        <f t="array" ref="D129">Common_InputFunctions.Utility_DisplayArrayInTable(Common_SourceData.Common_SourceData_LeachingZones_Data(), Table_SourceData_LeachingZones[[#Headers],[Leaching Zone]], 0)</f>
        <v>Leaching does not occur</v>
      </c>
      <c r="E129" s="10" t="str" cm="1">
        <f t="array" ref="E129">Common_InputFunctions.Utility_DisplayArrayInTable(Common_SourceData.Common_SourceData_LeachingZones_Data(), Table_SourceData_LeachingZones[[#Headers],[Leaching Zone]], 0)</f>
        <v>Σ(𝑟𝑎𝑖𝑛)≤Σ(𝐸𝑇0)+𝑠𝑜𝑖𝑙 𝑤𝑎𝑡𝑒𝑟 ℎ𝑜𝑙𝑑𝑖𝑛𝑔 𝑐𝑎𝑝𝑎𝑐𝑖𝑡𝑦</v>
      </c>
    </row>
    <row r="130" spans="4:77" ht="20.100000000000001" customHeight="1" x14ac:dyDescent="0.25"/>
    <row r="131" spans="4:77" ht="20.100000000000001" customHeight="1" x14ac:dyDescent="0.25"/>
    <row r="132" spans="4:77" ht="20.100000000000001" customHeight="1" x14ac:dyDescent="0.25">
      <c r="D132" s="9" t="str" cm="1">
        <f t="array" ref="D132">Common_SourceData.Common_SourceData_FracWET_Title()</f>
        <v>Fraction of N that is available for leaching and runoff</v>
      </c>
      <c r="E132" s="14"/>
    </row>
    <row r="133" spans="4:77" ht="20.100000000000001" customHeight="1" x14ac:dyDescent="0.25">
      <c r="D133" s="11" t="str" cm="1">
        <f t="array" ref="D133">Common_SourceData.Common_SourceData_FracWET_Source()</f>
        <v>VEERG 2026:5.5.2.3 Constant Parameters</v>
      </c>
      <c r="E133" s="14"/>
    </row>
    <row r="134" spans="4:77" ht="20.100000000000001" customHeight="1" x14ac:dyDescent="0.25">
      <c r="D134" s="3" t="s">
        <v>35</v>
      </c>
      <c r="E134" s="3" t="s">
        <v>36</v>
      </c>
    </row>
    <row r="135" spans="4:77" ht="20.100000000000001" customHeight="1" x14ac:dyDescent="0.25">
      <c r="D135" s="3" t="str" cm="1">
        <f t="array" ref="D135">Common_InputFunctions.Utility_DisplayArrayInTable(Common_SourceData.Common_SourceData_FracWET_Data(),Table_SourceData_FracWET[[#Headers],[Is in leaching zone]],0)</f>
        <v>Yes - in leaching zone</v>
      </c>
      <c r="E135" s="3" cm="1">
        <f t="array" ref="E135">Common_InputFunctions.Utility_DisplayArrayInTable(Common_SourceData.Common_SourceData_FracWET_Data(),Table_SourceData_FracWET[[#Headers],[Is in leaching zone]],0)</f>
        <v>1</v>
      </c>
    </row>
    <row r="136" spans="4:77" ht="20.100000000000001" customHeight="1" x14ac:dyDescent="0.25">
      <c r="D136" s="8" t="str" cm="1">
        <f t="array" ref="D136">Common_InputFunctions.Utility_DisplayArrayInTable(Common_SourceData.Common_SourceData_FracWET_Data(),Table_SourceData_FracWET[[#Headers],[Is in leaching zone]],0)</f>
        <v>No - not in leaching zone</v>
      </c>
      <c r="E136" s="10" cm="1">
        <f t="array" ref="E136">Common_InputFunctions.Utility_DisplayArrayInTable(Common_SourceData.Common_SourceData_FracWET_Data(),Table_SourceData_FracWET[[#Headers],[Is in leaching zone]],0)</f>
        <v>0</v>
      </c>
    </row>
    <row r="137" spans="4:77" ht="20.100000000000001" customHeight="1" x14ac:dyDescent="0.25"/>
    <row r="138" spans="4:77" ht="20.100000000000001" customHeight="1" x14ac:dyDescent="0.25">
      <c r="BN138" s="4"/>
      <c r="BO138" s="4"/>
      <c r="BP138" s="4"/>
      <c r="BQ138" s="4"/>
      <c r="BR138" s="4"/>
      <c r="BS138" s="4"/>
      <c r="BT138" s="4"/>
      <c r="BU138" s="4"/>
      <c r="BV138" s="4"/>
      <c r="BW138" s="4"/>
      <c r="BX138" s="4"/>
      <c r="BY138" s="4"/>
    </row>
    <row r="139" spans="4:77" ht="20.100000000000001" customHeight="1" x14ac:dyDescent="0.25">
      <c r="D139" s="9" t="str" cm="1">
        <f t="array" ref="D139">Common_SourceData.Common_SourceData_FracWETIrrigation_Title()</f>
        <v>FracWET for irrigation types</v>
      </c>
      <c r="BN139" s="4"/>
      <c r="BO139" s="4"/>
      <c r="BP139" s="4"/>
      <c r="BQ139" s="4"/>
      <c r="BR139" s="4"/>
      <c r="BS139" s="4"/>
      <c r="BT139" s="4"/>
      <c r="BU139" s="4"/>
      <c r="BV139" s="4"/>
      <c r="BW139" s="4"/>
      <c r="BX139" s="4"/>
      <c r="BY139" s="4"/>
    </row>
    <row r="140" spans="4:77" ht="20.100000000000001" customHeight="1" x14ac:dyDescent="0.25">
      <c r="D140" s="11" t="str" cm="1">
        <f t="array" ref="D140">Common_SourceData.Common_SourceData_FracWETIrrigation_Source()</f>
        <v>VEERG 2026: Chapter 1, section 1.8.2 Leaching, climate and rainfall zones</v>
      </c>
      <c r="BN140" s="4"/>
      <c r="BO140" s="4"/>
      <c r="BP140" s="4"/>
      <c r="BQ140" s="4"/>
      <c r="BR140" s="4"/>
      <c r="BS140" s="4"/>
      <c r="BT140" s="4"/>
      <c r="BU140" s="4"/>
      <c r="BV140" s="4"/>
      <c r="BW140" s="4"/>
      <c r="BX140" s="4"/>
      <c r="BY140" s="4"/>
    </row>
    <row r="141" spans="4:77" ht="20.100000000000001" customHeight="1" x14ac:dyDescent="0.25">
      <c r="D141" s="12" t="str" cm="1">
        <f t="array" ref="D141">Common_SourceData.Common_SourceData_FracWETIrrigation_Variation()</f>
        <v>VARIATION FROM SOURCE DATA: Table created based on VEERG text 'Areas are subject to leaching (i.e., in the leaching zone) when... the land is irrigated (except drip irrigation).'</v>
      </c>
      <c r="BN141" s="4"/>
    </row>
    <row r="142" spans="4:77" ht="20.100000000000001" customHeight="1" x14ac:dyDescent="0.25">
      <c r="D142" s="10" t="s">
        <v>37</v>
      </c>
      <c r="E142" s="10" t="s">
        <v>36</v>
      </c>
      <c r="BN142" s="4"/>
    </row>
    <row r="143" spans="4:77" ht="20.100000000000001" customHeight="1" x14ac:dyDescent="0.25">
      <c r="D143" s="10" t="str" cm="1">
        <f t="array" ref="D143">Common_InputFunctions.Utility_DisplayArrayInTable(Common_SourceData.Common_SourceData_FracWETIrrigation_Data(), Table_SourceData_FracWETIrrigation[[#Headers],[Irrigation type i]], 0)</f>
        <v>Not irrigated</v>
      </c>
      <c r="E143" s="10" cm="1">
        <f t="array" ref="E143">Common_InputFunctions.Utility_DisplayArrayInTable(Common_SourceData.Common_SourceData_FracWETIrrigation_Data(), Table_SourceData_FracWETIrrigation[[#Headers],[Irrigation type i]], 0)</f>
        <v>0</v>
      </c>
      <c r="BN143" s="4"/>
    </row>
    <row r="144" spans="4:77" ht="20.100000000000001" customHeight="1" x14ac:dyDescent="0.25">
      <c r="D144" s="8" t="str" cm="1">
        <f t="array" ref="D144">Common_InputFunctions.Utility_DisplayArrayInTable(Common_SourceData.Common_SourceData_FracWETIrrigation_Data(), Table_SourceData_FracWETIrrigation[[#Headers],[Irrigation type i]], 0)</f>
        <v>Drip irrigation</v>
      </c>
      <c r="E144" s="10" cm="1">
        <f t="array" ref="E144">Common_InputFunctions.Utility_DisplayArrayInTable(Common_SourceData.Common_SourceData_FracWETIrrigation_Data(), Table_SourceData_FracWETIrrigation[[#Headers],[Irrigation type i]], 0)</f>
        <v>0</v>
      </c>
      <c r="BN144" s="4"/>
    </row>
    <row r="145" spans="4:66" ht="20.100000000000001" customHeight="1" x14ac:dyDescent="0.25">
      <c r="D145" s="8" t="str" cm="1">
        <f t="array" ref="D145">Common_InputFunctions.Utility_DisplayArrayInTable(Common_SourceData.Common_SourceData_FracWETIrrigation_Data(), Table_SourceData_FracWETIrrigation[[#Headers],[Irrigation type i]], 0)</f>
        <v>Sprinkler irrigation</v>
      </c>
      <c r="E145" s="10" cm="1">
        <f t="array" ref="E145">Common_InputFunctions.Utility_DisplayArrayInTable(Common_SourceData.Common_SourceData_FracWETIrrigation_Data(), Table_SourceData_FracWETIrrigation[[#Headers],[Irrigation type i]], 0)</f>
        <v>1</v>
      </c>
      <c r="BN145" s="4"/>
    </row>
    <row r="146" spans="4:66" ht="20.100000000000001" customHeight="1" x14ac:dyDescent="0.25">
      <c r="D146" s="8" t="str" cm="1">
        <f t="array" ref="D146">Common_InputFunctions.Utility_DisplayArrayInTable(Common_SourceData.Common_SourceData_FracWETIrrigation_Data(), Table_SourceData_FracWETIrrigation[[#Headers],[Irrigation type i]], 0)</f>
        <v>Surface irrigation</v>
      </c>
      <c r="E146" s="10" cm="1">
        <f t="array" ref="E146">Common_InputFunctions.Utility_DisplayArrayInTable(Common_SourceData.Common_SourceData_FracWETIrrigation_Data(), Table_SourceData_FracWETIrrigation[[#Headers],[Irrigation type i]], 0)</f>
        <v>1</v>
      </c>
      <c r="BN146" s="4"/>
    </row>
    <row r="147" spans="4:66" ht="20.100000000000001" customHeight="1" x14ac:dyDescent="0.25">
      <c r="D147" s="8" t="str" cm="1">
        <f t="array" ref="D147">Common_InputFunctions.Utility_DisplayArrayInTable(Common_SourceData.Common_SourceData_FracWETIrrigation_Data(), Table_SourceData_FracWETIrrigation[[#Headers],[Irrigation type i]], 0)</f>
        <v>Other irrigation</v>
      </c>
      <c r="E147" s="10" cm="1">
        <f t="array" ref="E147">Common_InputFunctions.Utility_DisplayArrayInTable(Common_SourceData.Common_SourceData_FracWETIrrigation_Data(), Table_SourceData_FracWETIrrigation[[#Headers],[Irrigation type i]], 0)</f>
        <v>1</v>
      </c>
      <c r="BN147" s="4"/>
    </row>
    <row r="148" spans="4:66" ht="20.100000000000001" customHeight="1" x14ac:dyDescent="0.25">
      <c r="BN148" s="4"/>
    </row>
    <row r="149" spans="4:66" ht="20.100000000000001" customHeight="1" x14ac:dyDescent="0.25">
      <c r="BN149" s="4"/>
    </row>
    <row r="150" spans="4:66" ht="20.100000000000001" customHeight="1" x14ac:dyDescent="0.25">
      <c r="D150" s="9" t="str" cm="1">
        <f t="array" ref="D150">Common_SourceData.Common_SourceData_DataScores_Scope3_Title()</f>
        <v>Australian data scores for scope 3</v>
      </c>
      <c r="BN150" s="4"/>
    </row>
    <row r="151" spans="4:66" ht="20.100000000000001" customHeight="1" x14ac:dyDescent="0.25">
      <c r="D151" s="11" t="str" cm="1">
        <f t="array" ref="D151">Common_SourceData.Common_SourceData_DataScores_Scope3_Source()</f>
        <v>VEERG 2026: XXXXXXXX</v>
      </c>
      <c r="BN151" s="4"/>
    </row>
    <row r="152" spans="4:66" ht="20.100000000000001" customHeight="1" x14ac:dyDescent="0.25">
      <c r="BN152" s="4"/>
    </row>
    <row r="153" spans="4:66" ht="20.100000000000001" customHeight="1" x14ac:dyDescent="0.25">
      <c r="D153" s="10" t="s">
        <v>38</v>
      </c>
      <c r="E153" s="10" t="s">
        <v>39</v>
      </c>
      <c r="BC153" s="7"/>
      <c r="BD153" s="7"/>
      <c r="BE153" s="7"/>
      <c r="BF153" s="7"/>
      <c r="BG153" s="7"/>
      <c r="BH153" s="7"/>
      <c r="BI153" s="7"/>
      <c r="BJ153" s="7"/>
      <c r="BK153" s="7"/>
      <c r="BL153" s="7"/>
      <c r="BM153" s="7"/>
    </row>
    <row r="154" spans="4:66" ht="20.100000000000001" customHeight="1" x14ac:dyDescent="0.25">
      <c r="D154" s="10" t="str" cm="1">
        <f t="array" ref="D154">Common_InputFunctions.Utility_DisplayArrayInTable(Common_SourceData.Common_SourceData_DataScores_Scope3_Data(), Table_SourceData_DataScores_Scope3[[#Headers],[Data source]], 0)</f>
        <v>International scope 3 database</v>
      </c>
      <c r="E154" s="10" cm="1">
        <f t="array" ref="E154">Common_InputFunctions.Utility_DisplayArrayInTable(Common_SourceData.Common_SourceData_DataScores_Scope3_Data(), Table_SourceData_DataScores_Scope3[[#Headers],[Data source]], 0)</f>
        <v>1</v>
      </c>
      <c r="BC154" s="7"/>
      <c r="BD154" s="7"/>
      <c r="BE154" s="7"/>
      <c r="BF154" s="7"/>
      <c r="BG154" s="7"/>
      <c r="BH154" s="7"/>
      <c r="BI154" s="7"/>
      <c r="BJ154" s="7"/>
      <c r="BK154" s="7"/>
      <c r="BL154" s="7"/>
      <c r="BM154" s="7"/>
    </row>
    <row r="155" spans="4:66" ht="20.100000000000001" customHeight="1" x14ac:dyDescent="0.25">
      <c r="D155" s="10" t="str" cm="1">
        <f t="array" ref="D155">Common_InputFunctions.Utility_DisplayArrayInTable(Common_SourceData.Common_SourceData_DataScores_Scope3_Data(), Table_SourceData_DataScores_Scope3[[#Headers],[Data source]], 0)</f>
        <v>Australian scope 3 database</v>
      </c>
      <c r="E155" s="10" cm="1">
        <f t="array" ref="E155">Common_InputFunctions.Utility_DisplayArrayInTable(Common_SourceData.Common_SourceData_DataScores_Scope3_Data(), Table_SourceData_DataScores_Scope3[[#Headers],[Data source]], 0)</f>
        <v>2</v>
      </c>
      <c r="BC155" s="7"/>
      <c r="BD155" s="7"/>
      <c r="BE155" s="7"/>
      <c r="BF155" s="7"/>
      <c r="BG155" s="7"/>
      <c r="BH155" s="7"/>
      <c r="BI155" s="7"/>
      <c r="BJ155" s="7"/>
      <c r="BK155" s="7"/>
      <c r="BL155" s="7"/>
      <c r="BM155" s="7"/>
    </row>
    <row r="156" spans="4:66" ht="20.100000000000001" customHeight="1" x14ac:dyDescent="0.25">
      <c r="D156" s="10" t="str" cm="1">
        <f t="array" ref="D156">Common_InputFunctions.Utility_DisplayArrayInTable(Common_SourceData.Common_SourceData_DataScores_Scope3_Data(), Table_SourceData_DataScores_Scope3[[#Headers],[Data source]], 0)</f>
        <v>State or regional scope 3 database</v>
      </c>
      <c r="E156" s="10" cm="1">
        <f t="array" ref="E156">Common_InputFunctions.Utility_DisplayArrayInTable(Common_SourceData.Common_SourceData_DataScores_Scope3_Data(), Table_SourceData_DataScores_Scope3[[#Headers],[Data source]], 0)</f>
        <v>3</v>
      </c>
    </row>
    <row r="157" spans="4:66" ht="20.100000000000001" customHeight="1" x14ac:dyDescent="0.25">
      <c r="D157" s="10" t="str" cm="1">
        <f t="array" ref="D157">Common_InputFunctions.Utility_DisplayArrayInTable(Common_SourceData.Common_SourceData_DataScores_Scope3_Data(), Table_SourceData_DataScores_Scope3[[#Headers],[Data source]], 0)</f>
        <v>Emissions intensity calculated from approved method</v>
      </c>
      <c r="E157" s="10" cm="1">
        <f t="array" ref="E157">Common_InputFunctions.Utility_DisplayArrayInTable(Common_SourceData.Common_SourceData_DataScores_Scope3_Data(), Table_SourceData_DataScores_Scope3[[#Headers],[Data source]], 0)</f>
        <v>4</v>
      </c>
    </row>
    <row r="158" spans="4:66" ht="20.100000000000001" customHeight="1" x14ac:dyDescent="0.25">
      <c r="D158" s="10" t="str" cm="1">
        <f t="array" ref="D158">Common_InputFunctions.Utility_DisplayArrayInTable(Common_SourceData.Common_SourceData_DataScores_Scope3_Data(), Table_SourceData_DataScores_Scope3[[#Headers],[Data source]], 0)</f>
        <v>Verified credential matching ISO14067</v>
      </c>
      <c r="E158" s="10" cm="1">
        <f t="array" ref="E158">Common_InputFunctions.Utility_DisplayArrayInTable(Common_SourceData.Common_SourceData_DataScores_Scope3_Data(), Table_SourceData_DataScores_Scope3[[#Headers],[Data source]], 0)</f>
        <v>5</v>
      </c>
    </row>
    <row r="159" spans="4:66" ht="20.100000000000001" customHeight="1" x14ac:dyDescent="0.25"/>
    <row r="160" spans="4:66" ht="20.100000000000001" customHeight="1" x14ac:dyDescent="0.25"/>
    <row r="161" spans="4:68" ht="20.100000000000001" customHeight="1" x14ac:dyDescent="0.25">
      <c r="D161" s="9" t="str" cm="1">
        <f t="array" ref="D161">Common_SourceData.Common_SourceData_FracLEACH_Title()</f>
        <v>Fraction of N that is available for leaching and runoff</v>
      </c>
      <c r="E161" s="14"/>
    </row>
    <row r="162" spans="4:68" ht="20.100000000000001" customHeight="1" x14ac:dyDescent="0.25">
      <c r="D162" s="11" t="str" cm="1">
        <f t="array" ref="D162">Common_SourceData.Common_SourceData_FracLEACH_Source()</f>
        <v>VEERG 2026:5.5.2.3 Constant Parameters</v>
      </c>
      <c r="E162" s="14"/>
    </row>
    <row r="163" spans="4:68" ht="20.100000000000001" customHeight="1" x14ac:dyDescent="0.25">
      <c r="D163" s="11" t="str" cm="1">
        <f t="array" ref="D163">Common_SourceData.Common_SourceData_FracLEACH_NIRReference()</f>
        <v>National Inventory Report Volume 1: Leaching and runoff (3.D.b.2)</v>
      </c>
      <c r="E163" s="14"/>
    </row>
    <row r="164" spans="4:68" ht="20.100000000000001" customHeight="1" x14ac:dyDescent="0.25">
      <c r="D164" s="14" t="str" cm="1">
        <f t="array" ref="D164:E164">Common_SourceData.Common_SourceData_FracLEACH_Data()</f>
        <v>FracLEACH</v>
      </c>
      <c r="E164" s="14">
        <v>0.24</v>
      </c>
    </row>
    <row r="165" spans="4:68" ht="20.100000000000001" customHeight="1" x14ac:dyDescent="0.25">
      <c r="BN165" s="4"/>
      <c r="BO165" s="4"/>
      <c r="BP165" s="4"/>
    </row>
    <row r="166" spans="4:68" ht="20.100000000000001" customHeight="1" x14ac:dyDescent="0.25">
      <c r="BN166" s="4"/>
      <c r="BO166" s="4"/>
      <c r="BP166" s="4"/>
    </row>
    <row r="167" spans="4:68" ht="20.100000000000001" customHeight="1" x14ac:dyDescent="0.25">
      <c r="D167" s="9" t="str" cm="1">
        <f t="array" ref="D167">Common_SourceData.Common_SourceData_EFleach_Title()</f>
        <v>Emission factor for nitrogen leaching and runoff</v>
      </c>
      <c r="BN167" s="4"/>
      <c r="BO167" s="4"/>
      <c r="BP167" s="4"/>
    </row>
    <row r="168" spans="4:68" ht="20.100000000000001" customHeight="1" x14ac:dyDescent="0.25">
      <c r="D168" s="11" t="str" cm="1">
        <f t="array" ref="D168">Common_SourceData.Common_SourceData_EFleach_Source()</f>
        <v>VEERG 2026:5.5.2.3 Constant Parameters</v>
      </c>
      <c r="BN168" s="4"/>
      <c r="BO168" s="4"/>
      <c r="BP168" s="4"/>
    </row>
    <row r="169" spans="4:68" ht="20.100000000000001" customHeight="1" x14ac:dyDescent="0.25">
      <c r="D169" s="11" t="str" cm="1">
        <f t="array" ref="D169">Common_SourceData.Common_SourceData_EFleach_NIRReference()</f>
        <v>National Inventory Report Volume 1: Equation 3.D.B_10</v>
      </c>
      <c r="BN169" s="4"/>
      <c r="BO169" s="4"/>
      <c r="BP169" s="4"/>
    </row>
    <row r="170" spans="4:68" ht="20.100000000000001" customHeight="1" x14ac:dyDescent="0.25">
      <c r="D170" s="8" t="str" cm="1">
        <f t="array" ref="D170:E170">Common_SourceData.Common_SourceData_EFleach_Data()</f>
        <v>EFleach</v>
      </c>
      <c r="E170" s="8">
        <v>1.0999999999999999E-2</v>
      </c>
      <c r="BN170" s="4"/>
      <c r="BO170" s="4"/>
      <c r="BP170" s="4"/>
    </row>
    <row r="171" spans="4:68" ht="20.100000000000001" customHeight="1" x14ac:dyDescent="0.25">
      <c r="BN171" s="4"/>
      <c r="BO171" s="4"/>
      <c r="BP171" s="4"/>
    </row>
    <row r="172" spans="4:68" ht="20.100000000000001" customHeight="1" x14ac:dyDescent="0.25">
      <c r="BN172" s="4"/>
      <c r="BO172" s="4"/>
      <c r="BP172" s="4"/>
    </row>
    <row r="173" spans="4:68" ht="20.100000000000001" customHeight="1" x14ac:dyDescent="0.25">
      <c r="D173" s="9" t="str" cm="1">
        <f t="array" ref="D173">Common_SourceData.Common_SourceData_DensityOfMethane_Title()</f>
        <v>p = density of methane</v>
      </c>
      <c r="BN173" s="4"/>
      <c r="BO173" s="4"/>
      <c r="BP173" s="4"/>
    </row>
    <row r="174" spans="4:68" ht="20.100000000000001" customHeight="1" x14ac:dyDescent="0.25">
      <c r="D174" s="11" t="str" cm="1">
        <f t="array" ref="D174">Common_SourceData.Common_SourceData_DensityOfMethane_Source()</f>
        <v>National Inventory Report 2023 Volume 1: Equations 3.B.1a_2, 3.B.1c_2, 3.B.3_1, 3.B.4g_2</v>
      </c>
      <c r="BN174" s="4"/>
      <c r="BO174" s="4"/>
      <c r="BP174" s="4"/>
    </row>
    <row r="175" spans="4:68" ht="20.100000000000001" customHeight="1" x14ac:dyDescent="0.25">
      <c r="D175" s="8" cm="1">
        <f t="array" ref="D175">Common_SourceData.Common_SourceData_DensityOfMethane_Data()</f>
        <v>0.6784</v>
      </c>
      <c r="E175" s="13" t="str" cm="1">
        <f t="array" ref="E175">Common_SourceData.Common_SourceData_DensityOfMethane_Unit()</f>
        <v>kg/m3</v>
      </c>
      <c r="BN175" s="4"/>
      <c r="BO175" s="4"/>
      <c r="BP175" s="4"/>
    </row>
    <row r="176" spans="4:68" ht="20.100000000000001" customHeight="1" x14ac:dyDescent="0.25">
      <c r="BN176" s="4"/>
      <c r="BO176" s="4"/>
      <c r="BP176" s="4"/>
    </row>
    <row r="177" spans="4:68" ht="20.100000000000001" customHeight="1" x14ac:dyDescent="0.25">
      <c r="BN177" s="4"/>
      <c r="BO177" s="4"/>
      <c r="BP177" s="4"/>
    </row>
    <row r="178" spans="4:68" ht="20.100000000000001" customHeight="1" x14ac:dyDescent="0.25">
      <c r="D178" s="9" t="str" cm="1">
        <f t="array" ref="D178">Common_SourceData.Common_SourceData_EFN2O_Title()</f>
        <v>Nitrous oxide emission factors for inorganic fertiliser application</v>
      </c>
      <c r="BN178" s="4"/>
      <c r="BO178" s="4"/>
      <c r="BP178" s="4"/>
    </row>
    <row r="179" spans="4:68" ht="20.100000000000001" customHeight="1" x14ac:dyDescent="0.25">
      <c r="D179" s="11" t="str" cm="1">
        <f t="array" ref="D179">Common_SourceData.Common_SourceData_EFN2O_Source()</f>
        <v>VEERG 2026: Table A.2.2.1</v>
      </c>
      <c r="BN179" s="4"/>
      <c r="BO179" s="4"/>
      <c r="BP179" s="4"/>
    </row>
    <row r="180" spans="4:68" ht="20.100000000000001" customHeight="1" x14ac:dyDescent="0.25">
      <c r="D180" s="13" t="str" cm="1">
        <f t="array" ref="D180">Common_SourceData.Common_SourceData_EFN2O_Unit()</f>
        <v>(kg N2O-N / kg N</v>
      </c>
    </row>
    <row r="181" spans="4:68" ht="20.100000000000001" customHeight="1" x14ac:dyDescent="0.25">
      <c r="D181" s="12" t="str" cm="1">
        <f t="array" ref="D181:D185">Common_SourceData.Common_SourceData_EFN2O_Variation()</f>
        <v>VARIATION OF SOURCE DATA:</v>
      </c>
    </row>
    <row r="182" spans="4:68" ht="20.100000000000001" customHeight="1" x14ac:dyDescent="0.25">
      <c r="D182" s="12" t="str">
        <v>Removed duplicate 'Aquaculture' row.</v>
      </c>
    </row>
    <row r="183" spans="4:68" ht="20.100000000000001" customHeight="1" x14ac:dyDescent="0.25">
      <c r="D183" s="12" t="str">
        <v>Removed asterisks to aid lookup.</v>
      </c>
    </row>
    <row r="184" spans="4:68" ht="20.100000000000001" customHeight="1" x14ac:dyDescent="0.25">
      <c r="D184" s="12" t="str">
        <v>Added 'production system only', 'rainfall zone' and 'irrigation method' columns to aid lookup.</v>
      </c>
    </row>
    <row r="185" spans="4:68" ht="20.100000000000001" customHeight="1" x14ac:dyDescent="0.25">
      <c r="D185" s="12" t="str">
        <v>Duplicated 'non-irrigated pasture' row with same EF for low and high rainfall zones to aid lookup.</v>
      </c>
    </row>
    <row r="186" spans="4:68" ht="20.100000000000001" customHeight="1" x14ac:dyDescent="0.25">
      <c r="D186" s="10" t="s">
        <v>40</v>
      </c>
      <c r="E186" s="10" t="s">
        <v>41</v>
      </c>
      <c r="F186" s="10" t="s">
        <v>42</v>
      </c>
      <c r="G186" s="10" t="s">
        <v>43</v>
      </c>
      <c r="H186" s="10" t="s">
        <v>44</v>
      </c>
    </row>
    <row r="187" spans="4:68" ht="20.100000000000001" customHeight="1" x14ac:dyDescent="0.25">
      <c r="D187" s="10" t="str" cm="1">
        <f t="array" ref="D187">Common_InputFunctions.Utility_DisplayArrayInTable(Common_SourceData.Common_SourceData_EFN2O_Data(), Table_SourceData_Common_EFN2O[[#Headers],[Production system j]], 0)</f>
        <v>Irrigated pasture</v>
      </c>
      <c r="E187" s="10" cm="1">
        <f t="array" ref="E187">Common_InputFunctions.Utility_DisplayArrayInTable(Common_SourceData.Common_SourceData_EFN2O_Data(), Table_SourceData_Common_EFN2O[[#Headers],[Production system j]], 0)</f>
        <v>5.8999999999999999E-3</v>
      </c>
      <c r="F187" s="10" t="str" cm="1">
        <f t="array" ref="F187">Common_InputFunctions.Utility_DisplayArrayInTable(Common_SourceData.Common_SourceData_EFN2O_Data(), Table_SourceData_Common_EFN2O[[#Headers],[Production system j]], 0)</f>
        <v>Pasture</v>
      </c>
      <c r="G187" s="10" t="str" cm="1">
        <f t="array" ref="G187">Common_InputFunctions.Utility_DisplayArrayInTable(Common_SourceData.Common_SourceData_EFN2O_Data(), Table_SourceData_Common_EFN2O[[#Headers],[Production system j]], 0)</f>
        <v>Any</v>
      </c>
      <c r="H187" s="10" t="str" cm="1">
        <f t="array" ref="H187">Common_InputFunctions.Utility_DisplayArrayInTable(Common_SourceData.Common_SourceData_EFN2O_Data(), Table_SourceData_Common_EFN2O[[#Headers],[Production system j]], 0)</f>
        <v>Any</v>
      </c>
    </row>
    <row r="188" spans="4:68" ht="20.100000000000001" customHeight="1" x14ac:dyDescent="0.25">
      <c r="D188" s="10" t="str" cm="1">
        <f t="array" ref="D188">Common_InputFunctions.Utility_DisplayArrayInTable(Common_SourceData.Common_SourceData_EFN2O_Data(), Table_SourceData_Common_EFN2O[[#Headers],[Production system j]], 0)</f>
        <v>Irrigated crop</v>
      </c>
      <c r="E188" s="10" cm="1">
        <f t="array" ref="E188">Common_InputFunctions.Utility_DisplayArrayInTable(Common_SourceData.Common_SourceData_EFN2O_Data(), Table_SourceData_Common_EFN2O[[#Headers],[Production system j]], 0)</f>
        <v>7.0000000000000001E-3</v>
      </c>
      <c r="F188" s="10" t="str" cm="1">
        <f t="array" ref="F188">Common_InputFunctions.Utility_DisplayArrayInTable(Common_SourceData.Common_SourceData_EFN2O_Data(), Table_SourceData_Common_EFN2O[[#Headers],[Production system j]], 0)</f>
        <v>Crop</v>
      </c>
      <c r="G188" s="10" t="str" cm="1">
        <f t="array" ref="G188">Common_InputFunctions.Utility_DisplayArrayInTable(Common_SourceData.Common_SourceData_EFN2O_Data(), Table_SourceData_Common_EFN2O[[#Headers],[Production system j]], 0)</f>
        <v>Any</v>
      </c>
      <c r="H188" s="10" t="str" cm="1">
        <f t="array" ref="H188">Common_InputFunctions.Utility_DisplayArrayInTable(Common_SourceData.Common_SourceData_EFN2O_Data(), Table_SourceData_Common_EFN2O[[#Headers],[Production system j]], 0)</f>
        <v>Any</v>
      </c>
    </row>
    <row r="189" spans="4:68" ht="20.100000000000001" customHeight="1" x14ac:dyDescent="0.25">
      <c r="D189" s="10" t="str" cm="1">
        <f t="array" ref="D189">Common_InputFunctions.Utility_DisplayArrayInTable(Common_SourceData.Common_SourceData_EFN2O_Data(), Table_SourceData_Common_EFN2O[[#Headers],[Production system j]], 0)</f>
        <v>Non-irrigated pasture</v>
      </c>
      <c r="E189" s="10" cm="1">
        <f t="array" ref="E189">Common_InputFunctions.Utility_DisplayArrayInTable(Common_SourceData.Common_SourceData_EFN2O_Data(), Table_SourceData_Common_EFN2O[[#Headers],[Production system j]], 0)</f>
        <v>1.8E-3</v>
      </c>
      <c r="F189" s="10" t="str" cm="1">
        <f t="array" ref="F189">Common_InputFunctions.Utility_DisplayArrayInTable(Common_SourceData.Common_SourceData_EFN2O_Data(), Table_SourceData_Common_EFN2O[[#Headers],[Production system j]], 0)</f>
        <v>Pasture</v>
      </c>
      <c r="G189" s="10" t="str" cm="1">
        <f t="array" ref="G189">Common_InputFunctions.Utility_DisplayArrayInTable(Common_SourceData.Common_SourceData_EFN2O_Data(), Table_SourceData_Common_EFN2O[[#Headers],[Production system j]], 0)</f>
        <v>Not irrigated</v>
      </c>
      <c r="H189" s="10" t="str" cm="1">
        <f t="array" ref="H189">Common_InputFunctions.Utility_DisplayArrayInTable(Common_SourceData.Common_SourceData_EFN2O_Data(), Table_SourceData_Common_EFN2O[[#Headers],[Production system j]], 0)</f>
        <v>Low rainfall</v>
      </c>
    </row>
    <row r="190" spans="4:68" ht="20.100000000000001" customHeight="1" x14ac:dyDescent="0.25">
      <c r="D190" s="10" t="str" cm="1">
        <f t="array" ref="D190">Common_InputFunctions.Utility_DisplayArrayInTable(Common_SourceData.Common_SourceData_EFN2O_Data(), Table_SourceData_Common_EFN2O[[#Headers],[Production system j]], 0)</f>
        <v>Non-irrigated pasture</v>
      </c>
      <c r="E190" s="10" cm="1">
        <f t="array" ref="E190">Common_InputFunctions.Utility_DisplayArrayInTable(Common_SourceData.Common_SourceData_EFN2O_Data(), Table_SourceData_Common_EFN2O[[#Headers],[Production system j]], 0)</f>
        <v>1.8E-3</v>
      </c>
      <c r="F190" s="10" t="str" cm="1">
        <f t="array" ref="F190">Common_InputFunctions.Utility_DisplayArrayInTable(Common_SourceData.Common_SourceData_EFN2O_Data(), Table_SourceData_Common_EFN2O[[#Headers],[Production system j]], 0)</f>
        <v>Pasture</v>
      </c>
      <c r="G190" s="10" t="str" cm="1">
        <f t="array" ref="G190">Common_InputFunctions.Utility_DisplayArrayInTable(Common_SourceData.Common_SourceData_EFN2O_Data(), Table_SourceData_Common_EFN2O[[#Headers],[Production system j]], 0)</f>
        <v>Not irrigated</v>
      </c>
      <c r="H190" s="10" t="str" cm="1">
        <f t="array" ref="H190">Common_InputFunctions.Utility_DisplayArrayInTable(Common_SourceData.Common_SourceData_EFN2O_Data(), Table_SourceData_Common_EFN2O[[#Headers],[Production system j]], 0)</f>
        <v>High rainfall</v>
      </c>
    </row>
    <row r="191" spans="4:68" ht="20.100000000000001" customHeight="1" x14ac:dyDescent="0.25">
      <c r="D191" s="10" t="str" cm="1">
        <f t="array" ref="D191">Common_InputFunctions.Utility_DisplayArrayInTable(Common_SourceData.Common_SourceData_EFN2O_Data(), Table_SourceData_Common_EFN2O[[#Headers],[Production system j]], 0)</f>
        <v>Non-irrigated crop (low rainfall)</v>
      </c>
      <c r="E191" s="10" cm="1">
        <f t="array" ref="E191">Common_InputFunctions.Utility_DisplayArrayInTable(Common_SourceData.Common_SourceData_EFN2O_Data(), Table_SourceData_Common_EFN2O[[#Headers],[Production system j]], 0)</f>
        <v>2.8999999999999998E-3</v>
      </c>
      <c r="F191" s="10" t="str" cm="1">
        <f t="array" ref="F191">Common_InputFunctions.Utility_DisplayArrayInTable(Common_SourceData.Common_SourceData_EFN2O_Data(), Table_SourceData_Common_EFN2O[[#Headers],[Production system j]], 0)</f>
        <v>Crop</v>
      </c>
      <c r="G191" s="10" t="str" cm="1">
        <f t="array" ref="G191">Common_InputFunctions.Utility_DisplayArrayInTable(Common_SourceData.Common_SourceData_EFN2O_Data(), Table_SourceData_Common_EFN2O[[#Headers],[Production system j]], 0)</f>
        <v>Not irrigated</v>
      </c>
      <c r="H191" s="10" t="str" cm="1">
        <f t="array" ref="H191">Common_InputFunctions.Utility_DisplayArrayInTable(Common_SourceData.Common_SourceData_EFN2O_Data(), Table_SourceData_Common_EFN2O[[#Headers],[Production system j]], 0)</f>
        <v>Low rainfall</v>
      </c>
    </row>
    <row r="192" spans="4:68" ht="20.100000000000001" customHeight="1" x14ac:dyDescent="0.25">
      <c r="D192" s="10" t="str" cm="1">
        <f t="array" ref="D192">Common_InputFunctions.Utility_DisplayArrayInTable(Common_SourceData.Common_SourceData_EFN2O_Data(), Table_SourceData_Common_EFN2O[[#Headers],[Production system j]], 0)</f>
        <v>Non-irrigated crop (high rainfall)</v>
      </c>
      <c r="E192" s="10" cm="1">
        <f t="array" ref="E192">Common_InputFunctions.Utility_DisplayArrayInTable(Common_SourceData.Common_SourceData_EFN2O_Data(), Table_SourceData_Common_EFN2O[[#Headers],[Production system j]], 0)</f>
        <v>8.0000000000000002E-3</v>
      </c>
      <c r="F192" s="10" t="str" cm="1">
        <f t="array" ref="F192">Common_InputFunctions.Utility_DisplayArrayInTable(Common_SourceData.Common_SourceData_EFN2O_Data(), Table_SourceData_Common_EFN2O[[#Headers],[Production system j]], 0)</f>
        <v>Crop</v>
      </c>
      <c r="G192" s="10" t="str" cm="1">
        <f t="array" ref="G192">Common_InputFunctions.Utility_DisplayArrayInTable(Common_SourceData.Common_SourceData_EFN2O_Data(), Table_SourceData_Common_EFN2O[[#Headers],[Production system j]], 0)</f>
        <v>Not irrigated</v>
      </c>
      <c r="H192" s="10" t="str" cm="1">
        <f t="array" ref="H192">Common_InputFunctions.Utility_DisplayArrayInTable(Common_SourceData.Common_SourceData_EFN2O_Data(), Table_SourceData_Common_EFN2O[[#Headers],[Production system j]], 0)</f>
        <v>High rainfall</v>
      </c>
    </row>
    <row r="193" spans="4:8" ht="20.100000000000001" customHeight="1" x14ac:dyDescent="0.25">
      <c r="D193" s="10" t="str" cm="1">
        <f t="array" ref="D193">Common_InputFunctions.Utility_DisplayArrayInTable(Common_SourceData.Common_SourceData_EFN2O_Data(), Table_SourceData_Common_EFN2O[[#Headers],[Production system j]], 0)</f>
        <v>Sugar</v>
      </c>
      <c r="E193" s="10" cm="1">
        <f t="array" ref="E193">Common_InputFunctions.Utility_DisplayArrayInTable(Common_SourceData.Common_SourceData_EFN2O_Data(), Table_SourceData_Common_EFN2O[[#Headers],[Production system j]], 0)</f>
        <v>1.9900000000000001E-2</v>
      </c>
      <c r="F193" s="10" t="str" cm="1">
        <f t="array" ref="F193">Common_InputFunctions.Utility_DisplayArrayInTable(Common_SourceData.Common_SourceData_EFN2O_Data(), Table_SourceData_Common_EFN2O[[#Headers],[Production system j]], 0)</f>
        <v>Sugar</v>
      </c>
      <c r="G193" s="10" t="str" cm="1">
        <f t="array" ref="G193">Common_InputFunctions.Utility_DisplayArrayInTable(Common_SourceData.Common_SourceData_EFN2O_Data(), Table_SourceData_Common_EFN2O[[#Headers],[Production system j]], 0)</f>
        <v>Any</v>
      </c>
      <c r="H193" s="10" t="str" cm="1">
        <f t="array" ref="H193">Common_InputFunctions.Utility_DisplayArrayInTable(Common_SourceData.Common_SourceData_EFN2O_Data(), Table_SourceData_Common_EFN2O[[#Headers],[Production system j]], 0)</f>
        <v>Any</v>
      </c>
    </row>
    <row r="194" spans="4:8" ht="20.100000000000001" customHeight="1" x14ac:dyDescent="0.25">
      <c r="D194" s="10" t="str" cm="1">
        <f t="array" ref="D194">Common_InputFunctions.Utility_DisplayArrayInTable(Common_SourceData.Common_SourceData_EFN2O_Data(), Table_SourceData_Common_EFN2O[[#Headers],[Production system j]], 0)</f>
        <v>Cotton</v>
      </c>
      <c r="E194" s="10" cm="1">
        <f t="array" ref="E194">Common_InputFunctions.Utility_DisplayArrayInTable(Common_SourceData.Common_SourceData_EFN2O_Data(), Table_SourceData_Common_EFN2O[[#Headers],[Production system j]], 0)</f>
        <v>5.3E-3</v>
      </c>
      <c r="F194" s="10" t="str" cm="1">
        <f t="array" ref="F194">Common_InputFunctions.Utility_DisplayArrayInTable(Common_SourceData.Common_SourceData_EFN2O_Data(), Table_SourceData_Common_EFN2O[[#Headers],[Production system j]], 0)</f>
        <v>Cotton</v>
      </c>
      <c r="G194" s="10" t="str" cm="1">
        <f t="array" ref="G194">Common_InputFunctions.Utility_DisplayArrayInTable(Common_SourceData.Common_SourceData_EFN2O_Data(), Table_SourceData_Common_EFN2O[[#Headers],[Production system j]], 0)</f>
        <v>Any</v>
      </c>
      <c r="H194" s="10" t="str" cm="1">
        <f t="array" ref="H194">Common_InputFunctions.Utility_DisplayArrayInTable(Common_SourceData.Common_SourceData_EFN2O_Data(), Table_SourceData_Common_EFN2O[[#Headers],[Production system j]], 0)</f>
        <v>Any</v>
      </c>
    </row>
    <row r="195" spans="4:8" ht="20.100000000000001" customHeight="1" x14ac:dyDescent="0.25">
      <c r="D195" s="10" t="str" cm="1">
        <f t="array" ref="D195">Common_InputFunctions.Utility_DisplayArrayInTable(Common_SourceData.Common_SourceData_EFN2O_Data(), Table_SourceData_Common_EFN2O[[#Headers],[Production system j]], 0)</f>
        <v>Horticultural crops</v>
      </c>
      <c r="E195" s="10" cm="1">
        <f t="array" ref="E195">Common_InputFunctions.Utility_DisplayArrayInTable(Common_SourceData.Common_SourceData_EFN2O_Data(), Table_SourceData_Common_EFN2O[[#Headers],[Production system j]], 0)</f>
        <v>6.4000000000000003E-3</v>
      </c>
      <c r="F195" s="10" t="str" cm="1">
        <f t="array" ref="F195">Common_InputFunctions.Utility_DisplayArrayInTable(Common_SourceData.Common_SourceData_EFN2O_Data(), Table_SourceData_Common_EFN2O[[#Headers],[Production system j]], 0)</f>
        <v>Horticultural crops</v>
      </c>
      <c r="G195" s="10" t="str" cm="1">
        <f t="array" ref="G195">Common_InputFunctions.Utility_DisplayArrayInTable(Common_SourceData.Common_SourceData_EFN2O_Data(), Table_SourceData_Common_EFN2O[[#Headers],[Production system j]], 0)</f>
        <v>Any</v>
      </c>
      <c r="H195" s="10" t="str" cm="1">
        <f t="array" ref="H195">Common_InputFunctions.Utility_DisplayArrayInTable(Common_SourceData.Common_SourceData_EFN2O_Data(), Table_SourceData_Common_EFN2O[[#Headers],[Production system j]], 0)</f>
        <v>Any</v>
      </c>
    </row>
    <row r="196" spans="4:8" ht="20.100000000000001" customHeight="1" x14ac:dyDescent="0.25">
      <c r="D196" s="10" t="str" cm="1">
        <f t="array" ref="D196">Common_InputFunctions.Utility_DisplayArrayInTable(Common_SourceData.Common_SourceData_EFN2O_Data(), Table_SourceData_Common_EFN2O[[#Headers],[Production system j]], 0)</f>
        <v>Rice (continuous flooding)</v>
      </c>
      <c r="E196" s="10" cm="1">
        <f t="array" ref="E196">Common_InputFunctions.Utility_DisplayArrayInTable(Common_SourceData.Common_SourceData_EFN2O_Data(), Table_SourceData_Common_EFN2O[[#Headers],[Production system j]], 0)</f>
        <v>3.0000000000000001E-3</v>
      </c>
      <c r="F196" s="10" t="str" cm="1">
        <f t="array" ref="F196">Common_InputFunctions.Utility_DisplayArrayInTable(Common_SourceData.Common_SourceData_EFN2O_Data(), Table_SourceData_Common_EFN2O[[#Headers],[Production system j]], 0)</f>
        <v>Rice</v>
      </c>
      <c r="G196" s="10" t="str" cm="1">
        <f t="array" ref="G196">Common_InputFunctions.Utility_DisplayArrayInTable(Common_SourceData.Common_SourceData_EFN2O_Data(), Table_SourceData_Common_EFN2O[[#Headers],[Production system j]], 0)</f>
        <v>Continuous flooding</v>
      </c>
      <c r="H196" s="10" t="str" cm="1">
        <f t="array" ref="H196">Common_InputFunctions.Utility_DisplayArrayInTable(Common_SourceData.Common_SourceData_EFN2O_Data(), Table_SourceData_Common_EFN2O[[#Headers],[Production system j]], 0)</f>
        <v>Any</v>
      </c>
    </row>
    <row r="197" spans="4:8" x14ac:dyDescent="0.25">
      <c r="D197" s="10" t="str" cm="1">
        <f t="array" ref="D197">Common_InputFunctions.Utility_DisplayArrayInTable(Common_SourceData.Common_SourceData_EFN2O_Data(), Table_SourceData_Common_EFN2O[[#Headers],[Production system j]], 0)</f>
        <v>Rice (single and multiple drainage, or alternate wetting and drying)</v>
      </c>
      <c r="E197" s="10" cm="1">
        <f t="array" ref="E197">Common_InputFunctions.Utility_DisplayArrayInTable(Common_SourceData.Common_SourceData_EFN2O_Data(), Table_SourceData_Common_EFN2O[[#Headers],[Production system j]], 0)</f>
        <v>5.0000000000000001E-3</v>
      </c>
      <c r="F197" s="10" t="str" cm="1">
        <f t="array" ref="F197">Common_InputFunctions.Utility_DisplayArrayInTable(Common_SourceData.Common_SourceData_EFN2O_Data(), Table_SourceData_Common_EFN2O[[#Headers],[Production system j]], 0)</f>
        <v>Rice</v>
      </c>
      <c r="G197" s="10" t="str" cm="1">
        <f t="array" ref="G197">Common_InputFunctions.Utility_DisplayArrayInTable(Common_SourceData.Common_SourceData_EFN2O_Data(), Table_SourceData_Common_EFN2O[[#Headers],[Production system j]], 0)</f>
        <v>Single and multiple drainage, or alternate wetting and drying</v>
      </c>
      <c r="H197" s="10" t="str" cm="1">
        <f t="array" ref="H197">Common_InputFunctions.Utility_DisplayArrayInTable(Common_SourceData.Common_SourceData_EFN2O_Data(), Table_SourceData_Common_EFN2O[[#Headers],[Production system j]], 0)</f>
        <v>Any</v>
      </c>
    </row>
    <row r="198" spans="4:8" x14ac:dyDescent="0.25">
      <c r="D198" s="10" t="str" cm="1">
        <f t="array" ref="D198">Common_InputFunctions.Utility_DisplayArrayInTable(Common_SourceData.Common_SourceData_EFN2O_Data(), Table_SourceData_Common_EFN2O[[#Headers],[Production system j]], 0)</f>
        <v>Aquaculture</v>
      </c>
      <c r="E198" s="10" cm="1">
        <f t="array" ref="E198">Common_InputFunctions.Utility_DisplayArrayInTable(Common_SourceData.Common_SourceData_EFN2O_Data(), Table_SourceData_Common_EFN2O[[#Headers],[Production system j]], 0)</f>
        <v>2.5999999999999999E-3</v>
      </c>
      <c r="F198" s="10" t="str" cm="1">
        <f t="array" ref="F198">Common_InputFunctions.Utility_DisplayArrayInTable(Common_SourceData.Common_SourceData_EFN2O_Data(), Table_SourceData_Common_EFN2O[[#Headers],[Production system j]], 0)</f>
        <v>Aquaculture</v>
      </c>
      <c r="G198" s="10" t="str" cm="1">
        <f t="array" ref="G198">Common_InputFunctions.Utility_DisplayArrayInTable(Common_SourceData.Common_SourceData_EFN2O_Data(), Table_SourceData_Common_EFN2O[[#Headers],[Production system j]], 0)</f>
        <v>Any</v>
      </c>
      <c r="H198" s="10" t="str" cm="1">
        <f t="array" ref="H198">Common_InputFunctions.Utility_DisplayArrayInTable(Common_SourceData.Common_SourceData_EFN2O_Data(), Table_SourceData_Common_EFN2O[[#Headers],[Production system j]], 0)</f>
        <v>Any</v>
      </c>
    </row>
    <row r="199" spans="4:8" x14ac:dyDescent="0.25">
      <c r="D199" s="10" t="str" cm="1">
        <f t="array" ref="D199">Common_InputFunctions.Utility_DisplayArrayInTable(Common_SourceData.Common_SourceData_EFN2O_Data(), Table_SourceData_Common_EFN2O[[#Headers],[Production system j]], 0)</f>
        <v>Forestry</v>
      </c>
      <c r="E199" s="10" cm="1">
        <f t="array" ref="E199">Common_InputFunctions.Utility_DisplayArrayInTable(Common_SourceData.Common_SourceData_EFN2O_Data(), Table_SourceData_Common_EFN2O[[#Headers],[Production system j]], 0)</f>
        <v>1.8E-3</v>
      </c>
      <c r="F199" s="10" t="str" cm="1">
        <f t="array" ref="F199">Common_InputFunctions.Utility_DisplayArrayInTable(Common_SourceData.Common_SourceData_EFN2O_Data(), Table_SourceData_Common_EFN2O[[#Headers],[Production system j]], 0)</f>
        <v>Forestry</v>
      </c>
      <c r="G199" s="10" t="str" cm="1">
        <f t="array" ref="G199">Common_InputFunctions.Utility_DisplayArrayInTable(Common_SourceData.Common_SourceData_EFN2O_Data(), Table_SourceData_Common_EFN2O[[#Headers],[Production system j]], 0)</f>
        <v>Any</v>
      </c>
      <c r="H199" s="10" t="str" cm="1">
        <f t="array" ref="H199">Common_InputFunctions.Utility_DisplayArrayInTable(Common_SourceData.Common_SourceData_EFN2O_Data(), Table_SourceData_Common_EFN2O[[#Headers],[Production system j]], 0)</f>
        <v>Any</v>
      </c>
    </row>
    <row r="202" spans="4:8" ht="23.25" x14ac:dyDescent="0.25">
      <c r="D202" s="9" t="str" cm="1">
        <f t="array" ref="D202">Common_SourceData.Common_SourceData_EFPastureRangeAndPaddock_Title()</f>
        <v>Emission factor for urine and dung deposited on pasture, range or paddock</v>
      </c>
    </row>
    <row r="203" spans="4:8" x14ac:dyDescent="0.25">
      <c r="D203" s="11" t="str" cm="1">
        <f t="array" ref="D203">Common_SourceData.Common_SourceData_EFPastureRangeAndPaddock_Source()</f>
        <v>VEERG 2026: Table A.2.2.2</v>
      </c>
    </row>
    <row r="204" spans="4:8" x14ac:dyDescent="0.25">
      <c r="D204" s="12" t="str" cm="1">
        <f t="array" ref="D204">Common_SourceData.Common_SourceData_EFPastureRangeAndPaddock_Variation()</f>
        <v>VARIATION FROM SOURCE DATA: Changed 'Dry climate zones' to singular 'Dry climate zone' to aid lookup.</v>
      </c>
    </row>
    <row r="205" spans="4:8" x14ac:dyDescent="0.25">
      <c r="D205" s="13" t="str" cm="1">
        <f t="array" ref="D205">Common_SourceData.Common_SourceData_EFPastureRangeAndPaddock_Unit()</f>
        <v>kg N2O - N / kg N</v>
      </c>
    </row>
    <row r="206" spans="4:8" x14ac:dyDescent="0.25">
      <c r="D206" s="10" t="s">
        <v>11</v>
      </c>
      <c r="E206" s="10" t="s">
        <v>45</v>
      </c>
    </row>
    <row r="207" spans="4:8" x14ac:dyDescent="0.25">
      <c r="D207" s="10" t="str" cm="1">
        <f t="array" ref="D207">Common_InputFunctions.Utility_DisplayArrayInTable(Common_SourceData.Common_SourceData_EFPastureRangeAndPaddock_Data(), Table_SourceData_EFPastureRangeAndPaddock[[#Headers],[Climate zone]], 0)</f>
        <v>Wet climate zone</v>
      </c>
      <c r="E207" s="10" cm="1">
        <f t="array" ref="E207">Common_InputFunctions.Utility_DisplayArrayInTable(Common_SourceData.Common_SourceData_EFPastureRangeAndPaddock_Data(), Table_SourceData_EFPastureRangeAndPaddock[[#Headers],[Climate zone]], 0)</f>
        <v>6.0000000000000001E-3</v>
      </c>
    </row>
    <row r="208" spans="4:8" x14ac:dyDescent="0.25">
      <c r="D208" s="8" t="str" cm="1">
        <f t="array" ref="D208">Common_InputFunctions.Utility_DisplayArrayInTable(Common_SourceData.Common_SourceData_EFPastureRangeAndPaddock_Data(), Table_SourceData_EFPastureRangeAndPaddock[[#Headers],[Climate zone]], 0)</f>
        <v>Dry climate zone</v>
      </c>
      <c r="E208" s="10" cm="1">
        <f t="array" ref="E208">Common_InputFunctions.Utility_DisplayArrayInTable(Common_SourceData.Common_SourceData_EFPastureRangeAndPaddock_Data(), Table_SourceData_EFPastureRangeAndPaddock[[#Headers],[Climate zone]], 0)</f>
        <v>2E-3</v>
      </c>
    </row>
    <row r="211" spans="4:5" x14ac:dyDescent="0.25">
      <c r="D211" s="8" t="str" cm="1">
        <f t="array" ref="D211">Common_SourceData.Common_SourceData_MonthsToSeasons_Title()</f>
        <v>Months to Seasons Mapping</v>
      </c>
    </row>
    <row r="212" spans="4:5" x14ac:dyDescent="0.25">
      <c r="D212" s="10" t="s">
        <v>46</v>
      </c>
      <c r="E212" s="10" t="s">
        <v>47</v>
      </c>
    </row>
    <row r="213" spans="4:5" x14ac:dyDescent="0.25">
      <c r="D213" s="10" t="str" cm="1">
        <f t="array" ref="D213">Common_InputFunctions.Utility_DisplayArrayInTable(Common_SourceData.Common_SourceData_MonthsToSeasons_Data(), Table_SourceData_Common_MonthToSeason[[#Headers],[Month]], 0)</f>
        <v>January</v>
      </c>
      <c r="E213" s="10" t="str" cm="1">
        <f t="array" ref="E213">Common_InputFunctions.Utility_DisplayArrayInTable(Common_SourceData.Common_SourceData_MonthsToSeasons_Data(), Table_SourceData_Common_MonthToSeason[[#Headers],[Month]], 0)</f>
        <v>Summer</v>
      </c>
    </row>
    <row r="214" spans="4:5" x14ac:dyDescent="0.25">
      <c r="D214" s="8" t="str" cm="1">
        <f t="array" ref="D214">Common_InputFunctions.Utility_DisplayArrayInTable(Common_SourceData.Common_SourceData_MonthsToSeasons_Data(), Table_SourceData_Common_MonthToSeason[[#Headers],[Month]], 0)</f>
        <v>February</v>
      </c>
      <c r="E214" s="10" t="str" cm="1">
        <f t="array" ref="E214">Common_InputFunctions.Utility_DisplayArrayInTable(Common_SourceData.Common_SourceData_MonthsToSeasons_Data(), Table_SourceData_Common_MonthToSeason[[#Headers],[Month]], 0)</f>
        <v>Summer</v>
      </c>
    </row>
    <row r="215" spans="4:5" x14ac:dyDescent="0.25">
      <c r="D215" s="8" t="str" cm="1">
        <f t="array" ref="D215">Common_InputFunctions.Utility_DisplayArrayInTable(Common_SourceData.Common_SourceData_MonthsToSeasons_Data(), Table_SourceData_Common_MonthToSeason[[#Headers],[Month]], 0)</f>
        <v>March</v>
      </c>
      <c r="E215" s="10" t="str" cm="1">
        <f t="array" ref="E215">Common_InputFunctions.Utility_DisplayArrayInTable(Common_SourceData.Common_SourceData_MonthsToSeasons_Data(), Table_SourceData_Common_MonthToSeason[[#Headers],[Month]], 0)</f>
        <v>Autumn</v>
      </c>
    </row>
    <row r="216" spans="4:5" x14ac:dyDescent="0.25">
      <c r="D216" s="8" t="str" cm="1">
        <f t="array" ref="D216">Common_InputFunctions.Utility_DisplayArrayInTable(Common_SourceData.Common_SourceData_MonthsToSeasons_Data(), Table_SourceData_Common_MonthToSeason[[#Headers],[Month]], 0)</f>
        <v>April</v>
      </c>
      <c r="E216" s="10" t="str" cm="1">
        <f t="array" ref="E216">Common_InputFunctions.Utility_DisplayArrayInTable(Common_SourceData.Common_SourceData_MonthsToSeasons_Data(), Table_SourceData_Common_MonthToSeason[[#Headers],[Month]], 0)</f>
        <v>Autumn</v>
      </c>
    </row>
    <row r="217" spans="4:5" x14ac:dyDescent="0.25">
      <c r="D217" s="8" t="str" cm="1">
        <f t="array" ref="D217">Common_InputFunctions.Utility_DisplayArrayInTable(Common_SourceData.Common_SourceData_MonthsToSeasons_Data(), Table_SourceData_Common_MonthToSeason[[#Headers],[Month]], 0)</f>
        <v>May</v>
      </c>
      <c r="E217" s="10" t="str" cm="1">
        <f t="array" ref="E217">Common_InputFunctions.Utility_DisplayArrayInTable(Common_SourceData.Common_SourceData_MonthsToSeasons_Data(), Table_SourceData_Common_MonthToSeason[[#Headers],[Month]], 0)</f>
        <v>Autumn</v>
      </c>
    </row>
    <row r="218" spans="4:5" x14ac:dyDescent="0.25">
      <c r="D218" s="8" t="str" cm="1">
        <f t="array" ref="D218">Common_InputFunctions.Utility_DisplayArrayInTable(Common_SourceData.Common_SourceData_MonthsToSeasons_Data(), Table_SourceData_Common_MonthToSeason[[#Headers],[Month]], 0)</f>
        <v>June</v>
      </c>
      <c r="E218" s="10" t="str" cm="1">
        <f t="array" ref="E218">Common_InputFunctions.Utility_DisplayArrayInTable(Common_SourceData.Common_SourceData_MonthsToSeasons_Data(), Table_SourceData_Common_MonthToSeason[[#Headers],[Month]], 0)</f>
        <v>Winter</v>
      </c>
    </row>
    <row r="219" spans="4:5" x14ac:dyDescent="0.25">
      <c r="D219" s="8" t="str" cm="1">
        <f t="array" ref="D219">Common_InputFunctions.Utility_DisplayArrayInTable(Common_SourceData.Common_SourceData_MonthsToSeasons_Data(), Table_SourceData_Common_MonthToSeason[[#Headers],[Month]], 0)</f>
        <v>July</v>
      </c>
      <c r="E219" s="10" t="str" cm="1">
        <f t="array" ref="E219">Common_InputFunctions.Utility_DisplayArrayInTable(Common_SourceData.Common_SourceData_MonthsToSeasons_Data(), Table_SourceData_Common_MonthToSeason[[#Headers],[Month]], 0)</f>
        <v>Winter</v>
      </c>
    </row>
    <row r="220" spans="4:5" x14ac:dyDescent="0.25">
      <c r="D220" s="8" t="str" cm="1">
        <f t="array" ref="D220">Common_InputFunctions.Utility_DisplayArrayInTable(Common_SourceData.Common_SourceData_MonthsToSeasons_Data(), Table_SourceData_Common_MonthToSeason[[#Headers],[Month]], 0)</f>
        <v>August</v>
      </c>
      <c r="E220" s="10" t="str" cm="1">
        <f t="array" ref="E220">Common_InputFunctions.Utility_DisplayArrayInTable(Common_SourceData.Common_SourceData_MonthsToSeasons_Data(), Table_SourceData_Common_MonthToSeason[[#Headers],[Month]], 0)</f>
        <v>Winter</v>
      </c>
    </row>
    <row r="221" spans="4:5" x14ac:dyDescent="0.25">
      <c r="D221" s="8" t="str" cm="1">
        <f t="array" ref="D221">Common_InputFunctions.Utility_DisplayArrayInTable(Common_SourceData.Common_SourceData_MonthsToSeasons_Data(), Table_SourceData_Common_MonthToSeason[[#Headers],[Month]], 0)</f>
        <v>September</v>
      </c>
      <c r="E221" s="10" t="str" cm="1">
        <f t="array" ref="E221">Common_InputFunctions.Utility_DisplayArrayInTable(Common_SourceData.Common_SourceData_MonthsToSeasons_Data(), Table_SourceData_Common_MonthToSeason[[#Headers],[Month]], 0)</f>
        <v>Spring</v>
      </c>
    </row>
    <row r="222" spans="4:5" x14ac:dyDescent="0.25">
      <c r="D222" s="8" t="str" cm="1">
        <f t="array" ref="D222">Common_InputFunctions.Utility_DisplayArrayInTable(Common_SourceData.Common_SourceData_MonthsToSeasons_Data(), Table_SourceData_Common_MonthToSeason[[#Headers],[Month]], 0)</f>
        <v>October</v>
      </c>
      <c r="E222" s="10" t="str" cm="1">
        <f t="array" ref="E222">Common_InputFunctions.Utility_DisplayArrayInTable(Common_SourceData.Common_SourceData_MonthsToSeasons_Data(), Table_SourceData_Common_MonthToSeason[[#Headers],[Month]], 0)</f>
        <v>Spring</v>
      </c>
    </row>
    <row r="223" spans="4:5" x14ac:dyDescent="0.25">
      <c r="D223" s="8" t="str" cm="1">
        <f t="array" ref="D223">Common_InputFunctions.Utility_DisplayArrayInTable(Common_SourceData.Common_SourceData_MonthsToSeasons_Data(), Table_SourceData_Common_MonthToSeason[[#Headers],[Month]], 0)</f>
        <v>November</v>
      </c>
      <c r="E223" s="10" t="str" cm="1">
        <f t="array" ref="E223">Common_InputFunctions.Utility_DisplayArrayInTable(Common_SourceData.Common_SourceData_MonthsToSeasons_Data(), Table_SourceData_Common_MonthToSeason[[#Headers],[Month]], 0)</f>
        <v>Spring</v>
      </c>
    </row>
    <row r="224" spans="4:5" x14ac:dyDescent="0.25">
      <c r="D224" s="8" t="str" cm="1">
        <f t="array" ref="D224">Common_InputFunctions.Utility_DisplayArrayInTable(Common_SourceData.Common_SourceData_MonthsToSeasons_Data(), Table_SourceData_Common_MonthToSeason[[#Headers],[Month]], 0)</f>
        <v>December</v>
      </c>
      <c r="E224" s="10" t="str" cm="1">
        <f t="array" ref="E224">Common_InputFunctions.Utility_DisplayArrayInTable(Common_SourceData.Common_SourceData_MonthsToSeasons_Data(), Table_SourceData_Common_MonthToSeason[[#Headers],[Month]], 0)</f>
        <v>Summer</v>
      </c>
    </row>
    <row r="227" spans="4:19" ht="23.25" x14ac:dyDescent="0.25">
      <c r="D227" s="9" t="str" cm="1">
        <f t="array" ref="D227">Common_SourceData.Common_SourceData_MCFTemperatureZone_Title()</f>
        <v>Manure Management – Methane conversion factor per temperature zone (fraction) (MCFim)</v>
      </c>
    </row>
    <row r="228" spans="4:19" x14ac:dyDescent="0.25">
      <c r="D228" s="11" t="str" cm="1">
        <f t="array" ref="D228">Common_SourceData.Common_SourceData_MCFTemperatureZone_Source()</f>
        <v>VEERG 2026: Table A.1.8.1</v>
      </c>
    </row>
    <row r="229" spans="4:19" x14ac:dyDescent="0.25">
      <c r="D229" s="12" t="str" cm="1">
        <f t="array" ref="D229">Common_SourceData.Common_SourceData_MCFTemperatureZone_Variation()</f>
        <v>VARIATION FROM SOURCE: Added row of NIR MMA definitions to aid lookup. Duplicated 'Poultry with and without litter' column with separate NIR definitions to aid lookup. Added 'MAT raw' column to allow lookup of numbers.</v>
      </c>
    </row>
    <row r="231" spans="4:19" x14ac:dyDescent="0.25">
      <c r="D231" s="10" t="s">
        <v>48</v>
      </c>
      <c r="E231" s="10" t="s">
        <v>49</v>
      </c>
      <c r="F231" s="15" t="s">
        <v>50</v>
      </c>
      <c r="G231" s="10" t="s">
        <v>51</v>
      </c>
      <c r="H231" s="10" t="s">
        <v>52</v>
      </c>
      <c r="I231" s="10" t="s">
        <v>53</v>
      </c>
      <c r="J231" s="10" t="s">
        <v>54</v>
      </c>
      <c r="K231" s="10" t="s">
        <v>55</v>
      </c>
      <c r="L231" s="10" t="s">
        <v>56</v>
      </c>
      <c r="M231" s="10" t="s">
        <v>57</v>
      </c>
      <c r="N231" s="10" t="s">
        <v>58</v>
      </c>
      <c r="O231" s="10" t="s">
        <v>59</v>
      </c>
      <c r="P231" s="10" t="s">
        <v>60</v>
      </c>
      <c r="Q231" s="10" t="s">
        <v>61</v>
      </c>
      <c r="R231" s="10" t="s">
        <v>62</v>
      </c>
      <c r="S231" s="10" t="s">
        <v>63</v>
      </c>
    </row>
    <row r="232" spans="4:19" x14ac:dyDescent="0.25">
      <c r="D232" s="10" t="str" cm="1">
        <f t="array" ref="D232">Common_InputFunctions.Utility_DisplayArrayInTable(Common_SourceData.Common_SourceData_MCFTemperatureZone_Data(),Table_SourceData_Common_MCFTemperatureZone[[#Headers],[Temperature zone]],0)</f>
        <v>Cool</v>
      </c>
      <c r="E232" s="10" t="str" cm="1">
        <f t="array" ref="E232">Common_InputFunctions.Utility_DisplayArrayInTable(Common_SourceData.Common_SourceData_MCFTemperatureZone_Data(),Table_SourceData_Common_MCFTemperatureZone[[#Headers],[Temperature zone]],0)</f>
        <v>≤10</v>
      </c>
      <c r="F232" s="10" cm="1">
        <f t="array" ref="F232">Common_InputFunctions.Utility_DisplayArrayInTable(Common_SourceData.Common_SourceData_MCFTemperatureZone_Data(),Table_SourceData_Common_MCFTemperatureZone[[#Headers],[Temperature zone]],0)</f>
        <v>0.66</v>
      </c>
      <c r="G232" s="10" cm="1">
        <f t="array" ref="G232">Common_InputFunctions.Utility_DisplayArrayInTable(Common_SourceData.Common_SourceData_MCFTemperatureZone_Data(),Table_SourceData_Common_MCFTemperatureZone[[#Headers],[Temperature zone]],0)</f>
        <v>0.1</v>
      </c>
      <c r="H232" s="10" cm="1">
        <f t="array" ref="H232">Common_InputFunctions.Utility_DisplayArrayInTable(Common_SourceData.Common_SourceData_MCFTemperatureZone_Data(),Table_SourceData_Common_MCFTemperatureZone[[#Headers],[Temperature zone]],0)</f>
        <v>0.1</v>
      </c>
      <c r="I232" s="10" cm="1">
        <f t="array" ref="I232">Common_InputFunctions.Utility_DisplayArrayInTable(Common_SourceData.Common_SourceData_MCFTemperatureZone_Data(),Table_SourceData_Common_MCFTemperatureZone[[#Headers],[Temperature zone]],0)</f>
        <v>1E-3</v>
      </c>
      <c r="J232" s="10" cm="1">
        <f t="array" ref="J232">Common_InputFunctions.Utility_DisplayArrayInTable(Common_SourceData.Common_SourceData_MCFTemperatureZone_Data(),Table_SourceData_Common_MCFTemperatureZone[[#Headers],[Temperature zone]],0)</f>
        <v>5.0000000000000001E-3</v>
      </c>
      <c r="K232" s="10" cm="1">
        <f t="array" ref="K232">Common_InputFunctions.Utility_DisplayArrayInTable(Common_SourceData.Common_SourceData_MCFTemperatureZone_Data(),Table_SourceData_Common_MCFTemperatureZone[[#Headers],[Temperature zone]],0)</f>
        <v>0.02</v>
      </c>
      <c r="L232" s="10" cm="1">
        <f t="array" ref="L232">Common_InputFunctions.Utility_DisplayArrayInTable(Common_SourceData.Common_SourceData_MCFTemperatureZone_Data(),Table_SourceData_Common_MCFTemperatureZone[[#Headers],[Temperature zone]],0)</f>
        <v>0.03</v>
      </c>
      <c r="M232" s="10" cm="1">
        <f t="array" ref="M232">Common_InputFunctions.Utility_DisplayArrayInTable(Common_SourceData.Common_SourceData_MCFTemperatureZone_Data(),Table_SourceData_Common_MCFTemperatureZone[[#Headers],[Temperature zone]],0)</f>
        <v>0.04</v>
      </c>
      <c r="N232" s="10" cm="1">
        <f t="array" ref="N232">Common_InputFunctions.Utility_DisplayArrayInTable(Common_SourceData.Common_SourceData_MCFTemperatureZone_Data(),Table_SourceData_Common_MCFTemperatureZone[[#Headers],[Temperature zone]],0)</f>
        <v>1.4999999999999999E-2</v>
      </c>
      <c r="O232" s="10" cm="1">
        <f t="array" ref="O232">Common_InputFunctions.Utility_DisplayArrayInTable(Common_SourceData.Common_SourceData_MCFTemperatureZone_Data(),Table_SourceData_Common_MCFTemperatureZone[[#Headers],[Temperature zone]],0)</f>
        <v>1.4999999999999999E-2</v>
      </c>
      <c r="P232" s="10" cm="1">
        <f t="array" ref="P232">Common_InputFunctions.Utility_DisplayArrayInTable(Common_SourceData.Common_SourceData_MCFTemperatureZone_Data(),Table_SourceData_Common_MCFTemperatureZone[[#Headers],[Temperature zone]],0)</f>
        <v>0</v>
      </c>
      <c r="Q232" s="10" cm="1">
        <f t="array" ref="Q232">Common_InputFunctions.Utility_DisplayArrayInTable(Common_SourceData.Common_SourceData_MCFTemperatureZone_Data(),Table_SourceData_Common_MCFTemperatureZone[[#Headers],[Temperature zone]],0)</f>
        <v>0</v>
      </c>
      <c r="R232" s="10" cm="1">
        <f t="array" ref="R232">Common_InputFunctions.Utility_DisplayArrayInTable(Common_SourceData.Common_SourceData_MCFTemperatureZone_Data(),Table_SourceData_Common_MCFTemperatureZone[[#Headers],[Temperature zone]],0)</f>
        <v>4.7000000000000002E-3</v>
      </c>
      <c r="S232" s="10" cm="1">
        <f t="array" ref="S232">Common_InputFunctions.Utility_DisplayArrayInTable(Common_SourceData.Common_SourceData_MCFTemperatureZone_Data(),Table_SourceData_Common_MCFTemperatureZone[[#Headers],[Temperature zone]],0)</f>
        <v>10</v>
      </c>
    </row>
    <row r="233" spans="4:19" x14ac:dyDescent="0.25">
      <c r="D233" s="8" t="str" cm="1">
        <f t="array" ref="D233">Common_InputFunctions.Utility_DisplayArrayInTable(Common_SourceData.Common_SourceData_MCFTemperatureZone_Data(),Table_SourceData_Common_MCFTemperatureZone[[#Headers],[Temperature zone]],0)</f>
        <v>Cool</v>
      </c>
      <c r="E233" s="10" cm="1">
        <f t="array" ref="E233">Common_InputFunctions.Utility_DisplayArrayInTable(Common_SourceData.Common_SourceData_MCFTemperatureZone_Data(),Table_SourceData_Common_MCFTemperatureZone[[#Headers],[Temperature zone]],0)</f>
        <v>11</v>
      </c>
      <c r="F233" s="10" cm="1">
        <f t="array" ref="F233">Common_InputFunctions.Utility_DisplayArrayInTable(Common_SourceData.Common_SourceData_MCFTemperatureZone_Data(),Table_SourceData_Common_MCFTemperatureZone[[#Headers],[Temperature zone]],0)</f>
        <v>0.68</v>
      </c>
      <c r="G233" s="10" cm="1">
        <f t="array" ref="G233">Common_InputFunctions.Utility_DisplayArrayInTable(Common_SourceData.Common_SourceData_MCFTemperatureZone_Data(),Table_SourceData_Common_MCFTemperatureZone[[#Headers],[Temperature zone]],0)</f>
        <v>0.1</v>
      </c>
      <c r="H233" s="10" cm="1">
        <f t="array" ref="H233">Common_InputFunctions.Utility_DisplayArrayInTable(Common_SourceData.Common_SourceData_MCFTemperatureZone_Data(),Table_SourceData_Common_MCFTemperatureZone[[#Headers],[Temperature zone]],0)</f>
        <v>0.11</v>
      </c>
      <c r="I233" s="10" cm="1">
        <f t="array" ref="I233">Common_InputFunctions.Utility_DisplayArrayInTable(Common_SourceData.Common_SourceData_MCFTemperatureZone_Data(),Table_SourceData_Common_MCFTemperatureZone[[#Headers],[Temperature zone]],0)</f>
        <v>1E-3</v>
      </c>
      <c r="J233" s="10" cm="1">
        <f t="array" ref="J233">Common_InputFunctions.Utility_DisplayArrayInTable(Common_SourceData.Common_SourceData_MCFTemperatureZone_Data(),Table_SourceData_Common_MCFTemperatureZone[[#Headers],[Temperature zone]],0)</f>
        <v>5.0000000000000001E-3</v>
      </c>
      <c r="K233" s="10" cm="1">
        <f t="array" ref="K233">Common_InputFunctions.Utility_DisplayArrayInTable(Common_SourceData.Common_SourceData_MCFTemperatureZone_Data(),Table_SourceData_Common_MCFTemperatureZone[[#Headers],[Temperature zone]],0)</f>
        <v>0.02</v>
      </c>
      <c r="L233" s="10" cm="1">
        <f t="array" ref="L233">Common_InputFunctions.Utility_DisplayArrayInTable(Common_SourceData.Common_SourceData_MCFTemperatureZone_Data(),Table_SourceData_Common_MCFTemperatureZone[[#Headers],[Temperature zone]],0)</f>
        <v>0.03</v>
      </c>
      <c r="M233" s="10" cm="1">
        <f t="array" ref="M233">Common_InputFunctions.Utility_DisplayArrayInTable(Common_SourceData.Common_SourceData_MCFTemperatureZone_Data(),Table_SourceData_Common_MCFTemperatureZone[[#Headers],[Temperature zone]],0)</f>
        <v>0.04</v>
      </c>
      <c r="N233" s="10" cm="1">
        <f t="array" ref="N233">Common_InputFunctions.Utility_DisplayArrayInTable(Common_SourceData.Common_SourceData_MCFTemperatureZone_Data(),Table_SourceData_Common_MCFTemperatureZone[[#Headers],[Temperature zone]],0)</f>
        <v>1.4999999999999999E-2</v>
      </c>
      <c r="O233" s="10" cm="1">
        <f t="array" ref="O233">Common_InputFunctions.Utility_DisplayArrayInTable(Common_SourceData.Common_SourceData_MCFTemperatureZone_Data(),Table_SourceData_Common_MCFTemperatureZone[[#Headers],[Temperature zone]],0)</f>
        <v>1.4999999999999999E-2</v>
      </c>
      <c r="P233" s="10" cm="1">
        <f t="array" ref="P233">Common_InputFunctions.Utility_DisplayArrayInTable(Common_SourceData.Common_SourceData_MCFTemperatureZone_Data(),Table_SourceData_Common_MCFTemperatureZone[[#Headers],[Temperature zone]],0)</f>
        <v>0</v>
      </c>
      <c r="Q233" s="10" cm="1">
        <f t="array" ref="Q233">Common_InputFunctions.Utility_DisplayArrayInTable(Common_SourceData.Common_SourceData_MCFTemperatureZone_Data(),Table_SourceData_Common_MCFTemperatureZone[[#Headers],[Temperature zone]],0)</f>
        <v>0</v>
      </c>
      <c r="R233" s="10" cm="1">
        <f t="array" ref="R233">Common_InputFunctions.Utility_DisplayArrayInTable(Common_SourceData.Common_SourceData_MCFTemperatureZone_Data(),Table_SourceData_Common_MCFTemperatureZone[[#Headers],[Temperature zone]],0)</f>
        <v>4.7000000000000002E-3</v>
      </c>
      <c r="S233" s="10" cm="1">
        <f t="array" ref="S233">Common_InputFunctions.Utility_DisplayArrayInTable(Common_SourceData.Common_SourceData_MCFTemperatureZone_Data(),Table_SourceData_Common_MCFTemperatureZone[[#Headers],[Temperature zone]],0)</f>
        <v>11</v>
      </c>
    </row>
    <row r="234" spans="4:19" x14ac:dyDescent="0.25">
      <c r="D234" s="8" t="str" cm="1">
        <f t="array" ref="D234">Common_InputFunctions.Utility_DisplayArrayInTable(Common_SourceData.Common_SourceData_MCFTemperatureZone_Data(),Table_SourceData_Common_MCFTemperatureZone[[#Headers],[Temperature zone]],0)</f>
        <v>Cool</v>
      </c>
      <c r="E234" s="10" cm="1">
        <f t="array" ref="E234">Common_InputFunctions.Utility_DisplayArrayInTable(Common_SourceData.Common_SourceData_MCFTemperatureZone_Data(),Table_SourceData_Common_MCFTemperatureZone[[#Headers],[Temperature zone]],0)</f>
        <v>12</v>
      </c>
      <c r="F234" s="10" cm="1">
        <f t="array" ref="F234">Common_InputFunctions.Utility_DisplayArrayInTable(Common_SourceData.Common_SourceData_MCFTemperatureZone_Data(),Table_SourceData_Common_MCFTemperatureZone[[#Headers],[Temperature zone]],0)</f>
        <v>0.7</v>
      </c>
      <c r="G234" s="10" cm="1">
        <f t="array" ref="G234">Common_InputFunctions.Utility_DisplayArrayInTable(Common_SourceData.Common_SourceData_MCFTemperatureZone_Data(),Table_SourceData_Common_MCFTemperatureZone[[#Headers],[Temperature zone]],0)</f>
        <v>0.1</v>
      </c>
      <c r="H234" s="10" cm="1">
        <f t="array" ref="H234">Common_InputFunctions.Utility_DisplayArrayInTable(Common_SourceData.Common_SourceData_MCFTemperatureZone_Data(),Table_SourceData_Common_MCFTemperatureZone[[#Headers],[Temperature zone]],0)</f>
        <v>0.13</v>
      </c>
      <c r="I234" s="10" cm="1">
        <f t="array" ref="I234">Common_InputFunctions.Utility_DisplayArrayInTable(Common_SourceData.Common_SourceData_MCFTemperatureZone_Data(),Table_SourceData_Common_MCFTemperatureZone[[#Headers],[Temperature zone]],0)</f>
        <v>1E-3</v>
      </c>
      <c r="J234" s="10" cm="1">
        <f t="array" ref="J234">Common_InputFunctions.Utility_DisplayArrayInTable(Common_SourceData.Common_SourceData_MCFTemperatureZone_Data(),Table_SourceData_Common_MCFTemperatureZone[[#Headers],[Temperature zone]],0)</f>
        <v>5.0000000000000001E-3</v>
      </c>
      <c r="K234" s="10" cm="1">
        <f t="array" ref="K234">Common_InputFunctions.Utility_DisplayArrayInTable(Common_SourceData.Common_SourceData_MCFTemperatureZone_Data(),Table_SourceData_Common_MCFTemperatureZone[[#Headers],[Temperature zone]],0)</f>
        <v>0.02</v>
      </c>
      <c r="L234" s="10" cm="1">
        <f t="array" ref="L234">Common_InputFunctions.Utility_DisplayArrayInTable(Common_SourceData.Common_SourceData_MCFTemperatureZone_Data(),Table_SourceData_Common_MCFTemperatureZone[[#Headers],[Temperature zone]],0)</f>
        <v>0.03</v>
      </c>
      <c r="M234" s="10" cm="1">
        <f t="array" ref="M234">Common_InputFunctions.Utility_DisplayArrayInTable(Common_SourceData.Common_SourceData_MCFTemperatureZone_Data(),Table_SourceData_Common_MCFTemperatureZone[[#Headers],[Temperature zone]],0)</f>
        <v>0.04</v>
      </c>
      <c r="N234" s="10" cm="1">
        <f t="array" ref="N234">Common_InputFunctions.Utility_DisplayArrayInTable(Common_SourceData.Common_SourceData_MCFTemperatureZone_Data(),Table_SourceData_Common_MCFTemperatureZone[[#Headers],[Temperature zone]],0)</f>
        <v>1.4999999999999999E-2</v>
      </c>
      <c r="O234" s="10" cm="1">
        <f t="array" ref="O234">Common_InputFunctions.Utility_DisplayArrayInTable(Common_SourceData.Common_SourceData_MCFTemperatureZone_Data(),Table_SourceData_Common_MCFTemperatureZone[[#Headers],[Temperature zone]],0)</f>
        <v>1.4999999999999999E-2</v>
      </c>
      <c r="P234" s="10" cm="1">
        <f t="array" ref="P234">Common_InputFunctions.Utility_DisplayArrayInTable(Common_SourceData.Common_SourceData_MCFTemperatureZone_Data(),Table_SourceData_Common_MCFTemperatureZone[[#Headers],[Temperature zone]],0)</f>
        <v>0</v>
      </c>
      <c r="Q234" s="10" cm="1">
        <f t="array" ref="Q234">Common_InputFunctions.Utility_DisplayArrayInTable(Common_SourceData.Common_SourceData_MCFTemperatureZone_Data(),Table_SourceData_Common_MCFTemperatureZone[[#Headers],[Temperature zone]],0)</f>
        <v>0</v>
      </c>
      <c r="R234" s="10" cm="1">
        <f t="array" ref="R234">Common_InputFunctions.Utility_DisplayArrayInTable(Common_SourceData.Common_SourceData_MCFTemperatureZone_Data(),Table_SourceData_Common_MCFTemperatureZone[[#Headers],[Temperature zone]],0)</f>
        <v>4.7000000000000002E-3</v>
      </c>
      <c r="S234" s="10" cm="1">
        <f t="array" ref="S234">Common_InputFunctions.Utility_DisplayArrayInTable(Common_SourceData.Common_SourceData_MCFTemperatureZone_Data(),Table_SourceData_Common_MCFTemperatureZone[[#Headers],[Temperature zone]],0)</f>
        <v>12</v>
      </c>
    </row>
    <row r="235" spans="4:19" x14ac:dyDescent="0.25">
      <c r="D235" s="8" t="str" cm="1">
        <f t="array" ref="D235">Common_InputFunctions.Utility_DisplayArrayInTable(Common_SourceData.Common_SourceData_MCFTemperatureZone_Data(),Table_SourceData_Common_MCFTemperatureZone[[#Headers],[Temperature zone]],0)</f>
        <v>Cool</v>
      </c>
      <c r="E235" s="10" cm="1">
        <f t="array" ref="E235">Common_InputFunctions.Utility_DisplayArrayInTable(Common_SourceData.Common_SourceData_MCFTemperatureZone_Data(),Table_SourceData_Common_MCFTemperatureZone[[#Headers],[Temperature zone]],0)</f>
        <v>13</v>
      </c>
      <c r="F235" s="10" cm="1">
        <f t="array" ref="F235">Common_InputFunctions.Utility_DisplayArrayInTable(Common_SourceData.Common_SourceData_MCFTemperatureZone_Data(),Table_SourceData_Common_MCFTemperatureZone[[#Headers],[Temperature zone]],0)</f>
        <v>0.71</v>
      </c>
      <c r="G235" s="10" cm="1">
        <f t="array" ref="G235">Common_InputFunctions.Utility_DisplayArrayInTable(Common_SourceData.Common_SourceData_MCFTemperatureZone_Data(),Table_SourceData_Common_MCFTemperatureZone[[#Headers],[Temperature zone]],0)</f>
        <v>0.1</v>
      </c>
      <c r="H235" s="10" cm="1">
        <f t="array" ref="H235">Common_InputFunctions.Utility_DisplayArrayInTable(Common_SourceData.Common_SourceData_MCFTemperatureZone_Data(),Table_SourceData_Common_MCFTemperatureZone[[#Headers],[Temperature zone]],0)</f>
        <v>0.14000000000000001</v>
      </c>
      <c r="I235" s="10" cm="1">
        <f t="array" ref="I235">Common_InputFunctions.Utility_DisplayArrayInTable(Common_SourceData.Common_SourceData_MCFTemperatureZone_Data(),Table_SourceData_Common_MCFTemperatureZone[[#Headers],[Temperature zone]],0)</f>
        <v>1E-3</v>
      </c>
      <c r="J235" s="10" cm="1">
        <f t="array" ref="J235">Common_InputFunctions.Utility_DisplayArrayInTable(Common_SourceData.Common_SourceData_MCFTemperatureZone_Data(),Table_SourceData_Common_MCFTemperatureZone[[#Headers],[Temperature zone]],0)</f>
        <v>5.0000000000000001E-3</v>
      </c>
      <c r="K235" s="10" cm="1">
        <f t="array" ref="K235">Common_InputFunctions.Utility_DisplayArrayInTable(Common_SourceData.Common_SourceData_MCFTemperatureZone_Data(),Table_SourceData_Common_MCFTemperatureZone[[#Headers],[Temperature zone]],0)</f>
        <v>0.02</v>
      </c>
      <c r="L235" s="10" cm="1">
        <f t="array" ref="L235">Common_InputFunctions.Utility_DisplayArrayInTable(Common_SourceData.Common_SourceData_MCFTemperatureZone_Data(),Table_SourceData_Common_MCFTemperatureZone[[#Headers],[Temperature zone]],0)</f>
        <v>0.03</v>
      </c>
      <c r="M235" s="10" cm="1">
        <f t="array" ref="M235">Common_InputFunctions.Utility_DisplayArrayInTable(Common_SourceData.Common_SourceData_MCFTemperatureZone_Data(),Table_SourceData_Common_MCFTemperatureZone[[#Headers],[Temperature zone]],0)</f>
        <v>0.04</v>
      </c>
      <c r="N235" s="10" cm="1">
        <f t="array" ref="N235">Common_InputFunctions.Utility_DisplayArrayInTable(Common_SourceData.Common_SourceData_MCFTemperatureZone_Data(),Table_SourceData_Common_MCFTemperatureZone[[#Headers],[Temperature zone]],0)</f>
        <v>1.4999999999999999E-2</v>
      </c>
      <c r="O235" s="10" cm="1">
        <f t="array" ref="O235">Common_InputFunctions.Utility_DisplayArrayInTable(Common_SourceData.Common_SourceData_MCFTemperatureZone_Data(),Table_SourceData_Common_MCFTemperatureZone[[#Headers],[Temperature zone]],0)</f>
        <v>1.4999999999999999E-2</v>
      </c>
      <c r="P235" s="10" cm="1">
        <f t="array" ref="P235">Common_InputFunctions.Utility_DisplayArrayInTable(Common_SourceData.Common_SourceData_MCFTemperatureZone_Data(),Table_SourceData_Common_MCFTemperatureZone[[#Headers],[Temperature zone]],0)</f>
        <v>0</v>
      </c>
      <c r="Q235" s="10" cm="1">
        <f t="array" ref="Q235">Common_InputFunctions.Utility_DisplayArrayInTable(Common_SourceData.Common_SourceData_MCFTemperatureZone_Data(),Table_SourceData_Common_MCFTemperatureZone[[#Headers],[Temperature zone]],0)</f>
        <v>0</v>
      </c>
      <c r="R235" s="10" cm="1">
        <f t="array" ref="R235">Common_InputFunctions.Utility_DisplayArrayInTable(Common_SourceData.Common_SourceData_MCFTemperatureZone_Data(),Table_SourceData_Common_MCFTemperatureZone[[#Headers],[Temperature zone]],0)</f>
        <v>4.7000000000000002E-3</v>
      </c>
      <c r="S235" s="10" cm="1">
        <f t="array" ref="S235">Common_InputFunctions.Utility_DisplayArrayInTable(Common_SourceData.Common_SourceData_MCFTemperatureZone_Data(),Table_SourceData_Common_MCFTemperatureZone[[#Headers],[Temperature zone]],0)</f>
        <v>13</v>
      </c>
    </row>
    <row r="236" spans="4:19" x14ac:dyDescent="0.25">
      <c r="D236" s="8" t="str" cm="1">
        <f t="array" ref="D236">Common_InputFunctions.Utility_DisplayArrayInTable(Common_SourceData.Common_SourceData_MCFTemperatureZone_Data(),Table_SourceData_Common_MCFTemperatureZone[[#Headers],[Temperature zone]],0)</f>
        <v>Cool</v>
      </c>
      <c r="E236" s="10" cm="1">
        <f t="array" ref="E236">Common_InputFunctions.Utility_DisplayArrayInTable(Common_SourceData.Common_SourceData_MCFTemperatureZone_Data(),Table_SourceData_Common_MCFTemperatureZone[[#Headers],[Temperature zone]],0)</f>
        <v>14</v>
      </c>
      <c r="F236" s="10" cm="1">
        <f t="array" ref="F236">Common_InputFunctions.Utility_DisplayArrayInTable(Common_SourceData.Common_SourceData_MCFTemperatureZone_Data(),Table_SourceData_Common_MCFTemperatureZone[[#Headers],[Temperature zone]],0)</f>
        <v>0.73</v>
      </c>
      <c r="G236" s="10" cm="1">
        <f t="array" ref="G236">Common_InputFunctions.Utility_DisplayArrayInTable(Common_SourceData.Common_SourceData_MCFTemperatureZone_Data(),Table_SourceData_Common_MCFTemperatureZone[[#Headers],[Temperature zone]],0)</f>
        <v>0.1</v>
      </c>
      <c r="H236" s="10" cm="1">
        <f t="array" ref="H236">Common_InputFunctions.Utility_DisplayArrayInTable(Common_SourceData.Common_SourceData_MCFTemperatureZone_Data(),Table_SourceData_Common_MCFTemperatureZone[[#Headers],[Temperature zone]],0)</f>
        <v>0.15</v>
      </c>
      <c r="I236" s="10" cm="1">
        <f t="array" ref="I236">Common_InputFunctions.Utility_DisplayArrayInTable(Common_SourceData.Common_SourceData_MCFTemperatureZone_Data(),Table_SourceData_Common_MCFTemperatureZone[[#Headers],[Temperature zone]],0)</f>
        <v>1E-3</v>
      </c>
      <c r="J236" s="10" cm="1">
        <f t="array" ref="J236">Common_InputFunctions.Utility_DisplayArrayInTable(Common_SourceData.Common_SourceData_MCFTemperatureZone_Data(),Table_SourceData_Common_MCFTemperatureZone[[#Headers],[Temperature zone]],0)</f>
        <v>5.0000000000000001E-3</v>
      </c>
      <c r="K236" s="10" cm="1">
        <f t="array" ref="K236">Common_InputFunctions.Utility_DisplayArrayInTable(Common_SourceData.Common_SourceData_MCFTemperatureZone_Data(),Table_SourceData_Common_MCFTemperatureZone[[#Headers],[Temperature zone]],0)</f>
        <v>0.02</v>
      </c>
      <c r="L236" s="10" cm="1">
        <f t="array" ref="L236">Common_InputFunctions.Utility_DisplayArrayInTable(Common_SourceData.Common_SourceData_MCFTemperatureZone_Data(),Table_SourceData_Common_MCFTemperatureZone[[#Headers],[Temperature zone]],0)</f>
        <v>0.03</v>
      </c>
      <c r="M236" s="10" cm="1">
        <f t="array" ref="M236">Common_InputFunctions.Utility_DisplayArrayInTable(Common_SourceData.Common_SourceData_MCFTemperatureZone_Data(),Table_SourceData_Common_MCFTemperatureZone[[#Headers],[Temperature zone]],0)</f>
        <v>0.04</v>
      </c>
      <c r="N236" s="10" cm="1">
        <f t="array" ref="N236">Common_InputFunctions.Utility_DisplayArrayInTable(Common_SourceData.Common_SourceData_MCFTemperatureZone_Data(),Table_SourceData_Common_MCFTemperatureZone[[#Headers],[Temperature zone]],0)</f>
        <v>1.4999999999999999E-2</v>
      </c>
      <c r="O236" s="10" cm="1">
        <f t="array" ref="O236">Common_InputFunctions.Utility_DisplayArrayInTable(Common_SourceData.Common_SourceData_MCFTemperatureZone_Data(),Table_SourceData_Common_MCFTemperatureZone[[#Headers],[Temperature zone]],0)</f>
        <v>1.4999999999999999E-2</v>
      </c>
      <c r="P236" s="10" cm="1">
        <f t="array" ref="P236">Common_InputFunctions.Utility_DisplayArrayInTable(Common_SourceData.Common_SourceData_MCFTemperatureZone_Data(),Table_SourceData_Common_MCFTemperatureZone[[#Headers],[Temperature zone]],0)</f>
        <v>0</v>
      </c>
      <c r="Q236" s="10" cm="1">
        <f t="array" ref="Q236">Common_InputFunctions.Utility_DisplayArrayInTable(Common_SourceData.Common_SourceData_MCFTemperatureZone_Data(),Table_SourceData_Common_MCFTemperatureZone[[#Headers],[Temperature zone]],0)</f>
        <v>0</v>
      </c>
      <c r="R236" s="10" cm="1">
        <f t="array" ref="R236">Common_InputFunctions.Utility_DisplayArrayInTable(Common_SourceData.Common_SourceData_MCFTemperatureZone_Data(),Table_SourceData_Common_MCFTemperatureZone[[#Headers],[Temperature zone]],0)</f>
        <v>4.7000000000000002E-3</v>
      </c>
      <c r="S236" s="10" cm="1">
        <f t="array" ref="S236">Common_InputFunctions.Utility_DisplayArrayInTable(Common_SourceData.Common_SourceData_MCFTemperatureZone_Data(),Table_SourceData_Common_MCFTemperatureZone[[#Headers],[Temperature zone]],0)</f>
        <v>14</v>
      </c>
    </row>
    <row r="237" spans="4:19" x14ac:dyDescent="0.25">
      <c r="D237" s="8" t="str" cm="1">
        <f t="array" ref="D237">Common_InputFunctions.Utility_DisplayArrayInTable(Common_SourceData.Common_SourceData_MCFTemperatureZone_Data(),Table_SourceData_Common_MCFTemperatureZone[[#Headers],[Temperature zone]],0)</f>
        <v>Temperate</v>
      </c>
      <c r="E237" s="10" cm="1">
        <f t="array" ref="E237">Common_InputFunctions.Utility_DisplayArrayInTable(Common_SourceData.Common_SourceData_MCFTemperatureZone_Data(),Table_SourceData_Common_MCFTemperatureZone[[#Headers],[Temperature zone]],0)</f>
        <v>15</v>
      </c>
      <c r="F237" s="10" cm="1">
        <f t="array" ref="F237">Common_InputFunctions.Utility_DisplayArrayInTable(Common_SourceData.Common_SourceData_MCFTemperatureZone_Data(),Table_SourceData_Common_MCFTemperatureZone[[#Headers],[Temperature zone]],0)</f>
        <v>0.74</v>
      </c>
      <c r="G237" s="10" cm="1">
        <f t="array" ref="G237">Common_InputFunctions.Utility_DisplayArrayInTable(Common_SourceData.Common_SourceData_MCFTemperatureZone_Data(),Table_SourceData_Common_MCFTemperatureZone[[#Headers],[Temperature zone]],0)</f>
        <v>0.1</v>
      </c>
      <c r="H237" s="10" cm="1">
        <f t="array" ref="H237">Common_InputFunctions.Utility_DisplayArrayInTable(Common_SourceData.Common_SourceData_MCFTemperatureZone_Data(),Table_SourceData_Common_MCFTemperatureZone[[#Headers],[Temperature zone]],0)</f>
        <v>0.17</v>
      </c>
      <c r="I237" s="10" cm="1">
        <f t="array" ref="I237">Common_InputFunctions.Utility_DisplayArrayInTable(Common_SourceData.Common_SourceData_MCFTemperatureZone_Data(),Table_SourceData_Common_MCFTemperatureZone[[#Headers],[Temperature zone]],0)</f>
        <v>5.0000000000000001E-3</v>
      </c>
      <c r="J237" s="10" cm="1">
        <f t="array" ref="J237">Common_InputFunctions.Utility_DisplayArrayInTable(Common_SourceData.Common_SourceData_MCFTemperatureZone_Data(),Table_SourceData_Common_MCFTemperatureZone[[#Headers],[Temperature zone]],0)</f>
        <v>0.01</v>
      </c>
      <c r="K237" s="10" cm="1">
        <f t="array" ref="K237">Common_InputFunctions.Utility_DisplayArrayInTable(Common_SourceData.Common_SourceData_MCFTemperatureZone_Data(),Table_SourceData_Common_MCFTemperatureZone[[#Headers],[Temperature zone]],0)</f>
        <v>0.02</v>
      </c>
      <c r="L237" s="10" cm="1">
        <f t="array" ref="L237">Common_InputFunctions.Utility_DisplayArrayInTable(Common_SourceData.Common_SourceData_MCFTemperatureZone_Data(),Table_SourceData_Common_MCFTemperatureZone[[#Headers],[Temperature zone]],0)</f>
        <v>0.03</v>
      </c>
      <c r="M237" s="10" cm="1">
        <f t="array" ref="M237">Common_InputFunctions.Utility_DisplayArrayInTable(Common_SourceData.Common_SourceData_MCFTemperatureZone_Data(),Table_SourceData_Common_MCFTemperatureZone[[#Headers],[Temperature zone]],0)</f>
        <v>0.04</v>
      </c>
      <c r="N237" s="10" cm="1">
        <f t="array" ref="N237">Common_InputFunctions.Utility_DisplayArrayInTable(Common_SourceData.Common_SourceData_MCFTemperatureZone_Data(),Table_SourceData_Common_MCFTemperatureZone[[#Headers],[Temperature zone]],0)</f>
        <v>1.4999999999999999E-2</v>
      </c>
      <c r="O237" s="10" cm="1">
        <f t="array" ref="O237">Common_InputFunctions.Utility_DisplayArrayInTable(Common_SourceData.Common_SourceData_MCFTemperatureZone_Data(),Table_SourceData_Common_MCFTemperatureZone[[#Headers],[Temperature zone]],0)</f>
        <v>1.4999999999999999E-2</v>
      </c>
      <c r="P237" s="10" cm="1">
        <f t="array" ref="P237">Common_InputFunctions.Utility_DisplayArrayInTable(Common_SourceData.Common_SourceData_MCFTemperatureZone_Data(),Table_SourceData_Common_MCFTemperatureZone[[#Headers],[Temperature zone]],0)</f>
        <v>0</v>
      </c>
      <c r="Q237" s="10" cm="1">
        <f t="array" ref="Q237">Common_InputFunctions.Utility_DisplayArrayInTable(Common_SourceData.Common_SourceData_MCFTemperatureZone_Data(),Table_SourceData_Common_MCFTemperatureZone[[#Headers],[Temperature zone]],0)</f>
        <v>0</v>
      </c>
      <c r="R237" s="10" cm="1">
        <f t="array" ref="R237">Common_InputFunctions.Utility_DisplayArrayInTable(Common_SourceData.Common_SourceData_MCFTemperatureZone_Data(),Table_SourceData_Common_MCFTemperatureZone[[#Headers],[Temperature zone]],0)</f>
        <v>4.7000000000000002E-3</v>
      </c>
      <c r="S237" s="10" cm="1">
        <f t="array" ref="S237">Common_InputFunctions.Utility_DisplayArrayInTable(Common_SourceData.Common_SourceData_MCFTemperatureZone_Data(),Table_SourceData_Common_MCFTemperatureZone[[#Headers],[Temperature zone]],0)</f>
        <v>15</v>
      </c>
    </row>
    <row r="238" spans="4:19" x14ac:dyDescent="0.25">
      <c r="D238" s="8" t="str" cm="1">
        <f t="array" ref="D238">Common_InputFunctions.Utility_DisplayArrayInTable(Common_SourceData.Common_SourceData_MCFTemperatureZone_Data(),Table_SourceData_Common_MCFTemperatureZone[[#Headers],[Temperature zone]],0)</f>
        <v>Temperate</v>
      </c>
      <c r="E238" s="10" cm="1">
        <f t="array" ref="E238">Common_InputFunctions.Utility_DisplayArrayInTable(Common_SourceData.Common_SourceData_MCFTemperatureZone_Data(),Table_SourceData_Common_MCFTemperatureZone[[#Headers],[Temperature zone]],0)</f>
        <v>16</v>
      </c>
      <c r="F238" s="10" cm="1">
        <f t="array" ref="F238">Common_InputFunctions.Utility_DisplayArrayInTable(Common_SourceData.Common_SourceData_MCFTemperatureZone_Data(),Table_SourceData_Common_MCFTemperatureZone[[#Headers],[Temperature zone]],0)</f>
        <v>0.75</v>
      </c>
      <c r="G238" s="10" cm="1">
        <f t="array" ref="G238">Common_InputFunctions.Utility_DisplayArrayInTable(Common_SourceData.Common_SourceData_MCFTemperatureZone_Data(),Table_SourceData_Common_MCFTemperatureZone[[#Headers],[Temperature zone]],0)</f>
        <v>0.1</v>
      </c>
      <c r="H238" s="10" cm="1">
        <f t="array" ref="H238">Common_InputFunctions.Utility_DisplayArrayInTable(Common_SourceData.Common_SourceData_MCFTemperatureZone_Data(),Table_SourceData_Common_MCFTemperatureZone[[#Headers],[Temperature zone]],0)</f>
        <v>0.18</v>
      </c>
      <c r="I238" s="10" cm="1">
        <f t="array" ref="I238">Common_InputFunctions.Utility_DisplayArrayInTable(Common_SourceData.Common_SourceData_MCFTemperatureZone_Data(),Table_SourceData_Common_MCFTemperatureZone[[#Headers],[Temperature zone]],0)</f>
        <v>5.0000000000000001E-3</v>
      </c>
      <c r="J238" s="10" cm="1">
        <f t="array" ref="J238">Common_InputFunctions.Utility_DisplayArrayInTable(Common_SourceData.Common_SourceData_MCFTemperatureZone_Data(),Table_SourceData_Common_MCFTemperatureZone[[#Headers],[Temperature zone]],0)</f>
        <v>0.01</v>
      </c>
      <c r="K238" s="10" cm="1">
        <f t="array" ref="K238">Common_InputFunctions.Utility_DisplayArrayInTable(Common_SourceData.Common_SourceData_MCFTemperatureZone_Data(),Table_SourceData_Common_MCFTemperatureZone[[#Headers],[Temperature zone]],0)</f>
        <v>0.02</v>
      </c>
      <c r="L238" s="10" cm="1">
        <f t="array" ref="L238">Common_InputFunctions.Utility_DisplayArrayInTable(Common_SourceData.Common_SourceData_MCFTemperatureZone_Data(),Table_SourceData_Common_MCFTemperatureZone[[#Headers],[Temperature zone]],0)</f>
        <v>0.03</v>
      </c>
      <c r="M238" s="10" cm="1">
        <f t="array" ref="M238">Common_InputFunctions.Utility_DisplayArrayInTable(Common_SourceData.Common_SourceData_MCFTemperatureZone_Data(),Table_SourceData_Common_MCFTemperatureZone[[#Headers],[Temperature zone]],0)</f>
        <v>0.04</v>
      </c>
      <c r="N238" s="10" cm="1">
        <f t="array" ref="N238">Common_InputFunctions.Utility_DisplayArrayInTable(Common_SourceData.Common_SourceData_MCFTemperatureZone_Data(),Table_SourceData_Common_MCFTemperatureZone[[#Headers],[Temperature zone]],0)</f>
        <v>1.4999999999999999E-2</v>
      </c>
      <c r="O238" s="10" cm="1">
        <f t="array" ref="O238">Common_InputFunctions.Utility_DisplayArrayInTable(Common_SourceData.Common_SourceData_MCFTemperatureZone_Data(),Table_SourceData_Common_MCFTemperatureZone[[#Headers],[Temperature zone]],0)</f>
        <v>1.4999999999999999E-2</v>
      </c>
      <c r="P238" s="10" cm="1">
        <f t="array" ref="P238">Common_InputFunctions.Utility_DisplayArrayInTable(Common_SourceData.Common_SourceData_MCFTemperatureZone_Data(),Table_SourceData_Common_MCFTemperatureZone[[#Headers],[Temperature zone]],0)</f>
        <v>0</v>
      </c>
      <c r="Q238" s="10" cm="1">
        <f t="array" ref="Q238">Common_InputFunctions.Utility_DisplayArrayInTable(Common_SourceData.Common_SourceData_MCFTemperatureZone_Data(),Table_SourceData_Common_MCFTemperatureZone[[#Headers],[Temperature zone]],0)</f>
        <v>0</v>
      </c>
      <c r="R238" s="10" cm="1">
        <f t="array" ref="R238">Common_InputFunctions.Utility_DisplayArrayInTable(Common_SourceData.Common_SourceData_MCFTemperatureZone_Data(),Table_SourceData_Common_MCFTemperatureZone[[#Headers],[Temperature zone]],0)</f>
        <v>4.7000000000000002E-3</v>
      </c>
      <c r="S238" s="10" cm="1">
        <f t="array" ref="S238">Common_InputFunctions.Utility_DisplayArrayInTable(Common_SourceData.Common_SourceData_MCFTemperatureZone_Data(),Table_SourceData_Common_MCFTemperatureZone[[#Headers],[Temperature zone]],0)</f>
        <v>16</v>
      </c>
    </row>
    <row r="239" spans="4:19" x14ac:dyDescent="0.25">
      <c r="D239" s="8" t="str" cm="1">
        <f t="array" ref="D239">Common_InputFunctions.Utility_DisplayArrayInTable(Common_SourceData.Common_SourceData_MCFTemperatureZone_Data(),Table_SourceData_Common_MCFTemperatureZone[[#Headers],[Temperature zone]],0)</f>
        <v>Temperate</v>
      </c>
      <c r="E239" s="10" cm="1">
        <f t="array" ref="E239">Common_InputFunctions.Utility_DisplayArrayInTable(Common_SourceData.Common_SourceData_MCFTemperatureZone_Data(),Table_SourceData_Common_MCFTemperatureZone[[#Headers],[Temperature zone]],0)</f>
        <v>17</v>
      </c>
      <c r="F239" s="10" cm="1">
        <f t="array" ref="F239">Common_InputFunctions.Utility_DisplayArrayInTable(Common_SourceData.Common_SourceData_MCFTemperatureZone_Data(),Table_SourceData_Common_MCFTemperatureZone[[#Headers],[Temperature zone]],0)</f>
        <v>0.76</v>
      </c>
      <c r="G239" s="10" cm="1">
        <f t="array" ref="G239">Common_InputFunctions.Utility_DisplayArrayInTable(Common_SourceData.Common_SourceData_MCFTemperatureZone_Data(),Table_SourceData_Common_MCFTemperatureZone[[#Headers],[Temperature zone]],0)</f>
        <v>0.1</v>
      </c>
      <c r="H239" s="10" cm="1">
        <f t="array" ref="H239">Common_InputFunctions.Utility_DisplayArrayInTable(Common_SourceData.Common_SourceData_MCFTemperatureZone_Data(),Table_SourceData_Common_MCFTemperatureZone[[#Headers],[Temperature zone]],0)</f>
        <v>0.2</v>
      </c>
      <c r="I239" s="10" cm="1">
        <f t="array" ref="I239">Common_InputFunctions.Utility_DisplayArrayInTable(Common_SourceData.Common_SourceData_MCFTemperatureZone_Data(),Table_SourceData_Common_MCFTemperatureZone[[#Headers],[Temperature zone]],0)</f>
        <v>5.0000000000000001E-3</v>
      </c>
      <c r="J239" s="10" cm="1">
        <f t="array" ref="J239">Common_InputFunctions.Utility_DisplayArrayInTable(Common_SourceData.Common_SourceData_MCFTemperatureZone_Data(),Table_SourceData_Common_MCFTemperatureZone[[#Headers],[Temperature zone]],0)</f>
        <v>0.01</v>
      </c>
      <c r="K239" s="10" cm="1">
        <f t="array" ref="K239">Common_InputFunctions.Utility_DisplayArrayInTable(Common_SourceData.Common_SourceData_MCFTemperatureZone_Data(),Table_SourceData_Common_MCFTemperatureZone[[#Headers],[Temperature zone]],0)</f>
        <v>0.02</v>
      </c>
      <c r="L239" s="10" cm="1">
        <f t="array" ref="L239">Common_InputFunctions.Utility_DisplayArrayInTable(Common_SourceData.Common_SourceData_MCFTemperatureZone_Data(),Table_SourceData_Common_MCFTemperatureZone[[#Headers],[Temperature zone]],0)</f>
        <v>0.03</v>
      </c>
      <c r="M239" s="10" cm="1">
        <f t="array" ref="M239">Common_InputFunctions.Utility_DisplayArrayInTable(Common_SourceData.Common_SourceData_MCFTemperatureZone_Data(),Table_SourceData_Common_MCFTemperatureZone[[#Headers],[Temperature zone]],0)</f>
        <v>0.04</v>
      </c>
      <c r="N239" s="10" cm="1">
        <f t="array" ref="N239">Common_InputFunctions.Utility_DisplayArrayInTable(Common_SourceData.Common_SourceData_MCFTemperatureZone_Data(),Table_SourceData_Common_MCFTemperatureZone[[#Headers],[Temperature zone]],0)</f>
        <v>1.4999999999999999E-2</v>
      </c>
      <c r="O239" s="10" cm="1">
        <f t="array" ref="O239">Common_InputFunctions.Utility_DisplayArrayInTable(Common_SourceData.Common_SourceData_MCFTemperatureZone_Data(),Table_SourceData_Common_MCFTemperatureZone[[#Headers],[Temperature zone]],0)</f>
        <v>1.4999999999999999E-2</v>
      </c>
      <c r="P239" s="10" cm="1">
        <f t="array" ref="P239">Common_InputFunctions.Utility_DisplayArrayInTable(Common_SourceData.Common_SourceData_MCFTemperatureZone_Data(),Table_SourceData_Common_MCFTemperatureZone[[#Headers],[Temperature zone]],0)</f>
        <v>0</v>
      </c>
      <c r="Q239" s="10" cm="1">
        <f t="array" ref="Q239">Common_InputFunctions.Utility_DisplayArrayInTable(Common_SourceData.Common_SourceData_MCFTemperatureZone_Data(),Table_SourceData_Common_MCFTemperatureZone[[#Headers],[Temperature zone]],0)</f>
        <v>0</v>
      </c>
      <c r="R239" s="10" cm="1">
        <f t="array" ref="R239">Common_InputFunctions.Utility_DisplayArrayInTable(Common_SourceData.Common_SourceData_MCFTemperatureZone_Data(),Table_SourceData_Common_MCFTemperatureZone[[#Headers],[Temperature zone]],0)</f>
        <v>4.7000000000000002E-3</v>
      </c>
      <c r="S239" s="10" cm="1">
        <f t="array" ref="S239">Common_InputFunctions.Utility_DisplayArrayInTable(Common_SourceData.Common_SourceData_MCFTemperatureZone_Data(),Table_SourceData_Common_MCFTemperatureZone[[#Headers],[Temperature zone]],0)</f>
        <v>17</v>
      </c>
    </row>
    <row r="240" spans="4:19" x14ac:dyDescent="0.25">
      <c r="D240" s="8" t="str" cm="1">
        <f t="array" ref="D240">Common_InputFunctions.Utility_DisplayArrayInTable(Common_SourceData.Common_SourceData_MCFTemperatureZone_Data(),Table_SourceData_Common_MCFTemperatureZone[[#Headers],[Temperature zone]],0)</f>
        <v>Temperate</v>
      </c>
      <c r="E240" s="10" cm="1">
        <f t="array" ref="E240">Common_InputFunctions.Utility_DisplayArrayInTable(Common_SourceData.Common_SourceData_MCFTemperatureZone_Data(),Table_SourceData_Common_MCFTemperatureZone[[#Headers],[Temperature zone]],0)</f>
        <v>18</v>
      </c>
      <c r="F240" s="10" cm="1">
        <f t="array" ref="F240">Common_InputFunctions.Utility_DisplayArrayInTable(Common_SourceData.Common_SourceData_MCFTemperatureZone_Data(),Table_SourceData_Common_MCFTemperatureZone[[#Headers],[Temperature zone]],0)</f>
        <v>0.77</v>
      </c>
      <c r="G240" s="10" cm="1">
        <f t="array" ref="G240">Common_InputFunctions.Utility_DisplayArrayInTable(Common_SourceData.Common_SourceData_MCFTemperatureZone_Data(),Table_SourceData_Common_MCFTemperatureZone[[#Headers],[Temperature zone]],0)</f>
        <v>0.1</v>
      </c>
      <c r="H240" s="10" cm="1">
        <f t="array" ref="H240">Common_InputFunctions.Utility_DisplayArrayInTable(Common_SourceData.Common_SourceData_MCFTemperatureZone_Data(),Table_SourceData_Common_MCFTemperatureZone[[#Headers],[Temperature zone]],0)</f>
        <v>0.22</v>
      </c>
      <c r="I240" s="10" cm="1">
        <f t="array" ref="I240">Common_InputFunctions.Utility_DisplayArrayInTable(Common_SourceData.Common_SourceData_MCFTemperatureZone_Data(),Table_SourceData_Common_MCFTemperatureZone[[#Headers],[Temperature zone]],0)</f>
        <v>5.0000000000000001E-3</v>
      </c>
      <c r="J240" s="10" cm="1">
        <f t="array" ref="J240">Common_InputFunctions.Utility_DisplayArrayInTable(Common_SourceData.Common_SourceData_MCFTemperatureZone_Data(),Table_SourceData_Common_MCFTemperatureZone[[#Headers],[Temperature zone]],0)</f>
        <v>0.01</v>
      </c>
      <c r="K240" s="10" cm="1">
        <f t="array" ref="K240">Common_InputFunctions.Utility_DisplayArrayInTable(Common_SourceData.Common_SourceData_MCFTemperatureZone_Data(),Table_SourceData_Common_MCFTemperatureZone[[#Headers],[Temperature zone]],0)</f>
        <v>0.02</v>
      </c>
      <c r="L240" s="10" cm="1">
        <f t="array" ref="L240">Common_InputFunctions.Utility_DisplayArrayInTable(Common_SourceData.Common_SourceData_MCFTemperatureZone_Data(),Table_SourceData_Common_MCFTemperatureZone[[#Headers],[Temperature zone]],0)</f>
        <v>0.03</v>
      </c>
      <c r="M240" s="10" cm="1">
        <f t="array" ref="M240">Common_InputFunctions.Utility_DisplayArrayInTable(Common_SourceData.Common_SourceData_MCFTemperatureZone_Data(),Table_SourceData_Common_MCFTemperatureZone[[#Headers],[Temperature zone]],0)</f>
        <v>0.04</v>
      </c>
      <c r="N240" s="10" cm="1">
        <f t="array" ref="N240">Common_InputFunctions.Utility_DisplayArrayInTable(Common_SourceData.Common_SourceData_MCFTemperatureZone_Data(),Table_SourceData_Common_MCFTemperatureZone[[#Headers],[Temperature zone]],0)</f>
        <v>1.4999999999999999E-2</v>
      </c>
      <c r="O240" s="10" cm="1">
        <f t="array" ref="O240">Common_InputFunctions.Utility_DisplayArrayInTable(Common_SourceData.Common_SourceData_MCFTemperatureZone_Data(),Table_SourceData_Common_MCFTemperatureZone[[#Headers],[Temperature zone]],0)</f>
        <v>1.4999999999999999E-2</v>
      </c>
      <c r="P240" s="10" cm="1">
        <f t="array" ref="P240">Common_InputFunctions.Utility_DisplayArrayInTable(Common_SourceData.Common_SourceData_MCFTemperatureZone_Data(),Table_SourceData_Common_MCFTemperatureZone[[#Headers],[Temperature zone]],0)</f>
        <v>0</v>
      </c>
      <c r="Q240" s="10" cm="1">
        <f t="array" ref="Q240">Common_InputFunctions.Utility_DisplayArrayInTable(Common_SourceData.Common_SourceData_MCFTemperatureZone_Data(),Table_SourceData_Common_MCFTemperatureZone[[#Headers],[Temperature zone]],0)</f>
        <v>0</v>
      </c>
      <c r="R240" s="10" cm="1">
        <f t="array" ref="R240">Common_InputFunctions.Utility_DisplayArrayInTable(Common_SourceData.Common_SourceData_MCFTemperatureZone_Data(),Table_SourceData_Common_MCFTemperatureZone[[#Headers],[Temperature zone]],0)</f>
        <v>4.7000000000000002E-3</v>
      </c>
      <c r="S240" s="10" cm="1">
        <f t="array" ref="S240">Common_InputFunctions.Utility_DisplayArrayInTable(Common_SourceData.Common_SourceData_MCFTemperatureZone_Data(),Table_SourceData_Common_MCFTemperatureZone[[#Headers],[Temperature zone]],0)</f>
        <v>18</v>
      </c>
    </row>
    <row r="241" spans="4:19" x14ac:dyDescent="0.25">
      <c r="D241" s="8" t="str" cm="1">
        <f t="array" ref="D241">Common_InputFunctions.Utility_DisplayArrayInTable(Common_SourceData.Common_SourceData_MCFTemperatureZone_Data(),Table_SourceData_Common_MCFTemperatureZone[[#Headers],[Temperature zone]],0)</f>
        <v>Temperate</v>
      </c>
      <c r="E241" s="10" cm="1">
        <f t="array" ref="E241">Common_InputFunctions.Utility_DisplayArrayInTable(Common_SourceData.Common_SourceData_MCFTemperatureZone_Data(),Table_SourceData_Common_MCFTemperatureZone[[#Headers],[Temperature zone]],0)</f>
        <v>19</v>
      </c>
      <c r="F241" s="10" cm="1">
        <f t="array" ref="F241">Common_InputFunctions.Utility_DisplayArrayInTable(Common_SourceData.Common_SourceData_MCFTemperatureZone_Data(),Table_SourceData_Common_MCFTemperatureZone[[#Headers],[Temperature zone]],0)</f>
        <v>0.77</v>
      </c>
      <c r="G241" s="10" cm="1">
        <f t="array" ref="G241">Common_InputFunctions.Utility_DisplayArrayInTable(Common_SourceData.Common_SourceData_MCFTemperatureZone_Data(),Table_SourceData_Common_MCFTemperatureZone[[#Headers],[Temperature zone]],0)</f>
        <v>0.1</v>
      </c>
      <c r="H241" s="10" cm="1">
        <f t="array" ref="H241">Common_InputFunctions.Utility_DisplayArrayInTable(Common_SourceData.Common_SourceData_MCFTemperatureZone_Data(),Table_SourceData_Common_MCFTemperatureZone[[#Headers],[Temperature zone]],0)</f>
        <v>0.24</v>
      </c>
      <c r="I241" s="10" cm="1">
        <f t="array" ref="I241">Common_InputFunctions.Utility_DisplayArrayInTable(Common_SourceData.Common_SourceData_MCFTemperatureZone_Data(),Table_SourceData_Common_MCFTemperatureZone[[#Headers],[Temperature zone]],0)</f>
        <v>5.0000000000000001E-3</v>
      </c>
      <c r="J241" s="10" cm="1">
        <f t="array" ref="J241">Common_InputFunctions.Utility_DisplayArrayInTable(Common_SourceData.Common_SourceData_MCFTemperatureZone_Data(),Table_SourceData_Common_MCFTemperatureZone[[#Headers],[Temperature zone]],0)</f>
        <v>0.01</v>
      </c>
      <c r="K241" s="10" cm="1">
        <f t="array" ref="K241">Common_InputFunctions.Utility_DisplayArrayInTable(Common_SourceData.Common_SourceData_MCFTemperatureZone_Data(),Table_SourceData_Common_MCFTemperatureZone[[#Headers],[Temperature zone]],0)</f>
        <v>0.02</v>
      </c>
      <c r="L241" s="10" cm="1">
        <f t="array" ref="L241">Common_InputFunctions.Utility_DisplayArrayInTable(Common_SourceData.Common_SourceData_MCFTemperatureZone_Data(),Table_SourceData_Common_MCFTemperatureZone[[#Headers],[Temperature zone]],0)</f>
        <v>0.03</v>
      </c>
      <c r="M241" s="10" cm="1">
        <f t="array" ref="M241">Common_InputFunctions.Utility_DisplayArrayInTable(Common_SourceData.Common_SourceData_MCFTemperatureZone_Data(),Table_SourceData_Common_MCFTemperatureZone[[#Headers],[Temperature zone]],0)</f>
        <v>0.04</v>
      </c>
      <c r="N241" s="10" cm="1">
        <f t="array" ref="N241">Common_InputFunctions.Utility_DisplayArrayInTable(Common_SourceData.Common_SourceData_MCFTemperatureZone_Data(),Table_SourceData_Common_MCFTemperatureZone[[#Headers],[Temperature zone]],0)</f>
        <v>1.4999999999999999E-2</v>
      </c>
      <c r="O241" s="10" cm="1">
        <f t="array" ref="O241">Common_InputFunctions.Utility_DisplayArrayInTable(Common_SourceData.Common_SourceData_MCFTemperatureZone_Data(),Table_SourceData_Common_MCFTemperatureZone[[#Headers],[Temperature zone]],0)</f>
        <v>1.4999999999999999E-2</v>
      </c>
      <c r="P241" s="10" cm="1">
        <f t="array" ref="P241">Common_InputFunctions.Utility_DisplayArrayInTable(Common_SourceData.Common_SourceData_MCFTemperatureZone_Data(),Table_SourceData_Common_MCFTemperatureZone[[#Headers],[Temperature zone]],0)</f>
        <v>0</v>
      </c>
      <c r="Q241" s="10" cm="1">
        <f t="array" ref="Q241">Common_InputFunctions.Utility_DisplayArrayInTable(Common_SourceData.Common_SourceData_MCFTemperatureZone_Data(),Table_SourceData_Common_MCFTemperatureZone[[#Headers],[Temperature zone]],0)</f>
        <v>0</v>
      </c>
      <c r="R241" s="10" cm="1">
        <f t="array" ref="R241">Common_InputFunctions.Utility_DisplayArrayInTable(Common_SourceData.Common_SourceData_MCFTemperatureZone_Data(),Table_SourceData_Common_MCFTemperatureZone[[#Headers],[Temperature zone]],0)</f>
        <v>4.7000000000000002E-3</v>
      </c>
      <c r="S241" s="10" cm="1">
        <f t="array" ref="S241">Common_InputFunctions.Utility_DisplayArrayInTable(Common_SourceData.Common_SourceData_MCFTemperatureZone_Data(),Table_SourceData_Common_MCFTemperatureZone[[#Headers],[Temperature zone]],0)</f>
        <v>19</v>
      </c>
    </row>
    <row r="242" spans="4:19" x14ac:dyDescent="0.25">
      <c r="D242" s="8" t="str" cm="1">
        <f t="array" ref="D242">Common_InputFunctions.Utility_DisplayArrayInTable(Common_SourceData.Common_SourceData_MCFTemperatureZone_Data(),Table_SourceData_Common_MCFTemperatureZone[[#Headers],[Temperature zone]],0)</f>
        <v>Temperate</v>
      </c>
      <c r="E242" s="10" cm="1">
        <f t="array" ref="E242">Common_InputFunctions.Utility_DisplayArrayInTable(Common_SourceData.Common_SourceData_MCFTemperatureZone_Data(),Table_SourceData_Common_MCFTemperatureZone[[#Headers],[Temperature zone]],0)</f>
        <v>20</v>
      </c>
      <c r="F242" s="10" cm="1">
        <f t="array" ref="F242">Common_InputFunctions.Utility_DisplayArrayInTable(Common_SourceData.Common_SourceData_MCFTemperatureZone_Data(),Table_SourceData_Common_MCFTemperatureZone[[#Headers],[Temperature zone]],0)</f>
        <v>0.78</v>
      </c>
      <c r="G242" s="10" cm="1">
        <f t="array" ref="G242">Common_InputFunctions.Utility_DisplayArrayInTable(Common_SourceData.Common_SourceData_MCFTemperatureZone_Data(),Table_SourceData_Common_MCFTemperatureZone[[#Headers],[Temperature zone]],0)</f>
        <v>0.1</v>
      </c>
      <c r="H242" s="10" cm="1">
        <f t="array" ref="H242">Common_InputFunctions.Utility_DisplayArrayInTable(Common_SourceData.Common_SourceData_MCFTemperatureZone_Data(),Table_SourceData_Common_MCFTemperatureZone[[#Headers],[Temperature zone]],0)</f>
        <v>0.26</v>
      </c>
      <c r="I242" s="10" cm="1">
        <f t="array" ref="I242">Common_InputFunctions.Utility_DisplayArrayInTable(Common_SourceData.Common_SourceData_MCFTemperatureZone_Data(),Table_SourceData_Common_MCFTemperatureZone[[#Headers],[Temperature zone]],0)</f>
        <v>5.0000000000000001E-3</v>
      </c>
      <c r="J242" s="10" cm="1">
        <f t="array" ref="J242">Common_InputFunctions.Utility_DisplayArrayInTable(Common_SourceData.Common_SourceData_MCFTemperatureZone_Data(),Table_SourceData_Common_MCFTemperatureZone[[#Headers],[Temperature zone]],0)</f>
        <v>0.01</v>
      </c>
      <c r="K242" s="10" cm="1">
        <f t="array" ref="K242">Common_InputFunctions.Utility_DisplayArrayInTable(Common_SourceData.Common_SourceData_MCFTemperatureZone_Data(),Table_SourceData_Common_MCFTemperatureZone[[#Headers],[Temperature zone]],0)</f>
        <v>0.02</v>
      </c>
      <c r="L242" s="10" cm="1">
        <f t="array" ref="L242">Common_InputFunctions.Utility_DisplayArrayInTable(Common_SourceData.Common_SourceData_MCFTemperatureZone_Data(),Table_SourceData_Common_MCFTemperatureZone[[#Headers],[Temperature zone]],0)</f>
        <v>0.03</v>
      </c>
      <c r="M242" s="10" cm="1">
        <f t="array" ref="M242">Common_InputFunctions.Utility_DisplayArrayInTable(Common_SourceData.Common_SourceData_MCFTemperatureZone_Data(),Table_SourceData_Common_MCFTemperatureZone[[#Headers],[Temperature zone]],0)</f>
        <v>0.04</v>
      </c>
      <c r="N242" s="10" cm="1">
        <f t="array" ref="N242">Common_InputFunctions.Utility_DisplayArrayInTable(Common_SourceData.Common_SourceData_MCFTemperatureZone_Data(),Table_SourceData_Common_MCFTemperatureZone[[#Headers],[Temperature zone]],0)</f>
        <v>1.4999999999999999E-2</v>
      </c>
      <c r="O242" s="10" cm="1">
        <f t="array" ref="O242">Common_InputFunctions.Utility_DisplayArrayInTable(Common_SourceData.Common_SourceData_MCFTemperatureZone_Data(),Table_SourceData_Common_MCFTemperatureZone[[#Headers],[Temperature zone]],0)</f>
        <v>1.4999999999999999E-2</v>
      </c>
      <c r="P242" s="10" cm="1">
        <f t="array" ref="P242">Common_InputFunctions.Utility_DisplayArrayInTable(Common_SourceData.Common_SourceData_MCFTemperatureZone_Data(),Table_SourceData_Common_MCFTemperatureZone[[#Headers],[Temperature zone]],0)</f>
        <v>0</v>
      </c>
      <c r="Q242" s="10" cm="1">
        <f t="array" ref="Q242">Common_InputFunctions.Utility_DisplayArrayInTable(Common_SourceData.Common_SourceData_MCFTemperatureZone_Data(),Table_SourceData_Common_MCFTemperatureZone[[#Headers],[Temperature zone]],0)</f>
        <v>0</v>
      </c>
      <c r="R242" s="10" cm="1">
        <f t="array" ref="R242">Common_InputFunctions.Utility_DisplayArrayInTable(Common_SourceData.Common_SourceData_MCFTemperatureZone_Data(),Table_SourceData_Common_MCFTemperatureZone[[#Headers],[Temperature zone]],0)</f>
        <v>4.7000000000000002E-3</v>
      </c>
      <c r="S242" s="10" cm="1">
        <f t="array" ref="S242">Common_InputFunctions.Utility_DisplayArrayInTable(Common_SourceData.Common_SourceData_MCFTemperatureZone_Data(),Table_SourceData_Common_MCFTemperatureZone[[#Headers],[Temperature zone]],0)</f>
        <v>20</v>
      </c>
    </row>
    <row r="243" spans="4:19" x14ac:dyDescent="0.25">
      <c r="D243" s="8" t="str" cm="1">
        <f t="array" ref="D243">Common_InputFunctions.Utility_DisplayArrayInTable(Common_SourceData.Common_SourceData_MCFTemperatureZone_Data(),Table_SourceData_Common_MCFTemperatureZone[[#Headers],[Temperature zone]],0)</f>
        <v>Temperate</v>
      </c>
      <c r="E243" s="10" cm="1">
        <f t="array" ref="E243">Common_InputFunctions.Utility_DisplayArrayInTable(Common_SourceData.Common_SourceData_MCFTemperatureZone_Data(),Table_SourceData_Common_MCFTemperatureZone[[#Headers],[Temperature zone]],0)</f>
        <v>21</v>
      </c>
      <c r="F243" s="10" cm="1">
        <f t="array" ref="F243">Common_InputFunctions.Utility_DisplayArrayInTable(Common_SourceData.Common_SourceData_MCFTemperatureZone_Data(),Table_SourceData_Common_MCFTemperatureZone[[#Headers],[Temperature zone]],0)</f>
        <v>0.78</v>
      </c>
      <c r="G243" s="10" cm="1">
        <f t="array" ref="G243">Common_InputFunctions.Utility_DisplayArrayInTable(Common_SourceData.Common_SourceData_MCFTemperatureZone_Data(),Table_SourceData_Common_MCFTemperatureZone[[#Headers],[Temperature zone]],0)</f>
        <v>0.1</v>
      </c>
      <c r="H243" s="10" cm="1">
        <f t="array" ref="H243">Common_InputFunctions.Utility_DisplayArrayInTable(Common_SourceData.Common_SourceData_MCFTemperatureZone_Data(),Table_SourceData_Common_MCFTemperatureZone[[#Headers],[Temperature zone]],0)</f>
        <v>0.28999999999999998</v>
      </c>
      <c r="I243" s="10" cm="1">
        <f t="array" ref="I243">Common_InputFunctions.Utility_DisplayArrayInTable(Common_SourceData.Common_SourceData_MCFTemperatureZone_Data(),Table_SourceData_Common_MCFTemperatureZone[[#Headers],[Temperature zone]],0)</f>
        <v>5.0000000000000001E-3</v>
      </c>
      <c r="J243" s="10" cm="1">
        <f t="array" ref="J243">Common_InputFunctions.Utility_DisplayArrayInTable(Common_SourceData.Common_SourceData_MCFTemperatureZone_Data(),Table_SourceData_Common_MCFTemperatureZone[[#Headers],[Temperature zone]],0)</f>
        <v>0.01</v>
      </c>
      <c r="K243" s="10" cm="1">
        <f t="array" ref="K243">Common_InputFunctions.Utility_DisplayArrayInTable(Common_SourceData.Common_SourceData_MCFTemperatureZone_Data(),Table_SourceData_Common_MCFTemperatureZone[[#Headers],[Temperature zone]],0)</f>
        <v>0.02</v>
      </c>
      <c r="L243" s="10" cm="1">
        <f t="array" ref="L243">Common_InputFunctions.Utility_DisplayArrayInTable(Common_SourceData.Common_SourceData_MCFTemperatureZone_Data(),Table_SourceData_Common_MCFTemperatureZone[[#Headers],[Temperature zone]],0)</f>
        <v>0.03</v>
      </c>
      <c r="M243" s="10" cm="1">
        <f t="array" ref="M243">Common_InputFunctions.Utility_DisplayArrayInTable(Common_SourceData.Common_SourceData_MCFTemperatureZone_Data(),Table_SourceData_Common_MCFTemperatureZone[[#Headers],[Temperature zone]],0)</f>
        <v>0.04</v>
      </c>
      <c r="N243" s="10" cm="1">
        <f t="array" ref="N243">Common_InputFunctions.Utility_DisplayArrayInTable(Common_SourceData.Common_SourceData_MCFTemperatureZone_Data(),Table_SourceData_Common_MCFTemperatureZone[[#Headers],[Temperature zone]],0)</f>
        <v>1.4999999999999999E-2</v>
      </c>
      <c r="O243" s="10" cm="1">
        <f t="array" ref="O243">Common_InputFunctions.Utility_DisplayArrayInTable(Common_SourceData.Common_SourceData_MCFTemperatureZone_Data(),Table_SourceData_Common_MCFTemperatureZone[[#Headers],[Temperature zone]],0)</f>
        <v>1.4999999999999999E-2</v>
      </c>
      <c r="P243" s="10" cm="1">
        <f t="array" ref="P243">Common_InputFunctions.Utility_DisplayArrayInTable(Common_SourceData.Common_SourceData_MCFTemperatureZone_Data(),Table_SourceData_Common_MCFTemperatureZone[[#Headers],[Temperature zone]],0)</f>
        <v>0</v>
      </c>
      <c r="Q243" s="10" cm="1">
        <f t="array" ref="Q243">Common_InputFunctions.Utility_DisplayArrayInTable(Common_SourceData.Common_SourceData_MCFTemperatureZone_Data(),Table_SourceData_Common_MCFTemperatureZone[[#Headers],[Temperature zone]],0)</f>
        <v>0</v>
      </c>
      <c r="R243" s="10" cm="1">
        <f t="array" ref="R243">Common_InputFunctions.Utility_DisplayArrayInTable(Common_SourceData.Common_SourceData_MCFTemperatureZone_Data(),Table_SourceData_Common_MCFTemperatureZone[[#Headers],[Temperature zone]],0)</f>
        <v>4.7000000000000002E-3</v>
      </c>
      <c r="S243" s="10" cm="1">
        <f t="array" ref="S243">Common_InputFunctions.Utility_DisplayArrayInTable(Common_SourceData.Common_SourceData_MCFTemperatureZone_Data(),Table_SourceData_Common_MCFTemperatureZone[[#Headers],[Temperature zone]],0)</f>
        <v>21</v>
      </c>
    </row>
    <row r="244" spans="4:19" x14ac:dyDescent="0.25">
      <c r="D244" s="8" t="str" cm="1">
        <f t="array" ref="D244">Common_InputFunctions.Utility_DisplayArrayInTable(Common_SourceData.Common_SourceData_MCFTemperatureZone_Data(),Table_SourceData_Common_MCFTemperatureZone[[#Headers],[Temperature zone]],0)</f>
        <v>Temperate</v>
      </c>
      <c r="E244" s="10" cm="1">
        <f t="array" ref="E244">Common_InputFunctions.Utility_DisplayArrayInTable(Common_SourceData.Common_SourceData_MCFTemperatureZone_Data(),Table_SourceData_Common_MCFTemperatureZone[[#Headers],[Temperature zone]],0)</f>
        <v>22</v>
      </c>
      <c r="F244" s="10" cm="1">
        <f t="array" ref="F244">Common_InputFunctions.Utility_DisplayArrayInTable(Common_SourceData.Common_SourceData_MCFTemperatureZone_Data(),Table_SourceData_Common_MCFTemperatureZone[[#Headers],[Temperature zone]],0)</f>
        <v>0.78</v>
      </c>
      <c r="G244" s="10" cm="1">
        <f t="array" ref="G244">Common_InputFunctions.Utility_DisplayArrayInTable(Common_SourceData.Common_SourceData_MCFTemperatureZone_Data(),Table_SourceData_Common_MCFTemperatureZone[[#Headers],[Temperature zone]],0)</f>
        <v>0.1</v>
      </c>
      <c r="H244" s="10" cm="1">
        <f t="array" ref="H244">Common_InputFunctions.Utility_DisplayArrayInTable(Common_SourceData.Common_SourceData_MCFTemperatureZone_Data(),Table_SourceData_Common_MCFTemperatureZone[[#Headers],[Temperature zone]],0)</f>
        <v>0.31</v>
      </c>
      <c r="I244" s="10" cm="1">
        <f t="array" ref="I244">Common_InputFunctions.Utility_DisplayArrayInTable(Common_SourceData.Common_SourceData_MCFTemperatureZone_Data(),Table_SourceData_Common_MCFTemperatureZone[[#Headers],[Temperature zone]],0)</f>
        <v>5.0000000000000001E-3</v>
      </c>
      <c r="J244" s="10" cm="1">
        <f t="array" ref="J244">Common_InputFunctions.Utility_DisplayArrayInTable(Common_SourceData.Common_SourceData_MCFTemperatureZone_Data(),Table_SourceData_Common_MCFTemperatureZone[[#Headers],[Temperature zone]],0)</f>
        <v>0.01</v>
      </c>
      <c r="K244" s="10" cm="1">
        <f t="array" ref="K244">Common_InputFunctions.Utility_DisplayArrayInTable(Common_SourceData.Common_SourceData_MCFTemperatureZone_Data(),Table_SourceData_Common_MCFTemperatureZone[[#Headers],[Temperature zone]],0)</f>
        <v>0.02</v>
      </c>
      <c r="L244" s="10" cm="1">
        <f t="array" ref="L244">Common_InputFunctions.Utility_DisplayArrayInTable(Common_SourceData.Common_SourceData_MCFTemperatureZone_Data(),Table_SourceData_Common_MCFTemperatureZone[[#Headers],[Temperature zone]],0)</f>
        <v>0.03</v>
      </c>
      <c r="M244" s="10" cm="1">
        <f t="array" ref="M244">Common_InputFunctions.Utility_DisplayArrayInTable(Common_SourceData.Common_SourceData_MCFTemperatureZone_Data(),Table_SourceData_Common_MCFTemperatureZone[[#Headers],[Temperature zone]],0)</f>
        <v>0.04</v>
      </c>
      <c r="N244" s="10" cm="1">
        <f t="array" ref="N244">Common_InputFunctions.Utility_DisplayArrayInTable(Common_SourceData.Common_SourceData_MCFTemperatureZone_Data(),Table_SourceData_Common_MCFTemperatureZone[[#Headers],[Temperature zone]],0)</f>
        <v>1.4999999999999999E-2</v>
      </c>
      <c r="O244" s="10" cm="1">
        <f t="array" ref="O244">Common_InputFunctions.Utility_DisplayArrayInTable(Common_SourceData.Common_SourceData_MCFTemperatureZone_Data(),Table_SourceData_Common_MCFTemperatureZone[[#Headers],[Temperature zone]],0)</f>
        <v>1.4999999999999999E-2</v>
      </c>
      <c r="P244" s="10" cm="1">
        <f t="array" ref="P244">Common_InputFunctions.Utility_DisplayArrayInTable(Common_SourceData.Common_SourceData_MCFTemperatureZone_Data(),Table_SourceData_Common_MCFTemperatureZone[[#Headers],[Temperature zone]],0)</f>
        <v>0</v>
      </c>
      <c r="Q244" s="10" cm="1">
        <f t="array" ref="Q244">Common_InputFunctions.Utility_DisplayArrayInTable(Common_SourceData.Common_SourceData_MCFTemperatureZone_Data(),Table_SourceData_Common_MCFTemperatureZone[[#Headers],[Temperature zone]],0)</f>
        <v>0</v>
      </c>
      <c r="R244" s="10" cm="1">
        <f t="array" ref="R244">Common_InputFunctions.Utility_DisplayArrayInTable(Common_SourceData.Common_SourceData_MCFTemperatureZone_Data(),Table_SourceData_Common_MCFTemperatureZone[[#Headers],[Temperature zone]],0)</f>
        <v>4.7000000000000002E-3</v>
      </c>
      <c r="S244" s="10" cm="1">
        <f t="array" ref="S244">Common_InputFunctions.Utility_DisplayArrayInTable(Common_SourceData.Common_SourceData_MCFTemperatureZone_Data(),Table_SourceData_Common_MCFTemperatureZone[[#Headers],[Temperature zone]],0)</f>
        <v>22</v>
      </c>
    </row>
    <row r="245" spans="4:19" x14ac:dyDescent="0.25">
      <c r="D245" s="8" t="str" cm="1">
        <f t="array" ref="D245">Common_InputFunctions.Utility_DisplayArrayInTable(Common_SourceData.Common_SourceData_MCFTemperatureZone_Data(),Table_SourceData_Common_MCFTemperatureZone[[#Headers],[Temperature zone]],0)</f>
        <v>Temperate</v>
      </c>
      <c r="E245" s="10" cm="1">
        <f t="array" ref="E245">Common_InputFunctions.Utility_DisplayArrayInTable(Common_SourceData.Common_SourceData_MCFTemperatureZone_Data(),Table_SourceData_Common_MCFTemperatureZone[[#Headers],[Temperature zone]],0)</f>
        <v>23</v>
      </c>
      <c r="F245" s="10" cm="1">
        <f t="array" ref="F245">Common_InputFunctions.Utility_DisplayArrayInTable(Common_SourceData.Common_SourceData_MCFTemperatureZone_Data(),Table_SourceData_Common_MCFTemperatureZone[[#Headers],[Temperature zone]],0)</f>
        <v>0.79</v>
      </c>
      <c r="G245" s="10" cm="1">
        <f t="array" ref="G245">Common_InputFunctions.Utility_DisplayArrayInTable(Common_SourceData.Common_SourceData_MCFTemperatureZone_Data(),Table_SourceData_Common_MCFTemperatureZone[[#Headers],[Temperature zone]],0)</f>
        <v>0.1</v>
      </c>
      <c r="H245" s="10" cm="1">
        <f t="array" ref="H245">Common_InputFunctions.Utility_DisplayArrayInTable(Common_SourceData.Common_SourceData_MCFTemperatureZone_Data(),Table_SourceData_Common_MCFTemperatureZone[[#Headers],[Temperature zone]],0)</f>
        <v>0.34</v>
      </c>
      <c r="I245" s="10" cm="1">
        <f t="array" ref="I245">Common_InputFunctions.Utility_DisplayArrayInTable(Common_SourceData.Common_SourceData_MCFTemperatureZone_Data(),Table_SourceData_Common_MCFTemperatureZone[[#Headers],[Temperature zone]],0)</f>
        <v>5.0000000000000001E-3</v>
      </c>
      <c r="J245" s="10" cm="1">
        <f t="array" ref="J245">Common_InputFunctions.Utility_DisplayArrayInTable(Common_SourceData.Common_SourceData_MCFTemperatureZone_Data(),Table_SourceData_Common_MCFTemperatureZone[[#Headers],[Temperature zone]],0)</f>
        <v>0.01</v>
      </c>
      <c r="K245" s="10" cm="1">
        <f t="array" ref="K245">Common_InputFunctions.Utility_DisplayArrayInTable(Common_SourceData.Common_SourceData_MCFTemperatureZone_Data(),Table_SourceData_Common_MCFTemperatureZone[[#Headers],[Temperature zone]],0)</f>
        <v>0.02</v>
      </c>
      <c r="L245" s="10" cm="1">
        <f t="array" ref="L245">Common_InputFunctions.Utility_DisplayArrayInTable(Common_SourceData.Common_SourceData_MCFTemperatureZone_Data(),Table_SourceData_Common_MCFTemperatureZone[[#Headers],[Temperature zone]],0)</f>
        <v>0.03</v>
      </c>
      <c r="M245" s="10" cm="1">
        <f t="array" ref="M245">Common_InputFunctions.Utility_DisplayArrayInTable(Common_SourceData.Common_SourceData_MCFTemperatureZone_Data(),Table_SourceData_Common_MCFTemperatureZone[[#Headers],[Temperature zone]],0)</f>
        <v>0.04</v>
      </c>
      <c r="N245" s="10" cm="1">
        <f t="array" ref="N245">Common_InputFunctions.Utility_DisplayArrayInTable(Common_SourceData.Common_SourceData_MCFTemperatureZone_Data(),Table_SourceData_Common_MCFTemperatureZone[[#Headers],[Temperature zone]],0)</f>
        <v>1.4999999999999999E-2</v>
      </c>
      <c r="O245" s="10" cm="1">
        <f t="array" ref="O245">Common_InputFunctions.Utility_DisplayArrayInTable(Common_SourceData.Common_SourceData_MCFTemperatureZone_Data(),Table_SourceData_Common_MCFTemperatureZone[[#Headers],[Temperature zone]],0)</f>
        <v>1.4999999999999999E-2</v>
      </c>
      <c r="P245" s="10" cm="1">
        <f t="array" ref="P245">Common_InputFunctions.Utility_DisplayArrayInTable(Common_SourceData.Common_SourceData_MCFTemperatureZone_Data(),Table_SourceData_Common_MCFTemperatureZone[[#Headers],[Temperature zone]],0)</f>
        <v>0</v>
      </c>
      <c r="Q245" s="10" cm="1">
        <f t="array" ref="Q245">Common_InputFunctions.Utility_DisplayArrayInTable(Common_SourceData.Common_SourceData_MCFTemperatureZone_Data(),Table_SourceData_Common_MCFTemperatureZone[[#Headers],[Temperature zone]],0)</f>
        <v>0</v>
      </c>
      <c r="R245" s="10" cm="1">
        <f t="array" ref="R245">Common_InputFunctions.Utility_DisplayArrayInTable(Common_SourceData.Common_SourceData_MCFTemperatureZone_Data(),Table_SourceData_Common_MCFTemperatureZone[[#Headers],[Temperature zone]],0)</f>
        <v>4.7000000000000002E-3</v>
      </c>
      <c r="S245" s="10" cm="1">
        <f t="array" ref="S245">Common_InputFunctions.Utility_DisplayArrayInTable(Common_SourceData.Common_SourceData_MCFTemperatureZone_Data(),Table_SourceData_Common_MCFTemperatureZone[[#Headers],[Temperature zone]],0)</f>
        <v>23</v>
      </c>
    </row>
    <row r="246" spans="4:19" x14ac:dyDescent="0.25">
      <c r="D246" s="8" t="str" cm="1">
        <f t="array" ref="D246">Common_InputFunctions.Utility_DisplayArrayInTable(Common_SourceData.Common_SourceData_MCFTemperatureZone_Data(),Table_SourceData_Common_MCFTemperatureZone[[#Headers],[Temperature zone]],0)</f>
        <v>Temperate</v>
      </c>
      <c r="E246" s="10" cm="1">
        <f t="array" ref="E246">Common_InputFunctions.Utility_DisplayArrayInTable(Common_SourceData.Common_SourceData_MCFTemperatureZone_Data(),Table_SourceData_Common_MCFTemperatureZone[[#Headers],[Temperature zone]],0)</f>
        <v>24</v>
      </c>
      <c r="F246" s="10" cm="1">
        <f t="array" ref="F246">Common_InputFunctions.Utility_DisplayArrayInTable(Common_SourceData.Common_SourceData_MCFTemperatureZone_Data(),Table_SourceData_Common_MCFTemperatureZone[[#Headers],[Temperature zone]],0)</f>
        <v>0.79</v>
      </c>
      <c r="G246" s="10" cm="1">
        <f t="array" ref="G246">Common_InputFunctions.Utility_DisplayArrayInTable(Common_SourceData.Common_SourceData_MCFTemperatureZone_Data(),Table_SourceData_Common_MCFTemperatureZone[[#Headers],[Temperature zone]],0)</f>
        <v>0.1</v>
      </c>
      <c r="H246" s="10" cm="1">
        <f t="array" ref="H246">Common_InputFunctions.Utility_DisplayArrayInTable(Common_SourceData.Common_SourceData_MCFTemperatureZone_Data(),Table_SourceData_Common_MCFTemperatureZone[[#Headers],[Temperature zone]],0)</f>
        <v>0.37</v>
      </c>
      <c r="I246" s="10" cm="1">
        <f t="array" ref="I246">Common_InputFunctions.Utility_DisplayArrayInTable(Common_SourceData.Common_SourceData_MCFTemperatureZone_Data(),Table_SourceData_Common_MCFTemperatureZone[[#Headers],[Temperature zone]],0)</f>
        <v>5.0000000000000001E-3</v>
      </c>
      <c r="J246" s="10" cm="1">
        <f t="array" ref="J246">Common_InputFunctions.Utility_DisplayArrayInTable(Common_SourceData.Common_SourceData_MCFTemperatureZone_Data(),Table_SourceData_Common_MCFTemperatureZone[[#Headers],[Temperature zone]],0)</f>
        <v>0.01</v>
      </c>
      <c r="K246" s="10" cm="1">
        <f t="array" ref="K246">Common_InputFunctions.Utility_DisplayArrayInTable(Common_SourceData.Common_SourceData_MCFTemperatureZone_Data(),Table_SourceData_Common_MCFTemperatureZone[[#Headers],[Temperature zone]],0)</f>
        <v>0.02</v>
      </c>
      <c r="L246" s="10" cm="1">
        <f t="array" ref="L246">Common_InputFunctions.Utility_DisplayArrayInTable(Common_SourceData.Common_SourceData_MCFTemperatureZone_Data(),Table_SourceData_Common_MCFTemperatureZone[[#Headers],[Temperature zone]],0)</f>
        <v>0.03</v>
      </c>
      <c r="M246" s="10" cm="1">
        <f t="array" ref="M246">Common_InputFunctions.Utility_DisplayArrayInTable(Common_SourceData.Common_SourceData_MCFTemperatureZone_Data(),Table_SourceData_Common_MCFTemperatureZone[[#Headers],[Temperature zone]],0)</f>
        <v>0.04</v>
      </c>
      <c r="N246" s="10" cm="1">
        <f t="array" ref="N246">Common_InputFunctions.Utility_DisplayArrayInTable(Common_SourceData.Common_SourceData_MCFTemperatureZone_Data(),Table_SourceData_Common_MCFTemperatureZone[[#Headers],[Temperature zone]],0)</f>
        <v>1.4999999999999999E-2</v>
      </c>
      <c r="O246" s="10" cm="1">
        <f t="array" ref="O246">Common_InputFunctions.Utility_DisplayArrayInTable(Common_SourceData.Common_SourceData_MCFTemperatureZone_Data(),Table_SourceData_Common_MCFTemperatureZone[[#Headers],[Temperature zone]],0)</f>
        <v>1.4999999999999999E-2</v>
      </c>
      <c r="P246" s="10" cm="1">
        <f t="array" ref="P246">Common_InputFunctions.Utility_DisplayArrayInTable(Common_SourceData.Common_SourceData_MCFTemperatureZone_Data(),Table_SourceData_Common_MCFTemperatureZone[[#Headers],[Temperature zone]],0)</f>
        <v>0</v>
      </c>
      <c r="Q246" s="10" cm="1">
        <f t="array" ref="Q246">Common_InputFunctions.Utility_DisplayArrayInTable(Common_SourceData.Common_SourceData_MCFTemperatureZone_Data(),Table_SourceData_Common_MCFTemperatureZone[[#Headers],[Temperature zone]],0)</f>
        <v>0</v>
      </c>
      <c r="R246" s="10" cm="1">
        <f t="array" ref="R246">Common_InputFunctions.Utility_DisplayArrayInTable(Common_SourceData.Common_SourceData_MCFTemperatureZone_Data(),Table_SourceData_Common_MCFTemperatureZone[[#Headers],[Temperature zone]],0)</f>
        <v>4.7000000000000002E-3</v>
      </c>
      <c r="S246" s="10" cm="1">
        <f t="array" ref="S246">Common_InputFunctions.Utility_DisplayArrayInTable(Common_SourceData.Common_SourceData_MCFTemperatureZone_Data(),Table_SourceData_Common_MCFTemperatureZone[[#Headers],[Temperature zone]],0)</f>
        <v>24</v>
      </c>
    </row>
    <row r="247" spans="4:19" x14ac:dyDescent="0.25">
      <c r="D247" s="8" t="str" cm="1">
        <f t="array" ref="D247">Common_InputFunctions.Utility_DisplayArrayInTable(Common_SourceData.Common_SourceData_MCFTemperatureZone_Data(),Table_SourceData_Common_MCFTemperatureZone[[#Headers],[Temperature zone]],0)</f>
        <v>Temperate</v>
      </c>
      <c r="E247" s="10" cm="1">
        <f t="array" ref="E247">Common_InputFunctions.Utility_DisplayArrayInTable(Common_SourceData.Common_SourceData_MCFTemperatureZone_Data(),Table_SourceData_Common_MCFTemperatureZone[[#Headers],[Temperature zone]],0)</f>
        <v>25</v>
      </c>
      <c r="F247" s="10" cm="1">
        <f t="array" ref="F247">Common_InputFunctions.Utility_DisplayArrayInTable(Common_SourceData.Common_SourceData_MCFTemperatureZone_Data(),Table_SourceData_Common_MCFTemperatureZone[[#Headers],[Temperature zone]],0)</f>
        <v>0.79</v>
      </c>
      <c r="G247" s="10" cm="1">
        <f t="array" ref="G247">Common_InputFunctions.Utility_DisplayArrayInTable(Common_SourceData.Common_SourceData_MCFTemperatureZone_Data(),Table_SourceData_Common_MCFTemperatureZone[[#Headers],[Temperature zone]],0)</f>
        <v>0.1</v>
      </c>
      <c r="H247" s="10" cm="1">
        <f t="array" ref="H247">Common_InputFunctions.Utility_DisplayArrayInTable(Common_SourceData.Common_SourceData_MCFTemperatureZone_Data(),Table_SourceData_Common_MCFTemperatureZone[[#Headers],[Temperature zone]],0)</f>
        <v>0.41</v>
      </c>
      <c r="I247" s="10" cm="1">
        <f t="array" ref="I247">Common_InputFunctions.Utility_DisplayArrayInTable(Common_SourceData.Common_SourceData_MCFTemperatureZone_Data(),Table_SourceData_Common_MCFTemperatureZone[[#Headers],[Temperature zone]],0)</f>
        <v>5.0000000000000001E-3</v>
      </c>
      <c r="J247" s="10" cm="1">
        <f t="array" ref="J247">Common_InputFunctions.Utility_DisplayArrayInTable(Common_SourceData.Common_SourceData_MCFTemperatureZone_Data(),Table_SourceData_Common_MCFTemperatureZone[[#Headers],[Temperature zone]],0)</f>
        <v>0.01</v>
      </c>
      <c r="K247" s="10" cm="1">
        <f t="array" ref="K247">Common_InputFunctions.Utility_DisplayArrayInTable(Common_SourceData.Common_SourceData_MCFTemperatureZone_Data(),Table_SourceData_Common_MCFTemperatureZone[[#Headers],[Temperature zone]],0)</f>
        <v>0.02</v>
      </c>
      <c r="L247" s="10" cm="1">
        <f t="array" ref="L247">Common_InputFunctions.Utility_DisplayArrayInTable(Common_SourceData.Common_SourceData_MCFTemperatureZone_Data(),Table_SourceData_Common_MCFTemperatureZone[[#Headers],[Temperature zone]],0)</f>
        <v>0.03</v>
      </c>
      <c r="M247" s="10" cm="1">
        <f t="array" ref="M247">Common_InputFunctions.Utility_DisplayArrayInTable(Common_SourceData.Common_SourceData_MCFTemperatureZone_Data(),Table_SourceData_Common_MCFTemperatureZone[[#Headers],[Temperature zone]],0)</f>
        <v>0.04</v>
      </c>
      <c r="N247" s="10" cm="1">
        <f t="array" ref="N247">Common_InputFunctions.Utility_DisplayArrayInTable(Common_SourceData.Common_SourceData_MCFTemperatureZone_Data(),Table_SourceData_Common_MCFTemperatureZone[[#Headers],[Temperature zone]],0)</f>
        <v>1.4999999999999999E-2</v>
      </c>
      <c r="O247" s="10" cm="1">
        <f t="array" ref="O247">Common_InputFunctions.Utility_DisplayArrayInTable(Common_SourceData.Common_SourceData_MCFTemperatureZone_Data(),Table_SourceData_Common_MCFTemperatureZone[[#Headers],[Temperature zone]],0)</f>
        <v>1.4999999999999999E-2</v>
      </c>
      <c r="P247" s="10" cm="1">
        <f t="array" ref="P247">Common_InputFunctions.Utility_DisplayArrayInTable(Common_SourceData.Common_SourceData_MCFTemperatureZone_Data(),Table_SourceData_Common_MCFTemperatureZone[[#Headers],[Temperature zone]],0)</f>
        <v>0</v>
      </c>
      <c r="Q247" s="10" cm="1">
        <f t="array" ref="Q247">Common_InputFunctions.Utility_DisplayArrayInTable(Common_SourceData.Common_SourceData_MCFTemperatureZone_Data(),Table_SourceData_Common_MCFTemperatureZone[[#Headers],[Temperature zone]],0)</f>
        <v>0</v>
      </c>
      <c r="R247" s="10" cm="1">
        <f t="array" ref="R247">Common_InputFunctions.Utility_DisplayArrayInTable(Common_SourceData.Common_SourceData_MCFTemperatureZone_Data(),Table_SourceData_Common_MCFTemperatureZone[[#Headers],[Temperature zone]],0)</f>
        <v>4.7000000000000002E-3</v>
      </c>
      <c r="S247" s="10" cm="1">
        <f t="array" ref="S247">Common_InputFunctions.Utility_DisplayArrayInTable(Common_SourceData.Common_SourceData_MCFTemperatureZone_Data(),Table_SourceData_Common_MCFTemperatureZone[[#Headers],[Temperature zone]],0)</f>
        <v>25</v>
      </c>
    </row>
    <row r="248" spans="4:19" x14ac:dyDescent="0.25">
      <c r="D248" s="8" t="str" cm="1">
        <f t="array" ref="D248">Common_InputFunctions.Utility_DisplayArrayInTable(Common_SourceData.Common_SourceData_MCFTemperatureZone_Data(),Table_SourceData_Common_MCFTemperatureZone[[#Headers],[Temperature zone]],0)</f>
        <v>Warm</v>
      </c>
      <c r="E248" s="10" cm="1">
        <f t="array" ref="E248">Common_InputFunctions.Utility_DisplayArrayInTable(Common_SourceData.Common_SourceData_MCFTemperatureZone_Data(),Table_SourceData_Common_MCFTemperatureZone[[#Headers],[Temperature zone]],0)</f>
        <v>26</v>
      </c>
      <c r="F248" s="10" cm="1">
        <f t="array" ref="F248">Common_InputFunctions.Utility_DisplayArrayInTable(Common_SourceData.Common_SourceData_MCFTemperatureZone_Data(),Table_SourceData_Common_MCFTemperatureZone[[#Headers],[Temperature zone]],0)</f>
        <v>0.79</v>
      </c>
      <c r="G248" s="10" cm="1">
        <f t="array" ref="G248">Common_InputFunctions.Utility_DisplayArrayInTable(Common_SourceData.Common_SourceData_MCFTemperatureZone_Data(),Table_SourceData_Common_MCFTemperatureZone[[#Headers],[Temperature zone]],0)</f>
        <v>0.1</v>
      </c>
      <c r="H248" s="10" cm="1">
        <f t="array" ref="H248">Common_InputFunctions.Utility_DisplayArrayInTable(Common_SourceData.Common_SourceData_MCFTemperatureZone_Data(),Table_SourceData_Common_MCFTemperatureZone[[#Headers],[Temperature zone]],0)</f>
        <v>0.44</v>
      </c>
      <c r="I248" s="10" cm="1">
        <f t="array" ref="I248">Common_InputFunctions.Utility_DisplayArrayInTable(Common_SourceData.Common_SourceData_MCFTemperatureZone_Data(),Table_SourceData_Common_MCFTemperatureZone[[#Headers],[Temperature zone]],0)</f>
        <v>0.01</v>
      </c>
      <c r="J248" s="10" cm="1">
        <f t="array" ref="J248">Common_InputFunctions.Utility_DisplayArrayInTable(Common_SourceData.Common_SourceData_MCFTemperatureZone_Data(),Table_SourceData_Common_MCFTemperatureZone[[#Headers],[Temperature zone]],0)</f>
        <v>1.4999999999999999E-2</v>
      </c>
      <c r="K248" s="10" cm="1">
        <f t="array" ref="K248">Common_InputFunctions.Utility_DisplayArrayInTable(Common_SourceData.Common_SourceData_MCFTemperatureZone_Data(),Table_SourceData_Common_MCFTemperatureZone[[#Headers],[Temperature zone]],0)</f>
        <v>0.02</v>
      </c>
      <c r="L248" s="10" cm="1">
        <f t="array" ref="L248">Common_InputFunctions.Utility_DisplayArrayInTable(Common_SourceData.Common_SourceData_MCFTemperatureZone_Data(),Table_SourceData_Common_MCFTemperatureZone[[#Headers],[Temperature zone]],0)</f>
        <v>0.03</v>
      </c>
      <c r="M248" s="10" cm="1">
        <f t="array" ref="M248">Common_InputFunctions.Utility_DisplayArrayInTable(Common_SourceData.Common_SourceData_MCFTemperatureZone_Data(),Table_SourceData_Common_MCFTemperatureZone[[#Headers],[Temperature zone]],0)</f>
        <v>0.04</v>
      </c>
      <c r="N248" s="10" cm="1">
        <f t="array" ref="N248">Common_InputFunctions.Utility_DisplayArrayInTable(Common_SourceData.Common_SourceData_MCFTemperatureZone_Data(),Table_SourceData_Common_MCFTemperatureZone[[#Headers],[Temperature zone]],0)</f>
        <v>1.4999999999999999E-2</v>
      </c>
      <c r="O248" s="10" cm="1">
        <f t="array" ref="O248">Common_InputFunctions.Utility_DisplayArrayInTable(Common_SourceData.Common_SourceData_MCFTemperatureZone_Data(),Table_SourceData_Common_MCFTemperatureZone[[#Headers],[Temperature zone]],0)</f>
        <v>1.4999999999999999E-2</v>
      </c>
      <c r="P248" s="10" cm="1">
        <f t="array" ref="P248">Common_InputFunctions.Utility_DisplayArrayInTable(Common_SourceData.Common_SourceData_MCFTemperatureZone_Data(),Table_SourceData_Common_MCFTemperatureZone[[#Headers],[Temperature zone]],0)</f>
        <v>0</v>
      </c>
      <c r="Q248" s="10" cm="1">
        <f t="array" ref="Q248">Common_InputFunctions.Utility_DisplayArrayInTable(Common_SourceData.Common_SourceData_MCFTemperatureZone_Data(),Table_SourceData_Common_MCFTemperatureZone[[#Headers],[Temperature zone]],0)</f>
        <v>0</v>
      </c>
      <c r="R248" s="10" cm="1">
        <f t="array" ref="R248">Common_InputFunctions.Utility_DisplayArrayInTable(Common_SourceData.Common_SourceData_MCFTemperatureZone_Data(),Table_SourceData_Common_MCFTemperatureZone[[#Headers],[Temperature zone]],0)</f>
        <v>4.7000000000000002E-3</v>
      </c>
      <c r="S248" s="10" cm="1">
        <f t="array" ref="S248">Common_InputFunctions.Utility_DisplayArrayInTable(Common_SourceData.Common_SourceData_MCFTemperatureZone_Data(),Table_SourceData_Common_MCFTemperatureZone[[#Headers],[Temperature zone]],0)</f>
        <v>26</v>
      </c>
    </row>
    <row r="249" spans="4:19" x14ac:dyDescent="0.25">
      <c r="D249" s="8" t="str" cm="1">
        <f t="array" ref="D249">Common_InputFunctions.Utility_DisplayArrayInTable(Common_SourceData.Common_SourceData_MCFTemperatureZone_Data(),Table_SourceData_Common_MCFTemperatureZone[[#Headers],[Temperature zone]],0)</f>
        <v>Warm</v>
      </c>
      <c r="E249" s="10" cm="1">
        <f t="array" ref="E249">Common_InputFunctions.Utility_DisplayArrayInTable(Common_SourceData.Common_SourceData_MCFTemperatureZone_Data(),Table_SourceData_Common_MCFTemperatureZone[[#Headers],[Temperature zone]],0)</f>
        <v>27</v>
      </c>
      <c r="F249" s="10" cm="1">
        <f t="array" ref="F249">Common_InputFunctions.Utility_DisplayArrayInTable(Common_SourceData.Common_SourceData_MCFTemperatureZone_Data(),Table_SourceData_Common_MCFTemperatureZone[[#Headers],[Temperature zone]],0)</f>
        <v>0.8</v>
      </c>
      <c r="G249" s="10" cm="1">
        <f t="array" ref="G249">Common_InputFunctions.Utility_DisplayArrayInTable(Common_SourceData.Common_SourceData_MCFTemperatureZone_Data(),Table_SourceData_Common_MCFTemperatureZone[[#Headers],[Temperature zone]],0)</f>
        <v>0.1</v>
      </c>
      <c r="H249" s="10" cm="1">
        <f t="array" ref="H249">Common_InputFunctions.Utility_DisplayArrayInTable(Common_SourceData.Common_SourceData_MCFTemperatureZone_Data(),Table_SourceData_Common_MCFTemperatureZone[[#Headers],[Temperature zone]],0)</f>
        <v>0.48</v>
      </c>
      <c r="I249" s="10" cm="1">
        <f t="array" ref="I249">Common_InputFunctions.Utility_DisplayArrayInTable(Common_SourceData.Common_SourceData_MCFTemperatureZone_Data(),Table_SourceData_Common_MCFTemperatureZone[[#Headers],[Temperature zone]],0)</f>
        <v>0.01</v>
      </c>
      <c r="J249" s="10" cm="1">
        <f t="array" ref="J249">Common_InputFunctions.Utility_DisplayArrayInTable(Common_SourceData.Common_SourceData_MCFTemperatureZone_Data(),Table_SourceData_Common_MCFTemperatureZone[[#Headers],[Temperature zone]],0)</f>
        <v>1.4999999999999999E-2</v>
      </c>
      <c r="K249" s="10" cm="1">
        <f t="array" ref="K249">Common_InputFunctions.Utility_DisplayArrayInTable(Common_SourceData.Common_SourceData_MCFTemperatureZone_Data(),Table_SourceData_Common_MCFTemperatureZone[[#Headers],[Temperature zone]],0)</f>
        <v>0.02</v>
      </c>
      <c r="L249" s="10" cm="1">
        <f t="array" ref="L249">Common_InputFunctions.Utility_DisplayArrayInTable(Common_SourceData.Common_SourceData_MCFTemperatureZone_Data(),Table_SourceData_Common_MCFTemperatureZone[[#Headers],[Temperature zone]],0)</f>
        <v>0.03</v>
      </c>
      <c r="M249" s="10" cm="1">
        <f t="array" ref="M249">Common_InputFunctions.Utility_DisplayArrayInTable(Common_SourceData.Common_SourceData_MCFTemperatureZone_Data(),Table_SourceData_Common_MCFTemperatureZone[[#Headers],[Temperature zone]],0)</f>
        <v>0.04</v>
      </c>
      <c r="N249" s="10" cm="1">
        <f t="array" ref="N249">Common_InputFunctions.Utility_DisplayArrayInTable(Common_SourceData.Common_SourceData_MCFTemperatureZone_Data(),Table_SourceData_Common_MCFTemperatureZone[[#Headers],[Temperature zone]],0)</f>
        <v>1.4999999999999999E-2</v>
      </c>
      <c r="O249" s="10" cm="1">
        <f t="array" ref="O249">Common_InputFunctions.Utility_DisplayArrayInTable(Common_SourceData.Common_SourceData_MCFTemperatureZone_Data(),Table_SourceData_Common_MCFTemperatureZone[[#Headers],[Temperature zone]],0)</f>
        <v>1.4999999999999999E-2</v>
      </c>
      <c r="P249" s="10" cm="1">
        <f t="array" ref="P249">Common_InputFunctions.Utility_DisplayArrayInTable(Common_SourceData.Common_SourceData_MCFTemperatureZone_Data(),Table_SourceData_Common_MCFTemperatureZone[[#Headers],[Temperature zone]],0)</f>
        <v>0</v>
      </c>
      <c r="Q249" s="10" cm="1">
        <f t="array" ref="Q249">Common_InputFunctions.Utility_DisplayArrayInTable(Common_SourceData.Common_SourceData_MCFTemperatureZone_Data(),Table_SourceData_Common_MCFTemperatureZone[[#Headers],[Temperature zone]],0)</f>
        <v>0</v>
      </c>
      <c r="R249" s="10" cm="1">
        <f t="array" ref="R249">Common_InputFunctions.Utility_DisplayArrayInTable(Common_SourceData.Common_SourceData_MCFTemperatureZone_Data(),Table_SourceData_Common_MCFTemperatureZone[[#Headers],[Temperature zone]],0)</f>
        <v>4.7000000000000002E-3</v>
      </c>
      <c r="S249" s="10" cm="1">
        <f t="array" ref="S249">Common_InputFunctions.Utility_DisplayArrayInTable(Common_SourceData.Common_SourceData_MCFTemperatureZone_Data(),Table_SourceData_Common_MCFTemperatureZone[[#Headers],[Temperature zone]],0)</f>
        <v>27</v>
      </c>
    </row>
    <row r="250" spans="4:19" x14ac:dyDescent="0.25">
      <c r="D250" s="8" t="str" cm="1">
        <f t="array" ref="D250">Common_InputFunctions.Utility_DisplayArrayInTable(Common_SourceData.Common_SourceData_MCFTemperatureZone_Data(),Table_SourceData_Common_MCFTemperatureZone[[#Headers],[Temperature zone]],0)</f>
        <v>Warm</v>
      </c>
      <c r="E250" s="10" t="str" cm="1">
        <f t="array" ref="E250">Common_InputFunctions.Utility_DisplayArrayInTable(Common_SourceData.Common_SourceData_MCFTemperatureZone_Data(),Table_SourceData_Common_MCFTemperatureZone[[#Headers],[Temperature zone]],0)</f>
        <v>≥28</v>
      </c>
      <c r="F250" s="10" cm="1">
        <f t="array" ref="F250">Common_InputFunctions.Utility_DisplayArrayInTable(Common_SourceData.Common_SourceData_MCFTemperatureZone_Data(),Table_SourceData_Common_MCFTemperatureZone[[#Headers],[Temperature zone]],0)</f>
        <v>0.8</v>
      </c>
      <c r="G250" s="10" cm="1">
        <f t="array" ref="G250">Common_InputFunctions.Utility_DisplayArrayInTable(Common_SourceData.Common_SourceData_MCFTemperatureZone_Data(),Table_SourceData_Common_MCFTemperatureZone[[#Headers],[Temperature zone]],0)</f>
        <v>0.1</v>
      </c>
      <c r="H250" s="10" cm="1">
        <f t="array" ref="H250">Common_InputFunctions.Utility_DisplayArrayInTable(Common_SourceData.Common_SourceData_MCFTemperatureZone_Data(),Table_SourceData_Common_MCFTemperatureZone[[#Headers],[Temperature zone]],0)</f>
        <v>0.5</v>
      </c>
      <c r="I250" s="10" cm="1">
        <f t="array" ref="I250">Common_InputFunctions.Utility_DisplayArrayInTable(Common_SourceData.Common_SourceData_MCFTemperatureZone_Data(),Table_SourceData_Common_MCFTemperatureZone[[#Headers],[Temperature zone]],0)</f>
        <v>0.01</v>
      </c>
      <c r="J250" s="10" cm="1">
        <f t="array" ref="J250">Common_InputFunctions.Utility_DisplayArrayInTable(Common_SourceData.Common_SourceData_MCFTemperatureZone_Data(),Table_SourceData_Common_MCFTemperatureZone[[#Headers],[Temperature zone]],0)</f>
        <v>1.4999999999999999E-2</v>
      </c>
      <c r="K250" s="10" cm="1">
        <f t="array" ref="K250">Common_InputFunctions.Utility_DisplayArrayInTable(Common_SourceData.Common_SourceData_MCFTemperatureZone_Data(),Table_SourceData_Common_MCFTemperatureZone[[#Headers],[Temperature zone]],0)</f>
        <v>0.02</v>
      </c>
      <c r="L250" s="10" cm="1">
        <f t="array" ref="L250">Common_InputFunctions.Utility_DisplayArrayInTable(Common_SourceData.Common_SourceData_MCFTemperatureZone_Data(),Table_SourceData_Common_MCFTemperatureZone[[#Headers],[Temperature zone]],0)</f>
        <v>0.03</v>
      </c>
      <c r="M250" s="10" cm="1">
        <f t="array" ref="M250">Common_InputFunctions.Utility_DisplayArrayInTable(Common_SourceData.Common_SourceData_MCFTemperatureZone_Data(),Table_SourceData_Common_MCFTemperatureZone[[#Headers],[Temperature zone]],0)</f>
        <v>0.04</v>
      </c>
      <c r="N250" s="10" cm="1">
        <f t="array" ref="N250">Common_InputFunctions.Utility_DisplayArrayInTable(Common_SourceData.Common_SourceData_MCFTemperatureZone_Data(),Table_SourceData_Common_MCFTemperatureZone[[#Headers],[Temperature zone]],0)</f>
        <v>1.4999999999999999E-2</v>
      </c>
      <c r="O250" s="10" cm="1">
        <f t="array" ref="O250">Common_InputFunctions.Utility_DisplayArrayInTable(Common_SourceData.Common_SourceData_MCFTemperatureZone_Data(),Table_SourceData_Common_MCFTemperatureZone[[#Headers],[Temperature zone]],0)</f>
        <v>1.4999999999999999E-2</v>
      </c>
      <c r="P250" s="10" cm="1">
        <f t="array" ref="P250">Common_InputFunctions.Utility_DisplayArrayInTable(Common_SourceData.Common_SourceData_MCFTemperatureZone_Data(),Table_SourceData_Common_MCFTemperatureZone[[#Headers],[Temperature zone]],0)</f>
        <v>0</v>
      </c>
      <c r="Q250" s="10" cm="1">
        <f t="array" ref="Q250">Common_InputFunctions.Utility_DisplayArrayInTable(Common_SourceData.Common_SourceData_MCFTemperatureZone_Data(),Table_SourceData_Common_MCFTemperatureZone[[#Headers],[Temperature zone]],0)</f>
        <v>0</v>
      </c>
      <c r="R250" s="10" cm="1">
        <f t="array" ref="R250">Common_InputFunctions.Utility_DisplayArrayInTable(Common_SourceData.Common_SourceData_MCFTemperatureZone_Data(),Table_SourceData_Common_MCFTemperatureZone[[#Headers],[Temperature zone]],0)</f>
        <v>4.7000000000000002E-3</v>
      </c>
      <c r="S250" s="10" cm="1">
        <f t="array" ref="S250">Common_InputFunctions.Utility_DisplayArrayInTable(Common_SourceData.Common_SourceData_MCFTemperatureZone_Data(),Table_SourceData_Common_MCFTemperatureZone[[#Headers],[Temperature zone]],0)</f>
        <v>28</v>
      </c>
    </row>
    <row r="253" spans="4:19" ht="23.25" x14ac:dyDescent="0.25">
      <c r="D253" s="9" t="str" cm="1">
        <f t="array" ref="D253">Common_SourceData.Common_SourceData_EFOrganicFertiliserAndCropResidues_Title()</f>
        <v>Emission factor for organic fertiliser and crop residues returned to the soil</v>
      </c>
    </row>
    <row r="254" spans="4:19" x14ac:dyDescent="0.25">
      <c r="D254" s="11" t="str" cm="1">
        <f t="array" ref="D254">Common_SourceData.Common_SourceData_EFOrganicFertiliserAndCropResidues_Source()</f>
        <v>VEERG 2026: Table A.2.1.4</v>
      </c>
    </row>
    <row r="255" spans="4:19" x14ac:dyDescent="0.25">
      <c r="D255" s="8" t="str" cm="1">
        <f t="array" ref="D255">Common_SourceData.Common_SourceData_EFOrganicFertiliserAndCropResidues_Variable()</f>
        <v>EFNi &amp; EFN2Oi</v>
      </c>
    </row>
    <row r="256" spans="4:19" x14ac:dyDescent="0.25">
      <c r="D256" s="13" t="str" cm="1">
        <f t="array" ref="D256">Common_SourceData.Common_SourceData_EFOrganicFertiliserAndCropResidues_Unit()</f>
        <v>kg N2O - N / kg N</v>
      </c>
    </row>
    <row r="257" spans="4:5" x14ac:dyDescent="0.25">
      <c r="D257" s="10" t="s">
        <v>64</v>
      </c>
      <c r="E257" s="10" t="s">
        <v>65</v>
      </c>
    </row>
    <row r="258" spans="4:5" x14ac:dyDescent="0.25">
      <c r="D258" s="10" t="str" cm="1">
        <f t="array" ref="D258">Common_InputFunctions.Utility_DisplayArrayInTable(Common_SourceData.Common_SourceData_EFOrganicFertiliserAndCropResidues_Data(), Table_SourceData_Common_EFOrganicFertCropResidues[[#Headers],[Climate Zone]], 0)</f>
        <v>Wet climate zone</v>
      </c>
      <c r="E258" s="10" cm="1">
        <f t="array" ref="E258">Common_InputFunctions.Utility_DisplayArrayInTable(Common_SourceData.Common_SourceData_EFOrganicFertiliserAndCropResidues_Data(), Table_SourceData_Common_EFOrganicFertCropResidues[[#Headers],[Climate Zone]], 0)</f>
        <v>6.0000000000000001E-3</v>
      </c>
    </row>
    <row r="259" spans="4:5" x14ac:dyDescent="0.25">
      <c r="D259" s="8" t="str" cm="1">
        <f t="array" ref="D259">Common_InputFunctions.Utility_DisplayArrayInTable(Common_SourceData.Common_SourceData_EFOrganicFertiliserAndCropResidues_Data(), Table_SourceData_Common_EFOrganicFertCropResidues[[#Headers],[Climate Zone]], 0)</f>
        <v>Dry climate zone</v>
      </c>
      <c r="E259" s="10" cm="1">
        <f t="array" ref="E259">Common_InputFunctions.Utility_DisplayArrayInTable(Common_SourceData.Common_SourceData_EFOrganicFertiliserAndCropResidues_Data(), Table_SourceData_Common_EFOrganicFertCropResidues[[#Headers],[Climate Zone]], 0)</f>
        <v>5.0000000000000001E-3</v>
      </c>
    </row>
  </sheetData>
  <pageMargins left="0.7" right="0.7" top="0.75" bottom="0.75" header="0.3" footer="0.3"/>
  <pageSetup paperSize="9" orientation="portrait" r:id="rId1"/>
  <tableParts count="17">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FEJSONBlob xmlns="http://schemas.advancedformulaenvironment.officeapps.live.com/afejsonblob/1.0">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VgBhAGwAaQBkAEwAaQB2AGUAcwB0AG8AYwBrAEMAbABhAHMAcwBcAG4APQAgAFUATgBJAFEAVQBFACgARgBJAEwAVABFAFIAKABUAGEAYgBsAGUAXwBTAGMAbwBwAGUAMwBfAEwAaQB2AGUAcwB0AG8AYwBrAFsAUAByAG8AZAB1AGMAdABdACwAIABUAGEAYgBsAGUAXwBTAGMAbwBwAGUAMwBfAEwAaQB2AGUAcwB0AG8AYwBrAFsAQwBhAHQAZQBnAG8AcgB5AF0APQBUAGEAYgBsAGUAXwBJAG4AcAB1AHQAXwBMAGkAdgBlAHMAdABvAGMAawBQAHUAcgBjAGgAYQBzAGUAcwBbAFsAIwBUAGgAaQBzACAAUgBvAHcAXQAsAFsATABpAHYAZQBzAHQAbwBjAGsAIAB0AHkAcABlACAAKABzAGUAbABlAGMAdAApAF0AXQApACkAXABuAFwAbgAiAH0ALAB7ACIAcABhAHQAaAAiADoAIgAvAHAAcgBvAGoAZQBjAHQAcwAvAEYAdQBlAGwAXwBTAG8AdQByAGMAZQBEAGEAdABhACIALAAiAHQAZQB4AHQAIgA6ACIALwAqAFwAbgA9AD0APQA9AD0APQA9AD0APQA9AD0APQA9AD0APQA9AD0APQA9AD0APQA9AD0APQA9AD0APQA9AD0APQA9AD0APQA9AD0APQA9AD0APQA9AD0APQA9AD0APQA9AD0APQA9AD0APQA9AD0APQA9AD0APQA9AD0APQA9AD0APQA9AD0APQA9AD0APQA9AD0APQA9AD0APQA9AFwAbgBGAHUAZQBsACAAcwBjAG8AcABlACAAMQAgAGUAbQBpAHMAcwBpAG8AbgAgAGYAYQBjAHQAbwByAHMAIAAtACAAUwB0AGEAdABpAG8AbgBhAHIAeQAgAGcAYQBzAGUAbwB1AHMAIABmAHUAZQBsAHMAXABuAD0APQA9AD0APQA9AD0APQA9AD0APQA9AD0APQA9AD0APQA9AD0APQA9AD0APQA9AD0APQA9AD0APQA9AD0APQA9AD0APQA9AD0APQA9AD0APQA9AD0APQA9AD0APQA9AD0APQA9AD0APQA9AD0APQA9AD0APQA9AD0APQA9AD0APQA9AD0APQA9AD0APQA9AD0APQA9AD0AXABuACoALwBcAG4AXABuAEYAdQBlAGwAXwBTAGMAbwBwAGUAMQBFAG0AaQBzAHMAaQBvAG4ARgBhAGMAdABvAHIAcwBTAHQAYQB0AGkAbwBuAGEAcgB5AEcAYQBzAGUAbwB1AHMAXwBUAGkAdABsAGUAXABuAD0ATABBAE0AQgBEAEEAKAAoAFwAIgBGAHUAZQBsACAAcwBjAG8AcABlACAAMQAgAGUAbQBpAHMAcwBpAG8AbgAgAGYAYQBjAHQAbwByAHMAIAAtACAAUwB0AGEAdABpAG8AbgBhAHIAeQAgAGcAYQBzAGUAbwB1AHMAIABmAHUAZQBsAHMAXAAiACkAKQA7AFwAbgBcAG4ARgB1AGUAbABfAFMAYwBvAHAAZQAxAEUAbQBpAHMAcwBpAG8AbgBGAGEAYwB0AG8AcgBzAFMAdABhAHQAaQBvAG4AYQByAHkARwBhAHMAZQBvAHUAcwBfAEQAZQBzAGMAcgBpAHAAdABpAG8AbgBcAG4APQBMAEEATQBCAEQAQQAoACgAXAAiAEQAaQByAGUAYwB0ACAAKABTAGMAbwBwAGUAIAAxACkAIABlAG0AaQBzAHMAaQBvAG4AIABmAGEAYwB0AG8AcgBzACAAZgBvAHIAIAB0AGgAZQAgAGMAbwBuAHMAdQBtAHAAdABpAG8AbgAgAG8AZgAgAGcAYQBzAGUAbwB1AHMAIABmAHUAZQBsAHMAIABpAG4AYwBsAHUAZABpAG4AZwAgAGwAaQBxAHUAZQBmAGkAZQBkACAAbgBhAHQAdQByAGEAbAAgAGcAYQBzACAAIABcACIAKQApADsAXABuAFwAbgBGAHUAZQBsAF8AUwBjAG8AcABlADEARQBtAGkAcwBzAGkAbwBuAEYAYQBjAHQAbwByAHMAUwB0AGEAdABpAG8AbgBhAHIAeQBHAGEAcwBlAG8AdQBzAF8AUwBvAHUAcgBjAGUAXABuAD0ATABBAE0AQgBEAEEAKAAoAFwAIgBBAHUAcwB0AHIAYQBsAGkAYQBuACAATgBhAHQAaQBvAG4AYQBsACAARwByAGUAZQBuAGgAbwB1AHMAZQAgAEEAYwBjAG8AdQBuAHQAcwAgAEYAYQBjAHQAbwByAHMAIAAyADAAMgA1ACAALQAgAFQAYQBiAGwAZQAgADUAXAAiACkAKQA7AFwAbgBcAG4ARgB1AGUAbABfAFMAYwBvAHAAZQAxAEUAbQBpAHMAcwBpAG8AbgBGAGEAYwB0AG8AcgBzAFMAdABhAHQAaQBvAG4AYQByAHkARwBhAHMAZQBvAHUAcwBfAEQAYQB0AGEAXABuAD0ATABBAE0AQgBEAEEAKABcAG4AIAAgAE0AQQBLAEUAQQBSAFIAQQBZACgAMQA5ACwAIAA3ACwAXABuACAAIAAgACAATABBAE0AQgBEAEEAKAByACwAYwAsAFwAbgAgACAAIAAgACAAIABJAE4ARABFAFgAKAB7AFwAbgAgACAAIAAgACAAIAAgACAAXAAiAEYAdQBlAGwAIABjAG8AbQBiAHUAcwB0AGUAZABcACIALAAgAFwAIgBFAG4AZQByAGcAeQAgAEMAbwBuAHQAZQBuAHQAIABGAGEAYwB0AG8AcgAgACgARwBKACAAcABlAHIAIAB1AG4AaQB0ACAAbwBmACAAZgB1AGUAbAApAFwAIgAsACAAXAAiAEYAdQBlAGwAIAB1AG4AaQB0AFwAIgAsACAAXAAiAFMAYwBvAHAAZQAgADEAIABFAG0AaQBzAHMAaQBvAG4AIABGAGEAYwB0AG8AcgAgACgAawBnACAAQwBPADIAIAAtACAAZQAgAC8AIABHAEoAKQAgAEMATwAyAFwAIgAsACAAXAAiAFMAYwBvAHAAZQAgADEAIABFAG0AaQBzAHMAaQBvAG4AIABGAGEAYwB0AG8AcgAgACgAawBnACAAQwBPADIAIAAtACAAZQAgAC8AIABHAEoAKQAgAEMASAA0AFwAIgAsACAAXAAiAFMAYwBvAHAAZQAgADEAIABFAG0AaQBzAHMAaQBvAG4AIABGAGEAYwB0AG8AcgAgACgAawBnACAAQwBPADIAIAAtACAAZQAgAC8AIABHAEoAKQAgAE4AMgBPAFwAIgAsACAAXAAiAFMAYwBvAHAAZQAgADEAIABFAG0AaQBzAHMAaQBvAG4AIABGAGEAYwB0AG8AcgAgACgAawBnACAAQwBPADIAIAAtACAAZQAgAC8AIABHAEoAKQAgAEMAbwBtAGIAaQBuAGUAZAAgAGcAYQBzAGUAcwBcACIAOwBcAG4AIAAgACAAIAAgACAAIAAgAFwAIgBOAGEAdAB1AHIAYQBsACAAZwBhAHMAIABkAGkAcwB0AHIAaQBiAHUAdABlAGQAIABpAG4AIABhACAAcABpAHAAZQBsAGkAbgBlAFwAIgAsACAAMAAuADAAMwA5ADMALAAgAFwAIgBtADMAXAAiACwAIAA1ADEALgA0ACwAIAAwAC4AMQAsACAAMAAuADAAMwAsACAANQAxAC4ANQAzADsAXABuACAAIAAgACAAIAAgACAAIABcACIAQwBvAGEAbAAgAHMAZQBhAG0AIABtAGUAdABoAGEAbgBlACAAdABoAGEAdAAgAGkAcwAgAGMAYQBwAHQAdQByAGUAZAAgAGYAbwByACAAYwBvAG0AYgB1AHMAdABpAG8AbgBcACIALAAgADAALgAwADMANwA3ACwAIABcACIAbQAzAFwAIgAsACAANQAxAC4ANAAsACAAMAAuADIALAAgADAALgAwADMALAAgADUAMQAuADYAMwA7AFwAbgAgACAAIAAgACAAIAAgACAAXAAiAEMAbwBhAGwAIABtAGkAbgBlACAAdwBhAHMAdABlACAAZwBhAHMAIAB0AGgAYQB0ACAAaQBzACAAYwBhAHAAdAB1AHIAZQBkACAAZgBvAHIAIABjAG8AbQBiAHUAcwB0AGkAbwBuAFwAIgAsACAAMAAuADAAMwA3ADcALAAgAFwAIgBtADMAXAAiACwAIAA1ADEALgA5ACwAIAA0AC4ANgAsACAAMAAuADMALAAgADUANgAuADgAOwBcAG4AIAAgACAAIAAgACAAIAAgAFwAIgBDAG8AbQBwAHIAZQBzAHMAZQBkACAAbgBhAHQAdQByAGEAbAAgAGcAYQBzACgAcgBlAHYAZQByAHQAaQBuAGcAIAB0AG8AIABzAHQAYQBuAGQAYQByAGQAIABjAG8AbgBkAGkAdABpAG8AbgBzACkAXAAiACwAIAAwAC4AMAAzADkAMwAsACAAXAAiAG0AMwBcACIALAAgADUAMQAuADQALAAgADAALgAxACwAIAAwAC4AMAAzACwAIAA1ADEALgA1ADMAOwBcAG4AIAAgACAAIAAgACAAIAAgAFwAIgBVAG4AcAByAG8AYwBlAHMAcwBlAGQAIABuAGEAdAB1AHIAYQBsACAAZwBhAHMAXAAiACwAIAAwAC4AMAAzADkAMwAsACAAXAAiAG0AMwBcACIALAAgADUAMQAuADQALAAgADAALgAxACwAIAAwAC4AMAAzACwAIAA1ADEALgA1ADMAOwBcAG4AIAAgACAAIAAgACAAIAAgAFwAIgBFAHQAaABhAG4AZQBcACIALAAgADAALgAwADYAMgA5ACwAIABcACIAbQAzAFwAIgAsACAANQA2AC4ANQAsACAAMAAuADAAMwAsACAAMAAuADAAMwAsACAANQA2AC4ANQA2ADsAXABuACAAIAAgACAAIAAgACAAIABcACIAQwBvAGsAZQAgAG8AdgBlAG4AIABnAGEAcwBcACIALAAgADAALgAwADEAOAAxACwAIABcACIAbQAzAFwAIgAsACAAMwA3AC4AMAAsACAAMAAuADAAMwAsACAAMAAuADAANQAsACAAMwA3AC4AMAA4ADsAXABuACAAIAAgACAAIAAgACAAIABcACIAQgBsAGEAcwB0ACAAZgB1AHIAbgBhAGMAZQAgAGcAYQBzAFwAIgAsACAAMAAuADAAMAA0ADAALAAgAFwAIgBtADMAXAAiACwAIAAyADMANAAuADAALAAgADAALgAwADMALAAgADAALgAwADIALAAgADIAMwA0AC4AMAA1ADsAXABuACAAIAAgACAAIAAgACAAIABcACIAVABvAHcAbgAgAGcAYQBzAFwAIgAsACAAMAAuADAAMwA5ADAALAAgAFwAIgBtADMAXAAiACwAIAA2ADAALgAyACwAIAAwAC4AMAA0ACwAIAAwAC4AMAAzACwAIAA2ADAALgAyADcAOwBcAG4AIAAgACAAIAAgACAAIAAgAFwAIgBMAGkAcQB1AGUAZgBpAGUAZAAgAG4AYQB0AHUAcgBhAGwAIABnAGEAcwBcACIALAAgADIANQAuADMALAAgAFwAIgBrAEwAXAAiACwAIAA1ADEALgA0ACwAIAAwAC4AMQAsACAAMAAuADAAMwAsACAANQAxAC4ANQAzADsAXABuACAAIAAgACAAIAAgACAAIABcACIARwBhAHMAZQBvAHUAcwAgAGYAbwBzAHMAaQBsACAAZgB1AGUAbABzACAAbwB0AGgAZQByACAAdABoAGEAbgAgAHQAaABvAHMAZQAgAG0AZQBuAHQAaQBvAG4AZQBkACAAaQBuACAAdABoAGUAIABpAHQAZQBtAHMAIABhAGIAbwB2AGUAXAAiACwAIAAwAC4AMAAzADkAMAAsACAAXAAiAG0AMwBcACIALAAgADUAMQAuADQALAAgADAALgAxACwAIAAwAC4AMAAzACwAIAA1ADEALgA1ADMAOwBcAG4AIAAgACAAIAAgACAAIAAgAFwAIgBMAGEAbgBkAGYAaQBsAGwAIABiAGkAbwBnAGEAcwAgAHQAaABhAHQAIABpAHMAIABjAGEAcAB0AHUAcgBlAGQAIABmAG8AcgAgAGMAbwBtAGIAdQBzAHQAaQBvAG4AIAAoAG0AZQB0AGgAYQBuAGUAIABvAG4AbAB5ACkAXAAiACwAIAAwAC4AMAAzADcANwAsACAAXAAiAG0AMwBcACIALAAgADAALgAwACwAIAA2AC4ANAAsACAAMAAuADAAMwAsACAANgAuADQAMwA7AFwAbgAgACAAIAAgACAAIAAgACAAXAAiAFMAbAB1AGQAZwBlACAAYgBpAG8AZwBhAHMAIAB0AGgAYQB0ACAAaQBzACAAYwBhAHAAdAB1AHIAZQBkACAAZgBvAHIAIABjAG8AbQBiAHUAcwB0AGkAbwBuACAAKABtAGUAdABoAGEAbgBlACAAbwBuAGwAeQApAFwAIgAsACAAMAAuADAAMwA3ADcALAAgAFwAIgBtADMAXAAiACwAIAAwAC4AMAAsACAANgAuADQALAAgADAALgAwADMALAAgADYALgA0ADMAOwBcAG4AIAAgACAAIAAgACAAIAAgAFwAIgBBACAAYgBpAG8AZwBhAHMAIAB0AGgAYQB0ACAAaQBzACAAYwBhAHAAdAB1AHIAZQBkACAAZgBvAHIAIABjAG8AbQBiAHUAcwB0AGkAbwBuACwAIABvAHQAaABlAHIAIAB0AGgAYQBuACAAdABoAG8AcwBlACAAbQBlAG4AdABpAG8AbgBlAGQAIABpAG4AIAB0AGgAZQAgAGkAdABlAG0AcwAgAGEAYgBvAHYAZQBcACIALAAgADAALgAwADMANwAwACwAIABcACIAbQAzAFwAIgAsACAAMAAuADAALAAgADYALgA0ACwAIAAwAC4AMAAzACwAIAA2AC4ANAAzADsAXABuACAAIAAgACAAIAAgACAAIABcACIAQgBpAG8AbQBlAHQAaABhAG4AZQBcACIALAAgADAALgAwADMAOQAzACwAIABcACIAbQAzAFwAIgAsACAAMAAuADAALAAgADAALgAxACwAIAAwAC4AMAAzACwAIAAwAC4AMQAzADsAXABuACAAIAAgACAAIAAgACAAIABcACIASAB5AGQAcgBvAGcAZQBuAFwAIgAsACAAMAAuADAAMQAyADIALAAgAFwAIgBtADMAXAAiACwAIAAwAC4AMAAsACAAMAAuADAALAAgADAALgA1ACwAIAAwAC4ANQA7AFwAbgAgACAAIAAgACAAIAAgACAAXAAiAE4AYQB0AHUAcgBhAGwAIABnAGEAcwAgAGQAaQBzAHQAcgBpAGIAdQB0AGUAZAAgAGkAbgAgAGEAIABwAGkAcABlAGwAaQBuAGUAIAAtACAARwBpAGcAYQBqAG8AdQBsAGUAcwBcACIALAAgADEALAAgAFwAIgBHAEoAXAAiACwAIAA1ADEALgA0ACwAIAAwAC4AMQAsACAAMAAuADAAMwAsACAANQAxAC4ANQAzADsAXABuACAAIAAgACAAIAAgACAAIABcACIAVABvAHcAbgAgAGcAYQBzACAALQAgAEcAaQBnAGEAagBvAHUAbABlAHMAXAAiACwAIAAxACwAIABcACIARwBKAFwAIgAsACAANgAwAC4AMgAsACAAMAAuADAANAAsACAAMAAuADAAMwAsACAANgAwAC4AMgA3AFwAbgAgACAAIAAgACAAIAB9ACwAIAByACwAIABjACkAXABuACkAKQApADsAXABuAFwAbgBGAHUAZQBsAF8AUwBjAG8AcABlADEARQBtAGkAcwBzAGkAbwBuAEYAYQBjAHQAbwByAHMAUwB0AGEAdABpAG8AbgBhAHIAeQBHAGEAcwBlAG8AdQBzAF8AVgBhAHIAaQBhAHQAaQBvAG4AXABuAD0ATABBAE0AQgBEAEEAKAAoAFwAIgBWAEEAUgBJAEEAVABJAE8ATgAgAE8ARgAgAFMATwBVAFIAQwBFACAARABBAFQAQQA6ACAAJwBOAGEAdAB1AHIAYQBsACAAZwBhAHMAIABkAGkAcwB0AHIAaQBiAHUAdABlAGQAIABpAG4AIABhACAAcABpAHAAZQBsAGkAbgBlACAALQAgAEcAaQBnAGEAagBvAHUAbABlAHMAJwAgAGEAbgBkACAAJwBUAG8AdwBuACAAZwBhAHMAIAAtACAARwBpAGcAYQBqAG8AdQBsAGUAcwAnACAAdwBlAHIAZQAgAGEAZABkAGUAZAAsACAAZQBhAGMAaAAgAHcAaQB0AGgAIABhAG4AIABlAG4AZQByAGcAeQAgAGMAbwBuAHQAZQBuAHQAIABmAGEAYwB0AG8AcgAgAG8AZgAgADEAIABHAEoAIABwAGUAcgAgAHUAbgBpAHQAIABvAGYAIABmAHUAZQBsAC4AIABUAGgAaQBzACAAaQBzACAAZgBvAHIAIAB1AHMAZQByAHMAIAB3AGgAbwAgAGgAYQB2AGUAIABmAHUAZQBsACAAYwBvAG4AcwB1AG0AcAB0AGkAbwBuACAAZABhAHQAYQAgAGkAbgAgAEcASgAgAHIAYQB0AGgAZQByACAAdABoAGEAbgAgAG0AMwAuAFwAIgApACkAOwBcAG4AXABuAFwAbgAvACoAXABuAD0APQA9AD0APQA9AD0APQA9AD0APQA9AD0APQA9AD0APQA9AD0APQA9AD0APQA9AD0APQA9AD0APQA9AD0APQA9AD0APQA9AD0APQA9AD0APQA9AD0APQA9AD0APQA9AD0APQA9AD0APQA9AD0APQA9AD0APQA9AD0APQA9AD0APQA9AD0APQA9AD0APQA9AD0APQA9AD0AXABuAEYAdQBlAGwAIABzAGMAbwBwAGUAIAAzACAAZQBtAGkAcwBzAGkAbwBuACAAZgBhAGMAdABvAHIAcwAgAC0AIABTAHQAYQB0AGkAbwBuAGEAcgB5ACAAZwBhAHMAZQBvAHUAcwAgAGYAdQBlAGwAcwBcAG4APQA9AD0APQA9AD0APQA9AD0APQA9AD0APQA9AD0APQA9AD0APQA9AD0APQA9AD0APQA9AD0APQA9AD0APQA9AD0APQA9AD0APQA9AD0APQA9AD0APQA9AD0APQA9AD0APQA9AD0APQA9AD0APQA9AD0APQA9AD0APQA9AD0APQA9AD0APQA9AD0APQA9AD0APQA9AD0APQBcAG4AKgAvAFwAbgBcAG4ARgB1AGUAbABfAFMAYwBvAHAAZQAzAEUAbQBpAHMAcwBpAG8AbgBGAGEAYwB0AG8AcgBzAFMAdABhAHQAaQBvAG4AYQByAHkARwBhAHMAZQBvAHUAcwBfAFQAaQB0AGwAZQBcAG4APQBMAEEATQBCAEQAQQAoACgAXAAiAEYAdQBlAGwAIABzAGMAbwBwAGUAIAAzACAAZQBtAGkAcwBzAGkAbwBuACAAZgBhAGMAdABvAHIAcwAgAC0AIABTAHQAYQB0AGkAbwBuAGEAcgB5ACAAZwBhAHMAZQBvAHUAcwAgAGYAdQBlAGwAcwBcACIAKQApADsAXABuAFwAbgBGAHUAZQBsAF8AUwBjAG8AcABlADMARQBtAGkAcwBzAGkAbwBuAEYAYQBjAHQAbwByAHMAUwB0AGEAdABpAG8AbgBhAHIAeQBHAGEAcwBlAG8AdQBzAF8ARABlAHMAYwByAGkAcAB0AGkAbwBuAFwAbgA9AEwAQQBNAEIARABBACgAKABcACIASQBuAGQAaQByAGUAYwB0ACAAKABTAGMAbwBwAGUAIAAzACkAIABlAG0AaQBzAHMAaQBvAG4AIABmAGEAYwB0AG8AcgBzACAAZgBvAHIAIAB0AGgAZQAgAGMAbwBuAHMAdQBtAHAAdABpAG8AbgAgAG8AZgAgAG4AYQB0AHUAcgBhAGwAIABnAGEAcwAuAFwAIgApACkAOwBcAG4AXABuAEYAdQBlAGwAXwBTAGMAbwBwAGUAMwBFAG0AaQBzAHMAaQBvAG4ARgBhAGMAdABvAHIAcwBTAHQAYQB0AGkAbwBuAGEAcgB5AEcAYQBzAGUAbwB1AHMAXwBTAG8AdQByAGMAZQBcAG4APQBMAEEATQBCAEQAQQAoACgAXAAiAEEAdQBzAHQAcgBhAGwAaQBhAG4AIABOAGEAdABpAG8AbgBhAGwAIABHAHIAZQBlAG4AaABvAHUAcwBlACAAQQBjAGMAbwB1AG4AdABzACAARgBhAGMAdABvAHIAcwAgADIAMAAyADUAIAAtACAAVABhAGIAbABlACAANgBcACIAKQApADsAXABuAFwAbgBGAHUAZQBsAF8AUwBjAG8AcABlADMARQBtAGkAcwBzAGkAbwBuAEYAYQBjAHQAbwByAHMAUwB0AGEAdABpAG8AbgBhAHIAeQBHAGEAcwBlAG8AdQBzAF8ARABhAHQAYQBcAG4APQBMAEEATQBCAEQAQQAoAFwAbgAgACAATQBBAEsARQBBAFIAUgBBAFkAKAA5ACwAIAAzACwAXABuACAAIAAgACAATABBAE0AQgBEAEEAKAByACwAYwAsAFwAbgAgACAAIAAgACAAIABJAE4ARABFAFgAKAB7AFwAbgAgACAAIAAgACAAIAAgACAAXAAiAFMAdABhAHQAZQAgAG8AcgAgAHQAZQByAHIAaQB0AG8AcgB5AFwAIgAsACAAXAAiAFMAYwBvAHAAZQAgADMAIABFAG0AaQBzAHMAaQBvAG4AIABGAGEAYwB0AG8AcgBzACAAZgBvAHIAIABOAGEAdAB1AHIAYQBsACAARwBhAHMAIAAoAGsAZwAgAEMATwAyACAALQAgAGUAIAAvACAARwBKACkAIABNAGUAdAByAG8AXAAiACwAIABcACIAUwBjAG8AcABlACAAMwAgAEUAbQBpAHMAcwBpAG8AbgAgAEYAYQBjAHQAbwByAHMAIABmAG8AcgAgAE4AYQB0AHUAcgBhAGwAIABHAGEAcwAgACgAawBnACAAQwBPADIAIAAtACAAZQAgAC8AIABHAEoAKQAgAE4AbwBuACAALQAgAE0AZQB0AHIAbwBcACIAOwBcAG4AIAAgACAAIAAgACAAIAAgAFwAIgBOAGUAdwAgAFMAbwB1AHQAaAAgAFcAYQBsAGUAcwBcACIALAAgADEAMwAuADEALAAgADEANAAuADAAOwBcAG4AIAAgACAAIAAgACAAIAAgAFwAIgBBAEMAVABcACIALAAgADEAMwAuADEALAAgADEANAAuADAAOwBcAG4AIAAgACAAIAAgACAAIAAgAFwAIgBWAGkAYwB0AG8AcgBpAGEAXAAiACwAIAA0AC4AMAAsACAANAAuADAAOwBcAG4AIAAgACAAIAAgACAAIAAgAFwAIgBRAHUAZQBlAG4AcwBsAGEAbgBkAFwAIgAsACAAOAAuADgALAAgADcALgA5ADsAXABuACAAIAAgACAAIAAgACAAIABcACIAUwBvAHUAdABoACAAQQB1AHMAdAByAGEAbABpAGEAXAAiACwAIAAxADAALgA3ACwAIAAxADAALgA2ADsAXABuACAAIAAgACAAIAAgACAAIABcACIAVwBlAHMAdABlAHIAbgAgAEEAdQBzAHQAcgBhAGwAaQBhAFwAIgAsACAANAAuADEALAAgADQALgAwADsAXABuACAAIAAgACAAIAAgACAAIABcACIAVABhAHMAbQBhAG4AaQBhAFwAIgAsACAANAAuADAALAAgADQALgAwADsAXABuACAAIAAgACAAIAAgACAAIABcACIATgBvAHIAdABoAGUAcgBuACAAVABlAHIAcgBpAHQAbwByAHkAXAAiACwAIAA0AC4AMQAsACAANAAuADAAXABuACAAIAAgACAAIAAgAH0ALAAgAHIALAAgAGMAKQBcAG4AKQApACkAOwBcAG4AXABuAEYAdQBlAGwAXwBTAGMAbwBwAGUAMwBFAG0AaQBzAHMAaQBvAG4ARgBhAGMAdABvAHIAcwBTAHQAYQB0AGkAbwBuAGEAcgB5AEcAYQBzAGUAbwB1AHMAXwBWAGEAcgBpAGEAdABpAG8AbgBcAG4APQBMAEEATQBCAEQAQQAoACgAXAAiAFYAQQBSAEkAQQBUAEkATwBOACAATwBGACAAUwBPAFUAUgBDAEUAIABEAEEAVABBADoAIABOAFMAVwAgAGEAbgBkACAAQQBDAFQAIABzAHAAbABpAHQAIABpAG4AdABvACAAcwBlAHAAYQByAGEAdABlACAAcgBvAHcAcwAuACAAJwBDACcAIABWAGEAbAB1AGUAcwAgAGYAbwByACAAVABhAHMAbQBhAG4AaQBhACAAYQBuAGQAIABOAG8AcgB0AGgAZQByAG4AIABUAGUAcgByAGkAdABvAHIAeQAgAHIAZQBwAGwAYQBjAGUAZAAgAHcAaQB0AGgAIAB0AGgAbwBzAGUAIABmAG8AcgAgAFYAaQBjAHQAbwByAGkAYQAgAGEAbgBkACAAVwBlAHMAdABlAHIAbgAgAEEAdQBzAHQAcgBhAGwAaQBhACAAcgBlAHMAcABlAGMAdABpAHYAZQBsAHkALgAgACgAUwBlAGUAIABhAHAAcABlAG4AZABpAGMAZQBzACkAXAAiACkAKQA7AFwAbgBcAG4ARgB1AGUAbABfAFMAYwBvAHAAZQAzAEUAbQBpAHMAcwBpAG8AbgBGAGEAYwB0AG8AcgBzAFMAdABhAHQAaQBvAG4AYQByAHkARwBhAHMAZQBvAHUAcwBfAEEAcABwAGUAbgBkAGkAYwBlAHMAXABuAD0ATABBAE0AQgBEAEEAKABcAG4AIAAgAE0AQQBLAEUAQQBSAFIAQQBZACgAMQAyACwAIAAyACwAXABuACAAIAAgACAATABBAE0AQgBEAEEAKAByACwAYwAsAFwAbgAgACAAIAAgACAAIABJAE4ARABFAFgAKAB7AFwAbgAgACAAIAAgACAAIAAgACAAXAAiAC0AXAAiACwAIABcACIAQQBzACAAUwBjAG8AcABlACAAMwAgAGYAYQBjAHQAbwByAHMAIABhAHIAZQAgAGMAYQBsAGMAdQBsAGEAdABlAGQAIABhAHQAIAB0AGgAZQAgAHAAbwBpAG4AdAAgAHcAaABlAHIAZQAgAG4AYQB0AHUAcgBhAGwAIABnAGEAcwAgAGkAcwAgAGQAZQBsAGkAdgBlAHIAZQBkACAAdABvACAAZQBuAGQAIAB1AHMAZQByAHMALAAgAGkAdAAgAGkAcwAgAG4AZQBjAGUAcwBzAGEAcgB5ACAAdABvACAAYwBhAGwAYwB1AGwAYQB0AGUAIABjAG8AbgBzAHUAbQBwAHQAaQBvAG4AIABhAHQAIABlAGEAYwBoACAAbwBmACAAdABoAGUAIABsAG8AYQBkACAAYwBlAG4AdAByAGUAcwAuAFwAIgA7AFwAbgAgACAAIAAgACAAIAAgACAAXAAiAFwAIgAsACAAXAAiAEcAYQBzACAAcgBlAGEAYwBoAGUAcwAgAGUAbgBkACAAdQBzAGUAcgBzACAAZQBpAHQAaABlAHIAIABmAHIAbwBtACAAdABoAGUAIABtAGUAdAByAG8AIABkAGkAcwB0AHIAaQBiAHUAdABpAG8AbgAgAG4AZQB0AHcAbwByAGsAcwAgAG8AcgAgAGQAaQByAGUAYwB0ACAAZgByAG8AbQAgAHQAaABlACAAaABpAGcAaAAgAC0AIABwAHIAZQBzAHMAdQByAGUAIABkAGkAcwB0AHIAaQBiAHUAdABpAG8AbgAgAHAAaQBwAGUAbABpAG4AZQBzAC4AXAAiADsAXABuACAAIAAgACAAIAAgACAAIABcACIAXAAiACwAIABcACIASABvAHUAcwBlAGgAbwBsAGQAcwAgAGEAbgBkACAAYwBvAG0AbQBlAHIAYwBpAGEAbAAgAHUAcwBlAHIAcwAgAHQAZQBuAGQAIAB0AG8AIABiAGUAIABzAGUAcgB2AGUAZAAgAGIAeQAgAHQAaABlACAAZgBvAHIAbQBlAHIALAAgAGEAbgBkACAAZQBsAGUAYwB0AHIAaQBjAGkAdAB5ACAAZwBlAG4AZQByAGEAdABvAHIAcwAgAGEAbgBkACAAbABhAHIAZwBlACAAaQBuAGQAdQBzAHQAcgBpAGEAbAAgAHAAbABhAG4AdABzACAAZgByAG8AbQAgAHQAaABlACAAbABhAHQAdABlAHIALgBcACIAOwBcAG4AIAAgACAAIAAgACAAIAAgAFwAIgAtAFwAIgAsACAAXAAiAE0AZQB0AHIAbwAgAGkAcwAgAGQAZQBmAGkAbgBlAGQAIABhAHMAIABsAG8AYwBhAHQAZQBkACAAbwBuACAAbwByACAAZQBhAHMAdAAgAG8AZgAgAHQAaABlACAAZABpAHYAaQBkAGkAbgBnACAAcgBhAG4AZwBlACAAaQBuACAATgBTAFcALAAgAGkAbgBjAGwAdQBkAGkAbgBnACAAQwBhAG4AYgBlAHIAcgBhACAAYQBuAGQAIABRAHUAZQBhAG4AYgBlAHkAYQBuACwAIABNAGUAbABiAG8AdQByAG4AZQAsACAAQgByAGkAcwBiAGEAbgBlACwAIABBAGQAZQBsAGEAaQBkAGUAIABvAHIAIABQAGUAcgB0AGgALgBcACIAOwBcAG4AIAAgACAAIAAgACAAIAAgAFwAIgBcACIALAAgAFwAIgBPAHQAaABlAHIAdwBpAHMAZQAsACAAdABoAGUAIABuAG8AbgAgAC0AIABtAGUAdAByAG8AIABmAGEAYwB0AG8AcgAgAHMAaABvAHUAbABkACAAYgBlACAAdQBzAGUAZAAuAFwAIgA7AFwAbgAgACAAIAAgACAAIAAgACAAXAAiAC0AXAAiACwAIABcACIARgBhAGMAdABvAHIAcwAgAGEAcgBlACAAYwBhAGwAYwB1AGwAYQB0AGUAZAAgAGYAbwByACAAYQBsAGwAIABuAGEAdAB1AHIAYQBsACAAZwBhAHMAIABkAGkAcwB0AHIAaQBiAHUAdABlAGQAIABpAG4AIABhACAAcABpAHAAZQBsAGkAbgBlACAAdwBoAGkAYwBoACAAbQBhAHkAIABpAG4AYwBsAHUAZABlACAAYwBvAGEAbAAgAHMAZQBhAG0AIABtAGUAdABoAGEAbgBlAC4AXAAiADsAXABuACAAIAAgACAAIAAgACAAIABcACIALQBcACIALAAgAFwAIgBUAGEAYgBsAGUAIAA2ACAAaQBzACAAbgBvAHQAIABhAHAAcABsAGkAYwBhAGIAbABlACAAdABvACAAZQB0AGgAYQBuAGUALgAgAFMAZQBlACAAVABhAGIAbABlACAANwAgAEkAbgBkAGkAcgBlAGMAdAAgACgAUwBjAG8AcABlACAAMwApACAAZQBtAGkAcwBzAGkAbwBuAHMAIABmAHIAbwBtACAAdABoAGUAIABjAG8AbgBzAHUAbQBwAHQAaQBvAG4AIABvAGYAIABlAHQAaABhAG4AZQAuAFwAIgA7AFwAbgAgACAAIAAgACAAIAAgACAAXAAiAC0AXAAiACwAIABcACIAQwAgAD0AIABDAG8AbgBmAGkAZABlAG4AdABpAGEAbAAuACAAUwBjAG8AcABlACAAMwAgAGUAbQBpAHMAcwBpAG8AbgAgAGYAYQBjAHQAbwByAHMAIABmAG8AcgAgAFQAYQBzAG0AYQBuAGkAYQAgAGEAbgBkACAAdABoAGUAIABOAG8AcgB0AGgAZQByAG4AIABUAGUAcgByAGkAdABvAHIAeQAgAGEAcgBlACAAbgBvAHQAIABhAHYAYQBpAGwAYQBiAGwAZQAgAGQAdQBlACAAdABvACAAYwBvAG4AZgBpAGQAZQBuAHQAaQBhAGwAaQB0AHkAIABjAG8AbgBzAHQAcgBhAGkAbgB0AHMAIAB0AGgAYQB0ACAAYQByAGkAcwBlAFwAIgA7AFwAbgAgACAAIAAgACAAIAAgACAAXAAiAFwAIgAsACAAXAAiAGYAcgBvAG0AIAB0AGgAZQAgAHUAcwBlACAAbwBmACAAYQAgAGwAaQBtAGkAdABlAGQAIABuAHUAbQBiAGUAcgAgAG8AZgAgAE4ARwBFAFIAIABkAGEAdABhACAAaQBuAHAAdQB0AHMALgAgAEkAdAAgAGkAcwAgAHMAdQBnAGcAZQBzAHQAZQBkACAAdABoAGEAdAAgAGYAbwByACAAVABhAHMAbQBhAG4AaQBhACAAdABoAGUAIAB1AHMAZQAgAG8AZgAgAHQAaABlACAAVgBpAGMAdABvAHIAaQBhAG4AIABlAG0AaQBzAHMAaQBvAG4AIABmAGEAYwB0AG8AcgBzACAAaQBzACAAYQBwAHAAcgBvAHAAcgBpAGEAdABlACwAXAAiADsAXABuACAAIAAgACAAIAAgACAAIABcACIAXAAiACwAIABcACIAdwBoAGkAbABlACAAZgBvAHIAIABOAG8AcgB0AGgAZQByAG4AIABUAGUAcgByAGkAdABvAHIAeQAgAHQAaABlACAAdQBzAGUAIABvAGYAIAB0AGgAZQAgAFcAZQBzAHQAZQByAG4AIABBAHUAcwB0AHIAYQBsAGkAYQBuACAAZQBtAGkAcwBzAGkAbwBuACAAZgBhAGMAdABvAHIAcwAgAGkAcwAgAGEAcABwAHIAbwBwAHIAaQBhAHQAZQAuAFwAIgA7AFwAbgAgACAAIAAgACAAIAAgACAAXAAiAC0AXAAiACwAIABcACIAUwBjAG8AcABlACAAMwAgAGUAbQBpAHMAcwBpAG8AbgAgAGYAYQBjAHQAbwByAHMAIABkAG8AIABuAG8AdAAgAGkAbgBjAGwAdQBkAGUAIABmAHUAZwBpAHQAaQB2AGUAIABlAG0AaQBzAHMAaQBvAG4AIABsAGUAYQBrAGEAZwBlACAAZgByAG8AbQAgAGwAbwB3ACAAcAByAGUAcwBzAHUAcgBlACAAbgBhAHQAdQByAGEAbAAgAGcAYQBzACAAZABpAHMAdAByAGkAYgB1AHQAaQBvAG4AIABwAGkAcABlAGwAaQBuAGUAIABuAGUAdAB3AG8AcgBrAHMAIAB3AGgAaQBsAGUAIAB0AGgAbwBzAGUAIABmAHIAbwBtACAAaABpAGcAaAAgAHAAcgBlAHMAcwB1AHIAZQBcACIAOwBcAG4AIAAgACAAIAAgACAAIAAgAFwAIgBcACIALAAgAFwAIgBnAGEAcwAgAG4AZQB0AHcAbwByAGsAcwAgAGEAcgBlACAAYwBvAG4AcwBpAGQAZQByAGUAZAAgAG4AZQBnAGwAaQBnAGkAYgBsAGUALgBcACIAXABuACAAIAAgACAAIAAgAH0ALAAgAHIALAAgAGMAKQBcAG4AKQApACkAOwBcAG4AXABuAFwAbgAvACoAXABuAD0APQA9AD0APQA9AD0APQA9AD0APQA9AD0APQA9AD0APQA9AD0APQA9AD0APQA9AD0APQA9AD0APQA9AD0APQA9AD0APQA9AD0APQA9AD0APQA9AD0APQA9AD0APQA9AD0APQA9AD0APQA9AD0APQA9AD0APQA9AD0APQA9AD0APQA9AD0APQA9AD0APQA9AD0APQA9AD0AXABuAEYAdQBlAGwAIABzAGMAbwBwAGUAIAAxACAAYQBuAGQAIAAzACAAZQBtAGkAcwBzAGkAbwBuACAAZgBhAGMAdABvAHIAcwAgAC0AIABTAHQAYQB0AGkAbwBuAGEAcgB5ACAAbABpAHEAdQBpAGQAIABmAHUAZQBsAHMAXABuAD0APQA9AD0APQA9AD0APQA9AD0APQA9AD0APQA9AD0APQA9AD0APQA9AD0APQA9AD0APQA9AD0APQA9AD0APQA9AD0APQA9AD0APQA9AD0APQA9AD0APQA9AD0APQA9AD0APQA9AD0APQA9AD0APQA9AD0APQA9AD0APQA9AD0APQA9AD0APQA9AD0APQA9AD0APQA9AD0AXABuACoALwBcAG4AXABuAEYAdQBlAGwAXwBTAGMAbwBwAGUAMQBTAGMAbwBwAGUAMwBFAG0AaQBzAHMAaQBvAG4ARgBhAGMAdABvAHIAcwBTAHQAYQB0AGkAbwBuAGEAcgB5AEwAaQBxAHUAaQBkAF8AVABpAHQAbABlAFwAbgA9AEwAQQBNAEIARABBACgAKABcACIARgB1AGUAbAAgAHMAYwBvAHAAZQAgADEAIABhAG4AZAAgADMAIABlAG0AaQBzAHMAaQBvAG4AIABmAGEAYwB0AG8AcgBzACAALQAgAFMAdABhAHQAaQBvAG4AYQByAHkAIABsAGkAcQB1AGkAZAAgAGYAdQBlAGwAcwBcACIAKQApADsAXABuAFwAbgBGAHUAZQBsAF8AUwBjAG8AcABlADEAUwBjAG8AcABlADMARQBtAGkAcwBzAGkAbwBuAEYAYQBjAHQAbwByAHMAUwB0AGEAdABpAG8AbgBhAHIAeQBMAGkAcQB1AGkAZABfAEQAZQBzAGMAcgBpAHAAdABpAG8AbgBcAG4APQBMAEEATQBCAEQAQQAoACgAXAAiAEQAaQByAGUAYwB0ACAAKABTAGMAbwBwAGUAIAAxACkAIABhAG4AZAAgAGkAbgBkAGkAcgBlAGMAdAAgACgAcwBjAG8AcABlACAAMwApACAAZQBtAGkAcwBzAGkAbwBuACAAZgBhAGMAdABvAHIAcwAgAGYAbwByACAAdABoAGUAIABjAG8AbgBzAHUAbQBwAHQAaQBvAG4AIABvAGYAIABsAGkAcQB1AGkAZAAgAGYAdQBlAGwAcwAsACAAaQBuAGMAbAB1AGQAaQBuAGcAIABjAGUAcgB0AGEAaQBuACAAcABlAHQAcgBvAGwAZQB1AG0AIABiAGEAcwBlAGQAIABwAHIAbwBkAHUAYwB0AHMAIABmAG8AcgAgAHMAdABhAHQAaQBvAG4AYQByAHkAIABlAG4AZQByAGcAeQAgAHAAdQByAHAAbwBzAGUAcwAuAFwAIgApACkAOwBcAG4AXABuAEYAdQBlAGwAXwBTAGMAbwBwAGUAMQBTAGMAbwBwAGUAMwBFAG0AaQBzAHMAaQBvAG4ARgBhAGMAdABvAHIAcwBTAHQAYQB0AGkAbwBuAGEAcgB5AEwAaQBxAHUAaQBkAF8AUwBvAHUAcgBjAGUAXABuAD0ATABBAE0AQgBEAEEAKAAoAFwAIgBBAHUAcwB0AHIAYQBsAGkAYQBuACAATgBhAHQAaQBvAG4AYQBsACAARwByAGUAZQBuAGgAbwB1AHMAZQAgAEEAYwBjAG8AdQBuAHQAcwAgAEYAYQBjAHQAbwByAHMAIAAyADAAMgA1ACAALQAgAFQAYQBiAGwAZQAgADgAXAAiACkAKQA7AFwAbgBcAG4ARgB1AGUAbABfAFMAYwBvAHAAZQAxAFMAYwBvAHAAZQAzAEUAbQBpAHMAcwBpAG8AbgBGAGEAYwB0AG8AcgBzAFMAdABhAHQAaQBvAG4AYQByAHkATABpAHEAdQBpAGQAXwBEAGEAdABhAFwAbgA9AEwAQQBNAEIARABBACgAXABuACAAIABNAEEASwBFAEEAUgBSAEEAWQAoADIANQAsACAAOAAsAFwAbgAgACAAIAAgAEwAQQBNAEIARABBACgAcgAsAGMALABcAG4AIAAgACAAIAAgACAASQBOAEQARQBYACgAewBcAG4AIAAgACAAIAAgACAAIAAgAFwAIgBGAHUAZQBsACAAYwBvAG0AYgB1AHMAdABlAGQAXAAiACwAIABcACIARQBuAGUAcgBnAHkAIABDAG8AbgB0AGUAbgB0ACAARgBhAGMAdABvAHIAIAAoAEcASgAgAHAAZQByACAAdQBuAGkAdAAgAG8AZgAgAGYAdQBlAGwAKQBcACIALAAgAFwAIgBGAHUAZQBsACAAdQBuAGkAdABcACIALAAgAFwAIgBTAGMAbwBwAGUAIAAxACAARQBtAGkAcwBzAGkAbwBuACAARgBhAGMAdABvAHIAIAAoAGsAZwAgAEMATwAyACAALQAgAGUAIAAvACAARwBKACkAIABDAE8AMgBcACIALAAgAFwAIgBTAGMAbwBwAGUAIAAxACAARQBtAGkAcwBzAGkAbwBuACAARgBhAGMAdABvAHIAIAAoAGsAZwAgAEMATwAyACAALQAgAGUAIAAvACAARwBKACkAIABDAEgANABcACIALAAgAFwAIgBTAGMAbwBwAGUAIAAxACAARQBtAGkAcwBzAGkAbwBuACAARgBhAGMAdABvAHIAIAAoAGsAZwAgAEMATwAyACAALQAgAGUAIAAvACAARwBKACkAIABOADIATwBcACIALAAgAFwAIgBTAGMAbwBwAGUAIAAxACAARQBtAGkAcwBzAGkAbwBuACAARgBhAGMAdABvAHIAIAAoAGsAZwAgAEMATwAyACAALQAgAGUAIAAvACAARwBKACkAIABDAG8AbQBiAGkAbgBlAGQAIABnAGEAcwBlAHMAXAAiACwAIABcACIAUwBjAG8AcABlACAAMwAgAEUAbQBpAHMAcwBpAG8AbgAgAEYAYQBjAHQAbwByACAAKABrAGcAIABDAE8AMgAgAC0AIABlACAALwAgAEcASgApAFwAIgA7AFwAbgAgACAAIAAgACAAIAAgACAAXAAiAFAAZQB0AHIAbwBsAGUAdQBtACAAYgBhAHMAZQBkACAAbwBpAGwAcwAgACgAbwB0AGgAZQByACAAdABoAGEAbgAgAHAAZQB0AHIAbwBsAGUAdQBtACAAYgBhAHMAZQBkACAAbwBpAGwAIAB1AHMAZQBkACAAYQBzACAAZgB1AGUAbAApACwAIABlAC4AZwAuACAAbAB1AGIAcgBpAGMAYQBuAHQAcwBcACIALAAgADMAOAAuADgALAAgAFwAIgBrAGwAXAAiACwAIAAxADMALgA5ACwAIAAwAC4AMAAsACAAMAAuADAALAAgADEAMwAuADkALAAgADEAOAAuADAAOwBcAG4AIAAgACAAIAAgACAAIAAgAFwAIgBQAGUAdAByAG8AbABlAHUAbQAgAGIAYQBzAGUAZAAgAGcAcgBlAGEAcwBlAHMAXAAiACwAIAAzADgALgA4ACwAIABcACIAawBsAFwAIgAsACAAMwAuADUALAAgADAALgAwACwAIAAwAC4AMAAsACAAMwAuADUALAAgADEAOAAuADAAOwBcAG4AIAAgACAAIAAgACAAIAAgAFwAIgBDAHIAdQBkAGUAIABvAGkAbAAgAGkAbgBjAGwAdQBkAGkAbgBnACAAYwByAHUAZABlACAAbwBpAGwAIABjAG8AbgBkAGUAbgBzAGEAdABlAHMAXAAiACwAIAA0ADUALgAzACwAIABcACIAdABcACIALAAgADYAOQAuADYALAAgADAALgAwADgALAAgADAALgAyACwAIAA2ADkALgA4ADgALAAgAFwAIgBOAEUAXAAiADsAXABuACAAIAAgACAAIAAgACAAIABcACIATwB0AGgAZQByACAAbgBhAHQAdQByAGEAbAAgAGcAYQBzACAAbABpAHEAdQBpAGQAcwBcACIALAAgADQANgAuADUALAAgAFwAIgB0AFwAIgAsACAANgAxAC4AMAAsACAAMAAuADAAOAAsACAAMAAuADIALAAgADYAMQAuADIAOAAsACAAXAAiAE4ARQBcACIAOwBcAG4AIAAgACAAIAAgACAAIAAgAFwAIgBBAHUAdABvAG0AbwB0AGkAdgBlACAAZwBhAHMAbwBsAGkAbgBlACAALwAgAHAAZQB0AHIAbwBsACAAKABvAHQAaABlAHIAIAB0AGgAYQBuACAAZgBvAHIAIAB1AHMAZQAgAGEAcwAgAGYAdQBlAGwAIABpAG4AIABhAG4AIABhAGkAcgBjAHIAYQBmAHQAKQBcACIALAAgADMANAAuADIALAAgAFwAIgBrAEwAXAAiACwAIAA2ADcALgA0ACwAIAAwAC4AMgAsACAAMAAuADIALAAgADYANwAuADgAMAAsACAAMQA3AC4AMgA7AFwAbgAgACAAIAAgACAAIAAgACAAXAAiAEEAdgBpAGEAdABpAG8AbgAgAGcAYQBzAG8AbABpAG4AZQBcACIALAAgADMAMwAuADEALAAgAFwAIgBrAEwAXAAiACwAIAA2ADcALAAgADAALgAyACwAIAAwAC4AMgAsACAANgA3AC4ANAAwACwAIAAxADgALgAwADsAXABuACAAIAAgACAAIAAgACAAIABcACIASwBlAHIAbwBzAGUAbgBlACAAKABvAHQAaABlAHIAIAB0AGgAYQBuACAAZgBvAHIAIAB1AHMAZQAgAGEAcwAgAGYAdQBlAGwAIABpAG4AIABhAG4AIABhAGkAcgBjAHIAYQBmAHQAKQBcACIALAAgADMANwAuADUALAAgAFwAIgBrAEwAXAAiACwAIAA2ADgALgA5ACwAIAAwAC4AMAAxACwAIAAwAC4AMgAsACAANgA5AC4AMQAxACwAIAAxADgALgAwADsAXABuACAAIAAgACAAIAAgACAAIABcACIAQQB2AGkAYQB0AGkAbwBuACAAdAB1AHIAYgBpAG4AZQAgAGYAdQBlAGwAIAAvACAAawBlAHIAbwBzAGUAbgBlAFwAIgAsACAAMwA2AC4AOAAsACAAXAAiAGsATABcACIALAAgADYAOQAuADYALAAgADAALgAwADIALAAgADAALgAyACwAIAA2ADkALgA4ADIALAAgADEAOAAuADAAOwBcAG4AIAAgACAAIAAgACAAIAAgAFwAIgBIAGUAYQB0AGkAbgBnACAAbwBpAGwAXAAiACwAIAAzADcALgAzACwAIABcACIAawBMAFwAIgAsACAANgA5AC4ANQAsACAAMAAuADAAMwAsACAAMAAuADIALAAgADYAOQAuADcAMwAsACAAMQA4AC4AMAA7AFwAbgAgACAAIAAgACAAIAAgACAAXAAiAEQAaQBlAHMAZQBsACAAbwBpAGwAXAAiACwAIAAzADgALgA2ACwAIABcACIAawBMAFwAIgAsACAANgA5AC4AOQAsACAAMAAuADEALAAgADAALgAyACwAIAA3ADAALgAyADAALAAgADEANwAuADMAOwBcAG4AIAAgACAAIAAgACAAIAAgAFwAIgBGAHUAZQBsACAAbwBpAGwAXAAiACwAIAAzADkALgA3ACwAIABcACIAawBMAFwAIgAsACAANwAzAC4ANgAsACAAMAAuADAANAAsACAAMAAuADIALAAgADcAMwAuADgANAAsACAAMQA4AC4AMAA7AFwAbgAgACAAIAAgACAAIAAgACAAXAAiAEwAaQBxAHUAZQBmAGkAZQBkACAAYQByAG8AbQBhAHQAaQBjACAAaAB5AGQAcgBvAGMAYQByAGIAbwBuAHMAXAAiACwAIAAzADQALgA0ACwAIABcACIAawBMAFwAIgAsACAANgA5AC4ANwAsACAAMAAuADAAMwAsACAAMAAuADIALAAgADYAOQAuADkAMwAsACAAMQA4AC4AMAA7AFwAbgAgACAAIAAgACAAIAAgACAAXAAiAFMAbwBsAHYAZQBuAHQAcwA6ACAAbQBpAG4AZQByAGEAbAAgAHQAdQByAHAAZQBuAHQAaQBuAGUAIABvAHIAIAB3AGgAaQB0AGUAIABzAHAAaQByAGkAdABzAFwAIgAsACAAMwA0AC4ANAAsACAAXAAiAGsATABcACIALAAgADYAOQAuADcALAAgADAALgAwADMALAAgADAALgAyACwAIAA2ADkALgA5ADMALAAgADEAOAAuADAAOwBcAG4AIAAgACAAIAAgACAAIAAgAFwAIgBMAGkAcQB1AGUAZgBpAGUAZAAgAHAAZQB0AHIAbwBsAGUAdQBtACAAZwBhAHMAIAAoAEwAUABHACkAXAAiACwAIAAyADUALgA3ACwAIABcACIAawBMAFwAIgAsACAANgAwAC4AMgAsACAAMAAuADIALAAgADAALgAyACwAIAA2ADAALgA2ADAALAAgADIAMAAuADIAOwBcAG4AIAAgACAAIAAgACAAIAAgAFwAIgBOAGEAcABoAHQAaABhAFwAIgAsACAAMwAxAC4ANAAsACAAXAAiAGsATABcACIALAAgADYAOQAuADgALAAgADAALgAwADEALAAgADAALgAwADEALAAgADYAOQAuADgAMgAsACAAMQA4AC4AMAA7AFwAbgAgACAAIAAgACAAIAAgACAAXAAiAFAAZQB0AHIAbwBsAGUAdQBtACAAYwBvAGsAZQBcACIALAAgADMANAAuADIALAAgAFwAIgB0AFwAIgAsACAAOQAyAC4ANgAsACAAMAAuADAAOAAsACAAMAAuADIALAAgADkAMgAuADgAOAAsACAAMQA4AC4AMAA7AFwAbgAgACAAIAAgACAAIAAgACAAXAAiAFIAZQBmAGkAbgBlAHIAeQAgAGcAYQBzACAAYQBuAGQAIABsAGkAcQB1AGkAZABzAFwAIgAsACAANAAyAC4AOQAsACAAXAAiAHQAXAAiACwAIAA1ADQALgA3ACwAIAAwAC4AMAAzACwAIAAwAC4AMAAzACwAIAA1ADQALgA3ADYALAAgADEAOAAuADAAOwBcAG4AIAAgACAAIAAgACAAIAAgAFwAIgBSAGUAZgBpAG4AZQByAHkAIABjAG8AawBlAFwAIgAsACAAMwA0AC4AMgAsACAAXAAiAHQAXAAiACwAIAA5ADIALgA2ACwAIAAwAC4AMAA4ACwAIAAwAC4AMgAsACAAOQAyAC4AOAA4ACwAIAAxADgALgAwADsAXABuACAAIAAgACAAIAAgACAAIABcACIAUABlAHQAcgBvAGwAZQB1AG0AIABiAGEAcwBlAGQAIABwAHIAbwBkAHUAYwB0AHMAIABvAHQAaABlAHIAIAB0AGgAYQBuACAAbQBlAG4AdABpAG8AbgBlAGQAIABpAG4AIAB0AGgAZQAgAGkAdABlAG0AcwAgAGEAYgBvAHYAZQBcACIALAAgADMANAAuADQALAAgAFwAIgBrAEwAXAAiACwAIAA2ADkALgA4ACwAIAAwAC4AMAAyACwAIAAwAC4AMQAsACAANgA5AC4AOQAyACwAIAAxADgALgAwADsAXABuACAAIAAgACAAIAAgACAAIABcACIAQgBpAG8AZABpAGUAcwBlAGwAXAAiACwAIAAzADQALgA2ACwAIABcACIAawBMAFwAIgAsACAAMAAuADAALAAgADAALgAwADgALAAgADAALgAyACwAIAAwAC4AMgA4ACwAIABcACIATgBFAFwAIgA7AFwAbgAgACAAIAAgACAAIAAgACAAXAAiAEUAdABoAGEAbgBvAGwAIABmAG8AcgAgAHUAcwBlACAAYQBzACAAYQAgAGYAdQBlAGwAIABpAG4AIABhAG4AIABpAG4AdABlAHIAbgBhAGwAIABjAG8AbQBiAHUAcwB0AGkAbwBuACAAZQBuAGcAaQBuAGUAXAAiACwAIAAyADMALgA0ACwAIABcACIAawBMAFwAIgAsACAAMAAuADAALAAgADAALgAwADgALAAgADAALgAyACwAIAAwAC4AMgA4ACwAIABcACIATgBFAFwAIgA7AFwAbgAgACAAIAAgACAAIAAgACAAXAAiAEIAaQBvAGYAdQBlAGwAcwAgAG8AdABoAGUAcgAgAHQAaABhAG4AIAB0AGgAbwBzAGUAIABtAGUAbgB0AGkAbwBuAGUAZAAgAGkAbgAgAHQAaABlACAAaQB0AGUAbQBzACAAYQBiAG8AdgBlACAAYQBuAGQAIABiAGUAbABvAHcAXAAiACwAIAAyADMALgA0ACwAIABcACIAawBMAFwAIgAsACAAMAAuADAALAAgADAALgAwADgALAAgADAALgAyACwAIAAwAC4AMgA4ACwAIABcACIATgBFAFwAIgA7AFwAbgAgACAAIAAgACAAIAAgACAAXAAiAFIAZQBuAGUAdwBhAGIAbABlACAAYQB2AGkAYQB0AGkAbwBuACAAawBlAHIAbwBzAGUAbgBlAFwAIgAsACAAMwA2AC4AOAAsACAAXAAiAGsATABcACIALAAgADAALgAwACwAIAAwAC4AMAAyACwAIAAwAC4AMgAsACAAMAAuADIAMgAsACAAXAAiAE4ARQBcACIAOwBcAG4AIAAgACAAIAAgACAAIAAgAFwAIgBSAGUAbgBlAHcAYQBiAGwAZQAgAGQAaQBlAHMAZQBsAFwAIgAsACAAMwA4AC4ANgAsACAAXAAiAGsATABcACIALAAgADAALgAwACwAIAAwAC4AMQAsACAAMAAuADIALAAgADAALgAzADAALAAgAFwAIgBOAEUAXAAiAFwAbgAgACAAIAAgACAAIAB9ACwAIAByACwAIABjACkAXABuACkAKQApADsAXABuAFwAbgBGAHUAZQBsAF8AUwBjAG8AcABlADEAUwBjAG8AcABlADMARQBtAGkAcwBzAGkAbwBuAEYAYQBjAHQAbwByAHMAUwB0AGEAdABpAG8AbgBhAHIAeQBMAGkAcQB1AGkAZABfAFYAYQByAGkAYQB0AGkAbwBuAFwAbgA9AEwAQQBNAEIARABBACgAXAAiAFYAQQBSAEkAQQBUAEkATwBOACAATwBGACAAUwBPAFUAUgBDAEUAIABEAEEAVABBADoAIAAnAE4ARQAnACAAdgBhAGwAdQBlAHMAIAByAGUAdAB1AHIAbgBlAGQAIABhAHMAIAB6AGUAcgBvACAAZgBvAHIAIABjAGEAbABjAHUAbABhAHQAaQBvAG4AcwAuAFwAIgApADsAXABuAFwAbgAvACoAXABuAD0APQA9AD0APQA9AD0APQA9AD0APQA9AD0APQA9AD0APQA9AD0APQA9AD0APQA9AD0APQA9AD0APQA9AD0APQA9AD0APQA9AD0APQA9AD0APQA9AD0APQA9AD0APQA9AD0APQA9AD0APQA9AD0APQA9AD0APQA9AD0APQA9AD0APQA9AD0APQA9AD0APQA9AD0APQA9AD0AXABuAEYAdQBlAGwAIABzAGMAbwBwAGUAIAAxACAAYQBuAGQAIAAzACAAZQBtAGkAcwBzAGkAbwBuACAAZgBhAGMAdABvAHIAcwAgAC0AIABUAHIAYQBuAHMAcABvAHIAdABcAG4APQA9AD0APQA9AD0APQA9AD0APQA9AD0APQA9AD0APQA9AD0APQA9AD0APQA9AD0APQA9AD0APQA9AD0APQA9AD0APQA9AD0APQA9AD0APQA9AD0APQA9AD0APQA9AD0APQA9AD0APQA9AD0APQA9AD0APQA9AD0APQA9AD0APQA9AD0APQA9AD0APQA9AD0APQA9AD0APQBcAG4AKgAvAFwAbgBcAG4ARgB1AGUAbABfAFMAYwBvAHAAZQAxAFMAYwBvAHAAZQAzAEUAbQBpAHMAcwBpAG8AbgBGAGEAYwB0AG8AcgBzAFQAcgBhAG4AcwBwAG8AcgB0AF8AVABpAHQAbABlAFwAbgA9AEwAQQBNAEIARABBACgAKABcACIARgB1AGUAbAAgAHMAYwBvAHAAZQAgADEAIABhAG4AZAAgADMAIABlAG0AaQBzAHMAaQBvAG4AIABmAGEAYwB0AG8AcgBzACAALQAgAFQAcgBhAG4AcwBwAG8AcgB0AFwAIgApACkAOwBcAG4AXABuAEYAdQBlAGwAXwBTAGMAbwBwAGUAMQBTAGMAbwBwAGUAMwBFAG0AaQBzAHMAaQBvAG4ARgBhAGMAdABvAHIAcwBUAHIAYQBuAHMAcABvAHIAdABfAEQAZQBzAGMAcgBpAHAAdABpAG8AbgBcAG4APQBMAEEATQBCAEQAQQAoACgAXAAiAEQAaQByAGUAYwB0ACAAKABzAGMAbwBwAGUAIAAxACkAIABhAG4AZAAgAGkAbgBkAGkAcgBlAGMAdAAgACgAcwBjAG8AcABlACAAMwApACAAZQBtAGkAcwBzAGkAbwBuACAAZgBhAGMAdABvAHIAcwAgAGYAbwByACAAdABoAGUAIABjAG8AbgBzAHUAbQBwAHQAaQBvAG4AIABvAGYAIAB0AHIAYQBuAHMAcABvAHIAdAAgAGYAdQBlAGwAcwAgAGkAbgAgAGQAaQBmAGYAZQByAGUAbgB0ACAAdAByAGEAbgBzAHAAbwByAHQAIABlAHEAdQBpAHAAbQBlAG4AdABcACIAKQApADsAXABuAFwAbgBGAHUAZQBsAF8AUwBjAG8AcABlADEAUwBjAG8AcABlADMARQBtAGkAcwBzAGkAbwBuAEYAYQBjAHQAbwByAHMAVAByAGEAbgBzAHAAbwByAHQAXwBTAG8AdQByAGMAZQBcAG4APQBMAEEATQBCAEQAQQAoACgAXAAiAEEAdQBzAHQAcgBhAGwAaQBhAG4AIABOAGEAdABpAG8AbgBhAGwAIABHAHIAZQBlAG4AaABvAHUAcwBlACAAQQBjAGMAbwB1AG4AdABzACAARgBhAGMAdABvAHIAcwAgADIAMAAyADUAIAAtACAAVABhAGIAbABlACAAOQBcACIAKQApADsAXABuAFwAbgBGAHUAZQBsAF8AUwBjAG8AcABlADEAUwBjAG8AcABlADMARQBtAGkAcwBzAGkAbwBuAEYAYQBjAHQAbwByAHMAVAByAGEAbgBzAHAAbwByAHQAXwBEAGEAdABhAFwAbgA9AEwAQQBNAEIARABBACgAXABuACAAIABNAEEASwBFAEEAUgBSAEEAWQAoADIANgAsACAAMQAwACwAXABuACAAIAAgACAATABBAE0AQgBEAEEAKAByACwAYwAsAFwAbgAgACAAIAAgACAAIABJAE4ARABFAFgAKAB7AFwAbgAgACAAIAAgACAAIAAgACAAXAAiAFQAcgBhAG4AcwBwAG8AcgB0ACAAdAB5AHAAZQBcACIALAAgAFwAIgBGAHUAZQBsACAAYwBvAG0AYgB1AHMAdABlAGQAXAAiACwAIABcACIARQBuAGUAcgBnAHkAIABDAG8AbgB0AGUAbgB0ACAARgBhAGMAdABvAHIAKABHAEoAIABwAGUAcgAgAHUAbgBpAHQAIABvAGYAIABmAHUAZQBsACkAXAAiACwAIABcACIARgB1AGUAbAAgAHUAbgBpAHQAXAAiACwAIABcACIAUwBjAG8AcABlACAAMQAgAEUAbQBpAHMAcwBpAG8AbgAgAEYAYQBjAHQAbwByACAAKABrAGcAIABDAE8AMgAgAC0AIABlACAALwAgAEcASgApACAAQwBPADIAXAAiACwAIABcACIAUwBjAG8AcABlACAAMQAgAEUAbQBpAHMAcwBpAG8AbgAgAEYAYQBjAHQAbwByACAAKABrAGcAIABDAE8AMgAgAC0AIABlACAALwAgAEcASgApACAAQwBIADQAXAAiACwAIABcACIAUwBjAG8AcABlACAAMQAgAEUAbQBpAHMAcwBpAG8AbgAgAEYAYQBjAHQAbwByACAAKABrAGcAIABDAE8AMgAgAC0AIABlACAALwAgAEcASgApACAATgAyAE8AXAAiACwAIABcACIAUwBjAG8AcABlACAAMQAgAEUAbQBpAHMAcwBpAG8AbgAgAEYAYQBjAHQAbwByACAAKABrAGcAIABDAE8AMgAgAC0AIABlACAALwAgAEcASgApACAAQwBvAG0AYgBpAG4AZQBkACAAZwBhAHMAZQBzAFwAIgAsACAAXAAiAFMAYwBvAHAAZQAgADMAIABFAG0AaQBzAHMAaQBvAG4AIABGAGEAYwB0AG8AcgAgACgAawBnACAAQwBPADIAIAAtACAAZQAgAC8AIABHAEoAKQBcACIALAAgAFwAIgBTAG8AdQByAGMAZQBcACIAOwBcAG4AIAAgACAAIAAgACAAIAAgAFwAIgBDAGEAcgBzACAAYQBuAGQAIABsAGkAZwBoAHQAIABjAG8AbQBtAGUAcgBjAGkAYQBsACAAdgBlAGgAaQBjAGwAZQBzAFwAIgAsACAAXAAiAEcAYQBzAG8AbABpAG4AZQBcACIALAAgADMANAAuADIALAAgAFwAIgBrAGwAXAAiACwAIAA2ADcALgA0ACwAIAAwAC4AMAAyACwAIAAwAC4AMgAsACAANgA3AC4ANgAyACwAIAAxADcALgAyACwAIABcACIATgBHAEEARgAgADIAMAAyADUAOgAgAFQAYQBiAGwAZQAgADkAXAAiADsAXABuACAAIAAgACAAIAAgACAAIABcACIAQwBhAHIAcwAgAGEAbgBkACAAbABpAGcAaAB0ACAAYwBvAG0AbQBlAHIAYwBpAGEAbAAgAHYAZQBoAGkAYwBsAGUAcwBcACIALAAgAFwAIgBEAGkAZQBzAGUAbAAgAG8AaQBsAFwAIgAsACAAMwA4AC4ANgAsACAAXAAiAGsAbABcACIALAAgADYAOQAuADkALAAgADAALgAwADEALAAgADAALgA1ACwAIAA3ADAALgA0ADEALAAgADEANwAuADMALAAgAFwAIgBOAEcAQQBGACAAMgAwADIANQA6ACAAVABhAGIAbABlACAAOQBcACIAOwBcAG4AIAAgACAAIAAgACAAIAAgAFwAIgBDAGEAcgBzACAAYQBuAGQAIABsAGkAZwBoAHQAIABjAG8AbQBtAGUAcgBjAGkAYQBsACAAdgBlAGgAaQBjAGwAZQBzAFwAIgAsACAAXAAiAEwAaQBxAHUAZQBmAGkAZQBkACAAcABlAHQAcgBvAGwAZQB1AG0AIABnAGEAcwAgACgATABQAEcAKQBcACIALAAgADIANgAuADIALAAgAFwAIgBrAGwAXAAiACwAIAA2ADAALgAyACwAIAAwAC4ANQAsACAAMAAuADMALAAgADYAMQAuADAAMAAsACAAMgAwAC4AMgAsACAAXAAiAE4ARwBBAEYAIAAyADAAMgA1ADoAIABUAGEAYgBsAGUAIAA5AFwAIgA7AFwAbgAgACAAIAAgACAAIAAgACAAXAAiAEMAYQByAHMAIABhAG4AZAAgAGwAaQBnAGgAdAAgAGMAbwBtAG0AZQByAGMAaQBhAGwAIAB2AGUAaABpAGMAbABlAHMAXAAiACwAIABcACIARgB1AGUAbAAgAG8AaQBsAFwAIgAsACAAMwA5AC4ANwAsACAAXAAiAGsAbABcACIALAAgADcAMwAuADYALAAgADAALgAwADgALAAgADAALgA1ACwAIAA3ADQALgAxADgALAAgADEAOAAuADAALAAgAFwAIgBOAEcAQQBGACAAMgAwADIANQA6ACAAVABhAGIAbABlACAAOQBcACIAOwBcAG4AIAAgACAAIAAgACAAIAAgAFwAIgBDAGEAcgBzACAAYQBuAGQAIABsAGkAZwBoAHQAIABjAG8AbQBtAGUAcgBjAGkAYQBsACAAdgBlAGgAaQBjAGwAZQBzAFwAIgAsACAAXAAiAEUAdABoAGEAbgBvAGwAXAAiACwAIAAyADMALgA0ACwAIABcACIAawBsAFwAIgAsACAAMAAuADAALAAgADAALgAyACwAIAAwAC4AMgAsACAAMAAuADQALAAgAFwAIgBOAEUAXAAiACwAIABcACIATgBHAEEARgAgADIAMAAyADUAOgAgAFQAYQBiAGwAZQAgADkAXAAiADsAXABuACAAIAAgACAAIAAgACAAIABcACIAQwBhAHIAcwAgAGEAbgBkACAAbABpAGcAaAB0ACAAYwBvAG0AbQBlAHIAYwBpAGEAbAAgAHYAZQBoAGkAYwBsAGUAcwBcACIALAAgAFwAIgBCAGkAbwBkAGkAZQBzAGUAbABcACIALAAgADMANAAuADYALAAgAFwAIgBrAGwAXAAiACwAIAAwAC4AMAAsACAAMAAuADgALAAgADEALgA3ACwAIAAyAC4ANQAsACAAXAAiAE4ARQBcACIALAAgAFwAIgBOAEcAQQBGACAAMgAwADIANQA6ACAAVABhAGIAbABlACAAOQBcACIAOwBcAG4AIAAgACAAIAAgACAAIAAgAFwAIgBDAGEAcgBzACAAYQBuAGQAIABsAGkAZwBoAHQAIABjAG8AbQBtAGUAcgBjAGkAYQBsACAAdgBlAGgAaQBjAGwAZQBzAFwAIgAsACAAXAAiAFIAZQBuAGUAdwBhAGIAbABlACAAZABpAGUAcwBlAGwAXAAiACwAIAAzADgALgA2ACwAIABcACIAawBsAFwAIgAsACAAMAAuADAALAAgADAALgAwADEALAAgADAALgA1ACwAIAAwAC4ANQAxACwAIABcACIATgBFAFwAIgAsACAAXAAiAE4ARwBBAEYAIAAyADAAMgA1ADoAIABUAGEAYgBsAGUAIAA5AFwAIgA7AFwAbgAgACAAIAAgACAAIAAgACAAXAAiAEMAYQByAHMAIABhAG4AZAAgAGwAaQBnAGgAdAAgAGMAbwBtAG0AZQByAGMAaQBhAGwAIAB2AGUAaABpAGMAbABlAHMAXAAiACwAIABcACIATwB0AGgAZQByACAAYgBpAG8AZgB1AGUAbABzAFwAIgAsACAAMgAzAC4ANAAsACAAXAAiAGsAbABcACIALAAgADAALgAwACwAIAAwAC4AOAAsACAAMQAuADcALAAgADIALgA1ACwAIABcACIATgBFAFwAIgAsACAAXAAiAE4ARwBBAEYAIAAyADAAMgA1ADoAIABUAGEAYgBsAGUAIAA5AFwAIgA7AFwAbgAgACAAIAAgACAAIAAgACAAXAAiAEwAaQBnAGgAdAAgAGQAdQB0AHkAIAB2AGUAaABpAGMAbABlAHMAXAAiACwAIABcACIAQwBvAG0AcAByAGUAcwBzAGUAZAAgAG4AYQB0AHUAcgBhAGwAIABnAGEAcwBcACIALAAgADAALgAwADMAOQAzACwAIABcACIAbQAzAFwAIgAsACAANQAxAC4ANAAsACAANwAuADMALAAgADAALgAzACwAIAA1ADkALgAwACwAIAAxADgALgAwACwAIABcACIATgBHAEEARgAgADIAMAAyADUAOgAgAFQAYQBiAGwAZQAgADkAXAAiADsAXABuACAAIAAgACAAIAAgACAAIABcACIATABpAGcAaAB0ACAAZAB1AHQAeQAgAHYAZQBoAGkAYwBsAGUAcwBcACIALAAgAFwAIgBMAGkAcQB1AGUAZgBpAGUAZAAgAG4AYQB0AHUAcgBhAGwAIABnAGEAcwBcACIALAAgADIANQAuADMALAAgAFwAIgBrAGwAXAAiACwAIAA1ADEALgA0ACwAIAA3AC4AMwAsACAAMAAuADMALAAgADUAOQAuADAALAAgADEAOAAuADAALAAgAFwAIgBOAEcAQQBGACAAMgAwADIANQA6ACAAVABhAGIAbABlACAAOQBcACIAOwBcAG4AIAAgACAAIAAgACAAIAAgAFwAIgBIAGUAYQB2AHkAIABkAHUAdAB5ACAAdgBlAGgAaQBjAGwAZQBzAFwAIgAsACAAXAAiAEMAbwBtAHAAcgBlAHMAcwBlAGQAIABuAGEAdAB1AHIAYQBsACAAZwBhAHMAXAAiACwAIAAwAC4AMAAzADkAMwAsACAAXAAiAG0AMwBcACIALAAgADUAMQAuADQALAAgADIALgA4ACwAIAAwAC4AMwAsACAANQA0AC4ANQAsACAAMQA4AC4AMAAsACAAXAAiAE4ARwBBAEYAIAAyADAAMgA1ADoAIABUAGEAYgBsAGUAIAA5AFwAIgA7AFwAbgAgACAAIAAgACAAIAAgACAAXAAiAEgAZQBhAHYAeQAgAGQAdQB0AHkAIAB2AGUAaABpAGMAbABlAHMAXAAiACwAIABcACIATABpAHEAdQBlAGYAaQBlAGQAIABuAGEAdAB1AHIAYQBsACAAZwBhAHMAXAAiACwAIAAyADUALgAzACwAIABcACIAawBsAFwAIgAsACAANQAxAC4ANAAsACAAMgAuADgALAAgADAALgAzACwAIAA1ADQALgA1ACwAIAAxADgALgAwACwAIABcACIATgBHAEEARgAgADIAMAAyADUAOgAgAFQAYQBiAGwAZQAgADkAXAAiADsAXABuACAAIAAgACAAIAAgACAAIABcACIASABlAGEAdgB5ACAAZAB1AHQAeQAgAHYAZQBoAGkAYwBsAGUAcwBcACIALAAgAFwAIgBEAGkAZQBzAGUAbAAgAG8AaQBsACAALQAgAEUAdQByAG8AIABpAHYAIABvAHIAIABoAGkAZwBoAGUAcgBcACIALAAgADMAOAAuADYALAAgAFwAIgBrAGwAXAAiACwAIAA2ADkALgA5ACwAIAAwAC4AMAA3ACwAIAAwAC4ANAAsACAANwAwAC4AMwA3ACwAIAAxADcALgAzACwAIABcACIATgBHAEEARgAgADIAMAAyADUAOgAgAFQAYQBiAGwAZQAgADkAXAAiADsAXABuACAAIAAgACAAIAAgACAAIABcACIASABlAGEAdgB5ACAAZAB1AHQAeQAgAHYAZQBoAGkAYwBsAGUAcwBcACIALAAgAFwAIgBEAGkAZQBzAGUAbAAgAG8AaQBsACAALQAgAEUAdQByAG8AIABpAGkAaQBcACIALAAgADMAOAAuADYALAAgAFwAIgBrAGwAXAAiACwAIAA2ADkALgA5ACwAIAAwAC4AMQAsACAAMAAuADQALAAgADcAMAAuADQALAAgADEANwAuADMALAAgAFwAIgBOAEcAQQBGACAAMgAwADIANQA6ACAAVABhAGIAbABlACAAOQBcACIAOwBcAG4AIAAgACAAIAAgACAAIAAgAFwAIgBIAGUAYQB2AHkAIABkAHUAdAB5ACAAdgBlAGgAaQBjAGwAZQBzAFwAIgAsACAAXAAiAEQAaQBlAHMAZQBsACAAbwBpAGwAIAAtACAARQB1AHIAbwAgAGkAXAAiACwAIAAzADgALgA2ACwAIABcACIAawBsAFwAIgAsACAANgA5AC4AOQAsACAAMAAuADIALAAgADAALgA0ACwAIAA3ADAALgA1ACwAIAAxADcALgAzACwAIABcACIATgBHAEEARgAgADIAMAAyADUAOgAgAFQAYQBiAGwAZQAgADkAXAAiADsAXABuACAAIAAgACAAIAAgACAAIABcACIASABlAGEAdgB5ACAAZAB1AHQAeQAgAHYAZQBoAGkAYwBsAGUAcwBcACIALAAgAFwAIgBSAGUAbgBlAHcAYQBiAGwAZQAgAGQAaQBlAHMAZQBsACAAEyAgAEUAdQByAG8AIABpAHYAIABvAHIAIABoAGkAZwBoAGUAcgBcACIALAAgADMAOAAuADYALAAgAFwAIgBrAGwAXAAiACwAIAAwAC4AMAAsACAAMAAuADAANwAsACAAMAAuADQALAAgADAALgA0ADcALAAgAFwAIgBOAEUAXAAiACwAIABcACIATgBHAEEARgAgADIAMAAyADUAOgAgAFQAYQBiAGwAZQAgADkAXAAiADsAXABuACAAIAAgACAAIAAgACAAIABcACIASABlAGEAdgB5ACAAZAB1AHQAeQAgAHYAZQBoAGkAYwBsAGUAcwBcACIALAAgAFwAIgBSAGUAbgBlAHcAYQBiAGwAZQAgAGQAaQBlAHMAZQBsACAAEyAgAEUAdQByAG8AIABpAGkAaQBcACIALAAgADMAOAAuADYALAAgAFwAIgBrAGwAXAAiACwAIAAwAC4AMAAsACAAMAAuADEALAAgADAALgA0ACwAIAAwAC4ANQAsACAAXAAiAE4ARQBcACIALAAgAFwAIgBOAEcAQQBGACAAMgAwADIANQA6ACAAVABhAGIAbABlACAAOQBcACIAOwBcAG4AIAAgACAAIAAgACAAIAAgAFwAIgBIAGUAYQB2AHkAIABkAHUAdAB5ACAAdgBlAGgAaQBjAGwAZQBzAFwAIgAsACAAXAAiAFIAZQBuAGUAdwBhAGIAbABlACAAZABpAGUAcwBlAGwAIAATICAARQB1AHIAbwAgAGkAXAAiACwAIAAzADgALgA2ACwAIABcACIAawBsAFwAIgAsACAAMAAuADAALAAgADAALgAyACwAIAAwAC4ANAAsACAAMAAuADYALAAgAFwAIgBOAEUAXAAiACwAIABcACIATgBHAEEARgAgADIAMAAyADUAOgAgAFQAYQBiAGwAZQAgADkAXAAiADsAXABuACAAIAAgACAAIAAgACAAIABcACIAQQB2AGkAYQB0AGkAbwBuAFwAIgAsACAAXAAiAEcAYQBzAG8AbABpAG4AZQAgAGYAbwByACAAdQBzAGUAIABhAHMAIABmAHUAZQBsACAAaQBuACAAYQBuACAAYQBpAHIAYwByAGEAZgB0AFwAIgAsACAAMwAzAC4AMQAsACAAXAAiAGsAbABcACIALAAgADYANwAuADAALAAgADAALgAwADYALAAgADAALgA2ACwAIAA2ADcALgA2ADYALAAgADEAOAAuADAALAAgAFwAIgBOAEcAQQBGACAAMgAwADIANQA6ACAAVABhAGIAbABlACAAOQBcACIAOwBcAG4AIAAgACAAIAAgACAAIAAgAFwAIgBBAHYAaQBhAHQAaQBvAG4AXAAiACwAIABcACIASwBlAHIAbwBzAGUAbgBlACAAZgBvAHIAIAB1AHMAZQAgAGEAcwAgAGYAdQBlAGwAIABpAG4AIABhAG4AIABhAGkAcgBjAHIAYQBmAHQAXAAiACwAIAAzADYALgA4ACwAIABcACIAawBsAFwAIgAsACAANgA5AC4ANgAsACAAMAAuADAAMQAsACAAMAAuADYALAAgADcAMAAuADIAMQAsACAAMQA4AC4AMAAsACAAXAAiAE4ARwBBAEYAIAAyADAAMgA1ADoAIABUAGEAYgBsAGUAIAA5AFwAIgA7AFwAbgAgACAAIAAgACAAIAAgACAAXAAiAEEAdgBpAGEAdABpAG8AbgBcACIALAAgAFwAIgBSAGUAbgBlAHcAYQBiAGwAZQAgAGEAdgBpAGEAdABpAG8AbgAgAGsAZQByAG8AcwBlAG4AZQBcACIALAAgADMANgAuADgALAAgAFwAIgBrAGwAXAAiACwAIAAwAC4AMAAsACAAMAAuADAAMQAsACAAMAAuADYALAAgADAALgA2ADEALAAgAFwAIgBOAEUAXAAiACwAIABcACIATgBHAEEARgAgADIAMAAyADUAOgAgAFQAYQBiAGwAZQAgADkAXAAiADsAXABuACAAIAAgACAAIAAgACAAIABcACIAVgBlAHMAcwBlAGwAcwBcACIALAAgAFwAIgBHAGEAcwBvAGwAaQBuAGUAXAAiACwAIAAzADQALgAyACwAIABcACIAawBMAFwAIgAsACAANgA3AC4ANAAsACAAMQAwAC4AMQAsACAAMAAuADMALAAgAFwAIgBcACIALAAgADEANwAuADIALAAgAFwAIgBWAEUARQBSAEcAIAAyADAAMgA2ADoAIABUAGEAYgBsAGUAIABBAC4ANAAuADIALgAxAFwAIgA7AFwAbgAgACAAIAAgACAAIAAgACAAXAAiAFYAZQBzAHMAZQBsAHMAXAAiACwAIABcACIARABpAGUAcwBlAGwAIABvAGkAbABcACIALAAgADMAOAAuADYALAAgAFwAIgBrAEwAXAAiACwAIAA2ADkALgA5ACwAIAAwAC4AMgAsACAAMAAuADUALAAgAFwAIgBcACIALAAgADEANwAuADMALAAgAFwAIgBWAEUARQBSAEcAIAAyADAAMgA2ADoAIABUAGEAYgBsAGUAIABBAC4ANAAuADIALgAxAFwAIgA7AFwAbgAgACAAIAAgACAAIAAgACAAXAAiAFYAZQBzAHMAZQBsAHMAXAAiACwAIABcACIARgB1AGUAbAAgAE8AaQBsAFwAIgAsACAAMwA5AC4ANwAsACAAXAAiAGsATABcACIALAAgADcAMwAuADYALAAgADAALgAyACwAIAAwAC4ANQAsACAAXAAiAFwAIgAsACAAMQA4AC4AMAAsACAAXAAiAFYARQBFAFIARwAgADIAMAAyADYAOgAgAFQAYQBiAGwAZQAgAEEALgA0AC4AMgAuADEAXAAiADsAXABuACAAIAAgACAAIAAgACAAIABcACIATwBmAGYALQByAG8AYQBkACAAQQBnAHIAaQBjAHUAbAB0AHUAcgBlACAAYQBuAGQAIABmAG8AcgBlAHMAdAByAHkAIABlAHEAdQBpAHAAbQBlAG4AdABcACIALAAgAFwAIgBEAGkAZQBzAGUAbAAgAG8AaQBsAFwAIgAsACAAMwA4AC4ANgAsACAAXAAiAGsATABcACIALAAgADYAOQAuADkALAAgADAALgAzACwAIAAwAC4ANQAsACAAXAAiAFwAIgAsACAAMQA3AC4AMwAsACAAXAAiAFYARQBFAFIARwAgADIAMAAyADYAOgAgAFQAYQBiAGwAZQAgAEEALgA0AC4AMgAuADEAXAAiAFwAbgAgACAAIAAgACAAIAB9ACwAIAByACwAIABjACkAXABuACkAKQApADsAXABuAFwAbgBGAHUAZQBsAF8AUwBjAG8AcABlADEAUwBjAG8AcABlADMARQBtAGkAcwBzAGkAbwBuAEYAYQBjAHQAbwByAHMAVAByAGEAbgBzAHAAbwByAHQAXwBWAGEAcgBpAGEAdABpAG8AbgBcAG4APQBMAEEATQBCAEQAQQAoAFwAIgBWAEEAUgBJAEEAVABJAE8ATgAgAE8ARgAgAFMATwBVAFIAQwBFACAARABBAFQAQQA6ACAAJwBOAEUAJwAgAHYAYQBsAHUAZQBzACAAcgBlAHQAdQByAG4AZQBkACAAYQBzACAAegBlAHIAbwAgAGYAbwByACAAYwBhAGwAYwB1AGwAYQB0AGkAbwBuAHMALgBcACIAKQA7AFwAbgBcAG4AXABuAC8AKgBcAG4APQA9AD0APQA9AD0APQA9AD0APQA9AD0APQA9AD0APQA9AD0APQA9AD0APQA9AD0APQA9AD0APQA9AD0APQA9AD0APQA9AD0APQA9AD0APQA9AD0APQA9AD0APQA9AD0APQA9AD0APQA9AD0APQA9AD0APQA9AD0APQA9AD0APQA9AD0APQA9AD0APQA9AD0APQA9AD0APQBcAG4ARgB1AGUAbAAgAHMAYwBvAHAAZQAgADEAIABhAG4AZAAgADMAIABlAG0AaQBzAHMAaQBvAG4AIABmAGEAYwB0AG8AcgBzACAALQAgAE8AZgBmAC0AcgBhAGQAIABlAHEAdQBpAHAAbQBlAG4AdAAgAGEAbgBkACAAdgBlAHMAcwBlAGwAcwBcAG4APQA9AD0APQA9AD0APQA9AD0APQA9AD0APQA9AD0APQA9AD0APQA9AD0APQA9AD0APQA9AD0APQA9AD0APQA9AD0APQA9AD0APQA9AD0APQA9AD0APQA9AD0APQA9AD0APQA9AD0APQA9AD0APQA9AD0APQA9AD0APQA9AD0APQA9AD0APQA9AD0APQA9AD0APQA9AD0APQBcAG4AKgAvAFwAbgBcAG4ARgB1AGUAbABfAFMAYwBvAHAAZQAxAFMAYwBvAHAAZQAzAEUAbQBpAHMAcwBpAG8AbgBGAGEAYwB0AG8AcgBzAFQAcgBhAG4AcwBwAG8AcgB0AE8AZgBmAFIAbwBhAGQAXwBUAGkAdABsAGUAXABuAD0ATABBAE0AQgBEAEEAKAAoAFwAIgBGAHUAZQBsACAAcwBjAG8AcABlACAAMQAgAGEAbgBkACAAMwAgAGUAbQBpAHMAcwBpAG8AbgAgAGYAYQBjAHQAbwByAHMAIAAtACAATwBmAGYALQByAG8AYQBkACAAZQBxAHUAaQBwAG0AZQBuAHQAIABhAG4AZAAgAHYAZQBzAHMAZQBsAHMAXAAiACkAKQA7AFwAbgBcAG4ARgB1AGUAbABfAFMAYwBvAHAAZQAxAFMAYwBvAHAAZQAzAEUAbQBpAHMAcwBpAG8AbgBGAGEAYwB0AG8AcgBzAFQAcgBhAG4AcwBwAG8AcgB0AE8AZgBmAFIAbwBhAGQAXwBEAGUAcwBjAHIAaQBwAHQAaQBvAG4AXABuAD0ATABBAE0AQgBEAEEAKAAoAFwAIgBEAGkAcgBlAGMAdAAgACgAcwBjAG8AcABlACAAMQApACAAYQBuAGQAIABpAG4AZABpAHIAZQBjAHQAIAAoAHMAYwBvAHAAZQAgADMAKQAgAGUAbQBpAHMAcwBpAG8AbgAgAGYAYQBjAHQAbwByAHMAIABmAG8AcgAgAHQAaABlACAAYwBvAG4AcwB1AG0AcAB0AGkAbwBuACAAbwBmACAAZgB1AGUAbABzACAAaQBuACAAbwBmAGYALQByAG8AYQBkACAAZQBxAHUAaQBwAG0AZQBuAHQAIABhAG4AZAAgAHYAZQBzAHMAZQBsAHMAXAAiACkAKQA7AFwAbgBcAG4ARgB1AGUAbABfAFMAYwBvAHAAZQAxAFMAYwBvAHAAZQAzAEUAbQBpAHMAcwBpAG8AbgBGAGEAYwB0AG8AcgBzAFQAcgBhAG4AcwBwAG8AcgB0AE8AZgBmAFIAbwBhAGQAXwBTAG8AdQByAGMAZQBcAG4APQBMAEEATQBCAEQAQQAoACgAXAAiAFYARQBFAFIARwAgADIAMAAyADYAOgAgAFQAYQBiAGwAZQAgAEEALgA0AC4AMgAuADEAXAAiACkAKQA7AFwAbgBcAG4ARgB1AGUAbABfAFMAYwBvAHAAZQAxAFMAYwBvAHAAZQAzAEUAbQBpAHMAcwBpAG8AbgBGAGEAYwB0AG8AcgBzAFQAcgBhAG4AcwBwAG8AcgB0AE8AZgBmAFIAbwBhAGQAXwBEAGEAdABhAFwAbgA9AEwAQQBNAEIARABBACgAXABuACAAIABNAEEASwBFAEEAUgBSAEEAWQAoADUALAAgADcALABcAG4AIAAgACAAIABMAEEATQBCAEQAQQAoAHIALABjACwAXABuACAAIAAgACAAIAAgAEkATgBEAEUAWAAoAHsAXABuACAAIAAgACAAIAAgACAAIABcACIAVAByAGEAbgBzAHAAbwByAHQAIAB0AHkAcABlACAAdABcACIALAAgAFwAIgBGAHUAZQBsACAAdAB5AHAAZQAgAHEAXAAiACwAIABcACIARQBDAFQAcgBhAG4AcwAsAHEAIAAoAEcASgAvAGsATAApAFwAIgAsACAAXAAiAFMAYwBvAHAAZQAgADEAIABDAE8AMgAgAEUARgBUAHIAYQBuACwAMQAsAHQAcQBnACAAKABrAGcAIABDAE8AMgAtAGUALwBHAEoAKQBcACIALAAgAFwAIgBTAGMAbwBwAGUAIAAxACAAQwBIADQAIABFAEYAVAByAGEAbgAsADEALAB0AGcAZwAgACgAawBnACAAQwBPADIALQBlAC8ARwBKACkAXAAiACwAIABcACIAUwBjAG8AcABlACAAMQAgAE4AMgBPACAARQBGAFQAcgBhAG4ALAAxACwAdABnAGcAIAAoAGsAZwAgAEMATwAyAC0AZQAvAEcASgApAFwAIgAsACAAXAAiAFMAYwBvAHAAZQAgADMAIABFAEYAVAByAGEAbgBzACwAMwAsAHEAIAAoAGsAZwAgAEMATwAyAC0AZQAvAEcASgApAFwAIgA7AFwAbgAgACAAIAAgACAAIAAgACAAXAAiAFYAZQBzAHMAZQBsAFwAIgAsACAAXAAiAFAAZQB0AHIAbwBsAFwAIgAsACAAMwA0AC4AMgAsACAANgA3AC4ANAAsACAAMQAwAC4AMQAsACAAMAAuADMALAAgADEANwAuADIAOwBcAG4AIAAgACAAIAAgACAAIAAgAFwAIgBWAGUAcwBzAGUAbABcACIALAAgAFwAIgBEAGkAZQBzAGUAbABcACIALAAgADMAOAAuADYALAAgADYAOQAuADkALAAgADAALgAyACwAIAAwAC4ANQAsACAAMQA3AC4AMwA7AFwAbgAgACAAIAAgACAAIAAgACAAXAAiAFYAZQBzAHMAZQBsAFwAIgAsACAAXAAiAEYAdQBlAGwAIABPAGkAbABcACIALAAgADMAOQAuADcALAAgADcAMwAuADYALAAgADAALgAyACwAIAAwAC4ANQAsACAAMQA4AC4AMAA7AFwAbgAgACAAIAAgACAAIAAgACAAXAAiAE8AZgBmAC0AcgBvAGEAZAAgAEEAZwByAGkAYwB1AGwAdAB1AHIAZQAgAGEAbgBkACAAZgBvAHIAZQBzAHQAcgB5ACAAZQBxAHUAaQBwAG0AZQBuAHQAXAAiACwAIABcACIARABpAGUAcwBlAGwAXAAiACwAIAAzADgALgA2ACwAIAA2ADkALgA5ACwAIAAwAC4AMwAsACAAMAAuADUALAAgADEANwAuADMAXABuACAAIAAgACAAIAAgAH0ALAAgAHIALAAgAGMAKQBcAG4AKQApACkAOwBcAG4AXABuAFwAbgBcAG4AIgB9ACwAewAiAHAAYQB0AGgAIgA6ACIALwBwAHIAbwBqAGUAYwB0AHMALwBDAG8AbQBtAG8AbgBfAEkAbgBwAHUAdABGAHUAbgBjAHQAaQBvAG4AcwAiACwAIgB0AGUAeAB0ACIAOgAiAFUAdABpAGwAaQB0AHkAXwBHAGUAdABBAHIAcgBhAHkAVABhAGIAbABlAFIAbwB3AFMAdABhAHIAdABOAHUAbQBiAGUAcgBcAG4APQBMAEEATQBCAEQAQQAoAFwAbgAgACAAIAAgAFQAYQBiAGwAZQBoAGUAYQBkAGUAcgBDAGUAbABsACwAUgBvAHcAcwBCAGUAdAB3AGUAZQBuAEgAZQBhAGQAZQByAGEAbgBkAEEAcgByAGEAeQAsAFwAbgAgACAAIAAgAFIATwBXACgAVABhAGIAbABlAGgAZQBhAGQAZQByAEMAZQBsAGwAKQAgACsAIABSAG8AdwBzAEIAZQB0AHcAZQBlAG4ASABlAGEAZABlAHIAYQBuAGQAQQByAHIAYQB5ACAALQAgADEAXABuACkAOwBcAG4AXABuAFUAdABpAGwAaQB0AHkAXwBHAGUAdABBAHIAcgBhAHkAVABhAGIAbABlAEMAbwBsAHUAbQBuAFMAdABhAHIAdABOAHUAbQBiAGUAcgBcAG4APQBMAEEATQBCAEQAQQAoAFwAbgAgACAAVABhAGIAbABlAEgAZQBhAGQAZQByAEMAZQBsAGwALABcAG4AIAAgAEMATwBMAFUATQBOACgAVABhAGIAbABlAEgAZQBhAGQAZQByAEMAZQBsAGwAKQBcAG4AKQA7AFwAbgBcAG4AVQB0AGkAbABpAHQAeQBfAEQAaQBzAHAAbABhAHkAQQByAHIAYQB5AEkAbgBUAGEAYgBsAGUAXABuAD0ATABBAE0AQgBEAEEAKABcAG4AIABBAHIAcgBhAHkARABhAHQAYQAsACAAVABhAGIAbABlAGgAZQBhAGQAZQByAEMAZQBsAGwALAAgAFIAbwB3AHMAQgBlAHQAdwBlAGUAbgBIAGUAYQBkAGUAcgBhAG4AZABBAHIAcgBhAHkALAAgAFsAQwBvAGwAdQBtAG4AcwBCAGUAdAB3AGUAZQBuAEgAZQBhAGQAZQByAEEAbgBkAEEAcgByAGEAeQBdACwAXABuACAASQBGAEUAUgBSAE8AUgAoAFwAbgAgACAAIAAgACAASQBOAEQARQBYACgAXABuACAAIAAgACAAIAAgACAAIAAgACAAIAAgAFUATgBJAFEAVQBFACgAQQByAHIAYQB5AEQAYQB0AGEAKQAsACAAXABuACAAIAAgACAAIAAgACAAIAAgACAAIAAgAFIATwBXACgAKQAtAFUAdABpAGwAaQB0AHkAXwBHAGUAdABBAHIAcgBhAHkAVABhAGIAbABlAFIAbwB3AFMAdABhAHIAdABOAHUAbQBiAGUAcgAoAFQAYQBiAGwAZQBoAGUAYQBkAGUAcgBDAGUAbABsACwAIABSAG8AdwBzAEIAZQB0AHcAZQBlAG4ASABlAGEAZABlAHIAYQBuAGQAQQByAHIAYQB5ACkALAAgAFwAbgAgACAAIAAgACAAIAAgACAAIAAgACAAIABDAE8ATABVAE0ATgAoACkALQBVAHQAaQBsAGkAdAB5AF8ARwBlAHQAQQByAHIAYQB5AFQAYQBiAGwAZQBDAG8AbAB1AG0AbgBTAHQAYQByAHQATgB1AG0AYgBlAHIAKABUAGEAYgBsAGUAaABlAGEAZABlAHIAQwBlAGwAbAApACAAKwBcAG4AIAAgACAAIAAgACAAIAAgACAAIAAgACAASQBGACgASQBTAE8ATQBJAFQAVABFAEQAKABDAG8AbAB1AG0AbgBzAEIAZQB0AHcAZQBlAG4ASABlAGEAZABlAHIAQQBuAGQAQQByAHIAYQB5ACkALAAgADEALAAgAEMAbwBsAHUAbQBuAHMAQgBlAHQAdwBlAGUAbgBIAGUAYQBkAGUAcgBBAG4AZABBAHIAcgBhAHkAKQBcAG4AIAAgACAAIAAgACAAIAAgACkALAAgAFwAIgBcACIAXABuACAAIAAgACAAKQBcAG4AKQA7AFwAbgBcAG4AVQB0AGkAbABpAHQAeQBfAEwAbwBvAGsAdQBwAFYAYQBsAHUAZQBJAG4AVABhAGIAbABlAFwAbgA9AEwAQQBNAEIARABBACgAXABuACAAIAAgACAATABvAG8AawB1AHAAVgBhAGwAdQBlACwAIABMAG8AbwBrAHUAcABBAHIAcgBhAHkALAAgAFIAZQB0AHUAcgBuAEEAcgByAGEAeQAsAFwAbgAgACAAIAAgAFgATABPAE8ASwBVAFAAKABMAG8AbwBrAHUAcABWAGEAbAB1AGUALAAgAEwAbwBvAGsAdQBwAEEAcgByAGEAeQAsACAAUgBlAHQAdQByAG4AQQByAHIAYQB5ACwAIABcACIAXAAiACkAXABuACkAOwBcAG4AXABuAFUAdABpAGwAaQB0AHkAXwBMAG8AbwBrAHUAcABWAGEAbAB1AGUASQBuAFQAYQBiAGwAZQBOAHUAbQBiAGUAcgBcAG4APQBMAEEATQBCAEQAQQAoAFwAbgAgACAAIAAgAEwAbwBvAGsAdQBwAFYAYQBsAHUAZQAsACAATABvAG8AawB1AHAAQQByAHIAYQB5ACwAIABSAGUAdAB1AHIAbgBBAHIAcgBhAHkALABcAG4AIAAgACAAIABJAEYAKABJAFMATgBVAE0AQgBFAFIAKABcAG4AIAAgACAAIAAgACAAIAAgAFgATABPAE8ASwBVAFAAKABMAG8AbwBrAHUAcABWAGEAbAB1AGUALAAgAEwAbwBvAGsAdQBwAEEAcgByAGEAeQAsACAAUgBlAHQAdQByAG4AQQByAHIAYQB5ACwAIABcACIAXAAiACkAXABuACAAIAAgACAAKQAsACAAWABMAE8ATwBLAFUAUAAoAEwAbwBvAGsAdQBwAFYAYQBsAHUAZQAsACAATABvAG8AawB1AHAAQQByAHIAYQB5ACwAIABSAGUAdAB1AHIAbgBBAHIAcgBhAHkALAAgAFwAIgBcACIAKQAsACAAMAApAFwAbgApADsAXABuAFwAbgBVAHQAaQBsAGkAdAB5AF8ATABvAG8AawB1AHAAVgBhAGwAdQBlAEkAbgBUAGEAYgBsAGUAVAB3AG8AQwBvAGwAdQBtAG4AcwBcAG4APQBMAEEATQBCAEQAQQAoAFwAbgAgACAAIAAgAEwAbwBvAGsAdQBwAFYAYQBsAHUAZQAxACwAIABMAG8AbwBrAHUAcABWAGEAbAB1AGUAMgAsACAATABvAG8AawB1AHAAQQByAHIAYQB5ADEALAAgAEwAbwBvAGsAdQBwAEEAcgByAGEAeQAyACwAIABSAGUAdAB1AHIAbgBBAHIAcgBhAHkALAAgAFsAVgBhAGwAdQBlAEkARgBGAGEAbABzAGUAXQAsAFwAbgAgACAAIAAgAFgATABPAE8ASwBVAFAAKAAxACwAIAAoAEwAbwBvAGsAdQBwAEEAcgByAGEAeQAxAD0ATABvAG8AawB1AHAAVgBhAGwAdQBlADEAKQAqACgATABvAG8AawB1AHAAQQByAHIAYQB5ADIAPQBMAG8AbwBrAHUAcABWAGEAbAB1AGUAMgApACwAIABSAGUAdAB1AHIAbgBBAHIAcgBhAHkALAAgAEkARgAoAEkAUwBPAE0ASQBUAFQARQBEACgAVgBhAGwAdQBlAEkARgBGAGEAbABzAGUAKQAsACAAXAAiAFwAIgAsACAAVgBhAGwAdQBlAEkARgBGAGEAbABzAGUAKQApAFwAbgApADsAXABuAFwAbgBVAHQAaQBsAGkAdAB5AF8ATABvAG8AawB1AHAAVgBhAGwAdQBlAEkAbgBUAGEAYgBsAGUATwBuAGUAQwBvAGwAdQBtAG4AQQBuAGQASABlAGEAZABlAHIAXABuAD0ATABBAE0AQgBEAEEAKABcAG4AIAAgACAAIABMAG8AbwBrAHUAcABWAGEAbAB1AGUAMQAsACAATABvAG8AawB1AHAAVgBhAGwAdQBlADIALAAgAEwAbwBvAGsAdQBwAEEAcgByAGEAeQAxACwAIABMAG8AbwBrAHUAcABBAHIAcgBhAHkAMgAsACAAUgBlAHQAdQByAG4AQQByAHIAYQB5ACwAIABbAFYAYQBsAHUAZQBJAGYARgBhAGwAcwBlAF0ALABcAG4AIAAgACAAIABJAEYARQBSAFIATwBSACgAXABuACAAIAAgACAAIAAgACAAIABYAEwATwBPAEsAVQBQACgATABvAG8AawB1AHAAVgBhAGwAdQBlADEALAAgAEwAbwBvAGsAdQBwAEEAcgByAGEAeQAxACwAXABuACAAIAAgACAAIAAgACAAIAAgACAAIAAgAFgATABPAE8ASwBVAFAAKABMAG8AbwBrAHUAcABWAGEAbAB1AGUAMgAsACAATABvAG8AawB1AHAAQQByAHIAYQB5ADIALAAgAFIAZQB0AHUAcgBuAEEAcgByAGEAeQApAFwAbgAgACAAIAAgACAAIAAgACAAKQAsAFwAbgAgACAAIAAgACAAIAAgACAASQBGACgASQBTAE8ATQBJAFQAVABFAEQAKABWAGEAbAB1AGUASQBmAEYAYQBsAHMAZQApACwAIABcACIAXAAiACwAIABWAGEAbAB1AGUASQBmAEYAYQBsAHMAZQApAFwAbgAgACAAIAAgACkAXABuACkAOwBcAG4AXABuAFUAdABpAGwAaQB0AHkAXwBTAHAAbABpAHQAUwB0AHIAaQBuAGcASQBuAHQAbwBBAHIAcgBhAHkAXABuAD0ATABBAE0AQgBEAEEAKABcAG4AIAAgACAAIABDAGUAbABsACwAIABEAGUAbABpAG0AaQB0AGUAcgAsACAAWwBDAGgAYQByAGEAYwB0AGUAcgBUAG8AUgBlAG0AbwB2AGUAMQBdACwAIABbAEMAaABhAHIAYQBjAHQAZQByAFQAbwBSAGUAbQBvAHYAZQAyAF0ALABcAG4AIAAgACAAIAAgACAAIAAgAEYASQBMAFQARQBSAFgATQBMACgAXABuACAAIAAgACAAIAAgACAAIABcACIAPAB0AD4APABzAD4AXAAiACAAJgBcAG4AIAAgACAAIAAgACAAIAAgAFMAVQBCAFMAVABJAFQAVQBUAEUAKABcAG4AIAAgACAAIAAgACAAIAAgACAAIAAgACAAUwBVAEIAUwBUAEkAVABVAFQARQAoAFMAVQBCAFMAVABJAFQAVQBUAEUAKABDAGUAbABsACwAQwBoAGEAcgBhAGMAdABlAHIAVABvAFIAZQBtAG8AdgBlADEALABcACIAXAAiACkALABDAGgAYQByAGEAYwB0AGUAcgBUAG8AUgBlAG0AbwB2AGUAMgAsAFwAIgBcACIAKQAsAFwAbgAgACAAIAAgACAAIAAgACAAIAAgACAAIABEAGUAbABpAG0AaQB0AGUAcgAsAFwAIgA8AC8AcwA+ADwAcwA+AFwAIgBcAG4AIAAgACAAIAAgACAAIAAgACkAIAAmAFwAbgAgACAAIAAgACAAIAAgACAAXAAiADwALwBzAD4APAAvAHQAPgBcACIALABcAG4AIAAgACAAIAAgACAAIAAgAFwAIgAvAC8AcwBcACIAXABuACAAIAAgACAAKQBcAG4AKQA7AFwAbgBcAG4AVQB0AGkAbABpAHQAeQBfAEcAZQB0AEMAbABpAG0AYQB0AGUAWgBvAG4AZQBcAG4APQBMAEEATQBCAEQAQQAoAFwAbgAgACAAIAAgAGEAdgBnAFQAZQBtAHAALABhAHYAZwBSAGEAaQBuACwAZgByAG8AcwB0AEQAYQB5AHMALABlAGwAZQB2ACwAbQBhAHAAXwBwAGUAdAAsAFwAbgAgACAAIAAgAG0AaQBuAFQAZQBtAHAAQQByAHIAYQB5ACwAbQBhAHgAVABlAG0AcABBAHIAcgBhAHkALABcAG4AIAAgACAAIABtAGkAbgBSAGEAaQBuAGYAYQBsAGwAQQByAHIAYQB5ACwAbQBhAHgAUgBhAGkAbgBmAGEAbABsAEEAcgByAGEAeQAsAFwAbgAgACAAIAAgAG0AaQBuAEYAcgBvAHMAdABBAHIAcgBhAHkALABtAGEAeABGAHIAbwBzAHQAQQByAHIAYQB5ACwAXABuACAAIAAgACAAbQBpAG4ARQBsAGUAdgBhAHQAaQBvAG4AQQByAHIAYQB5ACwAbQBhAHgARQBsAGUAdgBhAHQAaQBvAG4AQQByAHIAYQB5ACwAXABuACAAIAAgACAAbQBpAG4AUABFAFQAQQByAHIAYQB5ACwAbQBhAHgAUABFAFQAQQByAHIAYQB5ACwAXABuACAAIAAgACAAYwBsAGkAbQBhAHQAZQBaAG8AbgBlAEEAcgByAGEAeQAsAFwAbgAgACAAIAAgAEwARQBUACgAXABuACAAIAAgACAAIAAgACAAIABtAGEAcwBrACwAXABuACAAIAAgACAAIAAgACAAIAAoAFYAQQBMAFUARQAoAG0AaQBuAFQAZQBtAHAAQQByAHIAYQB5ACkAPAA9AGEAdgBnAFQAZQBtAHAAKQAqAFwAbgAgACAAIAAgACAAIAAgACAAKABWAEEATABVAEUAKABtAGEAeABUAGUAbQBwAEEAcgByAGEAeQApAD4APQBhAHYAZwBUAGUAbQBwACkAKgBcAG4AIAAgACAAIAAgACAAIAAgACgAVgBBAEwAVQBFACgAbQBpAG4AUgBhAGkAbgBmAGEAbABsAEEAcgByAGEAeQApADwAPQBhAHYAZwBSAGEAaQBuACkAKgBcAG4AIAAgACAAIAAgACAAIAAgACgAVgBBAEwAVQBFACgAbQBhAHgAUgBhAGkAbgBmAGEAbABsAEEAcgByAGEAeQApAD4APQBhAHYAZwBSAGEAaQBuACkAKgBcAG4AIAAgACAAIAAgACAAIAAgACgAVgBBAEwAVQBFACgAbQBpAG4ARgByAG8AcwB0AEEAcgByAGEAeQApADwAPQBmAHIAbwBzAHQARABhAHkAcwApACoAXABuACAAIAAgACAAIAAgACAAIAAoAFYAQQBMAFUARQAoAG0AYQB4AEYAcgBvAHMAdABBAHIAcgBhAHkAKQA+AD0AZgByAG8AcwB0AEQAYQB5AHMAKQAqAFwAbgAgACAAIAAgACAAIAAgACAAKABWAEEATABVAEUAKABtAGkAbgBFAGwAZQB2AGEAdABpAG8AbgBBAHIAcgBhAHkAKQA8AD0AZQBsAGUAdgApACoAXABuACAAIAAgACAAIAAgACAAIAAoAFYAQQBMAFUARQAoAG0AYQB4AEUAbABlAHYAYQB0AGkAbwBuAEEAcgByAGEAeQApAD4APQBlAGwAZQB2ACkAKgBcAG4AIAAgACAAIAAgACAAIAAgACgAVgBBAEwAVQBFACgAbQBpAG4AUABFAFQAQQByAHIAYQB5ACkAPAA9AG0AYQBwAF8AcABlAHQAKQAqAFwAbgAgACAAIAAgACAAIAAgACAAKABWAEEATABVAEUAKABtAGEAeABQAEUAVABBAHIAcgBhAHkAKQA+AD0AbQBhAHAAXwBwAGUAdAApACwAXABuACAAIAAgACAAIAAgACAAIABUAEEASwBFACgAXABuACAAIAAgACAAIAAgACAAIAAgACAAIAAgAEYASQBMAFQARQBSACgAYwBsAGkAbQBhAHQAZQBaAG8AbgBlAEEAcgByAGEAeQAsAG0AYQBzAGsALAAgAFwAIgBOAG8AIABtAGEAdABjAGgAXAAiACkALABcAG4AIAAgACAAIAAgACAAIAAgACAAIAAgACAAMQBcAG4AIAAgACAAIAAgACAAIAAgACkAXABuACAAIAAgACAAKQBcAG4AKQA7AFwAbgBcAG4AVQB0AGkAbABpAHQAeQBfAEwAbwBvAGsAdQBwAEkAdABlAG0ARgByAG8AbQBNAGkAbgBNAGEAeABcAG4APQBMAEEATQBCAEQAQQAoAFwAbgAgACAAIAAgAEwAbwBvAGsAdQBwAFYAYQBsAHUAZQAsACAATQBpAG4AQQByAHIAYQB5ACwAIABNAGEAeABBAHIAcgBhAHkALAAgAEkAdABlAG0AQQByAHIAYQB5ACwAXABuACAAIAAgACAATABFAFQAKABcAG4AIAAgACAAIAAgACAAIAAgAG0AYQBzAGsALABcAG4AIAAgACAAIAAgACAAIAAgACgAVgBBAEwAVQBFACgATQBpAG4AQQByAHIAYQB5ACkAPAA9AEwAbwBvAGsAdQBwAFYAYQBsAHUAZQApACoAXABuACAAIAAgACAAIAAgACAAIAAoAFYAQQBMAFUARQAoAE0AYQB4AEEAcgByAGEAeQApAD4APQBMAG8AbwBrAHUAcABWAGEAbAB1AGUAKQAsAFwAbgAgACAAIAAgACAAIAAgACAARgBJAEwAVABFAFIAKABJAHQAZQBtAEEAcgByAGEAeQAsACAAbQBhAHMAawAsACAAXAAiAE4AbwAgAG0AYQB0AGMAaABcACIAKQBcAG4AIAAgACAAIAApAFwAbgApADsAXABuAFwAbgBcAG4AVQB0AGkAbABpAHQAeQBfAFMAdQBtAFEAdQBhAG4AdABpAHQAeQBGAHIAbwBtAEMAcgBpAHQAZQByAGkAYQBcAG4APQBMAEEATQBCAEQAQQAoAFwAbgAgACAAQwByAGkAdABlAHIAaQBhADEALAAgAEMAcgBpAHQAZQByAGkAYQAxAFQAeQBwAGUAQQByAHIAYQB5ACwAIABRAHUAYQBuAHQAaQB0AHkALAAgAFsATQB1AGwAdABpAHAAbABpAGUAcgBdACwAIABbAEMAcgBpAHQAZQByAGkAYQAyAF0ALABbAEMAcgBpAHQAZQByAGkAYQAyAEEAcgByAGEAeQBdACwAXABuACAAIABMAEUAVAAoAFwAbgAgACAAIAAgAG0AdQBsAHQAaQBwAGwAaQBlAHIALAAgAEkARgAoAEkAUwBPAE0ASQBUAFQARQBEACgATQB1AGwAdABpAHAAbABpAGUAcgApACwAMQAsAE0AdQBsAHQAaQBwAGwAaQBlAHIAKQAsAFwAbgAgACAAIAAgAHEAdQBhAG4AdABpAHQAeQAsACAAUQB1AGEAbgB0AGkAdAB5ACoATQB1AGwAdABpAHAAbABpAGUAcgAsAFwAbgAgACAAIAAgAGMAcgBpAHQAZQByAGkAYQAxACwALQAtACgAQwByAGkAdABlAHIAaQBhADEAVAB5AHAAZQBBAHIAcgBhAHkAPQBDAHIAaQB0AGUAcgBpAGEAMQApACwAXABuACAAIAAgACAAYwByAGkAdABlAHIAaQBhADIALABJAEYAKABJAFMATwBNAEkAVABUAEUARAAoAEMAcgBpAHQAZQByAGkAYQAyACkALAAxACwALQAtACgAQwByAGkAdABlAHIAaQBhADIAQQByAHIAYQB5AD0AQwByAGkAdABlAHIAaQBhADIAKQApACwAXABuACAAIAAgACAAUwBVAE0AUABSAE8ARABVAEMAVAAoAGMAcgBpAHQAZQByAGkAYQAxACoAYwByAGkAdABlAHIAaQBhADIAKgBxAHUAYQBuAHQAaQB0AHkAKQBcAG4AIAAgACkAXABuACkAOwBcAG4AXABuAGcAZQB0AE8AdgBlAHIAbABhAHAAcABpAG4AZwBSAGUAcABvAHIAdABpAG4AZwBDAHkAYwBsAGUAcwBcAG4APQBMAEEATQBCAEQAQQAoAFwAbgAgACAAIAAgAFAAcgBvAGQAdQBjAHQAaQBvAG4AQwB5AGMAbABlAFMAdABhAHIAdAAsAFAAcgBvAGQAdQBjAHQAaQBvAG4AQwB5AGMAbABlAEUAbgBkACwAUgBlAHAAbwByAHQAaQBuAGcAQwB5AGMAbABlAFMAdABhAHIAdAAsAFwAbgAgACAAIAAgAEwARQBUACgAXABuACAAIAAgACAAIAAgACAAIABTACwAUAByAG8AZAB1AGMAdABpAG8AbgBDAHkAYwBsAGUAUwB0AGEAcgB0ACwAXABuACAAIAAgACAAIAAgACAAIABFACwAUAByAG8AZAB1AGMAdABpAG8AbgBDAHkAYwBsAGUARQBuAGQALABcAG4AIAAgACAAIAAgACAAIAAgAG0ALABNAE8ATgBUAEgAKABSAGUAcABvAHIAdABpAG4AZwBDAHkAYwBsAGUAUwB0AGEAcgB0ACkALABcAG4AIAAgACAAIAAgACAAIAAgAGQALABEAEEAWQAoAFIAZQBwAG8AcgB0AGkAbgBnAEMAeQBjAGwAZQBTAHQAYQByAHQAKQAsAFwAbgAgACAAIAAgACAAIAAgACAAUABlAHIAaQBvAGQARQBuAGQALABMAEEATQBCAEQAQQAoAHMAdAAsAEUARABBAFQARQAoAHMAdAAsADEAMgApAC0AMQApACwAXABuACAAIAAgACAAIAAgACAAIABBACwAUwAtADMANgA1ACwAXABuACAAIAAgACAAIAAgACAAIAB5AGEALABZAEUAQQBSACgAQQApACwAXABuACAAIAAgACAAIAAgACAAIAB5AGIALABZAEUAQQBSACgARQApACwAXABuACAAIAAgACAAIAAgACAAIABmAGkAcgBzAHQAWQBlAGEAcgAsAHkAYQArACgAUABlAHIAaQBvAGQARQBuAGQAKABEAEEAVABFACgAeQBhACwAbQAsAGQAKQApADwAIABTACkALABcAG4AIAAgACAAIAAgACAAIAAgAGwAYQBzAHQAWQBlAGEAcgAsAHkAYgAtACgARABBAFQARQAoAHkAYgAsAG0ALABkACkAPgAgAEUAKQAsAFwAbgAgACAAIAAgACAAIAAgACAATQBBAFgAKAAwACwAbABhAHMAdABZAGUAYQByAC0AZgBpAHIAcwB0AFkAZQBhAHIAKwAxACkAXABuACAAIAAgACAAKQBcAG4AKQA7AFwAbgBcAG4AZwBlAHQATwB2AGUAcgBsAGEAcABwAGkAbgBnAFIAZQBwAG8AcgB0AGkAbgBnAFAAZQByAGkAbwBkAHMAXABuAD0ATABBAE0AQgBEAEEAKABcAG4AIAAgACAAIABQAHIAbwBkAHUAYwB0AGkAbwBuAEMAeQBjAGwAZQBTAHQAYQByAHQALABQAHIAbwBkAHUAYwB0AGkAbwBuAEMAeQBjAGwAZQBFAG4AZAAsAFIAZQBwAG8AcgB0AGkAbgBnAEMAeQBjAGwAZQBTAHQAYQByAHQALABcAG4AIAAgACAAIABMAEUAVAAoAFwAbgAgACAAIAAgACAAIAAgACAAUwAsAFAAcgBvAGQAdQBjAHQAaQBvAG4AQwB5AGMAbABlAFMAdABhAHIAdAAsAFwAbgAgACAAIAAgACAAIAAgACAARQAsAFAAcgBvAGQAdQBjAHQAaQBvAG4AQwB5AGMAbABlAEUAbgBkACwAXABuACAAIAAgACAAIAAgACAAIABtACwATQBPAE4AVABIACgAUgBlAHAAbwByAHQAaQBuAGcAQwB5AGMAbABlAFMAdABhAHIAdAApACwAXABuACAAIAAgACAAIAAgACAAIABkACwARABBAFkAKABSAGUAcABvAHIAdABpAG4AZwBDAHkAYwBsAGUAUwB0AGEAcgB0ACkALAAgAC8AKgBoAGUAbABwAGUAcgA6ACAAZQBuAGQAIABkAGEAdABlACAAZgBvAHIAIABhACAAcgBlAHAAbwByAHQAaQBuAGcAIABwAGUAcgBpAG8AZAAgAHMAdABhAHIAdABpAG4AZwAgAGEAdAAgAGEAIABnAGkAdgBlAG4AIABkAGEAdABlACoALwBcAG4AIAAgACAAIAAgACAAIAAgAFAAZQByAGkAbwBkAEUAbgBkACwATABBAE0AQgBEAEEAKABzAHQALABFAEQAQQBUAEUAKABzAHQALAAxADIAKQAtADEAKQAsACAALwAqAG8AbgBsAHkAIABuAGUAZQBkACAAdABvACAAbABvAG8AawAgAGIAYQBjAGsAIAAzADYANQAgAGQAYQB5AHMAKABtAGEAeAAgAG8AdgBlAHIAbABhAHAAIAB3AGkAbgBkAG8AdwApACoALwBcAG4AIAAgACAAIAAgACAAIAAgAEEALABTAC0AMwA2ADUALABcAG4AIAAgACAAIAAgACAAIAAgAHkAYQAsAFkARQBBAFIAKABBACkALABcAG4AIAAgACAAIAAgACAAIAAgAHkAYgAsAFkARQBBAFIAKABFACkALAAgAC8AKgBpAGYAIAB0AGgAZQAgAGEAbgBjAGgAbwByACAAZgBvAHIAIAB5AGEAIABlAG4AZABzACAAYgBlAGYAbwByAGUAIABTACwAaQB0ACAAYwBhAG4AJwB0ACAAbwB2AGUAcgBsAGEAcAA7ACAAbQBvAHYAZQAgAHQAbwAgAG4AZQB4AHQAIAB5AGUAYQByACoALwBcAG4AIAAgACAAIAAgACAAIAAgAGYAaQByAHMAdABZAGUAYQByACwAeQBhACsAKABQAGUAcgBpAG8AZABFAG4AZAAoAEQAQQBUAEUAKAB5AGEALABtACwAZAApACkAPABTACkALAAgAC8AKgBpAGYAIAB0AGgAZQAgAGEAbgBjAGgAbwByACAAZgBvAHIAIAB5AGIAIABzAHQAYQByAHQAcwAgAGEAZgB0AGUAcgAgAEUALABpAHQAIABjAGEAbgAnAHQAIABvAHYAZQByAGwAYQBwADsAIABtAG8AdgBlACAAdABvACAAcAByAGUAdgBpAG8AdQBzACAAeQBlAGEAcgAqAC8AXABuACAAIAAgACAAIAAgACAAIABsAGEAcwB0AFkAZQBhAHIALAB5AGIALQAoAEQAQQBUAEUAKAB5AGIALABtACwAZAApAD4ARQApACwAXABuACAAIAAgACAAIAAgACAAIABuACwATQBBAFgAKAAwACwAbABhAHMAdABZAGUAYQByAC0AZgBpAHIAcwB0AFkAZQBhAHIAKwAxACkALABcAG4AIAAgACAAIAAgACAAIAAgAHkAcgBzACwAUwBFAFEAVQBFAE4AQwBFACgAbgAsADEALABmAGkAcgBzAHQAWQBlAGEAcgAsADEAKQAsAFwAbgAgACAAIAAgACAAIAAgACAAcwB0AGEAcgB0AHMALABEAEEAVABFACgAeQByAHMALABtACwAZAApACwAXABuACAAIAAgACAAIAAgACAAIABlAG4AZABzACwATQBBAFAAKABzAHQAYQByAHQAcwAsAFAAZQByAGkAbwBkAEUAbgBkACkALABcAG4AIAAgACAAIAAgACAAIAAgAHQAYQBnACwASQBGACgAcwB0AGEAcgB0AHMAPQBSAGUAcABvAHIAdABpAG4AZwBDAHkAYwBsAGUAUwB0AGEAcgB0ACwAXAAiACAAKABUAGgAaQBzACAAcgBlAHAAbwByAHQAaQBuAGcAIABjAHkAYwBsAGUAKQBcACIALABcACIAXAAiACkALABcAG4AIAAgACAAIAAgACAAIAAgAHMAdABhAHIAdABzAFQAZQB4AHQALABUAEUAWABUACgAcwB0AGEAcgB0AHMALABcACIAZABkACAAbQBtAG0AIAB5AHkAeQB5AFwAIgApACwAXABuACAAIAAgACAAIAAgACAAIABlAG4AZABzAFQAZQB4AHQALABUAEUAWABUACgAZQBuAGQAcwAsAFwAIgBkAGQAIABtAG0AbQAgAHkAeQB5AHkAXAAiACkALABcAG4AIAAgACAAIAAgACAAIAAgAEkARgAoAG4APQAwACwAXAAiAFwAIgAsAEgAUwBUAEEAQwBLACgAcwB0AGEAcgB0AHMAVABlAHgAdAAgACYAIABcACIAIAB0AG8AIABcACIAIAAmACAAZQBuAGQAcwBUAGUAeAB0ACAAJgAgAHQAYQBnACkAKQBcAG4AIAAgACAAIAApAFwAbgApADsAXABuAFwAbgBVAHQAaQBsAGkAdAB5AF8ARABpAHMAcABsAGEAeQBGAHUAbgBjAHQAaQBvAG4ATgBhAG0AZQBcAG4APQBMAEEATQBCAEQAQQAoAEYAdQBuAGMAdABpAG8AbgAsACAAVABFAFgAVABCAEUARgBPAFIARQAoAEYATwBSAE0AVQBMAEEAVABFAFgAVAAoAEYAdQBuAGMAdABpAG8AbgApACwAIABcACIAKABcACIAKQApADsAXABuAFwAbgBVAHQAaQBsAGkAdAB5AF8ATABvAG8AawB1AHAATgAyAE8ARQBGAEYAcgBvAG0AUAByAG8AZABJAHIAcgBpAGcAYQB0AGkAbwBuAFIAYQBpAG4AZgBhAGwAbABcAG4APQBMAEEATQBCAEQAQQAoAFwAbgAgACAAIAAgAFAAcgBvAGQAdQBjAHQAaQBvAG4AUwB5AHMAdABlAG0ALAAgAEkAcgByAGkAZwBhAHQAaQBvAG4ATQBlAHQAaABvAGQALAAgAFIAYQBpAG4AZgBhAGwAbABaAG8AbgBlACwAXABuACAAIAAgACAAUAByAG8AZAB1AGMAdABpAG8AbgBTAHkAcwB0AGUAbQBBAHIAcgBhAHkALAAgAEkAcgByAGkAZwBhAHQAaQBvAG4ATQBlAHQAaABvAGQAQQByAHIAYQB5ACwAIABSAGEAaQBuAGYAYQBsAGwAWgBvAG4AZQBBAHIAcgBhAHkALABSAGUAdAB1AHIAbgBBAHIAcgBhAHkALABcAG4AIAAgACAAIABMAEUAVAAoAFwAbgAgACAAIAAgACAAIAAgACAASQByAHIAaQBnAGEAdABpAG8AbgBNAGUAdABoAG8AZAAsACAASQBGACgASQByAHIAaQBnAGEAdABpAG8AbgBNAGUAdABoAG8AZAA9AFwAIgBOAG8AdAAgAGkAcgByAGkAZwBhAHQAZQBkAFwAIgAsACAAXAAiAE4AbwB0ACAAaQByAHIAaQBnAGEAdABlAGQAXAAiACwAIABcACIAQQBuAHkAXAAiACkALABcAG4AIAAgACAAIAAgACAAIAAgAFIAYQBpAG4AZgBhAGwAbABaAG8AbgBlACwAIABJAEYAKABJAHIAcgBpAGcAYQB0AGkAbwBuAE0AZQB0AGgAbwBkACAAPQAgAFwAIgBOAG8AdAAgAGkAcgByAGkAZwBhAHQAZQBkAFwAIgAsACAAUgBhAGkAbgBmAGEAbABsAFoAbwBuAGUALAAgAFwAIgBBAG4AeQBcACIAKQAsAFwAbgAgACAAIAAgACAAIAAgACAAWABMAE8ATwBLAFUAUAAoADEALAAgAFwAbgAgACAAIAAgACAAIAAgACAAIAAgACAAIAAoAFAAcgBvAGQAdQBjAHQAaQBvAG4AUwB5AHMAdABlAG0AQQByAHIAYQB5AD0AUAByAG8AZAB1AGMAdABpAG8AbgBTAHkAcwB0AGUAbQApACoAXABuACAAIAAgACAAIAAgACAAIAAgACAAIAAgACgASQByAHIAaQBnAGEAdABpAG8AbgBNAGUAdABoAG8AZABBAHIAcgBhAHkAPQBJAHIAcgBpAGcAYQB0AGkAbwBuAE0AZQB0AGgAbwBkACkAKgBcAG4AIAAgACAAIAAgACAAIAAgACAAIAAgACAAKABSAGEAaQBuAGYAYQBsAGwAWgBvAG4AZQBBAHIAcgBhAHkAPQBSAGEAaQBuAGYAYQBsAGwAWgBvAG4AZQApACwAIABcAG4AIAAgACAAIAAgACAAIAAgACAAIAAgACAAUgBlAHQAdQByAG4AQQByAHIAYQB5ACkAXABuACAAIAAgACAAKQBcAG4AKQA7AFwAbgBcAG4AQwBvAG0AbQBvAG4AQwByAG8AcABwAGkAbgBnAF8ARwBlAHQARgByAGEAYwBXAEUAVABcAG4APQBMAEEATQBCAEQAQQAoAFwAbgAgACAAIAAgAEwAZQBhAGMAaABpAG4AZwBaAG8AbgBlACwAXABuACAAIAAgACAAUAByAG8AZAB1AGMAdABpAG8AbgBTAHkAcwB0AGUAbQAsAFwAbgAgACAAIAAgAEwAZQBhAGMAaABpAG4AZwBaAG8AbgBlAEwAbwBvAGsAdQBwACwAXABuACAAIAAgACAATABlAGEAYwBoAGkAbgBnAFoAbwBuAGUARgByAGEAYwBXAEUAVABMAG8AbwBrAHUAcAAsAFwAbgAgACAAIAAgAFAAcgBvAGQAdQBjAHQAaQBvAG4AUwB5AHMAdABlAG0ATABvAG8AawB1AHAALABcAG4AIAAgACAAIABQAHIAbwBkAHUAYwB0AGkAbwBuAFMAeQBzAHQAZQBtAEYAcgBhAGMAVwBFAFQATABvAG8AawB1AHAALABcAG4AIAAgACAAIABMAEUAVAAoAFwAbgAgACAAIAAgACAAIAAgACAATABlAGEAYwBoAGkAbgBnAFoAbwBuAGUARgByAGEAYwBXAEUAVAAsACAAXABuACAAIAAgACAAIAAgACAAIABDAG8AbQBtAG8AbgBfAEkAbgBwAHUAdABGAHUAbgBjAHQAaQBvAG4AcwAuAFUAdABpAGwAaQB0AHkAXwBMAG8AbwBrAHUAcABWAGEAbAB1AGUASQBuAFQAYQBiAGwAZQBOAHUAbQBiAGUAcgAoAFwAbgAgACAAIAAgACAAIAAgACAAIAAgACAAIABMAGUAYQBjAGgAaQBuAGcAWgBvAG4AZQAsAEwAZQBhAGMAaABpAG4AZwBaAG8AbgBlAEwAbwBvAGsAdQBwACwATABlAGEAYwBoAGkAbgBnAFoAbwBuAGUARgByAGEAYwBXAEUAVABMAG8AbwBrAHUAcABcAG4AIAAgACAAIAAgACAAIAAgACkALABcAG4AIAAgACAAIAAgACAAIAAgAFAAcgBvAGQAdQBjAHQAaQBvAG4AUwB5AHMAdABlAG0ARgByAGEAYwBXAEUAVAAsACAAXABuACAAIAAgACAAIAAgACAAIABDAG8AbQBtAG8AbgBfAEkAbgBwAHUAdABGAHUAbgBjAHQAaQBvAG4AcwAuAFUAdABpAGwAaQB0AHkAXwBMAG8AbwBrAHUAcABWAGEAbAB1AGUASQBuAFQAYQBiAGwAZQBOAHUAbQBiAGUAcgAoAFwAbgAgACAAIAAgACAAIAAgACAAIAAgACAAIABQAHIAbwBkAHUAYwB0AGkAbwBuAFMAeQBzAHQAZQBtACwAUAByAG8AZAB1AGMAdABpAG8AbgBTAHkAcwB0AGUAbQBMAG8AbwBrAHUAcAAsAFAAcgBvAGQAdQBjAHQAaQBvAG4AUwB5AHMAdABlAG0ARgByAGEAYwBXAEUAVABMAG8AbwBrAHUAcABcAG4AIAAgACAAIAAgACAAIAAgACkALABcAG4AIAAgACAAIAAgACAAIAAgAEkARgAoAEwAZQBhAGMAaABpAG4AZwBaAG8AbgBlAEYAcgBhAGMAVwBFAFQAIAArACAAUAByAG8AZAB1AGMAdABpAG8AbgBTAHkAcwB0AGUAbQBGAHIAYQBjAFcARQBUAD4AMAAsACAAMQAsACAAMAApAFwAbgAgACAAIAAgACkAKQA7AFwAbgBcAG4AXABuAFUAdABpAGwAaQB0AHkAXwBDAG8AbgB2AGUAcgB0AFMAdABhAHQAZQBDAG8AbQBtAG8AbgBOAGEAbQBlAFQAbwBBAGIAYgByAGUAdgBpAGEAdABpAG8AbgBcAG4APQBMAEEATQBCAEQAQQAoAFwAbgAgACAAIAAgAFMAdABhAHQAZQBDAG8AbQBtAG8AbgBOAGEAbQBlACwAXABuACAAIAAgACAAUwB0AGEAdABlAEMAbwBtAG0AbwBuAE4AYQBtAGUAQQByAHIAYQB5ACwAIABTAHQAYQB0AGUAQQBiAGIAcgBlAHYAaQBhAHQAaQBvAG4AQQByAHIAYQB5ACwAXABuACAAIAAgACAAWABMAE8ATwBLAFUAUAAoAFMAdABhAHQAZQBDAG8AbQBtAG8AbgBOAGEAbQBlACwAIABTAHQAYQB0AGUAQwBvAG0AbQBvAG4ATgBhAG0AZQBBAHIAcgBhAHkALAAgAFMAdABhAHQAZQBBAGIAYgByAGUAdgBpAGEAdABpAG8AbgBBAHIAcgBhAHkALAAgAFwAIgBcACIAKQBcAG4AKQA7AFwAbgBcAG4AVQB0AGkAbABpAHQAeQBfAFMAbwB1AHIAYwBlAEgAeQBwAGUAcgBsAGkAbgBrAFwAbgA9AEwAQQBNAEIARABBACgAVABhAHIAZwBlAHQAQwBlAGwAbAAsAFwAbgAgACAATABFAFQAKABcAG4AIAAgACAAIABzAGgALAAgAFQARQBYAFQAQQBGAFQARQBSACgAQwBFAEwATAAoAFwAIgBmAGkAbABlAG4AYQBtAGUAXAAiACwAIABUAGEAcgBnAGUAdABDAGUAbABsACkALAAgAFwAIgBdAFwAIgApACwAXABuACAAIAAgACAAYQBkAGQAcgAsACAAQwBFAEwATAAoAFwAIgBhAGQAZAByAGUAcwBzAFwAIgAsACAAVABhAHIAZwBlAHQAQwBlAGwAbAApACwAXABuACAAIAAgACAAXAAiACMAJwBcACIAIAAmACAAcwBoACAAJgAgAFwAIgAnACEAXAAiACAAJgAgAGEAZABkAHIAXABuACAAIAApAFwAbgApADsAXABuAFwAbgBVAHQAaQBsAGkAdAB5AF8ARABpAHMAcABsAGEAeQBBAHIAZwB1AG0AZQBuAHQAcwBfADEAXwAyAFwAbgA9AEwAQQBNAEIARABBACgAXABuACAAIAAgACAAQQByAGcAdQBtAGUAbgB0AHMAQQByAHIAYQB5ACwAXABuACAAIAAgACAAQwBIAE8ATwBTAEUAQwBPAEwAUwAoAEEAcgBnAHUAbQBlAG4AdABzAEEAcgByAGEAeQAsACAAMQAsACAAMgApAFwAbgApADsAXABuAFwAbgBVAHQAaQBsAGkAdAB5AF8ARABpAHMAcABsAGEAeQBBAHIAZwB1AG0AZQBuAHQAcwBfADMAXwA0AFwAbgA9AEwAQQBNAEIARABBACgAXABuACAAIAAgACAAQQByAGcAdQBtAGUAbgB0AHMAQQByAHIAYQB5ACwAXABuACAAIAAgACAAQwBIAE8ATwBTAEUAQwBPAEwAUwAoAEEAcgBnAHUAbQBlAG4AdABzAEEAcgByAGEAeQAsACAAMwAsACAANAApAFwAbgApADsAXABuAFwAbgBDAG8AbQBtAG8AbgBfAEcAZQB0AE0AQwBGAFQAZQBtAHAAZQByAGEAdAB1AHIAZQBaAG8AbgBlAFwAbgA9AEwAQQBNAEIARABBACgAXABuACAAIAAgACAAVABlAG0AcABlAHIAYQB0AHUAcgBlACwAIABNAE0AUwAsACAAVABlAG0AcABlAHIAYQB0AHUAcgBlAEEAcgByAGEAeQAsACAATQBNAFMAQQByAHIAYQB5ACwAIABSAGUAdAB1AHIAbgBBAHIAcgBhAHkALABcAG4AIAAgACAAIABYAEwATwBPAEsAVQBQACgAXABuACAAIAAgACAAIAAgACAAIABNAEUARABJAEEATgAoAFwAbgAgACAAIAAgACAAIAAgACAAIAAgACAAIABUAGUAbQBwAGUAcgBhAHQAdQByAGUALAAgAFwAbgAgACAAIAAgACAAIAAgACAAIAAgACAAIABNAEkATgAoAFQAZQBtAHAAZQByAGEAdAB1AHIAZQBBAHIAcgBhAHkAKQAsACAAXABuACAAIAAgACAAIAAgACAAIAAgACAAIAAgAE0AQQBYACgAVABlAG0AcABlAHIAYQB0AHUAcgBlAEEAcgByAGEAeQApAFwAbgAgACAAIAAgACAAIAAgACAAKQAsAFwAbgAgACAAIAAgACAAIAAgACAAVABlAG0AcABlAHIAYQB0AHUAcgBlAEEAcgByAGEAeQAsAFwAbgAgACAAIAAgACAAIAAgACAAWABMAE8ATwBLAFUAUAAoAE0ATQBTACwAIABNAE0AUwBBAHIAcgBhAHkALAAgAFIAZQB0AHUAcgBuAEEAcgByAGEAeQApAFwAbgAgACAAIAAgACkAXABuACkAXABuACIAfQAsAHsAIgBwAGEAdABoACIAOgAiAC8AcAByAG8AagBlAGMAdABzAC8AQwBvAG0AbQBvAG4AXwBTAG8AdQByAGMAZQBEAGEAdABhACIALAAiAHQAZQB4AHQAIgA6ACIALwAqAFwAbgA9AD0APQA9AD0APQA9AD0APQA9AD0APQA9AD0APQA9AD0APQA9AD0APQA9AD0APQA9AD0APQA9AD0APQA9AD0APQA9AD0APQA9AD0APQA9AD0APQA9AD0APQA9AD0APQA9AD0APQA9AD0APQA9AD0APQA9AD0APQA9AD0APQA9AD0APQA9AD0APQA9AD0APQA9AD0APQA9AFwAbgA9AD0APQA9AD0APQA9AD0APQA9AD0APQA9AD0APQA9AD0APQA9AD0APQA9AD0APQA9AD0APQA9AD0APQA9AD0APQA9AD0APQA9AD0APQA9AD0APQA9AD0APQA9AD0APQA9AD0APQA9AD0APQA9AD0APQA9AD0APQA9AD0APQA9AD0APQA9AD0APQA9AD0APQA9AD0APQA9AFwAbgBTAG8AdQByAGMAZQAgAGQAYQB0AGEAIAB0AGgAYQB0ACAAaQBzACAAYwBvAG0AbQBvAG4AIABhAGMAcgBvAHMAcwAgAGEAbABsACAAZQBuAHQAZQByAHAAcgBpAHMAZQAgAHQAeQBwAGUAcwBcAG4ARQB4AGMAZQBsACAAbQBvAGQAdQBsAGUAIABuAGEAbQBlADoAIABDAG8AbQBtAG8AbgBfAFMAbwB1AHIAYwBlAEQAYQB0AGE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CoALwBcAG4AXABuAC8AKgBcAG4APQA9AD0APQA9AD0APQA9AD0APQA9AD0APQA9AD0APQA9AD0APQA9AD0APQA9AD0APQA9AD0APQA9AD0APQA9AD0APQA9AD0APQA9AFwAbgA9AD0APQA9AD0APQA9AD0APQA9AD0APQA9AD0APQA9AD0APQA9AD0APQA9AD0APQA9AD0APQA9AD0APQA9AD0APQA9AD0APQA9AD0AXABuAFMAbwB1AHIAYwBlADoAIABOAGEAdABpAG8AbgBhAGwAIABJAG4AdgBlAG4AdABvAHIAeQAgAFIAZQBwAG8AcgB0ACAAMgAwADIAMwAgAFYAbwBsAHUAbQBlACAAMQBcAG4ATgBJAFIAXwAyADAAMgAzAF8AVgBvAGwAMQBcAG4APQA9AD0APQA9AD0APQA9AD0APQA9AD0APQA9AD0APQA9AD0APQA9AD0APQA9AD0APQA9AD0APQA9AD0APQA9AD0APQA9AD0APQA9AFwAbgA9AD0APQA9AD0APQA9AD0APQA9AD0APQA9AD0APQA9AD0APQA9AD0APQA9AD0APQA9AD0APQA9AD0APQA9AD0APQA9AD0APQA9AD0AXABuACoALwBcAG4AXABuAC8AKgAgAFwAbgAtAC0ALQAtAC0ALQAtAC0ALQAtAC0ALQAtAC0ALQAtAC0ALQAtAC0ALQAtAC0ALQAtAC0ALQAtAC0ALQAtAC0ALQAtAC0ALQAtAC0AXABuAEMAbwBtAG0AbwBuAF8AUwBvAHUAcgBjAGUARABhAHQAYQBfAEQAZQBuAHMAaQB0AHkATwBmAE0AZQB0AGgAYQBuAGUAXABuAHAAIAA9ACAAZABlAG4AcwBpAHQAeQAgAG8AZgAgAG0AZQB0AGgAYQBuAGUAIAAoADAALgA2ADcAOAA0ACAAawBnAC8AbQAzACkAXABuAFQAYQBrAGUAbgAgAGYAcgBvAG0AIAB0AGgAZQAgAE4AYQB0AGkAbwBuAGEAbAAgAEcAcgBlAGUAbgBoAG8AdQBzAGUAIABhAG4AZAAgAEUAbgBlAHIAZwB5ACAAUgBlAHAAbwByAHQAaQBuAGcAIABcAG4AKABNAGUAYQBzAHUAcgBlAG0AZQBuAHQAKQAgAEQAZQB0AGUAcgBtAGkAbgBhAHQAaQBvAG4AIAAyADAAMAA4AFwAbgAtAC0ALQAtAC0ALQAtAC0ALQAtAC0ALQAtAC0ALQAtAC0ALQAtAC0ALQAtAC0ALQAtAC0ALQAtAC0ALQAtAC0ALQAtAC0ALQAtAC0AXABuACoALwBcAG4AXABuAEMAbwBtAG0AbwBuAF8AUwBvAHUAcgBjAGUARABhAHQAYQBfAEQAZQBuAHMAaQB0AHkATwBmAE0AZQB0AGgAYQBuAGUAXwBUAGkAdABsAGUAXABuACAAIAA9AEwAQQBNAEIARABBACgAXAAiAHAAIAA9ACAAZABlAG4AcwBpAHQAeQAgAG8AZgAgAG0AZQB0AGgAYQBuAGUAXAAiACkAOwBcAG4AXABuAEMAbwBtAG0AbwBuAF8AUwBvAHUAcgBjAGUARABhAHQAYQBfAEQAZQBuAHMAaQB0AHkATwBmAE0AZQB0AGgAYQBuAGUAXwBVAG4AaQB0AFwAbgAgACAAPQBMAEEATQBCAEQAQQAoAFwAIgBrAGcALwBtADMAXAAiACkAOwBcAG4AXABuAEMAbwBtAG0AbwBuAF8AUwBvAHUAcgBjAGUARABhAHQAYQBfAEQAZQBuAHMAaQB0AHkATwBmAE0AZQB0AGgAYQBuAGUAXwBTAG8AdQByAGMAZQBcAG4AIAAgAD0ATABBAE0AQgBEAEEAKABcACIATgBhAHQAaQBvAG4AYQBsACAASQBuAHYAZQBuAHQAbwByAHkAIABSAGUAcABvAHIAdAAgADIAMAAyADMAIABWAG8AbAB1AG0AZQAgADEAOgAgAEUAcQB1AGEAdABpAG8AbgBzACAAMwAuAEIALgAxAGEAXwAyACwAIAAzAC4AQgAuADEAYwBfADIALAAgADMALgBCAC4AMwBfADEALAAgADMALgBCAC4ANABnAF8AMgBcACIAKQA7AFwAbgBcAG4AQwBvAG0AbQBvAG4AXwBTAG8AdQByAGMAZQBEAGEAdABhAF8ARABlAG4AcwBpAHQAeQBPAGYATQBlAHQAaABhAG4AZQBfAEQAYQB0AGEAXABuACAAIAA9AEwAQQBNAEIARABBACgAMAAuADYANwA4ADQAKQA7AFwAbgBcAG4ALwAqACAAXABuAC0ALQAtAC0ALQAtAC0ALQAtAC0ALQAtAC0ALQAtAC0ALQAtAC0ALQAtAC0ALQAtAC0ALQAtAC0ALQAtAC0ALQAtAC0ALQAtAC0ALQBcAG4AQwBvAG0AbQBvAG4AXwBTAG8AdQByAGMAZQBEAGEAdABhAF8AQwBvAG4AdgBlAHIAdABOADIAbwBFAGwAZQBtAGUAbgB0AGEAbABUAG8ATQBvAGwAZQBjAHUAbABhAHIAQwBnAFwAbgBDAGcAIAA9ACAANAA0AC8AMgA4ACAAZgBhAGMAdABvAHIAIAB0AG8AIABjAG8AbgB2AGUAcgB0ACAAZQBsAGUAbQBlAG4AdABhAGwAIABtAGEAcwBzACAAbwBmACAATgAyAE8AIAB0AG8AIABtAG8AbABlAGMAdQBsAGEAcgAgAG0AYQBzAHMAXABuAC0ALQAtAC0ALQAtAC0ALQAtAC0ALQAtAC0ALQAtAC0ALQAtAC0ALQAtAC0ALQAtAC0ALQAtAC0ALQAtAC0ALQAtAC0ALQAtAC0ALQBcAG4AKgAvAFwAbgBcAG4AQwBvAG0AbQBvAG4AXwBTAG8AdQByAGMAZQBEAGEAdABhAF8AQwBvAG4AdgBlAHIAdABOADIAbwBFAGwAZQBtAGUAbgB0AGEAbABUAG8ATQBvAGwAZQBjAHUAbABhAHIAQwBnAF8AVABpAHQAbABlAFwAbgAgACAAPQBMAEEATQBCAEQAQQAoAFwAIgBGAGEAYwB0AG8AcgAgAHQAbwAgAGMAbwBuAHYAZQByAHQAIABlAGwAZQBtAGUAbgB0AGEAbAAgAG0AYQBzAHMAIABvAGYAIABOADIATwAgAHQAbwAgAG0AbwBsAGUAYwB1AGwAYQByACAAbQBhAHMAcwBcACIAKQA7AFwAbgBcAG4AQwBvAG0AbQBvAG4AXwBTAG8AdQByAGMAZQBEAGEAdABhAF8AQwBvAG4AdgBlAHIAdABOADIAbwBFAGwAZQBtAGUAbgB0AGEAbABUAG8ATQBvAGwAZQBjAHUAbABhAHIAQwBnAF8AVgBhAHIAaQBhAGIAbABlAFwAbgAgACAAPQBMAEEATQBCAEQAQQAoAFwAIgBDAGcATgAyAE8AXAAiACkAOwBcAG4AXABuAEMAbwBtAG0AbwBuAF8AUwBvAHUAcgBjAGUARABhAHQAYQBfAEMAbwBuAHYAZQByAHQATgAyAG8ARQBsAGUAbQBlAG4AdABhAGwAVABvAE0AbwBsAGUAYwB1AGwAYQByAEMAZwBfAFUAbgBpAHQAXABuACAAIAA9AEwAQQBNAEIARABBACgAXAAiAGYAYQBjAHQAbwByAFwAIgApADsAXABuAFwAbgBDAG8AbQBtAG8AbgBfAFMAbwB1AHIAYwBlAEQAYQB0AGEAXwBDAG8AbgB2AGUAcgB0AE4AMgBvAEUAbABlAG0AZQBuAHQAYQBsAFQAbwBNAG8AbABlAGMAdQBsAGEAcgBDAGcAXwBTAG8AdQByAGMAZQBcAG4AIAAgAD0ATABBAE0AQgBEAEEAKABcACIATgBhAHQAaQBvAG4AYQBsACAASQBuAHYAZQBuAHQAbwByAHkAIABSAGUAcABvAHIAdAAgADIAMAAyADMAIABWAG8AbAB1AG0AZQAgADEAXAAiACkAOwBcAG4AXABuAEMAbwBtAG0AbwBuAF8AUwBvAHUAcgBjAGUARABhAHQAYQBfAEMAbwBuAHYAZQByAHQATgAyAG8ARQBsAGUAbQBlAG4AdABhAGwAVABvAE0AbwBsAGUAYwB1AGwAYQByAEMAZwBfAEQAYQB0AGEAXABuACAAIAA9AEwAQQBNAEIARABBACgANAA0AC8AMgA4ACkAOwBcAG4AXABuAC8AKgAgAFwAbgAtAC0ALQAtAC0ALQAtAC0ALQAtAC0ALQAtAC0ALQAtAC0ALQAtAC0ALQAtAC0ALQAtAC0ALQAtAC0ALQAtAC0ALQAtAC0ALQAtAC0AXABuAEMAbwBtAG0AbwBuAF8AUwBvAHUAcgBjAGUARABhAHQAYQBfAEMAbwBuAHYAZQByAHQARwBhAHMARQBsAGUAbQBlAG4AdABhAGwAVABvAE0AbwBsAGUAYwB1AGwAYQByAFwAbgBGAGEAYwB0AG8AcgAgAHQAbwAgAGMAbwBuAHYAZQByAHQAIABlAGwAZQBtAGUAbgB0AGEAbAAgAG0AYQBzAHMAIABvAGYAIABnAGEAcwAgAHQAbwAgAG0AbwBsAGUAYwB1AGwAYQByACAAbQBhAHMAcwBcAG4ALQAtAC0ALQAtAC0ALQAtAC0ALQAtAC0ALQAtAC0ALQAtAC0ALQAtAC0ALQAtAC0ALQAtAC0ALQAtAC0ALQAtAC0ALQAtAC0ALQAtAFwAbgAqAC8AXABuAFwAbgBDAG8AbQBtAG8AbgBfAFMAbwB1AHIAYwBlAEQAYQB0AGEAXwBDAG8AbgB2AGUAcgB0AEcAYQBzAEUAbABlAG0AZQBuAHQAYQBsAFQAbwBNAG8AbABlAGMAdQBsAGEAcgBfAFQAaQB0AGwAZQBcAG4AIAAgAD0ATABBAE0AQgBEAEEAKABcACIARgBhAGMAdABvAHIAIAB0AG8AIABjAG8AbgB2AGUAcgB0ACAAZQBsAGUAbQBlAG4AdABhAGwAIABtAGEAcwBzACAAbwBmACAAZwBhAHMAIAB0AG8AIABtAG8AbABlAGMAdQBsAGEAcgAgAG0AYQBzAHMAXAAiACkAOwBcAG4AXABuAEMAbwBtAG0AbwBuAF8AUwBvAHUAcgBjAGUARABhAHQAYQBfAEMAbwBuAHYAZQByAHQARwBhAHMARQBsAGUAbQBlAG4AdABhAGwAVABvAE0AbwBsAGUAYwB1AGwAYQByAF8AVgBhAHIAaQBhAGIAbABlAFwAbgAgACAAPQBMAEEATQBCAEQAQQAoAFwAIgBDAGcAXAAiACkAOwBcAG4AXABuAEMAbwBtAG0AbwBuAF8AUwBvAHUAcgBjAGUARABhAHQAYQBfAEMAbwBuAHYAZQByAHQARwBhAHMARQBsAGUAbQBlAG4AdABhAGwAVABvAE0AbwBsAGUAYwB1AGwAYQByAF8AVQBuAGkAdABcAG4AIAAgAD0ATABBAE0AQgBEAEEAKABcACIAZgBhAGMAdABvAHIAXAAiACkAOwBcAG4AXABuAEMAbwBtAG0AbwBuAF8AUwBvAHUAcgBjAGUARABhAHQAYQBfAEMAbwBuAHYAZQByAHQARwBhAHMARQBsAGUAbQBlAG4AdABhAGwAVABvAE0AbwBsAGUAYwB1AGwAYQByAF8AUwBvAHUAcgBjAGUAXABuACAAIAA9AEwAQQBNAEIARABBACgAXAAiAFgAWABYAFgAWABYAFgAXAAiACkAOwBcAG4AXABuAEMAbwBtAG0AbwBuAF8AUwBvAHUAcgBjAGUARABhAHQAYQBfAEMAbwBuAHYAZQByAHQARwBhAHMARQBsAGUAbQBlAG4AdABhAGwAVABvAE0AbwBsAGUAYwB1AGwAYQByAF8ARABhAHQAYQBcAG4AIAAgAD0ATABBAE0AQgBEAEEAKABcAG4AIAAgACAAIABNAEEASwBFAEEAUgBSAEEAWQAoADgALAAgADQALAAgAFwAbgAgACAAIAAgACAAIABMAEEATQBCAEQAQQAoAHIALABjACwAIABcAG4AIAAgACAAIAAgACAAIAAgAEkATgBEAEUAWAAoAHsAXABuACAAIAAgACAAIAAgACAAIAAgACAAXAAiAEcAYQBzAFwAIgAsACAAXAAiAEMAbwBuAHYAZQByAHMAaQBvAG4AIABmAGEAYwB0AG8AcgBcACIALAAgAFwAIgBDAG8AbgB2AGUAcgBzAGkAbwBuACAAZgBhAGMAdABvAHIAIAAxAFwAIgAsACAAXAAiAEMAbwBuAHYAZQByAHMAaQBvAG4AIABmAGEAYwB0AG8AcgAgADIAXAAiADsAXABuACAAIAAgACAAIAAgACAAIAAgACAAXAAiAEMATwAyAFwAIgAsACAAXAAiADQANAAvADEAMgBcACIALAAgADQANAAsACAAMQAyADsAXABuACAAIAAgACAAIAAgACAAIAAgACAAXAAiAEMASAA0AFwAIgAsACAAXAAiADEANgAvADEAMgBcACIALAAgADEANgAsACAAMQAyADsAXABuACAAIAAgACAAIAAgACAAIAAgACAAXAAiAE4AMgBPAFwAIgAsACAAXAAiADQANAAvADIAOABcACIALAAgADQANAAsACAAMgA4ADsAXABuACAAIAAgACAAIAAgACAAIAAgACAAXAAiAE4AbwB4AFwAIgAsACAAXAAiADQANgAvADEANABcACIALAAgADQANgAsACAAMQA0ADsAXABuACAAIAAgACAAIAAgACAAIAAgACAAXAAiAEMATwBcACIALAAgAFwAIgAyADgALwAxADIAXAAiACwAIAAyADgALAAgADEAMgA7AFwAbgAgACAAIAAgACAAIAAgACAAIAAgAFwAIgBDAE8AMgAgAEwAaQBtAGUAXAAiACwAIABcACIANAA0AC8AMQAyAFwAIgAsACAANAA0ACwAIAAxADIAOwBcAG4AIAAgACAAIAAgACAAIAAgACAAIABcACIATgBNAFYATwBDAFwAIgAsACAAXAAiADEANAAvADEAMgBcACIALAAgADEANAAsACAAMQAy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HAFcAUABOADIATwBcAG4ARwBsAG8AYgBhAGwAIAB3AGEAcgBtAGkAbgBnACAAcABvAHQAZQBuAHQAaQBhAGwAIABmAG8AcgAgAGcAcgBlAGUAbgBoAG8AdQBzAGUAIABnAGEAcwBlAHMAXABuAC0ALQAtAC0ALQAtAC0ALQAtAC0ALQAtAC0ALQAtAC0ALQAtAC0ALQAtAC0ALQAtAC0ALQAtAC0ALQAtAC0ALQAtAC0ALQAtAC0ALQBcAG4AKgAvAFwAbgBcAG4AQwBvAG0AbQBvAG4AXwBTAG8AdQByAGMAZQBEAGEAdABhAF8ARwBXAFAAXwBUAGkAdABsAGUAXABuACAAIAA9AEwAQQBNAEIARABBACgAXAAiAEcAbABvAGIAYQBsACAAdwBhAHIAbQBpAG4AZwAgAHAAbwB0AGUAbgB0AGkAYQBsACAAZgBvAHIAIABnAHIAZQBlAG4AaABvAHUAcwBlACAAZwBhAHMAZQBzAFwAIgApADsAXABuAFwAbgBDAG8AbQBtAG8AbgBfAFMAbwB1AHIAYwBlAEQAYQB0AGEAXwBHAFcAUABfAFYAYQByAGkAYQBiAGwAZQBcAG4AIAAgAD0ATABBAE0AQgBEAEEAKABcACIARwBXAFAATgAyAE8AXAAiACkAOwBcAG4AXABuAEMAbwBtAG0AbwBuAF8AUwBvAHUAcgBjAGUARABhAHQAYQBfAEcAVwBQAF8AVQBuAGkAdABcAG4AIAAgAD0ATABBAE0AQgBEAEEAKABcACIAZgBhAGMAdABvAHIAXAAiACkAOwBcAG4AXABuAEMAbwBtAG0AbwBuAF8AUwBvAHUAcgBjAGUARABhAHQAYQBfAEcAVwBQAF8AUwBvAHUAcgBjAGUAXABuACAAIAA9AEwAQQBNAEIARABBACgAXAAiAFgAWABYAFgAWABYAFgAXAAiACkAOwBcAG4AXABuAEMAbwBtAG0AbwBuAF8AUwBvAHUAcgBjAGUARABhAHQAYQBfAEcAVwBQAF8ARABhAHQAYQBcAG4AIAAgAD0ATABBAE0AQgBEAEEAKABcAG4AIAAgACAAIABNAEEASwBFAEEAUgBSAEEAWQAoADgALAAgADIALAAgAFwAbgAgACAAIAAgACAAIABMAEEATQBCAEQAQQAoAHIALABjACwAIABcAG4AIAAgACAAIAAgACAAIAAgAEkATgBEAEUAWAAoAHsAXABuACAAIAAgACAAIAAgACAAIAAgACAAXAAiAEcAYQBzAFwAIgAsACAAXAAiAEMATwAyAC0AZQAgAGYAYQBjAHQAbwByAFwAIgA7AFwAbgAgACAAIAAgACAAIAAgACAAIAAgAFwAIgBDAE8AMgBcACIALAAgADEAOwBcAG4AIAAgACAAIAAgACAAIAAgACAAIABcACIAQwBIADQAXAAiACwAIAAyADgAOwBcAG4AIAAgACAAIAAgACAAIAAgACAAIABcACIATgAyAE8AXAAiACwAIAAyADYANQA7AFwAbgAgACAAIAAgACAAIAAgACAAIAAgAFwAIgBDAEYANABcACIALAAgADYANgAzADAAOwBcAG4AIAAgACAAIAAgACAAIAAgACAAIABcACIAQwAyAEYANgBcACIALAAgADEAMgAyADAAMAA7AFwAbgAgACAAIAAgACAAIAAgACAAIAAgAFwAIgBTAEYANgBcACIALAAgADIAMgA4ADAAMAA7AFwAbgAgACAAIAAgACAAIAAgACAAIAAgAFwAIgBOAEYAMwBcACIALAAgADEANwAyADAAMA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EEAdQBzAHQAcgBhAGwAaQBhAG4AUwB0AGEAdABlAHMAVABlAHIAcgBpAHQAbwByAGkAZQBzAFwAbgAtAC0ALQAtAC0ALQAtAC0ALQAtAC0ALQAtAC0ALQAtAC0ALQAtAC0ALQAtAC0ALQAtAC0ALQAtAC0ALQAtAC0ALQAtAC0ALQAtAC0AXABuACoALwBcAG4AXABuAEMAbwBtAG0AbwBuAF8AUwBvAHUAcgBjAGUARABhAHQAYQBfAEEAdQBzAHQAcgBhAGwAaQBhAG4AUwB0AGEAdABlAHMAVABlAHIAcgBpAHQAbwByAGkAZQBzAF8AVABpAHQAbABlAFwAbgAgACAAPQBMAEEATQBCAEQAQQAoAFwAIgBBAHUAcwB0AHIAYQBsAGkAYQBuACAAcwB0AGEAdABlAHMAIABhAG4AZAAgAHQAZQByAHIAaQB0AG8AcgBpAGUAcwBcACIAKQA7AFwAbgBcAG4AQwBvAG0AbQBvAG4AXwBTAG8AdQByAGMAZQBEAGEAdABhAF8AQQB1AHMAdAByAGEAbABpAGEAbgBTAHQAYQB0AGUAcwBUAGUAcgByAGkAdABvAHIAaQBlAHMAXwBWAGEAcgBpAGEAYgBsAGUAXABuACAAIAA9AEwAQQBNAEIARABBACgAXAAiAFwAIgApADsAXABuAFwAbgBDAG8AbQBtAG8AbgBfAFMAbwB1AHIAYwBlAEQAYQB0AGEAXwBBAHUAcwB0AHIAYQBsAGkAYQBuAFMAdABhAHQAZQBzAFQAZQByAHIAaQB0AG8AcgBpAGUAcwBfAFUAbgBpAHQAXABuACAAIAA9AEwAQQBNAEIARABBACgAXAAiAFwAIgApADsAXABuAFwAbgBDAG8AbQBtAG8AbgBfAFMAbwB1AHIAYwBlAEQAYQB0AGEAXwBBAHUAcwB0AHIAYQBsAGkAYQBuAFMAdABhAHQAZQBzAFQAZQByAHIAaQB0AG8AcgBpAGUAcwBfAFMAbwB1AHIAYwBlAFwAbgAgACAAPQBMAEEATQBCAEQAQQAoAFwAIgBcACIAKQA7AFwAbgBcAG4AQwBvAG0AbQBvAG4AXwBTAG8AdQByAGMAZQBEAGEAdABhAF8AQQB1AHMAdAByAGEAbABpAGEAbgBTAHQAYQB0AGUAcwBUAGUAcgByAGkAdABvAHIAaQBlAHMAXwBEAGEAdABhAFwAbgAgACAAIAA9AEwAQQBNAEIARABBACgAXABuACAAIAAgACAATQBBAEsARQBBAFIAUgBBAFkAKAA5ACwAIAAzACwAIABcAG4AIAAgACAAIAAgACAATABBAE0AQgBEAEEAKAByACwAYwAsACAAXABuACAAIAAgACAAIAAgACAAIABJAE4ARABFAFgAKAB7AFwAbgAgACAAIAAgACAAIAAgACAAIAAgAFwAIgBTAHQAYQB0AGUALwBUAGUAcgByAGkAdABvAHIAeQBcACIALAAgAFwAIgBDAG8AbQBtAG8AbgAgAE4AYQBtAGUAXAAiACwAIABcACIAQQBiAGIAcgBlAHYAaQBhAHQAaQBvAG4AXAAiADsAXABuACAAIAAgACAAIAAgACAAIAAgACAAXAAiAE4AZQB3ACAAUwBvAHUAdABoACAAVwBhAGwAZQBzAFwAIgAsACAAXAAiAE4AZQB3ACAAUwBvAHUAdABoACAAVwBhAGwAZQBzAFwAIgAsACAAXAAiAE4AUwBXAFwAIgA7AFwAbgAgACAAIAAgACAAIAAgACAAIAAgAFwAIgBBAHUAcwB0AHIAYQBsAGkAYQBuACAAQwBhAHAAaQB0AGEAbAAgAFQAZQByAHIAaQB0AG8AcgB5AFwAIgAsACAAXAAiAEEAQwBUAFwAIgAsACAAXAAiAEEAQwBUAFwAIgA7AFwAbgAgACAAIAAgACAAIAAgACAAIAAgAFwAIgBWAGkAYwB0AG8AcgBpAGEAXAAiACwAIABcACIAVgBpAGMAdABvAHIAaQBhAFwAIgAsACAAXAAiAFYASQBDAFwAIgA7AFwAbgAgACAAIAAgACAAIAAgACAAIAAgAFwAIgBRAHUAZQBlAG4AcwBsAGEAbgBkAFwAIgAsACAAXAAiAFEAdQBlAGUAbgBzAGwAYQBuAGQAXAAiACwAIABcACIAUQBMAEQAXAAiADsAXABuACAAIAAgACAAIAAgACAAIAAgACAAXAAiAFMAbwB1AHQAaAAgAEEAdQBzAHQAcgBhAGwAaQBhAFwAIgAsACAAXAAiAFMAbwB1AHQAaAAgAEEAdQBzAHQAcgBhAGwAaQBhAFwAIgAsACAAXAAiAFMAQQBcACIAOwBcAG4AIAAgACAAIAAgACAAIAAgACAAIABcACIAVwBlAHMAdABlAHIAbgAgAEEAdQBzAHQAcgBhAGwAaQBhAFwAIgAsACAAXAAiAFcAZQBzAHQAZQByAG4AIABBAHUAcwB0AHIAYQBsAGkAYQBcACIALAAgAFwAIgBXAEEAXAAiADsAXABuACAAIAAgACAAIAAgACAAIAAgACAAXAAiAFQAYQBzAG0AYQBuAGkAYQBcACIALAAgAFwAIgBUAGEAcwBtAGEAbgBpAGEAXAAiACwAIABcACIAVABBAFMAXAAiADsAXABuACAAIAAgACAAIAAgACAAIAAgACAAXAAiAE4AbwByAHQAaABlAHIAbgAgAFQAZQByAHIAaQB0AG8AcgB5AFwAIgAsACAAXAAiAE4AbwByAHQAaABlAHIAbgAgAFQAZQByAHIAaQB0AG8AcgB5AFwAIgAsACAAXAAiAE4AVA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cAQQBTAEEANABBAHIAZQBhAHMAXABuAC0ALQAtAC0ALQAtAC0ALQAtAC0ALQAtAC0ALQAtAC0ALQAtAC0ALQAtAC0ALQAtAC0ALQAtAC0ALQAtAC0ALQAtAC0ALQAtAC0ALQBcAG4AKgAvAFwAbgBcAG4AQwBvAG0AbQBvAG4AXwBTAG8AdQByAGMAZQBEAGEAdABhAF8AVwBBAFMAQQA0AEEAcgBlAGEAcwBfAFQAaQB0AGwAZQBcAG4AIAAgAD0ATABBAE0AQgBEAEEAKABcACIAQQBCAFMAIABTAHQAYQB0AGkAcwB0AGMAYQBsACAAQQByAGUAYQBzACAATABlAHYAZQBsACAANAAgAC0AIABXAGUAcwB0AGUAcgBuACAAQQB1AHMAdAByAGEAbABpAGEAXAAiACkAOwBcAG4AXABuAEMAbwBtAG0AbwBuAF8AUwBvAHUAcgBjAGUARABhAHQAYQBfAFcAQQBTAEEANABBAHIAZQBhAHMAXwBWAGEAcgBpAGEAYgBsAGUAXABuACAAIAA9AEwAQQBNAEIARABBACgAXAAiAFwAIgApADsAXABuAFwAbgBDAG8AbQBtAG8AbgBfAFMAbwB1AHIAYwBlAEQAYQB0AGEAXwBXAEEAUwBBADQAQQByAGUAYQBzAF8AVQBuAGkAdABcAG4AIAAgAD0ATABBAE0AQgBEAEEAKABcACIAXAAiACkAOwBcAG4AXABuAEMAbwBtAG0AbwBuAF8AUwBvAHUAcgBjAGUARABhAHQAYQBfAFcAQQBTAEEANABBAHIAZQBhAHMAXwBTAG8AdQByAGMAZQBcAG4AIAAgAD0ATABBAE0AQgBEAEEAKABcACIAQQB1AHMAdAByAGEAbABpAGEAbgAgAEIAdQByAGUAYQB1ACAAbwBmACAAUwB0AGEAdABpAHMAdABpAGMAcwAgACgAQQBCAFMAKQAgAC0AIABTAHQAYQB0AGkAcwB0AGkAYwBhAGwAIABBAHIAZQBhAHMAIABMAGUAdgBlAGwAIAAyACAALQAgADIAMAAyADEAIAAtACAAUwBoAGEAcABlAGYAaQBsAGUAXAAiACkAOwBcAG4AXABuAEMAbwBtAG0AbwBuAF8AUwBvAHUAcgBjAGUARABhAHQAYQBfAFcAQQBTAEEANABBAHIAZQBhAHMAXwBEAGEAdABhAFwAbgAgACAAIAA9AEwAQQBNAEIARABBACgAXABuACAAIAAgACAATQBBAEsARQBBAFIAUgBBAFkAKAAxADEALAAgADEALAAgAFwAbgAgACAAIAAgACAAIABMAEEATQBCAEQAQQAoAHIALABjACwAIABcAG4AIAAgACAAIAAgACAAIAAgAEkATgBEAEUAWAAoAHsAXABuACAAIAAgACAAIAAgACAAIAAgACAAXAAiAFMAQQAgADQAIABOAGEAbQBlAFwAIgA7AFwAbgAgACAAIAAgACAAIAAgACAAIAAgAFwAIgBCAHUAbgBiAHUAcgB5AFwAIgA7AFwAbgAgACAAIAAgACAAIAAgACAAIAAgAFwAIgBNAGEAbgBkAHUAcgBhAGgAXAAiADsAXABuACAAIAAgACAAIAAgACAAIAAgACAAXAAiAFAAZQByAHQAaAAgAC0AIABJAG4AbgBlAHIAXAAiADsAXABuACAAIAAgACAAIAAgACAAIAAgACAAXAAiAFAAZQByAHQAaAAgAC0AIABOAG8AcgB0AGgAIABFAGEAcwB0AFwAIgA7AFwAbgAgACAAIAAgACAAIAAgACAAIAAgAFwAIgBQAGUAcgB0AGgAIAAtACAATgBvAHIAdABoACAAVwBlAHMAdABcACIAOwBcAG4AIAAgACAAIAAgACAAIAAgACAAIABcACIAUABlAHIAdABoACAALQAgAFMAbwB1AHQAaAAgAEUAYQBzAHQAXAAiADsAXABuACAAIAAgACAAIAAgACAAIAAgACAAXAAiAFAAZQByAHQAaAAgAC0AIABTAG8AdQB0AGgAIABXAGUAcwB0AFwAIgA7AFwAbgAgACAAIAAgACAAIAAgACAAIAAgAFwAIgBXAGUAcwB0AGUAcgBuACAAQQB1AHMAdAByAGEAbABpAGEAIAAtACAAVwBoAGUAYQB0ACAAQgBlAGwAdABcACIAOwBcAG4AIAAgACAAIAAgACAAIAAgACAAIABcACIAVwBlAHMAdABlAHIAbgAgAEEAdQBzAHQAcgBhAGwAaQBhACAALQAgAE8AdQB0AGIAYQBjAGsAIAAoAE4AbwByAHQAaAApAFwAIgA7AFwAbgAgACAAIAAgACAAIAAgACAAIAAgAFwAIgBXAGUAcwB0AGUAcgBuACAAQQB1AHMAdAByAGEAbABpAGEAIAAtACAATwB1AHQAYgBhAGMAawAgACgAUwBvAHUAdABoACkA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XAGUAdABBAG4AZABEAHIAeQBaAG8AbgBlAHMAXABuAC0ALQAtAC0ALQAtAC0ALQAtAC0ALQAtAC0ALQAtAC0ALQAtAC0ALQAtAC0ALQAtAC0ALQAtAC0ALQAtAC0ALQAtAC0ALQAtAC0ALQBcAG4AKgAvAFwAbgBcAG4AQwBvAG0AbQBvAG4AXwBTAG8AdQByAGMAZQBEAGEAdABhAF8AVwBlAHQAQQBuAGQARAByAHkAWgBvAG4AZQBzAF8AVABpAHQAbABlAFwAbgAgACAAPQBMAEEATQBCAEQAQQAoAFwAIgBWAEUARQBSAEcAIABBAHUAcwB0AHIAYQBsAGkAYQBuACAAdwBlAHQAIABhAG4AZAAgAGQAcgB5ACAAegBvAG4AZQBzAFwAIgApADsAXABuAFwAbgBDAG8AbQBtAG8AbgBfAFMAbwB1AHIAYwBlAEQAYQB0AGEAXwBXAGUAdABBAG4AZABEAHIAeQBaAG8AbgBlAHMAXwBWAGEAcgBpAGEAYgBsAGUAXABuACAAIAA9AEwAQQBNAEIARABBACgAXAAiAFwAIgApADsAXABuAFwAbgBDAG8AbQBtAG8AbgBfAFMAbwB1AHIAYwBlAEQAYQB0AGEAXwBXAGUAdABBAG4AZABEAHIAeQBaAG8AbgBlAHMAXwBVAG4AaQB0AFwAbgAgACAAPQBMAEEATQBCAEQAQQAoAFwAIgBcACIAKQA7AFwAbgBcAG4AQwBvAG0AbQBvAG4AXwBTAG8AdQByAGMAZQBEAGEAdABhAF8AVwBlAHQAQQBuAGQARAByAHkAWgBvAG4AZQBzAF8AUwBvAHUAcgBjAGUAXABuACAAIAA9AEwAQQBNAEIARABBACgAXAAiAFYARQBFAFIARwAgADIAMAAyADYAOgAgAFQAYQBiAGwAZQAgADEALgAyADoAIABUAHIAYQBuAHMAbABhAHQAaQBuAGcAIABjAGwAaQBtAGEAdABlACAAegBvAG4AZQBzACAAdABvACAAdwBlAHQAIABhAG4AZAAgAGQAcgB5ACAAegBvAG4AZQBzAFwAIgApADsAXABuAFwAbgBDAG8AbQBtAG8AbgBfAFMAbwB1AHIAYwBlAEQAYQB0AGEAXwBXAGUAdABBAG4AZABEAHIAeQBaAG8AbgBlAHMAXwBWAGEAcgBpAGEAdABpAG8AbgBcAG4AIAAgACAAPQBMAEEATQBCAEQAQQAoAFwAbgAgACAAIAAgAE0AQQBLAEUAQQBSAFIAQQBZACgAMwAsACAAMQAsACAAXABuACAAIAAgACAAIAAgAEwAQQBNAEIARABBACgAcgAsAGMALAAgAFwAbgAgACAAIAAgACAAIAAgACAASQBOAEQARQBYACgAewBcAG4AIAAgACAAIAAgACAAIAAgACAAIABcACIAVgBBAFIASQBBAFQASQBPAE4AIABPAEYAIABTAE8AVQBSAEMARQAgAEQAQQBUAEEAOgBcACIAOwBcAG4AIAAgACAAIAAgACAAIAAgACAAIABcACIAQQBkAGQAZQBkACAAdwBhAHIAbQAgAC8AIABjAG8AbwBsACAAdABlAG0AcABlAHIAYQB0AGUAIABtAG8AaQBzAHQAIAAvACAAZAByAHkAIAAtACAAbABvAHcAIABmAHIAbwBzAHQAIABhAG4AZAAgAGgAaQBnAGgAIAB0AGUAbQBwACAAYwBsAGEAcwBzAGUAcwAgAHQAbwAgAGEAYwBjAG8AbQBtAG8AZABhAHQAZQAgAGMAbABpAG0AYQB0AGUAIABzAGMAZQBuAGEAcgBpAG8AcwAgAGUAeABjAGwAdQBkAGUAZAAgAGIAeQAgAFYARQBFAFIARwAgAGMAcgBpAHQAZQByAGkAYQAuAFwAIgA7AFwAbgAgACAAIAAgACAAIAAgACAAIAAgAFwAIgBGAGkAeABlAGQAIAB0AHkAcABvACAALQAgAEMAaABhAG4AZwBlAGQAIAAnAEYAcgB5ACcAIAB0AG8AIAAnAEQAcgB5ACcALgBcACIAXABuACAAIAAgACAAIAAgACAAIAB9ACwAIAByACwAIABjACkAXABuACAAIAAgACAAIAAgACkAXABuACAAIAAgACAAKQBcAG4AIAAgACkAOwBcAG4AXABuAEMAbwBtAG0AbwBuAF8AUwBvAHUAcgBjAGUARABhAHQAYQBfAFcAZQB0AEEAbgBkAEQAcgB5AFoAbwBuAGUAcwBfAEQAYQB0AGEAXABuACAAIAAgAD0ATABBAE0AQgBEAEEAKABcAG4AIAAgACAAIABNAEEASwBFAEEAUgBSAEEAWQAoADEANQAsACAAMgAsACAAXABuACAAIAAgACAAIAAgAEwAQQBNAEIARABBACgAcgAsAGMALAAgAFwAbgAgACAAIAAgACAAIAAgACAASQBOAEQARQBYACgAewBcAG4AIAAgACAAIAAgACAAIAAgACAAIABcACIAQwBsAGkAbQBhAHQAZQAgAFoAbwBuAGUAXAAiACwAIABcACIAVwBlAHQAIABvAHIAIABEAHIAeQAgAFoAbwBuAGUAXAAiADsAXABuACAAIAAgACAAIAAgACAAIAAgACAAXAAiAFQAcgBvAHAAaQBjAGEAbAAgAG0AbwBuAHQAYQBuAGUAXAAiACwAIABcACIAVwBlAHQAIABjAGwAaQBtAGEAdABlACAAegBvAG4AZQBcACIAOwBcAG4AIAAgACAAIAAgACAAIAAgACAAIABcACIAVAByAG8AcABpAGMAYQBsACAAdwBlAHQAXAAiACwAIABcACIAVwBlAHQAIABjAGwAaQBtAGEAdABlACAAegBvAG4AZQBcACIAOwBcAG4AIAAgACAAIAAgACAAIAAgACAAIABcACIAVAByAG8AcABpAGMAYQBsACAAbQBvAGkAcwB0AFwAIgAsACAAXAAiAFcAZQB0ACAAYwBsAGkAbQBhAHQAZQAgAHoAbwBuAGUAXAAiADsAXABuACAAIAAgACAAIAAgACAAIAAgACAAXAAiAFQAcgBvAHAAaQBjAGEAbAAgAGQAcgB5AFwAIgAsACAAXAAiAEQAcgB5ACAAYwBsAGkAbQBhAHQAZQAgAHoAbwBuAGUAXAAiADsAXABuACAAIAAgACAAIAAgACAAIAAgACAAXAAiAFcAYQByAG0AIAB0AGUAbQBwAGUAcgBhAHQAZQAgAG0AbwBpAHMAdABcACIALAAgAFwAIgBXAGUAdAAgAGMAbABpAG0AYQB0AGUAIAB6AG8AbgBlAFwAIgA7AFwAbgAgACAAIAAgACAAIAAgACAAIAAgAFwAIgBXAGEAcgBtACAAdABlAG0AcABlAHIAYQB0AGUAIABkAHIAeQBcACIALAAgAFwAIgBEAHIAeQAgAGMAbABpAG0AYQB0AGUAIAB6AG8AbgBlAFwAIgA7AFwAbgAgACAAIAAgACAAIAAgACAAIAAgAFwAIgBDAG8AbwBsACAAdABlAG0AcABlAHIAYQB0AGUAIABtAG8AaQBzAHQAXAAiACwAIABcACIAVwBlAHQAIABjAGwAaQBtAGEAdABlACAAegBvAG4AZQBcACIAOwBcAG4AIAAgACAAIAAgACAAIAAgACAAIABcACIAQwBvAG8AbAAgAHQAZQBtAHAAZQByAGEAdABlACAAZAByAHkAXAAiACwAIABcACIARAByAHkAIABjAGwAaQBtAGEAdABlACAAegBvAG4AZQBcACIAOwBcAG4AIAAgACAAIAAgACAAIAAgACAAIABcACIAVwBhAHIAbQAgAHQAZQBtAHAAZQByAGEAdABlACAAbQBvAGkAcwB0ACAALQAgAGwAbwB3ACAAZgByAG8AcwB0AFwAIgAsACAAXAAiAFcAZQB0ACAAYwBsAGkAbQBhAHQAZQAgAHoAbwBuAGUAXAAiADsAXABuACAAIAAgACAAIAAgACAAIAAgACAAXAAiAFcAYQByAG0AIAB0AGUAbQBwAGUAcgBhAHQAZQAgAGQAcgB5ACAALQAgAGwAbwB3ACAAZgByAG8AcwB0AFwAIgAsACAAXAAiAEQAcgB5ACAAYwBsAGkAbQBhAHQAZQAgAHoAbwBuAGUAXAAiADsAXABuACAAIAAgACAAIAAgACAAIAAgACAAXAAiAFcAYQByAG0AIAB0AGUAbQBwAGUAcgBhAHQAZQAgAG0AbwBpAHMAdAAgAC0AIABoAGkAZwBoACAAdABlAG0AcABcACIALAAgAFwAIgBXAGUAdAAgAGMAbABpAG0AYQB0AGUAIAB6AG8AbgBlAFwAIgA7AFwAbgAgACAAIAAgACAAIAAgACAAIAAgAFwAIgBXAGEAcgBtACAAdABlAG0AcABlAHIAYQB0AGUAIABkAHIAeQAgAC0AIABoAGkAZwBoACAAdABlAG0AcABcACIALAAgAFwAIgBEAHIAeQAgAGMAbABpAG0AYQB0AGUAIAB6AG8AbgBlAFwAIgA7AFwAbgAgACAAIAAgACAAIAAgACAAIAAgAFwAIgBDAG8AbwBsACAAdABlAG0AcABlAHIAYQB0AGUAIABtAG8AaQBzAHQAIAAtACAAbABvAHcAIABmAHIAbwBzAHQAXAAiACwAIABcACIAVwBlAHQAIABjAGwAaQBtAGEAdABlACAAegBvAG4AZQBcACIAOwBcAG4AIAAgACAAIAAgACAAIAAgACAAIABcACIAQwBvAG8AbAAgAHQAZQBtAHAAZQByAGEAdABlACAAZAByAHkAIAAtACAAbABvAHcAIABmAHIAbwBzAHQAXAAiACwAIABcACIARAByAHkAIABjAGwAaQBtAGEAdABlACAAegBvAG4AZ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MAbABpAG0AYQB0AGUAWgBvAG4AZQBzAFwAbgAtAC0ALQAtAC0ALQAtAC0ALQAtAC0ALQAtAC0ALQAtAC0ALQAtAC0ALQAtAC0ALQAtAC0ALQAtAC0ALQAtAC0ALQAtAC0ALQAtAC0AXABuACoALwBcAG4AXABuAEMAbwBtAG0AbwBuAF8AUwBvAHUAcgBjAGUARABhAHQAYQBfAEMAbABpAG0AYQB0AGUAWgBvAG4AZQBzAF8AVABpAHQAbABlAFwAbgAgACAAPQBMAEEATQBCAEQAQQAoAFwAIgBWAEUARQBSAEcAIABBAHUAcwB0AHIAYQBsAGkAYQBuACAAYwBsAGkAbQBhAHQAZQAgAHoAbwBuAGUAcwBcACIAKQA7AFwAbgBcAG4AQwBvAG0AbQBvAG4AXwBTAG8AdQByAGMAZQBEAGEAdABhAF8AQwBsAGkAbQBhAHQAZQBaAG8AbgBlAHMAXwBWAGEAcgBpAGEAYgBsAGUAXABuACAAIAA9AEwAQQBNAEIARABBACgAXAAiAFwAIgApADsAXABuAFwAbgBDAG8AbQBtAG8AbgBfAFMAbwB1AHIAYwBlAEQAYQB0AGEAXwBDAGwAaQBtAGEAdABlAFoAbwBuAGUAcwBfAFUAbgBpAHQAXABuACAAIAA9AEwAQQBNAEIARABBACgAXAAiAFwAIgApADsAXABuAFwAbgBDAG8AbQBtAG8AbgBfAFMAbwB1AHIAYwBlAEQAYQB0AGEAXwBDAGwAaQBtAGEAdA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EMAbABpAG0AYQB0AGUAWgBvAG4AZQBzAF8AVgBhAHIAaQBhAHQAaQBvAG4AXABuACA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EEAZABkAGUAZAAgAHcAYQByAG0AIAAvACAAYwBvAG8AbAAgAHQAZQBtAHAAZQByAGEAdABlACAAbQBvAGkAcwB0ACAALwAgAGQAcgB5ACAALQAgAGwAbwB3ACAAZgByAG8AcwB0ACAAYQBuAGQAIABoAGkAZwBoACAAdABlAG0AcAAgAGMAbABhAHMAcwBlAHMAIAB0AG8AIABhAGMAYwBvAG0AbQBvAGQAYQB0AGUAIABjAGwAaQBtAGEAdABlACAAcwBjAGUAbgBhAHIAaQBvAHMAIABlAHgAYwBsAHUAZABlAGQAIABiAHkAIABWAEUARQBSAEcAIABjAHIAaQB0AGUAcgBpAGEALgBcACIAOwBcAG4AIAAgACAAIAAgACAAIAAgACAAIABcACIARgBpAHgAZQBkACAAdAB5AHAAbwAgAGkAbgAgAE0AQQBUACAAdgBhAGwAdQBlACAAZgBvAHIAIAB3AGEAcgBtACAAdABlAG0AcABlAHIAYQB0AGUAIABkAHIAeQAgAC0AIABjAGgAYQBuAGcAZQBkACAAMQAwACAAdABvACAAMQAxAC4AXAAiADsAXABuACAAIAAgACAAIAAgACAAIAAgACAAXAAiAEEAZABkAGUAZAAgAG0AaQBuACAAYQBuAGQAIABtAGEAeAAgAGMAbwBsAHUAbQBuAHMAIABmAG8AcgAgAE0AQQBUACwAIABNAEEAUAAsACAAZgByAG8AcwB0ACAAZABhAHkAcwAgAHAAZQByACAAeQBlAGEAcgAsACAAZQBsAGUAdgBhAHQAaQBvAG4ALAAgAE0AQQBQADoAUABFAFQAIAB0AG8AIABjAGEAbABjAHUAbABhAHQAZQAgAHoAbwBuAGUAcwAgAGYAcgBvAG0AIAByAGUAYQBsACAAYwBsAGkAbQBhAHQAZQAgAGQAYQB0AGEALgBcACIAOwBcAG4AIAAgACAAIAAgACAAIAAgACAAIABcACIARwBBAEYAIABhAGMAYwBlAHAAdABzACAAcgBhAGkAbgBmAGEAbABsACAAYQBzACAAYQAgAHAAcgBvAHgAeQAgAGYAbwByACAAcAByAGUAYwBpAHAAaQB0AGEAdABpAG8AbgAuAFwAIgBcAG4AIAAgACAAIAAgACAAIAAgAH0ALAAgAHIALAAgAGMAKQBcAG4AIAAgACAAIAAgACAAKQBcAG4AIAAgACAAIAApAFwAbgAgACAAKQA7AFwAbgBcAG4AQwBvAG0AbQBvAG4AXwBTAG8AdQByAGMAZQBEAGEAdABhAF8AQwBsAGkAbQBhAHQAZQBaAG8AbgBlAHMAXwBEAGEAdABhAFwAbgAgACAAIAA9AEwAQQBNAEIARABBACgAXABuACAAIAAgACAATQBBAEsARQBBAFIAUgBBAFkAKAA5ACwAIAAxADYALAAgAFwAbgAgACAAIAAgACAAIABMAEEATQBCAEQAQQAoAHIALABjACwAIABcAG4AIAAgACAAIAAgACAAIAAgAEkATgBEAEUAWAAoAHsAXABuACAAIAAgACAAIAAgACAAIAAgACAAXAAiAEMAbABpAG0AYQB0AGUAIABaAG8AbgBlAFwAIgAsACAAXAAiAE0AQQBUAFwAIgAsACAAXAAiAE0AQQBQAFwAIgAsACAAXAAiAEYAcgBvAHMAdAAgAGQAYQB5AHMAIABwAGUAcgAgAHkAZQBhAHIAXAAiACwAIABcACIARQBsAGUAdgBhAHQAaQBvAG4AXAAiACwAIABcACIATQBBAFAAOgBQAEUAVABcACIALAAgAFwAIgBNAGkAbgAgAHQAZQBtAHAAXAAiACwAIABcACIATQBhAHgAIAB0AGUAbQBwAFwAIgAsACAAXAAiAE0AaQBuACAAcgBhAGkAbgBmAGEAbABsAFwAIgAsACAAXAAiAE0AYQB4ACAAcgBhAGkAbgBmAGEAbABsAFwAIgAsACAAXAAiAE0AaQBuACAAZgByAG8AcwB0ACAAZABhAHkAcwBcACIALAAgAFwAIgBNAGEAeAAgAGYAcgBvAHMAdAAgAGQAYQB5AHMAXAAiACwAIABcACIATQBpAG4AIABlAGwAZQB2AGEAdABpAG8AbgBcACIALAAgAFwAIgBNAGEAeAAgAGUAbABlAHYAYQB0AGkAbwBuAFwAIgAsACAAXAAiAE0AaQBuACAATQBBAFAAOgBQAEUAVABcACIALAAgAFwAIgBNAGkAbgAgAE0AQQBQADoAUABFAFQAXAAiADsAXABuACAAIAAgACAAIAAgACAAIAAgACAAXAAiAFQAcgBvAHAAaQBjAGEAbAAgAG0AbwBuAHQAYQBuAGUAXAAiACwAIABcACIAPgAgADEAOAAgAEMAXAAiACwAIABcACIAQQBuAHkAXAAiACwAIABcACIAZCIgADcAXAAiACwAIABcACIAPgAgADEAMAAwADAAIABtAFwAIgAsACAAXAAiAEEAbgB5AFwAIgAsACAAMQA4AC4AMAAwADEALAAgADkAOQA5ADkAOQA5ACwAIAAtADkAOQA5ADkAOQA5ACwAIAA5ADkAOQA5ADkAOQAsACAALQA5ADkAOQA5ADkAOQAsACAANwAsACAAMQAwADAAMAAsACAAOQA5ADkAOQA5ADkALAAgAC0AOQA5ADkAOQA5ADkALAAgADkAOQA5ADkAOQA5ADsAXABuACAAIAAgACAAIAAgACAAIAAgACAAXAAiAFQAcgBvAHAAaQBjAGEAbAAgAHcAZQB0AFwAIgAsACAAXAAiAD4AIAAxADgAIABDAFwAIgAsACAAXAAiAD4AIAAyADAAMAAwACAAbQBtAFwAIgAsACAAXAAiAGQiIAA3AFwAIgAsACAAXAAiAGQiIAAxADAAMAAwACAAbQBcACIALAAgAFwAIgBBAG4AeQBcACIALAAgADEAOAAuADAAMAAxACwAIAA5ADkAOQA5ADkAOQAsACAAMgAwADAAMAAuADAAMAAxACwAIAA5ADkAOQA5ADkAOQAsACAALQA5ADkAOQA5ADkAOQAsACAANwAsACAALQA5ADkAOQA5ADkAOQAsACAAOQA5ADkALgA5ADkAOQAsACAAIAAtADkAOQA5ADkAOQA5ACwAIAA5ADkAOQA5ADkAOQA7AFwAbgAgACAAIAAgACAAIAAgACAAIAAgAFwAIgBUAHIAbwBwAGkAYwBhAGwAIABtAG8AaQBzAHQAXAAiACwAIABcACIAPgAgADEAOAAgAEMAXAAiACwAIABcACIAPgAgADEAMAAwADAAIABtAG0AIAAtACAAZCIgADIAMAAwADAAIABtAG0AXAAiACwAIABcACIAZCIgADcAXAAiACwAIABcACIAZCIgADEAMAAwADAAIABtAFwAIgAsACAAXAAiAEEAbgB5AFwAIgAsACAAMQA4AC4AMAAwADEALAAgADkAOQA5ADkAOQA5ACwAIAAxADAAMAAwAC4AMAAwADEALAAgADIAMAAwADAALAAgAC0AOQA5ADkAOQA5ADkALAAgADcALAAgAC0AOQA5ADkAOQA5ADkALAAgADkAOQA5AC4AOQA5ADkALAAgACAALQA5ADkAOQA5ADkAOQAsACAAOQA5ADkAOQA5ADkAOwBcAG4AIAAgACAAIAAgACAAIAAgACAAIABcACIAVAByAG8AcABpAGMAYQBsACAAZAByAHkAXAAiACwAIABcACIAPgAgADEAOAAgAEMAXAAiACwAIABcACIAZCIgADEAMAAwADAAIABtAG0AXAAiACwAIABcACIAZCIgADcAXAAiACwAIABcACIAZCIgADEAMAAwADAAIABtAFwAIgAsACAAXAAiAEEAbgB5AFwAIgAsACAAMQA4AC4AMAAwADEALAAgADkAOQA5ADkAOQA5ACwAIAAtADkAOQA5ADkAOQA5ACwAIAAxADAAMAAwACwAIAAtADkAOQA5ADkAOQA5ACwAIAA3ACwAIAAtADkAOQA5ADkAOQA5ACwAIAA5ADkAOQAuADkAOQA5ACwAIAAgAC0AOQA5ADkAOQA5ADkALAAgADkAOQA5ADkAOQA5ADsAXABuACAAIAAgACAAIAAgACAAIAAgACAAXAAiAFcAYQByAG0AIAB0AGUAbQBwAGUAcgBhAHQAZQAgAG0AbwBpAHMAdABcACIALAAgAFwAIgA+ACAAMQAwACAAQwBcACIALAAgAFwAIgBBAG4AeQBcACIALAAgAFwAIgBBAG4AeQBcACIALAAgAFwAIgBBAG4AeQBcACIALAAgAFwAIgA+ACAAMQBcACIALAAgADEAMAAuADAAMAAxACwAIAA5ADkAOQA5ADkAOQAsACAALQA5ADkAOQA5ADkAOQAsACAAOQA5ADkAOQA5ADkALAAgAC0AOQA5ADkAOQA5ADkALAAgADkAOQA5ADkAOQA5ACwAIAAtADkAOQA5ADkAOQA5ACwAIAA5ADkAOQA5ADkAOQAsACAAMQAuADAAMAAxACwAIAA5ADkAOQA5ADkAOQA7AFwAbgAgACAAIAAgACAAIAAgACAAIAAgAFwAIgBXAGEAcgBtACAAdABlAG0AcABlAHIAYQB0AGUAIABkAHIAeQBcACIALAAgAFwAIgA+ACAAMQAwACAAQwBcACIALAAgAFwAIgBBAG4AeQBcACIALAAgAFwAIgBBAG4AeQBcACIALAAgAFwAIgBBAG4AeQBcACIALAAgAFwAIgBkIiAAMQBcACIALAAgADEAMAAuADAAMAAxACwAIAA5ADkAOQA5ADkAOQAsACAALQA5ADkAOQA5ADkAOQAsACAAOQA5ADkAOQA5ADkALAAgAC0AOQA5ADkAOQA5ADkALAAgADkAOQA5ADkAOQA5ACwAIAAtADkAOQA5ADkAOQA5ACwAIAA5ADkAOQA5ADkAOQAsACAAIAAtADkAOQA5ADkAOQA5ACwAIAAxADsAXABuACAAIAAgACAAIAAgACAAIAAgACAAXAAiAEMAbwBvAGwAIAB0AGUAbQBwAGUAcgBhAHQAZQAgAG0AbwBpAHMAdABcACIALAAgAFwAIgA+ACAAMAAgAEMAIAAtACAAZCIgADEAMAAgAEMAXAAiACwAIABcACIAQQBuAHkAXAAiACwAIABcACIAQQBuAHkAXAAiACwAIABcACIAQQBuAHkAXAAiACwAIABcACIAPgAgADEAXAAiACwAIAAtADkAOQA5ADkAOQA5ACwAIAAxADAALAAgAC0AOQA5ADkAOQA5ADkALAAgADkAOQA5ADkAOQA5ACwAIAAtADkAOQA5ADkAOQA5ACwAIAA5ADkAOQA5ADkAOQAsACAALQA5ADkAOQA5ADkAOQAsACAAOQA5ADkAOQA5ADkALAAgADEALgAwADAAMQAsACAAOQA5ADkAOQA5ADkAOwBcAG4AIAAgACAAIAAgACAAIAAgACAAIABcACIAQwBvAG8AbAAgAHQAZQBtAHAAZQByAGEAdABlACAAZAByAHkAXAAiACwAIABcACIAPgAgADAAIABDACAALQAgAGQiIAAxADAAIABDAFwAIgAsACAAXAAiAEEAbgB5AFwAIgAsACAAXAAiAEEAbgB5AFwAIgAsACAAXAAiAEEAbgB5AFwAIgAsACAAXAAiAGQiIAAxAFwAIgAsACAALQA5ADkAOQA5ADkAOQAsACAAMQAwACwAIAAtADkAOQA5ADkAOQA5ACwAIAA5ADkAOQA5ADkAOQAsACAALQA5ADkAOQA5ADkAOQAsACAAOQA5ADkAOQA5ADkALAAgAC0AOQA5ADkAOQA5ADkALAAgADkAOQA5ADkAOQA5ACwAIAAgAC0AOQA5ADkAOQA5ADkALAAgADEAXABuACAAIAAgACAAIAAgACAAIAB9ACwAIAByACwAIABjACkAXABuACAAIAAgACAAIAAgACkAXABuACAAIAAgACAAKQBcAG4AIAAgACkAOwBcAG4AXABuAEMAbwBtAG0AbwBuAF8AUwBvAHUAcgBjAGUARABhAHQAYQBfAEMAbABpAG0AYQB0AGUAWgBvAG4AZQBzAF8AQQBwAHAAZQBuAGQAaQBjAGUAcwBcAG4AIAAgACAAPQBMAEEATQBCAEQAQQAoAFwAbgAgACAAIAAgAE0AQQBLAEUAQQBSAFIAQQBZACgANAAsACAAMQAsACAAXABuACAAIAAgACAAIAAgAEwAQQBNAEIARABBACgAcgAsAGMALAAgAFwAbgAgACAAIAAgACAAIAAgACAASQBOAEQARQBYACgAewBcAG4AIAAgACAAIAAgACAAIAAgACAAIABcACIATgBvAHQAZQA6AFwAIgA7AFwAbgAgACAAIAAgACAAIAAgACAAIAAgAFwAIgBNAEEAVAAgAD0AIABtAGUAYQBuACAAYQBuAG4AdQBhAGwAIAB0AGUAbQBwAGUAcgBhAHQAdQByAGUAXAAiADsAXABuACAAIAAgACAAIAAgACAAIAAgACAAXAAiAE0AQQBQACAAPQAgAG0AZQBhAG4AIABhAG4AbgB1AGEAbAAgAHAAcgBlAGMAaQBwAGkAdABhAHQAaQBvAG4AXAAiADsAXABuACAAIAAgACAAIAAgACAAIAAgACAAXAAiAFAARQBUACAAPQAgAHAAbwB0AGUAbgB0AGkAYQBsACAAZQB2AGEAcABvAHQAcgBhAG4AcwBwAGkAcgBhAHQAaQBvAG4AXAAi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VABlAG0AcABlAHIAYQB0AHUAcgBlAFoAbwBuAGUAcwBcAG4ALQAtAC0ALQAtAC0ALQAtAC0ALQAtAC0ALQAtAC0ALQAtAC0ALQAtAC0ALQAtAC0ALQAtAC0ALQAtAC0ALQAtAC0ALQAtAC0ALQAtAFwAbgAqAC8AXABuAFwAbgBDAG8AbQBtAG8AbgBfAFMAbwB1AHIAYwBlAEQAYQB0AGEAXwBUAGUAbQBwAGUAcgBhAHQAdQByAGUAWgBvAG4AZQBzAF8AVABpAHQAbABlAFwAbgAgACAAPQBMAEEATQBCAEQAQQAoAFwAIgBWAEUARQBSAEcAIABBAHUAcwB0AHIAYQBsAGkAYQBuACAAdABlAG0AcABlAHIAYQB0AHUAcgBlACAAegBvAG4AZQBzAFwAIgApADsAXABuAFwAbgBDAG8AbQBtAG8AbgBfAFMAbwB1AHIAYwBlAEQAYQB0AGEAXwBUAGUAbQBwAGUAcgBhAHQAdQByAGUAWgBvAG4AZQBzAF8AVgBhAHIAaQBhAGIAbABlAFwAbgAgACAAPQBMAEEATQBCAEQAQQAoAFwAIgBcACIAKQA7AFwAbgBcAG4AQwBvAG0AbQBvAG4AXwBTAG8AdQByAGMAZQBEAGEAdABhAF8AVABlAG0AcABlAHIAYQB0AHUAcgBlAFoAbwBuAGUAcwBfAFUAbgBpAHQAXABuACAAIAA9AEwAQQBNAEIARABBACgAXAAiAFwAIgApADsAXABuAFwAbgBDAG8AbQBtAG8AbgBfAFMAbwB1AHIAYwBlAEQAYQB0AGEAXwBUAGUAbQBwAGUAcgBhAHQAdQByAGU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VABlAG0AcABlAHIAYQB0AHUAcgBlAFoAbwBuAGUAcwBfAFYAYQByAGkAYQB0AGkAbwBuAFwAbgAgACAAPQBMAEEATQBCAEQAQQAoAFwAIgBWAEEAUgBJAEEAVABJAE8ATgAgAE8ARgAgAFMATwBVAFIAQwBFACAARABBAFQAQQA6ACAAQQBkAGQAZQBkACAAZQB4AHQAcgBhACAATQBBAFQAIABtAGkAbgAgAGEAbgBkACAATQBBAFQAIABtAGEAeAAgAGMAbwBsAHUAbQBuAHMAIAB0AG8AIABjAGEAbABjAHUAbABhAHQAZQAgAHoAbwBuAGUAIABmAHIAbwBtACAAcgBlAGEAbAAgAHQAZQBtAHAAZQByAGEAdAB1AHIAZQAgAGQAYQB0AGEALgBcACIAKQA7AFwAbgBcAG4AQwBvAG0AbQBvAG4AXwBTAG8AdQByAGMAZQBEAGEAdABhAF8AVABlAG0AcABlAHIAYQB0AHUAcgBlAFoAbwBuAGUAcwBfAEQAYQB0AGEAXABuACAAIAAgAD0ATABBAE0AQgBEAEEAKABcAG4AIAAgACAAIABNAEEASwBFAEEAUgBSAEEAWQAoADQALAAgADQALAAgAFwAbgAgACAAIAAgACAAIABMAEEATQBCAEQAQQAoAHIALABjACwAIABcAG4AIAAgACAAIAAgACAAIAAgAEkATgBEAEUAWAAoAHsAXABuACAAIAAgACAAIAAgACAAIAAgACAAXAAiAFQAZQBtAHAAZQByAGEAdAB1AHIAZQAgAFoAbwBuAGUAXAAiACwAIABcACIATQBlAGQAaQBhAG4AIABBAG4AbgB1AGEAbAAgAFQAZQBtAHAAZQByAGEAdAB1AHIAZQAgACgATQBBAFQAKQBcACIALAAgAFwAIgBNAGkAbgAgAE0AQQBUAFwAIgAsACAAXAAiAE0AYQB4ACAATQBBAFQAXAAiADsAXABuACAAIAAgACAAIAAgACAAIAAgACAAXAAiAFcAYQByAG0AXAAiACwAIABcACIAZSIgADIANgAgAEMAXAAiACwAIAAyADYALAAgADkAOQA5ADkAOQA5ADsAXABuACAAIAAgACAAIAAgACAAIAAgACAAXAAiAFQAZQBtAHAAZQByAGEAdABlAFwAIgAsACAAXAAiADEANQAgAC0AIAAyADUAIABDAFwAIgAsACAAMQA1ACwAIAAyADUALgA5ADkAOQA7AFwAbgAgACAAIAAgACAAIAAgACAAIAAgAFwAIgBDAG8AbwBsAFwAIgAsACAAXAAiAGQiIAAxADQAIABDAFwAIgAsACAALQA5ADkAOQA5ADkAOQAsACAAMQA0AC4AOQA5ADk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IAYQBpAG4AZgBhAGwAbABaAG8AbgBlAHMAXABuAC0ALQAtAC0ALQAtAC0ALQAtAC0ALQAtAC0ALQAtAC0ALQAtAC0ALQAtAC0ALQAtAC0ALQAtAC0ALQAtAC0ALQAtAC0ALQAtAC0ALQBcAG4AKgAvAFwAbgBcAG4AQwBvAG0AbQBvAG4AXwBTAG8AdQByAGMAZQBEAGEAdABhAF8AUgBhAGkAbgBmAGEAbABsAFoAbwBuAGUAcwBfAFQAaQB0AGwAZQBcAG4AIAAgAD0ATABBAE0AQgBEAEEAKABcACIAVgBFAEUAUgBHACAAQQB1AHMAdAByAGEAbABpAGEAbgAgAHIAYQBpAG4AZgBhAGwAbAAgAHoAbwBuAGUAcwBcACIAKQA7AFwAbgBcAG4AQwBvAG0AbQBvAG4AXwBTAG8AdQByAGMAZQBEAGEAdABhAF8AUgBhAGkAbgBmAGEAbABsAFoAbwBuAGUAcwBfAFYAYQByAGkAYQBiAGwAZQBcAG4AIAAgAD0ATABBAE0AQgBEAEEAKABcACIAXAAiACkAOwBcAG4AXABuAEMAbwBtAG0AbwBuAF8AUwBvAHUAcgBjAGUARABhAHQAYQBfAFIAYQBpAG4AZgBhAGwAbABaAG8AbgBlAHMAXwBVAG4AaQB0AFwAbgAgACAAPQBMAEEATQBCAEQAQQAoAFwAIgBcACIAKQA7AFwAbgBcAG4AQwBvAG0AbQBvAG4AXwBTAG8AdQByAGMAZQBEAGEAdABhAF8AUgBhAGkAbgBmAGEAbABs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FIAYQBpAG4AZgBhAGwAbABaAG8AbgBlAHMAXwBWAGEAcgBpAGEAdABpAG8AbgBcAG4AIAAgAD0ATABBAE0AQgBEAEEAKABcACIAVgBBAFIASQBBAFQASQBPAE4AIABPAEYAIABTAE8AVQBSAEMARQAgAEQAQQBUAEEAOgAgAEEAZABkAGUAZAAgAGUAeAB0AHIAYQAgAFIAYQBpAG4AZgBhAGwAbAAgAG0AaQBuACAAYQBuAGQAIABSAGEAaQBuAGYAYQBsAGwAIABtAGEAeAAgAGMAbwBsAHUAbQBuAHMAIAB0AG8AIABjAGEAbABjAHUAbABhAHQAZQAgAHoAbwBuAGUAIABmAHIAbwBtACAAcgBlAGEAbAAgAHIAYQBpAG4AZgBhAGwAbAAgAGQAYQB0AGEALgBcACIAKQA7AFwAbgBcAG4AQwBvAG0AbQBvAG4AXwBTAG8AdQByAGMAZQBEAGEAdABhAF8AUgBhAGkAbgBmAGEAbABsAFoAbwBuAGUAcwBfAEQAYQB0AGEAXABuACAAIAAgAD0ATABBAE0AQgBEAEEAKABcAG4AIAAgACAAIABNAEEASwBFAEEAUgBSAEEAWQAoADMALAAgADQALAAgAFwAbgAgACAAIAAgACAAIABMAEEATQBCAEQAQQAoAHIALABjACwAIABcAG4AIAAgACAAIAAgACAAIAAgAEkATgBEAEUAWAAoAHsAXABuACAAIAAgACAAIAAgACAAIAAgACAAXAAiAFIAYQBpAG4AZgBhAGwAbAAgAFoAbwBuAGUAXAAiACwAIABcACIAQQBuAG4AdQBhAGwAIAByAGEAaQBuAGYAYQBsAGwAXAAiACwAIABcACIAUgBhAGkAbgBmAGEAbABsACAAbQBpAG4AXAAiACwAIABcACIAUgBhAGkAbgBmAGEAbABsACAAbQBhAHgAXAAiADsAXABuACAAIAAgACAAIAAgACAAIAAgACAAXAAiAEgAaQBnAGgAIAByAGEAaQBuAGYAYQBsAGwAXAAiACwAIABcACIAQQBuAG4AdQBhAGwAIAByAGEAaQBuAGYAYQBsAGwAIAA+ACAANgAwADAAbQBtAFwAIgAsACAANgAwADAALgAwADAAMQAsACAAOQA5ADkAOQA5ADkAOwBcAG4AIAAgACAAIAAgACAAIAAgACAAIABcACIATABvAHcAIAByAGEAaQBuAGYAYQBsAGwAXAAiACwAIABcACIAQQBuAG4AdQBhAGwAIAByAGEAaQBuAGYAYQBsAGwAIABkIiAANgAwADAAbQBtAFwAIgAsACAALQA5ADkAOQA5ADkAOQAsACAANgAwADA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wAZQBhAGMAaABpAG4AZwBaAG8AbgBlAHMAXABuAC0ALQAtAC0ALQAtAC0ALQAtAC0ALQAtAC0ALQAtAC0ALQAtAC0ALQAtAC0ALQAtAC0ALQAtAC0ALQAtAC0ALQAtAC0ALQAtAC0ALQBcAG4AKgAvAFwAbgBcAG4AQwBvAG0AbQBvAG4AXwBTAG8AdQByAGMAZQBEAGEAdABhAF8ATABlAGEAYwBoAGkAbgBnAFoAbwBuAGUAcwBfAFQAaQB0AGwAZQBcAG4AIAAgAD0ATABBAE0AQgBEAEEAKABcACIAVgBFAEUAUgBHACAAQQB1AHMAdAByAGEAbABpAGEAbgAgAGwAZQBhAGMAaABpAG4AZwAgAHoAbwBuAGUAcwBcACIAKQA7AFwAbgBcAG4AQwBvAG0AbQBvAG4AXwBTAG8AdQByAGMAZQBEAGEAdABhAF8ATABlAGEAYwBoAGkAbgBnAFoAbwBuAGUAcwBfAFYAYQByAGkAYQBiAGwAZQBcAG4AIAAgAD0ATABBAE0AQgBEAEEAKABcACIAXAAiACkAOwBcAG4AXABuAEMAbwBtAG0AbwBuAF8AUwBvAHUAcgBjAGUARABhAHQAYQBfAEwAZQBhAGMAaABpAG4AZwBaAG8AbgBlAHMAXwBVAG4AaQB0AFwAbgAgACAAPQBMAEEATQBCAEQAQQAoAFwAIgBcACIAKQA7AFwAbgBcAG4AQwBvAG0AbQBvAG4AXwBTAG8AdQByAGMAZQBEAGEAdABhAF8ATABlAGEAYwBoAGkAbgBn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EwAZQBhAGMAaABpAG4AZwBaAG8AbgBlAHMAXwBWAGEAcgBpAGEAdABpAG8AbgBcAG4AIAAgAD0ATABBAE0AQgBEAEEAKABcACIAXAAiACkAOwBcAG4AXABuAEMAbwBtAG0AbwBuAF8AUwBvAHUAcgBjAGUARABhAHQAYQBfAEwAZQBhAGMAaABpAG4AZwBaAG8AbgBlAHMAXwBEAGEAdABhAFwAbgAgACAAIAA9AEwAQQBNAEIARABBACgAXABuACAAIAAgACAATQBBAEsARQBBAFIAUgBBAFkAKAA0ACwAIAAyACwAIABcAG4AIAAgACAAIAAgACAATABBAE0AQgBEAEEAKAByACwAYwAsACAAXABuACAAIAAgACAAIAAgACAAIABJAE4ARABFAFgAKAB7AFwAbgAgACAAIAAgACAAIAAgACAAIAAgAFwAIgBMAGUAYQBjAGgAaQBuAGcAIABaAG8AbgBlAFwAIgAsACAAXAAiAEwAZQBhAGMAaABpAG4AZwAgAGMAcgBpAHQAZQByAGkAYQBcACIAOwBcAG4AIAAgACAAIAAgACAAIAAgACAAIABcACIATABlAGEAYwBoAGkAbgBnACAAbwBjAGMAdQByAHMAXAAiACwAIABcACIAowMoADXYX9w12E7cNdhW3DXYW9wpAD4AowMoADXYONw12EfcMAApACsANdhg3DXYXNw12FbcNdhZ3CAANdhk3DXYTtw12GHcNdhS3DXYX9wgAA4hNdhc3DXYWdw12FHcNdhW3DXYW9w12FTcIAA12FDcNdhO3DXYXdw12E7cNdhQ3DXYVtw12GHcNdhm3FwAIgA7AFwAbgAgACAAIAAgACAAIAAgACAAIAAgAFwAIgBMAGUAYQBjAGgAaQBuAGcAIABkAG8AZQBzACAAbgBvAHQAIABvAGMAYwB1AHIAXAAiACwAIABcACIAowMoADXYX9w12E7cNdhW3DXYW9wpAGQiowMoADXYONw12EfcMAApACsANdhg3DXYXNw12FbcNdhZ3CAANdhk3DXYTtw12GHcNdhS3DXYX9wgAA4hNdhc3DXYWdw12FHcNdhW3DXYW9w12FTcIAA12FDcNdhO3DXYXdw12E7cNdhQ3DXYVtw12GHcNdhm3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gByAGEAYwBXAEUAV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XAEUAVABfAFQAaQB0AGwAZQBcAG4AIAAgAD0ATABBAE0AQgBEAEEAKABcACIARgByAGEAYwB0AGkAbwBuACAAbwBmACAATgAgAHQAaABhAHQAIABpAHMAIABhAHYAYQBpAGwAYQBiAGwAZQAgAGYAbwByACAAbABlAGEAYwBoAGkAbgBnACAAYQBuAGQAIAByAHUAbgBvAGYAZgBcACIAKQA7AFwAbgBcAG4AQwBvAG0AbQBvAG4AXwBTAG8AdQByAGMAZQBEAGEAdABhAF8ARgByAGEAYwBXAEUAVABfAFUAbgBpAHQAXABuACAAIAA9AEwAQQBNAEIARABBACgAXAAiACgARABpAG0AZQBuAHMAaQBvAG4AbABlAHMAcwBcACIAKQA7AFwAbgBcAG4AQwBvAG0AbQBvAG4AXwBTAG8AdQByAGMAZQBEAGEAdABhAF8ARgByAGEAYwBXAEUAVABfAFMAbwB1AHIAYwBlAFwAbgAgACAAPQBMAEEATQBCAEQAQQAoAFwAIgBWAEUARQBSAEcAIAAyADAAMgA2ADoANQAuADUALgAyAC4AMwAgAEMAbwBuAHMAdABhAG4AdAAgAFAAYQByAGEAbQBlAHQAZQByAHMAXAAiACkAOwBcAG4AXABuAEMAbwBtAG0AbwBuAF8AUwBvAHUAcgBjAGUARABhAHQAYQBfAEYAcgBhAGMAVwBFAFQAXwBOAEkAUgBSAGUAZgBlAHIAZQBuAGMAZQBcAG4AIAAgAD0ATABBAE0AQgBEAEEAKABcACIAXAAiACkAOwBcAG4AXABuAEMAbwBtAG0AbwBuAF8AUwBvAHUAcgBjAGUARABhAHQAYQBfAEYAcgBhAGMAVwBFAFQAXwBEAGEAdABhAFwAbgAgACAAPQBMAEEATQBCAEQAQQAoAFwAbgAgACAAIAAgAE0AQQBLAEUAQQBSAFIAQQBZACgAMwAsACAAMgAsACAAXABuACAAIAAgACAAIAAgAEwAQQBNAEIARABBACgAcgAsAGMALAAgAFwAbgAgACAAIAAgACAAIAAgACAASQBOAEQARQBYACgAewBcAG4AIAAgACAAIAAgACAAIAAgACAAIABcACIASQBzACAAaQBuACAAbABlAGEAYwBoAGkAbgBnACAAegBvAG4AZQBcACIALABcACIARgByAGEAYwBXAEUAVABcACIAOwBcAG4AIAAgACAAIAAgACAAIAAgACAAIABcACIAWQBlAHMAIAAtACAAaQBuACAAbABlAGEAYwBoAGkAbgBnACAAegBvAG4AZQBcACIALAAgADEAOwBcAG4AIAAgACAAIAAgACAAIAAgACAAIABcACIATgBvACAALQAgAG4AbwB0ACAAaQBuACAAbABlAGEAYwBoAGkAbgBnACAAegBvAG4AZQBcACIALAAgADAAXABuACAAIAAgACAAIAAgACAAIAB9ACwAIAByACwAIABjACkAXABuACAAIAAgACAAIAAgACkAXABuACAAIAAgACAAKQBcAG4AIAAgACkAOwBcAG4AXABuACAAIABDAG8AbQBtAG8AbgBfAFMAbwB1AHIAYwBlAEQAYQB0AGEAXwBGAHIAYQBjAFcARQBUAF8AVgBhAHIAaQBhAHQAaQBvAG4AXABuACAAIAA9AEwAQQBNAEIARABBACgAKABcACIAXAAiACkAKQA7AFwAbgBcAG4AXABuAFwAbgAvACoAIABcAG4ALQAtAC0ALQAtAC0ALQAtAC0ALQAtAC0ALQAtAC0ALQAtAC0ALQAtAC0ALQAtAC0ALQAtAC0ALQAtAC0ALQAtAC0ALQAtAC0ALQAtAFwAbgBDAG8AbQBtAG8AbgBfAFMAbwB1AHIAYwBlAEQAYQB0AGEAXwBEAGEAdABhAFMAYwBvAHIAZQBzAF8AUwBjAG8AcABlADMAXABuAC0ALQAtAC0ALQAtAC0ALQAtAC0ALQAtAC0ALQAtAC0ALQAtAC0ALQAtAC0ALQAtAC0ALQAtAC0ALQAtAC0ALQAtAC0ALQAtAC0ALQBcAG4AKgAvAFwAbgBcAG4AQwBvAG0AbQBvAG4AXwBTAG8AdQByAGMAZQBEAGEAdABhAF8ARABhAHQAYQBTAGMAbwByAGUAcwBfAFMAYwBvAHAAZQAzAF8AVABpAHQAbABlAFwAbgAgACAAPQBMAEEATQBCAEQAQQAoAFwAIgBBAHUAcwB0AHIAYQBsAGkAYQBuACAAZABhAHQAYQAgAHMAYwBvAHIAZQBzACAAZgBvAHIAIABzAGMAbwBwAGUAIAAzAFwAIgApADsAXABuAFwAbgBDAG8AbQBtAG8AbgBfAFMAbwB1AHIAYwBlAEQAYQB0AGEAXwBEAGEAdABhAFMAYwBvAHIAZQBzAF8AUwBjAG8AcABlADMAXwBWAGEAcgBpAGEAYgBsAGUAXABuACAAIAA9AEwAQQBNAEIARABBACgAXAAiAFwAIgApADsAXABuAFwAbgBDAG8AbQBtAG8AbgBfAFMAbwB1AHIAYwBlAEQAYQB0AGEAXwBEAGEAdABhAFMAYwBvAHIAZQBzAF8AUwBjAG8AcABlADMAXwBVAG4AaQB0AFwAbgAgACAAPQBMAEEATQBCAEQAQQAoAFwAIgBcACIAKQA7AFwAbgBcAG4AQwBvAG0AbQBvAG4AXwBTAG8AdQByAGMAZQBEAGEAdABhAF8ARABhAHQAYQBTAGMAbwByAGUAcwBfAFMAYwBvAHAAZQAzAF8AUwBvAHUAcgBjAGUAXABuACAAIAA9AEwAQQBNAEIARABBACgAXAAiAFYARQBFAFIARwAgADIAMAAyADYAOgAgAFgAWABYAFgAWABYAFgAWABcACIAKQA7AFwAbgBcAG4AQwBvAG0AbQBvAG4AXwBTAG8AdQByAGMAZQBEAGEAdABhAF8ARABhAHQAYQBTAGMAbwByAGUAcwBfAFMAYwBvAHAAZQAzAF8AVgBhAHIAaQBhAHQAaQBvAG4AXABuACAAIAA9AEwAQQBNAEIARABBACgAXAAiAFwAIgApADsAXABuAFwAbgBDAG8AbQBtAG8AbgBfAFMAbwB1AHIAYwBlAEQAYQB0AGEAXwBEAGEAdABhAFMAYwBvAHIAZQBzAF8AUwBjAG8AcABlADMAXwBEAGEAdABhAFwAbgAgACAAIAA9AEwAQQBNAEIARABBACgAXABuACAAIAAgACAATQBBAEsARQBBAFIAUgBBAFkAKAA2ACwAIAAyACwAIABcAG4AIAAgACAAIAAgACAATABBAE0AQgBEAEEAKAByACwAYwAsACAAXABuACAAIAAgACAAIAAgACAAIABJAE4ARABFAFgAKAB7AFwAbgAgACAAIAAgACAAIAAgACAAIAAgAFwAIgBEAGEAdABhACAAcwBvAHUAcgBjAGUAXAAiACwAIABcACIARABhAHQAYQAgAHMAYwBvAHIAZQBcACIAOwBcAG4AIAAgACAAIAAgACAAIAAgACAAIABcACIASQBuAHQAZQByAG4AYQB0AGkAbwBuAGEAbAAgAHMAYwBvAHAAZQAgADMAIABkAGEAdABhAGIAYQBzAGUAXAAiACwAIAAxADsAXABuACAAIAAgACAAIAAgACAAIAAgACAAXAAiAEEAdQBzAHQAcgBhAGwAaQBhAG4AIABzAGMAbwBwAGUAIAAzACAAZABhAHQAYQBiAGEAcwBlAFwAIgAsACAAMgA7AFwAbgAgACAAIAAgACAAIAAgACAAIAAgAFwAIgBTAHQAYQB0AGUAIABvAHIAIAByAGUAZwBpAG8AbgBhAGwAIABzAGMAbwBwAGUAIAAzACAAZABhAHQAYQBiAGEAcwBlAFwAIgAsACAAMwA7AFwAbgAgACAAIAAgACAAIAAgACAAIAAgAFwAIgBFAG0AaQBzAHMAaQBvAG4AcwAgAGkAbgB0AGUAbgBzAGkAdAB5ACAAYwBhAGwAYwB1AGwAYQB0AGUAZAAgAGYAcgBvAG0AIABhAHAAcAByAG8AdgBlAGQAIABtAGUAdABoAG8AZABcACIALAAgADQAOwBcAG4AIAAgACAAIAAgACAAIAAgACAAIABcACIAVgBlAHIAaQBmAGkAZQBkACAAYwByAGUAZABlAG4AdABpAGEAbAAgAG0AYQB0AGMAaABpAG4AZwAgAEkAUwBPADEANAAwADYANwBcACIALAAgADU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GAHIAYQBjAEwARQBBAEMAS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MAEUAQQBDAEgAXwBUAGkAdABsAGUAXABuACAAIAA9AEwAQQBNAEIARABBACgAXAAiAEYAcgBhAGMAdABpAG8AbgAgAG8AZgAgAE4AIAB0AGgAYQB0ACAAaQBzACAAYQB2AGEAaQBsAGEAYgBsAGUAIABmAG8AcgAgAGwAZQBhAGMAaABpAG4AZwAgAGEAbgBkACAAcgB1AG4AbwBmAGYAXAAiACkAOwBcAG4AXABuAEMAbwBtAG0AbwBuAF8AUwBvAHUAcgBjAGUARABhAHQAYQBfAEYAcgBhAGMATABFAEEAQwBIAF8AVQBuAGkAdABcAG4AIAAgAD0ATABBAE0AQgBEAEEAKABcACIAKABEAGkAbQBlAG4AcwBpAG8AbgBsAGUAcwBzAFwAIgApADsAXABuAFwAbgBDAG8AbQBtAG8AbgBfAFMAbwB1AHIAYwBlAEQAYQB0AGEAXwBGAHIAYQBjAEwARQBBAEMASABfAFMAbwB1AHIAYwBlAFwAbgAgACAAPQBMAEEATQBCAEQAQQAoAFwAIgBWAEUARQBSAEcAIAAyADAAMgA2ADoANQAuADUALgAyAC4AMwAgAEMAbwBuAHMAdABhAG4AdAAgAFAAYQByAGEAbQBlAHQAZQByAHMAXAAiACkAOwBcAG4AXABuAEMAbwBtAG0AbwBuAF8AUwBvAHUAcgBjAGUARABhAHQAYQBfAEYAcgBhAGMATABFAEEAQwBIAF8ATgBJAFIAUgBlAGYAZQByAGUAbgBjAGUAXABuACAAIAA9AEwAQQBNAEIARABBACgAXAAiAE4AYQB0AGkAbwBuAGEAbAAgAEkAbgB2AGUAbgB0AG8AcgB5ACAAUgBlAHAAbwByAHQAIABWAG8AbAB1AG0AZQAgADEAOgAgAEwAZQBhAGMAaABpAG4AZwAgAGEAbgBkACAAcgB1AG4AbwBmAGYAIAAoADMALgBEAC4AYgAuADIAKQBcACIAKQA7AFwAbgBcAG4AQwBvAG0AbQBvAG4AXwBTAG8AdQByAGMAZQBEAGEAdABhAF8ARgByAGEAYwBMAEUAQQBDAEgAXwBEAGEAdABhAFwAbgAgACAAPQBMAEEATQBCAEQAQQAoAFwAbgAgACAAIAAgAE0AQQBLAEUAQQBSAFIAQQBZACgAMQAsACAAMgAsACAAXABuACAAIAAgACAAIAAgAEwAQQBNAEIARABBACgAcgAsAGMALAAgAFwAbgAgACAAIAAgACAAIAAgACAASQBOAEQARQBYACgAewBcAG4AIAAgACAAIAAgACAAIAAgACAAIABcACIARgByAGEAYwBMAEUAQQBDAEgAXAAiACwAMAAuADIANABcAG4AIAAgACAAIAAgACAAIAAgAH0ALAAgAHIALAAgAGMAKQBcAG4AIAAgACAAIAAgACAAKQBcAG4AIAAgACAAIAApAFwAbgAgACAAKQA7AFwAbgBcAG4AIAAgAEMAbwBtAG0AbwBuAF8AUwBvAHUAcgBjAGUARABhAHQAYQBfAEYAcgBhAGMATABFAEEAQwBIAF8AVgBhAHIAaQBhAHQAaQBvAG4AXABuACAAIAA9AEwAQQBNAEIARABBACgAKABcACIAXAAiACkAKQA7AFwAbgBcAG4AXABuAFwAbgAvACoAIABcAG4ALQAtAC0ALQAtAC0ALQAtAC0ALQAtAC0ALQAtAC0ALQAtAC0ALQAtAC0ALQAtAC0ALQAtAC0ALQAtAC0ALQAtAC0ALQAtAC0ALQAtAFwAbgBDAG8AbQBtAG8AbgBfAFMAbwB1AHIAYwBlAEQAYQB0AGEAXwBFAEYAbABlAGEAYwBoAFwAbgA1AC4ANQAuADIALgAzACAAQwBvAG4AcwB0AGEAbgB0ACAAUABhAHIAYQBtAGUAdABlAHIAcwBcAG4ARQBtAGkAcwBzAGkAbwBuACAAZgBhAGMAdABvAHIAIABmAG8AcgAgAG4AaQB0AHIAbwBnAGUAbgAgAGwAZQBhAGMAaABpAG4AZwAgAGEAbgBkACAAcgB1AG4AbwBmAGYAXABuAC0ALQAtAC0ALQAtAC0ALQAtAC0ALQAtAC0ALQAtAC0ALQAtAC0ALQAtAC0ALQAtAC0ALQAtAC0ALQAtAC0ALQAtAC0ALQAtAC0ALQBcAG4AKgAvAFwAbgBcAG4AQwBvAG0AbQBvAG4AXwBTAG8AdQByAGMAZQBEAGEAdABhAF8ARQBGAGwAZQBhAGMAaABfAFQAaQB0AGwAZQBcAG4AIAAgAD0ATABBAE0AQgBEAEEAKABcACIARQBtAGkAcwBzAGkAbwBuACAAZgBhAGMAdABvAHIAIABmAG8AcgAgAG4AaQB0AHIAbwBnAGUAbgAgAGwAZQBhAGMAaABpAG4AZwAgAGEAbgBkACAAcgB1AG4AbwBmAGYAXAAiACkAOwBcAG4AXABuAEMAbwBtAG0AbwBuAF8AUwBvAHUAcgBjAGUARABhAHQAYQBfAEUARgBsAGUAYQBjAGgAXwBVAG4AaQB0AFwAbgAgACAAPQBMAEEATQBCAEQAQQAoAFwAIgAoAGsAZwAgAE4AMgBPAC0ATgAgAC8AIABrAGcAIABOAFwAIgApADsAXABuAFwAbgBDAG8AbQBtAG8AbgBfAFMAbwB1AHIAYwBlAEQAYQB0AGEAXwBFAEYAbABlAGEAYwBoAF8AUwBvAHUAcgBjAGUAXABuACAAIAA9AEwAQQBNAEIARABBACgAXAAiAFYARQBFAFIARwAgADIAMAAyADYAOgA1AC4ANQAuADIALgAzACAAQwBvAG4AcwB0AGEAbgB0ACAAUABhAHIAYQBtAGUAdABlAHIAcwBcACIAKQA7AFwAbgBcAG4AQwBvAG0AbQBvAG4AXwBTAG8AdQByAGMAZQBEAGEAdABhAF8ARQBGAGwAZQBhAGMAaABfAE4ASQBSAFIAZQBmAGUAcgBlAG4AYwBlAFwAbgAgACAAPQBMAEEATQBCAEQAQQAoAFwAIgBOAGEAdABpAG8AbgBhAGwAIABJAG4AdgBlAG4AdABvAHIAeQAgAFIAZQBwAG8AcgB0ACAAVgBvAGwAdQBtAGUAIAAxADoAIABFAHEAdQBhAHQAaQBvAG4AIAAzAC4ARAAuAEIAXwAxADAAXAAiACkAOwBcAG4AXABuAEMAbwBtAG0AbwBuAF8AUwBvAHUAcgBjAGUARABhAHQAYQBfAEUARgBsAGUAYQBjAGgAXwBEAGEAdABhAFwAbgAgACAAPQBMAEEATQBCAEQAQQAoAFwAbgAgACAAIAAgAE0AQQBLAEUAQQBSAFIAQQBZACgAMQAsACAAMgAsACAAXABuACAAIAAgACAAIAAgAEwAQQBNAEIARABBACgAcgAsAGMALAAgAFwAbgAgACAAIAAgACAAIAAgACAASQBOAEQARQBYACgAewBcAG4AIAAgACAAIAAgACAAIAAgACAAIABcACIARQBGAGwAZQBhAGMAaABcACIALAAwAC4AMAAxADEAXABuACAAIAAgACAAIAAgACAAIAB9ACwAIAByACwAIABjACkAXABuACAAIAAgACAAIAAgACkAXABuACAAIAAgACAAKQBcAG4AIAAgACkAOwBcAG4AXABuACAAIABDAG8AbQBtAG8AbgBfAFMAbwB1AHIAYwBlAEQAYQB0AGEAXwBFAEYAbABlAGEAYwBoAF8AVgBhAHIAaQBhAHQAaQBvAG4AXABuACAAIAA9AEwAQQBNAEIARABBACgAKABcACIAXAAiACkAKQA7AFwAbgBcAG4AXABuAC8AKgAgAFwAbgAtAC0ALQAtAC0ALQAtAC0ALQAtAC0ALQAtAC0ALQAtAC0ALQAtAC0ALQAtAC0ALQAtAC0ALQAtAC0ALQAtAC0ALQAtAC0ALQAtAC0AXABuAEMAbwBtAG0AbwBuAF8AUwBvAHUAcgBjAGUARABhAHQAYQBfAEUARgBOADIATwBcAG4AVABhAGIAbABlACAAQQAuADIALgAyAC4AMQBcAG4ATgBpAHQAcgBvAHUAcwAgAG8AeABpAGQAZQAgAGUAbQBpAHMAcwBpAG8AbgAgAGYAYQBjAHQAbwByAHMAIABmAG8AcgAgAGkAbgBvAHIAZwBhAG4AaQBjACAAZgBlAHIAdABpAGwAaQBzAGUAcgAgAGEAcABwAGwAaQBjAGEAdABpAG8AbgAgACgAawBnACAATgAyAE8ALQBOAC8AawBnACAATgApACAAKABFAEYATgAyAE8AKQBcAG4ALQAtAC0ALQAtAC0ALQAtAC0ALQAtAC0ALQAtAC0ALQAtAC0ALQAtAC0ALQAtAC0ALQAtAC0ALQAtAC0ALQAtAC0ALQAtAC0ALQAtAFwAbgAqAC8AXABuAFwAbgBDAG8AbQBtAG8AbgBfAFMAbwB1AHIAYwBlAEQAYQB0AGEAXwBFAEYATgAyAE8AXwBUAGkAdABsAGUAXABuACAAIAA9AEwAQQBNAEIARABBACgAXAAiAE4AaQB0AHIAbwB1AHMAIABvAHgAaQBkAGUAIABlAG0AaQBzAHMAaQBvAG4AIABmAGEAYwB0AG8AcgBzACAAZgBvAHIAIABpAG4AbwByAGcAYQBuAGkAYwAgAGYAZQByAHQAaQBsAGkAcwBlAHIAIABhAHAAcABsAGkAYwBhAHQAaQBvAG4AXAAiACkAOwBcAG4AXABuAEMAbwBtAG0AbwBuAF8AUwBvAHUAcgBjAGUARABhAHQAYQBfAEUARgBOADIATwBfAFUAbgBpAHQAXABuACAAIAA9AEwAQQBNAEIARABBACgAXAAiACgAawBnACAATgAyAE8ALQBOACAALwAgAGsAZwAgAE4AXAAiACkAOwBcAG4AXABuAEMAbwBtAG0AbwBuAF8AUwBvAHUAcgBjAGUARABhAHQAYQBfAEUARgBOADIATwBfAFMAbwB1AHIAYwBlAFwAbgAgACAAPQBMAEEATQBCAEQAQQAoAFwAIgBWAEUARQBSAEcAIAAyADAAMgA2ADoAIABUAGEAYgBsAGUAIABBAC4AMgAuADIALgAxAFwAIgApADsAXABuAFwAbgBDAG8AbQBtAG8AbgBfAFMAbwB1AHIAYwBlAEQAYQB0AGEAXwBFAEYATgAyAE8AXwBOAEkAUgBSAGUAZgBlAHIAZQBuAGMAZQBcAG4AIAAgAD0ATABBAE0AQgBEAEEAKABcACIAXAAiACkAOwBcAG4AXABuAEMAbwBtAG0AbwBuAF8AUwBvAHUAcgBjAGUARABhAHQAYQBfAEUARgBOADIATwBfAEQAYQB0AGEAXABuACAAIAA9AEwAQQBNAEIARABBACgAXABuACAAIAAgACAATQBBAEsARQBBAFIAUgBBAFkAKAAxADUALAAgADUALAAgAFwAbgAgACAAIAAgACAAIABMAEEATQBCAEQAQQAoAHIALABjACwAIABcAG4AIAAgACAAIAAgACAAIAAgAEkATgBEAEUAWAAoAHsAXABuACAAIAAgACAAIAAgACAAIAAgACAAXAAiAFAAcgBvAGQAdQBjAHQAaQBvAG4AIABzAHkAcwB0AGUAbQAgAGoAXAAiACwAXAAiAEUARgBOADIATwBcACIALAAgAFwAIgBQAHIAbwBkAHUAYwB0AGkAbwBuACAAcwB5AHMAdABlAG0AIABvAG4AbAB5AFwAIgAsACAAXAAiAEkAcgByAGkAZwBhAHQAaQBvAG4AIABtAGUAdABoAG8AZABcACIALAAgAFwAIgBSAGEAaQBuAGYAYQBsAGwAIAB6AG8AbgBlAFwAIgA7AFwAbgAgACAAIAAgACAAIAAgACAAIAAgAFwAIgBJAHIAcgBpAGcAYQB0AGUAZAAgAHAAYQBzAHQAdQByAGUAXAAiACwAMAAuADAAMAA1ADkALAAgAFwAIgBQAGEAcwB0AHUAcgBlAFwAIgAsACAAXAAiAEEAbgB5AFwAIgAsACAAXAAiAEEAbgB5AFwAIgA7AFwAbgAgACAAIAAgACAAIAAgACAAIAAgAFwAIgBJAHIAcgBpAGcAYQB0AGUAZAAgAGMAcgBvAHAAXAAiACwAMAAuADAAMAA3ACwAIABcACIAQwByAG8AcABcACIALAAgAFwAIgBBAG4AeQBcACIALAAgAFwAIgBBAG4AeQBcACIAOwBcAG4AIAAgACAAIAAgACAAIAAgACAAIABcACIATgBvAG4ALQBpAHIAcgBpAGcAYQB0AGUAZAAgAHAAYQBzAHQAdQByAGUAXAAiACwAMAAuADAAMAAxADgALAAgAFwAIgBQAGEAcwB0AHUAcgBlAFwAIgAsACAAXAAiAE4AbwB0ACAAaQByAHIAaQBnAGEAdABlAGQAXAAiACwAIABcACIATABvAHcAIAByAGEAaQBuAGYAYQBsAGwAXAAiADsAXABuACAAIAAgACAAIAAgACAAIAAgACAAXAAiAE4AbwBuAC0AaQByAHIAaQBnAGEAdABlAGQAIABwAGEAcwB0AHUAcgBlAFwAIgAsADAALgAwADAAMQA4ACwAIABcACIAUABhAHMAdAB1AHIAZQBcACIALAAgAFwAIgBOAG8AdAAgAGkAcgByAGkAZwBhAHQAZQBkAFwAIgAsACAAXAAiAEgAaQBnAGgAIAByAGEAaQBuAGYAYQBsAGwAXAAiADsAXABuACAAIAAgACAAIAAgACAAIAAgACAAXAAiAE4AbwBuAC0AaQByAHIAaQBnAGEAdABlAGQAIABjAHIAbwBwACAAKABsAG8AdwAgAHIAYQBpAG4AZgBhAGwAbAApAFwAIgAsADAALgAwADAAMgA5ACwAIABcACIAQwByAG8AcABcACIALAAgAFwAIgBOAG8AdAAgAGkAcgByAGkAZwBhAHQAZQBkAFwAIgAsACAAXAAiAEwAbwB3ACAAcgBhAGkAbgBmAGEAbABsAFwAIgA7AFwAbgAgACAAIAAgACAAIAAgACAAIAAgAFwAIgBOAG8AbgAtAGkAcgByAGkAZwBhAHQAZQBkACAAYwByAG8AcAAgACgAaABpAGcAaAAgAHIAYQBpAG4AZgBhAGwAbAApAFwAIgAsADAALgAwADAAOAAsACAAXAAiAEMAcgBvAHAAXAAiACwAIABcACIATgBvAHQAIABpAHIAcgBpAGcAYQB0AGUAZABcACIALAAgAFwAIgBIAGkAZwBoACAAcgBhAGkAbgBmAGEAbABsAFwAIgA7AFwAbgAgACAAIAAgACAAIAAgACAAIAAgAFwAIgBTAHUAZwBhAHIAXAAiACwAMAAuADAAMQA5ADkALAAgAFwAIgBTAHUAZwBhAHIAXAAiACwAIABcACIAQQBuAHkAXAAiACwAIABcACIAQQBuAHkAXAAiADsAXABuACAAIAAgACAAIAAgACAAIAAgACAAXAAiAEMAbwB0AHQAbwBuAFwAIgAsADAALgAwADAANQAzACwAIABcACIAQwBvAHQAdABvAG4AXAAiACwAIABcACIAQQBuAHkAXAAiACwAIABcACIAQQBuAHkAXAAiADsAXABuACAAIAAgACAAIAAgACAAIAAgACAAXAAiAEgAbwByAHQAaQBjAHUAbAB0AHUAcgBhAGwAIABjAHIAbwBwAHMAXAAiACwAMAAuADAAMAA2ADQALAAgAFwAIgBIAG8AcgB0AGkAYwB1AGwAdAB1AHIAYQBsACAAYwByAG8AcABzAFwAIgAsACAAXAAiAEEAbgB5AFwAIgAsACAAXAAiAEEAbgB5AFwAIgA7AFwAbgAgACAAIAAgACAAIAAgACAAIAAgAFwAIgBSAGkAYwBlACAAKABjAG8AbgB0AGkAbgB1AG8AdQBzACAAZgBsAG8AbwBkAGkAbgBnACkAXAAiACwAMAAuADAAMAAzACwAIABcACIAUgBpAGMAZQBcACIALAAgAFwAIgBDAG8AbgB0AGkAbgB1AG8AdQBzACAAZgBsAG8AbwBkAGkAbgBnAFwAIgAsACAAXAAiAEEAbgB5AFwAIgA7AFwAbgAgACAAIAAgACAAIAAgACAAIAAgAFwAIgBSAGkAYwBlACAAKABzAGkAbgBnAGwAZQAgAGEAbgBkACAAbQB1AGwAdABpAHAAbABlACAAZAByAGEAaQBuAGEAZwBlACwAIABvAHIAIABhAGwAdABlAHIAbgBhAHQAZQAgAHcAZQB0AHQAaQBuAGcAIABhAG4AZAAgAGQAcgB5AGkAbgBnACkAXAAiACwAMAAuADAAMAA1ACwAIABcACIAUgBpAGMAZQBcACIALAAgAFwAIgBTAGkAbgBnAGwAZQAgAGEAbgBkACAAbQB1AGwAdABpAHAAbABlACAAZAByAGEAaQBuAGEAZwBlACwAIABvAHIAIABhAGwAdABlAHIAbgBhAHQAZQAgAHcAZQB0AHQAaQBuAGcAIABhAG4AZAAgAGQAcgB5AGkAbgBnAFwAIgAsACAAXAAiAEEAbgB5AFwAIgA7AFwAbgAgACAAIAAgACAAIAAgACAAIAAgAFwAIgBBAHEAdQBhAGMAdQBsAHQAdQByAGUAXAAiACwAMAAuADAAMAAyADYALAAgAFwAIgBBAHEAdQBhAGMAdQBsAHQAdQByAGUAXAAiACwAIABcACIAQQBuAHkAXAAiACwAIABcACIAQQBuAHkAXAAiADsAXABuACAAIAAgACAAIAAgACAAIAAgACAAXAAiAEYAbwByAGUAcwB0AHIAeQBcACIALAAwAC4AMAAwADEAOAAsACAAXAAiAEYAbwByAGUAcwB0AHIAeQBcACIALAAgAFwAIgBBAG4AeQBcACIALAAgAFwAIgBBAG4AeQBcACIAXABuACAAIAAgACAAIAAgACAAIAB9ACwAIAByACwAIABjACkAXABuACAAIAAgACAAIAAgACkAXABuACAAIAAgACAAKQBcAG4AIAAgACkAOwBcAG4AXABuACAAIABDAG8AbQBtAG8AbgBfAFMAbwB1AHIAYwBlAEQAYQB0AGEAXwBFAEYATgAyAE8AXwBWAGEAcgBpAGEAdABpAG8AbgBcAG4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FIAZQBtAG8AdgBlAGQAIABkAHUAcABsAGkAYwBhAHQAZQAgACcAQQBxAHUAYQBjAHUAbAB0AHUAcgBlACcAIAByAG8AdwAuAFwAIgA7AFwAbgAgACAAIAAgACAAIAAgACAAIAAgAFwAIgBSAGUAbQBvAHYAZQBkACAAYQBzAHQAZQByAGkAcwBrAHMAIAB0AG8AIABhAGkAZAAgAGwAbwBvAGsAdQBwAC4AXAAiADsAXABuACAAIAAgACAAIAAgACAAIAAgACAAXAAiAEEAZABkAGUAZAAgACcAcAByAG8AZAB1AGMAdABpAG8AbgAgAHMAeQBzAHQAZQBtACAAbwBuAGwAeQAnACwAIAAnAHIAYQBpAG4AZgBhAGwAbAAgAHoAbwBuAGUAJwAgAGEAbgBkACAAJwBpAHIAcgBpAGcAYQB0AGkAbwBuACAAbQBlAHQAaABvAGQAJwAgAGMAbwBsAHUAbQBuAHMAIAB0AG8AIABhAGkAZAAgAGwAbwBvAGsAdQBwAC4AXAAiADsAXABuACAAIAAgACAAIAAgACAAIAAgACAAXAAiAEQAdQBwAGwAaQBjAGEAdABlAGQAIAAnAG4AbwBuAC0AaQByAHIAaQBnAGEAdABlAGQAIABwAGEAcwB0AHUAcgBlACcAIAByAG8AdwAgAHcAaQB0AGgAIABzAGEAbQBlACAARQBGACAAZgBvAHIAIABsAG8AdwAgAGEAbgBkACAAaABpAGcAaAAgAHIAYQBpAG4AZgBhAGwAbAAgAHoAbwBuAGUAcwAgAHQAbwAgAGEAaQBkACAAbABvAG8AawB1AHAALg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YAcgBhAGMAVwBFAFQASQByAHIAaQBnAGEAdABpAG8AbgBcAG4AVgBFAEUAUgBHACAAMgAwADIANgA6ACAAQwBoAGEAcAB0AGUAcgAgADEALAAgAHMAZQBjAHQAaQBvAG4AIAAxAC4AOAAuADIAIABMAGUAYQBjAGgAaQBuAGcALAAgAGMAbABpAG0AYQB0AGUAIABhAG4AZAAgAHIAYQBpAG4AZgBhAGwAbAAgAHoAbwBuAGUAcwBcAG4ASQBQAEMAQwA6ACAATgAyAE8AIABFAE0ASQBTAFMASQBPAE4AUwAgAEYAUgBPAE0AIABNAEEATgBBAEcARQBEACAAUwBPAEkATABTACwAIABBAE4ARAAgAEMATwAyACAARQBNAEkAUwBTAEkATwBOAFMAIABGAFIATwBNACAATABJAE0ARQAgAEEATgBEACAAVQBSAEUAQQAgAEEAUABQAEwASQBDAEEAVABJAE8ATgBcAG4ALQAtAC0ALQAtAC0ALQAtAC0ALQAtAC0ALQAtAC0ALQAtAC0ALQAtAC0ALQAtAC0ALQAtAC0ALQAtAC0ALQAtAC0ALQAtAC0ALQAtAFwAbgAqAC8AXABuAFwAbgBDAG8AbQBtAG8AbgBfAFMAbwB1AHIAYwBlAEQAYQB0AGEAXwBGAHIAYQBjAFcARQBUAEkAcgByAGkAZwBhAHQAaQBvAG4AXwBUAGkAdABsAGUAXABuACAAIAA9AEwAQQBNAEIARABBACgAXAAiAEYAcgBhAGMAVwBFAFQAIABmAG8AcgAgAGkAcgByAGkAZwBhAHQAaQBvAG4AIAB0AHkAcABlAHMAXAAiACkAOwBcAG4AXABuAEMAbwBtAG0AbwBuAF8AUwBvAHUAcgBjAGUARABhAHQAYQBfAEYAcgBhAGMAVwBFAFQASQByAHIAaQBnAGEAdABpAG8AbgBfAFUAbgBpAHQAXABuACAAIAA9AEwAQQBNAEIARABBACgAXAAiAGQAaQBtAGUAbgBzAGkAbwBuAGwAZQBzAHMAXAAiACkAOwBcAG4AXABuAEMAbwBtAG0AbwBuAF8AUwBvAHUAcgBjAGUARABhAHQAYQBfAEYAcgBhAGMAVwBFAFQASQByAHIAaQBnAGEAdABpAG8AbgBfAFMAbwB1AHIAYwBlAFwAbgAgACAAPQBMAEEATQBCAEQAQQAoAFwAIgBWAEUARQBSAEcAIAAyADAAMgA2ADoAIABDAGgAYQBwAHQAZQByACAAMQAsACAAcwBlAGMAdABpAG8AbgAgADEALgA4AC4AMgAgAEwAZQBhAGMAaABpAG4AZwAsACAAYwBsAGkAbQBhAHQAZQAgAGEAbgBkACAAcgBhAGkAbgBmAGEAbABsACAAegBvAG4AZQBzAFwAIgApADsAXABuAFwAbgBDAG8AbQBtAG8AbgBfAFMAbwB1AHIAYwBlAEQAYQB0AGEAXwBGAHIAYQBjAFcARQBUAEkAcgByAGkAZwBhAHQAaQBvAG4AXwBOAEkAUgBSAGUAZgBlAHIAZQBuAGMAZQBcAG4AIAAgAD0ATABBAE0AQgBEAEEAKABcACIASQBQAEMAQwAgADIAMAAxADkAIABSAGUAZgBpAG4AZQBtAGUAbgB0ACAAVgBvAGwAdQBtAGUAIAA0ADoAIABDAGgAYQBwAHQAZQByACAAMQAxADoAIABOADIATwAgAEUAbQBpAHMAcwBpAG8AbgBzACAAZgByAG8AbQAgAE0AYQBuAGEAZwBlAGQAIABTAG8AaQBsAHMALAAgAGEAbgBkACAAQwBPADIAIABFAG0AaQBzAHMAaQBvAG4AcwAgAGYAcgBvAG0AIABMAGkAbQBlACAAYQBuAGQAIABVAHIAZQBhACAAQQBwAHAAbABpAGMAYQB0AGkAbwBuAFwAIgApADsAXABuAFwAbgBDAG8AbQBtAG8AbgBfAFMAbwB1AHIAYwBlAEQAYQB0AGEAXwBGAHIAYQBjAFcARQBUAEkAcgByAGkAZwBhAHQAaQBvAG4AXwBEAGEAdABhAFwAbgAgACAAPQBMAEEATQBCAEQAQQAoAFwAbgAgACAAIAAgAE0AQQBLAEUAQQBSAFIAQQBZACgANgAsACAAMgAsACAAXABuACAAIAAgACAAIAAgAEwAQQBNAEIARABBACgAcgAsAGMALAAgAFwAbgAgACAAIAAgACAAIAAgACAASQBOAEQARQBYACgAewBcAG4AIAAgACAAIAAgACAAIAAgACAAIABcACIASQByAHIAaQBnAGEAdABpAG8AbgAgAHQAeQBwAGUAIABpAHIAXAAiACwAXAAiAEYAcgBhAGMAVwBFAFQAXAAiADsAXABuACAAIAAgACAAIAAgACAAIAAgACAAXAAiAE4AbwB0ACAAaQByAHIAaQBnAGEAdABlAGQAXAAiACwAIAAwADsAXABuACAAIAAgACAAIAAgACAAIAAgACAAXAAiAEQAcgBpAHAAIABpAHIAcgBpAGcAYQB0AGkAbwBuAFwAIgAsACAAMAA7AFwAbgAgACAAIAAgACAAIAAgACAAIAAgAFwAIgBTAHAAcgBpAG4AawBsAGUAcgAgAGkAcgByAGkAZwBhAHQAaQBvAG4AXAAiACwAIAAxADsAXABuACAAIAAgACAAIAAgACAAIAAgACAAXAAiAFMAdQByAGYAYQBjAGUAIABpAHIAcgBpAGcAYQB0AGkAbwBuAFwAIgAsACAAMQA7AFwAbgAgACAAIAAgACAAIAAgACAAIAAgAFwAIgBPAHQAaABlAHIAIABpAHIAcgBpAGcAYQB0AGkAbwBuAFwAIgAsACAAMQBcAG4AIAAgACAAIAAgACAAIAAgAH0ALAAgAHIALAAgAGMAKQBcAG4AIAAgACAAIAAgACAAKQBcAG4AIAAgACAAIAApAFwAbgAgACAAKQA7AFwAbgBcAG4AIAAgAEMAbwBtAG0AbwBuAF8AUwBvAHUAcgBjAGUARABhAHQAYQBfAEYAcgBhAGMAVwBFAFQASQByAHIAaQBnAGEAdABpAG8AbgBfAFYAYQByAGkAYQB0AGkAbwBuAFwAbgAgACAAPQBMAEEATQBCAEQAQQAoAFwAIgBWAEEAUgBJAEEAVABJAE8ATgAgAEYAUgBPAE0AIABTAE8AVQBSAEMARQAgAEQAQQBUAEEAOgAgAFQAYQBiAGwAZQAgAGMAcgBlAGEAdABlAGQAIABiAGEAcwBlAGQAIABvAG4AIABWAEUARQBSAEcAIAB0AGUAeAB0ACAAJwBBAHIAZQBhAHMAIABhAHIAZQAgAHMAdQBiAGoAZQBjAHQAIAB0AG8AIABsAGUAYQBjAGgAaQBuAGcAIAAoAGkALgBlAC4ALAAgAGkAbgAgAHQAaABlACAAbABlAGEAYwBoAGkAbgBnACAAegBvAG4AZQApACAAdwBoAGUAbgAuAC4ALgAgAHQAaABlACAAbABhAG4AZAAgAGkAcwAgAGkAcgByAGkAZwBhAHQAZQBkACAAKABlAHgAYwBlAHAAdAAgAGQAcgBpAHAAIABpAHIAcgBpAGcAYQB0AGkAbwBuACkALgAnAFwAIgApADsAXABuAFwAbgBcAG4ALwAqACAAXABuAC0ALQAtAC0ALQAtAC0ALQAtAC0ALQAtAC0ALQAtAC0ALQAtAC0ALQAtAC0ALQAtAC0ALQAtAC0ALQAtAC0ALQAtAC0ALQAtAC0ALQBcAG4AQwBvAG0AbQBvAG4AXwBTAG8AdQByAGMAZQBEAGEAdABhAF8ARQBGAFAAYQBzAHQAdQByAGUAUgBhAG4AZwBlAEEAbgBkAFAAYQBkAGQAbwBjAGsAXABuAFQAYQBiAGwAZQAgAEEALgAyAC4AMgAuADIAOgAgAEUAbQBpAHMAcwBpAG8AbgAgAGYAYQBjAHQAbwByACAAZgBvAHIAIAB1AHIAaQBuAGUAIABhAG4AZAAgAGQAdQBuAGcAIABkAGUAcABvAHMAaQB0AGUAZAAgAG8AbgAgAHAAYQBzAHQAdQByAGUALAAgAHIAYQBuAGcAZQAgAG8AcgAgAHAAYQBkAGQAbwBjAGsAIAAoAGsAZwAgAE4AMgBPAC0ATgAvAGsAZwAgAE4AKQAgACgARQBGAFAAUgBQACkAXABuAC0ALQAtAC0ALQAtAC0ALQAtAC0ALQAtAC0ALQAtAC0ALQAtAC0ALQAtAC0ALQAtAC0ALQAtAC0ALQAtAC0ALQAtAC0ALQAtAC0ALQBcAG4AKgAvAFwAbgBcAG4AQwBvAG0AbQBvAG4AXwBTAG8AdQByAGMAZQBEAGEAdABhAF8ARQBGAFAAYQBzAHQAdQByAGUAUgBhAG4AZwBlAEEAbgBkAFAAYQBkAGQAbwBjAGsAXwBUAGkAdABsAGUAXABuACAAIAA9AEwAQQBNAEIARABBACgAXAAiAEUAbQBpAHMAcwBpAG8AbgAgAGYAYQBjAHQAbwByACAAZgBvAHIAIAB1AHIAaQBuAGUAIABhAG4AZAAgAGQAdQBuAGcAIABkAGUAcABvAHMAaQB0AGUAZAAgAG8AbgAgAHAAYQBzAHQAdQByAGUALAAgAHIAYQBuAGcAZQAgAG8AcgAgAHAAYQBkAGQAbwBjAGsAXAAiACkAOwBcAG4AXABuAEMAbwBtAG0AbwBuAF8AUwBvAHUAcgBjAGUARABhAHQAYQBfAEUARgBQAGEAcwB0AHUAcgBlAFIAYQBuAGcAZQBBAG4AZABQAGEAZABkAG8AYwBrAF8AVQBuAGkAdABcAG4AIAAgAD0ATABBAE0AQgBEAEEAKABcACIAawBnACAATgAyAE8AIAAtACAATgAgAC8AIABrAGcAIABOAFwAIgApADsAXABuAFwAbgBDAG8AbQBtAG8AbgBfAFMAbwB1AHIAYwBlAEQAYQB0AGEAXwBFAEYAUABhAHMAdAB1AHIAZQBSAGEAbgBnAGUAQQBuAGQAUABhAGQAZABvAGMAawBfAFMAbwB1AHIAYwBlAFwAbgAgACAAPQBMAEEATQBCAEQAQQAoAFwAIgBWAEUARQBSAEcAIAAyADAAMgA2ADoAIABUAGEAYgBsAGUAIABBAC4AMgAuADIALgAyAFwAIgApADsAXABuAFwAbgBDAG8AbQBtAG8AbgBfAFMAbwB1AHIAYwBlAEQAYQB0AGEAXwBFAEYAUABhAHMAdAB1AHIAZQBSAGEAbgBnAGUAQQBuAGQAUABhAGQAZABvAGMAawBfAE4ASQBSAFIAZQBmAGUAcgBlAG4AYwBlAFwAbgAgACAAPQBMAEEATQBCAEQAQQAoAFwAIgBcACIAKQA7AFwAbgBcAG4AQwBvAG0AbQBvAG4AXwBTAG8AdQByAGMAZQBEAGEAdABhAF8ARQBGAFAAYQBzAHQAdQByAGUAUgBhAG4AZwBlAEEAbgBkAFAAYQBkAGQAbwBjAGsAXwBEAGEAdABhAFwAbgAgACAAPQBMAEEATQBCAEQAQQAoAFwAbgAgACAAIAAgAE0AQQBLAEUAQQBSAFIAQQBZACgAMwAsACAAMgAsACAAXABuACAAIAAgACAAIAAgAEwAQQBNAEIARABBACgAcgAsAGMALAAgAFwAbgAgACAAIAAgACAAIAAgACAASQBOAEQARQBYACgAewBcAG4AIAAgACAAIAAgACAAIAAgACAAIABcACIAQwBsAGkAbQBhAHQAZQAgAHoAbwBuAGUAXAAiACwAIABcACIARQBGAFAAUgBQAFwAIgA7AFwAbgAgACAAIAAgACAAIAAgACAAIAAgAFwAIgBXAGUAdAAgAGMAbABpAG0AYQB0AGUAIAB6AG8AbgBlAFwAIgAsACAAMAAuADAAMAA2ADsAXABuACAAIAAgACAAIAAgACAAIAAgACAAXAAiAEQAcgB5ACAAYwBsAGkAbQBhAHQAZQAgAHoAbwBuAGUAXAAiACwAIAAwAC4AMAAwADIAXABuACAAIAAgACAAIAAgACAAIAB9ACwAIAByACwAIABjACkAXABuACAAIAAgACAAIAAgACkAXABuACAAIAAgACAAKQBcAG4AIAAgACkAOwBcAG4AXABuACAAIABDAG8AbQBtAG8AbgBfAFMAbwB1AHIAYwBlAEQAYQB0AGEAXwBFAEYAUABhAHMAdAB1AHIAZQBSAGEAbgBnAGUAQQBuAGQAUABhAGQAZABvAGMAawBfAFYAYQByAGkAYQB0AGkAbwBuAFwAbgAgACAAPQBMAEEATQBCAEQAQQAoAFwAIgBWAEEAUgBJAEEAVABJAE8ATgAgAEYAUgBPAE0AIABTAE8AVQBSAEMARQAgAEQAQQBUAEEAOgAgAEMAaABhAG4AZwBlAGQAIAAnAEQAcgB5ACAAYwBsAGkAbQBhAHQAZQAgAHoAbwBuAGUAcwAnACAAdABvACAAcwBpAG4AZwB1AGwAYQByACAAJwBEAHIAeQAgAGMAbABpAG0AYQB0AGUAIAB6AG8AbgBlACcAIAB0AG8AIABhAGkAZAAgAGwAbwBvAGsAdQBwAC4AXAAiACkAOwBcAG4AXABuAFwAbgAvACoAIABcAG4ALQAtAC0ALQAtAC0ALQAtAC0ALQAtAC0ALQAtAC0ALQAtAC0ALQAtAC0ALQAtAC0ALQAtAC0ALQAtAC0ALQAtAC0ALQAtAC0ALQAtAFwAbgBDAG8AbQBtAG8AbgBfAFMAbwB1AHIAYwBlAEQAYQB0AGEAXwBNAG8AbgB0AGgAcwBUAG8AUwBlAGEAcwBvAG4AcwBcAG4ALQAtAC0ALQAtAC0ALQAtAC0ALQAtAC0ALQAtAC0ALQAtAC0ALQAtAC0ALQAtAC0ALQAtAC0ALQAtAC0ALQAtAC0ALQAtAC0ALQAtAFwAbgAqAC8AXABuAFwAbgBDAG8AbQBtAG8AbgBfAFMAbwB1AHIAYwBlAEQAYQB0AGEAXwBNAG8AbgB0AGgAcwBUAG8AUwBlAGEAcwBvAG4AcwBfAFQAaQB0AGwAZQBcAG4AIAAgAD0ATABBAE0AQgBEAEEAKABcACIATQBvAG4AdABoAHMAIAB0AG8AIABTAGUAYQBzAG8AbgBzACAATQBhAHAAcABpAG4AZwBcACIAKQA7AFwAbgBcAG4AQwBvAG0AbQBvAG4AXwBTAG8AdQByAGMAZQBEAGEAdABhAF8ATQBvAG4AdABoAHMAVABvAFMAZQBhAHMAbwBuAHMAXwBVAG4AaQB0AFwAbgAgACAAPQBMAEEATQBCAEQAQQAoAFwAIgBcACIAKQA7AFwAbgBcAG4AQwBvAG0AbQBvAG4AXwBTAG8AdQByAGMAZQBEAGEAdABhAF8ATQBvAG4AdABoAHMAVABvAFMAZQBhAHMAbwBuAHMAXwBTAG8AdQByAGMAZQBcAG4AIAAgAD0ATABBAE0AQgBEAEEAKABcACIAXAAiACkAOwBcAG4AXABuAEMAbwBtAG0AbwBuAF8AUwBvAHUAcgBjAGUARABhAHQAYQBfAE0AbwBuAHQAaABzAFQAbwBTAGUAYQBzAG8AbgBzAF8ATgBJAFIAUgBlAGYAZQByAGUAbgBjAGUAXABuACAAIAA9AEwAQQBNAEIARABBACgAXAAiAFwAIgApADsAXABuAFwAbgBDAG8AbQBtAG8AbgBfAFMAbwB1AHIAYwBlAEQAYQB0AGEAXwBNAG8AbgB0AGgAcwBUAG8AUwBlAGEAcwBvAG4AcwBfAEQAYQB0AGEAXABuACAAIAA9AEwAQQBNAEIARABBACgAXABuACAAIAAgACAATQBBAEsARQBBAFIAUgBBAFkAKAAxADMALAAgADIALAAgAFwAbgAgACAAIAAgACAAIABMAEEATQBCAEQAQQAoAHIALABjACwAIABcAG4AIAAgACAAIAAgACAAIAAgAEkATgBEAEUAWAAoAHsAXABuACAAIAAgACAAIAAgACAAIAAgACAAXAAiAE0AbwBuAHQAaABcACIALAAgAFwAIgBTAGUAYQBzAG8AbgBcACIAOwBcAG4AIAAgACAAIAAgACAAIAAgACAAIABcACIASgBhAG4AdQBhAHIAeQBcACIALAAgAFwAIgBTAHUAbQBtAGUAcgBcACIAOwBcAG4AIAAgACAAIAAgACAAIAAgACAAIABcACIARgBlAGIAcgB1AGEAcgB5AFwAIgAsACAAXAAiAFMAdQBtAG0AZQByAFwAIgA7AFwAbgAgACAAIAAgACAAIAAgACAAIAAgAFwAIgBNAGEAcgBjAGgAXAAiACwAIABcACIAQQB1AHQAdQBtAG4AXAAiADsAXABuACAAIAAgACAAIAAgACAAIAAgACAAXAAiAEEAcAByAGkAbABcACIALAAgAFwAIgBBAHUAdAB1AG0AbgBcACIAOwBcAG4AIAAgACAAIAAgACAAIAAgACAAIABcACIATQBhAHkAXAAiACwAIABcACIAQQB1AHQAdQBtAG4AXAAiADsAXABuACAAIAAgACAAIAAgACAAIAAgACAAXAAiAEoAdQBuAGUAXAAiACwAIABcACIAVwBpAG4AdABlAHIAXAAiADsAXABuACAAIAAgACAAIAAgACAAIAAgACAAXAAiAEoAdQBsAHkAXAAiACwAIABcACIAVwBpAG4AdABlAHIAXAAiADsAXABuACAAIAAgACAAIAAgACAAIAAgACAAXAAiAEEAdQBnAHUAcwB0AFwAIgAsACAAXAAiAFcAaQBuAHQAZQByAFwAIgA7AFwAbgAgACAAIAAgACAAIAAgACAAIAAgAFwAIgBTAGUAcAB0AGUAbQBiAGUAcgBcACIALAAgAFwAIgBTAHAAcgBpAG4AZwBcACIAOwBcAG4AIAAgACAAIAAgACAAIAAgACAAIABcACIATwBjAHQAbwBiAGUAcgBcACIALAAgAFwAIgBTAHAAcgBpAG4AZwBcACIAOwBcAG4AIAAgACAAIAAgACAAIAAgACAAIABcACIATgBvAHYAZQBtAGIAZQByAFwAIgAsACAAXAAiAFMAcAByAGkAbgBnAFwAIgA7AFwAbgAgACAAIAAgACAAIAAgACAAIAAgAFwAIgBEAGUAYwBlAG0AYgBlAHIAXAAiACwAIABcACIAUwB1AG0AbQBlAHIAXAAiAFwAbgAgACAAIAAgACAAIAAgACAAfQAsACAAcgAsACAAYwApAFwAbgAgACAAIAAgACAAIAApAFwAbgAgACAAIAAgACkAXABuACAAIAApADsAXABuAFwAbgAgACAAQwBvAG0AbQBvAG4AXwBTAG8AdQByAGMAZQBEAGEAdABhAF8ATQBvAG4AdABoAHMAVABvAFMAZQBhAHMAbwBuAHMAXwBWAGEAcgBpAGEAdABpAG8AbgBcAG4AIAAgAD0ATABBAE0AQgBEAEEAKABcACIAXAAiACkAOwBcAG4AXABuAFwAbgBcAG4ALwAqACAAXABuAC0ALQAtAC0ALQAtAC0ALQAtAC0ALQAtAC0ALQAtAC0ALQAtAC0ALQAtAC0ALQAtAC0ALQAtAC0ALQAtAC0ALQAtAC0ALQAtAC0ALQBcAG4AQwBvAG0AbQBvAG4AXwBTAG8AdQByAGMAZQBEAGEAdABhAF8ATQBDAEYAVABlAG0AcABlAHIAYQB0AHUAcgBlAFoAbwBuAGUAXABuAC0ALQAtAC0ALQAtAC0ALQAtAC0ALQAtAC0ALQAtAC0ALQAtAC0ALQAtAC0ALQAtAC0ALQAtAC0ALQAtAC0ALQAtAC0ALQAtAC0ALQBcAG4AKgAvAFwAbgBcAG4AQwBvAG0AbQBvAG4AXwBTAG8AdQByAGMAZQBEAGEAdABhAF8ATQBDAEYAVABlAG0AcABlAHIAYQB0AHUAcgBlAFoAbwBuAGUAXwBUAGkAdABsAGUAXABuACAAIAA9AEwAQQBNAEIARABBACgAXAAiAE0AYQBuAHUAcgBlACAATQBhAG4AYQBnAGUAbQBlAG4AdAAgABMgIABNAGUAdABoAGEAbgBlACAAYwBvAG4AdgBlAHIAcwBpAG8AbgAgAGYAYQBjAHQAbwByACAAcABlAHIAIAB0AGUAbQBwAGUAcgBhAHQAdQByAGUAIAB6AG8AbgBlACAAKABmAHIAYQBjAHQAaQBvAG4AKQAgACgATQBDAEYAaQBtACkAXAAiACkAOwBcAG4AXABuAEMAbwBtAG0AbwBuAF8AUwBvAHUAcgBjAGUARABhAHQAYQBfAE0AQwBGAFQAZQBtAHAAZQByAGEAdAB1AHIAZQBaAG8AbgBlAF8AVQBuAGkAdABcAG4AIAAgAD0ATABBAE0AQgBEAEEAKABcACIAZgByAGEAYwB0AGkAbwBuAFwAIgApADsAXABuAFwAbgBDAG8AbQBtAG8AbgBfAFMAbwB1AHIAYwBlAEQAYQB0AGEAXwBNAEMARgBUAGUAbQBwAGUAcgBhAHQAdQByAGUAWgBvAG4AZQBfAFMAbwB1AHIAYwBlAFwAbgAgACAAPQBMAEEATQBCAEQAQQAoAFwAIgBWAEUARQBSAEcAIAAyADAAMgA2ADoAIABUAGEAYgBsAGUAIABBAC4AMQAuADgALgAxAFwAIgApADsAXABuAFwAbgBDAG8AbQBtAG8AbgBfAFMAbwB1AHIAYwBlAEQAYQB0AGEAXwBNAEMARgBUAGUAbQBwAGUAcgBhAHQAdQByAGUAWgBvAG4AZQBfAEQAYQB0AGEAXABuACAAIAA9AEwAQQBNAEIARABBACgAXABuACAAIAAgACAATQBBAEsARQBBAFIAUgBBAFkAKAAyADIALAAgADEANgAsACAAXABuACAAIAAgACAAIAAgAEwAQQBNAEIARABBACgAcgAsAGMALAAgAFwAbgAgACAAIAAgACAAIAAgACAASQBOAEQARQBYACgAewBcAG4AIAAgACAAIAAgACAAIAAgACAAIABcACIAVABlAG0AcABlAHIAYQB0AHUAcgBlACAAegBvAG4AZQBcACIALAAgAFwAIgBNAEEAVAAgACgAugBDACkAXAAiACwAIABcACIAVQBuAGMAbwB2AGUAcgBlAGQAIABhAG4AZQByAG8AYgBpAGMAIABsAGEAZwBvAG8AbgBcACIALAAgAFwAIgBDAG8AdgBlAHIAZQBkACAAbABhAGcAbwBvAG4AXAAiACwAIABcACIATABpAHEAdQBpAGQAIABTAGwAdQByAHIAeQAgACgAdwBpAHQAaABvAHUAdAAgAG4AYQB0AHUAcgBhAGwAIABjAHIAdQBzAHQAKQBcACIALAAgAFwAIgBEAGEAaQBsAHkAIABzAHAAcgBlAGEAZAAgACgAYgApAFwAIgAsACAAXAAiAEMAbwBtAHAAbwBzAHQAaQBuAGcAIAAoAHAAYQBzAHMAaQB2AGUAIAB3AGkAbgBkAHIAbwB3ACkAXAAiACwAIABcACIAUwBvAGwAaQBkACAAUwB0AG8AcgBhAGcAZQBcACIALAAgAFwAIgBQAGkAdAAgAFMAdABvAHIAYQBnAGUAIAA8ADEAIABtAG8AbgB0AGgAXAAiACwAIABcACIARABlAGUAcAAgAEwAaQB0AHQAZQByAFwAIgAsACAAXAAiAFAAbwB1AGwAdAByAHkAIABNAGEAbgB1AHIAZQAgACgAdwBpAHQAaAAvAHcAaQB0AGgAbwB1AHQAIABsAGkAdAB0AGUAcgApAFwAIgAsACAAXAAiAFwAIgAsACAAXAAiAEQAaQByAGUAYwB0ACAAcAByAG8AYwBlAHMAcwBpAG4AZwAgAGkAbgB0AG8AIABwAGUAbABsAGUAdABpAHoAZQBkACAAZgBlAHIAdABpAGwAaQBzAGUAcgBcACIALAAgAFwAIgBEAGkAcgBlAGMAdAAgAGEAcABwAGwAaQBjAGEAdABpAG8AbgAgAHQAbwAgAHMAbwBpAGwAXAAiACwAIABcACIAUABhAHMAdAB1AHIAZQAsACAAUgBhAG4AZwBlACAAYQBuAGQAIABQAGEAZABkAG8AYwBrACAAKABjACkAKABkACkAXAAiACwAIABcACIATQBBAFQAIAByAGEAdwBcACIAOwBcAG4AIAAgACAAIAAgACAAIAAgACAAIABcACIAQwBvAG8AbABcACIALAAgAFwAIgBkIjEAMABcACIALAAgADAALgA2ADYALAAgADAALgAxACwAIAAwAC4AMQAsACAAMAAuADAAMAAxACwAIAAwAC4AMAAwADUALAAgADAALgAwADIALAAgADAALgAwADMALAAgADAALgAwADQALAAgADAALgAwADEANQAsACAAMAAuADAAMQA1ACwAIAAwACwAIAAwACwAIAAwAC4AMAAwADQANwAsACAAMQAwADsAXABuACAAIAAgACAAIAAgACAAIAAgACAAXAAiAEMAbwBvAGwAXAAiACwAIAAxADEALAAgADAALgA2ADgALAAgADAALgAxACwAIAAwAC4AMQAxACwAIAAwAC4AMAAwADEALAAgADAALgAwADAANQAsACAAMAAuADAAMgAsACAAMAAuADAAMwAsACAAMAAuADAANAAsACAAMAAuADAAMQA1ACwAIAAwAC4AMAAxADUALAAgADAALAAgADAALAAgADAALgAwADAANAA3ACwAIAAxADEAOwBcAG4AIAAgACAAIAAgACAAIAAgACAAIABcACIAQwBvAG8AbABcACIALAAgADEAMgAsACAAMAAuADcALAAgADAALgAxACwAIAAwAC4AMQAzACwAIAAwAC4AMAAwADEALAAgADAALgAwADAANQAsACAAMAAuADAAMgAsACAAMAAuADAAMwAsACAAMAAuADAANAAsACAAMAAuADAAMQA1ACwAIAAwAC4AMAAxADUALAAgADAALAAgADAALAAgADAALgAwADAANAA3ACwAIAAxADIAOwBcAG4AIAAgACAAIAAgACAAIAAgACAAIABcACIAQwBvAG8AbABcACIALAAgADEAMwAsACAAMAAuADcAMQAsACAAMAAuADEALAAgADAALgAxADQALAAgADAALgAwADAAMQAsACAAMAAuADAAMAA1ACwAIAAwAC4AMAAyACwAIAAwAC4AMAAzACwAIAAwAC4AMAA0ACwAIAAwAC4AMAAxADUALAAgADAALgAwADEANQAsACAAMAAsACAAMAAsACAAMAAuADAAMAA0ADcALAAgADEAMwA7AFwAbgAgACAAIAAgACAAIAAgACAAIAAgAFwAIgBDAG8AbwBsAFwAIgAsACAAMQA0ACwAIAAwAC4ANwAzACwAIAAwAC4AMQAsACAAMAAuADEANQAsACAAMAAuADAAMAAxACwAIAAwAC4AMAAwADUALAAgADAALgAwADIALAAgADAALgAwADMALAAgADAALgAwADQALAAgADAALgAwADEANQAsACAAMAAuADAAMQA1ACwAIAAwACwAIAAwACwAIAAwAC4AMAAwADQANwAsACAAMQA0ADsAXABuACAAIAAgACAAIAAgACAAIAAgACAAXAAiAFQAZQBtAHAAZQByAGEAdABlAFwAIgAsACAAMQA1ACwAIAAwAC4ANwA0ACwAIAAwAC4AMQAsACAAMAAuADEANwAsACAAMAAuADAAMAA1ACwAIAAwAC4AMAAxACwAIAAwAC4AMAAyACwAIAAwAC4AMAAzACwAIAAwAC4AMAA0ACwAIAAwAC4AMAAxADUALAAgADAALgAwADEANQAsACAAMAAsACAAMAAsACAAMAAuADAAMAA0ADcALAAgADEANQA7AFwAbgAgACAAIAAgACAAIAAgACAAIAAgAFwAIgBUAGUAbQBwAGUAcgBhAHQAZQBcACIALAAgADEANgAsACAAMAAuADcANQAsACAAMAAuADEALAAgADAALgAxADgALAAgADAALgAwADAANQAsACAAMAAuADAAMQAsACAAMAAuADAAMgAsACAAMAAuADAAMwAsACAAMAAuADAANAAsACAAMAAuADAAMQA1ACwAIAAwAC4AMAAxADUALAAgADAALAAgADAALAAgADAALgAwADAANAA3ACwAIAAxADYAOwBcAG4AIAAgACAAIAAgACAAIAAgACAAIABcACIAVABlAG0AcABlAHIAYQB0AGUAXAAiACwAIAAxADcALAAgADAALgA3ADYALAAgADAALgAxACwAIAAwAC4AMgAsACAAMAAuADAAMAA1ACwAIAAwAC4AMAAxACwAIAAwAC4AMAAyACwAIAAwAC4AMAAzACwAIAAwAC4AMAA0ACwAIAAwAC4AMAAxADUALAAgADAALgAwADEANQAsACAAMAAsACAAMAAsACAAMAAuADAAMAA0ADcALAAgADEANwA7AFwAbgAgACAAIAAgACAAIAAgACAAIAAgAFwAIgBUAGUAbQBwAGUAcgBhAHQAZQBcACIALAAgADEAOAAsACAAMAAuADcANwAsACAAMAAuADEALAAgADAALgAyADIALAAgADAALgAwADAANQAsACAAMAAuADAAMQAsACAAMAAuADAAMgAsACAAMAAuADAAMwAsACAAMAAuADAANAAsACAAMAAuADAAMQA1ACwAIAAwAC4AMAAxADUALAAgADAALAAgADAALAAgADAALgAwADAANAA3ACwAIAAxADgAOwBcAG4AIAAgACAAIAAgACAAIAAgACAAIABcACIAVABlAG0AcABlAHIAYQB0AGUAXAAiACwAIAAxADkALAAgADAALgA3ADcALAAgADAALgAxACwAIAAwAC4AMgA0ACwAIAAwAC4AMAAwADUALAAgADAALgAwADEALAAgADAALgAwADIALAAgADAALgAwADMALAAgADAALgAwADQALAAgADAALgAwADEANQAsACAAMAAuADAAMQA1ACwAIAAwACwAIAAwACwAIAAwAC4AMAAwADQANwAsACAAMQA5ADsAXABuACAAIAAgACAAIAAgACAAIAAgACAAXAAiAFQAZQBtAHAAZQByAGEAdABlAFwAIgAsACAAMgAwACwAIAAwAC4ANwA4ACwAIAAwAC4AMQAsACAAMAAuADIANgAsACAAMAAuADAAMAA1ACwAIAAwAC4AMAAxACwAIAAwAC4AMAAyACwAIAAwAC4AMAAzACwAIAAwAC4AMAA0ACwAIAAwAC4AMAAxADUALAAgADAALgAwADEANQAsACAAMAAsACAAMAAsACAAMAAuADAAMAA0ADcALAAgADIAMAA7AFwAbgAgACAAIAAgACAAIAAgACAAIAAgAFwAIgBUAGUAbQBwAGUAcgBhAHQAZQBcACIALAAgADIAMQAsACAAMAAuADcAOAAsACAAMAAuADEALAAgADAALgAyADkALAAgADAALgAwADAANQAsACAAMAAuADAAMQAsACAAMAAuADAAMgAsACAAMAAuADAAMwAsACAAMAAuADAANAAsACAAMAAuADAAMQA1ACwAIAAwAC4AMAAxADUALAAgADAALAAgADAALAAgADAALgAwADAANAA3ACwAIAAyADEAOwBcAG4AIAAgACAAIAAgACAAIAAgACAAIABcACIAVABlAG0AcABlAHIAYQB0AGUAXAAiACwAIAAyADIALAAgADAALgA3ADgALAAgADAALgAxACwAIAAwAC4AMwAxACwAIAAwAC4AMAAwADUALAAgADAALgAwADEALAAgADAALgAwADIALAAgADAALgAwADMALAAgADAALgAwADQALAAgADAALgAwADEANQAsACAAMAAuADAAMQA1ACwAIAAwACwAIAAwACwAIAAwAC4AMAAwADQANwAsACAAMgAyADsAXABuACAAIAAgACAAIAAgACAAIAAgACAAXAAiAFQAZQBtAHAAZQByAGEAdABlAFwAIgAsACAAMgAzACwAIAAwAC4ANwA5ACwAIAAwAC4AMQAsACAAMAAuADMANAAsACAAMAAuADAAMAA1ACwAIAAwAC4AMAAxACwAIAAwAC4AMAAyACwAIAAwAC4AMAAzACwAIAAwAC4AMAA0ACwAIAAwAC4AMAAxADUALAAgADAALgAwADEANQAsACAAMAAsACAAMAAsACAAMAAuADAAMAA0ADcALAAgADIAMwA7AFwAbgAgACAAIAAgACAAIAAgACAAIAAgAFwAIgBUAGUAbQBwAGUAcgBhAHQAZQBcACIALAAgADIANAAsACAAMAAuADcAOQAsACAAMAAuADEALAAgADAALgAzADcALAAgADAALgAwADAANQAsACAAMAAuADAAMQAsACAAMAAuADAAMgAsACAAMAAuADAAMwAsACAAMAAuADAANAAsACAAMAAuADAAMQA1ACwAIAAwAC4AMAAxADUALAAgADAALAAgADAALAAgADAALgAwADAANAA3ACwAIAAyADQAOwBcAG4AIAAgACAAIAAgACAAIAAgACAAIABcACIAVABlAG0AcABlAHIAYQB0AGUAXAAiACwAIAAyADUALAAgADAALgA3ADkALAAgADAALgAxACwAIAAwAC4ANAAxACwAIAAwAC4AMAAwADUALAAgADAALgAwADEALAAgADAALgAwADIALAAgADAALgAwADMALAAgADAALgAwADQALAAgADAALgAwADEANQAsACAAMAAuADAAMQA1ACwAIAAwACwAIAAwACwAIAAwAC4AMAAwADQANwAsACAAMgA1ADsAXABuACAAIAAgACAAIAAgACAAIAAgACAAXAAiAFcAYQByAG0AXAAiACwAIAAyADYALAAgADAALgA3ADkALAAgADAALgAxACwAIAAwAC4ANAA0ACwAIAAwAC4AMAAxACwAIAAwAC4AMAAxADUALAAgADAALgAwADIALAAgADAALgAwADMALAAgADAALgAwADQALAAgADAALgAwADEANQAsACAAMAAuADAAMQA1ACwAIAAwACwAIAAwACwAIAAwAC4AMAAwADQANwAsACAAMgA2ADsAXABuACAAIAAgACAAIAAgACAAIAAgACAAXAAiAFcAYQByAG0AXAAiACwAIAAyADcALAAgADAALgA4ACwAIAAwAC4AMQAsACAAMAAuADQAOAAsACAAMAAuADAAMQAsACAAMAAuADAAMQA1ACwAIAAwAC4AMAAyACwAIAAwAC4AMAAzACwAIAAwAC4AMAA0ACwAIAAwAC4AMAAxADUALAAgADAALgAwADEANQAsACAAMAAsACAAMAAsACAAMAAuADAAMAA0ADcALAAgADIANwA7AFwAbgAgACAAIAAgACAAIAAgACAAIAAgAFwAIgBXAGEAcgBtAFwAIgAsACAAXAAiAGUiMgA4AFwAIgAsACAAMAAuADgALAAgADAALgAxACwAIAAwAC4ANQAsACAAMAAuADAAMQAsACAAMAAuADAAMQA1ACwAIAAwAC4AMAAyACwAIAAwAC4AMAAzACwAIAAwAC4AMAA0ACwAIAAwAC4AMAAxADUALAAgADAALgAwADEANQAsACAAMAAsACAAMAAsACAAMAAuADAAMAA0ADcALAAgADIAOAA7AFwAbgAgACAAIAAgACAAIAAgACAAIAAgAFwAIgBcACIALAAgAFwAIgBcACIALAAgAFwAIgBBAG4AYQBlAHIAbwBiAGkAYwAgAGwAYQBnAG8AbwBuAFwAIgAsACAAXAAiAEQAaQBnAGUAcwB0AGUAcgAgAC8AIABjAG8AdgBlAHIAZQBkACAAbABhAGcAbwBvAG4AcwBcACIALAAgAFwAIgBMAGkAcQB1AGkAZAAgAHMAeQBzAHQAZQBtAHMAXAAiACwAIABcACIARABhAGkAbAB5ACAAcwBwAHIAZQBhAGQAXAAiACwAIABcACIAQwBvAG0AcABvAHMAdABpAG4AZwAgACgAcABhAHMAcwBpAHYAZQAgAHcAaQBuAGQAcgBvAHcAKQBcACIALAAgAFwAIgBTAG8AbABpAGQAIABzAHQAbwByAGEAZwBlAFwAIgAsACAAXAAiAFAAaQB0ACAAcwB0AG8AcgBhAGcAZQBcACIALAAgAFwAIgBEAGUAZQBwACAAbABpAHQAdABlAHIAXAAiACwAIABcACIAUABvAHUAbAB0AHIAeQAgAG0AYQBuAHUAcgBlACAAdwBpAHQAaAAgAGIAZQBkAGQAaQBuAGcAXAAiACwAIABcACIAUABvAHUAbAB0AHIAeQAgAG0AYQBuAHUAcgBlACAAdwBpAHQAaABvAHUAdAAgAGIAZQBkAGQAaQBuAGcAXAAiACwAIABcACIARABpAHIAZQBjAHQAIABwAHIAbwBjAGUAcwBzAGkAbgBnAFwAIgAsACAAXAAiAEQAaQByAGUAYwB0ACAAYQBwAHAAbABpAGMAYQB0AGkAbwBuAFwAIgAsACAAXAAiAFAAYQBzAHQAdQByAGUAIAByAGEAbgBnAGUAIABhAG4AZAAgAHAAYQBkAGQAbwBjAGsAXAAiACwAIABcACIATQBBAFQAIAByAGEAdwBcACIAIABcAG4AIAAgACAAIAAgACAAIAAgAH0ALAAgAHIALAAgAGMAKQBcAG4AIAAgACAAIAAgACAAKQBcAG4AIAAgACAAIAApAFwAbgAgACAAKQA7AFwAbgBcAG4AQwBvAG0AbQBvAG4AXwBTAG8AdQByAGMAZQBEAGEAdABhAF8ATQBDAEYAVABlAG0AcABlAHIAYQB0AHUAcgBlAFoAbwBuAGUAXwBWAGEAcgBpAGEAdABpAG8AbgBcAG4AIAAgAD0ATABBAE0AQgBEAEEAKABcACIAVgBBAFIASQBBAFQASQBPAE4AIABGAFIATwBNACAAUwBPAFUAUgBDAEUAOgAgAEEAZABkAGUAZAAgAHIAbwB3ACAAbwBmACAATgBJAFIAIABNAE0AQQAgAGQAZQBmAGkAbgBpAHQAaQBvAG4AcwAgAHQAbwAgAGEAaQBkACAAbABvAG8AawB1AHAALgAgAEQAdQBwAGwAaQBjAGEAdABlAGQAIAAnAFAAbwB1AGwAdAByAHkAIAB3AGkAdABoACAAYQBuAGQAIAB3AGkAdABoAG8AdQB0ACAAbABpAHQAdABlAHIAJwAgAGMAbwBsAHUAbQBuACAAdwBpAHQAaAAgAHMAZQBwAGEAcgBhAHQAZQAgAE4ASQBSACAAZABlAGYAaQBuAGkAdABpAG8AbgBzACAAdABvACAAYQBpAGQAIABsAG8AbwBrAHUAcAAuACAAQQBkAGQAZQBkACAAJwBNAEEAVAAgAHIAYQB3ACcAIABjAG8AbAB1AG0AbgAgAHQAbwAgAGEAbABsAG8AdwAgAGwAbwBvAGsAdQBwACAAbwBmACAAbgB1AG0AYgBlAHIAcwAuAFwAIgApADsAXABuAFwAbgBcAG4AXABuAC8AKgAgAFwAbgAtAC0ALQAtAC0ALQAtAC0ALQAtAC0ALQAtAC0ALQAtAC0ALQAtAC0ALQAtAC0ALQAtAC0ALQAtAC0ALQAtAC0ALQAtAC0ALQAtAC0AXABuAEMAbwBtAG0AbwBuAF8AUwBvAHUAcgBjAGUARABhAHQAYQBfAEUARgBPAHIAZwBhAG4AaQBjAEYAZQByAHQAaQBsAGkAcwBlAHIAQQBuAGQAQwByAG8AcABSAGUAcwBpAGQAdQBlAHMAXABuAC0ALQAtAC0ALQAtAC0ALQAtAC0ALQAtAC0ALQAtAC0ALQAtAC0ALQAtAC0ALQAtAC0ALQAtAC0ALQAtAC0ALQAtAC0ALQAtAC0ALQBcAG4AKgAvAFwAbgBcAG4AQwBvAG0AbQBvAG4AXwBTAG8AdQByAGMAZQBEAGEAdABhAF8ARQBGAE8AcgBnAGEAbgBpAGMARgBlAHIAdABpAGwAaQBzAGUAcgBBAG4AZABDAHIAbwBwAFIAZQBzAGkAZAB1AGUAcwBfAFQAaQB0AGwAZQBcAG4AIAAgAD0ATABBAE0AQgBEAEEAKABcACIARQBtAGkAcwBzAGkAbwBuACAAZgBhAGMAdABvAHIAIABmAG8AcgAgAG8AcgBnAGEAbgBpAGMAIABmAGUAcgB0AGkAbABpAHMAZQByACAAYQBuAGQAIABjAHIAbwBwACAAcgBlAHMAaQBkAHUAZQBzACAAcgBlAHQAdQByAG4AZQBkACAAdABvACAAdABoAGUAIABzAG8AaQBsAFwAIgApADsAXABuAFwAbgBDAG8AbQBtAG8AbgBfAFMAbwB1AHIAYwBlAEQAYQB0AGEAXwBFAEYATwByAGcAYQBuAGkAYwBGAGUAcgB0AGkAbABpAHMAZQByAEEAbgBkAEMAcgBvAHAAUgBlAHMAaQBkAHUAZQBzAF8AVgBhAHIAaQBhAGIAbABlAFwAbgAgACAAPQBMAEEATQBCAEQAQQAoAFwAIgBFAEYATgBpACAAJgAgAEUARgBOADIATwBpAFwAIgApADsAXABuAFwAbgBDAG8AbQBtAG8AbgBfAFMAbwB1AHIAYwBlAEQAYQB0AGEAXwBFAEYATwByAGcAYQBuAGkAYwBGAGUAcgB0AGkAbABpAHMAZQByAEEAbgBkAEMAcgBvAHAAUgBlAHMAaQBkAHUAZQBzAF8AVQBuAGkAdABcAG4AIAAgAD0ATABBAE0AQgBEAEEAKABcACIAawBnACAATgAyAE8AIAAtACAATgAgAC8AIABrAGcAIABOAFwAIgApADsAXABuAFwAbgBDAG8AbQBtAG8AbgBfAFMAbwB1AHIAYwBlAEQAYQB0AGEAXwBFAEYATwByAGcAYQBuAGkAYwBGAGUAcgB0AGkAbABpAHMAZQByAEEAbgBkAEMAcgBvAHAAUgBlAHMAaQBkAHUAZQBzAF8AUwBvAHUAcgBjAGUAXABuACAAIAA9AEwAQQBNAEIARABBACgAXAAiAFYARQBFAFIARwAgADIAMAAyADYAOgAgAFQAYQBiAGwAZQAgAEEALgAyAC4AMQAuADQAXAAiACkAOwBcAG4AXABuAEMAbwBtAG0AbwBuAF8AUwBvAHUAcgBjAGUARABhAHQAYQBfAEUARgBPAHIAZwBhAG4AaQBjAEYAZQByAHQAaQBsAGkAcwBlAHIAQQBuAGQAQwByAG8AcABSAGUAcwBpAGQAdQBlAHMAXwBOAEkAUgBSAGUAZgBlAHIAZQBuAGMAZQBcAG4AIAAgAD0ATABBAE0AQgBEAEEAKABcACIAXAAiACkAOwBcAG4AXABuAEMAbwBtAG0AbwBuAF8AUwBvAHUAcgBjAGUARABhAHQAYQBfAEUARgBPAHIAZwBhAG4AaQBjAEYAZQByAHQAaQBsAGkAcwBlAHIAQQBuAGQAQwByAG8AcABSAGUAcwBpAGQAdQBlAHMAXwBEAGEAdABhAFwAbgAgACAAPQBMAEEATQBCAEQAQQAoAFwAbgAgACAAIAAgAE0AQQBLAEUAQQBSAFIAQQBZACgAMwAsACAAMgAsACAAXABuACAAIAAgACAAIAAgAEwAQQBNAEIARABBACgAcgAsAGMALAAgAFwAbgAgACAAIAAgACAAIAAgACAASQBOAEQARQBYACgAewBcAG4AIAAgACAAIAAgACAAIAAgACAAIABcACIAQwBsAGkAbQBhAHQAZQAgAHoAbwBuAGUAXAAiACwAIABcACIARQBGAE4AaQAgACYAIABFAEYATgAyAE8AXAAiADsAXABuACAAIAAgACAAIAAgACAAIAAgACAAXAAiAFcAZQB0ACAAYwBsAGkAbQBhAHQAZQAgAHoAbwBuAGUAXAAiACwAIAAwAC4AMAAwADYAOwBcAG4AIAAgACAAIAAgACAAIAAgACAAIABcACIARAByAHkAIABjAGwAaQBtAGEAdABlACAAegBvAG4AZQBcACIALAAgADAALgAwADAANQBcAG4AIAAgACAAIAAgACAAIAAgAH0ALAAgAHIALAAgAGMAKQBcAG4AIAAgACAAIAAgACAAKQBcAG4AIAAgACAAIAApAFwAbgAgACAAKQA7AFwAbgBcAG4AQwBvAG0AbQBvAG4AXwBTAG8AdQByAGMAZQBEAGEAdABhAF8ARQBGAE8AcgBnAGEAbgBpAGMARgBlAHIAdABpAGwAaQBzAGUAcgBBAG4AZABDAHIAbwBwAFIAZQBzAGkAZAB1AGUAcwBfAFYAYQByAGkAYQB0AGkAbwBuAFwAbgAgACAAPQBMAEEATQBCAEQAQQAoAFwAIgBcACIAKQA7AFwAbgBcAG4AXABuAFwAbgBcAG4AXABuAFwAbgBcAG4AXABuAFwAbgBcAG4AXABuAFwAbgBcAG4AXABuAFwAbgBcAG4AIgB9ACwAewAiAHAAYQB0AGgAIgA6ACIALwBwAHIAbwBqAGUAYwB0AHMALwBDAG8AbQBtAG8AbgBfAEUAcQB1AGEAdABpAG8AbgBzACIALAAiAHQAZQB4AHQAIgA6ACIAXABuAC8AKgAgAFwAbgAtAC0ALQAtAC0ALQAtAC0ALQAtAC0ALQAtAC0ALQAtAC0ALQAtAC0ALQAtAC0ALQAtAC0ALQAtAC0ALQAtAC0ALQAtAC0ALQAtAC0AXABuAEMAbwBtAG0AbwBuAF8AQwBvAG4AdgBlAHIAdABOADIATwBUAG8AQwBPADIAZQBcAG4AQwBvAG4AdgBlAHIAdAAgAG4AaQB0AHIAbwB1AHMAIABvAHgAaQBkAGUAIABlAG0AaQBzAHMAaQBvAG4AcwAgAHQAbwAgAGMAYQByAGIAbwBuACAAZABpAG8AeABpAGQAZQAgAGUAcQB1AGkAdgBhAGwAZQBuAHQAIABlAG0AaQBzAHMAaQBvAG4AcwBcAG4ARQBOADIATwAgAEMATwAyAGUAXABuAHQAIABDAE8AMgBlAFwAbgBFAE4AMgBPADoAIABuAGkAdAByAG8AdQBzACAAbwB4AGkAZABlACAAZQBtAGkAcwBzAGkAbwBuAHMAIAAoAHQAIABOADIATwApAFwAbgBHAFcAUABOADIATwA6ACAAZwBsAG8AYgBhAGwAIAB3AGEAcgBtAGkAbgBnACAAcABvAHQAZQBuAHQAaQBhAGwAIABmAG8AcgAgAG4AaQB0AHIAbwB1AHMAIABvAHgAaQBkAGUAIAAoAHQAIABDAE8AMgAtAGUAIAAvACAAdAAgAE4AMgBPACkAXABuAC0ALQAtAC0ALQAtAC0ALQAtAC0ALQAtAC0ALQAtAC0ALQAtAC0ALQAtAC0ALQAtAC0ALQAtAC0ALQAtAC0ALQAtAC0ALQAtAC0ALQBcAG4AKgAvAFwAbgBcAG4AXABuAEMAbwBtAG0AbwBuAF8AQwBvAG4AdgBlAHIAdABOADIATwBUAG8AQwBPADIAZQBcAG4AIAAgAD0ATABBAE0AQgBEAEEAKABcAG4AIAAgACAAIABFAF8ATgAyAE8ALAAgAEcAVwBQAF8ATgAyAE8ALABcAG4AIAAgACAAIABFAF8ATgAyAE8AIAAqACAARwBXAFAAXwBOADIATwBcAG4AIAAgACkAXABuADsAXABuAFwAbgBDAG8AbQBtAG8AbgBfAEMAbwBuAHYAZQByAHQATgAyAE8AVABvAEMATwAyAGUAXwBUAGkAdABsAGUAXABuACAAIAA9AEwAQQBNAEIARABBACgAXAAiAEMAbwBuAHYAZQByAHQAIABuAGkAdAByAG8AdQBzACAAbwB4AGkAZABlACAAZQBtAGkAcwBzAGkAbwBuAHMAIAB0AG8AIABjAGEAcgBiAG8AbgAgAGQAaQBvAHgAaQBkAGUAIABlAHEAdQBpAHYAYQBsAGUAbgB0ACAAZQBtAGkAcwBzAGkAbwBuAHMAXAAiACkAOwBcAG4AXABuAEMAbwBtAG0AbwBuAF8AQwBvAG4AdgBlAHIAdABOADIATwBUAG8AQwBPADIAZQBfAFYAYQByAGkAYQBiAGwAZQBcAG4AIAAgAD0ATABBAE0AQgBEAEEAKABcACIARQBOADIATwAgAEMATwAyAGUAXAAiACkAOwBcAG4AXABuAEMAbwBtAG0AbwBuAF8AQwBvAG4AdgBlAHIAdABOADIATwBUAG8AQwBPADIAZQBfAFUAbgBpAHQAXABuACAAIAA9AEwAQQBNAEIARABBACgAXAAiAHQAIABDAE8AMgBlAFwAIgApADsAXABuAFwAbgBDAG8AbQBtAG8AbgBfAEMAbwBuAHYAZQByAHQATgAyAE8AVABvAEMATwAyAGUAXwBOAEkAUgBSAGUAZgBlAHIAZQBuAGMAZQBcAG4AIAAgAD0ATABBAE0AQgBEAEEAKABcACIAXAAiACkAOwBcAG4AXABuAEMAbwBtAG0AbwBuAF8AQwBvAG4AdgBlAHIAdABOADIATwBUAG8AQwBPADIAZQBfAEwAYQB0AGUAeABFAHEAdQBhAHQAaQBvAG4AXABuACAAIAA9AEwAQQBNAEIARABBACgAXAAiAEMATwAyAF8AZQAgAD0AIABFAF8AewBOADIATwB9ACAAXABcAHQAaQBtAGUAcwAgAEcAVwBQAF8AewBOADIATwB9AFwAIgApADsAXABuAFwAbgBDAG8AbQBtAG8AbgBfAEMAbwBuAHYAZQByAHQATgAyAE8AVABvAEMATwAyAGUAXwBBAHIAZwB1AG0AZQBuAHQAcwBcAG4AIAAgAD0ATABBAE0AQgBEAEEAKABcAG4AIAAgACAAIABNAEEASwBFAEEAUgBSAEEAWQAoADIALAAgADIALAAgAFwAbgAgACAAIAAgACAAIABMAEEATQBCAEQAQQAoAHIALABjACwAIABcAG4AIAAgACAAIAAgACAAIAAgAEkATgBEAEUAWAAoAHsAXABuACAAIAAgACAAIAAgACAAIAAgACAAXAAiAEUATgAyAE8AXAAiACwAXAAiAE4AaQB0AHIAbwB1AHMAIABvAHgAaQBkAGUAIABlAG0AaQBzAHMAaQBvAG4AcwAgACgAdAAgAE4AMgBPACkAXAAiADsAXABuACAAIAAgACAAIAAgACAAIAAgACAAXAAiAEcAVwBQAE4AMgBPAFwAIgAsAFwAIgBHAGwAbwBiAGEAbAAgAHcAYQByAG0AaQBuAGcAIABwAG8AdABlAG4AdABpAGEAbAAgAGYAbwByACAAbgBpAHQAcgBvAHUAcwAgAG8AeABpAGQAZQAgACgAdAAgAEMATwAyAC0AZQAgAC8AIAB0ACAATgAyAE8AKQBcACIAXABuACAAIAAgACAAIAAgACAAIAB9ACwAIAByACwAIABjACkAXABuACAAIAAgACAAIAAgACkAXABuACAAIAAgACAAKQBcAG4AIAAgACkAOwBcAG4AXABuAC8AKgAgAFwAbgAtAC0ALQAtAC0ALQAtAC0ALQAtAC0ALQAtAC0ALQAtAC0ALQAtAC0ALQAtAC0ALQAtAC0ALQAtAC0ALQAtAC0ALQAtAC0ALQAtAC0AXABuAEMAbwBtAG0AbwBuAF8AQwBvAG4AdgBlAHIAdABDAEgANABUAG8AQwBPADIAZQBcAG4AQwBvAG4AdgBlAHIAdAAgAG0AZQB0AGgAYQBuAGUAIABlAG0AaQBzAHMAaQBvAG4AcwAgAHQAbwAgAGMAYQByAGIAbwBuACAAZABpAG8AeABpAGQAZQAgAGUAcQB1AGkAdgBhAGwAZQBuAHQAIABlAG0AaQBzAHMAaQBvAG4AcwBcAG4ARQBDAEgANAAgAEMATwAyAGUAXABuAHQAIABDAE8AMgBlAFwAbgBFAEMASAA0ADoAIABtAGUAdABoAGEAbgBlACAAZQBtAGkAcwBzAGkAbwBuAHMAIAAoAHQAIABDAEgANAApAFwAbgBHAFcAUABDAEgANAA6ACAAZwBsAG8AYgBhAGwAIAB3AGEAcgBtAGkAbgBnACAAcABvAHQAZQBuAHQAaQBhAGwAIABmAG8AcgAgAG0AZQB0AGgAYQBuAGUAIAAoAHQAIABDAE8AMgAtAGUAIAAvACAAdAAgAEMASAA0ACkAXABuAC0ALQAtAC0ALQAtAC0ALQAtAC0ALQAtAC0ALQAtAC0ALQAtAC0ALQAtAC0ALQAtAC0ALQAtAC0ALQAtAC0ALQAtAC0ALQAtAC0ALQBcAG4AKgAvAFwAbgBcAG4AXABuAEMAbwBtAG0AbwBuAF8AQwBvAG4AdgBlAHIAdABDAEgANABUAG8AQwBPADIAZQBcAG4AIAAgAD0ATABBAE0AQgBEAEEAKABcAG4AIAAgACAAIABFAF8AQwBIADQALAAgAEcAVwBQAF8AQwBIADQALABcAG4AIAAgACAAIABFAF8AQwBIADQAIAAqACAARwBXAFAAXwBDAEgANABcAG4AIAAgACkAXABuADsAXABuAFwAbgBDAG8AbQBtAG8AbgBfAEMAbwBuAHYAZQByAHQAQwBIADQAVABvAEMATwAyAGUAXwBUAGkAdABsAGUAXABuACAAIAA9AEwAQQBNAEIARABBACgAXAAiAEMAbwBuAHYAZQByAHQAIABtAGUAdABoAGEAbgBlACAAZQBtAGkAcwBzAGkAbwBuAHMAIAB0AG8AIABjAGEAcgBiAG8AbgAgAGQAaQBvAHgAaQBkAGUAIABlAHEAdQBpAHYAYQBsAGUAbgB0ACAAZQBtAGkAcwBzAGkAbwBuAHMAXAAiACkAOwBcAG4AXABuAEMAbwBtAG0AbwBuAF8AQwBvAG4AdgBlAHIAdABDAEgANABUAG8AQwBPADIAZQBfAFYAYQByAGkAYQBiAGwAZQBcAG4AIAAgAD0ATABBAE0AQgBEAEEAKABcACIARQBDAEgANAAgAEMATwAyAGUAXAAiACkAOwBcAG4AXABuAEMAbwBtAG0AbwBuAF8AQwBvAG4AdgBlAHIAdABDAEgANABUAG8AQwBPADIAZQBfAFUAbgBpAHQAXABuACAAIAA9AEwAQQBNAEIARABBACgAXAAiAHQAIABDAE8AMgBlAFwAIgApADsAXABuAFwAbgBDAG8AbQBtAG8AbgBfAEMAbwBuAHYAZQByAHQAQwBIADQAVABvAEMATwAyAGUAXwBOAEkAUgBSAGUAZgBlAHIAZQBuAGMAZQBcAG4AIAAgAD0ATABBAE0AQgBEAEEAKABcACIAXAAiACkAOwBcAG4AXABuAEMAbwBtAG0AbwBuAF8AQwBvAG4AdgBlAHIAdABDAEgANABUAG8AQwBPADIAZQBfAEwAYQB0AGUAeABFAHEAdQBhAHQAaQBvAG4AXABuACAAIAA9AEwAQQBNAEIARABBACgAXAAiAEMATwAyAF8AZQAgAD0AIABFAF8AewBDAEgANAB9ACAAXABcAHQAaQBtAGUAcwAgAEcAVwBQAF8AewBDAEgANAB9AFwAIgApADsAXABuAFwAbgBDAG8AbQBtAG8AbgBfAEMAbwBuAHYAZQByAHQAQwBIADQAVABvAEMATwAyAGUAXwBBAHIAZwB1AG0AZQBuAHQAcwBcAG4AIAAgAD0ATABBAE0AQgBEAEEAKABcAG4AIAAgACAAIABNAEEASwBFAEEAUgBSAEEAWQAoADIALAAgADIALAAgAFwAbgAgACAAIAAgACAAIABMAEEATQBCAEQAQQAoAHIALABjACwAIABcAG4AIAAgACAAIAAgACAAIAAgAEkATgBEAEUAWAAoAHsAXABuACAAIAAgACAAIAAgACAAIAAgACAAXAAiAEUAQwBIADQAXAAiACwAXAAiAE0AZQB0AGgAYQBuAGUAIABlAG0AaQBzAHMAaQBvAG4AcwAgACgAdAAgAEMASAA0ACkAXAAiADsAXABuACAAIAAgACAAIAAgACAAIAAgACAAXAAiAEcAVwBQAEMASAA0AFwAIgAsAFwAIgBHAGwAbwBiAGEAbAAgAHcAYQByAG0AaQBuAGcAIABwAG8AdABlAG4AdABpAGEAbAAgAGYAbwByACAAbQBlAHQAaABhAG4AZQAgACgAdAAgAEMATwAyAC0AZQAgAC8AIAB0ACAAQwBIADQAKQBcACIAXABuACAAIAAgACAAIAAgACAAIAB9ACwAIAByACwAIABjACkAXABuACAAIAAgACAAIAAgACkAXABuACAAIAAgACAAKQBcAG4AIAAgACkAOwAiAH0ALAB7ACIAcABhAHQAaAAiADoAIgAvAHAAcgBvAGoAZQBjAHQAcwAvAEYAdQBlAGwAXwBJAG4AcAB1AHQARgB1AG4AYwB0AGkAbwBuAHMAIgAsACIAdABlAHgAdAAiADoAIgBGAHUAZQBsAF8ARwBlAHQAVAByAGEAbgBzAHAAbwByAHQARgB1AGUAbABTAHQAcgBpAG4AZwBcAG4APQBMAEEATQBCAEQAQQAoAFwAbgAgACAAIAAgAEMAZQBsAGwALABcAG4AIAAgACAAIABMAEUARgBUACgAQwBlAGwAbAAsACAARgBJAE4ARAAoAFwAIgAsACAAXAAiACwAQwBlAGwAbAApACAALQAxACkAXABuACkAOwBcAG4AXABuAEYAdQBlAGwAXwBHAGUAdABTAHQAYQB0AGkAbwBuAGEAcgB5AEYAdQBlAGwAUwB0AHIAaQBuAGcAXABuAD0ATABBAE0AQgBEAEEAKABcAG4AIAAgACAAIABDAGUAbABsACwAXABuACAAIAAgACAAUgBJAEcASABUACgAQwBlAGwAbAAsAEwARQBOACgAQwBlAGwAbAApAC0ARgBJAE4ARAAoAFwAIgAsACAAXAAiACwAQwBlAGwAbAApACkAXABuACkAOwBcAG4AXABuAEYAdQBlAGwAXwBUAG8AdABhAGwAQwBvAG4AcwB1AG0AcAB0AGkAbwBuAFwAbgA9ACAATABBAE0AQgBEAEEAKABcAG4AIAAgACAAIABGAHUAZQBsAEMAbwBuAHMAdQBtAHAAdABpAG8AbgBBAHIAcgBhAHkALAAgAEYAdQBlAGwAVQBzAGUAQQByAHIAYQB5ACwAIABGAHUAZQBsAFUAcwBlACwAIABGAHUAZQBsAFQAeQBwAGUAQQByAHIAYQB5ACwAIABGAHUAZQBsAFQAeQBwAGUALABcAG4AIAAgACAAIABJAEYARQBSAFIATwBSACgAXABuACAAIAAgACAAUwBVAE0AKABcAG4AIAAgACAAIAAgACAARgBJAEwAVABFAFIAKABcAG4AIAAgACAAIAAgACAAIAAgAEYAdQBlAGwAQwBvAG4AcwB1AG0AcAB0AGkAbwBuAEEAcgByAGEAeQAsAFwAbgAgACAAIAAgACAAIAAgACAAKABGAHUAZQBsAFQAeQBwAGUAQQByAHIAYQB5ACAAPQAgAEYAdQBlAGwAVAB5AHAAZQApACAAKgAgAFwAbgAgACAAIAAgACAAIAAgACAAKABGAHUAZQBsAFUAcwBlAEEAcgByAGEAeQAgAD0AIABGAHUAZQBsAFUAcwBlACkAXABuACAAIAAgACAAIAAgACkAXABuACAAIAAgACAAKQAsAFwAbgAgACAAIAAgADAAXABuACAAIAApAFwAbgApADsAIgB9ACwAewAiAHAAYQB0AGgAIgA6ACIALwBwAHIAbwBqAGUAYwB0AHMALwBGAGUAcgB0AGkAbABpAHMAZQByAF8AUwBvAHUAcgBjAGUARABhAHQAYQAiACwAIgB0AGUAeAB0ACIAOgAiAC8AKgBcAG4APQA9AD0APQA9AD0APQA9AD0APQA9AD0APQA9AD0APQA9AD0APQA9AD0APQA9AD0APQA9AD0APQA9AD0APQA9AD0APQA9AD0APQA9AD0APQA9AD0APQA9AD0APQA9AD0APQA9AD0APQA9AD0APQA9AD0APQA9AD0APQA9AD0APQA9AD0APQA9AD0APQA9AD0APQA9AD0APQBcAG4ARgBlAHIAdABpAGwAaQBzAGUAcgAgAGMAaABlAG0AaQBjAGEAbAAgAGMAbwBtAHAAbwB1AG4AZABzAFwAbgA9AD0APQA9AD0APQA9AD0APQA9AD0APQA9AD0APQA9AD0APQA9AD0APQA9AD0APQA9AD0APQA9AD0APQA9AD0APQA9AD0APQA9AD0APQA9AD0APQA9AD0APQA9AD0APQA9AD0APQA9AD0APQA9AD0APQA9AD0APQA9AD0APQA9AD0APQA9AD0APQA9AD0APQA9AD0APQA9AFwAbgAqAC8AXABuAFwAbgBGAGUAcgB0AGkAbABpAHMAZQByAF8AQwBoAGUAbQBpAGMAYQBsAEMAbwBtAHAAbwB1AG4AZABFAGwAZQBtAGUAbgB0AHMAXwBUAGkAdABsAGUAXABuAD0ATABBAE0AQgBEAEEAKAAoAFwAIgBDAG8AbQBtAG8AbgAgAGkAbgBvAHIAZwBhAG4AaQBjACAAZgBlAHIAdABpAGwAaQBzAGUAcgBzAFwAIgApACkAOwBcAG4AXABuAEYAZQByAHQAaQBsAGkAcwBlAHIAXwBDAGgAZQBtAGkAYwBhAGwAQwBvAG0AcABvAHUAbgBkAEUAbABlAG0AZQBuAHQAcwBfAFMAbwB1AHIAYwBlAFwAbgA9AEwAQQBNAEIARABBACgAKABcACIAVABhAGIAbABlACAAQQAuADIALgAyAC4AMwA6ACAARgByAGEAYwB0AGkAbwBuACAAbwBmACAAbgBpAHQAcgBvAGcAZQBuACAAaQBuACAAYwBvAG0AbQBvAG4AIABpAG4AbwByAGcAYQBuAGkAYwAgAGYAZQByAHQAaQBsAGkAcwBlAHIAcwAgACgAawBnAE4ALwBrAGcAKQAgACgARgBOAG8AcgBnAGEAbgBpAGMALABmACkAIABBAE4ARAAgAFQAYQBiAGwAZQAgAEEALgAyAC4AMgAuADQAOgAgAEYAcgBhAGMAdABpAG8AbgAgAG8AZgAgAHUAcgBlAGEAIABpAG4AIABjAG8AbQBtAG8AbgAgAGkAbgBvAHIAZwBhAG4AaQBjACAAZgBlAHIAdABpAGwAaQBzAGUAcgBzACAAKABrAGcAIAB1AHIAZQBhAC8AawBnACkAIAAoAEYAVQBmACkAXAAiACkAKQA7AFwAbgBcAG4ARgBlAHIAdABpAGwAaQBzAGUAcgBfAEMAaABlAG0AaQBjAGEAbABDAG8AbQBwAG8AdQBuAGQARQBsAGUAbQBlAG4AdABzAF8ARABhAHQAYQBcAG4APQBMAEEATQBCAEQAQQAoAFwAbgAgAE0AQQBLAEUAQQBSAFIAQQBZACgAMgAwACwAIAA2ACwAXABuACAATABBAE0AQgBEAEEAKAByACwAYwAsAFwAbgAgACAASQBOAEQARQBYACgAewBcAG4AIAAgAFwAIgBGAGUAcgB0AGkAbABpAHMAZQByACAAVAB5AHAAZQAgAGYAXAAiACwAIABcACIARgBOAGkAbgBvAHIAZwBhAG4AaQBjACwAZgBcACIALAAgAFwAIgBGAFUAZgBcACIALAAgAFwAIgBCAGEAcwBpAHMAXAAiACwAIABcACIATABpAGYAZQBDAHkAYwBsAGUAcwAgAFMAYwBvAHAAZQAgADMAIABkAGUAZgBpAG4AaQB0AGkAbwBuAFwAIgAsACAAXAAiAFMAbwB1AHIAYwBlAFwAIgA7AFwAbgAgACAAXAAiAE0AbwBuAG8AYQBtAG0AbwBuAGkAdQBtACAAcABoAG8AcwBwAGgAYQB0AGUAIAAoAE0AQQBQACkAXAAiACwAIAAwAC4AMQAwACwAIAAwACwAIABcACIAQQBtAG0AbwBuAGkAdQBtAC0AYgBhAHMAZQBkACAAZgBlAHIAdABpAGwAaQBzAGUAcgBzAFwAIgAsACAAXAAiAE0AbwBuAG8AYQBtAG0AbwBuAGkAdQBtACAAcABoAG8AcwBwAGgAYQB0AGUAIAAoAE0AQQBQACkAXAAiACwAIABcACIAVgBFAEUAUgBHAFwAIgA7AFwAbgAgACAAXAAiAEQAaQBhAG0AbQBvAG4AaQB1AG0AIABwAGgAbwBzAHAAaABhAHQAZQAgACgARABBAFAAKQBcACIALAAgADAALgAxADgALAAgADAALAAgAFwAIgBBAG0AbQBvAG4AaQB1AG0ALQBiAGEAcwBlAGQAIABmAGUAcgB0AGkAbABpAHMAZQByAHMAXAAiACwAIABcACIARABpAGEAbQBtAG8AbgBpAHUAbQAgAHAAaABvAHMAcABoAGEAdABlACAAKABEAEEAUAApAFwAIgAsACAAXAAiAFYARQBFAFIARwBcACIAOwBcAG4AIAAgAFwAIgBVAHIAZQBhAFwAIgAsACAAMAAuADQANgAsACAAMQAsACAAXAAiAFUAcgBlAGEALQBiAGEAcwBlAGQAIABmAGUAcgB0AGkAbABpAHMAZQByAHMAXAAiACwAIABcACIAVQByAGUAYQBcACIALAAgAFwAIgBWAEUARQBSAEcAXAAiADsAXABuACAAIABcACIAUwB1AGwAcABoAGEAdABlACAAbwBmACAAYQBtAG0AbwBuAGkAYQAgACgAUwBPAEEAKQBcACIALAAgADAALgAyADEALAAgADAALAAgAFwAIgBBAG0AbQBvAG4AaQB1AG0ALQBiAGEAcwBlAGQAIABmAGUAcgB0AGkAbABpAHMAZQByAHMAXAAiACwAIABcACIAUwB1AGwAcABoAGEAdABlACAAbwBmACAAYQBtAG0AbwBuAGkAYQAgACgAUwBPAEEAKQBcACIALAAgAFwAIgBWAEUARQBSAEcAXAAiADsAXABuACAAIABcACIAVQByAGUAYQAtAGEAbQBtAG8AbgBpAHUAbQAgAG4AaQB0AHIAYQB0AGUAIAAoAFUAQQBOACkAXAAiACwAIAAwAC4AMwAyACwAIAAwAC4AMwA1ACwAIABcACIAVQByAGUAYQAtAGIAYQBzAGUAZAAgAGYAZQByAHQAaQBsAGkAcwBlAHIAcwBcACIALAAgAFwAIgBVAHIAZQBhAC0AYQBtAG0AbwBuAGkAdQBtACAAbgBpAHQAcgBhAHQAZQAgACgAVQBBAE4AKQBcACIALAAgAFwAIgBWAEUARQBSAEcAXAAiADsAXABuACAAIABcACIAQQBtAG0AbwBuAGkAdQBtACAAbgBpAHQAcgBhAHQAZQAgACgAQQBOACkAXAAiACwAIAAwAC4AMwAzADcALAAgADAALAAgAFwAIgBBAG0AbQBvAG4AaQB1AG0ALQBuAGkAdAByAGEAdABlACAAYgBhAHMAZQBkACAAZgBlAHIAdABpAGwAaQBzAGUAcgBzAFwAIgAsACAAXAAiAEEAbQBtAG8AbgBpAHUAbQAgAG4AaQB0AHIAYQB0AGUAIAAoAEEATgApAFwAIgAsACAAXAAiAFYARQBFAFIARwBcACIAOwBcAG4AIAAgAFwAIgBDAGEAbABjAGkAdQBtACAAYQBtAG0AbwBuAGkAdQBtACAAbgBpAHQAcgBhAHQAZQAgACgAQwBBAE4AKQBcACIALAAgADAALgAyADcALAAgADAALAAgAFwAIgBBAG0AbQBvAG4AaQB1AG0ALQBuAGkAdAByAGEAdABlACAAYgBhAHMAZQBkACAAZgBlAHIAdABpAGwAaQBzAGUAcgBzAFwAIgAsACAAXAAiAEMAYQBsAGMAaQB1AG0AIABhAG0AbQBvAG4AaQB1AG0AIABuAGkAdAByAGEAdABlACAAKABDAEEATgApAFwAIgAsACAAXAAiAFYARQBFAFIARwBcACIAOwBcAG4AIAAgAFwAIgBOAGkAdAByAG8AZwBlAG4AIAAtACAAQQBtAG0AbwBuAGkAYQBjAGEAbABcACIALAAgADEALAAgADAALAAgAFwAIgBBAG0AbQBvAG4AaQB1AG0ALQBiAGEAcwBlAGQAIABmAGUAcgB0AGkAbABpAHMAZQByAHMAXAAiACwAIABcACIATgBpAHQAcgBvAGcAZQBuACAALQAgAEEAbQBtAG8AbgBpAGEAYwBhAGwAXAAiACwAIABcACIATABpAGYAZQBDAHkAYwBsAGUAcwBcACIAOwBcAG4AIAAgAFwAIgBOAGkAdAByAG8AZwBlAG4AIAAtACAATgBpAHQAcgBhAHQAZQBcACIALAAgADEALAAgADAALAAgAFwAIgBOAGkAdAByAGEAdABlAC0AYgBhAHMAZQBkACAAZgBlAHIAdABpAGwAaQBzAGUAcgBzAFwAIgAsACAAXAAiAE4AaQB0AHIAbwBnAGUAbgAgAGYAcgBvAG0AIABOAGkAdAByAGEAdABlAFwAIgAsACAAXAAiAEwAaQBmAGUAQwB5AGMAbABlAHMAXAAiADsAXABuACAAIABcACIATgBpAHQAcgBvAGcAZQBuACAALQAgAEcAZQBuAGUAcgBpAGMAXAAiACwAIAAxACwAIAAwACwAIABcACIAVQByAGUAYQAtAGIAYQBzAGUAZAAgAGYAZQByAHQAaQBsAGkAcwBlAHIAcwBcACIALAAgAFwAIgBOAGkAdAByAG8AZwBlAG4AIABmAHIAbwBtACAAZgBlAHIAdABpAGwAaQBzAGUAcgBcACIALAAgAFwAIgBMAGkAZgBlAEMAeQBjAGwAZQBzAFwAIgA7AFwAbgAgACAAXAAiAFAAaABvAHMAcABoAG8AcgB1AHMAIAAtACAARwBlAG4AZQByAGkAYwBcACIALAAgADAALAAgADAALAAgAFwAIgBPAHQAaABlAHIAIABmAGUAcgB0AGkAbABpAHMAZQByAHMAXAAiACwAIABcACIAUABoAG8AcwBwAGgAbwByAHUAcwAgAGYAcgBvAG0AIABmAGUAcgB0AGkAbABpAHMAZQByAFwAIgAsACAAXAAiAEwAaQBmAGUAQwB5AGMAbABlAHMAXAAiADsAXABuACAAIABcACIAUABvAHQAYQBzAHMAaQB1AG0AIAAtACAARwBlAG4AZQByAGkAYwBcACIALAAgADAALAAgADAALAAgAFwAIgBPAHQAaABlAHIAIABmAGUAcgB0AGkAbABpAHMAZQByAHMAXAAiACwAIABcACIAUABvAHQAYQBzAHMAaQB1AG0AIABmAHIAbwBtACAAZgBlAHIAdABpAGwAaQBzAGUAcgBcACIALAAgAFwAIgBMAGkAZgBlAEMAeQBjAGwAZQBzAFwAIgA7AFwAbgAgACAAXAAiAFMAdQBsAGYAdQByACAALQAgAEcAZQBuAGUAcgBpAGMAXAAiACwAIAAwACwAIAAwACwAIABcACIATwB0AGgAZQByACAAZgBlAHIAdABpAGwAaQBzAGUAcgBzAFwAIgAsACAAXAAiAFMAdQBsAGYAdQByACAAZgByAG8AbQAgAGYAZQByAHQAaQBsAGkAcwBlAHIAXAAiACwAIABcACIATABpAGYAZQBDAHkAYwBsAGUAcwBcACIAOwBcAG4AIAAgAFwAIgBaAGkAbgBjACAALQAgAEcAZQBuAGUAcgBpAGMAXAAiACwAIAAwACwAIAAwACwAIABcACIATwB0AGgAZQByACAAZgBlAHIAdABpAGwAaQBzAGUAcgBzAFwAIgAsACAAXAAiAFoAaQBuAGMAIABmAHIAbwBtACAAZgBlAHIAdABpAGwAaQBzAGUAcgBcACIALAAgAFwAIgBMAGkAZgBlAEMAeQBjAGwAZQBzAFwAIgA7AFwAbgAgACAAXAAiAE0AdQByAGkAYQB0AGUAIABvAGYAIABwAG8AdABhAHMAaAAgACgATQBPAFAAKQBcACIALAAgADAALAAgADAALAAgAFwAIgBPAHQAaABlAHIAIABmAGUAcgB0AGkAbABpAHMAZQByAHMAXAAiACwAIABcACIATQB1AHIAaQBhAHQAZQAgAG8AZgAgAHAAbwB0AGEAcwBoACAAKABNAE8AUAApAFwAIgAsACAAXAAiAEwAaQBmAGUAQwB5AGMAbABlAHMAXAAiADsAXABuACAAIABcACIARABvAHUAYgBsAGUAIABzAHUAcABlAHIAcABoAG8AcwBwAGgAYQB0AGUAXAAiACwAIAAwACwAIAAwACwAIABcACIATwB0AGgAZQByACAAZgBlAHIAdABpAGwAaQBzAGUAcgBzAFwAIgAsACAAXAAiAEQAbwB1AGIAbABlACAAcwB1AHAAZQByAHAAaABvAHMAcABoAGEAdABlAFwAIgAsACAAXAAiAEwAaQBmAGUAQwB5AGMAbABlAHMAXAAiADsAXABuACAAIABcACIAUwBpAG4AZwBsAGUAIABzAHUAcABlAHIAcABoAG8AcwBwAGgAYQB0AGUAIAAoAFMAUwBQACkAXAAiACwAIAAwACwAIAAwACwAIABcACIATwB0AGgAZQByACAAZgBlAHIAdABpAGwAaQBzAGUAcgBzAFwAIgAsACAAXAAiAFMAaQBuAGcAbABlACAAcwB1AHAAZQByAHAAaABvAHMAcABoAGEAdABlACAAKABTAFMAUAApAFwAIgAsACAAXAAiAEwAaQBmAGUAQwB5AGMAbABlAHMAXAAiADsAXABuACAAIABcACIAQQBtAG0AbwBuAGkAYQBcACIALAAgADAALgA4ADIAMwA1ACwAIAAwACwAIABcACIAQQBtAG0AbwBuAGkAdQBtAC0AYgBhAHMAZQBkACAAZgBlAHIAdABpAGwAaQBzAGUAcgBzAFwAIgAsACAAXAAiAEEAbQBtAG8AbgBpAGEAXAAiACwAIABcACIATABpAGYAZQBDAHkAYwBsAGUAcwBcACIAOwBcAG4AIAAgAFwAIgBDAGEAbABjAGkAdQBtACAAbgBpAHQAcgBhAHQAZQBcACIALAAgADAALgAxADUANQAsACAAMAAsACAAXAAiAE4AaQB0AHIAYQB0AGUALQBiAGEAcwBlAGQAIABmAGUAcgB0AGkAbABpAHMAZQByAHMAXAAiACwAIABcACIAQwBhAGwAYwBpAHUAbQAgAG4AaQB0AHIAYQB0AGUAXAAiACwAIABcACIAVgBFAEUAUgBHAFwAIgBcAG4AIAAgAH0ALAAgAHIALAAgAGMAKQBcAG4AKQApACkAOwBcAG4AXABuAEYAZQByAHQAaQBsAGkAcwBlAHIAXwBDAGgAZQBtAGkAYwBhAGwAQwBvAG0AcABvAHUAbgBkAEUAbABlAG0AZQBuAHQAcwBfAFYAYQByAGkAYQB0AGkAbwBuAFwAbgA9AEwAQQBNAEIARABBACgAXABuACAATQBBAEsARQBBAFIAUgBBAFkAKAAxADIALAAgADEALABcAG4AIABMAEEATQBCAEQAQQAoAHIALABjACwAXABuACAAIABJAE4ARABFAFgAKAB7AFwAbgAgACAAXAAiAFYAQQBSAEkAQQBUAEkATwBOACAATwBOACAAUwBPAFUAUgBDAEUAXAAiADsAXABuACAAIABcACIAQQBkAGQAZQBkACAAJwBCAGEAcwBpAHMAJwAgAGMAbwBsAHUAbQBuACAAdABvACAAYQBsAGwAbwB3ACAAYwByAG8AcwBzAC0AcgBlAGYAZQByAGUAbgBjAGkAbgBnACAAdwBpAHQAaAAgAHQAYQBiAGwAZQAgAFQAYQBiAGwAZQAgAEEALgAyAC4AMgAuADYAOgAgAEYAcgBhAGMAdABpAG8AbgAgAG8AZgAgAGkAbgBvAHIAZwBhAG4AaQBjACAAZgBlAHIAdABpAGwAaQBzAGUAcgAgAGYAIAB0AGgAYQB0ACAAdgBvAGwAYQB0AGkAbABpAHMAZQBzACAAYQBzACAATgBIADMAIABhAG4AZAAgAE4ATwB4ACAAKAAoAGsAZwAgAE4ASAAzAC0ATgAgACsAIABOAE8AeAAtAE4AKQAvAGsAZwAgAE4AKQAgACgARgByAGEAYwBHAEEAUwBGAGYAKQBcACIAOwBcAG4AIAAgAFwAIgBBAGQAZABlAGQAIABlAHgAdAByAGEAIABmAGUAcgB0AGkAbABpAHMAZQByACAAdAB5AHAAZQBzACAAYQBuAGQAIABnAGUAbgBlAHIAaQBjACAAYwBoAGUAbQBpAGMAYQBsACAAYwBvAG0AcABvAHUAbgBkAHMAIAB0AG8AIABhAGwAbABvAHcAIABmAG8AcgAgAGMAdQBzAHQAbwBtACAATgBQAEsAUwAgAGIAbABlAG4AZABzAFwAIgA7AFwAbgAgACAAXAAiAEEAZABkAGUAZAAgAGUAeAB0AHIAYQAgACcAUwBjAG8AcABlACAAMwAgAGQAZQBmAGkAbgBpAHQAaQBvAG4AJwAgAGMAbwBsAHUAbQBuACAAdABvACAAYQBsAGwAbwB3ACAAbQBhAHAAcABpAG4AZwAgAHcAaQB0AGgAIABzAGMAbwBwAGUAIAAzACAAZABhAHQAYQBcACIAOwBcAG4AIAAgAFwAIgBBAGQAZABlAGQAIAAnAFMAbwB1AHIAYwBlACcAIABjAG8AbAB1AG0AbgBcACIAOwBcAG4AIAAgAFwAIgBDAG8AbQBiAGkAbgBlAGQAIABkAGEAdABhACAAZgByAG8AbQAgAFQAYQBiAGwAZQAgAEEALgAyAC4AMgAuADMAIABhAG4AZAAgAFQAYQBiAGwAZQAgAEEALgAyAC4AMgAuADQAIABpAG4AdABvACAAbwBuAGUAIAB0AGEAYgBsAGUAIAB0AG8AIABhAGkAZAAgAGwAbwBvAGsAdQBwAC4AXAAiADsAXABuACAAIABcACIARQB4AGMAbAB1AGQAZQBkACAAJwBSAGUAZgBlAHIAZQBuAGMAZQBzACcAIABjAG8AbAB1AG0AbgBcACIAOwBcAG4AIAAgAFwAIgBFAHgAYwBsAHUAZABlAGQAIAAnAEEAbQBtAG8AbgBpAHUAbQAgAHMAdQBsAGYAYQB0AGUAJwAgAGEAcwAgAGkAdAAgAGkAcwAgAGEAIABkAHUAcABsAGkAYwBhAHQAZQAgAG8AZgAgACcAUwB1AGwAcABoAGEAdABlACAAbwBmACAAYQBtAG0AbwBuAGkAYQAgACgAUwBPAEEAKQAnAFwAIgA7AFwAbgAgACAAXAAiAEUAeABjAGwAdQBkAGUAZAAgACcAQwBhAGwAYwBpAHUAbQAgAG4AaQB0AHIAYQB0AGUAJwAgAGEAcwAgAG4AbwAgAHMAYwBvAHAAZQAgADMAIAB2AGEAbAB1AGUAIABhAHYAYQBpAGwAYQBiAGwAZQAuAFwAIgA7AFwAbgAgACAAXAAiAFMAZQB0ACAAJwBOAGkAdAByAG8AZwBlAG4AIAAtACAARwBlAG4AZQByAGkAYwAnACAAYgBhAHMAaQBzACAAYQBzACAAJwBVAHIAZQBhAC0AYgBhAHMAZQBkACAAZgBlAHIAdABpAGwAaQBzAGUAcgBzACwAIABhAHMAIAB1AHIAZQBhACAAaQBzACAAdABoAGUAIABtAG8AcwB0ACAAYwBvAG0AbQBvAG4AbAB5ACAAdQBzAGUAZAAgAGYAbwByAG0AIABvAGYAIABuAGkAdAByAG8AZwBlAG4AIABpAG4AIABBAHUAcwB0AHIAYQBsAGkAYQBuACAAZgBlAHIAdABpAGwAaQBzAGUAcgBzAFwAIgA7AFwAbgAgACAAXAAiAFMAZQB0ACAAJwBVAHIAZQBhAC0AYQBtAG0AbwBuAGkAdQBtACAAbgBpAHQAcgBhAHQAZQAnACAAYgBhAHMAaQBzACAAYQBzACAAJwBVAHIAZQBhAC0AYgBhAHMAZQBkACAAZgBlAHIAdABpAGwAaQBzAGUAcgAnAFwAIgA7AFwAbgAgACAAXAAiAEEAbQBtAG8AbgBpAGEAIABoAGEAcwAgAGEAbgAgAEYATgAgAHYAYQBsAHUAZQAgAG8AZgAgADAALgA4ADIAMwA1ACAAYgBhAHMAZQBkACAAbwBuACAAKAAxADQALwAxADcAKQB4ADEAMAAwACwAIAB3AGgAZQByAGUAIAAxADQAIABpAHMAIAB0AGgAZQAgAG0AYQBzAHMAIABvAGYAIABuAGkAdAByAG8AZwBlAG4AIABpAG4AIABhAG0AbQBvAG4AaQBhACAAYQBuAGQAIAAxADcAIABpAHMAIAB0AGgAZQAgAG0AbwBsAGEAcgAgAG0AYQBzAHMAIABvAGYAIABhAG0AbQBvAG4AaQBhAC4AXAAiAFwAbgAgACAAfQAsACAAcgAsACAAYwApAFwAbgApACkAKQA7AFwAbgBcAG4AXABuAC8AKgBcAG4APQA9AD0APQA9AD0APQA9AD0APQA9AD0APQA9AD0APQA9AD0APQA9AD0APQA9AD0APQA9AD0APQA9AD0APQA9AD0APQA9AD0APQA9AD0APQA9AD0APQA9AD0APQA9AD0APQA9AD0APQA9AD0APQA9AD0APQA9AD0APQA9AD0APQA9AD0APQA9AD0APQA9AD0APQA9AD0APQBcAG4ARgByAGEAYwB0AGkAbwBuACAAbwBmACAAaQBuAG8AcgBnAGEAbgBpAGMAIABmAGUAcgB0AGkAbABpAHMAZQByACAAdABoAGEAdAAgAHYAbwBsAGEAdABpAGwAaQBzAGUAcwAgAGEAcwAgAE4ASAAzACAAYQBuAGQAIABOAE8AeABcAG4APQA9AD0APQA9AD0APQA9AD0APQA9AD0APQA9AD0APQA9AD0APQA9AD0APQA9AD0APQA9AD0APQA9AD0APQA9AD0APQA9AD0APQA9AD0APQA9AD0APQA9AD0APQA9AD0APQA9AD0APQA9AD0APQA9AD0APQA9AD0APQA9AD0APQA9AD0APQA9AD0APQA9AD0APQA9AD0APQBcAG4AKgAvAFwAbgBcAG4ARgBlAHIAdABpAGwAaQBzAGUAcgBfAEYAcgBhAGMARwBBAFMARgBfAFQAaQB0AGwAZQBcAG4APQBMAEEATQBCAEQAQQAoACgAXAAiAEYAcgBhAGMAdABpAG8AbgAgAG8AZgAgAGkAbgBvAHIAZwBhAG4AaQBjACAAZgBlAHIAdABpAGwAaQBzAGUAcgAgAHQAaABhAHQAIAB2AG8AbABhAHQAaQBsAGkAcwBlAHMAIABhAHMAIABOAEgAMwAgAGEAbgBkACAATgBPAHgAXAAiACkAKQA7AFwAbgBcAG4ARgBlAHIAdABpAGwAaQBzAGUAcgBfAEYAcgBhAGMARwBBAFMARgBfAFMAbwB1AHIAYwBlAFwAbgA9AEwAQQBNAEIARABBACgAKABcACIAVABhAGIAbABlACAAQQAuADIALgAyAC4ANgA6ACAARgByAGEAYwB0AGkAbwBuACAAbwBmACAAaQBuAG8AcgBnAGEAbgBpAGMAIABmAGUAcgB0AGkAbABpAHMAZQByACAAZgAgAHQAaABhAHQAIAB2AG8AbABhAHQAaQBsAGkAcwBlAHMAIABhAHMAIABOAEgAMwAgAGEAbgBkACAATgBPAHgAIAAoACgAawBnACAATgBIADMAEyBOACAAKwAgAE4ATwB4ABMgTgApAC8AawBnACAATgApACAAKABGAHIAYQBjAEcAQQBTAEYAZgApAFwAIgApACkAOwBcAG4AXABuAEYAZQByAHQAaQBsAGkAcwBlAHIAXwBGAHIAYQBjAEcAQQBTAEYAXwBEAGEAdABhAFwAbgA9AEwAQQBNAEIARABBACgAXABuACAATQBBAEsARQBBAFIAUgBBAFkAKAA2ACwAIAAyACwAXABuACAATABBAE0AQgBEAEEAKAByACwAYwAsAFwAbgAgACAASQBOAEQARQBYACgAewBcAG4AIAAgAFwAIgBGAGUAcgB0AGkAbABpAHMAZQByACAAdAB5AHAAZQAgAGYAXAAiACwAIABcACIARgByAGEAYwBHAEEAUwBGAGYAXAAiADsAXABuACAAIABcACIAVQByAGUAYQAtAGIAYQBzAGUAZAAgAGYAZQByAHQAaQBsAGkAcwBlAHIAcwBcACIALAAgADAALgAxADUAOwBcAG4AIAAgAFwAIgBBAG0AbQBvAG4AaQB1AG0ALQBiAGEAcwBlAGQAIABmAGUAcgB0AGkAbABpAHMAZQByAHMAXAAiACwAIAAwAC4AMAA4ADsAXABuACAAIABcACIATgBpAHQAcgBhAHQAZQAtAGIAYQBzAGUAZAAgAGYAZQByAHQAaQBsAGkAcwBlAHIAcwBcACIALAAgADAALgAwADEAOwBcAG4AIAAgAFwAIgBBAG0AbQBvAG4AaQB1AG0ALQBuAGkAdAByAGEAdABlACAAYgBhAHMAZQBkACAAZgBlAHIAdABpAGwAaQBzAGUAcgBzAFwAIgAsACAAMAAuADAANQA7AFwAbgAgACAAXAAiAE8AdABoAGUAcgAgAGYAZQByAHQAaQBsAGkAcwBlAHIAcwBcACIALAAgADAALgAxADEAXABuACAAIAB9ACwAIAByACwAIABjACkAXABuACkAKQApADsAXABuAFwAbgBGAGUAcgB0AGkAbABpAHMAZQByAF8ARgByAGEAYwBHAEEAUwBGAF8AVgBhAHIAaQBhAHQAaQBvAG4AXABuAD0ATABBAE0AQgBEAEEAKABcACIAXAAiACkAOwBcAG4AXABuAFwAbgAvACoAXABuAD0APQA9AD0APQA9AD0APQA9AD0APQA9AD0APQA9AD0APQA9AD0APQA9AD0APQA9AD0APQA9AD0APQA9AD0APQA9AD0APQA9AD0APQA9AD0APQA9AD0APQA9AD0APQA9AD0APQA9AD0APQA9AD0APQA9AD0APQA9AD0APQA9AD0APQA9AD0APQA9AD0APQA9AD0APQA9AD0AXABuAEUAbQBpAHMAcwBpAG8AbgAgAGYAYQBjAHQAbwByACAAZgBvAHIAIABjAGEAcgBiAG8AbgAgAGUAbQBpAHMAcwBpAG8AbgBzACAAZgByAG8AbQAgAHUAcgBlAGEAIABhAHAAcABsAGkAYwBhAHQAaQBvAG4AXABuAD0APQA9AD0APQA9AD0APQA9AD0APQA9AD0APQA9AD0APQA9AD0APQA9AD0APQA9AD0APQA9AD0APQA9AD0APQA9AD0APQA9AD0APQA9AD0APQA9AD0APQA9AD0APQA9AD0APQA9AD0APQA9AD0APQA9AD0APQA9AD0APQA9AD0APQA9AD0APQA9AD0APQA9AD0APQA9AD0AXABuACoALwBcAG4AXABuAEYAZQByAHQAaQBsAGkAcwBlAHIAXwBFAEYAVQByAGUAYQBDAE8AMgBfAFQAaQB0AGwAZQBcAG4APQBMAEEATQBCAEQAQQAoACgAXAAiAEUAbQBpAHMAcwBpAG8AbgAgAGYAYQBjAHQAbwByACAAZgBvAHIAIABjAGEAcgBiAG8AbgAgAGUAbQBpAHMAcwBpAG8AbgBzACAAZgByAG8AbQAgAHUAcgBlAGEAIABhAHAAcABsAGkAYwBhAHQAaQBvAG4AXAAiACkAKQA7AFwAbgBcAG4ARgBlAHIAdABpAGwAaQBzAGUAcgBfAEUARgBVAHIAZQBhAEMATwAyAF8AUwBvAHUAcgBjAGUAXABuAD0ATABBAE0AQgBEAEEAKAAoAFwAIgBWAEUARQBSAEcAIAAyADAAMgA2ADoAIAA1AC4AMQAuADIALgAyACAAQwBvAG4AcwB0AGEAbgB0ACAAUABhAHIAYQBtAGUAdABlAHIAcwBcACIAKQApADsAXABuAFwAbgBGAGUAcgB0AGkAbABpAHMAZQByAF8ARQBGAFUAcgBlAGEAQwBPADIAXwBWAGEAcgBpAGEAYgBsAGUAXABuAD0ATABBAE0AQgBEAEEAKAAoAFwAIgBFAEYAdQByAGUAYQBDAE8AMgBcACIAKQApADsAXABuAFwAbgBGAGUAcgB0AGkAbABpAHMAZQByAF8ARQBGAFUAcgBlAGEAQwBPADIAXwBVAG4AaQB0AFwAbgA9AEwAQQBNAEIARABBACgAKABcACIAawBnACAAQwAvAGsAZwAgAHUAcgBlAGEAXAAiACkAKQA7AFwAbgBcAG4ARgBlAHIAdABpAGwAaQBzAGUAcgBfAEUARgBVAHIAZQBhAEMATwAyAF8ARABhAHQAYQBcAG4APQBMAEEATQBCAEQAQQAoADAALgAyACkAOwBcAG4AXABuAEYAZQByAHQAaQBsAGkAcwBlAHIAXwBFAEYAVQByAGUAYQBDAE8AMgBfAFYAYQByAGkAYQB0AGkAbwBuAFwAbgA9AEwAQQBNAEIARABBACgAXAAiAFwAIgApADsAXABuAFwAbgBcAG4ALwAqAFwAbgA9AD0APQA9AD0APQA9AD0APQA9AD0APQA9AD0APQA9AD0APQA9AD0APQA9AD0APQA9AD0APQA9AD0APQA9AD0APQA9AD0APQA9AD0APQA9AD0APQA9AD0APQA9AD0APQA9AD0APQA9AD0APQA9AD0APQA9AD0APQA9AD0APQA9AD0APQA9AD0APQA9AD0APQA9AD0APQA9AFwAbgBGAHIAYQBjAHQAaQBvAG4AIABvAGYAIABvAHIAZwBhAG4AaQBjACAAZgBlAHIAdABpAGwAaQBzAGUAcgAgAHQAaABhAHQAIAB2AG8AbABhAHQAaQBsAGkAcwBlAHMAIABhAHMAIABOAEgAMwAgAGEAbgBkACAATgBPAHgAXABuAD0APQA9AD0APQA9AD0APQA9AD0APQA9AD0APQA9AD0APQA9AD0APQA9AD0APQA9AD0APQA9AD0APQA9AD0APQA9AD0APQA9AD0APQA9AD0APQA9AD0APQA9AD0APQA9AD0APQA9AD0APQA9AD0APQA9AD0APQA9AD0APQA9AD0APQA9AD0APQA9AD0APQA9AD0APQA9AD0AXABuACoALwBcAG4AXABuAEYAZQByAHQAaQBsAGkAcwBlAHIAXwBGAHIAYQBjAEcAQQBTAE0AUwBvAGkAbABfAFQAaQB0AGwAZQBcAG4APQBMAEEATQBCAEQAQQAoACgAXAAiAEYAcgBhAGMAdABpAG8AbgAgAG8AZgAgAG8AcgBnAGEAbgBpAGMAIABmAGUAcgB0AGkAbABpAHMAZQByACAAdABoAGEAdAAgAHYAbwBsAGEAdABpAGwAaQBzAGUAcwAgAGEAcwAgAE4ASAAzACAAYQBuAGQAIABOAE8AeABcACIAKQApADsAXABuAFwAbgBGAGUAcgB0AGkAbABpAHMAZQByAF8ARgByAGEAYwBHAEEAUwBNAFMAbwBpAGwAXwBTAG8AdQByAGMAZQBcAG4APQBMAEEATQBCAEQAQQAoACgAXAAiAFYARQBFAFIARwAgADIAMAAyADYAOgAgADUALgA0AC4AMgAuADMAIABDAG8AbgBzAHQAYQBuAHQAIABQAGEAcgBhAG0AZQB0AGUAcgBzAFwAIgApACkAOwBcAG4AXABuAEYAZQByAHQAaQBsAGkAcwBlAHIAXwBGAHIAYQBjAEcAQQBTAE0AUwBvAGkAbABfAFYAYQByAGkAYQBiAGwAZQBcAG4APQBMAEEATQBCAEQAQQAoACgAXAAiAEYAcgBhAGMARwBBAFMATQBzAG8AaQBsAFwAIgApACkAOwBcAG4AXABuAEYAZQByAHQAaQBsAGkAcwBlAHIAXwBGAHIAYQBjAEcAQQBTAE0AUwBvAGkAbABfAFUAbgBpAHQAXABuAD0ATABBAE0AQgBEAEEAKAAoAFwAIgAoAGsAZwAgAE4ASAAzAC0ATgAgACsAIABOAE8AeAAtAE4AKQAvAGsAZwAgAE4AXAAiACkAKQA7AFwAbgBcAG4ARgBlAHIAdABpAGwAaQBzAGUAcgBfAEYAcgBhAGMARwBBAFMATQBTAG8AaQBsAF8ARABhAHQAYQBcAG4APQBMAEEATQBCAEQAQQAoADAALgAyADEAKQA7AFwAbgBcAG4ARgBlAHIAdABpAGwAaQBzAGUAcgBfAEYAcgBhAGMARwBBAFMATQBTAG8AaQBsAF8AVgBhAHIAaQBhAHQAaQBvAG4AXABuAD0ATABBAE0AQgBEAEEAKABcACIAXAAiACkAOwBcAG4AXABuAFwAbgAvACoAXABuAD0APQA9AD0APQA9AD0APQA9AD0APQA9AD0APQA9AD0APQA9AD0APQA9AD0APQA9AD0APQA9AD0APQA9AD0APQA9AD0APQA9AD0APQA9AD0APQA9AD0APQA9AD0APQA9AD0APQA9AD0APQA9AD0APQA9AD0APQA9AD0APQA9AD0APQA9AD0APQA9AD0APQA9AD0APQA9AD0AXABuAEYAcgBhAGMAdABpAG8AbgAgAG8AZgAgAG4AaQB0AHIAbwBnAGUAbgAgAHQAaABhAHQAIABpAHMAIABsAG8AcwB0ACAAdABoAHIAbwB1AGcAaAAgAGwAZQBhAGMAaABpAG4AZwAgAGEAbgBkACAAcgB1AG4AbwBmAGYAXABuAD0APQA9AD0APQA9AD0APQA9AD0APQA9AD0APQA9AD0APQA9AD0APQA9AD0APQA9AD0APQA9AD0APQA9AD0APQA9AD0APQA9AD0APQA9AD0APQA9AD0APQA9AD0APQA9AD0APQA9AD0APQA9AD0APQA9AD0APQA9AD0APQA9AD0APQA9AD0APQA9AD0APQA9AD0APQA9AD0AXABuACoALwBcAG4AXABuAEYAZQByAHQAaQBsAGkAcwBlAHIAXwBGAHIAYQBjAEwARQBBAEMASABfAFQAaQB0AGwAZQBcAG4APQBMAEEATQBCAEQAQQAoACgAXAAiAEYAcgBhAGMAdABpAG8AbgAgAG8AZgAgAG4AaQB0AHIAbwBnAGUAbgAgAHQAaABhAHQAIABpAHMAIABsAG8AcwB0ACAAdABoAHIAbwB1AGcAaAAgAGwAZQBhAGMAaABpAG4AZwAgAGEAbgBkACAAcgB1AG4AbwBmAGYAXAAiACkAKQA7AFwAbgBcAG4ARgBlAHIAdABpAGwAaQBzAGUAcgBfAEYAcgBhAGMATABFAEEAQwBIAF8AUwBvAHUAcgBjAGUAXABuAD0ATABBAE0AQgBEAEEAKAAoAFwAIgBWAEUARQBSAEcAIAAyADAAMgA2ADoAIAA1AC4ANQAuADIALgAzACAAQwBvAG4AcwB0AGEAbgB0ACAAUABhAHIAYQBtAGUAdABlAHIAcwBcACIAKQApADsAXABuAFwAbgBGAGUAcgB0AGkAbABpAHMAZQByAF8ARgByAGEAYwBMAEUAQQBDAEgAXwBWAGEAcgBpAGEAYgBsAGUAXABuAD0ATABBAE0AQgBEAEEAKAAoAFwAIgBGAHIAYQBjAEwARQBBAEMASABcACIAKQApADsAXABuAFwAbgBGAGUAcgB0AGkAbABpAHMAZQByAF8ARgByAGEAYwBMAEUAQQBDAEgAXwBVAG4AaQB0AFwAbgA9AEwAQQBNAEIARABBACgAKABcACIAZgByAGEAYwB0AGkAbwBuAFwAIgApACkAOwBcAG4AXABuAEYAZQByAHQAaQBsAGkAcwBlAHIAXwBGAHIAYQBjAEwARQBBAEMASABfAEQAYQB0AGEAXABuAD0ATABBAE0AQgBEAEEAKAAwAC4AMgA0ACkAOwBcAG4AXABuAEYAZQByAHQAaQBsAGkAcwBlAHIAXwBGAHIAYQBjAEwARQBBAEMASABfAFYAYQByAGkAYQB0AGkAbwBuAFwAbgA9AEwAQQBNAEIARABBACgAXAAiAFwAIgApADsAXABuAFwAbgBcAG4ALwAqAFwAbgA9AD0APQA9AD0APQA9AD0APQA9AD0APQA9AD0APQA9AD0APQA9AD0APQA9AD0APQA9AD0APQA9AD0APQA9AD0APQA9AD0APQA9AD0APQA9AD0APQA9AD0APQA9AD0APQA9AD0APQA9AD0APQA9AD0APQA9AD0APQA9AD0APQA9AD0APQA9AD0APQA9AD0APQA9AD0APQA9AFwAbgBFAG0AaQBzAHMAaQBvAG4AIABmAGEAYwB0AG8AcgAgAGYAbwByACAAbgBpAHQAcgBvAGcAZQBuACAAbABlAGEAYwBoAGkAbgBnACAAYQBuAGQAIAByAHUAbgBvAGYAZgBcAG4APQA9AD0APQA9AD0APQA9AD0APQA9AD0APQA9AD0APQA9AD0APQA9AD0APQA9AD0APQA9AD0APQA9AD0APQA9AD0APQA9AD0APQA9AD0APQA9AD0APQA9AD0APQA9AD0APQA9AD0APQA9AD0APQA9AD0APQA9AD0APQA9AD0APQA9AD0APQA9AD0APQA9AD0APQA9AD0APQBcAG4AKgAvAFwAbgBcAG4ARgBlAHIAdABpAGwAaQBzAGUAcgBfAEUARgBMAGUAYQBjAGgAXwBUAGkAdABsAGUAXABuAD0ATABBAE0AQgBEAEEAKAAoAFwAIgBFAG0AaQBzAHMAaQBvAG4AIABmAGEAYwB0AG8AcgAgAGYAbwByACAAbgBpAHQAcgBvAGcAZQBuACAAbABlAGEAYwBoAGkAbgBnACAAYQBuAGQAIAByAHUAbgBvAGYAZgBcACIAKQApADsAXABuAFwAbgBGAGUAcgB0AGkAbABpAHMAZQByAF8ARQBGAEwAZQBhAGMAaABfAFMAbwB1AHIAYwBlAFwAbgA9AEwAQQBNAEIARABBACgAKABcACIAVgBFAEUAUgBHACAAMgAwADIANgA6ACAANQAuADUALgAyAC4AMwAgAEMAbwBuAHMAdABhAG4AdAAgAFAAYQByAGEAbQBlAHQAZQByAHMAXAAiACkAKQA7AFwAbgBcAG4ARgBlAHIAdABpAGwAaQBzAGUAcgBfAEUARgBMAGUAYQBjAGgAXwBWAGEAcgBpAGEAYgBsAGUAXABuAD0ATABBAE0AQgBEAEEAKAAoAFwAIgBFAEYATABlAGEAYwBoAFwAIgApACkAOwBcAG4AXABuAEYAZQByAHQAaQBsAGkAcwBlAHIAXwBFAEYATABlAGEAYwBoAF8AVQBuAGkAdABcAG4APQBMAEEATQBCAEQAQQAoACgAXAAiAGsAZwAgAE4AMgBPAC0ATgAgAC8AIABrAGcAIABOAFwAIgApACkAOwBcAG4AXABuAEYAZQByAHQAaQBsAGkAcwBlAHIAXwBFAEYATABlAGEAYwBoAF8ARABhAHQAYQBcAG4APQBMAEEATQBCAEQAQQAoADAALgAwADEAMQApADsAXABuAFwAbgBGAGUAcgB0AGkAbABpAHMAZQByAF8ARQBGAEwAZQBhAGMAaABfAFYAYQByAGkAYQB0AGkAbwBuAFwAbgA9AEwAQQBNAEIARABBACgAXAAiAFwAIgApADsAXABuAFwAbgBcAG4AXABuAC8AKgBcAG4APQA9AD0APQA9AD0APQA9AD0APQA9AD0APQA9AD0APQA9AD0APQA9AD0APQA9AD0APQA9AD0APQA9AD0APQA9AD0APQA9AD0APQA9AD0APQA9AD0APQA9AD0APQA9AD0APQA9AD0APQA9AD0APQA9AD0APQA9AD0APQA9AD0APQA9AD0APQA9AD0APQA9AD0APQA9AD0APQBcAG4ATABpAG0AZQAsACAAZABvAGwAbwBtAGkAdABlACAAYQBuAGQAIABnAHkAcABzAHUAbQBcAG4APQA9AD0APQA9AD0APQA9AD0APQA9AD0APQA9AD0APQA9AD0APQA9AD0APQA9AD0APQA9AD0APQA9AD0APQA9AD0APQA9AD0APQA9AD0APQA9AD0APQA9AD0APQA9AD0APQA9AD0APQA9AD0APQA9AD0APQA9AD0APQA9AD0APQA9AD0APQA9AD0APQA9AD0APQA9AD0APQBcAG4AKgAvAFwAbgBcAG4ARgBlAHIAdABpAGwAaQBzAGUAcgBfAEwAaQBtAGUARABvAGwAbwBtAGkAdABlAEcAeQBwAHMAdQBtAEMAbwBuAHMAdABhAG4AdABzAF8AVABpAHQAbABlAFwAbgA9AEwAQQBNAEIARABBACgAKABcACIAQwBvAG4AcwB0AGEAbgB0AHMAIABmAG8AcgAgAGwAaQBtAGUALAAgAGQAbwBsAG8AbQBpAHQAZQAgAGEAbgBkACAAZwB5AHAAcwB1AG0AXAAiACkAKQA7AFwAbgBcAG4ARgBlAHIAdABpAGwAaQBzAGUAcgBfAEwAaQBtAGUARABvAGwAbwBtAGkAdABlAEcAeQBwAHMAdQBtAEMAbwBuAHMAdABhAG4AdABzAF8ARABlAHMAYwByAGkAcAB0AGkAbwBuAFwAbgA9AEwAQQBNAEIARABBACgAKABcACIAQwBvAG4AcwB0AGEAbgB0AHMAIABmAG8AcgAgAGwAaQBtAGUALAAgAGQAbwBsAG8AbQBpAHQAZQAgAGEAbgBkACAAZwB5AHAAcwB1AG0AXAAiACkAKQA7AFwAbgBcAG4ARgBlAHIAdABpAGwAaQBzAGUAcgBfAEwAaQBtAGUARABvAGwAbwBtAGkAdABlAEcAeQBwAHMAdQBtAEMAbwBuAHMAdABhAG4AdABzAF8AUwBvAHUAcgBjAGUAXABuAD0ATABBAE0AQgBEAEEAKAAoAFwAIgBWAEUARQBSAEcAIAAyADAAMgA2ADoAIAA1AC4AMwAuADIALgAzACAAQwBvAG4AcwB0AGEAbgB0ACAAUABhAHIAYQBtAGUAdABlAHIAcwBcACIAKQApADsAXABuAFwAbgBGAGUAcgB0AGkAbABpAHMAZQByAF8ATABpAG0AZQBEAG8AbABvAG0AaQB0AGUARwB5AHAAcwB1AG0AQwBvAG4AcwB0AGEAbgB0AHMAXwBEAGEAdABhAFwAbgA9AEwAQQBNAEIARABBACgAXABuACAATQBBAEsARQBBAFIAUgBBAFkAKAA0ACwAIAAzACwAXABuACAATABBAE0AQgBEAEEAKAByACwAYwAsAFwAbgAgACAASQBOAEQARQBYACgAewBcAG4AIAAgAFwAIgBFAGwAZQBtAGUAbgB0AFwAIgAsACAAXAAiAFAAXAAiACwAIABcACIARQBGAFwAIgA7AFwAbgAgACAAXAAiAEwAaQBtAGUAIAAoAEMAYQBsAGMAaQB1AG0AIABjAGEAcgBiAG8AbgBhAHQAZQApAFwAIgAsACAAMAAuADkALAAgADAALgAxADIAOwBcAG4AIAAgAFwAIgBEAG8AbABvAG0AaQB0AGUAIAAoAE0AYQBnAG4AZQBzAGkAdQBtACAAYwBhAHIAYgBvAG4AYQB0AGUAKQBcACIALAAgADAALgA5ADUALAAgADAALgAxADMAOwBcAG4AIAAgAFwAIgBHAHkAcABzAHUAbQBcACIALAAgADAALAAgADAAXABuACAAIAB9ACwAIAByACwAIABjACkAXABuACkAKQApADsAXABuAFwAbgBGAGUAcgB0AGkAbABpAHMAZQByAF8ATABpAG0AZQBEAG8AbABvAG0AaQB0AGUARwB5AHAAcwB1AG0AQwBvAG4AcwB0AGEAbgB0AHMAXwBWAGEAcgBpAGEAdABpAG8AbgBcAG4APQBMAEEATQBCAEQAQQAoACgAXAAiAFYAQQBSAEkAQQBUAEkATwBOACAARgBSAE8ATQAgAFMATwBVAFIAQwBFACAARABBAFQAQQA6ACAARwB5AHAAcwB1AG0AIABoAGEAcwAgAGIAZQBlAG4AIABhAGQAZABlAGQAIAB3AGkAdABoACAAcABsAGEAYwBlAGgAbwBsAGQAZQByACAAdgBhAGwAdQBlAHMAIABvAGYAIAAwACAAZgBvAHIAIABQACAAYQBuAGQAIABFAEYALgBcACIAKQApADsAXABuAFwAbgBcAG4ALwAqAFwAbgA9AD0APQA9AD0APQA9AD0APQA9AD0APQA9AD0APQA9AD0APQA9AD0APQA9AD0APQA9AD0APQA9AD0APQA9AD0APQA9AD0APQA9AD0APQA9AD0APQA9AD0APQA9AD0APQA9AD0APQA9AD0APQA9AD0APQA9AD0APQA9AD0APQA9AD0APQA9AD0APQA9AD0APQA9AD0APQA9AFwAbgBGAHIAYQBjAHQAaQBvAG4AIABvAGYAIABuAGkAdAByAG8AZwBlAG4AIABpAG4AIABjAG8AbQBtAG8AbgAgAGkAbgBvAHIAZwBhAG4AaQBjACAAZgBlAHIAdABpAGwAaQBzAGUAcgBzAFwAbgA9AD0APQA9AD0APQA9AD0APQA9AD0APQA9AD0APQA9AD0APQA9AD0APQA9AD0APQA9AD0APQA9AD0APQA9AD0APQA9AD0APQA9AD0APQA9AD0APQA9AD0APQA9AD0APQA9AD0APQA9AD0APQA9AD0APQA9AD0APQA9AD0APQA9AD0APQA9AD0APQA9AD0APQA9AD0APQA9AFwAbgAqAC8AXABuAFwAbgBGAGUAcgB0AGkAbABpAHMAZQByAF8ARgByAGEAYwB0AGkAbwBuAE4AQwBvAG0AbQBvAG4ARgBlAHIAdABpAGwAaQBzAGUAcgBzAF8AVABpAHQAbABlAFwAbgA9AEwAQQBNAEIARABBACgAKABcACIARgByAGEAYwB0AGkAbwBuACAAbwBmACAAbgBpAHQAcgBvAGcAZQBuACAAaQBuACAAYwBvAG0AbQBvAG4AIABpAG4AbwByAGcAYQBuAGkAYwAgAGYAZQByAHQAaQBsAGkAcwBlAHIAcwAgACgAawBnAE4ALwBrAGcAKQAgACgARgBOAG8AcgBnAGEAbgBpAGMALABmACkAXAAiACkAKQA7AFwAbgBcAG4ARgBlAHIAdABpAGwAaQBzAGUAcgBfAEYAcgBhAGMAdABpAG8AbgBOAEMAbwBtAG0AbwBuAEYAZQByAHQAaQBsAGkAcwBlAHIAcwBfAFMAbwB1AHIAYwBlAFwAbgA9AEwAQQBNAEIARABBACgAKABcACIAVgBFAEUAUgBHACAAMgAwADIANgA6ACAAVABhAGIAbABlACAAQQAuADIALgAyAC4AMwBcACIAKQApADsAXABuAFwAbgBGAGUAcgB0AGkAbABpAHMAZQByAF8ARgByAGEAYwB0AGkAbwBuAE4AQwBvAG0AbQBvAG4ARgBlAHIAdABpAGwAaQBzAGUAcgBzAF8ARABhAHQAYQBcAG4APQBMAEEATQBCAEQAQQAoAFwAbgAgAE0AQQBLAEUAQQBSAFIAQQBZACgAMQAwACwAIAAyACwAXABuACAATABBAE0AQgBEAEEAKAByACwAYwAsAFwAbgAgACAASQBOAEQARQBYACgAewBcAG4AIAAgAFwAIgBGAGUAcgB0AGkAbABpAHMAZQByACAAVAB5AHAAZQAgAGYAXAAiACwAIABcACIARgBOAGkAbgBvAHIAZwBhAG4AaQBjAGYAXAAiADsAXABuACAAIABcACIATQBvAG4AbwBhAG0AbQBvAG4AaQB1AG0AIABwAGgAbwBzAHAAaABhAHQAZQAgACgATQBBAFAAKQBcACIALAAgADAALgAxADAAOwBcAG4AIAAgAFwAIgBEAGkAYQBtAG0AbwBuAGkAdQBtACAAcABoAG8AcwBwAGgAYQB0AGUAIAAoAEQAQQBQACkAXAAiACwAIAAwAC4AMQA4ADsAXABuACAAIABcACIAVQByAGUAYQBcACIALAAgADAALgA0ADYAOwBcAG4AIAAgAFwAIgBTAHUAbABwAGgAYQB0AGUAIABvAGYAIABhAG0AbQBvAG4AaQBhACAAKABTAE8AQQApAFwAIgAsACAAMAAuADIAMQA7AFwAbgAgACAAXAAiAFUAcgBlAGEALQBhAG0AbQBvAG4AaQB1AG0AIABuAGkAdAByAGEAdABlACAAKABVAEEATgApAFwAIgAsACAAMAAuADMAMgA7AFwAbgAgACAAXAAiAEEAbQBtAG8AbgBpAHUAbQAgAG4AaQB0AHIAYQB0AGUAIAAoAEEATgApAFwAIgAsACAAMAAuADMAMwA3ADsAXABuACAAIABcACIAQwBhAGwAYwBpAHUAbQAgAGEAbQBtAG8AbgBpAHUAbQAgAG4AaQB0AHIAYQB0AGUAIAAoAEMAQQBOACkAXAAiACwAIAAwAC4AMgA3ADsAXABuACAAIABcACIAQQBtAG0AbwBuAGkAdQBtACAAUwB1AGwAZgBhAHQAZQBcACIALAAgADAALgAyADEAOwBcAG4AIAAgAFwAIgBDAGEAbABjAGkAdQBtACAATgBpAHQAcgBhAHQAZQBcACIALAAgADAALgAxADUANQBcAG4AIAAgAH0ALAAgAHIALAAgAGMAKQBcAG4AKQApACkAOwBcAG4AXABuAEYAZQByAHQAaQBsAGkAcwBlAHIAXwBGAHIAYQBjAHQAaQBvAG4ATgBDAG8AbQBtAG8AbgBGAGUAcgB0AGkAbABpAHMAZQByAHMAXwBWAGEAcgBpAGEAdABpAG8AbgBcAG4APQBMAEEATQBCAEQAQQAoACgAXAAiAFwAIgApACkAOwBcAG4AXABuAFwAbgAvACoAXABuAD0APQA9AD0APQA9AD0APQA9AD0APQA9AD0APQA9AD0APQA9AD0APQA9AD0APQA9AD0APQA9AD0APQA9AD0APQA9AD0APQA9AD0APQA9AD0APQA9AD0APQA9AD0APQA9AD0APQA9AD0APQA9AD0APQA9AD0APQA9AD0APQA9AD0APQA9AD0APQA9AD0APQA9AD0APQA9AD0AXABuAEYAcgBhAGMAdABpAG8AbgAgAG8AZgAgAHUAcgBlAGEAIABpAG4AIABjAG8AbQBtAG8AbgAgAGkAbgBvAHIAZwBhAG4AaQBjACAAZgBlAHIAdABpAGwAaQBzAGUAcgBzAFwAbgA9AD0APQA9AD0APQA9AD0APQA9AD0APQA9AD0APQA9AD0APQA9AD0APQA9AD0APQA9AD0APQA9AD0APQA9AD0APQA9AD0APQA9AD0APQA9AD0APQA9AD0APQA9AD0APQA9AD0APQA9AD0APQA9AD0APQA9AD0APQA9AD0APQA9AD0APQA9AD0APQA9AD0APQA9AD0APQA9AFwAbgAqAC8AXABuAFwAbgBGAGUAcgB0AGkAbABpAHMAZQByAF8ARgByAGEAYwB0AGkAbwBuAFUAcgBlAGEAQwBvAG0AbQBvAG4ARgBlAHIAdABpAGwAaQBzAGUAcgBzAF8AVABpAHQAbABlAFwAbgA9AEwAQQBNAEIARABBACgAKABcACIARgByAGEAYwB0AGkAbwBuACAAbwBmACAAdQByAGUAYQAgAGkAbgAgAGMAbwBtAG0AbwBuACAAaQBuAG8AcgBnAGEAbgBpAGMAIABmAGUAcgB0AGkAbABpAHMAZQByAHMAIAAoAGsAZwAgAHUAcgBlAGEALwBrAGcAKQAgACgARgBVAGYAKQBcACIAKQApADsAXABuAFwAbgBGAGUAcgB0AGkAbABpAHMAZQByAF8ARgByAGEAYwB0AGkAbwBuAFUAcgBlAGEAQwBvAG0AbQBvAG4ARgBlAHIAdABpAGwAaQBzAGUAcgBzAF8AUwBvAHUAcgBjAGUAXABuAD0ATABBAE0AQgBEAEEAKAAoAFwAIgBWAEUARQBSAEcAIAAyADAAMgA2ADoAIABUAGEAYgBsAGUAIABBAC4AMgAuADIALgA0AFwAIgApACkAOwBcAG4AXABuAEYAZQByAHQAaQBsAGkAcwBlAHIAXwBGAHIAYQBjAHQAaQBvAG4AVQByAGUAYQBDAG8AbQBtAG8AbgBGAGUAcgB0AGkAbABpAHMAZQByAHMAXwBEAGEAdABhAFwAbgA9AEwAQQBNAEIARABBACgAXABuACAATQBBAEsARQBBAFIAUgBBAFkAKAAxADAALAAgADIALABcAG4AIABMAEEATQBCAEQAQQAoAHIALABjACwAXABuACAAIABJAE4ARABFAFgAKAB7AFwAbgAgACAAXAAiAEYAZQByAHQAaQBsAGkAcwBlAHIAIABUAHkAcABlACAAZgBcACIALAAgAFwAIgBGAFUAZgBcACIAOwBcAG4AIAAgAFwAIgBNAG8AbgBvAGEAbQBtAG8AbgBpAHUAbQAgAHAAaABvAHMAcABoAGEAdABlACAAKABNAEEAUAApAFwAIgAsACAAMAA7AFwAbgAgACAAXAAiAEQAaQBhAG0AbQBvAG4AaQB1AG0AIABwAGgAbwBzAHAAaABhAHQAZQAgACgARABBAFAAKQBcACIALAAgADAAOwBcAG4AIAAgAFwAIgBVAHIAZQBhAFwAIgAsACAAMQA7AFwAbgAgACAAXAAiAFMAdQBsAHAAaABhAHQAZQAgAG8AZgAgAGEAbQBtAG8AbgBpAGEAIAAoAFMATwBBACkAXAAiACwAIAAwADsAXABuACAAIABcACIAVQByAGUAYQAtAGEAbQBtAG8AbgBpAHUAbQAgAG4AaQB0AHIAYQB0AGUAIAAoAFUAQQBOACkAXAAiACwAIAAwAC4AMwA1ADsAXABuACAAIABcACIAQQBtAG0AbwBuAGkAdQBtACAAbgBpAHQAcgBhAHQAZQAgACgAQQBOACkAXAAiACwAIAAwADsAXABuACAAIABcACIAQwBhAGwAYwBpAHUAbQAgAGEAbQBtAG8AbgBpAHUAbQAgAG4AaQB0AHIAYQB0AGUAIAAoAEMAQQBOACkAXAAiACwAIAAwADsAXABuACAAIABcACIAQQBtAG0AbwBuAGkAdQBtACAAUwB1AGwAZgBhAHQAZQBcACIALAAgADAAOwBcAG4AIAAgAFwAIgBDAGEAbABjAGkAdQBtACAATgBpAHQAcgBhAHQAZQBcACIALAAgADAAXABuACAAIAB9ACwAIAByACwAIABjACkAXABuACkAKQApADsAXABuAFwAbgBGAGUAcgB0AGkAbABpAHMAZQByAF8ARgByAGEAYwB0AGkAbwBuAFUAcgBlAGEAQwBvAG0AbQBvAG4ARgBlAHIAdABpAGwAaQBzAGUAcgBzAF8AVgBhAHIAaQBhAHQAaQBvAG4AXABuAD0ATABBAE0AQgBEAEEAKAAoAFwAIgBcACIAKQApADsAXABuAFwAbgBcAG4ALwAqAFwAbgA9AD0APQA9AD0APQA9AD0APQA9AD0APQA9AD0APQA9AD0APQA9AD0APQA9AD0APQA9AD0APQA9AD0APQA9AD0APQA9AD0APQA9AD0APQA9AD0APQA9AD0APQA9AD0APQA9AD0APQA9AD0APQA9AD0APQA9AD0APQA9AD0APQA9AD0APQA9AD0APQA9AD0APQA9AD0APQA9AFwAbgBTAG8AdQByAGMAZQAgAHIAZQBnAGkAbwBuAHMAIABmAG8AcgAgAHUAcgBlAGEAIABhAG4AZAAgAGEAbQBtAG8AbgBpAGEAXABuAD0APQA9AD0APQA9AD0APQA9AD0APQA9AD0APQA9AD0APQA9AD0APQA9AD0APQA9AD0APQA9AD0APQA9AD0APQA9AD0APQA9AD0APQA9AD0APQA9AD0APQA9AD0APQA9AD0APQA9AD0APQA9AD0APQA9AD0APQA9AD0APQA9AD0APQA9AD0APQA9AD0APQA9AD0APQA9AD0AXABuACoALwBcAG4AXABuAEYAZQByAHQAaQBsAGkAcwBlAHIAXwBVAHIAZQBhAEEAbQBtAG8AbgBpAGEAUwBvAHUAcgBjAGUAUgBlAGcAaQBvAG4AcwBfAFQAaQB0AGwAZQBcAG4APQBMAEEATQBCAEQAQQAoAFwAIgBTAG8AdQByAGMAZQAgAHIAZQBnAGkAbwBuAHMAIABmAG8AcgAgAHUAcgBlAGEAIABhAG4AZAAgAGEAbQBtAG8AbgBpAGEAXAAiACkAOwBcAG4AXABuAEYAZQByAHQAaQBsAGkAcwBlAHIAXwBVAHIAZQBhAEEAbQBtAG8AbgBpAGEAUwBvAHUAcgBjAGUAUgBlAGcAaQBvAG4AcwBfAFMAbwB1AHIAYwBlAFwAbg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EYAZQByAHQAaQBsAGkAcwBlAHIAXwBVAHIAZQBhAEEAbQBtAG8AbgBpAGEAUwBvAHUAcgBjAGUAUgBlAGcAaQBvAG4AcwBfAEQAYQB0AGEAXABuAD0ATABBAE0AQgBEAEEAKABcAG4AIABNAEEASwBFAEEAUgBSAEEAWQAoADUALAAgADEALABcAG4AIABMAEEATQBCAEQAQQAoAHIALABjACwAXABuACAAIABJAE4ARABFAFgAKAB7AFwAbgAgACAAXAAiAFMAbwB1AHIAYwBlAFwAIgA7AFwAbgAgACAAXAAiAEcAbABvAGIAYQBsAFwAIgA7AFwAbgAgACAAXAAiAEMAYQBuAGEAZABhAFwAIgA7AFwAbgAgACAAXAAiAEMAaABpAG4AYQBcACIAOwBcAG4AIAAgAFwAIgBZAGUAbQBlAG4AXAAiAFwAbgAgACAAfQAsACAAcgAsACAAYwApAFwAbgApACkAKQA7AFwAbgBcAG4ALwAqAFwAbgA9AD0APQA9AD0APQA9AD0APQA9AD0APQA9AD0APQA9AD0APQA9AD0APQA9AD0APQA9AD0APQA9AD0APQA9AD0APQA9AD0APQA9AD0APQA9AD0APQA9AD0APQA9AD0APQA9AD0APQA9AD0APQA9AD0APQA9AD0APQA9AD0APQA9AD0APQA9AD0APQA9AD0APQA9AD0APQA9AFwAbgBCAHIAYQBuAGQAZQBkACAAZgBlAHIAdABpAGwAaQBzAGUAcgAgAHAAcgBvAGQAdQBjAHQAcwBcAG4APQA9AD0APQA9AD0APQA9AD0APQA9AD0APQA9AD0APQA9AD0APQA9AD0APQA9AD0APQA9AD0APQA9AD0APQA9AD0APQA9AD0APQA9AD0APQA9AD0APQA9AD0APQA9AD0APQA9AD0APQA9AD0APQA9AD0APQA9AD0APQA9AD0APQA9AD0APQA9AD0APQA9AD0APQA9AD0APQBcAG4AKgAvAFwAbgBcAG4ARgBlAHIAdABpAGwAaQBzAGUAcgBfAFAAcgBvAGQAdQBjAHQAcwBfAFQAaQB0AGwAZQBcAG4APQBMAEEATQBCAEQAQQAoACgAXAAiAEIAcgBhAG4AZABlAGQAIABmAGUAcgB0AGkAbABpAHMAZQByACAAcAByAG8AZAB1AGMAdABzACAAYQBuAGQAIAB0AGgAZQBpAHIAIABjAGgAZQBtAGkAYwBhAGwAIABjAG8AbQBwAG8AcwBpAHQAaQBvAG4AXAAiACkAKQA7AFwAbgBcAG4ARgBlAHIAdABpAGwAaQBzAGUAcgBfAFAAcgBvAGQAdQBjAHQAcwBfAFMAbwB1AHIAYwBlAFwAbgA9AEwAQQBNAEIARABBACgAKABcACIAXAAiACkAKQA7AFwAbgBcAG4ARgBlAHIAdABpAGwAaQBzAGUAcgBfAFAAcgBvAGQAdQBjAHQAcwBfAEQAYQB0AGEAMQBcAG4APQBMAEEATQBCAEQAQQAoAFwAbgAgAE0AQQBLAEUAQQBSAFIAQQBZACgAMQAyACwAIAAyADgALABcAG4AIABMAEEATQBCAEQAQQAoAHIALABjACwAXABuACAAIABJAE4ARABFAFgAKAB7AFwAbgBcACIASQBuAGMAbAB1AGQAZQAgAG8AcgAgAGUAeABjAGwAdQBkAGUAXAAiACwAXAAiAE4AbwB0AGUAcwBcACIALABcACIAQwBvAG0AcABhAG4AeQBcACIALABcACIAUAByAG8AZAB1AGMAdAAgAE4AYQBtAGUAXAAiACwAXAAiAFUAbgBpAHQAXAAiACwAXAAiAEQAZQBuAHMAaQB0AHkAXAAiACwAXAAiAFUAcgBlAGEAIABzAG8AdQByAGMAZQBcACIALABcACIAQQBtAG0AbwBuAGkAYQAgAHMAbwB1AHIAYwBlAFwAIgAsAFwAIgBJAG4AZwByAGUAZABpAGUAbgB0ACAAMQBcACIALABcACIASQBuAGcAcgBlAGQAaQBlAG4AdAAgADEAIABwAGUAcgBjAGUAbgB0AFwAIgAsAFwAIgBJAG4AZwByAGUAZABpAGUAbgB0ACAAMgBcACIALABcACIASQBuAGcAcgBlAGQAaQBlAG4AdAAgADIAIABwAGUAcgBjAGUAbgB0AFwAIgAsAFwAIgBJAG4AZwByAGUAZABpAGUAbgB0ACAAMwBcACIALABcACIASQBuAGcAcgBlAGQAaQBlAG4AdAAgADMAIABwAGUAcgBjAGUAbgB0AFwAIgAsAFwAIgBJAG4AZwByAGUAZABpAGUAbgB0ACAANABcACIALABcACIASQBuAGcAcgBlAGQAaQBlAG4AdAAgADQAIABwAGUAcgBjAGUAbgB0AFwAIgAsAFwAIgBJAG4AZwByAGUAZABpAGUAbgB0ACAANQBcACIALABcACIASQBuAGcAcgBlAGQAaQBlAG4AdAAgADUAIABwAGUAcgBjAGUAbgB0AFwAIgAsAFwAIgBJAG4AZwByAGUAZABpAGUAbgB0ACAANgBcACIALABcACIASQBuAGcAcgBlAGQAaQBlAG4AdAAgADYAIABwAGUAcgBjAGUAbgB0AFwAIgAsAFwAIgBJAG4AZwByAGUAZABpAGUAbgB0ACAANwBcACIALABcACIASQBuAGcAcgBlAGQAaQBlAG4AdAAgADcAIABwAGUAcgBjAGUAbgB0AFwAIgAsAFwAIgBJAG4AZwByAGUAZABpAGUAbgB0ACAAOABcACIALABcACIASQBuAGcAcgBlAGQAaQBlAG4AdAAgADgAIABwAGUAcgBjAGUAbgB0AFwAIgAsAFwAIgBJAG4AZwByAGUAZABpAGUAbgB0ACAAOQBcACIALABcACIASQBuAGcAcgBlAGQAaQBlAG4AdAAgADkAIABwAGUAcgBjAGUAbgB0AFwAIgAsAFwAIgBJAG4AZwByAGUAZABpAGUAbgB0ACAAMQAwAFwAIgAsAFwAIgBJAG4AZwByAGUAZABpAGUAbgB0ACAAMQAwACAAcABlAHIAYwBlAG4AdABcACIAOwBcAG4AXAAiAEkAbgBjAGwAdQBkAGUAXAAiACwAXAAiAFwAIgAsAFwAIgBDAGEAbQBwAGIAZQBsAGwAcwAgAGYAZQByAHQAaQBsAGkAcwBlAHIAcwAgAEEAdQBzAHQAcgBhAGwAaQBhAFwAIgAsAFwAIgBBAHEAdQBhACAARgBpAG4AaQBzAGgAXAAiACwAXAAiAEwAXAAiACwAMQAuADIANgAsAFwAIgBcACIALABcACIAXAAiACwAXAAiAFAAbwB0AGEAcwBzAGkAdQBtACAALQAgAEcAZQBuAGUAcgBpAGMAXAAiACwAMAAuADIAMgA1ACwAXAAiAFAAaABvAHMAcABoAG8AcgB1AHMAIAAtACAARwBlAG4AZQByAGkAYwBcACIALAAwAC4AMAA0ACwAXAAiAE4AaQB0AHIAbwBnAGUAbgAgAC0AIABHAGUAbgBlAHIAaQBjAFwAIgAsADAALgAwADIANgAsAFwAIgBcACIALABcACIAXAAiACwAXAAiAFwAIgAsAFwAIgBcACIALABcACIAXAAiACwAXAAiAFwAIgAsAFwAIgBcACIALABcACIAXAAiACwAXAAiAFwAIgAsAFwAIgBcACIALABcACIAXAAiACwAXAAiAFwAIgAsAFwAIgBcACIALABcACIAXAAiADsAXABuAFwAIgBJAG4AYwBsAHUAZABlAFwAIgAsAFwAIgBcACIALABcACIAQwBhAG0AcABiAGUAbABsAHMAIABmAGUAcgB0AGkAbABpAHMAZQByAHMAIABBAHUAcwB0AHIAYQBsAGkAYQBcACIALABcACIAQQBxAHUAYQAgAEcAcgBvAHcAXAAiACwAXAAiAEwAXAAiACwAMQAuADIANgAsAFwAIgBcACIALABcACIAXAAiACwAXAAiAFAAbwB0AGEAcwBzAGkAdQBtACAALQAgAEcAZQBuAGUAcgBpAGMAXAAiACwAMAAuADEAMAA1ACwAXAAiAE4AaQB0AHIAbwBnAGUAbgAgAC0AIABHAGUAbgBlAHIAaQBjAFwAIgAsADAALgAwADkANgAsAFwAIgBQAGgAbwBzAHAAaABvAHIAdQBzACAALQAgAEcAZQBuAGUAcgBpAGMAXAAiACwAMAAuADAANQAsAFwAIgBcACIALABcACIAXAAiACwAXAAiAFwAIgAsAFwAIgBcACIALABcACIAXAAiACwAXAAiAFwAIgAsAFwAIgBcACIALABcACIAXAAiACwAXAAiAFwAIgAsAFwAIgBcACIALABcACIAXAAiACwAXAAiAFwAIgAsAFwAIgBcACIALABcACIAXAAiADsAXABuAFwAIgBJAG4AYwBsAHUAZABlAFwAIgAsAFwAIgBcACIALABcACIAQwBhAG0AcABiAGUAbABsAHMAIABmAGUAcgB0AGkAbABpAHMAZQByAHMAIABBAHUAcwB0AHIAYQBsAGkAYQBcACIALABcACIAQQBxAHUAYQAgAE4AaQB0AHIAbwAgAEEATgBcACIALABcACIATABcACIALAAxAC4AMgA0ACwAXAAiAFwAIgAsAFwAIgBcACIALABcACIATgBpAHQAcgBvAGcAZQBuACAALQAgAEEAbQBtAG8AbgBpAGEAYwBhAGwAXAAiACwAMAAuADIAMgAzACwAXAAiAFwAIgAsAFwAIgBcACIALABcACIAXAAiACwAXAAiAFwAIgAsAFwAIgBcACIALABcACIAXAAiACwAXAAiAFwAIgAsAFwAIgBcACIALABcACIAXAAiACwAXAAiAFwAIgAsAFwAIgBcACIALABcACIAXAAiACwAXAAiAFwAIgAsAFwAIgBcACIALABcACIAXAAiACwAXAAiAFwAIgAsAFwAIgBcACIALABcACIAXAAiADsAXABuAFwAIgBJAG4AYwBsAHUAZABlAFwAIgAsAFwAIgBcACIALABcACIAQwBhAG0AcABiAGUAbABsAHMAIABmAGUAcgB0AGkAbABpAHMAZQByAHMAIABBAHUAcwB0AHIAYQBsAGkAYQBcACIALABcACIAQQBxAHUAYQAgAFMAdABhAHIAdABcACIALABcACIATABcACIALAAxAC4AMgA1ACwAXAAiAFwAIgAsAFwAIgBcACIALABcACIATgBpAHQAcgBvAGcAZQBuACAALQAgAEcAZQBuAGUAcgBpAGMAXAAiACwAMAAuADEAMAAzACwAXAAiAFAAaABvAHMAcABoAG8AcgB1AHMAIAAtACAARwBlAG4AZQByAGkAYwBcACIALAAwAC4AMQAsAFwAIgBQAG8AdABhAHMAcwBpAHUAbQAgAC0AIABHAGUAbgBlAHIAaQBjAFwAIgAsADAALgAwADMANAAsAFwAIgBcACIALABcACIAXAAiACwAXAAiAFwAIgAsAFwAIgBcACIALABcACIAXAAiACwAXAAiAFwAIgAsAFwAIgBcACIALABcACIAXAAiACwAXAAiAFwAIgAsAFwAIgBcACIALABcACIAXAAiACwAXAAiAFwAIgAsAFwAIgBcACIALABcACIAXAAiADsAXABuAFwAIgBJAG4AYwBsAHUAZABlAFwAIgAsAFwAIgBcACIALABcACIAQwBhAG0AcABiAGUAbABsAHMAIABmAGUAcgB0AGkAbABpAHMAZQByAHMAIABBAHUAcwB0AHIAYQBsAGkAYQBcACIALABcACIAQQBxAHUAYQAgAFQAaABpAG8ALQBDAG8AbQBwAGwAZQB0AGUAXAAiACwAXAAiAEwAXAAiACwAMQAuADQAMwAsAFwAIgBcACIALABcACIAXAAiACwAXAAiAFAAbwB0AGEAcwBzAGkAdQBtACAALQAgAEcAZQBuAGUAcgBpAGMAXAAiACwAMAAuADIAMgA1ACwAXAAiAFAAaABvAHMAcABoAG8AcgB1AHMAIAAtACAARwBlAG4AZQByAGkAYwBcACIALAAwAC4AMAAzADgALABcACIATgBpAHQAcgBvAGcAZQBuACAALQAgAEcAZQBuAGUAcgBpAGMAXAAiACwAMAAuADAAMgA1ACwAXAAiAFwAIgAsAFwAIgBcACIALABcACIAXAAiACwAXAAiAFwAIgAsAFwAIgBcACIALABcACIAXAAiACwAXAAiAFwAIgAsAFwAIgBcACIALABcACIAXAAiACwAXAAiAFwAIgAsAFwAIgBcACIALABcACIAXAAiACwAXAAiAFwAIgAsAFwAIgBcACIAOwBcAG4AXAAiAEkAbgBjAGwAdQBkAGUAXAAiACwAXAAiAFwAIgAsAFwAIgBDAGEAbQBwAGIAZQBsAGwAcwAgAGYAZQByAHQAaQBsAGkAcwBlAHIAcwAgAEEAdQBzAHQAcgBhAGwAaQBhAFwAIgAsAFwAIgBBAHEAdQBhACAAVABoAGkAbwAtAEUAbQBlAHIAZwBlAFwAIgAsAFwAIgBMAFwAIgAsADEALgAyADkALABcACIAXAAiACwAXAAiAFwAIgAsAFwAIgBOAGkAdAByAG8AZwBlAG4AIAAtACAARwBlAG4AZQByAGkAYwBcACIALAAwAC4AMQAwADUALABcACIAUABoAG8AcwBwAGgAbwByAHUAcwAgAC0AIABHAGUAbgBlAHIAaQBjAFwAIgAsADAALgAwADkANAAsAFwAIgBQAG8AdABhAHMAcwBpAHUAbQAgAC0AIABHAGUAbgBlAHIAaQBjAFwAIgAsADAALgAwADQALABcACIAUwB1AGwAZgB1AHIAIAAtACAARwBlAG4AZQByAGkAYwBcACIALAAwAC4AMAAzACwAXAAiAFwAIgAsAFwAIgBcACIALABcACIAXAAiACwAXAAiAFwAIgAsAFwAIgBcACIALABcACIAXAAiACwAXAAiAFwAIgAsAFwAIgBcACIALABcACIAXAAiACwAXAAiAFwAIgAsAFwAIgBcACIALABcACIAXAAiADsAXABuAFwAIgBJAG4AYwBsAHUAZABlAFwAIgAsAFwAIgBcACIALABcACIAQwBhAG0AcABiAGUAbABsAHMAIABmAGUAcgB0AGkAbABpAHMAZQByAHMAIABBAHUAcwB0AHIAYQBsAGkAYQBcACIALABcACIAQQBxAHUAYQAgAFQAaABpAG8ALQBGAGwAbwB1AHIAaQBzAGgAXAAiACwAXAAiAEwAXAAiACwAMQAuADMAMgAsAFwAIgBcACIALABcACIAXAAiACwAXAAiAFAAbwB0AGEAcwBzAGkAdQBtACAALQAgAEcAZQBuAGUAcgBpAGMAXAAiACwAMAAuADEAMAA4ACwAXAAiAE4AaQB0AHIAbwBnAGUAbgAgAC0AIABHAGUAbgBlAHIAaQBjAFwAIgAsADAALgAwADkANQAsAFwAIgBTAHUAbABmAHUAcgAgAC0AIABHAGUAbgBlAHIAaQBjAFwAIgAsADAALgAwADgAMQAsAFwAIgBQAGgAbwBzAHAAaABvAHIAdQBzACAALQAgAEcAZQBuAGUAcgBpAGMAXAAiACwAMAAuADAANAA3ACwAXAAiAFwAIgAsAFwAIgBcACIALABcACIAXAAiACwAXAAiAFwAIgAsAFwAIgBcACIALABcACIAXAAiACwAXAAiAFwAIgAsAFwAIgBcACIALABcACIAXAAiACwAXAAiAFwAIgAsAFwAIgBcACIALABcACIAXAAiADsAXABuAFwAIgBJAG4AYwBsAHUAZABlACAALQAgAEEAYgBzAGUAbgB0ACAAaQBuAGcAcgBlAGQAaQBlAG4AdABzACAAPAAgADIAJQBcACIALABcACIAQQBtAG8AdQBuAHQAIABvAGYAIAB1AHIAZQBhACAAYwBhAGwAYwB1AGwAYQB0AGUAZAAgAGYAcgBvAG0AIAB1AHIAZQBhACAAbgBpAHQAcgBvAGcAZQBuACAAYQBtAG8AdQBuAHQAXAAiACwAXAAiAEMAYQBtAHAAYgBlAGwAbABzACAAZgBlAHIAdABpAGwAaQBzAGUAcgBzACAAQQB1AHMAdAByAGEAbABpAGEAXAAiACwAXAAiAEIAbwBvAHMAdAAtAEkAdABcACIALABcACIAawBnAFwAIgAsADEALABcACIAXAAiACwAXAAiAFwAIgAsAFwAIgBVAHIAZQBhAFwAIgAsADAALgA1ADIAMQA3ADMAOQAxADMALABcACIAUABvAHQAYQBzAHMAaQB1AG0AIAAtACAARwBlAG4AZQByAGkAYwBcACIALAAwAC4AMAA4ACwAXAAiAFMAdQBsAGYAdQByACAALQAgAEcAZQBuAGUAcgBpAGMAXAAiACwAMAAuADAANQAzACwAXAAiAFAAaABvAHMAcABoAG8AcgB1AHMAIAAtACAARwBlAG4AZQByAGkAYwBcACIALAAwAC4AMAA1ADIALABcACIATQBhAGcAbgBlAHMAaQB1AG0AXAAiACwAMAAuADAAMQAzACwAXAAiAFoAaQBuAGMAXAAiACwAMAAuADAAMAAyACwAXAAiAE0AYQBuAGcAYQBuAGUAcwBlAFwAIgAsADAALgAwADAAMwA1ACwAXAAiAEkAcgBvAG4AXAAiACwAMAAuADAAMAAxADMALABcACIAQwBvAHAAcABlAHIAXAAiACwAMAAuADAAMAAwADcALABcACIAQgBvAHIAbwBuAFwAIgAsADAALgAwADAAMAA3ADsAXABuAFwAIgBJAG4AYwBsAHUAZABlAFwAIgAsAFwAIgBcACIALABcACIAQwBhAG0AcABiAGUAbABsAHMAIABmAGUAcgB0AGkAbABpAHMAZQByAHMAIABBAHUAcwB0AHIAYQBsAGkAYQBcACIALABcACIAQgByAG8AbgB6AGUAXAAiACwAXAAiAGsAZwBcACIALAAxACwAXAAiAFwAIgAsAFwAIgBcACIALABcACIATQB1AHIAaQBhAHQAZQAgAG8AZgAgAFAAbwB0AGEAcwBoACAAKABNAE8AUAApAFwAIgAsADAALgAyADMAMgAsAFwAIgBOAGkAdAByAG8AZwBlAG4AIAAtACAARwBlAG4AZQByAGkAYwBcACIALAAwAC4AMQA3ACwAXAAiAFMAdQBsAGYAdQByACAALQAgAEcAZQBuAGUAcgBpAGMAXAAiACwAMAAuADAAMAA1ACwAXAAiAE0AYQBnAG4AZQBzAGkAdQBtAFwAIgAsADAALgAwADAAMgA0ACwAXAAiAFAAaABvAHMAcABoAG8AcgB1AHMAIAAtACAARwBlAG4AZQByAGkAYwBcACIALAAwAC4AMAAwADAANAAsAFwAIgBcACIALABcACIAXAAiACwAXAAiAFwAIgAsAFwAIgBcACIALABcACIAXAAiACwAXAAiAFwAIgAsAFwAIgBcACIALABcACIAXAAiACwAXAAiAFwAIgAsAFwAIgBcACIAOwBcAG4AXAAiAEkAbgBjAGwAdQBkAGUAXAAiACwAXAAiADUAMAAvADUAMAAgAG4AaQB0AHIAYQB0AGUAIABhAG4AZAAgAGEAbQBtAG8AbgBpAGEAYwBhAGwAIABuAGkAdAByAG8AZwBlAG4AIAAoAGEAbQBtAG8AbgBpAHUAbQAgAG4AaQB0AHIAYQB0AGUAKQBcACIALABcACIAQwBhAG0AcABiAGUAbABsAHMAIABmAGUAcgB0AGkAbABpAHMAZQByAHMAIABBAHUAcwB0AHIAYQBsAGkAYQBcACIALABcACIAQwBvAG0AcABhAHMAcwBcACIALABcACIAawBnAFwAIgAsADEALABcACIAXAAiACwAXAAiAFwAIgAsAFwAIgBOAGkAdAByAG8AZwBlAG4AIAAtACAAQQBtAG0AbwBuAGkAYQBjAGEAbABcACIALAAwAC4AMAA3ADUALABcACIATgBpAHQAcgBvAGcAZQBuACAALQAgAE4AaQB0AHIAYQB0AGUAXAAiACwAMAAuADAANwA1ACwAXAAiAFAAbwB0AGEAcwBzAGkAdQBtACAALQAgAEcAZQBuAGUAcgBpAGMAXAAiACwAMAAuADEAMgA1ACwAXAAiAFAAaABvAHMAcABoAG8AcgB1AHMALQBHAGUAbgBlAHIAaQBjAFwAIgAsADAALgAwADYANQAsAFwAIgBTAHUAbABmAHUAcgAgAC0AIABHAGUAbgBlAHIAaQBjAFwAIgAsADAALgAwADYALABcACIAXAAiACwAXAAiAFwAIgAsAFwAIgBcACIALABcACIAXAAiACwAXAAiAFwAIgAsAFwAIgBcACIALABcACIAXAAiACwAXAAiAFwAIgAsAFwAIgBcACIALABcACIAXAAiADsAXABuAFwAIgBJAG4AYwBsAHUAZABlACAALQAgAEEAYgBzAGUAbgB0ACAAaQBuAGcAcgBlAGQAaQBlAG4AdABzACAAPAAgADIAJQBcACIALABcACIAQwBvAG4AdAByAG8AbABsAGUAZAAgAHIAZQBsAGUAYQBzAGUAIABOACAAdAByAGUAYQB0AGUAZAAgAGEAcwAgAGcAZQBuAGUAcgBpAGMALAAgAEEAbQBvAHUAbgB0ACAAbwBmACAAdQByAGUAYQAgAGMAYQBsAGMAdQBsAGEAdABlAGQAIABmAHIAbwBtACAAdQByAGUAYQAgAG4AaQB0AHIAbwBnAGUAbgAgAGEAbQBvAHUAbgB0AFwAIgAsAFwAIgBDAGEAbQBwAGIAZQBsAGwAcwAgAGYAZQByAHQAaQBsAGkAcwBlAHIAcwAgAEEAdQBzAHQAcgBhAGwAaQBhAFwAIgAsAFwAIgBDAG8AUgBvAE4AIAAxADIALQAwAC0AMQAwAFwAIgAsAFwAIgBMAFwAIgAsADEALgAyADEANQAsAFwAIgBcACIALABcACIAXAAiACwAXAAiAFUAcgBlAGEAXAAiACwAMAAuADEAOQA1ADYANQAyADEANwA0ACwAXAAiAFAAbwB0AGEAcwBzAGkAdQBtACAALQAgAEcAZQBuAGUAcgBpAGMAXAAiACwAMAAuADEALABcACIATgBpAHQAcgBvAGcAZQBuACAALQAgAEcAZQBuAGUAcgBpAGMAXAAiACwAMAAuADAAMwAsAFwAIgBCAG8AcgBvAG4AXAAiACwAMAAuADAAMAA1ACwAXAAiAFwAIgAsAFwAIgBcACIALABcACIAXAAiACwAXAAiAFwAIgAsAFwAIgBcACIALABcACIAXAAiACwAXAAiAFwAIgAsAFwAIgBcACIALABcACIAXAAiACwAXAAiAFwAIgAsAFwAIgBcACIALABcACIAXAAiAFwAbgB9ACwAIAByACwAIABjACkAXABuACkAKQApADsAXABuAFwAbgAvACoAXABuAEYAZQByAHQAaQBsAGkAcwBlAHIAXwBQAHIAbwBkAHUAYwB0AHMAXwBEAGEAdABhADIAXABuAD0ATABBAE0AQgBEAEEAKABcAG4AIABNAEEASwBFAEEAUgBSAEEAWQAoADYALAAgADIAOAAsAFwAbgAgAEwAQQBNAEIARABBACgAcgAsAGMALABcAG4AIAAgAEkATgBEAEUAWAAoAHsAXABuAFwAIgBFAHgAYwBsAHUAZABlACAALQAgAEEAYgBzAGUAbgB0ACAAaQBuAGcAcgBlAGQAaQBlAG4AdABzACAAPgAgADIAJQBcACIALABcACIAXAAiACwAXAAiAEMAYQBtAHAAYgBlAGwAbABzACAAZgBlAHIAdABpAGwAaQBzAGUAcgBzACAAQQB1AHMAdAByAGEAbABpAGEAXAAiACwAXAAiAEIAdQBkAC0AVwBpAHMAZQByACAARAByAHkAXAAiACwAXAAiAGsAZwBcACIALABcACIAXAAiACwAXAAiAFwAIgAsAFwAIgBTAHUAbABmAHUAcgAgAC0AIABHAGUAbgBlAHIAaQBjAFwAIgAsADAALgAwADkANAAsAFwAIgBNAGEAZwBuAGUAcwBpAHUAbQBcACIALAAwAC4AMAA2ACwAXAAiAEIAbwByAG8AbgBcACIALAAwAC4AMAA0ADUALABcACIAWgBpAG4AYwBcACIALAAwAC4AMAAyADcALABcACIAXAAiACwAXAAiAFwAIgAsAFwAIgBcACIALABcACIAXAAiACwAXAAiAFwAIgAsAFwAIgBcACIALABcACIAXAAiACwAXAAiAFwAIgAsAFwAIgBcACIALABcACIAXAAiACwAXAAiAFwAIgAsAFwAIgBcACIAOwBcAG4AXAAiAEUAeABjAGwAdQBkAGUAIAAtACAATgBvAHQAIAByAGUAbABlAHYAYQBuAHQAXAAiACwAXAAiAFwAIgAsAFwAIgBDAGEAbQBwAGIAZQBsAGwAcwAgAGYAZQByAHQAaQBsAGkAcwBlAHIAcwAgAEEAdQBzAHQAcgBhAGwAaQBhAFwAIgAsAFwAIgBDAGEAbABiAGkAdAAgAEMAXAAiACwAXAAiAEw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OwBcAG4AXAAiAEUAeABjAGwAdQBkAGUAIAAtACAATgBvAHQAIAByAGUAbABlAHYAYQBuAHQAXAAiACwAXAAiAFwAIgAsAFwAIgBDAGEAbQBwAGIAZQBsAGwAcwAgAGYAZQByAHQAaQBsAGkAcwBlAHIAcwAgAEEAdQBzAHQAcgBhAGwAaQBhAFwAIgAsAFwAIgBDAGEAbABjAGkAdQBtACAAMQA3ADUAXAAiACwAXAAiAEw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OwBcAG4AXAAiAEUAeABjAGwAdQBkAGUAIAAtACAAQQBiAHMAZQBuAHQAIABpAG4AZwByAGUAZABpAGUAbgB0AHMAIAA+ACAAMgAlAFwAIgAsAFwAIgBcACIALABcACIAQwBhAG0AcABiAGUAbABsAHMAIABmAGUAcgB0AGkAbABpAHMAZQByAHMAIABBAHUAcwB0AHIAYQBsAGkAYQBcACIALABcACIAQwBhAGwAUABoAG8AcwBcACIALABcACIATABcACIALAAxAC4AMgA4ADUALABcACIAXAAiACwAXAAiAFAAaABvAHMAcABoAG8AcgB1AHMAIAAtACAARwBlAG4AZQByAGkAYwBcACIALAAwAC4AMQAzADUALABcACIAQwBhAGwAYwBpAHUAbQAgAC0AIABHAGUAbgBlAHIAaQBjAFwAIgAsADAALgAwADQALABcACIAXAAiACwAXAAiAFwAIgAsAFwAIgBcACIALABcACIAXAAiACwAXAAiAFwAIgAsAFwAIgBcACIALABcACIAXAAiACwAXAAiAFwAIgAsAFwAIgBcACIALABcACIAXAAiACwAXAAiAFwAIgAsAFwAIgBcACIALABcACIAXAAiACwAXAAiAFwAIgA7AFwAbgBcACIASQBuAGMAbAB1AGQAZQBcACIALABcACIANQAwAC8ANQAwACAAbgBpAHQAcgBhAHQAZQAgAGEAbgBkACAAYQBtAG0AbwBuAGkAYQBjAGEAbAAgAG4AaQB0AHIAbwBnAGUAbgAgACgAYQBtAG0AbwBuAGkAdQBtACAAbgBpAHQAcgBhAHQAZQApAFwAIgAsAFwAIgBcACIALABcACIAQwBhAG0AcABiAGUAbABsAHMAIABmAGUAcgB0AGkAbABpAHMAZQByAHMAIABBAHUAcwB0AHIAYQBsAGkAYQBcACIALABcACIAQwBvAG0AcABhAHMAcwBcACIALABcACIAawBnAFwAIgAsADEALABcACIAXAAiACwAXAAiAE4AaQB0AHIAbwBnAGUAbgAgAC0AIABBAG0AbQBvAG4AaQBhAGMAYQBsAFwAIgAsADAALgAwADcANQAsAFwAIgBOAGkAdAByAG8AZwBlAG4AIAAtACAATgBpAHQAcgBhAHQAZQBcACIALAAwAC4AMAA3ADUALABcACIAUABvAHQAYQBzAHMAaQB1AG0AIAAtACAARwBlAG4AZQByAGkAYwBcACIALAAwAC4AMQAyADUALABcACIAUABoAG8AcwBwAGgAbwByAHUAcwAtAEcAZQBuAGUAcgBpAGMAXAAiACwAMAAuADAANgA1ACwAXAAiAFMAdQBsAGYAdQByACAALQAgAEcAZQBuAGUAcgBpAGMAXAAiACwAMAAuADAANgAsAFwAIgBcACIALABcACIAXAAiACwAXAAiAFwAIgAsAFwAIgBcACIALABcACIAXAAiACwAXAAiAFwAIgAsAFwAIgBcACIALABcACIAXAAiADsAXABuAFwAIgBJAG4AYwBsAHUAZABlACAALQAgAEEAYgBzAGUAbgB0ACAAaQBuAGcAcgBlAGQAaQBlAG4AdABzACAAPAAgADIAJQBcACIALABcACIAQwBvAG4AdAByAG8AbABsAGUAZAAgAHIAZQBsAGUAYQBzAGUAIABOACAAdAByAGUAYQB0AGUAZAAgAGEAcwAgAGcAZQBuAGUAcgBpAGMAXAAiACwAXAAiAFwAIgAsAFwAIgBDAGEAbQBwAGIAZQBsAGwAcwAgAGYAZQByAHQAaQBsAGkAcwBlAHIAcwAgAEEAdQBzAHQAcgBhAGwAaQBhAFwAIgAsAFwAIgBDAG8AUgBvAE4AIAAxADIALQAwAC0AMQAwAFwAIgAsAFwAIgBMAFwAIgAsADEALgAyADEANQAsAFwAIgBcACIALABcACIATgBpAHQAcgBvAGcAZQBuACAALQAgAFUAcgBlAGkAYwBcACIALAAwAC4AMAA5ACwAXAAiAFAAbwB0AGEAcwBzAGkAdQBtACAALQAgAEcAZQBuAGUAcgBpAGMAXAAiACwAMAAuADEALABcACIATgBpAHQAcgBvAGcAZQBuACAALQAgAEcAZQBuAGUAcgBpAGMAXAAiACwAMAAuADAAMwAsAFwAIgBCAG8AcgBvAG4AXAAiACwAMAAuADAAMAA1ACwAXAAiAFwAIgAsAFwAIgBcACIALABcACIAXAAiACwAXAAiAFwAIgAsAFwAIgBcACIALABcACIAXAAiACwAXAAiAFwAIgAsAFwAIgBcACIALABcACIAXAAiAFwAbgAgACAAfQAsACAAcgAsACAAYwApAFwAbgApACkAKQA7AFwAbgBcAG4AXABuAEYAZQByAHQAaQBsAGkAcwBlAHIAXwBQAHIAbwBkAHUAYwB0AHMAXwBEAGEAdABhADMAXABuAD0ATABBAE0AQgBEAEEAKABcAG4AIABNAEEASwBFAEEAUgBSAEEAWQAoADIAMAAsACAAMwA1ACwAXABuACAATABBAE0AQgBEAEEAKAByACwAYwAsAFwAbgAgACAASQBOAEQARQBYACgAewBcAG4AXAAiAFIAdQBzAHQAaQBjAGEAIABOAGUAcgBnAGUAdABpAGMAXAAiACwAXAAiAGsAZwBcACIALAAxACwAXAAiAFAAbwB0AGEAcwBzAGkAdQBtACAALQAgAEcAZQBuAGUAcgBpAGMAXAAiACwAMAAuADEANAAxACwAXAAiAEwAbwBjAGEAdABpAG8AbgAgAG4AbwB0ACAAcwBwAGUAYwBpAGYAaQBlAGQAXAAiACwAXAAiAE4AaQB0AHIAbwBnAGUAbgAgAC0AIABHAGUAbgBlAHIAaQBjAFwAIgAsADAALgAxADIALABcACIATABvAGMAYQB0AGkAbwBuACAAbgBvAHQAIABzAHAAZQBjAGkAZgBpAGUAZABcACIALABcACIAUwB1AGwAZgB1AHIAIAAtACAARwBlAG4AZQByAGkAYwBcACIALAAwAC4AMAA5ADYALABcACIATABvAGMAYQB0AGkAbwBuACAAbgBvAHQAIABzAHAAZQBjAGkAZgBpAGUAZABcACIALABcACIAUABoAG8AcwBwAGgAbwByAHUAcwAgAC0AIABHAGUAbgBlAHIAaQBjAFwAIgAsADAALgAwADUAMgAsAFwAIgBMAG8AYwBhAHQAaQBvAG4AIABuAG8AdAAgAHMAcABlAGMAaQBmAGkAZQBkAFwAIgAsAFwAIgBNAGEAZwBuAGUAcwBpAHUAbQAgAC0AIABnAGUAbgBlAHIAaQBjAFwAIgAsADAALgAwADEAMgAsAFwAIgBMAG8AYwBhAHQAaQBvAG4AIABuAG8AdAAgAHMAcABlAGMAaQBmAGkAZQBkAFwAIgAsAFwAIgBaAGkAbgBjACAALQAgAEcAZQBuAGUAcgBpAGMAXAAiACwAMAAuADAAMAAwADgALABcACIATABvAGMAYQB0AGkAbwBuACAAbgBvAHQAIABzAHAAZQBjAGkAZgBpAGUAZABcACIALABcACIASQByAG8AbgAgAC0AIABnAGUAbgBlAHIAaQBjAFwAIgAsADAALgAwADAAMAA3ACwAXAAiAEwAbwBjAGEAdABpAG8AbgAgAG4AbwB0ACAAcwBwAGUAYwBpAGYAaQBlAGQAXAAiACwAXAAiAE0AYQBuAGcAYQBuAGUAcwBlACAALQAgAEcAZQBuAGUAcgBpAGMAXAAiACwAMAAuADAAMAAwADYALABcACIATABvAGMAYQB0AGkAbwBuACAAbgBvAHQAIABzAHAAZQBjAGkAZgBpAGUAZABcACIALABcACIAQgBvAHIAbwBuACAALQAgAGcAZQBuAGUAcgBpAGMAXAAiACwAMAAuADAAMAAwADIALABcACIATABvAGMAYQB0AGkAbwBuACAAbgBvAHQAIABzAHAAZQBjAGkAZgBpAGUAZABcACIALABcACIAXAAiACwAXAAiAFwAIgAsAFwAIgBcACIAOwBcAG4AXAAiAFMARQBUAG4AUwBJAFoARQBcACIALABcACIATABcACIALAAxAC4AMwAsAFwAIgBQAG8AdABhAHMAcwBpAHUAbQAgAC0AIABHAGUAbgBlAHIAaQBjAFwAIgAsADAALgAwADcAOQAyACwAXAAiAEwAbwBjAGEAdABpAG8AbgAgAG4AbwB0ACAAcwBwAGUAYwBpAGYAaQBlAGQAXAAiACwAXAAiAFAAaABvAHMAcABoAG8AcgB1AHMAIAAtACAARwBlAG4AZQByAGkAYwBcACIALAAwAC4AMAA2ADAANQAsAFwAIgBMAG8AYwBhAHQAaQBvAG4AIABuAG8AdAAgAHMAcABlAGMAaQBmAGkAZQBkAFwAIgAsAFwAIgBOAGkAdAByAG8AZwBlAG4AIAAtACAARwBlAG4AZQByAGkAYwBcACIALAAwAC4AMAAxADAAOAAsAFwAIgBMAG8AYwBhAHQAaQBvAG4AIABuAG8AdAAgAHMAcABlAGMAaQBmAGkAZQBkAFwAIgAsAFwAIgBaAGkAbgBjACAALQAgAEcAZQBuAGUAcgBpAGMAXAAiACwAMAAuADAAMQAwADcALABcACIATABvAGMAYQB0AGkAbwBuACAAbgBvAHQAIABzAHAAZQBjAGkAZgBpAGUAZABcACIALABcACIATQBhAGcAbgBlAHMAaQB1AG0AIAAtACAAZwBlAG4AZQByAGkAYwBcACIALAAwAC4AMAAxADAANAAsAFwAIgBMAG8AYwBhAHQAaQBvAG4AIABuAG8AdAAgAHMAcABlAGMAaQBmAGkAZQBkAFwAIgAsAFwAIgBNAGEAbgBnAGEAbgBlAHMAZQAgAC0AIABHAGUAbgBlAHIAaQBjAFwAIgAsADAALgAwADAANwA1ACwAXAAiAEwAbwBjAGEAdABpAG8AbgAgAG4AbwB0ACAAcwBwAGUAYwBpAGYAaQBlAGQAXAAiACwAXAAiAFMAdQBsAGYAdQByACAALQAgAEcAZQBuAGUAcgBpAGMAXAAiACwAMAAuADAAMAA1ADQALABcACIATABvAGMAYQB0AGkAbwBuACAAbgBvAHQAIABzAHAAZQBjAGkAZgBpAGUAZABcACIALABcACIAQwBvAGIAYQBsAHQAIAAtACAAZwBlAG4AZQByAGkAYwBcACIALAAwAC4AMAAwADEAOAAsAFwAIgBMAG8AYwBhAHQAaQBvAG4AIABuAG8AdAAgAHMAcABlAGMAaQBmAGkAZQBkAFwAIgAsAFwAIgBJAHIAbwBuACAALQAgAGcAZQBuAGUAcgBpAGMAXAAiACwAMAAuADAAMAAxADUALABcACIATABvAGMAYQB0AGkAbwBuACAAbgBvAHQAIABzAHAAZQBjAGkAZgBpAGUAZABcACIALABcACIAQwBvAHAAcABlAHIAIAAtACAAZwBlAG4AZQByAGkAYwBcACIALAAwAC4AMAAwADEAMQAsAFwAIgBMAG8AYwBhAHQAaQBvAG4AIABuAG8AdAAgAHMAcABlAGMAaQBmAGkAZQBkAFwAIgA7AFwAbgBcACIAUwBPAEEAXAAiACwAXAAiAGsAZwBcACIALAAxACwAXAAiAE4AaQB0AHIAbwBnAGUAbgAgAC0AIABBAG0AbQBvAG4AaQBhAGMAYQBsAFwAIgAsADAALgAyADEALABcACIATABvAGMAYQB0AGkAbwBuACAAbgBvAHQAIABzAHAAZQBjAGkAZgBpAGUAZABcACIALABcACIAUwB1AGwAZgB1AHIAIAAtACAARwBlAG4AZQByAGkAYwBcACIALAAwAC4AMgA0ACwAXAAiAEwAbwBjAGEAdABpAG8AbgAgAG4AbwB0ACAAcwBwAGUAYwBpAGYAaQBlAGQ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DsAXABuAFwAIgBTAG8AbAB1AC0ATQBBAFAAXAAiACwAXAAiAGsAZwBcACIALAAxACwAXAAiAFAAaABvAHMAcABoAG8AcgB1AHMAIAAtACAARwBlAG4AZQByAGkAYwBcACIALAAwAC4AMgA2ADYALABcACIATABvAGMAYQB0AGkAbwBuACAAbgBvAHQAIABzAHAAZQBjAGkAZgBpAGUAZABcACIALABcACIATgBpAHQAcgBvAGcAZQBuACAALQAgAEEAbQBtAG8AbgBpAGEAYwBhAGwAXAAiACwAMAAuADEAMgAsAFwAIgBMAG8AYwBhAHQAaQBvAG4AIABuAG8AdAAgAHMAcABlAGMAaQBmAGkAZQBk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7AFwAbgBcACIAUwBvAGwAdQAtAE0ASwBQAFwAIgAsAFwAIgBrAGcAXAAiACwAMQAsAFwAIgBQAGgAbwBzAHAAaABvAHIAdQBzACAALQAgAEcAZQBuAGUAcgBpAGMAXAAiACwAMAAuADIAMgA3ACwAXAAiAEwAbwBjAGEAdABpAG8AbgAgAG4AbwB0ACAAcwBwAGUAYwBpAGYAaQBlAGQAXAAiACwAXAAiAFAAbwB0AGEAcwBzAGkAdQBtACAALQAgAEcAZQBuAGUAcgBpAGMAXAAiACwAMAAuADIAOAA1ACwAXAAiAEwAbwBjAGEAdABpAG8AbgAgAG4AbwB0ACAAcwBwAGUAYwBpAGYAaQBlAGQ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DsAXABuAFwAIgBTAG8AbAB1AC0AUwBhAG0AXAAiACwAXAAiAGsAZwBcACIALAAxACwAXAAiAE4AaQB0AHIAbwBnAGUAbgAgAC0AIABBAG0AbQBvAG4AaQBhAGMAYQBsAFwAIgAsADAALgAyADAAOAAsAFwAIgBMAG8AYwBhAHQAaQBvAG4AIABuAG8AdAAgAHMAcABlAGMAaQBmAGkAZQBkAFwAIgAsAFwAIgBTAHUAbABmAHUAcgAgAC0AIABHAGUAbgBlAHIAaQBjAFwAIgAsADAALgAyADMAOAAsAFwAIgBMAG8AYwBhAHQAaQBvAG4AIABuAG8AdAAgAHMAcABlAGMAaQBmAGkAZQBk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7AFwAbgBcACIAUwBvAGwAdQAtAFoAaQBuAGMAXAAiACwAXAAiAGsAZwBcACIALAAxACwAXAAiAFoAaQBuAGMAIAAtACAARwBlAG4AZQByAGkAYwBcACIALAAwAC4AMgAxACwAXAAiAEwAbwBjAGEAdABpAG8AbgAgAG4AbwB0ACAAcwBwAGUAYwBpAGYAaQBlAGQAXAAiACwAXAAiAFMAdQBsAGYAdQByACAALQAgAEcAZQBuAGUAcgBpAGMAXAAiACwAMAAuADEAMAA1ACwAXAAiAEwAbwBjAGEAdABpAG8AbgAgAG4AbwB0ACAAcwBwAGUAYwBpAGYAaQBlAGQ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DsAXABuAFwAIgBUAGgAaQBvAC0ASwBcACIALABcACIATABcACIALAAxAC4ANAA3ACwAXAAiAFAAbwB0AGEAcwBzAGkAdQBtACAALQAgAEcAZQBuAGUAcgBpAGMAXAAiACwAMAAuADMALABcACIATABvAGMAYQB0AGkAbwBuACAAbgBvAHQAIABzAHAAZQBjAGkAZgBpAGUAZABcACIALABcACIAUwB1AGwAZgB1AHIAIAAtACAARwBlAG4AZQByAGkAYwBcACIALAAwAC4AMgA1ACwAXAAiAEwAbwBjAGEAdABpAG8AbgAgAG4AbwB0ACAAcwBwAGUAYwBpAGYAaQBlAGQ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DsAXABuAFwAIgBUAGgAaQBvAC0ATgBcACIALABcACIATABcACIALAAxAC4AMwAyACwAXAAiAE4AaQB0AHIAbwBnAGUAbgAgAC0AIABHAGUAbgBlAHIAaQBjAFwAIgAsADAALgAzADcAMgAsAFwAIgBMAG8AYwBhAHQAaQBvAG4AIABuAG8AdAAgAHMAcABlAGMAaQBmAGkAZQBkAFwAIgAsAFwAIgBTAHUAbABmAHUAcgAgAC0AIABHAGUAbgBlAHIAaQBjAFwAIgAsADAALgAwADcALABcACIATABvAGMAYQB0AGkAbwBuACAAbgBvAHQAIABzAHAAZQBjAGkAZgBpAGUAZA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OwBcAG4AXAAiAFQAaABpAG8ALQBOACAAUABsAHUAcwBcACIALABcACIATABcACIALAAxAC4AMwAyACwAXAAiAE4AaQB0AHIAbwBnAGUAbgAgAC0AIABHAGUAbgBlAHIAaQBjAFwAIgAsADAALgAzADYANAAsAFwAIgBMAG8AYwBhAHQAaQBvAG4AIABuAG8AdAAgAHMAcABlAGMAaQBmAGkAZQBkAFwAIgAsAFwAIgBTAHUAbABmAHUAcgAgAC0AIABHAGUAbgBlAHIAaQBjAFwAIgAsADAALgAwADcALABcACIATABvAGMAYQB0AGkAbwBuACAAbgBvAHQAIABzAHAAZQBjAGkAZgBpAGUAZA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OwBcAG4AXAAiAFQAaABpAG8ALQBTAHUAbABcACIALABcACIATABcACIALAAxAC4AMwA1ACwAXAAiAFMAdQBsAGYAdQByACAALQAgAEcAZQBuAGUAcgBpAGMAXAAiACwAMAAuADMANQAsAFwAIgBMAG8AYwBhAHQAaQBvAG4AIABuAG8AdAAgAHMAcABlAGMAaQBmAGkAZQBkAFwAIgAsAFwAIgBOAGkAdAByAG8AZwBlAG4AIAAtACAAQQBtAG0AbwBuAGkAYQBjAGEAbABcACIALAAwAC4AMQA2ACwAXAAiAEwAbwBjAGEAdABpAG8AbgAgAG4AbwB0ACAAcwBwAGUAYwBpAGYAaQBlAGQ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DsAXABuAFwAIgBVAEEAUwBcACIALABcACIATABcACIALAAxAC4AMgAzADUALABcACIATgBpAHQAcgBvAGcAZQBuACAALQAgAEcAZQBuAGUAcgBpAGMAXAAiACwAMAAuADIAMAA5ACwAXAAiAEwAbwBjAGEAdABpAG8AbgAgAG4AbwB0ACAAcwBwAGUAYwBpAGYAaQBlAGQAXAAiACwAXAAiAFMAdQBsAGYAdQByACAALQAgAEcAZQBuAGUAcgBpAGMAXAAiACwAMAAuADAANgA3ACwAXAAiAEwAbwBjAGEAdABpAG8AbgAgAG4AbwB0ACAAcwBwAGUAYwBpAGYAaQBlAGQAXAAiACwAXAAiAE4AaQB0AHIAbwBnAGUAbgAgAC0AIABBAG0AbQBvAG4AaQBhAGMAYQBsAFwAIgAsADAALgAwADUANwAsAFwAIgBMAG8AYwBhAHQAaQBvAG4AIABuAG8AdAAgAHMAcABlAGMAaQBmAGkAZQBk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7AFwAbgBcACIAWQBhAHIAYQAgAEwAaQBxAHUAaQBkAHMAIABOAC0ARgBPAEwAIAAyADQAKwBUAEUAXAAiACwAXAAiAGsAZwBcACIALAAxACwAXAAiAE4AaQB0AHIAbwBnAGUAbgAgAC0AIABHAGUAbgBlAHIAaQBjAFwAIgAsADAALgAxADkALABcACIATABvAGMAYQB0AGkAbwBuACAAbgBvAHQAIABzAHAAZQBjAGkAZgBpAGUAZABcACIALABcACIAUABvAHQAYQBzAHMAaQB1AG0AIAAtACAARwBlAG4AZQByAGkAYwBcACIALAAwAC4AMQA2ADYALABcACIATABvAGMAYQB0AGkAbwBuACAAbgBvAHQAIABzAHAAZQBjAGkAZgBpAGUAZABcACIALABcACIAUwB1AGwAZgB1AHIAIAAtACAARwBlAG4AZQByAGkAYwBcACIALAAwAC4AMAAzACwAXAAiAEwAbwBjAGEAdABpAG8AbgAgAG4AbwB0ACAAcwBwAGUAYwBpAGYAaQBlAGQAXAAiACwAXAAiAFAAaABvAHMAcABoAG8AcgB1AHMAIAAtACAARwBlAG4AZQByAGkAYwBcACIALAAwAC4AMAAyADYALABcACIATABvAGMAYQB0AGkAbwBuACAAbgBvAHQAIABzAHAAZQBjAGkAZgBpAGUAZABcACIALABcACIATQBhAGcAbgBlAHMAaQB1AG0AIAAtACAAZwBlAG4AZQByAGkAYwBcACIALAAwAC4AMAAxADgALABcACIATABvAGMAYQB0AGkAbwBuACAAbgBvAHQAIABzAHAAZQBjAGkAZgBpAGUAZABcACIALABcACIASQByAG8AbgAgAC0AIABnAGUAbgBlAHIAaQBjAFwAIgAsADAALgAwADAAMAA3ACwAXAAiAEwAbwBjAGEAdABpAG8AbgAgAG4AbwB0ACAAcwBwAGUAYwBpAGYAaQBlAGQAXAAiACwAXAAiAE0AYQBuAGcAYQBuAGUAcwBlACAALQAgAEcAZQBuAGUAcgBpAGMAXAAiACwAMAAuADAAMAAwADQALABcACIATABvAGMAYQB0AGkAbwBuACAAbgBvAHQAIABzAHAAZQBjAGkAZgBpAGUAZABcACIALABcACIAQgBvAHIAbwBuACAALQAgAGcAZQBuAGUAcgBpAGMAXAAiACwAMAAuADAAMAAwADIANQAsAFwAIgBMAG8AYwBhAHQAaQBvAG4AIABuAG8AdAAgAHMAcABlAGMAaQBmAGkAZQBkAFwAIgAsAFwAIgBaAGkAbgBjACAALQAgAEcAZQBuAGUAcgBpAGMAXAAiACwAMAAuADAAMAAwADIANQAsAFwAIgBMAG8AYwBhAHQAaQBvAG4AIABuAG8AdAAgAHMAcABlAGMAaQBmAGkAZQBkAFwAIgAsAFwAIgBDAG8AcABwAGUAcgAgAC0AIABnAGUAbgBlAHIAaQBjAFwAIgAsADAALgAwADAAMAAxACwAXAAiAEwAbwBjAGEAdABpAG8AbgAgAG4AbwB0ACAAcwBwAGUAYwBpAGYAaQBlAGQAXAAiADsAXABuAFwAIgBZAGEAcgBhACAAVQBuAGkAawBhACAAUABsAHUAcwBcACIALABcACIAawBnAFwAIgAsADEALABcACIAUABvAHQAYQBzAHMAaQB1AG0AIAAtACAARwBlAG4AZQByAGkAYwBcACIALAAwAC4AMwA4ADIALABcACIATABvAGMAYQB0AGkAbwBuACAAbgBvAHQAIABzAHAAZQBjAGkAZgBpAGUAZABcACIALABcACIATgBpAHQAcgBvAGcAZQBuACAALQAgAEcAZQBuAGUAcgBpAGMAXAAiACwAMAAuADEAMgAsAFwAIgBMAG8AYwBhAHQAaQBvAG4AIABuAG8AdAAgAHMAcABlAGMAaQBmAGkAZQBkAFwAIgAsAFwAIgBTAHUAbABmAHUAcgAgAC0AIABHAGUAbgBlAHIAaQBjAFwAIgAsADAALgAwADAANwAsAFwAIgBMAG8AYwBhAHQAaQBvAG4AIABuAG8AdAAgAHMAcABlAGMAaQBmAGkAZQBk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7AFwAbgBcACIAWQBhAHIAYQBNAGkAbABhACAAMgAxAC0ANwAtADMAKAA0ACkAXAAiACwAXAAiAGsAZwBcACIALAAxACwAXAAiAE4AaQB0AHIAbwBnAGUAbgAgAC0AIABHAGUAbgBlAHIAaQBjAFwAIgAsADAALgAyADEALABcACIATABvAGMAYQB0AGkAbwBuACAAbgBvAHQAIABzAHAAZQBjAGkAZgBpAGUAZABcACIALABcACIAUABoAG8AcwBwAGgAbwByAHUAcwAgAC0AIABHAGUAbgBlAHIAaQBjAFwAIgAsADAALgAwADcANAAsAFwAIgBMAG8AYwBhAHQAaQBvAG4AIABuAG8AdAAgAHMAcABlAGMAaQBmAGkAZQBkAFwAIgAsAFwAIgBTAHUAbABmAHUAcgAgAC0AIABHAGUAbgBlAHIAaQBjAFwAIgAsADAALgAwADQALABcACIATABvAGMAYQB0AGkAbwBuACAAbgBvAHQAIABzAHAAZQBjAGkAZgBpAGUAZABcACIALABcACIAUABvAHQAYQBzAHMAaQB1AG0AIAAtACAARwBlAG4AZQByAGkAYwBcACIALAAwAC4AMAAyADUALABcACIATABvAGMAYQB0AGkAbwBuACAAbgBvAHQAIABzAHAAZQBjAGkAZgBpAGUAZABcACIALABcACIATQBhAGcAbgBlAHMAaQB1AG0AIAAtACAAZwBlAG4AZQByAGkAYwBcACIALAAwAC4AMAAwADQALABcACIATABvAGMAYQB0AGkAbwBuACAAbgBvAHQAIABzAHAAZQBjAGkAZgBpAGUAZABcACIALABcACIAWgBpAG4AYwAgAC0AIABHAGUAbgBlAHIAaQBjAFwAIgAsADAALgAwADAAMQA1ACwAXAAiAEwAbwBjAGEAdABpAG8AbgAgAG4AbwB0ACAAcwBwAGUAYwBpAGYAaQBlAGQAXAAiACwAXAAiAFwAIgAsAFwAIgBcACIALABcACIAXAAiACwAXAAiAFwAIgAsAFwAIgBcACIALABcACIAXAAiACwAXAAiAFwAIgAsAFwAIgBcACIALABcACIAXAAiACwAXAAiAFwAIgAsAFwAIgBcACIALABcACIAXAAiADsAXABuAFwAIgBZAGEAcgBhAFIAZQBnAGEAIAAxADMALQAyAC0AMgAxAFwAIgAsAFwAIgBrAGcAXAAiACwAMQAsAFwAIgBQAG8AdABhAHMAcwBpAHUAbQAgAC0AIABHAGUAbgBlAHIAaQBjAFwAIgAsADAALgAyADEALABcACIATABvAGMAYQB0AGkAbwBuACAAbgBvAHQAIABzAHAAZQBjAGkAZgBpAGUAZABcACIALABcACIAUwB1AGwAZgB1AHIAIAAtACAARwBlAG4AZQByAGkAYwBcACIALAAwAC4AMQAwADgALABcACIATABvAGMAYQB0AGkAbwBuACAAbgBvAHQAIABzAHAAZQBjAGkAZgBpAGUAZABcACIALABcACIATgBpAHQAcgBvAGcAZQBuACAALQAgAEEAbQBtAG8AbgBpAGEAYwBhAGwAXAAiACwAMAAuADAANwA3ACwAXAAiAEwAbwBjAGEAdABpAG8AbgAgAG4AbwB0ACAAcwBwAGUAYwBpAGYAaQBlAGQAXAAiACwAXAAiAE4AaQB0AHIAbwBnAGUAbgAgAGYAcgBvAG0AIABOAGkAdAByAGEAdABlAFwAIgAsADAALgAwADUAMwAsAFwAIgBMAG8AYwBhAHQAaQBvAG4AIABuAG8AdAAgAHMAcABlAGMAaQBmAGkAZQBkAFwAIgAsAFwAIgBQAGgAbwBzAHAAaABvAHIAdQBzACAALQAgAEcAZQBuAGUAcgBpAGMAXAAiACwAMAAuADAAMQA3ADUALABcACIATABvAGMAYQB0AGkAbwBuACAAbgBvAHQAIABzAHAAZQBjAGkAZgBpAGUAZABcACIALABcACIATQBhAGcAbgBlAHMAaQB1AG0AIAAtACAAZwBlAG4AZQByAGkAYwBcACIALAAwAC4AMAAwADQALABcACIATABvAGMAYQB0AGkAbwBuACAAbgBvAHQAIABzAHAAZQBjAGkAZgBpAGUAZABcACIALABcACIAQgBvAHIAbwBuACAALQAgAGcAZQBuAGUAcgBpAGMAXAAiACwAMAAuADAAMAAwADgALABcACIATABvAGMAYQB0AGkAbwBuACAAbgBvAHQAIABzAHAAZQBjAGkAZgBpAGUAZABcACIALABcACIAWgBpAG4AYwAgAC0AIABHAGUAbgBlAHIAaQBjAFwAIgAsADAALgAwADAAMAA4ACwAXAAiAEwAbwBjAGEAdABpAG8AbgAgAG4AbwB0ACAAcwBwAGUAYwBpAGYAaQBlAGQAXAAiACwAXAAiAFwAIgAsAFwAIgBcACIALABcACIAXAAiACwAXAAiAFwAIgAsAFwAIgBcACIALABcACIAXAAiADsAXABuAFwAIgBZAGEAcgBhAFIAZQBnAGEAIAA5AC0AMAAtADMAMAAgACgAMQA0ACkAXAAiACwAXAAiAGsAZwBcACIALAAxACwAXAAiAFAAbwB0AGEAcwBzAGkAdQBtACAALQAgAEcAZQBuAGUAcgBpAGMAXAAiACwAMAAuADMALABcACIATABvAGMAYQB0AGkAbwBuACAAbgBvAHQAIABzAHAAZQBjAGkAZgBpAGUAZABcACIALABcACIAUwB1AGwAZgB1AHIAIAAtACAARwBlAG4AZQByAGkAYwBcACIALAAwAC4AMQA0ACwAXAAiAEwAbwBjAGEAdABpAG8AbgAgAG4AbwB0ACAAcwBwAGUAYwBpAGYAaQBlAGQAXAAiACwAXAAiAE4AaQB0AHIAbwBnAGUAbgAgAC0AIABBAG0AbQBvAG4AaQBhAGMAYQBsAFwAIgAsADAALgAwADQANQAsAFwAIgBMAG8AYwBhAHQAaQBvAG4AIABuAG8AdAAgAHMAcABlAGMAaQBmAGkAZQBkAFwAIgAsAFwAIgBOAGkAdAByAG8AZwBlAG4AIABmAHIAbwBtACAATgBpAHQAcgBhAHQAZQBcACIALAAwAC4AMAA0ADUALABcACIATABvAGMAYQB0AGkAbwBuACAAbgBvAHQAIABzAHAAZQBjAGkAZgBpAGUAZABcACIALABcACIAXAAiACwAXAAiAFwAIgAsAFwAIgBcACIALABcACIAXAAiACwAXAAiAFwAIgAsAFwAIgBcACIALABcACIAXAAiACwAXAAiAFwAIgAsAFwAIgBcACIALABcACIAXAAiACwAXAAiAFwAIgAsAFwAIgBcACIALABcACIAXAAiACwAXAAiAFwAIgAsAFwAIgBcACIALABcACIAXAAiACwAXAAiAFwAIgAsAFwAIgBcACIAOwBcAG4AXAAiAFkAYQByAGEAVABlAHIAYQAgAEsAUgBJAFMAVABBACAASwAgAFAATABVAFMAXAAiACwAXAAiAGsAZwBcACIALAAxACwAXAAiAE4AaQB0AHIAbwBnAGUAbgAgAC0AIABHAGUAbgBlAHIAaQBjAFwAIgAsADAALgAxADMANwAsAFwAIgBMAG8AYwBhAHQAaQBvAG4AIABuAG8AdAAgAHMAcABlAGMAaQBmAGkAZQBkAFwAIgAsAFwAIgBQAG8AdABhAHMAcwBpAHUAbQAgAC0AIABHAGUAbgBlAHIAaQBjAFwAIgAsADAALgAzADgANAAsAFwAIgBMAG8AYwBhAHQAaQBvAG4AIABuAG8AdAAgAHMAcABlAGMAaQBmAGkAZQBk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7AFwAbgBcACIAWQBhAHIAYQBUAGUAcgBhACAASwBSAEkAUwBUAEEAIABNAEEAUABcACIALABcACIAawBnAFwAIgAsADEALABcACIAUABoAG8AcwBwAGgAbwByAHUAcwAgAC0AIABHAGUAbgBlAHIAaQBjAFwAIgAsADAALgAyADYANgAsAFwAIgBMAG8AYwBhAHQAaQBvAG4AIABuAG8AdAAgAHMAcABlAGMAaQBmAGkAZQBkAFwAIgAsAFwAIgBOAGkAdAByAG8AZwBlAG4AIAAtACAAQQBtAG0AbwBuAGkAYQBjAGEAbABcACIALAAwAC4AMQAyACwAXAAiAEwAbwBjAGEAdABpAG8AbgAgAG4AbwB0ACAAcwBwAGUAYwBpAGYAaQBlAGQ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DsAXABuAFwAIgBZAGEAcgBhAFQAZQByAGEAIABLAFIASQBTAFQAQQAgAE0ASwBQAFwAIgAsAFwAIgBrAGcAXAAiACwAMQAsAFwAIgBQAG8AdABhAHMAcwBpAHUAbQAgAC0AIABHAGUAbgBlAHIAaQBjAFwAIgAsADAALgAyADgAMgAsAFwAIgBMAG8AYwBhAHQAaQBvAG4AIABuAG8AdAAgAHMAcABlAGMAaQBmAGkAZQBkAFwAIgAsAFwAIgBQAGgAbwBzAHAAaABvAHIAdQBzACAALQAgAEcAZQBuAGUAcgBpAGMAXAAiACwAMAAuADIAMgA3ACwAXAAiAEwAbwBjAGEAdABpAG8AbgAgAG4AbwB0ACAAcwBwAGUAYwBpAGYAaQBlAGQ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FwAbgAgACAAfQAsACAAcgAsACAAYwApAFwAbgApACkAKQA7AFwAbgBcAG4ARgBlAHIAdABpAGwAaQBzAGUAcgBfAFAAcgBvAGQAdQBjAHQAcwBfAEQAYQB0AGEANABcAG4APQBMAEEATQBCAEQAQQAoAFwAbgAgAE0AQQBLAEUAQQBSAFIAQQBZACgANQAsACAAMwA1ACwAXABuACAATABBAE0AQgBEAEEAKAByACwAYwAsAFwAbgAgACAASQBOAEQARQBYACgAewBcAG4AXAAiAFkAYQByAGEAVABlAHIAYQAgAEsAUgBJAFMAVABBAEwATwBOACAAUgBFAEQAXAAiACwAXAAiAGsAZwBcACIALAAxACwAXAAiAFAAbwB0AGEAcwBzAGkAdQBtACAALQAgAEcAZQBuAGUAcgBpAGMAXAAiACwAMAAuADIAOQA4ADgALABcACIATABvAGMAYQB0AGkAbwBuACAAbgBvAHQAIABzAHAAZQBjAGkAZgBpAGUAZABcACIALABcACIATgBpAHQAcgBvAGcAZQBuACAALQAgAEcAZQBuAGUAcgBpAGMAXAAiACwAMAAuADEAMgAsAFwAIgBMAG8AYwBhAHQAaQBvAG4AIABuAG8AdAAgAHMAcABlAGMAaQBmAGkAZQBkAFwAIgAsAFwAIgBQAGgAbwBzAHAAaABvAHIAdQBzACAALQAgAEcAZQBuAGUAcgBpAGMAXAAiACwAMAAuADAANQAyADQANAAsAFwAIgBMAG8AYwBhAHQAaQBvAG4AIABuAG8AdAAgAHMAcABlAGMAaQBmAGkAZQBkAFwAIgAsAFwAIgBTAHUAbABmAHUAcgAgAC0AIABHAGUAbgBlAHIAaQBjAFwAIgAsADAALgAwADEALABcACIATABvAGMAYQB0AGkAbwBuACAAbgBvAHQAIABzAHAAZQBjAGkAZgBpAGUAZABcACIALABcACIATQBhAGcAbgBlAHMAaQB1AG0AIAAtACAAZwBlAG4AZQByAGkAYwBcACIALAAwAC4AMAAwADYAMAAzACwAXAAiAEwAbwBjAGEAdABpAG8AbgAgAG4AbwB0ACAAcwBwAGUAYwBpAGYAaQBlAGQAXAAiACwAXAAiAEkAcgBvAG4AIAAtACAAZwBlAG4AZQByAGkAYwBcACIALAAwAC4AMAAwADAANwAsAFwAIgBMAG8AYwBhAHQAaQBvAG4AIABuAG8AdAAgAHMAcABlAGMAaQBmAGkAZQBkAFwAIgAsAFwAIgBNAGEAbgBnAGEAbgBlAHMAZQAgAC0AIABHAGUAbgBlAHIAaQBjAFwAIgAsADAALgAwADAAMAA0ACwAXAAiAEwAbwBjAGEAdABpAG8AbgAgAG4AbwB0ACAAcwBwAGUAYwBpAGYAaQBlAGQAXAAiACwAXAAiAEIAbwByAG8AbgAgAC0AIABnAGUAbgBlAHIAaQBjAFwAIgAsADAALgAwADAAMAAyADUALABcACIATABvAGMAYQB0AGkAbwBuACAAbgBvAHQAIABzAHAAZQBjAGkAZgBpAGUAZABcACIALABcACIAWgBpAG4AYwAgAC0AIABHAGUAbgBlAHIAaQBjAFwAIgAsADAALgAwADAAMAAyADUALABcACIATABvAGMAYQB0AGkAbwBuACAAbgBvAHQAIABzAHAAZQBjAGkAZgBpAGUAZABcACIALABcACIAQwBvAHAAcABlAHIAIAAtACAAZwBlAG4AZQByAGkAYwBcACIALAAwAC4AMAAwADAAMQAsAFwAIgBMAG8AYwBhAHQAaQBvAG4AIABuAG8AdAAgAHMAcABlAGMAaQBmAGkAZQBkAFwAIgA7AFwAbgBcACIAWQBhAHIAYQBUAGUAcgBhACAASwBSAEkAUwBUAEEATABPAE4AIABTAFAARQBDAEkAQQBMAFwAIgAsAFwAIgBrAGcAXAAiACwAMQAsAFwAIgBOAGkAdAByAG8AZwBlAG4AIAAtACAARwBlAG4AZQByAGkAYwBcACIALAAwAC4AMQA4ACwAXAAiAEwAbwBjAGEAdABpAG8AbgAgAG4AbwB0ACAAcwBwAGUAYwBpAGYAaQBlAGQAXAAiACwAXAAiAFAAbwB0AGEAcwBzAGkAdQBtACAALQAgAEcAZQBuAGUAcgBpAGMAXAAiACwAMAAuADEANAA5ACwAXAAiAEwAbwBjAGEAdABpAG8AbgAgAG4AbwB0ACAAcwBwAGUAYwBpAGYAaQBlAGQAXAAiACwAXAAiAFAAaABvAHMAcABoAG8AcgB1AHMAIAAtACAARwBlAG4AZQByAGkAYwBcACIALAAwAC4AMAA3ADkALABcACIATABvAGMAYQB0AGkAbwBuACAAbgBvAHQAIABzAHAAZQBjAGkAZgBpAGUAZABcACIALABcACIAUwB1AGwAZgB1AHIAIAAtACAARwBlAG4AZQByAGkAYwBcACIALAAwAC4AMAAyACwAXAAiAEwAbwBjAGEAdABpAG8AbgAgAG4AbwB0ACAAcwBwAGUAYwBpAGYAaQBlAGQAXAAiACwAXAAiAE0AYQBnAG4AZQBzAGkAdQBtACAALQAgAGcAZQBuAGUAcgBpAGMAXAAiACwAMAAuADAAMQA4ACwAXAAiAEwAbwBjAGEAdABpAG8AbgAgAG4AbwB0ACAAcwBwAGUAYwBpAGYAaQBlAGQAXAAiACwAXAAiAEkAcgBvAG4AIAAtACAAZwBlAG4AZQByAGkAYwBcACIALAAwAC4AMAAwADAANwAsAFwAIgBMAG8AYwBhAHQAaQBvAG4AIABuAG8AdAAgAHMAcABlAGMAaQBmAGkAZQBkAFwAIgAsAFwAIgBNAGEAbgBnAGEAbgBlAHMAZQAgAC0AIABHAGUAbgBlAHIAaQBjAFwAIgAsADAALgAwADAAMAA0ACwAXAAiAEwAbwBjAGEAdABpAG8AbgAgAG4AbwB0ACAAcwBwAGUAYwBpAGYAaQBlAGQAXAAiACwAXAAiAEIAbwByAG8AbgAgAC0AIABnAGUAbgBlAHIAaQBjAFwAIgAsADAALgAwADAAMAAyADUALABcACIATABvAGMAYQB0AGkAbwBuACAAbgBvAHQAIABzAHAAZQBjAGkAZgBpAGUAZABcACIALABcACIAWgBpAG4AYwAgAC0AIABHAGUAbgBlAHIAaQBjAFwAIgAsADAALgAwADAAMAAyADUALABcACIATABvAGMAYQB0AGkAbwBuACAAbgBvAHQAIABzAHAAZQBjAGkAZgBpAGUAZABcACIALABcACIAQwBvAHAAcABlAHIAIAAtACAAZwBlAG4AZQByAGkAYwBcACIALAAwAC4AMAAwADAAMQAsAFwAIgBMAG8AYwBhAHQAaQBvAG4AIABuAG8AdAAgAHMAcABlAGMAaQBmAGkAZQBkAFwAIgA7AFwAbgBcACIAWQBhAHIAYQBWAGkAdABhACAARwBsAHkAdAByAGUAbAAgAFoAbgBQAFwAIgAsAFwAIgBMAFwAIgAsADEALgAzADUANAAsAFwAIgBaAGkAbgBjACAALQAgAEcAZQBuAGUAcgBpAGMAXAAiACwAMAAuADEALABcACIATABvAGMAYQB0AGkAbwBuACAAbgBvAHQAIABzAHAAZQBjAGkAZgBpAGUAZABcACIALABcACIAUABoAG8AcwBwAGgAbwByAHUAcwAgAC0AIABHAGUAbgBlAHIAaQBjAFwAIgAsADAALgAwADQANAAsAFwAIgBMAG8AYwBhAHQAaQBvAG4AIABuAG8AdAAgAHMAcABlAGMAaQBmAGkAZQBk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7AFwAbgBcACIAWQBhAHIAYQBWAGkAdABhACAAWgBpAG4AdAByAGEAYwBcACIALABcACIATABcACIALAAxAC4ANwAzADQALABcACIAWgBpAG4AYwAgAC0AIABHAGUAbgBlAHIAaQBjAFwAIgAsADAALgA3ACwAXAAiAEwAbwBjAGEAdABpAG8AbgAgAG4AbwB0ACAAcwBwAGUAYwBpAGYAaQBlAGQAXAAiACwAXAAiAE4AaQB0AHIAbwBnAGUAbgAgAC0AIABHAGUAbgBlAHIAaQBjAFwAIgAsADAALgAwADEAOAAsAFwAIgBMAG8AYwBhAHQAaQBvAG4AIABuAG8AdAAgAHMAcABlAGMAaQBmAGkAZQBk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7AFwAbgBcACIAWgBpAG4AYwBTAHQAYQByAFwAIgAsAFwAIgBrAGcAXAAiACwAMQAsAFwAIgBOAGkAdAByAG8AZwBlAG4AIAAtACAAQQBtAG0AbwBuAGkAYQBjAGEAbABcACIALAAwAC4AMQAsAFwAIgBMAG8AYwBhAHQAaQBvAG4AIABuAG8AdAAgAHMAcABlAGMAaQBmAGkAZQBkAFwAIgAsAFwAIgBQAGgAbwBzAHAAaABvAHIAdQBzACAALQAgAEcAZQBuAGUAcgBpAGMAXAAiACwAMAAuADIAMgAsAFwAIgBMAG8AYwBhAHQAaQBvAG4AIABuAG8AdAAgAHMAcABlAGMAaQBmAGkAZQBkAFwAIgAsAFwAIgBTAHUAbABmAHUAcgAgAC0AIABHAGUAbgBlAHIAaQBjAFwAIgAsADAALgAwADIALABcACIATABvAGMAYQB0AGkAbwBuACAAbgBvAHQAIABzAHAAZQBjAGkAZgBpAGUAZABcACIALABcACIAWgBpAG4AYwAgAC0AIABHAGUAbgBlAHIAaQBjAFwAIgAsADAALgAwADEALABcACIATABvAGMAYQB0AGkAbwBuACAAbgBvAHQAIABzAHAAZQBjAGkAZgBpAGUAZABcACIALABcACIAXAAiACwAXAAiAFwAIgAsAFwAIgBcACIALABcACIAXAAiACwAXAAiAFwAIgAsAFwAIgBcACIALABcACIAXAAiACwAXAAiAFwAIgAsAFwAIgBcACIALABcACIAXAAiACwAXAAiAFwAIgAsAFwAIgBcACIALABcACIAXAAiACwAXAAiAFwAIgAsAFwAIgBcACIALABcACIAXAAiACwAXAAiAFwAIgAsAFwAIgBcACIAXABuACAAIAB9ACwAIAByACwAIABjACkAXABuACkAKQApADsAXABuACoALwBcAG4AXABuAFwAbgBcAG4AIgB9ACwAewAiAHAAYQB0AGgAIgA6ACIALwBwAHIAbwBqAGUAYwB0AHMALwBGAGUAcgB0AGkAbABpAHMAZQByAF8ASQBuAHAAdQB0AEYAdQBuAGMAdABpAG8AbgBzACIALAAiAHQAZQB4AHQAIgA6ACIARgBlAHIAdABpAGwAaQBzAGUAcgBfAEYAZQByAHQAaQBsAGkAcwBlAHIAUAByAG8AZAB1AGMAdABMAG8AbwBrAHUAcABcAG4APQBMAEEATQBCAEQAQQAoAFAAcgBvAGQAdQBjAHQALAAgAFAAcgBvAGQAdQBjAHQAQQB0AHQAcgBpAGIAdQB0AGUALAAgAFAAcgBvAGQAdQBjAHQAQQByAHIAYQB5ACwAIABQAHIAbwBkAHUAYwB0AEEAcgByAGEAeQBDAG8AbAB1AG0AbgAsACAAUAByAG8AZAB1AGMAdABBAHIAcgBhAHkASABlAGEAZABlAHIAcwAsAFwAbgAgACAASQBGAEUAUgBSAE8AUgAoAFwAbgAgACAAIAAgAEkATgBEAEUAWAAoAFwAbgAgACAAIAAgACAAIABQAHIAbwBkAHUAYwB0AEEAcgByAGEAeQAsAFwAbgAgACAAIAAgACAAIABYAE0AQQBUAEMASAAoAFQAUgBJAE0AKABQAHIAbwBkAHUAYwB0ACkALAAgAFAAcgBvAGQAdQBjAHQAQQByAHIAYQB5AEMAbwBsAHUAbQBuACwAIAAwACkALABcAG4AIAAgACAAIAAgACAAWABNAEEAVABDAEgAKABUAFIASQBNACgAUAByAG8AZAB1AGMAdABBAHQAdAByAGkAYgB1AHQAZQApACwAIABQAHIAbwBkAHUAYwB0AEEAcgByAGEAeQBIAGUAYQBkAGUAcgBzACwAIAAwACkAXABuACAAIAAgACAAKQAsAFwAbgAgACAAIAAgAFwAIgBcACIAXABuACAAIAApAFwAbgApADsAXABuAFwAbgBcAG4ARgBlAHIAdABpAGwAaQBzAGUAcgBfAFMAdQBtAFAAcgBvAGQAdQBjAHQAQQBwAHAAbABpAGUAZABcAG4APQBMAEEATQBCAEQAQQAoAFwAbgAgACAATABvAG8AawB1AHAAVABhAHIAZwBlAHQAMQAsAEwAbwBvAGsAdQBwAEEAcgByAGEAeQAxACwAQQBtAG8AdQBuAHQAQQBwAHAAbABpAGUAZAAsAFsATABvAG8AawB1AHAAVABhAHIAZwBlAHQAMgBdACwAWwBMAG8AbwBrAHUAcABBAHIAcgBhAHkAMgBdACwAXABuACAAIABMAEUAVAAoAFwAbgAgACAAIAAgAGMAcgBpAHQAZQByAGkAYQAxACwALQAtACgATABvAG8AawB1AHAAQQByAHIAYQB5ADEAPQBMAG8AbwBrAHUAcABUAGEAcgBnAGUAdAAxACkALABcAG4AIAAgACAAIABjAHIAaQB0AGUAcgBpAGEAMgAsAEkARgAoAEkAUwBPAE0ASQBUAFQARQBEACgATABvAG8AawB1AHAAVABhAHIAZwBlAHQAMgApACwAMQAsAC0ALQAoAEwAbwBvAGsAdQBwAEEAcgByAGEAeQAyAD0ATABvAG8AawB1AHAAVABhAHIAZwBlAHQAMgApACkALABcAG4AIAAgACAAIABTAFUATQBQAFIATwBEAFUAQwBUACgAYwByAGkAdABlAHIAaQBhADEAKgBjAHIAaQB0AGUAcgBpAGEAMgAqAEEAbQBvAHUAbgB0AEEAcABwAGwAaQBlAGQAKQBcAG4AIAAgACkAXABuACkAOwBcAG4AXABuAEYAZQByAHQAaQBsAGkAcwBlAHIAXwBUAG8AdABhAGwAUwBvAGkAbABBAG0AZQBuAGQAbQBlAG4AdABBAHAAcABsAGkAZQBkAFwAbgA9AEwAQQBNAEIARABBACgAXABuACAAIABBAG0AbwB1AG4AdABBAHAAcABsAGkAZQBkACwAIABBAG0AZQBuAGQAbQBlAG4AdABQAGUAcgBjAGUAbgB0ACwAXABuACAAIABTAFUATQBQAFIATwBEAFUAQwBUACgAQQBtAG8AdQBuAHQAQQBwAHAAbABpAGUAZAAgACoAIABBAG0AZQBuAGQAbQBlAG4AdABQAGUAcgBjAGUAbgB0ACkAXABuACkAOwBcAG4AXABuAFwAbgBcAG4ARgBlAHIAdABpAGwAaQBzAGUAcgBfAFQAbwB0AGEAbABDAGgAZQBtAGkAYwBhAGwAQwBvAG0AcABvAHUAbgBkAEEAcABwAGwAaQBlAGQAQQBsAGwASQBuAGcAcgBlAGQAaQBlAG4AdABzAFwAbgA9AEwAQQBNAEIARABBACgAXABuACAAIABDAGgAZQBtAGkAYwBhAGwAQwBvAG0AcABvAHUAbgBkACwAXABuACAAIABBAG0AbwB1AG4AdABBAHAAcABsAGkAZQBkACwAXABuACAAIABQAHIAbwBkAHUAYwB0AEkAbgBnAHIAZQBkAGkAZQBuAHQAMQAsAFwAbgAgACAAUAByAG8AZAB1AGMAdABJAG4AZwByAGUAZABpAGUAbgB0AFAAZQByAGMAZQBuAHQAMQAsAFwAbgAgACAAWwBQAHIAbwBkAHUAYwB0AEkAbgBnAHIAZQBkAGkAZQBuAHQAMgBdACwAXABuACAAIABbAFAAcgBvAGQAdQBjAHQASQBuAGcAcgBlAGQAaQBlAG4AdABQAGUAcgBjAGUAbgB0ADIAXQAsAFwAbgAgACAAWwBQAHIAbwBkAHUAYwB0AEkAbgBnAHIAZQBkAGkAZQBuAHQAMwBdACwAXABuACAAIABbAFAAcgBvAGQAdQBjAHQASQBuAGcAcgBlAGQAaQBlAG4AdABQAGUAcgBjAGUAbgB0ADMAXQAsAFwAbgAgACAAWwBQAHIAbwBkAHUAYwB0AEkAbgBnAHIAZQBkAGkAZQBuAHQANABdACwAXABuACAAIABbAFAAcgBvAGQAdQBjAHQASQBuAGcAcgBlAGQAaQBlAG4AdABQAGUAcgBjAGUAbgB0ADQAXQAsAFwAbgAgACAAWwBQAHIAbwBkAHUAYwB0AEkAbgBnAHIAZQBkAGkAZQBuAHQANQBdACwAXABuACAAIABbAFAAcgBvAGQAdQBjAHQASQBuAGcAcgBlAGQAaQBlAG4AdABQAGUAcgBjAGUAbgB0ADUAXQAsAFwAbgAgACAAWwBQAHIAbwBkAHUAYwB0AEkAbgBnAHIAZQBkAGkAZQBuAHQANgBdACwAXABuACAAIABbAFAAcgBvAGQAdQBjAHQASQBuAGcAcgBlAGQAaQBlAG4AdABQAGUAcgBjAGUAbgB0ADYAXQAsAFwAbgAgACAATABFAFQAKABcAG4AIAAgACAAIABjAGEAbABjAHUAbABhAHQAZQBkAEEAbQBvAHUAbgB0ADEALAAgACgAQQBtAG8AdQBuAHQAQQBwAHAAbABpAGUAZAAqAFAAcgBvAGQAdQBjAHQASQBuAGcAcgBlAGQAaQBlAG4AdABQAGUAcgBjAGUAbgB0ADEAKQAsAFwAbgAgACAAIAAgAGMAYQBsAGMAdQBsAGEAdABlAGQAQQBtAG8AdQBuAHQAMgAsACAAKABBAG0AbwB1AG4AdABBAHAAcABsAGkAZQBkACoAUAByAG8AZAB1AGMAdABJAG4AZwByAGUAZABpAGUAbgB0AFAAZQByAGMAZQBuAHQAMgApACwAXABuACAAIAAgACAAYwBhAGwAYwB1AGwAYQB0AGUAZABBAG0AbwB1AG4AdAAzACwAIAAoAEEAbQBvAHUAbgB0AEEAcABwAGwAaQBlAGQAKgBQAHIAbwBkAHUAYwB0AEkAbgBnAHIAZQBkAGkAZQBuAHQAUABlAHIAYwBlAG4AdAAzACkALAAgAFwAbgAgACAAIAAgAGMAYQBsAGMAdQBsAGEAdABlAGQAQQBtAG8AdQBuAHQANAAsACAAKABBAG0AbwB1AG4AdABBAHAAcABsAGkAZQBkACoAUAByAG8AZAB1AGMAdABJAG4AZwByAGUAZABpAGUAbgB0AFAAZQByAGMAZQBuAHQANAApACwAIABcAG4AIAAgACAAIABjAGEAbABjAHUAbABhAHQAZQBkAEEAbQBvAHUAbgB0ADUALAAgACgAQQBtAG8AdQBuAHQAQQBwAHAAbABpAGUAZAAqAFAAcgBvAGQAdQBjAHQASQBuAGcAcgBlAGQAaQBlAG4AdABQAGUAcgBjAGUAbgB0ADUAKQAsACAAXABuACAAIAAgACAAYwBhAGwAYwB1AGwAYQB0AGUAZABBAG0AbwB1AG4AdAA2ACwAIAAoAEEAbQBvAHUAbgB0AEEAcABwAGwAaQBlAGQAKgBQAHIAbwBkAHUAYwB0AEkAbgBnAHIAZQBkAGkAZQBuAHQAUABlAHIAYwBlAG4AdAA2ACkALAAgACAAXABuACAAIAAgACAARgBlAHIAdABpAGwAaQBzAGUAcgBfAFMAdQBtAFAAcgBvAGQAdQBjAHQAQQBwAHAAbABpAGUAZAAoAFwAbgAgACAAIAAgACAAIABDAGgAZQBtAGkAYwBhAGwAQwBvAG0AcABvAHUAbgBkACwAIABQAHIAbwBkAHUAYwB0AEkAbgBnAHIAZQBkAGkAZQBuAHQAMQAsACAAYwBhAGwAYwB1AGwAYQB0AGUAZABBAG0AbwB1AG4AdAAxAFwAbgAgACAAIAAgACkAKwBcAG4AIAAgACAAIABJAEYARQBSAFIATwBSACgARgBlAHIAdABpAGwAaQBzAGUAcgBfAFMAdQBtAFAAcgBvAGQAdQBjAHQAQQBwAHAAbABpAGUAZAAoAFwAbgAgACAAIAAgACAAIABDAGgAZQBtAGkAYwBhAGwAQwBvAG0AcABvAHUAbgBkACwAIABQAHIAbwBkAHUAYwB0AEkAbgBnAHIAZQBkAGkAZQBuAHQAMgAsACAAYwBhAGwAYwB1AGwAYQB0AGUAZABBAG0AbwB1AG4AdAAyAFwAbgAgACAAIAAgACkALAAgADAAKQArAFwAbgAgACAAIAAgAEkARgBFAFIAUgBPAFIAKABGAGUAcgB0AGkAbABpAHMAZQByAF8AUwB1AG0AUAByAG8AZAB1AGMAdABBAHAAcABsAGkAZQBkACgAXABuACAAIAAgACAAIAAgAEMAaABlAG0AaQBjAGEAbABDAG8AbQBwAG8AdQBuAGQALAAgAFAAcgBvAGQAdQBjAHQASQBuAGcAcgBlAGQAaQBlAG4AdAAzACwAIABjAGEAbABjAHUAbABhAHQAZQBkAEEAbQBvAHUAbgB0ADMAXABuACAAIAAgACAAKQAsACAAMAApACsAXABuACAAIAAgACAASQBGAEUAUgBSAE8AUgAoAEYAZQByAHQAaQBsAGkAcwBlAHIAXwBTAHUAbQBQAHIAbwBkAHUAYwB0AEEAcABwAGwAaQBlAGQAKABcAG4AIAAgACAAIAAgACAAQwBoAGUAbQBpAGMAYQBsAEMAbwBtAHAAbwB1AG4AZAAsACAAUAByAG8AZAB1AGMAdABJAG4AZwByAGUAZABpAGUAbgB0ADQALAAgAGMAYQBsAGMAdQBsAGEAdABlAGQAQQBtAG8AdQBuAHQANABcAG4AIAAgACAAIAApACwAIAAwACkAKwBcAG4AIAAgACAAIABJAEYARQBSAFIATwBSACgARgBlAHIAdABpAGwAaQBzAGUAcgBfAFMAdQBtAFAAcgBvAGQAdQBjAHQAQQBwAHAAbABpAGUAZAAoAFwAbgAgACAAIAAgACAAIABDAGgAZQBtAGkAYwBhAGwAQwBvAG0AcABvAHUAbgBkACwAIABQAHIAbwBkAHUAYwB0AEkAbgBnAHIAZQBkAGkAZQBuAHQANQAsACAAYwBhAGwAYwB1AGwAYQB0AGUAZABBAG0AbwB1AG4AdAA1AFwAbgAgACAAIAAgACkALAAgADAAKQArAFwAbgAgACAAIAAgAEkARgBFAFIAUgBPAFIAKABGAGUAcgB0AGkAbABpAHMAZQByAF8AUwB1AG0AUAByAG8AZAB1AGMAdABBAHAAcABsAGkAZQBkACgAXABuACAAIAAgACAAIAAgAEMAaABlAG0AaQBjAGEAbABDAG8AbQBwAG8AdQBuAGQALAAgAFAAcgBvAGQAdQBjAHQASQBuAGcAcgBlAGQAaQBlAG4AdAA2ACwAIABjAGEAbABjAHUAbABhAHQAZQBkAEEAbQBvAHUAbgB0ADYAXABuACAAIAAgACAAKQAsACAAMAApAFwAbgAgACAAKQBcAG4AKQA7AFwAbgBcAG4ARgBlAHIAdABpAGwAaQBzAGUAcgBfAFQAbwB0AGEAbABDAGgAZQBtAGkAYwBhAGwAQwBvAG0AcABvAHUAbgBkAHQAQQBwAHAAbABpAGUAZABCAHkAUwBvAHUAcgBjAGUAQQBsAGwASQBuAGcAcgBlAGQAaQBlAG4AdABzAFwAbgA9AEwAQQBNAEIARABBACgAXABuACAAIABDAGgAZQBtAGkAYwBhAGwAQwBvAG0AcABvAHUAbgBkACwAXABuACAAIABTAG8AdQByAGMAZQAsAFwAbgAgACAAQQBtAG8AdQBuAHQAQQBwAHAAbABpAGUAZAAsAFwAbgAgACAAUAByAG8AZAB1AGMAdABJAG4AZwByAGUAZABpAGUAbgB0ADEALABcAG4AIAAgAFAAcgBvAGQAdQBjAHQASQBuAGcAcgBlAGQAaQBlAG4AdABQAGUAcgBjAGUAbgB0ADEALABcAG4AIAAgAFsAUAByAG8AZAB1AGMAdABJAG4AZwByAGUAZABpAGUAbgB0AFMAbwB1AHIAYwBlAF0ALABcAG4AIAAgAFsAUAByAG8AZAB1AGMAdABJAG4AZwByAGUAZABpAGUAbgB0ADIAXQAsAFwAbgAgACAAWwBQAHIAbwBkAHUAYwB0AEkAbgBnAHIAZQBkAGkAZQBuAHQAUABlAHIAYwBlAG4AdAAyAF0ALABcAG4AIAAgAFsAUAByAG8AZAB1AGMAdABJAG4AZwByAGUAZABpAGUAbgB0ADMAXQAsAFwAbgAgACAAWwBQAHIAbwBkAHUAYwB0AEkAbgBnAHIAZQBkAGkAZQBuAHQAUABlAHIAYwBlAG4AdAAzAF0ALABcAG4AIAAgAFsAUAByAG8AZAB1AGMAdABJAG4AZwByAGUAZABpAGUAbgB0ADQAXQAsAFwAbgAgACAAWwBQAHIAbwBkAHUAYwB0AEkAbgBnAHIAZQBkAGkAZQBuAHQAUABlAHIAYwBlAG4AdAA0AF0ALABcAG4AIAAgAFsAUAByAG8AZAB1AGMAdABJAG4AZwByAGUAZABpAGUAbgB0ADUAXQAsAFwAbgAgACAAWwBQAHIAbwBkAHUAYwB0AEkAbgBnAHIAZQBkAGkAZQBuAHQAUABlAHIAYwBlAG4AdAA1AF0ALABcAG4AIAAgAFsAUAByAG8AZAB1AGMAdABJAG4AZwByAGUAZABpAGUAbgB0ADYAXQAsAFwAbgAgACAAWwBQAHIAbwBkAHUAYwB0AEkAbgBnAHIAZQBkAGkAZQBuAHQAUABlAHIAYwBlAG4AdAA2AF0ALABcAG4AIAAgAEwARQBUACgAXABuACAAIAAgACAAYwBhAGwAYwB1AGwAYQB0AGUAZABBAG0AbwB1AG4AdAAxACwAIAAoAEEAbQBvAHUAbgB0AEEAcABwAGwAaQBlAGQAKgBQAHIAbwBkAHUAYwB0AEkAbgBnAHIAZQBkAGkAZQBuAHQAUABlAHIAYwBlAG4AdAAxACkALABcAG4AIAAgACAAIABjAGEAbABjAHUAbABhAHQAZQBkAEEAbQBvAHUAbgB0ADIALAAgACgAQQBtAG8AdQBuAHQAQQBwAHAAbABpAGUAZAAqAFAAcgBvAGQAdQBjAHQASQBuAGcAcgBlAGQAaQBlAG4AdABQAGUAcgBjAGUAbgB0ADIAKQAsAFwAbgAgACAAIAAgAGMAYQBsAGMAdQBsAGEAdABlAGQAQQBtAG8AdQBuAHQAMwAsACAAKABBAG0AbwB1AG4AdABBAHAAcABsAGkAZQBkACoAUAByAG8AZAB1AGMAdABJAG4AZwByAGUAZABpAGUAbgB0AFAAZQByAGMAZQBuAHQAMwApACwAIABcAG4AIAAgACAAIABjAGEAbABjAHUAbABhAHQAZQBkAEEAbQBvAHUAbgB0ADQALAAgACgAQQBtAG8AdQBuAHQAQQBwAHAAbABpAGUAZAAqAFAAcgBvAGQAdQBjAHQASQBuAGcAcgBlAGQAaQBlAG4AdABQAGUAcgBjAGUAbgB0ADQAKQAsACAAXABuACAAIAAgACAAYwBhAGwAYwB1AGwAYQB0AGUAZABBAG0AbwB1AG4AdAA1ACwAIAAoAEEAbQBvAHUAbgB0AEEAcABwAGwAaQBlAGQAKgBQAHIAbwBkAHUAYwB0AEkAbgBnAHIAZQBkAGkAZQBuAHQAUABlAHIAYwBlAG4AdAA1ACkALAAgAFwAbgAgACAAIAAgAGMAYQBsAGMAdQBsAGEAdABlAGQAQQBtAG8AdQBuAHQANgAsACAAKABBAG0AbwB1AG4AdABBAHAAcABsAGkAZQBkACoAUAByAG8AZAB1AGMAdABJAG4AZwByAGUAZABpAGUAbgB0AFAAZQByAGMAZQBuAHQANgApACwAXABuACAAIAAgACAAUAByAG8AZAB1AGMAdABJAG4AZwByAGUAZABpAGUAbgB0AFMAbwB1AHIAYwBlACwAIABJAEYAKABQAHIAbwBkAHUAYwB0AEkAbgBnAHIAZQBkAGkAZQBuAHQAUwBvAHUAcgBjAGUAPQBcACIAXAAiACwAIABcACIARwBsAG8AYgBhAGwAXAAiACwAIABQAHIAbwBkAHUAYwB0AEkAbgBnAHIAZQBkAGkAZQBuAHQAUwBvAHUAcgBjAGUAKQAsAFwAbgAgACAAIAAgAEYAZQByAHQAaQBsAGkAcwBlAHIAXwBTAHUAbQBQAHIAbwBkAHUAYwB0AEEAcABwAGwAaQBlAGQAKABcAG4AIAAgACAAIAAgACAAQwBoAGUAbQBpAGMAYQBsAEMAbwBtAHAAbwB1AG4AZAAsACAAUAByAG8AZAB1AGMAdABJAG4AZwByAGUAZABpAGUAbgB0ADEALAAgAGMAYQBsAGMAdQBsAGEAdABlAGQAQQBtAG8AdQBuAHQAMQAsACAAUwBvAHUAcgBjAGUALAAgAFAAcgBvAGQAdQBjAHQASQBuAGcAcgBlAGQAaQBlAG4AdABTAG8AdQByAGMAZQBcAG4AIAAgACAAIAApACsAXABuACAAIAAgACAASQBGAEUAUgBSAE8AUgAoAEYAZQByAHQAaQBsAGkAcwBlAHIAXwBTAHUAbQBQAHIAbwBkAHUAYwB0AEEAcABwAGwAaQBlAGQAKABcAG4AIAAgACAAIAAgACAAQwBoAGUAbQBpAGMAYQBsAEMAbwBtAHAAbwB1AG4AZAAsACAAUAByAG8AZAB1AGMAdABJAG4AZwByAGUAZABpAGUAbgB0ADIALAAgAGMAYQBsAGMAdQBsAGEAdABlAGQAQQBtAG8AdQBuAHQAMgAsACAAUwBvAHUAcgBjAGUALAAgAFAAcgBvAGQAdQBjAHQASQBuAGcAcgBlAGQAaQBlAG4AdABTAG8AdQByAGMAZQBcAG4AIAAgACAAIAApACwAIAAwACkAKwBcAG4AIAAgACAAIABJAEYARQBSAFIATwBSACgARgBlAHIAdABpAGwAaQBzAGUAcgBfAFMAdQBtAFAAcgBvAGQAdQBjAHQAQQBwAHAAbABpAGUAZAAoAFwAbgAgACAAIAAgACAAIABDAGgAZQBtAGkAYwBhAGwAQwBvAG0AcABvAHUAbgBkACwAIABQAHIAbwBkAHUAYwB0AEkAbgBnAHIAZQBkAGkAZQBuAHQAMwAsACAAYwBhAGwAYwB1AGwAYQB0AGUAZABBAG0AbwB1AG4AdAAzACwAIABTAG8AdQByAGMAZQAsACAAUAByAG8AZAB1AGMAdABJAG4AZwByAGUAZABpAGUAbgB0AFMAbwB1AHIAYwBlAFwAbgAgACAAIAAgACkALAAgADAAKQArAFwAbgAgACAAIAAgAEkARgBFAFIAUgBPAFIAKABGAGUAcgB0AGkAbABpAHMAZQByAF8AUwB1AG0AUAByAG8AZAB1AGMAdABBAHAAcABsAGkAZQBkACgAXABuACAAIAAgACAAIAAgAEMAaABlAG0AaQBjAGEAbABDAG8AbQBwAG8AdQBuAGQALAAgAFAAcgBvAGQAdQBjAHQASQBuAGcAcgBlAGQAaQBlAG4AdAA0ACwAIABjAGEAbABjAHUAbABhAHQAZQBkAEEAbQBvAHUAbgB0ADQALAAgAFMAbwB1AHIAYwBlACwAIABQAHIAbwBkAHUAYwB0AEkAbgBnAHIAZQBkAGkAZQBuAHQAUwBvAHUAcgBjAGUAXABuACAAIAAgACAAKQAsACAAMAApACsAXABuACAAIAAgACAASQBGAEUAUgBSAE8AUgAoAEYAZQByAHQAaQBsAGkAcwBlAHIAXwBTAHUAbQBQAHIAbwBkAHUAYwB0AEEAcABwAGwAaQBlAGQAKABcAG4AIAAgACAAIAAgACAAQwBoAGUAbQBpAGMAYQBsAEMAbwBtAHAAbwB1AG4AZAAsACAAUAByAG8AZAB1AGMAdABJAG4AZwByAGUAZABpAGUAbgB0ADUALAAgAGMAYQBsAGMAdQBsAGEAdABlAGQAQQBtAG8AdQBuAHQANQAsACAAUwBvAHUAcgBjAGUALAAgAFAAcgBvAGQAdQBjAHQASQBuAGcAcgBlAGQAaQBlAG4AdABTAG8AdQByAGMAZQBcAG4AIAAgACAAIAApACwAIAAwACkAKwBcAG4AIAAgACAAIABJAEYARQBSAFIATwBSACgARgBlAHIAdABpAGwAaQBzAGUAcgBfAFMAdQBtAFAAcgBvAGQAdQBjAHQAQQBwAHAAbABpAGUAZAAoAFwAbgAgACAAIAAgACAAIABDAGgAZQBtAGkAYwBhAGwAQwBvAG0AcABvAHUAbgBkACwAIABQAHIAbwBkAHUAYwB0AEkAbgBnAHIAZQBkAGkAZQBuAHQANgAsACAAYwBhAGwAYwB1AGwAYQB0AGUAZABBAG0AbwB1AG4AdAA2ACwAIABTAG8AdQByAGMAZQAsACAAUAByAG8AZAB1AGMAdABJAG4AZwByAGUAZABpAGUAbgB0AFMAbwB1AHIAYwBlAFwAbgAgACAAIAAgACkALAAgADAAKQBcAG4AIAAgACkAXABuACkAOwBcAG4AXABuAEYAZQByAHQAaQBsAGkAcwBlAHIAXwBHAGUAdABTAGMAbwBwAGUAMwBFAEYAXABuAD0ATABBAE0AQgBEAEEAKABcAG4AIAAgACAAIABDAGgAZQBtAGkAYwBhAGwAQwBvAG0AcABvAHUAbgBkACwAIABTAGMAbwBwAGUAMwBBAHIAcgBhAHkALAAgAEMAaABlAG0AaQBjAGEAbABDAG8AbQBwAG8AdQBuAGQAQwBvAGwAdQBtAG4ALAAgAFMAbwB1AHIAYwBlACwAIABTAG8AdQByAGMAZQBSAG8AdwAsAFwAbgAgACAAIAAgAEkATgBEAEUAWAAoAFMAYwBvAHAAZQAzAEEAcgByAGEAeQAsAFwAbgAgACAAIAAgACAAIAAgAE0AQQBUAEMASAAoAEMAaABlAG0AaQBjAGEAbABDAG8AbQBwAG8AdQBuAGQALAAgAEMAaABlAG0AaQBjAGEAbABDAG8AbQBwAG8AdQBuAGQAQwBvAGwAdQBtAG4ALAAgADAAKQAsAFwAbgAgACAAIAAgACAAIAAgAE0AQQBUAEMASAAoAFMAbwB1AHIAYwBlACwAIABTAG8AdQByAGMAZQBSAG8AdwAsACAAMAApAFwAbgAgACAAIAAgACkAXABuACkAOwBcAG4AXABuAEYAZQByAHQAaQBsAGkAcwBlAHIAXwBHAGUAdABDAGgAZQBtAGkAYwBhAGwAQwBvAG0AcABvAHUAbgBkAEUAbABlAG0AZQBuAHQARgByAGEAYwB0AGkAbwBuAFwAbgA9AEwAQQBNAEIARABBACgAXABuACAAIAAgACAAQwBoAGUAbQBpAGMAYQBsAEMAbwBtAHAAbwB1AG4AZAAsACAARQBsAGUAbQBlAG4AdAAsACAAQwBoAGUAbQBpAGMAYQBsAEMAbwBtAHAAbwB1AG4AZABBAHIAcgBhAHkALAAgAEMAaABlAG0AaQBjAGEAbABDAG8AbQBwAG8AdQBuAGQAQwBvAGwAdQBtAG4ALAAgAEUAbABlAG0AZQBuAHQAUgBvAHcALABcAG4AIAAgACAAIABJAE4ARABFAFgAKABDAGgAZQBtAGkAYwBhAGwAQwBvAG0AcABvAHUAbgBkAEEAcgByAGEAeQAsAFwAbgAgACAAIAAgACAAIABNAEEAVABDAEgAKABDAGgAZQBtAGkAYwBhAGwAQwBvAG0AcABvAHUAbgBkACwAIABDAGgAZQBtAGkAYwBhAGwAQwBvAG0AcABvAHUAbgBkAEMAbwBsAHUAbQBuACwAIAAwACkALABcAG4AIAAgACAAIAAgACAATQBBAFQAQwBIACgARQBsAGUAbQBlAG4AdAAsACAARQBsAGUAbQBlAG4AdABSAG8AdwAsACAAMAApAFwAbgAgACAAIAAgACkAXABuACkAOwBcAG4AXABuAEYAZQByAHQAaQBsAGkAcwBlAHIAXwBUAG8AdABhAGwAQQBjAHQAaQB2AGUASQBuAGcAcgBlAGQAaQBlAG4AdABBAHAAcABsAGkAZQBkAEEAbABsAEkAbgBnAHIAZQBkAGkAZQBuAHQAcwBcAG4APQBMAEEATQBCAEQAQQAoAFwAbgAgACAAQwBoAGUAbQBpAGMAYQBsAEMAbwBtAHAAbwB1AG4AZAAsAFwAbgAgACAAQQBtAG8AdQBuAHQAQQBwAHAAbABpAGUAZAAsAFwAbgAgACAAUAByAG8AZAB1AGMAdABJAG4AZwByAGUAZABpAGUAbgB0ADEALABcAG4AIAAgAFAAcgBvAGQAdQBjAHQASQBuAGcAcgBlAGQAaQBlAG4AdABVAG4AaQB0ADEALABcAG4AIAAgAFAAcgBvAGQAdQBjAHQASQBuAGcAcgBlAGQAaQBlAG4AdABQAGUAcgBjAGUAbgB0ADEALABcAG4AIAAgAFsAUAByAG8AZAB1AGMAdABJAG4AZwByAGUAZABpAGUAbgB0ADIAXQAsAFwAbgAgACAAWwBQAHIAbwBkAHUAYwB0AEkAbgBnAHIAZQBkAGkAZQBuAHQAVQBuAGkAdAAyAF0ALABcAG4AIAAgAFsAUAByAG8AZAB1AGMAdABJAG4AZwByAGUAZABpAGUAbgB0AFAAZQByAGMAZQBuAHQAMgBdACwAXABuACAAIABbAFAAcgBvAGQAdQBjAHQASQBuAGcAcgBlAGQAaQBlAG4AdAAzAF0ALABcAG4AIAAgAFsAUAByAG8AZAB1AGMAdABJAG4AZwByAGUAZABpAGUAbgB0AFUAbgBpAHQAMwBdACwAXABuACAAIABbAFAAcgBvAGQAdQBjAHQASQBuAGcAcgBlAGQAaQBlAG4AdABQAGUAcgBjAGUAbgB0ADMAXQAsAFwAbgAgACAATABFAFQAKABcAG4AIAAgACAAIABjAGEAbABjAHUAbABhAHQAZQBkAEEAbQBvAHUAbgB0ADEALABcAG4AIAAgACAAIAAoAFwAbgAgACAAIAAgACAAIABJAEYAKABcAG4AIAAgACAAIAAgACAAIAAgAFAAcgBvAGQAdQBjAHQASQBuAGcAcgBlAGQAaQBlAG4AdABVAG4AaQB0ADEAIAA9ACAAXAAiAFAAZQByAGMAZQBuAHQAIABvAGYAIABwAHIAbwBkAHUAYwB0AFwAIgAsAFwAbgAgACAAIAAgACAAIAAgACAAQQBtAG8AdQBuAHQAQQBwAHAAbABpAGUAZAAgACoAIABQAHIAbwBkAHUAYwB0AEkAbgBnAHIAZQBkAGkAZQBuAHQAUABlAHIAYwBlAG4AdAAxACwAXABuACAAIAAgACAAIAAgACAAIABBAG0AbwB1AG4AdABBAHAAcABsAGkAZQBkACAAKgAoAFwAbgAgACAAIAAgACAAIAAgACAAIAAgAFAAcgBvAGQAdQBjAHQASQBuAGcAcgBlAGQAaQBlAG4AdABQAGUAcgBjAGUAbgB0ADEAIAAqACAAMQAwACAAXgAgAC0AIAAzAFwAbgAgACAAIAAgACAAIAAgACAAKQBcAG4AIAAgACAAIAAgACAAKQBcAG4AIAAgACAAIAApACwAXABuACAAIAAgACAAYwBhAGwAYwB1AGwAYQB0AGUAZABBAG0AbwB1AG4AdAAyACwAXABuACAAIAAgACAAKABcAG4AIAAgACAAIAAgACAASQBGACgAXABuACAAIAAgACAAIAAgACAAIABQAHIAbwBkAHUAYwB0AEkAbgBnAHIAZQBkAGkAZQBuAHQAVQBuAGkAdAAxACAAPQAgAFwAIgBQAGUAcgBjAGUAbgB0ACAAbwBmACAAcAByAG8AZAB1AGMAdABcACIALABcAG4AIAAgACAAIAAgACAAIAAgAEEAbQBvAHUAbgB0AEEAcABwAGwAaQBlAGQAIAAqACAAUAByAG8AZAB1AGMAdABJAG4AZwByAGUAZABpAGUAbgB0AFAAZQByAGMAZQBuAHQAMgAsAFwAbgAgACAAIAAgACAAIAAgACAAQQBtAG8AdQBuAHQAQQBwAHAAbABpAGUAZAAgACoAKABcAG4AIAAgACAAIAAgACAAIAAgACAAIABQAHIAbwBkAHUAYwB0AEkAbgBnAHIAZQBkAGkAZQBuAHQAUABlAHIAYwBlAG4AdAAyACAAKgAgADEAMAAgAF4AIAAtACAAMwBcAG4AIAAgACAAIAAgACAAIAAgACkAXABuACAAIAAgACAAIAAgACkAXABuACAAIAAgACAAKQAsAFwAbgAgACAAIAAgAGMAYQBsAGMAdQBsAGEAdABlAGQAQQBtAG8AdQBuAHQAMwAsAFwAbgAgACAAIAAgACgAXABuACAAIAAgACAAIAAgAEkARgAoAFwAbgAgACAAIAAgACAAIAAgACAAUAByAG8AZAB1AGMAdABJAG4AZwByAGUAZABpAGUAbgB0AFUAbgBpAHQAMQAgAD0AIABcACIAUABlAHIAYwBlAG4AdAAgAG8AZgAgAHAAcgBvAGQAdQBjAHQAXAAiACwAXABuACAAIAAgACAAIAAgACAAIABBAG0AbwB1AG4AdABBAHAAcABsAGkAZQBkACAAKgAgAFAAcgBvAGQAdQBjAHQASQBuAGcAcgBlAGQAaQBlAG4AdABQAGUAcgBjAGUAbgB0ADMALABcAG4AIAAgACAAIAAgACAAIAAgAEEAbQBvAHUAbgB0AEEAcABwAGwAaQBlAGQAIAAqACgAXABuACAAIAAgACAAIAAgACAAIAAgACAAUAByAG8AZAB1AGMAdABJAG4AZwByAGUAZABpAGUAbgB0AFAAZQByAGMAZQBuAHQAMwAgACoAIAAxADAAIABeACAALQAgADMAXABuACAAIAAgACAAIAAgACAAIAApAFwAbgAgACAAIAAgACAAIAApAFwAbgAgACAAIAAgACkALABcAG4AIAAgACAAIABGAGUAcgB0AGkAbABpAHMAZQByAF8ASQBuAHAAdQB0AEYAdQBuAGMAdABpAG8AbgBzAC4ARgBlAHIAdABpAGwAaQBzAGUAcgBfAFMAdQBtAFAAcgBvAGQAdQBjAHQAQQBwAHAAbABpAGUAZAAoAFwAbgAgACAAIAAgACAAIABDAGgAZQBtAGkAYwBhAGwAQwBvAG0AcABvAHUAbgBkACwAXABuACAAIAAgACAAIAAgAFAAcgBvAGQAdQBjAHQASQBuAGcAcgBlAGQAaQBlAG4AdAAxACwAXABuACAAIAAgACAAIAAgAGMAYQBsAGMAdQBsAGEAdABlAGQAQQBtAG8AdQBuAHQAMQBcAG4AIAAgACAAIAApACAAKwAgAEkARgBFAFIAUgBPAFIAKABcAG4AIAAgACAAIAAgACAARgBlAHIAdABpAGwAaQBzAGUAcgBfAEkAbgBwAHUAdABGAHUAbgBjAHQAaQBvAG4AcwAuAEYAZQByAHQAaQBsAGkAcwBlAHIAXwBTAHUAbQBQAHIAbwBkAHUAYwB0AEEAcABwAGwAaQBlAGQAKABcAG4AIAAgACAAIAAgACAAIAAgAEMAaABlAG0AaQBjAGEAbABDAG8AbQBwAG8AdQBuAGQALABcAG4AIAAgACAAIAAgACAAIAAgAFAAcgBvAGQAdQBjAHQASQBuAGcAcgBlAGQAaQBlAG4AdAAyACwAXABuACAAIAAgACAAIAAgACAAIABjAGEAbABjAHUAbABhAHQAZQBkAEEAbQBvAHUAbgB0ADIAXABuACAAIAAgACAAIAAgACkALABcAG4AIAAgACAAIAAgACAAMABcAG4AIAAgACAAIAApACAAKwAgAEkARgBFAFIAUgBPAFIAKABcAG4AIAAgACAAIAAgACAARgBlAHIAdABpAGwAaQBzAGUAcgBfAEkAbgBwAHUAdABGAHUAbgBjAHQAaQBvAG4AcwAuAEYAZQByAHQAaQBsAGkAcwBlAHIAXwBTAHUAbQBQAHIAbwBkAHUAYwB0AEEAcABwAGwAaQBlAGQAKABcAG4AIAAgACAAIAAgACAAIAAgAEMAaABlAG0AaQBjAGEAbABDAG8AbQBwAG8AdQBuAGQALABcAG4AIAAgACAAIAAgACAAIAAgAFAAcgBvAGQAdQBjAHQASQBuAGcAcgBlAGQAaQBlAG4AdAAzACwAXABuACAAIAAgACAAIAAgACAAIABjAGEAbABjAHUAbABhAHQAZQBkAEEAbQBvAHUAbgB0ADMAXABuACAAIAAgACAAIAAgACkALABcAG4AIAAgACAAIAAgACAAMABcAG4AIAAgACAAIAApAFwAbgAgACAAKQBcAG4AKQAiAH0ALAB7ACIAcABhAHQAaAAiADoAIgAvAHAAcgBvAGoAZQBjAHQAcwAvAEUAbABlAGMAdAByAGkAYwBpAHQAeQBfAFMAbwB1AHIAYwBlAEQAYQB0AGEAIgAsACIAdABlAHgAdAAiADoAIgAvACoAXABuAD0APQA9AD0APQA9AD0APQA9AD0APQA9AD0APQA9AD0APQA9AD0APQA9AD0APQA9AD0APQA9AD0APQA9AD0APQA9AD0APQA9AD0APQA9AD0APQA9AD0APQA9AD0APQA9AD0APQA9AD0APQA9AD0APQA9AD0APQA9AD0APQA9AD0APQA9AD0APQA9AD0APQA9AD0APQA9AD0AXABuAEkAbgBkAGkAcgBlAGMAdAAgACgAcwBjAG8AcABlACAAMgAgAGEAbgBkACAAcwBjAG8AcABlACAAMwApACAAbABvAGMAYQB0AGkAbwBuAC0AYgBhAHMAZQBkACAAZQBtAGkAcwBzAGkAbwBuACAAZgBhAGMAdABvAHIAcwAgAGEAcwBzAG8AYwBpAGEAdABlAGQAIAB3AGkAdABoACAAdABoAGUAIABjAG8AbgBzAHUAbQBwAHQAaQBvAG4AIABhAG4AZAAgAGwAbwBzAHMAZQBzACAAbwBmACAAcAB1AHIAYwBoAGEAcwBlAGQAIABvAHIAIABhAGMAcQB1AGkAcgBlAGQAIABlAGwAZQBjAHQAcgBpAGMAaQB0AHkAIABcAG4APQA9AD0APQA9AD0APQA9AD0APQA9AD0APQA9AD0APQA9AD0APQA9AD0APQA9AD0APQA9AD0APQA9AD0APQA9AD0APQA9AD0APQA9AD0APQA9AD0APQA9AD0APQA9AD0APQA9AD0APQA9AD0APQA9AD0APQA9AD0APQA9AD0APQA9AD0APQA9AD0APQA9AD0APQA9AD0APQBcAG4AKgAvAFwAbgBcAG4ARQBsAGUAYwB0AHIAaQBjAGkAdAB5AF8AUwBjAG8AcABlADIAUwBjAG8AcABlADMATABvAGMAYQB0AGkAbwBuAEIAYQBzAGUAZABfAFQAaQB0AGwAZQBcAG4APQBMAEEATQBCAEQAQQAoACgAXAAiAEUAbABlAGMAdAByAGkAYwBpAHQAeQAgAHMAYwBvAHAAZQAgADIAIABhAG4AZAAgAHMAYwBvAHAAZQAgADMAIABsAG8AYwBhAHQAaQBvAG4ALQBiAGEAcwBlAGQAIABlAG0AaQBzAHMAaQBvAG4AIABmAGEAYwB0AG8AcgBzAFwAIgApACkAOwBcAG4AXABuAEUAbABlAGMAdAByAGkAYwBpAHQAeQBfAFMAYwBvAHAAZQAyAEwAbwBjAGEAdABpAG8AbgBCAGEAcwBlAGQAXwBEAGUAcwBjAHIAaQBwAHQAaQBvAG4AXABuAD0ATABBAE0AQgBEAEEAKAAoAFwAIgBJAG4AZABpAHIAZQBjAHQAIAAoAHMAYwBvAHAAZQAgADIAIABhAG4AZAAgAHMAYwBvAHAAZQAgADMAKQAgAGwAbwBjAGEAdABpAG8AbgAtAGIAYQBzAGUAZAAgAGUAbQBpAHMAcwBpAG8AbgAgAGYAYQBjAHQAbwByAHMAIABhAHMAcwBvAGMAaQBhAHQAZQBkACAAdwBpAHQAaAAgAHQAaABlACAAYwBvAG4AcwB1AG0AcAB0AGkAbwBuACAAYQBuAGQAIABsAG8AcwBzAGUAcwAgAG8AZgAgAHAAdQByAGMAaABhAHMAZQBkACAAbwByACAAYQBjAHEAdQBpAHIAZQBkACAAZQBsAGUAYwB0AHIAaQBjAGkAdAB5AFwAIgApACkAOwBcAG4AXABuAEUAbABlAGMAdAByAGkAYwBpAHQAeQBfAFMAYwBvAHAAZQAyAFMAYwBvAHAAZQAzAEwAbwBjAGEAdABpAG8AbgBCAGEAcwBlAGQAXwBTAG8AdQByAGMAZQBcAG4APQBMAEEATQBCAEQAQQAoACgAXAAiAEEAdQBzAHQAcgBhAGwAaQBhAG4AIABOAGEAdABpAG8AbgBhAGwAIABHAHIAZQBlAG4AaABvAHUAcwBlACAAQQBjAGMAbwB1AG4AdABzACAARgBhAGMAdABvAHIAcwAgADIAMAAyADUAIAAtACAAVABhAGIAbABlACAAMQBcACIAKQApADsAXABuAFwAbgBFAGwAZQBjAHQAcgBpAGMAaQB0AHkAXwBTAGMAbwBwAGUAMgBTAGMAbwBwAGUAMwBMAG8AYwBhAHQAaQBvAG4AQgBhAHMAZQBkAF8ARABhAHQAYQBcAG4APQBMAEEATQBCAEQAQQAoAFwAbgAgACAATQBBAEsARQBBAFIAUgBBAFkAKAAxADEALAAgADMALABcAG4AIAAgACAAIABMAEEATQBCAEQAQQAoAHIALABjACwAXABuACAAIAAgACAAIAAgAEkATgBEAEUAWAAoAHsAXABuACAAIAAgACAAIAAgACAAIABcACIAUwB0AGEAdABlACwAIABUAGUAcgByAGkAdABvAHIAeQAgAG8AcgAgAGcAcgBpAGQAIABkAGUAcwBjAHIAaQBwAHQAaQBvAG4AXAAiACwAIABcACIAUwBjAG8AcABlACAAMgAgAEUAbQBpAHMAcwBpAG8AbgAgAEYAYQBjAHQAbwByAHMAIAAoAGsAZwAgAEMATwAyAC0AZQAvAGsAVwBoACkAXAAiACwAIABcACIAUwBjAG8AcABlACAAMwAgAEUAbQBpAHMAcwBpAG8AbgAgAEYAYQBjAHQAbwByAHMAIAAoAGsAZwAgAEMATwAyAC0AZQAvAGsAVwBoACkAXAAiADsAXABuACAAIAAgACAAIAAgACAAIABcACIATgBlAHcAIABTAG8AdQB0AGgAIABXAGEAbABlAHMAXAAiACwAIAAwAC4ANgA0ACwAIAAwAC4AMAAzADsAXABuACAAIAAgACAAIAAgACAAIABcACIAQQBDAFQAXAAiACwAIAAwAC4ANgA0ACwAIAAwAC4AMAAzADsAXABuACAAIAAgACAAIAAgACAAIABcACIAVgBpAGMAdABvAHIAaQBhAFwAIgAsACAAMAAuADcAOAAsACAAMAAuADAAOQA7AFwAbgAgACAAIAAgACAAIAAgACAAXAAiAFEAdQBlAGUAbgBzAGwAYQBuAGQAXAAiACwAIAAwAC4ANgA3ACwAIAAwAC4AMAA5ADsAXABuACAAIAAgACAAIAAgACAAIABcACIAUwBvAHUAdABoACAAQQB1AHMAdAByAGEAbABpAGEAXAAiACwAIAAwAC4AMgAyACwAIAAwAC4AMAA0ADsAXABuACAAIAAgACAAIAAgACAAIABcACIAVwBlAHMAdABlAHIAbgAgAEEAdQBzAHQAcgBhAGwAaQBhACAALQAgAFMAbwB1AHQAaAAgAFcAZQBzAHQAIABJAG4AdABlAHIAYwBvAG4AbgBlAGMAdABlAGQAIABTAHkAcwB0AGUAbQAgACgAUwBXAEkAUwApAFwAIgAsACAAMAAuADUAMAAsACAAMAAuADAANgA7AFwAbgAgACAAIAAgACAAIAAgACAAXAAiAFcAZQBzAHQAZQByAG4AIABBAHUAcwB0AHIAYQBsAGkAYQAgAC0AIABOAG8AcgB0AGgAIABXAGUAcwB0AGUAcgBuACAASQBuAHQAZQByAGMAbwBuAG4AZQBjAHQAZQBkACAAUwB5AHMAdABlAG0AIAAoAE4AVwBJAFMAKQBcACIALAAgADAALgA1ADYALAAgADAALgAwADkAOwBcAG4AIAAgACAAIAAgACAAIAAgAFwAIgBUAGEAcwBtAGEAbgBpAGEAXAAiACwAIAAwAC4AMgAwACwAIAAwAC4AMAAzADsAXABuACAAIAAgACAAIAAgACAAIABcACIATgBvAHIAdABoAGUAcgBuACAAVABlAHIAcgBpAHQAbwByAHkAIAAtACAARABhAHIAdwBpAG4AIABLAGEAdABoAGUAcgBpAG4AZQAgAEkAbgB0AGUAcgBjAG8AbgBuAGUAYwB0AGUAZAAgAFMAeQBzAHQAZQBtACAAKABEAEsASQBTACkAXAAiACwAIAAwAC4ANQA2ACwAIAAwAC4AMAA5ADsAXABuACAAIAAgACAAIAAgACAAIABcACIATgBhAHQAaQBvAG4AYQBsAFwAIgAsACAAMAAuADYAMgAsACAAMAAuADAANwBcAG4AIAAgACAAIAAgACAAfQAsACAAcgAsACAAYwApAFwAbgApACkAKQA7AFwAbgBcAG4ARQBsAGUAYwB0AHIAaQBjAGkAdAB5AF8AUwBjAG8AcABlADIAUwBjAG8AcABlADMATABvAGMAYQB0AGkAbwBuAEIAYQBzAGUAZABfAFYAYQByAGkAYQB0AGkAbwBuAFwAbgA9AEwAQQBNAEIARABBACgAKABcACIAVgBBAFIASQBBAFQASQBPAE4AIABPAEYAIABTAE8AVQBSAEMARQAgAEQAQQBUAEEAOgAgAE4AUwBXACAAYQBuAGQAIABBAEMAVAAgAHMAcABsAGkAdAAgAGkAbgB0AG8AIABzAGUAcABhAHIAYQB0AGUAIAByAG8AdwBzAC4AXAAiACkAKQA7AFwAbgBcAG4AXABuAC8AKgBcAG4APQA9AD0APQA9AD0APQA9AD0APQA9AD0APQA9AD0APQA9AD0APQA9AD0APQA9AD0APQA9AD0APQA9AD0APQA9AD0APQA9AD0APQA9AD0APQA9AD0APQA9AD0APQA9AD0APQA9AD0APQA9AD0APQA9AD0APQA9AD0APQA9AD0APQA9AD0APQA9AD0APQA9AD0APQA9AD0APQBcAG4AUgBlAHMAaQBkAHUAYQBsACAATQBpAHgAIABGAGEAYwB0AG8AcgAgAGYAbwByACAAbQBhAHIAawBlAHQALQBiAGEAcwBlAGQAIABlAHEAdQBhAHQAaQBvAG4AcwBcAG4APQA9AD0APQA9AD0APQA9AD0APQA9AD0APQA9AD0APQA9AD0APQA9AD0APQA9AD0APQA9AD0APQA9AD0APQA9AD0APQA9AD0APQA9AD0APQA9AD0APQA9AD0APQA9AD0APQA9AD0APQA9AD0APQA9AD0APQA9AD0APQA9AD0APQA9AD0APQA9AD0APQA9AD0APQA9AD0APQBcAG4AKgAvAFwAbgBcAG4ARQBsAGUAYwB0AHIAaQBjAGkAdAB5AF8AUwBjAG8AcABlADIAUwBjAG8AcABlADMATQBhAHIAawBlAHQAQgBhAHMAZQBkAF8AVABpAHQAbABlAFwAbgA9AEwAQQBNAEIARABBACgAKABcACIARQBsAGUAYwB0AHIAaQBjAGkAdAB5ACAAcwBjAG8AcABlACAAMgAgAGEAbgBkACAAcwBjAG8AcABlACAAMwAgAG0AYQByAGsAZQB0AC0AYgBhAHMAZQBkACAAZQBtAGkAcwBzAGkAbwBuACAAZgBhAGMAdABvAHIAcwBcACIAKQApADsAXABuAFwAbgBFAGwAZQBjAHQAcgBpAGMAaQB0AHkAXwBTAGMAbwBwAGUAMgBNAGEAcgBrAGUAdABCAGEAcwBlAGQAXwBEAGUAcwBjAHIAaQBwAHQAaQBvAG4AXABuAD0ATABBAE0AQgBEAEEAKAAoAFwAIgBUAGEAYgBsAGUAIAAyAGEAIABJAG4AZABpAHIAZQBjAHQAIAAoAHMAYwBvAHAAZQAgADIAIABhAG4AZAAgAHMAYwBvAHAAZQAgADMAKQAgAGUAbQBpAHMAcwBpAG8AbgAgAGYAYQBjAHQAbwByAHMAIABmAHIAbwBtACAAYwBvAG4AcwB1AG0AcAB0AGkAbwBuACAAbwBmACAAcAB1AHIAYwBoAGEAcwBlAGQAIABvAHIAIABhAGMAcQB1AGkAcgBlAGQAIABlAGwAZQBjAHQAcgBpAGMAaQB0AHkAOgAgAG0AYQByAGsAZQB0AC0AYgBhAHMAZQBkACAAZgBhAGMAdABvAHIAcwAgAFwAIgApACkAOwBcAG4AXABuAEUAbABlAGMAdAByAGkAYwBpAHQAeQBfAFMAYwBvAHAAZQAyAFMAYwBvAHAAZQAzAE0AYQByAGsAZQB0AEIAYQBzAGUAZABfAFMAbwB1AHIAYwBlAFwAbgA9AEwAQQBNAEIARABBACgAKABcACIAQQB1AHMAdAByAGEAbABpAGEAbgAgAE4AYQB0AGkAbwBuAGEAbAAgAEcAcgBlAGUAbgBoAG8AdQBzAGUAIABBAGMAYwBvAHUAbgB0AHMAIABGAGEAYwB0AG8AcgBzACAAMgAwADIANQAgAC0AIABUAGEAYgBsAGUAIAAyAGEAXAAiACkAKQA7AFwAbgBcAG4ARQBsAGUAYwB0AHIAaQBjAGkAdAB5AF8AUwBjAG8AcABlADIAUwBjAG8AcABlADMATQBhAHIAawBlAHQAQgBhAHMAZQBkAF8ARABhAHQAYQBcAG4APQBMAEEATQBCAEQAQQAoAFwAbgAgACAATQBBAEsARQBBAFIAUgBBAFkAKAAyACwAIAA1ACwAXABuACAAIAAgACAATABBAE0AQgBEAEEAKAByACwAYwAsAFwAbgAgACAAIAAgACAAIABJAE4ARABFAFgAKAB7AFwAbgAgACAAIAAgACAAIAAgACAAXAAiAFMAdABhAHQAZQAsACAAVABlAHIAcgBpAHQAbwByAHkAIABvAHIAIABnAHIAaQBkACAAZABlAHMAYwByAGkAcAB0AGkAbwBuAFwAIgAsACAAXAAiAFMAYwBvAHAAZQAgADIAIABFAG0AaQBzAHMAaQBvAG4AIABGAGEAYwB0AG8AcgBzACAAKABrAGcAIABDAE8AMgAtAGUALwBrAFcAaAApAFwAIgAsACAAXAAiAFMAYwBvAHAAZQAgADIAIABFAG0AaQBzAHMAaQBvAG4AIABGAGEAYwB0AG8AcgBzACAAKABrAGcAIABDAE8AMgAtAGUALwBHAEoAKQBcACIALAAgAFwAIgBTAGMAbwBwAGUAIAAzACAARQBtAGkAcwBzAGkAbwBuACAARgBhAGMAdABvAHIAcwAgACgAawBnACAAQwBPADIAIAAtACAAZQAgAC8AIABrAFcAaAApAFwAIgAsACAAXAAiAFMAYwBvAHAAZQAgADMAIABFAG0AaQBzAHMAaQBvAG4AIABGAGEAYwB0AG8AcgBzACAAKABrAGcAIABDAE8AMgAgAC0AIABlACAALwAgAEcASgApAFwAIgA7AFwAbgAgACAAIAAgACAAIAAgACAAXAAiAE4AYQB0AGkAbwBuAGEAbABcACIALAAgADAALgA4ADEALAAgADIAMgA2ACwAIAAwAC4AMQAwACwAIAAyADkAXABuACAAIAAgACAAIAAgAH0ALAAgAHIALAAgAGMAKQBcAG4AKQApACkAOwBcAG4AXABuAEUAbABlAGMAdAByAGkAYwBpAHQAeQBfAFMAYwBvAHAAZQAyAFMAYwBvAHAAZQAzAE0AYQByAGsAZQB0AEIAYQBzAGUAZABfAFYAYQByAGkAYQB0AGkAbwBuAFwAbgA9AEwAQQBNAEIARABBACgAKABcACIAXAAiACkAKQA7ACIAfQAsAHsAIgBwAGEAdABoACIAOgAiAC8AcAByAG8AagBlAGMAdABzAC8AUwBjAG8AcABlADMAXwBTAG8AdQByAGMAZQBEAGEAdABhACIALAAiAHQAZQB4AHQAIgA6ACIAXABuAC8AKgBcAG4APQA9AD0APQA9AD0APQA9AD0APQA9AD0APQA9AD0APQA9AD0APQA9AD0APQA9AD0APQA9AD0APQA9AD0APQA9AD0APQA9AD0APQA9AD0APQA9AD0APQA9AD0APQA9AD0APQA9AD0APQA9AD0APQA9AD0APQA9AD0APQA9AD0APQA9AD0APQA9AD0APQA9AD0APQA9AD0APQBcAG4AQQBuAGkAbQBhAGwAcwBcAG4APQA9AD0APQA9AD0APQA9AD0APQA9AD0APQA9AD0APQA9AD0APQA9AD0APQA9AD0APQA9AD0APQA9AD0APQA9AD0APQA9AD0APQA9AD0APQA9AD0APQA9AD0APQA9AD0APQA9AD0APQA9AD0APQA9AD0APQA9AD0APQA9AD0APQA9AD0APQA9AD0APQA9AD0APQA9AD0APQBcAG4AKgAvAFwAbgBcAG4AUwBjAG8AcABlADMAXwBMAGkAdgBlAHMAdABvAGMAawBfAFQAaQB0AGwAZQBcAG4APQBMAEEATQBCAEQAQQAoACgAXAAiAEwAaQB2AGUAcwB0AG8AYwBrACAAcwBjAG8AcABlACAAMwBcACIAKQApADsAXABuAFwAbgBTAGMAbwBwAGUAMwBfAEwAaQB2AGUAcwB0AG8AYwBrAF8AUwBvAHUAcgBjAGUAXABuAD0ATABBAE0AQgBEAEEAKA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CkAOwBcAG4AXABuAFMAYwBvAHAAZQAzAF8ATABpAHYAZQBzAHQAbwBjAGsAXwBWAGEAcgBpAGEAdABpAG8AbgBcAG4APQBMAEEATQBCAEQAQQAoACgAXAAiAFwAIgApACkAOwBcAG4AXABuAFMAYwBvAHAAZQAzAF8ATABpAHYAZQBzAHQAbwBjAGsAXwBEAGEAdABhAFwAbgA9AEwAQQBNAEIARABBACgAXABuACAAIABNAEEASwBFAEEAUgBSAEEAWQAoADQAMgAsACAANwAsAFwAbgAgACAAIAAgAEwAQQBNAEIARABBACgAcgAsAGMALABcAG4AIAAgACAAIAAgACAASQBOAEQARQBYACgAewBcAG4AIAAgACAAIAAgACAAIAAgAFwAIgBDAGEAdABlAGcAbwByAHkAXAAiACwAIABcACIAUwB1AGIALQBjAGEAdABlAGcAbwByAHkAXAAiACwAIABcACIAUAByAG8AZAB1AGMAdAAgAG4AYQBtAGUAXAAiACwAIABcACIAUgBlAGcAaQBvAG4AIABvAGYAIABvAHIAaQBnAGkAbgBcACIALAAgAFwAIgBQAHIAbwBkAHUAYwB0ACAAVQBuAGkAdABcACIALAAgAFwAIgBHAEgARwAgAGUAbQBpAHMAcwBpAG8AbgAgAGkAbgB0AGUAbgBzAGkAdAB5AFwAIgAsACAAXAAiAFMAeQBzAHQAZQBtACAAYgBvAHUAbgBkAGEAcgB5AFwAIgA7AFwAbgAgACAAIAAgACAAIAAgACAAXAAiAEEAbgBpAG0AYQBsAHMAXAAiACwAIABcACIAQgBlAGUAZgAgAGMAYQB0AHQAbABlAFwAIgAsACAAXAAiAEMAYQB0AHQAbABlACwAIABmAG8AcgAgAG0AYQBuAHUAZgBhAGMAdAB1AHIAaQBuAGcAIABiAGUAZQBmAFwAIgAsACAAXAAiAEEAdQBzAHQAcgBhAGwAaQBhAFwAIgAsACAAXAAiAGsAZwAgAGwAaQB2AGUAdwBlAGkAZwBoAHQAXAAiACwAIAAxADEALAAgAFwAIgBhAHQAIABtAGEAcgBrAGUAdABcACIAOwBcAG4AIAAgACAAIAAgACAAIAAgAFwAIgBBAG4AaQBtAGEAbABzAFwAIgAsACAAXAAiAEIAZQBlAGYAIABjAGEAdAB0AGwAZQBcACIALAAgAFwAIgBDAGEAdAB0AGwAZQAsACAAZgBvAHIAIABtAGEAbgB1AGYAYQBjAHQAdQByAGkAbgBnACAAYgBlAGUAZgBcACIALAAgAFwAIgBOAFMAVwBcACIALAAgAFwAIgBrAGcAIABsAGkAdgBlAHcAZQBpAGcAaAB0AFwAIgAsACAAOAAuADIAMQAsACAAXAAiAGEAdAAgAG0AYQByAGsAZQB0AFwAIgA7AFwAbgAgACAAIAAgACAAIAAgACAAXAAiAEEAbgBpAG0AYQBsAHMAXAAiACwAIABcACIAQgBlAGUAZgAgAGMAYQB0AHQAbABlAFwAIgAsACAAXAAiAEMAYQB0AHQAbABlACwAIABmAG8AcgAgAG0AYQBuAHUAZgBhAGMAdAB1AHIAaQBuAGcAIABiAGUAZQBmAFwAIgAsACAAXAAiAE4AVABcACIALAAgAFwAIgBrAGcAIABsAGkAdgBlAHcAZQBpAGcAaAB0AFwAIgAsACAAMQAyAC4AMgAsACAAXAAiAGEAdAAgAG0AYQByAGsAZQB0AFwAIgA7AFwAbgAgACAAIAAgACAAIAAgACAAXAAiAEEAbgBpAG0AYQBsAHMAXAAiACwAIABcACIAQgBlAGUAZgAgAGMAYQB0AHQAbABlAFwAIgAsACAAXAAiAEMAYQB0AHQAbABlACwAIABmAG8AcgAgAG0AYQBuAHUAZgBhAGMAdAB1AHIAaQBuAGcAIABiAGUAZQBmAFwAIgAsACAAXAAiAFEATABEAFwAIgAsACAAXAAiAGsAZwAgAGwAaQB2AGUAdwBlAGkAZwBoAHQAXAAiACwAIAAxADAALgA5ACwAIABcACIAYQB0ACAAbQBhAHIAawBlAHQAXAAiADsAXABuACAAIAAgACAAIAAgACAAIABcACIAQQBuAGkAbQBhAGwAcwBcACIALAAgAFwAIgBCAGUAZQBmACAAYwBhAHQAdABsAGUAXAAiACwAIABcACIAQwBhAHQAdABsAGUALAAgAGYAbwByACAAbQBhAG4AdQBmAGEAYwB0AHUAcgBpAG4AZwAgAGIAZQBlAGYAXAAiACwAIABcACIAUwBBAFwAIgAsACAAXAAiAGsAZwAgAGwAaQB2AGUAdwBlAGkAZwBoAHQAXAAiACwAIAA3AC4ANgAzACwAIABcACIAYQB0ACAAbQBhAHIAawBlAHQAXAAiADsAXABuACAAIAAgACAAIAAgACAAIABcACIAQQBuAGkAbQBhAGwAcwBcACIALAAgAFwAIgBCAGUAZQBmACAAYwBhAHQAdABsAGUAXAAiACwAIABcACIAQwBhAHQAdABsAGUALAAgAGYAbwByACAAbQBhAG4AdQBmAGEAYwB0AHUAcgBpAG4AZwAgAGIAZQBlAGYAXAAiACwAIABcACIAVABBAFMAXAAiACwAIABcACIAawBnACAAbABpAHYAZQB3AGUAaQBnAGgAdABcACIALAAgADgALgA3ADUALAAgAFwAIgBhAHQAIABtAGEAcgBrAGUAdABcACIAOwBcAG4AIAAgACAAIAAgACAAIAAgAFwAIgBBAG4AaQBtAGEAbABzAFwAIgAsACAAXAAiAEIAZQBlAGYAIABjAGEAdAB0AGwAZQBcACIALAAgAFwAIgBDAGEAdAB0AGwAZQAsACAAZgBvAHIAIABtAGEAbgB1AGYAYQBjAHQAdQByAGkAbgBnACAAYgBlAGUAZgBcACIALAAgAFwAIgBWAEkAQwBcACIALAAgAFwAIgBrAGcAIABsAGkAdgBlAHcAZQBpAGcAaAB0AFwAIgAsACAAOAAuADEANwAsACAAXAAiAGEAdAAgAG0AYQByAGsAZQB0AFwAIgA7AFwAbgAgACAAIAAgACAAIAAgACAAXAAiAEEAbgBpAG0AYQBsAHMAXAAiACwAIABcACIAQgBlAGUAZgAgAGMAYQB0AHQAbABlAFwAIgAsACAAXAAiAEMAYQB0AHQAbABlACwAIABmAG8AcgAgAG0AYQBuAHUAZgBhAGMAdAB1AHIAaQBuAGcAIABiAGUAZQBmAFwAIgAsACAAXAAiAFcAQQBcACIALAAgAFwAIgBrAGcAIABsAGkAdgBlAHcAZQBpAGcAaAB0AFwAIgAsACAAMQAzAC4AMQAsACAAXAAiAGEAdAAgAG0AYQByAGsAZQB0AFwAIgA7AFwAbgAgACAAIAAgACAAIAAgACAAXAAiAEEAbgBpAG0AYQBsAHMAXAAiACwAIABcACIAQgBlAGUAZgAgAGMAYQB0AHQAbABlAFwAIgAsACAAXAAiAEMAYQB0AHQAbABlACwAIABmAG8AcgAgAHAAcgBpAG0AZQAgAGIAZQBlAGYAXAAiACwAIABcACIAQQB1AHMAdAByAGEAbABpAGEAXAAiACwAIABcACIAawBnACAAbABpAHYAZQB3AGUAaQBnAGgAdABcACIALAAgADEANAAuADUALAAgAFwAIgBhAHQAIABtAGEAcgBrAGUAdABcACIAOwBcAG4AIAAgACAAIAAgACAAIAAgAFwAIgBBAG4AaQBtAGEAbABzAFwAIgAsACAAXAAiAEIAZQBlAGYAIABjAGEAdAB0AGwAZQBcACIALAAgAFwAIgBDAGEAdAB0AGwAZQAsACAAZgBvAHIAIABwAHIAaQBtAGUAIABiAGUAZQBmAFwAIgAsACAAXAAiAE4AUwBXAFwAIgAsACAAXAAiAGsAZwAgAGwAaQB2AGUAdwBlAGkAZwBoAHQAXAAiACwAIAAxADEALgAzACwAIABcACIAYQB0ACAAbQBhAHIAawBlAHQAXAAiADsAXABuACAAIAAgACAAIAAgACAAIABcACIAQQBuAGkAbQBhAGwAcwBcACIALAAgAFwAIgBCAGUAZQBmACAAYwBhAHQAdABsAGUAXAAiACwAIABcACIAQwBhAHQAdABsAGUALAAgAGYAbwByACAAcAByAGkAbQBlACAAYgBlAGUAZgBcACIALAAgAFwAIgBOAFQAXAAiACwAIABcACIAawBnACAAbABpAHYAZQB3AGUAaQBnAGgAdABcACIALAAgADEAOAAuADkALAAgAFwAIgBhAHQAIABtAGEAcgBrAGUAdABcACIAOwBcAG4AIAAgACAAIAAgACAAIAAgAFwAIgBBAG4AaQBtAGEAbABzAFwAIgAsACAAXAAiAEIAZQBlAGYAIABjAGEAdAB0AGwAZQBcACIALAAgAFwAIgBDAGEAdAB0AGwAZQAsACAAZgBvAHIAIABwAHIAaQBtAGUAIABiAGUAZQBmAFwAIgAsACAAXAAiAFEATABEAFwAIgAsACAAXAAiAGsAZwAgAGwAaQB2AGUAdwBlAGkAZwBoAHQAXAAiACwAIAAxADMALgA5ACwAIABcACIAYQB0ACAAbQBhAHIAawBlAHQAXAAiADsAXABuACAAIAAgACAAIAAgACAAIABcACIAQQBuAGkAbQBhAGwAcwBcACIALAAgAFwAIgBCAGUAZQBmACAAYwBhAHQAdABsAGUAXAAiACwAIABcACIAQwBhAHQAdABsAGUALAAgAGYAbwByACAAcAByAGkAbQBlACAAYgBlAGUAZgBcACIALAAgAFwAIgBTAEEAXAAiACwAIABcACIAawBnACAAbABpAHYAZQB3AGUAaQBnAGgAdABcACIALAAgADEAMgAuADMALAAgAFwAIgBhAHQAIABtAGEAcgBrAGUAdABcACIAOwBcAG4AIAAgACAAIAAgACAAIAAgAFwAIgBBAG4AaQBtAGEAbABzAFwAIgAsACAAXAAiAEIAZQBlAGYAIABjAGEAdAB0AGwAZQBcACIALAAgAFwAIgBDAGEAdAB0AGwAZQAsACAAZgBvAHIAIABwAHIAaQBtAGUAIABiAGUAZQBmAFwAIgAsACAAXAAiAFQAQQBTAFwAIgAsACAAXAAiAGsAZwAgAGwAaQB2AGUAdwBlAGkAZwBoAHQAXAAiACwAIAAxADEALgA1ACwAIABcACIAYQB0ACAAbQBhAHIAawBlAHQAXAAiADsAXABuACAAIAAgACAAIAAgACAAIABcACIAQQBuAGkAbQBhAGwAcwBcACIALAAgAFwAIgBCAGUAZQBmACAAYwBhAHQAdABsAGUAXAAiACwAIABcACIAQwBhAHQAdABsAGUALAAgAGYAbwByACAAcAByAGkAbQBlACAAYgBlAGUAZgBcACIALAAgAFwAIgBWAEkAQwBcACIALAAgAFwAIgBrAGcAIABsAGkAdgBlAHcAZQBpAGcAaAB0AFwAIgAsACAAMQAxAC4ANQAsACAAXAAiAGEAdAAgAG0AYQByAGsAZQB0AFwAIgA7AFwAbgAgACAAIAAgACAAIAAgACAAXAAiAEEAbgBpAG0AYQBsAHMAXAAiACwAIABcACIAQgBlAGUAZgAgAGMAYQB0AHQAbABlAFwAIgAsACAAXAAiAEMAYQB0AHQAbABlACwAIABmAG8AcgAgAHAAcgBpAG0AZQAgAGIAZQBlAGYAXAAiACwAIABcACIAVwBBAFwAIgAsACAAXAAiAGsAZwAgAGwAaQB2AGUAdwBlAGkAZwBoAHQAXAAiACwAIAAyADAALgA4ACwAIABcACIAYQB0ACAAbQBhAHIAawBlAHQAXAAiADsAXABuACAAIAAgACAAIAAgACAAIABcACIAQQBuAGkAbQBhAGwAcwBcACIALAAgAFwAIgBCAGUAZQBmACAAYwBhAHQAdABsAGUAXAAiACwAIABcACIAQwBhAHQAdABsAGUALAAgAHcAZQBhAG4AZQByAHMAXAAiACwAIABcACIAQQB1AHMAdAByAGEAbABpAGEAXAAiACwAIABcACIAawBnACAAbABpAHYAZQB3AGUAaQBnAGgAdABcACIALAAgADEANQAuADUALAAgAFwAIgBhAHQAIABtAGEAcgBrAGUAdABcACIAOwBcAG4AIAAgACAAIAAgACAAIAAgAFwAIgBBAG4AaQBtAGEAbABzAFwAIgAsACAAXAAiAEIAZQBlAGYAIABjAGEAdAB0AGwAZQBcACIALAAgAFwAIgBDAGEAdAB0AGwAZQAsACAAdwBlAGEAbgBlAHIAcwBcACIALAAgAFwAIgBOAFMAVwBcACIALAAgAFwAIgBrAGcAIABsAGkAdgBlAHcAZQBpAGcAaAB0AFwAIgAsACAAMQAyAC4ANwAsACAAXAAiAGEAdAAgAG0AYQByAGsAZQB0AFwAIgA7AFwAbgAgACAAIAAgACAAIAAgACAAXAAiAEEAbgBpAG0AYQBsAHMAXAAiACwAIABcACIAQgBlAGUAZgAgAGMAYQB0AHQAbABlAFwAIgAsACAAXAAiAEMAYQB0AHQAbABlACwAIAB3AGUAYQBuAGUAcgBzAFwAIgAsACAAXAAiAE4AVABcACIALAAgAFwAIgBrAGcAIABsAGkAdgBlAHcAZQBpAGcAaAB0AFwAIgAsACAAMQA5AC4AMQAsACAAXAAiAGEAdAAgAG0AYQByAGsAZQB0AFwAIgA7AFwAbgAgACAAIAAgACAAIAAgACAAXAAiAEEAbgBpAG0AYQBsAHMAXAAiACwAIABcACIAQgBlAGUAZgAgAGMAYQB0AHQAbABlAFwAIgAsACAAXAAiAEMAYQB0AHQAbABlACwAIAB3AGUAYQBuAGUAcgBzAFwAIgAsACAAXAAiAFEATABEAFwAIgAsACAAXAAiAGsAZwAgAGwAaQB2AGUAdwBlAGkAZwBoAHQAXAAiACwAIAAyADAALgA1ACwAIABcACIAYQB0ACAAbQBhAHIAawBlAHQAXAAiADsAXABuACAAIAAgACAAIAAgACAAIABcACIAQQBuAGkAbQBhAGwAcwBcACIALAAgAFwAIgBCAGUAZQBmACAAYwBhAHQAdABsAGUAXAAiACwAIABcACIAQwBhAHQAdABsAGUALAAgAHcAZQBhAG4AZQByAHMAXAAiACwAIABcACIAUwBBAFwAIgAsACAAXAAiAGsAZwAgAGwAaQB2AGUAdwBlAGkAZwBoAHQAXAAiACwAIAAxADAALgA4ACwAIABcACIAYQB0ACAAbQBhAHIAawBlAHQAXAAiADsAXABuACAAIAAgACAAIAAgACAAIABcACIAQQBuAGkAbQBhAGwAcwBcACIALAAgAFwAIgBCAGUAZQBmACAAYwBhAHQAdABsAGUAXAAiACwAIABcACIAQwBhAHQAdABsAGUALAAgAHcAZQBhAG4AZQByAHMAXAAiACwAIABcACIAVABBAFMAXAAiACwAIABcACIAawBnACAAbABpAHYAZQB3AGUAaQBnAGgAdABcACIALAAgADEAMwAuADQALAAgAFwAIgBhAHQAIABtAGEAcgBrAGUAdABcACIAOwBcAG4AIAAgACAAIAAgACAAIAAgAFwAIgBBAG4AaQBtAGEAbABzAFwAIgAsACAAXAAiAEIAZQBlAGYAIABjAGEAdAB0AGwAZQBcACIALAAgAFwAIgBDAGEAdAB0AGwAZQAsACAAdwBlAGEAbgBlAHIAcwBcACIALAAgAFwAIgBWAEkAQwBcACIALAAgAFwAIgBrAGcAIABsAGkAdgBlAHcAZQBpAGcAaAB0AFwAIgAsACAAMQAyACwAIABcACIAYQB0ACAAbQBhAHIAawBlAHQAXAAiADsAXABuACAAIAAgACAAIAAgACAAIABcACIAQQBuAGkAbQBhAGwAcwBcACIALAAgAFwAIgBCAGUAZQBmACAAYwBhAHQAdABsAGUAXAAiACwAIABcACIAQwBhAHQAdABsAGUALAAgAHcAZQBhAG4AZQByAHMAXAAiACwAIABcACIAVwBBAFwAIgAsACAAXAAiAGsAZwAgAGwAaQB2AGUAdwBlAGkAZwBoAHQAXAAiACwAIAAxADIALgA0ACwAIABcACIAYQB0ACAAbQBhAHIAawBlAHQAXAAiADsAXABuACAAIAAgACAAIAAgACAAIABcACIAQQBuAGkAbQBhAGwAcwBcACIALAAgAFwAIgBDAGgAaQBjAGsAZQBuAHMAXAAiACwAIABcACIAQwBoAGkAYwBrAGUAbgBzAFwAIgAsACAAXAAiAEEAdQBzAHQAcgBhAGwAaQBhAFwAIgAsACAAXAAiAGsAZwAgAGwAaQB2AGUAdwBlAGkAZwBoAHQAXAAiACwAIAAxAC4AMwA2ACwAIABcACIAYQB0ACAAbQBhAHIAawBlAHQAXAAiADsAXABuACAAIAAgACAAIAAgACAAIABcACIAQQBuAGkAbQBhAGwAcwBcACIALAAgAFwAIgBEAGEAaQByAHkAIABjAGEAdAB0AGwAZQBcACIALAAgAFwAIgBEAGEAaQByAHkAIABjAG8AdwBzAFwAIgAsACAAXAAiAFYASQBDAFwAIgAsACAAXAAiAGsAZwAgAGwAaQB2AGUAdwBlAGkAZwBoAHQAXAAiACwAIAA0AC4ANAAxACwAIABcACIAYQB0ACAAbQBhAHIAawBlAHQAXAAiADsAXABuACAAIAAgACAAIAAgACAAIABcACIAQQBuAGkAbQBhAGwAcwBcACIALAAgAFwAIgBQAGkAZwBzAFwAIgAsACAAXAAiAFAAaQBnAHMAXAAiACwAIABcACIAQQB1AHMAdAByAGEAbABpAGEAXAAiACwAIABcACIAawBnACAAbABpAHYAZQB3AGUAaQBnAGgAdABcACIALAAgADMALgAzADgALAAgAFwAIgBhAHQAIABtAGEAcgBrAGUAdABcACIAOwBcAG4AIAAgACAAIAAgACAAIAAgAFwAIgBBAG4AaQBtAGEAbABzAFwAIgAsACAAXAAiAFMAaABlAGUAcABcACIALAAgAFwAIgBTAGgAZQBlAHAALAAgAGYAbwByACAAbQB1AHQAdABvAG4AXAAiACwAIABcACIAQQB1AHMAdAByAGEAbABpAGEAXAAiACwAIABcACIAawBnACAAbABpAHYAZQB3AGUAaQBnAGgAdABcACIALAAgADYALgA4ADEALAAgAFwAIgBhAHQAIABtAGEAcgBrAGUAdABcACIAOwBcAG4AIAAgACAAIAAgACAAIAAgAFwAIgBBAG4AaQBtAGEAbABzAFwAIgAsACAAXAAiAFMAaABlAGUAcABcACIALAAgAFwAIgBTAGgAZQBlAHAALAAgAGYAbwByACAAbQB1AHQAdABvAG4AXAAiACwAIABcACIATgBTAFcAXAAiACwAIABcACIAawBnACAAbABpAHYAZQB3AGUAaQBnAGgAdABcACIALAAgADIALgAyADYALAAgAFwAIgBhAHQAIABtAGEAcgBrAGUAdABcACIAOwBcAG4AIAAgACAAIAAgACAAIAAgAFwAIgBBAG4AaQBtAGEAbABzAFwAIgAsACAAXAAiAFMAaABlAGUAcABcACIALAAgAFwAIgBTAGgAZQBlAHAALAAgAGYAbwByACAAbQB1AHQAdABvAG4AXAAiACwAIABcACIAUQBMAEQAXAAiACwAIABcACIAawBnACAAbABpAHYAZQB3AGUAaQBnAGgAdABcACIALAAgADYALgAzADMALAAgAFwAIgBhAHQAIABtAGEAcgBrAGUAdABcACIAOwBcAG4AIAAgACAAIAAgACAAIAAgAFwAIgBBAG4AaQBtAGEAbABzAFwAIgAsACAAXAAiAFMAaABlAGUAcABcACIALAAgAFwAIgBTAGgAZQBlAHAALAAgAGYAbwByACAAbQB1AHQAdABvAG4AXAAiACwAIABcACIAUwBBAFwAIgAsACAAXAAiAGsAZwAgAGwAaQB2AGUAdwBlAGkAZwBoAHQAXAAiACwAIAA2AC4AMQA4ACwAIABcACIAYQB0ACAAbQBhAHIAawBlAHQAXAAiADsAXABuACAAIAAgACAAIAAgACAAIABcACIAQQBuAGkAbQBhAGwAcwBcACIALAAgAFwAIgBTAGgAZQBlAHAAXAAiACwAIABcACIAUwBoAGUAZQBwACwAIABmAG8AcgAgAG0AdQB0AHQAbwBuAFwAIgAsACAAXAAiAFQAQQBTAFwAIgAsACAAXAAiAGsAZwAgAGwAaQB2AGUAdwBlAGkAZwBoAHQAXAAiACwAIAA3AC4ANQAsACAAXAAiAGEAdAAgAG0AYQByAGsAZQB0AFwAIgA7AFwAbgAgACAAIAAgACAAIAAgACAAXAAiAEEAbgBpAG0AYQBsAHMAXAAiACwAIABcACIAUwBoAGUAZQBwAFwAIgAsACAAXAAiAFMAaABlAGUAcAAsACAAZgBvAHIAIABtAHUAdAB0AG8AbgBcACIALAAgAFwAIgBWAEkAQwBcACIALAAgAFwAIgBrAGcAIABsAGkAdgBlAHcAZQBpAGcAaAB0AFwAIgAsACAAOAAuADAAOAAsACAAXAAiAGEAdAAgAG0AYQByAGsAZQB0AFwAIgA7AFwAbgAgACAAIAAgACAAIAAgACAAXAAiAEEAbgBpAG0AYQBsAHMAXAAiACwAIABcACIAUwBoAGUAZQBwAFwAIgAsACAAXAAiAFMAaABlAGUAcAAsACAAZgBvAHIAIABtAHUAdAB0AG8AbgBcACIALAAgAFwAIgBXAEEAXAAiACwAIABcACIAawBnACAAbABpAHYAZQB3AGUAaQBnAGgAdABcACIALAAgADUALgA0ADUALAAgAFwAIgBhAHQAIABtAGEAcgBrAGUAdABcACIAOwBcAG4AIAAgACAAIAAgACAAIAAgAFwAIgBBAG4AaQBtAGEAbABzAFwAIgAsACAAXAAiAFMAaABlAGUAcABcACIALAAgAFwAIgBTAGgAZQBlAHAALAAgAGYAbwByACAAcAByAGkAbQBlACAAbABhAG0AYgBcACIALAAgAFwAIgBBAHUAcwB0AHIAYQBsAGkAYQBcACIALAAgAFwAIgBrAGcAIABsAGkAdgBlAHcAZQBpAGcAaAB0AFwAIgAsACAANwAuADEANQAsACAAXAAiAGEAdAAgAG0AYQByAGsAZQB0AFwAIgA7AFwAbgAgACAAIAAgACAAIAAgACAAXAAiAEEAbgBpAG0AYQBsAHMAXAAiACwAIABcACIAUwBoAGUAZQBwAFwAIgAsACAAXAAiAFMAaABlAGUAcAAsACAAZgBvAHIAIABwAHIAaQBtAGUAIABsAGEAbQBiAFwAIgAsACAAXAAiAE4AUwBXAFwAIgAsACAAXAAiAGsAZwAgAGwAaQB2AGUAdwBlAGkAZwBoAHQAXAAiACwAIAA4AC4AMgA5ACwAIABcACIAYQB0ACAAbQBhAHIAawBlAHQAXAAiADsAXABuACAAIAAgACAAIAAgACAAIABcACIAQQBuAGkAbQBhAGwAcwBcACIALAAgAFwAIgBTAGgAZQBlAHAAXAAiACwAIABcACIAUwBoAGUAZQBwACwAIABmAG8AcgAgAHAAcgBpAG0AZQAgAGwAYQBtAGIAXAAiACwAIABcACIAUQBMAEQAXAAiACwAIABcACIAawBnACAAbABpAHYAZQB3AGUAaQBnAGgAdABcACIALAAgADYALgAzADkALAAgAFwAIgBhAHQAIABtAGEAcgBrAGUAdABcACIAOwBcAG4AIAAgACAAIAAgACAAIAAgAFwAIgBBAG4AaQBtAGEAbABzAFwAIgAsACAAXAAiAFMAaABlAGUAcABcACIALAAgAFwAIgBTAGgAZQBlAHAALAAgAGYAbwByACAAcAByAGkAbQBlACAAbABhAG0AYgBcACIALAAgAFwAIgBTAEEAXAAiACwAIABcACIAawBnACAAbABpAHYAZQB3AGUAaQBnAGgAdABcACIALAAgADYALgA4ADcALAAgAFwAIgBhAHQAIABtAGEAcgBrAGUAdABcACIAOwBcAG4AIAAgACAAIAAgACAAIAAgAFwAIgBBAG4AaQBtAGEAbABzAFwAIgAsACAAXAAiAFMAaABlAGUAcABcACIALAAgAFwAIgBTAGgAZQBlAHAALAAgAGYAbwByACAAcAByAGkAbQBlACAAbABhAG0AYgBcACIALAAgAFwAIgBUAEEAUwBcACIALAAgAFwAIgBrAGcAIABsAGkAdgBlAHcAZQBpAGcAaAB0AFwAIgAsACAAOAAuADYANgAsACAAXAAiAGEAdAAgAG0AYQByAGsAZQB0AFwAIgA7AFwAbgAgACAAIAAgACAAIAAgACAAXAAiAEEAbgBpAG0AYQBsAHMAXAAiACwAIABcACIAUwBoAGUAZQBwAFwAIgAsACAAXAAiAFMAaABlAGUAcAAsACAAZgBvAHIAIABwAHIAaQBtAGUAIABsAGEAbQBiAFwAIgAsACAAXAAiAFYASQBDAFwAIgAsACAAXAAiAGsAZwAgAGwAaQB2AGUAdwBlAGkAZwBoAHQAXAAiACwAIAAxADAALAAgAFwAIgBhAHQAIABtAGEAcgBrAGUAdABcACIAOwBcAG4AIAAgACAAIAAgACAAIAAgAFwAIgBBAG4AaQBtAGEAbABzAFwAIgAsACAAXAAiAFMAaABlAGUAcABcACIALAAgAFwAIgBTAGgAZQBlAHAALAAgAGYAbwByACAAcAByAGkAbQBlACAAbABhAG0AYgBcACIALAAgAFwAIgBXAEEAXAAiACwAIABcACIAawBnACAAbABpAHYAZQB3AGUAaQBnAGgAdABcACIALAAgADUALgA2ADcALAAgAFwAIgBhAHQAIABtAGEAcgBrAGUAdABcACIAXABuACAAIAAgACAAIAAgAH0ALAAgAHIALAAgAGMAKQBcAG4AKQApACkAOwBcAG4AXABuAFwAbgAvACoAXABuAD0APQA9AD0APQA9AD0APQA9AD0APQA9AD0APQA9AD0APQA9AD0APQA9AD0APQA9AD0APQA9AD0APQA9AD0APQA9AD0APQA9AD0APQA9AD0APQA9AD0APQA9AD0APQA9AD0APQA9AD0APQA9AD0APQA9AD0APQA9AD0APQA9AD0APQA9AD0APQA9AD0APQA9AD0APQA9AD0AXABuAEMAaABlAG0AaQBjAGEAbABzAFwAbgA9AD0APQA9AD0APQA9AD0APQA9AD0APQA9AD0APQA9AD0APQA9AD0APQA9AD0APQA9AD0APQA9AD0APQA9AD0APQA9AD0APQA9AD0APQA9AD0APQA9AD0APQA9AD0APQA9AD0APQA9AD0APQA9AD0APQA9AD0APQA9AD0APQA9AD0APQA9AD0APQA9AD0APQA9AD0APQA9AFwAbgAqAC8AXABuAFwAbgBTAGMAbwBwAGUAMwBfAEMAaABlAG0AaQBjAGEAbABzAF8AVABpAHQAbABlAFwAbgA9AEwAQQBNAEIARABBACgAKABcACIAQwBoAGUAbQBpAGMAYQBsAHMAIABzAGMAbwBwAGUAIAAzAFwAIgApACkAOwBcAG4AXABuAFMAYwBvAHAAZQAzAF8AQwBoAGUAbQBpAGMAYQBsAHMAXwBTAG8AdQByAGMAZQBcAG4APQBMAEEATQBCAEQAQQAo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KQA7AFwAbgBcAG4AUwBjAG8AcABlADMAXwBDAGgAZQBtAGkAYwBhAGwAcwBfAFYAYQByAGkAYQB0AGkAbwBuAFwAbgA9AEwAQQBNAEIARABBACgAKABcACIAXAAiACkAKQA7AFwAbgBcAG4AUwBjAG8AcABlADMAXwBDAGgAZQBtAGkAYwBhAGwAcwBfAEQAYQB0AGEAXABuAD0ATABBAE0AQgBEAEEAKABcAG4AIAAgAE0AQQBLAEUAQQBSAFIAQQBZACgAOAAsACAANwAsAFwAbgAgACAAIAAgAEwAQQBNAEIARABBACgAcgAsAGMALABcAG4AIAAgACAAIAAgACAASQBOAEQARQBYACgAewBcAG4AIAAgACAAIAAgACAAIAAgAFwAIgBDAGEAdABlAGcAbwByAHkAXAAiACwAIABcACIAUwB1AGIALQBjAGEAdABlAGcAbwByAHkAXAAiACwAIABcACIAUAByAG8AZAB1AGMAdAAgAG4AYQBtAGUAXAAiACwAIABcACIAUgBlAGcAaQBvAG4AIABvAGYAIABvAHIAaQBnAGkAbgBcACIALAAgAFwAIgBQAHIAbwBkAHUAYwB0ACAAVQBuAGkAdABcACIALAAgAFwAIgBHAEgARwAgAGUAbQBpAHMAcwBpAG8AbgAgAGkAbgB0AGUAbgBzAGkAdAB5AFwAIgAsACAAXAAiAFMAeQBzAHQAZQBtACAAYgBvAHUAbgBkAGEAcgB5AFwAIgA7AFwAbgAgACAAIAAgACAAIAAgACAAXAAiAEMAaABlAG0AaQBjAGEAbABzAFwAIgAsACAAXAAiAEMAbABlAGEAbgBpAG4AZwAgAGMAaABlAG0AaQBjAGEAbABzAFwAIgAsACAAXAAiAEEAbABrAGEAbABpAG4AZQAgAGMAbABlAGEAbgBlAHIAXAAiACwAIABcACIARwBsAG8AYgBhAGwAXAAiACwAIABcACIAawBnAFwAIgAsACAAMAAuADcAMgAyACwAIABcACIAYQB0ACAAbQBhAG4AdQBmAGEAYwB0AHUAcgBlAHIAXAAiADsAXABuACAAIAAgACAAIAAgACAAIABcACIAQwBoAGUAbQBpAGMAYQBsAHMAXAAiACwAIABcACIAQwBsAGUAYQBuAGkAbgBnACAAYwBoAGUAbQBpAGMAYQBsAHMAXAAiACwAIABcACIAQgBsAGUAYQBjAGgAXAAiACwAIABcACIARwBsAG8AYgBhAGwAXAAiACwAIABcACIAawBnAFwAIgAsACAAMAAuADgAMAA0ACwAIABcACIAYQB0ACAAbQBhAG4AdQBmAGEAYwB0AHUAcgBlAHIAXAAiADsAXABuACAAIAAgACAAIAAgACAAIABcACIAQwBoAGUAbQBpAGMAYQBsAHMAXAAiACwAIABcACIAQwBsAGUAYQBuAGkAbgBnACAAYwBoAGUAbQBpAGMAYQBsAHMAXAAiACwAIABcACIAUABoAG8AcwBwAGgAbwByAGkAYwAgAGEAYwBpAGQAXAAiACwAIABcACIARwBsAG8AYgBhAGwAXAAiACwAIABcACIAawBnAFwAIgAsACAAMAAuADkAMAA3ACwAIABcACIAYQB0ACAAbQBhAG4AdQBmAGEAYwB0AHUAcgBlAHIAXAAiADsAXABuACAAIAAgACAAIAAgACAAIABcACIAQwBoAGUAbQBpAGMAYQBsAHMAXAAiACwAIABcACIAUABoAGEAcgBtAGEAYwB5ACAAYwBoAGUAbQBpAGMAYQBsAHMAXAAiACwAIABcACIAUABhAHIAYQBzAGkAdABlACAAYwBvAG4AdAByAG8AbAAgAGYAbwByACAAYwBhAHQAdABsAGUAIAAoAGUAeAB0AGUAcgBuAGEAbAApACwAIABkAGkAcABwAGkAbgBnAFwAIgAsACAAXAAiAEcAbABvAGIAYQBsAFwAIgAsACAAXAAiAHAAIAAoAGgAZQBhAGQAKQBcACIALAAgADAALgAwADUANAA3ACwAIABcACIAYQB0ACAAbQBhAG4AdQBmAGEAYwB0AHUAcgBlAHIAXAAiADsAXABuACAAIAAgACAAIAAgACAAIABcACIAQwBoAGUAbQBpAGMAYQBsAHMAXAAiACwAIABcACIAUABoAGEAcgBtAGEAYwB5ACAAYwBoAGUAbQBpAGMAYQBsAHMAXAAiACwAIABcACIAUABhAHIAYQBzAGkAdABlACAAYwBvAG4AdAByAG8AbAAgAGYAbwByACAAYwBhAHQAdABsAGUAIAAoAGkAbgB0AGUAcgBuAGEAbAApAFwAIgAsACAAXAAiAEcAbABvAGIAYQBsAFwAIgAsACAAXAAiAHAAIAAoAGgAZQBhAGQAKQBcACIALAAgADAALgAwADEANAAyACwAIABcACIAYQB0ACAAbQBhAG4AdQBmAGEAYwB0AHUAcgBlAHIAXAAiADsAXABuACAAIAAgACAAIAAgACAAIABcACIAQwBoAGUAbQBpAGMAYQBsAHMAXAAiACwAIABcACIAUABoAGEAcgBtAGEAYwB5ACAAYwBoAGUAbQBpAGMAYQBsAHMAXAAiACwAIABcACIAUABhAHIAYQBzAGkAdABlACAAYwBvAG4AdAByAG8AbAAgAGYAbwByACAAcwBoAGUAZQBwACAAKABlAHgAdABlAHIAbgBhAGwAKQBcACIALAAgAFwAIgBHAGwAbwBiAGEAbABcACIALAAgAFwAIgBwACAAKABoAGUAYQBkACkAXAAiACwAIAAwAC4AMAAxADQAMwAsACAAXAAiAGEAdAAgAG0AYQBuAHUAZgBhAGMAdAB1AHIAZQByAFwAIgA7AFwAbgAgACAAIAAgACAAIAAgACAAXAAiAEMAaABlAG0AaQBjAGEAbABzAFwAIgAsACAAXAAiAFAAaABhAHIAbQBhAGMAeQAgAGMAaABlAG0AaQBjAGEAbABzAFwAIgAsACAAXAAiAFAAYQByAGEAcwBpAHQAZQAgAGMAbwBuAHQAcgBvAGwAIABmAG8AcgAgAHMAaABlAGUAcAAgACgAaQBuAHQAZQByAG4AYQBsACkAXAAiACwAIABcACIARwBsAG8AYgBhAGwAXAAiACwAIABcACIAcAAgACgAaABlAGEAZAApAFwAIgAsACAAMAAuADAAMAA0ADIANgAsACAAXAAiAGEAdAAgAG0AYQBuAHUAZgBhAGMAdAB1AHIAZQByAFwAIgBcAG4AIAAgACAAIAAgACAAfQAsACAAcgAsACAAYwApAFwAbgApACkAKQA7AFwAbgBcAG4AXABuAC8AKgBcAG4APQA9AD0APQA9AD0APQA9AD0APQA9AD0APQA9AD0APQA9AD0APQA9AD0APQA9AD0APQA9AD0APQA9AD0APQA9AD0APQA9AD0APQA9AD0APQA9AD0APQA9AD0APQA9AD0APQA9AD0APQA9AD0APQA9AD0APQA9AD0APQA9AD0APQA9AD0APQA9AD0APQA9AD0APQA9AD0APQBcAG4ARgBlAGUAZABcAG4APQA9AD0APQA9AD0APQA9AD0APQA9AD0APQA9AD0APQA9AD0APQA9AD0APQA9AD0APQA9AD0APQA9AD0APQA9AD0APQA9AD0APQA9AD0APQA9AD0APQA9AD0APQA9AD0APQA9AD0APQA9AD0APQA9AD0APQA9AD0APQA9AD0APQA9AD0APQA9AD0APQA9AD0APQA9AD0APQBcAG4AKgAvAFwAbgBcAG4AUwBjAG8AcABlADMAXwBGAGUAZQBkAF8AVABpAHQAbABlAFwAbgA9AEwAQQBNAEIARABBACgAKABcACIARgBlAGUAZAAgAHMAYwBvAHAAZQAgADMAXAAiACkAKQA7AFwAbgBcAG4AUwBjAG8AcABlADMAXwBGAGUAZQBkAF8AUwBvAHUAcgBjAGUAXABuAD0ATABBAE0AQgBEAEEAKA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CkAOwBcAG4AXABuAFMAYwBvAHAAZQAzAF8ARgBlAGUAZABfAFYAYQByAGkAYQB0AGkAbwBuAFwAbgA9AEwAQQBNAEIARABBACgAKABcACIAXAAiACkAKQA7AFwAbgBcAG4AUwBjAG8AcABlADMAXwBGAGUAZQBkAF8ARABhAHQAYQBcAG4APQBMAEEATQBCAEQAQQAoAFwAbgAgACAATQBBAEsARQBBAFIAUgBBAFkAKAA3ADgALAAgADcALABcAG4AIAAgACAAIABMAEEATQBCAEQAQQAoAHIALABjACwAXABuACAAIAAgACAAIAAgAEkATgBEAEUAWAAoAHsAXABuACAAIAAgACAAIAAgACAAIABcACIAQwBhAHQAZQBnAG8AcgB5AFwAIgAsACAAXAAiAFMAdQBiAC0AYwBhAHQAZQBnAG8AcgB5AFwAIgAsACAAXAAiAFAAcgBvAGQAdQBjAHQAIABuAGEAbQBlAFwAIgAsACAAXAAiAFIAZQBnAGkAbwBuACAAbwBmACAAbwByAGkAZwBpAG4AXAAiACwAIABcACIAUAByAG8AZAB1AGMAdAAgAFUAbgBpAHQAXAAiACwAIABcACIARwBIAEcAIABlAG0AaQBzAHMAaQBvAG4AIABpAG4AdABlAG4AcwBpAHQAeQBcACIALAAgAFwAIgBTAHkAcwB0AGUAbQAgAGIAbwB1AG4AZABhAHIAeQBcACIAOwBcAG4AIAAgACAAIAAgACAAIAAgAFwAIgBGAGUAZQBkAFwAIgAsACAAXAAiAEEAcQB1AGEAYwB1AGwAdAB1AHIAZQAgAGYAZQBlAGQAXAAiACwAIABcACIAUwBhAHIAZABpAG4AZQBzACAAKAB3AGgAbwBsAGUAKQBcACIALAAgAFwAIgBTAEEAXAAiACwAIABcACIAawBnAFwAIgAsACAAMAAuADMANwA2ACwAIABcACIAYQB0ACAAbQBhAHIAawBlAHQAXAAiADsAXABuACAAIAAgACAAIAAgACAAIABcACIARgBlAGUAZABcACIALAAgAFwAIgBHAHIAYQBpAG4AXAAiACwAIABcACIAQgBhAHIAbABlAHkAIABnAHIAYQBpAG4AXAAiACwAIABcACIAQQB1AHMAdAByAGEAbABpAGEAXAAiACwAIABcACIAawBnAFwAIgAsACAAMAAuADIAMwA5ACwAIABcACIAYQB0ACAAbQBhAHIAawBlAHQAXAAiADsAXABuACAAIAAgACAAIAAgACAAIABcACIARgBlAGUAZABcACIALAAgAFwAIgBHAHIAYQBpAG4AXAAiACwAIABcACIAQgBhAHIAbABlAHkAIABnAHIAYQBpAG4AXAAiACwAIABcACIATgBTAFcAXAAiACwAIABcACIAawBnAFwAIgAsACAAMAAuADIANQA2ACwAIABcACIAYQB0ACAAbQBhAHIAawBlAHQAXAAiADsAXABuACAAIAAgACAAIAAgACAAIABcACIARgBlAGUAZABcACIALAAgAFwAIgBHAHIAYQBpAG4AXAAiACwAIABcACIAQgBhAHIAbABlAHkAIABnAHIAYQBpAG4AXAAiACwAIABcACIATgBUAFwAIgAsACAAXAAiAGsAZwBcACIALAAgADAALgAzADMAMgAsACAAXAAiAGEAdAAgAG0AYQByAGsAZQB0AFwAIgA7AFwAbgAgACAAIAAgACAAIAAgACAAXAAiAEYAZQBlAGQAXAAiACwAIABcACIARwByAGEAaQBuAFwAIgAsACAAXAAiAEIAYQByAGwAZQB5ACAAZwByAGEAaQBuAFwAIgAsACAAXAAiAFEATABEAFwAIgAsACAAXAAiAGsAZwBcACIALAAgADAALgAyADYAOQAsACAAXAAiAGEAdAAgAG0AYQByAGsAZQB0AFwAIgA7AFwAbgAgACAAIAAgACAAIAAgACAAXAAiAEYAZQBlAGQAXAAiACwAIABcACIARwByAGEAaQBuAFwAIgAsACAAXAAiAEIAYQByAGwAZQB5ACAAZwByAGEAaQBuAFwAIgAsACAAXAAiAFMAQQBcACIALAAgAFwAIgBrAGcAXAAiACwAIAAwAC4AMgAyADMALAAgAFwAIgBhAHQAIABtAGEAcgBrAGUAdABcACIAOwBcAG4AIAAgACAAIAAgACAAIAAgAFwAIgBGAGUAZQBkAFwAIgAsACAAXAAiAEcAcgBhAGkAbgBcACIALAAgAFwAIgBCAGEAcgBsAGUAeQAgAGcAcgBhAGkAbgBcACIALAAgAFwAIgBUAEEAUwBcACIALAAgAFwAIgBrAGcAXAAiACwAIAAwAC4AMwAwADcALAAgAFwAIgBhAHQAIABtAGEAcgBrAGUAdABcACIAOwBcAG4AIAAgACAAIAAgACAAIAAgAFwAIgBGAGUAZQBkAFwAIgAsACAAXAAiAEcAcgBhAGkAbgBcACIALAAgAFwAIgBCAGEAcgBsAGUAeQAgAGcAcgBhAGkAbgBcACIALAAgAFwAIgBWAEkAQwBcACIALAAgAFwAIgBrAGcAXAAiACwAIAAwAC4AMgA0ADEALAAgAFwAIgBhAHQAIABtAGEAcgBrAGUAdABcACIAOwBcAG4AIAAgACAAIAAgACAAIAAgAFwAIgBGAGUAZQBkAFwAIgAsACAAXAAiAEcAcgBhAGkAbgBcACIALAAgAFwAIgBCAGEAcgBsAGUAeQAgAGcAcgBhAGkAbgBcACIALAAgAFwAIgBXAEEAXAAiACwAIABcACIAawBnAFwAIgAsACAAMAAuADIAMwA2ACwAIABcACIAYQB0ACAAbQBhAHIAawBlAHQAXAAiADsAXABuACAAIAAgACAAIAAgACAAIABcACIARgBlAGUAZABcACIALAAgAFwAIgBHAHIAYQBpAG4AXAAiACwAIABcACIATQBhAGkAegBlACAAZwByAGEAaQBuAFwAIgAsACAAXAAiAEEAdQBzAHQAcgBhAGwAaQBhAFwAIgAsACAAXAAiAGsAZwBcACIALAAgADAALgAxADgAMQAsACAAXAAiAGEAdAAgAG0AYQByAGsAZQB0AFwAIgA7AFwAbgAgACAAIAAgACAAIAAgACAAXAAiAEYAZQBlAGQAXAAiACwAIABcACIARwByAGEAaQBuAFwAIgAsACAAXAAiAE0AYQBpAHoAZQAgAGcAcgBhAGkAbgBcACIALAAgAFwAIgBOAFMAVwBcACIALAAgAFwAIgBrAGcAXAAiACwAIAAwAC4AMQA2ADkALAAgAFwAIgBhAHQAIABtAGEAcgBrAGUAdABcACIAOwBcAG4AIAAgACAAIAAgACAAIAAgAFwAIgBGAGUAZQBkAFwAIgAsACAAXAAiAEcAcgBhAGkAbgBcACIALAAgAFwAIgBNAGEAaQB6AGUAIABnAHIAYQBpAG4AXAAiACwAIABcACIATgBUAFwAIgAsACAAXAAiAGsAZwBcACIALAAgADAALgAyADUANgAsACAAXAAiAGEAdAAgAG0AYQByAGsAZQB0AFwAIgA7AFwAbgAgACAAIAAgACAAIAAgACAAXAAiAEYAZQBlAGQAXAAiACwAIABcACIARwByAGEAaQBuAFwAIgAsACAAXAAiAE0AYQBpAHoAZQAgAGcAcgBhAGkAbgBcACIALAAgAFwAIgBRAEwARABcACIALAAgAFwAIgBrAGcAXAAiACwAIAAwAC4AMQA4ADYALAAgAFwAIgBhAHQAIABtAGEAcgBrAGUAdABcACIAOwBcAG4AIAAgACAAIAAgACAAIAAgAFwAIgBGAGUAZQBkAFwAIgAsACAAXAAiAEcAcgBhAGkAbgBcACIALAAgAFwAIgBNAGEAaQB6AGUAIABnAHIAYQBpAG4AXAAiACwAIABcACIAUwBBAFwAIgAsACAAXAAiAGsAZwBcACIALAAgADAALgAxADcANgAsACAAXAAiAGEAdAAgAG0AYQByAGsAZQB0AFwAIgA7AFwAbgAgACAAIAAgACAAIAAgACAAXAAiAEYAZQBlAGQAXAAiACwAIABcACIARwByAGEAaQBuAFwAIgAsACAAXAAiAE0AYQBpAHoAZQAgAGcAcgBhAGkAbgBcACIALAAgAFwAIgBWAEkAQwBcACIALAAgAFwAIgBrAGcAXAAiACwAIAAwAC4AMQA1ADkALAAgAFwAIgBhAHQAIABtAGEAcgBrAGUAdABcACIAOwBcAG4AIAAgACAAIAAgACAAIAAgAFwAIgBGAGUAZQBkAFwAIgAsACAAXAAiAEcAcgBhAGkAbgBcACIALAAgAFwAIgBNAGEAaQB6AGUAIABnAHIAYQBpAG4AXAAiACwAIABcACIAVwBBAFwAIgAsACAAXAAiAGsAZwBcACIALAAgADAALgAyADgANQAsACAAXAAiAGEAdAAgAG0AYQByAGsAZQB0AFwAIgA7AFwAbgAgACAAIAAgACAAIAAgACAAXAAiAEYAZQBlAGQAXAAiACwAIABcACIARwByAGEAaQBuAFwAIgAsACAAXAAiAFMAbwByAGcAaAB1AG0AIABnAHIAYQBpAG4AXAAiACwAIABcACIAQQB1AHMAdAByAGEAbABpAGEAXAAiACwAIABcACIAawBnAFwAIgAsACAAMAAuADIAMwAyACwAIABcACIAYQB0ACAAbQBhAHIAawBlAHQAXAAiADsAXABuACAAIAAgACAAIAAgACAAIABcACIARgBlAGUAZABcACIALAAgAFwAIgBHAHIAYQBpAG4AXAAiACwAIABcACIAUwBvAHIAZwBoAHUAbQAgAGcAcgBhAGkAbgBcACIALAAgAFwAIgBOAFMAVwBcACIALAAgAFwAIgBrAGcAXAAiACwAIAAwAC4AMgAzADIALAAgAFwAIgBhAHQAIABtAGEAcgBrAGUAdABcACIAOwBcAG4AIAAgACAAIAAgACAAIAAgAFwAIgBGAGUAZQBkAFwAIgAsACAAXAAiAEcAcgBhAGkAbgBcACIALAAgAFwAIgBTAG8AcgBnAGgAdQBtACAAZwByAGEAaQBuAFwAIgAsACAAXAAiAFEATABEAFwAIgAsACAAXAAiAGsAZwBcACIALAAgADAALgAyADMAMQAsACAAXAAiAGEAdAAgAG0AYQByAGsAZQB0AFwAIgA7AFwAbgAgACAAIAAgACAAIAAgACAAXAAiAEYAZQBlAGQAXAAiACwAIABcACIARwByAGEAaQBuAFwAIgAsACAAXAAiAFMAbwByAGcAaAB1AG0AIABnAHIAYQBpAG4AXAAiACwAIABcACIAUwBBAFwAIgAsACAAXAAiAGsAZwBcACIALAAgADAALgAyADEAOAAsACAAXAAiAGEAdAAgAG0AYQByAGsAZQB0AFwAIgA7AFwAbgAgACAAIAAgACAAIAAgACAAXAAiAEYAZQBlAGQAXAAiACwAIABcACIARwByAGEAaQBuAFwAIgAsACAAXAAiAFMAbwByAGcAaAB1AG0AIABnAHIAYQBpAG4AXAAiACwAIABcACIAVgBJAEMAXAAiACwAIABcACIAawBnAFwAIgAsACAAMAAuADIANAA2ACwAIABcACIAYQB0ACAAbQBhAHIAawBlAHQAXAAiADsAXABuACAAIAAgACAAIAAgACAAIABcACIARgBlAGUAZABcACIALAAgAFwAIgBHAHIAYQBpAG4AXAAiACwAIABcACIAVwBoAGUAYQB0ACAAZwByAGEAaQBuAFwAIgAsACAAXAAiAEEAdQBzAHQAcgBhAGwAaQBhAFwAIgAsACAAXAAiAGsAZwBcACIALAAgADAALgAyADYAOAAsACAAXAAiAGEAdAAgAG0AYQByAGsAZQB0AFwAIgA7AFwAbgAgACAAIAAgACAAIAAgACAAXAAiAEYAZQBlAGQAXAAiACwAIABcACIARwByAGEAaQBuAFwAIgAsACAAXAAiAFcAaABlAGEAdAAgAGcAcgBhAGkAbgBcACIALAAgAFwAIgBOAFMAVwBcACIALAAgAFwAIgBrAGcAXAAiACwAIAAwAC4AMgA4ADIALAAgAFwAIgBhAHQAIABtAGEAcgBrAGUAdABcACIAOwBcAG4AIAAgACAAIAAgACAAIAAgAFwAIgBGAGUAZQBkAFwAIgAsACAAXAAiAEcAcgBhAGkAbgBcACIALAAgAFwAIgBXAGgAZQBhAHQAIABnAHIAYQBpAG4AXAAiACwAIABcACIATgBUAFwAIgAsACAAXAAiAGsAZwBcACIALAAgADAALgAzADgANQAsACAAXAAiAGEAdAAgAG0AYQByAGsAZQB0AFwAIgA7AFwAbgAgACAAIAAgACAAIAAgACAAXAAiAEYAZQBlAGQAXAAiACwAIABcACIARwByAGEAaQBuAFwAIgAsACAAXAAiAFcAaABlAGEAdAAgAGcAcgBhAGkAbgBcACIALAAgAFwAIgBRAEwARABcACIALAAgAFwAIgBrAGcAXAAiACwAIAAwAC4AMgA5ADYALAAgAFwAIgBhAHQAIABtAGEAcgBrAGUAdABcACIAOwBcAG4AIAAgACAAIAAgACAAIAAgAFwAIgBGAGUAZQBkAFwAIgAsACAAXAAiAEcAcgBhAGkAbgBcACIALAAgAFwAIgBXAGgAZQBhAHQAIABnAHIAYQBpAG4AXAAiACwAIABcACIAUwBBAFwAIgAsACAAXAAiAGsAZwBcACIALAAgADAALgAyADQAMQAsACAAXAAiAGEAdAAgAG0AYQByAGsAZQB0AFwAIgA7AFwAbgAgACAAIAAgACAAIAAgACAAXAAiAEYAZQBlAGQAXAAiACwAIABcACIARwByAGEAaQBuAFwAIgAsACAAXAAiAFcAaABlAGEAdAAgAGcAcgBhAGkAbgBcACIALAAgAFwAIgBUAEEAUwBcACIALAAgAFwAIgBrAGcAXAAiACwAIAAwAC4AMwAzADgALAAgAFwAIgBhAHQAIABtAGEAcgBrAGUAdABcACIAOwBcAG4AIAAgACAAIAAgACAAIAAgAFwAIgBGAGUAZQBkAFwAIgAsACAAXAAiAEcAcgBhAGkAbgBcACIALAAgAFwAIgBXAGgAZQBhAHQAIABnAHIAYQBpAG4AXAAiACwAIABcACIAVgBJAEMAXAAiACwAIABcACIAawBnAFwAIgAsACAAMAAuADIANgA2ACwAIABcACIAYQB0ACAAbQBhAHIAawBlAHQAXAAiADsAXABuACAAIAAgACAAIAAgACAAIABcACIARgBlAGUAZABcACIALAAgAFwAIgBHAHIAYQBpAG4AXAAiACwAIABcACIAVwBoAGUAYQB0ACAAZwByAGEAaQBuAFwAIgAsACAAXAAiAFcAQQBcACIALAAgAFwAIgBrAGcAXAAiACwAIAAwAC4AMgA2ADEALAAgAFwAIgBhAHQAIABtAGEAcgBrAGUAdABcACIAOwBcAG4AIAAgACAAIAAgACAAIAAgAFwAIgBGAGUAZQBkAFwAIgAsACAAXAAiAEgAYQB5AFwAIgAsACAAXAAiAEMAZQByAGUAYQBsACAAaABhAHkAXAAiACwAIABcACIAQQB1AHMAdAByAGEAbABpAGEAXAAiACwAIABcACIAawBnAFwAIgAsACAAMAAuADEAMQA3ACwAIABcACIAYQB0ACAAbQBhAHIAawBlAHQAXAAiADsAXABuACAAIAAgACAAIAAgACAAIABcACIARgBlAGUAZABcACIALAAgAFwAIgBIAGEAeQBcACIALAAgAFwAIgBDAGUAcgBlAGEAbAAgAGgAYQB5AFwAIgAsACAAXAAiAE4AUwBXAFwAIgAsACAAXAAiAGsAZwBcACIALAAgADAALgAxADEANgAsACAAXAAiAGEAdAAgAG0AYQByAGsAZQB0AFwAIgA7AFwAbgAgACAAIAAgACAAIAAgACAAXAAiAEYAZQBlAGQAXAAiACwAIABcACIASABhAHkAXAAiACwAIABcACIAQwBlAHIAZQBhAGwAIABoAGEAeQBcACIALAAgAFwAIgBRAEwARABcACIALAAgAFwAIgBrAGcAXAAiACwAIAAwAC4AMQAxADgALAAgAFwAIgBhAHQAIABtAGEAcgBrAGUAdABcACIAOwBcAG4AIAAgACAAIAAgACAAIAAgAFwAIgBGAGUAZQBkAFwAIgAsACAAXAAiAEgAYQB5AFwAIgAsACAAXAAiAEMAZQByAGUAYQBsACAAaABhAHkAXAAiACwAIABcACIAUwBBAFwAIgAsACAAXAAiAGsAZwBcACIALAAgADAALgAxADEAMQAsACAAXAAiAGEAdAAgAG0AYQByAGsAZQB0AFwAIgA7AFwAbgAgACAAIAAgACAAIAAgACAAXAAiAEYAZQBlAGQAXAAiACwAIABcACIASABhAHkAXAAiACwAIABcACIAQwBlAHIAZQBhAGwAIABoAGEAeQBcACIALAAgAFwAIgBUAEEAUwBcACIALAAgAFwAIgBrAGcAXAAiACwAIAAwAC4AMQAzADkALAAgAFwAIgBhAHQAIABtAGEAcgBrAGUAdABcACIAOwBcAG4AIAAgACAAIAAgACAAIAAgAFwAIgBGAGUAZQBkAFwAIgAsACAAXAAiAEgAYQB5AFwAIgAsACAAXAAiAEMAZQByAGUAYQBsACAAaABhAHkAXAAiACwAIABcACIAVgBJAEMAXAAiACwAIABcACIAawBnAFwAIgAsACAAMAAuADEAMQA2ACwAIABcACIAYQB0ACAAbQBhAHIAawBlAHQAXAAiADsAXABuACAAIAAgACAAIAAgACAAIABcACIARgBlAGUAZABcACIALAAgAFwAIgBIAGEAeQBcACIALAAgAFwAIgBDAGUAcgBlAGEAbAAgAGgAYQB5AFwAIgAsACAAXAAiAFcAQQBcACIALAAgAFwAIgBrAGcAXAAiACwAIAAwAC4AMQAyADIALAAgAFwAIgBhAHQAIABtAGEAcgBrAGUAdABcACIAOwBcAG4AIAAgACAAIAAgACAAIAAgAFwAIgBGAGUAZQBkAFwAIgAsACAAXAAiAEgAYQB5AFwAIgAsACAAXAAiAEMAZQByAGUAYQBsACAAcwBpAGwAYQBnAGUAXAAiACwAIABcACIAQQB1AHMAdAByAGEAbABpAGEAXAAiACwAIABcACIAawBnAFwAIgAsACAAMAAuADAANwA0ADQALAAgAFwAIgBhAHQAIABtAGEAcgBrAGUAdABcACIAOwBcAG4AIAAgACAAIAAgACAAIAAgAFwAIgBGAGUAZQBkAFwAIgAsACAAXAAiAEgAYQB5AFwAIgAsACAAXAAiAEMAZQByAGUAYQBsACAAcwBpAGwAYQBnAGUAXAAiACwAIABcACIATgBTAFcAXAAiACwAIABcACIAawBnAFwAIgAsACAAMAAuADAANwAzADkALAAgAFwAIgBhAHQAIABtAGEAcgBrAGUAdABcACIAOwBcAG4AIAAgACAAIAAgACAAIAAgAFwAIgBGAGUAZQBkAFwAIgAsACAAXAAiAEgAYQB5AFwAIgAsACAAXAAiAEMAZQByAGUAYQBsACAAcwBpAGwAYQBnAGUAXAAiACwAIABcACIAUQBMAEQAXAAiACwAIABcACIAawBnAFwAIgAsACAAMAAuADAANwA5ACwAIABcACIAYQB0ACAAbQBhAHIAawBlAHQAXAAiADsAXABuACAAIAAgACAAIAAgACAAIABcACIARgBlAGUAZABcACIALAAgAFwAIgBIAGEAeQBcACIALAAgAFwAIgBDAGUAcgBlAGEAbAAgAHMAaQBsAGEAZwBlAFwAIgAsACAAXAAiAFMAQQBcACIALAAgAFwAIgBrAGcAXAAiACwAIAAwAC4AMAA3ADAANgAsACAAXAAiAGEAdAAgAG0AYQByAGsAZQB0AFwAIgA7AFwAbgAgACAAIAAgACAAIAAgACAAXAAiAEYAZQBlAGQAXAAiACwAIABcACIASABhAHkAXAAiACwAIABcACIAQwBlAHIAZQBhAGwAIABzAGkAbABhAGcAZQBcACIALAAgAFwAIgBUAEEAUwBcACIALAAgAFwAIgBrAGcAXAAiACwAIAAwAC4AMAA4ADAAOAAsACAAXAAiAGEAdAAgAG0AYQByAGsAZQB0AFwAIgA7AFwAbgAgACAAIAAgACAAIAAgACAAXAAiAEYAZQBlAGQAXAAiACwAIABcACIASABhAHkAXAAiACwAIABcACIAQwBlAHIAZQBhAGwAIABzAGkAbABhAGcAZQBcACIALAAgAFwAIgBWAEkAQwBcACIALAAgAFwAIgBrAGcAXAAiACwAIAAwAC4AMAA3ADMANgAsACAAXAAiAGEAdAAgAG0AYQByAGsAZQB0AFwAIgA7AFwAbgAgACAAIAAgACAAIAAgACAAXAAiAEYAZQBlAGQAXAAiACwAIABcACIASABhAHkAXAAiACwAIABcACIATAB1AGMAZQByAG4AZQAgAGgAYQB5AFwAIgAsACAAXAAiAEEAdQBzAHQAcgBhAGwAaQBhAFwAIgAsACAAXAAiAGsAZwBcACIALAAgADAALgAxADEANwAsACAAXAAiAGEAdAAgAG0AYQByAGsAZQB0AFwAIgA7AFwAbgAgACAAIAAgACAAIAAgACAAXAAiAEYAZQBlAGQAXAAiACwAIABcACIASABhAHkAXAAiACwAIABcACIATAB1AGMAZQByAG4AZQAgAGgAYQB5AFwAIgAsACAAXAAiAE4AUwBXAFwAIgAsACAAXAAiAGsAZwBcACIALAAgADAALgAxADEAMwAsACAAXAAiAGEAdAAgAG0AYQByAGsAZQB0AFwAIgA7AFwAbgAgACAAIAAgACAAIAAgACAAXAAiAEYAZQBlAGQAXAAiACwAIABcACIASABhAHkAXAAiACwAIABcACIATAB1AGMAZQByAG4AZQAgAGgAYQB5AFwAIgAsACAAXAAiAFEATABEAFwAIgAsACAAXAAiAGsAZwBcACIALAAgADAALgAxADQAMwAsACAAXAAiAGEAdAAgAG0AYQByAGsAZQB0AFwAIgA7AFwAbgAgACAAIAAgACAAIAAgACAAXAAiAEYAZQBlAGQAXAAiACwAIABcACIASABhAHkAXAAiACwAIABcACIATAB1AGMAZQByAG4AZQAgAGgAYQB5AFwAIgAsACAAXAAiAFMAQQBcACIALAAgAFwAIgBrAGcAXAAiACwAIAAwAC4AMQAwADYALAAgAFwAIgBhAHQAIABtAGEAcgBrAGUAdABcACIAOwBcAG4AIAAgACAAIAAgACAAIAAgAFwAIgBGAGUAZQBkAFwAIgAsACAAXAAiAEgAYQB5AFwAIgAsACAAXAAiAEwAdQBjAGUAcgBuAGUAIABoAGEAeQBcACIALAAgAFwAIgBUAEEAUwBcACIALAAgAFwAIgBrAGcAXAAiACwAIAAwAC4AMQAxADMALAAgAFwAIgBhAHQAIABtAGEAcgBrAGUAdABcACIAOwBcAG4AIAAgACAAIAAgACAAIAAgAFwAIgBGAGUAZQBkAFwAIgAsACAAXAAiAEgAYQB5AFwAIgAsACAAXAAiAEwAdQBjAGUAcgBuAGUAIABoAGEAeQBcACIALAAgAFwAIgBWAEkAQwBcACIALAAgAFwAIgBrAGcAXAAiACwAIAAwAC4AMQAwADYALAAgAFwAIgBhAHQAIABtAGEAcgBrAGUAdABcACIAOwBcAG4AIAAgACAAIAAgACAAIAAgAFwAIgBGAGUAZQBkAFwAIgAsACAAXAAiAEgAYQB5AFwAIgAsACAAXAAiAE0AYQBpAHoAZQAgAHMAaQBsAGEAZwBlAFwAIgAsACAAXAAiAFYASQBDAFwAIgAsACAAXAAiAGsAZwBcACIALAAgADAALgAxADYAMwAsACAAXAAiAGEAdAAgAG0AYQByAGsAZQB0AFwAIgA7AFwAbgAgACAAIAAgACAAIAAgACAAXAAiAEYAZQBlAGQAXAAiACwAIABcACIASABhAHkAXAAiACwAIABcACIATwBhAHQAZQBuACAAaABhAHkAXAAiACwAIABcACIAQQB1AHMAdAByAGEAbABpAGEAXAAiACwAIABcACIAawBnAFwAIgAsACAAMAAuADEAMgAsACAAXAAiAGEAdAAgAG0AYQByAGsAZQB0AFwAIgA7AFwAbgAgACAAIAAgACAAIAAgACAAXAAiAEYAZQBlAGQAXAAiACwAIABcACIASABhAHkAXAAiACwAIABcACIATwBhAHQAZQBuACAAaABhAHkAXAAiACwAIABcACIATgBTAFcAXAAiACwAIABcACIAawBnAFwAIgAsACAAMAAuADEAMQA5ACwAIABcACIAYQB0ACAAbQBhAHIAawBlAHQAXAAiADsAXABuACAAIAAgACAAIAAgACAAIABcACIARgBlAGUAZABcACIALAAgAFwAIgBIAGEAeQBcACIALAAgAFwAIgBPAGEAdABlAG4AIABoAGEAeQBcACIALAAgAFwAIgBRAEwARABcACIALAAgAFwAIgBrAGcAXAAiACwAIAAwAC4AMQAxADcALAAgAFwAIgBhAHQAIABtAGEAcgBrAGUAdABcACIAOwBcAG4AIAAgACAAIAAgACAAIAAgAFwAIgBGAGUAZQBkAFwAIgAsACAAXAAiAEgAYQB5AFwAIgAsACAAXAAiAE8AYQB0AGUAbgAgAGgAYQB5AFwAIgAsACAAXAAiAFMAQQBcACIALAAgAFwAIgBrAGcAXAAiACwAIAAwAC4AMQAxADQALAAgAFwAIgBhAHQAIABtAGEAcgBrAGUAdABcACIAOwBcAG4AIAAgACAAIAAgACAAIAAgAFwAIgBGAGUAZQBkAFwAIgAsACAAXAAiAEgAYQB5AFwAIgAsACAAXAAiAE8AYQB0AGUAbgAgAGgAYQB5AFwAIgAsACAAXAAiAFYASQBDAFwAIgAsACAAXAAiAGsAZwBcACIALAAgADAALgAxADEAOAAsACAAXAAiAGEAdAAgAG0AYQByAGsAZQB0AFwAIgA7AFwAbgAgACAAIAAgACAAIAAgACAAXAAiAEYAZQBlAGQAXAAiACwAIABcACIASABhAHkAXAAiACwAIABcACIATwBhAHQAZQBuACAAaABhAHkAXAAiACwAIABcACIAVwBBAFwAIgAsACAAXAAiAGsAZwBcACIALAAgADAALgAxADIANAAsACAAXAAiAGEAdAAgAG0AYQByAGsAZQB0AFwAIgA7AFwAbgAgACAAIAAgACAAIAAgACAAXAAiAEYAZQBlAGQAXAAiACwAIABcACIASABhAHkAXAAiACwAIABcACIAUABhAHMAdAB1AHIAZQAgAGgAYQB5AFwAIgAsACAAXAAiAEEAdQBzAHQAcgBhAGwAaQBhAFwAIgAsACAAXAAiAGsAZwBcACIALAAgADAALgAzADMAOQAsACAAXAAiAGEAdAAgAG0AYQByAGsAZQB0AFwAIgA7AFwAbgAgACAAIAAgACAAIAAgACAAXAAiAEYAZQBlAGQAXAAiACwAIABcACIASABhAHkAXAAiACwAIABcACIAUABhAHMAdAB1AHIAZQAgAGgAYQB5AFwAIgAsACAAXAAiAE4AUwBXAFwAIgAsACAAXAAiAGsAZwBcACIALAAgADAALgAzADEAMQAsACAAXAAiAGEAdAAgAG0AYQByAGsAZQB0AFwAIgA7AFwAbgAgACAAIAAgACAAIAAgACAAXAAiAEYAZQBlAGQAXAAiACwAIABcACIASABhAHkAXAAiACwAIABcACIAUABhAHMAdAB1AHIAZQAgAGgAYQB5AFwAIgAsACAAXAAiAFEATABEAFwAIgAsACAAXAAiAGsAZwBcACIALAAgADAALgAyADUANAAsACAAXAAiAGEAdAAgAG0AYQByAGsAZQB0AFwAIgA7AFwAbgAgACAAIAAgACAAIAAgACAAXAAiAEYAZQBlAGQAXAAiACwAIABcACIASABhAHkAXAAiACwAIABcACIAUABhAHMAdAB1AHIAZQAgAGgAYQB5AFwAIgAsACAAXAAiAFMAQQBcACIALAAgAFwAIgBrAGcAXAAiACwAIAAwAC4AMwAxADMALAAgAFwAIgBhAHQAIABtAGEAcgBrAGUAdABcACIAOwBcAG4AIAAgACAAIAAgACAAIAAgAFwAIgBGAGUAZQBkAFwAIgAsACAAXAAiAEgAYQB5AFwAIgAsACAAXAAiAFAAYQBzAHQAdQByAGUAIABoAGEAeQBcACIALAAgAFwAIgBUAEEAUwBcACIALAAgAFwAIgBrAGcAXAAiACwAIAAwAC4AMwA5ADgALAAgAFwAIgBhAHQAIABtAGEAcgBrAGUAdABcACIAOwBcAG4AIAAgACAAIAAgACAAIAAgAFwAIgBGAGUAZQBkAFwAIgAsACAAXAAiAEgAYQB5AFwAIgAsACAAXAAiAFAAYQBzAHQAdQByAGUAIABoAGEAeQBcACIALAAgAFwAIgBWAEkAQwBcACIALAAgAFwAIgBrAGcAXAAiACwAIAAwAC4AMwA0ADUALAAgAFwAIgBhAHQAIABtAGEAcgBrAGUAdABcACIAOwBcAG4AIAAgACAAIAAgACAAIAAgAFwAIgBGAGUAZQBkAFwAIgAsACAAXAAiAEgAYQB5AFwAIgAsACAAXAAiAFAAYQBzAHQAdQByAGUAIABoAGEAeQBcACIALAAgAFwAIgBXAEEAXAAiACwAIABcACIAawBnAFwAIgAsACAAMAAuADMANgA4ACwAIABcACIAYQB0ACAAbQBhAHIAawBlAHQAXAAiADsAXABuACAAIAAgACAAIAAgACAAIABcACIARgBlAGUAZABcACIALAAgAFwAIgBNAGUAYQBsAFwAIgAsACAAXAAiAEMAYQBuAG8AbABhACAAbQBlAGEAbABcACIALAAgAFwAIgBBAHUAcwB0AHIAYQBsAGkAYQBcACIALAAgAFwAIgBrAGcAXAAiACwAIAAwAC4AMgA0ADQALAAgAFwAIgBhAHQAIABtAGEAcgBrAGUAdABcACIAOwBcAG4AIAAgACAAIAAgACAAIAAgAFwAIgBGAGUAZQBkAFwAIgAsACAAXAAiAE0AZQBhAGwAXAAiACwAIABcACIATQBlAGEAdAAgAG0AZQBhAGwAXAAiACwAIABcACIAQQB1AHMAdAByAGEAbABpAGEAXAAiACwAIABcACIAawBnAFwAIgAsACAAMAAuADQAMAA4ACwAIABcACIAYQB0ACAAbQBhAHIAawBlAHQAXAAiADsAXABuACAAIAAgACAAIAAgACAAIABcACIARgBlAGUAZABcACIALAAgAFwAIgBNAGUAYQBsAFwAIgAsACAAXAAiAFMAbwB5AGIAZQBhAG4AIABtAGUAYQBsAFwAIgAsACAAXAAiAEIAcgBhAHoAaQBsAFwAIgAsACAAXAAiAGsAZwBcACIALAAgADAALgA0ADIANgAsACAAXAAiAGEAdAAgAG0AYQByAGsAZQB0AFwAIgA7AFwAbgAgACAAIAAgACAAIAAgACAAXAAiAEYAZQBlAGQAXAAiACwAIABcACIATQBlAGEAbABcACIALAAgAFwAIgBXAGgAZQBhAHQAIABiAHIAYQBuAFwAIgAsACAAXAAiAEEAdQBzAHQAcgBhAGwAaQBhAFwAIgAsACAAXAAiAGsAZwBcACIALAAgADAALgAxADkANgAsACAAXAAiAGEAdAAgAG0AYQByAGsAZQB0AFwAIgA7AFwAbgAgACAAIAAgACAAIAAgACAAXAAiAEYAZQBlAGQAXAAiACwAIABcACIATQBpAHgAZQBkACAAcgBhAHQAaQBvAG4AcwBcACIALAAgAFwAIgBGAGUAZQBkACAAZgBvAHIAIABjAGgAaQBjAGsAZQBuAHMAXAAiACwAIABcACIAQQB1AHMAdAByAGEAbABpAGEAXAAiACwAIABcACIAawBnAFwAIgAsACAAMAAuADUAOQA0ACwAIABcACIAYQB0ACAAbQBhAHIAawBlAHQAXAAiADsAXABuACAAIAAgACAAIAAgACAAIABcACIARgBlAGUAZABcACIALAAgAFwAIgBNAGkAeABlAGQAIAByAGEAdABpAG8AbgBzAFwAIgAsACAAXAAiAEYAZQBlAGQAIABmAG8AcgAgAGQAYQBpAHIAeQAgAGMAYQBsAHYAZQBzAFwAIgAsACAAXAAiAEEAdQBzAHQAcgBhAGwAaQBhAFwAIgAsACAAXAAiAGsAZwBcACIALAAgADAALgA0ADEAOQAsACAAXAAiAGEAdAAgAG0AYQByAGsAZQB0AFwAIgA7AFwAbgAgACAAIAAgACAAIAAgACAAXAAiAEYAZQBlAGQAXAAiACwAIABcACIATQBpAHgAZQBkACAAcgBhAHQAaQBvAG4AcwBcACIALAAgAFwAIgBGAGUAZQBkACAAZgBvAHIAIABkAGEAaQByAHkAIABjAG8AdwBzAFwAIgAsACAAXAAiAEEAdQBzAHQAcgBhAGwAaQBhAFwAIgAsACAAXAAiAGsAZwBcACIALAAgADAALgAzADMAMwAsACAAXAAiAGEAdAAgAG0AYQByAGsAZQB0AFwAIgA7AFwAbgAgACAAIAAgACAAIAAgACAAXAAiAEYAZQBlAGQAXAAiACwAIABcACIATQBpAHgAZQBkACAAcgBhAHQAaQBvAG4AcwBcACIALAAgAFwAIgBGAGUAZQBkACAAZgBvAHIAIABwAGkAZwBzAFwAIgAsACAAXAAiAEEAdQBzAHQAcgBhAGwAaQBhAFwAIgAsACAAXAAiAGsAZwBcACIALAAgADAALgA0ADAAMwAsACAAXAAiAGEAdAAgAG0AYQByAGsAZQB0AFwAIgA7AFwAbgAgACAAIAAgACAAIAAgACAAXAAiAEYAZQBlAGQAXAAiACwAIABcACIATwB0AGgAZQByAFwAIgAsACAAXAAiAEIAZQBuAHQAbwBuAGkAdABlAFwAIgAsACAAXAAiAEEAdQBzAHQAcgBhAGwAaQBhAFwAIgAsACAAXAAiAGsAZwBcACIALAAgADAALgAwADYANQAyACwAIABcACIAYQB0ACAAbQBhAHIAawBlAHQAXAAiADsAXABuACAAIAAgACAAIAAgACAAIABcACIARgBlAGUAZABcACIALAAgAFwAIgBPAHQAaABlAHIAXAAiACwAIABcACIAQwBhAG4AbwBsAGEAIABvAGkAbABcACIALAAgAFwAIgBBAHUAcwB0AHIAYQBsAGkAYQBcACIALAAgAFwAIgBrAGcAXAAiACwAIAAwAC4AOAA3ACwAIABcACIAYQB0ACAAbQBhAHIAawBlAHQAXAAiADsAXABuACAAIAAgACAAIAAgACAAIABcACIARgBlAGUAZABcACIALAAgAFwAIgBPAHQAaABlAHIAXAAiACwAIABcACIAQwBvAHQAdABvAG4AIABzAGUAZQBkAFwAIgAsACAAXAAiAEEAdQBzAHQAcgBhAGwAaQBhAFwAIgAsACAAXAAiAGsAZwBcACIALAAgADAALgAxADkANwAsACAAXAAiAGEAdAAgAG0AYQByAGsAZQB0AFwAIgA7AFwAbgAgACAAIAAgACAAIAAgACAAXAAiAEYAZQBlAGQAXAAiACwAIABcACIATwB0AGgAZQByAFwAIgAsACAAXAAiAEwAaQBjAGsAIABiAGwAbwBjAGsALAAgAGQAcgB5ACAAcwBlAGEAcwBvAG4AIABtAGkAeABcACIALAAgAFwAIgBBAHUAcwB0AHIAYQBsAGkAYQBcACIALAAgAFwAIgBrAGcAXAAiACwAIAAwAC4AOAA4ADEALAAgAFwAIgBhAHQAIABtAGEAcgBrAGUAdABcACIAOwBcAG4AIAAgACAAIAAgACAAIAAgAFwAIgBGAGUAZQBkAFwAIgAsACAAXAAiAE8AdABoAGUAcgBcACIALAAgAFwAIgBMAGkAYwBrACAAYgBsAG8AYwBrACwAIABtAGkAbgBlAHIAYQBsAFwAIgAsACAAXAAiAEEAdQBzAHQAcgBhAGwAaQBhAFwAIgAsACAAXAAiAGsAZwBcACIALAAgADAALgA2ADcANwAsACAAXAAiAGEAdAAgAG0AYQByAGsAZQB0AFwAIgA7AFwAbgAgACAAIAAgACAAIAAgACAAXAAiAEYAZQBlAGQAXAAiACwAIABcACIATwB0AGgAZQByAFwAIgAsACAAXAAiAEwAaQBjAGsAIABiAGwAbwBjAGsALAAgAHcAZQBhAG4AZQByAFwAIgAsACAAXAAiAEEAdQBzAHQAcgBhAGwAaQBhAFwAIgAsACAAXAAiAGsAZwBcACIALAAgADAALgAyADMAMQAsACAAXAAiAGEAdAAgAG0AYQByAGsAZQB0AFwAIgA7AFwAbgAgACAAIAAgACAAIAAgACAAXAAiAEYAZQBlAGQAXAAiACwAIABcACIATwB0AGgAZQByAFwAIgAsACAAXAAiAE0AbwBsAGEAcwBzAGUAcwBcACIALAAgAFwAIgBRAEwARABcACIALAAgAFwAIgBrAGcAXAAiACwAIAAwAC4AMQA4ADQALAAgAFwAIgBhAHQAIABtAGEAcgBrAGUAdABcACIAXABuACAAIAAgACAAIAAgAH0ALAAgAHIALAAgAGMAKQBcAG4AKQApACkAOwBcAG4AXABuAFwAbgAvACoAXABuAD0APQA9AD0APQA9AD0APQA9AD0APQA9AD0APQA9AD0APQA9AD0APQA9AD0APQA9AD0APQA9AD0APQA9AD0APQA9AD0APQA9AD0APQA9AD0APQA9AD0APQA9AD0APQA9AD0APQA9AD0APQA9AD0APQA9AD0APQA9AD0APQA9AD0APQA9AD0APQA9AD0APQA9AD0APQA9AD0AXABuAEkAbgBvAHIAZwBhAG4AaQBjACAAZgBlAHIAdABpAGwAaQBzAGUAcgBzAFwAbgA9AD0APQA9AD0APQA9AD0APQA9AD0APQA9AD0APQA9AD0APQA9AD0APQA9AD0APQA9AD0APQA9AD0APQA9AD0APQA9AD0APQA9AD0APQA9AD0APQA9AD0APQA9AD0APQA9AD0APQA9AD0APQA9AD0APQA9AD0APQA9AD0APQA9AD0APQA9AD0APQA9AD0APQA9AD0APQA9AFwAbgAqAC8AXABuAFwAbgBTAGMAbwBwAGUAMwBfAEkAbgBvAHIAZwBhAG4AaQBjAEYAZQByAHQAaQBsAGkAcwBlAHIAcwBfAFQAaQB0AGwAZQBcAG4APQBMAEEATQBCAEQAQQAoACgAXAAiAEkAbgBvAHIAZwBhAG4AaQBjACAAZgBlAHIAdABpAGwAaQBzAGUAcgAgAGMAaABlAG0AaQBjAGEAbAAgAGMAbwBtAHAAbwB1AG4AZAAgAHMAYwBvAHAAZQAgADMAXAAiACkAKQA7AFwAbgBcAG4AUwBjAG8AcABlADMAXwBJAG4AbwByAGcAYQBuAGkAYwBGAGUAcgB0AGkAbABpAHMAZQByAHMAXwBTAG8AdQByAGMAZQBcAG4APQBMAEEATQBCAEQAQQAo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KQA7AFwAbgBcAG4AUwBjAG8AcABlADMAXwBJAG4AbwByAGcAYQBuAGkAYwBGAGUAcgB0AGkAbABpAHMAZQByAHMAXwBWAGEAcgBpAGEAdABpAG8AbgBcAG4APQBMAEEATQBCAEQAQQAoACgAXAAiAFwAIgApACkAOwBcAG4AXABuAFMAYwBvAHAAZQAzAF8ASQBuAG8AcgBnAGEAbgBpAGMARgBlAHIAdABpAGwAaQBzAGUAcgBzAF8ARABhAHQAYQBcAG4APQBMAEEATQBCAEQAQQAoAFwAbgAgACAATQBBAEsARQBBAFIAUgBBAFkAKAAyADYALAAgADcALABcAG4AIAAgACAAIABMAEEATQBCAEQAQQAoAHIALABjACwAXABuACAAIAAgACAAIAAgAEkATgBEAEUAWAAoAHsAXABuACAAIAAgACAAIAAgACAAIABcACIAQwBhAHQAZQBnAG8AcgB5AFwAIgAsACAAXAAiAFMAdQBiAC0AYwBhAHQAZQBnAG8AcgB5AFwAIgAsACAAXAAiAFAAcgBvAGQAdQBjAHQAIABuAGEAbQBlAFwAIgAsACAAXAAiAFIAZQBnAGkAbwBuACAAbwBmACAAbwByAGkAZwBpAG4AXAAiACwAIABcACIAUAByAG8AZAB1AGMAdAAgAFUAbgBpAHQAXAAiACwAIABcACIARwBIAEcAIABlAG0AaQBzAHMAaQBvAG4AIABpAG4AdABlAG4AcwBpAHQAeQBcACIALAAgAFwAIgBTAHkAcwB0AGUAbQAgAGIAbwB1AG4AZABhAHIAeQBcACIAOwBcAG4AIAAgACAAIAAgACAAIAAgAFwAIgBGAGUAcgB0AGkAbABpAHMAZQByAHMAXAAiACwAIABcACIASQBuAG8AcgBnAGEAbgBpAGMAIABmAGUAcgB0AGkAbABpAHMAZQByAHMAXAAiACwAIABcACIAQQBtAG0AbwBuAGkAYQAsACAAQQBVACAAbQBhAHIAawBlAHQAIABtAGkAeABcACIALAAgAFwAIgBHAGwAbwBiAGEAbABcACIALAAgAFwAIgBrAGcAXAAiACwAIAAyAC4AMwAyACwAIABcACIAYQB0ACAAbQBhAHIAawBlAHQAXAAiADsAXABuACAAIAAgACAAIAAgACAAIABcACIARgBlAHIAdABpAGwAaQBzAGUAcgBzAFwAIgAsACAAXAAiAEkAbgBvAHIAZwBhAG4AaQBjACAAZgBlAHIAdABpAGwAaQBzAGUAcgBzAFwAIgAsACAAXAAiAEEAbQBtAG8AbgBpAGEALAAgAEMAYQBuAGEAZABhAFwAIgAsACAAXAAiAEMAYQBuAGEAZABhAFwAIgAsACAAXAAiAGsAZwBcACIALAAgADIALgAxADIALAAgAFwAIgBhAHQAIABtAGEAcgBrAGUAdABcACIAOwBcAG4AIAAgACAAIAAgACAAIAAgAFwAIgBGAGUAcgB0AGkAbABpAHMAZQByAHMAXAAiACwAIABcACIASQBuAG8AcgBnAGEAbgBpAGMAIABmAGUAcgB0AGkAbABpAHMAZQByAHMAXAAiACwAIABcACIAQQBtAG0AbwBuAGkAYQAsACAAQwBoAGkAbgBhAFwAIgAsACAAXAAiAEMAaABpAG4AYQBcACIALAAgAFwAIgBrAGcAXAAiACwAIAA0AC4AMQA3ACwAIABcACIAYQB0ACAAbQBhAHIAawBlAHQAXAAiADsAXABuACAAIAAgACAAIAAgACAAIABcACIARgBlAHIAdABpAGwAaQBzAGUAcgBzAFwAIgAsACAAXAAiAEkAbgBvAHIAZwBhAG4AaQBjACAAZgBlAHIAdABpAGwAaQBzAGUAcgBzAFwAIgAsACAAXAAiAEEAbQBtAG8AbgBpAGEALAAgAFkAZQBtAGUAbgBcACIALAAgAFwAIgBZAGUAbQBlAG4AXAAiACwAIABcACIAawBnAFwAIgAsACAAMgAuADIANgAsACAAXAAiAGEAdAAgAG0AYQByAGsAZQB0AFwAIgA7AFwAbgAgACAAIAAgACAAIAAgACAAXAAiAEYAZQByAHQAaQBsAGkAcwBlAHIAcwBcACIALAAgAFwAIgBJAG4AbwByAGcAYQBuAGkAYwAgAGYAZQByAHQAaQBsAGkAcwBlAHIAcwBcACIALAAgAFwAIgBBAG0AbQBvAG4AaQB1AG0AIABuAGkAdAByAGEAdABlACwAIABBAFUAIABtAGEAcgBrAGUAdAAgAG0AaQB4AFwAIgAsACAAXAAiAEcAbABvAGIAYQBsAFwAIgAsACAAXAAiAGsAZwBcACIALAAgADIALgAyADEALAAgAFwAIgBhAHQAIABtAGEAcgBrAGUAdABcACIAOwBcAG4AIAAgACAAIAAgACAAIAAgAFwAIgBGAGUAcgB0AGkAbABpAHMAZQByAHMAXAAiACwAIABcACIASQBuAG8AcgBnAGEAbgBpAGMAIABmAGUAcgB0AGkAbABpAHMAZQByAHMAXAAiACwAIABcACIAQwBhAGwAYwBpAHUAbQAgAGEAbQBtAG8AbgBpAHUAbQAgAG4AaQB0AHIAYQB0AGUALAAgAEEAVQAgAG0AYQByAGsAZQB0ACAAbQBpAHgAXAAiACwAIABcACIARwBsAG8AYgBhAGwAXAAiACwAIABcACIAawBnAFwAIgAsACAAMQAuADEANQAsACAAXAAiAGEAdAAgAG0AYQByAGsAZQB0AFwAIgA7AFwAbgAgACAAIAAgACAAIAAgACAAXAAiAEYAZQByAHQAaQBsAGkAcwBlAHIAcwBcACIALAAgAFwAIgBJAG4AbwByAGcAYQBuAGkAYwAgAGYAZQByAHQAaQBsAGkAcwBlAHIAcwBcACIALAAgAFwAIgBDAGEAbABjAGkAdQBtACAAbgBpAHQAcgBhAHQAZQBcACIALAAgAFwAIgBHAGwAbwBiAGEAbABcACIALAAgAFwAIgBrAGcAXAAiACwAIAAwAC4ANwA1ACwAIABcACIAYQB0ACAAbQBhAHIAawBlAHQAXAAiADsAXABuACAAIAAgACAAIAAgACAAIABcACIARgBlAHIAdABpAGwAaQBzAGUAcgBzAFwAIgAsACAAXAAiAEkAbgBvAHIAZwBhAG4AaQBjACAAZgBlAHIAdABpAGwAaQBzAGUAcgBzAFwAIgAsACAAXAAiAEQAaQBhAG0AbQBvAG4AaQB1AG0AIABwAGgAbwBzAHAAaABhAHQAZQAsACAAQQBVACAAbQBhAHIAawBlAHQAIABtAGkAeABcACIALAAgAFwAIgBHAGwAbwBiAGEAbABcACIALAAgAFwAIgBrAGcAXAAiACwAIAAxAC4AMwA0ACwAIABcACIAYQB0ACAAbQBhAHIAawBlAHQAXAAiADsAXABuACAAIAAgACAAIAAgACAAIABcACIARgBlAHIAdABpAGwAaQBzAGUAcgBzAFwAIgAsACAAXAAiAEkAbgBvAHIAZwBhAG4AaQBjACAAZgBlAHIAdABpAGwAaQBzAGUAcgBzAFwAIgAsACAAXAAiAEQAbwB1AGIAbABlACAAcwB1AHAAZQByAHAAaABvAHMAcABoAGEAdABlACwAIABBAFUAIABtAGEAcgBrAGUAdAAgAG0AaQB4AFwAIgAsACAAXAAiAEcAbABvAGIAYQBsAFwAIgAsACAAXAAiAGsAZwBcACIALAAgADAALgAzADkAMgAsACAAXAAiAGEAdAAgAG0AYQByAGsAZQB0AFwAIgA7AFwAbgAgACAAIAAgACAAIAAgACAAXAAiAEYAZQByAHQAaQBsAGkAcwBlAHIAcwBcACIALAAgAFwAIgBJAG4AbwByAGcAYQBuAGkAYwAgAGYAZQByAHQAaQBsAGkAcwBlAHIAcwBcACIALAAgAFwAIgBNAG8AbgBvAGEAbQBtAG8AbgBpAHUAbQAgAHAAaABvAHMAcABoAGEAdABlACwAIABBAFUAIABtAGEAcgBrAGUAdAAgAG0AaQB4AFwAIgAsACAAXAAiAEcAbABvAGIAYQBsAFwAIgAsACAAXAAiAGsAZwBcACIALAAgADAALgA4ADIANwAsACAAXAAiAGEAdAAgAG0AYQByAGsAZQB0AFwAIgA7AFwAbgAgACAAIAAgACAAIAAgACAAXAAiAEYAZQByAHQAaQBsAGkAcwBlAHIAcwBcACIALAAgAFwAIgBJAG4AbwByAGcAYQBuAGkAYwAgAGYAZQByAHQAaQBsAGkAcwBlAHIAcwBcACIALAAgAFwAIgBNAHUAcgBpAGEAdABlACAAbwBmACAAcABvAHQAYQBzAGgALAAgAEEAVQAgAG0AYQByAGsAZQB0ACAAbQBpAHgAXAAiACwAIABcACIARwBsAG8AYgBhAGwAXAAiACwAIABcACIAawBnAFwAIgAsACAAMAAuADUANAA5ACwAIABcACIAYQB0ACAAbQBhAHIAawBlAHQAXAAiADsAXABuACAAIAAgACAAIAAgACAAIABcACIARgBlAHIAdABpAGwAaQBzAGUAcgBzAFwAIgAsACAAXAAiAEkAbgBvAHIAZwBhAG4AaQBjACAAZgBlAHIAdABpAGwAaQBzAGUAcgBzAFwAIgAsACAAXAAiAE4AaQB0AHIAbwBnAGUAbgAgAGYAcgBvAG0AIABhAG0AbQBvAG4AaQBhACwAIABBAFUAIABtAGEAcgBrAGUAdAAgAG0AaQB4AFwAIgAsACAAXAAiAEcAbABvAGIAYQBsAFwAIgAsACAAXAAiAGsAZwAgAE4AXAAiACwAIAAyAC4AOAAzACwAIABcACIAYQB0ACAAbQBhAHIAawBlAHQAXAAiADsAXABuACAAIAAgACAAIAAgACAAIABcACIARgBlAHIAdABpAGwAaQBzAGUAcgBzAFwAIgAsACAAXAAiAEkAbgBvAHIAZwBhAG4AaQBjACAAZgBlAHIAdABpAGwAaQBzAGUAcgBzAFwAIgAsACAAXAAiAE4AaQB0AHIAbwBnAGUAbgAgAGYAcgBvAG0AIABmAGUAcgB0AGkAbABpAHoAZQByACwAIABBAFUAIABtAGEAcgBrAGUAdAAgAG0AaQB4AFwAIgAsACAAXAAiAEcAbABvAGIAYQBsAFwAIgAsACAAXAAiAGsAZwAgAE4AXAAiACwAIAA0AC4AMgAsACAAXAAiAGEAdAAgAG0AYQByAGsAZQB0AFwAIgA7AFwAbgAgACAAIAAgACAAIAAgACAAXAAiAEYAZQByAHQAaQBsAGkAcwBlAHIAcwBcACIALAAgAFwAIgBJAG4AbwByAGcAYQBuAGkAYwAgAGYAZQByAHQAaQBsAGkAcwBlAHIAcwBcACIALAAgAFwAIgBOAGkAdAByAG8AZwBlAG4AIABmAHIAbwBtACAAbgBpAHQAcgBhAHQAZQAgAGYAZQByAHQAaQBsAGkAegBlAHIALAAgAEEAVQAgAG0AYQByAGsAZQB0ACAAbQBpAHgAXAAiACwAIABcACIARwBsAG8AYgBhAGwAXAAiACwAIABcACIAawBnACAATgBcACIALAAgADUALgA0ADcALAAgAFwAIgBhAHQAIABtAGEAcgBrAGUAdABcACIAOwBcAG4AIAAgACAAIAAgACAAIAAgAFwAIgBGAGUAcgB0AGkAbABpAHMAZQByAHMAXAAiACwAIABcACIASQBuAG8AcgBnAGEAbgBpAGMAIABmAGUAcgB0AGkAbABpAHMAZQByAHMAXAAiACwAIABcACIAUABoAG8AcwBwAGgAbwByAHUAcwAgAGYAcgBvAG0AIABmAGUAcgB0AGkAbABpAHoAZQByACwAIABBAFUAIABtAGEAcgBrAGUAdAAgAG0AaQB4AFwAIgAsACAAXAAiAEcAbABvAGIAYQBsAFwAIgAsACAAXAAiAGsAZwAgAFAAXAAiACwAIAAzAC4AOQA2ACwAIABcACIAYQB0ACAAbQBhAHIAawBlAHQAXAAiADsAXABuACAAIAAgACAAIAAgACAAIABcACIARgBlAHIAdABpAGwAaQBzAGUAcgBzAFwAIgAsACAAXAAiAEkAbgBvAHIAZwBhAG4AaQBjACAAZgBlAHIAdABpAGwAaQBzAGUAcgBzAFwAIgAsACAAXAAiAFAAbwB0AGEAcwBzAGkAdQBtACAAZgByAG8AbQAgAGYAZQByAHQAaQBsAGkAegBlAHIALAAgAEEAVQAgAG0AYQByAGsAZQB0ACAAbQBpAHgAXAAiACwAIABcACIARwBsAG8AYgBhAGwAXAAiACwAIABcACIAawBnACAASwBcACIALAAgADAALgA5ADAAOQAsACAAXAAiAGEAdAAgAG0AYQByAGsAZQB0AFwAIgA7AFwAbgAgACAAIAAgACAAIAAgACAAXAAiAEYAZQByAHQAaQBsAGkAcwBlAHIAcwBcACIALAAgAFwAIgBJAG4AbwByAGcAYQBuAGkAYwAgAGYAZQByAHQAaQBsAGkAcwBlAHIAcwBcACIALAAgAFwAIgBTAGkAbgBnAGwAZQAgAHMAdQBwAGUAcgBwAGgAbwBzAHAAaABhAHQAZQAsACAAQQBVACAAbQBhAHIAawBlAHQAIABtAGkAeABcACIALAAgAFwAIgBHAGwAbwBiAGEAbABcACIALAAgAFwAIgBrAGcAXAAiACwAIAAwAC4AMgAyADcALAAgAFwAIgBhAHQAIABtAGEAcgBrAGUAdABcACIAOwBcAG4AIAAgACAAIAAgACAAIAAgAFwAIgBGAGUAcgB0AGkAbABpAHMAZQByAHMAXAAiACwAIABcACIASQBuAG8AcgBnAGEAbgBpAGMAIABmAGUAcgB0AGkAbABpAHMAZQByAHMAXAAiACwAIABcACIAUwB1AGwAZgB1AHIAIABmAHIAbwBtACAAZgBlAHIAdABpAGwAaQB6AGUAcgAsACAAQQBVACAAbQBhAHIAawBlAHQAIABtAGkAeABcACIALAAgAFwAIgBHAGwAbwBiAGEAbABcACIALAAgAFwAIgBrAGcAIABTAFwAIgAsACAAMgAuADUALAAgAFwAIgBhAHQAIABtAGEAcgBrAGUAdABcACIAOwBcAG4AIAAgACAAIAAgACAAIAAgAFwAIgBGAGUAcgB0AGkAbABpAHMAZQByAHMAXAAiACwAIABcACIASQBuAG8AcgBnAGEAbgBpAGMAIABmAGUAcgB0AGkAbABpAHMAZQByAHMAXAAiACwAIABcACIAQQBtAG0AbwBuAGkAdQBtACAAcwB1AGwAcABoAGEAdABlACwAIABBAFUAIABtAGEAcgBrAGUAdAAgAG0AaQB4AFwAIgAsACAAXAAiAEcAbABvAGIAYQBsAFwAIgAsACAAXAAiAGsAZwBcACIALAAgADAALgA4ADYANQAsACAAXAAiAGEAdAAgAG0AYQByAGsAZQB0AFwAIgA7AFwAbgAgACAAIAAgACAAIAAgACAAXAAiAEYAZQByAHQAaQBsAGkAcwBlAHIAcwBcACIALAAgAFwAIgBJAG4AbwByAGcAYQBuAGkAYwAgAGYAZQByAHQAaQBsAGkAcwBlAHIAcwBcACIALAAgAFwAIgBVAHIAZQBhACAAYQBtAG0AbwBuAGkAdQBtACAAbgBpAHQAcgBhAHQAZQAsACAAQQBVACAAbQBhAHIAawBlAHQAIABtAGkAeABcACIALAAgAFwAIgBHAGwAbwBiAGEAbABcACIALAAgAFwAIgBrAGcAXAAiACwAIAAxAC4ANwA1ACwAIABcACIAYQB0ACAAbQBhAHIAawBlAHQAXAAiADsAXABuACAAIAAgACAAIAAgACAAIABcACIARgBlAHIAdABpAGwAaQBzAGUAcgBzAFwAIgAsACAAXAAiAEkAbgBvAHIAZwBhAG4AaQBjACAAZgBlAHIAdABpAGwAaQBzAGUAcgBzAFwAIgAsACAAXAAiAFUAcgBlAGEALAAgAEEAVQAgAG0AYQByAGsAZQB0ACAAbQBpAHgAXAAiACwAIABcACIARwBsAG8AYgBhAGwAXAAiACwAIABcACIAawBnAFwAIgAsACAAMAAuADkANgA4ACwAIABcACIAYQB0ACAAbQBhAHIAawBlAHQAXAAiADsAXABuACAAIAAgACAAIAAgACAAIABcACIARgBlAHIAdABpAGwAaQBzAGUAcgBzAFwAIgAsACAAXAAiAEkAbgBvAHIAZwBhAG4AaQBjACAAZgBlAHIAdABpAGwAaQBzAGUAcgBzAFwAIgAsACAAXAAiAFUAcgBlAGEALAAgAEMAYQBuAGEAZABhAFwAIgAsACAAXAAiAEMAYQBuAGEAZABhAFwAIgAsACAAXAAiAGsAZwBcACIALAAgADAALgA4ADIAMwAsACAAXAAiAGEAdAAgAG0AYQByAGsAZQB0AFwAIgA7AFwAbgAgACAAIAAgACAAIAAgACAAXAAiAEYAZQByAHQAaQBsAGkAcwBlAHIAcwBcACIALAAgAFwAIgBJAG4AbwByAGcAYQBuAGkAYwAgAGYAZQByAHQAaQBsAGkAcwBlAHIAcwBcACIALAAgAFwAIgBVAHIAZQBhACwAIABDAGgAaQBuAGEAXAAiACwAIABcACIAQwBoAGkAbgBhAFwAIgAsACAAXAAiAGsAZwBcACIALAAgADIALgAwADkALAAgAFwAIgBhAHQAIABtAGEAcgBrAGUAdABcACIAOwBcAG4AIAAgACAAIAAgACAAIAAgAFwAIgBGAGUAcgB0AGkAbABpAHMAZQByAHMAXAAiACwAIABcACIASQBuAG8AcgBnAGEAbgBpAGMAIABmAGUAcgB0AGkAbABpAHMAZQByAHMAXAAiACwAIABcACIAVQByAGUAYQAsACAAWQBlAG0AZQBuAFwAIgAsACAAXAAiAFkAZQBtAGUAbgBcACIALAAgAFwAIgBrAGcAXAAiACwAIAAwAC4AOQA2ADMALAAgAFwAIgBhAHQAIABtAGEAcgBrAGUAdABcACIAOwBcAG4AIAAgACAAIAAgACAAIAAgAFwAIgBGAGUAcgB0AGkAbABpAHMAZQByAHMAXAAiACwAIABcACIASQBuAG8AcgBnAGEAbgBpAGMAIABmAGUAcgB0AGkAbABpAHMAZQByAHMAXAAiACwAIABcACIAWgBpAG4AYwAgAGYAcgBvAG0AIABmAGUAcgB0AGkAbABpAHoAZQByAFwAIgAsACAAXAAiAEcAbABvAGIAYQBsAFwAIgAsACAAXAAiAGsAZwAgAFoAbgBcACIALAAgADQALgA4ADIALAAgAFwAIgBhAHQAIABtAGEAcgBrAGUAdABcACIAXABuACAAIAAgACAAIAAgAH0ALAAgAHIALAAgAGMAKQBcAG4AKQApACkAOwBcAG4AXABuAFwAbgAvACoAXABuAD0APQA9AD0APQA9AD0APQA9AD0APQA9AD0APQA9AD0APQA9AD0APQA9AD0APQA9AD0APQA9AD0APQA9AD0APQA9AD0APQA9AD0APQA9AD0APQA9AD0APQA9AD0APQA9AD0APQA9AD0APQA9AD0APQA9AD0APQA9AD0APQA9AD0APQA9AD0APQA9AD0APQA9AD0APQA9AD0AXABuAE8AdABoAGUAcgAgAGEAZwByAGkAYwB1AGwAdAB1AHIAYQBsACAAaQBuAHAAdQB0AHMAXABuAD0APQA9AD0APQA9AD0APQA9AD0APQA9AD0APQA9AD0APQA9AD0APQA9AD0APQA9AD0APQA9AD0APQA9AD0APQA9AD0APQA9AD0APQA9AD0APQA9AD0APQA9AD0APQA9AD0APQA9AD0APQA9AD0APQA9AD0APQA9AD0APQA9AD0APQA9AD0APQA9AD0APQA9AD0APQA9AD0AXABuACoALwBcAG4AXABuAFMAYwBvAHAAZQAzAF8ATwB0AGgAZQByAF8AVABpAHQAbABlAFwAbgA9AEwAQQBNAEIARABBACgAKABcACIATwB0AGgAZQByACAAYQBnAHIAaQBjAHUAbAB0AHUAcgBhAGwAIABpAG4AcAB1AHQAcwAgAHMAYwBvAHAAZQAgADMAXAAiACkAKQA7AFwAbgBcAG4AUwBjAG8AcABlADMAXwBPAHQAaABlAHIAXwBTAG8AdQByAGMAZQBcAG4APQBMAEEATQBCAEQAQQAo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KQA7AFwAbgBcAG4AUwBjAG8AcABlADMAXwBPAHQAaABlAHIAXwBWAGEAcgBpAGEAdABpAG8AbgBcAG4APQBMAEEATQBCAEQAQQAoACgAXAAiAFwAIgApACkAOwBcAG4AXABuAFMAYwBvAHAAZQAzAF8ATwB0AGgAZQByAF8ARABhAHQAYQBcAG4APQBMAEEATQBCAEQAQQAoAFwAbgAgACAATQBBAEsARQBBAFIAUgBBAFkAKAA5ACwAIAA3ACwAXABuACAAIAAgACAATABBAE0AQgBEAEEAKAByACwAYwAsAFwAbgAgACAAIAAgACAAIABJAE4ARABFAFgAKAB7AFwAbgAgACAAIAAgACAAIAAgACAAXAAiAEMAYQB0AGUAZwBvAHIAeQBcACIALAAgAFwAIgBTAHUAYgAtAGMAYQB0AGUAZwBvAHIAeQBcACIALAAgAFwAIgBQAHIAbwBkAHUAYwB0ACAAbgBhAG0AZQBcACIALAAgAFwAIgBSAGUAZwBpAG8AbgAgAG8AZgAgAG8AcgBpAGcAaQBuAFwAIgAsACAAXAAiAFAAcgBvAGQAdQBjAHQAIABVAG4AaQB0AFwAIgAsACAAXAAiAEcASABHACAAZQBtAGkAcwBzAGkAbwBuACAAaQBuAHQAZQBuAHMAaQB0AHkAXAAiACwAIABcACIAUwB5AHMAdABlAG0AIABiAG8AdQBuAGQAYQByAHkAXAAiADsAXABuACAAIAAgACAAIAAgACAAIABcACIATwB0AGgAZQByAFwAIgAsACAAXAAiAE8AdABoAGUAcgBcACIALAAgAFwAIgBBAG4AaQBtAGEAbAAgAGUAYQByACAAdABhAGcAcwAgACgAbABhAHIAZwBlACkAXAAiACwAIABcACIAQQB1AHMAdAByAGEAbABpAGEAXAAiACwAIABcACIAcABcACIALAAgADAALgAwADQAMgA0ACwAIABcACIAYQB0ACAAbQBhAHIAawBlAHQAXAAiADsAXABuACAAIAAgACAAIAAgACAAIABcACIATwB0AGgAZQByAFwAIgAsACAAXAAiAE8AdABoAGUAcgBcACIALAAgAFwAIgBBAG4AaQBtAGEAbAAgAGUAYQByACAAdABhAGcAcwAgACgAcwBtAGEAbABsACkAXAAiACwAIABcACIAQQB1AHMAdAByAGEAbABpAGEAXAAiACwAIABcACIAcABcACIALAAgADAALgAwADIAOQAzACwAIABcACIAYQB0ACAAbQBhAHIAawBlAHQAXAAiADsAXABuACAAIAAgACAAIAAgACAAIABcACIATwB0AGgAZQByAFwAIgAsACAAXAAiAE8AdABoAGUAcgBcACIALAAgAFwAIgBCAGEAcgBsAGUAeQAgAGcAcgBhAGkAbgAgACgAZgBvAHIAIABzAGUAZQBkACkAXAAiACwAIABcACIAQQB1AHMAdAByAGEAbABpAGEAXAAiACwAIABcACIAawBnAFwAIgAsACAAMAAuADIAMwA5ACwAIABcACIAYQB0ACAAbQBhAHIAawBlAHQAXAAiADsAXABuACAAIAAgACAAIAAgACAAIABcACIATwB0AGgAZQByAFwAIgAsACAAXAAiAE8AdABoAGUAcgBcACIALAAgAFwAIgBNAGEAaQB6AGUAIABnAHIAYQBpAG4AIAAoAGYAbwByACAAcwBlAGUAZAApAFwAIgAsACAAXAAiAEEAdQBzAHQAcgBhAGwAaQBhAFwAIgAsACAAXAAiAGsAZwBcACIALAAgADAALgAxADgAMQAsACAAXAAiAGEAdAAgAG0AYQByAGsAZQB0AFwAIgA7AFwAbgAgACAAIAAgACAAIAAgACAAXAAiAE8AdABoAGUAcgBcACIALAAgAFwAIgBPAHQAaABlAHIAXAAiACwAIABcACIATgB5AGwAbwBuACAAbgBlAHQAdABpAG4AZwBcACIALAAgAFwAIgBHAGwAbwBiAGEAbABcACIALAAgAFwAIgBrAGcAXAAiACwAIAA5AC4AOAAxACwAIABcACIAYQB0ACAAbQBhAHIAawBlAHQAXAAiADsAXABuACAAIAAgACAAIAAgACAAIABcACIATwB0AGgAZQByAFwAIgAsACAAXAAiAE8AdABoAGUAcgBcACIALAAgAFwAIgBPAGEAdAAgAGcAcgBhAGkAbgAgACgAZgBvAHIAIABzAGUAZQBkACkAXAAiACwAIABcACIAQQB1AHMAdAByAGEAbABpAGEAXAAiACwAIABcACIAawBnAFwAIgAsACAAMAAuADIANwAsACAAXAAiAGEAdAAgAG0AYQByAGsAZQB0AFwAIgA7AFwAbgAgACAAIAAgACAAIAAgACAAXAAiAE8AdABoAGUAcgBcACIALAAgAFwAIgBPAHQAaABlAHIAXAAiACwAIABcACIAUwBvAHIAZwBoAHUAbQAgAGcAcgBhAGkAbgAgACgAZgBvAHIAIABzAGUAZQBkACkAXAAiACwAIABcACIAQQB1AHMAdAByAGEAbABpAGEAXAAiACwAIABcACIAawBnAFwAIgAsACAAMAAuADIAMwAyACwAIABcACIAYQB0ACAAbQBhAHIAawBlAHQAXAAiADsAXABuACAAIAAgACAAIAAgACAAIABcACIATwB0AGgAZQByAFwAIgAsACAAXAAiAE8AdABoAGUAcgBcACIALAAgAFwAIgBXAGgAZQBhAHQAIABnAHIAYQBpAG4AIAAoAGYAbwByACAAcwBlAGUAZAApAFwAIgAsACAAXAAiAEEAdQBzAHQAcgBhAGwAaQBhAFwAIgAsACAAXAAiAGsAZwBcACIALAAgADAALgAyADYAOAAsACAAXAAiAGEAdAAgAG0AYQByAGsAZQB0AFwAIgBcAG4AIAAgACAAIAAgACAAfQAsACAAcgAsACAAYwApAFwAbgApACkAKQA7AFwAbgBcAG4AXABuAC8AKgBcAG4APQA9AD0APQA9AD0APQA9AD0APQA9AD0APQA9AD0APQA9AD0APQA9AD0APQA9AD0APQA9AD0APQA9AD0APQA9AD0APQA9AD0APQA9AD0APQA9AD0APQA9AD0APQA9AD0APQA9AD0APQA9AD0APQA9AD0APQA9AD0APQA9AD0APQA9AD0APQA9AD0APQA9AD0APQA9AD0APQBcAG4AUABhAGMAawBhAGcAaQBuAGcAXABuAD0APQA9AD0APQA9AD0APQA9AD0APQA9AD0APQA9AD0APQA9AD0APQA9AD0APQA9AD0APQA9AD0APQA9AD0APQA9AD0APQA9AD0APQA9AD0APQA9AD0APQA9AD0APQA9AD0APQA9AD0APQA9AD0APQA9AD0APQA9AD0APQA9AD0APQA9AD0APQA9AD0APQA9AD0APQA9AD0AXABuACoALwBcAG4AXABuAFMAYwBvAHAAZQAzAF8AUABhAGMAawBhAGcAaQBuAGcAXwBUAGkAdABsAGUAXABuAD0ATABBAE0AQgBEAEEAKAAoAFwAIgBQAGEAYwBrAGEAZwBpAG4AZwAgAHMAYwBvAHAAZQAgADMAXAAiACkAKQA7AFwAbgBcAG4AUwBjAG8AcABlADMAXwBQAGEAYwBrAGEAZwBpAG4AZwBfAFMAbwB1AHIAYwBlAFwAbgA9AEwAQQBNAEIARABBACg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pADsAXABuAFwAbgBTAGMAbwBwAGUAMwBfAFAAYQBjAGsAYQBnAGkAbgBnAF8AVgBhAHIAaQBhAHQAaQBvAG4AXABuAD0ATABBAE0AQgBEAEEAKAAoAFwAIgBcACIAKQApADsAXABuAFwAbgBTAGMAbwBwAGUAMwBfAFAAYQBjAGsAYQBnAGkAbgBnAF8ARABhAHQAYQBcAG4APQBMAEEATQBCAEQAQQAoAFwAbgAgACAATQBBAEsARQBBAFIAUgBBAFkAKAA1ACwAIAA3ACwAXABuACAAIAAgACAATABBAE0AQgBEAEEAKAByACwAYwAsAFwAbgAgACAAIAAgACAAIABJAE4ARABFAFgAKAB7AFwAbgAgACAAIAAgACAAIAAgACAAXAAiAEMAYQB0AGUAZwBvAHIAeQBcACIALAAgAFwAIgBTAHUAYgAtAGMAYQB0AGUAZwBvAHIAeQBcACIALAAgAFwAIgBQAHIAbwBkAHUAYwB0ACAAbgBhAG0AZQBcACIALAAgAFwAIgBSAGUAZwBpAG8AbgAgAG8AZgAgAG8AcgBpAGcAaQBuAFwAIgAsACAAXAAiAFAAcgBvAGQAdQBjAHQAIABVAG4AaQB0AFwAIgAsACAAXAAiAEcASABHACAAZQBtAGkAcwBzAGkAbwBuACAAaQBuAHQAZQBuAHMAaQB0AHkAXAAiACwAIABcACIAUwB5AHMAdABlAG0AIABiAG8AdQBuAGQAYQByAHkAXAAiADsAXABuACAAIAAgACAAIAAgACAAIABcACIAUABhAGMAawBhAGcAaQBuAGcAXAAiACwAIABcACIAUABhAGMAawBhAGcAaQBuAGcAXAAiACwAIABcACIAQwBvAHIAcgB1AGcAYQB0AGUAZAAgAGIAbwBhAHIAZABcACIALAAgAFwAIgBHAGwAbwBiAGEAbABcACIALAAgAFwAIgBrAGcAXAAiACwAIAAxAC4AMAA1ACwAIABcACIAYQB0ACAAbQBhAG4AdQBmAGEAYwB0AHUAcgBlAHIAXAAiADsAXABuACAAIAAgACAAIAAgACAAIABcACIAUABhAGMAawBhAGcAaQBuAGcAXAAiACwAIABcACIAUABhAGMAawBhAGcAaQBuAGcAXAAiACwAIABcACIAUABsAGEAcwB0AGkAYwAgAGMAcgBhAHQAZQAgAHAAbwBsAHkAcAByAG8AcAB5AGwAZQBuAGUAXAAiACwAIABcACIARwBsAG8AYgBhAGwAXAAiACwAIABcACIAcABcACIALAAgADMALgA5ADkALAAgAFwAIgBhAHQAIABtAGEAbgB1AGYAYQBjAHQAdQByAGUAcgBcACIAOwBcAG4AIAAgACAAIAAgACAAIAAgAFwAIgBQAGEAYwBrAGEAZwBpAG4AZwBcACIALAAgAFwAIgBQAGEAYwBrAGEAZwBpAG4AZwBcACIALAAgAFwAIgBQAGwAYQBzAHQAaQBjACAAZgBpAGwAbQAgAEwARABQAEUAXAAiACwAIABcACIARwBsAG8AYgBhAGwAXAAiACwAIABcACIAawBnAFwAIgAsACAAMwAuADQANAAsACAAXAAiAGEAdAAgAG0AYQBuAHUAZgBhAGMAdAB1AHIAZQByAFwAIgA7AFwAbgAgACAAIAAgACAAIAAgACAAXAAiAFAAYQBjAGsAYQBnAGkAbgBnAFwAIgAsACAAXAAiAFAAYQBjAGsAYQBnAGkAbgBnAFwAIgAsACAAXAAiAFAAbABhAHMAdABpAGMAIABzAGgAZQBlAHQAIABIAEQAUABFAFwAIgAsACAAXAAiAEcAbABvAGIAYQBsAFwAIgAsACAAXAAiAGsAZwBcACIALAAgADMALgA3ADIALAAgAFwAIgBhAHQAIABtAGEAbgB1AGYAYQBjAHQAdQByAGUAcgBcACIAXABuACAAIAAgACAAIAAgAH0ALAAgAHIALAAgAGMAKQBcAG4AKQApACkAOwBcAG4AXABuAFwAbgAvACoAXABuAD0APQA9AD0APQA9AD0APQA9AD0APQA9AD0APQA9AD0APQA9AD0APQA9AD0APQA9AD0APQA9AD0APQA9AD0APQA9AD0APQA9AD0APQA9AD0APQA9AD0APQA9AD0APQA9AD0APQA9AD0APQA9AD0APQA9AD0APQA9AD0APQA9AD0APQA9AD0APQA9AD0APQA9AD0APQA9AD0AXABuAFAAZQBzAHQAaQBjAGkAZABlAHMAXABuAD0APQA9AD0APQA9AD0APQA9AD0APQA9AD0APQA9AD0APQA9AD0APQA9AD0APQA9AD0APQA9AD0APQA9AD0APQA9AD0APQA9AD0APQA9AD0APQA9AD0APQA9AD0APQA9AD0APQA9AD0APQA9AD0APQA9AD0APQA9AD0APQA9AD0APQA9AD0APQA9AD0APQA9AD0APQA9AD0AXABuACoALwBcAG4AXABuAFMAYwBvAHAAZQAzAF8AUABlAHMAdABpAGMAaQBkAGUAcwBfAFQAaQB0AGwAZQBcAG4APQBMAEEATQBCAEQAQQAoACgAXAAiAFAAZQBzAHQAaQBjAGkAZABlAHMAIABzAGMAbwBwAGUAIAAzAFwAIgApACkAOwBcAG4AXABuAFMAYwBvAHAAZQAzAF8AUABlAHMAdABpAGMAaQBkAGUAcwBfAFMAbwB1AHIAYwBlAFwAbgA9AEwAQQBNAEIARABBACg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pADsAXABuAFwAbgBTAGMAbwBwAGUAMwBfAFAAZQBzAHQAaQBjAGkAZABlAHMAXwBWAGEAcgBpAGEAdABpAG8AbgBcAG4APQBMAEEATQBCAEQAQQAoACgAXAAiAFwAIgApACkAOwBcAG4AXABuAFMAYwBvAHAAZQAzAF8AUABlAHMAdABpAGMAaQBkAGUAcwBfAEQAYQB0AGEAXABuAD0ATABBAE0AQgBEAEEAKABcAG4AIAAgAE0AQQBLAEUAQQBSAFIAQQBZACgAMQAzACwAIAA3ACwAXABuACAAIAAgACAATABBAE0AQgBEAEEAKAByACwAYwAsAFwAbgAgACAAIAAgACAAIABJAE4ARABFAFgAKAB7AFwAbgAgACAAIAAgACAAIAAgACAAXAAiAEMAYQB0AGUAZwBvAHIAeQBcACIALAAgAFwAIgBTAHUAYgAtAGMAYQB0AGUAZwBvAHIAeQBcACIALAAgAFwAIgBQAHIAbwBkAHUAYwB0ACAAbgBhAG0AZQBcACIALAAgAFwAIgBSAGUAZwBpAG8AbgAgAG8AZgAgAG8AcgBpAGcAaQBuAFwAIgAsACAAXAAiAFAAcgBvAGQAdQBjAHQAIABVAG4AaQB0AFwAIgAsACAAXAAiAEcASABHACAAZQBtAGkAcwBzAGkAbwBuACAAaQBuAHQAZQBuAHMAaQB0AHkAXAAiACwAIABcACIAUwB5AHMAdABlAG0AIABiAG8AdQBuAGQAYQByAHkAXAAiADsAXABuACAAIAAgACAAIAAgACAAIABcACIAUABlAHMAdABpAGMAaQBkAGUAcwBcACIALAAgAFwAIgBQAGUAcwB0AGkAYwBpAGQAZQBzAFwAIgAsACAAXAAiADIALAA0AC0ARABcACIALAAgAFwAIgBHAGwAbwBiAGEAbABcACIALAAgAFwAIgBrAGcAIABBAEkAXAAiACwAIAA1AC4AMgAsACAAXAAiAGEAdAAgAG0AYQByAGsAZQB0AFwAIgA7AFwAbgAgACAAIAAgACAAIAAgACAAXAAiAFAAZQBzAHQAaQBjAGkAZABlAHMAXAAiACwAIABcACIAUABlAHMAdABpAGMAaQBkAGUAcwBcACIALAAgAFwAIgBBAHQAcgBhAHoAaQBuAGUAXAAiACwAIABcACIARwBsAG8AYgBhAGwAXAAiACwAIABcACIAawBnACAAQQBJAFwAIgAsACAAOAAuADMAOAAsACAAXAAiAGEAdAAgAG0AYQByAGsAZQB0AFwAIgA7AFwAbgAgACAAIAAgACAAIAAgACAAXAAiAFAAZQBzAHQAaQBjAGkAZABlAHMAXAAiACwAIABcACIAUABlAHMAdABpAGMAaQBkAGUAcwBcACIALAAgAFwAIgBEAGkAdQByAG8AbgBcACIALAAgAFwAIgBHAGwAbwBiAGEAbABcACIALAAgAFwAIgBrAGcAIABBAEkAXAAiACwAIAA4AC4AOAAsACAAXAAiAGEAdAAgAG0AYQByAGsAZQB0AFwAIgA7AFwAbgAgACAAIAAgACAAIAAgACAAXAAiAFAAZQBzAHQAaQBjAGkAZABlAHMAXAAiACwAIABcACIAUABlAHMAdABpAGMAaQBkAGUAcwBcACIALAAgAFwAIgBHAGwAeQBwAGgAbwBzAGEAdABlAFwAIgAsACAAXAAiAEcAbABvAGIAYQBsAFwAIgAsACAAXAAiAGsAZwAgAEEASQBcACIALAAgADEAMAAuADMALAAgAFwAIgBhAHQAIABtAGEAcgBrAGUAdABcACIAOwBcAG4AIAAgACAAIAAgACAAIAAgAFwAIgBQAGUAcwB0AGkAYwBpAGQAZQBzAFwAIgAsACAAXAAiAFAAZQBzAHQAaQBjAGkAZABlAHMAXAAiACwAIABcACIATQBhAG4AYwBvAHoAZQBiAFwAIgAsACAAXAAiAEcAbABvAGIAYQBsAFwAIgAsACAAXAAiAGsAZwAgAEEASQBcACIALAAgADQALgA1ADUALAAgAFwAIgBhAHQAIABtAGEAcgBrAGUAdABcACIAOwBcAG4AIAAgACAAIAAgACAAIAAgAFwAIgBQAGUAcwB0AGkAYwBpAGQAZQBzAFwAIgAsACAAXAAiAFAAZQBzAHQAaQBjAGkAZABlAHMAXAAiACwAIABcACIATQBDAFAAQQBcACIALAAgAFwAIgBHAGwAbwBiAGEAbABcACIALAAgAFwAIgBrAGcAIABBAEkAXAAiACwAIAA1AC4ANgAsACAAXAAiAGEAdAAgAG0AYQByAGsAZQB0AFwAIgA7AFwAbgAgACAAIAAgACAAIAAgACAAXAAiAFAAZQBzAHQAaQBjAGkAZABlAHMAXAAiACwAIABcACIAUABlAHMAdABpAGMAaQBkAGUAcwBcACIALAAgAFwAIgBNAGUAdABvAGwAYQBjAGgAbABvAHIAXAAiACwAIABcACIARwBsAG8AYgBhAGwAXAAiACwAIABcACIAawBnACAAQQBJAFwAIgAsACAAOAAuADAANgAsACAAXAAiAGEAdAAgAG0AYQByAGsAZQB0AFwAIgA7AFwAbgAgACAAIAAgACAAIAAgACAAXAAiAFAAZQBzAHQAaQBjAGkAZABlAHMAXAAiACwAIABcACIAUABlAHMAdABpAGMAaQBkAGUAcwBcACIALAAgAFwAIgBNAGUAdABzAHUAbABmAHUAcgBvAG4ALQBtAGUAdABoAHkAbABcACIALAAgAFwAIgBHAGwAbwBiAGEAbABcACIALAAgAFwAIgBrAGcAIABBAEkAXAAiACwAIAA4AC4AOAAsACAAXAAiAGEAdAAgAG0AYQByAGsAZQB0AFwAIgA7AFwAbgAgACAAIAAgACAAIAAgACAAXAAiAFAAZQBzAHQAaQBjAGkAZABlAHMAXAAiACwAIABcACIAUABlAHMAdABpAGMAaQBkAGUAcwBcACIALAAgAFwAIgBQAGUAcwB0AGkAYwBpAGQAZQBzACAAKABnAGUAbgBlAHIAaQBjACkAXAAiACwAIABcACIARwBsAG8AYgBhAGwAXAAiACwAIABcACIAawBnACAAQQBJAFwAIgAsACAAOQAuADEANgAsACAAXAAiAGEAdAAgAG0AYQByAGsAZQB0AFwAIgA7AFwAbgAgACAAIAAgACAAIAAgACAAXAAiAFAAZQBzAHQAaQBjAGkAZABlAHMAXAAiACwAIABcACIAUABlAHMAdABpAGMAaQBkAGUAcwBcACIALAAgAFwAIgBUAHIAaQAtAGEAbABsAGEAdABlAFwAIgAsACAAXAAiAEcAbABvAGIAYQBsAFwAIgAsACAAXAAiAGsAZwAgAEEASQBcACIALAAgADgALgA1ADcALAAgAFwAIgBhAHQAIABtAGEAcgBrAGUAdABcACIAOwBcAG4AIAAgACAAIAAgACAAIAAgAFwAIgBQAGUAcwB0AGkAYwBpAGQAZQBzAFwAIgAsACAAXAAiAFAAZQBzAHQAaQBjAGkAZABlAHMAXAAiACwAIABcACIAVAByAGkAYgBlAG4AdQByAG8AbgAgAG0AZQB0AGgAeQBsAFwAIgAsACAAXAAiAEcAbABvAGIAYQBsAFwAIgAsACAAXAAiAGsAZwAgAEEASQBcACIALAAgADgALgA4ACwAIABcACIAYQB0ACAAbQBhAHIAawBlAHQAXAAiADsAXABuACAAIAAgACAAIAAgACAAIABcACIAUABlAHMAdABpAGMAaQBkAGUAcwBcACIALAAgAFwAIgBQAGUAcwB0AGkAYwBpAGQAZQBzAFwAIgAsACAAXAAiAFQAcgBpAGYAbAB1AHIAYQBsAGkAbgBcACIALAAgAFwAIgBHAGwAbwBiAGEAbABcACIALAAgAFwAIgBrAGcAIABBAEkAXAAiACwAIAA2AC4AMQA2ACwAIABcACIAYQB0ACAAbQBhAHIAawBlAHQAXAAiAFwAbgAgACAAIAAgACAAIAB9ACwAIAByACwAIABjACkAXABuACkAKQApADsAXABuAFwAbgBcAG4ALwAqAFwAbgA9AD0APQA9AD0APQA9AD0APQA9AD0APQA9AD0APQA9AD0APQA9AD0APQA9AD0APQA9AD0APQA9AD0APQA9AD0APQA9AD0APQA9AD0APQA9AD0APQA9AD0APQA9AD0APQA9AD0APQA9AD0APQA9AD0APQA9AD0APQA9AD0APQA9AD0APQA9AD0APQA9AD0APQA9AD0APQA9AFwAbgBTAG8AaQBsACAAYQBtAGUAbgBkAG0AZQBuAHQAcwBcAG4APQA9AD0APQA9AD0APQA9AD0APQA9AD0APQA9AD0APQA9AD0APQA9AD0APQA9AD0APQA9AD0APQA9AD0APQA9AD0APQA9AD0APQA9AD0APQA9AD0APQA9AD0APQA9AD0APQA9AD0APQA9AD0APQA9AD0APQA9AD0APQA9AD0APQA9AD0APQA9AD0APQA9AD0APQA9AD0APQBcAG4AKgAvAFwAbgBcAG4AUwBjAG8AcABlADMAXwBTAG8AaQBsAEEAbQBlAG4AZABtAGUAbgB0AHMAXwBUAGkAdABsAGUAXABuAD0ATABBAE0AQgBEAEEAKAAoAFwAIgBTAG8AaQBsACAAYQBtAGUAbgBkAG0AZQBuAHQAcwAgAHMAYwBvAHAAZQAgADMAXAAiACkAKQA7AFwAbgBcAG4AUwBjAG8AcABlADMAXwBTAG8AaQBsAEEAbQBlAG4AZABtAGUAbgB0AHMAXwBTAG8AdQByAGMAZQBcAG4APQBMAEEATQBCAEQAQQAo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KQA7AFwAbgBcAG4AUwBjAG8AcABlADMAXwBTAG8AaQBsAEEAbQBlAG4AZABtAGUAbgB0AHMAXwBWAGEAcgBpAGEAdABpAG8AbgBcAG4APQBMAEEATQBCAEQAQQAoACgAXAAiAFwAIgApACkAOwBcAG4AXABuAFMAYwBvAHAAZQAzAF8AUwBvAGkAbABBAG0AZQBuAGQAbQBlAG4AdABzAF8ARABhAHQAYQBcAG4APQBMAEEATQBCAEQAQQAoAFwAbgAgACAATQBBAEsARQBBAFIAUgBBAFkAKAA0ACwAIAA3ACwAXABuACAAIAAgACAATABBAE0AQgBEAEEAKAByACwAYwAsAFwAbgAgACAAIAAgACAAIABJAE4ARABFAFgAKAB7AFwAbgAgACAAIAAgACAAIAAgACAAXAAiAEMAYQB0AGUAZwBvAHIAeQBcACIALAAgAFwAIgBTAHUAYgAtAGMAYQB0AGUAZwBvAHIAeQBcACIALAAgAFwAIgBQAHIAbwBkAHUAYwB0ACAAbgBhAG0AZQBcACIALAAgAFwAIgBSAGUAZwBpAG8AbgAgAG8AZgAgAG8AcgBpAGcAaQBuAFwAIgAsACAAXAAiAFAAcgBvAGQAdQBjAHQAIABVAG4AaQB0AFwAIgAsACAAXAAiAEcASABHACAAZQBtAGkAcwBzAGkAbwBuACAAaQBuAHQAZQBuAHMAaQB0AHkAXAAiACwAIABcACIAUwB5AHMAdABlAG0AIABiAG8AdQBuAGQAYQByAHkAXAAiADsAXABuACAAIAAgACAAIAAgACAAIABcACIAUwBvAGkAbAAgAGEAbQBlAGwAaQBvAHIAYQBuAHQAcwBcACIALAAgAFwAIgBTAG8AaQBsACAAYQBtAGUAbABpAG8AcgBhAG4AdABzAFwAIgAsACAAXAAiAEQAbwBsAG8AbQBpAHQAZQBcACIALAAgAFwAIgBBAHUAcwB0AHIAYQBsAGkAYQBcACIALAAgAFwAIgBrAGcAXAAiACwAIAAwAC4AMAA2ADUAMgAsACAAXAAiAGEAdAAgAG0AYQByAGsAZQB0AFwAIgA7AFwAbgAgACAAIAAgACAAIAAgACAAXAAiAFMAbwBpAGwAIABhAG0AZQBsAGkAbwByAGEAbgB0AHMAXAAiACwAIABcACIAUwBvAGkAbAAgAGEAbQBlAGwAaQBvAHIAYQBuAHQAcwBcACIALAAgAFwAIgBHAHkAcABzAHUAbQBcACIALAAgAFwAIgBBAHUAcwB0AHIAYQBsAGkAYQBcACIALAAgAFwAIgBrAGcAXAAiACwAIAAwAC4AMAA2ADUAMgAsACAAXAAiAGEAdAAgAG0AYQByAGsAZQB0AFwAIgA7AFwAbgAgACAAIAAgACAAIAAgACAAXAAiAFMAbwBpAGwAIABhAG0AZQBsAGkAbwByAGEAbgB0AHMAXAAiACwAIABcACIAUwBvAGkAbAAgAGEAbQBlAGwAaQBvAHIAYQBuAHQAcwBcACIALAAgAFwAIgBMAGkAbQBlAHMAdABvAG4AZQAgACgAYwByAHUAcwBoAGUAZAApAFwAIgAsACAAXAAiAEEAdQBzAHQAcgBhAGwAaQBhAFwAIgAsACAAXAAiAGsAZwBcACIALAAgADAALgAwADQAOAA1ACwAIABcACIAYQB0ACAAbQBhAHIAawBlAHQAXAAiAFwAbgAgACAAIAAgACAAIAB9ACwAIAByACwAIABjACkAXABuACkAKQApADsAXABuACIAfQAsAHsAIgBwAGEAdABoACIAOgAiAC8AcAByAG8AagBlAGMAdABzAC8AQwBvAG0AbQBvAG4ATABpAHYAZQBzAHQAbwBjAGsAXwBTAG8AdQByAGMAZQBEAGEAdABhACIALAAiAHQAZQB4AHQAIgA6ACIALwAqAFwAbgA9AD0APQA9AD0APQA9AD0APQA9AD0APQA9AD0APQA9AD0APQA9AD0APQA9AD0APQA9AD0APQA9AD0APQA9AD0APQA9AD0APQA9AD0APQA9AD0APQA9AD0APQA9AD0APQA9AD0APQA9AD0APQA9AD0APQA9AD0APQA9AD0APQA9AD0APQA9AD0APQA9AD0APQA9AD0APQA9AFwAbgA9AD0APQA9AD0APQA9AD0APQA9AD0APQA9AD0APQA9AD0APQA9AD0APQA9AD0APQA9AD0APQA9AD0APQA9AD0APQA9AD0APQA9AD0APQA9AD0APQA9AD0APQA9AD0APQA9AD0APQA9AD0APQA9AD0APQA9AD0APQA9AD0APQA9AD0APQA9AD0APQA9AD0APQA9AD0APQA9AFwAbgBTAG8AdQByAGMAZQAgAGQAYQB0AGEAIAB0AGgAYQB0ACAAaQBzACAAYwBvAG0AbQBvAG4AIABhAGMAcgBvAHMAcwAgAGEAbABsACAAbABpAHYAZQBzAHQAbwBjAGsAIAB0AHkAcABlAHMAXABuAEUAeABjAGUAbAAgAG0AbwBkAHUAbABlACAAbgBhAG0AZQA6ACAAUwBvAHUAcgBjAGUARABhAHQAYQBfAEwAaQB2AGUAcwB0AG8AYwBrAF8AQwBvAG0AbQBvAG4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CoALwBcAG4AXABuAC8AKgBcAG4APQA9AD0APQA9AD0APQA9AD0APQA9AD0APQA9AD0APQA9AD0APQA9AD0APQA9AD0APQA9AD0APQA9AD0APQA9AD0APQA9AD0APQA9AFwAbgA9AD0APQA9AD0APQA9AD0APQA9AD0APQA9AD0APQA9AD0APQA9AD0APQA9AD0APQA9AD0APQA9AD0APQA9AD0APQA9AD0APQA9AD0AXABuAFMAbwB1AHIAYwBlADoAIABOAGEAdABpAG8AbgBhAGwAIABJAG4AdgBlAG4AdABvAHIAeQAgAFIAZQBwAG8AcgB0ACAAMgAwADIAMwAgAFYAbwBsAHUAbQBlACAAMQBcAG4ATgBJAFIAXwAyADAAMgAzAF8AVgBvAGwAMQBcAG4APQA9AD0APQA9AD0APQA9AD0APQA9AD0APQA9AD0APQA9AD0APQA9AD0APQA9AD0APQA9AD0APQA9AD0APQA9AD0APQA9AD0APQA9AFwAbgA9AD0APQA9AD0APQA9AD0APQA9AD0APQA9AD0APQA9AD0APQA9AD0APQA9AD0APQA9AD0APQA9AD0APQA9AD0APQA9AD0APQA9AD0AXABuACoALwBcAG4AXABuAC8AKgAgAFwAbgAtAC0ALQAtAC0ALQAtAC0ALQAtAC0ALQAtAC0ALQAtAC0ALQAtAC0ALQAtAC0ALQAtAC0ALQAtAC0ALQAtAC0ALQAtAC0ALQAtAC0AXABuAFMAbwB1AHIAYwBlAEQAYQB0AGEAXwBMAGkAdgBlAHMAdABvAGMAawBfAEMAbwBtAG0AbwBuAF8ARgByAGEAYwBXAEUAVABNAE0AUwBcAG4ARgByAGEAYwBXAEUAVABNAE0AUwBpACAAPQAgAEYAcgBhAGMAdABpAG8AbgAgAG8AZgAgAE4AIABhAHYAYQBpAGwAYQBiAGwAZQAgAGYAbwByACAAbABlAGEAYwBoAGkAbgBnACAAYQBuAGQAIAByAHUAbgBvAGYAZgBcAG4AKABUAGEAYgBsAGUAIABBADUALgA1AC4AMQAwAC4AMgAgAGkAcwAgAHIAZQBmAGUAcgBlAG4AYwBlAGQAIABpAG4AIABOAEkAUgAgAGIAdQB0ACAAMQAgAGkAcwAgAHUAcwBlAGQAKQBcAG4ALQAtAC0ALQAtAC0ALQAtAC0ALQAtAC0ALQAtAC0ALQAtAC0ALQAtAC0ALQAtAC0ALQAtAC0ALQAtAC0ALQAtAC0ALQAtAC0ALQAtAFwAbgAqAC8AXABuAFwAbgBTAG8AdQByAGMAZQBEAGEAdABhAF8ATABpAHYAZQBzAHQAbwBjAGsAXwBDAG8AbQBtAG8AbgBfAEYAcgBhAGMAVwBFAFQATQBNAFMAXwBUAGkAdABsAGUAXABuACAAIAA9AEwAQQBNAEIARABBACgAXAAiAEYAcgBhAGMAdABpAG8AbgAgAG8AZgAgAE4AIABhAHYAYQBpAGwAYQBiAGwAZQAgAGYAbwByACAAbABlAGEAYwBoAGkAbgBnACAAYQBuAGQAIAByAHUAbgBvAGYAZgBcACIAKQA7AFwAbgBcAG4AUwBvAHUAcgBjAGUARABhAHQAYQBfAEwAaQB2AGUAcwB0AG8AYwBrAF8AQwBvAG0AbQBvAG4AXwBGAHIAYQBjAFcARQBUAE0ATQBTAF8AVQBuAGkAdABcAG4AIAAgAD0ATABBAE0AQgBEAEEAKABcACIARgByAGEAYwB0AGkAbwBuAFwAIgApADsAXABuAFwAbgBTAG8AdQByAGMAZQBEAGEAdABhAF8ATABpAHYAZQBzAHQAbwBjAGsAXwBDAG8AbQBtAG8AbgBfAEYAcgBhAGMAVwBFAFQATQ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FcARQBUAE0ATQBTAF8ARABhAHQAYQBcAG4AIAAgAD0ATABBAE0AQgBEAEEAKAAxACkAOwBcAG4AXABuAC8AKgAgAFwAbgAtAC0ALQAtAC0ALQAtAC0ALQAtAC0ALQAtAC0ALQAtAC0ALQAtAC0ALQAtAC0ALQAtAC0ALQAtAC0ALQAtAC0ALQAtAC0ALQAtAC0AXABuAFMAbwB1AHIAYwBlAEQAYQB0AGEAXwBMAGkAdgBlAHMAdABvAGMAawBfAEMAbwBtAG0AbwBuAF8ARgByAGEAYwBMAEUAQQBDAEgAXwBNAFMAXABuAEYAcgBhAGMATABFAEEAQwBIAF8ATQBTACAAPQAgADAALgAwADIAIAAoAEcAZwAgAE4ALwBHAGcAIABhAHAAcABsAGkAZQBkACkAIAAoAEMAUwAgAEUARgAsACAAcwBvAHUAcgBjAGUAIABJAFAAQwBDACAAKAAyADAAMQA5ACkAKQAgAFwAbgBmAHIAYQBjAHQAaQBvAG4AIABvAGYAIABOACAAbABvAHMAdAAgAHQAaAByAG8AdQBnAGgAIABsAGUAYQBjAGgAaQBuAGcAIABhAG4AZAAgAHIAdQBuAG8AZgBmAFwAbgAtAC0ALQAtAC0ALQAtAC0ALQAtAC0ALQAtAC0ALQAtAC0ALQAtAC0ALQAtAC0ALQAtAC0ALQAtAC0ALQAtAC0ALQAtAC0ALQAtAC0AXABuACoALwBcAG4AXABuAFMAbwB1AHIAYwBlAEQAYQB0AGEAXwBMAGkAdgBlAHMAdABvAGMAawBfAEMAbwBtAG0AbwBuAF8ARgByAGEAYwBMAEUAQQBDAEgAXwBNAFMAXwBUAGkAdABsAGUAXABuACAAIAA9AEwAQQBNAEIARABBACgAXAAiAEYAcgBhAGMAdABpAG8AbgAgAG8AZgAgAE4AIABsAG8AcwB0ACAAdABoAHIAbwB1AGcAaAAgAGwAZQBhAGMAaABpAG4AZwAgAGEAbgBkACAAcgB1AG4AbwBmAGYAXAAiACkAOwBcAG4AXABuAFMAbwB1AHIAYwBlAEQAYQB0AGEAXwBMAGkAdgBlAHMAdABvAGMAawBfAEMAbwBtAG0AbwBuAF8ARgByAGEAYwBMAEUAQQBDAEgAXwBNAFMAXwBVAG4AaQB0AFwAbgAgACAAPQBMAEEATQBCAEQAQQAoAFwAIgBGAHIAYQBjAHQAaQBvAG4AXAAiACkAOwBcAG4AXABuAFMAbwB1AHIAYwBlAEQAYQB0AGEAXwBMAGkAdgBlAHMAdABvAGMAawBfAEMAbwBtAG0AbwBuAF8ARgByAGEAYwBMAEUAQQBDAEgAXw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EwARQBBAEMASABfAE0AUwBfAEQAYQB0AGEAXABuACAAIAA9AEwAQQBNAEIARABBACgAXABuACAAIAAgACAATQBBAEsARQBBAFIAUgBBAFkAKAA4ACwAIAAyACwAIABcAG4AIAAgACAAIAAgACAATABBAE0AQgBEAEEAKAByACwAYwAsACAAXABuACAAIAAgACAAIAAgACAAIABJAE4ARABFAFgAKAB7AFwAbgAgACAAIAAgACAAIAAgACAAIAAgAFwAIgBQAHIAbwBkAHUAYwB0AGkAbwBuACAAcwB5AHMAdABlAG0AXAAiACwAIABcACIARQBtAGkAcwBzAGkAbwBuACAAZgBhAGMAdABvAHIAXAAiADsAXABuACAAIAAgACAAIAAgACAAIAAgACAAIAAgAFwAIgBJAHIAcgBpAGcAYQB0AGUAZAAgAHAAYQBzAHQAdQByAGUAXAAiACwAIAAwAC4AMAAwADUAOQA7AFwAbgAgACAAIAAgACAAIAAgACAAIAAgACAAIABcACIASQByAHIAaQBnAGEAdABlAGQAIABjAHIAbwBwAFwAIgAsACAAMAAuADAAMAA3ADsAXABuACAAIAAgACAAIAAgACAAIAAgACAAIAAgAFwAIgBOAG8AbgAtAGkAcgByAGkAZwBhAHQAZQBkACAAcABhAHMAdAB1AHIAZQBcACIALAAgADAALgAwADAAMQA4ADsAXABuACAAIAAgACAAIAAgACAAIAAgACAAIAAgAFwAIgBOAG8AbgAtAGkAcgByAGkAZwBhAHQAZQBkACAAYwByAG8AcABcACIALAAgADAALgAwADAANAAxADsAXABuACAAIAAgACAAIAAgACAAIAAgACAAIAAgAFwAIgBTAHUAZwBhAHIAIABjAGEAbgBlAFwAIgAsACAAMAAuADAAMQA5ADkAOwBcAG4AIAAgACAAIAAgACAAIAAgACAAIAAgACAAXAAiAEMAbwB0AHQAbwBuAFwAIgAsACAAMAAuADAAMAA1ADMAOwBcAG4AIAAgACAAIAAgACAAIAAgACAAIAAgACAAXAAiAEgAbwByAHQAaQBjAHUAbAB0AHUAcgBlAFwAIgAsACAAMAAuADAAMAA2ADQ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DAG8AbQBtAG8AbgBfAFMAeQBtAGIAbwBsAHMATQBNAFMAXABuAFQAYQBiAGwAZQAgADUALgAxADIAIABBAGQAZABpAHQAaQBvAG4AYQBsACAAcwB5AG0AYgBvAGwAcwAgAHUAcwBlAGQAIABpAG4AIABhAGwAZwBvAHIAaQB0AGgAbQBzACAAZgBvAHIAIABtAGEAbgB1AHIAZQAgAHIAZQBsAGEAdABlAGQAIABlAG0AaQBzAHMAaQBvAG4AcwBcAG4ALQAtAC0ALQAtAC0ALQAtAC0ALQAtAC0ALQAtAC0ALQAtAC0ALQAtAC0ALQAtAC0ALQAtAC0ALQAtAC0ALQAtAC0ALQAtAC0ALQAtAFwAbgAqAC8AXABuAFwAbgBTAG8AdQByAGMAZQBEAGEAdABhAF8ATABpAHYAZQBzAHQAbwBjAGsAXwBDAG8AbQBtAG8AbgBfAFMAeQBtAGIAbwBsAHMATQBNAFMAXwBUAGkAdABsAGUAXABuACAAIAA9AEwAQQBNAEIARABBACgAXAAiAFQAYQBiAGwAZQAgADUALgAxADIAIABBAGQAZABpAHQAaQBvAG4AYQBsACAAcwB5AG0AYgBvAGwAcwAgAHUAcwBlAGQAIABpAG4AIABhAGwAZwBvAHIAaQB0AGgAbQBzACAAZgBvAHIAIABtAGEAbgB1AHIAZQAgAHIAZQBsAGEAdABlAGQAIABlAG0AaQBzAHMAaQBvAG4AcwBcACIAKQA7AFwAbgBcAG4AUwBvAHUAcgBjAGUARABhAHQAYQBfAEwAaQB2AGUAcwB0AG8AYwBrAF8AQwBvAG0AbQBvAG4AXwBTAHkAbQBiAG8AbABzAE0ATQBTAF8AVgBhAGkAcgBhAGIAbABlAFwAbgAgACAAPQBMAEEATQBCAEQAQQAoAFwAIgBNAE0AUwBcACIAKQA7AFwAbgBcAG4AUwBvAHUAcgBjAGUARABhAHQAYQBfAEwAaQB2AGUAcwB0AG8AYwBrAF8AQwBvAG0AbQBvAG4AXwBTAHkAbQBiAG8AbABzAE0ATQBTAF8AVQBuAGkAdABcAG4AIAAgAD0ATABBAE0AQgBEAEEAKABcACIAXAAiACkAOwBcAG4AXABuAFMAbwB1AHIAYwBlAEQAYQB0AGEAXwBMAGkAdgBlAHMAdABvAGMAawBfAEMAbwBtAG0AbwBuAF8AUwB5AG0AYgBvAGwAcwBNAE0AUwBfAFMAbwB1AHIAYwBlAFwAbgAgACAAPQBMAEEATQBCAEQAQQAoAFwAIgBOAGEAdABpAG8AbgBhAGwAIABJAG4AdgBlAG4AdABvAHIAeQAgAFIAZQBwAG8AcgB0ACAAMgAwADIAMwAgAFYAbwBsAHUAbQBlACAAMQA6ACAAVABhAGIAbABlACAANQAuADEAMgBcACIAKQA7AFwAbgBcAG4AUwBvAHUAcgBjAGUARABhAHQAYQBfAEwAaQB2AGUAcwB0AG8AYwBrAF8AQwBvAG0AbQBvAG4AXwBTAHkAbQBiAG8AbABzAE0ATQBTAF8ARABhAHQAYQBcAG4AIAAgAD0ATABBAE0AQgBEAEEAKABcAG4AIAAgACAAIABNAEEASwBFAEEAUgBSAEEAWQAoADEAOQAsACAAMwAsACAAXABuACAAIAAgACAAIAAgAEwAQQBNAEIARABBACgAcgAsAGMALAAgAFwAbgAgACAAIAAgACAAIAAgACAASQBOAEQARQBYACgAewBcAG4AIAAgACAAIAAgACAAIAAgACAAIABcACIAUwB5AG0AYgBvAGwAXAAiACwAIABcACIATQBhAG4AdQByAGUAIABtAGEAbgBhAGcAZQBtAGUAbgB0ACAAcwB5AHMAdABlAG0AXAAiACwAIABcACIAXAAiADsAXABuACAAIAAgACAAIAAgACAAIAAgACAAIAAgAFwAIgAxAFwAIgAsACAAXAAiAEEAbgBhAGUAcgBvAGIAaQBjACAAbABhAGcAbwBvAG4AXAAiACwAIABcACIAQQBuAGEAZQByAG8AYgBpAGMAIABsAGEAZwBvAG8AbgAgACgAbQA9ADEAKQBcACIAOwBcAG4AIAAgACAAIAAgACAAIAAgACAAIAAgACAAXAAiADIAXAAiACwAIABcACIATABpAHEAdQBpAGQAIABzAHkAcwB0AGUAbQBzAFwAIgAsACAAXAAiAEwAaQBxAHUAaQBkACAAcwB5AHMAdABlAG0AcwAgACgAbQA9ADIAKQBcACIAOwBcAG4AIAAgACAAIAAgACAAIAAgACAAIAAgACAAXAAiADMAXAAiACwAIABcACIARABhAGkAbAB5ACAAcwBwAHIAZQBhAGQAXAAiACwAIABcACIARABhAGkAbAB5ACAAcwBwAHIAZQBhAGQAIAAoAG0APQAzACkAXAAiADsAXABuACAAIAAgACAAIAAgACAAIAAgACAAIAAgAFwAIgAzAGEAXAAiACwAIABcACIAUwB1AG0AcAAgAGEAbgBkACAAZABpAHMAcABlAHIAcwBhAGwAIABzAHkAcwB0AGUAbQBcACIALAAgAFwAIgBTAHUAbQBwACAAYQBuAGQAIABkAGkAcwBwAGUAcgBzAGEAbAAgAHMAeQBzAHQAZQBtACAAKABtAD0AMwBhACkAXAAiADsAXABuACAAIAAgACAAIAAgACAAIAAgACAAIAAgAFwAIgAzAGIAXAAiACwAIABcACIARAByAGEAaQBuAHMAIAB0AG8AIABwAGEAZABkAG8AYwBrAFwAIgAsACAAXAAiAEQAcgBhAGkAbgBzACAAdABvACAAcABhAGQAZABvAGMAawAgACgAbQA9ADMAYgApAFwAIgA7AFwAbgAgACAAIAAgACAAIAAgACAAIAAgACAAIABcACIANABcACIALAAgAFwAIgBTAG8AbABpAGQAIABzAHQAbwByAGEAZwBlAFwAIgAsACAAXAAiAFMAbwBsAGkAZAAgAHMAdABvAHIAYQBnAGUAIAAoAG0APQA0ACkAXAAiADsAXABuACAAIAAgACAAIAAgACAAIAAgACAAIAAgAFwAIgA1AFwAIgAsACAAXAAiAEQAcgB5AGwAbwB0ACAAKABmAGUAZQBkACAAcABhAGQAKQBcACIALAAgAFwAIgBEAHIAeQBsAG8AdAAgACgAZgBlAGUAZAAgAHAAYQBkACkAIAAoAG0APQA1ACkAXAAiADsAXABuACAAIAAgACAAIAAgACAAIAAgACAAIAAgAFwAIgA2AFwAIgAsACAAXAAiAEMAbwBtAHAAbwBzAHQAaQBuAGcAIAAoAHAAYQBzAHMAaQB2AGUAIAB3AGkAbgBkAHIAbwB3ACkAXAAiACwAIABcACIAQwBvAG0AcABvAHMAdABpAG4AZwAgACgAcABhAHMAcwBpAHYAZQAgAHcAaQBuAGQAcgBvAHcAKQAgACgAbQA9ADYAKQBcACIAOwBcAG4AIAAgACAAIAAgACAAIAAgACAAIAAgACAAXAAiADcAXAAiACwAIABcACIARABpAGcAZQBzAHQAZQByACAALwAgAGMAbwB2AGUAcgBlAGQAIABsAGEAZwBvAG8AbgBzAFwAIgAsACAAXAAiAEQAaQBnAGUAcwB0AGUAcgAgAC8AIABjAG8AdgBlAHIAZQBkACAAbABhAGcAbwBvAG4AcwAgACgAbQA9ADcAKQBcACIAOwBcAG4AIAAgACAAIAAgACAAIAAgACAAIAAgACAAXAAiADgAXAAiACwAIABcACIARABlAGUAcAAgAGwAaQB0AHQAZQByAFwAIgAsACAAXAAiAEQAZQBlAHAAIABsAGkAdAB0AGUAcgAgACgAbQA9ADgAKQBcACIAOwBcAG4AIAAgACAAIAAgACAAIAAgACAAIAAgACAAXAAiADkAXAAiACwAIABcACIAUABpAHQAIABzAHQAbwByAGEAZwBlAFwAIgAsACAAXAAiAFAAaQB0ACAAcwB0AG8AcgBhAGcAZQAgACgAbQA9ADkAKQBcACIAOwBcAG4AIAAgACAAIAAgACAAIAAgACAAIAAgACAAXAAiADEAMABcACIALAAgAFwAIgBQAG8AdQBsAHQAcgB5ACAAbQBhAG4AdQByAGUAIAB3AGkAdABoACAAYgBlAGQAZABpAG4AZwBcACIALAAgAFwAIgBQAG8AdQBsAHQAcgB5ACAAbQBhAG4AdQByAGUAIAB3AGkAdABoACAAYgBlAGQAZABpAG4AZwAgACgAbQA9ADEAMAApAFwAIgA7AFwAbgAgACAAIAAgACAAIAAgACAAIAAgACAAIABcACIAMQAxAFwAIgAsACAAXAAiAFAAbwB1AGwAdAByAHkAIABtAGEAbgB1AHIAZQAgAHcAaQB0AGgAbwB1AHQAIABiAGUAZABkAGkAbgBnAFwAIgAsACAAXAAiAFAAbwB1AGwAdAByAHkAIABtAGEAbgB1AHIAZQAgAHcAaQB0AGgAbwB1AHQAIABiAGUAZABkAGkAbgBnACAAKABtAD0AMQAxACkAXAAiADsAXABuACAAIAAgACAAIAAgACAAIAAgACAAIAAgAFwAIgAxADEAYQBcACIALAAgAFwAIgBCAGUAbAB0ACAAbQBhAG4AdQByAGUAIAByAGUAbQBvAHYAYQBsAFwAIgAsACAAXAAiAEIAZQBsAHQAIABtAGEAbgB1AHIAZQAgAHIAZQBtAG8AdgBhAGwAIAAoAG0APQAxADEAYQApAFwAIgA7AFwAbgAgACAAIAAgACAAIAAgACAAIAAgACAAIABcACIAMQAxAGIAXAAiACwAIABcACIATQBhAG4AdQByAGUAIABzAHQAbwByAGUAZAAgAGkAbgAgAGgAbwB1AHMAZQBcACIALAAgAFwAIgBNAGEAbgB1AHIAZQAgAHMAdABvAHIAZQBkACAAaQBuACAAaABvAHUAcwBlACAAKABtAD0AMQAxAGIAKQBcACIAOwBcAG4AIAAgACAAIAAgACAAIAAgACAAIAAgACAAXAAiADEAMgBcACIALAAgAFwAIgBEAGkAcgBlAGMAdAAgAHAAcgBvAGMAZQBzAHMAaQBuAGcAXAAiACwAIABcACIARABpAHIAZQBjAHQAIABwAHIAbwBjAGUAcwBzAGkAbgBnACAAKABtAD0AMQAyACkAXAAiADsAXABuACAAIAAgACAAIAAgACAAIAAgACAAIAAgAFwAIgAxADMAXAAiACwAIABcACIARABpAHIAZQBjAHQAIABhAHAAcABsAGkAYwBhAHQAaQBvAG4AXAAiACwAIABcACIARABpAHIAZQBjAHQAIABhAHAAcABsAGkAYwBhAHQAaQBvAG4AIAAoAG0APQAxADMAKQBcACIAOwBcAG4AIAAgACAAIAAgACAAIAAgACAAIAAgACAAXAAiADEANABcACIALAAgAFwAIgBQAGEAcwB0AHUAcgBlACAAcgBhAG4AZwBlACAAYQBuAGQAIABwAGEAZABkAG8AYwBrAFwAIgAsACAAXAAiAFAAYQBzAHQAdQByAGUAIAByAGEAbgBnAGUAIABhAG4AZAAgAHAAYQBkAGQAbwBjAGsAIAAoAG0APQAxADQAKQBcACI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QAHIAbwBkAHUAYwB0AF8AQgBlAGUAZgBDAGEAdAB0AGwAZQBcAG4ALQAtAC0ALQAtAC0ALQAtAC0ALQAtAC0ALQAtAC0ALQAtAC0ALQAtAC0ALQAtAC0ALQAtAC0ALQAtAC0ALQAtAC0ALQAtAC0ALQAtAFwAbgAqAC8AXABuAFwAbgBTAG8AdQByAGMAZQBEAGEAdABhAF8ATABpAHYAZQBzAHQAbwBjAGsAXwBQAHIAbwBkAHUAYwB0AF8AQgBlAGUAZgBDAGEAdAB0AGwAZQBfAFQAaQB0AGwAZQBcAG4AIAAgAD0ATABBAE0AQgBEAEEAKABcACIAQgBlAGUAZgAgAGMAYQB0AHQAbABlACAAcAByAG8AZAB1AGMAdABzACAAZgBvAHIAIABzAGMAbwBwAGUAIAAzAFwAIgApADsAXABuAFwAbgBTAG8AdQByAGMAZQBEAGEAdABhAF8ATABpAHYAZQBzAHQAbwBjAGsAXwBQAHIAbwBkAHUAYwB0AF8AQgBlAGUAZgBDAGEAdAB0AGwAZQBfAFYAYQBpAHIAYQBiAGwAZQBcAG4AIAAgAD0ATABBAE0AQgBEAEEAKABcACIAXAAiACkAOwBcAG4AXABuAFMAbwB1AHIAYwBlAEQAYQB0AGEAXwBMAGkAdgBlAHMAdABvAGMAawBfAFAAcgBvAGQAdQBjAHQAXwBCAGUAZQBmAEMAYQB0AHQAbABlAF8AVQBuAGkAdABcAG4AIAAgAD0ATABBAE0AQgBEAEEAKABcACIAXAAiACkAOwBcAG4AXABuAFMAbwB1AHIAYwBlAEQAYQB0AGEAXwBMAGkAdgBlAHMAdABvAGMAawBfAFAAcgBvAGQAdQBjAHQAXwBCAGUAZQBmAEMAYQB0AHQAbABl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CAGUAZQBmAEMAYQB0AHQAbABlAF8ARABhAHQAYQBcAG4AIAAgAD0ATABBAE0AQgBEAEEAKABcAG4AIAAgACAAIABNAEEASwBFAEEAUgBSAEEAWQAoADkALAAgADIALAAgAFwAbgAgACAAIAAgACAAIABMAEEATQBCAEQAQQAoAHIALABjACwAIABcAG4AIAAgACAAIAAgACAAIAAgAEkATgBEAEUAWAAoAHsAXABuACAAIAAgACAAIAAgACAAIAAgACAAXAAiAFAAcgBvAGQAdQBjAHQAXAAiACwAIABcACIAUwBvAHUAcgBjAGUAIAByAGUAZwBpAG8AbgBcACIAOwBcAG4AIAAgACAAIAAgACAAIAAgACAAIAAgACAAXAAiAEMAYQB0AHQAbABlACwAIABmAG8AcgAgAG0AYQBuAHUAZgBhAGMAdAB1AHIAaQBuAGcAIABiAGUAZQBmAFwAIgAsACAAXAAiAEEAdQBzAHQAcgBhAGwAaQBhAFwAIgA7AFwAbgAgACAAIAAgACAAIAAgACAAIAAgACAAIABcACIAQwBhAHQAdABsAGUALAAgAGYAbwByACAAcAByAGkAbQBlACAAYgBlAGUAZgBcACIALAAgAFwAIgBOAFMAVwBcACIAOwBcAG4AIAAgACAAIAAgACAAIAAgACAAIAAgACAAXAAiAEMAYQB0AHQAbABlACwAIAB3AGUAYQBuAGUAcgBzAFwAIgAsACAAXAAiAE4AVABcACIAOwBcAG4AIAAgACAAIAAgACAAIAAgACAAIAAgACAAXAAiAFwAIgAsACAAXAAiAFEATABEAFwAIgA7AFwAbgAgACAAIAAgACAAIAAgACAAIAAgACAAIABcACIAXAAiACwAIABcACIAUwBBAFwAIgA7AFwAbgAgACAAIAAgACAAIAAgACAAIAAgACAAIABcACIAXAAiACwAIABcACIAVABBAFMAXAAiADsAXABuACAAIAAgACAAIAAgACAAIAAgACAAIAAgAFwAIgBcACIALAAgAFwAIgBWAEkAQwBcACIAOwBcAG4AIAAgACAAIAAgACAAIAAgACAAIAAgACAAXAAiAFwAIgAsACAAXAAiAFcAQQBcACIAXABuACAAIAAgACAAIAAgACAAIAB9ACwAIAByACwAIABjACkAXABuACAAIAAgACAAIAAgACkAXABuACAAIAAgACAAKQBcAG4AIAAgACkAOwBcAG4AXABuAC8AKgAgAFwAbgAtAC0ALQAtAC0ALQAtAC0ALQAtAC0ALQAtAC0ALQAtAC0ALQAtAC0ALQAtAC0ALQAtAC0ALQAtAC0ALQAtAC0ALQAtAC0ALQAtAC0AXABuAFMAbwB1AHIAYwBlAEQAYQB0AGEAXwBMAGkAdgBlAHMAdABvAGMAawBfAFAAcgBvAGQAdQBjAHQAXwBDAGgAaQBjAGsAZQBuAHMAXABuAC0ALQAtAC0ALQAtAC0ALQAtAC0ALQAtAC0ALQAtAC0ALQAtAC0ALQAtAC0ALQAtAC0ALQAtAC0ALQAtAC0ALQAtAC0ALQAtAC0ALQBcAG4AKgAvAFwAbgBcAG4AUwBvAHUAcgBjAGUARABhAHQAYQBfAEwAaQB2AGUAcwB0AG8AYwBrAF8AUAByAG8AZAB1AGMAdABfAEMAaABpAGMAawBlAG4AcwBfAFQAaQB0AGwAZQBcAG4AIAAgAD0ATABBAE0AQgBEAEEAKABcACIAQwBoAGkAYwBrAGUAbgBzACAAcAByAG8AZAB1AGMAdABzACAAZgBvAHIAIABzAGMAbwBwAGUAIAAzAFwAIgApADsAXABuAFwAbgBTAG8AdQByAGMAZQBEAGEAdABhAF8ATABpAHYAZQBzAHQAbwBjAGsAXwBQAHIAbwBkAHUAYwB0AF8AQwBoAGkAYwBrAGUAbgBzAF8AVgBhAGkAcgBhAGIAbABlAFwAbgAgACAAPQBMAEEATQBCAEQAQQAoAFwAIgBcACIAKQA7AFwAbgBcAG4AUwBvAHUAcgBjAGUARABhAHQAYQBfAEwAaQB2AGUAcwB0AG8AYwBrAF8AUAByAG8AZAB1AGMAdABfAEMAaABpAGMAawBlAG4AcwBfAFUAbgBpAHQAXABuACAAIAA9AEwAQQBNAEIARABBACgAXAAiAFwAIgApADsAXABuAFwAbgBTAG8AdQByAGMAZQBEAGEAdABhAF8ATABpAHYAZQBzAHQAbwBjAGsAXwBQAHIAbwBkAHUAYwB0AF8AQwBoAGkAYwBrAGUAbg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DAGgAaQBjAGsAZQBuAHMAXwBEAGEAdABhAFwAbgAgACAAPQBMAEEATQBCAEQAQQAoAFwAbgAgACAAIAAgAE0AQQBLAEUAQQBSAFIAQQBZACgAMgAsACAAMgAsACAAXABuACAAIAAgACAAIAAgAEwAQQBNAEIARABBACgAcgAsAGMALAAgAFwAbgAgACAAIAAgACAAIAAgACAASQBOAEQARQBYACgAewBcAG4AIAAgACAAIAAgACAAIAAgACAAIABcACIAUAByAG8AZAB1AGMAdABcACIALAAgAFwAIgBTAG8AdQByAGMAZQAgAHIAZQBnAGkAbwBuAFwAIgA7AFwAbgAgACAAIAAgACAAIAAgACAAIAAgACAAIABcACIAQwBoAGkAYwBrAGUAbgBzAFwAIgAsACAAXAAiAEEAdQBzAHQAcgBhAGwAaQBh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EAGEAaQByAHkAYwBhAHQAdABsAGUAXABuAC0ALQAtAC0ALQAtAC0ALQAtAC0ALQAtAC0ALQAtAC0ALQAtAC0ALQAtAC0ALQAtAC0ALQAtAC0ALQAtAC0ALQAtAC0ALQAtAC0ALQBcAG4AKgAvAFwAbgBcAG4AUwBvAHUAcgBjAGUARABhAHQAYQBfAEwAaQB2AGUAcwB0AG8AYwBrAF8AUAByAG8AZAB1AGMAdABfAEQAYQBpAHIAeQBjAGEAdAB0AGwAZQBfAFQAaQB0AGwAZQBcAG4AIAAgAD0ATABBAE0AQgBEAEEAKABcACIARABhAGkAcgB5ACAAYwBhAHQAdABsAGUAIABwAHIAbwBkAHUAYwB0AHMAIABmAG8AcgAgAHMAYwBvAHAAZQAgADMAXAAiACkAOwBcAG4AXABuAFMAbwB1AHIAYwBlAEQAYQB0AGEAXwBMAGkAdgBlAHMAdABvAGMAawBfAFAAcgBvAGQAdQBjAHQAXwBEAGEAaQByAHkAYwBhAHQAdABsAGUAXwBWAGEAaQByAGEAYgBsAGUAXABuACAAIAA9AEwAQQBNAEIARABBACgAXAAiAFwAIgApADsAXABuAFwAbgBTAG8AdQByAGMAZQBEAGEAdABhAF8ATABpAHYAZQBzAHQAbwBjAGsAXwBQAHIAbwBkAHUAYwB0AF8ARABhAGkAcgB5AGMAYQB0AHQAbABlAF8AVQBuAGkAdABcAG4AIAAgAD0ATABBAE0AQgBEAEEAKABcACIAXAAiACkAOwBcAG4AXABuAFMAbwB1AHIAYwBlAEQAYQB0AGEAXwBMAGkAdgBlAHMAdABvAGMAawBfAFAAcgBvAGQAdQBjAHQAXwBEAGEAaQByAHkAYwBhAHQAdABsAGUAXwBTAG8AdQByAGMAZQBcAG4AIAAgAD0ATABBAE0AQgBEAEE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7AFwAbgBcAG4AUwBvAHUAcgBjAGUARABhAHQAYQBfAEwAaQB2AGUAcwB0AG8AYwBrAF8AUAByAG8AZAB1AGMAdABfAEQAYQBpAHIAeQBjAGEAdAB0AGwAZQBfAEQAYQB0AGEAXABuACAAIAA9AEwAQQBNAEIARABBACgAXABuACAAIAAgACAATQBBAEsARQBBAFIAUgBBAFkAKAAyACwAIAAyACwAIABcAG4AIAAgACAAIAAgACAATABBAE0AQgBEAEEAKAByACwAYwAsACAAXABuACAAIAAgACAAIAAgACAAIABJAE4ARABFAFgAKAB7AFwAbgAgACAAIAAgACAAIAAgACAAIAAgAFwAIgBQAHIAbwBkAHUAYwB0AFwAIgAsACAAXAAiAFMAbwB1AHIAYwBlACAAcgBlAGcAaQBvAG4AXAAiADsAXABuACAAIAAgACAAIAAgACAAIAAgACAAIAAgAFwAIgBEAGEAaQByAHkAIABjAG8AdwBzAFwAIgAsACAAXAAiAFYASQBD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QAGkAZwBzAFwAbgAtAC0ALQAtAC0ALQAtAC0ALQAtAC0ALQAtAC0ALQAtAC0ALQAtAC0ALQAtAC0ALQAtAC0ALQAtAC0ALQAtAC0ALQAtAC0ALQAtAC0AXABuACoALwBcAG4AXABuAFMAbwB1AHIAYwBlAEQAYQB0AGEAXwBMAGkAdgBlAHMAdABvAGMAawBfAFAAcgBvAGQAdQBjAHQAXwBQAGkAZwBzAF8AVABpAHQAbABlAFwAbgAgACAAPQBMAEEATQBCAEQAQQAoAFwAIgBQAGkAZwBzACAAcAByAG8AZAB1AGMAdABzACAAZgBvAHIAIABzAGMAbwBwAGUAIAAzAFwAIgApADsAXABuAFwAbgBTAG8AdQByAGMAZQBEAGEAdABhAF8ATABpAHYAZQBzAHQAbwBjAGsAXwBQAHIAbwBkAHUAYwB0AF8AUABpAGcAcwBfAFYAYQBpAHIAYQBiAGwAZQBcAG4AIAAgAD0ATABBAE0AQgBEAEEAKABcACIAXAAiACkAOwBcAG4AXABuAFMAbwB1AHIAYwBlAEQAYQB0AGEAXwBMAGkAdgBlAHMAdABvAGMAawBfAFAAcgBvAGQAdQBjAHQAXwBQAGkAZwBzAF8AVQBuAGkAdABcAG4AIAAgAD0ATABBAE0AQgBEAEEAKABcACIAXAAiACkAOwBcAG4AXABuAFMAbwB1AHIAYwBlAEQAYQB0AGEAXwBMAGkAdgBlAHMAdABvAGMAawBfAFAAcgBvAGQAdQBjAHQAXwBQAGkAZw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QAGkAZwBzAF8ARABhAHQAYQBcAG4AIAAgAD0ATABBAE0AQgBEAEEAKABcAG4AIAAgACAAIABNAEEASwBFAEEAUgBSAEEAWQAoADIALAAgADIALAAgAFwAbgAgACAAIAAgACAAIABMAEEATQBCAEQAQQAoAHIALABjACwAIABcAG4AIAAgACAAIAAgACAAIAAgAEkATgBEAEUAWAAoAHsAXABuACAAIAAgACAAIAAgACAAIAAgACAAXAAiAFAAcgBvAGQAdQBjAHQAXAAiACwAIABcACIAUwBvAHUAcgBjAGUAIAByAGUAZwBpAG8AbgBcACIAOwBcAG4AIAAgACAAIAAgACAAIAAgACAAIAAgACAAXAAiAFAAaQBnAHMAXAAiACwAIABcACIAQQB1AHMAdAByAGEAbABpAGEAXAAiAFwAbgAgACAAIAAgACAAIAAgACAAfQAsACAAcgAsACAAYwApAFwAbgAgACAAIAAgACAAIAApAFwAbgAgACAAIAAgACkAXABuACAAIAApADsAXABuAFwAbgAvACoAIABcAG4ALQAtAC0ALQAtAC0ALQAtAC0ALQAtAC0ALQAtAC0ALQAtAC0ALQAtAC0ALQAtAC0ALQAtAC0ALQAtAC0ALQAtAC0ALQAtAC0ALQAtAFwAbgBTAG8AdQByAGMAZQBEAGEAdABhAF8ATABpAHYAZQBzAHQAbwBjAGsAXwBQAHIAbwBkAHUAYwB0AF8AUwBoAGUAZQBwAFwAbgAtAC0ALQAtAC0ALQAtAC0ALQAtAC0ALQAtAC0ALQAtAC0ALQAtAC0ALQAtAC0ALQAtAC0ALQAtAC0ALQAtAC0ALQAtAC0ALQAtAC0AXABuACoALwBcAG4AXABuAFMAbwB1AHIAYwBlAEQAYQB0AGEAXwBMAGkAdgBlAHMAdABvAGMAawBfAFAAcgBvAGQAdQBjAHQAXwBTAGgAZQBlAHAAXwBUAGkAdABsAGUAXABuACAAIAA9AEwAQQBNAEIARABBACgAXAAiAFMAaABlAGUAcAAgAHAAcgBvAGQAdQBjAHQAcwAgAGYAbwByACAAcwBjAG8AcABlACAAMwBcACIAKQA7AFwAbgBcAG4AUwBvAHUAcgBjAGUARABhAHQAYQBfAEwAaQB2AGUAcwB0AG8AYwBrAF8AUAByAG8AZAB1AGMAdABfAFMAaABlAGUAcABfAFYAYQBpAHIAYQBiAGwAZQBcAG4AIAAgAD0ATABBAE0AQgBEAEEAKABcACIAXAAiACkAOwBcAG4AXABuAFMAbwB1AHIAYwBlAEQAYQB0AGEAXwBMAGkAdgBlAHMAdABvAGMAawBfAFAAcgBvAGQAdQBjAHQAXwBTAGgAZQBlAHAAXwBVAG4AaQB0AFwAbgAgACAAPQBMAEEATQBCAEQAQQAoAFwAIgBcACIAKQA7AFwAbgBcAG4AUwBvAHUAcgBjAGUARABhAHQAYQBfAEwAaQB2AGUAcwB0AG8AYwBrAF8AUAByAG8AZAB1AGMAdABfAFMAaABlAGUAcABfAFMAbwB1AHIAYwBlAFwAbgAgACAAPQBMAEEATQBCAEQAQQ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DsAXABuAFwAbgBTAG8AdQByAGMAZQBEAGEAdABhAF8ATABpAHYAZQBzAHQAbwBjAGsAXwBQAHIAbwBkAHUAYwB0AF8AUwBoAGUAZQBwAF8ARABhAHQAYQBcAG4AIAAgAD0ATABBAE0AQgBEAEEAKABcAG4AIAAgACAAIABNAEEASwBFAEEAUgBSAEEAWQAoADgALAAgADIALAAgAFwAbgAgACAAIAAgACAAIABMAEEATQBCAEQAQQAoAHIALABjACwAIABcAG4AIAAgACAAIAAgACAAIAAgAEkATgBEAEUAWAAoAHsAXABuACAAIAAgACAAIAAgACAAIAAgACAAXAAiAFAAcgBvAGQAdQBjAHQAXAAiACwAIABcACIAUwBvAHUAcgBjAGUAIAByAGUAZwBpAG8AbgBcACIAOwBcAG4AIAAgACAAIAAgACAAIAAgACAAIAAgACAAXAAiAFMAaABlAGUAcAAsACAAZgBvAHIAIABtAHUAdAB0AG8AbgBcACIALAAgAFwAIgBBAHUAcwB0AHIAYQBsAGkAYQBcACIAOwBcAG4AIAAgACAAIAAgACAAIAAgACAAIAAgACAAXAAiAFMAaABlAGUAcAAsACAAZgBvAHIAIABwAHIAaQBtAGUAIABsAGEAbQBiAFwAIgAsACAAXAAiAE4AUwBXAFwAIgA7AFwAbgAgACAAIAAgACAAIAAgACAAIAAgACAAIABcACIAXAAiACwAIABcACIAUQBMAEQAXAAiADsAXABuACAAIAAgACAAIAAgACAAIAAgACAAIAAgAFwAIgBcACIALAAgAFwAIgBTAEEAXAAiADsAXABuACAAIAAgACAAIAAgACAAIAAgACAAIAAgAFwAIgBcACIALAAgAFwAIgBUAEEAUwBcACIAOwBcAG4AIAAgACAAIAAgACAAIAAgACAAIAAgACAAXAAiAFwAIgAsACAAXAAiAFYASQBDAFwAIgA7AFwAbgAgACAAIAAgACAAIAAgACAAIAAgACAAIABcACIAXAAiACwAIABcACIAVwBBAFwAIgBcAG4AIAAgACAAIAAgACAAIAAgAH0ALAAgAHIALAAgAGMAKQBcAG4AIAAgACAAIAAgACAAKQBcAG4AIAAgACAAIAApAFwAbgAgACAAKQA7AFwAbgBcAG4AIgB9ACwAewAiAHAAYQB0AGgAIgA6ACIALwBwAHIAbwBqAGUAYwB0AHMALwBTAG8AdQByAGMAZQBEAGEAdABhAF8AUABhAHMAdAB1AHIAZQBCAGUAZQBmACIALAAiAHQAZQB4AHQAIgA6ACIAXABuAC8AKgAgAFwAbgAtAC0ALQAtAC0ALQAtAC0ALQAtAC0ALQAtAC0ALQAtAC0ALQAtAC0ALQAtAC0ALQAtAC0ALQAtAC0ALQAtAC0ALQAtAC0ALQAtAC0AXABuAFMAbwB1AHIAYwBlAEQAYQB0AGEAXwBQAGEAcwB0AHUAcgBlAEIAZQBlAGYAXwBMAGkAdgBlAHcAZQBpAGcAaAB0AFwAbgBUAGEAYgBsAGUAIABBAC4AMQAuADIALgAxADoAIABCAGUAZQBmACAAcABhAHMAdAB1AHIAZQAgAGMAYQB0AHQAbABlACAALQAgAEwAaQB2AGUAdwBlAGkAZwBoAHQAIAAoAGsAZwApACAAKABXAGoAawBsACkAXABuAC0ALQAtAC0ALQAtAC0ALQAtAC0ALQAtAC0ALQAtAC0ALQAtAC0ALQAtAC0ALQAtAC0ALQAtAC0ALQAtAC0ALQAtAC0ALQAtAC0ALQBcAG4AKgAvAFwAbgBcAG4AUwBvAHUAcgBjAGUARABhAHQAYQBfAFAAYQBzAHQAdQByAGUAQgBlAGUAZgBfAEwAaQB2AGUAdwBlAGkAZwBoAHQAXwBUAGkAdABsAGUAXABuACAAIAA9AEwAQQBNAEIARABBACgAXAAiAEIAZQBlAGYAIABwAGEAcwB0AHUAcgBlACAAYwBhAHQAdABsAGUAIAAtACAATABpAHYAZQB3AGUAaQBnAGgAdAAgACgAawBnACkAIAAoAFcAagBrAGwAKQBcACIAKQA7AFwAbgBcAG4AUwBvAHUAcgBjAGUARABhAHQAYQBfAFAAYQBzAHQAdQByAGUAQgBlAGUAZgBfAEwAaQB2AGUAdwBlAGkAZwBoAHQAXwBWAGEAcgBpAGEAYgBsAGUAXABuACAAIAA9AEwAQQBNAEIARABBACgAXAAiAFcAagBrAGwAXAAiACkAOwBcAG4AXABuAFMAbwB1AHIAYwBlAEQAYQB0AGEAXwBQAGEAcwB0AHUAcgBlAEIAZQBlAGYAXwBMAGkAdgBlAHcAZQBpAGcAaAB0AF8AVQBuAGkAdABcAG4AIAAgAD0ATABBAE0AQgBEAEEAKABcACIAawBnAFwAIgApADsAXABuAFwAbgBTAG8AdQByAGMAZQBEAGEAdABhAF8AUABhAHMAdAB1AHIAZQBCAGUAZQBmAF8ATABpAHYAZQB3AGUAaQBnAGgAdABfAFMAbwB1AHIAYwBlAFwAbgAgACAAPQBMAEEATQBCAEQAQQAoAFwAIgBWAEUARQBSAEcAIAAyADAAMgA2ADoAIABUAGEAYgBsAGUAIABBAC4AMQAuADIALgAxAFwAIgApADsAXABuAFwAbgBTAG8AdQByAGMAZQBEAGEAdABhAF8AUABhAHMAdAB1AHIAZQBCAGUAZQBmAF8ATABpAHYAZQB3AGUAaQBnAGgAdABfAFYAYQByAGkAYQB0AGkAbwBuAFwAbgAgACAAPQBMAEEATQBCAEQAQQAoAFwAIgBcACIAKQA7AFwAbgBcAG4AUwBvAHUAcgBjAGUARABhAHQAYQBfAFAAYQBzAHQAdQByAGUAQgBlAGUAZgBfAEwAaQB2AGUAdwBlAGkAZwBoAHQAXwBEAGEAdABhAFwAbgAgACAAPQBMAEEATQBCAEQAQQAoAFwAbgAgACAAIAAgAE0AQQBLAEUAQQBSAFIAQQBZACgAMgA5ACwAIAAxADAALABcAG4AIAAgACAAIAAgACAATABBAE0AQgBEAEEAKAByACwAYwAsAFwAbgAgACAAIAAgACAAIAAgACAASQBOAEQARQBYACgAewBcAG4AIAAgACAAIAAgACAAIAAgACAAIABcACIAUwB0AGEAdABlAFwAIgAsACAAXAAiAFIAZQBnAGkAbwBuAFwAIgAsACAAXAAiAFMAZQBhAHMAbwBuAFwAIgAsACAAXAAiAEIAdQBsAGwAIAA8ACAAMQBcACIALAAgAFwAIgBCAHUAbABsACAAPgAgADEAXAAiACwAIABcACIAQwBvAHcAIAA8ACAAMQBcACIALAAgAFwAIgBDAG8AdwAgADEALQAyAFwAIgAsACAAXAAiAEMAbwB3ACAAPgAgADIAXAAiACwAIABcACIAUwB0AGUAZQByACAAPAAgADEAXAAiACwAIABcACIAUwB0AGUAZQByACAAPgAgADEAXAAiADsAXABuACAAIAAgACAAIAAgACAAIAAgACAAXAAiAEEAQwBUAC8ATgBTAFcAXAAiACwAIABcACIAbgAvAGEAXAAiACwAIABcACIAUwBwAHIAaQBuAGcAXAAiACwAIAA4ADAALAAgADQAOAAwACwAIAA3ADUALAAgADMAMAAwACwAIAA0ADQAMAAsACAANwA1ACwAIAAzADgAMAA7AFwAbgAgACAAIAAgACAAIAAgACAAIAAgAFwAIgBBAEMAVAAvAE4AUwBXAFwAIgAsACAAXAAiAG4ALwBhAFwAIgAsACAAXAAiAFMAdQBtAG0AZQByAFwAIgAsACAAMQA3ADAALAAgADUAMgAwACwAIAAxADYAMAAsACAAMwA2ADAALAAgADQANwAwACwAIAAxADYAMAAsACAANAAyADAAOwBcAG4AIAAgACAAIAAgACAAIAAgACAAIABcACIAQQBDAFQALwBOAFMAVwBcACIALAAgAFwAIgBuAC8AYQBcACIALAAgAFwAIgBBAHUAdAB1AG0AbgBcACIALAAgADIANAAwACwAIAA1ADUAMAAsACAAMgAyADAALAAgADMAOQAwACwAIAA0ADkAMAAsACAAMgAyADAALAAgADQANQAwADsAXABuACAAIAAgACAAIAAgACAAIAAgACAAXAAiAEEAQwBUAC8ATgBTAFcAXAAiACwAIABcACIAbgAvAGEAXAAiACwAIABcACIAVwBpAG4AdABlAHIAXAAiACwAIAAyADgAMAAsACAANQA2ADAALAAgADIANgAwACwAIAA0ADEAMAAsACAANQAwADAALAAgADIANgAwACwAIAA0ADYAMAA7AFwAbgAgACAAIAAgACAAIAAgACAAIAAgAFwAIgBTAG8AdQB0AGgAIABBAHUAcwB0AHIAYQBsAGkAYQBcACIALAAgAFwAIgBuAC8AYQBcACIALAAgAFwAIgBTAHAAcgBpAG4AZwBcACIALAAgADIANQAwACwAIAA4ADAAMAAsACAAMgAyADAALAAgADQAMAAwACwAIAA1ADAAMAAsACAAMgAzADAALAAgADQAMgAwADsAXABuACAAIAAgACAAIAAgACAAIAAgACAAXAAiAFMAbwB1AHQAaAAgAEEAdQBzAHQAcgBhAGwAaQBhAFwAIgAsACAAXAAiAG4ALwBhAFwAIgAsACAAXAAiAFMAdQBtAG0AZQByAFwAIgAsACAAMwAyADAALAAgADgAMAAwACwAIAAyADgAMAAsACAANAAyADAALAAgADUAMAAwACwAIAAyADkAMAAsACAANAAyADAAOwBcAG4AIAAgACAAIAAgACAAIAAgACAAIABcACIAUwBvAHUAdABoACAAQQB1AHMAdAByAGEAbABpAGEAXAAiACwAIABcACIAbgAvAGEAXAAiACwAIABcACIAQQB1AHQAdQBtAG4AXAAiACwAIAA4ADAALAAgADcAMAAwACwAIAA3ADAALAAgADMAMAAwACwAIAA0ADUAMAAsACAANwA1ACwAIAA0ADAAMAA7AFwAbgAgACAAIAAgACAAIAAgACAAIAAgAFwAIgBTAG8AdQB0AGgAIABBAHUAcwB0AHIAYQBsAGkAYQBcACIALAAgAFwAIgBuAC8AYQBcACIALAAgAFwAIgBXAGkAbgB0AGUAcgBcACIALAAgADEANgAwACwAIAA3ADAAMAAsACAAMQA0ADAALAAgADMANQAwACwAIAA0ADUAMAAsACAAMQA1ADAALAAgADQAMAAwADsAXABuACAAIAAgACAAIAAgACAAIAAgACAAXAAiAFQAYQBzAG0AYQBuAGkAYQBcACIALAAgAFwAIgBuAC8AYQBcACIALAAgAFwAIgBTAHAAcgBpAG4AZwBcACIALAAgADEAMAA1ACwAIAA3ADAAMAAsACAAOAA1ACwAIAAzADAAMAAsACAANAA5ADAALAAgADkAMAAsACAANAA4ADAAOwBcAG4AIAAgACAAIAAgACAAIAAgACAAIABcACIAVABhAHMAbQBhAG4AaQBhAFwAIgAsACAAXAAiAG4ALwBhAFwAIgAsACAAXAAiAFMAdQBtAG0AZQByAFwAIgAsACAANAA4ADAALAAgADcANQAwACwAIAAxADUAMAAsACAAMwA1ADAALAAgADUAMwAwACwAIAAxADYAMAAsACAANAA2ADAAOwBcAG4AIAAgACAAIAAgACAAIAAgACAAIABcACIAVABhAHMAbQBhAG4AaQBhAFwAIgAsACAAXAAiAG4ALwBhAFwAIgAsACAAXAAiAEEAdQB0AHUAbQBuAFwAIgAsACAAMgA1ADAALAAgADcAMgA1ACwAIAAyADAAMAAsACAAMwA2ADAALAAgADUAMAAwACwAIAAyADEANQAsACAANAA5ADAAOwBcAG4AIAAgACAAIAAgACAAIAAgACAAIABcACIAVABhAHMAbQBhAG4AaQBhAFwAIgAsACAAXAAiAG4ALwBhAFwAIgAsACAAXAAiAFcAaQBuAHQAZQByAFwAIgAsACAAMgA2ADAALAAgADcAMAAwACwAIAAyADEAMAAsACAAMwA4ADAALAAgADQANgAwACwAIAAyADMAMAAsACAANAA3ADAAOwBcAG4AIAAgACAAIAAgACAAIAAgACAAIABcACIAVgBpAGMAdABvAHIAaQBhAFwAIgAsACAAXAAiAG4ALwBhAFwAIgAsACAAXAAiAFMAcAByAGkAbgBnAFwAIgAsACAAMgA1ADAALAAgADgAMgAwACwAIAAyADQAMAAsACAANAAxADAALAAgADUANgAwACwAIAAyADQAMAAsACAANQAxADAAOwBcAG4AIAAgACAAIAAgACAAIAAgACAAIABcACIAVgBpAGMAdABvAHIAaQBhAFwAIgAsACAAXAAiAG4ALwBhAFwAIgAsACAAXAAiAFMAdQBtAG0AZQByAFwAIgAsACAAMgA4ADAALAAgADgANQAwACwAIAAyADYAMAAsACAANAA0ADAALAAgADUANQAwACwAIAAyADcAMAAsACAANQAyADAAOwBcAG4AIAAgACAAIAAgACAAIAAgACAAIABcACIAVgBpAGMAdABvAHIAaQBhAFwAIgAsACAAXAAiAG4ALwBhAFwAIgAsACAAXAAiAEEAdQB0AHUAbQBuAFwAIgAsACAAMQAwADAALAAgADcAMAAwACwAIAA5ADUALAAgADMAMAAwACwAIAA0ADUAMAAsACAAOQA1ACwAIAA0ADEAMAA7AFwAbgAgACAAIAAgACAAIAAgACAAIAAgAFwAIgBWAGkAYwB0AG8AcgBpAGEAXAAiACwAIABcACIAbgAvAGEAXAAiACwAIABcACIAVwBpAG4AdABlAHIAXAAiACwAIAAxADUAMAAsACAANwAyADAALAAgADEANAAwACwAIAAzADIAMAAsACAANAA3ADAALAAgADEANAAwACwAIAA0ADQAMAA7AFwAbgAgACAAIAAgACAAIAAgACAAIAAgAFwAIgBXAGUAcwB0AGUAcgBuACAAQQB1AHMAdAByAGEAbABpAGEAXAAiACwAIABcACIAUwBvAHUAdABoACAAVwBlAHMAdABcACIALAAgAFwAIgBTAHAAcgBpAG4AZwBcACIALAAgADMANAAwACwAIAA4ADAAMAAsACAAMgA2ADAALAAgADQAMgAwACwAIAA1ADUAMAAsACAAMwAwADAALAAgADQAOAAwADsAXABuACAAIAAgACAAIAAgACAAIAAgACAAXAAiAFcAZQBzAHQAZQByAG4AIABBAHUAcwB0AHIAYQBsAGkAYQBcACIALAAgAFwAIgBTAG8AdQB0AGgAIABXAGUAcwB0AFwAIgAsACAAXAAiAFMAdQBtAG0AZQByAFwAIgAsACAAMwA4ADAALAAgADcAOAAwACwAIAAzADAAMAAsACAANAA1ADAALAAgADUAMwAwACwAIAAzADQAMAAsACAANAA3ADAAOwBcAG4AIAAgACAAIAAgACAAIAAgACAAIABcACIAVwBlAHMAdABlAHIAbgAgAEEAdQBzAHQAcgBhAGwAaQBhAFwAIgAsACAAXAAiAFMAbwB1AHQAaAAgAFcAZQBzAHQAXAAiACwAIABcACIAQQB1AHQAdQBtAG4AXAAiACwAIAAxADAAMAAsACAANgA4ADAALAAgADgAMAAsACAAMwAyADAALAAgADQAOAAwACwAIAAxADAAMAAsACAAMwA0ADAAOwBcAG4AIAAgACAAIAAgACAAIAAgACAAIABcACIAVwBlAHMAdABlAHIAbgAgAEEAdQBzAHQAcgBhAGwAaQBhAFwAIgAsACAAXAAiAFMAbwB1AHQAaAAgAFcAZQBzAHQAXAAiACwAIABcACIAVwBpAG4AdABlAHIAXAAiACwAIAAxADkAMAAsACAANwAwADAALAAgADEANQAwACwAIAAzADMAMAAsACAANAA5ADAALAAgADEANwAwACwAIAAzADYAMAA7AFwAbgAgACAAIAAgACAAIAAgACAAIAAgAFwAIgBXAGUAcwB0AGUAcgBuACAAQQB1AHMAdAByAGEAbABpAGEAXAAiACwAIABcACIAUABpAGwAYgBhAHIAYQBcACIALAAgAFwAIgBTAHAAcgBpAG4AZwBcACIALAAgADgAMAAsACAANAA1ADAALAAgADcAMAAsACAAMgA2ADAALAAgADMANAAwACwAIAA4ADAALAAgADMANwAwADsAXABuACAAIAAgACAAIAAgACAAIAAgACAAXAAiAFcAZQBzAHQAZQByAG4AIABBAHUAcwB0AHIAYQBsAGkAYQBcACIALAAgAFwAIgBQAGkAbABiAGEAcgBhAFwAIgAsACAAXAAiAFMAdQBtAG0AZQByAFwAIgAsACAAMQA1ADAALAAgADUAMAAwACwAIAAxADQAMAAsACAAMwAxADAALAAgADMANgAwACwAIAAxADUAMAAsACAANAAwADAAOwBcAG4AIAAgACAAIAAgACAAIAAgACAAIABcACIAVwBlAHMAdABlAHIAbgAgAEEAdQBzAHQAcgBhAGwAaQBhAFwAIgAsACAAXAAiAFAAaQBsAGIAYQByAGEAXAAiACwAIABcACIAQQB1AHQAdQBtAG4AXAAiACwAIAAyADMAMAAsACAANQA1ADAALAAgADIAMgAwACwAIAAzADMAMAAsACAAMwA4ADAALAAgADIAMwAwACwAIAA0ADIAMAA7AFwAbgAgACAAIAAgACAAIAAgACAAIAAgAFwAIgBXAGUAcwB0AGUAcgBuACAAQQB1AHMAdAByAGEAbABpAGEAXAAiACwAIABcACIAUABpAGwAYgBhAHIAYQBcACIALAAgAFwAIgBXAGkAbgB0AGUAcgBcACIALAAgADIANQAwACwAIAA1ADAAMAAsACAAMgA0ADAALAAgADMANAAwACwAIAAzADYAMAAsACAAMgA1ADAALAAgADMAOQAwADsAXABuACAAIAAgACAAIAAgACAAIAAgACAAXAAiAFcAZQBzAHQAZQByAG4AIABBAHUAcwB0AHIAYQBsAGkAYQBcACIALAAgAFwAIgBLAGkAbQBiAGUAcgBsAGUAeQBcACIALAAgAFwAIgBTAHAAcgBpAG4AZwBcACIALAAgADIAMgAwACwAIAA1ADAAMAAsACAAMQA4ADAALAAgADMAMAAwACwAIAAzADIAMAAsACAAMgAxADAALAAgADMANAAwADsAXABuACAAIAAgACAAIAAgACAAIAAgACAAXAAiAFcAZQBzAHQAZQByAG4AIABBAHUAcwB0AHIAYQBsAGkAYQBcACIALAAgAFwAIgBLAGkAbQBiAGUAcgBsAGUAeQBcACIALAAgAFwAIgBTAHUAbQBtAGUAcgBcACIALAAgADEAMQAwACwAIAA1ADUAMAAsACAAOQAwACwAIAAyADIAMAAsACAAMwA4ADAALAAgADEAMAAwACwAIAAzADkAMAA7AFwAbgAgACAAIAAgACAAIAAgACAAIAAgAFwAIgBXAGUAcwB0AGUAcgBuACAAQQB1AHMAdAByAGEAbABpAGEAXAAiACwAIABcACIASwBpAG0AYgBlAHIAbABlAHkAXAAiACwAIABcACIAQQB1AHQAdQBtAG4AXAAiACwAIAAxADcAMAAsACAANgAwADAALAAgADEANAAwACwAIAAyADcAMAAsACAAMwA5ADAALAAgADEANgAwACwAIAA0ADMAMAA7AFwAbgAgACAAIAAgACAAIAAgACAAIAAgAFwAIgBXAGUAcwB0AGUAcgBuACAAQQB1AHMAdAByAGEAbABpAGEAXAAiACwAIABcACIASwBpAG0AYgBlAHIAbABlAHkAXAAiACwAIABcACIAVwBpAG4AdABlAHIAXAAiACwAIAAyADAAMAAsACAANQA1ADAALAAgADEANQAwACwAIAAyADgAMAAsACAAMwA1ADAALAAgADEAOQAwACwAIAA0ADAAMABcAG4AIAAgACAAIAAgACAAIAAgAH0ALAAgAHIALAAgAGMAKQBcAG4AIAAgACAAIAAgACAAKQBcAG4AIAAgACAAIAApAFwAbgAgACAAKQA7AFwAbgBcAG4ALwAqACAAXABuAC0ALQAtAC0ALQAtAC0ALQAtAC0ALQAtAC0ALQAtAC0ALQAtAC0ALQAtAC0ALQAtAC0ALQAtAC0ALQAtAC0ALQAtAC0ALQAtAC0ALQBcAG4AUwBvAHUAcgBjAGUARABhAHQAYQBfAFAAYQBzAHQAdQByAGUAQgBlAGUAZgBfAEwAaQB2AGUAdwBlAGkAZwBoAHQATgBUAFEATABEAFwAbgBUAGEAYgBsAGUAIABBAC4AMQAuADIALgAyADoAIABCAGUAZQBmACAAcABhAHMAdAB1AHIAZQAgAGMAYQB0AHQAbABlACAALQAgAEwAaQB2AGUAdwBlAGkAZwBoAHQAIAAoAGsAZwApACAAKABXAGoAawBsACkAIABmAG8AcgAgAE4AVAAgAGEAbgBkACAAUQBMAEQAXABuAC0ALQAtAC0ALQAtAC0ALQAtAC0ALQAtAC0ALQAtAC0ALQAtAC0ALQAtAC0ALQAtAC0ALQAtAC0ALQAtAC0ALQAtAC0ALQAtAC0ALQBcAG4AKgAvAFwAbgBcAG4AUwBvAHUAcgBjAGUARABhAHQAYQBfAFAAYQBzAHQAdQByAGUAQgBlAGUAZgBfAEwAaQB2AGUAdwBlAGkAZwBoAHQATgBUAFEATABEAF8AVABpAHQAbABlAFwAbgAgACAAPQBMAEEATQBCAEQAQQAoAFwAIgBCAGUAZQBmACAAcABhAHMAdAB1AHIAZQAgAGMAYQB0AHQAbABlACAALQAgAEwAaQB2AGUAdwBlAGkAZwBoAHQAIAAoAGsAZwApACAAKABXAGoAawBsACkAIABmAG8AcgAgAE4AVAAgAGEAbgBkACAAUQBMAEQAXAAiACkAOwBcAG4AXABuAFMAbwB1AHIAYwBlAEQAYQB0AGEAXwBQAGEAcwB0AHUAcgBlAEIAZQBlAGYAXwBMAGkAdgBlAHcAZQBpAGcAaAB0AE4AVABRAEwARABfAFYAYQByAGkAYQBiAGwAZQBcAG4AIAAgAD0ATABBAE0AQgBEAEEAKABcACIAVwBqAGsAbABcACIAKQA7AFwAbgBcAG4AUwBvAHUAcgBjAGUARABhAHQAYQBfAFAAYQBzAHQAdQByAGUAQgBlAGUAZgBfAEwAaQB2AGUAdwBlAGkAZwBoAHQATgBUAFEATABEAF8AVQBuAGkAdABcAG4AIAAgAD0ATABBAE0AQgBEAEEAKABcACIAawBnAFwAIgApADsAXABuAFwAbgBTAG8AdQByAGMAZQBEAGEAdABhAF8AUABhAHMAdAB1AHIAZQBCAGUAZQBmAF8ATABpAHYAZQB3AGUAaQBnAGgAdABOAFQAUQBMAEQAXwBTAG8AdQByAGMAZQBcAG4AIAAgAD0ATABBAE0AQgBEAEEAKABcACIAVgBFAEUAUgBHACAAMgAwADIANgA6ACAAVABhAGIAbABlACAAQQAuADEALgAyAC4AMgBcACIAKQA7AFwAbgBcAG4AUwBvAHUAcgBjAGUARABhAHQAYQBfAFAAYQBzAHQAdQByAGUAQgBlAGUAZgBfAEwAaQB2AGUAdwBlAGkAZwBoAHQATgBUAFEATABEAF8AVgBhAHIAaQBhAHQAaQBvAG4AXABuACAAIAA9AEwAQQBNAEIARABBACgAXAAiAFwAIgApADsAXABuAFwAbgBTAG8AdQByAGMAZQBEAGEAdABhAF8AUABhAHMAdAB1AHIAZQBCAGUAZQBmAF8ATABpAHYAZQB3AGUAaQBnAGgAdABOAFQAUQBMAEQAXwBEAGEAdABhAFwAbgAgACAAPQBMAEEATQBCAEQAQQAoAFwAbgAgACAAIAAgAE0AQQBLAEUAQQBSAFIAQQBZACgAMgA5ACwAIAAxADMALABcAG4AIAAgACAAIAAgACAATABBAE0AQgBEAEEAKAByACwAYwAsAFwAbgAgACAAIAAgACAAIAAgACAASQBOAEQARQBYACgAewBcAG4AIAAgACAAIAAgACAAIAAgACAAIABcACIAUwB0AGEAdABlAFwAIgAsACAAXAAiAFIAZQBnAGkAbwBuAFwAIgAsACAAXAAiAFMAZQBhAHMAbwBuAFwAIgAsACAAXAAiAEIAdQBsAGwAIAA8ADEAXAAiACwAIABcACIAQgB1AGwAbAAgAD4AMQBcACIALAAgAFwAIgBDAG8AdwBzACAAPAAxAFwAIgAsACAAXAAiAEMAbwB3AHMAIAAxAC0AMgBcACIALAAgAFwAIgBDAG8AdwBzACAAMgAtADMAXAAiACwAIABcACIAQwBvAHcAcwAgAD4AMwBcACIALAAgAFwAIgBTAHQAZQBlAHIAIAA8ADEAXAAiACwAIABcACIAUwB0AGUAZQByACAAMQAtADIAXAAiACwAIABcACIAUwB0AGUAZQByACAAMgAtADMAXAAiACwAIABcACIAUwB0AGUAZQByACAAPgAzAFwAIgA7AFwAbgAgACAAIAAgACAAIAAgACAAIAAgAFwAIgBOAG8AcgB0AGgAZQByAG4AIABUAGUAcgByAGkAdABvAHIAeQBcACIALAAgAFwAIgBBAGwAaQBjAGUAIABTAHAAcgBpAG4AZwBzAFwAIgAsACAAXAAiAFMAcAByAGkAbgBnAFwAIgAsACAAMgAyADAALAAgADcAMAA2ACwAIAAyADAAOAAsACAAMwAyADMALAAgADQAMQA1ACwAIAA0ADYANwAsACAAMgAyADMALAAgADMANwAxACwAIAA0ADkAMwAsACAANQA4ADUAOwBcAG4AIAAgACAAIAAgACAAIAAgACAAIABcACIATgBvAHIAdABoAGUAcgBuACAAVABlAHIAcgBpAHQAbwByAHkAXAAiACwAIABcACIAQQBsAGkAYwBlACAAUwBwAHIAaQBuAGcAcwBcACIALAAgAFwAIgBTAHUAbQBtAGUAcgBcACIALAAgADEAMQAwACwAIAA3ADAAMwAsACAAMQAxADIALAAgADIANQA2ACwAIAAzADYAOAAsACAANAA2ADUALAAgADEAMAA4ACwAIAAyADgAMAAsACAANAAyADEALAAgADUANAAzADsAXABuACAAIAAgACAAIAAgACAAIAAgACAAXAAiAE4AbwByAHQAaABlAHIAbgAgAFQAZQByAHIAaQB0AG8AcgB5AFwAIgAsACAAXAAiAEEAbABpAGMAZQAgAFMAcAByAGkAbgBnAHMAXAAiACwAIABcACIAQQB1AHQAdQBtAG4AXAAiACwAIAAxADcAMAAsACAANwAyADEALAAgADEANgA5ACwAIAAzADAANgAsACAAMwA5ADIALAAgADQANgA0ACwAIAAxADcANgAsACAAMwAzADkALAAgADQANwAwACwAIAA1ADgAMAA7AFwAbgAgACAAIAAgACAAIAAgACAAIAAgAFwAIgBOAG8AcgB0AGgAZQByAG4AIABUAGUAcgByAGkAdABvAHIAeQBcACIALAAgAFwAIgBBAGwAaQBjAGUAIABTAHAAcgBpAG4AZwBzAFwAIgAsACAAXAAiAFcAaQBuAHQAZQByAFwAIgAsACAAMgAwADAALAAgADcAMgA3ACwAIAAyADEAMQAsACAAMwAzADgALAAgADQAMwAyACwAIAA0ADkAMgAsACAAMgAyADIALAAgADMANwA3ACwAIAA0ADkAOAAsACAANQA5ADAAOwBcAG4AIAAgACAAIAAgACAAIAAgACAAIABcACIATgBvAHIAdABoAGUAcgBuACAAVABlAHIAcgBpAHQAbwByAHkAXAAiACwAIABcACIAQgBhAHIAawBsAHkAXAAiACwAIABcACIAUwBwAHIAaQBuAGcAXAAiACwAIAAyADIAMAAsACAANgAyADAALAAgADIAMgA3ACwAIAAzADEAOQAsACAAMwA5ADgALAAgADQANQAyACwAIAAyADEANgAsACAAMwAzADQALAAgAFwAIgBOAE8AXAAiACwAIABcACIATgBPAFwAIgA7AFwAbgAgACAAIAAgACAAIAAgACAAIAAgAFwAIgBOAG8AcgB0AGgAZQByAG4AIABUAGUAcgByAGkAdABvAHIAeQBcACIALAAgAFwAIgBCAGEAcgBrAGwAeQBcACIALAAgAFwAIgBTAHUAbQBtAGUAcgBcACIALAAgADEAMQAwACwAIAA2ADUAMAAsACAAMQAwADgALAAgADIANgAyACwAIAAzADQANgAsACAANAAzADAALAAgADEAMQAxACwAIAAyADMANgAsACAAXAAiAE4ATwBcACIALAAgAFwAIgBOAE8AXAAiADsAXABuACAAIAAgACAAIAAgACAAIAAgACAAXAAiAE4AbwByAHQAaABlAHIAbgAgAFQAZQByAHIAaQB0AG8AcgB5AFwAIgAsACAAXAAiAEIAYQByAGsAbAB5AFwAIgAsACAAXAAiAEEAdQB0AHUAbQBuAFwAIgAsACAAMQA3ADAALAAgADYANwAwACwAIAAxADcAMAAsACAAMgA2ADYALAAgADMANgAzACwAIAA0ADQANAAsACAAMQA2ADkALAAgADIAOAAyACwAIABcACIATgBPAFwAIgAsACAAXAAiAE4ATwBcACIAOwBcAG4AIAAgACAAIAAgACAAIAAgACAAIABcACIATgBvAHIAdABoAGUAcgBuACAAVABlAHIAcgBpAHQAbwByAHkAXAAiACwAIABcACIAQgBhAHIAawBsAHkAXAAiACwAIABcACIAVwBpAG4AdABlAHIAXAAiACwAIAAyADAAMAAsACAANgA2ADAALAAgADIAMgA1ACwAIAAzADAANwAsACAAMwA5ADgALAAgADQANQAyACwAIAAyADEANAAsACAAMwAyADYALAAgAFwAIgBOAE8AXAAiACwAIABcACIATgBPAFwAIgA7AFwAbgAgACAAIAAgACAAIAAgACAAIAAgAFwAIgBOAG8AcgB0AGgAZQByAG4AIABUAGUAcgByAGkAdABvAHIAeQBcACIALAAgAFwAIgBOAG8AcgB0AGgAZQByAG4AXAAiACwAIABcACIAUwBwAHIAaQBuAGcAXAAiACwAIAAyADIAMAAsACAANgAyADAALAAgADEANwA3ACwAIAAyADYANwAsACAAMwA2ADUALAAgADQAMAA2ACwAIAAyADMAMQAsACAAMgA0ADkALAAgADMAMgA0ACwAIABcACIATgBPAFwAIgA7AFwAbgAgACAAIAAgACAAIAAgACAAIAAgAFwAIgBOAG8AcgB0AGgAZQByAG4AIABUAGUAcgByAGkAdABvAHIAeQBcACIALAAgAFwAIgBOAG8AcgB0AGgAZQByAG4AXAAiACwAIABcACIAUwB1AG0AbQBlAHIAXAAiACwAIAAxADEAMAAsACAANgA1ADAALAAgADEAMAAyACwAIAAyADAAMwAsACAAMgA5ADkALAAgADMAOAAwACwAIAAxADAAMgAsACAAMgAxADgALAAgADIANgAzACwAIABcACIATgBPAFwAIgA7AFwAbgAgACAAIAAgACAAIAAgACAAIAAgAFwAIgBOAG8AcgB0AGgAZQByAG4AIABUAGUAcgByAGkAdABvAHIAeQBcACIALAAgAFwAIgBOAG8AcgB0AGgAZQByAG4AXAAiACwAIABcACIAQQB1AHQAdQBtAG4AXAAiACwAIAAxADcAMAAsACAANgA3ADAALAAgADEANwAzACwAIAAyADUAMAAsACAAMwAzADYALAAgADQAMQA0ACwAIAAxADcANQAsACAAMgA0ADMALAAgADMAMAA0ACwAIABcACIATgBPAFwAIgA7AFwAbgAgACAAIAAgACAAIAAgACAAIAAgAFwAIgBOAG8AcgB0AGgAZQByAG4AIABUAGUAcgByAGkAdABvAHIAeQBcACIALAAgAFwAIgBOAG8AcgB0AGgAZQByAG4AXAAiACwAIABcACIAVwBpAG4AdABlAHIAXAAiACwAIAAyADAAMAAsACAANgA2ADAALAAgADIAMAAyACwAIAAyADcAMgAsACAAMwA2ADUALAAgADMAOQAwACwAIAAyADAAOAAsACAAMgA2ADAALAAgADMAMwA3ACwAIABcACIATgBPAFwAIgA7AFwAbgAgACAAIAAgACAAIAAgACAAIAAgAFwAIgBRAHUAZQBlAG4AcwBsAGEAbgBkAFwAIgAsACAAXAAiAEgAaQBnAGgAXAAiACwAIABcACIAUwBwAHIAaQBuAGcAXAAiACwAIAAyADYAMAAsACAANwAwADUALAAgADIAMQA1ACwAIAAzADAAMgAsACAANAAxADYALAAgADUAMQA5ACwAIAAyADMANAAsACAANAA1ADUALAAgADUANQAxACwAIAA2ADYAMAA7AFwAbgAgACAAIAAgACAAIAAgACAAIAAgAFwAIgBRAHUAZQBlAG4AcwBsAGEAbgBkAFwAIgAsACAAXAAiAEgAaQBnAGgAXAAiACwAIABcACIAUwB1AG0AbQBlAHIAXAAiACwAIAAxADUAMwAsACAANwAwADMALAAgADEAMQA4ACwAIAAyADcANwAsACAAMwA5ADcALAAgADQAOAAzACwAIAAxADEAMQAsACAAMwAwADQALAAgADUAMgAxACwAIAA1ADQANwA7AFwAbgAgACAAIAAgACAAIAAgACAAIAAgAFwAIgBRAHUAZQBlAG4AcwBsAGEAbgBkAFwAIgAsACAAXAAiAEgAaQBnAGgAXAAiACwAIABcACIAQQB1AHQAdQBtAG4AXAAiACwAIAAxADYAOAAsACAANwAxADgALAAgADEAOQAxACwAIAAzADEAOQAsACAANAA0ADAALAAgADUAMAA2ACwAIAAxADgAOAAsACAAMwAyADYALAAgADUAMgAwACwAIAA1ADgAMgA7AFwAbgAgACAAIAAgACAAIAAgACAAIAAgAFwAIgBRAHUAZQBlAG4AcwBsAGEAbgBkAFwAIgAsACAAXAAiAEgAaQBnAGgAXAAiACwAIABcACIAVwBpAG4AdABlAHIAXAAiACwAIAAyADMANQAsACAANwAyADIALAAgADIAMAA3ACwAIAAzADUAMgAsACAANAA3ADAALAAgADUAMQA0ACwAIAAyADAAOQAsACAANAAyADEALAAgADUAMQAyACwAIAA2ADAANQA7AFwAbgAgACAAIAAgACAAIAAgACAAIAAgAFwAIgBRAHUAZQBlAG4AcwBsAGEAbgBkAFwAIgAsACAAXAAiAE0AbwBkAGUAcgBhAHQAZQAvAEgAaQBnAGgAXAAiACwAIABcACIAUwBwAHIAaQBuAGcAXAAiACwAIAAyADMAMAAsACAANgA3ADQALAAgADIAMQA3ACwAIAAzADQANAAsACAAMwA1ADcALAAgADQANgA3ACwAIAAyADQAMgAsACAAMwA3ADAALAAgADUANQAwACwAIAA2ADIAMAA7AFwAbgAgACAAIAAgACAAIAAgACAAIAAgAFwAIgBRAHUAZQBlAG4AcwBsAGEAbgBkAFwAIgAsACAAXAAiAE0AbwBkAGUAcgBhAHQAZQAvAEgAaQBnAGgAXAAiACwAIABcACIAUwB1AG0AbQBlAHIAXAAiACwAIAAxADEAMwAsACAANgA2ADkALAAgADEAMQAzACwAIAAyADgAMwAsACAAMwA2ADEALAAgADQANwA3ACwAIAAxADIAMAAsACAAMgA3ADMALAAgADUANAA1ACwAIAA1ADUAMwA7AFwAbgAgACAAIAAgACAAIAAgACAAIAAgAFwAIgBRAHUAZQBlAG4AcwBsAGEAbgBkAFwAIgAsACAAXAAiAE0AbwBkAGUAcgBhAHQAZQAvAEgAaQBnAGgAXAAiACwAIABcACIAQQB1AHQAdQBtAG4AXAAiACwAIAAxADcAMgAsACAANgA4ADUALAAgADEANwAyACwAIAAzADAAOQAsACAAMwA3ADYALAAgADQANwAxACwAIAAyADMAOAAsACAAMwAyADkALAAgADUANwAzACwAIAA2ADIAMAA7AFwAbgAgACAAIAAgACAAIAAgACAAIAAgAFwAIgBRAHUAZQBlAG4AcwBsAGEAbgBkAFwAIgAsACAAXAAiAE0AbwBkAGUAcgBhAHQAZQAvAEgAaQBnAGgAXAAiACwAIABcACIAVwBpAG4AdABlAHIAXAAiACwAIAAyADQAMQAsACAANgA5ADIALAAgADIAMAA4ACwAIAAzADQANAAsACAAMwA2ADQALAAgADQAOAA0ACwAIAAyADYAMAAsACAAMwA1ADAALAAgADUANgA3ACwAIAA2ADIAMAA7AFwAbgAgACAAIAAgACAAIAAgACAAIAAgAFwAIgBRAHUAZQBlAG4AcwBsAGEAbgBkAFwAIgAsACAAXAAiAE0AbwBkAGUAcgBhAHQAZQAvAEwAbwB3AFwAIgAsACAAXAAiAFMAcAByAGkAbgBnAFwAIgAsACAAMgAzADYALAAgADYANwA0ACwAIAAxADcAOAAsACAAMwAxADAALAAgADQAMgA4ACwAIAA0ADYANgAsACAAMQA5ADMALAAgADMANwAwACwAIAA1ADEAOQAsACAANQA2ADUAOwBcAG4AIAAgACAAIAAgACAAIAAgACAAIABcACIAUQB1AGUAZQBuAHMAbABhAG4AZABcACIALAAgAFwAIgBNAG8AZABlAHIAYQB0AGUALwBMAG8AdwBcACIALAAgAFwAIgBTAHUAbQBtAGUAcgBcACIALAAgADEAMgAwACwAIAA2ADYAOQAsACAAMQAxADIALAAgADIANQAwACwAIAAzADkAMAAsACAANAA0ADgALAAgADEAMQA1ACwAIAAyADcAMwAsACAANAAzADMALAAgADUANQA2ADsAXABuACAAIAAgACAAIAAgACAAIAAgACAAXAAiAFEAdQBlAGUAbgBzAGwAYQBuAGQAXAAiACwAIABcACIATQBvAGQAZQByAGEAdABlAC8ATABvAHcAXAAiACwAIABcACIAQQB1AHQAdQBtAG4AXAAiACwAIAAxADIANQAsACAANgA4ADUALAAgADEANAAwACwAIAAyADcANwAsACAANAAwADcALAAgADQANQA1ACwAIAAxADQAMQAsACAAMgA5ADYALAAgADQANAA1ACwAIAA1ADkAMwA7AFwAbgAgACAAIAAgACAAIAAgACAAIAAgAFwAIgBRAHUAZQBlAG4AcwBsAGEAbgBkAFwAIgAsACAAXAAiAE0AbwBkAGUAcgBhAHQAZQAvAEwAbwB3AFwAIgAsACAAXAAiAFcAaQBuAHQAZQByAFwAIgAsACAAMQA4ADAALAAgADYAOQAyACwAIAAxADgAMwAsACAAMwAxADYALAAgADQAMwA4ACwAIAA0ADYAOAAsACAAMQA4ADkALAAgADMANQA0ACwAIAA1ADAAMAAsACAANQA1ADMAOwBcAG4AIAAgACAAIAAgACAAIAAgACAAIABcACIAUQB1AGUAZQBuAHMAbABhAG4AZABcACIALAAgAFwAIgBMAG8AdwBcACIALAAgAFwAIgBTAHAAcgBpAG4AZwBcACIALAAgADEAOQAwACwAIAA2ADEANwAsACAAMQA3ADQALAAgADIANgA1ACwAIAAzADcAMQAsACAANAAxADUALAAgADEANwAwACwAIAAyADcAMgAsACAAMwA5ADIALAAgADUAMwAxADsAXABuACAAIAAgACAAIAAgACAAIAAgACAAXAAiAFEAdQBlAGUAbgBzAGwAYQBuAGQAXAAiACwAIABcACIATABvAHcAXAAiACwAIABcACIAUwB1AG0AbQBlAHIAXAAiACwAIAAxADEAOQAsACAANQA5ADEALAAgADEANAAwACwAIAAyADAANQAsACAAMwAxADAALAAgADQAMAA1ACwAIAAxADMAMwAsACAAMgAxADgALAAgADMAMQA1ACwAIAA0ADQANQA7AFwAbgAgACAAIAAgACAAIAAgACAAIAAgAFwAIgBRAHUAZQBlAG4AcwBsAGEAbgBkAFwAIgAsACAAXAAiAEwAbwB3AFwAIgAsACAAXAAiAEEAdQB0AHUAbQBuAFwAIgAsACAAMQA3ADUALAAgADYAMQAwACwAIAAxADYAMwAsACAAMgAzADIALAAgADMANQAxACwAIAA0ADIANwAsACAAMQA0ADYALAAgADIANAAyACwAIAAzADIAMAAsACAANAA3ADEAOwBcAG4AIAAgACAAIAAgACAAIAAgACAAIABcACIAUQB1AGUAZQBuAHMAbABhAG4AZABcACIALAAgAFwAIgBMAG8AdwBcACIALAAgAFwAIgBXAGkAbgB0AGUAcgBcACIALAAgADEAOQAyACwAIAA2ADEANQAsACAAMQA2ADIALAAgADIANQA1ACwAIAAzADYANAAsACAANAAyADAALAAgADEANQA3ACwAIAAyADYAMQAsACAAMwA0ADIALAAgADQAOAA0AFwAbgAgACAAIAAgACAAIAAgACAAfQAsACAAcgAsACAAYwApAFwAbgAgACAAIAAgACAAIAApAFwAbgAgACAAIAAgACkAXABuACAAIAApADsAXABuAFwAbgBcAG4ALwAqACAAXABuAC0ALQAtAC0ALQAtAC0ALQAtAC0ALQAtAC0ALQAtAC0ALQAtAC0ALQAtAC0ALQAtAC0ALQAtAC0ALQAtAC0ALQAtAC0ALQAtAC0ALQBcAG4AUwBvAHUAcgBjAGUARABhAHQAYQBfAFAAYQBzAHQAdQByAGUAQgBlAGUAZgBfAEwAaQB2AGUAdwBlAGkAZwBoAHQARwBhAGkAbgBcAG4AVABhAGIAbABlACAAQQAuADEALgAyAC4AMwA6ACAAQgBlAGUAZgAgAHAAYQBzAHQAdQByAGUAIABjAGEAdAB0AGwAZQAgAC0AIABMAGkAdgBlAHcAZQBpAGcAaAB0ACAAZwBhAGkAbgAgACgAawBnACkAIAAoAEwAVwBHAGoAawBsACkAXABuAC0ALQAtAC0ALQAtAC0ALQAtAC0ALQAtAC0ALQAtAC0ALQAtAC0ALQAtAC0ALQAtAC0ALQAtAC0ALQAtAC0ALQAtAC0ALQAtAC0ALQBcAG4AKgAvAFwAbgBcAG4AUwBvAHUAcgBjAGUARABhAHQAYQBfAFAAYQBzAHQAdQByAGUAQgBlAGUAZgBfAEwAaQB2AGUAdwBlAGkAZwBoAHQARwBhAGkAbgBfAFQAaQB0AGwAZQBcAG4AIAAgAD0ATABBAE0AQgBEAEEAKABcACIAQgBlAGUAZgAgAHAAYQBzAHQAdQByAGUAIABjAGEAdAB0AGwAZQAgAC0AIABMAGkAdgBlAHcAZQBpAGcAaAB0ACAAZwBhAGkAbgAgACgAawBnACkAIAAoAEwAVwBHAGoAawBsACkAXAAiACkAOwBcAG4AXABuAFMAbwB1AHIAYwBlAEQAYQB0AGEAXwBQAGEAcwB0AHUAcgBlAEIAZQBlAGYAXwBMAGkAdgBlAHcAZQBpAGcAaAB0AEcAYQBpAG4AXwBWAGEAcgBpAGEAYgBsAGUAXABuACAAIAA9AEwAQQBNAEIARABBACgAXAAiAEwAVwBHAGoAawBsAFwAIgApADsAXABuAFwAbgBTAG8AdQByAGMAZQBEAGEAdABhAF8AUABhAHMAdAB1AHIAZQBCAGUAZQBmAF8ATABpAHYAZQB3AGUAaQBnAGgAdABHAGEAaQBuAF8AVQBuAGkAdABcAG4AIAAgAD0ATABBAE0AQgBEAEEAKABcACIAawBnAFwAIgApADsAXABuAFwAbgBTAG8AdQByAGMAZQBEAGEAdABhAF8AUABhAHMAdAB1AHIAZQBCAGUAZQBmAF8ATABpAHYAZQB3AGUAaQBnAGgAdABHAGEAaQBuAF8AUwBvAHUAcgBjAGUAXABuACAAIAA9AEwAQQBNAEIARABBACgAXAAiAFYARQBFAFIARwAgADIAMAAyADYAOgAgAFQAYQBiAGwAZQAgAEEALgAxAC4AMgAuADMAXAAiACkAOwBcAG4AXABuAFMAbwB1AHIAYwBlAEQAYQB0AGEAXwBQAGEAcwB0AHUAcgBlAEIAZQBlAGYAXwBMAGkAdgBlAHcAZQBpAGcAaAB0AEcAYQBpAG4AXwBWAGEAcgBpAGEAdABpAG8AbgBcAG4AIAAgAD0ATABBAE0AQgBEAEEAKABcACIAVgBBAFIASQBBAFQASQBPAE4AIABPAE4AIABTAE8AVQBSAEMARQA6ACAAUgBlAHAAbABhAGMAZQBkACAAJwBuAC8AYQAnACAAdwBpAHQAaAAgACcAUwBvAHUAdABoACAAVwBlAHMAdAAnACAAZgBvAHIAIABmAGkAcgBzAHQAIABmAG8AdQByACAAcgBvAHcAcwAgAG8AZgAgAFcAZQBzAHQAZQByAG4AIABBAHUAcwB0AHIAYQBsAGkAYQAgAHQAbwAgAGIAZQAgAGMAbwBuAHMAaQBzAHQAZQBuAHQAIAB3AGkAdABoACAAdABhAGIAbABlACAAQQAuADEALgAyAC4AMQBcACIAKQA7AFwAbgBcAG4AUwBvAHUAcgBjAGUARABhAHQAYQBfAFAAYQBzAHQAdQByAGUAQgBlAGUAZgBfAEwAaQB2AGUAdwBlAGkAZwBoAHQARwBhAGkAbgBfAEQAYQB0AGEAXABuACAAIAA9AEwAQQBNAEIARABBACgAXABuACAAIAAgACAATQBBAEsARQBBAFIAUgBBAFkAKAAyADkALAAgADEAMAAsAFwAbgAgACAAIAAgACAAIABMAEEATQBCAEQAQQAoAHIALABjACwAXABuACAAIAAgACAAIAAgACAAIABJAE4ARABFAFgAKAB7AFwAbgAgACAAIAAgACAAIAAgACAAIAAgAFwAIgBTAHQAYQB0AGUAXAAiACwAIABcACIAUgBlAGcAaQBvAG4AXAAiACwAIABcACIAUwBlAGEAcwBvAG4AXAAiACwAIABcACIAQgB1AGwAbAAgADwAMQBcACIALAAgAFwAIgBCAHUAbABsACAAPgAxAFwAIgAsACAAXAAiAEMAbwB3ACAAPAAxAFwAIgAsACAAXAAiAEMAbwB3ACAAMQAtADIAXAAiACwAIABcACIAQwBvAHcAIAA+ADIAXAAiACwAIABcACIAUwB0AGUAZQByACAAPAAxAFwAIgAsACAAXAAiAFMAdABlAGUAcgAgAD4AMQBcACIAOwBcAG4AIAAgACAAIAAgACAAIAAgACAAIABcACIAQQBDAFQALwBOAFMAVwBcACIALAAgAFwAIgBuAC8AYQBcACIALAAgAFwAIgBTAHAAcgBpAG4AZwBcACIALAAgADAALgA1ACwAIAAwAC4AMgAsACAAMAAuADUALAAgADAALgA0ACwAIAAwAC4AMwAsACAAMAAuADUALAAgADAALgA0ADsAXABuACAAIAAgACAAIAAgACAAIAAgACAAXAAiAEEAQwBUAC8ATgBTAFcAXAAiACwAIABcACIAbgAvAGEAXAAiACwAIABcACIAUwB1AG0AbQBlAHIAXAAiACwAIAAxAC4AMAAsACAAMAAuADQALAAgADAALgA5ACwAIAAwAC4ANwAsACAAMAAuADMALAAgADAALgA5ACwAIAAwAC4ANAA7AFwAbgAgACAAIAAgACAAIAAgACAAIAAgAFwAIgBBAEMAVAAvAE4AUwBXAFwAIgAsACAAXAAiAG4ALwBhAFwAIgAsACAAXAAiAEEAdQB0AHUAbQBuAFwAIgAsACAAMAAuADgALAAgADAALgAzACwAIAAwAC4ANwAsACAAMAAuADMALAAgADAALgAyACwAIAAwAC4ANwAsACAAMAAuADMAOwBcAG4AIAAgACAAIAAgACAAIAAgACAAIABcACIAQQBDAFQALwBOAFMAVwBcACIALAAgAFwAIgBuAC8AYQBcACIALAAgAFwAIgBXAGkAbgB0AGUAcgBcACIALAAgADAALgA0ACwAIAAwAC4AMQAsACAAMAAuADQALAAgADAALgAyACwAIAAwAC4AMQAsACAAMAAuADQALAAgADAALgAxADsAXABuACAAIAAgACAAIAAgACAAIAAgACAAXAAiAFMAbwB1AHQAaAAgAEEAdQBzAHQAcgBhAGwAaQBhAFwAIgAsACAAXAAiAG4ALwBhAFwAIgAsACAAXAAiAFMAcAByAGkAbgBnAFwAIgAsACAAMAAuADkAOQAsACAAMQAuADEALAAgADAALgA4ADgALAAgADAALgA1ADUALAAgADAALgA1ADUALAAgADAALgA4ADgALAAgADAALgAyADIAOwBcAG4AIAAgACAAIAAgACAAIAAgACAAIABcACIAUwBvAHUAdABoACAAQQB1AHMAdAByAGEAbABpAGEAXAAiACwAIABcACIAbgAvAGEAXAAiACwAIABcACIAUwB1AG0AbQBlAHIAXAAiACwAIAAwAC4ANwA3ACwAIAAwAC4AMAAsACAAMAAuADYANgAsACAAMAAuADIAMgAsACAAMAAuADAALAAgADAALgA2ADYALAAgADAALgAwADsAXABuACAAIAAgACAAIAAgACAAIAAgACAAXAAiAFMAbwB1AHQAaAAgAEEAdQBzAHQAcgBhAGwAaQBhAFwAIgAsACAAXAAiAG4ALwBhAFwAIgAsACAAXAAiAEEAdQB0AHUAbQBuAFwAIgAsACAAMAAuADkALAAgAC0AMQAuADEALAAgADAALgA3ACwAIAAwAC4AMgAyACwAIAAtADAALgA1ADUALAAgADAALgA4ACwAIAAtADAALgAyADIAOwBcAG4AIAAgACAAIAAgACAAIAAgACAAIABcACIAUwBvAHUAdABoACAAQQB1AHMAdAByAGEAbABpAGEAXAAiACwAIABcACIAbgAvAGEAXAAiACwAIABcACIAVwBpAG4AdABlAHIAXAAiACwAIAAwAC4AOAA4ACwAIAAwAC4AMAAsACAAMAAuADcANwAsACAAMAAuADUANQAsACAAMAAuADAALAAgADAALgA4ADIALAAgADAALgAwADsAXABuACAAIAAgACAAIAAgACAAIAAgACAAXAAiAFQAYQBzAG0AYQBuAGkAYQBcACIALAAgAFwAIgBuAC8AYQBcACIALAAgAFwAIgBTAHAAcgBpAG4AZwBcACIALAAgADEALgAwACwAIAAwAC4ANQAwACwAIAAxAC4AMAAsACAAMQAuADAALAAgAC0AMAAuADQANAAsACAAMQAuADAALAAgADAALgA1ADsAXABuACAAIAAgACAAIAAgACAAIAAgACAAXAAiAFQAYQBzAG0AYQBuAGkAYQBcACIALAAgAFwAIgBuAC8AYQBcACIALAAgAFwAIgBTAHUAbQBtAGUAcgBcACIALAAgADAALgA4ADIALAAgADAALgA1ADUALAAgADAALgA3ADEALAAgADAALgA1ADUALAAgADAALgA5ADkALAAgADAALgA3ADcALAAgADAALgA1ADsAXABuACAAIAAgACAAIAAgACAAIAAgACAAXAAiAFQAYQBzAG0AYQBuAGkAYQBcACIALAAgAFwAIgBuAC8AYQBcACIALAAgAFwAIgBBAHUAdAB1AG0AbgBcACIALAAgADAALgA3ADcALAAgADAALgA1ADAALAAgADAALgA1ADUALAAgADAALgAxADEALAAgAC0AMAAuADMAMwAsACAAMAAuADYALAAgADAALgAzADMAOwBcAG4AIAAgACAAIAAgACAAIAAgACAAIABcACIAVABhAHMAbQBhAG4AaQBhAFwAIgAsACAAXAAiAG4ALwBhAFwAIgAsACAAXAAiAFcAaQBuAHQAZQByAFwAIgAsACAAMAAuADEAMQAsACAALQAwAC4AMgA3ACwAIAAwAC4AMQAxACwAIAAwAC4AMgAyACwAIAAtADAALgA0ADQALAAgADAALgAxADYALAAgAC0AMAAuADIAMgA7AFwAbgAgACAAIAAgACAAIAAgACAAIAAgAFwAIgBWAGkAYwB0AG8AcgBpAGEAXAAiACwAIABcACIAbgAvAGEAXAAiACwAIABcACIAUwBwAHIAaQBuAGcAXAAiACwAIAAxAC4AMQAwACwAIAAxAC4AMQAwACwAIAAxAC4AMQAwACwAIAAwAC4AOQA5ACwAIAAwAC4AOQA5ACwAIAAxAC4AMQAwACwAIAAwAC4ANwA3ADsAXABuACAAIAAgACAAIAAgACAAIAAgACAAXAAiAFYAaQBjAHQAbwByAGkAYQBcACIALAAgAFwAIgBuAC8AYQBcACIALAAgAFwAIgBTAHUAbQBtAGUAcgBcACIALAAgADAALgAzADMALAAgADAALgAzADMALAAgADAALgAyADIALAAgADAALgAzADMALAAgAC0AMAAuADEAMAAsACAAMAAuADMAMwAsACAAMAAuADEAMQA7AFwAbgAgACAAIAAgACAAIAAgACAAIAAgAFwAIgBWAGkAYwB0AG8AcgBpAGEAXAAiACwAIABcACIAbgAvAGEAXAAiACwAIABcACIAQQB1AHQAdQBtAG4AXAAiACwAIAAwAC4ANQAwACwAIAAwAC4AMgAwACwAIAAwAC4ANQA1ACwAIAAwAC4ANAA0ACwAIAAwAC4AMgAwACwAIAAwAC4ANQA1ACwAIAAwAC4AMgAwADsAXABuACAAIAAgACAAIAAgACAAIAAgACAAXAAiAFYAaQBjAHQAbwByAGkAYQBcACIALAAgAFwAIgBuAC8AYQBcACIALAAgAFwAIgBXAGkAbgB0AGUAcgBcACIALAAgADAALgA1ADUALAAgADAALgAyADIALAAgADAALgA0ADkALAAgADAALgAyADIALAAgADAALgAyADIALAAgADAALgA0ADkALAAgADAALgAzADMAOwBcAG4AIAAgACAAIAAgACAAIAAgACAAIABcACIAVwBlAHMAdABlAHIAbgAgAEEAdQBzAHQAcgBhAGwAaQBhAFwAIgAsACAAXAAiAFMAbwB1AHQAaAAgAFcAZQBzAHQAXAAiACwAIABcACIAUwBwAHIAaQBuAGcAXAAiACwAIAAxAC4ANgA0ACwAIAAxAC4AMQAwACwAIAAxAC4AMgAxACwAIAAwAC4AOQA5ACwAIAAwAC4ANgA2ACwAIAAxAC4ANAAyACwAIAAxAC4AMQAwADsAXABuACAAIAAgACAAIAAgACAAIAAgACAAXAAiAFcAZQBzAHQAZQByAG4AIABBAHUAcwB0AHIAYQBsAGkAYQBcACIALAAgAFwAIgBTAG8AdQB0AGgAIABXAGUAcwB0AFwAIgAsACAAXAAiAFMAdQBtAG0AZQByAFwAIgAsACAAMAAuADQANAAsACAALQAwAC4AMgAyACwAIAAwAC4ANAA0ACwAIAAwAC4AMwAzACwAIAAtADAALgAyADIALAAgADAALgA0ADQALAAgAC0AMAAuADEAMQA7AFwAbgAgACAAIAAgACAAIAAgACAAIAAgAFwAIgBXAGUAcwB0AGUAcgBuACAAQQB1AHMAdAByAGEAbABpAGEAXAAiACwAIABcACIAUwBvAHUAdABoACAAVwBlAHMAdABcACIALAAgAFwAIgBBAHUAdAB1AG0AbgBcACIALAAgADAALgA2ADAALAAgADAALgAwADAALAAgADAALgA2ADAALAAgADAALgAyADIALAAgAC0AMAAuADUANQAsACAAMAAuADYAMAAsACAAMAAuADAAMAA7AFwAbgAgACAAIAAgACAAIAAgACAAIAAgAFwAIgBXAGUAcwB0AGUAcgBuACAAQQB1AHMAdAByAGEAbABpAGEAXAAiACwAIABcACIAUwBvAHUAdABoACAAVwBlAHMAdABcACIALAAgAFwAIgBXAGkAbgB0AGUAcgBcACIALAAgADAALgA5ADkALAAgADAALgAyADIALAAgADAALgA3ADcALAAgADAALgAxADEALAAgADAALgAxADEALAAgADAALgA3ADcALAAgADAALgA0ADQAOwBcAG4AIAAgACAAIAAgACAAIAAgACAAIABcACIAVwBlAHMAdABlAHIAbgAgAEEAdQBzAHQAcgBhAGwAaQBhAFwAIgAsACAAXAAiAFAAaQBsAGIAYQByAGEAXAAiACwAIABcACIAUwBwAHIAaQBuAGcAXAAiACwAIAAwAC4ANwAwACwAIAAtADAALgA1ADUALAAgADAALgA3ADAALAAgADAALgAyADIALAAgAC0AMAAuADIAMgAsACAAMAAuADcAMAAsACAALQAwAC4AMgAyADsAXABuACAAIAAgACAAIAAgACAAIAAgACAAXAAiAFcAZQBzAHQAZQByAG4AIABBAHUAcwB0AHIAYQBsAGkAYQBcACIALAAgAFwAIgBQAGkAbABiAGEAcgBhAFwAIgAsACAAXAAiAFMAdQBtAG0AZQByAFwAIgAsACAAMAAuADcANwAsACAAMAAuADUANQAsACAAMAAuADcANwAsACAAMAAuADYANgAsACAAMAAuADUANQAsACAAMAAuADcANwAsACAAMAAuADMAMwA7AFwAbgAgACAAIAAgACAAIAAgACAAIAAgAFwAIgBXAGUAcwB0AGUAcgBuACAAQQB1AHMAdAByAGEAbABpAGEAXAAiACwAIABcACIAUABpAGwAYgBhAHIAYQBcACIALAAgAFwAIgBBAHUAdAB1AG0AbgBcACIALAAgADAALgA4ADgALAAgADAALgA1ADUALAAgADAALgA4ADgALAAgADAALgAyADIALAAgADAALgAyADIALAAgADAALgA4ADgALAAgADAALgAyADIAOwBcAG4AIAAgACAAIAAgACAAIAAgACAAIABcACIAVwBlAHMAdABlAHIAbgAgAEEAdQBzAHQAcgBhAGwAaQBhAFwAIgAsACAAXAAiAFAAaQBsAGIAYQByAGEAXAAiACwAIABcACIAVwBpAG4AdABlAHIAXAAiACwAIAAwAC4AMgAyACwAIAAtADAALgA1ADUALAAgADAALgAyADIALAAgADAALgAxADEALAAgAC0AMAAuADIAMgAsACAAMAAuADIAMgAsACAALQAwAC4AMwAzADsAXABuACAAIAAgACAAIAAgACAAIAAgACAAXAAiAFcAZQBzAHQAZQByAG4AIABBAHUAcwB0AHIAYQBsAGkAYQBcACIALAAgAFwAIgBLAGkAbQBiAGUAcgBsAGUAeQBcACIALAAgAFwAIgBTAHAAcgBpAG4AZwBcACIALAAgADAALgAyADIALAAgAC0AMAAuADUANQAsACAAMAAuADMAMwAsACAAMAAuADIAMgAsACAALQAwAC4AMwAzACwAIAAwAC4AMgAyACwAIAAtADAALgA1ADUAOwBcAG4AIAAgACAAIAAgACAAIAAgACAAIABcACIAVwBlAHMAdABlAHIAbgAgAEEAdQBzAHQAcgBhAGwAaQBhAFwAIgAsACAAXAAiAEsAaQBtAGIAZQByAGwAZQB5AFwAIgAsACAAXAAiAFMAdQBtAG0AZQByAFwAIgAsACAAMAAuADgAMAAsACAAMAAuADUANQAsACAAMAAuADcAMAAsACAAMAAuADQANAAsACAAMAAuADYANgAsACAAMAAuADgAMAAsACAAMAAuADUANQA7AFwAbgAgACAAIAAgACAAIAAgACAAIAAgAFwAIgBXAGUAcwB0AGUAcgBuACAAQQB1AHMAdAByAGEAbABpAGEAXAAiACwAIABcACIASwBpAG0AYgBlAHIAbABlAHkAXAAiACwAIABcACIAQQB1AHQAdQBtAG4AXAAiACwAIAAwAC4ANgA2ACwAIAAwAC4ANQA1ACwAIAAwAC4ANQA1ACwAIAAwAC4ANQA1ACwAIAAwAC4AMQAxACwAIAAwAC4ANgA2ACwAIAAwAC4ANQA1ADsAXABuACAAIAAgACAAIAAgACAAIAAgACAAXAAiAFcAZQBzAHQAZQByAG4AIABBAHUAcwB0AHIAYQBsAGkAYQBcACIALAAgAFwAIgBLAGkAbQBiAGUAcgBsAGUAeQBcACIALAAgAFwAIgBXAGkAbgB0AGUAcgBcACIALAAgADAALgAzADMALAAgAC0AMAAuADUANQAsACAAMAAuADEAMQAsACAAMAAuADEAMQAsACAALQAwAC4ANAA0ACwAIAAwAC4AMwAzACwAIAAtADAALgA1ADUAXABuACAAIAAgACAAIAAgACAAIAB9ACwAIAByACwAIABjACkAXABuACAAIAAgACAAIAAgACkAXABuACAAIAAgACAAKQBcAG4AIAAgACkAOwBcAG4AXABuAC8AKgAgAFwAbgAtAC0ALQAtAC0ALQAtAC0ALQAtAC0ALQAtAC0ALQAtAC0ALQAtAC0ALQAtAC0ALQAtAC0ALQAtAC0ALQAtAC0ALQAtAC0ALQAtAC0AXABuAFMAbwB1AHIAYwBlAEQAYQB0AGEAXwBQAGEAcwB0AHUAcgBlAEIAZQBlAGYAXwBMAGkAdgBlAHcAZQBpAGcAaAB0AEcAYQBpAG4ATgBUAFEATABEAFwAbgBUAGEAYgBsAGUAIABBAC4AMQAuADIALgA0ADoAIABCAGUAZQBmACAAcABhAHMAdAB1AHIAZQAgAGMAYQB0AHQAbABlACAALQAgAEwAaQB2AGUAdwBlAGkAZwBoAHQAIABnAGEAaQBuACAAKABrAGcAKQAgACgATABXAEcAagBrAGwAKQAgAGYAbwByACAATgBUACAAYQBuAGQAIABRAEwARABcAG4ALQAtAC0ALQAtAC0ALQAtAC0ALQAtAC0ALQAtAC0ALQAtAC0ALQAtAC0ALQAtAC0ALQAtAC0ALQAtAC0ALQAtAC0ALQAtAC0ALQAtAFwAbgAqAC8AXABuAFwAbgBTAG8AdQByAGMAZQBEAGEAdABhAF8AUABhAHMAdAB1AHIAZQBCAGUAZQBmAF8ATABpAHYAZQB3AGUAaQBnAGgAdABHAGEAaQBuAE4AVABRAEwARABfAFQAaQB0AGwAZQBcAG4AIAAgAD0ATABBAE0AQgBEAEEAKABcACIAQgBlAGUAZgAgAHAAYQBzAHQAdQByAGUAIABjAGEAdAB0AGwAZQAgAC0AIABMAGkAdgBlAHcAZQBpAGcAaAB0ACAAZwBhAGkAbgAgACgAawBnACkAIAAoAEwAVwBHAGoAawBsACkAIABmAG8AcgAgAE4AVAAgAGEAbgBkACAAUQBMAEQAXAAiACkAOwBcAG4AXABuAFMAbwB1AHIAYwBlAEQAYQB0AGEAXwBQAGEAcwB0AHUAcgBlAEIAZQBlAGYAXwBMAGkAdgBlAHcAZQBpAGcAaAB0AEcAYQBpAG4ATgBUAFEATABEAF8AVgBhAHIAaQBhAGIAbABlAFwAbgAgACAAPQBMAEEATQBCAEQAQQAoAFwAIgBMAFcARwBqAGsAbABcACIAKQA7AFwAbgBcAG4AUwBvAHUAcgBjAGUARABhAHQAYQBfAFAAYQBzAHQAdQByAGUAQgBlAGUAZgBfAEwAaQB2AGUAdwBlAGkAZwBoAHQARwBhAGkAbgBOAFQAUQBMAEQAXwBVAG4AaQB0AFwAbgAgACAAPQBMAEEATQBCAEQAQQAoAFwAIgBrAGcAXAAiACkAOwBcAG4AXABuAFMAbwB1AHIAYwBlAEQAYQB0AGEAXwBQAGEAcwB0AHUAcgBlAEIAZQBlAGYAXwBMAGkAdgBlAHcAZQBpAGcAaAB0AEcAYQBpAG4ATgBUAFEATABEAF8AUwBvAHUAcgBjAGUAXABuACAAIAA9AEwAQQBNAEIARABBACgAXAAiAFYARQBFAFIARwAgADIAMAAyADYAOgAgAFQAYQBiAGwAZQAgAEEALgAxAC4AMgAuADQAXAAiACkAOwBcAG4AXABuAFMAbwB1AHIAYwBlAEQAYQB0AGEAXwBQAGEAcwB0AHUAcgBlAEIAZQBlAGYAXwBMAGkAdgBlAHcAZQBpAGcAaAB0AEcAYQBpAG4ATgBUAFEATABEAF8AVgBhAHIAaQBhAHQAaQBvAG4AXABuACAAIAA9AEwAQQBNAEIARABBACgAXAAiAFwAIgApADsAXABuAFwAbgBTAG8AdQByAGMAZQBEAGEAdABhAF8AUABhAHMAdAB1AHIAZQBCAGUAZQBmAF8ATABpAHYAZQB3AGUAaQBnAGgAdABHAGEAaQBuAE4AVABRAEwARABfAEQAYQB0AGEAXABuACAAIAA9AEwAQQBNAEIARABBACgAXABuACAAIAAgACAATQBBAEsARQBBAFIAUgBBAFkAKAAyADkALAAgADEAMwAsAFwAbgAgACAAIAAgACAAIABMAEEATQBCAEQAQQAoAHIALABjACwAXABuACAAIAAgACAAIAAgACAAIABJAE4ARABFAFgAKAB7AFwAbgAgACAAIAAgACAAIAAgACAAIAAgAFwAIgBTAHQAYQB0AGUAXAAiACwAIABcACIAUgBlAGcAaQBvAG4AXAAiACwAIABcACIAUwBlAGEAcwBvAG4AXAAiACwAIABcACIAQgB1AGwAbAAgADwAMQBcACIALAAgAFwAIgBCAHUAbABsACAAPgAxAFwAIgAsACAAXAAiAEMAbwB3ACAAPAAxAFwAIgAsACAAXAAiAEMAbwB3ACAAMQAtADIAXAAiACwAIABcACIAQwBvAHcAIAAyAC0AMwBcACIALAAgAFwAIgBDAG8AdwAgAD4AMwBcACIALAAgAFwAIgBTAHQAZQBlAHIAIAA8ADEAXAAiACwAIABcACIAUwB0AGUAZQByACAAMQAtADIAXAAiACwAIABcACIAUwB0AGUAZQByACAAMgAtADMAXAAiACwAIABcACIAUwB0AGUAZQByACAAPgAzAFwAIgA7AFwAbgAgACAAIAAgACAAIAAgACAAIAAgAFwAIgBOAG8AcgB0AGgAZQByAG4AIABUAGUAcgByAGkAdABvAHIAeQBcACIALAAgAFwAIgBBAGwAaQBjAGUAIABTAHAAcgBpAG4AZwBzAFwAIgAsACAAXAAiAFMAcAByAGkAbgBnAFwAIgAsACAAMAAuADIAMgAsACAALQAwAC4AMgAzACwAIAAwAC4AMgA1ACwAIAAwAC4AMQA3ACwAIAAwAC4AMQA4ACwAIAAtADAALgAyADgALAAgADAALgAzADIALAAgADAALgAyADQALAAgADAALgAyADUALAAgAC0AMAAuADAANQA7AFwAbgAgACAAIAAgACAAIAAgACAAIAAgAFwAIgBOAG8AcgB0AGgAZQByAG4AIABUAGUAcgByAGkAdABvAHIAeQBcACIALAAgAFwAIgBBAGwAaQBjAGUAIABTAHAAcgBpAG4AZwBzAFwAIgAsACAAXAAiAFMAdQBtAG0AZQByAFwAIgAsACAAMAAuADYANgAsACAAMAAuADIAMAAsACAAMAAuADYAMgAsACAAMAAuADUANAAsACAAMAAuADMAOAAsACAAMAAuADIANwAsACAAMAAuADcANQAsACAAMAAuADYANAAsACAAMAAuADUANQAsACAAMAAuADQAOAA7AFwAbgAgACAAIAAgACAAIAAgACAAIAAgAFwAIgBOAG8AcgB0AGgAZQByAG4AIABUAGUAcgByAGkAdABvAHIAeQBcACIALAAgAFwAIgBBAGwAaQBjAGUAIABTAHAAcgBpAG4AZwBzAFwAIgAsACAAXAAiAEEAdQB0AHUAbQBuAFwAIgAsACAAMAAuADQAOQAsACAAMAAuADEAMwAsACAAMAAuADUANAAsACAAMAAuADQANQAsACAAMAAuADMANQAsACAAMAAuADEANQAsACAAMAAuADYAMwAsACAAMAAuADUANAAsACAAMAAuADQAMgAsACAAMAAuADIANgA7AFwAbgAgACAAIAAgACAAIAAgACAAIAAgAFwAIgBOAG8AcgB0AGgAZQByAG4AIABUAGUAcgByAGkAdABvAHIAeQBcACIALAAgAFwAIgBBAGwAaQBjAGUAIABTAHAAcgBpAG4AZwBzAFwAIgAsACAAXAAiAFcAaQBuAHQAZQByAFwAIgAsACAAMAAuADIANwAsACAALQAwAC4AOAAwACwAIAAwAC4AMgAyACwAIAAwAC4AMAA5ACwAIAAwAC4AMQAyACwAIAAwAC4AMAAyACwAIAAwAC4AMgA1ACwAIAAwAC4AMQA4ACwAIAAwAC4AMQAyACwAIAAwAC4AMAAzADsAXABuACAAIAAgACAAIAAgACAAIAAgACAAXAAiAE4AbwByAHQAaABlAHIAbgAgAFQAZQByAHIAaQB0AG8AcgB5AFwAIgAsACAAXAAiAEIAYQByAGsAbAB5AFwAIgAsACAAXAAiAFMAcAByAGkAbgBnAFwAIgAsACAAMAAuADIAMgAsACAALQAwAC4ANAA0ACwAIAAwAC4AMgAwACwAIAAwAC4AMgAxACwAIAAwAC4AMQA4ACwAIAAwAC4AMAAxACwAIAAwAC4AMQAyACwAIAAwAC4AMAA5ACwAIABcACIATgBPAFwAIgAsACAAXAAiAE4ATwBcACIAOwBcAG4AIAAgACAAIAAgACAAIAAgACAAIABcACIATgBvAHIAdABoAGUAcgBuACAAVABlAHIAcgBpAHQAbwByAHkAXAAiACwAIABcACIAQgBhAHIAawBsAHkAXAAiACwAIABcACIAUwB1AG0AbQBlAHIAXAAiACwAIAAwAC4ANgA2ACwAIAAwAC4AMgAyACwAIAAwAC4ANgA4ACwAIAAwAC4AMgAyACwAIAAwAC4AMgA0ACwAIAAwAC4AMgA1ACwAIAAwAC4ANgA0ACwAIAAwAC4AMwA3ACwAIABcACIATgBPAFwAIgAsACAAXAAiAE4ATwBcACIAOwBcAG4AIAAgACAAIAAgACAAIAAgACAAIABcACIATgBvAHIAdABoAGUAcgBuACAAVABlAHIAcgBpAHQAbwByAHkAXAAiACwAIABcACIAQgBhAHIAawBsAHkAXAAiACwAIABcACIAQQB1AHQAdQBtAG4AXAAiACwAIAAwAC4ANAA5ACwAIAAwAC4AMAA1ACwAIAAwAC4ANgA0ACwAIAAwAC4AMgA1ACwAIAAwAC4AMgA5ACwAIAAwAC4AMQAyACwAIAAwAC4ANQA3ACwAIAAwAC4ANAA5ACwAIABcACIATgBPAFwAIgAsACAAXAAiAE4ATwBcACIAOwBcAG4AIAAgACAAIAAgACAAIAAgACAAIABcACIATgBvAHIAdABoAGUAcgBuACAAVABlAHIAcgBpAHQAbwByAHkAXAAiACwAIABcACIAQgBhAHIAawBsAHkAXAAiACwAIABcACIAVwBpAG4AdABlAHIAXAAiACwAIAAwAC4AMgA3ACwAIAAtADAALgAyADcALAAgADAALgAzADEALAAgADAALgAyADkALAAgADAALgAxADkALAAgADAALgAwADQALAAgADAALgAyADYALAAgADAALgAyADgALAAgAFwAIgBOAE8AXAAiACwAIABcACIATgBPAFwAIgA7AFwAbgAgACAAIAAgACAAIAAgACAAIAAgAFwAIgBOAG8AcgB0AGgAZQByAG4AIABUAGUAcgByAGkAdABvAHIAeQBcACIALAAgAFwAIgBOAG8AcgB0AGgAZQByAG4AXAAiACwAIABcACIAUwBwAHIAaQBuAGcAXAAiACwAIAAwAC4AMgAyACwAIAAtADAALgA0ADQALAAgADAALgAwADAALAAgADAALgAxADUALAAgADAALgAwADgALAAgADAALgAxADcALAAgADAALgAwADYALAAgADAALgAwADIALAAgAC0AMAAuADEANAAsACAAXAAiAE4ATwBcACIAOwBcAG4AIAAgACAAIAAgACAAIAAgACAAIABcACIATgBvAHIAdABoAGUAcgBuACAAVABlAHIAcgBpAHQAbwByAHkAXAAiACwAIABcACIATgBvAHIAdABoAGUAcgBuAFwAIgAsACAAXAAiAFMAdQBtAG0AZQByAFwAIgAsACAAMAAuADYANgAsACAAMAAuADIAMgAsACAAMAAuADcAOQAsACAAMAAuADQAMAAsACAAMAAuADMAOAAsACAAMAAuADIANwAsACAAMAAuADgAMAAsACAAMAAuADEANgAsACAAMAAuADMAMAAsACAAXAAiAE4ATwBcACIAOwBcAG4AIAAgACAAIAAgACAAIAAgACAAIABcACIATgBvAHIAdABoAGUAcgBuACAAVABlAHIAcgBpAHQAbwByAHkAXAAiACwAIABcACIATgBvAHIAdABoAGUAcgBuAFwAIgAsACAAXAAiAEEAdQB0AHUAbQBuAFwAIgAsACAAMAAuADQAOQAsACAAMAAuADAANQAsACAAMAAuADUANQAsACAAMAAuADMAOAAsACAAMAAuADMANgAsACAAMAAuADAANgAsACAAMAAuADUAOAAsACAAMAAuADIAMwAsACAAMAAuADQAMAAsACAAXAAiAE4ATwBcACIAOwBcAG4AIAAgACAAIAAgACAAIAAgACAAIABcACIATgBvAHIAdABoAGUAcgBuACAAVABlAHIAcgBpAHQAbwByAHkAXAAiACwAIABcACIATgBvAHIAdABoAGUAcgBuAFwAIgAsACAAXAAiAFcAaQBuAHQAZQByAFwAIgAsACAAMAAuADIANwAsACAALQAwAC4AMgA3ACwAIAAwAC4AMAAyACwAIAAwAC4AMAA5ACwAIAAwAC4AMQA2ACwAIAAtADAALgAwADQALAAgADAALgAyADEALAAgADAALgAwADMALAAgADAALgAxADEALAAgAFwAIgBOAE8AXAAiADsAXABuACAAIAAgACAAIAAgACAAIAAgACAAXAAiAFEAdQBlAGUAbgBzAGwAYQBuAGQAXAAiACwAIABcACIASABpAGcAaABcACIALAAgAFwAIgBTAHAAcgBpAG4AZwBcACIALAAgADAALgAyADcALAAgAC0AMAAuADEAOQAsACAAMAAuADMAOAAsACAAMAAuADIANQAsACAAMAAuADAANwAsACAAMAAuADAANQAsACAAMAAuADUAMgAsACAAMAAuADUANQAsACAAMAAuADEAOQAsACAAMAAuADYAMAA7AFwAbgAgACAAIAAgACAAIAAgACAAIAAgAFwAIgBRAHUAZQBlAG4AcwBsAGEAbgBkAFwAIgAsACAAXAAiAEgAaQBnAGgAXAAiACwAIABcACIAUwB1AG0AbQBlAHIAXAAiACwAIAAwAC4AMQA2ACwAIAAwAC4AMQA2ACwAIAAwAC4AOAAwACwAIAAwAC4ANQA3ACwAIAAwAC4ANwA2ACwAIAAwAC4ANAA5ACwAIAAwAC4AOAA0ACwAIAAwAC4ANQAxACwAIAAwAC4AMwA2ACwAIAAwAC4AMQA3ADsAXABuACAAIAAgACAAIAAgACAAIAAgACAAXAAiAFEAdQBlAGUAbgBzAGwAYQBuAGQAXAAiACwAIABcACIASABpAGcAaABcACIALAAgAFwAIgBBAHUAdAB1AG0AbgBcACIALAAgADAALgA0ADUALAAgADAALgAxADAALAAgADAALgA0ADkALAAgADAALgA0ADEALAAgADAALgA0ADAALAAgADAALgAxADcALAAgADAALgA1ADQALAAgADAALgA2ADQALAAgAC0AMAAuADAANQAsACAAMAAuADMAMgA7AFwAbgAgACAAIAAgACAAIAAgACAAIAAgAFwAIgBRAHUAZQBlAG4AcwBsAGEAbgBkAFwAIgAsACAAXAAiAEgAaQBnAGgAXAAiACwAIABcACIAVwBpAG4AdABlAHIAXAAiACwAIAAwAC4ANQAxACwAIAAtADAALgAwADcALAAgADAALgAxADMALAAgAC0AMAAuADAAOQAsACAALQAwAC4AMQAzACwAIAAwAC4AMAA3ACwAIAAwAC4AMgA1ACwAIAAwAC4ANwAxACwAIAAwAC4AMQA3ACwAIAAwAC4ANAAzADsAXABuACAAIAAgACAAIAAgACAAIAAgACAAXAAiAFEAdQBlAGUAbgBzAGwAYQBuAGQAXAAiACwAIABcACIATQBvAGQAZQByAGEAdABlAC8ASABpAGcAaABcACIALAAgAFwAIgBTAHAAcgBpAG4AZwBcACIALAAgAC0AMAAuADEAMgAsACAALQAwAC4AMQA5ACwAIAAwAC4ANAAxACwAIAAwAC4AMAA5ACwAIAAwAC4ANAAxACwAIAAtADAALgAxADkALAAgADAALgAwADcALAAgADEALgAwADcALAAgAC0AMAAuADAAOAAsACAAMAAuADAAMAA7AFwAbgAgACAAIAAgACAAIAAgACAAIAAgAFwAIgBRAHUAZQBlAG4AcwBsAGEAbgBkAFwAIgAsACAAXAAiAE0AbwBkAGUAcgBhAHQAZQAvAEgAaQBnAGgAXAAiACwAIABcACIAUwB1AG0AbQBlAHIAXAAiACwAIAAwAC4ANgA1ACwAIAAwAC4AMQA5ACwAIAAwAC4ANgA1ACwAIAAwAC4ANQAxACwAIAAwAC4AMQA4ACwAIAAwAC4ANgAzACwAIAAxAC4AMwAwACwAIAAwAC4ANAA4ACwAIAAxAC4AMQAyACwAIAAwAC4AMwA4ADsAXABuACAAIAAgACAAIAAgACAAIAAgACAAXAAiAFEAdQBlAGUAbgBzAGwAYQBuAGQAXAAiACwAIABcACIATQBvAGQAZQByAGEAdABlAC8ASABpAGcAaABcACIALAAgAFwAIgBBAHUAdAB1AG0AbgBcACIALAAgADAALgA3ADAALAAgADAALgAxADMALAAgADAALgA1ADIALAAgADAALgAzADQALAAgADAALgAwADIALAAgADAALgAwADQALAAgADAALgA3ADcALAAgADAALgA0ADIALAAgADAALgAxADIALAAgADAALgA3ADQAOwBcAG4AIAAgACAAIAAgACAAIAAgACAAIABcACIAUQB1AGUAZQBuAHMAbABhAG4AZABcACIALAAgAFwAIgBNAG8AZABlAHIAYQB0AGUALwBIAGkAZwBoAFwAIgAsACAAXAAiAFcAaQBuAHQAZQByAFwAIgAsACAAMAAuADMAMgAsACAALQAwAC4AMAA2ACwAIAAwAC4AMgA1ACwAIAAwAC4AMQA5ACwAIAAtADAALgAxADAALAAgAC0AMAAuADAAMgAsACAAMAAuADAAMgAsACAAMAAuADIAMwAsACAALQAwAC4AMQAzACwAIAAwAC4AMAAwADsAXABuACAAIAAgACAAIAAgACAAIAAgACAAXAAiAFEAdQBlAGUAbgBzAGwAYQBuAGQAXAAiACwAIABcACIATQBvAGQAZQByAGEAdABlAC8ATABvAHcAXAAiACwAIABcACIAUwBwAHIAaQBuAGcAXAAiACwAIAAwAC4ANgAyACwAIAAtADAALgAxADkALAAgADAALgAzADcALAAgADAALgA0ADEALAAgADAALgAwADYALAAgAC0AMAAuADAAMgAsACAAMAAuADQANwAsACAAMAAuADQANAAsACAAMAAuADMAMAAsACAAMAAuADEAMwA7AFwAbgAgACAAIAAgACAAIAAgACAAIAAgAFwAIgBRAHUAZQBlAG4AcwBsAGEAbgBkAFwAIgAsACAAXAAiAE0AbwBkAGUAcgBhAHQAZQAvAEwAbwB3AFwAIgAsACAAXAAiAFMAdQBtAG0AZQByAFwAIgAsACAAMAAuADAANQAsACAAMAAuADEAOQAsACAAMAAuADMAMQAsACAAMAAuADUANAAsACAAMAAuADUAMwAsACAAMAAuADEANQAsACAAMAAuADIAOAAsACAAMAAuADUANwAsACAAMAAuADQAMgAsACAAMAAuADQAMAA7AFwAbgAgACAAIAAgACAAIAAgACAAIAAgAFwAIgBRAHUAZQBlAG4AcwBsAGEAbgBkAFwAIgAsACAAXAAiAE0AbwBkAGUAcgBhAHQAZQAvAEwAbwB3AFwAIgAsACAAXAAiAEEAdQB0AHUAbQBuAFwAIgAsACAAMAAuADMAMwAsACAAMAAuADEAMwAsACAAMAAuADMAOQAsACAAMAAuADMANgAsACAAMAAuADIANgAsACAAMAAuADEAMQAsACAAMAAuADQAMAAsACAAMAAuADQANAAsACAAMAAuADMANwAsACAALQAwAC4AMAAxADsAXABuACAAIAAgACAAIAAgACAAIAAgACAAXAAiAFEAdQBlAGUAbgBzAGwAYQBuAGQAXAAiACwAIABcACIATQBvAGQAZQByAGEAdABlAC8ATABvAHcAXAAiACwAIABcACIAVwBpAG4AdABlAHIAXAAiACwAIAAwAC4ANgAxACwAIAAtADAALgAwADYALAAgADAALgAyADEALAAgADAALgAxADgALAAgADAALgAxADIALAAgADAALgAwADYALAAgADAALgAyADkALAAgADAALgA0ADEALAAgADAALgA0ADEALAAgAC0AMAAuADEANQA7AFwAbgAgACAAIAAgACAAIAAgACAAIAAgAFwAIgBRAHUAZQBlAG4AcwBsAGEAbgBkAFwAIgAsACAAXAAiAEwAbwB3AFwAIgAsACAAXAAiAFMAcAByAGkAbgBnAFwAIgAsACAALQAwAC4AMgAwACwAIAAwAC4AMAAyACwAIAAwAC4AMgA0ACwAIAAwAC4AMwAwACwAIAAwAC4AMgAzACwAIAAtADAALgAwADUALAAgADAALgAzADQALAAgADAALgAzADAALAAgADAALgA1ADcALAAgADAALgA1ADIAOwBcAG4AIAAgACAAIAAgACAAIAAgACAAIABcACIAUQB1AGUAZQBuAHMAbABhAG4AZABcACIALAAgAFwAIgBMAG8AdwBcACIALAAgAFwAIgBTAHUAbQBtAGUAcgBcACIALAAgADAALgA2ADIALAAgADAALgAyADEALAAgADAALgAyADUALAAgADAALgAzADIALAAgADAALgA0ADcALAAgADAALgAzADEALAAgADAALgAxADQALAAgADAALgA0ADAALAAgADAALgAyADYALAAgADAALgA0ADMAOwBcAG4AIAAgACAAIAAgACAAIAAgACAAIABcACIAUQB1AGUAZQBuAHMAbABhAG4AZABcACIALAAgAFwAIgBMAG8AdwBcACIALAAgAFwAIgBBAHUAdAB1AG0AbgBcACIALAAgADAALgA0ADAALAAgADAALgAxADMALAAgADAALgAxADIALAAgADAALgAyADcALAAgADAALgAzADAALAAgADAALgAwADgALAAgADAALgAxADMALAAgADAALgAyADQALAAgADAALgAxADUALAAgADAALgAyADEAOwBcAG4AIAAgACAAIAAgACAAIAAgACAAIABcACIAUQB1AGUAZQBuAHMAbABhAG4AZABcACIALAAgAFwAIgBMAG8AdwBcACIALAAgAFwAIgBXAGkAbgB0AGUAcgBcACIALAAgADAALgAwADgALAAgADAALgAwADQALAAgADAALgAwADYALAAgADAALgAxADgALAAgADAALgAxADEALAAgAC0AMAAuADAANwAsACAAMAAuADEAMwAsACAAMAAuADEANgAsACAAMAAuADQAMAAsACAAMAAuADMAMwBcAG4AIAAgACAAIAAgACAAIAAgAH0ALAAgAHIALAAgAGMAKQBcAG4AIAAgACAAIAAgACAAKQBcAG4AIAAgACAAIAApAFwAbgAgACAAKQA7AFwAbgBcAG4AXABuAC8AKgAgAFwAbgAtAC0ALQAtAC0ALQAtAC0ALQAtAC0ALQAtAC0ALQAtAC0ALQAtAC0ALQAtAC0ALQAtAC0ALQAtAC0ALQAtAC0ALQAtAC0ALQAtAC0AXABuAFMAbwB1AHIAYwBlAEQAYQB0AGEAXwBQAGEAcwB0AHUAcgBlAEIAZQBlAGYAXwBEAHIAeQBNAGEAdAB0AGUAcgBEAGkAZwBlAHMAdABpAGIAaQBsAGkAdAB5AFwAbgBUAGEAYgBsAGUAIABBAC4AMQAuADIALgA1ADoAIABCAGUAZQBmACAAcABhAHMAdAB1AHIAZQAgAGMAYQB0AHQAbABlACAALQAgAEQAcgB5ACAAbQBhAHQAdABlAHIAIABkAGkAZwBlAHMAdABpAGIAaQBsAGkAdAB5ACAAbwBmACAAZgBlAGUAZAAgAGkAbgB0AGEAawBlACAAKABmAHIAYQBjAHQAaQBvAG4AKQAgACgARABNAEQAagApAFwAbgAtAC0ALQAtAC0ALQAtAC0ALQAtAC0ALQAtAC0ALQAtAC0ALQAtAC0ALQAtAC0ALQAtAC0ALQAtAC0ALQAtAC0ALQAtAC0ALQAtAC0AXABuACoALwBcAG4AXABuAFMAbwB1AHIAYwBlAEQAYQB0AGEAXwBQAGEAcwB0AHUAcgBlAEIAZQBlAGYAXwBEAHIAeQBNAGEAdAB0AGUAcgBEAGkAZwBlAHMAdABpAGIAaQBsAGkAdAB5AF8AVABpAHQAbABlAFwAbgAgACAAPQBMAEEATQBCAEQAQQAoAFwAIgBCAGUAZQBmACAAcABhAHMAdAB1AHIAZQAgAGMAYQB0AHQAbABlACAALQAgAEQAcgB5ACAAbQBhAHQAdABlAHIAIABkAGkAZwBlAHMAdABpAGIAaQBsAGkAdAB5ACAAbwBmACAAZgBlAGUAZAAgAGkAbgB0AGEAawBlACAAKABmAHIAYQBjAHQAaQBvAG4AKQAgACgARABNAEQAagApAFwAIgApADsAXABuAFwAbgBTAG8AdQByAGMAZQBEAGEAdABhAF8AUABhAHMAdAB1AHIAZQBCAGUAZQBmAF8ARAByAHkATQBhAHQAdABlAHIARABpAGcAZQBzAHQAaQBiAGkAbABpAHQAeQBfAFYAYQByAGkAYQBiAGwAZQBcAG4AIAAgAD0ATABBAE0AQgBEAEEAKABcACIARABNAEQAagBcACIAKQA7AFwAbgBcAG4AUwBvAHUAcgBjAGUARABhAHQAYQBfAFAAYQBzAHQAdQByAGUAQgBlAGUAZgBfAEQAcgB5AE0AYQB0AHQAZQByAEQAaQBnAGUAcwB0AGkAYgBpAGwAaQB0AHkAXwBVAG4AaQB0AFwAbgAgACAAPQBMAEEATQBCAEQAQQAoAFwAIgBmAHIAYQBjAHQAaQBvAG4AXAAiACkAOwBcAG4AXABuAFMAbwB1AHIAYwBlAEQAYQB0AGEAXwBQAGEAcwB0AHUAcgBlAEIAZQBlAGYAXwBEAHIAeQBNAGEAdAB0AGUAcgBEAGkAZwBlAHMAdABpAGIAaQBsAGkAdAB5AF8AUwBvAHUAcgBjAGUAXABuACAAIAA9AEwAQQBNAEIARABBACgAXAAiAFYARQBFAFIARwAgADIAMAAyADYAOgAgAFQAYQBiAGwAZQAgAEEALgAxAC4AMgAuADUAXAAiACkAOwBcAG4AXABuAFMAbwB1AHIAYwBlAEQAYQB0AGEAXwBQAGEAcwB0AHUAcgBlAEIAZQBlAGYAXwBEAHIAeQBNAGEAdAB0AGUAcgBEAGkAZwBlAHMAdABpAGIAaQBsAGkAdAB5AF8AVgBhAHIAaQBhAHQAaQBvAG4AXABuACAAIAA9AEwAQQBNAEIARABBACgAXAAiAFYAQQBSAEkAQQBUAEkATwBOACAATwBOACAAUwBPAFUAUgBDAEUAOgAgAFMAcABsAGkAdAAgAEEAQwBUACAAYQBuAGQAIABOAFMAVwAgAGkAbgB0AG8AIABzAGUAcABhAHIAYQB0AGUAIAByAG8AdwBzAC4AIABEAHUAcABsAGkAYwBhAHQAZQBkACAAUQBMAEQAIABhAG4AZAAgAE4AVAAgAHIAbwB3AHMAIAB3AGkAdABoACAAcgBlAGcAaQBvAG4AcwAgAGYAcgBvAG0AIAB0AGEAYgBsAGUAIABBAC4AMQAuADIALgAyACAAdABvACAAYQBpAGQAIABsAG8AbwBrAHUAcABcACIAKQA7AFwAbgBcAG4AUwBvAHUAcgBjAGUARABhAHQAYQBfAFAAYQBzAHQAdQByAGUAQgBlAGUAZgBfAEQAcgB5AE0AYQB0AHQAZQByAEQAaQBnAGUAcwB0AGkAYgBpAGwAaQB0AHkAXwBEAGEAdABhAFwAbgAgACAAPQBMAEEATQBCAEQAQQAoAFwAbgAgACAAIAAgAE0AQQBLAEUAQQBSAFIAQQBZACgAMQA2ACwAIAA2ACwAXABuACAAIAAgACAAIAAgAEwAQQBNAEIARABBACgAcgAsAGMALABcAG4AIAAgACAAIAAgACAAIAAgAEkATgBEAEUAWAAoAHsAXABuACAAIAAgACAAIAAgACAAIAAgACAAXAAiAFMAdABhAHQAZQBcACIALAAgAFwAIgBSAGUAZwBpAG8AbgBcACIALAAgAFwAIgBTAHAAcgBpAG4AZwBcACIALAAgAFwAIgBTAHUAbQBtAGUAcgBcACIALAAgAFwAIgBBAHUAdAB1AG0AbgBcACIALAAgAFwAIgBXAGkAbgB0AGUAcgBcACIAOwBcAG4AIAAgACAAIAAgACAAIAAgACAAIABcACIAQQBDAFQAXAAiACwAIABcACIAbgAvAGEAXAAiACwAIAAwAC4ANQA1ACwAIAAwAC4ANgA1ACwAIAAwAC4ANgAwACwAIAAwAC4ANQAwADsAXABuACAAIAAgACAAIAAgACAAIAAgACAAXAAiAE4AUwBXAFwAIgAsACAAXAAiAG4ALwBhAFwAIgAsACAAMAAuADUANQAsACAAMAAuADYANQAsACAAMAAuADYAMAAsACAAMAAuADUAMAA7AFwAbgAgACAAIAAgACAAIAAgACAAIAAgAFwAIgBOAFQAXAAiACwAIABcACIAQQBsAGkAYwBlACAAUwBwAHIAaQBuAGcAcwBcACIALAAgADAALgA1ADUALAAgADAALgA2ADEALAAgADAALgA1ADcALAAgADAALgA1ADQAOwBcAG4AIAAgACAAIAAgACAAIAAgACAAIABcACIATgBUAFwAIgAsACAAXAAiAEIAYQByAGsAbAB5AFwAIgAsACAAMAAuADUANQAsACAAMAAuADYAMQAsACAAMAAuADUANwAsACAAMAAuADUANAA7AFwAbgAgACAAIAAgACAAIAAgACAAIAAgAFwAIgBOAFQAXAAiACwAIABcACIATgBvAHIAdABoAGUAcgBuAFwAIgAsACAAMAAuADUANQAsACAAMAAuADYAMQAsACAAMAAuADUANwAsACAAMAAuADUANAA7AFwAbgAgACAAIAAgACAAIAAgACAAIAAgAFwAIgBRAEwARABcACIALAAgAFwAIgBIAGkAZwBoAFwAIgAsACAAMAAuADUAMwAsACAAMAAuADUANwAsACAAMAAuADUANQAsACAAMAAuADUAMQA7AFwAbgAgACAAIAAgACAAIAAgACAAIAAgAFwAIgBRAEwARABcACIALAAgAFwAIgBNAG8AZABlAHIAYQB0AGUALwBIAGkAZwBoAFwAIgAsACAAMAAuADUAMwAsACAAMAAuADUANwAsACAAMAAuADUANQAsACAAMAAuADUAMQA7AFwAbgAgACAAIAAgACAAIAAgACAAIAAgAFwAIgBRAEwARABcACIALAAgAFwAIgBNAG8AZABlAHIAYQB0AGUALwBMAG8AdwBcACIALAAgADAALgA1ADMALAAgADAALgA1ADcALAAgADAALgA1ADUALAAgADAALgA1ADEAOwBcAG4AIAAgACAAIAAgACAAIAAgACAAIABcACIAUQBMAEQAXAAiACwAIABcACIATABvAHcAXAAiACwAIAAwAC4ANQAzACwAIAAwAC4ANQA3ACwAIAAwAC4ANQA1ACwAIAAwAC4ANQAxADsAXABuACAAIAAgACAAIAAgACAAIAAgACAAXAAiAFMAQQBcACIALAAgAFwAIgBuAC8AYQBcACIALAAgADAALgA3ADAALAAgADAALgA1ADUALAAgADAALgA1ADUALAAgADAALgA3ADUAOwBcAG4AIAAgACAAIAAgACAAIAAgACAAIABcACIAVABBAFMAXAAiACwAIABcACIAbgAvAGEAXAAiACwAIAAwAC4ANwA1ACwAIAAwAC4ANgAwACwAIAAwAC4ANwAwACwAIAAwAC4ANwA1ADsAXABuACAAIAAgACAAIAAgACAAIAAgACAAXAAiAFYASQBDAFwAIgAsACAAXAAiAG4ALwBhAFwAIgAsACAAMAAuADgAMAAsACAAMAAuADUANQAsACAAMAAuADYAMAAsACAAMAAuADcANgA7AFwAbgAgACAAIAAgACAAIAAgACAAIAAgAFwAIgBXAEEAXAAiACwAIABcACIAUwBvAHUAdABoACAAVwBlAHMAdABcACIALAAgADAALgA4ADAALAAgADAALgA1ADgALAAgADAALgA1ADAALAAgADAALgA3ADUAOwBcAG4AIAAgACAAIAAgACAAIAAgACAAIABcACIAVwBBAFwAIgAsACAAXAAiAFAAaQBsAGIAYQByAGEAXAAiACwAIAAwAC4ANAAwACwAIAAwAC4ANgA1ACwAIAAwAC4ANQA1ACwAIAAwAC4ANAA1ADsAXABuACAAIAAgACAAIAAgACAAIAAgACAAXAAiAFcAQQBcACIALAAgAFwAIgBLAGkAbQBiAGUAcgBsAGUAeQBcACIALAAgADAALgA0ADAALAAgADAALgA2ADUALAAgADAALgA1ADUALAAgADAALgA0ADUAXABuACAAIAAgACAAIAAgACAAIAB9ACwAIAByACwAIABjACkAXABuACAAIAAgACAAIAAgACkAXABuACAAIAAgACAAKQBcAG4AIAAgACkAOwBcAG4AXABuAC8AKgAgAFwAbgAtAC0ALQAtAC0ALQAtAC0ALQAtAC0ALQAtAC0ALQAtAC0ALQAtAC0ALQAtAC0ALQAtAC0ALQAtAC0ALQAtAC0ALQAtAC0ALQAtAC0AXABuAFMAbwB1AHIAYwBlAEQAYQB0AGEAXwBQAGEAcwB0AHUAcgBlAEIAZQBlAGYAXwBDAHIAdQBkAGUAUAByAG8AdABlAGkAbgBDAG8AbgB0AGUAbgB0AFwAbgBUAGEAYgBsAGUAIABBAC4AMQAuADIALgA2ADoAIABCAGUAZQBmACAAcABhAHMAdAB1AHIAZQAgAGMAYQB0AHQAbABlACAALQAgAEMAcgB1AGQAZQAgAHAAcgBvAHQAZQBpAG4AIABjAG8AbgB0AGUAbgB0ACAAbwBmACAAZgBlAGUAZAAgAGkAbgB0AGEAawBlACAAKABmAHIAYQBjAHQAaQBvAG4AKQAgACgAQwBQAGoAKQBcAG4ALQAtAC0ALQAtAC0ALQAtAC0ALQAtAC0ALQAtAC0ALQAtAC0ALQAtAC0ALQAtAC0ALQAtAC0ALQAtAC0ALQAtAC0ALQAtAC0ALQAtAFwAbgAqAC8AXABuAFwAbgBTAG8AdQByAGMAZQBEAGEAdABhAF8AUABhAHMAdAB1AHIAZQBCAGUAZQBmAF8AQwByAHUAZABlAFAAcgBvAHQAZQBpAG4AQwBvAG4AdABlAG4AdABfAFQAaQB0AGwAZQBcAG4AIAAgAD0ATABBAE0AQgBEAEEAKABcACIAQgBlAGUAZgAgAHAAYQBzAHQAdQByAGUAIABjAGEAdAB0AGwAZQAgAC0AIABDAHIAdQBkAGUAIABwAHIAbwB0AGUAaQBuACAAYwBvAG4AdABlAG4AdAAgAG8AZgAgAGYAZQBlAGQAIABpAG4AdABhAGsAZQAgACgAZgByAGEAYwB0AGkAbwBuACkAIAAoAEMAUABqACkAXAAiACkAOwBcAG4AXABuAFMAbwB1AHIAYwBlAEQAYQB0AGEAXwBQAGEAcwB0AHUAcgBlAEIAZQBlAGYAXwBDAHIAdQBkAGUAUAByAG8AdABlAGkAbgBDAG8AbgB0AGUAbgB0AF8AVgBhAHIAaQBhAGIAbABlAFwAbgAgACAAPQBMAEEATQBCAEQAQQAoAFwAIgBDAFAAagBcACIAKQA7AFwAbgBcAG4AUwBvAHUAcgBjAGUARABhAHQAYQBfAFAAYQBzAHQAdQByAGUAQgBlAGUAZgBfAEMAcgB1AGQAZQBQAHIAbwB0AGUAaQBuAEMAbwBuAHQAZQBuAHQAXwBVAG4AaQB0AFwAbgAgACAAPQBMAEEATQBCAEQAQQAoAFwAIgBmAHIAYQBjAHQAaQBvAG4AXAAiACkAOwBcAG4AXABuAFMAbwB1AHIAYwBlAEQAYQB0AGEAXwBQAGEAcwB0AHUAcgBlAEIAZQBlAGYAXwBDAHIAdQBkAGUAUAByAG8AdABlAGkAbgBDAG8AbgB0AGUAbgB0AF8AUwBvAHUAcgBjAGUAXABuACAAIAA9AEwAQQBNAEIARABBACgAXAAiAFYARQBFAFIARwAgADIAMAAyADYAOgAgAFQAYQBiAGwAZQAgAEEALgAxAC4AMgAuADYAXAAiACkAOwBcAG4AXABuAFMAbwB1AHIAYwBlAEQAYQB0AGEAXwBQAGEAcwB0AHUAcgBlAEIAZQBlAGYAXwBDAHIAdQBkAGUAUAByAG8AdABlAGkAbgBDAG8AbgB0AGUAbgB0AF8AVgBhAHIAaQBhAHQAaQBvAG4AXABuACAAIAA9AEwAQQBNAEIARABBACgAXAAiAFYAQQBSAEkAQQBUAEkATwBOACAATwBOACAAUwBPAFUAUgBDAEUAOgAgAFMAcABsAGkAdAAgAEEAQwBUACAAYQBuAGQAIABOAFMAVwAgAGkAbgB0AG8AIABzAGUAcABhAHIAYQB0AGUAIAByAG8AdwBzAC4AIABEAHUAcABsAGkAYwBhAHQAZQBkACAAUQBMAEQAIABhAG4AZAAgAE4AVAAgAHIAbwB3AHMAIAB3AGkAdABoACAAcgBlAGcAaQBvAG4AcwAgAGYAcgBvAG0AIAB0AGEAYgBsAGUAIABBAC4AMQAuADIALgAyACAAdABvACAAYQBpAGQAIABsAG8AbwBrAHUAcABcACIAKQA7AFwAbgBcAG4AUwBvAHUAcgBjAGUARABhAHQAYQBfAFAAYQBzAHQAdQByAGUAQgBlAGUAZgBfAEMAcgB1AGQAZQBQAHIAbwB0AGUAaQBuAEMAbwBuAHQAZQBuAHQAXwBEAGEAdABhAFwAbgAgACAAPQBMAEEATQBCAEQAQQAoAFwAbgAgACAAIAAgAE0AQQBLAEUAQQBSAFIAQQBZACgAMQA2ACwAIAA2ACwAXABuACAAIAAgACAAIAAgAEwAQQBNAEIARABBACgAcgAsAGMALABcAG4AIAAgACAAIAAgACAAIAAgAEkATgBEAEUAWAAoAHsAXABuACAAIAAgACAAIAAgACAAIAAgACAAXAAiAFMAdABhAHQAZQBcACIALAAgAFwAIgBSAGUAZwBpAG8AbgBcACIALAAgAFwAIgBTAHAAcgBpAG4AZwBcACIALAAgAFwAIgBTAHUAbQBtAGUAcgBcACIALAAgAFwAIgBBAHUAdAB1AG0AbgBcACIALAAgAFwAIgBXAGkAbgB0AGUAcgBcACIAOwBcAG4AIAAgACAAIAAgACAAIAAgACAAIABcACIAQQBDAFQAXAAiACwAIABcACIAbgAvAGEAXAAiACwAIAAwAC4AMAA3ACwAIAAwAC4AMQAzACwAIAAwAC4AMQAsACAAMAAuADAANgA7AFwAbgAgACAAIAAgACAAIAAgACAAIAAgAFwAIgBOAFMAVwBcACIALAAgAFwAIgBuAC8AYQBcACIALAAgADAALgAwADcALAAgADAALgAxADMALAAgADAALgAxACwAIAAwAC4AMAA2ADsAXABuACAAIAAgACAAIAAgACAAIAAgACAAXAAiAE4AVABcACIALAAgAFwAIgBBAGwAaQBjAGUAIABTAHAAcgBpAG4AZwBzAFwAIgAsACAAMAAuADAANQA4ACwAIAAwAC4AMAA5ADIALAAgADAALgAwADcANQAsACAAMAAuADAANQAzADsAXABuACAAIAAgACAAIAAgACAAIAAgACAAXAAiAE4AVABcACIALAAgAFwAIgBCAGEAcgBrAGwAeQBcACIALAAgADAALgAwADUAOAAsACAAMAAuADAAOQAyACwAIAAwAC4AMAA3ADUALAAgADAALgAwADUAMwA7AFwAbgAgACAAIAAgACAAIAAgACAAIAAgAFwAIgBOAFQAXAAiACwAIABcACIATgBvAHIAdABoAGUAcgBuAFwAIgAsACAAMAAuADAANQA4ACwAIAAwAC4AMAA5ADIALAAgADAALgAwADcANQAsACAAMAAuADAANQAzADsAXABuACAAIAAgACAAIAAgACAAIAAgACAAXAAiAFEATABEAFwAIgAsACAAXAAiAEgAaQBnAGgAXAAiACwAIAAwAC4AMAA3ADIALAAgADAALgAwADkAOQAsACAAMAAuADAANwA4ACwAIAAwAC4AMAA1ADkAOwBcAG4AIAAgACAAIAAgACAAIAAgACAAIABcACIAUQBMAEQAXAAiACwAIABcACIATQBvAGQAZQByAGEAdABlAC8ASABpAGcAaABcACIALAAgADAALgAwADcAMgAsACAAMAAuADAAOQA5ACwAIAAwAC4AMAA3ADgALAAgADAALgAwADUAOQA7AFwAbgAgACAAIAAgACAAIAAgACAAIAAgAFwAIgBRAEwARABcACIALAAgAFwAIgBNAG8AZABlAHIAYQB0AGUALwBMAG8AdwBcACIALAAgADAALgAwADcAMgAsACAAMAAuADAAOQA5ACwAIAAwAC4AMAA3ADgALAAgADAALgAwADUAOQA7AFwAbgAgACAAIAAgACAAIAAgACAAIAAgAFwAIgBRAEwARABcACIALAAgAFwAIgBMAG8AdwBcACIALAAgADAALgAwADcAMgAsACAAMAAuADAAOQA5ACwAIAAwAC4AMAA3ADgALAAgADAALgAwADUAOQA7AFwAbgAgACAAIAAgACAAIAAgACAAIAAgAFwAIgBTAEEAXAAiACwAIABcACIAbgAvAGEAXAAiACwAIAAwAC4AMQA2ACwAIAAwAC4AMAA3ACwAIAAwAC4AMAA5ACwAIAAwAC4AMgA7AFwAbgAgACAAIAAgACAAIAAgACAAIAAgAFwAIgBUAEEAUwBcACIALAAgAFwAIgBuAC8AYQBcACIALAAgADAALgAyACwAIAAwAC4AMQAsACAAMAAuADEANgAsACAAMAAuADIAOwBcAG4AIAAgACAAIAAgACAAIAAgACAAIABcACIAVgBJAEMAXAAiACwAIABcACIAbgAvAGEAXAAiACwAIAAwAC4AMgA1ACwAIAAwAC4AMAA3ACwAIAAwAC4AMQAsACAAMAAuADIAMQA7AFwAbgAgACAAIAAgACAAIAAgACAAIAAgAFwAIgBXAEEAXAAiACwAIABcACIAUwBvAHUAdABoACAAVwBlAHMAdABcACIALAAgADAALgAyACwAIAAwAC4AMAA5ACwAIAAwAC4AMAA2ACwAIAAwAC4AMgA7AFwAbgAgACAAIAAgACAAIAAgACAAIAAgAFwAIgBXAEEAXAAiACwAIABcACIAUABpAGwAYgBhAHIAYQBcACIALAAgADAALgAwADQALAAgADAALgAxADIALAAgADAALgAwADkALAAgADAALgAwADYAOwBcAG4AIAAgACAAIAAgACAAIAAgACAAIABcACIAVwBBAFwAIgAsACAAXAAiAEsAaQBtAGIAZQByAGwAZQB5AFwAIgAsACAAMAAuADAANAAsACAAMAAuADEAMgAsACAAMAAuADAAOQAsACAAMAAuADAANgBcAG4AIAAgACAAIAAgACAAIAAgAH0ALAAgAHIALAAgAGMAKQBcAG4AIAAgACAAIAAgACAAKQBcAG4AIAAgACAAIAApAFwAbgAgACAAKQA7AFwAbgBcAG4AXABuAC8AKgAgAFwAbgAtAC0ALQAtAC0ALQAtAC0ALQAtAC0ALQAtAC0ALQAtAC0ALQAtAC0ALQAtAC0ALQAtAC0ALQAtAC0ALQAtAC0ALQAtAC0ALQAtAC0AXABuAFMAbwB1AHIAYwBlAEQAYQB0AGEAXwBQAGEAcwB0AHUAcgBlAEIAZQBlAGYAXwBGAGUAZQBkAEEAZABqAHUAcwB0AG0AZQBuAHQAQQBuAGQATQBpAGwAawBQAHIAbwBkAHUAYwB0AGkAbwBuAFwAbgBUAGEAYgBsAGUAIABBAC4AMQAuADIALgA3ADoAIABCAGUAZQBmACAAcABhAHMAdAB1AHIAZQAgAGMAYQB0AHQAbABlACAALQAgAEYAZQBlAGQAIABpAG4AdABhAGsAZQAgAGEAZABqAHUAcwB0AG0AZQBuAHQAIABhAG4AZAAgAG0AaQBsAGsAIABwAHIAbwBkAHUAYwB0AGkAbwBuACAAKABrAGcALwBoAGUAYQBkAC8AZABhAHkAKQBcAG4ALQAtAC0ALQAtAC0ALQAtAC0ALQAtAC0ALQAtAC0ALQAtAC0ALQAtAC0ALQAtAC0ALQAtAC0ALQAtAC0ALQAtAC0ALQAtAC0ALQAtAFwAbgAqAC8AXABuAFwAbgBTAG8AdQByAGMAZQBEAGEAdABhAF8AUABhAHMAdAB1AHIAZQBCAGUAZQBmAF8ARgBlAGUAZABBAGQAagB1AHMAdABtAGUAbgB0AEEAbgBkAE0AaQBsAGsAUAByAG8AZAB1AGMAdABpAG8AbgBfAFQAaQB0AGwAZQBcAG4AIAAgAD0ATABBAE0AQgBEAEEAKABcACIAQgBlAGUAZgAgAHAAYQBzAHQAdQByAGUAIABjAGEAdAB0AGwAZQAgAC0AIABGAGUAZQBkACAAaQBuAHQAYQBrAGUAIABhAGQAagB1AHMAdABtAGUAbgB0ACAAYQBuAGQAIABtAGkAbABrACAAcAByAG8AZAB1AGMAdABpAG8AbgAgACgAawBnAC8AaABlAGEAZAAvAGQAYQB5ACkAXAAiACkAOwBcAG4AXABuAFMAbwB1AHIAYwBlAEQAYQB0AGEAXwBQAGEAcwB0AHUAcgBlAEIAZQBlAGYAXwBGAGUAZQBkAEEAZABqAHUAcwB0AG0AZQBuAHQAQQBuAGQATQBpAGwAawBQAHIAbwBkAHUAYwB0AGkAbwBuAF8AVgBhAHIAaQBhAGIAbABlAFwAbgAgACAAPQBMAEEATQBCAEQAQQAoAFwAIgBNAEMAagBrAD0AMQAsADMALAA2ADsAIABEAE0AUABqAGsAPQA1AFwAIgApADsAXABuAFwAbgBTAG8AdQByAGMAZQBEAGEAdABhAF8AUABhAHMAdAB1AHIAZQBCAGUAZQBmAF8ARgBlAGUAZABBAGQAagB1AHMAdABtAGUAbgB0AEEAbgBkAE0AaQBsAGsAUAByAG8AZAB1AGMAdABpAG8AbgBfAFUAbgBpAHQAXABuACAAIAA9AEwAQQBNAEIARABBACgAXAAiAFwAIgApADsAXABuAFwAbgBTAG8AdQByAGMAZQBEAGEAdABhAF8AUABhAHMAdAB1AHIAZQBCAGUAZQBmAF8ARgBlAGUAZABBAGQAagB1AHMAdABtAGUAbgB0AEEAbgBkAE0AaQBsAGsAUAByAG8AZAB1AGMAdABpAG8AbgBfAFMAbwB1AHIAYwBlAFwAbgAgACAAPQBMAEEATQBCAEQAQQAoAFwAIgBWAEUARQBSAEcAIAAyADAAMgA2ADoAIABUAGEAYgBsAGUAIABBAC4AMQAuADIALgA3AFwAIgApADsAXABuAFwAbgBTAG8AdQByAGMAZQBEAGEAdABhAF8AUABhAHMAdAB1AHIAZQBCAGUAZQBmAF8ARgBlAGUAZABBAGQAagB1AHMAdABtAGUAbgB0AEEAbgBkAE0AaQBsAGsAUAByAG8AZAB1AGMAdABpAG8AbgBfAFYAYQByAGkAYQB0AGkAbwBuAFwAbgAgACAAPQBMAEEATQBCAEQAQQAoAFwAIgBcACIAKQA7AFwAbgBcAG4AUwBvAHUAcgBjAGUARABhAHQAYQBfAFAAYQBzAHQAdQByAGUAQgBlAGUAZgBfAEYAZQBlAGQAQQBkAGoAdQBzAHQAbQBlAG4AdABBAG4AZABNAGkAbABrAFAAcgBvAGQAdQBjAHQAaQBvAG4AXwBEAGEAdABhAFwAbgAgACAAPQBMAEEATQBCAEQAQQAoAFwAbgAgACAAIAAgAE0AQQBLAEUAQQBSAFIAQQBZACgAOQAsACAANAAsAFwAbgAgACAAIAAgACAAIABMAEEATQBCAEQAQQAoAHIALABjACwAXABuACAAIAAgACAAIAAgACAAIABJAE4ARABFAFgAKAB7AFwAbgAgACAAIAAgACAAIAAgACAAIAAgAFwAIgBCAHIAZQBlAGQAXAAiACwAIABcACIAUwBlAGEAcwBvAG4AXAAiACwAIABcACIARgBlAGUAZAAgAGEAZABqAHUAcwB0AG0AZQBuAHQAIAAoAE0AQwBqAGsAPQAxACwAMwAsADYAKQBcACIALAAgAFwAIgBNAGkAbABrACAAaQBuAHQAYQBrAGUAIAAvACAAcAByAG8AZAB1AGMAdABpAG8AbgAgACgARABNAFAAagBrAD0ANQApAFwAIgA7AFwAbgAgACAAIAAgACAAIAAgACAAIAAgAFwAIgBIAGUAcgBlAGYAbwByAGQAIABvAHIAIABTAGgAbwByAHQAaABvAHIAbgAgAGIAcgBlAGUAZABzAFwAIgAsACAAXAAiAFMAcAByAGkAbgBnAFwAIgAsACAAMQAuADMALAAgADYAOwBcAG4AIAAgACAAIAAgACAAIAAgACAAIABcACIASABlAHIAZQBmAG8AcgBkACAAbwByACAAUwBoAG8AcgB0AGgAbwByAG4AIABiAHIAZQBlAGQAcwBcACIALAAgAFwAIgBTAHUAbQBtAGUAcgBcACIALAAgADEALgAxACwAIAA0ADsAXABuACAAIAAgACAAIAAgACAAIAAgACAAXAAiAEgAZQByAGUAZgBvAHIAZAAgAG8AcgAgAFMAaABvAHIAdABoAG8AcgBuACAAYgByAGUAZQBkAHMAXAAiACwAIABcACIAQQB1AHQAdQBtAG4AXAAiACwAIAAwACwAIAAwADsAXABuACAAIAAgACAAIAAgACAAIAAgACAAXAAiAEgAZQByAGUAZgBvAHIAZAAgAG8AcgAgAFMAaABvAHIAdABoAG8AcgBuACAAYgByAGUAZQBkAHMAXAAiACwAIABcACIAVwBpAG4AdABlAHIAXAAiACwAIAAwACwAIAAwADsAXABuACAAIAAgACAAIAAgACAAIAAgACAAXAAiAE4AbwByAHQAaABlAHIAbgAgAEIAcgBhAGgAbQBhAG4AIABjAHIAbwBzAHMAIABiAHIAZQBlAGQAXAAiACwAIABcACIAUwBwAHIAaQBuAGcAXAAiACwAIAAwACwAIAAwADsAXABuACAAIAAgACAAIAAgACAAIAAgACAAXAAiAE4AbwByAHQAaABlAHIAbgAgAEIAcgBhAGgAbQBhAG4AIABjAHIAbwBzAHMAIABiAHIAZQBlAGQAXAAiACwAIABcACIAUwB1AG0AbQBlAHIAXAAiACwAIAAxAC4AMwAsACAANAA7AFwAbgAgACAAIAAgACAAIAAgACAAIAAgAFwAIgBOAG8AcgB0AGgAZQByAG4AIABCAHIAYQBoAG0AYQBuACAAYwByAG8AcwBzACAAYgByAGUAZQBkAFwAIgAsACAAXAAiAEEAdQB0AHUAbQBuAFwAIgAsACAAMQAuADEALAAgADMAOwBcAG4AIAAgACAAIAAgACAAIAAgACAAIABcACIATgBvAHIAdABoAGUAcgBuACAAQgByAGEAaABtAGEAbgAgAGMAcgBvAHMAcwAgAGIAcgBlAGUAZABcACIALAAgAFwAIgBXAGkAbgB0AGUAcgBcACIALAAgADAALAAgADAAXABuACAAIAAgACAAIAAgACAAIAB9ACwAIAByACwAIABjACkAXABuACAAIAAgACAAIAAgACkAXABuACAAIAAgACAAKQBcAG4AIAAgACkAOwBcAG4AXABuAC8AKgAgAFwAbgAtAC0ALQAtAC0ALQAtAC0ALQAtAC0ALQAtAC0ALQAtAC0ALQAtAC0ALQAtAC0ALQAtAC0ALQAtAC0ALQAtAC0ALQAtAC0ALQAtAC0AXABuAFMAbwB1AHIAYwBlAEQAYQB0AGEAXwBQAGEAcwB0AHUAcgBlAEIAZQBlAGYAXwBTAHQAYQBuAGQAYQByAGQAUgBlAGYAZQByAGUAbgBjAGUAVwBlAGkAZwBoAHQAcwBcAG4AVABhAGIAbABlACAAQQAuADEALgAyAC4AOAA6ACAAQgBlAGUAZgAgAHAAYQBzAHQAdQByAGUAIABjAGEAdAB0AGwAZQAgAC0AIABTAHQAYQBuAGQAYQByAGQAIAByAGUAZgBlAHIAZQBuAGMAZQAgAHcAZQBpAGcAaAB0AHMAIAAoAGsAZwApACAAKABTAFIAVwBrACkAXABuAC0ALQAtAC0ALQAtAC0ALQAtAC0ALQAtAC0ALQAtAC0ALQAtAC0ALQAtAC0ALQAtAC0ALQAtAC0ALQAtAC0ALQAtAC0ALQAtAC0ALQBcAG4AKgAvAFwAbgBcAG4AUwBvAHUAcgBjAGUARABhAHQAYQBfAFAAYQBzAHQAdQByAGUAQgBlAGUAZgBfAFMAdABhAG4AZABhAHIAZABSAGUAZgBlAHIAZQBuAGMAZQBXAGUAaQBnAGgAdABzAF8AVABpAHQAbABlAFwAbgAgACAAPQBMAEEATQBCAEQAQQAoAFwAIgBCAGUAZQBmACAAcABhAHMAdAB1AHIAZQAgAGMAYQB0AHQAbABlACAALQAgAFMAdABhAG4AZABhAHIAZAAgAHIAZQBmAGUAcgBlAG4AYwBlACAAdwBlAGkAZwBoAHQAcwAgACgAawBnACkAIAAoAFMAUgBXAGsAKQBcACIAKQA7AFwAbgBcAG4AUwBvAHUAcgBjAGUARABhAHQAYQBfAFAAYQBzAHQAdQByAGUAQgBlAGUAZgBfAFMAdABhAG4AZABhAHIAZABSAGUAZgBlAHIAZQBuAGMAZQBXAGUAaQBnAGgAdABzAF8AVgBhAHIAaQBhAGIAbABlAFwAbgAgACAAPQBMAEEATQBCAEQAQQAoAFwAIgBTAFIAVwBrAFwAIgApADsAXABuAFwAbgBTAG8AdQByAGMAZQBEAGEAdABhAF8AUABhAHMAdAB1AHIAZQBCAGUAZQBmAF8AUwB0AGEAbgBkAGEAcgBkAFIAZQBmAGUAcgBlAG4AYwBlAFcAZQBpAGcAaAB0AHMAXwBVAG4AaQB0AFwAbgAgACAAPQBMAEEATQBCAEQAQQAoAFwAIgBrAGcAXAAiACkAOwBcAG4AXABuAFMAbwB1AHIAYwBlAEQAYQB0AGEAXwBQAGEAcwB0AHUAcgBlAEIAZQBlAGYAXwBTAHQAYQBuAGQAYQByAGQAUgBlAGYAZQByAGUAbgBjAGUAVwBlAGkAZwBoAHQAcwBfAFMAbwB1AHIAYwBlAFwAbgAgACAAPQBMAEEATQBCAEQAQQAoAFwAIgBWAEUARQBSAEcAIAAyADAAMgA2ADoAIABUAGEAYgBsAGUAIABBAC4AMQAuADIALgA4AFwAIgApADsAXABuAFwAbgBTAG8AdQByAGMAZQBEAGEAdABhAF8AUABhAHMAdAB1AHIAZQBCAGUAZQBmAF8AUwB0AGEAbgBkAGEAcgBkAFIAZQBmAGUAcgBlAG4AYwBlAFcAZQBpAGcAaAB0AHMAXwBWAGEAcgBpAGEAdABpAG8AbgBcAG4AIAAgAD0ATABBAE0AQgBEAEEAKABcACIAVgBBAFIASQBBAFQASQBPAE4AIABPAE4AIABTAE8AVQBSAEMARQA6ACAAUwBwAGwAaQB0ACAAQQBDAFQAIABhAG4AZAAgAE4AUwBXACAAaQBuAHQAbwAgAHMAZQBwAGEAcgBhAHQAZQAgAHIAbwB3AHMALgAgAEEAZABkAGUAZAAgACcAUwB0AGEAdABlACAAYQBiAGIAcgBlAHYAaQBhAHQAaQBvAG4AJwAgAGMAbwBsAHUAbQBuACAAdABvACAAYQBpAGQAIABsAG8AbwBrAHUAcAAuAFwAIgApADsAXABuAFwAbgBTAG8AdQByAGMAZQBEAGEAdABhAF8AUABhAHMAdAB1AHIAZQBCAGUAZQBmAF8AUwB0AGEAbgBkAGEAcgBkAFIAZQBmAGUAcgBlAG4AYwBlAFcAZQBpAGcAaAB0AHMAXwBEAGEAdABhAFwAbgAgACAAPQBMAEEATQBCAEQAQQAoAFwAbgAgACAAIAAgAE0AQQBLAEUAQQBSAFIAQQBZACgAOQAsACAAOQAsAFwAbgAgACAAIAAgACAAIABMAEEATQBCAEQAQQAoAHIALABjACwAXABuACAAIAAgACAAIAAgACAAIABJAE4ARABFAFgAKAB7AFwAbgAgACAAIAAgACAAIAAgACAAIAAgAFwAIgBTAHQAYQB0AGUAXAAiACwAIABcACIAQgB1AGwAbABzACAAPAAxAFwAIgAsACAAXAAiAEIAdQBsAGwAcwAgAD4AMQBcACIALAAgAFwAIgBDAG8AdwBzACAAPAAxAFwAIgAsACAAXAAiAEMAbwB3AHMAIAAxAC0AMgBcACIALAAgAFwAIgBDAG8AdwBzACAAPgAyAFwAIgAsACAAXAAiAFMAdABlAGUAcgAgADwAMQBcACIALAAgAFwAIgBTAHQAZQBlAHIAIAA+ADEAXAAiACwAIABcACIAUwB0AGEAdABlACAAYQBiAGIAcgBlAHYAaQBhAHQAaQBvAG4AXAAiADsAXABuACAAIAAgACAAIAAgACAAIAAgACAAXAAiAEEAQwBUAFwAIgAsACAANwAwADAALAAgADcAMAAwACwAIAA1ADAAMAAsACAANQAwADAALAAgADUAMAAwACwAIAA2ADAAMAAsACAANgAwADAALAAgAFwAIgBBAEMAVABcACIAOwBcAG4AIAAgACAAIAAgACAAIAAgACAAIABcACIATgBTAFcAXAAiACwAIAA3ADAAMAAsACAANwAwADAALAAgADUAMAAwACwAIAA1ADAAMAAsACAANQAwADAALAAgADYAMAAwACwAIAA2ADAAMAAsACAAXAAiAE4AUwBXAFwAIgA7AFwAbgAgACAAIAAgACAAIAAgACAAIAAgAFwAIgBOAG8AcgB0AGgAZQByAG4AIABUAGUAcgByAGkAdABvAHIAeQBcACIALAAgADcANwAwACwAIAA3ADcAMAAsACAANQA1ADAALAAgADUANQAwACwAIAA1ADUAMAAsACAANgA2ADAALAAgADYANgAwACwAIABcACIATgBUAFwAIgA7AFwAbgAgACAAIAAgACAAIAAgACAAIAAgAFwAIgBRAHUAZQBlAG4AcwBsAGEAbgBkAFwAIgAsACAANwA3ADAALAAgADcANwAwACwAIAA1ADUAMAAsACAANQA1ADAALAAgADUANQAwACwAIAA2ADYAMAAsACAANgA2ADAALAAgAFwAIgBRAEwARABcACIAOwBcAG4AIAAgACAAIAAgACAAIAAgACAAIABcACIAUwBvAHUAdABoACAAQQB1AHMAdAByAGEAbABpAGEAXAAiACwAIAA3ADcAMAAsACAANwA3ADAALAAgADUANQAwACwAIAA1ADUAMAAsACAANQA1ADAALAAgADYANgAwACwAIAA2ADYAMAAsACAAXAAiAFMAQQBcACIAOwBcAG4AIAAgACAAIAAgACAAIAAgACAAIABcACIAVABhAHMAbQBhAG4AaQBhAFwAIgAsACAANwA3ADAALAAgADcANwAwACwAIAA1ADUAMAAsACAANQA1ADAALAAgADUANQAwACwAIAA2ADYAMAAsACAANgA2ADAALAAgAFwAIgBUAEEAUwBcACIAOwBcAG4AIAAgACAAIAAgACAAIAAgACAAIABcACIAVgBpAGMAdABvAHIAaQBhAFwAIgAsACAANwA3ADAALAAgADcANwAwACwAIAA1ADUAMAAsACAANQA1ADAALAAgADUANQAwACwAIAA2ADYAMAAsACAANgA2ADAALAAgAFwAIgBWAEkAQwBcACIAOwBcAG4AIAAgACAAIAAgACAAIAAgACAAIABcACIAVwBlAHMAdABlAHIAbgAgAEEAdQBzAHQAcgBhAGwAaQBhAFwAIgAsACAANwA3ADAALAAgADcANwAwACwAIAA1ADUAMAAsACAANQA1ADAALAAgADUANQAwACwAIAA2ADYAMAAsACAANgA2ADAALAAgAFwAIgBXAEEAXAAiAFwAbgAgACAAIAAgACAAIAAgACAAfQAsACAAcgAsACAAYwApAFwAbgAgACAAIAAgACAAIAApAFwAbgAgACAAIAAgACkAXABuACAAIAApADsAXABuAFwAbgAvACoAIABcAG4ALQAtAC0ALQAtAC0ALQAtAC0ALQAtAC0ALQAtAC0ALQAtAC0ALQAtAC0ALQAtAC0ALQAtAC0ALQAtAC0ALQAtAC0ALQAtAC0ALQAtAFwAbgBTAG8AdQByAGMAZQBEAGEAdABhAF8AUABhAHMAdAB1AHIAZQBCAGUAZQBmAF8ARgByAGEAYwB0AGkAbwBuAE8AZgBNAGEAbgB1AHIAZQBUAG8ATQBNAFMAXABuAFQAYQBiAGwAZQAgAEEALgAxAC4AMgAuADkAOgAgAEIAZQBlAGYAIABwAGEAcwB0AHUAcgBlACAAYwBhAHQAdABsAGUAIAAtACAARgByAGEAYwB0AGkAbwBuACAAbwBmACAAbQBhAG4AdQByAGUAIAB0AG8AIABlAGEAYwBoACAAbQBhAG4AdQByAGUAIABtAGEAbgBhAGcAZQBtAGUAbgB0ACAAcwB5AHMAdABlAG0AIAAoAGYAcgBhAGMAdABpAG8AbgApACAAKABNAE0AUwBtACkAXABuAC0ALQAtAC0ALQAtAC0ALQAtAC0ALQAtAC0ALQAtAC0ALQAtAC0ALQAtAC0ALQAtAC0ALQAtAC0ALQAtAC0ALQAtAC0ALQAtAC0ALQBcAG4AKgAvAFwAbgBcAG4AUwBvAHUAcgBjAGUARABhAHQAYQBfAFAAYQBzAHQAdQByAGUAQgBlAGUAZgBfAEYAcgBhAGMAdABpAG8AbgBPAGYATQBhAG4AdQByAGUAVABvAE0ATQBTAF8AVABpAHQAbABlAFwAbgAgACAAPQBMAEEATQBCAEQAQQAoAFwAIgBCAGUAZQBmACAAcABhAHMAdAB1AHIAZQAgAGMAYQB0AHQAbABlACAALQAgAEYAcgBhAGMAdABpAG8AbgAgAG8AZgAgAG0AYQBuAHUAcgBlACAAdABvACAAZQBhAGMAaAAgAG0AYQBuAHUAcgBlACAAbQBhAG4AYQBnAGUAbQBlAG4AdAAgAHMAeQBzAHQAZQBtACAAKABmAHIAYQBjAHQAaQBvAG4AKQAgACgATQBNAFMAbQApAFwAIgApADsAXABuAFwAbgBTAG8AdQByAGMAZQBEAGEAdABhAF8AUABhAHMAdAB1AHIAZQBCAGUAZQBmAF8ARgByAGEAYwB0AGkAbwBuAE8AZgBNAGEAbgB1AHIAZQBUAG8ATQBNAFMAXwBWAGEAcgBpAGEAYgBsAGUAXABuACAAIAA9AEwAQQBNAEIARABBACgAXAAiAE0ATQBTAG0AXAAiACkAOwBcAG4AXABuAFMAbwB1AHIAYwBlAEQAYQB0AGEAXwBQAGEAcwB0AHUAcgBlAEIAZQBlAGYAXwBGAHIAYQBjAHQAaQBvAG4ATwBmAE0AYQBuAHUAcgBlAFQAbwBNAE0AUwBfAFUAbgBpAHQAXABuACAAIAA9AEwAQQBNAEIARABBACgAXAAiAGYAcgBhAGMAdABpAG8AbgBcACIAKQA7AFwAbgBcAG4AUwBvAHUAcgBjAGUARABhAHQAYQBfAFAAYQBzAHQAdQByAGUAQgBlAGUAZgBfAEYAcgBhAGMAdABpAG8AbgBPAGYATQBhAG4AdQByAGUAVABvAE0ATQBTAF8AUwBvAHUAcgBjAGUAXABuACAAIAA9AEwAQQBNAEIARABBACgAXAAiAFYARQBFAFIARwAgADIAMAAyADYAOgAgAFQAYQBiAGwAZQAgAEEALgAxAC4AMgAuADkAXAAiACkAOwBcAG4AXABuAFMAbwB1AHIAYwBlAEQAYQB0AGEAXwBQAGEAcwB0AHUAcgBlAEIAZQBlAGYAXwBGAHIAYQBjAHQAaQBvAG4ATwBmAE0AYQBuAHUAcgBlAFQAbwBNAE0AUwBfAFYAYQByAGkAYQB0AGkAbwBuAFwAbgAgACAAPQBMAEEATQBCAEQAQQAoAFwAIgBWAEEAUgBJAEEAVABJAE8ATgAgAE8ATgAgAFMATwBVAFIAQwBFADoAIABSAGUAbQBvAHYAZQBkACAAYwBvAG0AbQBhACAAZgByAG8AbQAgACcAUABhAHMAdAB1AHIAZQAgAHIAYQBuAGcAZQAgAGEAbgBkACAAcABhAGQAZABvAGMAawAnACAAdABvACAAYQBpAGQAIABsAG8AbwBrAHUAcABcACIAKQA7AFwAbgBcAG4AUwBvAHUAcgBjAGUARABhAHQAYQBfAFAAYQBzAHQAdQByAGUAQgBlAGUAZgBfAEYAcgBhAGMAdABpAG8AbgBPAGYATQBhAG4AdQByAGUAVABvAE0ATQBTAF8ARABhAHQAYQBcAG4AIAAgAD0ATABBAE0AQgBEAEEAKABcAG4AIAAgACAAIABNAEEASwBFAEEAUgBSAEEAWQAoADEANgAsACAANAAsAFwAbgAgACAAIAAgACAAIABMAEEATQBCAEQAQQAoAHIALABjACwAXABuACAAIAAgACAAIAAgACAAIABJAE4ARABFAFgAKAB7AFwAbgAgACAAIAAgACAAIAAgACAAIAAgAFwAIgBTAHQAYQB0AGUAXAAiACwAIABcACIAUgBlAGcAaQBvAG4AXAAiACwAIABcACIAUABhAHMAdAB1AHIAZQAgAHIAYQBuAGcAZQAgAGEAbgBkACAAcABhAGQAZABvAGMAawBcACIALAAgAFwAIgBVAG4AYwBvAHYAZQByAGUAZAAgAEEAbgBhAGUAcgBvAGIAaQBjACAAbABhAGcAbwBvAG4AXAAiADsAXABuACAAIAAgACAAIAAgACAAIAAgACAAXAAiAEEAQwBUAFwAIgAsACAAXAAiAG4ALwBhAFwAIgAsACAAOQA5AC4AMQA5ADIALAAgADAALgA4ADAAOAA7AFwAbgAgACAAIAAgACAAIAAgACAAIAAgAFwAIgBOAFMAVwBcACIALAAgAFwAIgBuAC8AYQBcACIALAAgADkAOQAuADQANQAyACwAIAAwAC4ANQA0ADgAOwBcAG4AIAAgACAAIAAgACAAIAAgACAAIABcACIAUwBBAFwAIgAsACAAXAAiAG4ALwBhAFwAIgAsACAAOQA5AC4ANwA1ADkALAAgADAALgAyADQAMQA7AFwAbgAgACAAIAAgACAAIAAgACAAIAAgAFwAIgBUAEEAUwBcACIALAAgAFwAIgBuAC8AYQBcACIALAAgADkAOQAuADEAMgAyACwAIAAwAC4AOAA3ADgAOwBcAG4AIAAgACAAIAAgACAAIAAgACAAIABcACIAVgBJAEMAXAAiACwAIABcACIAbgAvAGEAXAAiACwAIAA5ADgALgA4ADkANAAsACAAMQAuADEAMAA2ADsAXABuACAAIAAgACAAIAAgACAAIAAgACAAXAAiAFcAQQBcACIALAAgAFwAIgBTAG8AdQB0AGgAIABXAGUAcwB0AFwAIgAsACAAOQA5AC4ANgAyADIALAAgADAALgAzADcAOAA7AFwAbgAgACAAIAAgACAAIAAgACAAIAAgAFwAIgBXAEEAXAAiACwAIABcACIAUABpAGwAYgBhAHIAYQBcACIALAAgADkAOQAuADkAOQA5ACwAIAAwAC4AMAAwADEAOwBcAG4AIAAgACAAIAAgACAAIAAgACAAIABcACIAVwBBAFwAIgAsACAAXAAiAEsAaQBtAGIAZQByAGwAZQB5AFwAIgAsACAAOQA5AC4AOQA5ADkALAAgADAALgAwADAAMQA7AFwAbgAgACAAIAAgACAAIAAgACAAIAAgAFwAIgBOAFQAXAAiACwAIABcACIAQQBsAGkAYwBlACAAUwBwAHIAaQBuAGcAcwBcACIALAAgADkAOQAuADkAOQA5ACwAIAAwAC4AMAAwADEAOwBcAG4AIAAgACAAIAAgACAAIAAgACAAIABcACIATgBUAFwAIgAsACAAXAAiAEIAYQByAGsAbAB5AFwAIgAsACAAOQA5AC4AOQA5ADQALAAgADAALgAwADAANgA7AFwAbgAgACAAIAAgACAAIAAgACAAIAAgAFwAIgBOAFQAXAAiACwAIABcACIATgBvAHIAdABoAGUAcgBuAFwAIgAsACAAOQA5AC4AOQA5ADkALAAgADAALgAwADAAMQA7AFwAbgAgACAAIAAgACAAIAAgACAAIAAgAFwAIgBRAEwARABcACIALAAgAFwAIgBIAGkAZwBoAFwAIgAsACAAOQA5AC4ANwA3ADMALAAgADAALgAyADIANwA7AFwAbgAgACAAIAAgACAAIAAgACAAIAAgAFwAIgBRAEwARABcACIALAAgAFwAIgBNAG8AZABlAHIAYQB0AGUALwBIAGkAZwBoAFwAIgAsACAAOQA5AC4AOAA5ADgALAAgADAALgAxADAAMgA7AFwAbgAgACAAIAAgACAAIAAgACAAIAAgAFwAIgBRAEwARABcACIALAAgAFwAIgBNAG8AZABlAHIAYQB0AGUALwBMAG8AdwBcACIALAAgADkAOQAuADkANwA5ACwAIAAwAC4AMAAyADEAOwBcAG4AIAAgACAAIAAgACAAIAAgACAAIABcACIAUQBMAEQAXAAiACwAIABcACIATABvAHcAXAAiACwAIAA5ADkALgA5ADcANwAsACAAMAAuADAAMgAzAFwAbgAgACAAIAAgACAAIAAgACAAfQAsACAAcgAsACAAYwApAFwAbgAgACAAIAAgACAAIAApAFwAbgAgACAAIAAgACkAXABuACAAIAApADsAXABuAFwAbgAvACoAIABcAG4ALQAtAC0ALQAtAC0ALQAtAC0ALQAtAC0ALQAtAC0ALQAtAC0ALQAtAC0ALQAtAC0ALQAtAC0ALQAtAC0ALQAtAC0ALQAtAC0ALQAtAFwAbgBTAG8AdQByAGMAZQBEAGEAdABhAF8AUABhAHMAdAB1AHIAZQBCAGUAZQBmAF8ATQBlAHQAaABhAG4AZQBDAG8AbgB2AGUAcgBzAGkAbwBuAEYAYQBjAHQAbwByAFAAZQByAFIAZQBnAGkAbwBuAFwAbgBUAGEAYgBsAGUAIABBAC4AMQAuADIALgAxADAAOgAgAEIAZQBlAGYAIABwAGEAcwB0AHUAcgBlACAAYwBhAHQAdABsAGUAIAAtACAATQBlAHQAaABhAG4AZQAgAGMAbwBuAHYAZQByAHMAaQBvAG4AIABmAGEAYwB0AG8AcgAgAHAAZQByACAAcgBlAGcAaQBvAG4AIAAoAGYAcgBhAGMAdABpAG8AbgApACAAKABNAEMARgBpAG0AKQBcAG4ALQAtAC0ALQAtAC0ALQAtAC0ALQAtAC0ALQAtAC0ALQAtAC0ALQAtAC0ALQAtAC0ALQAtAC0ALQAtAC0ALQAtAC0ALQAtAC0ALQAtAFwAbgAqAC8AXABuAFwAbgBTAG8AdQByAGMAZQBEAGEAdABhAF8AUABhAHMAdAB1AHIAZQBCAGUAZQBmAF8ATQBlAHQAaABhAG4AZQBDAG8AbgB2AGUAcgBzAGkAbwBuAEYAYQBjAHQAbwByAFAAZQByAFIAZQBnAGkAbwBuAF8AVABpAHQAbABlAFwAbgAgACAAPQBMAEEATQBCAEQAQQAoAFwAIgBCAGUAZQBmACAAcABhAHMAdAB1AHIAZQAgAGMAYQB0AHQAbABlACAALQAgAE0AZQB0AGgAYQBuAGUAIABjAG8AbgB2AGUAcgBzAGkAbwBuACAAZgBhAGMAdABvAHIAIABwAGUAcgAgAHIAZQBnAGkAbwBuACAAKABmAHIAYQBjAHQAaQBvAG4AKQAgACgATQBDAEYAaQBtACkAXAAiACkAOwBcAG4AXABuAFMAbwB1AHIAYwBlAEQAYQB0AGEAXwBQAGEAcwB0AHUAcgBlAEIAZQBlAGYAXwBNAGUAdABoAGEAbgBlAEMAbwBuAHYAZQByAHMAaQBvAG4ARgBhAGMAdABvAHIAUABlAHIAUgBlAGcAaQBvAG4AXwBWAGEAcgBpAGEAYgBsAGUAXABuACAAIAA9AEwAQQBNAEIARABBACgAXAAiAE0AQwBGAGkAbQBcACIAKQA7AFwAbgBcAG4AUwBvAHUAcgBjAGUARABhAHQAYQBfAFAAYQBzAHQAdQByAGUAQgBlAGUAZgBfAE0AZQB0AGgAYQBuAGUAQwBvAG4AdgBlAHIAcwBpAG8AbgBGAGEAYwB0AG8AcgBQAGUAcgBSAGUAZwBpAG8AbgBfAFUAbgBpAHQAXABuACAAIAA9AEwAQQBNAEIARABBACgAXAAiAGYAcgBhAGMAdABpAG8AbgBcACIAKQA7AFwAbgBcAG4AUwBvAHUAcgBjAGUARABhAHQAYQBfAFAAYQBzAHQAdQByAGUAQgBlAGUAZgBfAE0AZQB0AGgAYQBuAGUAQwBvAG4AdgBlAHIAcwBpAG8AbgBGAGEAYwB0AG8AcgBQAGUAcgBSAGUAZwBpAG8AbgBfAFMAbwB1AHIAYwBlAFwAbgAgACAAPQBMAEEATQBCAEQAQQAoAFwAIgBWAEUARQBSAEcAIAAyADAAMgA2ADoAIABUAGEAYgBsAGUAIABBAC4AMQAuADIALgAxADAAXAAiACkAOwBcAG4AXABuAFMAbwB1AHIAYwBlAEQAYQB0AGEAXwBQAGEAcwB0AHUAcgBlAEIAZQBlAGYAXwBNAGUAdABoAGEAbgBlAEMAbwBuAHYAZQByAHMAaQBvAG4ARgBhAGMAdABvAHIAUABlAHIAUgBlAGcAaQBvAG4AXwBWAGEAcgBpAGEAdABpAG8AbgBcAG4AIAAgAD0ATABBAE0AQgBEAEEAKABcACIAVgBBAFIASQBBAFQASQBPAE4AIABPAE4AIABTAE8AVQBSAEMARQA6ACAAUgBlAG0AbwB2AGUAZAAgAGMAbwBtAG0AYQAgAGYAcgBvAG0AIAAnAFAAYQBzAHQAdQByAGUAIAByAGEAbgBnAGUAIABhAG4AZAAgAHAAYQBkAGQAbwBjAGsAJwAgAHQAbwAgAGEAaQBkACAAbABvAG8AawB1AHAAXAAiACkAOwBcAG4AXABuAFMAbwB1AHIAYwBlAEQAYQB0AGEAXwBQAGEAcwB0AHUAcgBlAEIAZQBlAGYAXwBNAGUAdABoAGEAbgBlAEMAbwBuAHYAZQByAHMAaQBvAG4ARgBhAGMAdABvAHIAUABlAHIAUgBlAGcAaQBvAG4AXwBEAGEAdABhAFwAbgAgACAAPQBMAEEATQBCAEQAQQAoAFwAbgAgACAAIAAgAE0AQQBLAEUAQQBSAFIAQQBZACgAMQA2ACwAIAA0ACwAXABuACAAIAAgACAAIAAgAEwAQQBNAEIARABBACgAcgAsAGMALABcAG4AIAAgACAAIAAgACAAIAAgAEkATgBEAEUAWAAoAHsAXABuACAAIAAgACAAIAAgACAAIAAgACAAXAAiAFMAdABhAHQAZQBcACIALAAgAFwAIgBSAGUAZwBpAG8AbgBcACIALAAgAFwAIgBQAGEAcwB0AHUAcgBlACAAcgBhAG4AZwBlACAAYQBuAGQAIABwAGEAZABkAG8AYwBrAFwAIgAsACAAXAAiAFUAbgBjAG8AdgBlAHIAZQBkACAAQQBuAGEAZQByAG8AYgBpAGMAIABsAGEAZwBvAG8AbgBcACIAOwBcAG4AIAAgACAAIAAgACAAIAAgACAAIABcACIAQQBDAFQAXAAiACwAIABcACIAbgAvAGEAXAAiACwAIAAwAC4AMAAwADQANwAsACAAMAAuADcAMQA7AFwAbgAgACAAIAAgACAAIAAgACAAIAAgAFwAIgBOAFMAVwBcACIALAAgAFwAIgBuAC8AYQBcACIALAAgADAALgAwADAANAA3ACwAIAAwAC4ANwA1ADsAXABuACAAIAAgACAAIAAgACAAIAAgACAAXAAiAFMAQQBcACIALAAgAFwAIgBuAC8AYQBcACIALAAgADAALgAwADAANAA3ACwAIAAwAC4ANwA0ADsAXABuACAAIAAgACAAIAAgACAAIAAgACAAXAAiAFQAQQBTAFwAIgAsACAAXAAiAG4ALwBhAFwAIgAsACAAMAAuADAAMAA0ADcALAAgADAALgA3ADsAXABuACAAIAAgACAAIAAgACAAIAAgACAAXAAiAFYASQBDAFwAIgAsACAAXAAiAG4ALwBhAFwAIgAsACAAMAAuADAAMAA0ADcALAAgADAALgA3ADQAOwBcAG4AIAAgACAAIAAgACAAIAAgACAAIABcACIAVwBBAFwAIgAsACAAXAAiAFMAbwB1AHQAaAAgAFcAZQBzAHQAXAAiACwAIAAwAC4AMAAwADQANwAsACAAMAAuADcANgA7AFwAbgAgACAAIAAgACAAIAAgACAAIAAgAFwAIgBXAEEAXAAiACwAIABcACIAUABpAGwAYgBhAHIAYQBcACIALAAgADAALgAwADAANAA3ACwAIAAwAC4ANwA2ADsAXABuACAAIAAgACAAIAAgACAAIAAgACAAXAAiAFcAQQBcACIALAAgAFwAIgBLAGkAbQBiAGUAcgBsAGUAeQBcACIALAAgADAALgAwADAANAA3ACwAIAAwAC4ANwA2ADsAXABuACAAIAAgACAAIAAgACAAIAAgACAAXAAiAE4AVABcACIALAAgAFwAIgBBAGwAaQBjAGUAIABTAHAAcgBpAG4AZwBzAFwAIgAsACAAMAAuADAAMAA0ADcALAAgADAALgA4ADsAXABuACAAIAAgACAAIAAgACAAIAAgACAAXAAiAE4AVABcACIALAAgAFwAIgBCAGEAcgBrAGwAeQBcACIALAAgADAALgAwADAANAA3ACwAIAAwAC4AOAA7AFwAbgAgACAAIAAgACAAIAAgACAAIAAgAFwAIgBOAFQAXAAiACwAIABcACIATgBvAHIAdABoAGUAcgBuAFwAIgAsACAAMAAuADAAMAA0ADcALAAgADAALgA4ADsAXABuACAAIAAgACAAIAAgACAAIAAgACAAXAAiAFEATABEAFwAIgAsACAAXAAiAEgAaQBnAGgAXAAiACwAIAAwAC4AMAAwADQANwAsACAAMAAuADcAOAA7AFwAbgAgACAAIAAgACAAIAAgACAAIAAgAFwAIgBRAEwARABcACIALAAgAFwAIgBNAG8AZABlAHIAYQB0AGUALwBIAGkAZwBoAFwAIgAsACAAMAAuADAAMAA0ADcALAAgADAALgA3ADgAOwBcAG4AIAAgACAAIAAgACAAIAAgACAAIABcACIAUQBMAEQAXAAiACwAIABcACIATQBvAGQAZQByAGEAdABlAC8ATABvAHcAXAAiACwAIAAwAC4AMAAwADQANwAsACAAMAAuADcAOAA7AFwAbgAgACAAIAAgACAAIAAgACAAIAAgAFwAIgBRAEwARABcACIALAAgAFwAIgBMAG8AdwBcACIALAAgADAALgAwADAANAA3ACwAIAAwAC4ANwA4AFwAbgAgACAAIAAgACAAIAAgACAAfQAsACAAcgAsACAAYwApAFwAbgAgACAAIAAgACAAIAApAFwAbgAgACAAIAAgACkAXABuACAAIAApADsAXABuAFwAbgBcAG4AXABuAC8AKgAgAFwAbgAtAC0ALQAtAC0ALQAtAC0ALQAtAC0ALQAtAC0ALQAtAC0ALQAtAC0ALQAtAC0ALQAtAC0ALQAtAC0ALQAtAC0ALQAtAC0ALQAtAC0AXABuAFMAbwB1AHIAYwBlAEQAYQB0AGEAXwBQAGEAcwB0AHUAcgBlAEIAZQBlAGYAXwBBAHMAaABDAG8AbgB0AGUAbgB0AE8AZgBGAGUAZQBkAEkAbgB0AGEAawBlAFwAbgBWAEUARQBSAEcAIAAyADAAMgA2ADoAIAA0AC4AMgAuADIALgAzACAAQwBPAE4AUwBUAEEATgBUAFMAXABuAC0ALQAtAC0ALQAtAC0ALQAtAC0ALQAtAC0ALQAtAC0ALQAtAC0ALQAtAC0ALQAtAC0ALQAtAC0ALQAtAC0ALQAtAC0ALQAtAC0ALQBcAG4AKgAvAFwAbgBcAG4AUwBvAHUAcgBjAGUARABhAHQAYQBfAFAAYQBzAHQAdQByAGUAQgBlAGUAZgBfAEEAcwBoAEMAbwBuAHQAZQBuAHQATwBmAEYAZQBlAGQASQBuAHQAYQBrAGUAXwBUAGkAdABsAGUAXABuACAAIAA9AEwAQQBNAEIARABBACgAXAAiAEEAcwBoACAAYwBvAG4AdABlAG4AdAAgAG8AZgAgAGYAZQBlAGQAIABpAG4AdABhAGsAZQBcACIAKQA7AFwAbgBcAG4AUwBvAHUAcgBjAGUARABhAHQAYQBfAFAAYQBzAHQAdQByAGUAQgBlAGUAZgBfAEEAcwBoAEMAbwBuAHQAZQBuAHQATwBmAEYAZQBlAGQASQBuAHQAYQBrAGUAXwBWAGEAcgBpAGEAYgBsAGUAXABuACAAIAA9AEwAQQBNAEIARABBACgAXAAiAEEAXAAiACkAOwBcAG4AXABuAFMAbwB1AHIAYwBlAEQAYQB0AGEAXwBQAGEAcwB0AHUAcgBlAEIAZQBlAGYAXwBBAHMAaABDAG8AbgB0AGUAbgB0AE8AZgBGAGUAZQBkAEkAbgB0AGEAawBlAF8AVQBuAGkAdABcAG4AIAAgAD0ATABBAE0AQgBEAEEAKABcACIAZgByAGEAYwB0AGkAbwBuAFwAIgApADsAXABuAFwAbgBTAG8AdQByAGMAZQBEAGEAdABhAF8AUABhAHMAdAB1AHIAZQBCAGUAZQBmAF8AQQBzAGgAQwBvAG4AdABlAG4AdABPAGYARgBlAGUAZABJAG4AdABhAGsAZQBfAFMAbwB1AHIAYwBlAFwAbgAgACAAPQBMAEEATQBCAEQAQQAoAFwAIgBWAEUARQBSAEcAIAAyADAAMgA2ADoAIAA0AC4AMgAuADIALgAzACAAQwBPAE4AUwBUAEEATgBUAFMAXAAiACkAOwBcAG4AXABuAFMAbwB1AHIAYwBlAEQAYQB0AGEAXwBQAGEAcwB0AHUAcgBlAEIAZQBlAGYAXwBBAHMAaABDAG8AbgB0AGUAbgB0AE8AZgBGAGUAZQBkAEkAbgB0AGEAawBlAF8AVgBhAHIAaQBhAHQAaQBvAG4AXABuACAAIAA9AEwAQQBNAEIARABBACgAXAAiAFwAIgApADsAXABuAFwAbgBTAG8AdQByAGMAZQBEAGEAdABhAF8AUABhAHMAdAB1AHIAZQBCAGUAZQBmAF8AQQBzAGgAQwBvAG4AdABlAG4AdABPAGYARgBlAGUAZABJAG4AdABhAGsAZQBfAEQAYQB0AGEAXABuACAAIAA9AEwAQQBNAEIARABBACgAMAAuADAAOAApADsAXABuAFwAbgAvACoAIABcAG4ALQAtAC0ALQAtAC0ALQAtAC0ALQAtAC0ALQAtAC0ALQAtAC0ALQAtAC0ALQAtAC0ALQAtAC0ALQAtAC0ALQAtAC0ALQAtAC0ALQAtAFwAbgBTAG8AdQByAGMAZQBEAGEAdABhAF8AUABhAHMAdAB1AHIAZQBCAGUAZQBmAF8ATQBlAHQAaABhAG4AZQBFAG0AaQBzAHMAaQBvAG4AcwBQAG8AdABlAG4AdABpAGEAbABcAG4ATQBlAHQAaABhAG4AZQAgAGUAbQBpAHMAcwBpAG8AbgBzACAAcABvAHQAZQBuAHQAaQBhAGwALgBcAG4ALQAtAC0ALQAtAC0ALQAtAC0ALQAtAC0ALQAtAC0ALQAtAC0ALQAtAC0ALQAtAC0ALQAtAC0ALQAtAC0ALQAtAC0ALQAtAC0ALQAtAFwAbgAqAC8AXABuAFwAbgBTAG8AdQByAGMAZQBEAGEAdABhAF8AUABhAHMAdAB1AHIAZQBCAGUAZQBmAF8ATQBlAHQAaABhAG4AZQBFAG0AaQBzAHMAaQBvAG4AcwBQAG8AdABlAG4AdABpAGEAbABfAFQAaQB0AGwAZQBcAG4AIAAgAD0ATABBAE0AQgBEAEEAKABcACIATQBlAHQAaABhAG4AZQAgAGUAbQBpAHMAcwBpAG8AbgBzACAAcABvAHQAZQBuAHQAaQBhAGwAXAAiACkAOwBcAG4AXABuAFMAbwB1AHIAYwBlAEQAYQB0AGEAXwBQAGEAcwB0AHUAcgBlAEIAZQBlAGYAXwBNAGUAdABoAGEAbgBlAEUAbQBpAHMAcwBpAG8AbgBzAFAAbwB0AGUAbgB0AGkAYQBsAF8AVgBhAHIAaQBhAGIAbABlAFwAbgAgACAAPQBMAEEATQBCAEQAQQAoAFwAIgBCADAAXAAiACkAOwBcAG4AXABuAFMAbwB1AHIAYwBlAEQAYQB0AGEAXwBQAGEAcwB0AHUAcgBlAEIAZQBlAGYAXwBNAGUAdABoAGEAbgBlAEUAbQBpAHMAcwBpAG8AbgBzAFAAbwB0AGUAbgB0AGkAYQBsAF8AVQBuAGkAdABcAG4AIAAgAD0ATABBAE0AQgBEAEEAKABcACIAbQAzACAAQwBIADQAIAAvACAAawBnACAAVgBTAFwAIgApADsAXABuAFwAbgBTAG8AdQByAGMAZQBEAGEAdABhAF8AUABhAHMAdAB1AHIAZQBCAGUAZQBmAF8ATQBlAHQAaABhAG4AZQBFAG0AaQBzAHMAaQBvAG4AcwBQAG8AdABlAG4AdABpAGEAbABfAFMAbwB1AHIAYwBlAFwAbgAgACAAPQBMAEEATQBCAEQAQQAoAFwAIgBWAEUARQBSAEcAIAAyADAAMgA2ADoAIAA0AC4AMgAuADIALgAzACAAQwBPAE4AUwBUAEEATgBUAFMAXAAiACkAOwBcAG4AXABuAFMAbwB1AHIAYwBlAEQAYQB0AGEAXwBQAGEAcwB0AHUAcgBlAEIAZQBlAGYAXwBNAGUAdABoAGEAbgBlAEUAbQBpAHMAcwBpAG8AbgBzAFAAbwB0AGUAbgB0AGkAYQBsAF8AVgBhAHIAaQBhAHQAaQBvAG4AXABuACAAIAA9AEwAQQBNAEIARABBACgAXAAiAFwAIgApADsAXABuAFwAbgBTAG8AdQByAGMAZQBEAGEAdABhAF8AUABhAHMAdAB1AHIAZQBCAGUAZQBmAF8ATQBlAHQAaABhAG4AZQBFAG0AaQBzAHMAaQBvAG4AcwBQAG8AdABlAG4AdABpAGEAbABfAEQAYQB0AGEAXABuACAAIAA9AEwAQQBNAEIARABBACgAMAAuADEAOQApADsAXABuAFwAbgAvACoAIABcAG4ALQAtAC0ALQAtAC0ALQAtAC0ALQAtAC0ALQAtAC0ALQAtAC0ALQAtAC0ALQAtAC0ALQAtAC0ALQAtAC0ALQAtAC0ALQAtAC0ALQAtAFwAbgBTAG8AdQByAGMAZQBEAGEAdABhAF8AUABhAHMAdAB1AHIAZQBCAGUAZQBmAF8ARgByAGEAYwBHAEEAUwBNAFMAbwBpAGwAXABuAEYAcgBhAGMAdABpAG8AbgAgAG8AZgAgAG4AaQB0AHIAbwBnAGUAbgAgAHYAbwBsAGEAdABpAGwAaQBzAGUAZAAgAGYAcgBvAG0AIAB1AHIAaQBuAGUAIABhAG4AZAAgAGYAYQBlAGMAZQBzACAAZABlAHAAbwBzAGkAdABlAGQAIABvAG4AIABwAGEAcwB0AHUAcgBlAFwAbgAtAC0ALQAtAC0ALQAtAC0ALQAtAC0ALQAtAC0ALQAtAC0ALQAtAC0ALQAtAC0ALQAtAC0ALQAtAC0ALQAtAC0ALQAtAC0ALQAtAC0AXABuACoALwBcAG4AXABuAFMAbwB1AHIAYwBlAEQAYQB0AGEAXwBQAGEAcwB0AHUAcgBlAEIAZQBlAGYAXwBGAHIAYQBjAEcAQQBTAE0AUwBvAGkAbABfAFQAaQB0AGwAZQBcAG4AIAAgAD0ATABBAE0AQgBEAEEAKABcACIARgByAGEAYwB0AGkAbwBuACAAbwBmACAAbgBpAHQAcgBvAGcAZQBuACAAdgBvAGwAYQB0AGkAbABpAHMAZQBkACAAZgByAG8AbQAgAHUAcgBpAG4AZQAgAGEAbgBkACAAZgBhAGUAYwBlAHMAIABkAGUAcABvAHMAaQB0AGUAZAAgAG8AbgAgAHAAYQBzAHQAdQByAGUAXAAiACkAOwBcAG4AXABuAFMAbwB1AHIAYwBlAEQAYQB0AGEAXwBQAGEAcwB0AHUAcgBlAEIAZQBlAGYAXwBGAHIAYQBjAEcAQQBTAE0AUwBvAGkAbABfAFYAYQByAGkAYQBiAGwAZQBcAG4AIAAgAD0ATABBAE0AQgBEAEEAKABcACIARgByAGEAYwBHAEEAUwBNAFMAbwBpAGwAXAAiACkAOwBcAG4AXABuAFMAbwB1AHIAYwBlAEQAYQB0AGEAXwBQAGEAcwB0AHUAcgBlAEIAZQBlAGYAXwBGAHIAYQBjAEcAQQBTAE0AUwBvAGkAbABfAFUAbgBpAHQAXABuACAAIAA9AEwAQQBNAEIARABBACgAXAAiAGYAcgBhAGMAdABpAG8AbgBcACIAKQA7AFwAbgBcAG4AUwBvAHUAcgBjAGUARABhAHQAYQBfAFAAYQBzAHQAdQByAGUAQgBlAGUAZgBfAEYAcgBhAGMARwBBAFMATQBTAG8AaQBsAF8AUwBvAHUAcgBjAGUAXABuACAAIAA9AEwAQQBNAEIARABBACgAXAAiAFYARQBFAFIARwAgADIAMAAyADYAOgAgADQALgAyAC4AMgAuADMAIABDAE8ATgBTAFQAQQBOAFQAUwBcACIAKQA7AFwAbgBcAG4AUwBvAHUAcgBjAGUARABhAHQAYQBfAFAAYQBzAHQAdQByAGUAQgBlAGUAZgBfAEYAcgBhAGMARwBBAFMATQBTAG8AaQBsAF8AVgBhAHIAaQBhAHQAaQBvAG4AXABuACAAIAA9AEwAQQBNAEIARABBACgAXAAiAFwAIgApADsAXABuAFwAbgBTAG8AdQByAGMAZQBEAGEAdABhAF8AUABhAHMAdAB1AHIAZQBCAGUAZQBmAF8ARgByAGEAYwBHAEEAUwBNAFMAbwBpAGwAXwBEAGEAdABhAFwAbgAgACAAPQBMAEEATQBCAEQAQQAoADAALgAyADEAKQA7AFwAbgBcAG4ALwAqACAAXABuAC0ALQAtAC0ALQAtAC0ALQAtAC0ALQAtAC0ALQAtAC0ALQAtAC0ALQAtAC0ALQAtAC0ALQAtAC0ALQAtAC0ALQAtAC0ALQAtAC0ALQBcAG4AUwBvAHUAcgBjAGUARABhAHQAYQBfAFAAYQBzAHQAdQByAGUAQgBlAGUAZgBfAEYAcgBhAGMATABFAEEAQwBIAFwAbgBEAGUAZgBhAHUAbAB0ACAAZgByAGEAYwB0AGkAbwBuACAAbwBmACAATgAgAHQAaABhAHQAIABpAHMAIABsAG8AcwB0ACAAdABoAHIAbwB1AGcAaAAgAGwAZQBhAGMAaABpAG4AZwAgAGEAbgBkACAAcgB1AG4AbwBmAGYAXABuAC0ALQAtAC0ALQAtAC0ALQAtAC0ALQAtAC0ALQAtAC0ALQAtAC0ALQAtAC0ALQAtAC0ALQAtAC0ALQAtAC0ALQAtAC0ALQAtAC0ALQBcAG4AKgAvAFwAbgBcAG4AUwBvAHUAcgBjAGUARABhAHQAYQBfAFAAYQBzAHQAdQByAGUAQgBlAGUAZgBfAEYAcgBhAGMATABFAEEAQwBIAF8AVABpAHQAbABlAFwAbgAgACAAPQBMAEEATQBCAEQAQQAoAFwAIgBEAGUAZgBhAHUAbAB0ACAAZgByAGEAYwB0AGkAbwBuACAAbwBmACAATgAgAHQAaABhAHQAIABpAHMAIABsAG8AcwB0ACAAdABoAHIAbwB1AGcAaAAgAGwAZQBhAGMAaABpAG4AZwAgAGEAbgBkACAAcgB1AG4AbwBmAGYAXAAiACkAOwBcAG4AXABuAFMAbwB1AHIAYwBlAEQAYQB0AGEAXwBQAGEAcwB0AHUAcgBlAEIAZQBlAGYAXwBGAHIAYQBjAEwARQBBAEMASABfAFYAYQByAGkAYQBiAGwAZQBcAG4AIAAgAD0ATABBAE0AQgBEAEEAKABcACIARgByAGEAYwBMAEUAQQBDAEgAXAAiACkAOwBcAG4AXABuAFMAbwB1AHIAYwBlAEQAYQB0AGEAXwBQAGEAcwB0AHUAcgBlAEIAZQBlAGYAXwBGAHIAYQBjAEwARQBBAEMASABfAFUAbgBpAHQAXABuACAAIAA9AEwAQQBNAEIARABBACgAXAAiAGYAcgBhAGMAdABpAG8AbgBcACIAKQA7AFwAbgBcAG4AUwBvAHUAcgBjAGUARABhAHQAYQBfAFAAYQBzAHQAdQByAGUAQgBlAGUAZgBfAEYAcgBhAGMATABFAEEAQwBIAF8AUwBvAHUAcgBjAGUAXABuACAAIAA9AEwAQQBNAEIARABBACgAXAAiAFYARQBFAFIARwAgADIAMAAyADYAOgAgADQALgAyAC4AMgAuADMAIABDAE8ATgBTAFQAQQBOAFQAUwBcACIAKQA7AFwAbgBcAG4AUwBvAHUAcgBjAGUARABhAHQAYQBfAFAAYQBzAHQAdQByAGUAQgBlAGUAZgBfAEYAcgBhAGMATABFAEEAQwBIAF8AVgBhAHIAaQBhAHQAaQBvAG4AXABuACAAIAA9AEwAQQBNAEIARABBACgAXAAiAFwAIgApADsAXABuAFwAbgBTAG8AdQByAGMAZQBEAGEAdABhAF8AUABhAHMAdAB1AHIAZQBCAGUAZQBmAF8ARgByAGEAYwBMAEUAQQBDAEgAXwBEAGEAdABhAFwAbgAgACAAPQBMAEEATQBCAEQAQQAoADAALgAyADQAKQA7ACIAfQAsAHsAIgBwAGEAdABoACIAOgAiAC8AcAByAG8AagBlAGMAdABzAC8AUwBjAG8AcABlADMAXwBJAG4AcAB1AHQARgB1AG4AYwB0AGkAbwBuAHMAIgAsACIAdABlAHgAdAAiADoAIgBcAG4ARwBlAHQATABpAHYAZQB3AGUAaQBnAGgAdABfAFAAYQBzAHQAdQByAGUAQgBlAGUAZgBcAG4APQBMAEEATQBCAEQAQQAoAFwAbgAgACAAUAB1AHIAYwBoAGEAcwBlAEQAYQB0AGUALAAgAEwAaQB2AGUAcwB0AG8AYwBrAEMAbABhAHMAcwAsACAAUwBvAHUAcgBjAGUAUgBlAGcAaQBvAG4ALABcAG4AIAAgAFMAbwB1AHIAYwBlAFIAZQBnAGkAbwBuAEwAZQBmAHQAQQByAHIAYQB5ACwAIABTAG8AdQByAGMAZQBSAGUAZwBpAG8AbgBSAGkAZwBoAHQAQQByAHIAYQB5ACwAIABTAGUAYQBzAG8AbgBBAHIAcgBhAHkALAAgAEwAaQB2AGUAcwB0AG8AYwBrAEMAbABhAHMAcwBBAHIAcgBhAHkALAAgAEwAaQB2AGUAdwBlAGkAZwBoAHQAQQByAHIAYQB5ACwAXABuACAAIABMAEUAVAAoAFwAbgAgACAAIAAgAFMAZQBhAHMAbwBuACwAIABJAEYAUwAoAFwAbgAgACAAIAAgACAAIABNAE8ATgBUAEgAKABQAHUAcgBjAGgAYQBzAGUARABhAHQAZQApACAAPAA9ACAAMgAsACAAIABcACIAUwB1AG0AbQBlAHIAXAAiACwAXABuACAAIAAgACAAIAAgAE0ATwBOAFQASAAoAFAAdQByAGMAaABhAHMAZQBEAGEAdABlACkAIAA8AD0AIAA1ACwAIAAgAFwAIgBBAHUAdAB1AG0AbgBcACIALABcAG4AIAAgACAAIAAgACAATQBPAE4AVABIACgAUAB1AHIAYwBoAGEAcwBlAEQAYQB0AGUAKQAgADwAPQAgADgALAAgACAAXAAiAFcAaQBuAHQAZQByAFwAIgAsAFwAbgAgACAAIAAgACAAIABNAE8ATgBUAEgAKABQAHUAcgBjAGgAYQBzAGUARABhAHQAZQApACAAPAA9ACAAMQAxACwAIABcACIAUwBwAHIAaQBuAGcAXAAiACwAXABuACAAIAAgACAAIAAgAE0ATwBOAFQASAAoAFAAdQByAGMAaABhAHMAZQBEAGEAdABlACkAIAA9ACAAMQAyACwAIAAgAFwAIgBTAHUAbQBtAGUAcgBcACIAXABuACAAIAAgACAAKQAsAFwAbgAgACAAIAAgAFMAbwB1AHIAYwBlAFIAZQBnAGkAbwBuAFIAaQBnAGgAdAAsACAASQBGACgASQBTAE4AVQBNAEIARQBSACgARgBJAE4ARAAoAFwAIgAgAC0AIABcACIALAAgAFMAbwB1AHIAYwBlAFIAZQBnAGkAbwBuACkAKQAsACAATQBJAEQAKABTAG8AdQByAGMAZQBSAGUAZwBpAG8AbgAsACAARgBJAE4ARAAoAFwAIgAgAC0AIABcACIALAAgAFMAbwB1AHIAYwBlAFIAZQBnAGkAbwBuACkAIAArACAAMwAsACAATABFAE4AKABTAG8AdQByAGMAZQBSAGUAZwBpAG8AbgApACkALAAgAFwAIgBuAC8AYQBcACIAKQAsAFwAbgAgACAAIAAgAFMAbwB1AHIAYwBlAFIAZQBnAGkAbwBuAEwAZQBmAHQALAAgACAASQBGACgASQBTAE4AVQBNAEIARQBSACgARgBJAE4ARAAoAFwAIgAgAC0AIABcACIALAAgAFMAbwB1AHIAYwBlAFIAZQBnAGkAbwBuACkAKQAsACAATABFAEYAVAAoAFMAbwB1AHIAYwBlAFIAZQBnAGkAbwBuACwAIABGAEkATgBEACgAXAAiACAALQAgAFwAIgAsACAAUwBvAHUAcgBjAGUAUgBlAGcAaQBvAG4AKQAgAC0AIAAxACkALAAgAFMAbwB1AHIAYwBlAFIAZQBnAGkAbwBuACkALABcAG4AIAAgACAAIABJAEYARQBSAFIATwBSACgAXABuACAAIAAgACAAIAAgAFgATABPAE8ASwBVAFAAKAAxACwAXABuACAAIAAgACAAIAAgACAAIAAoAFMAbwB1AHIAYwBlAFIAZQBnAGkAbwBuAEwAZQBmAHQAQQByAHIAYQB5ACAAPQAgAFMAbwB1AHIAYwBlAFIAZQBnAGkAbwBuAEwAZQBmAHQAKQAgACoAIAAoAFMAbwB1AHIAYwBlAFIAZQBnAGkAbwBuAFIAaQBnAGgAdABBAHIAcgBhAHkAIAA9ACAAUwBvAHUAcgBjAGUAUgBlAGcAaQBvAG4AUgBpAGcAaAB0ACkAIAAqACAAKABTAGUAYQBzAG8AbgBBAHIAcgBhAHkAIAA9ACAAUwBlAGEAcwBvAG4AKQAsAFwAbgAgACAAIAAgACAAIAAgACAAWABMAE8ATwBLAFUAUAAoAEwAaQB2AGUAcwB0AG8AYwBrAEMAbABhAHMAcwAsACAATABpAHYAZQBzAHQAbwBjAGsAQwBsAGEAcwBzAEEAcgByAGEAeQAsACAATABpAHYAZQB3AGUAaQBnAGgAdABBAHIAcgBhAHkALAAgADAAKQAsAFwAbgAgACAAIAAgACAAIAAwACkALABcAG4AIAAgACAAIAAwACkAXABuACAAIAApAFwAbgApADsAIgB9ACwAewAiAHAAYQB0AGgAIgA6ACIALwBwAHIAbwBqAGUAYwB0AHMALwBTAG8AdQByAGMAZQBEAGEAdABhAF8ARABhAGkAcgB5ACIALAAiAHQAZQB4AHQAIgA6ACIAXABuAC8AKgAgAFwAbgAtAC0ALQAtAC0ALQAtAC0ALQAtAC0ALQAtAC0ALQAtAC0ALQAtAC0ALQAtAC0ALQAtAC0ALQAtAC0ALQAtAC0ALQAtAC0ALQAtAC0AXABuAFMAbwB1AHIAYwBlAEQAYQB0AGEAXwBEAGEAaQByAHkAXwBMAGkAdgBlAHcAZQBpAGcAaAB0AEMAbwB3AHMAQQBuAGQASABlAGkAZgBlAHIAcwBcAG4AVABhAGIAbABlACAAQQAuADEALgAzAC4AMQA6ACAARABhAGkAcgB5ACAAYwBhAHQAdABsAGUAIAAtACAATABpAHYAZQB3AGUAaQBnAGgAdAAgACgAawBnACkAIAAtACAAQwBvAHcAcwAgAGEAbgBkACAASABlAGkAZgBlAHIAcwAgACgAVwBqACkAXABuAC0ALQAtAC0ALQAtAC0ALQAtAC0ALQAtAC0ALQAtAC0ALQAtAC0ALQAtAC0ALQAtAC0ALQAtAC0ALQAtAC0ALQAtAC0ALQAtAC0ALQBcAG4AKgAvAFwAbgBcAG4AUwBvAHUAcgBjAGUARABhAHQAYQBfAEQAYQBpAHIAeQBfAEwAaQB2AGUAdwBlAGkAZwBoAHQAQwBvAHcAcwBBAG4AZABIAGUAaQBmAGUAcgBzAF8AVABpAHQAbABlAFwAbgAgACAAPQBMAEEATQBCAEQAQQAoAFwAIgBUAGEAYgBsAGUAIABBAC4AMQAuADMALgAxADoAIABEAGEAaQByAHkAIABjAGEAdAB0AGwAZQAgAC0AIABMAGkAdgBlAHcAZQBpAGcAaAB0ACAAKABrAGcAKQAgAC0AIABDAG8AdwBzACAAYQBuAGQAIABIAGUAaQBmAGUAcgBzACAAKABXAGoAKQBcACIAKQA7AFwAbgBcAG4AUwBvAHUAcgBjAGUARABhAHQAYQBfAEQAYQBpAHIAeQBfAEwAaQB2AGUAdwBlAGkAZwBoAHQAQwBvAHcAcwBBAG4AZABIAGUAaQBmAGUAcgBzAF8AVgBhAHIAaQBhAGIAbABlAFwAbgAgACAAPQBMAEEATQBCAEQAQQAoAFwAIgBXAGoAXAAiACkAOwBcAG4AXABuAFMAbwB1AHIAYwBlAEQAYQB0AGEAXwBEAGEAaQByAHkAXwBMAGkAdgBlAHcAZQBpAGcAaAB0AEMAbwB3AHMAQQBuAGQASABlAGkAZgBlAHIAcwBfAFUAbgBpAHQAXABuACAAIAA9AEwAQQBNAEIARABBACgAXAAiAGsAZwBcACIAKQA7AFwAbgBcAG4AUwBvAHUAcgBjAGUARABhAHQAYQBfAEQAYQBpAHIAeQBfAEwAaQB2AGUAdwBlAGkAZwBoAHQAQwBvAHcAcwBBAG4AZABIAGUAaQBmAGUAcgBzAF8AUwBvAHUAcgBjAGUAXABuACAAIAA9AEwAQQBNAEIARABBACgAXAAiAFYARQBFAFIARwAgADIAMAAyADYAOgAgAFQAYQBiAGwAZQAgAEEALgAxAC4AMwAuADEAXAAiACkAOwBcAG4AXABuAFMAbwB1AHIAYwBlAEQAYQB0AGEAXwBEAGEAaQByAHkAXwBMAGkAdgBlAHcAZQBpAGcAaAB0AEMAbwB3AHMAQQBuAGQASABlAGkAZgBlAHIAcwBfAFYAYQByAGkAYQB0AGkAbwBuAFwAbgAgACAAPQBMAEEATQBCAEQAQQAoAFwAIgBWAEEAUgBJAEEAVABJAE8ATgAgAE8ARgAgAFMATwBVAFIAQwBFADoAIABFAHgAYwBsAHUAZABlAGQAIAAnAFIAZQBmAGUAcgBlAG4AYwBlACcALAAgAGEAcwAgAHQAaABlACAAdgBhAGwAdQBlACAAaQBzACAAYwBvAG4AcwBpAHMAdABlAG4AdABsAHkAIAAnAEQAYQBpAHIAeQAgAEEAdQBzAHQAcgBhAGwAaQBhACAAWwAxAF0AJwAgAGEAbgBkACAAaQBzACAAbgBvAHQAIAB1AHMAZQBkACAAaQBuACAAYwBhAGwAYwB1AGwAYQB0AGkAbwBuAC4AXAAiACkAOwBcAG4AXABuAFMAbwB1AHIAYwBlAEQAYQB0AGEAXwBEAGEAaQByAHkAXwBMAGkAdgBlAHcAZQBpAGcAaAB0AEMAbwB3AHMAQQBuAGQASABlAGkAZgBlAHIAcwBfAEQAYQB0AGEAXABuACAAIAA9AEwAQQBNAEIARABBACgAXABuACAAIAAgACAATQBBAEsARQBBAFIAUgBBAFkAKAAxADEALAAgADQALABcAG4AIAAgACAAIAAgACAATABBAE0AQgBEAEEAKAByACwAYwAsAFwAbgAgACAAIAAgACAAIAAgACAASQBOAEQARQBYACgAewBcAG4AIAAgACAAIAAgACAAIAAgACAAIABcACIAQgByAGUAZQBkAFwAIgAsACAAXAAiAE0AaQBsAGsAaQBuAGcAIABDAG8AdwBzAFwAIgAsACAAXAAiAEgAZQBpAGYAZQByAHMAIAA+ADEAXAAiACwAIABcACIASABlAGkAZgBlAHIAcwAgADwAMQAgACgAdwBlAGEAbgBlAGQAKQBcACIAOwBcAG4AIAAgACAAIAAgACAAIAAgACAAIABcACIATQBlAGQAaQB1AG0AIABGAHIAaQBlAHMAaQBhAG4AXAAiACwAIAA1ADUAMAAsACAAMwA4ADAALAAgADEANQA1ADsAXABuACAAIAAgACAAIAAgACAAIAAgACAAXAAiAEwAYQByAGcAZQAgAEYAcgBpAGUAcwBpAGEAbgBcACIALAAgADYAMAAwACwAIAA0ADEANQAsACAAMQA3ADAAOwBcAG4AIAAgACAAIAAgACAAIAAgACAAIABcACIASABvAGwAcwB0AGUAaQBuAC0ARgByAGkAZQBzAGkAYQBuAFwAIgAsACAANgA1ADAALAAgADQANQAwACwAIAAxADgANQA7AFwAbgAgACAAIAAgACAAIAAgACAAIAAgAFwAIgBGAHIAaQBlAHMAaQBhAG4AIABjAHIAbwBzAHMAYgByAGUAZABcACIALAAgADUAMAAwACwAIAAzADUAMAAsACAAMQA0ADUAOwBcAG4AIAAgACAAIAAgACAAIAAgACAAIABcACIASgBlAHIAcwBlAHkAXAAiACwAIAA0ADAAMAAsACAAMgA3ADUALAAgADEAMQA1ADsAXABuACAAIAAgACAAIAAgACAAIAAgACAAXAAiAEoAZQByAHMAZQB5ACAAYwByAG8AcwBzAGIAcgBlAGQAXAAiACwAIAA0ADUAMAAsACAAMwAxADUALAAgADEAMwAwADsAXABuACAAIAAgACAAIAAgACAAIAAgACAAXAAiAEEAeQByAHMAaABpAHIAZQBcACIALAAgADUANAAwACwAIAAzADcANQAsACAAMQA1ADAAOwBcAG4AIAAgACAAIAAgACAAIAAgACAAIABcACIARwB1AGUAcgBuAHMAZQB5AFwAIgAsACAANAA4ADAALAAgADMAMwA1ACwAIAAxADQAMAA7AFwAbgAgACAAIAAgACAAIAAgACAAIAAgAFwAIgBCAHIAbwB3AG4AIABTAHcAaQBzAHMAXAAiACwAIAA2ADAAMAAsACAANAAxADUALAAgADEANwAwADsAXABuACAAIAAgACAAIAAgACAAIAAgACAAXAAiAEkAbABsAGEAdwBhAHIAcgBhAC8AQQB1AHMAcwBpAGUAIABSAGUAZABcACIALAAgADUANQAwACwAIAAzADcANQAsACAAMQA1ADAAXABuACAAIAAgACAAIAAgACAAIAB9ACwAIAByACwAIABjACkAXABuACAAIAAgACAAIAAgACkAXABuACAAIAAgACAAKQBcAG4AIAAgACkAOwBcAG4AXABuAFwAbgAvACoAIABcAG4ALQAtAC0ALQAtAC0ALQAtAC0ALQAtAC0ALQAtAC0ALQAtAC0ALQAtAC0ALQAtAC0ALQAtAC0ALQAtAC0ALQAtAC0ALQAtAC0ALQAtAFwAbgBTAG8AdQByAGMAZQBEAGEAdABhAF8ARABhAGkAcgB5AF8ATABpAHYAZQB3AGUAaQBnAGgAdABCAHUAbABsAHMAXABuAFQAYQBiAGwAZQAgAEEALgAxAC4AMwAuADIAOgAgAEQAYQBpAHIAeQAgAGMAYQB0AHQAbABlACAALQAgAEwAaQB2AGUAdwBlAGkAZwBoAHQAIAAoAGsAZwApACAALQAgAEIAdQBsAGwAcwAgACgAVwBqACkAXABuAC0ALQAtAC0ALQAtAC0ALQAtAC0ALQAtAC0ALQAtAC0ALQAtAC0ALQAtAC0ALQAtAC0ALQAtAC0ALQAtAC0ALQAtAC0ALQAtAC0ALQBcAG4AKgAvAFwAbgBcAG4AUwBvAHUAcgBjAGUARABhAHQAYQBfAEQAYQBpAHIAeQBfAEwAaQB2AGUAdwBlAGkAZwBoAHQAQgB1AGwAbABzAF8AVABpAHQAbABlAFwAbgAgACAAPQBMAEEATQBCAEQAQQAoAFwAIgBUAGEAYgBsAGUAIABBAC4AMQAuADMALgAyADoAIABEAGEAaQByAHkAIABjAGEAdAB0AGwAZQAgAC0AIABMAGkAdgBlAHcAZQBpAGcAaAB0ACAAKABrAGcAKQAgAC0AIABCAHUAbABsAHMAIAAoAFcAagApAFwAIgApADsAXABuAFwAbgBTAG8AdQByAGMAZQBEAGEAdABhAF8ARABhAGkAcgB5AF8ATABpAHYAZQB3AGUAaQBnAGgAdABCAHUAbABsAHMAXwBWAGEAcgBpAGEAYgBsAGUAXABuACAAIAA9AEwAQQBNAEIARABBACgAXAAiAFcAagBcACIAKQA7AFwAbgBcAG4AUwBvAHUAcgBjAGUARABhAHQAYQBfAEQAYQBpAHIAeQBfAEwAaQB2AGUAdwBlAGkAZwBoAHQAQgB1AGwAbABzAF8AVQBuAGkAdABcAG4AIAAgAD0ATABBAE0AQgBEAEEAKABcACIAawBnAFwAIgApADsAXABuAFwAbgBTAG8AdQByAGMAZQBEAGEAdABhAF8ARABhAGkAcgB5AF8ATABpAHYAZQB3AGUAaQBnAGgAdABCAHUAbABsAHMAXwBTAG8AdQByAGMAZQBcAG4AIAAgAD0ATABBAE0AQgBEAEEAKABcACIAVgBFAEUAUgBHACAAMgAwADIANgA6ACAAVABhAGIAbABlACAAQQAuADEALgAzAC4AMgBcACIAKQA7AFwAbgBcAG4AUwBvAHUAcgBjAGUARABhAHQAYQBfAEQAYQBpAHIAeQBfAEwAaQB2AGUAdwBlAGkAZwBoAHQAQgB1AGwAbABzAF8AVgBhAHIAaQBhAHQAaQBvAG4AXABuACAAIAA9AEwAQQBNAEIARABBACgAXAAiAFwAIgApADsAXABuAFwAbgBTAG8AdQByAGMAZQBEAGEAdABhAF8ARABhAGkAcgB5AF8ATABpAHYAZQB3AGUAaQBnAGgAdABCAHUAbABsAHMAXwBEAGEAdABhAFwAbgAgACAAPQBMAEEATQBCAEQAQQAoAFwAbgAgACAAIAAgAE0AQQBLAEUAQQBSAFIAQQBZACgAMgAsACAAMwAsAFwAbgAgACAAIAAgACAAIABMAEEATQBCAEQAQQAoAHIALABjACwAXABuACAAIAAgACAAIAAgACAAIABJAE4ARABFAFgAKAB7AFwAbgAgACAAIAAgACAAIAAgACAAIAAgAFwAIgBCAHIAZQBlAGQAXAAiACwAIABcACIAQgB1AGwAbABzACAAPgAxAFwAIgAsACAAXAAiAEIAdQBsAGwAcwAgADwAMQAgACgAdwBlAGEAbgBlAGQAKQBcACIAOwBcAG4AIAAgACAAIAAgACAAIAAgACAAIABcACIAQQBsAGwAIABiAHIAZQBlAGQAcwBcACIALAAgADYAMAAwACwAIAAyADIANQBcAG4AIAAgACAAIAAgACAAIAAgAH0ALAAgAHIALAAgAGMAKQBcAG4AIAAgACAAIAAgACAAKQBcAG4AIAAgACAAIAApAFwAbgAgACAAKQA7AFwAbgBcAG4ALwAqACAAXABuAC0ALQAtAC0ALQAtAC0ALQAtAC0ALQAtAC0ALQAtAC0ALQAtAC0ALQAtAC0ALQAtAC0ALQAtAC0ALQAtAC0ALQAtAC0ALQAtAC0ALQBcAG4AUwBvAHUAcgBjAGUARABhAHQAYQBfAEQAYQBpAHIAeQBfAEwAaQB2AGUAdwBlAGkAZwBoAHQARwBhAGkAbgBcAG4AVABhAGIAbABlACAAQQAuADEALgAzAC4AMwA6ACAARABhAGkAcgB5ACAAYwBhAHQAdABsAGUAIAAtACAATABpAHYAZQB3AGUAaQBnAGgAdAAgAGcAYQBpAG4AIAAoAGsAZwApACAAKABMAFcARwBqACkAXABuAC0ALQAtAC0ALQAtAC0ALQAtAC0ALQAtAC0ALQAtAC0ALQAtAC0ALQAtAC0ALQAtAC0ALQAtAC0ALQAtAC0ALQAtAC0ALQAtAC0ALQBcAG4AKgAvAFwAbgBcAG4AUwBvAHUAcgBjAGUARABhAHQAYQBfAEQAYQBpAHIAeQBfAEwAaQB2AGUAdwBlAGkAZwBoAHQARwBhAGkAbgBfAFQAaQB0AGwAZQBcAG4AIAAgAD0ATABBAE0AQgBEAEEAKABcACIAVABhAGIAbABlACAAQQAuADEALgAzAC4AMwA6ACAARABhAGkAcgB5ACAAYwBhAHQAdABsAGUAIAAtACAATABpAHYAZQB3AGUAaQBnAGgAdAAgAGcAYQBpAG4AIAAoAGsAZwApACAAKABMAFcARwBqACkAXAAiACkAOwBcAG4AXABuAFMAbwB1AHIAYwBlAEQAYQB0AGEAXwBEAGEAaQByAHkAXwBMAGkAdgBlAHcAZQBpAGcAaAB0AEcAYQBpAG4AXwBWAGEAcgBpAGEAYgBsAGUAXABuACAAIAA9AEwAQQBNAEIARABBACgAXAAiAEwAVwBHAGoAXAAiACkAOwBcAG4AXABuAFMAbwB1AHIAYwBlAEQAYQB0AGEAXwBEAGEAaQByAHkAXwBMAGkAdgBlAHcAZQBpAGcAaAB0AEcAYQBpAG4AXwBVAG4AaQB0AFwAbgAgACAAPQBMAEEATQBCAEQAQQAoAFwAIgBrAGcAXAAiACkAOwBcAG4AXABuAFMAbwB1AHIAYwBlAEQAYQB0AGEAXwBEAGEAaQByAHkAXwBMAGkAdgBlAHcAZQBpAGcAaAB0AEcAYQBpAG4AXwBTAG8AdQByAGMAZQBcAG4AIAAgAD0ATABBAE0AQgBEAEEAKABcACIAVgBFAEUAUgBHACAAMgAwADIANgA6ACAAVABhAGIAbABlACAAQQAuADEALgAzAC4AMwBcACIAKQA7AFwAbgBcAG4AUwBvAHUAcgBjAGUARABhAHQAYQBfAEQAYQBpAHIAeQBfAEwAaQB2AGUAdwBlAGkAZwBoAHQARwBhAGkAbgBfAFYAYQByAGkAYQB0AGkAbwBuAFwAbgAgACAAPQBMAEEATQBCAEQAQQAoAFwAIgBcACIAKQA7AFwAbgBcAG4AUwBvAHUAcgBjAGUARABhAHQAYQBfAEQAYQBpAHIAeQBfAEwAaQB2AGUAdwBlAGkAZwBoAHQARwBhAGkAbgBfAEQAYQB0AGEAXABuACAAIAA9AEwAQQBNAEIARABBACgAXABuACAAIAAgACAATQBBAEsARQBBAFIAUgBBAFkAKAAyACwAIAA1ACwAXABuACAAIAAgACAAIAAgAEwAQQBNAEIARABBACgAcgAsAGMALABcAG4AIAAgACAAIAAgACAAIAAgAEkATgBEAEUAWAAoAHsAXABuACAAIAAgACAAIAAgACAAIAAgACAAXAAiAE0AaQBsAGsAaQBuAGcAIABDAG8AdwBzAFwAIgAsACAAXAAiAEgAZQBpAGYAZQByAHMAIAA+ADEAXAAiACwAIABcACIASABlAGkAZgBlAHIAcwAgADwAMQAgACgAdwBlAGEAbgBlAGQAKQBcACIALAAgAFwAIgBCAHUAbABsAHMAIAA+ADEAXAAiACwAIABcACIAQgB1AGwAbABzACAAPAAxACAAKAB3AGUAYQBuAGUAZAApAFwAIgA7AFwAbgAgACAAIAAgACAAIAAgACAAIAAgADAALgAwADEANgAsACAAMAAuADYALAAgADAALgA1ADcALAAgADAALgAxACwAIAAwAC4AOABcAG4AIAAgACAAIAAgACAAIAAgAH0ALAAgAHIALAAgAGMAKQBcAG4AIAAgACAAIAAgACAAKQBcAG4AIAAgACAAIAApAFwAbgAgACAAKQA7AFwAbgBcAG4ALwAqACAAXABuAC0ALQAtAC0ALQAtAC0ALQAtAC0ALQAtAC0ALQAtAC0ALQAtAC0ALQAtAC0ALQAtAC0ALQAtAC0ALQAtAC0ALQAtAC0ALQAtAC0ALQBcAG4AUwBvAHUAcgBjAGUARABhAHQAYQBfAEQAYQBpAHIAeQBfAFIAZQBmAGUAcgBlAG4AYwBlAFcAZQBpAGcAaAB0AHMAXABuAFQAYQBiAGwAZQAgAEEALgAxAC4AMwAuADQAOgAgAEQAYQBpAHIAeQAgAGMAYQB0AHQAbABlACAALQAgAFIAZQBmAGUAcgBlAG4AYwBlACAAdwBlAGkAZwBoAHQAcwAgACgAawBnACkAIAAoAFcAUgBqACkAXABuAC0ALQAtAC0ALQAtAC0ALQAtAC0ALQAtAC0ALQAtAC0ALQAtAC0ALQAtAC0ALQAtAC0ALQAtAC0ALQAtAC0ALQAtAC0ALQAtAC0ALQBcAG4AKgAvAFwAbgBcAG4AUwBvAHUAcgBjAGUARABhAHQAYQBfAEQAYQBpAHIAeQBfAFIAZQBmAGUAcgBlAG4AYwBlAFcAZQBpAGcAaAB0AHMAXwBUAGkAdABsAGUAXABuACAAIAA9AEwAQQBNAEIARABBACgAXAAiAFQAYQBiAGwAZQAgAEEALgAxAC4AMwAuADQAOgAgAEQAYQBpAHIAeQAgAGMAYQB0AHQAbABlACAALQAgAFIAZQBmAGUAcgBlAG4AYwBlACAAdwBlAGkAZwBoAHQAcwAgACgAawBnACkAIAAoAFcAUgBqACkAXAAiACkAOwBcAG4AXABuAFMAbwB1AHIAYwBlAEQAYQB0AGEAXwBEAGEAaQByAHkAXwBSAGUAZgBlAHIAZQBuAGMAZQBXAGUAaQBnAGgAdABzAF8AVgBhAHIAaQBhAGIAbABlAFwAbgAgACAAPQBMAEEATQBCAEQAQQAoAFwAIgBXAFIAagBcACIAKQA7AFwAbgBcAG4AUwBvAHUAcgBjAGUARABhAHQAYQBfAEQAYQBpAHIAeQBfAFIAZQBmAGUAcgBlAG4AYwBlAFcAZQBpAGcAaAB0AHMAXwBVAG4AaQB0AFwAbgAgACAAPQBMAEEATQBCAEQAQQAoAFwAIgBrAGcAXAAiACkAOwBcAG4AXABuAFMAbwB1AHIAYwBlAEQAYQB0AGEAXwBEAGEAaQByAHkAXwBSAGUAZgBlAHIAZQBuAGMAZQBXAGUAaQBnAGgAdABzAF8AUwBvAHUAcgBjAGUAXABuACAAIAA9AEwAQQBNAEIARABBACgAXAAiAFYARQBFAFIARwAgADIAMAAyADYAOgAgAFQAYQBiAGwAZQAgAEEALgAxAC4AMwAuADQAXAAiACkAOwBcAG4AXABuAFMAbwB1AHIAYwBlAEQAYQB0AGEAXwBEAGEAaQByAHkAXwBSAGUAZgBlAHIAZQBuAGMAZQBXAGUAaQBnAGgAdABzAF8AVgBhAHIAaQBhAHQAaQBvAG4AXABuACAAIAA9AEwAQQBNAEIARABBACgAXAAiAFwAIgApADsAXABuAFwAbgBTAG8AdQByAGMAZQBEAGEAdABhAF8ARABhAGkAcgB5AF8AUgBlAGYAZQByAGUAbgBjAGUAVwBlAGkAZwBoAHQAcwBfAEQAYQB0AGEAXABuACAAIAA9AEwAQQBNAEIARABBACgAXABuACAAIAAgACAATQBBAEsARQBBAFIAUgBBAFkAKAAyACwAIAA1ACwAXABuACAAIAAgACAAIAAgAEwAQQBNAEIARABBACgAcgAsAGMALABcAG4AIAAgACAAIAAgACAAIAAgAEkATgBEAEUAWAAoAHsAXABuACAAIAAgACAAIAAgACAAIAAgACAAXAAiAE0AaQBsAGsAaQBuAGcAIABDAG8AdwBzAFwAIgAsACAAXAAiAEgAZQBpAGYAZQByAHMAIAA+ADEAXAAiACwAIABcACIASABlAGkAZgBlAHIAcwAgADwAMQAgACgAdwBlAGEAbgBlAGQAKQBcACIALAAgAFwAIgBCAHUAbABsAHMAIAA+ADEAXAAiACwAIABcACIAQgB1AGwAbABzACAAPAAxACAAKAB3AGUAYQBuAGUAZAApAFwAIgA7AFwAbgAgACAAIAAgACAAIAAgACAAIAAgADUAOQAwACwAIAA1ADkAMAAsACAANQA5ADAALAAgADcANwAwACwAIAA3ADcAMABcAG4AIAAgACAAIAAgACAAIAAgAH0ALAAgAHIALAAgAGMAKQBcAG4AIAAgACAAIAAgACAAKQBcAG4AIAAgACAAIAApAFwAbgAgACAAKQA7AFwAbgBcAG4ALwAqACAAXABuAC0ALQAtAC0ALQAtAC0ALQAtAC0ALQAtAC0ALQAtAC0ALQAtAC0ALQAtAC0ALQAtAC0ALQAtAC0ALQAtAC0ALQAtAC0ALQAtAC0ALQBcAG4AUwBvAHUAcgBjAGUARABhAHQAYQBfAEQAYQBpAHIAeQBfAFAAcgBlAFcAZQBhAG4AZQBkAEMAYQBsAHYAZQBzAFwAbgBUAGEAYgBsAGUAIABBAC4AMQAuADMALgA1ADoAIABEAGEAaQByAHkAIABjAGEAdAB0AGwAZQAgAC0AIABEAGEAdABhACAAZgBvAHIAIABwAHIAZQAgAC0AIAB3AGUAYQBuAGUAZAAgAGMAYQBsAHYAZQBzAFwAbgAtAC0ALQAtAC0ALQAtAC0ALQAtAC0ALQAtAC0ALQAtAC0ALQAtAC0ALQAtAC0ALQAtAC0ALQAtAC0ALQAtAC0ALQAtAC0ALQAtAC0AXABuACoALwBcAG4AXABuAFMAbwB1AHIAYwBlAEQAYQB0AGEAXwBEAGEAaQByAHkAXwBQAHIAZQBXAGUAYQBuAGUAZABDAGEAbAB2AGUAcwBfAFQAaQB0AGwAZQBcAG4AIAAgAD0ATABBAE0AQgBEAEEAKABcACIAVABhAGIAbABlACAAQQAuADEALgAzAC4ANQA6ACAARABhAGkAcgB5ACAAYwBhAHQAdABsAGUAIAAtACAARABhAHQAYQAgAGYAbwByACAAcAByAGUAIAAtACAAdwBlAGEAbgBlAGQAIABjAGEAbAB2AGUAcwBcACIAKQA7AFwAbgBcAG4AUwBvAHUAcgBjAGUARABhAHQAYQBfAEQAYQBpAHIAeQBfAFAAcgBlAFcAZQBhAG4AZQBkAEMAYQBsAHYAZQBzAF8AVgBhAHIAaQBhAGIAbABlAFwAbgAgACAAPQBMAEEATQBCAEQAQQAoAFwAIgBWAFMAagA9ADMALAA1ADsAIABOAFAAVwBqAD0AMwAsADUAXAAiACkAOwBcAG4AXABuAFMAbwB1AHIAYwBlAEQAYQB0AGEAXwBEAGEAaQByAHkAXwBQAHIAZQBXAGUAYQBuAGUAZABDAGEAbAB2AGUAcwBfAFUAbgBpAHQAXABuACAAIAA9AEwAQQBNAEIARABBACgAXAAiAGsAZwAvAGQAYQB5AFwAIgApADsAXABuAFwAbgBTAG8AdQByAGMAZQBEAGEAdABhAF8ARABhAGkAcgB5AF8AUAByAGUAVwBlAGEAbgBlAGQAQwBhAGwAdgBlAHMAXwBTAG8AdQByAGMAZQBcAG4AIAAgAD0ATABBAE0AQgBEAEEAKABcACIAVgBFAEUAUgBHACAAMgAwADIANgA6ACAAVABhAGIAbABlACAAQQAuADEALgAzAC4ANQBcACIAKQA7AFwAbgBcAG4AUwBvAHUAcgBjAGUARABhAHQAYQBfAEQAYQBpAHIAeQBfAFAAcgBlAFcAZQBhAG4AZQBkAEMAYQBsAHYAZQBzAF8AVgBhAHIAaQBhAHQAaQBvAG4AXABuACAAIAA9AEwAQQBNAEIARABBACgAXAAiAFYAQQBSAEkAQQBUAEkATwBOACAATwBGACAAUwBPAFUAUgBDAEUAOgAgAEEAZABkAGUAZAAgACcAQQBuAGkAbQBhAGwAIABjAGwAYQBzAHMAIABqACcAIABjAG8AbAB1AG0AbgAgAGgAZQBhAGQAZQByAFwAIgApADsAXABuAFwAbgBTAG8AdQByAGMAZQBEAGEAdABhAF8ARABhAGkAcgB5AF8AUAByAGUAVwBlAGEAbgBlAGQAQwBhAGwAdgBlAHMAXwBEAGEAdABhAFwAbgAgACAAPQBMAEEATQBCAEQAQQAoAFwAbgAgACAAIAAgAE0AQQBLAEUAQQBSAFIAQQBZACgANAAsACAANAAsAFwAbgAgACAAIAAgACAAIABMAEEATQBCAEQAQQAoAHIALABjACwAXABuACAAIAAgACAAIAAgACAAIABJAE4ARABFAFgAKAB7AFwAbgAgACAAIAAgACAAIAAgACAAIAAgAFwAIgBBAG4AaQBtAGEAbAAgAGMAbABhAHMAcwAgAGoAXAAiACwAIABcACIAQwBIADQAIABwAHIAbwBkAHUAYwB0AGkAbwBuAFwAIgAsACAAXAAiAFYAbwBsAGEAdABpAGwAZQAgAHMAbwBsAGkAZABzACAAKABWAFMAagA9ADMALAA1ACkAXAAiACwAIABcACIATgBpAHQAcgBvAGcAZQBuACAARQB4AGMAcgBlAHQAZQBkACAAKABOAFAAVwBqAD0AMwAsADUAKQBcACIAOwBcAG4AIAAgACAAIAAgACAAIAAgACAAIABcACIAXAAiACwAIABcACIAKABrAGcALwBkAGEAeQApAFwAIgAsACAAXAAiACgAawBnAC8AZABhAHkAKQBcACIALAAgAFwAIgAoAGsAZwAvAGQAYQB5ACkAXAAiADsAXABuACAAIAAgACAAIAAgACAAIAAgACAAXAAiAEgAZQBpAGYAZQByAHMAPAAxAFwAIgAsACAAMAAuADAAMQA3ADYALAAgADAALgAyADYAOAA1ACwAIAAwAC4AMAAxADMANwA7AFwAbgAgACAAIAAgACAAIAAgACAAIAAgAFwAIgBCAHUAbABsAHMAPAAxAFwAIgAsACAAMAAuADAAMgAwADQALAAgADAALgAzADAAMAAzACwAIAAwAC4AMAAwADkAMgBcAG4AIAAgACAAIAAgACAAIAAgAH0ALAAgAHIALAAgAGMAKQBcAG4AIAAgACAAIAAgACAAKQBcAG4AIAAgACAAIAApAFwAbgAgACAAKQA7AFwAbgBcAG4ALwAqACAAXABuAC0ALQAtAC0ALQAtAC0ALQAtAC0ALQAtAC0ALQAtAC0ALQAtAC0ALQAtAC0ALQAtAC0ALQAtAC0ALQAtAC0ALQAtAC0ALQAtAC0ALQBcAG4AUwBvAHUAcgBjAGUARABhAHQAYQBfAEQAYQBpAHIAeQBfAE0AQwBGAFwAbgBUAGEAYgBsAGUAIABBAC4AMQAuADMALgA2ADoAIABEAGEAaQByAHkAIABjAGEAdAB0AGwAZQAgAC0AIABEAGEAaQByAHkAIABjAGEAdAB0AGwAZQAgAC0AIABNAEMARgBzACAAKABmAHIAYQBjAHQAaQBvAG4AKQAgACgATQBDAEYAagBtACkAXABuAC0ALQAtAC0ALQAtAC0ALQAtAC0ALQAtAC0ALQAtAC0ALQAtAC0ALQAtAC0ALQAtAC0ALQAtAC0ALQAtAC0ALQAtAC0ALQAtAC0ALQBcAG4AKgAvAFwAbgBcAG4AUwBvAHUAcgBjAGUARABhAHQAYQBfAEQAYQBpAHIAeQBfAE0AQwBGAF8AVABpAHQAbABlAFwAbgAgACAAPQBMAEEATQBCAEQAQQAoAFwAIgBUAGEAYgBsAGUAIABBAC4AMQAuADMALgA2ADoAIABEAGEAaQByAHkAIABjAGEAdAB0AGwAZQAgAC0AIABEAGEAaQByAHkAIABjAGEAdAB0AGwAZQAgAC0AIABNAEMARgBzACAAKABmAHIAYQBjAHQAaQBvAG4AKQAgACgATQBDAEYAagBtACkAXAAiACkAOwBcAG4AXABuAFMAbwB1AHIAYwBlAEQAYQB0AGEAXwBEAGEAaQByAHkAXwBNAEMARgBfAFYAYQByAGkAYQBiAGwAZQBcAG4AIAAgAD0ATABBAE0AQgBEAEEAKABcACIATQBDAEYAagBtAFwAIgApADsAXABuAFwAbgBTAG8AdQByAGMAZQBEAGEAdABhAF8ARABhAGkAcgB5AF8ATQBDAEYAXwBVAG4AaQB0AFwAbgAgACAAPQBMAEEATQBCAEQAQQAoAFwAIgBmAHIAYQBjAHQAaQBvAG4AXAAiACkAOwBcAG4AXABuAFMAbwB1AHIAYwBlAEQAYQB0AGEAXwBEAGEAaQByAHkAXwBNAEMARgBfAFMAbwB1AHIAYwBlAFwAbgAgACAAPQBMAEEATQBCAEQAQQAoAFwAIgBWAEUARQBSAEcAIAAyADAAMgA2ADoAIABUAGEAYgBsAGUAIABBAC4AMQAuADMALgA2AFwAIgApADsAXABuAFwAbgBTAG8AdQByAGMAZQBEAGEAdABhAF8ARABhAGkAcgB5AF8ATQBDAEYAXwBWAGEAcgBpAGEAdABpAG8AbgBcAG4AIAAgAD0ATABBAE0AQgBEAEEAKABcACIAVgBBAFIASQBBAFQASQBPAE4AIABPAEYAIABTAE8AVQBSAEMARQA6ACAAQQBkAGQAZQBkACAAJwBOAEkAUgAgAHIAZQBmAGUAcgBlAG4AYwBlACcAIABjAG8AbAB1AG0AbgAgAHQAbwAgAGEAaQBkACAAbABvAG8AawB1AHAAXAAiACkAOwBcAG4AXABuAFMAbwB1AHIAYwBlAEQAYQB0AGEAXwBEAGEAaQByAHkAXwBNAEMARgBfAEQAYQB0AGEAXABuACAAIAA9AEwAQQBNAEIARABBACgAXABuACAAIAAgACAATQBBAEsARQBBAFIAUgBBAFkAKAA3ACwAIAAxADAALABcAG4AIAAgACAAIAAgACAATABBAE0AQgBEAEEAKAByACwAYwAsAFwAbgAgACAAIAAgACAAIAAgACAASQBOAEQARQBYACgAewBcAG4AIAAgACAAIAAgACAAIAAgACAAIABcACIATQBNAFMAIABtAFwAIgAsACAAXAAiAEEAQwBUAFwAIgAsACAAXAAiAE4AUwBXAFwAIgAsACAAXAAiAE4AVABcACIALAAgAFwAIgBRAEwARABcACIALAAgAFwAIgBTAEEAXAAiACwAIABcACIAVABBAFMAXAAiACwAIABcACIAVgBJAEMAXAAiACwAIABcACIAVwBBAFwAIgAsACAAXAAiAE4ASQBSACAAcgBlAGYAZQByAGUAbgBjAGUAXAAiADsAXABuACAAIAAgACAAIAAgACAAIAAgACAAXAAiAFAAYQBzAHQAdQByAGUAXAAiACwAIAAwAC4AMAAxACwAIAAwAC4AMAAxACwAIAAwAC4AMAAyACwAIAAwAC4AMAAxACwAIAAwAC4AMAAxACwAIAAwAC4AMAAxACwAIAAwAC4AMAAxACwAIAAwAC4AMAAxACwAIABcACIAUABhAHMAdAB1AHIAZQAgAHIAYQBuAGcAZQAgAGEAbgBkACAAcABhAGQAZABvAGMAawBcACIAOwBcAG4AIAAgACAAIAAgACAAIAAgACAAIABcACIAQQBuAGEAZQByAG8AYgBpAGMAIABsAGEAZwBvAG8AbgBcACIALAAgADAALgA3ADIALAAgADAALgA3ADYALAAgADAALgA4ACwAIAAwAC4ANwA4ACwAIAAwAC4ANwA0ACwAIAAwAC4ANgA5ACwAIAAwAC4ANwAzACwAIAAwAC4ANwA2ACwAIABcACIAQQBuAGEAZQByAG8AYgBpAGMAIABsAGEAZwBvAG8AbgBcACIAOwBcAG4AIAAgACAAIAAgACAAIAAgACAAIABcACIARABhAGkAbAB5ACAAcwBwAHIAZQBhAGQAIAAtACAAUwB1AG0AcAAgAGEAbgBkACAAZABpAHMAcABlAHIAcwBhAGwAIABzAHkAcwB0AGUAbQBzAFwAIgAsACAAMAAuADAAMAA1ACwAIAAwAC4AMAAwADUALAAgADAALgAwADEALAAgADAALgAwADAANQAsACAAMAAuADAAMAA1ACwAIAAwAC4AMAAwADEALAAgADAALgAwADAANQAsACAAMAAuADAAMAA1ACwAIABcACIAUwB1AG0AcAAgAGEAbgBkACAAZABpAHMAcABlAHIAcwBhAGwAIABzAHkAcwB0AGUAbQBcACIAOwBcAG4AIAAgACAAIAAgACAAIAAgACAAIABcACIARABhAGkAbAB5ACAAcwBwAHIAZQBhAGQAIAAtACAARAByAGEAaQBuAHMAIAB0AG8AIABwAGEAZABkAG8AYwBrAHMAIAAoAGEAKQBcACIALAAgADAALgAxADUALAAgADAALgAxADgALAAgADAALgA1ADAALAAgADAALgAyADQALAAgADAALgAxADcALAAgADAALgAxADMALAAgADAALgAxADcALAAgADAALgAxADgALAAgAFwAIgBEAHIAYQBpAG4AcwAgAHQAbwAgAHAAYQBkAGQAbwBjAGsAXAAiADsAXABuACAAIAAgACAAIAAgACAAIAAgACAAXAAiAFMAbwBsAGkAZAAgAFMAdABvAHIAYQBnAGUAXAAiACwAIAAwAC4AMAAyACwAIAAwAC4AMAAyACwAIAAwAC4AMAAyACwAIAAwAC4AMAAyACwAIAAwAC4AMAAyACwAIAAwAC4AMAAyACwAIAAwAC4AMAAyACwAIAAwAC4AMAAyACwAIABcACIAUwBvAGwAaQBkACAAcwB0AG8AcgBhAGcAZQBcACIAOwBcAG4AIAAgACAAIAAgACAAIAAgACAAIABcACIARABpAHIAZQBjAHQAIABBAHAAcABsAGkAYwBhAHQAaQBvAG4AIAB0AG8AIABzAG8AaQBsAFwAIgAsACAAMAAsACAAMAAsACAAMAAsACAAMAAsACAAMAAsACAAMAAsACAAMAAsACAAMAAsACAAXAAiAEQAaQByAGUAYwB0ACAAYQBwAHAAbABpAGMAYQB0AGkAbwBuAFwAIgBcAG4AIAAgACAAIAAgACAAIAAgAH0ALAAgAHIALAAgAGMAKQBcAG4AIAAgACAAIAAgACAAKQBcAG4AIAAgACAAIAApAFwAbgAgACAAKQA7AFwAbgBcAG4ALwAqACAAXABuAC0ALQAtAC0ALQAtAC0ALQAtAC0ALQAtAC0ALQAtAC0ALQAtAC0ALQAtAC0ALQAtAC0ALQAtAC0ALQAtAC0ALQAtAC0ALQAtAC0ALQBcAG4AUwBvAHUAcgBjAGUARABhAHQAYQBfAEQAYQBpAHIAeQBfAE4AaQB0AHIAbwB1AHMATwB4AGkAZABlAEUARgBzAEEAbgBkAEYAcgBhAGMARwBBAFMATQBcAG4AVABhAGIAbABlACAAQQAuADEALgAzAC4ANwA6ACAARABhAGkAcgB5ACAAYwBhAHQAdABsAGUAIAAtACAATgBpAHQAcgBvAHUAcwAgAG8AeABpAGQAZQAgAEUARgBzACAAYQBuAGQAIABmAHIAYQBjAHQAaQBvAG4AIABvAGYAIABOACAAdgBvAGwAYQB0AGkAbABpAHMAZQBkACAAYgB5ACAATQBNAFMAXABuAC0ALQAtAC0ALQAtAC0ALQAtAC0ALQAtAC0ALQAtAC0ALQAtAC0ALQAtAC0ALQAtAC0ALQAtAC0ALQAtAC0ALQAtAC0ALQAtAC0ALQBcAG4AKgAvAFwAbgBcAG4AUwBvAHUAcgBjAGUARABhAHQAYQBfAEQAYQBpAHIAeQBfAE4AaQB0AHIAbwB1AHMATwB4AGkAZABlAEUARgBzAEEAbgBkAEYAcgBhAGMARwBBAFMATQBfAFQAaQB0AGwAZQBcAG4AIAAgAD0ATABBAE0AQgBEAEEAKABcACIAVABhAGIAbABlACAAQQAuADEALgAzAC4ANwA6ACAARABhAGkAcgB5ACAAYwBhAHQAdABsAGUAIAAtACAATgBpAHQAcgBvAHUAcwAgAG8AeABpAGQAZQAgAEUARgBzACAAYQBuAGQAIABmAHIAYQBjAHQAaQBvAG4AIABvAGYAIABOACAAdgBvAGwAYQB0AGkAbABpAHMAZQBkACAAYgB5ACAATQBNAFMAXAAiACkAOwBcAG4AXABuAFMAbwB1AHIAYwBlAEQAYQB0AGEAXwBEAGEAaQByAHkAXwBOAGkAdAByAG8AdQBzAE8AeABpAGQAZQBFAEYAcwBBAG4AZABGAHIAYQBjAEcAQQBTAE0AXwBWAGEAcgBpAGEAYgBsAGUAXABuACAAIAA9AEwAQQBNAEIARABBACgAXAAiAEUARgBtADsAIABGAHIAYQBjAEcAQQBTAE0AbQBcACIAKQA7AFwAbgBcAG4AUwBvAHUAcgBjAGUARABhAHQAYQBfAEQAYQBpAHIAeQBfAE4AaQB0AHIAbwB1AHMATwB4AGkAZABlAEUARgBzAEEAbgBkAEYAcgBhAGMARwBBAFMATQBfAFUAbgBpAHQAXABuACAAIAA9AEwAQQBNAEIARABBACgAXAAiAGsAZwAgAE4AMgBPAC0ATgAvAGsAZwAgAE4AIABlAHgAYwByAGUAdABlAGQAXAAiACkAOwBcAG4AXABuAFMAbwB1AHIAYwBlAEQAYQB0AGEAXwBEAGEAaQByAHkAXwBOAGkAdAByAG8AdQBzAE8AeABpAGQAZQBFAEYAcwBBAG4AZABGAHIAYQBjAEcAQQBTAE0AXwBTAG8AdQByAGMAZQBcAG4AIAAgAD0ATABBAE0AQgBEAEEAKABcACIAVgBFAEUAUgBHACAAMgAwADIANgA6ACAAVABhAGIAbABlACAAQQAuADEALgAzAC4ANwBcACIAKQA7AFwAbgBcAG4AUwBvAHUAcgBjAGUARABhAHQAYQBfAEQAYQBpAHIAeQBfAE4AaQB0AHIAbwB1AHMATwB4AGkAZABlAEUARgBzAEEAbgBkAEYAcgBhAGMARwBBAFMATQBfAFYAYQByAGkAYQB0AGkAbwBuAFwAbgAgACAAPQBMAEEATQBCAEQAQQAoAFwAIgBWAEEAUgBJAEEAVABJAE8ATgAgAE8ARgAgAFMATwBVAFIAQwBFADoAIABBAGQAZABlAGQAIAAnAE4ASQBSACAAcgBlAGYAZQByAGUAbgBjAGUAJwAgAGMAbwBsAHUAbQBuACAAdABvACAAYQBpAGQAIABsAG8AbwBrAHUAcABcACIAKQA7AFwAbgBcAG4AUwBvAHUAcgBjAGUARABhAHQAYQBfAEQAYQBpAHIAeQBfAE4AaQB0AHIAbwB1AHMATwB4AGkAZABlAEUARgBzAEEAbgBkAEYAcgBhAGMARwBBAFMATQBfAEQAYQB0AGEAXABuACAAIAA9AEwAQQBNAEIARABBACgAXABuACAAIAAgACAATQBBAEsARQBBAFIAUgBBAFkAKAA2ACwAIAA0ACwAXABuACAAIAAgACAAIAAgAEwAQQBNAEIARABBACgAcgAsAGMALABcAG4AIAAgACAAIAAgACAAIAAgAEkATgBEAEUAWAAoAHsAXABuACAAIAAgACAAIAAgACAAIAAgACAAXAAiAE0ATQBTACAAbQBcACIALAAgAFwAIgBFAEYAbQAgACgAawBnACAATgAyAE8ALQBOAC8AawBnACAATgAgAGUAeABjAHIAZQB0AGUAZAApAFwAIgAsACAAXAAiAEYAcgBhAGMARwBBAFMATQBtACAAKABrAGcAIABOADIATwAtAE4ALwBrAGcAIABOACAAZQB4AGMAcgBlAHQAZQBkACkAXAAiACwAIABcACIATgBJAFIAIAByAGUAZgBlAHIAZQBuAGMAZQBcACIAOwBcAG4AIAAgACAAIAAgACAAIAAgACAAIABcACIATQA9ADEANAAgAFAAYQBzAHQAdQByAGUAXAAiACwAIAAwACwAIAAwACwAIABcACIAUABhAHMAdAB1AHIAZQAgAHIAYQBuAGcAZQAgAGEAbgBkACAAcABhAGQAZABvAGMAawBcACIAOwBcAG4AIAAgACAAIAAgACAAIAAgACAAIABcACIATQA9ADEAIABBAG4AYQBlAHIAbwBiAGkAYwAgAGwAYQBnAG8AbwBuAFwAIgAsACAAMAAsACAAMAAuADMANQAsACAAXAAiAEEAbgBhAGUAcgBvAGIAaQBjACAAbABhAGcAbwBvAG4AXAAiADsAXABuACAAIAAgACAAIAAgACAAIAAgACAAXAAiAE0APQAyACAARABhAGkAbAB5ACAAUwBwAHIAZQBhAGQAIAAtACAAUwB1AG0AcAAgAGEAbgBkACAARABpAHMAcABlAHIAcwBhAGwAXAAiACwAIAAwACwAIAAwAC4AMAA3ACwAIABcACIAUwB1AG0AcAAgAGEAbgBkACAAZABpAHMAcABlAHIAcwBhAGwAIABzAHkAcwB0AGUAbQBcACIAOwBcAG4AIAAgACAAIAAgACAAIAAgACAAIABcACIATQA9ADMAIABEAGEAaQBsAHkAIABTAHAAcgBlAGEAZAAgAC0AIABEAHIAYQBpAG4AcwAgAHQAbwAgAFAAYQBkAGQAbwBjAGsAXAAiACwAIAAwACwAIAAwAC4AMgAsACAAXAAiAEQAcgBhAGkAbgBzACAAdABvACAAcABhAGQAZABvAGMAawBcACIAOwBcAG4AIAAgACAAIAAgACAAIAAgACAAIABcACIATQA9ADMAIABTAG8AbABpAGQAIABTAHQAbwByAGEAZwBlAFwAIgAsACAAMAAuADAAMAA1ACwAIAAwAC4AMwAsACAAXAAiAFMAbwBsAGkAZAAgAHMAdABvAHIAYQBnAGUAXAAiAFwAbgAgACAAIAAgACAAIAAgACAAfQAsACAAcgAsACAAYwApAFwAbgAgACAAIAAgACAAIAApAFwAbgAgACAAIAAgACkAXABuACAAIAApADsAXABuAFwAbgBcAG4ALwAqACAAXABuAC0ALQAtAC0ALQAtAC0ALQAtAC0ALQAtAC0ALQAtAC0ALQAtAC0ALQAtAC0ALQAtAC0ALQAtAC0ALQAtAC0ALQAtAC0ALQAtAC0ALQBcAG4AUwBvAHUAcgBjAGUARABhAHQAYQBfAEQAYQBpAHIAeQBfAE0AZQB0AGgAYQBuAGUAUAByAG8AZAB1AGMAdABpAG8AbgBQAHIAZQBXAGUAYQBuAGUAZABDAGEAbAB2AGUAcwBcAG4AVABhAGIAbABlACAAQQAuADEALgAzAC4AOAA6ACAARABhAGkAcgB5ACAAYwBhAHQAdABsAGUAIAAtACAATQBlAHQAaABhAG4AZQAgAHAAcgBvAGQAdQBjAHQAaQBvAG4AIABmAG8AcgAgAHAAcgBlAC0AdwBlAGEAbgBlAGQAIABoAGUAaQBmAGUAcgAgAGEAbgBkACAAYgB1AGwAbAAgAGMAYQBsAHYAZQBzACAAKABrAGcAIABDAEgANAAvAGgAZQBhAGQALwBkAGEAeQApACAAKABNAFAAVwBFAE4AVABFAFIASQBDACwAagA9ADMALAA1ACkAXABuAC0ALQAtAC0ALQAtAC0ALQAtAC0ALQAtAC0ALQAtAC0ALQAtAC0ALQAtAC0ALQAtAC0ALQAtAC0ALQAtAC0ALQAtAC0ALQAtAC0ALQBcAG4AKgAvAFwAbgBcAG4AUwBvAHUAcgBjAGUARABhAHQAYQBfAEQAYQBpAHIAeQBfAE0AZQB0AGgAYQBuAGUAUAByAG8AZAB1AGMAdABpAG8AbgBQAHIAZQBXAGUAYQBuAGUAZABDAGEAbAB2AGUAcwBfAFQAaQB0AGwAZQBcAG4AIAAgAD0ATABBAE0AQgBEAEEAKABcACIAVABhAGIAbABlACAAQQAuADEALgAzAC4AOAA6ACAARABhAGkAcgB5ACAAYwBhAHQAdABsAGUAIAAtACAATQBlAHQAaABhAG4AZQAgAHAAcgBvAGQAdQBjAHQAaQBvAG4AIABmAG8AcgAgAHAAcgBlAC0AdwBlAGEAbgBlAGQAIABoAGUAaQBmAGUAcgAgAGEAbgBkACAAYgB1AGwAbAAgAGMAYQBsAHYAZQBzACAAKABrAGcAIABDAEgANAAvAGgAZQBhAGQALwBkAGEAeQApACAAKABNAFAAVwBFAE4AVABFAFIASQBDACwAagA9ADMALAA1ACkAXAAiACkAOwBcAG4AXABuAFMAbwB1AHIAYwBlAEQAYQB0AGEAXwBEAGEAaQByAHkAXwBNAGUAdABoAGEAbgBlAFAAcgBvAGQAdQBjAHQAaQBvAG4AUAByAGUAVwBlAGEAbgBlAGQAQwBhAGwAdgBlAHMAXwBWAGEAcgBpAGEAYgBsAGUAXABuACAAIAA9AEwAQQBNAEIARABBACgAXAAiAE0AUABXAEUATgBUAEUAUgBJAEMALABqAD0AMwAsADUAXAAiACkAOwBcAG4AXABuAFMAbwB1AHIAYwBlAEQAYQB0AGEAXwBEAGEAaQByAHkAXwBNAGUAdABoAGEAbgBlAFAAcgBvAGQAdQBjAHQAaQBvAG4AUAByAGUAVwBlAGEAbgBlAGQAQwBhAGwAdgBlAHMAXwBVAG4AaQB0AFwAbgAgACAAPQBMAEEATQBCAEQAQQAoAFwAIgBrAGcAIABDAEgANAAvAGgAZQBhAGQALwBkAGEAeQBcACIAKQA7AFwAbgBcAG4AUwBvAHUAcgBjAGUARABhAHQAYQBfAEQAYQBpAHIAeQBfAE0AZQB0AGgAYQBuAGUAUAByAG8AZAB1AGMAdABpAG8AbgBQAHIAZQBXAGUAYQBuAGUAZABDAGEAbAB2AGUAcwBfAFMAbwB1AHIAYwBlAFwAbgAgACAAPQBMAEEATQBCAEQAQQAoAFwAIgBWAEUARQBSAEcAIAAyADAAMgA2ADoAIABUAGEAYgBsAGUAIABBAC4AMQAuADMALgA4AFwAIgApADsAXABuAFwAbgBTAG8AdQByAGMAZQBEAGEAdABhAF8ARABhAGkAcgB5AF8ATQBlAHQAaABhAG4AZQBQAHIAbwBkAHUAYwB0AGkAbwBuAFAAcgBlAFcAZQBhAG4AZQBkAEMAYQBsAHYAZQBzAF8AVgBhAHIAaQBhAHQAaQBvAG4AXABuACAAIAA9AEwAQQBNAEIARABBACgAXAAiAFwAIgApADsAXABuAFwAbgBTAG8AdQByAGMAZQBEAGEAdABhAF8ARABhAGkAcgB5AF8ATQBlAHQAaABhAG4AZQBQAHIAbwBkAHUAYwB0AGkAbwBuAFAAcgBlAFcAZQBhAG4AZQBkAEMAYQBsAHYAZQBzAF8ARABhAHQAYQBcAG4AIAAgAD0ATABBAE0AQgBEAEEAKABcAG4AIAAgACAAIABNAEEASwBFAEEAUgBSAEEAWQAoADMALAAgADIALABcAG4AIAAgACAAIAAgACAATABBAE0AQgBEAEEAKAByACwAYwAsAFwAbgAgACAAIAAgACAAIAAgACAASQBOAEQARQBYACgAewBcAG4AIAAgACAAIAAgACAAIAAgACAAIABcACIAQQBuAGkAbQBhAGwAIABDAGwAYQBzAHMAIABqAFwAIgAsACAAXAAiAE0AUABXAEUATgBUAEUAUgBJAEMAXAAiADsAXABuACAAIAAgACAAIAAgACAAIAAgACAAXAAiAEgAZQBpAGYAZQByAHMAIAA8ACAAMQAgAHkAZQBhAHIAXAAiACwAIAAwAC4AMAAxADcANgA7AFwAbgAgACAAIAAgACAAIAAgACAAIAAgAFwAIgBCAHUAbABsAHMAIAA8ACAAMQAgAHkAZQBhAHIAXAAiACwAIAAwAC4AMAAyADAANABcAG4AIAAgACAAIAAgACAAIAAgAH0ALAAgAHIALAAgAGMAKQBcAG4AIAAgACAAIAAgACAAKQBcAG4AIAAgACAAIAApAFwAbgAgACAAKQA7AFwAbgBcAG4ALwAqACAAXABuAC0ALQAtAC0ALQAtAC0ALQAtAC0ALQAtAC0ALQAtAC0ALQAtAC0ALQAtAC0ALQAtAC0ALQAtAC0ALQAtAC0ALQAtAC0ALQAtAC0ALQBcAG4AUwBvAHUAcgBjAGUARABhAHQAYQBfAEQAYQBpAHIAeQBfAEkAbgBjAHIAZQBhAHMAZQBkAE0AZQB0AGEAYgBvAGwAaQBjAFIAYQB0AGUATQBpAGwAawBcAG4AVABhAGIAbABlACAAQQAuADEALgAzAC4AOQA6ACAARABhAGkAcgB5ACAAYwBhAHQAdABsAGUAIAAtACAASQBuAGMAcgBlAGEAcwBlAGQAIABtAGUAdABhAGIAbwBsAGkAYwAgAHIAYQB0AGUAIAB3AGgAZQBuACAAcAByAG8AZAB1AGMAaQBuAGcAIABtAGkAbABrACAAKABrAGcAIABEAE0ALwBoAGUAYQBkAC8AZABhAHkAKQAgACgATQBSAGoAKQBcAG4ALQAtAC0ALQAtAC0ALQAtAC0ALQAtAC0ALQAtAC0ALQAtAC0ALQAtAC0ALQAtAC0ALQAtAC0ALQAtAC0ALQAtAC0ALQAtAC0ALQAtAFwAbgAqAC8AXABuAFwAbgBTAG8AdQByAGMAZQBEAGEAdABhAF8ARABhAGkAcgB5AF8ASQBuAGMAcgBlAGEAcwBlAGQATQBlAHQAYQBiAG8AbABpAGMAUgBhAHQAZQBNAGkAbABrAF8AVABpAHQAbABlAFwAbgAgACAAPQBMAEEATQBCAEQAQQAoAFwAIgBUAGEAYgBsAGUAIABBAC4AMQAuADMALgA5ADoAIABEAGEAaQByAHkAIABjAGEAdAB0AGwAZQAgAC0AIABJAG4AYwByAGUAYQBzAGUAZAAgAG0AZQB0AGEAYgBvAGwAaQBjACAAcgBhAHQAZQAgAHcAaABlAG4AIABwAHIAbwBkAHUAYwBpAG4AZwAgAG0AaQBsAGsAIAAoAE0AUgBqACkAXAAiACkAOwBcAG4AXABuAFMAbwB1AHIAYwBlAEQAYQB0AGEAXwBEAGEAaQByAHkAXwBJAG4AYwByAGUAYQBzAGUAZABNAGUAdABhAGIAbwBsAGkAYwBSAGEAdABlAE0AaQBsAGsAXwBWAGEAcgBpAGEAYgBsAGUAXABuACAAIAA9AEwAQQBNAEIARABBACgAXAAiAE0AUgBqAFwAIgApADsAXABuAFwAbgBTAG8AdQByAGMAZQBEAGEAdABhAF8ARABhAGkAcgB5AF8ASQBuAGMAcgBlAGEAcwBlAGQATQBlAHQAYQBiAG8AbABpAGMAUgBhAHQAZQBNAGkAbABrAF8AVQBuAGkAdABcAG4AIAAgAD0ATABBAE0AQgBEAEEAKABcACIAXAAiACkAOwBcAG4AXABuAFMAbwB1AHIAYwBlAEQAYQB0AGEAXwBEAGEAaQByAHkAXwBJAG4AYwByAGUAYQBzAGUAZABNAGUAdABhAGIAbwBsAGkAYwBSAGEAdABlAE0AaQBsAGsAXwBTAG8AdQByAGMAZQBcAG4AIAAgAD0ATABBAE0AQgBEAEEAKABcACIAVgBFAEUAUgBHACAAMgAwADIANgA6ACAAVABhAGIAbABlACAAQQAuADEALgAzAC4AOQBcACIAKQA7AFwAbgBcAG4AUwBvAHUAcgBjAGUARABhAHQAYQBfAEQAYQBpAHIAeQBfAEkAbgBjAHIAZQBhAHMAZQBkAE0AZQB0AGEAYgBvAGwAaQBjAFIAYQB0AGUATQBpAGwAawBfAFYAYQByAGkAYQB0AGkAbwBuAFwAbgAgACAAPQBMAEEATQBCAEQAQQAoAFwAIgBcACIAKQA7AFwAbgBcAG4AUwBvAHUAcgBjAGUARABhAHQAYQBfAEQAYQBpAHIAeQBfAEkAbgBjAHIAZQBhAHMAZQBkAE0AZQB0AGEAYgBvAGwAaQBjAFIAYQB0AGUATQBpAGwAawBfAEQAYQB0AGEAXABuACAAIAA9AEwAQQBNAEIARABBACgAXABuACAAIAAgACAATQBBAEsARQBBAFIAUgBBAFkAKAAzACwAIAAyACwAXABuACAAIAAgACAAIAAgAEwAQQBNAEIARABBACgAcgAsAGMALABcAG4AIAAgACAAIAAgACAAIAAgAEkATgBEAEUAWAAoAHsAXABuACAAIAAgACAAIAAgACAAIAAgACAAXAAiAEEAbgBpAG0AYQBsACAAQwBsAGEAcwBzACAAagBcACIALAAgAFwAIgBNAFIAagBcACIAOwBcAG4AIAAgACAAIAAgACAAIAAgACAAIABcACIATQBpAGwAawBpAG4AZwAgAGMAbwB3AHMALAAgAGEAbgBkACAAaABvAHUAcwBlACAAYwBvAHcAcwBcACIALAAgADEALgAxADsAXABuACAAIAAgACAAIAAgACAAIAAgACAAXAAiAEEAbABsACAAbwB0AGgAZQByACAAYwBhAHQAdABsAGUAIABjAGwAYQBzAHMAZQBzAFwAIgAsACAAMQAuADAAXABuACAAIAAgACAAIAAgACAAIAB9ACwAIAByACwAIABjACkAXABuACAAIAAgACAAIAAgACkAXABuACAAIAAgACAAKQBcAG4AIAAgACkAOwBcAG4AXABuAC8AKgAgAFwAbgAtAC0ALQAtAC0ALQAtAC0ALQAtAC0ALQAtAC0ALQAtAC0ALQAtAC0ALQAtAC0ALQAtAC0ALQAtAC0ALQAtAC0ALQAtAC0ALQAtAC0AXABuAFMAbwB1AHIAYwBlAEQAYQB0AGEAXwBEAGEAaQByAHkAXwBGAHIAYQBjAHQAaQBvAG4AVgBvAGwAYQB0AGkAbABlAFMAbwBsAGkAZABzAFYAbwBpAGQAZQBkAE0ATQBTAFwAbgBUAGEAYgBsAGUAIABBAC4AMQAuADMALgAxADAAOgAgAEQAYQBpAHIAeQAgAGMAYQB0AHQAbABlACAALQAgAEYAcgBhAGMAdABpAG8AbgAgAG8AZgAgAHYAbwBsAGEAdABpAGwAZQAgAHMAbwBsAGkAZABzACAAdgBvAGkAZABlAGQAIAB0AG8AIABlAGEAYwBoACAAbQBhAG4AdQByAGUAIABtAGEAbgBhAGcAZQBtAGUAbgB0ACAAcwB5AHMAdABlAG0AIAAoAGYAcgBhAGMAdABpAG8AbgApACAAKABNAE0AUwBqAG0AKQBcAG4ALQAtAC0ALQAtAC0ALQAtAC0ALQAtAC0ALQAtAC0ALQAtAC0ALQAtAC0ALQAtAC0ALQAtAC0ALQAtAC0ALQAtAC0ALQAtAC0ALQAtAFwAbgAqAC8AXABuAFwAbgBTAG8AdQByAGMAZQBEAGEAdABhAF8ARABhAGkAcgB5AF8ARgByAGEAYwB0AGkAbwBuAFYAbwBsAGEAdABpAGwAZQBTAG8AbABpAGQAcwBWAG8AaQBkAGUAZABNAE0AUwBfAFQAaQB0AGwAZQBcAG4AIAAgAD0ATABBAE0AQgBEAEEAKABcACIAVABhAGIAbABlACAAQQAuADEALgAzAC4AMQAwADoAIABEAGEAaQByAHkAIABjAGEAdAB0AGwAZQAgAC0AIABGAHIAYQBjAHQAaQBvAG4AIABvAGYAIAB2AG8AbABhAHQAaQBsAGUAIABzAG8AbABpAGQAcwAgAHYAbwBpAGQAZQBkACAAdABvACAAZQBhAGMAaAAgAG0AYQBuAHUAcgBlACAAbQBhAG4AYQBnAGUAbQBlAG4AdAAgAHMAeQBzAHQAZQBtACAAKABmAHIAYQBjAHQAaQBvAG4AKQAgACgATQBNAFMAagBtACkAXAAiACkAOwBcAG4AXABuAFMAbwB1AHIAYwBlAEQAYQB0AGEAXwBEAGEAaQByAHkAXwBGAHIAYQBjAHQAaQBvAG4AVgBvAGwAYQB0AGkAbABlAFMAbwBsAGkAZABzAFYAbwBpAGQAZQBkAE0ATQBTAF8AVgBhAHIAaQBhAGIAbABlAFwAbgAgACAAPQBMAEEATQBCAEQAQQAoAFwAIgBNAE0AUwBqAG0AXAAiACkAOwBcAG4AXABuAFMAbwB1AHIAYwBlAEQAYQB0AGEAXwBEAGEAaQByAHkAXwBGAHIAYQBjAHQAaQBvAG4AVgBvAGwAYQB0AGkAbABlAFMAbwBsAGkAZABzAFYAbwBpAGQAZQBkAE0ATQBTAF8AVQBuAGkAdABcAG4AIAAgAD0ATABBAE0AQgBEAEEAKABcACIAZgByAGEAYwB0AGkAbwBuAFwAIgApADsAXABuAFwAbgBTAG8AdQByAGMAZQBEAGEAdABhAF8ARABhAGkAcgB5AF8ARgByAGEAYwB0AGkAbwBuAFYAbwBsAGEAdABpAGwAZQBTAG8AbABpAGQAcwBWAG8AaQBkAGUAZABNAE0AUwBfAFMAbwB1AHIAYwBlAFwAbgAgACAAPQBMAEEATQBCAEQAQQAoAFwAIgBWAEUARQBSAEcAIAAyADAAMgA2ADoAIABUAGEAYgBsAGUAIABBAC4AMQAuADMALgAxADAAXAAiACkAOwBcAG4AXABuAFMAbwB1AHIAYwBlAEQAYQB0AGEAXwBEAGEAaQByAHkAXwBGAHIAYQBjAHQAaQBvAG4AVgBvAGwAYQB0AGkAbABlAFMAbwBsAGkAZABzAFYAbwBpAGQAZQBkAE0ATQBTAF8AVgBhAHIAaQBhAHQAaQBvAG4AXABuACAAIAA9AEwAQQBNAEIARABBACgAXAAiAFYAQQBSAEkAQQBUAEkATwBOACAATwBGACAAUwBPAFUAUgBDAEUAOgAgAEUAeABjAGwAdQBkAGUAZAAgACcAQQBuAG4AdQBhAGwAIABmAHIAYQBjAHQAaQBvAG4AIABvAGYAIAB0AGkAbQBlACAAcwBwAGUAbgB0ACAAcABlAHIAIABhAHIAZQBhACcAIAByAG8AdwAgAGEAcwAgAHQAaABpAHMAIABpAG4AZgBvAHIAbQBhAHQAaQBvAG4AIABpAHMAIABpAG4AIAB0AGgAZQAgAHQAYQBiAGwAZQAgAHQAaQB0AGwAZQAuAFwAIgApADsAXABuAFwAbgBTAG8AdQByAGMAZQBEAGEAdABhAF8ARABhAGkAcgB5AF8ARgByAGEAYwB0AGkAbwBuAFYAbwBsAGEAdABpAGwAZQBTAG8AbABpAGQAcwBWAG8AaQBkAGUAZABNAE0AUwBfAEQAYQB0AGEAXABuACAAIAA9AEwAQQBNAEIARABBACgAXABuACAAIAAgACAATQBBAEsARQBBAFIAUgBBAFkAKAA1ACwAIAA0ACwAXABuACAAIAAgACAAIAAgAEwAQQBNAEIARABBACgAcgAsAGMALABcAG4AIAAgACAAIAAgACAAIAAgAEkATgBEAEUAWAAoAHsAXABuACAAIAAgACAAIAAgACAAIAAgACAAXAAiAEEAcgBlAGEAXAAiACwAIABcACIAUABhAHMAdAB1AHIAZQBcACIALAAgAFwAIgBNAGkAbABrAGkAbgBnACAAUwBoAGUAZABcACIALAAgAFwAIgBGAGUAZQBkAHAAYQBkAFwAIgA7AFwAbgAgACAAIAAgACAAIAAgACAAIAAgAFwAIgBTAHkAcwB0AGUAbQAgADEAOgAgAEcAcgBhAHoAZQBkACAATwBuAGwAeQBcACIALAAgADAALgA4ADkALAAgADAALgAxADEALAAgADAAOwBcAG4AIAAgACAAIAAgACAAIAAgACAAIABcACIAUwB5AHMAdABlAG0AIAAyADoAIABPAG4AIABmAGUAZQBkAHAAYQBkACAAZgBvAHIAIAA8ADEAMAAgAGgAcgAvAGQAYQB5ACAAZgBvAHIAIAA8ADMAIABtAG8AbgB0AGgAcwAvAHkAZQBhAHIAXAAiACwAIAAwAC4ANwA5ACwAIAAwAC4AMQAxACwAIAAwAC4AMQAwADsAXABuACAAIAAgACAAIAAgACAAIAAgACAAXAAiAFMAeQBzAHQAZQBtACAAMwA6ACAAUABhAHMAdAB1AHIAZQAtAGcAcgBhAHoAZQBkACAAMwAtADkAIABtAG8AbgB0AGgAcwAvAHkAZQBhAHIAXAAiACwAIAAwAC4ANQAzADQALAAgADAALgAxADEALAAgADAALgAzADUANgA7AFwAbgAgACAAIAAgACAAIAAgACAAIAAgAFwAIgBTAHkAcwB0AGUAbQAgADQAOgAgAFoAZQByAG8AIABnAHIAYQB6AGkAbgBnAFwAIgAsACAAMAAsACAAMAAuADEAMQAsACAAMAAuADgAOQBcAG4AIAAgACAAIAAgACAAIAAgAH0ALAAgAHIALAAgAGMAKQBcAG4AIAAgACAAIAAgACAAKQBcAG4AIAAgACAAIAApAFwAbgAgACAAKQA7AFwAbgBcAG4ALwAqACAAXABuAC0ALQAtAC0ALQAtAC0ALQAtAC0ALQAtAC0ALQAtAC0ALQAtAC0ALQAtAC0ALQAtAC0ALQAtAC0ALQAtAC0ALQAtAC0ALQAtAC0ALQBcAG4AUwBvAHUAcgBjAGUARABhAHQAYQBfAEQAYQBpAHIAeQBfAEUARgBOAGkAdAByAG8AdQBzAE8AeABpAGQAZQBQAGUAcgBNAE0AUwBcAG4AVABhAGIAbABlACAAQQAuADEALgAzAC4AMQAxADoAIABEAGEAaQByAHkAIABjAGEAdAB0AGwAZQAgAC0AIABFAEYAIABmAG8AcgAgAG4AaQB0AHIAbwB1AHMAIABvAHgAaQBkAGUAIABwAGUAcgAgAE0ATQBTACAAKABrAGcAIABOADIATwAtAE4ALwBrAGcAIABOACkAIAAoAEUARgBtACkAXABuAC0ALQAtAC0ALQAtAC0ALQAtAC0ALQAtAC0ALQAtAC0ALQAtAC0ALQAtAC0ALQAtAC0ALQAtAC0ALQAtAC0ALQAtAC0ALQAtAC0ALQBcAG4AKgAvAFwAbgBcAG4AUwBvAHUAcgBjAGUARABhAHQAYQBfAEQAYQBpAHIAeQBfAEUARgBOAGkAdAByAG8AdQBzAE8AeABpAGQAZQBQAGUAcgBNAE0AUwBfAFQAaQB0AGwAZQBcAG4AIAAgAD0ATABBAE0AQgBEAEEAKABcACIAVABhAGIAbABlACAAQQAuADEALgAzAC4AMQAxADoAIABEAGEAaQByAHkAIABjAGEAdAB0AGwAZQAgAC0AIABFAEYAIABmAG8AcgAgAG4AaQB0AHIAbwB1AHMAIABvAHgAaQBkAGUAIABwAGUAcgAgAE0ATQBTACAAKABrAGcAIABOADIATwAtAE4ALwBrAGcAIABOACkAIAAoAEUARgBtACkAXAAiACkAOwBcAG4AXABuAFMAbwB1AHIAYwBlAEQAYQB0AGEAXwBEAGEAaQByAHkAXwBFAEYATgBpAHQAcgBvAHUAcwBPAHgAaQBkAGUAUABlAHIATQBNAFMAXwBWAGEAcgBpAGEAYgBsAGUAXABuACAAIAA9AEwAQQBNAEIARABBACgAXAAiAEUARgBtAFwAIgApADsAXABuAFwAbgBTAG8AdQByAGMAZQBEAGEAdABhAF8ARABhAGkAcgB5AF8ARQBGAE4AaQB0AHIAbwB1AHMATwB4AGkAZABlAFAAZQByAE0ATQBTAF8AVQBuAGkAdABcAG4AIAAgAD0ATABBAE0AQgBEAEEAKABcACIAawBnACAATgAyAE8ALQBOAC8AawBnACAATgBcACIAKQA7AFwAbgBcAG4AUwBvAHUAcgBjAGUARABhAHQAYQBfAEQAYQBpAHIAeQBfAEUARgBOAGkAdAByAG8AdQBzAE8AeABpAGQAZQBQAGUAcgBNAE0AUwBfAFMAbwB1AHIAYwBlAFwAbgAgACAAPQBMAEEATQBCAEQAQQAoAFwAIgBWAEUARQBSAEcAIAAyADAAMgA2ADoAIABUAGEAYgBsAGUAIABBAC4AMQAuADMALgAxADEAXAAiACkAOwBcAG4AXABuAFMAbwB1AHIAYwBlAEQAYQB0AGEAXwBEAGEAaQByAHkAXwBFAEYATgBpAHQAcgBvAHUAcwBPAHgAaQBkAGUAUABlAHIATQBNAFMAXwBWAGEAcgBpAGEAdABpAG8AbgBcAG4AIAAgAD0ATABBAE0AQgBEAEEAKABcACIAVgBBAFIASQBBAFQASQBPAE4AIABPAEYAIABTAE8AVQBSAEMARQA6ACAAQQBkAGQAZQBkACAAJwBOAEkAUgAgAHIAZQBmAGUAcgBlAG4AYwBlACcAIABjAG8AbAB1AG0AbgAgAHQAbwAgAGEAaQBkACAAbABvAG8AawB1AHAAXAAiACkAOwBcAG4AXABuAFMAbwB1AHIAYwBlAEQAYQB0AGEAXwBEAGEAaQByAHkAXwBFAEYATgBpAHQAcgBvAHUAcwBPAHgAaQBkAGUAUABlAHIATQBNAFMAXwBEAGEAdABhAFwAbgAgACAAPQBMAEEATQBCAEQAQQAoAFwAbgAgACAAIAAgAE0AQQBLAEUAQQBSAFIAQQBZACgANgAsACAAMwAsAFwAbgAgACAAIAAgACAAIABMAEEATQBCAEQAQQAoAHIALABjACwAXABuACAAIAAgACAAIAAgACAAIABJAE4ARABFAFgAKAB7AFwAbgAgACAAIAAgACAAIAAgACAAIAAgAFwAIgBNAE0AUwAgAG0AXAAiACwAIABcACIARQBGAG0AXAAiACwAIABcACIATgBJAFIAIAByAGUAZgBlAHIAZQBuAGMAZQBcACIAOwBcAG4AIAAgACAAIAAgACAAIAAgACAAIABcACIAbQA9ADEANAAgAFAAYQBzAHQAdQByAGUAXAAiACwAIAAwACwAIABcACIAUABhAHMAdAB1AHIAZQAgAHIAYQBuAGcAZQAgAGEAbgBkACAAcABhAGQAZABvAGMAawBcACIAOwBcAG4AIAAgACAAIAAgACAAIAAgACAAIABcACIAbQA9ADEAIABBAG4AZQByAG8AYgBpAGMAIABMAGEAZwBvAG8AbgBcACIALAAgADAALAAgAFwAIgBBAG4AYQBlAHIAbwBiAGkAYwAgAGwAYQBnAG8AbwBuAFwAIgA7AFwAbgAgACAAIAAgACAAIAAgACAAIAAgAFwAIgBtAD0AMgAgAEQAYQBpAGwAeQAgAFMAcAByAGUAYQBkADoAIABTAHUAbQBwACAAYQBuAGQAIABkAGkAcwBwAGUAcgBzAGEAbABcACIALAAgADAALAAgAFwAIgBTAHUAbQBwACAAYQBuAGQAIABkAGkAcwBwAGUAcgBzAGEAbAAgAHMAeQBzAHQAZQBtAFwAIgA7AFwAbgAgACAAIAAgACAAIAAgACAAIAAgAFwAIgBtAD0AMwAgAEQAYQBpAGwAeQAgAFMAcAByAGUAYQBkADoAIABEAHIAYQBpAG4AcwAgAHQAbwAgAHAAYQBkAGQAbwBjAGsAcwBcACIALAAgADAALAAgAFwAIgBEAHIAYQBpAG4AcwAgAHQAbwAgAHAAYQBkAGQAbwBjAGsAXAAiADsAXABuACAAIAAgACAAIAAgACAAIAAgACAAXAAiAG0APQA0ACAAUwBvAGwAaQBkACAAUwB0AG8AcgBhAGcAZQBcACIALAAgADAALgAwADAANQAsACAAXAAiAFMAbwBsAGkAZAAgAHMAdABvAHIAYQBnAGUAXAAiAFwAbgAgACAAIAAgACAAIAAgACAAfQAsACAAcgAsACAAYwApAFwAbgAgACAAIAAgACAAIAApAFwAbgAgACAAIAAgACkAXABuACAAIAApADsAXABuAFwAbgBcAG4AXABuAC8AKgAgAFwAbgAtAC0ALQAtAC0ALQAtAC0ALQAtAC0ALQAtAC0ALQAtAC0ALQAtAC0ALQAtAC0ALQAtAC0ALQAtAC0ALQAtAC0ALQAtAC0ALQAtAC0AXABuAFMAbwB1AHIAYwBlAEQAYQB0AGEAXwBEAGEAaQByAHkAXwBEAHUAcgBhAHQAaQBvAG4ATwBmAFMAdABhAHkAXABuAEQAdQByAGEAdABpAG8AbgAgAG8AZgAgAHMAdABhAHkAIABmAG8AcgAgAGUAYQBjAGgAIABkAGEAaQByAHkAIABjAGEAdAB0AGwAZQAgAGkAbgBwAHUAdAAgAGMAbABhAHMAcwBcAG4ALQAtAC0ALQAtAC0ALQAtAC0ALQAtAC0ALQAtAC0ALQAtAC0ALQAtAC0ALQAtAC0ALQAtAC0ALQAtAC0ALQAtAC0ALQAtAC0ALQAtAFwAbgAqAC8AXABuAFwAbgBTAG8AdQByAGMAZQBEAGEAdABhAF8ARABhAGkAcgB5AF8ARAB1AHIAYQB0AGkAbwBuAE8AZgBTAHQAYQB5AF8AVABpAHQAbABlAFwAbgAgACAAPQBMAEEATQBCAEQAQQAoAFwAIgBEAHUAcgBhAHQAaQBvAG4AIABvAGYAIABzAHQAYQB5ACAAZgBvAHIAIABlAGEAYwBoACAAZABhAGkAcgB5ACAAYwBhAHQAdABsAGUAIABpAG4AcAB1AHQAIABjAGwAYQBzAHMAXAAiACkAOwBcAG4AXABuAFMAbwB1AHIAYwBlAEQAYQB0AGEAXwBEAGEAaQByAHkAXwBEAHUAcgBhAHQAaQBvAG4ATwBmAFMAdABhAHkAXwBWAGEAcgBpAGEAYgBsAGUAXABuACAAIAA9AEwAQQBNAEIARABBACgAXAAiAEQAXAAiACkAOwBcAG4AXABuAFMAbwB1AHIAYwBlAEQAYQB0AGEAXwBEAGEAaQByAHkAXwBEAHUAcgBhAHQAaQBvAG4ATwBmAFMAdABhAHkAXwBVAG4AaQB0AFwAbgAgACAAPQBMAEEATQBCAEQAQQAoAFwAIgBkAGEAeQBzAFwAIgApADsAXABuAFwAbgBTAG8AdQByAGMAZQBEAGEAdABhAF8ARABhAGkAcgB5AF8ARAB1AHIAYQB0AGkAbwBuAE8AZgBTAHQAYQB5AF8AUwBvAHUAcgBjAGUAXABuACAAIAA9AEwAQQBNAEIARABBACgAXAAiAFYARQBFAFIARwAgADIAMAAyADYAOgAgADQALgAzAC4AMgAuADIAXAB0AEQAQQBUAEEAIAAoAE0ARQBUAEgATwBEACAAMQAgAEEATgBEACAAMgAgAE8AUABUAEkATwBOAFMAKQBcACIAKQA7AFwAbgBcAG4AUwBvAHUAcgBjAGUARABhAHQAYQBfAEQAYQBpAHIAeQBfAEQAdQByAGEAdABpAG8AbgBPAGYAUwB0AGEAeQBfAFYAYQByAGkAYQB0AGkAbwBuAFwAbgAgACAAPQBMAEEATQBCAEQAQQAoAFwAIgBWAEEAUgBJAEEAVABJAE8ATgAgAE8ARgAgAFMATwBVAFIAQwBFADoAIABDAG8AbgB2AGUAcgB0AGUAZAAgAGYAcgBlAGUAIAB0AGUAeAB0ACAAaQBuACAAZABvAGMAdQBtAGUAbgB0ACAAdABvACAAdABhAGIAbABlACwAIABtAGEAdABjAGgAaQBuAGcAIABsAGkAdgBlAHMAdABvAGMAawAgAGMAbABhAHMAcwAgAG4AYQBtAGUAcwAuAFwAIgApADsAXABuAFwAbgBTAG8AdQByAGMAZQBEAGEAdABhAF8ARABhAGkAcgB5AF8ARAB1AHIAYQB0AGkAbwBuAE8AZgBTAHQAYQB5AF8ARABhAHQAYQBcAG4AIAAgAD0ATABBAE0AQgBEAEEAKABcAG4AIAAgACAAIABNAEEASwBFAEEAUgBSAEEAWQAoADYALAAgADMALABcAG4AIAAgACAAIAAgACAATABBAE0AQgBEAEEAKAByACwAYwAsAFwAbgAgACAAIAAgACAAIAAgACAASQBOAEQARQBYACgAewBcAG4AIAAgACAAIAAgACAAIAAgACAAIABcACIAQQBuAGkAbQBhAGwAIABjAGwAYQBzAHMAIABqAFwAIgAsACAAXAAiAEQAdQByAGEAdABpAG8AbgAgACgAdwBlAGEAbgBlAGQAKQBcACIALAAgAFwAIgBEAHUAcgBhAHQAaQBvAG4AIAAoAHAAcgBlAC0AdwBlAGEAbgBlAGQAKQBcACIAOwBcAG4AIAAgACAAIAAgACAAIAAgACAAIABcACIATQBpAGwAawBpAG4AZwAgAGMAbwB3AHMAXAAiACwAIAAzADYANQAsACAAMAA7AFwAbgAgACAAIAAgACAAIAAgACAAIAAgAFwAIgBIAGUAaQBmAGUAcgBzACAAPgAgADEAIAB5AGUAYQByAFwAIgAsACAAMwA2ADUALAAgADAAOwBcAG4AIAAgACAAIAAgACAAIAAgACAAIABcACIASABlAGkAZgBlAHIAcwAgADwAIAAxACAAeQBlAGEAcgBcACIALAAgADIAOAAxACwAIAA4ADQAOwBcAG4AIAAgACAAIAAgACAAIAAgACAAIABcACIAQgB1AGwAbABzACAAPgAgADEAIAB5AGUAYQByAFwAIgAsACAAMwA2ADUALAAgADAAOwBcAG4AIAAgACAAIAAgACAAIAAgACAAIABcACIAQgB1AGwAbABzACAAPAAgADEAIAB5AGUAYQByAFwAIgAsACAAMgA4ADEALAAgADgANABcAG4AIAAgACAAIAAgACAAIAAgAH0ALAAgAHIALAAgAGMAKQBcAG4AIAAgACAAIAAgACAAKQBcAG4AIAAgACAAIAApAFwAbgAgACAAKQA7AFwAbgBcAG4AXABuAC8AKgAgAFwAbgAtAC0ALQAtAC0ALQAtAC0ALQAtAC0ALQAtAC0ALQAtAC0ALQAtAC0ALQAtAC0ALQAtAC0ALQAtAC0ALQAtAC0ALQAtAC0ALQAtAC0AXABuAFMAbwB1AHIAYwBlAEQAYQB0AGEAXwBEAGEAaQByAHkAXwBDAHIAdQBkAGUAUAByAG8AdABlAGkAbgBcAG4AQwByAHUAZABlACAAcAByAG8AdABlAGkAbgAgAGMAbwBuAHQAZQBuAHQAIABvAGYAIABmAGUAZQBkACAAaQBuAHQAYQBrAGUAXABuAC0ALQAtAC0ALQAtAC0ALQAtAC0ALQAtAC0ALQAtAC0ALQAtAC0ALQAtAC0ALQAtAC0ALQAtAC0ALQAtAC0ALQAtAC0ALQAtAC0ALQBcAG4AKgAvAFwAbgBcAG4AUwBvAHUAcgBjAGUARABhAHQAYQBfAEQAYQBpAHIAeQBfAEMAcgB1AGQAZQBQAHIAbwB0AGUAaQBuAF8AVABpAHQAbABlAFwAbgAgACAAPQBMAEEATQBCAEQAQQAoAFwAIgBDAHIAdQBkAGUAIABwAHIAbwB0AGUAaQBuACAAYwBvAG4AdABlAG4AdAAgAG8AZgAgAGYAZQBlAGQAIABpAG4AdABhAGsAZQBcACIAKQA7AFwAbgBcAG4AUwBvAHUAcgBjAGUARABhAHQAYQBfAEQAYQBpAHIAeQBfAEMAcgB1AGQAZQBQAHIAbwB0AGUAaQBuAF8AVgBhAHIAaQBhAGIAbABlAFwAbgAgACAAPQBMAEEATQBCAEQAQQAoAFwAIgBDAFAAXAAiACkAOwBcAG4AXABuAFMAbwB1AHIAYwBlAEQAYQB0AGEAXwBEAGEAaQByAHkAXwBDAHIAdQBkAGUAUAByAG8AdABlAGkAbgBfAFUAbgBpAHQAXABuACAAIAA9AEwAQQBNAEIARABBACgAXAAiAGYAcgBhAGMAdABpAG8AbgBcACIAKQA7AFwAbgBcAG4AUwBvAHUAcgBjAGUARABhAHQAYQBfAEQAYQBpAHIAeQBfAEMAcgB1AGQAZQBQAHIAbwB0AGUAaQBuAF8AUwBvAHUAcgBjAGUAXABuACAAIAA9AEwAQQBNAEIARABBACgAXAAiAFYARQBFAFIARwAgADIAMAAyADYAOgAgADQALgAzAC4AMgAuADIAXAB0AEQAQQBUAEEAIAAoAE0ARQBUAEgATwBEACAAMQAgAEEATgBEACAAMgAgAE8AUABUAEkATwBOAFMAKQBcACIAKQA7AFwAbgBcAG4AUwBvAHUAcgBjAGUARABhAHQAYQBfAEQAYQBpAHIAeQBfAEMAcgB1AGQAZQBQAHIAbwB0AGUAaQBuAF8AVgBhAHIAaQBhAHQAaQBvAG4AXABuACAAIAA9AEwAQQBNAEIARABBACgAXAAiAFwAIgApADsAXABuAFwAbgBTAG8AdQByAGMAZQBEAGEAdABhAF8ARABhAGkAcgB5AF8AQwByAHUAZABlAFAAcgBvAHQAZQBpAG4AXwBEAGEAdABhAFwAbgAgACAAPQBMAEEATQBCAEQAQQAoADAALgAyADAAKQA7AFwAbgBcAG4AXABuAC8AKgAgAFwAbgAtAC0ALQAtAC0ALQAtAC0ALQAtAC0ALQAtAC0ALQAtAC0ALQAtAC0ALQAtAC0ALQAtAC0ALQAtAC0ALQAtAC0ALQAtAC0ALQAtAC0AXABuAFMAbwB1AHIAYwBlAEQAYQB0AGEAXwBEAGEAaQByAHkAXwBEAHIAeQBNAGEAdAB0AGUAcgBEAGkAZwBlAHMAdABpAGIAaQBsAGkAdAB5AFwAbgBEAHIAeQAgAG0AYQB0AHQAZQByACAAZABpAGcAZQBzAHQAaQBiAGkAbABpAHQAeQBcAG4ALQAtAC0ALQAtAC0ALQAtAC0ALQAtAC0ALQAtAC0ALQAtAC0ALQAtAC0ALQAtAC0ALQAtAC0ALQAtAC0ALQAtAC0ALQAtAC0ALQAtAFwAbgAqAC8AXABuAFwAbgBTAG8AdQByAGMAZQBEAGEAdABhAF8ARABhAGkAcgB5AF8ARAByAHkATQBhAHQAdABlAHIARABpAGcAZQBzAHQAaQBiAGkAbABpAHQAeQBfAFQAaQB0AGwAZQBcAG4AIAAgAD0ATABBAE0AQgBEAEEAKABcACIARAByAHkAIABtAGEAdAB0AGUAcgAgAGQAaQBnAGUAcwB0AGkAYgBpAGwAaQB0AHkAXAAiACkAOwBcAG4AXABuAFMAbwB1AHIAYwBlAEQAYQB0AGEAXwBEAGEAaQByAHkAXwBEAHIAeQBNAGEAdAB0AGUAcgBEAGkAZwBlAHMAdABpAGIAaQBsAGkAdAB5AF8AVgBhAHIAaQBhAGIAbABlAFwAbgAgACAAPQBMAEEATQBCAEQAQQAoAFwAIgBEAE0ARABcACIAKQA7AFwAbgBcAG4AUwBvAHUAcgBjAGUARABhAHQAYQBfAEQAYQBpAHIAeQBfAEQAcgB5AE0AYQB0AHQAZQByAEQAaQBnAGUAcwB0AGkAYgBpAGwAaQB0AHkAXwBVAG4AaQB0AFwAbgAgACAAPQBMAEEATQBCAEQAQQAoAFwAIgBmAHIAYQBjAHQAaQBvAG4AXAAiACkAOwBcAG4AXABuAFMAbwB1AHIAYwBlAEQAYQB0AGEAXwBEAGEAaQByAHkAXwBEAHIAeQBNAGEAdAB0AGUAcgBEAGkAZwBlAHMAdABpAGIAaQBsAGkAdAB5AF8AUwBvAHUAcgBjAGUAXABuACAAIAA9AEwAQQBNAEIARABBACgAXAAiAFYARQBFAFIARwAgADIAMAAyADYAOgAgADMALgAzAC4AMgAuADIAXAB0AEQAQQBUAEEAIAAoAE0ARQBUAEgATwBEACAAMQAgAEEATgBEACAAMgAgAE8AUABUAEkATwBOAFMAKQBcACIAKQA7AFwAbgBcAG4AUwBvAHUAcgBjAGUARABhAHQAYQBfAEQAYQBpAHIAeQBfAEQAcgB5AE0AYQB0AHQAZQByAEQAaQBnAGUAcwB0AGkAYgBpAGwAaQB0AHkAXwBWAGEAcgBpAGEAdABpAG8AbgBcAG4AIAAgAD0ATABBAE0AQgBEAEEAKABcACIAXAAiACkAOwBcAG4AXABuAFMAbwB1AHIAYwBlAEQAYQB0AGEAXwBEAGEAaQByAHkAXwBEAHIAeQBNAGEAdAB0AGUAcgBEAGkAZwBlAHMAdABpAGIAaQBsAGkAdAB5AF8ARABhAHQAYQBcAG4AIAAgAD0ATABBAE0AQgBEAEEAKAAwAC4ANwA1ACkAOwBcAG4AXABuAFwAbgAvACoAIABcAG4ALQAtAC0ALQAtAC0ALQAtAC0ALQAtAC0ALQAtAC0ALQAtAC0ALQAtAC0ALQAtAC0ALQAtAC0ALQAtAC0ALQAtAC0ALQAtAC0ALQAtAFwAbgBTAG8AdQByAGMAZQBEAGEAdABhAF8ARABhAGkAcgB5AF8ATgBlAHQARQBuAGUAcgBnAHkAXABuAE4AZQB0ACAAZQBuAGUAcgBnAHkAIAByAGUAcQB1AGkAcgBlAGQAIABmAG8AcgAgAG0AaQBsAGsAIABwAHIAbwBkAHUAYwB0AGkAbwBuAFwAbgAtAC0ALQAtAC0ALQAtAC0ALQAtAC0ALQAtAC0ALQAtAC0ALQAtAC0ALQAtAC0ALQAtAC0ALQAtAC0ALQAtAC0ALQAtAC0ALQAtAC0AXABuACoALwBcAG4AXABuAFMAbwB1AHIAYwBlAEQAYQB0AGEAXwBEAGEAaQByAHkAXwBOAGUAdABFAG4AZQByAGcAeQBfAFQAaQB0AGwAZQBcAG4AIAAgAD0ATABBAE0AQgBEAEEAKABcACIATgBlAHQAIABlAG4AZQByAGcAeQAgAHIAZQBxAHUAaQByAGUAZAAgAGYAbwByACAAbQBpAGwAawAgAHAAcgBvAGQAdQBjAHQAaQBvAG4AXAAiACkAOwBcAG4AXABuAFMAbwB1AHIAYwBlAEQAYQB0AGEAXwBEAGEAaQByAHkAXwBOAGUAdABFAG4AZQByAGcAeQBfAFYAYQByAGkAYQBiAGwAZQBcAG4AIAAgAD0ATABBAE0AQgBEAEEAKABcACIATgBFAFwAIgApADsAXABuAFwAbgBTAG8AdQByAGMAZQBEAGEAdABhAF8ARABhAGkAcgB5AF8ATgBlAHQARQBuAGUAcgBnAHkAXwBVAG4AaQB0AFwAbgAgACAAPQBMAEEATQBCAEQAQQAoAFwAIgBNAEoAIABuAGUAdAAgAGUAbgBlAHIAZwB5ACAALwAgAGsAZwAgAG0AaQBsAGsAXAAiACkAOwBcAG4AXABuAFMAbwB1AHIAYwBlAEQAYQB0AGEAXwBEAGEAaQByAHkAXwBOAGUAdABFAG4AZQByAGcAeQBfAFMAbwB1AHIAYwBlAFwAbgAgACAAPQBMAEEATQBCAEQAQQAoAFwAIgBWAEUARQBSAEcAIAAyADAAMgA2ADoAIAAzAC4AMwAuADIALgAzACAAQwBPAE4AUwBUAEEATgBUAFMAXAAiACkAOwBcAG4AXABuAFMAbwB1AHIAYwBlAEQAYQB0AGEAXwBEAGEAaQByAHkAXwBOAGUAdABFAG4AZQByAGcAeQBfAFYAYQByAGkAYQB0AGkAbwBuAFwAbgAgACAAPQBMAEEATQBCAEQAQQAoAFwAIgBcACIAKQA7AFwAbgBcAG4AUwBvAHUAcgBjAGUARABhAHQAYQBfAEQAYQBpAHIAeQBfAE4AZQB0AEUAbgBlAHIAZwB5AF8ARABhAHQAYQBcAG4AIAAgAD0ATABBAE0AQgBEAEEAKAAzAC4AMAA1ADQAKQA7AFwAbgBcAG4AXABuAC8AKgAgAFwAbgAtAC0ALQAtAC0ALQAtAC0ALQAtAC0ALQAtAC0ALQAtAC0ALQAtAC0ALQAtAC0ALQAtAC0ALQAtAC0ALQAtAC0ALQAtAC0ALQAtAC0AXABuAFMAbwB1AHIAYwBlAEQAYQB0AGEAXwBEAGEAaQByAHkAXwBHAHIAbwBzAHMARQBuAGUAcgBnAHkAQwBvAG4AdABlAG4AdABcAG4ARwByAG8AcwBzACAAZQBuAGUAcgBnAHkAIABjAG8AbgB0AGUAbgB0ACAAbwBmACAAZgBlAGUAZAAgAGQAcgB5ACAAbQBhAHQAdABlAHIAXABuAC0ALQAtAC0ALQAtAC0ALQAtAC0ALQAtAC0ALQAtAC0ALQAtAC0ALQAtAC0ALQAtAC0ALQAtAC0ALQAtAC0ALQAtAC0ALQAtAC0ALQBcAG4AKgAvAFwAbgBcAG4AUwBvAHUAcgBjAGUARABhAHQAYQBfAEQAYQBpAHIAeQBfAEcAcgBvAHMAcwBFAG4AZQByAGcAeQBDAG8AbgB0AGUAbgB0AF8AVABpAHQAbABlAFwAbgAgACAAPQBMAEEATQBCAEQAQQAoAFwAIgBHAHIAbwBzAHMAIABlAG4AZQByAGcAeQAgAGMAbwBuAHQAZQBuAHQAIABvAGYAIABmAGUAZQBkACAAZAByAHkAIABtAGEAdAB0AGUAcgBcACIAKQA7AFwAbgBcAG4AUwBvAHUAcgBjAGUARABhAHQAYQBfAEQAYQBpAHIAeQBfAEcAcgBvAHMAcwBFAG4AZQByAGcAeQBDAG8AbgB0AGUAbgB0AF8AVgBhAHIAaQBhAGIAbABlAFwAbgAgACAAPQBMAEEATQBCAEQAQQAoAFwAIgBHAEUAQwBcACIAKQA7AFwAbgBcAG4AUwBvAHUAcgBjAGUARABhAHQAYQBfAEQAYQBpAHIAeQBfAEcAcgBvAHMAcwBFAG4AZQByAGcAeQBDAG8AbgB0AGUAbgB0AF8AVQBuAGkAdABcAG4AIAAgAD0ATABBAE0AQgBEAEEAKABcACIATQBKACAALwAgAGsAZwBEAE0AXAAiACkAOwBcAG4AXABuAFMAbwB1AHIAYwBlAEQAYQB0AGEAXwBEAGEAaQByAHkAXwBHAHIAbwBzAHMARQBuAGUAcgBnAHkAQwBvAG4AdABlAG4AdABfAFMAbwB1AHIAYwBlAFwAbgAgACAAPQBMAEEATQBCAEQAQQAoAFwAIgBWAEUARQBSAEcAIAAyADAAMgA2ADoAIAAzAC4AMwAuADIALgAzACAAQwBPAE4AUwBUAEEATgBUAFMAXAAiACkAOwBcAG4AXABuAFMAbwB1AHIAYwBlAEQAYQB0AGEAXwBEAGEAaQByAHkAXwBHAHIAbwBzAHMARQBuAGUAcgBnAHkAQwBvAG4AdABlAG4AdABfAFYAYQByAGkAYQB0AGkAbwBuAFwAbgAgACAAPQBMAEEATQBCAEQAQQAoAFwAIgBcACIAKQA7AFwAbgBcAG4AUwBvAHUAcgBjAGUARABhAHQAYQBfAEQAYQBpAHIAeQBfAEcAcgBvAHMAcwBFAG4AZQByAGcAeQBDAG8AbgB0AGUAbgB0AF8ARABhAHQAYQBcAG4AIAAgAD0ATABBAE0AQgBEAEEAKAAxADgALgA0ACkAOwBcAG4AXABuAFwAbgAvACoAIABcAG4ALQAtAC0ALQAtAC0ALQAtAC0ALQAtAC0ALQAtAC0ALQAtAC0ALQAtAC0ALQAtAC0ALQAtAC0ALQAtAC0ALQAtAC0ALQAtAC0ALQAtAFwAbgBTAG8AdQByAGMAZQBEAGEAdABhAF8ARABhAGkAcgB5AF8ARQBmAGYAaQBjAGkAZQBuAGMAeQBPAGYAVQBzAGUATwBmAE0AZQB0AGEAYgBvAGwAaQB6AGEAYgBsAGUARQBuAGUAcgBnAHkAXABuAEUAZgBmAGkAYwBpAGUAbgBjAHkAIABvAGYAIAB1AHMAZQAgAG8AZgAgAG0AZQB0AGEAYgBvAGwAaQB6AGEAYgBsAGUAIABlAG4AZQByAGcAeQAgAGYAbwByACAAbQBpAGwAawAgAHAAcgBvAGQAdQBjAHQAaQBvAG4AXABuAC0ALQAtAC0ALQAtAC0ALQAtAC0ALQAtAC0ALQAtAC0ALQAtAC0ALQAtAC0ALQAtAC0ALQAtAC0ALQAtAC0ALQAtAC0ALQAtAC0ALQBcAG4AKgAvAFwAbgBcAG4AUwBvAHUAcgBjAGUARABhAHQAYQBfAEQAYQBpAHIAeQBfAEUAZgBmAGkAYwBpAGUAbgBjAHkATwBmAFUAcwBlAE8AZgBNAGUAdABhAGIAbwBsAGkAegBhAGIAbABlAEUAbgBlAHIAZwB5AF8AVABpAHQAbABlAFwAbgAgACAAPQBMAEEATQBCAEQAQQAoAFwAIgBFAGYAZgBpAGMAaQBlAG4AYwB5ACAAbwBmACAAdQBzAGUAIABvAGYAIABtAGUAdABhAGIAbwBsAGkAegBhAGIAbABlACAAZQBuAGUAcgBnAHkAIABmAG8AcgAgAG0AaQBsAGsAIABwAHIAbwBkAHUAYwB0AGkAbwBuAFwAIgApADsAXABuAFwAbgBTAG8AdQByAGMAZQBEAGEAdABhAF8ARABhAGkAcgB5AF8ARQBmAGYAaQBjAGkAZQBuAGMAeQBPAGYAVQBzAGUATwBmAE0AZQB0AGEAYgBvAGwAaQB6AGEAYgBsAGUARQBuAGUAcgBnAHkAXwBWAGEAcgBpAGEAYgBsAGUAXABuACAAIAA9AEwAQQBNAEIARABBACgAXAAiAGsAXAAiACkAOwBcAG4AXABuAFMAbwB1AHIAYwBlAEQAYQB0AGEAXwBEAGEAaQByAHkAXwBFAGYAZgBpAGMAaQBlAG4AYwB5AE8AZgBVAHMAZQBPAGYATQBlAHQAYQBiAG8AbABpAHoAYQBiAGwAZQBFAG4AZQByAGcAeQBfAFUAbgBpAHQAXABuACAAIAA9AEwAQQBNAEIARABBACgAXAAiAGYAcgBhAGMAdABpAG8AbgBcACIAKQA7AFwAbgBcAG4AUwBvAHUAcgBjAGUARABhAHQAYQBfAEQAYQBpAHIAeQBfAEUAZgBmAGkAYwBpAGUAbgBjAHkATwBmAFUAcwBlAE8AZgBNAGUAdABhAGIAbwBsAGkAegBhAGIAbABlAEUAbgBlAHIAZwB5AF8AUwBvAHUAcgBjAGUAXABuACAAIAA9AEwAQQBNAEIARABBACgAXAAiAFYARQBFAFIARwAgADIAMAAyADYAOgAgADMALgAzAC4AMgAuADMAIABDAE8ATgBTAFQAQQBOAFQAUwBcACIAKQA7AFwAbgBcAG4AUwBvAHUAcgBjAGUARABhAHQAYQBfAEQAYQBpAHIAeQBfAEUAZgBmAGkAYwBpAGUAbgBjAHkATwBmAFUAcwBlAE8AZgBNAGUAdABhAGIAbwBsAGkAegBhAGIAbABlAEUAbgBlAHIAZwB5AF8AVgBhAHIAaQBhAHQAaQBvAG4AXABuACAAIAA9AEwAQQBNAEIARABBACgAXAAiAFwAIgApADsAXABuAFwAbgBTAG8AdQByAGMAZQBEAGEAdABhAF8ARABhAGkAcgB5AF8ARQBmAGYAaQBjAGkAZQBuAGMAeQBPAGYAVQBzAGUATwBmAE0AZQB0AGEAYgBvAGwAaQB6AGEAYgBsAGUARQBuAGUAcgBnAHkAXwBEAGEAdABhAFwAbgAgACAAPQBMAEEATQBCAEQAQQAoADAALgA2ADAAKQA7AFwAbgBcAG4AXABuAC8AKgAgAFwAbgAtAC0ALQAtAC0ALQAtAC0ALQAtAC0ALQAtAC0ALQAtAC0ALQAtAC0ALQAtAC0ALQAtAC0ALQAtAC0ALQAtAC0ALQAtAC0ALQAtAC0AXABuAFMAbwB1AHIAYwBlAEQAYQB0AGEAXwBEAGEAaQByAHkAXwBBAHMAaABDAG8AbgB0AGUAbgB0AFwAbgBBAHMAaAAgAGMAbwBuAHQAZQBuAHQAIABvAGYAIABtAGEAbgB1AHIAZQBcAG4ALQAtAC0ALQAtAC0ALQAtAC0ALQAtAC0ALQAtAC0ALQAtAC0ALQAtAC0ALQAtAC0ALQAtAC0ALQAtAC0ALQAtAC0ALQAtAC0ALQAtAFwAbgAqAC8AXABuAFwAbgBTAG8AdQByAGMAZQBEAGEAdABhAF8ARABhAGkAcgB5AF8AQQBzAGgAQwBvAG4AdABlAG4AdABfAFQAaQB0AGwAZQBcAG4AIAAgAD0ATABBAE0AQgBEAEEAKABcACIAQQBzAGgAIABjAG8AbgB0AGUAbgB0ACAAbwBmACAAbQBhAG4AdQByAGUAXAAiACkAOwBcAG4AXABuAFMAbwB1AHIAYwBlAEQAYQB0AGEAXwBEAGEAaQByAHkAXwBBAHMAaABDAG8AbgB0AGUAbgB0AF8AVgBhAHIAaQBhAGIAbABlAFwAbgAgACAAPQBMAEEATQBCAEQAQQAoAFwAIgBBAFwAIgApADsAXABuAFwAbgBTAG8AdQByAGMAZQBEAGEAdABhAF8ARABhAGkAcgB5AF8AQQBzAGgAQwBvAG4AdABlAG4AdABfAFUAbgBpAHQAXABuACAAIAA9AEwAQQBNAEIARABBACgAXAAiAGYAcgBhAGMAdABpAG8AbgBcACIAKQA7AFwAbgBcAG4AUwBvAHUAcgBjAGUARABhAHQAYQBfAEQAYQBpAHIAeQBfAEEAcwBoAEMAbwBuAHQAZQBuAHQAXwBTAG8AdQByAGMAZQBcAG4AIAAgAD0ATABBAE0AQgBEAEEAKABcACIAVgBFAEUAUgBHACAAMgAwADIANgA6ACAANAAuADMALgAyAC4AMwAgAEMATwBOAFMAVABBAE4AVABTAFwAIgApADsAXABuAFwAbgBTAG8AdQByAGMAZQBEAGEAdABhAF8ARABhAGkAcgB5AF8AQQBzAGgAQwBvAG4AdABlAG4AdABfAFYAYQByAGkAYQB0AGkAbwBuAFwAbgAgACAAPQBMAEEATQBCAEQAQQAoAFwAIgBcACIAKQA7AFwAbgBcAG4AUwBvAHUAcgBjAGUARABhAHQAYQBfAEQAYQBpAHIAeQBfAEEAcwBoAEMAbwBuAHQAZQBuAHQAXwBEAGEAdABhAFwAbgAgACAAPQBMAEEATQBCAEQAQQAoADAALgAwADgAKQA7AFwAbgBcAG4AXABuAC8AKgAgAFwAbgAtAC0ALQAtAC0ALQAtAC0ALQAtAC0ALQAtAC0ALQAtAC0ALQAtAC0ALQAtAC0ALQAtAC0ALQAtAC0ALQAtAC0ALQAtAC0ALQAtAC0AXABuAFMAbwB1AHIAYwBlAEQAYQB0AGEAXwBEAGEAaQByAHkAXwBNAGUAdABoAGEAbgBlAEUAbQBpAHMAcwBpAG8AbgBzAFAAbwB0AGUAbgB0AGkAYQBsAFwAbgBBAHMAaAAgAGMAbwBuAHQAZQBuAHQAIABvAGYAIABtAGEAbgB1AHIAZQBcAG4ALQAtAC0ALQAtAC0ALQAtAC0ALQAtAC0ALQAtAC0ALQAtAC0ALQAtAC0ALQAtAC0ALQAtAC0ALQAtAC0ALQAtAC0ALQAtAC0ALQAtAFwAbgAqAC8AXABuAFwAbgBTAG8AdQByAGMAZQBEAGEAdABhAF8ARABhAGkAcgB5AF8ATQBlAHQAaABhAG4AZQBFAG0AaQBzAHMAaQBvAG4AcwBQAG8AdABlAG4AdABpAGEAbABfAFQAaQB0AGwAZQBcAG4AIAAgAD0ATABBAE0AQgBEAEEAKABcACIATQBlAHQAaABhAG4AZQAgAGUAbQBpAHMAcwBpAG8AbgBzACAAcABvAHQAZQBuAHQAaQBhAGwAXAAiACkAOwBcAG4AXABuAFMAbwB1AHIAYwBlAEQAYQB0AGEAXwBEAGEAaQByAHkAXwBNAGUAdABoAGEAbgBlAEUAbQBpAHMAcwBpAG8AbgBzAFAAbwB0AGUAbgB0AGkAYQBsAF8AVgBhAHIAaQBhAGIAbABlAFwAbgAgACAAPQBMAEEATQBCAEQAQQAoAFwAIgBCAF8AbwBcACIAKQA7AFwAbgBcAG4AUwBvAHUAcgBjAGUARABhAHQAYQBfAEQAYQBpAHIAeQBfAE0AZQB0AGgAYQBuAGUARQBtAGkAcwBzAGkAbwBuAHMAUABvAHQAZQBuAHQAaQBhAGwAXwBVAG4AaQB0AFwAbgAgACAAPQBMAEEATQBCAEQAQQAoAFwAIgBtADMAIABDAEgANAAvAGsAZwBWAFMAXAAiACkAOwBcAG4AXABuAFMAbwB1AHIAYwBlAEQAYQB0AGEAXwBEAGEAaQByAHkAXwBNAGUAdABoAGEAbgBlAEUAbQBpAHMAcwBpAG8AbgBzAFAAbwB0AGUAbgB0AGkAYQBsAF8AUwBvAHUAcgBjAGUAXABuACAAIAA9AEwAQQBNAEIARABBACgAXAAiAFYARQBFAFIARwAgADIAMAAyADYAOgAgADQALgAzAC4AMgAuADMAIABDAE8ATgBTAFQAQQBOAFQAUwBcACIAKQA7AFwAbgBcAG4AUwBvAHUAcgBjAGUARABhAHQAYQBfAEQAYQBpAHIAeQBfAE0AZQB0AGgAYQBuAGUARQBtAGkAcwBzAGkAbwBuAHMAUABvAHQAZQBuAHQAaQBhAGwAXwBWAGEAcgBpAGEAdABpAG8AbgBcAG4AIAAgAD0ATABBAE0AQgBEAEEAKABcACIAXAAiACkAOwBcAG4AXABuAFMAbwB1AHIAYwBlAEQAYQB0AGEAXwBEAGEAaQByAHkAXwBNAGUAdABoAGEAbgBlAEUAbQBpAHMAcwBpAG8AbgBzAFAAbwB0AGUAbgB0AGkAYQBsAF8ARABhAHQAYQBcAG4AIAAgAD0ATABBAE0AQgBEAEEAKAAwAC4AMgA0ACkAOwBcAG4AXABuAC8AKgAgAFwAbgAtAC0ALQAtAC0ALQAtAC0ALQAtAC0ALQAtAC0ALQAtAC0ALQAtAC0ALQAtAC0ALQAtAC0ALQAtAC0ALQAtAC0ALQAtAC0ALQAtAC0AXABuAFMAbwB1AHIAYwBlAEQAYQB0AGEAXwBEAGEAaQByAHkAXwBFAG0AaQBzAHMAaQBvAG4ARgBhAGMAdABvAHIARgBvAHIATABlAGEAYwBoAGkAbgBnAEEAbgBkAFIAdQBuAG8AZgBmAFwAbgBFAG0AaQBzAHMAaQBvAG4AIABmAGEAYwB0AG8AcgAgAGYAbwByACAAbABlAGEAYwBoAGkAbgBnACAAYQBuAGQAIAByAHUAbgBvAGYAZgBcAG4ALQAtAC0ALQAtAC0ALQAtAC0ALQAtAC0ALQAtAC0ALQAtAC0ALQAtAC0ALQAtAC0ALQAtAC0ALQAtAC0ALQAtAC0ALQAtAC0ALQAtAFwAbgAqAC8AXABuAFwAbgBTAG8AdQByAGMAZQBEAGEAdABhAF8ARABhAGkAcgB5AF8ARQBtAGkAcwBzAGkAbwBuAEYAYQBjAHQAbwByAEYAbwByAEwAZQBhAGMAaABpAG4AZwBBAG4AZABSAHUAbgBvAGYAZgBfAFQAaQB0AGwAZQBcAG4AIAAgAD0ATABBAE0AQgBEAEEAKABcACIARQBtAGkAcwBzAGkAbwBuACAAZgBhAGMAdABvAHIAIABmAG8AcgAgAGwAZQBhAGMAaABpAG4AZwAgAGEAbgBkACAAcgB1AG4AbwBmAGYAXAAiACkAOwBcAG4AXABuAFMAbwB1AHIAYwBlAEQAYQB0AGEAXwBEAGEAaQByAHkAXwBFAG0AaQBzAHMAaQBvAG4ARgBhAGMAdABvAHIARgBvAHIATABlAGEAYwBoAGkAbgBnAEEAbgBkAFIAdQBuAG8AZgBmAF8AVgBhAHIAaQBhAGIAbABlAFwAbgAgACAAPQBMAEEATQBCAEQAQQAoAFwAIgBFAEYAXwBsAGUAYQBjAGgAXAAiACkAOwBcAG4AXABuAFMAbwB1AHIAYwBlAEQAYQB0AGEAXwBEAGEAaQByAHkAXwBFAG0AaQBzAHMAaQBvAG4ARgBhAGMAdABvAHIARgBvAHIATABlAGEAYwBoAGkAbgBnAEEAbgBkAFIAdQBuAG8AZgBmAF8AVQBuAGkAdABcAG4AIAAgAD0ATABBAE0AQgBEAEEAKABcACIAawBnACAATgAyAE8ALQBOAC8AawBnACAATgBcACIAKQA7AFwAbgBcAG4AUwBvAHUAcgBjAGUARABhAHQAYQBfAEQAYQBpAHIAeQBfAEUAbQBpAHMAcwBpAG8AbgBGAGEAYwB0AG8AcgBGAG8AcgBMAGUAYQBjAGgAaQBuAGcAQQBuAGQAUgB1AG4AbwBmAGYAXwBTAG8AdQByAGMAZQBcAG4AIAAgAD0ATABBAE0AQgBEAEEAKABcACIAVgBFAEUAUgBHACAAMgAwADIANgA6ACAANAAuADMALgAyAC4AMwAgAEMATwBOAFMAVABBAE4AVABTAFwAIgApADsAXABuAFwAbgBTAG8AdQByAGMAZQBEAGEAdABhAF8ARABhAGkAcgB5AF8ARQBtAGkAcwBzAGkAbwBuAEYAYQBjAHQAbwByAEYAbwByAEwAZQBhAGMAaABpAG4AZwBBAG4AZABSAHUAbgBvAGYAZgBfAFYAYQByAGkAYQB0AGkAbwBuAFwAbgAgACAAPQBMAEEATQBCAEQAQQAoAFwAIgBcACIAKQA7AFwAbgBcAG4AUwBvAHUAcgBjAGUARABhAHQAYQBfAEQAYQBpAHIAeQBfAEUAbQBpAHMAcwBpAG8AbgBGAGEAYwB0AG8AcgBGAG8AcgBMAGUAYQBjAGgAaQBuAGcAQQBuAGQAUgB1AG4AbwBmAGYAXwBEAGEAdABhAFwAbgAgACAAPQBMAEEATQBCAEQAQQAoADAALgAwADEAMQApADsAXABuAFwAbgBcAG4ALwAqACAAXABuAC0ALQAtAC0ALQAtAC0ALQAtAC0ALQAtAC0ALQAtAC0ALQAtAC0ALQAtAC0ALQAtAC0ALQAtAC0ALQAtAC0ALQAtAC0ALQAtAC0ALQBcAG4AUwBvAHUAcgBjAGUARABhAHQAYQBfAEQAYQBpAHIAeQBfAEYAcgBhAGMAdABpAG8AbgBPAGYATgBpAHQAcgBvAGcAZQBuAEwAbwBzAHQAVABoAHIAbwB1AGcAaABMAGUAYQBjAGgAaQBuAGcAQQBuAGQAUgB1AG4AbwBmAGYAXABuAEYAcgBhAGMAdABpAG8AbgAgAG8AZgAgAE4AIAB0AGgAYQB0ACAAaQBzACAAbABvAHMAdAAgAHQAaAByAG8AdQBnAGgAIABsAGUAYQBjAGgAaQBuAGcAIABhAG4AZAAgAHIAdQBuAG8AZgBmACAAKABkAGkAbQBlAG4AcwBpAG8AbgBsAGUAcwBzACkAXABuAC0ALQAtAC0ALQAtAC0ALQAtAC0ALQAtAC0ALQAtAC0ALQAtAC0ALQAtAC0ALQAtAC0ALQAtAC0ALQAtAC0ALQAtAC0ALQAtAC0ALQBcAG4AKgAvAFwAbgBcAG4AUwBvAHUAcgBjAGUARABhAHQAYQBfAEQAYQBpAHIAeQBfAEYAcgBhAGMAdABpAG8AbgBPAGYATgBpAHQAcgBvAGcAZQBuAEwAbwBzAHQAVABoAHIAbwB1AGcAaABMAGUAYQBjAGgAaQBuAGcAQQBuAGQAUgB1AG4AbwBmAGYAXwBUAGkAdABsAGUAXABuACAAIAA9AEwAQQBNAEIARABBACgAXAAiAEYAcgBhAGMAdABpAG8AbgAgAG8AZgAgAE4AIAB0AGgAYQB0ACAAaQBzACAAbABvAHMAdAAgAHQAaAByAG8AdQBnAGgAIABsAGUAYQBjAGgAaQBuAGcAIABhAG4AZAAgAHIAdQBuAG8AZgBmAFwAIgApADsAXABuAFwAbgBTAG8AdQByAGMAZQBEAGEAdABhAF8ARABhAGkAcgB5AF8ARgByAGEAYwB0AGkAbwBuAE8AZgBOAGkAdAByAG8AZwBlAG4ATABvAHMAdABUAGgAcgBvAHUAZwBoAEwAZQBhAGMAaABpAG4AZwBBAG4AZABSAHUAbgBvAGYAZgBfAFYAYQByAGkAYQBiAGwAZQBcAG4AIAAgAD0ATABBAE0AQgBEAEEAKABcACIARgByAGEAYwBfAEwARQBBAEMASABfAE0AUwBcACIAKQA7AFwAbgBcAG4AUwBvAHUAcgBjAGUARABhAHQAYQBfAEQAYQBpAHIAeQBfAEYAcgBhAGMAdABpAG8AbgBPAGYATgBpAHQAcgBvAGcAZQBuAEwAbwBzAHQAVABoAHIAbwB1AGcAaABMAGUAYQBjAGgAaQBuAGcAQQBuAGQAUgB1AG4AbwBmAGYAXwBVAG4AaQB0AFwAbgAgACAAPQBMAEEATQBCAEQAQQAoAFwAIgBEAGkAbQBlAG4AcwBpAG8AbgBsAGUAcwBzAFwAIgApADsAXABuAFwAbgBTAG8AdQByAGMAZQBEAGEAdABhAF8ARABhAGkAcgB5AF8ARgByAGEAYwB0AGkAbwBuAE8AZgBOAGkAdAByAG8AZwBlAG4ATABvAHMAdABUAGgAcgBvAHUAZwBoAEwAZQBhAGMAaABpAG4AZwBBAG4AZABSAHUAbgBvAGYAZgBfAFMAbwB1AHIAYwBlAFwAbgAgACAAPQBMAEEATQBCAEQAQQAoAFwAIgBWAEUARQBSAEcAIAAyADAAMgA2ADoAIAA0AC4AMwAuADIALgAzACAAQwBPAE4AUwBUAEEATgBUAFMAXAAiACkAOwBcAG4AXABuAFMAbwB1AHIAYwBlAEQAYQB0AGEAXwBEAGEAaQByAHkAXwBGAHIAYQBjAHQAaQBvAG4ATwBmAE4AaQB0AHIAbwBnAGUAbgBMAG8AcwB0AFQAaAByAG8AdQBnAGgATABlAGEAYwBoAGkAbgBnAEEAbgBkAFIAdQBuAG8AZgBmAF8AVgBhAHIAaQBhAHQAaQBvAG4AXABuACAAIAA9AEwAQQBNAEIARABBACgAXAAiAFwAIgApADsAXABuAFwAbgBTAG8AdQByAGMAZQBEAGEAdABhAF8ARABhAGkAcgB5AF8ARgByAGEAYwB0AGkAbwBuAE8AZgBOAGkAdAByAG8AZwBlAG4ATABvAHMAdABUAGgAcgBvAHUAZwBoAEwAZQBhAGMAaABpAG4AZwBBAG4AZABSAHUAbgBvAGYAZgBfAEQAYQB0AGEAXABuACAAIAA9AEwAQQBNAEIARABBACgAMAAuADAAMgApADsAXABuAFwAbgBcAG4ALwAqACAAXABuAC0ALQAtAC0ALQAtAC0ALQAtAC0ALQAtAC0ALQAtAC0ALQAtAC0ALQAtAC0ALQAtAC0ALQAtAC0ALQAtAC0ALQAtAC0ALQAtAC0ALQBcAG4AUwBvAHUAcgBjAGUARABhAHQAYQBfAEQAYQBpAHIAeQBfAEYAcgBhAGMARwBBAFMATQBTAG8AaQBsAFwAbgBGAHIAYQBjAHQAaQBvAG4AIABvAGYAIABuAGkAdAByAG8AZwBlAG4AIAB2AG8AbABhAHQAaQBsAGkAegBlAGQAIABmAHIAbwBtACAAdQByAGkAbgBlACAAYQBuAGQAIABmAGEAZQBjAGUAcwAgAGQAZQBwAG8AcwBpAHQAZQBkACAAbwBuACAAcABhAHMAdAB1AHIAZQAuAFwAbgAtAC0ALQAtAC0ALQAtAC0ALQAtAC0ALQAtAC0ALQAtAC0ALQAtAC0ALQAtAC0ALQAtAC0ALQAtAC0ALQAtAC0ALQAtAC0ALQAtAC0AXABuACoALwBcAG4AXABuAFMAbwB1AHIAYwBlAEQAYQB0AGEAXwBEAGEAaQByAHkAXwBGAHIAYQBjAEcAQQBTAE0AUwBvAGkAbABfAFQAaQB0AGwAZQBcAG4AIAAgAD0ATABBAE0AQgBEAEEAKABcACIARgByAGEAYwB0AGkAbwBuACAAbwBmACAAbgBpAHQAcgBvAGcAZQBuACAAdgBvAGwAYQB0AGkAbABpAHoAZQBkACAAZgByAG8AbQAgAHUAcgBpAG4AZQAgAGEAbgBkACAAZgBhAGUAYwBlAHMAIABkAGUAcABvAHMAaQB0AGUAZAAgAG8AbgAgAHAAYQBzAHQAdQByAGUAXAAiACkAOwBcAG4AXABuAFMAbwB1AHIAYwBlAEQAYQB0AGEAXwBEAGEAaQByAHkAXwBGAHIAYQBjAEcAQQBTAE0AUwBvAGkAbABfAFYAYQByAGkAYQBiAGwAZQBcAG4AIAAgAD0ATABBAE0AQgBEAEEAKABcACIARgByAGEAYwBHAEEAUwBNAHMAbwBpAGwAXAAiACkAOwBcAG4AXABuAFMAbwB1AHIAYwBlAEQAYQB0AGEAXwBEAGEAaQByAHkAXwBGAHIAYQBjAEcAQQBTAE0AUwBvAGkAbABfAFUAbgBpAHQAXABuACAAIAA9AEwAQQBNAEIARABBACgAXAAiACgAawBnACAATgBIADMALQBOACAAKwAgAE4ATwB4AC0ATgApAC8AawBnACAATgBcACIAKQA7AFwAbgBcAG4AUwBvAHUAcgBjAGUARABhAHQAYQBfAEQAYQBpAHIAeQBfAEYAcgBhAGMARwBBAFMATQBTAG8AaQBsAF8AUwBvAHUAcgBjAGUAXABuACAAIAA9AEwAQQBNAEIARABBACgAXAAiAFYARQBFAFIARwAgADIAMAAyADYAOgAgADQALgAzAC4AMgAuADMAIABDAE8ATgBTAFQAQQBOAFQAUwBcACIAKQA7AFwAbgBcAG4AUwBvAHUAcgBjAGUARABhAHQAYQBfAEQAYQBpAHIAeQBfAEYAcgBhAGMARwBBAFMATQBTAG8AaQBsAF8AVgBhAHIAaQBhAHQAaQBvAG4AXABuACAAIAA9AEwAQQBNAEIARABBACgAXAAiAFwAIgApADsAXABuAFwAbgBTAG8AdQByAGMAZQBEAGEAdABhAF8ARABhAGkAcgB5AF8ARgByAGEAYwBHAEEAUwBNAFMAbwBpAGwAXwBEAGEAdABhAFwAbgAgACAAPQBMAEEATQBCAEQAQQAoADAALgAyADEAKQA7AFwAbgBcAG4AXABuAC8AKgAgAFwAbgAtAC0ALQAtAC0ALQAtAC0ALQAtAC0ALQAtAC0ALQAtAC0ALQAtAC0ALQAtAC0ALQAtAC0ALQAtAC0ALQAtAC0ALQAtAC0ALQAtAC0AXABuAFMAbwB1AHIAYwBlAEQAYQB0AGEAXwBEAGEAaQByAHkAXwBGAGEAdABDAG8AbgB0AGUAbgB0AEkAbgBNAGkAbABrAFwAbgBGAGEAdAAgAGMAbwBuAHQAZQBuAHQAIABpAG4AIABmAGEAdAAgAGEAbgBkACAAcAByAG8AdABlAGkAbgAgAGMAbwByAHIAZQBjAHQAZQBkACAAbQBpAGwAawBcAG4ALQAtAC0ALQAtAC0ALQAtAC0ALQAtAC0ALQAtAC0ALQAtAC0ALQAtAC0ALQAtAC0ALQAtAC0ALQAtAC0ALQAtAC0ALQAtAC0ALQAtAFwAbgAqAC8AXABuAFwAbgBTAG8AdQByAGMAZQBEAGEAdABhAF8ARABhAGkAcgB5AF8ARgBhAHQAQwBvAG4AdABlAG4AdABJAG4ATQBpAGwAawBfAFQAaQB0AGwAZQBcAG4AIAAgAD0ATABBAE0AQgBEAEEAKABcACIARgBhAHQAIABjAG8AbgB0AGUAbgB0ACAAaQBuACAAZgBhAHQAIABhAG4AZAAgAHAAcgBvAHQAZQBpAG4AIABjAG8AcgByAGUAYwB0AGUAZAAgAG0AaQBsAGsAXAAiACkAOwBcAG4AXABuAFMAbwB1AHIAYwBlAEQAYQB0AGEAXwBEAGEAaQByAHkAXwBGAGEAdABDAG8AbgB0AGUAbgB0AEkAbgBNAGkAbABrAF8AVgBhAHIAaQBhAGIAbABlAFwAbgAgACAAPQBMAEEATQBCAEQAQQAoAFwAIgBGAEMAXwBqAFwAIgApADsAXABuAFwAbgBTAG8AdQByAGMAZQBEAGEAdABhAF8ARABhAGkAcgB5AF8ARgBhAHQAQwBvAG4AdABlAG4AdABJAG4ATQBpAGwAawBfAFUAbgBpAHQAXABuACAAIAA9AEwAQQBNAEIARABBACgAXAAiAHAAZQByAGMAZQBuAHQAXAAiACkAOwBcAG4AXABuAFMAbwB1AHIAYwBlAEQAYQB0AGEAXwBEAGEAaQByAHkAXwBGAGEAdABDAG8AbgB0AGUAbgB0AEkAbgBNAGkAbABrAF8AUwBvAHUAcgBjAGUAXABuACAAIAA9AEwAQQBNAEIARABBACgAXAAiAFYARQBFAFIARwAgADIAMAAyADYAOgAgADMALgAzAC4AMgAuADIAIABEAEEAVABBACAAKABNAEUAVABIAE8ARAAgADEAIABBAE4ARAAgADIAIABPAFAAVABJAE8ATgBTACkAXAAiACkAOwBcAG4AXABuAFMAbwB1AHIAYwBlAEQAYQB0AGEAXwBEAGEAaQByAHkAXwBGAGEAdABDAG8AbgB0AGUAbgB0AEkAbgBNAGkAbABrAF8AVgBhAHIAaQBhAHQAaQBvAG4AXABuACAAIAA9AEwAQQBNAEIARABBACgAXAAiAFwAIgApADsAXABuAFwAbgBTAG8AdQByAGMAZQBEAGEAdABhAF8ARABhAGkAcgB5AF8ARgBhAHQAQwBvAG4AdABlAG4AdABJAG4ATQBpAGwAawBfAEQAYQB0AGEAXABuACAAIAA9AEwAQQBNAEIARABBACgANAAuADAAKQA7AFwAbgBcAG4AXABuAC8AKgAgAFwAbgAtAC0ALQAtAC0ALQAtAC0ALQAtAC0ALQAtAC0ALQAtAC0ALQAtAC0ALQAtAC0ALQAtAC0ALQAtAC0ALQAtAC0ALQAtAC0ALQAtAC0AXABuAFMAbwB1AHIAYwBlAEQAYQB0AGEAXwBEAGEAaQByAHkAXwBQAHIAbwB0AGUAaQBuAEMAbwBuAHQAZQBuAHQASQBuAE0AaQBsAGsAXABuAFAAcgBvAHQAZQBpAG4AIABjAG8AbgB0AGUAbgB0ACAAaQBuACAAZgBhAHQAIABhAG4AZAAgAHAAcgBvAHQAZQBpAG4AIABjAG8AcgByAGUAYwB0AGUAZAAgAG0AaQBsAGsAXABuAC0ALQAtAC0ALQAtAC0ALQAtAC0ALQAtAC0ALQAtAC0ALQAtAC0ALQAtAC0ALQAtAC0ALQAtAC0ALQAtAC0ALQAtAC0ALQAtAC0ALQBcAG4AKgAvAFwAbgBcAG4AUwBvAHUAcgBjAGUARABhAHQAYQBfAEQAYQBpAHIAeQBfAFAAcgBvAHQAZQBpAG4AQwBvAG4AdABlAG4AdABJAG4ATQBpAGwAawBfAFQAaQB0AGwAZQBcAG4AIAAgAD0ATABBAE0AQgBEAEEAKABcACIAUAByAG8AdABlAGkAbgAgAGMAbwBuAHQAZQBuAHQAIABpAG4AIABmAGEAdAAgAGEAbgBkACAAcAByAG8AdABlAGkAbgAgAGMAbwByAHIAZQBjAHQAZQBkACAAbQBpAGwAawBcACIAKQA7AFwAbgBcAG4AUwBvAHUAcgBjAGUARABhAHQAYQBfAEQAYQBpAHIAeQBfAFAAcgBvAHQAZQBpAG4AQwBvAG4AdABlAG4AdABJAG4ATQBpAGwAawBfAFYAYQByAGkAYQBiAGwAZQBcAG4AIAAgAD0ATABBAE0AQgBEAEEAKABcACIAUABDAF8AagBcACIAKQA7AFwAbgBcAG4AUwBvAHUAcgBjAGUARABhAHQAYQBfAEQAYQBpAHIAeQBfAFAAcgBvAHQAZQBpAG4AQwBvAG4AdABlAG4AdABJAG4ATQBpAGwAawBfAFUAbgBpAHQAXABuACAAIAA9AEwAQQBNAEIARABBACgAXAAiAHAAZQByAGMAZQBuAHQAXAAiACkAOwBcAG4AXABuAFMAbwB1AHIAYwBlAEQAYQB0AGEAXwBEAGEAaQByAHkAXwBQAHIAbwB0AGUAaQBuAEMAbwBuAHQAZQBuAHQASQBuAE0AaQBsAGsAXwBTAG8AdQByAGMAZQBcAG4AIAAgAD0ATABBAE0AQgBEAEEAKABcACIAVgBFAEUAUgBHACAAMgAwADIANgA6ACAAMwAuADMALgAyAC4AMgAgAEQAQQBUAEEAIAAoAE0ARQBUAEgATwBEACAAMQAgAEEATgBEACAAMgAgAE8AUABUAEkATwBOAFMAKQBcACIAKQA7AFwAbgBcAG4AUwBvAHUAcgBjAGUARABhAHQAYQBfAEQAYQBpAHIAeQBfAFAAcgBvAHQAZQBpAG4AQwBvAG4AdABlAG4AdABJAG4ATQBpAGwAawBfAFYAYQByAGkAYQB0AGkAbwBuAFwAbgAgACAAPQBMAEEATQBCAEQAQQAoAFwAIgBcACIAKQA7AFwAbgBcAG4AUwBvAHUAcgBjAGUARABhAHQAYQBfAEQAYQBpAHIAeQBfAFAAcgBvAHQAZQBpAG4AQwBvAG4AdABlAG4AdABJAG4ATQBpAGwAawBfAEQAYQB0AGEAXABuACAAIAA9AEwAQQBNAEIARABBACgAMwAuADMAKQA7ACIAfQAsAHsAIgBwAGEAdABoACIAOgAiAC8AcAByAG8AagBlAGMAdABzAC8AUwBvAHUAcgBjAGUARABhAHQAYQBfAFMAdwBpAG4AZQAiACwAIgB0AGUAeAB0ACIAOgAiAC8AKg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UwBvAHUAcgBjAGUAIABkAGEAdABhACAARgBvAHIAIABTAHcAaQBuAGUAXABuAEUAeABjAGUAbAAgAG0AbwBkAHUAbABlACAAbgBhAG0AZQA6ACAAUwBvAHUAcgBjAGUARABhAHQAYQBfAFMAdwBpAG4AZ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KgAvAFwAbgBcAG4AXABuAC8AKgAgAFwAbgAtAC0ALQAtAC0ALQAtAC0ALQAtAC0ALQAtAC0ALQAtAC0ALQAtAC0ALQAtAC0ALQAtAC0ALQAtAC0ALQAtAC0ALQAtAC0ALQAtAC0AXABuAFMAbwB1AHIAYwBlAEQAYQB0AGEAXwBTAHcAaQBuAGUAXwBWAG8AbABhAHQAaQBsAGUAUwBvAGwAaQBkAHMAXABuAFYAUwBqAFwAbgBrAGcALwBoAGUAYQBkAC8AZABhAHkAXABuAC0ALQAtAC0ALQAtAC0ALQAtAC0ALQAtAC0ALQAtAC0ALQAtAC0ALQAtAC0ALQAtAC0ALQAtAC0ALQAtAC0ALQAtAC0ALQAtAC0ALQBcAG4AKgAvAFwAbgBcAG4AUwBvAHUAcgBjAGUARABhAHQAYQBfAFMAdwBpAG4AZQBfAFYAbwBsAGEAdABpAGwAZQBTAG8AbABpAGQAcwBfAFQAaQB0AGwAZQBcAG4AIAAgAD0ATABBAE0AQgBEAEEAKABcACIAUwB3AGkAbgBlACAALQAgAFYAbwBsAGEAdABpAGwAZQAgAHMAbwBsAGkAZABzACAAKABWAFMAagApACAALQAgADIAMAAyADAAIAB0AG8AIAAyADAAMgA0AFwAIgApADsAXABuAFwAbgBTAG8AdQByAGMAZQBEAGEAdABhAF8AUwB3AGkAbgBlAF8AVgBvAGwAYQB0AGkAbABlAFMAbwBsAGkAZABzAF8AVQBuAGkAdABcAG4AIAAgAD0ATABBAE0AQgBEAEEAKABcACIAawBnAC8AaABlAGEAZAAvAGQAYQB5AFwAIgApADsAXABuAFwAbgBTAG8AdQByAGMAZQBEAGEAdABhAF8AUwB3AGkAbgBlAF8AVgBvAGwAYQB0AGkAbABlAFMAbwBsAGkAZABzAF8AUwBvAHUAcgBjAGUAXABuACAAIAA9AEwAQQBNAEIARABBACgAXAAiAFYARQBFAFIARwAgADIAMAAyADYAOgAgAFQAYQBiAGwAZQAgAEEALgAxAC4ANgAuADEAOgAgAFMAdwBpAG4AZQAgAC0AIABJAG4AdABhAGsAZQAgAGEAbgBkACAAbQBhAG4AdQByAGUAIABjAGgAYQByAGEAYwB0AGUAcgBpAHMAdABpAGMAcwAgAGQAZQByAGkAdgBlAGQAIABmAHIAbwBtACAAUABpAGcAQgBhAGwAXAAiACkAOwBcAG4AXABuAFMAbwB1AHIAYwBlAEQAYQB0AGEAXwBTAHcAaQBuAGUAXwBWAG8AbABhAHQAaQBsAGUAUwBvAGwAaQBkAHMAXwBWAGEAcgBpAGEAdABpAG8AbgBcAG4AIAAgAD0ATABBAE0AQgBEAEEAKABcACIAVgBBAFIASQBBAFQASQBPAE4AIABPAE4AIABTAE8AVQBSAEMARQAgAEQAQQBUAEEAOgAgAE8AbgBsAHkAIAB1AHMAZQBzACAAZABhAHQAYQAgAGYAbwByACAAMgAwADIAMAAtADIAMAAyADQALgAgAFUAcwBlACAAJwBTAGwAYQB1AGcAaAB0AGUAcgAgAHAAaQBnAHMAJwAgAGQAYQB0AGEAIABmAG8AcgAgACcATwB0AGgAZQByACAAagA9ADQAJwAgAGMAbABhAHMAcwAuAFwAIgApADsAXABuAFwAbgBTAG8AdQByAGMAZQBEAGEAdABhAF8AUwB3AGkAbgBlAF8AVgBvAGwAYQB0AGkAbABlAFMAbwBsAGkAZABzAF8ARABhAHQAYQBcAG4AIAAgAD0ATABBAE0AQgBEAEEAKABcAG4AIAAgACAAIABNAEEASwBFAEEAUgBSAEEAWQAoADUALAAgADIALAAgAFwAbgAgACAAIAAgACAAIABMAEEATQBCAEQAQQAoAHIALABjACwAIABcAG4AIAAgACAAIAAgACAAIAAgAEkATgBEAEUAWAAoAHsAXABuACAAIAAgACAAIAAgACAAIAAgACAAXAAiAEMAbABhAHMAcwBcACIALAAgAFwAIgBWAFMAagBcACIAOwBcAG4AIAAgACAAIAAgACAAIAAgACAAIABcACIAQgBvAGEAcgBzAFwAIgAsACAAMAAuADQAMAA7AFwAbgAgACAAIAAgACAAIAAgACAAIAAgAFwAIgBTAG8AdwBzAFwAIgAsACAAMAAuADQANgA7AFwAbgAgACAAIAAgACAAIAAgACAAIAAgAFwAIgBHAGkAbAB0AHMAXAAiACwAIAAwAC4ANQA1ADsAXABuACAAIAAgACAAIAAgACAAIAAgACAAXAAiAE8AdABoAGUAcgBzAFwAIgAsACAAMAAuADMAOQBcAG4AIAAgACAAIAAgACAAIAAgAH0ALAAgAHIALAAgAGMAKQBcAG4AIAAgACAAIAAgACAAKQBcAG4AIAAgACAAIAApAFwAbgAgACAAKQA7AFwAbgBcAG4AXABuAC8AKgAgAFwAbgAtAC0ALQAtAC0ALQAtAC0ALQAtAC0ALQAtAC0ALQAtAC0ALQAtAC0ALQAtAC0ALQAtAC0ALQAtAC0ALQAtAC0ALQAtAC0ALQAtAC0AXABuAFMAbwB1AHIAYwBlAEQAYQB0AGEAXwBTAHcAaQBuAGUAXwBGAGUAZQBkAEkAbgB0AGEAawBlAFwAbgBJAGoAXABuAGsAZwAvAGgAZQBhAGQALwBkAGEAeQBcAG4ALQAtAC0ALQAtAC0ALQAtAC0ALQAtAC0ALQAtAC0ALQAtAC0ALQAtAC0ALQAtAC0ALQAtAC0ALQAtAC0ALQAtAC0ALQAtAC0ALQAtAFwAbgAqAC8AXABuAFwAbgBTAG8AdQByAGMAZQBEAGEAdABhAF8AUwB3AGkAbgBlAF8ARgBlAGUAZABJAG4AdABhAGsAZQBfAFQAaQB0AGwAZQBcAG4AIAAgAD0ATABBAE0AQgBEAEEAKABcACIAUwB3AGkAbgBlACAALQAgAEYAZQBlAGQAIABpAG4AdABhAGsAZQAgAC0AIABpAG4AZwBlAHMAdABlAGQAIABhAHMAIABmAGUAZAAgACAAKABJAGoAKQAgAC0AIAAyADAAMgAwACAAdABvACAAMgAwADIANABcACIAKQA7AFwAbgBcAG4AUwBvAHUAcgBjAGUARABhAHQAYQBfAFMAdwBpAG4AZQBfAEYAZQBlAGQASQBuAHQAYQBrAGUAXwBVAG4AaQB0AFwAbgAgACAAPQBMAEEATQBCAEQAQQAoAFwAIgBrAGcALwBoAGUAYQBkAC8AZABhAHkAXAAiACkAOwBcAG4AXABuAFMAbwB1AHIAYwBlAEQAYQB0AGEAXwBTAHcAaQBuAGUAXwBGAGUAZQBkAEkAbgB0AGEAawBlAF8AUwBvAHUAcgBjAGUAXABuACAAIAA9AEwAQQBNAEIARABBACgAXAAiAFYARQBFAFIARwAgADIAMAAyADYAOgAgAFQAYQBiAGwAZQAgAEEALgAxAC4ANgAuADEAOgAgAFMAdwBpAG4AZQAgAC0AIABJAG4AdABhAGsAZQAgAGEAbgBkACAAbQBhAG4AdQByAGUAIABjAGgAYQByAGEAYwB0AGUAcgBpAHMAdABpAGMAcwAgAGQAZQByAGkAdgBlAGQAIABmAHIAbwBtACAAUABpAGcAQgBhAGwAXAAiACkAOwBcAG4AXABuAFMAbwB1AHIAYwBlAEQAYQB0AGEAXwBTAHcAaQBuAGUAXwBGAGUAZQBkAEkAbgB0AGEAawBlAF8AVgBhAHIAaQBhAHQAaQBvAG4AXABuACAAIAA9AEwAQQBNAEIARABBACgAXAAiAFYAQQBSAEkAQQBUAEkATwBOACAATwBOACAAUwBPAFUAUgBDAEUAIABEAEEAVABBADoAIABPAG4AbAB5ACAAdQBzAGUAcwAgAGQAYQB0AGEAIABmAG8AcgAgADIAMAAyADAALQAyADAAMgA0AC4AIABVAHMAZQAgACcAUwBsAGEAdQBnAGgAdABlAHIAIABwAGkAZwBzACcAIABkAGEAdABhACAAZgBvAHIAIAAnAE8AdABoAGUAcgAgAGoAPQA0ACcAIABjAGwAYQBzAHMALgBcACIAKQA7AFwAbgBcAG4AUwBvAHUAcgBjAGUARABhAHQAYQBfAFMAdwBpAG4AZQBfAEYAZQBlAGQASQBuAHQAYQBrAGUAXwBEAGEAdABhAFwAbgAgACAAPQBMAEEATQBCAEQAQQAoAFwAbgAgACAAIAAgAE0AQQBLAEUAQQBSAFIAQQBZACgANQAsACAAMgAsACAAXABuACAAIAAgACAAIAAgAEwAQQBNAEIARABBACgAcgAsAGMALAAgAFwAbgAgACAAIAAgACAAIAAgACAASQBOAEQARQBYACgAewBcAG4AIAAgACAAIAAgACAAIAAgACAAIABcACIAQwBsAGEAcwBzAFwAIgAsACAAXAAiAEkAagBcACIAOwBcAG4AIAAgACAAIAAgACAAIAAgACAAIABcACIAQgBvAGEAcgBzAFwAIgAsACAAMgAuADYAMgA7AFwAbgAgACAAIAAgACAAIAAgACAAIAAgAFwAIgBTAG8AdwBzAFwAIgAsADIALgAzADAAOwBcAG4AIAAgACAAIAAgACAAIAAgACAAIABcACIARwBpAGwAdABzAFwAIgAsACAAMgAuADUAMAA7AFwAbgAgACAAIAAgACAAIAAgACAAIAAgAFwAIgBPAHQAaABlAHIAcwBcACIALAAgADEALgA3ADEAXABuACAAIAAgACAAIAAgACAAIAB9ACwAIAByACwAIABjACkAXABuACAAIAAgACAAIAAgACkAXABuACAAIAAgACAAKQBcAG4AIAAgACkAOwBcAG4AXABuAC8AKgAgAFwAbgAtAC0ALQAtAC0ALQAtAC0ALQAtAC0ALQAtAC0ALQAtAC0ALQAtAC0ALQAtAC0ALQAtAC0ALQAtAC0ALQAtAC0ALQAtAC0ALQAtAC0AXABuAFMAbwB1AHIAYwBlAEQAYQB0AGEAXwBTAHcAaQBuAGUAXwBOAGkAdAByAG8AZwBlAG4ASQBuAFcAYQBzAHQAZQBcAG4ATgBXAGoAXABuAGsAZwAvAGgAZQBhAGQALwBkAGEAeQBcAG4ALQAtAC0ALQAtAC0ALQAtAC0ALQAtAC0ALQAtAC0ALQAtAC0ALQAtAC0ALQAtAC0ALQAtAC0ALQAtAC0ALQAtAC0ALQAtAC0ALQAtAFwAbgAqAC8AXABuAFwAbgBTAG8AdQByAGMAZQBEAGEAdABhAF8AUwB3AGkAbgBlAF8ATgBpAHQAcgBvAGcAZQBuAEkAbgBXAGEAcwB0AGUAXwBUAGkAdABsAGUAXABuACAAIAA9AEwAQQBNAEIARABBACgAXAAiAFMAdwBpAG4AZQAgAC0AIABOAGkAdAByAG8AZwBlAG4AIABpAG4AIAB3AGEAcwB0AGUAIAAoAE4AVwBqACkAIAAtACAAMgAwADIAMAAgAHQAbwAgADIAMAAyADQAXAAiACkAOwBcAG4AXABuAFMAbwB1AHIAYwBlAEQAYQB0AGEAXwBTAHcAaQBuAGUAXwBOAGkAdAByAG8AZwBlAG4ASQBuAFcAYQBzAHQAZQBfAFUAbgBpAHQAXABuACAAIAA9AEwAQQBNAEIARABBACgAXAAiAGsAZwAvAGgAZQBhAGQALwBkAGEAeQBcACIAKQA7AFwAbgBcAG4AUwBvAHUAcgBjAGUARABhAHQAYQBfAFMAdwBpAG4AZQBfAE4AaQB0AHIAbwBnAGUAbgBJAG4AVwBhAHMAdABlAF8AUwBvAHUAcgBjAGUAXABuACAAIAA9AEwAQQBNAEIARABBACgAXAAiAFYARQBFAFIARwAgADIAMAAyADYAOgAgAFQAYQBiAGwAZQAgAEEALgAxAC4ANgAuADEAOgAgAFMAdwBpAG4AZQAgAC0AIABJAG4AdABhAGsAZQAgAGEAbgBkACAAbQBhAG4AdQByAGUAIABjAGgAYQByAGEAYwB0AGUAcgBpAHMAdABpAGMAcwAgAGQAZQByAGkAdgBlAGQAIABmAHIAbwBtACAAUABpAGcAQgBhAGwAXAAiACkAOwBcAG4AXABuAFMAbwB1AHIAYwBlAEQAYQB0AGEAXwBTAHcAaQBuAGUAXwBOAGkAdAByAG8AZwBlAG4ASQBuAFcAYQBzAHQAZQBfAFYAYQByAGkAYQB0AGkAbwBuAFwAbgAgACAAPQBMAEEATQBCAEQAQQAoAFwAIgBWAEEAUgBJAEEAVABJAE8ATgAgAE8ATgAgAFMATwBVAFIAQwBFACAARABBAFQAQQA6ACAATwBuAGwAeQAgAHUAcwBlAHMAIABkAGEAdABhACAAZgBvAHIAIAAyADAAMgAwAC0AMgAwADIANAAuACAAVQBzAGUAIAAnAFMAbABhAHUAZwBoAHQAZQByACAAcABpAGcAcwAnACAAZABhAHQAYQAgAGYAbwByACAAJwBPAHQAaABlAHIAIABqAD0ANAAnACAAYwBsAGEAcwBzAC4AIABBAGQAZABlAGQAIAAnAE4AVwBqACAAZABhAGkAbAB5ACcAIABjAG8AbAB1AG0AbgAgAHQAbwAgAHAAcgBvAHYAaQBkAGUAIABkAGEAaQBsAHkAIAB2AGEAbAB1AGUAIABmAG8AcgAgAE8AdABoAGUAcgBzACAAYwBsAGEAcwBzAC4AIABBAGQAZABlAGQAIAAnAEMAbABhAHMAcwAgAG4AYQBtAGUAJwAgAGMAbwBsAHUAbQBuACAAdABvACAAYQBpAGQAIABsAG8AbwBrAHUAcAAuAFwAIgApADsAXABuAFwAbgBTAG8AdQByAGMAZQBEAGEAdABhAF8AUwB3AGkAbgBlAF8ATgBpAHQAcgBvAGcAZQBuAEkAbgBXAGEAcwB0AGUAXwBEAGEAdABhAFwAbgAgACAAPQBMAEEATQBCAEQAQQAoAFwAbgAgACAAIAAgAE0AQQBLAEUAQQBSAFIAQQBZACgANQAsACAANAAsACAAXABuACAAIAAgACAAIAAgAEwAQQBNAEIARABBACgAcgAsAGMALAAgAFwAbgAgACAAIAAgACAAIAAgACAASQBOAEQARQBYACgAewBcAG4AIAAgACAAIAAgACAAIAAgACAAIABcACIAQwBsAGEAcwBzAFwAIgAsACAAXAAiAE4AVwBqAFwAIgAsACAAXAAiAE4AVwBqACAAZABhAGkAbAB5AFwAIgAsACAAXAAiAEMAbABhAHMAcwAgAG4AYQBtAGUAXAAiADsAXABuACAAIAAgACAAIAAgACAAIAAgACAAXAAiAEIAbwBhAHIAcwBcACIALAAgADAALgAwADQANgAsACAAMAAuADAANAA2ACwAIABcACIAQgBvAGEAcgBzAFwAIgA7AFwAbgAgACAAIAAgACAAIAAgACAAIAAgAFwAIgBTAG8AdwBzAFwAIgAsADAALgAwADQAOQAsACAAMAAuADAANAA5ACwAIABcACIAUwBvAHcAcwBcACIAOwBcAG4AIAAgACAAIAAgACAAIAAgACAAIABcACIARwBpAGwAdABzAFwAIgAsACAAMAAuADAANAA2ACwAIAAwAC4AMAA0ADYALAAgAFwAIgBHAGkAbAB0AHMAXAAiADsAXABuACAAIAAgACAAIAAgACAAIAAgACAAXAAiAE8AdABoAGUAcgBzACAAKABrAGcALwBoAGUAYQBkAC8AeQBlAGEAcgApAFwAIgAsACAAMQAxAC4ANAAsACAAMAAuADAAMwAxADIALAAgAFwAIgBPAHQAaABlAHIAcwBcACIAXABuACAAIAAgACAAIAAgACAAIAB9ACwAIAByACwAIABjACkAXABuACAAIAAgACAAIAAgACkAXABuACAAIAAgACAAKQBcAG4AIAAgACkAOwBcAG4AXABuAFwAbgAvACoAIABcAG4ALQAtAC0ALQAtAC0ALQAtAC0ALQAtAC0ALQAtAC0ALQAtAC0ALQAtAC0ALQAtAC0ALQAtAC0ALQAtAC0ALQAtAC0ALQAtAC0ALQAtAFwAbgBTAG8AdQByAGMAZQBEAGEAdABhAF8AUwB3AGkAbgBlAF8ARgByAGEAYwB0AGkAbwBuAE4AVgBvAGwAYQB0AGkAbABpAHMAZQBkAFwAbgBGAHIAYQBjAEcAQQBTAE0AbQBUAFwAbgAoAGsAZwAgAE4ASAAzAC0ATgAgACsAIABOAE8AeAAtAE4AKQAvAGsAZwBOAFwAbgAtAC0ALQAtAC0ALQAtAC0ALQAtAC0ALQAtAC0ALQAtAC0ALQAtAC0ALQAtAC0ALQAtAC0ALQAtAC0ALQAtAC0ALQAtAC0ALQAtAC0AXABuACoALwBcAG4AXABuAFMAbwB1AHIAYwBlAEQAYQB0AGEAXwBTAHcAaQBuAGUAXwBGAHIAYQBjAHQAaQBvAG4ATgBWAG8AbABhAHQAaQBsAGkAcwBlAGQAXwBUAGkAdABsAGUAXABuACAAIAA9AEwAQQBNAEIARABBACgAXAAiAFMAdwBpAG4AZQAgAC0AIABGAHIAYQBjAHQAaQBvAG4AIABvAGYAIABuAGkAdAByAG8AZwBlAG4AIAB2AG8AbABhAHQAaQBsAGkAcwBlAGQAIAAoAEYAcgBhAGMARwBBAFMATQBtAFQAKQBcACIAKQA7AFwAbgBcAG4AUwBvAHUAcgBjAGUARABhAHQAYQBfAFMAdwBpAG4AZQBfAEYAcgBhAGMAdABpAG8AbgBOAFYAbwBsAGEAdABpAGwAaQBzAGUAZABfAFUAbgBpAHQAXABuACAAIAA9AEwAQQBNAEIARABBACgAXAAiACgAawBnACAATgBIADMALQBOACAAKwAgAE4ATwB4AC0ATgApAC8AawBnAE4AXAAiACkAOwBcAG4AXABuAFMAbwB1AHIAYwBlAEQAYQB0AGEAXwBTAHcAaQBuAGUAXwBGAHIAYQBjAHQAaQBvAG4ATgBWAG8AbABhAHQAaQBsAGkAcwBlAGQAXwBTAG8AdQByAGMAZQBcAG4AIAAgAD0ATABBAE0AQgBEAEEAKABcACIAVgBFAEUAUgBHACAAMgAwADIANgA6ACAAVABhAGIAbABlACAAQQAuADEALgA2AC4AMgA6ACAAUwB3AGkAbgBlACAALQAgAEYAcgBhAGMAdABpAG8AbgAgAG8AZgAgAE4AIAB2AG8AbABhAHQAaQBsAGkAcwBlAGQAIABiAHkAIABNAE0AUwAgACgAKABrAGcAIABOAEgAMwAtAE4AIAArACAATgBPAHgALQBOACkALwBrAGcATgApACAAKABGAHIAYQBjAEcAQQBTAE0AbQBUACkAXAAiACkAOwBcAG4AXABuAFMAbwB1AHIAYwBlAEQAYQB0AGEAXwBTAHcAaQBuAGUAXwBGAHIAYQBjAHQAaQBvAG4ATgBWAG8AbABhAHQAaQBsAGkAcwBlAGQAXwBWAGEAcgBpAGEAdABpAG8AbgBcAG4AIAAgAD0ATABBAE0AQgBEAEEAKABcACIAVgBBAFIASQBBAFQASQBPAE4AIABPAE4AIABTAE8AVQBSAEMARQAgAEQAQQBUAEEAOgAgAEEAZABkAGUAZAAgACcATgBJAFIAIAByAGUAZgBlAHIAZQBuAGMAZQAgAGMAbwBsAHUAbQBuACAAdABvACAAYQBpAGQAIABsAG8AbwBrAHUAcAAuAFwAIgApADsAXABuAFwAbgBTAG8AdQByAGMAZQBEAGEAdABhAF8AUwB3AGkAbgBlAF8ARgByAGEAYwB0AGkAbwBuAE4AVgBvAGwAYQB0AGkAbABpAHMAZQBkAF8ARABhAHQAYQBcAG4AIAAgAD0ATABBAE0AQgBEAEEAKABcAG4AIAAgACAAIABNAEEASwBFAEEAUgBSAEEAWQAoADcALAAgADMALAAgAFwAbgAgACAAIAAgACAAIABMAEEATQBCAEQAQQAoAHIALABjACwAIABcAG4AIAAgACAAIAAgACAAIAAgAEkATgBEAEUAWAAoAHsAXABuACAAIAAgACAAIAAgACAAIAAgACAAXAAiAE0ATQBTAG0AXAAiACwAIABcACIARgByAGEAYwBHAEEAUwBNAG0AVABcACIALAAgAFwAIgBOAEkAUgAgAHIAZQBmAGUAcgBlAG4AYwBlAFwAIgA7AFwAbgAgACAAIAAgACAAIAAgACAAIAAgAFwAIgBPAHUAdABkAG8AbwByACAAKABEAHIAeQAgAGwAbwB0ACkAXAAiACwAIAAwAC4AMwAsACAAXAAiAEQAcgB5AGwAbwB0ACAAKABmAGUAZQBkACAAcABhAGQAKQBcACIAOwBcAG4AIAAgACAAIAAgACAAIAAgACAAIABcACIARABlAGUAcAAgAGwAaQB0AHQAZQByAFwAIgAsACAAMAAuADEAMgA1ACwAIABcACIARABlAGUAcAAgAGwAaQB0AHQAZQByAFwAIgA7AFwAbgAgACAAIAAgACAAIAAgACAAIAAgAFwAIgBTAHQAbwBjAGsAcABpAGwAZQAgACgAUwBvAGwAaQBkACAAcwB0AG8AcgBhAGcAZQApAFwAIgAsACAAMAAuADIALAAgAFwAIgBTAG8AbABpAGQAIABzAHQAbwByAGEAZwBlAFwAIgA7AFwAbgAgACAAIAAgACAAIAAgACAAIAAgAFwAIgBFAGYAZgBsAHUAZQBuAHQAIABwAG8AbgBkACAAKABVAG4AYwBvAHYAZQByAGUAZAAgAGEAbgBhAGUAcgBvAGIAaQBjACAAbABhAGcAbwBvAG4AKQBcACIALAAgADAALgA1ADUALAAgAFwAIgBBAG4AYQBlAHIAbwBiAGkAYwAgAGwAYQBnAG8AbwBuAFwAIgA7AFwAbgAgACAAIAAgACAAIAAgACAAIAAgAFwAIgBBAG4AYQBlAHIAbwBiAGkAYwAgAGQAaQBnAGUAcwB0AGUAcgAgAC8AIABDAG8AdgBlAHIAZQBkACAAbABhAGcAbwBvAG4AXAAiACwAIAAwACwAIABcACIARABpAGcAZQBzAHQAZQByACAALwAgAGMAbwB2AGUAcgBlAGQAIABsAGEAZwBvAG8AbgBzAFwAIgA7AFwAbgAgACAAIAAgACAAIAAgACAAIAAgAFwAIgBTAGgAbwByAHQAIABIAFIAVAAgAHQAYQBuAGsAIABzAHQAbwByAGEAZwBlACAAPAAgADEAIABtAG8AbgB0AGgAIAAoAHAAaQB0ACAAcwB0AG8AcgBhAGcAZQApAFwAIgAsACAAMAAuADIANQAsACAAXAAiAFAAaQB0ACAAcwB0AG8AcgBhAGcAZQBcACIAXABuACAAIAAgACAAIAAgACAAIAB9ACwAIAByACwAIABjACkAXABuACAAIAAgACAAIAAgACkAXABuACAAIAAgACAAKQBcAG4AIAAgACkAOwBcAG4AXABuAFwAbgAvACoAIABcAG4ALQAtAC0ALQAtAC0ALQAtAC0ALQAtAC0ALQAtAC0ALQAtAC0ALQAtAC0ALQAtAC0ALQAtAC0ALQAtAC0ALQAtAC0ALQAtAC0ALQAtAFwAbgBTAG8AdQByAGMAZQBEAGEAdABhAF8AUwB3AGkAbgBlAF8ATgBpAHQAcgBvAHUAcwBPAHgAaQBkAGUARQBGAHMAXABuAEYAcgBhAGMARwBBAFMATQBtAFQAXABuAGsAZwBOADIATwAgAC0AIABOACAALwAgAGsAZwBOAFwAbgAtAC0ALQAtAC0ALQAtAC0ALQAtAC0ALQAtAC0ALQAtAC0ALQAtAC0ALQAtAC0ALQAtAC0ALQAtAC0ALQAtAC0ALQAtAC0ALQAtAC0AXABuACoALwBcAG4AXABuAFMAbwB1AHIAYwBlAEQAYQB0AGEAXwBTAHcAaQBuAGUAXwBOAGkAdAByAG8AdQBzAE8AeABpAGQAZQBFAEYAcwBfAFQAaQB0AGwAZQBcAG4AIAAgAD0ATABBAE0AQgBEAEEAKABcACIAUwB3AGkAbgBlACAALQAgAE4AaQB0AHIAbwB1AHMAIABvAHgAaQBkAGUAIABFAEYAcwAgAGIAeQAgAE0ATQBTACAAKABFAEYAbQBUACkAXAAiACkAOwBcAG4AXABuAFMAbwB1AHIAYwBlAEQAYQB0AGEAXwBTAHcAaQBuAGUAXwBOAGkAdAByAG8AdQBzAE8AeABpAGQAZQBFAEYAcwBfAFUAbgBpAHQAXABuACAAIAA9AEwAQQBNAEIARABBACgAXAAiAGsAZwBOADIATwAgAC0AIABOACAALwAgAGsAZwBOAFwAIgApADsAXABuAFwAbgBTAG8AdQByAGMAZQBEAGEAdABhAF8AUwB3AGkAbgBlAF8ATgBpAHQAcgBvAHUAcwBPAHgAaQBkAGUARQBGAHMAXwBTAG8AdQByAGMAZQBcAG4AIAAgAD0ATABBAE0AQgBEAEEAKABcACIAVgBFAEUAUgBHACAAMgAwADIANgA6ACAAVABhAGIAbABlACAAQQAuADEALgA2AC4AMwA6ACAAUwB3AGkAbgBlACAALQAgAE4AaQB0AHIAbwB1AHMAIABvAHgAaQBkAGUAIABFAEYAcwAgAGIAeQAgAE0ATQBTACAAKABrAGcATgAyAE8ALQBOAC8AawBnAE4AKQAgACgARQBGAG0AVAApAFwAIgApADsAXABuAFwAbgBTAG8AdQByAGMAZQBEAGEAdABhAF8AUwB3AGkAbgBlAF8ATgBpAHQAcgBvAHUAcwBPAHgAaQBkAGUARQBGAHMAXwBWAGEAcgBpAGEAdABpAG8AbgBcAG4AIAAgAD0ATABBAE0AQgBEAEEAKABcACIAVgBBAFIASQBBAFQASQBPAE4AIABPAE4AIABTAE8AVQBSAEMARQAgAEQAQQBUAEEAOgAgAEEAZABkAGUAZAAgACcATgBJAFIAIAByAGUAZgBlAHIAZQBuAGMAZQAgAGMAbwBsAHUAbQBuACAAdABvACAAYQBpAGQAIABsAG8AbwBrAHUAcAAuAFwAIgApADsAXABuAFwAbgBTAG8AdQByAGMAZQBEAGEAdABhAF8AUwB3AGkAbgBlAF8ATgBpAHQAcgBvAHUAcwBPAHgAaQBkAGUARQBGAHMAXwBEAGEAdABhAFwAbgAgACAAPQBMAEEATQBCAEQAQQAoAFwAbgAgACAAIAAgAE0AQQBLAEUAQQBSAFIAQQBZACgANwAsACAAMwAsACAAXABuACAAIAAgACAAIAAgAEwAQQBNAEIARABBACgAcgAsAGMALAAgAFwAbgAgACAAIAAgACAAIAAgACAASQBOAEQARQBYACgAewBcAG4AIAAgACAAIAAgACAAIAAgACAAIABcACIATQBNAFMAbQBcACIALAAgAFwAIgBFAEYAbQBUAFwAIgAsACAAXAAiAE4ASQBSACAAcgBlAGYAZQByAGUAbgBjAGUAXAAiADsAXABuACAAIAAgACAAIAAgACAAIAAgACAAXAAiAE8AdQB0AGQAbwBvAHIAIAAoAEQAcgB5ACAAbABvAHQAKQBcACIALAAgADAALgAwADIALAAgAFwAIgBEAHIAeQBsAG8AdAAgACgAZgBlAGUAZAAgAHAAYQBkACkAXAAiADsAXABuACAAIAAgACAAIAAgACAAIAAgACAAXAAiAEQAZQBlAHAAIABsAGkAdAB0AGUAcgBcACIALAAgADAALgAwADEALAAgAFwAIgBEAGUAZQBwACAAbABpAHQAdABlAHIAXAAiADsAXABuACAAIAAgACAAIAAgACAAIAAgACAAXAAiAFMAdABvAGMAawBwAGkAbABlACAAKABTAG8AbABpAGQAIABzAHQAbwByAGEAZwBlACkAXAAiACwAIAAwAC4AMAAwADUALAAgAFwAIgBTAG8AbABpAGQAIABzAHQAbwByAGEAZwBlAFwAIgA7AFwAbgAgACAAIAAgACAAIAAgACAAIAAgAFwAIgBFAGYAZgBsAHUAZQBuAHQAIABwAG8AbgBkACAAKABVAG4AYwBvAHYAZQByAGUAZAAgAGEAbgBhAGUAcgBvAGIAaQBjACAAbABhAGcAbwBvAG4AKQBcACIALAAgADAALAAgAFwAIgBBAG4AYQBlAHIAbwBiAGkAYwAgAGwAYQBnAG8AbwBuAFwAIgA7AFwAbgAgACAAIAAgACAAIAAgACAAIAAgAFwAIgBBAG4AYQBlAHIAbwBiAGkAYwAgAGQAaQBnAGUAcwB0AG8AcgAgAC8AIABDAG8AdgBlAHIAZQBkACAAbABhAGcAbwBvAG4AXAAiACwAIAAwACwAIABcACIARABpAGcAZQBzAHQAZQByACAALwAgAGMAbwB2AGUAcgBlAGQAIABsAGEAZwBvAG8AbgBzAFwAIgA7AFwAbgAgACAAIAAgACAAIAAgACAAIAAgAFwAIgBTAGgAbwByAHQAIABIAFIAVAAgAHQAYQBuAGsAIABzAHQAbwByAGEAZwBlACAAPAAgADEAIABtAG8AbgB0AGgAIAAoAHAAaQB0ACAAcwB0AG8AcgBhAGcAZQApAFwAIgAsACAAMAAuADAAMAAyACwAIABcACIAUABpAHQAIABzAHQAbwByAGEAZwBlAFwAIgBcAG4AIAAgACAAIAAgACAAIAAgAH0ALAAgAHIALAAgAGMAKQBcAG4AIAAgACAAIAAgACAAKQBcAG4AIAAgACAAIAApAFwAbgAgACAAKQA7AFwAbgBcAG4AXABuAC8AKgAgAFwAbgAtAC0ALQAtAC0ALQAtAC0ALQAtAC0ALQAtAC0ALQAtAC0ALQAtAC0ALQAtAC0ALQAtAC0ALQAtAC0ALQAtAC0ALQAtAC0ALQAtAC0AXABuAFMAbwB1AHIAYwBlAEQAYQB0AGEAXwBTAHcAaQBuAGUAXwBNAGUAdABoAGEAbgBlAFYAbwBsAGEAdABpAGwAZQBTAG8AbABpAGQAcwBFAG0AaQBzAHMAaQBvAG4AcwBQAG8AdABlAG4AdABpAGEAbABcAG4AQgAwAFwAbgBtADMAIABDAEgANAAvAGsAZwAgAFYAUwBcAG4ALQAtAC0ALQAtAC0ALQAtAC0ALQAtAC0ALQAtAC0ALQAtAC0ALQAtAC0ALQAtAC0ALQAtAC0ALQAtAC0ALQAtAC0ALQAtAC0ALQAtAFwAbgAqAC8AXABuAFwAbgBTAG8AdQByAGMAZQBEAGEAdABhAF8AUwB3AGkAbgBlAF8ATQBlAHQAaABhAG4AZQBWAG8AbABhAHQAaQBsAGUAUwBvAGwAaQBkAHMARQBtAGkAcwBzAGkAbwBuAHMAUABvAHQAZQBuAHQAaQBhAGwAXwBUAGkAdABsAGUAXABuACAAIAA9AEwAQQBNAEIARABBACgAXAAiAEUAbQBpAHMAcwBpAG8AbgBzACAAcABvAHQAZQBuAHQAaQBhAGwAIABvAGYAIABtAGUAdABoAGEAbgBlACAAcABlAHIAIABrAGkAbABvAGcAcgBhAG0AIABvAGYAIAB2AG8AbABhAHQAaQBsAGUAIABzAG8AbABpAGQAcwBcACIAKQA7AFwAbgBcAG4AUwBvAHUAcgBjAGUARABhAHQAYQBfAFMAdwBpAG4AZQBfAE0AZQB0AGgAYQBuAGUAVgBvAGwAYQB0AGkAbABlAFMAbwBsAGkAZABzAEUAbQBpAHMAcwBpAG8AbgBzAFAAbwB0AGUAbgB0AGkAYQBsAF8AVgBhAHIAaQBhAGIAbABlAFwAbgAgACAAPQBMAEEATQBCAEQAQQAoAFwAIgBCADAAXAAiACkAOwBcAG4AXABuAFMAbwB1AHIAYwBlAEQAYQB0AGEAXwBTAHcAaQBuAGUAXwBNAGUAdABoAGEAbgBlAFYAbwBsAGEAdABpAGwAZQBTAG8AbABpAGQAcwBFAG0AaQBzAHMAaQBvAG4AcwBQAG8AdABlAG4AdABpAGEAbABfAFUAbgBpAHQAXABuACAAIAA9AEwAQQBNAEIARABBACgAXAAiAG0AMwAgAEMASAA0ACAALwAgAGsAZwAgAFYAUwBcACIAKQA7AFwAbgBcAG4AUwBvAHUAcgBjAGUARABhAHQAYQBfAFMAdwBpAG4AZQBfAE0AZQB0AGgAYQBuAGUAVgBvAGwAYQB0AGkAbABlAFMAbwBsAGkAZABzAEUAbQBpAHMAcwBpAG8AbgBzAFAAbwB0AGUAbgB0AGkAYQBsAF8AUwBvAHUAcgBjAGUAXABuACAAIAA9AEwAQQBNAEIARABBACgAXAAiAEkAUABDAEMAIAAoADIAMAAxADkAKQAsACAAQwBoAGEAcAB0AGUAcgAgADEAMAAgAFsANABdAFwAIgApADsAXABuAFwAbgBTAG8AdQByAGMAZQBEAGEAdABhAF8AUwB3AGkAbgBlAF8ATQBlAHQAaABhAG4AZQBWAG8AbABhAHQAaQBsAGUAUwBvAGwAaQBkAHMARQBtAGkAcwBzAGkAbwBuAHMAUABvAHQAZQBuAHQAaQBhAGwAXwBWAGEAcgBpAGEAdABpAG8AbgBcAG4AIAAgAD0ATABBAE0AQgBEAEEAKABcACIAXAAiACkAOwBcAG4AXABuAFMAbwB1AHIAYwBlAEQAYQB0AGEAXwBTAHcAaQBuAGUAXwBNAGUAdABoAGEAbgBlAFYAbwBsAGEAdABpAGwAZQBTAG8AbABpAGQAcwBFAG0AaQBzAHMAaQBvAG4AcwBQAG8AdABlAG4AdABpAGEAbABfAEQAYQB0AGEAXABuACAAIAA9AEwAQQBNAEIARABBACgAMAAuADEAOQApADsAXABuAFwAbgBcAG4ALwAqACAAXABuAC0ALQAtAC0ALQAtAC0ALQAtAC0ALQAtAC0ALQAtAC0ALQAtAC0ALQAtAC0ALQAtAC0ALQAtAC0ALQAtAC0ALQAtAC0ALQAtAC0ALQBcAG4AUwBvAHUAcgBjAGUARABhAHQAYQBfAFMAdwBpAG4AZQBfAE0ATQBTAF8ATQBDAEYAcwBcAG4AVABhAGIAbABlACAAQQAuADEALgA2AC4ANAA6ACAAUwB3AGkAbgBlACAALQAgAE0AQwBGAHMAIAAoAE0AQwBGAGkAbQApAFwAbgAtAC0ALQAtAC0ALQAtAC0ALQAtAC0ALQAtAC0ALQAtAC0ALQAtAC0ALQAtAC0ALQAtAC0ALQAtAC0ALQAtAC0ALQAtAC0ALQAtAC0AXABuACoALwBcAG4AXABuAFMAbwB1AHIAYwBlAEQAYQB0AGEAXwBTAHcAaQBuAGUAXwBNAE0AUwBfAE0AQwBGAHMAXwBUAGkAdABsAGUAXABuACAAIAA9AEwAQQBNAEIARABBACgAXAAiAE0AZQB0AGgAYQBuAGUAIABjAG8AbgB2AGUAcgBzAGkAbwBuACAAZgBhAGMAdABvAHIAIABmAG8AcgAgAHQAZQBtAHAAZQByAGEAdAB1AHIAZQAgAHoAbwBuAGUAIABhAG4AZAAgAG0AYQBuAHUAcgBlACAAbQBhAG4AYQBnAGUAbQBlAG4AdAAgAHMAeQBzAHQAZQBtAC4AXAAiACkAOwBcAG4AXABuAFMAbwB1AHIAYwBlAEQAYQB0AGEAXwBTAHcAaQBuAGUAXwBNAE0AUwBfAE0AQwBGAHMAXwBVAG4AaQB0AFwAbgAgACAAPQBMAEEATQBCAEQAQQAoAFwAIgBcACIAKQA7AFwAbgBcAG4AUwBvAHUAcgBjAGUARABhAHQAYQBfAFMAdwBpAG4AZQBfAE0ATQBTAF8ATQBDAEYAcwBfAFMAbwB1AHIAYwBlAFwAbgAgACAAPQBMAEEATQBCAEQAQQAoAFwAIgBWAEUARQBSAEcAIAAyADAAMgA2ADoAIABUAGEAYgBsAGUAIABBAC4AMQAuADYALgA0ADoAIABTAHcAaQBuAGUAIAAtACAATQBDAEYAcwAgACgATQBDAEYAaQBtACkAXAAiACkAOwBcAG4AXABuAFMAbwB1AHIAYwBlAEQAYQB0AGEAXwBTAHcAaQBuAGUAXwBNAE0AUwBfAE0AQwBGAHMAXwBWAGEAcgBpAGEAdABpAG8AbgBcAG4AIAAgAD0ATABBAE0AQgBEAEEAKABcACIAVgBBAFIASQBBAFQASQBPAE4AIABPAE4AIABTAE8AVQBSAEMARQAgAEQAQQBUAEEAOgAgAEEAZABkAGUAZAAgAGMAbwBsAHUAbQBuAHMAIABmAG8AcgAgAEEAQwBUACwAIABzAHAAbABpAHQAIABRAEwARAAgAGEAbgBkACAATgBUAC4AIABBAGQAZABlAGQAIABlAHgAdAByAGEAIABjAG8AbAB1AG0AbgAgAHcAaQB0AGgAIABNAE0AUwAgAG4AYQBtAGUAcwAgAHQAaABhAHQAIABtAGEAdABjAGgAIABOAEkAUgAgAGQAZQBmAGkAbgBpAHQAaQBvAG4AcwBcACIAKQA7AFwAbgBcAG4AUwBvAHUAcgBjAGUARABhAHQAYQBfAFMAdwBpAG4AZQBfAE0ATQBTAF8ATQBDAEYAcwBfAEQAYQB0AGEAXABuACAAIAA9AEwAQQBNAEIARABBACgAXABuACAAIAAgACAATQBBAEsARQBBAFIAUgBBAFkAKAA4ACwAIAAxADAALAAgAFwAbgAgACAAIAAgACAAIABMAEEATQBCAEQAQQAoAHIALABjACwAIABcAG4AIAAgACAAIAAgACAAIAAgAEkATgBEAEUAWAAoAHsAXABuACAAIAAgACAAIAAgACAAIAAgACAAXAAiAE0ATQBTAFwAIgAsACAAXAAiAE4AUwBXAFwAIgAsACAAXAAiAEEAQwBUAFwAIgAsACAAXAAiAFEATABEAFwAIgAsACAAXAAiAE4AVABcACIALAAgAFwAIgBTAEEAXAAiACwAIABcACIAVABBAFMAXAAiACwAIABcACIAVgBJAEMAXAAiACwAIABcACIAVwBBAFwAIgAsACAAXAAiAE4ASQBSACAAZABlAGYAaQBuAGkAdABpAG8AbgBcACIAOwBcAG4AIAAgACAAIAAgACAAIAAgACAAIABcACIATwB1AHQAZABvAG8AcgAgACgARAByAHkAIABsAG8AdAApAFwAIgAsACAAMAAuADAAMQAsACAAMAAuADAAMQAsACAAMAAuADAAMwAsACAAMAAuADAAMwAsACAAMAAuADAAMQAsACAAMAAuADAAMQAsACAAMAAuADAAMQAsACAAMAAuADAAMQAsACAAXAAiAEQAcgB5AGwAbwB0ACAAKABmAGUAZQBkACAAcABhAGQAKQBcACIAOwAgAFwAbgAgACAAIAAgACAAIAAgACAAIAAgAFwAIgBEAGUAZQBwACAAbABpAHQAdABlAHIAXAAiACwAIAAwAC4AMAA0ACwAIAAwAC4AMAA0ACwAIAAwAC4AMAA0ACwAIAAwAC4AMAA0ACwAIAAwAC4AMAA0ACwAIAAwAC4AMAA0ACwAIAAwAC4AMAA0ACwAIAAwAC4AMAA0ACwAIABcACIARABlAGUAcAAgAGwAaQB0AHQAZQByAFwAIgA7AFwAbgAgACAAIAAgACAAIAAgACAAIAAgAFwAIgBTAHQAbwBjAGsAcABpAGwAZQAgACgAUwBvAGwAaQBkACAAcwB0AG8AcgBhAGcAZQApAFwAIgAsACAAMAAuADAAMgAsACAAMAAuADAAMgAsACAAMAAuADAAMgAsACAAMAAuADAAMgAsACAAMAAuADAAMgAsACAAMAAuADAAMgAsACAAMAAuADAAMgAsACAAMAAuADAAMgAsACAAXAAiAFMAbwBsAGkAZAAgAHMAdABvAHIAYQBnAGUAXAAiADsAXABuACAAIAAgACAAIAAgACAAIAAgACAAXAAiAEUAZgBmAGwAdQBlAG4AdAAgAHAAbwBuAGQAIAAoAFUAbgBjAG8AdgBlAHIAZQBkACAAYQBuAGEAZQByAG8AYgBpAGMAIABsAGEAZwBvAG8AbgApAFwAIgAsACAAMAAuADcANQAsACAAMAAuADcANQAsACAAMAAuADcAOAAsACAAMAAuADcAOAAsACAAMAAuADcANQAsACAAMAAuADcAMAAsACAAMAAuADcANAAsACAAMAAuADcANgAsACAAXAAiAEEAbgBhAGUAcgBvAGIAaQBjACAAbABhAGcAbwBvAG4AXAAiADsAXABuACAAIAAgACAAIAAgACAAIAAgACAAXAAiAEEAbgBhAGUAcgBvAGIAaQBjACAAZABpAGcAZQBzAHQAZQByACAALwAgAEMAbwB2AGUAcgBlAGQAIABsAGEAZwBvAG8AbgBcACIALAAgADAALgAxACwAIAAwAC4AMQAsACAAMAAuADEALAAgADAALgAxACwAIAAwAC4AMQAsACAAMAAuADEALAAgADAALgAxACwAIAAwAC4AMQAsACAAXAAiAEQAaQBnAGUAcwB0AGUAcgAgAC8AIABjAG8AdgBlAHIAZQBkACAAbABhAGcAbwBvAG4AcwBcACIAOwAgAFwAbgAgACAAIAAgACAAIAAgACAAIAAgAFwAIgBTAGgAbwByAHQAIABIAFIAVAAgAHQAYQBuAGsAIABzAHQAbwByAGEAZwBlACAAPAAgADEAIABtAG8AbgB0AGgAIAAoAHAAaQB0ACAAcwB0AG8AcgBhAGcAZQApAFwAIgAsACAAMAAuADAAMwAsACAAMAAuADAAMwAsACAAMAAuADAAMwAsACAAMAAuADAAMwAsACAAMAAuADAAMwAsACAAMAAuADAAMwAsACAAMAAuADAAMwAsACAAMAAuADAAMwAsACAAXAAiAFAAaQB0ACAAcwB0AG8AcgBhAGcAZQBcACIAOwAgAFwAbgAgACAAIAAgACAAIAAgACAAIAAgAFwAIgBEAGkAcgBlAGMAdAAgAEEAcABwAGwAaQBjAGEAdABpAG8AbgAgAHQAbwAgAHMAbwBpAGwAXAAiACwAIAAwACwAIAAwACwAIAAwACwAIAAwACwAIAAwACwAIAAwACwAIAAwACwAIAAwACwAIABcACIARABpAHIAZQBjAHQAIABhAHAAcABsAGkAYwBhAHQAaQBvAG4AXAAiAFwAbgAgACAAIAAgACAAIAAgACAAfQAsACAAcgAsACAAYwApAFwAbgAgACAAIAAgACAAIAApAFwAbgAgACAAIAAgACkAXABuACAAIAApADsAXABuAFwAbgBcAG4ALwAqACAAXABuAC0ALQAtAC0ALQAtAC0ALQAtAC0ALQAtAC0ALQAtAC0ALQAtAC0ALQAtAC0ALQAtAC0ALQAtAC0ALQAtAC0ALQAtAC0ALQAtAC0ALQBcAG4AUwBvAHUAcgBjAGUARABhAHQAYQBfAFMAdwBpAG4AZQBfAEEAdgBlAHIAYQBnAGUATABpAHYAZQB3AGUAaQBnAGgAdABcAG4AVwBjAG8AXABuAGsAZwBcAG4ALQAtAC0ALQAtAC0ALQAtAC0ALQAtAC0ALQAtAC0ALQAtAC0ALQAtAC0ALQAtAC0ALQAtAC0ALQAtAC0ALQAtAC0ALQAtAC0ALQAtAFwAbgAqAC8AXABuAFwAbgBTAG8AdQByAGMAZQBEAGEAdABhAF8AUwB3AGkAbgBlAF8AQQB2AGUAcgBhAGcAZQBMAGkAdgBlAHcAZQBpAGcAaAB0AF8AVABpAHQAbABlAFwAbgAgACAAPQBMAEEATQBCAEQAQQAoAFwAIgBTAHcAaQBuAGUAIAAtACAAQQB2AGUAcgBhAGcAZQAgAGwAaQB2AGUAdwBlAGkAZwBoAHQAIAAoAGkAbgB2AGUAbgB0AG8AcgB5ACAAZABlAGYAYQB1AGwAdABzACkAIAAoAGsAZwApACAAKABXAGMAbwApAFwAIgApADsAXABuAFwAbgBTAG8AdQByAGMAZQBEAGEAdABhAF8AUwB3AGkAbgBlAF8AQQB2AGUAcgBhAGcAZQBMAGkAdgBlAHcAZQBpAGcAaAB0AF8AVQBuAGkAdABcAG4AIAAgAD0ATABBAE0AQgBEAEEAKABcACIAawBnAFwAIgApADsAXABuAFwAbgBTAG8AdQByAGMAZQBEAGEAdABhAF8AUwB3AGkAbgBlAF8AQQB2AGUAcgBhAGcAZQBMAGkAdgBlAHcAZQBpAGcAaAB0AF8AUwBvAHUAcgBjAGUAXABuACAAIAA9AEwAQQBNAEIARABBACgAXAAiAFYARQBFAFIARwAgADIAMAAyADYAOgAgAFQAYQBiAGwAZQAgAEEALgAxAC4ANgAuADUAOgAgAFMAdwBpAG4AZQAgAC0AIABBAHYAZQByAGEAZwBlACAAbABpAHYAZQB3AGUAaQBnAGgAdAAgACgAaQBuAHYAZQBuAHQAbwByAHkAIABkAGUAZgBhAHUAbAB0AHMAKQAgACgAawBnACkAIAAoAFcAYwBvACkAXAAiACkAOwBcAG4AXABuAFMAbwB1AHIAYwBlAEQAYQB0AGEAXwBTAHcAaQBuAGUAXwBBAHYAZQByAGEAZwBlAEwAaQB2AGUAdwBlAGkAZwBoAHQAXwBWAGEAcgBpAGEAdABpAG8AbgBcAG4AIAAgAD0ATABBAE0AQgBEAEEAKABcACIALgBcACIAKQA7AFwAbgBcAG4AUwBvAHUAcgBjAGUARABhAHQAYQBfAFMAdwBpAG4AZQBfAEEAdgBlAHIAYQBnAGUATABpAHYAZQB3AGUAaQBnAGgAdABfAEQAYQB0AGEAXABuACAAIAA9AEwAQQBNAEIARABBACgAXABuACAAIAAgACAATQBBAEsARQBBAFIAUgBBAFkAKAA2ACwAIAAyACwAIABcAG4AIAAgACAAIAAgACAATABBAE0AQgBEAEEAKAByACwAYwAsACAAXABuACAAIAAgACAAIAAgACAAIABJAE4ARABFAFgAKAB7AFwAbgAgACAAIAAgACAAIAAgACAAIAAgAFwAIgBMAGkAdgBlAHMAdABvAGMAawAgAFQAeQBwAGUAIABqAFwAIgAsACAAXAAiAEEAdgBlAHIAYQBnAGUAIABMAGkAdgBlAHcAZQBpAGcAaAB0ACAAKABrAGcAKQBcACIAOwBcAG4AIAAgACAAIAAgACAAIAAgACAAIABcACIAUwBvAHcAcwBcACIALAAgADEAOAA4ADsAXABuACAAIAAgACAAIAAgACAAIAAgACAAXAAiAEIAbwBhAHIAcwBcACIALAAgADIAMAA2ADsAXABuACAAIAAgACAAIAAgACAAIAAgACAAXAAiAEcAaQBsAHQAcwBcACIALAAgADEAMgA1ADsAXABuACAAIAAgACAAIAAgACAAIAAgACAAXAAiAFMAbABhAHUAZwBoAHQAZQByACAAcABpAGcAcwBcACIALAAgADMAOQA7AFwAbgAgACAAIAAgACAAIAAgACAAIAAgAFwAIgBTAGwAYQB1AGcAaAB0AGUAcgAgAHAAaQBnAHMAIABhAHQAIAB0AHUAcgBuAG8AZgBmAFwAIgAsACAAOQA3AFwAbgAgACAAIAAgACAAIAAgACAAfQAsACAAcgAsACAAYwApAFwAbgAgACAAIAAgACAAIAApAFwAbgAgACAAIAAgACkAXABuACAAIAApADsAXABuAFwAbgBcAG4ALwAqACAAXABuAC0ALQAtAC0ALQAtAC0ALQAtAC0ALQAtAC0ALQAtAC0ALQAtAC0ALQAtAC0ALQAtAC0ALQAtAC0ALQAtAC0ALQAtAC0ALQAtAC0ALQBcAG4AUwBvAHUAcgBjAGUARABhAHQAYQBfAFMAdwBpAG4AZQBfAFAAcgBvAGQAdQBjAHQAaQBvAG4AUwB5AHMAdABlAG0AcwBcAG4ANAAuADUAIABTAHcAaQBuAGUAIABGAGkAZwB1AHIAZQAgADQALgA4AFwAbgAtAC0ALQAtAC0ALQAtAC0ALQAtAC0ALQAtAC0ALQAtAC0ALQAtAC0ALQAtAC0ALQAtAC0ALQAtAC0ALQAtAC0ALQAtAC0ALQAtAC0AXABuACoALwBcAG4AXABuAFMAbwB1AHIAYwBlAEQAYQB0AGEAXwBTAHcAaQBuAGUAXwBQAHIAbwBkAHUAYwB0AGkAbwBuAFMAeQBzAHQAZQBtAHMAXwBUAGkAdABsAGUAXABuACAAIAA9AEwAQQBNAEIARABBACgAXAAiAFMAdwBpAG4AZQAgAHAAcgBvAGQAdQBjAHQAaQBvAG4AIABzAHkAcwB0AGUAbQBzAFwAIgApADsAXABuAFwAbgBTAG8AdQByAGMAZQBEAGEAdABhAF8AUwB3AGkAbgBlAF8AUAByAG8AZAB1AGMAdABpAG8AbgBTAHkAcwB0AGUAbQBzAF8AVQBuAGkAdABcAG4AIAAgAD0ATABBAE0AQgBEAEEAKABcACIAXAAiACkAOwBcAG4AXABuAFMAbwB1AHIAYwBlAEQAYQB0AGEAXwBTAHcAaQBuAGUAXwBQAHIAbwBkAHUAYwB0AGkAbwBuAFMAeQBzAHQAZQBtAHMAXwBTAG8AdQByAGMAZQBcAG4AIAAgAD0ATABBAE0AQgBEAEEAKABcACIAVgBFAEUAUgBHACAAMgAwADIANgA6ACAANAAuADUAIABTAHcAaQBuAGUAIABGAGkAZwB1AHIAZQAgADQALgA4AFwAIgApADsAXABuAFwAbgBTAG8AdQByAGMAZQBEAGEAdABhAF8AUwB3AGkAbgBlAF8AUAByAG8AZAB1AGMAdABpAG8AbgBTAHkAcwB0AGUAbQBzAF8AVgBhAHIAaQBhAHQAaQBvAG4AXABuACAAIAA9AEwAQQBNAEIARABBACgAXAAiAFwAIgApADsAXABuAFwAbgBTAG8AdQByAGMAZQBEAGEAdABhAF8AUwB3AGkAbgBlAF8AUAByAG8AZAB1AGMAdABpAG8AbgBTAHkAcwB0AGUAbQBzAF8ARABhAHQAYQBcAG4AIAAgAD0ATABBAE0AQgBEAEEAKABcAG4AIAAgACAAIABNAEEASwBFAEEAUgBSAEEAWQAoADQALAAgADEALAAgAFwAbgAgACAAIAAgACAAIABMAEEATQBCAEQAQQAoAHIALABjACwAIABcAG4AIAAgACAAIAAgACAAIAAgAEkATgBEAEUAWAAoAHsAXABuACAAIAAgACAAIAAgACAAIAAgACAAXAAiAFAAcgBvAGQAdQBjAHQAaQBvAG4AIABzAHkAcwB0AGUAbQBcACIAOwBcAG4AIAAgACAAIAAgACAAIAAgACAAIABcACIAQwBvAG4AdgBlAG4AdABpAG8AbgBhAGwAIABoAG8AdQBzAGkAbgBnAFwAIgA7AFwAbgAgACAAIAAgACAAIAAgACAAIAAgAFwAIgBEAGUAZQBwACAAbABpAHQAdABlAHIAIABoAG8AdQBzAGkAbgBnAFwAIgA7AFwAbgAgACAAIAAgACAAIAAgACAAIAAgAFwAIgBPAHUAdABkAG8AbwByAC8AZgByAGUAZQAgAHIAYQBuAGcAZQBcACIAXABuACAAIAAgACAAIAAgACAAIAB9ACwAIAByACwAIABjACkAXABuACAAIAAgACAAIAAgACkAXABuACAAIAAgACAAKQBcAG4AIAAgACkAOwBcAG4AXABuAFwAbgAvACoAIABcAG4ALQAtAC0ALQAtAC0ALQAtAC0ALQAtAC0ALQAtAC0ALQAtAC0ALQAtAC0ALQAtAC0ALQAtAC0ALQAtAC0ALQAtAC0ALQAtAC0ALQAtAFwAbgBTAG8AdQByAGMAZQBEAGEAdABhAF8AUwB3AGkAbgBlAF8ARgByAGEAYwBMAEUAQQBDAEgAXwBEAHIAeQBsAG8AdABNAE0AUwBcAG4ARgByAGEAYwBMAEUAQQBDAEgAXwBNAFMAXABuAGYAcgBhAGMAdABpAG8AbgBcAG4ALQAtAC0ALQAtAC0ALQAtAC0ALQAtAC0ALQAtAC0ALQAtAC0ALQAtAC0ALQAtAC0ALQAtAC0ALQAtAC0ALQAtAC0ALQAtAC0ALQAtAFwAbgAqAC8AXABuAFwAbgBTAG8AdQByAGMAZQBEAGEAdABhAF8AUwB3AGkAbgBlAF8ARgByAGEAYwBMAEUAQQBDAEgAXwBEAHIAeQBsAG8AdABNAE0AUwBfAFQAaQB0AGwAZQBcAG4AIAAgAD0ATABBAE0AQgBEAEEAKABcACIARgByAGEAYwB0AGkAbwBuACAAbwBmACAAbgBpAHQAcgBvAGcAZQBuACAAbABvAHMAdAAgAHQAaAByAG8AdQBnAGgAIABsAGUAYQBjAGgAaQBuAGcAIABhAG4AZAAgAHIAdQBuAG8AZgBmACAAZgBvAHIAIABkAHIAeQBsAG8AdAAgAE0ATQBTAFwAIgApADsAXABuAFwAbgBTAG8AdQByAGMAZQBEAGEAdABhAF8AUwB3AGkAbgBlAF8ARgByAGEAYwBMAEUAQQBDAEgAXwBEAHIAeQBsAG8AdABNAE0AUwBfAFYAYQByAGkAYQBiAGwAZQBcAG4AIAAgAD0ATABBAE0AQgBEAEEAKABcACIARgByAGEAYwBMAEUAQQBDAEgAXwBNAFMAXAAiACkAOwBcAG4AXABuAFMAbwB1AHIAYwBlAEQAYQB0AGEAXwBTAHcAaQBuAGUAXwBGAHIAYQBjAEwARQBBAEMASABfAEQAcgB5AGwAbwB0AE0ATQBTAF8AVQBuAGkAdABcAG4AIAAgAD0ATABBAE0AQgBEAEEAKABcACIAZgByAGEAYwB0AGkAbwBuAFwAIgApADsAXABuAFwAbgBTAG8AdQByAGMAZQBEAGEAdABhAF8AUwB3AGkAbgBlAF8ARgByAGEAYwBMAEUAQQBDAEgAXwBEAHIAeQBsAG8AdABNAE0AUwBfAFMAbwB1AHIAYwBlAFwAbgAgACAAPQBMAEEATQBCAEQAQQAoAFwAIgBWAEUARQBSAEcAIAAyADAAMgA2ADoAIAA0AC4ANQAuADIALgAzACAAQwBPAE4AUwBUAEEATgBUAFwAIgApADsAXABuAFwAbgBTAG8AdQByAGMAZQBEAGEAdABhAF8AUwB3AGkAbgBlAF8ARgByAGEAYwBMAEUAQQBDAEgAXwBEAHIAeQBsAG8AdABNAE0AUwBfAFYAYQByAGkAYQB0AGkAbwBuAFwAbgAgACAAPQBMAEEATQBCAEQAQQAoAFwAIgBWAEEAUgBJAEEAVABJAE8ATgAgAE8ATgAgAFMATwBVAFIAQwBFADoAIABUAGUAeAB0ACAAcgBlAGYAZQByAHMAIAB0AG8AIAAnAHMAbwBsAGkAZAAgAHMAdABvAHIAYQBnAGUAJwAgAE0ATQBTACwAIABiAHUAdAAgAGUAcQB1AGEAdABpAG8AbgAgAHIAZQBmAGUAcgBzACAAdABvACAAJwBkAHIAeQBsAG8AdAAnACAATQBNAFMALgBcACIAKQA7AFwAbgBcAG4AUwBvAHUAcgBjAGUARABhAHQAYQBfAFMAdwBpAG4AZQBfAEYAcgBhAGMATABFAEEAQwBIAF8ARAByAHkAbABvAHQATQBNAFMAXwBEAGEAdABhAFwAbgAgACAAPQBMAEEATQBCAEQAQQAoADAALgAwADIAKQA7AFwAbgBcAG4AXABuAC8AKgAgAFwAbgAtAC0ALQAtAC0ALQAtAC0ALQAtAC0ALQAtAC0ALQAtAC0ALQAtAC0ALQAtAC0ALQAtAC0ALQAtAC0ALQAtAC0ALQAtAC0ALQAtAC0AXABuAFMAbwB1AHIAYwBlAEQAYQB0AGEAXwBTAHcAaQBuAGUAXwBNAGUAZwBhAGoAbwB1AGwAZQBzAFAAZQByAEsAaQBsAG8AZwByAGEAbQBNAGUAdABoAGEAbgBlAFwAbgBGAFwAbgBNAEoALwBrAGcAIABDAEgANABcAG4AXABuAC0ALQAtAC0ALQAtAC0ALQAtAC0ALQAtAC0ALQAtAC0ALQAtAC0ALQAtAC0ALQAtAC0ALQAtAC0ALQAtAC0ALQAtAC0ALQAtAC0ALQBcAG4AKgAvAFwAbgBcAG4AUwBvAHUAcgBjAGUARABhAHQAYQBfAFMAdwBpAG4AZQBfAE0AZQBnAGEAagBvAHUAbABlAHMAUABlAHIASwBpAGwAbwBnAHIAYQBtAE0AZQB0AGgAYQBuAGUAXwBUAGkAdABsAGUAXABuACAAIAA9AEwAQQBNAEIARABBACgAXAAiAE0AZQBnAGEAagBvAHUAbABlAHMAIABwAGUAcgAgAGsAaQBsAG8AZwByAGEAbQAgAG8AZgAgAG0AZQB0AGgAYQBuAGUAXAAiACkAOwBcAG4AXABuAFMAbwB1AHIAYwBlAEQAYQB0AGEAXwBTAHcAaQBuAGUAXwBNAGUAZwBhAGoAbwB1AGwAZQBzAFAAZQByAEsAaQBsAG8AZwByAGEAbQBNAGUAdABoAGEAbgBlAF8AVgBhAHIAaQBhAGIAbABlAFwAbgAgACAAPQBMAEEATQBCAEQAQQAoAFwAIgBGAFwAIgApADsAXABuAFwAbgBTAG8AdQByAGMAZQBEAGEAdABhAF8AUwB3AGkAbgBlAF8ATQBlAGcAYQBqAG8AdQBsAGUAcwBQAGUAcgBLAGkAbABvAGcAcgBhAG0ATQBlAHQAaABhAG4AZQBfAFUAbgBpAHQAXABuACAAIAA9AEwAQQBNAEIARABBACgAXAAiAE0ASgAgAC8AIABrAGcAIABDAEgANABcACIAKQA7AFwAbgBcAG4AUwBvAHUAcgBjAGUARABhAHQAYQBfAFMAdwBpAG4AZQBfAE0AZQBnAGEAagBvAHUAbABlAHMAUABlAHIASwBpAGwAbwBnAHIAYQBtAE0AZQB0AGgAYQBuAGUAXwBTAG8AdQByAGMAZQBcAG4AIAAgAD0ATABBAE0AQgBEAEEAKABcACIAVgBFAEUAUgBHACAAMgAwADIANgA6ACAAMwAuADUALgAyAC4AMwAgAEMATwBOAFMAVABBAE4AVABcACIAKQA7AFwAbgBcAG4AUwBvAHUAcgBjAGUARABhAHQAYQBfAFMAdwBpAG4AZQBfAE0AZQBnAGEAagBvAHUAbABlAHMAUABlAHIASwBpAGwAbwBnAHIAYQBtAE0AZQB0AGgAYQBuAGUAXwBWAGEAcgBpAGEAdABpAG8AbgBcAG4AIAAgAD0ATABBAE0AQgBEAEEAKABcACIAXAAiACkAOwBcAG4AXABuAFMAbwB1AHIAYwBlAEQAYQB0AGEAXwBTAHcAaQBuAGUAXwBNAGUAZwBhAGoAbwB1AGwAZQBzAFAAZQByAEsAaQBsAG8AZwByAGEAbQBNAGUAdABoAGEAbgBlAF8ARABhAHQAYQBcAG4AIAAgAD0ATABBAE0AQgBEAEEAKAA1ADUALgAyADIAKQA7ACIAfQAsAHsAIgBwAGEAdABoACIAOgAiAC8AcAByAG8AagBlAGMAdABzAC8AUwBvAHUAcgBjAGUARABhAHQAYQBfAFAAbwB1AGwAdAByAHkAIgAsACIAdABlAHgAdAAiADoAIgAvACoAIABcAG4ALQAtAC0ALQAtAC0ALQAtAC0ALQAtAC0ALQAtAC0ALQAtAC0ALQAtAC0ALQAtAC0ALQAtAC0ALQAtAC0ALQAtAC0ALQAtAC0ALQAtAFwAbgBTAG8AdQByAGMAZQBEAGEAdABhAF8AUABvAHUAbAB0AHIAeQBfAEQAaQBlAHQAUAByAG8AcABlAHIAdABpAGUAcwBcAG4AVABhAGIAbABlACAAQQAuADEALgA3AC4AMQA6ACAAUABvAHUAbAB0AHIAeQAgAC0AIABEAGkAZQB0ACAAcAByAG8AcABlAHIAdABpAGUAcwBcAG4ALQAtAC0ALQAtAC0ALQAtAC0ALQAtAC0ALQAtAC0ALQAtAC0ALQAtAC0ALQAtAC0ALQAtAC0ALQAtAC0ALQAtAC0ALQAtAC0ALQAtAFwAbgAqAC8AXABuAFwAbgBTAG8AdQByAGMAZQBEAGEAdABhAF8AUABvAHUAbAB0AHIAeQBfAEQAaQBlAHQAUAByAG8AcABlAHIAdABpAGUAcwBfAFQAaQB0AGwAZQBcAG4AIAAgAD0ATABBAE0AQgBEAEEAKABcACIAUABvAHUAbAB0AHIAeQAgAC0AIABEAGkAZQB0ACAAcAByAG8AcABlAHIAdABpAGUAcwBcACIAKQA7AFwAbgBcAG4AUwBvAHUAcgBjAGUARABhAHQAYQBfAFAAbwB1AGwAdAByAHkAXwBEAGkAZQB0AFAAcgBvAHAAZQByAHQAaQBlAHMAXwBVAG4AaQB0AFwAbgAgACAAPQBMAEEATQBCAEQAQQAoAFwAIgBcACIAKQA7AFwAbgBcAG4AUwBvAHUAcgBjAGUARABhAHQAYQBfAFAAbwB1AGwAdAByAHkAXwBEAGkAZQB0AFAAcgBvAHAAZQByAHQAaQBlAHMAXwBTAG8AdQByAGMAZQBcAG4AIAAgAD0ATABBAE0AQgBEAEEAKABcACIAVgBFAEUAUgBHACAAMgAwADIANgA6ACAAVABhAGIAbABlACAAQQAuADEALgA3AC4AMQA6ACAAUABvAHUAbAB0AHIAeQAgAC0AIABEAGkAZQB0ACAAcAByAG8AcABlAHIAdABpAGUAcwBcACIAKQA7AFwAbgBcAG4AUwBvAHUAcgBjAGUARABhAHQAYQBfAFAAbwB1AGwAdAByAHkAXwBEAGkAZQB0AFAAcgBvAHAAZQByAHQAaQBlAHMAXwBWAGEAcgBpAGEAdABpAG8AbgBcAG4AIAAgAD0ATABBAE0AQgBEAEEAKABcACIAXAAiACkAOwBcAG4AXABuAFMAbwB1AHIAYwBlAEQAYQB0AGEAXwBQAG8AdQBsAHQAcgB5AF8ARABpAGUAdABQAHIAbwBwAGUAcgB0AGkAZQBzAF8ARABhAHQAYQBcAG4AIAAgAD0ATABBAE0AQgBEAEEAKABcAG4AIAAgACAAIABNAEEASwBFAEEAUgBSAEEAWQAoADYALAAgADUALAAgAFwAbgAgACAAIAAgACAAIABMAEEATQBCAEQAQQAoAHIALABjACwAIABcAG4AIAAgACAAIAAgACAAIAAgAEkATgBEAEUAWAAoAHsAXABuACAAIAAgACAAIAAgACAAIAAgACAAXAAiAE4AdQB0AHIAaQBlAG4AdAAgAGEAbgBhAGwAeQBzAGkAcwBcACIALAAgAFwAIgBMAGEAeQBlAHIAcwBcACIALAAgAFwAIgBNAGUAYQB0ACAAYwBoAGkAYwBrAGUAbgAgAGcAcgBvAHcAZQByAHMAXAAiACwAIABcACIATQBlAGEAdAAgAGMAaABpAGMAawBlAG4AIABiAHIAZQBlAGQAZQByAFwAIgAsACAAXAAiAE0AZQBhAHQAIABvAHQAaABlAHIAXAAiADsAXABuACAAIAAgACAAIAAgACAAIAAgACAAXAAiAEQAcgB5ACAAbQBhAHQAdABlAHIAIABpAG4AdABhAGsAZQAgACgAawBnAC8AaABlAGEAZAAvAGQAYQB5ACkAXAAiACwAIAAwAC4AMAA4ADYALAAgADAALgAwADkAMwAsACAAMAAuADEAMAAzACwAIAAwAC4AMAA5ADMAOwAgAFwAbgAgACAAIAAgACAAIAAgACAAIAAgAFwAIgBEAHIAeQAgAG0AYQB0AHQAZQByACAAZABpAGcAZQBzAHQAaQBiAGkAbABpAHQAeQBcACIALAAgADAALgA4ADAALAAgADAALgA4ADAALAAgADAALgA4ADAALAAgADAALgA4ADAAOwBcAG4AIAAgACAAIAAgACAAIAAgACAAIABcACIAQwByAHUAZABlACAAcAByAG8AdABlAGkAbgBcACIALAAgADAALgAxADkALAAgADAALgAyADMALAAgADAALgAxADkALAAgADAALgAyADMAOwBcAG4AIAAgACAAIAAgACAAIAAgACAAIABcACIATgBpAHQAcgBvAGcAZQBuACAAcgBlAHQAZQBuAHQAaQBvAG4AIAByAGEAdABlAFwAIgAsACAAMAAuADMANQAsACAAMAAuADQANwAsACAAMAAuADMAMgAsACAAMAAuADQANwA7AFwAbgAgACAAIAAgACAAIAAgACAAIAAgAFwAIgBNAGEAbgB1AHIAZQAgAGEAcwBoAFwAIgAsACAAMAAuADEAOAAsACAAMAAuADEANQAsACAAMAAuADEAOAAsACAAMAAuADEANQBcAG4AIAAgACAAIAAgACAAIAAgAH0ALAAgAHIALAAgAGMAKQBcAG4AIAAgACAAIAAgACAAKQBcAG4AIAAgACAAIAApAFwAbgAgACAAKQA7AFwAbgBcAG4ALwAqACAAXABuAC0ALQAtAC0ALQAtAC0ALQAtAC0ALQAtAC0ALQAtAC0ALQAtAC0ALQAtAC0ALQAtAC0ALQAtAC0ALQAtAC0ALQAtAC0ALQAtAC0ALQBcAG4AUwBvAHUAcgBjAGUARABhAHQAYQBfAFAAbwB1AGwAdAByAHkAXwBNAEMARgBcAG4AVABhAGIAbABlACAAQQAuADEALgA3AC4ANAA6ACAAUABvAHUAbAB0AHIAeQAgAC0AIABNAEMARgBzAFwAbgAtAC0ALQAtAC0ALQAtAC0ALQAtAC0ALQAtAC0ALQAtAC0ALQAtAC0ALQAtAC0ALQAtAC0ALQAtAC0ALQAtAC0ALQAtAC0ALQAtAC0AXABuACoALwBcAG4AXABuAFMAbwB1AHIAYwBlAEQAYQB0AGEAXwBQAG8AdQBsAHQAcgB5AF8ATQBDAEYAXwBUAGkAdABsAGUAXABuACAAIAA9AEwAQQBNAEIARABBACgAXAAiAFAAbwB1AGwAdAByAHkAIAAtACAATQBDAEYAcwBcACIAKQA7AFwAbgBcAG4AUwBvAHUAcgBjAGUARABhAHQAYQBfAFAAbwB1AGwAdAByAHkAXwBNAEMARgBfAFUAbgBpAHQAXABuACAAIAA9AEwAQQBNAEIARABBACgAXAAiAFwAIgApADsAXABuAFwAbgBTAG8AdQByAGMAZQBEAGEAdABhAF8AUABvAHUAbAB0AHIAeQBfAE0AQwBGAF8AUwBvAHUAcgBjAGUAXABuACAAIAA9AEwAQQBNAEIARABBACgAXAAiAFYARQBFAFIARwAgADIAMAAyADYAOgAgAFQAYQBiAGwAZQAgAEEALgAxAC4ANwAuADQAOgAgAFAAbwB1AGwAdAByAHkAIAAtACAATQBDAEYAcwBcACIAKQA7AFwAbgBcAG4AUwBvAHUAcgBjAGUARABhAHQAYQBfAFAAbwB1AGwAdAByAHkAXwBNAEMARgBfAFYAYQByAGkAYQB0AGkAbwBuAFwAbgAgACAAPQBMAEEATQBCAEQAQQAoAFwAbgAgACAAIAAgAE0AQQBLAEUAQQBSAFIAQQBZACgANQAsACAAMQAsACAAXABuACAAIAAgACAAIAAgAEwAQQBNAEIARABBACgAcgAsAGMALAAgAFwAbgAgACAAIAAgACAAIAAgACAASQBOAEQARQBYACgAewBcAG4AIAAgACAAIAAgACAAIAAgACAAIABcACIAVgBBAFIASQBBAFQASQBPAE4AIABPAE4AIABTAE8AVQBSAEMARQA6AFwAIgA7AFwAbgAgACAAIAAgACAAIAAgACAAIAAgAFwAIgBTAHAAbABpAHQAIABOAFMAVwAgAGEAbgBkACAAQQBDAFQAIABpAG4AdABvACAAcwBlAHAAYQByAGEAdABlACAAcwB0AGEAdABlAHMALgAgAFMAcABsAGkAdAAgAFEATABEACAAYQBuAGQAIABOAFQAIABpAG4AdABvACAAcwBlAHAAYQByAGEAdABlACAAcwB0AGEAdABlAHMALgBcACIAOwBcAG4AIAAgACAAIAAgACAAIAAgACAAIABcACIASQBuAGMAbAB1AGQAZQBkACAAdgBhAGwAdQBlAHMAIABmAG8AcgAgAGUAYQBjAGgAIABzAHQAYQB0AGUAIAB3AGgAZQBuACAAJwBBAGwAbAAgAHMAdABhAHQAZQBzACcAIAB2AGEAbAB1AGUAIABpAHMAIABnAGkAdgBlAG4ALgBcACIAOwBcAG4AIAAgACAAIAAgACAAIAAgACAAIABcACIAQQBkAGQAZQBkACAAJwBOAEkAUgAgAGQAZQBmAGkAbgBpAHQAaQBvAG4AJwAgAGMAbwBsAHUAbQBuACAAdwBpAHQAaAAgAE0ATQBTACAAbgBhAG0AZQBzACAAdABoAGEAdAAgAG0AYQB0AGMAaAAgAE4ASQBSACAAZABlAGYAaQBuAGkAdABpAG8AbgBzAC4AXAAiADsAXABuACAAIAAgACAAIAAgACAAIAAgACAAXAAiAEQAdQBwAGwAaQBjAGEAdABlAGQAIAAnAFAAbwB1AGwAdAByAHkAIABtAGEAbgB1AHIAZQAgAHcAaQB0AGgAbwB1AHQAIABsAGkAdAB0AGUAcgAnACAAcgBvAHcAIABmAG8AcgAgAE4ASQBSACAATQBNAFMAIAAnAEIAZQBsAHQAIABtAGEAbgB1AHIAZQAgAHIAZQBtAG8AdgBhAGwAJwAgAGEAbgBkACAAJwBNAGEAbgB1AHIAZQAgAHMAdABvAHIAZQBkACAAaQBuACAAaABvAHUAcwBlACcAXAAiAFwAbgAgACAAIAAgACAAIAAgACAAfQAsACAAcgAsACAAYwApAFwAbgAgACAAIAAgACAAIAApAFwAbgAgACAAIAAgACkAXABuACAAIAApADsAXABuAFwAbgBTAG8AdQByAGMAZQBEAGEAdABhAF8AUABvAHUAbAB0AHIAeQBfAE0AQwBGAF8ARABhAHQAYQBcAG4AIAAgAD0ATABBAE0AQgBEAEEAKABcAG4AIAAgACAAIABNAEEASwBFAEEAUgBSAEEAWQAoADEAMAAsACAAMQAxACwAIABcAG4AIAAgACAAIAAgACAATABBAE0AQgBEAEEAKAByACwAYwAsACAAXABuACAAIAAgACAAIAAgACAAIABJAE4ARABFAFgAKAB7AFwAbgAgACAAIAAgACAAIAAgACAAIAAgAFwAIgBNAE0AUwAgAG0AXAAiACwAIABcACIAQQBsAGwAIABzAHQAYQB0AGUAcwBcACIALAAgAFwAIgBOAFMAVwBcACIALAAgAFwAIgBBAEMAVABcACIALAAgAFwAIgBRAEwARABcACIALAAgAFwAIgBOAFQAXAAiACwAIABcACIAVgBJAEMAXAAiACwAIABcACIAUwBBAFwAIgAsACAAXAAiAFcAQQBcACIALAAgAFwAIgBUAEEAUwBcACIALAAgAFwAIgBOAEkAUgAgAGQAZQBmAGkAbgBpAHQAaQBvAG4AXAAiADsAXABuACAAIAAgACAAIAAgACAAIAAgACAAXAAiAFAAbwB1AGwAdAByAHkAIABtAGEAbgB1AHIAZQAgAHcAaQB0AGgAIABsAGkAdAB0AGUAcgBcACIALAAgADAALgAwADEANQAsACAAMAAuADAAMQA1ACwAIAAwAC4AMAAxADUALAAgADAALgAwADEANQAsACAAMAAuADAAMQA1ACwAIAAwAC4AMAAxADUALAAgADAALgAwADEANQAsACAAMAAuADAAMQA1ACwAIAAwAC4AMAAxADUALAAgAFwAIgBQAG8AdQBsAHQAcgB5ACAAbQBhAG4AdQByAGUAIAB3AGkAdABoACAAYgBlAGQAZABpAG4AZwBcACIAOwAgAFwAbgAgACAAIAAgACAAIAAgACAAIAAgAFwAIgBQAG8AdQBsAHQAcgB5ACAAbQBhAG4AdQByAGUAIAB3AGkAdABoAG8AdQB0ACAAbABpAHQAdABlAHIAXAAiACwAIAAwAC4AMAAxADUALAAgADAALgAwADEANQAsACAAMAAuADAAMQA1ACwAIAAwAC4AMAAxADUALAAgADAALgAwADEANQAsACAAMAAuADAAMQA1ACwAIAAwAC4AMAAxADUALAAgADAALgAwADEANQAsACAAMAAuADAAMQA1ACwAIABcACIAQgBlAGwAdAAgAG0AYQBuAHUAcgBlACAAcgBlAG0AbwB2AGEAbABcACIAOwBcAG4AIAAgACAAIAAgACAAIAAgACAAIABcACIAUABvAHUAbAB0AHIAeQAgAG0AYQBuAHUAcgBlACAAdwBpAHQAaABvAHUAdAAgAGwAaQB0AHQAZQByAFwAIgAsACAAMAAuADAAMQA1ACwAIAAwAC4AMAAxADUALAAgADAALgAwADEANQAsACAAMAAuADAAMQA1ACwAIAAwAC4AMAAxADUALAAgADAALgAwADEANQAsACAAMAAuADAAMQA1ACwAIAAwAC4AMAAxADUALAAgADAALgAwADEANQAsACAAXAAiAE0AYQBuAHUAcgBlACAAcwB0AG8AcgBlAGQAIABpAG4AIABoAG8AdQBzAGUAXAAiADsAXABuACAAIAAgACAAIAAgACAAIAAgACAAXAAiAFAAYQBzAHQAdQByAGUAIAByAGEAbgBnAGUAIABhAG4AZAAgAHAAYQBkAGQAbwBjAGsAXAAiACwAIABcACIAbgAvAGEAXAAiACwAIAAwAC4AMAAxACwAIAAwAC4AMAAxACwAIAAwAC4AMAAzACwAIAAwAC4AMAAzACwAIAAwAC4AMAAxACwAIAAwAC4AMAAxACwAIAAwAC4AMAAxACwAIAAwAC4AMAAxACwAIABcACIAUABhAHMAdAB1AHIAZQAgAHIAYQBuAGcAZQAgAGEAbgBkACAAcABhAGQAZABvAGMAawBcACIAOwBcAG4AIAAgACAAIAAgACAAIAAgACAAIABcACIAUwBvAGwAaQBkACAAcwB0AG8AcgBhAGcAZQBcACIALAAgADAALgAwADIALAAgADAALgAwADIALAAgADAALgAwADIALAAgADAALgAwADIALAAgADAALgAwADIALAAgADAALgAwADIALAAgADAALgAwADIALAAgADAALgAwADIALAAgADAALgAwADIALAAgAFwAIgBTAG8AbABpAGQAIABzAHQAbwByAGEAZwBlAFwAIgA7AFwAbgAgACAAIAAgACAAIAAgACAAIAAgAFwAIgBDAG8AbQBwAG8AcwB0AGkAbgBnACAAKABwAGEAcwBzAGkAdgBlACAAdwBpAG4AZAByAG8AdwApAFwAIgAsACAAXAAiAG4ALwBhAFwAIgAsACAAMAAuADAAMQAsACAAMAAuADAAMQAsACAAMAAuADAAMQAsACAAMAAuADAAMQAsACAAMAAuADAAMQAsACAAMAAuADAAMQAsACAAMAAuADAAMQAsACAAMAAuADAAMAA1ACwAIABcACIAQwBvAG0AcABvAHMAdABpAG4AZwAgACgAcABhAHMAcwBpAHYAZQAgAHcAaQBuAGQAcgBvAHcAKQBcACIAOwBcAG4AIAAgACAAIAAgACAAIAAgACAAIABcACIAQQBuAGEAZQByAG8AYgBpAGMAIABkAGkAZwBlAHMAdABlAHIAIAAvACAAQwBvAHYAZQByAGUAZAAgAHAAbwBuAGQAXAAiACwAIAAwAC4AMQAsACAAMAAuADEALAAgADAALgAxACwAIAAwAC4AMQAsACAAMAAuADEALAAgADAALgAxACwAIAAwAC4AMQAsACAAMAAuADEALAAgADAALgAxACwAIABcACIARABpAGcAZQBzAHQAZQByACAALwAgAGMAbwB2AGUAcgBlAGQAIABsAGEAZwBvAG8AbgBzAFwAIgA7AFwAbgAgACAAIAAgACAAIAAgACAAIAAgAFwAIgBEAGkAcgBlAGMAdAAgAHAAcgBvAGMAZQBzAHMAaQBuAGcAXAAiACwAIAAwACwAIAAwACwAIAAwACwAIAAwACwAIAAwACwAIAAwACwAIAAwACwAIAAwACwAIAAwACwAIABcACIARABpAHIAZQBjAHQAIABwAHIAbwBjAGUAcwBzAGkAbgBnAFwAIgA7AFwAbgAgACAAIAAgACAAIAAgACAAIAAgAFwAIgBEAGkAcgBlAGMAdAAgAGEAcABwAGwAaQBjAGEAdABpAG8AbgAgAHQAbwAgAHMAbwBpAGwAXAAiACwAIAAwACwAIAAwACwAIAAwACwAIAAwACwAIAAwACwAIAAwACwAIAAwACwAIAAwACwAIAAwACwAIABcACIARABpAHIAZQBjAHQAIABhAHAAcABsAGkAYwBhAHQAaQBvAG4AXAAiAFwAbgAgACAAIAAgACAAIAAgACAAfQAsACAAcgAsACAAYwApAFwAbgAgACAAIAAgACAAIAApAFwAbgAgACAAIAAgACkAXABuACAAIAApADsAXABuAFwAbgBTAG8AdQByAGMAZQBEAGEAdABhAF8AUABvAHUAbAB0AHIAeQBfAE0AQwBGAF8ATgBvAHQAZQBzAFwAbgAgACAAPQBMAEEATQBCAEQAQQAoAFwAIgAnAFAAYQBzAHQAdQByAGUAIAByAGEAbgBnAGUAIABhAG4AZAAgAHAAYQBkAGQAbwBjAGsAJwAgAGEAcABwAGwAaQBlAHMAIABNAEMARgAgAGYAbwByACAAZAByAHkAbABvAHQALgBcACIAKQA7AFwAbgBcAG4AXABuAC8AKgAgAFwAbgAtAC0ALQAtAC0ALQAtAC0ALQAtAC0ALQAtAC0ALQAtAC0ALQAtAC0ALQAtAC0ALQAtAC0ALQAtAC0ALQAtAC0ALQAtAC0ALQAtAC0AXABuAFMAbwB1AHIAYwBlAEQAYQB0AGEAXwBQAG8AdQBsAHQAcgB5AF8ATQBlAHQAaABhAG4AZQBFAG0AaQBzAHMAaQBvAG4AcwBQAG8AdABlAG4AdABpAGEAbABcAG4ATQBlAHQAaABhAG4AZQAgAGUAbQBpAHMAcwBpAG8AbgBzACAAcABvAHQAZQBuAHQAaQBhAGwAIABwAGUAcgAgAHAAbwB1AGwAdAByAHkAIABjAGwAYQBzAHMAXABuAC0ALQAtAC0ALQAtAC0ALQAtAC0ALQAtAC0ALQAtAC0ALQAtAC0ALQAtAC0ALQAtAC0ALQAtAC0ALQAtAC0ALQAtAC0ALQAtAC0ALQBcAG4AKgAvAFwAbgBcAG4AUwBvAHUAcgBjAGUARABhAHQAYQBfAFAAbwB1AGwAdAByAHkAXwBNAGUAdABoAGEAbgBlAEUAbQBpAHMAcwBpAG8AbgBzAFAAbwB0AGUAbgB0AGkAYQBsAF8AVABpAHQAbABlAFwAbgAgACAAPQBMAEEATQBCAEQAQQAoAFwAIgBQAG8AdQBsAHQAcgB5ACAALQAgAE0AZQB0AGgAYQBuAGUAIABlAG0AaQBzAHMAaQBvAG4AcwAgAHAAbwB0AGUAbgB0AGkAYQBsACAAcABlAHIAIABjAGwAYQBzAHMAXAAiACkAOwBcAG4AXABuAFMAbwB1AHIAYwBlAEQAYQB0AGEAXwBQAG8AdQBsAHQAcgB5AF8ATQBlAHQAaABhAG4AZQBFAG0AaQBzAHMAaQBvAG4AcwBQAG8AdABlAG4AdABpAGEAbABfAFUAbgBpAHQAXABuACAAIAA9AEwAQQBNAEIARABBACgAXAAiAG0AMwAgAEMASAA0AC8AawBnACAAVgBTAFwAIgApADsAXABuAFwAbgBTAG8AdQByAGMAZQBEAGEAdABhAF8AUABvAHUAbAB0AHIAeQBfAE0AZQB0AGgAYQBuAGUARQBtAGkAcwBzAGkAbwBuAHMAUABvAHQAZQBuAHQAaQBhAGwAXwBTAG8AdQByAGMAZQBcAG4AIAAgAD0ATABBAE0AQgBEAEEAKABcACIAVgBFAEUAUgBHACAAMgAwADIANgA6ACAANAAuADYALgAyAC4AMwAgAEMATwBOAFMAVABBAE4AVAA6ACAAUABvAHUAbAB0AHIAeQAgAC0AIABNAGUAdABoAGEAbgBlACAAZQBtAGkAcwBzAGkAbwBuAHMAIABwAG8AdABlAG4AdABpAGEAbAAgAHAAZQByACAAYwBsAGEAcwBzAFwAIgApADsAXABuAFwAbgBTAG8AdQByAGMAZQBEAGEAdABhAF8AUABvAHUAbAB0AHIAeQBfAE0AZQB0AGgAYQBuAGUARQBtAGkAcwBzAGkAbwBuAHMAUABvAHQAZQBuAHQAaQBhAGwAXwBWAGEAcgBpAGEAdABpAG8AbgBcAG4AIAAgAD0ATABBAE0AQgBEAEEAKABcACIAXAAiACkAOwBcAG4AXABuAFMAbwB1AHIAYwBlAEQAYQB0AGEAXwBQAG8AdQBsAHQAcgB5AF8ATQBlAHQAaABhAG4AZQBFAG0AaQBzAHMAaQBvAG4AcwBQAG8AdABlAG4AdABpAGEAbABfAEQAYQB0AGEAXABuACAAIAA9AEwAQQBNAEIARABBACgAXABuACAAIAAgACAATQBBAEsARQBBAFIAUgBBAFkAKAAzACwAIAAyACwAIABcAG4AIAAgACAAIAAgACAATABBAE0AQgBEAEEAKAByACwAYwAsACAAXABuACAAIAAgACAAIAAgACAAIABJAE4ARABFAFgAKAB7AFwAbgAgACAAIAAgACAAIAAgACAAIAAgAFwAIgBQAG8AdQBsAHQAcgB5ACAAYwBsAGEAcwBzAFwAIgAsACAAXAAiAEIAMABcACIAOwBcAG4AIAAgACAAIAAgACAAIAAgACAAIABcACIATABhAHkAZQByAHMAXAAiACwAIAAwAC4AMwA5ADsAIABcAG4AIAAgACAAIAAgACAAIAAgACAAIABcACIATQBlAGEAdAAgAGMAaABpAGMAawBlAG4AcwBcACIALAAgADAALgAzADYAXABuACAAIAAgACAAIAAgACAAIAB9ACwAIAByACwAIABjACkAXABuACAAIAAgACAAIAAgACkAXABuACAAIAAgACAAKQBcAG4AIAAgACkAOwBcAG4AXABuAC8AKgAgAFwAbgAtAC0ALQAtAC0ALQAtAC0ALQAtAC0ALQAtAC0ALQAtAC0ALQAtAC0ALQAtAC0ALQAtAC0ALQAtAC0ALQAtAC0ALQAtAC0ALQAtAC0AXABuAFMAbwB1AHIAYwBlAEQAYQB0AGEAXwBQAG8AdQBsAHQAcgB5AF8AUAByAG8AZAB1AGMAdABpAG8AbgBTAHkAcwB0AGUAbQBzAFwAbgBQAG8AdQBsAHQAcgB5ACAAcAByAG8AZAB1AGMAdABpAG8AbgAgAHMAeQBzAHQAZQBtAHMAXABuAC0ALQAtAC0ALQAtAC0ALQAtAC0ALQAtAC0ALQAtAC0ALQAtAC0ALQAtAC0ALQAtAC0ALQAtAC0ALQAtAC0ALQAtAC0ALQAtAC0ALQBcAG4AKgAvAFwAbgBcAG4AUwBvAHUAcgBjAGUARABhAHQAYQBfAFAAbwB1AGwAdAByAHkAXwBQAHIAbwBkAHUAYwB0AGkAbwBuAFMAeQBzAHQAZQBtAHMAXwBUAGkAdABsAGUAXABuACAAIAA9AEwAQQBNAEIARABBACgAXAAiAFAAbwB1AGwAdAByAHkAIAAtACAAUAByAG8AZAB1AGMAdABpAG8AbgAgAHMAeQBzAHQAZQBtAHMAXAAiACkAOwBcAG4AXABuAFMAbwB1AHIAYwBlAEQAYQB0AGEAXwBQAG8AdQBsAHQAcgB5AF8AUAByAG8AZAB1AGMAdABpAG8AbgBTAHkAcwB0AGUAbQBzAF8AVQBuAGkAdABcAG4AIAAgAD0ATABBAE0AQgBEAEEAKABcACIAXAAiACkAOwBcAG4AXABuAFMAbwB1AHIAYwBlAEQAYQB0AGEAXwBQAG8AdQBsAHQAcgB5AF8AUAByAG8AZAB1AGMAdABpAG8AbgBTAHkAcwB0AGUAbQBzAF8AUwBvAHUAcgBjAGUAXABuACAAIAA9AEwAQQBNAEIARABBACgAXAAiAFYARQBFAFIARwAgADIAMAAyADYAOgAgADQALgA2ACAAUABvAHUAbAB0AHIAeQBcACIAKQA7AFwAbgBcAG4AUwBvAHUAcgBjAGUARABhAHQAYQBfAFAAbwB1AGwAdAByAHkAXwBQAHIAbwBkAHUAYwB0AGkAbwBuAFMAeQBzAHQAZQBtAHMAXwBWAGEAcgBpAGEAdABpAG8AbgBcAG4AIAAgAD0ATABBAE0AQgBEAEEAKABcACIAXAAiACkAOwBcAG4AXABuAFMAbwB1AHIAYwBlAEQAYQB0AGEAXwBQAG8AdQBsAHQAcgB5AF8AUAByAG8AZAB1AGMAdABpAG8AbgBTAHkAcwB0AGUAbQBzAF8ARABhAHQAYQBcAG4AIAAgAD0ATABBAE0AQgBEAEEAKABcAG4AIAAgACAAIABNAEEASwBFAEEAUgBSAEEAWQAoADQALAAgADEALAAgAFwAbgAgACAAIAAgACAAIABMAEEATQBCAEQAQQAoAHIALABjACwAIABcAG4AIAAgACAAIAAgACAAIAAgAEkATgBEAEUAWAAoAHsAXABuACAAIAAgACAAIAAgACAAIAAgACAAXAAiAFAAcgBvAGQAdQBjAHQAaQBvAG4AIABzAHkAcwB0AGUAbQBcACIAOwBcAG4AIAAgACAAIAAgACAAIAAgACAAIABcACIARgByAGUAZQAgAHIAYQBuAGcAZQBcACIAOwAgAFwAbgAgACAAIAAgACAAIAAgACAAIAAgAFwAIgBCAGEAcgBuAFwAIgA7AFwAbgAgACAAIAAgACAAIAAgACAAIAAgAFwAIgBDAGEAZwBlAFwAIgBcAG4AIAAgACAAIAAgACAAIAAgAH0ALAAgAHIALAAgAGMAKQBcAG4AIAAgACAAIAAgACAAKQBcAG4AIAAgACAAIAApAFwAbgAgACAAKQA7AFwAbgBcAG4AXABuAC8AKgAgAFwAbgAtAC0ALQAtAC0ALQAtAC0ALQAtAC0ALQAtAC0ALQAtAC0ALQAtAC0ALQAtAC0ALQAtAC0ALQAtAC0ALQAtAC0ALQAtAC0ALQAtAC0AXABuAFMAbwB1AHIAYwBlAEQAYQB0AGEAXwBQAG8AdQBsAHQAcgB5AF8AVgBTAEwAXABuAEYAcgBhAGMAdABpAG8AbgAgAG8AZgAgAHYAbwBsAGEAdABpAGwAZQAgAHMAbwBsAGkAZABzACAAbABvAHMAdAAgAGkAbgAgAHQAaABlACAAcAByAGkAbQBhAHIAeQAgAE0ATQBTAFwAbgAtAC0ALQAtAC0ALQAtAC0ALQAtAC0ALQAtAC0ALQAtAC0ALQAtAC0ALQAtAC0ALQAtAC0ALQAtAC0ALQAtAC0ALQAtAC0ALQAtAC0AXABuACoALwBcAG4AXABuAFMAbwB1AHIAYwBlAEQAYQB0AGEAXwBQAG8AdQBsAHQAcgB5AF8AVgBTAEwAXwBUAGkAdABsAGUAXABuACAAIAA9AEwAQQBNAEIARABBACgAXAAiAFAAbwB1AGwAdAByAHkAIAAtACAARgByAGEAYwB0AGkAbwBuACAAbwBmACAAdgBvAGwAYQB0AGkAbABlACAAcwBvAGwAaQBkAHMAIABsAG8AcwB0ACAAaQBuACAAdABoAGUAIABwAHIAaQBtAGEAcgB5ACAATQBNAFMAXAAiACkAOwBcAG4AXABuAFMAbwB1AHIAYwBlAEQAYQB0AGEAXwBQAG8AdQBsAHQAcgB5AF8AVgBTAEwAXwBVAG4AaQB0AFwAbgAgACAAPQBMAEEATQBCAEQAQQAoAFwAIgBcACIAKQA7AFwAbgBcAG4AUwBvAHUAcgBjAGUARABhAHQAYQBfAFAAbwB1AGwAdAByAHkAXwBWAFMATABfAFMAbwB1AHIAYwBlAFwAbgAgACAAPQBMAEEATQBCAEQAQQAoAFwAIgBWAEUARQBSAEcAIAAyADAAMgA2ADoAIAA0AC4ANgAuADIALgAzACAAQwBPAE4AUwBUAEEATgBUAFwAIgApADsAXABuAFwAbgBTAG8AdQByAGMAZQBEAGEAdABhAF8AUABvAHUAbAB0AHIAeQBfAFYAUwBMAF8AVgBhAHIAaQBhAHQAaQBvAG4AXABuACAAIAA9AEwAQQBNAEIARABBACgAXAAiAFYAQQBSAEkAQQBUAEkATwBOACAATwBOACAAUwBPAFUAUgBDAEUAOgAgAFQAYQBiAGwAZQAgAGcAZQBuAGUAcgBhAHQAZQBkACAAZgByAG8AbQAgAGwAaQBuAGUAIABpAHQAZQBtAHMALgAgAEEAZABkAGUAZAAgACcATgBJAFIAIABkAGUAZgBpAG4AaQB0AGkAbwBuACAAYwBvAGwAdQBtAG4AJwAuAFwAIgApADsAXABuAFwAbgBTAG8AdQByAGMAZQBEAGEAdABhAF8AUABvAHUAbAB0AHIAeQBfAFYAUwBMAF8ARABhAHQAYQBcAG4AIAAgAD0ATABBAE0AQgBEAEEAKABcAG4AIAAgACAAIABNAEEASwBFAEEAUgBSAEEAWQAoADQALAAgADMALAAgAFwAbgAgACAAIAAgACAAIABMAEEATQBCAEQAQQAoAHIALABjACwAIABcAG4AIAAgACAAIAAgACAAIAAgAEkATgBEAEUAWAAoAHsAXABuACAAIAAgACAAIAAgACAAIAAgACAAXAAiAE0ATQBTAFwAIgAsACAAXAAiAFYAUwBMAFwAIgAsACAAXAAiAE4ASQBSACAAZABlAGYAaQBuAGkAdABpAG8AbgBcACIAOwBcAG4AIAAgACAAIAAgACAAIAAgACAAIABcACIAUABvAHUAbAB0AHIAeQAgAG0AYQBuAHUAcgBlACAAdwBpAHQAaAAgAGwAaQB0AHQAZQByAFwAIgAsACAAMAAuADEANQAsACAAXAAiAFAAbwB1AGwAdAByAHkAIABtAGEAbgB1AHIAZQAgAHcAaQB0AGgAIABiAGUAZABkAGkAbgBnAFwAIgA7AFwAbgAgACAAIAAgACAAIAAgACAAIAAgAFwAIgBQAG8AdQBsAHQAcgB5ACAAbQBhAG4AdQByAGUAIAB3AGkAdABoAG8AdQB0ACAAbABpAHQAdABlAHIAIAAtACAAcwB0AG8AcgBlAGQAIABpAG4AIABoAG8AdQBzAGUAXAAiACwAIAAwAC4AMgAsACAAXAAiAE0AYQBuAHUAcgBlACAAcwB0AG8AcgBlAGQAIABpAG4AIABoAG8AdQBzAGUAXAAiADsAXABuACAAIAAgACAAIAAgACAAIAAgACAAXAAiAFAAbwB1AGwAdAByAHkAIABtAGEAbgB1AHIAZQAgAHcAaQB0AGgAbwB1AHQAIABsAGkAdAB0AGUAcgAgAC0AIABiAGUAbAB0ACAAcgBlAG0AbwB2AGEAbABcACIALAAgADAALAAgAFwAIgBCAGUAbAB0ACAAbQBhAG4AdQByAGUAIAByAGUAbQBvAHYAYQBsAFwAIgBcAG4AIAAgACAAIAAgACAAIAAgAH0ALAAgAHIALAAgAGMAKQBcAG4AIAAgACAAIAAgACAAKQBcAG4AIAAgACAAIAApAFwAbgAgACAAKQA7AFwAbgBcAG4AXABuAFwAbgAvACoAIABcAG4ALQAtAC0ALQAtAC0ALQAtAC0ALQAtAC0ALQAtAC0ALQAtAC0ALQAtAC0ALQAtAC0ALQAtAC0ALQAtAC0ALQAtAC0ALQAtAC0ALQAtAFwAbgBTAG8AdQByAGMAZQBEAGEAdABhAF8AUABvAHUAbAB0AHIAeQBfAEYAcgBhAGMARwBBAFMATQBtAFQAXABuAFQAYQBiAGwAZQAgAEEALgAxAC4ANwAuADIAOgAgAFAAbwB1AGwAdAByAHkAIAAtACAARgByAGEAYwB0AGkAbwBuACAAbwBmACAATgAgAHYAbwBsAGEAdABpAGwAaQBzAGUAZAAgAGIAeQAgAE0ATQBTACAAKAAoAGsAZwAgAE4ASAAzAC0ATgAgACsAIABOAE8AeAAtAE4AKQAvAGsAZwBOACkAIAAoAEYAcgBhAGMARwBBAFMATQBtAFQAKQBcAG4ALQAtAC0ALQAtAC0ALQAtAC0ALQAtAC0ALQAtAC0ALQAtAC0ALQAtAC0ALQAtAC0ALQAtAC0ALQAtAC0ALQAtAC0ALQAtAC0ALQAtAFwAbgAqAC8AXABuAFwAbgBTAG8AdQByAGMAZQBEAGEAdABhAF8AUABvAHUAbAB0AHIAeQBfAEYAcgBhAGMARwBBAFMATQBtAFQAXwBUAGkAdABsAGUAXABuACAAIAA9AEwAQQBNAEIARABBACgAXAAiAFAAbwB1AGwAdAByAHkAIAAtACAARgByAGEAYwB0AGkAbwBuACAAbwBmACAATgAgAHYAbwBsAGEAdABpAGwAaQBzAGUAZAAgAGIAeQAgAE0ATQBTACAAKAAoAGsAZwAgAE4ASAAzAC0ATgAgACsAIABOAE8AeAAtAE4AKQAvAGsAZwBOACkAIAAoAEYAcgBhAGMARwBBAFMATQBtAFQAKQBcACIAKQA7AFwAbgBcAG4AUwBvAHUAcgBjAGUARABhAHQAYQBfAFAAbwB1AGwAdAByAHkAXwBGAHIAYQBjAEcAQQBTAE0AbQBUAF8AVQBuAGkAdABcAG4AIAAgAD0ATABBAE0AQgBEAEEAKABcACIAKABrAGcAIABOAEgAMwAtAE4AIAArACAATgBPAHgALQBOACkALwBrAGcATgBcACIAKQA7AFwAbgBcAG4AUwBvAHUAcgBjAGUARABhAHQAYQBfAFAAbwB1AGwAdAByAHkAXwBGAHIAYQBjAEcAQQBTAE0AbQBUAF8AUwBvAHUAcgBjAGUAXABuACAAIAA9AEwAQQBNAEIARABBACgAXAAiAFYARQBFAFIARwAgADIAMAAyADYAOgAgAFQAYQBiAGwAZQAgAEEALgAxAC4ANwAuADIAXAAiACkAOwBcAG4AXABuAFMAbwB1AHIAYwBlAEQAYQB0AGEAXwBQAG8AdQBsAHQAcgB5AF8ARgByAGEAYwBHAEEAUwBNAG0AVABfAFYAYQByAGkAYQB0AGkAbwBuAFwAbgAgACAAPQBMAEEATQBCAEQAQQAoAFwAIgBWAEEAUgBJAEEAVABJAE8ATgAgAE8ATgAgAFMATwBVAFIAQwBFADoAIABBAGQAZABlAGQAIAAnAE4ASQBSACAAZABlAGYAaQBuAGkAdABpAG8AbgAgAGMAbwBsAHUAbQBuACcALgBcACIAKQA7AFwAbgBcAG4AUwBvAHUAcgBjAGUARABhAHQAYQBfAFAAbwB1AGwAdAByAHkAXwBGAHIAYQBjAEcAQQBTAE0AbQBUAF8ARABhAHQAYQBcAG4AIAAgAD0ATABBAE0AQgBEAEEAKABcAG4AIAAgACAAIABNAEEASwBFAEEAUgBSAEEAWQAoADgALAAgADMALAAgAFwAbgAgACAAIAAgACAAIABMAEEATQBCAEQAQQAoAHIALABjACwAIABcAG4AIAAgACAAIAAgACAAIAAgAEkATgBEAEUAWAAoAHsAXABuACAAIAAgACAAIAAgACAAIAAgACAAXAAiAE0ATQBTACAAbQBcACIALAAgAFwAIgBGAHIAYQBjAEcAQQBTAE0AbQBUAFwAIgAsACAAXAAiAE4ASQBSACAAcgBlAGYAZQByAGUAbgBjAGUAXAAiADsAXABuACAAIAAgACAAIAAgACAAIAAgACAAXAAiAFAAbwB1AGwAdAByAHkAIABtAGEAbgB1AHIAZQAgAHcAaQB0AGgAIABsAGkAdAB0AGUAcgAgACgAaABvAHUAcwBpAG4AZwApAFwAIgAsACAAMAAuADMALAAgAFwAIgBQAG8AdQBsAHQAcgB5ACAAbQBhAG4AdQByAGUAIAB3AGkAdABoACAAYgBlAGQAZABpAG4AZwBcACIAOwBcAG4AIAAgACAAIAAgACAAIAAgACAAIABcACIAUABvAHUAbAB0AHIAeQAgAG0AYQBuAHUAcgBlACAAdwBpAHQAaABvAHUAdAAgAGwAaQB0AHQAZQByACAAKABoAG8AdQBzAGkAbgBnACkAIABCAGUAbAB0ACAAbQBhAG4AdQByAGUAIAByAGUAbQBvAHYAYQBsAFwAIgAsACAAMAAuADAANQAsACAAXAAiAEIAZQBsAHQAIABtAGEAbgB1AHIAZQAgAHIAZQBtAG8AdgBhAGwAXAAiADsAXABuACAAIAAgACAAIAAgACAAIAAgACAAXAAiAFAAbwB1AGwAdAByAHkAIABtAGEAbgB1AHIAZQAgAHcAaQB0AGgAbwB1AHQAIABsAGkAdAB0AGUAcgAgACgAaABvAHUAcwBpAG4AZwApACAATQBhAG4AdQByAGUAIABzAHQAbwByAGUAZAAgAGkAbgAgAGgAbwB1AHMAZQAgAHUAbgBkAGUAcgAgAGMAYQBnAGUAcwAgAG8AcgAgAHMAbABhAHQAXAAiACwAIAAwAC4ANAAsACAAXAAiAE0AYQBuAHUAcgBlACAAcwB0AG8AcgBlAGQAIABpAG4AIABoAG8AdQBzAGUAXAAiADsAXABuACAAIAAgACAAIAAgACAAIAAgACAAXAAiAFMAbwBsAGkAZAAgAHMAdABvAHIAYQBnAGUAIAAoAHMAdABvAGMAawBwAGkAbABlACkAXAAiACwAIAAwAC4AMgAsACAAXAAiAFMAbwBsAGkAZAAgAHMAdABvAHIAYQBnAGUAXAAiADsAXABuACAAIAAgACAAIAAgACAAIAAgACAAXAAiAEMAbwBtAHAAbwBzAHQAaQBuAGcAIAAoAHAAYQBzAHMAaQB2AGUAIAB3AGkAbgBkAHIAbwB3ACkAXAAiACwAIAAwAC4AMgAsACAAXAAiAEMAbwBtAHAAbwBzAHQAaQBuAGcAIAAoAHAAYQBzAHMAaQB2AGUAIAB3AGkAbgBkAHIAbwB3ACkAXAAiADsAXABuACAAIAAgACAAIAAgACAAIAAgACAAXAAiAEQAaQByAGUAYwB0ACAAcAByAG8AYwBlAHMAcwBpAG4AZwBcACIALAAgADAALAAgAFwAIgBEAGkAcgBlAGMAdAAgAHAAcgBvAGMAZQBzAHMAaQBuAGcAXAAiADsAXABuACAAIAAgACAAIAAgACAAIAAgACAAXAAiAEEAbgBhAGUAcgBvAGIAaQBjACAAZABpAGcAZQBzAHQAZQByACAALwAgAGMAbwB2AGUAcgBlAGQAIABwAG8AbgBkAFwAIgAsACAAMAAsACAAXAAiAEQAaQBnAGUAcwB0AGUAcgAgAC8AIABjAG8AdgBlAHIAZQBkACAAbABhAGcAbwBvAG4AcwBcACIAXABuACAAIAAgACAAIAAgACAAIAB9ACwAIAByACwAIABjACkAXABuACAAIAAgACAAIAAgACkAXABuACAAIAAgACAAKQBcAG4AIAAgACkAOwBcAG4AXABuAFwAbgAvACoAIABcAG4ALQAtAC0ALQAtAC0ALQAtAC0ALQAtAC0ALQAtAC0ALQAtAC0ALQAtAC0ALQAtAC0ALQAtAC0ALQAtAC0ALQAtAC0ALQAtAC0ALQAtAFwAbgBTAG8AdQByAGMAZQBEAGEAdABhAF8AUABvAHUAbAB0AHIAeQBfAEUARgBtAFQAXABuAFQAYQBiAGwAZQAgAEEALgAxAC4ANwAuADMAOgAgAFAAbwB1AGwAdAByAHkAIAAtACAATgBpAHQAcgBvAHUAcwAgAG8AeABpAGQAZQAgAEUARgBzACAAYgB5ACAATQBNAFMAIAAoAGsAZwBOADIATwAtAE4ALwBrAGcATgApACAAKABFAEYAbQBUACkAXABuAC0ALQAtAC0ALQAtAC0ALQAtAC0ALQAtAC0ALQAtAC0ALQAtAC0ALQAtAC0ALQAtAC0ALQAtAC0ALQAtAC0ALQAtAC0ALQAtAC0ALQBcAG4AKgAvAFwAbgBcAG4AUwBvAHUAcgBjAGUARABhAHQAYQBfAFAAbwB1AGwAdAByAHkAXwBFAEYAbQBUAF8AVABpAHQAbABlAFwAbgAgACAAPQBMAEEATQBCAEQAQQAoAFwAIgBQAG8AdQBsAHQAcgB5ACAALQAgAE4AaQB0AHIAbwB1AHMAIABvAHgAaQBkAGUAIABFAEYAcwAgAGIAeQAgAE0ATQBTACAAKABrAGcATgAyAE8ALQBOAC8AawBnAE4AKQAgACgARQBGAG0AVAApAFwAIgApADsAXABuAFwAbgBTAG8AdQByAGMAZQBEAGEAdABhAF8AUABvAHUAbAB0AHIAeQBfAEUARgBtAFQAXwBVAG4AaQB0AFwAbgAgACAAPQBMAEEATQBCAEQAQQAoAFwAIgBrAGcATgAyAE8AIAAtACAATgAgAC8AIABrAGcATgBcACIAKQA7AFwAbgBcAG4AUwBvAHUAcgBjAGUARABhAHQAYQBfAFAAbwB1AGwAdAByAHkAXwBFAEYAbQBUAF8AUwBvAHUAcgBjAGUAXABuACAAIAA9AEwAQQBNAEIARABBACgAXAAiAFYARQBFAFIARwAgADIAMAAyADYAOgAgAFQAYQBiAGwAZQAgAEEALgAxAC4ANwAuADMAXAAiACkAOwBcAG4AXABuAFMAbwB1AHIAYwBlAEQAYQB0AGEAXwBQAG8AdQBsAHQAcgB5AF8ARQBGAG0AVABfAFYAYQByAGkAYQB0AGkAbwBuAFwAbgAgACAAPQBMAEEATQBCAEQAQQAoAFwAIgBWAEEAUgBJAEEAVABJAE8ATgAgAE8ATgAgAFMATwBVAFIAQwBFADoAIABBAGQAZABlAGQAIAAnAE4ASQBSACAAZABlAGYAaQBuAGkAdABpAG8AbgAgAGMAbwBsAHUAbQBuACcALgAgAEQAdQBwAGwAaQBjAGEAdABlAGQAIAAnAFAAbwB1AGwAdAByAHkAIABtAGEAbgB1AHIAZQAgAHcAaQB0AGgAbwB1AHQAIABsAGkAdAB0AGUAcgAnACAAcgBvAHcAIABmAG8AcgAgAE4ASQBSACAATQBNAFMAIAAnAEIAZQBsAHQAIABtAGEAbgB1AHIAZQAgAHIAZQBtAG8AdgBhAGwAJwAgAGEAbgBkACAAJwBNAGEAbgB1AHIAZQAgAHMAdABvAHIAZQBkACAAaQBuACAAaABvAHUAcwBlACcALgBcACIAKQA7AFwAbgBcAG4AUwBvAHUAcgBjAGUARABhAHQAYQBfAFAAbwB1AGwAdAByAHkAXwBFAEYAbQBUAF8ARABhAHQAYQBcAG4AIAAgAD0ATABBAE0AQgBEAEEAKABcAG4AIAAgACAAIABNAEEASwBFAEEAUgBSAEEAWQAoADkALAAgADMALAAgAFwAbgAgACAAIAAgACAAIABMAEEATQBCAEQAQQAoAHIALABjACwAIABcAG4AIAAgACAAIAAgACAAIAAgAEkATgBEAEUAWAAoAHsAXABuACAAIAAgACAAIAAgACAAIAAgACAAXAAiAE0ATQBTACAAbQBcACIALAAgAFwAIgBFAEYAbQBUAFwAIgAsACAAXAAiAE4ASQBSACAAcgBlAGYAZQByAGUAbgBjAGUAXAAiADsAXABuACAAIAAgACAAIAAgACAAIAAgACAAXAAiAFAAbwB1AGwAdAByAHkAIABtAGEAbgB1AHIAZQAgAHcAaQB0AGgAIABsAGkAdAB0AGUAcgAgACgAaABvAHUAcwBpAG4AZwApAFwAIgAsACAAMAAuADAAMAAxACwAIABcACIAUABvAHUAbAB0AHIAeQAgAG0AYQBuAHUAcgBlACAAdwBpAHQAaAAgAGIAZQBkAGQAaQBuAGcAXAAiADsAXABuACAAIAAgACAAIAAgACAAIAAgACAAXAAiAFAAbwB1AGwAdAByAHkAIABtAGEAbgB1AHIAZQAgAHcAaQB0AGgAbwB1AHQAIABsAGkAdAB0AGUAcgAgACgAaABvAHUAcwBpAG4AZwApAFwAIgAsACAAMAAuADAAMAAxACwAIABcACIAQgBlAGwAdAAgAG0AYQBuAHUAcgBlACAAcgBlAG0AbwB2AGEAbABcACIAOwBcAG4AIAAgACAAIAAgACAAIAAgACAAIABcACIAUABvAHUAbAB0AHIAeQAgAG0AYQBuAHUAcgBlACAAdwBpAHQAaABvAHUAdAAgAGwAaQB0AHQAZQByACAAKABoAG8AdQBzAGkAbgBnACkAXAAiACwAIAAwAC4AMAAwADEALAAgAFwAIgBNAGEAbgB1AHIAZQAgAHMAdABvAHIAZQBkACAAaQBuACAAaABvAHUAcwBlAFwAIgA7AFwAbgAgACAAIAAgACAAIAAgACAAIAAgAFwAIgBQAGEAcwB0AHUAcgBlACAAcgBhAG4AZwBlACAAYQBuAGQAIABwAGEAZABkAG8AYwBrACAAKABmAHIAZQBlACAAcgBhAG4AZwBlACkAXAAiACwAIAAwAC4AMAAyACwAIABcACIAUABhAHMAdAB1AHIAZQAgAHIAYQBuAGcAZQAgAGEAbgBkACAAcABhAGQAZABvAGMAawBcACIAOwBcAG4AIAAgACAAIAAgACAAIAAgACAAIABcACIAUwBvAGwAaQBkACAAcwB0AG8AcgBhAGcAZQAgACgAcwB0AG8AYwBrAHAAaQBsAGUAKQBcACIALAAgADAALgAwADAANQAsACAAXAAiAFMAbwBsAGkAZAAgAHMAdABvAHIAYQBnAGUAXAAiADsAXABuACAAIAAgACAAIAAgACAAIAAgACAAXAAiAEMAbwBtAHAAbwBzAHQAaQBuAGcAIAAoAHAAYQBzAHMAaQB2AGUAIAB3AGkAbgBkAHIAbwB3ACkAXAAiACwAIAAwAC4AMAAxACwAIABcACIAQwBvAG0AcABvAHMAdABpAG4AZwAgACgAcABhAHMAcwBpAHYAZQAgAHcAaQBuAGQAcgBvAHcAKQBcACIAOwBcAG4AIAAgACAAIAAgACAAIAAgACAAIABcACIARABpAHIAZQBjAHQAIABwAHIAbwBjAGUAcwBzAGkAbgBnAFwAIgAsACAAMAAsACAAXAAiAEQAaQByAGUAYwB0ACAAcAByAG8AYwBlAHMAcwBpAG4AZwBcACIAOwBcAG4AIAAgACAAIAAgACAAIAAgACAAIABcACIAQQBuAGEAZQByAG8AYgBpAGMAIABkAGkAZwBlAHMAdABlAHIAIAAvACAAYwBvAHYAZQByAGUAZAAgAHAAbwBuAGQAXAAiACwAIAAwACwAIABcACIARABpAGcAZQBzAHQAZQByACAALwAgAGMAbwB2AGUAcgBlAGQAIABsAGEAZwBvAG8AbgBzAFwAIgBcAG4AIAAgACAAIAAgACAAIAAgAH0ALAAgAHIALAAgAGMAKQBcAG4AIAAgACAAIAAgACAAKQBcAG4AIAAgACAAIAApAFwAbgAgACAAKQA7AFwAbgBcAG4ALwAqACAAXABuAC0ALQAtAC0ALQAtAC0ALQAtAC0ALQAtAC0ALQAtAC0ALQAtAC0ALQAtAC0ALQAtAC0ALQAtAC0ALQAtAC0ALQAtAC0ALQAtAC0ALQBcAG4AUwBvAHUAcgBjAGUARABhAHQAYQBfAFAAbwB1AGwAdAByAHkAXwBGAHIAYQBjAHQAaQBvAG4ATwBmAE4AaQB0AHIAbwBnAGUAbgBMAG8AcwB0AFQAaAByAG8AdQBnAGgATABlAGEAYwBoAGkAbgBnAEEAbgBkAFIAdQBuAG8AZgBmAFwAbgBGAHIAYQBjAHQAaQBvAG4AIABvAGYAIABOACAAdABoAGEAdAAgAGkAcwAgAGwAbwBzAHQAIAB0AGgAcgBvAHUAZwBoACAAbABlAGEAYwBoAGkAbgBnACAAYQBuAGQAIAByAHUAbgBvAGYAZgAgACgAZABpAG0AZQBuAHMAaQBvAG4AbABlAHMAcwApAFwAbgAtAC0ALQAtAC0ALQAtAC0ALQAtAC0ALQAtAC0ALQAtAC0ALQAtAC0ALQAtAC0ALQAtAC0ALQAtAC0ALQAtAC0ALQAtAC0ALQAtAC0AXABuACoALwBcAG4AXABuAFMAbwB1AHIAYwBlAEQAYQB0AGEAXwBQAG8AdQBsAHQAcgB5AF8ARgByAGEAYwB0AGkAbwBuAE8AZgBOAGkAdAByAG8AZwBlAG4ATABvAHMAdABUAGgAcgBvAHUAZwBoAEwAZQBhAGMAaABpAG4AZwBBAG4AZABSAHUAbgBvAGYAZgBfAFQAaQB0AGwAZQBcAG4AIAAgAD0ATABBAE0AQgBEAEEAKABcACIARgByAGEAYwB0AGkAbwBuACAAbwBmACAATgAgAHQAaABhAHQAIABpAHMAIABsAG8AcwB0ACAAdABoAHIAbwB1AGcAaAAgAGwAZQBhAGMAaABpAG4AZwAgAGEAbgBkACAAcgB1AG4AbwBmAGYAXAAiACkAOwBcAG4AXABuAFMAbwB1AHIAYwBlAEQAYQB0AGEAXwBQAG8AdQBsAHQAcgB5AF8ARgByAGEAYwB0AGkAbwBuAE8AZgBOAGkAdAByAG8AZwBlAG4ATABvAHMAdABUAGgAcgBvAHUAZwBoAEwAZQBhAGMAaABpAG4AZwBBAG4AZABSAHUAbgBvAGYAZgBfAFYAYQByAGkAYQBiAGwAZQBcAG4AIAAgAD0ATABBAE0AQgBEAEEAKABcACIARgByAGEAYwBfAEwARQBBAEMASABfAE0AUwBcACIAKQA7AFwAbgBcAG4AUwBvAHUAcgBjAGUARABhAHQAYQBfAFAAbwB1AGwAdAByAHkAXwBGAHIAYQBjAHQAaQBvAG4ATwBmAE4AaQB0AHIAbwBnAGUAbgBMAG8AcwB0AFQAaAByAG8AdQBnAGgATABlAGEAYwBoAGkAbgBnAEEAbgBkAFIAdQBuAG8AZgBmAF8AVQBuAGkAdABcAG4AIAAgAD0ATABBAE0AQgBEAEEAKABcACIARABpAG0AZQBuAHMAaQBvAG4AbABlAHMAcwBcACIAKQA7AFwAbgBcAG4AUwBvAHUAcgBjAGUARABhAHQAYQBfAFAAbwB1AGwAdAByAHkAXwBGAHIAYQBjAHQAaQBvAG4ATwBmAE4AaQB0AHIAbwBnAGUAbgBMAG8AcwB0AFQAaAByAG8AdQBnAGgATABlAGEAYwBoAGkAbgBnAEEAbgBkAFIAdQBuAG8AZgBmAF8AUwBvAHUAcgBjAGUAXABuACAAIAA9AEwAQQBNAEIARABBACgAXAAiAFYARQBFAFIARwAgADIAMAAyADYAOgAgADQALgA2AC4AMgAuADMAIABDAE8ATgBTAFQAQQBOAFQAUwBcACIAKQA7AFwAbgBcAG4AUwBvAHUAcgBjAGUARABhAHQAYQBfAFAAbwB1AGwAdAByAHkAXwBGAHIAYQBjAHQAaQBvAG4ATwBmAE4AaQB0AHIAbwBnAGUAbgBMAG8AcwB0AFQAaAByAG8AdQBnAGgATABlAGEAYwBoAGkAbgBnAEEAbgBkAFIAdQBuAG8AZgBmAF8AVgBhAHIAaQBhAHQAaQBvAG4AXABuACAAIAA9AEwAQQBNAEIARABBACgAXAAiAFwAIgApADsAXABuAFwAbgBTAG8AdQByAGMAZQBEAGEAdABhAF8AUABvAHUAbAB0AHIAeQBfAEYAcgBhAGMAdABpAG8AbgBPAGYATgBpAHQAcgBvAGcAZQBuAEwAbwBzAHQAVABoAHIAbwB1AGcAaABMAGUAYQBjAGgAaQBuAGcAQQBuAGQAUgB1AG4AbwBmAGYAXwBEAGEAdABhAFwAbgAgACAAPQBMAEEATQBCAEQAQQAoADAALgAwADIAKQA7AFwAbgBcAG4AXABuAC8AKgAgAFwAbgAtAC0ALQAtAC0ALQAtAC0ALQAtAC0ALQAtAC0ALQAtAC0ALQAtAC0ALQAtAC0ALQAtAC0ALQAtAC0ALQAtAC0ALQAtAC0ALQAtAC0AXABuAFMAbwB1AHIAYwBlAEQAYQB0AGEAXwBQAG8AdQBsAHQAcgB5AF8ARgByAGEAYwBHAEEATQBTAFMAbwBpAGwAXABuAEYAcgBhAGMAdABpAG8AbgAgAG8AZgAgAG4AaQB0AHIAbwBnAGUAbgAgAHYAbwBsAGEAdABpAGwAaQBzAGUAZAAgAGYAcgBvAG0AIAB1AHIAaQBuAGUAIABhAG4AZAAgAGYAYQBlAGMAZQBzACAAZABlAHAAbwBzAGkAdABlAGQAIABvAG4AIABwAGEAcwB0AHUAcgBlAFwAbgAtAC0ALQAtAC0ALQAtAC0ALQAtAC0ALQAtAC0ALQAtAC0ALQAtAC0ALQAtAC0ALQAtAC0ALQAtAC0ALQAtAC0ALQAtAC0ALQAtAC0AXABuACoALwBcAG4AXABuAFMAbwB1AHIAYwBlAEQAYQB0AGEAXwBQAG8AdQBsAHQAcgB5AF8ARgByAGEAYwBHAEEATQBTAFMAbwBpAGwAXwBUAGkAdABsAGUAXABuACAAIAA9AEwAQQBNAEIARABBACgAXAAiAEYAcgBhAGMAdABpAG8AbgAgAG8AZgAgAG4AaQB0AHIAbwBnAGUAbgAgAHYAbwBsAGEAdABpAGwAaQBzAGUAZAAgAGYAcgBvAG0AIAB1AHIAaQBuAGUAIABhAG4AZAAgAGYAYQBlAGMAZQBzACAAZABlAHAAbwBzAGkAdABlAGQAIABvAG4AIABwAGEAcwB0AHUAcgBlAFwAIgApADsAXABuAFwAbgBTAG8AdQByAGMAZQBEAGEAdABhAF8AUABvAHUAbAB0AHIAeQBfAEYAcgBhAGMARwBBAE0AUwBTAG8AaQBsAF8AVgBhAHIAaQBhAGIAbABlAFwAbgAgACAAPQBMAEEATQBCAEQAQQAoAFwAIgBGAHIAYQBjAEcAQQBTAE0AXwBzAG8AaQBsAFwAIgApADsAXABuAFwAbgBTAG8AdQByAGMAZQBEAGEAdABhAF8AUABvAHUAbAB0AHIAeQBfAEYAcgBhAGMARwBBAE0AUwBTAG8AaQBsAF8AVQBuAGkAdABcAG4AIAAgAD0ATABBAE0AQgBEAEEAKABcACIAKABrAGcAIABOAEgAMwAtAE4AIAArACAATgBPAHgALQBOACkALwBrAGcAIABOAFwAIgApADsAXABuAFwAbgBTAG8AdQByAGMAZQBEAGEAdABhAF8AUABvAHUAbAB0AHIAeQBfAEYAcgBhAGMARwBBAE0AUwBTAG8AaQBsAF8AUwBvAHUAcgBjAGUAXABuACAAIAA9AEwAQQBNAEIARABBACgAXAAiAFYARQBFAFIARwAgADIAMAAyADYAOgAgADQALgA2AC4AMgAuADMAIABDAE8ATgBTAFQAQQBOAFQAUwBcACIAKQA7AFwAbgBcAG4AUwBvAHUAcgBjAGUARABhAHQAYQBfAFAAbwB1AGwAdAByAHkAXwBGAHIAYQBjAEcAQQBNAFMAUwBvAGkAbABfAFYAYQByAGkAYQB0AGkAbwBuAFwAbgAgACAAPQBMAEEATQBCAEQAQQAoAFwAIgBWAEEAUgBJAEEAVABJAE8ATgAgAE8ATgAgAFMATwBVAFIAQwBFADoAIABUAGgAaQBzACAAYwBvAG4AcwB0AGEAbgB0ACAAaQBzACAAbgBvAHQAIABkAG8AYwB1AG0AZQBuAHQAZQBkACAAaQBuACAAdABoAGUAIABkAHIAYQBmAHQALAAgAHUAcwBlAGQAIAB0AGgAZQAgAHMAYQBtAGUAIAB2AGEAbAB1AGUAIABvAGYAIAAwAC4AMgAxACAAYQBzACAAYQBsAGwAIABvAHQAaABlAHIAIABsAGkAdgBlAHMAdABvAGMAawAuAFwAIgApADsAXABuAFwAbgBTAG8AdQByAGMAZQBEAGEAdABhAF8AUABvAHUAbAB0AHIAeQBfAEYAcgBhAGMARwBBAE0AUwBTAG8AaQBsAF8ARABhAHQAYQBcAG4AIAAgAD0ATABBAE0AQgBEAEEAKAAwAC4AMgAxACkAOwBcAG4AXABuAFwAbgAvACoAIABcAG4ALQAtAC0ALQAtAC0ALQAtAC0ALQAtAC0ALQAtAC0ALQAtAC0ALQAtAC0ALQAtAC0ALQAtAC0ALQAtAC0ALQAtAC0ALQAtAC0ALQAtAFwAbgBTAG8AdQByAGMAZQBEAGEAdABhAF8AUABvAHUAbAB0AHIAeQBfAEwAaQB2AGUAdwBlAGkAZwBoAHQAcwBcAG4AVABhAGIAbABlACAAQQAuADEALgA3AC4ANQA6ACAAUABvAHUAbAB0AHIAeQAgAC0AIABMAGkAdgBlAHcAZQBpAGcAaAB0AHMAIAAoAFcAYwBvACkAIAAoAGsAZwApAFwAbgAtAC0ALQAtAC0ALQAtAC0ALQAtAC0ALQAtAC0ALQAtAC0ALQAtAC0ALQAtAC0ALQAtAC0ALQAtAC0ALQAtAC0ALQAtAC0ALQAtAC0AXABuACoALwBcAG4AXABuAFMAbwB1AHIAYwBlAEQAYQB0AGEAXwBQAG8AdQBsAHQAcgB5AF8ATABpAHYAZQB3AGUAaQBnAGgAdABzAF8AVABpAHQAbABlAFwAbgAgACAAPQBMAEEATQBCAEQAQQAoAFwAIgBQAG8AdQBsAHQAcgB5ACAALQAgAEwAaQB2AGUAdwBlAGkAZwBoAHQAcwAgACgAVwBjAG8AKQAgACgAawBnACkAXAAiACkAOwBcAG4AXABuAFMAbwB1AHIAYwBlAEQAYQB0AGEAXwBQAG8AdQBsAHQAcgB5AF8ATABpAHYAZQB3AGUAaQBnAGgAdABzAF8AVQBuAGkAdABcAG4AIAAgAD0ATABBAE0AQgBEAEEAKABcACIAawBnAFwAIgApADsAXABuAFwAbgBTAG8AdQByAGMAZQBEAGEAdABhAF8AUABvAHUAbAB0AHIAeQBfAEwAaQB2AGUAdwBlAGkAZwBoAHQAcwBfAFMAbwB1AHIAYwBlAFwAbgAgACAAPQBMAEEATQBCAEQAQQAoAFwAIgBWAEUARQBSAEcAIAAyADAAMgA2ADoAIABUAGEAYgBsAGUAIABBAC4AMQAuADcALgA1AFwAIgApADsAXABuAFwAbgBTAG8AdQByAGMAZQBEAGEAdABhAF8AUABvAHUAbAB0AHIAeQBfAEwAaQB2AGUAdwBlAGkAZwBoAHQAcwBfAFYAYQByAGkAYQB0AGkAbwBuAFwAbgAgACAAPQBMAEEATQBCAEQAQQAoAFwAIgBcACIAKQA7AFwAbgBcAG4AUwBvAHUAcgBjAGUARABhAHQAYQBfAFAAbwB1AGwAdAByAHkAXwBMAGkAdgBlAHcAZQBpAGcAaAB0AHMAXwBEAGEAdABhAFwAbgAgACAAPQBMAEEATQBCAEQAQQAoAFwAbgAgACAAIAAgAE0AQQBLAEUAQQBSAFIAQQBZACgAOQAsACAAMwAsACAAXABuACAAIAAgACAAIAAgAEwAQQBNAEIARABBACgAcgAsAGMALAAgAFwAbgAgACAAIAAgACAAIAAgACAASQBOAEQARQBYACgAewBcAG4AIAAgACAAIAAgACAAIAAgACAAIABcACIATABpAHYAZQBzAHQAbwBjAGsAIABDAGwAYQBzAHMAIABqAFwAIgAsACAAXAAiAEEAdgBlAHIAYQBnAGUAIABMAGkAdgBlAHcAZQBpAGcAaAB0ACAAKABrAGcAKQBcACIAOwBcAG4AIAAgACAAIAAgACAAIAAgACAAIABcACIAQwBoAGkAYwBrAGUAbgBcACIALAAgADEALgAzADsAXABuACAAIAAgACAAIAAgACAAIAAgACAAXAAiAEgAZQBuACAAPgAvAD0AMQAgAHkAcgBcACIALAAgADIAOwBcAG4AIAAgACAAIAAgACAAIAAgACAAIABcACIAUAB1AGwAbABlAHQAcwBcACIALAAgADEALgA0ADsAXABuACAAIAAgACAAIAAgACAAIAAgACAAXAAiAEIAcgBvAGkAbABlAHIAcwBcACIALAAgADEALgAyAFwAbgAgACAAIAAgACAAIAAgACAAfQAsACAAcgAsACAAYwApAFwAbgAgACAAIAAgACAAIAApAFwAbgAgACAAIAAgACkAXABuACAAIAApADsAIgB9ACwAewAiAHAAYQB0AGgAIgA6ACIALwBwAHIAbwBqAGUAYwB0AHMALwBTAGMAbwBwAGUAMwBfAEUAcQB1AGEAdABpAG8AbgBzACIALAAiAHQAZQB4AHQAIgA6ACIALwAqAFwAbgA9AD0APQA9AD0APQA9AD0APQA9AD0APQA9AD0APQA9AD0APQA9AD0APQA9AD0APQA9AD0APQA9AD0APQA9AD0APQA9AD0APQA9AD0APQA9AD0APQA9AD0APQA9AD0APQA9AD0APQA9AD0APQA9AD0APQA9AD0APQA9AD0APQA9AD0APQA9AD0APQA9AD0APQA9AD0APQA9AFwAbgAxADUAOgAgAFMAYwBvAHAAZQAgADMAIABFAG0AaQBzAHMAaQBvAG4Acw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EANQBfADEAXwAxAF8AMQBfAF8AMQBfAEUAbQBpAHMAcwBpAG8AbgBzAEYAcgBvAG0AUAB1AHIAYwBoAGEAcwBlAGQATABpAHYAZQBzAHQAbwBjAGsAXABuAFQAbwB0AGEAbAAgAGUAbQBpAHMAcwBpAG8AbgBzACAAZgByAG8AbQAgAHAAdQByAGMAaABhAHMAZQBkACAAbABpAHYAZQBzAHQAbwBjAGsAXABuAEUAXABuAHQAIABDAE8AMgBlAFwAbgBFAD0AXABcAHMAdQBtAFwAXABuAG8AbABpAG0AaQB0AHMAXwBjAFwAXABzAHUAbQBcAFwAbgBvAGwAaQBtAGkAdABzAF8AbwBcAFwAbABlAGYAdAAoAE4AXwB7AGMAbwB9AFwAXAB0AGkAbQBlAHMAIABXAF8AewBjAG8AfQBcAFwAdABpAG0AZQBzACAARQBGAF8AewBjAG8AfQBcAFwAcgBpAGcAaAB0ACkAXABcAHQAaQBtAGUAcwAgADEAMABeAHsALQAzAH0AXABuAE4AXwBjAG8AIAA9ACAAbgB1AG0AYgBlAHIAIABvAGYAIABhAG4AaQBtAGEAbABzACAAcAB1AHIAYwBoAGEAcwBlAGQAIABpAG4AIABsAGkAdgBlAHMAdABvAGMAawAgAHQAeQBwAGUAIABjACAAZgByAG8AbQAgAG8AcgBpAGcAaQBuACAAbwBcAG4AVwBfAGMAbwAgAD0AIABhAHYAZQByAGEAZwBlACAAbABpAHYAZQB3AGUAaQBnAGgAdAAgAG8AZgAgAHAAdQByAGMAaABhAHMAZQBkACAAbABpAHYAZQBzAHQAbwBjAGsAIABhAHQAIABwAG8AaQBuAHQAIABvAGYAIABwAHUAcgBjAGgAYQBzAGUAXABuAEUARgBfAGMAbwAgAD0AIABlAG0AaQBzAHMAaQBvAG4AIABmAGEAYwB0AG8AcgAgAHAAZQByACAAbABpAHYAZQBzAHQAbwBjAGsAIAB0AHkAcABlACAAYQBuAGQAIABvAHIAaQBnAGkAbgBcAG4ALQAtAC0ALQAtAC0ALQAtAC0ALQAtAC0ALQAtAC0ALQAtAC0ALQAtAC0ALQAtAC0ALQAtAC0ALQAtAC0ALQAtAC0ALQAtAC0ALQAtAFwAbgAqAC8AXABuAFwAbgBWAEUARQBSAEcAXwAxADUAXwAxAF8AMQBfADEAXwBfADEAXwBFAG0AaQBzAHMAaQBvAG4AcwBGAHIAbwBtAFAAdQByAGMAaABhAHMAZQBkAEwAaQB2AGUAcwB0AG8AYwBrAFwAbgAgACAAPQBMAEEATQBCAEQAQQAoAFwAbgAgACAAIAAgAE4AXwBjAG8ALAAgAFcAXwBjAG8ALAAgAEUARgBfAGMAbwAsAFwAbgAgACAAIAAgACgATgBfAGMAbwAgACoAIABXAF8AYwBvACAAKgAgAEUARgBfAGMAbwApACAAKgAgADEAMAAgAF4AIAAtADMAXABuACAAIAApADsAXABuAFwAbgBWAEUARQBSAEcAXwAxADUAXwAxAF8AMQBfADEAXwBfADEAXwBFAG0AaQBzAHMAaQBvAG4AcwBGAHIAbwBtAFAAdQByAGMAaABhAHMAZQBkAEwAaQB2AGUAcwB0AG8AYwBrAF8AVABpAHQAbABlAFwAbgAgACAAPQBMAEEATQBCAEQAQQAoAFwAIgBUAG8AdABhAGwAIABlAG0AaQBzAHMAaQBvAG4AcwAgAGYAcgBvAG0AIABwAHUAcgBjAGgAYQBzAGUAZAAgAGwAaQB2AGUAcwB0AG8AYwBrAFwAIgApADsAXABuAFwAbgBWAEUARQBSAEcAXwAxADUAXwAxAF8AMQBfADEAXwBfADEAXwBFAG0AaQBzAHMAaQBvAG4AcwBGAHIAbwBtAFAAdQByAGMAaABhAHMAZQBkAEwAaQB2AGUAcwB0AG8AYwBrAF8AVgBhAHIAaQBhAGIAbABlAFwAbgAgACAAPQBMAEEATQBCAEQAQQAoAFwAIgBFAFwAIgApADsAXABuAFwAbgBWAEUARQBSAEcAXwAxADUAXwAxAF8AMQBfADEAXwBfADEAXwBFAG0AaQBzAHMAaQBvAG4AcwBGAHIAbwBtAFAAdQByAGMAaABhAHMAZQBkAEwAaQB2AGUAcwB0AG8AYwBrAF8AVQBuAGkAdABcAG4AIAAgAD0ATABBAE0AQgBEAEEAKABcACIAdAAgAEMATwAyAGUAXAAiACkAOwBcAG4AXABuAFYARQBFAFIARwBfADEANQBfADEAXwAxAF8AMQBfAF8AMQBfAEUAbQBpAHMAcwBpAG8AbgBzAEYAcgBvAG0AUAB1AHIAYwBoAGEAcwBlAGQATABpAHYAZQBzAHQAbwBjAGsAXwBTAG8AdQByAGMAZQBcAG4AIAAgAD0ATABBAE0AQgBEAEEAKABcACIAVgBFAEUAUgBHACAAMgAwADIANgA6ACAAMQA1AC4AMQAuADEALgAxACwAIABFAHEAdQBhAHQAaQBvAG4AIAAoADEAKQBcACIAKQA7AFwAbgBcAG4AVgBFAEUAUgBHAF8AMQA1AF8AMQBfADEAXwAxAF8AXwAxAF8ARQBtAGkAcwBzAGkAbwBuAHMARgByAG8AbQBQAHUAcgBjAGgAYQBzAGUAZABMAGkAdgBlAHMAdABvAGMAawBfAE4ASQBSAFIAZQBmAGUAcgBlAG4AYwBlAFwAbgAgACAAPQBMAEEATQBCAEQAQQAoAFwAIgBcACIAKQA7AFwAbgBcAG4AVgBFAEUAUgBHAF8AMQA1AF8AMQBfADEAXwAxAF8AXwAxAF8ARQBtAGkAcwBzAGkAbwBuAHMARgByAG8AbQBQAHUAcgBjAGgAYQBzAGUAZABMAGkAdgBlAHMAdABvAGMAawBfAEwAYQB0AGUAeABFAHEAdQBhAHQAaQBvAG4AXABuACAAIAA9AEwAQQBNAEIARABBACgAXAAiAEUAPQBcAFwAcwB1AG0AXABcAG4AbwBsAGkAbQBpAHQAcwBfAGMAXABcAHMAdQBtAFwAXABuAG8AbABpAG0AaQB0AHMAXwBvAFwAXABsAGUAZgB0ACgATgBfAHsAYwBvAH0AXABcAHQAaQBtAGUAcwAgAFcAXwB7AGMAbwB9AFwAXAB0AGkAbQBlAHMAIABFAEYAXwB7AGMAbwB9AFwAXAByAGkAZwBoAHQAKQBcAFwAdABpAG0AZQBzACAAMQAwAF4AewAtADMAfQBcACIAKQA7AFwAbgBcAG4AVgBFAEUAUgBHAF8AMQA1AF8AMQBfADEAXwAxAF8AXwAxAF8ARQBtAGkAcwBzAGkAbwBuAHMARgByAG8AbQBQAHUAcgBjAGgAYQBzAGUAZABMAGkAdgBlAHMAdABvAGMAawBfAEEAcgBnAHUAbQBlAG4AdABzAFwAbgAgACAAPQBMAEEATQBCAEQAQQAoAFwAbgAgACAAIAAgAE0AQQBLAEUAQQBSAFIAQQBZACgANQAsACAANAAsAFwAbgAgACAAIAAgACAAIABMAEEATQBCAEQAQQAoAHIALABjACwAXABuACAAIAAgACAAIAAgACAAIABJAE4ARABFAFgAKAB7AFwAbgAgACAAIAAgACAAIAAgACAAIAAgAFwAIgBOAF8AYwBvAFwAIgAsACAAXAAiAG4AdQBtAGIAZQByACAAbwBmACAAYQBuAGkAbQBhAGwAcwAgAHAAdQByAGMAaABhAHMAZQBkACAAaQBuACAAbABpAHYAZQBzAHQAbwBjAGsAIAB0AHkAcABlACAAYwAgAGYAcgBvAG0AIABvAHIAaQBnAGkAbgAgAG8AXAAiACwAIABcACIAaABlAGEAZABcACIALAAgAFwAIgBJAG4AcAB1AHQAXAAiADsAXABuACAAIAAgACAAIAAgACAAIAAgACAAXAAiAFcAXwBjAG8AXAAiACwAIABcACIAYQB2AGUAcgBhAGcAZQAgAGwAaQB2AGUAdwBlAGkAZwBoAHQAIABvAGYAIABwAHUAcgBjAGgAYQBzAGUAZAAgAGwAaQB2AGUAcwB0AG8AYwBrACAAYQB0ACAAcABvAGkAbgB0ACAAbwBmACAAcAB1AHIAYwBoAGEAcwBlAFwAIgAsACAAXAAiAGsAZwAvAGgAZQBhAGQAXAAiACwAIABcACIASQBuAHAAdQB0AFwAIgA7AFwAbgAgACAAIAAgACAAIAAgACAAIAAgAFwAIgBFAEYAXwBjAG8AXAAiACwAIABcACIAZQBtAGkAcwBzAGkAbwBuACAAZgBhAGMAdABvAHIAIABwAGUAcgAgAGwAaQB2AGUAcwB0AG8AYwBrACAAdAB5AHAAZQAgAGEAbgBkACAAbwByAGkAZwBpAG4AXAAiACwAIABcACIAawBnACAAQwBPADIAZQAvAGsAZwBcACIALAAgAFwAIgBDAG8AbgBzAHQAYQBuAHQAXAAiADsAXABuACAAIAAgACAAIAAgACAAIAAgACAAXAAiAGMAXAAiACwAIABcACIAbABpAHYAZQBzAHQAbwBjAGsAIAB0AHkAcABlAFwAIgAsACAAXAAiAFwAIgAsACAAXAAiAEkAbgBwAHUAdABcACIAOwBcAG4AIAAgACAAIAAgACAAIAAgACAAIABcACIAbwBcACIALAAgAFwAIgBvAHIAaQBnAGkAbgBcACIALAAgAFwAI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MQA1AF8AMgBfADEAXwAxAF8AXwAxAF8ARQBtAGkAcwBzAGkAbwBuAHMARgByAG8AbQBQAHUAcgBjAGgAYQBzAGUAZABGAGUAZQBkAFwAbgBFAG0AaQBzAHMAaQBvAG4AcwAgAGYAcgBvAG0AIABwAHUAcgBjAGgAYQBzAGUAZAAgAGYAZQBlAGQAXABuAEUAXABuAHQAIABDAE8AMgBlAFwAbgBFAD0AXABcAHMAdQBtAFwAXABuAG8AbABpAG0AaQB0AHMAXwBqAFwAXABsAGUAZgB0ACgAUQBfAGoAXABcAHQAaQBtAGUAcwAgAEUARgBfAGoAXABcAHIAaQBnAGgAdAApAFwAbgBRAF8AagAgAD0AIABxAHUAYQBuAHQAaQB0AHkAIABvAGYAIABmAGUAZQBkACAAdAB5AHAAZQAgAGoAIABwAHUAcgBjAGgAYQBzAGUAZABcAG4ARQBGAF8AagAgAD0AIABlAG0AaQBzAHMAaQBvAG4AIABmAGEAYwB0AG8AcgAgAG8AZgAgAHAAdQByAGMAaABhAHMAZQBkACAAZgBlAGUAZABcAG4ALQAtAC0ALQAtAC0ALQAtAC0ALQAtAC0ALQAtAC0ALQAtAC0ALQAtAC0ALQAtAC0ALQAtAC0ALQAtAC0ALQAtAC0ALQAtAC0ALQAtAFwAbgAqAC8AXABuAFwAbgBWAEUARQBSAEcAXwAxADUAXwAyAF8AMQBfADEAXwBfADEAXwBFAG0AaQBzAHMAaQBvAG4AcwBGAHIAbwBtAFAAdQByAGMAaABhAHMAZQBkAEYAZQBlAGQAXABuACAAIAA9AEwAQQBNAEIARABBACgAXABuACAAIAAgACAAUQBfAGoALAAgAEUARgBfAGoALABcAG4AIAAgACAAIABRAF8AagAgACoAIABFAEYAXwBqAFwAbgAgACAAKQA7AFwAbgBcAG4AVgBFAEUAUgBHAF8AMQA1AF8AMgBfADEAXwAxAF8AXwAxAF8ARQBtAGkAcwBzAGkAbwBuAHMARgByAG8AbQBQAHUAcgBjAGgAYQBzAGUAZABGAGUAZQBkAF8AVABpAHQAbABlAFwAbgAgACAAPQBMAEEATQBCAEQAQQAoAFwAIgBFAG0AaQBzAHMAaQBvAG4AcwAgAGYAcgBvAG0AIABwAHUAcgBjAGgAYQBzAGUAZAAgAGYAZQBlAGQAXAAiACkAOwBcAG4AXABuAFYARQBFAFIARwBfADEANQBfADIAXwAxAF8AMQBfAF8AMQBfAEUAbQBpAHMAcwBpAG8AbgBzAEYAcgBvAG0AUAB1AHIAYwBoAGEAcwBlAGQARgBlAGUAZABfAFYAYQByAGkAYQBiAGwAZQBcAG4AIAAgAD0ATABBAE0AQgBEAEEAKABcACIARQBcACIAKQA7AFwAbgBcAG4AVgBFAEUAUgBHAF8AMQA1AF8AMgBfADEAXwAxAF8AXwAxAF8ARQBtAGkAcwBzAGkAbwBuAHMARgByAG8AbQBQAHUAcgBjAGgAYQBzAGUAZABGAGUAZQBkAF8AVQBuAGkAdABcAG4AIAAgAD0ATABBAE0AQgBEAEEAKABcACIAdAAgAEMATwAyAGUAXAAiACkAOwBcAG4AXABuAFYARQBFAFIARwBfADEANQBfADIAXwAxAF8AMQBfAF8AMQBfAEUAbQBpAHMAcwBpAG8AbgBzAEYAcgBvAG0AUAB1AHIAYwBoAGEAcwBlAGQARgBlAGUAZABfAFMAbwB1AHIAYwBlAFwAbgAgACAAPQBMAEEATQBCAEQAQQAoAFwAIgBWAEUARQBSAEcAIAAyADAAMgA2ADoAIAAxADUALgAyAC4AMQAuADEALAAgAEUAcQB1AGEAdABpAG8AbgAgACgAMQApAFwAIgApADsAXABuAFwAbgBWAEUARQBSAEcAXwAxADUAXwAyAF8AMQBfADEAXwBfADEAXwBFAG0AaQBzAHMAaQBvAG4AcwBGAHIAbwBtAFAAdQByAGMAaABhAHMAZQBkAEYAZQBlAGQAXwBOAEkAUgBSAGUAZgBlAHIAZQBuAGMAZQBcAG4AIAAgAD0ATABBAE0AQgBEAEEAKABcACIAXAAiACkAOwBcAG4AXABuAFYARQBFAFIARwBfADEANQBfADIAXwAxAF8AMQBfAF8AMQBfAEUAbQBpAHMAcwBpAG8AbgBzAEYAcgBvAG0AUAB1AHIAYwBoAGEAcwBlAGQARgBlAGUAZABfAEwAYQB0AGUAeABFAHEAdQBhAHQAaQBvAG4AXABuACAAIAA9AEwAQQBNAEIARABBACgAXAAiAEUAPQBcAFwAcwB1AG0AXABcAG4AbwBsAGkAbQBpAHQAcwBfAGoAXABcAGwAZQBmAHQAKABRAF8AagBcAFwAdABpAG0AZQBzACAARQBGAF8AagBcAFwAcgBpAGcAaAB0ACkAXAAiACkAOwBcAG4AXABuAFYARQBFAFIARwBfADEANQBfADIAXwAxAF8AMQBfAF8AMQBfAEUAbQBpAHMAcwBpAG8AbgBzAEYAcgBvAG0AUAB1AHIAYwBoAGEAcwBlAGQARgBlAGUAZABfAEEAcgBnAHUAbQBlAG4AdABzAFwAbgAgACAAPQBMAEEATQBCAEQAQQAoAFwAbgAgACAAIAAgAE0AQQBLAEUAQQBSAFIAQQBZACgAMwAsACAANAAsAFwAbgAgACAAIAAgACAAIABMAEEATQBCAEQAQQAoAHIALABjACwAXABuACAAIAAgACAAIAAgACAAIABJAE4ARABFAFgAKAB7AFwAbgAgACAAIAAgACAAIAAgACAAIAAgAFwAIgBRAF8AagBcACIALAAgAFwAIgBxAHUAYQBuAHQAaQB0AHkAIABvAGYAIABmAGUAZQBkACAAdAB5AHAAZQAgAGoAIABwAHUAcgBjAGgAYQBzAGUAZABcACIALAAgAFwAIgB0AFwAIgAsACAAXAAiAEkAbgBwAHUAdABcACIAOwBcAG4AIAAgACAAIAAgACAAIAAgACAAIABcACIARQBGAF8AagBcACIALAAgAFwAIgBlAG0AaQBzAHMAaQBvAG4AIABmAGEAYwB0AG8AcgAgAG8AZgAgAHAAdQByAGMAaABhAHMAZQBkACAAZgBlAGUAZABcACIALAAgAFwAIgBrAGcAIABDAE8AMgBlAC8AawBnAFwAIgAsACAAXAAiAEMAbwBuAHMAdABhAG4AdABcACIAOwBcAG4AIAAgACAAIAAgACAAIAAgACAAIABcACIAagBcACIALAAgAFwAIgBmAGUAZQBkACAAdAB5AHAAZQBcACIALAAgAFwAI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MQA1AF8AMwBfADEAXwAxAF8AXwAxAF8ARQBtAGkAcwBzAGkAbwBuAHMARgByAG8AbQBQAHUAcgBjAGgAYQBzAGUAZABNAGkAbgBlAHIAYQBsAFMAdQBwAHAAbABlAG0AZQBuAHQAcwBcAG4AVABvAHQAYQBsACAAZQBtAGkAcwBzAGkAbwBuAHMAIABmAHIAbwBtACAAcAB1AHIAYwBoAGEAcwBlAGQAIABtAGkAbgBlAHIAYQBsACAAcwB1AHAAcABsAGUAbQBlAG4AdABzAFwAbgBFAFwAbgB0ACAAQwBPADIAZQBcAG4ARQA9AFwAXABzAHUAbQBcAFwAbgBvAGwAaQBtAGkAdABzAF8AbQBcAFwAbABlAGYAdAAoAFEAXwBtAFwAXAB0AGkAbQBlAHMAIABFAEYAXwBtAFwAXAByAGkAZwBoAHQAKQBcAG4AUQBfAG0AIAA9ACAAdABvAHQAYQBsACAAcQB1AGEAbgB0AGkAdAB5ACAAbwBmACAAbQBpAG4AZQByAGEAbAAgAHMAdQBwAHAAbABlAG0AZQBuAHQAIAB0AHkAcABlACAAbQAgAHUAcwBlAGQAXABuAEUARgBfAG0AIAA9ACAAZQBtAGkAcwBzAGkAbwBuACAAZgBhAGMAdABvAHIAIABvAGYAIABwAHUAcgBjAGgAYQBzAGUAZAAgAG0AaQBuAGUAcgBhAGwAIABzAHUAcABwAGwAZQBtAGUAbgB0AFwAbgAtAC0ALQAtAC0ALQAtAC0ALQAtAC0ALQAtAC0ALQAtAC0ALQAtAC0ALQAtAC0ALQAtAC0ALQAtAC0ALQAtAC0ALQAtAC0ALQAtAC0AXABuACoALwBcAG4AXABuAFYARQBFAFIARwBfADEANQBfADMAXwAxAF8AMQBfAF8AMQBfAEUAbQBpAHMAcwBpAG8AbgBzAEYAcgBvAG0AUAB1AHIAYwBoAGEAcwBlAGQATQBpAG4AZQByAGEAbABTAHUAcABwAGwAZQBtAGUAbgB0AHMAXABuACAAIAA9AEwAQQBNAEIARABBACgAXABuACAAIAAgACAAUQBfAG0ALAAgAEUARgBfAG0ALABcAG4AIAAgACAAIABRAF8AbQAgACoAIABFAEYAXwBtAFwAbgAgACAAKQA7AFwAbgBcAG4AVgBFAEUAUgBHAF8AMQA1AF8AMwBfADEAXwAxAF8AXwAxAF8ARQBtAGkAcwBzAGkAbwBuAHMARgByAG8AbQBQAHUAcgBjAGgAYQBzAGUAZABNAGkAbgBlAHIAYQBsAFMAdQBwAHAAbABlAG0AZQBuAHQAcwBfAFQAaQB0AGwAZQBcAG4AIAAgAD0ATABBAE0AQgBEAEEAKABcACIAVABvAHQAYQBsACAAZQBtAGkAcwBzAGkAbwBuAHMAIABmAHIAbwBtACAAcAB1AHIAYwBoAGEAcwBlAGQAIABtAGkAbgBlAHIAYQBsACAAcwB1AHAAcABsAGUAbQBlAG4AdABzAFwAIgApADsAXABuAFwAbgBWAEUARQBSAEcAXwAxADUAXwAzAF8AMQBfADEAXwBfADEAXwBFAG0AaQBzAHMAaQBvAG4AcwBGAHIAbwBtAFAAdQByAGMAaABhAHMAZQBkAE0AaQBuAGUAcgBhAGwAUwB1AHAAcABsAGUAbQBlAG4AdABzAF8AVgBhAHIAaQBhAGIAbABlAFwAbgAgACAAPQBMAEEATQBCAEQAQQAoAFwAIgBFAFwAIgApADsAXABuAFwAbgBWAEUARQBSAEcAXwAxADUAXwAzAF8AMQBfADEAXwBfADEAXwBFAG0AaQBzAHMAaQBvAG4AcwBGAHIAbwBtAFAAdQByAGMAaABhAHMAZQBkAE0AaQBuAGUAcgBhAGwAUwB1AHAAcABsAGUAbQBlAG4AdABzAF8AVQBuAGkAdABcAG4AIAAgAD0ATABBAE0AQgBEAEEAKABcACIAdAAgAEMATwAyAGUAXAAiACkAOwBcAG4AXABuAFYARQBFAFIARwBfADEANQBfADMAXwAxAF8AMQBfAF8AMQBfAEUAbQBpAHMAcwBpAG8AbgBzAEYAcgBvAG0AUAB1AHIAYwBoAGEAcwBlAGQATQBpAG4AZQByAGEAbABTAHUAcABwAGwAZQBtAGUAbgB0AHMAXwBTAG8AdQByAGMAZQBcAG4AIAAgAD0ATABBAE0AQgBEAEEAKABcACIAVgBFAEUAUgBHACAAMgAwADIANgA6ACAAMQA1AC4AMwAuADEALgAxACwAIABFAHEAdQBhAHQAaQBvAG4AIAAoADEAKQBcACIAKQA7AFwAbgBcAG4AVgBFAEUAUgBHAF8AMQA1AF8AMwBfADEAXwAxAF8AXwAxAF8ARQBtAGkAcwBzAGkAbwBuAHMARgByAG8AbQBQAHUAcgBjAGgAYQBzAGUAZABNAGkAbgBlAHIAYQBsAFMAdQBwAHAAbABlAG0AZQBuAHQAcwBfAE4ASQBSAFIAZQBmAGUAcgBlAG4AYwBlAFwAbgAgACAAPQBMAEEATQBCAEQAQQAoAFwAIgBcACIAKQA7AFwAbgBcAG4AVgBFAEUAUgBHAF8AMQA1AF8AMwBfADEAXwAxAF8AXwAxAF8ARQBtAGkAcwBzAGkAbwBuAHMARgByAG8AbQBQAHUAcgBjAGgAYQBzAGUAZABNAGkAbgBlAHIAYQBsAFMAdQBwAHAAbABlAG0AZQBuAHQAcwBfAEwAYQB0AGUAeABFAHEAdQBhAHQAaQBvAG4AXABuACAAIAA9AEwAQQBNAEIARABBACgAXAAiAEUAPQBcAFwAcwB1AG0AXABcAG4AbwBsAGkAbQBpAHQAcwBfAG0AXABcAGwAZQBmAHQAKABRAF8AbQBcAFwAdABpAG0AZQBzACAARQBGAF8AbQBcAFwAcgBpAGcAaAB0ACkAXAAiACkAOwBcAG4AXABuAFYARQBFAFIARwBfADEANQBfADMAXwAxAF8AMQBfAF8AMQBfAEUAbQBpAHMAcwBpAG8AbgBzAEYAcgBvAG0AUAB1AHIAYwBoAGEAcwBlAGQATQBpAG4AZQByAGEAbABTAHUAcABwAGwAZQBtAGUAbgB0AHMAXwBBAHIAZwB1AG0AZQBuAHQAcwBcAG4AIAAgAD0ATABBAE0AQgBEAEEAKABcAG4AIAAgACAAIABNAEEASwBFAEEAUgBSAEEAWQAoADMALAAgADQALABcAG4AIAAgACAAIAAgACAATABBAE0AQgBEAEEAKAByACwAYwAsAFwAbgAgACAAIAAgACAAIAAgACAASQBOAEQARQBYACgAewBcAG4AIAAgACAAIAAgACAAIAAgACAAIABcACIAUQBfAG0AXAAiACwAIABcACIAdABvAHQAYQBsACAAcQB1AGEAbgB0AGkAdAB5ACAAbwBmACAAbQBpAG4AZQByAGEAbAAgAHMAdQBwAHAAbABlAG0AZQBuAHQAIAB0AHkAcABlACAAbQAgAHUAcwBlAGQAXAAiACwAIABcACIAdABcACIALAAgAFwAIgBJAG4AcAB1AHQAXAAiADsAXABuACAAIAAgACAAIAAgACAAIAAgACAAXAAiAEUARgBfAG0AXAAiACwAIABcACIAZQBtAGkAcwBzAGkAbwBuACAAZgBhAGMAdABvAHIAIABvAGYAIABwAHUAcgBjAGgAYQBzAGUAZAAgAG0AaQBuAGUAcgBhAGwAIABzAHUAcABwAGwAZQBtAGUAbgB0AFwAIgAsACAAXAAiAGsAZwAgAEMATwAyAGUALwBrAGcAXAAiACwAIABcACIAQwBvAG4AcwB0AGEAbgB0AFwAIgA7AFwAbgAgACAAIAAgACAAIAAgACAAIAAgAFwAIgBtAFwAIgAsACAAXAAiAG0AaQBuAGUAcgBhAGwAIABzAHUAcABwAGwAZQBtAGUAbgB0ACAAdAB5AHAAZQBcACIALAAgAFwAI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MQA1AF8ANABfADEAXwAxAF8AXwAxAF8ARQBtAGkAcwBzAGkAbwBuAHMARgByAG8AbQBQAHUAcgBjAGgAYQBzAGUAZABGAGUAcgB0AGkAbABpAHMAZQByAFwAbgBFAG0AaQBzAHMAaQBvAG4AcwAgAGYAcgBvAG0AIABwAHUAcgBjAGgAYQBzAGUAZAAgAGYAZQByAHQAaQBsAGkAcwBlAHIAXABuAEUAXABuAHQAIABDAE8AMgBlAFwAbgBFAD0AXABcAHMAdQBtAFwAXABuAG8AbABpAG0AaQB0AHMAXwBmAFwAXABzAHUAbQBcAFwAbgBvAGwAaQBtAGkAdABzAF8AagBcAFwAbABlAGYAdAAoAFQATQBfAHsAagBmAH0AXABcAHQAaQBtAGUAcwAgAEUARgBfAGYAXABcAHIAaQBnAGgAdAApAFwAXAB0AGkAbQBlAHMAIAAxADAAXgB7AC0AMwB9AFwAbgBUAE0AXwBqAGYAIAA9ACAAcQB1AGEAbgB0AGkAdAB5ACAAbwBmACAAaQBuAG8AcgBnAGEAbgBpAGMAIABmAGUAcgB0AGkAbABpAHMAZQByACAAdAB5AHAAZQAgAGYAIABwAHUAcgBjAGgAYQBzAGUAZAAgAGEAbgBkACAAYQBwAHAAbABpAGUAZAAgAHQAbwAgAHAAcgBvAGQAdQBjAHQAaQBvAG4AIABzAHkAcwB0AGUAbQAgAGoAXABuAEUARgBfAGYAIAA9ACAAZQBtAGkAcwBzAGkAbwBuACAAZgBhAGMAdABvAHIAIABvAGYAIABwAHUAcgBjAGgAYQBzAGUAZAAgAGkAbgBvAHIAZwBhAG4AaQBjACAAZgBlAHIAdABpAGwAaQBzAGUAcgBcAG4ALQAtAC0ALQAtAC0ALQAtAC0ALQAtAC0ALQAtAC0ALQAtAC0ALQAtAC0ALQAtAC0ALQAtAC0ALQAtAC0ALQAtAC0ALQAtAC0ALQAtAFwAbgAqAC8AXABuAFwAbgBWAEUARQBSAEcAXwAxADUAXwA0AF8AMQBfADEAXwBfADEAXwBFAG0AaQBzAHMAaQBvAG4AcwBGAHIAbwBtAFAAdQByAGMAaABhAHMAZQBkAEYAZQByAHQAaQBsAGkAcwBlAHIAXABuACAAIAA9AEwAQQBNAEIARABBACgAXABuACAAIAAgACAAVABNAF8AagBmACwAIABFAEYAXwBmACwAXABuACAAIAAgACAAKABUAE0AXwBqAGYAIAAqACAARQBGAF8AZgApACAAKgAgADEAMAAgAF4AIAAtADMAXABuACAAIAApADsAXABuAFwAbgBWAEUARQBSAEcAXwAxADUAXwA0AF8AMQBfADEAXwBfADEAXwBFAG0AaQBzAHMAaQBvAG4AcwBGAHIAbwBtAFAAdQByAGMAaABhAHMAZQBkAEYAZQByAHQAaQBsAGkAcwBlAHIAXwBUAGkAdABsAGUAXABuACAAIAA9AEwAQQBNAEIARABBACgAXAAiAEUAbQBpAHMAcwBpAG8AbgBzACAAZgByAG8AbQAgAHAAdQByAGMAaABhAHMAZQBkACAAZgBlAHIAdABpAGwAaQBzAGUAcgBcACIAKQA7AFwAbgBcAG4AVgBFAEUAUgBHAF8AMQA1AF8ANABfADEAXwAxAF8AXwAxAF8ARQBtAGkAcwBzAGkAbwBuAHMARgByAG8AbQBQAHUAcgBjAGgAYQBzAGUAZABGAGUAcgB0AGkAbABpAHMAZQByAF8AVgBhAHIAaQBhAGIAbABlAFwAbgAgACAAPQBMAEEATQBCAEQAQQAoAFwAIgBFAFwAIgApADsAXABuAFwAbgBWAEUARQBSAEcAXwAxADUAXwA0AF8AMQBfADEAXwBfADEAXwBFAG0AaQBzAHMAaQBvAG4AcwBGAHIAbwBtAFAAdQByAGMAaABhAHMAZQBkAEYAZQByAHQAaQBsAGkAcwBlAHIAXwBVAG4AaQB0AFwAbgAgACAAPQBMAEEATQBCAEQAQQAoAFwAIgB0ACAAQwBPADIAZQBcACIAKQA7AFwAbgBcAG4AVgBFAEUAUgBHAF8AMQA1AF8ANABfADEAXwAxAF8AXwAxAF8ARQBtAGkAcwBzAGkAbwBuAHMARgByAG8AbQBQAHUAcgBjAGgAYQBzAGUAZABGAGUAcgB0AGkAbABpAHMAZQByAF8AUwBvAHUAcgBjAGUAXABuACAAIAA9AEwAQQBNAEIARABBACgAXAAiAFYARQBFAFIARwAgADIAMAAyADYAOgAgADEANQAuADQALgAxAC4AMQAsACAARQBxAHUAYQB0AGkAbwBuACAAKAAxACkAXAAiACkAOwBcAG4AXABuAFYARQBFAFIARwBfADEANQBfADQAXwAxAF8AMQBfAF8AMQBfAEUAbQBpAHMAcwBpAG8AbgBzAEYAcgBvAG0AUAB1AHIAYwBoAGEAcwBlAGQARgBlAHIAdABpAGwAaQBzAGUAcgBfAE4ASQBSAFIAZQBmAGUAcgBlAG4AYwBlAFwAbgAgACAAPQBMAEEATQBCAEQAQQAoAFwAIgBcACIAKQA7AFwAbgBcAG4AVgBFAEUAUgBHAF8AMQA1AF8ANABfADEAXwAxAF8AXwAxAF8ARQBtAGkAcwBzAGkAbwBuAHMARgByAG8AbQBQAHUAcgBjAGgAYQBzAGUAZABGAGUAcgB0AGkAbABpAHMAZQByAF8ATABhAHQAZQB4AEUAcQB1AGEAdABpAG8AbgBcAG4AIAAgAD0ATABBAE0AQgBEAEEAKABcACIARQA9AFwAXABzAHUAbQBcAFwAbgBvAGwAaQBtAGkAdABzAF8AZgBcAFwAcwB1AG0AXABcAG4AbwBsAGkAbQBpAHQAcwBfAGoAXABcAGwAZQBmAHQAKABUAE0AXwB7AGoAZgB9AFwAXAB0AGkAbQBlAHMAIABFAEYAXwBmAFwAXAByAGkAZwBoAHQAKQBcAFwAdABpAG0AZQBzACAAMQAwAF4AewAtADMAfQBcACIAKQA7AFwAbgBcAG4AVgBFAEUAUgBHAF8AMQA1AF8ANABfADEAXwAxAF8AXwAxAF8ARQBtAGkAcwBzAGkAbwBuAHMARgByAG8AbQBQAHUAcgBjAGgAYQBzAGUAZABGAGUAcgB0AGkAbABpAHMAZQByAF8AQQByAGcAdQBtAGUAbgB0AHMAXABuACAAIAA9AEwAQQBNAEIARABBACgAXABuACAAIAAgACAATQBBAEsARQBBAFIAUgBBAFkAKAA0ACwAIAA0ACwAXABuACAAIAAgACAAIAAgAEwAQQBNAEIARABBACgAcgAsAGMALABcAG4AIAAgACAAIAAgACAAIAAgAEkATgBEAEUAWAAoAHsAXABuACAAIAAgACAAIAAgACAAIAAgACAAXAAiAFQATQBfAGoAZgBcACIALAAgAFwAIgBxAHUAYQBuAHQAaQB0AHkAIABvAGYAIABpAG4AbwByAGcAYQBuAGkAYwAgAGYAZQByAHQAaQBsAGkAcwBlAHIAIAB0AHkAcABlACAAZgAgAHAAdQByAGMAaABhAHMAZQBkACAAYQBuAGQAIABhAHAAcABsAGkAZQBkACAAdABvACAAcAByAG8AZAB1AGMAdABpAG8AbgAgAHMAeQBzAHQAZQBtACAAagBcACIALAAgAFwAIgBrAGcAXAAiACwAIABcACIASQBuAHAAdQB0AFwAIgA7AFwAbgAgACAAIAAgACAAIAAgACAAIAAgAFwAIgBFAEYAXwBmAFwAIgAsACAAXAAiAGUAbQBpAHMAcwBpAG8AbgAgAGYAYQBjAHQAbwByACAAbwBmACAAcAB1AHIAYwBoAGEAcwBlAGQAIABpAG4AbwByAGcAYQBuAGkAYwAgAGYAZQByAHQAaQBsAGkAcwBlAHIAXAAiACwAIABcACIAawBnACAAQwBPADIAZQAvAGsAZwBcACIALAAgAFwAIgBDAG8AbgBzAHQAYQBuAHQAXAAiADsAXABuACAAIAAgACAAIAAgACAAIAAgACAAXAAiAGoAXAAiACwAIABcACIAcAByAG8AZAB1AGMAdABpAG8AbgAgAHMAeQBzAHQAZQBtAFwAIgAsACAAXAAiAFwAIgAsACAAXAAiAEkAbgBwAHUAdABcACIAOwBcAG4AIAAgACAAIAAgACAAIAAgACAAIABcACIAZgBcACIALAAgAFwAIgBpAG4AbwByAGcAYQBuAGkAYwAgAGYAZQByAHQAaQBsAGkAcwBlAHIAIAB0AHkAcABlAFwAIgAsACAAXAAi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xADUAXwA0AF8AMQBfADEAXwBfADIAXwBFAG0AaQBzAHMAaQBvAG4AcwBGAHIAbwBtAFAAdQByAGMAaABhAHMAZQBkAEYAZQByAHQAaQBsAGkAcwBlAHIAQwBvAG0AcABvAG4AZQBuAHQAcwBcAG4ARQBtAGkAcwBzAGkAbwBuAHMAIABmAHIAbwBtACAAcAB1AHIAYwBoAGEAcwBlAGQAIABmAGUAcgB0AGkAbABpAHMAZQByACAAYwBvAG0AcABvAG4AZQBuAHQAcwBcAG4ARQBcAG4AdAAgAEMATwAyAGUAXABuAEUAPQBcAFwAcwB1AG0AXABcAG4AbwBsAGkAbQBpAHQAcwBfAGYAXABcAHMAdQBtAFwAXABuAG8AbABpAG0AaQB0AHMAXwBjAFwAXABzAHUAbQBcAFwAbgBvAGwAaQBtAGkAdABzAF8AagBcAFwAbABlAGYAdAAoACgARgBfAHsAYwBmAH0AXABcAHQAaQBtAGUAcwAgAFQATQBfAHsAagBmAH0AKQAvADEAMAAwAFwAXAB0AGkAbQBlAHMAIABFAEYAXwBjAFwAXAByAGkAZwBoAHQAKQBcAG4ARgBfAGMAZgAgAD0AIABmAHIAYQBjAHQAaQBvAG4AIABvAGYAIABjAG8AbQBwAG8AbgBlAG4AdAAgAGMAIABjAG8AbgB0AGEAaQBuAGUAZAAgAHcAaQB0AGgAaQBuACAAdABoAGUAIABpAG4AbwByAGcAYQBuAGkAYwAgAGYAZQByAHQAaQBsAGkAcwBlAHIAIABmAFwAbgBUAE0AXwBqAGYAIAA9ACAAcQB1AGEAbgB0AGkAdAB5ACAAbwBmACAAaQBuAG8AcgBnAGEAbgBpAGMAIABmAGUAcgB0AGkAbABpAHMAZQByACAAdAB5AHAAZQAgAGYAIABwAHUAcgBjAGgAYQBzAGUAZAAgAGEAbgBkACAAYQBwAHAAbABpAGUAZAAgAHQAbwAgAHAAcgBvAGQAdQBjAHQAaQBvAG4AIABzAHkAcwB0AGUAbQAgAGoAXABuAEUARgBfAGMAIAA9ACAAZQBtAGkAcwBzAGkAbwBuACAAZgBhAGMAdABvAHIAIABmAG8AcgAgAHQAaABlACAAcAByAG8AZAB1AGMAdABpAG8AbgAgAG8AZgAgAGMAbwBtAHAAbwBuAGUAbgB0ACAAYwBcAG4ALQAtAC0ALQAtAC0ALQAtAC0ALQAtAC0ALQAtAC0ALQAtAC0ALQAtAC0ALQAtAC0ALQAtAC0ALQAtAC0ALQAtAC0ALQAtAC0ALQAtAFwAbgAqAC8AXABuAFwAbgBWAEUARQBSAEcAXwAxADUAXwA0AF8AMQBfADEAXwBfADIAXwBFAG0AaQBzAHMAaQBvAG4AcwBGAHIAbwBtAFAAdQByAGMAaABhAHMAZQBkAEYAZQByAHQAaQBsAGkAcwBlAHIAQwBvAG0AcABvAG4AZQBuAHQAcwBcAG4AIAAgAD0ATABBAE0AQgBEAEEAKABcAG4AIAAgACAAIABGAF8AYwBmACwAIABUAE0AXwBqAGYALAAgAEUARgBfAGMALABcAG4AIAAgACAAIAAoACgARgBfAGMAZgAgACoAIABUAE0AXwBqAGYAKQAgAC8AIAAxADAAMAApACAAKgAgAEUARgBfAGMAXABuACAAIAApADsAXABuAFwAbgBWAEUARQBSAEcAXwAxADUAXwA0AF8AMQBfADEAXwBfADIAXwBFAG0AaQBzAHMAaQBvAG4AcwBGAHIAbwBtAFAAdQByAGMAaABhAHMAZQBkAEYAZQByAHQAaQBsAGkAcwBlAHIAQwBvAG0AcABvAG4AZQBuAHQAcwBWAGEAcgBpAGEAdABpAG8AbgBcAG4AIAAgAD0ATABBAE0AQgBEAEEAKABcAG4AIAAgACAAIABGAF8AYwBmACwAIABUAE0AXwBqAGYALAAgAEUARgBfAGMALABcAG4AIAAgACAAIAAoAEYAXwBjAGYAIAAqACAAVABNAF8AagBmACkAIAAqACAARQBGAF8AYwAgACoAIAAxADAAXgAtADMAXABuACAAIAApADsAXABuAFwAbgBWAEUARQBSAEcAXwAxADUAXwA0AF8AMQBfADEAXwBfADIAXwBFAG0AaQBzAHMAaQBvAG4AcwBGAHIAbwBtAFAAdQByAGMAaABhAHMAZQBkAEYAZQByAHQAaQBsAGkAcwBlAHIAQwBvAG0AcABvAG4AZQBuAHQAcwBfAFQAaQB0AGwAZQBcAG4AIAAgAD0ATABBAE0AQgBEAEEAKABcACIARQBtAGkAcwBzAGkAbwBuAHMAIABmAHIAbwBtACAAcAB1AHIAYwBoAGEAcwBlAGQAIABmAGUAcgB0AGkAbABpAHMAZQByACAAYwBvAG0AcABvAG4AZQBuAHQAcwBcACIAKQA7AFwAbgBcAG4AVgBFAEUAUgBHAF8AMQA1AF8ANABfADEAXwAxAF8AXwAyAF8ARQBtAGkAcwBzAGkAbwBuAHMARgByAG8AbQBQAHUAcgBjAGgAYQBzAGUAZABGAGUAcgB0AGkAbABpAHMAZQByAEMAbwBtAHAAbwBuAGUAbgB0AHMAXwBWAGEAcgBpAGEAYgBsAGUAXABuACAAIAA9AEwAQQBNAEIARABBACgAXAAiAEUAXAAiACkAOwBcAG4AXABuAFYARQBFAFIARwBfADEANQBfADQAXwAxAF8AMQBfAF8AMgBfAEUAbQBpAHMAcwBpAG8AbgBzAEYAcgBvAG0AUAB1AHIAYwBoAGEAcwBlAGQARgBlAHIAdABpAGwAaQBzAGUAcgBDAG8AbQBwAG8AbgBlAG4AdABzAF8AVQBuAGkAdABcAG4AIAAgAD0ATABBAE0AQgBEAEEAKABcACIAdAAgAEMATwAyAGUAXAAiACkAOwBcAG4AXABuAFYARQBFAFIARwBfADEANQBfADQAXwAxAF8AMQBfAF8AMgBfAEUAbQBpAHMAcwBpAG8AbgBzAEYAcgBvAG0AUAB1AHIAYwBoAGEAcwBlAGQARgBlAHIAdABpAGwAaQBzAGUAcgBDAG8AbQBwAG8AbgBlAG4AdABzAF8AUwBvAHUAcgBjAGUAXABuACAAIAA9AEwAQQBNAEIARABBACgAXAAiAFYARQBFAFIARwAgADIAMAAyADYAOgAgADEANQAuADQALgAxAC4AMQAsACAARQBxAHUAYQB0AGkAbwBuACAAKAAyACkAXAAiACkAOwBcAG4AXABuAFYARQBFAFIARwBfADEANQBfADQAXwAxAF8AMQBfAF8AMgBfAEUAbQBpAHMAcwBpAG8AbgBzAEYAcgBvAG0AUAB1AHIAYwBoAGEAcwBlAGQARgBlAHIAdABpAGwAaQBzAGUAcgBDAG8AbQBwAG8AbgBlAG4AdABzAF8ATgBJAFIAUgBlAGYAZQByAGUAbgBjAGUAXABuACAAIAA9AEwAQQBNAEIARABBACgAXAAiAFwAIgApADsAXABuAFwAbgBWAEUARQBSAEcAXwAxADUAXwA0AF8AMQBfADEAXwBfADIAXwBFAG0AaQBzAHMAaQBvAG4AcwBGAHIAbwBtAFAAdQByAGMAaABhAHMAZQBkAEYAZQByAHQAaQBsAGkAcwBlAHIAQwBvAG0AcABvAG4AZQBuAHQAcwBfAEwAYQB0AGUAeABFAHEAdQBhAHQAaQBvAG4AXABuACAAIAA9AEwAQQBNAEIARABBACgAXAAiAEUAPQBcAFwAcwB1AG0AXABcAG4AbwBsAGkAbQBpAHQAcwBfAGYAXABcAHMAdQBtAFwAXABuAG8AbABpAG0AaQB0AHMAXwBjAFwAXABzAHUAbQBcAFwAbgBvAGwAaQBtAGkAdABzAF8AagBcAFwAbABlAGYAdAAoAFwAXABmAHIAYQBjAHsARgBfAHsAYwBmAH0AXABcAHQAaQBtAGUAcwAgAFQATQBfAHsAagBmAH0AfQB7ADEAMAAwAH0AXABcAHQAaQBtAGUAcwAgAEUARgBfAGMAXABcAHIAaQBnAGgAdAApAFwAIgApADsAXABuAFwAbgBWAEUARQBSAEcAXwAxADUAXwA0AF8AMQBfADEAXwBfADIAXwBFAG0AaQBzAHMAaQBvAG4AcwBGAHIAbwBtAFAAdQByAGMAaABhAHMAZQBkAEYAZQByAHQAaQBsAGkAcwBlAHIAQwBvAG0AcABvAG4AZQBuAHQAcwBfAEwAYQB0AGUAeABFAHEAdQBhAHQAaQBvAG4AVgBhAHIAaQBhAHQAaQBvAG4AXABuACAAIAA9AEwAQQBNAEIARABBACgAXAAiAEUAPQBcAFwAcwB1AG0AXABcAG4AbwBsAGkAbQBpAHQAcwBfAGYAXABcAHMAdQBtAFwAXABuAG8AbABpAG0AaQB0AHMAXwBjAFwAXABzAHUAbQBcAFwAbgBvAGwAaQBtAGkAdABzAF8AagBcAFwAbABlAGYAdAAoAEYAXwB7AGMAZgB9AFwAXAB0AGkAbQBlAHMAIABUAE0AXwB7AGoAZgB9AFwAXAB0AGkAbQBlAHMAIABFAEYAXwBjAFwAXAByAGkAZwBoAHQAKQBcAFwAdABpAG0AZQBzACAAMQAwAF4AewAtADMAfQBcACIAKQA7AFwAbgBcAG4AVgBFAEUAUgBHAF8AMQA1AF8ANABfADEAXwAxAF8AXwAyAF8ARQBtAGkAcwBzAGkAbwBuAHMARgByAG8AbQBQAHUAcgBjAGgAYQBzAGUAZABGAGUAcgB0AGkAbABpAHMAZQByAEMAbwBtAHAAbwBuAGUAbgB0AHMAXwBBAHIAZwB1AG0AZQBuAHQAcwBcAG4AIAAgAD0ATABBAE0AQgBEAEEAKABcAG4AIAAgACAAIABNAEEASwBFAEEAUgBSAEEAWQAoADYALAAgADQALABcAG4AIAAgACAAIAAgACAATABBAE0AQgBEAEEAKAByACwAYwAsAFwAbgAgACAAIAAgACAAIAAgACAASQBOAEQARQBYACgAewBcAG4AIAAgACAAIAAgACAAIAAgACAAIABcACIARgBfAGMAZgBcACIALAAgAFwAIgBmAHIAYQBjAHQAaQBvAG4AIABvAGYAIABjAG8AbQBwAG8AbgBlAG4AdAAgAGMAIABjAG8AbgB0AGEAaQBuAGUAZAAgAHcAaQB0AGgAaQBuACAAdABoAGUAIABpAG4AbwByAGcAYQBuAGkAYwAgAGYAZQByAHQAaQBsAGkAcwBlAHIAIABmAFwAIgAsACAAXAAiAHcAdAAlAFwAIgAsACAAXAAiAEkAbgBwAHUAdABcACIAOwBcAG4AIAAgACAAIAAgACAAIAAgACAAIABcACIAVABNAF8AagBmAFwAIgAsACAAXAAiAHEAdQBhAG4AdABpAHQAeQAgAG8AZgAgAGkAbgBvAHIAZwBhAG4AaQBjACAAZgBlAHIAdABpAGwAaQBzAGUAcgAgAHQAeQBwAGUAIABmACAAcAB1AHIAYwBoAGEAcwBlAGQAIABhAG4AZAAgAGEAcABwAGwAaQBlAGQAIAB0AG8AIABwAHIAbwBkAHUAYwB0AGkAbwBuACAAcwB5AHMAdABlAG0AIABqAFwAIgAsACAAXAAiAGsAZwBcACIALAAgAFwAIgBJAG4AcAB1AHQAXAAiADsAXABuACAAIAAgACAAIAAgACAAIAAgACAAXAAiAEUARgBfAGMAXAAiACwAIABcACIAZQBtAGkAcwBzAGkAbwBuACAAZgBhAGMAdABvAHIAIABmAG8AcgAgAHQAaABlACAAcAByAG8AZAB1AGMAdABpAG8AbgAgAG8AZgAgAGMAbwBtAHAAbwBuAGUAbgB0ACAAYwBcACIALAAgAFwAIgBrAGcAIABDAE8AMgBlAC8AawBnACAAYwBvAG0AcABvAG4AZQBuAHQAXAAiACwAIABcACIAQwBvAG4AcwB0AGEAbgB0AFwAIgA7AFwAbgAgACAAIAAgACAAIAAgACAAIAAgAFwAIgBjAFwAIgAsACAAXAAiAGYAZQByAHQAaQBsAGkAcwBlAHIAIABjAG8AbQBwAG8AbgBlAG4AdABcACIALAAgAFwAIgBcACIALAAgAFwAIgBJAG4AcAB1AHQAXAAiADsAXABuACAAIAAgACAAIAAgACAAIAAgACAAXAAiAGYAXAAiACwAIABcACIAaQBuAG8AcgBnAGEAbgBpAGMAIABmAGUAcgB0AGkAbABpAHMAZQByACAAdAB5AHAAZQBcACIALAAgAFwAIgBcACIALAAgAFwAIgBJAG4AcAB1AHQAXAAiADsAXABuACAAIAAgACAAIAAgACAAIAAgACAAXAAiAGoAXAAiACwAIABcACIAcAByAG8AZAB1AGMAdABpAG8AbgAgAHMAeQBzAHQAZQBtAFwAIgAsACAAXAAiAFwAIgAsACAAXAAiAEkAbgBwAHUAdABcACIAXABuACAAIAAgACAAIAAgACAAIAB9ACwAIAByACwAIABjACkAXABuACAAIAAgACAAIAAgACkAXABuACAAIAAgACAAKQBcAG4AIAAgACkAOwBcAG4AXABuAFYARQBFAFIARwBfADEANQBfADQAXwAxAF8AMQBfAF8AMgBfAEUAbQBpAHMAcwBpAG8AbgBzAEYAcgBvAG0AUAB1AHIAYwBoAGEAcwBlAGQARgBlAHIAdABpAGwAaQBzAGUAcgBDAG8AbQBwAG8AbgBlAG4AdABzAF8AVgBhAHIAaQBhAHQAaQBvAG4AXABuACAAIAA9AEwAQQBNAEIARABBACgAXAAiAFYAQQBSAEkAQQBUAEkATwBOACAATwBOACAAUwBPAFUAUgBDAEUAOgAgAHIAZQBtAG8AdgBlAHMAIABkAGkAdgBpAHMAaQBvAG4AIABiAHkAIAAxADAAMAAgAGYAbwByACAARgBfAGMAZgAsACAAdAByAGUAYQB0AGkAbgBnACAARgBfAGMAZgAgAGEAcwAgAGYAcgBhAGMAdABpAG8AbgAgAGkAbgBzAHQAZQBhAGQAIABvAGYAIABwAGUAcgBjAGUAbgB0ACAAYgBlAGMAYQB1AHMAZQAgAGkAdAAgAGkAcwAgAGEAIABmAHIAYQBjAHQAaQBvAG4AIABpAG4AIABzAGMAbwBwAGUAIAAxACAAZQBxAHUAYQB0AGkAbwBuAHMALgAgAEMAbwBuAHYAZQByAHQAIABrAGcAIAB0AG8AIAB0AG8AbgBuAGUAcwAgAGIAeQAgAG0AdQB0AGkAcABsAHkAaQBuAGcAIABiAHkAIAAxADAAXgAtADMALgBcACIAKQA7AFwAbgBcAG4AXABuAFwAbgBcAG4ALwAqAFwAbgAtAC0ALQAtAC0ALQAtAC0ALQAtAC0ALQAtAC0ALQAtAC0ALQAtAC0ALQAtAC0ALQAtAC0ALQAtAC0ALQAtAC0ALQAtAC0ALQAtAC0AXABuAFYARQBFAFIARwBfADEANQBfADQAXwAxAF8AMQBfAF8AWABfAEUAbQBpAHMAcwBpAG8AbgBGAGEAYwB0AG8AcgBGAHIAbwBtAFAAdQByAGMAaABhAHMAZQBkAEYAZQByAHQAaQBsAGkAcwBlAHIAQwBvAG0AcABvAG4AZQBuAHQAcwBcAG4ARQBtAGkAcwBzAGkAbwBuACAAZgBhAGMAdABvAHIAIABmAG8AcgAgAGYAZQByAHQAaQBsAGkAcwBlAHIAIABwAHIAbwBkAHUAYwB0ACAAZABlAHIAaQB2AGUAZAAgAGYAcgBvAG0AIABjAG8AbQBwAG8AbgBlAG4AdABzAFwAbgAtAC0ALQAtAC0ALQAtAC0ALQAtAC0ALQAtAC0ALQAtAC0ALQAtAC0ALQAtAC0ALQAtAC0ALQAtAC0ALQAtAC0ALQAtAC0ALQAtAC0AXABuACoALwBcAG4AXABuAFYARQBFAFIARwBfADEANQBfADQAXwAxAF8AMQBfAF8AWABfAEUAbQBpAHMAcwBpAG8AbgBGAGEAYwB0AG8AcgBGAHIAbwBtAFAAdQByAGMAaABhAHMAZQBkAEYAZQByAHQAaQBsAGkAcwBlAHIAQwBvAG0AcABvAG4AZQBuAHQAcwBcAG4AIAAgAD0ATABBAE0AQgBEAEEAKABcAG4AIAAgACAAIABGAF8AYwBmACwAIABFAEYAXwBjACwAXABuACAAIAAgACAARgBfAGMAZgAgACoAIABFAEYAXwBjAFwAbgAgACAAKQA7AFwAbgBcAG4AVgBFAEUAUgBHAF8AMQA1AF8ANABfADEAXwAxAF8AXwBYAF8ARQBtAGkAcwBzAGkAbwBuAEYAYQBjAHQAbwByAEYAcgBvAG0AUAB1AHIAYwBoAGEAcwBlAGQARgBlAHIAdABpAGwAaQBzAGUAcgBDAG8AbQBwAG8AbgBlAG4AdABzAF8AVABpAHQAbABlAFwAbgAgACAAPQBMAEEATQBCAEQAQQAoAFwAIgBFAG0AaQBzAHMAaQBvAG4AIABmAGEAYwB0AG8AcgAgAGYAbwByACAAZgBlAHIAdABpAGwAaQBzAGUAcgAgAHAAcgBvAGQAdQBjAHQAIABkAGUAcgBpAHYAZQBkACAAZgByAG8AbQAgAGMAbwBtAHAAbwBuAGUAbgB0AHMAXAAiACkAOwBcAG4AXABuAFYARQBFAFIARwBfADEANQBfADQAXwAxAF8AMQBfAF8AWABfAEUAbQBpAHMAcwBpAG8AbgBGAGEAYwB0AG8AcgBGAHIAbwBtAFAAdQByAGMAaABhAHMAZQBkAEYAZQByAHQAaQBsAGkAcwBlAHIAQwBvAG0AcABvAG4AZQBuAHQAcwBfAFYAYQByAGkAYQBiAGwAZQBcAG4AIAAgAD0ATABBAE0AQgBEAEEAKABcACIARQBGAF8AZgBcACIAKQA7AFwAbgBcAG4AVgBFAEUAUgBHAF8AMQA1AF8ANABfADEAXwAxAF8AXwBYAF8ARQBtAGkAcwBzAGkAbwBuAEYAYQBjAHQAbwByAEYAcgBvAG0AUAB1AHIAYwBoAGEAcwBlAGQARgBlAHIAdABpAGwAaQBzAGUAcgBDAG8AbQBwAG8AbgBlAG4AdABzAF8AVQBuAGkAdABcAG4AIAAgAD0ATABBAE0AQgBEAEEAKABcACIAawBnACAAQwBPADIAZQAvAGsAZwAgAGYAZQByAHQAaQBsAGkAcwBlAHIAXAAiACkAOwBcAG4AXABuAFYARQBFAFIARwBfADEANQBfADQAXwAxAF8AMQBfAF8AWABfAEUAbQBpAHMAcwBpAG8AbgBGAGEAYwB0AG8AcgBGAHIAbwBtAFAAdQByAGMAaABhAHMAZQBkAEYAZQByAHQAaQBsAGkAcwBlAHIAQwBvAG0AcABvAG4AZQBuAHQAcwBfAFMAbwB1AHIAYwBlAFwAbgAgACAAPQBMAEEATQBCAEQAQQAoAFwAIgBHAEEARgBcACIAKQA7AFwAbgBcAG4AVgBFAEUAUgBHAF8AMQA1AF8ANABfADEAXwAxAF8AXwBYAF8ARQBtAGkAcwBzAGkAbwBuAEYAYQBjAHQAbwByAEYAcgBvAG0AUAB1AHIAYwBoAGEAcwBlAGQARgBlAHIAdABpAGwAaQBzAGUAcgBDAG8AbQBwAG8AbgBlAG4AdABzAF8ATgBJAFIAUgBlAGYAZQByAGUAbgBjAGUAXABuACAAIAA9AEwAQQBNAEIARABBACgAXAAiAFwAIgApADsAXABuAFwAbgBWAEUARQBSAEcAXwAxADUAXwA0AF8AMQBfADEAXwBfAFgAXwBFAG0AaQBzAHMAaQBvAG4ARgBhAGMAdABvAHIARgByAG8AbQBQAHUAcgBjAGgAYQBzAGUAZABGAGUAcgB0AGkAbABpAHMAZQByAEMAbwBtAHAAbwBuAGUAbgB0AHMAXwBMAGEAdABlAHgARQBxAHUAYQB0AGkAbwBuAFwAbgAgACAAPQBMAEEATQBCAEQAQQAoAFwAIgBFAEYAXwBmAD0AXABcAHMAdQBtAFwAXABuAG8AbABpAG0AaQB0AHMAXwBjAFwAXABsAGUAZgB0ACgARgBfAHsAYwBmAH0AXABcAHQAaQBtAGUAcwAgAEUARgBfAGMAXABcAHIAaQBnAGgAdAApAFwAIgApADsAXABuAFwAbgBWAEUARQBSAEcAXwAxADUAXwA0AF8AMQBfADEAXwBfAFgAXwBFAG0AaQBzAHMAaQBvAG4ARgBhAGMAdABvAHIARgByAG8AbQBQAHUAcgBjAGgAYQBzAGUAZABGAGUAcgB0AGkAbABpAHMAZQByAEMAbwBtAHAAbwBuAGUAbgB0AHMAXwBBAHIAZwB1AG0AZQBuAHQAcwBcAG4AIAAgAD0ATABBAE0AQgBEAEEAKABcAG4AIAAgACAAIABNAEEASwBFAEEAUgBSAEEAWQAoADQALAAgADQALABcAG4AIAAgACAAIAAgACAATABBAE0AQgBEAEEAKAByACwAYwAsAFwAbgAgACAAIAAgACAAIAAgACAASQBOAEQARQBYACgAewBcAG4AIAAgACAAIAAgACAAIAAgACAAIABcACIARgBfAGMAZgBcACIALAAgAFwAIgBmAHIAYQBjAHQAaQBvAG4AIABvAGYAIABjAG8AbQBwAG8AbgBlAG4AdAAgAGMAIABjAG8AbgB0AGEAaQBuAGUAZAAgAHcAaQB0AGgAaQBuACAAdABoAGUAIABpAG4AbwByAGcAYQBuAGkAYwAgAGYAZQByAHQAaQBsAGkAcwBlAHIAIABmAFwAIgAsACAAXAAiAHcAdAAlAFwAIgAsACAAXAAiAEkAbgBwAHUAdABcACIAOwBcAG4AIAAgACAAIAAgACAAIAAgACAAIABcACIARQBGAF8AYwBcACIALAAgAFwAIgBlAG0AaQBzAHMAaQBvAG4AIABmAGEAYwB0AG8AcgAgAGYAbwByACAAdABoAGUAIABwAHIAbwBkAHUAYwB0AGkAbwBuACAAbwBmACAAYwBvAG0AcABvAG4AZQBuAHQAIABjAFwAIgAsACAAXAAiAGsAZwAgAEMATwAyAGUALwBrAGcAIABjAG8AbQBwAG8AbgBlAG4AdABcACIALAAgAFwAIgBDAG8AbgBzAHQAYQBuAHQAXAAiADsAXABuACAAIAAgACAAIAAgACAAIAAgACAAXAAiAGMAXAAiACwAIABcACIAZgBlAHIAdABpAGwAaQBzAGUAcgAgAGMAbwBtAHAAbwBuAGUAbgB0AFwAIgAsACAAXAAiAFwAIgAsACAAXAAiAEkAbgBwAHUAdABcACIAOwBcAG4AIAAgACAAIAAgACAAIAAgACAAIABcACIAZgBcACIALAAgAFwAIgBpAG4AbwByAGcAYQBuAGkAYwAgAGYAZQByAHQAaQBsAGkAcwBlAHIAIAB0AHkAcABlAFwAIgAsACAAXAAiAFwAIgAsACAAXAAiAEkAbgBwAHUAdABcACIAXABuACAAIAAgACAAIAAgACAAIAB9ACwAIAByACwAIABjACkAXABuACAAIAAgACAAIAAgACkAXABuACAAIAAgACAAKQBcAG4AIAAgACkAOwBcAG4AXABuAFYARQBFAFIARwBfADEANQBfADQAXwAxAF8AMQBfAF8AWABfAEUAbQBpAHMAcwBpAG8AbgBGAGEAYwB0AG8AcgBGAHIAbwBtAFAAdQByAGMAaABhAHMAZQBkAEYAZQByAHQAaQBsAGkAcwBlAHIAQwBvAG0AcABvAG4AZQBuAHQAcwBfAFYAYQByAGkAYQB0AGkAbwBuAFwAbgAgACAAPQBMAEEATQBCAEQAQQAoAFwAIgBWAEEAUgBJAEEAVABJAE8ATgAgAE8ATgAgAFMATwBVAFIAQwBFADoAIABUAGgAaQBzACAAZQBxAHUAYQB0AGkAbwBuACAAaQBzACAAYQBkAGQAZQBkACAAdABvACAAYwBhAGwAYwB1AGwAYQB0AGUAIABhAG4AIABFAEYAIAB2AGEAbAB1AGUAIABmAHIAbwBtACAAZgBlAHIAdABpAGwAaQBzAGUAcgAgAGMAbwBtAHAAbwBuAGUAbgB0AHMAIAB0AGgAYQB0ACAAYwBhAG4AIABiAGUAIAB1AHMAZQBkACAAaQBuACAAMQA1AC4ANAAuADEALgAxACAAKAAxACkAXAAiACkAOwBcAG4AXABuAC8AKgBcAG4ALQAtAC0ALQAtAC0ALQAtAC0ALQAtAC0ALQAtAC0ALQAtAC0ALQAtAC0ALQAtAC0ALQAtAC0ALQAtAC0ALQAtAC0ALQAtAC0ALQAtAFwAbgBWAEUARQBSAEcAXwAxADUAXwA1AF8AMQBfADEAXwBfADEAXwBFAG0AaQBzAHMAaQBvAG4AcwBGAHIAbwBtAFAAdQByAGMAaABhAHMAZQBkAEEAZwByAGkAYwBoAGUAbQBpAGMAYQBsAHMAXABuAFQAbwB0AGEAbAAgAGUAbQBpAHMAcwBpAG8AbgBzACAAZgByAG8AbQAgAHAAdQByAGMAaABhAHMAZQBkACAAYQBnAHIAaQBjAGgAZQBtAGkAYwBhAGwAcwBcAG4ARQBcAG4AdAAgAEMATwAyAGUAXABuAEUAPQBcAFwAcwB1AG0AXABcAG4AbwBsAGkAbQBpAHQAcwBfAGgAXABcAGwAZQBmAHQAKABRAF8AaABcAFwAdABpAG0AZQBzACAARQBGAF8AaABcAFwAcgBpAGcAaAB0ACkAXABcAHQAaQBtAGUAcwAgADEAMABeAHsALQAzAH0AXABuAFEAXwBoACAAPQAgAHEAdQBhAG4AdABpAHQAeQAgAG8AZgAgAGEAYwB0AGkAdgBlACAAaQBuAGcAcgBlAGQAaQBlAG4AdABzACAAaQBuACAAYQBnAHIAaQBjAGgAZQBtAGkAYwBhAGwAIAB0AHkAcABlACAAaAAgAHAAdQByAGMAaABhAHMAZQBkACAAYQBuAGQAIABhAHAAcABsAGkAZQBkACAAdABvACAAcwBvAGkAbABzAFwAbgBFAEYAXwBoACAAPQAgAGUAbQBpAHMAcwBpAG8AbgAgAGYAYQBjAHQAbwByACAAZgBvAHIAIABwAHUAcgBjAGgAYQBzAGUAZAAgAGEAZwByAGkAYwBoAGUAbQBpAGMAYQBsACAAYQBjAHQAaQB2AGUAIABpAG4AZwByAGUAZABpAGUAbgB0AFwAbgAtAC0ALQAtAC0ALQAtAC0ALQAtAC0ALQAtAC0ALQAtAC0ALQAtAC0ALQAtAC0ALQAtAC0ALQAtAC0ALQAtAC0ALQAtAC0ALQAtAC0AXABuACoALwBcAG4AXABuAFYARQBFAFIARwBfADEANQBfADUAXwAxAF8AMQBfAF8AMQBfAEUAbQBpAHMAcwBpAG8AbgBzAEYAcgBvAG0AUAB1AHIAYwBoAGEAcwBlAGQAQQBnAHIAaQBjAGgAZQBtAGkAYwBhAGwAcwBcAG4AIAAgAD0ATABBAE0AQgBEAEEAKABcAG4AIAAgACAAIABRAF8AaAAsACAARQBGAF8AaAAsAFwAbgAgACAAIAAgACgAUQBfAGgAIAAqACAARQBGAF8AaAApACAAKgAgADEAMAAgAF4AIAAtADMAXABuACAAIAApADsAXABuAFwAbgBWAEUARQBSAEcAXwAxADUAXwA1AF8AMQBfADEAXwBfADEAXwBFAG0AaQBzAHMAaQBvAG4AcwBGAHIAbwBtAFAAdQByAGMAaABhAHMAZQBkAEEAZwByAGkAYwBoAGUAbQBpAGMAYQBsAHMAXwBUAGkAdABsAGUAXABuACAAIAA9AEwAQQBNAEIARABBACgAXAAiAFQAbwB0AGEAbAAgAGUAbQBpAHMAcwBpAG8AbgBzACAAZgByAG8AbQAgAHAAdQByAGMAaABhAHMAZQBkACAAYQBnAHIAaQBjAGgAZQBtAGkAYwBhAGwAcwBcACIAKQA7AFwAbgBcAG4AVgBFAEUAUgBHAF8AMQA1AF8ANQBfADEAXwAxAF8AXwAxAF8ARQBtAGkAcwBzAGkAbwBuAHMARgByAG8AbQBQAHUAcgBjAGgAYQBzAGUAZABBAGcAcgBpAGMAaABlAG0AaQBjAGEAbABzAF8AVgBhAHIAaQBhAGIAbABlAFwAbgAgACAAPQBMAEEATQBCAEQAQQAoAFwAIgBFAFwAIgApADsAXABuAFwAbgBWAEUARQBSAEcAXwAxADUAXwA1AF8AMQBfADEAXwBfADEAXwBFAG0AaQBzAHMAaQBvAG4AcwBGAHIAbwBtAFAAdQByAGMAaABhAHMAZQBkAEEAZwByAGkAYwBoAGUAbQBpAGMAYQBsAHMAXwBVAG4AaQB0AFwAbgAgACAAPQBMAEEATQBCAEQAQQAoAFwAIgB0ACAAQwBPADIAZQBcACIAKQA7AFwAbgBcAG4AVgBFAEUAUgBHAF8AMQA1AF8ANQBfADEAXwAxAF8AXwAxAF8ARQBtAGkAcwBzAGkAbwBuAHMARgByAG8AbQBQAHUAcgBjAGgAYQBzAGUAZABBAGcAcgBpAGMAaABlAG0AaQBjAGEAbABzAF8AUwBvAHUAcgBjAGUAXABuACAAIAA9AEwAQQBNAEIARABBACgAXAAiAFYARQBFAFIARwAgADIAMAAyADYAOgAgADEANQAuADUALgAxAC4AMQAsACAARQBxAHUAYQB0AGkAbwBuACAAKAAxACkAXAAiACkAOwBcAG4AXABuAFYARQBFAFIARwBfADEANQBfADUAXwAxAF8AMQBfAF8AMQBfAEUAbQBpAHMAcwBpAG8AbgBzAEYAcgBvAG0AUAB1AHIAYwBoAGEAcwBlAGQAQQBnAHIAaQBjAGgAZQBtAGkAYwBhAGwAcwBfAE4ASQBSAFIAZQBmAGUAcgBlAG4AYwBlAFwAbgAgACAAPQBMAEEATQBCAEQAQQAoAFwAIgBcACIAKQA7AFwAbgBcAG4AVgBFAEUAUgBHAF8AMQA1AF8ANQBfADEAXwAxAF8AXwAxAF8ARQBtAGkAcwBzAGkAbwBuAHMARgByAG8AbQBQAHUAcgBjAGgAYQBzAGUAZABBAGcAcgBpAGMAaABlAG0AaQBjAGEAbABzAF8ATABhAHQAZQB4AEUAcQB1AGEAdABpAG8AbgBcAG4AIAAgAD0ATABBAE0AQgBEAEEAKABcACIARQA9AFwAXABzAHUAbQBcAFwAbgBvAGwAaQBtAGkAdABzAF8AaABcAFwAbABlAGYAdAAoAFEAXwBoAFwAXAB0AGkAbQBlAHMAIABFAEYAXwBoAFwAXAByAGkAZwBoAHQAKQBcAFwAdABpAG0AZQBzACAAMQAwAF4AewAtADMAfQBcACIAKQA7AFwAbgBcAG4AVgBFAEUAUgBHAF8AMQA1AF8ANQBfADEAXwAxAF8AXwAxAF8ARQBtAGkAcwBzAGkAbwBuAHMARgByAG8AbQBQAHUAcgBjAGgAYQBzAGUAZABBAGcAcgBpAGMAaABlAG0AaQBjAGEAbABzAF8AQQByAGcAdQBtAGUAbgB0AHMAXABuACAAIAA9AEwAQQBNAEIARABBACgAXABuACAAIAAgACAATQBBAEsARQBBAFIAUgBBAFkAKAAzACwAIAA0ACwAXABuACAAIAAgACAAIAAgAEwAQQBNAEIARABBACgAcgAsAGMALABcAG4AIAAgACAAIAAgACAAIAAgAEkATgBEAEUAWAAoAHsAXABuACAAIAAgACAAIAAgACAAIAAgACAAXAAiAFEAXwBoAFwAIgAsACAAXAAiAHEAdQBhAG4AdABpAHQAeQAgAG8AZgAgAGEAYwB0AGkAdgBlACAAaQBuAGcAcgBlAGQAaQBlAG4AdABzACAAaQBuACAAYQBnAHIAaQBjAGgAZQBtAGkAYwBhAGwAIAB0AHkAcABlACAAaAAgAHAAdQByAGMAaABhAHMAZQBkACAAYQBuAGQAIABhAHAAcABsAGkAZQBkACAAdABvACAAcwBvAGkAbABzAFwAIgAsACAAXAAiAGsAZwAgAGEAaQBcACIALAAgAFwAIgBJAG4AcAB1AHQAXAAiADsAXABuACAAIAAgACAAIAAgACAAIAAgACAAXAAiAEUARgBfAGgAXAAiACwAIABcACIAZQBtAGkAcwBzAGkAbwBuACAAZgBhAGMAdABvAHIAIABmAG8AcgAgAHAAdQByAGMAaABhAHMAZQBkACAAYQBnAHIAaQBjAGgAZQBtAGkAYwBhAGwAIABhAGMAdABpAHYAZQAgAGkAbgBnAHIAZQBkAGkAZQBuAHQAXAAiACwAIABcACIAawBnACAAQwBPADIAZQAvAGsAZwAgAGEAaQBcACIALAAgAFwAIgBDAG8AbgBzAHQAYQBuAHQAXAAiADsAXABuACAAIAAgACAAIAAgACAAIAAgACAAXAAiAGgAXAAiACwAIABcACIAYQBnAHIAaQBjAGgAZQBtAGkAYwBhAGwAIAB0AHkAcABlAFwAIgAsACAAXAAi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xADUAXwA2AF8AMQBfADEAXwBfADEAXwBFAG0AaQBzAHMAaQBvAG4AcwBGAHIAbwBtAFAAdQByAGMAaABhAHMAZQBkAEwAaQBtAGUAXABuAEUAbQBiAGUAZABkAGUAZAAgAGUAbQBpAHMAcwBpAG8AbgBzACAAZgBvAHIAIABwAHUAcgBjAGgAYQBzAGUAZAAgAGwAaQBtAGUAXABuAEUAXABuAHQAIABDAE8AMgBlAFwAbgBFAD0ATQBfAGwAaQBtAGUAXABcAHQAaQBtAGUAcwAgAEUARgBfAGwAXABuAE0AXwBsAGkAbQBlACAAPQAgAHQAbwB0AGEAbAAgAHEAdQBhAG4AdABpAHQAeQAgAG8AZgAgAGwAaQBtAGUAIABhAHAAcABsAGkAZQBkACAAdABvACAAcwBvAGkAbABzAFwAbgBFAEYAXwBsACAAPQAgAGUAbQBpAHMAcwBpAG8AbgAgAGYAYQBjAHQAbwByACAAZgBvAHIAIABwAHUAcgBjAGgAYQBzAGUAZAAgAGwAaQBtAGUAXABuAC0ALQAtAC0ALQAtAC0ALQAtAC0ALQAtAC0ALQAtAC0ALQAtAC0ALQAtAC0ALQAtAC0ALQAtAC0ALQAtAC0ALQAtAC0ALQAtAC0ALQBcAG4AKgAvAFwAbgBcAG4AVgBFAEUAUgBHAF8AMQA1AF8ANgBfADEAXwAxAF8AXwAxAF8ARQBtAGkAcwBzAGkAbwBuAHMARgByAG8AbQBQAHUAcgBjAGgAYQBzAGUAZABMAGkAbQBlAFwAbgAgACAAPQBMAEEATQBCAEQAQQAoAFwAbgAgACAAIAAgAE0AXwBsAGkAbQBlACwAIABFAEYAXwBsACwAXABuACAAIAAgACAATQBfAGwAaQBtAGUAIAAqACAARQBGAF8AbABcAG4AIAAgACkAOwBcAG4AXABuAFYARQBFAFIARwBfADEANQBfADYAXwAxAF8AMQBfAF8AMQBfAEUAbQBpAHMAcwBpAG8AbgBzAEYAcgBvAG0AUAB1AHIAYwBoAGEAcwBlAGQATABpAG0AZQBfAFQAaQB0AGwAZQBcAG4AIAAgAD0ATABBAE0AQgBEAEEAKABcACIARQBtAGIAZQBkAGQAZQBkACAAZQBtAGkAcwBzAGkAbwBuAHMAIABmAG8AcgAgAHAAdQByAGMAaABhAHMAZQBkACAAbABpAG0AZQBcACIAKQA7AFwAbgBcAG4AVgBFAEUAUgBHAF8AMQA1AF8ANgBfADEAXwAxAF8AXwAxAF8ARQBtAGkAcwBzAGkAbwBuAHMARgByAG8AbQBQAHUAcgBjAGgAYQBzAGUAZABMAGkAbQBlAF8AVgBhAHIAaQBhAGIAbABlAFwAbgAgACAAPQBMAEEATQBCAEQAQQAoAFwAIgBFAFwAIgApADsAXABuAFwAbgBWAEUARQBSAEcAXwAxADUAXwA2AF8AMQBfADEAXwBfADEAXwBFAG0AaQBzAHMAaQBvAG4AcwBGAHIAbwBtAFAAdQByAGMAaABhAHMAZQBkAEwAaQBtAGUAXwBVAG4AaQB0AFwAbgAgACAAPQBMAEEATQBCAEQAQQAoAFwAIgB0ACAAQwBPADIAZQBcACIAKQA7AFwAbgBcAG4AVgBFAEUAUgBHAF8AMQA1AF8ANgBfADEAXwAxAF8AXwAxAF8ARQBtAGkAcwBzAGkAbwBuAHMARgByAG8AbQBQAHUAcgBjAGgAYQBzAGUAZABMAGkAbQBlAF8AUwBvAHUAcgBjAGUAXABuACAAIAA9AEwAQQBNAEIARABBACgAXAAiAFYARQBFAFIARwAgADIAMAAyADYAOgAgADEANQAuADYALgAxAC4AMQAsACAARQBxAHUAYQB0AGkAbwBuACAAKAAxACkAXAAiACkAOwBcAG4AXABuAFYARQBFAFIARwBfADEANQBfADYAXwAxAF8AMQBfAF8AMQBfAEUAbQBpAHMAcwBpAG8AbgBzAEYAcgBvAG0AUAB1AHIAYwBoAGEAcwBlAGQATABpAG0AZQBfAE4ASQBSAFIAZQBmAGUAcgBlAG4AYwBlAFwAbgAgACAAPQBMAEEATQBCAEQAQQAoAFwAIgBcACIAKQA7AFwAbgBcAG4AVgBFAEUAUgBHAF8AMQA1AF8ANgBfADEAXwAxAF8AXwAxAF8ARQBtAGkAcwBzAGkAbwBuAHMARgByAG8AbQBQAHUAcgBjAGgAYQBzAGUAZABMAGkAbQBlAF8ATABhAHQAZQB4AEUAcQB1AGEAdABpAG8AbgBcAG4AIAAgAD0ATABBAE0AQgBEAEEAKABcACIARQA9AE0AXwB7AGwAaQBtAGUAfQBcAFwAdABpAG0AZQBzACAARQBGAF8AbABcACIAKQA7AFwAbgBcAG4AVgBFAEUAUgBHAF8AMQA1AF8ANgBfADEAXwAxAF8AXwAxAF8ARQBtAGkAcwBzAGkAbwBuAHMARgByAG8AbQBQAHUAcgBjAGgAYQBzAGUAZABMAGkAbQBlAF8AQQByAGcAdQBtAGUAbgB0AHMAXABuACAAIAA9AEwAQQBNAEIARABBACgAXABuACAAIAAgACAATQBBAEsARQBBAFIAUgBBAFkAKAAyACwAIAA0ACwAXABuACAAIAAgACAAIAAgAEwAQQBNAEIARABBACgAcgAsAGMALABcAG4AIAAgACAAIAAgACAAIAAgAEkATgBEAEUAWAAoAHsAXABuACAAIAAgACAAIAAgACAAIAAgACAAXAAiAE0AXwBsAGkAbQBlAFwAIgAsACAAXAAiAHQAbwB0AGEAbAAgAHEAdQBhAG4AdABpAHQAeQAgAG8AZgAgAGwAaQBtAGUAIABhAHAAcABsAGkAZQBkACAAdABvACAAcwBvAGkAbABzAFwAIgAsACAAXAAiAHQAXAAiACwAIABcACIASQBuAHAAdQB0AFwAIgA7AFwAbgAgACAAIAAgACAAIAAgACAAIAAgAFwAIgBFAEYAXwBsAFwAIgAsACAAXAAiAGUAbQBpAHMAcwBpAG8AbgAgAGYAYQBjAHQAbwByACAAZgBvAHIAIABwAHUAcgBjAGgAYQBzAGUAZAAgAGwAaQBtAGUAXAAiACwAIABcACIAdAAgAEMATwAyAGUALwB0AFwAIgAsACAAXAAiAEMAbwBuAHMAdABhAG4AdABcACIAXABuACAAIAAgACAAIAAgACAAIAB9ACwAIAByACwAIABjACkAXABuACAAIAAgACAAIAAgACkAXABuACAAIAAgACAAKQBcAG4AIAAgACkAOwBcAG4AXABuAC8AKgBcAG4ALQAtAC0ALQAtAC0ALQAtAC0ALQAtAC0ALQAtAC0ALQAtAC0ALQAtAC0ALQAtAC0ALQAtAC0ALQAtAC0ALQAtAC0ALQAtAC0ALQAtAFwAbgBWAEUARQBSAEcAXwAxADUAXwA3AF8AMQBfADEAXwBfADEAXwBFAG0AaQBzAHMAaQBvAG4AcwBGAHIAbwBtAFAAdQByAGMAaABhAHMAZQBkAFMAZQByAHYAaQBjAGUAcwBcAG4ARQBtAGkAcwBzAGkAbwBuAHMAIABvAGYAIABwAHUAcgBjAGgAYQBzAGUAZAAgAHMAZQByAHYAaQBjAGUAcwAgAGEAbgBkACAAYwBvAG4AdAByAGEAYwB0AG8AcgAgAG8AcABlAHIAYQB0AGkAbwBuAHMAXABuAEUAXABuAHQAIABDAE8AMgBlAFwAbgBFAD0AXABcAHMAdQBtAFwAXABuAG8AbABpAG0AaQB0AHMAXwBwAFwAXABsAGUAZgB0ACgAQQBfAHAAXABcAHQAaQBtAGUAcwAgAEUARgBfAHAAXABcAHIAaQBnAGgAdAApAFwAXAB0AGkAbQBlAHMAIAAxADAAXgB7AC0AMwB9AFwAbgBBAF8AcAAgAD0AIABhAGMAdABpAHYAaQB0AHkAIABkAGEAdABhACAAbwBmACAAdABoAGUAIABzAGUAcgB2AGkAYwBlACAAdABoAGEAdAAgAHcAYQBzACAAcAB1AHIAYwBoAGEAcwBlAGQAXABuAEUARgBfAHAAIAA9ACAAbABpAGYAZQAgAGMAeQBjAGwAZQAgAGUAbQBpAHMAcwBpAG8AbgAgAGYAYQBjAHQAbwByACAAZgBvAHIAIAB0AGgAZQAgAHAAdQByAGMAaABhAHMAZQBkACAAcwBlAHIAdgBpAGMAZQBcAG4ALQAtAC0ALQAtAC0ALQAtAC0ALQAtAC0ALQAtAC0ALQAtAC0ALQAtAC0ALQAtAC0ALQAtAC0ALQAtAC0ALQAtAC0ALQAtAC0ALQAtAFwAbgAqAC8AXABuAFwAbgBWAEUARQBSAEcAXwAxADUAXwA3AF8AMQBfADEAXwBfADEAXwBFAG0AaQBzAHMAaQBvAG4AcwBGAHIAbwBtAFAAdQByAGMAaABhAHMAZQBkAFMAZQByAHYAaQBjAGUAcwBcAG4AIAAgAD0ATABBAE0AQgBEAEEAKABcAG4AIAAgACAAIABBAF8AcAAsACAARQBGAF8AcAAsAFwAbgAgACAAIAAgACgAQQBfAHAAIAAqACAARQBGAF8AcAApACAAKgAgADEAMAAgAF4AIAAtADMAXABuACAAIAApADsAXABuAFwAbgBWAEUARQBSAEcAXwAxADUAXwA3AF8AMQBfADEAXwBfADEAXwBFAG0AaQBzAHMAaQBvAG4AcwBGAHIAbwBtAFAAdQByAGMAaABhAHMAZQBkAFMAZQByAHYAaQBjAGUAcwBfAFQAaQB0AGwAZQBcAG4AIAAgAD0ATABBAE0AQgBEAEEAKABcACIARQBtAGkAcwBzAGkAbwBuAHMAIABvAGYAIABwAHUAcgBjAGgAYQBzAGUAZAAgAHMAZQByAHYAaQBjAGUAcwAgAGEAbgBkACAAYwBvAG4AdAByAGEAYwB0AG8AcgAgAG8AcABlAHIAYQB0AGkAbwBuAHMAXAAiACkAOwBcAG4AXABuAFYARQBFAFIARwBfADEANQBfADcAXwAxAF8AMQBfAF8AMQBfAEUAbQBpAHMAcwBpAG8AbgBzAEYAcgBvAG0AUAB1AHIAYwBoAGEAcwBlAGQAUwBlAHIAdgBpAGMAZQBzAF8AVgBhAHIAaQBhAGIAbABlAFwAbgAgACAAPQBMAEEATQBCAEQAQQAoAFwAIgBFAFwAIgApADsAXABuAFwAbgBWAEUARQBSAEcAXwAxADUAXwA3AF8AMQBfADEAXwBfADEAXwBFAG0AaQBzAHMAaQBvAG4AcwBGAHIAbwBtAFAAdQByAGMAaABhAHMAZQBkAFMAZQByAHYAaQBjAGUAcwBfAFUAbgBpAHQAXABuACAAIAA9AEwAQQBNAEIARABBACgAXAAiAHQAIABDAE8AMgBlAFwAIgApADsAXABuAFwAbgBWAEUARQBSAEcAXwAxADUAXwA3AF8AMQBfADEAXwBfADEAXwBFAG0AaQBzAHMAaQBvAG4AcwBGAHIAbwBtAFAAdQByAGMAaABhAHMAZQBkAFMAZQByAHYAaQBjAGUAcwBfAFMAbwB1AHIAYwBlAFwAbgAgACAAPQBMAEEATQBCAEQAQQAoAFwAIgBWAEUARQBSAEcAIAAyADAAMgA2ADoAIAAxADUALgA3AC4AMQAuADEALAAgAEUAcQB1AGEAdABpAG8AbgAgACgAMQApAFwAIgApADsAXABuAFwAbgBWAEUARQBSAEcAXwAxADUAXwA3AF8AMQBfADEAXwBfADEAXwBFAG0AaQBzAHMAaQBvAG4AcwBGAHIAbwBtAFAAdQByAGMAaABhAHMAZQBkAFMAZQByAHYAaQBjAGUAcwBfAE4ASQBSAFIAZQBmAGUAcgBlAG4AYwBlAFwAbgAgACAAPQBMAEEATQBCAEQAQQAoAFwAIgBcACIAKQA7AFwAbgBcAG4AVgBFAEUAUgBHAF8AMQA1AF8ANwBfADEAXwAxAF8AXwAxAF8ARQBtAGkAcwBzAGkAbwBuAHMARgByAG8AbQBQAHUAcgBjAGgAYQBzAGUAZABTAGUAcgB2AGkAYwBlAHMAXwBMAGEAdABlAHgARQBxAHUAYQB0AGkAbwBuAFwAbgAgACAAPQBMAEEATQBCAEQAQQAoAFwAIgBFAD0AXABcAHMAdQBtAFwAXABuAG8AbABpAG0AaQB0AHMAXwBwAFwAXABsAGUAZgB0ACgAQQBfAHAAXABcAHQAaQBtAGUAcwAgAEUARgBfAHAAXABcAHIAaQBnAGgAdAApAFwAXAB0AGkAbQBlAHMAIAAxADAAXgB7AC0AMwB9AFwAIgApADsAXABuAFwAbgBWAEUARQBSAEcAXwAxADUAXwA3AF8AMQBfADEAXwBfADEAXwBFAG0AaQBzAHMAaQBvAG4AcwBGAHIAbwBtAFAAdQByAGMAaABhAHMAZQBkAFMAZQByAHYAaQBjAGUAcwBfAEEAcgBnAHUAbQBlAG4AdABzAFwAbgAgACAAPQBMAEEATQBCAEQAQQAoAFwAbgAgACAAIAAgAE0AQQBLAEUAQQBSAFIAQQBZACgAMwAsACAANAAsAFwAbgAgACAAIAAgACAAIABMAEEATQBCAEQAQQAoAHIALABjACwAXABuACAAIAAgACAAIAAgACAAIABJAE4ARABFAFgAKAB7AFwAbgAgACAAIAAgACAAIAAgACAAIAAgAFwAIgBBAF8AcABcACIALAAgAFwAIgBhAGMAdABpAHYAaQB0AHkAIABkAGEAdABhACAAbwBmACAAdABoAGUAIABzAGUAcgB2AGkAYwBlACAAdABoAGEAdAAgAHcAYQBzACAAcAB1AHIAYwBoAGEAcwBlAGQAXAAiACwAIABcACIAaABhACAAbwByACAAaABcACIALAAgAFwAIgBJAG4AcAB1AHQAXAAiADsAXABuACAAIAAgACAAIAAgACAAIAAgACAAXAAiAEUARgBfAHAAXAAiACwAIABcACIAbABpAGYAZQAgAGMAeQBjAGwAZQAgAGUAbQBpAHMAcwBpAG8AbgAgAGYAYQBjAHQAbwByACAAZgBvAHIAIAB0AGgAZQAgAHAAdQByAGMAaABhAHMAZQBkACAAcwBlAHIAdgBpAGMAZQBcACIALAAgAFwAIgBrAGcAIABDAE8AMgBlAC8AaABhACAAbwByACAAawBnACAAQwBPADIAZQAvAGgAXAAiACwAIABcACIAQwBvAG4AcwB0AGEAbgB0AFwAIgA7AFwAbgAgACAAIAAgACAAIAAgACAAIAAgAFwAIgBwAFwAIgAsACAAXAAiAHMAZQByAHYAaQBjAGUAIAB0AHkAcABlAFwAIgAsACAAXAAi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xADUAXwA4AF8AMQBfADEAXwBfADEAXwBFAG0AaQBzAHMAaQBvAG4AcwBGAHIAbwBtAFAAdQByAGMAaABhAHMAZQBkAFAAYQBjAGsAYQBnAGkAbgBnAFwAbgBFAG0AYgBlAGQAZABlAGQAIABlAG0AaQBzAHMAaQBvAG4AcwAgAGYAcgBvAG0AIAB1AHMAZQAgAG8AZgAgAHAAYQBjAGsAYQBnAGkAbgBnACAAbQBhAHQAZQByAGkAYQBsAHMAXABuAEUAXABuAHQAIABDAE8AMgBlAFwAbgBFAD0AXABcAHMAdQBtAFwAXABuAG8AbABpAG0AaQB0AHMAXwBwAFwAXABsAGUAZgB0ACgAUQBfAHAAXABcAHQAaQBtAGUAcwAgAEUARgBfAHAAXABcAHIAaQBnAGgAdAApAFwAXAB0AGkAbQBlAHMAIAAxADAAXgB7AC0AMwB9AFwAbgBRAF8AcAAgAD0AIAB1AG4AaQB0AHMAIABvAGYAIABwAGEAYwBrAGEAZwBpAG4AZwAgAHQAeQBwAGUAIABwAFwAbgBFAEYAXwBwACAAPQAgAGUAbQBpAHMAcwBpAG8AbgAgAGYAYQBjAHQAbwByACAAZgBvAHIAIABwAGEAYwBrAGEAZwBpAG4AZwAgAHQAeQBwAGUAIABwAFwAbgAtAC0ALQAtAC0ALQAtAC0ALQAtAC0ALQAtAC0ALQAtAC0ALQAtAC0ALQAtAC0ALQAtAC0ALQAtAC0ALQAtAC0ALQAtAC0ALQAtAC0AXABuACoALwBcAG4AXABuAFYARQBFAFIARwBfADEANQBfADgAXwAxAF8AMQBfAF8AMQBfAEUAbQBpAHMAcwBpAG8AbgBzAEYAcgBvAG0AUAB1AHIAYwBoAGEAcwBlAGQAUABhAGMAawBhAGcAaQBuAGcAXABuACAAIAA9AEwAQQBNAEIARABBACgAXABuACAAIAAgACAAUQBfAHAALAAgAEUARgBfAHAALABcAG4AIAAgACAAIAAoAFEAXwBwACAAKgAgAEUARgBfAHAAKQAgACoAIAAxADAAIABeACAALQAzAFwAbgAgACAAKQA7AFwAbgBcAG4AVgBFAEUAUgBHAF8AMQA1AF8AOABfADEAXwAxAF8AXwAxAF8ARQBtAGkAcwBzAGkAbwBuAHMARgByAG8AbQBQAHUAcgBjAGgAYQBzAGUAZABQAGEAYwBrAGEAZwBpAG4AZwBfAFQAaQB0AGwAZQBcAG4AIAAgAD0ATABBAE0AQgBEAEEAKABcACIARQBtAGIAZQBkAGQAZQBkACAAZQBtAGkAcwBzAGkAbwBuAHMAIABmAHIAbwBtACAAdQBzAGUAIABvAGYAIABwAGEAYwBrAGEAZwBpAG4AZwAgAG0AYQB0AGUAcgBpAGEAbABzAFwAIgApADsAXABuAFwAbgBWAEUARQBSAEcAXwAxADUAXwA4AF8AMQBfADEAXwBfADEAXwBFAG0AaQBzAHMAaQBvAG4AcwBGAHIAbwBtAFAAdQByAGMAaABhAHMAZQBkAFAAYQBjAGsAYQBnAGkAbgBnAF8AVgBhAHIAaQBhAGIAbABlAFwAbgAgACAAPQBMAEEATQBCAEQAQQAoAFwAIgBFAFwAIgApADsAXABuAFwAbgBWAEUARQBSAEcAXwAxADUAXwA4AF8AMQBfADEAXwBfADEAXwBFAG0AaQBzAHMAaQBvAG4AcwBGAHIAbwBtAFAAdQByAGMAaABhAHMAZQBkAFAAYQBjAGsAYQBnAGkAbgBnAF8AVQBuAGkAdABcAG4AIAAgAD0ATABBAE0AQgBEAEEAKABcACIAdAAgAEMATwAyAGUAXAAiACkAOwBcAG4AXABuAFYARQBFAFIARwBfADEANQBfADgAXwAxAF8AMQBfAF8AMQBfAEUAbQBpAHMAcwBpAG8AbgBzAEYAcgBvAG0AUAB1AHIAYwBoAGEAcwBlAGQAUABhAGMAawBhAGcAaQBuAGcAXwBTAG8AdQByAGMAZQBcAG4AIAAgAD0ATABBAE0AQgBEAEEAKABcACIAVgBFAEUAUgBHACAAMgAwADIANgA6ACAAMQA1AC4AOAAuADEALgAxACwAIABFAHEAdQBhAHQAaQBvAG4AIAAoADEAKQBcACIAKQA7AFwAbgBcAG4AVgBFAEUAUgBHAF8AMQA1AF8AOABfADEAXwAxAF8AXwAxAF8ARQBtAGkAcwBzAGkAbwBuAHMARgByAG8AbQBQAHUAcgBjAGgAYQBzAGUAZABQAGEAYwBrAGEAZwBpAG4AZwBfAE4ASQBSAFIAZQBmAGUAcgBlAG4AYwBlAFwAbgAgACAAPQBMAEEATQBCAEQAQQAoAFwAIgBcACIAKQA7AFwAbgBcAG4AVgBFAEUAUgBHAF8AMQA1AF8AOABfADEAXwAxAF8AXwAxAF8ARQBtAGkAcwBzAGkAbwBuAHMARgByAG8AbQBQAHUAcgBjAGgAYQBzAGUAZABQAGEAYwBrAGEAZwBpAG4AZwBfAEwAYQB0AGUAeABFAHEAdQBhAHQAaQBvAG4AXABuACAAIAA9AEwAQQBNAEIARABBACgAXAAiAEUAPQBcAFwAcwB1AG0AXABcAG4AbwBsAGkAbQBpAHQAcwBfAHAAXABcAGwAZQBmAHQAKABRAF8AcABcAFwAdABpAG0AZQBzACAARQBGAF8AcABcAFwAcgBpAGcAaAB0ACkAXABcAHQAaQBtAGUAcwAgADEAMABeAHsALQAzAH0AXAAiACkAOwBcAG4AXABuAFYARQBFAFIARwBfADEANQBfADgAXwAxAF8AMQBfAF8AMQBfAEUAbQBpAHMAcwBpAG8AbgBzAEYAcgBvAG0AUAB1AHIAYwBoAGEAcwBlAGQAUABhAGMAawBhAGcAaQBuAGcAXwBBAHIAZwB1AG0AZQBuAHQAcwBcAG4AIAAgAD0ATABBAE0AQgBEAEEAKABcAG4AIAAgACAAIABNAEEASwBFAEEAUgBSAEEAWQAoADMALAAgADQALABcAG4AIAAgACAAIAAgACAATABBAE0AQgBEAEEAKAByACwAYwAsAFwAbgAgACAAIAAgACAAIAAgACAASQBOAEQARQBYACgAewBcAG4AIAAgACAAIAAgACAAIAAgACAAIABcACIAUQBfAHAAXAAiACwAIABcACIAdQBuAGkAdABzACAAbwBmACAAcABhAGMAawBhAGcAaQBuAGcAIAB0AHkAcABlACAAcABcACIALAAgAFwAIgB1AG4AaQB0AHMAXAAiACwAIABcACIASQBuAHAAdQB0AFwAIgA7AFwAbgAgACAAIAAgACAAIAAgACAAIAAgAFwAIgBFAEYAXwBwAFwAIgAsACAAXAAiAGUAbQBpAHMAcwBpAG8AbgAgAGYAYQBjAHQAbwByACAAZgBvAHIAIABwAGEAYwBrAGEAZwBpAG4AZwAgAHQAeQBwAGUAIABwAFwAIgAsACAAXAAiAGsAZwAgAEMATwAyAGUALwB1AG4AaQB0AFwAIgAsACAAXAAiAEMAbwBuAHMAdABhAG4AdABcACIAOwBcAG4AIAAgACAAIAAgACAAIAAgACAAIABcACIAcABcACIALAAgAFwAIgBwAGEAYwBrAGEAZwBpAG4AZwAgAHQAeQBwAGUAXAAiACwAIABcACIAXAAiACwAIABcACIASQBuAHAAdQB0AFwAIgBcAG4AIAAgACAAIAAgACAAIAAgAH0ALAAgAHIALAAgAGMAKQBcAG4AIAAgACAAIAAgACAAKQBcAG4AIAAgACAAIAApAFwAbgAgACAAKQA7AFwAbgBcAG4AVgBFAEUAUgBHAF8AMQA1AF8AOABfADEAXwAxAF8AXwAxAF8ARQBtAGkAcwBzAGkAbwBuAHMARgByAG8AbQBQAHUAcgBjAGgAYQBzAGUAZABQAGEAYwBrAGEAZwBpAG4AZwBfAFYAYQByAGkAYQB0AGkAbwBuAFwAbgAgACAAPQBMAEEATQBCAEQAQQAoAFwAIgBWAEEAUgBJAEEAVABJAE8ATgAgAE8ATgAgAFMATwBVAFIAQwBFADoAIABDAGgAYQBuAGcAZQBkACAAdQBuAGkAdAAgAG8AZgAgAFEAIABmAHIAbwBtACAAJwB1AG4AaQB0AHMAJwAgAHQAbwAgACcAawBnACcAIABhAHMAIABFAEYAIABkAGEAdABhACAAaQBzACAAaQBuACAAawBnAC4AXAAiACkAOwBcAG4AIAAgAFwAbgBcAG4ALwAqAFwAbgAtAC0ALQAtAC0ALQAtAC0ALQAtAC0ALQAtAC0ALQAtAC0ALQAtAC0ALQAtAC0ALQAtAC0ALQAtAC0ALQAtAC0ALQAtAC0ALQAtAC0AXABuAFYARQBFAFIARwBfADEANQBfADkAXwAxAF8AMQBfAF8AMQBfAEUAbQBpAHMAcwBpAG8AbgBzAEYAcgBvAG0AUAB1AHIAYwBoAGEAcwBlAGQARwByAG8AdwBNAGUAZABpAGEAXABuAEUAbQBiAGUAZABkAGUAZAAgAGUAbQBpAHMAcwBpAG8AbgBzACAAZgByAG8AbQAgAHUAcwBlACAAbwBmACAAZwByAG8AdwAgAG0AZQBkAGkAYQAgAHAAcgBvAGQAdQBjAHQAcwBcAG4ARQBcAG4AdAAgAEMATwAyAGUAXABuAEUAPQBcAFwAcwB1AG0AXABcAG4AbwBsAGkAbQBpAHQAcwBfAGcAXABcAGwAZQBmAHQAKABRAF8AZwBcAFwAdABpAG0AZQBzACAARQBGAF8AZwBcAFwAcgBpAGcAaAB0ACkAXABcAHQAaQBtAGUAcwAgADEAMABeAHsALQAzAH0AXABuAFEAXwBnACAAPQAgAHQAbwB0AGEAbAAgAHEAdQBhAG4AdABpAHQAeQAgAG8AZgAgAGcAcgBvAHcAIABtAGUAZABpAGEAIAB0AHkAcABlACAAZwBcAG4ARQBGAF8AZwAgAD0AIABlAG0AaQBzAHMAaQBvAG4AIABmAGEAYwB0AG8AcgAgAGYAbwByACAAZwByAG8AdwAgAG0AZQBkAGkAYQAgAHQAeQBwAGUAIABnAFwAbgAtAC0ALQAtAC0ALQAtAC0ALQAtAC0ALQAtAC0ALQAtAC0ALQAtAC0ALQAtAC0ALQAtAC0ALQAtAC0ALQAtAC0ALQAtAC0ALQAtAC0AXABuACoALwBcAG4AXABuAFYARQBFAFIARwBfADEANQBfADkAXwAxAF8AMQBfAF8AMQBfAEUAbQBpAHMAcwBpAG8AbgBzAEYAcgBvAG0AUAB1AHIAYwBoAGEAcwBlAGQARwByAG8AdwBNAGUAZABpAGEAXABuACAAIAA9AEwAQQBNAEIARABBACgAXABuACAAIAAgACAAUQBfAGcALAAgAEUARgBfAGcALABcAG4AIAAgACAAIAAoAFEAXwBnACAAKgAgAEUARgBfAGcAKQAgACoAIAAxADAAIABeACAALQAzAFwAbgAgACAAKQA7AFwAbgBcAG4AVgBFAEUAUgBHAF8AMQA1AF8AOQBfADEAXwAxAF8AXwAxAF8ARQBtAGkAcwBzAGkAbwBuAHMARgByAG8AbQBQAHUAcgBjAGgAYQBzAGUAZABHAHIAbwB3AE0AZQBkAGkAYQBfAFQAaQB0AGwAZQBcAG4AIAAgAD0ATABBAE0AQgBEAEEAKABcACIARQBtAGIAZQBkAGQAZQBkACAAZQBtAGkAcwBzAGkAbwBuAHMAIABmAHIAbwBtACAAdQBzAGUAIABvAGYAIABnAHIAbwB3ACAAbQBlAGQAaQBhACAAcAByAG8AZAB1AGMAdABzAFwAIgApADsAXABuAFwAbgBWAEUARQBSAEcAXwAxADUAXwA5AF8AMQBfADEAXwBfADEAXwBFAG0AaQBzAHMAaQBvAG4AcwBGAHIAbwBtAFAAdQByAGMAaABhAHMAZQBkAEcAcgBvAHcATQBlAGQAaQBhAF8AVgBhAHIAaQBhAGIAbABlAFwAbgAgACAAPQBMAEEATQBCAEQAQQAoAFwAIgBFAFwAIgApADsAXABuAFwAbgBWAEUARQBSAEcAXwAxADUAXwA5AF8AMQBfADEAXwBfADEAXwBFAG0AaQBzAHMAaQBvAG4AcwBGAHIAbwBtAFAAdQByAGMAaABhAHMAZQBkAEcAcgBvAHcATQBlAGQAaQBhAF8AVQBuAGkAdABcAG4AIAAgAD0ATABBAE0AQgBEAEEAKABcACIAdAAgAEMATwAyAGUAXAAiACkAOwBcAG4AXABuAFYARQBFAFIARwBfADEANQBfADkAXwAxAF8AMQBfAF8AMQBfAEUAbQBpAHMAcwBpAG8AbgBzAEYAcgBvAG0AUAB1AHIAYwBoAGEAcwBlAGQARwByAG8AdwBNAGUAZABpAGEAXwBTAG8AdQByAGMAZQBcAG4AIAAgAD0ATABBAE0AQgBEAEEAKABcACIAVgBFAEUAUgBHACAAMgAwADIANgA6ACAAMQA1AC4AOQAuADEALgAxACwAIABFAHEAdQBhAHQAaQBvAG4AIAAoADEAKQBcACIAKQA7AFwAbgBcAG4AVgBFAEUAUgBHAF8AMQA1AF8AOQBfADEAXwAxAF8AXwAxAF8ARQBtAGkAcwBzAGkAbwBuAHMARgByAG8AbQBQAHUAcgBjAGgAYQBzAGUAZABHAHIAbwB3AE0AZQBkAGkAYQBfAE4ASQBSAFIAZQBmAGUAcgBlAG4AYwBlAFwAbgAgACAAPQBMAEEATQBCAEQAQQAoAFwAIgBcACIAKQA7AFwAbgBcAG4AVgBFAEUAUgBHAF8AMQA1AF8AOQBfADEAXwAxAF8AXwAxAF8ARQBtAGkAcwBzAGkAbwBuAHMARgByAG8AbQBQAHUAcgBjAGgAYQBzAGUAZABHAHIAbwB3AE0AZQBkAGkAYQBfAEwAYQB0AGUAeABFAHEAdQBhAHQAaQBvAG4AXABuACAAIAA9AEwAQQBNAEIARABBACgAXAAiAEUAPQBcAFwAcwB1AG0AXABcAG4AbwBsAGkAbQBpAHQAcwBfAGcAXABcAGwAZQBmAHQAKABRAF8AZwBcAFwAdABpAG0AZQBzACAARQBGAF8AZwBcAFwAcgBpAGcAaAB0ACkAXABcAHQAaQBtAGUAcwAgADEAMABeAHsALQAzAH0AXAAiACkAOwBcAG4AXABuAFYARQBFAFIARwBfADEANQBfADkAXwAxAF8AMQBfAF8AMQBfAEUAbQBpAHMAcwBpAG8AbgBzAEYAcgBvAG0AUAB1AHIAYwBoAGEAcwBlAGQARwByAG8AdwBNAGUAZABpAGEAXwBBAHIAZwB1AG0AZQBuAHQAcwBcAG4AIAAgAD0ATABBAE0AQgBEAEEAKABcAG4AIAAgACAAIABNAEEASwBFAEEAUgBSAEEAWQAoADMALAAgADQALABcAG4AIAAgACAAIAAgACAATABBAE0AQgBEAEEAKAByACwAYwAsAFwAbgAgACAAIAAgACAAIAAgACAASQBOAEQARQBYACgAewBcAG4AIAAgACAAIAAgACAAIAAgACAAIABcACIAUQBfAGcAXAAiACwAIABcACIAdABvAHQAYQBsACAAcQB1AGEAbgB0AGkAdAB5ACAAbwBmACAAZwByAG8AdwAgAG0AZQBkAGkAYQAgAHQAeQBwAGUAIABnAFwAIgAsACAAXAAiAGsAZwAgAG8AcgAgAG0AMwBcACIALAAgAFwAIgBJAG4AcAB1AHQAXAAiADsAXABuACAAIAAgACAAIAAgACAAIAAgACAAXAAiAEUARgBfAGcAXAAiACwAIABcACIAZQBtAGkAcwBzAGkAbwBuACAAZgBhAGMAdABvAHIAIABmAG8AcgAgAGcAcgBvAHcAIABtAGUAZABpAGEAIAB0AHkAcABlACAAZwBcACIALAAgAFwAIgBrAGcAIABDAE8AMgBlAC8AawBnACAAbwByACAAawBnACAAQwBPADIAZQAvAG0AMwBcACIALAAgAFwAIgBDAG8AbgBzAHQAYQBuAHQAXAAiADsAXABuACAAIAAgACAAIAAgACAAIAAgACAAXAAiAGcAXAAiACwAIABcACIAZwByAG8AdwAgAG0AZQBkAGkAYQAgAHQAeQBwAGUAXAAiACwAIABcACI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EANQBfADEAMABfADEAXwAxAF8AXwAxAF8ATwB0AGgAZQByAFAAdQByAGMAaABhAHMAZQBkAEcAbwBvAGQAcwBBAG4AZABTAGUAcgB2AGkAYwBlAHMAXABuAE8AdABoAGUAcgAgAHAAdQByAGMAaABhAHMAZQBkACAAZwBvAG8AZABzACAAYQBuAGQAIABzAGUAcgB2AGkAYwBlAHMAIABnAGUAbgBlAHIAaQBjACAAZQBzAHQAaQBtAGEAdABlAFwAbgBlAG0AaQBzAHMAaQBvAG4AcwBcAG4AdAAgAEMATwAyAGUAXABuAGUAbQBpAHMAcwBpAG8AbgBzAD0AYQBjAHQAaQB2AGkAdAB5AF8AZABhAHQAYQBcAFwAdABpAG0AZQBzACAAZQBtAGkAcwBzAGkAbwBuAF8AZgBhAGMAdABvAHIAXABuAGEAYwB0AGkAdgBpAHQAeQBfAGQAYQB0AGEAIAA9ACAAbQBlAGEAcwB1AHIAZQBkACAAYQBjAHQAaQB2AGkAdAB5ACAAZgBvAHIAIAB0AGgAZQAgAHAAdQByAGMAaABhAHMAZQBkACAAZwBvAG8AZAAgAG8AcgAgAHMAZQByAHYAaQBjAGUAXABuAGUAbQBpAHMAcwBpAG8AbgBfAGYAYQBjAHQAbwByACAAPQAgAGwAaQBmAGUAYwB5AGMAbABlACAAZQBtAGkAcwBzAGkAbwBuAHMAIABwAGUAcgAgAHUAbgBpAHQAIABvAGYAIABhAGMAdABpAHYAaQB0AHkAXABuAC0ALQAtAC0ALQAtAC0ALQAtAC0ALQAtAC0ALQAtAC0ALQAtAC0ALQAtAC0ALQAtAC0ALQAtAC0ALQAtAC0ALQAtAC0ALQAtAC0ALQBcAG4AKgAvAFwAbgBcAG4AVgBFAEUAUgBHAF8AMQA1AF8AMQAwAF8AMQBfADEAXwBfADEAXwBPAHQAaABlAHIAUAB1AHIAYwBoAGEAcwBlAGQARwBvAG8AZABzAEEAbgBkAFMAZQByAHYAaQBjAGUAcwBcAG4AIAAgAD0ATABBAE0AQgBEAEEAKABcAG4AIAAgACAAIABhAGMAdABpAHYAaQB0AHkAXwBkAGEAdABhACwAIABlAG0AaQBzAHMAaQBvAG4AXwBmAGEAYwB0AG8AcgAsAFwAbgAgACAAIAAgAGEAYwB0AGkAdgBpAHQAeQBfAGQAYQB0AGEAIAAqACAAZQBtAGkAcwBzAGkAbwBuAF8AZgBhAGMAdABvAHIAXABuACAAIAApADsAXABuAFwAbgBWAEUARQBSAEcAXwAxADUAXwAxADAAXwAxAF8AMQBfAF8AMQBfAE8AdABoAGUAcgBQAHUAcgBjAGgAYQBzAGUAZABHAG8AbwBkAHMAQQBuAGQAUwBlAHIAdgBpAGMAZQBzAF8AVABpAHQAbABlAFwAbgAgACAAPQBMAEEATQBCAEQAQQAoAFwAIgBPAHQAaABlAHIAIABwAHUAcgBjAGgAYQBzAGUAZAAgAGcAbwBvAGQAcwAgAGEAbgBkACAAcwBlAHIAdgBpAGMAZQBzACAAZwBlAG4AZQByAGkAYwAgAGUAcwB0AGkAbQBhAHQAZQBcACIAKQA7AFwAbgBcAG4AVgBFAEUAUgBHAF8AMQA1AF8AMQAwAF8AMQBfADEAXwBfADEAXwBPAHQAaABlAHIAUAB1AHIAYwBoAGEAcwBlAGQARwBvAG8AZABzAEEAbgBkAFMAZQByAHYAaQBjAGUAcwBfAFYAYQByAGkAYQBiAGwAZQBcAG4AIAAgAD0ATABBAE0AQgBEAEEAKABcACIAZQBtAGkAcwBzAGkAbwBuAHMAXAAiACkAOwBcAG4AXABuAFYARQBFAFIARwBfADEANQBfADEAMABfADEAXwAxAF8AXwAxAF8ATwB0AGgAZQByAFAAdQByAGMAaABhAHMAZQBkAEcAbwBvAGQAcwBBAG4AZABTAGUAcgB2AGkAYwBlAHMAXwBVAG4AaQB0AFwAbgAgACAAPQBMAEEATQBCAEQAQQAoAFwAIgB0ACAAQwBPADIAZQBcACIAKQA7AFwAbgBcAG4AVgBFAEUAUgBHAF8AMQA1AF8AMQAwAF8AMQBfADEAXwBfADEAXwBPAHQAaABlAHIAUAB1AHIAYwBoAGEAcwBlAGQARwBvAG8AZABzAEEAbgBkAFMAZQByAHYAaQBjAGUAcwBfAFMAbwB1AHIAYwBlAFwAbgAgACAAPQBMAEEATQBCAEQAQQAoAFwAIgBWAEUARQBSAEcAIAAyADAAMgA2ADoAIAAxADUALgAxADAALAAgAGcAZQBuAGUAcgBpAGMAIABwAGwAYQBjAGUAaABvAGwAZABlAHIAIABlAHEAdQBhAHQAaQBvAG4AXAAiACkAOwBcAG4AXABuAFYARQBFAFIARwBfADEANQBfADEAMABfADEAXwAxAF8AXwAxAF8ATwB0AGgAZQByAFAAdQByAGMAaABhAHMAZQBkAEcAbwBvAGQAcwBBAG4AZABTAGUAcgB2AGkAYwBlAHMAXwBOAEkAUgBSAGUAZgBlAHIAZQBuAGMAZQBcAG4AIAAgAD0ATABBAE0AQgBEAEEAKABcACIAXAAiACkAOwBcAG4AXABuAFYARQBFAFIARwBfADEANQBfADEAMABfADEAXwAxAF8AXwAxAF8ATwB0AGgAZQByAFAAdQByAGMAaABhAHMAZQBkAEcAbwBvAGQAcwBBAG4AZABTAGUAcgB2AGkAYwBlAHMAXwBMAGEAdABlAHgARQBxAHUAYQB0AGkAbwBuAFwAbgAgACAAPQBMAEEATQBCAEQAQQAoAFwAIgBlAG0AaQBzAHMAaQBvAG4AcwA9AGEAYwB0AGkAdgBpAHQAeQBcAFwAXwBkAGEAdABhAFwAXAB0AGkAbQBlAHMAIABlAG0AaQBzAHMAaQBvAG4AXABcAF8AZgBhAGMAdABvAHIAXAAiACkAOwBcAG4AXABuAFYARQBFAFIARwBfADEANQBfADEAMABfADEAXwAxAF8AXwAxAF8ATwB0AGgAZQByAFAAdQByAGMAaABhAHMAZQBkAEcAbwBvAGQAcwBBAG4AZABTAGUAcgB2AGkAYwBlAHMAXwBBAHIAZwB1AG0AZQBuAHQAcwBcAG4AIAAgAD0ATABBAE0AQgBEAEEAKABcAG4AIAAgACAAIABNAEEASwBFAEEAUgBSAEEAWQAoADIALAAgADQALABcAG4AIAAgACAAIAAgACAATABBAE0AQgBEAEEAKAByACwAYwAsAFwAbgAgACAAIAAgACAAIAAgACAASQBOAEQARQBYACgAewBcAG4AIAAgACAAIAAgACAAIAAgACAAIABcACIAYQBjAHQAaQB2AGkAdAB5AF8AZABhAHQAYQBcACIALAAgAFwAIgBtAGUAYQBzAHUAcgBlAGQAIABhAGMAdABpAHYAaQB0AHkAIABmAG8AcgAgAHQAaABlACAAcAB1AHIAYwBoAGEAcwBlAGQAIABnAG8AbwBkACAAbwByACAAcwBlAHIAdgBpAGMAZQBcACIALAAgAFwAIgB2AGEAcgBpAGUAcwBcACIALAAgAFwAIgBJAG4AcAB1AHQAXAAiADsAXABuACAAIAAgACAAIAAgACAAIAAgACAAXAAiAGUAbQBpAHMAcwBpAG8AbgBfAGYAYQBjAHQAbwByAFwAIgAsACAAXAAiAGwAaQBmAGUAYwB5AGMAbABlACAAZQBtAGkAcwBzAGkAbwBuAHMAIABwAGUAcgAgAHUAbgBpAHQAIABvAGYAIABhAGMAdABpAHYAaQB0AHkAXAAiACwAIABcACIAdgBhAHIAaQBlAHMAXAAiACwAIABcACIAQwBvAG4AcwB0AGEAbgB0AFwAIgBcAG4AIAAgACAAIAAgACAAIAAgAH0ALAAgAHIALAAgAGMAKQBcAG4AIAAgACAAIAAgACAAKQBcAG4AIAAgACAAIAApAFwAbgAgACAAKQA7AFwAbgBcAG4ALwAqAFwAbgAtAC0ALQAtAC0ALQAtAC0ALQAtAC0ALQAtAC0ALQAtAC0ALQAtAC0ALQAtAC0ALQAtAC0ALQAtAC0ALQAtAC0ALQAtAC0ALQAtAC0AXABuAFYARQBFAFIARwBfADEANQBfADEAMQBfADEAXwAxAF8AXwAxAF8AVABvAHQAYQBsAFUAcABzAHQAcgBlAGEAbQBFAG0AaQBzAHMAaQBvAG4AcwBGAHIAbwBtAEYAdQBlAGwAXABuAFQAbwB0AGEAbAAgAHUAcABzAHQAcgBlAGEAbQAgAGUAbQBpAHMAcwBpAG8AbgBzACAAZgByAG8AbQAgAHMAYwBvAHAAZQAgADEAIABmAHUAZQBsACAAYwBvAG4AcwB1AG0AcAB0AGkAbwBuAFwAbgBFAFwAbgB0ACAAQwBPADIAZQBcAG4ARQA9AFwAXABzAHUAbQBcAFwAbgBvAGwAaQBtAGkAdABzAF8AcQBFAF8AewBXAFQAVAAsAHQAcgBhAG4AcwAsAHEAfQArAFwAXABzAHUAbQBcAFwAbgBvAGwAaQBtAGkAdABzAF8AcQBFAF8AewBXAFQAVAAsAFMAQwAsAHEAfQBcAG4ARQBfAFcAVABUAHQAcgBhAG4AcwBxACAAPQAgAHUAcABzAHQAcgBlAGEAbQAgAGUAbQBpAHMAcwBpAG8AbgBzACAAZgByAG8AbQAgAHMAYwBvAHAAZQAgADEAIAB0AHIAYQBuAHMAcABvAHIAdAAgAGYAdQBlAGwAIAB1AHMAZQBcAG4ARQBfAFcAVABUAFMAQwBxACAAPQAgAHUAcABzAHQAcgBlAGEAbQAgAGUAbQBpAHMAcwBpAG8AbgBzACAAZgByAG8AbQAgAHMAYwBvAHAAZQAgADEAIABzAHQAYQB0AGkAbwBuAGEAcgB5ACAAYwBvAG0AYgB1AHMAdABpAG8AbgAgAGYAdQBlAGwAIAB1AHMAZQBcAG4ALQAtAC0ALQAtAC0ALQAtAC0ALQAtAC0ALQAtAC0ALQAtAC0ALQAtAC0ALQAtAC0ALQAtAC0ALQAtAC0ALQAtAC0ALQAtAC0ALQAtAFwAbgAqAC8AXABuAFwAbgBWAEUARQBSAEcAXwAxADUAXwAxADEAXwAxAF8AMQBfAF8AMQBfAFQAbwB0AGEAbABVAHAAcwB0AHIAZQBhAG0ARQBtAGkAcwBzAGkAbwBuAHMARgByAG8AbQBGAHUAZQBsAFwAbgAgACAAPQBMAEEATQBCAEQAQQAoAFwAbgAgACAAIAAgAEUAXwBXAFQAVAB0AHIAYQBuAHMAcQAsACAARQBfAFcAVABUAFMAQwBxACwAXABuACAAIAAgACAARQBfAFcAVABUAHQAcgBhAG4AcwBxACAAKwAgAEUAXwBXAFQAVABTAEMAcQBcAG4AIAAgACkAOwBcAG4AXABuAFYARQBFAFIARwBfADEANQBfADEAMQBfADEAXwAxAF8AXwAxAF8AVABvAHQAYQBsAFUAcABzAHQAcgBlAGEAbQBFAG0AaQBzAHMAaQBvAG4AcwBGAHIAbwBtAEYAdQBlAGwAXwBUAGkAdABsAGUAXABuACAAIAA9AEwAQQBNAEIARABBACgAXAAiAFQAbwB0AGEAbAAgAHUAcABzAHQAcgBlAGEAbQAgAGUAbQBpAHMAcwBpAG8AbgBzACAAZgByAG8AbQAgAHMAYwBvAHAAZQAgADEAIABmAHUAZQBsACAAYwBvAG4AcwB1AG0AcAB0AGkAbwBuAFwAIgApADsAXABuAFwAbgBWAEUARQBSAEcAXwAxADUAXwAxADEAXwAxAF8AMQBfAF8AMQBfAFQAbwB0AGEAbABVAHAAcwB0AHIAZQBhAG0ARQBtAGkAcwBzAGkAbwBuAHMARgByAG8AbQBGAHUAZQBsAF8AVgBhAHIAaQBhAGIAbABlAFwAbgAgACAAPQBMAEEATQBCAEQAQQAoAFwAIgBFAFwAIgApADsAXABuAFwAbgBWAEUARQBSAEcAXwAxADUAXwAxADEAXwAxAF8AMQBfAF8AMQBfAFQAbwB0AGEAbABVAHAAcwB0AHIAZQBhAG0ARQBtAGkAcwBzAGkAbwBuAHMARgByAG8AbQBGAHUAZQBsAF8AVQBuAGkAdABcAG4AIAAgAD0ATABBAE0AQgBEAEEAKABcACIAdAAgAEMATwAyAGUAXAAiACkAOwBcAG4AXABuAFYARQBFAFIARwBfADEANQBfADEAMQBfADEAXwAxAF8AXwAxAF8AVABvAHQAYQBsAFUAcABzAHQAcgBlAGEAbQBFAG0AaQBzAHMAaQBvAG4AcwBGAHIAbwBtAEYAdQBlAGwAXwBTAG8AdQByAGMAZQBcAG4AIAAgAD0ATABBAE0AQgBEAEEAKABcACIAVgBFAEUAUgBHACAAMgAwADIANgA6ACAAMQA1AC4AMQAxAC4AMQAuADEALAAgAEUAcQB1AGEAdABpAG8AbgAgACgAMQApAFwAIgApADsAXABuAFwAbgBWAEUARQBSAEcAXwAxADUAXwAxADEAXwAxAF8AMQBfAF8AMQBfAFQAbwB0AGEAbABVAHAAcwB0AHIAZQBhAG0ARQBtAGkAcwBzAGkAbwBuAHMARgByAG8AbQBGAHUAZQBsAF8ATgBJAFIAUgBlAGYAZQByAGUAbgBjAGUAXABuACAAIAA9AEwAQQBNAEIARABBACgAXAAiAFwAIgApADsAXABuAFwAbgBWAEUARQBSAEcAXwAxADUAXwAxADEAXwAxAF8AMQBfAF8AMQBfAFQAbwB0AGEAbABVAHAAcwB0AHIAZQBhAG0ARQBtAGkAcwBzAGkAbwBuAHMARgByAG8AbQBGAHUAZQBsAF8ATABhAHQAZQB4AEUAcQB1AGEAdABpAG8AbgBcAG4AIAAgAD0ATABBAE0AQgBEAEEAKABcACIARQA9AFwAXABzAHUAbQBcAFwAbgBvAGwAaQBtAGkAdABzAF8AcQBFAF8AewBXAFQAVAAsAHQAcgBhAG4AcwAsAHEAfQArAFwAXABzAHUAbQBcAFwAbgBvAGwAaQBtAGkAdABzAF8AcQBFAF8AewBXAFQAVAAsAFMAQwAsAHEAfQBcACIAKQA7AFwAbgBcAG4AVgBFAEUAUgBHAF8AMQA1AF8AMQAxAF8AMQBfADEAXwBfADEAXwBUAG8AdABhAGwAVQBwAHMAdAByAGUAYQBtAEUAbQBpAHMAcwBpAG8AbgBzAEYAcgBvAG0ARgB1AGUAbABfAEEAcgBnAHUAbQBlAG4AdABzAFwAbgAgACAAPQBMAEEATQBCAEQAQQAoAFwAbgAgACAAIAAgAE0AQQBLAEUAQQBSAFIAQQBZACgANAAsACAANAAsAFwAbgAgACAAIAAgACAAIABMAEEATQBCAEQAQQAoAHIALABjACwAXABuACAAIAAgACAAIAAgACAAIABJAE4ARABFAFgAKAB7AFwAbgAgACAAIAAgACAAIAAgACAAIAAgAFwAIgBFAF8AVwBUAFQAdAByAGEAbgBzAHEAXAAiACwAIABcACIAdQBwAHMAdAByAGUAYQBtACAAZQBtAGkAcwBzAGkAbwBuAHMAIABmAHIAbwBtACAAcwBjAG8AcABlACAAMQAgAHQAcgBhAG4AcwBwAG8AcgB0ACAAZgB1AGUAbAAgAHUAcwBlAFwAIgAsACAAXAAiAHQAIABDAE8AMgBlAFwAIgAsACAAXAAiAEMAYQBsAGMAdQBsAGEAdABlAGQAIABiAHkAIAAxADUALgAxADEALgAxAC4AMQAgACgAMgApAFwAIgA7AFwAbgAgACAAIAAgACAAIAAgACAAIAAgAFwAIgBFAF8AVwBUAFQAUwBDAHEAXAAiACwAIABcACIAdQBwAHMAdAByAGUAYQBtACAAZQBtAGkAcwBzAGkAbwBuAHMAIABmAHIAbwBtACAAcwBjAG8AcABlACAAMQAgAHMAdABhAHQAaQBvAG4AYQByAHkAIABjAG8AbQBiAHUAcwB0AGkAbwBuACAAZgB1AGUAbAAgAHUAcwBlAFwAIgAsACAAXAAiAHQAIABDAE8AMgBlAFwAIgAsACAAXAAiAEMAYQBsAGMAdQBsAGEAdABlAGQAIABiAHkAIAAxADUALgAxADEALgAxAC4AMQAgACgAMwApAFwAIgA7AFwAbgAgACAAIAAgACAAIAAgACAAIAAgAFwAIgBXAFQAVABcACIALAAgAFwAIgB3AGUAbABsACAAdABvACAAdABhAG4AawBcACIALAAgAFwAIgBcACIALAAgAFwAIgBDAG8AbgBzAHQAYQBuAHQAXAAiADsAXABuACAAIAAgACAAIAAgACAAIAAgACAAXAAiAHEAXAAiACwAIABcACIAZgB1AGUAbAAgAHQAeQBwAGUAXAAiACwAIABcACI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EANQBfADEAMQBfADEAXwAxAF8AXwAyAF8AVQBwAHMAdAByAGUAYQBtAFQAcgBhAG4AcwBwAG8AcgB0AEYAdQBlAGwARQBtAGkAcwBzAGkAbwBuAHMAXABuAFUAcABzAHQAcgBlAGEAbQAgAGUAbQBpAHMAcwBpAG8AbgBzACAAZgByAG8AbQAgAHMAYwBvAHAAZQAgADEAIABmAHUAZQBsACAAdQBzAGUAIABmAG8AcgAgAHQAcgBhAG4AcwBwAG8AcgB0ACAAcAB1AHIAcABvAHMAZQBzAFwAbgBFAF8AVwBUAFQAdAByAGEAbgBzAHEAXABuAHQAIABDAE8AMgBlAFwAbgBFAF8AewBXAFQAVAAsAHQAcgBhAG4AcwAsAHEAfQA9AFEAXwB7AFQAcgBhAG4AcwAsAHEAfQBcAFwAdABpAG0AZQBzACAARQBDAF8AewBUAHIAYQBuAHMALABxAH0AXABcAHQAaQBtAGUAcwAgAEUARgBfAHsAVAByAGEAbgBzACwAMwAsAHEAfQBcAFwAdABpAG0AZQBzACAAMQAwAF4AewAtADMAfQBcAG4AUQBfAFQAcgBhAG4AcwBxACAAPQAgAGEAbQBvAHUAbgB0ACAAbwBmACAAZgB1AGUAbAAgAHEAIABjAG8AbQBiAHUAcwB0AGUAZAAgAGYAbwByACAAdAByAGEAbgBzAHAAbwByAHQAIABlAG4AZQByAGcAeQAgAHAAdQByAHAAbwBzAGUAcwBcAG4ARQBDAF8AVAByAGEAbgBzAHEAIAA9ACAAZQBuAGUAcgBnAHkAIABjAG8AbgB0AGUAbgB0ACAAZgBhAGMAdABvAHIAIABmAG8AcgAgAHQAcgBhAG4AcwBwAG8AcgB0ACAAZQBuAGUAcgBnAHkAIABwAHUAcgBwAG8AcwBlAHMAXABuAEUARgBfAFQAcgBhAG4AcwAzAHEAIAA9ACAAcwBjAG8AcABlACAAMwAgAGUAbQBpAHMAcwBpAG8AbgAgAGYAYQBjAHQAbwByACAAZgBvAHIAIAB0AHIAYQBuAHMAcABvAHIAdAAgAGUAbgBlAHIAZwB5ACAAcAB1AHIAcABvAHMAZQBzAFwAbgAtAC0ALQAtAC0ALQAtAC0ALQAtAC0ALQAtAC0ALQAtAC0ALQAtAC0ALQAtAC0ALQAtAC0ALQAtAC0ALQAtAC0ALQAtAC0ALQAtAC0AXABuACoALwBcAG4AXABuAFYARQBFAFIARwBfADEANQBfADEAMQBfADEAXwAxAF8AXwAyAF8AVQBwAHMAdAByAGUAYQBtAFQAcgBhAG4AcwBwAG8AcgB0AEYAdQBlAGwARQBtAGkAcwBzAGkAbwBuAHMAXABuACAAIAA9AEwAQQBNAEIARABBACgAXABuACAAIAAgACAAUQBfAFQAcgBhAG4AcwBxACwAIABFAEMAXwBUAHIAYQBuAHMAcQAsACAARQBGAF8AVAByAGEAbgBzADMAcQAsAFwAbgAgACAAIAAgACgAUQBfAFQAcgBhAG4AcwBxACAAKgAgAEUAQwBfAFQAcgBhAG4AcwBxACAAKgAgAEUARgBfAFQAcgBhAG4AcwAzAHEAKQAgACoAIAAxADAAIABeACAALQAzAFwAbgAgACAAKQA7AFwAbgBcAG4AVgBFAEUAUgBHAF8AMQA1AF8AMQAxAF8AMQBfADEAXwBfADIAXwBVAHAAcwB0AHIAZQBhAG0AVAByAGEAbgBzAHAAbwByAHQARgB1AGUAbABFAG0AaQBzAHMAaQBvAG4AcwBfAFQAaQB0AGwAZQBcAG4AIAAgAD0ATABBAE0AQgBEAEEAKABcACIAVQBwAHMAdAByAGUAYQBtACAAZQBtAGkAcwBzAGkAbwBuAHMAIABmAHIAbwBtACAAcwBjAG8AcABlACAAMQAgAGYAdQBlAGwAIAB1AHMAZQAgAGYAbwByACAAdAByAGEAbgBzAHAAbwByAHQAIABwAHUAcgBwAG8AcwBlAHMAXAAiACkAOwBcAG4AXABuAFYARQBFAFIARwBfADEANQBfADEAMQBfADEAXwAxAF8AXwAyAF8AVQBwAHMAdAByAGUAYQBtAFQAcgBhAG4AcwBwAG8AcgB0AEYAdQBlAGwARQBtAGkAcwBzAGkAbwBuAHMAXwBWAGEAcgBpAGEAYgBsAGUAXABuACAAIAA9AEwAQQBNAEIARABBACgAXAAiAEUAXwBXAFQAVAB0AHIAYQBuAHMAcQBcACIAKQA7AFwAbgBcAG4AVgBFAEUAUgBHAF8AMQA1AF8AMQAxAF8AMQBfADEAXwBfADIAXwBVAHAAcwB0AHIAZQBhAG0AVAByAGEAbgBzAHAAbwByAHQARgB1AGUAbABFAG0AaQBzAHMAaQBvAG4AcwBfAFUAbgBpAHQAXABuACAAIAA9AEwAQQBNAEIARABBACgAXAAiAHQAIABDAE8AMgBlAFwAIgApADsAXABuAFwAbgBWAEUARQBSAEcAXwAxADUAXwAxADEAXwAxAF8AMQBfAF8AMgBfAFUAcABzAHQAcgBlAGEAbQBUAHIAYQBuAHMAcABvAHIAdABGAHUAZQBsAEUAbQBpAHMAcwBpAG8AbgBzAF8AUwBvAHUAcgBjAGUAXABuACAAIAA9AEwAQQBNAEIARABBACgAXAAiAFYARQBFAFIARwAgADIAMAAyADYAOgAgADEANQAuADEAMQAuADEALgAxACwAIABFAHEAdQBhAHQAaQBvAG4AIAAoADIAKQBcACIAKQA7AFwAbgBcAG4AVgBFAEUAUgBHAF8AMQA1AF8AMQAxAF8AMQBfADEAXwBfADIAXwBVAHAAcwB0AHIAZQBhAG0AVAByAGEAbgBzAHAAbwByAHQARgB1AGUAbABFAG0AaQBzAHMAaQBvAG4AcwBfAE4ASQBSAFIAZQBmAGUAcgBlAG4AYwBlAFwAbgAgACAAPQBMAEEATQBCAEQAQQAoAFwAIgBcACIAKQA7AFwAbgBcAG4AVgBFAEUAUgBHAF8AMQA1AF8AMQAxAF8AMQBfADEAXwBfADIAXwBVAHAAcwB0AHIAZQBhAG0AVAByAGEAbgBzAHAAbwByAHQARgB1AGUAbABFAG0AaQBzAHMAaQBvAG4AcwBfAEwAYQB0AGUAeABFAHEAdQBhAHQAaQBvAG4AXABuACAAIAA9AEwAQQBNAEIARABBACgAXAAiAEUAXwB7AFcAVABUACwAdAByAGEAbgBzACwAcQB9AD0AUQBfAHsAVAByAGEAbgBzACwAcQB9AFwAXAB0AGkAbQBlAHMAIABFAEMAXwB7AFQAcgBhAG4AcwAsAHEAfQBcAFwAdABpAG0AZQBzACAARQBGAF8AewBUAHIAYQBuAHMALAAzACwAcQB9AFwAXAB0AGkAbQBlAHMAIAAxADAAXgB7AC0AMwB9AFwAIgApADsAXABuAFwAbgBWAEUARQBSAEcAXwAxADUAXwAxADEAXwAxAF8AMQBfAF8AMgBfAFUAcABzAHQAcgBlAGEAbQBUAHIAYQBuAHMAcABvAHIAdABGAHUAZQBsAEUAbQBpAHMAcwBpAG8AbgBzAF8AQQByAGcAdQBtAGUAbgB0AHMAXABuACAAIAA9AEwAQQBNAEIARABBACgAXABuACAAIAAgACAATQBBAEsARQBBAFIAUgBBAFkAKAAzACwAIAA0ACwAXABuACAAIAAgACAAIAAgAEwAQQBNAEIARABBACgAcgAsAGMALABcAG4AIAAgACAAIAAgACAAIAAgAEkATgBEAEUAWAAoAHsAXABuACAAIAAgACAAIAAgACAAIAAgACAAXAAiAFEAXwBUAHIAYQBuAHMAcQBcACIALAAgAFwAIgBhAG0AbwB1AG4AdAAgAG8AZgAgAGYAdQBlAGwAIABxACAAYwBvAG0AYgB1AHMAdABlAGQAIABmAG8AcgAgAHQAcgBhAG4AcwBwAG8AcgB0ACAAZQBuAGUAcgBnAHkAIABwAHUAcgBwAG8AcwBlAHMAXAAiACwAIABcACIAawBMAFwAIgAsACAAXAAiAEkAbgBwAHUAdABcACIAOwBcAG4AIAAgACAAIAAgACAAIAAgACAAIABcACIARQBDAF8AVAByAGEAbgBzAHEAXAAiACwAIABcACIAZQBuAGUAcgBnAHkAIABjAG8AbgB0AGUAbgB0ACAAZgBhAGMAdABvAHIAIABmAG8AcgAgAHQAcgBhAG4AcwBwAG8AcgB0ACAAZQBuAGUAcgBnAHkAIABwAHUAcgBwAG8AcwBlAHMAXAAiACwAIABcACIARwBKAC8AawBMACAAbwByACAARwBKAC8AbQAzAFwAIgAsACAAXAAiAEMAbwBuAHMAdABhAG4AdABcACIAOwBcAG4AIAAgACAAIAAgACAAIAAgACAAIABcACIARQBGAF8AVAByAGEAbgBzADMAcQBcACIALAAgAFwAIgBzAGMAbwBwAGUAIAAzACAAZQBtAGkAcwBzAGkAbwBuACAAZgBhAGMAdABvAHIAIABmAG8AcgAgAHQAcgBhAG4AcwBwAG8AcgB0ACAAZQBuAGUAcgBnAHkAIABwAHUAcgBwAG8AcwBlAHMAXAAiACwAIABcACIAawBnACAAQwBPADIAZQAvAEcASgBcACIALAAgAFwAIgBDAG8AbgBzAHQAYQBuAHQAXAAiAFwAbgAgACAAIAAgACAAIAAgACAAfQAsACAAcgAsACAAYwApAFwAbgAgACAAIAAgACAAIAApAFwAbgAgACAAIAAgACkAXABuACAAIAApADsAXABuAFwAbgAvACoAXABuAC0ALQAtAC0ALQAtAC0ALQAtAC0ALQAtAC0ALQAtAC0ALQAtAC0ALQAtAC0ALQAtAC0ALQAtAC0ALQAtAC0ALQAtAC0ALQAtAC0ALQBcAG4AVgBFAEUAUgBHAF8AMQA1AF8AMQAxAF8AMQBfADEAXwBfADMAXwBVAHAAcwB0AHIAZQBhAG0AUwB0AGEAdABpAG8AbgBhAHIAeQBGAHUAZQBsAEUAbQBpAHMAcwBpAG8AbgBzAFwAbgBVAHAAcwB0AHIAZQBhAG0AIABlAG0AaQBzAHMAaQBvAG4AcwAgAGYAcgBvAG0AIABzAGMAbwBwAGUAIAAxACAAcwB0AGEAdABpAG8AbgBhAHIAeQAgAGMAbwBtAGIAdQBzAHQAaQBvAG4AIABmAHUAZQBsACAAdQBzAGUAXABuAEUAXwBXAFQAVABTAEMAcQBcAG4AdAAgAEMATwAyAGUAXABuAEUAXwB7AFcAVABUACwAUwBDACwAcQB9AD0AUQBfAHsAUwBDACwAcQB9AFwAXAB0AGkAbQBlAHMAIABFAEMAXwB7AFMAQwAsAHEAfQBcAFwAdABpAG0AZQBzACAARQBGAF8AewBTAEMALAAzACwAcQB9AFwAXAB0AGkAbQBlAHMAIAAxADAAXgB7AC0AMwB9AFwAbgBRAF8AUwBDAHEAIAA9ACAAYQBtAG8AdQBuAHQAIABvAGYAIABmAHUAZQBsACAAcQAgAHUAcwBlAGQAIABmAG8AcgAgAHMAdABhAHQAaQBvAG4AYQByAHkAIABjAG8AbQBiAHUAcwB0AGkAbwBuACAAbwBwAGUAcgBhAHQAaQBvAG4AcwBcAG4ARQBDAF8AUwBDAHEAIAA9ACAAZQBuAGUAcgBnAHkAIABjAG8AbgB0AGUAbgB0ACAAZgBhAGMAdABvAHIAIABmAG8AcgAgAHMAdABhAHQAaQBvAG4AYQByAHkAIABjAG8AbQBiAHUAcwB0AGkAbwBuACAAbwBwAGUAcgBhAHQAaQBvAG4AcwBcAG4ARQBGAF8AUwBDADMAcQAgAD0AIABzAGMAbwBwAGUAIAAzACAAZQBtAGkAcwBzAGkAbwBuACAAZgBhAGMAdABvAHIAIABmAG8AcgAgAHMAdABhAHQAaQBvAG4AYQByAHkAIABjAG8AbQBiAHUAcwB0AGkAbwBuACAAbwBwAGUAcgBhAHQAaQBvAG4AcwBcAG4ALQAtAC0ALQAtAC0ALQAtAC0ALQAtAC0ALQAtAC0ALQAtAC0ALQAtAC0ALQAtAC0ALQAtAC0ALQAtAC0ALQAtAC0ALQAtAC0ALQAtAFwAbgAqAC8AXABuAFwAbgBWAEUARQBSAEcAXwAxADUAXwAxADEAXwAxAF8AMQBfAF8AMwBfAFUAcABzAHQAcgBlAGEAbQBTAHQAYQB0AGkAbwBuAGEAcgB5AEYAdQBlAGwARQBtAGkAcwBzAGkAbwBuAHMAXABuACAAIAA9AEwAQQBNAEIARABBACgAXABuACAAIAAgACAAUQBfAFMAQwBxACwAIABFAEMAXwBTAEMAcQAsACAARQBGAF8AUwBDADMAcQAsAFwAbgAgACAAIAAgACgAUQBfAFMAQwBxACAAKgAgAEUAQwBfAFMAQwBxACAAKgAgAEUARgBfAFMAQwAzAHEAKQAgACoAIAAxADAAIABeACAALQAzAFwAbgAgACAAKQA7AFwAbgBcAG4AVgBFAEUAUgBHAF8AMQA1AF8AMQAxAF8AMQBfADEAXwBfADMAXwBVAHAAcwB0AHIAZQBhAG0AUwB0AGEAdABpAG8AbgBhAHIAeQBGAHUAZQBsAEUAbQBpAHMAcwBpAG8AbgBzAF8AVABpAHQAbABlAFwAbgAgACAAPQBMAEEATQBCAEQAQQAoAFwAIgBVAHAAcwB0AHIAZQBhAG0AIABlAG0AaQBzAHMAaQBvAG4AcwAgAGYAcgBvAG0AIABzAGMAbwBwAGUAIAAxACAAcwB0AGEAdABpAG8AbgBhAHIAeQAgAGMAbwBtAGIAdQBzAHQAaQBvAG4AIABmAHUAZQBsACAAdQBzAGUAXAAiACkAOwBcAG4AXABuAFYARQBFAFIARwBfADEANQBfADEAMQBfADEAXwAxAF8AXwAzAF8AVQBwAHMAdAByAGUAYQBtAFMAdABhAHQAaQBvAG4AYQByAHkARgB1AGUAbABFAG0AaQBzAHMAaQBvAG4AcwBfAFYAYQByAGkAYQBiAGwAZQBcAG4AIAAgAD0ATABBAE0AQgBEAEEAKABcACIARQBfAFcAVABUAFMAQwBxAFwAIgApADsAXABuAFwAbgBWAEUARQBSAEcAXwAxADUAXwAxADEAXwAxAF8AMQBfAF8AMwBfAFUAcABzAHQAcgBlAGEAbQBTAHQAYQB0AGkAbwBuAGEAcgB5AEYAdQBlAGwARQBtAGkAcwBzAGkAbwBuAHMAXwBVAG4AaQB0AFwAbgAgACAAPQBMAEEATQBCAEQAQQAoAFwAIgB0ACAAQwBPADIAZQBcACIAKQA7AFwAbgBcAG4AVgBFAEUAUgBHAF8AMQA1AF8AMQAxAF8AMQBfADEAXwBfADMAXwBVAHAAcwB0AHIAZQBhAG0AUwB0AGEAdABpAG8AbgBhAHIAeQBGAHUAZQBsAEUAbQBpAHMAcwBpAG8AbgBzAF8AUwBvAHUAcgBjAGUAXABuACAAIAA9AEwAQQBNAEIARABBACgAXAAiAFYARQBFAFIARwAgADIAMAAyADYAOgAgADEANQAuADEAMQAuADEALgAxACwAIABFAHEAdQBhAHQAaQBvAG4AIAAoADMAKQBcACIAKQA7AFwAbgBcAG4AVgBFAEUAUgBHAF8AMQA1AF8AMQAxAF8AMQBfADEAXwBfADMAXwBVAHAAcwB0AHIAZQBhAG0AUwB0AGEAdABpAG8AbgBhAHIAeQBGAHUAZQBsAEUAbQBpAHMAcwBpAG8AbgBzAF8ATgBJAFIAUgBlAGYAZQByAGUAbgBjAGUAXABuACAAIAA9AEwAQQBNAEIARABBACgAXAAiAFwAIgApADsAXABuAFwAbgBWAEUARQBSAEcAXwAxADUAXwAxADEAXwAxAF8AMQBfAF8AMwBfAFUAcABzAHQAcgBlAGEAbQBTAHQAYQB0AGkAbwBuAGEAcgB5AEYAdQBlAGwARQBtAGkAcwBzAGkAbwBuAHMAXwBMAGEAdABlAHgARQBxAHUAYQB0AGkAbwBuAFwAbgAgACAAPQBMAEEATQBCAEQAQQAoAFwAIgBFAF8AewBXAFQAVAAsAFMAQwAsAHEAfQA9AFEAXwB7AFMAQwAsAHEAfQBcAFwAdABpAG0AZQBzACAARQBDAF8AewBTAEMALABxAH0AXABcAHQAaQBtAGUAcwAgAEUARgBfAHsAUwBDACwAMwAsAHEAfQBcAFwAdABpAG0AZQBzACAAMQAwAF4AewAtADMAfQBcACIAKQA7AFwAbgBcAG4AVgBFAEUAUgBHAF8AMQA1AF8AMQAxAF8AMQBfADEAXwBfADMAXwBVAHAAcwB0AHIAZQBhAG0AUwB0AGEAdABpAG8AbgBhAHIAeQBGAHUAZQBsAEUAbQBpAHMAcwBpAG8AbgBzAF8AQQByAGcAdQBtAGUAbgB0AHMAXABuACAAIAA9AEwAQQBNAEIARABBACgAXABuACAAIAAgACAATQBBAEsARQBBAFIAUgBBAFkAKAAzACwAIAA0ACwAXABuACAAIAAgACAAIAAgAEwAQQBNAEIARABBACgAcgAsAGMALABcAG4AIAAgACAAIAAgACAAIAAgAEkATgBEAEUAWAAoAHsAXABuACAAIAAgACAAIAAgACAAIAAgACAAXAAiAFEAXwBTAEMAcQBcACIALAAgAFwAIgBhAG0AbwB1AG4AdAAgAG8AZgAgAGYAdQBlAGwAIABxACAAdQBzAGUAZAAgAGYAbwByACAAcwB0AGEAdABpAG8AbgBhAHIAeQAgAGMAbwBtAGIAdQBzAHQAaQBvAG4AIABvAHAAZQByAGEAdABpAG8AbgBzAFwAIgAsACAAXAAiAGsATABcACIALAAgAFwAIgBJAG4AcAB1AHQAXAAiADsAXABuACAAIAAgACAAIAAgACAAIAAgACAAXAAiAEUAQwBfAFMAQwBxAFwAIgAsACAAXAAiAGUAbgBlAHIAZwB5ACAAYwBvAG4AdABlAG4AdAAgAGYAYQBjAHQAbwByACAAZgBvAHIAIABzAHQAYQB0AGkAbwBuAGEAcgB5ACAAYwBvAG0AYgB1AHMAdABpAG8AbgAgAG8AcABlAHIAYQB0AGkAbwBuAHMAXAAiACwAIABcACIARwBKAC8AawBMAFwAIgAsACAAXAAiAEMAbwBuAHMAdABhAG4AdABcACIAOwBcAG4AIAAgACAAIAAgACAAIAAgACAAIABcACIARQBGAF8AUwBDADMAcQBcACIALAAgAFwAIgBzAGMAbwBwAGUAIAAzACAAZQBtAGkAcwBzAGkAbwBuACAAZgBhAGMAdABvAHIAIABmAG8AcgAgAHMAdABhAHQAaQBvAG4AYQByAHkAIABjAG8AbQBiAHUAcwB0AGkAbwBuACAAbwBwAGUAcgBhAHQAaQBvAG4AcwBcACIALAAgAFwAIgBrAGcAIABDAE8AMgBlAC8ARwBKAFwAIgAsACAAXAAiAEMAbwBuAHMAdABhAG4AdABcACIAXABuACAAIAAgACAAIAAgACAAIAB9ACwAIAByACwAIABjACkAXABuACAAIAAgACAAIAAgACkAXABuACAAIAAgACAAKQBcAG4AIAAgACkAOwBcAG4AXABuAC8AKgBcAG4ALQAtAC0ALQAtAC0ALQAtAC0ALQAtAC0ALQAtAC0ALQAtAC0ALQAtAC0ALQAtAC0ALQAtAC0ALQAtAC0ALQAtAC0ALQAtAC0ALQAtAFwAbgBWAEUARQBSAEcAXwAxADUAXwAxADIAXwAxAF8AMQBfAF8AMQBfAFUAcABzAHQAcgBlAGEAbQBQAHUAcgBjAGgAYQBzAGUAZABFAGwAZQBjAHQAcgBpAGMAaQB0AHkATABvAGMAYQB0AGkAbwBuAEIAYQBzAGUAZABcAG4AUwBjAG8AcABlACAAMwAgAGUAbQBpAHMAcwBpAG8AbgBzACAAZgByAG8AbQAgAHAAdQByAGMAaABhAHMAZQBkACAAZQBsAGUAYwB0AHIAaQBjAGkAdAB5ACAAbABvAGMAYQB0AGkAbwBuACAAYgBhAHMAZQBkAFwAbgBFAF8AMwBlAGwAZQBjAFwAbgB0ACAAQwBPADIAZQBcAG4ARQBfAHsAMwAsAGUAbABlAGMAfQA9AFEAXwB7AGUAbABlAGMAfQBcAFwAdABpAG0AZQBzACAARQBGAF8AewAzACwAZQBsAGUAYwB9AFwAXAB0AGkAbQBlAHMAIAAxADAAXgB7AC0AMwB9AFwAbgBRAF8AZQBsAGUAYwAgAD0AIABhAG0AbwB1AG4AdAAgAG8AZgAgAGUAbABlAGMAdAByAGkAYwBpAHQAeQAgAHAAdQByAGMAaABhAHMAZQBkACAAZgByAG8AbQAgAHQAaABlACAAZwByAGkAZABcAG4ARQBGAF8AMwBlAGwAZQBjACAAPQAgAHMAYwBvAHAAZQAgADMAIABlAG0AaQBzAHMAaQBvAG4AIABmAGEAYwB0AG8AcgAgAGYAbwByACAAcAB1AHIAYwBoAGEAcwBlAGQAIABlAGwAZQBjAHQAcgBpAGMAaQB0AHkAXABuAC0ALQAtAC0ALQAtAC0ALQAtAC0ALQAtAC0ALQAtAC0ALQAtAC0ALQAtAC0ALQAtAC0ALQAtAC0ALQAtAC0ALQAtAC0ALQAtAC0ALQBcAG4AKgAvAFwAbgBcAG4AVgBFAEUAUgBHAF8AMQA1AF8AMQAyAF8AMQBfADEAXwBfADEAXwBVAHAAcwB0AHIAZQBhAG0AUAB1AHIAYwBoAGEAcwBlAGQARQBsAGUAYwB0AHIAaQBjAGkAdAB5AEwAbwBjAGEAdABpAG8AbgBCAGEAcwBlAGQAXABuACAAIAA9AEwAQQBNAEIARABBACgAXABuACAAIAAgACAAUQBfAGUAbABlAGMALAAgAEUARgBfADMAZQBsAGUAYwAsAFwAbgAgACAAIAAgACgAUQBfAGUAbABlAGMAIAAqACAARQBGAF8AMwBlAGwAZQBjACkAIAAqACAAMQAwACAAXgAgAC0AMwBcAG4AIAAgACkAOwBcAG4AXABuAFYARQBFAFIARwBfADEANQBfADEAMgBfADEAXwAxAF8AXwAxAF8AVQBwAHMAdAByAGUAYQBtAFAAdQByAGMAaABhAHMAZQBkAEUAbABlAGMAdAByAGkAYwBpAHQAeQBMAG8AYwBhAHQAaQBvAG4AQgBhAHMAZQBkAF8AVABpAHQAbABlAFwAbgAgACAAPQBMAEEATQBCAEQAQQAoAFwAIgBTAGMAbwBwAGUAIAAzACAAZQBtAGkAcwBzAGkAbwBuAHMAIABmAHIAbwBtACAAcAB1AHIAYwBoAGEAcwBlAGQAIABlAGwAZQBjAHQAcgBpAGMAaQB0AHkAIABsAG8AYwBhAHQAaQBvAG4AIABiAGEAcwBlAGQAXAAiACkAOwBcAG4AXABuAFYARQBFAFIARwBfADEANQBfADEAMgBfADEAXwAxAF8AXwAxAF8AVQBwAHMAdAByAGUAYQBtAFAAdQByAGMAaABhAHMAZQBkAEUAbABlAGMAdAByAGkAYwBpAHQAeQBMAG8AYwBhAHQAaQBvAG4AQgBhAHMAZQBkAF8AVgBhAHIAaQBhAGIAbABlAFwAbgAgACAAPQBMAEEATQBCAEQAQQAoAFwAIgBFAF8AMwBlAGwAZQBjAFwAIgApADsAXABuAFwAbgBWAEUARQBSAEcAXwAxADUAXwAxADIAXwAxAF8AMQBfAF8AMQBfAFUAcABzAHQAcgBlAGEAbQBQAHUAcgBjAGgAYQBzAGUAZABFAGwAZQBjAHQAcgBpAGMAaQB0AHkATABvAGMAYQB0AGkAbwBuAEIAYQBzAGUAZABfAFUAbgBpAHQAXABuACAAIAA9AEwAQQBNAEIARABBACgAXAAiAHQAIABDAE8AMgBlAFwAIgApADsAXABuAFwAbgBWAEUARQBSAEcAXwAxADUAXwAxADIAXwAxAF8AMQBfAF8AMQBfAFUAcABzAHQAcgBlAGEAbQBQAHUAcgBjAGgAYQBzAGUAZABFAGwAZQBjAHQAcgBpAGMAaQB0AHkATABvAGMAYQB0AGkAbwBuAEIAYQBzAGUAZABfAFMAbwB1AHIAYwBlAFwAbgAgACAAPQBMAEEATQBCAEQAQQAoAFwAIgBWAEUARQBSAEcAIAAyADAAMgA2ADoAIAAxADUALgAxADIALgAxAC4AMQAsACAARQBxAHUAYQB0AGkAbwBuACAAKAAxACkAXAAiACkAOwBcAG4AXABuAFYARQBFAFIARwBfADEANQBfADEAMgBfADEAXwAxAF8AXwAxAF8AVQBwAHMAdAByAGUAYQBtAFAAdQByAGMAaABhAHMAZQBkAEUAbABlAGMAdAByAGkAYwBpAHQAeQBMAG8AYwBhAHQAaQBvAG4AQgBhAHMAZQBkAF8ATgBJAFIAUgBlAGYAZQByAGUAbgBjAGUAXABuACAAIAA9AEwAQQBNAEIARABBACgAXAAiAFwAIgApADsAXABuAFwAbgBWAEUARQBSAEcAXwAxADUAXwAxADIAXwAxAF8AMQBfAF8AMQBfAFUAcABzAHQAcgBlAGEAbQBQAHUAcgBjAGgAYQBzAGUAZABFAGwAZQBjAHQAcgBpAGMAaQB0AHkATABvAGMAYQB0AGkAbwBuAEIAYQBzAGUAZABfAEwAYQB0AGUAeABFAHEAdQBhAHQAaQBvAG4AXABuACAAIAA9AEwAQQBNAEIARABBACgAXAAiAEUAXwB7ADMALABlAGwAZQBjAH0APQBRAF8AewBlAGwAZQBjAH0AXABcAHQAaQBtAGUAcwAgAEUARgBfAHsAMwAsAGUAbABlAGMAfQBcAFwAdABpAG0AZQBzACAAMQAwAF4AewAtADMAfQBcACIAKQA7AFwAbgBcAG4AVgBFAEUAUgBHAF8AMQA1AF8AMQAyAF8AMQBfADEAXwBfADEAXwBVAHAAcwB0AHIAZQBhAG0AUAB1AHIAYwBoAGEAcwBlAGQARQBsAGUAYwB0AHIAaQBjAGkAdAB5AEwAbwBjAGEAdABpAG8AbgBCAGEAcwBlAGQAXwBBAHIAZwB1AG0AZQBuAHQAcwBcAG4AIAAgAD0ATABBAE0AQgBEAEEAKABcAG4AIAAgACAAIABNAEEASwBFAEEAUgBSAEEAWQAoADIALAAgADQALABcAG4AIAAgACAAIAAgACAATABBAE0AQgBEAEEAKAByACwAYwAsAFwAbgAgACAAIAAgACAAIAAgACAASQBOAEQARQBYACgAewBcAG4AIAAgACAAIAAgACAAIAAgACAAIABcACIAUQBfAGUAbABlAGMAXAAiACwAIABcACIAYQBtAG8AdQBuAHQAIABvAGYAIABlAGwAZQBjAHQAcgBpAGMAaQB0AHkAIABwAHUAcgBjAGgAYQBzAGUAZAAgAGYAcgBvAG0AIAB0AGgAZQAgAGcAcgBpAGQAXAAiACwAIABcACIAawBXAGgAXAAiACwAIABcACIASQBuAHAAdQB0AFwAIgA7AFwAbgAgACAAIAAgACAAIAAgACAAIAAgAFwAIgBFAEYAXwAzAGUAbABlAGMAXAAiACwAIABcACIAcwBjAG8AcABlACAAMwAgAGUAbQBpAHMAcwBpAG8AbgAgAGYAYQBjAHQAbwByACAAZgBvAHIAIABwAHUAcgBjAGgAYQBzAGUAZAAgAGUAbABlAGMAdAByAGkAYwBpAHQAeQBcACIALAAgAFwAIgBrAGcAIABDAE8AMgBlAC8AawBXAGgAXAAiACwAIABcACIAQwBvAG4AcwB0AGEAbgB0AFwAIgBcAG4AIAAgACAAIAAgACAAIAAgAH0ALAAgAHIALAAgAGMAKQBcAG4AIAAgACAAIAAgACAAKQBcAG4AIAAgACAAIAApAFwAbgAgACAAKQA7AFwAbgBcAG4ALwAqAFwAbgAtAC0ALQAtAC0ALQAtAC0ALQAtAC0ALQAtAC0ALQAtAC0ALQAtAC0ALQAtAC0ALQAtAC0ALQAtAC0ALQAtAC0ALQAtAC0ALQAtAC0AXABuAFYARQBFAFIARwBfADEANQBfADEAMgBfADEAXwAyAF8AXwAxAF8AVQBwAHMAdAByAGUAYQBtAFAAdQByAGMAaABhAHMAZQBkAEUAbABlAGMAdAByAGkAYwBpAHQAeQBNAGEAcgBrAGUAdABCAGEAcwBlAGQAXABuAFMAYwBvAHAAZQAgADMAIABlAG0AaQBzAHMAaQBvAG4AcwAgAGYAcgBvAG0AIABwAHUAcgBjAGgAYQBzAGUAZAAgAGUAbABlAGMAdAByAGkAYwBpAHQAeQAgAG0AYQByAGsAZQB0ACAAYgBhAHMAZQBkAFwAbgBFAF8AMwBlAGwAZQBjAFwAbgB0ACAAQwBPADIAZQBcAG4ARQBfAHsAMwAsAGUAbABlAGMAfQA9AFwAXABsAGUAZgB0AFsAUQBfAHsAZQBsAGUAYwB9AFwAXAB0AGkAbQBlAHMAXABcAGwAZQBmAHQAKAAxAC0AKABSAFAAUAArAEoAUgBQAFAAKQBcAFwAcgBpAGcAaAB0ACkALQBcAFwAbABlAGYAdAAoAFIARQBDAF8AewBzAHUAcgByAGUAbgBkAGUAcgBlAGQAfQAtAFIARQBDAF8AewBvAG4AcwBpAHQAZQB9AFwAXAByAGkAZwBoAHQAKQBcAFwAdABpAG0AZQBzACAAMQAwAF4AewAtADMAfQBcAFwAcgBpAGcAaAB0AF0AXABcAHQAaQBtAGUAcwAgAEUARgBfAHsAUgBNAEYAMwAsAGUAbABlAGMAfQBcAFwAdABpAG0AZQBzACAAMQAwAF4AewAtADMAfQBcAG4AUQBfAGUAbABlAGMAIAA9ACAAYQBtAG8AdQBuAHQAIABvAGYAIABlAGwAZQBjAHQAcgBpAGMAaQB0AHkAIABwAHUAcgBjAGgAYQBzAGUAZAAgAGYAcgBvAG0AIAB0AGgAZQAgAGcAcgBpAGQAXABuAFIAUABQACAAPQAgAHIAZQBuAGUAdwBhAGIAbABlACAAcABvAHcAZQByACAAcABlAHIAYwBlAG4AdABhAGcAZQAgAHUAbgBkAGUAcgAgAEwAUgBFAFQAIABmAG8AcgAgAHQAaABlACAAYQBwAHAAbABpAGMAYQBiAGwAZQAgAHAAZQByAGkAbwBkAFwAbgBKAFIAUABQACAAPQAgAGoAdQByAGkAcwBkAGkAYwB0AGkAbwBuAGEAbAAgAHIAZQBuAGUAdwBhAGIAbABlACAAcABvAHcAZQByACAAcABlAHIAYwBlAG4AdABhAGcAZQAgAGYAbwByACAAdABoAGUAIABhAHAAcABsAGkAYwBhAGIAbABlACAAcABlAHIAaQBvAGQAXABuAFIARQBDAF8AcwB1AHIAcgBlAG4AZABlAHIAZQBkACAAPQAgAGUAbABpAGcAaQBiAGwAZQAgAHIAZQBuAGUAdwBhAGIAbABlACAAZQBuAGUAcgBnAHkAIABjAGUAcgB0AGkAZgBpAGMAYQB0AGUAcwAgAHYAbwBsAHUAbgB0AGEAcgBpAGwAeQAgAHMAdQByAHIAZQBuAGQAZQByAGUAZABcAG4AUgBFAEMAXwBvAG4AcwBpAHQAZQAgAD0AIABlAGwAaQBnAGkAYgBsAGUAIAByAGUAbgBlAHcAYQBiAGwAZQAgAGUAbgBlAHIAZwB5ACAAYwBlAHIAdABpAGYAaQBjAGEAdABlAHMAIABpAHMAcwB1AGUAZAAgAGYAbwByACAAbwBuAHMAaQB0AGUAIABnAGUAbgBlAHIAYQB0AGUAZAAgAGUAbABlAGMAdAByAGkAYwBpAHQAeQBcAG4ARQBGAF8AUgBNAEYAMwBlAGwAZQBjACAAPQAgAHMAYwBvAHAAZQAgADMAIAByAGUAcwBpAGQAdQBhAGwAIABtAGkAeAAgAGUAbQBpAHMAcwBpAG8AbgAgAGYAYQBjAHQAbwByACAAZgBvAHIAIABlAGwAZQBjAHQAcgBpAGMAaQB0AHkAXABuAC0ALQAtAC0ALQAtAC0ALQAtAC0ALQAtAC0ALQAtAC0ALQAtAC0ALQAtAC0ALQAtAC0ALQAtAC0ALQAtAC0ALQAtAC0ALQAtAC0ALQBcAG4AKgAvAFwAbgBcAG4AVgBFAEUAUgBHAF8AMQA1AF8AMQAyAF8AMQBfADIAXwBfADEAXwBVAHAAcwB0AHIAZQBhAG0AUAB1AHIAYwBoAGEAcwBlAGQARQBsAGUAYwB0AHIAaQBjAGkAdAB5AE0AYQByAGsAZQB0AEIAYQBzAGUAZABcAG4AIAAgAD0ATABBAE0AQgBEAEEAKABcAG4AIAAgACAAIABRAF8AZQBsAGUAYwAsACAAUgBQAFAALAAgAEoAUgBQAFAALAAgAFIARQBDAF8AcwB1AHIAcgBlAG4AZABlAHIAZQBkACwAIABSAEUAQwBfAG8AbgBzAGkAdABlACwAIABFAEYAXwBSAE0ARgAzAGUAbABlAGMALABcAG4AIAAgACAAIAAoACgAUQBfAGUAbABlAGMAIAAqACAAKAAxACAALQAgACgAUgBQAFAAIAArACAASgBSAFAAUAApACkAKQAgAC0AIAAoACgAUgBFAEMAXwBzAHUAcgByAGUAbgBkAGUAcgBlAGQAIAAtACAAUgBFAEMAXwBvAG4AcwBpAHQAZQApACAAKgAgADEAMAAgAF4AIAAtADMAKQApACAAKgAgAEUARgBfAFIATQBGADMAZQBsAGUAYwAgACoAIAAxADAAIABeACAALQAzAFwAbgAgACAAKQA7AFwAbgBcAG4AVgBFAEUAUgBHAF8AMQA1AF8AMQAyAF8AMQBfADIAXwBfADEAXwBVAHAAcwB0AHIAZQBhAG0AUAB1AHIAYwBoAGEAcwBlAGQARQBsAGUAYwB0AHIAaQBjAGkAdAB5AE0AYQByAGsAZQB0AEIAYQBzAGUAZABfAFQAaQB0AGwAZQBcAG4AIAAgAD0ATABBAE0AQgBEAEEAKABcACIAUwBjAG8AcABlACAAMwAgAGUAbQBpAHMAcwBpAG8AbgBzACAAZgByAG8AbQAgAHAAdQByAGMAaABhAHMAZQBkACAAZQBsAGUAYwB0AHIAaQBjAGkAdAB5ACAAbQBhAHIAawBlAHQAIABiAGEAcwBlAGQAXAAiACkAOwBcAG4AXABuAFYARQBFAFIARwBfADEANQBfADEAMgBfADEAXwAyAF8AXwAxAF8AVQBwAHMAdAByAGUAYQBtAFAAdQByAGMAaABhAHMAZQBkAEUAbABlAGMAdAByAGkAYwBpAHQAeQBNAGEAcgBrAGUAdABCAGEAcwBlAGQAXwBWAGEAcgBpAGEAYgBsAGUAXABuACAAIAA9AEwAQQBNAEIARABBACgAXAAiAEUAXwAzAGUAbABlAGMAXAAiACkAOwBcAG4AXABuAFYARQBFAFIARwBfADEANQBfADEAMgBfADEAXwAyAF8AXwAxAF8AVQBwAHMAdAByAGUAYQBtAFAAdQByAGMAaABhAHMAZQBkAEUAbABlAGMAdAByAGkAYwBpAHQAeQBNAGEAcgBrAGUAdABCAGEAcwBlAGQAXwBVAG4AaQB0AFwAbgAgACAAPQBMAEEATQBCAEQAQQAoAFwAIgB0ACAAQwBPADIAZQBcACIAKQA7AFwAbgBcAG4AVgBFAEUAUgBHAF8AMQA1AF8AMQAyAF8AMQBfADIAXwBfADEAXwBVAHAAcwB0AHIAZQBhAG0AUAB1AHIAYwBoAGEAcwBlAGQARQBsAGUAYwB0AHIAaQBjAGkAdAB5AE0AYQByAGsAZQB0AEIAYQBzAGUAZABfAFMAbwB1AHIAYwBlAFwAbgAgACAAPQBMAEEATQBCAEQAQQAoAFwAIgBWAEUARQBSAEcAIAAyADAAMgA2ADoAIAAxADUALgAxADIALgAxAC4AMgAsACAARQBxAHUAYQB0AGkAbwBuACAAKAAxACkAXAAiACkAOwBcAG4AXABuAFYARQBFAFIARwBfADEANQBfADEAMgBfADEAXwAyAF8AXwAxAF8AVQBwAHMAdAByAGUAYQBtAFAAdQByAGMAaABhAHMAZQBkAEUAbABlAGMAdAByAGkAYwBpAHQAeQBNAGEAcgBrAGUAdABCAGEAcwBlAGQAXwBOAEkAUgBSAGUAZgBlAHIAZQBuAGMAZQBcAG4AIAAgAD0ATABBAE0AQgBEAEEAKABcACIAXAAiACkAOwBcAG4AXABuAFYARQBFAFIARwBfADEANQBfADEAMgBfADEAXwAyAF8AXwAxAF8AVQBwAHMAdAByAGUAYQBtAFAAdQByAGMAaABhAHMAZQBkAEUAbABlAGMAdAByAGkAYwBpAHQAeQBNAGEAcgBrAGUAdABCAGEAcwBlAGQAXwBMAGEAdABlAHgARQBxAHUAYQB0AGkAbwBuAFwAbgAgACAAPQBMAEEATQBCAEQAQQAoAFwAIgBFAF8AewAzACwAZQBsAGUAYwB9AD0AXABcAGwAZQBmAHQAWwBRAF8AewBlAGwAZQBjAH0AXABcAHQAaQBtAGUAcwBcAFwAbABlAGYAdAAoADEALQAoAFIAUABQACsASgBSAFAAUAApAFwAXAByAGkAZwBoAHQAKQAtAFwAXABsAGUAZgB0ACgAUgBFAEMAXwB7AHMAdQByAHIAZQBuAGQAZQByAGUAZAB9AC0AUgBFAEMAXwB7AG8AbgBzAGkAdABlAH0AXABcAHIAaQBnAGgAdAApAFwAXAB0AGkAbQBlAHMAIAAxADAAXgB7AC0AMwB9AFwAXAByAGkAZwBoAHQAXQBcAFwAdABpAG0AZQBzACAARQBGAF8AewBSAE0ARgAzACwAZQBsAGUAYwB9AFwAXAB0AGkAbQBlAHMAIAAxADAAXgB7AC0AMwB9AFwAIgApADsAXABuAFwAbgBWAEUARQBSAEcAXwAxADUAXwAxADIAXwAxAF8AMgBfAF8AMQBfAFUAcABzAHQAcgBlAGEAbQBQAHUAcgBjAGgAYQBzAGUAZABFAGwAZQBjAHQAcgBpAGMAaQB0AHkATQBhAHIAawBlAHQAQgBhAHMAZQBkAF8AQQByAGcAdQBtAGUAbgB0AHMAXABuACAAIAA9AEwAQQBNAEIARABBACgAXABuACAAIAAgACAATQBBAEsARQBBAFIAUgBBAFkAKAA2ACwAIAA0ACwAXABuACAAIAAgACAAIAAgAEwAQQBNAEIARABBACgAcgAsAGMALABcAG4AIAAgACAAIAAgACAAIAAgAEkATgBEAEUAWAAoAHsAXABuACAAIAAgACAAIAAgACAAIAAgACAAXAAiAFEAXwBlAGwAZQBjAFwAIgAsACAAXAAiAGEAbQBvAHUAbgB0ACAAbwBmACAAZQBsAGUAYwB0AHIAaQBjAGkAdAB5ACAAcAB1AHIAYwBoAGEAcwBlAGQAIABmAHIAbwBtACAAdABoAGUAIABnAHIAaQBkAFwAIgAsACAAXAAiAGsAVwBoAFwAIgAsACAAXAAiAEkAbgBwAHUAdABcACIAOwBcAG4AIAAgACAAIAAgACAAIAAgACAAIABcACIAUgBQAFAAXAAiACwAIABcACIAcgBlAG4AZQB3AGEAYgBsAGUAIABwAG8AdwBlAHIAIABwAGUAcgBjAGUAbgB0AGEAZwBlACAAdQBuAGQAZQByACAATABSAEUAVAAgAGYAbwByACAAdABoAGUAIABhAHAAcABsAGkAYwBhAGIAbABlACAAcABlAHIAaQBvAGQAXAAiACwAIABcACIAZgByAGEAYwB0AGkAbwBuAFwAIgAsACAAXAAiAEkAbgBwAHUAdABcACIAOwBcAG4AIAAgACAAIAAgACAAIAAgACAAIABcACIASgBSAFAAUABcACIALAAgAFwAIgBqAHUAcgBpAHMAZABpAGMAdABpAG8AbgBhAGwAIAByAGUAbgBlAHcAYQBiAGwAZQAgAHAAbwB3AGUAcgAgAHAAZQByAGMAZQBuAHQAYQBnAGUAIABmAG8AcgAgAHQAaABlACAAYQBwAHAAbABpAGMAYQBiAGwAZQAgAHAAZQByAGkAbwBkAFwAIgAsACAAXAAiAGYAcgBhAGMAdABpAG8AbgBcACIALAAgAFwAIgBJAG4AcAB1AHQAXAAiADsAXABuACAAIAAgACAAIAAgACAAIAAgACAAXAAiAFIARQBDAF8AcwB1AHIAcgBlAG4AZABlAHIAZQBkAFwAIgAsACAAXAAiAGUAbABpAGcAaQBiAGwAZQAgAHIAZQBuAGUAdwBhAGIAbABlACAAZQBuAGUAcgBnAHkAIABjAGUAcgB0AGkAZgBpAGMAYQB0AGUAcwAgAHYAbwBsAHUAbgB0AGEAcgBpAGwAeQAgAHMAdQByAHIAZQBuAGQAZQByAGUAZABcACIALAAgAFwAIgBNAFcAaABcACIALAAgAFwAIgBJAG4AcAB1AHQAXAAiADsAXABuACAAIAAgACAAIAAgACAAIAAgACAAXAAiAFIARQBDAF8AbwBuAHMAaQB0AGUAXAAiACwAIABcACIAZQBsAGkAZwBpAGIAbABlACAAcgBlAG4AZQB3AGEAYgBsAGUAIABlAG4AZQByAGcAeQAgAGMAZQByAHQAaQBmAGkAYwBhAHQAZQBzACAAaQBzAHMAdQBlAGQAIABmAG8AcgAgAG8AbgBzAGkAdABlACAAZwBlAG4AZQByAGEAdABlAGQAIABlAGwAZQBjAHQAcgBpAGMAaQB0AHkAXAAiACwAIABcACIATQBXAGgAXAAiACwAIABcACIASQBuAHAAdQB0AFwAIgA7AFwAbgAgACAAIAAgACAAIAAgACAAIAAgAFwAIgBFAEYAXwBSAE0ARgAzAGUAbABlAGMAXAAiACwAIABcACIAcwBjAG8AcABlACAAMwAgAHIAZQBzAGkAZAB1AGEAbAAgAG0AaQB4ACAAZQBtAGkAcwBzAGkAbwBuACAAZgBhAGMAdABvAHIAIABmAG8AcgAgAGUAbABlAGMAdAByAGkAYwBpAHQAeQBcACIALAAgAFwAIgBrAGcAIABDAE8AMgBlAC8AawBXAGgAXAAiACwAIABcACIAQwBvAG4AcwB0AGEAbgB0AFwAIgBcAG4AIAAgACAAIAAgACAAIAAgAH0ALAAgAHIALAAgAGMAKQBcAG4AIAAgACAAIAAgACAAKQBcAG4AIAAgACAAIAApAFwAbgAgACAAKQA7AFwAbgBcAG4ALwAqAFwAbgAtAC0ALQAtAC0ALQAtAC0ALQAtAC0ALQAtAC0ALQAtAC0ALQAtAC0ALQAtAC0ALQAtAC0ALQAtAC0ALQAtAC0ALQAtAC0ALQAtAC0AXABuAFYARQBFAFIARwBfADEANQBfADEAMwBfADEAXwAxAF8AXwAxAF8ARQBtAGkAcwBzAGkAbwBuAHMARgByAG8AbQBNAGEAbgB1AHIAZQBTAGUAbgB0AE8AZgBmAFMAaQB0AGUAXABuAEUAbQBpAHMAcwBpAG8AbgBzACAAZgByAG8AbQAgAG0AYQBuAHUAcgBlACAAcwBlAG4AdAAgAG8AZgBmACAAcwBpAHQAZQAgAGEAcABwAGwAaQBlAGQAIAB0AG8AIABzAG8AaQBsAHMAIABpAG4AIABhAG4AbwB0AGgAZQByACAAZgBhAHIAbQBpAG4AZwAgAHMAeQBzAHQAZQBtACAAbwByACAAZQBuAHQAZQByAHAAcgBpAHMAZQBcAG4ARQBcAG4AdAAgAE4AMgBPAFwAbgBFAD0ARQBfAHsATgAyAE8AfQArAEUAXwB7AGEAZAB9ACsARQBfAHsAbABlAGEAYwBoAH0AXABuAEUAXwBOADIATwAgAD0AIABkAGkAcgBlAGMAdAAgAG4AaQB0AHIAbwB1AHMAIABvAHgAaQBkAGUAIABlAG0AaQBzAHMAaQBvAG4AcwAgAGYAcgBvAG0AIABhAHAAcABsAGkAYwBhAHQAaQBvAG4AIABvAGYAIABtAGEAbgB1AHIAZQAgAHQAbwAgAHMAbwBpAGwAcwAgAG8AdQB0AHMAaQBkAGUAIABvAGYAIABzAGMAbwBwAGUAIAAxACAAYgBvAHUAbgBkAGEAcgB5AFwAbgBFAF8AYQBkACAAPQAgAG4AaQB0AHIAbwB1AHMAIABvAHgAaQBkAGUAIABlAG0AaQBzAHMAaQBvAG4AcwAgAGYAcgBvAG0AIABhAHQAbQBvAHMAcABoAGUAcgBpAGMAIABkAGUAcABvAHMAaQB0AGkAbwBuACAAbwBmACAAbQBhAG4AdQByAGUAIAB0AG8AIABzAG8AaQBsAHMAXABuAEUAXwBsAGUAYQBjAGgAIAA9ACAAbgBpAHQAcgBvAHUAcwAgAG8AeABpAGQAZQAgAGUAbQBpAHMAcwBpAG8AbgBzACAAZgByAG8AbQAgAG4AaQB0AHIAbwBnAGUAbgAgAGwAZQBhAGMAaABpAG4AZwAgAGEAbgBkACAAcgB1AG4AbwBmAGYAIABvAGYAIABtAGEAbgB1AHIAZQAgAHQAbwAgAHMAbwBpAGwAcwBcAG4ALQAtAC0ALQAtAC0ALQAtAC0ALQAtAC0ALQAtAC0ALQAtAC0ALQAtAC0ALQAtAC0ALQAtAC0ALQAtAC0ALQAtAC0ALQAtAC0ALQAtAFwAbgAqAC8AXABuAFwAbgBWAEUARQBSAEcAXwAxADUAXwAxADMAXwAxAF8AMQBfAF8AMQBfAEUAbQBpAHMAcwBpAG8AbgBzAEYAcgBvAG0ATQBhAG4AdQByAGUAUwBlAG4AdABPAGYAZgBTAGkAdABlAFwAbgAgACAAPQBMAEEATQBCAEQAQQAoAFwAbgAgACAAIAAgAEUAXwBOADIATwAsACAARQBfAGEAZAAsACAARQBfAGwAZQBhAGMAaAAsAFwAbgAgACAAIAAgAEUAXwBOADIATwAgACsAIABFAF8AYQBkACAAKwAgAEUAXwBsAGUAYQBjAGgAXABuACAAIAApADsAXABuAFwAbgBWAEUARQBSAEcAXwAxADUAXwAxADMAXwAxAF8AMQBfAF8AMQBfAEUAbQBpAHMAcwBpAG8AbgBzAEYAcgBvAG0ATQBhAG4AdQByAGUAUwBlAG4AdABPAGYAZgBTAGkAdABlAF8AVABpAHQAbABlAFwAbgAgACAAPQBMAEEATQBCAEQAQQAoAFwAIgBFAG0AaQBzAHMAaQBvAG4AcwAgAGYAcgBvAG0AIABtAGEAbgB1AHIAZQAgAHMAZQBuAHQAIABvAGYAZgAgAHMAaQB0AGUAIABhAHAAcABsAGkAZQBkACAAdABvACAAcwBvAGkAbABzACAAaQBuACAAYQBuAG8AdABoAGUAcgAgAGYAYQByAG0AaQBuAGcAIABzAHkAcwB0AGUAbQAgAG8AcgAgAGUAbgB0AGUAcgBwAHIAaQBzAGUAXAAiACkAOwBcAG4AXABuAFYARQBFAFIARwBfADEANQBfADEAMwBfADEAXwAxAF8AXwAxAF8ARQBtAGkAcwBzAGkAbwBuAHMARgByAG8AbQBNAGEAbgB1AHIAZQBTAGUAbgB0AE8AZgBmAFMAaQB0AGUAXwBWAGEAcgBpAGEAYgBsAGUAXABuACAAIAA9AEwAQQBNAEIARABBACgAXAAiAEUAXAAiACkAOwBcAG4AXABuAFYARQBFAFIARwBfADEANQBfADEAMwBfADEAXwAxAF8AXwAxAF8ARQBtAGkAcwBzAGkAbwBuAHMARgByAG8AbQBNAGEAbgB1AHIAZQBTAGUAbgB0AE8AZgBmAFMAaQB0AGUAXwBVAG4AaQB0AFwAbgAgACAAPQBMAEEATQBCAEQAQQAoAFwAIgB0ACAATgAyAE8AXAAiACkAOwBcAG4AXABuAFYARQBFAFIARwBfADEANQBfADEAMwBfADEAXwAxAF8AXwAxAF8ARQBtAGkAcwBzAGkAbwBuAHMARgByAG8AbQBNAGEAbgB1AHIAZQBTAGUAbgB0AE8AZgBmAFMAaQB0AGUAXwBTAG8AdQByAGMAZQBcAG4AIAAgAD0ATABBAE0AQgBEAEEAKABcACIAVgBFAEUAUgBHACAAMgAwADIANgA6ACAAMQA1AC4AMQAzAC4AMQAuADEALAAgAEUAcQB1AGEAdABpAG8AbgAgACgAMQApAFwAIgApADsAXABuAFwAbgBWAEUARQBSAEcAXwAxADUAXwAxADMAXwAxAF8AMQBfAF8AMQBfAEUAbQBpAHMAcwBpAG8AbgBzAEYAcgBvAG0ATQBhAG4AdQByAGUAUwBlAG4AdABPAGYAZgBTAGkAdABlAF8ATgBJAFIAUgBlAGYAZQByAGUAbgBjAGUAXABuACAAIAA9AEwAQQBNAEIARABBACgAXAAiAFwAIgApADsAXABuAFwAbgBWAEUARQBSAEcAXwAxADUAXwAxADMAXwAxAF8AMQBfAF8AMQBfAEUAbQBpAHMAcwBpAG8AbgBzAEYAcgBvAG0ATQBhAG4AdQByAGUAUwBlAG4AdABPAGYAZgBTAGkAdABlAF8ATABhAHQAZQB4AEUAcQB1AGEAdABpAG8AbgBcAG4AIAAgAD0ATABBAE0AQgBEAEEAKABcACIARQA9AEUAXwB7AE4AMgBPAH0AKwBFAF8AewBhAGQAfQArAEUAXwB7AGwAZQBhAGMAaAB9AFwAIgApADsAXABuAFwAbgBWAEUARQBSAEcAXwAxADUAXwAxADMAXwAxAF8AMQBfAF8AMQBfAEUAbQBpAHMAcwBpAG8AbgBzAEYAcgBvAG0ATQBhAG4AdQByAGUAUwBlAG4AdABPAGYAZgBTAGkAdABlAF8AQQByAGcAdQBtAGUAbgB0AHMAXABuACAAIAA9AEwAQQBNAEIARABBACgAXABuACAAIAAgACAATQBBAEsARQBBAFIAUgBBAFkAKAAzACwAIAA0ACwAXABuACAAIAAgACAAIAAgAEwAQQBNAEIARABBACgAcgAsAGMALABcAG4AIAAgACAAIAAgACAAIAAgAEkATgBEAEUAWAAoAHsAXABuACAAIAAgACAAIAAgACAAIAAgACAAXAAiAEUAXwBOADIATwBcACIALAAgAFwAIgBkAGkAcgBlAGMAdAAgAG4AaQB0AHIAbwB1AHMAIABvAHgAaQBkAGUAIABlAG0AaQBzAHMAaQBvAG4AcwAgAGYAcgBvAG0AIABhAHAAcABsAGkAYwBhAHQAaQBvAG4AIABvAGYAIABtAGEAbgB1AHIAZQAgAHQAbwAgAHMAbwBpAGwAcwAgAG8AdQB0AHMAaQBkAGUAIABvAGYAIABzAGMAbwBwAGUAIAAxACAAYgBvAHUAbgBkAGEAcgB5AFwAIgAsACAAXAAiAHQAIABOADIATwBcACIALAAgAFwAIgBDAGEAbABjAHUAbABhAHQAZQBkAFwAIgA7AFwAbgAgACAAIAAgACAAIAAgACAAIAAgAFwAIgBFAF8AYQBkAFwAIgAsACAAXAAiAG4AaQB0AHIAbwB1AHMAIABvAHgAaQBkAGUAIABlAG0AaQBzAHMAaQBvAG4AcwAgAGYAcgBvAG0AIABhAHQAbQBvAHMAcABoAGUAcgBpAGMAIABkAGUAcABvAHMAaQB0AGkAbwBuACAAbwBmACAAbQBhAG4AdQByAGUAIAB0AG8AIABzAG8AaQBsAHMAXAAiACwAIABcACIAdAAgAE4AMgBPAFwAIgAsACAAXAAiAEMAYQBsAGMAdQBsAGEAdABlAGQAXAAiADsAXABuACAAIAAgACAAIAAgACAAIAAgACAAXAAiAEUAXwBsAGUAYQBjAGgAXAAiACwAIABcACIAbgBpAHQAcgBvAHUAcwAgAG8AeABpAGQAZQAgAGUAbQBpAHMAcwBpAG8AbgBzACAAZgByAG8AbQAgAG4AaQB0AHIAbwBnAGUAbgAgAGwAZQBhAGMAaABpAG4AZwAgAGEAbgBkACAAcgB1AG4AbwBmAGYAIABvAGYAIABtAGEAbgB1AHIAZQAgAHQAbwAgAHMAbwBpAGwAcwBcACIALAAgAFwAIgB0ACAATgAyAE8AXAAiACwAIABcACIAQwBhAGwAYwB1AGwAYQB0AGUAZABcACIAXABuACAAIAAgACAAIAAgACAAIAB9ACwAIAByACwAIABjACkAXABuACAAIAAgACAAIAAgACkAXABuACAAIAAgACAAKQBcAG4AIAAgACkAOwBcAG4AXABuAC8AKgBcAG4ALQAtAC0ALQAtAC0ALQAtAC0ALQAtAC0ALQAtAC0ALQAtAC0ALQAtAC0ALQAtAC0ALQAtAC0ALQAtAC0ALQAtAC0ALQAtAC0ALQAtAFwAbgBWAEUARQBSAEcAXwAxADUAXwAxADQAXwAxAF8AMQBfAF8AMQBfAEUAbQBiAGUAZABkAGUAZABFAG0AaQBzAHMAaQBvAG4AcwBGAHIAbwBtAFUAcABzAHQAcgBlAGEAbQBGAHIAZQBpAGcAaAB0AFwAbgBFAG0AYgBlAGQAZABlAGQAIABlAG0AaQBzAHMAaQBvAG4AcwAgAGYAcgBvAG0AIAB1AHAAcwB0AHIAZQBhAG0AIABmAHIAZQBpAGcAaAB0AFwAbgBFAFwAbgB0ACAAQwBPADIAZQBcAG4ARQA9AFwAXABzAHUAbQBcAFwAbgBvAGwAaQBtAGkAdABzAF8AZgBcAFwAbABlAGYAdAAoACgAVwBfAGYAXABcAHQAaQBtAGUAcwAgAEQAXwBmACkAXABcAHQAaQBtAGUAcwAgAEUARgBfAGYAXABcAHIAaQBnAGgAdAApAFwAbgBXAF8AZgAgAD0AIAB0AG8AdABhAGwAIABtAGEAcwBzACAAbwBmACAAZwBvAG8AZABzACAAdAByAGEAbgBzAHAAbwByAHQAZQBkACAAcABlAHIAIABmAHIAZQBpAGcAaAB0ACAAdAB5AHAAZQAgAGYAXABuAEQAXwBmACAAPQAgAHQAbwB0AGEAbAAgAGQAaQBzAHQAYQBuAGMAZQAgAHQAcgBhAG4AcwBwAG8AcgB0AGUAZAAgAHAAZQByACAAZgByAGUAaQBnAGgAdAAgAHQAeQBwAGUAIABmAFwAbgBFAEYAXwBmACAAPQAgAGUAbQBpAHMAcwBpAG8AbgAgAGYAYQBjAHQAbwByACAAZgBvAHIAIABmAHIAZQBpAGcAaAB0ACAAdAB5AHAAZQAgAGYAXABuAC0ALQAtAC0ALQAtAC0ALQAtAC0ALQAtAC0ALQAtAC0ALQAtAC0ALQAtAC0ALQAtAC0ALQAtAC0ALQAtAC0ALQAtAC0ALQAtAC0ALQBcAG4AKgAvAFwAbgBcAG4AVgBFAEUAUgBHAF8AMQA1AF8AMQA0AF8AMQBfADEAXwBfADEAXwBFAG0AYgBlAGQAZABlAGQARQBtAGkAcwBzAGkAbwBuAHMARgByAG8AbQBVAHAAcwB0AHIAZQBhAG0ARgByAGUAaQBnAGgAdABcAG4AIAAgAD0ATABBAE0AQgBEAEEAKABcAG4AIAAgACAAIABXAF8AZgAsACAARABfAGYALAAgAEUARgBfAGYALABcAG4AIAAgACAAIAAoAFcAXwBmACAAKgAgAEQAXwBmACkAIAAqACAARQBGAF8AZgBcAG4AIAAgACkAOwBcAG4AXABuAFYARQBFAFIARwBfADEANQBfADEANABfADEAXwAxAF8AXwAxAF8ARQBtAGIAZQBkAGQAZQBkAEUAbQBpAHMAcwBpAG8AbgBzAEYAcgBvAG0AVQBwAHMAdAByAGUAYQBtAEYAcgBlAGkAZwBoAHQAXwBUAGkAdABsAGUAXABuACAAIAA9AEwAQQBNAEIARABBACgAXAAiAEUAbQBiAGUAZABkAGUAZAAgAGUAbQBpAHMAcwBpAG8AbgBzACAAZgByAG8AbQAgAHUAcABzAHQAcgBlAGEAbQAgAGYAcgBlAGkAZwBoAHQAXAAiACkAOwBcAG4AXABuAFYARQBFAFIARwBfADEANQBfADEANABfADEAXwAxAF8AXwAxAF8ARQBtAGIAZQBkAGQAZQBkAEUAbQBpAHMAcwBpAG8AbgBzAEYAcgBvAG0AVQBwAHMAdAByAGUAYQBtAEYAcgBlAGkAZwBoAHQAXwBWAGEAcgBpAGEAYgBsAGUAXABuACAAIAA9AEwAQQBNAEIARABBACgAXAAiAEUAXAAiACkAOwBcAG4AXABuAFYARQBFAFIARwBfADEANQBfADEANABfADEAXwAxAF8AXwAxAF8ARQBtAGIAZQBkAGQAZQBkAEUAbQBpAHMAcwBpAG8AbgBzAEYAcgBvAG0AVQBwAHMAdAByAGUAYQBtAEYAcgBlAGkAZwBoAHQAXwBVAG4AaQB0AFwAbgAgACAAPQBMAEEATQBCAEQAQQAoAFwAIgB0ACAAQwBPADIAZQBcACIAKQA7AFwAbgBcAG4AVgBFAEUAUgBHAF8AMQA1AF8AMQA0AF8AMQBfADEAXwBfADEAXwBFAG0AYgBlAGQAZABlAGQARQBtAGkAcwBzAGkAbwBuAHMARgByAG8AbQBVAHAAcwB0AHIAZQBhAG0ARgByAGUAaQBnAGgAdABfAFMAbwB1AHIAYwBlAFwAbgAgACAAPQBMAEEATQBCAEQAQQAoAFwAIgBWAEUARQBSAEcAIAAyADAAMgA2ADoAIAAxADUALgAxADQALgAxAC4AMQAsACAARQBxAHUAYQB0AGkAbwBuACAAKAAxACkAXAAiACkAOwBcAG4AXABuAFYARQBFAFIARwBfADEANQBfADEANABfADEAXwAxAF8AXwAxAF8ARQBtAGIAZQBkAGQAZQBkAEUAbQBpAHMAcwBpAG8AbgBzAEYAcgBvAG0AVQBwAHMAdAByAGUAYQBtAEYAcgBlAGkAZwBoAHQAXwBOAEkAUgBSAGUAZgBlAHIAZQBuAGMAZQBcAG4AIAAgAD0ATABBAE0AQgBEAEEAKABcACIAXAAiACkAOwBcAG4AXABuAFYARQBFAFIARwBfADEANQBfADEANABfADEAXwAxAF8AXwAxAF8ARQBtAGIAZQBkAGQAZQBkAEUAbQBpAHMAcwBpAG8AbgBzAEYAcgBvAG0AVQBwAHMAdAByAGUAYQBtAEYAcgBlAGkAZwBoAHQAXwBMAGEAdABlAHgARQBxAHUAYQB0AGkAbwBuAFwAbgAgACAAPQBMAEEATQBCAEQAQQAoAFwAIgBFAD0AXABcAHMAdQBtAFwAXABuAG8AbABpAG0AaQB0AHMAXwBmAFwAXABsAGUAZgB0ACgAKABXAF8AZgBcAFwAdABpAG0AZQBzACAARABfAGYAKQBcAFwAdABpAG0AZQBzACAARQBGAF8AZgBcAFwAcgBpAGcAaAB0ACkAXAAiACkAOwBcAG4AXABuAFYARQBFAFIARwBfADEANQBfADEANABfADEAXwAxAF8AXwAxAF8ARQBtAGIAZQBkAGQAZQBkAEUAbQBpAHMAcwBpAG8AbgBzAEYAcgBvAG0AVQBwAHMAdAByAGUAYQBtAEYAcgBlAGkAZwBoAHQAXwBBAHIAZwB1AG0AZQBuAHQAcwBcAG4AIAAgAD0ATABBAE0AQgBEAEEAKABcAG4AIAAgACAAIABNAEEASwBFAEEAUgBSAEEAWQAoADQALAAgADQALABcAG4AIAAgACAAIAAgACAATABBAE0AQgBEAEEAKAByACwAYwAsAFwAbgAgACAAIAAgACAAIAAgACAASQBOAEQARQBYACgAewBcAG4AIAAgACAAIAAgACAAIAAgACAAIABcACIAVwBfAGYAXAAiACwAIABcACIAdABvAHQAYQBsACAAbQBhAHMAcwAgAG8AZgAgAGcAbwBvAGQAcwAgAHQAcgBhAG4AcwBwAG8AcgB0AGUAZAAgAHAAZQByACAAZgByAGUAaQBnAGgAdAAgAHQAeQBwAGUAIABmAFwAIgAsACAAXAAiAHQAXAAiACwAIABcACIASQBuAHAAdQB0AFwAIgA7AFwAbgAgACAAIAAgACAAIAAgACAAIAAgAFwAIgBEAF8AZgBcACIALAAgAFwAIgB0AG8AdABhAGwAIABkAGkAcwB0AGEAbgBjAGUAIAB0AHIAYQBuAHMAcABvAHIAdABlAGQAIABwAGUAcgAgAGYAcgBlAGkAZwBoAHQAIAB0AHkAcABlACAAZgBcACIALAAgAFwAIgBrAG0AXAAiACwAIABcACIASQBuAHAAdQB0AFwAIgA7AFwAbgAgACAAIAAgACAAIAAgACAAIAAgAFwAIgBFAEYAXwBmAFwAIgAsACAAXAAiAGUAbQBpAHMAcwBpAG8AbgAgAGYAYQBjAHQAbwByACAAZgBvAHIAIABmAHIAZQBpAGcAaAB0ACAAdAB5AHAAZQAgAGYAXAAiACwAIABcACIAdAAgAEMATwAyAGUALwAoAHQAIABrAG0AKQBcACIALAAgAFwAIgBDAG8AbgBzAHQAYQBuAHQAXAAiADsAXABuACAAIAAgACAAIAAgACAAIAAgACAAXAAiAGYAXAAiACwAIABcACIAZgByAGUAaQBnAGgAdAAgAHQAeQBwAGUAXAAiACwAIABcACIAXAAiACwAIABcACIASQBuAHAAdQB0AFwAIgBcAG4AIAAgACAAIAAgACAAIAAgAH0ALAAgAHIALAAgAGMAKQBcAG4AIAAgACAAIAAgACAAKQBcAG4AIAAgACAAIAApAFwAbgAgACAAKQA7AFwAbgAiAH0AXQAsACIAcAByAG8AagBlAGMAdABOAGEAbQBlAHMAIgA6AFsAIgBWAGEAbABpAGQATABpAHYAZQBzAHQAbwBjAGsAQwBsAGEAcwBzACIALAAiAEYAdQBlAGwAXwBTAG8AdQByAGMAZQBEAGEAdABhAC4ARgB1AGUAbABfAFMAYwBvAHAAZQAxAEUAbQBpAHMAcwBpAG8AbgBGAGEAYwB0AG8AcgBzAFMAdABhAHQAaQBvAG4AYQByAHkARwBhAHMAZQBvAHUAcwBfAFQAaQB0AGwAZQAiACwAIgBGAHUAZQBsAF8AUwBvAHUAcgBjAGUARABhAHQAYQAuAEYAdQBlAGwAXwBTAGMAbwBwAGUAMQBFAG0AaQBzAHMAaQBvAG4ARgBhAGMAdABvAHIAcwBTAHQAYQB0AGkAbwBuAGEAcgB5AEcAYQBzAGUAbwB1AHMAXwBEAGUAcwBjAHIAaQBwAHQAaQBvAG4AIgAsACIARgB1AGUAbABfAFMAbwB1AHIAYwBlAEQAYQB0AGEALgBGAHUAZQBsAF8AUwBjAG8AcABlADEARQBtAGkAcwBzAGkAbwBuAEYAYQBjAHQAbwByAHMAUwB0AGEAdABpAG8AbgBhAHIAeQBHAGEAcwBlAG8AdQBzAF8AUwBvAHUAcgBjAGUAIgAsACIARgB1AGUAbABfAFMAbwB1AHIAYwBlAEQAYQB0AGEALgBGAHUAZQBsAF8AUwBjAG8AcABlADEARQBtAGkAcwBzAGkAbwBuAEYAYQBjAHQAbwByAHMAUwB0AGEAdABpAG8AbgBhAHIAeQBHAGEAcwBlAG8AdQBzAF8ARABhAHQAYQAiACwAIgBGAHUAZQBsAF8AUwBvAHUAcgBjAGUARABhAHQAYQAuAEYAdQBlAGwAXwBTAGMAbwBwAGUAMQBFAG0AaQBzAHMAaQBvAG4ARgBhAGMAdABvAHIAcwBTAHQAYQB0AGkAbwBuAGEAcgB5AEcAYQBzAGUAbwB1AHMAXwBWAGEAcgBpAGEAdABpAG8AbgAiACwAIgBGAHUAZQBsAF8AUwBvAHUAcgBjAGUARABhAHQAYQAuAEYAdQBlAGwAXwBTAGMAbwBwAGUAMwBFAG0AaQBzAHMAaQBvAG4ARgBhAGMAdABvAHIAcwBTAHQAYQB0AGkAbwBuAGEAcgB5AEcAYQBzAGUAbwB1AHMAXwBUAGkAdABsAGUAIgAsACIARgB1AGUAbABfAFMAbwB1AHIAYwBlAEQAYQB0AGEALgBGAHUAZQBsAF8AUwBjAG8AcABlADMARQBtAGkAcwBzAGkAbwBuAEYAYQBjAHQAbwByAHMAUwB0AGEAdABpAG8AbgBhAHIAeQBHAGEAcwBlAG8AdQBzAF8ARABlAHMAYwByAGkAcAB0AGkAbwBuACIALAAiAEYAdQBlAGwAXwBTAG8AdQByAGMAZQBEAGEAdABhAC4ARgB1AGUAbABfAFMAYwBvAHAAZQAzAEUAbQBpAHMAcwBpAG8AbgBGAGEAYwB0AG8AcgBzAFMAdABhAHQAaQBvAG4AYQByAHkARwBhAHMAZQBvAHUAcwBfAFMAbwB1AHIAYwBlACIALAAiAEYAdQBlAGwAXwBTAG8AdQByAGMAZQBEAGEAdABhAC4ARgB1AGUAbABfAFMAYwBvAHAAZQAzAEUAbQBpAHMAcwBpAG8AbgBGAGEAYwB0AG8AcgBzAFMAdABhAHQAaQBvAG4AYQByAHkARwBhAHMAZQBvAHUAcwBfAEQAYQB0AGEAIgAsACIARgB1AGUAbABfAFMAbwB1AHIAYwBlAEQAYQB0AGEALgBGAHUAZQBsAF8AUwBjAG8AcABlADMARQBtAGkAcwBzAGkAbwBuAEYAYQBjAHQAbwByAHMAUwB0AGEAdABpAG8AbgBhAHIAeQBHAGEAcwBlAG8AdQBzAF8AVgBhAHIAaQBhAHQAaQBvAG4AIgAsACIARgB1AGUAbABfAFMAbwB1AHIAYwBlAEQAYQB0AGEALgBGAHUAZQBsAF8AUwBjAG8AcABlADMARQBtAGkAcwBzAGkAbwBuAEYAYQBjAHQAbwByAHMAUwB0AGEAdABpAG8AbgBhAHIAeQBHAGEAcwBlAG8AdQBzAF8AQQBwAHAAZQBuAGQAaQBjAGUAcwAiACwAIgBGAHUAZQBsAF8AUwBvAHUAcgBjAGUARABhAHQAYQAuAEYAdQBlAGwAXwBTAGMAbwBwAGUAMQBTAGMAbwBwAGUAMwBFAG0AaQBzAHMAaQBvAG4ARgBhAGMAdABvAHIAcwBTAHQAYQB0AGkAbwBuAGEAcgB5AEwAaQBxAHUAaQBkAF8AVABpAHQAbABlACIALAAiAEYAdQBlAGwAXwBTAG8AdQByAGMAZQBEAGEAdABhAC4ARgB1AGUAbABfAFMAYwBvAHAAZQAxAFMAYwBvAHAAZQAzAEUAbQBpAHMAcwBpAG8AbgBGAGEAYwB0AG8AcgBzAFMAdABhAHQAaQBvAG4AYQByAHkATABpAHEAdQBpAGQAXwBEAGUAcwBjAHIAaQBwAHQAaQBvAG4AIgAsACIARgB1AGUAbABfAFMAbwB1AHIAYwBlAEQAYQB0AGEALgBGAHUAZQBsAF8AUwBjAG8AcABlADEAUwBjAG8AcABlADMARQBtAGkAcwBzAGkAbwBuAEYAYQBjAHQAbwByAHMAUwB0AGEAdABpAG8AbgBhAHIAeQBMAGkAcQB1AGkAZABfAFMAbwB1AHIAYwBlACIALAAiAEYAdQBlAGwAXwBTAG8AdQByAGMAZQBEAGEAdABhAC4ARgB1AGUAbABfAFMAYwBvAHAAZQAxAFMAYwBvAHAAZQAzAEUAbQBpAHMAcwBpAG8AbgBGAGEAYwB0AG8AcgBzAFMAdABhAHQAaQBvAG4AYQByAHkATABpAHEAdQBpAGQAXwBEAGEAdABhACIALAAiAEYAdQBlAGwAXwBTAG8AdQByAGMAZQBEAGEAdABhAC4ARgB1AGUAbABfAFMAYwBvAHAAZQAxAFMAYwBvAHAAZQAzAEUAbQBpAHMAcwBpAG8AbgBGAGEAYwB0AG8AcgBzAFMAdABhAHQAaQBvAG4AYQByAHkATABpAHEAdQBpAGQAXwBWAGEAcgBpAGEAdABpAG8AbgAiACwAIgBGAHUAZQBsAF8AUwBvAHUAcgBjAGUARABhAHQAYQAuAEYAdQBlAGwAXwBTAGMAbwBwAGUAMQBTAGMAbwBwAGUAMwBFAG0AaQBzAHMAaQBvAG4ARgBhAGMAdABvAHIAcwBUAHIAYQBuAHMAcABvAHIAdABfAFQAaQB0AGwAZQAiACwAIgBGAHUAZQBsAF8AUwBvAHUAcgBjAGUARABhAHQAYQAuAEYAdQBlAGwAXwBTAGMAbwBwAGUAMQBTAGMAbwBwAGUAMwBFAG0AaQBzAHMAaQBvAG4ARgBhAGMAdABvAHIAcwBUAHIAYQBuAHMAcABvAHIAdABfAEQAZQBzAGMAcgBpAHAAdABpAG8AbgAiACwAIgBGAHUAZQBsAF8AUwBvAHUAcgBjAGUARABhAHQAYQAuAEYAdQBlAGwAXwBTAGMAbwBwAGUAMQBTAGMAbwBwAGUAMwBFAG0AaQBzAHMAaQBvAG4ARgBhAGMAdABvAHIAcwBUAHIAYQBuAHMAcABvAHIAdABfAFMAbwB1AHIAYwBlACIALAAiAEYAdQBlAGwAXwBTAG8AdQByAGMAZQBEAGEAdABhAC4ARgB1AGUAbABfAFMAYwBvAHAAZQAxAFMAYwBvAHAAZQAzAEUAbQBpAHMAcwBpAG8AbgBGAGEAYwB0AG8AcgBzAFQAcgBhAG4AcwBwAG8AcgB0AF8ARABhAHQAYQAiACwAIgBGAHUAZQBsAF8AUwBvAHUAcgBjAGUARABhAHQAYQAuAEYAdQBlAGwAXwBTAGMAbwBwAGUAMQBTAGMAbwBwAGUAMwBFAG0AaQBzAHMAaQBvAG4ARgBhAGMAdABvAHIAcwBUAHIAYQBuAHMAcABvAHIAdABfAFYAYQByAGkAYQB0AGkAbwBuACIALAAiAEYAdQBlAGwAXwBTAG8AdQByAGMAZQBEAGEAdABhAC4ARgB1AGUAbABfAFMAYwBvAHAAZQAxAFMAYwBvAHAAZQAzAEUAbQBpAHMAcwBpAG8AbgBGAGEAYwB0AG8AcgBzAFQAcgBhAG4AcwBwAG8AcgB0AE8AZgBmAFIAbwBhAGQAXwBUAGkAdABsAGUAIgAsACIARgB1AGUAbABfAFMAbwB1AHIAYwBlAEQAYQB0AGEALgBGAHUAZQBsAF8AUwBjAG8AcABlADEAUwBjAG8AcABlADMARQBtAGkAcwBzAGkAbwBuAEYAYQBjAHQAbwByAHMAVAByAGEAbgBzAHAAbwByAHQATwBmAGYAUgBvAGEAZABfAEQAZQBzAGMAcgBpAHAAdABpAG8AbgAiACwAIgBGAHUAZQBsAF8AUwBvAHUAcgBjAGUARABhAHQAYQAuAEYAdQBlAGwAXwBTAGMAbwBwAGUAMQBTAGMAbwBwAGUAMwBFAG0AaQBzAHMAaQBvAG4ARgBhAGMAdABvAHIAcwBUAHIAYQBuAHMAcABvAHIAdABPAGYAZgBSAG8AYQBkAF8AUwBvAHUAcgBjAGUAIgAsACIARgB1AGUAbABfAFMAbwB1AHIAYwBlAEQAYQB0AGEALgBGAHUAZQBsAF8AUwBjAG8AcABlADEAUwBjAG8AcABlADMARQBtAGkAcwBzAGkAbwBuAEYAYQBjAHQAbwByAHMAVAByAGEAbgBzAHAAbwByAHQATwBmAGYAUgBvAGEAZABfAEQAYQB0AGEAIgAsACIAQwBvAG0AbQBvAG4AXwBJAG4AcAB1AHQARgB1AG4AYwB0AGkAbwBuAHMALgBVAHQAaQBsAGkAdAB5AF8ARwBlAHQAQQByAHIAYQB5AFQAYQBiAGwAZQBSAG8AdwBTAHQAYQByAHQATgB1AG0AYgBlAHIAIgAsACIAQwBvAG0AbQBvAG4AXwBJAG4AcAB1AHQARgB1AG4AYwB0AGkAbwBuAHMALgBVAHQAaQBsAGkAdAB5AF8ARwBlAHQAQQByAHIAYQB5AFQAYQBiAGwAZQBDAG8AbAB1AG0AbgBTAHQAYQByAHQATgB1AG0AYgBlAHIAIgAsACIAQwBvAG0AbQBvAG4AXwBJAG4AcAB1AHQARgB1AG4AYwB0AGkAbwBuAHMALgBVAHQAaQBsAGkAdAB5AF8ARABpAHMAcABsAGEAeQBBAHIAcgBhAHkASQBuAFQAYQBiAGwAZQAiACwAIgBDAG8AbQBtAG8AbgBfAEkAbgBwAHUAdABGAHUAbgBjAHQAaQBvAG4AcwAuAFUAdABpAGwAaQB0AHkAXwBMAG8AbwBrAHUAcABWAGEAbAB1AGUASQBuAFQAYQBiAGwAZQAiACwAIgBDAG8AbQBtAG8AbgBfAEkAbgBwAHUAdABGAHUAbgBjAHQAaQBvAG4AcwAuAFUAdABpAGwAaQB0AHkAXwBMAG8AbwBrAHUAcABWAGEAbAB1AGUASQBuAFQAYQBiAGwAZQBOAHUAbQBiAGUAcgAiACwAIgBDAG8AbQBtAG8AbgBfAEkAbgBwAHUAdABGAHUAbgBjAHQAaQBvAG4AcwAuAFUAdABpAGwAaQB0AHkAXwBMAG8AbwBrAHUAcABWAGEAbAB1AGUASQBuAFQAYQBiAGwAZQBUAHcAbwBDAG8AbAB1AG0AbgBzACIALAAiAEMAbwBtAG0AbwBuAF8ASQBuAHAAdQB0AEYAdQBuAGMAdABpAG8AbgBzAC4AVQB0AGkAbABpAHQAeQBfAEwAbwBvAGsAdQBwAFYAYQBsAHUAZQBJAG4AVABhAGIAbABlAE8AbgBlAEMAbwBsAHUAbQBuAEEAbgBkAEgAZQBhAGQAZQByACIALAAiAEMAbwBtAG0AbwBuAF8ASQBuAHAAdQB0AEYAdQBuAGMAdABpAG8AbgBzAC4AVQB0AGkAbABpAHQAeQBfAFMAcABsAGkAdABTAHQAcgBpAG4AZwBJAG4AdABvAEEAcgByAGEAeQAiACwAIgBDAG8AbQBtAG8AbgBfAEkAbgBwAHUAdABGAHUAbgBjAHQAaQBvAG4AcwAuAFUAdABpAGwAaQB0AHkAXwBHAGUAdABDAGwAaQBtAGEAdABlAFoAbwBuAGUAIgAsACIAQwBvAG0AbQBvAG4AXwBJAG4AcAB1AHQARgB1AG4AYwB0AGkAbwBuAHMALgBVAHQAaQBsAGkAdAB5AF8ATABvAG8AawB1AHAASQB0AGUAbQBGAHIAbwBtAE0AaQBuAE0AYQB4ACIALAAiAEMAbwBtAG0AbwBuAF8ASQBuAHAAdQB0AEYAdQBuAGMAdABpAG8AbgBzAC4AVQB0AGkAbABpAHQAeQBfAFMAdQBtAFEAdQBhAG4AdABpAHQAeQBGAHIAbwBtAEMAcgBpAHQAZQByAGkAYQAiACwAIgBDAG8AbQBtAG8AbgBfAEkAbgBwAHUAdABGAHUAbgBjAHQAaQBvAG4AcwAuAGcAZQB0AE8AdgBlAHIAbABhAHAAcABpAG4AZwBSAGUAcABvAHIAdABpAG4AZwBDAHkAYwBsAGUAcwAiACwAIgBDAG8AbQBtAG8AbgBfAEkAbgBwAHUAdABGAHUAbgBjAHQAaQBvAG4AcwAuAGcAZQB0AE8AdgBlAHIAbABhAHAAcABpAG4AZwBSAGUAcABvAHIAdABpAG4AZwBQAGUAcgBpAG8AZABzACIALAAiAEMAbwBtAG0AbwBuAF8ASQBuAHAAdQB0AEYAdQBuAGMAdABpAG8AbgBzAC4AVQB0AGkAbABpAHQAeQBfAEQAaQBzAHAAbABhAHkARgB1AG4AYwB0AGkAbwBuAE4AYQBtAGUAIgAsACIAQwBvAG0AbQBvAG4AXwBJAG4AcAB1AHQARgB1AG4AYwB0AGkAbwBuAHMALgBVAHQAaQBsAGkAdAB5AF8ATABvAG8AawB1AHAATgAyAE8ARQBGAEYAcgBvAG0AUAByAG8AZABJAHIAcgBpAGcAYQB0AGkAbwBuAFIAYQBpAG4AZgBhAGwAbAAiACwAIgBDAG8AbQBtAG8AbgBfAEkAbgBwAHUAdABGAHUAbgBjAHQAaQBvAG4AcwAuAEMAbwBtAG0AbwBuAEMAcgBvAHAAcABpAG4AZwBfAEcAZQB0AEYAcgBhAGMAVwBFAFQAIgAsACIAQwBvAG0AbQBvAG4AXwBJAG4AcAB1AHQARgB1AG4AYwB0AGkAbwBuAHMALgBVAHQAaQBsAGkAdAB5AF8AQwBvAG4AdgBlAHIAdABTAHQAYQB0AGUAQwBvAG0AbQBvAG4ATgBhAG0AZQBUAG8AQQBiAGIAcgBlAHYAaQBhAHQAaQBvAG4AIgAsACIAQwBvAG0AbQBvAG4AXwBJAG4AcAB1AHQARgB1AG4AYwB0AGkAbwBuAHMALgBVAHQAaQBsAGkAdAB5AF8AUwBvAHUAcgBjAGUASAB5AHAAZQByAGwAaQBuAGsAIgAsACIAQwBvAG0AbQBvAG4AXwBJAG4AcAB1AHQARgB1AG4AYwB0AGkAbwBuAHMALgBVAHQAaQBsAGkAdAB5AF8ARABpAHMAcABsAGEAeQBBAHIAZwB1AG0AZQBuAHQAcwBfADEAXwAyACIALAAiAEMAbwBtAG0AbwBuAF8ASQBuAHAAdQB0AEYAdQBuAGMAdABpAG8AbgBzAC4AVQB0AGkAbABpAHQAeQBfAEQAaQBzAHAAbABhAHkAQQByAGcAdQBtAGUAbgB0AHMAXwAzAF8ANAAiACwAIgBDAG8AbQBtAG8AbgBfAEkAbgBwAHUAdABGAHUAbgBjAHQAaQBvAG4AcwAuAEMAbwBtAG0AbwBuAF8ARwBlAHQATQBDAEYAVABlAG0AcABlAHIAYQB0AHUAcgBlAFoAbwBuAGUAIgAsACIAQwBvAG0AbQBvAG4AXwBTAG8AdQByAGMAZQBEAGEAdABhAC4AQwBvAG0AbQBvAG4AXwBTAG8AdQByAGMAZQBEAGEAdABhAF8ARABlAG4AcwBpAHQAeQBPAGYATQBlAHQAaABhAG4AZQBfAFQAaQB0AGwAZQAiACwAIgBDAG8AbQBtAG8AbgBfAFMAbwB1AHIAYwBlAEQAYQB0AGEALgBDAG8AbQBtAG8AbgBfAFMAbwB1AHIAYwBlAEQAYQB0AGEAXwBEAGUAbgBzAGkAdAB5AE8AZgBNAGUAdABoAGEAbgBlAF8AVQBuAGkAdAAiACwAIgBDAG8AbQBtAG8AbgBfAFMAbwB1AHIAYwBlAEQAYQB0AGEALgBDAG8AbQBtAG8AbgBfAFMAbwB1AHIAYwBlAEQAYQB0AGEAXwBEAGUAbgBzAGkAdAB5AE8AZgBNAGUAdABoAGEAbgBlAF8AUwBvAHUAcgBjAGUAIgAsACIAQwBvAG0AbQBvAG4AXwBTAG8AdQByAGMAZQBEAGEAdABhAC4AQwBvAG0AbQBvAG4AXwBTAG8AdQByAGMAZQBEAGEAdABhAF8ARABlAG4AcwBpAHQAeQBPAGYATQBlAHQAaABhAG4AZQBfAEQAYQB0AGEAIgAsACIAQwBvAG0AbQBvAG4AXwBTAG8AdQByAGMAZQBEAGEAdABhAC4AQwBvAG0AbQBvAG4AXwBTAG8AdQByAGMAZQBEAGEAdABhAF8AQwBvAG4AdgBlAHIAdABOADIAbwBFAGwAZQBtAGUAbgB0AGEAbABUAG8ATQBvAGwAZQBjAHUAbABhAHIAQwBnAF8AVABpAHQAbABlACIALAAiAEMAbwBtAG0AbwBuAF8AUwBvAHUAcgBjAGUARABhAHQAYQAuAEMAbwBtAG0AbwBuAF8AUwBvAHUAcgBjAGUARABhAHQAYQBfAEMAbwBuAHYAZQByAHQATgAyAG8ARQBsAGUAbQBlAG4AdABhAGwAVABvAE0AbwBsAGUAYwB1AGwAYQByAEMAZwBfAFYAYQByAGkAYQBiAGwAZQAiACwAIgBDAG8AbQBtAG8AbgBfAFMAbwB1AHIAYwBlAEQAYQB0AGEALgBDAG8AbQBtAG8AbgBfAFMAbwB1AHIAYwBlAEQAYQB0AGEAXwBDAG8AbgB2AGUAcgB0AE4AMgBvAEUAbABlAG0AZQBuAHQAYQBsAFQAbwBNAG8AbABlAGMAdQBsAGEAcgBDAGcAXwBVAG4AaQB0ACIALAAiAEMAbwBtAG0AbwBuAF8AUwBvAHUAcgBjAGUARABhAHQAYQAuAEMAbwBtAG0AbwBuAF8AUwBvAHUAcgBjAGUARABhAHQAYQBfAEMAbwBuAHYAZQByAHQATgAyAG8ARQBsAGUAbQBlAG4AdABhAGwAVABvAE0AbwBsAGUAYwB1AGwAYQByAEMAZwBfAFMAbwB1AHIAYwBlACIALAAiAEMAbwBtAG0AbwBuAF8AUwBvAHUAcgBjAGUARABhAHQAYQAuAEMAbwBtAG0AbwBuAF8AUwBvAHUAcgBjAGUARABhAHQAYQBfAEMAbwBuAHYAZQByAHQATgAyAG8ARQBsAGUAbQBlAG4AdABhAGwAVABvAE0AbwBsAGUAYwB1AGwAYQByAEMAZwBfAEQAYQB0AGEAIgAsACIAQwBvAG0AbQBvAG4AXwBTAG8AdQByAGMAZQBEAGEAdABhAC4AQwBvAG0AbQBvAG4AXwBTAG8AdQByAGMAZQBEAGEAdABhAF8AQwBvAG4AdgBlAHIAdABHAGEAcwBFAGwAZQBtAGUAbgB0AGEAbABUAG8ATQBvAGwAZQBjAHUAbABhAHIAXwBUAGkAdABsAGUAIgAsACIAQwBvAG0AbQBvAG4AXwBTAG8AdQByAGMAZQBEAGEAdABhAC4AQwBvAG0AbQBvAG4AXwBTAG8AdQByAGMAZQBEAGEAdABhAF8AQwBvAG4AdgBlAHIAdABHAGEAcwBFAGwAZQBtAGUAbgB0AGEAbABUAG8ATQBvAGwAZQBjAHUAbABhAHIAXwBWAGEAcgBpAGEAYgBsAGUAIgAsACIAQwBvAG0AbQBvAG4AXwBTAG8AdQByAGMAZQBEAGEAdABhAC4AQwBvAG0AbQBvAG4AXwBTAG8AdQByAGMAZQBEAGEAdABhAF8AQwBvAG4AdgBlAHIAdABHAGEAcwBFAGwAZQBtAGUAbgB0AGEAbABUAG8ATQBvAGwAZQBjAHUAbABhAHIAXwBVAG4AaQB0ACIALAAiAEMAbwBtAG0AbwBuAF8AUwBvAHUAcgBjAGUARABhAHQAYQAuAEMAbwBtAG0AbwBuAF8AUwBvAHUAcgBjAGUARABhAHQAYQBfAEMAbwBuAHYAZQByAHQARwBhAHMARQBsAGUAbQBlAG4AdABhAGwAVABvAE0AbwBsAGUAYwB1AGwAYQByAF8AUwBvAHUAcgBjAGUAIgAsACIAQwBvAG0AbQBvAG4AXwBTAG8AdQByAGMAZQBEAGEAdABhAC4AQwBvAG0AbQBvAG4AXwBTAG8AdQByAGMAZQBEAGEAdABhAF8AQwBvAG4AdgBlAHIAdABHAGEAcwBFAGwAZQBtAGUAbgB0AGEAbABUAG8ATQBvAGwAZQBjAHUAbABhAHIAXwBEAGEAdABhACIALAAiAEMAbwBtAG0AbwBuAF8AUwBvAHUAcgBjAGUARABhAHQAYQAuAEMAbwBtAG0AbwBuAF8AUwBvAHUAcgBjAGUARABhAHQAYQBfAEcAVwBQAF8AVABpAHQAbABlACIALAAiAEMAbwBtAG0AbwBuAF8AUwBvAHUAcgBjAGUARABhAHQAYQAuAEMAbwBtAG0AbwBuAF8AUwBvAHUAcgBjAGUARABhAHQAYQBfAEcAVwBQAF8AVgBhAHIAaQBhAGIAbABlACIALAAiAEMAbwBtAG0AbwBuAF8AUwBvAHUAcgBjAGUARABhAHQAYQAuAEMAbwBtAG0AbwBuAF8AUwBvAHUAcgBjAGUARABhAHQAYQBfAEcAVwBQAF8AVQBuAGkAdAAiACwAIgBDAG8AbQBtAG8AbgBfAFMAbwB1AHIAYwBlAEQAYQB0AGEALgBDAG8AbQBtAG8AbgBfAFMAbwB1AHIAYwBlAEQAYQB0AGEAXwBHAFcAUABfAFMAbwB1AHIAYwBlACIALAAiAEMAbwBtAG0AbwBuAF8AUwBvAHUAcgBjAGUARABhAHQAYQAuAEMAbwBtAG0AbwBuAF8AUwBvAHUAcgBjAGUARABhAHQAYQBfAEcAVwBQAF8ARABhAHQAYQAiACwAIgBDAG8AbQBtAG8AbgBfAFMAbwB1AHIAYwBlAEQAYQB0AGEALgBDAG8AbQBtAG8AbgBfAFMAbwB1AHIAYwBlAEQAYQB0AGEAXwBBAHUAcwB0AHIAYQBsAGkAYQBuAFMAdABhAHQAZQBzAFQAZQByAHIAaQB0AG8AcgBpAGUAcwBfAFQAaQB0AGwAZQAiACwAIgBDAG8AbQBtAG8AbgBfAFMAbwB1AHIAYwBlAEQAYQB0AGEALgBDAG8AbQBtAG8AbgBfAFMAbwB1AHIAYwBlAEQAYQB0AGEAXwBBAHUAcwB0AHIAYQBsAGkAYQBuAFMAdABhAHQAZQBzAFQAZQByAHIAaQB0AG8AcgBpAGUAcwBfAFYAYQByAGkAYQBiAGwAZQAiACwAIgBDAG8AbQBtAG8AbgBfAFMAbwB1AHIAYwBlAEQAYQB0AGEALgBDAG8AbQBtAG8AbgBfAFMAbwB1AHIAYwBlAEQAYQB0AGEAXwBBAHUAcwB0AHIAYQBsAGkAYQBuAFMAdABhAHQAZQBzAFQAZQByAHIAaQB0AG8AcgBpAGUAcwBfAFUAbgBpAHQAIgAsACIAQwBvAG0AbQBvAG4AXwBTAG8AdQByAGMAZQBEAGEAdABhAC4AQwBvAG0AbQBvAG4AXwBTAG8AdQByAGMAZQBEAGEAdABhAF8AQQB1AHMAdAByAGEAbABpAGEAbgBTAHQAYQB0AGUAcwBUAGUAcgByAGkAdABvAHIAaQBlAHMAXwBTAG8AdQByAGMAZQAiACwAIgBDAG8AbQBtAG8AbgBfAFMAbwB1AHIAYwBlAEQAYQB0AGEALgBDAG8AbQBtAG8AbgBfAFMAbwB1AHIAYwBlAEQAYQB0AGEAXwBBAHUAcwB0AHIAYQBsAGkAYQBuAFMAdABhAHQAZQBzAFQAZQByAHIAaQB0AG8AcgBpAGUAcwBfAEQAYQB0AGEAIgAsACIAQwBvAG0AbQBvAG4AXwBTAG8AdQByAGMAZQBEAGEAdABhAC4AQwBvAG0AbQBvAG4AXwBTAG8AdQByAGMAZQBEAGEAdABhAF8AVwBBAFMAQQA0AEEAcgBlAGEAcwBfAFQAaQB0AGwAZQAiACwAIgBDAG8AbQBtAG8AbgBfAFMAbwB1AHIAYwBlAEQAYQB0AGEALgBDAG8AbQBtAG8AbgBfAFMAbwB1AHIAYwBlAEQAYQB0AGEAXwBXAEEAUwBBADQAQQByAGUAYQBzAF8AVgBhAHIAaQBhAGIAbABlACIALAAiAEMAbwBtAG0AbwBuAF8AUwBvAHUAcgBjAGUARABhAHQAYQAuAEMAbwBtAG0AbwBuAF8AUwBvAHUAcgBjAGUARABhAHQAYQBfAFcAQQBTAEEANABBAHIAZQBhAHMAXwBVAG4AaQB0ACIALAAiAEMAbwBtAG0AbwBuAF8AUwBvAHUAcgBjAGUARABhAHQAYQAuAEMAbwBtAG0AbwBuAF8AUwBvAHUAcgBjAGUARABhAHQAYQBfAFcAQQBTAEEANABBAHIAZQBhAHMAXwBTAG8AdQByAGMAZQAiACwAIgBDAG8AbQBtAG8AbgBfAFMAbwB1AHIAYwBlAEQAYQB0AGEALgBDAG8AbQBtAG8AbgBfAFMAbwB1AHIAYwBlAEQAYQB0AGEAXwBXAEEAUwBBADQAQQByAGUAYQBzAF8ARABhAHQAYQAiACwAIgBDAG8AbQBtAG8AbgBfAFMAbwB1AHIAYwBlAEQAYQB0AGEALgBDAG8AbQBtAG8AbgBfAFMAbwB1AHIAYwBlAEQAYQB0AGEAXwBXAGUAdABBAG4AZABEAHIAeQBaAG8AbgBlAHMAXwBUAGkAdABsAGUAIgAsACIAQwBvAG0AbQBvAG4AXwBTAG8AdQByAGMAZQBEAGEAdABhAC4AQwBvAG0AbQBvAG4AXwBTAG8AdQByAGMAZQBEAGEAdABhAF8AVwBlAHQAQQBuAGQARAByAHkAWgBvAG4AZQBzAF8AVgBhAHIAaQBhAGIAbABlACIALAAiAEMAbwBtAG0AbwBuAF8AUwBvAHUAcgBjAGUARABhAHQAYQAuAEMAbwBtAG0AbwBuAF8AUwBvAHUAcgBjAGUARABhAHQAYQBfAFcAZQB0AEEAbgBkAEQAcgB5AFoAbwBuAGUAcwBfAFUAbgBpAHQAIgAsACIAQwBvAG0AbQBvAG4AXwBTAG8AdQByAGMAZQBEAGEAdABhAC4AQwBvAG0AbQBvAG4AXwBTAG8AdQByAGMAZQBEAGEAdABhAF8AVwBlAHQAQQBuAGQARAByAHkAWgBvAG4AZQBzAF8AUwBvAHUAcgBjAGUAIgAsACIAQwBvAG0AbQBvAG4AXwBTAG8AdQByAGMAZQBEAGEAdABhAC4AQwBvAG0AbQBvAG4AXwBTAG8AdQByAGMAZQBEAGEAdABhAF8AVwBlAHQAQQBuAGQARAByAHkAWgBvAG4AZQBzAF8AVgBhAHIAaQBhAHQAaQBvAG4AIgAsACIAQwBvAG0AbQBvAG4AXwBTAG8AdQByAGMAZQBEAGEAdABhAC4AQwBvAG0AbQBvAG4AXwBTAG8AdQByAGMAZQBEAGEAdABhAF8AVwBlAHQAQQBuAGQARAByAHkAWgBvAG4AZQBzAF8ARABhAHQAYQAiACwAIgBDAG8AbQBtAG8AbgBfAFMAbwB1AHIAYwBlAEQAYQB0AGEALgBDAG8AbQBtAG8AbgBfAFMAbwB1AHIAYwBlAEQAYQB0AGEAXwBDAGwAaQBtAGEAdABlAFoAbwBuAGUAcwBfAFQAaQB0AGwAZQAiACwAIgBDAG8AbQBtAG8AbgBfAFMAbwB1AHIAYwBlAEQAYQB0AGEALgBDAG8AbQBtAG8AbgBfAFMAbwB1AHIAYwBlAEQAYQB0AGEAXwBDAGwAaQBtAGEAdABlAFoAbwBuAGUAcwBfAFYAYQByAGkAYQBiAGwAZQAiACwAIgBDAG8AbQBtAG8AbgBfAFMAbwB1AHIAYwBlAEQAYQB0AGEALgBDAG8AbQBtAG8AbgBfAFMAbwB1AHIAYwBlAEQAYQB0AGEAXwBDAGwAaQBtAGEAdABlAFoAbwBuAGUAcwBfAFUAbgBpAHQAIgAsACIAQwBvAG0AbQBvAG4AXwBTAG8AdQByAGMAZQBEAGEAdABhAC4AQwBvAG0AbQBvAG4AXwBTAG8AdQByAGMAZQBEAGEAdABhAF8AQwBsAGkAbQBhAHQAZQBaAG8AbgBlAHMAXwBTAG8AdQByAGMAZQAiACwAIgBDAG8AbQBtAG8AbgBfAFMAbwB1AHIAYwBlAEQAYQB0AGEALgBDAG8AbQBtAG8AbgBfAFMAbwB1AHIAYwBlAEQAYQB0AGEAXwBDAGwAaQBtAGEAdABlAFoAbwBuAGUAcwBfAFYAYQByAGkAYQB0AGkAbwBuACIALAAiAEMAbwBtAG0AbwBuAF8AUwBvAHUAcgBjAGUARABhAHQAYQAuAEMAbwBtAG0AbwBuAF8AUwBvAHUAcgBjAGUARABhAHQAYQBfAEMAbABpAG0AYQB0AGUAWgBvAG4AZQBzAF8ARABhAHQAYQAiACwAIgBDAG8AbQBtAG8AbgBfAFMAbwB1AHIAYwBlAEQAYQB0AGEALgBDAG8AbQBtAG8AbgBfAFMAbwB1AHIAYwBlAEQAYQB0AGEAXwBDAGwAaQBtAGEAdABlAFoAbwBuAGUAcwBfAEEAcABwAGUAbgBkAGkAYwBlAHMAIgAsACIAQwBvAG0AbQBvAG4AXwBTAG8AdQByAGMAZQBEAGEAdABhAC4AQwBvAG0AbQBvAG4AXwBTAG8AdQByAGMAZQBEAGEAdABhAF8AVABlAG0AcABlAHIAYQB0AHUAcgBlAFoAbwBuAGUAcwBfAFQAaQB0AGwAZQAiACwAIgBDAG8AbQBtAG8AbgBfAFMAbwB1AHIAYwBlAEQAYQB0AGEALgBDAG8AbQBtAG8AbgBfAFMAbwB1AHIAYwBlAEQAYQB0AGEAXwBUAGUAbQBwAGUAcgBhAHQAdQByAGUAWgBvAG4AZQBzAF8AVgBhAHIAaQBhAGIAbABlACIALAAiAEMAbwBtAG0AbwBuAF8AUwBvAHUAcgBjAGUARABhAHQAYQAuAEMAbwBtAG0AbwBuAF8AUwBvAHUAcgBjAGUARABhAHQAYQBfAFQAZQBtAHAAZQByAGEAdAB1AHIAZQBaAG8AbgBlAHMAXwBVAG4AaQB0ACIALAAiAEMAbwBtAG0AbwBuAF8AUwBvAHUAcgBjAGUARABhAHQAYQAuAEMAbwBtAG0AbwBuAF8AUwBvAHUAcgBjAGUARABhAHQAYQBfAFQAZQBtAHAAZQByAGEAdAB1AHIAZQBaAG8AbgBlAHMAXwBTAG8AdQByAGMAZQAiACwAIgBDAG8AbQBtAG8AbgBfAFMAbwB1AHIAYwBlAEQAYQB0AGEALgBDAG8AbQBtAG8AbgBfAFMAbwB1AHIAYwBlAEQAYQB0AGEAXwBUAGUAbQBwAGUAcgBhAHQAdQByAGUAWgBvAG4AZQBzAF8AVgBhAHIAaQBhAHQAaQBvAG4AIgAsACIAQwBvAG0AbQBvAG4AXwBTAG8AdQByAGMAZQBEAGEAdABhAC4AQwBvAG0AbQBvAG4AXwBTAG8AdQByAGMAZQBEAGEAdABhAF8AVABlAG0AcABlAHIAYQB0AHUAcgBlAFoAbwBuAGUAcwBfAEQAYQB0AGEAIgAsACIAQwBvAG0AbQBvAG4AXwBTAG8AdQByAGMAZQBEAGEAdABhAC4AQwBvAG0AbQBvAG4AXwBTAG8AdQByAGMAZQBEAGEAdABhAF8AUgBhAGkAbgBmAGEAbABsAFoAbwBuAGUAcwBfAFQAaQB0AGwAZQAiACwAIgBDAG8AbQBtAG8AbgBfAFMAbwB1AHIAYwBlAEQAYQB0AGEALgBDAG8AbQBtAG8AbgBfAFMAbwB1AHIAYwBlAEQAYQB0AGEAXwBSAGEAaQBuAGYAYQBsAGwAWgBvAG4AZQBzAF8AVgBhAHIAaQBhAGIAbABlACIALAAiAEMAbwBtAG0AbwBuAF8AUwBvAHUAcgBjAGUARABhAHQAYQAuAEMAbwBtAG0AbwBuAF8AUwBvAHUAcgBjAGUARABhAHQAYQBfAFIAYQBpAG4AZgBhAGwAbABaAG8AbgBlAHMAXwBVAG4AaQB0ACIALAAiAEMAbwBtAG0AbwBuAF8AUwBvAHUAcgBjAGUARABhAHQAYQAuAEMAbwBtAG0AbwBuAF8AUwBvAHUAcgBjAGUARABhAHQAYQBfAFIAYQBpAG4AZgBhAGwAbABaAG8AbgBlAHMAXwBTAG8AdQByAGMAZQAiACwAIgBDAG8AbQBtAG8AbgBfAFMAbwB1AHIAYwBlAEQAYQB0AGEALgBDAG8AbQBtAG8AbgBfAFMAbwB1AHIAYwBlAEQAYQB0AGEAXwBSAGEAaQBuAGYAYQBsAGwAWgBvAG4AZQBzAF8AVgBhAHIAaQBhAHQAaQBvAG4AIgAsACIAQwBvAG0AbQBvAG4AXwBTAG8AdQByAGMAZQBEAGEAdABhAC4AQwBvAG0AbQBvAG4AXwBTAG8AdQByAGMAZQBEAGEAdABhAF8AUgBhAGkAbgBmAGEAbABsAFoAbwBuAGUAcwBfAEQAYQB0AGEAIgAsACIAQwBvAG0AbQBvAG4AXwBTAG8AdQByAGMAZQBEAGEAdABhAC4AQwBvAG0AbQBvAG4AXwBTAG8AdQByAGMAZQBEAGEAdABhAF8ATABlAGEAYwBoAGkAbgBnAFoAbwBuAGUAcwBfAFQAaQB0AGwAZQAiACwAIgBDAG8AbQBtAG8AbgBfAFMAbwB1AHIAYwBlAEQAYQB0AGEALgBDAG8AbQBtAG8AbgBfAFMAbwB1AHIAYwBlAEQAYQB0AGEAXwBMAGUAYQBjAGgAaQBuAGcAWgBvAG4AZQBzAF8AVgBhAHIAaQBhAGIAbABlACIALAAiAEMAbwBtAG0AbwBuAF8AUwBvAHUAcgBjAGUARABhAHQAYQAuAEMAbwBtAG0AbwBuAF8AUwBvAHUAcgBjAGUARABhAHQAYQBfAEwAZQBhAGMAaABpAG4AZwBaAG8AbgBlAHMAXwBVAG4AaQB0ACIALAAiAEMAbwBtAG0AbwBuAF8AUwBvAHUAcgBjAGUARABhAHQAYQAuAEMAbwBtAG0AbwBuAF8AUwBvAHUAcgBjAGUARABhAHQAYQBfAEwAZQBhAGMAaABpAG4AZwBaAG8AbgBlAHMAXwBTAG8AdQByAGMAZQAiACwAIgBDAG8AbQBtAG8AbgBfAFMAbwB1AHIAYwBlAEQAYQB0AGEALgBDAG8AbQBtAG8AbgBfAFMAbwB1AHIAYwBlAEQAYQB0AGEAXwBMAGUAYQBjAGgAaQBuAGcAWgBvAG4AZQBzAF8AVgBhAHIAaQBhAHQAaQBvAG4AIgAsACIAQwBvAG0AbQBvAG4AXwBTAG8AdQByAGMAZQBEAGEAdABhAC4AQwBvAG0AbQBvAG4AXwBTAG8AdQByAGMAZQBEAGEAdABhAF8ATABlAGEAYwBoAGkAbgBnAFoAbwBuAGUAcwBfAEQAYQB0AGEAIgAsACIAQwBvAG0AbQBvAG4AXwBTAG8AdQByAGMAZQBEAGEAdABhAC4AQwBvAG0AbQBvAG4AXwBTAG8AdQByAGMAZQBEAGEAdABhAF8ARgByAGEAYwBXAEUAVABfAFQAaQB0AGwAZQAiACwAIgBDAG8AbQBtAG8AbgBfAFMAbwB1AHIAYwBlAEQAYQB0AGEALgBDAG8AbQBtAG8AbgBfAFMAbwB1AHIAYwBlAEQAYQB0AGEAXwBGAHIAYQBjAFcARQBUAF8AVQBuAGkAdAAiACwAIgBDAG8AbQBtAG8AbgBfAFMAbwB1AHIAYwBlAEQAYQB0AGEALgBDAG8AbQBtAG8AbgBfAFMAbwB1AHIAYwBlAEQAYQB0AGEAXwBGAHIAYQBjAFcARQBUAF8AUwBvAHUAcgBjAGUAIgAsACIAQwBvAG0AbQBvAG4AXwBTAG8AdQByAGMAZQBEAGEAdABhAC4AQwBvAG0AbQBvAG4AXwBTAG8AdQByAGMAZQBEAGEAdABhAF8ARgByAGEAYwBXAEUAVABfAE4ASQBSAFIAZQBmAGUAcgBlAG4AYwBlACIALAAiAEMAbwBtAG0AbwBuAF8AUwBvAHUAcgBjAGUARABhAHQAYQAuAEMAbwBtAG0AbwBuAF8AUwBvAHUAcgBjAGUARABhAHQAYQBfAEYAcgBhAGMAVwBFAFQAXwBEAGEAdABhACIALAAiAEMAbwBtAG0AbwBuAF8AUwBvAHUAcgBjAGUARABhAHQAYQAuAEMAbwBtAG0AbwBuAF8AUwBvAHUAcgBjAGUARABhAHQAYQBfAEYAcgBhAGMAVwBFAFQAXwBWAGEAcgBpAGEAdABpAG8AbgAiACwAIgBDAG8AbQBtAG8AbgBfAFMAbwB1AHIAYwBlAEQAYQB0AGEALgBDAG8AbQBtAG8AbgBfAFMAbwB1AHIAYwBlAEQAYQB0AGEAXwBEAGEAdABhAFMAYwBvAHIAZQBzAF8AUwBjAG8AcABlADMAXwBUAGkAdABsAGUAIgAsACIAQwBvAG0AbQBvAG4AXwBTAG8AdQByAGMAZQBEAGEAdABhAC4AQwBvAG0AbQBvAG4AXwBTAG8AdQByAGMAZQBEAGEAdABhAF8ARABhAHQAYQBTAGMAbwByAGUAcwBfAFMAYwBvAHAAZQAzAF8AVgBhAHIAaQBhAGIAbABlACIALAAiAEMAbwBtAG0AbwBuAF8AUwBvAHUAcgBjAGUARABhAHQAYQAuAEMAbwBtAG0AbwBuAF8AUwBvAHUAcgBjAGUARABhAHQAYQBfAEQAYQB0AGEAUwBjAG8AcgBlAHMAXwBTAGMAbwBwAGUAMwBfAFUAbgBpAHQAIgAsACIAQwBvAG0AbQBvAG4AXwBTAG8AdQByAGMAZQBEAGEAdABhAC4AQwBvAG0AbQBvAG4AXwBTAG8AdQByAGMAZQBEAGEAdABhAF8ARABhAHQAYQBTAGMAbwByAGUAcwBfAFMAYwBvAHAAZQAzAF8AUwBvAHUAcgBjAGUAIgAsACIAQwBvAG0AbQBvAG4AXwBTAG8AdQByAGMAZQBEAGEAdABhAC4AQwBvAG0AbQBvAG4AXwBTAG8AdQByAGMAZQBEAGEAdABhAF8ARABhAHQAYQBTAGMAbwByAGUAcwBfAFMAYwBvAHAAZQAzAF8AVgBhAHIAaQBhAHQAaQBvAG4AIgAsACIAQwBvAG0AbQBvAG4AXwBTAG8AdQByAGMAZQBEAGEAdABhAC4AQwBvAG0AbQBvAG4AXwBTAG8AdQByAGMAZQBEAGEAdABhAF8ARABhAHQAYQBTAGMAbwByAGUAcwBfAFMAYwBvAHAAZQAzAF8ARABhAHQAYQAiACwAIgBDAG8AbQBtAG8AbgBfAFMAbwB1AHIAYwBlAEQAYQB0AGEALgBDAG8AbQBtAG8AbgBfAFMAbwB1AHIAYwBlAEQAYQB0AGEAXwBGAHIAYQBjAEwARQBBAEMASABfAFQAaQB0AGwAZQAiACwAIgBDAG8AbQBtAG8AbgBfAFMAbwB1AHIAYwBlAEQAYQB0AGEALgBDAG8AbQBtAG8AbgBfAFMAbwB1AHIAYwBlAEQAYQB0AGEAXwBGAHIAYQBjAEwARQBBAEMASABfAFUAbgBpAHQAIgAsACIAQwBvAG0AbQBvAG4AXwBTAG8AdQByAGMAZQBEAGEAdABhAC4AQwBvAG0AbQBvAG4AXwBTAG8AdQByAGMAZQBEAGEAdABhAF8ARgByAGEAYwBMAEUAQQBDAEgAXwBTAG8AdQByAGMAZQAiACwAIgBDAG8AbQBtAG8AbgBfAFMAbwB1AHIAYwBlAEQAYQB0AGEALgBDAG8AbQBtAG8AbgBfAFMAbwB1AHIAYwBlAEQAYQB0AGEAXwBGAHIAYQBjAEwARQBBAEMASABfAE4ASQBSAFIAZQBmAGUAcgBlAG4AYwBlACIALAAiAEMAbwBtAG0AbwBuAF8AUwBvAHUAcgBjAGUARABhAHQAYQAuAEMAbwBtAG0AbwBuAF8AUwBvAHUAcgBjAGUARABhAHQAYQBfAEYAcgBhAGMATABFAEEAQwBIAF8ARABhAHQAYQAiACwAIgBDAG8AbQBtAG8AbgBfAFMAbwB1AHIAYwBlAEQAYQB0AGEALgBDAG8AbQBtAG8AbgBfAFMAbwB1AHIAYwBlAEQAYQB0AGEAXwBGAHIAYQBjAEwARQBBAEMASABfAFYAYQByAGkAYQB0AGkAbwBuACIALAAiAEMAbwBtAG0AbwBuAF8AUwBvAHUAcgBjAGUARABhAHQAYQAuAEMAbwBtAG0AbwBuAF8AUwBvAHUAcgBjAGUARABhAHQAYQBfAEUARgBsAGUAYQBjAGgAXwBUAGkAdABsAGUAIgAsACIAQwBvAG0AbQBvAG4AXwBTAG8AdQByAGMAZQBEAGEAdABhAC4AQwBvAG0AbQBvAG4AXwBTAG8AdQByAGMAZQBEAGEAdABhAF8ARQBGAGwAZQBhAGMAaABfAFUAbgBpAHQAIgAsACIAQwBvAG0AbQBvAG4AXwBTAG8AdQByAGMAZQBEAGEAdABhAC4AQwBvAG0AbQBvAG4AXwBTAG8AdQByAGMAZQBEAGEAdABhAF8ARQBGAGwAZQBhAGMAaABfAFMAbwB1AHIAYwBlACIALAAiAEMAbwBtAG0AbwBuAF8AUwBvAHUAcgBjAGUARABhAHQAYQAuAEMAbwBtAG0AbwBuAF8AUwBvAHUAcgBjAGUARABhAHQAYQBfAEUARgBsAGUAYQBjAGgAXwBOAEkAUgBSAGUAZgBlAHIAZQBuAGMAZQAiACwAIgBDAG8AbQBtAG8AbgBfAFMAbwB1AHIAYwBlAEQAYQB0AGEALgBDAG8AbQBtAG8AbgBfAFMAbwB1AHIAYwBlAEQAYQB0AGEAXwBFAEYAbABlAGEAYwBoAF8ARABhAHQAYQAiACwAIgBDAG8AbQBtAG8AbgBfAFMAbwB1AHIAYwBlAEQAYQB0AGEALgBDAG8AbQBtAG8AbgBfAFMAbwB1AHIAYwBlAEQAYQB0AGEAXwBFAEYAbABlAGEAYwBoAF8AVgBhAHIAaQBhAHQAaQBvAG4AIgAsACIAQwBvAG0AbQBvAG4AXwBTAG8AdQByAGMAZQBEAGEAdABhAC4AQwBvAG0AbQBvAG4AXwBTAG8AdQByAGMAZQBEAGEAdABhAF8ARQBGAE4AMgBPAF8AVABpAHQAbABlACIALAAiAEMAbwBtAG0AbwBuAF8AUwBvAHUAcgBjAGUARABhAHQAYQAuAEMAbwBtAG0AbwBuAF8AUwBvAHUAcgBjAGUARABhAHQAYQBfAEUARgBOADIATwBfAFUAbgBpAHQAIgAsACIAQwBvAG0AbQBvAG4AXwBTAG8AdQByAGMAZQBEAGEAdABhAC4AQwBvAG0AbQBvAG4AXwBTAG8AdQByAGMAZQBEAGEAdABhAF8ARQBGAE4AMgBPAF8AUwBvAHUAcgBjAGUAIgAsACIAQwBvAG0AbQBvAG4AXwBTAG8AdQByAGMAZQBEAGEAdABhAC4AQwBvAG0AbQBvAG4AXwBTAG8AdQByAGMAZQBEAGEAdABhAF8ARQBGAE4AMgBPAF8ATgBJAFIAUgBlAGYAZQByAGUAbgBjAGUAIgAsACIAQwBvAG0AbQBvAG4AXwBTAG8AdQByAGMAZQBEAGEAdABhAC4AQwBvAG0AbQBvAG4AXwBTAG8AdQByAGMAZQBEAGEAdABhAF8ARQBGAE4AMgBPAF8ARABhAHQAYQAiACwAIgBDAG8AbQBtAG8AbgBfAFMAbwB1AHIAYwBlAEQAYQB0AGEALgBDAG8AbQBtAG8AbgBfAFMAbwB1AHIAYwBlAEQAYQB0AGEAXwBFAEYATgAyAE8AXwBWAGEAcgBpAGEAdABpAG8AbgAiACwAIgBDAG8AbQBtAG8AbgBfAFMAbwB1AHIAYwBlAEQAYQB0AGEALgBDAG8AbQBtAG8AbgBfAFMAbwB1AHIAYwBlAEQAYQB0AGEAXwBGAHIAYQBjAFcARQBUAEkAcgByAGkAZwBhAHQAaQBvAG4AXwBUAGkAdABsAGUAIgAsACIAQwBvAG0AbQBvAG4AXwBTAG8AdQByAGMAZQBEAGEAdABhAC4AQwBvAG0AbQBvAG4AXwBTAG8AdQByAGMAZQBEAGEAdABhAF8ARgByAGEAYwBXAEUAVABJAHIAcgBpAGcAYQB0AGkAbwBuAF8AVQBuAGkAdAAiACwAIgBDAG8AbQBtAG8AbgBfAFMAbwB1AHIAYwBlAEQAYQB0AGEALgBDAG8AbQBtAG8AbgBfAFMAbwB1AHIAYwBlAEQAYQB0AGEAXwBGAHIAYQBjAFcARQBUAEkAcgByAGkAZwBhAHQAaQBvAG4AXwBTAG8AdQByAGMAZQAiACwAIgBDAG8AbQBtAG8AbgBfAFMAbwB1AHIAYwBlAEQAYQB0AGEALgBDAG8AbQBtAG8AbgBfAFMAbwB1AHIAYwBlAEQAYQB0AGEAXwBGAHIAYQBjAFcARQBUAEkAcgByAGkAZwBhAHQAaQBvAG4AXwBOAEkAUgBSAGUAZgBlAHIAZQBuAGMAZQAiACwAIgBDAG8AbQBtAG8AbgBfAFMAbwB1AHIAYwBlAEQAYQB0AGEALgBDAG8AbQBtAG8AbgBfAFMAbwB1AHIAYwBlAEQAYQB0AGEAXwBGAHIAYQBjAFcARQBUAEkAcgByAGkAZwBhAHQAaQBvAG4AXwBEAGEAdABhACIALAAiAEMAbwBtAG0AbwBuAF8AUwBvAHUAcgBjAGUARABhAHQAYQAuAEMAbwBtAG0AbwBuAF8AUwBvAHUAcgBjAGUARABhAHQAYQBfAEYAcgBhAGMAVwBFAFQASQByAHIAaQBnAGEAdABpAG8AbgBfAFYAYQByAGkAYQB0AGkAbwBuACIALAAiAEMAbwBtAG0AbwBuAF8AUwBvAHUAcgBjAGUARABhAHQAYQAuAEMAbwBtAG0AbwBuAF8AUwBvAHUAcgBjAGUARABhAHQAYQBfAEUARgBQAGEAcwB0AHUAcgBlAFIAYQBuAGcAZQBBAG4AZABQAGEAZABkAG8AYwBrAF8AVABpAHQAbABlACIALAAiAEMAbwBtAG0AbwBuAF8AUwBvAHUAcgBjAGUARABhAHQAYQAuAEMAbwBtAG0AbwBuAF8AUwBvAHUAcgBjAGUARABhAHQAYQBfAEUARgBQAGEAcwB0AHUAcgBlAFIAYQBuAGcAZQBBAG4AZABQAGEAZABkAG8AYwBrAF8AVQBuAGkAdAAiACwAIgBDAG8AbQBtAG8AbgBfAFMAbwB1AHIAYwBlAEQAYQB0AGEALgBDAG8AbQBtAG8AbgBfAFMAbwB1AHIAYwBlAEQAYQB0AGEAXwBFAEYAUABhAHMAdAB1AHIAZQBSAGEAbgBnAGUAQQBuAGQAUABhAGQAZABvAGMAawBfAFMAbwB1AHIAYwBlACIALAAiAEMAbwBtAG0AbwBuAF8AUwBvAHUAcgBjAGUARABhAHQAYQAuAEMAbwBtAG0AbwBuAF8AUwBvAHUAcgBjAGUARABhAHQAYQBfAEUARgBQAGEAcwB0AHUAcgBlAFIAYQBuAGcAZQBBAG4AZABQAGEAZABkAG8AYwBrAF8ATgBJAFIAUgBlAGYAZQByAGUAbgBjAGUAIgAsACIAQwBvAG0AbQBvAG4AXwBTAG8AdQByAGMAZQBEAGEAdABhAC4AQwBvAG0AbQBvAG4AXwBTAG8AdQByAGMAZQBEAGEAdABhAF8ARQBGAFAAYQBzAHQAdQByAGUAUgBhAG4AZwBlAEEAbgBkAFAAYQBkAGQAbwBjAGsAXwBEAGEAdABhACIALAAiAEMAbwBtAG0AbwBuAF8AUwBvAHUAcgBjAGUARABhAHQAYQAuAEMAbwBtAG0AbwBuAF8AUwBvAHUAcgBjAGUARABhAHQAYQBfAEUARgBQAGEAcwB0AHUAcgBlAFIAYQBuAGcAZQBBAG4AZABQAGEAZABkAG8AYwBrAF8AVgBhAHIAaQBhAHQAaQBvAG4AIgAsACIAQwBvAG0AbQBvAG4AXwBTAG8AdQByAGMAZQBEAGEAdABhAC4AQwBvAG0AbQBvAG4AXwBTAG8AdQByAGMAZQBEAGEAdABhAF8ATQBvAG4AdABoAHMAVABvAFMAZQBhAHMAbwBuAHMAXwBUAGkAdABsAGUAIgAsACIAQwBvAG0AbQBvAG4AXwBTAG8AdQByAGMAZQBEAGEAdABhAC4AQwBvAG0AbQBvAG4AXwBTAG8AdQByAGMAZQBEAGEAdABhAF8ATQBvAG4AdABoAHMAVABvAFMAZQBhAHMAbwBuAHMAXwBVAG4AaQB0ACIALAAiAEMAbwBtAG0AbwBuAF8AUwBvAHUAcgBjAGUARABhAHQAYQAuAEMAbwBtAG0AbwBuAF8AUwBvAHUAcgBjAGUARABhAHQAYQBfAE0AbwBuAHQAaABzAFQAbwBTAGUAYQBzAG8AbgBzAF8AUwBvAHUAcgBjAGUAIgAsACIAQwBvAG0AbQBvAG4AXwBTAG8AdQByAGMAZQBEAGEAdABhAC4AQwBvAG0AbQBvAG4AXwBTAG8AdQByAGMAZQBEAGEAdABhAF8ATQBvAG4AdABoAHMAVABvAFMAZQBhAHMAbwBuAHMAXwBOAEkAUgBSAGUAZgBlAHIAZQBuAGMAZQAiACwAIgBDAG8AbQBtAG8AbgBfAFMAbwB1AHIAYwBlAEQAYQB0AGEALgBDAG8AbQBtAG8AbgBfAFMAbwB1AHIAYwBlAEQAYQB0AGEAXwBNAG8AbgB0AGgAcwBUAG8AUwBlAGEAcwBvAG4AcwBfAEQAYQB0AGEAIgAsACIAQwBvAG0AbQBvAG4AXwBTAG8AdQByAGMAZQBEAGEAdABhAC4AQwBvAG0AbQBvAG4AXwBTAG8AdQByAGMAZQBEAGEAdABhAF8ATQBvAG4AdABoAHMAVABvAFMAZQBhAHMAbwBuAHMAXwBWAGEAcgBpAGEAdABpAG8AbgAiACwAIgBDAG8AbQBtAG8AbgBfAFMAbwB1AHIAYwBlAEQAYQB0AGEALgBDAG8AbQBtAG8AbgBfAFMAbwB1AHIAYwBlAEQAYQB0AGEAXwBNAEMARgBUAGUAbQBwAGUAcgBhAHQAdQByAGUAWgBvAG4AZQBfAFQAaQB0AGwAZQAiACwAIgBDAG8AbQBtAG8AbgBfAFMAbwB1AHIAYwBlAEQAYQB0AGEALgBDAG8AbQBtAG8AbgBfAFMAbwB1AHIAYwBlAEQAYQB0AGEAXwBNAEMARgBUAGUAbQBwAGUAcgBhAHQAdQByAGUAWgBvAG4AZQBfAFUAbgBpAHQAIgAsACIAQwBvAG0AbQBvAG4AXwBTAG8AdQByAGMAZQBEAGEAdABhAC4AQwBvAG0AbQBvAG4AXwBTAG8AdQByAGMAZQBEAGEAdABhAF8ATQBDAEYAVABlAG0AcABlAHIAYQB0AHUAcgBlAFoAbwBuAGUAXwBTAG8AdQByAGMAZQAiACwAIgBDAG8AbQBtAG8AbgBfAFMAbwB1AHIAYwBlAEQAYQB0AGEALgBDAG8AbQBtAG8AbgBfAFMAbwB1AHIAYwBlAEQAYQB0AGEAXwBNAEMARgBUAGUAbQBwAGUAcgBhAHQAdQByAGUAWgBvAG4AZQBfAEQAYQB0AGEAIgAsACIAQwBvAG0AbQBvAG4AXwBTAG8AdQByAGMAZQBEAGEAdABhAC4AQwBvAG0AbQBvAG4AXwBTAG8AdQByAGMAZQBEAGEAdABhAF8ATQBDAEYAVABlAG0AcABlAHIAYQB0AHUAcgBlAFoAbwBuAGUAXwBWAGEAcgBpAGEAdABpAG8AbgAiACwAIgBDAG8AbQBtAG8AbgBfAFMAbwB1AHIAYwBlAEQAYQB0AGEALgBDAG8AbQBtAG8AbgBfAFMAbwB1AHIAYwBlAEQAYQB0AGEAXwBFAEYATwByAGcAYQBuAGkAYwBGAGUAcgB0AGkAbABpAHMAZQByAEEAbgBkAEMAcgBvAHAAUgBlAHMAaQBkAHUAZQBzAF8AVABpAHQAbABlACIALAAiAEMAbwBtAG0AbwBuAF8AUwBvAHUAcgBjAGUARABhAHQAYQAuAEMAbwBtAG0AbwBuAF8AUwBvAHUAcgBjAGUARABhAHQAYQBfAEUARgBPAHIAZwBhAG4AaQBjAEYAZQByAHQAaQBsAGkAcwBlAHIAQQBuAGQAQwByAG8AcABSAGUAcwBpAGQAdQBlAHMAXwBWAGEAcgBpAGEAYgBsAGUAIgAsACIAQwBvAG0AbQBvAG4AXwBTAG8AdQByAGMAZQBEAGEAdABhAC4AQwBvAG0AbQBvAG4AXwBTAG8AdQByAGMAZQBEAGEAdABhAF8ARQBGAE8AcgBnAGEAbgBpAGMARgBlAHIAdABpAGwAaQBzAGUAcgBBAG4AZABDAHIAbwBwAFIAZQBzAGkAZAB1AGUAcwBfAFUAbgBpAHQAIgAsACIAQwBvAG0AbQBvAG4AXwBTAG8AdQByAGMAZQBEAGEAdABhAC4AQwBvAG0AbQBvAG4AXwBTAG8AdQByAGMAZQBEAGEAdABhAF8ARQBGAE8AcgBnAGEAbgBpAGMARgBlAHIAdABpAGwAaQBzAGUAcgBBAG4AZABDAHIAbwBwAFIAZQBzAGkAZAB1AGUAcwBfAFMAbwB1AHIAYwBlACIALAAiAEMAbwBtAG0AbwBuAF8AUwBvAHUAcgBjAGUARABhAHQAYQAuAEMAbwBtAG0AbwBuAF8AUwBvAHUAcgBjAGUARABhAHQAYQBfAEUARgBPAHIAZwBhAG4AaQBjAEYAZQByAHQAaQBsAGkAcwBlAHIAQQBuAGQAQwByAG8AcABSAGUAcwBpAGQAdQBlAHMAXwBOAEkAUgBSAGUAZgBlAHIAZQBuAGMAZQAiACwAIgBDAG8AbQBtAG8AbgBfAFMAbwB1AHIAYwBlAEQAYQB0AGEALgBDAG8AbQBtAG8AbgBfAFMAbwB1AHIAYwBlAEQAYQB0AGEAXwBFAEYATwByAGcAYQBuAGkAYwBGAGUAcgB0AGkAbABpAHMAZQByAEEAbgBkAEMAcgBvAHAAUgBlAHMAaQBkAHUAZQBzAF8ARABhAHQAYQAiACwAIgBDAG8AbQBtAG8AbgBfAFMAbwB1AHIAYwBlAEQAYQB0AGEALgBDAG8AbQBtAG8AbgBfAFMAbwB1AHIAYwBlAEQAYQB0AGEAXwBFAEYATwByAGcAYQBuAGkAYwBGAGUAcgB0AGkAbABpAHMAZQByAEEAbgBkAEMAcgBvAHAAUgBlAHMAaQBkAHUAZQBzAF8AVgBhAHIAaQBhAHQAaQBvAG4AIgAsACIAQwBvAG0AbQBvAG4AXwBFAHEAdQBhAHQAaQBvAG4AcwAuAEMAbwBtAG0AbwBuAF8AQwBvAG4AdgBlAHIAdABOADIATwBUAG8AQwBPADIAZQAiACwAIgBDAG8AbQBtAG8AbgBfAEUAcQB1AGEAdABpAG8AbgBzAC4AQwBvAG0AbQBvAG4AXwBDAG8AbgB2AGUAcgB0AE4AMgBPAFQAbwBDAE8AMgBlAF8AVABpAHQAbABlACIALAAiAEMAbwBtAG0AbwBuAF8ARQBxAHUAYQB0AGkAbwBuAHMALgBDAG8AbQBtAG8AbgBfAEMAbwBuAHYAZQByAHQATgAyAE8AVABvAEMATwAyAGUAXwBWAGEAcgBpAGEAYgBsAGUAIgAsACIAQwBvAG0AbQBvAG4AXwBFAHEAdQBhAHQAaQBvAG4AcwAuAEMAbwBtAG0AbwBuAF8AQwBvAG4AdgBlAHIAdABOADIATwBUAG8AQwBPADIAZQBfAFUAbgBpAHQAIgAsACIAQwBvAG0AbQBvAG4AXwBFAHEAdQBhAHQAaQBvAG4AcwAuAEMAbwBtAG0AbwBuAF8AQwBvAG4AdgBlAHIAdABOADIATwBUAG8AQwBPADIAZQBfAE4ASQBSAFIAZQBmAGUAcgBlAG4AYwBlACIALAAiAEMAbwBtAG0AbwBuAF8ARQBxAHUAYQB0AGkAbwBuAHMALgBDAG8AbQBtAG8AbgBfAEMAbwBuAHYAZQByAHQATgAyAE8AVABvAEMATwAyAGUAXwBMAGEAdABlAHgARQBxAHUAYQB0AGkAbwBuACIALAAiAEMAbwBtAG0AbwBuAF8ARQBxAHUAYQB0AGkAbwBuAHMALgBDAG8AbQBtAG8AbgBfAEMAbwBuAHYAZQByAHQATgAyAE8AVABvAEMATwAyAGUAXwBBAHIAZwB1AG0AZQBuAHQAcwAiACwAIgBDAG8AbQBtAG8AbgBfAEUAcQB1AGEAdABpAG8AbgBzAC4AQwBvAG0AbQBvAG4AXwBDAG8AbgB2AGUAcgB0AEMASAA0AFQAbwBDAE8AMgBlACIALAAiAEMAbwBtAG0AbwBuAF8ARQBxAHUAYQB0AGkAbwBuAHMALgBDAG8AbQBtAG8AbgBfAEMAbwBuAHYAZQByAHQAQwBIADQAVABvAEMATwAyAGUAXwBUAGkAdABsAGUAIgAsACIAQwBvAG0AbQBvAG4AXwBFAHEAdQBhAHQAaQBvAG4AcwAuAEMAbwBtAG0AbwBuAF8AQwBvAG4AdgBlAHIAdABDAEgANABUAG8AQwBPADIAZQBfAFYAYQByAGkAYQBiAGwAZQAiACwAIgBDAG8AbQBtAG8AbgBfAEUAcQB1AGEAdABpAG8AbgBzAC4AQwBvAG0AbQBvAG4AXwBDAG8AbgB2AGUAcgB0AEMASAA0AFQAbwBDAE8AMgBlAF8AVQBuAGkAdAAiACwAIgBDAG8AbQBtAG8AbgBfAEUAcQB1AGEAdABpAG8AbgBzAC4AQwBvAG0AbQBvAG4AXwBDAG8AbgB2AGUAcgB0AEMASAA0AFQAbwBDAE8AMgBlAF8ATgBJAFIAUgBlAGYAZQByAGUAbgBjAGUAIgAsACIAQwBvAG0AbQBvAG4AXwBFAHEAdQBhAHQAaQBvAG4AcwAuAEMAbwBtAG0AbwBuAF8AQwBvAG4AdgBlAHIAdABDAEgANABUAG8AQwBPADIAZQBfAEwAYQB0AGUAeABFAHEAdQBhAHQAaQBvAG4AIgAsACIAQwBvAG0AbQBvAG4AXwBFAHEAdQBhAHQAaQBvAG4AcwAuAEMAbwBtAG0AbwBuAF8AQwBvAG4AdgBlAHIAdABDAEgANABUAG8AQwBPADIAZQBfAEEAcgBnAHUAbQBlAG4AdABzACIALAAiAEYAdQBlAGwAXwBJAG4AcAB1AHQARgB1AG4AYwB0AGkAbwBuAHMALgBGAHUAZQBsAF8ARwBlAHQAVAByAGEAbgBzAHAAbwByAHQARgB1AGUAbABTAHQAcgBpAG4AZwAiACwAIgBGAHUAZQBsAF8ASQBuAHAAdQB0AEYAdQBuAGMAdABpAG8AbgBzAC4ARgB1AGUAbABfAEcAZQB0AFMAdABhAHQAaQBvAG4AYQByAHkARgB1AGUAbABTAHQAcgBpAG4AZwAiACwAIgBGAHUAZQBsAF8ASQBuAHAAdQB0AEYAdQBuAGMAdABpAG8AbgBzAC4ARgB1AGUAbABfAFQAbwB0AGEAbABDAG8AbgBzAHUAbQBwAHQAaQBvAG4AIgAsACIARgBlAHIAdABpAGwAaQBzAGUAcgBfAFMAbwB1AHIAYwBlAEQAYQB0AGEALgBGAGUAcgB0AGkAbABpAHMAZQByAF8AQwBoAGUAbQBpAGMAYQBsAEMAbwBtAHAAbwB1AG4AZABFAGwAZQBtAGUAbgB0AHMAXwBUAGkAdABsAGUAIgAsACIARgBlAHIAdABpAGwAaQBzAGUAcgBfAFMAbwB1AHIAYwBlAEQAYQB0AGEALgBGAGUAcgB0AGkAbABpAHMAZQByAF8AQwBoAGUAbQBpAGMAYQBsAEMAbwBtAHAAbwB1AG4AZABFAGwAZQBtAGUAbgB0AHMAXwBTAG8AdQByAGMAZQAiACwAIgBGAGUAcgB0AGkAbABpAHMAZQByAF8AUwBvAHUAcgBjAGUARABhAHQAYQAuAEYAZQByAHQAaQBsAGkAcwBlAHIAXwBDAGgAZQBtAGkAYwBhAGwAQwBvAG0AcABvAHUAbgBkAEUAbABlAG0AZQBuAHQAcwBfAEQAYQB0AGEAIgAsACIARgBlAHIAdABpAGwAaQBzAGUAcgBfAFMAbwB1AHIAYwBlAEQAYQB0AGEALgBGAGUAcgB0AGkAbABpAHMAZQByAF8AQwBoAGUAbQBpAGMAYQBsAEMAbwBtAHAAbwB1AG4AZABFAGwAZQBtAGUAbgB0AHMAXwBWAGEAcgBpAGEAdABpAG8AbgAiACwAIgBGAGUAcgB0AGkAbABpAHMAZQByAF8AUwBvAHUAcgBjAGUARABhAHQAYQAuAEYAZQByAHQAaQBsAGkAcwBlAHIAXwBGAHIAYQBjAEcAQQBTAEYAXwBUAGkAdABsAGUAIgAsACIARgBlAHIAdABpAGwAaQBzAGUAcgBfAFMAbwB1AHIAYwBlAEQAYQB0AGEALgBGAGUAcgB0AGkAbABpAHMAZQByAF8ARgByAGEAYwBHAEEAUwBGAF8AUwBvAHUAcgBjAGUAIgAsACIARgBlAHIAdABpAGwAaQBzAGUAcgBfAFMAbwB1AHIAYwBlAEQAYQB0AGEALgBGAGUAcgB0AGkAbABpAHMAZQByAF8ARgByAGEAYwBHAEEAUwBGAF8ARABhAHQAYQAiACwAIgBGAGUAcgB0AGkAbABpAHMAZQByAF8AUwBvAHUAcgBjAGUARABhAHQAYQAuAEYAZQByAHQAaQBsAGkAcwBlAHIAXwBGAHIAYQBjAEcAQQBTAEYAXwBWAGEAcgBpAGEAdABpAG8AbgAiACwAIgBGAGUAcgB0AGkAbABpAHMAZQByAF8AUwBvAHUAcgBjAGUARABhAHQAYQAuAEYAZQByAHQAaQBsAGkAcwBlAHIAXwBFAEYAVQByAGUAYQBDAE8AMgBfAFQAaQB0AGwAZQAiACwAIgBGAGUAcgB0AGkAbABpAHMAZQByAF8AUwBvAHUAcgBjAGUARABhAHQAYQAuAEYAZQByAHQAaQBsAGkAcwBlAHIAXwBFAEYAVQByAGUAYQBDAE8AMgBfAFMAbwB1AHIAYwBlACIALAAiAEYAZQByAHQAaQBsAGkAcwBlAHIAXwBTAG8AdQByAGMAZQBEAGEAdABhAC4ARgBlAHIAdABpAGwAaQBzAGUAcgBfAEUARgBVAHIAZQBhAEMATwAyAF8AVgBhAHIAaQBhAGIAbABlACIALAAiAEYAZQByAHQAaQBsAGkAcwBlAHIAXwBTAG8AdQByAGMAZQBEAGEAdABhAC4ARgBlAHIAdABpAGwAaQBzAGUAcgBfAEUARgBVAHIAZQBhAEMATwAyAF8AVQBuAGkAdAAiACwAIgBGAGUAcgB0AGkAbABpAHMAZQByAF8AUwBvAHUAcgBjAGUARABhAHQAYQAuAEYAZQByAHQAaQBsAGkAcwBlAHIAXwBFAEYAVQByAGUAYQBDAE8AMgBfAEQAYQB0AGEAIgAsACIARgBlAHIAdABpAGwAaQBzAGUAcgBfAFMAbwB1AHIAYwBlAEQAYQB0AGEALgBGAGUAcgB0AGkAbABpAHMAZQByAF8ARQBGAFUAcgBlAGEAQwBPADIAXwBWAGEAcgBpAGEAdABpAG8AbgAiACwAIgBGAGUAcgB0AGkAbABpAHMAZQByAF8AUwBvAHUAcgBjAGUARABhAHQAYQAuAEYAZQByAHQAaQBsAGkAcwBlAHIAXwBGAHIAYQBjAEcAQQBTAE0AUwBvAGkAbABfAFQAaQB0AGwAZQAiACwAIgBGAGUAcgB0AGkAbABpAHMAZQByAF8AUwBvAHUAcgBjAGUARABhAHQAYQAuAEYAZQByAHQAaQBsAGkAcwBlAHIAXwBGAHIAYQBjAEcAQQBTAE0AUwBvAGkAbABfAFMAbwB1AHIAYwBlACIALAAiAEYAZQByAHQAaQBsAGkAcwBlAHIAXwBTAG8AdQByAGMAZQBEAGEAdABhAC4ARgBlAHIAdABpAGwAaQBzAGUAcgBfAEYAcgBhAGMARwBBAFMATQBTAG8AaQBsAF8AVgBhAHIAaQBhAGIAbABlACIALAAiAEYAZQByAHQAaQBsAGkAcwBlAHIAXwBTAG8AdQByAGMAZQBEAGEAdABhAC4ARgBlAHIAdABpAGwAaQBzAGUAcgBfAEYAcgBhAGMARwBBAFMATQBTAG8AaQBsAF8AVQBuAGkAdAAiACwAIgBGAGUAcgB0AGkAbABpAHMAZQByAF8AUwBvAHUAcgBjAGUARABhAHQAYQAuAEYAZQByAHQAaQBsAGkAcwBlAHIAXwBGAHIAYQBjAEcAQQBTAE0AUwBvAGkAbABfAEQAYQB0AGEAIgAsACIARgBlAHIAdABpAGwAaQBzAGUAcgBfAFMAbwB1AHIAYwBlAEQAYQB0AGEALgBGAGUAcgB0AGkAbABpAHMAZQByAF8ARgByAGEAYwBHAEEAUwBNAFMAbwBpAGwAXwBWAGEAcgBpAGEAdABpAG8AbgAiACwAIgBGAGUAcgB0AGkAbABpAHMAZQByAF8AUwBvAHUAcgBjAGUARABhAHQAYQAuAEYAZQByAHQAaQBsAGkAcwBlAHIAXwBGAHIAYQBjAEwARQBBAEMASABfAFQAaQB0AGwAZQAiACwAIgBGAGUAcgB0AGkAbABpAHMAZQByAF8AUwBvAHUAcgBjAGUARABhAHQAYQAuAEYAZQByAHQAaQBsAGkAcwBlAHIAXwBGAHIAYQBjAEwARQBBAEMASABfAFMAbwB1AHIAYwBlACIALAAiAEYAZQByAHQAaQBsAGkAcwBlAHIAXwBTAG8AdQByAGMAZQBEAGEAdABhAC4ARgBlAHIAdABpAGwAaQBzAGUAcgBfAEYAcgBhAGMATABFAEEAQwBIAF8AVgBhAHIAaQBhAGIAbABlACIALAAiAEYAZQByAHQAaQBsAGkAcwBlAHIAXwBTAG8AdQByAGMAZQBEAGEAdABhAC4ARgBlAHIAdABpAGwAaQBzAGUAcgBfAEYAcgBhAGMATABFAEEAQwBIAF8AVQBuAGkAdAAiACwAIgBGAGUAcgB0AGkAbABpAHMAZQByAF8AUwBvAHUAcgBjAGUARABhAHQAYQAuAEYAZQByAHQAaQBsAGkAcwBlAHIAXwBGAHIAYQBjAEwARQBBAEMASABfAEQAYQB0AGEAIgAsACIARgBlAHIAdABpAGwAaQBzAGUAcgBfAFMAbwB1AHIAYwBlAEQAYQB0AGEALgBGAGUAcgB0AGkAbABpAHMAZQByAF8ARgByAGEAYwBMAEUAQQBDAEgAXwBWAGEAcgBpAGEAdABpAG8AbgAiACwAIgBGAGUAcgB0AGkAbABpAHMAZQByAF8AUwBvAHUAcgBjAGUARABhAHQAYQAuAEYAZQByAHQAaQBsAGkAcwBlAHIAXwBFAEYATABlAGEAYwBoAF8AVABpAHQAbABlACIALAAiAEYAZQByAHQAaQBsAGkAcwBlAHIAXwBTAG8AdQByAGMAZQBEAGEAdABhAC4ARgBlAHIAdABpAGwAaQBzAGUAcgBfAEUARgBMAGUAYQBjAGgAXwBTAG8AdQByAGMAZQAiACwAIgBGAGUAcgB0AGkAbABpAHMAZQByAF8AUwBvAHUAcgBjAGUARABhAHQAYQAuAEYAZQByAHQAaQBsAGkAcwBlAHIAXwBFAEYATABlAGEAYwBoAF8AVgBhAHIAaQBhAGIAbABlACIALAAiAEYAZQByAHQAaQBsAGkAcwBlAHIAXwBTAG8AdQByAGMAZQBEAGEAdABhAC4ARgBlAHIAdABpAGwAaQBzAGUAcgBfAEUARgBMAGUAYQBjAGgAXwBVAG4AaQB0ACIALAAiAEYAZQByAHQAaQBsAGkAcwBlAHIAXwBTAG8AdQByAGMAZQBEAGEAdABhAC4ARgBlAHIAdABpAGwAaQBzAGUAcgBfAEUARgBMAGUAYQBjAGgAXwBEAGEAdABhACIALAAiAEYAZQByAHQAaQBsAGkAcwBlAHIAXwBTAG8AdQByAGMAZQBEAGEAdABhAC4ARgBlAHIAdABpAGwAaQBzAGUAcgBfAEUARgBMAGUAYQBjAGgAXwBWAGEAcgBpAGEAdABpAG8AbgAiACwAIgBGAGUAcgB0AGkAbABpAHMAZQByAF8AUwBvAHUAcgBjAGUARABhAHQAYQAuAEYAZQByAHQAaQBsAGkAcwBlAHIAXwBMAGkAbQBlAEQAbwBsAG8AbQBpAHQAZQBHAHkAcABzAHUAbQBDAG8AbgBzAHQAYQBuAHQAcwBfAFQAaQB0AGwAZQAiACwAIgBGAGUAcgB0AGkAbABpAHMAZQByAF8AUwBvAHUAcgBjAGUARABhAHQAYQAuAEYAZQByAHQAaQBsAGkAcwBlAHIAXwBMAGkAbQBlAEQAbwBsAG8AbQBpAHQAZQBHAHkAcABzAHUAbQBDAG8AbgBzAHQAYQBuAHQAcwBfAEQAZQBzAGMAcgBpAHAAdABpAG8AbgAiACwAIgBGAGUAcgB0AGkAbABpAHMAZQByAF8AUwBvAHUAcgBjAGUARABhAHQAYQAuAEYAZQByAHQAaQBsAGkAcwBlAHIAXwBMAGkAbQBlAEQAbwBsAG8AbQBpAHQAZQBHAHkAcABzAHUAbQBDAG8AbgBzAHQAYQBuAHQAcwBfAFMAbwB1AHIAYwBlACIALAAiAEYAZQByAHQAaQBsAGkAcwBlAHIAXwBTAG8AdQByAGMAZQBEAGEAdABhAC4ARgBlAHIAdABpAGwAaQBzAGUAcgBfAEwAaQBtAGUARABvAGwAbwBtAGkAdABlAEcAeQBwAHMAdQBtAEMAbwBuAHMAdABhAG4AdABzAF8ARABhAHQAYQAiACwAIgBGAGUAcgB0AGkAbABpAHMAZQByAF8AUwBvAHUAcgBjAGUARABhAHQAYQAuAEYAZQByAHQAaQBsAGkAcwBlAHIAXwBMAGkAbQBlAEQAbwBsAG8AbQBpAHQAZQBHAHkAcABzAHUAbQBDAG8AbgBzAHQAYQBuAHQAcwBfAFYAYQByAGkAYQB0AGkAbwBuACIALAAiAEYAZQByAHQAaQBsAGkAcwBlAHIAXwBTAG8AdQByAGMAZQBEAGEAdABhAC4ARgBlAHIAdABpAGwAaQBzAGUAcgBfAEYAcgBhAGMAdABpAG8AbgBOAEMAbwBtAG0AbwBuAEYAZQByAHQAaQBsAGkAcwBlAHIAcwBfAFQAaQB0AGwAZQAiACwAIgBGAGUAcgB0AGkAbABpAHMAZQByAF8AUwBvAHUAcgBjAGUARABhAHQAYQAuAEYAZQByAHQAaQBsAGkAcwBlAHIAXwBGAHIAYQBjAHQAaQBvAG4ATgBDAG8AbQBtAG8AbgBGAGUAcgB0AGkAbABpAHMAZQByAHMAXwBTAG8AdQByAGMAZQAiACwAIgBGAGUAcgB0AGkAbABpAHMAZQByAF8AUwBvAHUAcgBjAGUARABhAHQAYQAuAEYAZQByAHQAaQBsAGkAcwBlAHIAXwBGAHIAYQBjAHQAaQBvAG4ATgBDAG8AbQBtAG8AbgBGAGUAcgB0AGkAbABpAHMAZQByAHMAXwBEAGEAdABhACIALAAiAEYAZQByAHQAaQBsAGkAcwBlAHIAXwBTAG8AdQByAGMAZQBEAGEAdABhAC4ARgBlAHIAdABpAGwAaQBzAGUAcgBfAEYAcgBhAGMAdABpAG8AbgBOAEMAbwBtAG0AbwBuAEYAZQByAHQAaQBsAGkAcwBlAHIAcwBfAFYAYQByAGkAYQB0AGkAbwBuACIALAAiAEYAZQByAHQAaQBsAGkAcwBlAHIAXwBTAG8AdQByAGMAZQBEAGEAdABhAC4ARgBlAHIAdABpAGwAaQBzAGUAcgBfAEYAcgBhAGMAdABpAG8AbgBVAHIAZQBhAEMAbwBtAG0AbwBuAEYAZQByAHQAaQBsAGkAcwBlAHIAcwBfAFQAaQB0AGwAZQAiACwAIgBGAGUAcgB0AGkAbABpAHMAZQByAF8AUwBvAHUAcgBjAGUARABhAHQAYQAuAEYAZQByAHQAaQBsAGkAcwBlAHIAXwBGAHIAYQBjAHQAaQBvAG4AVQByAGUAYQBDAG8AbQBtAG8AbgBGAGUAcgB0AGkAbABpAHMAZQByAHMAXwBTAG8AdQByAGMAZQAiACwAIgBGAGUAcgB0AGkAbABpAHMAZQByAF8AUwBvAHUAcgBjAGUARABhAHQAYQAuAEYAZQByAHQAaQBsAGkAcwBlAHIAXwBGAHIAYQBjAHQAaQBvAG4AVQByAGUAYQBDAG8AbQBtAG8AbgBGAGUAcgB0AGkAbABpAHMAZQByAHMAXwBEAGEAdABhACIALAAiAEYAZQByAHQAaQBsAGkAcwBlAHIAXwBTAG8AdQByAGMAZQBEAGEAdABhAC4ARgBlAHIAdABpAGwAaQBzAGUAcgBfAEYAcgBhAGMAdABpAG8AbgBVAHIAZQBhAEMAbwBtAG0AbwBuAEYAZQByAHQAaQBsAGkAcwBlAHIAcwBfAFYAYQByAGkAYQB0AGkAbwBuACIALAAiAEYAZQByAHQAaQBsAGkAcwBlAHIAXwBTAG8AdQByAGMAZQBEAGEAdABhAC4ARgBlAHIAdABpAGwAaQBzAGUAcgBfAFUAcgBlAGEAQQBtAG0AbwBuAGkAYQBTAG8AdQByAGMAZQBSAGUAZwBpAG8AbgBzAF8AVABpAHQAbABlACIALAAiAEYAZQByAHQAaQBsAGkAcwBlAHIAXwBTAG8AdQByAGMAZQBEAGEAdABhAC4ARgBlAHIAdABpAGwAaQBzAGUAcgBfAFUAcgBlAGEAQQBtAG0AbwBuAGkAYQBTAG8AdQByAGMAZQBSAGUAZwBpAG8AbgBzAF8AUwBvAHUAcgBjAGUAIgAsACIARgBlAHIAdABpAGwAaQBzAGUAcgBfAFMAbwB1AHIAYwBlAEQAYQB0AGEALgBGAGUAcgB0AGkAbABpAHMAZQByAF8AVQByAGUAYQBBAG0AbQBvAG4AaQBhAFMAbwB1AHIAYwBlAFIAZQBnAGkAbwBuAHMAXwBEAGEAdABhACIALAAiAEYAZQByAHQAaQBsAGkAcwBlAHIAXwBTAG8AdQByAGMAZQBEAGEAdABhAC4ARgBlAHIAdABpAGwAaQBzAGUAcgBfAFAAcgBvAGQAdQBjAHQAcwBfAFQAaQB0AGwAZQAiACwAIgBGAGUAcgB0AGkAbABpAHMAZQByAF8AUwBvAHUAcgBjAGUARABhAHQAYQAuAEYAZQByAHQAaQBsAGkAcwBlAHIAXwBQAHIAbwBkAHUAYwB0AHMAXwBTAG8AdQByAGMAZQAiACwAIgBGAGUAcgB0AGkAbABpAHMAZQByAF8AUwBvAHUAcgBjAGUARABhAHQAYQAuAEYAZQByAHQAaQBsAGkAcwBlAHIAXwBQAHIAbwBkAHUAYwB0AHMAXwBEAGEAdABhADEAIgAsACIARgBlAHIAdABpAGwAaQBzAGUAcgBfAEkAbgBwAHUAdABGAHUAbgBjAHQAaQBvAG4AcwAuAEYAZQByAHQAaQBsAGkAcwBlAHIAXwBGAGUAcgB0AGkAbABpAHMAZQByAFAAcgBvAGQAdQBjAHQATABvAG8AawB1AHAAIgAsACIARgBlAHIAdABpAGwAaQBzAGUAcgBfAEkAbgBwAHUAdABGAHUAbgBjAHQAaQBvAG4AcwAuAEYAZQByAHQAaQBsAGkAcwBlAHIAXwBTAHUAbQBQAHIAbwBkAHUAYwB0AEEAcABwAGwAaQBlAGQAIgAsACIARgBlAHIAdABpAGwAaQBzAGUAcgBfAEkAbgBwAHUAdABGAHUAbgBjAHQAaQBvAG4AcwAuAEYAZQByAHQAaQBsAGkAcwBlAHIAXwBUAG8AdABhAGwAUwBvAGkAbABBAG0AZQBuAGQAbQBlAG4AdABBAHAAcABsAGkAZQBkACIALAAiAEYAZQByAHQAaQBsAGkAcwBlAHIAXwBJAG4AcAB1AHQARgB1AG4AYwB0AGkAbwBuAHMALgBGAGUAcgB0AGkAbABpAHMAZQByAF8AVABvAHQAYQBsAEMAaABlAG0AaQBjAGEAbABDAG8AbQBwAG8AdQBuAGQAQQBwAHAAbABpAGUAZABBAGwAbABJAG4AZwByAGUAZABpAGUAbgB0AHMAIgAsACIARgBlAHIAdABpAGwAaQBzAGUAcgBfAEkAbgBwAHUAdABGAHUAbgBjAHQAaQBvAG4AcwAuAEYAZQByAHQAaQBsAGkAcwBlAHIAXwBUAG8AdABhAGwAQwBoAGUAbQBpAGMAYQBsAEMAbwBtAHAAbwB1AG4AZAB0AEEAcABwAGwAaQBlAGQAQgB5AFMAbwB1AHIAYwBlAEEAbABsAEkAbgBnAHIAZQBkAGkAZQBuAHQAcwAiACwAIgBGAGUAcgB0AGkAbABpAHMAZQByAF8ASQBuAHAAdQB0AEYAdQBuAGMAdABpAG8AbgBzAC4ARgBlAHIAdABpAGwAaQBzAGUAcgBfAEcAZQB0AFMAYwBvAHAAZQAzAEUARgAiACwAIgBGAGUAcgB0AGkAbABpAHMAZQByAF8ASQBuAHAAdQB0AEYAdQBuAGMAdABpAG8AbgBzAC4ARgBlAHIAdABpAGwAaQBzAGUAcgBfAEcAZQB0AEMAaABlAG0AaQBjAGEAbABDAG8AbQBwAG8AdQBuAGQARQBsAGUAbQBlAG4AdABGAHIAYQBjAHQAaQBvAG4AIgAsACIARgBlAHIAdABpAGwAaQBzAGUAcgBfAEkAbgBwAHUAdABGAHUAbgBjAHQAaQBvAG4AcwAuAEYAZQByAHQAaQBsAGkAcwBlAHIAXwBUAG8AdABhAGwAQQBjAHQAaQB2AGUASQBuAGcAcgBlAGQAaQBlAG4AdABBAHAAcABsAGkAZQBkAEEAbABsAEkAbgBnAHIAZQBkAGkAZQBuAHQAcwAiACwAIgBFAGwAZQBjAHQAcgBpAGMAaQB0AHkAXwBTAG8AdQByAGMAZQBEAGEAdABhAC4ARQBsAGUAYwB0AHIAaQBjAGkAdAB5AF8AUwBjAG8AcABlADIAUwBjAG8AcABlADMATABvAGMAYQB0AGkAbwBuAEIAYQBzAGUAZABfAFQAaQB0AGwAZQAiACwAIgBFAGwAZQBjAHQAcgBpAGMAaQB0AHkAXwBTAG8AdQByAGMAZQBEAGEAdABhAC4ARQBsAGUAYwB0AHIAaQBjAGkAdAB5AF8AUwBjAG8AcABlADIATABvAGMAYQB0AGkAbwBuAEIAYQBzAGUAZABfAEQAZQBzAGMAcgBpAHAAdABpAG8AbgAiACwAIgBFAGwAZQBjAHQAcgBpAGMAaQB0AHkAXwBTAG8AdQByAGMAZQBEAGEAdABhAC4ARQBsAGUAYwB0AHIAaQBjAGkAdAB5AF8AUwBjAG8AcABlADIAUwBjAG8AcABlADMATABvAGMAYQB0AGkAbwBuAEIAYQBzAGUAZABfAFMAbwB1AHIAYwBlACIALAAiAEUAbABlAGMAdAByAGkAYwBpAHQAeQBfAFMAbwB1AHIAYwBlAEQAYQB0AGEALgBFAGwAZQBjAHQAcgBpAGMAaQB0AHkAXwBTAGMAbwBwAGUAMgBTAGMAbwBwAGUAMwBMAG8AYwBhAHQAaQBvAG4AQgBhAHMAZQBkAF8ARABhAHQAYQAiACwAIgBFAGwAZQBjAHQAcgBpAGMAaQB0AHkAXwBTAG8AdQByAGMAZQBEAGEAdABhAC4ARQBsAGUAYwB0AHIAaQBjAGkAdAB5AF8AUwBjAG8AcABlADIAUwBjAG8AcABlADMATABvAGMAYQB0AGkAbwBuAEIAYQBzAGUAZABfAFYAYQByAGkAYQB0AGkAbwBuACIALAAiAEUAbABlAGMAdAByAGkAYwBpAHQAeQBfAFMAbwB1AHIAYwBlAEQAYQB0AGEALgBFAGwAZQBjAHQAcgBpAGMAaQB0AHkAXwBTAGMAbwBwAGUAMgBTAGMAbwBwAGUAMwBNAGEAcgBrAGUAdABCAGEAcwBlAGQAXwBUAGkAdABsAGUAIgAsACIARQBsAGUAYwB0AHIAaQBjAGkAdAB5AF8AUwBvAHUAcgBjAGUARABhAHQAYQAuAEUAbABlAGMAdAByAGkAYwBpAHQAeQBfAFMAYwBvAHAAZQAyAE0AYQByAGsAZQB0AEIAYQBzAGUAZABfAEQAZQBzAGMAcgBpAHAAdABpAG8AbgAiACwAIgBFAGwAZQBjAHQAcgBpAGMAaQB0AHkAXwBTAG8AdQByAGMAZQBEAGEAdABhAC4ARQBsAGUAYwB0AHIAaQBjAGkAdAB5AF8AUwBjAG8AcABlADIAUwBjAG8AcABlADMATQBhAHIAawBlAHQAQgBhAHMAZQBkAF8AUwBvAHUAcgBjAGUAIgAsACIARQBsAGUAYwB0AHIAaQBjAGkAdAB5AF8AUwBvAHUAcgBjAGUARABhAHQAYQAuAEUAbABlAGMAdAByAGkAYwBpAHQAeQBfAFMAYwBvAHAAZQAyAFMAYwBvAHAAZQAzAE0AYQByAGsAZQB0AEIAYQBzAGUAZABfAEQAYQB0AGEAIgAsACIARQBsAGUAYwB0AHIAaQBjAGkAdAB5AF8AUwBvAHUAcgBjAGUARABhAHQAYQAuAEUAbABlAGMAdAByAGkAYwBpAHQAeQBfAFMAYwBvAHAAZQAyAFMAYwBvAHAAZQAzAE0AYQByAGsAZQB0AEIAYQBzAGUAZABfAFYAYQByAGkAYQB0AGkAbwBuACIALAAiAFMAYwBvAHAAZQAzAF8AUwBvAHUAcgBjAGUARABhAHQAYQAuAFMAYwBvAHAAZQAzAF8ATABpAHYAZQBzAHQAbwBjAGsAXwBUAGkAdABsAGUAIgAsACIAUwBjAG8AcABlADMAXwBTAG8AdQByAGMAZQBEAGEAdABhAC4AUwBjAG8AcABlADMAXwBMAGkAdgBlAHMAdABvAGMAawBfAFMAbwB1AHIAYwBlACIALAAiAFMAYwBvAHAAZQAzAF8AUwBvAHUAcgBjAGUARABhAHQAYQAuAFMAYwBvAHAAZQAzAF8ATABpAHYAZQBzAHQAbwBjAGsAXwBWAGEAcgBpAGEAdABpAG8AbgAiACwAIgBTAGMAbwBwAGUAMwBfAFMAbwB1AHIAYwBlAEQAYQB0AGEALgBTAGMAbwBwAGUAMwBfAEwAaQB2AGUAcwB0AG8AYwBrAF8ARABhAHQAYQAiACwAIgBTAGMAbwBwAGUAMwBfAFMAbwB1AHIAYwBlAEQAYQB0AGEALgBTAGMAbwBwAGUAMwBfAEMAaABlAG0AaQBjAGEAbABzAF8AVABpAHQAbABlACIALAAiAFMAYwBvAHAAZQAzAF8AUwBvAHUAcgBjAGUARABhAHQAYQAuAFMAYwBvAHAAZQAzAF8AQwBoAGUAbQBpAGMAYQBsAHMAXwBTAG8AdQByAGMAZQAiACwAIgBTAGMAbwBwAGUAMwBfAFMAbwB1AHIAYwBlAEQAYQB0AGEALgBTAGMAbwBwAGUAMwBfAEMAaABlAG0AaQBjAGEAbABzAF8AVgBhAHIAaQBhAHQAaQBvAG4AIgAsACIAUwBjAG8AcABlADMAXwBTAG8AdQByAGMAZQBEAGEAdABhAC4AUwBjAG8AcABlADMAXwBDAGgAZQBtAGkAYwBhAGwAcwBfAEQAYQB0AGEAIgAsACIAUwBjAG8AcABlADMAXwBTAG8AdQByAGMAZQBEAGEAdABhAC4AUwBjAG8AcABlADMAXwBGAGUAZQBkAF8AVABpAHQAbABlACIALAAiAFMAYwBvAHAAZQAzAF8AUwBvAHUAcgBjAGUARABhAHQAYQAuAFMAYwBvAHAAZQAzAF8ARgBlAGUAZABfAFMAbwB1AHIAYwBlACIALAAiAFMAYwBvAHAAZQAzAF8AUwBvAHUAcgBjAGUARABhAHQAYQAuAFMAYwBvAHAAZQAzAF8ARgBlAGUAZABfAFYAYQByAGkAYQB0AGkAbwBuACIALAAiAFMAYwBvAHAAZQAzAF8AUwBvAHUAcgBjAGUARABhAHQAYQAuAFMAYwBvAHAAZQAzAF8ARgBlAGUAZABfAEQAYQB0AGEAIgAsACIAUwBjAG8AcABlADMAXwBTAG8AdQByAGMAZQBEAGEAdABhAC4AUwBjAG8AcABlADMAXwBJAG4AbwByAGcAYQBuAGkAYwBGAGUAcgB0AGkAbABpAHMAZQByAHMAXwBUAGkAdABsAGUAIgAsACIAUwBjAG8AcABlADMAXwBTAG8AdQByAGMAZQBEAGEAdABhAC4AUwBjAG8AcABlADMAXwBJAG4AbwByAGcAYQBuAGkAYwBGAGUAcgB0AGkAbABpAHMAZQByAHMAXwBTAG8AdQByAGMAZQAiACwAIgBTAGMAbwBwAGUAMwBfAFMAbwB1AHIAYwBlAEQAYQB0AGEALgBTAGMAbwBwAGUAMwBfAEkAbgBvAHIAZwBhAG4AaQBjAEYAZQByAHQAaQBsAGkAcwBlAHIAcwBfAFYAYQByAGkAYQB0AGkAbwBuACIALAAiAFMAYwBvAHAAZQAzAF8AUwBvAHUAcgBjAGUARABhAHQAYQAuAFMAYwBvAHAAZQAzAF8ASQBuAG8AcgBnAGEAbgBpAGMARgBlAHIAdABpAGwAaQBzAGUAcgBzAF8ARABhAHQAYQAiACwAIgBTAGMAbwBwAGUAMwBfAFMAbwB1AHIAYwBlAEQAYQB0AGEALgBTAGMAbwBwAGUAMwBfAE8AdABoAGUAcgBfAFQAaQB0AGwAZQAiACwAIgBTAGMAbwBwAGUAMwBfAFMAbwB1AHIAYwBlAEQAYQB0AGEALgBTAGMAbwBwAGUAMwBfAE8AdABoAGUAcgBfAFMAbwB1AHIAYwBlACIALAAiAFMAYwBvAHAAZQAzAF8AUwBvAHUAcgBjAGUARABhAHQAYQAuAFMAYwBvAHAAZQAzAF8ATwB0AGgAZQByAF8AVgBhAHIAaQBhAHQAaQBvAG4AIgAsACIAUwBjAG8AcABlADMAXwBTAG8AdQByAGMAZQBEAGEAdABhAC4AUwBjAG8AcABlADMAXwBPAHQAaABlAHIAXwBEAGEAdABhACIALAAiAFMAYwBvAHAAZQAzAF8AUwBvAHUAcgBjAGUARABhAHQAYQAuAFMAYwBvAHAAZQAzAF8AUABhAGMAawBhAGcAaQBuAGcAXwBUAGkAdABsAGUAIgAsACIAUwBjAG8AcABlADMAXwBTAG8AdQByAGMAZQBEAGEAdABhAC4AUwBjAG8AcABlADMAXwBQAGEAYwBrAGEAZwBpAG4AZwBfAFMAbwB1AHIAYwBlACIALAAiAFMAYwBvAHAAZQAzAF8AUwBvAHUAcgBjAGUARABhAHQAYQAuAFMAYwBvAHAAZQAzAF8AUABhAGMAawBhAGcAaQBuAGcAXwBWAGEAcgBpAGEAdABpAG8AbgAiACwAIgBTAGMAbwBwAGUAMwBfAFMAbwB1AHIAYwBlAEQAYQB0AGEALgBTAGMAbwBwAGUAMwBfAFAAYQBjAGsAYQBnAGkAbgBnAF8ARABhAHQAYQAiACwAIgBTAGMAbwBwAGUAMwBfAFMAbwB1AHIAYwBlAEQAYQB0AGEALgBTAGMAbwBwAGUAMwBfAFAAZQBzAHQAaQBjAGkAZABlAHMAXwBUAGkAdABsAGUAIgAsACIAUwBjAG8AcABlADMAXwBTAG8AdQByAGMAZQBEAGEAdABhAC4AUwBjAG8AcABlADMAXwBQAGUAcwB0AGkAYwBpAGQAZQBzAF8AUwBvAHUAcgBjAGUAIgAsACIAUwBjAG8AcABlADMAXwBTAG8AdQByAGMAZQBEAGEAdABhAC4AUwBjAG8AcABlADMAXwBQAGUAcwB0AGkAYwBpAGQAZQBzAF8AVgBhAHIAaQBhAHQAaQBvAG4AIgAsACIAUwBjAG8AcABlADMAXwBTAG8AdQByAGMAZQBEAGEAdABhAC4AUwBjAG8AcABlADMAXwBQAGUAcwB0AGkAYwBpAGQAZQBzAF8ARABhAHQAYQAiACwAIgBTAGMAbwBwAGUAMwBfAFMAbwB1AHIAYwBlAEQAYQB0AGEALgBTAGMAbwBwAGUAMwBfAFMAbwBpAGwAQQBtAGUAbgBkAG0AZQBuAHQAcwBfAFQAaQB0AGwAZQAiACwAIgBTAGMAbwBwAGUAMwBfAFMAbwB1AHIAYwBlAEQAYQB0AGEALgBTAGMAbwBwAGUAMwBfAFMAbwBpAGwAQQBtAGUAbgBkAG0AZQBuAHQAcwBfAFMAbwB1AHIAYwBlACIALAAiAFMAYwBvAHAAZQAzAF8AUwBvAHUAcgBjAGUARABhAHQAYQAuAFMAYwBvAHAAZQAzAF8AUwBvAGkAbABBAG0AZQBuAGQAbQBlAG4AdABzAF8AVgBhAHIAaQBhAHQAaQBvAG4AIgAsACIAUwBjAG8AcABlADMAXwBTAG8AdQByAGMAZQBEAGEAdABhAC4AUwBjAG8AcABlADMAXwBTAG8AaQBsAEEAbQBlAG4AZABtAGUAbgB0AHMAXwBEAGEAdABhACIALAAiAEMAbwBtAG0AbwBuAEwAaQB2AGUAcwB0AG8AYwBrAF8AUwBvAHUAcgBjAGUARABhAHQAYQAuAFMAbwB1AHIAYwBlAEQAYQB0AGEAXwBMAGkAdgBlAHMAdABvAGMAawBfAEMAbwBtAG0AbwBuAF8ARgByAGEAYwBXAEUAVABNAE0AUwBfAFQAaQB0AGwAZQAiACwAIgBDAG8AbQBtAG8AbgBMAGkAdgBlAHMAdABvAGMAawBfAFMAbwB1AHIAYwBlAEQAYQB0AGEALgBTAG8AdQByAGMAZQBEAGEAdABhAF8ATABpAHYAZQBzAHQAbwBjAGsAXwBDAG8AbQBtAG8AbgBfAEYAcgBhAGMAVwBFAFQATQBNAFMAXwBVAG4AaQB0ACIALAAiAEMAbwBtAG0AbwBuAEwAaQB2AGUAcwB0AG8AYwBrAF8AUwBvAHUAcgBjAGUARABhAHQAYQAuAFMAbwB1AHIAYwBlAEQAYQB0AGEAXwBMAGkAdgBlAHMAdABvAGMAawBfAEMAbwBtAG0AbwBuAF8ARgByAGEAYwBXAEUAVABNAE0AUwBfAFMAbwB1AHIAYwBlACIALAAiAEMAbwBtAG0AbwBuAEwAaQB2AGUAcwB0AG8AYwBrAF8AUwBvAHUAcgBjAGUARABhAHQAYQAuAFMAbwB1AHIAYwBlAEQAYQB0AGEAXwBMAGkAdgBlAHMAdABvAGMAawBfAEMAbwBtAG0AbwBuAF8ARgByAGEAYwBXAEUAVABNAE0AUwBfAEQAYQB0AGEAIgAsACIAQwBvAG0AbQBvAG4ATABpAHYAZQBzAHQAbwBjAGsAXwBTAG8AdQByAGMAZQBEAGEAdABhAC4AUwBvAHUAcgBjAGUARABhAHQAYQBfAEwAaQB2AGUAcwB0AG8AYwBrAF8AQwBvAG0AbQBvAG4AXwBGAHIAYQBjAEwARQBBAEMASABfAE0AUwBfAFQAaQB0AGwAZQAiACwAIgBDAG8AbQBtAG8AbgBMAGkAdgBlAHMAdABvAGMAawBfAFMAbwB1AHIAYwBlAEQAYQB0AGEALgBTAG8AdQByAGMAZQBEAGEAdABhAF8ATABpAHYAZQBzAHQAbwBjAGsAXwBDAG8AbQBtAG8AbgBfAEYAcgBhAGMATABFAEEAQwBIAF8ATQBTAF8AVQBuAGkAdAAiACwAIgBDAG8AbQBtAG8AbgBMAGkAdgBlAHMAdABvAGMAawBfAFMAbwB1AHIAYwBlAEQAYQB0AGEALgBTAG8AdQByAGMAZQBEAGEAdABhAF8ATABpAHYAZQBzAHQAbwBjAGsAXwBDAG8AbQBtAG8AbgBfAEYAcgBhAGMATABFAEEAQwBIAF8ATQBTAF8AUwBvAHUAcgBjAGUAIgAsACIAQwBvAG0AbQBvAG4ATABpAHYAZQBzAHQAbwBjAGsAXwBTAG8AdQByAGMAZQBEAGEAdABhAC4AUwBvAHUAcgBjAGUARABhAHQAYQBfAEwAaQB2AGUAcwB0AG8AYwBrAF8AQwBvAG0AbQBvAG4AXwBGAHIAYQBjAEwARQBBAEMASABfAE0AUwBfAEQAYQB0AGEAIgAsACIAQwBvAG0AbQBvAG4ATABpAHYAZQBzAHQAbwBjAGsAXwBTAG8AdQByAGMAZQBEAGEAdABhAC4AUwBvAHUAcgBjAGUARABhAHQAYQBfAEwAaQB2AGUAcwB0AG8AYwBrAF8AQwBvAG0AbQBvAG4AXwBTAHkAbQBiAG8AbABzAE0ATQBTAF8AVABpAHQAbABlACIALAAiAEMAbwBtAG0AbwBuAEwAaQB2AGUAcwB0AG8AYwBrAF8AUwBvAHUAcgBjAGUARABhAHQAYQAuAFMAbwB1AHIAYwBlAEQAYQB0AGEAXwBMAGkAdgBlAHMAdABvAGMAawBfAEMAbwBtAG0AbwBuAF8AUwB5AG0AYgBvAGwAcwBNAE0AUwBfAFYAYQBpAHIAYQBiAGwAZQAiACwAIgBDAG8AbQBtAG8AbgBMAGkAdgBlAHMAdABvAGMAawBfAFMAbwB1AHIAYwBlAEQAYQB0AGEALgBTAG8AdQByAGMAZQBEAGEAdABhAF8ATABpAHYAZQBzAHQAbwBjAGsAXwBDAG8AbQBtAG8AbgBfAFMAeQBtAGIAbwBsAHMATQBNAFMAXwBVAG4AaQB0ACIALAAiAEMAbwBtAG0AbwBuAEwAaQB2AGUAcwB0AG8AYwBrAF8AUwBvAHUAcgBjAGUARABhAHQAYQAuAFMAbwB1AHIAYwBlAEQAYQB0AGEAXwBMAGkAdgBlAHMAdABvAGMAawBfAEMAbwBtAG0AbwBuAF8AUwB5AG0AYgBvAGwAcwBNAE0AUwBfAFMAbwB1AHIAYwBlACIALAAiAEMAbwBtAG0AbwBuAEwAaQB2AGUAcwB0AG8AYwBrAF8AUwBvAHUAcgBjAGUARABhAHQAYQAuAFMAbwB1AHIAYwBlAEQAYQB0AGEAXwBMAGkAdgBlAHMAdABvAGMAawBfAEMAbwBtAG0AbwBuAF8AUwB5AG0AYgBvAGwAcwBNAE0AUwBfAEQAYQB0AGEAIgAsACIAQwBvAG0AbQBvAG4ATABpAHYAZQBzAHQAbwBjAGsAXwBTAG8AdQByAGMAZQBEAGEAdABhAC4AUwBvAHUAcgBjAGUARABhAHQAYQBfAEwAaQB2AGUAcwB0AG8AYwBrAF8AUAByAG8AZAB1AGMAdABfAEIAZQBlAGYAQwBhAHQAdABsAGUAXwBUAGkAdABsAGUAIgAsACIAQwBvAG0AbQBvAG4ATABpAHYAZQBzAHQAbwBjAGsAXwBTAG8AdQByAGMAZQBEAGEAdABhAC4AUwBvAHUAcgBjAGUARABhAHQAYQBfAEwAaQB2AGUAcwB0AG8AYwBrAF8AUAByAG8AZAB1AGMAdABfAEIAZQBlAGYAQwBhAHQAdABsAGUAXwBWAGEAaQByAGEAYgBsAGUAIgAsACIAQwBvAG0AbQBvAG4ATABpAHYAZQBzAHQAbwBjAGsAXwBTAG8AdQByAGMAZQBEAGEAdABhAC4AUwBvAHUAcgBjAGUARABhAHQAYQBfAEwAaQB2AGUAcwB0AG8AYwBrAF8AUAByAG8AZAB1AGMAdABfAEIAZQBlAGYAQwBhAHQAdABsAGUAXwBVAG4AaQB0ACIALAAiAEMAbwBtAG0AbwBuAEwAaQB2AGUAcwB0AG8AYwBrAF8AUwBvAHUAcgBjAGUARABhAHQAYQAuAFMAbwB1AHIAYwBlAEQAYQB0AGEAXwBMAGkAdgBlAHMAdABvAGMAawBfAFAAcgBvAGQAdQBjAHQAXwBCAGUAZQBmAEMAYQB0AHQAbABlAF8AUwBvAHUAcgBjAGUAIgAsACIAQwBvAG0AbQBvAG4ATABpAHYAZQBzAHQAbwBjAGsAXwBTAG8AdQByAGMAZQBEAGEAdABhAC4AUwBvAHUAcgBjAGUARABhAHQAYQBfAEwAaQB2AGUAcwB0AG8AYwBrAF8AUAByAG8AZAB1AGMAdABfAEIAZQBlAGYAQwBhAHQAdABsAGUAXwBEAGEAdABhACIALAAiAEMAbwBtAG0AbwBuAEwAaQB2AGUAcwB0AG8AYwBrAF8AUwBvAHUAcgBjAGUARABhAHQAYQAuAFMAbwB1AHIAYwBlAEQAYQB0AGEAXwBMAGkAdgBlAHMAdABvAGMAawBfAFAAcgBvAGQAdQBjAHQAXwBDAGgAaQBjAGsAZQBuAHMAXwBUAGkAdABsAGUAIgAsACIAQwBvAG0AbQBvAG4ATABpAHYAZQBzAHQAbwBjAGsAXwBTAG8AdQByAGMAZQBEAGEAdABhAC4AUwBvAHUAcgBjAGUARABhAHQAYQBfAEwAaQB2AGUAcwB0AG8AYwBrAF8AUAByAG8AZAB1AGMAdABfAEMAaABpAGMAawBlAG4AcwBfAFYAYQBpAHIAYQBiAGwAZQAiACwAIgBDAG8AbQBtAG8AbgBMAGkAdgBlAHMAdABvAGMAawBfAFMAbwB1AHIAYwBlAEQAYQB0AGEALgBTAG8AdQByAGMAZQBEAGEAdABhAF8ATABpAHYAZQBzAHQAbwBjAGsAXwBQAHIAbwBkAHUAYwB0AF8AQwBoAGkAYwBrAGUAbgBzAF8AVQBuAGkAdAAiACwAIgBDAG8AbQBtAG8AbgBMAGkAdgBlAHMAdABvAGMAawBfAFMAbwB1AHIAYwBlAEQAYQB0AGEALgBTAG8AdQByAGMAZQBEAGEAdABhAF8ATABpAHYAZQBzAHQAbwBjAGsAXwBQAHIAbwBkAHUAYwB0AF8AQwBoAGkAYwBrAGUAbgBzAF8AUwBvAHUAcgBjAGUAIgAsACIAQwBvAG0AbQBvAG4ATABpAHYAZQBzAHQAbwBjAGsAXwBTAG8AdQByAGMAZQBEAGEAdABhAC4AUwBvAHUAcgBjAGUARABhAHQAYQBfAEwAaQB2AGUAcwB0AG8AYwBrAF8AUAByAG8AZAB1AGMAdABfAEMAaABpAGMAawBlAG4AcwBfAEQAYQB0AGEAIgAsACIAQwBvAG0AbQBvAG4ATABpAHYAZQBzAHQAbwBjAGsAXwBTAG8AdQByAGMAZQBEAGEAdABhAC4AUwBvAHUAcgBjAGUARABhAHQAYQBfAEwAaQB2AGUAcwB0AG8AYwBrAF8AUAByAG8AZAB1AGMAdABfAEQAYQBpAHIAeQBjAGEAdAB0AGwAZQBfAFQAaQB0AGwAZQAiACwAIgBDAG8AbQBtAG8AbgBMAGkAdgBlAHMAdABvAGMAawBfAFMAbwB1AHIAYwBlAEQAYQB0AGEALgBTAG8AdQByAGMAZQBEAGEAdABhAF8ATABpAHYAZQBzAHQAbwBjAGsAXwBQAHIAbwBkAHUAYwB0AF8ARABhAGkAcgB5AGMAYQB0AHQAbABlAF8AVgBhAGkAcgBhAGIAbABlACIALAAiAEMAbwBtAG0AbwBuAEwAaQB2AGUAcwB0AG8AYwBrAF8AUwBvAHUAcgBjAGUARABhAHQAYQAuAFMAbwB1AHIAYwBlAEQAYQB0AGEAXwBMAGkAdgBlAHMAdABvAGMAawBfAFAAcgBvAGQAdQBjAHQAXwBEAGEAaQByAHkAYwBhAHQAdABsAGUAXwBVAG4AaQB0ACIALAAiAEMAbwBtAG0AbwBuAEwAaQB2AGUAcwB0AG8AYwBrAF8AUwBvAHUAcgBjAGUARABhAHQAYQAuAFMAbwB1AHIAYwBlAEQAYQB0AGEAXwBMAGkAdgBlAHMAdABvAGMAawBfAFAAcgBvAGQAdQBjAHQAXwBEAGEAaQByAHkAYwBhAHQAdABsAGUAXwBTAG8AdQByAGMAZQAiACwAIgBDAG8AbQBtAG8AbgBMAGkAdgBlAHMAdABvAGMAawBfAFMAbwB1AHIAYwBlAEQAYQB0AGEALgBTAG8AdQByAGMAZQBEAGEAdABhAF8ATABpAHYAZQBzAHQAbwBjAGsAXwBQAHIAbwBkAHUAYwB0AF8ARABhAGkAcgB5AGMAYQB0AHQAbABlAF8ARABhAHQAYQAiACwAIgBDAG8AbQBtAG8AbgBMAGkAdgBlAHMAdABvAGMAawBfAFMAbwB1AHIAYwBlAEQAYQB0AGEALgBTAG8AdQByAGMAZQBEAGEAdABhAF8ATABpAHYAZQBzAHQAbwBjAGsAXwBQAHIAbwBkAHUAYwB0AF8AUABpAGcAcwBfAFQAaQB0AGwAZQAiACwAIgBDAG8AbQBtAG8AbgBMAGkAdgBlAHMAdABvAGMAawBfAFMAbwB1AHIAYwBlAEQAYQB0AGEALgBTAG8AdQByAGMAZQBEAGEAdABhAF8ATABpAHYAZQBzAHQAbwBjAGsAXwBQAHIAbwBkAHUAYwB0AF8AUABpAGcAcwBfAFYAYQBpAHIAYQBiAGwAZQAiACwAIgBDAG8AbQBtAG8AbgBMAGkAdgBlAHMAdABvAGMAawBfAFMAbwB1AHIAYwBlAEQAYQB0AGEALgBTAG8AdQByAGMAZQBEAGEAdABhAF8ATABpAHYAZQBzAHQAbwBjAGsAXwBQAHIAbwBkAHUAYwB0AF8AUABpAGcAcwBfAFUAbgBpAHQAIgAsACIAQwBvAG0AbQBvAG4ATABpAHYAZQBzAHQAbwBjAGsAXwBTAG8AdQByAGMAZQBEAGEAdABhAC4AUwBvAHUAcgBjAGUARABhAHQAYQBfAEwAaQB2AGUAcwB0AG8AYwBrAF8AUAByAG8AZAB1AGMAdABfAFAAaQBnAHMAXwBTAG8AdQByAGMAZQAiACwAIgBDAG8AbQBtAG8AbgBMAGkAdgBlAHMAdABvAGMAawBfAFMAbwB1AHIAYwBlAEQAYQB0AGEALgBTAG8AdQByAGMAZQBEAGEAdABhAF8ATABpAHYAZQBzAHQAbwBjAGsAXwBQAHIAbwBkAHUAYwB0AF8AUABpAGcAcwBfAEQAYQB0AGEAIgAsACIAQwBvAG0AbQBvAG4ATABpAHYAZQBzAHQAbwBjAGsAXwBTAG8AdQByAGMAZQBEAGEAdABhAC4AUwBvAHUAcgBjAGUARABhAHQAYQBfAEwAaQB2AGUAcwB0AG8AYwBrAF8AUAByAG8AZAB1AGMAdABfAFMAaABlAGUAcABfAFQAaQB0AGwAZQAiACwAIgBDAG8AbQBtAG8AbgBMAGkAdgBlAHMAdABvAGMAawBfAFMAbwB1AHIAYwBlAEQAYQB0AGEALgBTAG8AdQByAGMAZQBEAGEAdABhAF8ATABpAHYAZQBzAHQAbwBjAGsAXwBQAHIAbwBkAHUAYwB0AF8AUwBoAGUAZQBwAF8AVgBhAGkAcgBhAGIAbABlACIALAAiAEMAbwBtAG0AbwBuAEwAaQB2AGUAcwB0AG8AYwBrAF8AUwBvAHUAcgBjAGUARABhAHQAYQAuAFMAbwB1AHIAYwBlAEQAYQB0AGEAXwBMAGkAdgBlAHMAdABvAGMAawBfAFAAcgBvAGQAdQBjAHQAXwBTAGgAZQBlAHAAXwBVAG4AaQB0ACIALAAiAEMAbwBtAG0AbwBuAEwAaQB2AGUAcwB0AG8AYwBrAF8AUwBvAHUAcgBjAGUARABhAHQAYQAuAFMAbwB1AHIAYwBlAEQAYQB0AGEAXwBMAGkAdgBlAHMAdABvAGMAawBfAFAAcgBvAGQAdQBjAHQAXwBTAGgAZQBlAHAAXwBTAG8AdQByAGMAZQAiACwAIgBDAG8AbQBtAG8AbgBMAGkAdgBlAHMAdABvAGMAawBfAFMAbwB1AHIAYwBlAEQAYQB0AGEALgBTAG8AdQByAGMAZQBEAGEAdABhAF8ATABpAHYAZQBzAHQAbwBjAGsAXwBQAHIAbwBkAHUAYwB0AF8AUwBoAGUAZQBwAF8ARABhAHQAYQAiACwAIgBTAG8AdQByAGMAZQBEAGEAdABhAF8AUABhAHMAdAB1AHIAZQBCAGUAZQBmAC4AUwBvAHUAcgBjAGUARABhAHQAYQBfAFAAYQBzAHQAdQByAGUAQgBlAGUAZgBfAEwAaQB2AGUAdwBlAGkAZwBoAHQAXwBUAGkAdABsAGUAIgAsACIAUwBvAHUAcgBjAGUARABhAHQAYQBfAFAAYQBzAHQAdQByAGUAQgBlAGUAZgAuAFMAbwB1AHIAYwBlAEQAYQB0AGEAXwBQAGEAcwB0AHUAcgBlAEIAZQBlAGYAXwBMAGkAdgBlAHcAZQBpAGcAaAB0AF8AVgBhAHIAaQBhAGIAbABlACIALAAiAFMAbwB1AHIAYwBlAEQAYQB0AGEAXwBQAGEAcwB0AHUAcgBlAEIAZQBlAGYALgBTAG8AdQByAGMAZQBEAGEAdABhAF8AUABhAHMAdAB1AHIAZQBCAGUAZQBmAF8ATABpAHYAZQB3AGUAaQBnAGgAdABfAFUAbgBpAHQAIgAsACIAUwBvAHUAcgBjAGUARABhAHQAYQBfAFAAYQBzAHQAdQByAGUAQgBlAGUAZgAuAFMAbwB1AHIAYwBlAEQAYQB0AGEAXwBQAGEAcwB0AHUAcgBlAEIAZQBlAGYAXwBMAGkAdgBlAHcAZQBpAGcAaAB0AF8AUwBvAHUAcgBjAGUAIgAsACIAUwBvAHUAcgBjAGUARABhAHQAYQBfAFAAYQBzAHQAdQByAGUAQgBlAGUAZgAuAFMAbwB1AHIAYwBlAEQAYQB0AGEAXwBQAGEAcwB0AHUAcgBlAEIAZQBlAGYAXwBMAGkAdgBlAHcAZQBpAGcAaAB0AF8AVgBhAHIAaQBhAHQAaQBvAG4AIgAsACIAUwBvAHUAcgBjAGUARABhAHQAYQBfAFAAYQBzAHQAdQByAGUAQgBlAGUAZgAuAFMAbwB1AHIAYwBlAEQAYQB0AGEAXwBQAGEAcwB0AHUAcgBlAEIAZQBlAGYAXwBMAGkAdgBlAHcAZQBpAGcAaAB0AF8ARABhAHQAYQAiACwAIgBTAG8AdQByAGMAZQBEAGEAdABhAF8AUABhAHMAdAB1AHIAZQBCAGUAZQBmAC4AUwBvAHUAcgBjAGUARABhAHQAYQBfAFAAYQBzAHQAdQByAGUAQgBlAGUAZgBfAEwAaQB2AGUAdwBlAGkAZwBoAHQATgBUAFEATABEAF8AVABpAHQAbABlACIALAAiAFMAbwB1AHIAYwBlAEQAYQB0AGEAXwBQAGEAcwB0AHUAcgBlAEIAZQBlAGYALgBTAG8AdQByAGMAZQBEAGEAdABhAF8AUABhAHMAdAB1AHIAZQBCAGUAZQBmAF8ATABpAHYAZQB3AGUAaQBnAGgAdABOAFQAUQBMAEQAXwBWAGEAcgBpAGEAYgBsAGUAIgAsACIAUwBvAHUAcgBjAGUARABhAHQAYQBfAFAAYQBzAHQAdQByAGUAQgBlAGUAZgAuAFMAbwB1AHIAYwBlAEQAYQB0AGEAXwBQAGEAcwB0AHUAcgBlAEIAZQBlAGYAXwBMAGkAdgBlAHcAZQBpAGcAaAB0AE4AVABRAEwARABfAFUAbgBpAHQAIgAsACIAUwBvAHUAcgBjAGUARABhAHQAYQBfAFAAYQBzAHQAdQByAGUAQgBlAGUAZgAuAFMAbwB1AHIAYwBlAEQAYQB0AGEAXwBQAGEAcwB0AHUAcgBlAEIAZQBlAGYAXwBMAGkAdgBlAHcAZQBpAGcAaAB0AE4AVABRAEwARABfAFMAbwB1AHIAYwBlACIALAAiAFMAbwB1AHIAYwBlAEQAYQB0AGEAXwBQAGEAcwB0AHUAcgBlAEIAZQBlAGYALgBTAG8AdQByAGMAZQBEAGEAdABhAF8AUABhAHMAdAB1AHIAZQBCAGUAZQBmAF8ATABpAHYAZQB3AGUAaQBnAGgAdABOAFQAUQBMAEQAXwBWAGEAcgBpAGEAdABpAG8AbgAiACwAIgBTAG8AdQByAGMAZQBEAGEAdABhAF8AUABhAHMAdAB1AHIAZQBCAGUAZQBmAC4AUwBvAHUAcgBjAGUARABhAHQAYQBfAFAAYQBzAHQAdQByAGUAQgBlAGUAZgBfAEwAaQB2AGUAdwBlAGkAZwBoAHQATgBUAFEATABEAF8ARABhAHQAYQAiACwAIgBTAG8AdQByAGMAZQBEAGEAdABhAF8AUABhAHMAdAB1AHIAZQBCAGUAZQBmAC4AUwBvAHUAcgBjAGUARABhAHQAYQBfAFAAYQBzAHQAdQByAGUAQgBlAGUAZgBfAEwAaQB2AGUAdwBlAGkAZwBoAHQARwBhAGkAbgBfAFQAaQB0AGwAZQAiACwAIgBTAG8AdQByAGMAZQBEAGEAdABhAF8AUABhAHMAdAB1AHIAZQBCAGUAZQBmAC4AUwBvAHUAcgBjAGUARABhAHQAYQBfAFAAYQBzAHQAdQByAGUAQgBlAGUAZgBfAEwAaQB2AGUAdwBlAGkAZwBoAHQARwBhAGkAbgBfAFYAYQByAGkAYQBiAGwAZQAiACwAIgBTAG8AdQByAGMAZQBEAGEAdABhAF8AUABhAHMAdAB1AHIAZQBCAGUAZQBmAC4AUwBvAHUAcgBjAGUARABhAHQAYQBfAFAAYQBzAHQAdQByAGUAQgBlAGUAZgBfAEwAaQB2AGUAdwBlAGkAZwBoAHQARwBhAGkAbgBfAFUAbgBpAHQAIgAsACIAUwBvAHUAcgBjAGUARABhAHQAYQBfAFAAYQBzAHQAdQByAGUAQgBlAGUAZgAuAFMAbwB1AHIAYwBlAEQAYQB0AGEAXwBQAGEAcwB0AHUAcgBlAEIAZQBlAGYAXwBMAGkAdgBlAHcAZQBpAGcAaAB0AEcAYQBpAG4AXwBTAG8AdQByAGMAZQAiACwAIgBTAG8AdQByAGMAZQBEAGEAdABhAF8AUABhAHMAdAB1AHIAZQBCAGUAZQBmAC4AUwBvAHUAcgBjAGUARABhAHQAYQBfAFAAYQBzAHQAdQByAGUAQgBlAGUAZgBfAEwAaQB2AGUAdwBlAGkAZwBoAHQARwBhAGkAbgBfAFYAYQByAGkAYQB0AGkAbwBuACIALAAiAFMAbwB1AHIAYwBlAEQAYQB0AGEAXwBQAGEAcwB0AHUAcgBlAEIAZQBlAGYALgBTAG8AdQByAGMAZQBEAGEAdABhAF8AUABhAHMAdAB1AHIAZQBCAGUAZQBmAF8ATABpAHYAZQB3AGUAaQBnAGgAdABHAGEAaQBuAF8ARABhAHQAYQAiACwAIgBTAG8AdQByAGMAZQBEAGEAdABhAF8AUABhAHMAdAB1AHIAZQBCAGUAZQBmAC4AUwBvAHUAcgBjAGUARABhAHQAYQBfAFAAYQBzAHQAdQByAGUAQgBlAGUAZgBfAEwAaQB2AGUAdwBlAGkAZwBoAHQARwBhAGkAbgBOAFQAUQBMAEQAXwBUAGkAdABsAGUAIgAsACIAUwBvAHUAcgBjAGUARABhAHQAYQBfAFAAYQBzAHQAdQByAGUAQgBlAGUAZgAuAFMAbwB1AHIAYwBlAEQAYQB0AGEAXwBQAGEAcwB0AHUAcgBlAEIAZQBlAGYAXwBMAGkAdgBlAHcAZQBpAGcAaAB0AEcAYQBpAG4ATgBUAFEATABEAF8AVgBhAHIAaQBhAGIAbABlACIALAAiAFMAbwB1AHIAYwBlAEQAYQB0AGEAXwBQAGEAcwB0AHUAcgBlAEIAZQBlAGYALgBTAG8AdQByAGMAZQBEAGEAdABhAF8AUABhAHMAdAB1AHIAZQBCAGUAZQBmAF8ATABpAHYAZQB3AGUAaQBnAGgAdABHAGEAaQBuAE4AVABRAEwARABfAFUAbgBpAHQAIgAsACIAUwBvAHUAcgBjAGUARABhAHQAYQBfAFAAYQBzAHQAdQByAGUAQgBlAGUAZgAuAFMAbwB1AHIAYwBlAEQAYQB0AGEAXwBQAGEAcwB0AHUAcgBlAEIAZQBlAGYAXwBMAGkAdgBlAHcAZQBpAGcAaAB0AEcAYQBpAG4ATgBUAFEATABEAF8AUwBvAHUAcgBjAGUAIgAsACIAUwBvAHUAcgBjAGUARABhAHQAYQBfAFAAYQBzAHQAdQByAGUAQgBlAGUAZgAuAFMAbwB1AHIAYwBlAEQAYQB0AGEAXwBQAGEAcwB0AHUAcgBlAEIAZQBlAGYAXwBMAGkAdgBlAHcAZQBpAGcAaAB0AEcAYQBpAG4ATgBUAFEATABEAF8AVgBhAHIAaQBhAHQAaQBvAG4AIgAsACIAUwBvAHUAcgBjAGUARABhAHQAYQBfAFAAYQBzAHQAdQByAGUAQgBlAGUAZgAuAFMAbwB1AHIAYwBlAEQAYQB0AGEAXwBQAGEAcwB0AHUAcgBlAEIAZQBlAGYAXwBMAGkAdgBlAHcAZQBpAGcAaAB0AEcAYQBpAG4ATgBUAFEATABEAF8ARABhAHQAYQAiACwAIgBTAG8AdQByAGMAZQBEAGEAdABhAF8AUABhAHMAdAB1AHIAZQBCAGUAZQBmAC4AUwBvAHUAcgBjAGUARABhAHQAYQBfAFAAYQBzAHQAdQByAGUAQgBlAGUAZgBfAEQAcgB5AE0AYQB0AHQAZQByAEQAaQBnAGUAcwB0AGkAYgBpAGwAaQB0AHkAXwBUAGkAdABsAGUAIgAsACIAUwBvAHUAcgBjAGUARABhAHQAYQBfAFAAYQBzAHQAdQByAGUAQgBlAGUAZgAuAFMAbwB1AHIAYwBlAEQAYQB0AGEAXwBQAGEAcwB0AHUAcgBlAEIAZQBlAGYAXwBEAHIAeQBNAGEAdAB0AGUAcgBEAGkAZwBlAHMAdABpAGIAaQBsAGkAdAB5AF8AVgBhAHIAaQBhAGIAbABlACIALAAiAFMAbwB1AHIAYwBlAEQAYQB0AGEAXwBQAGEAcwB0AHUAcgBlAEIAZQBlAGYALgBTAG8AdQByAGMAZQBEAGEAdABhAF8AUABhAHMAdAB1AHIAZQBCAGUAZQBmAF8ARAByAHkATQBhAHQAdABlAHIARABpAGcAZQBzAHQAaQBiAGkAbABpAHQAeQBfAFUAbgBpAHQAIgAsACIAUwBvAHUAcgBjAGUARABhAHQAYQBfAFAAYQBzAHQAdQByAGUAQgBlAGUAZgAuAFMAbwB1AHIAYwBlAEQAYQB0AGEAXwBQAGEAcwB0AHUAcgBlAEIAZQBlAGYAXwBEAHIAeQBNAGEAdAB0AGUAcgBEAGkAZwBlAHMAdABpAGIAaQBsAGkAdAB5AF8AUwBvAHUAcgBjAGUAIgAsACIAUwBvAHUAcgBjAGUARABhAHQAYQBfAFAAYQBzAHQAdQByAGUAQgBlAGUAZgAuAFMAbwB1AHIAYwBlAEQAYQB0AGEAXwBQAGEAcwB0AHUAcgBlAEIAZQBlAGYAXwBEAHIAeQBNAGEAdAB0AGUAcgBEAGkAZwBlAHMAdABpAGIAaQBsAGkAdAB5AF8AVgBhAHIAaQBhAHQAaQBvAG4AIgAsACIAUwBvAHUAcgBjAGUARABhAHQAYQBfAFAAYQBzAHQAdQByAGUAQgBlAGUAZgAuAFMAbwB1AHIAYwBlAEQAYQB0AGEAXwBQAGEAcwB0AHUAcgBlAEIAZQBlAGYAXwBEAHIAeQBNAGEAdAB0AGUAcgBEAGkAZwBlAHMAdABpAGIAaQBsAGkAdAB5AF8ARABhAHQAYQAiACwAIgBTAG8AdQByAGMAZQBEAGEAdABhAF8AUABhAHMAdAB1AHIAZQBCAGUAZQBmAC4AUwBvAHUAcgBjAGUARABhAHQAYQBfAFAAYQBzAHQAdQByAGUAQgBlAGUAZgBfAEMAcgB1AGQAZQBQAHIAbwB0AGUAaQBuAEMAbwBuAHQAZQBuAHQAXwBUAGkAdABsAGUAIgAsACIAUwBvAHUAcgBjAGUARABhAHQAYQBfAFAAYQBzAHQAdQByAGUAQgBlAGUAZgAuAFMAbwB1AHIAYwBlAEQAYQB0AGEAXwBQAGEAcwB0AHUAcgBlAEIAZQBlAGYAXwBDAHIAdQBkAGUAUAByAG8AdABlAGkAbgBDAG8AbgB0AGUAbgB0AF8AVgBhAHIAaQBhAGIAbABlACIALAAiAFMAbwB1AHIAYwBlAEQAYQB0AGEAXwBQAGEAcwB0AHUAcgBlAEIAZQBlAGYALgBTAG8AdQByAGMAZQBEAGEAdABhAF8AUABhAHMAdAB1AHIAZQBCAGUAZQBmAF8AQwByAHUAZABlAFAAcgBvAHQAZQBpAG4AQwBvAG4AdABlAG4AdABfAFUAbgBpAHQAIgAsACIAUwBvAHUAcgBjAGUARABhAHQAYQBfAFAAYQBzAHQAdQByAGUAQgBlAGUAZgAuAFMAbwB1AHIAYwBlAEQAYQB0AGEAXwBQAGEAcwB0AHUAcgBlAEIAZQBlAGYAXwBDAHIAdQBkAGUAUAByAG8AdABlAGkAbgBDAG8AbgB0AGUAbgB0AF8AUwBvAHUAcgBjAGUAIgAsACIAUwBvAHUAcgBjAGUARABhAHQAYQBfAFAAYQBzAHQAdQByAGUAQgBlAGUAZgAuAFMAbwB1AHIAYwBlAEQAYQB0AGEAXwBQAGEAcwB0AHUAcgBlAEIAZQBlAGYAXwBDAHIAdQBkAGUAUAByAG8AdABlAGkAbgBDAG8AbgB0AGUAbgB0AF8AVgBhAHIAaQBhAHQAaQBvAG4AIgAsACIAUwBvAHUAcgBjAGUARABhAHQAYQBfAFAAYQBzAHQAdQByAGUAQgBlAGUAZgAuAFMAbwB1AHIAYwBlAEQAYQB0AGEAXwBQAGEAcwB0AHUAcgBlAEIAZQBlAGYAXwBDAHIAdQBkAGUAUAByAG8AdABlAGkAbgBDAG8AbgB0AGUAbgB0AF8ARABhAHQAYQAiACwAIgBTAG8AdQByAGMAZQBEAGEAdABhAF8AUABhAHMAdAB1AHIAZQBCAGUAZQBmAC4AUwBvAHUAcgBjAGUARABhAHQAYQBfAFAAYQBzAHQAdQByAGUAQgBlAGUAZgBfAEYAZQBlAGQAQQBkAGoAdQBzAHQAbQBlAG4AdABBAG4AZABNAGkAbABrAFAAcgBvAGQAdQBjAHQAaQBvAG4AXwBUAGkAdABsAGUAIgAsACIAUwBvAHUAcgBjAGUARABhAHQAYQBfAFAAYQBzAHQAdQByAGUAQgBlAGUAZgAuAFMAbwB1AHIAYwBlAEQAYQB0AGEAXwBQAGEAcwB0AHUAcgBlAEIAZQBlAGYAXwBGAGUAZQBkAEEAZABqAHUAcwB0AG0AZQBuAHQAQQBuAGQATQBpAGwAawBQAHIAbwBkAHUAYwB0AGkAbwBuAF8AVgBhAHIAaQBhAGIAbABlACIALAAiAFMAbwB1AHIAYwBlAEQAYQB0AGEAXwBQAGEAcwB0AHUAcgBlAEIAZQBlAGYALgBTAG8AdQByAGMAZQBEAGEAdABhAF8AUABhAHMAdAB1AHIAZQBCAGUAZQBmAF8ARgBlAGUAZABBAGQAagB1AHMAdABtAGUAbgB0AEEAbgBkAE0AaQBsAGsAUAByAG8AZAB1AGMAdABpAG8AbgBfAFUAbgBpAHQAIgAsACIAUwBvAHUAcgBjAGUARABhAHQAYQBfAFAAYQBzAHQAdQByAGUAQgBlAGUAZgAuAFMAbwB1AHIAYwBlAEQAYQB0AGEAXwBQAGEAcwB0AHUAcgBlAEIAZQBlAGYAXwBGAGUAZQBkAEEAZABqAHUAcwB0AG0AZQBuAHQAQQBuAGQATQBpAGwAawBQAHIAbwBkAHUAYwB0AGkAbwBuAF8AUwBvAHUAcgBjAGUAIgAsACIAUwBvAHUAcgBjAGUARABhAHQAYQBfAFAAYQBzAHQAdQByAGUAQgBlAGUAZgAuAFMAbwB1AHIAYwBlAEQAYQB0AGEAXwBQAGEAcwB0AHUAcgBlAEIAZQBlAGYAXwBGAGUAZQBkAEEAZABqAHUAcwB0AG0AZQBuAHQAQQBuAGQATQBpAGwAawBQAHIAbwBkAHUAYwB0AGkAbwBuAF8AVgBhAHIAaQBhAHQAaQBvAG4AIgAsACIAUwBvAHUAcgBjAGUARABhAHQAYQBfAFAAYQBzAHQAdQByAGUAQgBlAGUAZgAuAFMAbwB1AHIAYwBlAEQAYQB0AGEAXwBQAGEAcwB0AHUAcgBlAEIAZQBlAGYAXwBGAGUAZQBkAEEAZABqAHUAcwB0AG0AZQBuAHQAQQBuAGQATQBpAGwAawBQAHIAbwBkAHUAYwB0AGkAbwBuAF8ARABhAHQAYQAiACwAIgBTAG8AdQByAGMAZQBEAGEAdABhAF8AUABhAHMAdAB1AHIAZQBCAGUAZQBmAC4AUwBvAHUAcgBjAGUARABhAHQAYQBfAFAAYQBzAHQAdQByAGUAQgBlAGUAZgBfAFMAdABhAG4AZABhAHIAZABSAGUAZgBlAHIAZQBuAGMAZQBXAGUAaQBnAGgAdABzAF8AVABpAHQAbABlACIALAAiAFMAbwB1AHIAYwBlAEQAYQB0AGEAXwBQAGEAcwB0AHUAcgBlAEIAZQBlAGYALgBTAG8AdQByAGMAZQBEAGEAdABhAF8AUABhAHMAdAB1AHIAZQBCAGUAZQBmAF8AUwB0AGEAbgBkAGEAcgBkAFIAZQBmAGUAcgBlAG4AYwBlAFcAZQBpAGcAaAB0AHMAXwBWAGEAcgBpAGEAYgBsAGUAIgAsACIAUwBvAHUAcgBjAGUARABhAHQAYQBfAFAAYQBzAHQAdQByAGUAQgBlAGUAZgAuAFMAbwB1AHIAYwBlAEQAYQB0AGEAXwBQAGEAcwB0AHUAcgBlAEIAZQBlAGYAXwBTAHQAYQBuAGQAYQByAGQAUgBlAGYAZQByAGUAbgBjAGUAVwBlAGkAZwBoAHQAcwBfAFUAbgBpAHQAIgAsACIAUwBvAHUAcgBjAGUARABhAHQAYQBfAFAAYQBzAHQAdQByAGUAQgBlAGUAZgAuAFMAbwB1AHIAYwBlAEQAYQB0AGEAXwBQAGEAcwB0AHUAcgBlAEIAZQBlAGYAXwBTAHQAYQBuAGQAYQByAGQAUgBlAGYAZQByAGUAbgBjAGUAVwBlAGkAZwBoAHQAcwBfAFMAbwB1AHIAYwBlACIALAAiAFMAbwB1AHIAYwBlAEQAYQB0AGEAXwBQAGEAcwB0AHUAcgBlAEIAZQBlAGYALgBTAG8AdQByAGMAZQBEAGEAdABhAF8AUABhAHMAdAB1AHIAZQBCAGUAZQBmAF8AUwB0AGEAbgBkAGEAcgBkAFIAZQBmAGUAcgBlAG4AYwBlAFcAZQBpAGcAaAB0AHMAXwBWAGEAcgBpAGEAdABpAG8AbgAiACwAIgBTAG8AdQByAGMAZQBEAGEAdABhAF8AUABhAHMAdAB1AHIAZQBCAGUAZQBmAC4AUwBvAHUAcgBjAGUARABhAHQAYQBfAFAAYQBzAHQAdQByAGUAQgBlAGUAZgBfAFMAdABhAG4AZABhAHIAZABSAGUAZgBlAHIAZQBuAGMAZQBXAGUAaQBnAGgAdABzAF8ARABhAHQAYQAiACwAIgBTAG8AdQByAGMAZQBEAGEAdABhAF8AUABhAHMAdAB1AHIAZQBCAGUAZQBmAC4AUwBvAHUAcgBjAGUARABhAHQAYQBfAFAAYQBzAHQAdQByAGUAQgBlAGUAZgBfAEYAcgBhAGMAdABpAG8AbgBPAGYATQBhAG4AdQByAGUAVABvAE0ATQBTAF8AVABpAHQAbABlACIALAAiAFMAbwB1AHIAYwBlAEQAYQB0AGEAXwBQAGEAcwB0AHUAcgBlAEIAZQBlAGYALgBTAG8AdQByAGMAZQBEAGEAdABhAF8AUABhAHMAdAB1AHIAZQBCAGUAZQBmAF8ARgByAGEAYwB0AGkAbwBuAE8AZgBNAGEAbgB1AHIAZQBUAG8ATQBNAFMAXwBWAGEAcgBpAGEAYgBsAGUAIgAsACIAUwBvAHUAcgBjAGUARABhAHQAYQBfAFAAYQBzAHQAdQByAGUAQgBlAGUAZgAuAFMAbwB1AHIAYwBlAEQAYQB0AGEAXwBQAGEAcwB0AHUAcgBlAEIAZQBlAGYAXwBGAHIAYQBjAHQAaQBvAG4ATwBmAE0AYQBuAHUAcgBlAFQAbwBNAE0AUwBfAFUAbgBpAHQAIgAsACIAUwBvAHUAcgBjAGUARABhAHQAYQBfAFAAYQBzAHQAdQByAGUAQgBlAGUAZgAuAFMAbwB1AHIAYwBlAEQAYQB0AGEAXwBQAGEAcwB0AHUAcgBlAEIAZQBlAGYAXwBGAHIAYQBjAHQAaQBvAG4ATwBmAE0AYQBuAHUAcgBlAFQAbwBNAE0AUwBfAFMAbwB1AHIAYwBlACIALAAiAFMAbwB1AHIAYwBlAEQAYQB0AGEAXwBQAGEAcwB0AHUAcgBlAEIAZQBlAGYALgBTAG8AdQByAGMAZQBEAGEAdABhAF8AUABhAHMAdAB1AHIAZQBCAGUAZQBmAF8ARgByAGEAYwB0AGkAbwBuAE8AZgBNAGEAbgB1AHIAZQBUAG8ATQBNAFMAXwBWAGEAcgBpAGEAdABpAG8AbgAiACwAIgBTAG8AdQByAGMAZQBEAGEAdABhAF8AUABhAHMAdAB1AHIAZQBCAGUAZQBmAC4AUwBvAHUAcgBjAGUARABhAHQAYQBfAFAAYQBzAHQAdQByAGUAQgBlAGUAZgBfAEYAcgBhAGMAdABpAG8AbgBPAGYATQBhAG4AdQByAGUAVABvAE0ATQBTAF8ARABhAHQAYQAiACwAIgBTAG8AdQByAGMAZQBEAGEAdABhAF8AUABhAHMAdAB1AHIAZQBCAGUAZQBmAC4AUwBvAHUAcgBjAGUARABhAHQAYQBfAFAAYQBzAHQAdQByAGUAQgBlAGUAZgBfAE0AZQB0AGgAYQBuAGUAQwBvAG4AdgBlAHIAcwBpAG8AbgBGAGEAYwB0AG8AcgBQAGUAcgBSAGUAZwBpAG8AbgBfAFQAaQB0AGwAZQAiACwAIgBTAG8AdQByAGMAZQBEAGEAdABhAF8AUABhAHMAdAB1AHIAZQBCAGUAZQBmAC4AUwBvAHUAcgBjAGUARABhAHQAYQBfAFAAYQBzAHQAdQByAGUAQgBlAGUAZgBfAE0AZQB0AGgAYQBuAGUAQwBvAG4AdgBlAHIAcwBpAG8AbgBGAGEAYwB0AG8AcgBQAGUAcgBSAGUAZwBpAG8AbgBfAFYAYQByAGkAYQBiAGwAZQAiACwAIgBTAG8AdQByAGMAZQBEAGEAdABhAF8AUABhAHMAdAB1AHIAZQBCAGUAZQBmAC4AUwBvAHUAcgBjAGUARABhAHQAYQBfAFAAYQBzAHQAdQByAGUAQgBlAGUAZgBfAE0AZQB0AGgAYQBuAGUAQwBvAG4AdgBlAHIAcwBpAG8AbgBGAGEAYwB0AG8AcgBQAGUAcgBSAGUAZwBpAG8AbgBfAFUAbgBpAHQAIgAsACIAUwBvAHUAcgBjAGUARABhAHQAYQBfAFAAYQBzAHQAdQByAGUAQgBlAGUAZgAuAFMAbwB1AHIAYwBlAEQAYQB0AGEAXwBQAGEAcwB0AHUAcgBlAEIAZQBlAGYAXwBNAGUAdABoAGEAbgBlAEMAbwBuAHYAZQByAHMAaQBvAG4ARgBhAGMAdABvAHIAUABlAHIAUgBlAGcAaQBvAG4AXwBTAG8AdQByAGMAZQAiACwAIgBTAG8AdQByAGMAZQBEAGEAdABhAF8AUABhAHMAdAB1AHIAZQBCAGUAZQBmAC4AUwBvAHUAcgBjAGUARABhAHQAYQBfAFAAYQBzAHQAdQByAGUAQgBlAGUAZgBfAE0AZQB0AGgAYQBuAGUAQwBvAG4AdgBlAHIAcwBpAG8AbgBGAGEAYwB0AG8AcgBQAGUAcgBSAGUAZwBpAG8AbgBfAFYAYQByAGkAYQB0AGkAbwBuACIALAAiAFMAbwB1AHIAYwBlAEQAYQB0AGEAXwBQAGEAcwB0AHUAcgBlAEIAZQBlAGYALgBTAG8AdQByAGMAZQBEAGEAdABhAF8AUABhAHMAdAB1AHIAZQBCAGUAZQBmAF8ATQBlAHQAaABhAG4AZQBDAG8AbgB2AGUAcgBzAGkAbwBuAEYAYQBjAHQAbwByAFAAZQByAFIAZQBnAGkAbwBuAF8ARABhAHQAYQAiACwAIgBTAG8AdQByAGMAZQBEAGEAdABhAF8AUABhAHMAdAB1AHIAZQBCAGUAZQBmAC4AUwBvAHUAcgBjAGUARABhAHQAYQBfAFAAYQBzAHQAdQByAGUAQgBlAGUAZgBfAEEAcwBoAEMAbwBuAHQAZQBuAHQATwBmAEYAZQBlAGQASQBuAHQAYQBrAGUAXwBUAGkAdABsAGUAIgAsACIAUwBvAHUAcgBjAGUARABhAHQAYQBfAFAAYQBzAHQAdQByAGUAQgBlAGUAZgAuAFMAbwB1AHIAYwBlAEQAYQB0AGEAXwBQAGEAcwB0AHUAcgBlAEIAZQBlAGYAXwBBAHMAaABDAG8AbgB0AGUAbgB0AE8AZgBGAGUAZQBkAEkAbgB0AGEAawBlAF8AVgBhAHIAaQBhAGIAbABlACIALAAiAFMAbwB1AHIAYwBlAEQAYQB0AGEAXwBQAGEAcwB0AHUAcgBlAEIAZQBlAGYALgBTAG8AdQByAGMAZQBEAGEAdABhAF8AUABhAHMAdAB1AHIAZQBCAGUAZQBmAF8AQQBzAGgAQwBvAG4AdABlAG4AdABPAGYARgBlAGUAZABJAG4AdABhAGsAZQBfAFUAbgBpAHQAIgAsACIAUwBvAHUAcgBjAGUARABhAHQAYQBfAFAAYQBzAHQAdQByAGUAQgBlAGUAZgAuAFMAbwB1AHIAYwBlAEQAYQB0AGEAXwBQAGEAcwB0AHUAcgBlAEIAZQBlAGYAXwBBAHMAaABDAG8AbgB0AGUAbgB0AE8AZgBGAGUAZQBkAEkAbgB0AGEAawBlAF8AUwBvAHUAcgBjAGUAIgAsACIAUwBvAHUAcgBjAGUARABhAHQAYQBfAFAAYQBzAHQAdQByAGUAQgBlAGUAZgAuAFMAbwB1AHIAYwBlAEQAYQB0AGEAXwBQAGEAcwB0AHUAcgBlAEIAZQBlAGYAXwBBAHMAaABDAG8AbgB0AGUAbgB0AE8AZgBGAGUAZQBkAEkAbgB0AGEAawBlAF8AVgBhAHIAaQBhAHQAaQBvAG4AIgAsACIAUwBvAHUAcgBjAGUARABhAHQAYQBfAFAAYQBzAHQAdQByAGUAQgBlAGUAZgAuAFMAbwB1AHIAYwBlAEQAYQB0AGEAXwBQAGEAcwB0AHUAcgBlAEIAZQBlAGYAXwBBAHMAaABDAG8AbgB0AGUAbgB0AE8AZgBGAGUAZQBkAEkAbgB0AGEAawBlAF8ARABhAHQAYQAiACwAIgBTAG8AdQByAGMAZQBEAGEAdABhAF8AUABhAHMAdAB1AHIAZQBCAGUAZQBmAC4AUwBvAHUAcgBjAGUARABhAHQAYQBfAFAAYQBzAHQAdQByAGUAQgBlAGUAZgBfAE0AZQB0AGgAYQBuAGUARQBtAGkAcwBzAGkAbwBuAHMAUABvAHQAZQBuAHQAaQBhAGwAXwBUAGkAdABsAGUAIgAsACIAUwBvAHUAcgBjAGUARABhAHQAYQBfAFAAYQBzAHQAdQByAGUAQgBlAGUAZgAuAFMAbwB1AHIAYwBlAEQAYQB0AGEAXwBQAGEAcwB0AHUAcgBlAEIAZQBlAGYAXwBNAGUAdABoAGEAbgBlAEUAbQBpAHMAcwBpAG8AbgBzAFAAbwB0AGUAbgB0AGkAYQBsAF8AVgBhAHIAaQBhAGIAbABlACIALAAiAFMAbwB1AHIAYwBlAEQAYQB0AGEAXwBQAGEAcwB0AHUAcgBlAEIAZQBlAGYALgBTAG8AdQByAGMAZQBEAGEAdABhAF8AUABhAHMAdAB1AHIAZQBCAGUAZQBmAF8ATQBlAHQAaABhAG4AZQBFAG0AaQBzAHMAaQBvAG4AcwBQAG8AdABlAG4AdABpAGEAbABfAFUAbgBpAHQAIgAsACIAUwBvAHUAcgBjAGUARABhAHQAYQBfAFAAYQBzAHQAdQByAGUAQgBlAGUAZgAuAFMAbwB1AHIAYwBlAEQAYQB0AGEAXwBQAGEAcwB0AHUAcgBlAEIAZQBlAGYAXwBNAGUAdABoAGEAbgBlAEUAbQBpAHMAcwBpAG8AbgBzAFAAbwB0AGUAbgB0AGkAYQBsAF8AUwBvAHUAcgBjAGUAIgAsACIAUwBvAHUAcgBjAGUARABhAHQAYQBfAFAAYQBzAHQAdQByAGUAQgBlAGUAZgAuAFMAbwB1AHIAYwBlAEQAYQB0AGEAXwBQAGEAcwB0AHUAcgBlAEIAZQBlAGYAXwBNAGUAdABoAGEAbgBlAEUAbQBpAHMAcwBpAG8AbgBzAFAAbwB0AGUAbgB0AGkAYQBsAF8AVgBhAHIAaQBhAHQAaQBvAG4AIgAsACIAUwBvAHUAcgBjAGUARABhAHQAYQBfAFAAYQBzAHQAdQByAGUAQgBlAGUAZgAuAFMAbwB1AHIAYwBlAEQAYQB0AGEAXwBQAGEAcwB0AHUAcgBlAEIAZQBlAGYAXwBNAGUAdABoAGEAbgBlAEUAbQBpAHMAcwBpAG8AbgBzAFAAbwB0AGUAbgB0AGkAYQBsAF8ARABhAHQAYQAiACwAIgBTAG8AdQByAGMAZQBEAGEAdABhAF8AUABhAHMAdAB1AHIAZQBCAGUAZQBmAC4AUwBvAHUAcgBjAGUARABhAHQAYQBfAFAAYQBzAHQAdQByAGUAQgBlAGUAZgBfAEYAcgBhAGMARwBBAFMATQBTAG8AaQBsAF8AVABpAHQAbABlACIALAAiAFMAbwB1AHIAYwBlAEQAYQB0AGEAXwBQAGEAcwB0AHUAcgBlAEIAZQBlAGYALgBTAG8AdQByAGMAZQBEAGEAdABhAF8AUABhAHMAdAB1AHIAZQBCAGUAZQBmAF8ARgByAGEAYwBHAEEAUwBNAFMAbwBpAGwAXwBWAGEAcgBpAGEAYgBsAGUAIgAsACIAUwBvAHUAcgBjAGUARABhAHQAYQBfAFAAYQBzAHQAdQByAGUAQgBlAGUAZgAuAFMAbwB1AHIAYwBlAEQAYQB0AGEAXwBQAGEAcwB0AHUAcgBlAEIAZQBlAGYAXwBGAHIAYQBjAEcAQQBTAE0AUwBvAGkAbABfAFUAbgBpAHQAIgAsACIAUwBvAHUAcgBjAGUARABhAHQAYQBfAFAAYQBzAHQAdQByAGUAQgBlAGUAZgAuAFMAbwB1AHIAYwBlAEQAYQB0AGEAXwBQAGEAcwB0AHUAcgBlAEIAZQBlAGYAXwBGAHIAYQBjAEcAQQBTAE0AUwBvAGkAbABfAFMAbwB1AHIAYwBlACIALAAiAFMAbwB1AHIAYwBlAEQAYQB0AGEAXwBQAGEAcwB0AHUAcgBlAEIAZQBlAGYALgBTAG8AdQByAGMAZQBEAGEAdABhAF8AUABhAHMAdAB1AHIAZQBCAGUAZQBmAF8ARgByAGEAYwBHAEEAUwBNAFMAbwBpAGwAXwBWAGEAcgBpAGEAdABpAG8AbgAiACwAIgBTAG8AdQByAGMAZQBEAGEAdABhAF8AUABhAHMAdAB1AHIAZQBCAGUAZQBmAC4AUwBvAHUAcgBjAGUARABhAHQAYQBfAFAAYQBzAHQAdQByAGUAQgBlAGUAZgBfAEYAcgBhAGMARwBBAFMATQBTAG8AaQBsAF8ARABhAHQAYQAiACwAIgBTAG8AdQByAGMAZQBEAGEAdABhAF8AUABhAHMAdAB1AHIAZQBCAGUAZQBmAC4AUwBvAHUAcgBjAGUARABhAHQAYQBfAFAAYQBzAHQAdQByAGUAQgBlAGUAZgBfAEYAcgBhAGMATABFAEEAQwBIAF8AVABpAHQAbABlACIALAAiAFMAbwB1AHIAYwBlAEQAYQB0AGEAXwBQAGEAcwB0AHUAcgBlAEIAZQBlAGYALgBTAG8AdQByAGMAZQBEAGEAdABhAF8AUABhAHMAdAB1AHIAZQBCAGUAZQBmAF8ARgByAGEAYwBMAEUAQQBDAEgAXwBWAGEAcgBpAGEAYgBsAGUAIgAsACIAUwBvAHUAcgBjAGUARABhAHQAYQBfAFAAYQBzAHQAdQByAGUAQgBlAGUAZgAuAFMAbwB1AHIAYwBlAEQAYQB0AGEAXwBQAGEAcwB0AHUAcgBlAEIAZQBlAGYAXwBGAHIAYQBjAEwARQBBAEMASABfAFUAbgBpAHQAIgAsACIAUwBvAHUAcgBjAGUARABhAHQAYQBfAFAAYQBzAHQAdQByAGUAQgBlAGUAZgAuAFMAbwB1AHIAYwBlAEQAYQB0AGEAXwBQAGEAcwB0AHUAcgBlAEIAZQBlAGYAXwBGAHIAYQBjAEwARQBBAEMASABfAFMAbwB1AHIAYwBlACIALAAiAFMAbwB1AHIAYwBlAEQAYQB0AGEAXwBQAGEAcwB0AHUAcgBlAEIAZQBlAGYALgBTAG8AdQByAGMAZQBEAGEAdABhAF8AUABhAHMAdAB1AHIAZQBCAGUAZQBmAF8ARgByAGEAYwBMAEUAQQBDAEgAXwBWAGEAcgBpAGEAdABpAG8AbgAiACwAIgBTAG8AdQByAGMAZQBEAGEAdABhAF8AUABhAHMAdAB1AHIAZQBCAGUAZQBmAC4AUwBvAHUAcgBjAGUARABhAHQAYQBfAFAAYQBzAHQAdQByAGUAQgBlAGUAZgBfAEYAcgBhAGMATABFAEEAQwBIAF8ARABhAHQAYQAiACwAIgBTAGMAbwBwAGUAMwBfAEkAbgBwAHUAdABGAHUAbgBjAHQAaQBvAG4AcwAuAEcAZQB0AEwAaQB2AGUAdwBlAGkAZwBoAHQAXwBQAGEAcwB0AHUAcgBlAEIAZQBlAGYAIgAsACIAUwBvAHUAcgBjAGUARABhAHQAYQBfAEQAYQBpAHIAeQAuAFMAbwB1AHIAYwBlAEQAYQB0AGEAXwBEAGEAaQByAHkAXwBMAGkAdgBlAHcAZQBpAGcAaAB0AEMAbwB3AHMAQQBuAGQASABlAGkAZgBlAHIAcwBfAFQAaQB0AGwAZQAiACwAIgBTAG8AdQByAGMAZQBEAGEAdABhAF8ARABhAGkAcgB5AC4AUwBvAHUAcgBjAGUARABhAHQAYQBfAEQAYQBpAHIAeQBfAEwAaQB2AGUAdwBlAGkAZwBoAHQAQwBvAHcAcwBBAG4AZABIAGUAaQBmAGUAcgBzAF8AVgBhAHIAaQBhAGIAbABlACIALAAiAFMAbwB1AHIAYwBlAEQAYQB0AGEAXwBEAGEAaQByAHkALgBTAG8AdQByAGMAZQBEAGEAdABhAF8ARABhAGkAcgB5AF8ATABpAHYAZQB3AGUAaQBnAGgAdABDAG8AdwBzAEEAbgBkAEgAZQBpAGYAZQByAHMAXwBVAG4AaQB0ACIALAAiAFMAbwB1AHIAYwBlAEQAYQB0AGEAXwBEAGEAaQByAHkALgBTAG8AdQByAGMAZQBEAGEAdABhAF8ARABhAGkAcgB5AF8ATABpAHYAZQB3AGUAaQBnAGgAdABDAG8AdwBzAEEAbgBkAEgAZQBpAGYAZQByAHMAXwBTAG8AdQByAGMAZQAiACwAIgBTAG8AdQByAGMAZQBEAGEAdABhAF8ARABhAGkAcgB5AC4AUwBvAHUAcgBjAGUARABhAHQAYQBfAEQAYQBpAHIAeQBfAEwAaQB2AGUAdwBlAGkAZwBoAHQAQwBvAHcAcwBBAG4AZABIAGUAaQBmAGUAcgBzAF8AVgBhAHIAaQBhAHQAaQBvAG4AIgAsACIAUwBvAHUAcgBjAGUARABhAHQAYQBfAEQAYQBpAHIAeQAuAFMAbwB1AHIAYwBlAEQAYQB0AGEAXwBEAGEAaQByAHkAXwBMAGkAdgBlAHcAZQBpAGcAaAB0AEMAbwB3AHMAQQBuAGQASABlAGkAZgBlAHIAcwBfAEQAYQB0AGEAIgAsACIAUwBvAHUAcgBjAGUARABhAHQAYQBfAEQAYQBpAHIAeQAuAFMAbwB1AHIAYwBlAEQAYQB0AGEAXwBEAGEAaQByAHkAXwBMAGkAdgBlAHcAZQBpAGcAaAB0AEIAdQBsAGwAcwBfAFQAaQB0AGwAZQAiACwAIgBTAG8AdQByAGMAZQBEAGEAdABhAF8ARABhAGkAcgB5AC4AUwBvAHUAcgBjAGUARABhAHQAYQBfAEQAYQBpAHIAeQBfAEwAaQB2AGUAdwBlAGkAZwBoAHQAQgB1AGwAbABzAF8AVgBhAHIAaQBhAGIAbABlACIALAAiAFMAbwB1AHIAYwBlAEQAYQB0AGEAXwBEAGEAaQByAHkALgBTAG8AdQByAGMAZQBEAGEAdABhAF8ARABhAGkAcgB5AF8ATABpAHYAZQB3AGUAaQBnAGgAdABCAHUAbABsAHMAXwBVAG4AaQB0ACIALAAiAFMAbwB1AHIAYwBlAEQAYQB0AGEAXwBEAGEAaQByAHkALgBTAG8AdQByAGMAZQBEAGEAdABhAF8ARABhAGkAcgB5AF8ATABpAHYAZQB3AGUAaQBnAGgAdABCAHUAbABsAHMAXwBTAG8AdQByAGMAZQAiACwAIgBTAG8AdQByAGMAZQBEAGEAdABhAF8ARABhAGkAcgB5AC4AUwBvAHUAcgBjAGUARABhAHQAYQBfAEQAYQBpAHIAeQBfAEwAaQB2AGUAdwBlAGkAZwBoAHQAQgB1AGwAbABzAF8AVgBhAHIAaQBhAHQAaQBvAG4AIgAsACIAUwBvAHUAcgBjAGUARABhAHQAYQBfAEQAYQBpAHIAeQAuAFMAbwB1AHIAYwBlAEQAYQB0AGEAXwBEAGEAaQByAHkAXwBMAGkAdgBlAHcAZQBpAGcAaAB0AEIAdQBsAGwAcwBfAEQAYQB0AGEAIgAsACIAUwBvAHUAcgBjAGUARABhAHQAYQBfAEQAYQBpAHIAeQAuAFMAbwB1AHIAYwBlAEQAYQB0AGEAXwBEAGEAaQByAHkAXwBMAGkAdgBlAHcAZQBpAGcAaAB0AEcAYQBpAG4AXwBUAGkAdABsAGUAIgAsACIAUwBvAHUAcgBjAGUARABhAHQAYQBfAEQAYQBpAHIAeQAuAFMAbwB1AHIAYwBlAEQAYQB0AGEAXwBEAGEAaQByAHkAXwBMAGkAdgBlAHcAZQBpAGcAaAB0AEcAYQBpAG4AXwBWAGEAcgBpAGEAYgBsAGUAIgAsACIAUwBvAHUAcgBjAGUARABhAHQAYQBfAEQAYQBpAHIAeQAuAFMAbwB1AHIAYwBlAEQAYQB0AGEAXwBEAGEAaQByAHkAXwBMAGkAdgBlAHcAZQBpAGcAaAB0AEcAYQBpAG4AXwBVAG4AaQB0ACIALAAiAFMAbwB1AHIAYwBlAEQAYQB0AGEAXwBEAGEAaQByAHkALgBTAG8AdQByAGMAZQBEAGEAdABhAF8ARABhAGkAcgB5AF8ATABpAHYAZQB3AGUAaQBnAGgAdABHAGEAaQBuAF8AUwBvAHUAcgBjAGUAIgAsACIAUwBvAHUAcgBjAGUARABhAHQAYQBfAEQAYQBpAHIAeQAuAFMAbwB1AHIAYwBlAEQAYQB0AGEAXwBEAGEAaQByAHkAXwBMAGkAdgBlAHcAZQBpAGcAaAB0AEcAYQBpAG4AXwBWAGEAcgBpAGEAdABpAG8AbgAiACwAIgBTAG8AdQByAGMAZQBEAGEAdABhAF8ARABhAGkAcgB5AC4AUwBvAHUAcgBjAGUARABhAHQAYQBfAEQAYQBpAHIAeQBfAEwAaQB2AGUAdwBlAGkAZwBoAHQARwBhAGkAbgBfAEQAYQB0AGEAIgAsACIAUwBvAHUAcgBjAGUARABhAHQAYQBfAEQAYQBpAHIAeQAuAFMAbwB1AHIAYwBlAEQAYQB0AGEAXwBEAGEAaQByAHkAXwBSAGUAZgBlAHIAZQBuAGMAZQBXAGUAaQBnAGgAdABzAF8AVABpAHQAbABlACIALAAiAFMAbwB1AHIAYwBlAEQAYQB0AGEAXwBEAGEAaQByAHkALgBTAG8AdQByAGMAZQBEAGEAdABhAF8ARABhAGkAcgB5AF8AUgBlAGYAZQByAGUAbgBjAGUAVwBlAGkAZwBoAHQAcwBfAFYAYQByAGkAYQBiAGwAZQAiACwAIgBTAG8AdQByAGMAZQBEAGEAdABhAF8ARABhAGkAcgB5AC4AUwBvAHUAcgBjAGUARABhAHQAYQBfAEQAYQBpAHIAeQBfAFIAZQBmAGUAcgBlAG4AYwBlAFcAZQBpAGcAaAB0AHMAXwBVAG4AaQB0ACIALAAiAFMAbwB1AHIAYwBlAEQAYQB0AGEAXwBEAGEAaQByAHkALgBTAG8AdQByAGMAZQBEAGEAdABhAF8ARABhAGkAcgB5AF8AUgBlAGYAZQByAGUAbgBjAGUAVwBlAGkAZwBoAHQAcwBfAFMAbwB1AHIAYwBlACIALAAiAFMAbwB1AHIAYwBlAEQAYQB0AGEAXwBEAGEAaQByAHkALgBTAG8AdQByAGMAZQBEAGEAdABhAF8ARABhAGkAcgB5AF8AUgBlAGYAZQByAGUAbgBjAGUAVwBlAGkAZwBoAHQAcwBfAFYAYQByAGkAYQB0AGkAbwBuACIALAAiAFMAbwB1AHIAYwBlAEQAYQB0AGEAXwBEAGEAaQByAHkALgBTAG8AdQByAGMAZQBEAGEAdABhAF8ARABhAGkAcgB5AF8AUgBlAGYAZQByAGUAbgBjAGUAVwBlAGkAZwBoAHQAcwBfAEQAYQB0AGEAIgAsACIAUwBvAHUAcgBjAGUARABhAHQAYQBfAEQAYQBpAHIAeQAuAFMAbwB1AHIAYwBlAEQAYQB0AGEAXwBEAGEAaQByAHkAXwBQAHIAZQBXAGUAYQBuAGUAZABDAGEAbAB2AGUAcwBfAFQAaQB0AGwAZQAiACwAIgBTAG8AdQByAGMAZQBEAGEAdABhAF8ARABhAGkAcgB5AC4AUwBvAHUAcgBjAGUARABhAHQAYQBfAEQAYQBpAHIAeQBfAFAAcgBlAFcAZQBhAG4AZQBkAEMAYQBsAHYAZQBzAF8AVgBhAHIAaQBhAGIAbABlACIALAAiAFMAbwB1AHIAYwBlAEQAYQB0AGEAXwBEAGEAaQByAHkALgBTAG8AdQByAGMAZQBEAGEAdABhAF8ARABhAGkAcgB5AF8AUAByAGUAVwBlAGEAbgBlAGQAQwBhAGwAdgBlAHMAXwBVAG4AaQB0ACIALAAiAFMAbwB1AHIAYwBlAEQAYQB0AGEAXwBEAGEAaQByAHkALgBTAG8AdQByAGMAZQBEAGEAdABhAF8ARABhAGkAcgB5AF8AUAByAGUAVwBlAGEAbgBlAGQAQwBhAGwAdgBlAHMAXwBTAG8AdQByAGMAZQAiACwAIgBTAG8AdQByAGMAZQBEAGEAdABhAF8ARABhAGkAcgB5AC4AUwBvAHUAcgBjAGUARABhAHQAYQBfAEQAYQBpAHIAeQBfAFAAcgBlAFcAZQBhAG4AZQBkAEMAYQBsAHYAZQBzAF8AVgBhAHIAaQBhAHQAaQBvAG4AIgAsACIAUwBvAHUAcgBjAGUARABhAHQAYQBfAEQAYQBpAHIAeQAuAFMAbwB1AHIAYwBlAEQAYQB0AGEAXwBEAGEAaQByAHkAXwBQAHIAZQBXAGUAYQBuAGUAZABDAGEAbAB2AGUAcwBfAEQAYQB0AGEAIgAsACIAUwBvAHUAcgBjAGUARABhAHQAYQBfAEQAYQBpAHIAeQAuAFMAbwB1AHIAYwBlAEQAYQB0AGEAXwBEAGEAaQByAHkAXwBNAEMARgBfAFQAaQB0AGwAZQAiACwAIgBTAG8AdQByAGMAZQBEAGEAdABhAF8ARABhAGkAcgB5AC4AUwBvAHUAcgBjAGUARABhAHQAYQBfAEQAYQBpAHIAeQBfAE0AQwBGAF8AVgBhAHIAaQBhAGIAbABlACIALAAiAFMAbwB1AHIAYwBlAEQAYQB0AGEAXwBEAGEAaQByAHkALgBTAG8AdQByAGMAZQBEAGEAdABhAF8ARABhAGkAcgB5AF8ATQBDAEYAXwBVAG4AaQB0ACIALAAiAFMAbwB1AHIAYwBlAEQAYQB0AGEAXwBEAGEAaQByAHkALgBTAG8AdQByAGMAZQBEAGEAdABhAF8ARABhAGkAcgB5AF8ATQBDAEYAXwBTAG8AdQByAGMAZQAiACwAIgBTAG8AdQByAGMAZQBEAGEAdABhAF8ARABhAGkAcgB5AC4AUwBvAHUAcgBjAGUARABhAHQAYQBfAEQAYQBpAHIAeQBfAE0AQwBGAF8AVgBhAHIAaQBhAHQAaQBvAG4AIgAsACIAUwBvAHUAcgBjAGUARABhAHQAYQBfAEQAYQBpAHIAeQAuAFMAbwB1AHIAYwBlAEQAYQB0AGEAXwBEAGEAaQByAHkAXwBNAEMARgBfAEQAYQB0AGEAIgAsACIAUwBvAHUAcgBjAGUARABhAHQAYQBfAEQAYQBpAHIAeQAuAFMAbwB1AHIAYwBlAEQAYQB0AGEAXwBEAGEAaQByAHkAXwBOAGkAdAByAG8AdQBzAE8AeABpAGQAZQBFAEYAcwBBAG4AZABGAHIAYQBjAEcAQQBTAE0AXwBUAGkAdABsAGUAIgAsACIAUwBvAHUAcgBjAGUARABhAHQAYQBfAEQAYQBpAHIAeQAuAFMAbwB1AHIAYwBlAEQAYQB0AGEAXwBEAGEAaQByAHkAXwBOAGkAdAByAG8AdQBzAE8AeABpAGQAZQBFAEYAcwBBAG4AZABGAHIAYQBjAEcAQQBTAE0AXwBWAGEAcgBpAGEAYgBsAGUAIgAsACIAUwBvAHUAcgBjAGUARABhAHQAYQBfAEQAYQBpAHIAeQAuAFMAbwB1AHIAYwBlAEQAYQB0AGEAXwBEAGEAaQByAHkAXwBOAGkAdAByAG8AdQBzAE8AeABpAGQAZQBFAEYAcwBBAG4AZABGAHIAYQBjAEcAQQBTAE0AXwBVAG4AaQB0ACIALAAiAFMAbwB1AHIAYwBlAEQAYQB0AGEAXwBEAGEAaQByAHkALgBTAG8AdQByAGMAZQBEAGEAdABhAF8ARABhAGkAcgB5AF8ATgBpAHQAcgBvAHUAcwBPAHgAaQBkAGUARQBGAHMAQQBuAGQARgByAGEAYwBHAEEAUwBNAF8AUwBvAHUAcgBjAGUAIgAsACIAUwBvAHUAcgBjAGUARABhAHQAYQBfAEQAYQBpAHIAeQAuAFMAbwB1AHIAYwBlAEQAYQB0AGEAXwBEAGEAaQByAHkAXwBOAGkAdAByAG8AdQBzAE8AeABpAGQAZQBFAEYAcwBBAG4AZABGAHIAYQBjAEcAQQBTAE0AXwBWAGEAcgBpAGEAdABpAG8AbgAiACwAIgBTAG8AdQByAGMAZQBEAGEAdABhAF8ARABhAGkAcgB5AC4AUwBvAHUAcgBjAGUARABhAHQAYQBfAEQAYQBpAHIAeQBfAE4AaQB0AHIAbwB1AHMATwB4AGkAZABlAEUARgBzAEEAbgBkAEYAcgBhAGMARwBBAFMATQBfAEQAYQB0AGEAIgAsACIAUwBvAHUAcgBjAGUARABhAHQAYQBfAEQAYQBpAHIAeQAuAFMAbwB1AHIAYwBlAEQAYQB0AGEAXwBEAGEAaQByAHkAXwBNAGUAdABoAGEAbgBlAFAAcgBvAGQAdQBjAHQAaQBvAG4AUAByAGUAVwBlAGEAbgBlAGQAQwBhAGwAdgBlAHMAXwBUAGkAdABsAGUAIgAsACIAUwBvAHUAcgBjAGUARABhAHQAYQBfAEQAYQBpAHIAeQAuAFMAbwB1AHIAYwBlAEQAYQB0AGEAXwBEAGEAaQByAHkAXwBNAGUAdABoAGEAbgBlAFAAcgBvAGQAdQBjAHQAaQBvAG4AUAByAGUAVwBlAGEAbgBlAGQAQwBhAGwAdgBlAHMAXwBWAGEAcgBpAGEAYgBsAGUAIgAsACIAUwBvAHUAcgBjAGUARABhAHQAYQBfAEQAYQBpAHIAeQAuAFMAbwB1AHIAYwBlAEQAYQB0AGEAXwBEAGEAaQByAHkAXwBNAGUAdABoAGEAbgBlAFAAcgBvAGQAdQBjAHQAaQBvAG4AUAByAGUAVwBlAGEAbgBlAGQAQwBhAGwAdgBlAHMAXwBVAG4AaQB0ACIALAAiAFMAbwB1AHIAYwBlAEQAYQB0AGEAXwBEAGEAaQByAHkALgBTAG8AdQByAGMAZQBEAGEAdABhAF8ARABhAGkAcgB5AF8ATQBlAHQAaABhAG4AZQBQAHIAbwBkAHUAYwB0AGkAbwBuAFAAcgBlAFcAZQBhAG4AZQBkAEMAYQBsAHYAZQBzAF8AUwBvAHUAcgBjAGUAIgAsACIAUwBvAHUAcgBjAGUARABhAHQAYQBfAEQAYQBpAHIAeQAuAFMAbwB1AHIAYwBlAEQAYQB0AGEAXwBEAGEAaQByAHkAXwBNAGUAdABoAGEAbgBlAFAAcgBvAGQAdQBjAHQAaQBvAG4AUAByAGUAVwBlAGEAbgBlAGQAQwBhAGwAdgBlAHMAXwBWAGEAcgBpAGEAdABpAG8AbgAiACwAIgBTAG8AdQByAGMAZQBEAGEAdABhAF8ARABhAGkAcgB5AC4AUwBvAHUAcgBjAGUARABhAHQAYQBfAEQAYQBpAHIAeQBfAE0AZQB0AGgAYQBuAGUAUAByAG8AZAB1AGMAdABpAG8AbgBQAHIAZQBXAGUAYQBuAGUAZABDAGEAbAB2AGUAcwBfAEQAYQB0AGEAIgAsACIAUwBvAHUAcgBjAGUARABhAHQAYQBfAEQAYQBpAHIAeQAuAFMAbwB1AHIAYwBlAEQAYQB0AGEAXwBEAGEAaQByAHkAXwBJAG4AYwByAGUAYQBzAGUAZABNAGUAdABhAGIAbwBsAGkAYwBSAGEAdABlAE0AaQBsAGsAXwBUAGkAdABsAGUAIgAsACIAUwBvAHUAcgBjAGUARABhAHQAYQBfAEQAYQBpAHIAeQAuAFMAbwB1AHIAYwBlAEQAYQB0AGEAXwBEAGEAaQByAHkAXwBJAG4AYwByAGUAYQBzAGUAZABNAGUAdABhAGIAbwBsAGkAYwBSAGEAdABlAE0AaQBsAGsAXwBWAGEAcgBpAGEAYgBsAGUAIgAsACIAUwBvAHUAcgBjAGUARABhAHQAYQBfAEQAYQBpAHIAeQAuAFMAbwB1AHIAYwBlAEQAYQB0AGEAXwBEAGEAaQByAHkAXwBJAG4AYwByAGUAYQBzAGUAZABNAGUAdABhAGIAbwBsAGkAYwBSAGEAdABlAE0AaQBsAGsAXwBVAG4AaQB0ACIALAAiAFMAbwB1AHIAYwBlAEQAYQB0AGEAXwBEAGEAaQByAHkALgBTAG8AdQByAGMAZQBEAGEAdABhAF8ARABhAGkAcgB5AF8ASQBuAGMAcgBlAGEAcwBlAGQATQBlAHQAYQBiAG8AbABpAGMAUgBhAHQAZQBNAGkAbABrAF8AUwBvAHUAcgBjAGUAIgAsACIAUwBvAHUAcgBjAGUARABhAHQAYQBfAEQAYQBpAHIAeQAuAFMAbwB1AHIAYwBlAEQAYQB0AGEAXwBEAGEAaQByAHkAXwBJAG4AYwByAGUAYQBzAGUAZABNAGUAdABhAGIAbwBsAGkAYwBSAGEAdABlAE0AaQBsAGsAXwBWAGEAcgBpAGEAdABpAG8AbgAiACwAIgBTAG8AdQByAGMAZQBEAGEAdABhAF8ARABhAGkAcgB5AC4AUwBvAHUAcgBjAGUARABhAHQAYQBfAEQAYQBpAHIAeQBfAEkAbgBjAHIAZQBhAHMAZQBkAE0AZQB0AGEAYgBvAGwAaQBjAFIAYQB0AGUATQBpAGwAawBfAEQAYQB0AGEAIgAsACIAUwBvAHUAcgBjAGUARABhAHQAYQBfAEQAYQBpAHIAeQAuAFMAbwB1AHIAYwBlAEQAYQB0AGEAXwBEAGEAaQByAHkAXwBGAHIAYQBjAHQAaQBvAG4AVgBvAGwAYQB0AGkAbABlAFMAbwBsAGkAZABzAFYAbwBpAGQAZQBkAE0ATQBTAF8AVABpAHQAbABlACIALAAiAFMAbwB1AHIAYwBlAEQAYQB0AGEAXwBEAGEAaQByAHkALgBTAG8AdQByAGMAZQBEAGEAdABhAF8ARABhAGkAcgB5AF8ARgByAGEAYwB0AGkAbwBuAFYAbwBsAGEAdABpAGwAZQBTAG8AbABpAGQAcwBWAG8AaQBkAGUAZABNAE0AUwBfAFYAYQByAGkAYQBiAGwAZQAiACwAIgBTAG8AdQByAGMAZQBEAGEAdABhAF8ARABhAGkAcgB5AC4AUwBvAHUAcgBjAGUARABhAHQAYQBfAEQAYQBpAHIAeQBfAEYAcgBhAGMAdABpAG8AbgBWAG8AbABhAHQAaQBsAGUAUwBvAGwAaQBkAHMAVgBvAGkAZABlAGQATQBNAFMAXwBVAG4AaQB0ACIALAAiAFMAbwB1AHIAYwBlAEQAYQB0AGEAXwBEAGEAaQByAHkALgBTAG8AdQByAGMAZQBEAGEAdABhAF8ARABhAGkAcgB5AF8ARgByAGEAYwB0AGkAbwBuAFYAbwBsAGEAdABpAGwAZQBTAG8AbABpAGQAcwBWAG8AaQBkAGUAZABNAE0AUwBfAFMAbwB1AHIAYwBlACIALAAiAFMAbwB1AHIAYwBlAEQAYQB0AGEAXwBEAGEAaQByAHkALgBTAG8AdQByAGMAZQBEAGEAdABhAF8ARABhAGkAcgB5AF8ARgByAGEAYwB0AGkAbwBuAFYAbwBsAGEAdABpAGwAZQBTAG8AbABpAGQAcwBWAG8AaQBkAGUAZABNAE0AUwBfAFYAYQByAGkAYQB0AGkAbwBuACIALAAiAFMAbwB1AHIAYwBlAEQAYQB0AGEAXwBEAGEAaQByAHkALgBTAG8AdQByAGMAZQBEAGEAdABhAF8ARABhAGkAcgB5AF8ARgByAGEAYwB0AGkAbwBuAFYAbwBsAGEAdABpAGwAZQBTAG8AbABpAGQAcwBWAG8AaQBkAGUAZABNAE0AUwBfAEQAYQB0AGEAIgAsACIAUwBvAHUAcgBjAGUARABhAHQAYQBfAEQAYQBpAHIAeQAuAFMAbwB1AHIAYwBlAEQAYQB0AGEAXwBEAGEAaQByAHkAXwBFAEYATgBpAHQAcgBvAHUAcwBPAHgAaQBkAGUAUABlAHIATQBNAFMAXwBUAGkAdABsAGUAIgAsACIAUwBvAHUAcgBjAGUARABhAHQAYQBfAEQAYQBpAHIAeQAuAFMAbwB1AHIAYwBlAEQAYQB0AGEAXwBEAGEAaQByAHkAXwBFAEYATgBpAHQAcgBvAHUAcwBPAHgAaQBkAGUAUABlAHIATQBNAFMAXwBWAGEAcgBpAGEAYgBsAGUAIgAsACIAUwBvAHUAcgBjAGUARABhAHQAYQBfAEQAYQBpAHIAeQAuAFMAbwB1AHIAYwBlAEQAYQB0AGEAXwBEAGEAaQByAHkAXwBFAEYATgBpAHQAcgBvAHUAcwBPAHgAaQBkAGUAUABlAHIATQBNAFMAXwBVAG4AaQB0ACIALAAiAFMAbwB1AHIAYwBlAEQAYQB0AGEAXwBEAGEAaQByAHkALgBTAG8AdQByAGMAZQBEAGEAdABhAF8ARABhAGkAcgB5AF8ARQBGAE4AaQB0AHIAbwB1AHMATwB4AGkAZABlAFAAZQByAE0ATQBTAF8AUwBvAHUAcgBjAGUAIgAsACIAUwBvAHUAcgBjAGUARABhAHQAYQBfAEQAYQBpAHIAeQAuAFMAbwB1AHIAYwBlAEQAYQB0AGEAXwBEAGEAaQByAHkAXwBFAEYATgBpAHQAcgBvAHUAcwBPAHgAaQBkAGUAUABlAHIATQBNAFMAXwBWAGEAcgBpAGEAdABpAG8AbgAiACwAIgBTAG8AdQByAGMAZQBEAGEAdABhAF8ARABhAGkAcgB5AC4AUwBvAHUAcgBjAGUARABhAHQAYQBfAEQAYQBpAHIAeQBfAEUARgBOAGkAdAByAG8AdQBzAE8AeABpAGQAZQBQAGUAcgBNAE0AUwBfAEQAYQB0AGEAIgAsACIAUwBvAHUAcgBjAGUARABhAHQAYQBfAEQAYQBpAHIAeQAuAFMAbwB1AHIAYwBlAEQAYQB0AGEAXwBEAGEAaQByAHkAXwBEAHUAcgBhAHQAaQBvAG4ATwBmAFMAdABhAHkAXwBUAGkAdABsAGUAIgAsACIAUwBvAHUAcgBjAGUARABhAHQAYQBfAEQAYQBpAHIAeQAuAFMAbwB1AHIAYwBlAEQAYQB0AGEAXwBEAGEAaQByAHkAXwBEAHUAcgBhAHQAaQBvAG4ATwBmAFMAdABhAHkAXwBWAGEAcgBpAGEAYgBsAGUAIgAsACIAUwBvAHUAcgBjAGUARABhAHQAYQBfAEQAYQBpAHIAeQAuAFMAbwB1AHIAYwBlAEQAYQB0AGEAXwBEAGEAaQByAHkAXwBEAHUAcgBhAHQAaQBvAG4ATwBmAFMAdABhAHkAXwBVAG4AaQB0ACIALAAiAFMAbwB1AHIAYwBlAEQAYQB0AGEAXwBEAGEAaQByAHkALgBTAG8AdQByAGMAZQBEAGEAdABhAF8ARABhAGkAcgB5AF8ARAB1AHIAYQB0AGkAbwBuAE8AZgBTAHQAYQB5AF8AUwBvAHUAcgBjAGUAIgAsACIAUwBvAHUAcgBjAGUARABhAHQAYQBfAEQAYQBpAHIAeQAuAFMAbwB1AHIAYwBlAEQAYQB0AGEAXwBEAGEAaQByAHkAXwBEAHUAcgBhAHQAaQBvAG4ATwBmAFMAdABhAHkAXwBWAGEAcgBpAGEAdABpAG8AbgAiACwAIgBTAG8AdQByAGMAZQBEAGEAdABhAF8ARABhAGkAcgB5AC4AUwBvAHUAcgBjAGUARABhAHQAYQBfAEQAYQBpAHIAeQBfAEQAdQByAGEAdABpAG8AbgBPAGYAUwB0AGEAeQBfAEQAYQB0AGEAIgAsACIAUwBvAHUAcgBjAGUARABhAHQAYQBfAEQAYQBpAHIAeQAuAFMAbwB1AHIAYwBlAEQAYQB0AGEAXwBEAGEAaQByAHkAXwBDAHIAdQBkAGUAUAByAG8AdABlAGkAbgBfAFQAaQB0AGwAZQAiACwAIgBTAG8AdQByAGMAZQBEAGEAdABhAF8ARABhAGkAcgB5AC4AUwBvAHUAcgBjAGUARABhAHQAYQBfAEQAYQBpAHIAeQBfAEMAcgB1AGQAZQBQAHIAbwB0AGUAaQBuAF8AVgBhAHIAaQBhAGIAbABlACIALAAiAFMAbwB1AHIAYwBlAEQAYQB0AGEAXwBEAGEAaQByAHkALgBTAG8AdQByAGMAZQBEAGEAdABhAF8ARABhAGkAcgB5AF8AQwByAHUAZABlAFAAcgBvAHQAZQBpAG4AXwBVAG4AaQB0ACIALAAiAFMAbwB1AHIAYwBlAEQAYQB0AGEAXwBEAGEAaQByAHkALgBTAG8AdQByAGMAZQBEAGEAdABhAF8ARABhAGkAcgB5AF8AQwByAHUAZABlAFAAcgBvAHQAZQBpAG4AXwBTAG8AdQByAGMAZQAiACwAIgBTAG8AdQByAGMAZQBEAGEAdABhAF8ARABhAGkAcgB5AC4AUwBvAHUAcgBjAGUARABhAHQAYQBfAEQAYQBpAHIAeQBfAEMAcgB1AGQAZQBQAHIAbwB0AGUAaQBuAF8AVgBhAHIAaQBhAHQAaQBvAG4AIgAsACIAUwBvAHUAcgBjAGUARABhAHQAYQBfAEQAYQBpAHIAeQAuAFMAbwB1AHIAYwBlAEQAYQB0AGEAXwBEAGEAaQByAHkAXwBDAHIAdQBkAGUAUAByAG8AdABlAGkAbgBfAEQAYQB0AGEAIgAsACIAUwBvAHUAcgBjAGUARABhAHQAYQBfAEQAYQBpAHIAeQAuAFMAbwB1AHIAYwBlAEQAYQB0AGEAXwBEAGEAaQByAHkAXwBEAHIAeQBNAGEAdAB0AGUAcgBEAGkAZwBlAHMAdABpAGIAaQBsAGkAdAB5AF8AVABpAHQAbABlACIALAAiAFMAbwB1AHIAYwBlAEQAYQB0AGEAXwBEAGEAaQByAHkALgBTAG8AdQByAGMAZQBEAGEAdABhAF8ARABhAGkAcgB5AF8ARAByAHkATQBhAHQAdABlAHIARABpAGcAZQBzAHQAaQBiAGkAbABpAHQAeQBfAFYAYQByAGkAYQBiAGwAZQAiACwAIgBTAG8AdQByAGMAZQBEAGEAdABhAF8ARABhAGkAcgB5AC4AUwBvAHUAcgBjAGUARABhAHQAYQBfAEQAYQBpAHIAeQBfAEQAcgB5AE0AYQB0AHQAZQByAEQAaQBnAGUAcwB0AGkAYgBpAGwAaQB0AHkAXwBVAG4AaQB0ACIALAAiAFMAbwB1AHIAYwBlAEQAYQB0AGEAXwBEAGEAaQByAHkALgBTAG8AdQByAGMAZQBEAGEAdABhAF8ARABhAGkAcgB5AF8ARAByAHkATQBhAHQAdABlAHIARABpAGcAZQBzAHQAaQBiAGkAbABpAHQAeQBfAFMAbwB1AHIAYwBlACIALAAiAFMAbwB1AHIAYwBlAEQAYQB0AGEAXwBEAGEAaQByAHkALgBTAG8AdQByAGMAZQBEAGEAdABhAF8ARABhAGkAcgB5AF8ARAByAHkATQBhAHQAdABlAHIARABpAGcAZQBzAHQAaQBiAGkAbABpAHQAeQBfAFYAYQByAGkAYQB0AGkAbwBuACIALAAiAFMAbwB1AHIAYwBlAEQAYQB0AGEAXwBEAGEAaQByAHkALgBTAG8AdQByAGMAZQBEAGEAdABhAF8ARABhAGkAcgB5AF8ARAByAHkATQBhAHQAdABlAHIARABpAGcAZQBzAHQAaQBiAGkAbABpAHQAeQBfAEQAYQB0AGEAIgAsACIAUwBvAHUAcgBjAGUARABhAHQAYQBfAEQAYQBpAHIAeQAuAFMAbwB1AHIAYwBlAEQAYQB0AGEAXwBEAGEAaQByAHkAXwBOAGUAdABFAG4AZQByAGcAeQBfAFQAaQB0AGwAZQAiACwAIgBTAG8AdQByAGMAZQBEAGEAdABhAF8ARABhAGkAcgB5AC4AUwBvAHUAcgBjAGUARABhAHQAYQBfAEQAYQBpAHIAeQBfAE4AZQB0AEUAbgBlAHIAZwB5AF8AVgBhAHIAaQBhAGIAbABlACIALAAiAFMAbwB1AHIAYwBlAEQAYQB0AGEAXwBEAGEAaQByAHkALgBTAG8AdQByAGMAZQBEAGEAdABhAF8ARABhAGkAcgB5AF8ATgBlAHQARQBuAGUAcgBnAHkAXwBVAG4AaQB0ACIALAAiAFMAbwB1AHIAYwBlAEQAYQB0AGEAXwBEAGEAaQByAHkALgBTAG8AdQByAGMAZQBEAGEAdABhAF8ARABhAGkAcgB5AF8ATgBlAHQARQBuAGUAcgBnAHkAXwBTAG8AdQByAGMAZQAiACwAIgBTAG8AdQByAGMAZQBEAGEAdABhAF8ARABhAGkAcgB5AC4AUwBvAHUAcgBjAGUARABhAHQAYQBfAEQAYQBpAHIAeQBfAE4AZQB0AEUAbgBlAHIAZwB5AF8AVgBhAHIAaQBhAHQAaQBvAG4AIgAsACIAUwBvAHUAcgBjAGUARABhAHQAYQBfAEQAYQBpAHIAeQAuAFMAbwB1AHIAYwBlAEQAYQB0AGEAXwBEAGEAaQByAHkAXwBOAGUAdABFAG4AZQByAGcAeQBfAEQAYQB0AGEAIgAsACIAUwBvAHUAcgBjAGUARABhAHQAYQBfAEQAYQBpAHIAeQAuAFMAbwB1AHIAYwBlAEQAYQB0AGEAXwBEAGEAaQByAHkAXwBHAHIAbwBzAHMARQBuAGUAcgBnAHkAQwBvAG4AdABlAG4AdABfAFQAaQB0AGwAZQAiACwAIgBTAG8AdQByAGMAZQBEAGEAdABhAF8ARABhAGkAcgB5AC4AUwBvAHUAcgBjAGUARABhAHQAYQBfAEQAYQBpAHIAeQBfAEcAcgBvAHMAcwBFAG4AZQByAGcAeQBDAG8AbgB0AGUAbgB0AF8AVgBhAHIAaQBhAGIAbABlACIALAAiAFMAbwB1AHIAYwBlAEQAYQB0AGEAXwBEAGEAaQByAHkALgBTAG8AdQByAGMAZQBEAGEAdABhAF8ARABhAGkAcgB5AF8ARwByAG8AcwBzAEUAbgBlAHIAZwB5AEMAbwBuAHQAZQBuAHQAXwBVAG4AaQB0ACIALAAiAFMAbwB1AHIAYwBlAEQAYQB0AGEAXwBEAGEAaQByAHkALgBTAG8AdQByAGMAZQBEAGEAdABhAF8ARABhAGkAcgB5AF8ARwByAG8AcwBzAEUAbgBlAHIAZwB5AEMAbwBuAHQAZQBuAHQAXwBTAG8AdQByAGMAZQAiACwAIgBTAG8AdQByAGMAZQBEAGEAdABhAF8ARABhAGkAcgB5AC4AUwBvAHUAcgBjAGUARABhAHQAYQBfAEQAYQBpAHIAeQBfAEcAcgBvAHMAcwBFAG4AZQByAGcAeQBDAG8AbgB0AGUAbgB0AF8AVgBhAHIAaQBhAHQAaQBvAG4AIgAsACIAUwBvAHUAcgBjAGUARABhAHQAYQBfAEQAYQBpAHIAeQAuAFMAbwB1AHIAYwBlAEQAYQB0AGEAXwBEAGEAaQByAHkAXwBHAHIAbwBzAHMARQBuAGUAcgBnAHkAQwBvAG4AdABlAG4AdABfAEQAYQB0AGEAIgAsACIAUwBvAHUAcgBjAGUARABhAHQAYQBfAEQAYQBpAHIAeQAuAFMAbwB1AHIAYwBlAEQAYQB0AGEAXwBEAGEAaQByAHkAXwBFAGYAZgBpAGMAaQBlAG4AYwB5AE8AZgBVAHMAZQBPAGYATQBlAHQAYQBiAG8AbABpAHoAYQBiAGwAZQBFAG4AZQByAGcAeQBfAFQAaQB0AGwAZQAiACwAIgBTAG8AdQByAGMAZQBEAGEAdABhAF8ARABhAGkAcgB5AC4AUwBvAHUAcgBjAGUARABhAHQAYQBfAEQAYQBpAHIAeQBfAEUAZgBmAGkAYwBpAGUAbgBjAHkATwBmAFUAcwBlAE8AZgBNAGUAdABhAGIAbwBsAGkAegBhAGIAbABlAEUAbgBlAHIAZwB5AF8AVgBhAHIAaQBhAGIAbABlACIALAAiAFMAbwB1AHIAYwBlAEQAYQB0AGEAXwBEAGEAaQByAHkALgBTAG8AdQByAGMAZQBEAGEAdABhAF8ARABhAGkAcgB5AF8ARQBmAGYAaQBjAGkAZQBuAGMAeQBPAGYAVQBzAGUATwBmAE0AZQB0AGEAYgBvAGwAaQB6AGEAYgBsAGUARQBuAGUAcgBnAHkAXwBVAG4AaQB0ACIALAAiAFMAbwB1AHIAYwBlAEQAYQB0AGEAXwBEAGEAaQByAHkALgBTAG8AdQByAGMAZQBEAGEAdABhAF8ARABhAGkAcgB5AF8ARQBmAGYAaQBjAGkAZQBuAGMAeQBPAGYAVQBzAGUATwBmAE0AZQB0AGEAYgBvAGwAaQB6AGEAYgBsAGUARQBuAGUAcgBnAHkAXwBTAG8AdQByAGMAZQAiACwAIgBTAG8AdQByAGMAZQBEAGEAdABhAF8ARABhAGkAcgB5AC4AUwBvAHUAcgBjAGUARABhAHQAYQBfAEQAYQBpAHIAeQBfAEUAZgBmAGkAYwBpAGUAbgBjAHkATwBmAFUAcwBlAE8AZgBNAGUAdABhAGIAbwBsAGkAegBhAGIAbABlAEUAbgBlAHIAZwB5AF8AVgBhAHIAaQBhAHQAaQBvAG4AIgAsACIAUwBvAHUAcgBjAGUARABhAHQAYQBfAEQAYQBpAHIAeQAuAFMAbwB1AHIAYwBlAEQAYQB0AGEAXwBEAGEAaQByAHkAXwBFAGYAZgBpAGMAaQBlAG4AYwB5AE8AZgBVAHMAZQBPAGYATQBlAHQAYQBiAG8AbABpAHoAYQBiAGwAZQBFAG4AZQByAGcAeQBfAEQAYQB0AGEAIgAsACIAUwBvAHUAcgBjAGUARABhAHQAYQBfAEQAYQBpAHIAeQAuAFMAbwB1AHIAYwBlAEQAYQB0AGEAXwBEAGEAaQByAHkAXwBBAHMAaABDAG8AbgB0AGUAbgB0AF8AVABpAHQAbABlACIALAAiAFMAbwB1AHIAYwBlAEQAYQB0AGEAXwBEAGEAaQByAHkALgBTAG8AdQByAGMAZQBEAGEAdABhAF8ARABhAGkAcgB5AF8AQQBzAGgAQwBvAG4AdABlAG4AdABfAFYAYQByAGkAYQBiAGwAZQAiACwAIgBTAG8AdQByAGMAZQBEAGEAdABhAF8ARABhAGkAcgB5AC4AUwBvAHUAcgBjAGUARABhAHQAYQBfAEQAYQBpAHIAeQBfAEEAcwBoAEMAbwBuAHQAZQBuAHQAXwBVAG4AaQB0ACIALAAiAFMAbwB1AHIAYwBlAEQAYQB0AGEAXwBEAGEAaQByAHkALgBTAG8AdQByAGMAZQBEAGEAdABhAF8ARABhAGkAcgB5AF8AQQBzAGgAQwBvAG4AdABlAG4AdABfAFMAbwB1AHIAYwBlACIALAAiAFMAbwB1AHIAYwBlAEQAYQB0AGEAXwBEAGEAaQByAHkALgBTAG8AdQByAGMAZQBEAGEAdABhAF8ARABhAGkAcgB5AF8AQQBzAGgAQwBvAG4AdABlAG4AdABfAFYAYQByAGkAYQB0AGkAbwBuACIALAAiAFMAbwB1AHIAYwBlAEQAYQB0AGEAXwBEAGEAaQByAHkALgBTAG8AdQByAGMAZQBEAGEAdABhAF8ARABhAGkAcgB5AF8AQQBzAGgAQwBvAG4AdABlAG4AdABfAEQAYQB0AGEAIgAsACIAUwBvAHUAcgBjAGUARABhAHQAYQBfAEQAYQBpAHIAeQAuAFMAbwB1AHIAYwBlAEQAYQB0AGEAXwBEAGEAaQByAHkAXwBNAGUAdABoAGEAbgBlAEUAbQBpAHMAcwBpAG8AbgBzAFAAbwB0AGUAbgB0AGkAYQBsAF8AVABpAHQAbABlACIALAAiAFMAbwB1AHIAYwBlAEQAYQB0AGEAXwBEAGEAaQByAHkALgBTAG8AdQByAGMAZQBEAGEAdABhAF8ARABhAGkAcgB5AF8ATQBlAHQAaABhAG4AZQBFAG0AaQBzAHMAaQBvAG4AcwBQAG8AdABlAG4AdABpAGEAbABfAFYAYQByAGkAYQBiAGwAZQAiACwAIgBTAG8AdQByAGMAZQBEAGEAdABhAF8ARABhAGkAcgB5AC4AUwBvAHUAcgBjAGUARABhAHQAYQBfAEQAYQBpAHIAeQBfAE0AZQB0AGgAYQBuAGUARQBtAGkAcwBzAGkAbwBuAHMAUABvAHQAZQBuAHQAaQBhAGwAXwBVAG4AaQB0ACIALAAiAFMAbwB1AHIAYwBlAEQAYQB0AGEAXwBEAGEAaQByAHkALgBTAG8AdQByAGMAZQBEAGEAdABhAF8ARABhAGkAcgB5AF8ATQBlAHQAaABhAG4AZQBFAG0AaQBzAHMAaQBvAG4AcwBQAG8AdABlAG4AdABpAGEAbABfAFMAbwB1AHIAYwBlACIALAAiAFMAbwB1AHIAYwBlAEQAYQB0AGEAXwBEAGEAaQByAHkALgBTAG8AdQByAGMAZQBEAGEAdABhAF8ARABhAGkAcgB5AF8ATQBlAHQAaABhAG4AZQBFAG0AaQBzAHMAaQBvAG4AcwBQAG8AdABlAG4AdABpAGEAbABfAFYAYQByAGkAYQB0AGkAbwBuACIALAAiAFMAbwB1AHIAYwBlAEQAYQB0AGEAXwBEAGEAaQByAHkALgBTAG8AdQByAGMAZQBEAGEAdABhAF8ARABhAGkAcgB5AF8ATQBlAHQAaABhAG4AZQBFAG0AaQBzAHMAaQBvAG4AcwBQAG8AdABlAG4AdABpAGEAbABfAEQAYQB0AGEAIgAsACIAUwBvAHUAcgBjAGUARABhAHQAYQBfAEQAYQBpAHIAeQAuAFMAbwB1AHIAYwBlAEQAYQB0AGEAXwBEAGEAaQByAHkAXwBFAG0AaQBzAHMAaQBvAG4ARgBhAGMAdABvAHIARgBvAHIATABlAGEAYwBoAGkAbgBnAEEAbgBkAFIAdQBuAG8AZgBmAF8AVABpAHQAbABlACIALAAiAFMAbwB1AHIAYwBlAEQAYQB0AGEAXwBEAGEAaQByAHkALgBTAG8AdQByAGMAZQBEAGEAdABhAF8ARABhAGkAcgB5AF8ARQBtAGkAcwBzAGkAbwBuAEYAYQBjAHQAbwByAEYAbwByAEwAZQBhAGMAaABpAG4AZwBBAG4AZABSAHUAbgBvAGYAZgBfAFYAYQByAGkAYQBiAGwAZQAiACwAIgBTAG8AdQByAGMAZQBEAGEAdABhAF8ARABhAGkAcgB5AC4AUwBvAHUAcgBjAGUARABhAHQAYQBfAEQAYQBpAHIAeQBfAEUAbQBpAHMAcwBpAG8AbgBGAGEAYwB0AG8AcgBGAG8AcgBMAGUAYQBjAGgAaQBuAGcAQQBuAGQAUgB1AG4AbwBmAGYAXwBVAG4AaQB0ACIALAAiAFMAbwB1AHIAYwBlAEQAYQB0AGEAXwBEAGEAaQByAHkALgBTAG8AdQByAGMAZQBEAGEAdABhAF8ARABhAGkAcgB5AF8ARQBtAGkAcwBzAGkAbwBuAEYAYQBjAHQAbwByAEYAbwByAEwAZQBhAGMAaABpAG4AZwBBAG4AZABSAHUAbgBvAGYAZgBfAFMAbwB1AHIAYwBlACIALAAiAFMAbwB1AHIAYwBlAEQAYQB0AGEAXwBEAGEAaQByAHkALgBTAG8AdQByAGMAZQBEAGEAdABhAF8ARABhAGkAcgB5AF8ARQBtAGkAcwBzAGkAbwBuAEYAYQBjAHQAbwByAEYAbwByAEwAZQBhAGMAaABpAG4AZwBBAG4AZABSAHUAbgBvAGYAZgBfAFYAYQByAGkAYQB0AGkAbwBuACIALAAiAFMAbwB1AHIAYwBlAEQAYQB0AGEAXwBEAGEAaQByAHkALgBTAG8AdQByAGMAZQBEAGEAdABhAF8ARABhAGkAcgB5AF8ARQBtAGkAcwBzAGkAbwBuAEYAYQBjAHQAbwByAEYAbwByAEwAZQBhAGMAaABpAG4AZwBBAG4AZABSAHUAbgBvAGYAZgBfAEQAYQB0AGEAIgAsACIAUwBvAHUAcgBjAGUARABhAHQAYQBfAEQAYQBpAHIAeQAuAFMAbwB1AHIAYwBlAEQAYQB0AGEAXwBEAGEAaQByAHkAXwBGAHIAYQBjAHQAaQBvAG4ATwBmAE4AaQB0AHIAbwBnAGUAbgBMAG8AcwB0AFQAaAByAG8AdQBnAGgATABlAGEAYwBoAGkAbgBnAEEAbgBkAFIAdQBuAG8AZgBmAF8AVABpAHQAbABlACIALAAiAFMAbwB1AHIAYwBlAEQAYQB0AGEAXwBEAGEAaQByAHkALgBTAG8AdQByAGMAZQBEAGEAdABhAF8ARABhAGkAcgB5AF8ARgByAGEAYwB0AGkAbwBuAE8AZgBOAGkAdAByAG8AZwBlAG4ATABvAHMAdABUAGgAcgBvAHUAZwBoAEwAZQBhAGMAaABpAG4AZwBBAG4AZABSAHUAbgBvAGYAZgBfAFYAYQByAGkAYQBiAGwAZQAiACwAIgBTAG8AdQByAGMAZQBEAGEAdABhAF8ARABhAGkAcgB5AC4AUwBvAHUAcgBjAGUARABhAHQAYQBfAEQAYQBpAHIAeQBfAEYAcgBhAGMAdABpAG8AbgBPAGYATgBpAHQAcgBvAGcAZQBuAEwAbwBzAHQAVABoAHIAbwB1AGcAaABMAGUAYQBjAGgAaQBuAGcAQQBuAGQAUgB1AG4AbwBmAGYAXwBVAG4AaQB0ACIALAAiAFMAbwB1AHIAYwBlAEQAYQB0AGEAXwBEAGEAaQByAHkALgBTAG8AdQByAGMAZQBEAGEAdABhAF8ARABhAGkAcgB5AF8ARgByAGEAYwB0AGkAbwBuAE8AZgBOAGkAdAByAG8AZwBlAG4ATABvAHMAdABUAGgAcgBvAHUAZwBoAEwAZQBhAGMAaABpAG4AZwBBAG4AZABSAHUAbgBvAGYAZgBfAFMAbwB1AHIAYwBlACIALAAiAFMAbwB1AHIAYwBlAEQAYQB0AGEAXwBEAGEAaQByAHkALgBTAG8AdQByAGMAZQBEAGEAdABhAF8ARABhAGkAcgB5AF8ARgByAGEAYwB0AGkAbwBuAE8AZgBOAGkAdAByAG8AZwBlAG4ATABvAHMAdABUAGgAcgBvAHUAZwBoAEwAZQBhAGMAaABpAG4AZwBBAG4AZABSAHUAbgBvAGYAZgBfAFYAYQByAGkAYQB0AGkAbwBuACIALAAiAFMAbwB1AHIAYwBlAEQAYQB0AGEAXwBEAGEAaQByAHkALgBTAG8AdQByAGMAZQBEAGEAdABhAF8ARABhAGkAcgB5AF8ARgByAGEAYwB0AGkAbwBuAE8AZgBOAGkAdAByAG8AZwBlAG4ATABvAHMAdABUAGgAcgBvAHUAZwBoAEwAZQBhAGMAaABpAG4AZwBBAG4AZABSAHUAbgBvAGYAZgBfAEQAYQB0AGEAIgAsACIAUwBvAHUAcgBjAGUARABhAHQAYQBfAEQAYQBpAHIAeQAuAFMAbwB1AHIAYwBlAEQAYQB0AGEAXwBEAGEAaQByAHkAXwBGAHIAYQBjAEcAQQBTAE0AUwBvAGkAbABfAFQAaQB0AGwAZQAiACwAIgBTAG8AdQByAGMAZQBEAGEAdABhAF8ARABhAGkAcgB5AC4AUwBvAHUAcgBjAGUARABhAHQAYQBfAEQAYQBpAHIAeQBfAEYAcgBhAGMARwBBAFMATQBTAG8AaQBsAF8AVgBhAHIAaQBhAGIAbABlACIALAAiAFMAbwB1AHIAYwBlAEQAYQB0AGEAXwBEAGEAaQByAHkALgBTAG8AdQByAGMAZQBEAGEAdABhAF8ARABhAGkAcgB5AF8ARgByAGEAYwBHAEEAUwBNAFMAbwBpAGwAXwBVAG4AaQB0ACIALAAiAFMAbwB1AHIAYwBlAEQAYQB0AGEAXwBEAGEAaQByAHkALgBTAG8AdQByAGMAZQBEAGEAdABhAF8ARABhAGkAcgB5AF8ARgByAGEAYwBHAEEAUwBNAFMAbwBpAGwAXwBTAG8AdQByAGMAZQAiACwAIgBTAG8AdQByAGMAZQBEAGEAdABhAF8ARABhAGkAcgB5AC4AUwBvAHUAcgBjAGUARABhAHQAYQBfAEQAYQBpAHIAeQBfAEYAcgBhAGMARwBBAFMATQBTAG8AaQBsAF8AVgBhAHIAaQBhAHQAaQBvAG4AIgAsACIAUwBvAHUAcgBjAGUARABhAHQAYQBfAEQAYQBpAHIAeQAuAFMAbwB1AHIAYwBlAEQAYQB0AGEAXwBEAGEAaQByAHkAXwBGAHIAYQBjAEcAQQBTAE0AUwBvAGkAbABfAEQAYQB0AGEAIgAsACIAUwBvAHUAcgBjAGUARABhAHQAYQBfAEQAYQBpAHIAeQAuAFMAbwB1AHIAYwBlAEQAYQB0AGEAXwBEAGEAaQByAHkAXwBGAGEAdABDAG8AbgB0AGUAbgB0AEkAbgBNAGkAbABrAF8AVABpAHQAbABlACIALAAiAFMAbwB1AHIAYwBlAEQAYQB0AGEAXwBEAGEAaQByAHkALgBTAG8AdQByAGMAZQBEAGEAdABhAF8ARABhAGkAcgB5AF8ARgBhAHQAQwBvAG4AdABlAG4AdABJAG4ATQBpAGwAawBfAFYAYQByAGkAYQBiAGwAZQAiACwAIgBTAG8AdQByAGMAZQBEAGEAdABhAF8ARABhAGkAcgB5AC4AUwBvAHUAcgBjAGUARABhAHQAYQBfAEQAYQBpAHIAeQBfAEYAYQB0AEMAbwBuAHQAZQBuAHQASQBuAE0AaQBsAGsAXwBVAG4AaQB0ACIALAAiAFMAbwB1AHIAYwBlAEQAYQB0AGEAXwBEAGEAaQByAHkALgBTAG8AdQByAGMAZQBEAGEAdABhAF8ARABhAGkAcgB5AF8ARgBhAHQAQwBvAG4AdABlAG4AdABJAG4ATQBpAGwAawBfAFMAbwB1AHIAYwBlACIALAAiAFMAbwB1AHIAYwBlAEQAYQB0AGEAXwBEAGEAaQByAHkALgBTAG8AdQByAGMAZQBEAGEAdABhAF8ARABhAGkAcgB5AF8ARgBhAHQAQwBvAG4AdABlAG4AdABJAG4ATQBpAGwAawBfAFYAYQByAGkAYQB0AGkAbwBuACIALAAiAFMAbwB1AHIAYwBlAEQAYQB0AGEAXwBEAGEAaQByAHkALgBTAG8AdQByAGMAZQBEAGEAdABhAF8ARABhAGkAcgB5AF8ARgBhAHQAQwBvAG4AdABlAG4AdABJAG4ATQBpAGwAawBfAEQAYQB0AGEAIgAsACIAUwBvAHUAcgBjAGUARABhAHQAYQBfAEQAYQBpAHIAeQAuAFMAbwB1AHIAYwBlAEQAYQB0AGEAXwBEAGEAaQByAHkAXwBQAHIAbwB0AGUAaQBuAEMAbwBuAHQAZQBuAHQASQBuAE0AaQBsAGsAXwBUAGkAdABsAGUAIgAsACIAUwBvAHUAcgBjAGUARABhAHQAYQBfAEQAYQBpAHIAeQAuAFMAbwB1AHIAYwBlAEQAYQB0AGEAXwBEAGEAaQByAHkAXwBQAHIAbwB0AGUAaQBuAEMAbwBuAHQAZQBuAHQASQBuAE0AaQBsAGsAXwBWAGEAcgBpAGEAYgBsAGUAIgAsACIAUwBvAHUAcgBjAGUARABhAHQAYQBfAEQAYQBpAHIAeQAuAFMAbwB1AHIAYwBlAEQAYQB0AGEAXwBEAGEAaQByAHkAXwBQAHIAbwB0AGUAaQBuAEMAbwBuAHQAZQBuAHQASQBuAE0AaQBsAGsAXwBVAG4AaQB0ACIALAAiAFMAbwB1AHIAYwBlAEQAYQB0AGEAXwBEAGEAaQByAHkALgBTAG8AdQByAGMAZQBEAGEAdABhAF8ARABhAGkAcgB5AF8AUAByAG8AdABlAGkAbgBDAG8AbgB0AGUAbgB0AEkAbgBNAGkAbABrAF8AUwBvAHUAcgBjAGUAIgAsACIAUwBvAHUAcgBjAGUARABhAHQAYQBfAEQAYQBpAHIAeQAuAFMAbwB1AHIAYwBlAEQAYQB0AGEAXwBEAGEAaQByAHkAXwBQAHIAbwB0AGUAaQBuAEMAbwBuAHQAZQBuAHQASQBuAE0AaQBsAGsAXwBWAGEAcgBpAGEAdABpAG8AbgAiACwAIgBTAG8AdQByAGMAZQBEAGEAdABhAF8ARABhAGkAcgB5AC4AUwBvAHUAcgBjAGUARABhAHQAYQBfAEQAYQBpAHIAeQBfAFAAcgBvAHQAZQBpAG4AQwBvAG4AdABlAG4AdABJAG4ATQBpAGwAawBfAEQAYQB0AGEAIgAsACIAUwBvAHUAcgBjAGUARABhAHQAYQBfAFMAdwBpAG4AZQAuAFMAbwB1AHIAYwBlAEQAYQB0AGEAXwBTAHcAaQBuAGUAXwBWAG8AbABhAHQAaQBsAGUAUwBvAGwAaQBkAHMAXwBUAGkAdABsAGUAIgAsACIAUwBvAHUAcgBjAGUARABhAHQAYQBfAFMAdwBpAG4AZQAuAFMAbwB1AHIAYwBlAEQAYQB0AGEAXwBTAHcAaQBuAGUAXwBWAG8AbABhAHQAaQBsAGUAUwBvAGwAaQBkAHMAXwBVAG4AaQB0ACIALAAiAFMAbwB1AHIAYwBlAEQAYQB0AGEAXwBTAHcAaQBuAGUALgBTAG8AdQByAGMAZQBEAGEAdABhAF8AUwB3AGkAbgBlAF8AVgBvAGwAYQB0AGkAbABlAFMAbwBsAGkAZABzAF8AUwBvAHUAcgBjAGUAIgAsACIAUwBvAHUAcgBjAGUARABhAHQAYQBfAFMAdwBpAG4AZQAuAFMAbwB1AHIAYwBlAEQAYQB0AGEAXwBTAHcAaQBuAGUAXwBWAG8AbABhAHQAaQBsAGUAUwBvAGwAaQBkAHMAXwBWAGEAcgBpAGEAdABpAG8AbgAiACwAIgBTAG8AdQByAGMAZQBEAGEAdABhAF8AUwB3AGkAbgBlAC4AUwBvAHUAcgBjAGUARABhAHQAYQBfAFMAdwBpAG4AZQBfAFYAbwBsAGEAdABpAGwAZQBTAG8AbABpAGQAcwBfAEQAYQB0AGEAIgAsACIAUwBvAHUAcgBjAGUARABhAHQAYQBfAFMAdwBpAG4AZQAuAFMAbwB1AHIAYwBlAEQAYQB0AGEAXwBTAHcAaQBuAGUAXwBGAGUAZQBkAEkAbgB0AGEAawBlAF8AVABpAHQAbABlACIALAAiAFMAbwB1AHIAYwBlAEQAYQB0AGEAXwBTAHcAaQBuAGUALgBTAG8AdQByAGMAZQBEAGEAdABhAF8AUwB3AGkAbgBlAF8ARgBlAGUAZABJAG4AdABhAGsAZQBfAFUAbgBpAHQAIgAsACIAUwBvAHUAcgBjAGUARABhAHQAYQBfAFMAdwBpAG4AZQAuAFMAbwB1AHIAYwBlAEQAYQB0AGEAXwBTAHcAaQBuAGUAXwBGAGUAZQBkAEkAbgB0AGEAawBlAF8AUwBvAHUAcgBjAGUAIgAsACIAUwBvAHUAcgBjAGUARABhAHQAYQBfAFMAdwBpAG4AZQAuAFMAbwB1AHIAYwBlAEQAYQB0AGEAXwBTAHcAaQBuAGUAXwBGAGUAZQBkAEkAbgB0AGEAawBlAF8AVgBhAHIAaQBhAHQAaQBvAG4AIgAsACIAUwBvAHUAcgBjAGUARABhAHQAYQBfAFMAdwBpAG4AZQAuAFMAbwB1AHIAYwBlAEQAYQB0AGEAXwBTAHcAaQBuAGUAXwBGAGUAZQBkAEkAbgB0AGEAawBlAF8ARABhAHQAYQAiACwAIgBTAG8AdQByAGMAZQBEAGEAdABhAF8AUwB3AGkAbgBlAC4AUwBvAHUAcgBjAGUARABhAHQAYQBfAFMAdwBpAG4AZQBfAE4AaQB0AHIAbwBnAGUAbgBJAG4AVwBhAHMAdABlAF8AVABpAHQAbABlACIALAAiAFMAbwB1AHIAYwBlAEQAYQB0AGEAXwBTAHcAaQBuAGUALgBTAG8AdQByAGMAZQBEAGEAdABhAF8AUwB3AGkAbgBlAF8ATgBpAHQAcgBvAGcAZQBuAEkAbgBXAGEAcwB0AGUAXwBVAG4AaQB0ACIALAAiAFMAbwB1AHIAYwBlAEQAYQB0AGEAXwBTAHcAaQBuAGUALgBTAG8AdQByAGMAZQBEAGEAdABhAF8AUwB3AGkAbgBlAF8ATgBpAHQAcgBvAGcAZQBuAEkAbgBXAGEAcwB0AGUAXwBTAG8AdQByAGMAZQAiACwAIgBTAG8AdQByAGMAZQBEAGEAdABhAF8AUwB3AGkAbgBlAC4AUwBvAHUAcgBjAGUARABhAHQAYQBfAFMAdwBpAG4AZQBfAE4AaQB0AHIAbwBnAGUAbgBJAG4AVwBhAHMAdABlAF8AVgBhAHIAaQBhAHQAaQBvAG4AIgAsACIAUwBvAHUAcgBjAGUARABhAHQAYQBfAFMAdwBpAG4AZQAuAFMAbwB1AHIAYwBlAEQAYQB0AGEAXwBTAHcAaQBuAGUAXwBOAGkAdAByAG8AZwBlAG4ASQBuAFcAYQBzAHQAZQBfAEQAYQB0AGEAIgAsACIAUwBvAHUAcgBjAGUARABhAHQAYQBfAFMAdwBpAG4AZQAuAFMAbwB1AHIAYwBlAEQAYQB0AGEAXwBTAHcAaQBuAGUAXwBGAHIAYQBjAHQAaQBvAG4ATgBWAG8AbABhAHQAaQBsAGkAcwBlAGQAXwBUAGkAdABsAGUAIgAsACIAUwBvAHUAcgBjAGUARABhAHQAYQBfAFMAdwBpAG4AZQAuAFMAbwB1AHIAYwBlAEQAYQB0AGEAXwBTAHcAaQBuAGUAXwBGAHIAYQBjAHQAaQBvAG4ATgBWAG8AbABhAHQAaQBsAGkAcwBlAGQAXwBVAG4AaQB0ACIALAAiAFMAbwB1AHIAYwBlAEQAYQB0AGEAXwBTAHcAaQBuAGUALgBTAG8AdQByAGMAZQBEAGEAdABhAF8AUwB3AGkAbgBlAF8ARgByAGEAYwB0AGkAbwBuAE4AVgBvAGwAYQB0AGkAbABpAHMAZQBkAF8AUwBvAHUAcgBjAGUAIgAsACIAUwBvAHUAcgBjAGUARABhAHQAYQBfAFMAdwBpAG4AZQAuAFMAbwB1AHIAYwBlAEQAYQB0AGEAXwBTAHcAaQBuAGUAXwBGAHIAYQBjAHQAaQBvAG4ATgBWAG8AbABhAHQAaQBsAGkAcwBlAGQAXwBWAGEAcgBpAGEAdABpAG8AbgAiACwAIgBTAG8AdQByAGMAZQBEAGEAdABhAF8AUwB3AGkAbgBlAC4AUwBvAHUAcgBjAGUARABhAHQAYQBfAFMAdwBpAG4AZQBfAEYAcgBhAGMAdABpAG8AbgBOAFYAbwBsAGEAdABpAGwAaQBzAGUAZABfAEQAYQB0AGEAIgAsACIAUwBvAHUAcgBjAGUARABhAHQAYQBfAFMAdwBpAG4AZQAuAFMAbwB1AHIAYwBlAEQAYQB0AGEAXwBTAHcAaQBuAGUAXwBOAGkAdAByAG8AdQBzAE8AeABpAGQAZQBFAEYAcwBfAFQAaQB0AGwAZQAiACwAIgBTAG8AdQByAGMAZQBEAGEAdABhAF8AUwB3AGkAbgBlAC4AUwBvAHUAcgBjAGUARABhAHQAYQBfAFMAdwBpAG4AZQBfAE4AaQB0AHIAbwB1AHMATwB4AGkAZABlAEUARgBzAF8AVQBuAGkAdAAiACwAIgBTAG8AdQByAGMAZQBEAGEAdABhAF8AUwB3AGkAbgBlAC4AUwBvAHUAcgBjAGUARABhAHQAYQBfAFMAdwBpAG4AZQBfAE4AaQB0AHIAbwB1AHMATwB4AGkAZABlAEUARgBzAF8AUwBvAHUAcgBjAGUAIgAsACIAUwBvAHUAcgBjAGUARABhAHQAYQBfAFMAdwBpAG4AZQAuAFMAbwB1AHIAYwBlAEQAYQB0AGEAXwBTAHcAaQBuAGUAXwBOAGkAdAByAG8AdQBzAE8AeABpAGQAZQBFAEYAcwBfAFYAYQByAGkAYQB0AGkAbwBuACIALAAiAFMAbwB1AHIAYwBlAEQAYQB0AGEAXwBTAHcAaQBuAGUALgBTAG8AdQByAGMAZQBEAGEAdABhAF8AUwB3AGkAbgBlAF8ATgBpAHQAcgBvAHUAcwBPAHgAaQBkAGUARQBGAHMAXwBEAGEAdABhACIALAAiAFMAbwB1AHIAYwBlAEQAYQB0AGEAXwBTAHcAaQBuAGUALgBTAG8AdQByAGMAZQBEAGEAdABhAF8AUwB3AGkAbgBlAF8ATQBlAHQAaABhAG4AZQBWAG8AbABhAHQAaQBsAGUAUwBvAGwAaQBkAHMARQBtAGkAcwBzAGkAbwBuAHMAUABvAHQAZQBuAHQAaQBhAGwAXwBUAGkAdABsAGUAIgAsACIAUwBvAHUAcgBjAGUARABhAHQAYQBfAFMAdwBpAG4AZQAuAFMAbwB1AHIAYwBlAEQAYQB0AGEAXwBTAHcAaQBuAGUAXwBNAGUAdABoAGEAbgBlAFYAbwBsAGEAdABpAGwAZQBTAG8AbABpAGQAcwBFAG0AaQBzAHMAaQBvAG4AcwBQAG8AdABlAG4AdABpAGEAbABfAFYAYQByAGkAYQBiAGwAZQAiACwAIgBTAG8AdQByAGMAZQBEAGEAdABhAF8AUwB3AGkAbgBlAC4AUwBvAHUAcgBjAGUARABhAHQAYQBfAFMAdwBpAG4AZQBfAE0AZQB0AGgAYQBuAGUAVgBvAGwAYQB0AGkAbABlAFMAbwBsAGkAZABzAEUAbQBpAHMAcwBpAG8AbgBzAFAAbwB0AGUAbgB0AGkAYQBsAF8AVQBuAGkAdAAiACwAIgBTAG8AdQByAGMAZQBEAGEAdABhAF8AUwB3AGkAbgBlAC4AUwBvAHUAcgBjAGUARABhAHQAYQBfAFMAdwBpAG4AZQBfAE0AZQB0AGgAYQBuAGUAVgBvAGwAYQB0AGkAbABlAFMAbwBsAGkAZABzAEUAbQBpAHMAcwBpAG8AbgBzAFAAbwB0AGUAbgB0AGkAYQBsAF8AUwBvAHUAcgBjAGUAIgAsACIAUwBvAHUAcgBjAGUARABhAHQAYQBfAFMAdwBpAG4AZQAuAFMAbwB1AHIAYwBlAEQAYQB0AGEAXwBTAHcAaQBuAGUAXwBNAGUAdABoAGEAbgBlAFYAbwBsAGEAdABpAGwAZQBTAG8AbABpAGQAcwBFAG0AaQBzAHMAaQBvAG4AcwBQAG8AdABlAG4AdABpAGEAbABfAFYAYQByAGkAYQB0AGkAbwBuACIALAAiAFMAbwB1AHIAYwBlAEQAYQB0AGEAXwBTAHcAaQBuAGUALgBTAG8AdQByAGMAZQBEAGEAdABhAF8AUwB3AGkAbgBlAF8ATQBlAHQAaABhAG4AZQBWAG8AbABhAHQAaQBsAGUAUwBvAGwAaQBkAHMARQBtAGkAcwBzAGkAbwBuAHMAUABvAHQAZQBuAHQAaQBhAGwAXwBEAGEAdABhACIALAAiAFMAbwB1AHIAYwBlAEQAYQB0AGEAXwBTAHcAaQBuAGUALgBTAG8AdQByAGMAZQBEAGEAdABhAF8AUwB3AGkAbgBlAF8ATQBNAFMAXwBNAEMARgBzAF8AVABpAHQAbABlACIALAAiAFMAbwB1AHIAYwBlAEQAYQB0AGEAXwBTAHcAaQBuAGUALgBTAG8AdQByAGMAZQBEAGEAdABhAF8AUwB3AGkAbgBlAF8ATQBNAFMAXwBNAEMARgBzAF8AVQBuAGkAdAAiACwAIgBTAG8AdQByAGMAZQBEAGEAdABhAF8AUwB3AGkAbgBlAC4AUwBvAHUAcgBjAGUARABhAHQAYQBfAFMAdwBpAG4AZQBfAE0ATQBTAF8ATQBDAEYAcwBfAFMAbwB1AHIAYwBlACIALAAiAFMAbwB1AHIAYwBlAEQAYQB0AGEAXwBTAHcAaQBuAGUALgBTAG8AdQByAGMAZQBEAGEAdABhAF8AUwB3AGkAbgBlAF8ATQBNAFMAXwBNAEMARgBzAF8AVgBhAHIAaQBhAHQAaQBvAG4AIgAsACIAUwBvAHUAcgBjAGUARABhAHQAYQBfAFMAdwBpAG4AZQAuAFMAbwB1AHIAYwBlAEQAYQB0AGEAXwBTAHcAaQBuAGUAXwBNAE0AUwBfAE0AQwBGAHMAXwBEAGEAdABhACIALAAiAFMAbwB1AHIAYwBlAEQAYQB0AGEAXwBTAHcAaQBuAGUALgBTAG8AdQByAGMAZQBEAGEAdABhAF8AUwB3AGkAbgBlAF8AQQB2AGUAcgBhAGcAZQBMAGkAdgBlAHcAZQBpAGcAaAB0AF8AVABpAHQAbABlACIALAAiAFMAbwB1AHIAYwBlAEQAYQB0AGEAXwBTAHcAaQBuAGUALgBTAG8AdQByAGMAZQBEAGEAdABhAF8AUwB3AGkAbgBlAF8AQQB2AGUAcgBhAGcAZQBMAGkAdgBlAHcAZQBpAGcAaAB0AF8AVQBuAGkAdAAiACwAIgBTAG8AdQByAGMAZQBEAGEAdABhAF8AUwB3AGkAbgBlAC4AUwBvAHUAcgBjAGUARABhAHQAYQBfAFMAdwBpAG4AZQBfAEEAdgBlAHIAYQBnAGUATABpAHYAZQB3AGUAaQBnAGgAdABfAFMAbwB1AHIAYwBlACIALAAiAFMAbwB1AHIAYwBlAEQAYQB0AGEAXwBTAHcAaQBuAGUALgBTAG8AdQByAGMAZQBEAGEAdABhAF8AUwB3AGkAbgBlAF8AQQB2AGUAcgBhAGcAZQBMAGkAdgBlAHcAZQBpAGcAaAB0AF8AVgBhAHIAaQBhAHQAaQBvAG4AIgAsACIAUwBvAHUAcgBjAGUARABhAHQAYQBfAFMAdwBpAG4AZQAuAFMAbwB1AHIAYwBlAEQAYQB0AGEAXwBTAHcAaQBuAGUAXwBBAHYAZQByAGEAZwBlAEwAaQB2AGUAdwBlAGkAZwBoAHQAXwBEAGEAdABhACIALAAiAFMAbwB1AHIAYwBlAEQAYQB0AGEAXwBTAHcAaQBuAGUALgBTAG8AdQByAGMAZQBEAGEAdABhAF8AUwB3AGkAbgBlAF8AUAByAG8AZAB1AGMAdABpAG8AbgBTAHkAcwB0AGUAbQBzAF8AVABpAHQAbABlACIALAAiAFMAbwB1AHIAYwBlAEQAYQB0AGEAXwBTAHcAaQBuAGUALgBTAG8AdQByAGMAZQBEAGEAdABhAF8AUwB3AGkAbgBlAF8AUAByAG8AZAB1AGMAdABpAG8AbgBTAHkAcwB0AGUAbQBzAF8AVQBuAGkAdAAiACwAIgBTAG8AdQByAGMAZQBEAGEAdABhAF8AUwB3AGkAbgBlAC4AUwBvAHUAcgBjAGUARABhAHQAYQBfAFMAdwBpAG4AZQBfAFAAcgBvAGQAdQBjAHQAaQBvAG4AUwB5AHMAdABlAG0AcwBfAFMAbwB1AHIAYwBlACIALAAiAFMAbwB1AHIAYwBlAEQAYQB0AGEAXwBTAHcAaQBuAGUALgBTAG8AdQByAGMAZQBEAGEAdABhAF8AUwB3AGkAbgBlAF8AUAByAG8AZAB1AGMAdABpAG8AbgBTAHkAcwB0AGUAbQBzAF8AVgBhAHIAaQBhAHQAaQBvAG4AIgAsACIAUwBvAHUAcgBjAGUARABhAHQAYQBfAFMAdwBpAG4AZQAuAFMAbwB1AHIAYwBlAEQAYQB0AGEAXwBTAHcAaQBuAGUAXwBQAHIAbwBkAHUAYwB0AGkAbwBuAFMAeQBzAHQAZQBtAHMAXwBEAGEAdABhACIALAAiAFMAbwB1AHIAYwBlAEQAYQB0AGEAXwBTAHcAaQBuAGUALgBTAG8AdQByAGMAZQBEAGEAdABhAF8AUwB3AGkAbgBlAF8ARgByAGEAYwBMAEUAQQBDAEgAXwBEAHIAeQBsAG8AdABNAE0AUwBfAFQAaQB0AGwAZQAiACwAIgBTAG8AdQByAGMAZQBEAGEAdABhAF8AUwB3AGkAbgBlAC4AUwBvAHUAcgBjAGUARABhAHQAYQBfAFMAdwBpAG4AZQBfAEYAcgBhAGMATABFAEEAQwBIAF8ARAByAHkAbABvAHQATQBNAFMAXwBWAGEAcgBpAGEAYgBsAGUAIgAsACIAUwBvAHUAcgBjAGUARABhAHQAYQBfAFMAdwBpAG4AZQAuAFMAbwB1AHIAYwBlAEQAYQB0AGEAXwBTAHcAaQBuAGUAXwBGAHIAYQBjAEwARQBBAEMASABfAEQAcgB5AGwAbwB0AE0ATQBTAF8AVQBuAGkAdAAiACwAIgBTAG8AdQByAGMAZQBEAGEAdABhAF8AUwB3AGkAbgBlAC4AUwBvAHUAcgBjAGUARABhAHQAYQBfAFMAdwBpAG4AZQBfAEYAcgBhAGMATABFAEEAQwBIAF8ARAByAHkAbABvAHQATQBNAFMAXwBTAG8AdQByAGMAZQAiACwAIgBTAG8AdQByAGMAZQBEAGEAdABhAF8AUwB3AGkAbgBlAC4AUwBvAHUAcgBjAGUARABhAHQAYQBfAFMAdwBpAG4AZQBfAEYAcgBhAGMATABFAEEAQwBIAF8ARAByAHkAbABvAHQATQBNAFMAXwBWAGEAcgBpAGEAdABpAG8AbgAiACwAIgBTAG8AdQByAGMAZQBEAGEAdABhAF8AUwB3AGkAbgBlAC4AUwBvAHUAcgBjAGUARABhAHQAYQBfAFMAdwBpAG4AZQBfAEYAcgBhAGMATABFAEEAQwBIAF8ARAByAHkAbABvAHQATQBNAFMAXwBEAGEAdABhACIALAAiAFMAbwB1AHIAYwBlAEQAYQB0AGEAXwBTAHcAaQBuAGUALgBTAG8AdQByAGMAZQBEAGEAdABhAF8AUwB3AGkAbgBlAF8ATQBlAGcAYQBqAG8AdQBsAGUAcwBQAGUAcgBLAGkAbABvAGcAcgBhAG0ATQBlAHQAaABhAG4AZQBfAFQAaQB0AGwAZQAiACwAIgBTAG8AdQByAGMAZQBEAGEAdABhAF8AUwB3AGkAbgBlAC4AUwBvAHUAcgBjAGUARABhAHQAYQBfAFMAdwBpAG4AZQBfAE0AZQBnAGEAagBvAHUAbABlAHMAUABlAHIASwBpAGwAbwBnAHIAYQBtAE0AZQB0AGgAYQBuAGUAXwBWAGEAcgBpAGEAYgBsAGUAIgAsACIAUwBvAHUAcgBjAGUARABhAHQAYQBfAFMAdwBpAG4AZQAuAFMAbwB1AHIAYwBlAEQAYQB0AGEAXwBTAHcAaQBuAGUAXwBNAGUAZwBhAGoAbwB1AGwAZQBzAFAAZQByAEsAaQBsAG8AZwByAGEAbQBNAGUAdABoAGEAbgBlAF8AVQBuAGkAdAAiACwAIgBTAG8AdQByAGMAZQBEAGEAdABhAF8AUwB3AGkAbgBlAC4AUwBvAHUAcgBjAGUARABhAHQAYQBfAFMAdwBpAG4AZQBfAE0AZQBnAGEAagBvAHUAbABlAHMAUABlAHIASwBpAGwAbwBnAHIAYQBtAE0AZQB0AGgAYQBuAGUAXwBTAG8AdQByAGMAZQAiACwAIgBTAG8AdQByAGMAZQBEAGEAdABhAF8AUwB3AGkAbgBlAC4AUwBvAHUAcgBjAGUARABhAHQAYQBfAFMAdwBpAG4AZQBfAE0AZQBnAGEAagBvAHUAbABlAHMAUABlAHIASwBpAGwAbwBnAHIAYQBtAE0AZQB0AGgAYQBuAGUAXwBWAGEAcgBpAGEAdABpAG8AbgAiACwAIgBTAG8AdQByAGMAZQBEAGEAdABhAF8AUwB3AGkAbgBlAC4AUwBvAHUAcgBjAGUARABhAHQAYQBfAFMAdwBpAG4AZQBfAE0AZQBnAGEAagBvAHUAbABlAHMAUABlAHIASwBpAGwAbwBnAHIAYQBtAE0AZQB0AGgAYQBuAGUAXwBEAGEAdABhACIALAAiAFMAbwB1AHIAYwBlAEQAYQB0AGEAXwBQAG8AdQBsAHQAcgB5AC4AUwBvAHUAcgBjAGUARABhAHQAYQBfAFAAbwB1AGwAdAByAHkAXwBEAGkAZQB0AFAAcgBvAHAAZQByAHQAaQBlAHMAXwBUAGkAdABsAGUAIgAsACIAUwBvAHUAcgBjAGUARABhAHQAYQBfAFAAbwB1AGwAdAByAHkALgBTAG8AdQByAGMAZQBEAGEAdABhAF8AUABvAHUAbAB0AHIAeQBfAEQAaQBlAHQAUAByAG8AcABlAHIAdABpAGUAcwBfAFUAbgBpAHQAIgAsACIAUwBvAHUAcgBjAGUARABhAHQAYQBfAFAAbwB1AGwAdAByAHkALgBTAG8AdQByAGMAZQBEAGEAdABhAF8AUABvAHUAbAB0AHIAeQBfAEQAaQBlAHQAUAByAG8AcABlAHIAdABpAGUAcwBfAFMAbwB1AHIAYwBlACIALAAiAFMAbwB1AHIAYwBlAEQAYQB0AGEAXwBQAG8AdQBsAHQAcgB5AC4AUwBvAHUAcgBjAGUARABhAHQAYQBfAFAAbwB1AGwAdAByAHkAXwBEAGkAZQB0AFAAcgBvAHAAZQByAHQAaQBlAHMAXwBWAGEAcgBpAGEAdABpAG8AbgAiACwAIgBTAG8AdQByAGMAZQBEAGEAdABhAF8AUABvAHUAbAB0AHIAeQAuAFMAbwB1AHIAYwBlAEQAYQB0AGEAXwBQAG8AdQBsAHQAcgB5AF8ARABpAGUAdABQAHIAbwBwAGUAcgB0AGkAZQBzAF8ARABhAHQAYQAiACwAIgBTAG8AdQByAGMAZQBEAGEAdABhAF8AUABvAHUAbAB0AHIAeQAuAFMAbwB1AHIAYwBlAEQAYQB0AGEAXwBQAG8AdQBsAHQAcgB5AF8ATQBDAEYAXwBUAGkAdABsAGUAIgAsACIAUwBvAHUAcgBjAGUARABhAHQAYQBfAFAAbwB1AGwAdAByAHkALgBTAG8AdQByAGMAZQBEAGEAdABhAF8AUABvAHUAbAB0AHIAeQBfAE0AQwBGAF8AVQBuAGkAdAAiACwAIgBTAG8AdQByAGMAZQBEAGEAdABhAF8AUABvAHUAbAB0AHIAeQAuAFMAbwB1AHIAYwBlAEQAYQB0AGEAXwBQAG8AdQBsAHQAcgB5AF8ATQBDAEYAXwBTAG8AdQByAGMAZQAiACwAIgBTAG8AdQByAGMAZQBEAGEAdABhAF8AUABvAHUAbAB0AHIAeQAuAFMAbwB1AHIAYwBlAEQAYQB0AGEAXwBQAG8AdQBsAHQAcgB5AF8ATQBDAEYAXwBWAGEAcgBpAGEAdABpAG8AbgAiACwAIgBTAG8AdQByAGMAZQBEAGEAdABhAF8AUABvAHUAbAB0AHIAeQAuAFMAbwB1AHIAYwBlAEQAYQB0AGEAXwBQAG8AdQBsAHQAcgB5AF8ATQBDAEYAXwBEAGEAdABhACIALAAiAFMAbwB1AHIAYwBlAEQAYQB0AGEAXwBQAG8AdQBsAHQAcgB5AC4AUwBvAHUAcgBjAGUARABhAHQAYQBfAFAAbwB1AGwAdAByAHkAXwBNAEMARgBfAE4AbwB0AGUAcwAiACwAIgBTAG8AdQByAGMAZQBEAGEAdABhAF8AUABvAHUAbAB0AHIAeQAuAFMAbwB1AHIAYwBlAEQAYQB0AGEAXwBQAG8AdQBsAHQAcgB5AF8ATQBlAHQAaABhAG4AZQBFAG0AaQBzAHMAaQBvAG4AcwBQAG8AdABlAG4AdABpAGEAbABfAFQAaQB0AGwAZQAiACwAIgBTAG8AdQByAGMAZQBEAGEAdABhAF8AUABvAHUAbAB0AHIAeQAuAFMAbwB1AHIAYwBlAEQAYQB0AGEAXwBQAG8AdQBsAHQAcgB5AF8ATQBlAHQAaABhAG4AZQBFAG0AaQBzAHMAaQBvAG4AcwBQAG8AdABlAG4AdABpAGEAbABfAFUAbgBpAHQAIgAsACIAUwBvAHUAcgBjAGUARABhAHQAYQBfAFAAbwB1AGwAdAByAHkALgBTAG8AdQByAGMAZQBEAGEAdABhAF8AUABvAHUAbAB0AHIAeQBfAE0AZQB0AGgAYQBuAGUARQBtAGkAcwBzAGkAbwBuAHMAUABvAHQAZQBuAHQAaQBhAGwAXwBTAG8AdQByAGMAZQAiACwAIgBTAG8AdQByAGMAZQBEAGEAdABhAF8AUABvAHUAbAB0AHIAeQAuAFMAbwB1AHIAYwBlAEQAYQB0AGEAXwBQAG8AdQBsAHQAcgB5AF8ATQBlAHQAaABhAG4AZQBFAG0AaQBzAHMAaQBvAG4AcwBQAG8AdABlAG4AdABpAGEAbABfAFYAYQByAGkAYQB0AGkAbwBuACIALAAiAFMAbwB1AHIAYwBlAEQAYQB0AGEAXwBQAG8AdQBsAHQAcgB5AC4AUwBvAHUAcgBjAGUARABhAHQAYQBfAFAAbwB1AGwAdAByAHkAXwBNAGUAdABoAGEAbgBlAEUAbQBpAHMAcwBpAG8AbgBzAFAAbwB0AGUAbgB0AGkAYQBsAF8ARABhAHQAYQAiACwAIgBTAG8AdQByAGMAZQBEAGEAdABhAF8AUABvAHUAbAB0AHIAeQAuAFMAbwB1AHIAYwBlAEQAYQB0AGEAXwBQAG8AdQBsAHQAcgB5AF8AUAByAG8AZAB1AGMAdABpAG8AbgBTAHkAcwB0AGUAbQBzAF8AVABpAHQAbABlACIALAAiAFMAbwB1AHIAYwBlAEQAYQB0AGEAXwBQAG8AdQBsAHQAcgB5AC4AUwBvAHUAcgBjAGUARABhAHQAYQBfAFAAbwB1AGwAdAByAHkAXwBQAHIAbwBkAHUAYwB0AGkAbwBuAFMAeQBzAHQAZQBtAHMAXwBVAG4AaQB0ACIALAAiAFMAbwB1AHIAYwBlAEQAYQB0AGEAXwBQAG8AdQBsAHQAcgB5AC4AUwBvAHUAcgBjAGUARABhAHQAYQBfAFAAbwB1AGwAdAByAHkAXwBQAHIAbwBkAHUAYwB0AGkAbwBuAFMAeQBzAHQAZQBtAHMAXwBTAG8AdQByAGMAZQAiACwAIgBTAG8AdQByAGMAZQBEAGEAdABhAF8AUABvAHUAbAB0AHIAeQAuAFMAbwB1AHIAYwBlAEQAYQB0AGEAXwBQAG8AdQBsAHQAcgB5AF8AUAByAG8AZAB1AGMAdABpAG8AbgBTAHkAcwB0AGUAbQBzAF8AVgBhAHIAaQBhAHQAaQBvAG4AIgAsACIAUwBvAHUAcgBjAGUARABhAHQAYQBfAFAAbwB1AGwAdAByAHkALgBTAG8AdQByAGMAZQBEAGEAdABhAF8AUABvAHUAbAB0AHIAeQBfAFAAcgBvAGQAdQBjAHQAaQBvAG4AUwB5AHMAdABlAG0AcwBfAEQAYQB0AGEAIgAsACIAUwBvAHUAcgBjAGUARABhAHQAYQBfAFAAbwB1AGwAdAByAHkALgBTAG8AdQByAGMAZQBEAGEAdABhAF8AUABvAHUAbAB0AHIAeQBfAFYAUwBMAF8AVABpAHQAbABlACIALAAiAFMAbwB1AHIAYwBlAEQAYQB0AGEAXwBQAG8AdQBsAHQAcgB5AC4AUwBvAHUAcgBjAGUARABhAHQAYQBfAFAAbwB1AGwAdAByAHkAXwBWAFMATABfAFUAbgBpAHQAIgAsACIAUwBvAHUAcgBjAGUARABhAHQAYQBfAFAAbwB1AGwAdAByAHkALgBTAG8AdQByAGMAZQBEAGEAdABhAF8AUABvAHUAbAB0AHIAeQBfAFYAUwBMAF8AUwBvAHUAcgBjAGUAIgAsACIAUwBvAHUAcgBjAGUARABhAHQAYQBfAFAAbwB1AGwAdAByAHkALgBTAG8AdQByAGMAZQBEAGEAdABhAF8AUABvAHUAbAB0AHIAeQBfAFYAUwBMAF8AVgBhAHIAaQBhAHQAaQBvAG4AIgAsACIAUwBvAHUAcgBjAGUARABhAHQAYQBfAFAAbwB1AGwAdAByAHkALgBTAG8AdQByAGMAZQBEAGEAdABhAF8AUABvAHUAbAB0AHIAeQBfAFYAUwBMAF8ARABhAHQAYQAiACwAIgBTAG8AdQByAGMAZQBEAGEAdABhAF8AUABvAHUAbAB0AHIAeQAuAFMAbwB1AHIAYwBlAEQAYQB0AGEAXwBQAG8AdQBsAHQAcgB5AF8ARgByAGEAYwBHAEEAUwBNAG0AVABfAFQAaQB0AGwAZQAiACwAIgBTAG8AdQByAGMAZQBEAGEAdABhAF8AUABvAHUAbAB0AHIAeQAuAFMAbwB1AHIAYwBlAEQAYQB0AGEAXwBQAG8AdQBsAHQAcgB5AF8ARgByAGEAYwBHAEEAUwBNAG0AVABfAFUAbgBpAHQAIgAsACIAUwBvAHUAcgBjAGUARABhAHQAYQBfAFAAbwB1AGwAdAByAHkALgBTAG8AdQByAGMAZQBEAGEAdABhAF8AUABvAHUAbAB0AHIAeQBfAEYAcgBhAGMARwBBAFMATQBtAFQAXwBTAG8AdQByAGMAZQAiACwAIgBTAG8AdQByAGMAZQBEAGEAdABhAF8AUABvAHUAbAB0AHIAeQAuAFMAbwB1AHIAYwBlAEQAYQB0AGEAXwBQAG8AdQBsAHQAcgB5AF8ARgByAGEAYwBHAEEAUwBNAG0AVABfAFYAYQByAGkAYQB0AGkAbwBuACIALAAiAFMAbwB1AHIAYwBlAEQAYQB0AGEAXwBQAG8AdQBsAHQAcgB5AC4AUwBvAHUAcgBjAGUARABhAHQAYQBfAFAAbwB1AGwAdAByAHkAXwBGAHIAYQBjAEcAQQBTAE0AbQBUAF8ARABhAHQAYQAiACwAIgBTAG8AdQByAGMAZQBEAGEAdABhAF8AUABvAHUAbAB0AHIAeQAuAFMAbwB1AHIAYwBlAEQAYQB0AGEAXwBQAG8AdQBsAHQAcgB5AF8ARQBGAG0AVABfAFQAaQB0AGwAZQAiACwAIgBTAG8AdQByAGMAZQBEAGEAdABhAF8AUABvAHUAbAB0AHIAeQAuAFMAbwB1AHIAYwBlAEQAYQB0AGEAXwBQAG8AdQBsAHQAcgB5AF8ARQBGAG0AVABfAFUAbgBpAHQAIgAsACIAUwBvAHUAcgBjAGUARABhAHQAYQBfAFAAbwB1AGwAdAByAHkALgBTAG8AdQByAGMAZQBEAGEAdABhAF8AUABvAHUAbAB0AHIAeQBfAEUARgBtAFQAXwBTAG8AdQByAGMAZQAiACwAIgBTAG8AdQByAGMAZQBEAGEAdABhAF8AUABvAHUAbAB0AHIAeQAuAFMAbwB1AHIAYwBlAEQAYQB0AGEAXwBQAG8AdQBsAHQAcgB5AF8ARQBGAG0AVABfAFYAYQByAGkAYQB0AGkAbwBuACIALAAiAFMAbwB1AHIAYwBlAEQAYQB0AGEAXwBQAG8AdQBsAHQAcgB5AC4AUwBvAHUAcgBjAGUARABhAHQAYQBfAFAAbwB1AGwAdAByAHkAXwBFAEYAbQBUAF8ARABhAHQAYQAiACwAIgBTAG8AdQByAGMAZQBEAGEAdABhAF8AUABvAHUAbAB0AHIAeQAuAFMAbwB1AHIAYwBlAEQAYQB0AGEAXwBQAG8AdQBsAHQAcgB5AF8ARgByAGEAYwB0AGkAbwBuAE8AZgBOAGkAdAByAG8AZwBlAG4ATABvAHMAdABUAGgAcgBvAHUAZwBoAEwAZQBhAGMAaABpAG4AZwBBAG4AZABSAHUAbgBvAGYAZgBfAFQAaQB0AGwAZQAiACwAIgBTAG8AdQByAGMAZQBEAGEAdABhAF8AUABvAHUAbAB0AHIAeQAuAFMAbwB1AHIAYwBlAEQAYQB0AGEAXwBQAG8AdQBsAHQAcgB5AF8ARgByAGEAYwB0AGkAbwBuAE8AZgBOAGkAdAByAG8AZwBlAG4ATABvAHMAdABUAGgAcgBvAHUAZwBoAEwAZQBhAGMAaABpAG4AZwBBAG4AZABSAHUAbgBvAGYAZgBfAFYAYQByAGkAYQBiAGwAZQAiACwAIgBTAG8AdQByAGMAZQBEAGEAdABhAF8AUABvAHUAbAB0AHIAeQAuAFMAbwB1AHIAYwBlAEQAYQB0AGEAXwBQAG8AdQBsAHQAcgB5AF8ARgByAGEAYwB0AGkAbwBuAE8AZgBOAGkAdAByAG8AZwBlAG4ATABvAHMAdABUAGgAcgBvAHUAZwBoAEwAZQBhAGMAaABpAG4AZwBBAG4AZABSAHUAbgBvAGYAZgBfAFUAbgBpAHQAIgAsACIAUwBvAHUAcgBjAGUARABhAHQAYQBfAFAAbwB1AGwAdAByAHkALgBTAG8AdQByAGMAZQBEAGEAdABhAF8AUABvAHUAbAB0AHIAeQBfAEYAcgBhAGMAdABpAG8AbgBPAGYATgBpAHQAcgBvAGcAZQBuAEwAbwBzAHQAVABoAHIAbwB1AGcAaABMAGUAYQBjAGgAaQBuAGcAQQBuAGQAUgB1AG4AbwBmAGYAXwBTAG8AdQByAGMAZQAiACwAIgBTAG8AdQByAGMAZQBEAGEAdABhAF8AUABvAHUAbAB0AHIAeQAuAFMAbwB1AHIAYwBlAEQAYQB0AGEAXwBQAG8AdQBsAHQAcgB5AF8ARgByAGEAYwB0AGkAbwBuAE8AZgBOAGkAdAByAG8AZwBlAG4ATABvAHMAdABUAGgAcgBvAHUAZwBoAEwAZQBhAGMAaABpAG4AZwBBAG4AZABSAHUAbgBvAGYAZgBfAFYAYQByAGkAYQB0AGkAbwBuACIALAAiAFMAbwB1AHIAYwBlAEQAYQB0AGEAXwBQAG8AdQBsAHQAcgB5AC4AUwBvAHUAcgBjAGUARABhAHQAYQBfAFAAbwB1AGwAdAByAHkAXwBGAHIAYQBjAHQAaQBvAG4ATwBmAE4AaQB0AHIAbwBnAGUAbgBMAG8AcwB0AFQAaAByAG8AdQBnAGgATABlAGEAYwBoAGkAbgBnAEEAbgBkAFIAdQBuAG8AZgBmAF8ARABhAHQAYQAiACwAIgBTAG8AdQByAGMAZQBEAGEAdABhAF8AUABvAHUAbAB0AHIAeQAuAFMAbwB1AHIAYwBlAEQAYQB0AGEAXwBQAG8AdQBsAHQAcgB5AF8ARgByAGEAYwBHAEEATQBTAFMAbwBpAGwAXwBUAGkAdABsAGUAIgAsACIAUwBvAHUAcgBjAGUARABhAHQAYQBfAFAAbwB1AGwAdAByAHkALgBTAG8AdQByAGMAZQBEAGEAdABhAF8AUABvAHUAbAB0AHIAeQBfAEYAcgBhAGMARwBBAE0AUwBTAG8AaQBsAF8AVgBhAHIAaQBhAGIAbABlACIALAAiAFMAbwB1AHIAYwBlAEQAYQB0AGEAXwBQAG8AdQBsAHQAcgB5AC4AUwBvAHUAcgBjAGUARABhAHQAYQBfAFAAbwB1AGwAdAByAHkAXwBGAHIAYQBjAEcAQQBNAFMAUwBvAGkAbABfAFUAbgBpAHQAIgAsACIAUwBvAHUAcgBjAGUARABhAHQAYQBfAFAAbwB1AGwAdAByAHkALgBTAG8AdQByAGMAZQBEAGEAdABhAF8AUABvAHUAbAB0AHIAeQBfAEYAcgBhAGMARwBBAE0AUwBTAG8AaQBsAF8AUwBvAHUAcgBjAGUAIgAsACIAUwBvAHUAcgBjAGUARABhAHQAYQBfAFAAbwB1AGwAdAByAHkALgBTAG8AdQByAGMAZQBEAGEAdABhAF8AUABvAHUAbAB0AHIAeQBfAEYAcgBhAGMARwBBAE0AUwBTAG8AaQBsAF8AVgBhAHIAaQBhAHQAaQBvAG4AIgAsACIAUwBvAHUAcgBjAGUARABhAHQAYQBfAFAAbwB1AGwAdAByAHkALgBTAG8AdQByAGMAZQBEAGEAdABhAF8AUABvAHUAbAB0AHIAeQBfAEYAcgBhAGMARwBBAE0AUwBTAG8AaQBsAF8ARABhAHQAYQAiACwAIgBTAG8AdQByAGMAZQBEAGEAdABhAF8AUABvAHUAbAB0AHIAeQAuAFMAbwB1AHIAYwBlAEQAYQB0AGEAXwBQAG8AdQBsAHQAcgB5AF8ATABpAHYAZQB3AGUAaQBnAGgAdABzAF8AVABpAHQAbABlACIALAAiAFMAbwB1AHIAYwBlAEQAYQB0AGEAXwBQAG8AdQBsAHQAcgB5AC4AUwBvAHUAcgBjAGUARABhAHQAYQBfAFAAbwB1AGwAdAByAHkAXwBMAGkAdgBlAHcAZQBpAGcAaAB0AHMAXwBVAG4AaQB0ACIALAAiAFMAbwB1AHIAYwBlAEQAYQB0AGEAXwBQAG8AdQBsAHQAcgB5AC4AUwBvAHUAcgBjAGUARABhAHQAYQBfAFAAbwB1AGwAdAByAHkAXwBMAGkAdgBlAHcAZQBpAGcAaAB0AHMAXwBTAG8AdQByAGMAZQAiACwAIgBTAG8AdQByAGMAZQBEAGEAdABhAF8AUABvAHUAbAB0AHIAeQAuAFMAbwB1AHIAYwBlAEQAYQB0AGEAXwBQAG8AdQBsAHQAcgB5AF8ATABpAHYAZQB3AGUAaQBnAGgAdABzAF8AVgBhAHIAaQBhAHQAaQBvAG4AIgAsACIAUwBvAHUAcgBjAGUARABhAHQAYQBfAFAAbwB1AGwAdAByAHkALgBTAG8AdQByAGMAZQBEAGEAdABhAF8AUABvAHUAbAB0AHIAeQBfAEwAaQB2AGUAdwBlAGkAZwBoAHQAcwBfAEQAYQB0AGEAIgAsACIAUwBjAG8AcABlADMAXwBFAHEAdQBhAHQAaQBvAG4AcwAuAFYARQBFAFIARwBfADEANQBfADEAXwAxAF8AMQBfAF8AMQBfAEUAbQBpAHMAcwBpAG8AbgBzAEYAcgBvAG0AUAB1AHIAYwBoAGEAcwBlAGQATABpAHYAZQBzAHQAbwBjAGsAIgAsACIAUwBjAG8AcABlADMAXwBFAHEAdQBhAHQAaQBvAG4AcwAuAFYARQBFAFIARwBfADEANQBfADEAXwAxAF8AMQBfAF8AMQBfAEUAbQBpAHMAcwBpAG8AbgBzAEYAcgBvAG0AUAB1AHIAYwBoAGEAcwBlAGQATABpAHYAZQBzAHQAbwBjAGsAXwBUAGkAdABsAGUAIgAsACIAUwBjAG8AcABlADMAXwBFAHEAdQBhAHQAaQBvAG4AcwAuAFYARQBFAFIARwBfADEANQBfADEAXwAxAF8AMQBfAF8AMQBfAEUAbQBpAHMAcwBpAG8AbgBzAEYAcgBvAG0AUAB1AHIAYwBoAGEAcwBlAGQATABpAHYAZQBzAHQAbwBjAGsAXwBWAGEAcgBpAGEAYgBsAGUAIgAsACIAUwBjAG8AcABlADMAXwBFAHEAdQBhAHQAaQBvAG4AcwAuAFYARQBFAFIARwBfADEANQBfADEAXwAxAF8AMQBfAF8AMQBfAEUAbQBpAHMAcwBpAG8AbgBzAEYAcgBvAG0AUAB1AHIAYwBoAGEAcwBlAGQATABpAHYAZQBzAHQAbwBjAGsAXwBVAG4AaQB0ACIALAAiAFMAYwBvAHAAZQAzAF8ARQBxAHUAYQB0AGkAbwBuAHMALgBWAEUARQBSAEcAXwAxADUAXwAxAF8AMQBfADEAXwBfADEAXwBFAG0AaQBzAHMAaQBvAG4AcwBGAHIAbwBtAFAAdQByAGMAaABhAHMAZQBkAEwAaQB2AGUAcwB0AG8AYwBrAF8AUwBvAHUAcgBjAGUAIgAsACIAUwBjAG8AcABlADMAXwBFAHEAdQBhAHQAaQBvAG4AcwAuAFYARQBFAFIARwBfADEANQBfADEAXwAxAF8AMQBfAF8AMQBfAEUAbQBpAHMAcwBpAG8AbgBzAEYAcgBvAG0AUAB1AHIAYwBoAGEAcwBlAGQATABpAHYAZQBzAHQAbwBjAGsAXwBOAEkAUgBSAGUAZgBlAHIAZQBuAGMAZQAiACwAIgBTAGMAbwBwAGUAMwBfAEUAcQB1AGEAdABpAG8AbgBzAC4AVgBFAEUAUgBHAF8AMQA1AF8AMQBfADEAXwAxAF8AXwAxAF8ARQBtAGkAcwBzAGkAbwBuAHMARgByAG8AbQBQAHUAcgBjAGgAYQBzAGUAZABMAGkAdgBlAHMAdABvAGMAawBfAEwAYQB0AGUAeABFAHEAdQBhAHQAaQBvAG4AIgAsACIAUwBjAG8AcABlADMAXwBFAHEAdQBhAHQAaQBvAG4AcwAuAFYARQBFAFIARwBfADEANQBfADEAXwAxAF8AMQBfAF8AMQBfAEUAbQBpAHMAcwBpAG8AbgBzAEYAcgBvAG0AUAB1AHIAYwBoAGEAcwBlAGQATABpAHYAZQBzAHQAbwBjAGsAXwBBAHIAZwB1AG0AZQBuAHQAcwAiACwAIgBTAGMAbwBwAGUAMwBfAEUAcQB1AGEAdABpAG8AbgBzAC4AVgBFAEUAUgBHAF8AMQA1AF8AMgBfADEAXwAxAF8AXwAxAF8ARQBtAGkAcwBzAGkAbwBuAHMARgByAG8AbQBQAHUAcgBjAGgAYQBzAGUAZABGAGUAZQBkACIALAAiAFMAYwBvAHAAZQAzAF8ARQBxAHUAYQB0AGkAbwBuAHMALgBWAEUARQBSAEcAXwAxADUAXwAyAF8AMQBfADEAXwBfADEAXwBFAG0AaQBzAHMAaQBvAG4AcwBGAHIAbwBtAFAAdQByAGMAaABhAHMAZQBkAEYAZQBlAGQAXwBUAGkAdABsAGUAIgAsACIAUwBjAG8AcABlADMAXwBFAHEAdQBhAHQAaQBvAG4AcwAuAFYARQBFAFIARwBfADEANQBfADIAXwAxAF8AMQBfAF8AMQBfAEUAbQBpAHMAcwBpAG8AbgBzAEYAcgBvAG0AUAB1AHIAYwBoAGEAcwBlAGQARgBlAGUAZABfAFYAYQByAGkAYQBiAGwAZQAiACwAIgBTAGMAbwBwAGUAMwBfAEUAcQB1AGEAdABpAG8AbgBzAC4AVgBFAEUAUgBHAF8AMQA1AF8AMgBfADEAXwAxAF8AXwAxAF8ARQBtAGkAcwBzAGkAbwBuAHMARgByAG8AbQBQAHUAcgBjAGgAYQBzAGUAZABGAGUAZQBkAF8AVQBuAGkAdAAiACwAIgBTAGMAbwBwAGUAMwBfAEUAcQB1AGEAdABpAG8AbgBzAC4AVgBFAEUAUgBHAF8AMQA1AF8AMgBfADEAXwAxAF8AXwAxAF8ARQBtAGkAcwBzAGkAbwBuAHMARgByAG8AbQBQAHUAcgBjAGgAYQBzAGUAZABGAGUAZQBkAF8AUwBvAHUAcgBjAGUAIgAsACIAUwBjAG8AcABlADMAXwBFAHEAdQBhAHQAaQBvAG4AcwAuAFYARQBFAFIARwBfADEANQBfADIAXwAxAF8AMQBfAF8AMQBfAEUAbQBpAHMAcwBpAG8AbgBzAEYAcgBvAG0AUAB1AHIAYwBoAGEAcwBlAGQARgBlAGUAZABfAE4ASQBSAFIAZQBmAGUAcgBlAG4AYwBlACIALAAiAFMAYwBvAHAAZQAzAF8ARQBxAHUAYQB0AGkAbwBuAHMALgBWAEUARQBSAEcAXwAxADUAXwAyAF8AMQBfADEAXwBfADEAXwBFAG0AaQBzAHMAaQBvAG4AcwBGAHIAbwBtAFAAdQByAGMAaABhAHMAZQBkAEYAZQBlAGQAXwBMAGEAdABlAHgARQBxAHUAYQB0AGkAbwBuACIALAAiAFMAYwBvAHAAZQAzAF8ARQBxAHUAYQB0AGkAbwBuAHMALgBWAEUARQBSAEcAXwAxADUAXwAyAF8AMQBfADEAXwBfADEAXwBFAG0AaQBzAHMAaQBvAG4AcwBGAHIAbwBtAFAAdQByAGMAaABhAHMAZQBkAEYAZQBlAGQAXwBBAHIAZwB1AG0AZQBuAHQAcwAiACwAIgBTAGMAbwBwAGUAMwBfAEUAcQB1AGEAdABpAG8AbgBzAC4AVgBFAEUAUgBHAF8AMQA1AF8AMwBfADEAXwAxAF8AXwAxAF8ARQBtAGkAcwBzAGkAbwBuAHMARgByAG8AbQBQAHUAcgBjAGgAYQBzAGUAZABNAGkAbgBlAHIAYQBsAFMAdQBwAHAAbABlAG0AZQBuAHQAcwAiACwAIgBTAGMAbwBwAGUAMwBfAEUAcQB1AGEAdABpAG8AbgBzAC4AVgBFAEUAUgBHAF8AMQA1AF8AMwBfADEAXwAxAF8AXwAxAF8ARQBtAGkAcwBzAGkAbwBuAHMARgByAG8AbQBQAHUAcgBjAGgAYQBzAGUAZABNAGkAbgBlAHIAYQBsAFMAdQBwAHAAbABlAG0AZQBuAHQAcwBfAFQAaQB0AGwAZQAiACwAIgBTAGMAbwBwAGUAMwBfAEUAcQB1AGEAdABpAG8AbgBzAC4AVgBFAEUAUgBHAF8AMQA1AF8AMwBfADEAXwAxAF8AXwAxAF8ARQBtAGkAcwBzAGkAbwBuAHMARgByAG8AbQBQAHUAcgBjAGgAYQBzAGUAZABNAGkAbgBlAHIAYQBsAFMAdQBwAHAAbABlAG0AZQBuAHQAcwBfAFYAYQByAGkAYQBiAGwAZQAiACwAIgBTAGMAbwBwAGUAMwBfAEUAcQB1AGEAdABpAG8AbgBzAC4AVgBFAEUAUgBHAF8AMQA1AF8AMwBfADEAXwAxAF8AXwAxAF8ARQBtAGkAcwBzAGkAbwBuAHMARgByAG8AbQBQAHUAcgBjAGgAYQBzAGUAZABNAGkAbgBlAHIAYQBsAFMAdQBwAHAAbABlAG0AZQBuAHQAcwBfAFUAbgBpAHQAIgAsACIAUwBjAG8AcABlADMAXwBFAHEAdQBhAHQAaQBvAG4AcwAuAFYARQBFAFIARwBfADEANQBfADMAXwAxAF8AMQBfAF8AMQBfAEUAbQBpAHMAcwBpAG8AbgBzAEYAcgBvAG0AUAB1AHIAYwBoAGEAcwBlAGQATQBpAG4AZQByAGEAbABTAHUAcABwAGwAZQBtAGUAbgB0AHMAXwBTAG8AdQByAGMAZQAiACwAIgBTAGMAbwBwAGUAMwBfAEUAcQB1AGEAdABpAG8AbgBzAC4AVgBFAEUAUgBHAF8AMQA1AF8AMwBfADEAXwAxAF8AXwAxAF8ARQBtAGkAcwBzAGkAbwBuAHMARgByAG8AbQBQAHUAcgBjAGgAYQBzAGUAZABNAGkAbgBlAHIAYQBsAFMAdQBwAHAAbABlAG0AZQBuAHQAcwBfAE4ASQBSAFIAZQBmAGUAcgBlAG4AYwBlACIALAAiAFMAYwBvAHAAZQAzAF8ARQBxAHUAYQB0AGkAbwBuAHMALgBWAEUARQBSAEcAXwAxADUAXwAzAF8AMQBfADEAXwBfADEAXwBFAG0AaQBzAHMAaQBvAG4AcwBGAHIAbwBtAFAAdQByAGMAaABhAHMAZQBkAE0AaQBuAGUAcgBhAGwAUwB1AHAAcABsAGUAbQBlAG4AdABzAF8ATABhAHQAZQB4AEUAcQB1AGEAdABpAG8AbgAiACwAIgBTAGMAbwBwAGUAMwBfAEUAcQB1AGEAdABpAG8AbgBzAC4AVgBFAEUAUgBHAF8AMQA1AF8AMwBfADEAXwAxAF8AXwAxAF8ARQBtAGkAcwBzAGkAbwBuAHMARgByAG8AbQBQAHUAcgBjAGgAYQBzAGUAZABNAGkAbgBlAHIAYQBsAFMAdQBwAHAAbABlAG0AZQBuAHQAcwBfAEEAcgBnAHUAbQBlAG4AdABzACIALAAiAFMAYwBvAHAAZQAzAF8ARQBxAHUAYQB0AGkAbwBuAHMALgBWAEUARQBSAEcAXwAxADUAXwA0AF8AMQBfADEAXwBfADEAXwBFAG0AaQBzAHMAaQBvAG4AcwBGAHIAbwBtAFAAdQByAGMAaABhAHMAZQBkAEYAZQByAHQAaQBsAGkAcwBlAHIAIgAsACIAUwBjAG8AcABlADMAXwBFAHEAdQBhAHQAaQBvAG4AcwAuAFYARQBFAFIARwBfADEANQBfADQAXwAxAF8AMQBfAF8AMQBfAEUAbQBpAHMAcwBpAG8AbgBzAEYAcgBvAG0AUAB1AHIAYwBoAGEAcwBlAGQARgBlAHIAdABpAGwAaQBzAGUAcgBfAFQAaQB0AGwAZQAiACwAIgBTAGMAbwBwAGUAMwBfAEUAcQB1AGEAdABpAG8AbgBzAC4AVgBFAEUAUgBHAF8AMQA1AF8ANABfADEAXwAxAF8AXwAxAF8ARQBtAGkAcwBzAGkAbwBuAHMARgByAG8AbQBQAHUAcgBjAGgAYQBzAGUAZABGAGUAcgB0AGkAbABpAHMAZQByAF8AVgBhAHIAaQBhAGIAbABlACIALAAiAFMAYwBvAHAAZQAzAF8ARQBxAHUAYQB0AGkAbwBuAHMALgBWAEUARQBSAEcAXwAxADUAXwA0AF8AMQBfADEAXwBfADEAXwBFAG0AaQBzAHMAaQBvAG4AcwBGAHIAbwBtAFAAdQByAGMAaABhAHMAZQBkAEYAZQByAHQAaQBsAGkAcwBlAHIAXwBVAG4AaQB0ACIALAAiAFMAYwBvAHAAZQAzAF8ARQBxAHUAYQB0AGkAbwBuAHMALgBWAEUARQBSAEcAXwAxADUAXwA0AF8AMQBfADEAXwBfADEAXwBFAG0AaQBzAHMAaQBvAG4AcwBGAHIAbwBtAFAAdQByAGMAaABhAHMAZQBkAEYAZQByAHQAaQBsAGkAcwBlAHIAXwBTAG8AdQByAGMAZQAiACwAIgBTAGMAbwBwAGUAMwBfAEUAcQB1AGEAdABpAG8AbgBzAC4AVgBFAEUAUgBHAF8AMQA1AF8ANABfADEAXwAxAF8AXwAxAF8ARQBtAGkAcwBzAGkAbwBuAHMARgByAG8AbQBQAHUAcgBjAGgAYQBzAGUAZABGAGUAcgB0AGkAbABpAHMAZQByAF8ATgBJAFIAUgBlAGYAZQByAGUAbgBjAGUAIgAsACIAUwBjAG8AcABlADMAXwBFAHEAdQBhAHQAaQBvAG4AcwAuAFYARQBFAFIARwBfADEANQBfADQAXwAxAF8AMQBfAF8AMQBfAEUAbQBpAHMAcwBpAG8AbgBzAEYAcgBvAG0AUAB1AHIAYwBoAGEAcwBlAGQARgBlAHIAdABpAGwAaQBzAGUAcgBfAEwAYQB0AGUAeABFAHEAdQBhAHQAaQBvAG4AIgAsACIAUwBjAG8AcABlADMAXwBFAHEAdQBhAHQAaQBvAG4AcwAuAFYARQBFAFIARwBfADEANQBfADQAXwAxAF8AMQBfAF8AMQBfAEUAbQBpAHMAcwBpAG8AbgBzAEYAcgBvAG0AUAB1AHIAYwBoAGEAcwBlAGQARgBlAHIAdABpAGwAaQBzAGUAcgBfAEEAcgBnAHUAbQBlAG4AdABzACIALAAiAFMAYwBvAHAAZQAzAF8ARQBxAHUAYQB0AGkAbwBuAHMALgBWAEUARQBSAEcAXwAxADUAXwA0AF8AMQBfADEAXwBfADIAXwBFAG0AaQBzAHMAaQBvAG4AcwBGAHIAbwBtAFAAdQByAGMAaABhAHMAZQBkAEYAZQByAHQAaQBsAGkAcwBlAHIAQwBvAG0AcABvAG4AZQBuAHQAcwAiACwAIgBTAGMAbwBwAGUAMwBfAEUAcQB1AGEAdABpAG8AbgBzAC4AVgBFAEUAUgBHAF8AMQA1AF8ANABfADEAXwAxAF8AXwAyAF8ARQBtAGkAcwBzAGkAbwBuAHMARgByAG8AbQBQAHUAcgBjAGgAYQBzAGUAZABGAGUAcgB0AGkAbABpAHMAZQByAEMAbwBtAHAAbwBuAGUAbgB0AHMAVgBhAHIAaQBhAHQAaQBvAG4AIgAsACIAUwBjAG8AcABlADMAXwBFAHEAdQBhAHQAaQBvAG4AcwAuAFYARQBFAFIARwBfADEANQBfADQAXwAxAF8AMQBfAF8AMgBfAEUAbQBpAHMAcwBpAG8AbgBzAEYAcgBvAG0AUAB1AHIAYwBoAGEAcwBlAGQARgBlAHIAdABpAGwAaQBzAGUAcgBDAG8AbQBwAG8AbgBlAG4AdABzAF8AVABpAHQAbABlACIALAAiAFMAYwBvAHAAZQAzAF8ARQBxAHUAYQB0AGkAbwBuAHMALgBWAEUARQBSAEcAXwAxADUAXwA0AF8AMQBfADEAXwBfADIAXwBFAG0AaQBzAHMAaQBvAG4AcwBGAHIAbwBtAFAAdQByAGMAaABhAHMAZQBkAEYAZQByAHQAaQBsAGkAcwBlAHIAQwBvAG0AcABvAG4AZQBuAHQAcwBfAFYAYQByAGkAYQBiAGwAZQAiACwAIgBTAGMAbwBwAGUAMwBfAEUAcQB1AGEAdABpAG8AbgBzAC4AVgBFAEUAUgBHAF8AMQA1AF8ANABfADEAXwAxAF8AXwAyAF8ARQBtAGkAcwBzAGkAbwBuAHMARgByAG8AbQBQAHUAcgBjAGgAYQBzAGUAZABGAGUAcgB0AGkAbABpAHMAZQByAEMAbwBtAHAAbwBuAGUAbgB0AHMAXwBVAG4AaQB0ACIALAAiAFMAYwBvAHAAZQAzAF8ARQBxAHUAYQB0AGkAbwBuAHMALgBWAEUARQBSAEcAXwAxADUAXwA0AF8AMQBfADEAXwBfADIAXwBFAG0AaQBzAHMAaQBvAG4AcwBGAHIAbwBtAFAAdQByAGMAaABhAHMAZQBkAEYAZQByAHQAaQBsAGkAcwBlAHIAQwBvAG0AcABvAG4AZQBuAHQAcwBfAFMAbwB1AHIAYwBlACIALAAiAFMAYwBvAHAAZQAzAF8ARQBxAHUAYQB0AGkAbwBuAHMALgBWAEUARQBSAEcAXwAxADUAXwA0AF8AMQBfADEAXwBfADIAXwBFAG0AaQBzAHMAaQBvAG4AcwBGAHIAbwBtAFAAdQByAGMAaABhAHMAZQBkAEYAZQByAHQAaQBsAGkAcwBlAHIAQwBvAG0AcABvAG4AZQBuAHQAcwBfAE4ASQBSAFIAZQBmAGUAcgBlAG4AYwBlACIALAAiAFMAYwBvAHAAZQAzAF8ARQBxAHUAYQB0AGkAbwBuAHMALgBWAEUARQBSAEcAXwAxADUAXwA0AF8AMQBfADEAXwBfADIAXwBFAG0AaQBzAHMAaQBvAG4AcwBGAHIAbwBtAFAAdQByAGMAaABhAHMAZQBkAEYAZQByAHQAaQBsAGkAcwBlAHIAQwBvAG0AcABvAG4AZQBuAHQAcwBfAEwAYQB0AGUAeABFAHEAdQBhAHQAaQBvAG4AIgAsACIAUwBjAG8AcABlADMAXwBFAHEAdQBhAHQAaQBvAG4AcwAuAFYARQBFAFIARwBfADEANQBfADQAXwAxAF8AMQBfAF8AMgBfAEUAbQBpAHMAcwBpAG8AbgBzAEYAcgBvAG0AUAB1AHIAYwBoAGEAcwBlAGQARgBlAHIAdABpAGwAaQBzAGUAcgBDAG8AbQBwAG8AbgBlAG4AdABzAF8ATABhAHQAZQB4AEUAcQB1AGEAdABpAG8AbgBWAGEAcgBpAGEAdABpAG8AbgAiACwAIgBTAGMAbwBwAGUAMwBfAEUAcQB1AGEAdABpAG8AbgBzAC4AVgBFAEUAUgBHAF8AMQA1AF8ANABfADEAXwAxAF8AXwAyAF8ARQBtAGkAcwBzAGkAbwBuAHMARgByAG8AbQBQAHUAcgBjAGgAYQBzAGUAZABGAGUAcgB0AGkAbABpAHMAZQByAEMAbwBtAHAAbwBuAGUAbgB0AHMAXwBBAHIAZwB1AG0AZQBuAHQAcwAiACwAIgBTAGMAbwBwAGUAMwBfAEUAcQB1AGEAdABpAG8AbgBzAC4AVgBFAEUAUgBHAF8AMQA1AF8ANABfADEAXwAxAF8AXwAyAF8ARQBtAGkAcwBzAGkAbwBuAHMARgByAG8AbQBQAHUAcgBjAGgAYQBzAGUAZABGAGUAcgB0AGkAbABpAHMAZQByAEMAbwBtAHAAbwBuAGUAbgB0AHMAXwBWAGEAcgBpAGEAdABpAG8AbgAiACwAIgBTAGMAbwBwAGUAMwBfAEUAcQB1AGEAdABpAG8AbgBzAC4AVgBFAEUAUgBHAF8AMQA1AF8ANABfADEAXwAxAF8AXwBYAF8ARQBtAGkAcwBzAGkAbwBuAEYAYQBjAHQAbwByAEYAcgBvAG0AUAB1AHIAYwBoAGEAcwBlAGQARgBlAHIAdABpAGwAaQBzAGUAcgBDAG8AbQBwAG8AbgBlAG4AdABzACIALAAiAFMAYwBvAHAAZQAzAF8ARQBxAHUAYQB0AGkAbwBuAHMALgBWAEUARQBSAEcAXwAxADUAXwA0AF8AMQBfADEAXwBfAFgAXwBFAG0AaQBzAHMAaQBvAG4ARgBhAGMAdABvAHIARgByAG8AbQBQAHUAcgBjAGgAYQBzAGUAZABGAGUAcgB0AGkAbABpAHMAZQByAEMAbwBtAHAAbwBuAGUAbgB0AHMAXwBUAGkAdABsAGUAIgAsACIAUwBjAG8AcABlADMAXwBFAHEAdQBhAHQAaQBvAG4AcwAuAFYARQBFAFIARwBfADEANQBfADQAXwAxAF8AMQBfAF8AWABfAEUAbQBpAHMAcwBpAG8AbgBGAGEAYwB0AG8AcgBGAHIAbwBtAFAAdQByAGMAaABhAHMAZQBkAEYAZQByAHQAaQBsAGkAcwBlAHIAQwBvAG0AcABvAG4AZQBuAHQAcwBfAFYAYQByAGkAYQBiAGwAZQAiACwAIgBTAGMAbwBwAGUAMwBfAEUAcQB1AGEAdABpAG8AbgBzAC4AVgBFAEUAUgBHAF8AMQA1AF8ANABfADEAXwAxAF8AXwBYAF8ARQBtAGkAcwBzAGkAbwBuAEYAYQBjAHQAbwByAEYAcgBvAG0AUAB1AHIAYwBoAGEAcwBlAGQARgBlAHIAdABpAGwAaQBzAGUAcgBDAG8AbQBwAG8AbgBlAG4AdABzAF8AVQBuAGkAdAAiACwAIgBTAGMAbwBwAGUAMwBfAEUAcQB1AGEAdABpAG8AbgBzAC4AVgBFAEUAUgBHAF8AMQA1AF8ANABfADEAXwAxAF8AXwBYAF8ARQBtAGkAcwBzAGkAbwBuAEYAYQBjAHQAbwByAEYAcgBvAG0AUAB1AHIAYwBoAGEAcwBlAGQARgBlAHIAdABpAGwAaQBzAGUAcgBDAG8AbQBwAG8AbgBlAG4AdABzAF8AUwBvAHUAcgBjAGUAIgAsACIAUwBjAG8AcABlADMAXwBFAHEAdQBhAHQAaQBvAG4AcwAuAFYARQBFAFIARwBfADEANQBfADQAXwAxAF8AMQBfAF8AWABfAEUAbQBpAHMAcwBpAG8AbgBGAGEAYwB0AG8AcgBGAHIAbwBtAFAAdQByAGMAaABhAHMAZQBkAEYAZQByAHQAaQBsAGkAcwBlAHIAQwBvAG0AcABvAG4AZQBuAHQAcwBfAE4ASQBSAFIAZQBmAGUAcgBlAG4AYwBlACIALAAiAFMAYwBvAHAAZQAzAF8ARQBxAHUAYQB0AGkAbwBuAHMALgBWAEUARQBSAEcAXwAxADUAXwA0AF8AMQBfADEAXwBfAFgAXwBFAG0AaQBzAHMAaQBvAG4ARgBhAGMAdABvAHIARgByAG8AbQBQAHUAcgBjAGgAYQBzAGUAZABGAGUAcgB0AGkAbABpAHMAZQByAEMAbwBtAHAAbwBuAGUAbgB0AHMAXwBMAGEAdABlAHgARQBxAHUAYQB0AGkAbwBuACIALAAiAFMAYwBvAHAAZQAzAF8ARQBxAHUAYQB0AGkAbwBuAHMALgBWAEUARQBSAEcAXwAxADUAXwA0AF8AMQBfADEAXwBfAFgAXwBFAG0AaQBzAHMAaQBvAG4ARgBhAGMAdABvAHIARgByAG8AbQBQAHUAcgBjAGgAYQBzAGUAZABGAGUAcgB0AGkAbABpAHMAZQByAEMAbwBtAHAAbwBuAGUAbgB0AHMAXwBBAHIAZwB1AG0AZQBuAHQAcwAiACwAIgBTAGMAbwBwAGUAMwBfAEUAcQB1AGEAdABpAG8AbgBzAC4AVgBFAEUAUgBHAF8AMQA1AF8ANABfADEAXwAxAF8AXwBYAF8ARQBtAGkAcwBzAGkAbwBuAEYAYQBjAHQAbwByAEYAcgBvAG0AUAB1AHIAYwBoAGEAcwBlAGQARgBlAHIAdABpAGwAaQBzAGUAcgBDAG8AbQBwAG8AbgBlAG4AdABzAF8AVgBhAHIAaQBhAHQAaQBvAG4AIgAsACIAUwBjAG8AcABlADMAXwBFAHEAdQBhAHQAaQBvAG4AcwAuAFYARQBFAFIARwBfADEANQBfADUAXwAxAF8AMQBfAF8AMQBfAEUAbQBpAHMAcwBpAG8AbgBzAEYAcgBvAG0AUAB1AHIAYwBoAGEAcwBlAGQAQQBnAHIAaQBjAGgAZQBtAGkAYwBhAGwAcwAiACwAIgBTAGMAbwBwAGUAMwBfAEUAcQB1AGEAdABpAG8AbgBzAC4AVgBFAEUAUgBHAF8AMQA1AF8ANQBfADEAXwAxAF8AXwAxAF8ARQBtAGkAcwBzAGkAbwBuAHMARgByAG8AbQBQAHUAcgBjAGgAYQBzAGUAZABBAGcAcgBpAGMAaABlAG0AaQBjAGEAbABzAF8AVABpAHQAbABlACIALAAiAFMAYwBvAHAAZQAzAF8ARQBxAHUAYQB0AGkAbwBuAHMALgBWAEUARQBSAEcAXwAxADUAXwA1AF8AMQBfADEAXwBfADEAXwBFAG0AaQBzAHMAaQBvAG4AcwBGAHIAbwBtAFAAdQByAGMAaABhAHMAZQBkAEEAZwByAGkAYwBoAGUAbQBpAGMAYQBsAHMAXwBWAGEAcgBpAGEAYgBsAGUAIgAsACIAUwBjAG8AcABlADMAXwBFAHEAdQBhAHQAaQBvAG4AcwAuAFYARQBFAFIARwBfADEANQBfADUAXwAxAF8AMQBfAF8AMQBfAEUAbQBpAHMAcwBpAG8AbgBzAEYAcgBvAG0AUAB1AHIAYwBoAGEAcwBlAGQAQQBnAHIAaQBjAGgAZQBtAGkAYwBhAGwAcwBfAFUAbgBpAHQAIgAsACIAUwBjAG8AcABlADMAXwBFAHEAdQBhAHQAaQBvAG4AcwAuAFYARQBFAFIARwBfADEANQBfADUAXwAxAF8AMQBfAF8AMQBfAEUAbQBpAHMAcwBpAG8AbgBzAEYAcgBvAG0AUAB1AHIAYwBoAGEAcwBlAGQAQQBnAHIAaQBjAGgAZQBtAGkAYwBhAGwAcwBfAFMAbwB1AHIAYwBlACIALAAiAFMAYwBvAHAAZQAzAF8ARQBxAHUAYQB0AGkAbwBuAHMALgBWAEUARQBSAEcAXwAxADUAXwA1AF8AMQBfADEAXwBfADEAXwBFAG0AaQBzAHMAaQBvAG4AcwBGAHIAbwBtAFAAdQByAGMAaABhAHMAZQBkAEEAZwByAGkAYwBoAGUAbQBpAGMAYQBsAHMAXwBOAEkAUgBSAGUAZgBlAHIAZQBuAGMAZQAiACwAIgBTAGMAbwBwAGUAMwBfAEUAcQB1AGEAdABpAG8AbgBzAC4AVgBFAEUAUgBHAF8AMQA1AF8ANQBfADEAXwAxAF8AXwAxAF8ARQBtAGkAcwBzAGkAbwBuAHMARgByAG8AbQBQAHUAcgBjAGgAYQBzAGUAZABBAGcAcgBpAGMAaABlAG0AaQBjAGEAbABzAF8ATABhAHQAZQB4AEUAcQB1AGEAdABpAG8AbgAiACwAIgBTAGMAbwBwAGUAMwBfAEUAcQB1AGEAdABpAG8AbgBzAC4AVgBFAEUAUgBHAF8AMQA1AF8ANQBfADEAXwAxAF8AXwAxAF8ARQBtAGkAcwBzAGkAbwBuAHMARgByAG8AbQBQAHUAcgBjAGgAYQBzAGUAZABBAGcAcgBpAGMAaABlAG0AaQBjAGEAbABzAF8AQQByAGcAdQBtAGUAbgB0AHMAIgAsACIAUwBjAG8AcABlADMAXwBFAHEAdQBhAHQAaQBvAG4AcwAuAFYARQBFAFIARwBfADEANQBfADYAXwAxAF8AMQBfAF8AMQBfAEUAbQBpAHMAcwBpAG8AbgBzAEYAcgBvAG0AUAB1AHIAYwBoAGEAcwBlAGQATABpAG0AZQAiACwAIgBTAGMAbwBwAGUAMwBfAEUAcQB1AGEAdABpAG8AbgBzAC4AVgBFAEUAUgBHAF8AMQA1AF8ANgBfADEAXwAxAF8AXwAxAF8ARQBtAGkAcwBzAGkAbwBuAHMARgByAG8AbQBQAHUAcgBjAGgAYQBzAGUAZABMAGkAbQBlAF8AVABpAHQAbABlACIALAAiAFMAYwBvAHAAZQAzAF8ARQBxAHUAYQB0AGkAbwBuAHMALgBWAEUARQBSAEcAXwAxADUAXwA2AF8AMQBfADEAXwBfADEAXwBFAG0AaQBzAHMAaQBvAG4AcwBGAHIAbwBtAFAAdQByAGMAaABhAHMAZQBkAEwAaQBtAGUAXwBWAGEAcgBpAGEAYgBsAGUAIgAsACIAUwBjAG8AcABlADMAXwBFAHEAdQBhAHQAaQBvAG4AcwAuAFYARQBFAFIARwBfADEANQBfADYAXwAxAF8AMQBfAF8AMQBfAEUAbQBpAHMAcwBpAG8AbgBzAEYAcgBvAG0AUAB1AHIAYwBoAGEAcwBlAGQATABpAG0AZQBfAFUAbgBpAHQAIgAsACIAUwBjAG8AcABlADMAXwBFAHEAdQBhAHQAaQBvAG4AcwAuAFYARQBFAFIARwBfADEANQBfADYAXwAxAF8AMQBfAF8AMQBfAEUAbQBpAHMAcwBpAG8AbgBzAEYAcgBvAG0AUAB1AHIAYwBoAGEAcwBlAGQATABpAG0AZQBfAFMAbwB1AHIAYwBlACIALAAiAFMAYwBvAHAAZQAzAF8ARQBxAHUAYQB0AGkAbwBuAHMALgBWAEUARQBSAEcAXwAxADUAXwA2AF8AMQBfADEAXwBfADEAXwBFAG0AaQBzAHMAaQBvAG4AcwBGAHIAbwBtAFAAdQByAGMAaABhAHMAZQBkAEwAaQBtAGUAXwBOAEkAUgBSAGUAZgBlAHIAZQBuAGMAZQAiACwAIgBTAGMAbwBwAGUAMwBfAEUAcQB1AGEAdABpAG8AbgBzAC4AVgBFAEUAUgBHAF8AMQA1AF8ANgBfADEAXwAxAF8AXwAxAF8ARQBtAGkAcwBzAGkAbwBuAHMARgByAG8AbQBQAHUAcgBjAGgAYQBzAGUAZABMAGkAbQBlAF8ATABhAHQAZQB4AEUAcQB1AGEAdABpAG8AbgAiACwAIgBTAGMAbwBwAGUAMwBfAEUAcQB1AGEAdABpAG8AbgBzAC4AVgBFAEUAUgBHAF8AMQA1AF8ANgBfADEAXwAxAF8AXwAxAF8ARQBtAGkAcwBzAGkAbwBuAHMARgByAG8AbQBQAHUAcgBjAGgAYQBzAGUAZABMAGkAbQBlAF8AQQByAGcAdQBtAGUAbgB0AHMAIgAsACIAUwBjAG8AcABlADMAXwBFAHEAdQBhAHQAaQBvAG4AcwAuAFYARQBFAFIARwBfADEANQBfADcAXwAxAF8AMQBfAF8AMQBfAEUAbQBpAHMAcwBpAG8AbgBzAEYAcgBvAG0AUAB1AHIAYwBoAGEAcwBlAGQAUwBlAHIAdgBpAGMAZQBzACIALAAiAFMAYwBvAHAAZQAzAF8ARQBxAHUAYQB0AGkAbwBuAHMALgBWAEUARQBSAEcAXwAxADUAXwA3AF8AMQBfADEAXwBfADEAXwBFAG0AaQBzAHMAaQBvAG4AcwBGAHIAbwBtAFAAdQByAGMAaABhAHMAZQBkAFMAZQByAHYAaQBjAGUAcwBfAFQAaQB0AGwAZQAiACwAIgBTAGMAbwBwAGUAMwBfAEUAcQB1AGEAdABpAG8AbgBzAC4AVgBFAEUAUgBHAF8AMQA1AF8ANwBfADEAXwAxAF8AXwAxAF8ARQBtAGkAcwBzAGkAbwBuAHMARgByAG8AbQBQAHUAcgBjAGgAYQBzAGUAZABTAGUAcgB2AGkAYwBlAHMAXwBWAGEAcgBpAGEAYgBsAGUAIgAsACIAUwBjAG8AcABlADMAXwBFAHEAdQBhAHQAaQBvAG4AcwAuAFYARQBFAFIARwBfADEANQBfADcAXwAxAF8AMQBfAF8AMQBfAEUAbQBpAHMAcwBpAG8AbgBzAEYAcgBvAG0AUAB1AHIAYwBoAGEAcwBlAGQAUwBlAHIAdgBpAGMAZQBzAF8AVQBuAGkAdAAiACwAIgBTAGMAbwBwAGUAMwBfAEUAcQB1AGEAdABpAG8AbgBzAC4AVgBFAEUAUgBHAF8AMQA1AF8ANwBfADEAXwAxAF8AXwAxAF8ARQBtAGkAcwBzAGkAbwBuAHMARgByAG8AbQBQAHUAcgBjAGgAYQBzAGUAZABTAGUAcgB2AGkAYwBlAHMAXwBTAG8AdQByAGMAZQAiACwAIgBTAGMAbwBwAGUAMwBfAEUAcQB1AGEAdABpAG8AbgBzAC4AVgBFAEUAUgBHAF8AMQA1AF8ANwBfADEAXwAxAF8AXwAxAF8ARQBtAGkAcwBzAGkAbwBuAHMARgByAG8AbQBQAHUAcgBjAGgAYQBzAGUAZABTAGUAcgB2AGkAYwBlAHMAXwBOAEkAUgBSAGUAZgBlAHIAZQBuAGMAZQAiACwAIgBTAGMAbwBwAGUAMwBfAEUAcQB1AGEAdABpAG8AbgBzAC4AVgBFAEUAUgBHAF8AMQA1AF8ANwBfADEAXwAxAF8AXwAxAF8ARQBtAGkAcwBzAGkAbwBuAHMARgByAG8AbQBQAHUAcgBjAGgAYQBzAGUAZABTAGUAcgB2AGkAYwBlAHMAXwBMAGEAdABlAHgARQBxAHUAYQB0AGkAbwBuACIALAAiAFMAYwBvAHAAZQAzAF8ARQBxAHUAYQB0AGkAbwBuAHMALgBWAEUARQBSAEcAXwAxADUAXwA3AF8AMQBfADEAXwBfADEAXwBFAG0AaQBzAHMAaQBvAG4AcwBGAHIAbwBtAFAAdQByAGMAaABhAHMAZQBkAFMAZQByAHYAaQBjAGUAcwBfAEEAcgBnAHUAbQBlAG4AdABzACIALAAiAFMAYwBvAHAAZQAzAF8ARQBxAHUAYQB0AGkAbwBuAHMALgBWAEUARQBSAEcAXwAxADUAXwA4AF8AMQBfADEAXwBfADEAXwBFAG0AaQBzAHMAaQBvAG4AcwBGAHIAbwBtAFAAdQByAGMAaABhAHMAZQBkAFAAYQBjAGsAYQBnAGkAbgBnACIALAAiAFMAYwBvAHAAZQAzAF8ARQBxAHUAYQB0AGkAbwBuAHMALgBWAEUARQBSAEcAXwAxADUAXwA4AF8AMQBfADEAXwBfADEAXwBFAG0AaQBzAHMAaQBvAG4AcwBGAHIAbwBtAFAAdQByAGMAaABhAHMAZQBkAFAAYQBjAGsAYQBnAGkAbgBnAF8AVABpAHQAbABlACIALAAiAFMAYwBvAHAAZQAzAF8ARQBxAHUAYQB0AGkAbwBuAHMALgBWAEUARQBSAEcAXwAxADUAXwA4AF8AMQBfADEAXwBfADEAXwBFAG0AaQBzAHMAaQBvAG4AcwBGAHIAbwBtAFAAdQByAGMAaABhAHMAZQBkAFAAYQBjAGsAYQBnAGkAbgBnAF8AVgBhAHIAaQBhAGIAbABlACIALAAiAFMAYwBvAHAAZQAzAF8ARQBxAHUAYQB0AGkAbwBuAHMALgBWAEUARQBSAEcAXwAxADUAXwA4AF8AMQBfADEAXwBfADEAXwBFAG0AaQBzAHMAaQBvAG4AcwBGAHIAbwBtAFAAdQByAGMAaABhAHMAZQBkAFAAYQBjAGsAYQBnAGkAbgBnAF8AVQBuAGkAdAAiACwAIgBTAGMAbwBwAGUAMwBfAEUAcQB1AGEAdABpAG8AbgBzAC4AVgBFAEUAUgBHAF8AMQA1AF8AOABfADEAXwAxAF8AXwAxAF8ARQBtAGkAcwBzAGkAbwBuAHMARgByAG8AbQBQAHUAcgBjAGgAYQBzAGUAZABQAGEAYwBrAGEAZwBpAG4AZwBfAFMAbwB1AHIAYwBlACIALAAiAFMAYwBvAHAAZQAzAF8ARQBxAHUAYQB0AGkAbwBuAHMALgBWAEUARQBSAEcAXwAxADUAXwA4AF8AMQBfADEAXwBfADEAXwBFAG0AaQBzAHMAaQBvAG4AcwBGAHIAbwBtAFAAdQByAGMAaABhAHMAZQBkAFAAYQBjAGsAYQBnAGkAbgBnAF8ATgBJAFIAUgBlAGYAZQByAGUAbgBjAGUAIgAsACIAUwBjAG8AcABlADMAXwBFAHEAdQBhAHQAaQBvAG4AcwAuAFYARQBFAFIARwBfADEANQBfADgAXwAxAF8AMQBfAF8AMQBfAEUAbQBpAHMAcwBpAG8AbgBzAEYAcgBvAG0AUAB1AHIAYwBoAGEAcwBlAGQAUABhAGMAawBhAGcAaQBuAGcAXwBMAGEAdABlAHgARQBxAHUAYQB0AGkAbwBuACIALAAiAFMAYwBvAHAAZQAzAF8ARQBxAHUAYQB0AGkAbwBuAHMALgBWAEUARQBSAEcAXwAxADUAXwA4AF8AMQBfADEAXwBfADEAXwBFAG0AaQBzAHMAaQBvAG4AcwBGAHIAbwBtAFAAdQByAGMAaABhAHMAZQBkAFAAYQBjAGsAYQBnAGkAbgBnAF8AQQByAGcAdQBtAGUAbgB0AHMAIgAsACIAUwBjAG8AcABlADMAXwBFAHEAdQBhAHQAaQBvAG4AcwAuAFYARQBFAFIARwBfADEANQBfADgAXwAxAF8AMQBfAF8AMQBfAEUAbQBpAHMAcwBpAG8AbgBzAEYAcgBvAG0AUAB1AHIAYwBoAGEAcwBlAGQAUABhAGMAawBhAGcAaQBuAGcAXwBWAGEAcgBpAGEAdABpAG8AbgAiACwAIgBTAGMAbwBwAGUAMwBfAEUAcQB1AGEAdABpAG8AbgBzAC4AVgBFAEUAUgBHAF8AMQA1AF8AOQBfADEAXwAxAF8AXwAxAF8ARQBtAGkAcwBzAGkAbwBuAHMARgByAG8AbQBQAHUAcgBjAGgAYQBzAGUAZABHAHIAbwB3AE0AZQBkAGkAYQAiACwAIgBTAGMAbwBwAGUAMwBfAEUAcQB1AGEAdABpAG8AbgBzAC4AVgBFAEUAUgBHAF8AMQA1AF8AOQBfADEAXwAxAF8AXwAxAF8ARQBtAGkAcwBzAGkAbwBuAHMARgByAG8AbQBQAHUAcgBjAGgAYQBzAGUAZABHAHIAbwB3AE0AZQBkAGkAYQBfAFQAaQB0AGwAZQAiACwAIgBTAGMAbwBwAGUAMwBfAEUAcQB1AGEAdABpAG8AbgBzAC4AVgBFAEUAUgBHAF8AMQA1AF8AOQBfADEAXwAxAF8AXwAxAF8ARQBtAGkAcwBzAGkAbwBuAHMARgByAG8AbQBQAHUAcgBjAGgAYQBzAGUAZABHAHIAbwB3AE0AZQBkAGkAYQBfAFYAYQByAGkAYQBiAGwAZQAiACwAIgBTAGMAbwBwAGUAMwBfAEUAcQB1AGEAdABpAG8AbgBzAC4AVgBFAEUAUgBHAF8AMQA1AF8AOQBfADEAXwAxAF8AXwAxAF8ARQBtAGkAcwBzAGkAbwBuAHMARgByAG8AbQBQAHUAcgBjAGgAYQBzAGUAZABHAHIAbwB3AE0AZQBkAGkAYQBfAFUAbgBpAHQAIgAsACIAUwBjAG8AcABlADMAXwBFAHEAdQBhAHQAaQBvAG4AcwAuAFYARQBFAFIARwBfADEANQBfADkAXwAxAF8AMQBfAF8AMQBfAEUAbQBpAHMAcwBpAG8AbgBzAEYAcgBvAG0AUAB1AHIAYwBoAGEAcwBlAGQARwByAG8AdwBNAGUAZABpAGEAXwBTAG8AdQByAGMAZQAiACwAIgBTAGMAbwBwAGUAMwBfAEUAcQB1AGEAdABpAG8AbgBzAC4AVgBFAEUAUgBHAF8AMQA1AF8AOQBfADEAXwAxAF8AXwAxAF8ARQBtAGkAcwBzAGkAbwBuAHMARgByAG8AbQBQAHUAcgBjAGgAYQBzAGUAZABHAHIAbwB3AE0AZQBkAGkAYQBfAE4ASQBSAFIAZQBmAGUAcgBlAG4AYwBlACIALAAiAFMAYwBvAHAAZQAzAF8ARQBxAHUAYQB0AGkAbwBuAHMALgBWAEUARQBSAEcAXwAxADUAXwA5AF8AMQBfADEAXwBfADEAXwBFAG0AaQBzAHMAaQBvAG4AcwBGAHIAbwBtAFAAdQByAGMAaABhAHMAZQBkAEcAcgBvAHcATQBlAGQAaQBhAF8ATABhAHQAZQB4AEUAcQB1AGEAdABpAG8AbgAiACwAIgBTAGMAbwBwAGUAMwBfAEUAcQB1AGEAdABpAG8AbgBzAC4AVgBFAEUAUgBHAF8AMQA1AF8AOQBfADEAXwAxAF8AXwAxAF8ARQBtAGkAcwBzAGkAbwBuAHMARgByAG8AbQBQAHUAcgBjAGgAYQBzAGUAZABHAHIAbwB3AE0AZQBkAGkAYQBfAEEAcgBnAHUAbQBlAG4AdABzACIALAAiAFMAYwBvAHAAZQAzAF8ARQBxAHUAYQB0AGkAbwBuAHMALgBWAEUARQBSAEcAXwAxADUAXwAxADAAXwAxAF8AMQBfAF8AMQBfAE8AdABoAGUAcgBQAHUAcgBjAGgAYQBzAGUAZABHAG8AbwBkAHMAQQBuAGQAUwBlAHIAdgBpAGMAZQBzACIALAAiAFMAYwBvAHAAZQAzAF8ARQBxAHUAYQB0AGkAbwBuAHMALgBWAEUARQBSAEcAXwAxADUAXwAxADAAXwAxAF8AMQBfAF8AMQBfAE8AdABoAGUAcgBQAHUAcgBjAGgAYQBzAGUAZABHAG8AbwBkAHMAQQBuAGQAUwBlAHIAdgBpAGMAZQBzAF8AVABpAHQAbABlACIALAAiAFMAYwBvAHAAZQAzAF8ARQBxAHUAYQB0AGkAbwBuAHMALgBWAEUARQBSAEcAXwAxADUAXwAxADAAXwAxAF8AMQBfAF8AMQBfAE8AdABoAGUAcgBQAHUAcgBjAGgAYQBzAGUAZABHAG8AbwBkAHMAQQBuAGQAUwBlAHIAdgBpAGMAZQBzAF8AVgBhAHIAaQBhAGIAbABlACIALAAiAFMAYwBvAHAAZQAzAF8ARQBxAHUAYQB0AGkAbwBuAHMALgBWAEUARQBSAEcAXwAxADUAXwAxADAAXwAxAF8AMQBfAF8AMQBfAE8AdABoAGUAcgBQAHUAcgBjAGgAYQBzAGUAZABHAG8AbwBkAHMAQQBuAGQAUwBlAHIAdgBpAGMAZQBzAF8AVQBuAGkAdAAiACwAIgBTAGMAbwBwAGUAMwBfAEUAcQB1AGEAdABpAG8AbgBzAC4AVgBFAEUAUgBHAF8AMQA1AF8AMQAwAF8AMQBfADEAXwBfADEAXwBPAHQAaABlAHIAUAB1AHIAYwBoAGEAcwBlAGQARwBvAG8AZABzAEEAbgBkAFMAZQByAHYAaQBjAGUAcwBfAFMAbwB1AHIAYwBlACIALAAiAFMAYwBvAHAAZQAzAF8ARQBxAHUAYQB0AGkAbwBuAHMALgBWAEUARQBSAEcAXwAxADUAXwAxADAAXwAxAF8AMQBfAF8AMQBfAE8AdABoAGUAcgBQAHUAcgBjAGgAYQBzAGUAZABHAG8AbwBkAHMAQQBuAGQAUwBlAHIAdgBpAGMAZQBzAF8ATgBJAFIAUgBlAGYAZQByAGUAbgBjAGUAIgAsACIAUwBjAG8AcABlADMAXwBFAHEAdQBhAHQAaQBvAG4AcwAuAFYARQBFAFIARwBfADEANQBfADEAMABfADEAXwAxAF8AXwAxAF8ATwB0AGgAZQByAFAAdQByAGMAaABhAHMAZQBkAEcAbwBvAGQAcwBBAG4AZABTAGUAcgB2AGkAYwBlAHMAXwBMAGEAdABlAHgARQBxAHUAYQB0AGkAbwBuACIALAAiAFMAYwBvAHAAZQAzAF8ARQBxAHUAYQB0AGkAbwBuAHMALgBWAEUARQBSAEcAXwAxADUAXwAxADAAXwAxAF8AMQBfAF8AMQBfAE8AdABoAGUAcgBQAHUAcgBjAGgAYQBzAGUAZABHAG8AbwBkAHMAQQBuAGQAUwBlAHIAdgBpAGMAZQBzAF8AQQByAGcAdQBtAGUAbgB0AHMAIgAsACIAUwBjAG8AcABlADMAXwBFAHEAdQBhAHQAaQBvAG4AcwAuAFYARQBFAFIARwBfADEANQBfADEAMQBfADEAXwAxAF8AXwAxAF8AVABvAHQAYQBsAFUAcABzAHQAcgBlAGEAbQBFAG0AaQBzAHMAaQBvAG4AcwBGAHIAbwBtAEYAdQBlAGwAIgAsACIAUwBjAG8AcABlADMAXwBFAHEAdQBhAHQAaQBvAG4AcwAuAFYARQBFAFIARwBfADEANQBfADEAMQBfADEAXwAxAF8AXwAxAF8AVABvAHQAYQBsAFUAcABzAHQAcgBlAGEAbQBFAG0AaQBzAHMAaQBvAG4AcwBGAHIAbwBtAEYAdQBlAGwAXwBUAGkAdABsAGUAIgAsACIAUwBjAG8AcABlADMAXwBFAHEAdQBhAHQAaQBvAG4AcwAuAFYARQBFAFIARwBfADEANQBfADEAMQBfADEAXwAxAF8AXwAxAF8AVABvAHQAYQBsAFUAcABzAHQAcgBlAGEAbQBFAG0AaQBzAHMAaQBvAG4AcwBGAHIAbwBtAEYAdQBlAGwAXwBWAGEAcgBpAGEAYgBsAGUAIgAsACIAUwBjAG8AcABlADMAXwBFAHEAdQBhAHQAaQBvAG4AcwAuAFYARQBFAFIARwBfADEANQBfADEAMQBfADEAXwAxAF8AXwAxAF8AVABvAHQAYQBsAFUAcABzAHQAcgBlAGEAbQBFAG0AaQBzAHMAaQBvAG4AcwBGAHIAbwBtAEYAdQBlAGwAXwBVAG4AaQB0ACIALAAiAFMAYwBvAHAAZQAzAF8ARQBxAHUAYQB0AGkAbwBuAHMALgBWAEUARQBSAEcAXwAxADUAXwAxADEAXwAxAF8AMQBfAF8AMQBfAFQAbwB0AGEAbABVAHAAcwB0AHIAZQBhAG0ARQBtAGkAcwBzAGkAbwBuAHMARgByAG8AbQBGAHUAZQBsAF8AUwBvAHUAcgBjAGUAIgAsACIAUwBjAG8AcABlADMAXwBFAHEAdQBhAHQAaQBvAG4AcwAuAFYARQBFAFIARwBfADEANQBfADEAMQBfADEAXwAxAF8AXwAxAF8AVABvAHQAYQBsAFUAcABzAHQAcgBlAGEAbQBFAG0AaQBzAHMAaQBvAG4AcwBGAHIAbwBtAEYAdQBlAGwAXwBOAEkAUgBSAGUAZgBlAHIAZQBuAGMAZQAiACwAIgBTAGMAbwBwAGUAMwBfAEUAcQB1AGEAdABpAG8AbgBzAC4AVgBFAEUAUgBHAF8AMQA1AF8AMQAxAF8AMQBfADEAXwBfADEAXwBUAG8AdABhAGwAVQBwAHMAdAByAGUAYQBtAEUAbQBpAHMAcwBpAG8AbgBzAEYAcgBvAG0ARgB1AGUAbABfAEwAYQB0AGUAeABFAHEAdQBhAHQAaQBvAG4AIgAsACIAUwBjAG8AcABlADMAXwBFAHEAdQBhAHQAaQBvAG4AcwAuAFYARQBFAFIARwBfADEANQBfADEAMQBfADEAXwAxAF8AXwAxAF8AVABvAHQAYQBsAFUAcABzAHQAcgBlAGEAbQBFAG0AaQBzAHMAaQBvAG4AcwBGAHIAbwBtAEYAdQBlAGwAXwBBAHIAZwB1AG0AZQBuAHQAcwAiACwAIgBTAGMAbwBwAGUAMwBfAEUAcQB1AGEAdABpAG8AbgBzAC4AVgBFAEUAUgBHAF8AMQA1AF8AMQAxAF8AMQBfADEAXwBfADIAXwBVAHAAcwB0AHIAZQBhAG0AVAByAGEAbgBzAHAAbwByAHQARgB1AGUAbABFAG0AaQBzAHMAaQBvAG4AcwAiACwAIgBTAGMAbwBwAGUAMwBfAEUAcQB1AGEAdABpAG8AbgBzAC4AVgBFAEUAUgBHAF8AMQA1AF8AMQAxAF8AMQBfADEAXwBfADIAXwBVAHAAcwB0AHIAZQBhAG0AVAByAGEAbgBzAHAAbwByAHQARgB1AGUAbABFAG0AaQBzAHMAaQBvAG4AcwBfAFQAaQB0AGwAZQAiACwAIgBTAGMAbwBwAGUAMwBfAEUAcQB1AGEAdABpAG8AbgBzAC4AVgBFAEUAUgBHAF8AMQA1AF8AMQAxAF8AMQBfADEAXwBfADIAXwBVAHAAcwB0AHIAZQBhAG0AVAByAGEAbgBzAHAAbwByAHQARgB1AGUAbABFAG0AaQBzAHMAaQBvAG4AcwBfAFYAYQByAGkAYQBiAGwAZQAiACwAIgBTAGMAbwBwAGUAMwBfAEUAcQB1AGEAdABpAG8AbgBzAC4AVgBFAEUAUgBHAF8AMQA1AF8AMQAxAF8AMQBfADEAXwBfADIAXwBVAHAAcwB0AHIAZQBhAG0AVAByAGEAbgBzAHAAbwByAHQARgB1AGUAbABFAG0AaQBzAHMAaQBvAG4AcwBfAFUAbgBpAHQAIgAsACIAUwBjAG8AcABlADMAXwBFAHEAdQBhAHQAaQBvAG4AcwAuAFYARQBFAFIARwBfADEANQBfADEAMQBfADEAXwAxAF8AXwAyAF8AVQBwAHMAdAByAGUAYQBtAFQAcgBhAG4AcwBwAG8AcgB0AEYAdQBlAGwARQBtAGkAcwBzAGkAbwBuAHMAXwBTAG8AdQByAGMAZQAiACwAIgBTAGMAbwBwAGUAMwBfAEUAcQB1AGEAdABpAG8AbgBzAC4AVgBFAEUAUgBHAF8AMQA1AF8AMQAxAF8AMQBfADEAXwBfADIAXwBVAHAAcwB0AHIAZQBhAG0AVAByAGEAbgBzAHAAbwByAHQARgB1AGUAbABFAG0AaQBzAHMAaQBvAG4AcwBfAE4ASQBSAFIAZQBmAGUAcgBlAG4AYwBlACIALAAiAFMAYwBvAHAAZQAzAF8ARQBxAHUAYQB0AGkAbwBuAHMALgBWAEUARQBSAEcAXwAxADUAXwAxADEAXwAxAF8AMQBfAF8AMgBfAFUAcABzAHQAcgBlAGEAbQBUAHIAYQBuAHMAcABvAHIAdABGAHUAZQBsAEUAbQBpAHMAcwBpAG8AbgBzAF8ATABhAHQAZQB4AEUAcQB1AGEAdABpAG8AbgAiACwAIgBTAGMAbwBwAGUAMwBfAEUAcQB1AGEAdABpAG8AbgBzAC4AVgBFAEUAUgBHAF8AMQA1AF8AMQAxAF8AMQBfADEAXwBfADIAXwBVAHAAcwB0AHIAZQBhAG0AVAByAGEAbgBzAHAAbwByAHQARgB1AGUAbABFAG0AaQBzAHMAaQBvAG4AcwBfAEEAcgBnAHUAbQBlAG4AdABzACIALAAiAFMAYwBvAHAAZQAzAF8ARQBxAHUAYQB0AGkAbwBuAHMALgBWAEUARQBSAEcAXwAxADUAXwAxADEAXwAxAF8AMQBfAF8AMwBfAFUAcABzAHQAcgBlAGEAbQBTAHQAYQB0AGkAbwBuAGEAcgB5AEYAdQBlAGwARQBtAGkAcwBzAGkAbwBuAHMAIgAsACIAUwBjAG8AcABlADMAXwBFAHEAdQBhAHQAaQBvAG4AcwAuAFYARQBFAFIARwBfADEANQBfADEAMQBfADEAXwAxAF8AXwAzAF8AVQBwAHMAdAByAGUAYQBtAFMAdABhAHQAaQBvAG4AYQByAHkARgB1AGUAbABFAG0AaQBzAHMAaQBvAG4AcwBfAFQAaQB0AGwAZQAiACwAIgBTAGMAbwBwAGUAMwBfAEUAcQB1AGEAdABpAG8AbgBzAC4AVgBFAEUAUgBHAF8AMQA1AF8AMQAxAF8AMQBfADEAXwBfADMAXwBVAHAAcwB0AHIAZQBhAG0AUwB0AGEAdABpAG8AbgBhAHIAeQBGAHUAZQBsAEUAbQBpAHMAcwBpAG8AbgBzAF8AVgBhAHIAaQBhAGIAbABlACIALAAiAFMAYwBvAHAAZQAzAF8ARQBxAHUAYQB0AGkAbwBuAHMALgBWAEUARQBSAEcAXwAxADUAXwAxADEAXwAxAF8AMQBfAF8AMwBfAFUAcABzAHQAcgBlAGEAbQBTAHQAYQB0AGkAbwBuAGEAcgB5AEYAdQBlAGwARQBtAGkAcwBzAGkAbwBuAHMAXwBVAG4AaQB0ACIALAAiAFMAYwBvAHAAZQAzAF8ARQBxAHUAYQB0AGkAbwBuAHMALgBWAEUARQBSAEcAXwAxADUAXwAxADEAXwAxAF8AMQBfAF8AMwBfAFUAcABzAHQAcgBlAGEAbQBTAHQAYQB0AGkAbwBuAGEAcgB5AEYAdQBlAGwARQBtAGkAcwBzAGkAbwBuAHMAXwBTAG8AdQByAGMAZQAiACwAIgBTAGMAbwBwAGUAMwBfAEUAcQB1AGEAdABpAG8AbgBzAC4AVgBFAEUAUgBHAF8AMQA1AF8AMQAxAF8AMQBfADEAXwBfADMAXwBVAHAAcwB0AHIAZQBhAG0AUwB0AGEAdABpAG8AbgBhAHIAeQBGAHUAZQBsAEUAbQBpAHMAcwBpAG8AbgBzAF8ATgBJAFIAUgBlAGYAZQByAGUAbgBjAGUAIgAsACIAUwBjAG8AcABlADMAXwBFAHEAdQBhAHQAaQBvAG4AcwAuAFYARQBFAFIARwBfADEANQBfADEAMQBfADEAXwAxAF8AXwAzAF8AVQBwAHMAdAByAGUAYQBtAFMAdABhAHQAaQBvAG4AYQByAHkARgB1AGUAbABFAG0AaQBzAHMAaQBvAG4AcwBfAEwAYQB0AGUAeABFAHEAdQBhAHQAaQBvAG4AIgAsACIAUwBjAG8AcABlADMAXwBFAHEAdQBhAHQAaQBvAG4AcwAuAFYARQBFAFIARwBfADEANQBfADEAMQBfADEAXwAxAF8AXwAzAF8AVQBwAHMAdAByAGUAYQBtAFMAdABhAHQAaQBvAG4AYQByAHkARgB1AGUAbABFAG0AaQBzAHMAaQBvAG4AcwBfAEEAcgBnAHUAbQBlAG4AdABzACIALAAiAFMAYwBvAHAAZQAzAF8ARQBxAHUAYQB0AGkAbwBuAHMALgBWAEUARQBSAEcAXwAxADUAXwAxADIAXwAxAF8AMQBfAF8AMQBfAFUAcABzAHQAcgBlAGEAbQBQAHUAcgBjAGgAYQBzAGUAZABFAGwAZQBjAHQAcgBpAGMAaQB0AHkATABvAGMAYQB0AGkAbwBuAEIAYQBzAGUAZAAiACwAIgBTAGMAbwBwAGUAMwBfAEUAcQB1AGEAdABpAG8AbgBzAC4AVgBFAEUAUgBHAF8AMQA1AF8AMQAyAF8AMQBfADEAXwBfADEAXwBVAHAAcwB0AHIAZQBhAG0AUAB1AHIAYwBoAGEAcwBlAGQARQBsAGUAYwB0AHIAaQBjAGkAdAB5AEwAbwBjAGEAdABpAG8AbgBCAGEAcwBlAGQAXwBUAGkAdABsAGUAIgAsACIAUwBjAG8AcABlADMAXwBFAHEAdQBhAHQAaQBvAG4AcwAuAFYARQBFAFIARwBfADEANQBfADEAMgBfADEAXwAxAF8AXwAxAF8AVQBwAHMAdAByAGUAYQBtAFAAdQByAGMAaABhAHMAZQBkAEUAbABlAGMAdAByAGkAYwBpAHQAeQBMAG8AYwBhAHQAaQBvAG4AQgBhAHMAZQBkAF8AVgBhAHIAaQBhAGIAbABlACIALAAiAFMAYwBvAHAAZQAzAF8ARQBxAHUAYQB0AGkAbwBuAHMALgBWAEUARQBSAEcAXwAxADUAXwAxADIAXwAxAF8AMQBfAF8AMQBfAFUAcABzAHQAcgBlAGEAbQBQAHUAcgBjAGgAYQBzAGUAZABFAGwAZQBjAHQAcgBpAGMAaQB0AHkATABvAGMAYQB0AGkAbwBuAEIAYQBzAGUAZABfAFUAbgBpAHQAIgAsACIAUwBjAG8AcABlADMAXwBFAHEAdQBhAHQAaQBvAG4AcwAuAFYARQBFAFIARwBfADEANQBfADEAMgBfADEAXwAxAF8AXwAxAF8AVQBwAHMAdAByAGUAYQBtAFAAdQByAGMAaABhAHMAZQBkAEUAbABlAGMAdAByAGkAYwBpAHQAeQBMAG8AYwBhAHQAaQBvAG4AQgBhAHMAZQBkAF8AUwBvAHUAcgBjAGUAIgAsACIAUwBjAG8AcABlADMAXwBFAHEAdQBhAHQAaQBvAG4AcwAuAFYARQBFAFIARwBfADEANQBfADEAMgBfADEAXwAxAF8AXwAxAF8AVQBwAHMAdAByAGUAYQBtAFAAdQByAGMAaABhAHMAZQBkAEUAbABlAGMAdAByAGkAYwBpAHQAeQBMAG8AYwBhAHQAaQBvAG4AQgBhAHMAZQBkAF8ATgBJAFIAUgBlAGYAZQByAGUAbgBjAGUAIgAsACIAUwBjAG8AcABlADMAXwBFAHEAdQBhAHQAaQBvAG4AcwAuAFYARQBFAFIARwBfADEANQBfADEAMgBfADEAXwAxAF8AXwAxAF8AVQBwAHMAdAByAGUAYQBtAFAAdQByAGMAaABhAHMAZQBkAEUAbABlAGMAdAByAGkAYwBpAHQAeQBMAG8AYwBhAHQAaQBvAG4AQgBhAHMAZQBkAF8ATABhAHQAZQB4AEUAcQB1AGEAdABpAG8AbgAiACwAIgBTAGMAbwBwAGUAMwBfAEUAcQB1AGEAdABpAG8AbgBzAC4AVgBFAEUAUgBHAF8AMQA1AF8AMQAyAF8AMQBfADEAXwBfADEAXwBVAHAAcwB0AHIAZQBhAG0AUAB1AHIAYwBoAGEAcwBlAGQARQBsAGUAYwB0AHIAaQBjAGkAdAB5AEwAbwBjAGEAdABpAG8AbgBCAGEAcwBlAGQAXwBBAHIAZwB1AG0AZQBuAHQAcwAiACwAIgBTAGMAbwBwAGUAMwBfAEUAcQB1AGEAdABpAG8AbgBzAC4AVgBFAEUAUgBHAF8AMQA1AF8AMQAyAF8AMQBfADIAXwBfADEAXwBVAHAAcwB0AHIAZQBhAG0AUAB1AHIAYwBoAGEAcwBlAGQARQBsAGUAYwB0AHIAaQBjAGkAdAB5AE0AYQByAGsAZQB0AEIAYQBzAGUAZAAiACwAIgBTAGMAbwBwAGUAMwBfAEUAcQB1AGEAdABpAG8AbgBzAC4AVgBFAEUAUgBHAF8AMQA1AF8AMQAyAF8AMQBfADIAXwBfADEAXwBVAHAAcwB0AHIAZQBhAG0AUAB1AHIAYwBoAGEAcwBlAGQARQBsAGUAYwB0AHIAaQBjAGkAdAB5AE0AYQByAGsAZQB0AEIAYQBzAGUAZABfAFQAaQB0AGwAZQAiACwAIgBTAGMAbwBwAGUAMwBfAEUAcQB1AGEAdABpAG8AbgBzAC4AVgBFAEUAUgBHAF8AMQA1AF8AMQAyAF8AMQBfADIAXwBfADEAXwBVAHAAcwB0AHIAZQBhAG0AUAB1AHIAYwBoAGEAcwBlAGQARQBsAGUAYwB0AHIAaQBjAGkAdAB5AE0AYQByAGsAZQB0AEIAYQBzAGUAZABfAFYAYQByAGkAYQBiAGwAZQAiACwAIgBTAGMAbwBwAGUAMwBfAEUAcQB1AGEAdABpAG8AbgBzAC4AVgBFAEUAUgBHAF8AMQA1AF8AMQAyAF8AMQBfADIAXwBfADEAXwBVAHAAcwB0AHIAZQBhAG0AUAB1AHIAYwBoAGEAcwBlAGQARQBsAGUAYwB0AHIAaQBjAGkAdAB5AE0AYQByAGsAZQB0AEIAYQBzAGUAZABfAFUAbgBpAHQAIgAsACIAUwBjAG8AcABlADMAXwBFAHEAdQBhAHQAaQBvAG4AcwAuAFYARQBFAFIARwBfADEANQBfADEAMgBfADEAXwAyAF8AXwAxAF8AVQBwAHMAdAByAGUAYQBtAFAAdQByAGMAaABhAHMAZQBkAEUAbABlAGMAdAByAGkAYwBpAHQAeQBNAGEAcgBrAGUAdABCAGEAcwBlAGQAXwBTAG8AdQByAGMAZQAiACwAIgBTAGMAbwBwAGUAMwBfAEUAcQB1AGEAdABpAG8AbgBzAC4AVgBFAEUAUgBHAF8AMQA1AF8AMQAyAF8AMQBfADIAXwBfADEAXwBVAHAAcwB0AHIAZQBhAG0AUAB1AHIAYwBoAGEAcwBlAGQARQBsAGUAYwB0AHIAaQBjAGkAdAB5AE0AYQByAGsAZQB0AEIAYQBzAGUAZABfAE4ASQBSAFIAZQBmAGUAcgBlAG4AYwBlACIALAAiAFMAYwBvAHAAZQAzAF8ARQBxAHUAYQB0AGkAbwBuAHMALgBWAEUARQBSAEcAXwAxADUAXwAxADIAXwAxAF8AMgBfAF8AMQBfAFUAcABzAHQAcgBlAGEAbQBQAHUAcgBjAGgAYQBzAGUAZABFAGwAZQBjAHQAcgBpAGMAaQB0AHkATQBhAHIAawBlAHQAQgBhAHMAZQBkAF8ATABhAHQAZQB4AEUAcQB1AGEAdABpAG8AbgAiACwAIgBTAGMAbwBwAGUAMwBfAEUAcQB1AGEAdABpAG8AbgBzAC4AVgBFAEUAUgBHAF8AMQA1AF8AMQAyAF8AMQBfADIAXwBfADEAXwBVAHAAcwB0AHIAZQBhAG0AUAB1AHIAYwBoAGEAcwBlAGQARQBsAGUAYwB0AHIAaQBjAGkAdAB5AE0AYQByAGsAZQB0AEIAYQBzAGUAZABfAEEAcgBnAHUAbQBlAG4AdABzACIALAAiAFMAYwBvAHAAZQAzAF8ARQBxAHUAYQB0AGkAbwBuAHMALgBWAEUARQBSAEcAXwAxADUAXwAxADMAXwAxAF8AMQBfAF8AMQBfAEUAbQBpAHMAcwBpAG8AbgBzAEYAcgBvAG0ATQBhAG4AdQByAGUAUwBlAG4AdABPAGYAZgBTAGkAdABlACIALAAiAFMAYwBvAHAAZQAzAF8ARQBxAHUAYQB0AGkAbwBuAHMALgBWAEUARQBSAEcAXwAxADUAXwAxADMAXwAxAF8AMQBfAF8AMQBfAEUAbQBpAHMAcwBpAG8AbgBzAEYAcgBvAG0ATQBhAG4AdQByAGUAUwBlAG4AdABPAGYAZgBTAGkAdABlAF8AVABpAHQAbABlACIALAAiAFMAYwBvAHAAZQAzAF8ARQBxAHUAYQB0AGkAbwBuAHMALgBWAEUARQBSAEcAXwAxADUAXwAxADMAXwAxAF8AMQBfAF8AMQBfAEUAbQBpAHMAcwBpAG8AbgBzAEYAcgBvAG0ATQBhAG4AdQByAGUAUwBlAG4AdABPAGYAZgBTAGkAdABlAF8AVgBhAHIAaQBhAGIAbABlACIALAAiAFMAYwBvAHAAZQAzAF8ARQBxAHUAYQB0AGkAbwBuAHMALgBWAEUARQBSAEcAXwAxADUAXwAxADMAXwAxAF8AMQBfAF8AMQBfAEUAbQBpAHMAcwBpAG8AbgBzAEYAcgBvAG0ATQBhAG4AdQByAGUAUwBlAG4AdABPAGYAZgBTAGkAdABlAF8AVQBuAGkAdAAiACwAIgBTAGMAbwBwAGUAMwBfAEUAcQB1AGEAdABpAG8AbgBzAC4AVgBFAEUAUgBHAF8AMQA1AF8AMQAzAF8AMQBfADEAXwBfADEAXwBFAG0AaQBzAHMAaQBvAG4AcwBGAHIAbwBtAE0AYQBuAHUAcgBlAFMAZQBuAHQATwBmAGYAUwBpAHQAZQBfAFMAbwB1AHIAYwBlACIALAAiAFMAYwBvAHAAZQAzAF8ARQBxAHUAYQB0AGkAbwBuAHMALgBWAEUARQBSAEcAXwAxADUAXwAxADMAXwAxAF8AMQBfAF8AMQBfAEUAbQBpAHMAcwBpAG8AbgBzAEYAcgBvAG0ATQBhAG4AdQByAGUAUwBlAG4AdABPAGYAZgBTAGkAdABlAF8ATgBJAFIAUgBlAGYAZQByAGUAbgBjAGUAIgAsACIAUwBjAG8AcABlADMAXwBFAHEAdQBhAHQAaQBvAG4AcwAuAFYARQBFAFIARwBfADEANQBfADEAMwBfADEAXwAxAF8AXwAxAF8ARQBtAGkAcwBzAGkAbwBuAHMARgByAG8AbQBNAGEAbgB1AHIAZQBTAGUAbgB0AE8AZgBmAFMAaQB0AGUAXwBMAGEAdABlAHgARQBxAHUAYQB0AGkAbwBuACIALAAiAFMAYwBvAHAAZQAzAF8ARQBxAHUAYQB0AGkAbwBuAHMALgBWAEUARQBSAEcAXwAxADUAXwAxADMAXwAxAF8AMQBfAF8AMQBfAEUAbQBpAHMAcwBpAG8AbgBzAEYAcgBvAG0ATQBhAG4AdQByAGUAUwBlAG4AdABPAGYAZgBTAGkAdABlAF8AQQByAGcAdQBtAGUAbgB0AHMAIgAsACIAUwBjAG8AcABlADMAXwBFAHEAdQBhAHQAaQBvAG4AcwAuAFYARQBFAFIARwBfADEANQBfADEANABfADEAXwAxAF8AXwAxAF8ARQBtAGIAZQBkAGQAZQBkAEUAbQBpAHMAcwBpAG8AbgBzAEYAcgBvAG0AVQBwAHMAdAByAGUAYQBtAEYAcgBlAGkAZwBoAHQAIgAsACIAUwBjAG8AcABlADMAXwBFAHEAdQBhAHQAaQBvAG4AcwAuAFYARQBFAFIARwBfADEANQBfADEANABfADEAXwAxAF8AXwAxAF8ARQBtAGIAZQBkAGQAZQBkAEUAbQBpAHMAcwBpAG8AbgBzAEYAcgBvAG0AVQBwAHMAdAByAGUAYQBtAEYAcgBlAGkAZwBoAHQAXwBUAGkAdABsAGUAIgAsACIAUwBjAG8AcABlADMAXwBFAHEAdQBhAHQAaQBvAG4AcwAuAFYARQBFAFIARwBfADEANQBfADEANABfADEAXwAxAF8AXwAxAF8ARQBtAGIAZQBkAGQAZQBkAEUAbQBpAHMAcwBpAG8AbgBzAEYAcgBvAG0AVQBwAHMAdAByAGUAYQBtAEYAcgBlAGkAZwBoAHQAXwBWAGEAcgBpAGEAYgBsAGUAIgAsACIAUwBjAG8AcABlADMAXwBFAHEAdQBhAHQAaQBvAG4AcwAuAFYARQBFAFIARwBfADEANQBfADEANABfADEAXwAxAF8AXwAxAF8ARQBtAGIAZQBkAGQAZQBkAEUAbQBpAHMAcwBpAG8AbgBzAEYAcgBvAG0AVQBwAHMAdAByAGUAYQBtAEYAcgBlAGkAZwBoAHQAXwBVAG4AaQB0ACIALAAiAFMAYwBvAHAAZQAzAF8ARQBxAHUAYQB0AGkAbwBuAHMALgBWAEUARQBSAEcAXwAxADUAXwAxADQAXwAxAF8AMQBfAF8AMQBfAEUAbQBiAGUAZABkAGUAZABFAG0AaQBzAHMAaQBvAG4AcwBGAHIAbwBtAFUAcABzAHQAcgBlAGEAbQBGAHIAZQBpAGcAaAB0AF8AUwBvAHUAcgBjAGUAIgAsACIAUwBjAG8AcABlADMAXwBFAHEAdQBhAHQAaQBvAG4AcwAuAFYARQBFAFIARwBfADEANQBfADEANABfADEAXwAxAF8AXwAxAF8ARQBtAGIAZQBkAGQAZQBkAEUAbQBpAHMAcwBpAG8AbgBzAEYAcgBvAG0AVQBwAHMAdAByAGUAYQBtAEYAcgBlAGkAZwBoAHQAXwBOAEkAUgBSAGUAZgBlAHIAZQBuAGMAZQAiACwAIgBTAGMAbwBwAGUAMwBfAEUAcQB1AGEAdABpAG8AbgBzAC4AVgBFAEUAUgBHAF8AMQA1AF8AMQA0AF8AMQBfADEAXwBfADEAXwBFAG0AYgBlAGQAZABlAGQARQBtAGkAcwBzAGkAbwBuAHMARgByAG8AbQBVAHAAcwB0AHIAZQBhAG0ARgByAGUAaQBnAGgAdABfAEwAYQB0AGUAeABFAHEAdQBhAHQAaQBvAG4AIgAsACIAUwBjAG8AcABlADMAXwBFAHEAdQBhAHQAaQBvAG4AcwAuAFYARQBFAFIARwBfADEANQBfADEANABfADEAXwAxAF8AXwAxAF8ARQBtAGIAZQBkAGQAZQBkAEUAbQBpAHMAcwBpAG8AbgBzAEYAcgBvAG0AVQBwAHMAdAByAGUAYQBtAEYAcgBlAGkAZwBoAHQAXwBBAHIAZwB1AG0AZQBuAHQAcwAiAF0ALAAiAGwAbwBjAGEAbABlACIAOgB7ACIAbABpAHMAdABTAGUAcABhAHIAYQB0AG8AcgAiADoAIgAsACIALAAiAHIAbwB3AFMAZQBwAGEAcgBhAHQAbwByACIAOgAiADsAIgAsACIAYwBvAGwAdQBtAG4AUwBlAHAAYQByAGEAdABvAHIAIgA6ACIALAAiACwAIgB0AGgAbwB1AHMAYQBuAGQAcwBTAGUAcABhAHIAYQB0AG8AcgAiADoAIgAsACIALAAiAHQAaABvAHUAcwBhAG4AZABzAFAAbwBzAGkAdABpAG8AbgBzACIAOgBbADMAXQAsACIAZABlAGMAaQBtAGEAbABTAGUAcABhAHIAYQB0AG8AcgAiADoAIgAuACIALAAiAGQAYQB0AGUATwByAGQAZQByACIAOgAiAEQATQBZACIALAAiAGMAdQByAHIAZQBuAGMAeQBTAHkAbQBiAG8AbAAiADoAIgAkACIALAAiAGkAcwBDAHUAcgByAGUAbgBjAHkAUwB5AG0AYgBvAGwATABlAGEAZAAiADoAdAByAHUAZQAsACIAaQBzAEMAdQByAHIAZQBuAGMAeQBTAGUAcABCAHkAUwBwAGEAYwBlACIAOgBmAGEAbABzAGUALAAiAHIAbwB3AEwAZQB0AHQAZQByACIAOgAiAFIAIgAsACIAYwBvAGwAdQBtAG4ATABlAHQAdABlAHIAIgA6ACIAQwAiACwAIgByAGMATABlAGYAdABCAHIAYQBjAGsAZQB0ACIAOgAiAFsAIgAsACIAcgBjAFIAaQBnAGgAdABCAHIAYQBjAGsAZQB0ACIAOgAiAF0AIgAsACIAcwB0AGEAdABlAG0AZQBuAHQAUwBlAHAAYQByAGEAdABvAHIAIgA6ACIAOwAiACwAIgBsAG8AYwBhAGwAZQBOAGEAbQBlACIAOgAiAGUAbgAtAHUAcwAiAH0AfQA=</AFEJSONBlob>
</file>

<file path=customXml/itemProps1.xml><?xml version="1.0" encoding="utf-8"?>
<ds:datastoreItem xmlns:ds="http://schemas.openxmlformats.org/officeDocument/2006/customXml" ds:itemID="{8523A1ED-64A4-4F28-87AE-B321FB11927F}">
  <ds:schemaRefs>
    <ds:schemaRef ds:uri="http://schemas.advancedformulaenvironment.officeapps.live.com/afejsonblob/1.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18</vt:i4>
      </vt:variant>
    </vt:vector>
  </HeadingPairs>
  <TitlesOfParts>
    <vt:vector size="18" baseType="lpstr">
      <vt:lpstr>Constants - Poultry</vt:lpstr>
      <vt:lpstr>Constants - Swine</vt:lpstr>
      <vt:lpstr>Constants - Dairy</vt:lpstr>
      <vt:lpstr>Constants - Pasture Beef</vt:lpstr>
      <vt:lpstr>Input - Site</vt:lpstr>
      <vt:lpstr>Input - Fertiliser</vt:lpstr>
      <vt:lpstr>Input - Feed</vt:lpstr>
      <vt:lpstr>Input - Farm Inputs</vt:lpstr>
      <vt:lpstr>Input - Fuel</vt:lpstr>
      <vt:lpstr>Input - Electricity</vt:lpstr>
      <vt:lpstr>Calcs scope 3</vt:lpstr>
      <vt:lpstr>Constants - Scope 3</vt:lpstr>
      <vt:lpstr>Constants - Common Livestock</vt:lpstr>
      <vt:lpstr>Sheet1</vt:lpstr>
      <vt:lpstr>Constants - Fertiliser</vt:lpstr>
      <vt:lpstr>Constants - Fuel</vt:lpstr>
      <vt:lpstr>Constants - Electricity</vt:lpstr>
      <vt:lpstr>Constants - Common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Kotz</dc:creator>
  <cp:lastModifiedBy>Paul Kotz</cp:lastModifiedBy>
  <dcterms:created xsi:type="dcterms:W3CDTF">2026-05-25T02:58:55Z</dcterms:created>
  <dcterms:modified xsi:type="dcterms:W3CDTF">2026-06-03T01:00:26Z</dcterms:modified>
</cp:coreProperties>
</file>