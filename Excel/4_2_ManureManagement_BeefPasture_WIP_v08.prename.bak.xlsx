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9EDDB1A-669F-443F-80ED-9CFE5C5E1802}" xr6:coauthVersionLast="47" xr6:coauthVersionMax="47" xr10:uidLastSave="{00000000-0000-0000-0000-000000000000}"/>
  <bookViews>
    <workbookView xWindow="1350" yWindow="360" windowWidth="36255" windowHeight="19140" firstSheet="6" activeTab="9"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7"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Beef'!$E$181</definedName>
    <definedName name="X_Cell_PastureBeef_CalculatedMMSPastureRangeAndPaddock">'Input - Pasture Beef'!$E$180</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I33" i="98"/>
  <c r="I158" i="69"/>
  <c r="X172" i="69"/>
  <c r="X171" i="69"/>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H225" i="76"/>
  <c r="I14" i="98"/>
  <c r="I29" i="97"/>
  <c r="E30" i="15"/>
  <c r="E33" i="15"/>
  <c r="E32" i="15"/>
  <c r="E31" i="15"/>
  <c r="I34" i="98"/>
  <c r="I30" i="97"/>
  <c r="H226" i="76"/>
  <c r="P39" i="98"/>
  <c r="G39" i="98"/>
  <c r="Q38" i="97"/>
  <c r="G38" i="97"/>
  <c r="X270" i="76"/>
  <c r="G232" i="76"/>
  <c r="Z279" i="69"/>
  <c r="G247" i="69"/>
  <c r="M28" i="76"/>
  <c r="L28" i="76"/>
  <c r="K28" i="76"/>
  <c r="J28" i="76"/>
  <c r="I28" i="76"/>
  <c r="H28" i="76"/>
  <c r="G28" i="76"/>
  <c r="F28" i="76"/>
  <c r="E28" i="76"/>
  <c r="D28" i="76"/>
  <c r="E172" i="69"/>
  <c r="E171" i="69"/>
  <c r="E181" i="70"/>
  <c r="E180"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a="1"/>
  <c r="D179" i="107" s="1"/>
  <c r="D178" i="107" a="1"/>
  <c r="D178" i="107" s="1"/>
  <c r="E175" i="107" a="1"/>
  <c r="E175" i="107" s="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a="1"/>
  <c r="D161" i="107" s="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a="1"/>
  <c r="D117" i="107" s="1"/>
  <c r="D116" i="107" a="1"/>
  <c r="D116" i="107" s="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H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a="1"/>
  <c r="D46" i="107" s="1"/>
  <c r="D45" i="107" a="1"/>
  <c r="D45" i="107" s="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a="1"/>
  <c r="D35" i="107" s="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a="1"/>
  <c r="D19" i="107" s="1"/>
  <c r="D18" i="107" a="1"/>
  <c r="D18" i="107" s="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a="1"/>
  <c r="D5" i="107" s="1"/>
  <c r="H15" i="76"/>
  <c r="J200" i="70" a="1"/>
  <c r="J200" i="70" s="1"/>
  <c r="J199" i="70" a="1"/>
  <c r="J199" i="70" s="1"/>
  <c r="J198" i="70" a="1"/>
  <c r="J198" i="70" s="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H49" i="107" l="1"/>
  <c r="H53" i="107"/>
  <c r="H54" i="107"/>
  <c r="H50" i="107"/>
  <c r="H52" i="107"/>
  <c r="H48" i="107"/>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W126" i="69" s="1"/>
  <c r="D171" i="70"/>
  <c r="D170" i="70"/>
  <c r="W124" i="69" s="1"/>
  <c r="D169" i="70"/>
  <c r="D168" i="70"/>
  <c r="D167" i="70"/>
  <c r="D166" i="70"/>
  <c r="D165" i="70"/>
  <c r="D164" i="70"/>
  <c r="W118" i="69" s="1"/>
  <c r="D163" i="70"/>
  <c r="D162" i="70"/>
  <c r="W116" i="69" s="1"/>
  <c r="D161" i="70"/>
  <c r="W115" i="69" s="1"/>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W122" i="69" l="1"/>
  <c r="W121" i="69"/>
  <c r="W119" i="69"/>
  <c r="W120" i="69"/>
  <c r="W117" i="69"/>
  <c r="W123" i="69"/>
  <c r="W125" i="69"/>
  <c r="AB159" i="69"/>
  <c r="Z154" i="69" a="1"/>
  <c r="Z154" i="69" s="1"/>
  <c r="W154" i="69" a="1"/>
  <c r="W154" i="69" s="1"/>
  <c r="I160" i="69"/>
  <c r="I159" i="69"/>
  <c r="J16" i="69"/>
  <c r="J124" i="70" l="1"/>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21" i="70"/>
  <c r="L123" i="70"/>
  <c r="L122" i="70"/>
  <c r="M121" i="70"/>
  <c r="N121" i="70" s="1"/>
  <c r="L124" i="70"/>
  <c r="M124" i="70"/>
  <c r="M123" i="70"/>
  <c r="M122" i="70"/>
  <c r="W172" i="69"/>
  <c r="W171" i="69"/>
  <c r="O121" i="70" l="1"/>
  <c r="N124" i="70"/>
  <c r="O124" i="70" s="1"/>
  <c r="N122" i="70"/>
  <c r="O122" i="70" s="1"/>
  <c r="N123" i="70"/>
  <c r="O123"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G87" i="76"/>
  <c r="F87" i="76"/>
  <c r="E87" i="76"/>
  <c r="D87" i="76"/>
  <c r="W39" i="69"/>
  <c r="W38" i="69"/>
  <c r="W37" i="69"/>
  <c r="W36" i="69"/>
  <c r="W35" i="69"/>
  <c r="W34" i="69"/>
  <c r="W33" i="69"/>
  <c r="W32" i="69"/>
  <c r="W31" i="69"/>
  <c r="W30" i="69"/>
  <c r="W29" i="69"/>
  <c r="W28" i="69"/>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7" a="1"/>
  <c r="E22" i="97" a="1"/>
  <c r="E7" i="98" a="1"/>
  <c r="E26"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104" i="76" a="1"/>
  <c r="E7" i="76" a="1"/>
  <c r="E136" i="76" a="1"/>
  <c r="E148" i="69" a="1"/>
  <c r="E101" i="69" a="1"/>
  <c r="E42" i="76" a="1"/>
  <c r="E218" i="76" a="1"/>
  <c r="E39" i="69" a="1"/>
  <c r="E178" i="76" a="1"/>
  <c r="E206"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N150" i="70" l="1"/>
  <c r="J149" i="70"/>
  <c r="F148" i="70"/>
  <c r="L146" i="70"/>
  <c r="H145" i="70"/>
  <c r="N143" i="70"/>
  <c r="J142" i="70"/>
  <c r="F141" i="70"/>
  <c r="L139" i="70"/>
  <c r="L136" i="70"/>
  <c r="H135" i="70"/>
  <c r="N133" i="70"/>
  <c r="J136" i="70"/>
  <c r="G144" i="70"/>
  <c r="M150" i="70"/>
  <c r="I149" i="70"/>
  <c r="E148" i="70"/>
  <c r="K146" i="70"/>
  <c r="G145" i="70"/>
  <c r="M143" i="70"/>
  <c r="I142" i="70"/>
  <c r="E141" i="70"/>
  <c r="K139" i="70"/>
  <c r="K136" i="70"/>
  <c r="G135" i="70"/>
  <c r="M133" i="70"/>
  <c r="F135" i="70"/>
  <c r="M142" i="70"/>
  <c r="K135" i="70"/>
  <c r="J145" i="70"/>
  <c r="E144" i="70"/>
  <c r="L150" i="70"/>
  <c r="H149" i="70"/>
  <c r="N147" i="70"/>
  <c r="J146" i="70"/>
  <c r="F145" i="70"/>
  <c r="L143" i="70"/>
  <c r="H142" i="70"/>
  <c r="N140" i="70"/>
  <c r="J139" i="70"/>
  <c r="L133" i="70"/>
  <c r="I141" i="70"/>
  <c r="N139" i="70"/>
  <c r="M146" i="70"/>
  <c r="K150" i="70"/>
  <c r="G149" i="70"/>
  <c r="M147" i="70"/>
  <c r="I146" i="70"/>
  <c r="E145" i="70"/>
  <c r="K143" i="70"/>
  <c r="G142" i="70"/>
  <c r="M140" i="70"/>
  <c r="I139" i="70"/>
  <c r="I136" i="70"/>
  <c r="E135" i="70"/>
  <c r="K133" i="70"/>
  <c r="L142" i="70"/>
  <c r="J135" i="70"/>
  <c r="M139" i="70"/>
  <c r="J150" i="70"/>
  <c r="F149" i="70"/>
  <c r="L147" i="70"/>
  <c r="H146" i="70"/>
  <c r="N144" i="70"/>
  <c r="J143" i="70"/>
  <c r="F142" i="70"/>
  <c r="L140" i="70"/>
  <c r="H139" i="70"/>
  <c r="H136" i="70"/>
  <c r="N134" i="70"/>
  <c r="J133" i="70"/>
  <c r="J141" i="70"/>
  <c r="I148" i="70"/>
  <c r="G134" i="70"/>
  <c r="H141" i="70"/>
  <c r="I145" i="70"/>
  <c r="I135" i="70"/>
  <c r="I150" i="70"/>
  <c r="E149" i="70"/>
  <c r="K147" i="70"/>
  <c r="G146" i="70"/>
  <c r="M144" i="70"/>
  <c r="I143" i="70"/>
  <c r="E142" i="70"/>
  <c r="K140" i="70"/>
  <c r="G139" i="70"/>
  <c r="G136" i="70"/>
  <c r="M134" i="70"/>
  <c r="I133" i="70"/>
  <c r="K134" i="70"/>
  <c r="N149" i="70"/>
  <c r="H144" i="70"/>
  <c r="L135" i="70"/>
  <c r="H134" i="70"/>
  <c r="K145" i="70"/>
  <c r="H148" i="70"/>
  <c r="K149" i="70"/>
  <c r="M136" i="70"/>
  <c r="H150" i="70"/>
  <c r="N148" i="70"/>
  <c r="J147" i="70"/>
  <c r="F146" i="70"/>
  <c r="L144" i="70"/>
  <c r="H143" i="70"/>
  <c r="N141" i="70"/>
  <c r="J140" i="70"/>
  <c r="F139" i="70"/>
  <c r="F136" i="70"/>
  <c r="L134" i="70"/>
  <c r="H133" i="70"/>
  <c r="G133" i="70"/>
  <c r="K141" i="70"/>
  <c r="M135" i="70"/>
  <c r="I134" i="70"/>
  <c r="L145" i="70"/>
  <c r="E147" i="70"/>
  <c r="N146" i="70"/>
  <c r="G148" i="70"/>
  <c r="G150" i="70"/>
  <c r="M148" i="70"/>
  <c r="I147" i="70"/>
  <c r="E146" i="70"/>
  <c r="K144" i="70"/>
  <c r="G143" i="70"/>
  <c r="M141" i="70"/>
  <c r="I140" i="70"/>
  <c r="E139" i="70"/>
  <c r="E136" i="70"/>
  <c r="N142" i="70"/>
  <c r="F144" i="70"/>
  <c r="K142" i="70"/>
  <c r="F150" i="70"/>
  <c r="L148" i="70"/>
  <c r="H147" i="70"/>
  <c r="N145" i="70"/>
  <c r="J144" i="70"/>
  <c r="F143" i="70"/>
  <c r="L141" i="70"/>
  <c r="H140" i="70"/>
  <c r="N135" i="70"/>
  <c r="J134" i="70"/>
  <c r="F133" i="70"/>
  <c r="E150" i="70"/>
  <c r="K148" i="70"/>
  <c r="G147" i="70"/>
  <c r="M145" i="70"/>
  <c r="I144" i="70"/>
  <c r="E143" i="70"/>
  <c r="G140" i="70"/>
  <c r="E133" i="70"/>
  <c r="J148" i="70"/>
  <c r="F147" i="70"/>
  <c r="F140" i="70"/>
  <c r="M149" i="70"/>
  <c r="E140" i="70"/>
  <c r="L149" i="70"/>
  <c r="N136" i="70"/>
  <c r="F134" i="70"/>
  <c r="G141" i="70"/>
  <c r="E134" i="70"/>
  <c r="E166" i="69"/>
  <c r="E165"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H100" i="70" l="1"/>
  <c r="N98" i="70"/>
  <c r="J97" i="70"/>
  <c r="F96" i="70"/>
  <c r="L94" i="70"/>
  <c r="H93" i="70"/>
  <c r="N91" i="70"/>
  <c r="J90" i="70"/>
  <c r="F89" i="70"/>
  <c r="J86" i="70"/>
  <c r="F85" i="70"/>
  <c r="L83" i="70"/>
  <c r="H86" i="70"/>
  <c r="I83" i="70"/>
  <c r="G92" i="70"/>
  <c r="I85" i="70"/>
  <c r="H96" i="70"/>
  <c r="N83" i="70"/>
  <c r="K97" i="70"/>
  <c r="G100" i="70"/>
  <c r="M98" i="70"/>
  <c r="I97" i="70"/>
  <c r="E96" i="70"/>
  <c r="K94" i="70"/>
  <c r="G93" i="70"/>
  <c r="M91" i="70"/>
  <c r="I90" i="70"/>
  <c r="E89" i="70"/>
  <c r="I86" i="70"/>
  <c r="E85" i="70"/>
  <c r="K83" i="70"/>
  <c r="N84" i="70"/>
  <c r="M97" i="70"/>
  <c r="N94" i="70"/>
  <c r="M94" i="70"/>
  <c r="F100" i="70"/>
  <c r="L98" i="70"/>
  <c r="H97" i="70"/>
  <c r="N95" i="70"/>
  <c r="J94" i="70"/>
  <c r="F93" i="70"/>
  <c r="L91" i="70"/>
  <c r="H90" i="70"/>
  <c r="J83" i="70"/>
  <c r="E95" i="70"/>
  <c r="M86" i="70"/>
  <c r="L90" i="70"/>
  <c r="G89" i="70"/>
  <c r="E100" i="70"/>
  <c r="K98" i="70"/>
  <c r="G97" i="70"/>
  <c r="M95" i="70"/>
  <c r="I94" i="70"/>
  <c r="E93" i="70"/>
  <c r="K91" i="70"/>
  <c r="G90" i="70"/>
  <c r="G86" i="70"/>
  <c r="M84" i="70"/>
  <c r="K90" i="70"/>
  <c r="N99" i="70"/>
  <c r="J98" i="70"/>
  <c r="F97" i="70"/>
  <c r="L95" i="70"/>
  <c r="H94" i="70"/>
  <c r="N92" i="70"/>
  <c r="J91" i="70"/>
  <c r="F90" i="70"/>
  <c r="F86" i="70"/>
  <c r="L84" i="70"/>
  <c r="H83" i="70"/>
  <c r="G84" i="70"/>
  <c r="N97" i="70"/>
  <c r="N90" i="70"/>
  <c r="F84" i="70"/>
  <c r="K93" i="70"/>
  <c r="E84" i="70"/>
  <c r="F92" i="70"/>
  <c r="L86" i="70"/>
  <c r="G96" i="70"/>
  <c r="G85" i="70"/>
  <c r="M99" i="70"/>
  <c r="I98" i="70"/>
  <c r="E97" i="70"/>
  <c r="K95" i="70"/>
  <c r="G94" i="70"/>
  <c r="M92" i="70"/>
  <c r="I91" i="70"/>
  <c r="E90" i="70"/>
  <c r="E86" i="70"/>
  <c r="K84" i="70"/>
  <c r="G83" i="70"/>
  <c r="G91" i="70"/>
  <c r="I84" i="70"/>
  <c r="M100" i="70"/>
  <c r="G95" i="70"/>
  <c r="K89" i="70"/>
  <c r="L100" i="70"/>
  <c r="L93" i="70"/>
  <c r="J85" i="70"/>
  <c r="G99" i="70"/>
  <c r="I89" i="70"/>
  <c r="F99" i="70"/>
  <c r="I100" i="70"/>
  <c r="K86" i="70"/>
  <c r="L99" i="70"/>
  <c r="H98" i="70"/>
  <c r="N96" i="70"/>
  <c r="J95" i="70"/>
  <c r="F94" i="70"/>
  <c r="L92" i="70"/>
  <c r="H91" i="70"/>
  <c r="N89" i="70"/>
  <c r="N85" i="70"/>
  <c r="J84" i="70"/>
  <c r="F83" i="70"/>
  <c r="M89" i="70"/>
  <c r="E83" i="70"/>
  <c r="K96" i="70"/>
  <c r="I92" i="70"/>
  <c r="K85" i="70"/>
  <c r="H99" i="70"/>
  <c r="H92" i="70"/>
  <c r="N86" i="70"/>
  <c r="K100" i="70"/>
  <c r="M90" i="70"/>
  <c r="L97" i="70"/>
  <c r="H89" i="70"/>
  <c r="E99" i="70"/>
  <c r="K99" i="70"/>
  <c r="G98" i="70"/>
  <c r="M96" i="70"/>
  <c r="I95" i="70"/>
  <c r="E94" i="70"/>
  <c r="K92" i="70"/>
  <c r="M85" i="70"/>
  <c r="E98" i="70"/>
  <c r="E91" i="70"/>
  <c r="F95" i="70"/>
  <c r="J93" i="70"/>
  <c r="I93" i="70"/>
  <c r="N100" i="70"/>
  <c r="J99" i="70"/>
  <c r="F98" i="70"/>
  <c r="L96" i="70"/>
  <c r="H95" i="70"/>
  <c r="N93" i="70"/>
  <c r="J92" i="70"/>
  <c r="F91" i="70"/>
  <c r="L89" i="70"/>
  <c r="L85" i="70"/>
  <c r="H84" i="70"/>
  <c r="I99" i="70"/>
  <c r="M93" i="70"/>
  <c r="J96" i="70"/>
  <c r="J89" i="70"/>
  <c r="I96" i="70"/>
  <c r="J100" i="70"/>
  <c r="H85" i="70"/>
  <c r="E92" i="70"/>
  <c r="M83" i="70"/>
  <c r="J191" i="70" a="1"/>
  <c r="J191" i="70" s="1"/>
  <c r="V164" i="76"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E9" i="13" s="1"/>
  <c r="I13" i="98"/>
  <c r="E20" i="98" s="1" a="1"/>
  <c r="E20" i="98" s="1"/>
  <c r="I32" i="98" s="1"/>
  <c r="E36" i="98" s="1" a="1"/>
  <c r="E36" i="98" s="1"/>
  <c r="E10" i="13"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E229" i="76" a="1"/>
  <c r="E229" i="76" s="1"/>
  <c r="E8"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T13" i="97" l="1"/>
  <c r="O16" i="97" s="1" a="1"/>
  <c r="O16" i="97" s="1"/>
  <c r="S28" i="97" s="1"/>
  <c r="O35" i="97" s="1" a="1"/>
  <c r="O35" i="97" s="1"/>
  <c r="F9" i="13" s="1"/>
  <c r="R13" i="98"/>
  <c r="N20" i="98" s="1" a="1"/>
  <c r="N20" i="98" s="1"/>
  <c r="R32" i="98" s="1"/>
  <c r="N36" i="98" s="1" a="1"/>
  <c r="N36" i="98" s="1"/>
  <c r="F10" i="13" s="1"/>
  <c r="Z278" i="69"/>
  <c r="X281" i="69" s="1" a="1"/>
  <c r="X281" i="69" s="1"/>
  <c r="I7" i="13" s="1"/>
  <c r="F7" i="13"/>
  <c r="V267" i="76" a="1"/>
  <c r="V267" i="76" s="1"/>
  <c r="F8"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<sst xmlns="http://schemas.openxmlformats.org/spreadsheetml/2006/main" count="1961" uniqueCount="412">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</sst>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 displayName="Table_Input_LivestockSales"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123"/>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122" dataCellStyle="Input select"/>
    <tableColumn id="2" xr3:uid="{7F063362-12BB-4418-97CC-E62592B8226F}" name="Purchase class (select)" dataDxfId="121" dataCellStyle="Input select"/>
    <tableColumn id="6" xr3:uid="{7919A336-9815-4A07-A352-86BA6315626F}" name="Source region (Select)" dataDxfId="120"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1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1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1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1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1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1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1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1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1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9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9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7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7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6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54" dataCellStyle="Content normal">
      <calculatedColumnFormula>D351</calculatedColumnFormula>
    </tableColumn>
    <tableColumn id="2" xr3:uid="{B172192B-EDB5-47A5-A010-C82516ED13B5}" name="Bulls &lt; 1 year" dataDxfId="53" dataCellStyle="Content normal">
      <calculatedColumnFormula>E351</calculatedColumnFormula>
    </tableColumn>
    <tableColumn id="3" xr3:uid="{F83B528D-B6D7-4E92-967F-018ED1475D9B}" name="Bulls &gt; 1 year" dataDxfId="52" dataCellStyle="Content normal">
      <calculatedColumnFormula>F351</calculatedColumnFormula>
    </tableColumn>
    <tableColumn id="4" xr3:uid="{E83019D4-F113-4C9E-ADA7-433997A968A1}" name="Cows &lt; 1 year" dataDxfId="51" dataCellStyle="Content normal">
      <calculatedColumnFormula>G351</calculatedColumnFormula>
    </tableColumn>
    <tableColumn id="5" xr3:uid="{B51413B2-710F-409C-8C3C-6B72C8E99B49}" name="Cows 1-2 years" dataDxfId="50" dataCellStyle="Content normal">
      <calculatedColumnFormula>H351</calculatedColumnFormula>
    </tableColumn>
    <tableColumn id="6" xr3:uid="{F7B12596-1E7F-417C-83F5-67964BA7AAAE}" name="Cows 2-3 years" dataDxfId="49" dataCellStyle="Content normal">
      <calculatedColumnFormula>I351</calculatedColumnFormula>
    </tableColumn>
    <tableColumn id="7" xr3:uid="{C1B8EAD9-BCCE-49FF-9E3D-15E99DEC329C}" name="Cows &gt; 3 years" dataDxfId="48" dataCellStyle="Content normal">
      <calculatedColumnFormula>I351</calculatedColumnFormula>
    </tableColumn>
    <tableColumn id="8" xr3:uid="{6AB556D2-AF6C-4E98-9AA1-A8C6DC5F5CA9}" name="Steers &lt; 1 year" dataDxfId="47" dataCellStyle="Content normal">
      <calculatedColumnFormula>J351</calculatedColumnFormula>
    </tableColumn>
    <tableColumn id="9" xr3:uid="{46DC3CBA-6FB0-4A95-A39E-B2179DC8CFE6}" name="Steers 1-2 years" dataDxfId="46" dataCellStyle="Content normal">
      <calculatedColumnFormula>K351</calculatedColumnFormula>
    </tableColumn>
    <tableColumn id="10" xr3:uid="{105CEA90-EFAD-4757-B82A-B19E9A3F2664}" name="Steers 2-3 years" dataDxfId="45" dataCellStyle="Content normal"/>
    <tableColumn id="11" xr3:uid="{5E2A59D6-56CA-4967-885E-8602CA905B74}" name="Steers &gt;3 years" dataDxfId="44" dataCellStyle="Content normal"/>
    <tableColumn id="12" xr3:uid="{1C306FC1-FFBA-4C23-8EAD-1C07A5BAAA50}" name="State abbreviation" dataDxfId="4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4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3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3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3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31"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30"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29"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28"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27"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2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AB9902A-88BB-421A-B743-06C3BE1F8AE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6175567-40C3-493F-82E6-393815FA422E}" name="State/Territory">
      <calculatedColumnFormula array="1">Common_InputFunctions.Utility_DisplayArrayInTable(Common_SourceData.Common_SourceData_AustralianStatesTerritories_Data(),Table_AustralianStates[[#Headers],[State/Territory]],0)</calculatedColumnFormula>
    </tableColumn>
    <tableColumn id="2" xr3:uid="{85197732-6264-46E3-800B-2AD6D6259943}" name="Common Name">
      <calculatedColumnFormula array="1">Common_InputFunctions.Utility_DisplayArrayInTable(Common_SourceData.Common_SourceData_AustralianStatesTerritories_Data(),Table_AustralianStates[[#Headers],[State/Territory]],0)</calculatedColumnFormula>
    </tableColumn>
    <tableColumn id="3" xr3:uid="{40D98173-8488-4506-9574-CF22B60045A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275C159-ED46-4B1E-A1DD-751136D08DC9}" name="Table_WASA4Areas" displayName="Table_WASA4Areas" ref="D20:D30" totalsRowShown="0">
  <autoFilter ref="D20:D30" xr:uid="{5FA81339-C6C8-4D36-BEEA-6C4AEDD9E676}">
    <filterColumn colId="0" hiddenButton="1"/>
  </autoFilter>
  <tableColumns count="1">
    <tableColumn id="1" xr3:uid="{DDA40ADC-059F-49AA-96C8-9DF04662525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9186FA2-B2DC-4A1A-ADE3-3A4A4C1DCE75}" name="Table_GWPData" displayName="Table_GWPData" ref="D36:E43" totalsRowShown="0">
  <autoFilter ref="D36:E43" xr:uid="{B8E87A66-3E41-4AD3-925D-01EE21B43D7A}">
    <filterColumn colId="0" hiddenButton="1"/>
    <filterColumn colId="1" hiddenButton="1"/>
  </autoFilter>
  <tableColumns count="2">
    <tableColumn id="1" xr3:uid="{0EEE4876-5A67-43FC-83EC-2AC8F286813F}" name="Gas">
      <calculatedColumnFormula array="1">Common_InputFunctions.Utility_DisplayArrayInTable(Common_SourceData.Common_SourceData_GWP_Data(), Table_GWPData[[#Headers],[Gas]], 0)</calculatedColumnFormula>
    </tableColumn>
    <tableColumn id="2" xr3:uid="{BADDB375-D0CF-4268-8C69-349A1601BD9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8D7C49-B8C7-4AA1-8FBB-4694245788A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52E53D4-112E-45EA-9999-68E9B18F9933}" name="Gas">
      <calculatedColumnFormula array="1">Common_InputFunctions.Utility_DisplayArrayInTable(Common_SourceData.Common_SourceData_ConvertGasElementalToMolecular_Data(),Table_GasToMolecularConversionFactor[[#Headers],[Gas]], 0)</calculatedColumnFormula>
    </tableColumn>
    <tableColumn id="5" xr3:uid="{17FAB9DC-D9C8-4E3E-B6AD-9163BBFBA8D5}" name="Conversion factor">
      <calculatedColumnFormula array="1">Common_InputFunctions.Utility_DisplayArrayInTable(Common_SourceData.Common_SourceData_ConvertGasElementalToMolecular_Data(),Table_GasToMolecularConversionFactor[[#Headers],[Gas]], 0)</calculatedColumnFormula>
    </tableColumn>
    <tableColumn id="2" xr3:uid="{CDA00DDE-C6D7-4180-AEAF-15D81235FCB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EC74DA4-A889-4C2F-A529-0FCA3433D57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58C4E8-E844-48AC-9B65-9D54CEFE63D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8BD007F-1533-4C2C-AB61-EEF0835D373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006A72-8DCF-411C-AC3B-ED7DAB079FB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0E77C0A-5EA2-4FAB-BE03-8DC1FC36CE6D}" name="MAT" totalsRowDxfId="159" totalsRowCellStyle="Content bold">
      <calculatedColumnFormula array="1">Common_InputFunctions.Utility_DisplayArrayInTable(Common_SourceData.Common_SourceData_ClimateZones_Data(), Table_SourceData_ClimateZones[[#Headers],[Climate zone]], 0)</calculatedColumnFormula>
    </tableColumn>
    <tableColumn id="3" xr3:uid="{28B37BA8-E2D6-4DAD-A95B-59F6B760AB00}" name="MAP" totalsRowDxfId="158" totalsRowCellStyle="Content bold">
      <calculatedColumnFormula array="1">Common_InputFunctions.Utility_DisplayArrayInTable(Common_SourceData.Common_SourceData_ClimateZones_Data(), Table_SourceData_ClimateZones[[#Headers],[Climate zone]], 0)</calculatedColumnFormula>
    </tableColumn>
    <tableColumn id="4" xr3:uid="{DD6220C7-949B-4247-9B1F-A8359B50FC63}" name="Frost days per year" totalsRowDxfId="157" totalsRowCellStyle="Content bold">
      <calculatedColumnFormula array="1">Common_InputFunctions.Utility_DisplayArrayInTable(Common_SourceData.Common_SourceData_ClimateZones_Data(), Table_SourceData_ClimateZones[[#Headers],[Climate zone]], 0)</calculatedColumnFormula>
    </tableColumn>
    <tableColumn id="5" xr3:uid="{16459190-04C4-41FB-B62E-B38F867FC291}" name="Elevation" totalsRowDxfId="156" totalsRowCellStyle="Content bold">
      <calculatedColumnFormula array="1">Common_InputFunctions.Utility_DisplayArrayInTable(Common_SourceData.Common_SourceData_ClimateZones_Data(), Table_SourceData_ClimateZones[[#Headers],[Climate zone]], 0)</calculatedColumnFormula>
    </tableColumn>
    <tableColumn id="6" xr3:uid="{A51BAD17-74AD-405B-BE8B-114F89C5A7D3}" name="MAP:PET"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7" xr3:uid="{7DCAFC32-B48A-4A22-AD6C-345A9C001203}" name="Min tem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8" xr3:uid="{7BA54B42-A781-444F-8E35-6DA118DFAF68}" name="Max temp"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9" xr3:uid="{A4D1EE81-6311-49B6-A87B-C387EE47DC1A}" name="Min rainfall"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10" xr3:uid="{92D0D2C8-A072-4C77-B724-73F0252FBAA2}" name="Max rainfall"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11" xr3:uid="{07ECAC12-80F9-4C4D-9111-E81C8BFF9DDE}" name="Min frost days"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15" xr3:uid="{B6DB6C2A-99D2-49D3-BD6D-1DCEDDD5AF37}" name="Max frost days"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12" xr3:uid="{5B073AC3-33BD-4658-B727-7C5CF9FF3271}" name="Min elevation"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6" xr3:uid="{17A2DEB3-FD9F-4AB5-8FF2-9DB9B4084A1A}" name="Max elevation"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3" xr3:uid="{2621AA2F-8ECD-4F40-B445-CFD00C902644}" name="Min MAP:PET"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17" xr3:uid="{42D567C5-7217-46CA-9FED-CF1722F5EBF1}" name="Max MAP:PET" totalsRowDxfId="14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18BD217-C18A-404B-B7CA-24C8C5C361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2E41F82-19F9-46E3-B79A-63BB480F253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8C840DE-05F6-483F-B749-2D3BB9B024CD}" name="Wet or Dry Zone" totalsRowDxfId="14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B72FF8-59BA-4B8D-8BD2-1EE50341279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1CC371C-7180-4845-8246-906DF0BAB001}" name="Temperature Zone">
      <calculatedColumnFormula array="1">Common_InputFunctions.Utility_DisplayArrayInTable(Common_SourceData.Common_SourceData_TemperatureZones_Data(),Table_SourceData_TemperatureZones[[#Headers],[Temperature Zone]],0)</calculatedColumnFormula>
    </tableColumn>
    <tableColumn id="2" xr3:uid="{F8C848AD-8B6A-4C4A-98FB-2D5A6E90D470}" name="MAT">
      <calculatedColumnFormula array="1">Common_InputFunctions.Utility_DisplayArrayInTable(Common_SourceData.Common_SourceData_TemperatureZones_Data(),Table_SourceData_TemperatureZones[[#Headers],[Temperature Zone]],0)</calculatedColumnFormula>
    </tableColumn>
    <tableColumn id="3" xr3:uid="{1F8DFF74-F880-4AAF-AFFD-3337986F624F}" name="Min MAT">
      <calculatedColumnFormula array="1">Common_InputFunctions.Utility_DisplayArrayInTable(Common_SourceData.Common_SourceData_TemperatureZones_Data(),Table_SourceData_TemperatureZones[[#Headers],[Temperature Zone]],0)</calculatedColumnFormula>
    </tableColumn>
    <tableColumn id="4" xr3:uid="{1B7D9914-0E73-4790-B9E2-D5DA86B68F2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F5B527F-B593-4340-A8F0-1FE9A785D87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7A96AFE-8D22-4114-857A-21D797FBB4BD}" name="Rainfall Zone">
      <calculatedColumnFormula array="1">Common_InputFunctions.Utility_DisplayArrayInTable(Common_SourceData.Common_SourceData_RainfallZones_Data(),Table_SourceData_RainfallZones[[#Headers],[Rainfall Zone]],0)</calculatedColumnFormula>
    </tableColumn>
    <tableColumn id="2" xr3:uid="{1DF25352-14C4-4AE1-A846-DDA28E503A93}" name="Annual rainfall">
      <calculatedColumnFormula array="1">Common_InputFunctions.Utility_DisplayArrayInTable(Common_SourceData.Common_SourceData_RainfallZones_Data(),Table_SourceData_RainfallZones[[#Headers],[Rainfall Zone]],0)</calculatedColumnFormula>
    </tableColumn>
    <tableColumn id="3" xr3:uid="{DE9090CD-6091-4DB5-9270-FB4B96E0BB1A}" name="Min rainfall">
      <calculatedColumnFormula array="1">Common_InputFunctions.Utility_DisplayArrayInTable(Common_SourceData.Common_SourceData_RainfallZones_Data(),Table_SourceData_RainfallZones[[#Headers],[Rainfall Zone]],0)</calculatedColumnFormula>
    </tableColumn>
    <tableColumn id="4" xr3:uid="{9ED4AC76-28F3-4446-9164-BD7803E38D1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E2530F-0102-4662-A670-C034C386FE7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56A97D5-6AC2-44D3-81BE-FEE510807319}" name="Leaching Zone">
      <calculatedColumnFormula array="1">Common_InputFunctions.Utility_DisplayArrayInTable(Common_SourceData.Common_SourceData_LeachingZones_Data(), Table_SourceData_LeachingZones[[#Headers],[Leaching Zone]], 0)</calculatedColumnFormula>
    </tableColumn>
    <tableColumn id="2" xr3:uid="{51712D87-1425-49C6-BD93-F97C19BFE00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AAFF646-EC3A-4A97-AB65-FC53B0B21B3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DA7AC38-45F6-4D40-8076-F06571BE53F5}" name="Data source">
      <calculatedColumnFormula array="1">Common_InputFunctions.Utility_DisplayArrayInTable(Common_SourceData.Common_SourceData_DataScores_Scope3_Data(), Table_SourceData_DataScores_Scope3[[#Headers],[Data source]], 0)</calculatedColumnFormula>
    </tableColumn>
    <tableColumn id="2" xr3:uid="{AC0FC6F8-1DF3-477E-9594-672D46A7FBB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5AE8F7-4CE0-43BE-A2E2-DEBC1066D249}" name="Table_SourceData_FracWET" displayName="Table_SourceData_FracWET" ref="D134:E136" totalsRowShown="0">
  <autoFilter ref="D134:E136" xr:uid="{308E99BE-FE1F-47A4-B2CA-97217277C4E9}">
    <filterColumn colId="0" hiddenButton="1"/>
    <filterColumn colId="1" hiddenButton="1"/>
  </autoFilter>
  <tableColumns count="2">
    <tableColumn id="1" xr3:uid="{2BB1B2E3-14A2-4B4B-8AC7-BFCF2AEC8186}" name="Is in leaching zone">
      <calculatedColumnFormula array="1">Common_InputFunctions.Utility_DisplayArrayInTable(Common_SourceData.Common_SourceData_FracWET_Data(),Table_SourceData_FracWET[[#Headers],[Is in leaching zone]],0)</calculatedColumnFormula>
    </tableColumn>
    <tableColumn id="2" xr3:uid="{7BAC81D3-2FA4-48CD-AA6D-98F3F4483D9F}" name="FracWET" dataDxfId="14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0DCFD89-6F37-4C52-B7AE-682587A86BE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DA3242F-9261-454C-BE05-1A1DBAE15D17}" name="Production system j">
      <calculatedColumnFormula array="1">Common_InputFunctions.Utility_DisplayArrayInTable(Common_SourceData.Common_SourceData_EFN2O_Data(), Table_SourceData_Common_EFN2O[[#Headers],[Production system j]], 0)</calculatedColumnFormula>
    </tableColumn>
    <tableColumn id="2" xr3:uid="{4E0E90A1-D3B9-491D-9CAB-EDD6E2A651D3}" name="EFN2O">
      <calculatedColumnFormula array="1">Common_InputFunctions.Utility_DisplayArrayInTable(Common_SourceData.Common_SourceData_EFN2O_Data(), Table_SourceData_Common_EFN2O[[#Headers],[Production system j]], 0)</calculatedColumnFormula>
    </tableColumn>
    <tableColumn id="3" xr3:uid="{9C0FF11E-0A79-4061-840E-BFAAE8E2EC89}" name="Production system only">
      <calculatedColumnFormula array="1">Common_InputFunctions.Utility_DisplayArrayInTable(Common_SourceData.Common_SourceData_EFN2O_Data(), Table_SourceData_Common_EFN2O[[#Headers],[Production system j]], 0)</calculatedColumnFormula>
    </tableColumn>
    <tableColumn id="4" xr3:uid="{7FE81168-BE17-4192-B6F0-4BA91B7D3F39}" name="Irrigation method">
      <calculatedColumnFormula array="1">Common_InputFunctions.Utility_DisplayArrayInTable(Common_SourceData.Common_SourceData_EFN2O_Data(), Table_SourceData_Common_EFN2O[[#Headers],[Production system j]], 0)</calculatedColumnFormula>
    </tableColumn>
    <tableColumn id="5" xr3:uid="{17705BA9-1D87-4EB9-8B8D-884770CFCC1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05E099D-3A7B-4BAD-9307-1D36C16B387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E11076F-7D27-4B1D-96D0-80053D3232C3}" name="Irrigation type i">
      <calculatedColumnFormula array="1">Common_InputFunctions.Utility_DisplayArrayInTable(Common_SourceData.Common_SourceData_FracWETIrrigation_Data(), Table_SourceData_FracWETIrrigation[[#Headers],[Irrigation type i]], 0)</calculatedColumnFormula>
    </tableColumn>
    <tableColumn id="2" xr3:uid="{6EEC8443-F2D2-4FB4-AA46-4A414947EC9B}" name="FracWET" dataDxfId="14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C5568E8-38E5-433A-9B07-13A5F8E4E75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813436C-7EE5-4E1F-97C2-A0E6529BCA5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D04FE13-378F-40BD-BD36-742E3EDBE06B}" name="EFPRP" dataDxfId="14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AF656EA3-16E0-457D-98AA-199199580D4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64EF2EE-647D-464F-A08F-986959092BBB}" name="Month">
      <calculatedColumnFormula array="1">Common_InputFunctions.Utility_DisplayArrayInTable(Common_SourceData.Common_SourceData_MonthsToSeasons_Data(), Table_SourceData_Common_MonthToSeason[[#Headers],[Month]], 0)</calculatedColumnFormula>
    </tableColumn>
    <tableColumn id="2" xr3:uid="{A723599E-20B5-46C0-9F11-95470600201B}" name="Season" dataDxfId="14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D2D228D-9788-48D3-87DD-5A212B9B8C8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364A702-A0DE-4438-8C03-2D30A64BDD9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988310B9-2983-438A-AAF3-7F10A8077CF8}" name="MAT (ºC)" dataDxfId="1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81A8F93-B541-469F-BA03-308BBE8CF289}" name="Anaerobic lagoon" dataDxfId="1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0FC7541-7C4C-4EF2-B59B-833E8A07E009}" name="Digester / covered lagoons" dataDxfId="1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3E4F480B-6EB5-4207-B4D8-464CE8F99FC3}" name="Liquid systems" dataDxfId="1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30F3A9A-E774-4D5F-BC1E-09C4EC2851F1}" name="Daily spread"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ADA6434-04BF-45F4-A2E6-BF51334C2C17}" name="Composting (passive windrow)"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BA29F93-889E-4A0B-BA5C-2631CF86304B}" name="Solid storage"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EC56DA5-239B-44CC-8A5A-F718967FE6CC}" name="Pit storage"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AEA2FC1-5C4C-4D6C-95D4-745B7AAC7760}" name="Deep litter"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417B610-048B-47CA-B42F-DED9B93701AC}" name="Poultry manure with bedding"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3ACA9CB-42B0-46D2-9D55-4B29F68E118F}" name="Poultry manure without bedding"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851D4EE-56CC-4E6E-B051-16C576F1E2B6}" name="Direct processing"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69159F8-F4FE-4800-9050-CE38A9BC26FE}" name="Direct application"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2BC7D7A-1E8F-4653-8978-36756A1B414A}" name="Pasture range and paddock"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4812552-1C20-4D07-9171-138314D9CDD6}" name="MAT raw"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6C0B740-32CD-4C36-9411-9C2DBC4275E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C1ECF6C-A32F-4156-B336-FFEA0B9CD37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E734449-E965-4F87-AA78-B6A2B4A37F2C}" name="EFNi &amp; EFN2Oi" dataDxfId="12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2"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A163" zoomScale="70" zoomScaleNormal="70" workbookViewId="0">
      <selection activeCell="E181" sqref="E18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Z205" s="56"/>
    </row>
    <row r="206" spans="4:27" ht="20.100000000000001" customHeight="1" x14ac:dyDescent="0.25">
      <c r="D206" s="37" t="s">
        <v>379</v>
      </c>
      <c r="E206" s="37" t="s">
        <v>374</v>
      </c>
      <c r="F206" s="37" t="s">
        <v>370</v>
      </c>
      <c r="G206" s="37" t="s">
        <v>371</v>
      </c>
      <c r="H206" s="37" t="s">
        <v>372</v>
      </c>
      <c r="I206" s="37" t="s">
        <v>373</v>
      </c>
      <c r="Z206" s="56"/>
      <c r="AA206" s="56"/>
    </row>
    <row r="207" spans="4:27" ht="20.100000000000001" customHeight="1" x14ac:dyDescent="0.25">
      <c r="D207" s="33"/>
      <c r="E207" s="39" t="s">
        <v>130</v>
      </c>
      <c r="F207" s="128">
        <v>45566</v>
      </c>
      <c r="G207" s="37">
        <v>10</v>
      </c>
      <c r="H207" s="37">
        <v>500</v>
      </c>
      <c r="I207" s="52">
        <f t="shared" ref="I207:I216" si="2">G207*H207</f>
        <v>5000</v>
      </c>
      <c r="Z207" s="56"/>
      <c r="AA207" s="56"/>
    </row>
    <row r="208" spans="4:27" ht="20.100000000000001" customHeight="1" x14ac:dyDescent="0.25">
      <c r="D208" s="33"/>
      <c r="E208" s="39"/>
      <c r="F208" s="128"/>
      <c r="G208" s="37"/>
      <c r="H208" s="37"/>
      <c r="I208" s="52">
        <f t="shared" si="2"/>
        <v>0</v>
      </c>
      <c r="Z208" s="56"/>
      <c r="AA208" s="56"/>
    </row>
    <row r="209" spans="4:27" ht="20.100000000000001" customHeight="1" x14ac:dyDescent="0.25">
      <c r="D209" s="33"/>
      <c r="E209" s="39"/>
      <c r="F209" s="128"/>
      <c r="G209" s="37"/>
      <c r="H209" s="37"/>
      <c r="I209" s="52">
        <f t="shared" si="2"/>
        <v>0</v>
      </c>
      <c r="Z209" s="56"/>
      <c r="AA209" s="56"/>
    </row>
    <row r="210" spans="4:27" ht="20.100000000000001" customHeight="1" x14ac:dyDescent="0.25">
      <c r="D210" s="33"/>
      <c r="E210" s="39"/>
      <c r="F210" s="128"/>
      <c r="G210" s="37"/>
      <c r="H210" s="37"/>
      <c r="I210" s="52">
        <f t="shared" si="2"/>
        <v>0</v>
      </c>
      <c r="Z210" s="56"/>
      <c r="AA210" s="56"/>
    </row>
    <row r="211" spans="4:27" ht="20.100000000000001" customHeight="1" x14ac:dyDescent="0.25">
      <c r="D211" s="33"/>
      <c r="E211" s="39"/>
      <c r="F211" s="128"/>
      <c r="G211" s="37"/>
      <c r="H211" s="37"/>
      <c r="I211" s="52">
        <f t="shared" si="2"/>
        <v>0</v>
      </c>
      <c r="Z211" s="56"/>
      <c r="AA211" s="56"/>
    </row>
    <row r="212" spans="4:27" ht="20.100000000000001" customHeight="1" x14ac:dyDescent="0.25">
      <c r="D212" s="33"/>
      <c r="E212" s="39"/>
      <c r="F212" s="128"/>
      <c r="G212" s="37"/>
      <c r="H212" s="37"/>
      <c r="I212" s="52">
        <f t="shared" si="2"/>
        <v>0</v>
      </c>
      <c r="Z212" s="56"/>
      <c r="AA212" s="56"/>
    </row>
    <row r="213" spans="4:27" ht="20.100000000000001" customHeight="1" x14ac:dyDescent="0.25">
      <c r="D213" s="33"/>
      <c r="E213" s="39"/>
      <c r="F213" s="128"/>
      <c r="G213" s="37"/>
      <c r="H213" s="37"/>
      <c r="I213" s="52">
        <f t="shared" si="2"/>
        <v>0</v>
      </c>
      <c r="Z213" s="56"/>
      <c r="AA213" s="56"/>
    </row>
    <row r="214" spans="4:27" ht="20.100000000000001" customHeight="1" x14ac:dyDescent="0.25">
      <c r="D214" s="33"/>
      <c r="E214" s="39"/>
      <c r="F214" s="128"/>
      <c r="G214" s="37"/>
      <c r="H214" s="37"/>
      <c r="I214" s="52">
        <f t="shared" si="2"/>
        <v>0</v>
      </c>
      <c r="Z214" s="56"/>
      <c r="AA214" s="56"/>
    </row>
    <row r="215" spans="4:27" ht="20.100000000000001" customHeight="1" x14ac:dyDescent="0.25">
      <c r="D215" s="33"/>
      <c r="E215" s="39"/>
      <c r="F215" s="128"/>
      <c r="G215" s="37"/>
      <c r="H215" s="37"/>
      <c r="I215" s="52">
        <f t="shared" si="2"/>
        <v>0</v>
      </c>
      <c r="Z215" s="56"/>
      <c r="AA215" s="56"/>
    </row>
    <row r="216" spans="4:27" ht="20.100000000000001" customHeight="1" x14ac:dyDescent="0.25">
      <c r="D216" s="33"/>
      <c r="E216" s="39"/>
      <c r="F216" s="128"/>
      <c r="G216" s="37"/>
      <c r="H216" s="37"/>
      <c r="I216" s="52">
        <f t="shared" si="2"/>
        <v>0</v>
      </c>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7" zoomScale="70" zoomScaleNormal="70" workbookViewId="0">
      <selection activeCell="I54" sqref="I54"/>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Pasture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Pasture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X_Cell_PastureBeef_CalculatedMMSPastureRangeAndPaddock</f>
        <v>0.99621999999999999</v>
      </c>
      <c r="F165" s="2" t="s">
        <v>141</v>
      </c>
    </row>
    <row r="166" spans="4:34" ht="20.100000000000001" customHeight="1" x14ac:dyDescent="0.25">
      <c r="D166" s="52" t="str">
        <f>'Input - Pasture Beef'!$D$181</f>
        <v>Anaerobic lagoon</v>
      </c>
      <c r="E166" s="52">
        <f>X_Cell_PastureBeef_CalculatedMMSAnaerobicLagoon</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B191" zoomScaleNormal="100" workbookViewId="0">
      <selection activeCell="V261" sqref="V2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X_Cell_Site_State</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7" workbookViewId="0">
      <selection activeCell="S28" sqref="S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VEERG_4_2_1_3__2_TotalNitrogenExcretedToPastureRangeAndPaddock_Result_Method1</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VEERG_4_2_1_3__2_TotalNitrogenExcretedToPastureRangeAndPaddock_Result_Method2</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Pasture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7" workbookViewId="0">
      <selection activeCell="I18" sqref="I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VEERG_4_2_1_3__2_TotalNitrogenExcretedToPastureRangeAndPaddock_Result_Method1</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VEERG_4_2_1_3__2_TotalNitrogenExcretedToPastureRangeAndPaddock_Result_Method2</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Pasture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3AA2A-7E75-4C91-B499-0CDDBA7F4463}">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100</vt:i4>
      </vt:variant>
    </vt:vector>
  </HeadingPairs>
  <TitlesOfParts>
    <vt:vector size="113"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