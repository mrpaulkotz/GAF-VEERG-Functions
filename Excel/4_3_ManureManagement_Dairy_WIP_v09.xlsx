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9807143A-D8CB-46C4-9403-CD37BB054549}" xr6:coauthVersionLast="47" xr6:coauthVersionMax="47" xr10:uidLastSave="{00000000-0000-0000-0000-000000000000}"/>
  <bookViews>
    <workbookView xWindow="720" yWindow="0" windowWidth="37140" windowHeight="20475" firstSheet="3" activeTab="4"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4" r:id="rId15"/>
    <sheet name="Constants -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8" i="70" l="1"/>
  <c r="D117" i="70"/>
  <c r="D116" i="70"/>
  <c r="D113" i="70"/>
  <c r="D112" i="70"/>
  <c r="D111" i="70"/>
  <c r="D108" i="70"/>
  <c r="D107" i="70"/>
  <c r="D106" i="70"/>
  <c r="D94" i="70"/>
  <c r="D93" i="70"/>
  <c r="D92" i="70"/>
  <c r="D89" i="70"/>
  <c r="D88" i="70"/>
  <c r="D87" i="70"/>
  <c r="E83" i="70"/>
  <c r="E93" i="70"/>
  <c r="E88" i="70"/>
  <c r="D83" i="70"/>
  <c r="D84" i="70"/>
  <c r="D82" i="70"/>
  <c r="D81" i="70"/>
  <c r="D7" i="69" l="1" a="1"/>
  <c r="D7" i="69" s="1"/>
  <c r="F56" i="70" l="1"/>
  <c r="F55" i="70"/>
  <c r="E56" i="70"/>
  <c r="E55" i="70"/>
  <c r="D227" i="79" a="1"/>
  <c r="D227" i="79"/>
  <c r="D226" i="79" a="1"/>
  <c r="D226" i="79" s="1"/>
  <c r="D225" i="79" a="1"/>
  <c r="D225" i="79" s="1"/>
  <c r="D224" i="79" a="1"/>
  <c r="D224" i="79" s="1"/>
  <c r="D223" i="79" a="1"/>
  <c r="D223" i="79" s="1"/>
  <c r="D221" i="79" a="1"/>
  <c r="D221" i="79" s="1"/>
  <c r="D220" i="79" a="1"/>
  <c r="D220" i="79" s="1"/>
  <c r="D219" i="79" a="1"/>
  <c r="D219" i="79" s="1"/>
  <c r="D218" i="79" a="1"/>
  <c r="D218" i="79" s="1"/>
  <c r="D217" i="79" a="1"/>
  <c r="D217" i="79" s="1"/>
  <c r="D71" i="76" l="1" a="1"/>
  <c r="D71" i="76" s="1"/>
  <c r="S98" i="76"/>
  <c r="I98" i="76"/>
  <c r="S88" i="76"/>
  <c r="I93" i="76"/>
  <c r="I88" i="76"/>
  <c r="I80" i="76" a="1"/>
  <c r="I80" i="76" s="1"/>
  <c r="I78" i="76"/>
  <c r="G78" i="76" a="1"/>
  <c r="G78" i="76" s="1"/>
  <c r="D78" i="76" a="1"/>
  <c r="D78" i="76" s="1"/>
  <c r="T39" i="69"/>
  <c r="T40" i="69"/>
  <c r="R37" i="69" a="1"/>
  <c r="R37" i="69" s="1"/>
  <c r="O37" i="69" a="1"/>
  <c r="O37" i="69" s="1"/>
  <c r="I64" i="69" a="1"/>
  <c r="I64" i="69" s="1"/>
  <c r="I40" i="69"/>
  <c r="I39" i="69"/>
  <c r="I37" i="69"/>
  <c r="D45" i="69" s="1"/>
  <c r="I38" i="69" a="1"/>
  <c r="I38" i="69" s="1"/>
  <c r="G37" i="69" a="1"/>
  <c r="G37" i="69" s="1"/>
  <c r="D37" i="69" a="1"/>
  <c r="D37" i="69" s="1"/>
  <c r="E35" i="69" a="1"/>
  <c r="E35" i="69" s="1"/>
  <c r="E34" i="69" a="1"/>
  <c r="E34" i="69" s="1"/>
  <c r="D30" i="69" a="1"/>
  <c r="D30" i="69" s="1"/>
  <c r="D29" i="69" a="1"/>
  <c r="D29" i="69" s="1"/>
  <c r="D28" i="69" a="1"/>
  <c r="D28" i="69" s="1"/>
  <c r="I62" i="69"/>
  <c r="D74" i="69" s="1"/>
  <c r="F52"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8" i="70"/>
  <c r="H98" i="70"/>
  <c r="G98" i="70"/>
  <c r="F98" i="70"/>
  <c r="I97" i="70"/>
  <c r="H97" i="70"/>
  <c r="G97" i="70"/>
  <c r="F97" i="70"/>
  <c r="E98" i="70"/>
  <c r="E97" i="70"/>
  <c r="D96" i="70"/>
  <c r="D120" i="70"/>
  <c r="V106" i="81"/>
  <c r="V40" i="81"/>
  <c r="K40" i="81"/>
  <c r="V52" i="81"/>
  <c r="K52" i="81"/>
  <c r="V76" i="81"/>
  <c r="G127" i="81"/>
  <c r="F134" i="81"/>
  <c r="F133" i="81"/>
  <c r="F132" i="81"/>
  <c r="F131" i="81"/>
  <c r="F130" i="81"/>
  <c r="F129" i="81"/>
  <c r="F128" i="81"/>
  <c r="F127" i="81"/>
  <c r="G64" i="81"/>
  <c r="M120" i="70"/>
  <c r="F71" i="81" s="1"/>
  <c r="M115" i="70"/>
  <c r="F70" i="81" s="1"/>
  <c r="M110" i="70"/>
  <c r="F69" i="81" s="1"/>
  <c r="M105" i="70"/>
  <c r="F68" i="81" s="1"/>
  <c r="M96" i="70"/>
  <c r="F67" i="81" s="1"/>
  <c r="M91" i="70"/>
  <c r="F66" i="81" s="1"/>
  <c r="M86" i="70"/>
  <c r="F65" i="81" s="1"/>
  <c r="M81" i="70"/>
  <c r="F64" i="81" s="1"/>
  <c r="E31" i="69" a="1"/>
  <c r="I45" i="69" l="1"/>
  <c r="D50" i="69" a="1"/>
  <c r="D50" i="69" s="1"/>
  <c r="D88" i="76" s="1"/>
  <c r="O50" i="69" a="1"/>
  <c r="O50" i="69" s="1"/>
  <c r="N88" i="76" s="1"/>
  <c r="D93" i="76"/>
  <c r="E31" i="69"/>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G13" i="81" s="1"/>
  <c r="D13" i="81" a="1"/>
  <c r="D13" i="81" s="1"/>
  <c r="G97" i="81" a="1"/>
  <c r="G97" i="81" s="1"/>
  <c r="D97" i="81" a="1"/>
  <c r="D97" i="81" s="1"/>
  <c r="V29" i="95"/>
  <c r="V23" i="95"/>
  <c r="K23" i="95"/>
  <c r="I42" i="95" a="1"/>
  <c r="I42" i="95" s="1"/>
  <c r="J13" i="95" a="1"/>
  <c r="J13" i="95" s="1"/>
  <c r="G42" i="95" a="1"/>
  <c r="G42" i="95" s="1"/>
  <c r="D42" i="95" a="1"/>
  <c r="D42" i="95" s="1"/>
  <c r="H13" i="95" a="1"/>
  <c r="H13" i="95" s="1"/>
  <c r="D13" i="95" a="1"/>
  <c r="D13" i="95" s="1"/>
  <c r="G61" i="82" a="1"/>
  <c r="G61" i="82" s="1"/>
  <c r="D61" i="82" a="1"/>
  <c r="D61" i="82" s="1"/>
  <c r="V40" i="82"/>
  <c r="K40" i="82"/>
  <c r="F31" i="82"/>
  <c r="V19" i="82"/>
  <c r="K19" i="82"/>
  <c r="I14" i="82" a="1"/>
  <c r="I14" i="82" s="1"/>
  <c r="I13" i="82" a="1"/>
  <c r="I13" i="82" s="1"/>
  <c r="G13" i="82" a="1"/>
  <c r="G13"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R303" i="69"/>
  <c r="P290" i="69"/>
  <c r="O290" i="69"/>
  <c r="E290" i="69"/>
  <c r="D290" i="69"/>
  <c r="P237" i="69"/>
  <c r="O237" i="69"/>
  <c r="E237" i="69"/>
  <c r="D237" i="69"/>
  <c r="O228" i="69"/>
  <c r="D228" i="69"/>
  <c r="P151" i="69"/>
  <c r="O151" i="69"/>
  <c r="P162" i="69"/>
  <c r="O162" i="69"/>
  <c r="P173" i="69"/>
  <c r="O173" i="69"/>
  <c r="E173" i="69"/>
  <c r="D173" i="69"/>
  <c r="E162" i="69"/>
  <c r="E151" i="69"/>
  <c r="D162" i="69"/>
  <c r="D151" i="69"/>
  <c r="I19" i="96" l="1"/>
  <c r="K25" i="96"/>
  <c r="V25" i="96"/>
  <c r="I171" i="76"/>
  <c r="I121" i="76"/>
  <c r="S121" i="76"/>
  <c r="I198" i="76"/>
  <c r="I203" i="76"/>
  <c r="I208" i="76"/>
  <c r="S203" i="76"/>
  <c r="S208" i="76"/>
  <c r="I55" i="76"/>
  <c r="T220" i="69" l="1" a="1"/>
  <c r="T220" i="69" s="1"/>
  <c r="R218" i="69" a="1"/>
  <c r="R218" i="69" s="1"/>
  <c r="O218" i="69" a="1"/>
  <c r="O218" i="69" s="1"/>
  <c r="T223" i="69" l="1"/>
  <c r="P230" i="69" s="1" a="1"/>
  <c r="P230" i="69" s="1"/>
  <c r="O232" i="69"/>
  <c r="P232" i="69" s="1" a="1"/>
  <c r="P232" i="69" s="1"/>
  <c r="O231" i="69"/>
  <c r="O230" i="69"/>
  <c r="O229" i="69"/>
  <c r="P229" i="69" s="1" a="1"/>
  <c r="P229" i="69" s="1"/>
  <c r="D232" i="69"/>
  <c r="D231" i="69"/>
  <c r="D230" i="69"/>
  <c r="D229" i="69"/>
  <c r="J265" i="69"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P231" i="69" l="1" a="1"/>
  <c r="P231" i="69" s="1"/>
  <c r="G145" i="69"/>
  <c r="G162" i="69"/>
  <c r="R162" i="69"/>
  <c r="K151" i="69" l="1"/>
  <c r="V152" i="69"/>
  <c r="G14" i="69" l="1" a="1"/>
  <c r="G14" i="69" s="1"/>
  <c r="D14" i="69" a="1"/>
  <c r="D14" i="69" s="1"/>
  <c r="G9" i="79"/>
  <c r="G8" i="79"/>
  <c r="I222" i="69"/>
  <c r="J44" i="96"/>
  <c r="E30" i="15"/>
  <c r="E33" i="15"/>
  <c r="E32" i="15"/>
  <c r="E31" i="15"/>
  <c r="J45" i="98"/>
  <c r="I40" i="97"/>
  <c r="J45" i="96"/>
  <c r="I44" i="95"/>
  <c r="I63" i="82"/>
  <c r="I264" i="76"/>
  <c r="R50" i="98"/>
  <c r="G50" i="98"/>
  <c r="R48" i="97"/>
  <c r="G48" i="97"/>
  <c r="R56" i="96"/>
  <c r="G56" i="96"/>
  <c r="R55" i="95"/>
  <c r="G55" i="95"/>
  <c r="R71" i="82"/>
  <c r="G71" i="82"/>
  <c r="Q290" i="76"/>
  <c r="G290" i="76"/>
  <c r="G303" i="69"/>
  <c r="I223" i="69"/>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c r="F243" i="104" a="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c r="R241" i="104" a="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a="1"/>
  <c r="D227" i="104" s="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c r="D202" i="104" a="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a="1"/>
  <c r="D169" i="104" s="1"/>
  <c r="D168" i="104" a="1"/>
  <c r="D168" i="104" s="1"/>
  <c r="D167" i="104" a="1"/>
  <c r="D167" i="104" s="1"/>
  <c r="D164" i="104" a="1"/>
  <c r="D164" i="104" s="1"/>
  <c r="D163" i="104" a="1"/>
  <c r="D163" i="104" s="1"/>
  <c r="D162" i="104"/>
  <c r="D162" i="104" a="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c r="D140" i="104" a="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c r="D115" i="104" a="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8" i="104" a="1"/>
  <c r="D98"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c r="D19" i="104" a="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O47" i="81"/>
  <c r="D47" i="81"/>
  <c r="O46" i="81"/>
  <c r="D46" i="81"/>
  <c r="O45" i="81"/>
  <c r="D45" i="81"/>
  <c r="O44" i="81"/>
  <c r="D44" i="81"/>
  <c r="O43" i="81"/>
  <c r="D43" i="81"/>
  <c r="O42" i="81"/>
  <c r="D42" i="81"/>
  <c r="O41" i="81"/>
  <c r="D41" i="81"/>
  <c r="O40" i="81"/>
  <c r="D40" i="81"/>
  <c r="O59" i="81"/>
  <c r="O58" i="81"/>
  <c r="O57" i="81"/>
  <c r="O56" i="81"/>
  <c r="O55" i="81"/>
  <c r="O54" i="81"/>
  <c r="O53" i="81"/>
  <c r="O52" i="81"/>
  <c r="D59" i="81"/>
  <c r="D58" i="81"/>
  <c r="D57" i="81"/>
  <c r="D56" i="81"/>
  <c r="D55" i="81"/>
  <c r="D54" i="81"/>
  <c r="D53" i="81"/>
  <c r="D52" i="81"/>
  <c r="H54" i="104" l="1"/>
  <c r="H52" i="104"/>
  <c r="H49" i="104"/>
  <c r="H50" i="104"/>
  <c r="H53" i="104"/>
  <c r="H48" i="104"/>
  <c r="H51" i="104"/>
  <c r="O146" i="81"/>
  <c r="D146" i="81"/>
  <c r="O145" i="81"/>
  <c r="D145" i="81"/>
  <c r="O144" i="81"/>
  <c r="D144" i="81"/>
  <c r="O143" i="81"/>
  <c r="D143" i="81"/>
  <c r="O142" i="81"/>
  <c r="D142" i="81"/>
  <c r="O141" i="81"/>
  <c r="D141" i="81"/>
  <c r="O140" i="81"/>
  <c r="D140" i="81"/>
  <c r="O139" i="81"/>
  <c r="D139" i="81"/>
  <c r="D134" i="81"/>
  <c r="D133" i="81"/>
  <c r="D132" i="81"/>
  <c r="D131" i="81"/>
  <c r="D130" i="81"/>
  <c r="D129" i="81"/>
  <c r="D128" i="81"/>
  <c r="D127" i="81"/>
  <c r="A19" i="13" l="1"/>
  <c r="A18" i="13"/>
  <c r="A22" i="13"/>
  <c r="A17" i="13"/>
  <c r="A15" i="13"/>
  <c r="A16" i="13"/>
  <c r="A14" i="13"/>
  <c r="A13" i="13"/>
  <c r="A9" i="13"/>
  <c r="A12" i="13"/>
  <c r="D249" i="69"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O28" i="98"/>
  <c r="D28" i="98"/>
  <c r="I18" i="98"/>
  <c r="I17" i="98"/>
  <c r="I16" i="98"/>
  <c r="O23" i="98"/>
  <c r="D23" i="98"/>
  <c r="E11" i="98" a="1"/>
  <c r="E11" i="98" s="1"/>
  <c r="V23" i="98" s="1"/>
  <c r="E10" i="98" a="1"/>
  <c r="E10" i="98" s="1"/>
  <c r="D6" i="98" a="1"/>
  <c r="D6" i="98" s="1"/>
  <c r="D5" i="98" a="1"/>
  <c r="D5" i="98" s="1"/>
  <c r="Q50" i="97" a="1"/>
  <c r="Q50" i="97" s="1"/>
  <c r="O47" i="97" a="1"/>
  <c r="O47" i="97" s="1"/>
  <c r="F50" i="97" a="1"/>
  <c r="F50" i="97" s="1"/>
  <c r="J12" i="13" s="1"/>
  <c r="D47" i="97" a="1"/>
  <c r="D47" i="97" s="1"/>
  <c r="I42" i="97"/>
  <c r="I41" i="97"/>
  <c r="O38" i="97"/>
  <c r="E36" i="97" a="1"/>
  <c r="E36" i="97" s="1"/>
  <c r="F45" i="97" s="1"/>
  <c r="G12" i="13" s="1"/>
  <c r="E35" i="97" a="1"/>
  <c r="E35" i="97" s="1"/>
  <c r="D31" i="97" a="1"/>
  <c r="D31" i="97" s="1"/>
  <c r="D30" i="97" a="1"/>
  <c r="D30" i="97" s="1"/>
  <c r="O24" i="97"/>
  <c r="D24" i="97"/>
  <c r="D215" i="79" a="1"/>
  <c r="D215" i="79" s="1"/>
  <c r="I14" i="97" s="1"/>
  <c r="D214" i="79" a="1"/>
  <c r="D214" i="79" s="1"/>
  <c r="D213" i="79" a="1"/>
  <c r="D213" i="79" s="1"/>
  <c r="D212" i="79" a="1"/>
  <c r="D212" i="79" s="1"/>
  <c r="D211" i="79" a="1"/>
  <c r="D211" i="79" s="1"/>
  <c r="O19" i="97"/>
  <c r="D19" i="97"/>
  <c r="E11" i="97" a="1"/>
  <c r="E11" i="97" s="1"/>
  <c r="V19" i="97" s="1"/>
  <c r="E10" i="97" a="1"/>
  <c r="E10" i="97" s="1"/>
  <c r="D6" i="97" a="1"/>
  <c r="D6" i="97" s="1"/>
  <c r="D5" i="97" a="1"/>
  <c r="D5" i="97" s="1"/>
  <c r="Q58" i="96" a="1"/>
  <c r="Q58" i="96" s="1"/>
  <c r="O55" i="96" a="1"/>
  <c r="O55" i="96" s="1"/>
  <c r="F58" i="96" a="1"/>
  <c r="F58" i="96" s="1"/>
  <c r="J11" i="13" s="1"/>
  <c r="D55" i="96" a="1"/>
  <c r="D55" i="96" s="1"/>
  <c r="O51" i="96"/>
  <c r="D51" i="96"/>
  <c r="D35" i="96" a="1"/>
  <c r="D35" i="96" s="1"/>
  <c r="D36" i="96" a="1"/>
  <c r="D36" i="96" s="1"/>
  <c r="O31" i="96"/>
  <c r="D31" i="96"/>
  <c r="O25" i="96"/>
  <c r="D25" i="96"/>
  <c r="E11" i="96" a="1"/>
  <c r="E11" i="96" s="1"/>
  <c r="K31" i="96" s="1"/>
  <c r="E10" i="96" a="1"/>
  <c r="E10" i="96" s="1"/>
  <c r="D6" i="96" a="1"/>
  <c r="D6" i="96" s="1"/>
  <c r="D5" i="96" a="1"/>
  <c r="D5" i="96" s="1"/>
  <c r="E41" i="96" a="1"/>
  <c r="E41" i="96" s="1"/>
  <c r="Q53" i="96" s="1"/>
  <c r="E40" i="96" a="1"/>
  <c r="E40" i="96" s="1"/>
  <c r="O113" i="81"/>
  <c r="O112" i="81"/>
  <c r="O111" i="81"/>
  <c r="O110" i="81"/>
  <c r="O109" i="81"/>
  <c r="O108" i="81"/>
  <c r="O107" i="81"/>
  <c r="O106" i="81"/>
  <c r="D113" i="81"/>
  <c r="D112" i="81"/>
  <c r="D111" i="81"/>
  <c r="D110" i="81"/>
  <c r="D109" i="81"/>
  <c r="D108" i="81"/>
  <c r="D107" i="81"/>
  <c r="D106" i="81"/>
  <c r="E95" i="81" a="1"/>
  <c r="E95" i="81" s="1"/>
  <c r="E94" i="81" a="1"/>
  <c r="E94" i="81" s="1"/>
  <c r="D90" i="81" a="1"/>
  <c r="D90" i="81" s="1"/>
  <c r="D89" i="81" a="1"/>
  <c r="D89" i="81" s="1"/>
  <c r="O83" i="81"/>
  <c r="O82" i="81"/>
  <c r="O81" i="81"/>
  <c r="O80" i="81"/>
  <c r="O79" i="81"/>
  <c r="O78" i="81"/>
  <c r="O77" i="81"/>
  <c r="O76" i="81"/>
  <c r="D83" i="81"/>
  <c r="D82" i="81"/>
  <c r="D81" i="81"/>
  <c r="D80" i="81"/>
  <c r="D79" i="81"/>
  <c r="D78" i="81"/>
  <c r="D77" i="81"/>
  <c r="D76" i="81"/>
  <c r="D71" i="81"/>
  <c r="D70" i="81"/>
  <c r="D69" i="81"/>
  <c r="D68" i="81"/>
  <c r="D67" i="81"/>
  <c r="D66" i="81"/>
  <c r="D65" i="81"/>
  <c r="D64" i="81"/>
  <c r="E11" i="81" a="1"/>
  <c r="E11" i="81" s="1"/>
  <c r="E10" i="81" a="1"/>
  <c r="E10" i="81" s="1"/>
  <c r="D6" i="81" a="1"/>
  <c r="D6" i="81" s="1"/>
  <c r="D119" i="81" s="1"/>
  <c r="D5" i="81" a="1"/>
  <c r="D5" i="81" s="1"/>
  <c r="D209" i="79" a="1"/>
  <c r="D209" i="79" s="1"/>
  <c r="J15" i="95" s="1"/>
  <c r="D208" i="79" a="1"/>
  <c r="D208" i="79" s="1"/>
  <c r="D207" i="79" a="1"/>
  <c r="D207" i="79" s="1"/>
  <c r="D206" i="79" a="1"/>
  <c r="D206" i="79" s="1"/>
  <c r="D205" i="79" a="1"/>
  <c r="D205" i="79" s="1"/>
  <c r="D202" i="79" a="1"/>
  <c r="D202" i="79" s="1"/>
  <c r="I43" i="95" s="1"/>
  <c r="D201" i="79" a="1"/>
  <c r="D201" i="79" s="1"/>
  <c r="D200" i="79" a="1"/>
  <c r="D200" i="79" s="1"/>
  <c r="D199" i="79" a="1"/>
  <c r="D199" i="79" s="1"/>
  <c r="D198" i="79" a="1"/>
  <c r="D198" i="79" s="1"/>
  <c r="Q57" i="95" a="1"/>
  <c r="Q57" i="95" s="1"/>
  <c r="O54" i="95" a="1"/>
  <c r="O54" i="95" s="1"/>
  <c r="F57" i="95" a="1"/>
  <c r="F57" i="95" s="1"/>
  <c r="J10" i="13" s="1"/>
  <c r="D54" i="95" a="1"/>
  <c r="D54" i="95" s="1"/>
  <c r="O50" i="95"/>
  <c r="O49" i="95"/>
  <c r="D50" i="95"/>
  <c r="D49" i="95"/>
  <c r="E40" i="95" a="1"/>
  <c r="E40" i="95" s="1"/>
  <c r="K49" i="95" s="1"/>
  <c r="E39" i="95" a="1"/>
  <c r="E39" i="95" s="1"/>
  <c r="D35" i="95" a="1"/>
  <c r="D35" i="95" s="1"/>
  <c r="D34" i="95" a="1"/>
  <c r="D34" i="95" s="1"/>
  <c r="O30" i="95"/>
  <c r="O29" i="95"/>
  <c r="O24" i="95"/>
  <c r="O23" i="95"/>
  <c r="D30" i="95"/>
  <c r="D29" i="95"/>
  <c r="D24" i="95"/>
  <c r="D23" i="95"/>
  <c r="E55" i="82" a="1"/>
  <c r="E36" i="95" a="1"/>
  <c r="E7" i="98" a="1"/>
  <c r="E37" i="96" a="1"/>
  <c r="E7" i="97" a="1"/>
  <c r="E7" i="95" a="1"/>
  <c r="E7" i="81" a="1"/>
  <c r="E7" i="96" a="1"/>
  <c r="E91" i="81" a="1"/>
  <c r="E32" i="97" a="1"/>
  <c r="E37" i="98" a="1"/>
  <c r="I14" i="98" l="1"/>
  <c r="I39" i="97"/>
  <c r="F148" i="81"/>
  <c r="K142" i="81"/>
  <c r="V139" i="81"/>
  <c r="K144" i="81"/>
  <c r="K140" i="81"/>
  <c r="K146" i="81"/>
  <c r="K139" i="81"/>
  <c r="K141" i="81"/>
  <c r="K143" i="81"/>
  <c r="K145" i="81"/>
  <c r="Q148" i="81"/>
  <c r="Q47" i="98"/>
  <c r="P38" i="97"/>
  <c r="I15" i="98"/>
  <c r="K28" i="98"/>
  <c r="V28" i="98"/>
  <c r="J44"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36" i="95"/>
  <c r="E7" i="95"/>
  <c r="J18" i="95" l="1"/>
  <c r="J17" i="95"/>
  <c r="I64" i="82"/>
  <c r="I65" i="82"/>
  <c r="J16" i="95"/>
  <c r="J14" i="95" s="1"/>
  <c r="D6" i="95" a="1"/>
  <c r="D6" i="95" s="1"/>
  <c r="E11" i="95" a="1"/>
  <c r="E11"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O47" i="82"/>
  <c r="O46" i="82"/>
  <c r="O45" i="82"/>
  <c r="O44" i="82"/>
  <c r="O43" i="82"/>
  <c r="O42" i="82"/>
  <c r="O41" i="82"/>
  <c r="O40" i="82"/>
  <c r="D47" i="82"/>
  <c r="D46" i="82"/>
  <c r="D45" i="82"/>
  <c r="D44" i="82"/>
  <c r="D43" i="82"/>
  <c r="D42" i="82"/>
  <c r="D41" i="82"/>
  <c r="D40" i="82"/>
  <c r="O26" i="82"/>
  <c r="O25" i="82"/>
  <c r="O24" i="82"/>
  <c r="O23" i="82"/>
  <c r="O22" i="82"/>
  <c r="O21" i="82"/>
  <c r="O20" i="82"/>
  <c r="O19" i="82"/>
  <c r="D26" i="82"/>
  <c r="D25" i="82"/>
  <c r="D24" i="82"/>
  <c r="D23" i="82"/>
  <c r="D22" i="82"/>
  <c r="D21" i="82"/>
  <c r="D20" i="82"/>
  <c r="D19" i="82"/>
  <c r="D6" i="82" a="1"/>
  <c r="D6" i="82" s="1"/>
  <c r="E11" i="82" a="1"/>
  <c r="E11" i="82" s="1"/>
  <c r="E10" i="82" a="1"/>
  <c r="E10" i="82" s="1"/>
  <c r="D5" i="82" a="1"/>
  <c r="D5" i="82" s="1"/>
  <c r="P292" i="76" a="1"/>
  <c r="P292" i="76" s="1"/>
  <c r="N289" i="76" a="1"/>
  <c r="N289" i="76" s="1"/>
  <c r="N285" i="76"/>
  <c r="N284" i="76"/>
  <c r="N283" i="76"/>
  <c r="N282" i="76"/>
  <c r="N281" i="76"/>
  <c r="N280" i="76"/>
  <c r="N279" i="76"/>
  <c r="N278" i="76"/>
  <c r="F292" i="76" a="1"/>
  <c r="F292" i="76" s="1"/>
  <c r="D289" i="76" a="1"/>
  <c r="D289" i="76" s="1"/>
  <c r="D285" i="76"/>
  <c r="D284" i="76"/>
  <c r="D283" i="76"/>
  <c r="D282" i="76"/>
  <c r="D281" i="76"/>
  <c r="D280" i="76"/>
  <c r="D279" i="76"/>
  <c r="D278" i="76"/>
  <c r="E260" i="76" a="1"/>
  <c r="E260" i="76" s="1"/>
  <c r="P287" i="76" s="1"/>
  <c r="E259" i="76" a="1"/>
  <c r="E259" i="76" s="1"/>
  <c r="D255" i="76" a="1"/>
  <c r="D255" i="76" s="1"/>
  <c r="D254" i="76" a="1"/>
  <c r="D254" i="76" s="1"/>
  <c r="N250" i="76"/>
  <c r="N249" i="76"/>
  <c r="N248" i="76"/>
  <c r="N247" i="76"/>
  <c r="N246" i="76"/>
  <c r="N245" i="76"/>
  <c r="N244" i="76"/>
  <c r="N243" i="76"/>
  <c r="D250" i="76"/>
  <c r="D249" i="76"/>
  <c r="D248" i="76"/>
  <c r="D247" i="76"/>
  <c r="D246" i="76"/>
  <c r="D245" i="76"/>
  <c r="D244" i="76"/>
  <c r="D243" i="76"/>
  <c r="N238" i="76"/>
  <c r="N237" i="76"/>
  <c r="N236" i="76"/>
  <c r="N235" i="76"/>
  <c r="N234" i="76"/>
  <c r="N233" i="76"/>
  <c r="N232" i="76"/>
  <c r="N231" i="76"/>
  <c r="D238" i="76"/>
  <c r="D237" i="76"/>
  <c r="D236" i="76"/>
  <c r="D235" i="76"/>
  <c r="D234" i="76"/>
  <c r="D233" i="76"/>
  <c r="D232" i="76"/>
  <c r="D231" i="76"/>
  <c r="E223" i="76" a="1"/>
  <c r="E223" i="76" s="1"/>
  <c r="E222" i="76" a="1"/>
  <c r="E222" i="76" s="1"/>
  <c r="D218" i="76" a="1"/>
  <c r="D218" i="76" s="1"/>
  <c r="D217" i="76" a="1"/>
  <c r="D217" i="76" s="1"/>
  <c r="D182" i="76" a="1"/>
  <c r="D182" i="76" s="1"/>
  <c r="E187" i="76" a="1"/>
  <c r="E187" i="76" s="1"/>
  <c r="E186" i="76" a="1"/>
  <c r="E186" i="76" s="1"/>
  <c r="D181" i="76" a="1"/>
  <c r="D181" i="76" s="1"/>
  <c r="D180" i="76" a="1"/>
  <c r="D180" i="76" s="1"/>
  <c r="H166" i="76"/>
  <c r="G166" i="76"/>
  <c r="F166" i="76"/>
  <c r="E166" i="76"/>
  <c r="D166" i="76"/>
  <c r="H270" i="69"/>
  <c r="G270" i="69"/>
  <c r="F270" i="69"/>
  <c r="E270" i="69"/>
  <c r="D270" i="69"/>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R121" i="76"/>
  <c r="Q121" i="76"/>
  <c r="P121" i="76"/>
  <c r="O121" i="76"/>
  <c r="N121" i="76"/>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O298" i="69"/>
  <c r="O297" i="69"/>
  <c r="O296" i="69"/>
  <c r="O295" i="69"/>
  <c r="O294" i="69"/>
  <c r="O293" i="69"/>
  <c r="O292" i="69"/>
  <c r="O291" i="69"/>
  <c r="O245" i="69"/>
  <c r="O244" i="69"/>
  <c r="O243" i="69"/>
  <c r="O242" i="69"/>
  <c r="O241" i="69"/>
  <c r="O240" i="69"/>
  <c r="O239" i="69"/>
  <c r="O238" i="69"/>
  <c r="F305" i="69" a="1"/>
  <c r="F305" i="69" s="1"/>
  <c r="J7" i="13" s="1"/>
  <c r="D302" i="69" a="1"/>
  <c r="D302" i="69" s="1"/>
  <c r="D298" i="69"/>
  <c r="D297" i="69"/>
  <c r="D296" i="69"/>
  <c r="D295" i="69"/>
  <c r="D294" i="69"/>
  <c r="D293" i="69"/>
  <c r="D292" i="69"/>
  <c r="D291" i="69"/>
  <c r="E256" i="69" a="1"/>
  <c r="E256" i="69" s="1"/>
  <c r="Q300" i="69" s="1"/>
  <c r="E255" i="69" a="1"/>
  <c r="E255" i="69" s="1"/>
  <c r="D251" i="69" a="1"/>
  <c r="D251" i="69" s="1"/>
  <c r="D250" i="69" a="1"/>
  <c r="D250" i="69" s="1"/>
  <c r="D245" i="69"/>
  <c r="D244" i="69"/>
  <c r="D243" i="69"/>
  <c r="D242" i="69"/>
  <c r="D241" i="69"/>
  <c r="D240" i="69"/>
  <c r="D239" i="69"/>
  <c r="D238" i="69"/>
  <c r="D195" i="79" a="1"/>
  <c r="D195" i="79" s="1"/>
  <c r="D194" i="79" a="1"/>
  <c r="D194" i="79" s="1"/>
  <c r="D193" i="79" a="1"/>
  <c r="D193" i="79" s="1"/>
  <c r="D192" i="79" a="1"/>
  <c r="D192" i="79" s="1"/>
  <c r="D191" i="79" a="1"/>
  <c r="D191" i="79" s="1"/>
  <c r="E215" i="69" a="1"/>
  <c r="E215" i="69" s="1"/>
  <c r="D211" i="69" a="1"/>
  <c r="D211" i="69" s="1"/>
  <c r="E216" i="69" a="1"/>
  <c r="E216" i="69" s="1"/>
  <c r="D210" i="69" a="1"/>
  <c r="D210" i="69" s="1"/>
  <c r="O206" i="69"/>
  <c r="O205" i="69"/>
  <c r="O200" i="69"/>
  <c r="O199" i="69"/>
  <c r="D185" i="69" a="1"/>
  <c r="D185" i="69" s="1"/>
  <c r="D206" i="69"/>
  <c r="D205" i="69"/>
  <c r="D200" i="69"/>
  <c r="D199" i="69"/>
  <c r="E190" i="69" a="1"/>
  <c r="E190" i="69" s="1"/>
  <c r="V206" i="69" s="1"/>
  <c r="E189" i="69" a="1"/>
  <c r="E189" i="69" s="1"/>
  <c r="D184" i="69" a="1"/>
  <c r="D184" i="69" s="1"/>
  <c r="D183" i="69" a="1"/>
  <c r="D183" i="69" s="1"/>
  <c r="O179" i="69"/>
  <c r="O178" i="69"/>
  <c r="O177" i="69"/>
  <c r="O176" i="69"/>
  <c r="O175" i="69"/>
  <c r="O174" i="69"/>
  <c r="D138" i="69" a="1"/>
  <c r="D138" i="69" s="1"/>
  <c r="D179" i="69"/>
  <c r="D178" i="69"/>
  <c r="D177" i="69"/>
  <c r="D176" i="69"/>
  <c r="D175" i="69"/>
  <c r="D174" i="69"/>
  <c r="Q165" i="69"/>
  <c r="Q164" i="69"/>
  <c r="Q163" i="69"/>
  <c r="O168" i="69"/>
  <c r="O167" i="69"/>
  <c r="O166" i="69"/>
  <c r="O165" i="69"/>
  <c r="O164" i="69"/>
  <c r="O163" i="69"/>
  <c r="O157" i="69"/>
  <c r="O156" i="69"/>
  <c r="O155" i="69"/>
  <c r="O154" i="69"/>
  <c r="O153" i="69"/>
  <c r="O152" i="69"/>
  <c r="F165" i="69"/>
  <c r="F164" i="69"/>
  <c r="F163" i="69"/>
  <c r="D168" i="69"/>
  <c r="D167" i="69"/>
  <c r="D166" i="69"/>
  <c r="D165" i="69"/>
  <c r="D164" i="69"/>
  <c r="D163" i="69"/>
  <c r="D157" i="69"/>
  <c r="D156" i="69"/>
  <c r="D155" i="69"/>
  <c r="D154" i="69"/>
  <c r="D153" i="69"/>
  <c r="D152" i="69"/>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S19" i="69"/>
  <c r="S24" i="69" s="1" a="1"/>
  <c r="S24" i="69" s="1"/>
  <c r="R19" i="69"/>
  <c r="R24" i="69" s="1" a="1"/>
  <c r="R24" i="69" s="1"/>
  <c r="Q19" i="69"/>
  <c r="Q24" i="69" s="1" a="1"/>
  <c r="Q24" i="69" s="1"/>
  <c r="P19" i="69"/>
  <c r="P24" i="69" s="1" a="1"/>
  <c r="P24" i="69" s="1"/>
  <c r="O19" i="69"/>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E37" i="70" s="1"/>
  <c r="D19" i="69" s="1"/>
  <c r="D159" i="79" a="1"/>
  <c r="D159" i="79" s="1"/>
  <c r="D158" i="79" a="1"/>
  <c r="D158" i="79" s="1"/>
  <c r="D157" i="79" a="1"/>
  <c r="D157" i="79" s="1"/>
  <c r="D156" i="79" a="1"/>
  <c r="D156" i="79" s="1"/>
  <c r="D150" i="79" a="1"/>
  <c r="D150" i="79" s="1"/>
  <c r="D151" i="79" a="1"/>
  <c r="D151" i="79" s="1"/>
  <c r="D152" i="79" a="1"/>
  <c r="D152" i="79" s="1"/>
  <c r="D153" i="79" a="1"/>
  <c r="D153" i="79" s="1"/>
  <c r="F38" i="70" s="1"/>
  <c r="E121" i="76" s="1"/>
  <c r="D149" i="79" a="1"/>
  <c r="D149" i="79" s="1"/>
  <c r="D119" i="69" a="1"/>
  <c r="D119" i="69" s="1"/>
  <c r="E123" i="69" a="1"/>
  <c r="E123" i="69" s="1"/>
  <c r="E124" i="69" a="1"/>
  <c r="E124" i="69" s="1"/>
  <c r="I133" i="69" s="1"/>
  <c r="D118" i="69" a="1"/>
  <c r="D118" i="69" s="1"/>
  <c r="E118" i="70"/>
  <c r="Q168" i="69" s="1"/>
  <c r="E117" i="70"/>
  <c r="F168" i="69" s="1"/>
  <c r="E113" i="70"/>
  <c r="Q167" i="69" s="1"/>
  <c r="E112" i="70"/>
  <c r="F167" i="69" s="1"/>
  <c r="E108" i="70"/>
  <c r="E107" i="70"/>
  <c r="D77" i="70"/>
  <c r="D101" i="70"/>
  <c r="E153" i="76" a="1"/>
  <c r="E120" i="69" a="1"/>
  <c r="E212" i="69" a="1"/>
  <c r="E252" i="69" a="1"/>
  <c r="E256" i="76" a="1"/>
  <c r="E8" i="69" a="1"/>
  <c r="E183" i="76" a="1"/>
  <c r="E7" i="82" a="1"/>
  <c r="E186" i="69" a="1"/>
  <c r="E139" i="69" a="1"/>
  <c r="E56" i="69" a="1"/>
  <c r="E7" i="76" a="1"/>
  <c r="E109" i="76" a="1"/>
  <c r="E219" i="76" a="1"/>
  <c r="E85" i="69" a="1"/>
  <c r="E132" i="76" a="1"/>
  <c r="E72" i="76" a="1"/>
  <c r="E35" i="76" a="1"/>
  <c r="D24" i="69" l="1" a="1"/>
  <c r="D24" i="69" s="1"/>
  <c r="D79" i="69" s="1" a="1"/>
  <c r="D79" i="69" s="1"/>
  <c r="D60" i="76" s="1"/>
  <c r="O24" i="69" a="1"/>
  <c r="O24" i="69" s="1"/>
  <c r="O79" i="69" s="1" a="1"/>
  <c r="O79" i="69" s="1"/>
  <c r="F166" i="69"/>
  <c r="F121" i="70"/>
  <c r="E121" i="70"/>
  <c r="I121" i="70"/>
  <c r="H121" i="70"/>
  <c r="G121" i="70"/>
  <c r="Q166" i="69"/>
  <c r="I122" i="70"/>
  <c r="H122" i="70"/>
  <c r="G122" i="70"/>
  <c r="F122" i="70"/>
  <c r="E122" i="70"/>
  <c r="I62" i="82"/>
  <c r="S146" i="76"/>
  <c r="F49" i="82"/>
  <c r="Q49" i="82"/>
  <c r="O61" i="82"/>
  <c r="P61" i="82"/>
  <c r="I221" i="69"/>
  <c r="S29" i="76"/>
  <c r="S213" i="76"/>
  <c r="I213" i="76"/>
  <c r="I176" i="76"/>
  <c r="K29" i="95"/>
  <c r="S103" i="76"/>
  <c r="I126" i="76"/>
  <c r="F287" i="76"/>
  <c r="G8" i="13" s="1"/>
  <c r="T114" i="69"/>
  <c r="S50" i="76" s="1"/>
  <c r="T133" i="69"/>
  <c r="I65" i="76"/>
  <c r="F37" i="70"/>
  <c r="E19" i="69" s="1"/>
  <c r="V205" i="69"/>
  <c r="K206" i="69"/>
  <c r="K205" i="69"/>
  <c r="G37" i="70"/>
  <c r="F19" i="69" s="1"/>
  <c r="H37" i="70"/>
  <c r="G19" i="69" s="1"/>
  <c r="G38" i="70"/>
  <c r="F121" i="76" s="1"/>
  <c r="I38" i="70"/>
  <c r="H121" i="76" s="1"/>
  <c r="H38" i="70"/>
  <c r="G121" i="76" s="1"/>
  <c r="E38" i="70"/>
  <c r="D121" i="76" s="1"/>
  <c r="I37" i="70"/>
  <c r="H19" i="69" s="1"/>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R79" i="69" a="1"/>
  <c r="R79" i="69" s="1"/>
  <c r="P79" i="69" a="1"/>
  <c r="P79" i="69" s="1"/>
  <c r="S79" i="69" a="1"/>
  <c r="S79" i="69" s="1"/>
  <c r="I79" i="69"/>
  <c r="I60" i="76" s="1"/>
  <c r="Q79" i="69" a="1"/>
  <c r="Q79" i="69"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F36" i="70" a="1"/>
  <c r="F36" i="70" s="1"/>
  <c r="I41" i="70" a="1"/>
  <c r="I41" i="70" s="1"/>
  <c r="E36" i="70" a="1"/>
  <c r="E36" i="70" s="1"/>
  <c r="H41" i="70" a="1"/>
  <c r="H41" i="70" s="1"/>
  <c r="G41" i="70" a="1"/>
  <c r="G41" i="70" s="1"/>
  <c r="F41" i="70" a="1"/>
  <c r="F41" i="70" s="1"/>
  <c r="E41" i="70" a="1"/>
  <c r="E41" i="70" s="1"/>
  <c r="I36" i="70" a="1"/>
  <c r="I36" i="70" s="1"/>
  <c r="H36" i="70" a="1"/>
  <c r="H36" i="70" s="1"/>
  <c r="G36" i="70" a="1"/>
  <c r="G36"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G208" i="76" l="1"/>
  <c r="Q208" i="76"/>
  <c r="G285" i="69"/>
  <c r="P203" i="76"/>
  <c r="Q275" i="69"/>
  <c r="G29" i="70"/>
  <c r="H275" i="69"/>
  <c r="H203" i="76"/>
  <c r="F208" i="76"/>
  <c r="F285" i="69"/>
  <c r="F275" i="69"/>
  <c r="F203" i="76"/>
  <c r="E171" i="76"/>
  <c r="E275" i="69"/>
  <c r="R203" i="76"/>
  <c r="S275" i="69"/>
  <c r="I29" i="70"/>
  <c r="D275" i="69"/>
  <c r="D171" i="76"/>
  <c r="D208" i="76"/>
  <c r="N208" i="76"/>
  <c r="D285" i="69"/>
  <c r="P275" i="69"/>
  <c r="F29" i="70"/>
  <c r="P285" i="69" s="1"/>
  <c r="O171" i="76"/>
  <c r="H208" i="76"/>
  <c r="H285" i="69"/>
  <c r="G275" i="69"/>
  <c r="G171" i="76"/>
  <c r="E208" i="76"/>
  <c r="E285" i="69"/>
  <c r="O208" i="76"/>
  <c r="Q171" i="76"/>
  <c r="R275" i="69"/>
  <c r="H29" i="70"/>
  <c r="R285" i="69" s="1"/>
  <c r="N171" i="76"/>
  <c r="O275" i="69"/>
  <c r="E29" i="70"/>
  <c r="O285" i="69" s="1"/>
  <c r="P208" i="76" l="1"/>
  <c r="Q285" i="69"/>
  <c r="S285" i="69"/>
  <c r="R208" i="76"/>
  <c r="D71" i="79" l="1"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E228" i="69" l="1" a="1"/>
  <c r="E228" i="69" s="1"/>
  <c r="P228" i="69" a="1"/>
  <c r="P228" i="69" s="1"/>
  <c r="F35" i="8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72" i="70" a="1"/>
  <c r="G72" i="70" s="1"/>
  <c r="H67" i="70" a="1"/>
  <c r="H67" i="70" s="1"/>
  <c r="E72" i="70" a="1"/>
  <c r="E72" i="70" s="1"/>
  <c r="I71" i="70" a="1"/>
  <c r="I71" i="70" s="1"/>
  <c r="I65" i="70" a="1"/>
  <c r="I65" i="70" s="1"/>
  <c r="J151" i="69" s="1"/>
  <c r="J173" i="69" s="1" a="1"/>
  <c r="J173" i="69" s="1"/>
  <c r="G70" i="70" a="1"/>
  <c r="G70" i="70" s="1"/>
  <c r="H72" i="70" a="1"/>
  <c r="H72" i="70" s="1"/>
  <c r="F72" i="70" a="1"/>
  <c r="F72" i="70" s="1"/>
  <c r="G67" i="70" a="1"/>
  <c r="G67" i="70" s="1"/>
  <c r="F67" i="70" a="1"/>
  <c r="F67" i="70" s="1"/>
  <c r="E67" i="70" a="1"/>
  <c r="E67" i="70" s="1"/>
  <c r="E65" i="70" a="1"/>
  <c r="E65" i="70" s="1"/>
  <c r="H71" i="70" a="1"/>
  <c r="H71" i="70" s="1"/>
  <c r="I66" i="70" a="1"/>
  <c r="I66" i="70" s="1"/>
  <c r="J199" i="69" s="1"/>
  <c r="E71" i="70" a="1"/>
  <c r="E71" i="70" s="1"/>
  <c r="E66" i="70" a="1"/>
  <c r="E66" i="70" s="1"/>
  <c r="I67" i="70" a="1"/>
  <c r="I67" i="70" s="1"/>
  <c r="G71" i="70" a="1"/>
  <c r="G71" i="70" s="1"/>
  <c r="H66" i="70" a="1"/>
  <c r="H66" i="70" s="1"/>
  <c r="I199" i="69" s="1"/>
  <c r="F66" i="70" a="1"/>
  <c r="F66" i="70" s="1"/>
  <c r="G199" i="69" s="1"/>
  <c r="H70" i="70" a="1"/>
  <c r="H70" i="70" s="1"/>
  <c r="F71" i="70" a="1"/>
  <c r="F71" i="70" s="1"/>
  <c r="G66" i="70" a="1"/>
  <c r="G66" i="70" s="1"/>
  <c r="H199" i="69" s="1"/>
  <c r="I70" i="70" a="1"/>
  <c r="I70" i="70" s="1"/>
  <c r="H65" i="70" a="1"/>
  <c r="H65" i="70" s="1"/>
  <c r="I151" i="69" s="1"/>
  <c r="I173" i="69" s="1" a="1"/>
  <c r="I173" i="69" s="1"/>
  <c r="F70" i="70" a="1"/>
  <c r="F70" i="70" s="1"/>
  <c r="G65" i="70" a="1"/>
  <c r="G65" i="70" s="1"/>
  <c r="H151" i="69" s="1"/>
  <c r="H173" i="69" s="1" a="1"/>
  <c r="H173" i="69" s="1"/>
  <c r="I72" i="70" a="1"/>
  <c r="I72" i="70" s="1"/>
  <c r="E70" i="70" a="1"/>
  <c r="E70" i="70" s="1"/>
  <c r="F65" i="70" a="1"/>
  <c r="F65" i="70" s="1"/>
  <c r="G151" i="69" s="1"/>
  <c r="G173" i="69" s="1" a="1"/>
  <c r="G173" i="69" s="1"/>
  <c r="F199" i="69" l="1"/>
  <c r="F152" i="69"/>
  <c r="Q25" i="96"/>
  <c r="Q151" i="69"/>
  <c r="Q173" i="69" s="1" a="1"/>
  <c r="Q173" i="69" s="1"/>
  <c r="S25" i="96"/>
  <c r="S151" i="69"/>
  <c r="S173" i="69" s="1" a="1"/>
  <c r="S173" i="69" s="1"/>
  <c r="F25" i="96"/>
  <c r="F151" i="69"/>
  <c r="F173" i="69" s="1" a="1"/>
  <c r="F173" i="69" s="1"/>
  <c r="T25" i="96"/>
  <c r="T151" i="69"/>
  <c r="T173" i="69" s="1" a="1"/>
  <c r="T173" i="69" s="1"/>
  <c r="R25" i="96"/>
  <c r="R151" i="69"/>
  <c r="R173" i="69" s="1" a="1"/>
  <c r="R173" i="69" s="1"/>
  <c r="U25" i="96"/>
  <c r="U151" i="69"/>
  <c r="U173" i="69" s="1" a="1"/>
  <c r="U173" i="69" s="1"/>
  <c r="E22" i="81"/>
  <c r="J25" i="96"/>
  <c r="G25" i="96"/>
  <c r="H25" i="96"/>
  <c r="I25" i="96"/>
  <c r="R231" i="76" a="1"/>
  <c r="R231" i="76" s="1"/>
  <c r="R233" i="76" a="1"/>
  <c r="R233" i="76" s="1"/>
  <c r="R234" i="76" a="1"/>
  <c r="R234" i="76" s="1"/>
  <c r="R232" i="76" a="1"/>
  <c r="R232" i="76" s="1"/>
  <c r="T233" i="76" a="1"/>
  <c r="T233" i="76" s="1"/>
  <c r="T231" i="76" a="1"/>
  <c r="T231" i="76" s="1"/>
  <c r="T232" i="76" a="1"/>
  <c r="T232" i="76" s="1"/>
  <c r="T234" i="76" a="1"/>
  <c r="T234" i="76" s="1"/>
  <c r="R104" i="69"/>
  <c r="Q98" i="76"/>
  <c r="J236" i="76" a="1"/>
  <c r="J236" i="76" s="1"/>
  <c r="J237" i="76" a="1"/>
  <c r="J237" i="76" s="1"/>
  <c r="J238" i="76" a="1"/>
  <c r="J238" i="76" s="1"/>
  <c r="J235" i="76" a="1"/>
  <c r="J235" i="76" s="1"/>
  <c r="P238" i="76" a="1"/>
  <c r="P238" i="76" s="1"/>
  <c r="P236" i="76" a="1"/>
  <c r="P236" i="76" s="1"/>
  <c r="P235" i="76" a="1"/>
  <c r="P235" i="76" s="1"/>
  <c r="P237" i="76" a="1"/>
  <c r="P237" i="76" s="1"/>
  <c r="G104" i="69"/>
  <c r="G98" i="76"/>
  <c r="F232" i="76" a="1"/>
  <c r="F232" i="76" s="1"/>
  <c r="F234" i="76" a="1"/>
  <c r="F234" i="76" s="1"/>
  <c r="F233" i="76" a="1"/>
  <c r="F233" i="76" s="1"/>
  <c r="F231" i="76" a="1"/>
  <c r="F231" i="76" s="1"/>
  <c r="I237" i="76" a="1"/>
  <c r="I237" i="76" s="1"/>
  <c r="I236" i="76" a="1"/>
  <c r="I236" i="76" s="1"/>
  <c r="I238" i="76" a="1"/>
  <c r="I238" i="76" s="1"/>
  <c r="I235" i="76" a="1"/>
  <c r="I235" i="76" s="1"/>
  <c r="F104" i="69"/>
  <c r="F98" i="76"/>
  <c r="P234" i="76" a="1"/>
  <c r="P234" i="76" s="1"/>
  <c r="P231" i="76" a="1"/>
  <c r="P231" i="76" s="1"/>
  <c r="P233" i="76" a="1"/>
  <c r="P233" i="76" s="1"/>
  <c r="P232" i="76" a="1"/>
  <c r="P232" i="76" s="1"/>
  <c r="R236" i="76" a="1"/>
  <c r="R236" i="76" s="1"/>
  <c r="R238" i="76" a="1"/>
  <c r="R238" i="76" s="1"/>
  <c r="R235" i="76" a="1"/>
  <c r="R235" i="76" s="1"/>
  <c r="R237" i="76" a="1"/>
  <c r="R237" i="76" s="1"/>
  <c r="Q104" i="69"/>
  <c r="P98" i="76"/>
  <c r="T238" i="76" a="1"/>
  <c r="T238" i="76" s="1"/>
  <c r="T235" i="76" a="1"/>
  <c r="T235" i="76" s="1"/>
  <c r="T237" i="76" a="1"/>
  <c r="T237" i="76" s="1"/>
  <c r="T236" i="76" a="1"/>
  <c r="T236" i="76" s="1"/>
  <c r="J234" i="76" a="1"/>
  <c r="J234" i="76" s="1"/>
  <c r="J231" i="76" a="1"/>
  <c r="J231" i="76" s="1"/>
  <c r="J233" i="76" a="1"/>
  <c r="J233" i="76" s="1"/>
  <c r="J232" i="76" a="1"/>
  <c r="J232" i="76" s="1"/>
  <c r="E104" i="69"/>
  <c r="E98" i="76"/>
  <c r="P99" i="69"/>
  <c r="O19" i="76"/>
  <c r="O29" i="76" s="1" a="1"/>
  <c r="O29" i="76" s="1"/>
  <c r="S231" i="76" a="1"/>
  <c r="S231" i="76" s="1"/>
  <c r="S233" i="76" a="1"/>
  <c r="S233" i="76" s="1"/>
  <c r="S232" i="76" a="1"/>
  <c r="S232" i="76" s="1"/>
  <c r="S234" i="76" a="1"/>
  <c r="S234" i="76" s="1"/>
  <c r="P104" i="69"/>
  <c r="O98" i="76"/>
  <c r="E99" i="69"/>
  <c r="E19" i="76"/>
  <c r="E29" i="76" s="1" a="1"/>
  <c r="E29" i="76" s="1"/>
  <c r="O104" i="69"/>
  <c r="N98" i="76"/>
  <c r="Q99" i="69"/>
  <c r="P19" i="76"/>
  <c r="P29" i="76" s="1" a="1"/>
  <c r="P29" i="76" s="1"/>
  <c r="F235" i="76" a="1"/>
  <c r="F235" i="76" s="1"/>
  <c r="F237" i="76" a="1"/>
  <c r="F237" i="76" s="1"/>
  <c r="F236" i="76" a="1"/>
  <c r="F236" i="76" s="1"/>
  <c r="F238" i="76" a="1"/>
  <c r="F238" i="76" s="1"/>
  <c r="D104" i="69"/>
  <c r="D98" i="76"/>
  <c r="F99" i="69"/>
  <c r="F19" i="76"/>
  <c r="F29" i="76" s="1" a="1"/>
  <c r="F29" i="76" s="1"/>
  <c r="G235" i="76" a="1"/>
  <c r="G235" i="76" s="1"/>
  <c r="G237" i="76" a="1"/>
  <c r="G237" i="76" s="1"/>
  <c r="G238" i="76" a="1"/>
  <c r="G238" i="76" s="1"/>
  <c r="G236" i="76" a="1"/>
  <c r="G236" i="76" s="1"/>
  <c r="H99" i="69"/>
  <c r="H19" i="76"/>
  <c r="H29" i="76" s="1" a="1"/>
  <c r="H29" i="76" s="1"/>
  <c r="O99" i="69"/>
  <c r="N19" i="76"/>
  <c r="N29" i="76" s="1" a="1"/>
  <c r="N29" i="76" s="1"/>
  <c r="H232" i="76" a="1"/>
  <c r="H232" i="76" s="1"/>
  <c r="H234" i="76" a="1"/>
  <c r="H234" i="76" s="1"/>
  <c r="H231" i="76" a="1"/>
  <c r="H231" i="76" s="1"/>
  <c r="H233" i="76" a="1"/>
  <c r="H233" i="76" s="1"/>
  <c r="H237" i="76" a="1"/>
  <c r="H237" i="76" s="1"/>
  <c r="H236" i="76" a="1"/>
  <c r="H236" i="76" s="1"/>
  <c r="H235" i="76" a="1"/>
  <c r="H235" i="76" s="1"/>
  <c r="H238" i="76" a="1"/>
  <c r="H238" i="76" s="1"/>
  <c r="S99" i="69"/>
  <c r="R19" i="76"/>
  <c r="R29" i="76" s="1" a="1"/>
  <c r="R29" i="76" s="1"/>
  <c r="D99" i="69"/>
  <c r="D19" i="76"/>
  <c r="D29" i="76" s="1" a="1"/>
  <c r="D29" i="76" s="1"/>
  <c r="Q231" i="76" a="1"/>
  <c r="Q231" i="76" s="1"/>
  <c r="Q233" i="76" a="1"/>
  <c r="Q233" i="76" s="1"/>
  <c r="Q234" i="76" a="1"/>
  <c r="Q234" i="76" s="1"/>
  <c r="Q232" i="76" a="1"/>
  <c r="Q232" i="76" s="1"/>
  <c r="Q236" i="76" a="1"/>
  <c r="Q236" i="76" s="1"/>
  <c r="Q238" i="76" a="1"/>
  <c r="Q238" i="76" s="1"/>
  <c r="Q235" i="76" a="1"/>
  <c r="Q235" i="76" s="1"/>
  <c r="Q237" i="76" a="1"/>
  <c r="Q237" i="76" s="1"/>
  <c r="G99" i="69"/>
  <c r="G19" i="76"/>
  <c r="G29" i="76" s="1" a="1"/>
  <c r="G29" i="76" s="1"/>
  <c r="S236" i="76" a="1"/>
  <c r="S236" i="76" s="1"/>
  <c r="S238" i="76" a="1"/>
  <c r="S238" i="76" s="1"/>
  <c r="S235" i="76" a="1"/>
  <c r="S235" i="76" s="1"/>
  <c r="S237" i="76" a="1"/>
  <c r="S237" i="76" s="1"/>
  <c r="R99" i="69"/>
  <c r="R114" i="69" s="1" a="1"/>
  <c r="R114" i="69" s="1"/>
  <c r="Q19" i="76"/>
  <c r="Q29" i="76" s="1" a="1"/>
  <c r="Q29" i="76" s="1"/>
  <c r="G232" i="76" a="1"/>
  <c r="G232" i="76" s="1"/>
  <c r="G234" i="76" a="1"/>
  <c r="G234" i="76" s="1"/>
  <c r="G231" i="76" a="1"/>
  <c r="G231" i="76" s="1"/>
  <c r="G233" i="76" a="1"/>
  <c r="G233" i="76" s="1"/>
  <c r="H104" i="69"/>
  <c r="H98" i="76"/>
  <c r="I232" i="76" a="1"/>
  <c r="I232" i="76" s="1"/>
  <c r="I234" i="76" a="1"/>
  <c r="I234" i="76" s="1"/>
  <c r="I231" i="76" a="1"/>
  <c r="I231" i="76" s="1"/>
  <c r="I233" i="76" a="1"/>
  <c r="I233" i="76" s="1"/>
  <c r="S104" i="69"/>
  <c r="R98" i="76"/>
  <c r="J155" i="69"/>
  <c r="J177" i="69" s="1" a="1"/>
  <c r="J177" i="69" s="1"/>
  <c r="J157" i="69"/>
  <c r="J179" i="69" s="1" a="1"/>
  <c r="J179" i="69" s="1"/>
  <c r="J156" i="69"/>
  <c r="J178" i="69" s="1" a="1"/>
  <c r="J178" i="69" s="1"/>
  <c r="J200" i="69"/>
  <c r="Q155" i="69"/>
  <c r="Q177" i="69" s="1" a="1"/>
  <c r="Q177" i="69" s="1"/>
  <c r="Q156" i="69"/>
  <c r="Q178" i="69" s="1" a="1"/>
  <c r="Q178" i="69" s="1"/>
  <c r="Q157" i="69"/>
  <c r="Q179" i="69" s="1" a="1"/>
  <c r="Q179" i="69" s="1"/>
  <c r="Q200" i="69"/>
  <c r="S157" i="69"/>
  <c r="S179" i="69" s="1" a="1"/>
  <c r="S179" i="69" s="1"/>
  <c r="S156" i="69"/>
  <c r="S178" i="69" s="1" a="1"/>
  <c r="S178" i="69" s="1"/>
  <c r="S155" i="69"/>
  <c r="S177" i="69" s="1" a="1"/>
  <c r="S177" i="69" s="1"/>
  <c r="S200" i="69"/>
  <c r="T199" i="69"/>
  <c r="T154" i="69"/>
  <c r="T176" i="69" s="1" a="1"/>
  <c r="T176" i="69" s="1"/>
  <c r="T153" i="69"/>
  <c r="T175" i="69" s="1" a="1"/>
  <c r="T175" i="69" s="1"/>
  <c r="T152" i="69"/>
  <c r="T174" i="69" s="1" a="1"/>
  <c r="T174" i="69" s="1"/>
  <c r="F154" i="69"/>
  <c r="F176" i="69" s="1" a="1"/>
  <c r="F176" i="69" s="1"/>
  <c r="F153" i="69"/>
  <c r="F175" i="69" s="1" a="1"/>
  <c r="F175" i="69" s="1"/>
  <c r="F174" i="69" a="1"/>
  <c r="F174" i="69" s="1"/>
  <c r="U157" i="69"/>
  <c r="U179" i="69" s="1" a="1"/>
  <c r="U179" i="69" s="1"/>
  <c r="U156" i="69"/>
  <c r="U178" i="69" s="1" a="1"/>
  <c r="U178" i="69" s="1"/>
  <c r="U155" i="69"/>
  <c r="U177" i="69" s="1" a="1"/>
  <c r="U177" i="69" s="1"/>
  <c r="U200" i="69"/>
  <c r="F156" i="69"/>
  <c r="F178" i="69" s="1" a="1"/>
  <c r="F178" i="69" s="1"/>
  <c r="F200" i="69"/>
  <c r="F155" i="69"/>
  <c r="F177" i="69" s="1" a="1"/>
  <c r="F177" i="69" s="1"/>
  <c r="F157" i="69"/>
  <c r="F179" i="69" s="1" a="1"/>
  <c r="F179" i="69" s="1"/>
  <c r="H155" i="69"/>
  <c r="H177" i="69" s="1" a="1"/>
  <c r="H177" i="69" s="1"/>
  <c r="H200" i="69"/>
  <c r="H157" i="69"/>
  <c r="H179" i="69" s="1" a="1"/>
  <c r="H179" i="69" s="1"/>
  <c r="H156" i="69"/>
  <c r="H178" i="69" s="1" a="1"/>
  <c r="H178" i="69" s="1"/>
  <c r="J154" i="69"/>
  <c r="J176" i="69" s="1" a="1"/>
  <c r="J176" i="69" s="1"/>
  <c r="J153" i="69"/>
  <c r="J175" i="69" s="1" a="1"/>
  <c r="J175" i="69" s="1"/>
  <c r="J152" i="69"/>
  <c r="J174" i="69" s="1" a="1"/>
  <c r="J174" i="69" s="1"/>
  <c r="G155" i="69"/>
  <c r="G177" i="69" s="1" a="1"/>
  <c r="G177" i="69" s="1"/>
  <c r="G200" i="69"/>
  <c r="G157" i="69"/>
  <c r="G179" i="69" s="1" a="1"/>
  <c r="G179" i="69" s="1"/>
  <c r="G156" i="69"/>
  <c r="G178" i="69" s="1" a="1"/>
  <c r="G178" i="69" s="1"/>
  <c r="H152" i="69"/>
  <c r="H174" i="69" s="1" a="1"/>
  <c r="H174" i="69" s="1"/>
  <c r="H154" i="69"/>
  <c r="H176" i="69" s="1" a="1"/>
  <c r="H176" i="69" s="1"/>
  <c r="H153" i="69"/>
  <c r="H175" i="69" s="1" a="1"/>
  <c r="H175" i="69" s="1"/>
  <c r="R152" i="69"/>
  <c r="R174" i="69" s="1" a="1"/>
  <c r="R174" i="69" s="1"/>
  <c r="R199" i="69"/>
  <c r="R154" i="69"/>
  <c r="R176" i="69" s="1" a="1"/>
  <c r="R176" i="69" s="1"/>
  <c r="R153" i="69"/>
  <c r="R175" i="69" s="1" a="1"/>
  <c r="R175" i="69" s="1"/>
  <c r="T200" i="69"/>
  <c r="T156" i="69"/>
  <c r="T178" i="69" s="1" a="1"/>
  <c r="T178" i="69" s="1"/>
  <c r="T155" i="69"/>
  <c r="T177" i="69" s="1" a="1"/>
  <c r="T177" i="69" s="1"/>
  <c r="T157" i="69"/>
  <c r="T179" i="69" s="1" a="1"/>
  <c r="T179" i="69" s="1"/>
  <c r="I200" i="69"/>
  <c r="I157" i="69"/>
  <c r="I179" i="69" s="1" a="1"/>
  <c r="I179" i="69" s="1"/>
  <c r="I156" i="69"/>
  <c r="I178" i="69" s="1" a="1"/>
  <c r="I178" i="69" s="1"/>
  <c r="I155" i="69"/>
  <c r="I177" i="69" s="1" a="1"/>
  <c r="I177" i="69" s="1"/>
  <c r="G154" i="69"/>
  <c r="G176" i="69" s="1" a="1"/>
  <c r="G176" i="69" s="1"/>
  <c r="G153" i="69"/>
  <c r="G175" i="69" s="1" a="1"/>
  <c r="G175" i="69" s="1"/>
  <c r="G152" i="69"/>
  <c r="G174" i="69" s="1" a="1"/>
  <c r="G174" i="69" s="1"/>
  <c r="Q199" i="69"/>
  <c r="Q153" i="69"/>
  <c r="Q175" i="69" s="1" a="1"/>
  <c r="Q175" i="69" s="1"/>
  <c r="Q154" i="69"/>
  <c r="Q176" i="69" s="1" a="1"/>
  <c r="Q176" i="69" s="1"/>
  <c r="Q152" i="69"/>
  <c r="Q174" i="69" s="1" a="1"/>
  <c r="Q174" i="69" s="1"/>
  <c r="R155" i="69"/>
  <c r="R177" i="69" s="1" a="1"/>
  <c r="R177" i="69" s="1"/>
  <c r="R157" i="69"/>
  <c r="R179" i="69" s="1" a="1"/>
  <c r="R179" i="69" s="1"/>
  <c r="R156" i="69"/>
  <c r="R178" i="69" s="1" a="1"/>
  <c r="R178" i="69" s="1"/>
  <c r="R200" i="69"/>
  <c r="I152" i="69"/>
  <c r="I174" i="69" s="1" a="1"/>
  <c r="I174" i="69" s="1"/>
  <c r="I154" i="69"/>
  <c r="I176" i="69" s="1" a="1"/>
  <c r="I176" i="69" s="1"/>
  <c r="I153" i="69"/>
  <c r="I175" i="69" s="1" a="1"/>
  <c r="I175" i="69" s="1"/>
  <c r="S152" i="69"/>
  <c r="S174" i="69" s="1" a="1"/>
  <c r="S174" i="69" s="1"/>
  <c r="S199" i="69"/>
  <c r="S154" i="69"/>
  <c r="S176" i="69" s="1" a="1"/>
  <c r="S176" i="69" s="1"/>
  <c r="S153" i="69"/>
  <c r="S175" i="69" s="1" a="1"/>
  <c r="S175" i="69" s="1"/>
  <c r="U199" i="69"/>
  <c r="U153" i="69"/>
  <c r="U175" i="69" s="1" a="1"/>
  <c r="U175" i="69" s="1"/>
  <c r="U152" i="69"/>
  <c r="U174" i="69" s="1" a="1"/>
  <c r="U174" i="69" s="1"/>
  <c r="U154" i="69"/>
  <c r="U176" i="69" s="1" a="1"/>
  <c r="U176" i="69" s="1"/>
  <c r="J46" i="96"/>
  <c r="D114" i="69" l="1" a="1"/>
  <c r="D114" i="69" s="1"/>
  <c r="D133" i="69" s="1" a="1"/>
  <c r="D133" i="69" s="1"/>
  <c r="G114" i="69" a="1"/>
  <c r="G114" i="69" s="1"/>
  <c r="G50" i="76" s="1"/>
  <c r="F114" i="69" a="1"/>
  <c r="F114" i="69" s="1"/>
  <c r="F133" i="69" s="1" a="1"/>
  <c r="F133" i="69" s="1"/>
  <c r="E114" i="69" a="1"/>
  <c r="E114" i="69" s="1"/>
  <c r="E133" i="69" s="1" a="1"/>
  <c r="E133" i="69" s="1"/>
  <c r="H114" i="69" a="1"/>
  <c r="H114" i="69" s="1"/>
  <c r="H133" i="69" s="1" a="1"/>
  <c r="H133" i="69" s="1"/>
  <c r="I43" i="97"/>
  <c r="I66" i="82"/>
  <c r="Q114" i="69" a="1"/>
  <c r="Q114" i="69" s="1"/>
  <c r="P50" i="76" s="1"/>
  <c r="P114" i="69" a="1"/>
  <c r="P114" i="69" s="1"/>
  <c r="O50" i="76" s="1"/>
  <c r="S114" i="69" a="1"/>
  <c r="S114" i="69" s="1"/>
  <c r="S133" i="69" s="1" a="1"/>
  <c r="S133" i="69" s="1"/>
  <c r="O114" i="69" a="1"/>
  <c r="O114" i="69" s="1"/>
  <c r="O133" i="69" s="1" a="1"/>
  <c r="O133" i="69" s="1"/>
  <c r="R206" i="69" a="1"/>
  <c r="R206" i="69" s="1"/>
  <c r="G206" i="69" a="1"/>
  <c r="G206" i="69" s="1"/>
  <c r="Q206" i="69" a="1"/>
  <c r="Q206" i="69" s="1"/>
  <c r="J206" i="69" a="1"/>
  <c r="J206" i="69" s="1"/>
  <c r="S205" i="69" a="1"/>
  <c r="S205" i="69" s="1"/>
  <c r="F206" i="69" a="1"/>
  <c r="F206" i="69" s="1"/>
  <c r="U206" i="69" a="1"/>
  <c r="U206" i="69" s="1"/>
  <c r="I206" i="69" a="1"/>
  <c r="I206" i="69" s="1"/>
  <c r="R133" i="69" a="1"/>
  <c r="R133" i="69" s="1"/>
  <c r="Q50" i="76"/>
  <c r="T206" i="69" a="1"/>
  <c r="T206" i="69" s="1"/>
  <c r="G205" i="69" a="1"/>
  <c r="G205" i="69" s="1"/>
  <c r="S206" i="69" a="1"/>
  <c r="S206" i="69" s="1"/>
  <c r="H205" i="69" a="1"/>
  <c r="H205" i="69" s="1"/>
  <c r="U205" i="69" a="1"/>
  <c r="U205" i="69" s="1"/>
  <c r="Q205" i="69" a="1"/>
  <c r="Q205" i="69" s="1"/>
  <c r="R205" i="69" a="1"/>
  <c r="R205" i="69" s="1"/>
  <c r="H206" i="69" a="1"/>
  <c r="H206" i="69" s="1"/>
  <c r="F205" i="69" a="1"/>
  <c r="F205" i="69" s="1"/>
  <c r="J205" i="69" a="1"/>
  <c r="J205" i="69" s="1"/>
  <c r="T205" i="69" a="1"/>
  <c r="T205" i="69" s="1"/>
  <c r="I205" i="69" a="1"/>
  <c r="I205" i="69" s="1"/>
  <c r="U237" i="69" l="1" a="1"/>
  <c r="U237" i="69" s="1"/>
  <c r="U290" i="69" s="1" a="1"/>
  <c r="U290" i="69" s="1"/>
  <c r="T237" i="69" a="1"/>
  <c r="T237" i="69" s="1"/>
  <c r="T290" i="69" s="1" a="1"/>
  <c r="T290" i="69" s="1"/>
  <c r="J237" i="69" a="1"/>
  <c r="J237" i="69" s="1"/>
  <c r="J290" i="69" s="1" a="1"/>
  <c r="J290" i="69" s="1"/>
  <c r="H237" i="69" a="1"/>
  <c r="H237" i="69" s="1"/>
  <c r="H290" i="69" s="1" a="1"/>
  <c r="H290" i="69" s="1"/>
  <c r="Q237" i="69" a="1"/>
  <c r="Q237" i="69" s="1"/>
  <c r="Q290" i="69" s="1" a="1"/>
  <c r="Q290" i="69" s="1"/>
  <c r="G237" i="69" a="1"/>
  <c r="G237" i="69" s="1"/>
  <c r="G290" i="69" s="1" a="1"/>
  <c r="G290" i="69" s="1"/>
  <c r="F237" i="69" a="1"/>
  <c r="F237" i="69" s="1"/>
  <c r="F290" i="69" s="1" a="1"/>
  <c r="F290" i="69" s="1"/>
  <c r="F50" i="76"/>
  <c r="F65" i="76" s="1" a="1"/>
  <c r="F65" i="76" s="1"/>
  <c r="F103" i="76" s="1" a="1"/>
  <c r="F103" i="76" s="1"/>
  <c r="G133" i="69" a="1"/>
  <c r="G133" i="69" s="1"/>
  <c r="D50" i="76"/>
  <c r="D126" i="76" s="1" a="1"/>
  <c r="D126" i="76" s="1"/>
  <c r="H50" i="76"/>
  <c r="H65" i="76" s="1" a="1"/>
  <c r="H65" i="76" s="1"/>
  <c r="H103" i="76" s="1" a="1"/>
  <c r="H103" i="76" s="1"/>
  <c r="R50" i="76"/>
  <c r="R126" i="76" s="1" a="1"/>
  <c r="R126" i="76" s="1"/>
  <c r="Q133" i="69" a="1"/>
  <c r="Q133" i="69" s="1"/>
  <c r="E50" i="76"/>
  <c r="E65" i="76" s="1" a="1"/>
  <c r="E65" i="76" s="1"/>
  <c r="E103" i="76" s="1" a="1"/>
  <c r="E103" i="76" s="1"/>
  <c r="P133" i="69" a="1"/>
  <c r="P133" i="69" s="1"/>
  <c r="N50" i="76"/>
  <c r="N65" i="76" s="1" a="1"/>
  <c r="N65" i="76" s="1"/>
  <c r="N103" i="76" s="1" a="1"/>
  <c r="N103" i="76"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A39" i="74"/>
  <c r="A38" i="74"/>
  <c r="A37" i="74"/>
  <c r="A36" i="74"/>
  <c r="A33" i="74"/>
  <c r="A30" i="74"/>
  <c r="A29" i="74"/>
  <c r="A28" i="74"/>
  <c r="A27" i="74"/>
  <c r="A26" i="74"/>
  <c r="A25" i="74"/>
  <c r="A24" i="74"/>
  <c r="A19" i="74"/>
  <c r="A18" i="74"/>
  <c r="A15" i="74"/>
  <c r="A14" i="74"/>
  <c r="A13" i="74"/>
  <c r="A12" i="74"/>
  <c r="A11" i="74"/>
  <c r="A10" i="74"/>
  <c r="A9" i="74"/>
  <c r="A8" i="74"/>
  <c r="A7" i="74"/>
  <c r="A4" i="74"/>
  <c r="S237" i="69" l="1" a="1"/>
  <c r="S237" i="69" s="1"/>
  <c r="S290" i="69" s="1" a="1"/>
  <c r="S290" i="69" s="1"/>
  <c r="F126" i="76" a="1"/>
  <c r="F126" i="76" s="1"/>
  <c r="F146" i="76" s="1" a="1"/>
  <c r="F146" i="76" s="1"/>
  <c r="F213" i="76" s="1" a="1"/>
  <c r="F213" i="76" s="1"/>
  <c r="F19" i="96" s="1"/>
  <c r="R237" i="69" a="1"/>
  <c r="R237" i="69" s="1"/>
  <c r="R290" i="69" s="1" a="1"/>
  <c r="R290" i="69" s="1"/>
  <c r="I237" i="69" a="1"/>
  <c r="I237" i="69" s="1"/>
  <c r="I290" i="69" s="1" a="1"/>
  <c r="I290" i="69"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R19" i="96" s="1"/>
  <c r="G146" i="76" a="1"/>
  <c r="G146" i="76" s="1"/>
  <c r="G213" i="76" s="1" a="1"/>
  <c r="G213" i="76" s="1"/>
  <c r="O146" i="76" a="1"/>
  <c r="O146" i="76" s="1"/>
  <c r="P146" i="76" a="1"/>
  <c r="P146" i="76" s="1"/>
  <c r="R103" i="76" l="1" a="1"/>
  <c r="R103" i="76" s="1"/>
  <c r="R146" i="76" s="1" a="1"/>
  <c r="R146" i="76" s="1"/>
  <c r="D103" i="76" a="1"/>
  <c r="D103" i="76" s="1"/>
  <c r="D146" i="76" s="1" a="1"/>
  <c r="D146" i="76" s="1"/>
  <c r="G176" i="76" a="1"/>
  <c r="G176" i="76" s="1"/>
  <c r="G19" i="96" s="1"/>
  <c r="I31" i="96" s="1" a="1"/>
  <c r="I31" i="96" s="1"/>
  <c r="H176" i="76" a="1"/>
  <c r="H176" i="76" s="1"/>
  <c r="H213" i="76" a="1"/>
  <c r="H213" i="76" s="1"/>
  <c r="H19" i="96" s="1"/>
  <c r="U31" i="96" s="1" a="1"/>
  <c r="U31" i="96" s="1"/>
  <c r="F176" i="76" a="1"/>
  <c r="F176" i="76" s="1"/>
  <c r="S31" i="96" a="1"/>
  <c r="S31" i="96" s="1"/>
  <c r="H31" i="96" a="1"/>
  <c r="H31" i="96" s="1"/>
  <c r="Q213" i="76" a="1"/>
  <c r="Q213" i="76" s="1"/>
  <c r="H250" i="76" a="1"/>
  <c r="H250" i="76" s="1"/>
  <c r="H47" i="81" s="1"/>
  <c r="H249" i="76" a="1"/>
  <c r="H249" i="76" s="1"/>
  <c r="H46" i="81" s="1"/>
  <c r="H248" i="76" a="1"/>
  <c r="H248" i="76" s="1"/>
  <c r="H45" i="81" s="1"/>
  <c r="H246" i="76" a="1"/>
  <c r="H246" i="76" s="1"/>
  <c r="H43" i="81" s="1"/>
  <c r="H244" i="76" a="1"/>
  <c r="H244" i="76" s="1"/>
  <c r="H41" i="81" s="1"/>
  <c r="H243" i="76" a="1"/>
  <c r="H243" i="76" s="1"/>
  <c r="H40" i="81" s="1"/>
  <c r="H247" i="76" a="1"/>
  <c r="H247" i="76" s="1"/>
  <c r="H44" i="81" s="1"/>
  <c r="H245" i="76" a="1"/>
  <c r="H245" i="76" s="1"/>
  <c r="H42" i="81" s="1"/>
  <c r="S250" i="76" a="1"/>
  <c r="S250" i="76" s="1"/>
  <c r="T47" i="81" s="1"/>
  <c r="S248" i="76" a="1"/>
  <c r="S248" i="76" s="1"/>
  <c r="T45" i="81" s="1"/>
  <c r="S243" i="76" a="1"/>
  <c r="S243" i="76" s="1"/>
  <c r="T40" i="81" s="1"/>
  <c r="S246" i="76" a="1"/>
  <c r="S246" i="76" s="1"/>
  <c r="T43" i="81" s="1"/>
  <c r="S245" i="76" a="1"/>
  <c r="S245" i="76" s="1"/>
  <c r="T42" i="81" s="1"/>
  <c r="S247" i="76" a="1"/>
  <c r="S247" i="76" s="1"/>
  <c r="T44" i="81" s="1"/>
  <c r="S244" i="76" a="1"/>
  <c r="S244" i="76" s="1"/>
  <c r="T41" i="81" s="1"/>
  <c r="S249" i="76" a="1"/>
  <c r="S249" i="76" s="1"/>
  <c r="T46" i="81" s="1"/>
  <c r="O176" i="76" a="1"/>
  <c r="O176" i="76" s="1"/>
  <c r="P19" i="96" s="1"/>
  <c r="O213" i="76" a="1"/>
  <c r="O213" i="76" s="1"/>
  <c r="E176" i="76" a="1"/>
  <c r="E176" i="76" s="1"/>
  <c r="E19" i="96" s="1"/>
  <c r="E213" i="76" a="1"/>
  <c r="E213" i="76" s="1"/>
  <c r="N176" i="76" a="1"/>
  <c r="N176" i="76" s="1"/>
  <c r="O19" i="96" s="1"/>
  <c r="N213" i="76" a="1"/>
  <c r="N213" i="76" s="1"/>
  <c r="P176" i="76" a="1"/>
  <c r="P176" i="76" s="1"/>
  <c r="P213" i="76" a="1"/>
  <c r="P213" i="76" s="1"/>
  <c r="Q19" i="96" s="1"/>
  <c r="R176" i="76" l="1" a="1"/>
  <c r="R176" i="76" s="1"/>
  <c r="R213" i="76" a="1"/>
  <c r="R213" i="76" s="1"/>
  <c r="T244" i="76" s="1" a="1"/>
  <c r="T244" i="76" s="1"/>
  <c r="U41" i="81" s="1"/>
  <c r="D213" i="76" a="1"/>
  <c r="D213" i="76" s="1"/>
  <c r="D176" i="76" a="1"/>
  <c r="D176" i="76" s="1"/>
  <c r="D19" i="96" s="1"/>
  <c r="Q31" i="96" s="1" a="1"/>
  <c r="Q31" i="96" s="1"/>
  <c r="Q23" i="98" s="1"/>
  <c r="Q28" i="98" s="1" a="1"/>
  <c r="Q28" i="98" s="1"/>
  <c r="I250" i="76" a="1"/>
  <c r="I250" i="76" s="1"/>
  <c r="I47" i="81" s="1"/>
  <c r="I246" i="76" a="1"/>
  <c r="I246" i="76" s="1"/>
  <c r="I43" i="81" s="1"/>
  <c r="I249" i="76" a="1"/>
  <c r="I249" i="76" s="1"/>
  <c r="I46" i="81" s="1"/>
  <c r="I248" i="76" a="1"/>
  <c r="I248" i="76" s="1"/>
  <c r="I45" i="81" s="1"/>
  <c r="I243" i="76" a="1"/>
  <c r="I243" i="76" s="1"/>
  <c r="I40" i="81" s="1"/>
  <c r="I244" i="76" a="1"/>
  <c r="I244" i="76" s="1"/>
  <c r="I41" i="81" s="1"/>
  <c r="I245" i="76" a="1"/>
  <c r="I245" i="76" s="1"/>
  <c r="I42" i="81" s="1"/>
  <c r="T31" i="96" a="1"/>
  <c r="T31" i="96" s="1"/>
  <c r="T51" i="96" s="1" a="1"/>
  <c r="T51" i="96" s="1"/>
  <c r="I247" i="76" a="1"/>
  <c r="I247" i="76" s="1"/>
  <c r="I44" i="81" s="1"/>
  <c r="J248" i="76" a="1"/>
  <c r="J248" i="76" s="1"/>
  <c r="J45" i="81" s="1"/>
  <c r="J246" i="76" a="1"/>
  <c r="J246" i="76" s="1"/>
  <c r="J43" i="81" s="1"/>
  <c r="J243" i="76" a="1"/>
  <c r="J243" i="76" s="1"/>
  <c r="J249" i="76" a="1"/>
  <c r="J249" i="76" s="1"/>
  <c r="J25" i="82" s="1"/>
  <c r="J46" i="82" s="1" a="1"/>
  <c r="J46" i="82" s="1"/>
  <c r="J31" i="96" a="1"/>
  <c r="J31" i="96" s="1"/>
  <c r="J51" i="96" s="1" a="1"/>
  <c r="J51" i="96" s="1"/>
  <c r="J250" i="76" a="1"/>
  <c r="J250" i="76" s="1"/>
  <c r="J247" i="76" a="1"/>
  <c r="J247" i="76" s="1"/>
  <c r="J245" i="76" a="1"/>
  <c r="J245" i="76" s="1"/>
  <c r="J280" i="76" s="1" a="1"/>
  <c r="J280" i="76" s="1"/>
  <c r="J244" i="76" a="1"/>
  <c r="J244" i="76" s="1"/>
  <c r="J41" i="81" s="1"/>
  <c r="H23" i="98"/>
  <c r="H28" i="98" s="1" a="1"/>
  <c r="H28" i="98" s="1"/>
  <c r="H19" i="97"/>
  <c r="H24" i="97" s="1" a="1"/>
  <c r="H24" i="97" s="1"/>
  <c r="S23" i="98"/>
  <c r="S28" i="98" s="1" a="1"/>
  <c r="S28" i="98" s="1"/>
  <c r="S19" i="97"/>
  <c r="S24" i="97" s="1" a="1"/>
  <c r="S24" i="97" s="1"/>
  <c r="U23" i="98"/>
  <c r="U28" i="98" s="1" a="1"/>
  <c r="U28" i="98" s="1"/>
  <c r="U19" i="97"/>
  <c r="U24" i="97" s="1" a="1"/>
  <c r="U24" i="97" s="1"/>
  <c r="I19" i="97"/>
  <c r="I24" i="97" s="1" a="1"/>
  <c r="I24" i="97" s="1"/>
  <c r="I23" i="98"/>
  <c r="I28" i="98" s="1" a="1"/>
  <c r="I28" i="98" s="1"/>
  <c r="H51" i="96" a="1"/>
  <c r="H51" i="96" s="1"/>
  <c r="S51" i="96" a="1"/>
  <c r="S51" i="96" s="1"/>
  <c r="U51" i="96" a="1"/>
  <c r="U51" i="96" s="1"/>
  <c r="I51" i="96" a="1"/>
  <c r="I51" i="96" s="1"/>
  <c r="R31" i="96" a="1"/>
  <c r="R31" i="96" s="1"/>
  <c r="G31" i="96" a="1"/>
  <c r="G31" i="96" s="1"/>
  <c r="H24" i="82"/>
  <c r="H45" i="82" s="1" a="1"/>
  <c r="H45" i="82" s="1"/>
  <c r="T25" i="82"/>
  <c r="T46" i="82" s="1" a="1"/>
  <c r="T46" i="82" s="1"/>
  <c r="H25" i="82"/>
  <c r="H46" i="82" s="1" a="1"/>
  <c r="H46" i="82" s="1"/>
  <c r="H24" i="95"/>
  <c r="H30" i="95" s="1" a="1"/>
  <c r="H30" i="95" s="1"/>
  <c r="H26" i="82"/>
  <c r="H47" i="82" s="1" a="1"/>
  <c r="H47" i="82" s="1"/>
  <c r="T20" i="82"/>
  <c r="T41" i="82" s="1" a="1"/>
  <c r="T41" i="82" s="1"/>
  <c r="T23" i="82"/>
  <c r="T44" i="82" s="1" a="1"/>
  <c r="T44" i="82" s="1"/>
  <c r="T19" i="82"/>
  <c r="T40" i="82" s="1" a="1"/>
  <c r="T40" i="82" s="1"/>
  <c r="T24" i="95"/>
  <c r="T30" i="95" s="1" a="1"/>
  <c r="T30" i="95" s="1"/>
  <c r="T26" i="82"/>
  <c r="T47" i="82" s="1" a="1"/>
  <c r="T47" i="82" s="1"/>
  <c r="H21" i="82"/>
  <c r="H42" i="82" s="1" a="1"/>
  <c r="H42" i="82" s="1"/>
  <c r="T21" i="82"/>
  <c r="T42" i="82" s="1" a="1"/>
  <c r="T42" i="82" s="1"/>
  <c r="T24" i="82"/>
  <c r="T45" i="82" s="1" a="1"/>
  <c r="T45" i="82" s="1"/>
  <c r="H23" i="82"/>
  <c r="H44" i="82" s="1" a="1"/>
  <c r="H44" i="82" s="1"/>
  <c r="H19" i="82"/>
  <c r="H40" i="82" s="1" a="1"/>
  <c r="H40" i="82" s="1"/>
  <c r="H20" i="82"/>
  <c r="H41" i="82" s="1" a="1"/>
  <c r="H41" i="82" s="1"/>
  <c r="T23" i="95"/>
  <c r="T29" i="95" s="1" a="1"/>
  <c r="T29" i="95" s="1"/>
  <c r="T22" i="82"/>
  <c r="T43" i="82" s="1" a="1"/>
  <c r="T43" i="82" s="1"/>
  <c r="H23" i="95"/>
  <c r="H29" i="95" s="1" a="1"/>
  <c r="H29" i="95" s="1"/>
  <c r="H22" i="82"/>
  <c r="H43" i="82" s="1" a="1"/>
  <c r="H43" i="82" s="1"/>
  <c r="H281" i="76" a="1"/>
  <c r="H281" i="76" s="1"/>
  <c r="H283" i="76" a="1"/>
  <c r="H283" i="76" s="1"/>
  <c r="H284" i="76" a="1"/>
  <c r="H284" i="76" s="1"/>
  <c r="P247" i="76" a="1"/>
  <c r="P247" i="76" s="1"/>
  <c r="Q44" i="81" s="1"/>
  <c r="P245" i="76" a="1"/>
  <c r="P245" i="76" s="1"/>
  <c r="Q42" i="81" s="1"/>
  <c r="P250" i="76" a="1"/>
  <c r="P250" i="76" s="1"/>
  <c r="Q47" i="81" s="1"/>
  <c r="P248" i="76" a="1"/>
  <c r="P248" i="76" s="1"/>
  <c r="Q45" i="81" s="1"/>
  <c r="P243" i="76" a="1"/>
  <c r="P243" i="76" s="1"/>
  <c r="Q40" i="81" s="1"/>
  <c r="P246" i="76" a="1"/>
  <c r="P246" i="76" s="1"/>
  <c r="Q43" i="81" s="1"/>
  <c r="P249" i="76" a="1"/>
  <c r="P249" i="76" s="1"/>
  <c r="Q46" i="81" s="1"/>
  <c r="P244" i="76" a="1"/>
  <c r="P244" i="76" s="1"/>
  <c r="Q41" i="81" s="1"/>
  <c r="S282" i="76" a="1"/>
  <c r="S282" i="76" s="1"/>
  <c r="S283" i="76" a="1"/>
  <c r="S283" i="76" s="1"/>
  <c r="S284" i="76" a="1"/>
  <c r="S284" i="76" s="1"/>
  <c r="H285" i="76" a="1"/>
  <c r="H285" i="76" s="1"/>
  <c r="S285" i="76" a="1"/>
  <c r="S285" i="76" s="1"/>
  <c r="H280" i="76" a="1"/>
  <c r="H280" i="76" s="1"/>
  <c r="S280" i="76" a="1"/>
  <c r="S280" i="76" s="1"/>
  <c r="S278" i="76" a="1"/>
  <c r="S278" i="76" s="1"/>
  <c r="G245" i="76" a="1"/>
  <c r="G245" i="76" s="1"/>
  <c r="G42" i="81" s="1"/>
  <c r="G244" i="76" a="1"/>
  <c r="G244" i="76" s="1"/>
  <c r="G41" i="81" s="1"/>
  <c r="G243" i="76" a="1"/>
  <c r="G243" i="76" s="1"/>
  <c r="G40" i="81" s="1"/>
  <c r="G250" i="76" a="1"/>
  <c r="G250" i="76" s="1"/>
  <c r="G47" i="81" s="1"/>
  <c r="G247" i="76" a="1"/>
  <c r="G247" i="76" s="1"/>
  <c r="G44" i="81" s="1"/>
  <c r="G246" i="76" a="1"/>
  <c r="G246" i="76" s="1"/>
  <c r="G43" i="81" s="1"/>
  <c r="G248" i="76" a="1"/>
  <c r="G248" i="76" s="1"/>
  <c r="G45" i="81" s="1"/>
  <c r="G249" i="76" a="1"/>
  <c r="G249" i="76" s="1"/>
  <c r="G46" i="81" s="1"/>
  <c r="S279" i="76" a="1"/>
  <c r="S279" i="76" s="1"/>
  <c r="S281" i="76" a="1"/>
  <c r="S281" i="76" s="1"/>
  <c r="Q250" i="76" a="1"/>
  <c r="Q250" i="76" s="1"/>
  <c r="R47" i="81" s="1"/>
  <c r="Q245" i="76" a="1"/>
  <c r="Q245" i="76" s="1"/>
  <c r="R42" i="81" s="1"/>
  <c r="Q248" i="76" a="1"/>
  <c r="Q248" i="76" s="1"/>
  <c r="R45" i="81" s="1"/>
  <c r="Q243" i="76" a="1"/>
  <c r="Q243" i="76" s="1"/>
  <c r="R40" i="81" s="1"/>
  <c r="Q247" i="76" a="1"/>
  <c r="Q247" i="76" s="1"/>
  <c r="R44" i="81" s="1"/>
  <c r="Q249" i="76" a="1"/>
  <c r="Q249" i="76" s="1"/>
  <c r="R46" i="81" s="1"/>
  <c r="Q246" i="76" a="1"/>
  <c r="Q246" i="76" s="1"/>
  <c r="R43" i="81" s="1"/>
  <c r="Q244" i="76" a="1"/>
  <c r="Q244" i="76" s="1"/>
  <c r="R41" i="81" s="1"/>
  <c r="H282" i="76" a="1"/>
  <c r="H282" i="76" s="1"/>
  <c r="R250" i="76" a="1"/>
  <c r="R250" i="76" s="1"/>
  <c r="S47" i="81" s="1"/>
  <c r="R245" i="76" a="1"/>
  <c r="R245" i="76" s="1"/>
  <c r="S42" i="81" s="1"/>
  <c r="R248" i="76" a="1"/>
  <c r="R248" i="76" s="1"/>
  <c r="S45" i="81" s="1"/>
  <c r="R243" i="76" a="1"/>
  <c r="R243" i="76" s="1"/>
  <c r="S40" i="81" s="1"/>
  <c r="R246" i="76" a="1"/>
  <c r="R246" i="76" s="1"/>
  <c r="S43" i="81" s="1"/>
  <c r="R244" i="76" a="1"/>
  <c r="R244" i="76" s="1"/>
  <c r="S41" i="81" s="1"/>
  <c r="R247" i="76" a="1"/>
  <c r="R247" i="76" s="1"/>
  <c r="S44" i="81" s="1"/>
  <c r="R249" i="76" a="1"/>
  <c r="R249" i="76" s="1"/>
  <c r="S46" i="81" s="1"/>
  <c r="H278" i="76" a="1"/>
  <c r="H278" i="76" s="1"/>
  <c r="H279" i="76" a="1"/>
  <c r="H279" i="76" s="1"/>
  <c r="A25" i="13"/>
  <c r="A23" i="13"/>
  <c r="A24" i="13"/>
  <c r="A8" i="13"/>
  <c r="A5" i="13"/>
  <c r="A3" i="13"/>
  <c r="T248" i="76" l="1" a="1"/>
  <c r="T248" i="76" s="1"/>
  <c r="T283" i="76" s="1" a="1"/>
  <c r="T283" i="76" s="1"/>
  <c r="T249" i="76" a="1"/>
  <c r="T249" i="76" s="1"/>
  <c r="U46" i="81" s="1"/>
  <c r="T250" i="76" a="1"/>
  <c r="T250" i="76" s="1"/>
  <c r="U47" i="81" s="1"/>
  <c r="T245" i="76" a="1"/>
  <c r="T245" i="76" s="1"/>
  <c r="U42" i="81" s="1"/>
  <c r="S19" i="96"/>
  <c r="T247" i="76" a="1"/>
  <c r="T247" i="76" s="1"/>
  <c r="U44" i="81" s="1"/>
  <c r="T243" i="76" a="1"/>
  <c r="T243" i="76" s="1"/>
  <c r="U40" i="81" s="1"/>
  <c r="T246" i="76" a="1"/>
  <c r="T246" i="76" s="1"/>
  <c r="U43" i="81" s="1"/>
  <c r="F249" i="76" a="1"/>
  <c r="F249" i="76" s="1"/>
  <c r="F284" i="76" s="1" a="1"/>
  <c r="F284" i="76" s="1"/>
  <c r="F248" i="76" a="1"/>
  <c r="F248" i="76" s="1"/>
  <c r="F45" i="81" s="1"/>
  <c r="F31" i="96" a="1"/>
  <c r="F31" i="96" s="1"/>
  <c r="F23" i="98" s="1"/>
  <c r="F28" i="98" s="1" a="1"/>
  <c r="F28" i="98" s="1"/>
  <c r="F247" i="76" a="1"/>
  <c r="F247" i="76" s="1"/>
  <c r="F23" i="82" s="1"/>
  <c r="F44" i="82" s="1" a="1"/>
  <c r="F44" i="82" s="1"/>
  <c r="Q51" i="96" a="1"/>
  <c r="Q51" i="96" s="1"/>
  <c r="F245" i="76" a="1"/>
  <c r="F245" i="76" s="1"/>
  <c r="F42" i="81" s="1"/>
  <c r="F244" i="76" a="1"/>
  <c r="F244" i="76" s="1"/>
  <c r="F41" i="81" s="1"/>
  <c r="F243" i="76" a="1"/>
  <c r="F243" i="76" s="1"/>
  <c r="F278" i="76" s="1" a="1"/>
  <c r="F278" i="76" s="1"/>
  <c r="Q19" i="97"/>
  <c r="Q24" i="97" s="1" a="1"/>
  <c r="Q24" i="97" s="1"/>
  <c r="I281" i="76" a="1"/>
  <c r="I281" i="76" s="1"/>
  <c r="F246" i="76" a="1"/>
  <c r="F246" i="76" s="1"/>
  <c r="F43" i="81" s="1"/>
  <c r="F250" i="76" a="1"/>
  <c r="F250" i="76" s="1"/>
  <c r="F47" i="81" s="1"/>
  <c r="I278" i="76" a="1"/>
  <c r="I278" i="76" s="1"/>
  <c r="I25" i="82"/>
  <c r="I46" i="82" s="1" a="1"/>
  <c r="I46" i="82" s="1"/>
  <c r="I26" i="82"/>
  <c r="I47" i="82" s="1" a="1"/>
  <c r="I47" i="82" s="1"/>
  <c r="I24" i="95"/>
  <c r="I30" i="95" s="1" a="1"/>
  <c r="I30" i="95" s="1"/>
  <c r="I50" i="95" s="1" a="1"/>
  <c r="I50" i="95" s="1"/>
  <c r="I21" i="82"/>
  <c r="I42" i="82" s="1" a="1"/>
  <c r="I42" i="82" s="1"/>
  <c r="I22" i="82"/>
  <c r="I43" i="82" s="1" a="1"/>
  <c r="I43" i="82" s="1"/>
  <c r="I282" i="76" a="1"/>
  <c r="I282" i="76" s="1"/>
  <c r="I283" i="76" a="1"/>
  <c r="I283" i="76" s="1"/>
  <c r="J22" i="82"/>
  <c r="J43" i="82" s="1" a="1"/>
  <c r="J43" i="82" s="1"/>
  <c r="I24" i="82"/>
  <c r="I45" i="82" s="1" a="1"/>
  <c r="I45" i="82" s="1"/>
  <c r="I19" i="82"/>
  <c r="I40" i="82" s="1" a="1"/>
  <c r="I40" i="82" s="1"/>
  <c r="I280" i="76" a="1"/>
  <c r="I280" i="76" s="1"/>
  <c r="I285" i="76" a="1"/>
  <c r="I285" i="76" s="1"/>
  <c r="I23" i="95"/>
  <c r="I29" i="95" s="1" a="1"/>
  <c r="I29" i="95" s="1"/>
  <c r="I55" i="81" s="1"/>
  <c r="I279" i="76" a="1"/>
  <c r="I279" i="76" s="1"/>
  <c r="J24" i="82"/>
  <c r="J45" i="82" s="1" a="1"/>
  <c r="J45" i="82" s="1"/>
  <c r="I284" i="76" a="1"/>
  <c r="I284" i="76" s="1"/>
  <c r="J23" i="95"/>
  <c r="J29" i="95" s="1" a="1"/>
  <c r="J29" i="95" s="1"/>
  <c r="J49" i="95" s="1" a="1"/>
  <c r="J49" i="95" s="1"/>
  <c r="J281" i="76" a="1"/>
  <c r="J281" i="76" s="1"/>
  <c r="I20" i="82"/>
  <c r="I41" i="82" s="1" a="1"/>
  <c r="I41" i="82" s="1"/>
  <c r="I23" i="82"/>
  <c r="I44" i="82" s="1" a="1"/>
  <c r="I44" i="82" s="1"/>
  <c r="J283" i="76" a="1"/>
  <c r="J283" i="76" s="1"/>
  <c r="T19" i="97"/>
  <c r="T24" i="97" s="1" a="1"/>
  <c r="T24" i="97" s="1"/>
  <c r="T23" i="98"/>
  <c r="T28" i="98" s="1" a="1"/>
  <c r="T28" i="98" s="1"/>
  <c r="T284" i="76" a="1"/>
  <c r="T284" i="76" s="1"/>
  <c r="H50" i="95" a="1"/>
  <c r="H50" i="95" s="1"/>
  <c r="H59" i="81"/>
  <c r="J24" i="95"/>
  <c r="J30" i="95" s="1" a="1"/>
  <c r="J30" i="95" s="1"/>
  <c r="J47" i="81"/>
  <c r="J19" i="82"/>
  <c r="J40" i="82" s="1" a="1"/>
  <c r="J40" i="82" s="1"/>
  <c r="J40" i="81"/>
  <c r="U25" i="82"/>
  <c r="U46" i="82" s="1" a="1"/>
  <c r="U46" i="82" s="1"/>
  <c r="T49" i="95" a="1"/>
  <c r="T49" i="95" s="1"/>
  <c r="T55" i="81"/>
  <c r="J284" i="76" a="1"/>
  <c r="J284" i="76" s="1"/>
  <c r="J46" i="81"/>
  <c r="H49" i="95" a="1"/>
  <c r="H49" i="95" s="1"/>
  <c r="H55" i="81"/>
  <c r="J21" i="82"/>
  <c r="J42" i="82" s="1" a="1"/>
  <c r="J42" i="82" s="1"/>
  <c r="J42" i="81"/>
  <c r="J278" i="76" a="1"/>
  <c r="J278" i="76" s="1"/>
  <c r="T50" i="95" a="1"/>
  <c r="T50" i="95" s="1"/>
  <c r="T59" i="81"/>
  <c r="J23" i="82"/>
  <c r="J44" i="82" s="1" a="1"/>
  <c r="J44" i="82" s="1"/>
  <c r="J44" i="81"/>
  <c r="J23" i="98"/>
  <c r="J28" i="98" s="1" a="1"/>
  <c r="J28" i="98" s="1"/>
  <c r="U20" i="82"/>
  <c r="U41" i="82" s="1" a="1"/>
  <c r="U41" i="82" s="1"/>
  <c r="J19" i="97"/>
  <c r="J24" i="97" s="1" a="1"/>
  <c r="J24" i="97" s="1"/>
  <c r="J285" i="76" a="1"/>
  <c r="J285" i="76" s="1"/>
  <c r="J282" i="76" a="1"/>
  <c r="J282" i="76" s="1"/>
  <c r="T279" i="76" a="1"/>
  <c r="T279" i="76" s="1"/>
  <c r="J279" i="76" a="1"/>
  <c r="J279" i="76" s="1"/>
  <c r="J20" i="82"/>
  <c r="J41" i="82" s="1" a="1"/>
  <c r="J41" i="82" s="1"/>
  <c r="J26" i="82"/>
  <c r="J47" i="82" s="1" a="1"/>
  <c r="J47" i="82" s="1"/>
  <c r="G23" i="98"/>
  <c r="G28" i="98" s="1" a="1"/>
  <c r="G28" i="98" s="1"/>
  <c r="G19" i="97"/>
  <c r="G24" i="97" s="1" a="1"/>
  <c r="G24" i="97" s="1"/>
  <c r="R23" i="98"/>
  <c r="R28" i="98" s="1" a="1"/>
  <c r="R28" i="98" s="1"/>
  <c r="R19" i="97"/>
  <c r="R24" i="97" s="1" a="1"/>
  <c r="R24" i="97" s="1"/>
  <c r="G51" i="96" a="1"/>
  <c r="G51" i="96" s="1"/>
  <c r="R51" i="96" a="1"/>
  <c r="R51" i="96" s="1"/>
  <c r="R19" i="82"/>
  <c r="R40" i="82" s="1" a="1"/>
  <c r="R40" i="82" s="1"/>
  <c r="G24" i="95"/>
  <c r="G30" i="95" s="1" a="1"/>
  <c r="G30" i="95" s="1"/>
  <c r="G26" i="82"/>
  <c r="G47" i="82" s="1" a="1"/>
  <c r="G47" i="82" s="1"/>
  <c r="Q21" i="82"/>
  <c r="Q42" i="82" s="1" a="1"/>
  <c r="Q42" i="82" s="1"/>
  <c r="S23" i="82"/>
  <c r="S44" i="82" s="1" a="1"/>
  <c r="S44" i="82" s="1"/>
  <c r="S20" i="82"/>
  <c r="S41" i="82" s="1" a="1"/>
  <c r="S41" i="82" s="1"/>
  <c r="R21" i="82"/>
  <c r="R42" i="82" s="1" a="1"/>
  <c r="R42" i="82" s="1"/>
  <c r="G20" i="82"/>
  <c r="G41" i="82" s="1" a="1"/>
  <c r="G41" i="82" s="1"/>
  <c r="S25" i="82"/>
  <c r="S46" i="82" s="1" a="1"/>
  <c r="S46" i="82" s="1"/>
  <c r="S23" i="95"/>
  <c r="S29" i="95" s="1" a="1"/>
  <c r="S29" i="95" s="1"/>
  <c r="S22" i="82"/>
  <c r="S43" i="82" s="1" a="1"/>
  <c r="S43" i="82" s="1"/>
  <c r="R24" i="95"/>
  <c r="R30" i="95" s="1" a="1"/>
  <c r="R30" i="95" s="1"/>
  <c r="R26" i="82"/>
  <c r="R47" i="82" s="1" a="1"/>
  <c r="R47" i="82" s="1"/>
  <c r="G21" i="82"/>
  <c r="G42" i="82" s="1" a="1"/>
  <c r="G42" i="82" s="1"/>
  <c r="S19" i="82"/>
  <c r="S40" i="82" s="1" a="1"/>
  <c r="S40" i="82" s="1"/>
  <c r="S24" i="95"/>
  <c r="S30" i="95" s="1" a="1"/>
  <c r="S30" i="95" s="1"/>
  <c r="S26" i="82"/>
  <c r="S47" i="82" s="1" a="1"/>
  <c r="S47" i="82" s="1"/>
  <c r="S21" i="82"/>
  <c r="S42" i="82" s="1" a="1"/>
  <c r="S42" i="82" s="1"/>
  <c r="Q20" i="82"/>
  <c r="Q41" i="82" s="1" a="1"/>
  <c r="Q41" i="82" s="1"/>
  <c r="Q25" i="82"/>
  <c r="Q46" i="82" s="1" a="1"/>
  <c r="Q46" i="82" s="1"/>
  <c r="G25" i="82"/>
  <c r="G46" i="82" s="1" a="1"/>
  <c r="G46" i="82" s="1"/>
  <c r="Q23" i="95"/>
  <c r="Q29" i="95" s="1" a="1"/>
  <c r="Q29" i="95" s="1"/>
  <c r="Q22" i="82"/>
  <c r="Q43" i="82" s="1" a="1"/>
  <c r="Q43" i="82" s="1"/>
  <c r="R20" i="82"/>
  <c r="R41" i="82" s="1" a="1"/>
  <c r="R41" i="82" s="1"/>
  <c r="G24" i="82"/>
  <c r="G45" i="82" s="1" a="1"/>
  <c r="G45" i="82" s="1"/>
  <c r="Q19" i="82"/>
  <c r="Q40" i="82" s="1" a="1"/>
  <c r="Q40" i="82" s="1"/>
  <c r="R25" i="82"/>
  <c r="R46" i="82" s="1" a="1"/>
  <c r="R46" i="82" s="1"/>
  <c r="G23" i="95"/>
  <c r="G29" i="95" s="1" a="1"/>
  <c r="G29" i="95" s="1"/>
  <c r="G22" i="82"/>
  <c r="G43" i="82" s="1" a="1"/>
  <c r="G43" i="82" s="1"/>
  <c r="Q24" i="82"/>
  <c r="Q45" i="82" s="1" a="1"/>
  <c r="Q45" i="82" s="1"/>
  <c r="R23" i="82"/>
  <c r="R44" i="82" s="1" a="1"/>
  <c r="R44" i="82" s="1"/>
  <c r="G23" i="82"/>
  <c r="G44" i="82" s="1" a="1"/>
  <c r="G44" i="82" s="1"/>
  <c r="Q24" i="95"/>
  <c r="Q30" i="95" s="1" a="1"/>
  <c r="Q30" i="95" s="1"/>
  <c r="Q26" i="82"/>
  <c r="Q47" i="82" s="1" a="1"/>
  <c r="Q47" i="82" s="1"/>
  <c r="S24" i="82"/>
  <c r="S45" i="82" s="1" a="1"/>
  <c r="S45" i="82" s="1"/>
  <c r="R23" i="95"/>
  <c r="R29" i="95" s="1" a="1"/>
  <c r="R29" i="95" s="1"/>
  <c r="R22" i="82"/>
  <c r="R43" i="82" s="1" a="1"/>
  <c r="R43" i="82" s="1"/>
  <c r="R24" i="82"/>
  <c r="R45" i="82" s="1" a="1"/>
  <c r="R45" i="82" s="1"/>
  <c r="G19" i="82"/>
  <c r="G40" i="82" s="1" a="1"/>
  <c r="G40" i="82" s="1"/>
  <c r="Q23" i="82"/>
  <c r="Q44" i="82" s="1" a="1"/>
  <c r="Q44" i="82"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T280" i="76" l="1" a="1"/>
  <c r="T280" i="76" s="1"/>
  <c r="T282" i="76" a="1"/>
  <c r="T282" i="76" s="1"/>
  <c r="U26" i="82"/>
  <c r="U47" i="82" s="1" a="1"/>
  <c r="U47" i="82" s="1"/>
  <c r="T285" i="76" a="1"/>
  <c r="T285" i="76" s="1"/>
  <c r="T281" i="76" a="1"/>
  <c r="T281" i="76" s="1"/>
  <c r="U23" i="82"/>
  <c r="U44" i="82" s="1" a="1"/>
  <c r="U44" i="82" s="1"/>
  <c r="F283" i="76" a="1"/>
  <c r="F283" i="76" s="1"/>
  <c r="F19" i="97"/>
  <c r="F24" i="97" s="1" a="1"/>
  <c r="F24" i="97" s="1"/>
  <c r="E26" i="97" s="1"/>
  <c r="I38" i="97" s="1"/>
  <c r="E45" i="97" s="1" a="1"/>
  <c r="E45" i="97" s="1"/>
  <c r="E12" i="13" s="1"/>
  <c r="U45" i="81"/>
  <c r="U24" i="82"/>
  <c r="U45" i="82" s="1" a="1"/>
  <c r="U45" i="82" s="1"/>
  <c r="F44" i="81"/>
  <c r="F282" i="76" a="1"/>
  <c r="F282" i="76" s="1"/>
  <c r="U21" i="82"/>
  <c r="U42" i="82" s="1" a="1"/>
  <c r="U42" i="82" s="1"/>
  <c r="T278" i="76" a="1"/>
  <c r="T278" i="76" s="1"/>
  <c r="U19" i="82"/>
  <c r="U40" i="82" s="1" a="1"/>
  <c r="U40" i="82" s="1"/>
  <c r="U23" i="95"/>
  <c r="U29" i="95" s="1" a="1"/>
  <c r="U29" i="95" s="1"/>
  <c r="U55" i="81" s="1"/>
  <c r="U22" i="82"/>
  <c r="U43" i="82" s="1" a="1"/>
  <c r="U43" i="82" s="1"/>
  <c r="U24" i="95"/>
  <c r="U30" i="95" s="1" a="1"/>
  <c r="U30" i="95" s="1"/>
  <c r="U50" i="95" s="1" a="1"/>
  <c r="U50" i="95" s="1"/>
  <c r="F46" i="81"/>
  <c r="F25" i="82"/>
  <c r="F46" i="82" s="1" a="1"/>
  <c r="F46" i="82" s="1"/>
  <c r="F51" i="96" a="1"/>
  <c r="F51" i="96" s="1"/>
  <c r="E53" i="96" s="1"/>
  <c r="G55" i="96" s="1"/>
  <c r="E58" i="96" s="1" a="1"/>
  <c r="E58" i="96" s="1"/>
  <c r="H11" i="13" s="1"/>
  <c r="P53" i="96"/>
  <c r="R55" i="96" s="1"/>
  <c r="P58" i="96" s="1" a="1"/>
  <c r="P58" i="96" s="1"/>
  <c r="I11" i="13" s="1"/>
  <c r="F24" i="82"/>
  <c r="F45" i="82" s="1" a="1"/>
  <c r="F45" i="82" s="1"/>
  <c r="F40" i="81"/>
  <c r="F19" i="82"/>
  <c r="F40" i="82" s="1" a="1"/>
  <c r="F40" i="82" s="1"/>
  <c r="F20" i="82"/>
  <c r="F41" i="82" s="1" a="1"/>
  <c r="F41" i="82" s="1"/>
  <c r="F279" i="76" a="1"/>
  <c r="F279" i="76" s="1"/>
  <c r="F21" i="82"/>
  <c r="F42" i="82" s="1" a="1"/>
  <c r="F42" i="82" s="1"/>
  <c r="F280" i="76" a="1"/>
  <c r="F280" i="76" s="1"/>
  <c r="F22" i="82"/>
  <c r="F43" i="82" s="1" a="1"/>
  <c r="F43" i="82" s="1"/>
  <c r="F26" i="82"/>
  <c r="F47" i="82" s="1" a="1"/>
  <c r="F47" i="82" s="1"/>
  <c r="F23" i="95"/>
  <c r="F29" i="95" s="1" a="1"/>
  <c r="F29" i="95" s="1"/>
  <c r="F55" i="81" s="1"/>
  <c r="F281" i="76" a="1"/>
  <c r="F281" i="76" s="1"/>
  <c r="F24" i="95"/>
  <c r="F30" i="95" s="1" a="1"/>
  <c r="F30" i="95" s="1"/>
  <c r="F59" i="81" s="1"/>
  <c r="F285" i="76" a="1"/>
  <c r="F285" i="76" s="1"/>
  <c r="I59" i="81"/>
  <c r="J55" i="81"/>
  <c r="I49" i="95" a="1"/>
  <c r="I49" i="95" s="1"/>
  <c r="P26" i="97"/>
  <c r="S38" i="97" s="1"/>
  <c r="P45" i="97" s="1" a="1"/>
  <c r="P45" i="97" s="1"/>
  <c r="F12" i="13" s="1"/>
  <c r="P30" i="98"/>
  <c r="U43" i="98" s="1"/>
  <c r="P47" i="98" s="1" a="1"/>
  <c r="P47" i="98" s="1"/>
  <c r="F13" i="13" s="1"/>
  <c r="J50" i="95" a="1"/>
  <c r="J50" i="95" s="1"/>
  <c r="J59" i="81"/>
  <c r="G49" i="95" a="1"/>
  <c r="G49" i="95" s="1"/>
  <c r="G55" i="81"/>
  <c r="G50" i="95" a="1"/>
  <c r="G50" i="95" s="1"/>
  <c r="G59" i="81"/>
  <c r="R50" i="95" a="1"/>
  <c r="R50" i="95" s="1"/>
  <c r="R59" i="81"/>
  <c r="S49" i="95" a="1"/>
  <c r="S49" i="95" s="1"/>
  <c r="S55" i="81"/>
  <c r="S50" i="95" a="1"/>
  <c r="S50" i="95" s="1"/>
  <c r="S59" i="81"/>
  <c r="Q50" i="95" a="1"/>
  <c r="Q50" i="95" s="1"/>
  <c r="Q59" i="81"/>
  <c r="R49" i="95" a="1"/>
  <c r="R49" i="95" s="1"/>
  <c r="R55" i="81"/>
  <c r="Q49" i="95" a="1"/>
  <c r="Q49" i="95" s="1"/>
  <c r="Q55" i="81"/>
  <c r="E30" i="98"/>
  <c r="J43" i="98" s="1"/>
  <c r="E47" i="98" s="1" a="1"/>
  <c r="E47" i="98" s="1"/>
  <c r="G49" i="98" s="1"/>
  <c r="E52" i="98" s="1" a="1"/>
  <c r="E52" i="98" s="1"/>
  <c r="H13" i="13" s="1"/>
  <c r="E28" i="98"/>
  <c r="P28" i="98"/>
  <c r="E23" i="98"/>
  <c r="P23" i="98"/>
  <c r="P19" i="97"/>
  <c r="E19" i="97"/>
  <c r="P24" i="97"/>
  <c r="E24" i="97"/>
  <c r="P51" i="96"/>
  <c r="P25" i="96"/>
  <c r="E25" i="96"/>
  <c r="P31" i="96"/>
  <c r="E51" i="96"/>
  <c r="E31" i="96"/>
  <c r="E230" i="69" a="1"/>
  <c r="E230" i="69" s="1"/>
  <c r="D86" i="70"/>
  <c r="D110" i="70"/>
  <c r="E231" i="69" a="1"/>
  <c r="E231" i="69" s="1"/>
  <c r="D91" i="70"/>
  <c r="D115" i="70"/>
  <c r="E229" i="69" a="1"/>
  <c r="E229" i="69" s="1"/>
  <c r="D105" i="70"/>
  <c r="E232" i="69" a="1"/>
  <c r="E232" i="69" s="1"/>
  <c r="E29" i="15"/>
  <c r="O287" i="76" l="1"/>
  <c r="Q289" i="76" s="1"/>
  <c r="P49" i="82"/>
  <c r="R61" i="82" s="1"/>
  <c r="U59" i="81"/>
  <c r="F11" i="13"/>
  <c r="U49" i="95" a="1"/>
  <c r="U49" i="95" s="1"/>
  <c r="P52" i="95" s="1"/>
  <c r="R54" i="95" s="1"/>
  <c r="P57" i="95" s="1" a="1"/>
  <c r="P57" i="95" s="1"/>
  <c r="I10" i="13" s="1"/>
  <c r="E287" i="76"/>
  <c r="E49" i="82"/>
  <c r="I61" i="82" s="1"/>
  <c r="E68" i="82" s="1" a="1"/>
  <c r="E68" i="82" s="1"/>
  <c r="E9" i="13" s="1"/>
  <c r="F49" i="95" a="1"/>
  <c r="F49" i="95" s="1"/>
  <c r="F50" i="95" a="1"/>
  <c r="F50" i="95" s="1"/>
  <c r="R47" i="97"/>
  <c r="P50" i="97" s="1" a="1"/>
  <c r="P50" i="97" s="1"/>
  <c r="I12" i="13" s="1"/>
  <c r="P68" i="82" a="1"/>
  <c r="P68" i="82" s="1"/>
  <c r="F9" i="13" s="1"/>
  <c r="R49" i="98"/>
  <c r="P52" i="98" s="1" a="1"/>
  <c r="P52" i="98" s="1"/>
  <c r="I13" i="13" s="1"/>
  <c r="P56" i="81"/>
  <c r="E44" i="81"/>
  <c r="P44" i="81"/>
  <c r="E56" i="81"/>
  <c r="E131" i="81"/>
  <c r="E143" i="81"/>
  <c r="P143" i="81"/>
  <c r="P40" i="81"/>
  <c r="E40" i="81"/>
  <c r="P52" i="81"/>
  <c r="E52" i="81"/>
  <c r="P139" i="81"/>
  <c r="E139" i="81"/>
  <c r="E127" i="81"/>
  <c r="E58" i="81"/>
  <c r="P46" i="81"/>
  <c r="P58" i="81"/>
  <c r="E46" i="81"/>
  <c r="E145" i="81"/>
  <c r="E133" i="81"/>
  <c r="P145" i="81"/>
  <c r="E42" i="81"/>
  <c r="P54" i="81"/>
  <c r="P42" i="81"/>
  <c r="E54" i="81"/>
  <c r="P141" i="81"/>
  <c r="E141" i="81"/>
  <c r="E129" i="81"/>
  <c r="P45" i="81"/>
  <c r="P57" i="81"/>
  <c r="E45" i="81"/>
  <c r="E57" i="81"/>
  <c r="P144" i="81"/>
  <c r="E132" i="81"/>
  <c r="E144" i="81"/>
  <c r="P41" i="81"/>
  <c r="E53" i="81"/>
  <c r="E41" i="81"/>
  <c r="P53" i="81"/>
  <c r="E128" i="81"/>
  <c r="P140" i="81"/>
  <c r="E140" i="81"/>
  <c r="E13" i="13"/>
  <c r="G47" i="97"/>
  <c r="E50" i="97" s="1" a="1"/>
  <c r="E50" i="97" s="1"/>
  <c r="H12" i="13" s="1"/>
  <c r="E11" i="13"/>
  <c r="E67" i="81"/>
  <c r="E68" i="81"/>
  <c r="P110" i="81"/>
  <c r="P80" i="81"/>
  <c r="E110" i="81"/>
  <c r="E80" i="81"/>
  <c r="E71" i="81"/>
  <c r="P76" i="81"/>
  <c r="P106" i="81"/>
  <c r="E76" i="81"/>
  <c r="E106" i="81"/>
  <c r="E64" i="81"/>
  <c r="P81" i="81"/>
  <c r="P111" i="81"/>
  <c r="E81" i="81"/>
  <c r="E111" i="81"/>
  <c r="E69" i="81"/>
  <c r="P82" i="81"/>
  <c r="E112" i="81"/>
  <c r="E70" i="81"/>
  <c r="E82" i="81"/>
  <c r="P112" i="81"/>
  <c r="E108" i="81"/>
  <c r="E66" i="81"/>
  <c r="P78" i="81"/>
  <c r="P108" i="81"/>
  <c r="E78" i="81"/>
  <c r="P77" i="81"/>
  <c r="E107" i="81"/>
  <c r="P107" i="81"/>
  <c r="E77" i="81"/>
  <c r="E65" i="81"/>
  <c r="P297" i="69"/>
  <c r="E249" i="76"/>
  <c r="E46" i="82"/>
  <c r="P25" i="82"/>
  <c r="O284" i="76"/>
  <c r="E284" i="76"/>
  <c r="E297" i="69"/>
  <c r="P179" i="69"/>
  <c r="P244" i="69"/>
  <c r="E179" i="69"/>
  <c r="E244" i="69"/>
  <c r="G244" i="69" s="1" a="1"/>
  <c r="G244" i="69" s="1"/>
  <c r="O237" i="76"/>
  <c r="P46" i="82"/>
  <c r="E25" i="82"/>
  <c r="O249" i="76"/>
  <c r="E237" i="76"/>
  <c r="P157" i="69"/>
  <c r="E157" i="69"/>
  <c r="P168" i="69"/>
  <c r="E168" i="69"/>
  <c r="P45" i="82"/>
  <c r="E296" i="69"/>
  <c r="P296" i="69"/>
  <c r="E248" i="76"/>
  <c r="E45" i="82"/>
  <c r="P24" i="82"/>
  <c r="E283" i="76"/>
  <c r="O248" i="76"/>
  <c r="P243" i="69"/>
  <c r="E243" i="69"/>
  <c r="H243" i="69" s="1" a="1"/>
  <c r="H243" i="69" s="1"/>
  <c r="P178" i="69"/>
  <c r="O236" i="76"/>
  <c r="O283" i="76"/>
  <c r="E24" i="82"/>
  <c r="E236" i="76"/>
  <c r="P167" i="69"/>
  <c r="E167" i="69"/>
  <c r="E178" i="69"/>
  <c r="P156" i="69"/>
  <c r="E156" i="69"/>
  <c r="P239" i="69"/>
  <c r="P164" i="69"/>
  <c r="P41" i="82"/>
  <c r="O232" i="76"/>
  <c r="E164" i="69"/>
  <c r="E153" i="69"/>
  <c r="E20" i="82"/>
  <c r="E232" i="76"/>
  <c r="O279" i="76"/>
  <c r="E41" i="82"/>
  <c r="P20" i="82"/>
  <c r="E279" i="76"/>
  <c r="O244" i="76"/>
  <c r="E292" i="69"/>
  <c r="E175" i="69"/>
  <c r="P153" i="69"/>
  <c r="E244" i="76"/>
  <c r="P175" i="69"/>
  <c r="E239" i="69"/>
  <c r="F239" i="69" s="1" a="1"/>
  <c r="F239" i="69" s="1"/>
  <c r="P292" i="69"/>
  <c r="E40" i="82"/>
  <c r="P19" i="82"/>
  <c r="E278" i="76"/>
  <c r="E291" i="69"/>
  <c r="P174" i="69"/>
  <c r="P152" i="69"/>
  <c r="P163" i="69"/>
  <c r="E152" i="69"/>
  <c r="O278" i="76"/>
  <c r="O231" i="76"/>
  <c r="E163" i="69"/>
  <c r="E19" i="82"/>
  <c r="E231" i="76"/>
  <c r="P40" i="82"/>
  <c r="E243" i="76"/>
  <c r="O243" i="76"/>
  <c r="E174" i="69"/>
  <c r="P238" i="69"/>
  <c r="P291" i="69"/>
  <c r="E238" i="69"/>
  <c r="H238" i="69" s="1" a="1"/>
  <c r="H238" i="69" s="1"/>
  <c r="O233" i="76"/>
  <c r="P240" i="69"/>
  <c r="O280" i="76"/>
  <c r="E165" i="69"/>
  <c r="E154" i="69"/>
  <c r="O245" i="76"/>
  <c r="E21" i="82"/>
  <c r="E233" i="76"/>
  <c r="P42" i="82"/>
  <c r="E245" i="76"/>
  <c r="E240" i="69"/>
  <c r="J240" i="69" s="1" a="1"/>
  <c r="J240" i="69" s="1"/>
  <c r="E42" i="82"/>
  <c r="P21" i="82"/>
  <c r="E280" i="76"/>
  <c r="E176" i="69"/>
  <c r="P154" i="69"/>
  <c r="P176" i="69"/>
  <c r="P165" i="69"/>
  <c r="P293" i="69"/>
  <c r="E293" i="69"/>
  <c r="E23" i="82"/>
  <c r="E235" i="76"/>
  <c r="E166" i="69"/>
  <c r="O247" i="76"/>
  <c r="O282" i="76"/>
  <c r="P295" i="69"/>
  <c r="E247" i="76"/>
  <c r="E44" i="82"/>
  <c r="P23" i="82"/>
  <c r="E282" i="76"/>
  <c r="E295" i="69"/>
  <c r="P44" i="82"/>
  <c r="P177" i="69"/>
  <c r="P242" i="69"/>
  <c r="P166" i="69"/>
  <c r="O235" i="76"/>
  <c r="E242" i="69"/>
  <c r="F242" i="69" s="1" a="1"/>
  <c r="F242" i="69" s="1"/>
  <c r="E177" i="69"/>
  <c r="P155" i="69"/>
  <c r="E155" i="69"/>
  <c r="O238" i="76"/>
  <c r="E200" i="69"/>
  <c r="P200" i="69"/>
  <c r="J245" i="69" a="1"/>
  <c r="J245" i="69" s="1"/>
  <c r="H241" i="69" a="1"/>
  <c r="H241" i="69" s="1"/>
  <c r="E199" i="69"/>
  <c r="P199" i="69"/>
  <c r="E13" i="15"/>
  <c r="E52" i="95" l="1"/>
  <c r="G54" i="95" s="1"/>
  <c r="E57" i="95" s="1" a="1"/>
  <c r="E57" i="95" s="1"/>
  <c r="H10" i="13" s="1"/>
  <c r="R70" i="82"/>
  <c r="P73" i="82" s="1"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E10" i="13"/>
  <c r="F292" i="69" a="1"/>
  <c r="F292" i="69" s="1"/>
  <c r="F295" i="69" a="1"/>
  <c r="F295" i="69" s="1"/>
  <c r="H294" i="69" a="1"/>
  <c r="H294" i="69" s="1"/>
  <c r="J298" i="69" a="1"/>
  <c r="J298" i="69" s="1"/>
  <c r="J293" i="69" a="1"/>
  <c r="J293" i="69" s="1"/>
  <c r="H296" i="69" a="1"/>
  <c r="H296" i="69" s="1"/>
  <c r="H291" i="69" a="1"/>
  <c r="H291" i="69" s="1"/>
  <c r="G297" i="69" a="1"/>
  <c r="G297" i="69" s="1"/>
  <c r="F10" i="13"/>
  <c r="G70" i="82"/>
  <c r="E73" i="82" s="1" a="1"/>
  <c r="E73" i="82" s="1"/>
  <c r="H9" i="13" s="1"/>
  <c r="F8" i="13"/>
  <c r="P300" i="69" l="1"/>
  <c r="R302" i="69" s="1"/>
  <c r="P305" i="69" s="1" a="1"/>
  <c r="P305" i="69" s="1"/>
  <c r="I7" i="13" s="1"/>
  <c r="E300" i="69"/>
  <c r="G302" i="69" s="1"/>
  <c r="E305" i="69" s="1" a="1"/>
  <c r="E305" i="69" s="1"/>
  <c r="H7" i="13" s="1"/>
  <c r="E85" i="81"/>
  <c r="E20" i="13" s="1"/>
  <c r="P115" i="81"/>
  <c r="E115" i="81"/>
  <c r="E22" i="13" s="1"/>
  <c r="E148" i="81"/>
  <c r="E21" i="13" s="1"/>
  <c r="P148" i="81"/>
  <c r="O292" i="76" a="1"/>
  <c r="O292" i="76" s="1"/>
  <c r="I8" i="13" s="1"/>
  <c r="G289" i="76"/>
  <c r="E292" i="76" s="1" a="1"/>
  <c r="E292" i="76" s="1"/>
  <c r="H8" i="13" s="1"/>
  <c r="E8" i="13"/>
  <c r="F7" i="13" l="1"/>
  <c r="E7" i="13"/>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<sst xmlns="http://schemas.openxmlformats.org/spreadsheetml/2006/main" count="1636" uniqueCount="460">
  <si>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</si>
  <si>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</si>
  <si>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</si>
  <si>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</si>
  <si>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</si>
  <si>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</si>
  <si>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</si>
  <si>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</si>
  <si>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</si>
  <si>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</si>
  <si>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</si>
  <si>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</si>
  <si>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</si>
  <si>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</si>
  <si>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</si>
  <si>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</si>
  <si>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</si>
  <si>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</si>
  <si>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</si>
  <si>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</si>
  <si>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</si>
  <si>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</si>
  <si>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</si>
  <si>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</si>
  <si>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</si>
  <si>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</si>
  <si>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</si>
  <si>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</si>
  <si>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</si>
  <si>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</si>
  <si>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</si>
  <si>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</si>
  <si>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</si>
  <si>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</si>
  <si>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</si>
  <si>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</si>
  <si>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</si>
  <si>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</si>
  <si>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</si>
  <si>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</si>
  <si>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</si>
  <si>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</si>
  <si>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</si>
  <si>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</si>
  <si>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</si>
  <si>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</si>
  <si>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</si>
  <si>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</si>
  <si>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</si>
  <si>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</si>
  <si>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</si>
  <si>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</si>
  <si>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</si>
  <si>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</si>
  <si>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</si>
  <si>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</si>
  <si>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</si>
  <si>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</si>
  <si>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</si>
  <si>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</si>
  <si>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</si>
  <si>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</si>
  <si>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</si>
  <si>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</si>
  <si>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</si>
  <si>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</si>
  <si>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</si>
  <si>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</si>
  <si>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</si>
  <si>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</si>
  <si>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</si>
  <si>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</si>
  <si>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</si>
  <si>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</si>
  <si>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</si>
  <si>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</si>
  <si>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</si>
  <si>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</si>
  <si>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</si>
  <si>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</si>
  <si>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</si>
  <si>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</si>
  <si>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</si>
  <si>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</si>
  <si>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</si>
  <si>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</si>
  <si>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</si>
  <si>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</si>
  <si>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</si>
  <si>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</si>
  <si>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</si>
  <si>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</si>
  <si>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</si>
  <si>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</si>
  <si>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</si>
  <si>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</si>
  <si>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</si>
  <si>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</si>
  <si>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</si>
  <si>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</si>
  <si>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</si>
  <si>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</si>
  <si>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</si>
  <si>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</si>
  <si>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</si>
  <si>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New South Wales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</si>
  <si>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</si>
  <si>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</si>
  <si>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</si>
  <si>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</si>
  <si>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</si>
  <si>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</si>
  <si>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</si>
  <si>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</si>
  <si>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</si>
  <si>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</si>
  <si>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</si>
  <si>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</si>
  <si>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</si>
  <si>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</si>
  <si>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</si>
  <si>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</si>
  <si>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</si>
  <si>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</si>
  <si>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</si>
  <si>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</si>
  <si>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</si>
  <si>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</si>
  <si>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</si>
  <si>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</si>
  <si>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</si>
  <si>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</si>
  <si>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</si>
  <si>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</si>
  <si>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</si>
  <si>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</si>
  <si>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</si>
  <si>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</si>
  <si>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</si>
  <si>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</si>
  <si>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</si>
  <si>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</si>
  <si>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</si>
  <si>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</si>
  <si>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</si>
  <si>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</si>
  <si>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</si>
  <si>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</si>
  <si>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</si>
  <si>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</si>
  <si>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</si>
  <si>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</si>
  <si>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</si>
  <si>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</si>
  <si>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</si>
  <si>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</si>
  <si>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</si>
  <si>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</si>
  <si>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</si>
  <si>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</si>
  <si>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</si>
  <si>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</si>
  <si>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</si>
  <si>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Amount of N in manure</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</si>
  <si>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</si>
  <si>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</si>
  <si>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</si>
  <si>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</si>
  <si>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</si>
  <si>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</si>
  <si>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</si>
  <si>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</si>
  <si>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</si>
  <si>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</si>
  <si>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</si>
  <si>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</si>
  <si>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</si>
  <si>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</si>
  <si>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</si>
  <si>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</si>
  <si>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</si>
  <si>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</si>
  <si>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</si>
  <si>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</si>
  <si>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</si>
  <si>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</si>
  <si>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</si>
  <si>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</si>
  <si>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</si>
  <si>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</si>
  <si>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</si>
  <si>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</si>
  <si>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</si>
  <si>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</si>
  <si>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</si>
  <si>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</si>
  <si>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</si>
  <si>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</si>
  <si>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</si>
  <si>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</si>
  <si>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</si>
  <si>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</si>
  <si>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</si>
  <si>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</si>
  <si>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</si>
  <si>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</si>
  <si>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</si>
  <si>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</si>
  <si>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</si>
  <si>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</si>
  <si>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</si>
  <si>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</si>
  <si>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</si>
  <si>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Dry matter intake</t>
  </si>
  <si>
    <t>Diet</t>
  </si>
  <si>
    <t>kgDM/head/day</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</si>
  <si>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</si>
  <si>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</si>
  <si>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</si>
  <si>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</si>
  <si>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</si>
  <si>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</si>
  <si>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</si>
  <si>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</si>
  <si>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</si>
  <si>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</si>
  <si>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</si>
  <si>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</si>
  <si>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</si>
  <si>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</si>
  <si>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</si>
  <si>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</si>
  <si>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</si>
  <si>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</si>
  <si>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</si>
  <si>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</si>
  <si>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</si>
  <si>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</si>
  <si>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</si>
  <si>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</si>
  <si>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</si>
  <si>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</si>
  <si>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</si>
  <si>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</si>
  <si>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</si>
  <si>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</si>
  <si>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</si>
  <si>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</si>
  <si>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</si>
  <si>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</si>
  <si>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</si>
  <si>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</si>
  <si>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</si>
  <si>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</si>
  <si>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</si>
  <si>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</si>
  <si>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</si>
  <si>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</si>
  <si>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</si>
  <si>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</si>
  <si>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</si>
  <si>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</si>
  <si>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</si>
  <si>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</si>
  <si>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</si>
  <si>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</si>
  <si>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</si>
  <si>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</si>
  <si>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</si>
  <si>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</si>
  <si>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</si>
  <si>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</si>
  <si>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</si>
  <si>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</si>
  <si>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</si>
  <si>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</si>
  <si>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</si>
  <si>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</si>
  <si>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</si>
  <si>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</si>
  <si>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</si>
  <si>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</si>
  <si>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</si>
  <si>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</si>
  <si>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</si>
  <si>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</si>
  <si>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</si>
  <si>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</si>
  <si>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</si>
  <si>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</si>
  <si>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</si>
  <si>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</si>
  <si>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</si>
  <si>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</si>
  <si>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</si>
  <si>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</si>
  <si>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</si>
  <si>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</si>
  <si>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</si>
  <si>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</si>
  <si>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</si>
  <si>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</si>
  <si>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</si>
  <si>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Total annual nitrogen excreted cattle &gt; 1 year old</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</si>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</sst>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57">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3" fillId="4" borderId="1" xfId="7" applyBorder="1">
      <alignment horizontal="left" vertical="center"/>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xf numFmtId="0" fontId="40" fillId="4" borderId="0" xfId="8" applyAlignment="1">
      <alignment horizontal="left" vertical="center" indent="9"/>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9"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8"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6"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5"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4"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3"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2"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1"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70"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9"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8"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7"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3"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2"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1"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60"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9"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8"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7"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6"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5"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4"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2"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1"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50"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6"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5"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4"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3"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03FF72D-5AA8-4D04-BC68-A876F0B27A9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F794626-A850-4164-8339-B540B2DF4318}" name="State/Territory">
      <calculatedColumnFormula array="1">Common_InputFunctions.Utility_DisplayArrayInTable(Common_SourceData.Common_SourceData_AustralianStatesTerritories_Data(),Table_AustralianStates[[#Headers],[State/Territory]],0)</calculatedColumnFormula>
    </tableColumn>
    <tableColumn id="2" xr3:uid="{DAE38D79-3412-44EE-B743-F7EA54525797}" name="Common Name">
      <calculatedColumnFormula array="1">Common_InputFunctions.Utility_DisplayArrayInTable(Common_SourceData.Common_SourceData_AustralianStatesTerritories_Data(),Table_AustralianStates[[#Headers],[State/Territory]],0)</calculatedColumnFormula>
    </tableColumn>
    <tableColumn id="3" xr3:uid="{0A80F820-FBCF-4CD9-BB99-A505AD6A647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467D148-4878-4FAD-BB3C-F97D06CA9512}" name="Table_WASA4Areas" displayName="Table_WASA4Areas" ref="D20:D30" totalsRowShown="0">
  <autoFilter ref="D20:D30" xr:uid="{5FA81339-C6C8-4D36-BEEA-6C4AEDD9E676}">
    <filterColumn colId="0" hiddenButton="1"/>
  </autoFilter>
  <tableColumns count="1">
    <tableColumn id="1" xr3:uid="{C82476DA-E731-4E10-9D5A-E9F0C1FC06B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914CD11-0EFE-4643-96AF-5AA68162B523}" name="Table_GWPData" displayName="Table_GWPData" ref="D36:E43" totalsRowShown="0">
  <autoFilter ref="D36:E43" xr:uid="{B8E87A66-3E41-4AD3-925D-01EE21B43D7A}">
    <filterColumn colId="0" hiddenButton="1"/>
    <filterColumn colId="1" hiddenButton="1"/>
  </autoFilter>
  <tableColumns count="2">
    <tableColumn id="1" xr3:uid="{65D9E7F2-5AA3-4F6D-B872-299BD4277352}" name="Gas">
      <calculatedColumnFormula array="1">Common_InputFunctions.Utility_DisplayArrayInTable(Common_SourceData.Common_SourceData_GWP_Data(), Table_GWPData[[#Headers],[Gas]], 0)</calculatedColumnFormula>
    </tableColumn>
    <tableColumn id="2" xr3:uid="{2E11C296-A27E-44C8-B866-B60D8484DA2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DEC118-7605-4D43-9B0E-4EC1C118899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4DF9520-BD4A-4E94-BBCC-0D5B7E7A8E54}" name="Gas">
      <calculatedColumnFormula array="1">Common_InputFunctions.Utility_DisplayArrayInTable(Common_SourceData.Common_SourceData_ConvertGasElementalToMolecular_Data(),Table_GasToMolecularConversionFactor[[#Headers],[Gas]], 0)</calculatedColumnFormula>
    </tableColumn>
    <tableColumn id="5" xr3:uid="{719EA7B0-E1E5-4B9A-9E3D-3FFF5967D16D}" name="Conversion factor">
      <calculatedColumnFormula array="1">Common_InputFunctions.Utility_DisplayArrayInTable(Common_SourceData.Common_SourceData_ConvertGasElementalToMolecular_Data(),Table_GasToMolecularConversionFactor[[#Headers],[Gas]], 0)</calculatedColumnFormula>
    </tableColumn>
    <tableColumn id="2" xr3:uid="{AF7D1800-FE1C-4287-A8AE-6903F6F799C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AFCE0E3-845A-46DD-9AB0-BABC1C0E7CF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BEB747A-4ACF-4E38-AEBF-06ED8AF9CE7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BE267B3-46EA-4CA7-9B3C-1A1F5421802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7B6CA81-618B-4698-9F97-AD28407946EB}"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1C1D4B8-FE13-46DA-BB59-A5008C6FE7C1}" name="MAT"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3" xr3:uid="{102A624F-AE25-4F8F-B3F0-59DB196609CC}" name="MA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4" xr3:uid="{F989612B-CC72-45D5-AE66-26DF38DFC6EA}" name="Frost days per year"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5" xr3:uid="{01545F31-673F-4A04-A77E-2429EE93C858}" name="Elevation"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6" xr3:uid="{25F16A09-9A57-463B-9BCB-20875BB51C44}" name="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7" xr3:uid="{5AA65FCB-002B-47F1-A287-E218559BCF41}" name="Min temp"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8" xr3:uid="{C0739D72-8114-41EC-AE17-F0842D7BE327}" name="Max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9" xr3:uid="{838C2DB7-9885-4DD3-9B09-44688DEE8F3E}" name="Min rainfall"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0" xr3:uid="{AC6CC6C2-C45B-4428-B2ED-43073BD9C77B}" name="Max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1" xr3:uid="{D27C9106-4113-428E-A02E-BB79B2F36A53}" name="Min frost days"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5" xr3:uid="{2C7CD77E-0CE7-472B-80F9-ED09AE8A7629}" name="Max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2" xr3:uid="{FAF6B10D-23FD-49F4-B389-A5D911DA4EB0}" name="Min 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6" xr3:uid="{C3D3CE5A-28C9-4BA8-9403-42CCEEFC311A}" name="Max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3" xr3:uid="{41AF1E4E-419B-49D3-B5DD-31A71A63AD52}" name="Min MAP:PET"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7" xr3:uid="{0323E4F1-1C74-4A8C-A893-AA2777B9A8E5}" name="Max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CA1693-7EC0-48C3-8123-A6D663D828A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9E074F6-1F46-427E-8A7B-BFEA18900DC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FF83C7F-09C9-4F06-BECA-CDFF7F5BD9FB}" name="Wet or Dry Zone" totalsRowDxfId="2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8520BC8-5672-4822-908B-809C356B033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83149F2-73DE-4562-B91A-1F9C39334064}" name="Temperature Zone">
      <calculatedColumnFormula array="1">Common_InputFunctions.Utility_DisplayArrayInTable(Common_SourceData.Common_SourceData_TemperatureZones_Data(),Table_SourceData_TemperatureZones[[#Headers],[Temperature Zone]],0)</calculatedColumnFormula>
    </tableColumn>
    <tableColumn id="2" xr3:uid="{14D1E32A-5A09-4329-8DC4-EAD6A0F58865}" name="MAT">
      <calculatedColumnFormula array="1">Common_InputFunctions.Utility_DisplayArrayInTable(Common_SourceData.Common_SourceData_TemperatureZones_Data(),Table_SourceData_TemperatureZones[[#Headers],[Temperature Zone]],0)</calculatedColumnFormula>
    </tableColumn>
    <tableColumn id="3" xr3:uid="{C067EEEF-2F54-4838-949C-910BB29190EE}" name="Min MAT">
      <calculatedColumnFormula array="1">Common_InputFunctions.Utility_DisplayArrayInTable(Common_SourceData.Common_SourceData_TemperatureZones_Data(),Table_SourceData_TemperatureZones[[#Headers],[Temperature Zone]],0)</calculatedColumnFormula>
    </tableColumn>
    <tableColumn id="4" xr3:uid="{1A7E3D6B-ED50-49B2-8FFF-27C59B2D229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BCEE09E-35BE-4F5B-9886-18B04A28577F}"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419F08F-BAEF-4F99-9D31-2F07F0CBAEC1}" name="Rainfall Zone">
      <calculatedColumnFormula array="1">Common_InputFunctions.Utility_DisplayArrayInTable(Common_SourceData.Common_SourceData_RainfallZones_Data(),Table_SourceData_RainfallZones[[#Headers],[Rainfall Zone]],0)</calculatedColumnFormula>
    </tableColumn>
    <tableColumn id="2" xr3:uid="{C5E53696-D0AD-48E4-A387-F00098834B82}" name="Annual rainfall">
      <calculatedColumnFormula array="1">Common_InputFunctions.Utility_DisplayArrayInTable(Common_SourceData.Common_SourceData_RainfallZones_Data(),Table_SourceData_RainfallZones[[#Headers],[Rainfall Zone]],0)</calculatedColumnFormula>
    </tableColumn>
    <tableColumn id="3" xr3:uid="{AEB22F2A-45B7-4985-926A-90CE467ACCA3}" name="Min rainfall">
      <calculatedColumnFormula array="1">Common_InputFunctions.Utility_DisplayArrayInTable(Common_SourceData.Common_SourceData_RainfallZones_Data(),Table_SourceData_RainfallZones[[#Headers],[Rainfall Zone]],0)</calculatedColumnFormula>
    </tableColumn>
    <tableColumn id="4" xr3:uid="{1E498886-42FD-468A-8875-3F9783E4700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BDEC461-6A93-4A97-90E4-9A8AA40A19D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479AB66-B537-45F0-95C3-F780F47F5E4D}" name="Leaching Zone">
      <calculatedColumnFormula array="1">Common_InputFunctions.Utility_DisplayArrayInTable(Common_SourceData.Common_SourceData_LeachingZones_Data(), Table_SourceData_LeachingZones[[#Headers],[Leaching Zone]], 0)</calculatedColumnFormula>
    </tableColumn>
    <tableColumn id="2" xr3:uid="{7681297D-A0F0-4054-A87F-AE8E786F8B4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1C81900-DCEC-41E8-B766-0A4CBD6AFDD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242AC1A-2AFA-428F-935B-83A73B49F1AF}" name="Data source">
      <calculatedColumnFormula array="1">Common_InputFunctions.Utility_DisplayArrayInTable(Common_SourceData.Common_SourceData_DataScores_Scope3_Data(), Table_SourceData_DataScores_Scope3[[#Headers],[Data source]], 0)</calculatedColumnFormula>
    </tableColumn>
    <tableColumn id="2" xr3:uid="{A432E50B-9E0E-4A79-9E3B-C047686F9E5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3F08F2B-C3BE-4F58-9F6F-330BA0E52867}" name="Table_SourceData_FracWET" displayName="Table_SourceData_FracWET" ref="D134:E136" totalsRowShown="0">
  <autoFilter ref="D134:E136" xr:uid="{308E99BE-FE1F-47A4-B2CA-97217277C4E9}">
    <filterColumn colId="0" hiddenButton="1"/>
    <filterColumn colId="1" hiddenButton="1"/>
  </autoFilter>
  <tableColumns count="2">
    <tableColumn id="1" xr3:uid="{CA6CB252-C2A3-40D6-9473-9FC46E9D52A4}" name="Is in leaching zone">
      <calculatedColumnFormula array="1">Common_InputFunctions.Utility_DisplayArrayInTable(Common_SourceData.Common_SourceData_FracWET_Data(),Table_SourceData_FracWET[[#Headers],[Is in leaching zone]],0)</calculatedColumnFormula>
    </tableColumn>
    <tableColumn id="2" xr3:uid="{17B50AED-915B-4AAF-A792-B6C8FBF0C02A}" name="FracWET" dataDxfId="2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AE7B8FB-16AF-416E-98A4-D699DD5C5E8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A1113FC-3C11-4120-8A7A-C6A066062811}" name="Production system j">
      <calculatedColumnFormula array="1">Common_InputFunctions.Utility_DisplayArrayInTable(Common_SourceData.Common_SourceData_EFN2O_Data(), Table_SourceData_Common_EFN2O[[#Headers],[Production system j]], 0)</calculatedColumnFormula>
    </tableColumn>
    <tableColumn id="2" xr3:uid="{19F26070-D269-4461-9AA9-E73E9C3B4B2E}" name="EFN2O">
      <calculatedColumnFormula array="1">Common_InputFunctions.Utility_DisplayArrayInTable(Common_SourceData.Common_SourceData_EFN2O_Data(), Table_SourceData_Common_EFN2O[[#Headers],[Production system j]], 0)</calculatedColumnFormula>
    </tableColumn>
    <tableColumn id="3" xr3:uid="{21B682C6-C2D0-424C-AD39-4F3E40D4636F}" name="Production system only">
      <calculatedColumnFormula array="1">Common_InputFunctions.Utility_DisplayArrayInTable(Common_SourceData.Common_SourceData_EFN2O_Data(), Table_SourceData_Common_EFN2O[[#Headers],[Production system j]], 0)</calculatedColumnFormula>
    </tableColumn>
    <tableColumn id="4" xr3:uid="{6962E14F-8525-41AD-A04F-63D56983CE42}" name="Irrigation method">
      <calculatedColumnFormula array="1">Common_InputFunctions.Utility_DisplayArrayInTable(Common_SourceData.Common_SourceData_EFN2O_Data(), Table_SourceData_Common_EFN2O[[#Headers],[Production system j]], 0)</calculatedColumnFormula>
    </tableColumn>
    <tableColumn id="5" xr3:uid="{3BE4975D-FE3A-45D5-891E-ED75504CC35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13CB41C-F794-4760-AC66-5B531D674B0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CAC3C0F9-1257-4074-B70D-B5E41C33E503}" name="Irrigation type i">
      <calculatedColumnFormula array="1">Common_InputFunctions.Utility_DisplayArrayInTable(Common_SourceData.Common_SourceData_FracWETIrrigation_Data(), Table_SourceData_FracWETIrrigation[[#Headers],[Irrigation type i]], 0)</calculatedColumnFormula>
    </tableColumn>
    <tableColumn id="2" xr3:uid="{493CDD78-3DCB-49BC-B18C-971DBEBBEFAD}" name="FracWET" dataDxfId="2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B66389F-5E7A-480C-811A-03404D9514D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A630E68-DE8C-4AED-8D19-EEAAD9054DF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BCF572D-EFF8-47B4-9A54-09684720C466}" name="EFPRP" dataDxfId="2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6508C63-E9E0-470A-9DC6-5393265238C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3D2FAD8-2DF7-440E-9815-F9954FD522E7}" name="Month">
      <calculatedColumnFormula array="1">Common_InputFunctions.Utility_DisplayArrayInTable(Common_SourceData.Common_SourceData_MonthsToSeasons_Data(), Table_SourceData_Common_MonthToSeason[[#Headers],[Month]], 0)</calculatedColumnFormula>
    </tableColumn>
    <tableColumn id="2" xr3:uid="{E686A930-9FC6-45F2-A491-349E9B878124}" name="Season" dataDxfId="2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C651049-2627-4EC7-8E7F-25B154AFB6E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2F53388-4525-4EB9-9628-BCBEA2F30578}"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6933AB0-11DA-4292-8FE5-DE8E2CA4B88D}" name="MAT (ºC)"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76F11EA-A68F-4DDA-AB7D-A620B6EF4C44}" name="Anaerobic lagoon"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A59FC53-FA95-42F8-A803-83894C899534}" name="Digester / covered lagoons"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8317A95-2AB4-45D9-AACA-B1FFC6DCAD30}" name="Liquid system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0C2DD5C-EF5D-46AB-A17D-EA174DBC06AB}" name="Daily spread"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3E6D90B-E8DC-4961-9A38-4984A6364EC3}" name="Composting (passive windrow)"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5E7893-DB4C-4B24-975D-397921C40F6A}" name="Solid storage"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5D07BA0-D24C-47DD-BCE9-8AEB94688BBD}" name="Pit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A8038AA-B56B-40E7-94C4-CFC40CEFAF7B}" name="Deep litter"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8FB6B0A-E569-4A66-B2B7-67E40B8006C7}" name="Poultry manure with bedding"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708DD5D-0DF4-4D67-BB71-ADF7EFD4F4DF}" name="Poultry manure without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02B5F58-FFEC-4FFD-AC7E-15228F5CB463}" name="Direct process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D5FE3CD-8EA9-40AB-A6D2-55C163061365}" name="Direct application"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89C453B-2907-4AE7-80EF-A626BEEC7189}" name="Pasture range and paddock"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00A278F-92FA-4925-ADAF-21269BA28878}" name="MAT raw"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0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6.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432</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3" t="s">
        <v>442</v>
      </c>
      <c r="E5" s="153"/>
      <c r="F5" s="153"/>
      <c r="G5" s="153"/>
      <c r="H5" s="153"/>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4" t="s">
        <v>431</v>
      </c>
      <c r="E6" s="152"/>
      <c r="F6" s="152"/>
      <c r="G6" s="152"/>
      <c r="H6" s="152"/>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E8" sqref="E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322</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142</v>
      </c>
      <c r="E6" s="122" t="s">
        <v>387</v>
      </c>
      <c r="F6" s="122" t="s">
        <v>388</v>
      </c>
      <c r="G6" s="122" t="s">
        <v>159</v>
      </c>
      <c r="H6" s="122" t="s">
        <v>393</v>
      </c>
      <c r="I6" s="122" t="s">
        <v>394</v>
      </c>
      <c r="J6" s="122" t="s">
        <v>160</v>
      </c>
      <c r="K6" s="24"/>
    </row>
    <row r="7" spans="1:11" ht="20.100000000000001" customHeight="1" x14ac:dyDescent="0.25">
      <c r="A7" s="20" t="s">
        <v>3</v>
      </c>
      <c r="C7" s="24"/>
      <c r="D7" s="1" t="s">
        <v>389</v>
      </c>
      <c r="E7" s="117">
        <f>'4.3.1.1-2 Methane'!$E$300</f>
        <v>10.314345551795777</v>
      </c>
      <c r="F7" s="117">
        <f>'4.3.1.1-2 Methane'!$P$300</f>
        <v>10.64070664267806</v>
      </c>
      <c r="G7" s="57" t="str">
        <f>'4.3.1.1-2 Methane'!$F$300</f>
        <v>t CH4</v>
      </c>
      <c r="H7" s="117">
        <f>'4.3.1.1-2 Methane'!$E$305</f>
        <v>288.80167545028172</v>
      </c>
      <c r="I7" s="117">
        <f>'4.3.1.1-2 Methane'!$P$305</f>
        <v>297.9397859949857</v>
      </c>
      <c r="J7" s="57" t="str">
        <f>'4.3.1.1-2 Methane'!$F$305</f>
        <v>t CO2e</v>
      </c>
      <c r="K7" s="24"/>
    </row>
    <row r="8" spans="1:11" ht="20.100000000000001" customHeight="1" x14ac:dyDescent="0.25">
      <c r="A8" s="17" t="str">
        <f>HYPERLINK("#'Input - Site'!A1", "Site")</f>
        <v>Site</v>
      </c>
      <c r="C8" s="24"/>
      <c r="D8" s="1" t="s">
        <v>390</v>
      </c>
      <c r="E8" s="117">
        <f>'4.3.1.3-4 Direct N20'!$E$287</f>
        <v>6.3172161253287021E-2</v>
      </c>
      <c r="F8" s="117">
        <f>'4.3.1.3-4 Direct N20'!$O$287</f>
        <v>6.3172161253287021E-2</v>
      </c>
      <c r="G8" s="57" t="str">
        <f>'4.3.1.3-4 Direct N20'!$F$287</f>
        <v>t N2O</v>
      </c>
      <c r="H8" s="117">
        <f>'4.3.1.3-4 Direct N20'!$E$292</f>
        <v>16.740622732121061</v>
      </c>
      <c r="I8" s="117">
        <f>'4.3.1.3-4 Direct N20'!$O$292</f>
        <v>16.740622732121061</v>
      </c>
      <c r="J8" s="57" t="str">
        <f>'4.3.1.3-4 Direct N20'!$F$292</f>
        <v>t CO2e</v>
      </c>
      <c r="K8" s="24"/>
    </row>
    <row r="9" spans="1:11" ht="20.100000000000001" customHeight="1" x14ac:dyDescent="0.25">
      <c r="A9" s="17" t="str">
        <f>HYPERLINK("#'Input - Dairy'!A1", "Dairy")</f>
        <v>Dairy</v>
      </c>
      <c r="C9" s="24"/>
      <c r="D9" s="1" t="s">
        <v>391</v>
      </c>
      <c r="E9" s="117">
        <f>'4.3.1.5 Atmos deposition'!$E$68</f>
        <v>5.0665467159299066E-2</v>
      </c>
      <c r="F9" s="117">
        <f>'4.3.1.5 Atmos deposition'!$P$68</f>
        <v>5.0665467159299066E-2</v>
      </c>
      <c r="G9" s="57" t="str">
        <f>'4.3.1.5 Atmos deposition'!$F$68</f>
        <v>t N2O</v>
      </c>
      <c r="H9" s="117">
        <f>'4.3.1.5 Atmos deposition'!$E$73</f>
        <v>13.426348797214253</v>
      </c>
      <c r="I9" s="117">
        <f>'4.3.1.5 Atmos deposition'!$P$73</f>
        <v>13.426348797214253</v>
      </c>
      <c r="J9" s="57" t="str">
        <f>'4.3.1.5 Atmos deposition'!$F$73</f>
        <v>t CO2e</v>
      </c>
      <c r="K9" s="24"/>
    </row>
    <row r="10" spans="1:11" ht="20.100000000000001" customHeight="1" x14ac:dyDescent="0.25">
      <c r="A10" s="17"/>
      <c r="C10" s="24"/>
      <c r="D10" s="1" t="s">
        <v>392</v>
      </c>
      <c r="E10" s="117">
        <f>'4.3.1.6-7 Leaching and runoff'!$E$52</f>
        <v>2.779575095144629E-3</v>
      </c>
      <c r="F10" s="117">
        <f>'4.3.1.6-7 Leaching and runoff'!$P$52</f>
        <v>2.779575095144629E-3</v>
      </c>
      <c r="G10" s="57" t="str">
        <f>'4.3.1.6-7 Leaching and runoff'!$F$52</f>
        <v>t N2O</v>
      </c>
      <c r="H10" s="117">
        <f>'4.3.1.6-7 Leaching and runoff'!$E$57</f>
        <v>0.73658740021332669</v>
      </c>
      <c r="I10" s="117">
        <f>'4.3.1.6-7 Leaching and runoff'!$P$57</f>
        <v>0.73658740021332669</v>
      </c>
      <c r="J10" s="57" t="str">
        <f>'4.3.1.6-7 Leaching and runoff'!$F$57</f>
        <v>t CO2e</v>
      </c>
      <c r="K10" s="24"/>
    </row>
    <row r="11" spans="1:11" ht="20.100000000000001" customHeight="1" x14ac:dyDescent="0.25">
      <c r="A11" s="19" t="s">
        <v>78</v>
      </c>
      <c r="C11" s="24"/>
      <c r="D11" s="1" t="s">
        <v>359</v>
      </c>
      <c r="E11" s="117">
        <f>'4.3.1.9 Soil direct N2O'!$E$53</f>
        <v>8.0033058384947273E-2</v>
      </c>
      <c r="F11" s="117">
        <f>'4.3.1.9 Soil direct N2O'!$P$53</f>
        <v>8.0033058384947273E-2</v>
      </c>
      <c r="G11" s="57" t="str">
        <f>'4.3.1.9 Soil direct N2O'!$F$53</f>
        <v>t N2O</v>
      </c>
      <c r="H11" s="117">
        <f>'4.3.1.9 Soil direct N2O'!$E$58</f>
        <v>21.208760472011026</v>
      </c>
      <c r="I11" s="117">
        <f>'4.3.1.9 Soil direct N2O'!$P$58</f>
        <v>21.208760472011026</v>
      </c>
      <c r="J11" s="57" t="str">
        <f>'4.3.1.9 Soil direct N2O'!$F$58</f>
        <v>t CO2e</v>
      </c>
      <c r="K11" s="24"/>
    </row>
    <row r="12" spans="1:11" ht="20.100000000000001" customHeight="1" x14ac:dyDescent="0.25">
      <c r="A12" s="17" t="str">
        <f>HYPERLINK("#'4.3.1.1-2 Methane'!A1", "4.3.1.1-2 Methane")</f>
        <v>4.3.1.1-2 Methane</v>
      </c>
      <c r="C12" s="24"/>
      <c r="D12" s="1" t="s">
        <v>375</v>
      </c>
      <c r="E12" s="117">
        <f>'4.3.1.10-11 Soil Atmos Dep'!$E$45</f>
        <v>4.958047966947482E-2</v>
      </c>
      <c r="F12" s="117">
        <f>'4.3.1.10-11 Soil Atmos Dep'!$P$45</f>
        <v>4.958047966947482E-2</v>
      </c>
      <c r="G12" s="57" t="str">
        <f>'4.3.1.10-11 Soil Atmos Dep'!$F$45</f>
        <v>t N2O</v>
      </c>
      <c r="H12" s="117">
        <f>'4.3.1.10-11 Soil Atmos Dep'!$E$50</f>
        <v>13.138827112410826</v>
      </c>
      <c r="I12" s="117">
        <f>'4.3.1.10-11 Soil Atmos Dep'!$P$50</f>
        <v>13.138827112410826</v>
      </c>
      <c r="J12" s="57" t="str">
        <f>'4.3.1.10-11 Soil Atmos Dep'!$F$50</f>
        <v>t CO2e</v>
      </c>
      <c r="K12" s="24"/>
    </row>
    <row r="13" spans="1:11" ht="20.100000000000001" customHeight="1" x14ac:dyDescent="0.25">
      <c r="A13" s="17" t="str">
        <f>HYPERLINK("#'4.3.1.3-4 Direct N20'!A1", "4.3.1.3-4 Direct N2O")</f>
        <v>4.3.1.3-4 Direct N2O</v>
      </c>
      <c r="C13" s="24"/>
      <c r="D13" s="1" t="s">
        <v>376</v>
      </c>
      <c r="E13" s="117">
        <f>'4.3.1.12-13 Soil leach runoff'!$E$47</f>
        <v>8.8036364223441996E-3</v>
      </c>
      <c r="F13" s="117">
        <f>'4.3.1.12-13 Soil leach runoff'!$P$47</f>
        <v>8.8036364223441996E-3</v>
      </c>
      <c r="G13" s="57" t="str">
        <f>'4.3.1.12-13 Soil leach runoff'!$F$47</f>
        <v>t N2O</v>
      </c>
      <c r="H13" s="117">
        <f>'4.3.1.12-13 Soil leach runoff'!$E$52</f>
        <v>2.3329636519212129</v>
      </c>
      <c r="I13" s="117">
        <f>'4.3.1.12-13 Soil leach runoff'!$P$52</f>
        <v>2.3329636519212129</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157</v>
      </c>
      <c r="E14" s="25"/>
      <c r="F14" s="25"/>
      <c r="G14" s="31"/>
      <c r="H14" s="119">
        <f>SUM(H7:H13)</f>
        <v>356.38578561617339</v>
      </c>
      <c r="I14" s="119">
        <f>SUM(I7:I13)</f>
        <v>365.52389616087737</v>
      </c>
      <c r="J14" s="112" t="s">
        <v>357</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345</v>
      </c>
      <c r="E16" s="1"/>
      <c r="F16" s="1"/>
      <c r="G16" s="1"/>
      <c r="H16" s="26"/>
      <c r="I16" s="1"/>
      <c r="J16" s="1"/>
      <c r="K16" s="24"/>
    </row>
    <row r="17" spans="1:11" ht="20.100000000000001" customHeight="1" x14ac:dyDescent="0.25">
      <c r="A17" s="17" t="str">
        <f>HYPERLINK("#'4.3.1.9 Soil direct N2O'!A1", "4.3.1.9 Soil direct N2O")</f>
        <v>4.3.1.9 Soil direct N2O</v>
      </c>
      <c r="C17" s="24"/>
      <c r="D17" s="113" t="s">
        <v>165</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171</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166</v>
      </c>
      <c r="E19" s="122" t="s">
        <v>163</v>
      </c>
      <c r="F19" s="122" t="s">
        <v>164</v>
      </c>
      <c r="G19" s="122" t="s">
        <v>158</v>
      </c>
      <c r="H19" s="122" t="s">
        <v>170</v>
      </c>
      <c r="I19" s="1"/>
      <c r="J19" s="1"/>
      <c r="K19" s="24"/>
    </row>
    <row r="20" spans="1:11" ht="20.100000000000001" customHeight="1" x14ac:dyDescent="0.25">
      <c r="A20" s="17"/>
      <c r="C20" s="24"/>
      <c r="D20" s="1" t="s">
        <v>401</v>
      </c>
      <c r="E20" s="121">
        <f>'4.3.1.8 Manure applied to soils'!$E$85</f>
        <v>12417.473379475077</v>
      </c>
      <c r="F20" s="57" t="s">
        <v>133</v>
      </c>
      <c r="G20" s="1" t="s">
        <v>395</v>
      </c>
      <c r="H20" s="1" t="s">
        <v>169</v>
      </c>
      <c r="I20" s="1"/>
      <c r="J20" s="1"/>
      <c r="K20" s="24"/>
    </row>
    <row r="21" spans="1:11" ht="20.100000000000001" customHeight="1" x14ac:dyDescent="0.25">
      <c r="A21" s="18" t="s">
        <v>4</v>
      </c>
      <c r="C21" s="24"/>
      <c r="D21" s="1" t="s">
        <v>167</v>
      </c>
      <c r="E21" s="121">
        <f>'4.3.1.8 Manure applied to soils'!$E$148</f>
        <v>4139.1577931583588</v>
      </c>
      <c r="F21" s="57" t="s">
        <v>133</v>
      </c>
      <c r="G21" s="1" t="s">
        <v>395</v>
      </c>
      <c r="H21" s="1" t="s">
        <v>169</v>
      </c>
      <c r="I21" s="24"/>
      <c r="J21" s="1"/>
      <c r="K21" s="24"/>
    </row>
    <row r="22" spans="1:11" ht="20.100000000000001" customHeight="1" x14ac:dyDescent="0.25">
      <c r="A22" s="17" t="str">
        <f>HYPERLINK("#'Constants - Dairy'!A1", "Constants - Dairy")</f>
        <v>Constants - Dairy</v>
      </c>
      <c r="C22" s="24"/>
      <c r="D22" s="1" t="s">
        <v>161</v>
      </c>
      <c r="E22" s="121">
        <f>'4.3.1.8 Manure applied to soils'!$E$115</f>
        <v>4139.1577931583588</v>
      </c>
      <c r="F22" s="57" t="s">
        <v>133</v>
      </c>
      <c r="G22" s="1" t="s">
        <v>162</v>
      </c>
      <c r="H22" s="1" t="s">
        <v>168</v>
      </c>
      <c r="I22" s="24"/>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74</v>
      </c>
      <c r="E8" s="35" t="s">
        <v>75</v>
      </c>
    </row>
    <row r="9" spans="1:24" ht="20.100000000000001" customHeight="1" x14ac:dyDescent="0.25">
      <c r="A9" s="17" t="str">
        <f>HYPERLINK("#'Input - Dairy'!A1", "Dairy")</f>
        <v>Dairy</v>
      </c>
      <c r="N9" s="45"/>
    </row>
    <row r="10" spans="1:24" ht="20.100000000000001" customHeight="1" x14ac:dyDescent="0.25">
      <c r="A10" s="17"/>
      <c r="D10" s="98" t="s">
        <v>92</v>
      </c>
      <c r="E10" s="96"/>
      <c r="F10" s="99"/>
      <c r="G10" s="93"/>
      <c r="N10" s="45"/>
    </row>
    <row r="11" spans="1:24" ht="20.100000000000001" customHeight="1" x14ac:dyDescent="0.25">
      <c r="A11" s="19" t="s">
        <v>78</v>
      </c>
      <c r="N11" s="46"/>
    </row>
    <row r="12" spans="1:24" ht="20.100000000000001" customHeight="1" x14ac:dyDescent="0.25">
      <c r="A12" s="17" t="str">
        <f>HYPERLINK("#'4.3.1.1-2 Methane'!A1", "4.3.1.1-2 Methane")</f>
        <v>4.3.1.1-2 Methane</v>
      </c>
      <c r="D12" s="10" t="s">
        <v>98</v>
      </c>
      <c r="E12" s="67">
        <v>45292</v>
      </c>
      <c r="F12" s="2" t="s">
        <v>72</v>
      </c>
    </row>
    <row r="13" spans="1:24" ht="20.100000000000001" customHeight="1" x14ac:dyDescent="0.25">
      <c r="A13" s="17" t="str">
        <f>HYPERLINK("#'4.3.1.3-4 Direct N20'!A1", "4.3.1.3-4 Direct N2O")</f>
        <v>4.3.1.3-4 Direct N2O</v>
      </c>
      <c r="D13" s="10" t="s">
        <v>99</v>
      </c>
      <c r="E13" s="74">
        <f>DATE(YEAR(E12)+1,MONTH(E12),DAY(E12))-1</f>
        <v>45657</v>
      </c>
      <c r="F13" s="2" t="s">
        <v>17</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14</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16</v>
      </c>
      <c r="E18" s="95"/>
      <c r="F18" s="95"/>
      <c r="G18" s="91"/>
    </row>
    <row r="19" spans="1:25" ht="20.100000000000001" customHeight="1" x14ac:dyDescent="0.25">
      <c r="A19" s="17" t="str">
        <f>HYPERLINK("#'4.3.1.12-13 Soil leach runoff'!A1", "4.3.1.12-13 Soil leach &amp; runoff")</f>
        <v>4.3.1.12-13 Soil leach &amp; runoff</v>
      </c>
      <c r="D19" s="97" t="s">
        <v>73</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8</v>
      </c>
      <c r="E21" s="42" t="s">
        <v>105</v>
      </c>
      <c r="F21" s="2" t="s">
        <v>11</v>
      </c>
    </row>
    <row r="22" spans="1:25" ht="20.100000000000001" customHeight="1" x14ac:dyDescent="0.25">
      <c r="A22" s="17" t="str">
        <f>HYPERLINK("#'Constants - Dairy'!A1", "Constants - Dairy")</f>
        <v>Constants - Dairy</v>
      </c>
      <c r="D22" s="1" t="s">
        <v>27</v>
      </c>
      <c r="E22" s="42" t="s">
        <v>36</v>
      </c>
      <c r="F22" s="2" t="s">
        <v>11</v>
      </c>
      <c r="G22" s="1"/>
    </row>
    <row r="23" spans="1:25" ht="20.100000000000001" customHeight="1" x14ac:dyDescent="0.25">
      <c r="A23" s="17" t="str">
        <f>HYPERLINK("#'Constants - Livestock'!A1", "Constants - Livestock")</f>
        <v>Constants - Livestock</v>
      </c>
      <c r="D23" s="1" t="s">
        <v>9</v>
      </c>
      <c r="E23" s="42" t="s">
        <v>97</v>
      </c>
      <c r="F23" s="2" t="s">
        <v>11</v>
      </c>
    </row>
    <row r="24" spans="1:25" ht="20.100000000000001" customHeight="1" x14ac:dyDescent="0.25">
      <c r="A24" s="17" t="str">
        <f>HYPERLINK("#'Constants - Common'!A1", "Constants - Common")</f>
        <v>Constants - Common</v>
      </c>
      <c r="D24" s="1" t="s">
        <v>41</v>
      </c>
      <c r="E24" s="35">
        <v>307.7</v>
      </c>
      <c r="F24" s="2" t="s">
        <v>55</v>
      </c>
    </row>
    <row r="25" spans="1:25" ht="20.100000000000001" customHeight="1" x14ac:dyDescent="0.25">
      <c r="A25" s="17" t="str">
        <f>HYPERLINK("#'Acknowledgements'!A1", "Acknowledgements")</f>
        <v>Acknowledgements</v>
      </c>
      <c r="D25" s="1" t="s">
        <v>63</v>
      </c>
      <c r="E25" s="35">
        <v>18</v>
      </c>
      <c r="F25" s="2" t="s">
        <v>12</v>
      </c>
      <c r="N25" s="44"/>
    </row>
    <row r="26" spans="1:25" ht="20.100000000000001" customHeight="1" x14ac:dyDescent="0.25">
      <c r="A26"/>
      <c r="D26" s="1" t="s">
        <v>64</v>
      </c>
      <c r="E26" s="35">
        <v>601</v>
      </c>
      <c r="F26" s="2" t="s">
        <v>13</v>
      </c>
    </row>
    <row r="27" spans="1:25" ht="20.100000000000001" customHeight="1" x14ac:dyDescent="0.25">
      <c r="A27"/>
      <c r="D27" s="10" t="s">
        <v>65</v>
      </c>
      <c r="E27" s="35">
        <v>1326</v>
      </c>
      <c r="F27" s="2" t="s">
        <v>13</v>
      </c>
    </row>
    <row r="28" spans="1:25" ht="20.100000000000001" customHeight="1" x14ac:dyDescent="0.25">
      <c r="A28"/>
      <c r="D28" s="1" t="s">
        <v>66</v>
      </c>
      <c r="E28" s="35">
        <v>7</v>
      </c>
      <c r="F28" s="2" t="s">
        <v>56</v>
      </c>
    </row>
    <row r="29" spans="1:25" ht="20.100000000000001" customHeight="1" x14ac:dyDescent="0.25">
      <c r="A29"/>
      <c r="D29" s="10" t="s">
        <v>62</v>
      </c>
      <c r="E29" s="55">
        <f>E26/E27</f>
        <v>0.45324283559577677</v>
      </c>
      <c r="F29" s="2"/>
    </row>
    <row r="30" spans="1:25" ht="20.100000000000001" customHeight="1" x14ac:dyDescent="0.25">
      <c r="A30"/>
      <c r="D30" s="10" t="s">
        <v>37</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94</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54</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abSelected="1" workbookViewId="0">
      <selection activeCell="D6" sqref="D6"/>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0" width="16.42578125" style="1" customWidth="1"/>
    <col min="11" max="13" width="30.7109375" style="1" customWidth="1"/>
    <col min="14" max="14" width="4.7109375" style="1" customWidth="1"/>
    <col min="15" max="16" width="4.7109375" style="59" customWidth="1"/>
    <col min="17" max="22" width="30.7109375" style="59" customWidth="1"/>
    <col min="23" max="23" width="4.7109375" style="59" customWidth="1"/>
  </cols>
  <sheetData>
    <row r="1" spans="1:23" s="71" customFormat="1" ht="30" customHeight="1" x14ac:dyDescent="0.35">
      <c r="A1" s="71" t="e" vm="1">
        <v>#VALUE!</v>
      </c>
      <c r="C1" s="71" t="s">
        <v>196</v>
      </c>
      <c r="O1" s="59"/>
      <c r="P1" s="59"/>
      <c r="Q1" s="59"/>
      <c r="R1" s="59"/>
      <c r="S1" s="59"/>
      <c r="T1" s="59"/>
      <c r="U1" s="59"/>
      <c r="V1" s="59"/>
      <c r="W1" s="59"/>
    </row>
    <row r="2" spans="1:23" s="9" customFormat="1" ht="20.100000000000001" customHeight="1" x14ac:dyDescent="0.25">
      <c r="O2" s="59"/>
      <c r="P2" s="59"/>
      <c r="Q2" s="59"/>
      <c r="R2" s="59"/>
      <c r="S2" s="59"/>
      <c r="T2" s="59"/>
      <c r="U2" s="59"/>
      <c r="V2" s="59"/>
      <c r="W2" s="59"/>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106</v>
      </c>
      <c r="N5" s="3"/>
      <c r="R5" s="7"/>
    </row>
    <row r="6" spans="1:23" ht="20.100000000000001" customHeight="1" x14ac:dyDescent="0.25">
      <c r="A6" s="16"/>
      <c r="N6" s="3"/>
      <c r="R6" s="7"/>
    </row>
    <row r="7" spans="1:23" ht="20.100000000000001" customHeight="1" x14ac:dyDescent="0.25">
      <c r="A7" s="20" t="s">
        <v>3</v>
      </c>
      <c r="D7" s="1" t="s">
        <v>174</v>
      </c>
      <c r="E7" s="42" t="s">
        <v>219</v>
      </c>
      <c r="F7" s="2" t="s">
        <v>11</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6"/>
      <c r="E9" s="41" t="s">
        <v>175</v>
      </c>
      <c r="F9" s="41" t="s">
        <v>192</v>
      </c>
      <c r="G9" s="41" t="s">
        <v>193</v>
      </c>
      <c r="H9" s="41" t="s">
        <v>194</v>
      </c>
      <c r="I9" s="41" t="s">
        <v>195</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6">
        <v>100</v>
      </c>
      <c r="F10" s="106">
        <v>100</v>
      </c>
      <c r="G10" s="106">
        <v>100</v>
      </c>
      <c r="H10" s="106">
        <v>100</v>
      </c>
      <c r="I10" s="106">
        <v>100</v>
      </c>
      <c r="J10" s="2" t="s">
        <v>108</v>
      </c>
      <c r="K10" s="2"/>
      <c r="L10" s="2"/>
      <c r="M10" s="2"/>
      <c r="R10" s="7"/>
    </row>
    <row r="11" spans="1:23" ht="20.100000000000001" customHeight="1" x14ac:dyDescent="0.25">
      <c r="A11" s="19" t="s">
        <v>78</v>
      </c>
      <c r="R11" s="7"/>
    </row>
    <row r="12" spans="1:23" ht="20.100000000000001" customHeight="1" x14ac:dyDescent="0.25">
      <c r="A12" s="17" t="str">
        <f>HYPERLINK("#'4.3.1.1-2 Methane'!A1", "4.3.1.1-2 Methane")</f>
        <v>4.3.1.1-2 Methane</v>
      </c>
      <c r="D12" s="51" t="s">
        <v>216</v>
      </c>
      <c r="R12" s="7"/>
    </row>
    <row r="13" spans="1:23" ht="20.100000000000001" customHeight="1" x14ac:dyDescent="0.25">
      <c r="A13" s="17" t="str">
        <f>HYPERLINK("#'4.3.1.3-4 Direct N20'!A1", "4.3.1.3-4 Direct N2O")</f>
        <v>4.3.1.3-4 Direct N2O</v>
      </c>
      <c r="D13" s="66" t="s">
        <v>208</v>
      </c>
      <c r="E13" s="41" t="s">
        <v>175</v>
      </c>
      <c r="F13" s="41" t="s">
        <v>192</v>
      </c>
      <c r="G13" s="41" t="s">
        <v>193</v>
      </c>
      <c r="H13" s="41" t="s">
        <v>194</v>
      </c>
      <c r="I13" s="41" t="s">
        <v>195</v>
      </c>
      <c r="R13" s="40"/>
    </row>
    <row r="14" spans="1:23" ht="20.100000000000001" customHeight="1" x14ac:dyDescent="0.25">
      <c r="A14" s="17" t="str">
        <f>HYPERLINK("#'4.3.1.5 Atmos Deposition'!A1", "4.3.1.5 Atmospheric deposition")</f>
        <v>4.3.1.5 Atmospheric deposition</v>
      </c>
      <c r="D14" s="1" t="s">
        <v>217</v>
      </c>
      <c r="E14" s="55" cm="1">
        <f t="array" ref="E14">Common_InputFunctions.Utility_LookupValueInTableNumber($E$7, Table_SourceData_Dairy_WjCowsHeifers[Breed],Table_SourceData_Dairy_WjCowsHeifers[Milking cows])</f>
        <v>550</v>
      </c>
      <c r="F14" s="55" cm="1">
        <f t="array" ref="F14">Common_InputFunctions.Utility_LookupValueInTableNumber($E$7, Table_SourceData_Dairy_WjCowsHeifers[Breed],Table_SourceData_Dairy_WjCowsHeifers[Heifers &gt; 1])</f>
        <v>380</v>
      </c>
      <c r="G14" s="55" cm="1">
        <f t="array" ref="G14">Common_InputFunctions.Utility_LookupValueInTableNumber($E$7, Table_SourceData_Dairy_WjCowsHeifers[Breed],Table_SourceData_Dairy_WjCowsHeifers[Heifers &lt; 1 (weaned)])</f>
        <v>155</v>
      </c>
      <c r="H14" s="55" cm="1">
        <f t="array" ref="H14">Table_SourceData_Dairy_WjBulls[Bulls &gt; 1]</f>
        <v>600</v>
      </c>
      <c r="I14" s="55" cm="1">
        <f t="array" ref="I14">Table_SourceData_Dairy_WjBulls[Bulls &lt; 1 (weaned)]</f>
        <v>225</v>
      </c>
      <c r="J14" s="2" t="s">
        <v>197</v>
      </c>
      <c r="K14" s="2"/>
      <c r="L14" s="2"/>
      <c r="M14" s="2"/>
      <c r="R14" s="40"/>
    </row>
    <row r="15" spans="1:23" ht="20.100000000000001" customHeight="1" x14ac:dyDescent="0.25">
      <c r="A15" s="17" t="str">
        <f>HYPERLINK("#'4.3.1.6-7 Leaching and runoff'!A1", "4.3.1.6-7 Leaching and runoff")</f>
        <v>4.3.1.6-7 Leaching and runoff</v>
      </c>
      <c r="D15" s="1" t="s">
        <v>218</v>
      </c>
      <c r="E15" s="55" cm="1">
        <f t="array" ref="E15">Table_SourceData_Dairy_LWGj[Milking cows]</f>
        <v>1.6E-2</v>
      </c>
      <c r="F15" s="55" cm="1">
        <f t="array" ref="F15">Table_SourceData_Dairy_LWGj[Heifers &gt; 1]</f>
        <v>0.6</v>
      </c>
      <c r="G15" s="55" cm="1">
        <f t="array" ref="G15">Table_SourceData_Dairy_LWGj[Heifers &lt; 1 (weaned)]</f>
        <v>0.56999999999999995</v>
      </c>
      <c r="H15" s="55" cm="1">
        <f t="array" ref="H15">Table_SourceData_Dairy_LWGj[Bulls &gt; 1]</f>
        <v>0.1</v>
      </c>
      <c r="I15" s="55" cm="1">
        <f t="array" ref="I15">Table_SourceData_Dairy_LWGj[Bulls &lt; 1 (weaned)]</f>
        <v>0.8</v>
      </c>
      <c r="J15" s="2" t="s">
        <v>198</v>
      </c>
      <c r="K15" s="2"/>
      <c r="L15" s="2"/>
      <c r="M15" s="2"/>
      <c r="R15" s="40"/>
    </row>
    <row r="16" spans="1:23" ht="20.100000000000001" customHeight="1" x14ac:dyDescent="0.25">
      <c r="A16" s="17" t="str">
        <f>HYPERLINK("#'4.3.1.8 Manure applied to soils'!A1", "4.3.1.8 Manure applied to soils")</f>
        <v>4.3.1.8 Manure applied to soils</v>
      </c>
      <c r="R16" s="40"/>
    </row>
    <row r="17" spans="1:18" ht="20.100000000000001" customHeight="1" x14ac:dyDescent="0.25">
      <c r="A17" s="17" t="str">
        <f>HYPERLINK("#'4.3.1.9 Soil direct N2O'!A1", "4.3.1.9 Soil direct N2O")</f>
        <v>4.3.1.9 Soil direct N2O</v>
      </c>
      <c r="D17" s="66" t="s">
        <v>207</v>
      </c>
      <c r="E17" s="41" t="s">
        <v>175</v>
      </c>
      <c r="F17" s="41" t="s">
        <v>192</v>
      </c>
      <c r="G17" s="41" t="s">
        <v>193</v>
      </c>
      <c r="H17" s="41" t="s">
        <v>194</v>
      </c>
      <c r="I17" s="41" t="s">
        <v>195</v>
      </c>
      <c r="R17" s="7"/>
    </row>
    <row r="18" spans="1:18" ht="20.100000000000001" customHeight="1" x14ac:dyDescent="0.25">
      <c r="A18" s="17" t="str">
        <f>HYPERLINK("#'4.3.1.10-11 Soil Atmos Dep'!A1", "4.3.1.10-11 Soil atm. deposition")</f>
        <v>4.3.1.10-11 Soil atm. deposition</v>
      </c>
      <c r="D18" s="1" t="s">
        <v>217</v>
      </c>
      <c r="E18" s="69" cm="1">
        <f t="array" ref="E18">Common_InputFunctions.Utility_LookupValueInTableNumber($E$7, Table_SourceData_Dairy_WjCowsHeifers[Breed],Table_SourceData_Dairy_WjCowsHeifers[Milking cows])</f>
        <v>550</v>
      </c>
      <c r="F18" s="69" cm="1">
        <f t="array" ref="F18">Common_InputFunctions.Utility_LookupValueInTableNumber($E$7, Table_SourceData_Dairy_WjCowsHeifers[Breed],Table_SourceData_Dairy_WjCowsHeifers[Heifers &gt; 1])</f>
        <v>380</v>
      </c>
      <c r="G18" s="69" cm="1">
        <f t="array" ref="G18">Common_InputFunctions.Utility_LookupValueInTableNumber($E$7, Table_SourceData_Dairy_WjCowsHeifers[Breed],Table_SourceData_Dairy_WjCowsHeifers[Heifers &lt; 1 (weaned)])</f>
        <v>155</v>
      </c>
      <c r="H18" s="69" cm="1">
        <f t="array" ref="H18">Table_SourceData_Dairy_WjBulls[Bulls &gt; 1]</f>
        <v>600</v>
      </c>
      <c r="I18" s="69" cm="1">
        <f t="array" ref="I18">Table_SourceData_Dairy_WjBulls[Bulls &lt; 1 (weaned)]</f>
        <v>225</v>
      </c>
      <c r="J18" s="2" t="s">
        <v>197</v>
      </c>
      <c r="K18" s="2"/>
      <c r="L18" s="2"/>
      <c r="M18" s="2"/>
      <c r="R18" s="7"/>
    </row>
    <row r="19" spans="1:18" ht="20.100000000000001" customHeight="1" x14ac:dyDescent="0.25">
      <c r="A19" s="17" t="str">
        <f>HYPERLINK("#'4.3.1.12-13 Soil leach runoff'!A1", "4.3.1.12-13 Soil leach &amp; runoff")</f>
        <v>4.3.1.12-13 Soil leach &amp; runoff</v>
      </c>
      <c r="D19" s="1" t="s">
        <v>218</v>
      </c>
      <c r="E19" s="69" cm="1">
        <f t="array" ref="E19">Table_SourceData_Dairy_LWGj[Milking cows]</f>
        <v>1.6E-2</v>
      </c>
      <c r="F19" s="69" cm="1">
        <f t="array" ref="F19">Table_SourceData_Dairy_LWGj[Heifers &gt; 1]</f>
        <v>0.6</v>
      </c>
      <c r="G19" s="69" cm="1">
        <f t="array" ref="G19">Table_SourceData_Dairy_LWGj[Heifers &lt; 1 (weaned)]</f>
        <v>0.56999999999999995</v>
      </c>
      <c r="H19" s="69" cm="1">
        <f t="array" ref="H19">Table_SourceData_Dairy_LWGj[Bulls &gt; 1]</f>
        <v>0.1</v>
      </c>
      <c r="I19" s="69" cm="1">
        <f t="array" ref="I19">Table_SourceData_Dairy_LWGj[Bulls &lt; 1 (weaned)]</f>
        <v>0.8</v>
      </c>
      <c r="J19" s="2" t="s">
        <v>198</v>
      </c>
      <c r="K19" s="2"/>
      <c r="L19" s="2"/>
      <c r="M19" s="2"/>
      <c r="R19" s="7"/>
    </row>
    <row r="20" spans="1:18" ht="20.100000000000001" customHeight="1" x14ac:dyDescent="0.25">
      <c r="A20" s="17"/>
      <c r="R20" s="7"/>
    </row>
    <row r="21" spans="1:18" ht="20.100000000000001" customHeight="1" x14ac:dyDescent="0.25">
      <c r="A21" s="18" t="s">
        <v>4</v>
      </c>
      <c r="D21" s="51" t="s">
        <v>107</v>
      </c>
      <c r="R21" s="7"/>
    </row>
    <row r="22" spans="1:18" ht="20.100000000000001" customHeight="1" x14ac:dyDescent="0.25">
      <c r="A22" s="17" t="str">
        <f>HYPERLINK("#'Constants - Dairy'!A1", "Constants - Dairy")</f>
        <v>Constants - Dairy</v>
      </c>
      <c r="R22" s="7"/>
    </row>
    <row r="23" spans="1:18" ht="20.100000000000001" customHeight="1" x14ac:dyDescent="0.25">
      <c r="A23" s="17" t="str">
        <f>HYPERLINK("#'Constants - Livestock'!A1", "Constants - Livestock")</f>
        <v>Constants - Livestock</v>
      </c>
      <c r="D23" s="66" t="s">
        <v>208</v>
      </c>
      <c r="E23" s="41" t="s">
        <v>175</v>
      </c>
      <c r="F23" s="41" t="s">
        <v>192</v>
      </c>
      <c r="G23" s="41" t="s">
        <v>193</v>
      </c>
      <c r="H23" s="41" t="s">
        <v>194</v>
      </c>
      <c r="I23" s="41" t="s">
        <v>195</v>
      </c>
      <c r="R23" s="7"/>
    </row>
    <row r="24" spans="1:18"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24 and 31 Dec 24 weaned livestock</v>
      </c>
      <c r="E24" s="55" cm="1">
        <f t="array" ref="E24">Common_InputFunctions.Utility_LookupValueInTableNumber(E23,Table_SourceData_Dairy_Duration[Animal class j],Table_SourceData_Dairy_Duration[Duration (weaned)])</f>
        <v>365</v>
      </c>
      <c r="F24" s="55" cm="1">
        <f t="array" ref="F24">Common_InputFunctions.Utility_LookupValueInTableNumber(F23,Table_SourceData_Dairy_Duration[Animal class j],Table_SourceData_Dairy_Duration[Duration (weaned)])</f>
        <v>365</v>
      </c>
      <c r="G24" s="55" cm="1">
        <f t="array" ref="G24">Common_InputFunctions.Utility_LookupValueInTableNumber(G23,Table_SourceData_Dairy_Duration[Animal class j],Table_SourceData_Dairy_Duration[Duration (weaned)])</f>
        <v>281</v>
      </c>
      <c r="H24" s="55" cm="1">
        <f t="array" ref="H24">Common_InputFunctions.Utility_LookupValueInTableNumber(H23,Table_SourceData_Dairy_Duration[Animal class j],Table_SourceData_Dairy_Duration[Duration (weaned)])</f>
        <v>365</v>
      </c>
      <c r="I24" s="55" cm="1">
        <f t="array" ref="I24">Common_InputFunctions.Utility_LookupValueInTableNumber(I23,Table_SourceData_Dairy_Duration[Animal class j],Table_SourceData_Dairy_Duration[Duration (weaned)])</f>
        <v>281</v>
      </c>
      <c r="J24" s="2" t="s">
        <v>56</v>
      </c>
      <c r="K24" s="2"/>
      <c r="L24" s="2"/>
      <c r="M24" s="2"/>
      <c r="R24" s="7"/>
    </row>
    <row r="25" spans="1:18"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24 and 31 Dec 24 pre-weaned livestock</v>
      </c>
      <c r="E25" s="55" cm="1">
        <f t="array" ref="E25">Common_InputFunctions.Utility_LookupValueInTableNumber(E23,Table_SourceData_Dairy_Duration[Animal class j],Table_SourceData_Dairy_Duration[Duration (pre-weaned)])</f>
        <v>0</v>
      </c>
      <c r="F25" s="55" cm="1">
        <f t="array" ref="F25">Common_InputFunctions.Utility_LookupValueInTableNumber(F23,Table_SourceData_Dairy_Duration[Animal class j],Table_SourceData_Dairy_Duration[Duration (pre-weaned)])</f>
        <v>0</v>
      </c>
      <c r="G25" s="55" cm="1">
        <f t="array" ref="G25">Common_InputFunctions.Utility_LookupValueInTableNumber(G23,Table_SourceData_Dairy_Duration[Animal class j],Table_SourceData_Dairy_Duration[Duration (pre-weaned)])</f>
        <v>84</v>
      </c>
      <c r="H25" s="55" cm="1">
        <f t="array" ref="H25">Common_InputFunctions.Utility_LookupValueInTableNumber(H23,Table_SourceData_Dairy_Duration[Animal class j],Table_SourceData_Dairy_Duration[Duration (pre-weaned)])</f>
        <v>0</v>
      </c>
      <c r="I25" s="55" cm="1">
        <f t="array" ref="I25">Common_InputFunctions.Utility_LookupValueInTableNumber(I23,Table_SourceData_Dairy_Duration[Animal class j],Table_SourceData_Dairy_Duration[Duration (pre-weaned)])</f>
        <v>84</v>
      </c>
      <c r="J25" s="2" t="s">
        <v>56</v>
      </c>
      <c r="K25" s="2"/>
      <c r="L25" s="2"/>
      <c r="M25" s="2"/>
      <c r="R25" s="7"/>
    </row>
    <row r="26" spans="1:18" ht="20.100000000000001" customHeight="1" x14ac:dyDescent="0.25">
      <c r="R26" s="7"/>
    </row>
    <row r="27" spans="1:18" ht="20.100000000000001" customHeight="1" x14ac:dyDescent="0.25">
      <c r="D27" s="66" t="s">
        <v>207</v>
      </c>
      <c r="E27" s="41" t="s">
        <v>175</v>
      </c>
      <c r="F27" s="41" t="s">
        <v>192</v>
      </c>
      <c r="G27" s="41" t="s">
        <v>193</v>
      </c>
      <c r="H27" s="41" t="s">
        <v>194</v>
      </c>
      <c r="I27" s="41" t="s">
        <v>195</v>
      </c>
      <c r="R27" s="7"/>
    </row>
    <row r="28" spans="1:18" ht="20.100000000000001" customHeight="1" x14ac:dyDescent="0.25">
      <c r="A28" s="17"/>
      <c r="D28" s="1" t="str">
        <f>"Average duration of stay between " &amp; TEXT('Input - Site'!$E$12, "dd mmm yy") &amp; " and " &amp; TEXT('Input - Site'!$E$13, "dd mmm yy") &amp; " weaned livestock"</f>
        <v>Average duration of stay between 01 Jan 24 and 31 Dec 24 weaned livestock</v>
      </c>
      <c r="E28" s="69" cm="1">
        <f t="array" ref="E28">Common_InputFunctions.Utility_LookupValueInTableNumber(E27,Table_SourceData_Dairy_Duration[Animal class j],Table_SourceData_Dairy_Duration[Duration (weaned)])</f>
        <v>365</v>
      </c>
      <c r="F28" s="69" cm="1">
        <f t="array" ref="F28">Common_InputFunctions.Utility_LookupValueInTableNumber(F27,Table_SourceData_Dairy_Duration[Animal class j],Table_SourceData_Dairy_Duration[Duration (weaned)])</f>
        <v>365</v>
      </c>
      <c r="G28" s="69" cm="1">
        <f t="array" ref="G28">Common_InputFunctions.Utility_LookupValueInTableNumber(G27,Table_SourceData_Dairy_Duration[Animal class j],Table_SourceData_Dairy_Duration[Duration (weaned)])</f>
        <v>281</v>
      </c>
      <c r="H28" s="69" cm="1">
        <f t="array" ref="H28">Common_InputFunctions.Utility_LookupValueInTableNumber(H27,Table_SourceData_Dairy_Duration[Animal class j],Table_SourceData_Dairy_Duration[Duration (weaned)])</f>
        <v>365</v>
      </c>
      <c r="I28" s="69" cm="1">
        <f t="array" ref="I28">Common_InputFunctions.Utility_LookupValueInTableNumber(I27,Table_SourceData_Dairy_Duration[Animal class j],Table_SourceData_Dairy_Duration[Duration (weaned)])</f>
        <v>281</v>
      </c>
      <c r="J28" s="2" t="s">
        <v>56</v>
      </c>
      <c r="K28" s="2"/>
      <c r="L28" s="2"/>
      <c r="M28" s="2"/>
      <c r="R28" s="7"/>
    </row>
    <row r="29" spans="1:18" ht="20.100000000000001" customHeight="1" x14ac:dyDescent="0.25">
      <c r="A29" s="17"/>
      <c r="D29" s="1" t="str">
        <f>"Average duration of stay between " &amp; TEXT('Input - Site'!$E$12, "dd mmm yy") &amp; " and " &amp; TEXT('Input - Site'!$E$13, "dd mmm yy") &amp; " pre-weaned livestock"</f>
        <v>Average duration of stay between 01 Jan 24 and 31 Dec 24 pre-weaned livestock</v>
      </c>
      <c r="E29" s="55">
        <f>365-E28</f>
        <v>0</v>
      </c>
      <c r="F29" s="55">
        <f t="shared" ref="F29:I29" si="0">365-F28</f>
        <v>0</v>
      </c>
      <c r="G29" s="55">
        <f t="shared" si="0"/>
        <v>84</v>
      </c>
      <c r="H29" s="55">
        <f t="shared" si="0"/>
        <v>0</v>
      </c>
      <c r="I29" s="55">
        <f t="shared" si="0"/>
        <v>84</v>
      </c>
      <c r="J29" s="2" t="s">
        <v>56</v>
      </c>
      <c r="K29" s="2"/>
      <c r="L29" s="2"/>
      <c r="M29" s="2"/>
      <c r="R29" s="7"/>
    </row>
    <row r="30" spans="1:18" ht="20.100000000000001" customHeight="1" x14ac:dyDescent="0.25">
      <c r="A30" s="17"/>
      <c r="R30" s="7"/>
    </row>
    <row r="31" spans="1:18" ht="20.100000000000001" customHeight="1" x14ac:dyDescent="0.25">
      <c r="A31" s="70"/>
      <c r="R31" s="7"/>
    </row>
    <row r="32" spans="1:18" ht="20.100000000000001" customHeight="1" x14ac:dyDescent="0.25">
      <c r="A32" s="70"/>
      <c r="C32" s="48"/>
      <c r="D32" s="48"/>
      <c r="E32" s="48"/>
      <c r="F32" s="48"/>
      <c r="G32" s="48"/>
      <c r="H32" s="48"/>
      <c r="I32" s="48"/>
      <c r="J32" s="48"/>
      <c r="K32" s="48"/>
      <c r="L32" s="48"/>
      <c r="M32" s="48"/>
      <c r="N32" s="48"/>
      <c r="R32" s="7"/>
    </row>
    <row r="33" spans="1:18" ht="20.100000000000001" customHeight="1" x14ac:dyDescent="0.25">
      <c r="A33" s="17"/>
      <c r="D33" s="6" t="s">
        <v>214</v>
      </c>
      <c r="R33" s="7"/>
    </row>
    <row r="34" spans="1:18" ht="20.100000000000001" customHeight="1" x14ac:dyDescent="0.25">
      <c r="D34" s="51"/>
      <c r="R34" s="7"/>
    </row>
    <row r="35" spans="1:18" ht="20.100000000000001" customHeight="1" x14ac:dyDescent="0.25">
      <c r="D35" s="66" t="s">
        <v>208</v>
      </c>
      <c r="E35" s="41" t="s">
        <v>175</v>
      </c>
      <c r="F35" s="41" t="s">
        <v>192</v>
      </c>
      <c r="G35" s="41" t="s">
        <v>193</v>
      </c>
      <c r="H35" s="41" t="s">
        <v>194</v>
      </c>
      <c r="I35" s="41" t="s">
        <v>195</v>
      </c>
      <c r="R35" s="7"/>
    </row>
    <row r="36" spans="1:18" ht="20.100000000000001" customHeight="1" x14ac:dyDescent="0.25">
      <c r="D36" s="1" t="s">
        <v>213</v>
      </c>
      <c r="E36" s="55" cm="1">
        <f t="array" ref="E36">Common_InputFunctions.Utility_LookupValueInTableNumber(E35,Table_SourceData_Dairy_Duration[Animal class j],Table_SourceData_Dairy_Duration[Duration (weaned)])</f>
        <v>365</v>
      </c>
      <c r="F36" s="55" cm="1">
        <f t="array" ref="F36">Common_InputFunctions.Utility_LookupValueInTableNumber(F35,Table_SourceData_Dairy_Duration[Animal class j],Table_SourceData_Dairy_Duration[Duration (weaned)])</f>
        <v>365</v>
      </c>
      <c r="G36" s="55" cm="1">
        <f t="array" ref="G36">Common_InputFunctions.Utility_LookupValueInTableNumber(G35,Table_SourceData_Dairy_Duration[Animal class j],Table_SourceData_Dairy_Duration[Duration (weaned)])</f>
        <v>281</v>
      </c>
      <c r="H36" s="55" cm="1">
        <f t="array" ref="H36">Common_InputFunctions.Utility_LookupValueInTableNumber(H35,Table_SourceData_Dairy_Duration[Animal class j],Table_SourceData_Dairy_Duration[Duration (weaned)])</f>
        <v>365</v>
      </c>
      <c r="I36" s="55" cm="1">
        <f t="array" ref="I36">Common_InputFunctions.Utility_LookupValueInTableNumber(I35,Table_SourceData_Dairy_Duration[Animal class j],Table_SourceData_Dairy_Duration[Duration (weaned)])</f>
        <v>281</v>
      </c>
      <c r="J36" s="2" t="s">
        <v>215</v>
      </c>
      <c r="K36" s="2"/>
      <c r="L36" s="2"/>
      <c r="M36" s="2"/>
      <c r="R36" s="7"/>
    </row>
    <row r="37" spans="1:18" ht="20.100000000000001" customHeight="1" x14ac:dyDescent="0.25">
      <c r="D37" s="1" t="s">
        <v>19</v>
      </c>
      <c r="E37" s="55">
        <f>'Constants - Dairy'!$D$160</f>
        <v>0.75</v>
      </c>
      <c r="F37" s="55">
        <f>'Constants - Dairy'!$D$160</f>
        <v>0.75</v>
      </c>
      <c r="G37" s="55">
        <f>'Constants - Dairy'!$D$160</f>
        <v>0.75</v>
      </c>
      <c r="H37" s="55">
        <f>'Constants - Dairy'!$D$160</f>
        <v>0.75</v>
      </c>
      <c r="I37" s="55">
        <f>'Constants - Dairy'!$D$160</f>
        <v>0.75</v>
      </c>
      <c r="J37" s="2" t="s">
        <v>101</v>
      </c>
      <c r="K37" s="2"/>
      <c r="L37" s="2"/>
      <c r="M37" s="2"/>
      <c r="R37" s="7"/>
    </row>
    <row r="38" spans="1:18" ht="20.100000000000001" customHeight="1" x14ac:dyDescent="0.25">
      <c r="D38" s="1" t="s">
        <v>113</v>
      </c>
      <c r="E38" s="55">
        <f>'Constants - Dairy'!$D$153</f>
        <v>0.2</v>
      </c>
      <c r="F38" s="55">
        <f>'Constants - Dairy'!$D$153</f>
        <v>0.2</v>
      </c>
      <c r="G38" s="55">
        <f>'Constants - Dairy'!$D$153</f>
        <v>0.2</v>
      </c>
      <c r="H38" s="55">
        <f>'Constants - Dairy'!$D$153</f>
        <v>0.2</v>
      </c>
      <c r="I38" s="55">
        <f>'Constants - Dairy'!$D$153</f>
        <v>0.2</v>
      </c>
      <c r="J38" s="2" t="s">
        <v>101</v>
      </c>
      <c r="K38" s="2"/>
      <c r="L38" s="2"/>
      <c r="M38" s="2"/>
      <c r="R38" s="7"/>
    </row>
    <row r="39" spans="1:18" ht="20.100000000000001" customHeight="1" x14ac:dyDescent="0.25">
      <c r="A39" s="17"/>
      <c r="R39" s="7"/>
    </row>
    <row r="40" spans="1:18" ht="20.100000000000001" customHeight="1" x14ac:dyDescent="0.25">
      <c r="D40" s="66" t="s">
        <v>207</v>
      </c>
      <c r="E40" s="41" t="s">
        <v>175</v>
      </c>
      <c r="F40" s="41" t="s">
        <v>192</v>
      </c>
      <c r="G40" s="41" t="s">
        <v>193</v>
      </c>
      <c r="H40" s="41" t="s">
        <v>194</v>
      </c>
      <c r="I40" s="41" t="s">
        <v>195</v>
      </c>
      <c r="R40" s="7"/>
    </row>
    <row r="41" spans="1:18" ht="20.100000000000001" customHeight="1" x14ac:dyDescent="0.25">
      <c r="A41" s="47"/>
      <c r="D41" s="1" t="s">
        <v>213</v>
      </c>
      <c r="E41" s="69" cm="1">
        <f t="array" ref="E41">Common_InputFunctions.Utility_LookupValueInTableNumber(E40,Table_SourceData_Dairy_Duration[Animal class j],Table_SourceData_Dairy_Duration[Duration (weaned)])</f>
        <v>365</v>
      </c>
      <c r="F41" s="69" cm="1">
        <f t="array" ref="F41">Common_InputFunctions.Utility_LookupValueInTableNumber(F40,Table_SourceData_Dairy_Duration[Animal class j],Table_SourceData_Dairy_Duration[Duration (weaned)])</f>
        <v>365</v>
      </c>
      <c r="G41" s="69" cm="1">
        <f t="array" ref="G41">Common_InputFunctions.Utility_LookupValueInTableNumber(G40,Table_SourceData_Dairy_Duration[Animal class j],Table_SourceData_Dairy_Duration[Duration (weaned)])</f>
        <v>281</v>
      </c>
      <c r="H41" s="69" cm="1">
        <f t="array" ref="H41">Common_InputFunctions.Utility_LookupValueInTableNumber(H40,Table_SourceData_Dairy_Duration[Animal class j],Table_SourceData_Dairy_Duration[Duration (weaned)])</f>
        <v>365</v>
      </c>
      <c r="I41" s="69" cm="1">
        <f t="array" ref="I41">Common_InputFunctions.Utility_LookupValueInTableNumber(I40,Table_SourceData_Dairy_Duration[Animal class j],Table_SourceData_Dairy_Duration[Duration (weaned)])</f>
        <v>281</v>
      </c>
      <c r="J41" s="2" t="s">
        <v>215</v>
      </c>
      <c r="K41" s="2"/>
      <c r="L41" s="2"/>
      <c r="M41" s="2"/>
      <c r="R41" s="7"/>
    </row>
    <row r="42" spans="1:18" ht="20.100000000000001" customHeight="1" x14ac:dyDescent="0.25">
      <c r="D42" s="1" t="s">
        <v>19</v>
      </c>
      <c r="E42" s="69">
        <v>0.75</v>
      </c>
      <c r="F42" s="69">
        <v>0.75</v>
      </c>
      <c r="G42" s="69">
        <v>0.75</v>
      </c>
      <c r="H42" s="69">
        <v>0.75</v>
      </c>
      <c r="I42" s="69">
        <v>0.75</v>
      </c>
      <c r="J42" s="2" t="s">
        <v>101</v>
      </c>
      <c r="K42" s="2"/>
      <c r="L42" s="2"/>
      <c r="M42" s="2"/>
      <c r="R42" s="7"/>
    </row>
    <row r="43" spans="1:18" ht="20.100000000000001" customHeight="1" x14ac:dyDescent="0.25">
      <c r="D43" s="1" t="s">
        <v>113</v>
      </c>
      <c r="E43" s="69">
        <v>0.2</v>
      </c>
      <c r="F43" s="69">
        <v>0.2</v>
      </c>
      <c r="G43" s="69">
        <v>0.2</v>
      </c>
      <c r="H43" s="69">
        <v>0.2</v>
      </c>
      <c r="I43" s="69">
        <v>0.2</v>
      </c>
      <c r="J43" s="2" t="s">
        <v>101</v>
      </c>
      <c r="K43" s="2"/>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199</v>
      </c>
      <c r="E47" s="3"/>
      <c r="F47" s="3"/>
      <c r="G47" s="3"/>
      <c r="H47" s="3"/>
      <c r="I47" s="3"/>
      <c r="J47" s="3"/>
      <c r="K47" s="3"/>
      <c r="L47" s="3"/>
      <c r="M47" s="3"/>
      <c r="R47" s="7"/>
    </row>
    <row r="48" spans="1:18" ht="20.100000000000001" customHeight="1" x14ac:dyDescent="0.25">
      <c r="D48" s="23" t="s">
        <v>459</v>
      </c>
      <c r="G48" s="6"/>
      <c r="H48" s="6"/>
      <c r="I48" s="6"/>
      <c r="J48" s="126"/>
      <c r="K48" s="126"/>
      <c r="L48" s="126"/>
      <c r="M48" s="126"/>
      <c r="R48" s="7"/>
    </row>
    <row r="49" spans="3:18" ht="20.100000000000001" customHeight="1" x14ac:dyDescent="0.25">
      <c r="D49" s="1" t="s">
        <v>444</v>
      </c>
      <c r="E49" s="42" t="s">
        <v>457</v>
      </c>
      <c r="F49" s="2" t="s">
        <v>11</v>
      </c>
      <c r="R49" s="7"/>
    </row>
    <row r="50" spans="3:18" ht="20.100000000000001" customHeight="1" x14ac:dyDescent="0.25">
      <c r="R50" s="7"/>
    </row>
    <row r="51" spans="3:18" ht="20.100000000000001" customHeight="1" x14ac:dyDescent="0.25">
      <c r="E51" s="41" t="s">
        <v>175</v>
      </c>
      <c r="R51" s="7"/>
    </row>
    <row r="52" spans="3:18" ht="20.100000000000001" customHeight="1" x14ac:dyDescent="0.25">
      <c r="D52" s="1" t="s">
        <v>200</v>
      </c>
      <c r="E52" s="69">
        <v>20</v>
      </c>
      <c r="F52" s="2" t="str">
        <f>IF(E49="Litres of milk", "litres/head/day", "kg milk solids/head/day")</f>
        <v>litres/head/day</v>
      </c>
      <c r="R52" s="7"/>
    </row>
    <row r="53" spans="3:18" ht="20.100000000000001" customHeight="1" x14ac:dyDescent="0.25">
      <c r="E53" s="6"/>
      <c r="F53" s="6"/>
      <c r="R53" s="7"/>
    </row>
    <row r="54" spans="3:18" ht="20.100000000000001" customHeight="1" x14ac:dyDescent="0.25">
      <c r="D54" s="56" t="s">
        <v>445</v>
      </c>
      <c r="E54" s="41" t="s">
        <v>446</v>
      </c>
      <c r="F54" s="41" t="s">
        <v>447</v>
      </c>
      <c r="R54" s="7"/>
    </row>
    <row r="55" spans="3:18" ht="20.100000000000001" customHeight="1" x14ac:dyDescent="0.25">
      <c r="D55" s="1" t="s">
        <v>448</v>
      </c>
      <c r="E55" s="140">
        <f>'Constants - Dairy'!$D$221/100</f>
        <v>0.04</v>
      </c>
      <c r="F55" s="155">
        <f>'Constants - Dairy'!$D$221/100</f>
        <v>0.04</v>
      </c>
      <c r="G55" s="2" t="s">
        <v>449</v>
      </c>
      <c r="R55" s="7"/>
    </row>
    <row r="56" spans="3:18" ht="20.100000000000001" customHeight="1" x14ac:dyDescent="0.25">
      <c r="D56" s="1" t="s">
        <v>450</v>
      </c>
      <c r="E56" s="140">
        <f>'Constants - Dairy'!$D$227/100</f>
        <v>3.3000000000000002E-2</v>
      </c>
      <c r="F56" s="155">
        <f>'Constants - Dairy'!$D$227/100</f>
        <v>3.3000000000000002E-2</v>
      </c>
      <c r="G56" s="2" t="s">
        <v>449</v>
      </c>
      <c r="R56" s="7"/>
    </row>
    <row r="57" spans="3:18" ht="20.100000000000001" customHeight="1" x14ac:dyDescent="0.25">
      <c r="R57" s="7"/>
    </row>
    <row r="58" spans="3:18" ht="20.100000000000001" customHeight="1" x14ac:dyDescent="0.25">
      <c r="R58" s="7"/>
    </row>
    <row r="59" spans="3:18" ht="20.100000000000001" customHeight="1" x14ac:dyDescent="0.25">
      <c r="C59" s="48"/>
      <c r="D59" s="48"/>
      <c r="E59" s="48"/>
      <c r="F59" s="48"/>
      <c r="G59" s="48"/>
      <c r="H59" s="48"/>
      <c r="I59" s="48"/>
      <c r="J59" s="48"/>
      <c r="K59" s="48"/>
      <c r="L59" s="48"/>
      <c r="M59" s="48"/>
      <c r="N59" s="48"/>
      <c r="R59" s="7"/>
    </row>
    <row r="60" spans="3:18" ht="20.100000000000001" customHeight="1" x14ac:dyDescent="0.25">
      <c r="D60" s="6" t="s">
        <v>210</v>
      </c>
      <c r="R60" s="7"/>
    </row>
    <row r="61" spans="3:18" ht="20.100000000000001" customHeight="1" x14ac:dyDescent="0.25">
      <c r="D61" s="51" t="s">
        <v>203</v>
      </c>
      <c r="R61" s="7"/>
    </row>
    <row r="62" spans="3:18" ht="20.100000000000001" customHeight="1" x14ac:dyDescent="0.25">
      <c r="D62" s="1" t="s">
        <v>205</v>
      </c>
      <c r="E62" s="42" t="s">
        <v>212</v>
      </c>
      <c r="F62" s="2" t="s">
        <v>11</v>
      </c>
      <c r="N62" s="3"/>
      <c r="R62" s="7"/>
    </row>
    <row r="63" spans="3:18" ht="20.100000000000001" customHeight="1" x14ac:dyDescent="0.25">
      <c r="N63" s="3"/>
      <c r="R63" s="7"/>
    </row>
    <row r="64" spans="3:18" ht="20.100000000000001" customHeight="1" x14ac:dyDescent="0.25">
      <c r="D64" s="66" t="s">
        <v>208</v>
      </c>
      <c r="E64" s="41" t="s">
        <v>175</v>
      </c>
      <c r="F64" s="41" t="s">
        <v>192</v>
      </c>
      <c r="G64" s="41" t="s">
        <v>193</v>
      </c>
      <c r="H64" s="41" t="s">
        <v>194</v>
      </c>
      <c r="I64" s="41" t="s">
        <v>195</v>
      </c>
      <c r="N64" s="3"/>
      <c r="R64" s="7"/>
    </row>
    <row r="65" spans="3:18" ht="20.100000000000001" customHeight="1" x14ac:dyDescent="0.25">
      <c r="D65" s="1" t="s">
        <v>148</v>
      </c>
      <c r="E65" s="140" cm="1">
        <f t="array" ref="E65">Common_InputFunctions.Utility_LookupValueInTableNumber($E$62, Table_SourceData_Dairy_ProductionSystemTemplates[Area],Table_SourceData_Dairy_ProductionSystemTemplates[Pasture])</f>
        <v>0.53400000000000003</v>
      </c>
      <c r="F65" s="140" cm="1">
        <f t="array" ref="F65">Common_InputFunctions.Utility_LookupValueInTableNumber($E$62, Table_SourceData_Dairy_ProductionSystemTemplates[Area],Table_SourceData_Dairy_ProductionSystemTemplates[Pasture])</f>
        <v>0.53400000000000003</v>
      </c>
      <c r="G65" s="140" cm="1">
        <f t="array" ref="G65">Common_InputFunctions.Utility_LookupValueInTableNumber($E$62, Table_SourceData_Dairy_ProductionSystemTemplates[Area],Table_SourceData_Dairy_ProductionSystemTemplates[Pasture])</f>
        <v>0.53400000000000003</v>
      </c>
      <c r="H65" s="140" cm="1">
        <f t="array" ref="H65">Common_InputFunctions.Utility_LookupValueInTableNumber($E$62, Table_SourceData_Dairy_ProductionSystemTemplates[Area],Table_SourceData_Dairy_ProductionSystemTemplates[Pasture])</f>
        <v>0.53400000000000003</v>
      </c>
      <c r="I65" s="140" cm="1">
        <f t="array" ref="I65">Common_InputFunctions.Utility_LookupValueInTableNumber($E$62, Table_SourceData_Dairy_ProductionSystemTemplates[Area],Table_SourceData_Dairy_ProductionSystemTemplates[Pasture])</f>
        <v>0.53400000000000003</v>
      </c>
      <c r="J65" s="2" t="s">
        <v>20</v>
      </c>
      <c r="K65" s="2"/>
      <c r="L65" s="2"/>
      <c r="M65" s="2"/>
      <c r="N65" s="3"/>
    </row>
    <row r="66" spans="3:18" ht="20.100000000000001" customHeight="1" x14ac:dyDescent="0.25">
      <c r="D66" s="1" t="s">
        <v>189</v>
      </c>
      <c r="E66" s="140" cm="1">
        <f t="array" ref="E66">Common_InputFunctions.Utility_LookupValueInTableNumber($E$62, Table_SourceData_Dairy_ProductionSystemTemplates[Area],Table_SourceData_Dairy_ProductionSystemTemplates[Milking shed])</f>
        <v>0.11</v>
      </c>
      <c r="F66" s="140" cm="1">
        <f t="array" ref="F66">Common_InputFunctions.Utility_LookupValueInTableNumber($E$62, Table_SourceData_Dairy_ProductionSystemTemplates[Area],Table_SourceData_Dairy_ProductionSystemTemplates[Milking shed])</f>
        <v>0.11</v>
      </c>
      <c r="G66" s="140" cm="1">
        <f t="array" ref="G66">Common_InputFunctions.Utility_LookupValueInTableNumber($E$62, Table_SourceData_Dairy_ProductionSystemTemplates[Area],Table_SourceData_Dairy_ProductionSystemTemplates[Milking shed])</f>
        <v>0.11</v>
      </c>
      <c r="H66" s="140" cm="1">
        <f t="array" ref="H66">Common_InputFunctions.Utility_LookupValueInTableNumber($E$62, Table_SourceData_Dairy_ProductionSystemTemplates[Area],Table_SourceData_Dairy_ProductionSystemTemplates[Milking shed])</f>
        <v>0.11</v>
      </c>
      <c r="I66" s="140" cm="1">
        <f t="array" ref="I66">Common_InputFunctions.Utility_LookupValueInTableNumber($E$62, Table_SourceData_Dairy_ProductionSystemTemplates[Area],Table_SourceData_Dairy_ProductionSystemTemplates[Milking shed])</f>
        <v>0.11</v>
      </c>
      <c r="J66" s="2" t="s">
        <v>20</v>
      </c>
      <c r="K66" s="2"/>
      <c r="L66" s="2"/>
      <c r="M66" s="2"/>
      <c r="N66" s="3"/>
    </row>
    <row r="67" spans="3:18" ht="20.100000000000001" customHeight="1" x14ac:dyDescent="0.25">
      <c r="D67" s="1" t="s">
        <v>204</v>
      </c>
      <c r="E67" s="140" cm="1">
        <f t="array" ref="E67">Common_InputFunctions.Utility_LookupValueInTableNumber($E$62, Table_SourceData_Dairy_ProductionSystemTemplates[Area],Table_SourceData_Dairy_ProductionSystemTemplates[Feedpad])</f>
        <v>0.35599999999999998</v>
      </c>
      <c r="F67" s="140" cm="1">
        <f t="array" ref="F67">Common_InputFunctions.Utility_LookupValueInTableNumber($E$62, Table_SourceData_Dairy_ProductionSystemTemplates[Area],Table_SourceData_Dairy_ProductionSystemTemplates[Feedpad])</f>
        <v>0.35599999999999998</v>
      </c>
      <c r="G67" s="140" cm="1">
        <f t="array" ref="G67">Common_InputFunctions.Utility_LookupValueInTableNumber($E$62, Table_SourceData_Dairy_ProductionSystemTemplates[Area],Table_SourceData_Dairy_ProductionSystemTemplates[Feedpad])</f>
        <v>0.35599999999999998</v>
      </c>
      <c r="H67" s="140" cm="1">
        <f t="array" ref="H67">Common_InputFunctions.Utility_LookupValueInTableNumber($E$62, Table_SourceData_Dairy_ProductionSystemTemplates[Area],Table_SourceData_Dairy_ProductionSystemTemplates[Feedpad])</f>
        <v>0.35599999999999998</v>
      </c>
      <c r="I67" s="140" cm="1">
        <f t="array" ref="I67">Common_InputFunctions.Utility_LookupValueInTableNumber($E$62, Table_SourceData_Dairy_ProductionSystemTemplates[Area],Table_SourceData_Dairy_ProductionSystemTemplates[Feedpad])</f>
        <v>0.35599999999999998</v>
      </c>
      <c r="J67" s="2" t="s">
        <v>20</v>
      </c>
      <c r="K67" s="2"/>
      <c r="L67" s="2"/>
      <c r="M67" s="2"/>
      <c r="N67" s="3"/>
    </row>
    <row r="68" spans="3:18" ht="20.100000000000001" customHeight="1" x14ac:dyDescent="0.25">
      <c r="N68" s="3"/>
    </row>
    <row r="69" spans="3:18" ht="20.100000000000001" customHeight="1" x14ac:dyDescent="0.25">
      <c r="D69" s="66" t="s">
        <v>207</v>
      </c>
      <c r="E69" s="41" t="s">
        <v>175</v>
      </c>
      <c r="F69" s="41" t="s">
        <v>192</v>
      </c>
      <c r="G69" s="41" t="s">
        <v>193</v>
      </c>
      <c r="H69" s="41" t="s">
        <v>194</v>
      </c>
      <c r="I69" s="41" t="s">
        <v>195</v>
      </c>
      <c r="N69" s="3"/>
    </row>
    <row r="70" spans="3:18" ht="20.100000000000001" customHeight="1" x14ac:dyDescent="0.25">
      <c r="D70" s="1" t="s">
        <v>148</v>
      </c>
      <c r="E70" s="139" cm="1">
        <f t="array" ref="E70">Common_InputFunctions.Utility_LookupValueInTableNumber($E$62, Table_SourceData_Dairy_ProductionSystemTemplates[Area],Table_SourceData_Dairy_ProductionSystemTemplates[Pasture])</f>
        <v>0.53400000000000003</v>
      </c>
      <c r="F70" s="139" cm="1">
        <f t="array" ref="F70">Common_InputFunctions.Utility_LookupValueInTableNumber($E$62, Table_SourceData_Dairy_ProductionSystemTemplates[Area],Table_SourceData_Dairy_ProductionSystemTemplates[Pasture])</f>
        <v>0.53400000000000003</v>
      </c>
      <c r="G70" s="139" cm="1">
        <f t="array" ref="G70">Common_InputFunctions.Utility_LookupValueInTableNumber($E$62, Table_SourceData_Dairy_ProductionSystemTemplates[Area],Table_SourceData_Dairy_ProductionSystemTemplates[Pasture])</f>
        <v>0.53400000000000003</v>
      </c>
      <c r="H70" s="139" cm="1">
        <f t="array" ref="H70">Common_InputFunctions.Utility_LookupValueInTableNumber($E$62, Table_SourceData_Dairy_ProductionSystemTemplates[Area],Table_SourceData_Dairy_ProductionSystemTemplates[Pasture])</f>
        <v>0.53400000000000003</v>
      </c>
      <c r="I70" s="139" cm="1">
        <f t="array" ref="I70">Common_InputFunctions.Utility_LookupValueInTableNumber($E$62, Table_SourceData_Dairy_ProductionSystemTemplates[Area],Table_SourceData_Dairy_ProductionSystemTemplates[Pasture])</f>
        <v>0.53400000000000003</v>
      </c>
      <c r="J70" s="2" t="s">
        <v>20</v>
      </c>
      <c r="K70" s="2"/>
      <c r="L70" s="2"/>
      <c r="M70" s="2"/>
      <c r="N70" s="3"/>
    </row>
    <row r="71" spans="3:18" ht="20.100000000000001" customHeight="1" x14ac:dyDescent="0.25">
      <c r="D71" s="1" t="s">
        <v>189</v>
      </c>
      <c r="E71" s="139" cm="1">
        <f t="array" ref="E71">Common_InputFunctions.Utility_LookupValueInTableNumber($E$62, Table_SourceData_Dairy_ProductionSystemTemplates[Area],Table_SourceData_Dairy_ProductionSystemTemplates[Milking shed])</f>
        <v>0.11</v>
      </c>
      <c r="F71" s="139" cm="1">
        <f t="array" ref="F71">Common_InputFunctions.Utility_LookupValueInTableNumber($E$62, Table_SourceData_Dairy_ProductionSystemTemplates[Area],Table_SourceData_Dairy_ProductionSystemTemplates[Milking shed])</f>
        <v>0.11</v>
      </c>
      <c r="G71" s="139" cm="1">
        <f t="array" ref="G71">Common_InputFunctions.Utility_LookupValueInTableNumber($E$62, Table_SourceData_Dairy_ProductionSystemTemplates[Area],Table_SourceData_Dairy_ProductionSystemTemplates[Milking shed])</f>
        <v>0.11</v>
      </c>
      <c r="H71" s="139" cm="1">
        <f t="array" ref="H71">Common_InputFunctions.Utility_LookupValueInTableNumber($E$62, Table_SourceData_Dairy_ProductionSystemTemplates[Area],Table_SourceData_Dairy_ProductionSystemTemplates[Milking shed])</f>
        <v>0.11</v>
      </c>
      <c r="I71" s="139" cm="1">
        <f t="array" ref="I71">Common_InputFunctions.Utility_LookupValueInTableNumber($E$62, Table_SourceData_Dairy_ProductionSystemTemplates[Area],Table_SourceData_Dairy_ProductionSystemTemplates[Milking shed])</f>
        <v>0.11</v>
      </c>
      <c r="J71" s="2" t="s">
        <v>20</v>
      </c>
      <c r="K71" s="2"/>
      <c r="L71" s="2"/>
      <c r="M71" s="2"/>
      <c r="N71" s="3"/>
    </row>
    <row r="72" spans="3:18" ht="20.100000000000001" customHeight="1" x14ac:dyDescent="0.25">
      <c r="D72" s="1" t="s">
        <v>204</v>
      </c>
      <c r="E72" s="139" cm="1">
        <f t="array" ref="E72">Common_InputFunctions.Utility_LookupValueInTableNumber($E$62, Table_SourceData_Dairy_ProductionSystemTemplates[Area],Table_SourceData_Dairy_ProductionSystemTemplates[Feedpad])</f>
        <v>0.35599999999999998</v>
      </c>
      <c r="F72" s="139" cm="1">
        <f t="array" ref="F72">Common_InputFunctions.Utility_LookupValueInTableNumber($E$62, Table_SourceData_Dairy_ProductionSystemTemplates[Area],Table_SourceData_Dairy_ProductionSystemTemplates[Feedpad])</f>
        <v>0.35599999999999998</v>
      </c>
      <c r="G72" s="139" cm="1">
        <f t="array" ref="G72">Common_InputFunctions.Utility_LookupValueInTableNumber($E$62, Table_SourceData_Dairy_ProductionSystemTemplates[Area],Table_SourceData_Dairy_ProductionSystemTemplates[Feedpad])</f>
        <v>0.35599999999999998</v>
      </c>
      <c r="H72" s="139" cm="1">
        <f t="array" ref="H72">Common_InputFunctions.Utility_LookupValueInTableNumber($E$62, Table_SourceData_Dairy_ProductionSystemTemplates[Area],Table_SourceData_Dairy_ProductionSystemTemplates[Feedpad])</f>
        <v>0.35599999999999998</v>
      </c>
      <c r="I72" s="139" cm="1">
        <f t="array" ref="I72">Common_InputFunctions.Utility_LookupValueInTableNumber($E$62, Table_SourceData_Dairy_ProductionSystemTemplates[Area],Table_SourceData_Dairy_ProductionSystemTemplates[Feedpad])</f>
        <v>0.35599999999999998</v>
      </c>
      <c r="J72" s="2" t="s">
        <v>20</v>
      </c>
      <c r="K72" s="2"/>
      <c r="L72" s="2"/>
      <c r="M72" s="2"/>
      <c r="N72" s="3"/>
    </row>
    <row r="73" spans="3:18" ht="20.100000000000001" customHeight="1" x14ac:dyDescent="0.25">
      <c r="E73" s="130"/>
      <c r="N73" s="3"/>
    </row>
    <row r="74" spans="3:18" ht="20.100000000000001" customHeight="1" x14ac:dyDescent="0.25"/>
    <row r="75" spans="3:18" ht="20.100000000000001" customHeight="1" x14ac:dyDescent="0.25">
      <c r="C75" s="48"/>
      <c r="D75" s="48"/>
      <c r="E75" s="48"/>
      <c r="F75" s="48"/>
      <c r="G75" s="48"/>
      <c r="H75" s="48"/>
      <c r="I75" s="48"/>
      <c r="J75" s="48"/>
      <c r="K75" s="48"/>
      <c r="L75" s="48"/>
      <c r="M75" s="48"/>
      <c r="N75" s="151"/>
    </row>
    <row r="76" spans="3:18" ht="20.100000000000001" customHeight="1" x14ac:dyDescent="0.25">
      <c r="D76" s="6" t="s">
        <v>104</v>
      </c>
      <c r="F76" s="127"/>
      <c r="N76" s="3"/>
    </row>
    <row r="77" spans="3:18" ht="20.100000000000001" customHeight="1" x14ac:dyDescent="0.25">
      <c r="D77" s="51" t="str">
        <f>"From " &amp; $D$66</f>
        <v>From Milking shed</v>
      </c>
      <c r="N77" s="3"/>
    </row>
    <row r="78" spans="3:18" ht="20.100000000000001" customHeight="1" x14ac:dyDescent="0.25">
      <c r="N78" s="3"/>
    </row>
    <row r="79" spans="3:18" ht="20.100000000000001" customHeight="1" x14ac:dyDescent="0.25">
      <c r="D79" s="148" t="s">
        <v>103</v>
      </c>
      <c r="E79" s="41" t="s">
        <v>175</v>
      </c>
      <c r="F79" s="41" t="s">
        <v>192</v>
      </c>
      <c r="G79" s="41" t="s">
        <v>193</v>
      </c>
      <c r="H79" s="41" t="s">
        <v>194</v>
      </c>
      <c r="I79" s="41" t="s">
        <v>195</v>
      </c>
      <c r="J79" s="146" t="s">
        <v>434</v>
      </c>
      <c r="K79" s="66" t="s">
        <v>433</v>
      </c>
      <c r="L79" s="66"/>
      <c r="M79" s="41"/>
      <c r="N79" s="3"/>
    </row>
    <row r="80" spans="3:18" ht="20.100000000000001" customHeight="1" x14ac:dyDescent="0.25">
      <c r="K80" s="121" t="s">
        <v>435</v>
      </c>
      <c r="L80" s="121" t="s">
        <v>436</v>
      </c>
      <c r="M80" s="121" t="s">
        <v>437</v>
      </c>
      <c r="N80" s="3"/>
      <c r="R80" s="7"/>
    </row>
    <row r="81" spans="4:18" ht="20.100000000000001" customHeight="1" x14ac:dyDescent="0.25">
      <c r="D81" s="149" t="str">
        <f>'Constants - Dairy'!$D$8</f>
        <v>Anaerobic lagoon</v>
      </c>
      <c r="E81" s="49">
        <v>0.25</v>
      </c>
      <c r="F81" s="49">
        <v>0.25</v>
      </c>
      <c r="G81" s="49">
        <v>0.25</v>
      </c>
      <c r="H81" s="49">
        <v>0.25</v>
      </c>
      <c r="I81" s="49">
        <v>0.25</v>
      </c>
      <c r="J81" s="2" t="s">
        <v>20</v>
      </c>
      <c r="K81" s="49">
        <v>0.25</v>
      </c>
      <c r="L81" s="49">
        <v>0.25</v>
      </c>
      <c r="M81" s="101">
        <f>1-SUM(K81:L81)</f>
        <v>0.5</v>
      </c>
      <c r="N81" s="3"/>
      <c r="R81" s="7"/>
    </row>
    <row r="82" spans="4:18" ht="20.100000000000001" customHeight="1" x14ac:dyDescent="0.25">
      <c r="D82" s="156" t="str">
        <f>"Were solids separated from " &amp; D81 &amp; "?"</f>
        <v>Were solids separated from Anaerobic lagoon?</v>
      </c>
      <c r="E82" s="42" t="s">
        <v>209</v>
      </c>
      <c r="N82" s="3"/>
      <c r="R82" s="7"/>
    </row>
    <row r="83" spans="4:18" ht="20.100000000000001" customHeight="1" x14ac:dyDescent="0.25">
      <c r="D83" s="156" t="str">
        <f>"Percent solids separated from " &amp; D81 &amp; " (Method 1)"</f>
        <v>Percent solids separated from Anaerobic lagoon (Method 1)</v>
      </c>
      <c r="E83" s="101">
        <f>IF(E82="Yes", 20%, 0)</f>
        <v>0.2</v>
      </c>
      <c r="N83" s="3"/>
      <c r="R83" s="7"/>
    </row>
    <row r="84" spans="4:18" ht="20.100000000000001" customHeight="1" x14ac:dyDescent="0.25">
      <c r="D84" s="156" t="str">
        <f>"Percent solids separated from " &amp; D81 &amp; " (Method 2)"</f>
        <v>Percent solids separated from Anaerobic lagoon (Method 2)</v>
      </c>
      <c r="E84" s="49">
        <v>0.2</v>
      </c>
      <c r="N84" s="3"/>
      <c r="R84" s="7"/>
    </row>
    <row r="85" spans="4:18" ht="20.100000000000001" customHeight="1" x14ac:dyDescent="0.25">
      <c r="R85" s="7"/>
    </row>
    <row r="86" spans="4:18" ht="20.100000000000001" customHeight="1" x14ac:dyDescent="0.25">
      <c r="D86" s="149" t="str">
        <f>'Constants - Dairy'!$D$9</f>
        <v>Sump and dispersal system</v>
      </c>
      <c r="E86" s="49">
        <v>0.25</v>
      </c>
      <c r="F86" s="49">
        <v>0.25</v>
      </c>
      <c r="G86" s="49">
        <v>0.25</v>
      </c>
      <c r="H86" s="49">
        <v>0.25</v>
      </c>
      <c r="I86" s="49">
        <v>0.25</v>
      </c>
      <c r="J86" s="2" t="s">
        <v>20</v>
      </c>
      <c r="K86" s="49">
        <v>0.25</v>
      </c>
      <c r="L86" s="49">
        <v>0.25</v>
      </c>
      <c r="M86" s="101">
        <f t="shared" ref="M86:M87" si="1">1-SUM(K86:L86)</f>
        <v>0.5</v>
      </c>
      <c r="R86" s="7"/>
    </row>
    <row r="87" spans="4:18" ht="20.100000000000001" customHeight="1" x14ac:dyDescent="0.25">
      <c r="D87" s="156" t="str">
        <f>"Were solids separated from " &amp; D86 &amp; "?"</f>
        <v>Were solids separated from Sump and dispersal system?</v>
      </c>
      <c r="E87" s="42" t="s">
        <v>209</v>
      </c>
      <c r="R87" s="7"/>
    </row>
    <row r="88" spans="4:18" ht="20.100000000000001" customHeight="1" x14ac:dyDescent="0.25">
      <c r="D88" s="156" t="str">
        <f>"Percent solids separated from " &amp; D86 &amp; " (Method 1)"</f>
        <v>Percent solids separated from Sump and dispersal system (Method 1)</v>
      </c>
      <c r="E88" s="101">
        <f>IF(E87="Yes", 20%, 0)</f>
        <v>0.2</v>
      </c>
      <c r="R88" s="7"/>
    </row>
    <row r="89" spans="4:18" ht="20.100000000000001" customHeight="1" x14ac:dyDescent="0.25">
      <c r="D89" s="156" t="str">
        <f>"Percent solids separated from " &amp; D86 &amp; " (Method 2)"</f>
        <v>Percent solids separated from Sump and dispersal system (Method 2)</v>
      </c>
      <c r="E89" s="49">
        <v>0.2</v>
      </c>
      <c r="R89" s="7"/>
    </row>
    <row r="90" spans="4:18" ht="20.100000000000001" customHeight="1" x14ac:dyDescent="0.25">
      <c r="R90" s="7"/>
    </row>
    <row r="91" spans="4:18" ht="20.100000000000001" customHeight="1" x14ac:dyDescent="0.25">
      <c r="D91" s="149" t="str">
        <f>'Constants - Dairy'!$D$10</f>
        <v>Drains to paddock</v>
      </c>
      <c r="E91" s="49">
        <v>0.25</v>
      </c>
      <c r="F91" s="49">
        <v>0.25</v>
      </c>
      <c r="G91" s="49">
        <v>0.25</v>
      </c>
      <c r="H91" s="49">
        <v>0.25</v>
      </c>
      <c r="I91" s="49">
        <v>0.25</v>
      </c>
      <c r="J91" s="2" t="s">
        <v>20</v>
      </c>
      <c r="K91" s="49">
        <v>0.25</v>
      </c>
      <c r="L91" s="49">
        <v>0.25</v>
      </c>
      <c r="M91" s="101">
        <f>1-SUM(K91:L91)</f>
        <v>0.5</v>
      </c>
      <c r="R91" s="7"/>
    </row>
    <row r="92" spans="4:18" ht="20.100000000000001" customHeight="1" x14ac:dyDescent="0.25">
      <c r="D92" s="156" t="str">
        <f>"Were solids separated from " &amp; D91 &amp; "?"</f>
        <v>Were solids separated from Drains to paddock?</v>
      </c>
      <c r="E92" s="42" t="s">
        <v>209</v>
      </c>
      <c r="R92" s="7"/>
    </row>
    <row r="93" spans="4:18" ht="20.100000000000001" customHeight="1" x14ac:dyDescent="0.25">
      <c r="D93" s="156" t="str">
        <f>"Percent solids separated from " &amp; D91 &amp; " (Method 1)"</f>
        <v>Percent solids separated from Drains to paddock (Method 1)</v>
      </c>
      <c r="E93" s="101">
        <f>IF(E92="Yes", 20%, 0)</f>
        <v>0.2</v>
      </c>
      <c r="R93" s="7"/>
    </row>
    <row r="94" spans="4:18" ht="20.100000000000001" customHeight="1" x14ac:dyDescent="0.25">
      <c r="D94" s="156" t="str">
        <f>"Percent solids separated from " &amp; D91 &amp; " (Method 2)"</f>
        <v>Percent solids separated from Drains to paddock (Method 2)</v>
      </c>
      <c r="E94" s="49">
        <v>0.2</v>
      </c>
      <c r="R94" s="7"/>
    </row>
    <row r="95" spans="4:18" ht="20.100000000000001" customHeight="1" x14ac:dyDescent="0.25">
      <c r="R95" s="7"/>
    </row>
    <row r="96" spans="4:18" ht="20.100000000000001" customHeight="1" x14ac:dyDescent="0.25">
      <c r="D96" s="149" t="str">
        <f>'Constants - Dairy'!$D$11 &amp; " (before solid separation)"</f>
        <v>Solid storage (before solid separation)</v>
      </c>
      <c r="E96" s="49">
        <v>0.25</v>
      </c>
      <c r="F96" s="49">
        <v>0.25</v>
      </c>
      <c r="G96" s="49">
        <v>0.25</v>
      </c>
      <c r="H96" s="49">
        <v>0.25</v>
      </c>
      <c r="I96" s="49">
        <v>0.25</v>
      </c>
      <c r="J96" s="2" t="s">
        <v>20</v>
      </c>
      <c r="K96" s="49">
        <v>0.25</v>
      </c>
      <c r="L96" s="49">
        <v>0.25</v>
      </c>
      <c r="M96" s="101">
        <f t="shared" ref="M96" si="2">1-SUM(K96:L96)</f>
        <v>0.5</v>
      </c>
      <c r="R96" s="7"/>
    </row>
    <row r="97" spans="4:18" ht="20.100000000000001" customHeight="1" x14ac:dyDescent="0.25">
      <c r="D97" s="150" t="s">
        <v>440</v>
      </c>
      <c r="E97" s="101">
        <f>E96+(E81*$E83)+(E86*$E88)+(E91*$E93)</f>
        <v>0.39999999999999997</v>
      </c>
      <c r="F97" s="101">
        <f>F96+(F81*$E83)+(F86*$E88)+(F91*$E93)</f>
        <v>0.39999999999999997</v>
      </c>
      <c r="G97" s="101">
        <f>G96+(G81*$E83)+(G86*$E88)+(G91*$E93)</f>
        <v>0.39999999999999997</v>
      </c>
      <c r="H97" s="101">
        <f>H96+(H81*$E83)+(H86*$E88)+(H91*$E93)</f>
        <v>0.39999999999999997</v>
      </c>
      <c r="I97" s="101">
        <f>I96+(I81*$E83)+(I86*$E88)+(I91*$E93)</f>
        <v>0.39999999999999997</v>
      </c>
      <c r="J97" s="2" t="s">
        <v>20</v>
      </c>
      <c r="K97" s="2"/>
      <c r="L97" s="2"/>
      <c r="M97" s="2"/>
      <c r="R97" s="7"/>
    </row>
    <row r="98" spans="4:18" ht="20.100000000000001" customHeight="1" x14ac:dyDescent="0.25">
      <c r="D98" s="150" t="s">
        <v>441</v>
      </c>
      <c r="E98" s="101">
        <f>E96+(E81*$E84)+(E86*$E89)+(E91*$E94)</f>
        <v>0.39999999999999997</v>
      </c>
      <c r="F98" s="101">
        <f>F96+(F81*$E84)+(F86*$E89)+(F91*$E94)</f>
        <v>0.39999999999999997</v>
      </c>
      <c r="G98" s="101">
        <f>G96+(G81*$E84)+(G86*$E89)+(G91*$E94)</f>
        <v>0.39999999999999997</v>
      </c>
      <c r="H98" s="101">
        <f>H96+(H81*$E84)+(H86*$E89)+(H91*$E94)</f>
        <v>0.39999999999999997</v>
      </c>
      <c r="I98" s="101">
        <f>I96+(I81*$E84)+(I86*$E89)+(I91*$E94)</f>
        <v>0.39999999999999997</v>
      </c>
      <c r="J98" s="2" t="s">
        <v>20</v>
      </c>
      <c r="R98" s="7"/>
    </row>
    <row r="99" spans="4:18" ht="20.100000000000001" customHeight="1" x14ac:dyDescent="0.25">
      <c r="F99" s="2"/>
      <c r="R99" s="7"/>
    </row>
    <row r="100" spans="4:18" ht="20.100000000000001" customHeight="1" x14ac:dyDescent="0.25">
      <c r="F100" s="147"/>
      <c r="R100" s="7"/>
    </row>
    <row r="101" spans="4:18" ht="20.100000000000001" customHeight="1" x14ac:dyDescent="0.25">
      <c r="D101" s="51" t="str">
        <f>"From " &amp; $D$67</f>
        <v>From Feed pad</v>
      </c>
      <c r="R101" s="7"/>
    </row>
    <row r="102" spans="4:18" ht="20.100000000000001" customHeight="1" x14ac:dyDescent="0.25">
      <c r="R102" s="7"/>
    </row>
    <row r="103" spans="4:18" ht="20.100000000000001" customHeight="1" x14ac:dyDescent="0.25">
      <c r="D103" s="148" t="s">
        <v>103</v>
      </c>
      <c r="E103" s="41" t="s">
        <v>175</v>
      </c>
      <c r="F103" s="41" t="s">
        <v>192</v>
      </c>
      <c r="G103" s="41" t="s">
        <v>193</v>
      </c>
      <c r="H103" s="41" t="s">
        <v>194</v>
      </c>
      <c r="I103" s="41" t="s">
        <v>195</v>
      </c>
      <c r="J103" s="146" t="s">
        <v>434</v>
      </c>
      <c r="K103" s="66" t="s">
        <v>433</v>
      </c>
      <c r="L103" s="66"/>
      <c r="M103" s="41"/>
      <c r="R103" s="7"/>
    </row>
    <row r="104" spans="4:18" ht="20.100000000000001" customHeight="1" x14ac:dyDescent="0.25">
      <c r="D104" s="150"/>
      <c r="K104" s="121" t="s">
        <v>435</v>
      </c>
      <c r="L104" s="121" t="s">
        <v>436</v>
      </c>
      <c r="M104" s="121" t="s">
        <v>437</v>
      </c>
      <c r="R104" s="7"/>
    </row>
    <row r="105" spans="4:18" ht="20.100000000000001" customHeight="1" x14ac:dyDescent="0.25">
      <c r="D105" s="149" t="str">
        <f>'Constants - Dairy'!$D$8</f>
        <v>Anaerobic lagoon</v>
      </c>
      <c r="E105" s="49">
        <v>0.25</v>
      </c>
      <c r="F105" s="49">
        <v>0.25</v>
      </c>
      <c r="G105" s="49">
        <v>0.25</v>
      </c>
      <c r="H105" s="49">
        <v>0.25</v>
      </c>
      <c r="I105" s="49">
        <v>0.25</v>
      </c>
      <c r="J105" s="2" t="s">
        <v>20</v>
      </c>
      <c r="K105" s="49">
        <v>0.25</v>
      </c>
      <c r="L105" s="49">
        <v>0.25</v>
      </c>
      <c r="M105" s="101">
        <f>1-SUM(K105:L105)</f>
        <v>0.5</v>
      </c>
      <c r="R105" s="7"/>
    </row>
    <row r="106" spans="4:18" ht="20.100000000000001" customHeight="1" x14ac:dyDescent="0.25">
      <c r="D106" s="156" t="str">
        <f>"Were solids separated from " &amp; D105 &amp; "?"</f>
        <v>Were solids separated from Anaerobic lagoon?</v>
      </c>
      <c r="E106" s="42" t="s">
        <v>211</v>
      </c>
      <c r="R106" s="7"/>
    </row>
    <row r="107" spans="4:18" ht="20.100000000000001" customHeight="1" x14ac:dyDescent="0.25">
      <c r="D107" s="156" t="str">
        <f>"Percent solids separated from " &amp; D105 &amp; " (Method 1)"</f>
        <v>Percent solids separated from Anaerobic lagoon (Method 1)</v>
      </c>
      <c r="E107" s="101">
        <f>IF(E106="Yes", 20%, 0)</f>
        <v>0</v>
      </c>
    </row>
    <row r="108" spans="4:18" ht="20.100000000000001" customHeight="1" x14ac:dyDescent="0.25">
      <c r="D108" s="156" t="str">
        <f>"Percent solids separated from " &amp; D105 &amp; " (Method 2)"</f>
        <v>Percent solids separated from Anaerobic lagoon (Method 2)</v>
      </c>
      <c r="E108" s="49">
        <f>IF(E106="Yes", 20%, 0)</f>
        <v>0</v>
      </c>
    </row>
    <row r="109" spans="4:18" ht="20.100000000000001" customHeight="1" x14ac:dyDescent="0.25"/>
    <row r="110" spans="4:18" ht="20.100000000000001" customHeight="1" x14ac:dyDescent="0.25">
      <c r="D110" s="149" t="str">
        <f>'Constants - Dairy'!$D$9</f>
        <v>Sump and dispersal system</v>
      </c>
      <c r="E110" s="49">
        <v>0.25</v>
      </c>
      <c r="F110" s="49">
        <v>0.25</v>
      </c>
      <c r="G110" s="49">
        <v>0.25</v>
      </c>
      <c r="H110" s="49">
        <v>0.25</v>
      </c>
      <c r="I110" s="49">
        <v>0.25</v>
      </c>
      <c r="J110" s="2" t="s">
        <v>20</v>
      </c>
      <c r="K110" s="49">
        <v>0.25</v>
      </c>
      <c r="L110" s="49">
        <v>0.25</v>
      </c>
      <c r="M110" s="101">
        <f t="shared" ref="M110:M111" si="3">1-SUM(K110:L110)</f>
        <v>0.5</v>
      </c>
    </row>
    <row r="111" spans="4:18" ht="20.100000000000001" customHeight="1" x14ac:dyDescent="0.25">
      <c r="D111" s="156" t="str">
        <f>"Were solids separated from " &amp; D110 &amp; "?"</f>
        <v>Were solids separated from Sump and dispersal system?</v>
      </c>
      <c r="E111" s="42" t="s">
        <v>209</v>
      </c>
    </row>
    <row r="112" spans="4:18" ht="20.100000000000001" customHeight="1" x14ac:dyDescent="0.25">
      <c r="D112" s="156" t="str">
        <f>"Percent solids separated from " &amp; D110 &amp; " (Method 1)"</f>
        <v>Percent solids separated from Sump and dispersal system (Method 1)</v>
      </c>
      <c r="E112" s="101">
        <f>IF(E111="Yes", 20%, 0)</f>
        <v>0.2</v>
      </c>
    </row>
    <row r="113" spans="4:13" ht="20.100000000000001" customHeight="1" x14ac:dyDescent="0.25">
      <c r="D113" s="156" t="str">
        <f>"Percent solids separated from " &amp; D110 &amp; " (Method 2)"</f>
        <v>Percent solids separated from Sump and dispersal system (Method 2)</v>
      </c>
      <c r="E113" s="49">
        <f>IF(E111="Yes", 20%, 0)</f>
        <v>0.2</v>
      </c>
    </row>
    <row r="114" spans="4:13" ht="20.100000000000001" customHeight="1" x14ac:dyDescent="0.25"/>
    <row r="115" spans="4:13" ht="20.100000000000001" customHeight="1" x14ac:dyDescent="0.25">
      <c r="D115" s="149" t="str">
        <f>'Constants - Dairy'!$D$10</f>
        <v>Drains to paddock</v>
      </c>
      <c r="E115" s="49">
        <v>0.25</v>
      </c>
      <c r="F115" s="49">
        <v>0.25</v>
      </c>
      <c r="G115" s="49">
        <v>0.25</v>
      </c>
      <c r="H115" s="49">
        <v>0.25</v>
      </c>
      <c r="I115" s="49">
        <v>0.25</v>
      </c>
      <c r="J115" s="2" t="s">
        <v>20</v>
      </c>
      <c r="K115" s="49">
        <v>0.25</v>
      </c>
      <c r="L115" s="49">
        <v>0.25</v>
      </c>
      <c r="M115" s="101">
        <f>1-SUM(K115:L115)</f>
        <v>0.5</v>
      </c>
    </row>
    <row r="116" spans="4:13" ht="20.100000000000001" customHeight="1" x14ac:dyDescent="0.25">
      <c r="D116" s="156" t="str">
        <f>"Were solids separated from " &amp; D115 &amp; "?"</f>
        <v>Were solids separated from Drains to paddock?</v>
      </c>
      <c r="E116" s="42" t="s">
        <v>209</v>
      </c>
    </row>
    <row r="117" spans="4:13" ht="20.100000000000001" customHeight="1" x14ac:dyDescent="0.25">
      <c r="D117" s="156" t="str">
        <f>"Percent solids separated from " &amp; D115 &amp; " (Method 1)"</f>
        <v>Percent solids separated from Drains to paddock (Method 1)</v>
      </c>
      <c r="E117" s="101">
        <f>IF(E116="Yes", 20%, 0)</f>
        <v>0.2</v>
      </c>
    </row>
    <row r="118" spans="4:13" ht="20.100000000000001" customHeight="1" x14ac:dyDescent="0.25">
      <c r="D118" s="156" t="str">
        <f>"Percent solids separated from " &amp; D115 &amp; " (Method 2)"</f>
        <v>Percent solids separated from Drains to paddock (Method 2)</v>
      </c>
      <c r="E118" s="49">
        <f>IF(E116="Yes", 20%, 0)</f>
        <v>0.2</v>
      </c>
    </row>
    <row r="119" spans="4:13" ht="20.100000000000001" customHeight="1" x14ac:dyDescent="0.25"/>
    <row r="120" spans="4:13" ht="20.100000000000001" customHeight="1" x14ac:dyDescent="0.25">
      <c r="D120" s="149" t="str">
        <f>'Constants - Dairy'!$D$11 &amp; " (before solid separation)"</f>
        <v>Solid storage (before solid separation)</v>
      </c>
      <c r="E120" s="49">
        <v>0.25</v>
      </c>
      <c r="F120" s="49">
        <v>0.25</v>
      </c>
      <c r="G120" s="49">
        <v>0.25</v>
      </c>
      <c r="H120" s="49">
        <v>0.25</v>
      </c>
      <c r="I120" s="49">
        <v>0.25</v>
      </c>
      <c r="J120" s="2" t="s">
        <v>20</v>
      </c>
      <c r="K120" s="49">
        <v>0.25</v>
      </c>
      <c r="L120" s="49">
        <v>0.25</v>
      </c>
      <c r="M120" s="101">
        <f>1-SUM(K120:L120)</f>
        <v>0.5</v>
      </c>
    </row>
    <row r="121" spans="4:13" ht="20.100000000000001" customHeight="1" x14ac:dyDescent="0.25">
      <c r="D121" s="150" t="s">
        <v>440</v>
      </c>
      <c r="E121" s="101">
        <f>E120+(E105*$E107)+(E110*$E112)+(E115*$E117)</f>
        <v>0.35</v>
      </c>
      <c r="F121" s="101">
        <f>F120+(F105*$E107)+(F110*$E112)+(F115*$E117)</f>
        <v>0.35</v>
      </c>
      <c r="G121" s="101">
        <f>G120+(G105*$E107)+(G110*$E112)+(G115*$E117)</f>
        <v>0.35</v>
      </c>
      <c r="H121" s="101">
        <f>H120+(H105*$E107)+(H110*$E112)+(H115*$E117)</f>
        <v>0.35</v>
      </c>
      <c r="I121" s="101">
        <f>I120+(I105*$E107)+(I110*$E112)+(I115*$E117)</f>
        <v>0.35</v>
      </c>
      <c r="J121" s="2" t="s">
        <v>20</v>
      </c>
      <c r="K121" s="2"/>
      <c r="L121" s="2"/>
      <c r="M121" s="2"/>
    </row>
    <row r="122" spans="4:13" ht="20.100000000000001" customHeight="1" x14ac:dyDescent="0.25">
      <c r="D122" s="150" t="s">
        <v>441</v>
      </c>
      <c r="E122" s="101">
        <f>E120+(E105*$E108)+(E110*$E113)+(E115*$E118)</f>
        <v>0.35</v>
      </c>
      <c r="F122" s="101">
        <f>F120+(F105*$E108)+(F110*$E113)+(F115*$E118)</f>
        <v>0.35</v>
      </c>
      <c r="G122" s="101">
        <f>G120+(G105*$E108)+(G110*$E113)+(G115*$E118)</f>
        <v>0.35</v>
      </c>
      <c r="H122" s="101">
        <f>H120+(H105*$E108)+(H110*$E113)+(H115*$E118)</f>
        <v>0.35</v>
      </c>
      <c r="I122" s="101">
        <f>I120+(I105*$E108)+(I110*$E113)+(I115*$E118)</f>
        <v>0.35</v>
      </c>
      <c r="J122" s="2" t="s">
        <v>20</v>
      </c>
    </row>
    <row r="123" spans="4:13" ht="20.100000000000001" customHeight="1" x14ac:dyDescent="0.25"/>
    <row r="124" spans="4:13" ht="20.100000000000001" customHeight="1" x14ac:dyDescent="0.25"/>
    <row r="125" spans="4:13" ht="20.100000000000001" customHeight="1" x14ac:dyDescent="0.25">
      <c r="D125" s="1" t="s">
        <v>143</v>
      </c>
      <c r="E125" s="42" t="s">
        <v>148</v>
      </c>
      <c r="F125" s="2" t="s">
        <v>11</v>
      </c>
    </row>
    <row r="126" spans="4:13" ht="20.100000000000001" customHeight="1" x14ac:dyDescent="0.25">
      <c r="E126" s="42" t="s">
        <v>153</v>
      </c>
      <c r="F126" s="2" t="s">
        <v>11</v>
      </c>
      <c r="K126" s="2"/>
      <c r="L126" s="2"/>
      <c r="M126" s="2"/>
    </row>
    <row r="127" spans="4:13" ht="20.100000000000001" customHeight="1" x14ac:dyDescent="0.25"/>
    <row r="128" spans="4: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row r="138" spans="12:13" ht="20.100000000000001" customHeight="1" x14ac:dyDescent="0.25"/>
    <row r="139" spans="12:13" ht="20.100000000000001" customHeight="1" x14ac:dyDescent="0.25"/>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O43:P43 N44 K97:M97 F102 K121:M121 K126:M126 J81 J86 J91 J96:J98 F91 F96 J105 J110 J115 J120:J122">
    <cfRule type="cellIs" dxfId="7" priority="30" operator="lessThan">
      <formula>0</formula>
    </cfRule>
  </conditionalFormatting>
  <conditionalFormatting sqref="E14:M15">
    <cfRule type="cellIs" dxfId="6" priority="2" operator="lessThan">
      <formula>0</formula>
    </cfRule>
  </conditionalFormatting>
  <conditionalFormatting sqref="E18:M19">
    <cfRule type="cellIs" dxfId="5" priority="1" operator="lessThan">
      <formula>0</formula>
    </cfRule>
  </conditionalFormatting>
  <conditionalFormatting sqref="E36:M38">
    <cfRule type="cellIs" dxfId="4" priority="6" operator="lessThan">
      <formula>0</formula>
    </cfRule>
  </conditionalFormatting>
  <conditionalFormatting sqref="E41:M43">
    <cfRule type="cellIs" dxfId="3" priority="3" operator="lessThan">
      <formula>0</formula>
    </cfRule>
  </conditionalFormatting>
  <conditionalFormatting sqref="F99">
    <cfRule type="cellIs" dxfId="2" priority="20" operator="lessThan">
      <formula>0</formula>
    </cfRule>
  </conditionalFormatting>
  <conditionalFormatting sqref="J65:M67">
    <cfRule type="cellIs" dxfId="1" priority="24" operator="lessThan">
      <formula>0</formula>
    </cfRule>
  </conditionalFormatting>
  <conditionalFormatting sqref="J70:M72">
    <cfRule type="cellIs" dxfId="0" priority="23" operator="lessThan">
      <formula>0</formula>
    </cfRule>
  </conditionalFormatting>
  <dataValidations count="6">
    <dataValidation type="list" allowBlank="1" showInputMessage="1" showErrorMessage="1" sqref="E125" xr:uid="{AF94BFC8-A9BD-4286-932B-111409BF1EB6}">
      <formula1>INDIRECT("Table_SourceData_Dairy_CropProdSystems[Production system]")</formula1>
    </dataValidation>
    <dataValidation type="list" allowBlank="1" showInputMessage="1" showErrorMessage="1" sqref="E126"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82 E87 E92 E106 E111 E116"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268" zoomScale="85" zoomScaleNormal="85" workbookViewId="0">
      <selection activeCell="E238" sqref="E23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285</v>
      </c>
    </row>
    <row r="2" spans="1:23" s="9" customFormat="1" ht="20.100000000000001" customHeight="1" x14ac:dyDescent="0.25"/>
    <row r="3" spans="1:23" ht="20.100000000000001" customHeight="1" x14ac:dyDescent="0.25">
      <c r="A3" s="17" t="str">
        <f>HYPERLINK("#'Home'!A1", "Home")</f>
        <v>Home</v>
      </c>
      <c r="C3" s="4"/>
      <c r="D3" s="4" t="s">
        <v>121</v>
      </c>
      <c r="E3" s="4"/>
      <c r="F3" s="4"/>
      <c r="G3" s="4"/>
      <c r="H3" s="4"/>
      <c r="I3" s="4"/>
      <c r="J3" s="4"/>
      <c r="K3" s="4"/>
      <c r="L3" s="4"/>
      <c r="N3" s="4"/>
      <c r="O3" s="4" t="s">
        <v>122</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A6" s="16"/>
      <c r="D6" s="5" t="str" cm="1">
        <f t="array" ref="D6">EntericMethane_Dairy_Equations.VEERG_3_3_1_1__6_MetabolisabilityOfDiet_Source()</f>
        <v>VEERG 2026: 3.3.1.1, Equation (6)</v>
      </c>
    </row>
    <row r="7" spans="1:23" ht="20.100000000000001" customHeight="1" x14ac:dyDescent="0.25">
      <c r="A7" s="20" t="s">
        <v>3</v>
      </c>
      <c r="D7" s="58"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7" t="str">
        <f>HYPERLINK("#'Input - Site'!A1", "Site")</f>
        <v>Site</v>
      </c>
      <c r="D8" s="13" t="s">
        <v>28</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Dairy'!A1", "Dairy")</f>
        <v>Dairy</v>
      </c>
    </row>
    <row r="10" spans="1:23" ht="20.100000000000001" customHeight="1" x14ac:dyDescent="0.25">
      <c r="A10" s="17"/>
    </row>
    <row r="11" spans="1:23" ht="20.100000000000001" customHeight="1" x14ac:dyDescent="0.25">
      <c r="A11" s="19" t="s">
        <v>78</v>
      </c>
      <c r="D11" s="56" t="s">
        <v>31</v>
      </c>
      <c r="E11" s="1" t="str" cm="1">
        <f t="array" ref="E11">EntericMethane_Dairy_Equations.VEERG_3_3_1_1__6_MetabolisabilityOfDiet_Variable()</f>
        <v>qm_j</v>
      </c>
    </row>
    <row r="12" spans="1:23" ht="20.100000000000001" customHeight="1" x14ac:dyDescent="0.25">
      <c r="A12" s="22" t="str">
        <f>HYPERLINK("#'4.3.1.1-2 Methane'!A1", "4.3.1.1-2 Methane")</f>
        <v>4.3.1.1-2 Methane</v>
      </c>
      <c r="D12" s="56" t="s">
        <v>21</v>
      </c>
      <c r="E12" s="57" t="str" cm="1">
        <f t="array" ref="E12">EntericMethane_Dairy_Equations.VEERG_3_3_1_1__6_MetabolisabilityOfDiet_Unit()</f>
        <v>fraction</v>
      </c>
    </row>
    <row r="13" spans="1:23" ht="20.100000000000001" customHeight="1" x14ac:dyDescent="0.25">
      <c r="A13" s="17" t="str">
        <f>HYPERLINK("#'4.3.1.3-4 Direct N20'!A1", "4.3.1.3-4 Direct N2O")</f>
        <v>4.3.1.3-4 Direct N2O</v>
      </c>
    </row>
    <row r="14" spans="1:23" ht="20.100000000000001" customHeight="1" x14ac:dyDescent="0.25">
      <c r="A14" s="17" t="str">
        <f>HYPERLINK("#'4.3.1.5 Atmos Deposition'!A1", "4.3.1.5 Atmospheric deposition")</f>
        <v>4.3.1.5 Atmospheric deposition</v>
      </c>
      <c r="D14" s="137" t="str" cm="1">
        <f t="array" ref="D14:E14">_xlfn.CHOOSECOLS(EntericMethane_Dairy_Equations.VEERG_3_3_1_1__6_MetabolisabilityOfDiet_Arguments(), 1,2)</f>
        <v>DMD_j</v>
      </c>
      <c r="E14" s="137" t="str">
        <v>dry matter digestibility expressed as a fraction</v>
      </c>
      <c r="F14" s="137"/>
      <c r="G14" s="137" t="str" cm="1">
        <f t="array" ref="G14:H14">_xlfn.CHOOSECOLS(EntericMethane_Dairy_Equations.VEERG_3_3_1_1__6_MetabolisabilityOfDiet_Arguments(), 3,4)</f>
        <v>fraction</v>
      </c>
      <c r="H14" s="135" t="str">
        <v>Input</v>
      </c>
      <c r="I14" s="137" t="str">
        <f>"See " &amp; D16</f>
        <v>See M1_Table_DMD_j</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126</v>
      </c>
      <c r="O16" s="104" t="s">
        <v>129</v>
      </c>
    </row>
    <row r="17" spans="1:23" ht="20.100000000000001" customHeight="1" x14ac:dyDescent="0.25">
      <c r="A17" s="17" t="str">
        <f>HYPERLINK("#'4.3.1.9 Soil direct N2O'!A1", "4.3.1.9 Soil direct N2O")</f>
        <v>4.3.1.9 Soil direct N2O</v>
      </c>
      <c r="D17" s="103" t="s">
        <v>128</v>
      </c>
      <c r="O17" s="103" t="s">
        <v>241</v>
      </c>
    </row>
    <row r="18" spans="1:23" ht="20.100000000000001" customHeight="1" x14ac:dyDescent="0.25">
      <c r="A18" s="17" t="str">
        <f>HYPERLINK("#'4.3.1.10-11 Soil Atmos Dep'!A1", "4.3.1.10-11 Soil atm. deposition")</f>
        <v>4.3.1.10-11 Soil atm. deposition</v>
      </c>
      <c r="D18" s="41" t="s">
        <v>175</v>
      </c>
      <c r="E18" s="41" t="s">
        <v>192</v>
      </c>
      <c r="F18" s="41" t="s">
        <v>193</v>
      </c>
      <c r="G18" s="41" t="s">
        <v>194</v>
      </c>
      <c r="H18" s="41" t="s">
        <v>195</v>
      </c>
      <c r="O18" s="41" t="s">
        <v>175</v>
      </c>
      <c r="P18" s="41" t="s">
        <v>192</v>
      </c>
      <c r="Q18" s="41" t="s">
        <v>193</v>
      </c>
      <c r="R18" s="41" t="s">
        <v>194</v>
      </c>
      <c r="S18" s="41" t="s">
        <v>195</v>
      </c>
    </row>
    <row r="19" spans="1:23" ht="20.100000000000001" customHeight="1" x14ac:dyDescent="0.25">
      <c r="A19" s="17" t="str">
        <f>HYPERLINK("#'4.3.1.12-13 Soil leach runoff'!A1", "4.3.1.12-13 Soil leach &amp; runoff")</f>
        <v>4.3.1.12-13 Soil leach &amp; runoff</v>
      </c>
      <c r="D19" s="55">
        <f>'Input - Dairy'!$E$37</f>
        <v>0.75</v>
      </c>
      <c r="E19" s="55">
        <f>'Input - Dairy'!$F$37</f>
        <v>0.75</v>
      </c>
      <c r="F19" s="55">
        <f>'Input - Dairy'!$G$37</f>
        <v>0.75</v>
      </c>
      <c r="G19" s="55">
        <f>'Input - Dairy'!$H$37</f>
        <v>0.75</v>
      </c>
      <c r="H19" s="55">
        <f>'Input - Dairy'!$I$37</f>
        <v>0.75</v>
      </c>
      <c r="I19" s="2" t="s">
        <v>230</v>
      </c>
      <c r="J19" s="2"/>
      <c r="K19" s="2"/>
      <c r="O19" s="55">
        <f>'Input - Dairy'!$E$42</f>
        <v>0.75</v>
      </c>
      <c r="P19" s="55">
        <f>'Input - Dairy'!$F$42</f>
        <v>0.75</v>
      </c>
      <c r="Q19" s="55">
        <f>'Input - Dairy'!$G$42</f>
        <v>0.75</v>
      </c>
      <c r="R19" s="55">
        <f>'Input - Dairy'!$H$42</f>
        <v>0.75</v>
      </c>
      <c r="S19" s="55">
        <f>'Input - Dairy'!$I$42</f>
        <v>0.75</v>
      </c>
      <c r="T19" s="2" t="s">
        <v>230</v>
      </c>
      <c r="U19" s="2"/>
      <c r="V19" s="2"/>
    </row>
    <row r="20" spans="1:23" ht="20.100000000000001" customHeight="1" x14ac:dyDescent="0.25">
      <c r="A20" s="17"/>
    </row>
    <row r="21" spans="1:23" ht="20.100000000000001" customHeight="1" x14ac:dyDescent="0.25">
      <c r="A21" s="18" t="s">
        <v>4</v>
      </c>
      <c r="D21" s="104" t="s">
        <v>231</v>
      </c>
      <c r="O21" s="104" t="s">
        <v>233</v>
      </c>
    </row>
    <row r="22" spans="1:23" ht="20.100000000000001" customHeight="1" x14ac:dyDescent="0.25">
      <c r="A22" s="17" t="str">
        <f>HYPERLINK("#'Constants - Dairy'!A1", "Constants - Dairy")</f>
        <v>Constants - Dairy</v>
      </c>
      <c r="D22" s="103" t="s">
        <v>232</v>
      </c>
      <c r="O22" s="103" t="s">
        <v>234</v>
      </c>
    </row>
    <row r="23" spans="1:23" ht="20.100000000000001" customHeight="1" x14ac:dyDescent="0.25">
      <c r="A23" s="17" t="str">
        <f>HYPERLINK("#'Constants - Livestock'!A1", "Constants - Livestock")</f>
        <v>Constants - Livestock</v>
      </c>
      <c r="D23" s="54" t="s">
        <v>175</v>
      </c>
      <c r="E23" s="54" t="s">
        <v>192</v>
      </c>
      <c r="F23" s="54" t="s">
        <v>193</v>
      </c>
      <c r="G23" s="54" t="s">
        <v>194</v>
      </c>
      <c r="H23" s="54" t="s">
        <v>195</v>
      </c>
      <c r="O23" s="54" t="s">
        <v>175</v>
      </c>
      <c r="P23" s="54" t="s">
        <v>192</v>
      </c>
      <c r="Q23" s="54" t="s">
        <v>193</v>
      </c>
      <c r="R23" s="54" t="s">
        <v>194</v>
      </c>
      <c r="S23" s="54" t="s">
        <v>195</v>
      </c>
    </row>
    <row r="24" spans="1:23" ht="20.100000000000001" customHeight="1" x14ac:dyDescent="0.25">
      <c r="A24" s="17" t="str">
        <f>HYPERLINK("#'Constants - Common'!A1", "Constants - Common")</f>
        <v>Constants - Common</v>
      </c>
      <c r="D24" s="55" cm="1">
        <f t="array" ref="D24">EntericMethane_Dairy_Equations.VEERG_3_3_1_1__6_MetabolisabilityOfDietVariation(D19)</f>
        <v>0.5948500000000001</v>
      </c>
      <c r="E24" s="55" cm="1">
        <f t="array" ref="E24">EntericMethane_Dairy_Equations.VEERG_3_3_1_1__6_MetabolisabilityOfDietVariation(E19)</f>
        <v>0.5948500000000001</v>
      </c>
      <c r="F24" s="55" cm="1">
        <f t="array" ref="F24">EntericMethane_Dairy_Equations.VEERG_3_3_1_1__6_MetabolisabilityOfDietVariation(F19)</f>
        <v>0.5948500000000001</v>
      </c>
      <c r="G24" s="55" cm="1">
        <f t="array" ref="G24">EntericMethane_Dairy_Equations.VEERG_3_3_1_1__6_MetabolisabilityOfDietVariation(G19)</f>
        <v>0.5948500000000001</v>
      </c>
      <c r="H24" s="55" cm="1">
        <f t="array" ref="H24">EntericMethane_Dairy_Equations.VEERG_3_3_1_1__6_MetabolisabilityOfDietVariation(H19)</f>
        <v>0.5948500000000001</v>
      </c>
      <c r="I24" s="2" t="str">
        <f>$E$12</f>
        <v>fraction</v>
      </c>
      <c r="J24" s="2"/>
      <c r="K24" s="2"/>
      <c r="O24" s="55" cm="1">
        <f t="array" ref="O24">EntericMethane_Dairy_Equations.VEERG_3_3_1_1__6_MetabolisabilityOfDietVariation(O19)</f>
        <v>0.5948500000000001</v>
      </c>
      <c r="P24" s="55" cm="1">
        <f t="array" ref="P24">EntericMethane_Dairy_Equations.VEERG_3_3_1_1__6_MetabolisabilityOfDietVariation(P19)</f>
        <v>0.5948500000000001</v>
      </c>
      <c r="Q24" s="55" cm="1">
        <f t="array" ref="Q24">EntericMethane_Dairy_Equations.VEERG_3_3_1_1__6_MetabolisabilityOfDietVariation(Q19)</f>
        <v>0.5948500000000001</v>
      </c>
      <c r="R24" s="55" cm="1">
        <f t="array" ref="R24">EntericMethane_Dairy_Equations.VEERG_3_3_1_1__6_MetabolisabilityOfDietVariation(R19)</f>
        <v>0.5948500000000001</v>
      </c>
      <c r="S24" s="55" cm="1">
        <f t="array" ref="S24">EntericMethane_Dairy_Equations.VEERG_3_3_1_1__6_MetabolisabilityOfDietVariation(S19)</f>
        <v>0.5948500000000001</v>
      </c>
      <c r="T24" s="2" t="str">
        <f>$E$12</f>
        <v>fraction</v>
      </c>
      <c r="U24" s="2"/>
      <c r="V24" s="2"/>
    </row>
    <row r="25" spans="1:23" ht="20.100000000000001" customHeight="1" x14ac:dyDescent="0.25">
      <c r="A25" s="17" t="str">
        <f>HYPERLINK("#'Acknowledgements'!A1", "Acknowledgements")</f>
        <v>Acknowledgements</v>
      </c>
    </row>
    <row r="26" spans="1:23" ht="20.100000000000001" customHeight="1" x14ac:dyDescent="0.25"/>
    <row r="27" spans="1:23" ht="20.100000000000001" customHeight="1" x14ac:dyDescent="0.25">
      <c r="C27" s="48"/>
      <c r="D27" s="48"/>
      <c r="E27" s="48"/>
      <c r="F27" s="48"/>
      <c r="G27" s="48"/>
      <c r="H27" s="48"/>
      <c r="I27" s="48"/>
      <c r="J27" s="48"/>
      <c r="K27" s="48"/>
      <c r="L27" s="48"/>
      <c r="N27" s="48"/>
      <c r="O27" s="48"/>
      <c r="P27" s="48"/>
      <c r="Q27" s="48"/>
      <c r="R27" s="48"/>
      <c r="S27" s="48"/>
      <c r="T27" s="48"/>
      <c r="U27" s="48"/>
      <c r="V27" s="48"/>
      <c r="W27" s="48"/>
    </row>
    <row r="28" spans="1:23" ht="20.100000000000001" customHeight="1" x14ac:dyDescent="0.25">
      <c r="D28" s="6" t="str" cm="1">
        <f t="array" ref="D28">EntericMethane_Dairy_Equations.VEERG_3_3_1_1__5_MilkProductionFromMilkSolids_Title()</f>
        <v>Milk production converted from milk solids</v>
      </c>
    </row>
    <row r="29" spans="1:23" ht="20.100000000000001" customHeight="1" x14ac:dyDescent="0.25">
      <c r="D29" s="5" t="str" cm="1">
        <f t="array" ref="D29">EntericMethane_Dairy_Equations.VEERG_3_3_1_1__5_MilkProductionFromMilkSolids_Source()</f>
        <v>VEERG 2026: 3.3.1.1, Equation (5)</v>
      </c>
    </row>
    <row r="30" spans="1:23" ht="20.100000000000001" customHeight="1" x14ac:dyDescent="0.25">
      <c r="D30" s="58"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28</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6" t="s">
        <v>31</v>
      </c>
      <c r="E34" s="1" t="str" cm="1">
        <f t="array" ref="E34">EntericMethane_Dairy_Equations.VEERG_3_3_1_1__5_MilkProductionFromMilkSolids_Variable()</f>
        <v>MP_j</v>
      </c>
    </row>
    <row r="35" spans="4:20" ht="20.100000000000001" customHeight="1" x14ac:dyDescent="0.25">
      <c r="D35" s="56" t="s">
        <v>21</v>
      </c>
      <c r="E35" s="57" t="str" cm="1">
        <f t="array" ref="E35">EntericMethane_Dairy_Equations.VEERG_3_3_1_1__5_MilkProductionFromMilkSolids_Unit()</f>
        <v>L/head/day</v>
      </c>
    </row>
    <row r="36" spans="4:20" ht="20.100000000000001" customHeight="1" x14ac:dyDescent="0.25"/>
    <row r="37" spans="4:20" ht="20.100000000000001" customHeight="1" x14ac:dyDescent="0.25">
      <c r="D37" s="137" t="str" cm="1">
        <f t="array" ref="D37:E40">_xlfn.CHOOSECOLS(EntericMethane_Dairy_Equations.VEERG_3_3_1_1__5_MilkProductionFromMilkSolids_Arguments(),1,2)</f>
        <v>MPU</v>
      </c>
      <c r="E37" s="136" t="str">
        <v>input milk production unit</v>
      </c>
      <c r="F37" s="138"/>
      <c r="G37" s="137" t="str" cm="1">
        <f t="array" ref="G37:H40">_xlfn.CHOOSECOLS(EntericMethane_Dairy_Equations.VEERG_3_3_1_1__5_MilkProductionFromMilkSolids_Arguments(),3,4)</f>
        <v/>
      </c>
      <c r="H37" s="135" t="str">
        <v>Input</v>
      </c>
      <c r="I37" s="137" t="str">
        <f>'Input - Dairy'!$E$49</f>
        <v>Litres of milk</v>
      </c>
      <c r="O37" s="137" t="str" cm="1">
        <f t="array" ref="O37:P40">_xlfn.CHOOSECOLS(EntericMethane_Dairy_Equations.VEERG_3_3_1_1__5_MilkProductionFromMilkSolids_Arguments(),1,2)</f>
        <v>MPU</v>
      </c>
      <c r="P37" s="136" t="str">
        <v>input milk production unit</v>
      </c>
      <c r="Q37" s="138"/>
      <c r="R37" s="137" t="str" cm="1">
        <f t="array" ref="R37:S40">_xlfn.CHOOSECOLS(EntericMethane_Dairy_Equations.VEERG_3_3_1_1__5_MilkProductionFromMilkSolids_Arguments(),3,4)</f>
        <v/>
      </c>
      <c r="S37" s="135" t="str">
        <v>Input</v>
      </c>
      <c r="T37" s="137"/>
    </row>
    <row r="38" spans="4:20" ht="20.100000000000001" customHeight="1" x14ac:dyDescent="0.25">
      <c r="D38" s="137" t="str">
        <v>MS_j</v>
      </c>
      <c r="E38" s="136" t="str">
        <v>daily production of milk solids</v>
      </c>
      <c r="F38" s="138"/>
      <c r="G38" s="137" t="str">
        <v>kg MS/head/day</v>
      </c>
      <c r="H38" s="135" t="str">
        <v>Input</v>
      </c>
      <c r="I38" s="134" t="str" cm="1">
        <f t="array" aca="1" ref="I38" ca="1">HYPERLINK(Common_InputFunctions.Utility_SourceHyperlink($D$42),$D$42)</f>
        <v>M1_Table_MS_j</v>
      </c>
      <c r="O38" s="137" t="str">
        <v>MS_j</v>
      </c>
      <c r="P38" s="136" t="str">
        <v>daily production of milk solids</v>
      </c>
      <c r="Q38" s="138"/>
      <c r="R38" s="137" t="str">
        <v>kg MS/head/day</v>
      </c>
      <c r="S38" s="135" t="str">
        <v>Input</v>
      </c>
      <c r="T38" s="134"/>
    </row>
    <row r="39" spans="4:20" ht="20.100000000000001" customHeight="1" x14ac:dyDescent="0.25">
      <c r="D39" s="137" t="str">
        <v>FC_j</v>
      </c>
      <c r="E39" s="136" t="str">
        <v>fat content in fat and protein corrected milk</v>
      </c>
      <c r="F39" s="138"/>
      <c r="G39" s="137" t="str">
        <v>per cent</v>
      </c>
      <c r="H39" s="133" t="str">
        <v>Constant</v>
      </c>
      <c r="I39" s="137">
        <f>'Input - Dairy'!E55*100</f>
        <v>4</v>
      </c>
      <c r="O39" s="137" t="str">
        <v>FC_j</v>
      </c>
      <c r="P39" s="136" t="str">
        <v>fat content in fat and protein corrected milk</v>
      </c>
      <c r="Q39" s="138"/>
      <c r="R39" s="137" t="str">
        <v>per cent</v>
      </c>
      <c r="S39" s="133" t="str">
        <v>Constant</v>
      </c>
      <c r="T39" s="137">
        <f>'Input - Dairy'!$F$55*100</f>
        <v>4</v>
      </c>
    </row>
    <row r="40" spans="4:20" ht="20.100000000000001" customHeight="1" x14ac:dyDescent="0.25">
      <c r="D40" s="137" t="str">
        <v>PC_j</v>
      </c>
      <c r="E40" s="137" t="str">
        <v>protein content in fat and protein corrected milk</v>
      </c>
      <c r="F40" s="137"/>
      <c r="G40" s="137" t="str">
        <v>per cent</v>
      </c>
      <c r="H40" s="133" t="str">
        <v>Constant</v>
      </c>
      <c r="I40" s="137">
        <f>'Input - Dairy'!E56*100</f>
        <v>3.3000000000000003</v>
      </c>
      <c r="O40" s="137" t="str">
        <v>PC_j</v>
      </c>
      <c r="P40" s="137" t="str">
        <v>protein content in fat and protein corrected milk</v>
      </c>
      <c r="Q40" s="137"/>
      <c r="R40" s="137" t="str">
        <v>per cent</v>
      </c>
      <c r="S40" s="133" t="str">
        <v>Constant</v>
      </c>
      <c r="T40" s="137">
        <f>'Input - Dairy'!$F$56*100</f>
        <v>3.3000000000000003</v>
      </c>
    </row>
    <row r="41" spans="4:20" ht="20.100000000000001" customHeight="1" x14ac:dyDescent="0.25"/>
    <row r="42" spans="4:20" ht="20.100000000000001" customHeight="1" x14ac:dyDescent="0.25">
      <c r="D42" s="104" t="s">
        <v>451</v>
      </c>
    </row>
    <row r="43" spans="4:20" ht="20.100000000000001" customHeight="1" x14ac:dyDescent="0.25">
      <c r="D43" s="103" t="s">
        <v>452</v>
      </c>
    </row>
    <row r="44" spans="4:20" ht="20.100000000000001" customHeight="1" x14ac:dyDescent="0.25">
      <c r="D44" s="41" t="s">
        <v>175</v>
      </c>
      <c r="E44" s="41" t="s">
        <v>192</v>
      </c>
      <c r="F44" s="41" t="s">
        <v>193</v>
      </c>
      <c r="G44" s="41" t="s">
        <v>194</v>
      </c>
      <c r="H44" s="41" t="s">
        <v>195</v>
      </c>
    </row>
    <row r="45" spans="4:20" ht="20.100000000000001" customHeight="1" x14ac:dyDescent="0.25">
      <c r="D45" s="55">
        <f>IF($I$37="Milk solids", 'Input - Dairy'!E52, 0)</f>
        <v>0</v>
      </c>
      <c r="E45" s="55">
        <v>0</v>
      </c>
      <c r="F45" s="55">
        <v>0</v>
      </c>
      <c r="G45" s="55">
        <v>0</v>
      </c>
      <c r="H45" s="55">
        <v>0</v>
      </c>
      <c r="I45" s="2" t="str">
        <f>G38</f>
        <v>kg MS/head/day</v>
      </c>
    </row>
    <row r="46" spans="4:20" ht="20.100000000000001" customHeight="1" x14ac:dyDescent="0.25"/>
    <row r="47" spans="4:20" ht="20.100000000000001" customHeight="1" x14ac:dyDescent="0.25">
      <c r="D47" s="104" t="s">
        <v>453</v>
      </c>
      <c r="O47" s="104" t="s">
        <v>455</v>
      </c>
    </row>
    <row r="48" spans="4:20" ht="20.100000000000001" customHeight="1" x14ac:dyDescent="0.25">
      <c r="D48" s="103" t="s">
        <v>454</v>
      </c>
      <c r="O48" s="103" t="s">
        <v>456</v>
      </c>
    </row>
    <row r="49" spans="1:23" ht="20.100000000000001" customHeight="1" x14ac:dyDescent="0.25">
      <c r="D49" s="54" t="s">
        <v>175</v>
      </c>
      <c r="E49" s="54" t="s">
        <v>192</v>
      </c>
      <c r="F49" s="54" t="s">
        <v>193</v>
      </c>
      <c r="G49" s="54" t="s">
        <v>194</v>
      </c>
      <c r="H49" s="54" t="s">
        <v>195</v>
      </c>
      <c r="O49" s="54" t="s">
        <v>175</v>
      </c>
      <c r="P49" s="54" t="s">
        <v>192</v>
      </c>
      <c r="Q49" s="54" t="s">
        <v>193</v>
      </c>
      <c r="R49" s="54" t="s">
        <v>194</v>
      </c>
      <c r="S49" s="54" t="s">
        <v>195</v>
      </c>
    </row>
    <row r="50" spans="1:23" ht="20.100000000000001" customHeight="1" x14ac:dyDescent="0.25">
      <c r="D50" s="55" cm="1">
        <f t="array" ref="D50">EntericMethane_Dairy_Equations.VEERG_3_3_1_1__5_MilkProductionFromMilkSolids(D45,$I$39,$I$40)</f>
        <v>0</v>
      </c>
      <c r="E50" s="55">
        <v>0</v>
      </c>
      <c r="F50" s="55">
        <v>0</v>
      </c>
      <c r="G50" s="55">
        <v>0</v>
      </c>
      <c r="H50" s="55">
        <v>0</v>
      </c>
      <c r="I50" s="2" t="s">
        <v>237</v>
      </c>
      <c r="O50" s="55" cm="1">
        <f t="array" ref="O50">EntericMethane_Dairy_Equations.VEERG_3_3_1_1__5_MilkProductionFromMilkSolids(D45,$T$39,$T$40)</f>
        <v>0</v>
      </c>
      <c r="P50" s="55">
        <v>0</v>
      </c>
      <c r="Q50" s="55">
        <v>0</v>
      </c>
      <c r="R50" s="55">
        <v>0</v>
      </c>
      <c r="S50" s="55">
        <v>0</v>
      </c>
      <c r="T50" s="2" t="s">
        <v>237</v>
      </c>
    </row>
    <row r="51" spans="1:23" ht="20.100000000000001" customHeight="1" x14ac:dyDescent="0.25">
      <c r="A51" s="141" t="str">
        <f>HYPERLINK("#A1", "▲ Back to top")</f>
        <v>▲ Back to top</v>
      </c>
    </row>
    <row r="52" spans="1:23" ht="20.100000000000001" customHeight="1" x14ac:dyDescent="0.25"/>
    <row r="53" spans="1:23" ht="20.100000000000001" customHeight="1" x14ac:dyDescent="0.25">
      <c r="C53" s="48"/>
      <c r="D53" s="48"/>
      <c r="E53" s="48"/>
      <c r="F53" s="48"/>
      <c r="G53" s="48"/>
      <c r="H53" s="48"/>
      <c r="I53" s="48"/>
      <c r="J53" s="48"/>
      <c r="K53" s="48"/>
      <c r="L53" s="48"/>
      <c r="N53" s="48"/>
      <c r="O53" s="48"/>
      <c r="P53" s="48"/>
      <c r="Q53" s="48"/>
      <c r="R53" s="48"/>
      <c r="S53" s="48"/>
      <c r="T53" s="48"/>
      <c r="U53" s="48"/>
      <c r="V53" s="48"/>
      <c r="W53" s="48"/>
    </row>
    <row r="54" spans="1:23" ht="20.100000000000001" customHeight="1" x14ac:dyDescent="0.25">
      <c r="D54" s="6" t="str" cm="1">
        <f t="array" ref="D54">EntericMethane_Dairy_Equations.VEERG_3_3_1_1__4_AdditionalIntakeForMilkProduction_Title()</f>
        <v>Additional intake required for milk production</v>
      </c>
    </row>
    <row r="55" spans="1:23" ht="20.100000000000001" customHeight="1" x14ac:dyDescent="0.25">
      <c r="D55" s="5" t="str" cm="1">
        <f t="array" ref="D55">EntericMethane_Dairy_Equations.VEERG_3_3_1_1__4_AdditionalIntakeForMilkProduction_Source()</f>
        <v>VEERG 2026: 3.3.1.1, Equation (4)</v>
      </c>
    </row>
    <row r="56" spans="1:23" ht="20.100000000000001" customHeight="1" x14ac:dyDescent="0.25">
      <c r="D56" s="13" t="s">
        <v>28</v>
      </c>
      <c r="E56" s="13" t="str" cm="1">
        <f t="array" aca="1" ref="E56" ca="1">Common_InputFunctions.Utility_DisplayFunctionName(D79)</f>
        <v>=EntericMethane_Dairy_Equations.VEERG_3_3_1_1__4_AdditionalIntakeForMilkProduction</v>
      </c>
    </row>
    <row r="57" spans="1:23" ht="20.100000000000001" customHeight="1" x14ac:dyDescent="0.25"/>
    <row r="58" spans="1:23" ht="20.100000000000001" customHeight="1" x14ac:dyDescent="0.25">
      <c r="D58" s="6"/>
    </row>
    <row r="59" spans="1:23" ht="20.100000000000001" customHeight="1" x14ac:dyDescent="0.25">
      <c r="D59" s="56" t="s">
        <v>31</v>
      </c>
      <c r="E59" s="1" t="str" cm="1">
        <f t="array" ref="E59">EntericMethane_Dairy_Equations.VEERG_3_3_1_1__4_AdditionalIntakeForMilkProduction_Variable()</f>
        <v>MI_j</v>
      </c>
    </row>
    <row r="60" spans="1:23" ht="20.100000000000001" customHeight="1" x14ac:dyDescent="0.25">
      <c r="D60" s="56" t="s">
        <v>21</v>
      </c>
      <c r="E60" s="57" t="str" cm="1">
        <f t="array" ref="E60">EntericMethane_Dairy_Equations.VEERG_3_3_1_1__4_AdditionalIntakeForMilkProduction_Unit()</f>
        <v>kg DM/head/day</v>
      </c>
    </row>
    <row r="61" spans="1:23" ht="20.100000000000001" customHeight="1" x14ac:dyDescent="0.25"/>
    <row r="62" spans="1:23" ht="20.100000000000001" customHeight="1" x14ac:dyDescent="0.25">
      <c r="D62" s="137" t="str" cm="1">
        <f t="array" ref="D62:E68">_xlfn.CHOOSECOLS(EntericMethane_Dairy_Equations.VEERG_3_3_1_1__4_AdditionalIntakeForMilkProduction_Arguments(), 1,2)</f>
        <v>MPU</v>
      </c>
      <c r="E62" s="136" t="str">
        <v>input milk production unit</v>
      </c>
      <c r="F62" s="138"/>
      <c r="G62" s="137" t="str" cm="1">
        <f t="array" ref="G62:H68">_xlfn.CHOOSECOLS(EntericMethane_Dairy_Equations.VEERG_3_3_1_1__4_AdditionalIntakeForMilkProduction_Arguments(), 3,4)</f>
        <v/>
      </c>
      <c r="H62" s="135" t="str">
        <v>Input</v>
      </c>
      <c r="I62" s="137" t="str">
        <f>'Input - Dairy'!$E$49</f>
        <v>Litres of milk</v>
      </c>
    </row>
    <row r="63" spans="1:23" ht="20.100000000000001" customHeight="1" x14ac:dyDescent="0.25">
      <c r="D63" s="137" t="str">
        <v>MP_j</v>
      </c>
      <c r="E63" s="136" t="str">
        <v>milk production (if input as litres of milk)</v>
      </c>
      <c r="F63" s="138"/>
      <c r="G63" s="137" t="str">
        <v>L/head/day</v>
      </c>
      <c r="H63" s="133" t="str">
        <v>Input</v>
      </c>
      <c r="I63" s="134" t="str" cm="1">
        <f t="array" aca="1" ref="I63" ca="1">HYPERLINK(Common_InputFunctions.Utility_SourceHyperlink($D$71), $D$71)</f>
        <v>Table_MP_j</v>
      </c>
    </row>
    <row r="64" spans="1:23" ht="20.100000000000001" customHeight="1" x14ac:dyDescent="0.25">
      <c r="D64" s="137" t="str">
        <v>MP_j</v>
      </c>
      <c r="E64" s="136" t="str">
        <v>milk production (if input as milk solids)</v>
      </c>
      <c r="F64" s="138"/>
      <c r="G64" s="137" t="str">
        <v>L/head/day</v>
      </c>
      <c r="H64" s="133" t="str">
        <v>Calculated from 3.3.1.1 (5)</v>
      </c>
      <c r="I64" s="134" t="str" cm="1">
        <f t="array" aca="1" ref="I64" ca="1">HYPERLINK(Common_InputFunctions.Utility_SourceHyperlink($D$47),$D$47)</f>
        <v>M1_Table_MP_j_from_solids</v>
      </c>
    </row>
    <row r="65" spans="4:22" ht="20.100000000000001" customHeight="1" x14ac:dyDescent="0.25">
      <c r="D65" s="137" t="str">
        <v>NE</v>
      </c>
      <c r="E65" s="136" t="str">
        <v>net energy</v>
      </c>
      <c r="F65" s="138"/>
      <c r="G65" s="137" t="str">
        <v>MJ net energy/kg milk</v>
      </c>
      <c r="H65" s="133" t="str">
        <v>Constant</v>
      </c>
      <c r="I65" s="137">
        <f>'Constants - Dairy'!$D$167</f>
        <v>3.0539999999999998</v>
      </c>
    </row>
    <row r="66" spans="4:22" ht="20.100000000000001" customHeight="1" x14ac:dyDescent="0.25">
      <c r="D66" s="137" t="str">
        <v>GEC</v>
      </c>
      <c r="E66" s="136" t="str">
        <v>gross energy content</v>
      </c>
      <c r="F66" s="138"/>
      <c r="G66" s="137" t="str">
        <v>MJ/kgDM</v>
      </c>
      <c r="H66" s="133" t="str">
        <v>Constant</v>
      </c>
      <c r="I66" s="137">
        <f>'Constants - Dairy'!$D$174</f>
        <v>18.399999999999999</v>
      </c>
    </row>
    <row r="67" spans="4:22" ht="20.100000000000001" customHeight="1" x14ac:dyDescent="0.25">
      <c r="D67" s="137" t="str">
        <v>k</v>
      </c>
      <c r="E67" s="137" t="str">
        <v>efficiency of metabolizable energy use for milk production</v>
      </c>
      <c r="F67" s="137"/>
      <c r="G67" s="137" t="str">
        <v>fraction</v>
      </c>
      <c r="H67" s="133" t="str">
        <v>Constant</v>
      </c>
      <c r="I67" s="137">
        <f>'Constants - Dairy'!$D$181</f>
        <v>0.6</v>
      </c>
    </row>
    <row r="68" spans="4:22" ht="20.100000000000001" customHeight="1" x14ac:dyDescent="0.25">
      <c r="D68" s="137" t="str">
        <v>qm_j</v>
      </c>
      <c r="E68" s="136" t="str">
        <v>metabolisability of the diet</v>
      </c>
      <c r="F68" s="138"/>
      <c r="G68" s="137" t="str">
        <v>fraction</v>
      </c>
      <c r="H68" s="133" t="str">
        <v>Calculated from 3.3.1.1 (6)</v>
      </c>
      <c r="I68" s="134"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4" t="s">
        <v>240</v>
      </c>
    </row>
    <row r="72" spans="4:22" ht="20.100000000000001" customHeight="1" x14ac:dyDescent="0.25">
      <c r="D72" s="103" t="s">
        <v>199</v>
      </c>
    </row>
    <row r="73" spans="4:22" ht="20.100000000000001" customHeight="1" x14ac:dyDescent="0.25">
      <c r="D73" s="41" t="s">
        <v>175</v>
      </c>
      <c r="E73" s="41" t="s">
        <v>192</v>
      </c>
      <c r="F73" s="41" t="s">
        <v>193</v>
      </c>
      <c r="G73" s="41" t="s">
        <v>194</v>
      </c>
      <c r="H73" s="41" t="s">
        <v>195</v>
      </c>
    </row>
    <row r="74" spans="4:22" ht="20.100000000000001" customHeight="1" x14ac:dyDescent="0.25">
      <c r="D74" s="55">
        <f>IF(I62="Milk solids", 0, 'Input - Dairy'!$E$52)</f>
        <v>20</v>
      </c>
      <c r="E74" s="55">
        <v>0</v>
      </c>
      <c r="F74" s="55">
        <v>0</v>
      </c>
      <c r="G74" s="55">
        <v>0</v>
      </c>
      <c r="H74" s="55">
        <v>0</v>
      </c>
      <c r="I74" s="2" t="s">
        <v>237</v>
      </c>
      <c r="J74" s="2"/>
      <c r="K74" s="2"/>
    </row>
    <row r="75" spans="4:22" ht="20.100000000000001" customHeight="1" x14ac:dyDescent="0.25"/>
    <row r="76" spans="4:22" ht="20.100000000000001" customHeight="1" x14ac:dyDescent="0.25">
      <c r="D76" s="104" t="s">
        <v>235</v>
      </c>
      <c r="O76" s="104" t="s">
        <v>238</v>
      </c>
    </row>
    <row r="77" spans="4:22" ht="20.100000000000001" customHeight="1" x14ac:dyDescent="0.25">
      <c r="D77" s="103" t="s">
        <v>236</v>
      </c>
      <c r="O77" s="103" t="s">
        <v>239</v>
      </c>
    </row>
    <row r="78" spans="4:22" ht="20.100000000000001" customHeight="1" x14ac:dyDescent="0.25">
      <c r="D78" s="54" t="s">
        <v>175</v>
      </c>
      <c r="E78" s="54" t="s">
        <v>192</v>
      </c>
      <c r="F78" s="54" t="s">
        <v>193</v>
      </c>
      <c r="G78" s="54" t="s">
        <v>194</v>
      </c>
      <c r="H78" s="54" t="s">
        <v>195</v>
      </c>
      <c r="O78" s="54" t="s">
        <v>175</v>
      </c>
      <c r="P78" s="54" t="s">
        <v>192</v>
      </c>
      <c r="Q78" s="54" t="s">
        <v>193</v>
      </c>
      <c r="R78" s="54" t="s">
        <v>194</v>
      </c>
      <c r="S78" s="54" t="s">
        <v>195</v>
      </c>
    </row>
    <row r="79" spans="4:22" ht="20.100000000000001" customHeight="1" x14ac:dyDescent="0.25">
      <c r="D79" s="55" cm="1">
        <f t="array" ref="D79">EntericMethane_Dairy_Equations.VEERG_3_3_1_1__4_AdditionalIntakeForMilkProduction(IF(I62="Milk solids", D50, D74), $I$65,$I$66,$I$67,D24)</f>
        <v>9.5798721636071917</v>
      </c>
      <c r="E79" s="55" cm="1">
        <f t="array" ref="E79">EntericMethane_Dairy_Equations.VEERG_3_3_1_1__4_AdditionalIntakeForMilkProduction(E74, $I$65,$I$66,$I$67,E24)</f>
        <v>0</v>
      </c>
      <c r="F79" s="55" cm="1">
        <f t="array" ref="F79">EntericMethane_Dairy_Equations.VEERG_3_3_1_1__4_AdditionalIntakeForMilkProduction(F74, $I$65,$I$66,$I$67,F24)</f>
        <v>0</v>
      </c>
      <c r="G79" s="55" cm="1">
        <f t="array" ref="G79">EntericMethane_Dairy_Equations.VEERG_3_3_1_1__4_AdditionalIntakeForMilkProduction(G74, $I$65,$I$66,$I$67,G24)</f>
        <v>0</v>
      </c>
      <c r="H79" s="55" cm="1">
        <f t="array" ref="H79">EntericMethane_Dairy_Equations.VEERG_3_3_1_1__4_AdditionalIntakeForMilkProduction(H74, $I$65,$I$66,$I$67,H24)</f>
        <v>0</v>
      </c>
      <c r="I79" s="2" t="str">
        <f>$E$60</f>
        <v>kg DM/head/day</v>
      </c>
      <c r="J79" s="2"/>
      <c r="K79" s="2"/>
      <c r="O79" s="55" cm="1">
        <f t="array" ref="O79">EntericMethane_Dairy_Equations.VEERG_3_3_1_1__4_AdditionalIntakeForMilkProduction(IF(I62="Milk solids", O50, D74), $I$65,$I$66,$I$67,O24)</f>
        <v>9.5798721636071917</v>
      </c>
      <c r="P79" s="55" cm="1">
        <f t="array" ref="P79">EntericMethane_Dairy_Equations.VEERG_3_3_1_1__4_AdditionalIntakeForMilkProduction(E74, $I$65,$I$66,$I$67,P24)</f>
        <v>0</v>
      </c>
      <c r="Q79" s="55" cm="1">
        <f t="array" ref="Q79">EntericMethane_Dairy_Equations.VEERG_3_3_1_1__4_AdditionalIntakeForMilkProduction(F74, $I$65,$I$66,$I$67,Q24)</f>
        <v>0</v>
      </c>
      <c r="R79" s="55" cm="1">
        <f t="array" ref="R79">EntericMethane_Dairy_Equations.VEERG_3_3_1_1__4_AdditionalIntakeForMilkProduction(G74, $I$65,$I$66,$I$67,R24)</f>
        <v>0</v>
      </c>
      <c r="S79" s="55"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8"/>
      <c r="D82" s="48"/>
      <c r="E82" s="48"/>
      <c r="F82" s="48"/>
      <c r="G82" s="48"/>
      <c r="H82" s="48"/>
      <c r="I82" s="48"/>
      <c r="J82" s="48"/>
      <c r="K82" s="48"/>
      <c r="L82" s="48"/>
      <c r="N82" s="48"/>
      <c r="O82" s="48"/>
      <c r="P82" s="48"/>
      <c r="Q82" s="48"/>
      <c r="R82" s="48"/>
      <c r="S82" s="48"/>
      <c r="T82" s="48"/>
      <c r="U82" s="48"/>
      <c r="V82" s="48"/>
      <c r="W82" s="48"/>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28</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6" t="s">
        <v>31</v>
      </c>
      <c r="E88" s="1" t="str" cm="1">
        <f t="array" ref="E88">EntericMethane_Dairy_Equations.VEERG_3_3_1_1__3_DryMatterFeedIntake_Variable()</f>
        <v>I_j</v>
      </c>
    </row>
    <row r="89" spans="3:23" ht="20.100000000000001" customHeight="1" x14ac:dyDescent="0.25">
      <c r="D89" s="56" t="s">
        <v>21</v>
      </c>
      <c r="E89" s="57" t="str" cm="1">
        <f t="array" ref="E89">EntericMethane_Dairy_Equations.VEERG_3_3_1_1__3_DryMatterFeedIntake_Unit()</f>
        <v>kg DM/head/day</v>
      </c>
    </row>
    <row r="90" spans="3:23" ht="20.100000000000001" customHeight="1" x14ac:dyDescent="0.25"/>
    <row r="91" spans="3:23" ht="20.100000000000001" customHeight="1" x14ac:dyDescent="0.25">
      <c r="D91" s="137" t="str" cm="1">
        <f t="array" ref="D91:E94">_xlfn.CHOOSECOLS(EntericMethane_Dairy_Equations.VEERG_3_3_1_1__3_DryMatterFeedIntake_Arguments(),1,2)</f>
        <v>W_j</v>
      </c>
      <c r="E91" s="136" t="str">
        <v>liveweight</v>
      </c>
      <c r="F91" s="138"/>
      <c r="G91" s="137" t="str" cm="1">
        <f t="array" ref="G91:H94">_xlfn.CHOOSECOLS(EntericMethane_Dairy_Equations.VEERG_3_3_1_1__3_DryMatterFeedIntake_Arguments(),3,4)</f>
        <v>kg</v>
      </c>
      <c r="H91" s="135" t="str">
        <v>Input</v>
      </c>
      <c r="I91" s="134" t="str" cm="1">
        <f t="array" aca="1" ref="I91" ca="1">HYPERLINK(Common_InputFunctions.Utility_SourceHyperlink($D$96), $D$96)</f>
        <v>M1_Table_W_j</v>
      </c>
    </row>
    <row r="92" spans="3:23" ht="20.100000000000001" customHeight="1" x14ac:dyDescent="0.25">
      <c r="D92" s="137" t="str">
        <v>LWG_j</v>
      </c>
      <c r="E92" s="136" t="str">
        <v>liveweight gain</v>
      </c>
      <c r="F92" s="138"/>
      <c r="G92" s="137" t="str">
        <v>kg/head/day</v>
      </c>
      <c r="H92" s="135" t="str">
        <v>Input</v>
      </c>
      <c r="I92" s="134" t="str" cm="1">
        <f t="array" aca="1" ref="I92" ca="1">HYPERLINK(Common_InputFunctions.Utility_SourceHyperlink($D$101), $D$101)</f>
        <v>M1_Table_LWG_j</v>
      </c>
    </row>
    <row r="93" spans="3:23" ht="20.100000000000001" customHeight="1" x14ac:dyDescent="0.25">
      <c r="D93" s="137" t="str">
        <v>MR_j</v>
      </c>
      <c r="E93" s="136" t="str">
        <v>increase in metabolic rate when producing milk</v>
      </c>
      <c r="F93" s="138"/>
      <c r="G93" s="137" t="str">
        <v>fraction</v>
      </c>
      <c r="H93" s="133" t="str">
        <v>Constant</v>
      </c>
      <c r="I93" s="134" t="str" cm="1">
        <f t="array" aca="1" ref="I93" ca="1">HYPERLINK(Common_InputFunctions.Utility_SourceHyperlink($D$106), $D$106)</f>
        <v>Table_MR_j</v>
      </c>
    </row>
    <row r="94" spans="3:23" ht="20.100000000000001" customHeight="1" x14ac:dyDescent="0.25">
      <c r="D94" s="137" t="str">
        <v>MI_j</v>
      </c>
      <c r="E94" s="136" t="str">
        <v>additional intake required for milk production</v>
      </c>
      <c r="F94" s="138"/>
      <c r="G94" s="137" t="str">
        <v>kg DM/head/day</v>
      </c>
      <c r="H94" s="133" t="str">
        <v>Calculated from 3.3.1.1 (4)</v>
      </c>
      <c r="I94" s="134" t="str" cm="1">
        <f t="array" aca="1" ref="I94" ca="1">HYPERLINK(Common_InputFunctions.Utility_SourceHyperlink($D$76), $D$76)</f>
        <v>M1_Table_MI_j</v>
      </c>
    </row>
    <row r="95" spans="3:23" ht="20.100000000000001" customHeight="1" x14ac:dyDescent="0.25"/>
    <row r="96" spans="3:23" ht="20.100000000000001" customHeight="1" x14ac:dyDescent="0.25">
      <c r="D96" s="104" t="s">
        <v>220</v>
      </c>
      <c r="O96" s="104" t="s">
        <v>222</v>
      </c>
    </row>
    <row r="97" spans="1:22" ht="20.100000000000001" customHeight="1" x14ac:dyDescent="0.25">
      <c r="D97" s="103" t="s">
        <v>221</v>
      </c>
      <c r="O97" s="103" t="s">
        <v>223</v>
      </c>
    </row>
    <row r="98" spans="1:22" ht="20.100000000000001" customHeight="1" x14ac:dyDescent="0.25">
      <c r="D98" s="41" t="s">
        <v>175</v>
      </c>
      <c r="E98" s="41" t="s">
        <v>192</v>
      </c>
      <c r="F98" s="41" t="s">
        <v>193</v>
      </c>
      <c r="G98" s="41" t="s">
        <v>194</v>
      </c>
      <c r="H98" s="41" t="s">
        <v>195</v>
      </c>
      <c r="O98" s="41" t="s">
        <v>175</v>
      </c>
      <c r="P98" s="41" t="s">
        <v>192</v>
      </c>
      <c r="Q98" s="41" t="s">
        <v>193</v>
      </c>
      <c r="R98" s="41" t="s">
        <v>194</v>
      </c>
      <c r="S98" s="41" t="s">
        <v>195</v>
      </c>
    </row>
    <row r="99" spans="1:22" ht="20.100000000000001" customHeight="1" x14ac:dyDescent="0.25">
      <c r="D99" s="55">
        <f>'Input - Dairy'!$E$14</f>
        <v>550</v>
      </c>
      <c r="E99" s="55">
        <f>'Input - Dairy'!$F$14</f>
        <v>380</v>
      </c>
      <c r="F99" s="55">
        <f>'Input - Dairy'!$G$14</f>
        <v>155</v>
      </c>
      <c r="G99" s="55">
        <f>'Input - Dairy'!$H$14</f>
        <v>600</v>
      </c>
      <c r="H99" s="55">
        <f>'Input - Dairy'!$I$14</f>
        <v>225</v>
      </c>
      <c r="I99" s="2" t="s">
        <v>197</v>
      </c>
      <c r="J99" s="2"/>
      <c r="K99" s="2"/>
      <c r="O99" s="55">
        <f>'Input - Dairy'!$E$18</f>
        <v>550</v>
      </c>
      <c r="P99" s="55">
        <f>'Input - Dairy'!$F$18</f>
        <v>380</v>
      </c>
      <c r="Q99" s="55">
        <f>'Input - Dairy'!$G$18</f>
        <v>155</v>
      </c>
      <c r="R99" s="55">
        <f>'Input - Dairy'!$H$18</f>
        <v>600</v>
      </c>
      <c r="S99" s="55">
        <f>'Input - Dairy'!$I$18</f>
        <v>225</v>
      </c>
      <c r="T99" s="2" t="s">
        <v>197</v>
      </c>
      <c r="U99" s="2"/>
      <c r="V99" s="2"/>
    </row>
    <row r="100" spans="1:22" ht="20.100000000000001" customHeight="1" x14ac:dyDescent="0.25"/>
    <row r="101" spans="1:22" ht="20.100000000000001" customHeight="1" x14ac:dyDescent="0.25">
      <c r="D101" s="104" t="s">
        <v>224</v>
      </c>
      <c r="O101" s="104" t="s">
        <v>226</v>
      </c>
    </row>
    <row r="102" spans="1:22" ht="20.100000000000001" customHeight="1" x14ac:dyDescent="0.25">
      <c r="D102" s="103" t="s">
        <v>225</v>
      </c>
      <c r="O102" s="103" t="s">
        <v>227</v>
      </c>
    </row>
    <row r="103" spans="1:22" ht="20.100000000000001" customHeight="1" x14ac:dyDescent="0.25">
      <c r="D103" s="41" t="s">
        <v>175</v>
      </c>
      <c r="E103" s="41" t="s">
        <v>192</v>
      </c>
      <c r="F103" s="41" t="s">
        <v>193</v>
      </c>
      <c r="G103" s="41" t="s">
        <v>194</v>
      </c>
      <c r="H103" s="41" t="s">
        <v>195</v>
      </c>
      <c r="O103" s="41" t="s">
        <v>175</v>
      </c>
      <c r="P103" s="41" t="s">
        <v>192</v>
      </c>
      <c r="Q103" s="41" t="s">
        <v>193</v>
      </c>
      <c r="R103" s="41" t="s">
        <v>194</v>
      </c>
      <c r="S103" s="41" t="s">
        <v>195</v>
      </c>
    </row>
    <row r="104" spans="1:22" ht="20.100000000000001" customHeight="1" x14ac:dyDescent="0.25">
      <c r="D104" s="55">
        <f>'Input - Dairy'!$E$15</f>
        <v>1.6E-2</v>
      </c>
      <c r="E104" s="55">
        <f>'Input - Dairy'!$F$15</f>
        <v>0.6</v>
      </c>
      <c r="F104" s="55">
        <f>'Input - Dairy'!$G$15</f>
        <v>0.56999999999999995</v>
      </c>
      <c r="G104" s="55">
        <f>'Input - Dairy'!$H$15</f>
        <v>0.1</v>
      </c>
      <c r="H104" s="55">
        <f>'Input - Dairy'!$I$15</f>
        <v>0.8</v>
      </c>
      <c r="I104" s="2" t="s">
        <v>198</v>
      </c>
      <c r="J104" s="2"/>
      <c r="K104" s="2"/>
      <c r="O104" s="55">
        <f>'Input - Dairy'!$E$19</f>
        <v>1.6E-2</v>
      </c>
      <c r="P104" s="55">
        <f>'Input - Dairy'!$F$19</f>
        <v>0.6</v>
      </c>
      <c r="Q104" s="55">
        <f>'Input - Dairy'!$G$19</f>
        <v>0.56999999999999995</v>
      </c>
      <c r="R104" s="55">
        <f>'Input - Dairy'!$H$19</f>
        <v>0.1</v>
      </c>
      <c r="S104" s="55">
        <f>'Input - Dairy'!$I$19</f>
        <v>0.8</v>
      </c>
      <c r="T104" s="2" t="s">
        <v>198</v>
      </c>
      <c r="U104" s="2"/>
      <c r="V104" s="2"/>
    </row>
    <row r="105" spans="1:22" ht="20.100000000000001" customHeight="1" x14ac:dyDescent="0.25">
      <c r="A105" s="141" t="str">
        <f>HYPERLINK("#A1", "▲ Back to top")</f>
        <v>▲ Back to top</v>
      </c>
    </row>
    <row r="106" spans="1:22" ht="20.100000000000001" customHeight="1" x14ac:dyDescent="0.25">
      <c r="D106" s="104" t="s">
        <v>228</v>
      </c>
    </row>
    <row r="107" spans="1:22" ht="20.100000000000001" customHeight="1" x14ac:dyDescent="0.25">
      <c r="D107" s="103" t="s">
        <v>229</v>
      </c>
    </row>
    <row r="108" spans="1:22" ht="20.100000000000001" customHeight="1" x14ac:dyDescent="0.25">
      <c r="D108" s="54" t="s">
        <v>175</v>
      </c>
      <c r="E108" s="54" t="s">
        <v>192</v>
      </c>
      <c r="F108" s="54" t="s">
        <v>193</v>
      </c>
      <c r="G108" s="54" t="s">
        <v>194</v>
      </c>
      <c r="H108" s="54" t="s">
        <v>195</v>
      </c>
    </row>
    <row r="109" spans="1:22"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101</v>
      </c>
      <c r="J109" s="2"/>
      <c r="K109" s="2"/>
    </row>
    <row r="110" spans="1:22" ht="20.100000000000001" customHeight="1" x14ac:dyDescent="0.25"/>
    <row r="111" spans="1:22" ht="20.100000000000001" customHeight="1" x14ac:dyDescent="0.25">
      <c r="D111" s="104" t="s">
        <v>114</v>
      </c>
      <c r="O111" s="104" t="s">
        <v>116</v>
      </c>
    </row>
    <row r="112" spans="1:22" ht="20.100000000000001" customHeight="1" x14ac:dyDescent="0.25">
      <c r="D112" s="103" t="s">
        <v>243</v>
      </c>
      <c r="O112" s="103" t="s">
        <v>242</v>
      </c>
    </row>
    <row r="113" spans="3:23" ht="20.100000000000001" customHeight="1" x14ac:dyDescent="0.25">
      <c r="D113" s="54" t="s">
        <v>175</v>
      </c>
      <c r="E113" s="54" t="s">
        <v>192</v>
      </c>
      <c r="F113" s="54" t="s">
        <v>193</v>
      </c>
      <c r="G113" s="54" t="s">
        <v>194</v>
      </c>
      <c r="H113" s="54" t="s">
        <v>195</v>
      </c>
      <c r="O113" s="54" t="s">
        <v>175</v>
      </c>
      <c r="P113" s="54" t="s">
        <v>192</v>
      </c>
      <c r="Q113" s="54" t="s">
        <v>193</v>
      </c>
      <c r="R113" s="54" t="s">
        <v>194</v>
      </c>
      <c r="S113" s="54" t="s">
        <v>195</v>
      </c>
    </row>
    <row r="114" spans="3:23" ht="20.100000000000001" customHeight="1" x14ac:dyDescent="0.25">
      <c r="D114" s="55" cm="1">
        <f t="array" ref="D114">EntericMethane_Dairy_Equations.VEERG_3_3_1_1__3_DryMatterFeedIntake(D99,D104,D109,D79)</f>
        <v>18.834317684367193</v>
      </c>
      <c r="E114" s="55" cm="1">
        <f t="array" ref="E114">EntericMethane_Dairy_Equations.VEERG_3_3_1_1__3_DryMatterFeedIntake(E99,E104,E109,E79)</f>
        <v>7.4188685375999972</v>
      </c>
      <c r="F114" s="55" cm="1">
        <f t="array" ref="F114">EntericMethane_Dairy_Equations.VEERG_3_3_1_1__3_DryMatterFeedIntake(F99,F104,F109,F79)</f>
        <v>4.0231734662249998</v>
      </c>
      <c r="G114" s="55" cm="1">
        <f t="array" ref="G114">EntericMethane_Dairy_Equations.VEERG_3_3_1_1__3_DryMatterFeedIntake(G99,G104,G109,G79)</f>
        <v>9.0270202499999979</v>
      </c>
      <c r="H114" s="55" cm="1">
        <f t="array" ref="H114">EntericMethane_Dairy_Equations.VEERG_3_3_1_1__3_DryMatterFeedIntake(H99,H104,H109,H79)</f>
        <v>5.4143472656250013</v>
      </c>
      <c r="I114" s="2" t="str">
        <f>$E$89</f>
        <v>kg DM/head/day</v>
      </c>
      <c r="J114" s="2"/>
      <c r="K114" s="2"/>
      <c r="O114" s="55" cm="1">
        <f t="array" ref="O114">EntericMethane_Dairy_Equations.VEERG_3_3_1_1__3_DryMatterFeedIntake(O99,O104,D109,O79)</f>
        <v>18.834317684367193</v>
      </c>
      <c r="P114" s="55" cm="1">
        <f t="array" ref="P114">EntericMethane_Dairy_Equations.VEERG_3_3_1_1__3_DryMatterFeedIntake(P99,P104,E109,P79)</f>
        <v>7.4188685375999972</v>
      </c>
      <c r="Q114" s="55" cm="1">
        <f t="array" ref="Q114">EntericMethane_Dairy_Equations.VEERG_3_3_1_1__3_DryMatterFeedIntake(Q99,Q104,F109,Q79)</f>
        <v>4.0231734662249998</v>
      </c>
      <c r="R114" s="55" cm="1">
        <f t="array" ref="R114">EntericMethane_Dairy_Equations.VEERG_3_3_1_1__3_DryMatterFeedIntake(R99,R104,G109,R79)</f>
        <v>9.0270202499999979</v>
      </c>
      <c r="S114" s="55"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8"/>
      <c r="D117" s="48"/>
      <c r="E117" s="48"/>
      <c r="F117" s="48"/>
      <c r="G117" s="48"/>
      <c r="H117" s="48"/>
      <c r="I117" s="48"/>
      <c r="J117" s="48"/>
      <c r="K117" s="48"/>
      <c r="L117" s="48"/>
      <c r="N117" s="48"/>
      <c r="O117" s="48"/>
      <c r="P117" s="48"/>
      <c r="Q117" s="48"/>
      <c r="R117" s="48"/>
      <c r="S117" s="48"/>
      <c r="T117" s="48"/>
      <c r="U117" s="48"/>
      <c r="V117" s="48"/>
      <c r="W117" s="48"/>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28</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6" t="s">
        <v>31</v>
      </c>
      <c r="E123" s="1" t="str" cm="1">
        <f t="array" ref="E123">MMS_Dairy_Methane_Equations.VEERG_4_3_1_1__3_VolatileSolidsForWeanedDairyCattle_Variable()</f>
        <v>VS_j</v>
      </c>
    </row>
    <row r="124" spans="3:23" ht="20.100000000000001" customHeight="1" x14ac:dyDescent="0.25">
      <c r="D124" s="56" t="s">
        <v>21</v>
      </c>
      <c r="E124" s="57"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7" t="str" cm="1">
        <f t="array" ref="D126:E128">_xlfn.CHOOSECOLS(MMS_Dairy_Methane_Equations.VEERG_4_3_1_1__3_VolatileSolidsForWeanedDairyCattle_Arguments(), 1,2)</f>
        <v>I_j</v>
      </c>
      <c r="E126" s="136" t="str">
        <v>dry matter feed intake (kgDM/head/day)</v>
      </c>
      <c r="F126" s="138"/>
      <c r="G126" s="137" t="str" cm="1">
        <f t="array" ref="G126:H128">_xlfn.CHOOSECOLS(MMS_Dairy_Methane_Equations.VEERG_4_3_1_1__3_VolatileSolidsForWeanedDairyCattle_Arguments(), 3,4)</f>
        <v>kgDM/head/day</v>
      </c>
      <c r="H126" s="133" t="str">
        <v>Calculated from 3.3.1.1 (3)</v>
      </c>
      <c r="I126" s="134" t="str" cm="1">
        <f t="array" aca="1" ref="I126" ca="1">HYPERLINK(Common_InputFunctions.Utility_SourceHyperlink($D$111), $D$111)</f>
        <v>M1_Table_I_j</v>
      </c>
    </row>
    <row r="127" spans="3:23" ht="20.100000000000001" customHeight="1" x14ac:dyDescent="0.25">
      <c r="D127" s="137" t="str">
        <v>DMD_j</v>
      </c>
      <c r="E127" s="136" t="str">
        <v>dry matter digestibility</v>
      </c>
      <c r="F127" s="138"/>
      <c r="G127" s="137" t="str">
        <v>fraction</v>
      </c>
      <c r="H127" s="135" t="str">
        <v>Input</v>
      </c>
      <c r="I127" s="134" t="str" cm="1">
        <f t="array" aca="1" ref="I127" ca="1">HYPERLINK(Common_InputFunctions.Utility_SourceHyperlink($D$16), $D$16)</f>
        <v>M1_Table_DMD_j</v>
      </c>
    </row>
    <row r="128" spans="3:23" ht="20.100000000000001" customHeight="1" x14ac:dyDescent="0.25">
      <c r="D128" s="137" t="str">
        <v>A</v>
      </c>
      <c r="E128" s="136" t="str">
        <v>ash content of feed intake</v>
      </c>
      <c r="F128" s="138"/>
      <c r="G128" s="137" t="str">
        <v>fraction</v>
      </c>
      <c r="H128" s="133" t="str">
        <v>Constant</v>
      </c>
      <c r="I128" s="137">
        <f>'Constants - Dairy'!$D$188</f>
        <v>0.08</v>
      </c>
    </row>
    <row r="129" spans="3:23" ht="20.100000000000001" customHeight="1" x14ac:dyDescent="0.25"/>
    <row r="130" spans="3:23" ht="20.100000000000001" customHeight="1" x14ac:dyDescent="0.25">
      <c r="D130" s="104" t="s">
        <v>127</v>
      </c>
      <c r="O130" s="104" t="s">
        <v>130</v>
      </c>
    </row>
    <row r="131" spans="3:23" ht="20.100000000000001" customHeight="1" x14ac:dyDescent="0.25">
      <c r="D131" s="103" t="s">
        <v>244</v>
      </c>
      <c r="O131" s="103" t="s">
        <v>245</v>
      </c>
    </row>
    <row r="132" spans="3:23" ht="20.100000000000001" customHeight="1" x14ac:dyDescent="0.25">
      <c r="D132" s="54" t="s">
        <v>175</v>
      </c>
      <c r="E132" s="54" t="s">
        <v>192</v>
      </c>
      <c r="F132" s="54" t="s">
        <v>193</v>
      </c>
      <c r="G132" s="54" t="s">
        <v>194</v>
      </c>
      <c r="H132" s="54" t="s">
        <v>195</v>
      </c>
      <c r="O132" s="54" t="s">
        <v>175</v>
      </c>
      <c r="P132" s="54" t="s">
        <v>192</v>
      </c>
      <c r="Q132" s="54" t="s">
        <v>193</v>
      </c>
      <c r="R132" s="54" t="s">
        <v>194</v>
      </c>
      <c r="S132" s="54" t="s">
        <v>195</v>
      </c>
    </row>
    <row r="133" spans="3:23" ht="20.100000000000001" customHeight="1" x14ac:dyDescent="0.25">
      <c r="D133" s="55" cm="1">
        <f t="array" ref="D133">MMS_Dairy_Methane_Equations.VEERG_4_3_1_1__3_VolatileSolidsForWeanedDairyCattle(D114,D19,$I$128)</f>
        <v>5.0249959581891668</v>
      </c>
      <c r="E133" s="55" cm="1">
        <f t="array" ref="E133">MMS_Dairy_Methane_Equations.VEERG_4_3_1_1__3_VolatileSolidsForWeanedDairyCattle(E114,E19,$I$128)</f>
        <v>1.9793541258316791</v>
      </c>
      <c r="F133" s="55" cm="1">
        <f t="array" ref="F133">MMS_Dairy_Methane_Equations.VEERG_4_3_1_1__3_VolatileSolidsForWeanedDairyCattle(F114,F19,$I$128)</f>
        <v>1.07338268078883</v>
      </c>
      <c r="G133" s="55" cm="1">
        <f t="array" ref="G133">MMS_Dairy_Methane_Equations.VEERG_4_3_1_1__3_VolatileSolidsForWeanedDairyCattle(G114,G19,$I$128)</f>
        <v>2.4084090026999996</v>
      </c>
      <c r="H133" s="55" cm="1">
        <f t="array" ref="H133">MMS_Dairy_Methane_Equations.VEERG_4_3_1_1__3_VolatileSolidsForWeanedDairyCattle(H114,H19,$I$128)</f>
        <v>1.4445478504687506</v>
      </c>
      <c r="I133" s="2" t="str">
        <f>$E$124</f>
        <v>kg/head/day</v>
      </c>
      <c r="O133" s="55" cm="1">
        <f t="array" ref="O133">MMS_Dairy_Methane_Equations.VEERG_4_3_1_1__3_VolatileSolidsForWeanedDairyCattle(O114,O19,$I$128)</f>
        <v>5.0249959581891668</v>
      </c>
      <c r="P133" s="55" cm="1">
        <f t="array" ref="P133">MMS_Dairy_Methane_Equations.VEERG_4_3_1_1__3_VolatileSolidsForWeanedDairyCattle(P114,P19,$I$128)</f>
        <v>1.9793541258316791</v>
      </c>
      <c r="Q133" s="55" cm="1">
        <f t="array" ref="Q133">MMS_Dairy_Methane_Equations.VEERG_4_3_1_1__3_VolatileSolidsForWeanedDairyCattle(Q114,Q19,$I$128)</f>
        <v>1.07338268078883</v>
      </c>
      <c r="R133" s="55" cm="1">
        <f t="array" ref="R133">MMS_Dairy_Methane_Equations.VEERG_4_3_1_1__3_VolatileSolidsForWeanedDairyCattle(R114,R19,$I$128)</f>
        <v>2.4084090026999996</v>
      </c>
      <c r="S133" s="55" cm="1">
        <f t="array" ref="S133">MMS_Dairy_Methane_Equations.VEERG_4_3_1_1__3_VolatileSolidsForWeanedDairyCattle(S114,S19,$I$128)</f>
        <v>1.4445478504687506</v>
      </c>
      <c r="T133" s="2" t="str">
        <f>$E$124</f>
        <v>kg/head/day</v>
      </c>
    </row>
    <row r="134" spans="3:23" ht="20.100000000000001" customHeight="1" x14ac:dyDescent="0.25"/>
    <row r="135" spans="3:23" ht="20.100000000000001" customHeight="1" x14ac:dyDescent="0.25"/>
    <row r="136" spans="3:23" ht="20.100000000000001" customHeight="1" x14ac:dyDescent="0.25">
      <c r="C136" s="48"/>
      <c r="D136" s="48"/>
      <c r="E136" s="48"/>
      <c r="F136" s="48"/>
      <c r="G136" s="48"/>
      <c r="H136" s="48"/>
      <c r="I136" s="48"/>
      <c r="J136" s="48"/>
      <c r="K136" s="48"/>
      <c r="L136" s="48"/>
      <c r="N136" s="48"/>
      <c r="O136" s="48"/>
      <c r="P136" s="48"/>
      <c r="Q136" s="48"/>
      <c r="R136" s="48"/>
      <c r="S136" s="48"/>
      <c r="T136" s="48"/>
      <c r="U136" s="48"/>
      <c r="V136" s="48"/>
      <c r="W136" s="48"/>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28</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6" t="s">
        <v>31</v>
      </c>
      <c r="E142" s="1" t="str" cm="1">
        <f t="array" ref="E142">MMS_Dairy_Methane_Equations.VEERG_4_3_1_1__4_FractionVolatileSolidsNotSolidStorage_Variable()</f>
        <v>FVS_jm</v>
      </c>
    </row>
    <row r="143" spans="3:23" ht="20.100000000000001" customHeight="1" x14ac:dyDescent="0.25">
      <c r="D143" s="56" t="s">
        <v>21</v>
      </c>
      <c r="E143" s="57" t="str" cm="1">
        <f t="array" ref="E143">MMS_Dairy_Methane_Equations.VEERG_4_3_1_1__4_FractionVolatileSolidsNotSolidStorage_Unit()</f>
        <v>fraction</v>
      </c>
    </row>
    <row r="144" spans="3:23" ht="20.100000000000001" customHeight="1" x14ac:dyDescent="0.25"/>
    <row r="145" spans="1:22" ht="20.100000000000001" customHeight="1" x14ac:dyDescent="0.25">
      <c r="D145" s="137" t="str" cm="1">
        <f t="array" ref="D145:E146">_xlfn.CHOOSECOLS(MMS_Dairy_Methane_Equations.VEERG_4_3_1_1__4_FractionVolatileSolidsNotSolidStorage_Arguments(),1,2)</f>
        <v>MMS_jm</v>
      </c>
      <c r="E145" s="137" t="str">
        <v>fraction of manure to each primary MMS for each class prior to solid separation</v>
      </c>
      <c r="F145" s="137"/>
      <c r="G145" s="137" t="str" cm="1">
        <f t="array" ref="G145:H146">_xlfn.CHOOSECOLS(MMS_Dairy_Methane_Equations.VEERG_4_3_1_1__4_FractionVolatileSolidsNotSolidStorage_Arguments(),3,4)</f>
        <v>fraction</v>
      </c>
      <c r="H145" s="135" t="str">
        <v>Input</v>
      </c>
      <c r="I145" s="134" t="str" cm="1">
        <f t="array" aca="1" ref="I145" ca="1">HYPERLINK(Common_InputFunctions.Utility_SourceHyperlink($D$148),$D$148)</f>
        <v>M1_Table_MMS_j_m</v>
      </c>
    </row>
    <row r="146" spans="1:22" ht="20.100000000000001" customHeight="1" x14ac:dyDescent="0.25">
      <c r="D146" s="137" t="str">
        <v>SS_m</v>
      </c>
      <c r="E146" s="137" t="str">
        <v>fraction of volatile solids separated to solid storage for each MMS</v>
      </c>
      <c r="F146" s="137"/>
      <c r="G146" s="137" t="str">
        <v>fraction</v>
      </c>
      <c r="H146" s="135" t="str">
        <v>Input</v>
      </c>
      <c r="I146" s="134" t="str" cm="1">
        <f t="array" aca="1" ref="I146" ca="1">HYPERLINK(Common_InputFunctions.Utility_SourceHyperlink($D$159),$D$159)</f>
        <v>M1_Table_SS_m</v>
      </c>
    </row>
    <row r="147" spans="1:22" ht="20.100000000000001" customHeight="1" x14ac:dyDescent="0.25"/>
    <row r="148" spans="1:22" ht="20.100000000000001" customHeight="1" x14ac:dyDescent="0.25">
      <c r="D148" s="104" t="s">
        <v>250</v>
      </c>
      <c r="O148" s="104" t="s">
        <v>252</v>
      </c>
    </row>
    <row r="149" spans="1:22" ht="20.100000000000001" customHeight="1" x14ac:dyDescent="0.25">
      <c r="D149" s="103" t="s">
        <v>251</v>
      </c>
      <c r="O149" s="103" t="s">
        <v>253</v>
      </c>
    </row>
    <row r="150" spans="1:22" ht="20.100000000000001" customHeight="1" x14ac:dyDescent="0.25">
      <c r="D150" s="41" t="s">
        <v>149</v>
      </c>
      <c r="E150" s="41" t="s">
        <v>69</v>
      </c>
      <c r="F150" s="41" t="s">
        <v>175</v>
      </c>
      <c r="G150" s="41" t="s">
        <v>192</v>
      </c>
      <c r="H150" s="41" t="s">
        <v>193</v>
      </c>
      <c r="I150" s="41" t="s">
        <v>194</v>
      </c>
      <c r="J150" s="41" t="s">
        <v>195</v>
      </c>
      <c r="O150" s="41" t="s">
        <v>149</v>
      </c>
      <c r="P150" s="41" t="s">
        <v>69</v>
      </c>
      <c r="Q150" s="41" t="s">
        <v>175</v>
      </c>
      <c r="R150" s="41" t="s">
        <v>192</v>
      </c>
      <c r="S150" s="41" t="s">
        <v>193</v>
      </c>
      <c r="T150" s="41" t="s">
        <v>194</v>
      </c>
      <c r="U150" s="41" t="s">
        <v>195</v>
      </c>
    </row>
    <row r="151" spans="1:22" ht="20.100000000000001" customHeight="1" x14ac:dyDescent="0.25">
      <c r="A151" s="141" t="str">
        <f>HYPERLINK("#A1", "▲ Back to top")</f>
        <v>▲ Back to top</v>
      </c>
      <c r="D151" s="55" t="str">
        <f>'Input - Dairy'!$D$65</f>
        <v>Pasture</v>
      </c>
      <c r="E151" s="55" t="str">
        <f>'Constants - Livestock'!$E$27</f>
        <v>Pasture range and paddock</v>
      </c>
      <c r="F151" s="55">
        <f>'Input - Dairy'!E65</f>
        <v>0.53400000000000003</v>
      </c>
      <c r="G151" s="55">
        <f>'Input - Dairy'!F65</f>
        <v>0.53400000000000003</v>
      </c>
      <c r="H151" s="55">
        <f>'Input - Dairy'!G65</f>
        <v>0.53400000000000003</v>
      </c>
      <c r="I151" s="55">
        <f>'Input - Dairy'!H65</f>
        <v>0.53400000000000003</v>
      </c>
      <c r="J151" s="55">
        <f>'Input - Dairy'!I65</f>
        <v>0.53400000000000003</v>
      </c>
      <c r="K151" s="2" t="str">
        <f>$G$145</f>
        <v>fraction</v>
      </c>
      <c r="O151" s="55" t="str">
        <f>'Input - Dairy'!$D$65</f>
        <v>Pasture</v>
      </c>
      <c r="P151" s="55" t="str">
        <f>'Constants - Livestock'!$E$27</f>
        <v>Pasture range and paddock</v>
      </c>
      <c r="Q151" s="55">
        <f>'Input - Dairy'!E70</f>
        <v>0.53400000000000003</v>
      </c>
      <c r="R151" s="55">
        <f>'Input - Dairy'!F70</f>
        <v>0.53400000000000003</v>
      </c>
      <c r="S151" s="55">
        <f>'Input - Dairy'!G70</f>
        <v>0.53400000000000003</v>
      </c>
      <c r="T151" s="55">
        <f>'Input - Dairy'!H70</f>
        <v>0.53400000000000003</v>
      </c>
      <c r="U151" s="55">
        <f>'Input - Dairy'!I70</f>
        <v>0.53400000000000003</v>
      </c>
    </row>
    <row r="152" spans="1:22" ht="20.100000000000001" customHeight="1" x14ac:dyDescent="0.25">
      <c r="D152" s="55" t="str">
        <f>'Input - Dairy'!$D$66</f>
        <v>Milking shed</v>
      </c>
      <c r="E152" s="55" t="str">
        <f>'Input - Dairy'!$D$81</f>
        <v>Anaerobic lagoon</v>
      </c>
      <c r="F152" s="55">
        <f>'Input - Dairy'!E$66*'Input - Dairy'!E81</f>
        <v>2.75E-2</v>
      </c>
      <c r="G152" s="55">
        <f>'Input - Dairy'!F$66*'Input - Dairy'!F81</f>
        <v>2.75E-2</v>
      </c>
      <c r="H152" s="55">
        <f>'Input - Dairy'!G$66*'Input - Dairy'!G81</f>
        <v>2.75E-2</v>
      </c>
      <c r="I152" s="55">
        <f>'Input - Dairy'!H$66*'Input - Dairy'!H81</f>
        <v>2.75E-2</v>
      </c>
      <c r="J152" s="55">
        <f>'Input - Dairy'!I$66*'Input - Dairy'!I81</f>
        <v>2.75E-2</v>
      </c>
      <c r="K152" s="2"/>
      <c r="O152" s="55" t="str">
        <f>'Input - Dairy'!$D$66</f>
        <v>Milking shed</v>
      </c>
      <c r="P152" s="55" t="str">
        <f>'Input - Dairy'!$D$81</f>
        <v>Anaerobic lagoon</v>
      </c>
      <c r="Q152" s="55">
        <f>'Input - Dairy'!E$71*'Input - Dairy'!E81</f>
        <v>2.75E-2</v>
      </c>
      <c r="R152" s="55">
        <f>'Input - Dairy'!F$71*'Input - Dairy'!F81</f>
        <v>2.75E-2</v>
      </c>
      <c r="S152" s="55">
        <f>'Input - Dairy'!G$71*'Input - Dairy'!G81</f>
        <v>2.75E-2</v>
      </c>
      <c r="T152" s="55">
        <f>'Input - Dairy'!H$71*'Input - Dairy'!H81</f>
        <v>2.75E-2</v>
      </c>
      <c r="U152" s="55">
        <f>'Input - Dairy'!I$71*'Input - Dairy'!I81</f>
        <v>2.75E-2</v>
      </c>
      <c r="V152" s="2" t="str">
        <f>$G$145</f>
        <v>fraction</v>
      </c>
    </row>
    <row r="153" spans="1:22" ht="20.100000000000001" customHeight="1" x14ac:dyDescent="0.25">
      <c r="D153" s="55" t="str">
        <f>'Input - Dairy'!$D$66</f>
        <v>Milking shed</v>
      </c>
      <c r="E153" s="55" t="str">
        <f>'Input - Dairy'!$D$86</f>
        <v>Sump and dispersal system</v>
      </c>
      <c r="F153" s="55">
        <f>'Input - Dairy'!E$66*'Input - Dairy'!E86</f>
        <v>2.75E-2</v>
      </c>
      <c r="G153" s="55">
        <f>'Input - Dairy'!F$66*'Input - Dairy'!F86</f>
        <v>2.75E-2</v>
      </c>
      <c r="H153" s="55">
        <f>'Input - Dairy'!G$66*'Input - Dairy'!G86</f>
        <v>2.75E-2</v>
      </c>
      <c r="I153" s="55">
        <f>'Input - Dairy'!H$66*'Input - Dairy'!H86</f>
        <v>2.75E-2</v>
      </c>
      <c r="J153" s="55">
        <f>'Input - Dairy'!I$66*'Input - Dairy'!I86</f>
        <v>2.75E-2</v>
      </c>
      <c r="K153" s="2"/>
      <c r="O153" s="55" t="str">
        <f>'Input - Dairy'!$D$66</f>
        <v>Milking shed</v>
      </c>
      <c r="P153" s="55" t="str">
        <f>'Input - Dairy'!$D$86</f>
        <v>Sump and dispersal system</v>
      </c>
      <c r="Q153" s="55">
        <f>'Input - Dairy'!E$71*'Input - Dairy'!E86</f>
        <v>2.75E-2</v>
      </c>
      <c r="R153" s="55">
        <f>'Input - Dairy'!F$71*'Input - Dairy'!F86</f>
        <v>2.75E-2</v>
      </c>
      <c r="S153" s="55">
        <f>'Input - Dairy'!G$71*'Input - Dairy'!G86</f>
        <v>2.75E-2</v>
      </c>
      <c r="T153" s="55">
        <f>'Input - Dairy'!H$71*'Input - Dairy'!H86</f>
        <v>2.75E-2</v>
      </c>
      <c r="U153" s="55">
        <f>'Input - Dairy'!I$71*'Input - Dairy'!I86</f>
        <v>2.75E-2</v>
      </c>
      <c r="V153" s="2"/>
    </row>
    <row r="154" spans="1:22" ht="20.100000000000001" customHeight="1" x14ac:dyDescent="0.25">
      <c r="D154" s="55" t="str">
        <f>'Input - Dairy'!$D$66</f>
        <v>Milking shed</v>
      </c>
      <c r="E154" s="55" t="str">
        <f>'Input - Dairy'!$D$91</f>
        <v>Drains to paddock</v>
      </c>
      <c r="F154" s="55">
        <f>'Input - Dairy'!E$66*'Input - Dairy'!E91</f>
        <v>2.75E-2</v>
      </c>
      <c r="G154" s="55">
        <f>'Input - Dairy'!F$66*'Input - Dairy'!F91</f>
        <v>2.75E-2</v>
      </c>
      <c r="H154" s="55">
        <f>'Input - Dairy'!G$66*'Input - Dairy'!G91</f>
        <v>2.75E-2</v>
      </c>
      <c r="I154" s="55">
        <f>'Input - Dairy'!H$66*'Input - Dairy'!H91</f>
        <v>2.75E-2</v>
      </c>
      <c r="J154" s="55">
        <f>'Input - Dairy'!I$66*'Input - Dairy'!I91</f>
        <v>2.75E-2</v>
      </c>
      <c r="K154" s="2"/>
      <c r="O154" s="55" t="str">
        <f>'Input - Dairy'!$D$66</f>
        <v>Milking shed</v>
      </c>
      <c r="P154" s="55" t="str">
        <f>'Input - Dairy'!$D$91</f>
        <v>Drains to paddock</v>
      </c>
      <c r="Q154" s="55">
        <f>'Input - Dairy'!E$71*'Input - Dairy'!E91</f>
        <v>2.75E-2</v>
      </c>
      <c r="R154" s="55">
        <f>'Input - Dairy'!F$71*'Input - Dairy'!F91</f>
        <v>2.75E-2</v>
      </c>
      <c r="S154" s="55">
        <f>'Input - Dairy'!G$71*'Input - Dairy'!G91</f>
        <v>2.75E-2</v>
      </c>
      <c r="T154" s="55">
        <f>'Input - Dairy'!H$71*'Input - Dairy'!H91</f>
        <v>2.75E-2</v>
      </c>
      <c r="U154" s="55">
        <f>'Input - Dairy'!I$71*'Input - Dairy'!I91</f>
        <v>2.75E-2</v>
      </c>
      <c r="V154" s="2"/>
    </row>
    <row r="155" spans="1:22" ht="20.100000000000001" customHeight="1" x14ac:dyDescent="0.25">
      <c r="D155" s="55" t="str">
        <f>'Input - Dairy'!$D$67</f>
        <v>Feed pad</v>
      </c>
      <c r="E155" s="55" t="str">
        <f>'Input - Dairy'!$D$105</f>
        <v>Anaerobic lagoon</v>
      </c>
      <c r="F155" s="55">
        <f>'Input - Dairy'!E$67*'Input - Dairy'!E105</f>
        <v>8.8999999999999996E-2</v>
      </c>
      <c r="G155" s="55">
        <f>'Input - Dairy'!F$67*'Input - Dairy'!F105</f>
        <v>8.8999999999999996E-2</v>
      </c>
      <c r="H155" s="55">
        <f>'Input - Dairy'!G$67*'Input - Dairy'!G105</f>
        <v>8.8999999999999996E-2</v>
      </c>
      <c r="I155" s="55">
        <f>'Input - Dairy'!H$67*'Input - Dairy'!H105</f>
        <v>8.8999999999999996E-2</v>
      </c>
      <c r="J155" s="55">
        <f>'Input - Dairy'!I$67*'Input - Dairy'!I105</f>
        <v>8.8999999999999996E-2</v>
      </c>
      <c r="K155" s="2"/>
      <c r="O155" s="55" t="str">
        <f>'Input - Dairy'!$D$67</f>
        <v>Feed pad</v>
      </c>
      <c r="P155" s="55" t="str">
        <f>'Input - Dairy'!$D$105</f>
        <v>Anaerobic lagoon</v>
      </c>
      <c r="Q155" s="55">
        <f>'Input - Dairy'!E$72*'Input - Dairy'!E105</f>
        <v>8.8999999999999996E-2</v>
      </c>
      <c r="R155" s="55">
        <f>'Input - Dairy'!F$72*'Input - Dairy'!F105</f>
        <v>8.8999999999999996E-2</v>
      </c>
      <c r="S155" s="55">
        <f>'Input - Dairy'!G$72*'Input - Dairy'!G105</f>
        <v>8.8999999999999996E-2</v>
      </c>
      <c r="T155" s="55">
        <f>'Input - Dairy'!H$72*'Input - Dairy'!H105</f>
        <v>8.8999999999999996E-2</v>
      </c>
      <c r="U155" s="55">
        <f>'Input - Dairy'!I$72*'Input - Dairy'!I105</f>
        <v>8.8999999999999996E-2</v>
      </c>
      <c r="V155" s="2"/>
    </row>
    <row r="156" spans="1:22" ht="20.100000000000001" customHeight="1" x14ac:dyDescent="0.25">
      <c r="D156" s="55" t="str">
        <f>'Input - Dairy'!$D$67</f>
        <v>Feed pad</v>
      </c>
      <c r="E156" s="55" t="str">
        <f>'Input - Dairy'!$D$110</f>
        <v>Sump and dispersal system</v>
      </c>
      <c r="F156" s="55">
        <f>'Input - Dairy'!E$67*'Input - Dairy'!E110</f>
        <v>8.8999999999999996E-2</v>
      </c>
      <c r="G156" s="55">
        <f>'Input - Dairy'!F$67*'Input - Dairy'!F110</f>
        <v>8.8999999999999996E-2</v>
      </c>
      <c r="H156" s="55">
        <f>'Input - Dairy'!G$67*'Input - Dairy'!G110</f>
        <v>8.8999999999999996E-2</v>
      </c>
      <c r="I156" s="55">
        <f>'Input - Dairy'!H$67*'Input - Dairy'!H110</f>
        <v>8.8999999999999996E-2</v>
      </c>
      <c r="J156" s="55">
        <f>'Input - Dairy'!I$67*'Input - Dairy'!I110</f>
        <v>8.8999999999999996E-2</v>
      </c>
      <c r="K156" s="2"/>
      <c r="O156" s="55" t="str">
        <f>'Input - Dairy'!$D$67</f>
        <v>Feed pad</v>
      </c>
      <c r="P156" s="55" t="str">
        <f>'Input - Dairy'!$D$110</f>
        <v>Sump and dispersal system</v>
      </c>
      <c r="Q156" s="55">
        <f>'Input - Dairy'!E$72*'Input - Dairy'!E110</f>
        <v>8.8999999999999996E-2</v>
      </c>
      <c r="R156" s="55">
        <f>'Input - Dairy'!F$72*'Input - Dairy'!F110</f>
        <v>8.8999999999999996E-2</v>
      </c>
      <c r="S156" s="55">
        <f>'Input - Dairy'!G$72*'Input - Dairy'!G110</f>
        <v>8.8999999999999996E-2</v>
      </c>
      <c r="T156" s="55">
        <f>'Input - Dairy'!H$72*'Input - Dairy'!H110</f>
        <v>8.8999999999999996E-2</v>
      </c>
      <c r="U156" s="55">
        <f>'Input - Dairy'!I$72*'Input - Dairy'!I110</f>
        <v>8.8999999999999996E-2</v>
      </c>
      <c r="V156" s="2"/>
    </row>
    <row r="157" spans="1:22" ht="20.100000000000001" customHeight="1" x14ac:dyDescent="0.25">
      <c r="D157" s="55" t="str">
        <f>'Input - Dairy'!$D$67</f>
        <v>Feed pad</v>
      </c>
      <c r="E157" s="55" t="str">
        <f>'Input - Dairy'!$D$115</f>
        <v>Drains to paddock</v>
      </c>
      <c r="F157" s="55">
        <f>'Input - Dairy'!E$67*'Input - Dairy'!E115</f>
        <v>8.8999999999999996E-2</v>
      </c>
      <c r="G157" s="55">
        <f>'Input - Dairy'!F$67*'Input - Dairy'!F115</f>
        <v>8.8999999999999996E-2</v>
      </c>
      <c r="H157" s="55">
        <f>'Input - Dairy'!G$67*'Input - Dairy'!G115</f>
        <v>8.8999999999999996E-2</v>
      </c>
      <c r="I157" s="55">
        <f>'Input - Dairy'!H$67*'Input - Dairy'!H115</f>
        <v>8.8999999999999996E-2</v>
      </c>
      <c r="J157" s="55">
        <f>'Input - Dairy'!I$67*'Input - Dairy'!I115</f>
        <v>8.8999999999999996E-2</v>
      </c>
      <c r="K157" s="2"/>
      <c r="O157" s="55" t="str">
        <f>'Input - Dairy'!$D$67</f>
        <v>Feed pad</v>
      </c>
      <c r="P157" s="55" t="str">
        <f>'Input - Dairy'!$D$115</f>
        <v>Drains to paddock</v>
      </c>
      <c r="Q157" s="55">
        <f>'Input - Dairy'!E$72*'Input - Dairy'!E115</f>
        <v>8.8999999999999996E-2</v>
      </c>
      <c r="R157" s="55">
        <f>'Input - Dairy'!F$72*'Input - Dairy'!F115</f>
        <v>8.8999999999999996E-2</v>
      </c>
      <c r="S157" s="55">
        <f>'Input - Dairy'!G$72*'Input - Dairy'!G115</f>
        <v>8.8999999999999996E-2</v>
      </c>
      <c r="T157" s="55">
        <f>'Input - Dairy'!H$72*'Input - Dairy'!H115</f>
        <v>8.8999999999999996E-2</v>
      </c>
      <c r="U157" s="55">
        <f>'Input - Dairy'!I$72*'Input - Dairy'!I115</f>
        <v>8.8999999999999996E-2</v>
      </c>
      <c r="V157" s="2"/>
    </row>
    <row r="158" spans="1:22" ht="20.100000000000001" customHeight="1" x14ac:dyDescent="0.25"/>
    <row r="159" spans="1:22" ht="20.100000000000001" customHeight="1" x14ac:dyDescent="0.25">
      <c r="D159" s="104" t="s">
        <v>248</v>
      </c>
      <c r="O159" s="104" t="s">
        <v>254</v>
      </c>
    </row>
    <row r="160" spans="1:22" ht="20.100000000000001" customHeight="1" x14ac:dyDescent="0.25">
      <c r="D160" s="103" t="s">
        <v>257</v>
      </c>
      <c r="O160" s="103" t="s">
        <v>258</v>
      </c>
    </row>
    <row r="161" spans="4:22" ht="20.100000000000001" customHeight="1" x14ac:dyDescent="0.25">
      <c r="D161" s="41" t="s">
        <v>149</v>
      </c>
      <c r="E161" s="41" t="s">
        <v>69</v>
      </c>
      <c r="F161" s="41" t="s">
        <v>249</v>
      </c>
      <c r="O161" s="41" t="s">
        <v>149</v>
      </c>
      <c r="P161" s="41" t="s">
        <v>69</v>
      </c>
      <c r="Q161" s="41" t="s">
        <v>249</v>
      </c>
    </row>
    <row r="162" spans="4:22" ht="20.100000000000001" customHeight="1" x14ac:dyDescent="0.25">
      <c r="D162" s="55" t="str">
        <f>'Input - Dairy'!$D$65</f>
        <v>Pasture</v>
      </c>
      <c r="E162" s="55" t="str">
        <f>'Constants - Livestock'!$E$27</f>
        <v>Pasture range and paddock</v>
      </c>
      <c r="F162" s="55">
        <v>0</v>
      </c>
      <c r="G162" s="2" t="str">
        <f>$G$146</f>
        <v>fraction</v>
      </c>
      <c r="O162" s="55" t="str">
        <f>'Input - Dairy'!$D$65</f>
        <v>Pasture</v>
      </c>
      <c r="P162" s="55" t="str">
        <f>'Constants - Livestock'!$E$27</f>
        <v>Pasture range and paddock</v>
      </c>
      <c r="Q162" s="55">
        <v>0</v>
      </c>
      <c r="R162" s="2" t="str">
        <f>$G$146</f>
        <v>fraction</v>
      </c>
    </row>
    <row r="163" spans="4:22" ht="20.100000000000001" customHeight="1" x14ac:dyDescent="0.25">
      <c r="D163" s="55" t="str">
        <f>'Input - Dairy'!$D$66</f>
        <v>Milking shed</v>
      </c>
      <c r="E163" s="55" t="str">
        <f>'Input - Dairy'!$D$81</f>
        <v>Anaerobic lagoon</v>
      </c>
      <c r="F163" s="55">
        <f>'Input - Dairy'!$E$83</f>
        <v>0.2</v>
      </c>
      <c r="O163" s="55" t="str">
        <f>'Input - Dairy'!$D$66</f>
        <v>Milking shed</v>
      </c>
      <c r="P163" s="55" t="str">
        <f>'Input - Dairy'!$D$81</f>
        <v>Anaerobic lagoon</v>
      </c>
      <c r="Q163" s="55">
        <f>'Input - Dairy'!$E$84</f>
        <v>0.2</v>
      </c>
      <c r="R163" s="2"/>
    </row>
    <row r="164" spans="4:22" ht="20.100000000000001" customHeight="1" x14ac:dyDescent="0.25">
      <c r="D164" s="55" t="str">
        <f>'Input - Dairy'!$D$66</f>
        <v>Milking shed</v>
      </c>
      <c r="E164" s="55" t="str">
        <f>'Input - Dairy'!$D$86</f>
        <v>Sump and dispersal system</v>
      </c>
      <c r="F164" s="55">
        <f>'Input - Dairy'!$E$88</f>
        <v>0.2</v>
      </c>
      <c r="G164" s="2"/>
      <c r="O164" s="55" t="str">
        <f>'Input - Dairy'!$D$66</f>
        <v>Milking shed</v>
      </c>
      <c r="P164" s="55" t="str">
        <f>'Input - Dairy'!$D$86</f>
        <v>Sump and dispersal system</v>
      </c>
      <c r="Q164" s="55">
        <f>'Input - Dairy'!$E$89</f>
        <v>0.2</v>
      </c>
      <c r="R164" s="2"/>
    </row>
    <row r="165" spans="4:22" ht="20.100000000000001" customHeight="1" x14ac:dyDescent="0.25">
      <c r="D165" s="55" t="str">
        <f>'Input - Dairy'!$D$66</f>
        <v>Milking shed</v>
      </c>
      <c r="E165" s="55" t="str">
        <f>'Input - Dairy'!$D$91</f>
        <v>Drains to paddock</v>
      </c>
      <c r="F165" s="55">
        <f>'Input - Dairy'!$E$93</f>
        <v>0.2</v>
      </c>
      <c r="G165" s="2"/>
      <c r="O165" s="55" t="str">
        <f>'Input - Dairy'!$D$66</f>
        <v>Milking shed</v>
      </c>
      <c r="P165" s="55" t="str">
        <f>'Input - Dairy'!$D$91</f>
        <v>Drains to paddock</v>
      </c>
      <c r="Q165" s="55">
        <f>'Input - Dairy'!$E$94</f>
        <v>0.2</v>
      </c>
      <c r="R165" s="2"/>
    </row>
    <row r="166" spans="4:22" ht="20.100000000000001" customHeight="1" x14ac:dyDescent="0.25">
      <c r="D166" s="55" t="str">
        <f>'Input - Dairy'!$D$67</f>
        <v>Feed pad</v>
      </c>
      <c r="E166" s="55" t="str">
        <f>'Input - Dairy'!$D$105</f>
        <v>Anaerobic lagoon</v>
      </c>
      <c r="F166" s="55">
        <f>'Input - Dairy'!$E$107</f>
        <v>0</v>
      </c>
      <c r="G166" s="2"/>
      <c r="O166" s="55" t="str">
        <f>'Input - Dairy'!$D$67</f>
        <v>Feed pad</v>
      </c>
      <c r="P166" s="55" t="str">
        <f>'Input - Dairy'!$D$105</f>
        <v>Anaerobic lagoon</v>
      </c>
      <c r="Q166" s="55">
        <f>'Input - Dairy'!$E$108</f>
        <v>0</v>
      </c>
      <c r="R166" s="2"/>
    </row>
    <row r="167" spans="4:22" ht="20.100000000000001" customHeight="1" x14ac:dyDescent="0.25">
      <c r="D167" s="55" t="str">
        <f>'Input - Dairy'!$D$67</f>
        <v>Feed pad</v>
      </c>
      <c r="E167" s="55" t="str">
        <f>'Input - Dairy'!$D$110</f>
        <v>Sump and dispersal system</v>
      </c>
      <c r="F167" s="55">
        <f>'Input - Dairy'!$E$112</f>
        <v>0.2</v>
      </c>
      <c r="G167" s="2"/>
      <c r="O167" s="55" t="str">
        <f>'Input - Dairy'!$D$67</f>
        <v>Feed pad</v>
      </c>
      <c r="P167" s="55" t="str">
        <f>'Input - Dairy'!$D$110</f>
        <v>Sump and dispersal system</v>
      </c>
      <c r="Q167" s="55">
        <f>'Input - Dairy'!$E$113</f>
        <v>0.2</v>
      </c>
      <c r="R167" s="2"/>
    </row>
    <row r="168" spans="4:22" ht="20.100000000000001" customHeight="1" x14ac:dyDescent="0.25">
      <c r="D168" s="55" t="str">
        <f>'Input - Dairy'!$D$67</f>
        <v>Feed pad</v>
      </c>
      <c r="E168" s="55" t="str">
        <f>'Input - Dairy'!$D$115</f>
        <v>Drains to paddock</v>
      </c>
      <c r="F168" s="55">
        <f>'Input - Dairy'!$E$117</f>
        <v>0.2</v>
      </c>
      <c r="G168" s="2"/>
      <c r="O168" s="55" t="str">
        <f>'Input - Dairy'!$D$67</f>
        <v>Feed pad</v>
      </c>
      <c r="P168" s="55" t="str">
        <f>'Input - Dairy'!$D$115</f>
        <v>Drains to paddock</v>
      </c>
      <c r="Q168" s="55">
        <f>'Input - Dairy'!$E$118</f>
        <v>0.2</v>
      </c>
      <c r="R168" s="2"/>
    </row>
    <row r="169" spans="4:22" ht="20.100000000000001" customHeight="1" x14ac:dyDescent="0.25"/>
    <row r="170" spans="4:22" ht="20.100000000000001" customHeight="1" x14ac:dyDescent="0.25">
      <c r="D170" s="104" t="s">
        <v>247</v>
      </c>
      <c r="O170" s="104" t="s">
        <v>247</v>
      </c>
    </row>
    <row r="171" spans="4:22" ht="20.100000000000001" customHeight="1" x14ac:dyDescent="0.25">
      <c r="D171" s="103" t="s">
        <v>246</v>
      </c>
      <c r="O171" s="103" t="s">
        <v>246</v>
      </c>
    </row>
    <row r="172" spans="4:22" ht="20.100000000000001" customHeight="1" x14ac:dyDescent="0.25">
      <c r="D172" s="54" t="s">
        <v>149</v>
      </c>
      <c r="E172" s="54" t="s">
        <v>69</v>
      </c>
      <c r="F172" s="54" t="s">
        <v>175</v>
      </c>
      <c r="G172" s="54" t="s">
        <v>192</v>
      </c>
      <c r="H172" s="54" t="s">
        <v>193</v>
      </c>
      <c r="I172" s="54" t="s">
        <v>194</v>
      </c>
      <c r="J172" s="54" t="s">
        <v>195</v>
      </c>
      <c r="O172" s="54" t="s">
        <v>149</v>
      </c>
      <c r="P172" s="54" t="s">
        <v>69</v>
      </c>
      <c r="Q172" s="54" t="s">
        <v>175</v>
      </c>
      <c r="R172" s="54" t="s">
        <v>192</v>
      </c>
      <c r="S172" s="54" t="s">
        <v>193</v>
      </c>
      <c r="T172" s="54" t="s">
        <v>194</v>
      </c>
      <c r="U172" s="54" t="s">
        <v>195</v>
      </c>
    </row>
    <row r="173" spans="4:22" ht="20.100000000000001" customHeight="1" x14ac:dyDescent="0.25">
      <c r="D173" s="55" t="str">
        <f>'Input - Dairy'!$D$65</f>
        <v>Pasture</v>
      </c>
      <c r="E173" s="55" t="str">
        <f>'Constants - Livestock'!$E$27</f>
        <v>Pasture range and paddock</v>
      </c>
      <c r="F173" s="55" cm="1">
        <f t="array" ref="F173">MMS_Dairy_Methane_Equations.VEERG_4_3_1_1__4_FractionVolatileSolidsNotSolidStorage(F151,$F162)</f>
        <v>0.53400000000000003</v>
      </c>
      <c r="G173" s="55" cm="1">
        <f t="array" ref="G173">MMS_Dairy_Methane_Equations.VEERG_4_3_1_1__4_FractionVolatileSolidsNotSolidStorage(G151,$F162)</f>
        <v>0.53400000000000003</v>
      </c>
      <c r="H173" s="55" cm="1">
        <f t="array" ref="H173">MMS_Dairy_Methane_Equations.VEERG_4_3_1_1__4_FractionVolatileSolidsNotSolidStorage(H151,$F162)</f>
        <v>0.53400000000000003</v>
      </c>
      <c r="I173" s="55" cm="1">
        <f t="array" ref="I173">MMS_Dairy_Methane_Equations.VEERG_4_3_1_1__4_FractionVolatileSolidsNotSolidStorage(I151,$F162)</f>
        <v>0.53400000000000003</v>
      </c>
      <c r="J173" s="55" cm="1">
        <f t="array" ref="J173">MMS_Dairy_Methane_Equations.VEERG_4_3_1_1__4_FractionVolatileSolidsNotSolidStorage(J151,$F162)</f>
        <v>0.53400000000000003</v>
      </c>
      <c r="K173" s="2" t="str">
        <f>$E$143</f>
        <v>fraction</v>
      </c>
      <c r="O173" s="55" t="str">
        <f>'Input - Dairy'!$D$65</f>
        <v>Pasture</v>
      </c>
      <c r="P173" s="55" t="str">
        <f>'Constants - Livestock'!$E$27</f>
        <v>Pasture range and paddock</v>
      </c>
      <c r="Q173" s="55" cm="1">
        <f t="array" ref="Q173">MMS_Dairy_Methane_Equations.VEERG_4_3_1_1__4_FractionVolatileSolidsNotSolidStorage(Q151,$Q162)</f>
        <v>0.53400000000000003</v>
      </c>
      <c r="R173" s="55" cm="1">
        <f t="array" ref="R173">MMS_Dairy_Methane_Equations.VEERG_4_3_1_1__4_FractionVolatileSolidsNotSolidStorage(R151,$Q162)</f>
        <v>0.53400000000000003</v>
      </c>
      <c r="S173" s="55" cm="1">
        <f t="array" ref="S173">MMS_Dairy_Methane_Equations.VEERG_4_3_1_1__4_FractionVolatileSolidsNotSolidStorage(S151,$Q162)</f>
        <v>0.53400000000000003</v>
      </c>
      <c r="T173" s="55" cm="1">
        <f t="array" ref="T173">MMS_Dairy_Methane_Equations.VEERG_4_3_1_1__4_FractionVolatileSolidsNotSolidStorage(T151,$Q162)</f>
        <v>0.53400000000000003</v>
      </c>
      <c r="U173" s="55" cm="1">
        <f t="array" ref="U173">MMS_Dairy_Methane_Equations.VEERG_4_3_1_1__4_FractionVolatileSolidsNotSolidStorage(U151,$Q162)</f>
        <v>0.53400000000000003</v>
      </c>
      <c r="V173" s="2" t="str">
        <f>$E$143</f>
        <v>fraction</v>
      </c>
    </row>
    <row r="174" spans="4:22" ht="20.100000000000001" customHeight="1" x14ac:dyDescent="0.25">
      <c r="D174" s="55" t="str">
        <f>'Input - Dairy'!$D$66</f>
        <v>Milking shed</v>
      </c>
      <c r="E174" s="55" t="str">
        <f>'Input - Dairy'!$D$81</f>
        <v>Anaerobic lagoon</v>
      </c>
      <c r="F174" s="55" cm="1">
        <f t="array" ref="F174">MMS_Dairy_Methane_Equations.VEERG_4_3_1_1__4_FractionVolatileSolidsNotSolidStorage(F152,$F163)</f>
        <v>2.2000000000000002E-2</v>
      </c>
      <c r="G174" s="55" cm="1">
        <f t="array" ref="G174">MMS_Dairy_Methane_Equations.VEERG_4_3_1_1__4_FractionVolatileSolidsNotSolidStorage(G152,$F163)</f>
        <v>2.2000000000000002E-2</v>
      </c>
      <c r="H174" s="55" cm="1">
        <f t="array" ref="H174">MMS_Dairy_Methane_Equations.VEERG_4_3_1_1__4_FractionVolatileSolidsNotSolidStorage(H152,$F163)</f>
        <v>2.2000000000000002E-2</v>
      </c>
      <c r="I174" s="55" cm="1">
        <f t="array" ref="I174">MMS_Dairy_Methane_Equations.VEERG_4_3_1_1__4_FractionVolatileSolidsNotSolidStorage(I152,$F163)</f>
        <v>2.2000000000000002E-2</v>
      </c>
      <c r="J174" s="55" cm="1">
        <f t="array" ref="J174">MMS_Dairy_Methane_Equations.VEERG_4_3_1_1__4_FractionVolatileSolidsNotSolidStorage(J152,$F163)</f>
        <v>2.2000000000000002E-2</v>
      </c>
      <c r="O174" s="55" t="str">
        <f>'Input - Dairy'!$D$66</f>
        <v>Milking shed</v>
      </c>
      <c r="P174" s="55" t="str">
        <f>'Input - Dairy'!$D$81</f>
        <v>Anaerobic lagoon</v>
      </c>
      <c r="Q174" s="55" cm="1">
        <f t="array" ref="Q174">MMS_Dairy_Methane_Equations.VEERG_4_3_1_1__4_FractionVolatileSolidsNotSolidStorage(Q152,$Q163)</f>
        <v>2.2000000000000002E-2</v>
      </c>
      <c r="R174" s="55" cm="1">
        <f t="array" ref="R174">MMS_Dairy_Methane_Equations.VEERG_4_3_1_1__4_FractionVolatileSolidsNotSolidStorage(R152,$Q163)</f>
        <v>2.2000000000000002E-2</v>
      </c>
      <c r="S174" s="55" cm="1">
        <f t="array" ref="S174">MMS_Dairy_Methane_Equations.VEERG_4_3_1_1__4_FractionVolatileSolidsNotSolidStorage(S152,$Q163)</f>
        <v>2.2000000000000002E-2</v>
      </c>
      <c r="T174" s="55" cm="1">
        <f t="array" ref="T174">MMS_Dairy_Methane_Equations.VEERG_4_3_1_1__4_FractionVolatileSolidsNotSolidStorage(T152,$Q163)</f>
        <v>2.2000000000000002E-2</v>
      </c>
      <c r="U174" s="55" cm="1">
        <f t="array" ref="U174">MMS_Dairy_Methane_Equations.VEERG_4_3_1_1__4_FractionVolatileSolidsNotSolidStorage(U152,$Q163)</f>
        <v>2.2000000000000002E-2</v>
      </c>
    </row>
    <row r="175" spans="4:22" ht="20.100000000000001" customHeight="1" x14ac:dyDescent="0.25">
      <c r="D175" s="55" t="str">
        <f>'Input - Dairy'!$D$66</f>
        <v>Milking shed</v>
      </c>
      <c r="E175" s="55" t="str">
        <f>'Input - Dairy'!$D$86</f>
        <v>Sump and dispersal system</v>
      </c>
      <c r="F175" s="55" cm="1">
        <f t="array" ref="F175">MMS_Dairy_Methane_Equations.VEERG_4_3_1_1__4_FractionVolatileSolidsNotSolidStorage(F153,$F164)</f>
        <v>2.2000000000000002E-2</v>
      </c>
      <c r="G175" s="55" cm="1">
        <f t="array" ref="G175">MMS_Dairy_Methane_Equations.VEERG_4_3_1_1__4_FractionVolatileSolidsNotSolidStorage(G153,$F164)</f>
        <v>2.2000000000000002E-2</v>
      </c>
      <c r="H175" s="55" cm="1">
        <f t="array" ref="H175">MMS_Dairy_Methane_Equations.VEERG_4_3_1_1__4_FractionVolatileSolidsNotSolidStorage(H153,$F164)</f>
        <v>2.2000000000000002E-2</v>
      </c>
      <c r="I175" s="55" cm="1">
        <f t="array" ref="I175">MMS_Dairy_Methane_Equations.VEERG_4_3_1_1__4_FractionVolatileSolidsNotSolidStorage(I153,$F164)</f>
        <v>2.2000000000000002E-2</v>
      </c>
      <c r="J175" s="55" cm="1">
        <f t="array" ref="J175">MMS_Dairy_Methane_Equations.VEERG_4_3_1_1__4_FractionVolatileSolidsNotSolidStorage(J153,$F164)</f>
        <v>2.2000000000000002E-2</v>
      </c>
      <c r="K175" s="2"/>
      <c r="O175" s="55" t="str">
        <f>'Input - Dairy'!$D$66</f>
        <v>Milking shed</v>
      </c>
      <c r="P175" s="55" t="str">
        <f>'Input - Dairy'!$D$86</f>
        <v>Sump and dispersal system</v>
      </c>
      <c r="Q175" s="55" cm="1">
        <f t="array" ref="Q175">MMS_Dairy_Methane_Equations.VEERG_4_3_1_1__4_FractionVolatileSolidsNotSolidStorage(Q153,$Q164)</f>
        <v>2.2000000000000002E-2</v>
      </c>
      <c r="R175" s="55" cm="1">
        <f t="array" ref="R175">MMS_Dairy_Methane_Equations.VEERG_4_3_1_1__4_FractionVolatileSolidsNotSolidStorage(R153,$Q164)</f>
        <v>2.2000000000000002E-2</v>
      </c>
      <c r="S175" s="55" cm="1">
        <f t="array" ref="S175">MMS_Dairy_Methane_Equations.VEERG_4_3_1_1__4_FractionVolatileSolidsNotSolidStorage(S153,$Q164)</f>
        <v>2.2000000000000002E-2</v>
      </c>
      <c r="T175" s="55" cm="1">
        <f t="array" ref="T175">MMS_Dairy_Methane_Equations.VEERG_4_3_1_1__4_FractionVolatileSolidsNotSolidStorage(T153,$Q164)</f>
        <v>2.2000000000000002E-2</v>
      </c>
      <c r="U175" s="55" cm="1">
        <f t="array" ref="U175">MMS_Dairy_Methane_Equations.VEERG_4_3_1_1__4_FractionVolatileSolidsNotSolidStorage(U153,$Q164)</f>
        <v>2.2000000000000002E-2</v>
      </c>
      <c r="V175" s="2"/>
    </row>
    <row r="176" spans="4:22" ht="20.100000000000001" customHeight="1" x14ac:dyDescent="0.25">
      <c r="D176" s="55" t="str">
        <f>'Input - Dairy'!$D$66</f>
        <v>Milking shed</v>
      </c>
      <c r="E176" s="55" t="str">
        <f>'Input - Dairy'!$D$91</f>
        <v>Drains to paddock</v>
      </c>
      <c r="F176" s="55" cm="1">
        <f t="array" ref="F176">MMS_Dairy_Methane_Equations.VEERG_4_3_1_1__4_FractionVolatileSolidsNotSolidStorage(F154,$F165)</f>
        <v>2.2000000000000002E-2</v>
      </c>
      <c r="G176" s="55" cm="1">
        <f t="array" ref="G176">MMS_Dairy_Methane_Equations.VEERG_4_3_1_1__4_FractionVolatileSolidsNotSolidStorage(G154,$F165)</f>
        <v>2.2000000000000002E-2</v>
      </c>
      <c r="H176" s="55" cm="1">
        <f t="array" ref="H176">MMS_Dairy_Methane_Equations.VEERG_4_3_1_1__4_FractionVolatileSolidsNotSolidStorage(H154,$F165)</f>
        <v>2.2000000000000002E-2</v>
      </c>
      <c r="I176" s="55" cm="1">
        <f t="array" ref="I176">MMS_Dairy_Methane_Equations.VEERG_4_3_1_1__4_FractionVolatileSolidsNotSolidStorage(I154,$F165)</f>
        <v>2.2000000000000002E-2</v>
      </c>
      <c r="J176" s="55" cm="1">
        <f t="array" ref="J176">MMS_Dairy_Methane_Equations.VEERG_4_3_1_1__4_FractionVolatileSolidsNotSolidStorage(J154,$F165)</f>
        <v>2.2000000000000002E-2</v>
      </c>
      <c r="K176" s="2"/>
      <c r="O176" s="55" t="str">
        <f>'Input - Dairy'!$D$66</f>
        <v>Milking shed</v>
      </c>
      <c r="P176" s="55" t="str">
        <f>'Input - Dairy'!$D$91</f>
        <v>Drains to paddock</v>
      </c>
      <c r="Q176" s="55" cm="1">
        <f t="array" ref="Q176">MMS_Dairy_Methane_Equations.VEERG_4_3_1_1__4_FractionVolatileSolidsNotSolidStorage(Q154,$Q165)</f>
        <v>2.2000000000000002E-2</v>
      </c>
      <c r="R176" s="55" cm="1">
        <f t="array" ref="R176">MMS_Dairy_Methane_Equations.VEERG_4_3_1_1__4_FractionVolatileSolidsNotSolidStorage(R154,$Q165)</f>
        <v>2.2000000000000002E-2</v>
      </c>
      <c r="S176" s="55" cm="1">
        <f t="array" ref="S176">MMS_Dairy_Methane_Equations.VEERG_4_3_1_1__4_FractionVolatileSolidsNotSolidStorage(S154,$Q165)</f>
        <v>2.2000000000000002E-2</v>
      </c>
      <c r="T176" s="55" cm="1">
        <f t="array" ref="T176">MMS_Dairy_Methane_Equations.VEERG_4_3_1_1__4_FractionVolatileSolidsNotSolidStorage(T154,$Q165)</f>
        <v>2.2000000000000002E-2</v>
      </c>
      <c r="U176" s="55" cm="1">
        <f t="array" ref="U176">MMS_Dairy_Methane_Equations.VEERG_4_3_1_1__4_FractionVolatileSolidsNotSolidStorage(U154,$Q165)</f>
        <v>2.2000000000000002E-2</v>
      </c>
      <c r="V176" s="2"/>
    </row>
    <row r="177" spans="1:23" ht="20.100000000000001" customHeight="1" x14ac:dyDescent="0.25">
      <c r="D177" s="55" t="str">
        <f>'Input - Dairy'!$D$67</f>
        <v>Feed pad</v>
      </c>
      <c r="E177" s="55" t="str">
        <f>'Input - Dairy'!$D$105</f>
        <v>Anaerobic lagoon</v>
      </c>
      <c r="F177" s="55" cm="1">
        <f t="array" ref="F177">MMS_Dairy_Methane_Equations.VEERG_4_3_1_1__4_FractionVolatileSolidsNotSolidStorage(F155,$F166)</f>
        <v>8.8999999999999996E-2</v>
      </c>
      <c r="G177" s="55" cm="1">
        <f t="array" ref="G177">MMS_Dairy_Methane_Equations.VEERG_4_3_1_1__4_FractionVolatileSolidsNotSolidStorage(G155,$F166)</f>
        <v>8.8999999999999996E-2</v>
      </c>
      <c r="H177" s="55" cm="1">
        <f t="array" ref="H177">MMS_Dairy_Methane_Equations.VEERG_4_3_1_1__4_FractionVolatileSolidsNotSolidStorage(H155,$F166)</f>
        <v>8.8999999999999996E-2</v>
      </c>
      <c r="I177" s="55" cm="1">
        <f t="array" ref="I177">MMS_Dairy_Methane_Equations.VEERG_4_3_1_1__4_FractionVolatileSolidsNotSolidStorage(I155,$F166)</f>
        <v>8.8999999999999996E-2</v>
      </c>
      <c r="J177" s="55" cm="1">
        <f t="array" ref="J177">MMS_Dairy_Methane_Equations.VEERG_4_3_1_1__4_FractionVolatileSolidsNotSolidStorage(J155,$F166)</f>
        <v>8.8999999999999996E-2</v>
      </c>
      <c r="K177" s="2"/>
      <c r="O177" s="55" t="str">
        <f>'Input - Dairy'!$D$67</f>
        <v>Feed pad</v>
      </c>
      <c r="P177" s="55" t="str">
        <f>'Input - Dairy'!$D$105</f>
        <v>Anaerobic lagoon</v>
      </c>
      <c r="Q177" s="55" cm="1">
        <f t="array" ref="Q177">MMS_Dairy_Methane_Equations.VEERG_4_3_1_1__4_FractionVolatileSolidsNotSolidStorage(Q155,$Q166)</f>
        <v>8.8999999999999996E-2</v>
      </c>
      <c r="R177" s="55" cm="1">
        <f t="array" ref="R177">MMS_Dairy_Methane_Equations.VEERG_4_3_1_1__4_FractionVolatileSolidsNotSolidStorage(R155,$Q166)</f>
        <v>8.8999999999999996E-2</v>
      </c>
      <c r="S177" s="55" cm="1">
        <f t="array" ref="S177">MMS_Dairy_Methane_Equations.VEERG_4_3_1_1__4_FractionVolatileSolidsNotSolidStorage(S155,$Q166)</f>
        <v>8.8999999999999996E-2</v>
      </c>
      <c r="T177" s="55" cm="1">
        <f t="array" ref="T177">MMS_Dairy_Methane_Equations.VEERG_4_3_1_1__4_FractionVolatileSolidsNotSolidStorage(T155,$Q166)</f>
        <v>8.8999999999999996E-2</v>
      </c>
      <c r="U177" s="55" cm="1">
        <f t="array" ref="U177">MMS_Dairy_Methane_Equations.VEERG_4_3_1_1__4_FractionVolatileSolidsNotSolidStorage(U155,$Q166)</f>
        <v>8.8999999999999996E-2</v>
      </c>
      <c r="V177" s="2"/>
    </row>
    <row r="178" spans="1:23" ht="20.100000000000001" customHeight="1" x14ac:dyDescent="0.25">
      <c r="A178" s="141" t="str">
        <f>HYPERLINK("#A1", "▲ Back to top")</f>
        <v>▲ Back to top</v>
      </c>
      <c r="D178" s="55" t="str">
        <f>'Input - Dairy'!$D$67</f>
        <v>Feed pad</v>
      </c>
      <c r="E178" s="55" t="str">
        <f>'Input - Dairy'!$D$110</f>
        <v>Sump and dispersal system</v>
      </c>
      <c r="F178" s="55" cm="1">
        <f t="array" ref="F178">MMS_Dairy_Methane_Equations.VEERG_4_3_1_1__4_FractionVolatileSolidsNotSolidStorage(F156,$F167)</f>
        <v>7.1199999999999999E-2</v>
      </c>
      <c r="G178" s="55" cm="1">
        <f t="array" ref="G178">MMS_Dairy_Methane_Equations.VEERG_4_3_1_1__4_FractionVolatileSolidsNotSolidStorage(G156,$F167)</f>
        <v>7.1199999999999999E-2</v>
      </c>
      <c r="H178" s="55" cm="1">
        <f t="array" ref="H178">MMS_Dairy_Methane_Equations.VEERG_4_3_1_1__4_FractionVolatileSolidsNotSolidStorage(H156,$F167)</f>
        <v>7.1199999999999999E-2</v>
      </c>
      <c r="I178" s="55" cm="1">
        <f t="array" ref="I178">MMS_Dairy_Methane_Equations.VEERG_4_3_1_1__4_FractionVolatileSolidsNotSolidStorage(I156,$F167)</f>
        <v>7.1199999999999999E-2</v>
      </c>
      <c r="J178" s="55" cm="1">
        <f t="array" ref="J178">MMS_Dairy_Methane_Equations.VEERG_4_3_1_1__4_FractionVolatileSolidsNotSolidStorage(J156,$F167)</f>
        <v>7.1199999999999999E-2</v>
      </c>
      <c r="K178" s="2"/>
      <c r="O178" s="55" t="str">
        <f>'Input - Dairy'!$D$67</f>
        <v>Feed pad</v>
      </c>
      <c r="P178" s="55" t="str">
        <f>'Input - Dairy'!$D$110</f>
        <v>Sump and dispersal system</v>
      </c>
      <c r="Q178" s="55" cm="1">
        <f t="array" ref="Q178">MMS_Dairy_Methane_Equations.VEERG_4_3_1_1__4_FractionVolatileSolidsNotSolidStorage(Q156,$Q167)</f>
        <v>7.1199999999999999E-2</v>
      </c>
      <c r="R178" s="55" cm="1">
        <f t="array" ref="R178">MMS_Dairy_Methane_Equations.VEERG_4_3_1_1__4_FractionVolatileSolidsNotSolidStorage(R156,$Q167)</f>
        <v>7.1199999999999999E-2</v>
      </c>
      <c r="S178" s="55" cm="1">
        <f t="array" ref="S178">MMS_Dairy_Methane_Equations.VEERG_4_3_1_1__4_FractionVolatileSolidsNotSolidStorage(S156,$Q167)</f>
        <v>7.1199999999999999E-2</v>
      </c>
      <c r="T178" s="55" cm="1">
        <f t="array" ref="T178">MMS_Dairy_Methane_Equations.VEERG_4_3_1_1__4_FractionVolatileSolidsNotSolidStorage(T156,$Q167)</f>
        <v>7.1199999999999999E-2</v>
      </c>
      <c r="U178" s="55" cm="1">
        <f t="array" ref="U178">MMS_Dairy_Methane_Equations.VEERG_4_3_1_1__4_FractionVolatileSolidsNotSolidStorage(U156,$Q167)</f>
        <v>7.1199999999999999E-2</v>
      </c>
      <c r="V178" s="2"/>
    </row>
    <row r="179" spans="1:23" ht="20.100000000000001" customHeight="1" x14ac:dyDescent="0.25">
      <c r="D179" s="55" t="str">
        <f>'Input - Dairy'!$D$67</f>
        <v>Feed pad</v>
      </c>
      <c r="E179" s="55" t="str">
        <f>'Input - Dairy'!$D$115</f>
        <v>Drains to paddock</v>
      </c>
      <c r="F179" s="55" cm="1">
        <f t="array" ref="F179">MMS_Dairy_Methane_Equations.VEERG_4_3_1_1__4_FractionVolatileSolidsNotSolidStorage(F157,$F168)</f>
        <v>7.1199999999999999E-2</v>
      </c>
      <c r="G179" s="55" cm="1">
        <f t="array" ref="G179">MMS_Dairy_Methane_Equations.VEERG_4_3_1_1__4_FractionVolatileSolidsNotSolidStorage(G157,$F168)</f>
        <v>7.1199999999999999E-2</v>
      </c>
      <c r="H179" s="55" cm="1">
        <f t="array" ref="H179">MMS_Dairy_Methane_Equations.VEERG_4_3_1_1__4_FractionVolatileSolidsNotSolidStorage(H157,$F168)</f>
        <v>7.1199999999999999E-2</v>
      </c>
      <c r="I179" s="55" cm="1">
        <f t="array" ref="I179">MMS_Dairy_Methane_Equations.VEERG_4_3_1_1__4_FractionVolatileSolidsNotSolidStorage(I157,$F168)</f>
        <v>7.1199999999999999E-2</v>
      </c>
      <c r="J179" s="55" cm="1">
        <f t="array" ref="J179">MMS_Dairy_Methane_Equations.VEERG_4_3_1_1__4_FractionVolatileSolidsNotSolidStorage(J157,$F168)</f>
        <v>7.1199999999999999E-2</v>
      </c>
      <c r="K179" s="2"/>
      <c r="O179" s="55" t="str">
        <f>'Input - Dairy'!$D$67</f>
        <v>Feed pad</v>
      </c>
      <c r="P179" s="55" t="str">
        <f>'Input - Dairy'!$D$115</f>
        <v>Drains to paddock</v>
      </c>
      <c r="Q179" s="55" cm="1">
        <f t="array" ref="Q179">MMS_Dairy_Methane_Equations.VEERG_4_3_1_1__4_FractionVolatileSolidsNotSolidStorage(Q157,$Q168)</f>
        <v>7.1199999999999999E-2</v>
      </c>
      <c r="R179" s="55" cm="1">
        <f t="array" ref="R179">MMS_Dairy_Methane_Equations.VEERG_4_3_1_1__4_FractionVolatileSolidsNotSolidStorage(R157,$Q168)</f>
        <v>7.1199999999999999E-2</v>
      </c>
      <c r="S179" s="55" cm="1">
        <f t="array" ref="S179">MMS_Dairy_Methane_Equations.VEERG_4_3_1_1__4_FractionVolatileSolidsNotSolidStorage(S157,$Q168)</f>
        <v>7.1199999999999999E-2</v>
      </c>
      <c r="T179" s="55" cm="1">
        <f t="array" ref="T179">MMS_Dairy_Methane_Equations.VEERG_4_3_1_1__4_FractionVolatileSolidsNotSolidStorage(T157,$Q168)</f>
        <v>7.1199999999999999E-2</v>
      </c>
      <c r="U179" s="55" cm="1">
        <f t="array" ref="U179">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8"/>
      <c r="D182" s="48"/>
      <c r="E182" s="48"/>
      <c r="F182" s="48"/>
      <c r="G182" s="48"/>
      <c r="H182" s="48"/>
      <c r="I182" s="48"/>
      <c r="J182" s="48"/>
      <c r="K182" s="48"/>
      <c r="L182" s="48"/>
      <c r="N182" s="48"/>
      <c r="O182" s="48"/>
      <c r="P182" s="48"/>
      <c r="Q182" s="48"/>
      <c r="R182" s="48"/>
      <c r="S182" s="48"/>
      <c r="T182" s="48"/>
      <c r="U182" s="48"/>
      <c r="V182" s="48"/>
      <c r="W182" s="48"/>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8" t="str" cm="1">
        <f t="array" ref="D185">MMS_Dairy_Methane_Equations.VEERG_4_3_1_1__5_FractionVolatileSolidsSolidStorage_Variation()</f>
        <v>Used separate variables for MMS and SS m 1, 7 and 9.</v>
      </c>
    </row>
    <row r="186" spans="1:23" ht="20.100000000000001" customHeight="1" x14ac:dyDescent="0.25">
      <c r="D186" s="13" t="s">
        <v>28</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6" t="s">
        <v>31</v>
      </c>
      <c r="E189" s="1" t="str" cm="1">
        <f t="array" ref="E189">MMS_Dairy_Methane_Equations.VEERG_4_3_1_1__5_FractionVolatileSolidsSolidStorage_Variable()</f>
        <v>FVS_jm4</v>
      </c>
    </row>
    <row r="190" spans="1:23" ht="20.100000000000001" customHeight="1" x14ac:dyDescent="0.25">
      <c r="D190" s="56" t="s">
        <v>21</v>
      </c>
      <c r="E190" s="57" t="str" cm="1">
        <f t="array" ref="E190">MMS_Dairy_Methane_Equations.VEERG_4_3_1_1__5_FractionVolatileSolidsSolidStorage_Unit()</f>
        <v>fraction</v>
      </c>
    </row>
    <row r="191" spans="1:23" ht="20.100000000000001" customHeight="1" x14ac:dyDescent="0.25"/>
    <row r="192" spans="1:23" ht="20.100000000000001" customHeight="1" x14ac:dyDescent="0.25">
      <c r="D192" s="137" t="str" cm="1">
        <f t="array" ref="D192:E194">_xlfn.CHOOSECOLS(MMS_Dairy_Methane_Equations.VEERG_4_3_1_1__5_FractionVolatileSolidsSolidStorage_Arguments(),1,2)</f>
        <v>MMS_jm4</v>
      </c>
      <c r="E192" s="137" t="str">
        <v>fraction of volatile solids in solid storage before transfer</v>
      </c>
      <c r="F192" s="137"/>
      <c r="G192" s="137" t="str" cm="1">
        <f t="array" ref="G192:H194">_xlfn.CHOOSECOLS(MMS_Dairy_Methane_Equations.VEERG_4_3_1_1__5_FractionVolatileSolidsSolidStorage_Arguments(),3,4)</f>
        <v>fraction</v>
      </c>
      <c r="H192" s="135" t="str">
        <v>Input</v>
      </c>
      <c r="I192" s="134" t="str" cm="1">
        <f t="array" aca="1" ref="I192" ca="1">HYPERLINK(Common_InputFunctions.Utility_SourceHyperlink($D$196),$D$196)</f>
        <v>M1_Table_MMS_j_m-4</v>
      </c>
    </row>
    <row r="193" spans="4:22" ht="20.100000000000001" customHeight="1" x14ac:dyDescent="0.25">
      <c r="D193" s="137" t="str">
        <v>MMS_jm179</v>
      </c>
      <c r="E193" s="137" t="str">
        <v>fraction of volatile solids in MMS m=1,7,9 before transfer</v>
      </c>
      <c r="F193" s="137"/>
      <c r="G193" s="137" t="str">
        <v>fraction</v>
      </c>
      <c r="H193" s="135" t="str">
        <v>Input</v>
      </c>
      <c r="I193" s="134" t="str" cm="1">
        <f t="array" aca="1" ref="I193" ca="1">HYPERLINK(Common_InputFunctions.Utility_SourceHyperlink($D$148),$D$148)</f>
        <v>M1_Table_MMS_j_m</v>
      </c>
    </row>
    <row r="194" spans="4:22" ht="20.100000000000001" customHeight="1" x14ac:dyDescent="0.25">
      <c r="D194" s="137" t="str">
        <v>SS_m</v>
      </c>
      <c r="E194" s="137" t="str">
        <v>fraction of volatile solids separated to solid storage for each MMS</v>
      </c>
      <c r="F194" s="137"/>
      <c r="G194" s="137" t="str">
        <v>fraction</v>
      </c>
      <c r="H194" s="135" t="str">
        <v>Input</v>
      </c>
      <c r="I194" s="134" t="str" cm="1">
        <f t="array" aca="1" ref="I194" ca="1">HYPERLINK(Common_InputFunctions.Utility_SourceHyperlink($D$159),$D$159)</f>
        <v>M1_Table_SS_m</v>
      </c>
    </row>
    <row r="195" spans="4:22" ht="20.100000000000001" customHeight="1" x14ac:dyDescent="0.25"/>
    <row r="196" spans="4:22" ht="20.100000000000001" customHeight="1" x14ac:dyDescent="0.25">
      <c r="D196" s="104" t="s">
        <v>255</v>
      </c>
      <c r="O196" s="104" t="s">
        <v>261</v>
      </c>
    </row>
    <row r="197" spans="4:22" ht="20.100000000000001" customHeight="1" x14ac:dyDescent="0.25">
      <c r="D197" s="103" t="s">
        <v>256</v>
      </c>
      <c r="O197" s="103" t="s">
        <v>262</v>
      </c>
    </row>
    <row r="198" spans="4:22" ht="20.100000000000001" customHeight="1" x14ac:dyDescent="0.25">
      <c r="D198" s="41" t="s">
        <v>149</v>
      </c>
      <c r="E198" s="41" t="s">
        <v>69</v>
      </c>
      <c r="F198" s="41" t="s">
        <v>175</v>
      </c>
      <c r="G198" s="41" t="s">
        <v>192</v>
      </c>
      <c r="H198" s="41" t="s">
        <v>193</v>
      </c>
      <c r="I198" s="41" t="s">
        <v>194</v>
      </c>
      <c r="J198" s="41" t="s">
        <v>195</v>
      </c>
      <c r="O198" s="41" t="s">
        <v>149</v>
      </c>
      <c r="P198" s="41" t="s">
        <v>69</v>
      </c>
      <c r="Q198" s="41" t="s">
        <v>175</v>
      </c>
      <c r="R198" s="41" t="s">
        <v>192</v>
      </c>
      <c r="S198" s="41" t="s">
        <v>193</v>
      </c>
      <c r="T198" s="41" t="s">
        <v>194</v>
      </c>
      <c r="U198" s="41" t="s">
        <v>195</v>
      </c>
    </row>
    <row r="199" spans="4:22" ht="20.100000000000001" customHeight="1" x14ac:dyDescent="0.25">
      <c r="D199" s="55" t="str">
        <f>'Input - Dairy'!$D$66</f>
        <v>Milking shed</v>
      </c>
      <c r="E199" s="55" t="str">
        <f>'Input - Dairy'!$D$96</f>
        <v>Solid storage (before solid separation)</v>
      </c>
      <c r="F199" s="55">
        <f>'Input - Dairy'!E$66*'Input - Dairy'!E96</f>
        <v>2.75E-2</v>
      </c>
      <c r="G199" s="55">
        <f>'Input - Dairy'!F$66*'Input - Dairy'!F96</f>
        <v>2.75E-2</v>
      </c>
      <c r="H199" s="55">
        <f>'Input - Dairy'!G$66*'Input - Dairy'!G96</f>
        <v>2.75E-2</v>
      </c>
      <c r="I199" s="55">
        <f>'Input - Dairy'!H$66*'Input - Dairy'!H96</f>
        <v>2.75E-2</v>
      </c>
      <c r="J199" s="55">
        <f>'Input - Dairy'!I$66*'Input - Dairy'!I96</f>
        <v>2.75E-2</v>
      </c>
      <c r="K199" s="2" t="s">
        <v>101</v>
      </c>
      <c r="O199" s="55" t="str">
        <f>'Input - Dairy'!$D$66</f>
        <v>Milking shed</v>
      </c>
      <c r="P199" s="55" t="str">
        <f>'Input - Dairy'!$D$96</f>
        <v>Solid storage (before solid separation)</v>
      </c>
      <c r="Q199" s="55">
        <f>'Input - Dairy'!E71*'Input - Dairy'!E96</f>
        <v>2.75E-2</v>
      </c>
      <c r="R199" s="55">
        <f>'Input - Dairy'!F71*'Input - Dairy'!F96</f>
        <v>2.75E-2</v>
      </c>
      <c r="S199" s="55">
        <f>'Input - Dairy'!G71*'Input - Dairy'!G96</f>
        <v>2.75E-2</v>
      </c>
      <c r="T199" s="55">
        <f>'Input - Dairy'!H71*'Input - Dairy'!H96</f>
        <v>2.75E-2</v>
      </c>
      <c r="U199" s="55">
        <f>'Input - Dairy'!I71*'Input - Dairy'!I96</f>
        <v>2.75E-2</v>
      </c>
      <c r="V199" s="2" t="s">
        <v>101</v>
      </c>
    </row>
    <row r="200" spans="4:22" ht="20.100000000000001" customHeight="1" x14ac:dyDescent="0.25">
      <c r="D200" s="55" t="str">
        <f>'Input - Dairy'!$D$67</f>
        <v>Feed pad</v>
      </c>
      <c r="E200" s="55" t="str">
        <f>'Input - Dairy'!$D$120</f>
        <v>Solid storage (before solid separation)</v>
      </c>
      <c r="F200" s="55">
        <f>'Input - Dairy'!E67*'Input - Dairy'!E120</f>
        <v>8.8999999999999996E-2</v>
      </c>
      <c r="G200" s="55">
        <f>'Input - Dairy'!F67*'Input - Dairy'!F120</f>
        <v>8.8999999999999996E-2</v>
      </c>
      <c r="H200" s="55">
        <f>'Input - Dairy'!G67*'Input - Dairy'!G120</f>
        <v>8.8999999999999996E-2</v>
      </c>
      <c r="I200" s="55">
        <f>'Input - Dairy'!H67*'Input - Dairy'!H120</f>
        <v>8.8999999999999996E-2</v>
      </c>
      <c r="J200" s="55">
        <f>'Input - Dairy'!I67*'Input - Dairy'!I120</f>
        <v>8.8999999999999996E-2</v>
      </c>
      <c r="K200" s="2" t="s">
        <v>101</v>
      </c>
      <c r="O200" s="55" t="str">
        <f>'Input - Dairy'!$D$67</f>
        <v>Feed pad</v>
      </c>
      <c r="P200" s="55" t="str">
        <f>'Input - Dairy'!$D$120</f>
        <v>Solid storage (before solid separation)</v>
      </c>
      <c r="Q200" s="55">
        <f>'Input - Dairy'!E72*'Input - Dairy'!E120</f>
        <v>8.8999999999999996E-2</v>
      </c>
      <c r="R200" s="55">
        <f>'Input - Dairy'!F72*'Input - Dairy'!F120</f>
        <v>8.8999999999999996E-2</v>
      </c>
      <c r="S200" s="55">
        <f>'Input - Dairy'!G72*'Input - Dairy'!G120</f>
        <v>8.8999999999999996E-2</v>
      </c>
      <c r="T200" s="55">
        <f>'Input - Dairy'!H72*'Input - Dairy'!H120</f>
        <v>8.8999999999999996E-2</v>
      </c>
      <c r="U200" s="55">
        <f>'Input - Dairy'!I72*'Input - Dairy'!I120</f>
        <v>8.8999999999999996E-2</v>
      </c>
      <c r="V200" s="2" t="s">
        <v>101</v>
      </c>
    </row>
    <row r="201" spans="4:22" ht="20.100000000000001" customHeight="1" x14ac:dyDescent="0.25"/>
    <row r="202" spans="4:22" ht="20.100000000000001" customHeight="1" x14ac:dyDescent="0.25">
      <c r="D202" s="104" t="s">
        <v>259</v>
      </c>
      <c r="O202" s="104" t="s">
        <v>263</v>
      </c>
    </row>
    <row r="203" spans="4:22" ht="20.100000000000001" customHeight="1" x14ac:dyDescent="0.25">
      <c r="D203" s="103" t="s">
        <v>260</v>
      </c>
      <c r="O203" s="103" t="s">
        <v>264</v>
      </c>
    </row>
    <row r="204" spans="4:22" ht="20.100000000000001" customHeight="1" x14ac:dyDescent="0.25">
      <c r="D204" s="54" t="s">
        <v>149</v>
      </c>
      <c r="E204" s="54" t="s">
        <v>69</v>
      </c>
      <c r="F204" s="54" t="s">
        <v>175</v>
      </c>
      <c r="G204" s="54" t="s">
        <v>192</v>
      </c>
      <c r="H204" s="54" t="s">
        <v>193</v>
      </c>
      <c r="I204" s="54" t="s">
        <v>194</v>
      </c>
      <c r="J204" s="54" t="s">
        <v>195</v>
      </c>
      <c r="O204" s="54" t="s">
        <v>149</v>
      </c>
      <c r="P204" s="54" t="s">
        <v>69</v>
      </c>
      <c r="Q204" s="54" t="s">
        <v>175</v>
      </c>
      <c r="R204" s="54" t="s">
        <v>192</v>
      </c>
      <c r="S204" s="54" t="s">
        <v>193</v>
      </c>
      <c r="T204" s="54" t="s">
        <v>194</v>
      </c>
      <c r="U204" s="54" t="s">
        <v>195</v>
      </c>
    </row>
    <row r="205" spans="4:22" ht="20.100000000000001" customHeight="1" x14ac:dyDescent="0.25">
      <c r="D205" s="55" t="str">
        <f>'Input - Dairy'!$D$66</f>
        <v>Milking shed</v>
      </c>
      <c r="E205" s="55" t="s">
        <v>412</v>
      </c>
      <c r="F205" s="55" cm="1">
        <f t="array" ref="F205">MMS_Dairy_Methane_Equations.VEERG_4_3_1_1__5_FractionVolatileSolidsSolidStorageVariation(F199,F152,$F163,F153,$F164,F154,$F165)</f>
        <v>4.3999999999999997E-2</v>
      </c>
      <c r="G205" s="55" cm="1">
        <f t="array" ref="G205">MMS_Dairy_Methane_Equations.VEERG_4_3_1_1__5_FractionVolatileSolidsSolidStorageVariation(G199,G152,$F163,G153,$F164,G154,$F165)</f>
        <v>4.3999999999999997E-2</v>
      </c>
      <c r="H205" s="55" cm="1">
        <f t="array" ref="H205">MMS_Dairy_Methane_Equations.VEERG_4_3_1_1__5_FractionVolatileSolidsSolidStorageVariation(H199,H152,$F163,H153,$F164,H154,$F165)</f>
        <v>4.3999999999999997E-2</v>
      </c>
      <c r="I205" s="55" cm="1">
        <f t="array" ref="I205">MMS_Dairy_Methane_Equations.VEERG_4_3_1_1__5_FractionVolatileSolidsSolidStorageVariation(I199,I152,$F163,I153,$F164,I154,$F165)</f>
        <v>4.3999999999999997E-2</v>
      </c>
      <c r="J205" s="55" cm="1">
        <f t="array" ref="J205">MMS_Dairy_Methane_Equations.VEERG_4_3_1_1__5_FractionVolatileSolidsSolidStorageVariation(J199,J152,$F163,J153,$F164,J154,$F165)</f>
        <v>4.3999999999999997E-2</v>
      </c>
      <c r="K205" s="2" t="str">
        <f>$E$190</f>
        <v>fraction</v>
      </c>
      <c r="O205" s="55" t="str">
        <f>'Input - Dairy'!$D$66</f>
        <v>Milking shed</v>
      </c>
      <c r="P205" s="55" t="s">
        <v>412</v>
      </c>
      <c r="Q205" s="55" cm="1">
        <f t="array" ref="Q205">MMS_Dairy_Methane_Equations.VEERG_4_3_1_1__5_FractionVolatileSolidsSolidStorageVariation(Q199,Q152,$Q163,Q153,$Q164,Q154,$Q165)</f>
        <v>4.3999999999999997E-2</v>
      </c>
      <c r="R205" s="55" cm="1">
        <f t="array" ref="R205">MMS_Dairy_Methane_Equations.VEERG_4_3_1_1__5_FractionVolatileSolidsSolidStorageVariation(R199,R152,$Q163,R153,$Q164,R154,$Q165)</f>
        <v>4.3999999999999997E-2</v>
      </c>
      <c r="S205" s="55" cm="1">
        <f t="array" ref="S205">MMS_Dairy_Methane_Equations.VEERG_4_3_1_1__5_FractionVolatileSolidsSolidStorageVariation(S199,S152,$Q163,S153,$Q164,S154,$Q165)</f>
        <v>4.3999999999999997E-2</v>
      </c>
      <c r="T205" s="55" cm="1">
        <f t="array" ref="T205">MMS_Dairy_Methane_Equations.VEERG_4_3_1_1__5_FractionVolatileSolidsSolidStorageVariation(T199,T152,$Q163,T153,$Q164,T154,$Q165)</f>
        <v>4.3999999999999997E-2</v>
      </c>
      <c r="U205" s="55" cm="1">
        <f t="array" ref="U205">MMS_Dairy_Methane_Equations.VEERG_4_3_1_1__5_FractionVolatileSolidsSolidStorageVariation(U199,U152,$Q163,U153,$Q164,U154,$Q165)</f>
        <v>4.3999999999999997E-2</v>
      </c>
      <c r="V205" s="2" t="str">
        <f>$E$190</f>
        <v>fraction</v>
      </c>
    </row>
    <row r="206" spans="4:22" ht="20.100000000000001" customHeight="1" x14ac:dyDescent="0.25">
      <c r="D206" s="55" t="str">
        <f>'Input - Dairy'!$D$67</f>
        <v>Feed pad</v>
      </c>
      <c r="E206" s="55" t="s">
        <v>412</v>
      </c>
      <c r="F206" s="55" cm="1">
        <f t="array" ref="F206">MMS_Dairy_Methane_Equations.VEERG_4_3_1_1__5_FractionVolatileSolidsSolidStorageVariation(F200,F155,$F166,F156,$F167,F157,$F168)</f>
        <v>0.12459999999999999</v>
      </c>
      <c r="G206" s="55" cm="1">
        <f t="array" ref="G206">MMS_Dairy_Methane_Equations.VEERG_4_3_1_1__5_FractionVolatileSolidsSolidStorageVariation(G200,G155,$F166,G156,$F167,G157,$F168)</f>
        <v>0.12459999999999999</v>
      </c>
      <c r="H206" s="55" cm="1">
        <f t="array" ref="H206">MMS_Dairy_Methane_Equations.VEERG_4_3_1_1__5_FractionVolatileSolidsSolidStorageVariation(H200,H155,$F166,H156,$F167,H157,$F168)</f>
        <v>0.12459999999999999</v>
      </c>
      <c r="I206" s="55" cm="1">
        <f t="array" ref="I206">MMS_Dairy_Methane_Equations.VEERG_4_3_1_1__5_FractionVolatileSolidsSolidStorageVariation(I200,I155,$F166,I156,$F167,I157,$F168)</f>
        <v>0.12459999999999999</v>
      </c>
      <c r="J206" s="55" cm="1">
        <f t="array" ref="J206">MMS_Dairy_Methane_Equations.VEERG_4_3_1_1__5_FractionVolatileSolidsSolidStorageVariation(J200,J155,$F166,J156,$F167,J157,$F168)</f>
        <v>0.12459999999999999</v>
      </c>
      <c r="K206" s="2" t="str">
        <f>$E$190</f>
        <v>fraction</v>
      </c>
      <c r="O206" s="55" t="str">
        <f>'Input - Dairy'!$D$67</f>
        <v>Feed pad</v>
      </c>
      <c r="P206" s="55" t="s">
        <v>412</v>
      </c>
      <c r="Q206" s="55" cm="1">
        <f t="array" ref="Q206">MMS_Dairy_Methane_Equations.VEERG_4_3_1_1__5_FractionVolatileSolidsSolidStorageVariation(Q200,Q155,$Q166,Q156,$Q167,Q157,$Q168)</f>
        <v>0.12459999999999999</v>
      </c>
      <c r="R206" s="55" cm="1">
        <f t="array" ref="R206">MMS_Dairy_Methane_Equations.VEERG_4_3_1_1__5_FractionVolatileSolidsSolidStorageVariation(R200,R155,$Q166,R156,$Q167,R157,$Q168)</f>
        <v>0.12459999999999999</v>
      </c>
      <c r="S206" s="55" cm="1">
        <f t="array" ref="S206">MMS_Dairy_Methane_Equations.VEERG_4_3_1_1__5_FractionVolatileSolidsSolidStorageVariation(S200,S155,$Q166,S156,$Q167,S157,$Q168)</f>
        <v>0.12459999999999999</v>
      </c>
      <c r="T206" s="55" cm="1">
        <f t="array" ref="T206">MMS_Dairy_Methane_Equations.VEERG_4_3_1_1__5_FractionVolatileSolidsSolidStorageVariation(T200,T155,$Q166,T156,$Q167,T157,$Q168)</f>
        <v>0.12459999999999999</v>
      </c>
      <c r="U206" s="55" cm="1">
        <f t="array" ref="U206">MMS_Dairy_Methane_Equations.VEERG_4_3_1_1__5_FractionVolatileSolidsSolidStorageVariation(U200,U155,$Q166,U156,$Q167,U157,$Q168)</f>
        <v>0.12459999999999999</v>
      </c>
      <c r="V206" s="2" t="str">
        <f>$E$190</f>
        <v>fraction</v>
      </c>
    </row>
    <row r="207" spans="4:22" ht="20.100000000000001" customHeight="1" x14ac:dyDescent="0.25"/>
    <row r="208" spans="4:22" ht="20.100000000000001" customHeight="1" x14ac:dyDescent="0.25"/>
    <row r="209" spans="1:23" ht="20.100000000000001" customHeight="1" x14ac:dyDescent="0.25">
      <c r="C209" s="48"/>
      <c r="D209" s="48"/>
      <c r="E209" s="48"/>
      <c r="F209" s="48"/>
      <c r="G209" s="48"/>
      <c r="H209" s="48"/>
      <c r="I209" s="48"/>
      <c r="J209" s="48"/>
      <c r="K209" s="48"/>
      <c r="L209" s="48"/>
      <c r="N209" s="48"/>
      <c r="O209" s="48"/>
      <c r="P209" s="48"/>
      <c r="Q209" s="48"/>
      <c r="R209" s="48"/>
      <c r="S209" s="48"/>
      <c r="T209" s="48"/>
      <c r="U209" s="48"/>
      <c r="V209" s="48"/>
      <c r="W209" s="48"/>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28</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6" t="s">
        <v>31</v>
      </c>
      <c r="E215" s="1" t="str" cm="1">
        <f t="array" ref="E215">MMS_Dairy_Methane_Equations.VEERG_4_3_1_1__2_MethaneFromManureProduction_Variable()</f>
        <v>M_jm</v>
      </c>
    </row>
    <row r="216" spans="1:23" ht="20.100000000000001" customHeight="1" x14ac:dyDescent="0.25">
      <c r="D216" s="56" t="s">
        <v>21</v>
      </c>
      <c r="E216" s="57" t="str" cm="1">
        <f t="array" ref="E216">MMS_Dairy_Methane_Equations.VEERG_4_3_1_1__2_MethaneFromManureProduction_Unit()</f>
        <v>kg CH4/head/day</v>
      </c>
    </row>
    <row r="217" spans="1:23" ht="20.100000000000001" customHeight="1" x14ac:dyDescent="0.25">
      <c r="A217" s="141" t="str">
        <f>HYPERLINK("#A1", "▲ Back to top")</f>
        <v>▲ Back to top</v>
      </c>
    </row>
    <row r="218" spans="1:23" ht="20.100000000000001" customHeight="1" x14ac:dyDescent="0.25">
      <c r="D218" s="137" t="str" cm="1">
        <f t="array" ref="D218:E223">_xlfn.CHOOSECOLS(MMS_Dairy_Methane_Equations.VEERG_4_3_1_1__2_MethaneFromManureProduction_Arguments(),1,2)</f>
        <v>VS_j</v>
      </c>
      <c r="E218" s="136" t="str">
        <v>daily volatile solids production per head for dairy cattle (kg/head/day)</v>
      </c>
      <c r="F218" s="138"/>
      <c r="G218" s="137" t="str" cm="1">
        <f t="array" ref="G218:H223">_xlfn.CHOOSECOLS(MMS_Dairy_Methane_Equations.VEERG_4_3_1_1__2_MethaneFromManureProduction_Arguments(),3,4)</f>
        <v>kg/head/day</v>
      </c>
      <c r="H218" s="133" t="str">
        <v>Calculated from 4.3.1.1 (3)</v>
      </c>
      <c r="I218" s="134" t="str" cm="1">
        <f t="array" aca="1" ref="I218" ca="1">HYPERLINK(Common_InputFunctions.Utility_SourceHyperlink($D$130),$D$130)</f>
        <v>M1_Table_VS_j</v>
      </c>
      <c r="J218" s="137"/>
      <c r="O218" s="137" t="str" cm="1">
        <f t="array" ref="O218:P223">_xlfn.CHOOSECOLS(MMS_Dairy_Methane_Equations.VEERG_4_3_1_1__2_MethaneFromManureProduction_Arguments_Method2(),1,2)</f>
        <v>VS_j</v>
      </c>
      <c r="P218" s="136" t="str">
        <v>daily volatile solids production per head for dairy cattle (kg/head/day)</v>
      </c>
      <c r="Q218" s="138"/>
      <c r="R218" s="137" t="str" cm="1">
        <f t="array" ref="R218:S223">_xlfn.CHOOSECOLS(MMS_Dairy_Methane_Equations.VEERG_4_3_1_1__2_MethaneFromManureProduction_Arguments_Method2(),3,4)</f>
        <v>kg/head/day</v>
      </c>
      <c r="S218" s="133" t="str">
        <v>Calculated from 4.3.1.1 (3)</v>
      </c>
      <c r="T218" s="137"/>
    </row>
    <row r="219" spans="1:23" ht="20.100000000000001" customHeight="1" x14ac:dyDescent="0.25">
      <c r="D219" s="137" t="str">
        <v>FVS_jmT1</v>
      </c>
      <c r="E219" s="136" t="str">
        <v>fraction of waste from each class in each management system</v>
      </c>
      <c r="F219" s="138"/>
      <c r="G219" s="137" t="str">
        <v>fraction</v>
      </c>
      <c r="H219" s="133" t="str">
        <v>Calculated from 4.3.1.1 (4)(5)</v>
      </c>
      <c r="I219" s="134" t="str" cm="1">
        <f t="array" aca="1" ref="I219" ca="1">HYPERLINK(Common_InputFunctions.Utility_SourceHyperlink($D$170),$D$170)</f>
        <v>M1_Table_FVS_j_m</v>
      </c>
      <c r="J219" s="134" t="str" cm="1">
        <f t="array" aca="1" ref="J219" ca="1">HYPERLINK(Common_InputFunctions.Utility_SourceHyperlink($D$202),$D$202)</f>
        <v>M1_Table_FVS_j_m-4</v>
      </c>
      <c r="O219" s="137" t="str">
        <v>FVS_jmT1</v>
      </c>
      <c r="P219" s="136" t="str">
        <v>fraction of waste from each class in each management system</v>
      </c>
      <c r="Q219" s="138"/>
      <c r="R219" s="137" t="str">
        <v>fraction</v>
      </c>
      <c r="S219" s="133" t="str">
        <v>Calculated from 4.3.1.1 (4)(5)</v>
      </c>
      <c r="T219" s="137"/>
    </row>
    <row r="220" spans="1:23" ht="20.100000000000001" customHeight="1" x14ac:dyDescent="0.25">
      <c r="D220" s="137" t="str">
        <v>MCF_im</v>
      </c>
      <c r="E220" s="136" t="str">
        <v>methane conversion factor for temperature zone and MMS</v>
      </c>
      <c r="F220" s="138"/>
      <c r="G220" s="137" t="str">
        <v>fraction</v>
      </c>
      <c r="H220" s="133" t="str">
        <v>Constant</v>
      </c>
      <c r="I220" s="134" t="str" cm="1">
        <f t="array" aca="1" ref="I220" ca="1">HYPERLINK(Common_InputFunctions.Utility_SourceHyperlink($D$225),$D$225)</f>
        <v>M1_Table_MCF_i_m</v>
      </c>
      <c r="J220" s="137"/>
      <c r="O220" s="137" t="str">
        <v>MCF_im</v>
      </c>
      <c r="P220" s="136" t="str">
        <v>methane conversion factor for temperature zone and MMS</v>
      </c>
      <c r="Q220" s="138"/>
      <c r="R220" s="137" t="str">
        <v>fraction</v>
      </c>
      <c r="S220" s="133" t="str">
        <v>Constant</v>
      </c>
      <c r="T220" s="134" t="str" cm="1">
        <f t="array" aca="1" ref="T220" ca="1">HYPERLINK(Common_InputFunctions.Utility_SourceHyperlink($O$225),$O$225)</f>
        <v>M2_Table_MCF_i_m</v>
      </c>
    </row>
    <row r="221" spans="1:23" ht="20.100000000000001" customHeight="1" x14ac:dyDescent="0.25">
      <c r="D221" s="137" t="str">
        <v>B_o</v>
      </c>
      <c r="E221" s="136" t="str">
        <v>emissions potential (m3 CH4/kgVS)</v>
      </c>
      <c r="F221" s="138"/>
      <c r="G221" s="137" t="str">
        <v>m3 CH4/kgVS</v>
      </c>
      <c r="H221" s="133" t="str">
        <v>Constant</v>
      </c>
      <c r="I221" s="137">
        <f>'Constants - Dairy'!$D$195</f>
        <v>0.24</v>
      </c>
      <c r="J221" s="137"/>
      <c r="O221" s="137" t="str">
        <v>B_o</v>
      </c>
      <c r="P221" s="136" t="str">
        <v>emissions potential (m3 CH4/kgVS)</v>
      </c>
      <c r="Q221" s="138"/>
      <c r="R221" s="137" t="str">
        <v>m3 CH4/kgVS</v>
      </c>
      <c r="S221" s="133" t="str">
        <v>Constant</v>
      </c>
      <c r="T221" s="137"/>
    </row>
    <row r="222" spans="1:23" ht="20.100000000000001" customHeight="1" x14ac:dyDescent="0.25">
      <c r="D222" s="137" t="str">
        <v>rho</v>
      </c>
      <c r="E222" s="136" t="str">
        <v>density of methane (kg/m3)</v>
      </c>
      <c r="F222" s="138"/>
      <c r="G222" s="137" t="str">
        <v>kg/m3</v>
      </c>
      <c r="H222" s="133" t="str">
        <v>Constant</v>
      </c>
      <c r="I222" s="137">
        <f>'Constants - Common'!$D$175</f>
        <v>0.6784</v>
      </c>
      <c r="J222" s="137"/>
      <c r="O222" s="137" t="str">
        <v>rho</v>
      </c>
      <c r="P222" s="136" t="str">
        <v>density of methane (kg/m3)</v>
      </c>
      <c r="Q222" s="138"/>
      <c r="R222" s="137" t="str">
        <v>kg/m3</v>
      </c>
      <c r="S222" s="133" t="str">
        <v>Constant</v>
      </c>
      <c r="T222" s="137"/>
    </row>
    <row r="223" spans="1:23" ht="20.100000000000001" customHeight="1" x14ac:dyDescent="0.25">
      <c r="D223" s="137" t="str">
        <v>i</v>
      </c>
      <c r="E223" s="136" t="str">
        <v>state</v>
      </c>
      <c r="F223" s="138"/>
      <c r="G223" s="137" t="str">
        <v>state</v>
      </c>
      <c r="H223" s="135" t="str">
        <v>Input</v>
      </c>
      <c r="I223" s="137" t="str">
        <f>Common_InputFunctions.Utility_LookupValueInTable('Input - Site'!$E$21, Table_AustralianStates[Common Name],Table_AustralianStates[Abbreviation])</f>
        <v>NSW</v>
      </c>
      <c r="J223" s="137"/>
      <c r="O223" s="137" t="str">
        <v>MAT</v>
      </c>
      <c r="P223" s="136" t="str">
        <v>Mean annual temperature</v>
      </c>
      <c r="Q223" s="138"/>
      <c r="R223" s="137" t="str">
        <v>°C</v>
      </c>
      <c r="S223" s="135" t="str">
        <v>Input</v>
      </c>
      <c r="T223" s="137">
        <f>'Input - Site'!$E$25</f>
        <v>18</v>
      </c>
    </row>
    <row r="224" spans="1:23" ht="20.100000000000001" customHeight="1" x14ac:dyDescent="0.25"/>
    <row r="225" spans="4:22" ht="20.100000000000001" customHeight="1" x14ac:dyDescent="0.25">
      <c r="D225" s="128" t="s">
        <v>265</v>
      </c>
      <c r="O225" s="128" t="s">
        <v>423</v>
      </c>
    </row>
    <row r="226" spans="4:22" ht="20.100000000000001" customHeight="1" x14ac:dyDescent="0.25">
      <c r="D226" s="129" t="s">
        <v>266</v>
      </c>
      <c r="O226" s="129" t="s">
        <v>424</v>
      </c>
    </row>
    <row r="227" spans="4:22" ht="20.100000000000001" customHeight="1" x14ac:dyDescent="0.25">
      <c r="D227" s="54" t="s">
        <v>69</v>
      </c>
      <c r="E227" s="54" t="s">
        <v>100</v>
      </c>
      <c r="O227" s="54" t="s">
        <v>69</v>
      </c>
      <c r="P227" s="54" t="s">
        <v>100</v>
      </c>
    </row>
    <row r="228" spans="4:22" ht="20.100000000000001" customHeight="1" x14ac:dyDescent="0.25">
      <c r="D228" s="60" t="str">
        <f>'Constants - Livestock'!$E$27</f>
        <v>Pasture range and paddock</v>
      </c>
      <c r="E228" s="55" cm="1">
        <f t="array" ref="E228">CommonLivestock_InputFunctions.Livestock_LookupMCFState(D228,Table_SourceData_Dairy_MCFjm[NIR reference],$I$223,Table_SourceData_Dairy_MCFjm[#Headers],Table_SourceData_Dairy_MCFjm[])</f>
        <v>0.01</v>
      </c>
      <c r="O228" s="60" t="str">
        <f>'Constants - Livestock'!$E$27</f>
        <v>Pasture range and paddock</v>
      </c>
      <c r="P228" s="55" cm="1">
        <f t="array" ref="P228">CommonLivestock_InputFunctions.Livestock_LookupMCFState(O228,Table_SourceData_Dairy_MCFjm[NIR reference],$I$223,Table_SourceData_Dairy_MCFjm[#Headers],Table_SourceData_Dairy_MCFjm[])</f>
        <v>0.01</v>
      </c>
      <c r="Q228" s="23" t="s">
        <v>425</v>
      </c>
      <c r="R228" s="23"/>
    </row>
    <row r="229" spans="4:22" ht="20.100000000000001" customHeight="1" x14ac:dyDescent="0.25">
      <c r="D229" s="60" t="str">
        <f>'Constants - Dairy'!$D$8</f>
        <v>Anaerobic lagoon</v>
      </c>
      <c r="E229" s="55" cm="1">
        <f t="array" ref="E229">CommonLivestock_InputFunctions.Livestock_LookupMCFState(D229,Table_SourceData_Dairy_MCFjm[NIR reference],$I$223,Table_SourceData_Dairy_MCFjm[#Headers],Table_SourceData_Dairy_MCFjm[])</f>
        <v>0.76</v>
      </c>
      <c r="O229" s="60" t="str">
        <f>'Constants - Dairy'!$D$8</f>
        <v>Anaerobic lagoon</v>
      </c>
      <c r="P229" s="55" cm="1">
        <f t="array" ref="P229">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60" t="str">
        <f>'Constants - Dairy'!$D$9</f>
        <v>Sump and dispersal system</v>
      </c>
      <c r="E230" s="55" cm="1">
        <f t="array" ref="E230">CommonLivestock_InputFunctions.Livestock_LookupMCFState(D230,Table_SourceData_Dairy_MCFjm[NIR reference],$I$223,Table_SourceData_Dairy_MCFjm[#Headers],Table_SourceData_Dairy_MCFjm[])</f>
        <v>5.0000000000000001E-3</v>
      </c>
      <c r="O230" s="60" t="str">
        <f>'Constants - Dairy'!$D$9</f>
        <v>Sump and dispersal system</v>
      </c>
      <c r="P230" s="55" cm="1">
        <f t="array" ref="P230">Common_InputFunctions.Common_GetMCFTemperatureZone($T$223, "Daily spread",Table_SourceData_Common_MCFTemperatureZone[MAT raw],Table_SourceData_Common_MCFTemperatureZone[#Headers],Table_SourceData_Common_MCFTemperatureZone[])</f>
        <v>5.0000000000000001E-3</v>
      </c>
      <c r="Q230" s="23" t="s">
        <v>422</v>
      </c>
      <c r="R230" s="23"/>
    </row>
    <row r="231" spans="4:22" ht="20.100000000000001" customHeight="1" x14ac:dyDescent="0.25">
      <c r="D231" s="60" t="str">
        <f>'Constants - Dairy'!$D$10</f>
        <v>Drains to paddock</v>
      </c>
      <c r="E231" s="55" cm="1">
        <f t="array" ref="E231">CommonLivestock_InputFunctions.Livestock_LookupMCFState(D231,Table_SourceData_Dairy_MCFjm[NIR reference],$I$223,Table_SourceData_Dairy_MCFjm[#Headers],Table_SourceData_Dairy_MCFjm[])</f>
        <v>0.18</v>
      </c>
      <c r="O231" s="60" t="str">
        <f>'Constants - Dairy'!$D$10</f>
        <v>Drains to paddock</v>
      </c>
      <c r="P231" s="55" cm="1">
        <f t="array" ref="P231">Common_InputFunctions.Common_GetMCFTemperatureZone($T$223, "Liquid systems",Table_SourceData_Common_MCFTemperatureZone[MAT raw],Table_SourceData_Common_MCFTemperatureZone[#Headers],Table_SourceData_Common_MCFTemperatureZone[])</f>
        <v>0.22</v>
      </c>
      <c r="Q231" s="23" t="s">
        <v>421</v>
      </c>
      <c r="R231" s="23"/>
    </row>
    <row r="232" spans="4:22" ht="20.100000000000001" customHeight="1" x14ac:dyDescent="0.25">
      <c r="D232" s="60" t="str">
        <f>'Constants - Dairy'!$D$11</f>
        <v>Solid storage</v>
      </c>
      <c r="E232" s="55" cm="1">
        <f t="array" ref="E232">CommonLivestock_InputFunctions.Livestock_LookupMCFState(D232,Table_SourceData_Dairy_MCFjm[NIR reference],$I$223,Table_SourceData_Dairy_MCFjm[#Headers],Table_SourceData_Dairy_MCFjm[])</f>
        <v>0.02</v>
      </c>
      <c r="O232" s="60" t="str">
        <f>'Constants - Dairy'!$D$11</f>
        <v>Solid storage</v>
      </c>
      <c r="P232" s="55" cm="1">
        <f t="array" ref="P232">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8" t="s">
        <v>267</v>
      </c>
      <c r="O234" s="128" t="s">
        <v>281</v>
      </c>
    </row>
    <row r="235" spans="4:22" ht="20.100000000000001" customHeight="1" x14ac:dyDescent="0.25">
      <c r="D235" s="129" t="s">
        <v>283</v>
      </c>
      <c r="O235" s="129" t="s">
        <v>282</v>
      </c>
    </row>
    <row r="236" spans="4:22" ht="20.100000000000001" customHeight="1" x14ac:dyDescent="0.25">
      <c r="D236" s="54" t="s">
        <v>149</v>
      </c>
      <c r="E236" s="54" t="s">
        <v>69</v>
      </c>
      <c r="F236" s="54" t="s">
        <v>175</v>
      </c>
      <c r="G236" s="54" t="s">
        <v>192</v>
      </c>
      <c r="H236" s="54" t="s">
        <v>193</v>
      </c>
      <c r="I236" s="54" t="s">
        <v>194</v>
      </c>
      <c r="J236" s="54" t="s">
        <v>195</v>
      </c>
      <c r="O236" s="54" t="s">
        <v>149</v>
      </c>
      <c r="P236" s="54" t="s">
        <v>69</v>
      </c>
      <c r="Q236" s="54" t="s">
        <v>175</v>
      </c>
      <c r="R236" s="54" t="s">
        <v>192</v>
      </c>
      <c r="S236" s="54" t="s">
        <v>193</v>
      </c>
      <c r="T236" s="54" t="s">
        <v>194</v>
      </c>
      <c r="U236" s="54" t="s">
        <v>195</v>
      </c>
    </row>
    <row r="237" spans="4:22" ht="20.100000000000001" customHeight="1" x14ac:dyDescent="0.25">
      <c r="D237" s="55" t="str">
        <f>'Input - Dairy'!$D$65</f>
        <v>Pasture</v>
      </c>
      <c r="E237" s="55" t="str">
        <f>'Constants - Livestock'!$E$27</f>
        <v>Pasture range and paddock</v>
      </c>
      <c r="F237" s="55" cm="1">
        <f t="array" ref="F237">MMS_Dairy_Methane_Equations.VEERG_4_3_1_1__2_MethaneFromManureProduction(D$133,F173,_xlfn.XLOOKUP($E237,$D$228:$D$232,$E$228:$E$232),$I$221,$I$222)</f>
        <v>4.3689196218983364E-3</v>
      </c>
      <c r="G237" s="55" cm="1">
        <f t="array" ref="G237">MMS_Dairy_Methane_Equations.VEERG_4_3_1_1__2_MethaneFromManureProduction(E$133,G173,_xlfn.XLOOKUP($E237,$D$228:$D$232,$E$228:$E$232),$I$221,$I$222)</f>
        <v>1.7209245840165332E-3</v>
      </c>
      <c r="H237" s="55" cm="1">
        <f t="array" ref="H237">MMS_Dairy_Methane_Equations.VEERG_4_3_1_1__2_MethaneFromManureProduction(F$133,H173,_xlfn.XLOOKUP($E237,$D$228:$D$232,$E$228:$E$232),$I$221,$I$222)</f>
        <v>9.3323909012537774E-4</v>
      </c>
      <c r="I237" s="55" cm="1">
        <f t="array" ref="I237">MMS_Dairy_Methane_Equations.VEERG_4_3_1_1__2_MethaneFromManureProduction(G$133,I173,_xlfn.XLOOKUP($E237,$D$228:$D$232,$E$228:$E$232),$I$221,$I$222)</f>
        <v>2.0939609577804406E-3</v>
      </c>
      <c r="J237" s="55" cm="1">
        <f t="array" ref="J237">MMS_Dairy_Methane_Equations.VEERG_4_3_1_1__2_MethaneFromManureProduction(H$133,J173,_xlfn.XLOOKUP($E237,$D$228:$D$232,$E$228:$E$232),$I$221,$I$222)</f>
        <v>1.2559439850690533E-3</v>
      </c>
      <c r="K237" s="2" t="str">
        <f>$E$216</f>
        <v>kg CH4/head/day</v>
      </c>
      <c r="O237" s="55" t="str">
        <f>'Input - Dairy'!$D$65</f>
        <v>Pasture</v>
      </c>
      <c r="P237" s="55" t="str">
        <f>'Constants - Livestock'!$E$27</f>
        <v>Pasture range and paddock</v>
      </c>
      <c r="Q237" s="55" cm="1">
        <f t="array" ref="Q237">MMS_Dairy_Methane_Equations.VEERG_4_3_1_1__2_MethaneFromManureProduction(O$133,Q173,_xlfn.XLOOKUP($P237,$O$228:$O$232,$P$228:$P$232),$I$221,$I$222)</f>
        <v>4.3689196218983364E-3</v>
      </c>
      <c r="R237" s="55" cm="1">
        <f t="array" ref="R237">MMS_Dairy_Methane_Equations.VEERG_4_3_1_1__2_MethaneFromManureProduction(P$133,R173,_xlfn.XLOOKUP($P237,$O$228:$O$232,$P$228:$P$232),$I$221,$I$222)</f>
        <v>1.7209245840165332E-3</v>
      </c>
      <c r="S237" s="55" cm="1">
        <f t="array" ref="S237">MMS_Dairy_Methane_Equations.VEERG_4_3_1_1__2_MethaneFromManureProduction(Q$133,S173,_xlfn.XLOOKUP($P237,$O$228:$O$232,$P$228:$P$232),$I$221,$I$222)</f>
        <v>9.3323909012537774E-4</v>
      </c>
      <c r="T237" s="55" cm="1">
        <f t="array" ref="T237">MMS_Dairy_Methane_Equations.VEERG_4_3_1_1__2_MethaneFromManureProduction(R$133,T173,_xlfn.XLOOKUP($P237,$O$228:$O$232,$P$228:$P$232),$I$221,$I$222)</f>
        <v>2.0939609577804406E-3</v>
      </c>
      <c r="U237" s="55" cm="1">
        <f t="array" ref="U237">MMS_Dairy_Methane_Equations.VEERG_4_3_1_1__2_MethaneFromManureProduction(S$133,U173,_xlfn.XLOOKUP($P237,$O$228:$O$232,$P$228:$P$232),$I$221,$I$222)</f>
        <v>1.2559439850690533E-3</v>
      </c>
      <c r="V237" s="2" t="str">
        <f>$E$216</f>
        <v>kg CH4/head/day</v>
      </c>
    </row>
    <row r="238" spans="4:22" ht="20.100000000000001" customHeight="1" x14ac:dyDescent="0.25">
      <c r="D238" s="55" t="str">
        <f>'Input - Dairy'!$D$66</f>
        <v>Milking shed</v>
      </c>
      <c r="E238" s="55" t="str">
        <f>'Input - Dairy'!$D$81</f>
        <v>Anaerobic lagoon</v>
      </c>
      <c r="F238" s="55" cm="1">
        <f t="array" ref="F238">MMS_Dairy_Methane_Equations.VEERG_4_3_1_1__2_MethaneFromManureProduction(D$133,F174,_xlfn.XLOOKUP($E238,$D$228:$D$232,$E$228:$E$232),$I$221,$I$222)</f>
        <v>1.367946368504498E-2</v>
      </c>
      <c r="G238" s="55" cm="1">
        <f t="array" ref="G238">MMS_Dairy_Methane_Equations.VEERG_4_3_1_1__2_MethaneFromManureProduction(E$133,G174,_xlfn.XLOOKUP($E238,$D$228:$D$232,$E$228:$E$232),$I$221,$I$222)</f>
        <v>5.3883631169955861E-3</v>
      </c>
      <c r="H238" s="55" cm="1">
        <f t="array" ref="H238">MMS_Dairy_Methane_Equations.VEERG_4_3_1_1__2_MethaneFromManureProduction(F$133,H174,_xlfn.XLOOKUP($E238,$D$228:$D$232,$E$228:$E$232),$I$221,$I$222)</f>
        <v>2.922051982564853E-3</v>
      </c>
      <c r="I238" s="55" cm="1">
        <f t="array" ref="I238">MMS_Dairy_Methane_Equations.VEERG_4_3_1_1__2_MethaneFromManureProduction(G$133,I174,_xlfn.XLOOKUP($E238,$D$228:$D$232,$E$228:$E$232),$I$221,$I$222)</f>
        <v>6.556372137469845E-3</v>
      </c>
      <c r="J238" s="55" cm="1">
        <f t="array" ref="J238">MMS_Dairy_Methane_Equations.VEERG_4_3_1_1__2_MethaneFromManureProduction(H$133,J174,_xlfn.XLOOKUP($E238,$D$228:$D$232,$E$228:$E$232),$I$221,$I$222)</f>
        <v>3.9324688071825046E-3</v>
      </c>
      <c r="O238" s="55" t="str">
        <f>'Input - Dairy'!$D$66</f>
        <v>Milking shed</v>
      </c>
      <c r="P238" s="55" t="str">
        <f>'Input - Dairy'!$D$81</f>
        <v>Anaerobic lagoon</v>
      </c>
      <c r="Q238" s="55" cm="1">
        <f t="array" ref="Q238">MMS_Dairy_Methane_Equations.VEERG_4_3_1_1__2_MethaneFromManureProduction(O$133,Q174,_xlfn.XLOOKUP($P238,$O$228:$O$232,$P$228:$P$232),$I$221,$I$222)</f>
        <v>1.3859456628269253E-2</v>
      </c>
      <c r="R238" s="55" cm="1">
        <f t="array" ref="R238">MMS_Dairy_Methane_Equations.VEERG_4_3_1_1__2_MethaneFromManureProduction(P$133,R174,_xlfn.XLOOKUP($P238,$O$228:$O$232,$P$228:$P$232),$I$221,$I$222)</f>
        <v>5.4592626316928971E-3</v>
      </c>
      <c r="S238" s="55" cm="1">
        <f t="array" ref="S238">MMS_Dairy_Methane_Equations.VEERG_4_3_1_1__2_MethaneFromManureProduction(Q$133,S174,_xlfn.XLOOKUP($P238,$O$228:$O$232,$P$228:$P$232),$I$221,$I$222)</f>
        <v>2.9605000349670215E-3</v>
      </c>
      <c r="T238" s="55" cm="1">
        <f t="array" ref="T238">MMS_Dairy_Methane_Equations.VEERG_4_3_1_1__2_MethaneFromManureProduction(R$133,T174,_xlfn.XLOOKUP($P238,$O$228:$O$232,$P$228:$P$232),$I$221,$I$222)</f>
        <v>6.6426401919102386E-3</v>
      </c>
      <c r="U238" s="55" cm="1">
        <f t="array" ref="U238">MMS_Dairy_Methane_Equations.VEERG_4_3_1_1__2_MethaneFromManureProduction(S$133,U174,_xlfn.XLOOKUP($P238,$O$228:$O$232,$P$228:$P$232),$I$221,$I$222)</f>
        <v>3.9842118178033264E-3</v>
      </c>
    </row>
    <row r="239" spans="4:22" ht="20.100000000000001" customHeight="1" x14ac:dyDescent="0.25">
      <c r="D239" s="55" t="str">
        <f>'Input - Dairy'!$D$66</f>
        <v>Milking shed</v>
      </c>
      <c r="E239" s="55" t="str">
        <f>'Input - Dairy'!$D$86</f>
        <v>Sump and dispersal system</v>
      </c>
      <c r="F239" s="55" cm="1">
        <f t="array" ref="F239">MMS_Dairy_Methane_Equations.VEERG_4_3_1_1__2_MethaneFromManureProduction(D$133,F175,_xlfn.XLOOKUP($E239,$D$228:$D$232,$E$228:$E$232),$I$221,$I$222)</f>
        <v>8.9996471612138024E-5</v>
      </c>
      <c r="G239" s="55" cm="1">
        <f t="array" ref="G239">MMS_Dairy_Methane_Equations.VEERG_4_3_1_1__2_MethaneFromManureProduction(E$133,G175,_xlfn.XLOOKUP($E239,$D$228:$D$232,$E$228:$E$232),$I$221,$I$222)</f>
        <v>3.5449757348655176E-5</v>
      </c>
      <c r="H239" s="55" cm="1">
        <f t="array" ref="H239">MMS_Dairy_Methane_Equations.VEERG_4_3_1_1__2_MethaneFromManureProduction(F$133,H175,_xlfn.XLOOKUP($E239,$D$228:$D$232,$E$228:$E$232),$I$221,$I$222)</f>
        <v>1.9224026201084556E-5</v>
      </c>
      <c r="I239" s="55" cm="1">
        <f t="array" ref="I239">MMS_Dairy_Methane_Equations.VEERG_4_3_1_1__2_MethaneFromManureProduction(G$133,I175,_xlfn.XLOOKUP($E239,$D$228:$D$232,$E$228:$E$232),$I$221,$I$222)</f>
        <v>4.313402722019635E-5</v>
      </c>
      <c r="J239" s="55" cm="1">
        <f t="array" ref="J239">MMS_Dairy_Methane_Equations.VEERG_4_3_1_1__2_MethaneFromManureProduction(H$133,J175,_xlfn.XLOOKUP($E239,$D$228:$D$232,$E$228:$E$232),$I$221,$I$222)</f>
        <v>2.587150531041121E-5</v>
      </c>
      <c r="K239" s="2"/>
      <c r="O239" s="55" t="str">
        <f>'Input - Dairy'!$D$66</f>
        <v>Milking shed</v>
      </c>
      <c r="P239" s="55" t="str">
        <f>'Input - Dairy'!$D$86</f>
        <v>Sump and dispersal system</v>
      </c>
      <c r="Q239" s="55" cm="1">
        <f t="array" ref="Q239">MMS_Dairy_Methane_Equations.VEERG_4_3_1_1__2_MethaneFromManureProduction(O$133,Q175,_xlfn.XLOOKUP($P239,$O$228:$O$232,$P$228:$P$232),$I$221,$I$222)</f>
        <v>8.9996471612138024E-5</v>
      </c>
      <c r="R239" s="55" cm="1">
        <f t="array" ref="R239">MMS_Dairy_Methane_Equations.VEERG_4_3_1_1__2_MethaneFromManureProduction(P$133,R175,_xlfn.XLOOKUP($P239,$O$228:$O$232,$P$228:$P$232),$I$221,$I$222)</f>
        <v>3.5449757348655176E-5</v>
      </c>
      <c r="S239" s="55" cm="1">
        <f t="array" ref="S239">MMS_Dairy_Methane_Equations.VEERG_4_3_1_1__2_MethaneFromManureProduction(Q$133,S175,_xlfn.XLOOKUP($P239,$O$228:$O$232,$P$228:$P$232),$I$221,$I$222)</f>
        <v>1.9224026201084556E-5</v>
      </c>
      <c r="T239" s="55" cm="1">
        <f t="array" ref="T239">MMS_Dairy_Methane_Equations.VEERG_4_3_1_1__2_MethaneFromManureProduction(R$133,T175,_xlfn.XLOOKUP($P239,$O$228:$O$232,$P$228:$P$232),$I$221,$I$222)</f>
        <v>4.313402722019635E-5</v>
      </c>
      <c r="U239" s="55" cm="1">
        <f t="array" ref="U239">MMS_Dairy_Methane_Equations.VEERG_4_3_1_1__2_MethaneFromManureProduction(S$133,U175,_xlfn.XLOOKUP($P239,$O$228:$O$232,$P$228:$P$232),$I$221,$I$222)</f>
        <v>2.587150531041121E-5</v>
      </c>
      <c r="V239" s="2"/>
    </row>
    <row r="240" spans="4:22" ht="20.100000000000001" customHeight="1" x14ac:dyDescent="0.25">
      <c r="D240" s="55" t="str">
        <f>'Input - Dairy'!$D$66</f>
        <v>Milking shed</v>
      </c>
      <c r="E240" s="55" t="str">
        <f>'Input - Dairy'!$D$91</f>
        <v>Drains to paddock</v>
      </c>
      <c r="F240" s="55" cm="1">
        <f t="array" ref="F240">MMS_Dairy_Methane_Equations.VEERG_4_3_1_1__2_MethaneFromManureProduction(D$133,F176,_xlfn.XLOOKUP($E240,$D$228:$D$232,$E$228:$E$232),$I$221,$I$222)</f>
        <v>3.2398729780369687E-3</v>
      </c>
      <c r="G240" s="55" cm="1">
        <f t="array" ref="G240">MMS_Dairy_Methane_Equations.VEERG_4_3_1_1__2_MethaneFromManureProduction(E$133,G176,_xlfn.XLOOKUP($E240,$D$228:$D$232,$E$228:$E$232),$I$221,$I$222)</f>
        <v>1.2761912645515865E-3</v>
      </c>
      <c r="H240" s="55" cm="1">
        <f t="array" ref="H240">MMS_Dairy_Methane_Equations.VEERG_4_3_1_1__2_MethaneFromManureProduction(F$133,H176,_xlfn.XLOOKUP($E240,$D$228:$D$232,$E$228:$E$232),$I$221,$I$222)</f>
        <v>6.9206494323904399E-4</v>
      </c>
      <c r="I240" s="55" cm="1">
        <f t="array" ref="I240">MMS_Dairy_Methane_Equations.VEERG_4_3_1_1__2_MethaneFromManureProduction(G$133,I176,_xlfn.XLOOKUP($E240,$D$228:$D$232,$E$228:$E$232),$I$221,$I$222)</f>
        <v>1.5528249799270685E-3</v>
      </c>
      <c r="J240" s="55" cm="1">
        <f t="array" ref="J240">MMS_Dairy_Methane_Equations.VEERG_4_3_1_1__2_MethaneFromManureProduction(H$133,J176,_xlfn.XLOOKUP($E240,$D$228:$D$232,$E$228:$E$232),$I$221,$I$222)</f>
        <v>9.3137419117480342E-4</v>
      </c>
      <c r="K240" s="2"/>
      <c r="O240" s="55" t="str">
        <f>'Input - Dairy'!$D$66</f>
        <v>Milking shed</v>
      </c>
      <c r="P240" s="55" t="str">
        <f>'Input - Dairy'!$D$91</f>
        <v>Drains to paddock</v>
      </c>
      <c r="Q240" s="55" cm="1">
        <f t="array" ref="Q240">MMS_Dairy_Methane_Equations.VEERG_4_3_1_1__2_MethaneFromManureProduction(O$133,Q176,_xlfn.XLOOKUP($P240,$O$228:$O$232,$P$228:$P$232),$I$221,$I$222)</f>
        <v>3.9598447509340724E-3</v>
      </c>
      <c r="R240" s="55" cm="1">
        <f t="array" ref="R240">MMS_Dairy_Methane_Equations.VEERG_4_3_1_1__2_MethaneFromManureProduction(P$133,R176,_xlfn.XLOOKUP($P240,$O$228:$O$232,$P$228:$P$232),$I$221,$I$222)</f>
        <v>1.5597893233408276E-3</v>
      </c>
      <c r="S240" s="55" cm="1">
        <f t="array" ref="S240">MMS_Dairy_Methane_Equations.VEERG_4_3_1_1__2_MethaneFromManureProduction(Q$133,S176,_xlfn.XLOOKUP($P240,$O$228:$O$232,$P$228:$P$232),$I$221,$I$222)</f>
        <v>8.4585715284772047E-4</v>
      </c>
      <c r="T240" s="55" cm="1">
        <f t="array" ref="T240">MMS_Dairy_Methane_Equations.VEERG_4_3_1_1__2_MethaneFromManureProduction(R$133,T176,_xlfn.XLOOKUP($P240,$O$228:$O$232,$P$228:$P$232),$I$221,$I$222)</f>
        <v>1.8978971976886393E-3</v>
      </c>
      <c r="U240" s="55" cm="1">
        <f t="array" ref="U240">MMS_Dairy_Methane_Equations.VEERG_4_3_1_1__2_MethaneFromManureProduction(S$133,U176,_xlfn.XLOOKUP($P240,$O$228:$O$232,$P$228:$P$232),$I$221,$I$222)</f>
        <v>1.1383462336580932E-3</v>
      </c>
      <c r="V240" s="2"/>
    </row>
    <row r="241" spans="3:23" ht="20.100000000000001" customHeight="1" x14ac:dyDescent="0.25">
      <c r="D241" s="55" t="str">
        <f>'Input - Dairy'!$D$66</f>
        <v>Milking shed</v>
      </c>
      <c r="E241" s="55" t="s">
        <v>412</v>
      </c>
      <c r="F241" s="55" cm="1">
        <f t="array" ref="F241">MMS_Dairy_Methane_Equations.VEERG_4_3_1_1__2_MethaneFromManureProduction(D$133,F205,_xlfn.XLOOKUP($E241,$D$228:$D$232,$E$228:$E$232),$I$221,$I$222)</f>
        <v>7.1997177289710409E-4</v>
      </c>
      <c r="G241" s="55" cm="1">
        <f t="array" ref="G241">MMS_Dairy_Methane_Equations.VEERG_4_3_1_1__2_MethaneFromManureProduction(E$133,G205,_xlfn.XLOOKUP($E241,$D$228:$D$232,$E$228:$E$232),$I$221,$I$222)</f>
        <v>2.8359805878924141E-4</v>
      </c>
      <c r="H241" s="55" cm="1">
        <f t="array" ref="H241">MMS_Dairy_Methane_Equations.VEERG_4_3_1_1__2_MethaneFromManureProduction(F$133,H205,_xlfn.XLOOKUP($E241,$D$228:$D$232,$E$228:$E$232),$I$221,$I$222)</f>
        <v>1.5379220960867642E-4</v>
      </c>
      <c r="I241" s="55" cm="1">
        <f t="array" ref="I241">MMS_Dairy_Methane_Equations.VEERG_4_3_1_1__2_MethaneFromManureProduction(G$133,I205,_xlfn.XLOOKUP($E241,$D$228:$D$232,$E$228:$E$232),$I$221,$I$222)</f>
        <v>3.4507221776157069E-4</v>
      </c>
      <c r="J241" s="55" cm="1">
        <f t="array" ref="J241">MMS_Dairy_Methane_Equations.VEERG_4_3_1_1__2_MethaneFromManureProduction(H$133,J205,_xlfn.XLOOKUP($E241,$D$228:$D$232,$E$228:$E$232),$I$221,$I$222)</f>
        <v>2.0697204248328968E-4</v>
      </c>
      <c r="K241" s="2"/>
      <c r="O241" s="55" t="str">
        <f>'Input - Dairy'!$D$66</f>
        <v>Milking shed</v>
      </c>
      <c r="P241" s="55" t="s">
        <v>412</v>
      </c>
      <c r="Q241" s="55" cm="1">
        <f t="array" ref="Q241">MMS_Dairy_Methane_Equations.VEERG_4_3_1_1__2_MethaneFromManureProduction(O$133,Q205,_xlfn.XLOOKUP($P241,$O$228:$O$232,$P$228:$P$232),$I$221,$I$222)</f>
        <v>7.1997177289710409E-4</v>
      </c>
      <c r="R241" s="55" cm="1">
        <f t="array" ref="R241">MMS_Dairy_Methane_Equations.VEERG_4_3_1_1__2_MethaneFromManureProduction(P$133,R205,_xlfn.XLOOKUP($P241,$O$228:$O$232,$P$228:$P$232),$I$221,$I$222)</f>
        <v>2.8359805878924141E-4</v>
      </c>
      <c r="S241" s="55" cm="1">
        <f t="array" ref="S241">MMS_Dairy_Methane_Equations.VEERG_4_3_1_1__2_MethaneFromManureProduction(Q$133,S205,_xlfn.XLOOKUP($P241,$O$228:$O$232,$P$228:$P$232),$I$221,$I$222)</f>
        <v>1.5379220960867642E-4</v>
      </c>
      <c r="T241" s="55" cm="1">
        <f t="array" ref="T241">MMS_Dairy_Methane_Equations.VEERG_4_3_1_1__2_MethaneFromManureProduction(R$133,T205,_xlfn.XLOOKUP($P241,$O$228:$O$232,$P$228:$P$232),$I$221,$I$222)</f>
        <v>3.4507221776157069E-4</v>
      </c>
      <c r="U241" s="55" cm="1">
        <f t="array" ref="U241">MMS_Dairy_Methane_Equations.VEERG_4_3_1_1__2_MethaneFromManureProduction(S$133,U205,_xlfn.XLOOKUP($P241,$O$228:$O$232,$P$228:$P$232),$I$221,$I$222)</f>
        <v>2.0697204248328968E-4</v>
      </c>
      <c r="V241" s="2"/>
    </row>
    <row r="242" spans="3:23" ht="20.100000000000001" customHeight="1" x14ac:dyDescent="0.25">
      <c r="D242" s="55" t="str">
        <f>'Input - Dairy'!$D$67</f>
        <v>Feed pad</v>
      </c>
      <c r="E242" s="55" t="str">
        <f>'Input - Dairy'!$D$105</f>
        <v>Anaerobic lagoon</v>
      </c>
      <c r="F242" s="55" cm="1">
        <f t="array" ref="F242">MMS_Dairy_Methane_Equations.VEERG_4_3_1_1__2_MethaneFromManureProduction(D$133,F177,_xlfn.XLOOKUP($E242,$D$228:$D$232,$E$228:$E$232),$I$221,$I$222)</f>
        <v>5.5339648544045585E-2</v>
      </c>
      <c r="G242" s="55" cm="1">
        <f t="array" ref="G242">MMS_Dairy_Methane_Equations.VEERG_4_3_1_1__2_MethaneFromManureProduction(E$133,G177,_xlfn.XLOOKUP($E242,$D$228:$D$232,$E$228:$E$232),$I$221,$I$222)</f>
        <v>2.1798378064209416E-2</v>
      </c>
      <c r="H242" s="55" cm="1">
        <f t="array" ref="H242">MMS_Dairy_Methane_Equations.VEERG_4_3_1_1__2_MethaneFromManureProduction(F$133,H177,_xlfn.XLOOKUP($E242,$D$228:$D$232,$E$228:$E$232),$I$221,$I$222)</f>
        <v>1.1821028474921448E-2</v>
      </c>
      <c r="I242" s="55" cm="1">
        <f t="array" ref="I242">MMS_Dairy_Methane_Equations.VEERG_4_3_1_1__2_MethaneFromManureProduction(G$133,I177,_xlfn.XLOOKUP($E242,$D$228:$D$232,$E$228:$E$232),$I$221,$I$222)</f>
        <v>2.6523505465218911E-2</v>
      </c>
      <c r="J242" s="55" cm="1">
        <f t="array" ref="J242">MMS_Dairy_Methane_Equations.VEERG_4_3_1_1__2_MethaneFromManureProduction(H$133,J177,_xlfn.XLOOKUP($E242,$D$228:$D$232,$E$228:$E$232),$I$221,$I$222)</f>
        <v>1.5908623810874673E-2</v>
      </c>
      <c r="K242" s="2"/>
      <c r="O242" s="55" t="str">
        <f>'Input - Dairy'!$D$67</f>
        <v>Feed pad</v>
      </c>
      <c r="P242" s="55" t="str">
        <f>'Input - Dairy'!$D$105</f>
        <v>Anaerobic lagoon</v>
      </c>
      <c r="Q242" s="55" cm="1">
        <f t="array" ref="Q242">MMS_Dairy_Methane_Equations.VEERG_4_3_1_1__2_MethaneFromManureProduction(O$133,Q177,_xlfn.XLOOKUP($P242,$O$228:$O$232,$P$228:$P$232),$I$221,$I$222)</f>
        <v>5.6067801814361974E-2</v>
      </c>
      <c r="R242" s="55" cm="1">
        <f t="array" ref="R242">MMS_Dairy_Methane_Equations.VEERG_4_3_1_1__2_MethaneFromManureProduction(P$133,R177,_xlfn.XLOOKUP($P242,$O$228:$O$232,$P$228:$P$232),$I$221,$I$222)</f>
        <v>2.2085198828212176E-2</v>
      </c>
      <c r="S242" s="55" cm="1">
        <f t="array" ref="S242">MMS_Dairy_Methane_Equations.VEERG_4_3_1_1__2_MethaneFromManureProduction(Q$133,S177,_xlfn.XLOOKUP($P242,$O$228:$O$232,$P$228:$P$232),$I$221,$I$222)</f>
        <v>1.197656832327568E-2</v>
      </c>
      <c r="T242" s="55" cm="1">
        <f t="array" ref="T242">MMS_Dairy_Methane_Equations.VEERG_4_3_1_1__2_MethaneFromManureProduction(R$133,T177,_xlfn.XLOOKUP($P242,$O$228:$O$232,$P$228:$P$232),$I$221,$I$222)</f>
        <v>2.687249895818232E-2</v>
      </c>
      <c r="U242" s="55" cm="1">
        <f t="array" ref="U242">MMS_Dairy_Methane_Equations.VEERG_4_3_1_1__2_MethaneFromManureProduction(S$133,U177,_xlfn.XLOOKUP($P242,$O$228:$O$232,$P$228:$P$232),$I$221,$I$222)</f>
        <v>1.6117947808386185E-2</v>
      </c>
      <c r="V242" s="2"/>
    </row>
    <row r="243" spans="3:23" ht="20.100000000000001" customHeight="1" x14ac:dyDescent="0.25">
      <c r="D243" s="55" t="str">
        <f>'Input - Dairy'!$D$67</f>
        <v>Feed pad</v>
      </c>
      <c r="E243" s="55" t="str">
        <f>'Input - Dairy'!$D$110</f>
        <v>Sump and dispersal system</v>
      </c>
      <c r="F243" s="55" cm="1">
        <f t="array" ref="F243">MMS_Dairy_Methane_Equations.VEERG_4_3_1_1__2_MethaneFromManureProduction(D$133,F178,_xlfn.XLOOKUP($E243,$D$228:$D$232,$E$228:$E$232),$I$221,$I$222)</f>
        <v>2.9126130812655575E-4</v>
      </c>
      <c r="G243" s="55" cm="1">
        <f t="array" ref="G243">MMS_Dairy_Methane_Equations.VEERG_4_3_1_1__2_MethaneFromManureProduction(E$133,G178,_xlfn.XLOOKUP($E243,$D$228:$D$232,$E$228:$E$232),$I$221,$I$222)</f>
        <v>1.1472830560110218E-4</v>
      </c>
      <c r="H243" s="55" cm="1">
        <f t="array" ref="H243">MMS_Dairy_Methane_Equations.VEERG_4_3_1_1__2_MethaneFromManureProduction(F$133,H178,_xlfn.XLOOKUP($E243,$D$228:$D$232,$E$228:$E$232),$I$221,$I$222)</f>
        <v>6.2215939341691832E-5</v>
      </c>
      <c r="I243" s="55" cm="1">
        <f t="array" ref="I243">MMS_Dairy_Methane_Equations.VEERG_4_3_1_1__2_MethaneFromManureProduction(G$133,I178,_xlfn.XLOOKUP($E243,$D$228:$D$232,$E$228:$E$232),$I$221,$I$222)</f>
        <v>1.3959739718536268E-4</v>
      </c>
      <c r="J243" s="55" cm="1">
        <f t="array" ref="J243">MMS_Dairy_Methane_Equations.VEERG_4_3_1_1__2_MethaneFromManureProduction(H$133,J178,_xlfn.XLOOKUP($E243,$D$228:$D$232,$E$228:$E$232),$I$221,$I$222)</f>
        <v>8.3729599004603552E-5</v>
      </c>
      <c r="K243" s="2"/>
      <c r="O243" s="55" t="str">
        <f>'Input - Dairy'!$D$67</f>
        <v>Feed pad</v>
      </c>
      <c r="P243" s="55" t="str">
        <f>'Input - Dairy'!$D$110</f>
        <v>Sump and dispersal system</v>
      </c>
      <c r="Q243" s="55" cm="1">
        <f t="array" ref="Q243">MMS_Dairy_Methane_Equations.VEERG_4_3_1_1__2_MethaneFromManureProduction(O$133,Q178,_xlfn.XLOOKUP($P243,$O$228:$O$232,$P$228:$P$232),$I$221,$I$222)</f>
        <v>2.9126130812655575E-4</v>
      </c>
      <c r="R243" s="55" cm="1">
        <f t="array" ref="R243">MMS_Dairy_Methane_Equations.VEERG_4_3_1_1__2_MethaneFromManureProduction(P$133,R178,_xlfn.XLOOKUP($P243,$O$228:$O$232,$P$228:$P$232),$I$221,$I$222)</f>
        <v>1.1472830560110218E-4</v>
      </c>
      <c r="S243" s="55" cm="1">
        <f t="array" ref="S243">MMS_Dairy_Methane_Equations.VEERG_4_3_1_1__2_MethaneFromManureProduction(Q$133,S178,_xlfn.XLOOKUP($P243,$O$228:$O$232,$P$228:$P$232),$I$221,$I$222)</f>
        <v>6.2215939341691832E-5</v>
      </c>
      <c r="T243" s="55" cm="1">
        <f t="array" ref="T243">MMS_Dairy_Methane_Equations.VEERG_4_3_1_1__2_MethaneFromManureProduction(R$133,T178,_xlfn.XLOOKUP($P243,$O$228:$O$232,$P$228:$P$232),$I$221,$I$222)</f>
        <v>1.3959739718536268E-4</v>
      </c>
      <c r="U243" s="55" cm="1">
        <f t="array" ref="U243">MMS_Dairy_Methane_Equations.VEERG_4_3_1_1__2_MethaneFromManureProduction(S$133,U178,_xlfn.XLOOKUP($P243,$O$228:$O$232,$P$228:$P$232),$I$221,$I$222)</f>
        <v>8.3729599004603552E-5</v>
      </c>
      <c r="V243" s="2"/>
    </row>
    <row r="244" spans="3:23" ht="20.100000000000001" customHeight="1" x14ac:dyDescent="0.25">
      <c r="D244" s="55" t="str">
        <f>'Input - Dairy'!$D$67</f>
        <v>Feed pad</v>
      </c>
      <c r="E244" s="55" t="str">
        <f>'Input - Dairy'!$D$115</f>
        <v>Drains to paddock</v>
      </c>
      <c r="F244" s="55" cm="1">
        <f t="array" ref="F244">MMS_Dairy_Methane_Equations.VEERG_4_3_1_1__2_MethaneFromManureProduction(D$133,F179,_xlfn.XLOOKUP($E244,$D$228:$D$232,$E$228:$E$232),$I$221,$I$222)</f>
        <v>1.0485407092556005E-2</v>
      </c>
      <c r="G244" s="55" cm="1">
        <f t="array" ref="G244">MMS_Dairy_Methane_Equations.VEERG_4_3_1_1__2_MethaneFromManureProduction(E$133,G179,_xlfn.XLOOKUP($E244,$D$228:$D$232,$E$228:$E$232),$I$221,$I$222)</f>
        <v>4.1302190016396789E-3</v>
      </c>
      <c r="H244" s="55" cm="1">
        <f t="array" ref="H244">MMS_Dairy_Methane_Equations.VEERG_4_3_1_1__2_MethaneFromManureProduction(F$133,H179,_xlfn.XLOOKUP($E244,$D$228:$D$232,$E$228:$E$232),$I$221,$I$222)</f>
        <v>2.2397738163009058E-3</v>
      </c>
      <c r="I244" s="55" cm="1">
        <f t="array" ref="I244">MMS_Dairy_Methane_Equations.VEERG_4_3_1_1__2_MethaneFromManureProduction(G$133,I179,_xlfn.XLOOKUP($E244,$D$228:$D$232,$E$228:$E$232),$I$221,$I$222)</f>
        <v>5.0255062986730567E-3</v>
      </c>
      <c r="J244" s="55" cm="1">
        <f t="array" ref="J244">MMS_Dairy_Methane_Equations.VEERG_4_3_1_1__2_MethaneFromManureProduction(H$133,J179,_xlfn.XLOOKUP($E244,$D$228:$D$232,$E$228:$E$232),$I$221,$I$222)</f>
        <v>3.0142655641657275E-3</v>
      </c>
      <c r="K244" s="2"/>
      <c r="O244" s="55" t="str">
        <f>'Input - Dairy'!$D$67</f>
        <v>Feed pad</v>
      </c>
      <c r="P244" s="55" t="str">
        <f>'Input - Dairy'!$D$115</f>
        <v>Drains to paddock</v>
      </c>
      <c r="Q244" s="55" cm="1">
        <f t="array" ref="Q244">MMS_Dairy_Methane_Equations.VEERG_4_3_1_1__2_MethaneFromManureProduction(O$133,Q179,_xlfn.XLOOKUP($P244,$O$228:$O$232,$P$228:$P$232),$I$221,$I$222)</f>
        <v>1.2815497557568452E-2</v>
      </c>
      <c r="R244" s="55" cm="1">
        <f t="array" ref="R244">MMS_Dairy_Methane_Equations.VEERG_4_3_1_1__2_MethaneFromManureProduction(P$133,R179,_xlfn.XLOOKUP($P244,$O$228:$O$232,$P$228:$P$232),$I$221,$I$222)</f>
        <v>5.0480454464484964E-3</v>
      </c>
      <c r="S244" s="55" cm="1">
        <f t="array" ref="S244">MMS_Dairy_Methane_Equations.VEERG_4_3_1_1__2_MethaneFromManureProduction(Q$133,S179,_xlfn.XLOOKUP($P244,$O$228:$O$232,$P$228:$P$232),$I$221,$I$222)</f>
        <v>2.7375013310344406E-3</v>
      </c>
      <c r="T244" s="55" cm="1">
        <f t="array" ref="T244">MMS_Dairy_Methane_Equations.VEERG_4_3_1_1__2_MethaneFromManureProduction(R$133,T179,_xlfn.XLOOKUP($P244,$O$228:$O$232,$P$228:$P$232),$I$221,$I$222)</f>
        <v>6.1422854761559592E-3</v>
      </c>
      <c r="U244" s="55" cm="1">
        <f t="array" ref="U244">MMS_Dairy_Methane_Equations.VEERG_4_3_1_1__2_MethaneFromManureProduction(S$133,U179,_xlfn.XLOOKUP($P244,$O$228:$O$232,$P$228:$P$232),$I$221,$I$222)</f>
        <v>3.684102356202556E-3</v>
      </c>
      <c r="V244" s="2"/>
    </row>
    <row r="245" spans="3:23" ht="20.100000000000001" customHeight="1" x14ac:dyDescent="0.25">
      <c r="D245" s="55" t="str">
        <f>'Input - Dairy'!$D$67</f>
        <v>Feed pad</v>
      </c>
      <c r="E245" s="55" t="s">
        <v>412</v>
      </c>
      <c r="F245" s="55" cm="1">
        <f t="array" ref="F245">MMS_Dairy_Methane_Equations.VEERG_4_3_1_1__2_MethaneFromManureProduction(D$133,F206,_xlfn.XLOOKUP($E245,$D$228:$D$232,$E$228:$E$232),$I$221,$I$222)</f>
        <v>2.0388291568858899E-3</v>
      </c>
      <c r="G245" s="55" cm="1">
        <f t="array" ref="G245">MMS_Dairy_Methane_Equations.VEERG_4_3_1_1__2_MethaneFromManureProduction(E$133,G206,_xlfn.XLOOKUP($E245,$D$228:$D$232,$E$228:$E$232),$I$221,$I$222)</f>
        <v>8.0309813920771526E-4</v>
      </c>
      <c r="H245" s="55" cm="1">
        <f t="array" ref="H245">MMS_Dairy_Methane_Equations.VEERG_4_3_1_1__2_MethaneFromManureProduction(F$133,H206,_xlfn.XLOOKUP($E245,$D$228:$D$232,$E$228:$E$232),$I$221,$I$222)</f>
        <v>4.3551157539184287E-4</v>
      </c>
      <c r="I245" s="55" cm="1">
        <f t="array" ref="I245">MMS_Dairy_Methane_Equations.VEERG_4_3_1_1__2_MethaneFromManureProduction(G$133,I206,_xlfn.XLOOKUP($E245,$D$228:$D$232,$E$228:$E$232),$I$221,$I$222)</f>
        <v>9.7718178029753897E-4</v>
      </c>
      <c r="J245" s="55" cm="1">
        <f t="array" ref="J245">MMS_Dairy_Methane_Equations.VEERG_4_3_1_1__2_MethaneFromManureProduction(H$133,J206,_xlfn.XLOOKUP($E245,$D$228:$D$232,$E$228:$E$232),$I$221,$I$222)</f>
        <v>5.8610719303222485E-4</v>
      </c>
      <c r="K245" s="2"/>
      <c r="O245" s="55" t="str">
        <f>'Input - Dairy'!$D$67</f>
        <v>Feed pad</v>
      </c>
      <c r="P245" s="55" t="s">
        <v>412</v>
      </c>
      <c r="Q245" s="55" cm="1">
        <f t="array" ref="Q245">MMS_Dairy_Methane_Equations.VEERG_4_3_1_1__2_MethaneFromManureProduction(O$133,Q206,_xlfn.XLOOKUP($P245,$O$228:$O$232,$P$228:$P$232),$I$221,$I$222)</f>
        <v>2.0388291568858899E-3</v>
      </c>
      <c r="R245" s="55" cm="1">
        <f t="array" ref="R245">MMS_Dairy_Methane_Equations.VEERG_4_3_1_1__2_MethaneFromManureProduction(P$133,R206,_xlfn.XLOOKUP($P245,$O$228:$O$232,$P$228:$P$232),$I$221,$I$222)</f>
        <v>8.0309813920771526E-4</v>
      </c>
      <c r="S245" s="55" cm="1">
        <f t="array" ref="S245">MMS_Dairy_Methane_Equations.VEERG_4_3_1_1__2_MethaneFromManureProduction(Q$133,S206,_xlfn.XLOOKUP($P245,$O$228:$O$232,$P$228:$P$232),$I$221,$I$222)</f>
        <v>4.3551157539184287E-4</v>
      </c>
      <c r="T245" s="55" cm="1">
        <f t="array" ref="T245">MMS_Dairy_Methane_Equations.VEERG_4_3_1_1__2_MethaneFromManureProduction(R$133,T206,_xlfn.XLOOKUP($P245,$O$228:$O$232,$P$228:$P$232),$I$221,$I$222)</f>
        <v>9.7718178029753897E-4</v>
      </c>
      <c r="U245" s="55" cm="1">
        <f t="array" ref="U245">MMS_Dairy_Methane_Equations.VEERG_4_3_1_1__2_MethaneFromManureProduction(S$133,U206,_xlfn.XLOOKUP($P245,$O$228:$O$232,$P$228:$P$232),$I$221,$I$222)</f>
        <v>5.8610719303222485E-4</v>
      </c>
      <c r="V245" s="2"/>
    </row>
    <row r="246" spans="3:23" ht="20.100000000000001" customHeight="1" x14ac:dyDescent="0.25"/>
    <row r="247" spans="3:23" ht="20.100000000000001" customHeight="1" x14ac:dyDescent="0.25"/>
    <row r="248" spans="3:23" ht="20.100000000000001" customHeight="1" x14ac:dyDescent="0.25">
      <c r="C248" s="48"/>
      <c r="D248" s="48"/>
      <c r="E248" s="48"/>
      <c r="F248" s="48"/>
      <c r="G248" s="48"/>
      <c r="H248" s="48"/>
      <c r="I248" s="48"/>
      <c r="J248" s="48"/>
      <c r="K248" s="48"/>
      <c r="L248" s="48"/>
      <c r="N248" s="48"/>
      <c r="O248" s="48"/>
      <c r="P248" s="48"/>
      <c r="Q248" s="48"/>
      <c r="R248" s="48"/>
      <c r="S248" s="48"/>
      <c r="T248" s="48"/>
      <c r="U248" s="48"/>
      <c r="V248" s="48"/>
      <c r="W248" s="48"/>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8"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28</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6" t="s">
        <v>31</v>
      </c>
      <c r="E255" s="1" t="str" cm="1">
        <f t="array" ref="E255">MMS_Dairy_Methane_Equations.VEERG_4_3_1_1__1_TotalAnnualMethaneFromManureManagement_Variable()</f>
        <v>E_CH4</v>
      </c>
    </row>
    <row r="256" spans="3:23" ht="20.100000000000001" customHeight="1" x14ac:dyDescent="0.25">
      <c r="D256" s="56" t="s">
        <v>21</v>
      </c>
      <c r="E256" s="57"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7" t="str" cm="1">
        <f t="array" ref="D258:E265">_xlfn.CHOOSECOLS(MMS_Dairy_Methane_Equations.VEERG_4_3_1_1__1_TotalAnnualMethaneFromManureManagement_Arguments(),1,2)</f>
        <v>N_j124</v>
      </c>
      <c r="E258" s="136" t="str">
        <v>number of dairy cattle in classes j=1,2,4</v>
      </c>
      <c r="F258" s="142"/>
      <c r="G258" s="138"/>
      <c r="H258" s="137" t="str" cm="1">
        <f t="array" ref="H258:I265">_xlfn.CHOOSECOLS(MMS_Dairy_Methane_Equations.VEERG_4_3_1_1__1_TotalAnnualMethaneFromManureManagement_Arguments(),3,4)</f>
        <v>head</v>
      </c>
      <c r="I258" s="135" t="str">
        <v>Input</v>
      </c>
      <c r="J258" s="134" t="str" cm="1">
        <f t="array" aca="1" ref="J258" ca="1">HYPERLINK(Common_InputFunctions.Utility_SourceHyperlink($D$267),$D$267)</f>
        <v>Table_N_j</v>
      </c>
    </row>
    <row r="259" spans="4:15" ht="20.100000000000001" customHeight="1" x14ac:dyDescent="0.25">
      <c r="D259" s="137" t="str">
        <v>M_j124m</v>
      </c>
      <c r="E259" s="136" t="str">
        <v>methane production from manure of weaned dairy cattle in classes j=1,2,4 in MMS m</v>
      </c>
      <c r="F259" s="142"/>
      <c r="G259" s="138"/>
      <c r="H259" s="137" t="str">
        <v>kg CH4/head/day</v>
      </c>
      <c r="I259" s="133" t="str">
        <v>Calculated from 4.3.1.1 (2)</v>
      </c>
      <c r="J259" s="134" t="str" cm="1">
        <f t="array" aca="1" ref="J259" ca="1">HYPERLINK(Common_InputFunctions.Utility_SourceHyperlink($D$234),$D$234)</f>
        <v>M1_M_j_m</v>
      </c>
    </row>
    <row r="260" spans="4:15" ht="20.100000000000001" customHeight="1" x14ac:dyDescent="0.25">
      <c r="D260" s="137" t="str">
        <v>D_j124</v>
      </c>
      <c r="E260" s="136" t="str">
        <v>duration of stay on farm for classes j=1,2,4</v>
      </c>
      <c r="F260" s="142"/>
      <c r="G260" s="138"/>
      <c r="H260" s="137" t="str">
        <v>days</v>
      </c>
      <c r="I260" s="135" t="str">
        <v>Input</v>
      </c>
      <c r="J260" s="134" t="str" cm="1">
        <f t="array" aca="1" ref="J260" ca="1">HYPERLINK(Common_InputFunctions.Utility_SourceHyperlink($D$272),$D$272)</f>
        <v>M1_Table_D_j</v>
      </c>
    </row>
    <row r="261" spans="4:15" ht="20.100000000000001" customHeight="1" x14ac:dyDescent="0.25">
      <c r="D261" s="137" t="str">
        <v>N_j35</v>
      </c>
      <c r="E261" s="136" t="str">
        <v>number of dairy cattle in classes j=3,5</v>
      </c>
      <c r="F261" s="142"/>
      <c r="G261" s="138"/>
      <c r="H261" s="137" t="str">
        <v>head</v>
      </c>
      <c r="I261" s="135" t="str">
        <v>Input</v>
      </c>
      <c r="J261" s="134" t="str" cm="1">
        <f t="array" aca="1" ref="J261" ca="1">HYPERLINK(Common_InputFunctions.Utility_SourceHyperlink($D$267),$D$267)</f>
        <v>Table_N_j</v>
      </c>
    </row>
    <row r="262" spans="4:15" ht="20.100000000000001" customHeight="1" x14ac:dyDescent="0.25">
      <c r="D262" s="137" t="str">
        <v>M_j35m</v>
      </c>
      <c r="E262" s="136" t="str">
        <v>methane production from manure of weaned dairy cattle in classes j=3,5 in MMS m</v>
      </c>
      <c r="F262" s="142"/>
      <c r="G262" s="138"/>
      <c r="H262" s="137" t="str">
        <v>kg CH4/head/day</v>
      </c>
      <c r="I262" s="133" t="str">
        <v>Calculated from 4.3.1.1 (2)</v>
      </c>
      <c r="J262" s="134" t="str" cm="1">
        <f t="array" aca="1" ref="J262" ca="1">HYPERLINK(Common_InputFunctions.Utility_SourceHyperlink($D$234),$D$234)</f>
        <v>M1_M_j_m</v>
      </c>
    </row>
    <row r="263" spans="4:15" ht="20.100000000000001" customHeight="1" x14ac:dyDescent="0.25">
      <c r="D263" s="137" t="str">
        <v>D_j35</v>
      </c>
      <c r="E263" s="136" t="str">
        <v>duration of stay on farm for classes j=3,5</v>
      </c>
      <c r="F263" s="142"/>
      <c r="G263" s="138"/>
      <c r="H263" s="137" t="str">
        <v>days</v>
      </c>
      <c r="I263" s="135" t="str">
        <v>Input</v>
      </c>
      <c r="J263" s="134" t="str" cm="1">
        <f t="array" aca="1" ref="J263" ca="1">HYPERLINK(Common_InputFunctions.Utility_SourceHyperlink($D$272),$D$272)</f>
        <v>M1_Table_D_j</v>
      </c>
    </row>
    <row r="264" spans="4:15" ht="20.100000000000001" customHeight="1" x14ac:dyDescent="0.25">
      <c r="D264" s="137" t="str">
        <v>MPW_manure_j35</v>
      </c>
      <c r="E264" s="136" t="str">
        <v>methane production from manure of pre-weaned heifer and bull calves</v>
      </c>
      <c r="F264" s="142"/>
      <c r="G264" s="138"/>
      <c r="H264" s="137" t="str">
        <v>kg CH4/head/day</v>
      </c>
      <c r="I264" s="133" t="str">
        <v>Constant</v>
      </c>
      <c r="J264" s="134" t="str" cm="1">
        <f t="array" aca="1" ref="J264" ca="1">HYPERLINK(Common_InputFunctions.Utility_SourceHyperlink($D$277),$D$277)</f>
        <v>Table_MPW_manure_j-3-5</v>
      </c>
    </row>
    <row r="265" spans="4:15" ht="20.100000000000001" customHeight="1" x14ac:dyDescent="0.25">
      <c r="D265" s="137" t="str">
        <v>DPW_j35</v>
      </c>
      <c r="E265" s="136" t="str">
        <v>duration of stay on farm for pre-weaned heifer and bull calves</v>
      </c>
      <c r="F265" s="142"/>
      <c r="G265" s="138"/>
      <c r="H265" s="137" t="str">
        <v>days</v>
      </c>
      <c r="I265" s="135" t="str">
        <v>Input</v>
      </c>
      <c r="J265" s="134" t="str" cm="1">
        <f t="array" aca="1" ref="J265" ca="1">HYPERLINK(Common_InputFunctions.Utility_SourceHyperlink($D$282),$D$282)</f>
        <v>M1_Table_DPW_j</v>
      </c>
    </row>
    <row r="266" spans="4:15" ht="20.100000000000001" customHeight="1" x14ac:dyDescent="0.25"/>
    <row r="267" spans="4:15" ht="20.100000000000001" customHeight="1" x14ac:dyDescent="0.25">
      <c r="D267" s="104" t="s">
        <v>109</v>
      </c>
    </row>
    <row r="268" spans="4:15" ht="20.100000000000001" customHeight="1" x14ac:dyDescent="0.25">
      <c r="D268" s="103" t="s">
        <v>268</v>
      </c>
    </row>
    <row r="269" spans="4:15" ht="20.100000000000001" customHeight="1" x14ac:dyDescent="0.25">
      <c r="D269" s="41" t="s">
        <v>175</v>
      </c>
      <c r="E269" s="41" t="s">
        <v>192</v>
      </c>
      <c r="F269" s="41" t="s">
        <v>193</v>
      </c>
      <c r="G269" s="41" t="s">
        <v>194</v>
      </c>
      <c r="H269" s="41" t="s">
        <v>195</v>
      </c>
    </row>
    <row r="270" spans="4:15" ht="20.100000000000001" customHeight="1" x14ac:dyDescent="0.25">
      <c r="D270" s="107">
        <f>'Input - Dairy'!$E$10</f>
        <v>100</v>
      </c>
      <c r="E270" s="107">
        <f>'Input - Dairy'!$F$10</f>
        <v>100</v>
      </c>
      <c r="F270" s="107">
        <f>'Input - Dairy'!$G$10</f>
        <v>100</v>
      </c>
      <c r="G270" s="107">
        <f>'Input - Dairy'!$H$10</f>
        <v>100</v>
      </c>
      <c r="H270" s="107">
        <f>'Input - Dairy'!$I$10</f>
        <v>100</v>
      </c>
      <c r="I270" s="2" t="s">
        <v>110</v>
      </c>
    </row>
    <row r="271" spans="4:15" ht="20.100000000000001" customHeight="1" x14ac:dyDescent="0.25"/>
    <row r="272" spans="4:15" x14ac:dyDescent="0.25">
      <c r="D272" s="104" t="s">
        <v>269</v>
      </c>
      <c r="O272" s="104" t="s">
        <v>279</v>
      </c>
    </row>
    <row r="273" spans="1:20" x14ac:dyDescent="0.25">
      <c r="D273" s="103" t="s">
        <v>277</v>
      </c>
      <c r="O273" s="103" t="s">
        <v>280</v>
      </c>
    </row>
    <row r="274" spans="1:20" x14ac:dyDescent="0.25">
      <c r="D274" s="41" t="s">
        <v>175</v>
      </c>
      <c r="E274" s="41" t="s">
        <v>192</v>
      </c>
      <c r="F274" s="41" t="s">
        <v>193</v>
      </c>
      <c r="G274" s="41" t="s">
        <v>194</v>
      </c>
      <c r="H274" s="41" t="s">
        <v>195</v>
      </c>
      <c r="O274" s="41" t="s">
        <v>175</v>
      </c>
      <c r="P274" s="41" t="s">
        <v>192</v>
      </c>
      <c r="Q274" s="41" t="s">
        <v>193</v>
      </c>
      <c r="R274" s="41" t="s">
        <v>194</v>
      </c>
      <c r="S274" s="41" t="s">
        <v>195</v>
      </c>
    </row>
    <row r="275" spans="1:20" x14ac:dyDescent="0.25">
      <c r="A275" s="141" t="str">
        <f>HYPERLINK("#A1", "▲ Back to top")</f>
        <v>▲ Back to top</v>
      </c>
      <c r="D275" s="55">
        <f>'Input - Dairy'!$E$24</f>
        <v>365</v>
      </c>
      <c r="E275" s="55">
        <f>'Input - Dairy'!$F$24</f>
        <v>365</v>
      </c>
      <c r="F275" s="55">
        <f>'Input - Dairy'!$G$24</f>
        <v>281</v>
      </c>
      <c r="G275" s="55">
        <f>'Input - Dairy'!$H$24</f>
        <v>365</v>
      </c>
      <c r="H275" s="55">
        <f>'Input - Dairy'!$I$24</f>
        <v>281</v>
      </c>
      <c r="I275" s="2" t="s">
        <v>56</v>
      </c>
      <c r="O275" s="55">
        <f>'Input - Dairy'!$E$28</f>
        <v>365</v>
      </c>
      <c r="P275" s="55">
        <f>'Input - Dairy'!$F$28</f>
        <v>365</v>
      </c>
      <c r="Q275" s="55">
        <f>'Input - Dairy'!$G$28</f>
        <v>281</v>
      </c>
      <c r="R275" s="55">
        <f>'Input - Dairy'!$H$28</f>
        <v>365</v>
      </c>
      <c r="S275" s="55">
        <f>'Input - Dairy'!$I$28</f>
        <v>281</v>
      </c>
      <c r="T275" s="2" t="s">
        <v>56</v>
      </c>
    </row>
    <row r="277" spans="1:20" x14ac:dyDescent="0.25">
      <c r="D277" s="104" t="s">
        <v>271</v>
      </c>
    </row>
    <row r="278" spans="1:20" x14ac:dyDescent="0.25">
      <c r="D278" s="103" t="s">
        <v>272</v>
      </c>
    </row>
    <row r="279" spans="1:20" x14ac:dyDescent="0.25">
      <c r="D279" s="54" t="s">
        <v>175</v>
      </c>
      <c r="E279" s="54" t="s">
        <v>192</v>
      </c>
      <c r="F279" s="54" t="s">
        <v>193</v>
      </c>
      <c r="G279" s="54" t="s">
        <v>194</v>
      </c>
      <c r="H279" s="54" t="s">
        <v>195</v>
      </c>
    </row>
    <row r="280" spans="1:20" x14ac:dyDescent="0.25">
      <c r="D280" s="55">
        <v>0</v>
      </c>
      <c r="E280" s="55">
        <v>0</v>
      </c>
      <c r="F280" s="55">
        <f>'Constants - Dairy'!$E$63</f>
        <v>1.7600000000000001E-2</v>
      </c>
      <c r="G280" s="55">
        <v>0</v>
      </c>
      <c r="H280" s="55">
        <f>'Constants - Dairy'!$E$64</f>
        <v>2.0400000000000001E-2</v>
      </c>
      <c r="I280" s="2" t="s">
        <v>274</v>
      </c>
    </row>
    <row r="282" spans="1:20" x14ac:dyDescent="0.25">
      <c r="D282" s="104" t="s">
        <v>270</v>
      </c>
      <c r="O282" s="104" t="s">
        <v>270</v>
      </c>
    </row>
    <row r="283" spans="1:20" x14ac:dyDescent="0.25">
      <c r="D283" s="103" t="s">
        <v>278</v>
      </c>
      <c r="O283" s="103" t="s">
        <v>278</v>
      </c>
    </row>
    <row r="284" spans="1:20" x14ac:dyDescent="0.25">
      <c r="D284" s="54" t="s">
        <v>175</v>
      </c>
      <c r="E284" s="54" t="s">
        <v>192</v>
      </c>
      <c r="F284" s="54" t="s">
        <v>193</v>
      </c>
      <c r="G284" s="54" t="s">
        <v>194</v>
      </c>
      <c r="H284" s="54" t="s">
        <v>195</v>
      </c>
      <c r="O284" s="41" t="s">
        <v>175</v>
      </c>
      <c r="P284" s="41" t="s">
        <v>192</v>
      </c>
      <c r="Q284" s="41" t="s">
        <v>193</v>
      </c>
      <c r="R284" s="41" t="s">
        <v>194</v>
      </c>
      <c r="S284" s="41" t="s">
        <v>195</v>
      </c>
    </row>
    <row r="285" spans="1:20" x14ac:dyDescent="0.25">
      <c r="D285" s="55">
        <f>'Input - Dairy'!$E$25</f>
        <v>0</v>
      </c>
      <c r="E285" s="55">
        <f>'Input - Dairy'!$F$25</f>
        <v>0</v>
      </c>
      <c r="F285" s="55">
        <f>'Input - Dairy'!$G$25</f>
        <v>84</v>
      </c>
      <c r="G285" s="55">
        <f>'Input - Dairy'!$H$25</f>
        <v>0</v>
      </c>
      <c r="H285" s="55">
        <f>'Input - Dairy'!$I$25</f>
        <v>84</v>
      </c>
      <c r="I285" s="2" t="s">
        <v>56</v>
      </c>
      <c r="O285" s="55">
        <f>'Input - Dairy'!$E$29</f>
        <v>0</v>
      </c>
      <c r="P285" s="55">
        <f>'Input - Dairy'!$F$29</f>
        <v>0</v>
      </c>
      <c r="Q285" s="55">
        <f>'Input - Dairy'!$G$29</f>
        <v>84</v>
      </c>
      <c r="R285" s="55">
        <f>'Input - Dairy'!$H$29</f>
        <v>0</v>
      </c>
      <c r="S285" s="55">
        <f>'Input - Dairy'!$I$29</f>
        <v>84</v>
      </c>
      <c r="T285" s="2" t="s">
        <v>56</v>
      </c>
    </row>
    <row r="287" spans="1:20" x14ac:dyDescent="0.25">
      <c r="D287" s="104" t="s">
        <v>273</v>
      </c>
      <c r="O287" s="104" t="s">
        <v>273</v>
      </c>
    </row>
    <row r="288" spans="1:20" x14ac:dyDescent="0.25">
      <c r="D288" s="103" t="s">
        <v>284</v>
      </c>
      <c r="O288" s="103" t="s">
        <v>458</v>
      </c>
    </row>
    <row r="289" spans="4:21" x14ac:dyDescent="0.25">
      <c r="D289" s="54" t="s">
        <v>149</v>
      </c>
      <c r="E289" s="54" t="s">
        <v>69</v>
      </c>
      <c r="F289" s="54" t="s">
        <v>175</v>
      </c>
      <c r="G289" s="54" t="s">
        <v>192</v>
      </c>
      <c r="H289" s="54" t="s">
        <v>193</v>
      </c>
      <c r="I289" s="54" t="s">
        <v>194</v>
      </c>
      <c r="J289" s="54" t="s">
        <v>195</v>
      </c>
      <c r="O289" s="54" t="s">
        <v>149</v>
      </c>
      <c r="P289" s="54" t="s">
        <v>69</v>
      </c>
      <c r="Q289" s="54" t="s">
        <v>175</v>
      </c>
      <c r="R289" s="54" t="s">
        <v>192</v>
      </c>
      <c r="S289" s="54" t="s">
        <v>193</v>
      </c>
      <c r="T289" s="54" t="s">
        <v>194</v>
      </c>
      <c r="U289" s="54" t="s">
        <v>195</v>
      </c>
    </row>
    <row r="290" spans="4:21" x14ac:dyDescent="0.25">
      <c r="D290" s="55" t="str">
        <f>'Input - Dairy'!$D$65</f>
        <v>Pasture</v>
      </c>
      <c r="E290" s="55" t="str">
        <f>'Constants - Livestock'!$E$27</f>
        <v>Pasture range and paddock</v>
      </c>
      <c r="F290" s="55" cm="1">
        <f t="array" ref="F290">MMS_Dairy_Methane_Equations.VEERG_4_3_1_1__1_TotalAnnualMethaneFromManureManagementVariation(D$270,F237,D$275,0,0,0,0,0)</f>
        <v>0.15946556619928928</v>
      </c>
      <c r="G290" s="55" cm="1">
        <f t="array" ref="G290">MMS_Dairy_Methane_Equations.VEERG_4_3_1_1__1_TotalAnnualMethaneFromManureManagementVariation(E$270,G237,E$275,0,0,0,0,0)</f>
        <v>6.2813747316603469E-2</v>
      </c>
      <c r="H290" s="55" cm="1">
        <f t="array" ref="H290">MMS_Dairy_Methane_Equations.VEERG_4_3_1_1__1_TotalAnnualMethaneFromManureManagementVariation(0,0,0,F$270,H237,F$275,F$280,F$285)</f>
        <v>0.17406401843252312</v>
      </c>
      <c r="I290" s="55" cm="1">
        <f t="array" ref="I290">MMS_Dairy_Methane_Equations.VEERG_4_3_1_1__1_TotalAnnualMethaneFromManureManagementVariation(G$270,I237,G$275,0,0,0,0,0)</f>
        <v>7.6429574958986099E-2</v>
      </c>
      <c r="J290" s="55" cm="1">
        <f t="array" ref="J290">MMS_Dairy_Methane_Equations.VEERG_4_3_1_1__1_TotalAnnualMethaneFromManureManagementVariation(0,0,0,H$270,J237,H$275,H$280,H$285)</f>
        <v>0.20665202598044041</v>
      </c>
      <c r="O290" s="55" t="str">
        <f>'Input - Dairy'!$D$65</f>
        <v>Pasture</v>
      </c>
      <c r="P290" s="55" t="str">
        <f>'Constants - Livestock'!$E$27</f>
        <v>Pasture range and paddock</v>
      </c>
      <c r="Q290" s="55" cm="1">
        <f t="array" ref="Q290">MMS_Dairy_Methane_Equations.VEERG_4_3_1_1__1_TotalAnnualMethaneFromManureManagementVariation(D$270,Q237,O$275,0,0,0,0,0)</f>
        <v>0.15946556619928928</v>
      </c>
      <c r="R290" s="55" cm="1">
        <f t="array" ref="R290">MMS_Dairy_Methane_Equations.VEERG_4_3_1_1__1_TotalAnnualMethaneFromManureManagementVariation(E$270,R237,P$275,0,0,0,0,0)</f>
        <v>6.2813747316603469E-2</v>
      </c>
      <c r="S290" s="55" cm="1">
        <f t="array" ref="S290">MMS_Dairy_Methane_Equations.VEERG_4_3_1_1__1_TotalAnnualMethaneFromManureManagementVariation(0,0,0,F$270,S237,Q$275,F$280,Q$285)</f>
        <v>0.17406401843252312</v>
      </c>
      <c r="T290" s="55" cm="1">
        <f t="array" ref="T290">MMS_Dairy_Methane_Equations.VEERG_4_3_1_1__1_TotalAnnualMethaneFromManureManagementVariation(G$270,T237,R$275,0,0,0,0,0)</f>
        <v>7.6429574958986099E-2</v>
      </c>
      <c r="U290" s="55" cm="1">
        <f t="array" ref="U290">MMS_Dairy_Methane_Equations.VEERG_4_3_1_1__1_TotalAnnualMethaneFromManureManagementVariation(0,0,0,H$270,U237,S$275,H$280,S$285)</f>
        <v>0.20665202598044041</v>
      </c>
    </row>
    <row r="291" spans="4:21" x14ac:dyDescent="0.25">
      <c r="D291" s="55" t="str">
        <f>'Input - Dairy'!$D$66</f>
        <v>Milking shed</v>
      </c>
      <c r="E291" s="55" t="str">
        <f>'Input - Dairy'!$D$81</f>
        <v>Anaerobic lagoon</v>
      </c>
      <c r="F291" s="55" cm="1">
        <f t="array" ref="F291">MMS_Dairy_Methane_Equations.VEERG_4_3_1_1__1_TotalAnnualMethaneFromManureManagementVariation(D$270,F238,D$275,0,0,0,0,0)</f>
        <v>0.49930042450414175</v>
      </c>
      <c r="G291" s="55" cm="1">
        <f t="array" ref="G291">MMS_Dairy_Methane_Equations.VEERG_4_3_1_1__1_TotalAnnualMethaneFromManureManagementVariation(E$270,G238,E$275,0,0,0,0,0)</f>
        <v>0.1966752537703389</v>
      </c>
      <c r="H291" s="55" cm="1">
        <f t="array" ref="H291">MMS_Dairy_Methane_Equations.VEERG_4_3_1_1__1_TotalAnnualMethaneFromManureManagementVariation(0,0,0,F$270,H238,F$275,F$280,F$285)</f>
        <v>0.22994966071007236</v>
      </c>
      <c r="I291" s="55" cm="1">
        <f t="array" ref="I291">MMS_Dairy_Methane_Equations.VEERG_4_3_1_1__1_TotalAnnualMethaneFromManureManagementVariation(G$270,I238,G$275,0,0,0,0,0)</f>
        <v>0.23930758301764934</v>
      </c>
      <c r="J291" s="55" cm="1">
        <f t="array" ref="J291">MMS_Dairy_Methane_Equations.VEERG_4_3_1_1__1_TotalAnnualMethaneFromManureManagementVariation(0,0,0,H$270,J238,H$275,H$280,H$285)</f>
        <v>0.28186237348182841</v>
      </c>
      <c r="O291" s="55" t="str">
        <f>'Input - Dairy'!$D$66</f>
        <v>Milking shed</v>
      </c>
      <c r="P291" s="55" t="str">
        <f>'Input - Dairy'!$D$81</f>
        <v>Anaerobic lagoon</v>
      </c>
      <c r="Q291" s="55" cm="1">
        <f t="array" ref="Q291">MMS_Dairy_Methane_Equations.VEERG_4_3_1_1__1_TotalAnnualMethaneFromManureManagementVariation(D$270,Q238,O$275,0,0,0,0,0)</f>
        <v>0.50587016693182774</v>
      </c>
      <c r="R291" s="55" cm="1">
        <f t="array" ref="R291">MMS_Dairy_Methane_Equations.VEERG_4_3_1_1__1_TotalAnnualMethaneFromManureManagementVariation(E$270,R238,P$275,0,0,0,0,0)</f>
        <v>0.19926308605679074</v>
      </c>
      <c r="S291" s="55" cm="1">
        <f t="array" ref="S291">MMS_Dairy_Methane_Equations.VEERG_4_3_1_1__1_TotalAnnualMethaneFromManureManagementVariation(0,0,0,F$270,S238,Q$275,F$280,Q$285)</f>
        <v>0.23103005098257332</v>
      </c>
      <c r="T291" s="55" cm="1">
        <f t="array" ref="T291">MMS_Dairy_Methane_Equations.VEERG_4_3_1_1__1_TotalAnnualMethaneFromManureManagementVariation(G$270,T238,R$275,0,0,0,0,0)</f>
        <v>0.24245636700472373</v>
      </c>
      <c r="U291" s="55" cm="1">
        <f t="array" ref="U291">MMS_Dairy_Methane_Equations.VEERG_4_3_1_1__1_TotalAnnualMethaneFromManureManagementVariation(0,0,0,H$270,U238,S$275,H$280,S$285)</f>
        <v>0.2833163520802735</v>
      </c>
    </row>
    <row r="292" spans="4:21" x14ac:dyDescent="0.25">
      <c r="D292" s="55" t="str">
        <f>'Input - Dairy'!$D$66</f>
        <v>Milking shed</v>
      </c>
      <c r="E292" s="55" t="str">
        <f>'Input - Dairy'!$D$86</f>
        <v>Sump and dispersal system</v>
      </c>
      <c r="F292" s="55" cm="1">
        <f t="array" ref="F292">MMS_Dairy_Methane_Equations.VEERG_4_3_1_1__1_TotalAnnualMethaneFromManureManagementVariation(D$270,F239,D$275,0,0,0,0,0)</f>
        <v>3.2848712138430379E-3</v>
      </c>
      <c r="G292" s="55" cm="1">
        <f t="array" ref="G292">MMS_Dairy_Methane_Equations.VEERG_4_3_1_1__1_TotalAnnualMethaneFromManureManagementVariation(E$270,G239,E$275,0,0,0,0,0)</f>
        <v>1.293916143225914E-3</v>
      </c>
      <c r="H292" s="55" cm="1">
        <f t="array" ref="H292">MMS_Dairy_Methane_Equations.VEERG_4_3_1_1__1_TotalAnnualMethaneFromManureManagementVariation(0,0,0,F$270,H239,F$275,F$280,F$285)</f>
        <v>0.14838019513625048</v>
      </c>
      <c r="I292" s="55" cm="1">
        <f t="array" ref="I292">MMS_Dairy_Methane_Equations.VEERG_4_3_1_1__1_TotalAnnualMethaneFromManureManagementVariation(G$270,I239,G$275,0,0,0,0,0)</f>
        <v>1.5743919935371669E-3</v>
      </c>
      <c r="J292" s="55" cm="1">
        <f t="array" ref="J292">MMS_Dairy_Methane_Equations.VEERG_4_3_1_1__1_TotalAnnualMethaneFromManureManagementVariation(0,0,0,H$270,J239,H$275,H$280,H$285)</f>
        <v>0.17208698929922259</v>
      </c>
      <c r="O292" s="55" t="str">
        <f>'Input - Dairy'!$D$66</f>
        <v>Milking shed</v>
      </c>
      <c r="P292" s="55" t="str">
        <f>'Input - Dairy'!$D$86</f>
        <v>Sump and dispersal system</v>
      </c>
      <c r="Q292" s="55" cm="1">
        <f t="array" ref="Q292">MMS_Dairy_Methane_Equations.VEERG_4_3_1_1__1_TotalAnnualMethaneFromManureManagementVariation(D$270,Q239,O$275,0,0,0,0,0)</f>
        <v>3.2848712138430379E-3</v>
      </c>
      <c r="R292" s="55" cm="1">
        <f t="array" ref="R292">MMS_Dairy_Methane_Equations.VEERG_4_3_1_1__1_TotalAnnualMethaneFromManureManagementVariation(E$270,R239,P$275,0,0,0,0,0)</f>
        <v>1.293916143225914E-3</v>
      </c>
      <c r="S292" s="55" cm="1">
        <f t="array" ref="S292">MMS_Dairy_Methane_Equations.VEERG_4_3_1_1__1_TotalAnnualMethaneFromManureManagementVariation(0,0,0,F$270,S239,Q$275,F$280,Q$285)</f>
        <v>0.14838019513625048</v>
      </c>
      <c r="T292" s="55" cm="1">
        <f t="array" ref="T292">MMS_Dairy_Methane_Equations.VEERG_4_3_1_1__1_TotalAnnualMethaneFromManureManagementVariation(G$270,T239,R$275,0,0,0,0,0)</f>
        <v>1.5743919935371669E-3</v>
      </c>
      <c r="U292" s="55" cm="1">
        <f t="array" ref="U292">MMS_Dairy_Methane_Equations.VEERG_4_3_1_1__1_TotalAnnualMethaneFromManureManagementVariation(0,0,0,H$270,U239,S$275,H$280,S$285)</f>
        <v>0.17208698929922259</v>
      </c>
    </row>
    <row r="293" spans="4:21" x14ac:dyDescent="0.25">
      <c r="D293" s="55" t="str">
        <f>'Input - Dairy'!$D$66</f>
        <v>Milking shed</v>
      </c>
      <c r="E293" s="55" t="str">
        <f>'Input - Dairy'!$D$91</f>
        <v>Drains to paddock</v>
      </c>
      <c r="F293" s="55" cm="1">
        <f t="array" ref="F293">MMS_Dairy_Methane_Equations.VEERG_4_3_1_1__1_TotalAnnualMethaneFromManureManagementVariation(D$270,F240,D$275,0,0,0,0,0)</f>
        <v>0.11825536369834934</v>
      </c>
      <c r="G293" s="55" cm="1">
        <f t="array" ref="G293">MMS_Dairy_Methane_Equations.VEERG_4_3_1_1__1_TotalAnnualMethaneFromManureManagementVariation(E$270,G240,E$275,0,0,0,0,0)</f>
        <v>4.6580981156132899E-2</v>
      </c>
      <c r="H293" s="55" cm="1">
        <f t="array" ref="H293">MMS_Dairy_Methane_Equations.VEERG_4_3_1_1__1_TotalAnnualMethaneFromManureManagementVariation(0,0,0,F$270,H240,F$275,F$280,F$285)</f>
        <v>0.16728702490501715</v>
      </c>
      <c r="I293" s="55" cm="1">
        <f t="array" ref="I293">MMS_Dairy_Methane_Equations.VEERG_4_3_1_1__1_TotalAnnualMethaneFromManureManagementVariation(G$270,I240,G$275,0,0,0,0,0)</f>
        <v>5.6678111767338002E-2</v>
      </c>
      <c r="J293" s="55" cm="1">
        <f t="array" ref="J293">MMS_Dairy_Methane_Equations.VEERG_4_3_1_1__1_TotalAnnualMethaneFromManureManagementVariation(0,0,0,H$270,J240,H$275,H$280,H$285)</f>
        <v>0.197531614772012</v>
      </c>
      <c r="O293" s="55" t="str">
        <f>'Input - Dairy'!$D$66</f>
        <v>Milking shed</v>
      </c>
      <c r="P293" s="55" t="str">
        <f>'Input - Dairy'!$D$91</f>
        <v>Drains to paddock</v>
      </c>
      <c r="Q293" s="55" cm="1">
        <f t="array" ref="Q293">MMS_Dairy_Methane_Equations.VEERG_4_3_1_1__1_TotalAnnualMethaneFromManureManagementVariation(D$270,Q240,O$275,0,0,0,0,0)</f>
        <v>0.14453433340909366</v>
      </c>
      <c r="R293" s="55" cm="1">
        <f t="array" ref="R293">MMS_Dairy_Methane_Equations.VEERG_4_3_1_1__1_TotalAnnualMethaneFromManureManagementVariation(E$270,R240,P$275,0,0,0,0,0)</f>
        <v>5.6932310301940216E-2</v>
      </c>
      <c r="S293" s="55" cm="1">
        <f t="array" ref="S293">MMS_Dairy_Methane_Equations.VEERG_4_3_1_1__1_TotalAnnualMethaneFromManureManagementVariation(0,0,0,F$270,S240,Q$275,F$280,Q$285)</f>
        <v>0.17160858599502096</v>
      </c>
      <c r="T293" s="55" cm="1">
        <f t="array" ref="T293">MMS_Dairy_Methane_Equations.VEERG_4_3_1_1__1_TotalAnnualMethaneFromManureManagementVariation(G$270,T240,R$275,0,0,0,0,0)</f>
        <v>6.9273247715635339E-2</v>
      </c>
      <c r="U293" s="55" cm="1">
        <f t="array" ref="U293">MMS_Dairy_Methane_Equations.VEERG_4_3_1_1__1_TotalAnnualMethaneFromManureManagementVariation(0,0,0,H$270,U240,S$275,H$280,S$285)</f>
        <v>0.20334752916579243</v>
      </c>
    </row>
    <row r="294" spans="4:21" x14ac:dyDescent="0.25">
      <c r="D294" s="55" t="str">
        <f>'Input - Dairy'!$D$66</f>
        <v>Milking shed</v>
      </c>
      <c r="E294" s="55" t="s">
        <v>412</v>
      </c>
      <c r="F294" s="55" cm="1">
        <f t="array" ref="F294">MMS_Dairy_Methane_Equations.VEERG_4_3_1_1__1_TotalAnnualMethaneFromManureManagementVariation(D$270,F241,D$275,0,0,0,0,0)</f>
        <v>2.6278969710744299E-2</v>
      </c>
      <c r="G294" s="55" cm="1">
        <f t="array" ref="G294">MMS_Dairy_Methane_Equations.VEERG_4_3_1_1__1_TotalAnnualMethaneFromManureManagementVariation(E$270,G241,E$275,0,0,0,0,0)</f>
        <v>1.0351329145807312E-2</v>
      </c>
      <c r="H294" s="55" cm="1">
        <f t="array" ref="H294">MMS_Dairy_Methane_Equations.VEERG_4_3_1_1__1_TotalAnnualMethaneFromManureManagementVariation(0,0,0,F$270,H241,F$275,F$280,F$285)</f>
        <v>0.15216156109000381</v>
      </c>
      <c r="I294" s="55" cm="1">
        <f t="array" ref="I294">MMS_Dairy_Methane_Equations.VEERG_4_3_1_1__1_TotalAnnualMethaneFromManureManagementVariation(G$270,I241,G$275,0,0,0,0,0)</f>
        <v>1.259513594829733E-2</v>
      </c>
      <c r="J294" s="55" cm="1">
        <f t="array" ref="J294">MMS_Dairy_Methane_Equations.VEERG_4_3_1_1__1_TotalAnnualMethaneFromManureManagementVariation(0,0,0,H$270,J241,H$275,H$280,H$285)</f>
        <v>0.17717591439378047</v>
      </c>
      <c r="O294" s="55" t="str">
        <f>'Input - Dairy'!$D$66</f>
        <v>Milking shed</v>
      </c>
      <c r="P294" s="55" t="s">
        <v>412</v>
      </c>
      <c r="Q294" s="55" cm="1">
        <f t="array" ref="Q294">MMS_Dairy_Methane_Equations.VEERG_4_3_1_1__1_TotalAnnualMethaneFromManureManagementVariation(D$270,Q241,O$275,0,0,0,0,0)</f>
        <v>2.6278969710744299E-2</v>
      </c>
      <c r="R294" s="55" cm="1">
        <f t="array" ref="R294">MMS_Dairy_Methane_Equations.VEERG_4_3_1_1__1_TotalAnnualMethaneFromManureManagementVariation(E$270,R241,P$275,0,0,0,0,0)</f>
        <v>1.0351329145807312E-2</v>
      </c>
      <c r="S294" s="55" cm="1">
        <f t="array" ref="S294">MMS_Dairy_Methane_Equations.VEERG_4_3_1_1__1_TotalAnnualMethaneFromManureManagementVariation(0,0,0,F$270,S241,Q$275,F$280,Q$285)</f>
        <v>0.15216156109000381</v>
      </c>
      <c r="T294" s="55" cm="1">
        <f t="array" ref="T294">MMS_Dairy_Methane_Equations.VEERG_4_3_1_1__1_TotalAnnualMethaneFromManureManagementVariation(G$270,T241,R$275,0,0,0,0,0)</f>
        <v>1.259513594829733E-2</v>
      </c>
      <c r="U294" s="55" cm="1">
        <f t="array" ref="U294">MMS_Dairy_Methane_Equations.VEERG_4_3_1_1__1_TotalAnnualMethaneFromManureManagementVariation(0,0,0,H$270,U241,S$275,H$280,S$285)</f>
        <v>0.17717591439378047</v>
      </c>
    </row>
    <row r="295" spans="4:21" x14ac:dyDescent="0.25">
      <c r="D295" s="55" t="str">
        <f>'Input - Dairy'!$D$67</f>
        <v>Feed pad</v>
      </c>
      <c r="E295" s="55" t="str">
        <f>'Input - Dairy'!$D$105</f>
        <v>Anaerobic lagoon</v>
      </c>
      <c r="F295" s="55" cm="1">
        <f t="array" ref="F295">MMS_Dairy_Methane_Equations.VEERG_4_3_1_1__1_TotalAnnualMethaneFromManureManagementVariation(D$270,F242,D$275,0,0,0,0,0)</f>
        <v>2.0198971718576639</v>
      </c>
      <c r="G295" s="55" cm="1">
        <f t="array" ref="G295">MMS_Dairy_Methane_Equations.VEERG_4_3_1_1__1_TotalAnnualMethaneFromManureManagementVariation(E$270,G242,E$275,0,0,0,0,0)</f>
        <v>0.79564079934364373</v>
      </c>
      <c r="H295" s="55" cm="1">
        <f t="array" ref="H295">MMS_Dairy_Methane_Equations.VEERG_4_3_1_1__1_TotalAnnualMethaneFromManureManagementVariation(0,0,0,F$270,H242,F$275,F$280,F$285)</f>
        <v>0.48001090014529268</v>
      </c>
      <c r="I295" s="55" cm="1">
        <f t="array" ref="I295">MMS_Dairy_Methane_Equations.VEERG_4_3_1_1__1_TotalAnnualMethaneFromManureManagementVariation(G$270,I242,G$275,0,0,0,0,0)</f>
        <v>0.96810794948049028</v>
      </c>
      <c r="J295" s="55" cm="1">
        <f t="array" ref="J295">MMS_Dairy_Methane_Equations.VEERG_4_3_1_1__1_TotalAnnualMethaneFromManureManagementVariation(0,0,0,H$270,J242,H$275,H$280,H$285)</f>
        <v>0.6183923290855784</v>
      </c>
      <c r="O295" s="55" t="str">
        <f>'Input - Dairy'!$D$67</f>
        <v>Feed pad</v>
      </c>
      <c r="P295" s="55" t="str">
        <f>'Input - Dairy'!$D$105</f>
        <v>Anaerobic lagoon</v>
      </c>
      <c r="Q295" s="55" cm="1">
        <f t="array" ref="Q295">MMS_Dairy_Methane_Equations.VEERG_4_3_1_1__1_TotalAnnualMethaneFromManureManagementVariation(D$270,Q242,O$275,0,0,0,0,0)</f>
        <v>2.046474766224212</v>
      </c>
      <c r="R295" s="55" cm="1">
        <f t="array" ref="R295">MMS_Dairy_Methane_Equations.VEERG_4_3_1_1__1_TotalAnnualMethaneFromManureManagementVariation(E$270,R242,P$275,0,0,0,0,0)</f>
        <v>0.80610975722974443</v>
      </c>
      <c r="S295" s="55" cm="1">
        <f t="array" ref="S295">MMS_Dairy_Methane_Equations.VEERG_4_3_1_1__1_TotalAnnualMethaneFromManureManagementVariation(0,0,0,F$270,S242,Q$275,F$280,Q$285)</f>
        <v>0.48438156988404663</v>
      </c>
      <c r="T295" s="55" cm="1">
        <f t="array" ref="T295">MMS_Dairy_Methane_Equations.VEERG_4_3_1_1__1_TotalAnnualMethaneFromManureManagementVariation(G$270,T242,R$275,0,0,0,0,0)</f>
        <v>0.98084621197365474</v>
      </c>
      <c r="U295" s="55" cm="1">
        <f t="array" ref="U295">MMS_Dairy_Methane_Equations.VEERG_4_3_1_1__1_TotalAnnualMethaneFromManureManagementVariation(0,0,0,H$270,U242,S$275,H$280,S$285)</f>
        <v>0.62427433341565175</v>
      </c>
    </row>
    <row r="296" spans="4:21" x14ac:dyDescent="0.25">
      <c r="D296" s="55" t="str">
        <f>'Input - Dairy'!$D$67</f>
        <v>Feed pad</v>
      </c>
      <c r="E296" s="55" t="str">
        <f>'Input - Dairy'!$D$110</f>
        <v>Sump and dispersal system</v>
      </c>
      <c r="F296" s="55" cm="1">
        <f t="array" ref="F296">MMS_Dairy_Methane_Equations.VEERG_4_3_1_1__1_TotalAnnualMethaneFromManureManagementVariation(D$270,F243,D$275,0,0,0,0,0)</f>
        <v>1.0631037746619285E-2</v>
      </c>
      <c r="G296" s="55" cm="1">
        <f t="array" ref="G296">MMS_Dairy_Methane_Equations.VEERG_4_3_1_1__1_TotalAnnualMethaneFromManureManagementVariation(E$270,G243,E$275,0,0,0,0,0)</f>
        <v>4.1875831544402296E-3</v>
      </c>
      <c r="H296" s="55" cm="1">
        <f t="array" ref="H296">MMS_Dairy_Methane_Equations.VEERG_4_3_1_1__1_TotalAnnualMethaneFromManureManagementVariation(0,0,0,F$270,H243,F$275,F$280,F$285)</f>
        <v>0.14958826789550153</v>
      </c>
      <c r="I296" s="55" cm="1">
        <f t="array" ref="I296">MMS_Dairy_Methane_Equations.VEERG_4_3_1_1__1_TotalAnnualMethaneFromManureManagementVariation(G$270,I243,G$275,0,0,0,0,0)</f>
        <v>5.095304997265738E-3</v>
      </c>
      <c r="J296" s="55" cm="1">
        <f t="array" ref="J296">MMS_Dairy_Methane_Equations.VEERG_4_3_1_1__1_TotalAnnualMethaneFromManureManagementVariation(0,0,0,H$270,J243,H$275,H$280,H$285)</f>
        <v>0.17371280173202935</v>
      </c>
      <c r="O296" s="55" t="str">
        <f>'Input - Dairy'!$D$67</f>
        <v>Feed pad</v>
      </c>
      <c r="P296" s="55" t="str">
        <f>'Input - Dairy'!$D$110</f>
        <v>Sump and dispersal system</v>
      </c>
      <c r="Q296" s="55" cm="1">
        <f t="array" ref="Q296">MMS_Dairy_Methane_Equations.VEERG_4_3_1_1__1_TotalAnnualMethaneFromManureManagementVariation(D$270,Q243,O$275,0,0,0,0,0)</f>
        <v>1.0631037746619285E-2</v>
      </c>
      <c r="R296" s="55" cm="1">
        <f t="array" ref="R296">MMS_Dairy_Methane_Equations.VEERG_4_3_1_1__1_TotalAnnualMethaneFromManureManagementVariation(E$270,R243,P$275,0,0,0,0,0)</f>
        <v>4.1875831544402296E-3</v>
      </c>
      <c r="S296" s="55" cm="1">
        <f t="array" ref="S296">MMS_Dairy_Methane_Equations.VEERG_4_3_1_1__1_TotalAnnualMethaneFromManureManagementVariation(0,0,0,F$270,S243,Q$275,F$280,Q$285)</f>
        <v>0.14958826789550153</v>
      </c>
      <c r="T296" s="55" cm="1">
        <f t="array" ref="T296">MMS_Dairy_Methane_Equations.VEERG_4_3_1_1__1_TotalAnnualMethaneFromManureManagementVariation(G$270,T243,R$275,0,0,0,0,0)</f>
        <v>5.095304997265738E-3</v>
      </c>
      <c r="U296" s="55" cm="1">
        <f t="array" ref="U296">MMS_Dairy_Methane_Equations.VEERG_4_3_1_1__1_TotalAnnualMethaneFromManureManagementVariation(0,0,0,H$270,U243,S$275,H$280,S$285)</f>
        <v>0.17371280173202935</v>
      </c>
    </row>
    <row r="297" spans="4:21" x14ac:dyDescent="0.25">
      <c r="D297" s="55" t="str">
        <f>'Input - Dairy'!$D$67</f>
        <v>Feed pad</v>
      </c>
      <c r="E297" s="55" t="str">
        <f>'Input - Dairy'!$D$115</f>
        <v>Drains to paddock</v>
      </c>
      <c r="F297" s="55" cm="1">
        <f t="array" ref="F297">MMS_Dairy_Methane_Equations.VEERG_4_3_1_1__1_TotalAnnualMethaneFromManureManagementVariation(D$270,F244,D$275,0,0,0,0,0)</f>
        <v>0.38271735887829422</v>
      </c>
      <c r="G297" s="55" cm="1">
        <f t="array" ref="G297">MMS_Dairy_Methane_Equations.VEERG_4_3_1_1__1_TotalAnnualMethaneFromManureManagementVariation(E$270,G244,E$275,0,0,0,0,0)</f>
        <v>0.15075299355984828</v>
      </c>
      <c r="H297" s="55" cm="1">
        <f t="array" ref="H297">MMS_Dairy_Methane_Equations.VEERG_4_3_1_1__1_TotalAnnualMethaneFromManureManagementVariation(0,0,0,F$270,H244,F$275,F$280,F$285)</f>
        <v>0.21077764423805545</v>
      </c>
      <c r="I297" s="55" cm="1">
        <f t="array" ref="I297">MMS_Dairy_Methane_Equations.VEERG_4_3_1_1__1_TotalAnnualMethaneFromManureManagementVariation(G$270,I244,G$275,0,0,0,0,0)</f>
        <v>0.18343097990156659</v>
      </c>
      <c r="J297" s="55" cm="1">
        <f t="array" ref="J297">MMS_Dairy_Methane_Equations.VEERG_4_3_1_1__1_TotalAnnualMethaneFromManureManagementVariation(0,0,0,H$270,J244,H$275,H$280,H$285)</f>
        <v>0.25606086235305697</v>
      </c>
      <c r="O297" s="55" t="str">
        <f>'Input - Dairy'!$D$67</f>
        <v>Feed pad</v>
      </c>
      <c r="P297" s="55" t="str">
        <f>'Input - Dairy'!$D$115</f>
        <v>Drains to paddock</v>
      </c>
      <c r="Q297" s="55" cm="1">
        <f t="array" ref="Q297">MMS_Dairy_Methane_Equations.VEERG_4_3_1_1__1_TotalAnnualMethaneFromManureManagementVariation(D$270,Q244,O$275,0,0,0,0,0)</f>
        <v>0.46776566085124849</v>
      </c>
      <c r="R297" s="55" cm="1">
        <f t="array" ref="R297">MMS_Dairy_Methane_Equations.VEERG_4_3_1_1__1_TotalAnnualMethaneFromManureManagementVariation(E$270,R244,P$275,0,0,0,0,0)</f>
        <v>0.18425365879537009</v>
      </c>
      <c r="S297" s="55" cm="1">
        <f t="array" ref="S297">MMS_Dairy_Methane_Equations.VEERG_4_3_1_1__1_TotalAnnualMethaneFromManureManagementVariation(0,0,0,F$270,S244,Q$275,F$280,Q$285)</f>
        <v>0.22476378740206779</v>
      </c>
      <c r="T297" s="55" cm="1">
        <f t="array" ref="T297">MMS_Dairy_Methane_Equations.VEERG_4_3_1_1__1_TotalAnnualMethaneFromManureManagementVariation(G$270,T244,R$275,0,0,0,0,0)</f>
        <v>0.22419341987969252</v>
      </c>
      <c r="U297" s="55" cm="1">
        <f t="array" ref="U297">MMS_Dairy_Methane_Equations.VEERG_4_3_1_1__1_TotalAnnualMethaneFromManureManagementVariation(0,0,0,H$270,U244,S$275,H$280,S$285)</f>
        <v>0.27488327620929182</v>
      </c>
    </row>
    <row r="298" spans="4:21" x14ac:dyDescent="0.25">
      <c r="D298" s="55" t="str">
        <f>'Input - Dairy'!$D$67</f>
        <v>Feed pad</v>
      </c>
      <c r="E298" s="55" t="s">
        <v>412</v>
      </c>
      <c r="F298" s="55" cm="1">
        <f t="array" ref="F298">MMS_Dairy_Methane_Equations.VEERG_4_3_1_1__1_TotalAnnualMethaneFromManureManagementVariation(D$270,F245,D$275,0,0,0,0,0)</f>
        <v>7.4417264226334975E-2</v>
      </c>
      <c r="G298" s="55" cm="1">
        <f t="array" ref="G298">MMS_Dairy_Methane_Equations.VEERG_4_3_1_1__1_TotalAnnualMethaneFromManureManagementVariation(E$270,G245,E$275,0,0,0,0,0)</f>
        <v>2.9313082081081607E-2</v>
      </c>
      <c r="H298" s="55" cm="1">
        <f t="array" ref="H298">MMS_Dairy_Methane_Equations.VEERG_4_3_1_1__1_TotalAnnualMethaneFromManureManagementVariation(0,0,0,F$270,H245,F$275,F$280,F$285)</f>
        <v>0.16007787526851078</v>
      </c>
      <c r="I298" s="55" cm="1">
        <f t="array" ref="I298">MMS_Dairy_Methane_Equations.VEERG_4_3_1_1__1_TotalAnnualMethaneFromManureManagementVariation(G$270,I245,G$275,0,0,0,0,0)</f>
        <v>3.5667134980860167E-2</v>
      </c>
      <c r="J298" s="55" cm="1">
        <f t="array" ref="J298">MMS_Dairy_Methane_Equations.VEERG_4_3_1_1__1_TotalAnnualMethaneFromManureManagementVariation(0,0,0,H$270,J245,H$275,H$280,H$285)</f>
        <v>0.18782961212420554</v>
      </c>
      <c r="O298" s="55" t="str">
        <f>'Input - Dairy'!$D$67</f>
        <v>Feed pad</v>
      </c>
      <c r="P298" s="55" t="s">
        <v>412</v>
      </c>
      <c r="Q298" s="55" cm="1">
        <f t="array" ref="Q298">MMS_Dairy_Methane_Equations.VEERG_4_3_1_1__1_TotalAnnualMethaneFromManureManagementVariation(D$270,Q245,O$275,0,0,0,0,0)</f>
        <v>7.4417264226334975E-2</v>
      </c>
      <c r="R298" s="55" cm="1">
        <f t="array" ref="R298">MMS_Dairy_Methane_Equations.VEERG_4_3_1_1__1_TotalAnnualMethaneFromManureManagementVariation(E$270,R245,P$275,0,0,0,0,0)</f>
        <v>2.9313082081081607E-2</v>
      </c>
      <c r="S298" s="55" cm="1">
        <f t="array" ref="S298">MMS_Dairy_Methane_Equations.VEERG_4_3_1_1__1_TotalAnnualMethaneFromManureManagementVariation(0,0,0,F$270,S245,Q$275,F$280,Q$285)</f>
        <v>0.16007787526851078</v>
      </c>
      <c r="T298" s="55" cm="1">
        <f t="array" ref="T298">MMS_Dairy_Methane_Equations.VEERG_4_3_1_1__1_TotalAnnualMethaneFromManureManagementVariation(G$270,T245,R$275,0,0,0,0,0)</f>
        <v>3.5667134980860167E-2</v>
      </c>
      <c r="U298" s="55" cm="1">
        <f t="array" ref="U298">MMS_Dairy_Methane_Equations.VEERG_4_3_1_1__1_TotalAnnualMethaneFromManureManagementVariation(0,0,0,H$270,U245,S$275,H$280,S$285)</f>
        <v>0.18782961212420554</v>
      </c>
    </row>
    <row r="300" spans="4:21" ht="20.25" x14ac:dyDescent="0.25">
      <c r="D300" s="108" t="s">
        <v>131</v>
      </c>
      <c r="E300" s="109">
        <f>SUM(F290:J298)</f>
        <v>10.314345551795777</v>
      </c>
      <c r="F300" s="110" t="str">
        <f>$E$256</f>
        <v>t CH4</v>
      </c>
      <c r="O300" s="108" t="s">
        <v>427</v>
      </c>
      <c r="P300" s="109">
        <f>SUM(Q290:U298)</f>
        <v>10.64070664267806</v>
      </c>
      <c r="Q300" s="110" t="str">
        <f>$E$256</f>
        <v>t CH4</v>
      </c>
    </row>
    <row r="302" spans="4:21" x14ac:dyDescent="0.25">
      <c r="D302" s="60" t="str" cm="1">
        <f t="array" ref="D302:E303">Common_Equations.Common_ConvertCH4ToCO2e_Arguments()</f>
        <v>ECH4</v>
      </c>
      <c r="E302" s="61" t="str">
        <v>Methane emissions (t CH4)</v>
      </c>
      <c r="F302" s="111"/>
      <c r="G302" s="55">
        <f>E300</f>
        <v>10.314345551795777</v>
      </c>
      <c r="H302" s="2"/>
      <c r="O302" s="60" t="str" cm="1">
        <f t="array" ref="O302:P303">Common_Equations.Common_ConvertCH4ToCO2e_Arguments()</f>
        <v>ECH4</v>
      </c>
      <c r="P302" s="61" t="str">
        <v>Methane emissions (t CH4)</v>
      </c>
      <c r="Q302" s="111"/>
      <c r="R302" s="55">
        <f>P300</f>
        <v>10.64070664267806</v>
      </c>
      <c r="S302" s="2" t="s">
        <v>276</v>
      </c>
    </row>
    <row r="303" spans="4:21" x14ac:dyDescent="0.25">
      <c r="D303" s="60" t="str">
        <v>GWPCH4</v>
      </c>
      <c r="E303" s="61" t="str">
        <v>Global warming potential for methane (t CO2-e / t CH4)</v>
      </c>
      <c r="F303" s="111"/>
      <c r="G303" s="55">
        <f>Common_InputFunctions.Utility_LookupValueInTableNumber("CH4",Table_GWPData[Gas],Table_GWPData[CO2-e factor])</f>
        <v>28</v>
      </c>
      <c r="O303" s="60" t="str">
        <v>GWPCH4</v>
      </c>
      <c r="P303" s="61" t="str">
        <v>Global warming potential for methane (t CO2-e / t CH4)</v>
      </c>
      <c r="Q303" s="111"/>
      <c r="R303" s="55">
        <f>Common_InputFunctions.Utility_LookupValueInTableNumber("CH4",Table_GWPData[Gas],Table_GWPData[CO2-e factor])</f>
        <v>28</v>
      </c>
    </row>
    <row r="305" spans="4:17" ht="18.75" x14ac:dyDescent="0.25">
      <c r="D305" s="48" t="s">
        <v>132</v>
      </c>
      <c r="E305" s="48" cm="1">
        <f t="array" ref="E305">Common_Equations.Common_ConvertCH4ToCO2e(G302,G303)</f>
        <v>288.80167545028172</v>
      </c>
      <c r="F305" s="112" t="str" cm="1">
        <f t="array" ref="F305">Common_Equations.Common_ConvertN2OToCO2e_Unit()</f>
        <v>t CO2e</v>
      </c>
      <c r="O305" s="48" t="s">
        <v>426</v>
      </c>
      <c r="P305" s="48" cm="1">
        <f t="array" ref="P305">Common_Equations.Common_ConvertCH4ToCO2e(R302,R303)</f>
        <v>297.9397859949857</v>
      </c>
      <c r="Q305" s="112" t="str" cm="1">
        <f t="array" ref="Q305">Common_Equations.Common_ConvertN2OToCO2e_Unit()</f>
        <v>t CO2e</v>
      </c>
    </row>
  </sheetData>
  <dataValidations count="1">
    <dataValidation operator="equal" allowBlank="1" showInputMessage="1" showErrorMessage="1" sqref="F164:F168 Q153:U157 D187:F187 P90:R90 E152:J152 F153:J157 E163:F163 Q164:Q168 P163:Q163 P152:U152 E174:J174 F175:J179 P174:U174 Q175:U179 Q173:U173 F200:J200 P205:U206 P199:U199 Q200:U200 P298 E241 E238 E294 E291 E245 P238 E298 P291 I146 E146:F146 F173:J173 Q162 Q151:U151 E199:J199 P241 P245 P294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A39" zoomScale="85" zoomScaleNormal="85" workbookViewId="0">
      <selection activeCell="D65" sqref="D6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286</v>
      </c>
    </row>
    <row r="2" spans="1:21" s="9" customFormat="1" ht="20.100000000000001" customHeight="1" x14ac:dyDescent="0.25"/>
    <row r="3" spans="1:21" ht="20.100000000000001" customHeight="1" x14ac:dyDescent="0.25">
      <c r="A3" s="17" t="str">
        <f>HYPERLINK("#'Home'!A1", "Home")</f>
        <v>Home</v>
      </c>
      <c r="C3" s="4"/>
      <c r="D3" s="4" t="s">
        <v>121</v>
      </c>
      <c r="E3" s="4"/>
      <c r="F3" s="4"/>
      <c r="G3" s="4"/>
      <c r="H3" s="4"/>
      <c r="I3" s="4"/>
      <c r="J3" s="4"/>
      <c r="K3" s="4"/>
      <c r="M3" s="4"/>
      <c r="N3" s="4" t="s">
        <v>122</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A6" s="16"/>
      <c r="D6" s="5" t="str" cm="1">
        <f t="array" ref="D6">MMS_Dairy_N2ODirect_Equations.VEERG_4_3_1_3__8_RelativeSize_Source()</f>
        <v>VEERG 2026: 4.3.1.3, Equation (8)</v>
      </c>
    </row>
    <row r="7" spans="1:21" ht="20.100000000000001" customHeight="1" x14ac:dyDescent="0.25">
      <c r="A7" s="20" t="s">
        <v>3</v>
      </c>
      <c r="D7" s="13" t="s">
        <v>28</v>
      </c>
      <c r="E7" s="13" t="str" cm="1">
        <f t="array" aca="1" ref="E7" ca="1">Common_InputFunctions.Utility_DisplayFunctionName(D29)</f>
        <v>=MMS_Dairy_N2ODirect_Equations.VEERG_4_3_1_3__8_RelativeSize</v>
      </c>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31</v>
      </c>
      <c r="E10" s="1" t="str" cm="1">
        <f t="array" ref="E10">MMS_Dairy_N2ODirect_Equations.VEERG_4_3_1_3__8_RelativeSize_Variable()</f>
        <v>Z_j</v>
      </c>
    </row>
    <row r="11" spans="1:21" ht="20.100000000000001" customHeight="1" x14ac:dyDescent="0.25">
      <c r="A11" s="19" t="s">
        <v>78</v>
      </c>
      <c r="D11" s="56" t="s">
        <v>21</v>
      </c>
      <c r="E11" s="57" t="str" cm="1">
        <f t="array" ref="E11">MMS_Dairy_N2ODirect_Equations.VEERG_4_3_1_3__8_RelativeSize_Unit()</f>
        <v>ratio</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tr" cm="1">
        <f t="array" ref="D13:E14">_xlfn.CHOOSECOLS(MMS_Dairy_N2ODirect_Equations.VEERG_4_3_1_3__8_RelativeSize_Arguments(),1,2)</f>
        <v>W_j</v>
      </c>
      <c r="E13" s="137" t="str">
        <v>liveweight</v>
      </c>
      <c r="F13" s="137" t="str" cm="1">
        <f t="array" ref="F13:G14">_xlfn.CHOOSECOLS(MMS_Dairy_N2ODirect_Equations.VEERG_4_3_1_3__8_RelativeSize_Arguments(),3,4)</f>
        <v>kg/head</v>
      </c>
      <c r="G13" s="135" t="str">
        <v>Input</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tr">
        <v>WR_j</v>
      </c>
      <c r="E14" s="137" t="str">
        <v>reference weight</v>
      </c>
      <c r="F14" s="137" t="str">
        <v>kg/head</v>
      </c>
      <c r="G14" s="133" t="str">
        <v>Constant</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220</v>
      </c>
      <c r="N16" s="104" t="s">
        <v>222</v>
      </c>
    </row>
    <row r="17" spans="1:21" ht="20.100000000000001" customHeight="1" x14ac:dyDescent="0.25">
      <c r="A17" s="17" t="str">
        <f>HYPERLINK("#'4.3.1.9 Soil direct N2O'!A1", "4.3.1.9 Soil direct N2O")</f>
        <v>4.3.1.9 Soil direct N2O</v>
      </c>
      <c r="D17" s="103" t="s">
        <v>221</v>
      </c>
      <c r="N17" s="103" t="s">
        <v>223</v>
      </c>
    </row>
    <row r="18" spans="1:21" ht="20.100000000000001" customHeight="1" x14ac:dyDescent="0.25">
      <c r="A18" s="17" t="str">
        <f>HYPERLINK("#'4.3.1.10-11 Soil Atmos Dep'!A1", "4.3.1.10-11 Soil atm. deposition")</f>
        <v>4.3.1.10-11 Soil atm. deposition</v>
      </c>
      <c r="D18" s="41" t="s">
        <v>175</v>
      </c>
      <c r="E18" s="41" t="s">
        <v>192</v>
      </c>
      <c r="F18" s="41" t="s">
        <v>193</v>
      </c>
      <c r="G18" s="41" t="s">
        <v>194</v>
      </c>
      <c r="H18" s="41" t="s">
        <v>195</v>
      </c>
      <c r="N18" s="41" t="s">
        <v>175</v>
      </c>
      <c r="O18" s="41" t="s">
        <v>192</v>
      </c>
      <c r="P18" s="41" t="s">
        <v>193</v>
      </c>
      <c r="Q18" s="41" t="s">
        <v>194</v>
      </c>
      <c r="R18" s="41" t="s">
        <v>195</v>
      </c>
    </row>
    <row r="19" spans="1:21" ht="20.100000000000001" customHeight="1" x14ac:dyDescent="0.25">
      <c r="A19" s="17" t="str">
        <f>HYPERLINK("#'4.3.1.12-13 Soil leach runoff'!A1", "4.3.1.12-13 Soil leach &amp; runoff")</f>
        <v>4.3.1.12-13 Soil leach &amp; runoff</v>
      </c>
      <c r="D19" s="55">
        <f>'Input - Dairy'!$E$14</f>
        <v>550</v>
      </c>
      <c r="E19" s="55">
        <f>'Input - Dairy'!$F$14</f>
        <v>380</v>
      </c>
      <c r="F19" s="55">
        <f>'Input - Dairy'!$G$14</f>
        <v>155</v>
      </c>
      <c r="G19" s="55">
        <f>'Input - Dairy'!$H$14</f>
        <v>600</v>
      </c>
      <c r="H19" s="55">
        <f>'Input - Dairy'!$I$14</f>
        <v>225</v>
      </c>
      <c r="I19" s="2" t="s">
        <v>197</v>
      </c>
      <c r="N19" s="55">
        <f>'Input - Dairy'!$E$18</f>
        <v>550</v>
      </c>
      <c r="O19" s="55">
        <f>'Input - Dairy'!$F$18</f>
        <v>380</v>
      </c>
      <c r="P19" s="55">
        <f>'Input - Dairy'!$G$18</f>
        <v>155</v>
      </c>
      <c r="Q19" s="55">
        <f>'Input - Dairy'!$H$18</f>
        <v>600</v>
      </c>
      <c r="R19" s="55">
        <f>'Input - Dairy'!$I$18</f>
        <v>225</v>
      </c>
      <c r="S19" s="2" t="s">
        <v>197</v>
      </c>
    </row>
    <row r="20" spans="1:21" ht="20.100000000000001" customHeight="1" x14ac:dyDescent="0.25">
      <c r="A20" s="17"/>
    </row>
    <row r="21" spans="1:21" ht="20.100000000000001" customHeight="1" x14ac:dyDescent="0.25">
      <c r="A21" s="18" t="s">
        <v>4</v>
      </c>
      <c r="D21" s="104" t="s">
        <v>287</v>
      </c>
    </row>
    <row r="22" spans="1:21" ht="20.100000000000001" customHeight="1" x14ac:dyDescent="0.25">
      <c r="A22" s="17" t="str">
        <f>HYPERLINK("#'Constants - Dairy'!A1", "Constants - Dairy")</f>
        <v>Constants - Dairy</v>
      </c>
      <c r="D22" s="103" t="s">
        <v>288</v>
      </c>
    </row>
    <row r="23" spans="1:21" ht="20.100000000000001" customHeight="1" x14ac:dyDescent="0.25">
      <c r="A23" s="17" t="str">
        <f>HYPERLINK("#'Constants - Livestock'!A1", "Constants - Livestock")</f>
        <v>Constants - Livestock</v>
      </c>
      <c r="D23" s="54" t="s">
        <v>175</v>
      </c>
      <c r="E23" s="54" t="s">
        <v>192</v>
      </c>
      <c r="F23" s="54" t="s">
        <v>193</v>
      </c>
      <c r="G23" s="54" t="s">
        <v>194</v>
      </c>
      <c r="H23" s="54" t="s">
        <v>195</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197</v>
      </c>
    </row>
    <row r="25" spans="1:21" ht="20.100000000000001" customHeight="1" x14ac:dyDescent="0.25">
      <c r="A25" s="17" t="str">
        <f>HYPERLINK("#'Acknowledgements'!A1", "Acknowledgements")</f>
        <v>Acknowledgements</v>
      </c>
    </row>
    <row r="26" spans="1:21" ht="20.100000000000001" customHeight="1" x14ac:dyDescent="0.25">
      <c r="D26" s="104" t="s">
        <v>289</v>
      </c>
      <c r="N26" s="104" t="s">
        <v>289</v>
      </c>
    </row>
    <row r="27" spans="1:21" ht="20.100000000000001" customHeight="1" x14ac:dyDescent="0.25">
      <c r="D27" s="103" t="s">
        <v>290</v>
      </c>
      <c r="N27" s="103" t="s">
        <v>290</v>
      </c>
    </row>
    <row r="28" spans="1:21" ht="20.100000000000001" customHeight="1" x14ac:dyDescent="0.25">
      <c r="D28" s="54" t="s">
        <v>175</v>
      </c>
      <c r="E28" s="54" t="s">
        <v>192</v>
      </c>
      <c r="F28" s="54" t="s">
        <v>193</v>
      </c>
      <c r="G28" s="54" t="s">
        <v>194</v>
      </c>
      <c r="H28" s="54" t="s">
        <v>195</v>
      </c>
      <c r="N28" s="54" t="s">
        <v>175</v>
      </c>
      <c r="O28" s="54" t="s">
        <v>192</v>
      </c>
      <c r="P28" s="54" t="s">
        <v>193</v>
      </c>
      <c r="Q28" s="54" t="s">
        <v>194</v>
      </c>
      <c r="R28" s="54" t="s">
        <v>195</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28</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31</v>
      </c>
      <c r="E39" s="1" t="str" cm="1">
        <f t="array" ref="E39">MMS_Dairy_N2ODirect_Equations.VEERG_4_3_1_3__7_IntakeRelativeToMaintenance_Variable()</f>
        <v>L_j</v>
      </c>
    </row>
    <row r="40" spans="4:14" ht="20.100000000000001" customHeight="1" x14ac:dyDescent="0.25">
      <c r="D40" s="56" t="s">
        <v>21</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7" t="str" cm="1">
        <f t="array" ref="D42:E45">_xlfn.CHOOSECOLS(MMS_Dairy_N2ODirect_Equations.VEERG_4_3_1_3__7_IntakeRelativeToMaintenance_Arguments(),1,2)</f>
        <v>I_j</v>
      </c>
      <c r="E42" s="136" t="str">
        <v>dry matter intake</v>
      </c>
      <c r="F42" s="138"/>
      <c r="G42" s="137" t="str" cm="1">
        <f t="array" ref="G42:H45">_xlfn.CHOOSECOLS(MMS_Dairy_N2ODirect_Equations.VEERG_4_3_1_3__7_IntakeRelativeToMaintenance_Arguments(),3,4)</f>
        <v>kgDM/head/day</v>
      </c>
      <c r="H42" s="133" t="str">
        <v>Calculated from 3.3.1.1 (3)</v>
      </c>
      <c r="I42" s="134" t="str" cm="1">
        <f t="array" aca="1" ref="I42" ca="1">HYPERLINK(Common_InputFunctions.Utility_SourceHyperlink($D$47),$D$47)</f>
        <v>M1_Table_I_j</v>
      </c>
    </row>
    <row r="43" spans="4:14" ht="20.100000000000001" customHeight="1" x14ac:dyDescent="0.25">
      <c r="D43" s="137" t="str">
        <v>W_j</v>
      </c>
      <c r="E43" s="136" t="str">
        <v>liveweight</v>
      </c>
      <c r="F43" s="138"/>
      <c r="G43" s="137" t="str">
        <v>kg/head</v>
      </c>
      <c r="H43" s="135" t="str">
        <v>Input</v>
      </c>
      <c r="I43" s="134" t="str" cm="1">
        <f t="array" aca="1" ref="I43" ca="1">HYPERLINK(Common_InputFunctions.Utility_SourceHyperlink($D$16),$D$16)</f>
        <v>M1_Table_W_j</v>
      </c>
    </row>
    <row r="44" spans="4:14" ht="20.100000000000001" customHeight="1" x14ac:dyDescent="0.25">
      <c r="D44" s="137" t="str">
        <v>MR_j</v>
      </c>
      <c r="E44" s="136" t="str">
        <v>increase in metabolic rate when producing milk</v>
      </c>
      <c r="F44" s="138"/>
      <c r="G44" s="137" t="str">
        <v/>
      </c>
      <c r="H44" s="133" t="str">
        <v>Constant</v>
      </c>
      <c r="I44" s="134" t="str" cm="1">
        <f t="array" aca="1" ref="I44" ca="1">HYPERLINK(Common_InputFunctions.Utility_SourceHyperlink($D$52),$D$52)</f>
        <v>Table_MR_j</v>
      </c>
    </row>
    <row r="45" spans="4:14" ht="20.100000000000001" customHeight="1" x14ac:dyDescent="0.25">
      <c r="D45" s="137" t="str">
        <v>MI_j</v>
      </c>
      <c r="E45" s="136" t="str">
        <v>additional intake required for milk production</v>
      </c>
      <c r="F45" s="138"/>
      <c r="G45" s="137" t="str">
        <v>kgDM/head/day</v>
      </c>
      <c r="H45" s="133" t="str">
        <v>Calculated from 3.3.1.1 (4)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114</v>
      </c>
      <c r="N47" s="104" t="s">
        <v>116</v>
      </c>
    </row>
    <row r="48" spans="4:14" ht="20.100000000000001" customHeight="1" x14ac:dyDescent="0.25">
      <c r="D48" s="103" t="s">
        <v>243</v>
      </c>
      <c r="N48" s="103" t="s">
        <v>242</v>
      </c>
    </row>
    <row r="49" spans="4:19" ht="20.100000000000001" customHeight="1" x14ac:dyDescent="0.25">
      <c r="D49" s="54" t="s">
        <v>175</v>
      </c>
      <c r="E49" s="54" t="s">
        <v>192</v>
      </c>
      <c r="F49" s="54" t="s">
        <v>193</v>
      </c>
      <c r="G49" s="54" t="s">
        <v>194</v>
      </c>
      <c r="H49" s="54" t="s">
        <v>195</v>
      </c>
      <c r="N49" s="54" t="s">
        <v>175</v>
      </c>
      <c r="O49" s="54" t="s">
        <v>192</v>
      </c>
      <c r="P49" s="54" t="s">
        <v>193</v>
      </c>
      <c r="Q49" s="54" t="s">
        <v>194</v>
      </c>
      <c r="R49" s="54" t="s">
        <v>195</v>
      </c>
    </row>
    <row r="50" spans="4:19" ht="20.100000000000001" customHeight="1" x14ac:dyDescent="0.25">
      <c r="D50" s="55">
        <f>'4.3.1.1-2 Methane'!D114</f>
        <v>18.834317684367193</v>
      </c>
      <c r="E50" s="55">
        <f>'4.3.1.1-2 Methane'!E114</f>
        <v>7.4188685375999972</v>
      </c>
      <c r="F50" s="55">
        <f>'4.3.1.1-2 Methane'!F114</f>
        <v>4.0231734662249998</v>
      </c>
      <c r="G50" s="55">
        <f>'4.3.1.1-2 Methane'!G114</f>
        <v>9.0270202499999979</v>
      </c>
      <c r="H50" s="55">
        <f>'4.3.1.1-2 Methane'!H114</f>
        <v>5.4143472656250013</v>
      </c>
      <c r="I50" s="2" t="str">
        <f>G42</f>
        <v>kgDM/head/day</v>
      </c>
      <c r="N50" s="55">
        <f>'4.3.1.1-2 Methane'!O114</f>
        <v>18.834317684367193</v>
      </c>
      <c r="O50" s="55">
        <f>'4.3.1.1-2 Methane'!P114</f>
        <v>7.4188685375999972</v>
      </c>
      <c r="P50" s="55">
        <f>'4.3.1.1-2 Methane'!Q114</f>
        <v>4.0231734662249998</v>
      </c>
      <c r="Q50" s="55">
        <f>'4.3.1.1-2 Methane'!R114</f>
        <v>9.0270202499999979</v>
      </c>
      <c r="R50" s="55">
        <f>'4.3.1.1-2 Methane'!S114</f>
        <v>5.4143472656250013</v>
      </c>
      <c r="S50" s="2" t="str">
        <f>'4.3.1.1-2 Methane'!T114</f>
        <v>kg DM/head/day</v>
      </c>
    </row>
    <row r="51" spans="4:19" ht="20.100000000000001" customHeight="1" x14ac:dyDescent="0.25"/>
    <row r="52" spans="4:19" ht="20.100000000000001" customHeight="1" x14ac:dyDescent="0.25">
      <c r="D52" s="104" t="s">
        <v>228</v>
      </c>
    </row>
    <row r="53" spans="4:19" ht="20.100000000000001" customHeight="1" x14ac:dyDescent="0.25">
      <c r="D53" s="103" t="s">
        <v>229</v>
      </c>
    </row>
    <row r="54" spans="4:19" ht="20.100000000000001" customHeight="1" x14ac:dyDescent="0.25">
      <c r="D54" s="54" t="s">
        <v>175</v>
      </c>
      <c r="E54" s="54" t="s">
        <v>192</v>
      </c>
      <c r="F54" s="54" t="s">
        <v>193</v>
      </c>
      <c r="G54" s="54" t="s">
        <v>194</v>
      </c>
      <c r="H54" s="54" t="s">
        <v>195</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235</v>
      </c>
    </row>
    <row r="58" spans="4:19" ht="20.100000000000001" customHeight="1" x14ac:dyDescent="0.25">
      <c r="D58" s="103" t="s">
        <v>236</v>
      </c>
    </row>
    <row r="59" spans="4:19" ht="20.100000000000001" customHeight="1" x14ac:dyDescent="0.25">
      <c r="D59" s="54" t="s">
        <v>175</v>
      </c>
      <c r="E59" s="54" t="s">
        <v>192</v>
      </c>
      <c r="F59" s="54" t="s">
        <v>193</v>
      </c>
      <c r="G59" s="54" t="s">
        <v>194</v>
      </c>
      <c r="H59" s="54" t="s">
        <v>195</v>
      </c>
    </row>
    <row r="60" spans="4:19" ht="20.100000000000001" customHeight="1" x14ac:dyDescent="0.25">
      <c r="D60" s="55">
        <f>'4.3.1.1-2 Methane'!D79</f>
        <v>9.5798721636071917</v>
      </c>
      <c r="E60" s="55">
        <f>'4.3.1.1-2 Methane'!E79</f>
        <v>0</v>
      </c>
      <c r="F60" s="55">
        <f>'4.3.1.1-2 Methane'!F79</f>
        <v>0</v>
      </c>
      <c r="G60" s="55">
        <f>'4.3.1.1-2 Methane'!G79</f>
        <v>0</v>
      </c>
      <c r="H60" s="55">
        <f>'4.3.1.1-2 Methane'!H79</f>
        <v>0</v>
      </c>
      <c r="I60" s="2" t="str">
        <f>'4.3.1.1-2 Methane'!I79</f>
        <v>kg DM/head/day</v>
      </c>
    </row>
    <row r="61" spans="4:19" ht="20.100000000000001" customHeight="1" x14ac:dyDescent="0.25"/>
    <row r="62" spans="4:19" ht="20.100000000000001" customHeight="1" x14ac:dyDescent="0.25">
      <c r="D62" s="104" t="s">
        <v>291</v>
      </c>
      <c r="N62" s="104" t="s">
        <v>293</v>
      </c>
    </row>
    <row r="63" spans="4:19" ht="20.100000000000001" customHeight="1" x14ac:dyDescent="0.25">
      <c r="D63" s="103" t="s">
        <v>292</v>
      </c>
      <c r="N63" s="103" t="s">
        <v>294</v>
      </c>
    </row>
    <row r="64" spans="4:19" ht="20.100000000000001" customHeight="1" x14ac:dyDescent="0.25">
      <c r="D64" s="54" t="s">
        <v>175</v>
      </c>
      <c r="E64" s="54" t="s">
        <v>192</v>
      </c>
      <c r="F64" s="54" t="s">
        <v>193</v>
      </c>
      <c r="G64" s="54" t="s">
        <v>194</v>
      </c>
      <c r="H64" s="54" t="s">
        <v>195</v>
      </c>
      <c r="N64" s="54" t="s">
        <v>175</v>
      </c>
      <c r="O64" s="54" t="s">
        <v>192</v>
      </c>
      <c r="P64" s="54" t="s">
        <v>193</v>
      </c>
      <c r="Q64" s="54" t="s">
        <v>194</v>
      </c>
      <c r="R64" s="54" t="s">
        <v>195</v>
      </c>
    </row>
    <row r="65" spans="1:21" ht="20.100000000000001" customHeight="1" x14ac:dyDescent="0.25">
      <c r="D65" s="55" cm="1">
        <f t="array" ref="D65">MMS_Dairy_N2ODirect_Equations.VEERG_4_3_1_3__7_IntakeRelativeToMaintenance(D50,D19,D55,D60)</f>
        <v>1.0017090166233036</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1.0017090166233036</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tr" cm="1">
        <f t="array" ref="D69">MMS_Dairy_N2ODirect_Equations.VEERG_4_3_1_3__6_NitrogenRetainedByBody_Title()</f>
        <v>Amount of nitrogen retained by the body</v>
      </c>
    </row>
    <row r="70" spans="1:21" ht="20.100000000000001" customHeight="1" x14ac:dyDescent="0.25">
      <c r="D70" s="5" t="str" cm="1">
        <f t="array" ref="D70">MMS_Dairy_N2ODirect_Equations.VEERG_4_3_1_3__6_NitrogenRetainedByBody_Source()</f>
        <v>VEERG 2026: 4.3.1.3, Equation (6)</v>
      </c>
    </row>
    <row r="71" spans="1:21" ht="20.100000000000001" customHeight="1" x14ac:dyDescent="0.25">
      <c r="D71" s="58"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3" t="s">
        <v>28</v>
      </c>
      <c r="E72" s="13"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56" t="s">
        <v>31</v>
      </c>
      <c r="E75" s="1" t="str" cm="1">
        <f t="array" ref="E75">MMS_Dairy_N2ODirect_Equations.VEERG_4_3_1_3__6_NitrogenRetainedByBody_Variable()</f>
        <v>NR_j</v>
      </c>
    </row>
    <row r="76" spans="1:21" ht="20.100000000000001" customHeight="1" x14ac:dyDescent="0.25">
      <c r="D76" s="56" t="s">
        <v>21</v>
      </c>
      <c r="E76" s="57" t="str" cm="1">
        <f t="array" ref="E76">MMS_Dairy_N2ODirect_Equations.VEERG_4_3_1_3__6_NitrogenRetainedByBody_Unit()</f>
        <v>kg N/head/day</v>
      </c>
    </row>
    <row r="77" spans="1:21" ht="20.100000000000001" customHeight="1" x14ac:dyDescent="0.25"/>
    <row r="78" spans="1:21" ht="20.100000000000001" customHeight="1" x14ac:dyDescent="0.25">
      <c r="D78" s="137" t="str" cm="1">
        <f t="array" ref="D78:E83">_xlfn.CHOOSECOLS(MMS_Dairy_N2ODirect_Equations.VEERG_4_3_1_3__6_NitrogenRetainedByBody_Arguments(),1,2)</f>
        <v>MPU</v>
      </c>
      <c r="E78" s="136" t="str">
        <v>input milk production unit</v>
      </c>
      <c r="F78" s="138"/>
      <c r="G78" s="137" t="str" cm="1">
        <f t="array" ref="G78:H83">_xlfn.CHOOSECOLS(MMS_Dairy_N2ODirect_Equations.VEERG_4_3_1_3__6_NitrogenRetainedByBody_Arguments(),3,4)</f>
        <v/>
      </c>
      <c r="H78" s="135" t="str">
        <v>Input</v>
      </c>
      <c r="I78" s="137" t="str">
        <f>'Input - Dairy'!$E$49</f>
        <v>Litres of milk</v>
      </c>
    </row>
    <row r="79" spans="1:21" ht="20.100000000000001" customHeight="1" x14ac:dyDescent="0.25">
      <c r="D79" s="137" t="str">
        <v>MP_j</v>
      </c>
      <c r="E79" s="136" t="str">
        <v>milk production (if input as litres of milk)</v>
      </c>
      <c r="F79" s="138"/>
      <c r="G79" s="137" t="str">
        <v>L/head/day</v>
      </c>
      <c r="H79" s="135" t="str">
        <v>Input</v>
      </c>
      <c r="I79" s="134" t="str" cm="1">
        <f t="array" aca="1" ref="I79" ca="1">HYPERLINK(Common_InputFunctions.Utility_SourceHyperlink($D$90),$D$90)</f>
        <v>Table_MP_j</v>
      </c>
    </row>
    <row r="80" spans="1:21" ht="20.100000000000001" customHeight="1" x14ac:dyDescent="0.25">
      <c r="D80" s="137" t="str">
        <v>MP_j</v>
      </c>
      <c r="E80" s="136" t="str">
        <v>milk production (if input as milk solids)</v>
      </c>
      <c r="F80" s="138"/>
      <c r="G80" s="137" t="str">
        <v>L/head/day</v>
      </c>
      <c r="H80" s="133" t="str">
        <v>Calculated from 3.3.1.1 (5)</v>
      </c>
      <c r="I80" s="134" t="str" cm="1">
        <f t="array" aca="1" ref="I80" ca="1">HYPERLINK(Common_InputFunctions.Utility_SourceHyperlink($D$85),$D$85)</f>
        <v>M1_Table_MP_j_from_solids</v>
      </c>
    </row>
    <row r="81" spans="4:19" ht="20.100000000000001" customHeight="1" x14ac:dyDescent="0.25">
      <c r="D81" s="137" t="str">
        <v>L_j</v>
      </c>
      <c r="E81" s="136" t="str">
        <v>intake relative to maintenance</v>
      </c>
      <c r="F81" s="138"/>
      <c r="G81" s="137" t="str">
        <v/>
      </c>
      <c r="H81" s="133" t="str">
        <v>Calculated from 4.3.1.3 (7)</v>
      </c>
      <c r="I81" s="134" t="str" cm="1">
        <f t="array" aca="1" ref="I81" ca="1">HYPERLINK(Common_InputFunctions.Utility_SourceHyperlink($D$62),$D$62)</f>
        <v>M1_Table_L_j</v>
      </c>
    </row>
    <row r="82" spans="4:19" ht="20.100000000000001" customHeight="1" x14ac:dyDescent="0.25">
      <c r="D82" s="137" t="str">
        <v>Z_j</v>
      </c>
      <c r="E82" s="136" t="str">
        <v>relative size</v>
      </c>
      <c r="F82" s="138"/>
      <c r="G82" s="137" t="str">
        <v/>
      </c>
      <c r="H82" s="133" t="str">
        <v>Calculated from 4.3.1.3 (8)</v>
      </c>
      <c r="I82" s="134" t="str" cm="1">
        <f t="array" aca="1" ref="I82" ca="1">HYPERLINK(Common_InputFunctions.Utility_SourceHyperlink($D$26),$D$26)</f>
        <v>M1_Table_Z_j</v>
      </c>
    </row>
    <row r="83" spans="4:19" ht="20.100000000000001" customHeight="1" x14ac:dyDescent="0.25">
      <c r="D83" s="137" t="str">
        <v>LWG_j</v>
      </c>
      <c r="E83" s="136" t="str">
        <v>liveweight gain</v>
      </c>
      <c r="F83" s="138"/>
      <c r="G83" s="137" t="str">
        <v>kg/head/day</v>
      </c>
      <c r="H83" s="135" t="str">
        <v>Input</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453</v>
      </c>
      <c r="N85" s="104" t="s">
        <v>455</v>
      </c>
    </row>
    <row r="86" spans="4:19" ht="20.100000000000001" customHeight="1" x14ac:dyDescent="0.25">
      <c r="D86" s="103" t="s">
        <v>454</v>
      </c>
      <c r="N86" s="103" t="s">
        <v>456</v>
      </c>
    </row>
    <row r="87" spans="4:19" ht="20.100000000000001" customHeight="1" x14ac:dyDescent="0.25">
      <c r="D87" s="54" t="s">
        <v>175</v>
      </c>
      <c r="E87" s="54" t="s">
        <v>192</v>
      </c>
      <c r="F87" s="54" t="s">
        <v>193</v>
      </c>
      <c r="G87" s="54" t="s">
        <v>194</v>
      </c>
      <c r="H87" s="54" t="s">
        <v>195</v>
      </c>
      <c r="N87" s="54" t="s">
        <v>175</v>
      </c>
      <c r="O87" s="54" t="s">
        <v>192</v>
      </c>
      <c r="P87" s="54" t="s">
        <v>193</v>
      </c>
      <c r="Q87" s="54" t="s">
        <v>194</v>
      </c>
      <c r="R87" s="54" t="s">
        <v>195</v>
      </c>
    </row>
    <row r="88" spans="4:19" ht="20.100000000000001" customHeight="1" x14ac:dyDescent="0.25">
      <c r="D88" s="55">
        <f>'4.3.1.1-2 Methane'!D50</f>
        <v>0</v>
      </c>
      <c r="E88" s="55">
        <v>0</v>
      </c>
      <c r="F88" s="55">
        <v>0</v>
      </c>
      <c r="G88" s="55">
        <v>0</v>
      </c>
      <c r="H88" s="55">
        <v>0</v>
      </c>
      <c r="I88" s="2" t="str">
        <f>$G$80</f>
        <v>L/head/day</v>
      </c>
      <c r="N88" s="55">
        <f>'4.3.1.1-2 Methane'!O50</f>
        <v>0</v>
      </c>
      <c r="O88" s="55">
        <v>0</v>
      </c>
      <c r="P88" s="55">
        <v>0</v>
      </c>
      <c r="Q88" s="55">
        <v>0</v>
      </c>
      <c r="R88" s="55">
        <v>0</v>
      </c>
      <c r="S88" s="2" t="str">
        <f>$G$80</f>
        <v>L/head/day</v>
      </c>
    </row>
    <row r="89" spans="4:19" ht="20.100000000000001" customHeight="1" x14ac:dyDescent="0.25"/>
    <row r="90" spans="4:19" ht="20.100000000000001" customHeight="1" x14ac:dyDescent="0.25">
      <c r="D90" s="104" t="s">
        <v>240</v>
      </c>
    </row>
    <row r="91" spans="4:19" ht="20.100000000000001" customHeight="1" x14ac:dyDescent="0.25">
      <c r="D91" s="103" t="s">
        <v>199</v>
      </c>
    </row>
    <row r="92" spans="4:19" ht="20.100000000000001" customHeight="1" x14ac:dyDescent="0.25">
      <c r="D92" s="41" t="s">
        <v>175</v>
      </c>
      <c r="E92" s="41" t="s">
        <v>192</v>
      </c>
      <c r="F92" s="41" t="s">
        <v>193</v>
      </c>
      <c r="G92" s="41" t="s">
        <v>194</v>
      </c>
      <c r="H92" s="41" t="s">
        <v>195</v>
      </c>
    </row>
    <row r="93" spans="4:19" ht="20.100000000000001" customHeight="1" x14ac:dyDescent="0.25">
      <c r="D93" s="55">
        <f>'4.3.1.1-2 Methane'!D74</f>
        <v>20</v>
      </c>
      <c r="E93" s="55">
        <v>0</v>
      </c>
      <c r="F93" s="55">
        <v>0</v>
      </c>
      <c r="G93" s="55">
        <v>0</v>
      </c>
      <c r="H93" s="55">
        <v>0</v>
      </c>
      <c r="I93" s="2" t="str">
        <f>$G$79</f>
        <v>L/head/day</v>
      </c>
    </row>
    <row r="94" spans="4:19" ht="20.100000000000001" customHeight="1" x14ac:dyDescent="0.25"/>
    <row r="95" spans="4:19" ht="20.100000000000001" customHeight="1" x14ac:dyDescent="0.25">
      <c r="D95" s="104" t="s">
        <v>224</v>
      </c>
      <c r="N95" s="104" t="s">
        <v>226</v>
      </c>
    </row>
    <row r="96" spans="4:19" ht="20.100000000000001" customHeight="1" x14ac:dyDescent="0.25">
      <c r="D96" s="103" t="s">
        <v>225</v>
      </c>
      <c r="N96" s="103" t="s">
        <v>227</v>
      </c>
    </row>
    <row r="97" spans="1:21" ht="20.100000000000001" customHeight="1" x14ac:dyDescent="0.25">
      <c r="D97" s="41" t="s">
        <v>175</v>
      </c>
      <c r="E97" s="41" t="s">
        <v>192</v>
      </c>
      <c r="F97" s="41" t="s">
        <v>193</v>
      </c>
      <c r="G97" s="41" t="s">
        <v>194</v>
      </c>
      <c r="H97" s="41" t="s">
        <v>195</v>
      </c>
      <c r="N97" s="41" t="s">
        <v>175</v>
      </c>
      <c r="O97" s="41" t="s">
        <v>192</v>
      </c>
      <c r="P97" s="41" t="s">
        <v>193</v>
      </c>
      <c r="Q97" s="41" t="s">
        <v>194</v>
      </c>
      <c r="R97" s="41" t="s">
        <v>195</v>
      </c>
    </row>
    <row r="98" spans="1:21" ht="20.100000000000001" customHeight="1" x14ac:dyDescent="0.25">
      <c r="A98" s="141" t="str">
        <f>HYPERLINK("#A1", "▲ Back to top")</f>
        <v>▲ Back to top</v>
      </c>
      <c r="D98" s="55">
        <f>'Input - Dairy'!$E$15</f>
        <v>1.6E-2</v>
      </c>
      <c r="E98" s="55">
        <f>'Input - Dairy'!$F$15</f>
        <v>0.6</v>
      </c>
      <c r="F98" s="55">
        <f>'Input - Dairy'!$G$15</f>
        <v>0.56999999999999995</v>
      </c>
      <c r="G98" s="55">
        <f>'Input - Dairy'!$H$15</f>
        <v>0.1</v>
      </c>
      <c r="H98" s="55">
        <f>'Input - Dairy'!$I$15</f>
        <v>0.8</v>
      </c>
      <c r="I98" s="2" t="str">
        <f>$G$83</f>
        <v>kg/head/day</v>
      </c>
      <c r="N98" s="55">
        <f>'Input - Dairy'!$E$19</f>
        <v>1.6E-2</v>
      </c>
      <c r="O98" s="55">
        <f>'Input - Dairy'!$F$19</f>
        <v>0.6</v>
      </c>
      <c r="P98" s="55">
        <f>'Input - Dairy'!$G$19</f>
        <v>0.56999999999999995</v>
      </c>
      <c r="Q98" s="55">
        <f>'Input - Dairy'!$H$19</f>
        <v>0.1</v>
      </c>
      <c r="R98" s="55">
        <f>'Input - Dairy'!$I$19</f>
        <v>0.8</v>
      </c>
      <c r="S98" s="2" t="str">
        <f>$G$83</f>
        <v>kg/head/day</v>
      </c>
    </row>
    <row r="99" spans="1:21" ht="20.100000000000001" customHeight="1" x14ac:dyDescent="0.25"/>
    <row r="100" spans="1:21" ht="20.100000000000001" customHeight="1" x14ac:dyDescent="0.25">
      <c r="D100" s="104" t="s">
        <v>117</v>
      </c>
      <c r="N100" s="104" t="s">
        <v>118</v>
      </c>
    </row>
    <row r="101" spans="1:21" ht="20.100000000000001" customHeight="1" x14ac:dyDescent="0.25">
      <c r="D101" s="103" t="s">
        <v>295</v>
      </c>
      <c r="N101" s="103" t="s">
        <v>296</v>
      </c>
    </row>
    <row r="102" spans="1:21" ht="20.100000000000001" customHeight="1" x14ac:dyDescent="0.25">
      <c r="D102" s="54" t="s">
        <v>175</v>
      </c>
      <c r="E102" s="54" t="s">
        <v>192</v>
      </c>
      <c r="F102" s="54" t="s">
        <v>193</v>
      </c>
      <c r="G102" s="54" t="s">
        <v>194</v>
      </c>
      <c r="H102" s="54" t="s">
        <v>195</v>
      </c>
      <c r="N102" s="54" t="s">
        <v>175</v>
      </c>
      <c r="O102" s="54" t="s">
        <v>192</v>
      </c>
      <c r="P102" s="54" t="s">
        <v>193</v>
      </c>
      <c r="Q102" s="54" t="s">
        <v>194</v>
      </c>
      <c r="R102" s="54" t="s">
        <v>195</v>
      </c>
    </row>
    <row r="103" spans="1:21" ht="20.100000000000001" customHeight="1" x14ac:dyDescent="0.25">
      <c r="D103" s="55" cm="1">
        <f t="array" ref="D103">MMS_Dairy_N2ODirect_Equations.VEERG_4_3_1_3__6_NitrogenRetainedByBody(IF($I$78="Milk solids", D88, D93),D65,D29,D98)</f>
        <v>1.671497576209267E-2</v>
      </c>
      <c r="E103" s="55" cm="1">
        <f t="array" ref="E103">MMS_Dairy_N2ODirect_Equations.VEERG_4_3_1_3__6_NitrogenRetainedByBody(IF($I$78="Milk solids", E88, E93),E65,E29,E98)</f>
        <v>8.7932411900846184E-3</v>
      </c>
      <c r="F103" s="55" cm="1">
        <f t="array" ref="F103">MMS_Dairy_N2ODirect_Equations.VEERG_4_3_1_3__6_NitrogenRetainedByBody(IF($I$78="Milk solids", F88, F93),F65,F29,F98)</f>
        <v>1.4575548166167214E-2</v>
      </c>
      <c r="G103" s="55" cm="1">
        <f t="array" ref="G103">MMS_Dairy_N2ODirect_Equations.VEERG_4_3_1_3__6_NitrogenRetainedByBody(IF($I$78="Milk solids", G88, G93),G65,G29,G98)</f>
        <v>1.2626203146474683E-3</v>
      </c>
      <c r="H103" s="55" cm="1">
        <f t="array" ref="H103">MMS_Dairy_N2ODirect_Equations.VEERG_4_3_1_3__6_NitrogenRetainedByBody(IF($I$78="Milk solids", H88, H93),H65,H29,H98)</f>
        <v>1.9757354894894087E-2</v>
      </c>
      <c r="I103" s="2" t="str">
        <f>$E$76</f>
        <v>kg N/head/day</v>
      </c>
      <c r="N103" s="55" cm="1">
        <f t="array" ref="N103">MMS_Dairy_N2ODirect_Equations.VEERG_4_3_1_3__6_NitrogenRetainedByBody(IF($I$78="Milk solids",N88,D93),N65,N29,N98)</f>
        <v>1.671497576209267E-2</v>
      </c>
      <c r="O103" s="55" cm="1">
        <f t="array" ref="O103">MMS_Dairy_N2ODirect_Equations.VEERG_4_3_1_3__6_NitrogenRetainedByBody(IF($I$78="Milk solids",O88,E93),O65,O29,O98)</f>
        <v>8.7932411900846184E-3</v>
      </c>
      <c r="P103" s="55" cm="1">
        <f t="array" ref="P103">MMS_Dairy_N2ODirect_Equations.VEERG_4_3_1_3__6_NitrogenRetainedByBody(IF($I$78="Milk solids",P88,F93),P65,P29,P98)</f>
        <v>1.4575548166167214E-2</v>
      </c>
      <c r="Q103" s="55" cm="1">
        <f t="array" ref="Q103">MMS_Dairy_N2ODirect_Equations.VEERG_4_3_1_3__6_NitrogenRetainedByBody(IF($I$78="Milk solids",Q88,G93),Q65,Q29,Q98)</f>
        <v>1.2626203146474683E-3</v>
      </c>
      <c r="R103" s="55" cm="1">
        <f t="array" ref="R103">MMS_Dairy_N2ODirect_Equations.VEERG_4_3_1_3__6_NitrogenRetainedByBody(IF($I$78="Milk solids",R88,H93),R65,R29,R98)</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tr" cm="1">
        <f t="array" ref="D107">MMS_Dairy_N2ODirect_Equations.VEERG_4_3_1_3__5_CrudeProteinIntakeOfDairyCattle_Title()</f>
        <v>Crude protein intake of dairy cattle</v>
      </c>
    </row>
    <row r="108" spans="1:21" ht="20.100000000000001" customHeight="1" x14ac:dyDescent="0.25">
      <c r="D108" s="5" t="str" cm="1">
        <f t="array" ref="D108">MMS_Dairy_N2ODirect_Equations.VEERG_4_3_1_3__5_CrudeProteinIntakeOfDairyCattle_Source()</f>
        <v>VEERG 2026: 4.3.1.3, Equation (5)</v>
      </c>
    </row>
    <row r="109" spans="1:21" ht="20.100000000000001" customHeight="1" x14ac:dyDescent="0.25">
      <c r="D109" s="13" t="s">
        <v>28</v>
      </c>
      <c r="E109" s="13" t="str" cm="1">
        <f t="array" aca="1" ref="E109" ca="1">Common_InputFunctions.Utility_DisplayFunctionName(D126)</f>
        <v>=MMS_Dairy_N2ODirect_Equations.VEERG_4_3_1_3__5_CrudeProteinIntakeOfDairyCattle</v>
      </c>
    </row>
    <row r="110" spans="1:21" ht="20.100000000000001" customHeight="1" x14ac:dyDescent="0.25"/>
    <row r="111" spans="1:21" ht="20.100000000000001" customHeight="1" x14ac:dyDescent="0.25">
      <c r="D111" s="6"/>
    </row>
    <row r="112" spans="1:21" ht="20.100000000000001" customHeight="1" x14ac:dyDescent="0.25">
      <c r="D112" s="56" t="s">
        <v>31</v>
      </c>
      <c r="E112" s="1" t="str" cm="1">
        <f t="array" ref="E112">MMS_Dairy_N2ODirect_Equations.VEERG_4_3_1_3__5_CrudeProteinIntakeOfDairyCattle_Variable()</f>
        <v>CPI_j</v>
      </c>
    </row>
    <row r="113" spans="1:19" ht="20.100000000000001" customHeight="1" x14ac:dyDescent="0.25">
      <c r="D113" s="56" t="s">
        <v>21</v>
      </c>
      <c r="E113" s="57" t="str" cm="1">
        <f t="array" ref="E113">MMS_Dairy_N2ODirect_Equations.VEERG_4_3_1_3__5_CrudeProteinIntakeOfDairyCattle_Unit()</f>
        <v>kg/head/day</v>
      </c>
    </row>
    <row r="114" spans="1:19" ht="20.100000000000001" customHeight="1" x14ac:dyDescent="0.25"/>
    <row r="115" spans="1:19" ht="20.100000000000001" customHeight="1" x14ac:dyDescent="0.25">
      <c r="D115" s="137" t="str" cm="1">
        <f t="array" ref="D115:G116">MMS_Dairy_N2ODirect_Equations.VEERG_4_3_1_3__5_CrudeProteinIntakeOfDairyCattle_Arguments()</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115</v>
      </c>
      <c r="N118" s="104" t="s">
        <v>115</v>
      </c>
    </row>
    <row r="119" spans="1:19" ht="20.100000000000001" customHeight="1" x14ac:dyDescent="0.25">
      <c r="D119" s="103" t="s">
        <v>297</v>
      </c>
      <c r="N119" s="103" t="s">
        <v>297</v>
      </c>
    </row>
    <row r="120" spans="1:19" ht="20.100000000000001" customHeight="1" x14ac:dyDescent="0.25">
      <c r="D120" s="41" t="s">
        <v>175</v>
      </c>
      <c r="E120" s="41" t="s">
        <v>192</v>
      </c>
      <c r="F120" s="41" t="s">
        <v>193</v>
      </c>
      <c r="G120" s="41" t="s">
        <v>194</v>
      </c>
      <c r="H120" s="41" t="s">
        <v>195</v>
      </c>
      <c r="N120" s="41" t="s">
        <v>175</v>
      </c>
      <c r="O120" s="41" t="s">
        <v>192</v>
      </c>
      <c r="P120" s="41" t="s">
        <v>193</v>
      </c>
      <c r="Q120" s="41" t="s">
        <v>194</v>
      </c>
      <c r="R120" s="41" t="s">
        <v>195</v>
      </c>
    </row>
    <row r="121" spans="1:19" ht="20.100000000000001" customHeight="1" x14ac:dyDescent="0.25">
      <c r="A121" s="141" t="str">
        <f>HYPERLINK("#A1", "▲ Back to top")</f>
        <v>▲ Back to top</v>
      </c>
      <c r="D121" s="55">
        <f>'Input - Dairy'!E38</f>
        <v>0.2</v>
      </c>
      <c r="E121" s="55">
        <f>'Input - Dairy'!F38</f>
        <v>0.2</v>
      </c>
      <c r="F121" s="55">
        <f>'Input - Dairy'!G38</f>
        <v>0.2</v>
      </c>
      <c r="G121" s="55">
        <f>'Input - Dairy'!H38</f>
        <v>0.2</v>
      </c>
      <c r="H121" s="55">
        <f>'Input - Dairy'!I38</f>
        <v>0.2</v>
      </c>
      <c r="I121" s="2" t="str">
        <f>$F$116</f>
        <v>fraction</v>
      </c>
      <c r="N121" s="55">
        <f>'Input - Dairy'!E43</f>
        <v>0.2</v>
      </c>
      <c r="O121" s="55">
        <f>'Input - Dairy'!F43</f>
        <v>0.2</v>
      </c>
      <c r="P121" s="55">
        <f>'Input - Dairy'!G43</f>
        <v>0.2</v>
      </c>
      <c r="Q121" s="55">
        <f>'Input - Dairy'!H43</f>
        <v>0.2</v>
      </c>
      <c r="R121" s="55">
        <f>'Input - Dairy'!I43</f>
        <v>0.2</v>
      </c>
      <c r="S121" s="2" t="str">
        <f>$F$116</f>
        <v>fraction</v>
      </c>
    </row>
    <row r="122" spans="1:19" ht="20.100000000000001" customHeight="1" x14ac:dyDescent="0.25"/>
    <row r="123" spans="1:19" ht="20.100000000000001" customHeight="1" x14ac:dyDescent="0.25">
      <c r="D123" s="104" t="s">
        <v>298</v>
      </c>
      <c r="N123" s="104" t="s">
        <v>298</v>
      </c>
    </row>
    <row r="124" spans="1:19" ht="20.100000000000001" customHeight="1" x14ac:dyDescent="0.25">
      <c r="D124" s="103" t="s">
        <v>299</v>
      </c>
      <c r="N124" s="103" t="s">
        <v>299</v>
      </c>
    </row>
    <row r="125" spans="1:19" ht="20.100000000000001" customHeight="1" x14ac:dyDescent="0.25">
      <c r="D125" s="54" t="s">
        <v>175</v>
      </c>
      <c r="E125" s="54" t="s">
        <v>192</v>
      </c>
      <c r="F125" s="54" t="s">
        <v>193</v>
      </c>
      <c r="G125" s="54" t="s">
        <v>194</v>
      </c>
      <c r="H125" s="54" t="s">
        <v>195</v>
      </c>
      <c r="N125" s="54" t="s">
        <v>175</v>
      </c>
      <c r="O125" s="54" t="s">
        <v>192</v>
      </c>
      <c r="P125" s="54" t="s">
        <v>193</v>
      </c>
      <c r="Q125" s="54" t="s">
        <v>194</v>
      </c>
      <c r="R125" s="54" t="s">
        <v>195</v>
      </c>
    </row>
    <row r="126" spans="1:19" ht="20.100000000000001" customHeight="1" x14ac:dyDescent="0.25">
      <c r="D126" s="55" cm="1">
        <f t="array" ref="D126">MMS_Dairy_N2ODirect_Equations.VEERG_4_3_1_3__5_CrudeProteinIntakeOfDairyCattle(D50,D121)</f>
        <v>3.7668635368734389</v>
      </c>
      <c r="E126" s="55" cm="1">
        <f t="array" ref="E126">MMS_Dairy_N2ODirect_Equations.VEERG_4_3_1_3__5_CrudeProteinIntakeOfDairyCattle(E50,E121)</f>
        <v>1.4837737075199995</v>
      </c>
      <c r="F126" s="55" cm="1">
        <f t="array" ref="F126">MMS_Dairy_N2ODirect_Equations.VEERG_4_3_1_3__5_CrudeProteinIntakeOfDairyCattle(F50,F121)</f>
        <v>0.80463469324500003</v>
      </c>
      <c r="G126" s="55" cm="1">
        <f t="array" ref="G126">MMS_Dairy_N2ODirect_Equations.VEERG_4_3_1_3__5_CrudeProteinIntakeOfDairyCattle(G50,G121)</f>
        <v>1.8054040499999997</v>
      </c>
      <c r="H126" s="55" cm="1">
        <f t="array" ref="H126">MMS_Dairy_N2ODirect_Equations.VEERG_4_3_1_3__5_CrudeProteinIntakeOfDairyCattle(H50,H121)</f>
        <v>1.0828694531250003</v>
      </c>
      <c r="I126" s="2" t="str">
        <f>$E$113</f>
        <v>kg/head/day</v>
      </c>
      <c r="N126" s="55" cm="1">
        <f t="array" ref="N126">MMS_Dairy_N2ODirect_Equations.VEERG_4_3_1_3__5_CrudeProteinIntakeOfDairyCattle(N50,N121)</f>
        <v>3.7668635368734389</v>
      </c>
      <c r="O126" s="55" cm="1">
        <f t="array" ref="O126">MMS_Dairy_N2ODirect_Equations.VEERG_4_3_1_3__5_CrudeProteinIntakeOfDairyCattle(O50,O121)</f>
        <v>1.4837737075199995</v>
      </c>
      <c r="P126" s="55" cm="1">
        <f t="array" ref="P126">MMS_Dairy_N2ODirect_Equations.VEERG_4_3_1_3__5_CrudeProteinIntakeOfDairyCattle(P50,P121)</f>
        <v>0.80463469324500003</v>
      </c>
      <c r="Q126" s="55" cm="1">
        <f t="array" ref="Q126">MMS_Dairy_N2ODirect_Equations.VEERG_4_3_1_3__5_CrudeProteinIntakeOfDairyCattle(Q50,Q121)</f>
        <v>1.8054040499999997</v>
      </c>
      <c r="R126" s="55" cm="1">
        <f t="array" ref="R126">MMS_Dairy_N2ODirect_Equations.VEERG_4_3_1_3__5_CrudeProteinIntakeOfDairyCattle(R50,R121)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tr" cm="1">
        <f t="array" ref="D130">MMS_Dairy_N2ODirect_Equations.VEERG_4_3_1_3__4_NitrogenExcretedByDairyCattleGreaterThanOneYear_Title()</f>
        <v>Nitrogen excreted by dairy cattle greater than one year old</v>
      </c>
    </row>
    <row r="131" spans="1:21" ht="20.100000000000001" customHeight="1" x14ac:dyDescent="0.25">
      <c r="D131" s="5" t="str" cm="1">
        <f t="array" ref="D131">MMS_Dairy_N2ODirect_Equations.VEERG_4_3_1_3__4_NitrogenExcretedByDairyCattleGreaterThanOneYear_Source()</f>
        <v>VEERG 2026: 4.3.1.3, Equation (4)</v>
      </c>
    </row>
    <row r="132" spans="1:21" ht="20.100000000000001" customHeight="1" x14ac:dyDescent="0.25">
      <c r="D132" s="13" t="s">
        <v>28</v>
      </c>
      <c r="E132" s="13" t="str" cm="1">
        <f t="array" aca="1" ref="E132" ca="1">Common_InputFunctions.Utility_DisplayFunctionName(D146)</f>
        <v>=MMS_Dairy_N2ODirect_Equations.VEERG_4_3_1_3__4_NitrogenExcretedByDairyCattleGreaterThanOneYear</v>
      </c>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31</v>
      </c>
      <c r="E136" s="1" t="str" cm="1">
        <f t="array" ref="E136">MMS_Dairy_N2ODirect_Equations.VEERG_4_3_1_3__4_NitrogenExcretedByDairyCattleGreaterThanOneYear_Variable()</f>
        <v>NE_j</v>
      </c>
    </row>
    <row r="137" spans="1:21" ht="20.100000000000001" customHeight="1" x14ac:dyDescent="0.25">
      <c r="D137" s="56" t="s">
        <v>21</v>
      </c>
      <c r="E137" s="57" t="str" cm="1">
        <f t="array" ref="E137">MMS_Dairy_N2ODirect_Equations.VEERG_4_3_1_3__4_NitrogenExcretedByDairyCattleGreaterThanOneYear_Unit()</f>
        <v>kg N/head/day</v>
      </c>
    </row>
    <row r="138" spans="1:21" ht="20.100000000000001" customHeight="1" x14ac:dyDescent="0.25"/>
    <row r="139" spans="1:21" ht="20.100000000000001" customHeight="1" x14ac:dyDescent="0.25">
      <c r="D139" s="137" t="str" cm="1">
        <f t="array" ref="D139:E141">_xlfn.CHOOSECOLS(MMS_Dairy_N2ODirect_Equations.VEERG_4_3_1_3__4_NitrogenExcretedByDairyCattleGreaterThanOneYear_Arguments(),1,2)</f>
        <v>CPI_j</v>
      </c>
      <c r="E139" s="136" t="str">
        <v>crude protein intake (kg/head/day)</v>
      </c>
      <c r="F139" s="138"/>
      <c r="G139" s="137" t="str" cm="1">
        <f t="array" ref="G139:H141">_xlfn.CHOOSECOLS(MMS_Dairy_N2ODirect_Equations.VEERG_4_3_1_3__4_NitrogenExcretedByDairyCattleGreaterThanOneYear_Arguments(),3,4)</f>
        <v>kg/head/day</v>
      </c>
      <c r="H139" s="133" t="str">
        <v>Calculated from 4.3.1.3 (5)</v>
      </c>
      <c r="I139" s="134" t="str" cm="1">
        <f t="array" aca="1" ref="I139" ca="1">HYPERLINK(Common_InputFunctions.Utility_SourceHyperlink($D$123),$D$123)</f>
        <v>M1_Table_CPI_j</v>
      </c>
    </row>
    <row r="140" spans="1:21" ht="20.100000000000001" customHeight="1" x14ac:dyDescent="0.25">
      <c r="D140" s="137" t="str">
        <v>NR_j</v>
      </c>
      <c r="E140" s="136" t="str">
        <v>amount of nitrogen retained by the body</v>
      </c>
      <c r="F140" s="138"/>
      <c r="G140" s="137" t="str">
        <v>kg N/head/day</v>
      </c>
      <c r="H140" s="133" t="str">
        <v>Calculated from 4.3.1.3 (6)</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tr">
        <v>W_j</v>
      </c>
      <c r="E141" s="136" t="str">
        <v>liveweight (kg)</v>
      </c>
      <c r="F141" s="138"/>
      <c r="G141" s="137" t="str">
        <v>kg</v>
      </c>
      <c r="H141" s="135" t="str">
        <v>Input</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119</v>
      </c>
      <c r="N143" s="104" t="s">
        <v>120</v>
      </c>
    </row>
    <row r="144" spans="1:21" ht="20.100000000000001" customHeight="1" x14ac:dyDescent="0.25">
      <c r="D144" s="103" t="s">
        <v>300</v>
      </c>
      <c r="N144" s="103" t="s">
        <v>301</v>
      </c>
    </row>
    <row r="145" spans="3:21" ht="20.100000000000001" customHeight="1" x14ac:dyDescent="0.25">
      <c r="D145" s="54" t="s">
        <v>175</v>
      </c>
      <c r="E145" s="54" t="s">
        <v>192</v>
      </c>
      <c r="F145" s="54" t="s">
        <v>193</v>
      </c>
      <c r="G145" s="54" t="s">
        <v>194</v>
      </c>
      <c r="H145" s="54" t="s">
        <v>195</v>
      </c>
      <c r="N145" s="54" t="s">
        <v>175</v>
      </c>
      <c r="O145" s="54" t="s">
        <v>192</v>
      </c>
      <c r="P145" s="54" t="s">
        <v>193</v>
      </c>
      <c r="Q145" s="54" t="s">
        <v>194</v>
      </c>
      <c r="R145" s="54" t="s">
        <v>195</v>
      </c>
    </row>
    <row r="146" spans="3:21" ht="20.100000000000001" customHeight="1" x14ac:dyDescent="0.25">
      <c r="D146" s="55" cm="1">
        <f t="array" ref="D146">MMS_Dairy_N2ODirect_Equations.VEERG_4_3_1_3__4_NitrogenExcretedByDairyCattleGreaterThanOneYear(D126,D103,D19)</f>
        <v>0.58398431951631957</v>
      </c>
      <c r="E146" s="55" cm="1">
        <f t="array" ref="E146">MMS_Dairy_N2ODirect_Equations.VEERG_4_3_1_3__4_NitrogenExcretedByDairyCattleGreaterThanOneYear(E126,E103,E19)</f>
        <v>0.22709576921272823</v>
      </c>
      <c r="F146" s="55" cm="1">
        <f t="array" ref="F146">MMS_Dairy_N2ODirect_Equations.VEERG_4_3_1_3__4_NitrogenExcretedByDairyCattleGreaterThanOneYear(F126,F103,F19)</f>
        <v>0.1133928568810149</v>
      </c>
      <c r="G146" s="55" cm="1">
        <f t="array" ref="G146">MMS_Dairy_N2ODirect_Equations.VEERG_4_3_1_3__4_NitrogenExcretedByDairyCattleGreaterThanOneYear(G126,G103,G19)</f>
        <v>0.28546836331241399</v>
      </c>
      <c r="H146" s="55" cm="1">
        <f t="array" ref="H146">MMS_Dairy_N2ODirect_Equations.VEERG_4_3_1_3__4_NitrogenExcretedByDairyCattleGreaterThanOneYear(H126,H103,H19)</f>
        <v>0.15247929000170721</v>
      </c>
      <c r="I146" s="2" t="str">
        <f>$E$137</f>
        <v>kg N/head/day</v>
      </c>
      <c r="N146" s="55" cm="1">
        <f t="array" ref="N146">MMS_Dairy_N2ODirect_Equations.VEERG_4_3_1_3__4_NitrogenExcretedByDairyCattleGreaterThanOneYear(N126,N103,N19)</f>
        <v>0.58398431951631957</v>
      </c>
      <c r="O146" s="55" cm="1">
        <f t="array" ref="O146">MMS_Dairy_N2ODirect_Equations.VEERG_4_3_1_3__4_NitrogenExcretedByDairyCattleGreaterThanOneYear(O126,O103,O19)</f>
        <v>0.22709576921272823</v>
      </c>
      <c r="P146" s="55" cm="1">
        <f t="array" ref="P146">MMS_Dairy_N2ODirect_Equations.VEERG_4_3_1_3__4_NitrogenExcretedByDairyCattleGreaterThanOneYear(P126,P103,P19)</f>
        <v>0.1133928568810149</v>
      </c>
      <c r="Q146" s="55" cm="1">
        <f t="array" ref="Q146">MMS_Dairy_N2ODirect_Equations.VEERG_4_3_1_3__4_NitrogenExcretedByDairyCattleGreaterThanOneYear(Q126,Q103,Q19)</f>
        <v>0.28546836331241399</v>
      </c>
      <c r="R146" s="55"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8"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28</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6" t="s">
        <v>31</v>
      </c>
      <c r="E156" s="1" t="str" cm="1">
        <f t="array" ref="E156">MMS_Dairy_N2ODirect_Equations.VEERG_4_3_1_3__3a_TotalAnnualNitrogenExcretedGreaterThanOneYear_Variable()</f>
        <v>AE_j124</v>
      </c>
    </row>
    <row r="157" spans="3:21" ht="20.100000000000001" customHeight="1" x14ac:dyDescent="0.25">
      <c r="D157" s="56" t="s">
        <v>21</v>
      </c>
      <c r="E157" s="57"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7" t="str" cm="1">
        <f t="array" ref="D159:E161">_xlfn.CHOOSECOLS(MMS_Dairy_N2ODirect_Equations.VEERG_4_3_1_3__3a_TotalAnnualNitrogenExcretedGreaterThanOneYear_Arguments(),1,2)</f>
        <v>N_j124</v>
      </c>
      <c r="E159" s="136" t="str">
        <v>number of dairy cattle in classes j=1,2,4</v>
      </c>
      <c r="F159" s="138"/>
      <c r="G159" s="137" t="str" cm="1">
        <f t="array" ref="G159:H161">_xlfn.CHOOSECOLS(MMS_Dairy_N2ODirect_Equations.VEERG_4_3_1_3__3a_TotalAnnualNitrogenExcretedGreaterThanOneYear_Arguments(),3,4)</f>
        <v>head</v>
      </c>
      <c r="H159" s="135" t="str">
        <v>Input</v>
      </c>
      <c r="I159" s="134" t="str" cm="1">
        <f t="array" aca="1" ref="I159" ca="1">HYPERLINK(Common_InputFunctions.Utility_SourceHyperlink($D$163),$D$163)</f>
        <v>Table_N_j</v>
      </c>
    </row>
    <row r="160" spans="3:21" ht="20.100000000000001" customHeight="1" x14ac:dyDescent="0.25">
      <c r="D160" s="137" t="str">
        <v>NE_j124</v>
      </c>
      <c r="E160" s="136" t="str">
        <v>nitrogen excreted by dairy cattle greater than one year old (kg N/head/day)</v>
      </c>
      <c r="F160" s="138"/>
      <c r="G160" s="137" t="str">
        <v>kg N/head/day</v>
      </c>
      <c r="H160" s="133" t="str">
        <v>Calculated from 4.3.1.3 (4)</v>
      </c>
      <c r="I160" s="134" t="str" cm="1">
        <f t="array" aca="1" ref="I160" ca="1">HYPERLINK(Common_InputFunctions.Utility_SourceHyperlink($D$143),$D$143)</f>
        <v>M1_Table_NE_j</v>
      </c>
    </row>
    <row r="161" spans="1:19" ht="20.100000000000001" customHeight="1" x14ac:dyDescent="0.25">
      <c r="D161" s="137" t="str">
        <v>D_j124</v>
      </c>
      <c r="E161" s="136" t="str">
        <v>duration of stay on farm for classes j=1,2,4 (days)</v>
      </c>
      <c r="F161" s="138"/>
      <c r="G161" s="137" t="str">
        <v>days</v>
      </c>
      <c r="H161" s="135" t="str">
        <v>Input</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109</v>
      </c>
    </row>
    <row r="164" spans="1:19" ht="20.100000000000001" customHeight="1" x14ac:dyDescent="0.25">
      <c r="D164" s="103" t="s">
        <v>268</v>
      </c>
    </row>
    <row r="165" spans="1:19" ht="20.100000000000001" customHeight="1" x14ac:dyDescent="0.25">
      <c r="D165" s="41" t="s">
        <v>175</v>
      </c>
      <c r="E165" s="41" t="s">
        <v>192</v>
      </c>
      <c r="F165" s="41" t="s">
        <v>193</v>
      </c>
      <c r="G165" s="41" t="s">
        <v>194</v>
      </c>
      <c r="H165" s="41" t="s">
        <v>195</v>
      </c>
    </row>
    <row r="166" spans="1:19" ht="20.100000000000001" customHeight="1" x14ac:dyDescent="0.25">
      <c r="D166" s="107">
        <f>'Input - Dairy'!$E$10</f>
        <v>100</v>
      </c>
      <c r="E166" s="107">
        <f>'Input - Dairy'!$F$10</f>
        <v>100</v>
      </c>
      <c r="F166" s="107">
        <f>'Input - Dairy'!$G$10</f>
        <v>100</v>
      </c>
      <c r="G166" s="107">
        <f>'Input - Dairy'!$H$10</f>
        <v>100</v>
      </c>
      <c r="H166" s="107">
        <f>'Input - Dairy'!$I$10</f>
        <v>100</v>
      </c>
      <c r="I166" s="2" t="str">
        <f>G159</f>
        <v>head</v>
      </c>
    </row>
    <row r="167" spans="1:19" ht="20.100000000000001" customHeight="1" x14ac:dyDescent="0.25"/>
    <row r="168" spans="1:19" ht="20.100000000000001" customHeight="1" x14ac:dyDescent="0.25">
      <c r="D168" s="104" t="s">
        <v>275</v>
      </c>
      <c r="N168" s="104" t="s">
        <v>275</v>
      </c>
    </row>
    <row r="169" spans="1:19" ht="20.100000000000001" customHeight="1" x14ac:dyDescent="0.25">
      <c r="D169" s="103" t="s">
        <v>304</v>
      </c>
      <c r="N169" s="103" t="s">
        <v>305</v>
      </c>
    </row>
    <row r="170" spans="1:19" ht="20.100000000000001" customHeight="1" x14ac:dyDescent="0.25">
      <c r="D170" s="41" t="s">
        <v>175</v>
      </c>
      <c r="E170" s="41" t="s">
        <v>192</v>
      </c>
      <c r="F170" s="41" t="s">
        <v>193</v>
      </c>
      <c r="G170" s="41" t="s">
        <v>194</v>
      </c>
      <c r="H170" s="41" t="s">
        <v>195</v>
      </c>
      <c r="N170" s="41" t="s">
        <v>175</v>
      </c>
      <c r="O170" s="41" t="s">
        <v>192</v>
      </c>
      <c r="P170" s="41" t="s">
        <v>193</v>
      </c>
      <c r="Q170" s="41" t="s">
        <v>194</v>
      </c>
      <c r="R170" s="41" t="s">
        <v>195</v>
      </c>
    </row>
    <row r="171" spans="1:19" ht="20.100000000000001" customHeight="1" x14ac:dyDescent="0.25">
      <c r="A171" s="141" t="str">
        <f>HYPERLINK("#A1", "▲ Back to top")</f>
        <v>▲ Back to top</v>
      </c>
      <c r="D171" s="55">
        <f>'Input - Dairy'!$E$24</f>
        <v>365</v>
      </c>
      <c r="E171" s="55">
        <f>'Input - Dairy'!$F$24</f>
        <v>365</v>
      </c>
      <c r="F171" s="55">
        <v>0</v>
      </c>
      <c r="G171" s="55">
        <f>'Input - Dairy'!$H$24</f>
        <v>365</v>
      </c>
      <c r="H171" s="55">
        <v>0</v>
      </c>
      <c r="I171" s="2" t="str">
        <f>G161</f>
        <v>days</v>
      </c>
      <c r="N171" s="55">
        <f>'Input - Dairy'!E28</f>
        <v>365</v>
      </c>
      <c r="O171" s="55">
        <f>'Input - Dairy'!F28</f>
        <v>365</v>
      </c>
      <c r="P171" s="55">
        <v>0</v>
      </c>
      <c r="Q171" s="55">
        <f>'Input - Dairy'!H28</f>
        <v>365</v>
      </c>
      <c r="R171" s="55">
        <v>0</v>
      </c>
      <c r="S171" s="2" t="s">
        <v>56</v>
      </c>
    </row>
    <row r="172" spans="1:19" ht="20.100000000000001" customHeight="1" x14ac:dyDescent="0.25"/>
    <row r="173" spans="1:19" ht="20.100000000000001" customHeight="1" x14ac:dyDescent="0.25">
      <c r="D173" s="104" t="s">
        <v>302</v>
      </c>
      <c r="N173" s="104" t="s">
        <v>302</v>
      </c>
    </row>
    <row r="174" spans="1:19" ht="20.100000000000001" customHeight="1" x14ac:dyDescent="0.25">
      <c r="D174" s="103" t="s">
        <v>311</v>
      </c>
      <c r="N174" s="103" t="s">
        <v>303</v>
      </c>
    </row>
    <row r="175" spans="1:19" ht="20.100000000000001" customHeight="1" x14ac:dyDescent="0.25">
      <c r="D175" s="54" t="s">
        <v>175</v>
      </c>
      <c r="E175" s="54" t="s">
        <v>192</v>
      </c>
      <c r="F175" s="54" t="s">
        <v>193</v>
      </c>
      <c r="G175" s="54" t="s">
        <v>194</v>
      </c>
      <c r="H175" s="54" t="s">
        <v>195</v>
      </c>
      <c r="N175" s="54" t="s">
        <v>175</v>
      </c>
      <c r="O175" s="54" t="s">
        <v>192</v>
      </c>
      <c r="P175" s="54" t="s">
        <v>193</v>
      </c>
      <c r="Q175" s="54" t="s">
        <v>194</v>
      </c>
      <c r="R175" s="54" t="s">
        <v>195</v>
      </c>
    </row>
    <row r="176" spans="1:19" ht="20.100000000000001" customHeight="1" x14ac:dyDescent="0.25">
      <c r="D176" s="55" cm="1">
        <f t="array" ref="D176">MMS_Dairy_N2ODirect_Equations.VEERG_4_3_1_3__3a_TotalAnnualNitrogenExcretedGreaterThanOneYearVariation(D166,D146,D171)</f>
        <v>21315.427662345664</v>
      </c>
      <c r="E176" s="55" cm="1">
        <f t="array" ref="E176">MMS_Dairy_N2ODirect_Equations.VEERG_4_3_1_3__3a_TotalAnnualNitrogenExcretedGreaterThanOneYearVariation(E166,E146,E171)</f>
        <v>8288.9955762645804</v>
      </c>
      <c r="F176" s="55" cm="1">
        <f t="array" ref="F176">MMS_Dairy_N2ODirect_Equations.VEERG_4_3_1_3__3a_TotalAnnualNitrogenExcretedGreaterThanOneYearVariation(F166,F146,F171)</f>
        <v>0</v>
      </c>
      <c r="G176" s="55" cm="1">
        <f t="array" ref="G176">MMS_Dairy_N2ODirect_Equations.VEERG_4_3_1_3__3a_TotalAnnualNitrogenExcretedGreaterThanOneYearVariation(G166,G146,G171)</f>
        <v>10419.59526090311</v>
      </c>
      <c r="H176" s="55" cm="1">
        <f t="array" ref="H176">MMS_Dairy_N2ODirect_Equations.VEERG_4_3_1_3__3a_TotalAnnualNitrogenExcretedGreaterThanOneYearVariation(H166,H146,H171)</f>
        <v>0</v>
      </c>
      <c r="I176" s="2" t="str">
        <f>$E$157</f>
        <v>kg N</v>
      </c>
      <c r="N176" s="55" cm="1">
        <f t="array" ref="N176">MMS_Dairy_N2ODirect_Equations.VEERG_4_3_1_3__3a_TotalAnnualNitrogenExcretedGreaterThanOneYearVariation(D166,N146,N171)</f>
        <v>21315.427662345664</v>
      </c>
      <c r="O176" s="55" cm="1">
        <f t="array" ref="O176">MMS_Dairy_N2ODirect_Equations.VEERG_4_3_1_3__3a_TotalAnnualNitrogenExcretedGreaterThanOneYearVariation(E166,O146,O171)</f>
        <v>8288.9955762645804</v>
      </c>
      <c r="P176" s="55" cm="1">
        <f t="array" ref="P176">MMS_Dairy_N2ODirect_Equations.VEERG_4_3_1_3__3a_TotalAnnualNitrogenExcretedGreaterThanOneYearVariation(F166,P146,P171)</f>
        <v>0</v>
      </c>
      <c r="Q176" s="55" cm="1">
        <f t="array" ref="Q176">MMS_Dairy_N2ODirect_Equations.VEERG_4_3_1_3__3a_TotalAnnualNitrogenExcretedGreaterThanOneYearVariation(G166,Q146,Q171)</f>
        <v>10419.59526090311</v>
      </c>
      <c r="R176" s="55"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8"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28</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6" t="s">
        <v>31</v>
      </c>
      <c r="E186" s="1" t="str" cm="1">
        <f t="array" ref="E186">MMS_Dairy_N2ODirect_Equations.VEERG_4_3_1_3__3b_TotalAnnualNitrogenExcretedLessThanOneYear_Variable()</f>
        <v>AE_j35</v>
      </c>
    </row>
    <row r="187" spans="3:21" ht="20.100000000000001" customHeight="1" x14ac:dyDescent="0.25">
      <c r="D187" s="56" t="s">
        <v>21</v>
      </c>
      <c r="E187" s="57"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7" t="str" cm="1">
        <f t="array" ref="D189:E193">_xlfn.CHOOSECOLS(MMS_Dairy_N2ODirect_Equations.VEERG_4_3_1_3__3b_TotalAnnualNitrogenExcretedLessThanOneYear_Arguments(),1,2)</f>
        <v>N_j35</v>
      </c>
      <c r="E189" s="136" t="str">
        <v>number of dairy cattle in classes j=3,5</v>
      </c>
      <c r="F189" s="138"/>
      <c r="G189" s="137" t="str" cm="1">
        <f t="array" ref="G189:H193">_xlfn.CHOOSECOLS(MMS_Dairy_N2ODirect_Equations.VEERG_4_3_1_3__3b_TotalAnnualNitrogenExcretedLessThanOneYear_Arguments(),3,4)</f>
        <v>head</v>
      </c>
      <c r="H189" s="135" t="str">
        <v>Input</v>
      </c>
      <c r="I189" s="134" t="str" cm="1">
        <f t="array" aca="1" ref="I189" ca="1">HYPERLINK(Common_InputFunctions.Utility_SourceHyperlink($D$163),$D$163)</f>
        <v>Table_N_j</v>
      </c>
    </row>
    <row r="190" spans="3:21" ht="20.100000000000001" customHeight="1" x14ac:dyDescent="0.25">
      <c r="D190" s="137" t="str">
        <v>NE_j35</v>
      </c>
      <c r="E190" s="136" t="str">
        <v>nitrogen excreted by weaned dairy cattle less than one year old (kg N/head/day)</v>
      </c>
      <c r="F190" s="138"/>
      <c r="G190" s="137" t="str">
        <v>kg N/head/day</v>
      </c>
      <c r="H190" s="133" t="str">
        <v>Calculated from 4.3.1.3 (4)</v>
      </c>
      <c r="I190" s="134" t="str" cm="1">
        <f t="array" aca="1" ref="I190" ca="1">HYPERLINK(Common_InputFunctions.Utility_SourceHyperlink($D$143),$D$143)</f>
        <v>M1_Table_NE_j</v>
      </c>
    </row>
    <row r="191" spans="3:21" ht="20.100000000000001" customHeight="1" x14ac:dyDescent="0.25">
      <c r="D191" s="137" t="str">
        <v>NPW_j35</v>
      </c>
      <c r="E191" s="136" t="str">
        <v>nitrogen excreted by pre-weaned calves (kg N/head/day)</v>
      </c>
      <c r="F191" s="138"/>
      <c r="G191" s="137" t="str">
        <v>kg N/head/day</v>
      </c>
      <c r="H191" s="133" t="str">
        <v>Constant</v>
      </c>
      <c r="I191" s="134" t="str" cm="1">
        <f t="array" aca="1" ref="I191" ca="1">HYPERLINK(Common_InputFunctions.Utility_SourceHyperlink($D$195),$D$195)</f>
        <v>Table_NPW_j-3-5</v>
      </c>
    </row>
    <row r="192" spans="3:21" ht="20.100000000000001" customHeight="1" x14ac:dyDescent="0.25">
      <c r="D192" s="137" t="str">
        <v>D_j35</v>
      </c>
      <c r="E192" s="136" t="str">
        <v>duration of stay on farm for weaned dairy cattle less than one year old (days)</v>
      </c>
      <c r="F192" s="138"/>
      <c r="G192" s="137" t="str">
        <v>days</v>
      </c>
      <c r="H192" s="135" t="str">
        <v>Input</v>
      </c>
      <c r="I192" s="134" t="str" cm="1">
        <f t="array" aca="1" ref="I192" ca="1">HYPERLINK(Common_InputFunctions.Utility_SourceHyperlink($D$200),$D$200)</f>
        <v>M1_Table_D_j-3-5</v>
      </c>
    </row>
    <row r="193" spans="1:19" ht="20.100000000000001" customHeight="1" x14ac:dyDescent="0.25">
      <c r="D193" s="137" t="str">
        <v>DPW_j35</v>
      </c>
      <c r="E193" s="136" t="str">
        <v>duration of stay on farm for pre-weaned calves (days)</v>
      </c>
      <c r="F193" s="138"/>
      <c r="G193" s="137" t="str">
        <v>days</v>
      </c>
      <c r="H193" s="135" t="str">
        <v>Input</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308</v>
      </c>
    </row>
    <row r="196" spans="1:19" ht="20.100000000000001" customHeight="1" x14ac:dyDescent="0.25">
      <c r="D196" s="103" t="s">
        <v>309</v>
      </c>
    </row>
    <row r="197" spans="1:19" ht="20.100000000000001" customHeight="1" x14ac:dyDescent="0.25">
      <c r="D197" s="54" t="s">
        <v>175</v>
      </c>
      <c r="E197" s="54" t="s">
        <v>192</v>
      </c>
      <c r="F197" s="54" t="s">
        <v>193</v>
      </c>
      <c r="G197" s="54" t="s">
        <v>194</v>
      </c>
      <c r="H197" s="54" t="s">
        <v>195</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306</v>
      </c>
      <c r="N200" s="104" t="s">
        <v>306</v>
      </c>
    </row>
    <row r="201" spans="1:19" ht="20.100000000000001" customHeight="1" x14ac:dyDescent="0.25">
      <c r="D201" s="103" t="s">
        <v>307</v>
      </c>
      <c r="N201" s="103" t="s">
        <v>307</v>
      </c>
    </row>
    <row r="202" spans="1:19" ht="20.100000000000001" customHeight="1" x14ac:dyDescent="0.25">
      <c r="D202" s="41" t="s">
        <v>175</v>
      </c>
      <c r="E202" s="41" t="s">
        <v>192</v>
      </c>
      <c r="F202" s="41" t="s">
        <v>193</v>
      </c>
      <c r="G202" s="41" t="s">
        <v>194</v>
      </c>
      <c r="H202" s="41" t="s">
        <v>195</v>
      </c>
      <c r="N202" s="41" t="s">
        <v>175</v>
      </c>
      <c r="O202" s="41" t="s">
        <v>192</v>
      </c>
      <c r="P202" s="41" t="s">
        <v>193</v>
      </c>
      <c r="Q202" s="41" t="s">
        <v>194</v>
      </c>
      <c r="R202" s="41" t="s">
        <v>195</v>
      </c>
    </row>
    <row r="203" spans="1:19" ht="20.100000000000001" customHeight="1" x14ac:dyDescent="0.25">
      <c r="D203" s="55">
        <v>0</v>
      </c>
      <c r="E203" s="55">
        <v>0</v>
      </c>
      <c r="F203" s="55">
        <f>'Input - Dairy'!$G$24</f>
        <v>281</v>
      </c>
      <c r="G203" s="55">
        <v>0</v>
      </c>
      <c r="H203" s="55">
        <f>'Input - Dairy'!$I$24</f>
        <v>281</v>
      </c>
      <c r="I203" s="2" t="str">
        <f>$G$192</f>
        <v>days</v>
      </c>
      <c r="N203" s="55">
        <v>0</v>
      </c>
      <c r="O203" s="55">
        <v>0</v>
      </c>
      <c r="P203" s="55">
        <f>'Input - Dairy'!G28</f>
        <v>281</v>
      </c>
      <c r="Q203" s="55">
        <v>0</v>
      </c>
      <c r="R203" s="55">
        <f>'Input - Dairy'!I28</f>
        <v>281</v>
      </c>
      <c r="S203" s="2" t="str">
        <f>$G$192</f>
        <v>days</v>
      </c>
    </row>
    <row r="204" spans="1:19" ht="20.100000000000001" customHeight="1" x14ac:dyDescent="0.25"/>
    <row r="205" spans="1:19" ht="20.100000000000001" customHeight="1" x14ac:dyDescent="0.25">
      <c r="D205" s="104" t="s">
        <v>270</v>
      </c>
      <c r="N205" s="104" t="s">
        <v>270</v>
      </c>
    </row>
    <row r="206" spans="1:19" ht="20.100000000000001" customHeight="1" x14ac:dyDescent="0.25">
      <c r="D206" s="103" t="s">
        <v>278</v>
      </c>
      <c r="N206" s="103" t="s">
        <v>278</v>
      </c>
    </row>
    <row r="207" spans="1:19" ht="20.100000000000001" customHeight="1" x14ac:dyDescent="0.25">
      <c r="D207" s="41" t="s">
        <v>175</v>
      </c>
      <c r="E207" s="41" t="s">
        <v>192</v>
      </c>
      <c r="F207" s="41" t="s">
        <v>193</v>
      </c>
      <c r="G207" s="41" t="s">
        <v>194</v>
      </c>
      <c r="H207" s="41" t="s">
        <v>195</v>
      </c>
      <c r="N207" s="41" t="s">
        <v>175</v>
      </c>
      <c r="O207" s="41" t="s">
        <v>192</v>
      </c>
      <c r="P207" s="41" t="s">
        <v>193</v>
      </c>
      <c r="Q207" s="41" t="s">
        <v>194</v>
      </c>
      <c r="R207" s="41" t="s">
        <v>195</v>
      </c>
    </row>
    <row r="208" spans="1:19" ht="20.100000000000001" customHeight="1" x14ac:dyDescent="0.25">
      <c r="A208" s="141" t="str">
        <f>HYPERLINK("#A1", "▲ Back to top")</f>
        <v>▲ Back to top</v>
      </c>
      <c r="D208" s="55">
        <f>'Input - Dairy'!$E$25</f>
        <v>0</v>
      </c>
      <c r="E208" s="55">
        <f>'Input - Dairy'!$F$25</f>
        <v>0</v>
      </c>
      <c r="F208" s="55">
        <f>'Input - Dairy'!$G$25</f>
        <v>84</v>
      </c>
      <c r="G208" s="55">
        <f>'Input - Dairy'!$H$25</f>
        <v>0</v>
      </c>
      <c r="H208" s="55">
        <f>'Input - Dairy'!$I$25</f>
        <v>84</v>
      </c>
      <c r="I208" s="2" t="str">
        <f>$G$193</f>
        <v>days</v>
      </c>
      <c r="N208" s="55">
        <f>'Input - Dairy'!$E$25</f>
        <v>0</v>
      </c>
      <c r="O208" s="55">
        <f>'Input - Dairy'!$F$25</f>
        <v>0</v>
      </c>
      <c r="P208" s="55">
        <f>'Input - Dairy'!G29</f>
        <v>84</v>
      </c>
      <c r="Q208" s="55">
        <f>'Input - Dairy'!$H$25</f>
        <v>0</v>
      </c>
      <c r="R208" s="55">
        <f>'Input - Dairy'!I29</f>
        <v>84</v>
      </c>
      <c r="S208" s="2" t="str">
        <f>$G$193</f>
        <v>days</v>
      </c>
    </row>
    <row r="209" spans="3:21" ht="20.100000000000001" customHeight="1" x14ac:dyDescent="0.25"/>
    <row r="210" spans="3:21" ht="20.100000000000001" customHeight="1" x14ac:dyDescent="0.25">
      <c r="D210" s="104" t="s">
        <v>123</v>
      </c>
      <c r="N210" s="104" t="s">
        <v>123</v>
      </c>
    </row>
    <row r="211" spans="3:21" ht="20.100000000000001" customHeight="1" x14ac:dyDescent="0.25">
      <c r="D211" s="103" t="s">
        <v>310</v>
      </c>
      <c r="N211" s="103" t="s">
        <v>310</v>
      </c>
    </row>
    <row r="212" spans="3:21" ht="20.100000000000001" customHeight="1" x14ac:dyDescent="0.25">
      <c r="D212" s="54" t="s">
        <v>175</v>
      </c>
      <c r="E212" s="54" t="s">
        <v>192</v>
      </c>
      <c r="F212" s="54" t="s">
        <v>193</v>
      </c>
      <c r="G212" s="54" t="s">
        <v>194</v>
      </c>
      <c r="H212" s="54" t="s">
        <v>195</v>
      </c>
      <c r="N212" s="54" t="s">
        <v>175</v>
      </c>
      <c r="O212" s="54" t="s">
        <v>192</v>
      </c>
      <c r="P212" s="54" t="s">
        <v>193</v>
      </c>
      <c r="Q212" s="54" t="s">
        <v>194</v>
      </c>
      <c r="R212" s="54" t="s">
        <v>195</v>
      </c>
    </row>
    <row r="213" spans="3:21" ht="20.100000000000001" customHeight="1" x14ac:dyDescent="0.25">
      <c r="D213" s="55" cm="1">
        <f t="array" ref="D213">MMS_Dairy_N2ODirect_Equations.VEERG_4_3_1_3__3b_TotalAnnualNitrogenExcretedLessThanOneYearVariation(D166,D146,D198,D203,D208)</f>
        <v>0</v>
      </c>
      <c r="E213" s="55" cm="1">
        <f t="array" ref="E213">MMS_Dairy_N2ODirect_Equations.VEERG_4_3_1_3__3b_TotalAnnualNitrogenExcretedLessThanOneYearVariation(E166,E146,E198,E203,E208)</f>
        <v>0</v>
      </c>
      <c r="F213" s="55" cm="1">
        <f t="array" ref="F213">MMS_Dairy_N2ODirect_Equations.VEERG_4_3_1_3__3b_TotalAnnualNitrogenExcretedLessThanOneYearVariation(F166,F146,F198,F203,F208)</f>
        <v>3301.419278356519</v>
      </c>
      <c r="G213" s="55" cm="1">
        <f t="array" ref="G213">MMS_Dairy_N2ODirect_Equations.VEERG_4_3_1_3__3b_TotalAnnualNitrogenExcretedLessThanOneYearVariation(G166,G146,G198,G203,G208)</f>
        <v>0</v>
      </c>
      <c r="H213" s="55" cm="1">
        <f t="array" ref="H213">MMS_Dairy_N2ODirect_Equations.VEERG_4_3_1_3__3b_TotalAnnualNitrogenExcretedLessThanOneYearVariation(H166,H146,H198,H203,H208)</f>
        <v>4361.9480490479727</v>
      </c>
      <c r="I213" s="2" t="str">
        <f>$E$187</f>
        <v>kg N</v>
      </c>
      <c r="N213" s="55" cm="1">
        <f t="array" ref="N213">MMS_Dairy_N2ODirect_Equations.VEERG_4_3_1_3__3b_TotalAnnualNitrogenExcretedLessThanOneYearVariation(D166,N146,D198,N203,N208)</f>
        <v>0</v>
      </c>
      <c r="O213" s="55" cm="1">
        <f t="array" ref="O213">MMS_Dairy_N2ODirect_Equations.VEERG_4_3_1_3__3b_TotalAnnualNitrogenExcretedLessThanOneYearVariation(E166,O146,E198,O203,O208)</f>
        <v>0</v>
      </c>
      <c r="P213" s="55" cm="1">
        <f t="array" ref="P213">MMS_Dairy_N2ODirect_Equations.VEERG_4_3_1_3__3b_TotalAnnualNitrogenExcretedLessThanOneYearVariation(F166,P146,F198,P203,P208)</f>
        <v>3301.419278356519</v>
      </c>
      <c r="Q213" s="55" cm="1">
        <f t="array" ref="Q213">MMS_Dairy_N2ODirect_Equations.VEERG_4_3_1_3__3b_TotalAnnualNitrogenExcretedLessThanOneYearVariation(G166,Q146,G198,Q203,Q208)</f>
        <v>0</v>
      </c>
      <c r="R213" s="55"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28</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6" t="s">
        <v>31</v>
      </c>
      <c r="E222" s="1" t="str" cm="1">
        <f t="array" ref="E222">MMS_Dairy_N2ODirect_Equations.VEERG_4_3_1_3__2_TotalNitrogenInEachMMS_Variable()</f>
        <v>MN_jm</v>
      </c>
    </row>
    <row r="223" spans="3:21" ht="20.100000000000001" customHeight="1" x14ac:dyDescent="0.25">
      <c r="D223" s="56" t="s">
        <v>21</v>
      </c>
      <c r="E223" s="57" t="str" cm="1">
        <f t="array" ref="E223">MMS_Dairy_N2ODirect_Equations.VEERG_4_3_1_3__2_TotalNitrogenInEachMMS_Unit()</f>
        <v>kg N</v>
      </c>
    </row>
    <row r="224" spans="3:21" ht="20.100000000000001" customHeight="1" x14ac:dyDescent="0.25"/>
    <row r="225" spans="4:20" ht="20.100000000000001" customHeight="1" x14ac:dyDescent="0.25">
      <c r="D225" s="137" t="str" cm="1">
        <f t="array" ref="D225:E226">_xlfn.CHOOSECOLS(MMS_Dairy_N2ODirect_Equations.VEERG_4_3_1_3__2_TotalNitrogenInEachMMS_Arguments(),1,2)</f>
        <v>AE_j</v>
      </c>
      <c r="E225" s="137" t="str">
        <v>total nitrogen excreted by each dairy class</v>
      </c>
      <c r="F225" s="137"/>
      <c r="G225" s="137" t="str" cm="1">
        <f t="array" ref="G225:H226">_xlfn.CHOOSECOLS(MMS_Dairy_N2ODirect_Equations.VEERG_4_3_1_3__2_TotalNitrogenInEachMMS_Arguments(),3,4)</f>
        <v>kg N</v>
      </c>
      <c r="H225" s="133" t="str">
        <v>Calculated from 4.3.1.3 (3a) and (3b)</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tr">
        <v>MMS_jm</v>
      </c>
      <c r="E226" s="137" t="str">
        <v>manure management system fraction for class j and system m</v>
      </c>
      <c r="F226" s="137"/>
      <c r="G226" s="137" t="str">
        <v>fraction</v>
      </c>
      <c r="H226" s="135" t="str">
        <v>Input</v>
      </c>
      <c r="I226" s="134" t="str" cm="1">
        <f t="array" aca="1" ref="I226" ca="1">HYPERLINK(Common_InputFunctions.Utility_SourceHyperlink($D$228),$D$228)</f>
        <v>M1_Table_MMS_j_m</v>
      </c>
      <c r="J226" s="134"/>
    </row>
    <row r="227" spans="4:20" ht="20.100000000000001" customHeight="1" x14ac:dyDescent="0.25"/>
    <row r="228" spans="4:20" ht="20.100000000000001" customHeight="1" x14ac:dyDescent="0.25">
      <c r="D228" s="104" t="s">
        <v>250</v>
      </c>
      <c r="N228" s="104" t="s">
        <v>252</v>
      </c>
    </row>
    <row r="229" spans="4:20" ht="20.100000000000001" customHeight="1" x14ac:dyDescent="0.25">
      <c r="D229" s="103" t="s">
        <v>312</v>
      </c>
      <c r="N229" s="103" t="s">
        <v>313</v>
      </c>
    </row>
    <row r="230" spans="4:20" ht="20.100000000000001" customHeight="1" x14ac:dyDescent="0.25">
      <c r="D230" s="41" t="s">
        <v>149</v>
      </c>
      <c r="E230" s="41" t="s">
        <v>69</v>
      </c>
      <c r="F230" s="41" t="s">
        <v>175</v>
      </c>
      <c r="G230" s="41" t="s">
        <v>192</v>
      </c>
      <c r="H230" s="41" t="s">
        <v>193</v>
      </c>
      <c r="I230" s="41" t="s">
        <v>194</v>
      </c>
      <c r="J230" s="41" t="s">
        <v>195</v>
      </c>
      <c r="N230" s="41" t="s">
        <v>149</v>
      </c>
      <c r="O230" s="41" t="s">
        <v>69</v>
      </c>
      <c r="P230" s="41" t="s">
        <v>175</v>
      </c>
      <c r="Q230" s="41" t="s">
        <v>192</v>
      </c>
      <c r="R230" s="41" t="s">
        <v>193</v>
      </c>
      <c r="S230" s="41" t="s">
        <v>194</v>
      </c>
      <c r="T230" s="41" t="s">
        <v>195</v>
      </c>
    </row>
    <row r="231" spans="4:20" ht="20.100000000000001" customHeight="1" x14ac:dyDescent="0.25">
      <c r="D231" s="55" t="str">
        <f>'Input - Dairy'!$D$66</f>
        <v>Milking shed</v>
      </c>
      <c r="E231" s="55" t="str">
        <f>'Input - Dairy'!$D$81</f>
        <v>Anaerobic lagoon</v>
      </c>
      <c r="F231" s="55" cm="1">
        <f t="array" ref="F231">InputFunctions_Dairy.CalculateFractionInMMSAfterSolidSeparation('Input - Dairy'!E66,'Input - Dairy'!E81,'Input - Dairy'!$E$83)</f>
        <v>2.2000000000000002E-2</v>
      </c>
      <c r="G231" s="55" cm="1">
        <f t="array" ref="G231">InputFunctions_Dairy.CalculateFractionInMMSAfterSolidSeparation('Input - Dairy'!F66,'Input - Dairy'!F81,'Input - Dairy'!$E$83)</f>
        <v>2.2000000000000002E-2</v>
      </c>
      <c r="H231" s="55" cm="1">
        <f t="array" ref="H231">InputFunctions_Dairy.CalculateFractionInMMSAfterSolidSeparation('Input - Dairy'!G66,'Input - Dairy'!G81,'Input - Dairy'!$E$83)</f>
        <v>2.2000000000000002E-2</v>
      </c>
      <c r="I231" s="55" cm="1">
        <f t="array" ref="I231">InputFunctions_Dairy.CalculateFractionInMMSAfterSolidSeparation('Input - Dairy'!H66,'Input - Dairy'!H81,'Input - Dairy'!$E$83)</f>
        <v>2.2000000000000002E-2</v>
      </c>
      <c r="J231" s="55" cm="1">
        <f t="array" ref="J231">InputFunctions_Dairy.CalculateFractionInMMSAfterSolidSeparation('Input - Dairy'!I66,'Input - Dairy'!I81,'Input - Dairy'!$E$83)</f>
        <v>2.2000000000000002E-2</v>
      </c>
      <c r="N231" s="55" t="str">
        <f>'Input - Dairy'!$D$66</f>
        <v>Milking shed</v>
      </c>
      <c r="O231" s="55" t="str">
        <f>'Input - Dairy'!$D$81</f>
        <v>Anaerobic lagoon</v>
      </c>
      <c r="P231" s="55" cm="1">
        <f t="array" ref="P231">InputFunctions_Dairy.CalculateFractionInMMSAfterSolidSeparation('Input - Dairy'!E71,'Input - Dairy'!E81,'Input - Dairy'!$E$84)</f>
        <v>2.2000000000000002E-2</v>
      </c>
      <c r="Q231" s="55" cm="1">
        <f t="array" ref="Q231">InputFunctions_Dairy.CalculateFractionInMMSAfterSolidSeparation('Input - Dairy'!F71,'Input - Dairy'!F81,'Input - Dairy'!$E$84)</f>
        <v>2.2000000000000002E-2</v>
      </c>
      <c r="R231" s="55" cm="1">
        <f t="array" ref="R231">InputFunctions_Dairy.CalculateFractionInMMSAfterSolidSeparation('Input - Dairy'!G71,'Input - Dairy'!G81,'Input - Dairy'!$E$84)</f>
        <v>2.2000000000000002E-2</v>
      </c>
      <c r="S231" s="55" cm="1">
        <f t="array" ref="S231">InputFunctions_Dairy.CalculateFractionInMMSAfterSolidSeparation('Input - Dairy'!H71,'Input - Dairy'!H81,'Input - Dairy'!$E$84)</f>
        <v>2.2000000000000002E-2</v>
      </c>
      <c r="T231" s="55" cm="1">
        <f t="array" ref="T231">InputFunctions_Dairy.CalculateFractionInMMSAfterSolidSeparation('Input - Dairy'!I71,'Input - Dairy'!I81,'Input - Dairy'!$E$84)</f>
        <v>2.2000000000000002E-2</v>
      </c>
    </row>
    <row r="232" spans="4:20" ht="20.100000000000001" customHeight="1" x14ac:dyDescent="0.25">
      <c r="D232" s="55" t="str">
        <f>'Input - Dairy'!$D$66</f>
        <v>Milking shed</v>
      </c>
      <c r="E232" s="55" t="str">
        <f>'Input - Dairy'!$D$86</f>
        <v>Sump and dispersal system</v>
      </c>
      <c r="F232" s="55" cm="1">
        <f t="array" ref="F232">InputFunctions_Dairy.CalculateFractionInMMSAfterSolidSeparation('Input - Dairy'!E66,'Input - Dairy'!E86,'Input - Dairy'!$E$88)</f>
        <v>2.2000000000000002E-2</v>
      </c>
      <c r="G232" s="55" cm="1">
        <f t="array" ref="G232">InputFunctions_Dairy.CalculateFractionInMMSAfterSolidSeparation('Input - Dairy'!F66,'Input - Dairy'!F86,'Input - Dairy'!$E$88)</f>
        <v>2.2000000000000002E-2</v>
      </c>
      <c r="H232" s="55" cm="1">
        <f t="array" ref="H232">InputFunctions_Dairy.CalculateFractionInMMSAfterSolidSeparation('Input - Dairy'!G66,'Input - Dairy'!G86,'Input - Dairy'!$E$88)</f>
        <v>2.2000000000000002E-2</v>
      </c>
      <c r="I232" s="55" cm="1">
        <f t="array" ref="I232">InputFunctions_Dairy.CalculateFractionInMMSAfterSolidSeparation('Input - Dairy'!H66,'Input - Dairy'!H86,'Input - Dairy'!$E$88)</f>
        <v>2.2000000000000002E-2</v>
      </c>
      <c r="J232" s="55" cm="1">
        <f t="array" ref="J232">InputFunctions_Dairy.CalculateFractionInMMSAfterSolidSeparation('Input - Dairy'!I66,'Input - Dairy'!I86,'Input - Dairy'!$E$88)</f>
        <v>2.2000000000000002E-2</v>
      </c>
      <c r="N232" s="55" t="str">
        <f>'Input - Dairy'!$D$66</f>
        <v>Milking shed</v>
      </c>
      <c r="O232" s="55" t="str">
        <f>'Input - Dairy'!$D$86</f>
        <v>Sump and dispersal system</v>
      </c>
      <c r="P232" s="55" cm="1">
        <f t="array" ref="P232">InputFunctions_Dairy.CalculateFractionInMMSAfterSolidSeparation('Input - Dairy'!E71,'Input - Dairy'!E86,'Input - Dairy'!$E$89)</f>
        <v>2.2000000000000002E-2</v>
      </c>
      <c r="Q232" s="55" cm="1">
        <f t="array" ref="Q232">InputFunctions_Dairy.CalculateFractionInMMSAfterSolidSeparation('Input - Dairy'!F71,'Input - Dairy'!F86,'Input - Dairy'!$E$89)</f>
        <v>2.2000000000000002E-2</v>
      </c>
      <c r="R232" s="55" cm="1">
        <f t="array" ref="R232">InputFunctions_Dairy.CalculateFractionInMMSAfterSolidSeparation('Input - Dairy'!G71,'Input - Dairy'!G86,'Input - Dairy'!$E$89)</f>
        <v>2.2000000000000002E-2</v>
      </c>
      <c r="S232" s="55" cm="1">
        <f t="array" ref="S232">InputFunctions_Dairy.CalculateFractionInMMSAfterSolidSeparation('Input - Dairy'!H71,'Input - Dairy'!H86,'Input - Dairy'!$E$89)</f>
        <v>2.2000000000000002E-2</v>
      </c>
      <c r="T232" s="55" cm="1">
        <f t="array" ref="T232">InputFunctions_Dairy.CalculateFractionInMMSAfterSolidSeparation('Input - Dairy'!I71,'Input - Dairy'!I86,'Input - Dairy'!$E$89)</f>
        <v>2.2000000000000002E-2</v>
      </c>
    </row>
    <row r="233" spans="4:20" ht="20.100000000000001" customHeight="1" x14ac:dyDescent="0.25">
      <c r="D233" s="55" t="str">
        <f>'Input - Dairy'!$D$66</f>
        <v>Milking shed</v>
      </c>
      <c r="E233" s="55" t="str">
        <f>'Input - Dairy'!$D$91</f>
        <v>Drains to paddock</v>
      </c>
      <c r="F233" s="55" cm="1">
        <f t="array" ref="F233">InputFunctions_Dairy.CalculateFractionInMMSAfterSolidSeparation('Input - Dairy'!E66,'Input - Dairy'!E91,'Input - Dairy'!$E$93)</f>
        <v>2.2000000000000002E-2</v>
      </c>
      <c r="G233" s="55" cm="1">
        <f t="array" ref="G233">InputFunctions_Dairy.CalculateFractionInMMSAfterSolidSeparation('Input - Dairy'!F66,'Input - Dairy'!F91,'Input - Dairy'!$E$93)</f>
        <v>2.2000000000000002E-2</v>
      </c>
      <c r="H233" s="55" cm="1">
        <f t="array" ref="H233">InputFunctions_Dairy.CalculateFractionInMMSAfterSolidSeparation('Input - Dairy'!G66,'Input - Dairy'!G91,'Input - Dairy'!$E$93)</f>
        <v>2.2000000000000002E-2</v>
      </c>
      <c r="I233" s="55" cm="1">
        <f t="array" ref="I233">InputFunctions_Dairy.CalculateFractionInMMSAfterSolidSeparation('Input - Dairy'!H66,'Input - Dairy'!H91,'Input - Dairy'!$E$93)</f>
        <v>2.2000000000000002E-2</v>
      </c>
      <c r="J233" s="55" cm="1">
        <f t="array" ref="J233">InputFunctions_Dairy.CalculateFractionInMMSAfterSolidSeparation('Input - Dairy'!I66,'Input - Dairy'!I91,'Input - Dairy'!$E$93)</f>
        <v>2.2000000000000002E-2</v>
      </c>
      <c r="N233" s="55" t="str">
        <f>'Input - Dairy'!$D$66</f>
        <v>Milking shed</v>
      </c>
      <c r="O233" s="55" t="str">
        <f>'Input - Dairy'!$D$91</f>
        <v>Drains to paddock</v>
      </c>
      <c r="P233" s="55" cm="1">
        <f t="array" ref="P233">InputFunctions_Dairy.CalculateFractionInMMSAfterSolidSeparation('Input - Dairy'!E71,'Input - Dairy'!E91,'Input - Dairy'!$E$94)</f>
        <v>2.2000000000000002E-2</v>
      </c>
      <c r="Q233" s="55" cm="1">
        <f t="array" ref="Q233">InputFunctions_Dairy.CalculateFractionInMMSAfterSolidSeparation('Input - Dairy'!F71,'Input - Dairy'!F91,'Input - Dairy'!$E$94)</f>
        <v>2.2000000000000002E-2</v>
      </c>
      <c r="R233" s="55" cm="1">
        <f t="array" ref="R233">InputFunctions_Dairy.CalculateFractionInMMSAfterSolidSeparation('Input - Dairy'!G71,'Input - Dairy'!G91,'Input - Dairy'!$E$94)</f>
        <v>2.2000000000000002E-2</v>
      </c>
      <c r="S233" s="55" cm="1">
        <f t="array" ref="S233">InputFunctions_Dairy.CalculateFractionInMMSAfterSolidSeparation('Input - Dairy'!H71,'Input - Dairy'!H91,'Input - Dairy'!$E$94)</f>
        <v>2.2000000000000002E-2</v>
      </c>
      <c r="T233" s="55" cm="1">
        <f t="array" ref="T233">InputFunctions_Dairy.CalculateFractionInMMSAfterSolidSeparation('Input - Dairy'!I71,'Input - Dairy'!I91,'Input - Dairy'!$E$94)</f>
        <v>2.2000000000000002E-2</v>
      </c>
    </row>
    <row r="234" spans="4:20" ht="20.100000000000001" customHeight="1" x14ac:dyDescent="0.25">
      <c r="D234" s="55" t="str">
        <f>'Input - Dairy'!$D$66</f>
        <v>Milking shed</v>
      </c>
      <c r="E234" s="55" t="s">
        <v>412</v>
      </c>
      <c r="F234" s="55" cm="1">
        <f t="array" ref="F234">InputFunctions_Dairy.CalculateFractionInSolidStorage('Input - Dairy'!E66,'Input - Dairy'!E96,'Input - Dairy'!E81,'Input - Dairy'!$E$83,'Input - Dairy'!E86,'Input - Dairy'!$E$88,'Input - Dairy'!E91,'Input - Dairy'!$E$93)</f>
        <v>4.3999999999999997E-2</v>
      </c>
      <c r="G234" s="55" cm="1">
        <f t="array" ref="G234">InputFunctions_Dairy.CalculateFractionInSolidStorage('Input - Dairy'!F66,'Input - Dairy'!F96,'Input - Dairy'!F81,'Input - Dairy'!$E$83,'Input - Dairy'!F86,'Input - Dairy'!$E$88,'Input - Dairy'!F91,'Input - Dairy'!$E$93)</f>
        <v>4.3999999999999997E-2</v>
      </c>
      <c r="H234" s="55" cm="1">
        <f t="array" ref="H234">InputFunctions_Dairy.CalculateFractionInSolidStorage('Input - Dairy'!G66,'Input - Dairy'!G96,'Input - Dairy'!G81,'Input - Dairy'!$E$83,'Input - Dairy'!G86,'Input - Dairy'!$E$88,'Input - Dairy'!G91,'Input - Dairy'!$E$93)</f>
        <v>4.3999999999999997E-2</v>
      </c>
      <c r="I234" s="55" cm="1">
        <f t="array" ref="I234">InputFunctions_Dairy.CalculateFractionInSolidStorage('Input - Dairy'!H66,'Input - Dairy'!H96,'Input - Dairy'!H81,'Input - Dairy'!$E$83,'Input - Dairy'!H86,'Input - Dairy'!$E$88,'Input - Dairy'!H91,'Input - Dairy'!$E$93)</f>
        <v>4.3999999999999997E-2</v>
      </c>
      <c r="J234" s="55" cm="1">
        <f t="array" ref="J234">InputFunctions_Dairy.CalculateFractionInSolidStorage('Input - Dairy'!I66,'Input - Dairy'!I96,'Input - Dairy'!I81,'Input - Dairy'!$E$83,'Input - Dairy'!I86,'Input - Dairy'!$E$88,'Input - Dairy'!I91,'Input - Dairy'!$E$93)</f>
        <v>4.3999999999999997E-2</v>
      </c>
      <c r="N234" s="55" t="str">
        <f>'Input - Dairy'!$D$66</f>
        <v>Milking shed</v>
      </c>
      <c r="O234" s="55" t="s">
        <v>412</v>
      </c>
      <c r="P234" s="55" cm="1">
        <f t="array" ref="P234">InputFunctions_Dairy.CalculateFractionInSolidStorage('Input - Dairy'!E71,'Input - Dairy'!E96,'Input - Dairy'!E81,'Input - Dairy'!$E$84,'Input - Dairy'!E86,'Input - Dairy'!$E$89,'Input - Dairy'!E91,'Input - Dairy'!$E$94)</f>
        <v>4.3999999999999997E-2</v>
      </c>
      <c r="Q234" s="55" cm="1">
        <f t="array" ref="Q234">InputFunctions_Dairy.CalculateFractionInSolidStorage('Input - Dairy'!F71,'Input - Dairy'!F96,'Input - Dairy'!F81,'Input - Dairy'!$E$84,'Input - Dairy'!F86,'Input - Dairy'!$E$89,'Input - Dairy'!F91,'Input - Dairy'!$E$94)</f>
        <v>4.3999999999999997E-2</v>
      </c>
      <c r="R234" s="55" cm="1">
        <f t="array" ref="R234">InputFunctions_Dairy.CalculateFractionInSolidStorage('Input - Dairy'!G71,'Input - Dairy'!G96,'Input - Dairy'!G81,'Input - Dairy'!$E$84,'Input - Dairy'!G86,'Input - Dairy'!$E$89,'Input - Dairy'!G91,'Input - Dairy'!$E$94)</f>
        <v>4.3999999999999997E-2</v>
      </c>
      <c r="S234" s="55" cm="1">
        <f t="array" ref="S234">InputFunctions_Dairy.CalculateFractionInSolidStorage('Input - Dairy'!H71,'Input - Dairy'!H96,'Input - Dairy'!H81,'Input - Dairy'!$E$84,'Input - Dairy'!H86,'Input - Dairy'!$E$89,'Input - Dairy'!H91,'Input - Dairy'!$E$94)</f>
        <v>4.3999999999999997E-2</v>
      </c>
      <c r="T234" s="55" cm="1">
        <f t="array" ref="T234">InputFunctions_Dairy.CalculateFractionInSolidStorage('Input - Dairy'!I71,'Input - Dairy'!I96,'Input - Dairy'!I81,'Input - Dairy'!$E$84,'Input - Dairy'!I86,'Input - Dairy'!$E$89,'Input - Dairy'!I91,'Input - Dairy'!$E$94)</f>
        <v>4.3999999999999997E-2</v>
      </c>
    </row>
    <row r="235" spans="4:20" ht="20.100000000000001" customHeight="1" x14ac:dyDescent="0.25">
      <c r="D235" s="55" t="str">
        <f>'Input - Dairy'!$D$67</f>
        <v>Feed pad</v>
      </c>
      <c r="E235" s="55" t="str">
        <f>'Input - Dairy'!$D$105</f>
        <v>Anaerobic lagoon</v>
      </c>
      <c r="F235" s="55" cm="1">
        <f t="array" ref="F235">InputFunctions_Dairy.CalculateFractionInMMSAfterSolidSeparation('Input - Dairy'!E67,'Input - Dairy'!E105,'Input - Dairy'!$E$107)</f>
        <v>8.8999999999999996E-2</v>
      </c>
      <c r="G235" s="55" cm="1">
        <f t="array" ref="G235">InputFunctions_Dairy.CalculateFractionInMMSAfterSolidSeparation('Input - Dairy'!F67,'Input - Dairy'!F105,'Input - Dairy'!$E$107)</f>
        <v>8.8999999999999996E-2</v>
      </c>
      <c r="H235" s="55" cm="1">
        <f t="array" ref="H235">InputFunctions_Dairy.CalculateFractionInMMSAfterSolidSeparation('Input - Dairy'!G67,'Input - Dairy'!G105,'Input - Dairy'!$E$107)</f>
        <v>8.8999999999999996E-2</v>
      </c>
      <c r="I235" s="55" cm="1">
        <f t="array" ref="I235">InputFunctions_Dairy.CalculateFractionInMMSAfterSolidSeparation('Input - Dairy'!H67,'Input - Dairy'!H105,'Input - Dairy'!$E$107)</f>
        <v>8.8999999999999996E-2</v>
      </c>
      <c r="J235" s="55" cm="1">
        <f t="array" ref="J235">InputFunctions_Dairy.CalculateFractionInMMSAfterSolidSeparation('Input - Dairy'!I67,'Input - Dairy'!I105,'Input - Dairy'!$E$107)</f>
        <v>8.8999999999999996E-2</v>
      </c>
      <c r="N235" s="55" t="str">
        <f>'Input - Dairy'!$D$67</f>
        <v>Feed pad</v>
      </c>
      <c r="O235" s="55" t="str">
        <f>'Input - Dairy'!$D$105</f>
        <v>Anaerobic lagoon</v>
      </c>
      <c r="P235" s="55" cm="1">
        <f t="array" ref="P235">InputFunctions_Dairy.CalculateFractionInMMSAfterSolidSeparation('Input - Dairy'!E72,'Input - Dairy'!E105,'Input - Dairy'!$E$108)</f>
        <v>8.8999999999999996E-2</v>
      </c>
      <c r="Q235" s="55" cm="1">
        <f t="array" ref="Q235">InputFunctions_Dairy.CalculateFractionInMMSAfterSolidSeparation('Input - Dairy'!F72,'Input - Dairy'!F105,'Input - Dairy'!$E$108)</f>
        <v>8.8999999999999996E-2</v>
      </c>
      <c r="R235" s="55" cm="1">
        <f t="array" ref="R235">InputFunctions_Dairy.CalculateFractionInMMSAfterSolidSeparation('Input - Dairy'!G72,'Input - Dairy'!G105,'Input - Dairy'!$E$108)</f>
        <v>8.8999999999999996E-2</v>
      </c>
      <c r="S235" s="55" cm="1">
        <f t="array" ref="S235">InputFunctions_Dairy.CalculateFractionInMMSAfterSolidSeparation('Input - Dairy'!H72,'Input - Dairy'!H105,'Input - Dairy'!$E$108)</f>
        <v>8.8999999999999996E-2</v>
      </c>
      <c r="T235" s="55" cm="1">
        <f t="array" ref="T235">InputFunctions_Dairy.CalculateFractionInMMSAfterSolidSeparation('Input - Dairy'!I72,'Input - Dairy'!I105,'Input - Dairy'!$E$108)</f>
        <v>8.8999999999999996E-2</v>
      </c>
    </row>
    <row r="236" spans="4:20" ht="20.100000000000001" customHeight="1" x14ac:dyDescent="0.25">
      <c r="D236" s="55" t="str">
        <f>'Input - Dairy'!$D$67</f>
        <v>Feed pad</v>
      </c>
      <c r="E236" s="55" t="str">
        <f>'Input - Dairy'!$D$110</f>
        <v>Sump and dispersal system</v>
      </c>
      <c r="F236" s="55" cm="1">
        <f t="array" ref="F236">InputFunctions_Dairy.CalculateFractionInMMSAfterSolidSeparation('Input - Dairy'!E67,'Input - Dairy'!E110,'Input - Dairy'!$E$112)</f>
        <v>7.1199999999999999E-2</v>
      </c>
      <c r="G236" s="55" cm="1">
        <f t="array" ref="G236">InputFunctions_Dairy.CalculateFractionInMMSAfterSolidSeparation('Input - Dairy'!F67,'Input - Dairy'!F110,'Input - Dairy'!$E$112)</f>
        <v>7.1199999999999999E-2</v>
      </c>
      <c r="H236" s="55" cm="1">
        <f t="array" ref="H236">InputFunctions_Dairy.CalculateFractionInMMSAfterSolidSeparation('Input - Dairy'!G67,'Input - Dairy'!G110,'Input - Dairy'!$E$112)</f>
        <v>7.1199999999999999E-2</v>
      </c>
      <c r="I236" s="55" cm="1">
        <f t="array" ref="I236">InputFunctions_Dairy.CalculateFractionInMMSAfterSolidSeparation('Input - Dairy'!H67,'Input - Dairy'!H110,'Input - Dairy'!$E$112)</f>
        <v>7.1199999999999999E-2</v>
      </c>
      <c r="J236" s="55" cm="1">
        <f t="array" ref="J236">InputFunctions_Dairy.CalculateFractionInMMSAfterSolidSeparation('Input - Dairy'!I67,'Input - Dairy'!I110,'Input - Dairy'!$E$112)</f>
        <v>7.1199999999999999E-2</v>
      </c>
      <c r="N236" s="55" t="str">
        <f>'Input - Dairy'!$D$67</f>
        <v>Feed pad</v>
      </c>
      <c r="O236" s="55" t="str">
        <f>'Input - Dairy'!$D$110</f>
        <v>Sump and dispersal system</v>
      </c>
      <c r="P236" s="55" cm="1">
        <f t="array" ref="P236">InputFunctions_Dairy.CalculateFractionInMMSAfterSolidSeparation('Input - Dairy'!E72,'Input - Dairy'!E110,'Input - Dairy'!$E$113)</f>
        <v>7.1199999999999999E-2</v>
      </c>
      <c r="Q236" s="55" cm="1">
        <f t="array" ref="Q236">InputFunctions_Dairy.CalculateFractionInMMSAfterSolidSeparation('Input - Dairy'!F72,'Input - Dairy'!F110,'Input - Dairy'!$E$113)</f>
        <v>7.1199999999999999E-2</v>
      </c>
      <c r="R236" s="55" cm="1">
        <f t="array" ref="R236">InputFunctions_Dairy.CalculateFractionInMMSAfterSolidSeparation('Input - Dairy'!G72,'Input - Dairy'!G110,'Input - Dairy'!$E$113)</f>
        <v>7.1199999999999999E-2</v>
      </c>
      <c r="S236" s="55" cm="1">
        <f t="array" ref="S236">InputFunctions_Dairy.CalculateFractionInMMSAfterSolidSeparation('Input - Dairy'!H72,'Input - Dairy'!H110,'Input - Dairy'!$E$113)</f>
        <v>7.1199999999999999E-2</v>
      </c>
      <c r="T236" s="55" cm="1">
        <f t="array" ref="T236">InputFunctions_Dairy.CalculateFractionInMMSAfterSolidSeparation('Input - Dairy'!I72,'Input - Dairy'!I110,'Input - Dairy'!$E$113)</f>
        <v>7.1199999999999999E-2</v>
      </c>
    </row>
    <row r="237" spans="4:20" ht="20.100000000000001" customHeight="1" x14ac:dyDescent="0.25">
      <c r="D237" s="55" t="str">
        <f>'Input - Dairy'!$D$67</f>
        <v>Feed pad</v>
      </c>
      <c r="E237" s="55" t="str">
        <f>'Input - Dairy'!$D$115</f>
        <v>Drains to paddock</v>
      </c>
      <c r="F237" s="55" cm="1">
        <f t="array" ref="F237">InputFunctions_Dairy.CalculateFractionInMMSAfterSolidSeparation('Input - Dairy'!E67,'Input - Dairy'!E115,'Input - Dairy'!$E$117)</f>
        <v>7.1199999999999999E-2</v>
      </c>
      <c r="G237" s="55" cm="1">
        <f t="array" ref="G237">InputFunctions_Dairy.CalculateFractionInMMSAfterSolidSeparation('Input - Dairy'!F67,'Input - Dairy'!F115,'Input - Dairy'!$E$117)</f>
        <v>7.1199999999999999E-2</v>
      </c>
      <c r="H237" s="55" cm="1">
        <f t="array" ref="H237">InputFunctions_Dairy.CalculateFractionInMMSAfterSolidSeparation('Input - Dairy'!G67,'Input - Dairy'!G115,'Input - Dairy'!$E$117)</f>
        <v>7.1199999999999999E-2</v>
      </c>
      <c r="I237" s="55" cm="1">
        <f t="array" ref="I237">InputFunctions_Dairy.CalculateFractionInMMSAfterSolidSeparation('Input - Dairy'!H67,'Input - Dairy'!H115,'Input - Dairy'!$E$117)</f>
        <v>7.1199999999999999E-2</v>
      </c>
      <c r="J237" s="55" cm="1">
        <f t="array" ref="J237">InputFunctions_Dairy.CalculateFractionInMMSAfterSolidSeparation('Input - Dairy'!I67,'Input - Dairy'!I115,'Input - Dairy'!$E$117)</f>
        <v>7.1199999999999999E-2</v>
      </c>
      <c r="N237" s="55" t="str">
        <f>'Input - Dairy'!$D$67</f>
        <v>Feed pad</v>
      </c>
      <c r="O237" s="55" t="str">
        <f>'Input - Dairy'!$D$115</f>
        <v>Drains to paddock</v>
      </c>
      <c r="P237" s="55" cm="1">
        <f t="array" ref="P237">InputFunctions_Dairy.CalculateFractionInMMSAfterSolidSeparation('Input - Dairy'!E72,'Input - Dairy'!E115,'Input - Dairy'!$E$118)</f>
        <v>7.1199999999999999E-2</v>
      </c>
      <c r="Q237" s="55" cm="1">
        <f t="array" ref="Q237">InputFunctions_Dairy.CalculateFractionInMMSAfterSolidSeparation('Input - Dairy'!F72,'Input - Dairy'!F115,'Input - Dairy'!$E$118)</f>
        <v>7.1199999999999999E-2</v>
      </c>
      <c r="R237" s="55" cm="1">
        <f t="array" ref="R237">InputFunctions_Dairy.CalculateFractionInMMSAfterSolidSeparation('Input - Dairy'!G72,'Input - Dairy'!G115,'Input - Dairy'!$E$118)</f>
        <v>7.1199999999999999E-2</v>
      </c>
      <c r="S237" s="55" cm="1">
        <f t="array" ref="S237">InputFunctions_Dairy.CalculateFractionInMMSAfterSolidSeparation('Input - Dairy'!H72,'Input - Dairy'!H115,'Input - Dairy'!$E$118)</f>
        <v>7.1199999999999999E-2</v>
      </c>
      <c r="T237" s="55" cm="1">
        <f t="array" ref="T237">InputFunctions_Dairy.CalculateFractionInMMSAfterSolidSeparation('Input - Dairy'!I72,'Input - Dairy'!I115,'Input - Dairy'!$E$118)</f>
        <v>7.1199999999999999E-2</v>
      </c>
    </row>
    <row r="238" spans="4:20" ht="20.100000000000001" customHeight="1" x14ac:dyDescent="0.25">
      <c r="D238" s="55" t="str">
        <f>'Input - Dairy'!$D$67</f>
        <v>Feed pad</v>
      </c>
      <c r="E238" s="55" t="s">
        <v>412</v>
      </c>
      <c r="F238" s="55" cm="1">
        <f t="array" ref="F238">InputFunctions_Dairy.CalculateFractionInSolidStorage('Input - Dairy'!E67,'Input - Dairy'!E120,'Input - Dairy'!E105,'Input - Dairy'!$E$107,'Input - Dairy'!E110,'Input - Dairy'!$E$112,'Input - Dairy'!E115,'Input - Dairy'!$E$117)</f>
        <v>0.12459999999999999</v>
      </c>
      <c r="G238" s="55" cm="1">
        <f t="array" ref="G238">InputFunctions_Dairy.CalculateFractionInSolidStorage('Input - Dairy'!F67,'Input - Dairy'!F120,'Input - Dairy'!F105,'Input - Dairy'!$E$107,'Input - Dairy'!F110,'Input - Dairy'!$E$112,'Input - Dairy'!F115,'Input - Dairy'!$E$117)</f>
        <v>0.12459999999999999</v>
      </c>
      <c r="H238" s="55" cm="1">
        <f t="array" ref="H238">InputFunctions_Dairy.CalculateFractionInSolidStorage('Input - Dairy'!G67,'Input - Dairy'!G120,'Input - Dairy'!G105,'Input - Dairy'!$E$107,'Input - Dairy'!G110,'Input - Dairy'!$E$112,'Input - Dairy'!G115,'Input - Dairy'!$E$117)</f>
        <v>0.12459999999999999</v>
      </c>
      <c r="I238" s="55" cm="1">
        <f t="array" ref="I238">InputFunctions_Dairy.CalculateFractionInSolidStorage('Input - Dairy'!H67,'Input - Dairy'!H120,'Input - Dairy'!H105,'Input - Dairy'!$E$107,'Input - Dairy'!H110,'Input - Dairy'!$E$112,'Input - Dairy'!H115,'Input - Dairy'!$E$117)</f>
        <v>0.12459999999999999</v>
      </c>
      <c r="J238" s="55" cm="1">
        <f t="array" ref="J238">InputFunctions_Dairy.CalculateFractionInSolidStorage('Input - Dairy'!I67,'Input - Dairy'!I120,'Input - Dairy'!I105,'Input - Dairy'!$E$107,'Input - Dairy'!I110,'Input - Dairy'!$E$112,'Input - Dairy'!I115,'Input - Dairy'!$E$117)</f>
        <v>0.12459999999999999</v>
      </c>
      <c r="N238" s="55" t="str">
        <f>'Input - Dairy'!$D$67</f>
        <v>Feed pad</v>
      </c>
      <c r="O238" s="55" t="str">
        <f>'Input - Dairy'!$D$120</f>
        <v>Solid storage (before solid separation)</v>
      </c>
      <c r="P238" s="55" cm="1">
        <f t="array" ref="P238">InputFunctions_Dairy.CalculateFractionInSolidStorage('Input - Dairy'!E72,'Input - Dairy'!E120,'Input - Dairy'!E105,'Input - Dairy'!$E$108, 'Input - Dairy'!E110,'Input - Dairy'!$E$113,'Input - Dairy'!E115,'Input - Dairy'!$E$118)</f>
        <v>0.12459999999999999</v>
      </c>
      <c r="Q238" s="55" cm="1">
        <f t="array" ref="Q238">InputFunctions_Dairy.CalculateFractionInSolidStorage('Input - Dairy'!F72,'Input - Dairy'!F120,'Input - Dairy'!F105,'Input - Dairy'!$E$108, 'Input - Dairy'!F110,'Input - Dairy'!$E$113,'Input - Dairy'!F115,'Input - Dairy'!$E$118)</f>
        <v>0.12459999999999999</v>
      </c>
      <c r="R238" s="55" cm="1">
        <f t="array" ref="R238">InputFunctions_Dairy.CalculateFractionInSolidStorage('Input - Dairy'!G72,'Input - Dairy'!G120,'Input - Dairy'!G105,'Input - Dairy'!$E$108, 'Input - Dairy'!G110,'Input - Dairy'!$E$113,'Input - Dairy'!G115,'Input - Dairy'!$E$118)</f>
        <v>0.12459999999999999</v>
      </c>
      <c r="S238" s="55" cm="1">
        <f t="array" ref="S238">InputFunctions_Dairy.CalculateFractionInSolidStorage('Input - Dairy'!H72,'Input - Dairy'!H120,'Input - Dairy'!H105,'Input - Dairy'!$E$108, 'Input - Dairy'!H110,'Input - Dairy'!$E$113,'Input - Dairy'!H115,'Input - Dairy'!$E$118)</f>
        <v>0.12459999999999999</v>
      </c>
      <c r="T238" s="55" cm="1">
        <f t="array" ref="T238">InputFunctions_Dairy.CalculateFractionInSolidStorage('Input - Dairy'!I72,'Input - Dairy'!I120,'Input - Dairy'!I105,'Input - Dairy'!$E$108, 'Input - Dairy'!I110,'Input - Dairy'!$E$113,'Input - Dairy'!I115,'Input - Dairy'!$E$118)</f>
        <v>0.12459999999999999</v>
      </c>
    </row>
    <row r="239" spans="4:20" ht="20.100000000000001" customHeight="1" x14ac:dyDescent="0.25">
      <c r="Q239" s="131"/>
    </row>
    <row r="240" spans="4:20" ht="20.100000000000001" customHeight="1" x14ac:dyDescent="0.25">
      <c r="D240" s="104" t="s">
        <v>314</v>
      </c>
      <c r="N240" s="104" t="s">
        <v>317</v>
      </c>
    </row>
    <row r="241" spans="1:21" ht="20.100000000000001" customHeight="1" x14ac:dyDescent="0.25">
      <c r="D241" s="103" t="s">
        <v>315</v>
      </c>
      <c r="N241" s="103" t="s">
        <v>316</v>
      </c>
    </row>
    <row r="242" spans="1:21" ht="20.100000000000001" customHeight="1" x14ac:dyDescent="0.25">
      <c r="D242" s="54" t="s">
        <v>149</v>
      </c>
      <c r="E242" s="54" t="s">
        <v>69</v>
      </c>
      <c r="F242" s="54" t="s">
        <v>175</v>
      </c>
      <c r="G242" s="54" t="s">
        <v>192</v>
      </c>
      <c r="H242" s="54" t="s">
        <v>193</v>
      </c>
      <c r="I242" s="54" t="s">
        <v>194</v>
      </c>
      <c r="J242" s="54" t="s">
        <v>195</v>
      </c>
      <c r="N242" s="54" t="s">
        <v>149</v>
      </c>
      <c r="O242" s="54" t="s">
        <v>69</v>
      </c>
      <c r="P242" s="54" t="s">
        <v>175</v>
      </c>
      <c r="Q242" s="54" t="s">
        <v>192</v>
      </c>
      <c r="R242" s="54" t="s">
        <v>193</v>
      </c>
      <c r="S242" s="54" t="s">
        <v>194</v>
      </c>
      <c r="T242" s="54" t="s">
        <v>195</v>
      </c>
    </row>
    <row r="243" spans="1:21" ht="20.100000000000001" customHeight="1" x14ac:dyDescent="0.25">
      <c r="D243" s="55" t="str">
        <f>'Input - Dairy'!$D$66</f>
        <v>Milking shed</v>
      </c>
      <c r="E243" s="55" t="str">
        <f>'Input - Dairy'!$D$81</f>
        <v>Anaerobic lagoon</v>
      </c>
      <c r="F243" s="55" cm="1">
        <f t="array" ref="F243">MMS_Dairy_N2ODirect_Equations.VEERG_4_3_1_3__2_TotalNitrogenInEachMMS(D$176,F231)</f>
        <v>468.93940857160464</v>
      </c>
      <c r="G243" s="55" cm="1">
        <f t="array" ref="G243">MMS_Dairy_N2ODirect_Equations.VEERG_4_3_1_3__2_TotalNitrogenInEachMMS(E$176,G231)</f>
        <v>182.35790267782079</v>
      </c>
      <c r="H243" s="55" cm="1">
        <f t="array" ref="H243">MMS_Dairy_N2ODirect_Equations.VEERG_4_3_1_3__2_TotalNitrogenInEachMMS(F$213,H231)</f>
        <v>72.631224123843424</v>
      </c>
      <c r="I243" s="55" cm="1">
        <f t="array" ref="I243">MMS_Dairy_N2ODirect_Equations.VEERG_4_3_1_3__2_TotalNitrogenInEachMMS(G$176,I231)</f>
        <v>229.23109573986844</v>
      </c>
      <c r="J243" s="55" cm="1">
        <f t="array" ref="J243">MMS_Dairy_N2ODirect_Equations.VEERG_4_3_1_3__2_TotalNitrogenInEachMMS(H$213,J231)</f>
        <v>95.962857079055411</v>
      </c>
      <c r="N243" s="55" t="str">
        <f>'Input - Dairy'!$D$66</f>
        <v>Milking shed</v>
      </c>
      <c r="O243" s="55" t="str">
        <f>'Input - Dairy'!$D$81</f>
        <v>Anaerobic lagoon</v>
      </c>
      <c r="P243" s="55" cm="1">
        <f t="array" ref="P243">MMS_Dairy_N2ODirect_Equations.VEERG_4_3_1_3__2_TotalNitrogenInEachMMS(N$176,P231)</f>
        <v>468.93940857160464</v>
      </c>
      <c r="Q243" s="55" cm="1">
        <f t="array" ref="Q243">MMS_Dairy_N2ODirect_Equations.VEERG_4_3_1_3__2_TotalNitrogenInEachMMS(O$176,Q231)</f>
        <v>182.35790267782079</v>
      </c>
      <c r="R243" s="55" cm="1">
        <f t="array" ref="R243">MMS_Dairy_N2ODirect_Equations.VEERG_4_3_1_3__2_TotalNitrogenInEachMMS(P$213,R231)</f>
        <v>72.631224123843424</v>
      </c>
      <c r="S243" s="55" cm="1">
        <f t="array" ref="S243">MMS_Dairy_N2ODirect_Equations.VEERG_4_3_1_3__2_TotalNitrogenInEachMMS(Q$176,S231)</f>
        <v>229.23109573986844</v>
      </c>
      <c r="T243" s="55" cm="1">
        <f t="array" ref="T243">MMS_Dairy_N2ODirect_Equations.VEERG_4_3_1_3__2_TotalNitrogenInEachMMS(R$213,T231)</f>
        <v>95.962857079055411</v>
      </c>
    </row>
    <row r="244" spans="1:21" ht="20.100000000000001" customHeight="1" x14ac:dyDescent="0.25">
      <c r="D244" s="55" t="str">
        <f>'Input - Dairy'!$D$66</f>
        <v>Milking shed</v>
      </c>
      <c r="E244" s="55" t="str">
        <f>'Input - Dairy'!$D$86</f>
        <v>Sump and dispersal system</v>
      </c>
      <c r="F244" s="55" cm="1">
        <f t="array" ref="F244">MMS_Dairy_N2ODirect_Equations.VEERG_4_3_1_3__2_TotalNitrogenInEachMMS(D$176,F232)</f>
        <v>468.93940857160464</v>
      </c>
      <c r="G244" s="55" cm="1">
        <f t="array" ref="G244">MMS_Dairy_N2ODirect_Equations.VEERG_4_3_1_3__2_TotalNitrogenInEachMMS(E$176,G232)</f>
        <v>182.35790267782079</v>
      </c>
      <c r="H244" s="55" cm="1">
        <f t="array" ref="H244">MMS_Dairy_N2ODirect_Equations.VEERG_4_3_1_3__2_TotalNitrogenInEachMMS(F$213,H232)</f>
        <v>72.631224123843424</v>
      </c>
      <c r="I244" s="55" cm="1">
        <f t="array" ref="I244">MMS_Dairy_N2ODirect_Equations.VEERG_4_3_1_3__2_TotalNitrogenInEachMMS(G$176,I232)</f>
        <v>229.23109573986844</v>
      </c>
      <c r="J244" s="55" cm="1">
        <f t="array" ref="J244">MMS_Dairy_N2ODirect_Equations.VEERG_4_3_1_3__2_TotalNitrogenInEachMMS(H$213,J232)</f>
        <v>95.962857079055411</v>
      </c>
      <c r="N244" s="55" t="str">
        <f>'Input - Dairy'!$D$66</f>
        <v>Milking shed</v>
      </c>
      <c r="O244" s="55" t="str">
        <f>'Input - Dairy'!$D$86</f>
        <v>Sump and dispersal system</v>
      </c>
      <c r="P244" s="55" cm="1">
        <f t="array" ref="P244">MMS_Dairy_N2ODirect_Equations.VEERG_4_3_1_3__2_TotalNitrogenInEachMMS(N$176,P232)</f>
        <v>468.93940857160464</v>
      </c>
      <c r="Q244" s="55" cm="1">
        <f t="array" ref="Q244">MMS_Dairy_N2ODirect_Equations.VEERG_4_3_1_3__2_TotalNitrogenInEachMMS(O$176,Q232)</f>
        <v>182.35790267782079</v>
      </c>
      <c r="R244" s="55" cm="1">
        <f t="array" ref="R244">MMS_Dairy_N2ODirect_Equations.VEERG_4_3_1_3__2_TotalNitrogenInEachMMS(P$213,R232)</f>
        <v>72.631224123843424</v>
      </c>
      <c r="S244" s="55" cm="1">
        <f t="array" ref="S244">MMS_Dairy_N2ODirect_Equations.VEERG_4_3_1_3__2_TotalNitrogenInEachMMS(Q$176,S232)</f>
        <v>229.23109573986844</v>
      </c>
      <c r="T244" s="55" cm="1">
        <f t="array" ref="T244">MMS_Dairy_N2ODirect_Equations.VEERG_4_3_1_3__2_TotalNitrogenInEachMMS(R$213,T232)</f>
        <v>95.962857079055411</v>
      </c>
    </row>
    <row r="245" spans="1:21" ht="20.100000000000001" customHeight="1" x14ac:dyDescent="0.25">
      <c r="A245" s="141" t="str">
        <f>HYPERLINK("#A1", "▲ Back to top")</f>
        <v>▲ Back to top</v>
      </c>
      <c r="D245" s="55" t="str">
        <f>'Input - Dairy'!$D$66</f>
        <v>Milking shed</v>
      </c>
      <c r="E245" s="55" t="str">
        <f>'Input - Dairy'!$D$91</f>
        <v>Drains to paddock</v>
      </c>
      <c r="F245" s="55" cm="1">
        <f t="array" ref="F245">MMS_Dairy_N2ODirect_Equations.VEERG_4_3_1_3__2_TotalNitrogenInEachMMS(D$176,F233)</f>
        <v>468.93940857160464</v>
      </c>
      <c r="G245" s="55" cm="1">
        <f t="array" ref="G245">MMS_Dairy_N2ODirect_Equations.VEERG_4_3_1_3__2_TotalNitrogenInEachMMS(E$176,G233)</f>
        <v>182.35790267782079</v>
      </c>
      <c r="H245" s="55" cm="1">
        <f t="array" ref="H245">MMS_Dairy_N2ODirect_Equations.VEERG_4_3_1_3__2_TotalNitrogenInEachMMS(F$213,H233)</f>
        <v>72.631224123843424</v>
      </c>
      <c r="I245" s="55" cm="1">
        <f t="array" ref="I245">MMS_Dairy_N2ODirect_Equations.VEERG_4_3_1_3__2_TotalNitrogenInEachMMS(G$176,I233)</f>
        <v>229.23109573986844</v>
      </c>
      <c r="J245" s="55" cm="1">
        <f t="array" ref="J245">MMS_Dairy_N2ODirect_Equations.VEERG_4_3_1_3__2_TotalNitrogenInEachMMS(H$213,J233)</f>
        <v>95.962857079055411</v>
      </c>
      <c r="N245" s="55" t="str">
        <f>'Input - Dairy'!$D$66</f>
        <v>Milking shed</v>
      </c>
      <c r="O245" s="55" t="str">
        <f>'Input - Dairy'!$D$91</f>
        <v>Drains to paddock</v>
      </c>
      <c r="P245" s="55" cm="1">
        <f t="array" ref="P245">MMS_Dairy_N2ODirect_Equations.VEERG_4_3_1_3__2_TotalNitrogenInEachMMS(N$176,P233)</f>
        <v>468.93940857160464</v>
      </c>
      <c r="Q245" s="55" cm="1">
        <f t="array" ref="Q245">MMS_Dairy_N2ODirect_Equations.VEERG_4_3_1_3__2_TotalNitrogenInEachMMS(O$176,Q233)</f>
        <v>182.35790267782079</v>
      </c>
      <c r="R245" s="55" cm="1">
        <f t="array" ref="R245">MMS_Dairy_N2ODirect_Equations.VEERG_4_3_1_3__2_TotalNitrogenInEachMMS(P$213,R233)</f>
        <v>72.631224123843424</v>
      </c>
      <c r="S245" s="55" cm="1">
        <f t="array" ref="S245">MMS_Dairy_N2ODirect_Equations.VEERG_4_3_1_3__2_TotalNitrogenInEachMMS(Q$176,S233)</f>
        <v>229.23109573986844</v>
      </c>
      <c r="T245" s="55" cm="1">
        <f t="array" ref="T245">MMS_Dairy_N2ODirect_Equations.VEERG_4_3_1_3__2_TotalNitrogenInEachMMS(R$213,T233)</f>
        <v>95.962857079055411</v>
      </c>
    </row>
    <row r="246" spans="1:21" ht="20.100000000000001" customHeight="1" x14ac:dyDescent="0.25">
      <c r="D246" s="55" t="str">
        <f>'Input - Dairy'!$D$66</f>
        <v>Milking shed</v>
      </c>
      <c r="E246" s="55" t="s">
        <v>412</v>
      </c>
      <c r="F246" s="55" cm="1">
        <f t="array" ref="F246">MMS_Dairy_N2ODirect_Equations.VEERG_4_3_1_3__2_TotalNitrogenInEachMMS(D$176,F234)</f>
        <v>937.87881714320918</v>
      </c>
      <c r="G246" s="55" cm="1">
        <f t="array" ref="G246">MMS_Dairy_N2ODirect_Equations.VEERG_4_3_1_3__2_TotalNitrogenInEachMMS(E$176,G234)</f>
        <v>364.71580535564152</v>
      </c>
      <c r="H246" s="55" cm="1">
        <f t="array" ref="H246">MMS_Dairy_N2ODirect_Equations.VEERG_4_3_1_3__2_TotalNitrogenInEachMMS(F$213,H234)</f>
        <v>145.26244824768682</v>
      </c>
      <c r="I246" s="55" cm="1">
        <f t="array" ref="I246">MMS_Dairy_N2ODirect_Equations.VEERG_4_3_1_3__2_TotalNitrogenInEachMMS(G$176,I234)</f>
        <v>458.46219147973682</v>
      </c>
      <c r="J246" s="55" cm="1">
        <f t="array" ref="J246">MMS_Dairy_N2ODirect_Equations.VEERG_4_3_1_3__2_TotalNitrogenInEachMMS(H$213,J234)</f>
        <v>191.92571415811079</v>
      </c>
      <c r="N246" s="55" t="str">
        <f>'Input - Dairy'!$D$66</f>
        <v>Milking shed</v>
      </c>
      <c r="O246" s="55" t="s">
        <v>412</v>
      </c>
      <c r="P246" s="55" cm="1">
        <f t="array" ref="P246">MMS_Dairy_N2ODirect_Equations.VEERG_4_3_1_3__2_TotalNitrogenInEachMMS(N$176,P234)</f>
        <v>937.87881714320918</v>
      </c>
      <c r="Q246" s="55" cm="1">
        <f t="array" ref="Q246">MMS_Dairy_N2ODirect_Equations.VEERG_4_3_1_3__2_TotalNitrogenInEachMMS(O$176,Q234)</f>
        <v>364.71580535564152</v>
      </c>
      <c r="R246" s="55" cm="1">
        <f t="array" ref="R246">MMS_Dairy_N2ODirect_Equations.VEERG_4_3_1_3__2_TotalNitrogenInEachMMS(P$213,R234)</f>
        <v>145.26244824768682</v>
      </c>
      <c r="S246" s="55" cm="1">
        <f t="array" ref="S246">MMS_Dairy_N2ODirect_Equations.VEERG_4_3_1_3__2_TotalNitrogenInEachMMS(Q$176,S234)</f>
        <v>458.46219147973682</v>
      </c>
      <c r="T246" s="55" cm="1">
        <f t="array" ref="T246">MMS_Dairy_N2ODirect_Equations.VEERG_4_3_1_3__2_TotalNitrogenInEachMMS(R$213,T234)</f>
        <v>191.92571415811079</v>
      </c>
    </row>
    <row r="247" spans="1:21" ht="20.100000000000001" customHeight="1" x14ac:dyDescent="0.25">
      <c r="D247" s="55" t="str">
        <f>'Input - Dairy'!$D$67</f>
        <v>Feed pad</v>
      </c>
      <c r="E247" s="55" t="str">
        <f>'Input - Dairy'!$D$105</f>
        <v>Anaerobic lagoon</v>
      </c>
      <c r="F247" s="55" cm="1">
        <f t="array" ref="F247">MMS_Dairy_N2ODirect_Equations.VEERG_4_3_1_3__2_TotalNitrogenInEachMMS(D$176,F235)</f>
        <v>1897.073061948764</v>
      </c>
      <c r="G247" s="55" cm="1">
        <f t="array" ref="G247">MMS_Dairy_N2ODirect_Equations.VEERG_4_3_1_3__2_TotalNitrogenInEachMMS(E$176,G235)</f>
        <v>737.72060628754764</v>
      </c>
      <c r="H247" s="55" cm="1">
        <f t="array" ref="H247">MMS_Dairy_N2ODirect_Equations.VEERG_4_3_1_3__2_TotalNitrogenInEachMMS(F$213,H235)</f>
        <v>293.82631577373019</v>
      </c>
      <c r="I247" s="55" cm="1">
        <f t="array" ref="I247">MMS_Dairy_N2ODirect_Equations.VEERG_4_3_1_3__2_TotalNitrogenInEachMMS(G$176,I235)</f>
        <v>927.34397822037681</v>
      </c>
      <c r="J247" s="55" cm="1">
        <f t="array" ref="J247">MMS_Dairy_N2ODirect_Equations.VEERG_4_3_1_3__2_TotalNitrogenInEachMMS(H$213,J235)</f>
        <v>388.21337636526954</v>
      </c>
      <c r="N247" s="55" t="str">
        <f>'Input - Dairy'!$D$67</f>
        <v>Feed pad</v>
      </c>
      <c r="O247" s="55" t="str">
        <f>'Input - Dairy'!$D$105</f>
        <v>Anaerobic lagoon</v>
      </c>
      <c r="P247" s="55" cm="1">
        <f t="array" ref="P247">MMS_Dairy_N2ODirect_Equations.VEERG_4_3_1_3__2_TotalNitrogenInEachMMS(N$176,P235)</f>
        <v>1897.073061948764</v>
      </c>
      <c r="Q247" s="55" cm="1">
        <f t="array" ref="Q247">MMS_Dairy_N2ODirect_Equations.VEERG_4_3_1_3__2_TotalNitrogenInEachMMS(O$176,Q235)</f>
        <v>737.72060628754764</v>
      </c>
      <c r="R247" s="55" cm="1">
        <f t="array" ref="R247">MMS_Dairy_N2ODirect_Equations.VEERG_4_3_1_3__2_TotalNitrogenInEachMMS(P$213,R235)</f>
        <v>293.82631577373019</v>
      </c>
      <c r="S247" s="55" cm="1">
        <f t="array" ref="S247">MMS_Dairy_N2ODirect_Equations.VEERG_4_3_1_3__2_TotalNitrogenInEachMMS(Q$176,S235)</f>
        <v>927.34397822037681</v>
      </c>
      <c r="T247" s="55" cm="1">
        <f t="array" ref="T247">MMS_Dairy_N2ODirect_Equations.VEERG_4_3_1_3__2_TotalNitrogenInEachMMS(R$213,T235)</f>
        <v>388.21337636526954</v>
      </c>
    </row>
    <row r="248" spans="1:21" ht="20.100000000000001" customHeight="1" x14ac:dyDescent="0.25">
      <c r="D248" s="55" t="str">
        <f>'Input - Dairy'!$D$67</f>
        <v>Feed pad</v>
      </c>
      <c r="E248" s="55" t="str">
        <f>'Input - Dairy'!$D$110</f>
        <v>Sump and dispersal system</v>
      </c>
      <c r="F248" s="55" cm="1">
        <f t="array" ref="F248">MMS_Dairy_N2ODirect_Equations.VEERG_4_3_1_3__2_TotalNitrogenInEachMMS(D$176,F236)</f>
        <v>1517.6584495590114</v>
      </c>
      <c r="G248" s="55" cm="1">
        <f t="array" ref="G248">MMS_Dairy_N2ODirect_Equations.VEERG_4_3_1_3__2_TotalNitrogenInEachMMS(E$176,G236)</f>
        <v>590.17648503003818</v>
      </c>
      <c r="H248" s="55" cm="1">
        <f t="array" ref="H248">MMS_Dairy_N2ODirect_Equations.VEERG_4_3_1_3__2_TotalNitrogenInEachMMS(F$213,H236)</f>
        <v>235.06105261898415</v>
      </c>
      <c r="I248" s="55" cm="1">
        <f t="array" ref="I248">MMS_Dairy_N2ODirect_Equations.VEERG_4_3_1_3__2_TotalNitrogenInEachMMS(G$176,I236)</f>
        <v>741.87518257630143</v>
      </c>
      <c r="J248" s="55" cm="1">
        <f t="array" ref="J248">MMS_Dairy_N2ODirect_Equations.VEERG_4_3_1_3__2_TotalNitrogenInEachMMS(H$213,J236)</f>
        <v>310.57070109221564</v>
      </c>
      <c r="N248" s="55" t="str">
        <f>'Input - Dairy'!$D$67</f>
        <v>Feed pad</v>
      </c>
      <c r="O248" s="55" t="str">
        <f>'Input - Dairy'!$D$110</f>
        <v>Sump and dispersal system</v>
      </c>
      <c r="P248" s="55" cm="1">
        <f t="array" ref="P248">MMS_Dairy_N2ODirect_Equations.VEERG_4_3_1_3__2_TotalNitrogenInEachMMS(N$176,P236)</f>
        <v>1517.6584495590114</v>
      </c>
      <c r="Q248" s="55" cm="1">
        <f t="array" ref="Q248">MMS_Dairy_N2ODirect_Equations.VEERG_4_3_1_3__2_TotalNitrogenInEachMMS(O$176,Q236)</f>
        <v>590.17648503003818</v>
      </c>
      <c r="R248" s="55" cm="1">
        <f t="array" ref="R248">MMS_Dairy_N2ODirect_Equations.VEERG_4_3_1_3__2_TotalNitrogenInEachMMS(P$213,R236)</f>
        <v>235.06105261898415</v>
      </c>
      <c r="S248" s="55" cm="1">
        <f t="array" ref="S248">MMS_Dairy_N2ODirect_Equations.VEERG_4_3_1_3__2_TotalNitrogenInEachMMS(Q$176,S236)</f>
        <v>741.87518257630143</v>
      </c>
      <c r="T248" s="55" cm="1">
        <f t="array" ref="T248">MMS_Dairy_N2ODirect_Equations.VEERG_4_3_1_3__2_TotalNitrogenInEachMMS(R$213,T236)</f>
        <v>310.57070109221564</v>
      </c>
    </row>
    <row r="249" spans="1:21" ht="20.100000000000001" customHeight="1" x14ac:dyDescent="0.25">
      <c r="D249" s="55" t="str">
        <f>'Input - Dairy'!$D$67</f>
        <v>Feed pad</v>
      </c>
      <c r="E249" s="55" t="str">
        <f>'Input - Dairy'!$D$115</f>
        <v>Drains to paddock</v>
      </c>
      <c r="F249" s="55" cm="1">
        <f t="array" ref="F249">MMS_Dairy_N2ODirect_Equations.VEERG_4_3_1_3__2_TotalNitrogenInEachMMS(D$176,F237)</f>
        <v>1517.6584495590114</v>
      </c>
      <c r="G249" s="55" cm="1">
        <f t="array" ref="G249">MMS_Dairy_N2ODirect_Equations.VEERG_4_3_1_3__2_TotalNitrogenInEachMMS(E$176,G237)</f>
        <v>590.17648503003818</v>
      </c>
      <c r="H249" s="55" cm="1">
        <f t="array" ref="H249">MMS_Dairy_N2ODirect_Equations.VEERG_4_3_1_3__2_TotalNitrogenInEachMMS(F$213,H237)</f>
        <v>235.06105261898415</v>
      </c>
      <c r="I249" s="55" cm="1">
        <f t="array" ref="I249">MMS_Dairy_N2ODirect_Equations.VEERG_4_3_1_3__2_TotalNitrogenInEachMMS(G$176,I237)</f>
        <v>741.87518257630143</v>
      </c>
      <c r="J249" s="55" cm="1">
        <f t="array" ref="J249">MMS_Dairy_N2ODirect_Equations.VEERG_4_3_1_3__2_TotalNitrogenInEachMMS(H$213,J237)</f>
        <v>310.57070109221564</v>
      </c>
      <c r="N249" s="55" t="str">
        <f>'Input - Dairy'!$D$67</f>
        <v>Feed pad</v>
      </c>
      <c r="O249" s="55" t="str">
        <f>'Input - Dairy'!$D$115</f>
        <v>Drains to paddock</v>
      </c>
      <c r="P249" s="55" cm="1">
        <f t="array" ref="P249">MMS_Dairy_N2ODirect_Equations.VEERG_4_3_1_3__2_TotalNitrogenInEachMMS(N$176,P237)</f>
        <v>1517.6584495590114</v>
      </c>
      <c r="Q249" s="55" cm="1">
        <f t="array" ref="Q249">MMS_Dairy_N2ODirect_Equations.VEERG_4_3_1_3__2_TotalNitrogenInEachMMS(O$176,Q237)</f>
        <v>590.17648503003818</v>
      </c>
      <c r="R249" s="55" cm="1">
        <f t="array" ref="R249">MMS_Dairy_N2ODirect_Equations.VEERG_4_3_1_3__2_TotalNitrogenInEachMMS(P$213,R237)</f>
        <v>235.06105261898415</v>
      </c>
      <c r="S249" s="55" cm="1">
        <f t="array" ref="S249">MMS_Dairy_N2ODirect_Equations.VEERG_4_3_1_3__2_TotalNitrogenInEachMMS(Q$176,S237)</f>
        <v>741.87518257630143</v>
      </c>
      <c r="T249" s="55" cm="1">
        <f t="array" ref="T249">MMS_Dairy_N2ODirect_Equations.VEERG_4_3_1_3__2_TotalNitrogenInEachMMS(R$213,T237)</f>
        <v>310.57070109221564</v>
      </c>
    </row>
    <row r="250" spans="1:21" ht="20.100000000000001" customHeight="1" x14ac:dyDescent="0.25">
      <c r="D250" s="55" t="str">
        <f>'Input - Dairy'!$D$67</f>
        <v>Feed pad</v>
      </c>
      <c r="E250" s="55" t="s">
        <v>412</v>
      </c>
      <c r="F250" s="55" cm="1">
        <f t="array" ref="F250">MMS_Dairy_N2ODirect_Equations.VEERG_4_3_1_3__2_TotalNitrogenInEachMMS(D$176,F238)</f>
        <v>2655.9022867282697</v>
      </c>
      <c r="G250" s="55" cm="1">
        <f t="array" ref="G250">MMS_Dairy_N2ODirect_Equations.VEERG_4_3_1_3__2_TotalNitrogenInEachMMS(E$176,G238)</f>
        <v>1032.8088488025667</v>
      </c>
      <c r="H250" s="55" cm="1">
        <f t="array" ref="H250">MMS_Dairy_N2ODirect_Equations.VEERG_4_3_1_3__2_TotalNitrogenInEachMMS(F$213,H238)</f>
        <v>411.35684208322226</v>
      </c>
      <c r="I250" s="55" cm="1">
        <f t="array" ref="I250">MMS_Dairy_N2ODirect_Equations.VEERG_4_3_1_3__2_TotalNitrogenInEachMMS(G$176,I238)</f>
        <v>1298.2815695085274</v>
      </c>
      <c r="J250" s="55" cm="1">
        <f t="array" ref="J250">MMS_Dairy_N2ODirect_Equations.VEERG_4_3_1_3__2_TotalNitrogenInEachMMS(H$213,J238)</f>
        <v>543.49872691137739</v>
      </c>
      <c r="N250" s="55" t="str">
        <f>'Input - Dairy'!$D$67</f>
        <v>Feed pad</v>
      </c>
      <c r="O250" s="55" t="s">
        <v>412</v>
      </c>
      <c r="P250" s="55" cm="1">
        <f t="array" ref="P250">MMS_Dairy_N2ODirect_Equations.VEERG_4_3_1_3__2_TotalNitrogenInEachMMS(N$176,P238)</f>
        <v>2655.9022867282697</v>
      </c>
      <c r="Q250" s="55" cm="1">
        <f t="array" ref="Q250">MMS_Dairy_N2ODirect_Equations.VEERG_4_3_1_3__2_TotalNitrogenInEachMMS(O$176,Q238)</f>
        <v>1032.8088488025667</v>
      </c>
      <c r="R250" s="55" cm="1">
        <f t="array" ref="R250">MMS_Dairy_N2ODirect_Equations.VEERG_4_3_1_3__2_TotalNitrogenInEachMMS(P$213,R238)</f>
        <v>411.35684208322226</v>
      </c>
      <c r="S250" s="55" cm="1">
        <f t="array" ref="S250">MMS_Dairy_N2ODirect_Equations.VEERG_4_3_1_3__2_TotalNitrogenInEachMMS(Q$176,S238)</f>
        <v>1298.2815695085274</v>
      </c>
      <c r="T250" s="55" cm="1">
        <f t="array" ref="T250">MMS_Dairy_N2ODirect_Equations.VEERG_4_3_1_3__2_TotalNitrogenInEachMMS(R$213,T238)</f>
        <v>543.49872691137739</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28</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6" t="s">
        <v>31</v>
      </c>
      <c r="E259" s="1" t="str" cm="1">
        <f t="array" ref="E259">MMS_Dairy_N2ODirect_Equations.VEERG_4_3_1_3__1_TotalAnnualDirectNitrousOxideEmissionsFromMMS_Variable()</f>
        <v>E_N2Odir</v>
      </c>
    </row>
    <row r="260" spans="4:9" ht="20.100000000000001" customHeight="1" x14ac:dyDescent="0.25">
      <c r="D260" s="56" t="s">
        <v>21</v>
      </c>
      <c r="E260" s="57"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7" t="str" cm="1">
        <f t="array" ref="D262:E264">_xlfn.CHOOSECOLS(MMS_Dairy_N2ODirect_Equations.VEERG_4_3_1_3__1_TotalAnnualDirectNitrousOxideEmissionsFromMMS_Arguments(),1,2)</f>
        <v>MN_jm</v>
      </c>
      <c r="E262" s="137" t="str">
        <v>total nitrogen in each MMS for dairy cattle classes</v>
      </c>
      <c r="F262" s="137"/>
      <c r="G262" s="137" t="str" cm="1">
        <f t="array" ref="G262:H264">_xlfn.CHOOSECOLS(MMS_Dairy_N2ODirect_Equations.VEERG_4_3_1_3__1_TotalAnnualDirectNitrousOxideEmissionsFromMMS_Arguments(),3,4)</f>
        <v>kg N</v>
      </c>
      <c r="H262" s="133" t="str">
        <v>Calculated from 4.3.1.3 (2)</v>
      </c>
      <c r="I262" s="134" t="str" cm="1">
        <f t="array" aca="1" ref="I262" ca="1">HYPERLINK(Common_InputFunctions.Utility_SourceHyperlink($D$240),$D$240)</f>
        <v>M1_Table_MN_j_m</v>
      </c>
    </row>
    <row r="263" spans="4:9" ht="20.100000000000001" customHeight="1" x14ac:dyDescent="0.25">
      <c r="D263" s="137" t="str">
        <v>EF_m</v>
      </c>
      <c r="E263" s="137" t="str">
        <v>nitrous oxide emission factor for each MMS (kg N2O-N/kg N deposited)</v>
      </c>
      <c r="F263" s="137"/>
      <c r="G263" s="137" t="str">
        <v>kg N2O-N/kg N</v>
      </c>
      <c r="H263" s="133" t="str">
        <v>Constant</v>
      </c>
      <c r="I263" s="134" t="str" cm="1">
        <f t="array" aca="1" ref="I263" ca="1">HYPERLINK(Common_InputFunctions.Utility_SourceHyperlink($D$266),$D$266)</f>
        <v>Table_EF_m</v>
      </c>
    </row>
    <row r="264" spans="4:9" ht="20.100000000000001" customHeight="1" x14ac:dyDescent="0.25">
      <c r="D264" s="137" t="str">
        <v>C_N2O</v>
      </c>
      <c r="E264" s="137" t="str">
        <v>factor to convert elemental mass of N2O to molecular mass</v>
      </c>
      <c r="F264" s="137"/>
      <c r="G264" s="137" t="str">
        <v>fraction</v>
      </c>
      <c r="H264" s="133" t="str">
        <v>Constant</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318</v>
      </c>
    </row>
    <row r="267" spans="4:9" ht="20.100000000000001" customHeight="1" x14ac:dyDescent="0.25">
      <c r="D267" s="103" t="s">
        <v>319</v>
      </c>
    </row>
    <row r="268" spans="4:9" ht="20.100000000000001" customHeight="1" x14ac:dyDescent="0.25">
      <c r="D268" s="54" t="s">
        <v>69</v>
      </c>
      <c r="E268" s="54" t="s">
        <v>320</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125</v>
      </c>
      <c r="N275" s="104" t="s">
        <v>125</v>
      </c>
    </row>
    <row r="276" spans="1:20" ht="20.100000000000001" customHeight="1" x14ac:dyDescent="0.25">
      <c r="D276" s="103" t="s">
        <v>321</v>
      </c>
      <c r="N276" s="103" t="s">
        <v>321</v>
      </c>
    </row>
    <row r="277" spans="1:20" ht="20.100000000000001" customHeight="1" x14ac:dyDescent="0.25">
      <c r="D277" s="54" t="s">
        <v>149</v>
      </c>
      <c r="E277" s="54" t="s">
        <v>69</v>
      </c>
      <c r="F277" s="54" t="s">
        <v>175</v>
      </c>
      <c r="G277" s="54" t="s">
        <v>192</v>
      </c>
      <c r="H277" s="54" t="s">
        <v>193</v>
      </c>
      <c r="I277" s="54" t="s">
        <v>194</v>
      </c>
      <c r="J277" s="54" t="s">
        <v>195</v>
      </c>
      <c r="N277" s="54" t="s">
        <v>149</v>
      </c>
      <c r="O277" s="54" t="s">
        <v>69</v>
      </c>
      <c r="P277" s="54" t="s">
        <v>175</v>
      </c>
      <c r="Q277" s="54" t="s">
        <v>192</v>
      </c>
      <c r="R277" s="54" t="s">
        <v>193</v>
      </c>
      <c r="S277" s="54" t="s">
        <v>194</v>
      </c>
      <c r="T277" s="54" t="s">
        <v>195</v>
      </c>
    </row>
    <row r="278" spans="1:20" ht="20.100000000000001" customHeight="1" x14ac:dyDescent="0.25">
      <c r="D278" s="55" t="str">
        <f>'Input - Dairy'!$D$66</f>
        <v>Milking shed</v>
      </c>
      <c r="E278" s="55" t="str">
        <f>'Input - Dairy'!$D$81</f>
        <v>Anaerobic lagoon</v>
      </c>
      <c r="F278" s="55" cm="1">
        <f t="array" ref="F278">MMS_Dairy_N2ODirect_Equations.VEERG_4_3_1_3__1_TotalAnnualDirectNitrousOxideEmissionsFromMMS(F243,$E270,$I$264)</f>
        <v>0</v>
      </c>
      <c r="G278" s="55" cm="1">
        <f t="array" ref="G278">MMS_Dairy_N2ODirect_Equations.VEERG_4_3_1_3__1_TotalAnnualDirectNitrousOxideEmissionsFromMMS(G243,$E270,$I$264)</f>
        <v>0</v>
      </c>
      <c r="H278" s="55" cm="1">
        <f t="array" ref="H278">MMS_Dairy_N2ODirect_Equations.VEERG_4_3_1_3__1_TotalAnnualDirectNitrousOxideEmissionsFromMMS(H243,$E270,$I$264)</f>
        <v>0</v>
      </c>
      <c r="I278" s="55" cm="1">
        <f t="array" ref="I278">MMS_Dairy_N2ODirect_Equations.VEERG_4_3_1_3__1_TotalAnnualDirectNitrousOxideEmissionsFromMMS(I243,$E270,$I$264)</f>
        <v>0</v>
      </c>
      <c r="J278" s="55" cm="1">
        <f t="array" ref="J278">MMS_Dairy_N2ODirect_Equations.VEERG_4_3_1_3__1_TotalAnnualDirectNitrousOxideEmissionsFromMMS(J243,$E270,$I$264)</f>
        <v>0</v>
      </c>
      <c r="N278" s="55" t="str">
        <f>'Input - Dairy'!$D$66</f>
        <v>Milking shed</v>
      </c>
      <c r="O278" s="55" t="str">
        <f>'Input - Dairy'!$D$81</f>
        <v>Anaerobic lagoon</v>
      </c>
      <c r="P278" s="55" cm="1">
        <f t="array" ref="P278">MMS_Dairy_N2ODirect_Equations.VEERG_4_3_1_3__1_TotalAnnualDirectNitrousOxideEmissionsFromMMS(P243,$E270,$I$264)</f>
        <v>0</v>
      </c>
      <c r="Q278" s="55" cm="1">
        <f t="array" ref="Q278">MMS_Dairy_N2ODirect_Equations.VEERG_4_3_1_3__1_TotalAnnualDirectNitrousOxideEmissionsFromMMS(Q243,$E270,$I$264)</f>
        <v>0</v>
      </c>
      <c r="R278" s="55" cm="1">
        <f t="array" ref="R278">MMS_Dairy_N2ODirect_Equations.VEERG_4_3_1_3__1_TotalAnnualDirectNitrousOxideEmissionsFromMMS(R243,$E270,$I$264)</f>
        <v>0</v>
      </c>
      <c r="S278" s="55" cm="1">
        <f t="array" ref="S278">MMS_Dairy_N2ODirect_Equations.VEERG_4_3_1_3__1_TotalAnnualDirectNitrousOxideEmissionsFromMMS(S243,$E270,$I$264)</f>
        <v>0</v>
      </c>
      <c r="T278" s="55" cm="1">
        <f t="array" ref="T278">MMS_Dairy_N2ODirect_Equations.VEERG_4_3_1_3__1_TotalAnnualDirectNitrousOxideEmissionsFromMMS(T243,$E270,$I$264)</f>
        <v>0</v>
      </c>
    </row>
    <row r="279" spans="1:20" ht="20.100000000000001" customHeight="1" x14ac:dyDescent="0.25">
      <c r="D279" s="55" t="str">
        <f>'Input - Dairy'!$D$66</f>
        <v>Milking shed</v>
      </c>
      <c r="E279" s="55" t="str">
        <f>'Input - Dairy'!$D$86</f>
        <v>Sump and dispersal system</v>
      </c>
      <c r="F279" s="55" cm="1">
        <f t="array" ref="F279">MMS_Dairy_N2ODirect_Equations.VEERG_4_3_1_3__1_TotalAnnualDirectNitrousOxideEmissionsFromMMS(F244,$E271,$I$264)</f>
        <v>0</v>
      </c>
      <c r="G279" s="55" cm="1">
        <f t="array" ref="G279">MMS_Dairy_N2ODirect_Equations.VEERG_4_3_1_3__1_TotalAnnualDirectNitrousOxideEmissionsFromMMS(G244,$E271,$I$264)</f>
        <v>0</v>
      </c>
      <c r="H279" s="55" cm="1">
        <f t="array" ref="H279">MMS_Dairy_N2ODirect_Equations.VEERG_4_3_1_3__1_TotalAnnualDirectNitrousOxideEmissionsFromMMS(H244,$E271,$I$264)</f>
        <v>0</v>
      </c>
      <c r="I279" s="55" cm="1">
        <f t="array" ref="I279">MMS_Dairy_N2ODirect_Equations.VEERG_4_3_1_3__1_TotalAnnualDirectNitrousOxideEmissionsFromMMS(I244,$E271,$I$264)</f>
        <v>0</v>
      </c>
      <c r="J279" s="55" cm="1">
        <f t="array" ref="J279">MMS_Dairy_N2ODirect_Equations.VEERG_4_3_1_3__1_TotalAnnualDirectNitrousOxideEmissionsFromMMS(J244,$E271,$I$264)</f>
        <v>0</v>
      </c>
      <c r="N279" s="55" t="str">
        <f>'Input - Dairy'!$D$66</f>
        <v>Milking shed</v>
      </c>
      <c r="O279" s="55" t="str">
        <f>'Input - Dairy'!$D$86</f>
        <v>Sump and dispersal system</v>
      </c>
      <c r="P279" s="55" cm="1">
        <f t="array" ref="P279">MMS_Dairy_N2ODirect_Equations.VEERG_4_3_1_3__1_TotalAnnualDirectNitrousOxideEmissionsFromMMS(P244,$E271,$I$264)</f>
        <v>0</v>
      </c>
      <c r="Q279" s="55" cm="1">
        <f t="array" ref="Q279">MMS_Dairy_N2ODirect_Equations.VEERG_4_3_1_3__1_TotalAnnualDirectNitrousOxideEmissionsFromMMS(Q244,$E271,$I$264)</f>
        <v>0</v>
      </c>
      <c r="R279" s="55" cm="1">
        <f t="array" ref="R279">MMS_Dairy_N2ODirect_Equations.VEERG_4_3_1_3__1_TotalAnnualDirectNitrousOxideEmissionsFromMMS(R244,$E271,$I$264)</f>
        <v>0</v>
      </c>
      <c r="S279" s="55" cm="1">
        <f t="array" ref="S279">MMS_Dairy_N2ODirect_Equations.VEERG_4_3_1_3__1_TotalAnnualDirectNitrousOxideEmissionsFromMMS(S244,$E271,$I$264)</f>
        <v>0</v>
      </c>
      <c r="T279" s="55" cm="1">
        <f t="array" ref="T279">MMS_Dairy_N2ODirect_Equations.VEERG_4_3_1_3__1_TotalAnnualDirectNitrousOxideEmissionsFromMMS(T244,$E271,$I$264)</f>
        <v>0</v>
      </c>
    </row>
    <row r="280" spans="1:20" ht="20.100000000000001" customHeight="1" x14ac:dyDescent="0.25">
      <c r="D280" s="55" t="str">
        <f>'Input - Dairy'!$D$66</f>
        <v>Milking shed</v>
      </c>
      <c r="E280" s="55" t="str">
        <f>'Input - Dairy'!$D$91</f>
        <v>Drains to paddock</v>
      </c>
      <c r="F280" s="55" cm="1">
        <f t="array" ref="F280">MMS_Dairy_N2ODirect_Equations.VEERG_4_3_1_3__1_TotalAnnualDirectNitrousOxideEmissionsFromMMS(F245,$E272,$I$264)</f>
        <v>0</v>
      </c>
      <c r="G280" s="55" cm="1">
        <f t="array" ref="G280">MMS_Dairy_N2ODirect_Equations.VEERG_4_3_1_3__1_TotalAnnualDirectNitrousOxideEmissionsFromMMS(G245,$E272,$I$264)</f>
        <v>0</v>
      </c>
      <c r="H280" s="55" cm="1">
        <f t="array" ref="H280">MMS_Dairy_N2ODirect_Equations.VEERG_4_3_1_3__1_TotalAnnualDirectNitrousOxideEmissionsFromMMS(H245,$E272,$I$264)</f>
        <v>0</v>
      </c>
      <c r="I280" s="55" cm="1">
        <f t="array" ref="I280">MMS_Dairy_N2ODirect_Equations.VEERG_4_3_1_3__1_TotalAnnualDirectNitrousOxideEmissionsFromMMS(I245,$E272,$I$264)</f>
        <v>0</v>
      </c>
      <c r="J280" s="55" cm="1">
        <f t="array" ref="J280">MMS_Dairy_N2ODirect_Equations.VEERG_4_3_1_3__1_TotalAnnualDirectNitrousOxideEmissionsFromMMS(J245,$E272,$I$264)</f>
        <v>0</v>
      </c>
      <c r="N280" s="55" t="str">
        <f>'Input - Dairy'!$D$66</f>
        <v>Milking shed</v>
      </c>
      <c r="O280" s="55" t="str">
        <f>'Input - Dairy'!$D$91</f>
        <v>Drains to paddock</v>
      </c>
      <c r="P280" s="55" cm="1">
        <f t="array" ref="P280">MMS_Dairy_N2ODirect_Equations.VEERG_4_3_1_3__1_TotalAnnualDirectNitrousOxideEmissionsFromMMS(P245,$E272,$I$264)</f>
        <v>0</v>
      </c>
      <c r="Q280" s="55" cm="1">
        <f t="array" ref="Q280">MMS_Dairy_N2ODirect_Equations.VEERG_4_3_1_3__1_TotalAnnualDirectNitrousOxideEmissionsFromMMS(Q245,$E272,$I$264)</f>
        <v>0</v>
      </c>
      <c r="R280" s="55" cm="1">
        <f t="array" ref="R280">MMS_Dairy_N2ODirect_Equations.VEERG_4_3_1_3__1_TotalAnnualDirectNitrousOxideEmissionsFromMMS(R245,$E272,$I$264)</f>
        <v>0</v>
      </c>
      <c r="S280" s="55" cm="1">
        <f t="array" ref="S280">MMS_Dairy_N2ODirect_Equations.VEERG_4_3_1_3__1_TotalAnnualDirectNitrousOxideEmissionsFromMMS(S245,$E272,$I$264)</f>
        <v>0</v>
      </c>
      <c r="T280" s="55" cm="1">
        <f t="array" ref="T280">MMS_Dairy_N2ODirect_Equations.VEERG_4_3_1_3__1_TotalAnnualDirectNitrousOxideEmissionsFromMMS(T245,$E272,$I$264)</f>
        <v>0</v>
      </c>
    </row>
    <row r="281" spans="1:20" ht="20.100000000000001" customHeight="1" x14ac:dyDescent="0.25">
      <c r="D281" s="55" t="str">
        <f>'Input - Dairy'!$D$66</f>
        <v>Milking shed</v>
      </c>
      <c r="E281" s="55" t="s">
        <v>412</v>
      </c>
      <c r="F281" s="55" cm="1">
        <f t="array" ref="F281">MMS_Dairy_N2ODirect_Equations.VEERG_4_3_1_3__1_TotalAnnualDirectNitrousOxideEmissionsFromMMS(F246,$E273,$I$264)</f>
        <v>7.3690478489823576E-3</v>
      </c>
      <c r="G281" s="55" cm="1">
        <f t="array" ref="G281">MMS_Dairy_N2ODirect_Equations.VEERG_4_3_1_3__1_TotalAnnualDirectNitrousOxideEmissionsFromMMS(G246,$E273,$I$264)</f>
        <v>2.8656241849371834E-3</v>
      </c>
      <c r="H281" s="55" cm="1">
        <f t="array" ref="H281">MMS_Dairy_N2ODirect_Equations.VEERG_4_3_1_3__1_TotalAnnualDirectNitrousOxideEmissionsFromMMS(H246,$E273,$I$264)</f>
        <v>1.1413478076603965E-3</v>
      </c>
      <c r="I281" s="55" cm="1">
        <f t="array" ref="I281">MMS_Dairy_N2ODirect_Equations.VEERG_4_3_1_3__1_TotalAnnualDirectNitrousOxideEmissionsFromMMS(I246,$E273,$I$264)</f>
        <v>3.6022029330550747E-3</v>
      </c>
      <c r="J281" s="55" cm="1">
        <f t="array" ref="J281">MMS_Dairy_N2ODirect_Equations.VEERG_4_3_1_3__1_TotalAnnualDirectNitrousOxideEmissionsFromMMS(J246,$E273,$I$264)</f>
        <v>1.5079877540994421E-3</v>
      </c>
      <c r="N281" s="55" t="str">
        <f>'Input - Dairy'!$D$66</f>
        <v>Milking shed</v>
      </c>
      <c r="O281" s="55" t="s">
        <v>412</v>
      </c>
      <c r="P281" s="55" cm="1">
        <f t="array" ref="P281">MMS_Dairy_N2ODirect_Equations.VEERG_4_3_1_3__1_TotalAnnualDirectNitrousOxideEmissionsFromMMS(P246,$E273,$I$264)</f>
        <v>7.3690478489823576E-3</v>
      </c>
      <c r="Q281" s="55" cm="1">
        <f t="array" ref="Q281">MMS_Dairy_N2ODirect_Equations.VEERG_4_3_1_3__1_TotalAnnualDirectNitrousOxideEmissionsFromMMS(Q246,$E273,$I$264)</f>
        <v>2.8656241849371834E-3</v>
      </c>
      <c r="R281" s="55" cm="1">
        <f t="array" ref="R281">MMS_Dairy_N2ODirect_Equations.VEERG_4_3_1_3__1_TotalAnnualDirectNitrousOxideEmissionsFromMMS(R246,$E273,$I$264)</f>
        <v>1.1413478076603965E-3</v>
      </c>
      <c r="S281" s="55" cm="1">
        <f t="array" ref="S281">MMS_Dairy_N2ODirect_Equations.VEERG_4_3_1_3__1_TotalAnnualDirectNitrousOxideEmissionsFromMMS(S246,$E273,$I$264)</f>
        <v>3.6022029330550747E-3</v>
      </c>
      <c r="T281" s="55" cm="1">
        <f t="array" ref="T281">MMS_Dairy_N2ODirect_Equations.VEERG_4_3_1_3__1_TotalAnnualDirectNitrousOxideEmissionsFromMMS(T246,$E273,$I$264)</f>
        <v>1.5079877540994421E-3</v>
      </c>
    </row>
    <row r="282" spans="1:20" ht="20.100000000000001" customHeight="1" x14ac:dyDescent="0.25">
      <c r="D282" s="55" t="str">
        <f>'Input - Dairy'!$D$67</f>
        <v>Feed pad</v>
      </c>
      <c r="E282" s="55" t="str">
        <f>'Input - Dairy'!$D$105</f>
        <v>Anaerobic lagoon</v>
      </c>
      <c r="F282" s="55" cm="1">
        <f t="array" ref="F282">MMS_Dairy_N2ODirect_Equations.VEERG_4_3_1_3__1_TotalAnnualDirectNitrousOxideEmissionsFromMMS(F247,$E270,$I$264)</f>
        <v>0</v>
      </c>
      <c r="G282" s="55" cm="1">
        <f t="array" ref="G282">MMS_Dairy_N2ODirect_Equations.VEERG_4_3_1_3__1_TotalAnnualDirectNitrousOxideEmissionsFromMMS(G247,$E270,$I$264)</f>
        <v>0</v>
      </c>
      <c r="H282" s="55" cm="1">
        <f t="array" ref="H282">MMS_Dairy_N2ODirect_Equations.VEERG_4_3_1_3__1_TotalAnnualDirectNitrousOxideEmissionsFromMMS(H247,$E270,$I$264)</f>
        <v>0</v>
      </c>
      <c r="I282" s="55" cm="1">
        <f t="array" ref="I282">MMS_Dairy_N2ODirect_Equations.VEERG_4_3_1_3__1_TotalAnnualDirectNitrousOxideEmissionsFromMMS(I247,$E270,$I$264)</f>
        <v>0</v>
      </c>
      <c r="J282" s="55" cm="1">
        <f t="array" ref="J282">MMS_Dairy_N2ODirect_Equations.VEERG_4_3_1_3__1_TotalAnnualDirectNitrousOxideEmissionsFromMMS(J247,$E270,$I$264)</f>
        <v>0</v>
      </c>
      <c r="N282" s="55" t="str">
        <f>'Input - Dairy'!$D$67</f>
        <v>Feed pad</v>
      </c>
      <c r="O282" s="55" t="str">
        <f>'Input - Dairy'!$D$105</f>
        <v>Anaerobic lagoon</v>
      </c>
      <c r="P282" s="55" cm="1">
        <f t="array" ref="P282">MMS_Dairy_N2ODirect_Equations.VEERG_4_3_1_3__1_TotalAnnualDirectNitrousOxideEmissionsFromMMS(P247,$E270,$I$264)</f>
        <v>0</v>
      </c>
      <c r="Q282" s="55" cm="1">
        <f t="array" ref="Q282">MMS_Dairy_N2ODirect_Equations.VEERG_4_3_1_3__1_TotalAnnualDirectNitrousOxideEmissionsFromMMS(Q247,$E270,$I$264)</f>
        <v>0</v>
      </c>
      <c r="R282" s="55" cm="1">
        <f t="array" ref="R282">MMS_Dairy_N2ODirect_Equations.VEERG_4_3_1_3__1_TotalAnnualDirectNitrousOxideEmissionsFromMMS(R247,$E270,$I$264)</f>
        <v>0</v>
      </c>
      <c r="S282" s="55" cm="1">
        <f t="array" ref="S282">MMS_Dairy_N2ODirect_Equations.VEERG_4_3_1_3__1_TotalAnnualDirectNitrousOxideEmissionsFromMMS(S247,$E270,$I$264)</f>
        <v>0</v>
      </c>
      <c r="T282" s="55" cm="1">
        <f t="array" ref="T282">MMS_Dairy_N2ODirect_Equations.VEERG_4_3_1_3__1_TotalAnnualDirectNitrousOxideEmissionsFromMMS(T247,$E270,$I$264)</f>
        <v>0</v>
      </c>
    </row>
    <row r="283" spans="1:20" ht="20.100000000000001" customHeight="1" x14ac:dyDescent="0.25">
      <c r="D283" s="55" t="str">
        <f>'Input - Dairy'!$D$67</f>
        <v>Feed pad</v>
      </c>
      <c r="E283" s="55" t="str">
        <f>'Input - Dairy'!$D$110</f>
        <v>Sump and dispersal system</v>
      </c>
      <c r="F283" s="55" cm="1">
        <f t="array" ref="F283">MMS_Dairy_N2ODirect_Equations.VEERG_4_3_1_3__1_TotalAnnualDirectNitrousOxideEmissionsFromMMS(F248,$E271,$I$264)</f>
        <v>0</v>
      </c>
      <c r="G283" s="55" cm="1">
        <f t="array" ref="G283">MMS_Dairy_N2ODirect_Equations.VEERG_4_3_1_3__1_TotalAnnualDirectNitrousOxideEmissionsFromMMS(G248,$E271,$I$264)</f>
        <v>0</v>
      </c>
      <c r="H283" s="55" cm="1">
        <f t="array" ref="H283">MMS_Dairy_N2ODirect_Equations.VEERG_4_3_1_3__1_TotalAnnualDirectNitrousOxideEmissionsFromMMS(H248,$E271,$I$264)</f>
        <v>0</v>
      </c>
      <c r="I283" s="55" cm="1">
        <f t="array" ref="I283">MMS_Dairy_N2ODirect_Equations.VEERG_4_3_1_3__1_TotalAnnualDirectNitrousOxideEmissionsFromMMS(I248,$E271,$I$264)</f>
        <v>0</v>
      </c>
      <c r="J283" s="55" cm="1">
        <f t="array" ref="J283">MMS_Dairy_N2ODirect_Equations.VEERG_4_3_1_3__1_TotalAnnualDirectNitrousOxideEmissionsFromMMS(J248,$E271,$I$264)</f>
        <v>0</v>
      </c>
      <c r="N283" s="55" t="str">
        <f>'Input - Dairy'!$D$67</f>
        <v>Feed pad</v>
      </c>
      <c r="O283" s="55" t="str">
        <f>'Input - Dairy'!$D$110</f>
        <v>Sump and dispersal system</v>
      </c>
      <c r="P283" s="55" cm="1">
        <f t="array" ref="P283">MMS_Dairy_N2ODirect_Equations.VEERG_4_3_1_3__1_TotalAnnualDirectNitrousOxideEmissionsFromMMS(P248,$E271,$I$264)</f>
        <v>0</v>
      </c>
      <c r="Q283" s="55" cm="1">
        <f t="array" ref="Q283">MMS_Dairy_N2ODirect_Equations.VEERG_4_3_1_3__1_TotalAnnualDirectNitrousOxideEmissionsFromMMS(Q248,$E271,$I$264)</f>
        <v>0</v>
      </c>
      <c r="R283" s="55" cm="1">
        <f t="array" ref="R283">MMS_Dairy_N2ODirect_Equations.VEERG_4_3_1_3__1_TotalAnnualDirectNitrousOxideEmissionsFromMMS(R248,$E271,$I$264)</f>
        <v>0</v>
      </c>
      <c r="S283" s="55" cm="1">
        <f t="array" ref="S283">MMS_Dairy_N2ODirect_Equations.VEERG_4_3_1_3__1_TotalAnnualDirectNitrousOxideEmissionsFromMMS(S248,$E271,$I$264)</f>
        <v>0</v>
      </c>
      <c r="T283" s="55" cm="1">
        <f t="array" ref="T283">MMS_Dairy_N2ODirect_Equations.VEERG_4_3_1_3__1_TotalAnnualDirectNitrousOxideEmissionsFromMMS(T248,$E271,$I$264)</f>
        <v>0</v>
      </c>
    </row>
    <row r="284" spans="1:20" ht="20.100000000000001" customHeight="1" x14ac:dyDescent="0.25">
      <c r="D284" s="55" t="str">
        <f>'Input - Dairy'!$D$67</f>
        <v>Feed pad</v>
      </c>
      <c r="E284" s="55" t="str">
        <f>'Input - Dairy'!$D$115</f>
        <v>Drains to paddock</v>
      </c>
      <c r="F284" s="55" cm="1">
        <f t="array" ref="F284">MMS_Dairy_N2ODirect_Equations.VEERG_4_3_1_3__1_TotalAnnualDirectNitrousOxideEmissionsFromMMS(F249,$E272,$I$264)</f>
        <v>0</v>
      </c>
      <c r="G284" s="55" cm="1">
        <f t="array" ref="G284">MMS_Dairy_N2ODirect_Equations.VEERG_4_3_1_3__1_TotalAnnualDirectNitrousOxideEmissionsFromMMS(G249,$E272,$I$264)</f>
        <v>0</v>
      </c>
      <c r="H284" s="55" cm="1">
        <f t="array" ref="H284">MMS_Dairy_N2ODirect_Equations.VEERG_4_3_1_3__1_TotalAnnualDirectNitrousOxideEmissionsFromMMS(H249,$E272,$I$264)</f>
        <v>0</v>
      </c>
      <c r="I284" s="55" cm="1">
        <f t="array" ref="I284">MMS_Dairy_N2ODirect_Equations.VEERG_4_3_1_3__1_TotalAnnualDirectNitrousOxideEmissionsFromMMS(I249,$E272,$I$264)</f>
        <v>0</v>
      </c>
      <c r="J284" s="55" cm="1">
        <f t="array" ref="J284">MMS_Dairy_N2ODirect_Equations.VEERG_4_3_1_3__1_TotalAnnualDirectNitrousOxideEmissionsFromMMS(J249,$E272,$I$264)</f>
        <v>0</v>
      </c>
      <c r="N284" s="55" t="str">
        <f>'Input - Dairy'!$D$67</f>
        <v>Feed pad</v>
      </c>
      <c r="O284" s="55" t="str">
        <f>'Input - Dairy'!$D$115</f>
        <v>Drains to paddock</v>
      </c>
      <c r="P284" s="55" cm="1">
        <f t="array" ref="P284">MMS_Dairy_N2ODirect_Equations.VEERG_4_3_1_3__1_TotalAnnualDirectNitrousOxideEmissionsFromMMS(P249,$E272,$I$264)</f>
        <v>0</v>
      </c>
      <c r="Q284" s="55" cm="1">
        <f t="array" ref="Q284">MMS_Dairy_N2ODirect_Equations.VEERG_4_3_1_3__1_TotalAnnualDirectNitrousOxideEmissionsFromMMS(Q249,$E272,$I$264)</f>
        <v>0</v>
      </c>
      <c r="R284" s="55" cm="1">
        <f t="array" ref="R284">MMS_Dairy_N2ODirect_Equations.VEERG_4_3_1_3__1_TotalAnnualDirectNitrousOxideEmissionsFromMMS(R249,$E272,$I$264)</f>
        <v>0</v>
      </c>
      <c r="S284" s="55" cm="1">
        <f t="array" ref="S284">MMS_Dairy_N2ODirect_Equations.VEERG_4_3_1_3__1_TotalAnnualDirectNitrousOxideEmissionsFromMMS(S249,$E272,$I$264)</f>
        <v>0</v>
      </c>
      <c r="T284" s="55" cm="1">
        <f t="array" ref="T284">MMS_Dairy_N2ODirect_Equations.VEERG_4_3_1_3__1_TotalAnnualDirectNitrousOxideEmissionsFromMMS(T249,$E272,$I$264)</f>
        <v>0</v>
      </c>
    </row>
    <row r="285" spans="1:20" ht="20.100000000000001" customHeight="1" x14ac:dyDescent="0.25">
      <c r="A285" s="141" t="str">
        <f>HYPERLINK("#A1", "▲ Back to top")</f>
        <v>▲ Back to top</v>
      </c>
      <c r="D285" s="55" t="str">
        <f>'Input - Dairy'!$D$67</f>
        <v>Feed pad</v>
      </c>
      <c r="E285" s="55" t="s">
        <v>412</v>
      </c>
      <c r="F285" s="55" cm="1">
        <f t="array" ref="F285">MMS_Dairy_N2ODirect_Equations.VEERG_4_3_1_3__1_TotalAnnualDirectNitrousOxideEmissionsFromMMS(F250,$E273,$I$264)</f>
        <v>2.0867803681436405E-2</v>
      </c>
      <c r="G285" s="55" cm="1">
        <f t="array" ref="G285">MMS_Dairy_N2ODirect_Equations.VEERG_4_3_1_3__1_TotalAnnualDirectNitrousOxideEmissionsFromMMS(G250,$E273,$I$264)</f>
        <v>8.1149266691630251E-3</v>
      </c>
      <c r="H285" s="55" cm="1">
        <f t="array" ref="H285">MMS_Dairy_N2ODirect_Equations.VEERG_4_3_1_3__1_TotalAnnualDirectNitrousOxideEmissionsFromMMS(H250,$E273,$I$264)</f>
        <v>3.2320894735110321E-3</v>
      </c>
      <c r="I285" s="55" cm="1">
        <f t="array" ref="I285">MMS_Dairy_N2ODirect_Equations.VEERG_4_3_1_3__1_TotalAnnualDirectNitrousOxideEmissionsFromMMS(I250,$E273,$I$264)</f>
        <v>1.0200783760424144E-2</v>
      </c>
      <c r="J285" s="55" cm="1">
        <f t="array" ref="J285">MMS_Dairy_N2ODirect_Equations.VEERG_4_3_1_3__1_TotalAnnualDirectNitrousOxideEmissionsFromMMS(J250,$E273,$I$264)</f>
        <v>4.2703471400179658E-3</v>
      </c>
      <c r="N285" s="55" t="str">
        <f>'Input - Dairy'!$D$67</f>
        <v>Feed pad</v>
      </c>
      <c r="O285" s="55" t="s">
        <v>412</v>
      </c>
      <c r="P285" s="55" cm="1">
        <f t="array" ref="P285">MMS_Dairy_N2ODirect_Equations.VEERG_4_3_1_3__1_TotalAnnualDirectNitrousOxideEmissionsFromMMS(P250,$E273,$I$264)</f>
        <v>2.0867803681436405E-2</v>
      </c>
      <c r="Q285" s="55" cm="1">
        <f t="array" ref="Q285">MMS_Dairy_N2ODirect_Equations.VEERG_4_3_1_3__1_TotalAnnualDirectNitrousOxideEmissionsFromMMS(Q250,$E273,$I$264)</f>
        <v>8.1149266691630251E-3</v>
      </c>
      <c r="R285" s="55" cm="1">
        <f t="array" ref="R285">MMS_Dairy_N2ODirect_Equations.VEERG_4_3_1_3__1_TotalAnnualDirectNitrousOxideEmissionsFromMMS(R250,$E273,$I$264)</f>
        <v>3.2320894735110321E-3</v>
      </c>
      <c r="S285" s="55" cm="1">
        <f t="array" ref="S285">MMS_Dairy_N2ODirect_Equations.VEERG_4_3_1_3__1_TotalAnnualDirectNitrousOxideEmissionsFromMMS(S250,$E273,$I$264)</f>
        <v>1.0200783760424144E-2</v>
      </c>
      <c r="T285" s="55" cm="1">
        <f t="array" ref="T285">MMS_Dairy_N2ODirect_Equations.VEERG_4_3_1_3__1_TotalAnnualDirectNitrousOxideEmissionsFromMMS(T250,$E273,$I$264)</f>
        <v>4.2703471400179658E-3</v>
      </c>
    </row>
    <row r="286" spans="1:20" ht="20.100000000000001" customHeight="1" x14ac:dyDescent="0.25"/>
    <row r="287" spans="1:20" ht="20.100000000000001" customHeight="1" x14ac:dyDescent="0.25">
      <c r="D287" s="108" t="s">
        <v>124</v>
      </c>
      <c r="E287" s="109">
        <f>SUM(F278:J285)</f>
        <v>6.3172161253287021E-2</v>
      </c>
      <c r="F287" s="110" t="str">
        <f>$E$260</f>
        <v>t N2O</v>
      </c>
      <c r="N287" s="108" t="s">
        <v>124</v>
      </c>
      <c r="O287" s="109">
        <f>SUM(P278:T285)</f>
        <v>6.3172161253287021E-2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6.3172161253287021E-2</v>
      </c>
      <c r="N289" s="60" t="str" cm="1">
        <f t="array" ref="N289:O290">Common_Equations.Common_ConvertN2OToCO2e_Arguments()</f>
        <v>EN2O</v>
      </c>
      <c r="O289" s="61" t="str">
        <v>Nitrous oxide emissions (t N2O)</v>
      </c>
      <c r="P289" s="111"/>
      <c r="Q289" s="55">
        <f>O287</f>
        <v>6.3172161253287021E-2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111</v>
      </c>
      <c r="E292" s="48" cm="1">
        <f t="array" ref="E292">Common_Equations.Common_ConvertN2OToCO2e(G289,G290)</f>
        <v>16.740622732121061</v>
      </c>
      <c r="F292" s="112" t="str" cm="1">
        <f t="array" ref="F292">Common_Equations.Common_ConvertN2OToCO2e_Unit()</f>
        <v>t CO2e</v>
      </c>
      <c r="N292" s="48" t="s">
        <v>111</v>
      </c>
      <c r="O292" s="48" cm="1">
        <f t="array" ref="O292">Common_Equations.Common_ConvertN2OToCO2e(Q289,Q290)</f>
        <v>16.740622732121061</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I51" workbookViewId="0">
      <selection activeCell="P47" sqref="P4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323</v>
      </c>
    </row>
    <row r="2" spans="1:23" s="9" customFormat="1" ht="20.100000000000001" customHeight="1" x14ac:dyDescent="0.25"/>
    <row r="3" spans="1:23" ht="20.100000000000001" customHeight="1" x14ac:dyDescent="0.25">
      <c r="A3" s="17" t="str">
        <f>HYPERLINK("#'Home'!A1", "Home")</f>
        <v>Home</v>
      </c>
      <c r="C3" s="4"/>
      <c r="D3" s="4" t="s">
        <v>121</v>
      </c>
      <c r="E3" s="4"/>
      <c r="F3" s="4"/>
      <c r="G3" s="4"/>
      <c r="H3" s="4"/>
      <c r="I3" s="4"/>
      <c r="J3" s="4"/>
      <c r="K3" s="4"/>
      <c r="L3" s="4"/>
      <c r="N3" s="4"/>
      <c r="O3" s="4" t="s">
        <v>122</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A6" s="16"/>
      <c r="D6" s="5" t="str" cm="1">
        <f t="array" ref="D6">MMS_Dairy_AtmosphericDeposition_Equations.VEERG_4_3_1_5__2_TotalNitrogenVolatilisedFromMMS_Source()</f>
        <v>VEERG 2026: 4.3.1.5, Equation (2)</v>
      </c>
    </row>
    <row r="7" spans="1:23" ht="20.100000000000001" customHeight="1" x14ac:dyDescent="0.25">
      <c r="A7" s="20" t="s">
        <v>3</v>
      </c>
      <c r="D7" s="13" t="s">
        <v>28</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MMS_Dairy_AtmosphericDeposition_Equations.VEERG_4_3_1_5__2_TotalNitrogenVolatilisedFromMMS_Variable()</f>
        <v>MN_ATMOS</v>
      </c>
    </row>
    <row r="11" spans="1:23" ht="20.100000000000001" customHeight="1" x14ac:dyDescent="0.25">
      <c r="A11" s="19" t="s">
        <v>78</v>
      </c>
      <c r="D11" s="56" t="s">
        <v>21</v>
      </c>
      <c r="E11" s="57" t="str" cm="1">
        <f t="array" ref="E11">MMS_Dairy_AtmosphericDeposition_Equations.VEERG_4_3_1_5__2_TotalNitrogenVolatilisedFromMMS_Unit()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_xlfn.CHOOSECOLS(MMS_Dairy_AtmosphericDeposition_Equations.VEERG_4_3_1_5__2_TotalNitrogenVolatilisedFromMMS_Arguments(),1,2)</f>
        <v>MN_jm</v>
      </c>
      <c r="E13" s="136" t="str">
        <v>total nitrogen in each MMS for dairy cattle classes</v>
      </c>
      <c r="F13" s="138"/>
      <c r="G13" s="137" t="str" cm="1">
        <f t="array" ref="G13:H14">_xlfn.CHOOSECOLS(MMS_Dairy_AtmosphericDeposition_Equations.VEERG_4_3_1_5__2_TotalNitrogenVolatilisedFromMMS_Arguments(),3,4)</f>
        <v>kg N</v>
      </c>
      <c r="H13" s="133" t="str">
        <v>Calculated from 4.3.1.3 (2)</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tr">
        <v>FracGASM_m</v>
      </c>
      <c r="E14" s="136" t="str">
        <v>fraction of N volatilised from MMS</v>
      </c>
      <c r="F14" s="138"/>
      <c r="G14" s="137" t="str">
        <v>fraction</v>
      </c>
      <c r="H14" s="133" t="str">
        <v>Constant</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314</v>
      </c>
      <c r="O16" s="104" t="s">
        <v>317</v>
      </c>
    </row>
    <row r="17" spans="1:22" ht="20.100000000000001" customHeight="1" x14ac:dyDescent="0.25">
      <c r="A17" s="17" t="str">
        <f>HYPERLINK("#'4.3.1.9 Soil direct N2O'!A1", "4.3.1.9 Soil direct N2O")</f>
        <v>4.3.1.9 Soil direct N2O</v>
      </c>
      <c r="D17" s="103" t="s">
        <v>315</v>
      </c>
      <c r="O17" s="103" t="s">
        <v>316</v>
      </c>
    </row>
    <row r="18" spans="1:22" ht="20.100000000000001" customHeight="1" x14ac:dyDescent="0.25">
      <c r="A18" s="17" t="str">
        <f>HYPERLINK("#'4.3.1.10-11 Soil Atmos Dep'!A1", "4.3.1.10-11 Soil atm. deposition")</f>
        <v>4.3.1.10-11 Soil atm. deposition</v>
      </c>
      <c r="D18" s="54" t="s">
        <v>149</v>
      </c>
      <c r="E18" s="54" t="s">
        <v>69</v>
      </c>
      <c r="F18" s="54" t="s">
        <v>175</v>
      </c>
      <c r="G18" s="54" t="s">
        <v>192</v>
      </c>
      <c r="H18" s="54" t="s">
        <v>193</v>
      </c>
      <c r="I18" s="54" t="s">
        <v>194</v>
      </c>
      <c r="J18" s="54" t="s">
        <v>195</v>
      </c>
      <c r="O18" s="54" t="s">
        <v>149</v>
      </c>
      <c r="P18" s="54" t="s">
        <v>69</v>
      </c>
      <c r="Q18" s="54" t="s">
        <v>175</v>
      </c>
      <c r="R18" s="54" t="s">
        <v>192</v>
      </c>
      <c r="S18" s="54" t="s">
        <v>193</v>
      </c>
      <c r="T18" s="54" t="s">
        <v>194</v>
      </c>
      <c r="U18" s="54" t="s">
        <v>195</v>
      </c>
    </row>
    <row r="19" spans="1:22" ht="20.100000000000001" customHeight="1" x14ac:dyDescent="0.25">
      <c r="A19" s="17" t="str">
        <f>HYPERLINK("#'4.3.1.12-13 Soil leach runoff'!A1", "4.3.1.12-13 Soil leach &amp; runoff")</f>
        <v>4.3.1.12-13 Soil leach &amp; runoff</v>
      </c>
      <c r="D19" s="55" t="str">
        <f>'Input - Dairy'!$D$66</f>
        <v>Milking shed</v>
      </c>
      <c r="E19" s="55" t="str">
        <f>'Input - Dairy'!$D$81</f>
        <v>Anaerobic lagoon</v>
      </c>
      <c r="F19" s="55">
        <f>'4.3.1.3-4 Direct N20'!$F$243</f>
        <v>468.93940857160464</v>
      </c>
      <c r="G19" s="55">
        <f>'4.3.1.3-4 Direct N20'!$G$243</f>
        <v>182.35790267782079</v>
      </c>
      <c r="H19" s="55">
        <f>'4.3.1.3-4 Direct N20'!$H$243</f>
        <v>72.631224123843424</v>
      </c>
      <c r="I19" s="55">
        <f>'4.3.1.3-4 Direct N20'!$I$243</f>
        <v>229.23109573986844</v>
      </c>
      <c r="J19" s="55">
        <f>'4.3.1.3-4 Direct N20'!$J$243</f>
        <v>95.962857079055411</v>
      </c>
      <c r="K19" s="2" t="str">
        <f>$G$13</f>
        <v>kg N</v>
      </c>
      <c r="O19" s="55" t="str">
        <f>'Input - Dairy'!$D$66</f>
        <v>Milking shed</v>
      </c>
      <c r="P19" s="55" t="str">
        <f>'Input - Dairy'!$D$81</f>
        <v>Anaerobic lagoon</v>
      </c>
      <c r="Q19" s="55">
        <f>'4.3.1.3-4 Direct N20'!$P$243</f>
        <v>468.93940857160464</v>
      </c>
      <c r="R19" s="55">
        <f>'4.3.1.3-4 Direct N20'!$Q$243</f>
        <v>182.35790267782079</v>
      </c>
      <c r="S19" s="55">
        <f>'4.3.1.3-4 Direct N20'!$R$243</f>
        <v>72.631224123843424</v>
      </c>
      <c r="T19" s="55">
        <f>'4.3.1.3-4 Direct N20'!$S$243</f>
        <v>229.23109573986844</v>
      </c>
      <c r="U19" s="55">
        <f>'4.3.1.3-4 Direct N20'!$T$243</f>
        <v>95.962857079055411</v>
      </c>
      <c r="V19" s="2" t="str">
        <f>$G$13</f>
        <v>kg N</v>
      </c>
    </row>
    <row r="20" spans="1:22" ht="20.100000000000001" customHeight="1" x14ac:dyDescent="0.25">
      <c r="A20" s="17"/>
      <c r="D20" s="55" t="str">
        <f>'Input - Dairy'!$D$66</f>
        <v>Milking shed</v>
      </c>
      <c r="E20" s="55" t="str">
        <f>'Input - Dairy'!$D$86</f>
        <v>Sump and dispersal system</v>
      </c>
      <c r="F20" s="55">
        <f>'4.3.1.3-4 Direct N20'!$F$244</f>
        <v>468.93940857160464</v>
      </c>
      <c r="G20" s="55">
        <f>'4.3.1.3-4 Direct N20'!$G$244</f>
        <v>182.35790267782079</v>
      </c>
      <c r="H20" s="55">
        <f>'4.3.1.3-4 Direct N20'!$H$244</f>
        <v>72.631224123843424</v>
      </c>
      <c r="I20" s="55">
        <f>'4.3.1.3-4 Direct N20'!$I$244</f>
        <v>229.23109573986844</v>
      </c>
      <c r="J20" s="55">
        <f>'4.3.1.3-4 Direct N20'!$J$244</f>
        <v>95.962857079055411</v>
      </c>
      <c r="K20" s="2"/>
      <c r="O20" s="55" t="str">
        <f>'Input - Dairy'!$D$66</f>
        <v>Milking shed</v>
      </c>
      <c r="P20" s="55" t="str">
        <f>'Input - Dairy'!$D$86</f>
        <v>Sump and dispersal system</v>
      </c>
      <c r="Q20" s="55">
        <f>'4.3.1.3-4 Direct N20'!$P$244</f>
        <v>468.93940857160464</v>
      </c>
      <c r="R20" s="55">
        <f>'4.3.1.3-4 Direct N20'!$Q$244</f>
        <v>182.35790267782079</v>
      </c>
      <c r="S20" s="55">
        <f>'4.3.1.3-4 Direct N20'!$R$244</f>
        <v>72.631224123843424</v>
      </c>
      <c r="T20" s="55">
        <f>'4.3.1.3-4 Direct N20'!$S$244</f>
        <v>229.23109573986844</v>
      </c>
      <c r="U20" s="55">
        <f>'4.3.1.3-4 Direct N20'!$T$244</f>
        <v>95.962857079055411</v>
      </c>
      <c r="V20" s="2"/>
    </row>
    <row r="21" spans="1:22" ht="20.100000000000001" customHeight="1" x14ac:dyDescent="0.25">
      <c r="A21" s="18" t="s">
        <v>4</v>
      </c>
      <c r="D21" s="55" t="str">
        <f>'Input - Dairy'!$D$66</f>
        <v>Milking shed</v>
      </c>
      <c r="E21" s="55" t="str">
        <f>'Input - Dairy'!$D$91</f>
        <v>Drains to paddock</v>
      </c>
      <c r="F21" s="55">
        <f>'4.3.1.3-4 Direct N20'!$F$245</f>
        <v>468.93940857160464</v>
      </c>
      <c r="G21" s="55">
        <f>'4.3.1.3-4 Direct N20'!$G$245</f>
        <v>182.35790267782079</v>
      </c>
      <c r="H21" s="55">
        <f>'4.3.1.3-4 Direct N20'!$H$245</f>
        <v>72.631224123843424</v>
      </c>
      <c r="I21" s="55">
        <f>'4.3.1.3-4 Direct N20'!$I$245</f>
        <v>229.23109573986844</v>
      </c>
      <c r="J21" s="55">
        <f>'4.3.1.3-4 Direct N20'!$J$245</f>
        <v>95.962857079055411</v>
      </c>
      <c r="K21" s="2"/>
      <c r="O21" s="55" t="str">
        <f>'Input - Dairy'!$D$66</f>
        <v>Milking shed</v>
      </c>
      <c r="P21" s="55" t="str">
        <f>'Input - Dairy'!$D$91</f>
        <v>Drains to paddock</v>
      </c>
      <c r="Q21" s="55">
        <f>'4.3.1.3-4 Direct N20'!$P$245</f>
        <v>468.93940857160464</v>
      </c>
      <c r="R21" s="55">
        <f>'4.3.1.3-4 Direct N20'!$Q$245</f>
        <v>182.35790267782079</v>
      </c>
      <c r="S21" s="55">
        <f>'4.3.1.3-4 Direct N20'!$R$245</f>
        <v>72.631224123843424</v>
      </c>
      <c r="T21" s="55">
        <f>'4.3.1.3-4 Direct N20'!$S$245</f>
        <v>229.23109573986844</v>
      </c>
      <c r="U21" s="55">
        <f>'4.3.1.3-4 Direct N20'!$T$245</f>
        <v>95.962857079055411</v>
      </c>
      <c r="V21" s="2"/>
    </row>
    <row r="22" spans="1:22" ht="20.100000000000001" customHeight="1" x14ac:dyDescent="0.25">
      <c r="A22" s="17" t="str">
        <f>HYPERLINK("#'Constants - Dairy'!A1", "Constants - Dairy")</f>
        <v>Constants - Dairy</v>
      </c>
      <c r="D22" s="55" t="str">
        <f>'Input - Dairy'!$D$66</f>
        <v>Milking shed</v>
      </c>
      <c r="E22" s="55" t="s">
        <v>412</v>
      </c>
      <c r="F22" s="55">
        <f>'4.3.1.3-4 Direct N20'!$F$246</f>
        <v>937.87881714320918</v>
      </c>
      <c r="G22" s="55">
        <f>'4.3.1.3-4 Direct N20'!$G$246</f>
        <v>364.71580535564152</v>
      </c>
      <c r="H22" s="55">
        <f>'4.3.1.3-4 Direct N20'!$H$246</f>
        <v>145.26244824768682</v>
      </c>
      <c r="I22" s="55">
        <f>'4.3.1.3-4 Direct N20'!$I$246</f>
        <v>458.46219147973682</v>
      </c>
      <c r="J22" s="55">
        <f>'4.3.1.3-4 Direct N20'!$J$246</f>
        <v>191.92571415811079</v>
      </c>
      <c r="K22" s="2"/>
      <c r="O22" s="55" t="str">
        <f>'Input - Dairy'!$D$66</f>
        <v>Milking shed</v>
      </c>
      <c r="P22" s="55" t="s">
        <v>412</v>
      </c>
      <c r="Q22" s="55">
        <f>'4.3.1.3-4 Direct N20'!$P$246</f>
        <v>937.87881714320918</v>
      </c>
      <c r="R22" s="55">
        <f>'4.3.1.3-4 Direct N20'!$Q$246</f>
        <v>364.71580535564152</v>
      </c>
      <c r="S22" s="55">
        <f>'4.3.1.3-4 Direct N20'!$R$246</f>
        <v>145.26244824768682</v>
      </c>
      <c r="T22" s="55">
        <f>'4.3.1.3-4 Direct N20'!$S$246</f>
        <v>458.46219147973682</v>
      </c>
      <c r="U22" s="55">
        <f>'4.3.1.3-4 Direct N20'!$T$246</f>
        <v>191.92571415811079</v>
      </c>
      <c r="V22" s="2"/>
    </row>
    <row r="23" spans="1:22" ht="20.100000000000001" customHeight="1" x14ac:dyDescent="0.25">
      <c r="A23" s="17" t="str">
        <f>HYPERLINK("#'Constants - Livestock'!A1", "Constants - Livestock")</f>
        <v>Constants - Livestock</v>
      </c>
      <c r="D23" s="55" t="str">
        <f>'Input - Dairy'!$D$67</f>
        <v>Feed pad</v>
      </c>
      <c r="E23" s="55" t="str">
        <f>'Input - Dairy'!$D$105</f>
        <v>Anaerobic lagoon</v>
      </c>
      <c r="F23" s="55">
        <f>'4.3.1.3-4 Direct N20'!$F$247</f>
        <v>1897.073061948764</v>
      </c>
      <c r="G23" s="55">
        <f>'4.3.1.3-4 Direct N20'!$G$247</f>
        <v>737.72060628754764</v>
      </c>
      <c r="H23" s="55">
        <f>'4.3.1.3-4 Direct N20'!$H$247</f>
        <v>293.82631577373019</v>
      </c>
      <c r="I23" s="55">
        <f>'4.3.1.3-4 Direct N20'!$I$247</f>
        <v>927.34397822037681</v>
      </c>
      <c r="J23" s="55">
        <f>'4.3.1.3-4 Direct N20'!$J$247</f>
        <v>388.21337636526954</v>
      </c>
      <c r="K23" s="2"/>
      <c r="O23" s="55" t="str">
        <f>'Input - Dairy'!$D$67</f>
        <v>Feed pad</v>
      </c>
      <c r="P23" s="55" t="str">
        <f>'Input - Dairy'!$D$105</f>
        <v>Anaerobic lagoon</v>
      </c>
      <c r="Q23" s="55">
        <f>'4.3.1.3-4 Direct N20'!$P$247</f>
        <v>1897.073061948764</v>
      </c>
      <c r="R23" s="55">
        <f>'4.3.1.3-4 Direct N20'!$Q$247</f>
        <v>737.72060628754764</v>
      </c>
      <c r="S23" s="55">
        <f>'4.3.1.3-4 Direct N20'!$R$247</f>
        <v>293.82631577373019</v>
      </c>
      <c r="T23" s="55">
        <f>'4.3.1.3-4 Direct N20'!$S$247</f>
        <v>927.34397822037681</v>
      </c>
      <c r="U23" s="55">
        <f>'4.3.1.3-4 Direct N20'!$T$247</f>
        <v>388.21337636526954</v>
      </c>
      <c r="V23" s="2"/>
    </row>
    <row r="24" spans="1:22" ht="20.100000000000001" customHeight="1" x14ac:dyDescent="0.25">
      <c r="A24" s="17" t="str">
        <f>HYPERLINK("#'Constants - Common'!A1", "Constants - Common")</f>
        <v>Constants - Common</v>
      </c>
      <c r="D24" s="55" t="str">
        <f>'Input - Dairy'!$D$67</f>
        <v>Feed pad</v>
      </c>
      <c r="E24" s="55" t="str">
        <f>'Input - Dairy'!$D$110</f>
        <v>Sump and dispersal system</v>
      </c>
      <c r="F24" s="55">
        <f>'4.3.1.3-4 Direct N20'!$F$248</f>
        <v>1517.6584495590114</v>
      </c>
      <c r="G24" s="55">
        <f>'4.3.1.3-4 Direct N20'!$G$248</f>
        <v>590.17648503003818</v>
      </c>
      <c r="H24" s="55">
        <f>'4.3.1.3-4 Direct N20'!$H$248</f>
        <v>235.06105261898415</v>
      </c>
      <c r="I24" s="55">
        <f>'4.3.1.3-4 Direct N20'!$I$248</f>
        <v>741.87518257630143</v>
      </c>
      <c r="J24" s="55">
        <f>'4.3.1.3-4 Direct N20'!$J$248</f>
        <v>310.57070109221564</v>
      </c>
      <c r="K24" s="2"/>
      <c r="O24" s="55" t="str">
        <f>'Input - Dairy'!$D$67</f>
        <v>Feed pad</v>
      </c>
      <c r="P24" s="55" t="str">
        <f>'Input - Dairy'!$D$110</f>
        <v>Sump and dispersal system</v>
      </c>
      <c r="Q24" s="55">
        <f>'4.3.1.3-4 Direct N20'!$P$248</f>
        <v>1517.6584495590114</v>
      </c>
      <c r="R24" s="55">
        <f>'4.3.1.3-4 Direct N20'!$Q$248</f>
        <v>590.17648503003818</v>
      </c>
      <c r="S24" s="55">
        <f>'4.3.1.3-4 Direct N20'!$R$248</f>
        <v>235.06105261898415</v>
      </c>
      <c r="T24" s="55">
        <f>'4.3.1.3-4 Direct N20'!$S$248</f>
        <v>741.87518257630143</v>
      </c>
      <c r="U24" s="55">
        <f>'4.3.1.3-4 Direct N20'!$T$248</f>
        <v>310.57070109221564</v>
      </c>
      <c r="V24" s="2"/>
    </row>
    <row r="25" spans="1:22" ht="20.100000000000001" customHeight="1" x14ac:dyDescent="0.25">
      <c r="A25" s="17" t="str">
        <f>HYPERLINK("#'Acknowledgements'!A1", "Acknowledgements")</f>
        <v>Acknowledgements</v>
      </c>
      <c r="D25" s="55" t="str">
        <f>'Input - Dairy'!$D$67</f>
        <v>Feed pad</v>
      </c>
      <c r="E25" s="55" t="str">
        <f>'Input - Dairy'!$D$115</f>
        <v>Drains to paddock</v>
      </c>
      <c r="F25" s="55">
        <f>'4.3.1.3-4 Direct N20'!$F$249</f>
        <v>1517.6584495590114</v>
      </c>
      <c r="G25" s="55">
        <f>'4.3.1.3-4 Direct N20'!$G$249</f>
        <v>590.17648503003818</v>
      </c>
      <c r="H25" s="55">
        <f>'4.3.1.3-4 Direct N20'!$H$249</f>
        <v>235.06105261898415</v>
      </c>
      <c r="I25" s="55">
        <f>'4.3.1.3-4 Direct N20'!$I$249</f>
        <v>741.87518257630143</v>
      </c>
      <c r="J25" s="55">
        <f>'4.3.1.3-4 Direct N20'!$J$249</f>
        <v>310.57070109221564</v>
      </c>
      <c r="K25" s="2"/>
      <c r="O25" s="55" t="str">
        <f>'Input - Dairy'!$D$67</f>
        <v>Feed pad</v>
      </c>
      <c r="P25" s="55" t="str">
        <f>'Input - Dairy'!$D$115</f>
        <v>Drains to paddock</v>
      </c>
      <c r="Q25" s="55">
        <f>'4.3.1.3-4 Direct N20'!$P$249</f>
        <v>1517.6584495590114</v>
      </c>
      <c r="R25" s="55">
        <f>'4.3.1.3-4 Direct N20'!$Q$249</f>
        <v>590.17648503003818</v>
      </c>
      <c r="S25" s="55">
        <f>'4.3.1.3-4 Direct N20'!$R$249</f>
        <v>235.06105261898415</v>
      </c>
      <c r="T25" s="55">
        <f>'4.3.1.3-4 Direct N20'!$S$249</f>
        <v>741.87518257630143</v>
      </c>
      <c r="U25" s="55">
        <f>'4.3.1.3-4 Direct N20'!$T$249</f>
        <v>310.57070109221564</v>
      </c>
      <c r="V25" s="2"/>
    </row>
    <row r="26" spans="1:22" ht="20.100000000000001" customHeight="1" x14ac:dyDescent="0.25">
      <c r="D26" s="55" t="str">
        <f>'Input - Dairy'!$D$67</f>
        <v>Feed pad</v>
      </c>
      <c r="E26" s="55" t="s">
        <v>412</v>
      </c>
      <c r="F26" s="55">
        <f>'4.3.1.3-4 Direct N20'!$F$250</f>
        <v>2655.9022867282697</v>
      </c>
      <c r="G26" s="55">
        <f>'4.3.1.3-4 Direct N20'!$G$250</f>
        <v>1032.8088488025667</v>
      </c>
      <c r="H26" s="55">
        <f>'4.3.1.3-4 Direct N20'!$H$250</f>
        <v>411.35684208322226</v>
      </c>
      <c r="I26" s="55">
        <f>'4.3.1.3-4 Direct N20'!$I$250</f>
        <v>1298.2815695085274</v>
      </c>
      <c r="J26" s="55">
        <f>'4.3.1.3-4 Direct N20'!$J$250</f>
        <v>543.49872691137739</v>
      </c>
      <c r="K26" s="2"/>
      <c r="O26" s="55" t="str">
        <f>'Input - Dairy'!$D$67</f>
        <v>Feed pad</v>
      </c>
      <c r="P26" s="55" t="s">
        <v>412</v>
      </c>
      <c r="Q26" s="55">
        <f>'4.3.1.3-4 Direct N20'!$P$250</f>
        <v>2655.9022867282697</v>
      </c>
      <c r="R26" s="55">
        <f>'4.3.1.3-4 Direct N20'!$Q$250</f>
        <v>1032.8088488025667</v>
      </c>
      <c r="S26" s="55">
        <f>'4.3.1.3-4 Direct N20'!$R$250</f>
        <v>411.35684208322226</v>
      </c>
      <c r="T26" s="55">
        <f>'4.3.1.3-4 Direct N20'!$S$250</f>
        <v>1298.2815695085274</v>
      </c>
      <c r="U26" s="55">
        <f>'4.3.1.3-4 Direct N20'!$T$250</f>
        <v>543.49872691137739</v>
      </c>
      <c r="V26" s="2"/>
    </row>
    <row r="27" spans="1:22" ht="20.100000000000001" customHeight="1" x14ac:dyDescent="0.25"/>
    <row r="28" spans="1:22" ht="20.100000000000001" customHeight="1" x14ac:dyDescent="0.25">
      <c r="D28" s="104" t="s">
        <v>324</v>
      </c>
    </row>
    <row r="29" spans="1:22" ht="20.100000000000001" customHeight="1" x14ac:dyDescent="0.25">
      <c r="D29" s="103" t="s">
        <v>326</v>
      </c>
    </row>
    <row r="30" spans="1:22" ht="20.100000000000001" customHeight="1" x14ac:dyDescent="0.25">
      <c r="D30" s="54" t="s">
        <v>69</v>
      </c>
      <c r="E30" s="54" t="s">
        <v>325</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327</v>
      </c>
      <c r="O37" s="104" t="s">
        <v>329</v>
      </c>
    </row>
    <row r="38" spans="4:22" ht="20.100000000000001" customHeight="1" x14ac:dyDescent="0.25">
      <c r="D38" s="103" t="s">
        <v>328</v>
      </c>
      <c r="O38" s="103" t="s">
        <v>330</v>
      </c>
    </row>
    <row r="39" spans="4:22" ht="20.100000000000001" customHeight="1" x14ac:dyDescent="0.25">
      <c r="D39" s="54" t="s">
        <v>149</v>
      </c>
      <c r="E39" s="54" t="s">
        <v>69</v>
      </c>
      <c r="F39" s="54" t="s">
        <v>175</v>
      </c>
      <c r="G39" s="54" t="s">
        <v>192</v>
      </c>
      <c r="H39" s="54" t="s">
        <v>193</v>
      </c>
      <c r="I39" s="54" t="s">
        <v>194</v>
      </c>
      <c r="J39" s="54" t="s">
        <v>195</v>
      </c>
      <c r="O39" s="54" t="s">
        <v>149</v>
      </c>
      <c r="P39" s="54" t="s">
        <v>69</v>
      </c>
      <c r="Q39" s="54" t="s">
        <v>175</v>
      </c>
      <c r="R39" s="54" t="s">
        <v>192</v>
      </c>
      <c r="S39" s="54" t="s">
        <v>193</v>
      </c>
      <c r="T39" s="54" t="s">
        <v>194</v>
      </c>
      <c r="U39" s="54" t="s">
        <v>195</v>
      </c>
    </row>
    <row r="40" spans="4:22" ht="20.100000000000001" customHeight="1" x14ac:dyDescent="0.25">
      <c r="D40" s="55" t="str">
        <f>'Input - Dairy'!$D$66</f>
        <v>Milking shed</v>
      </c>
      <c r="E40" s="55" t="str">
        <f>'Input - Dairy'!$D$81</f>
        <v>Anaerobic lagoon</v>
      </c>
      <c r="F40" s="55" cm="1">
        <f t="array" ref="F40">MMS_Dairy_AtmosphericDeposition_Equations.VEERG_4_3_1_5__2_TotalNitrogenVolatilisedFromMMS(F19,$E32)</f>
        <v>164.12879300006162</v>
      </c>
      <c r="G40" s="55" cm="1">
        <f t="array" ref="G40">MMS_Dairy_AtmosphericDeposition_Equations.VEERG_4_3_1_5__2_TotalNitrogenVolatilisedFromMMS(G19,$E32)</f>
        <v>63.825265937237269</v>
      </c>
      <c r="H40" s="55" cm="1">
        <f t="array" ref="H40">MMS_Dairy_AtmosphericDeposition_Equations.VEERG_4_3_1_5__2_TotalNitrogenVolatilisedFromMMS(H19,$E32)</f>
        <v>25.420928443345197</v>
      </c>
      <c r="I40" s="55" cm="1">
        <f t="array" ref="I40">MMS_Dairy_AtmosphericDeposition_Equations.VEERG_4_3_1_5__2_TotalNitrogenVolatilisedFromMMS(I19,$E32)</f>
        <v>80.230883508953951</v>
      </c>
      <c r="J40" s="55" cm="1">
        <f t="array" ref="J40">MMS_Dairy_AtmosphericDeposition_Equations.VEERG_4_3_1_5__2_TotalNitrogenVolatilisedFromMMS(J19,$E32)</f>
        <v>33.586999977669393</v>
      </c>
      <c r="K40" s="2" t="str">
        <f>$E$11</f>
        <v>kg N</v>
      </c>
      <c r="O40" s="55" t="str">
        <f>'Input - Dairy'!$D$66</f>
        <v>Milking shed</v>
      </c>
      <c r="P40" s="55" t="str">
        <f>'Input - Dairy'!$D$81</f>
        <v>Anaerobic lagoon</v>
      </c>
      <c r="Q40" s="55" cm="1">
        <f t="array" ref="Q40">MMS_Dairy_AtmosphericDeposition_Equations.VEERG_4_3_1_5__2_TotalNitrogenVolatilisedFromMMS(Q19,$E32)</f>
        <v>164.12879300006162</v>
      </c>
      <c r="R40" s="55" cm="1">
        <f t="array" ref="R40">MMS_Dairy_AtmosphericDeposition_Equations.VEERG_4_3_1_5__2_TotalNitrogenVolatilisedFromMMS(R19,$E32)</f>
        <v>63.825265937237269</v>
      </c>
      <c r="S40" s="55" cm="1">
        <f t="array" ref="S40">MMS_Dairy_AtmosphericDeposition_Equations.VEERG_4_3_1_5__2_TotalNitrogenVolatilisedFromMMS(S19,$E32)</f>
        <v>25.420928443345197</v>
      </c>
      <c r="T40" s="55" cm="1">
        <f t="array" ref="T40">MMS_Dairy_AtmosphericDeposition_Equations.VEERG_4_3_1_5__2_TotalNitrogenVolatilisedFromMMS(T19,$E32)</f>
        <v>80.230883508953951</v>
      </c>
      <c r="U40" s="55" cm="1">
        <f t="array" ref="U40">MMS_Dairy_AtmosphericDeposition_Equations.VEERG_4_3_1_5__2_TotalNitrogenVolatilisedFromMMS(U19,$E32)</f>
        <v>33.586999977669393</v>
      </c>
      <c r="V40" s="2" t="str">
        <f>$E$11</f>
        <v>kg N</v>
      </c>
    </row>
    <row r="41" spans="4:22" ht="20.100000000000001" customHeight="1" x14ac:dyDescent="0.25">
      <c r="D41" s="55" t="str">
        <f>'Input - Dairy'!$D$66</f>
        <v>Milking shed</v>
      </c>
      <c r="E41" s="55" t="str">
        <f>'Input - Dairy'!$D$86</f>
        <v>Sump and dispersal system</v>
      </c>
      <c r="F41" s="55" cm="1">
        <f t="array" ref="F41">MMS_Dairy_AtmosphericDeposition_Equations.VEERG_4_3_1_5__2_TotalNitrogenVolatilisedFromMMS(F20,$E33)</f>
        <v>32.825758600012328</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'Input - Dairy'!$D$66</f>
        <v>Milking shed</v>
      </c>
      <c r="P41" s="55" t="str">
        <f>'Input - Dairy'!$D$86</f>
        <v>Sump and dispersal system</v>
      </c>
      <c r="Q41" s="55" cm="1">
        <f t="array" ref="Q41">MMS_Dairy_AtmosphericDeposition_Equations.VEERG_4_3_1_5__2_TotalNitrogenVolatilisedFromMMS(Q20,$E33)</f>
        <v>32.825758600012328</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'Input - Dairy'!$D$66</f>
        <v>Milking shed</v>
      </c>
      <c r="E42" s="55" t="str">
        <f>'Input - Dairy'!$D$91</f>
        <v>Drains to paddock</v>
      </c>
      <c r="F42" s="55" cm="1">
        <f t="array" ref="F42">MMS_Dairy_AtmosphericDeposition_Equations.VEERG_4_3_1_5__2_TotalNitrogenVolatilisedFromMMS(F21,$E34)</f>
        <v>93.787881714320932</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'Input - Dairy'!$D$66</f>
        <v>Milking shed</v>
      </c>
      <c r="P42" s="55" t="str">
        <f>'Input - Dairy'!$D$91</f>
        <v>Drains to paddock</v>
      </c>
      <c r="Q42" s="55" cm="1">
        <f t="array" ref="Q42">MMS_Dairy_AtmosphericDeposition_Equations.VEERG_4_3_1_5__2_TotalNitrogenVolatilisedFromMMS(Q21,$E34)</f>
        <v>93.787881714320932</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'Input - Dairy'!$D$66</f>
        <v>Milking shed</v>
      </c>
      <c r="E43" s="55" t="s">
        <v>412</v>
      </c>
      <c r="F43" s="55" cm="1">
        <f t="array" ref="F43">MMS_Dairy_AtmosphericDeposition_Equations.VEERG_4_3_1_5__2_TotalNitrogenVolatilisedFromMMS(F22,$E35)</f>
        <v>281.36364514296275</v>
      </c>
      <c r="G43" s="55" cm="1">
        <f t="array" ref="G43">MMS_Dairy_AtmosphericDeposition_Equations.VEERG_4_3_1_5__2_TotalNitrogenVolatilisedFromMMS(G22,$E35)</f>
        <v>109.41474160669246</v>
      </c>
      <c r="H43" s="55" cm="1">
        <f t="array" ref="H43">MMS_Dairy_AtmosphericDeposition_Equations.VEERG_4_3_1_5__2_TotalNitrogenVolatilisedFromMMS(H22,$E35)</f>
        <v>43.578734474306046</v>
      </c>
      <c r="I43" s="55" cm="1">
        <f t="array" ref="I43">MMS_Dairy_AtmosphericDeposition_Equations.VEERG_4_3_1_5__2_TotalNitrogenVolatilisedFromMMS(I22,$E35)</f>
        <v>137.53865744392104</v>
      </c>
      <c r="J43" s="55" cm="1">
        <f t="array" ref="J43">MMS_Dairy_AtmosphericDeposition_Equations.VEERG_4_3_1_5__2_TotalNitrogenVolatilisedFromMMS(J22,$E35)</f>
        <v>57.577714247433235</v>
      </c>
      <c r="K43" s="2"/>
      <c r="O43" s="55" t="str">
        <f>'Input - Dairy'!$D$66</f>
        <v>Milking shed</v>
      </c>
      <c r="P43" s="55" t="s">
        <v>412</v>
      </c>
      <c r="Q43" s="55" cm="1">
        <f t="array" ref="Q43">MMS_Dairy_AtmosphericDeposition_Equations.VEERG_4_3_1_5__2_TotalNitrogenVolatilisedFromMMS(Q22,$E35)</f>
        <v>281.36364514296275</v>
      </c>
      <c r="R43" s="55" cm="1">
        <f t="array" ref="R43">MMS_Dairy_AtmosphericDeposition_Equations.VEERG_4_3_1_5__2_TotalNitrogenVolatilisedFromMMS(R22,$E35)</f>
        <v>109.41474160669246</v>
      </c>
      <c r="S43" s="55" cm="1">
        <f t="array" ref="S43">MMS_Dairy_AtmosphericDeposition_Equations.VEERG_4_3_1_5__2_TotalNitrogenVolatilisedFromMMS(S22,$E35)</f>
        <v>43.578734474306046</v>
      </c>
      <c r="T43" s="55" cm="1">
        <f t="array" ref="T43">MMS_Dairy_AtmosphericDeposition_Equations.VEERG_4_3_1_5__2_TotalNitrogenVolatilisedFromMMS(T22,$E35)</f>
        <v>137.53865744392104</v>
      </c>
      <c r="U43" s="55" cm="1">
        <f t="array" ref="U43">MMS_Dairy_AtmosphericDeposition_Equations.VEERG_4_3_1_5__2_TotalNitrogenVolatilisedFromMMS(U22,$E35)</f>
        <v>57.577714247433235</v>
      </c>
      <c r="V43" s="2"/>
    </row>
    <row r="44" spans="4:22" ht="20.100000000000001" customHeight="1" x14ac:dyDescent="0.25">
      <c r="D44" s="55" t="str">
        <f>'Input - Dairy'!$D$67</f>
        <v>Feed pad</v>
      </c>
      <c r="E44" s="55" t="str">
        <f>'Input - Dairy'!$D$105</f>
        <v>Anaerobic lagoon</v>
      </c>
      <c r="F44" s="55" cm="1">
        <f t="array" ref="F44">MMS_Dairy_AtmosphericDeposition_Equations.VEERG_4_3_1_5__2_TotalNitrogenVolatilisedFromMMS(F23, $E32)</f>
        <v>663.97557168206731</v>
      </c>
      <c r="G44" s="55" cm="1">
        <f t="array" ref="G44">MMS_Dairy_AtmosphericDeposition_Equations.VEERG_4_3_1_5__2_TotalNitrogenVolatilisedFromMMS(G23, $E32)</f>
        <v>258.20221220064167</v>
      </c>
      <c r="H44" s="55" cm="1">
        <f t="array" ref="H44">MMS_Dairy_AtmosphericDeposition_Equations.VEERG_4_3_1_5__2_TotalNitrogenVolatilisedFromMMS(H23, $E32)</f>
        <v>102.83921052080557</v>
      </c>
      <c r="I44" s="55" cm="1">
        <f t="array" ref="I44">MMS_Dairy_AtmosphericDeposition_Equations.VEERG_4_3_1_5__2_TotalNitrogenVolatilisedFromMMS(I23, $E32)</f>
        <v>324.57039237713184</v>
      </c>
      <c r="J44" s="55" cm="1">
        <f t="array" ref="J44">MMS_Dairy_AtmosphericDeposition_Equations.VEERG_4_3_1_5__2_TotalNitrogenVolatilisedFromMMS(J23, $E32)</f>
        <v>135.87468172784432</v>
      </c>
      <c r="K44" s="2"/>
      <c r="O44" s="55" t="str">
        <f>'Input - Dairy'!$D$67</f>
        <v>Feed pad</v>
      </c>
      <c r="P44" s="55" t="str">
        <f>'Input - Dairy'!$D$105</f>
        <v>Anaerobic lagoon</v>
      </c>
      <c r="Q44" s="55" cm="1">
        <f t="array" ref="Q44">MMS_Dairy_AtmosphericDeposition_Equations.VEERG_4_3_1_5__2_TotalNitrogenVolatilisedFromMMS(Q23, $E32)</f>
        <v>663.97557168206731</v>
      </c>
      <c r="R44" s="55" cm="1">
        <f t="array" ref="R44">MMS_Dairy_AtmosphericDeposition_Equations.VEERG_4_3_1_5__2_TotalNitrogenVolatilisedFromMMS(R23, $E32)</f>
        <v>258.20221220064167</v>
      </c>
      <c r="S44" s="55" cm="1">
        <f t="array" ref="S44">MMS_Dairy_AtmosphericDeposition_Equations.VEERG_4_3_1_5__2_TotalNitrogenVolatilisedFromMMS(S23, $E32)</f>
        <v>102.83921052080557</v>
      </c>
      <c r="T44" s="55" cm="1">
        <f t="array" ref="T44">MMS_Dairy_AtmosphericDeposition_Equations.VEERG_4_3_1_5__2_TotalNitrogenVolatilisedFromMMS(T23, $E32)</f>
        <v>324.57039237713184</v>
      </c>
      <c r="U44" s="55" cm="1">
        <f t="array" ref="U44">MMS_Dairy_AtmosphericDeposition_Equations.VEERG_4_3_1_5__2_TotalNitrogenVolatilisedFromMMS(U23, $E32)</f>
        <v>135.87468172784432</v>
      </c>
      <c r="V44" s="2"/>
    </row>
    <row r="45" spans="4:22" ht="20.100000000000001" customHeight="1" x14ac:dyDescent="0.25">
      <c r="D45" s="55" t="str">
        <f>'Input - Dairy'!$D$67</f>
        <v>Feed pad</v>
      </c>
      <c r="E45" s="55" t="str">
        <f>'Input - Dairy'!$D$110</f>
        <v>Sump and dispersal system</v>
      </c>
      <c r="F45" s="55" cm="1">
        <f t="array" ref="F45">MMS_Dairy_AtmosphericDeposition_Equations.VEERG_4_3_1_5__2_TotalNitrogenVolatilisedFromMMS(F24, $E33)</f>
        <v>106.23609146913081</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'Input - Dairy'!$D$67</f>
        <v>Feed pad</v>
      </c>
      <c r="P45" s="55" t="str">
        <f>'Input - Dairy'!$D$110</f>
        <v>Sump and dispersal system</v>
      </c>
      <c r="Q45" s="55" cm="1">
        <f t="array" ref="Q45">MMS_Dairy_AtmosphericDeposition_Equations.VEERG_4_3_1_5__2_TotalNitrogenVolatilisedFromMMS(Q24, $E33)</f>
        <v>106.23609146913081</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'Input - Dairy'!$D$67</f>
        <v>Feed pad</v>
      </c>
      <c r="E46" s="55" t="str">
        <f>'Input - Dairy'!$D$115</f>
        <v>Drains to paddock</v>
      </c>
      <c r="F46" s="55" cm="1">
        <f t="array" ref="F46">MMS_Dairy_AtmosphericDeposition_Equations.VEERG_4_3_1_5__2_TotalNitrogenVolatilisedFromMMS(F25, $E34)</f>
        <v>303.53168991180229</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'Input - Dairy'!$D$67</f>
        <v>Feed pad</v>
      </c>
      <c r="P46" s="55" t="str">
        <f>'Input - Dairy'!$D$115</f>
        <v>Drains to paddock</v>
      </c>
      <c r="Q46" s="55" cm="1">
        <f t="array" ref="Q46">MMS_Dairy_AtmosphericDeposition_Equations.VEERG_4_3_1_5__2_TotalNitrogenVolatilisedFromMMS(Q25, $E34)</f>
        <v>303.53168991180229</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'Input - Dairy'!$D$67</f>
        <v>Feed pad</v>
      </c>
      <c r="E47" s="55" t="s">
        <v>412</v>
      </c>
      <c r="F47" s="55" cm="1">
        <f t="array" ref="F47">MMS_Dairy_AtmosphericDeposition_Equations.VEERG_4_3_1_5__2_TotalNitrogenVolatilisedFromMMS(F26, $E35)</f>
        <v>796.77068601848089</v>
      </c>
      <c r="G47" s="55" cm="1">
        <f t="array" ref="G47">MMS_Dairy_AtmosphericDeposition_Equations.VEERG_4_3_1_5__2_TotalNitrogenVolatilisedFromMMS(G26, $E35)</f>
        <v>309.84265464076998</v>
      </c>
      <c r="H47" s="55" cm="1">
        <f t="array" ref="H47">MMS_Dairy_AtmosphericDeposition_Equations.VEERG_4_3_1_5__2_TotalNitrogenVolatilisedFromMMS(H26, $E35)</f>
        <v>123.40705262496667</v>
      </c>
      <c r="I47" s="55" cm="1">
        <f t="array" ref="I47">MMS_Dairy_AtmosphericDeposition_Equations.VEERG_4_3_1_5__2_TotalNitrogenVolatilisedFromMMS(I26, $E35)</f>
        <v>389.48447085255822</v>
      </c>
      <c r="J47" s="55" cm="1">
        <f t="array" ref="J47">MMS_Dairy_AtmosphericDeposition_Equations.VEERG_4_3_1_5__2_TotalNitrogenVolatilisedFromMMS(J26, $E35)</f>
        <v>163.0496180734132</v>
      </c>
      <c r="K47" s="2"/>
      <c r="O47" s="55" t="str">
        <f>'Input - Dairy'!$D$67</f>
        <v>Feed pad</v>
      </c>
      <c r="P47" s="55" t="s">
        <v>412</v>
      </c>
      <c r="Q47" s="55" cm="1">
        <f t="array" ref="Q47">MMS_Dairy_AtmosphericDeposition_Equations.VEERG_4_3_1_5__2_TotalNitrogenVolatilisedFromMMS(Q26, $E35)</f>
        <v>796.77068601848089</v>
      </c>
      <c r="R47" s="55" cm="1">
        <f t="array" ref="R47">MMS_Dairy_AtmosphericDeposition_Equations.VEERG_4_3_1_5__2_TotalNitrogenVolatilisedFromMMS(R26, $E35)</f>
        <v>309.84265464076998</v>
      </c>
      <c r="S47" s="55" cm="1">
        <f t="array" ref="S47">MMS_Dairy_AtmosphericDeposition_Equations.VEERG_4_3_1_5__2_TotalNitrogenVolatilisedFromMMS(S26, $E35)</f>
        <v>123.40705262496667</v>
      </c>
      <c r="T47" s="55" cm="1">
        <f t="array" ref="T47">MMS_Dairy_AtmosphericDeposition_Equations.VEERG_4_3_1_5__2_TotalNitrogenVolatilisedFromMMS(T26, $E35)</f>
        <v>389.48447085255822</v>
      </c>
      <c r="U47" s="55" cm="1">
        <f t="array" ref="U47">MMS_Dairy_AtmosphericDeposition_Equations.VEERG_4_3_1_5__2_TotalNitrogenVolatilisedFromMMS(U26, $E35)</f>
        <v>163.0496180734132</v>
      </c>
      <c r="V47" s="2"/>
    </row>
    <row r="48" spans="4:22" ht="20.100000000000001" customHeight="1" x14ac:dyDescent="0.25"/>
    <row r="49" spans="1:23" ht="20.100000000000001" customHeight="1" x14ac:dyDescent="0.25">
      <c r="D49" s="118" t="s">
        <v>386</v>
      </c>
      <c r="E49" s="48">
        <f>SUM(F40:J47)</f>
        <v>5464.6882914498228</v>
      </c>
      <c r="F49" s="112" t="str">
        <f>$E$11</f>
        <v>kg N</v>
      </c>
      <c r="O49" s="118" t="s">
        <v>386</v>
      </c>
      <c r="P49" s="48">
        <f>SUM(Q40:U47)</f>
        <v>5464.6882914498228</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MMS_Dairy_AtmosphericDeposition_Equations.VEERG_4_3_1_5__1_AnnualAtmosphericDepositionEmissionsFromMMS_Title()</f>
        <v>Annual atmospheric deposition emissions from MMS</v>
      </c>
    </row>
    <row r="54" spans="1:23" ht="20.100000000000001" customHeight="1" x14ac:dyDescent="0.25">
      <c r="D54" s="5" t="str" cm="1">
        <f t="array" ref="D54">MMS_Dairy_AtmosphericDeposition_Equations.VEERG_4_3_1_5__1_AnnualAtmosphericDepositionEmissionsFromMMS_Source()</f>
        <v>VEERG 2026: 4.3.1.5, Equation (1)</v>
      </c>
    </row>
    <row r="55" spans="1:23" ht="20.100000000000001" customHeight="1" x14ac:dyDescent="0.25">
      <c r="D55" s="13" t="s">
        <v>28</v>
      </c>
      <c r="E55" s="13" t="str" cm="1">
        <f t="array" aca="1" ref="E55" ca="1">Common_InputFunctions.Utility_DisplayFunctionName($E$68)</f>
        <v>=MMS_Dairy_AtmosphericDeposition_Equations.VEERG_4_3_1_5__1_AnnualAtmosphericDepositionEmissionsFromMMS</v>
      </c>
    </row>
    <row r="56" spans="1:23" ht="20.100000000000001" customHeight="1" x14ac:dyDescent="0.25"/>
    <row r="57" spans="1:23" ht="20.100000000000001" customHeight="1" x14ac:dyDescent="0.25">
      <c r="D57" s="6"/>
      <c r="H57" s="1" t="s">
        <v>428</v>
      </c>
    </row>
    <row r="58" spans="1:23" ht="20.100000000000001" customHeight="1" x14ac:dyDescent="0.25">
      <c r="D58" s="56" t="s">
        <v>31</v>
      </c>
      <c r="E58" s="1" t="str" cm="1">
        <f t="array" ref="E58">MMS_Dairy_AtmosphericDeposition_Equations.VEERG_4_3_1_5__1_AnnualAtmosphericDepositionEmissionsFromMMS_Variable()</f>
        <v>E_N2OMMSad</v>
      </c>
    </row>
    <row r="59" spans="1:23" ht="20.100000000000001" customHeight="1" x14ac:dyDescent="0.25">
      <c r="D59" s="56" t="s">
        <v>21</v>
      </c>
      <c r="E59" s="57" t="str" cm="1">
        <f t="array" ref="E59">MMS_Dairy_AtmosphericDeposition_Equations.VEERG_4_3_1_5__1_AnnualAtmosphericDepositionEmissionsFromMMS_Unit()</f>
        <v>t N2O</v>
      </c>
    </row>
    <row r="60" spans="1:23" ht="20.100000000000001" customHeight="1" x14ac:dyDescent="0.25"/>
    <row r="61" spans="1:23" ht="20.100000000000001" customHeight="1" x14ac:dyDescent="0.25">
      <c r="D61" s="137" t="str" cm="1">
        <f t="array" ref="D61:E66">_xlfn.CHOOSECOLS(MMS_Dairy_AtmosphericDeposition_Equations.VEERG_4_3_1_5__1_AnnualAtmosphericDepositionEmissionsFromMMS_Arguments(),1,2)</f>
        <v>MN_ATMOS</v>
      </c>
      <c r="E61" s="136" t="str">
        <v>mass of N volatilised from MMS</v>
      </c>
      <c r="F61" s="138"/>
      <c r="G61" s="137" t="str" cm="1">
        <f t="array" ref="G61:H66">_xlfn.CHOOSECOLS(MMS_Dairy_AtmosphericDeposition_Equations.VEERG_4_3_1_5__1_AnnualAtmosphericDepositionEmissionsFromMMS_Arguments(),3,4)</f>
        <v>kg N</v>
      </c>
      <c r="H61" s="133" t="str">
        <v>Calculated from 4.3.1.5 (2)</v>
      </c>
      <c r="I61" s="137">
        <f>$E$49</f>
        <v>5464.6882914498228</v>
      </c>
      <c r="O61" s="60" t="str">
        <f>D61</f>
        <v>MN_ATMOS</v>
      </c>
      <c r="P61" s="61" t="str">
        <f>E61</f>
        <v>mass of N volatilised from MMS</v>
      </c>
      <c r="Q61" s="62"/>
      <c r="R61" s="60">
        <f>$P$49</f>
        <v>5464.6882914498228</v>
      </c>
    </row>
    <row r="62" spans="1:23" ht="20.100000000000001" customHeight="1" x14ac:dyDescent="0.25">
      <c r="D62" s="137" t="str">
        <v>EF_N2O</v>
      </c>
      <c r="E62" s="136" t="str">
        <v>nitrous oxide emission factor for atmospheric deposition</v>
      </c>
      <c r="F62" s="138"/>
      <c r="G62" s="137" t="str">
        <v>kg N2O-N/kg N</v>
      </c>
      <c r="H62" s="133" t="str">
        <v>Constant</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tr">
        <v>C_N2O</v>
      </c>
      <c r="E63" s="136" t="str">
        <v>factor to convert elemental mass of N2O to molecular mass</v>
      </c>
      <c r="F63" s="138"/>
      <c r="G63" s="137" t="str">
        <v/>
      </c>
      <c r="H63" s="133" t="str">
        <v>Constant</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tr">
        <v>j</v>
      </c>
      <c r="E64" s="136" t="str">
        <v>production system</v>
      </c>
      <c r="F64" s="138"/>
      <c r="G64" s="137" t="str">
        <v/>
      </c>
      <c r="H64" s="135" t="str">
        <v>Input</v>
      </c>
      <c r="I64" s="137" t="str">
        <f>'Input - Dairy'!$E$125</f>
        <v>Pasture</v>
      </c>
      <c r="O64" s="60"/>
      <c r="P64" s="61"/>
      <c r="Q64" s="62"/>
      <c r="R64" s="60"/>
    </row>
    <row r="65" spans="1:18" ht="20.100000000000001" customHeight="1" x14ac:dyDescent="0.25">
      <c r="D65" s="137" t="str">
        <v>ir</v>
      </c>
      <c r="E65" s="136" t="str">
        <v>irrigation method</v>
      </c>
      <c r="F65" s="138"/>
      <c r="G65" s="137" t="str">
        <v/>
      </c>
      <c r="H65" s="135" t="str">
        <v>Input</v>
      </c>
      <c r="I65" s="137" t="str">
        <f>'Input - Dairy'!$E$126</f>
        <v>Sprinkler irrigation</v>
      </c>
      <c r="O65" s="60"/>
      <c r="P65" s="61"/>
      <c r="Q65" s="62"/>
      <c r="R65" s="60"/>
    </row>
    <row r="66" spans="1:18" ht="20.100000000000001" customHeight="1" x14ac:dyDescent="0.25">
      <c r="D66" s="137" t="str">
        <v>r</v>
      </c>
      <c r="E66" s="136" t="str">
        <v>rainfall region</v>
      </c>
      <c r="F66" s="138"/>
      <c r="G66" s="137" t="str">
        <v/>
      </c>
      <c r="H66" s="135" t="str">
        <v>Input</v>
      </c>
      <c r="I66" s="137" t="str">
        <f>'Input - Site'!$E$30</f>
        <v>High rainfall</v>
      </c>
      <c r="O66" s="60"/>
      <c r="P66" s="61"/>
      <c r="Q66" s="62"/>
      <c r="R66" s="60"/>
    </row>
    <row r="67" spans="1:18" ht="20.100000000000001" customHeight="1" x14ac:dyDescent="0.25"/>
    <row r="68" spans="1:18" ht="20.100000000000001" customHeight="1" x14ac:dyDescent="0.25">
      <c r="D68" s="108" t="s">
        <v>331</v>
      </c>
      <c r="E68" s="109" cm="1">
        <f t="array" ref="E68">MMS_Dairy_AtmosphericDeposition_Equations.VEERG_4_3_1_5__1_AnnualAtmosphericDepositionEmissionsFromMMS($I$61,$I$62,$I$63)</f>
        <v>5.0665467159299066E-2</v>
      </c>
      <c r="F68" s="110" t="str">
        <f>$E$59</f>
        <v>t N2O</v>
      </c>
      <c r="O68" s="108" t="s">
        <v>331</v>
      </c>
      <c r="P68" s="109" cm="1">
        <f t="array" ref="P68">MMS_Dairy_AtmosphericDeposition_Equations.VEERG_4_3_1_5__1_AnnualAtmosphericDepositionEmissionsFromMMS($R$61,$I$62,$I$63)</f>
        <v>5.0665467159299066E-2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5.0665467159299066E-2</v>
      </c>
      <c r="O70" s="60" t="str" cm="1">
        <f t="array" ref="O70:P71">Common_Equations.Common_ConvertN2OToCO2e_Arguments()</f>
        <v>EN2O</v>
      </c>
      <c r="P70" s="61" t="str">
        <v>Nitrous oxide emissions (t N2O)</v>
      </c>
      <c r="Q70" s="111"/>
      <c r="R70" s="55">
        <f>P68</f>
        <v>5.0665467159299066E-2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111</v>
      </c>
      <c r="E73" s="48" cm="1">
        <f t="array" ref="E73">Common_Equations.Common_ConvertN2OToCO2e(G70,G71)</f>
        <v>13.426348797214253</v>
      </c>
      <c r="F73" s="112" t="str" cm="1">
        <f t="array" ref="F73">Common_Equations.Common_ConvertN2OToCO2e_Unit()</f>
        <v>t CO2e</v>
      </c>
      <c r="O73" s="48" t="s">
        <v>111</v>
      </c>
      <c r="P73" s="48" cm="1">
        <f t="array" ref="P73">Common_Equations.Common_ConvertN2OToCO2e(R70,R71)</f>
        <v>13.426348797214253</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5" workbookViewId="0">
      <selection activeCell="D5" sqref="D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358</v>
      </c>
    </row>
    <row r="2" spans="1:23" s="9" customFormat="1" ht="20.100000000000001" customHeight="1" x14ac:dyDescent="0.25"/>
    <row r="3" spans="1:23" ht="20.100000000000001" customHeight="1" x14ac:dyDescent="0.25">
      <c r="A3" s="17" t="str">
        <f>HYPERLINK("#'Home'!A1", "Home")</f>
        <v>Home</v>
      </c>
      <c r="C3" s="4"/>
      <c r="D3" s="4" t="s">
        <v>121</v>
      </c>
      <c r="E3" s="4"/>
      <c r="F3" s="4"/>
      <c r="G3" s="4"/>
      <c r="H3" s="4"/>
      <c r="I3" s="4"/>
      <c r="J3" s="4"/>
      <c r="K3" s="4"/>
      <c r="L3" s="4"/>
      <c r="N3" s="4"/>
      <c r="O3" s="4" t="s">
        <v>122</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16"/>
      <c r="D6" s="5" t="str" cm="1">
        <f t="array" ref="D6">MMS_Dairy_LeachingAndRunoff_Equations.VEERG_4_3_1_6__2_MassOfNitrogenLostToLeachingAndRunoffFromSolidStorage_Source()</f>
        <v>VEERG 2026: 4.3.1.6, Equation (2)</v>
      </c>
    </row>
    <row r="7" spans="1:23" ht="20.100000000000001" customHeight="1" x14ac:dyDescent="0.25">
      <c r="A7" s="20" t="s">
        <v>3</v>
      </c>
      <c r="D7" s="13" t="s">
        <v>28</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MMS_Dairy_LeachingAndRunoff_Equations.VEERG_4_3_1_6__2_MassOfNitrogenLostToLeachingAndRunoffFromSolidStorage_Variable()</f>
        <v>MNLeach_jm4</v>
      </c>
    </row>
    <row r="11" spans="1:23" ht="20.100000000000001" customHeight="1" x14ac:dyDescent="0.25">
      <c r="A11" s="19" t="s">
        <v>78</v>
      </c>
      <c r="D11" s="56" t="s">
        <v>21</v>
      </c>
      <c r="E11" s="57" t="str" cm="1">
        <f t="array" ref="E11">MMS_Dairy_LeachingAndRunoff_Equations.VEERG_4_3_1_6__2_MassOfNitrogenLostToLeachingAndRunoffFromSolidStorage_Unit()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_xlfn.CHOOSECOLS(MMS_Dairy_LeachingAndRunoff_Equations.VEERG_4_3_1_6__2_MassOfNitrogenLostToLeachingAndRunoffFromSolidStorage_Arguments(),1,2)</f>
        <v>MN_jm4</v>
      </c>
      <c r="E13" s="136" t="str">
        <v>total nitrogen in solid storage system m=4 (kg N)</v>
      </c>
      <c r="F13" s="142"/>
      <c r="G13" s="138"/>
      <c r="H13" s="137" t="str" cm="1">
        <f t="array" ref="H13:I18">_xlfn.CHOOSECOLS(MMS_Dairy_LeachingAndRunoff_Equations.VEERG_4_3_1_6__2_MassOfNitrogenLostToLeachingAndRunoffFromSolidStorage_Arguments(),3,4)</f>
        <v>kg N</v>
      </c>
      <c r="I13" s="133" t="str">
        <v>Calculated from 4.3.1.3 (2)</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tr">
        <v>FracWET_i</v>
      </c>
      <c r="E14" s="136" t="str">
        <v>fraction of N that is available for leaching and runoff from the leaching zone z and irrigation type ir</v>
      </c>
      <c r="F14" s="142"/>
      <c r="G14" s="138"/>
      <c r="H14" s="137" t="str">
        <v>fraction</v>
      </c>
      <c r="I14" s="133" t="str">
        <v>Constant</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tr">
        <v>FracLEACH_MS</v>
      </c>
      <c r="E15" s="136" t="str">
        <v>fraction of N that is lost through leaching and runoff</v>
      </c>
      <c r="F15" s="142"/>
      <c r="G15" s="138"/>
      <c r="H15" s="137" t="str">
        <v>fraction</v>
      </c>
      <c r="I15" s="133" t="str">
        <v>Constant</v>
      </c>
      <c r="J15" s="137">
        <f>'Constants - Dairy'!$D$209</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42"/>
      <c r="G16" s="138"/>
      <c r="H16" s="137" t="str">
        <v/>
      </c>
      <c r="I16" s="135" t="str">
        <v>Input</v>
      </c>
      <c r="J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42"/>
      <c r="G17" s="138"/>
      <c r="H17" s="137" t="str">
        <v/>
      </c>
      <c r="I17" s="135" t="str">
        <v>Input</v>
      </c>
      <c r="J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42"/>
      <c r="G18" s="138"/>
      <c r="H18" s="137" t="str">
        <v/>
      </c>
      <c r="I18" s="135" t="str">
        <v>Input</v>
      </c>
      <c r="J18" s="137" t="str">
        <f>'Input - Dairy'!$E$126</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333</v>
      </c>
      <c r="O20" s="104" t="s">
        <v>335</v>
      </c>
    </row>
    <row r="21" spans="1:22" ht="20.100000000000001" customHeight="1" x14ac:dyDescent="0.25">
      <c r="A21" s="18" t="s">
        <v>4</v>
      </c>
      <c r="D21" s="103" t="s">
        <v>334</v>
      </c>
      <c r="O21" s="103" t="s">
        <v>336</v>
      </c>
    </row>
    <row r="22" spans="1:22" ht="20.100000000000001" customHeight="1" x14ac:dyDescent="0.25">
      <c r="A22" s="17" t="str">
        <f>HYPERLINK("#'Constants - Dairy'!A1", "Constants - Dairy")</f>
        <v>Constants - Dairy</v>
      </c>
      <c r="D22" s="54" t="s">
        <v>149</v>
      </c>
      <c r="E22" s="54" t="s">
        <v>69</v>
      </c>
      <c r="F22" s="54" t="s">
        <v>175</v>
      </c>
      <c r="G22" s="54" t="s">
        <v>192</v>
      </c>
      <c r="H22" s="54" t="s">
        <v>193</v>
      </c>
      <c r="I22" s="54" t="s">
        <v>194</v>
      </c>
      <c r="J22" s="54" t="s">
        <v>195</v>
      </c>
      <c r="O22" s="54" t="s">
        <v>149</v>
      </c>
      <c r="P22" s="54" t="s">
        <v>69</v>
      </c>
      <c r="Q22" s="54" t="s">
        <v>175</v>
      </c>
      <c r="R22" s="54" t="s">
        <v>192</v>
      </c>
      <c r="S22" s="54" t="s">
        <v>193</v>
      </c>
      <c r="T22" s="54" t="s">
        <v>194</v>
      </c>
      <c r="U22" s="54" t="s">
        <v>195</v>
      </c>
    </row>
    <row r="23" spans="1:22" ht="20.100000000000001" customHeight="1" x14ac:dyDescent="0.25">
      <c r="A23" s="17" t="str">
        <f>HYPERLINK("#'Constants - Livestock'!A1", "Constants - Livestock")</f>
        <v>Constants - Livestock</v>
      </c>
      <c r="D23" s="55" t="str">
        <f>'Input - Dairy'!$D$66</f>
        <v>Milking shed</v>
      </c>
      <c r="E23" s="55" t="s">
        <v>412</v>
      </c>
      <c r="F23" s="55">
        <f>'4.3.1.3-4 Direct N20'!F246</f>
        <v>937.87881714320918</v>
      </c>
      <c r="G23" s="55">
        <f>'4.3.1.3-4 Direct N20'!G246</f>
        <v>364.71580535564152</v>
      </c>
      <c r="H23" s="55">
        <f>'4.3.1.3-4 Direct N20'!H246</f>
        <v>145.26244824768682</v>
      </c>
      <c r="I23" s="55">
        <f>'4.3.1.3-4 Direct N20'!I246</f>
        <v>458.46219147973682</v>
      </c>
      <c r="J23" s="55">
        <f>'4.3.1.3-4 Direct N20'!J246</f>
        <v>191.92571415811079</v>
      </c>
      <c r="K23" s="2" t="str">
        <f>$H$13</f>
        <v>kg N</v>
      </c>
      <c r="O23" s="55" t="str">
        <f>'Input - Dairy'!$D$66</f>
        <v>Milking shed</v>
      </c>
      <c r="P23" s="55" t="s">
        <v>412</v>
      </c>
      <c r="Q23" s="55">
        <f>'4.3.1.3-4 Direct N20'!P246</f>
        <v>937.87881714320918</v>
      </c>
      <c r="R23" s="55">
        <f>'4.3.1.3-4 Direct N20'!Q246</f>
        <v>364.71580535564152</v>
      </c>
      <c r="S23" s="55">
        <f>'4.3.1.3-4 Direct N20'!R246</f>
        <v>145.26244824768682</v>
      </c>
      <c r="T23" s="55">
        <f>'4.3.1.3-4 Direct N20'!S246</f>
        <v>458.46219147973682</v>
      </c>
      <c r="U23" s="55">
        <f>'4.3.1.3-4 Direct N20'!T246</f>
        <v>191.92571415811079</v>
      </c>
      <c r="V23" s="2" t="str">
        <f>$H$13</f>
        <v>kg N</v>
      </c>
    </row>
    <row r="24" spans="1:22" ht="20.100000000000001" customHeight="1" x14ac:dyDescent="0.25">
      <c r="A24" s="17" t="str">
        <f>HYPERLINK("#'Constants - Common'!A1", "Constants - Common")</f>
        <v>Constants - Common</v>
      </c>
      <c r="D24" s="55" t="str">
        <f>'Input - Dairy'!$D$67</f>
        <v>Feed pad</v>
      </c>
      <c r="E24" s="55" t="s">
        <v>412</v>
      </c>
      <c r="F24" s="55">
        <f>'4.3.1.3-4 Direct N20'!F250</f>
        <v>2655.9022867282697</v>
      </c>
      <c r="G24" s="55">
        <f>'4.3.1.3-4 Direct N20'!G250</f>
        <v>1032.8088488025667</v>
      </c>
      <c r="H24" s="55">
        <f>'4.3.1.3-4 Direct N20'!H250</f>
        <v>411.35684208322226</v>
      </c>
      <c r="I24" s="55">
        <f>'4.3.1.3-4 Direct N20'!I250</f>
        <v>1298.2815695085274</v>
      </c>
      <c r="J24" s="55">
        <f>'4.3.1.3-4 Direct N20'!J250</f>
        <v>543.49872691137739</v>
      </c>
      <c r="K24" s="2"/>
      <c r="O24" s="55" t="str">
        <f>'Input - Dairy'!$D$67</f>
        <v>Feed pad</v>
      </c>
      <c r="P24" s="55" t="s">
        <v>412</v>
      </c>
      <c r="Q24" s="55">
        <f>'4.3.1.3-4 Direct N20'!P250</f>
        <v>2655.9022867282697</v>
      </c>
      <c r="R24" s="55">
        <f>'4.3.1.3-4 Direct N20'!Q250</f>
        <v>1032.8088488025667</v>
      </c>
      <c r="S24" s="55">
        <f>'4.3.1.3-4 Direct N20'!R250</f>
        <v>411.35684208322226</v>
      </c>
      <c r="T24" s="55">
        <f>'4.3.1.3-4 Direct N20'!S250</f>
        <v>1298.2815695085274</v>
      </c>
      <c r="U24" s="55">
        <f>'4.3.1.3-4 Direct N20'!T250</f>
        <v>543.49872691137739</v>
      </c>
      <c r="V24" s="2"/>
    </row>
    <row r="25" spans="1:22" ht="20.100000000000001" customHeight="1" x14ac:dyDescent="0.25">
      <c r="A25" s="17" t="str">
        <f>HYPERLINK("#'Acknowledgements'!A1", "Acknowledgements")</f>
        <v>Acknowledgements</v>
      </c>
    </row>
    <row r="26" spans="1:22" ht="20.100000000000001" customHeight="1" x14ac:dyDescent="0.25">
      <c r="D26" s="104" t="s">
        <v>338</v>
      </c>
      <c r="O26" s="104" t="s">
        <v>339</v>
      </c>
    </row>
    <row r="27" spans="1:22" ht="20.100000000000001" customHeight="1" x14ac:dyDescent="0.25">
      <c r="D27" s="103" t="s">
        <v>337</v>
      </c>
      <c r="O27" s="103" t="s">
        <v>340</v>
      </c>
    </row>
    <row r="28" spans="1:22" ht="20.100000000000001" customHeight="1" x14ac:dyDescent="0.25">
      <c r="D28" s="54" t="s">
        <v>149</v>
      </c>
      <c r="E28" s="54" t="s">
        <v>69</v>
      </c>
      <c r="F28" s="54" t="s">
        <v>175</v>
      </c>
      <c r="G28" s="54" t="s">
        <v>192</v>
      </c>
      <c r="H28" s="54" t="s">
        <v>193</v>
      </c>
      <c r="I28" s="54" t="s">
        <v>194</v>
      </c>
      <c r="J28" s="54" t="s">
        <v>195</v>
      </c>
      <c r="O28" s="54" t="s">
        <v>149</v>
      </c>
      <c r="P28" s="54" t="s">
        <v>69</v>
      </c>
      <c r="Q28" s="54" t="s">
        <v>175</v>
      </c>
      <c r="R28" s="54" t="s">
        <v>192</v>
      </c>
      <c r="S28" s="54" t="s">
        <v>193</v>
      </c>
      <c r="T28" s="54" t="s">
        <v>194</v>
      </c>
      <c r="U28" s="54" t="s">
        <v>195</v>
      </c>
    </row>
    <row r="29" spans="1:22" ht="20.100000000000001" customHeight="1" x14ac:dyDescent="0.25">
      <c r="D29" s="55" t="str">
        <f>'Input - Dairy'!$D$66</f>
        <v>Milking shed</v>
      </c>
      <c r="E29" s="55" t="s">
        <v>412</v>
      </c>
      <c r="F29" s="55" cm="1">
        <f t="array" ref="F29">MMS_Dairy_LeachingAndRunoff_Equations.VEERG_4_3_1_6__2_MassOfNitrogenLostToLeachingAndRunoffFromSolidStorage(F23,$J$14,$J$15)</f>
        <v>18.757576342864184</v>
      </c>
      <c r="G29" s="55" cm="1">
        <f t="array" ref="G29">MMS_Dairy_LeachingAndRunoff_Equations.VEERG_4_3_1_6__2_MassOfNitrogenLostToLeachingAndRunoffFromSolidStorage(G23,$J$14,$J$15)</f>
        <v>7.2943161071128308</v>
      </c>
      <c r="H29" s="55" cm="1">
        <f t="array" ref="H29">MMS_Dairy_LeachingAndRunoff_Equations.VEERG_4_3_1_6__2_MassOfNitrogenLostToLeachingAndRunoffFromSolidStorage(H23,$J$14,$J$15)</f>
        <v>2.9052489649537363</v>
      </c>
      <c r="I29" s="55" cm="1">
        <f t="array" ref="I29">MMS_Dairy_LeachingAndRunoff_Equations.VEERG_4_3_1_6__2_MassOfNitrogenLostToLeachingAndRunoffFromSolidStorage(I23,$J$14,$J$15)</f>
        <v>9.1692438295947358</v>
      </c>
      <c r="J29" s="55" cm="1">
        <f t="array" ref="J29">MMS_Dairy_LeachingAndRunoff_Equations.VEERG_4_3_1_6__2_MassOfNitrogenLostToLeachingAndRunoffFromSolidStorage(J23,$J$14,$J$15)</f>
        <v>3.8385142831622159</v>
      </c>
      <c r="K29" s="2" t="str">
        <f>$E$11</f>
        <v>kg N</v>
      </c>
      <c r="O29" s="55" t="str">
        <f>'Input - Dairy'!$D$66</f>
        <v>Milking shed</v>
      </c>
      <c r="P29" s="55" t="s">
        <v>412</v>
      </c>
      <c r="Q29" s="55" cm="1">
        <f t="array" ref="Q29">MMS_Dairy_LeachingAndRunoff_Equations.VEERG_4_3_1_6__2_MassOfNitrogenLostToLeachingAndRunoffFromSolidStorage(Q23,$J$14,$J$15)</f>
        <v>18.757576342864184</v>
      </c>
      <c r="R29" s="55" cm="1">
        <f t="array" ref="R29">MMS_Dairy_LeachingAndRunoff_Equations.VEERG_4_3_1_6__2_MassOfNitrogenLostToLeachingAndRunoffFromSolidStorage(R23,$J$14,$J$15)</f>
        <v>7.2943161071128308</v>
      </c>
      <c r="S29" s="55" cm="1">
        <f t="array" ref="S29">MMS_Dairy_LeachingAndRunoff_Equations.VEERG_4_3_1_6__2_MassOfNitrogenLostToLeachingAndRunoffFromSolidStorage(S23,$J$14,$J$15)</f>
        <v>2.9052489649537363</v>
      </c>
      <c r="T29" s="55" cm="1">
        <f t="array" ref="T29">MMS_Dairy_LeachingAndRunoff_Equations.VEERG_4_3_1_6__2_MassOfNitrogenLostToLeachingAndRunoffFromSolidStorage(T23,$J$14,$J$15)</f>
        <v>9.1692438295947358</v>
      </c>
      <c r="U29" s="55" cm="1">
        <f t="array" ref="U29">MMS_Dairy_LeachingAndRunoff_Equations.VEERG_4_3_1_6__2_MassOfNitrogenLostToLeachingAndRunoffFromSolidStorage(U23,$J$14,$J$15)</f>
        <v>3.8385142831622159</v>
      </c>
      <c r="V29" s="2" t="str">
        <f>$E$11</f>
        <v>kg N</v>
      </c>
    </row>
    <row r="30" spans="1:22" ht="20.100000000000001" customHeight="1" x14ac:dyDescent="0.25">
      <c r="D30" s="55" t="str">
        <f>'Input - Dairy'!$D$67</f>
        <v>Feed pad</v>
      </c>
      <c r="E30" s="55" t="s">
        <v>412</v>
      </c>
      <c r="F30" s="55" cm="1">
        <f t="array" ref="F30">MMS_Dairy_LeachingAndRunoff_Equations.VEERG_4_3_1_6__2_MassOfNitrogenLostToLeachingAndRunoffFromSolidStorage(F24,$J$14,$J$15)</f>
        <v>53.118045734565392</v>
      </c>
      <c r="G30" s="55" cm="1">
        <f t="array" ref="G30">MMS_Dairy_LeachingAndRunoff_Equations.VEERG_4_3_1_6__2_MassOfNitrogenLostToLeachingAndRunoffFromSolidStorage(G24,$J$14,$J$15)</f>
        <v>20.656176976051334</v>
      </c>
      <c r="H30" s="55" cm="1">
        <f t="array" ref="H30">MMS_Dairy_LeachingAndRunoff_Equations.VEERG_4_3_1_6__2_MassOfNitrogenLostToLeachingAndRunoffFromSolidStorage(H24,$J$14,$J$15)</f>
        <v>8.2271368416644446</v>
      </c>
      <c r="I30" s="55" cm="1">
        <f t="array" ref="I30">MMS_Dairy_LeachingAndRunoff_Equations.VEERG_4_3_1_6__2_MassOfNitrogenLostToLeachingAndRunoffFromSolidStorage(I24,$J$14,$J$15)</f>
        <v>25.965631390170547</v>
      </c>
      <c r="J30" s="55" cm="1">
        <f t="array" ref="J30">MMS_Dairy_LeachingAndRunoff_Equations.VEERG_4_3_1_6__2_MassOfNitrogenLostToLeachingAndRunoffFromSolidStorage(J24,$J$14,$J$15)</f>
        <v>10.869974538227549</v>
      </c>
      <c r="K30" s="2"/>
      <c r="O30" s="55" t="str">
        <f>'Input - Dairy'!$D$67</f>
        <v>Feed pad</v>
      </c>
      <c r="P30" s="55" t="s">
        <v>412</v>
      </c>
      <c r="Q30" s="55" cm="1">
        <f t="array" ref="Q30">MMS_Dairy_LeachingAndRunoff_Equations.VEERG_4_3_1_6__2_MassOfNitrogenLostToLeachingAndRunoffFromSolidStorage(Q24,$J$14,$J$15)</f>
        <v>53.118045734565392</v>
      </c>
      <c r="R30" s="55" cm="1">
        <f t="array" ref="R30">MMS_Dairy_LeachingAndRunoff_Equations.VEERG_4_3_1_6__2_MassOfNitrogenLostToLeachingAndRunoffFromSolidStorage(R24,$J$14,$J$15)</f>
        <v>20.656176976051334</v>
      </c>
      <c r="S30" s="55" cm="1">
        <f t="array" ref="S30">MMS_Dairy_LeachingAndRunoff_Equations.VEERG_4_3_1_6__2_MassOfNitrogenLostToLeachingAndRunoffFromSolidStorage(S24,$J$14,$J$15)</f>
        <v>8.2271368416644446</v>
      </c>
      <c r="T30" s="55" cm="1">
        <f t="array" ref="T30">MMS_Dairy_LeachingAndRunoff_Equations.VEERG_4_3_1_6__2_MassOfNitrogenLostToLeachingAndRunoffFromSolidStorage(T24,$J$14,$J$15)</f>
        <v>25.965631390170547</v>
      </c>
      <c r="U30" s="55" cm="1">
        <f t="array" ref="U30">MMS_Dairy_LeachingAndRunoff_Equations.VEERG_4_3_1_6__2_MassOfNitrogenLostToLeachingAndRunoffFromSolidStorage(U24,$J$14,$J$15)</f>
        <v>10.869974538227549</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28</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31</v>
      </c>
      <c r="E39" s="1" t="str" cm="1">
        <f t="array" ref="E39">MMS_Dairy_LeachingAndRunoff_Equations.VEERG_4_3_1_6__1_AnnualEmissionsFromLeachingAndRunoffFromMMS_Variable()</f>
        <v>E_N2Oleach</v>
      </c>
    </row>
    <row r="40" spans="3:23" ht="20.100000000000001" customHeight="1" x14ac:dyDescent="0.25">
      <c r="D40" s="56" t="s">
        <v>21</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7" t="str" cm="1">
        <f t="array" ref="D42:E44">_xlfn.CHOOSECOLS(MMS_Dairy_LeachingAndRunoff_Equations.VEERG_4_3_1_6__1_AnnualEmissionsFromLeachingAndRunoffFromMMS_Arguments(),1,2)</f>
        <v>MNLeach_jm</v>
      </c>
      <c r="E42" s="136" t="str">
        <v>mass of N lost through leaching and runoff</v>
      </c>
      <c r="F42" s="138"/>
      <c r="G42" s="137" t="str" cm="1">
        <f t="array" ref="G42:H44">_xlfn.CHOOSECOLS(MMS_Dairy_LeachingAndRunoff_Equations.VEERG_4_3_1_6__1_AnnualEmissionsFromLeachingAndRunoffFromMMS_Arguments(),3,4)</f>
        <v>kg N</v>
      </c>
      <c r="H42" s="133" t="str">
        <v>Calculated from 4.3.1.6 (2)</v>
      </c>
      <c r="I42" s="134" t="str" cm="1">
        <f t="array" aca="1" ref="I42" ca="1">HYPERLINK(Common_InputFunctions.Utility_SourceHyperlink($D$26),$D$26)</f>
        <v>M1_Table_MN_leach_j_m-4</v>
      </c>
    </row>
    <row r="43" spans="3:23" ht="20.100000000000001" customHeight="1" x14ac:dyDescent="0.25">
      <c r="D43" s="137" t="str">
        <v>EF_leach</v>
      </c>
      <c r="E43" s="136" t="str">
        <v>nitrous oxide emission factor for leaching and runoff</v>
      </c>
      <c r="F43" s="138"/>
      <c r="G43" s="137" t="str">
        <v>kg N2O-N/kg N</v>
      </c>
      <c r="H43" s="133" t="str">
        <v>Constant</v>
      </c>
      <c r="I43" s="137">
        <f>'Constants - Dairy'!$D$202</f>
        <v>1.0999999999999999E-2</v>
      </c>
    </row>
    <row r="44" spans="3:23" ht="20.100000000000001" customHeight="1" x14ac:dyDescent="0.25">
      <c r="D44" s="137" t="str">
        <v>C_N2O</v>
      </c>
      <c r="E44" s="136" t="str">
        <v>factor to convert elemental mass of N2O to molecular mass</v>
      </c>
      <c r="F44" s="138"/>
      <c r="G44" s="137" t="str">
        <v/>
      </c>
      <c r="H44" s="133" t="str">
        <v>Constant</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341</v>
      </c>
      <c r="O46" s="104" t="s">
        <v>343</v>
      </c>
    </row>
    <row r="47" spans="3:23" ht="20.100000000000001" customHeight="1" x14ac:dyDescent="0.25">
      <c r="D47" s="103" t="s">
        <v>342</v>
      </c>
      <c r="O47" s="103" t="s">
        <v>344</v>
      </c>
    </row>
    <row r="48" spans="3:23" ht="20.100000000000001" customHeight="1" x14ac:dyDescent="0.25">
      <c r="D48" s="54" t="s">
        <v>149</v>
      </c>
      <c r="E48" s="54" t="s">
        <v>69</v>
      </c>
      <c r="F48" s="54" t="s">
        <v>175</v>
      </c>
      <c r="G48" s="54" t="s">
        <v>192</v>
      </c>
      <c r="H48" s="54" t="s">
        <v>193</v>
      </c>
      <c r="I48" s="54" t="s">
        <v>194</v>
      </c>
      <c r="J48" s="54" t="s">
        <v>195</v>
      </c>
      <c r="O48" s="54" t="s">
        <v>149</v>
      </c>
      <c r="P48" s="54" t="s">
        <v>69</v>
      </c>
      <c r="Q48" s="54" t="s">
        <v>175</v>
      </c>
      <c r="R48" s="54" t="s">
        <v>192</v>
      </c>
      <c r="S48" s="54" t="s">
        <v>193</v>
      </c>
      <c r="T48" s="54" t="s">
        <v>194</v>
      </c>
      <c r="U48" s="54" t="s">
        <v>195</v>
      </c>
    </row>
    <row r="49" spans="1:22" ht="20.100000000000001" customHeight="1" x14ac:dyDescent="0.25">
      <c r="D49" s="55" t="str">
        <f>'Input - Dairy'!$D$66</f>
        <v>Milking shed</v>
      </c>
      <c r="E49" s="55" t="s">
        <v>412</v>
      </c>
      <c r="F49" s="55" cm="1">
        <f t="array" ref="F49">MMS_Dairy_LeachingAndRunoff_Equations.VEERG_4_3_1_6__1_AnnualEmissionsFromLeachingAndRunoffFromMMS(F29,$I$43,$I$44)</f>
        <v>3.2423810535522375E-4</v>
      </c>
      <c r="G49" s="55" cm="1">
        <f t="array" ref="G49">MMS_Dairy_LeachingAndRunoff_Equations.VEERG_4_3_1_6__1_AnnualEmissionsFromLeachingAndRunoffFromMMS(G29,$I$43,$I$44)</f>
        <v>1.2608746413723606E-4</v>
      </c>
      <c r="H49" s="55" cm="1">
        <f t="array" ref="H49">MMS_Dairy_LeachingAndRunoff_Equations.VEERG_4_3_1_6__1_AnnualEmissionsFromLeachingAndRunoffFromMMS(H29,$I$43,$I$44)</f>
        <v>5.0219303537057436E-5</v>
      </c>
      <c r="I49" s="55" cm="1">
        <f t="array" ref="I49">MMS_Dairy_LeachingAndRunoff_Equations.VEERG_4_3_1_6__1_AnnualEmissionsFromLeachingAndRunoffFromMMS(I29,$I$43,$I$44)</f>
        <v>1.5849692905442329E-4</v>
      </c>
      <c r="J49" s="55" cm="1">
        <f t="array" ref="J49">MMS_Dairy_LeachingAndRunoff_Equations.VEERG_4_3_1_6__1_AnnualEmissionsFromLeachingAndRunoffFromMMS(J29,$I$43,$I$44)</f>
        <v>6.6351461180375439E-5</v>
      </c>
      <c r="K49" s="2" t="str">
        <f>$E$40</f>
        <v>t N2O</v>
      </c>
      <c r="O49" s="55" t="str">
        <f>'Input - Dairy'!$D$66</f>
        <v>Milking shed</v>
      </c>
      <c r="P49" s="55" t="s">
        <v>412</v>
      </c>
      <c r="Q49" s="55" cm="1">
        <f t="array" ref="Q49">MMS_Dairy_LeachingAndRunoff_Equations.VEERG_4_3_1_6__1_AnnualEmissionsFromLeachingAndRunoffFromMMS(Q29,$I$43,$I$44)</f>
        <v>3.2423810535522375E-4</v>
      </c>
      <c r="R49" s="55" cm="1">
        <f t="array" ref="R49">MMS_Dairy_LeachingAndRunoff_Equations.VEERG_4_3_1_6__1_AnnualEmissionsFromLeachingAndRunoffFromMMS(R29,$I$43,$I$44)</f>
        <v>1.2608746413723606E-4</v>
      </c>
      <c r="S49" s="55" cm="1">
        <f t="array" ref="S49">MMS_Dairy_LeachingAndRunoff_Equations.VEERG_4_3_1_6__1_AnnualEmissionsFromLeachingAndRunoffFromMMS(S29,$I$43,$I$44)</f>
        <v>5.0219303537057436E-5</v>
      </c>
      <c r="T49" s="55" cm="1">
        <f t="array" ref="T49">MMS_Dairy_LeachingAndRunoff_Equations.VEERG_4_3_1_6__1_AnnualEmissionsFromLeachingAndRunoffFromMMS(T29,$I$43,$I$44)</f>
        <v>1.5849692905442329E-4</v>
      </c>
      <c r="U49" s="55" cm="1">
        <f t="array" ref="U49">MMS_Dairy_LeachingAndRunoff_Equations.VEERG_4_3_1_6__1_AnnualEmissionsFromLeachingAndRunoffFromMMS(U29,$I$43,$I$44)</f>
        <v>6.6351461180375439E-5</v>
      </c>
      <c r="V49" s="2" t="str">
        <f>$E$40</f>
        <v>t N2O</v>
      </c>
    </row>
    <row r="50" spans="1:22" ht="20.100000000000001" customHeight="1" x14ac:dyDescent="0.25">
      <c r="D50" s="55" t="str">
        <f>'Input - Dairy'!$D$67</f>
        <v>Feed pad</v>
      </c>
      <c r="E50" s="55" t="s">
        <v>412</v>
      </c>
      <c r="F50" s="55" cm="1">
        <f t="array" ref="F50">MMS_Dairy_LeachingAndRunoff_Equations.VEERG_4_3_1_6__1_AnnualEmissionsFromLeachingAndRunoffFromMMS(F30,$I$43,$I$44)</f>
        <v>9.1818336198320159E-4</v>
      </c>
      <c r="G50" s="55" cm="1">
        <f t="array" ref="G50">MMS_Dairy_LeachingAndRunoff_Equations.VEERG_4_3_1_6__1_AnnualEmissionsFromLeachingAndRunoffFromMMS(G30,$I$43,$I$44)</f>
        <v>3.5705677344317308E-4</v>
      </c>
      <c r="H50" s="55" cm="1">
        <f t="array" ref="H50">MMS_Dairy_LeachingAndRunoff_Equations.VEERG_4_3_1_6__1_AnnualEmissionsFromLeachingAndRunoffFromMMS(H30,$I$43,$I$44)</f>
        <v>1.4221193683448539E-4</v>
      </c>
      <c r="I50" s="55" cm="1">
        <f t="array" ref="I50">MMS_Dairy_LeachingAndRunoff_Equations.VEERG_4_3_1_6__1_AnnualEmissionsFromLeachingAndRunoffFromMMS(I30,$I$43,$I$44)</f>
        <v>4.4883448545866232E-4</v>
      </c>
      <c r="J50" s="55" cm="1">
        <f t="array" ref="J50">MMS_Dairy_LeachingAndRunoff_Equations.VEERG_4_3_1_6__1_AnnualEmissionsFromLeachingAndRunoffFromMMS(J30,$I$43,$I$44)</f>
        <v>1.8789527416079047E-4</v>
      </c>
      <c r="K50" s="2"/>
      <c r="O50" s="55" t="str">
        <f>'Input - Dairy'!$D$67</f>
        <v>Feed pad</v>
      </c>
      <c r="P50" s="55" t="s">
        <v>412</v>
      </c>
      <c r="Q50" s="55" cm="1">
        <f t="array" ref="Q50">MMS_Dairy_LeachingAndRunoff_Equations.VEERG_4_3_1_6__1_AnnualEmissionsFromLeachingAndRunoffFromMMS(Q30,$I$43,$I$44)</f>
        <v>9.1818336198320159E-4</v>
      </c>
      <c r="R50" s="55" cm="1">
        <f t="array" ref="R50">MMS_Dairy_LeachingAndRunoff_Equations.VEERG_4_3_1_6__1_AnnualEmissionsFromLeachingAndRunoffFromMMS(R30,$I$43,$I$44)</f>
        <v>3.5705677344317308E-4</v>
      </c>
      <c r="S50" s="55" cm="1">
        <f t="array" ref="S50">MMS_Dairy_LeachingAndRunoff_Equations.VEERG_4_3_1_6__1_AnnualEmissionsFromLeachingAndRunoffFromMMS(S30,$I$43,$I$44)</f>
        <v>1.4221193683448539E-4</v>
      </c>
      <c r="T50" s="55" cm="1">
        <f t="array" ref="T50">MMS_Dairy_LeachingAndRunoff_Equations.VEERG_4_3_1_6__1_AnnualEmissionsFromLeachingAndRunoffFromMMS(T30,$I$43,$I$44)</f>
        <v>4.4883448545866232E-4</v>
      </c>
      <c r="U50" s="55" cm="1">
        <f t="array" ref="U50">MMS_Dairy_LeachingAndRunoff_Equations.VEERG_4_3_1_6__1_AnnualEmissionsFromLeachingAndRunoffFromMMS(U30,$I$43,$I$44)</f>
        <v>1.8789527416079047E-4</v>
      </c>
      <c r="V50" s="2"/>
    </row>
    <row r="51" spans="1:22" ht="20.100000000000001" customHeight="1" x14ac:dyDescent="0.25"/>
    <row r="52" spans="1:22" ht="20.100000000000001" customHeight="1" x14ac:dyDescent="0.25">
      <c r="D52" s="108" t="s">
        <v>331</v>
      </c>
      <c r="E52" s="109">
        <f>SUM(F49:J50)</f>
        <v>2.779575095144629E-3</v>
      </c>
      <c r="F52" s="110" t="str">
        <f>$E$40</f>
        <v>t N2O</v>
      </c>
      <c r="O52" s="108" t="s">
        <v>331</v>
      </c>
      <c r="P52" s="109">
        <f>SUM(Q49:U50)</f>
        <v>2.779575095144629E-3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2.779575095144629E-3</v>
      </c>
      <c r="O54" s="60" t="str" cm="1">
        <f t="array" ref="O54:P55">Common_Equations.Common_ConvertN2OToCO2e_Arguments()</f>
        <v>EN2O</v>
      </c>
      <c r="P54" s="61" t="str">
        <v>Nitrous oxide emissions (t N2O)</v>
      </c>
      <c r="Q54" s="111"/>
      <c r="R54" s="55">
        <f>P$52</f>
        <v>2.779575095144629E-3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111</v>
      </c>
      <c r="E57" s="48" cm="1">
        <f t="array" ref="E57">Common_Equations.Common_ConvertN2OToCO2e(G54,G55)</f>
        <v>0.73658740021332669</v>
      </c>
      <c r="F57" s="112" t="str" cm="1">
        <f t="array" ref="F57">Common_Equations.Common_ConvertN2OToCO2e_Unit()</f>
        <v>t CO2e</v>
      </c>
      <c r="O57" s="48" t="s">
        <v>111</v>
      </c>
      <c r="P57" s="48" cm="1">
        <f t="array" ref="P57">Common_Equations.Common_ConvertN2OToCO2e(R54,R55)</f>
        <v>0.73658740021332669</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H119" zoomScaleNormal="100" workbookViewId="0">
      <selection activeCell="P146" sqref="P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345</v>
      </c>
      <c r="M1" s="132"/>
    </row>
    <row r="2" spans="1:23" s="9" customFormat="1" ht="20.100000000000001" customHeight="1" x14ac:dyDescent="0.25">
      <c r="M2" s="132"/>
    </row>
    <row r="3" spans="1:23" ht="20.100000000000001" customHeight="1" x14ac:dyDescent="0.25">
      <c r="A3" s="17" t="str">
        <f>HYPERLINK("#'Home'!A1", "Home")</f>
        <v>Home</v>
      </c>
      <c r="C3" s="4"/>
      <c r="D3" s="4" t="s">
        <v>121</v>
      </c>
      <c r="E3" s="4"/>
      <c r="F3" s="4"/>
      <c r="G3" s="4"/>
      <c r="H3" s="4"/>
      <c r="I3" s="4"/>
      <c r="J3" s="4"/>
      <c r="K3" s="4"/>
      <c r="L3" s="4"/>
      <c r="N3" s="4"/>
      <c r="O3" s="4" t="s">
        <v>122</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16"/>
      <c r="D6" s="5" t="str" cm="1">
        <f t="array" ref="D6">MMS_Dairy_ManureAppliedToSoils_Equations.VEERG_4_3_1_8__1_MassOfNitrogenAppliedToSoilsScope1_Source()</f>
        <v>VEERG 2026: 4.3.1.8, Equation (1)</v>
      </c>
    </row>
    <row r="7" spans="1:23" ht="20.100000000000001" customHeight="1" x14ac:dyDescent="0.25">
      <c r="A7" s="20" t="s">
        <v>3</v>
      </c>
      <c r="D7" s="13" t="s">
        <v>28</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MMS_Dairy_ManureAppliedToSoils_Equations.VEERG_4_3_1_8__1_MassOfNitrogenAppliedToSoilsScope1_Variable()</f>
        <v>MNSoil_scope1</v>
      </c>
    </row>
    <row r="11" spans="1:23" ht="20.100000000000001" customHeight="1" x14ac:dyDescent="0.25">
      <c r="A11" s="19" t="s">
        <v>78</v>
      </c>
      <c r="D11" s="56" t="s">
        <v>21</v>
      </c>
      <c r="E11" s="57" t="str" cm="1">
        <f t="array" ref="E11">MMS_Dairy_ManureAppliedToSoils_Equations.VEERG_4_3_1_8__1_MassOfNitrogenAppliedToSoilsScope1_Unit()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7">_xlfn.CHOOSECOLS(MMS_Dairy_ManureAppliedToSoils_Equations.VEERG_4_3_1_8__1_MassOfNitrogenAppliedToSoilsScope1_Arguments(),1,2)</f>
        <v>MN_jm</v>
      </c>
      <c r="E13" s="136" t="str">
        <v>total nitrogen in each MMS for dairy cattle classes</v>
      </c>
      <c r="F13" s="138"/>
      <c r="G13" s="137" t="str" cm="1">
        <f t="array" ref="G13:H17">_xlfn.CHOOSECOLS(MMS_Dairy_ManureAppliedToSoils_Equations.VEERG_4_3_1_8__1_MassOfNitrogenAppliedToSoilsScope1_Arguments(),3,4)</f>
        <v>kg N</v>
      </c>
      <c r="H13" s="133" t="str">
        <v>Calculated from 4.3.1.3 (2)</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tr">
        <v>EF_m</v>
      </c>
      <c r="E14" s="136" t="str">
        <v>emission factor for nitrous oxide emissions per MMS</v>
      </c>
      <c r="F14" s="138"/>
      <c r="G14" s="137" t="str">
        <v>kg N2O-N/kg N</v>
      </c>
      <c r="H14" s="133" t="str">
        <v>Constant</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tr">
        <v>FracGASM_m</v>
      </c>
      <c r="E15" s="136" t="str">
        <v>fraction of N volatilised from MMS</v>
      </c>
      <c r="F15" s="138"/>
      <c r="G15" s="137" t="str">
        <v>fraction</v>
      </c>
      <c r="H15" s="133" t="str">
        <v>Constant</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tr">
        <v>MNLeach_jm</v>
      </c>
      <c r="E16" s="136" t="str">
        <v>mass of N lost through leaching and runoff from each MMS</v>
      </c>
      <c r="F16" s="138"/>
      <c r="G16" s="137" t="str">
        <v>kg N</v>
      </c>
      <c r="H16" s="133" t="str">
        <v>Calculated from 4.3.1.6 (2)</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tr">
        <v>PF_scope</v>
      </c>
      <c r="E17" s="136" t="str">
        <v>fraction of manure applied to soil within farm boundary</v>
      </c>
      <c r="F17" s="138"/>
      <c r="G17" s="137" t="str">
        <v>fraction</v>
      </c>
      <c r="H17" s="135" t="str">
        <v>Input</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318</v>
      </c>
    </row>
    <row r="20" spans="1:9" ht="20.100000000000001" customHeight="1" x14ac:dyDescent="0.25">
      <c r="A20" s="17"/>
      <c r="D20" s="103" t="s">
        <v>319</v>
      </c>
    </row>
    <row r="21" spans="1:9" ht="20.100000000000001" customHeight="1" x14ac:dyDescent="0.25">
      <c r="A21" s="18" t="s">
        <v>4</v>
      </c>
      <c r="D21" s="54" t="s">
        <v>69</v>
      </c>
      <c r="E21" s="54" t="s">
        <v>320</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324</v>
      </c>
    </row>
    <row r="29" spans="1:9" ht="20.100000000000001" customHeight="1" x14ac:dyDescent="0.25">
      <c r="D29" s="103" t="s">
        <v>326</v>
      </c>
    </row>
    <row r="30" spans="1:9" ht="20.100000000000001" customHeight="1" x14ac:dyDescent="0.25">
      <c r="D30" s="54" t="s">
        <v>69</v>
      </c>
      <c r="E30" s="54" t="s">
        <v>325</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314</v>
      </c>
      <c r="M37"/>
      <c r="O37" s="104" t="s">
        <v>317</v>
      </c>
    </row>
    <row r="38" spans="1:22" ht="20.100000000000001" customHeight="1" x14ac:dyDescent="0.25">
      <c r="D38" s="103" t="s">
        <v>315</v>
      </c>
      <c r="M38"/>
      <c r="O38" s="103" t="s">
        <v>316</v>
      </c>
    </row>
    <row r="39" spans="1:22" ht="20.100000000000001" customHeight="1" x14ac:dyDescent="0.25">
      <c r="A39" s="141" t="str">
        <f>HYPERLINK("#A1", "▲ Back to top")</f>
        <v>▲ Back to top</v>
      </c>
      <c r="D39" s="54" t="s">
        <v>149</v>
      </c>
      <c r="E39" s="54" t="s">
        <v>69</v>
      </c>
      <c r="F39" s="54" t="s">
        <v>175</v>
      </c>
      <c r="G39" s="54" t="s">
        <v>192</v>
      </c>
      <c r="H39" s="54" t="s">
        <v>193</v>
      </c>
      <c r="I39" s="54" t="s">
        <v>194</v>
      </c>
      <c r="J39" s="54" t="s">
        <v>195</v>
      </c>
      <c r="M39"/>
      <c r="O39" s="54" t="s">
        <v>149</v>
      </c>
      <c r="P39" s="54" t="s">
        <v>69</v>
      </c>
      <c r="Q39" s="54" t="s">
        <v>175</v>
      </c>
      <c r="R39" s="54" t="s">
        <v>192</v>
      </c>
      <c r="S39" s="54" t="s">
        <v>193</v>
      </c>
      <c r="T39" s="54" t="s">
        <v>194</v>
      </c>
      <c r="U39" s="54" t="s">
        <v>195</v>
      </c>
    </row>
    <row r="40" spans="1:22" ht="20.100000000000001" customHeight="1" x14ac:dyDescent="0.25">
      <c r="D40" s="55" t="str">
        <f>'Input - Dairy'!$D$66</f>
        <v>Milking shed</v>
      </c>
      <c r="E40" s="55" t="str">
        <f>'Input - Dairy'!$D$81</f>
        <v>Anaerobic lagoon</v>
      </c>
      <c r="F40" s="55">
        <f>'4.3.1.3-4 Direct N20'!F243</f>
        <v>468.93940857160464</v>
      </c>
      <c r="G40" s="55">
        <f>'4.3.1.3-4 Direct N20'!G243</f>
        <v>182.35790267782079</v>
      </c>
      <c r="H40" s="55">
        <f>'4.3.1.3-4 Direct N20'!H243</f>
        <v>72.631224123843424</v>
      </c>
      <c r="I40" s="55">
        <f>'4.3.1.3-4 Direct N20'!I243</f>
        <v>229.23109573986844</v>
      </c>
      <c r="J40" s="55">
        <f>'4.3.1.3-4 Direct N20'!J243</f>
        <v>95.962857079055411</v>
      </c>
      <c r="K40" s="2" t="str">
        <f>$G$13</f>
        <v>kg N</v>
      </c>
      <c r="M40"/>
      <c r="O40" s="55" t="str">
        <f>'Input - Dairy'!$D$66</f>
        <v>Milking shed</v>
      </c>
      <c r="P40" s="55" t="str">
        <f>'Input - Dairy'!$D$81</f>
        <v>Anaerobic lagoon</v>
      </c>
      <c r="Q40" s="55">
        <f>'4.3.1.3-4 Direct N20'!P243</f>
        <v>468.93940857160464</v>
      </c>
      <c r="R40" s="55">
        <f>'4.3.1.3-4 Direct N20'!Q243</f>
        <v>182.35790267782079</v>
      </c>
      <c r="S40" s="55">
        <f>'4.3.1.3-4 Direct N20'!R243</f>
        <v>72.631224123843424</v>
      </c>
      <c r="T40" s="55">
        <f>'4.3.1.3-4 Direct N20'!S243</f>
        <v>229.23109573986844</v>
      </c>
      <c r="U40" s="55">
        <f>'4.3.1.3-4 Direct N20'!T243</f>
        <v>95.962857079055411</v>
      </c>
      <c r="V40" s="2" t="str">
        <f>$G$13</f>
        <v>kg N</v>
      </c>
    </row>
    <row r="41" spans="1:22" ht="20.100000000000001" customHeight="1" x14ac:dyDescent="0.25">
      <c r="D41" s="55" t="str">
        <f>'Input - Dairy'!$D$66</f>
        <v>Milking shed</v>
      </c>
      <c r="E41" s="55" t="str">
        <f>'Input - Dairy'!$D$86</f>
        <v>Sump and dispersal system</v>
      </c>
      <c r="F41" s="55">
        <f>'4.3.1.3-4 Direct N20'!F244</f>
        <v>468.93940857160464</v>
      </c>
      <c r="G41" s="55">
        <f>'4.3.1.3-4 Direct N20'!G244</f>
        <v>182.35790267782079</v>
      </c>
      <c r="H41" s="55">
        <f>'4.3.1.3-4 Direct N20'!H244</f>
        <v>72.631224123843424</v>
      </c>
      <c r="I41" s="55">
        <f>'4.3.1.3-4 Direct N20'!I244</f>
        <v>229.23109573986844</v>
      </c>
      <c r="J41" s="55">
        <f>'4.3.1.3-4 Direct N20'!J244</f>
        <v>95.962857079055411</v>
      </c>
      <c r="K41" s="2"/>
      <c r="M41"/>
      <c r="O41" s="55" t="str">
        <f>'Input - Dairy'!$D$66</f>
        <v>Milking shed</v>
      </c>
      <c r="P41" s="55" t="str">
        <f>'Input - Dairy'!$D$86</f>
        <v>Sump and dispersal system</v>
      </c>
      <c r="Q41" s="55">
        <f>'4.3.1.3-4 Direct N20'!P244</f>
        <v>468.93940857160464</v>
      </c>
      <c r="R41" s="55">
        <f>'4.3.1.3-4 Direct N20'!Q244</f>
        <v>182.35790267782079</v>
      </c>
      <c r="S41" s="55">
        <f>'4.3.1.3-4 Direct N20'!R244</f>
        <v>72.631224123843424</v>
      </c>
      <c r="T41" s="55">
        <f>'4.3.1.3-4 Direct N20'!S244</f>
        <v>229.23109573986844</v>
      </c>
      <c r="U41" s="55">
        <f>'4.3.1.3-4 Direct N20'!T244</f>
        <v>95.962857079055411</v>
      </c>
      <c r="V41" s="2"/>
    </row>
    <row r="42" spans="1:22" ht="20.100000000000001" customHeight="1" x14ac:dyDescent="0.25">
      <c r="D42" s="55" t="str">
        <f>'Input - Dairy'!$D$66</f>
        <v>Milking shed</v>
      </c>
      <c r="E42" s="55" t="str">
        <f>'Input - Dairy'!$D$91</f>
        <v>Drains to paddock</v>
      </c>
      <c r="F42" s="55">
        <f>'4.3.1.3-4 Direct N20'!F245</f>
        <v>468.93940857160464</v>
      </c>
      <c r="G42" s="55">
        <f>'4.3.1.3-4 Direct N20'!G245</f>
        <v>182.35790267782079</v>
      </c>
      <c r="H42" s="55">
        <f>'4.3.1.3-4 Direct N20'!H245</f>
        <v>72.631224123843424</v>
      </c>
      <c r="I42" s="55">
        <f>'4.3.1.3-4 Direct N20'!I245</f>
        <v>229.23109573986844</v>
      </c>
      <c r="J42" s="55">
        <f>'4.3.1.3-4 Direct N20'!J245</f>
        <v>95.962857079055411</v>
      </c>
      <c r="K42" s="2"/>
      <c r="M42"/>
      <c r="O42" s="55" t="str">
        <f>'Input - Dairy'!$D$66</f>
        <v>Milking shed</v>
      </c>
      <c r="P42" s="55" t="str">
        <f>'Input - Dairy'!$D$91</f>
        <v>Drains to paddock</v>
      </c>
      <c r="Q42" s="55">
        <f>'4.3.1.3-4 Direct N20'!P245</f>
        <v>468.93940857160464</v>
      </c>
      <c r="R42" s="55">
        <f>'4.3.1.3-4 Direct N20'!Q245</f>
        <v>182.35790267782079</v>
      </c>
      <c r="S42" s="55">
        <f>'4.3.1.3-4 Direct N20'!R245</f>
        <v>72.631224123843424</v>
      </c>
      <c r="T42" s="55">
        <f>'4.3.1.3-4 Direct N20'!S245</f>
        <v>229.23109573986844</v>
      </c>
      <c r="U42" s="55">
        <f>'4.3.1.3-4 Direct N20'!T245</f>
        <v>95.962857079055411</v>
      </c>
      <c r="V42" s="2"/>
    </row>
    <row r="43" spans="1:22" ht="20.100000000000001" customHeight="1" x14ac:dyDescent="0.25">
      <c r="D43" s="55" t="str">
        <f>'Input - Dairy'!$D$66</f>
        <v>Milking shed</v>
      </c>
      <c r="E43" s="55" t="s">
        <v>412</v>
      </c>
      <c r="F43" s="55">
        <f>'4.3.1.3-4 Direct N20'!F246</f>
        <v>937.87881714320918</v>
      </c>
      <c r="G43" s="55">
        <f>'4.3.1.3-4 Direct N20'!G246</f>
        <v>364.71580535564152</v>
      </c>
      <c r="H43" s="55">
        <f>'4.3.1.3-4 Direct N20'!H246</f>
        <v>145.26244824768682</v>
      </c>
      <c r="I43" s="55">
        <f>'4.3.1.3-4 Direct N20'!I246</f>
        <v>458.46219147973682</v>
      </c>
      <c r="J43" s="55">
        <f>'4.3.1.3-4 Direct N20'!J246</f>
        <v>191.92571415811079</v>
      </c>
      <c r="K43" s="2"/>
      <c r="M43"/>
      <c r="O43" s="55" t="str">
        <f>'Input - Dairy'!$D$66</f>
        <v>Milking shed</v>
      </c>
      <c r="P43" s="55" t="s">
        <v>412</v>
      </c>
      <c r="Q43" s="55">
        <f>'4.3.1.3-4 Direct N20'!P246</f>
        <v>937.87881714320918</v>
      </c>
      <c r="R43" s="55">
        <f>'4.3.1.3-4 Direct N20'!Q246</f>
        <v>364.71580535564152</v>
      </c>
      <c r="S43" s="55">
        <f>'4.3.1.3-4 Direct N20'!R246</f>
        <v>145.26244824768682</v>
      </c>
      <c r="T43" s="55">
        <f>'4.3.1.3-4 Direct N20'!S246</f>
        <v>458.46219147973682</v>
      </c>
      <c r="U43" s="55">
        <f>'4.3.1.3-4 Direct N20'!T246</f>
        <v>191.92571415811079</v>
      </c>
      <c r="V43" s="2"/>
    </row>
    <row r="44" spans="1:22" ht="20.100000000000001" customHeight="1" x14ac:dyDescent="0.25">
      <c r="D44" s="55" t="str">
        <f>'Input - Dairy'!$D$67</f>
        <v>Feed pad</v>
      </c>
      <c r="E44" s="55" t="str">
        <f>'Input - Dairy'!$D$105</f>
        <v>Anaerobic lagoon</v>
      </c>
      <c r="F44" s="55">
        <f>'4.3.1.3-4 Direct N20'!F247</f>
        <v>1897.073061948764</v>
      </c>
      <c r="G44" s="55">
        <f>'4.3.1.3-4 Direct N20'!G247</f>
        <v>737.72060628754764</v>
      </c>
      <c r="H44" s="55">
        <f>'4.3.1.3-4 Direct N20'!H247</f>
        <v>293.82631577373019</v>
      </c>
      <c r="I44" s="55">
        <f>'4.3.1.3-4 Direct N20'!I247</f>
        <v>927.34397822037681</v>
      </c>
      <c r="J44" s="55">
        <f>'4.3.1.3-4 Direct N20'!J247</f>
        <v>388.21337636526954</v>
      </c>
      <c r="K44" s="2"/>
      <c r="M44"/>
      <c r="O44" s="55" t="str">
        <f>'Input - Dairy'!$D$67</f>
        <v>Feed pad</v>
      </c>
      <c r="P44" s="55" t="str">
        <f>'Input - Dairy'!$D$105</f>
        <v>Anaerobic lagoon</v>
      </c>
      <c r="Q44" s="55">
        <f>'4.3.1.3-4 Direct N20'!P247</f>
        <v>1897.073061948764</v>
      </c>
      <c r="R44" s="55">
        <f>'4.3.1.3-4 Direct N20'!Q247</f>
        <v>737.72060628754764</v>
      </c>
      <c r="S44" s="55">
        <f>'4.3.1.3-4 Direct N20'!R247</f>
        <v>293.82631577373019</v>
      </c>
      <c r="T44" s="55">
        <f>'4.3.1.3-4 Direct N20'!S247</f>
        <v>927.34397822037681</v>
      </c>
      <c r="U44" s="55">
        <f>'4.3.1.3-4 Direct N20'!T247</f>
        <v>388.21337636526954</v>
      </c>
      <c r="V44" s="2"/>
    </row>
    <row r="45" spans="1:22" ht="20.100000000000001" customHeight="1" x14ac:dyDescent="0.25">
      <c r="D45" s="55" t="str">
        <f>'Input - Dairy'!$D$67</f>
        <v>Feed pad</v>
      </c>
      <c r="E45" s="55" t="str">
        <f>'Input - Dairy'!$D$110</f>
        <v>Sump and dispersal system</v>
      </c>
      <c r="F45" s="55">
        <f>'4.3.1.3-4 Direct N20'!F248</f>
        <v>1517.6584495590114</v>
      </c>
      <c r="G45" s="55">
        <f>'4.3.1.3-4 Direct N20'!G248</f>
        <v>590.17648503003818</v>
      </c>
      <c r="H45" s="55">
        <f>'4.3.1.3-4 Direct N20'!H248</f>
        <v>235.06105261898415</v>
      </c>
      <c r="I45" s="55">
        <f>'4.3.1.3-4 Direct N20'!I248</f>
        <v>741.87518257630143</v>
      </c>
      <c r="J45" s="55">
        <f>'4.3.1.3-4 Direct N20'!J248</f>
        <v>310.57070109221564</v>
      </c>
      <c r="K45" s="2"/>
      <c r="M45"/>
      <c r="O45" s="55" t="str">
        <f>'Input - Dairy'!$D$67</f>
        <v>Feed pad</v>
      </c>
      <c r="P45" s="55" t="str">
        <f>'Input - Dairy'!$D$110</f>
        <v>Sump and dispersal system</v>
      </c>
      <c r="Q45" s="55">
        <f>'4.3.1.3-4 Direct N20'!P248</f>
        <v>1517.6584495590114</v>
      </c>
      <c r="R45" s="55">
        <f>'4.3.1.3-4 Direct N20'!Q248</f>
        <v>590.17648503003818</v>
      </c>
      <c r="S45" s="55">
        <f>'4.3.1.3-4 Direct N20'!R248</f>
        <v>235.06105261898415</v>
      </c>
      <c r="T45" s="55">
        <f>'4.3.1.3-4 Direct N20'!S248</f>
        <v>741.87518257630143</v>
      </c>
      <c r="U45" s="55">
        <f>'4.3.1.3-4 Direct N20'!T248</f>
        <v>310.57070109221564</v>
      </c>
      <c r="V45" s="2"/>
    </row>
    <row r="46" spans="1:22" ht="20.100000000000001" customHeight="1" x14ac:dyDescent="0.25">
      <c r="D46" s="55" t="str">
        <f>'Input - Dairy'!$D$67</f>
        <v>Feed pad</v>
      </c>
      <c r="E46" s="55" t="str">
        <f>'Input - Dairy'!$D$115</f>
        <v>Drains to paddock</v>
      </c>
      <c r="F46" s="55">
        <f>'4.3.1.3-4 Direct N20'!F249</f>
        <v>1517.6584495590114</v>
      </c>
      <c r="G46" s="55">
        <f>'4.3.1.3-4 Direct N20'!G249</f>
        <v>590.17648503003818</v>
      </c>
      <c r="H46" s="55">
        <f>'4.3.1.3-4 Direct N20'!H249</f>
        <v>235.06105261898415</v>
      </c>
      <c r="I46" s="55">
        <f>'4.3.1.3-4 Direct N20'!I249</f>
        <v>741.87518257630143</v>
      </c>
      <c r="J46" s="55">
        <f>'4.3.1.3-4 Direct N20'!J249</f>
        <v>310.57070109221564</v>
      </c>
      <c r="K46" s="2"/>
      <c r="M46"/>
      <c r="O46" s="55" t="str">
        <f>'Input - Dairy'!$D$67</f>
        <v>Feed pad</v>
      </c>
      <c r="P46" s="55" t="str">
        <f>'Input - Dairy'!$D$115</f>
        <v>Drains to paddock</v>
      </c>
      <c r="Q46" s="55">
        <f>'4.3.1.3-4 Direct N20'!P249</f>
        <v>1517.6584495590114</v>
      </c>
      <c r="R46" s="55">
        <f>'4.3.1.3-4 Direct N20'!Q249</f>
        <v>590.17648503003818</v>
      </c>
      <c r="S46" s="55">
        <f>'4.3.1.3-4 Direct N20'!R249</f>
        <v>235.06105261898415</v>
      </c>
      <c r="T46" s="55">
        <f>'4.3.1.3-4 Direct N20'!S249</f>
        <v>741.87518257630143</v>
      </c>
      <c r="U46" s="55">
        <f>'4.3.1.3-4 Direct N20'!T249</f>
        <v>310.57070109221564</v>
      </c>
      <c r="V46" s="2"/>
    </row>
    <row r="47" spans="1:22" ht="20.100000000000001" customHeight="1" x14ac:dyDescent="0.25">
      <c r="D47" s="55" t="str">
        <f>'Input - Dairy'!$D$67</f>
        <v>Feed pad</v>
      </c>
      <c r="E47" s="55" t="s">
        <v>412</v>
      </c>
      <c r="F47" s="55">
        <f>'4.3.1.3-4 Direct N20'!F250</f>
        <v>2655.9022867282697</v>
      </c>
      <c r="G47" s="55">
        <f>'4.3.1.3-4 Direct N20'!G250</f>
        <v>1032.8088488025667</v>
      </c>
      <c r="H47" s="55">
        <f>'4.3.1.3-4 Direct N20'!H250</f>
        <v>411.35684208322226</v>
      </c>
      <c r="I47" s="55">
        <f>'4.3.1.3-4 Direct N20'!I250</f>
        <v>1298.2815695085274</v>
      </c>
      <c r="J47" s="55">
        <f>'4.3.1.3-4 Direct N20'!J250</f>
        <v>543.49872691137739</v>
      </c>
      <c r="K47" s="2"/>
      <c r="M47"/>
      <c r="O47" s="55" t="str">
        <f>'Input - Dairy'!$D$67</f>
        <v>Feed pad</v>
      </c>
      <c r="P47" s="55" t="s">
        <v>412</v>
      </c>
      <c r="Q47" s="55">
        <f>'4.3.1.3-4 Direct N20'!P250</f>
        <v>2655.9022867282697</v>
      </c>
      <c r="R47" s="55">
        <f>'4.3.1.3-4 Direct N20'!Q250</f>
        <v>1032.8088488025667</v>
      </c>
      <c r="S47" s="55">
        <f>'4.3.1.3-4 Direct N20'!R250</f>
        <v>411.35684208322226</v>
      </c>
      <c r="T47" s="55">
        <f>'4.3.1.3-4 Direct N20'!S250</f>
        <v>1298.2815695085274</v>
      </c>
      <c r="U47" s="55">
        <f>'4.3.1.3-4 Direct N20'!T250</f>
        <v>543.49872691137739</v>
      </c>
      <c r="V47" s="2"/>
    </row>
    <row r="48" spans="1:22" ht="20.100000000000001" customHeight="1" x14ac:dyDescent="0.25"/>
    <row r="49" spans="4:22" ht="20.100000000000001" customHeight="1" x14ac:dyDescent="0.25">
      <c r="D49" s="104" t="s">
        <v>404</v>
      </c>
      <c r="O49" s="104" t="s">
        <v>402</v>
      </c>
    </row>
    <row r="50" spans="4:22" ht="20.100000000000001" customHeight="1" x14ac:dyDescent="0.25">
      <c r="D50" s="103" t="s">
        <v>405</v>
      </c>
      <c r="O50" s="103" t="s">
        <v>403</v>
      </c>
    </row>
    <row r="51" spans="4:22" ht="20.100000000000001" customHeight="1" x14ac:dyDescent="0.25">
      <c r="D51" s="54" t="s">
        <v>149</v>
      </c>
      <c r="E51" s="54" t="s">
        <v>69</v>
      </c>
      <c r="F51" s="54" t="s">
        <v>175</v>
      </c>
      <c r="G51" s="54" t="s">
        <v>192</v>
      </c>
      <c r="H51" s="54" t="s">
        <v>193</v>
      </c>
      <c r="I51" s="54" t="s">
        <v>194</v>
      </c>
      <c r="J51" s="54" t="s">
        <v>195</v>
      </c>
      <c r="O51" s="54" t="s">
        <v>149</v>
      </c>
      <c r="P51" s="54" t="s">
        <v>69</v>
      </c>
      <c r="Q51" s="54" t="s">
        <v>175</v>
      </c>
      <c r="R51" s="54" t="s">
        <v>192</v>
      </c>
      <c r="S51" s="54" t="s">
        <v>193</v>
      </c>
      <c r="T51" s="54" t="s">
        <v>194</v>
      </c>
      <c r="U51" s="54" t="s">
        <v>195</v>
      </c>
    </row>
    <row r="52" spans="4:22" ht="20.100000000000001" customHeight="1" x14ac:dyDescent="0.25">
      <c r="D52" s="55" t="str">
        <f>'Input - Dairy'!$D$66</f>
        <v>Milking shed</v>
      </c>
      <c r="E52" s="55" t="str">
        <f>'Input - Dairy'!$D$81</f>
        <v>Anaerobic lagoon</v>
      </c>
      <c r="F52" s="55">
        <v>0</v>
      </c>
      <c r="G52" s="55">
        <v>0</v>
      </c>
      <c r="H52" s="55">
        <v>0</v>
      </c>
      <c r="I52" s="55">
        <v>0</v>
      </c>
      <c r="J52" s="55">
        <v>0</v>
      </c>
      <c r="K52" s="2" t="str">
        <f>$G$16</f>
        <v>kg N</v>
      </c>
      <c r="O52" s="55" t="str">
        <f>'Input - Dairy'!$D$66</f>
        <v>Milking shed</v>
      </c>
      <c r="P52" s="55" t="str">
        <f>'Input - Dairy'!$D$81</f>
        <v>Anaerobic lagoon</v>
      </c>
      <c r="Q52" s="55">
        <v>0</v>
      </c>
      <c r="R52" s="55">
        <v>0</v>
      </c>
      <c r="S52" s="55">
        <v>0</v>
      </c>
      <c r="T52" s="55">
        <v>0</v>
      </c>
      <c r="U52" s="55">
        <v>0</v>
      </c>
      <c r="V52" s="2" t="str">
        <f>$G$16</f>
        <v>kg N</v>
      </c>
    </row>
    <row r="53" spans="4:22" ht="20.100000000000001" customHeight="1" x14ac:dyDescent="0.25">
      <c r="D53" s="55" t="str">
        <f>'Input - Dairy'!$D$66</f>
        <v>Milking shed</v>
      </c>
      <c r="E53" s="55" t="str">
        <f>'Input - Dairy'!$D$86</f>
        <v>Sump and dispersal system</v>
      </c>
      <c r="F53" s="55">
        <v>0</v>
      </c>
      <c r="G53" s="55">
        <v>0</v>
      </c>
      <c r="H53" s="55">
        <v>0</v>
      </c>
      <c r="I53" s="55">
        <v>0</v>
      </c>
      <c r="J53" s="55">
        <v>0</v>
      </c>
      <c r="K53" s="2"/>
      <c r="O53" s="55" t="str">
        <f>'Input - Dairy'!$D$66</f>
        <v>Milking shed</v>
      </c>
      <c r="P53" s="55" t="str">
        <f>'Input - Dairy'!$D$86</f>
        <v>Sump and dispersal system</v>
      </c>
      <c r="Q53" s="55">
        <v>0</v>
      </c>
      <c r="R53" s="55">
        <v>0</v>
      </c>
      <c r="S53" s="55">
        <v>0</v>
      </c>
      <c r="T53" s="55">
        <v>0</v>
      </c>
      <c r="U53" s="55">
        <v>0</v>
      </c>
      <c r="V53" s="2"/>
    </row>
    <row r="54" spans="4:22" ht="20.100000000000001" customHeight="1" x14ac:dyDescent="0.25">
      <c r="D54" s="55" t="str">
        <f>'Input - Dairy'!$D$66</f>
        <v>Milking shed</v>
      </c>
      <c r="E54" s="55" t="str">
        <f>'Input - Dairy'!$D$91</f>
        <v>Drains to paddock</v>
      </c>
      <c r="F54" s="55">
        <v>0</v>
      </c>
      <c r="G54" s="55">
        <v>0</v>
      </c>
      <c r="H54" s="55">
        <v>0</v>
      </c>
      <c r="I54" s="55">
        <v>0</v>
      </c>
      <c r="J54" s="55">
        <v>0</v>
      </c>
      <c r="K54" s="2"/>
      <c r="O54" s="55" t="str">
        <f>'Input - Dairy'!$D$66</f>
        <v>Milking shed</v>
      </c>
      <c r="P54" s="55" t="str">
        <f>'Input - Dairy'!$D$91</f>
        <v>Drains to paddock</v>
      </c>
      <c r="Q54" s="55">
        <v>0</v>
      </c>
      <c r="R54" s="55">
        <v>0</v>
      </c>
      <c r="S54" s="55">
        <v>0</v>
      </c>
      <c r="T54" s="55">
        <v>0</v>
      </c>
      <c r="U54" s="55">
        <v>0</v>
      </c>
      <c r="V54" s="2"/>
    </row>
    <row r="55" spans="4:22" ht="20.100000000000001" customHeight="1" x14ac:dyDescent="0.25">
      <c r="D55" s="55" t="str">
        <f>'Input - Dairy'!$D$66</f>
        <v>Milking shed</v>
      </c>
      <c r="E55" s="55" t="s">
        <v>412</v>
      </c>
      <c r="F55" s="55">
        <f>'4.3.1.6-7 Leaching and runoff'!F29</f>
        <v>18.757576342864184</v>
      </c>
      <c r="G55" s="55">
        <f>'4.3.1.6-7 Leaching and runoff'!G29</f>
        <v>7.2943161071128308</v>
      </c>
      <c r="H55" s="55">
        <f>'4.3.1.6-7 Leaching and runoff'!H29</f>
        <v>2.9052489649537363</v>
      </c>
      <c r="I55" s="55">
        <f>'4.3.1.6-7 Leaching and runoff'!I29</f>
        <v>9.1692438295947358</v>
      </c>
      <c r="J55" s="55">
        <f>'4.3.1.6-7 Leaching and runoff'!J29</f>
        <v>3.8385142831622159</v>
      </c>
      <c r="K55" s="2"/>
      <c r="O55" s="55" t="str">
        <f>'Input - Dairy'!$D$66</f>
        <v>Milking shed</v>
      </c>
      <c r="P55" s="55" t="s">
        <v>412</v>
      </c>
      <c r="Q55" s="55">
        <f>'4.3.1.6-7 Leaching and runoff'!Q29</f>
        <v>18.757576342864184</v>
      </c>
      <c r="R55" s="55">
        <f>'4.3.1.6-7 Leaching and runoff'!R29</f>
        <v>7.2943161071128308</v>
      </c>
      <c r="S55" s="55">
        <f>'4.3.1.6-7 Leaching and runoff'!S29</f>
        <v>2.9052489649537363</v>
      </c>
      <c r="T55" s="55">
        <f>'4.3.1.6-7 Leaching and runoff'!T29</f>
        <v>9.1692438295947358</v>
      </c>
      <c r="U55" s="55">
        <f>'4.3.1.6-7 Leaching and runoff'!U29</f>
        <v>3.8385142831622159</v>
      </c>
      <c r="V55" s="2"/>
    </row>
    <row r="56" spans="4:22" ht="20.100000000000001" customHeight="1" x14ac:dyDescent="0.25">
      <c r="D56" s="55" t="str">
        <f>'Input - Dairy'!$D$67</f>
        <v>Feed pad</v>
      </c>
      <c r="E56" s="55" t="str">
        <f>'Input - Dairy'!$D$105</f>
        <v>Anaerobic lagoon</v>
      </c>
      <c r="F56" s="55">
        <v>0</v>
      </c>
      <c r="G56" s="55">
        <v>0</v>
      </c>
      <c r="H56" s="55">
        <v>0</v>
      </c>
      <c r="I56" s="55">
        <v>0</v>
      </c>
      <c r="J56" s="55">
        <v>0</v>
      </c>
      <c r="K56" s="2"/>
      <c r="O56" s="55" t="str">
        <f>'Input - Dairy'!$D$67</f>
        <v>Feed pad</v>
      </c>
      <c r="P56" s="55" t="str">
        <f>'Input - Dairy'!$D$105</f>
        <v>Anaerobic lagoon</v>
      </c>
      <c r="Q56" s="55">
        <v>0</v>
      </c>
      <c r="R56" s="55">
        <v>0</v>
      </c>
      <c r="S56" s="55">
        <v>0</v>
      </c>
      <c r="T56" s="55">
        <v>0</v>
      </c>
      <c r="U56" s="55">
        <v>0</v>
      </c>
      <c r="V56" s="2"/>
    </row>
    <row r="57" spans="4:22" ht="20.100000000000001" customHeight="1" x14ac:dyDescent="0.25">
      <c r="D57" s="55" t="str">
        <f>'Input - Dairy'!$D$67</f>
        <v>Feed pad</v>
      </c>
      <c r="E57" s="55" t="str">
        <f>'Input - Dairy'!$D$110</f>
        <v>Sump and dispersal system</v>
      </c>
      <c r="F57" s="55">
        <v>0</v>
      </c>
      <c r="G57" s="55">
        <v>0</v>
      </c>
      <c r="H57" s="55">
        <v>0</v>
      </c>
      <c r="I57" s="55">
        <v>0</v>
      </c>
      <c r="J57" s="55">
        <v>0</v>
      </c>
      <c r="K57" s="2"/>
      <c r="O57" s="55" t="str">
        <f>'Input - Dairy'!$D$67</f>
        <v>Feed pad</v>
      </c>
      <c r="P57" s="55" t="str">
        <f>'Input - Dairy'!$D$110</f>
        <v>Sump and dispersal system</v>
      </c>
      <c r="Q57" s="55">
        <v>0</v>
      </c>
      <c r="R57" s="55">
        <v>0</v>
      </c>
      <c r="S57" s="55">
        <v>0</v>
      </c>
      <c r="T57" s="55">
        <v>0</v>
      </c>
      <c r="U57" s="55">
        <v>0</v>
      </c>
      <c r="V57" s="2"/>
    </row>
    <row r="58" spans="4:22" ht="20.100000000000001" customHeight="1" x14ac:dyDescent="0.25">
      <c r="D58" s="55" t="str">
        <f>'Input - Dairy'!$D$67</f>
        <v>Feed pad</v>
      </c>
      <c r="E58" s="55" t="str">
        <f>'Input - Dairy'!$D$115</f>
        <v>Drains to paddock</v>
      </c>
      <c r="F58" s="55">
        <v>0</v>
      </c>
      <c r="G58" s="55">
        <v>0</v>
      </c>
      <c r="H58" s="55">
        <v>0</v>
      </c>
      <c r="I58" s="55">
        <v>0</v>
      </c>
      <c r="J58" s="55">
        <v>0</v>
      </c>
      <c r="K58" s="2"/>
      <c r="O58" s="55" t="str">
        <f>'Input - Dairy'!$D$67</f>
        <v>Feed pad</v>
      </c>
      <c r="P58" s="55" t="str">
        <f>'Input - Dairy'!$D$115</f>
        <v>Drains to paddock</v>
      </c>
      <c r="Q58" s="55">
        <v>0</v>
      </c>
      <c r="R58" s="55">
        <v>0</v>
      </c>
      <c r="S58" s="55">
        <v>0</v>
      </c>
      <c r="T58" s="55">
        <v>0</v>
      </c>
      <c r="U58" s="55">
        <v>0</v>
      </c>
      <c r="V58" s="2"/>
    </row>
    <row r="59" spans="4:22" ht="20.100000000000001" customHeight="1" x14ac:dyDescent="0.25">
      <c r="D59" s="55" t="str">
        <f>'Input - Dairy'!$D$67</f>
        <v>Feed pad</v>
      </c>
      <c r="E59" s="55" t="s">
        <v>412</v>
      </c>
      <c r="F59" s="55">
        <f>'4.3.1.6-7 Leaching and runoff'!F30</f>
        <v>53.118045734565392</v>
      </c>
      <c r="G59" s="55">
        <f>'4.3.1.6-7 Leaching and runoff'!G30</f>
        <v>20.656176976051334</v>
      </c>
      <c r="H59" s="55">
        <f>'4.3.1.6-7 Leaching and runoff'!H30</f>
        <v>8.2271368416644446</v>
      </c>
      <c r="I59" s="55">
        <f>'4.3.1.6-7 Leaching and runoff'!I30</f>
        <v>25.965631390170547</v>
      </c>
      <c r="J59" s="55">
        <f>'4.3.1.6-7 Leaching and runoff'!J30</f>
        <v>10.869974538227549</v>
      </c>
      <c r="K59" s="2"/>
      <c r="O59" s="55" t="str">
        <f>'Input - Dairy'!$D$67</f>
        <v>Feed pad</v>
      </c>
      <c r="P59" s="55" t="s">
        <v>412</v>
      </c>
      <c r="Q59" s="55">
        <f>'4.3.1.6-7 Leaching and runoff'!Q30</f>
        <v>53.118045734565392</v>
      </c>
      <c r="R59" s="55">
        <f>'4.3.1.6-7 Leaching and runoff'!R30</f>
        <v>20.656176976051334</v>
      </c>
      <c r="S59" s="55">
        <f>'4.3.1.6-7 Leaching and runoff'!S30</f>
        <v>8.2271368416644446</v>
      </c>
      <c r="T59" s="55">
        <f>'4.3.1.6-7 Leaching and runoff'!T30</f>
        <v>25.965631390170547</v>
      </c>
      <c r="U59" s="55">
        <f>'4.3.1.6-7 Leaching and runoff'!U30</f>
        <v>10.869974538227549</v>
      </c>
      <c r="V59" s="2"/>
    </row>
    <row r="60" spans="4:22" ht="20.100000000000001" customHeight="1" x14ac:dyDescent="0.25"/>
    <row r="61" spans="4:22" ht="20.100000000000001" customHeight="1" x14ac:dyDescent="0.25">
      <c r="D61" s="104" t="s">
        <v>346</v>
      </c>
    </row>
    <row r="62" spans="4:22" ht="20.100000000000001" customHeight="1" x14ac:dyDescent="0.25">
      <c r="D62" s="103" t="s">
        <v>347</v>
      </c>
    </row>
    <row r="63" spans="4:22" ht="20.100000000000001" customHeight="1" x14ac:dyDescent="0.25">
      <c r="D63" s="41" t="s">
        <v>149</v>
      </c>
      <c r="E63" s="41" t="s">
        <v>69</v>
      </c>
      <c r="F63" s="41" t="s">
        <v>438</v>
      </c>
    </row>
    <row r="64" spans="4:22" ht="20.100000000000001" customHeight="1" x14ac:dyDescent="0.25">
      <c r="D64" s="55" t="str">
        <f>'Input - Dairy'!$D$66</f>
        <v>Milking shed</v>
      </c>
      <c r="E64" s="55" t="str">
        <f>'Input - Dairy'!$D$81</f>
        <v>Anaerobic lagoon</v>
      </c>
      <c r="F64" s="55">
        <f>'Input - Dairy'!L81+'Input - Dairy'!M81</f>
        <v>0.75</v>
      </c>
      <c r="G64" s="2" t="str">
        <f>$G$17</f>
        <v>fraction</v>
      </c>
    </row>
    <row r="65" spans="4:22" ht="20.100000000000001" customHeight="1" x14ac:dyDescent="0.25">
      <c r="D65" s="55" t="str">
        <f>'Input - Dairy'!$D$66</f>
        <v>Milking shed</v>
      </c>
      <c r="E65" s="55" t="str">
        <f>'Input - Dairy'!$D$86</f>
        <v>Sump and dispersal system</v>
      </c>
      <c r="F65" s="55">
        <f>'Input - Dairy'!L86+'Input - Dairy'!M86</f>
        <v>0.75</v>
      </c>
      <c r="G65" s="2"/>
    </row>
    <row r="66" spans="4:22" ht="20.100000000000001" customHeight="1" x14ac:dyDescent="0.25">
      <c r="D66" s="55" t="str">
        <f>'Input - Dairy'!$D$66</f>
        <v>Milking shed</v>
      </c>
      <c r="E66" s="55" t="str">
        <f>'Input - Dairy'!$D$91</f>
        <v>Drains to paddock</v>
      </c>
      <c r="F66" s="55">
        <f>'Input - Dairy'!L91+'Input - Dairy'!M91</f>
        <v>0.75</v>
      </c>
      <c r="G66" s="2"/>
    </row>
    <row r="67" spans="4:22" ht="20.100000000000001" customHeight="1" x14ac:dyDescent="0.25">
      <c r="D67" s="55" t="str">
        <f>'Input - Dairy'!$D$66</f>
        <v>Milking shed</v>
      </c>
      <c r="E67" s="55" t="str">
        <f>'Input - Dairy'!$D$96</f>
        <v>Solid storage (before solid separation)</v>
      </c>
      <c r="F67" s="55">
        <f>'Input - Dairy'!L96+'Input - Dairy'!M96</f>
        <v>0.75</v>
      </c>
      <c r="G67" s="2"/>
    </row>
    <row r="68" spans="4:22" ht="20.100000000000001" customHeight="1" x14ac:dyDescent="0.25">
      <c r="D68" s="55" t="str">
        <f>'Input - Dairy'!$D$67</f>
        <v>Feed pad</v>
      </c>
      <c r="E68" s="55" t="str">
        <f>'Input - Dairy'!$D$105</f>
        <v>Anaerobic lagoon</v>
      </c>
      <c r="F68" s="55">
        <f>'Input - Dairy'!L105+'Input - Dairy'!M105</f>
        <v>0.75</v>
      </c>
      <c r="G68" s="2"/>
    </row>
    <row r="69" spans="4:22" ht="20.100000000000001" customHeight="1" x14ac:dyDescent="0.25">
      <c r="D69" s="55" t="str">
        <f>'Input - Dairy'!$D$67</f>
        <v>Feed pad</v>
      </c>
      <c r="E69" s="55" t="str">
        <f>'Input - Dairy'!$D$110</f>
        <v>Sump and dispersal system</v>
      </c>
      <c r="F69" s="55">
        <f>'Input - Dairy'!L110+'Input - Dairy'!M110</f>
        <v>0.75</v>
      </c>
      <c r="G69" s="2"/>
    </row>
    <row r="70" spans="4:22" ht="20.100000000000001" customHeight="1" x14ac:dyDescent="0.25">
      <c r="D70" s="55" t="str">
        <f>'Input - Dairy'!$D$67</f>
        <v>Feed pad</v>
      </c>
      <c r="E70" s="55" t="str">
        <f>'Input - Dairy'!$D$115</f>
        <v>Drains to paddock</v>
      </c>
      <c r="F70" s="55">
        <f>'Input - Dairy'!L115+'Input - Dairy'!M115</f>
        <v>0.75</v>
      </c>
      <c r="G70" s="2"/>
    </row>
    <row r="71" spans="4:22" ht="20.100000000000001" customHeight="1" x14ac:dyDescent="0.25">
      <c r="D71" s="55" t="str">
        <f>'Input - Dairy'!$D$67</f>
        <v>Feed pad</v>
      </c>
      <c r="E71" s="55" t="str">
        <f>'Input - Dairy'!$D$120</f>
        <v>Solid storage (before solid separation)</v>
      </c>
      <c r="F71" s="55">
        <f>'Input - Dairy'!L120+'Input - Dairy'!M120</f>
        <v>0.75</v>
      </c>
      <c r="G71" s="2"/>
    </row>
    <row r="72" spans="4:22" ht="20.100000000000001" customHeight="1" x14ac:dyDescent="0.25"/>
    <row r="73" spans="4:22" ht="20.100000000000001" customHeight="1" x14ac:dyDescent="0.25">
      <c r="D73" s="104" t="s">
        <v>348</v>
      </c>
      <c r="O73" s="104" t="s">
        <v>352</v>
      </c>
    </row>
    <row r="74" spans="4:22" ht="20.100000000000001" customHeight="1" x14ac:dyDescent="0.25">
      <c r="D74" s="103" t="s">
        <v>351</v>
      </c>
      <c r="O74" s="103" t="s">
        <v>353</v>
      </c>
    </row>
    <row r="75" spans="4:22" ht="20.100000000000001" customHeight="1" x14ac:dyDescent="0.25">
      <c r="D75" s="54" t="s">
        <v>149</v>
      </c>
      <c r="E75" s="54" t="s">
        <v>69</v>
      </c>
      <c r="F75" s="54" t="s">
        <v>175</v>
      </c>
      <c r="G75" s="54" t="s">
        <v>192</v>
      </c>
      <c r="H75" s="54" t="s">
        <v>193</v>
      </c>
      <c r="I75" s="54" t="s">
        <v>194</v>
      </c>
      <c r="J75" s="54" t="s">
        <v>195</v>
      </c>
      <c r="O75" s="54" t="s">
        <v>149</v>
      </c>
      <c r="P75" s="54" t="s">
        <v>69</v>
      </c>
      <c r="Q75" s="54" t="s">
        <v>175</v>
      </c>
      <c r="R75" s="54" t="s">
        <v>192</v>
      </c>
      <c r="S75" s="54" t="s">
        <v>193</v>
      </c>
      <c r="T75" s="54" t="s">
        <v>194</v>
      </c>
      <c r="U75" s="54" t="s">
        <v>195</v>
      </c>
    </row>
    <row r="76" spans="4:22" ht="20.100000000000001" customHeight="1" x14ac:dyDescent="0.25">
      <c r="D76" s="55" t="str">
        <f>'Input - Dairy'!$D$66</f>
        <v>Milking shed</v>
      </c>
      <c r="E76" s="55" t="str">
        <f>'Input - Dairy'!$D$81</f>
        <v>Anaerobic lagoon</v>
      </c>
      <c r="F76" s="55" cm="1">
        <f t="array" ref="F76">MMS_Dairy_ManureAppliedToSoils_Equations.VEERG_4_3_1_8__1_MassOfNitrogenAppliedToSoilsScope1(F40,_xlfn.XLOOKUP($E76,$D$22:$D$26,$E$22:$E$26),_xlfn.XLOOKUP($E76, $D$31:$D$35,$E$31:$E$35),F52,$F64)</f>
        <v>228.60796167865729</v>
      </c>
      <c r="G76" s="55" cm="1">
        <f t="array" ref="G76">MMS_Dairy_ManureAppliedToSoils_Equations.VEERG_4_3_1_8__1_MassOfNitrogenAppliedToSoilsScope1(G40,_xlfn.XLOOKUP($E76,$D$22:$D$26,$E$22:$E$26),_xlfn.XLOOKUP($E76, $D$31:$D$35,$E$31:$E$35),G52,$F64)</f>
        <v>88.899477555437642</v>
      </c>
      <c r="H76" s="55" cm="1">
        <f t="array" ref="H76">MMS_Dairy_ManureAppliedToSoils_Equations.VEERG_4_3_1_8__1_MassOfNitrogenAppliedToSoilsScope1(H40,_xlfn.XLOOKUP($E76,$D$22:$D$26,$E$22:$E$26),_xlfn.XLOOKUP($E76, $D$31:$D$35,$E$31:$E$35),H52,$F64)</f>
        <v>35.407721760373668</v>
      </c>
      <c r="I76" s="55" cm="1">
        <f t="array" ref="I76">MMS_Dairy_ManureAppliedToSoils_Equations.VEERG_4_3_1_8__1_MassOfNitrogenAppliedToSoilsScope1(I40,_xlfn.XLOOKUP($E76,$D$22:$D$26,$E$22:$E$26),_xlfn.XLOOKUP($E76, $D$31:$D$35,$E$31:$E$35),I52,$F64)</f>
        <v>111.75015917318586</v>
      </c>
      <c r="J76" s="55" cm="1">
        <f t="array" ref="J76">MMS_Dairy_ManureAppliedToSoils_Equations.VEERG_4_3_1_8__1_MassOfNitrogenAppliedToSoilsScope1(J40,_xlfn.XLOOKUP($E76,$D$22:$D$26,$E$22:$E$26),_xlfn.XLOOKUP($E76, $D$31:$D$35,$E$31:$E$35),J52,$F64)</f>
        <v>46.78189282603951</v>
      </c>
      <c r="K76" s="2" t="str">
        <f t="shared" ref="K76" si="0">$E$11</f>
        <v>kg N</v>
      </c>
      <c r="O76" s="55" t="str">
        <f>'Input - Dairy'!$D$66</f>
        <v>Milking shed</v>
      </c>
      <c r="P76" s="55" t="str">
        <f>'Input - Dairy'!$D$81</f>
        <v>Anaerobic lagoon</v>
      </c>
      <c r="Q76" s="55" cm="1">
        <f t="array" ref="Q76">MMS_Dairy_ManureAppliedToSoils_Equations.VEERG_4_3_1_8__1_MassOfNitrogenAppliedToSoilsScope1(Q40,_xlfn.XLOOKUP($P76,$D$22:$D$26,$E$22:$E$26),_xlfn.XLOOKUP($P76, $D$31:$D$35,$E$31:$E$35),Q52,$F64)</f>
        <v>228.60796167865729</v>
      </c>
      <c r="R76" s="55" cm="1">
        <f t="array" ref="R76">MMS_Dairy_ManureAppliedToSoils_Equations.VEERG_4_3_1_8__1_MassOfNitrogenAppliedToSoilsScope1(R40,_xlfn.XLOOKUP($P76,$D$22:$D$26,$E$22:$E$26),_xlfn.XLOOKUP($P76, $D$31:$D$35,$E$31:$E$35),R52,$F64)</f>
        <v>88.899477555437642</v>
      </c>
      <c r="S76" s="55" cm="1">
        <f t="array" ref="S76">MMS_Dairy_ManureAppliedToSoils_Equations.VEERG_4_3_1_8__1_MassOfNitrogenAppliedToSoilsScope1(S40,_xlfn.XLOOKUP($P76,$D$22:$D$26,$E$22:$E$26),_xlfn.XLOOKUP($P76, $D$31:$D$35,$E$31:$E$35),S52,$F64)</f>
        <v>35.407721760373668</v>
      </c>
      <c r="T76" s="55" cm="1">
        <f t="array" ref="T76">MMS_Dairy_ManureAppliedToSoils_Equations.VEERG_4_3_1_8__1_MassOfNitrogenAppliedToSoilsScope1(T40,_xlfn.XLOOKUP($P76,$D$22:$D$26,$E$22:$E$26),_xlfn.XLOOKUP($P76, $D$31:$D$35,$E$31:$E$35),T52,$F64)</f>
        <v>111.75015917318586</v>
      </c>
      <c r="U76" s="55" cm="1">
        <f t="array" ref="U76">MMS_Dairy_ManureAppliedToSoils_Equations.VEERG_4_3_1_8__1_MassOfNitrogenAppliedToSoilsScope1(U40,_xlfn.XLOOKUP($P76,$D$22:$D$26,$E$22:$E$26),_xlfn.XLOOKUP($P76, $D$31:$D$35,$E$31:$E$35),U52,$F64)</f>
        <v>46.78189282603951</v>
      </c>
      <c r="V76" s="2" t="str">
        <f t="shared" ref="V76" si="1">$E$11</f>
        <v>kg N</v>
      </c>
    </row>
    <row r="77" spans="4:22" ht="20.100000000000001" customHeight="1" x14ac:dyDescent="0.25">
      <c r="D77" s="55" t="str">
        <f>'Input - Dairy'!$D$66</f>
        <v>Milking shed</v>
      </c>
      <c r="E77" s="55" t="str">
        <f>'Input - Dairy'!$D$86</f>
        <v>Sump and dispersal system</v>
      </c>
      <c r="F77" s="55" cm="1">
        <f t="array" ref="F77">MMS_Dairy_ManureAppliedToSoils_Equations.VEERG_4_3_1_8__1_MassOfNitrogenAppliedToSoilsScope1(F41,_xlfn.XLOOKUP($E77,$D$22:$D$26,$E$22:$E$26),_xlfn.XLOOKUP($E77, $D$31:$D$35,$E$31:$E$35),F53,$F65)</f>
        <v>327.08523747869424</v>
      </c>
      <c r="G77" s="55" cm="1">
        <f t="array" ref="G77">MMS_Dairy_ManureAppliedToSoils_Equations.VEERG_4_3_1_8__1_MassOfNitrogenAppliedToSoilsScope1(G41,_xlfn.XLOOKUP($E77,$D$22:$D$26,$E$22:$E$26),_xlfn.XLOOKUP($E77, $D$31:$D$35,$E$31:$E$35),G53,$F65)</f>
        <v>127.19463711777999</v>
      </c>
      <c r="H77" s="55" cm="1">
        <f t="array" ref="H77">MMS_Dairy_ManureAppliedToSoils_Equations.VEERG_4_3_1_8__1_MassOfNitrogenAppliedToSoilsScope1(H41,_xlfn.XLOOKUP($E77,$D$22:$D$26,$E$22:$E$26),_xlfn.XLOOKUP($E77, $D$31:$D$35,$E$31:$E$35),H53,$F65)</f>
        <v>50.660278826380789</v>
      </c>
      <c r="I77" s="55" cm="1">
        <f t="array" ref="I77">MMS_Dairy_ManureAppliedToSoils_Equations.VEERG_4_3_1_8__1_MassOfNitrogenAppliedToSoilsScope1(I41,_xlfn.XLOOKUP($E77,$D$22:$D$26,$E$22:$E$26),_xlfn.XLOOKUP($E77, $D$31:$D$35,$E$31:$E$35),I53,$F65)</f>
        <v>159.88868927855822</v>
      </c>
      <c r="J77" s="55" cm="1">
        <f t="array" ref="J77">MMS_Dairy_ManureAppliedToSoils_Equations.VEERG_4_3_1_8__1_MassOfNitrogenAppliedToSoilsScope1(J41,_xlfn.XLOOKUP($E77,$D$22:$D$26,$E$22:$E$26),_xlfn.XLOOKUP($E77, $D$31:$D$35,$E$31:$E$35),J53,$F65)</f>
        <v>66.934092812641154</v>
      </c>
      <c r="K77" s="2"/>
      <c r="O77" s="55" t="str">
        <f>'Input - Dairy'!$D$66</f>
        <v>Milking shed</v>
      </c>
      <c r="P77" s="55" t="str">
        <f>'Input - Dairy'!$D$86</f>
        <v>Sump and dispersal system</v>
      </c>
      <c r="Q77" s="55" cm="1">
        <f t="array" ref="Q77">MMS_Dairy_ManureAppliedToSoils_Equations.VEERG_4_3_1_8__1_MassOfNitrogenAppliedToSoilsScope1(Q41,_xlfn.XLOOKUP($P77,$D$22:$D$26,$E$22:$E$26),_xlfn.XLOOKUP($P77, $D$31:$D$35,$E$31:$E$35),Q53,$F65)</f>
        <v>327.08523747869424</v>
      </c>
      <c r="R77" s="55" cm="1">
        <f t="array" ref="R77">MMS_Dairy_ManureAppliedToSoils_Equations.VEERG_4_3_1_8__1_MassOfNitrogenAppliedToSoilsScope1(R41,_xlfn.XLOOKUP($P77,$D$22:$D$26,$E$22:$E$26),_xlfn.XLOOKUP($P77, $D$31:$D$35,$E$31:$E$35),R53,$F65)</f>
        <v>127.19463711777999</v>
      </c>
      <c r="S77" s="55" cm="1">
        <f t="array" ref="S77">MMS_Dairy_ManureAppliedToSoils_Equations.VEERG_4_3_1_8__1_MassOfNitrogenAppliedToSoilsScope1(S41,_xlfn.XLOOKUP($P77,$D$22:$D$26,$E$22:$E$26),_xlfn.XLOOKUP($P77, $D$31:$D$35,$E$31:$E$35),S53,$F65)</f>
        <v>50.660278826380789</v>
      </c>
      <c r="T77" s="55" cm="1">
        <f t="array" ref="T77">MMS_Dairy_ManureAppliedToSoils_Equations.VEERG_4_3_1_8__1_MassOfNitrogenAppliedToSoilsScope1(T41,_xlfn.XLOOKUP($P77,$D$22:$D$26,$E$22:$E$26),_xlfn.XLOOKUP($P77, $D$31:$D$35,$E$31:$E$35),T53,$F65)</f>
        <v>159.88868927855822</v>
      </c>
      <c r="U77" s="55" cm="1">
        <f t="array" ref="U77">MMS_Dairy_ManureAppliedToSoils_Equations.VEERG_4_3_1_8__1_MassOfNitrogenAppliedToSoilsScope1(U41,_xlfn.XLOOKUP($P77,$D$22:$D$26,$E$22:$E$26),_xlfn.XLOOKUP($P77, $D$31:$D$35,$E$31:$E$35),U53,$F65)</f>
        <v>66.934092812641154</v>
      </c>
      <c r="V77" s="2"/>
    </row>
    <row r="78" spans="4:22" ht="20.100000000000001" customHeight="1" x14ac:dyDescent="0.25">
      <c r="D78" s="55" t="str">
        <f>'Input - Dairy'!$D$66</f>
        <v>Milking shed</v>
      </c>
      <c r="E78" s="55" t="str">
        <f>'Input - Dairy'!$D$91</f>
        <v>Drains to paddock</v>
      </c>
      <c r="F78" s="55" cm="1">
        <f t="array" ref="F78">MMS_Dairy_ManureAppliedToSoils_Equations.VEERG_4_3_1_8__1_MassOfNitrogenAppliedToSoilsScope1(F42,_xlfn.XLOOKUP($E78,$D$22:$D$26,$E$22:$E$26),_xlfn.XLOOKUP($E78, $D$31:$D$35,$E$31:$E$35),F54,$F66)</f>
        <v>281.36364514296281</v>
      </c>
      <c r="G78" s="55" cm="1">
        <f t="array" ref="G78">MMS_Dairy_ManureAppliedToSoils_Equations.VEERG_4_3_1_8__1_MassOfNitrogenAppliedToSoilsScope1(G42,_xlfn.XLOOKUP($E78,$D$22:$D$26,$E$22:$E$26),_xlfn.XLOOKUP($E78, $D$31:$D$35,$E$31:$E$35),G54,$F66)</f>
        <v>109.41474160669247</v>
      </c>
      <c r="H78" s="55" cm="1">
        <f t="array" ref="H78">MMS_Dairy_ManureAppliedToSoils_Equations.VEERG_4_3_1_8__1_MassOfNitrogenAppliedToSoilsScope1(H42,_xlfn.XLOOKUP($E78,$D$22:$D$26,$E$22:$E$26),_xlfn.XLOOKUP($E78, $D$31:$D$35,$E$31:$E$35),H54,$F66)</f>
        <v>43.57873447430606</v>
      </c>
      <c r="I78" s="55" cm="1">
        <f t="array" ref="I78">MMS_Dairy_ManureAppliedToSoils_Equations.VEERG_4_3_1_8__1_MassOfNitrogenAppliedToSoilsScope1(I42,_xlfn.XLOOKUP($E78,$D$22:$D$26,$E$22:$E$26),_xlfn.XLOOKUP($E78, $D$31:$D$35,$E$31:$E$35),I54,$F66)</f>
        <v>137.53865744392107</v>
      </c>
      <c r="J78" s="55" cm="1">
        <f t="array" ref="J78">MMS_Dairy_ManureAppliedToSoils_Equations.VEERG_4_3_1_8__1_MassOfNitrogenAppliedToSoilsScope1(J42,_xlfn.XLOOKUP($E78,$D$22:$D$26,$E$22:$E$26),_xlfn.XLOOKUP($E78, $D$31:$D$35,$E$31:$E$35),J54,$F66)</f>
        <v>57.577714247433249</v>
      </c>
      <c r="K78" s="2"/>
      <c r="O78" s="55" t="str">
        <f>'Input - Dairy'!$D$66</f>
        <v>Milking shed</v>
      </c>
      <c r="P78" s="55" t="str">
        <f>'Input - Dairy'!$D$91</f>
        <v>Drains to paddock</v>
      </c>
      <c r="Q78" s="55" cm="1">
        <f t="array" ref="Q78">MMS_Dairy_ManureAppliedToSoils_Equations.VEERG_4_3_1_8__1_MassOfNitrogenAppliedToSoilsScope1(Q42,_xlfn.XLOOKUP($P78,$D$22:$D$26,$E$22:$E$26),_xlfn.XLOOKUP($P78, $D$31:$D$35,$E$31:$E$35),Q54,$F66)</f>
        <v>281.36364514296281</v>
      </c>
      <c r="R78" s="55" cm="1">
        <f t="array" ref="R78">MMS_Dairy_ManureAppliedToSoils_Equations.VEERG_4_3_1_8__1_MassOfNitrogenAppliedToSoilsScope1(R42,_xlfn.XLOOKUP($P78,$D$22:$D$26,$E$22:$E$26),_xlfn.XLOOKUP($P78, $D$31:$D$35,$E$31:$E$35),R54,$F66)</f>
        <v>109.41474160669247</v>
      </c>
      <c r="S78" s="55" cm="1">
        <f t="array" ref="S78">MMS_Dairy_ManureAppliedToSoils_Equations.VEERG_4_3_1_8__1_MassOfNitrogenAppliedToSoilsScope1(S42,_xlfn.XLOOKUP($P78,$D$22:$D$26,$E$22:$E$26),_xlfn.XLOOKUP($P78, $D$31:$D$35,$E$31:$E$35),S54,$F66)</f>
        <v>43.57873447430606</v>
      </c>
      <c r="T78" s="55" cm="1">
        <f t="array" ref="T78">MMS_Dairy_ManureAppliedToSoils_Equations.VEERG_4_3_1_8__1_MassOfNitrogenAppliedToSoilsScope1(T42,_xlfn.XLOOKUP($P78,$D$22:$D$26,$E$22:$E$26),_xlfn.XLOOKUP($P78, $D$31:$D$35,$E$31:$E$35),T54,$F66)</f>
        <v>137.53865744392107</v>
      </c>
      <c r="U78" s="55" cm="1">
        <f t="array" ref="U78">MMS_Dairy_ManureAppliedToSoils_Equations.VEERG_4_3_1_8__1_MassOfNitrogenAppliedToSoilsScope1(U42,_xlfn.XLOOKUP($P78,$D$22:$D$26,$E$22:$E$26),_xlfn.XLOOKUP($P78, $D$31:$D$35,$E$31:$E$35),U54,$F66)</f>
        <v>57.577714247433249</v>
      </c>
      <c r="V78" s="2"/>
    </row>
    <row r="79" spans="4:22" ht="20.100000000000001" customHeight="1" x14ac:dyDescent="0.25">
      <c r="D79" s="55" t="str">
        <f>'Input - Dairy'!$D$66</f>
        <v>Milking shed</v>
      </c>
      <c r="E79" s="55" t="s">
        <v>412</v>
      </c>
      <c r="F79" s="55" cm="1">
        <f t="array" ref="F79">MMS_Dairy_ManureAppliedToSoils_Equations.VEERG_4_3_1_8__1_MassOfNitrogenAppliedToSoilsScope1(F43,_xlfn.XLOOKUP($E79,$D$22:$D$26,$E$22:$E$26),_xlfn.XLOOKUP($E79, $D$31:$D$35,$E$31:$E$35),F55,$F67)</f>
        <v>474.80115117874976</v>
      </c>
      <c r="G79" s="55" cm="1">
        <f t="array" ref="G79">MMS_Dairy_ManureAppliedToSoils_Equations.VEERG_4_3_1_8__1_MassOfNitrogenAppliedToSoilsScope1(G43,_xlfn.XLOOKUP($E79,$D$22:$D$26,$E$22:$E$26),_xlfn.XLOOKUP($E79, $D$31:$D$35,$E$31:$E$35),G55,$F67)</f>
        <v>184.63737646129354</v>
      </c>
      <c r="H79" s="55" cm="1">
        <f t="array" ref="H79">MMS_Dairy_ManureAppliedToSoils_Equations.VEERG_4_3_1_8__1_MassOfNitrogenAppliedToSoilsScope1(H43,_xlfn.XLOOKUP($E79,$D$22:$D$26,$E$22:$E$26),_xlfn.XLOOKUP($E79, $D$31:$D$35,$E$31:$E$35),H55,$F67)</f>
        <v>73.539114425391446</v>
      </c>
      <c r="I79" s="55" cm="1">
        <f t="array" ref="I79">MMS_Dairy_ManureAppliedToSoils_Equations.VEERG_4_3_1_8__1_MassOfNitrogenAppliedToSoilsScope1(I43,_xlfn.XLOOKUP($E79,$D$22:$D$26,$E$22:$E$26),_xlfn.XLOOKUP($E79, $D$31:$D$35,$E$31:$E$35),I55,$F67)</f>
        <v>232.09648443661678</v>
      </c>
      <c r="J79" s="55" cm="1">
        <f t="array" ref="J79">MMS_Dairy_ManureAppliedToSoils_Equations.VEERG_4_3_1_8__1_MassOfNitrogenAppliedToSoilsScope1(J43,_xlfn.XLOOKUP($E79,$D$22:$D$26,$E$22:$E$26),_xlfn.XLOOKUP($E79, $D$31:$D$35,$E$31:$E$35),J55,$F67)</f>
        <v>97.162392792543585</v>
      </c>
      <c r="K79" s="2"/>
      <c r="O79" s="55" t="str">
        <f>'Input - Dairy'!$D$66</f>
        <v>Milking shed</v>
      </c>
      <c r="P79" s="55" t="s">
        <v>412</v>
      </c>
      <c r="Q79" s="55" cm="1">
        <f t="array" ref="Q79">MMS_Dairy_ManureAppliedToSoils_Equations.VEERG_4_3_1_8__1_MassOfNitrogenAppliedToSoilsScope1(Q43,_xlfn.XLOOKUP($P79,$D$22:$D$26,$E$22:$E$26),_xlfn.XLOOKUP($P79, $D$31:$D$35,$E$31:$E$35),Q55,$F67)</f>
        <v>474.80115117874976</v>
      </c>
      <c r="R79" s="55" cm="1">
        <f t="array" ref="R79">MMS_Dairy_ManureAppliedToSoils_Equations.VEERG_4_3_1_8__1_MassOfNitrogenAppliedToSoilsScope1(R43,_xlfn.XLOOKUP($P79,$D$22:$D$26,$E$22:$E$26),_xlfn.XLOOKUP($P79, $D$31:$D$35,$E$31:$E$35),R55,$F67)</f>
        <v>184.63737646129354</v>
      </c>
      <c r="S79" s="55" cm="1">
        <f t="array" ref="S79">MMS_Dairy_ManureAppliedToSoils_Equations.VEERG_4_3_1_8__1_MassOfNitrogenAppliedToSoilsScope1(S43,_xlfn.XLOOKUP($P79,$D$22:$D$26,$E$22:$E$26),_xlfn.XLOOKUP($P79, $D$31:$D$35,$E$31:$E$35),S55,$F67)</f>
        <v>73.539114425391446</v>
      </c>
      <c r="T79" s="55" cm="1">
        <f t="array" ref="T79">MMS_Dairy_ManureAppliedToSoils_Equations.VEERG_4_3_1_8__1_MassOfNitrogenAppliedToSoilsScope1(T43,_xlfn.XLOOKUP($P79,$D$22:$D$26,$E$22:$E$26),_xlfn.XLOOKUP($P79, $D$31:$D$35,$E$31:$E$35),T55,$F67)</f>
        <v>232.09648443661678</v>
      </c>
      <c r="U79" s="55" cm="1">
        <f t="array" ref="U79">MMS_Dairy_ManureAppliedToSoils_Equations.VEERG_4_3_1_8__1_MassOfNitrogenAppliedToSoilsScope1(U43,_xlfn.XLOOKUP($P79,$D$22:$D$26,$E$22:$E$26),_xlfn.XLOOKUP($P79, $D$31:$D$35,$E$31:$E$35),U55,$F67)</f>
        <v>97.162392792543585</v>
      </c>
      <c r="V79" s="2"/>
    </row>
    <row r="80" spans="4:22" ht="20.100000000000001" customHeight="1" x14ac:dyDescent="0.25">
      <c r="D80" s="55" t="str">
        <f>'Input - Dairy'!$D$67</f>
        <v>Feed pad</v>
      </c>
      <c r="E80" s="55" t="str">
        <f>'Input - Dairy'!$D$105</f>
        <v>Anaerobic lagoon</v>
      </c>
      <c r="F80" s="55" cm="1">
        <f t="array" ref="F80">MMS_Dairy_ManureAppliedToSoils_Equations.VEERG_4_3_1_8__1_MassOfNitrogenAppliedToSoilsScope1(F44,_xlfn.XLOOKUP($E80,$D$22:$D$26,$E$22:$E$26),_xlfn.XLOOKUP($E80, $D$31:$D$35,$E$31:$E$35),F56,$F68)</f>
        <v>924.82311770002252</v>
      </c>
      <c r="G80" s="55" cm="1">
        <f t="array" ref="G80">MMS_Dairy_ManureAppliedToSoils_Equations.VEERG_4_3_1_8__1_MassOfNitrogenAppliedToSoilsScope1(G44,_xlfn.XLOOKUP($E80,$D$22:$D$26,$E$22:$E$26),_xlfn.XLOOKUP($E80, $D$31:$D$35,$E$31:$E$35),G56,$F68)</f>
        <v>359.63879556517946</v>
      </c>
      <c r="H80" s="55" cm="1">
        <f t="array" ref="H80">MMS_Dairy_ManureAppliedToSoils_Equations.VEERG_4_3_1_8__1_MassOfNitrogenAppliedToSoilsScope1(H44,_xlfn.XLOOKUP($E80,$D$22:$D$26,$E$22:$E$26),_xlfn.XLOOKUP($E80, $D$31:$D$35,$E$31:$E$35),H56,$F68)</f>
        <v>143.24032893969348</v>
      </c>
      <c r="I80" s="55" cm="1">
        <f t="array" ref="I80">MMS_Dairy_ManureAppliedToSoils_Equations.VEERG_4_3_1_8__1_MassOfNitrogenAppliedToSoilsScope1(I44,_xlfn.XLOOKUP($E80,$D$22:$D$26,$E$22:$E$26),_xlfn.XLOOKUP($E80, $D$31:$D$35,$E$31:$E$35),I56,$F68)</f>
        <v>452.08018938243373</v>
      </c>
      <c r="J80" s="55" cm="1">
        <f t="array" ref="J80">MMS_Dairy_ManureAppliedToSoils_Equations.VEERG_4_3_1_8__1_MassOfNitrogenAppliedToSoilsScope1(J44,_xlfn.XLOOKUP($E80,$D$22:$D$26,$E$22:$E$26),_xlfn.XLOOKUP($E80, $D$31:$D$35,$E$31:$E$35),J56,$F68)</f>
        <v>189.25402097806892</v>
      </c>
      <c r="K80" s="2"/>
      <c r="O80" s="55" t="str">
        <f>'Input - Dairy'!$D$67</f>
        <v>Feed pad</v>
      </c>
      <c r="P80" s="55" t="str">
        <f>'Input - Dairy'!$D$105</f>
        <v>Anaerobic lagoon</v>
      </c>
      <c r="Q80" s="55" cm="1">
        <f t="array" ref="Q80">MMS_Dairy_ManureAppliedToSoils_Equations.VEERG_4_3_1_8__1_MassOfNitrogenAppliedToSoilsScope1(Q44,_xlfn.XLOOKUP($P80,$D$22:$D$26,$E$22:$E$26),_xlfn.XLOOKUP($P80, $D$31:$D$35,$E$31:$E$35),Q56,$F68)</f>
        <v>924.82311770002252</v>
      </c>
      <c r="R80" s="55" cm="1">
        <f t="array" ref="R80">MMS_Dairy_ManureAppliedToSoils_Equations.VEERG_4_3_1_8__1_MassOfNitrogenAppliedToSoilsScope1(R44,_xlfn.XLOOKUP($P80,$D$22:$D$26,$E$22:$E$26),_xlfn.XLOOKUP($P80, $D$31:$D$35,$E$31:$E$35),R56,$F68)</f>
        <v>359.63879556517946</v>
      </c>
      <c r="S80" s="55" cm="1">
        <f t="array" ref="S80">MMS_Dairy_ManureAppliedToSoils_Equations.VEERG_4_3_1_8__1_MassOfNitrogenAppliedToSoilsScope1(S44,_xlfn.XLOOKUP($P80,$D$22:$D$26,$E$22:$E$26),_xlfn.XLOOKUP($P80, $D$31:$D$35,$E$31:$E$35),S56,$F68)</f>
        <v>143.24032893969348</v>
      </c>
      <c r="T80" s="55" cm="1">
        <f t="array" ref="T80">MMS_Dairy_ManureAppliedToSoils_Equations.VEERG_4_3_1_8__1_MassOfNitrogenAppliedToSoilsScope1(T44,_xlfn.XLOOKUP($P80,$D$22:$D$26,$E$22:$E$26),_xlfn.XLOOKUP($P80, $D$31:$D$35,$E$31:$E$35),T56,$F68)</f>
        <v>452.08018938243373</v>
      </c>
      <c r="U80" s="55" cm="1">
        <f t="array" ref="U80">MMS_Dairy_ManureAppliedToSoils_Equations.VEERG_4_3_1_8__1_MassOfNitrogenAppliedToSoilsScope1(U44,_xlfn.XLOOKUP($P80,$D$22:$D$26,$E$22:$E$26),_xlfn.XLOOKUP($P80, $D$31:$D$35,$E$31:$E$35),U56,$F68)</f>
        <v>189.25402097806892</v>
      </c>
      <c r="V80" s="2"/>
    </row>
    <row r="81" spans="1:23" ht="20.100000000000001" customHeight="1" x14ac:dyDescent="0.25">
      <c r="D81" s="55" t="str">
        <f>'Input - Dairy'!$D$67</f>
        <v>Feed pad</v>
      </c>
      <c r="E81" s="55" t="str">
        <f>'Input - Dairy'!$D$110</f>
        <v>Sump and dispersal system</v>
      </c>
      <c r="F81" s="55" cm="1">
        <f t="array" ref="F81">MMS_Dairy_ManureAppliedToSoils_Equations.VEERG_4_3_1_8__1_MassOfNitrogenAppliedToSoilsScope1(F45,_xlfn.XLOOKUP($E81,$D$22:$D$26,$E$22:$E$26),_xlfn.XLOOKUP($E81, $D$31:$D$35,$E$31:$E$35),F57,$F69)</f>
        <v>1058.5667685674102</v>
      </c>
      <c r="G81" s="55" cm="1">
        <f t="array" ref="G81">MMS_Dairy_ManureAppliedToSoils_Equations.VEERG_4_3_1_8__1_MassOfNitrogenAppliedToSoilsScope1(G45,_xlfn.XLOOKUP($E81,$D$22:$D$26,$E$22:$E$26),_xlfn.XLOOKUP($E81, $D$31:$D$35,$E$31:$E$35),G57,$F69)</f>
        <v>411.64809830845161</v>
      </c>
      <c r="H81" s="55" cm="1">
        <f t="array" ref="H81">MMS_Dairy_ManureAppliedToSoils_Equations.VEERG_4_3_1_8__1_MassOfNitrogenAppliedToSoilsScope1(H45,_xlfn.XLOOKUP($E81,$D$22:$D$26,$E$22:$E$26),_xlfn.XLOOKUP($E81, $D$31:$D$35,$E$31:$E$35),H57,$F69)</f>
        <v>163.95508420174144</v>
      </c>
      <c r="I81" s="55" cm="1">
        <f t="array" ref="I81">MMS_Dairy_ManureAppliedToSoils_Equations.VEERG_4_3_1_8__1_MassOfNitrogenAppliedToSoilsScope1(I45,_xlfn.XLOOKUP($E81,$D$22:$D$26,$E$22:$E$26),_xlfn.XLOOKUP($E81, $D$31:$D$35,$E$31:$E$35),I57,$F69)</f>
        <v>517.45793984697025</v>
      </c>
      <c r="J81" s="55" cm="1">
        <f t="array" ref="J81">MMS_Dairy_ManureAppliedToSoils_Equations.VEERG_4_3_1_8__1_MassOfNitrogenAppliedToSoilsScope1(J45,_xlfn.XLOOKUP($E81,$D$22:$D$26,$E$22:$E$26),_xlfn.XLOOKUP($E81, $D$31:$D$35,$E$31:$E$35),J57,$F69)</f>
        <v>216.62306401182042</v>
      </c>
      <c r="K81" s="2"/>
      <c r="O81" s="55" t="str">
        <f>'Input - Dairy'!$D$67</f>
        <v>Feed pad</v>
      </c>
      <c r="P81" s="55" t="str">
        <f>'Input - Dairy'!$D$110</f>
        <v>Sump and dispersal system</v>
      </c>
      <c r="Q81" s="55" cm="1">
        <f t="array" ref="Q81">MMS_Dairy_ManureAppliedToSoils_Equations.VEERG_4_3_1_8__1_MassOfNitrogenAppliedToSoilsScope1(Q45,_xlfn.XLOOKUP($P81,$D$22:$D$26,$E$22:$E$26),_xlfn.XLOOKUP($P81, $D$31:$D$35,$E$31:$E$35),Q57,$F69)</f>
        <v>1058.5667685674102</v>
      </c>
      <c r="R81" s="55" cm="1">
        <f t="array" ref="R81">MMS_Dairy_ManureAppliedToSoils_Equations.VEERG_4_3_1_8__1_MassOfNitrogenAppliedToSoilsScope1(R45,_xlfn.XLOOKUP($P81,$D$22:$D$26,$E$22:$E$26),_xlfn.XLOOKUP($P81, $D$31:$D$35,$E$31:$E$35),R57,$F69)</f>
        <v>411.64809830845161</v>
      </c>
      <c r="S81" s="55" cm="1">
        <f t="array" ref="S81">MMS_Dairy_ManureAppliedToSoils_Equations.VEERG_4_3_1_8__1_MassOfNitrogenAppliedToSoilsScope1(S45,_xlfn.XLOOKUP($P81,$D$22:$D$26,$E$22:$E$26),_xlfn.XLOOKUP($P81, $D$31:$D$35,$E$31:$E$35),S57,$F69)</f>
        <v>163.95508420174144</v>
      </c>
      <c r="T81" s="55" cm="1">
        <f t="array" ref="T81">MMS_Dairy_ManureAppliedToSoils_Equations.VEERG_4_3_1_8__1_MassOfNitrogenAppliedToSoilsScope1(T45,_xlfn.XLOOKUP($P81,$D$22:$D$26,$E$22:$E$26),_xlfn.XLOOKUP($P81, $D$31:$D$35,$E$31:$E$35),T57,$F69)</f>
        <v>517.45793984697025</v>
      </c>
      <c r="U81" s="55" cm="1">
        <f t="array" ref="U81">MMS_Dairy_ManureAppliedToSoils_Equations.VEERG_4_3_1_8__1_MassOfNitrogenAppliedToSoilsScope1(U45,_xlfn.XLOOKUP($P81,$D$22:$D$26,$E$22:$E$26),_xlfn.XLOOKUP($P81, $D$31:$D$35,$E$31:$E$35),U57,$F69)</f>
        <v>216.62306401182042</v>
      </c>
      <c r="V81" s="2"/>
    </row>
    <row r="82" spans="1:23" ht="20.100000000000001" customHeight="1" x14ac:dyDescent="0.25">
      <c r="D82" s="55" t="str">
        <f>'Input - Dairy'!$D$67</f>
        <v>Feed pad</v>
      </c>
      <c r="E82" s="55" t="str">
        <f>'Input - Dairy'!$D$115</f>
        <v>Drains to paddock</v>
      </c>
      <c r="F82" s="55" cm="1">
        <f t="array" ref="F82">MMS_Dairy_ManureAppliedToSoils_Equations.VEERG_4_3_1_8__1_MassOfNitrogenAppliedToSoilsScope1(F46,_xlfn.XLOOKUP($E82,$D$22:$D$26,$E$22:$E$26),_xlfn.XLOOKUP($E82, $D$31:$D$35,$E$31:$E$35),F58,$F70)</f>
        <v>910.59506973540692</v>
      </c>
      <c r="G82" s="55" cm="1">
        <f t="array" ref="G82">MMS_Dairy_ManureAppliedToSoils_Equations.VEERG_4_3_1_8__1_MassOfNitrogenAppliedToSoilsScope1(G46,_xlfn.XLOOKUP($E82,$D$22:$D$26,$E$22:$E$26),_xlfn.XLOOKUP($E82, $D$31:$D$35,$E$31:$E$35),G58,$F70)</f>
        <v>354.10589101802293</v>
      </c>
      <c r="H82" s="55" cm="1">
        <f t="array" ref="H82">MMS_Dairy_ManureAppliedToSoils_Equations.VEERG_4_3_1_8__1_MassOfNitrogenAppliedToSoilsScope1(H46,_xlfn.XLOOKUP($E82,$D$22:$D$26,$E$22:$E$26),_xlfn.XLOOKUP($E82, $D$31:$D$35,$E$31:$E$35),H58,$F70)</f>
        <v>141.0366315713905</v>
      </c>
      <c r="I82" s="55" cm="1">
        <f t="array" ref="I82">MMS_Dairy_ManureAppliedToSoils_Equations.VEERG_4_3_1_8__1_MassOfNitrogenAppliedToSoilsScope1(I46,_xlfn.XLOOKUP($E82,$D$22:$D$26,$E$22:$E$26),_xlfn.XLOOKUP($E82, $D$31:$D$35,$E$31:$E$35),I58,$F70)</f>
        <v>445.1251095457809</v>
      </c>
      <c r="J82" s="55" cm="1">
        <f t="array" ref="J82">MMS_Dairy_ManureAppliedToSoils_Equations.VEERG_4_3_1_8__1_MassOfNitrogenAppliedToSoilsScope1(J46,_xlfn.XLOOKUP($E82,$D$22:$D$26,$E$22:$E$26),_xlfn.XLOOKUP($E82, $D$31:$D$35,$E$31:$E$35),J58,$F70)</f>
        <v>186.34242065532939</v>
      </c>
      <c r="K82" s="2"/>
      <c r="O82" s="55" t="str">
        <f>'Input - Dairy'!$D$67</f>
        <v>Feed pad</v>
      </c>
      <c r="P82" s="55" t="str">
        <f>'Input - Dairy'!$D$115</f>
        <v>Drains to paddock</v>
      </c>
      <c r="Q82" s="55" cm="1">
        <f t="array" ref="Q82">MMS_Dairy_ManureAppliedToSoils_Equations.VEERG_4_3_1_8__1_MassOfNitrogenAppliedToSoilsScope1(Q46,_xlfn.XLOOKUP($P82,$D$22:$D$26,$E$22:$E$26),_xlfn.XLOOKUP($P82, $D$31:$D$35,$E$31:$E$35),Q58,$F70)</f>
        <v>910.59506973540692</v>
      </c>
      <c r="R82" s="55" cm="1">
        <f t="array" ref="R82">MMS_Dairy_ManureAppliedToSoils_Equations.VEERG_4_3_1_8__1_MassOfNitrogenAppliedToSoilsScope1(R46,_xlfn.XLOOKUP($P82,$D$22:$D$26,$E$22:$E$26),_xlfn.XLOOKUP($P82, $D$31:$D$35,$E$31:$E$35),R58,$F70)</f>
        <v>354.10589101802293</v>
      </c>
      <c r="S82" s="55" cm="1">
        <f t="array" ref="S82">MMS_Dairy_ManureAppliedToSoils_Equations.VEERG_4_3_1_8__1_MassOfNitrogenAppliedToSoilsScope1(S46,_xlfn.XLOOKUP($P82,$D$22:$D$26,$E$22:$E$26),_xlfn.XLOOKUP($P82, $D$31:$D$35,$E$31:$E$35),S58,$F70)</f>
        <v>141.0366315713905</v>
      </c>
      <c r="T82" s="55" cm="1">
        <f t="array" ref="T82">MMS_Dairy_ManureAppliedToSoils_Equations.VEERG_4_3_1_8__1_MassOfNitrogenAppliedToSoilsScope1(T46,_xlfn.XLOOKUP($P82,$D$22:$D$26,$E$22:$E$26),_xlfn.XLOOKUP($P82, $D$31:$D$35,$E$31:$E$35),T58,$F70)</f>
        <v>445.1251095457809</v>
      </c>
      <c r="U82" s="55" cm="1">
        <f t="array" ref="U82">MMS_Dairy_ManureAppliedToSoils_Equations.VEERG_4_3_1_8__1_MassOfNitrogenAppliedToSoilsScope1(U46,_xlfn.XLOOKUP($P82,$D$22:$D$26,$E$22:$E$26),_xlfn.XLOOKUP($P82, $D$31:$D$35,$E$31:$E$35),U58,$F70)</f>
        <v>186.34242065532939</v>
      </c>
      <c r="V82" s="2"/>
    </row>
    <row r="83" spans="1:23" ht="20.100000000000001" customHeight="1" x14ac:dyDescent="0.25">
      <c r="D83" s="55" t="str">
        <f>'Input - Dairy'!$D$67</f>
        <v>Feed pad</v>
      </c>
      <c r="E83" s="55" t="s">
        <v>412</v>
      </c>
      <c r="F83" s="55" cm="1">
        <f t="array" ref="F83">MMS_Dairy_ManureAppliedToSoils_Equations.VEERG_4_3_1_8__1_MassOfNitrogenAppliedToSoilsScope1(F47,_xlfn.XLOOKUP($E83,$D$22:$D$26,$E$22:$E$26),_xlfn.XLOOKUP($E83, $D$31:$D$35,$E$31:$E$35),F59,$F71)</f>
        <v>1344.5505326561865</v>
      </c>
      <c r="G83" s="55" cm="1">
        <f t="array" ref="G83">MMS_Dairy_ManureAppliedToSoils_Equations.VEERG_4_3_1_8__1_MassOfNitrogenAppliedToSoilsScope1(G47,_xlfn.XLOOKUP($E83,$D$22:$D$26,$E$22:$E$26),_xlfn.XLOOKUP($E83, $D$31:$D$35,$E$31:$E$35),G59,$F71)</f>
        <v>522.85947970629945</v>
      </c>
      <c r="H83" s="55" cm="1">
        <f t="array" ref="H83">MMS_Dairy_ManureAppliedToSoils_Equations.VEERG_4_3_1_8__1_MassOfNitrogenAppliedToSoilsScope1(H47,_xlfn.XLOOKUP($E83,$D$22:$D$26,$E$22:$E$26),_xlfn.XLOOKUP($E83, $D$31:$D$35,$E$31:$E$35),H59,$F71)</f>
        <v>208.24940130463128</v>
      </c>
      <c r="I83" s="55" cm="1">
        <f t="array" ref="I83">MMS_Dairy_ManureAppliedToSoils_Equations.VEERG_4_3_1_8__1_MassOfNitrogenAppliedToSoilsScope1(I47,_xlfn.XLOOKUP($E83,$D$22:$D$26,$E$22:$E$26),_xlfn.XLOOKUP($E83, $D$31:$D$35,$E$31:$E$35),I59,$F71)</f>
        <v>657.25504456369208</v>
      </c>
      <c r="J83" s="55" cm="1">
        <f t="array" ref="J83">MMS_Dairy_ManureAppliedToSoils_Equations.VEERG_4_3_1_8__1_MassOfNitrogenAppliedToSoilsScope1(J47,_xlfn.XLOOKUP($E83,$D$22:$D$26,$E$22:$E$26),_xlfn.XLOOKUP($E83, $D$31:$D$35,$E$31:$E$35),J59,$F71)</f>
        <v>275.14623049888485</v>
      </c>
      <c r="K83" s="2"/>
      <c r="O83" s="55" t="str">
        <f>'Input - Dairy'!$D$67</f>
        <v>Feed pad</v>
      </c>
      <c r="P83" s="55" t="s">
        <v>412</v>
      </c>
      <c r="Q83" s="55" cm="1">
        <f t="array" ref="Q83">MMS_Dairy_ManureAppliedToSoils_Equations.VEERG_4_3_1_8__1_MassOfNitrogenAppliedToSoilsScope1(Q47,_xlfn.XLOOKUP($P83,$D$22:$D$26,$E$22:$E$26),_xlfn.XLOOKUP($P83, $D$31:$D$35,$E$31:$E$35),Q59,$F71)</f>
        <v>1344.5505326561865</v>
      </c>
      <c r="R83" s="55" cm="1">
        <f t="array" ref="R83">MMS_Dairy_ManureAppliedToSoils_Equations.VEERG_4_3_1_8__1_MassOfNitrogenAppliedToSoilsScope1(R47,_xlfn.XLOOKUP($P83,$D$22:$D$26,$E$22:$E$26),_xlfn.XLOOKUP($P83, $D$31:$D$35,$E$31:$E$35),R59,$F71)</f>
        <v>522.85947970629945</v>
      </c>
      <c r="S83" s="55" cm="1">
        <f t="array" ref="S83">MMS_Dairy_ManureAppliedToSoils_Equations.VEERG_4_3_1_8__1_MassOfNitrogenAppliedToSoilsScope1(S47,_xlfn.XLOOKUP($P83,$D$22:$D$26,$E$22:$E$26),_xlfn.XLOOKUP($P83, $D$31:$D$35,$E$31:$E$35),S59,$F71)</f>
        <v>208.24940130463128</v>
      </c>
      <c r="T83" s="55" cm="1">
        <f t="array" ref="T83">MMS_Dairy_ManureAppliedToSoils_Equations.VEERG_4_3_1_8__1_MassOfNitrogenAppliedToSoilsScope1(T47,_xlfn.XLOOKUP($P83,$D$22:$D$26,$E$22:$E$26),_xlfn.XLOOKUP($P83, $D$31:$D$35,$E$31:$E$35),T59,$F71)</f>
        <v>657.25504456369208</v>
      </c>
      <c r="U83" s="55" cm="1">
        <f t="array" ref="U83">MMS_Dairy_ManureAppliedToSoils_Equations.VEERG_4_3_1_8__1_MassOfNitrogenAppliedToSoilsScope1(U47,_xlfn.XLOOKUP($P83,$D$22:$D$26,$E$22:$E$26),_xlfn.XLOOKUP($P83, $D$31:$D$35,$E$31:$E$35),U59,$F71)</f>
        <v>275.14623049888485</v>
      </c>
      <c r="V83" s="2"/>
    </row>
    <row r="84" spans="1:23" ht="20.100000000000001" customHeight="1" x14ac:dyDescent="0.25"/>
    <row r="85" spans="1:23" ht="20.100000000000001" customHeight="1" x14ac:dyDescent="0.25">
      <c r="D85" s="108" t="s">
        <v>134</v>
      </c>
      <c r="E85" s="109">
        <f>SUM(F76:J83)</f>
        <v>12417.473379475077</v>
      </c>
      <c r="F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tr" cm="1">
        <f t="array" ref="D89">MMS_Dairy_ManureAppliedToSoils_Equations.VEERG_4_3_1_8__2_MassOfNitrogenAppliedToSoilsScope3_Title()</f>
        <v>Mass of nitrogen from manure applied to soils for scope 3 emissions</v>
      </c>
    </row>
    <row r="90" spans="1:23" ht="20.100000000000001" customHeight="1" x14ac:dyDescent="0.25">
      <c r="D90" s="5" t="str" cm="1">
        <f t="array" ref="D90">MMS_Dairy_ManureAppliedToSoils_Equations.VEERG_4_3_1_8__2_MassOfNitrogenAppliedToSoilsScope3_Source()</f>
        <v>VEERG 2026: 4.3.1.8, Equation (2)</v>
      </c>
    </row>
    <row r="91" spans="1:23" ht="20.100000000000001" customHeight="1" x14ac:dyDescent="0.25">
      <c r="D91" s="13" t="s">
        <v>28</v>
      </c>
      <c r="E91" s="13" t="str" cm="1">
        <f t="array" aca="1" ref="E91" ca="1">Common_InputFunctions.Utility_DisplayFunctionName($F$106)</f>
        <v>=MMS_Dairy_ManureAppliedToSoils_Equations.VEERG_4_3_1_8__2_MassOfNitrogenAppliedToSoilsScope3</v>
      </c>
    </row>
    <row r="92" spans="1:23" ht="20.100000000000001" customHeight="1" x14ac:dyDescent="0.25"/>
    <row r="93" spans="1:23" ht="20.100000000000001" customHeight="1" x14ac:dyDescent="0.25"/>
    <row r="94" spans="1:23" ht="20.100000000000001" customHeight="1" x14ac:dyDescent="0.25">
      <c r="D94" s="56" t="s">
        <v>31</v>
      </c>
      <c r="E94" s="1" t="str" cm="1">
        <f t="array" ref="E94">MMS_Dairy_ManureAppliedToSoils_Equations.VEERG_4_3_1_8__2_MassOfNitrogenAppliedToSoilsScope3_Variable()</f>
        <v>MNSoil_scope3</v>
      </c>
    </row>
    <row r="95" spans="1:23" ht="20.100000000000001" customHeight="1" x14ac:dyDescent="0.25">
      <c r="D95" s="56" t="s">
        <v>21</v>
      </c>
      <c r="E95" s="57" t="str" cm="1">
        <f t="array" ref="E95">MMS_Dairy_ManureAppliedToSoils_Equations.VEERG_4_3_1_8__2_MassOfNitrogenAppliedToSoilsScope3_Unit()</f>
        <v>kg N</v>
      </c>
    </row>
    <row r="96" spans="1:23" ht="20.100000000000001" customHeight="1" x14ac:dyDescent="0.25"/>
    <row r="97" spans="4:22" ht="20.100000000000001" customHeight="1" x14ac:dyDescent="0.25">
      <c r="D97" s="137" t="str" cm="1">
        <f t="array" ref="D97:E101">_xlfn.CHOOSECOLS(MMS_Dairy_ManureAppliedToSoils_Equations.VEERG_4_3_1_8__2_MassOfNitrogenAppliedToSoilsScope3_Arguments(),1,2)</f>
        <v>MN_jm</v>
      </c>
      <c r="E97" s="136" t="str">
        <v>total nitrogen in each MMS for dairy cattle classes</v>
      </c>
      <c r="F97" s="138"/>
      <c r="G97" s="137" t="str" cm="1">
        <f t="array" ref="G97:H101">_xlfn.CHOOSECOLS(MMS_Dairy_ManureAppliedToSoils_Equations.VEERG_4_3_1_8__2_MassOfNitrogenAppliedToSoilsScope3_Arguments(),3,4)</f>
        <v>kg N</v>
      </c>
      <c r="H97" s="133" t="str">
        <v>Calculated from 4.3.1.3 (2)</v>
      </c>
      <c r="I97" s="134" t="str" cm="1">
        <f t="array" aca="1" ref="I97" ca="1">HYPERLINK(Common_InputFunctions.Utility_SourceHyperlink($D$37),$D$37)</f>
        <v>M1_Table_MN_j_m</v>
      </c>
    </row>
    <row r="98" spans="4:22" ht="20.100000000000001" customHeight="1" x14ac:dyDescent="0.25">
      <c r="D98" s="137" t="str">
        <v>EF_m</v>
      </c>
      <c r="E98" s="136" t="str">
        <v>emission factor for nitrous oxide emissions per MMS</v>
      </c>
      <c r="F98" s="138"/>
      <c r="G98" s="137" t="str">
        <v>kg N2O-N/kg N</v>
      </c>
      <c r="H98" s="133" t="str">
        <v>Constant</v>
      </c>
      <c r="I98" s="134" t="str" cm="1">
        <f t="array" aca="1" ref="I98" ca="1">HYPERLINK(Common_InputFunctions.Utility_SourceHyperlink($D$19),$D$19)</f>
        <v>Table_EF_m</v>
      </c>
    </row>
    <row r="99" spans="4:22" ht="20.100000000000001" customHeight="1" x14ac:dyDescent="0.25">
      <c r="D99" s="137" t="str">
        <v>FracGASM_m</v>
      </c>
      <c r="E99" s="136" t="str">
        <v>fraction of N volatilised from MMS</v>
      </c>
      <c r="F99" s="138"/>
      <c r="G99" s="137" t="str">
        <v>fraction</v>
      </c>
      <c r="H99" s="133" t="str">
        <v>Constant</v>
      </c>
      <c r="I99" s="134" t="str" cm="1">
        <f t="array" aca="1" ref="I99" ca="1">HYPERLINK(Common_InputFunctions.Utility_SourceHyperlink($D$28),$D$28)</f>
        <v>Table_FracGASM_m</v>
      </c>
    </row>
    <row r="100" spans="4:22" ht="20.100000000000001" customHeight="1" x14ac:dyDescent="0.25">
      <c r="D100" s="137" t="str">
        <v>MNLeach_jm</v>
      </c>
      <c r="E100" s="136" t="str">
        <v>mass of N lost through leaching and runoff from each MMS</v>
      </c>
      <c r="F100" s="138"/>
      <c r="G100" s="137" t="str">
        <v>kg N</v>
      </c>
      <c r="H100" s="133" t="str">
        <v>Calculated from 4.3.1.6 (2)</v>
      </c>
      <c r="I100" s="134" t="str" cm="1">
        <f t="array" aca="1" ref="I100" ca="1">HYPERLINK(Common_InputFunctions.Utility_SourceHyperlink($D$49),$D$49)</f>
        <v>M1_Table_MN_leach_j_m</v>
      </c>
    </row>
    <row r="101" spans="4:22" ht="20.100000000000001" customHeight="1" x14ac:dyDescent="0.25">
      <c r="D101" s="137" t="str">
        <v>PF</v>
      </c>
      <c r="E101" s="136" t="str">
        <v>fraction of manure applied to soil within farm boundary</v>
      </c>
      <c r="F101" s="138"/>
      <c r="G101" s="137" t="str">
        <v>fraction</v>
      </c>
      <c r="H101" s="135" t="str">
        <v>Input</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349</v>
      </c>
      <c r="O103" s="104" t="s">
        <v>355</v>
      </c>
    </row>
    <row r="104" spans="4:22" ht="20.100000000000001" customHeight="1" x14ac:dyDescent="0.25">
      <c r="D104" s="103" t="s">
        <v>350</v>
      </c>
      <c r="O104" s="103" t="s">
        <v>356</v>
      </c>
    </row>
    <row r="105" spans="4:22" ht="20.100000000000001" customHeight="1" x14ac:dyDescent="0.25">
      <c r="D105" s="54" t="s">
        <v>149</v>
      </c>
      <c r="E105" s="54" t="s">
        <v>69</v>
      </c>
      <c r="F105" s="54" t="s">
        <v>175</v>
      </c>
      <c r="G105" s="54" t="s">
        <v>192</v>
      </c>
      <c r="H105" s="54" t="s">
        <v>193</v>
      </c>
      <c r="I105" s="54" t="s">
        <v>194</v>
      </c>
      <c r="J105" s="54" t="s">
        <v>195</v>
      </c>
      <c r="O105" s="54" t="s">
        <v>149</v>
      </c>
      <c r="P105" s="54" t="s">
        <v>69</v>
      </c>
      <c r="Q105" s="54" t="s">
        <v>175</v>
      </c>
      <c r="R105" s="54" t="s">
        <v>192</v>
      </c>
      <c r="S105" s="54" t="s">
        <v>193</v>
      </c>
      <c r="T105" s="54" t="s">
        <v>194</v>
      </c>
      <c r="U105" s="54" t="s">
        <v>195</v>
      </c>
    </row>
    <row r="106" spans="4:22" ht="20.100000000000001" customHeight="1" x14ac:dyDescent="0.25">
      <c r="D106" s="55" t="str">
        <f>'Input - Dairy'!$D$66</f>
        <v>Milking shed</v>
      </c>
      <c r="E106" s="55" t="str">
        <f>'Input - Dairy'!$D$81</f>
        <v>Anaerobic lagoon</v>
      </c>
      <c r="F106" s="55" cm="1">
        <f t="array" ref="F106">MMS_Dairy_ManureAppliedToSoils_Equations.VEERG_4_3_1_8__2_MassOfNitrogenAppliedToSoilsScope3(F40, _xlfn.XLOOKUP($E106, $D$22:$D$26,$E$22:$E$26), _xlfn.XLOOKUP($E106,$D$31:$D$35,$E$31:$E$35),F52, $F64)</f>
        <v>76.202653892885763</v>
      </c>
      <c r="G106" s="55" cm="1">
        <f t="array" ref="G106">MMS_Dairy_ManureAppliedToSoils_Equations.VEERG_4_3_1_8__2_MassOfNitrogenAppliedToSoilsScope3(G40, _xlfn.XLOOKUP($E106, $D$22:$D$26,$E$22:$E$26), _xlfn.XLOOKUP($E106,$D$31:$D$35,$E$31:$E$35),G52, $F64)</f>
        <v>29.633159185145878</v>
      </c>
      <c r="H106" s="55" cm="1">
        <f t="array" ref="H106">MMS_Dairy_ManureAppliedToSoils_Equations.VEERG_4_3_1_8__2_MassOfNitrogenAppliedToSoilsScope3(H40, _xlfn.XLOOKUP($E106, $D$22:$D$26,$E$22:$E$26), _xlfn.XLOOKUP($E106,$D$31:$D$35,$E$31:$E$35),H52, $F64)</f>
        <v>11.802573920124557</v>
      </c>
      <c r="I106" s="55" cm="1">
        <f t="array" ref="I106">MMS_Dairy_ManureAppliedToSoils_Equations.VEERG_4_3_1_8__2_MassOfNitrogenAppliedToSoilsScope3(I40, _xlfn.XLOOKUP($E106, $D$22:$D$26,$E$22:$E$26), _xlfn.XLOOKUP($E106,$D$31:$D$35,$E$31:$E$35),I52, $F64)</f>
        <v>37.250053057728621</v>
      </c>
      <c r="J106" s="55" cm="1">
        <f t="array" ref="J106">MMS_Dairy_ManureAppliedToSoils_Equations.VEERG_4_3_1_8__2_MassOfNitrogenAppliedToSoilsScope3(J40, _xlfn.XLOOKUP($E106, $D$22:$D$26,$E$22:$E$26), _xlfn.XLOOKUP($E106,$D$31:$D$35,$E$31:$E$35),J52, $F64)</f>
        <v>15.593964275346504</v>
      </c>
      <c r="K106" s="2" t="str">
        <f t="shared" ref="K106" si="2">$E$95</f>
        <v>kg N</v>
      </c>
      <c r="O106" s="55" t="str">
        <f>'Input - Dairy'!$D$66</f>
        <v>Milking shed</v>
      </c>
      <c r="P106" s="55" t="str">
        <f>'Input - Dairy'!$D$81</f>
        <v>Anaerobic lagoon</v>
      </c>
      <c r="Q106" s="55" cm="1">
        <f t="array" ref="Q106">MMS_Dairy_ManureAppliedToSoils_Equations.VEERG_4_3_1_8__2_MassOfNitrogenAppliedToSoilsScope3(Q40, _xlfn.XLOOKUP($P106, $D$22:$D$26,$E$22:$E$26), _xlfn.XLOOKUP($P106,$D$31:$D$35,$E$31:$E$35),Q52, $F64)</f>
        <v>76.202653892885763</v>
      </c>
      <c r="R106" s="55" cm="1">
        <f t="array" ref="R106">MMS_Dairy_ManureAppliedToSoils_Equations.VEERG_4_3_1_8__2_MassOfNitrogenAppliedToSoilsScope3(R40, _xlfn.XLOOKUP($P106, $D$22:$D$26,$E$22:$E$26), _xlfn.XLOOKUP($P106,$D$31:$D$35,$E$31:$E$35),R52, $F64)</f>
        <v>29.633159185145878</v>
      </c>
      <c r="S106" s="55" cm="1">
        <f t="array" ref="S106">MMS_Dairy_ManureAppliedToSoils_Equations.VEERG_4_3_1_8__2_MassOfNitrogenAppliedToSoilsScope3(S40, _xlfn.XLOOKUP($P106, $D$22:$D$26,$E$22:$E$26), _xlfn.XLOOKUP($P106,$D$31:$D$35,$E$31:$E$35),S52, $F64)</f>
        <v>11.802573920124557</v>
      </c>
      <c r="T106" s="55" cm="1">
        <f t="array" ref="T106">MMS_Dairy_ManureAppliedToSoils_Equations.VEERG_4_3_1_8__2_MassOfNitrogenAppliedToSoilsScope3(T40, _xlfn.XLOOKUP($P106, $D$22:$D$26,$E$22:$E$26), _xlfn.XLOOKUP($P106,$D$31:$D$35,$E$31:$E$35),T52, $F64)</f>
        <v>37.250053057728621</v>
      </c>
      <c r="U106" s="55" cm="1">
        <f t="array" ref="U106">MMS_Dairy_ManureAppliedToSoils_Equations.VEERG_4_3_1_8__2_MassOfNitrogenAppliedToSoilsScope3(U40, _xlfn.XLOOKUP($P106, $D$22:$D$26,$E$22:$E$26), _xlfn.XLOOKUP($P106,$D$31:$D$35,$E$31:$E$35),U52, $F64)</f>
        <v>15.593964275346504</v>
      </c>
      <c r="V106" s="2" t="str">
        <f t="shared" ref="V106" si="3">$E$95</f>
        <v>kg N</v>
      </c>
    </row>
    <row r="107" spans="4:22" ht="20.100000000000001" customHeight="1" x14ac:dyDescent="0.25">
      <c r="D107" s="55" t="str">
        <f>'Input - Dairy'!$D$66</f>
        <v>Milking shed</v>
      </c>
      <c r="E107" s="55" t="str">
        <f>'Input - Dairy'!$D$86</f>
        <v>Sump and dispersal system</v>
      </c>
      <c r="F107" s="55" cm="1">
        <f t="array" ref="F107">MMS_Dairy_ManureAppliedToSoils_Equations.VEERG_4_3_1_8__2_MassOfNitrogenAppliedToSoilsScope3(F41, _xlfn.XLOOKUP($E107, $D$22:$D$26,$E$22:$E$26), _xlfn.XLOOKUP($E107,$D$31:$D$35,$E$31:$E$35),F53, $F65)</f>
        <v>109.02841249289807</v>
      </c>
      <c r="G107" s="55" cm="1">
        <f t="array" ref="G107">MMS_Dairy_ManureAppliedToSoils_Equations.VEERG_4_3_1_8__2_MassOfNitrogenAppliedToSoilsScope3(G41, _xlfn.XLOOKUP($E107, $D$22:$D$26,$E$22:$E$26), _xlfn.XLOOKUP($E107,$D$31:$D$35,$E$31:$E$35),G53, $F65)</f>
        <v>42.398212372593328</v>
      </c>
      <c r="H107" s="55" cm="1">
        <f t="array" ref="H107">MMS_Dairy_ManureAppliedToSoils_Equations.VEERG_4_3_1_8__2_MassOfNitrogenAppliedToSoilsScope3(H41, _xlfn.XLOOKUP($E107, $D$22:$D$26,$E$22:$E$26), _xlfn.XLOOKUP($E107,$D$31:$D$35,$E$31:$E$35),H53, $F65)</f>
        <v>16.886759608793596</v>
      </c>
      <c r="I107" s="55" cm="1">
        <f t="array" ref="I107">MMS_Dairy_ManureAppliedToSoils_Equations.VEERG_4_3_1_8__2_MassOfNitrogenAppliedToSoilsScope3(I41, _xlfn.XLOOKUP($E107, $D$22:$D$26,$E$22:$E$26), _xlfn.XLOOKUP($E107,$D$31:$D$35,$E$31:$E$35),I53, $F65)</f>
        <v>53.296229759519406</v>
      </c>
      <c r="J107" s="55" cm="1">
        <f t="array" ref="J107">MMS_Dairy_ManureAppliedToSoils_Equations.VEERG_4_3_1_8__2_MassOfNitrogenAppliedToSoilsScope3(J41, _xlfn.XLOOKUP($E107, $D$22:$D$26,$E$22:$E$26), _xlfn.XLOOKUP($E107,$D$31:$D$35,$E$31:$E$35),J53, $F65)</f>
        <v>22.311364270880382</v>
      </c>
      <c r="K107" s="2"/>
      <c r="O107" s="55" t="str">
        <f>'Input - Dairy'!$D$66</f>
        <v>Milking shed</v>
      </c>
      <c r="P107" s="55" t="str">
        <f>'Input - Dairy'!$D$86</f>
        <v>Sump and dispersal system</v>
      </c>
      <c r="Q107" s="55" cm="1">
        <f t="array" ref="Q107">MMS_Dairy_ManureAppliedToSoils_Equations.VEERG_4_3_1_8__2_MassOfNitrogenAppliedToSoilsScope3(Q41, _xlfn.XLOOKUP($P107, $D$22:$D$26,$E$22:$E$26), _xlfn.XLOOKUP($P107,$D$31:$D$35,$E$31:$E$35),Q53, $F65)</f>
        <v>109.02841249289807</v>
      </c>
      <c r="R107" s="55" cm="1">
        <f t="array" ref="R107">MMS_Dairy_ManureAppliedToSoils_Equations.VEERG_4_3_1_8__2_MassOfNitrogenAppliedToSoilsScope3(R41, _xlfn.XLOOKUP($P107, $D$22:$D$26,$E$22:$E$26), _xlfn.XLOOKUP($P107,$D$31:$D$35,$E$31:$E$35),R53, $F65)</f>
        <v>42.398212372593328</v>
      </c>
      <c r="S107" s="55" cm="1">
        <f t="array" ref="S107">MMS_Dairy_ManureAppliedToSoils_Equations.VEERG_4_3_1_8__2_MassOfNitrogenAppliedToSoilsScope3(S41, _xlfn.XLOOKUP($P107, $D$22:$D$26,$E$22:$E$26), _xlfn.XLOOKUP($P107,$D$31:$D$35,$E$31:$E$35),S53, $F65)</f>
        <v>16.886759608793596</v>
      </c>
      <c r="T107" s="55" cm="1">
        <f t="array" ref="T107">MMS_Dairy_ManureAppliedToSoils_Equations.VEERG_4_3_1_8__2_MassOfNitrogenAppliedToSoilsScope3(T41, _xlfn.XLOOKUP($P107, $D$22:$D$26,$E$22:$E$26), _xlfn.XLOOKUP($P107,$D$31:$D$35,$E$31:$E$35),T53, $F65)</f>
        <v>53.296229759519406</v>
      </c>
      <c r="U107" s="55" cm="1">
        <f t="array" ref="U107">MMS_Dairy_ManureAppliedToSoils_Equations.VEERG_4_3_1_8__2_MassOfNitrogenAppliedToSoilsScope3(U41, _xlfn.XLOOKUP($P107, $D$22:$D$26,$E$22:$E$26), _xlfn.XLOOKUP($P107,$D$31:$D$35,$E$31:$E$35),U53, $F65)</f>
        <v>22.311364270880382</v>
      </c>
      <c r="V107" s="2"/>
    </row>
    <row r="108" spans="4:22" ht="20.100000000000001" customHeight="1" x14ac:dyDescent="0.25">
      <c r="D108" s="55" t="str">
        <f>'Input - Dairy'!$D$66</f>
        <v>Milking shed</v>
      </c>
      <c r="E108" s="55" t="str">
        <f>'Input - Dairy'!$D$91</f>
        <v>Drains to paddock</v>
      </c>
      <c r="F108" s="55" cm="1">
        <f t="array" ref="F108">MMS_Dairy_ManureAppliedToSoils_Equations.VEERG_4_3_1_8__2_MassOfNitrogenAppliedToSoilsScope3(F42, _xlfn.XLOOKUP($E108, $D$22:$D$26,$E$22:$E$26), _xlfn.XLOOKUP($E108,$D$31:$D$35,$E$31:$E$35),F54, $F66)</f>
        <v>93.787881714320932</v>
      </c>
      <c r="G108" s="55" cm="1">
        <f t="array" ref="G108">MMS_Dairy_ManureAppliedToSoils_Equations.VEERG_4_3_1_8__2_MassOfNitrogenAppliedToSoilsScope3(G42, _xlfn.XLOOKUP($E108, $D$22:$D$26,$E$22:$E$26), _xlfn.XLOOKUP($E108,$D$31:$D$35,$E$31:$E$35),G54, $F66)</f>
        <v>36.471580535564158</v>
      </c>
      <c r="H108" s="55" cm="1">
        <f t="array" ref="H108">MMS_Dairy_ManureAppliedToSoils_Equations.VEERG_4_3_1_8__2_MassOfNitrogenAppliedToSoilsScope3(H42, _xlfn.XLOOKUP($E108, $D$22:$D$26,$E$22:$E$26), _xlfn.XLOOKUP($E108,$D$31:$D$35,$E$31:$E$35),H54, $F66)</f>
        <v>14.526244824768686</v>
      </c>
      <c r="I108" s="55" cm="1">
        <f t="array" ref="I108">MMS_Dairy_ManureAppliedToSoils_Equations.VEERG_4_3_1_8__2_MassOfNitrogenAppliedToSoilsScope3(I42, _xlfn.XLOOKUP($E108, $D$22:$D$26,$E$22:$E$26), _xlfn.XLOOKUP($E108,$D$31:$D$35,$E$31:$E$35),I54, $F66)</f>
        <v>45.846219147973692</v>
      </c>
      <c r="J108" s="55" cm="1">
        <f t="array" ref="J108">MMS_Dairy_ManureAppliedToSoils_Equations.VEERG_4_3_1_8__2_MassOfNitrogenAppliedToSoilsScope3(J42, _xlfn.XLOOKUP($E108, $D$22:$D$26,$E$22:$E$26), _xlfn.XLOOKUP($E108,$D$31:$D$35,$E$31:$E$35),J54, $F66)</f>
        <v>19.192571415811084</v>
      </c>
      <c r="K108" s="2"/>
      <c r="O108" s="55" t="str">
        <f>'Input - Dairy'!$D$66</f>
        <v>Milking shed</v>
      </c>
      <c r="P108" s="55" t="str">
        <f>'Input - Dairy'!$D$91</f>
        <v>Drains to paddock</v>
      </c>
      <c r="Q108" s="55" cm="1">
        <f t="array" ref="Q108">MMS_Dairy_ManureAppliedToSoils_Equations.VEERG_4_3_1_8__2_MassOfNitrogenAppliedToSoilsScope3(Q42, _xlfn.XLOOKUP($P108, $D$22:$D$26,$E$22:$E$26), _xlfn.XLOOKUP($P108,$D$31:$D$35,$E$31:$E$35),Q54, $F66)</f>
        <v>93.787881714320932</v>
      </c>
      <c r="R108" s="55" cm="1">
        <f t="array" ref="R108">MMS_Dairy_ManureAppliedToSoils_Equations.VEERG_4_3_1_8__2_MassOfNitrogenAppliedToSoilsScope3(R42, _xlfn.XLOOKUP($P108, $D$22:$D$26,$E$22:$E$26), _xlfn.XLOOKUP($P108,$D$31:$D$35,$E$31:$E$35),R54, $F66)</f>
        <v>36.471580535564158</v>
      </c>
      <c r="S108" s="55" cm="1">
        <f t="array" ref="S108">MMS_Dairy_ManureAppliedToSoils_Equations.VEERG_4_3_1_8__2_MassOfNitrogenAppliedToSoilsScope3(S42, _xlfn.XLOOKUP($P108, $D$22:$D$26,$E$22:$E$26), _xlfn.XLOOKUP($P108,$D$31:$D$35,$E$31:$E$35),S54, $F66)</f>
        <v>14.526244824768686</v>
      </c>
      <c r="T108" s="55" cm="1">
        <f t="array" ref="T108">MMS_Dairy_ManureAppliedToSoils_Equations.VEERG_4_3_1_8__2_MassOfNitrogenAppliedToSoilsScope3(T42, _xlfn.XLOOKUP($P108, $D$22:$D$26,$E$22:$E$26), _xlfn.XLOOKUP($P108,$D$31:$D$35,$E$31:$E$35),T54, $F66)</f>
        <v>45.846219147973692</v>
      </c>
      <c r="U108" s="55" cm="1">
        <f t="array" ref="U108">MMS_Dairy_ManureAppliedToSoils_Equations.VEERG_4_3_1_8__2_MassOfNitrogenAppliedToSoilsScope3(U42, _xlfn.XLOOKUP($P108, $D$22:$D$26,$E$22:$E$26), _xlfn.XLOOKUP($P108,$D$31:$D$35,$E$31:$E$35),U54, $F66)</f>
        <v>19.192571415811084</v>
      </c>
      <c r="V108" s="2"/>
    </row>
    <row r="109" spans="4:22" ht="20.100000000000001" customHeight="1" x14ac:dyDescent="0.25">
      <c r="D109" s="55" t="str">
        <f>'Input - Dairy'!$D$66</f>
        <v>Milking shed</v>
      </c>
      <c r="E109" s="55" t="s">
        <v>412</v>
      </c>
      <c r="F109" s="55" cm="1">
        <f t="array" ref="F109">MMS_Dairy_ManureAppliedToSoils_Equations.VEERG_4_3_1_8__2_MassOfNitrogenAppliedToSoilsScope3(F43, _xlfn.XLOOKUP($E109, $D$22:$D$26,$E$22:$E$26), _xlfn.XLOOKUP($E109,$D$31:$D$35,$E$31:$E$35),F55, $F67)</f>
        <v>158.26705039291659</v>
      </c>
      <c r="G109" s="55" cm="1">
        <f t="array" ref="G109">MMS_Dairy_ManureAppliedToSoils_Equations.VEERG_4_3_1_8__2_MassOfNitrogenAppliedToSoilsScope3(G43, _xlfn.XLOOKUP($E109, $D$22:$D$26,$E$22:$E$26), _xlfn.XLOOKUP($E109,$D$31:$D$35,$E$31:$E$35),G55, $F67)</f>
        <v>61.545792153764516</v>
      </c>
      <c r="H109" s="55" cm="1">
        <f t="array" ref="H109">MMS_Dairy_ManureAppliedToSoils_Equations.VEERG_4_3_1_8__2_MassOfNitrogenAppliedToSoilsScope3(H43, _xlfn.XLOOKUP($E109, $D$22:$D$26,$E$22:$E$26), _xlfn.XLOOKUP($E109,$D$31:$D$35,$E$31:$E$35),H55, $F67)</f>
        <v>24.51303814179715</v>
      </c>
      <c r="I109" s="55" cm="1">
        <f t="array" ref="I109">MMS_Dairy_ManureAppliedToSoils_Equations.VEERG_4_3_1_8__2_MassOfNitrogenAppliedToSoilsScope3(I43, _xlfn.XLOOKUP($E109, $D$22:$D$26,$E$22:$E$26), _xlfn.XLOOKUP($E109,$D$31:$D$35,$E$31:$E$35),I55, $F67)</f>
        <v>77.365494812205597</v>
      </c>
      <c r="J109" s="55" cm="1">
        <f t="array" ref="J109">MMS_Dairy_ManureAppliedToSoils_Equations.VEERG_4_3_1_8__2_MassOfNitrogenAppliedToSoilsScope3(J43, _xlfn.XLOOKUP($E109, $D$22:$D$26,$E$22:$E$26), _xlfn.XLOOKUP($E109,$D$31:$D$35,$E$31:$E$35),J55, $F67)</f>
        <v>32.387464264181197</v>
      </c>
      <c r="K109" s="2"/>
      <c r="O109" s="55" t="str">
        <f>'Input - Dairy'!$D$66</f>
        <v>Milking shed</v>
      </c>
      <c r="P109" s="55" t="s">
        <v>412</v>
      </c>
      <c r="Q109" s="55" cm="1">
        <f t="array" ref="Q109">MMS_Dairy_ManureAppliedToSoils_Equations.VEERG_4_3_1_8__2_MassOfNitrogenAppliedToSoilsScope3(Q43, _xlfn.XLOOKUP($P109, $D$22:$D$26,$E$22:$E$26), _xlfn.XLOOKUP($P109,$D$31:$D$35,$E$31:$E$35),Q55, $F67)</f>
        <v>158.26705039291659</v>
      </c>
      <c r="R109" s="55" cm="1">
        <f t="array" ref="R109">MMS_Dairy_ManureAppliedToSoils_Equations.VEERG_4_3_1_8__2_MassOfNitrogenAppliedToSoilsScope3(R43, _xlfn.XLOOKUP($P109, $D$22:$D$26,$E$22:$E$26), _xlfn.XLOOKUP($P109,$D$31:$D$35,$E$31:$E$35),R55, $F67)</f>
        <v>61.545792153764516</v>
      </c>
      <c r="S109" s="55" cm="1">
        <f t="array" ref="S109">MMS_Dairy_ManureAppliedToSoils_Equations.VEERG_4_3_1_8__2_MassOfNitrogenAppliedToSoilsScope3(S43, _xlfn.XLOOKUP($P109, $D$22:$D$26,$E$22:$E$26), _xlfn.XLOOKUP($P109,$D$31:$D$35,$E$31:$E$35),S55, $F67)</f>
        <v>24.51303814179715</v>
      </c>
      <c r="T109" s="55" cm="1">
        <f t="array" ref="T109">MMS_Dairy_ManureAppliedToSoils_Equations.VEERG_4_3_1_8__2_MassOfNitrogenAppliedToSoilsScope3(T43, _xlfn.XLOOKUP($P109, $D$22:$D$26,$E$22:$E$26), _xlfn.XLOOKUP($P109,$D$31:$D$35,$E$31:$E$35),T55, $F67)</f>
        <v>77.365494812205597</v>
      </c>
      <c r="U109" s="55" cm="1">
        <f t="array" ref="U109">MMS_Dairy_ManureAppliedToSoils_Equations.VEERG_4_3_1_8__2_MassOfNitrogenAppliedToSoilsScope3(U43, _xlfn.XLOOKUP($P109, $D$22:$D$26,$E$22:$E$26), _xlfn.XLOOKUP($P109,$D$31:$D$35,$E$31:$E$35),U55, $F67)</f>
        <v>32.387464264181197</v>
      </c>
      <c r="V109" s="2"/>
    </row>
    <row r="110" spans="4:22" ht="20.100000000000001" customHeight="1" x14ac:dyDescent="0.25">
      <c r="D110" s="55" t="str">
        <f>'Input - Dairy'!$D$67</f>
        <v>Feed pad</v>
      </c>
      <c r="E110" s="55" t="str">
        <f>'Input - Dairy'!$D$105</f>
        <v>Anaerobic lagoon</v>
      </c>
      <c r="F110" s="55" cm="1">
        <f t="array" ref="F110">MMS_Dairy_ManureAppliedToSoils_Equations.VEERG_4_3_1_8__2_MassOfNitrogenAppliedToSoilsScope3(F44, _xlfn.XLOOKUP($E110, $D$22:$D$26,$E$22:$E$26), _xlfn.XLOOKUP($E110,$D$31:$D$35,$E$31:$E$35),F56, $F68)</f>
        <v>308.27437256667417</v>
      </c>
      <c r="G110" s="55" cm="1">
        <f t="array" ref="G110">MMS_Dairy_ManureAppliedToSoils_Equations.VEERG_4_3_1_8__2_MassOfNitrogenAppliedToSoilsScope3(G44, _xlfn.XLOOKUP($E110, $D$22:$D$26,$E$22:$E$26), _xlfn.XLOOKUP($E110,$D$31:$D$35,$E$31:$E$35),G56, $F68)</f>
        <v>119.87959852172649</v>
      </c>
      <c r="H110" s="55" cm="1">
        <f t="array" ref="H110">MMS_Dairy_ManureAppliedToSoils_Equations.VEERG_4_3_1_8__2_MassOfNitrogenAppliedToSoilsScope3(H44, _xlfn.XLOOKUP($E110, $D$22:$D$26,$E$22:$E$26), _xlfn.XLOOKUP($E110,$D$31:$D$35,$E$31:$E$35),H56, $F68)</f>
        <v>47.746776313231159</v>
      </c>
      <c r="I110" s="55" cm="1">
        <f t="array" ref="I110">MMS_Dairy_ManureAppliedToSoils_Equations.VEERG_4_3_1_8__2_MassOfNitrogenAppliedToSoilsScope3(I44, _xlfn.XLOOKUP($E110, $D$22:$D$26,$E$22:$E$26), _xlfn.XLOOKUP($E110,$D$31:$D$35,$E$31:$E$35),I56, $F68)</f>
        <v>150.69339646081124</v>
      </c>
      <c r="J110" s="55" cm="1">
        <f t="array" ref="J110">MMS_Dairy_ManureAppliedToSoils_Equations.VEERG_4_3_1_8__2_MassOfNitrogenAppliedToSoilsScope3(J44, _xlfn.XLOOKUP($E110, $D$22:$D$26,$E$22:$E$26), _xlfn.XLOOKUP($E110,$D$31:$D$35,$E$31:$E$35),J56, $F68)</f>
        <v>63.084673659356305</v>
      </c>
      <c r="K110" s="2"/>
      <c r="O110" s="55" t="str">
        <f>'Input - Dairy'!$D$67</f>
        <v>Feed pad</v>
      </c>
      <c r="P110" s="55" t="str">
        <f>'Input - Dairy'!$D$105</f>
        <v>Anaerobic lagoon</v>
      </c>
      <c r="Q110" s="55" cm="1">
        <f t="array" ref="Q110">MMS_Dairy_ManureAppliedToSoils_Equations.VEERG_4_3_1_8__2_MassOfNitrogenAppliedToSoilsScope3(Q44, _xlfn.XLOOKUP($P110, $D$22:$D$26,$E$22:$E$26), _xlfn.XLOOKUP($P110,$D$31:$D$35,$E$31:$E$35),Q56, $F68)</f>
        <v>308.27437256667417</v>
      </c>
      <c r="R110" s="55" cm="1">
        <f t="array" ref="R110">MMS_Dairy_ManureAppliedToSoils_Equations.VEERG_4_3_1_8__2_MassOfNitrogenAppliedToSoilsScope3(R44, _xlfn.XLOOKUP($P110, $D$22:$D$26,$E$22:$E$26), _xlfn.XLOOKUP($P110,$D$31:$D$35,$E$31:$E$35),R56, $F68)</f>
        <v>119.87959852172649</v>
      </c>
      <c r="S110" s="55" cm="1">
        <f t="array" ref="S110">MMS_Dairy_ManureAppliedToSoils_Equations.VEERG_4_3_1_8__2_MassOfNitrogenAppliedToSoilsScope3(S44, _xlfn.XLOOKUP($P110, $D$22:$D$26,$E$22:$E$26), _xlfn.XLOOKUP($P110,$D$31:$D$35,$E$31:$E$35),S56, $F68)</f>
        <v>47.746776313231159</v>
      </c>
      <c r="T110" s="55" cm="1">
        <f t="array" ref="T110">MMS_Dairy_ManureAppliedToSoils_Equations.VEERG_4_3_1_8__2_MassOfNitrogenAppliedToSoilsScope3(T44, _xlfn.XLOOKUP($P110, $D$22:$D$26,$E$22:$E$26), _xlfn.XLOOKUP($P110,$D$31:$D$35,$E$31:$E$35),T56, $F68)</f>
        <v>150.69339646081124</v>
      </c>
      <c r="U110" s="55" cm="1">
        <f t="array" ref="U110">MMS_Dairy_ManureAppliedToSoils_Equations.VEERG_4_3_1_8__2_MassOfNitrogenAppliedToSoilsScope3(U44, _xlfn.XLOOKUP($P110, $D$22:$D$26,$E$22:$E$26), _xlfn.XLOOKUP($P110,$D$31:$D$35,$E$31:$E$35),U56, $F68)</f>
        <v>63.084673659356305</v>
      </c>
      <c r="V110" s="2"/>
    </row>
    <row r="111" spans="4:22" ht="20.100000000000001" customHeight="1" x14ac:dyDescent="0.25">
      <c r="D111" s="55" t="str">
        <f>'Input - Dairy'!$D$67</f>
        <v>Feed pad</v>
      </c>
      <c r="E111" s="55" t="str">
        <f>'Input - Dairy'!$D$110</f>
        <v>Sump and dispersal system</v>
      </c>
      <c r="F111" s="55" cm="1">
        <f t="array" ref="F111">MMS_Dairy_ManureAppliedToSoils_Equations.VEERG_4_3_1_8__2_MassOfNitrogenAppliedToSoilsScope3(F45, _xlfn.XLOOKUP($E111, $D$22:$D$26,$E$22:$E$26), _xlfn.XLOOKUP($E111,$D$31:$D$35,$E$31:$E$35),F57, $F69)</f>
        <v>352.8555895224701</v>
      </c>
      <c r="G111" s="55" cm="1">
        <f t="array" ref="G111">MMS_Dairy_ManureAppliedToSoils_Equations.VEERG_4_3_1_8__2_MassOfNitrogenAppliedToSoilsScope3(G45, _xlfn.XLOOKUP($E111, $D$22:$D$26,$E$22:$E$26), _xlfn.XLOOKUP($E111,$D$31:$D$35,$E$31:$E$35),G57, $F69)</f>
        <v>137.21603276948386</v>
      </c>
      <c r="H111" s="55" cm="1">
        <f t="array" ref="H111">MMS_Dairy_ManureAppliedToSoils_Equations.VEERG_4_3_1_8__2_MassOfNitrogenAppliedToSoilsScope3(H45, _xlfn.XLOOKUP($E111, $D$22:$D$26,$E$22:$E$26), _xlfn.XLOOKUP($E111,$D$31:$D$35,$E$31:$E$35),H57, $F69)</f>
        <v>54.651694733913814</v>
      </c>
      <c r="I111" s="55" cm="1">
        <f t="array" ref="I111">MMS_Dairy_ManureAppliedToSoils_Equations.VEERG_4_3_1_8__2_MassOfNitrogenAppliedToSoilsScope3(I45, _xlfn.XLOOKUP($E111, $D$22:$D$26,$E$22:$E$26), _xlfn.XLOOKUP($E111,$D$31:$D$35,$E$31:$E$35),I57, $F69)</f>
        <v>172.48597994899006</v>
      </c>
      <c r="J111" s="55" cm="1">
        <f t="array" ref="J111">MMS_Dairy_ManureAppliedToSoils_Equations.VEERG_4_3_1_8__2_MassOfNitrogenAppliedToSoilsScope3(J45, _xlfn.XLOOKUP($E111, $D$22:$D$26,$E$22:$E$26), _xlfn.XLOOKUP($E111,$D$31:$D$35,$E$31:$E$35),J57, $F69)</f>
        <v>72.207688003940135</v>
      </c>
      <c r="K111" s="2"/>
      <c r="O111" s="55" t="str">
        <f>'Input - Dairy'!$D$67</f>
        <v>Feed pad</v>
      </c>
      <c r="P111" s="55" t="str">
        <f>'Input - Dairy'!$D$110</f>
        <v>Sump and dispersal system</v>
      </c>
      <c r="Q111" s="55" cm="1">
        <f t="array" ref="Q111">MMS_Dairy_ManureAppliedToSoils_Equations.VEERG_4_3_1_8__2_MassOfNitrogenAppliedToSoilsScope3(Q45, _xlfn.XLOOKUP($P111, $D$22:$D$26,$E$22:$E$26), _xlfn.XLOOKUP($P111,$D$31:$D$35,$E$31:$E$35),Q57, $F69)</f>
        <v>352.8555895224701</v>
      </c>
      <c r="R111" s="55" cm="1">
        <f t="array" ref="R111">MMS_Dairy_ManureAppliedToSoils_Equations.VEERG_4_3_1_8__2_MassOfNitrogenAppliedToSoilsScope3(R45, _xlfn.XLOOKUP($P111, $D$22:$D$26,$E$22:$E$26), _xlfn.XLOOKUP($P111,$D$31:$D$35,$E$31:$E$35),R57, $F69)</f>
        <v>137.21603276948386</v>
      </c>
      <c r="S111" s="55" cm="1">
        <f t="array" ref="S111">MMS_Dairy_ManureAppliedToSoils_Equations.VEERG_4_3_1_8__2_MassOfNitrogenAppliedToSoilsScope3(S45, _xlfn.XLOOKUP($P111, $D$22:$D$26,$E$22:$E$26), _xlfn.XLOOKUP($P111,$D$31:$D$35,$E$31:$E$35),S57, $F69)</f>
        <v>54.651694733913814</v>
      </c>
      <c r="T111" s="55" cm="1">
        <f t="array" ref="T111">MMS_Dairy_ManureAppliedToSoils_Equations.VEERG_4_3_1_8__2_MassOfNitrogenAppliedToSoilsScope3(T45, _xlfn.XLOOKUP($P111, $D$22:$D$26,$E$22:$E$26), _xlfn.XLOOKUP($P111,$D$31:$D$35,$E$31:$E$35),T57, $F69)</f>
        <v>172.48597994899006</v>
      </c>
      <c r="U111" s="55" cm="1">
        <f t="array" ref="U11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5" t="str">
        <f>'Input - Dairy'!$D$67</f>
        <v>Feed pad</v>
      </c>
      <c r="E112" s="55" t="str">
        <f>'Input - Dairy'!$D$115</f>
        <v>Drains to paddock</v>
      </c>
      <c r="F112" s="55" cm="1">
        <f t="array" ref="F112">MMS_Dairy_ManureAppliedToSoils_Equations.VEERG_4_3_1_8__2_MassOfNitrogenAppliedToSoilsScope3(F46, _xlfn.XLOOKUP($E112, $D$22:$D$26,$E$22:$E$26), _xlfn.XLOOKUP($E112,$D$31:$D$35,$E$31:$E$35),F58, $F70)</f>
        <v>303.53168991180229</v>
      </c>
      <c r="G112" s="55" cm="1">
        <f t="array" ref="G112">MMS_Dairy_ManureAppliedToSoils_Equations.VEERG_4_3_1_8__2_MassOfNitrogenAppliedToSoilsScope3(G46, _xlfn.XLOOKUP($E112, $D$22:$D$26,$E$22:$E$26), _xlfn.XLOOKUP($E112,$D$31:$D$35,$E$31:$E$35),G58, $F70)</f>
        <v>118.03529700600764</v>
      </c>
      <c r="H112" s="55" cm="1">
        <f t="array" ref="H112">MMS_Dairy_ManureAppliedToSoils_Equations.VEERG_4_3_1_8__2_MassOfNitrogenAppliedToSoilsScope3(H46, _xlfn.XLOOKUP($E112, $D$22:$D$26,$E$22:$E$26), _xlfn.XLOOKUP($E112,$D$31:$D$35,$E$31:$E$35),H58, $F70)</f>
        <v>47.012210523796831</v>
      </c>
      <c r="I112" s="55" cm="1">
        <f t="array" ref="I112">MMS_Dairy_ManureAppliedToSoils_Equations.VEERG_4_3_1_8__2_MassOfNitrogenAppliedToSoilsScope3(I46, _xlfn.XLOOKUP($E112, $D$22:$D$26,$E$22:$E$26), _xlfn.XLOOKUP($E112,$D$31:$D$35,$E$31:$E$35),I58, $F70)</f>
        <v>148.37503651526029</v>
      </c>
      <c r="J112" s="55" cm="1">
        <f t="array" ref="J112">MMS_Dairy_ManureAppliedToSoils_Equations.VEERG_4_3_1_8__2_MassOfNitrogenAppliedToSoilsScope3(J46, _xlfn.XLOOKUP($E112, $D$22:$D$26,$E$22:$E$26), _xlfn.XLOOKUP($E112,$D$31:$D$35,$E$31:$E$35),J58, $F70)</f>
        <v>62.114140218443133</v>
      </c>
      <c r="K112" s="2"/>
      <c r="O112" s="55" t="str">
        <f>'Input - Dairy'!$D$67</f>
        <v>Feed pad</v>
      </c>
      <c r="P112" s="55" t="str">
        <f>'Input - Dairy'!$D$115</f>
        <v>Drains to paddock</v>
      </c>
      <c r="Q112" s="55" cm="1">
        <f t="array" ref="Q112">MMS_Dairy_ManureAppliedToSoils_Equations.VEERG_4_3_1_8__2_MassOfNitrogenAppliedToSoilsScope3(Q46, _xlfn.XLOOKUP($P112, $D$22:$D$26,$E$22:$E$26), _xlfn.XLOOKUP($P112,$D$31:$D$35,$E$31:$E$35),Q58, $F70)</f>
        <v>303.53168991180229</v>
      </c>
      <c r="R112" s="55" cm="1">
        <f t="array" ref="R112">MMS_Dairy_ManureAppliedToSoils_Equations.VEERG_4_3_1_8__2_MassOfNitrogenAppliedToSoilsScope3(R46, _xlfn.XLOOKUP($P112, $D$22:$D$26,$E$22:$E$26), _xlfn.XLOOKUP($P112,$D$31:$D$35,$E$31:$E$35),R58, $F70)</f>
        <v>118.03529700600764</v>
      </c>
      <c r="S112" s="55" cm="1">
        <f t="array" ref="S112">MMS_Dairy_ManureAppliedToSoils_Equations.VEERG_4_3_1_8__2_MassOfNitrogenAppliedToSoilsScope3(S46, _xlfn.XLOOKUP($P112, $D$22:$D$26,$E$22:$E$26), _xlfn.XLOOKUP($P112,$D$31:$D$35,$E$31:$E$35),S58, $F70)</f>
        <v>47.012210523796831</v>
      </c>
      <c r="T112" s="55" cm="1">
        <f t="array" ref="T112">MMS_Dairy_ManureAppliedToSoils_Equations.VEERG_4_3_1_8__2_MassOfNitrogenAppliedToSoilsScope3(T46, _xlfn.XLOOKUP($P112, $D$22:$D$26,$E$22:$E$26), _xlfn.XLOOKUP($P112,$D$31:$D$35,$E$31:$E$35),T58, $F70)</f>
        <v>148.37503651526029</v>
      </c>
      <c r="U112" s="55" cm="1">
        <f t="array" ref="U112">MMS_Dairy_ManureAppliedToSoils_Equations.VEERG_4_3_1_8__2_MassOfNitrogenAppliedToSoilsScope3(U46, _xlfn.XLOOKUP($P112, $D$22:$D$26,$E$22:$E$26), _xlfn.XLOOKUP($P112,$D$31:$D$35,$E$31:$E$35),U58, $F70)</f>
        <v>62.114140218443133</v>
      </c>
      <c r="V112" s="2"/>
    </row>
    <row r="113" spans="1:23" ht="20.100000000000001" customHeight="1" x14ac:dyDescent="0.25">
      <c r="D113" s="55" t="str">
        <f>'Input - Dairy'!$D$67</f>
        <v>Feed pad</v>
      </c>
      <c r="E113" s="55" t="s">
        <v>412</v>
      </c>
      <c r="F113" s="55" cm="1">
        <f t="array" ref="F113">MMS_Dairy_ManureAppliedToSoils_Equations.VEERG_4_3_1_8__2_MassOfNitrogenAppliedToSoilsScope3(F47, _xlfn.XLOOKUP($E113, $D$22:$D$26,$E$22:$E$26), _xlfn.XLOOKUP($E113,$D$31:$D$35,$E$31:$E$35),F59, $F71)</f>
        <v>448.18351088539555</v>
      </c>
      <c r="G113" s="55" cm="1">
        <f t="array" ref="G113">MMS_Dairy_ManureAppliedToSoils_Equations.VEERG_4_3_1_8__2_MassOfNitrogenAppliedToSoilsScope3(G47, _xlfn.XLOOKUP($E113, $D$22:$D$26,$E$22:$E$26), _xlfn.XLOOKUP($E113,$D$31:$D$35,$E$31:$E$35),G59, $F71)</f>
        <v>174.28649323543314</v>
      </c>
      <c r="H113" s="55" cm="1">
        <f t="array" ref="H113">MMS_Dairy_ManureAppliedToSoils_Equations.VEERG_4_3_1_8__2_MassOfNitrogenAppliedToSoilsScope3(H47, _xlfn.XLOOKUP($E113, $D$22:$D$26,$E$22:$E$26), _xlfn.XLOOKUP($E113,$D$31:$D$35,$E$31:$E$35),H59, $F71)</f>
        <v>69.416467101543759</v>
      </c>
      <c r="I113" s="55" cm="1">
        <f t="array" ref="I113">MMS_Dairy_ManureAppliedToSoils_Equations.VEERG_4_3_1_8__2_MassOfNitrogenAppliedToSoilsScope3(I47, _xlfn.XLOOKUP($E113, $D$22:$D$26,$E$22:$E$26), _xlfn.XLOOKUP($E113,$D$31:$D$35,$E$31:$E$35),I59, $F71)</f>
        <v>219.08501485456401</v>
      </c>
      <c r="J113" s="55" cm="1">
        <f t="array" ref="J113">MMS_Dairy_ManureAppliedToSoils_Equations.VEERG_4_3_1_8__2_MassOfNitrogenAppliedToSoilsScope3(J47, _xlfn.XLOOKUP($E113, $D$22:$D$26,$E$22:$E$26), _xlfn.XLOOKUP($E113,$D$31:$D$35,$E$31:$E$35),J59, $F71)</f>
        <v>91.715410166294944</v>
      </c>
      <c r="K113" s="2"/>
      <c r="O113" s="55" t="str">
        <f>'Input - Dairy'!$D$67</f>
        <v>Feed pad</v>
      </c>
      <c r="P113" s="55" t="s">
        <v>412</v>
      </c>
      <c r="Q113" s="55" cm="1">
        <f t="array" ref="Q113">MMS_Dairy_ManureAppliedToSoils_Equations.VEERG_4_3_1_8__2_MassOfNitrogenAppliedToSoilsScope3(Q47, _xlfn.XLOOKUP($P113, $D$22:$D$26,$E$22:$E$26), _xlfn.XLOOKUP($P113,$D$31:$D$35,$E$31:$E$35),Q59, $F71)</f>
        <v>448.18351088539555</v>
      </c>
      <c r="R113" s="55" cm="1">
        <f t="array" ref="R113">MMS_Dairy_ManureAppliedToSoils_Equations.VEERG_4_3_1_8__2_MassOfNitrogenAppliedToSoilsScope3(R47, _xlfn.XLOOKUP($P113, $D$22:$D$26,$E$22:$E$26), _xlfn.XLOOKUP($P113,$D$31:$D$35,$E$31:$E$35),R59, $F71)</f>
        <v>174.28649323543314</v>
      </c>
      <c r="S113" s="55" cm="1">
        <f t="array" ref="S113">MMS_Dairy_ManureAppliedToSoils_Equations.VEERG_4_3_1_8__2_MassOfNitrogenAppliedToSoilsScope3(S47, _xlfn.XLOOKUP($P113, $D$22:$D$26,$E$22:$E$26), _xlfn.XLOOKUP($P113,$D$31:$D$35,$E$31:$E$35),S59, $F71)</f>
        <v>69.416467101543759</v>
      </c>
      <c r="T113" s="55" cm="1">
        <f t="array" ref="T113">MMS_Dairy_ManureAppliedToSoils_Equations.VEERG_4_3_1_8__2_MassOfNitrogenAppliedToSoilsScope3(T47, _xlfn.XLOOKUP($P113, $D$22:$D$26,$E$22:$E$26), _xlfn.XLOOKUP($P113,$D$31:$D$35,$E$31:$E$35),T59, $F71)</f>
        <v>219.08501485456401</v>
      </c>
      <c r="U113" s="55" cm="1">
        <f t="array" ref="U113">MMS_Dairy_ManureAppliedToSoils_Equations.VEERG_4_3_1_8__2_MassOfNitrogenAppliedToSoilsScope3(U47, _xlfn.XLOOKUP($P113, $D$22:$D$26,$E$22:$E$26), _xlfn.XLOOKUP($P113,$D$31:$D$35,$E$31:$E$35),U59, $F71)</f>
        <v>91.715410166294944</v>
      </c>
      <c r="V113" s="2"/>
    </row>
    <row r="114" spans="1:23" ht="20.100000000000001" customHeight="1" x14ac:dyDescent="0.25"/>
    <row r="115" spans="1:23" ht="20.100000000000001" customHeight="1" x14ac:dyDescent="0.25">
      <c r="D115" s="108" t="s">
        <v>354</v>
      </c>
      <c r="E115" s="109">
        <f>SUM(F106:J113)</f>
        <v>4139.1577931583588</v>
      </c>
      <c r="F115" s="110" t="str">
        <f>$E$11</f>
        <v>kg N</v>
      </c>
      <c r="O115" s="108" t="s">
        <v>354</v>
      </c>
      <c r="P115" s="109">
        <f>SUM(Q106:U113)</f>
        <v>4139.1577931583588</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400</v>
      </c>
      <c r="E120" s="94"/>
      <c r="F120" s="94"/>
      <c r="G120" s="94"/>
      <c r="H120" s="92"/>
    </row>
    <row r="121" spans="1:23" ht="20.100000000000001" customHeight="1" x14ac:dyDescent="0.25"/>
    <row r="122" spans="1:23" ht="20.100000000000001" customHeight="1" x14ac:dyDescent="0.25">
      <c r="D122" s="6" t="s">
        <v>399</v>
      </c>
    </row>
    <row r="123" spans="1:23" ht="20.100000000000001" customHeight="1" x14ac:dyDescent="0.25"/>
    <row r="124" spans="1:23" ht="20.100000000000001" customHeight="1" x14ac:dyDescent="0.25">
      <c r="D124" s="104" t="s">
        <v>135</v>
      </c>
    </row>
    <row r="125" spans="1:23" ht="20.100000000000001" customHeight="1" x14ac:dyDescent="0.25">
      <c r="D125" s="103" t="s">
        <v>136</v>
      </c>
    </row>
    <row r="126" spans="1:23" ht="20.100000000000001" customHeight="1" x14ac:dyDescent="0.25">
      <c r="D126" s="54" t="s">
        <v>149</v>
      </c>
      <c r="E126" s="54" t="s">
        <v>69</v>
      </c>
      <c r="F126" s="54" t="s">
        <v>439</v>
      </c>
    </row>
    <row r="127" spans="1:23" ht="20.100000000000001" customHeight="1" x14ac:dyDescent="0.25">
      <c r="D127" s="55" t="str">
        <f>'Input - Dairy'!$D$66</f>
        <v>Milking shed</v>
      </c>
      <c r="E127" s="55" t="str">
        <f>'Input - Dairy'!$D$81</f>
        <v>Anaerobic lagoon</v>
      </c>
      <c r="F127" s="55">
        <f>'Input - Dairy'!L81</f>
        <v>0.25</v>
      </c>
      <c r="G127" s="2" t="str">
        <f>G101</f>
        <v>fraction</v>
      </c>
    </row>
    <row r="128" spans="1:23" ht="20.100000000000001" customHeight="1" x14ac:dyDescent="0.25">
      <c r="D128" s="55" t="str">
        <f>'Input - Dairy'!$D$66</f>
        <v>Milking shed</v>
      </c>
      <c r="E128" s="55" t="str">
        <f>'Input - Dairy'!$D$86</f>
        <v>Sump and dispersal system</v>
      </c>
      <c r="F128" s="55">
        <f>'Input - Dairy'!L86</f>
        <v>0.25</v>
      </c>
      <c r="G128" s="2"/>
    </row>
    <row r="129" spans="4:22" ht="20.100000000000001" customHeight="1" x14ac:dyDescent="0.25">
      <c r="D129" s="55" t="str">
        <f>'Input - Dairy'!$D$66</f>
        <v>Milking shed</v>
      </c>
      <c r="E129" s="55" t="str">
        <f>'Input - Dairy'!$D$91</f>
        <v>Drains to paddock</v>
      </c>
      <c r="F129" s="55">
        <f>'Input - Dairy'!L91</f>
        <v>0.25</v>
      </c>
      <c r="G129" s="2"/>
    </row>
    <row r="130" spans="4:22" ht="20.100000000000001" customHeight="1" x14ac:dyDescent="0.25">
      <c r="D130" s="55" t="str">
        <f>'Input - Dairy'!$D$66</f>
        <v>Milking shed</v>
      </c>
      <c r="E130" s="55" t="s">
        <v>412</v>
      </c>
      <c r="F130" s="55">
        <f>'Input - Dairy'!L96</f>
        <v>0.25</v>
      </c>
      <c r="G130" s="2"/>
    </row>
    <row r="131" spans="4:22" ht="20.100000000000001" customHeight="1" x14ac:dyDescent="0.25">
      <c r="D131" s="55" t="str">
        <f>'Input - Dairy'!$D$67</f>
        <v>Feed pad</v>
      </c>
      <c r="E131" s="55" t="str">
        <f>'Input - Dairy'!$D$105</f>
        <v>Anaerobic lagoon</v>
      </c>
      <c r="F131" s="55">
        <f>'Input - Dairy'!L105</f>
        <v>0.25</v>
      </c>
      <c r="G131" s="2"/>
    </row>
    <row r="132" spans="4:22" ht="20.100000000000001" customHeight="1" x14ac:dyDescent="0.25">
      <c r="D132" s="55" t="str">
        <f>'Input - Dairy'!$D$67</f>
        <v>Feed pad</v>
      </c>
      <c r="E132" s="55" t="str">
        <f>'Input - Dairy'!$D$110</f>
        <v>Sump and dispersal system</v>
      </c>
      <c r="F132" s="55">
        <f>'Input - Dairy'!L110</f>
        <v>0.25</v>
      </c>
      <c r="G132" s="2"/>
    </row>
    <row r="133" spans="4:22" ht="20.100000000000001" customHeight="1" x14ac:dyDescent="0.25">
      <c r="D133" s="55" t="str">
        <f>'Input - Dairy'!$D$67</f>
        <v>Feed pad</v>
      </c>
      <c r="E133" s="55" t="str">
        <f>'Input - Dairy'!$D$115</f>
        <v>Drains to paddock</v>
      </c>
      <c r="F133" s="55">
        <f>'Input - Dairy'!L115</f>
        <v>0.25</v>
      </c>
      <c r="G133" s="2"/>
    </row>
    <row r="134" spans="4:22" ht="20.100000000000001" customHeight="1" x14ac:dyDescent="0.25">
      <c r="D134" s="55" t="str">
        <f>'Input - Dairy'!$D$67</f>
        <v>Feed pad</v>
      </c>
      <c r="E134" s="55" t="s">
        <v>412</v>
      </c>
      <c r="F134" s="55">
        <f>'Input - Dairy'!L120</f>
        <v>0.25</v>
      </c>
      <c r="G134" s="2"/>
    </row>
    <row r="135" spans="4:22" ht="20.100000000000001" customHeight="1" x14ac:dyDescent="0.25"/>
    <row r="136" spans="4:22" ht="20.100000000000001" customHeight="1" x14ac:dyDescent="0.25">
      <c r="D136" s="104" t="s">
        <v>137</v>
      </c>
      <c r="O136" s="104" t="s">
        <v>138</v>
      </c>
    </row>
    <row r="137" spans="4:22" ht="20.100000000000001" customHeight="1" x14ac:dyDescent="0.25">
      <c r="D137" s="103" t="s">
        <v>140</v>
      </c>
      <c r="O137" s="103" t="s">
        <v>139</v>
      </c>
    </row>
    <row r="138" spans="4:22" ht="20.100000000000001" customHeight="1" x14ac:dyDescent="0.25">
      <c r="D138" s="54" t="s">
        <v>149</v>
      </c>
      <c r="E138" s="54" t="s">
        <v>69</v>
      </c>
      <c r="F138" s="54" t="s">
        <v>175</v>
      </c>
      <c r="G138" s="54" t="s">
        <v>192</v>
      </c>
      <c r="H138" s="54" t="s">
        <v>193</v>
      </c>
      <c r="I138" s="54" t="s">
        <v>194</v>
      </c>
      <c r="J138" s="54" t="s">
        <v>195</v>
      </c>
      <c r="O138" s="54" t="s">
        <v>149</v>
      </c>
      <c r="P138" s="54" t="s">
        <v>69</v>
      </c>
      <c r="Q138" s="54" t="s">
        <v>175</v>
      </c>
      <c r="R138" s="54" t="s">
        <v>192</v>
      </c>
      <c r="S138" s="54" t="s">
        <v>193</v>
      </c>
      <c r="T138" s="54" t="s">
        <v>194</v>
      </c>
      <c r="U138" s="54" t="s">
        <v>195</v>
      </c>
    </row>
    <row r="139" spans="4:22" ht="20.100000000000001" customHeight="1" x14ac:dyDescent="0.25">
      <c r="D139" s="55" t="str">
        <f>'Input - Dairy'!$D$66</f>
        <v>Milking shed</v>
      </c>
      <c r="E139" s="55" t="str">
        <f>'Input - Dairy'!$D$81</f>
        <v>Anaerobic lagoon</v>
      </c>
      <c r="F139" s="55" cm="1">
        <f t="array" ref="F139">MMS_Dairy_ManureAppliedToSoils_Equations.VEERG_4_3_1_8__1_MassOfNitrogenAppliedToSoilsScope1(F40,_xlfn.XLOOKUP($E139,$D$22:$D$26,$E$22:$E$26),_xlfn.XLOOKUP($E139,$D$31:$D$35,$E$31:$E$35),F52,$F127)</f>
        <v>76.202653892885763</v>
      </c>
      <c r="G139" s="55" cm="1">
        <f t="array" ref="G139">MMS_Dairy_ManureAppliedToSoils_Equations.VEERG_4_3_1_8__1_MassOfNitrogenAppliedToSoilsScope1(G40,_xlfn.XLOOKUP($E139,$D$22:$D$26,$E$22:$E$26),_xlfn.XLOOKUP($E139,$D$31:$D$35,$E$31:$E$35),G52,$F127)</f>
        <v>29.633159185145878</v>
      </c>
      <c r="H139" s="55" cm="1">
        <f t="array" ref="H139">MMS_Dairy_ManureAppliedToSoils_Equations.VEERG_4_3_1_8__1_MassOfNitrogenAppliedToSoilsScope1(H40,_xlfn.XLOOKUP($E139,$D$22:$D$26,$E$22:$E$26),_xlfn.XLOOKUP($E139,$D$31:$D$35,$E$31:$E$35),H52,$F127)</f>
        <v>11.802573920124557</v>
      </c>
      <c r="I139" s="55" cm="1">
        <f t="array" ref="I139">MMS_Dairy_ManureAppliedToSoils_Equations.VEERG_4_3_1_8__1_MassOfNitrogenAppliedToSoilsScope1(I40,_xlfn.XLOOKUP($E139,$D$22:$D$26,$E$22:$E$26),_xlfn.XLOOKUP($E139,$D$31:$D$35,$E$31:$E$35),I52,$F127)</f>
        <v>37.250053057728621</v>
      </c>
      <c r="J139" s="55" cm="1">
        <f t="array" ref="J139">MMS_Dairy_ManureAppliedToSoils_Equations.VEERG_4_3_1_8__1_MassOfNitrogenAppliedToSoilsScope1(J40,_xlfn.XLOOKUP($E139,$D$22:$D$26,$E$22:$E$26),_xlfn.XLOOKUP($E139,$D$31:$D$35,$E$31:$E$35),J52,$F127)</f>
        <v>15.593964275346504</v>
      </c>
      <c r="K139" s="2" t="str">
        <f t="shared" ref="K139:K146" si="4">$E$95</f>
        <v>kg N</v>
      </c>
      <c r="O139" s="55" t="str">
        <f>'Input - Dairy'!$D$66</f>
        <v>Milking shed</v>
      </c>
      <c r="P139" s="55" t="str">
        <f>'Input - Dairy'!$D$81</f>
        <v>Anaerobic lagoon</v>
      </c>
      <c r="Q139" s="55" cm="1">
        <f t="array" ref="Q139">MMS_Dairy_ManureAppliedToSoils_Equations.VEERG_4_3_1_8__1_MassOfNitrogenAppliedToSoilsScope1(Q40,_xlfn.XLOOKUP($P139,$D$22:$D$26,$E$22:$E$26),_xlfn.XLOOKUP($P139,$D$31:$D$35,$E$31:$E$35),Q52,$F127)</f>
        <v>76.202653892885763</v>
      </c>
      <c r="R139" s="55" cm="1">
        <f t="array" ref="R139">MMS_Dairy_ManureAppliedToSoils_Equations.VEERG_4_3_1_8__1_MassOfNitrogenAppliedToSoilsScope1(R40,_xlfn.XLOOKUP($P139,$D$22:$D$26,$E$22:$E$26),_xlfn.XLOOKUP($P139,$D$31:$D$35,$E$31:$E$35),R52,$F127)</f>
        <v>29.633159185145878</v>
      </c>
      <c r="S139" s="55" cm="1">
        <f t="array" ref="S139">MMS_Dairy_ManureAppliedToSoils_Equations.VEERG_4_3_1_8__1_MassOfNitrogenAppliedToSoilsScope1(S40,_xlfn.XLOOKUP($P139,$D$22:$D$26,$E$22:$E$26),_xlfn.XLOOKUP($P139,$D$31:$D$35,$E$31:$E$35),S52,$F127)</f>
        <v>11.802573920124557</v>
      </c>
      <c r="T139" s="55" cm="1">
        <f t="array" ref="T139">MMS_Dairy_ManureAppliedToSoils_Equations.VEERG_4_3_1_8__1_MassOfNitrogenAppliedToSoilsScope1(T40,_xlfn.XLOOKUP($P139,$D$22:$D$26,$E$22:$E$26),_xlfn.XLOOKUP($P139,$D$31:$D$35,$E$31:$E$35),T52,$F127)</f>
        <v>37.250053057728621</v>
      </c>
      <c r="U139" s="55" cm="1">
        <f t="array" ref="U139">MMS_Dairy_ManureAppliedToSoils_Equations.VEERG_4_3_1_8__1_MassOfNitrogenAppliedToSoilsScope1(U40,_xlfn.XLOOKUP($P139,$D$22:$D$26,$E$22:$E$26),_xlfn.XLOOKUP($P139,$D$31:$D$35,$E$31:$E$35),U52,$F127)</f>
        <v>15.593964275346504</v>
      </c>
      <c r="V139" s="2" t="str">
        <f t="shared" ref="V139" si="5">$E$95</f>
        <v>kg N</v>
      </c>
    </row>
    <row r="140" spans="4:22" ht="20.100000000000001" customHeight="1" x14ac:dyDescent="0.25">
      <c r="D140" s="55" t="str">
        <f>'Input - Dairy'!$D$66</f>
        <v>Milking shed</v>
      </c>
      <c r="E140" s="55" t="str">
        <f>'Input - Dairy'!$D$86</f>
        <v>Sump and dispersal system</v>
      </c>
      <c r="F140" s="55" cm="1">
        <f t="array" ref="F140">MMS_Dairy_ManureAppliedToSoils_Equations.VEERG_4_3_1_8__1_MassOfNitrogenAppliedToSoilsScope1(F41,_xlfn.XLOOKUP($E140,$D$22:$D$26,$E$22:$E$26),_xlfn.XLOOKUP($E140,$D$31:$D$35,$E$31:$E$35),F53,$F128)</f>
        <v>109.02841249289807</v>
      </c>
      <c r="G140" s="55" cm="1">
        <f t="array" ref="G140">MMS_Dairy_ManureAppliedToSoils_Equations.VEERG_4_3_1_8__1_MassOfNitrogenAppliedToSoilsScope1(G41,_xlfn.XLOOKUP($E140,$D$22:$D$26,$E$22:$E$26),_xlfn.XLOOKUP($E140,$D$31:$D$35,$E$31:$E$35),G53,$F128)</f>
        <v>42.398212372593328</v>
      </c>
      <c r="H140" s="55" cm="1">
        <f t="array" ref="H140">MMS_Dairy_ManureAppliedToSoils_Equations.VEERG_4_3_1_8__1_MassOfNitrogenAppliedToSoilsScope1(H41,_xlfn.XLOOKUP($E140,$D$22:$D$26,$E$22:$E$26),_xlfn.XLOOKUP($E140,$D$31:$D$35,$E$31:$E$35),H53,$F128)</f>
        <v>16.886759608793596</v>
      </c>
      <c r="I140" s="55" cm="1">
        <f t="array" ref="I140">MMS_Dairy_ManureAppliedToSoils_Equations.VEERG_4_3_1_8__1_MassOfNitrogenAppliedToSoilsScope1(I41,_xlfn.XLOOKUP($E140,$D$22:$D$26,$E$22:$E$26),_xlfn.XLOOKUP($E140,$D$31:$D$35,$E$31:$E$35),I53,$F128)</f>
        <v>53.296229759519406</v>
      </c>
      <c r="J140" s="55" cm="1">
        <f t="array" ref="J140">MMS_Dairy_ManureAppliedToSoils_Equations.VEERG_4_3_1_8__1_MassOfNitrogenAppliedToSoilsScope1(J41,_xlfn.XLOOKUP($E140,$D$22:$D$26,$E$22:$E$26),_xlfn.XLOOKUP($E140,$D$31:$D$35,$E$31:$E$35),J53,$F128)</f>
        <v>22.311364270880382</v>
      </c>
      <c r="K140" s="2" t="str">
        <f t="shared" si="4"/>
        <v>kg N</v>
      </c>
      <c r="O140" s="55" t="str">
        <f>'Input - Dairy'!$D$66</f>
        <v>Milking shed</v>
      </c>
      <c r="P140" s="55" t="str">
        <f>'Input - Dairy'!$D$86</f>
        <v>Sump and dispersal system</v>
      </c>
      <c r="Q140" s="55" cm="1">
        <f t="array" ref="Q140">MMS_Dairy_ManureAppliedToSoils_Equations.VEERG_4_3_1_8__1_MassOfNitrogenAppliedToSoilsScope1(Q41,_xlfn.XLOOKUP($P140,$D$22:$D$26,$E$22:$E$26),_xlfn.XLOOKUP($P140,$D$31:$D$35,$E$31:$E$35),Q53,$F128)</f>
        <v>109.02841249289807</v>
      </c>
      <c r="R140" s="55" cm="1">
        <f t="array" ref="R140">MMS_Dairy_ManureAppliedToSoils_Equations.VEERG_4_3_1_8__1_MassOfNitrogenAppliedToSoilsScope1(R41,_xlfn.XLOOKUP($P140,$D$22:$D$26,$E$22:$E$26),_xlfn.XLOOKUP($P140,$D$31:$D$35,$E$31:$E$35),R53,$F128)</f>
        <v>42.398212372593328</v>
      </c>
      <c r="S140" s="55" cm="1">
        <f t="array" ref="S140">MMS_Dairy_ManureAppliedToSoils_Equations.VEERG_4_3_1_8__1_MassOfNitrogenAppliedToSoilsScope1(S41,_xlfn.XLOOKUP($P140,$D$22:$D$26,$E$22:$E$26),_xlfn.XLOOKUP($P140,$D$31:$D$35,$E$31:$E$35),S53,$F128)</f>
        <v>16.886759608793596</v>
      </c>
      <c r="T140" s="55" cm="1">
        <f t="array" ref="T140">MMS_Dairy_ManureAppliedToSoils_Equations.VEERG_4_3_1_8__1_MassOfNitrogenAppliedToSoilsScope1(T41,_xlfn.XLOOKUP($P140,$D$22:$D$26,$E$22:$E$26),_xlfn.XLOOKUP($P140,$D$31:$D$35,$E$31:$E$35),T53,$F128)</f>
        <v>53.296229759519406</v>
      </c>
      <c r="U140" s="55"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5" t="str">
        <f>'Input - Dairy'!$D$66</f>
        <v>Milking shed</v>
      </c>
      <c r="E141" s="55" t="str">
        <f>'Input - Dairy'!$D$91</f>
        <v>Drains to paddock</v>
      </c>
      <c r="F141" s="55" cm="1">
        <f t="array" ref="F141">MMS_Dairy_ManureAppliedToSoils_Equations.VEERG_4_3_1_8__1_MassOfNitrogenAppliedToSoilsScope1(F42,_xlfn.XLOOKUP($E141,$D$22:$D$26,$E$22:$E$26),_xlfn.XLOOKUP($E141,$D$31:$D$35,$E$31:$E$35),F54,$F129)</f>
        <v>93.787881714320932</v>
      </c>
      <c r="G141" s="55" cm="1">
        <f t="array" ref="G141">MMS_Dairy_ManureAppliedToSoils_Equations.VEERG_4_3_1_8__1_MassOfNitrogenAppliedToSoilsScope1(G42,_xlfn.XLOOKUP($E141,$D$22:$D$26,$E$22:$E$26),_xlfn.XLOOKUP($E141,$D$31:$D$35,$E$31:$E$35),G54,$F129)</f>
        <v>36.471580535564158</v>
      </c>
      <c r="H141" s="55" cm="1">
        <f t="array" ref="H141">MMS_Dairy_ManureAppliedToSoils_Equations.VEERG_4_3_1_8__1_MassOfNitrogenAppliedToSoilsScope1(H42,_xlfn.XLOOKUP($E141,$D$22:$D$26,$E$22:$E$26),_xlfn.XLOOKUP($E141,$D$31:$D$35,$E$31:$E$35),H54,$F129)</f>
        <v>14.526244824768686</v>
      </c>
      <c r="I141" s="55" cm="1">
        <f t="array" ref="I141">MMS_Dairy_ManureAppliedToSoils_Equations.VEERG_4_3_1_8__1_MassOfNitrogenAppliedToSoilsScope1(I42,_xlfn.XLOOKUP($E141,$D$22:$D$26,$E$22:$E$26),_xlfn.XLOOKUP($E141,$D$31:$D$35,$E$31:$E$35),I54,$F129)</f>
        <v>45.846219147973692</v>
      </c>
      <c r="J141" s="55" cm="1">
        <f t="array" ref="J141">MMS_Dairy_ManureAppliedToSoils_Equations.VEERG_4_3_1_8__1_MassOfNitrogenAppliedToSoilsScope1(J42,_xlfn.XLOOKUP($E141,$D$22:$D$26,$E$22:$E$26),_xlfn.XLOOKUP($E141,$D$31:$D$35,$E$31:$E$35),J54,$F129)</f>
        <v>19.192571415811084</v>
      </c>
      <c r="K141" s="2" t="str">
        <f t="shared" si="4"/>
        <v>kg N</v>
      </c>
      <c r="O141" s="55" t="str">
        <f>'Input - Dairy'!$D$66</f>
        <v>Milking shed</v>
      </c>
      <c r="P141" s="55" t="str">
        <f>'Input - Dairy'!$D$91</f>
        <v>Drains to paddock</v>
      </c>
      <c r="Q141" s="55" cm="1">
        <f t="array" ref="Q141">MMS_Dairy_ManureAppliedToSoils_Equations.VEERG_4_3_1_8__1_MassOfNitrogenAppliedToSoilsScope1(Q42,_xlfn.XLOOKUP($P141,$D$22:$D$26,$E$22:$E$26),_xlfn.XLOOKUP($P141,$D$31:$D$35,$E$31:$E$35),Q54,$F129)</f>
        <v>93.787881714320932</v>
      </c>
      <c r="R141" s="55" cm="1">
        <f t="array" ref="R141">MMS_Dairy_ManureAppliedToSoils_Equations.VEERG_4_3_1_8__1_MassOfNitrogenAppliedToSoilsScope1(R42,_xlfn.XLOOKUP($P141,$D$22:$D$26,$E$22:$E$26),_xlfn.XLOOKUP($P141,$D$31:$D$35,$E$31:$E$35),R54,$F129)</f>
        <v>36.471580535564158</v>
      </c>
      <c r="S141" s="55" cm="1">
        <f t="array" ref="S141">MMS_Dairy_ManureAppliedToSoils_Equations.VEERG_4_3_1_8__1_MassOfNitrogenAppliedToSoilsScope1(S42,_xlfn.XLOOKUP($P141,$D$22:$D$26,$E$22:$E$26),_xlfn.XLOOKUP($P141,$D$31:$D$35,$E$31:$E$35),S54,$F129)</f>
        <v>14.526244824768686</v>
      </c>
      <c r="T141" s="55" cm="1">
        <f t="array" ref="T141">MMS_Dairy_ManureAppliedToSoils_Equations.VEERG_4_3_1_8__1_MassOfNitrogenAppliedToSoilsScope1(T42,_xlfn.XLOOKUP($P141,$D$22:$D$26,$E$22:$E$26),_xlfn.XLOOKUP($P141,$D$31:$D$35,$E$31:$E$35),T54,$F129)</f>
        <v>45.846219147973692</v>
      </c>
      <c r="U141" s="55"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5" t="str">
        <f>'Input - Dairy'!$D$66</f>
        <v>Milking shed</v>
      </c>
      <c r="E142" s="55" t="s">
        <v>412</v>
      </c>
      <c r="F142" s="55" cm="1">
        <f t="array" ref="F142">MMS_Dairy_ManureAppliedToSoils_Equations.VEERG_4_3_1_8__1_MassOfNitrogenAppliedToSoilsScope1(F43,_xlfn.XLOOKUP($E142,$D$22:$D$26,$E$22:$E$26),_xlfn.XLOOKUP($E142,$D$31:$D$35,$E$31:$E$35),F55,$F130)</f>
        <v>158.26705039291659</v>
      </c>
      <c r="G142" s="55" cm="1">
        <f t="array" ref="G142">MMS_Dairy_ManureAppliedToSoils_Equations.VEERG_4_3_1_8__1_MassOfNitrogenAppliedToSoilsScope1(G43,_xlfn.XLOOKUP($E142,$D$22:$D$26,$E$22:$E$26),_xlfn.XLOOKUP($E142,$D$31:$D$35,$E$31:$E$35),G55,$F130)</f>
        <v>61.545792153764516</v>
      </c>
      <c r="H142" s="55" cm="1">
        <f t="array" ref="H142">MMS_Dairy_ManureAppliedToSoils_Equations.VEERG_4_3_1_8__1_MassOfNitrogenAppliedToSoilsScope1(H43,_xlfn.XLOOKUP($E142,$D$22:$D$26,$E$22:$E$26),_xlfn.XLOOKUP($E142,$D$31:$D$35,$E$31:$E$35),H55,$F130)</f>
        <v>24.51303814179715</v>
      </c>
      <c r="I142" s="55" cm="1">
        <f t="array" ref="I142">MMS_Dairy_ManureAppliedToSoils_Equations.VEERG_4_3_1_8__1_MassOfNitrogenAppliedToSoilsScope1(I43,_xlfn.XLOOKUP($E142,$D$22:$D$26,$E$22:$E$26),_xlfn.XLOOKUP($E142,$D$31:$D$35,$E$31:$E$35),I55,$F130)</f>
        <v>77.365494812205597</v>
      </c>
      <c r="J142" s="55" cm="1">
        <f t="array" ref="J142">MMS_Dairy_ManureAppliedToSoils_Equations.VEERG_4_3_1_8__1_MassOfNitrogenAppliedToSoilsScope1(J43,_xlfn.XLOOKUP($E142,$D$22:$D$26,$E$22:$E$26),_xlfn.XLOOKUP($E142,$D$31:$D$35,$E$31:$E$35),J55,$F130)</f>
        <v>32.387464264181197</v>
      </c>
      <c r="K142" s="2" t="str">
        <f t="shared" si="4"/>
        <v>kg N</v>
      </c>
      <c r="O142" s="55" t="str">
        <f>'Input - Dairy'!$D$66</f>
        <v>Milking shed</v>
      </c>
      <c r="P142" s="55" t="s">
        <v>412</v>
      </c>
      <c r="Q142" s="55" cm="1">
        <f t="array" ref="Q142">MMS_Dairy_ManureAppliedToSoils_Equations.VEERG_4_3_1_8__1_MassOfNitrogenAppliedToSoilsScope1(Q43,_xlfn.XLOOKUP($P142,$D$22:$D$26,$E$22:$E$26),_xlfn.XLOOKUP($P142,$D$31:$D$35,$E$31:$E$35),Q55,$F130)</f>
        <v>158.26705039291659</v>
      </c>
      <c r="R142" s="55" cm="1">
        <f t="array" ref="R142">MMS_Dairy_ManureAppliedToSoils_Equations.VEERG_4_3_1_8__1_MassOfNitrogenAppliedToSoilsScope1(R43,_xlfn.XLOOKUP($P142,$D$22:$D$26,$E$22:$E$26),_xlfn.XLOOKUP($P142,$D$31:$D$35,$E$31:$E$35),R55,$F130)</f>
        <v>61.545792153764516</v>
      </c>
      <c r="S142" s="55" cm="1">
        <f t="array" ref="S142">MMS_Dairy_ManureAppliedToSoils_Equations.VEERG_4_3_1_8__1_MassOfNitrogenAppliedToSoilsScope1(S43,_xlfn.XLOOKUP($P142,$D$22:$D$26,$E$22:$E$26),_xlfn.XLOOKUP($P142,$D$31:$D$35,$E$31:$E$35),S55,$F130)</f>
        <v>24.51303814179715</v>
      </c>
      <c r="T142" s="55" cm="1">
        <f t="array" ref="T142">MMS_Dairy_ManureAppliedToSoils_Equations.VEERG_4_3_1_8__1_MassOfNitrogenAppliedToSoilsScope1(T43,_xlfn.XLOOKUP($P142,$D$22:$D$26,$E$22:$E$26),_xlfn.XLOOKUP($P142,$D$31:$D$35,$E$31:$E$35),T55,$F130)</f>
        <v>77.365494812205597</v>
      </c>
      <c r="U142" s="55" cm="1">
        <f t="array" ref="U142">MMS_Dairy_ManureAppliedToSoils_Equations.VEERG_4_3_1_8__1_MassOfNitrogenAppliedToSoilsScope1(U43,_xlfn.XLOOKUP($P142,$D$22:$D$26,$E$22:$E$26),_xlfn.XLOOKUP($P142,$D$31:$D$35,$E$31:$E$35),U55,$F130)</f>
        <v>32.387464264181197</v>
      </c>
      <c r="V142" s="2"/>
    </row>
    <row r="143" spans="4:22" ht="20.100000000000001" customHeight="1" x14ac:dyDescent="0.25">
      <c r="D143" s="55" t="str">
        <f>'Input - Dairy'!$D$67</f>
        <v>Feed pad</v>
      </c>
      <c r="E143" s="55" t="str">
        <f>'Input - Dairy'!$D$105</f>
        <v>Anaerobic lagoon</v>
      </c>
      <c r="F143" s="55" cm="1">
        <f t="array" ref="F143">MMS_Dairy_ManureAppliedToSoils_Equations.VEERG_4_3_1_8__1_MassOfNitrogenAppliedToSoilsScope1(F44,_xlfn.XLOOKUP($E143,$D$22:$D$26,$E$22:$E$26),_xlfn.XLOOKUP($E143,$D$31:$D$35,$E$31:$E$35),F56,$F131)</f>
        <v>308.27437256667417</v>
      </c>
      <c r="G143" s="55" cm="1">
        <f t="array" ref="G143">MMS_Dairy_ManureAppliedToSoils_Equations.VEERG_4_3_1_8__1_MassOfNitrogenAppliedToSoilsScope1(G44,_xlfn.XLOOKUP($E143,$D$22:$D$26,$E$22:$E$26),_xlfn.XLOOKUP($E143,$D$31:$D$35,$E$31:$E$35),G56,$F131)</f>
        <v>119.87959852172649</v>
      </c>
      <c r="H143" s="55" cm="1">
        <f t="array" ref="H143">MMS_Dairy_ManureAppliedToSoils_Equations.VEERG_4_3_1_8__1_MassOfNitrogenAppliedToSoilsScope1(H44,_xlfn.XLOOKUP($E143,$D$22:$D$26,$E$22:$E$26),_xlfn.XLOOKUP($E143,$D$31:$D$35,$E$31:$E$35),H56,$F131)</f>
        <v>47.746776313231159</v>
      </c>
      <c r="I143" s="55" cm="1">
        <f t="array" ref="I143">MMS_Dairy_ManureAppliedToSoils_Equations.VEERG_4_3_1_8__1_MassOfNitrogenAppliedToSoilsScope1(I44,_xlfn.XLOOKUP($E143,$D$22:$D$26,$E$22:$E$26),_xlfn.XLOOKUP($E143,$D$31:$D$35,$E$31:$E$35),I56,$F131)</f>
        <v>150.69339646081124</v>
      </c>
      <c r="J143" s="55" cm="1">
        <f t="array" ref="J143">MMS_Dairy_ManureAppliedToSoils_Equations.VEERG_4_3_1_8__1_MassOfNitrogenAppliedToSoilsScope1(J44,_xlfn.XLOOKUP($E143,$D$22:$D$26,$E$22:$E$26),_xlfn.XLOOKUP($E143,$D$31:$D$35,$E$31:$E$35),J56,$F131)</f>
        <v>63.084673659356305</v>
      </c>
      <c r="K143" s="2" t="str">
        <f t="shared" si="4"/>
        <v>kg N</v>
      </c>
      <c r="O143" s="55" t="str">
        <f>'Input - Dairy'!$D$67</f>
        <v>Feed pad</v>
      </c>
      <c r="P143" s="55" t="str">
        <f>'Input - Dairy'!$D$105</f>
        <v>Anaerobic lagoon</v>
      </c>
      <c r="Q143" s="55" cm="1">
        <f t="array" ref="Q143">MMS_Dairy_ManureAppliedToSoils_Equations.VEERG_4_3_1_8__1_MassOfNitrogenAppliedToSoilsScope1(Q44,_xlfn.XLOOKUP($P143,$D$22:$D$26,$E$22:$E$26),_xlfn.XLOOKUP($P143,$D$31:$D$35,$E$31:$E$35),Q56,$F131)</f>
        <v>308.27437256667417</v>
      </c>
      <c r="R143" s="55" cm="1">
        <f t="array" ref="R143">MMS_Dairy_ManureAppliedToSoils_Equations.VEERG_4_3_1_8__1_MassOfNitrogenAppliedToSoilsScope1(R44,_xlfn.XLOOKUP($P143,$D$22:$D$26,$E$22:$E$26),_xlfn.XLOOKUP($P143,$D$31:$D$35,$E$31:$E$35),R56,$F131)</f>
        <v>119.87959852172649</v>
      </c>
      <c r="S143" s="55" cm="1">
        <f t="array" ref="S143">MMS_Dairy_ManureAppliedToSoils_Equations.VEERG_4_3_1_8__1_MassOfNitrogenAppliedToSoilsScope1(S44,_xlfn.XLOOKUP($P143,$D$22:$D$26,$E$22:$E$26),_xlfn.XLOOKUP($P143,$D$31:$D$35,$E$31:$E$35),S56,$F131)</f>
        <v>47.746776313231159</v>
      </c>
      <c r="T143" s="55" cm="1">
        <f t="array" ref="T143">MMS_Dairy_ManureAppliedToSoils_Equations.VEERG_4_3_1_8__1_MassOfNitrogenAppliedToSoilsScope1(T44,_xlfn.XLOOKUP($P143,$D$22:$D$26,$E$22:$E$26),_xlfn.XLOOKUP($P143,$D$31:$D$35,$E$31:$E$35),T56,$F131)</f>
        <v>150.69339646081124</v>
      </c>
      <c r="U143" s="55" cm="1">
        <f t="array" ref="U143">MMS_Dairy_ManureAppliedToSoils_Equations.VEERG_4_3_1_8__1_MassOfNitrogenAppliedToSoilsScope1(U44,_xlfn.XLOOKUP($P143,$D$22:$D$26,$E$22:$E$26),_xlfn.XLOOKUP($P143,$D$31:$D$35,$E$31:$E$35),U56,$F131)</f>
        <v>63.084673659356305</v>
      </c>
      <c r="V143" s="2"/>
    </row>
    <row r="144" spans="4:22" ht="20.100000000000001" customHeight="1" x14ac:dyDescent="0.25">
      <c r="D144" s="55" t="str">
        <f>'Input - Dairy'!$D$67</f>
        <v>Feed pad</v>
      </c>
      <c r="E144" s="55" t="str">
        <f>'Input - Dairy'!$D$110</f>
        <v>Sump and dispersal system</v>
      </c>
      <c r="F144" s="55" cm="1">
        <f t="array" ref="F144">MMS_Dairy_ManureAppliedToSoils_Equations.VEERG_4_3_1_8__1_MassOfNitrogenAppliedToSoilsScope1(F45,_xlfn.XLOOKUP($E144,$D$22:$D$26,$E$22:$E$26),_xlfn.XLOOKUP($E144,$D$31:$D$35,$E$31:$E$35),F57,$F132)</f>
        <v>352.8555895224701</v>
      </c>
      <c r="G144" s="55" cm="1">
        <f t="array" ref="G144">MMS_Dairy_ManureAppliedToSoils_Equations.VEERG_4_3_1_8__1_MassOfNitrogenAppliedToSoilsScope1(G45,_xlfn.XLOOKUP($E144,$D$22:$D$26,$E$22:$E$26),_xlfn.XLOOKUP($E144,$D$31:$D$35,$E$31:$E$35),G57,$F132)</f>
        <v>137.21603276948386</v>
      </c>
      <c r="H144" s="55" cm="1">
        <f t="array" ref="H144">MMS_Dairy_ManureAppliedToSoils_Equations.VEERG_4_3_1_8__1_MassOfNitrogenAppliedToSoilsScope1(H45,_xlfn.XLOOKUP($E144,$D$22:$D$26,$E$22:$E$26),_xlfn.XLOOKUP($E144,$D$31:$D$35,$E$31:$E$35),H57,$F132)</f>
        <v>54.651694733913814</v>
      </c>
      <c r="I144" s="55" cm="1">
        <f t="array" ref="I144">MMS_Dairy_ManureAppliedToSoils_Equations.VEERG_4_3_1_8__1_MassOfNitrogenAppliedToSoilsScope1(I45,_xlfn.XLOOKUP($E144,$D$22:$D$26,$E$22:$E$26),_xlfn.XLOOKUP($E144,$D$31:$D$35,$E$31:$E$35),I57,$F132)</f>
        <v>172.48597994899006</v>
      </c>
      <c r="J144" s="55" cm="1">
        <f t="array" ref="J144">MMS_Dairy_ManureAppliedToSoils_Equations.VEERG_4_3_1_8__1_MassOfNitrogenAppliedToSoilsScope1(J45,_xlfn.XLOOKUP($E144,$D$22:$D$26,$E$22:$E$26),_xlfn.XLOOKUP($E144,$D$31:$D$35,$E$31:$E$35),J57,$F132)</f>
        <v>72.207688003940135</v>
      </c>
      <c r="K144" s="2" t="str">
        <f t="shared" si="4"/>
        <v>kg N</v>
      </c>
      <c r="O144" s="55" t="str">
        <f>'Input - Dairy'!$D$67</f>
        <v>Feed pad</v>
      </c>
      <c r="P144" s="55" t="str">
        <f>'Input - Dairy'!$D$110</f>
        <v>Sump and dispersal system</v>
      </c>
      <c r="Q144" s="55" cm="1">
        <f t="array" ref="Q144">MMS_Dairy_ManureAppliedToSoils_Equations.VEERG_4_3_1_8__1_MassOfNitrogenAppliedToSoilsScope1(Q45,_xlfn.XLOOKUP($P144,$D$22:$D$26,$E$22:$E$26),_xlfn.XLOOKUP($P144,$D$31:$D$35,$E$31:$E$35),Q57,$F132)</f>
        <v>352.8555895224701</v>
      </c>
      <c r="R144" s="55" cm="1">
        <f t="array" ref="R144">MMS_Dairy_ManureAppliedToSoils_Equations.VEERG_4_3_1_8__1_MassOfNitrogenAppliedToSoilsScope1(R45,_xlfn.XLOOKUP($P144,$D$22:$D$26,$E$22:$E$26),_xlfn.XLOOKUP($P144,$D$31:$D$35,$E$31:$E$35),R57,$F132)</f>
        <v>137.21603276948386</v>
      </c>
      <c r="S144" s="55" cm="1">
        <f t="array" ref="S144">MMS_Dairy_ManureAppliedToSoils_Equations.VEERG_4_3_1_8__1_MassOfNitrogenAppliedToSoilsScope1(S45,_xlfn.XLOOKUP($P144,$D$22:$D$26,$E$22:$E$26),_xlfn.XLOOKUP($P144,$D$31:$D$35,$E$31:$E$35),S57,$F132)</f>
        <v>54.651694733913814</v>
      </c>
      <c r="T144" s="55" cm="1">
        <f t="array" ref="T144">MMS_Dairy_ManureAppliedToSoils_Equations.VEERG_4_3_1_8__1_MassOfNitrogenAppliedToSoilsScope1(T45,_xlfn.XLOOKUP($P144,$D$22:$D$26,$E$22:$E$26),_xlfn.XLOOKUP($P144,$D$31:$D$35,$E$31:$E$35),T57,$F132)</f>
        <v>172.48597994899006</v>
      </c>
      <c r="U144" s="55" cm="1">
        <f t="array" ref="U144">MMS_Dairy_ManureAppliedToSoils_Equations.VEERG_4_3_1_8__1_MassOfNitrogenAppliedToSoilsScope1(U45,_xlfn.XLOOKUP($P144,$D$22:$D$26,$E$22:$E$26),_xlfn.XLOOKUP($P144,$D$31:$D$35,$E$31:$E$35),U57,$F132)</f>
        <v>72.207688003940135</v>
      </c>
      <c r="V144" s="2"/>
    </row>
    <row r="145" spans="1:22" ht="20.100000000000001" customHeight="1" x14ac:dyDescent="0.25">
      <c r="D145" s="55" t="str">
        <f>'Input - Dairy'!$D$67</f>
        <v>Feed pad</v>
      </c>
      <c r="E145" s="55" t="str">
        <f>'Input - Dairy'!$D$115</f>
        <v>Drains to paddock</v>
      </c>
      <c r="F145" s="55" cm="1">
        <f t="array" ref="F145">MMS_Dairy_ManureAppliedToSoils_Equations.VEERG_4_3_1_8__1_MassOfNitrogenAppliedToSoilsScope1(F46,_xlfn.XLOOKUP($E145,$D$22:$D$26,$E$22:$E$26),_xlfn.XLOOKUP($E145,$D$31:$D$35,$E$31:$E$35),F58,$F133)</f>
        <v>303.53168991180229</v>
      </c>
      <c r="G145" s="55" cm="1">
        <f t="array" ref="G145">MMS_Dairy_ManureAppliedToSoils_Equations.VEERG_4_3_1_8__1_MassOfNitrogenAppliedToSoilsScope1(G46,_xlfn.XLOOKUP($E145,$D$22:$D$26,$E$22:$E$26),_xlfn.XLOOKUP($E145,$D$31:$D$35,$E$31:$E$35),G58,$F133)</f>
        <v>118.03529700600764</v>
      </c>
      <c r="H145" s="55" cm="1">
        <f t="array" ref="H145">MMS_Dairy_ManureAppliedToSoils_Equations.VEERG_4_3_1_8__1_MassOfNitrogenAppliedToSoilsScope1(H46,_xlfn.XLOOKUP($E145,$D$22:$D$26,$E$22:$E$26),_xlfn.XLOOKUP($E145,$D$31:$D$35,$E$31:$E$35),H58,$F133)</f>
        <v>47.012210523796831</v>
      </c>
      <c r="I145" s="55" cm="1">
        <f t="array" ref="I145">MMS_Dairy_ManureAppliedToSoils_Equations.VEERG_4_3_1_8__1_MassOfNitrogenAppliedToSoilsScope1(I46,_xlfn.XLOOKUP($E145,$D$22:$D$26,$E$22:$E$26),_xlfn.XLOOKUP($E145,$D$31:$D$35,$E$31:$E$35),I58,$F133)</f>
        <v>148.37503651526029</v>
      </c>
      <c r="J145" s="55" cm="1">
        <f t="array" ref="J145">MMS_Dairy_ManureAppliedToSoils_Equations.VEERG_4_3_1_8__1_MassOfNitrogenAppliedToSoilsScope1(J46,_xlfn.XLOOKUP($E145,$D$22:$D$26,$E$22:$E$26),_xlfn.XLOOKUP($E145,$D$31:$D$35,$E$31:$E$35),J58,$F133)</f>
        <v>62.114140218443133</v>
      </c>
      <c r="K145" s="2" t="str">
        <f t="shared" si="4"/>
        <v>kg N</v>
      </c>
      <c r="O145" s="55" t="str">
        <f>'Input - Dairy'!$D$67</f>
        <v>Feed pad</v>
      </c>
      <c r="P145" s="55" t="str">
        <f>'Input - Dairy'!$D$115</f>
        <v>Drains to paddock</v>
      </c>
      <c r="Q145" s="55" cm="1">
        <f t="array" ref="Q145">MMS_Dairy_ManureAppliedToSoils_Equations.VEERG_4_3_1_8__1_MassOfNitrogenAppliedToSoilsScope1(Q46,_xlfn.XLOOKUP($P145,$D$22:$D$26,$E$22:$E$26),_xlfn.XLOOKUP($P145,$D$31:$D$35,$E$31:$E$35),Q58,$F133)</f>
        <v>303.53168991180229</v>
      </c>
      <c r="R145" s="55" cm="1">
        <f t="array" ref="R145">MMS_Dairy_ManureAppliedToSoils_Equations.VEERG_4_3_1_8__1_MassOfNitrogenAppliedToSoilsScope1(R46,_xlfn.XLOOKUP($P145,$D$22:$D$26,$E$22:$E$26),_xlfn.XLOOKUP($P145,$D$31:$D$35,$E$31:$E$35),R58,$F133)</f>
        <v>118.03529700600764</v>
      </c>
      <c r="S145" s="55" cm="1">
        <f t="array" ref="S145">MMS_Dairy_ManureAppliedToSoils_Equations.VEERG_4_3_1_8__1_MassOfNitrogenAppliedToSoilsScope1(S46,_xlfn.XLOOKUP($P145,$D$22:$D$26,$E$22:$E$26),_xlfn.XLOOKUP($P145,$D$31:$D$35,$E$31:$E$35),S58,$F133)</f>
        <v>47.012210523796831</v>
      </c>
      <c r="T145" s="55" cm="1">
        <f t="array" ref="T145">MMS_Dairy_ManureAppliedToSoils_Equations.VEERG_4_3_1_8__1_MassOfNitrogenAppliedToSoilsScope1(T46,_xlfn.XLOOKUP($P145,$D$22:$D$26,$E$22:$E$26),_xlfn.XLOOKUP($P145,$D$31:$D$35,$E$31:$E$35),T58,$F133)</f>
        <v>148.37503651526029</v>
      </c>
      <c r="U145" s="55" cm="1">
        <f t="array" ref="U145">MMS_Dairy_ManureAppliedToSoils_Equations.VEERG_4_3_1_8__1_MassOfNitrogenAppliedToSoilsScope1(U46,_xlfn.XLOOKUP($P145,$D$22:$D$26,$E$22:$E$26),_xlfn.XLOOKUP($P145,$D$31:$D$35,$E$31:$E$35),U58,$F133)</f>
        <v>62.114140218443133</v>
      </c>
      <c r="V145" s="2"/>
    </row>
    <row r="146" spans="1:22" ht="20.100000000000001" customHeight="1" x14ac:dyDescent="0.25">
      <c r="D146" s="55" t="str">
        <f>'Input - Dairy'!$D$67</f>
        <v>Feed pad</v>
      </c>
      <c r="E146" s="55" t="s">
        <v>412</v>
      </c>
      <c r="F146" s="55" cm="1">
        <f t="array" ref="F146">MMS_Dairy_ManureAppliedToSoils_Equations.VEERG_4_3_1_8__1_MassOfNitrogenAppliedToSoilsScope1(F47,_xlfn.XLOOKUP($E146,$D$22:$D$26,$E$22:$E$26),_xlfn.XLOOKUP($E146,$D$31:$D$35,$E$31:$E$35),F59,$F134)</f>
        <v>448.18351088539555</v>
      </c>
      <c r="G146" s="55" cm="1">
        <f t="array" ref="G146">MMS_Dairy_ManureAppliedToSoils_Equations.VEERG_4_3_1_8__1_MassOfNitrogenAppliedToSoilsScope1(G47,_xlfn.XLOOKUP($E146,$D$22:$D$26,$E$22:$E$26),_xlfn.XLOOKUP($E146,$D$31:$D$35,$E$31:$E$35),G59,$F134)</f>
        <v>174.28649323543314</v>
      </c>
      <c r="H146" s="55" cm="1">
        <f t="array" ref="H146">MMS_Dairy_ManureAppliedToSoils_Equations.VEERG_4_3_1_8__1_MassOfNitrogenAppliedToSoilsScope1(H47,_xlfn.XLOOKUP($E146,$D$22:$D$26,$E$22:$E$26),_xlfn.XLOOKUP($E146,$D$31:$D$35,$E$31:$E$35),H59,$F134)</f>
        <v>69.416467101543759</v>
      </c>
      <c r="I146" s="55" cm="1">
        <f t="array" ref="I146">MMS_Dairy_ManureAppliedToSoils_Equations.VEERG_4_3_1_8__1_MassOfNitrogenAppliedToSoilsScope1(I47,_xlfn.XLOOKUP($E146,$D$22:$D$26,$E$22:$E$26),_xlfn.XLOOKUP($E146,$D$31:$D$35,$E$31:$E$35),I59,$F134)</f>
        <v>219.08501485456401</v>
      </c>
      <c r="J146" s="55" cm="1">
        <f t="array" ref="J146">MMS_Dairy_ManureAppliedToSoils_Equations.VEERG_4_3_1_8__1_MassOfNitrogenAppliedToSoilsScope1(J47,_xlfn.XLOOKUP($E146,$D$22:$D$26,$E$22:$E$26),_xlfn.XLOOKUP($E146,$D$31:$D$35,$E$31:$E$35),J59,$F134)</f>
        <v>91.715410166294944</v>
      </c>
      <c r="K146" s="2" t="str">
        <f t="shared" si="4"/>
        <v>kg N</v>
      </c>
      <c r="O146" s="55" t="str">
        <f>'Input - Dairy'!$D$67</f>
        <v>Feed pad</v>
      </c>
      <c r="P146" s="55" t="s">
        <v>412</v>
      </c>
      <c r="Q146" s="55" cm="1">
        <f t="array" ref="Q146">MMS_Dairy_ManureAppliedToSoils_Equations.VEERG_4_3_1_8__1_MassOfNitrogenAppliedToSoilsScope1(Q47,_xlfn.XLOOKUP($P146,$D$22:$D$26,$E$22:$E$26),_xlfn.XLOOKUP($P146,$D$31:$D$35,$E$31:$E$35),Q59,$F134)</f>
        <v>448.18351088539555</v>
      </c>
      <c r="R146" s="55" cm="1">
        <f t="array" ref="R146">MMS_Dairy_ManureAppliedToSoils_Equations.VEERG_4_3_1_8__1_MassOfNitrogenAppliedToSoilsScope1(R47,_xlfn.XLOOKUP($P146,$D$22:$D$26,$E$22:$E$26),_xlfn.XLOOKUP($P146,$D$31:$D$35,$E$31:$E$35),R59,$F134)</f>
        <v>174.28649323543314</v>
      </c>
      <c r="S146" s="55" cm="1">
        <f t="array" ref="S146">MMS_Dairy_ManureAppliedToSoils_Equations.VEERG_4_3_1_8__1_MassOfNitrogenAppliedToSoilsScope1(S47,_xlfn.XLOOKUP($P146,$D$22:$D$26,$E$22:$E$26),_xlfn.XLOOKUP($P146,$D$31:$D$35,$E$31:$E$35),S59,$F134)</f>
        <v>69.416467101543759</v>
      </c>
      <c r="T146" s="55" cm="1">
        <f t="array" ref="T146">MMS_Dairy_ManureAppliedToSoils_Equations.VEERG_4_3_1_8__1_MassOfNitrogenAppliedToSoilsScope1(T47,_xlfn.XLOOKUP($P146,$D$22:$D$26,$E$22:$E$26),_xlfn.XLOOKUP($P146,$D$31:$D$35,$E$31:$E$35),T59,$F134)</f>
        <v>219.08501485456401</v>
      </c>
      <c r="U146" s="55" cm="1">
        <f t="array" ref="U146">MMS_Dairy_ManureAppliedToSoils_Equations.VEERG_4_3_1_8__1_MassOfNitrogenAppliedToSoilsScope1(U47,_xlfn.XLOOKUP($P146,$D$22:$D$26,$E$22:$E$26),_xlfn.XLOOKUP($P146,$D$31:$D$35,$E$31:$E$35),U59,$F134)</f>
        <v>91.715410166294944</v>
      </c>
      <c r="V146" s="2"/>
    </row>
    <row r="147" spans="1:22" ht="20.100000000000001" customHeight="1" x14ac:dyDescent="0.25"/>
    <row r="148" spans="1:22" ht="20.100000000000001" customHeight="1" x14ac:dyDescent="0.25">
      <c r="A148" s="141" t="str">
        <f>HYPERLINK("#A1", "▲ Back to top")</f>
        <v>▲ Back to top</v>
      </c>
      <c r="D148" s="108" t="s">
        <v>141</v>
      </c>
      <c r="E148" s="109">
        <f>SUM(F139:J146)</f>
        <v>4139.1577931583588</v>
      </c>
      <c r="F148" s="110" t="str">
        <f>$E$95</f>
        <v>kg N</v>
      </c>
      <c r="O148" s="108" t="s">
        <v>141</v>
      </c>
      <c r="P148" s="109">
        <f>SUM(Q139:U146)</f>
        <v>4139.1577931583588</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workbookViewId="0">
      <selection activeCell="A16" sqref="A1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359</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A6" s="16"/>
      <c r="D6" s="5" t="str" cm="1">
        <f t="array" ref="D6">MMS_Dairy_N2ODirect_Equations.VEERG_4_3_1_3__2_TotalNitrogenInEachMMS_Source()</f>
        <v>VEERG 2026: 4.3.1.3, Equation (2)</v>
      </c>
    </row>
    <row r="7" spans="1:23" ht="20.100000000000001" customHeight="1" x14ac:dyDescent="0.25">
      <c r="A7" s="20" t="s">
        <v>3</v>
      </c>
      <c r="D7" s="13" t="s">
        <v>28</v>
      </c>
      <c r="E7" s="13" t="str" cm="1">
        <f t="array" aca="1" ref="E7" ca="1">Common_InputFunctions.Utility_DisplayFunctionName(F31)</f>
        <v>=MMS_Dairy_N2ODirect_Equations.VEERG_4_3_1_3__2_TotalNitrogenInEachMMS</v>
      </c>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31</v>
      </c>
      <c r="E10" s="1" t="str" cm="1">
        <f t="array" ref="E10">MMS_Dairy_N2ODirect_Equations.VEERG_4_3_1_3__2_TotalNitrogenInEachMMS_Variable()</f>
        <v>MN_jm</v>
      </c>
    </row>
    <row r="11" spans="1:23" ht="20.100000000000001" customHeight="1" x14ac:dyDescent="0.25">
      <c r="A11" s="19" t="s">
        <v>78</v>
      </c>
      <c r="D11" s="56" t="s">
        <v>21</v>
      </c>
      <c r="E11" s="57" t="str" cm="1">
        <f t="array" ref="E11">MMS_Dairy_N2ODirect_Equations.VEERG_4_3_1_3__2_TotalNitrogenInEachMMS_Unit()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_xlfn.CHOOSECOLS(MMS_Dairy_N2ODirect_Equations.VEERG_4_3_1_3__2_TotalNitrogenInEachMMS_Arguments(),1,2)</f>
        <v>AE_j</v>
      </c>
      <c r="E13" s="136" t="str">
        <v>total nitrogen excreted by each dairy class</v>
      </c>
      <c r="F13" s="138"/>
      <c r="G13" s="137" t="str" cm="1">
        <f t="array" ref="G13:H14">_xlfn.CHOOSECOLS(MMS_Dairy_N2ODirect_Equations.VEERG_4_3_1_3__2_TotalNitrogenInEachMMS_Arguments(),3,4)</f>
        <v>kg N</v>
      </c>
      <c r="H13" s="133" t="str">
        <v>Calculated from 4.3.1.3 (3a) and (3b)</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tr">
        <v>MMS_jm</v>
      </c>
      <c r="E14" s="136" t="str">
        <v>manure management system fraction for class j and system m</v>
      </c>
      <c r="F14" s="138"/>
      <c r="G14" s="137" t="str">
        <v>fraction</v>
      </c>
      <c r="H14" s="135" t="str">
        <v>Input</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123</v>
      </c>
      <c r="O16" s="104" t="s">
        <v>123</v>
      </c>
    </row>
    <row r="17" spans="1:22" ht="20.100000000000001" customHeight="1" x14ac:dyDescent="0.25">
      <c r="A17" s="22" t="str">
        <f>HYPERLINK("#'4.3.1.9 Soil direct N2O'!A1", "4.3.1.9 Soil direct N2O")</f>
        <v>4.3.1.9 Soil direct N2O</v>
      </c>
      <c r="D17" s="103" t="s">
        <v>362</v>
      </c>
      <c r="O17" s="103" t="s">
        <v>362</v>
      </c>
    </row>
    <row r="18" spans="1:22" ht="20.100000000000001" customHeight="1" x14ac:dyDescent="0.25">
      <c r="A18" s="17" t="str">
        <f>HYPERLINK("#'4.3.1.10-11 Soil Atmos Dep'!A1", "4.3.1.10-11 Soil atm. deposition")</f>
        <v>4.3.1.10-11 Soil atm. deposition</v>
      </c>
      <c r="D18" s="54" t="s">
        <v>175</v>
      </c>
      <c r="E18" s="54" t="s">
        <v>192</v>
      </c>
      <c r="F18" s="54" t="s">
        <v>193</v>
      </c>
      <c r="G18" s="54" t="s">
        <v>194</v>
      </c>
      <c r="H18" s="54" t="s">
        <v>195</v>
      </c>
      <c r="O18" s="54" t="s">
        <v>175</v>
      </c>
      <c r="P18" s="54" t="s">
        <v>192</v>
      </c>
      <c r="Q18" s="54" t="s">
        <v>193</v>
      </c>
      <c r="R18" s="54" t="s">
        <v>194</v>
      </c>
      <c r="S18" s="54" t="s">
        <v>195</v>
      </c>
    </row>
    <row r="19" spans="1:22" ht="20.100000000000001" customHeight="1" x14ac:dyDescent="0.25">
      <c r="A19" s="17" t="str">
        <f>HYPERLINK("#'4.3.1.12-13 Soil leach runoff'!A1", "4.3.1.12-13 Soil leach &amp; runoff")</f>
        <v>4.3.1.12-13 Soil leach &amp; runoff</v>
      </c>
      <c r="D19" s="55">
        <f>'4.3.1.3-4 Direct N20'!D176</f>
        <v>21315.427662345664</v>
      </c>
      <c r="E19" s="55">
        <f>'4.3.1.3-4 Direct N20'!E176</f>
        <v>8288.9955762645804</v>
      </c>
      <c r="F19" s="55">
        <f>'4.3.1.3-4 Direct N20'!F213</f>
        <v>3301.419278356519</v>
      </c>
      <c r="G19" s="55">
        <f>'4.3.1.3-4 Direct N20'!G176</f>
        <v>10419.59526090311</v>
      </c>
      <c r="H19" s="55">
        <f>'4.3.1.3-4 Direct N20'!H213</f>
        <v>4361.9480490479727</v>
      </c>
      <c r="I19" s="2" t="str">
        <f>$G$13</f>
        <v>kg N</v>
      </c>
      <c r="O19" s="55">
        <f>'4.3.1.3-4 Direct N20'!N176</f>
        <v>21315.427662345664</v>
      </c>
      <c r="P19" s="55">
        <f>'4.3.1.3-4 Direct N20'!O176</f>
        <v>8288.9955762645804</v>
      </c>
      <c r="Q19" s="55">
        <f>'4.3.1.3-4 Direct N20'!P213</f>
        <v>3301.419278356519</v>
      </c>
      <c r="R19" s="55">
        <f>'4.3.1.3-4 Direct N20'!Q176</f>
        <v>10419.59526090311</v>
      </c>
      <c r="S19" s="55">
        <f>'4.3.1.3-4 Direct N20'!R213</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360</v>
      </c>
      <c r="O22" s="104" t="s">
        <v>429</v>
      </c>
    </row>
    <row r="23" spans="1:22" ht="20.100000000000001" customHeight="1" x14ac:dyDescent="0.25">
      <c r="A23" s="17" t="str">
        <f>HYPERLINK("#'Constants - Livestock'!A1", "Constants - Livestock")</f>
        <v>Constants - Livestock</v>
      </c>
      <c r="D23" s="103" t="s">
        <v>361</v>
      </c>
      <c r="O23" s="103" t="s">
        <v>430</v>
      </c>
    </row>
    <row r="24" spans="1:22" ht="20.100000000000001" customHeight="1" x14ac:dyDescent="0.25">
      <c r="A24" s="17" t="str">
        <f>HYPERLINK("#'Constants - Common'!A1", "Constants - Common")</f>
        <v>Constants - Common</v>
      </c>
      <c r="D24" s="41" t="s">
        <v>149</v>
      </c>
      <c r="E24" s="41" t="s">
        <v>69</v>
      </c>
      <c r="F24" s="41" t="s">
        <v>175</v>
      </c>
      <c r="G24" s="41" t="s">
        <v>192</v>
      </c>
      <c r="H24" s="41" t="s">
        <v>193</v>
      </c>
      <c r="I24" s="41" t="s">
        <v>194</v>
      </c>
      <c r="J24" s="41" t="s">
        <v>195</v>
      </c>
      <c r="O24" s="41" t="s">
        <v>149</v>
      </c>
      <c r="P24" s="41" t="s">
        <v>69</v>
      </c>
      <c r="Q24" s="41" t="s">
        <v>175</v>
      </c>
      <c r="R24" s="41" t="s">
        <v>192</v>
      </c>
      <c r="S24" s="41" t="s">
        <v>193</v>
      </c>
      <c r="T24" s="41" t="s">
        <v>194</v>
      </c>
      <c r="U24" s="41" t="s">
        <v>195</v>
      </c>
    </row>
    <row r="25" spans="1:22" ht="20.100000000000001" customHeight="1" x14ac:dyDescent="0.25">
      <c r="A25" s="17" t="str">
        <f>HYPERLINK("#'Acknowledgements'!A1", "Acknowledgements")</f>
        <v>Acknowledgements</v>
      </c>
      <c r="D25" s="55" t="str">
        <f>'Input - Dairy'!$D$65</f>
        <v>Pasture</v>
      </c>
      <c r="E25" s="55" t="str">
        <f>'Constants - Livestock'!$E$27</f>
        <v>Pasture range and paddock</v>
      </c>
      <c r="F25" s="55">
        <f>'Input - Dairy'!E65</f>
        <v>0.53400000000000003</v>
      </c>
      <c r="G25" s="55">
        <f>'Input - Dairy'!F65</f>
        <v>0.53400000000000003</v>
      </c>
      <c r="H25" s="55">
        <f>'Input - Dairy'!G65</f>
        <v>0.53400000000000003</v>
      </c>
      <c r="I25" s="55">
        <f>'Input - Dairy'!H65</f>
        <v>0.53400000000000003</v>
      </c>
      <c r="J25" s="55">
        <f>'Input - Dairy'!I65</f>
        <v>0.53400000000000003</v>
      </c>
      <c r="K25" s="2" t="str">
        <f>$G$14</f>
        <v>fraction</v>
      </c>
      <c r="O25" s="55" t="str">
        <f>'Input - Dairy'!$D$65</f>
        <v>Pasture</v>
      </c>
      <c r="P25" s="55" t="str">
        <f>'Constants - Livestock'!$E$27</f>
        <v>Pasture range and paddock</v>
      </c>
      <c r="Q25" s="55">
        <f>'Input - Dairy'!E70</f>
        <v>0.53400000000000003</v>
      </c>
      <c r="R25" s="55">
        <f>'Input - Dairy'!F70</f>
        <v>0.53400000000000003</v>
      </c>
      <c r="S25" s="55">
        <f>'Input - Dairy'!G70</f>
        <v>0.53400000000000003</v>
      </c>
      <c r="T25" s="55">
        <f>'Input - Dairy'!H70</f>
        <v>0.53400000000000003</v>
      </c>
      <c r="U25" s="55">
        <f>'Input - Dairy'!I70</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363</v>
      </c>
      <c r="O28" s="104" t="s">
        <v>365</v>
      </c>
    </row>
    <row r="29" spans="1:22" ht="20.100000000000001" customHeight="1" x14ac:dyDescent="0.25">
      <c r="D29" s="103" t="s">
        <v>364</v>
      </c>
      <c r="O29" s="103" t="s">
        <v>366</v>
      </c>
    </row>
    <row r="30" spans="1:22" ht="20.100000000000001" customHeight="1" x14ac:dyDescent="0.25">
      <c r="D30" s="54" t="s">
        <v>149</v>
      </c>
      <c r="E30" s="54" t="s">
        <v>69</v>
      </c>
      <c r="F30" s="54" t="s">
        <v>175</v>
      </c>
      <c r="G30" s="54" t="s">
        <v>192</v>
      </c>
      <c r="H30" s="54" t="s">
        <v>193</v>
      </c>
      <c r="I30" s="54" t="s">
        <v>194</v>
      </c>
      <c r="J30" s="54" t="s">
        <v>195</v>
      </c>
      <c r="O30" s="54" t="s">
        <v>149</v>
      </c>
      <c r="P30" s="54" t="s">
        <v>69</v>
      </c>
      <c r="Q30" s="54" t="s">
        <v>175</v>
      </c>
      <c r="R30" s="54" t="s">
        <v>192</v>
      </c>
      <c r="S30" s="54" t="s">
        <v>193</v>
      </c>
      <c r="T30" s="54" t="s">
        <v>194</v>
      </c>
      <c r="U30" s="54" t="s">
        <v>195</v>
      </c>
    </row>
    <row r="31" spans="1:22" ht="20.100000000000001" customHeight="1" x14ac:dyDescent="0.25">
      <c r="D31" s="55" t="str">
        <f>'Input - Dairy'!$D$65</f>
        <v>Pasture</v>
      </c>
      <c r="E31" s="55" t="str">
        <f>'Constants - Livestock'!$E$27</f>
        <v>Pasture range and paddock</v>
      </c>
      <c r="F31" s="55" cm="1">
        <f t="array" ref="F31">MMS_Dairy_N2ODirect_Equations.VEERG_4_3_1_3__2_TotalNitrogenInEachMMS(D19,F25)</f>
        <v>11382.438371692586</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'Input - Dairy'!$D$65</f>
        <v>Pasture</v>
      </c>
      <c r="P31" s="55" t="str">
        <f>'Constants - Livestock'!$E$27</f>
        <v>Pasture range and paddock</v>
      </c>
      <c r="Q31" s="55" cm="1">
        <f t="array" ref="Q31">MMS_Dairy_N2ODirect_Equations.VEERG_4_3_1_3__2_TotalNitrogenInEachMMS(D19,Q25)</f>
        <v>11382.438371692586</v>
      </c>
      <c r="R31" s="55" cm="1">
        <f t="array" ref="R31">MMS_Dairy_N2ODirect_Equations.VEERG_4_3_1_3__2_TotalNitrogenInEachMMS(E19,R25)</f>
        <v>4426.3236377252861</v>
      </c>
      <c r="S31" s="55" cm="1">
        <f t="array" ref="S31">MMS_Dairy_N2ODirect_Equations.VEERG_4_3_1_3__2_TotalNitrogenInEachMMS(F19,S25)</f>
        <v>1762.9578946423812</v>
      </c>
      <c r="T31" s="55" cm="1">
        <f t="array" ref="T31">MMS_Dairy_N2ODirect_Equations.VEERG_4_3_1_3__2_TotalNitrogenInEachMMS(G19,T25)</f>
        <v>5564.0638693222609</v>
      </c>
      <c r="U31" s="55" cm="1">
        <f t="array" ref="U31">MMS_Dairy_N2ODirect_Equations.VEERG_4_3_1_3__2_TotalNitrogenInEachMMS(H19,U25)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112</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MMS_Dairy_Soil_N2ODirect_Equations.VEERG_4_3_1_9__1_DirectNitrousOxideEmissionsOnPasture_Variable()</f>
        <v>E_N2Odir</v>
      </c>
    </row>
    <row r="41" spans="3:23" ht="20.100000000000001" customHeight="1" x14ac:dyDescent="0.25">
      <c r="D41" s="56" t="s">
        <v>21</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7" t="str" cm="1">
        <f t="array" ref="D43:E46">_xlfn.CHOOSECOLS(MMS_Dairy_Soil_N2ODirect_Equations.VEERG_4_3_1_9__1_DirectNitrousOxideEmissionsOnPasture_Arguments(),1,2)</f>
        <v>MN_jm14</v>
      </c>
      <c r="E43" s="136" t="str">
        <v>mass of nitrogen excreted on pasture, range, and paddock for each dairy cattle class</v>
      </c>
      <c r="F43" s="142"/>
      <c r="G43" s="138"/>
      <c r="H43" s="137" t="str" cm="1">
        <f t="array" ref="H43:I46">_xlfn.CHOOSECOLS(MMS_Dairy_Soil_N2ODirect_Equations.VEERG_4_3_1_9__1_DirectNitrousOxideEmissionsOnPasture_Arguments(),3,4)</f>
        <v>kg N</v>
      </c>
      <c r="I43" s="133" t="str">
        <v>Calculated from 4.3.1.3 (2)</v>
      </c>
      <c r="J43" s="134" t="str" cm="1">
        <f t="array" aca="1" ref="J43" ca="1">HYPERLINK(Common_InputFunctions.Utility_SourceHyperlink($D$28),$D$28)</f>
        <v>M1_Table_MN_j_m-14</v>
      </c>
    </row>
    <row r="44" spans="3:23" ht="20.100000000000001" customHeight="1" x14ac:dyDescent="0.25">
      <c r="D44" s="137" t="str">
        <v>EF_PRP</v>
      </c>
      <c r="E44" s="136" t="str">
        <v>emission factor for nitrous oxide emissions for urine and dung deposited on PRP</v>
      </c>
      <c r="F44" s="142"/>
      <c r="G44" s="138"/>
      <c r="H44" s="137" t="str">
        <v>kg N2O-N/kg N deposited</v>
      </c>
      <c r="I44" s="133" t="str">
        <v>Constant</v>
      </c>
      <c r="J44" s="137">
        <f>Common_InputFunctions.Utility_LookupValueInTable(J46, Table_SourceData_EFPastureRangeAndPaddock[Climate zone],Table_SourceData_EFPastureRangeAndPaddock[EFPRP])</f>
        <v>2E-3</v>
      </c>
    </row>
    <row r="45" spans="3:23" ht="20.100000000000001" customHeight="1" x14ac:dyDescent="0.25">
      <c r="D45" s="137" t="str">
        <v>C_N2O</v>
      </c>
      <c r="E45" s="136" t="str">
        <v>factor to convert elemental mass of N2O to molecular mass</v>
      </c>
      <c r="F45" s="142"/>
      <c r="G45" s="138"/>
      <c r="H45" s="137" t="str">
        <v/>
      </c>
      <c r="I45" s="133" t="str">
        <v>Constant</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tr">
        <v>z</v>
      </c>
      <c r="E46" s="136" t="str">
        <v>Wet or dry climate zone</v>
      </c>
      <c r="F46" s="142"/>
      <c r="G46" s="138"/>
      <c r="H46" s="137" t="str">
        <v/>
      </c>
      <c r="I46" s="135" t="str">
        <v>Input</v>
      </c>
      <c r="J46" s="137" t="str">
        <f>'Input - Site'!$E$32</f>
        <v>Dry climate zone</v>
      </c>
    </row>
    <row r="47" spans="3:23" ht="20.100000000000001" customHeight="1" x14ac:dyDescent="0.25"/>
    <row r="48" spans="3:23" ht="20.100000000000001" customHeight="1" x14ac:dyDescent="0.25">
      <c r="D48" s="104" t="s">
        <v>125</v>
      </c>
      <c r="O48" s="104" t="s">
        <v>369</v>
      </c>
    </row>
    <row r="49" spans="1:22" ht="20.100000000000001" customHeight="1" x14ac:dyDescent="0.25">
      <c r="D49" s="103" t="s">
        <v>368</v>
      </c>
      <c r="O49" s="103" t="s">
        <v>370</v>
      </c>
    </row>
    <row r="50" spans="1:22" ht="20.100000000000001" customHeight="1" x14ac:dyDescent="0.25">
      <c r="D50" s="54" t="s">
        <v>149</v>
      </c>
      <c r="E50" s="54" t="s">
        <v>69</v>
      </c>
      <c r="F50" s="54" t="s">
        <v>175</v>
      </c>
      <c r="G50" s="54" t="s">
        <v>192</v>
      </c>
      <c r="H50" s="54" t="s">
        <v>193</v>
      </c>
      <c r="I50" s="54" t="s">
        <v>194</v>
      </c>
      <c r="J50" s="54" t="s">
        <v>195</v>
      </c>
      <c r="O50" s="54" t="s">
        <v>149</v>
      </c>
      <c r="P50" s="54" t="s">
        <v>69</v>
      </c>
      <c r="Q50" s="54" t="s">
        <v>175</v>
      </c>
      <c r="R50" s="54" t="s">
        <v>192</v>
      </c>
      <c r="S50" s="54" t="s">
        <v>193</v>
      </c>
      <c r="T50" s="54" t="s">
        <v>194</v>
      </c>
      <c r="U50" s="54" t="s">
        <v>195</v>
      </c>
    </row>
    <row r="51" spans="1:22" ht="20.100000000000001" customHeight="1" x14ac:dyDescent="0.25">
      <c r="D51" s="55" t="str">
        <f>'Input - Dairy'!$D$65</f>
        <v>Pasture</v>
      </c>
      <c r="E51" s="55" t="str">
        <f>'Constants - Livestock'!$E$27</f>
        <v>Pasture range and paddock</v>
      </c>
      <c r="F51" s="55" cm="1">
        <f t="array" ref="F51">MMS_Dairy_Soil_N2ODirect_Equations.VEERG_4_3_1_9__1_DirectNitrousOxideEmissionsOnPasture(F31,$J$44,$J$45)</f>
        <v>3.5773377739605275E-2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'Input - Dairy'!$D$65</f>
        <v>Pasture</v>
      </c>
      <c r="P51" s="55" t="str">
        <f>'Constants - Livestock'!$E$27</f>
        <v>Pasture range and paddock</v>
      </c>
      <c r="Q51" s="55" cm="1">
        <f t="array" ref="Q51">MMS_Dairy_Soil_N2ODirect_Equations.VEERG_4_3_1_9__1_DirectNitrousOxideEmissionsOnPasture(Q31,$J$44,$J$45)</f>
        <v>3.5773377739605275E-2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1:22" ht="20.100000000000001" customHeight="1" x14ac:dyDescent="0.25"/>
    <row r="53" spans="1:22" ht="20.100000000000001" customHeight="1" x14ac:dyDescent="0.25">
      <c r="D53" s="108" t="s">
        <v>124</v>
      </c>
      <c r="E53" s="109">
        <f>SUM(F51:J51)</f>
        <v>8.0033058384947273E-2</v>
      </c>
      <c r="F53" s="110" t="str">
        <f>$E$41</f>
        <v>t N2O</v>
      </c>
      <c r="O53" s="108" t="s">
        <v>124</v>
      </c>
      <c r="P53" s="109">
        <f>SUM(Q51:U51)</f>
        <v>8.0033058384947273E-2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8.0033058384947273E-2</v>
      </c>
      <c r="O55" s="60" t="str" cm="1">
        <f t="array" ref="O55:P56">Common_Equations.Common_ConvertN2OToCO2e_Arguments()</f>
        <v>EN2O</v>
      </c>
      <c r="P55" s="61" t="str">
        <v>Nitrous oxide emissions (t N2O)</v>
      </c>
      <c r="Q55" s="111"/>
      <c r="R55" s="55">
        <f>P53</f>
        <v>8.0033058384947273E-2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111</v>
      </c>
      <c r="E58" s="48" cm="1">
        <f t="array" ref="E58">Common_Equations.Common_ConvertN2OToCO2e(G55,G56)</f>
        <v>21.208760472011026</v>
      </c>
      <c r="F58" s="112" t="str" cm="1">
        <f t="array" ref="F58">Common_Equations.Common_ConvertN2OToCO2e_Unit()</f>
        <v>t CO2e</v>
      </c>
      <c r="O58" s="48" t="s">
        <v>111</v>
      </c>
      <c r="P58" s="48" cm="1">
        <f t="array" ref="P58">Common_Equations.Common_ConvertN2OToCO2e(R55,R56)</f>
        <v>21.208760472011026</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A31" workbookViewId="0">
      <selection activeCell="A17" sqref="A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378</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16"/>
      <c r="D6" s="5" t="str" cm="1">
        <f t="array" ref="D6">MMS_Dairy_Soil_AtmosphericDeposition_Equations.VEERG_4_3_1_10__2_MassOfNitrogenVolatilisedOnPasture_Source()</f>
        <v>VEERG 2026: 4.3.1.10, Equation (2)</v>
      </c>
    </row>
    <row r="7" spans="1:23" ht="20.100000000000001" customHeight="1" x14ac:dyDescent="0.25">
      <c r="A7" s="20" t="s">
        <v>3</v>
      </c>
      <c r="D7" s="13" t="s">
        <v>28</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MMS_Dairy_Soil_AtmosphericDeposition_Equations.VEERG_4_3_1_10__2_MassOfNitrogenVolatilisedOnPasture_Variable()</f>
        <v>M_vol_m14</v>
      </c>
    </row>
    <row r="11" spans="1:23" ht="20.100000000000001" customHeight="1" x14ac:dyDescent="0.25">
      <c r="A11" s="19" t="s">
        <v>78</v>
      </c>
      <c r="D11" s="56" t="s">
        <v>21</v>
      </c>
      <c r="E11" s="57" t="str" cm="1">
        <f t="array" ref="E11">MMS_Dairy_Soil_AtmosphericDeposition_Equations.VEERG_4_3_1_10__2_MassOfNitrogenVolatilisedOnPasture_Unit()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_xlfn.CHOOSECOLS(MMS_Dairy_Soil_AtmosphericDeposition_Equations.VEERG_4_3_1_10__2_MassOfNitrogenVolatilisedOnPasture_Arguments(),1,2)</f>
        <v>MN_jm14</v>
      </c>
      <c r="E13" s="137" t="str">
        <v>mass of nitrogen excreted on pasture, range and paddock for each dairy class</v>
      </c>
      <c r="F13" s="137"/>
      <c r="G13" s="137" t="str" cm="1">
        <f t="array" ref="G13:H14">_xlfn.CHOOSECOLS(MMS_Dairy_Soil_AtmosphericDeposition_Equations.VEERG_4_3_1_10__2_MassOfNitrogenVolatilisedOnPasture_Arguments(),3,4)</f>
        <v>kg N</v>
      </c>
      <c r="H13" s="133" t="str">
        <v>Calculated from 4.3.1.3 (2)</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tr">
        <v>FracGASMsoil</v>
      </c>
      <c r="E14" s="137" t="str">
        <v>fraction of nitrogen volatilised from urine and faeces deposited on pasture</v>
      </c>
      <c r="F14" s="137"/>
      <c r="G14" s="137" t="str">
        <v>(kg NH3-N + NOx-N)/kg N)</v>
      </c>
      <c r="H14" s="133" t="str">
        <v>Constant</v>
      </c>
      <c r="I14" s="137">
        <f>'Constants - Dairy'!$D$215</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363</v>
      </c>
      <c r="M16" s="59"/>
      <c r="O16" s="104" t="s">
        <v>365</v>
      </c>
    </row>
    <row r="17" spans="1:23" ht="20.100000000000001" customHeight="1" x14ac:dyDescent="0.25">
      <c r="A17" s="17" t="str">
        <f>HYPERLINK("#'4.3.1.9 Soil direct N2O'!A1", "4.3.1.9 Soil direct N2O")</f>
        <v>4.3.1.9 Soil direct N2O</v>
      </c>
      <c r="D17" s="103" t="s">
        <v>364</v>
      </c>
      <c r="M17" s="59"/>
      <c r="O17" s="103" t="s">
        <v>366</v>
      </c>
    </row>
    <row r="18" spans="1:23" ht="20.100000000000001" customHeight="1" x14ac:dyDescent="0.25">
      <c r="A18" s="22" t="str">
        <f>HYPERLINK("#'4.3.1.10-11 Soil Atmos Dep'!A1", "4.3.1.10-11 Soil atm. deposition")</f>
        <v>4.3.1.10-11 Soil atm. deposition</v>
      </c>
      <c r="D18" s="54" t="s">
        <v>149</v>
      </c>
      <c r="E18" s="54" t="s">
        <v>69</v>
      </c>
      <c r="F18" s="54" t="s">
        <v>175</v>
      </c>
      <c r="G18" s="54" t="s">
        <v>192</v>
      </c>
      <c r="H18" s="54" t="s">
        <v>193</v>
      </c>
      <c r="I18" s="54" t="s">
        <v>194</v>
      </c>
      <c r="J18" s="54" t="s">
        <v>195</v>
      </c>
      <c r="M18" s="59"/>
      <c r="O18" s="54" t="s">
        <v>149</v>
      </c>
      <c r="P18" s="54" t="s">
        <v>69</v>
      </c>
      <c r="Q18" s="54" t="s">
        <v>175</v>
      </c>
      <c r="R18" s="54" t="s">
        <v>192</v>
      </c>
      <c r="S18" s="54" t="s">
        <v>193</v>
      </c>
      <c r="T18" s="54" t="s">
        <v>194</v>
      </c>
      <c r="U18" s="54" t="s">
        <v>195</v>
      </c>
    </row>
    <row r="19" spans="1:23" ht="20.100000000000001" customHeight="1" x14ac:dyDescent="0.25">
      <c r="A19" s="17" t="str">
        <f>HYPERLINK("#'4.3.1.12-13 Soil leach runoff'!A1", "4.3.1.12-13 Soil leach &amp; runoff")</f>
        <v>4.3.1.12-13 Soil leach &amp; runoff</v>
      </c>
      <c r="D19" s="55" t="str">
        <f>'Input - Dairy'!$D$65</f>
        <v>Pasture</v>
      </c>
      <c r="E19" s="55" t="str">
        <f>'Constants - Livestock'!$E$27</f>
        <v>Pasture range and paddock</v>
      </c>
      <c r="F19" s="55">
        <f>'4.3.1.9 Soil direct N2O'!$F$31</f>
        <v>11382.438371692586</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55" t="str">
        <f>'Input - Dairy'!$D$65</f>
        <v>Pasture</v>
      </c>
      <c r="P19" s="55" t="str">
        <f>'Constants - Livestock'!$E$27</f>
        <v>Pasture range and paddock</v>
      </c>
      <c r="Q19" s="55">
        <f>'4.3.1.9 Soil direct N2O'!$Q$31</f>
        <v>11382.438371692586</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7"/>
    </row>
    <row r="21" spans="1:23" ht="20.100000000000001" customHeight="1" x14ac:dyDescent="0.25">
      <c r="A21" s="18" t="s">
        <v>4</v>
      </c>
      <c r="D21" s="104" t="s">
        <v>371</v>
      </c>
      <c r="O21" s="104" t="s">
        <v>373</v>
      </c>
    </row>
    <row r="22" spans="1:23" ht="20.100000000000001" customHeight="1" x14ac:dyDescent="0.25">
      <c r="A22" s="17" t="str">
        <f>HYPERLINK("#'Constants - Dairy'!A1", "Constants - Dairy")</f>
        <v>Constants - Dairy</v>
      </c>
      <c r="D22" s="103" t="s">
        <v>372</v>
      </c>
      <c r="O22" s="103" t="s">
        <v>374</v>
      </c>
    </row>
    <row r="23" spans="1:23" ht="20.100000000000001" customHeight="1" x14ac:dyDescent="0.25">
      <c r="A23" s="17" t="str">
        <f>HYPERLINK("#'Constants - Livestock'!A1", "Constants - Livestock")</f>
        <v>Constants - Livestock</v>
      </c>
      <c r="D23" s="54" t="s">
        <v>149</v>
      </c>
      <c r="E23" s="54" t="s">
        <v>69</v>
      </c>
      <c r="F23" s="54" t="s">
        <v>175</v>
      </c>
      <c r="G23" s="54" t="s">
        <v>192</v>
      </c>
      <c r="H23" s="54" t="s">
        <v>193</v>
      </c>
      <c r="I23" s="54" t="s">
        <v>194</v>
      </c>
      <c r="J23" s="54" t="s">
        <v>195</v>
      </c>
      <c r="O23" s="54" t="s">
        <v>149</v>
      </c>
      <c r="P23" s="54" t="s">
        <v>69</v>
      </c>
      <c r="Q23" s="54" t="s">
        <v>175</v>
      </c>
      <c r="R23" s="54" t="s">
        <v>192</v>
      </c>
      <c r="S23" s="54" t="s">
        <v>193</v>
      </c>
      <c r="T23" s="54" t="s">
        <v>194</v>
      </c>
      <c r="U23" s="54" t="s">
        <v>195</v>
      </c>
    </row>
    <row r="24" spans="1:23" ht="20.100000000000001" customHeight="1" x14ac:dyDescent="0.25">
      <c r="A24" s="17" t="str">
        <f>HYPERLINK("#'Constants - Common'!A1", "Constants - Common")</f>
        <v>Constants - Common</v>
      </c>
      <c r="D24" s="55" t="str">
        <f>'Input - Dairy'!$D$65</f>
        <v>Pasture</v>
      </c>
      <c r="E24" s="55" t="str">
        <f>'Constants - Livestock'!$E$27</f>
        <v>Pasture range and paddock</v>
      </c>
      <c r="F24" s="55" cm="1">
        <f t="array" ref="F24">MMS_Dairy_Soil_AtmosphericDeposition_Equations.VEERG_4_3_1_10__2_MassOfNitrogenVolatilisedOnPasture(F19,$I$14)</f>
        <v>2390.3120580554428</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'Input - Dairy'!$D$65</f>
        <v>Pasture</v>
      </c>
      <c r="P24" s="55" t="str">
        <f>'Constants - Livestock'!$E$27</f>
        <v>Pasture range and paddock</v>
      </c>
      <c r="Q24" s="55" cm="1">
        <f t="array" ref="Q24">MMS_Dairy_Soil_AtmosphericDeposition_Equations.VEERG_4_3_1_10__2_MassOfNitrogenVolatilisedOnPasture(Q19,$I$14)</f>
        <v>2390.3120580554428</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385</v>
      </c>
      <c r="E26" s="48">
        <f>SUM(F24:J24)</f>
        <v>5347.6634466305668</v>
      </c>
      <c r="F26" s="112" t="str">
        <f>$E$11</f>
        <v>kg N</v>
      </c>
      <c r="O26" s="118" t="s">
        <v>385</v>
      </c>
      <c r="P26" s="48">
        <f>SUM(Q24:U24)</f>
        <v>5347.6634466305668</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28</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31</v>
      </c>
      <c r="E35" s="1" t="str" cm="1">
        <f t="array" ref="E35">MMS_Dairy_Soil_AtmosphericDeposition_Equations.VEERG_4_3_1_10__1_AtmosphericDepositionEmissionsFromUrineAndDungOnPasture_Variable()</f>
        <v>E_N2Oad</v>
      </c>
    </row>
    <row r="36" spans="4:19" ht="20.100000000000001" customHeight="1" x14ac:dyDescent="0.25">
      <c r="D36" s="56" t="s">
        <v>21</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7" t="str" cm="1">
        <f t="array" ref="D38:E43">_xlfn.CHOOSECOLS(MMS_Dairy_Soil_AtmosphericDeposition_Equations.VEERG_4_3_1_10__1_AtmosphericDepositionEmissionsFromUrineAndDungOnPasture_Arguments(),1,2)</f>
        <v>M_vol_m14</v>
      </c>
      <c r="E38" s="136" t="str">
        <v>mass of nitrogen volatilised from urine and faeces deposited on pasture</v>
      </c>
      <c r="F38" s="138"/>
      <c r="G38" s="137" t="str" cm="1">
        <f t="array" ref="G38:H43">_xlfn.CHOOSECOLS(MMS_Dairy_Soil_AtmosphericDeposition_Equations.VEERG_4_3_1_10__1_AtmosphericDepositionEmissionsFromUrineAndDungOnPasture_Arguments(),3,4)</f>
        <v>kg N</v>
      </c>
      <c r="H38" s="133" t="str">
        <v>Calculated from 4.3.1.10 (2)</v>
      </c>
      <c r="I38" s="137">
        <f>$E$26</f>
        <v>5347.6634466305668</v>
      </c>
      <c r="O38" s="60" t="str">
        <f>D38</f>
        <v>M_vol_m14</v>
      </c>
      <c r="P38" s="60" t="str">
        <f>E38</f>
        <v>mass of nitrogen volatilised from urine and faeces deposited on pasture</v>
      </c>
      <c r="Q38" s="61"/>
      <c r="R38" s="62"/>
      <c r="S38" s="60">
        <f>$P$26</f>
        <v>5347.6634466305668</v>
      </c>
    </row>
    <row r="39" spans="4:19" ht="20.100000000000001" customHeight="1" x14ac:dyDescent="0.25">
      <c r="D39" s="137" t="str">
        <v>EF_N2O</v>
      </c>
      <c r="E39" s="136" t="str">
        <v>nitrous oxide emission factor for atmospheric deposition</v>
      </c>
      <c r="F39" s="138"/>
      <c r="G39" s="137" t="str">
        <v>kg N2O-N/kg N</v>
      </c>
      <c r="H39" s="133"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tr">
        <v>C_N2O</v>
      </c>
      <c r="E40" s="136" t="str">
        <v>factor to convert elemental mass of N2O to molecular mass</v>
      </c>
      <c r="F40" s="138"/>
      <c r="G40" s="137" t="str">
        <v/>
      </c>
      <c r="H40" s="133" t="str">
        <v>Constant</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tr">
        <v>j</v>
      </c>
      <c r="E41" s="136" t="str">
        <v>production system</v>
      </c>
      <c r="F41" s="138"/>
      <c r="G41" s="137" t="str">
        <v/>
      </c>
      <c r="H41" s="135" t="str">
        <v>Input</v>
      </c>
      <c r="I41" s="137" t="str">
        <f>'Input - Dairy'!$E$125</f>
        <v>Pasture</v>
      </c>
      <c r="O41" s="60"/>
      <c r="P41" s="61"/>
      <c r="Q41" s="105"/>
      <c r="R41" s="62"/>
      <c r="S41" s="60"/>
    </row>
    <row r="42" spans="4:19" ht="20.100000000000001" customHeight="1" x14ac:dyDescent="0.25">
      <c r="D42" s="137" t="str">
        <v>ir</v>
      </c>
      <c r="E42" s="136" t="str">
        <v>irrigation method</v>
      </c>
      <c r="F42" s="138"/>
      <c r="G42" s="137" t="str">
        <v/>
      </c>
      <c r="H42" s="135" t="str">
        <v>Input</v>
      </c>
      <c r="I42" s="137" t="str">
        <f>'Input - Dairy'!$E$126</f>
        <v>Sprinkler irrigation</v>
      </c>
      <c r="O42" s="60"/>
      <c r="P42" s="61"/>
      <c r="Q42" s="105"/>
      <c r="R42" s="62"/>
      <c r="S42" s="60"/>
    </row>
    <row r="43" spans="4:19" ht="20.100000000000001" customHeight="1" x14ac:dyDescent="0.25">
      <c r="D43" s="137" t="str">
        <v>r</v>
      </c>
      <c r="E43" s="136" t="str">
        <v>rainfall region</v>
      </c>
      <c r="F43" s="138"/>
      <c r="G43" s="137" t="str">
        <v/>
      </c>
      <c r="H43" s="135" t="str">
        <v>Input</v>
      </c>
      <c r="I43" s="137" t="str">
        <f>'Input - Site'!$E$30</f>
        <v>High rainfall</v>
      </c>
      <c r="O43" s="60"/>
      <c r="P43" s="61"/>
      <c r="Q43" s="105"/>
      <c r="R43" s="62"/>
      <c r="S43" s="60"/>
    </row>
    <row r="44" spans="4:19" ht="20.100000000000001" customHeight="1" x14ac:dyDescent="0.25"/>
    <row r="45" spans="4:19" ht="20.100000000000001" customHeight="1" x14ac:dyDescent="0.25">
      <c r="D45" s="108" t="s">
        <v>156</v>
      </c>
      <c r="E45" s="109" cm="1">
        <f t="array" ref="E45">MMS_Dairy_Soil_AtmosphericDeposition_Equations.VEERG_4_3_1_10__1_AtmosphericDepositionEmissionsFromUrineAndDungOnPasture($I$38,$I$39,$I$40)</f>
        <v>4.958047966947482E-2</v>
      </c>
      <c r="F45" s="110" t="str">
        <f>$E$36</f>
        <v>t N2O</v>
      </c>
      <c r="O45" s="108" t="s">
        <v>156</v>
      </c>
      <c r="P45" s="109" cm="1">
        <f t="array" ref="P45">MMS_Dairy_Soil_AtmosphericDeposition_Equations.VEERG_4_3_1_10__1_AtmosphericDepositionEmissionsFromUrineAndDungOnPasture($S$38,$I$39,$I$40)</f>
        <v>4.958047966947482E-2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4.958047966947482E-2</v>
      </c>
      <c r="O47" s="60" t="str" cm="1">
        <f t="array" ref="O47:P48">Common_Equations.Common_ConvertN2OToCO2e_Arguments()</f>
        <v>EN2O</v>
      </c>
      <c r="P47" s="61" t="str">
        <v>Nitrous oxide emissions (t N2O)</v>
      </c>
      <c r="Q47" s="111"/>
      <c r="R47" s="55">
        <f>P45</f>
        <v>4.958047966947482E-2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111</v>
      </c>
      <c r="E50" s="48" cm="1">
        <f t="array" ref="E50">Common_Equations.Common_ConvertN2OToCO2e(G47,G48)</f>
        <v>13.138827112410826</v>
      </c>
      <c r="F50" s="112" t="str" cm="1">
        <f t="array" ref="F50">Common_Equations.Common_ConvertN2OToCO2e_Unit()</f>
        <v>t CO2e</v>
      </c>
      <c r="O50" s="48" t="s">
        <v>111</v>
      </c>
      <c r="P50" s="48" cm="1">
        <f t="array" ref="P50">Common_Equations.Common_ConvertN2OToCO2e(R47,R48)</f>
        <v>13.138827112410826</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topLeftCell="A39" workbookViewId="0">
      <selection activeCell="A18" sqref="A1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377</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16"/>
      <c r="D6" s="5" t="str" cm="1">
        <f t="array" ref="D6">MMS_Dairy_Soil_LeachingAndRunoff.VEERG_4_3_1_12__2_MassOfNitrogenLostToLeachingAndRunoffOnPasture_Source()</f>
        <v>VEERG 2026: 4.3.1.12, Equation (2)</v>
      </c>
    </row>
    <row r="7" spans="1:23" ht="20.100000000000001" customHeight="1" x14ac:dyDescent="0.25">
      <c r="A7" s="20" t="s">
        <v>3</v>
      </c>
      <c r="D7" s="13" t="s">
        <v>28</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Site'!A1", "Site")</f>
        <v>Site</v>
      </c>
      <c r="E8" s="1" t="s">
        <v>18</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MMS_Dairy_Soil_LeachingAndRunoff.VEERG_4_3_1_12__2_MassOfNitrogenLostToLeachingAndRunoffOnPasture_Variable()</f>
        <v>M_leach_m14</v>
      </c>
    </row>
    <row r="11" spans="1:23" ht="20.100000000000001" customHeight="1" x14ac:dyDescent="0.25">
      <c r="A11" s="19" t="s">
        <v>78</v>
      </c>
      <c r="D11" s="56" t="s">
        <v>21</v>
      </c>
      <c r="E11" s="57" t="str" cm="1">
        <f t="array" ref="E11">MMS_Dairy_Soil_LeachingAndRunoff.VEERG_4_3_1_12__2_MassOfNitrogenLostToLeachingAndRunoffOnPasture_Unit()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_xlfn.CHOOSECOLS(MMS_Dairy_Soil_LeachingAndRunoff.VEERG_4_3_1_12__2_MassOfNitrogenLostToLeachingAndRunoffOnPasture_Arguments(),1,2)</f>
        <v>MN_jm14</v>
      </c>
      <c r="E13" s="136" t="str">
        <v>mass of nitrogen excreted on pasture, range and paddock for each dairy class</v>
      </c>
      <c r="F13" s="138"/>
      <c r="G13" s="137" t="str" cm="1">
        <f t="array" ref="G13:H18">_xlfn.CHOOSECOLS(MMS_Dairy_Soil_LeachingAndRunoff.VEERG_4_3_1_12__2_MassOfNitrogenLostToLeachingAndRunoffOnPasture_Arguments(),3,4)</f>
        <v>kg N</v>
      </c>
      <c r="H13" s="133" t="str">
        <v>Calculated from 4.3.1.3 (2)</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tr">
        <v>FracWet</v>
      </c>
      <c r="E14" s="136" t="str">
        <v>fraction of N available for leaching and runoff</v>
      </c>
      <c r="F14" s="138"/>
      <c r="G14" s="137" t="str">
        <v/>
      </c>
      <c r="H14" s="133" t="str">
        <v>Constant</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tr">
        <v>FracLEACH</v>
      </c>
      <c r="E15" s="136" t="str">
        <v>fraction of N lost through leaching and runoff</v>
      </c>
      <c r="F15" s="138"/>
      <c r="G15" s="137" t="str">
        <v/>
      </c>
      <c r="H15" s="133" t="str">
        <v>Constant</v>
      </c>
      <c r="I15" s="137">
        <f>'Constants - Dairy'!$D$209</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38"/>
      <c r="G16" s="137" t="str">
        <v/>
      </c>
      <c r="H16" s="135" t="str">
        <v>Input</v>
      </c>
      <c r="I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38"/>
      <c r="G17" s="137" t="str">
        <v/>
      </c>
      <c r="H17" s="135" t="str">
        <v>Input</v>
      </c>
      <c r="I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38"/>
      <c r="G18" s="137" t="str">
        <v/>
      </c>
      <c r="H18" s="135" t="str">
        <v>Input</v>
      </c>
      <c r="I18" s="137" t="str">
        <f>'Input - Dairy'!$E$126</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363</v>
      </c>
      <c r="M20" s="59"/>
      <c r="O20" s="104" t="s">
        <v>365</v>
      </c>
    </row>
    <row r="21" spans="1:22" ht="20.100000000000001" customHeight="1" x14ac:dyDescent="0.25">
      <c r="A21" s="18" t="s">
        <v>4</v>
      </c>
      <c r="D21" s="103" t="s">
        <v>364</v>
      </c>
      <c r="M21" s="59"/>
      <c r="O21" s="103" t="s">
        <v>366</v>
      </c>
    </row>
    <row r="22" spans="1:22" ht="20.100000000000001" customHeight="1" x14ac:dyDescent="0.25">
      <c r="A22" s="17" t="str">
        <f>HYPERLINK("#'Constants - Dairy'!A1", "Constants - Dairy")</f>
        <v>Constants - Dairy</v>
      </c>
      <c r="D22" s="54" t="s">
        <v>149</v>
      </c>
      <c r="E22" s="54" t="s">
        <v>69</v>
      </c>
      <c r="F22" s="54" t="s">
        <v>175</v>
      </c>
      <c r="G22" s="54" t="s">
        <v>192</v>
      </c>
      <c r="H22" s="54" t="s">
        <v>193</v>
      </c>
      <c r="I22" s="54" t="s">
        <v>194</v>
      </c>
      <c r="J22" s="54" t="s">
        <v>195</v>
      </c>
      <c r="M22" s="59"/>
      <c r="O22" s="54" t="s">
        <v>149</v>
      </c>
      <c r="P22" s="54" t="s">
        <v>69</v>
      </c>
      <c r="Q22" s="54" t="s">
        <v>175</v>
      </c>
      <c r="R22" s="54" t="s">
        <v>192</v>
      </c>
      <c r="S22" s="54" t="s">
        <v>193</v>
      </c>
      <c r="T22" s="54" t="s">
        <v>194</v>
      </c>
      <c r="U22" s="54" t="s">
        <v>195</v>
      </c>
    </row>
    <row r="23" spans="1:22" ht="20.100000000000001" customHeight="1" x14ac:dyDescent="0.25">
      <c r="A23" s="17" t="str">
        <f>HYPERLINK("#'Constants - Livestock'!A1", "Constants - Livestock")</f>
        <v>Constants - Livestock</v>
      </c>
      <c r="D23" s="55" t="str">
        <f>'Input - Dairy'!$D$65</f>
        <v>Pasture</v>
      </c>
      <c r="E23" s="55" t="str">
        <f>'Constants - Livestock'!$E$27</f>
        <v>Pasture range and paddock</v>
      </c>
      <c r="F23" s="55">
        <f>'4.3.1.9 Soil direct N2O'!$F$31</f>
        <v>11382.438371692586</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55" t="str">
        <f>'Input - Dairy'!$D$65</f>
        <v>Pasture</v>
      </c>
      <c r="P23" s="55" t="str">
        <f>'Constants - Livestock'!$E$27</f>
        <v>Pasture range and paddock</v>
      </c>
      <c r="Q23" s="55">
        <f>'4.3.1.9 Soil direct N2O'!$Q$31</f>
        <v>11382.438371692586</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379</v>
      </c>
      <c r="O25" s="104" t="s">
        <v>381</v>
      </c>
    </row>
    <row r="26" spans="1:22" ht="20.100000000000001" customHeight="1" x14ac:dyDescent="0.25">
      <c r="D26" s="103" t="s">
        <v>380</v>
      </c>
      <c r="O26" s="103" t="s">
        <v>382</v>
      </c>
    </row>
    <row r="27" spans="1:22" ht="20.100000000000001" customHeight="1" x14ac:dyDescent="0.25">
      <c r="D27" s="54" t="s">
        <v>149</v>
      </c>
      <c r="E27" s="54" t="s">
        <v>69</v>
      </c>
      <c r="F27" s="54" t="s">
        <v>175</v>
      </c>
      <c r="G27" s="54" t="s">
        <v>192</v>
      </c>
      <c r="H27" s="54" t="s">
        <v>193</v>
      </c>
      <c r="I27" s="54" t="s">
        <v>194</v>
      </c>
      <c r="J27" s="54" t="s">
        <v>195</v>
      </c>
      <c r="O27" s="54" t="s">
        <v>149</v>
      </c>
      <c r="P27" s="54" t="s">
        <v>69</v>
      </c>
      <c r="Q27" s="54" t="s">
        <v>175</v>
      </c>
      <c r="R27" s="54" t="s">
        <v>192</v>
      </c>
      <c r="S27" s="54" t="s">
        <v>193</v>
      </c>
      <c r="T27" s="54" t="s">
        <v>194</v>
      </c>
      <c r="U27" s="54" t="s">
        <v>195</v>
      </c>
    </row>
    <row r="28" spans="1:22" ht="20.100000000000001" customHeight="1" x14ac:dyDescent="0.25">
      <c r="D28" s="55" t="str">
        <f>'Input - Dairy'!$D$65</f>
        <v>Pasture</v>
      </c>
      <c r="E28" s="55" t="str">
        <f>'Constants - Livestock'!$E$27</f>
        <v>Pasture range and paddock</v>
      </c>
      <c r="F28" s="55" cm="1">
        <f t="array" ref="F28">MMS_Dairy_Soil_LeachingAndRunoff.VEERG_4_3_1_12__2_MassOfNitrogenLostToLeachingAndRunoffOnPasture(F23,$I$14,$I$15)</f>
        <v>227.64876743385173</v>
      </c>
      <c r="G28" s="55" cm="1">
        <f t="array" ref="G28">MMS_Dairy_Soil_LeachingAndRunoff.VEERG_4_3_1_12__2_MassOfNitrogenLostToLeachingAndRunoffOnPasture(G23,$I$14,$I$15)</f>
        <v>88.526472754505718</v>
      </c>
      <c r="H28" s="55" cm="1">
        <f t="array" ref="H28">MMS_Dairy_Soil_LeachingAndRunoff.VEERG_4_3_1_12__2_MassOfNitrogenLostToLeachingAndRunoffOnPasture(H23,$I$14,$I$15)</f>
        <v>35.259157892847625</v>
      </c>
      <c r="I28" s="55" cm="1">
        <f t="array" ref="I28">MMS_Dairy_Soil_LeachingAndRunoff.VEERG_4_3_1_12__2_MassOfNitrogenLostToLeachingAndRunoffOnPasture(I23,$I$14,$I$15)</f>
        <v>111.28127738644523</v>
      </c>
      <c r="J28" s="55" cm="1">
        <f t="array" ref="J28">MMS_Dairy_Soil_LeachingAndRunoff.VEERG_4_3_1_12__2_MassOfNitrogenLostToLeachingAndRunoffOnPasture(J23,$I$14,$I$15)</f>
        <v>46.585605163832355</v>
      </c>
      <c r="K28" s="2" t="str">
        <f>$E$11</f>
        <v>kg N</v>
      </c>
      <c r="O28" s="55" t="str">
        <f>'Input - Dairy'!$D$65</f>
        <v>Pasture</v>
      </c>
      <c r="P28" s="55" t="str">
        <f>'Constants - Livestock'!$E$27</f>
        <v>Pasture range and paddock</v>
      </c>
      <c r="Q28" s="55" cm="1">
        <f t="array" ref="Q28">MMS_Dairy_Soil_LeachingAndRunoff.VEERG_4_3_1_12__2_MassOfNitrogenLostToLeachingAndRunoffOnPasture(Q23,$I$14,$I$15)</f>
        <v>227.64876743385173</v>
      </c>
      <c r="R28" s="55" cm="1">
        <f t="array" ref="R28">MMS_Dairy_Soil_LeachingAndRunoff.VEERG_4_3_1_12__2_MassOfNitrogenLostToLeachingAndRunoffOnPasture(R23,$I$14,$I$15)</f>
        <v>88.526472754505718</v>
      </c>
      <c r="S28" s="55" cm="1">
        <f t="array" ref="S28">MMS_Dairy_Soil_LeachingAndRunoff.VEERG_4_3_1_12__2_MassOfNitrogenLostToLeachingAndRunoffOnPasture(S23,$I$14,$I$15)</f>
        <v>35.259157892847625</v>
      </c>
      <c r="T28" s="55" cm="1">
        <f t="array" ref="T28">MMS_Dairy_Soil_LeachingAndRunoff.VEERG_4_3_1_12__2_MassOfNitrogenLostToLeachingAndRunoffOnPasture(T23,$I$14,$I$15)</f>
        <v>111.28127738644523</v>
      </c>
      <c r="U28" s="55" cm="1">
        <f t="array" ref="U28">MMS_Dairy_Soil_LeachingAndRunoff.VEERG_4_3_1_12__2_MassOfNitrogenLostToLeachingAndRunoffOnPasture(U23,$I$14,$I$15)</f>
        <v>46.585605163832355</v>
      </c>
      <c r="V28" s="2" t="str">
        <f>$E$11</f>
        <v>kg N</v>
      </c>
    </row>
    <row r="29" spans="1:22" ht="20.100000000000001" customHeight="1" x14ac:dyDescent="0.25"/>
    <row r="30" spans="1:22" ht="20.100000000000001" customHeight="1" x14ac:dyDescent="0.25">
      <c r="D30" s="118" t="s">
        <v>384</v>
      </c>
      <c r="E30" s="48">
        <f>SUM(F28:J28)</f>
        <v>509.30128063148265</v>
      </c>
      <c r="F30" s="112" t="str">
        <f>$E$11</f>
        <v>kg N</v>
      </c>
      <c r="O30" s="118" t="s">
        <v>384</v>
      </c>
      <c r="P30" s="48">
        <f>SUM(Q28:U28)</f>
        <v>509.30128063148265</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28</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MMS_Dairy_Soil_LeachingAndRunoff.VEERG_4_3_1_12__1_LeachingAndRunoffEmissionsFromUrineAndDungOnPasture_Variable()</f>
        <v>E_N2Oleach</v>
      </c>
    </row>
    <row r="41" spans="3:23" ht="20.100000000000001" customHeight="1" x14ac:dyDescent="0.25">
      <c r="D41" s="56" t="s">
        <v>21</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7" t="str" cm="1">
        <f t="array" ref="D43:E45">_xlfn.CHOOSECOLS(MMS_Dairy_Soil_LeachingAndRunoff.VEERG_4_3_1_12__1_LeachingAndRunoffEmissionsFromUrineAndDungOnPasture_Arguments(),1,2)</f>
        <v>M_leach_m14</v>
      </c>
      <c r="E43" s="137" t="str">
        <v>mass of nitrogen lost to leaching and runoff from urine and faeces deposited on pasture</v>
      </c>
      <c r="F43" s="136"/>
      <c r="G43" s="138"/>
      <c r="H43" s="137" t="str" cm="1">
        <f t="array" ref="H43:I45">_xlfn.CHOOSECOLS(MMS_Dairy_Soil_LeachingAndRunoff.VEERG_4_3_1_12__1_LeachingAndRunoffEmissionsFromUrineAndDungOnPasture_Arguments(),3,4)</f>
        <v>kg N</v>
      </c>
      <c r="I43" s="133" t="str">
        <v>Calculated from 4.3.1.12 (2)</v>
      </c>
      <c r="J43" s="137">
        <f>$E$30</f>
        <v>509.30128063148265</v>
      </c>
      <c r="O43" s="137" t="str" cm="1">
        <f t="array" ref="O43:P45">_xlfn.CHOOSECOLS(MMS_Dairy_Soil_LeachingAndRunoff.VEERG_4_3_1_12__1_LeachingAndRunoffEmissionsFromUrineAndDungOnPasture_Arguments(),1,2)</f>
        <v>M_leach_m14</v>
      </c>
      <c r="P43" s="137" t="str">
        <v>mass of nitrogen lost to leaching and runoff from urine and faeces deposited on pasture</v>
      </c>
      <c r="Q43" s="136"/>
      <c r="R43" s="138"/>
      <c r="S43" s="137" t="str" cm="1">
        <f t="array" ref="S43:T45">_xlfn.CHOOSECOLS(MMS_Dairy_Soil_LeachingAndRunoff.VEERG_4_3_1_12__1_LeachingAndRunoffEmissionsFromUrineAndDungOnPasture_Arguments(),3,4)</f>
        <v>kg N</v>
      </c>
      <c r="T43" s="133" t="str">
        <v>Calculated from 4.3.1.12 (2)</v>
      </c>
      <c r="U43" s="60">
        <f>$P$30</f>
        <v>509.30128063148265</v>
      </c>
    </row>
    <row r="44" spans="3:23" ht="20.100000000000001" customHeight="1" x14ac:dyDescent="0.25">
      <c r="D44" s="137" t="str">
        <v>EF_leach</v>
      </c>
      <c r="E44" s="137" t="str">
        <v>nitrous oxide emission factor for leaching and runoff</v>
      </c>
      <c r="F44" s="136"/>
      <c r="G44" s="138"/>
      <c r="H44" s="137" t="str">
        <v>kg N2O-N/kg N</v>
      </c>
      <c r="I44" s="133" t="str">
        <v>Constant</v>
      </c>
      <c r="J44" s="137">
        <f>'Constants - Dairy'!$D$202</f>
        <v>1.0999999999999999E-2</v>
      </c>
      <c r="O44" s="137" t="str">
        <v>EF_leach</v>
      </c>
      <c r="P44" s="137" t="str">
        <v>nitrous oxide emission factor for leaching and runoff</v>
      </c>
      <c r="Q44" s="136"/>
      <c r="R44" s="138"/>
      <c r="S44" s="137" t="str">
        <v>kg N2O-N/kg N</v>
      </c>
      <c r="T44" s="133" t="str">
        <v>Constant</v>
      </c>
      <c r="U44" s="60"/>
    </row>
    <row r="45" spans="3:23" ht="20.100000000000001" customHeight="1" x14ac:dyDescent="0.25">
      <c r="D45" s="137" t="str">
        <v>C_N2O</v>
      </c>
      <c r="E45" s="137" t="str">
        <v>factor to convert elemental mass of N2O to molecular mass</v>
      </c>
      <c r="F45" s="136"/>
      <c r="G45" s="138"/>
      <c r="H45" s="137" t="str">
        <v/>
      </c>
      <c r="I45" s="133" t="str">
        <v>Constant</v>
      </c>
      <c r="J45" s="137">
        <f>Common_InputFunctions.Utility_LookupValueInTableNumber("N2O",Table_GasToMolecularConversionFactor[Gas],Table_GasToMolecularConversionFactor[Conversion factor combined])</f>
        <v>1.5714285714285714</v>
      </c>
      <c r="O45" s="137" t="str">
        <v>C_N2O</v>
      </c>
      <c r="P45" s="137" t="str">
        <v>factor to convert elemental mass of N2O to molecular mass</v>
      </c>
      <c r="Q45" s="136"/>
      <c r="R45" s="138"/>
      <c r="S45" s="137" t="str">
        <v/>
      </c>
      <c r="T45" s="133" t="str">
        <v>Constant</v>
      </c>
      <c r="U45" s="60"/>
    </row>
    <row r="46" spans="3:23" ht="20.100000000000001" customHeight="1" x14ac:dyDescent="0.25"/>
    <row r="47" spans="3:23" ht="20.100000000000001" customHeight="1" x14ac:dyDescent="0.25">
      <c r="D47" s="108" t="s">
        <v>383</v>
      </c>
      <c r="E47" s="109" cm="1">
        <f t="array" ref="E47">MMS_Dairy_Soil_LeachingAndRunoff.VEERG_4_3_1_12__1_LeachingAndRunoffEmissionsFromUrineAndDungOnPasture($J$43,$J$44,$J$45)</f>
        <v>8.8036364223441996E-3</v>
      </c>
      <c r="F47" s="110" t="str">
        <f>$E$41</f>
        <v>t N2O</v>
      </c>
      <c r="O47" s="108" t="s">
        <v>383</v>
      </c>
      <c r="P47" s="109" cm="1">
        <f t="array" ref="P47">MMS_Dairy_Soil_LeachingAndRunoff.VEERG_4_3_1_12__1_LeachingAndRunoffEmissionsFromUrineAndDungOnPasture($U$43,$J$44,$J$45)</f>
        <v>8.8036364223441996E-3</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8.8036364223441996E-3</v>
      </c>
      <c r="O49" s="60" t="str" cm="1">
        <f t="array" ref="O49:P50">Common_Equations.Common_ConvertN2OToCO2e_Arguments()</f>
        <v>EN2O</v>
      </c>
      <c r="P49" s="61" t="str">
        <v>Nitrous oxide emissions (t N2O)</v>
      </c>
      <c r="Q49" s="111"/>
      <c r="R49" s="55">
        <f>P47</f>
        <v>8.8036364223441996E-3</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111</v>
      </c>
      <c r="E52" s="48" cm="1">
        <f t="array" ref="E52">Common_Equations.Common_ConvertN2OToCO2e(G49,G50)</f>
        <v>2.3329636519212129</v>
      </c>
      <c r="F52" s="112" t="str" cm="1">
        <f t="array" ref="F52">Common_Equations.Common_ConvertN2OToCO2e_Unit()</f>
        <v>t CO2e</v>
      </c>
      <c r="O52" s="48" t="s">
        <v>111</v>
      </c>
      <c r="P52" s="48" cm="1">
        <f t="array" ref="P52">Common_Equations.Common_ConvertN2OToCO2e(R49,R50)</f>
        <v>2.3329636519212129</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30" zoomScale="85" zoomScaleNormal="85" workbookViewId="0">
      <selection activeCell="D227" sqref="D217:D227"/>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443</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172</v>
      </c>
      <c r="G5" s="6" t="s">
        <v>173</v>
      </c>
      <c r="J5" s="6" t="s">
        <v>150</v>
      </c>
      <c r="M5" s="1"/>
    </row>
    <row r="6" spans="1:21" ht="20.100000000000001" customHeight="1" x14ac:dyDescent="0.25">
      <c r="A6" s="16"/>
      <c r="M6" s="1"/>
    </row>
    <row r="7" spans="1:21" ht="20.100000000000001" customHeight="1" x14ac:dyDescent="0.25">
      <c r="A7" s="20" t="s">
        <v>3</v>
      </c>
      <c r="D7" s="102" t="s">
        <v>69</v>
      </c>
      <c r="E7" s="39" t="s">
        <v>83</v>
      </c>
      <c r="G7" s="39" t="s">
        <v>149</v>
      </c>
      <c r="J7" s="39" t="s">
        <v>147</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151</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152</v>
      </c>
      <c r="M9" s="1"/>
    </row>
    <row r="10" spans="1:21" ht="20.100000000000001" customHeight="1" x14ac:dyDescent="0.25">
      <c r="A10" s="17"/>
      <c r="D10" s="39" t="str">
        <f>'Constants - Livestock'!$E$14</f>
        <v>Drains to paddock</v>
      </c>
      <c r="E10" s="39" t="str">
        <f>'Constants - Livestock'!$F$14</f>
        <v>Drains to paddock (m=3b)</v>
      </c>
      <c r="J10" s="1" t="s">
        <v>153</v>
      </c>
      <c r="M10" s="1"/>
    </row>
    <row r="11" spans="1:21" ht="20.100000000000001" customHeight="1" x14ac:dyDescent="0.25">
      <c r="A11" s="19" t="s">
        <v>78</v>
      </c>
      <c r="D11" s="39" t="str">
        <f>'Constants - Livestock'!$E$15</f>
        <v>Solid storage</v>
      </c>
      <c r="E11" s="39" t="str">
        <f>'Constants - Livestock'!$F$15</f>
        <v>Solid storage (m=4)</v>
      </c>
      <c r="J11" s="1" t="s">
        <v>154</v>
      </c>
      <c r="M11" s="1"/>
    </row>
    <row r="12" spans="1:21" ht="20.100000000000001" customHeight="1" x14ac:dyDescent="0.25">
      <c r="A12" s="17" t="str">
        <f>HYPERLINK("#'4.3.1.1-2 Methane'!A1", "4.3.1.1-2 Methane")</f>
        <v>4.3.1.1-2 Methane</v>
      </c>
      <c r="J12" s="1" t="s">
        <v>155</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tr" cm="1">
        <f t="array" ref="D16">SourceData_Dairy.SourceData_Dairy_LiveweightCowsAndHeifers_Title()</f>
        <v>Table A.1.3.1: Dairy cattle - Liveweight (kg) - Cows and Heifers (Wj)</v>
      </c>
      <c r="M16" s="1"/>
    </row>
    <row r="17" spans="1:13" ht="20.100000000000001" customHeight="1" x14ac:dyDescent="0.25">
      <c r="A17" s="17" t="str">
        <f>HYPERLINK("#'4.3.1.9 Soil direct N2O'!A1", "4.3.1.9 Soil direct N2O")</f>
        <v>4.3.1.9 Soil direct N2O</v>
      </c>
      <c r="D17" s="5" t="str" cm="1">
        <f t="array" ref="D17">SourceData_Dairy.SourceData_Dairy_LiveweightCowsAndHeifers_Source()</f>
        <v>VEERG 2026: Table A.1.3.1</v>
      </c>
      <c r="M17" s="1"/>
    </row>
    <row r="18" spans="1:13" ht="20.100000000000001" customHeight="1" x14ac:dyDescent="0.25">
      <c r="A18" s="17" t="str">
        <f>HYPERLINK("#'4.3.1.10-11 Soil Atmos Dep'!A1", "4.3.1.10-11 Soil atm. deposition")</f>
        <v>4.3.1.10-11 Soil atm. deposition</v>
      </c>
      <c r="D18" s="1" t="str" cm="1">
        <f t="array" ref="D18">SourceData_Dairy.SourceData_Dairy_LiveweightCowsAndHeifers_Variable()</f>
        <v>Wj</v>
      </c>
      <c r="M18" s="1"/>
    </row>
    <row r="19" spans="1:13" ht="20.100000000000001" customHeight="1" x14ac:dyDescent="0.25">
      <c r="A19" s="17" t="str">
        <f>HYPERLINK("#'4.3.1.12-13 Soil leach runoff'!A1", "4.3.1.12-13 Soil leach &amp; runoff")</f>
        <v>4.3.1.12-13 Soil leach &amp; runoff</v>
      </c>
      <c r="D19" s="57" t="str" cm="1">
        <f t="array" ref="D19">SourceData_Dairy.SourceData_Dairy_LiveweightCowsAndHeifers_Unit()</f>
        <v>kg</v>
      </c>
      <c r="M19" s="1"/>
    </row>
    <row r="20" spans="1:13" ht="20.100000000000001" customHeight="1" x14ac:dyDescent="0.25">
      <c r="A20" s="17"/>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8" t="s">
        <v>4</v>
      </c>
      <c r="D21" s="39" t="s">
        <v>174</v>
      </c>
      <c r="E21" s="39" t="s">
        <v>175</v>
      </c>
      <c r="F21" s="39" t="s">
        <v>176</v>
      </c>
      <c r="G21" s="39" t="s">
        <v>177</v>
      </c>
      <c r="M21" s="1"/>
    </row>
    <row r="22" spans="1:13" ht="20.100000000000001" customHeight="1" x14ac:dyDescent="0.25">
      <c r="A22" s="72" t="str">
        <f>HYPERLINK("#'Constants - Dairy'!A1", "Constants - Dairy")</f>
        <v>Constants - Dairy</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Livestock'!A1", "Constants - Livestock")</f>
        <v>Constants - Livestock</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HYPERLINK("#'Constants - Common'!A1", "Constants - Common")</f>
        <v>Constants - Common</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17" t="str">
        <f>HYPERLINK("#'Acknowledgements'!A1", "Acknowledgements")</f>
        <v>Acknowledgements</v>
      </c>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174</v>
      </c>
      <c r="E38" s="39" t="s">
        <v>179</v>
      </c>
      <c r="F38" s="39" t="s">
        <v>178</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175</v>
      </c>
      <c r="E46" s="39" t="s">
        <v>176</v>
      </c>
      <c r="F46" s="39" t="s">
        <v>177</v>
      </c>
      <c r="G46" s="39" t="s">
        <v>179</v>
      </c>
      <c r="H46" s="39" t="s">
        <v>178</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25" t="s">
        <v>175</v>
      </c>
      <c r="E54" s="125" t="s">
        <v>176</v>
      </c>
      <c r="F54" s="125" t="s">
        <v>177</v>
      </c>
      <c r="G54" s="125" t="s">
        <v>179</v>
      </c>
      <c r="H54" s="125" t="s">
        <v>178</v>
      </c>
      <c r="M54" s="1"/>
    </row>
    <row r="55" spans="1:13" ht="20.100000000000001" customHeight="1" x14ac:dyDescent="0.25">
      <c r="A55" s="14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180</v>
      </c>
      <c r="E62" s="39" t="s">
        <v>181</v>
      </c>
      <c r="F62" s="39" t="s">
        <v>182</v>
      </c>
      <c r="G62" s="39" t="s">
        <v>183</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102</v>
      </c>
      <c r="E72" s="39" t="s">
        <v>84</v>
      </c>
      <c r="F72" s="39" t="s">
        <v>85</v>
      </c>
      <c r="G72" s="39" t="s">
        <v>86</v>
      </c>
      <c r="H72" s="39" t="s">
        <v>87</v>
      </c>
      <c r="I72" s="39" t="s">
        <v>88</v>
      </c>
      <c r="J72" s="39" t="s">
        <v>89</v>
      </c>
      <c r="K72" s="39" t="s">
        <v>90</v>
      </c>
      <c r="L72" s="39" t="s">
        <v>91</v>
      </c>
      <c r="M72" s="39" t="s">
        <v>191</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102</v>
      </c>
      <c r="E86" s="39" t="s">
        <v>184</v>
      </c>
      <c r="F86" s="39" t="s">
        <v>185</v>
      </c>
      <c r="G86" s="39" t="s">
        <v>191</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180</v>
      </c>
      <c r="E98" s="39" t="s">
        <v>186</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4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180</v>
      </c>
      <c r="E107" s="39" t="s">
        <v>187</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188</v>
      </c>
      <c r="E116" s="39" t="s">
        <v>148</v>
      </c>
      <c r="F116" s="39" t="s">
        <v>189</v>
      </c>
      <c r="G116" s="39" t="s">
        <v>190</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102</v>
      </c>
      <c r="E128" s="39" t="s">
        <v>184</v>
      </c>
      <c r="F128" s="39" t="s">
        <v>191</v>
      </c>
      <c r="G128" s="114" t="s">
        <v>206</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4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180</v>
      </c>
      <c r="E141" s="39" t="s">
        <v>201</v>
      </c>
      <c r="F141" s="39" t="s">
        <v>202</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4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Fraction of N that is lost through leaching and runoff</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Dimensionless</v>
      </c>
      <c r="M208" s="24"/>
    </row>
    <row r="209" spans="1:13" x14ac:dyDescent="0.25">
      <c r="D209" s="56" cm="1">
        <f t="array" ref="D209">SourceData_Dairy.SourceData_Dairy_FractionOfNitrogenLostThroughLeachingAndRunoff_Data()</f>
        <v>0.02</v>
      </c>
      <c r="M209" s="24"/>
    </row>
    <row r="210" spans="1:13" x14ac:dyDescent="0.25">
      <c r="M210" s="24"/>
    </row>
    <row r="211" spans="1:13" ht="23.25" x14ac:dyDescent="0.25">
      <c r="D211" s="6" t="str" cm="1">
        <f t="array" ref="D211">SourceData_Dairy.SourceData_Dairy_FracGASMSoil_Title()</f>
        <v>Fraction of nitrogen volatilized from urine and faeces deposited on pasture</v>
      </c>
      <c r="M211" s="24"/>
    </row>
    <row r="212" spans="1:13" x14ac:dyDescent="0.25">
      <c r="D212" s="5" t="str" cm="1">
        <f t="array" ref="D212">SourceData_Dairy.SourceData_Dairy_FracGASMSoil_Source()</f>
        <v>VEERG 2026: 4.3.2.3 CONSTANTS</v>
      </c>
      <c r="M212" s="24"/>
    </row>
    <row r="213" spans="1:13" x14ac:dyDescent="0.25">
      <c r="D213" s="1" t="str" cm="1">
        <f t="array" ref="D213">SourceData_Dairy.SourceData_Dairy_FracGASMSoil_Variable()</f>
        <v>FracGASMsoil</v>
      </c>
      <c r="M213" s="24"/>
    </row>
    <row r="214" spans="1:13" x14ac:dyDescent="0.25">
      <c r="D214" s="57" t="str" cm="1">
        <f t="array" ref="D214">SourceData_Dairy.SourceData_Dairy_FracGASMSoil_Unit()</f>
        <v>(kg NH3-N + NOx-N)/kg N</v>
      </c>
      <c r="M214" s="24"/>
    </row>
    <row r="215" spans="1:13" x14ac:dyDescent="0.25">
      <c r="A215" s="141" t="str">
        <f>HYPERLINK("#A1", "▲ Back to top")</f>
        <v>▲ Back to top</v>
      </c>
      <c r="D215" s="56" cm="1">
        <f t="array" ref="D215">SourceData_Dairy.SourceData_Dairy_FracGASMSoil_Data()</f>
        <v>0.21</v>
      </c>
      <c r="M215" s="24"/>
    </row>
    <row r="216" spans="1:13" x14ac:dyDescent="0.25">
      <c r="M216" s="24"/>
    </row>
    <row r="217" spans="1:13" ht="23.25" x14ac:dyDescent="0.25">
      <c r="D217" s="6" t="str" cm="1">
        <f t="array" ref="D217">SourceData_Dairy.SourceData_Dairy_FatContentInMilk_Title()</f>
        <v>Fat content in fat and protein corrected milk</v>
      </c>
      <c r="M217" s="24"/>
    </row>
    <row r="218" spans="1:13" x14ac:dyDescent="0.25">
      <c r="D218" s="5" t="str" cm="1">
        <f t="array" ref="D218">SourceData_Dairy.SourceData_Dairy_FatContentInMilk_Source()</f>
        <v>VEERG 2026: 3.3.2.2 DATA (METHOD 1 AND 2 OPTIONS)</v>
      </c>
      <c r="M218" s="24"/>
    </row>
    <row r="219" spans="1:13" x14ac:dyDescent="0.25">
      <c r="D219" s="1" t="str" cm="1">
        <f t="array" ref="D219">SourceData_Dairy.SourceData_Dairy_FatContentInMilk_Variable()</f>
        <v>FC_j</v>
      </c>
      <c r="M219" s="24"/>
    </row>
    <row r="220" spans="1:13" x14ac:dyDescent="0.25">
      <c r="D220" s="57" t="str" cm="1">
        <f t="array" ref="D220">SourceData_Dairy.SourceData_Dairy_FatContentInMilk_Unit()</f>
        <v>percent</v>
      </c>
      <c r="M220" s="24"/>
    </row>
    <row r="221" spans="1:13" x14ac:dyDescent="0.25">
      <c r="D221" s="56" cm="1">
        <f t="array" ref="D221">SourceData_Dairy.SourceData_Dairy_FatContentInMilk_Data()</f>
        <v>4</v>
      </c>
      <c r="M221" s="24"/>
    </row>
    <row r="222" spans="1:13" x14ac:dyDescent="0.25">
      <c r="M222" s="24"/>
    </row>
    <row r="223" spans="1:13" ht="23.25" x14ac:dyDescent="0.25">
      <c r="D223" s="6" t="str" cm="1">
        <f t="array" ref="D223">SourceData_Dairy.SourceData_Dairy_ProteinContentInMilk_Title()</f>
        <v>Protein content in fat and protein corrected milk</v>
      </c>
      <c r="M223" s="24"/>
    </row>
    <row r="224" spans="1:13" x14ac:dyDescent="0.25">
      <c r="D224" s="5" t="str" cm="1">
        <f t="array" ref="D224">SourceData_Dairy.SourceData_Dairy_ProteinContentInMilk_Source()</f>
        <v>VEERG 2026: 3.3.2.2 DATA (METHOD 1 AND 2 OPTIONS)</v>
      </c>
      <c r="M224" s="24"/>
    </row>
    <row r="225" spans="4:13" x14ac:dyDescent="0.25">
      <c r="D225" s="1" t="str" cm="1">
        <f t="array" ref="D225">SourceData_Dairy.SourceData_Dairy_ProteinContentInMilk_Variable()</f>
        <v>PC_j</v>
      </c>
      <c r="M225" s="24"/>
    </row>
    <row r="226" spans="4:13" x14ac:dyDescent="0.25">
      <c r="D226" s="57" t="str" cm="1">
        <f t="array" ref="D226">SourceData_Dairy.SourceData_Dairy_ProteinContentInMilk_Unit()</f>
        <v>percent</v>
      </c>
      <c r="M226" s="24"/>
    </row>
    <row r="227" spans="4:13" x14ac:dyDescent="0.25">
      <c r="D227" s="56" cm="1">
        <f t="array" ref="D227">SourceData_Dairy.SourceData_Dairy_ProteinContentInMilk_Data()</f>
        <v>3.3</v>
      </c>
      <c r="M227" s="24"/>
    </row>
    <row r="228" spans="4:13" x14ac:dyDescent="0.25">
      <c r="M228" s="24"/>
    </row>
    <row r="229" spans="4:13" x14ac:dyDescent="0.25">
      <c r="M229" s="24"/>
    </row>
    <row r="230" spans="4:13" x14ac:dyDescent="0.25">
      <c r="M230" s="24"/>
    </row>
    <row r="231" spans="4:13" x14ac:dyDescent="0.25">
      <c r="M231" s="24"/>
    </row>
    <row r="232" spans="4:13" x14ac:dyDescent="0.25">
      <c r="M232" s="24"/>
    </row>
    <row r="233" spans="4:13" x14ac:dyDescent="0.25">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1202-1887-4293-9408-079FA11C6DF6}">
  <dimension ref="A1:BY250"/>
  <sheetViews>
    <sheetView showGridLines="0" topLeftCell="A221" zoomScale="85" zoomScaleNormal="85" workbookViewId="0">
      <selection activeCell="G262" sqref="G26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23</v>
      </c>
      <c r="E6" s="39" t="s">
        <v>24</v>
      </c>
      <c r="F6" s="39" t="s">
        <v>25</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26</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29</v>
      </c>
      <c r="E36" s="39" t="s">
        <v>30</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29</v>
      </c>
      <c r="E47" s="39" t="s">
        <v>32</v>
      </c>
      <c r="F47" s="39" t="s">
        <v>33</v>
      </c>
      <c r="G47" s="39" t="s">
        <v>34</v>
      </c>
      <c r="H47" s="39" t="s">
        <v>35</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50</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38</v>
      </c>
      <c r="F89" s="39" t="s">
        <v>39</v>
      </c>
      <c r="G89" s="39" t="s">
        <v>40</v>
      </c>
      <c r="H89" s="39" t="s">
        <v>41</v>
      </c>
      <c r="I89" s="39" t="s">
        <v>42</v>
      </c>
      <c r="J89" s="39" t="s">
        <v>43</v>
      </c>
      <c r="K89" s="39" t="s">
        <v>44</v>
      </c>
      <c r="L89" s="39" t="s">
        <v>45</v>
      </c>
      <c r="M89" s="39" t="s">
        <v>46</v>
      </c>
      <c r="N89" s="39" t="s">
        <v>47</v>
      </c>
      <c r="O89" s="39" t="s">
        <v>51</v>
      </c>
      <c r="P89" s="39" t="s">
        <v>48</v>
      </c>
      <c r="Q89" s="39" t="s">
        <v>52</v>
      </c>
      <c r="R89" s="39" t="s">
        <v>49</v>
      </c>
      <c r="S89" s="39" t="s">
        <v>53</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c r="D98" s="57" t="str" cm="1">
        <f t="array" ref="D98:D101">Common_SourceData.Common_SourceData_ClimateZones_Appendices()</f>
        <v>Note:</v>
      </c>
    </row>
    <row r="99" spans="4:20" ht="20.100000000000001" customHeight="1" x14ac:dyDescent="0.25">
      <c r="D99" s="57" t="str">
        <v>MAT = mean annual temperature</v>
      </c>
    </row>
    <row r="100" spans="4:20" ht="20.100000000000001" customHeight="1" x14ac:dyDescent="0.25">
      <c r="D100" s="57" t="str">
        <v>MAP = mean annual precipitation</v>
      </c>
    </row>
    <row r="101" spans="4:20" ht="20.100000000000001" customHeight="1" x14ac:dyDescent="0.25">
      <c r="D101" s="57" t="str">
        <v>PET = potential evapotranspiration</v>
      </c>
    </row>
    <row r="102" spans="4:20" ht="20.100000000000001" customHeight="1" x14ac:dyDescent="0.25">
      <c r="D102" s="57"/>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57</v>
      </c>
      <c r="E109" s="39" t="s">
        <v>38</v>
      </c>
      <c r="F109" s="39" t="s">
        <v>58</v>
      </c>
      <c r="G109" s="39" t="s">
        <v>59</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60</v>
      </c>
      <c r="E119" s="39" t="s">
        <v>61</v>
      </c>
      <c r="F119" s="39" t="s">
        <v>45</v>
      </c>
      <c r="G119" s="39" t="s">
        <v>46</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67</v>
      </c>
      <c r="E127" s="39" t="s">
        <v>68</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95</v>
      </c>
      <c r="E134" t="s">
        <v>96</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332</v>
      </c>
      <c r="E142" s="39" t="s">
        <v>96</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70</v>
      </c>
      <c r="E153" s="39" t="s">
        <v>71</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144</v>
      </c>
      <c r="E186" s="39" t="s">
        <v>145</v>
      </c>
      <c r="F186" s="39" t="s">
        <v>146</v>
      </c>
      <c r="G186" s="39" t="s">
        <v>147</v>
      </c>
      <c r="H186" s="39" t="s">
        <v>37</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367</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396</v>
      </c>
      <c r="E212" s="39" t="s">
        <v>397</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54</v>
      </c>
      <c r="E231" s="39" t="s">
        <v>406</v>
      </c>
      <c r="F231" s="38" t="s">
        <v>407</v>
      </c>
      <c r="G231" s="39" t="s">
        <v>408</v>
      </c>
      <c r="H231" s="39" t="s">
        <v>409</v>
      </c>
      <c r="I231" s="39" t="s">
        <v>410</v>
      </c>
      <c r="J231" s="39" t="s">
        <v>411</v>
      </c>
      <c r="K231" s="39" t="s">
        <v>412</v>
      </c>
      <c r="L231" s="39" t="s">
        <v>413</v>
      </c>
      <c r="M231" s="39" t="s">
        <v>414</v>
      </c>
      <c r="N231" s="39" t="s">
        <v>415</v>
      </c>
      <c r="O231" s="39" t="s">
        <v>416</v>
      </c>
      <c r="P231" s="39" t="s">
        <v>417</v>
      </c>
      <c r="Q231" s="39" t="s">
        <v>418</v>
      </c>
      <c r="R231" s="39" t="s">
        <v>419</v>
      </c>
      <c r="S231" s="39" t="s">
        <v>420</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81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82</v>
      </c>
      <c r="E9" s="39" t="s">
        <v>22</v>
      </c>
      <c r="F9" s="39" t="s">
        <v>83</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78</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HYPERLINK("#'4.3.1.1-2 Methane'!A1", "4.3.1.1-2 Methane")</f>
        <v>4.3.1.1-2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HYPERLINK("#'4.3.1.3-4 Direct N20'!A1", "4.3.1.3-4 Direct N2O")</f>
        <v>4.3.1.3-4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HYPERLINK("#'4.3.1.5 Atmos Deposition'!A1", "4.3.1.5 Atmospheric deposition")</f>
        <v>4.3.1.5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HYPERLINK("#'4.3.1.6-7 Leaching and runoff'!A1", "4.3.1.6-7 Leaching and runoff")</f>
        <v>4.3.1.6-7 Leaching and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HYPERLINK("#'4.3.1.8 Manure applied to soils'!A1", "4.3.1.8 Manure applied to soils")</f>
        <v>4.3.1.8 Manure applied to soils</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HYPERLINK("#'4.3.1.9 Soil direct N2O'!A1", "4.3.1.9 Soil direct N2O")</f>
        <v>4.3.1.9 Soil direct N2O</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HYPERLINK("#'4.3.1.10-11 Soil Atmos Dep'!A1", "4.3.1.10-11 Soil atm. deposition")</f>
        <v>4.3.1.10-11 Soil atm. deposition</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HYPERLINK("#'4.3.1.12-13 Soil leach runoff'!A1", "4.3.1.12-13 Soil leach &amp; runoff")</f>
        <v>4.3.1.12-13 Soil leach &amp; runoff</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4</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Dairy'!A1", "Constants - Dairy")</f>
        <v>Constants - Dairy</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72" t="str">
        <f>HYPERLINK("#'Constants - Livestock'!A1", "Constants - Livestock")</f>
        <v>Constants - Livestock</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80</v>
      </c>
    </row>
    <row r="17" spans="1:1" ht="20.100000000000001" customHeight="1" x14ac:dyDescent="0.25">
      <c r="A17" s="70" t="s">
        <v>76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78</v>
      </c>
    </row>
    <row r="22" spans="1:1" ht="20.100000000000001" customHeight="1" x14ac:dyDescent="0.25">
      <c r="A22" s="70" t="s">
        <v>1</v>
      </c>
    </row>
    <row r="23" spans="1:1" ht="20.100000000000001" customHeight="1" x14ac:dyDescent="0.25">
      <c r="A23" s="70" t="s">
        <v>77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80</v>
      </c>
    </row>
    <row r="32" spans="1:1" ht="20.100000000000001" customHeight="1" x14ac:dyDescent="0.25">
      <c r="A32" s="70" t="s">
        <v>76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AnAEEAbgBuAHUAYQBsACAAZgByAGEAYwB0AGkAbwBuACAAbwBmACAAdABpAG0AZQAgAHMAcABlAG4AdAAgAHAAZQByACAAYQByAGUAYQAn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PAAxADAAIABoAHIALwBkAGEAeQAgAGYAbwByACAAPA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D4AIAAxACAAeQBlAGEAcgBcACIALAAgADMANgA1ACwAIAAwADsAXABuACAAIAAgACAAIAAgACAAIAAgACAAXAAiAEgAZQBpAGYAZQByAHMAIAA8ACAAMQAgAHkAZQBhAHIAXAAiACwAIAAyADgAMQAsACAAOAA0ADsAXABuACAAIAAgACAAIAAgACAAIAAgACAAXAAiAEIAdQBsAGwAcwAgAD4AIAAxACAAeQBlAGEAcgBcACIALAAgADMANgA1ACwAIAAwADsAXABuACAAIAAgACAAIAAgACAAIAAgACAAXAAiAEIAdQBsAGwAcwAgADw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ABpAG0AZQBuAHMAaQBvAG4AbABlAHMAcw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wADI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0ATQBTAF8ARABhAGk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QAgAE0AZQB0AGgAbwBkACAAMQAgAC0AIABNAGEAbgB1AHIAZQAgAEEAdABtAG8AcwBwAGgAZQByAGkAYwAgAEQAZQBwAG8AcwBpAHQAaQBvAG4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NAE0AUwAsAGEAZAB9AD0ATQBOAF8AewBBAFQATQBPAFMAfQBcAFwAdABpAG0AZQBzACAARQBGAF8AewBOADIATwB9AFwAXAB0AGkAbQBlAHMAIABDAF8AewBOADIATwB9AFwAXAB0AGkAbQBlAHMAIAAxADAAXgB7AC0AMwB9AFwAbgBNAE4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1AF8AXwAxAF8AQQBuAG4AdQBhAGwAQQB0AG0AbwBzAHAAaABlAHIAaQBjAEQAZQBwAG8AcwBpAHQAaQBvAG4ARQBtAGkAcwBzAGkAbwBuAHMARgByAG8AbQBNAE0AUwBcAG4AIAAgAD0ATABBAE0AQgBEAEEAKABcAG4AIAAgACAAIABNAE4AXwBBAFQATQBPAFMALAAgAEUARgBfAE4AMgBPACwAIABDAF8ATgAyAE8ALABcAG4AIAAgACAAIABNAE4AXwBBAFQATQBPAFMAIAAqACAARQBGAF8ATgAyAE8AIAAqACAAQwBfAE4AMgBPACAAKgAgADEAMAAgAF4AIAAtADMAXABuACAAIAApADsAXABuAFwAbgBWAEUARQBSAEcAXwA0AF8AMw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zAF8AMQBfADUAXwBfADEAXwBBAG4AbgB1AGEAbABBAHQAbQBvAHMAcABoAGUAcgBpAGMARABlAHAAbwBzAGkAdABpAG8AbgBFAG0AaQBzAHMAaQBvAG4AcwBGAHIAbwBtAE0ATQBTAF8AVgBhAHIAaQBhAGIAbABlAFwAbgAgACAAPQBMAEEATQBCAEQAQQAoAFwAIgBFAF8ATgAyAE8ATQBNAFMAYQBkAFwAIgApADsAXABuAFwAbgBWAEUARQBSAEcAXwA0AF8AMwBfADEAXwA1AF8AXwAxAF8AQQBuAG4AdQBhAGwAQQB0AG0AbwBzAHAAaABlAHIAaQBjAEQAZQBwAG8AcwBpAHQAaQBvAG4ARQBtAGkAcwBzAGkAbwBuAHMARgByAG8AbQBNAE0AUwBfAFUAbgBpAHQAXABuACAAIAA9AEwAQQBNAEIARABBACgAXAAiAHQAIABOADIATwBcACIAKQA7AFwAbgBcAG4AVgBFAEUAUgBHAF8ANABfADMAXwAxAF8ANQBfAF8AMQBfAEEAbgBuAHUAYQBsAEEAdABtAG8AcwBwAGgAZQByAGkAYwBEAGUAcABvAHMAaQB0AGkAbwBuAEUAbQBpAHMAcwBpAG8AbgBzAEYAcgBvAG0ATQBNAFMAXwBTAG8AdQByAGMAZQBcAG4AIAAgAD0ATABBAE0AQgBEAEEAKABcACIAVgBFAEUAUgBHACAAMgAwADIANgA6ACAANAAuADMALgAxAC4ANQAsACAARQBxAHUAYQB0AGkAbwBuACAAKAAxACkAXAAiACkAOwBcAG4AXABuAFYARQBFAFIARwBfADQAXwAzAF8AMQBfADUAXwBfADEAXwBBAG4AbgB1AGEAbABBAHQAbQBvAHMAcABoAGUAcgBpAGMARABlAHAAbwBzAGkAdABpAG8AbgBFAG0AaQBzAHMAaQBvAG4AcwBGAHIAbwBtAE0ATQBTAF8ATgBJAFIAUgBlAGYAZQByAGUAbgBjAGUAXABuACAAIAA9AEwAQQBNAEIARABBACgAXAAiAFwAIgApADsAXABuAFwAbgBWAEUARQBSAEcAXwA0AF8AMwBfADEAXwA1AF8AXwAxAF8AQQBuAG4AdQBhAGwAQQB0AG0AbwBzAHAAaABlAHIAaQBjAEQAZQBwAG8AcwBpAHQAaQBvAG4ARQBtAGkAcwBzAGkAbwBuAHMARgByAG8AbQBNAE0AUwBfAEwAYQB0AGUAeABFAHEAdQBhAHQAaQBvAG4AXABuACAAIAA9AEwAQQBNAEIARABBACgAXAAiAEUAXwB7AE4AMgBPACwATQBNAFMALABhAGQAfQA9AE0ATgBfAHsAQQBUAE0ATwBTAH0AXABcAHQAaQBtAGUAcwAgAEUARgBfAHsATgAyAE8AfQBcAFwAdABpAG0AZQBzACAAQwBfAHsATgAyAE8AfQBcAFwAdABpAG0AZQBzACAAMQAwAF4AewAtADMAfQBcACIAKQA7AFwAbgBcAG4AVgBFAEUAUgBHAF8ANABfADM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OAF8AQQBUAE0ATwBTAFwAIgAsACAAXAAiAG0AYQBzAHMAIABvAGYAIABOACAAdgBvAGwAYQB0AGkAbABpAHMAZQBkACAAZgByAG8AbQAgAE0ATQBTAFwAIgAsACAAXAAiAGsAZwAgAE4AXAAiACwAIABcACIAQwBhAGwAYwB1AGwAYQB0AGUAZAAgAGYAcgBvAG0AIAA0AC4AMw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gByAGEAYwBHAEEAUwBNAF8AbQBcACIALAAgAFwAIgBmAHIAYQBjAHQAaQBvAG4AIABvAGYAIABOACAAdgBvAGwAYQB0AGkAbABpAHMAZQBkACAAZgByAG8AbQAgAE0ATQBTAFwAIgAsACAAXAAiAGYAcgBhAGMAdABpAG8AbgBcACIALAAgAFwAIgBDAG8AbgBzAHQAYQBuAHQAXAAiAFwAbgAgACAAIAAgACAAIAAgACAAfQAsACAAcgAsACAAYwApAFwAbgAgACAAIAAgACAAIAApAFwAbgAgACAAIAAgACkAXABuACAAIAApADsAXABuACIAfQAsAHsAIgBwAGEAdABoACIAOgAiAC8AcAByAG8AagBlAGMAdABzAC8ATQBNAFMAXwBEAGEAaQ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AAgAE0AZQB0AGgAbwBkACAAMQAgAC0AIABNAGEAbgB1AHIAZQAgAEEAcABwAGwAaQBlAGQAIABUAG8AIABTAG8AaQBsAHM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4AF8AXwAxAF8ATQBhAHMAcwBPAGYATgBpAHQAcgBvAGcAZQBuAEEAcABwAGwAaQBlAGQAVABvAFMAbwBpAGwAcwBTAGMAbwBwAGUAMQBcAG4ATQBhAHMAcwAgAG8AZgAgAG4AaQB0AHIAbwBnAGUAbgAgAGYAcgBvAG0AIABtAGEAbgB1AHIAZQAgAGEAcABwAGwAaQBlAGQAIAB0AG8AIABzAG8AaQBsAHMAIABmAG8AcgAgAHMAYwBvAHAAZQAgADEAIABlAG0AaQBzAHMAaQBvAG4AcwBcAG4ATQBOAFMAbwBpAGwAXwBzAGMAbwBwAGUAMQBcAG4AawBnACAATgBcAG4ATQBOAFMAbwBpAGwAXwB7AHMAYwBvAHAAZQAxAH0APQAoAE0ATgBfAHsAagBtAH0AXABcAHQAaQBtAGUAcwAgACgAMQAtAEUARgBfAG0ALQBGAHIAYQBjAEcAQQBTAE0AXwBtACkALQBNAE4ATABlAGEAYwBoAF8AagBtACkAXABcAHQAaQBtAGUAcwAgAFAARgBfAHMAYwBvAHAAZ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XwBzAGMAbwBwAGU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xAF8ATQBhAHMAcwBPAGYATgBpAHQAcgBvAGcAZQBuAEEAcABwAGwAaQBlAGQAVABvAFMAbwBpAGwAcwBTAGMAbwBwAGUAMQBcAG4AIAAgAD0ATABBAE0AQgBEAEEAKABcAG4AIAAgACAAIABNAE4AXwBqAG0ALAAgAEUARgBfAG0ALAAgAEYAcgBhAGMARwBBAFMATQBfAG0ALAAgAE0ATgBMAGUAYQBjAGgAXwBqAG0ALAAgAFAARgBfAHMAYwBvAHAAZQAsAFwAbgAgACAAIAAgACgATQBOAF8AagBtACAAKgAgACgAMQAgAC0AIABFAEYAXwBtACAALQAgAEYAcgBhAGMARwBBAFMATQBfAG0AKQAgAC0AIABNAE4ATABlAGEAYwBoAF8AagBtACkAIAAqACAAUABGAF8AcwBjAG8AcABlAFwAbgAgACAAKQA7AFwAbgBcAG4AVgBFAEUAUgBHAF8ANABfADMAXwAxAF8AOABfAF8AMQBfAE0AYQBzAHMATwBmAE4AaQB0AHIAbwBnAGUAbgBBAHAAcABsAGkAZQBkAFQAbwBTAG8AaQBsAHMAUwBjAG8AcABlADEAXwBUAGkAdABsAGUAXABuACAAIAA9AEwAQQBNAEIARABBACgAXAAiAE0AYQBzAHMAIABvAGYAIABuAGkAdAByAG8AZwBlAG4AIABmAHIAbwBtACAAbQBhAG4AdQByAGUAIABhAHAAcABsAGkAZQBkACAAdABvACAAcwBvAGkAbABzACAAZgBvAHIAIABzAGMAbwBwAGUAIAAxACAAZQBtAGkAcwBzAGkAbwBuAHMAXAAiACkAOwBcAG4AXABuAFYARQBFAFIARwBfADQAXwAzAF8AMQBfADgAXwBfADEAXwBNAGEAcwBzAE8AZgBOAGkAdAByAG8AZwBlAG4AQQBwAHAAbABpAGUAZABUAG8AUwBvAGkAbABzAFMAYwBvAHAAZQAxAF8AVgBhAHIAaQBhAGIAbABlAFwAbgAgACAAPQBMAEEATQBCAEQAQQAoAFwAIgBNAE4AUwBvAGkAbABfAHMAYwBvAHAAZQAxAFwAIgApADsAXABuAFwAbgBWAEUARQBSAEcAXwA0AF8AMwBfADEAXwA4AF8AXwAxAF8ATQBhAHMAcwBPAGYATgBpAHQAcgBvAGcAZQBuAEEAcABwAGwAaQBlAGQAVABvAFMAbwBpAGwAcwBTAGMAbwBwAGUAMQBfAFUAbgBpAHQAXABuACAAIAA9AEwAQQBNAEIARABBACgAXAAiAGsAZwAgAE4AXAAiACkAOwBcAG4AXABuAFYARQBFAFIARwBfADQAXwAzAF8AMQBfADgAXwBfADEAXwBNAGEAcwBzAE8AZgBOAGkAdAByAG8AZwBlAG4AQQBwAHAAbABpAGUAZABUAG8AUwBvAGkAbABzAFMAYwBvAHAAZQAxAF8AUwBvAHUAcgBjAGUAXABuACAAIAA9AEwAQQBNAEIARABBACgAXAAiAFYARQBFAFIARwAgADIAMAAyADYAOgAgADQALgAzAC4AMQAuADgALAAgAEUAcQB1AGEAdABpAG8AbgAgACgAMQApAFwAIgApADsAXABuAFwAbgBWAEUARQBSAEcAXwA0AF8AMwBfADEAXwA4AF8AXwAxAF8ATQBhAHMAcwBPAGYATgBpAHQAcgBvAGcAZQBuAEEAcABwAGwAaQBlAGQAVABvAFMAbwBpAGwAcwBTAGMAbwBwAGUAMQBfAE4ASQBSAFIAZQBmAGUAcgBlAG4AYwBlAFwAbgAgACAAPQBMAEEATQBCAEQAQQAoAFwAIgBcACIAKQA7AFwAbgBcAG4AVgBFAEUAUgBHAF8ANABfADMAXwAxAF8AOABfAF8AMQBfAE0AYQBzAHMATwBmAE4AaQB0AHIAbwBnAGUAbgBBAHAAcABsAGkAZQBkAFQAbwBTAG8AaQBsAHMAUwBjAG8AcABlADEAXwBMAGEAdABlAHgARQBxAHUAYQB0AGkAbwBuAFwAbgAgACAAPQBMAEEATQBCAEQAQQAoAFwAIgBNAE4AUwBvAGkAbABfAHsAcwBjAG8AcABlADE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FAARgBcACIAKQA7AFwAbgBcAG4AVgBFAEUAUgBHAF8ANABfADMAXwAxAF8AOA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wBzAGMAbwBwAGU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FwAIgAsACAAXAAiAGsAZwAgAEMASAA0AC8AaABlAGEAZAAvAGQAYQB5AFwAIgAsACAAXAAiAEMAYQBsAGMAdQBsAGEAdABlAGQAIABmAHIAbwBtACAANAAuADMALgAxAC4AMQAgACgAMgApAFwAIgA7AFwAbgAgACAAIAAgACAAIAAgACAAIAAgAFwAIgBEAF8AagAxADIANABcACIALAAgAFwAIgBkAHUAcgBhAHQAaQBvAG4AIABvAGYAIABzAHQAYQB5ACAAbwBu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BcACIALAAgAFwAIgBrAGcAIABDAEgANAAvAGgAZQBhAGQALwBkAGEAeQBcACIALAAgAFwAIgBDAGEAbABjAHUAbABhAHQAZQBkACAAZgByAG8AbQAgADQALgAzAC4AMQAuADEAIAAoADIAKQBcACIAOwBcAG4AIAAgACAAIAAgACAAIAAgACAAIABcACIARABfAGoAMwA1AFwAIgAsACAAXAAiAGQAdQByAGEAdABpAG8AbgAgAG8AZgAgAHMAdABhAHkAIABvAG4AIABmAGEAcgBtACAAZgBvAHIAIABjAGwAYQBzAHMAZQBzACAAagA9ADMALAA1AFwAIgAsACAAXAAiAGQAYQB5AHMAXAAiACwAIABcACIASQBuAHAAdQB0AFwAIgA7AFwAbgAgACAAIAAgACAAIAAgACAAIAAgAFwAIgBNAFAAVwBfAG0AYQBuAHUAcgBlAF8AagAzADUAXAAiACwAIABcACIAbQBlAHQAaABhAG4AZQAgAHAAcgBvAGQAdQBjAHQAaQBvAG4AIABmAHIAbwBtACAAbQBhAG4AdQByAGUAIABvAGYAIABwAHIAZQAtAHcAZQBhAG4AZQBkACAAaABlAGkAZgBlAHIAIABhAG4AZAAgAGIAdQBsAGwAIABjAGEAbAB2AGUAcwBcACIALAAgAFwAIgBrAGcAIABDAEgANAAvAGgAZQBhAGQALwBkAGEAeQBcACIALAAgAFwAIgBDAG8AbgBzAHQAYQBuAHQAXAAiADsAXABuACAAIAAgACAAIAAgACAAIAAgACAAXAAiAEQAUABXAF8AagAzADUAXAAiACwAIABcACIAZAB1AHIAYQB0AGkAbwBuACAAbwBmACAAcwB0AGEAeQAgAG8AbgAgAGYAYQByAG0AIABmAG8AcgAgAHAAcgBlAC0AdwBlAGEAbgBlAGQAIABoAGUAaQBmAGUAcgAgAGEAbgBkACAAYgB1AGwAbAAgAGMAYQBsAHYAZQBzAFwAIgAsACAAXAAiAGQAYQB5AHMAXAAiACwAIABcACIASQBuAHAAdQB0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GkAXAAiACwAIABcACIAcwB0AGEAdABlAFwAIgAsACAAXAAiAHMAdABhAHQAZQBcACIALAAgAFwAIgBJAG4AcAB1AHQAXAAiAFwAbgAgACAAIAAgACAAIAAgACAAfQAsACAAcgAsACAAYwApAFwAbgAgACAAIAAgACAAIAApAFwAbgAgACAAIAAgACkAXABuACAAIAApADsAXABuAFwAbgBWAEUARQBSAEcAXwA0AF8AMwBfADEAXwAxAF8AXwAyAF8ATQBlAHQAaABhAG4AZQBGAHIAbwBtAE0AYQBuAHUAc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E0AQQBUAFwAIgAsACAAXAAiAE0AZQBhAG4AIABhAG4AbgB1AGEAbAAgAHQAZQBtAHAAZQByAGEAdAB1AHIAZQBcACIALAAgAFwAIgCwAE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QALABcAG4AIAAgACAAIAAgACAATABBAE0AQgBEAEEAKAByACwAYwAsAFwAbgAgACAAIAAgACAAIAAgACAASQBOAEQARQBYACgAewBcAG4AIAAgACAAIAAgACAAIAAgACAAIABcACIASQBfAGoAXAAiACwAIABcACIAZAByAHkAIABtAGEAdAB0AGUAcgAgAGYAZQBlAGQAIABpAG4AdABhAGsAZQAgACgAawBnAEQATQAvAGgAZQBhAGQALwBkAGEAeQApAFwAIgAsACAAXAAiAGsAZwBEAE0ALwBoAGUAYQBkAC8AZABhAHkAXAAiACwAIABcACIAQwBhAGwAYwB1AGwAYQB0AGUAZAAgAGYAcgBvAG0AIAAzAC4AMwAuADEALgAxACAAKAAzACkAXAAiADsAXABuACAAIAAgACAAIAAgACAAIAAgACAAXAAiAEQATQBEAF8AagBcACIALAAgAFwAIgBkAHIAeQAgAG0AYQB0AHQAZQByACAAZABpAGcAZQBzAHQAaQBiAGkAbABpAHQAeQBcACIALAAgAFwAIgBmAHIAYQBjAHQAaQBvAG4AXAAiACwAIABcACIASQBuAHAAdQB0AFwAIgA7AFwAbgAgACAAIAAgACAAIAAgACAAIAAgAFwAIgBBAFwAIgAsACAAXAAiAGEAcwBoACAAYwBvAG4AdABlAG4AdAAgAG8AZgAgAGYAZQBlAGQ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0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CwAIABcACIAZgByAGEAYwB0AGkAbwBuAFwAIgAsACAAXAAiAEkAbgBwAHUAdABcACIAOwBcAG4AIAAgACAAIAAgACAAIAAgACAAIABcACIATQBNAFMAXwBqAG0AMQA3ADkAXAAiACwAIABcACIAZgByAGEAYwB0AGkAbwBuACAAbwBmACAAdgBvAGwAYQB0AGkAbABlACAAcwBvAGwAaQBkAHMAIABpAG4AIABNAE0AUwAgAG0APQAxACwANwAsADkAIABiAGUAZgBvAHIAZQAgAHQAcgBhAG4AcwBmAGUAc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4AaQB0AHIAbwB1AHMAIABvAHgAaQBkAGUAIABlAG0AaQBzAHMAaQBvAG4AIABmAGEAYwB0AG8AcgAgAGYAbwByACAAZQBhAGMAaAAgAE0ATQBTACAAKABrAGcAIABOADIATwAtAE4ALwBrAGcAIABOACAAZABlAHAAbwBzAGkAdABlAGQ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kAGEAaQByAHkAIABjAGwAYQBzAHMAXAAiACwAIABcACIAawBnACAATgBcACIALAAgAFwAIgBDAGEAbABjAHUAbABhAHQAZQBkACAAZgByAG8AbQAgADQALgAzAC4AMQAuADMAIAAoADMAYQApACAAYQBuAGQAIAAoADMAYgApAFwAIgA7AFwAbgAgACAAIAAgACAAIAAgACAAIAAgAFwAIgBNAE0AUwBfAGoAbQBcACIALAAgAFwAIgBtAGEAbgB1AHIAZQAgAG0AYQBuAGEAZwBlAG0AZQBuAHQAIABzAHkAcwB0AGUAbQAgAGYAcgBhAGMAdABpAG8AbgAgAGYAbwByACAAYwBsAGEAcwBzACAAagAgAGEAbgBkACAAcwB5AHMAdABlAG0AIA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A+ADEAIAB5AGUAYQByACAAbwBsAGQAXABuAEEARQBfAGoAMQAyADQAXABuAGsAZwAgAE4AXABuAEEARQBfAHsAagA9ADEALAAyACwANAB9AD0ATgBfAHsAagA9ADEALAAyACwANAB9AFwAXAB0AGkAbQBlAHMAIABOAEUAXwB7AGoAPQAxACwAMgAsADQAfQBcAFwAdABpAG0AZQBzACAAMwA2ADUAXABuAE4AXwBqADEAMgA0ACAAPQAgAG4AdQBtAGIAZQByACAAbwBmACAAZABhAGkAcgB5ACAAYwBhAHQAdABsAGUAIABpAG4AIABjAGwAYQBzAHMAZQBzACAAagA9ADEALAAyACwANABcAG4ATgBFAF8AagAxADIANAAgAD0AIABuAGkAdAByAG8AZwBlAG4AIABlAHgAYwByAGUAdABlAGQAIABiAHkAIABkAGEAaQByAHkAIABjAGEAdAB0AGwAZQAgAD4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Dw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PAAxACAAeQBlAGEAcgAgAG8AbABkACAAKABrAGcAIABOAC8AaABlAGEAZAAvAGQAYQB5ACkAXABuAE4AUABXAF8AagAzADUAIAA9ACAAbgBpAHQAcgBvAGcAZQBuACAAZQB4AGMAcgBlAHQAZQBkACAAYgB5ACAAcAByAGUALQB3AGUAYQBuAGUAZAAgAGMAYQBsAHYAZQBzACAAKABrAGcAIABOAC8AaABlAGEAZAAvAGQAYQB5ACkAXABuAC0ALQAtAC0ALQAtAC0ALQAtAC0ALQAtAC0ALQAtAC0ALQAtAC0ALQAtAC0ALQAtAC0ALQAtAC0ALQAtAC0ALQAtAC0ALQAtAC0ALQBcAG4AKgAvAFwAbgBcAG4AVgBFAEUAUgBHAF8ANABfADMAXwAxAF8AMwBfAF8AMwBiAF8AVABvAHQAYQBsAEEAbgBuAHUAYQBsAE4AaQB0AHIAbwBnAGUAbgBFAHgAYwByAGUAdABlAGQATABlAHMAcwBUAGgAYQBuAE8AbgBlAFkAZQBhAHIAXABuACAAIAA9AEwAQQBNAEIARABBACgAXABuACAAIAAgACAATgBfAGoAMwA1ACwAIABOAEUAXwBqADMANQAsACAATgBQAFcAXwBqADMANQAsAFwAbgAgACAAIAAgACgATgBfAGoAMwA1ACAAKgAgAE4ARQBfAGoAMwA1ACAAKgAgADIAOAAxACkAIAArACAAKABOAF8AagAzADUAIAAqACAATgBQAFcAXwBqADMANQAgACoAIAA4ADQAKQBcAG4AIAAgACkAOwBcAG4AXABuAFYARQBFAFIARwBfADQAXwAzAF8AMQBfADMAXwBfADMAYgBfAFQAbwB0AGEAbABBAG4AbgB1AGEAbABOAGkAdAByAG8AZwBlAG4ARQB4AGMAcgBlAHQAZQBkAEwAZQBzAHMAVABoAGEAbgBPAG4AZQBZAGUAYQByAFYAYQByAGkAYQB0AGkAbwBuAFwAbgAgACAAPQBMAEEATQBCAEQAQQAoAFwAbgAgACAAIAAgAE4AXwBqADMANQAsACAATgBFAF8AagAzADUALAAgAE4AUABXAF8AagAzADUALAAgAEQAXwBqADMANQAsACAARABQAFcAXwBqADMANQAsAFwAbgAgACAAIAAgACgATgBfAGoAMwA1ACAAKgAgAE4ARQBfAGoAMwA1ACAAKgAgAEQAXwBqADMANQApACAAKwAgACgATgBfAGoAMwA1ACAAKgAgAE4AUABXAF8AagAzADUAIAAqACAARABQAFcAXwBqADMANQApAFwAbgAgACAAKQA7AFwAbgBcAG4AVgBFAEUAUgBHAF8ANABfADMAXwAxAF8AMwBfAF8AMwBiAF8AVABvAHQAYQBsAEEAbgBuAHUAYQBsAE4AaQB0AHIAbwBnAGUAbgBFAHgAYwByAGUAdABlAGQATABlAHMAcwBUAGgAYQBuAE8AbgBlAFkAZQBhAHIAXwBUAGkAdABsAGUAXABuACAAIAA9AEwAQQBNAEIARABBACgAXAAiAFQAbwB0AGEAbAAgAGEAbgBuAHUAYQBsACAAbgBpAHQAcgBvAGcAZQBuACAAZQB4AGMAcgBlAHQAZQBkACAAYgB5ACAAZABhAGkAcgB5ACAAYwBhAHQAdABsAGUAIABsAGUAcwBzACAAdABoAGEAbgAgAG8AbgBlACAAeQBlAGEAcgAgAG8AbABkAFwAIgApADsAXABuAFwAbgBWAEUARQBSAEcAXwA0AF8AMwBfADEAXwAzAF8AXwAzAGIAXwBUAG8AdABhAGwAQQBuAG4AdQBhAGwATgBpAHQAcgBvAGcAZQBuAEUAeABjAHIAZQB0AGUAZABMAGUAcwBzAFQAaABhAG4ATwBuAGUAWQBlAGEAcgBfAFYAYQByAGkAYQBiAGwAZQBcAG4AIAAgAD0ATABBAE0AQgBEAEEAKABcACIAQQBFAF8AagAzADUAXAAiACkAOwBcAG4AXABuAFYARQBFAFIARwBfADQAXwAzAF8AMQBfADMAXwBfADMAYgBfAFQAbwB0AGEAbABBAG4AbgB1AGEAbABOAGkAdAByAG8AZwBlAG4ARQB4AGMAcgBlAHQAZQBkAEwAZQBzAHMAVABoAGEAbgBPAG4AZQBZAGUAYQByAF8AVQBuAGkAdABcAG4AIAAgAD0ATABBAE0AQgBEAEEAKABcACIAawBnACAATgBcACIAKQA7AFwAbgBcAG4AVgBFAEUAUgBHAF8ANABfADMAXwAxAF8AMwBfAF8AMwBiAF8AVABvAHQAYQBsAEEAbgBuAHUAYQBsAE4AaQB0AHIAbwBnAGUAbgBFAHgAYwByAGUAdABlAGQATABlAHMAcwBUAGgAYQBuAE8AbgBlAFkAZQBhAHIAXwBTAG8AdQByAGMAZQBcAG4AIAAgAD0ATABBAE0AQgBEAEEAKABcACIAVgBFAEUAUgBHACAAMgAwADIANgA6ACAANAAuADMALgAxAC4AMwAsACAARQBxAHUAYQB0AGkAbwBuACAAKAAzAGIAKQBcACIAKQA7AFwAbgBcAG4AVgBFAEUAUgBHAF8ANABfADMAXwAxAF8AMwBfAF8AMwBiAF8AVABvAHQAYQBsAEEAbgBuAHUAYQBsAE4AaQB0AHIAbwBnAGUAbgBFAHgAYwByAGUAdABlAGQATABlAHMAcwBUAGgAYQBuAE8AbgBlAFkAZQBhAHIAXwBOAEkAUgBSAGUAZgBlAHIAZQBuAGMAZQBcAG4AIAAgAD0ATABBAE0AQgBEAEEAKABcACIAXAAiACkAOwBcAG4AXABuAFYARQBFAFIARwBfADQAXwAzAF8AMQBfADMAXwBfADMAYgBfAFQAbwB0AGEAbABBAG4AbgB1AGEAbABOAGkAdAByAG8AZwBlAG4ARQB4AGMAcgBlAHQAZQBkAEwAZQBzAHMAVABoAGEAbgBPAG4AZQBZAGUAYQByAF8ATABhAHQAZQB4AEUAcQB1AGEAdABpAG8AbgBcAG4AIAAgAD0ATABBAE0AQgBEAEEAKABcACIAQQBFAF8AewBqAD0AMwAsADUAfQA9ACgATgBfAHsAagA9ADMALAA1AH0AXABcAHQAaQBtAGUAcwAgAE4ARQBfAHsAagA9ADMALAA1AH0AXABcAHQAaQBtAGUAcwAgADIAOAAxACkAKwAoAE4AXwB7AGoAPQAzACwANQB9AFwAXAB0AGkAbQBlAHMAIABOAFAAVwBfAHsAagA9ADMALAA1AH0AXABcAHQAaQBtAGUAcwAgADgANAApAFwAIgApADsAXABuAFwAbgBWAEUARQBSAEcAXwA0AF8AMwBfADEAXwAzAF8AXwAzAGIAXwBUAG8AdABhAGwAQQBuAG4AdQBhAGwATgBpAHQAcgBvAGcAZQBuAEUAeABjAHIAZQB0AGUAZABMAGUAcwBzAFQAaABhAG4ATwBuAGUAWQBlAGEAcgBfAEwAYQB0AGUAeABFAHEAdQBhAHQAaQBvAG4AVgBhAHIAaQBhAHQAaQBvAG4AXABuACAAIAA9AEwAQQBNAEIARABBACgAXAAiAEEARQBfAHsAagA9ADMALAA1AH0APQAoAE4AXwB7AGoAPQAzACwANQB9AFwAXAB0AGkAbQBlAHMAIABOAEUAXwB7AGoAPQAzACwANQB9AFwAXAB0AGkAbQBlAHMAIABEAF8AewBqAD0AMwAsADUAfQApACsAKABOAF8AewBqAD0AMwAsADUAfQBcAFwAdABpAG0AZQBzACAATgBQAFcAXwB7AGoAPQAzACwANQB9AFwAXAB0AGkAbQBlAHMAIABEAFAAVwBfAHsAagA9ADMALAA1AH0AKQBcACIAKQA7AFwAbgBcAG4AVgBFAEUAUgBHAF8ANABfADMAXwAxAF8AMwBfAF8AMwBiAF8AVABvAHQAYQBsAEEAbgBuAHUAYQBsAE4AaQB0AHIAbwBnAGUAbgBFAHgAYwByAGUAdABlAGQATABlAHMAcwBUAGgAYQBuAE8AbgBlAFkAZQBhAHIAXwBBAHIAZwB1AG0AZQBuAHQAcwBcAG4AIAAgAD0ATABBAE0AQgBEAEEAKABcAG4AIAAgACAAIABNAEEASwBFAEEAUgBSAEEAWQAoADUALAAgADQALABcAG4AIAAgACAAIAAgACAATABBAE0AQgBEAEEAKAByACwAYwAsAFwAbgAgACAAIAAgACAAIAAgACAASQBOAEQARQBYACgAewBcAG4AIAAgACAAIAAgACAAIAAgACAAIABcACIATgBfAGoAMwA1AFwAIgAsACAAXAAiAG4AdQBtAGIAZQByACAAbwBmACAAZABhAGkAcgB5ACAAYwBhAHQAdABsAGUAIABpAG4AIABjAGwAYQBzAHMAZQBzACAAagA9ADMALAA1AFwAIgAsACAAXAAiAGgAZQBhAGQAXAAiACwAIABcACIASQBuAHAAdQB0AFwAIgA7AFwAbgAgACAAIAAgACAAIAAgACAAIAAgAFwAIgBOAEUAXwBqADMANQBcACIALAAgAFwAIgBuAGkAdAByAG8AZwBlAG4AIABlAHgAYwByAGUAdABlAGQAIABiAHkAIAB3AGUAYQBuAGUAZAAgAGQAYQBpAHIAeQAgAGMAYQB0AHQAbABlACAAbABlAHMAcwAgAHQAaABhAG4AIABvAG4AZQAgAHkAZQBhAHIAIABvAGwAZAAgACgAawBnACAATgAvAGgAZQBhAGQALwBkAGEAeQApAFwAIgAsACAAXAAiAGsAZwAgAE4ALwBoAGUAYQBkAC8AZABhAHkAXAAiACwAIABcACIAQwBhAGwAYwB1AGwAYQB0AGUAZAAgAGYAcgBvAG0AIAA0AC4AMwAuADEALgAzACAAKAA0ACkAXAAiADsAXABuACAAIAAgACAAIAAgACAAIAAgACAAXAAiAE4AUABXAF8AagAzADUAXAAiACwAIABcACIAbgBpAHQAcgBvAGcAZQBuACAAZQB4AGMAcgBlAHQAZQBkACAAYgB5ACAAcAByAGUALQB3AGUAYQBuAGUAZAAgAGMAYQBsAHYAZQBzACAAKABrAGcAIABOAC8AaABlAGEAZAAvAGQAYQB5ACkAXAAiACwAIABcACIAawBnACAATgAvAGgAZQBhAGQALwBkAGEAeQBcACIALAAgAFwAIgBDAG8AbgBzAHQAYQBuAHQAXAAiADsAXABuACAAIAAgACAAIAAgACAAIAAgACAAXAAiAEQAXwBqADMANQBcACIALAAgAFwAIgBkAHUAcgBhAHQAaQBvAG4AIABvAGYAIABzAHQAYQB5ACAAbwBuACAAZgBhAHIAbQAgAGYAbwByACAAdwBlAGEAbgBlAGQAIABkAGEAaQByAHkAIABjAGEAdAB0AGwAZQAgAGwAZQBzAHMAIAB0AGgAYQBuACAAbwBuAGUAIAB5AGUAYQByACAAbwBsAGQAIAAoAGQAYQB5AHMAKQBcACIALAAgAFwAIgBkAGEAeQBzAFwAIgAsACAAXAAiAEkAbgBwAHUAdABcACIAOwBcAG4AIAAgACAAIAAgACAAIAAgACAAIABcACIARABQAFcAXwBqADMANQBcACIALAAgAFwAIgBkAHUAcgBhAHQAaQBvAG4AIABvAGYAIABzAHQAYQB5ACAAbwBuACAAZgBhAHIAbQAgAGYAbwByACAAcAByAGUALQB3AGUAYQBuAGUAZAAgAGMAYQBsAHYAZQBzACAAKABkAGEAeQBzACkAXAAiACwAIABcACIAZABhAHkAcwBcACIALAAgAFwAIgBJAG4AcAB1AHQAXAAiAFwAbgAgACAAIAAgACAAIAAgACAAfQAsACAAcgAsACAAYwApAFwAbgAgACAAIAAgACAAIAApAFwAbgAgACAAIAAgACkAXABuACAAIAApADsAXABuAFwAbgBWAEUARQBSAEcAXwA0AF8AMwBfADEAXwAzAF8AXwAzAGIAXwBUAG8AdABhAGwAQQBuAG4AdQBhAGwATgBpAHQAcgBvAGcAZQBuAEUAeABjAHIAZQB0AGUAZABMAGUAcwBzAFQAaABhAG4ATwBuAGUAWQBlAGEAcgBfAFYAYQByAGkAYQB0AGkAbwBuAFwAbgAgACAAPQBMAEEATQBCAEQAQQAoAFwAIgBWAEEAUgBJAEEAVABJAE8ATgA6ACAAVQBzAGUAZAAgAEQAdQByAGEAdABpAG8AbgAgAHYAYQByAGkAYQBiAGwAZQBzACAAaQBuAHMAdABlAGEAZAAgAG8AZgAgAGgAYQByAGQALQBjAG8AZABlAGQAIAAyADgAMQAgAGEAbgBkACAAOAA0ACAAdgBhAGwAdQBlAHMALgBcACIAKQA7AFwAbgBcAG4ALwAqAFwAbgAtAC0ALQAtAC0ALQAtAC0ALQAtAC0ALQAtAC0ALQAtAC0ALQAtAC0ALQAtAC0ALQAtAC0ALQAtAC0ALQAtAC0ALQAtAC0ALQAtAC0AXABuAFYARQBFAFIARwBfADQAXwAzAF8AMQBfADMAXwBfADQAXwBOAGkAdAByAG8AZwBlAG4ARQB4AGMAcgBlAHQAZQBkAEIAeQBEAGEAaQByAHkAQwBhAHQAdABsAGUARwByAGUAYQB0AGUAcgBUAGgAYQBuAE8AbgBlAFkAZQBhAHIAXABuAE4AaQB0AHIAbwBnAGUAbgAgAGUAeABjAHIAZQB0AGUAZAAgAGIAeQAgAGQAYQBpAHIAeQAgAGMAYQB0AHQAbABlACAAPg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CcARABQAFcAJwAgAHYAYQByAGkAYQBiAGwAZQAgAHQAbwAgAGEAbABsAG8AdwAgAGYAbwByACAAYQAgAHMAZQBwAGEAcgBhAHQAZQAgAGgAYQBuAGQAbABpAG4AZwAgAG8AZgAgAHAAcgBlAC0AdwBlAGEAbgBlAGQAIABkAHUAcgBhAHQAaQBvAG4ALgBcACIAKQA7AFwAbgBcAG4ALwAqAFwAbgAtAC0ALQAtAC0ALQAtAC0ALQAtAC0ALQAtAC0ALQAtAC0ALQAtAC0ALQAtAC0ALQAtAC0ALQAtAC0ALQAtAC0ALQAtAC0ALQAtAC0AXABuAFYARQBFAFIARwBfADMAXwAzAF8AMQBfADEAXwBfADIAXwBEAGEAaQBsAHkARQBuAHQAZQByAGkAYwBNAGUAdABoAGEAbgBlAFAAcgBvAGQAdQBjAHQAaQBvAG4AXABuAEQAYQBpAGwAeQAgAHAAcgBvAGQAdQBjAHQAaQBvAG4AIABvAGYAIABlAG4AdABlAHIAaQBjACAAbQBlAHQAaABhAG4AZQBcAG4ATQBfAGoAXABuAGsAZwAgAEMASAA0AC8AaABlAGEAZAAvAGQAYQB5AFwAbgBNAF8AagA9ADIAMAAuADcAXABcAHQAaQBtAGUAcwAgAEkAXwBqAFwAXAB0AGkAbQBlAHMAIAAxADAAXgB7AC0AMwB9AFwAbgBJAF8AagAgAD0AIABkAHIAeQAgAG0AYQB0AHQAZQByACAAZgBlAGUAZAAgAGkAbgB0AGEAawBlACAAKABrAGcAIABEAE0ALwBoAGUAYQBkAC8AZABhAHkAKQBcAG4ALQAtAC0ALQAtAC0ALQAtAC0ALQAtAC0ALQAtAC0ALQAtAC0ALQAtAC0ALQAtAC0ALQAtAC0ALQAtAC0ALQAtAC0ALQAtAC0ALQAtAFwAbgAqAC8AXABuAFwAbgBWAEUARQBSAEcAXwAzAF8AMwBfADEAXwAxAF8AXwAyAF8ARABhAGkAbAB5AEUAbgB0AGUAcgBpAGMATQBlAHQAaABhAG4AZQBQAHIAbwBkAHUAYwB0AGkAbwBuAFwAbgAgACAAPQBMAEEATQBCAEQAQQAoAFwAbgAgACAAIAAgAEkAXwBqACwAXABuACAAIAAgACAAMgAwAC4ANwAgACoAIABJAF8AagAgACoAIAAxADAAIABeACAALQAzAFwAbgAgACAAKQA7AFwAbgBcAG4AVgBFAEUAUgBHAF8AMwBfADM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wBfADEAXwAxAF8AXwAyAF8ARABhAGkAbAB5AEUAbgB0AGUAcgBpAGMATQBlAHQAaABhAG4AZQBQAHIAbwBkAHUAYwB0AGkAbwBuAF8AVgBhAHIAaQBhAGIAbABlAFwAbgAgACAAPQBMAEEATQBCAEQAQQAoAFwAIgBNAF8AagBcACIAKQA7AFwAbgBcAG4AVgBFAEUAUgBHAF8AMwBfADMAXwAxAF8AMQBfAF8AMgBfAEQAYQBpAGwAeQBFAG4AdABlAHIAaQBjAE0AZQB0AGgAYQBuAGUAUAByAG8AZAB1AGMAdABpAG8AbgBfAFUAbgBpAHQAXABuACAAIAA9AEwAQQBNAEIARABBACgAXAAiAGsAZwAgAEMASAA0AC8AaABlAGEAZAAvAGQAYQB5AFwAIgApADsAXABuAFwAbgBWAEUARQBSAEcAXwAzAF8AMwBfADEAXwAxAF8AXwAyAF8ARABhAGkAbAB5AEUAbgB0AGUAcgBpAGMATQBlAHQAaABhAG4AZQBQAHIAbwBkAHUAYwB0AGkAbwBuAF8AUwBvAHUAcgBjAGUAXABuACAAIAA9AEwAQQBNAEIARABBACgAXAAiAFYARQBFAFIARwAgADIAMAAyADYAOgAgADMALgAzAC4AMQAuADEALAAgAEUAcQB1AGEAdABpAG8AbgAgACgAMgApAFwAIgApADsAXABuAFwAbgBWAEUARQBSAEcAXwAzAF8AMwBfADEAXwAxAF8AXwAyAF8ARABhAGkAbAB5AEUAbgB0AGUAcgBpAGMATQBlAHQAaABhAG4AZQBQAHIAbwBkAHUAYwB0AGkAbwBuAF8ATgBJAFIAUgBlAGYAZQByAGUAbgBjAGUAXABuACAAIAA9AEwAQQBNAEIARABBACgAXAAiAEMAaABhAHIAbQBsAGUAeQAgAGUAdAAgAGEAbAAuACAAKAAyADAAMQA1ACkAXAAiACkAOwBcAG4AXABuAFYARQBFAFIARwBfADMAXwAzAF8AMQBfADEAXwBfADIAXwBEAGEAaQBsAHkARQBuAHQAZQByAGkAYwBNAGUAdABoAGEAbgBlAFAAcgBvAGQAdQBjAHQAaQBvAG4AXwBMAGEAdABlAHgARQBxAHUAYQB0AGkAbwBuAFwAbgAgACAAPQBMAEEATQBCAEQAQQAoAFwAIgBNAF8AagA9ADIAMAAuADcAXABcAHQAaQBtAGUAcwAgAEkAXwBqAFwAXAB0AGkAbQBlAHMAIAAxADAAXgB7AC0AMwB9AFwAIgApADsAXABuAFwAbgBWAEUARQBSAEcAXwAzAF8AMw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FwAIgAsACAAXAAiAGQAcgB5ACAAbQBhAHQAdABlAHIAIABmAGUAZQBkACAAaQBuAHQAYQBrAGUAXAAiACwAIABcACIAawBnACAARABNAC8AaABlAGEAZAAvAGQAYQB5AFwAIgAsACAAXAAiAEMAYQBsAGMAdQBsAGEAdABlAGQAIABmAHIAbwBtACAAMwAuADMALgAxAC4AMQAgACgAMw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MAXwBEAHIAeQBNAGEAdAB0AGUAcgBGAGUAZQBkAEkAbgB0AGEAawBlAFwAbgBGAGUAZQBkACAAaQBuAHQAYQBrAGUAXABuAEkAXwBqAFwAbgBrAGcAIABEAE0ALwBoAGUAYQBkAC8AZABhAHkAXABuAEkAXwBqAD0AKAAxAC4AMQA4ADUAKwAwAC4AMAAwADQANQA0AFwAXAB0AGkAbQBlAHMAIABXAF8AagAtADAALgAwADAAMAAwADAAMgA2AFwAXAB0AGkAbQBlAHMAIABXAF8AagBeADIAKwAwAC4AMwAxADUAXABcAHQAaQBtAGUAcwAgAEwAVwBHAF8AagApAF4AMgBcAFwAdABpAG0AZQBzACAATQBSAF8AagArAE0ASQBfAGoAXABuAFcAXwBqACAAPQAgAGwAaQB2AGUAdwBlAGkAZwBoAHQAIAAoAGsAZwApAFwAbgBMAFcARwBfAGoAIAA9ACAAbABpAHYAZQB3AGUAaQBnAGgAdAAgAGcAYQBpAG4AIAAoAGsAZwAvAGgAZQBhAGQALwBkAGEAeQApAFwAbgBNAFIAXwBqACAAPQAgAGkAbgBjAHIAZQBhAHMAZQAgAGkAbgAgAG0AZQB0AGEAYgBvAGwAaQBjACAAcgBhAHQAZQAgAHcAaABlAG4AIABwAHIAbwBkAHUAYwBpAG4AZwAgAG0AaQBsAGsAIAAoAGYAcgBhAGMAdABpAG8AbgApAFwAbgBNAEkAXwBqACAAPQAgAGEAZABkAGkAdABpAG8AbgBhAGwAIABpAG4AdABhAGsAZQAgAHIAZQBxAHUAaQByAGUAZAAgAGYAbwByACAAbQBpAGwAawAgAHAAcgBvAGQAdQBjAHQAaQBvAG4AIAAoAGsAZwAgAEQATQAvAGgAZQBhAGQALwBkAGEAeQApAFwAbgAtAC0ALQAtAC0ALQAtAC0ALQAtAC0ALQAtAC0ALQAtAC0ALQAtAC0ALQAtAC0ALQAtAC0ALQAtAC0ALQAtAC0ALQAtAC0ALQAtAC0AXABuACoALwBcAG4AXABuAFYARQBFAFIARwBfADMAXwAzAF8AMQBfADEAXwBfADMAXwBEAHIAeQBNAGEAdAB0AGUAcgBGAGUAZQBkAEkAbgB0AGEAawBlAFwAbgAgACAAPQBMAEEATQBCAEQAQQAoAFwAbgAgACAAIAAgAFcAXwBqACwAIABMAFcARwBfAGoALAAgAE0AUgBfAGoALAAgAE0ASQBfAGoALABcAG4AIAAgACAAIAAoADEALgAxADgANQAgACsAIAAwAC4AMAAwADQANQA0ACAAKgAgAFcAXwBqACAALQAgADAALgAwADAAMAAwADAAMgA2ACAAKgAgAFcAXwBqACAAXgAgADIAIAArACAAMAAuADMAMQA1ACAAKgAgAEwAVwBHAF8AagApACAAXgAgADIAIAAqACAATQBSAF8AagAgACsAIABNAEkAXwBqAFwAbgAgACAAKQA7AFwAbgBcAG4AVgBFAEUAUgBHAF8AMwBfADMAXwAxAF8AMQBfAF8AMwBfAEQAcgB5AE0AYQB0AHQAZQByAEYAZQBlAGQASQBuAHQAYQBrAGUAXwBUAGkAdABsAGUAXABuACAAIAA9AEwAQQBNAEIARABBACgAXAAiAEYAZQBlAGQAIABpAG4AdABhAGsAZQBcACIAKQA7AFwAbgBcAG4AVgBFAEUAUgBHAF8AMwBfADMAXwAxAF8AMQBfAF8AMwBfAEQAcgB5AE0AYQB0AHQAZQByAEYAZQBlAGQASQBuAHQAYQBrAGUAXwBWAGEAcgBpAGEAYgBsAGUAXABuACAAIAA9AEwAQQBNAEIARABBACgAXAAiAEkAXwBqAFwAIgApADsAXABuAFwAbgBWAEUARQBSAEcAXwAzAF8AMwBfADEAXwAxAF8AXwAzAF8ARAByAHkATQBhAHQAdABlAHIARgBlAGUAZABJAG4AdABhAGsAZQBfAFUAbgBpAHQAXABuACAAIAA9AEwAQQBNAEIARABBACgAXAAiAGsAZwAgAEQATQAvAGgAZQBhAGQALwBkAGEAeQBcACIAKQA7AFwAbgBcAG4AVgBFAEUAUgBHAF8AMwBfADMAXwAxAF8AMQBfAF8AMwBfAEQAcgB5AE0AYQB0AHQAZQByAEYAZQBlAGQASQBuAHQAYQBrAGUAXwBTAG8AdQByAGMAZQBcAG4AIAAgAD0ATABBAE0AQgBEAEEAKABcACIAVgBFAEUAUgBHACAAMgAwADIANgA6ACAAMwAuADMALgAxAC4AMQAsACAARQBxAHUAYQB0AGkAbwBuACAAKAAzACkAXAAiACkAOwBcAG4AXABuAFYARQBFAFIARwBfADMAXwAzAF8AMQBfADEAXwBfADMAXwBEAHIAeQBNAGEAdAB0AGUAcgBGAGUAZQBkAEkAbgB0AGEAawBlAF8ATgBJAFIAUgBlAGYAZQByAGUAbgBjAGUAXABuACAAIAA9AEwAQQBNAEIARABBACgAXAAiAFwAIgApADsAXABuAFwAbgBWAEUARQBSAEcAXwAzAF8AMwBfADEAXwAxAF8AXwAzAF8ARAByAHkATQBhAHQAdABlAHIARgBlAGUAZABJAG4AdABhAGsAZQBfAEwAYQB0AGUAeABFAHEAdQBhAHQAaQBvAG4AXABuACAAIAA9AEwAQQBNAEIARABBACgAXAAiAEkAXwBqAD0AKAAxAC4AMQA4ADUAKwAwAC4AMAAwADQANQA0AFwAXAB0AGkAbQBlAHMAIABXAF8AagAtADAALgAwADAAMAAwADAAMgA2AFwAXAB0AGkAbQBlAHMAIABXAF8AagBeADIAKwAwAC4AMwAxADUAXABcAHQAaQBtAGUAcwAgAEwAVwBHAF8AagApAF4AMgBcAFwAdABpAG0AZQBzACAATQBSAF8AagArAE0ASQBfAGoAXAAiACkAOwBcAG4AXABuAFYARQBFAFIARwBfADMAXwAzAF8AMQBfADEAXwBfADMAXwBEAHIAeQBNAGEAdAB0AGUAcgBGAGUAZQBkAEkAbgB0AGEAawBlAF8AQQByAGcAdQBtAGUAbgB0AHMAXABuACAAIAA9AEwAQQBNAEIARABBACgAXABuACAAIAAgACAATQBBAEsARQBBAFIAUgBBAFkAKAA0ACwAIAA0ACwAXABuACAAIAAgACAAIAAgAEwAQQBNAEIARABBACgAcgAsAGMALABcAG4AIAAgACAAIAAgACAAIAAgAEkATgBEAEUAWAAoAHsAXABuACAAIAAgACAAIAAgACAAIAAgACAAXAAiAFcAXwBqAFwAIgAsACAAXAAiAGwAaQB2AGUAdwBlAGkAZwBoAHQAXAAiACwAIABcACIAawBnAFwAIgAsACAAXAAiAEkAbgBwAHUAdABcACIAOwBcAG4AIAAgACAAIAAgACAAIAAgACAAIABcACIATABXAEcAXwBqAFwAIgAsACAAXAAiAGwAaQB2AGUAdwBlAGkAZwBoAHQAIABnAGEAaQBuAFwAIgAsACAAXAAiAGsAZwAvAGgAZQBhAGQALwBkAGEAeQBcACIALAAgAFwAIgBJAG4AcAB1AHQAXAAiADsAXABuACAAIAAgACAAIAAgACAAIAAgACAAXAAiAE0AUgBfAGoAXAAiACwAIABcACIAaQBuAGMAcgBlAGEAcwBlACAAaQBuACAAbQBlAHQAYQBiAG8AbABpAGMAIAByAGEAdABlACAAdwBoAGUAbgAgAHAAcgBvAGQAdQBjAGkAbgBnACAAbQBpAGwAawBcACIALAAgAFwAIgBmAHIAYQBjAHQAaQBvAG4AXAAiACwAIABcACIAQwBvAG4AcwB0AGEAbgB0AFwAIgA7AFwAbgAgACAAIAAgACAAIAAgACAAIAAgAFwAIgBNAEkAXwBqAFwAIgAsACAAXAAiAGEAZABkAGkAdABpAG8AbgBhAGwAIABpAG4AdABhAGsAZQAgAHIAZQBxAHUAaQByAGUAZAAgAGYAbwByACAAbQBpAGwAawAgAHAAcgBvAGQAdQBjAHQAaQBvAG4AXAAiACwAIABcACIAawBnACA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QAXwBBAGQAZABpAHQAaQBvAG4AYQBsAEkAbgB0AGEAawBlAEYAbwByAE0AaQBsAGsAUAByAG8AZAB1AGMAdABpAG8AbgBcAG4AQQBkAGQAaQB0AGkAbwBuAGEAbAAgAGkAbgB0AGEAawBlACAAcgBlAHEAdQBpAHIAZQBkACAAZgBvAHIAIABtAGkAbABrACAAcAByAG8AZAB1AGMAdABpAG8AbgBcAG4ATQBJAF8AagBcAG4AawBnACAARABNAC8AaABlAGEAZAAvAGQAYQB5AFwAbgBNAEkAXwBqAD0AKABNAFAAXwBqAFwAXAB0AGkAbQBlAHMAIAAxAC4AMAAzAFwAXAB0AGkAbQBlAHMAIABOAEUAKQAvACgARwBFAEMAXABcAHQAaQBtAGUAcwAgAGsAXABcAHQAaQBtAGUAcwAgAHEAbQBfAGoAKQBcAG4ATQBQAF8AagAgAD0AIABtAGkAbABrACAAcAByAG8AZAB1AGMAdABpAG8AbgAgACgATAAvAGgAZQBhAGQALwBkAGEAeQApAFwAbgBOAEUAIAA9ACAAbgBlAHQAIABlAG4AZQByAGcAeQAgACgATQBKACAAbgBlAHQAIABlAG4AZQByAGcAeQAvAGsAZwAgAG0AaQBsAGsAKQBcAG4ARwBFAEMAIAA9ACAAZwByAG8AcwBzACAAZQBuAGUAcgBnAHkAIABjAG8AbgB0AGUAbgB0ACAAKABNAEoALwBrAGcARABNACkAXABuAGsAIAA9ACAAZQBmAGYAaQBjAGkAZQBuAGMAeQAgAG8AZgAgAG0AZQB0AGEAYgBvAGwAaQB6AGEAYgBsAGUAIABlAG4AZQByAGcAeQAgAHUAcwBlACAAZgBvAHIAIABtAGkAbABrACAAcAByAG8AZAB1AGMAdABpAG8AbgAgACgAZgByAGEAYwB0AGkAbwBuACkAXABuAHEAbQBfAGoAIAA9ACAAbQBlAHQAYQBiAG8AbABpAHMAYQBiAGkAbABpAHQAeQAgAG8AZgAgAHQAaABlACAAZABpAGUAdAAgACgAZgByAGEAYwB0AGkAbwBuACkAXABuAC0ALQAtAC0ALQAtAC0ALQAtAC0ALQAtAC0ALQAtAC0ALQAtAC0ALQAtAC0ALQAtAC0ALQAtAC0ALQAtAC0ALQAtAC0ALQAtAC0ALQBcAG4AKgAvAFwAbgBcAG4AVgBFAEUAUgBHAF8AMwBfADMAXwAxAF8AMQBfAF8ANABfAEEAZABkAGkAdABpAG8AbgBhAGwASQBuAHQAYQBrAGUARgBvAHIATQBpAGwAawBQAHIAbwBkAHUAYwB0AGkAbwBuAFwAbgAgACAAPQBMAEEATQBCAEQAQQAoAFwAbgAgACAAIAAgAE0AUABfAGoALAAgAE4ARQAsACAARwBFAEMALAAgAGsALAAgAHEAbQBfAGoALABcAG4AIAAgACAAIAAoAE0AUABfAGoAIAAqACAAMQAuADAAMwAgACoAIABOAEUAKQAgAC8AIAAoAEcARQBDACAAKgAgAGsAIAAqACAAcQBtAF8AagApAFwAbgAgACAAKQA7AFwAbgBcAG4AVgBFAEUAUgBHAF8AMwBfADMAXwAxAF8AMQBfAF8ANABfAEEAZABkAGkAdABpAG8AbgBhAGwASQBuAHQAYQBrAGUARgBvAHIATQBpAGwAawBQAHIAbwBkAHUAYwB0AGkAbwBuAF8AVABpAHQAbABlAFwAbgAgACAAPQBMAEEATQBCAEQAQQAoAFwAIgBBAGQAZABpAHQAaQBvAG4AYQBsACAAaQBuAHQAYQBrAGUAIAByAGUAcQB1AGkAcgBlAGQAIABmAG8AcgAgAG0AaQBsAGsAIABwAHIAbwBkAHUAYwB0AGkAbwBuAFwAIgApADsAXABuAFwAbgBWAEUARQBSAEcAXwAzAF8AMwBfADEAXwAxAF8AXwA0AF8AQQBkAGQAaQB0AGkAbwBuAGEAbABJAG4AdABhAGsAZQBGAG8AcgBNAGkAbABrAFAAcgBvAGQAdQBjAHQAaQBvAG4AXwBWAGEAcgBpAGEAYgBsAGUAXABuACAAIAA9AEwAQQBNAEIARABBACgAXAAiAE0ASQBfAGoAXAAiACkAOwBcAG4AXABuAFYARQBFAFIARwBfADMAXwAzAF8AMQBfADEAXwBfADQAXwBBAGQAZABpAHQAaQBvAG4AYQBsAEkAbgB0AGEAawBlAEYAbwByAE0AaQBsAGsAUAByAG8AZAB1AGMAdABpAG8AbgBfAFUAbgBpAHQAXABuACAAIAA9AEwAQQBNAEIARABBACgAXAAiAGsAZwAgAEQATQAvAGgAZQBhAGQALwBkAGEAeQBcACIAKQA7AFwAbgBcAG4AVgBFAEUAUgBHAF8AMwBfADMAXwAxAF8AMQBfAF8ANABfAEEAZABkAGkAdABpAG8AbgBhAGwASQBuAHQAYQBrAGUARgBvAHIATQBpAGwAawBQAHIAbwBkAHUAYwB0AGkAbwBuAF8AUwBvAHUAcgBjAGUAXABuACAAIAA9AEwAQQBNAEIARABBACgAXAAiAFYARQBFAFIARwAgADIAMAAyADYAOgAgADMALgAzAC4AMQAuADEALAAgAEUAcQB1AGEAdABpAG8AbgAgACgANAApAFwAIgApADsAXABuAFwAbgBWAEUARQBSAEcAXwAzAF8AMwBfADEAXwAxAF8AXwA0AF8AQQBkAGQAaQB0AGkAbwBuAGEAbABJAG4AdABhAGsAZQBGAG8AcgBNAGkAbABrAFAAcgBvAGQAdQBjAHQAaQBvAG4AXwBOAEkAUgBSAGUAZgBlAHIAZQBuAGMAZQBcAG4AIAAgAD0ATABBAE0AQgBEAEEAKABcACIAXAAiACkAOwBcAG4AXABuAFYARQBFAFIARwBfADMAXwAzAF8AMQBfADEAXwBfADQAXwBBAGQAZABpAHQAaQBvAG4AYQBsAEkAbgB0AGEAawBlAEYAbwByAE0AaQBsAGsAUAByAG8AZAB1AGMAdABpAG8AbgBfAEwAYQB0AGUAeABFAHEAdQBhAHQAaQBvAG4AXABuACAAIAA9AEwAQQBNAEIARABBACgAXAAiAE0ASQBfAGoAPQBcAFwAZgByAGEAYwB7AE0AUABfAGoAXABcAHQAaQBtAGUAcwAgADEALgAwADMAXABcAHQAaQBtAGUAcwAgAE4ARQB9AHsARwBFAEMAXABcAHQAaQBtAGUAcwAgAGsAXABcAHQAaQBtAGUAcwAgAHEAbQBfAGoAfQBcACIAKQA7AFwAbgBcAG4AVgBFAEUAUgBHAF8AMwBfADMAXwAxAF8AMQBfAF8ANABfAEEAZABkAGkAdABpAG8AbgBhAGwASQBuAHQAYQBrAGUARgBvAHIATQBpAGwAawBQAHIAbwBkAHUAYwB0AGkAbwBuAF8AQQByAGcAdQBtAGUAbgB0AHMAXABuACAAIAA9AEwAQQBNAEIARABBACgAXABuACAAIAAgACAATQBBAEsARQBBAFIAUgBBAFkAKAA3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ABfAGoAXAAiACwAIABcACIAbQBpAGwAawAgAHAAcgBvAGQAdQBjAHQAaQBvAG4AIAAoAGkAZgAgAGkAbgBwAHUAdAAgAGEAcwAgAGwAaQB0AHIAZQBzACAAbwBmACAAbQBpAGwAawApAFwAIgAsACAAXAAiAEwALwBoAGUAYQBkAC8AZABhAHkAXAAiACwAIABcACIASQBuAHAAdQB0AFwAIgA7AFwAbgAgACAAIAAgACAAIAAgACAAIAAgAFwAIgBNAFAAXwBqAFwAIgAsACAAXAAiAG0AaQBsAGsAIABwAHIAbwBkAHUAYwB0AGkAbwBuACAAKABpAGYAIABpAG4AcAB1AHQAIABhAHMAIABtAGkAbABrACAAcwBvAGwAaQBkAHMAKQBcACIALAAgAFwAIgBMAC8AaABlAGEAZAAvAGQAYQB5AFwAIgAsACAAXAAiAEMAYQBsAGMAdQBsAGEAdABlAGQAIABmAHIAbwBtACAAMwAuADMALgAxAC4AMQAgACgANQApAFwAIgA7AFwAbgAgACAAIAAgACAAIAAgACAAIAAgAFwAIgBOAEUAXAAiACwAIABcACIAbgBlAHQAIABlAG4AZQByAGcAeQBcACIALAAgAFwAIgBNAEoAIABuAGUAdAAgAGUAbgBlAHIAZwB5AC8AawBnACAAbQBpAGwAawBcACIALAAgAFwAIgBDAG8AbgBzAHQAYQBuAHQAXAAiADsAXABuACAAIAAgACAAIAAgACAAIAAgACAAXAAiAEcARQBDAFwAIgAsACAAXAAiAGcAcgBvAHMAcwAgAGUAbgBlAHIAZwB5ACAAYwBvAG4AdABlAG4AdABcACIALAAgAFwAIgBNAEoALwBrAGcARABNAFwAIgAsACAAXAAiAEMAbwBuAHMAdABhAG4AdABcACIAOwBcAG4AIAAgACAAIAAgACAAIAAgACAAIABcACIAawBcACIALAAgAFwAIgBlAGYAZgBpAGMAaQBlAG4AYwB5ACAAbwBmACAAbQBlAHQAYQBiAG8AbABpAHoAYQBiAGwAZQAgAGUAbgBlAHIAZwB5ACAAdQBzAGUAIABmAG8AcgAgAG0AaQBsAGsAIABwAHIAbwBkAHUAYwB0AGkAbwBuAFwAIgAsACAAXAAiAGYAcgBhAGMAdABpAG8AbgBcACIALAAgAFwAIgBDAG8AbgBzAHQAYQBuAHQAXAAiADsAXABuACAAIAAgACAAIAAgACAAIAAgACAAXAAiAHEAbQBfAGoAXAAiACwAIABcACIAbQBlAHQAYQBiAG8AbABpAHMAYQBiAGkAbABpAHQAeQAgAG8AZgAgAHQAaABlACAAZABpAGUAdABcACIALAAgAFwAIgBmAHIAYQBjAHQAaQBvAG4AXAAiACwAIABcACIAQwBhAGwAYwB1AGwAYQB0AGUAZAAgAGYAcgBvAG0AIAAzAC4AMwAuADEALgAxACAAKAA2ACkAXAAiAFwAbgAgACAAIAAgACAAIAAgACAAfQAsACAAcgAsACAAYwApAFwAbgAgACAAIAAgACAAIAApAFwAbgAgACAAIAAgACkAXABuACAAIAApADsAXABuAFwAbgBWAEUARQBSAEcAXwAzAF8AMwBfADEAXwAxAF8AXwA0AF8AQQBkAGQAaQB0AGkAbwBuAGEAbABJAG4AdABhAGsAZQBGAG8AcgBNAGkAbABrAFAAcgBvAGQAdQBjAHQAaQBvAG4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FwAIgApADsAXABuAFwAbgAvACoAXABuAC0ALQAtAC0ALQAtAC0ALQAtAC0ALQAtAC0ALQAtAC0ALQAtAC0ALQAtAC0ALQAtAC0ALQAtAC0ALQAtAC0ALQAtAC0ALQAtAC0ALQBcAG4AVgBFAEUAUgBHAF8AMwBfADMAXwAxAF8AMQBfAF8ANQBfAE0AaQBsAGsAUAByAG8AZAB1AGMAdABpAG8AbgBGAHIAbwBtAE0AaQBsAGsAUwBvAGwAaQBkAHMAXABuAE0AaQBsAGsAIABwAHIAbwBkAHUAYwB0AGkAbwBuACAAYwBvAG4AdgBlAHIAdABlAGQAIABmAHIAbwBtACAAbQBpAGwAawAgAHMAbwBsAGkAZABzAFwAbgBNAFAAXwBqAFwAbgBMAC8AaABlAGEAZAAvAGQAYQB5AFwAbgBNAFAAXwBqAD0ATQBTAF8AagAvACgAMAAuADAAMQBcAFwAdABpAG0AZQBzACAAKABGAEMAXwBqACsAUABDAF8AagApACkAXABuAE0AUwBfAGoAIAA9ACAAZABhAGkAbAB5ACAAcAByAG8AZAB1AGMAdABpAG8AbgAgAG8AZgAgAG0AaQBsAGsAIABzAG8AbABpAGQAcwAgACgAawBnACAATQBTAC8AaABlAGEAZAAvAGQAYQB5ACkAXABuAEYAQwBfAGoAIAA9ACAAZgBhAHQAIABjAG8AbgB0AGUAbgB0ACAAaQBuACAAZgBhAHQAIABhAG4AZAAgAHAAcgBvAHQAZQBpAG4AIABjAG8AcgByAGUAYwB0AGUAZAAgAG0AaQBsAGsAIAAoAHAAZQByACAAYwBlAG4AdAApAFwAbgBQAEMAXwBqACAAPQAgAHAAcgBvAHQAZQBpAG4AIABjAG8AbgB0AGUAbgB0ACAAaQBuACAAZgBhAHQAIABhAG4AZAAgAHAAcgBvAHQAZQBpAG4AIABjAG8AcgByAGUAYwB0AGUAZAAgAG0AaQBsAGsAIAAoAHAAZQByACAAYwBlAG4AdAApAFwAbgAtAC0ALQAtAC0ALQAtAC0ALQAtAC0ALQAtAC0ALQAtAC0ALQAtAC0ALQAtAC0ALQAtAC0ALQAtAC0ALQAtAC0ALQAtAC0ALQAtAC0AXABuACoALwBcAG4AXABuAFYARQBFAFIARwBfADMAXwAzAF8AMQBfADEAXwBfADUAXwBNAGkAbABrAFAAcgBvAGQAdQBjAHQAaQBvAG4ARgByAG8AbQBNAGkAbABrAFMAbwBsAGkAZABzAFwAbgAgACAAPQBMAEEATQBCAEQAQQAoAFwAbgAgACAAIAAgAE0AUwBfAGoALAAgAEYAQwBfAGoALAAgAFAAQwBfAGoALABcAG4AIAAgACAAIABNAFMAXwBqACAALwAgACgAMAAuADAAMQAgACoAIAAoAEYAQwBfAGoAIAArACAAUABDAF8AagApACkAXABuACAAIAApADsAXABuAFwAbgBWAEUARQBSAEcAXwAzAF8AMwBfADEAXwAxAF8AXwA1AF8ATQBpAGwAawBQAHIAbwBkAHUAYwB0AGkAbwBuAEYAcgBvAG0ATQBpAGwAawBTAG8AbABpAGQAcwBfAFQAaQB0AGwAZQBcAG4AIAAgAD0ATABBAE0AQgBEAEEAKABcACIATQBpAGwAawAgAHAAcgBvAGQAdQBjAHQAaQBvAG4AIABjAG8AbgB2AGUAcgB0AGUAZAAgAGYAcgBvAG0AIABtAGkAbABrACAAcwBvAGwAaQBkAHMAXAAiACkAOwBcAG4AXABuAFYARQBFAFIARwBfADMAXwAzAF8AMQBfADEAXwBfADUAXwBNAGkAbABrAFAAcgBvAGQAdQBjAHQAaQBvAG4ARgByAG8AbQBNAGkAbABrAFMAbwBsAGkAZABzAF8AVgBhAHIAaQBhAGIAbABlAFwAbgAgACAAPQBMAEEATQBCAEQAQQAoAFwAIgBNAFAAXwBqAFwAIgApADsAXABuAFwAbgBWAEUARQBSAEcAXwAzAF8AMwBfADEAXwAxAF8AXwA1AF8ATQBpAGwAawBQAHIAbwBkAHUAYwB0AGkAbwBuAEYAcgBvAG0ATQBpAGwAawBTAG8AbABpAGQAcwBfAFUAbgBpAHQAXABuACAAIAA9AEwAQQBNAEIARABBACgAXAAiAEwALwBoAGUAYQBkAC8AZABhAHkAXAAiACkAOwBcAG4AXABuAFYARQBFAFIARwBfADMAXwAzAF8AMQBfADEAXwBfADUAXwBNAGkAbABrAFAAcgBvAGQAdQBjAHQAaQBvAG4ARgByAG8AbQBNAGkAbABrAFMAbwBsAGkAZABzAF8AUwBvAHUAcgBjAGUAXABuACAAIAA9AEwAQQBNAEIARABBACgAXAAiAFYARQBFAFIARwAgADIAMAAyADYAOgAgADMALgAzAC4AMQAuADEALAAgAEUAcQB1AGEAdABpAG8AbgAgACgANQApAFwAIgApADsAXABuAFwAbgBWAEUARQBSAEcAXwAzAF8AMwBfADEAXwAxAF8AXwA1AF8ATQBpAGwAawBQAHIAbwBkAHUAYwB0AGkAbwBuAEYAcgBvAG0ATQBpAGwAawBTAG8AbABpAGQAcwBfAE4ASQBSAFIAZQBmAGUAcgBlAG4AYwBlAFwAbgAgACAAPQBMAEEATQBCAEQAQQAoAFwAIgBcACIAKQA7AFwAbgBcAG4AVgBFAEUAUgBHAF8AMwBfADMAXwAxAF8AMQBfAF8ANQBfAE0AaQBsAGsAUAByAG8AZAB1AGMAdABpAG8AbgBGAHIAbwBtAE0AaQBsAGsAUwBvAGwAaQBkAHMAXwBMAGEAdABlAHgARQBxAHUAYQB0AGkAbwBuAFwAbgAgACAAPQBMAEEATQBCAEQAQQAoAFwAIgBNAFAAXwBqAD0AXABcAGYAcgBhAGMAewBNAFMAXwBqAH0AewAwAC4AMAAxAFwAXAB0AGkAbQBlAHMAIAAoAEYAQwBfAGoAKwBQAEMAXwBqACkAfQBcACIAKQA7AFwAbgBcAG4AVgBFAEUAUgBHAF8AMwBfADMAXwAxAF8AMQBfAF8ANQBfAE0AaQBsAGsAUAByAG8AZAB1AGMAdABpAG8AbgBGAHIAbwBtAE0AaQBsAGsAUwBvAGwAaQBkAHMAXwBBAHIAZwB1AG0AZQBuAHQAcwBcAG4AIAAgAD0ATABBAE0AQgBEAEEAKABcAG4AIAAgACAAIABNAEEASwBFAEEAUgBSAEEAWQAoADQ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EMAbwBuAHMAdABhAG4AdABcACIAOwBcAG4AIAAgACAAIAAgACAAIAAgACAAIABcACIAUABDAF8AagBcACIALAAgAFwAIgBwAHIAbwB0AGUAaQBuACAAYwBvAG4AdABlAG4AdAAgAGkAbgAgAGYAYQB0ACAAYQBuAGQAIABwAHIAbwB0AGUAaQBuACAAYwBvAHIAcgBlAGMAdABlAGQAIABtAGkAbABrAFwAIgAsACAAXAAiAHAAZQByACAAYwBlAG4AdABcACIALAAgAFwAIgBDAG8AbgBzAHQAYQBuAHQAXAAiAFwAbgAgACAAIAAgACAAIAAgACAAfQAsACAAcgAsACAAYwApAFwAbgAgACAAIAAgACAAIAApAFwAbgAgACAAIAAgACkAXABuACAAIAApADsAXABuAFwAbgBWAEUARQBSAEcAXwAzAF8AMwBfADEAXwAxAF8AXwA1AF8ATQBpAGwAawBQAHIAbwBkAHUAYwB0AGkAbwBuAEYAcgBvAG0ATQBpAGwAawBTAG8AbABpAGQAcwBfAEEAcgBnAHUAbQBlAG4AdABzAF8ATQBlAHQAaABvAGQAMgBcAG4AIAAgAD0ATABBAE0AQgBEAEEAKABcAG4AIAAgACAAIABNAEEASwBFAEEAUgBSAEEAWQAoADQALAAgADQALABcAG4AIAAgACAAIAAgACAATABBAE0AQgBEAEEAKAByACwAYwAsAFwAbgAgACAAIAAgACAAIAAgACAASQBOAEQARQBYACgAewBcAG4AIAAgACAAIAAgACAAIAAgACAAIABcACIATQBQAFUAXAAiACwAIABcACIAbQBpAGwAawAgAHAAcgBvAGQAdQBjAHQAaQBvAG4AIAB1AG4AaQB0AFwAIgAsACAAXAAiAFwAIgAsACAAXAAiAEkAbgBwAHUAdABcACIAO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EkAbgBwAHUAdABcACIAOwBcAG4AIAAgACAAIAAgACAAIAAgACAAIABcACIAUABDAF8AagBcACIALAAgAFwAIgBwAHIAbwB0AGUAaQBuACAAYwBvAG4AdABlAG4AdAAgAGkAbgAgAGYAYQB0ACAAYQBuAGQAIABwAHIAbwB0AGUAaQBuACAAYwBvAHIAcgBlAGMAdABlAGQAIABtAGkAbABrAFwAIgAsACAAXAAiAHAAZQByACAAYwBlAG4AdABcACIALAAgAFwAIgBJAG4AcAB1AHQAXAAiAFwAbgAgACAAIAAgACAAIAAgACAAfQAsACAAcgAsACAAYwApAFwAbgAgACAAIAAgACAAIAApAFwAbgAgACAAIAAgACkAXABuACAAIAApADsAXABuAFwAbgBWAEUARQBSAEcAXwAzAF8AMwBfADEAXwAxAF8AXwA1AF8ATQBpAGwAawBQAHIAbwBkAHUAYwB0AGkAbwBuAEYAcgBvAG0ATQBpAGwAawBTAG8AbABpAGQAcw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IABDAG8AbgB2AGUAcgB0AGUAZAAgAGkAbgBwAHUAdAAgAEYAQwAgAGEAbgBkACAAUABDACAAcABlAHIAYwBlAG4AdAAgAHQAbwAgAGkAbgB0AGUAZwBlAHIALgBcACIAKQA7AFwAbgBcAG4ALwAqAFwAbgAtAC0ALQAtAC0ALQAtAC0ALQAtAC0ALQAtAC0ALQAtAC0ALQAtAC0ALQAtAC0ALQAtAC0ALQAtAC0ALQAtAC0ALQAtAC0ALQAtAC0AXABuAFYARQBFAFIARwBfADMAXwAzAF8AMQBfADEAXwBfADYAXwBNAGUAdABhAGIAbwBsAGkAcwBhAGIAaQBsAGkAdAB5AE8AZgBEAGkAZQB0AFwAbgBNAGUAdABhAGIAbwBsAGkAcwBhAGIAaQBsAGkAdAB5ACAAbwBmACAAZABpAGUAdABcAG4AcQBtAF8AagBcAG4AZgByAGEAYwB0AGkAbwBuAFwAbgBxAG0AXwBqAD0AMAAuADcAOQA1AFwAXAB0AGkAbQBlAHMAIAAoAEQATQBEAF8AagBcAFwAdABpAG0AZQBzACAAMQAwADAAKQAtADAALgAwADAAMQA0AFwAbgBEAE0ARABfAGoAIAA9ACAAZAByAHkAIABtAGEAdAB0AGUAcgAgAGQAaQBnAGUAcwB0AGkAYgBpAGwAaQB0AHkAIABlAHgAcAByAGUAcwBzAGUAZAAgAGEAcwAgAGEAIABmAHIAYQBjAHQAaQBvAG4AXABuAC0ALQAtAC0ALQAtAC0ALQAtAC0ALQAtAC0ALQAtAC0ALQAtAC0ALQAtAC0ALQAtAC0ALQAtAC0ALQAtAC0ALQAtAC0ALQAtAC0ALQBcAG4AKgAvAFwAbgBcAG4AVgBFAEUAUgBHAF8AMwBfADMAXwAxAF8AMQBfAF8ANgBfAE0AZQB0AGEAYgBvAGwAaQBzAGEAYgBpAGwAaQB0AHkATwBmAEQAaQBlAHQAXABuACAAIAA9AEwAQQBNAEIARABBACgAXABuACAAIAAgACAARABNAEQAXwBqACwAXABuACAAIAAgACAAMAAuADcAOQA1ACAAKgAgACgARABNAEQAXwBqACAAKgAgADEAMAAwACkAIAAtACAAMAAuADAAMAAxADQAXABuACAAIAApADsAXABuAFwAbgBWAEUARQBSAEcAXwAzAF8AMwBfADEAXwAxAF8AXwA2AF8ATQBlAHQAYQBiAG8AbABpAHMAYQBiAGkAbABpAHQAeQBPAGYARABpAGUAdABWAGEAcgBpAGEAdABpAG8AbgBcAG4AIAAgAD0ATABBAE0AQgBEAEEAKABcAG4AIAAgACAAIABEAE0ARABfAGoALABcAG4AIAAgACAAIAAwAC4AMAAwADcAOQA1ACAAKgAgACgARABNAEQAXwBqACAAKgAgADEAMAAwACkAIAAtACAAMAAuADAAMAAxADQAXABuACAAIAApADsAXABuAFwAbgBcAG4AVgBFAEUAUgBHAF8AMwBfADMAXwAxAF8AMQBfAF8ANgBfAE0AZQB0AGEAYgBvAGwAaQBzAGEAYgBpAGwAaQB0AHkATwBmAEQAaQBlAHQAXwBUAGkAdABsAGUAXABuACAAIAA9AEwAQQBNAEIARABBACgAXAAiAE0AZQB0AGEAYgBvAGwAaQBzAGEAYgBpAGwAaQB0AHkAIABvAGYAIABkAGkAZQB0AFwAIgApADsAXABuAFwAbgBWAEUARQBSAEcAXwAzAF8AMwBfADEAXwAxAF8AXwA2AF8ATQBlAHQAYQBiAG8AbABpAHMAYQBiAGkAbABpAHQAeQBPAGYARABpAGUAdABfAFYAYQByAGkAYQBiAGwAZQBcAG4AIAAgAD0ATABBAE0AQgBEAEEAKABcACIAcQBtAF8AagBcACIAKQA7AFwAbgBcAG4AVgBFAEUAUgBHAF8AMwBfADMAXwAxAF8AMQBfAF8ANgBfAE0AZQB0AGEAYgBvAGwAaQBzAGEAYgBpAGwAaQB0AHkATwBmAEQAaQBlAHQAXwBVAG4AaQB0AFwAbgAgACAAPQBMAEEATQBCAEQAQQAoAFwAIgBmAHIAYQBjAHQAaQBvAG4AXAAiACkAOwBcAG4AXABuAFYARQBFAFIARwBfADMAXwAzAF8AMQBfADEAXwBfADYAXwBNAGUAdABhAGIAbwBsAGkAcwBhAGIAaQBsAGkAdAB5AE8AZgBEAGkAZQB0AF8AUwBvAHUAcgBjAGUAXABuACAAIAA9AEwAQQBNAEIARABBACgAXAAiAFYARQBFAFIARwAgADIAMAAyADYAOgAgADMALgAzAC4AMQAuADEALAAgAEUAcQB1AGEAdABpAG8AbgAgACgANgApAFwAIgApADsAXABuAFwAbgBWAEUARQBSAEcAXwAzAF8AMwBfADEAXwAxAF8AXwA2AF8ATQBlAHQAYQBiAG8AbABpAHMAYQBiAGkAbABpAHQAeQBPAGYARABpAGUAdABfAE4ASQBSAFIAZQBmAGUAcgBlAG4AYwBlAFwAbgAgACAAPQBMAEEATQBCAEQAQQAoAFwAIgBcACIAKQA7AFwAbgBcAG4AVgBFAEUAUgBHAF8AMwBfADMAXwAxAF8AMQBfAF8ANgBfAE0AZQB0AGEAYgBvAGwAaQBzAGEAYgBpAGwAaQB0AHkATwBmAEQAaQBlAHQAXwBMAGEAdABlAHgARQBxAHUAYQB0AGkAbwBuAFwAbgAgACAAPQBMAEEATQBCAEQAQQAoAFwAIgBxAG0AXwBqAD0AMAAuADcAOQA1AFwAXAB0AGkAbQBlAHMAIAAoAEQATQBEAF8AagBcAFwAdABpAG0AZQBzACAAMQAwADAAKQAtADAALgAwADAAMQA0AFwAIgApADsAXABuAFwAbgBWAEUARQBSAEcAXwAzAF8AMwBfADEAXwAxAF8AXwA2AF8ATQBlAHQAYQBiAG8AbABpAHMAYQBiAGkAbABpAHQAeQBPAGYARABpAGUAdABfAEwAYQB0AGUAeABFAHEAdQBhAHQAaQBvAG4AVgBhAHIAaQBhAHQAaQBvAG4AXABuACAAIAA9AEwAQQBNAEIARABBACgAXAAiAHEAbQBfAGoAPQAwAC4AMAAwADcAOQA1AFwAXAB0AGkAbQBlAHMAIAAoAEQATQBEAF8AagBcAFwAdABpAG0AZQBzACAAMQAwADAAKQAtADAALgAwADAAMQA0AFwAIgApADsAXABuAFwAbgBWAEUARQBSAEcAXwAzAF8AMwBfADEAXwAxAF8AXwA2AF8ATQBlAHQAYQBiAG8AbABpAHMAYQBiAGkAbABpAHQAeQBPAGYARABpAGUAdABfAEEAcgBnAHUAbQBlAG4AdABzAFwAbgAgACAAPQBMAEEATQBCAEQAQQAoAFwAbgAgACAAIAAgAE0AQQBLAEUAQQBSAFIAQQBZACgAMQAsACAANAAsAFwAbgAgACAAIAAgACAAIABMAEEATQBCAEQAQQAoAHIALABjACwAXABuACAAIAAgACAAIAAgACAAIABJAE4ARABFAFgAKAB7AFwAbgAgACAAIAAgACAAIAAgACAAIAAgAFwAIgBEAE0ARABfAGoAXAAiACwAIABcACIAZAByAHkAIABtAGEAdAB0AGUAcgAgAGQAaQBnAGUAcwB0AGkAYgBpAGwAaQB0AHkAIABlAHgAcAByAGUAcwBzAGUAZAAgAGEAcwAgAGEAIABmAHIAYQBjAHQAaQBvAG4AXAAiACwAIABcACIAZgByAGEAYwB0AGkAbwBuAFwAIgAsACAAXAAiAEkAbgBwAHUAdABcACIAXABuACAAIAAgACAAIAAgACAAIAB9ACwAIAByACwAIABjACkAXABuACAAIAAgACAAIAAgACkAXABuACAAIAAgACAAKQBcAG4AIAAgACkAOwBcAG4AXABuAFYARQBFAFIARwBfADMAXwAzAF8AMQBfADEAXwBfADYAXwBNAGUAdABhAGIAbwBsAGkAcwBhAGIAaQBsAGkAdAB5AE8AZgBEAGkAZQB0AF8AVgBhAHIAaQBhAHQAaQBvAG4AXABuACAAIAA9AEwAQQBNAEIARABBACgAXAAiAFYAQQBSAEkAQQBUAEkATwBOACAATwBOACAAUwBPAFUAUgBDAEUAOgAgAGMAaABhAG4AZwBlAGQAIAAwAC4ANwA5ADUAIAB0AG8AIAAwAC4AMAAwADcAOQA1ACAAdwBoAGkAYwBoACAAaQBzACAAdABoAGUAIAB2AGEAbAB1AGUAIAB1AHMAZQBkACAAaQBuACAAdABoAGUAIABOAGEAdABpAG8AbgBhAGwAIABJAG4AdgBlAG4AdABvAHIAeQAgAFIAZQBwAG8AcgB0AFwAIgApADs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AsAHsAIgBwAGEAdABoACIAOgAiAC8AcAByAG8AagBlAGMAdABzAC8ATQBNAFMAXwBEAGEAaQByAHk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gAgAE0AZQB0AGgAbwBkACAAMQAgAC0AIABNAGEAbgB1AHIAZQ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Y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0AfQBcAFwAdABpAG0AZQBzACAARQBGAF8AewBsAGUAYQBjAGgAfQBcAFwAdABpAG0AZQBzACAAQwBfAHsATgAyAE8AfQBcAFwAdABpAG0AZQBzACAAMQAwAF4AewAtADMAfQBcAG4ATQBOAEwAZQBhAGMAaABfAGoAbQAgAD0AIABtAGEAcwBzACAAbwBmACAATgAgAGwAbwBzAHQAIAB0AGgAcgBvAHUAZwBoACAAbABlAGEAYwBoAGkAbgBnACAAYQBuAGQAIAByAHUAbgBvAGYAZgAgAGYAcgBvAG0AIABlAGEAYwBoACAATQBNAFM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FYAQQBSAEkAQQBUAEkATwBOACAATwBGACAAUwBPAFUAUgBDAEUAOgAgAEYAbwByACAATQBlAHQAaABvAGQAIAAxACwAIABlAG0AaQBzAHMAaQBvAG4AcwAgAGEAcgBlACAAZQBzAHQAaQBtAGEAdABlAGQAIABvAG4AbAB5ACAAZgBvAHIAIABzAG8AbABpAGQAIABzAHQAbwByAGEAZwBlACAAKABtAD0ANAApAC4AXABuAC0ALQAtAC0ALQAtAC0ALQAtAC0ALQAtAC0ALQAtAC0ALQAtAC0ALQAtAC0ALQAtAC0ALQAtAC0ALQAtAC0ALQAtAC0ALQAtAC0ALQBcAG4AKgAvAFwAbgBcAG4AVgBFAEUAUgBHAF8ANABfADMAXwAxAF8ANgBfAF8AMQBfAEEAbgBuAHUAYQBsAEUAbQBpAHMAcwBpAG8AbgBzAEYAcgBvAG0ATABlAGEAYwBoAGkAbgBnAEEAbgBkAFIAdQBuAG8AZgBmAEYAcgBvAG0ATQBNAFMAXABuACAAIAA9AEwAQQBNAEIARABBACgAXABuACAAIAAgACAATQBOAEwAZQBhAGMAaABfAGoAbQAsACAARQBGAF8AbABlAGEAYwBoACwAIABDAF8ATgAyAE8ALABcAG4AIAAgACAAIAAoAE0ATgBMAGUAYQBjAGgAXwBqAG0AIAAqACAARQBGAF8AbABlAGEAYwBoACAAKgAgAEMAXwBOADIATwApACAAKgAgADEAMAAgAF4AIAAtADMAXABuACAAIAApADsAXABuAFwAbgBWAEUARQBSAEcAXwA0AF8AMwBfADEAXwA2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MAXwAxAF8ANgBfAF8AMQBfAEEAbgBuAHUAYQBsAEUAbQBpAHMAcwBpAG8AbgBzAEYAcgBvAG0ATABlAGEAYwBoAGkAbgBnAEEAbgBkAFIAdQBuAG8AZgBmAEYAcgBvAG0ATQBNAFMAXwBWAGEAcgBpAGEAYgBsAGUAXABuACAAIAA9AEwAQQBNAEIARABBACgAXAAiAEUAXwBOADIATwBsAGUAYQBjAGgAXAAiACkAOwBcAG4AXABuAFYARQBFAFIARwBfADQAXwAzAF8AMQBfADYAXwBfADEAXwBBAG4AbgB1AGEAbABFAG0AaQBzAHMAaQBvAG4AcwBGAHIAbwBtAEwAZQBhAGMAaABpAG4AZwBBAG4AZABSAHUAbgBvAGYAZgBGAHIAbwBtAE0ATQBTAF8AVQBuAGkAdABcAG4AIAAgAD0ATABBAE0AQgBEAEEAKABcACIAdAAgAE4AMgBPAFwAIgApADsAXABuAFwAbgBWAEUARQBSAEcAXwA0AF8AMwBfADEAXwA2AF8AXwAxAF8AQQBuAG4AdQBhAGwARQBtAGkAcwBzAGkAbwBuAHMARgByAG8AbQBMAGUAYQBjAGgAaQBuAGcAQQBuAGQAUgB1AG4AbwBmAGYARgByAG8AbQBNAE0AUwBfAFMAbwB1AHIAYwBlAFwAbgAgACAAPQBMAEEATQBCAEQAQQAoAFwAIgBWAEUARQBSAEcAIAAyADAAMgA2ADoAIAA0AC4AMwAuADEALgA2ACwAIABFAHEAdQBhAHQAaQBvAG4AIAAoADEAKQBcACIAKQA7AFwAbgBcAG4AVgBFAEUAUgBHAF8ANABfADMAXwAxAF8ANgBfAF8AMQBfAEEAbgBuAHUAYQBsAEUAbQBpAHMAcwBpAG8AbgBzAEYAcgBvAG0ATABlAGEAYwBoAGkAbgBnAEEAbgBkAFIAdQBuAG8AZgBmAEYAcgBvAG0ATQBNAFMAXwBOAEkAUgBSAGUAZgBlAHIAZQBuAGMAZQBcAG4AIAAgAD0ATABBAE0AQgBEAEEAKABcACIAXAAiACkAOwBcAG4AXABuAFYARQBFAFIARwBfADQAXwAzAF8AMQBfADYAXwBfADEAXwBBAG4AbgB1AGEAbABFAG0AaQBzAHMAaQBvAG4AcwBGAHIAbwBtAEwAZQBhAGMAaABpAG4AZwBBAG4AZABSAHUAbgBvAGYAZgBGAHIAbwBtAE0ATQBTAF8ATABhAHQAZQB4AEUAcQB1AGEAdABpAG8AbgBcAG4AIAAgAD0ATABBAE0AQgBEAEEAKABcACIARQBfAHsATgAyAE8ALABsAGUAYQBjAGgAfQA9AFwAXABzAHUAbQBcAFwAbgBvAGwAaQBtAGkAdABzAF8AewBqAH0AXABcAHMAdQBtAFwAXABuAG8AbABpAG0AaQB0AHMAXwB7AG0APQAxAC0AMQAzAH0AKABNAE4ATABlAGEAYwBoAF8AewBqAG0AfQBcAFwAdABpAG0AZQBzACAARQBGAF8AewBsAGUAYQBjAGgAfQBcAFwAdABpAG0AZQBzACAAQwBfAHsATgAyAE8AfQApAFwAXAB0AGkAbQBlAHMAIAAxADAAXgB7AC0AMwB9AFwAIgApADsAXABuAFwAbgBWAEUARQBSAEcAXwA0AF8AMwBfADEAXwA2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FwAIgAsACAAXAAiAG0AYQBzAHMAIABvAGYAIABOACAAbABvAHMAdAAgAHQAaAByAG8AdQBnAGgAIABsAGUAYQBjAGgAaQBuAGcAIABhAG4AZAAgAHIAdQBuAG8AZgBmAFwAIgAsACAAXAAiAGsAZwAgAE4AXAAiACwAIABcACIAQwBhAGwAYwB1AGwAYQB0AGUAZAAgAGYAcgBvAG0AIAA0AC4AMwAuADEALgA2ACAAKAAyACkAXAAiADsAXABuACAAIAAgACAAIAAgACAAIAAgACAAXAAiAEUARgBfAGwAZQBhAGMAaABcACIALAAgAFwAIgBuAGkAdAByAG8AdQBzACAAbwB4AGkAZABlACA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Ng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tADQAXABuAGsAZwAgAE4AXABuAE0ATgBMAGUAYQBjAGgAXwB7AGoAbQA9ADQAfQA9AE0ATgBfAHsAagBtAD0ANAB9AFwAXAB0AGkAbQBlAHMAIABGAHIAYQBjAFcARQBUAF8AaQBcAFwAdABpAG0AZQBzACAARgByAGEAYwBMAEUAQQBDAEgAXwBNAFMAXABuAE0ATgBfAGoAbQA0ACAAPQAgAHQAbwB0AGEAbAAgAG4AaQB0AHIAbwBnAGUAbgAgAGkAbgAgAHMAbwBsAGkAZAAgAHMAdABvAHIAYQBnAGUAIABzAHkAcwB0AGUAbQAgAG0APQA0ACAAKABrAGcAIABOACkAXABuAEYAcgBhAGMAVwBFAFQAXwBp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2AF8AXwAyAF8ATQBhAHMAcwBPAGYATgBpAHQAcgBvAGcAZQBuAEwAbwBzAHQAVABvAEwAZQBhAGMAaABpAG4AZwBBAG4AZABSAHUAbgBvAGYAZgBGAHIAbwBtAFMAbwBsAGkAZABTAHQAbwByAGEAZwBlAFwAbgAgACAAPQBMAEEATQBCAEQAQQAoAFwAbgAgACAAIAAgAE0ATgBfAGoAbQA0ACwAIABGAHIAYQBjAFcARQBUAF8AaQAsACAARgByAGEAYwBMAEUAQQBDAEgAXwBNAFMALABcAG4AIAAgACAAIABNAE4AXwBqAG0ANAAgACoAIABGAHIAYQBjAFcARQBUAF8AaQAgACoAIABGAHIAYQBjAEwARQBBAEMASABfAE0AUwBcAG4AIAAgACkAOwBcAG4AXABuAFYARQBFAFIARwBfADQAXwAzAF8AMQBfADY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MAXwAxAF8ANgBfAF8AMgBfAE0AYQBzAHMATwBmAE4AaQB0AHIAbwBnAGUAbgBMAG8AcwB0AFQAbwBMAGUAYQBjAGgAaQBuAGcAQQBuAGQAUgB1AG4AbwBmAGYARgByAG8AbQBTAG8AbABpAGQAUwB0AG8AcgBhAGcAZQBfAFYAYQByAGkAYQBiAGwAZQBcAG4AIAAgAD0ATABBAE0AQgBEAEEAKABcACIATQBOAEwAZQBhAGMAaABfAGoAbQA0AFwAIgApADsAXABuAFwAbgBWAEUARQBSAEcAXwA0AF8AMwBfADEAXwA2AF8AXwAyAF8ATQBhAHMAcwBPAGYATgBpAHQAcgBvAGcAZQBuAEwAbwBzAHQAVABvAEwAZQBhAGMAaABpAG4AZwBBAG4AZABSAHUAbgBvAGYAZgBGAHIAbwBtAFMAbwBsAGkAZABTAHQAbwByAGEAZwBlAF8AVQBuAGkAdABcAG4AIAAgAD0ATABBAE0AQgBEAEEAKABcACIAawBnACAATgBcACIAKQA7AFwAbgBcAG4AVgBFAEUAUgBHAF8ANABfADMAXwAxAF8ANgBfAF8AMgBfAE0AYQBzAHMATwBmAE4AaQB0AHIAbwBnAGUAbgBMAG8AcwB0AFQAbwBMAGUAYQBjAGgAaQBuAGcAQQBuAGQAUgB1AG4AbwBmAGYARgByAG8AbQBTAG8AbABpAGQAUwB0AG8AcgBhAGcAZQBfAFMAbwB1AHIAYwBlAFwAbgAgACAAPQBMAEEATQBCAEQAQQAoAFwAIgBWAEUARQBSAEcAIAAyADAAMgA2ADoAIAA0AC4AMwAuADEALgA2ACwAIABFAHEAdQBhAHQAaQBvAG4AIAAoADIAKQBcACIAKQA7AFwAbgBcAG4AVgBFAEUAUgBHAF8ANABfADMAXwAxAF8ANgBfAF8AMgBfAE0AYQBzAHMATwBmAE4AaQB0AHIAbwBnAGUAbgBMAG8AcwB0AFQAbwBMAGUAYQBjAGgAaQBuAGcAQQBuAGQAUgB1AG4AbwBmAGYARgByAG8AbQBTAG8AbABpAGQAUwB0AG8AcgBhAGcAZQBfAE4ASQBSAFIAZQBmAGUAcgBlAG4AYwBlAFwAbgAgACAAPQBMAEEATQBCAEQAQQAoAFwAIgBcACIAKQA7AFwAbgBcAG4AVgBFAEUAUgBHAF8ANABfADMAXwAxAF8ANgBfAF8AMgBfAE0AYQBzAHMATwBmAE4AaQB0AHIAbwBnAGUAbgBMAG8AcwB0AFQAbwBMAGUAYQBjAGgAaQBuAGcAQQBuAGQAUgB1AG4AbwBmAGYARgByAG8AbQBTAG8AbABpAGQAUwB0AG8AcgBhAGcAZQBfAEwAYQB0AGUAeABFAHEAdQBhAHQAaQBvAG4AXABuACAAIAA9AEwAQQBNAEIARABBACgAXAAiAE0ATgBMAGUAYQBjAGgAXwB7AGoAbQA9ADQAfQA9AE0ATgBfAHsAagBtAD0ANAB9AFwAXAB0AGkAbQBlAHMAIABGAHIAYQBjAFcARQBUAF8AaQBcAFwAdABpAG0AZQBzACAARgByAGEAYwBMAEUAQQBDAEgAXwB7AE0AUwB9AFwAIgApADsAXABuAFwAbgBWAEUARQBSAEcAXwA0AF8AMwBfADEAXwA2AF8AXwAyAF8ATQBhAHMAcwBPAGYATgBpAHQAcgBvAGcAZQBuAEwAbwBzAHQAVABvAEwAZQBhAGMAaABpAG4AZwBBAG4AZABSAHUAbgBvAGYAZgBGAHIAbwBtAFMAbwBsAGkAZABTAHQAbwByAGEAZwBlAF8AQQByAGcAdQBtAGUAbgB0AHMAXABuACAAIAA9AEwAQQBNAEIARABBACgAXABuACAAIAAgACAATQBBAEsARQBBAFIAUgBBAFkAKAA2ACwAIAA0ACwAXABuACAAIAAgACAAIAAgAEwAQQBNAEIARABBACgAcgAsAGMALABcAG4AIAAgACAAIAAgACAAIAAgAEkATgBEAEUAWAAoAHsAXABuACAAIAAgACAAIAAgACAAIAAgACAAXAAiAE0ATgBfAGoAbQA0AFwAIgAsACAAXAAiAHQAbwB0AGEAbAAgAG4AaQB0AHIAbwBnAGUAbgAgAGkAbgAgAHMAbwBsAGkAZAAgAHMAdABvAHIAYQBnAGUAIABzAHkAcwB0AGUAbQAgAG0APQA0ACAAKABrAGcAIABOACkAXAAiACwAIABcACIAawBnACAATgBcACIALAAgAFwAIgBDAGEAbABjAHUAbABhAHQAZQBkACAAZgByAG8AbQAgADQALgAzAC4AMQAuADMAIAAoADIAKQBcACIAOwBcAG4AIAAgACAAIAAgACAAIAAgACAAIABcACIARgByAGEAYwBXAEUAVABfAGkAXAAiACwAIABcACIAZgByAGEAYwB0AGkAbwBuACAAbwBmACAATgAgAHQAaABhAHQAIABpAHMAIABhAHYAYQBpAGwAYQBiAGwAZQAgAGYAbwByACAAbABlAGEAYwBoAGkAbgBnACAAYQBuAGQAIAByAHUAbgBvAGYAZgAgAGYAcgBvAG0AIAB0AGgAZQAgAGwAZQBhAGMAaABpAG4AZwAgAHoAbwBuAGUAIAB6ACAAYQBuAGQAIABpAHIAcgBpAGcAYQB0AGkAbwBuACAAdAB5AHAAZQAgAGkAcgBcACIALAAgAFwAIgBmAHIAYQBjAHQAaQBvAG4AXAAiACwAIABcACIAQwBvAG4AcwB0AGEAbgB0AFwAIgA7AFwAbgAgACAAIAAgACAAIAAgACAAIAAgAFwAIgBGAHIAYQBjAEwARQBBAEMASABfAE0AUwBcACIALAAg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RABhAGkAcgB5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kAIABNAGUAdABoAG8AZAAgADEAIAAtACAAUwBvAGkAbA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5AF8AXwAxAF8ARABpAHIAZQBjAHQATgBpAHQAcgBvAHUAcwBPAHgAaQBkAGUARQBtAGkAcwBzAGkAbwBuAHMATwBuAFAAYQBzAHQAdQByAGUAXABuAEQAaQByAGUAYwB0ACAAbgBpAHQAcgBvAHUAcwAgAG8AeABpAGQAZQAgAGUAbQBpAHMAcwBpAG8AbgBzACAAbwBuACAAcABhAHMAdAB1AHIAZQBcAG4ARQBfAE4AMgBPAGQAaQByAFwAbgB0ACAATgAyAE8AXABuAEUAXwB7AE4AMgBPACwAZABpAHIAfQA9AE0ATgBfAHsAagBtAD0AMQA0AH0AXABcAHQAaQBtAGUAcwAgAEUARgBfAHsAUABSAFAAfQBcAFwAdABpAG0AZQBzACAAQwBfAHsATgAyAE8AfQBcAFwAdABpAG0AZQBzACAAMQAwAF4AewAtADMAfQBcAG4ATQBOAF8AagBtADEANAAgAD0AIABtAGEAcwBzACAAbwBmACAAbgBpAHQAcgBvAGcAZQBuACAAZQB4AGMAcgBlAHQAZQBkACAAbwBuACAAcABhAHMAdAB1AHIAZQAsACAAcgBhAG4AZwBlACwAIABhAG4AZAAgAHAAYQBkAGQAbwBjAGsAIABmAG8AcgAgAGUAYQBjAGgAIABkAGEAaQByAHkAIABjAGEAdAB0AGwAZQAgAGMAbABhAHMAcwAgACgAawBnACAATgApAFwAbgBFAEYAXwBQAFIAUAAgAD0AIABlAG0AaQBzAHMAaQBvAG4AIABmAGEAYwB0AG8AcgAgAGYAbwByACAAbgBpAHQAcgBvAHUAcwAgAG8AeABpAGQAZQAgAGUAbQBpAHMAcwBpAG8AbgBzACAAZgBvAHIAIAB1AHIAaQBuAGUAIABhAG4AZAAgAGQAdQBuAGcAIABkAGUAcABvAHMAaQB0AGUAZAAgAG8AbgAgAFAAUgBQ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kAXwBfADEAXwBEAGkAcgBlAGMAdABOAGkAdAByAG8AdQBzAE8AeABpAGQAZQBFAG0AaQBzAHMAaQBvAG4AcwBPAG4AUABhAHMAdAB1AHIAZQBcAG4AIAAgAD0ATABBAE0AQgBEAEEAKABcAG4AIAAgACAAIABNAE4AXwBqAG0AMQA0ACwAIABFAEYAXwBQAFIAUAAsACAAQwBfAE4AMgBPACwAXABuACAAIAAgACAATQBOAF8AagBtADEANAAgACoAIABFAEYAXwBQAFIAUAAgACoAIABDAF8ATgAyAE8AIAAqACAAMQAwACAAXgAgAC0AMwBcAG4AIAAgACkAOwBcAG4AXABuAFYARQBFAFIARwBfADQAXwAzAF8AMQBfADkAXwBfADEAXwBEAGkAcgBlAGMAdABOAGkAdAByAG8AdQBzAE8AeABpAGQAZQBFAG0AaQBzAHMAaQBvAG4AcwBPAG4AUABhAHMAdAB1AHIAZQBfAFQAaQB0AGwAZQBcAG4AIAAgAD0ATABBAE0AQgBEAEEAKABcACIARABpAHIAZQBjAHQAIABuAGkAdAByAG8AdQBzACAAbwB4AGkAZABlACAAZQBtAGkAcwBzAGkAbwBuAHMAIABvAG4AIABwAGEAcwB0AHUAcgBlAFwAIgApADsAXABuAFwAbgBWAEUARQBSAEcAXwA0AF8AMwBfADEAXwA5AF8AXwAxAF8ARABpAHIAZQBjAHQATgBpAHQAcgBvAHUAcwBPAHgAaQBkAGUARQBtAGkAcwBzAGkAbwBuAHMATwBuAFAAYQBzAHQAdQByAGUAXwBWAGEAcgBpAGEAYgBsAGUAXABuACAAIAA9AEwAQQBNAEIARABBACgAXAAiAEUAXwBOADIATwBkAGkAcgBcACIAKQA7AFwAbgBcAG4AVgBFAEUAUgBHAF8ANABfADMAXwAxAF8AOQBfAF8AMQBfAEQAaQByAGUAYwB0AE4AaQB0AHIAbwB1AHMATwB4AGkAZABlAEUAbQBpAHMAcwBpAG8AbgBzAE8AbgBQAGEAcwB0AHUAcgBlAF8AVQBuAGkAdABcAG4AIAAgAD0ATABBAE0AQgBEAEEAKABcACIAdAAgAE4AMgBPAFwAIgApADsAXABuAFwAbgBWAEUARQBSAEcAXwA0AF8AMwBfADEAXwA5AF8AXwAxAF8ARABpAHIAZQBjAHQATgBpAHQAcgBvAHUAcwBPAHgAaQBkAGUARQBtAGkAcwBzAGkAbwBuAHMATwBuAFAAYQBzAHQAdQByAGUAXwBTAG8AdQByAGMAZQBcAG4AIAAgAD0ATABBAE0AQgBEAEEAKABcACIAVgBFAEUAUgBHACAAMgAwADIANgA6ACAANAAuADMALgAxAC4AOQAsACAARQBxAHUAYQB0AGkAbwBuACAAKAAxACkAXAAiACkAOwBcAG4AXABuAFYARQBFAFIARwBfADQAXwAzAF8AMQBfADkAXwBfADEAXwBEAGkAcgBlAGMAdABOAGkAdAByAG8AdQBzAE8AeABpAGQAZQBFAG0AaQBzAHMAaQBvAG4AcwBPAG4AUABhAHMAdAB1AHIAZQBfAE4ASQBSAFIAZQBmAGUAcgBlAG4AYwBlAFwAbgAgACAAPQBMAEEATQBCAEQAQQAoAFwAIgBcACIAKQA7AFwAbgBcAG4AVgBFAEUAUgBHAF8ANABfADMAXwAxAF8AOQBfAF8AMQBfAEQAaQByAGUAYwB0AE4AaQB0AHIAbwB1AHMATwB4AGkAZABlAEUAbQBpAHMAcwBpAG8AbgBzAE8AbgBQAGEAcwB0AHUAcgBlAF8ATABhAHQAZQB4AEUAcQB1AGEAdABpAG8AbgBcAG4AIAAgAD0ATABBAE0AQgBEAEEAKABcACIARQBfAHsATgAyAE8ALABkAGkAcgB9AD0AXABcAHMAdQBtAFwAXABuAG8AbABpAG0AaQB0AHMAXwB7AGoAfQAoAE0ATgBfAHsAagBtAD0AMQA0AH0AXABcAHQAaQBtAGUAcwAgAEUARgBfAHsAUABSAFAAfQBcAFwAdABpAG0AZQBzACAAQwBfAHsATgAyAE8AfQBcAFwAdABpAG0AZQBzACAAMQAwAF4AewAtADMAfQApAFwAIgApADsAXABuAFwAbgBWAEUARQBSAEcAXwA0AF8AMwBfADEAXwA5AF8AXwAxAF8ARABpAHIAZQBjAHQATgBpAHQAcgBvAHUAcwBPAHgAaQBkAGUARQBtAGkAcwBzAGkAbwBuAHMATwBuAFAAYQBzAHQAdQByAGUAXwBBAHIAZwB1AG0AZQBuAHQAcwBcAG4AIAAgAD0ATABBAE0AQgBEAEEAKABcAG4AIAAgACAAIABNAEEASwBFAEEAUgBSAEEAWQAoADQ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wAIABhAG4AZAAgAHAAYQBkAGQAbwBjAGsAIABmAG8AcgAgAGUAYQBjAGgAIABkAGEAaQByAHkAIABjAGEAdAB0AGwAZQAgAGMAbABhAHMAcwBcACIALAAgAFwAIgBrAGcAIABOAFwAIgAsACAAXAAiAEMAYQBsAGMAdQBsAGEAdABlAGQAIABmAHIAbwBtACAANAAuADMALgAxAC4AMwAgACgAMgApAFwAIgA7AFwAbgAgACAAIAAgACAAIAAgACAAIAAgAFwAIgBFAEYAXwBQAFIAUABcACIALAAgAFwAIgBlAG0AaQBzAHMAaQBvAG4AIABmAGEAYwB0AG8AcgAgAGYAbwByACAAbgBpAHQAcgBvAHUAcwAgAG8AeABpAGQAZQAgAGUAbQBpAHMAcwBpAG8AbgBzACAAZgBvAHIAIAB1AHIAaQBuAGUAIABhAG4AZAAgAGQAdQBuAGcAIABkAGUAcABvAHMAaQB0AGUAZAAgAG8AbgAgAFAAUgBQ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HoAXAAiACwAXAAiAFcAZQB0ACAAbwByACAAZAByAHkAIABjAGwAaQBtAGEAdABlACAAegBvAG4AZQBcACIALAAgAFwAIgBcACIALAAgAFwAIgBJAG4AcAB1AHQAXAAiAFwAbgAgACAAIAAgACAAIAAgACAAfQAsACAAcgAsACAAYwApAFwAbgAgACAAIAAgACAAIAApAFwAbgAgACAAIAAgACkAXABuACAAIAApADsAXABuACIAfQAsAHsAIgBwAGEAdABoACIAOgAiAC8AcAByAG8AagBlAGMAdABzAC8ATQBNAFMAXwBEAGEAaQByAHk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wACAATQBlAHQAaABvAGQAIAAxACAALQAgAFMAbwBpAGwAIABBAHQAbQBvAHMAcABoAGUAcgBpAGMAIABEAGUAcABvAHMAaQB0AGkAbwBu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A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AsAG0APQAxADQAfQBcAFwAdABpAG0AZQBzACAARQBGAF8AewBOADIATwB9AFwAXAB0AGkAbQBlAHMAIABDAF8AewBOADIATwB9AFwAXAB0AGkAbQBlAHMAIAAxADAAXgB7AC0AMwB9AFwAbgBNAF8AdgBvAGwAXwBtADEAN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AAXwBfADEAXwBBAHQAbQBvAHMAcABoAGUAcgBpAGMARABlAHAAbwBzAGkAdABpAG8AbgBFAG0AaQBzAHMAaQBvAG4AcwBGAHIAbwBtAFUAcgBpAG4AZQBBAG4AZABEAHUAbgBnAE8AbgBQAGEAcwB0AHUAcgBlAFwAbgAgACAAPQBMAEEATQBCAEQAQQAoAFwAbgAgACAAIAAgAE0AXwB2AG8AbABfAG0AMQA0ACwAIABFAEYAXwBOADIATwAsACAAQwBfAE4AMgBPACwAXABuACAAIAAgACAATQBfAHYAbwBsAF8AbQAxADQAIAAqACAARQBGAF8ATgAyAE8AIAAqACAAQwBfAE4AMgBPACAAKgAgADEAMAAgAF4AIAAtADMAXABuACAAIAApADsAXABuAFwAbgBWAEUARQBSAEcAXwA0AF8AMwBfADEAXwAxADA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wBfADEAXwAxADAAXwBfADEAXwBBAHQAbQBvAHMAcABoAGUAcgBpAGMARABlAHAAbwBzAGkAdABpAG8AbgBFAG0AaQBzAHMAaQBvAG4AcwBGAHIAbwBtAFUAcgBpAG4AZQBBAG4AZABEAHUAbgBnAE8AbgBQAGEAcwB0AHUAcgBlAF8AVgBhAHIAaQBhAGIAbABlAFwAbgAgACAAPQBMAEEATQBCAEQAQQAoAFwAIgBFAF8ATgAyAE8AYQBkAFwAIgApADsAXABuAFwAbgBWAEUARQBSAEcAXwA0AF8AMwBfADEAXwAxADAAXwBfADEAXwBBAHQAbQBvAHMAcABoAGUAcgBpAGMARABlAHAAbwBzAGkAdABpAG8AbgBFAG0AaQBzAHMAaQBvAG4AcwBGAHIAbwBtAFUAcgBpAG4AZQBBAG4AZABEAHUAbgBnAE8AbgBQAGEAcwB0AHUAcgBlAF8AVQBuAGkAdABcAG4AIAAgAD0ATABBAE0AQgBEAEEAKABcACIAdAAgAE4AMgBPAFwAIgApADsAXABuAFwAbgBWAEUARQBSAEcAXwA0AF8AMwBfADEAXwAxADAAXwBfADEAXwBBAHQAbQBvAHMAcABoAGUAcgBpAGMARABlAHAAbwBzAGkAdABpAG8AbgBFAG0AaQBzAHMAaQBvAG4AcwBGAHIAbwBtAFUAcgBpAG4AZQBBAG4AZABEAHUAbgBnAE8AbgBQAGEAcwB0AHUAcgBlAF8AUwBvAHUAcgBjAGUAXABuACAAIAA9AEwAQQBNAEIARABBACgAXAAiAFYARQBFAFIARwAgADIAMAAyADYAOgAgADQALgAzAC4AMQAuADEAMAAsACAARQBxAHUAYQB0AGkAbwBuACAAKAAxACkAXAAiACkAOwBcAG4AXABuAFYARQBFAFIARwBfADQAXwAzAF8AMQBfADEAMABfAF8AMQBfAEEAdABtAG8AcwBwAGgAZQByAGkAYwBEAGUAcABvAHMAaQB0AGkAbwBuAEUAbQBpAHMAcwBpAG8AbgBzAEYAcgBvAG0AVQByAGkAbgBlAEEAbgBkAEQAdQBuAGcATwBuAFAAYQBzAHQAdQByAGUAXwBOAEkAUgBSAGUAZgBlAHIAZQBuAGMAZQBcAG4AIAAgAD0ATABBAE0AQgBEAEEAKABcACIAXAAiACkAOwBcAG4AXABuAFYARQBFAFIARwBfADQAXwAzAF8AMQBfADEAMABfAF8AMQBfAEEAdABtAG8AcwBwAGgAZQByAGkAYwBEAGUAcABvAHMAaQB0AGkAbwBuAEUAbQBpAHMAcwBpAG8AbgBzAEYAcgBvAG0AVQByAGkAbgBlAEEAbgBkAEQAdQBuAGcATwBuAFAAYQBzAHQAdQByAGUAXwBMAGEAdABlAHgARQBxAHUAYQB0AGkAbwBuAFwAbgAgACAAPQBMAEEATQBCAEQAQQAoAFwAIgBFAF8AewBOADIATwAsAGEAZAB9AD0ATQBfAHsAdgBvAGwALABtAD0AMQA0AH0AXABcAHQAaQBtAGUAcwAgAEUARgBfAHsATgAyAE8AfQBcAFwAdABpAG0AZQBzACAAQwBfAHsATgAyAE8AfQBcAFwAdABpAG0AZQBzACAAMQAwAF4AewAtADMAfQBcACIAKQA7AFwAbgBcAG4AVgBFAEUAUgBHAF8ANABfADMAXwAxAF8AMQAw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HUAcgBpAG4AZQAgAGEAbgBkACAAZgBhAGUAYwBlAHMAIABkAGUAcABvAHMAaQB0AGUAZAAgAG8AbgAgAHAAYQBzAHQAdQByAGUAXAAiACwAIABcACIAawBnACAATgBcACIALAAgAFwAIgBDAGEAbABjAHUAbABhAHQAZQBkACAAZgByAG8AbQAgADQALgAzAC4AMQAuADEAMA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MABfAF8AMgBfAE0AYQBzAHMATwBmAE4AaQB0AHIAbwBnAGUAbgBWAG8AbABhAHQAaQBsAGkAcwBlAGQATwBuAFAAYQBzAHQAdQByAGUAXABuAE0AYQBzAHMAIABvAGYAIABuAGkAdAByAG8AZwBlAG4AIAB2AG8AbABhAHQAaQBsAGkAcwBlAGQAIABmAHIAbwBtACAAdQByAGkAbgBlACAAYQBuAGQAIABmAGEAZQBjAGUAcwAgAGQAZQBwAG8AcwBpAHQAZQBkACAAbwBuACAAcABhAHMAdAB1AHIAZQBcAG4ATQBfAHYAbwBsAF8AbQAxADQAXABuAGsAZwAgAE4AXABuAE0AXwB7AHYAbwBsACwAbQA9ADEANAB9AD0ATQBOAF8AewBqAG0APQAxADQAfQBcAFwAdABpAG0AZQBzACAARgByAGEAYwBHAEEAUwBNAHMAbwBpAGwAXABuAE0ATgBfAGoAbQAxADQAIAA9ACAAbQBhAHMAcwAgAG8AZgAgAG4AaQB0AHIAbwBnAGUAbgAgAGUAeABjAHIAZQB0AGUAZAAgAG8AbgAgAHAAYQBzAHQAdQByAGUALAAgAHIAYQBuAGcAZQAgAGEAbgBkACAAcABhAGQAZABvAGMAawAgAGYAbwByACAAZQBhAGMAaAAgAGQAYQBpAHIAeQAgAGMAbABhAHMAcw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MAXwAxAF8AMQAwAF8AXwAyAF8ATQBhAHMAcwBPAGYATgBpAHQAcgBvAGcAZQBuAFYAbwBsAGEAdABpAGwAaQBzAGUAZABPAG4AUABhAHMAdAB1AHIAZQBcAG4AIAAgAD0ATABBAE0AQgBEAEEAKABcAG4AIAAgACAAIABNAE4AXwBqAG0AMQA0ACwAIABGAHIAYQBjAEcAQQBTAE0AcwBvAGkAbAAsAFwAbgAgACAAIAAgAE0ATgBfAGoAbQAxADQAIAAqACAARgByAGEAYwBHAEEAUwBNAHMAbwBpAGwAXABuACAAIAApADsAXABuAFwAbgBWAEUARQBSAEcAXwA0AF8AMwBfADEAXwAxADAAXwBfADIAXwBNAGEAcwBzAE8AZgBOAGkAdAByAG8AZwBlAG4AVgBvAGwAYQB0AGkAbABpAHMAZQBkAE8AbgBQAGEAcwB0AHUAcgBlAF8AVABpAHQAbABlAFwAbgAgACAAPQBMAEEATQBCAEQAQQAoAFwAIgBNAGEAcwBzACAAbwBmACAAbgBpAHQAcgBvAGcAZQBuACAAdgBvAGwAYQB0AGkAbABpAHMAZQBkACAAZgByAG8AbQAgAHUAcgBpAG4AZQAgAGEAbgBkACAAZgBhAGUAYwBlAHMAIABkAGUAcABvAHMAaQB0AGUAZAAgAG8AbgAgAHAAYQBzAHQAdQByAGUAXAAiACkAOwBcAG4AXABuAFYARQBFAFIARwBfADQAXwAzAF8AMQBfADEAMABfAF8AMgBfAE0AYQBzAHMATwBmAE4AaQB0AHIAbwBnAGUAbgBWAG8AbABhAHQAaQBsAGkAcwBlAGQATwBuAFAAYQBzAHQAdQByAGUAXwBWAGEAcgBpAGEAYgBsAGUAXABuACAAIAA9AEwAQQBNAEIARABBACgAXAAiAE0AXwB2AG8AbABfAG0AMQA0AFwAIgApADsAXABuAFwAbgBWAEUARQBSAEcAXwA0AF8AMwBfADEAXwAxADAAXwBfADIAXwBNAGEAcwBzAE8AZgBOAGkAdAByAG8AZwBlAG4AVgBvAGwAYQB0AGkAbABpAHMAZQBkAE8AbgBQAGEAcwB0AHUAcgBlAF8AVQBuAGkAdABcAG4AIAAgAD0ATABBAE0AQgBEAEEAKABcACIAawBnACAATgBcACIAKQA7AFwAbgBcAG4AVgBFAEUAUgBHAF8ANABfADMAXwAxAF8AMQAwAF8AXwAyAF8ATQBhAHMAcwBPAGYATgBpAHQAcgBvAGcAZQBuAFYAbwBsAGEAdABpAGwAaQBzAGUAZABPAG4AUABhAHMAdAB1AHIAZQBfAFMAbwB1AHIAYwBlAFwAbgAgACAAPQBMAEEATQBCAEQAQQAoAFwAIgBWAEUARQBSAEcAIAAyADAAMgA2ADoAIAA0AC4AMwAuADEALgAxADAALAAgAEUAcQB1AGEAdABpAG8AbgAgACgAMgApAFwAIgApADsAXABuAFwAbgBWAEUARQBSAEcAXwA0AF8AMwBfADEAXwAxADAAXwBfADIAXwBNAGEAcwBzAE8AZgBOAGkAdAByAG8AZwBlAG4AVgBvAGwAYQB0AGkAbABpAHMAZQBkAE8AbgBQAGEAcwB0AHUAcgBlAF8ATgBJAFIAUgBlAGYAZQByAGUAbgBjAGUAXABuACAAIAA9AEwAQQBNAEIARABBACgAXAAiAFwAIgApADsAXABuAFwAbgBWAEUARQBSAEcAXwA0AF8AMwBfADEAXwAxADAAXwBfADIAXwBNAGEAcwBzAE8AZgBOAGkAdAByAG8AZwBlAG4AVgBvAGwAYQB0AGkAbABpAHMAZQBkAE8AbgBQAGEAcwB0AHUAcgBlAF8ATABhAHQAZQB4AEUAcQB1AGEAdABpAG8AbgBcAG4AIAAgAD0ATABBAE0AQgBEAEEAKABcACIATQBfAHsAdgBvAGwALABtAD0AMQA0AH0APQBcAFwAcwB1AG0AXABcAG4AbwBsAGkAbQBpAHQAcwBfAHsAagB9ACgATQBOAF8AewBqAG0APQAxADQAfQBcAFwAdABpAG0AZQBzACAARgByAGEAYwBHAEEAUwBNAHMAbwBpAGwAKQBcACIAKQA7AFwAbgBcAG4AVgBFAEUAUgBHAF8ANABfADMAXwAxAF8AMQAwAF8AXwAyAF8ATQBhAHMAcwBPAGYATgBpAHQAcgBvAGcAZQBuAFYAbwBsAGEAdABpAGwAaQBzAGUAZABPAG4AUABhAHMAdAB1AHIAZQBfAEEAcgBnAHUAbQBlAG4AdABzAFwAbgAgACAAPQBMAEEATQBCAEQAQQAoAFwAbgAgACAAIAAgAE0AQQBLAEUAQQBSAFIAQQBZACgAM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XAAiACwAIABcACIAKABrAGcAIABOAEgAMwAtAE4AIAArACAATgBPAHgALQBOACkALwBrAGcAIABOACkAXAAiACwAIABcACIAQwBvAG4AcwB0AGEAbgB0AFwAIgBcAG4AIAAgACAAIAAgACAAIAAgAH0ALAAgAHIALAAgAGMAKQBcAG4AIAAgACAAIAAgACAAKQBcAG4AIAAgACAAIAApAFwAbgAgACAAKQA7AFwAbgAiAH0ALAB7ACIAcABhAHQAaAAiADoAIgAvAHAAcgBvAGoAZQBjAHQAcwAvAE0ATQBTAF8ARABhAGkAcgB5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yACAATQBlAHQAaABvAGQAIAAxACAALQAgAFMAbwBpAGw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I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CwAbQA9ADEANAB9AFwAXAB0AGkAbQBlAHMAIABFAEYAXwB7AGwAZQBhAGMAaAB9AFwAXAB0AGkAbQBlAHMAIABDAF8AewBOADIATwB9AFwAXAB0AGkAbQBlAHMAIAAxADAAXgB7AC0AMwB9AFwAbgBNAF8AbABlAGEAYwBoAF8AbQAxADQAIAA9ACAAbQBhAHMAcwAgAG8AZgAgAG4AaQB0AHIAbwBnAGUAbgAgAGwAbwBzAHQAIAB0AG8AIABsAGUAYQBjAGgAaQBuAGcAIABhAG4AZAAgAHIAdQBuAG8AZgBmACAAZgByAG8AbQAgAHUAcgBpAG4AZQAgAGEAbgBkACAAZgBhAGUAYwBlAHMAIABkAGUAcABvAHMAaQB0AGUAZAAgAG8AbgAgAHAAYQBzAHQAdQByAGU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yAF8AXwAxAF8ATABlAGEAYwBoAGkAbgBnAEEAbgBkAFIAdQBuAG8AZgBmAEUAbQBpAHMAcwBpAG8AbgBzAEYAcgBvAG0AVQByAGkAbgBlAEEAbgBkAEQAdQBuAGcATwBuAFAAYQBzAHQAdQByAGUAXABuACAAIAA9AEwAQQBNAEIARABBACgAXABuACAAIAAgACAATQBfAGwAZQBhAGMAaABfAG0AMQA0ACwAIABFAEYAXwBsAGUAYQBjAGgALAAgAEMAXwBOADIATwAsAFwAbgAgACAAIAAgAE0AXwBsAGUAYQBjAGgAXwBtADEANAAgACoAIABFAEYAXwBsAGUAYQBjAGgAIAAqACAAQwBfAE4AMgBPACAAKgAgADEAMAAgAF4AIAAtADMAXABuACAAIAApADsAXABuAFwAbgBWAEUARQBSAEcAXwA0AF8AMwBfADEAXwAxADIAXwBfADEAXwBMAGUAYQBjAGgAaQBuAGcAQQBuAGQAUgB1AG4AbwBmAGYARQBtAGkAcwBzAGkAbwBuAHMARgByAG8AbQBVAHIAaQBuAGUAQQBuAGQARAB1AG4AZwBPAG4AUABhAHMAdAB1AHIAZQBfAFQAaQB0AGwAZQBcAG4AIAAgAD0ATABBAE0AQgBEAEEAKABcACIATABlAGEAYwBoAGkAbgBnACAAYQBuAGQAIAByAHUAbgBvAGYAZgAgAGUAbQBpAHMAcwBpAG8AbgBzACAAZgByAG8AbQAgAHUAcgBpAG4AZQAgAGEAbgBkACAAZAB1AG4AZwAgAGQAZQBwAG8AcwBpAHQAZQBkACAAbwBuACAAcABhAHMAdAB1AHIAZQBcACIAKQA7AFwAbgBcAG4AVgBFAEUAUgBHAF8ANABfADMAXwAxAF8AMQAyAF8AXwAxAF8ATABlAGEAYwBoAGkAbgBnAEEAbgBkAFIAdQBuAG8AZgBmAEUAbQBpAHMAcwBpAG8AbgBzAEYAcgBvAG0AVQByAGkAbgBlAEEAbgBkAEQAdQBuAGcATwBuAFAAYQBzAHQAdQByAGUAXwBWAGEAcgBpAGEAYgBsAGUAXABuACAAIAA9AEwAQQBNAEIARABBACgAXAAiAEUAXwBOADIATwBsAGUAYQBjAGgAXAAiACkAOwBcAG4AXABuAFYARQBFAFIARwBfADQAXwAzAF8AMQBfADEAMgBfAF8AMQBfAEwAZQBhAGMAaABpAG4AZwBBAG4AZABSAHUAbgBvAGYAZgBFAG0AaQBzAHMAaQBvAG4AcwBGAHIAbwBtAFUAcgBpAG4AZQBBAG4AZABEAHUAbgBnAE8AbgBQAGEAcwB0AHUAcgBlAF8AVQBuAGkAdABcAG4AIAAgAD0ATABBAE0AQgBEAEEAKABcACIAdAAgAE4AMgBPAFwAIgApADsAXABuAFwAbgBWAEUARQBSAEcAXwA0AF8AMwBfADEAXwAxADIAXwBfADEAXwBMAGUAYQBjAGgAaQBuAGcAQQBuAGQAUgB1AG4AbwBmAGYARQBtAGkAcwBzAGkAbwBuAHMARgByAG8AbQBVAHIAaQBuAGUAQQBuAGQARAB1AG4AZwBPAG4AUABhAHMAdAB1AHIAZQBfAFMAbwB1AHIAYwBlAFwAbgAgACAAPQBMAEEATQBCAEQAQQAoAFwAIgBWAEUARQBSAEcAIAAyADAAMgA2ADoAIAA0AC4AMwAuADEALgAxADIALAAgAEUAcQB1AGEAdABpAG8AbgAgACgAMQApAFwAIgApADsAXABuAFwAbgBWAEUARQBSAEcAXwA0AF8AMwBfADEAXwAxADIAXwBfADEAXwBMAGUAYQBjAGgAaQBuAGcAQQBuAGQAUgB1AG4AbwBmAGYARQBtAGkAcwBzAGkAbwBuAHMARgByAG8AbQBVAHIAaQBuAGUAQQBuAGQARAB1AG4AZwBPAG4AUABhAHMAdAB1AHIAZQBfAE4ASQBSAFIAZQBmAGUAcgBlAG4AYwBlAFwAbgAgACAAPQBMAEEATQBCAEQAQQAoAFwAIgBcACIAKQA7AFwAbgBcAG4AVgBFAEUAUgBHAF8ANABfADMAXwAxAF8AMQAyAF8AXwAxAF8ATABlAGEAYwBoAGkAbgBnAEEAbgBkAFIAdQBuAG8AZgBmAEUAbQBpAHMAcwBpAG8AbgBzAEYAcgBvAG0AVQByAGkAbgBlAEEAbgBkAEQAdQBuAGcATwBuAFAAYQBzAHQAdQByAGUAXwBMAGEAdABlAHgARQBxAHUAYQB0AGkAbwBuAFwAbgAgACAAPQBMAEEATQBCAEQAQQAoAFwAIgBFAF8AewBOADIATwAsAGwAZQBhAGMAaAB9AD0ATQBfAHsAbABlAGEAYwBoACwAbQA9ADEANAB9AFwAXAB0AGkAbQBlAHMAIABFAEYAXwB7AGwAZQBhAGMAaAB9AFwAXAB0AGkAbQBlAHMAIABDAF8AewBOADIATwB9AFwAXAB0AGkAbQBlAHMAIAAxADAAXgB7AC0AMwB9AFwAIgApADsAXABuAFwAbgBWAEUARQBSAEcAXwA0AF8AMwBfADEAXwAxADIAXwBfADEAXwBMAGUAYQBjAGgAaQBuAGcAQQBuAGQAUgB1AG4AbwBmAGYARQBtAGkAcwBzAGkAbwBuAHMARgByAG8AbQBVAHIAaQBuAGUAQQBuAGQARAB1AG4AZwBPAG4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UAcgBpAG4AZQAgAGEAbgBkACAAZgBhAGUAYwBlAHMAIABkAGUAcABvAHMAaQB0AGUAZAAgAG8AbgAgAHAAYQBzAHQAdQByAGUAXAAiACwAIABcACIAawBnACAATgBcACIALAAgAFwAIgBDAGEAbABjAHUAbABhAHQAZQBkACAAZgByAG8AbQAgADQALgAzAC4AMQAuADEAM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MgBfAF8AMgBfAE0AYQBzAHMATwBmAE4AaQB0AHIAbwBnAGUAbgBMAG8AcwB0AFQAbwBMAGUAYQBjAGgAaQBuAGcAQQBuAGQAUgB1AG4AbwBmAGYATwBuAFAAYQBzAHQAdQByAGUAXABuAE0AYQBzAHMAIABvAGYAIABuAGkAdAByAG8AZwBlAG4AIABsAG8AcwB0ACAAdABvACAAbABlAGEAYwBoAGkAbgBnACAAYQBuAGQAIAByAHUAbgBvAGYAZgAgAGYAcgBvAG0AIAB1AHIAaQBuAGUAIABhAG4AZAAgAGYAYQBlAGMAZQBzACAAbwBuACAAcABhAHMAdAB1AHIAZQBcAG4ATQBfAGwAZQBhAGMAaABfAG0AMQA0AFwAbgBrAGcAIABOAFwAbgBNAF8AewBsAGUAYQBjAGgALABtAD0AMQA0AH0APQBNAE4AXwB7AGoAbQA9ADEANAB9AFwAXAB0AGkAbQBlAHMAIABGAHIAYQBjAFcAZQB0AFwAXAB0AGkAbQBlAHMAIABGAHIAYQBjAEwARQBBAEMASABcAG4ATQBOAF8AagBtADEANAAgAD0AIABtAGEAcwBzACAAbwBmACAAbgBpAHQAcgBvAGcAZQBuACAAZQB4AGMAcgBlAHQAZQBkACAAbwBuACAAcABhAHMAdAB1AHIAZQAsACAAcgBhAG4AZwBlACAAYQBuAGQAIABwAGEAZABkAG8AYwBrACAAZgBvAHIAIABlAGEAYwBoACAAZABhAGkAcgB5ACAAYwBsAGEAcwBzACAAKABrAGcAIABOACkAXABuAEYAcgBhAGMAVwBlAHQAIAA9ACAAZgByAGEAYwB0AGkAbwBuACAAbwBmACAATgAgAGEAdgBhAGkAbABhAGIAbABlACAAZgBvAHIAIABsAGUAYQBjAGgAaQBuAGcAIABhAG4AZAAgAHIAdQBuAG8AZgBmAFwAbgBGAHIAYQBjAEwARQBBAEMASA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zAF8AMQBfADEAMgBfAF8AMgBfAE0AYQBzAHMATwBmAE4AaQB0AHIAbwBnAGUAbgBMAG8AcwB0AFQAbwBMAGUAYQBjAGgAaQBuAGcAQQBuAGQAUgB1AG4AbwBmAGYATwBuAFAAYQBzAHQAdQByAGUAXABuACAAIAA9AEwAQQBNAEIARABBACgAXABuACAAIAAgACAATQBOAF8AagBtADEANAAsACAARgByAGEAYwBXAGUAdAAsACAARgByAGEAYwBMAEUAQQBDAEgALABcAG4AIAAgACAAIABNAE4AXwBqAG0AMQA0ACAAKgAgAEYAcgBhAGMAVwBlAHQAIAAqACAARgByAGEAYwBMAEUAQQBDAEgAXABuACAAIAApADsAXABuAFwAbgBWAEUARQBSAEcAXwA0AF8AMwBfADEAXwAxADI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IABmAHIAbwBtACAAdQByAGkAbgBlACAAYQBuAGQAIABmAGEAZQBjAGUAcwAgAG8AbgAgAHAAYQBzAHQAdQByAGUAXAAiACkAOwBcAG4AXABuAFYARQBFAFIARwBfADQAXwAzAF8AMQBfADEAMgBfAF8AMgBfAE0AYQBzAHMATwBmAE4AaQB0AHIAbwBnAGUAbgBMAG8AcwB0AFQAbwBMAGUAYQBjAGgAaQBuAGcAQQBuAGQAUgB1AG4AbwBmAGYATwBuAFAAYQBzAHQAdQByAGUAXwBWAGEAcgBpAGEAYgBsAGUAXABuACAAIAA9AEwAQQBNAEIARABBACgAXAAiAE0AXwBsAGUAYQBjAGgAXwBtADEANABcACIAKQA7AFwAbgBcAG4AVgBFAEUAUgBHAF8ANABfADMAXwAxAF8AMQAyAF8AXwAyAF8ATQBhAHMAcwBPAGYATgBpAHQAcgBvAGcAZQBuAEwAbwBzAHQAVABvAEwAZQBhAGMAaABpAG4AZwBBAG4AZABSAHUAbgBvAGYAZgBPAG4AUABhAHMAdAB1AHIAZQBfAFUAbgBpAHQAXABuACAAIAA9AEwAQQBNAEIARABBACgAXAAiAGsAZwAgAE4AXAAiACkAOwBcAG4AXABuAFYARQBFAFIARwBfADQAXwAzAF8AMQBfADEAMgBfAF8AMgBfAE0AYQBzAHMATwBmAE4AaQB0AHIAbwBnAGUAbgBMAG8AcwB0AFQAbwBMAGUAYQBjAGgAaQBuAGcAQQBuAGQAUgB1AG4AbwBmAGYATwBuAFAAYQBzAHQAdQByAGUAXwBTAG8AdQByAGMAZQBcAG4AIAAgAD0ATABBAE0AQgBEAEEAKABcACIAVgBFAEUAUgBHACAAMgAwADIANgA6ACAANAAuADMALgAxAC4AMQAyACwAIABFAHEAdQBhAHQAaQBvAG4AIAAoADIAKQBcACIAKQA7AFwAbgBcAG4AVgBFAEUAUgBHAF8ANABfADMAXwAxAF8AMQAyAF8AXwAyAF8ATQBhAHMAcwBPAGYATgBpAHQAcgBvAGcAZQBuAEwAbwBzAHQAVABvAEwAZQBhAGMAaABpAG4AZwBBAG4AZABSAHUAbgBvAGYAZgBPAG4AUABhAHMAdAB1AHIAZQBfAE4ASQBSAFIAZQBmAGUAcgBlAG4AYwBlAFwAbgAgACAAPQBMAEEATQBCAEQAQQAoAFwAIgBcACIAKQA7AFwAbgBcAG4AVgBFAEUAUgBHAF8ANABfADMAXwAxAF8AMQAyAF8AXwAyAF8ATQBhAHMAcwBPAGYATgBpAHQAcgBvAGcAZQBuAEwAbwBzAHQAVABvAEwAZQBhAGMAaABpAG4AZwBBAG4AZABSAHUAbgBvAGYAZgBPAG4AUABhAHMAdAB1AHIAZQBfAEwAYQB0AGUAeABFAHEAdQBhAHQAaQBvAG4AXABuACAAIAA9AEwAQQBNAEIARABBACgAXAAiAE0AXwB7AGwAZQBhAGMAaAAsAG0APQAxADQAfQA9AFwAXABzAHUAbQBcAFwAbgBvAGwAaQBtAGkAdABzAF8AewBqAH0AKABNAE4AXwB7AGoAbQA9ADEANAB9AFwAXAB0AGkAbQBlAHMAIABGAHIAYQBjAFcAZQB0AFwAXAB0AGkAbQBlAHMAIABGAHIAYQBjAEwARQBBAEMASAApAFwAIgApADsAXABuAFwAbgBWAEUARQBSAEcAXwA0AF8AMwBfADEAXwAxADI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BcACIALAAgAFwAIgBrAGcAIABOAFwAIgAsACAAXAAiAEMAYQBsAGMAdQBsAGEAdABlAGQAIABmAHIAbwBtACAANAAuADMALgAxAC4AMwAgACgAMgApAFwAIgA7AFwAbgAgACAAIAAgACAAIAAgACAAIAAgAFwAIgBGAHIAYQBjAFcAZQB0AFwAIgAsACAAXAAiAGYAcgBhAGMAdABpAG8AbgAgAG8AZgAgAE4AIABhAHYAYQBpAGwAYQBiAGwAZQAgAGYAbwByACAAbABlAGEAYwBoAGkAbgBnACAAYQBuAGQAIAByAHUAbgBvAGYAZgBcACIALAAgAFwAIgBcACIALAAgAFwAIgBDAG8AbgBzAHQAYQBuAHQAXAAiADsAXABuACAAIAAgACAAIAAgACAAIAAgACAAXAAiAEYAcgBhAGMATABFAEEAQwBIAFwAIgAsACAAXAAiAGYAcgBhAGMAdABpAG8AbgAgAG8AZgAgAE4AIABsAG8AcwB0ACAAdABoAHIAbwB1AGcAaAAgAGwAZQBhAGMAaABpAG4AZwAgAGEAbgBkACAAcgB1AG4AbwBmAGYAXAAiACwAIABcACI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UAGkAdA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WAGEAcgBpAGEAYg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VAG4AaQB0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UwBvAHUAc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OAEkAUgBSAGUAZgBlAHIAZQBuAGM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wAYQB0AGUAeABFAHEAdQBhAHQAaQBvAG4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BAHIAZwB1AG0AZQBuAHQAcwAiACwAIgBNAE0AUwBfAEQAYQBpAHIAeQBfAEEAdABtAG8AcwBwAGgAZQByAGkAYwBEAGUAcABvAHMAaQB0AGkAbwBuAF8ARQBxAHUAYQB0AGkAbwBuAHMALgBWAEUARQBSAEcAXwA0AF8AMwBfADEAXwA1AF8AXwAyAF8AVABvAHQAYQBsAE4AaQB0AHIAbwBnAGUAbgBWAG8AbABhAHQAaQBsAGkAcwBlAGQARgByAG8AbQBNAE0AUwAiACwAIgBNAE0AUwBfAEQAYQBpAHIAeQBfAEEAdABtAG8AcwBwAGgAZQByAGkAYwBEAGUAcABvAHMAaQB0AGkAbwBuAF8ARQBxAHUAYQB0AGkAbwBuAHMALgBWAEUARQBSAEcAXwA0AF8AMwBfADEAXwA1AF8AXwAyAF8AVABvAHQAYQBsAE4AaQB0AHIAbwBnAGUAbgBWAG8AbABhAHQAaQBsAGkAcwBlAGQARgByAG8AbQBNAE0AUwBfAFQAaQB0AGwAZQAiACwAIgBNAE0AUwBfAEQAYQBpAHIAeQBfAEEAdABtAG8AcwBwAGgAZQByAGkAYwBEAGUAcABvAHMAaQB0AGkAbwBuAF8ARQBxAHUAYQB0AGkAbwBuAHMALgBWAEUARQBSAEcAXwA0AF8AMwBfADEAXwA1AF8AXwAyAF8AVABvAHQAYQBsAE4AaQB0AHIAbwBnAGUAbgBWAG8AbABhAHQAaQBsAGkAcwBlAGQARgByAG8AbQBNAE0AUwBfAFYAYQByAGkAYQBiAGwAZQAiACwAIgBNAE0AUwBfAEQAYQBpAHIAeQBfAEEAdABtAG8AcwBwAGgAZQByAGkAYwBEAGUAcABvAHMAaQB0AGkAbwBuAF8ARQBxAHUAYQB0AGkAbwBuAHMALgBWAEUARQBSAEcAXwA0AF8AMwBfADEAXwA1AF8AXwAyAF8AVABvAHQAYQBsAE4AaQB0AHIAbwBnAGUAbgBWAG8AbABhAHQAaQBsAGkAcwBlAGQARgByAG8AbQBNAE0AUwBfAFUAbgBpAHQAIgAsACIATQBNAFMAXwBEAGEAaQByAHkAXwBBAHQAbQBvAHMAcABoAGUAcgBpAGMARABlAHAAbwBzAGkAdABpAG8AbgBfAEUAcQB1AGEAdABpAG8AbgBzAC4AVgBFAEUAUgBHAF8ANABfADMAXwAxAF8ANQBfAF8AMgBfAFQAbwB0AGEAbABOAGkAdAByAG8AZwBlAG4AVgBvAGwAYQB0AGkAbABpAHMAZQBkAEYAcgBvAG0ATQBNAFMAXwBTAG8AdQByAGMAZQAiACwAIgBNAE0AUwBfAEQAYQBpAHIAeQBfAEEAdABtAG8AcwBwAGgAZQByAGkAYwBEAGUAcABvAHMAaQB0AGkAbwBuAF8ARQBxAHUAYQB0AGkAbwBuAHMALgBWAEUARQBSAEcAXwA0AF8AMwBfADEAXwA1AF8AXwAyAF8AVABvAHQAYQBsAE4AaQB0AHIAbwBnAGUAbgBWAG8AbABhAHQAaQBsAGkAcwBlAGQARgByAG8AbQBNAE0AUwBfAE4ASQBSAFIAZQBmAGUAcgBlAG4AYwBlACIALAAiAE0ATQBTAF8ARABhAGkAcgB5AF8AQQB0AG0AbwBzAHAAaABlAHIAaQBjAEQAZQBwAG8AcwBpAHQAaQBvAG4AXwBFAHEAdQBhAHQAaQBvAG4AcwAuAFYARQBFAFIARwBfADQAXwAzAF8AMQBfADUAXwBfADIAXwBUAG8AdABhAGwATgBpAHQAcgBvAGcAZQBuAFYAbwBsAGEAdABpAGwAaQBzAGUAZABGAHIAbwBtAE0ATQBTAF8ATABhAHQAZQB4AEUAcQB1AGEAdABpAG8AbgAiACwAIgBNAE0AUwBfAEQAYQBpAHIAeQBfAEEAdABtAG8AcwBwAGgAZQByAGkAYwBEAGUAcABvAHMAaQB0AGkAbwBuAF8ARQBxAHUAYQB0AGkAbwBuAHMALgBWAEUARQBSAEcAXwA0AF8AMwBfADEAXwA1AF8AXwAyAF8AVABvAHQAYQBsAE4AaQB0AHIAbwBnAGUAbgBWAG8AbABhAHQAaQBsAGkAcwBlAGQARgByAG8AbQBNAE0AUwBfAEEAcgBnAHUAbQBlAG4AdABzACIALAAiAE0ATQBTAF8ARABhAGkAcgB5AF8ATQBhAG4AdQByAGUAQQBwAHAAbABpAGUAZABUAG8AUwBvAGkAbABzAF8ARQBxAHUAYQB0AGkAbwBuAHMALgBWAEUARQBSAEcAXwA0AF8AMwBfADEAXwA4AF8AXwAxAF8ATQBhAHMAcwBPAGYATgBpAHQAcgBvAGcAZQBuAEEAcABwAGwAaQBlAGQAVABvAFMAbwBpAGwAcwBTAGMAbwBwAGUAMQAiACwAIgBNAE0AUwBfAEQAYQBpAHIAeQBfAE0AYQBuAHUAcgBlAEEAcABwAGwAaQBlAGQAVABvAFMAbwBpAGwAcwBfAEUAcQB1AGEAdABpAG8AbgBzAC4AVgBFAEUAUgBHAF8ANABfADMAXwAxAF8AOABfAF8AMQBfAE0AYQBzAHMATwBmAE4AaQB0AHIAbwBnAGUAbgBBAHAAcABsAGkAZQBkAFQAbwBTAG8AaQBsAHMAUwBjAG8AcABlADEAXwBUAGkAdABsAGUAIgAsACIATQBNAFMAXwBEAGEAaQByAHkAXwBNAGEAbgB1AHIAZQBBAHAAcABsAGkAZQBkAFQAbwBTAG8AaQBsAHMAXwBFAHEAdQBhAHQAaQBvAG4AcwAuAFYARQBFAFIARwBfADQAXwAzAF8AMQBfADgAXwBfADEAXwBNAGEAcwBzAE8AZgBOAGkAdAByAG8AZwBlAG4AQQBwAHAAbABpAGUAZABUAG8AUwBvAGkAbABzAFMAYwBvAHAAZQAxAF8AVgBhAHIAaQBhAGIAbABlACIALAAiAE0ATQBTAF8ARABhAGkAcgB5AF8ATQBhAG4AdQByAGUAQQBwAHAAbABpAGUAZABUAG8AUwBvAGkAbABzAF8ARQBxAHUAYQB0AGkAbwBuAHMALgBWAEUARQBSAEcAXwA0AF8AMwBfADEAXwA4AF8AXwAxAF8ATQBhAHMAcwBPAGYATgBpAHQAcgBvAGcAZQBuAEEAcABwAGwAaQBlAGQAVABvAFMAbwBpAGwAcwBTAGMAbwBwAGUAMQBfAFUAbgBpAHQAIgAsACIATQBNAFMAXwBEAGEAaQByAHkAXwBNAGEAbgB1AHIAZQBBAHAAcABsAGkAZQBkAFQAbwBTAG8AaQBsAHMAXwBFAHEAdQBhAHQAaQBvAG4AcwAuAFYARQBFAFIARwBfADQAXwAzAF8AMQBfADgAXwBfADEAXwBNAGEAcwBzAE8AZgBOAGkAdAByAG8AZwBlAG4AQQBwAHAAbABpAGUAZABUAG8AUwBvAGkAbABzAFMAYwBvAHAAZQAxAF8AUwBvAHUAcgBjAGUAIgAsACIATQBNAFMAXwBEAGEAaQByAHkAXwBNAGEAbgB1AHIAZQBBAHAAcABsAGkAZQBkAFQAbwBTAG8AaQBsAHMAXwBFAHEAdQBhAHQAaQBvAG4AcwAuAFYARQBFAFIARwBfADQAXwAzAF8AMQBfADgAXwBfADEAXwBNAGEAcwBzAE8AZgBOAGkAdAByAG8AZwBlAG4AQQBwAHAAbABpAGUAZABUAG8AUwBvAGkAbABzAFMAYwBvAHAAZQAxAF8ATgBJAFIAUgBlAGYAZQByAGUAbgBjAGUAIgAsACIATQBNAFMAXwBEAGEAaQByAHkAXwBNAGEAbgB1AHIAZQBBAHAAcABsAGkAZQBkAFQAbwBTAG8AaQBsAHMAXwBFAHEAdQBhAHQAaQBvAG4AcwAuAFYARQBFAFIARwBfADQAXwAzAF8AMQBfADgAXwBfADEAXwBNAGEAcwBzAE8AZgBOAGkAdAByAG8AZwBlAG4AQQBwAHAAbABpAGUAZABUAG8AUwBvAGkAbABzAFMAYwBvAHAAZQAxAF8ATABhAHQAZQB4AEUAcQB1AGEAdABpAG8AbgAiACwAIgBNAE0AUwBfAEQAYQBpAHIAeQBfAE0AYQBuAHUAcgBlAEEAcABwAGwAaQBlAGQAVABvAFMAbwBpAGwAcwBfAEUAcQB1AGEAdABpAG8AbgBzAC4AVgBFAEUAUgBHAF8ANABfADMAXwAxAF8AOABfAF8AMQBfAE0AYQBzAHMATwBmAE4AaQB0AHIAbwBnAGUAbgBBAHAAcABsAGkAZQBkAFQAbwBTAG8AaQBsAHMAUwBjAG8AcABlADEAXwBBAHIAZwB1AG0AZQBuAHQAcwAiACwAIgBNAE0AUwBfAEQAYQBpAHIAeQBfAE0AYQBuAHUAcgBlAEEAcABwAGwAaQBlAGQAVABvAFMAbwBpAGwAcwBfAEUAcQB1AGEAdABpAG8AbgBzAC4AVgBFAEUAUgBHAF8ANABfADMAXwAxAF8AOABfAF8AMgBfAE0AYQBzAHMATwBmAE4AaQB0AHIAbwBnAGUAbgBBAHAAcABsAGkAZQBkAFQAbwBTAG8AaQBsAHMAUwBjAG8AcABlADMAIgAsACIATQBNAFMAXwBEAGEAaQByAHkAXwBNAGEAbgB1AHIAZQBBAHAAcABsAGkAZQBkAFQAbwBTAG8AaQBsAHMAXwBFAHEAdQBhAHQAaQBvAG4AcwAuAFYARQBFAFIARwBfADQAXwAzAF8AMQBfADgAXwBfADIAXwBNAGEAcwBzAE8AZgBOAGkAdAByAG8AZwBlAG4AQQBwAHAAbABpAGUAZABUAG8AUwBvAGkAbABzAFMAYwBvAHAAZQAzAF8AVABpAHQAbABlACIALAAiAE0ATQBTAF8ARABhAGkAcgB5AF8ATQBhAG4AdQByAGUAQQBwAHAAbABpAGUAZABUAG8AUwBvAGkAbABzAF8ARQBxAHUAYQB0AGkAbwBuAHMALgBWAEUARQBSAEcAXwA0AF8AMwBfADEAXwA4AF8AXwAyAF8ATQBhAHMAcwBPAGYATgBpAHQAcgBvAGcAZQBuAEEAcABwAGwAaQBlAGQAVABvAFMAbwBpAGwAcwBTAGMAbwBwAGUAMwBfAFYAYQByAGkAYQBiAGwAZQAiACwAIgBNAE0AUwBfAEQAYQBpAHIAeQBfAE0AYQBuAHUAcgBlAEEAcABwAGwAaQBlAGQAVABvAFMAbwBpAGwAcwBfAEUAcQB1AGEAdABpAG8AbgBzAC4AVgBFAEUAUgBHAF8ANABfADMAXwAxAF8AOABfAF8AMgBfAE0AYQBzAHMATwBmAE4AaQB0AHIAbwBnAGUAbgBBAHAAcABsAGkAZQBkAFQAbwBTAG8AaQBsAHMAUwBjAG8AcABlADMAXwBVAG4AaQB0ACIALAAiAE0ATQBTAF8ARABhAGkAcgB5AF8ATQBhAG4AdQByAGUAQQBwAHAAbABpAGUAZABUAG8AUwBvAGkAbABzAF8ARQBxAHUAYQB0AGkAbwBuAHMALgBWAEUARQBSAEcAXwA0AF8AMwBfADEAXwA4AF8AXwAyAF8ATQBhAHMAcwBPAGYATgBpAHQAcgBvAGcAZQBuAEEAcABwAGwAaQBlAGQAVABvAFMAbwBpAGwAcwBTAGMAbwBwAGUAMwBfAFMAbwB1AHIAYwBlACIALAAiAE0ATQBTAF8ARABhAGkAcgB5AF8ATQBhAG4AdQByAGUAQQBwAHAAbABpAGUAZABUAG8AUwBvAGkAbABzAF8ARQBxAHUAYQB0AGkAbwBuAHMALgBWAEUARQBSAEcAXwA0AF8AMwBfADEAXwA4AF8AXwAyAF8ATQBhAHMAcwBPAGYATgBpAHQAcgBvAGcAZQBuAEEAcABwAGwAaQBlAGQAVABvAFMAbwBpAGwAcwBTAGMAbwBwAGUAMwBfAE4ASQBSAFIAZQBmAGUAcgBlAG4AYwBlACIALAAiAE0ATQBTAF8ARABhAGkAcgB5AF8ATQBhAG4AdQByAGUAQQBwAHAAbABpAGUAZABUAG8AUwBvAGkAbABzAF8ARQBxAHUAYQB0AGkAbwBuAHMALgBWAEUARQBSAEcAXwA0AF8AMwBfADEAXwA4AF8AXwAyAF8ATQBhAHMAcwBPAGYATgBpAHQAcgBvAGcAZQBuAEEAcABwAGwAaQBlAGQAVABvAFMAbwBpAGwAcwBTAGMAbwBwAGUAMwBfAEwAYQB0AGUAeABFAHEAdQBhAHQAaQBvAG4AIgAsACIATQBNAFMAXwBEAGEAaQByAHkAXwBNAGEAbgB1AHIAZQBBAHAAcABsAGkAZQBkAFQAbwBTAG8AaQBsAHMAXwBFAHEAdQBhAHQAaQBvAG4AcwAuAFYARQBFAFIARwBfADQAXwAzAF8AMQBfADgAXwBfADIAXwBNAGEAcwBzAE8AZgBOAGkAdAByAG8AZwBlAG4AQQBwAHAAbABpAGUAZABUAG8AUwBvAGkAbABzAFMAYwBvAHAAZQAzAF8AQQByAGcAdQBtAGUAbgB0AHMAIgAsACIATQBNAFMAXwBEAGEAaQByAHkAXwBNAGUAdABoAGEAbgBlAF8ARQBxAHUAYQB0AGkAbwBuAHMALgBWAEUARQBSAEcAXwA0AF8AMwBfADEAXwAxAF8AXwAxAF8AVABvAHQAYQBsAEEAbgBuAHUAYQBsAE0AZQB0AGgAYQBuAGUARgByAG8AbQBNAGEAbgB1AHIAZQBNAGEAbgBhAGcAZQBtAGUAbgB0ACIALAAiAE0ATQBTAF8ARABhAGkAcgB5AF8ATQBlAHQAaABhAG4AZQBfAEUAcQB1AGEAdABpAG8AbgBzAC4AVgBFAEUAUgBHAF8ANABfADMAXwAxAF8AMQBfAF8AMQBfAFQAbwB0AGEAbABBAG4AbgB1AGEAbABNAGUAdABoAGEAbgBlAEYAcgBvAG0ATQBhAG4AdQByAGUATQBhAG4AYQBnAGUAbQBlAG4AdABWAGEAcgBpAGEAdABpAG8AbgAiACwAIgBNAE0AUwBfAEQAYQBpAHIAeQBfAE0AZQB0AGgAYQBuAGUAXwBFAHEAdQBhAHQAaQBvAG4AcwAuAFYARQBFAFIARwBfADQAXwAzAF8AMQBfADEAXwBfADEAXwBUAG8AdABhAGwAQQBuAG4AdQBhAGwATQBlAHQAaABhAG4AZQBGAHIAbwBtAE0AYQBuAHUAcgBlAE0AYQBuAGEAZwBlAG0AZQBuAHQAXwBUAGkAdABsAGUAIgAsACIATQBNAFMAXwBEAGEAaQByAHkAXwBNAGUAdABoAGEAbgBlAF8ARQBxAHUAYQB0AGkAbwBuAHMALgBWAEUARQBSAEcAXwA0AF8AMwBfADEAXwAxAF8AXwAxAF8AVABvAHQAYQBsAEEAbgBuAHUAYQBsAE0AZQB0AGgAYQBuAGUARgByAG8AbQBNAGEAbgB1AHIAZQBNAGEAbgBhAGcAZQBtAGUAbgB0AF8AVgBhAHIAaQBhAGIAbABlACIALAAiAE0ATQBTAF8ARABhAGkAcgB5AF8ATQBlAHQAaABhAG4AZQBfAEUAcQB1AGEAdABpAG8AbgBzAC4AVgBFAEUAUgBHAF8ANABfADMAXwAxAF8AMQBfAF8AMQBfAFQAbwB0AGEAbABBAG4AbgB1AGEAbABNAGUAdABoAGEAbgBlAEYAcgBvAG0ATQBhAG4AdQByAGUATQBhAG4AYQBnAGUAbQBlAG4AdABfAFUAbgBpAHQAIgAsACIATQBNAFMAXwBEAGEAaQByAHkAXwBNAGUAdABoAGEAbgBlAF8ARQBxAHUAYQB0AGkAbwBuAHMALgBWAEUARQBSAEcAXwA0AF8AMwBfADEAXwAxAF8AXwAxAF8AVABvAHQAYQBsAEEAbgBuAHUAYQBsAE0AZQB0AGgAYQBuAGUARgByAG8AbQBNAGEAbgB1AHIAZQBNAGEAbgBhAGcAZQBtAGUAbgB0AF8AUwBvAHUAcgBjAGUAIgAsACIATQBNAFMAXwBEAGEAaQByAHkAXwBNAGUAdABoAGEAbgBlAF8ARQBxAHUAYQB0AGkAbwBuAHMALgBWAEUARQBSAEcAXwA0AF8AMwBfADEAXwAxAF8AXwAxAF8AVABvAHQAYQBsAEEAbgBuAHUAYQBsAE0AZQB0AGgAYQBuAGUARgByAG8AbQBNAGEAbgB1AHIAZQBNAGEAbgBhAGcAZQBtAGUAbgB0AF8ATgBJAFIAUgBlAGYAZQByAGUAbgBjAGUAIgAsACIATQBNAFMAXwBEAGEAaQByAHkAXwBNAGUAdABoAGEAbgBlAF8ARQBxAHUAYQB0AGkAbwBuAHMALgBWAEUARQBSAEcAXwA0AF8AMwBfADEAXwAxAF8AXwAxAF8AVABvAHQAYQBsAEEAbgBuAHUAYQBsAE0AZQB0AGgAYQBuAGUARgByAG8AbQBNAGEAbgB1AHIAZQBNAGEAbgBhAGcAZQBtAGUAbgB0AF8ATABhAHQAZQB4AEUAcQB1AGEAdABpAG8AbgAiACwAIgBNAE0AUwBfAEQAYQBpAHIAeQBfAE0AZQB0AGgAYQBuAGUAXwBFAHEAdQBhAHQAaQBvAG4AcwAuAFYARQBFAFIARwBfADQAXwAzAF8AMQBfADEAXwBfADEAXwBUAG8AdABhAGwAQQBuAG4AdQBhAGwATQBlAHQAaABhAG4AZQBGAHIAbwBtAE0AYQBuAHUAcgBlAE0AYQBuAGEAZwBlAG0AZQBuAHQAXwBMAGEAdABlAHgARQBxAHUAYQB0AGkAbwBuAFYAYQByAGkAYQB0AGkAbwBuACIALAAiAE0ATQBTAF8ARABhAGkAcgB5AF8ATQBlAHQAaABhAG4AZQBfAEUAcQB1AGEAdABpAG8AbgBzAC4AVgBFAEUAUgBHAF8ANABfADMAXwAxAF8AMQBfAF8AMQBfAFQAbwB0AGEAbABBAG4AbgB1AGEAbABNAGUAdABoAGEAbgBlAEYAcgBvAG0ATQBhAG4AdQByAGUATQBhAG4AYQBnAGUAbQBlAG4AdABfAEEAcgBnAHUAbQBlAG4AdABzACIALAAiAE0ATQBTAF8ARABhAGkAcgB5AF8ATQBlAHQAaABhAG4AZQBfAEUAcQB1AGEAdABpAG8AbgBzAC4AVgBFAEUAUgBHAF8ANABfADMAXwAxAF8AMQBfAF8AMQBfAFQAbwB0AGEAbABBAG4AbgB1AGEAbABNAGUAdABoAGEAbgBlAEYAcgBvAG0ATQBhAG4AdQByAGUATQBhAG4AYQBnAGUAbQBlAG4AdABfAFYAYQByAGkAYQB0AGkAbwBuACIALAAiAE0ATQBTAF8ARABhAGkAcgB5AF8ATQBlAHQAaABhAG4AZQBfAEUAcQB1AGEAdABpAG8AbgBzAC4AVgBFAEUAUgBHAF8ANABfADMAXwAxAF8AMQBfAF8AMgBfAE0AZQB0AGgAYQBuAGUARgByAG8AbQBNAGEAbgB1AHIAZQBQAHIAbwBkAHUAYwB0AGkAbwBuACIALAAiAE0ATQBTAF8ARABhAGkAcgB5AF8ATQBlAHQAaABhAG4AZQBfAEUAcQB1AGEAdABpAG8AbgBzAC4AVgBFAEUAUgBHAF8ANABfADMAXwAxAF8AMQBfAF8AMgBfAE0AZQB0AGgAYQBuAGUARgByAG8AbQBNAGEAbgB1AHIAZQBQAHIAbwBkAHUAYwB0AGkAbwBuAF8AVABpAHQAbABlACIALAAiAE0ATQBTAF8ARABhAGkAcgB5AF8ATQBlAHQAaABhAG4AZQBfAEUAcQB1AGEAdABpAG8AbgBzAC4AVgBFAEUAUgBHAF8ANABfADMAXwAxAF8AMQBfAF8AMgBfAE0AZQB0AGgAYQBuAGUARgByAG8AbQBNAGEAbgB1AHIAZQBQAHIAbwBkAHUAYwB0AGkAbwBuAF8AVgBhAHIAaQBhAGIAbABlACIALAAiAE0ATQBTAF8ARABhAGkAcgB5AF8ATQBlAHQAaABhAG4AZQBfAEUAcQB1AGEAdABpAG8AbgBzAC4AVgBFAEUAUgBHAF8ANABfADMAXwAxAF8AMQBfAF8AMgBfAE0AZQB0AGgAYQBuAGUARgByAG8AbQBNAGEAbgB1AHIAZQBQAHIAbwBkAHUAYwB0AGkAbwBuAF8AVQBuAGkAdAAiACwAIgBNAE0AUwBfAEQAYQBpAHIAeQBfAE0AZQB0AGgAYQBuAGUAXwBFAHEAdQBhAHQAaQBvAG4AcwAuAFYARQBFAFIARwBfADQAXwAzAF8AMQBfADEAXwBfADIAXwBNAGUAdABoAGEAbgBlAEYAcgBvAG0ATQBhAG4AdQByAGUAUAByAG8AZAB1AGMAdABpAG8AbgBfAFMAbwB1AHIAYwBlACIALAAiAE0ATQBTAF8ARABhAGkAcgB5AF8ATQBlAHQAaABhAG4AZQBfAEUAcQB1AGEAdABpAG8AbgBzAC4AVgBFAEUAUgBHAF8ANABfADMAXwAxAF8AMQBfAF8AMgBfAE0AZQB0AGgAYQBuAGUARgByAG8AbQBNAGEAbgB1AHIAZQBQAHIAbwBkAHUAYwB0AGkAbwBuAF8ATgBJAFIAUgBlAGYAZQByAGUAbgBjAGUAIgAsACIATQBNAFMAXwBEAGEAaQByAHkAXwBNAGUAdABoAGEAbgBlAF8ARQBxAHUAYQB0AGkAbwBuAHMALgBWAEUARQBSAEcAXwA0AF8AMwBfADEAXwAxAF8AXwAyAF8ATQBlAHQAaABhAG4AZQBGAHIAbwBtAE0AYQBuAHUAcgBlAFAAcgBvAGQAdQBjAHQAaQBvAG4AXwBMAGEAdABlAHgARQBxAHUAYQB0AGkAbwBuACIALAAiAE0ATQBTAF8ARABhAGkAcgB5AF8ATQBlAHQAaABhAG4AZQBfAEUAcQB1AGEAdABpAG8AbgBzAC4AVgBFAEUAUgBHAF8ANABfADMAXwAxAF8AMQBfAF8AMgBfAE0AZQB0AGgAYQBuAGUARgByAG8AbQBNAGEAbgB1AHIAZQBQAHIAbwBkAHUAYwB0AGkAbwBuAF8AQQByAGcAdQBtAGUAbgB0AHMAIgAsACIATQBNAFMAXwBEAGEAaQByAHkAXwBNAGUAdABoAGEAbgBlAF8ARQBxAHUAYQB0AGkAbwBuAHMALgBWAEUARQBSAEcAXwA0AF8AMwBfADEAXwAxAF8AXwAyAF8ATQBlAHQAaABhAG4AZQBGAHIAbwBtAE0AYQBuAHUAcgBlAFAAcgBvAGQAdQBjAHQAaQBvAG4AXwBBAHIAZwB1AG0AZQBuAHQAcwBfAE0AZQB0AGgAbwBkADIAIgAsACIATQBNAFMAXwBEAGEAaQByAHkAXwBNAGUAdABoAGEAbgBlAF8ARQBxAHUAYQB0AGkAbwBuAHMALgBWAEUARQBSAEcAXwA0AF8AMwBfADEAXwAxAF8AXwAzAF8AVgBvAGwAYQB0AGkAbABlAFMAbwBsAGkAZABzAEYAbwByAFcAZQBhAG4AZQBkAEQAYQBpAHIAeQBDAGEAdAB0AGwAZQAiACwAIgBNAE0AUwBfAEQAYQBpAHIAeQBfAE0AZQB0AGgAYQBuAGUAXwBFAHEAdQBhAHQAaQBvAG4AcwAuAFYARQBFAFIARwBfADQAXwAzAF8AMQBfADEAXwBfADMAXwBWAG8AbABhAHQAaQBsAGUAUwBvAGwAaQBkAHMARgBvAHIAVwBlAGEAbgBlAGQARABhAGkAcgB5AEMAYQB0AHQAbABlAF8AVABpAHQAbABlACIALAAiAE0ATQBTAF8ARABhAGkAcgB5AF8ATQBlAHQAaABhAG4AZQBfAEUAcQB1AGEAdABpAG8AbgBzAC4AVgBFAEUAUgBHAF8ANABfADMAXwAxAF8AMQBfAF8AMwBfAFYAbwBsAGEAdABpAGwAZQBTAG8AbABpAGQAcwBGAG8AcgBXAGUAYQBuAGUAZABEAGEAaQByAHkAQwBhAHQAdABsAGUAXwBWAGEAcgBpAGEAYgBsAGUAIgAsACIATQBNAFMAXwBEAGEAaQByAHkAXwBNAGUAdABoAGEAbgBlAF8ARQBxAHUAYQB0AGkAbwBuAHMALgBWAEUARQBSAEcAXwA0AF8AMwBfADEAXwAxAF8AXwAzAF8AVgBvAGwAYQB0AGkAbABlAFMAbwBsAGkAZABzAEYAbwByAFcAZQBhAG4AZQBkAEQAYQBpAHIAeQBDAGEAdAB0AGwAZQBfAFUAbgBpAHQAIgAsACIATQBNAFMAXwBEAGEAaQByAHkAXwBNAGUAdABoAGEAbgBlAF8ARQBxAHUAYQB0AGkAbwBuAHMALgBWAEUARQBSAEcAXwA0AF8AMwBfADEAXwAxAF8AXwAzAF8AVgBvAGwAYQB0AGkAbABlAFMAbwBsAGkAZABzAEYAbwByAFcAZQBhAG4AZQBkAEQAYQBpAHIAeQBDAGEAdAB0AGwAZQBfAFMAbwB1AHIAYwBlACIALAAiAE0ATQBTAF8ARABhAGkAcgB5AF8ATQBlAHQAaABhAG4AZQBfAEUAcQB1AGEAdABpAG8AbgBzAC4AVgBFAEUAUgBHAF8ANABfADMAXwAxAF8AMQBfAF8AMwBfAFYAbwBsAGEAdABpAGwAZQBTAG8AbABpAGQAcwBGAG8AcgBXAGUAYQBuAGUAZABEAGEAaQByAHkAQwBhAHQAdABsAGUAXwBOAEkAUgBSAGUAZgBlAHIAZQBuAGMAZQAiACwAIgBNAE0AUwBfAEQAYQBpAHIAeQBfAE0AZQB0AGgAYQBuAGUAXwBFAHEAdQBhAHQAaQBvAG4AcwAuAFYARQBFAFIARwBfADQAXwAzAF8AMQBfADEAXwBfADMAXwBWAG8AbABhAHQAaQBsAGUAUwBvAGwAaQBkAHMARgBvAHIAVwBlAGEAbgBlAGQARABhAGkAcgB5AEMAYQB0AHQAbABlAF8ATABhAHQAZQB4AEUAcQB1AGEAdABpAG8AbgAiACwAIgBNAE0AUwBfAEQAYQBpAHIAeQBfAE0AZQB0AGgAYQBuAGUAXwBFAHEAdQBhAHQAaQBvAG4AcwAuAFYARQBFAFIARwBfADQAXwAzAF8AMQBfADEAXwBfADMAXwBWAG8AbABhAHQAaQBsAGUAUwBvAGwAaQBkAHMARgBvAHIAVwBlAGEAbgBlAGQARABhAGkAcgB5AEMAYQB0AHQAbABlAF8AQQByAGcAdQBtAGUAbgB0AHMAIgAsACIATQBNAFMAXwBEAGEAaQByAHkAXwBNAGUAdABoAGEAbgBlAF8ARQBxAHUAYQB0AGkAbwBuAHMALgBWAEUARQBSAEcAXwA0AF8AMwBfADEAXwAxAF8AXwA0AF8ARgByAGEAYwB0AGkAbwBuAFYAbwBsAGEAdABpAGwAZQBTAG8AbABpAGQAcwBOAG8AdABTAG8AbABpAGQAUwB0AG8AcgBhAGcAZQAiACwAIgBNAE0AUwBfAEQAYQBpAHIAeQBfAE0AZQB0AGgAYQBuAGUAXwBFAHEAdQBhAHQAaQBvAG4AcwAuAFYARQBFAFIARwBfADQAXwAzAF8AMQBfADEAXwBfADQAXwBGAHIAYQBjAHQAaQBvAG4AVgBvAGwAYQB0AGkAbABlAFMAbwBsAGkAZABzAE4AbwB0AFMAbwBsAGkAZABTAHQAbwByAGEAZwBlAF8AVABpAHQAbABlACIALAAiAE0ATQBTAF8ARABhAGkAcgB5AF8ATQBlAHQAaABhAG4AZQBfAEUAcQB1AGEAdABpAG8AbgBzAC4AVgBFAEUAUgBHAF8ANABfADMAXwAxAF8AMQBfAF8ANABfAEYAcgBhAGMAdABpAG8AbgBWAG8AbABhAHQAaQBsAGUAUwBvAGwAaQBkAHMATgBvAHQAUwBvAGwAaQBkAFMAdABvAHIAYQBnAGUAXwBWAGEAcgBpAGEAYgBsAGUAIgAsACIATQBNAFMAXwBEAGEAaQByAHkAXwBNAGUAdABoAGEAbgBlAF8ARQBxAHUAYQB0AGkAbwBuAHMALgBWAEUARQBSAEcAXwA0AF8AMwBfADEAXwAxAF8AXwA0AF8ARgByAGEAYwB0AGkAbwBuAFYAbwBsAGEAdABpAGwAZQBTAG8AbABpAGQAcwBOAG8AdABTAG8AbABpAGQAUwB0AG8AcgBhAGcAZQBfAFUAbgBpAHQAIgAsACIATQBNAFMAXwBEAGEAaQByAHkAXwBNAGUAdABoAGEAbgBlAF8ARQBxAHUAYQB0AGkAbwBuAHMALgBWAEUARQBSAEcAXwA0AF8AMwBfADEAXwAxAF8AXwA0AF8ARgByAGEAYwB0AGkAbwBuAFYAbwBsAGEAdABpAGwAZQBTAG8AbABpAGQAcwBOAG8AdABTAG8AbABpAGQAUwB0AG8AcgBhAGcAZQBfAFMAbwB1AHIAYwBlACIALAAiAE0ATQBTAF8ARABhAGkAcgB5AF8ATQBlAHQAaABhAG4AZQBfAEUAcQB1AGEAdABpAG8AbgBzAC4AVgBFAEUAUgBHAF8ANABfADMAXwAxAF8AMQBfAF8ANABfAEYAcgBhAGMAdABpAG8AbgBWAG8AbABhAHQAaQBsAGUAUwBvAGwAaQBkAHMATgBvAHQAUwBvAGwAaQBkAFMAdABvAHIAYQBnAGUAXwBOAEkAUgBSAGUAZgBlAHIAZQBuAGMAZQAiACwAIgBNAE0AUwBfAEQAYQBpAHIAeQBfAE0AZQB0AGgAYQBuAGUAXwBFAHEAdQBhAHQAaQBvAG4AcwAuAFYARQBFAFIARwBfADQAXwAzAF8AMQBfADEAXwBfADQAXwBGAHIAYQBjAHQAaQBvAG4AVgBvAGwAYQB0AGkAbABlAFMAbwBsAGkAZABzAE4AbwB0AFMAbwBsAGkAZABTAHQAbwByAGEAZwBlAF8ATABhAHQAZQB4AEUAcQB1AGEAdABpAG8AbgAiACwAIgBNAE0AUwBfAEQAYQBpAHIAeQBfAE0AZQB0AGgAYQBuAGUAXwBFAHEAdQBhAHQAaQBvAG4AcwAuAFYARQBFAFIARwBfADQAXwAzAF8AMQBfADEAXwBfADQAXwBGAHIAYQBjAHQAaQBvAG4AVgBvAGwAYQB0AGkAbABlAFMAbwBsAGkAZABzAE4AbwB0AFMAbwBsAGkAZABTAHQAbwByAGEAZwBlAF8AQQByAGcAdQBtAGUAbgB0AHMAIgAsACIATQBNAFMAXwBEAGEAaQByAHkAXwBNAGUAdABoAGEAbgBlAF8ARQBxAHUAYQB0AGkAbwBuAHMALgBWAEUARQBSAEcAXwA0AF8AMwBfADEAXwAxAF8AXwA1AF8ARgByAGEAYwB0AGkAbwBuAFYAbwBsAGEAdABpAGwAZQBTAG8AbABpAGQAcwBTAG8AbABpAGQAUwB0AG8AcgBhAGcAZQAiACwAIgBNAE0AUwBfAEQAYQBpAHIAeQBfAE0AZQB0AGgAYQBuAGUAXwBFAHEAdQBhAHQAaQBvAG4AcwAuAFYARQBFAFIARwBfADQAXwAzAF8AMQBfADEAXwBfADUAXwBGAHIAYQBjAHQAaQBvAG4AVgBvAGwAYQB0AGkAbABlAFMAbwBsAGkAZABzAFMAbwBsAGkAZABTAHQAbwByAGEAZwBlAFYAYQByAGkAYQB0AGkAbwBuACIALAAiAE0ATQBTAF8ARABhAGkAcgB5AF8ATQBlAHQAaABhAG4AZQBfAEUAcQB1AGEAdABpAG8AbgBzAC4AVgBFAEUAUgBHAF8ANABfADMAXwAxAF8AMQBfAF8ANQBfAEYAcgBhAGMAdABpAG8AbgBWAG8AbABhAHQAaQBsAGUAUwBvAGwAaQBkAHMAUwBvAGwAaQBkAFMAdABvAHIAYQBnAGUAXwBUAGkAdABsAGUAIgAsACIATQBNAFMAXwBEAGEAaQByAHkAXwBNAGUAdABoAGEAbgBlAF8ARQBxAHUAYQB0AGkAbwBuAHMALgBWAEUARQBSAEcAXwA0AF8AMwBfADEAXwAxAF8AXwA1AF8ARgByAGEAYwB0AGkAbwBuAFYAbwBsAGEAdABpAGwAZQBTAG8AbABpAGQAcwBTAG8AbABpAGQAUwB0AG8AcgBhAGcAZQBfAFYAYQByAGkAYQBiAGwAZQAiACwAIgBNAE0AUwBfAEQAYQBpAHIAeQBfAE0AZQB0AGgAYQBuAGUAXwBFAHEAdQBhAHQAaQBvAG4AcwAuAFYARQBFAFIARwBfADQAXwAzAF8AMQBfADEAXwBfADUAXwBGAHIAYQBjAHQAaQBvAG4AVgBvAGwAYQB0AGkAbABlAFMAbwBsAGkAZABzAFMAbwBsAGkAZABTAHQAbwByAGEAZwBlAF8AVQBuAGkAdAAiACwAIgBNAE0AUwBfAEQAYQBpAHIAeQBfAE0AZQB0AGgAYQBuAGUAXwBFAHEAdQBhAHQAaQBvAG4AcwAuAFYARQBFAFIARwBfADQAXwAzAF8AMQBfADEAXwBfADUAXwBGAHIAYQBjAHQAaQBvAG4AVgBvAGwAYQB0AGkAbABlAFMAbwBsAGkAZABzAFMAbwBsAGkAZABTAHQAbwByAGEAZwBlAF8AUwBvAHUAcgBjAGUAIgAsACIATQBNAFMAXwBEAGEAaQByAHkAXwBNAGUAdABoAGEAbgBlAF8ARQBxAHUAYQB0AGkAbwBuAHMALgBWAEUARQBSAEcAXwA0AF8AMwBfADEAXwAxAF8AXwA1AF8ARgByAGEAYwB0AGkAbwBuAFYAbwBsAGEAdABpAGwAZQBTAG8AbABpAGQAcwBTAG8AbABpAGQAUwB0AG8AcgBhAGcAZQBfAE4ASQBSAFIAZQBmAGUAcgBlAG4AYwBlACIALAAiAE0ATQBTAF8ARABhAGkAcgB5AF8ATQBlAHQAaABhAG4AZQBfAEUAcQB1AGEAdABpAG8AbgBzAC4AVgBFAEUAUgBHAF8ANABfADMAXwAxAF8AMQBfAF8ANQBfAEYAcgBhAGMAdABpAG8AbgBWAG8AbABhAHQAaQBsAGUAUwBvAGwAaQBkAHMAUwBvAGwAaQBkAFMAdABvAHIAYQBnAGUAXwBMAGEAdABlAHgARQBxAHUAYQB0AGkAbwBuACIALAAiAE0ATQBTAF8ARABhAGkAcgB5AF8ATQBlAHQAaABhAG4AZQBfAEUAcQB1AGEAdABpAG8AbgBzAC4AVgBFAEUAUgBHAF8ANABfADMAXwAxAF8AMQBfAF8ANQBfAEYAcgBhAGMAdABpAG8AbgBWAG8AbABhAHQAaQBsAGUAUwBvAGwAaQBkAHMAUwBvAGwAaQBkAFMAdABvAHIAYQBnAGUAXwBMAGEAdABlAHgARQBxAHUAYQB0AGkAbwBuAFYAYQByAGkAYQB0AGkAbwBuACIALAAiAE0ATQBTAF8ARABhAGkAcgB5AF8ATQBlAHQAaABhAG4AZQBfAEUAcQB1AGEAdABpAG8AbgBzAC4AVgBFAEUAUgBHAF8ANABfADMAXwAxAF8AMQBfAF8ANQBfAEYAcgBhAGMAdABpAG8AbgBWAG8AbABhAHQAaQBsAGUAUwBvAGwAaQBkAHMAUwBvAGwAaQBkAFMAdABvAHIAYQBnAGUAXwBBAHIAZwB1AG0AZQBuAHQAcwAiACwAIgBNAE0AUwBfAEQAYQBpAHIAeQBfAE0AZQB0AGgAYQBuAGUAXwBFAHEAdQBhAHQAaQBvAG4AcwAuAFYARQBFAFIARwBfADQAXwAzAF8AMQBfADEAXwBfADUAXwBGAHIAYQBjAHQAaQBvAG4AVgBvAGwAYQB0AGkAbABlAFMAbwBsAGkAZABzAFMAbwBsAGkAZABTAHQAbwByAGEAZwBlAF8AVgBhAHIAaQBhAHQAaQBvAG4AIgAsACIATQBNAFMAXwBEAGEAaQByAHkAXwBOADIATwBEAGkAcgBlAGMAdABfAEUAcQB1AGEAdABpAG8AbgBzAC4AVgBFAEUAUgBHAF8ANABfADMAXwAxAF8AMwBfAF8AMQBfAFQAbwB0AGEAbABBAG4AbgB1AGEAbABEAGkAcgBlAGMAdABOAGkAdAByAG8AdQBzAE8AeABpAGQAZQBFAG0AaQBzAHMAaQBvAG4AcwBGAHIAbwBtAE0ATQBTACIALAAiAE0ATQBTAF8ARABhAGkAcgB5AF8ATgAyAE8ARABpAHIAZQBjAHQAXwBFAHEAdQBhAHQAaQBvAG4AcwAuAFYARQBFAFIARwBfADQAXwAzAF8AMQBfADMAXwBfADEAXwBUAG8AdABhAGwAQQBuAG4AdQBhAGwARABpAHIAZQBjAHQATgBpAHQAcgBvAHUAcwBPAHgAaQBkAGUARQBtAGkAcwBzAGkAbwBuAHMARgByAG8AbQBNAE0AUwBfAFQAaQB0AGwAZQAiACwAIgBNAE0AUwBfAEQAYQBpAHIAeQBfAE4AMgBPAEQAaQByAGUAYwB0AF8ARQBxAHUAYQB0AGkAbwBuAHMALgBWAEUARQBSAEcAXwA0AF8AMwBfADEAXwAzAF8AXwAxAF8AVABvAHQAYQBsAEEAbgBuAHUAYQBsAEQAaQByAGUAYwB0AE4AaQB0AHIAbwB1AHMATwB4AGkAZABlAEUAbQBpAHMAcwBpAG8AbgBzAEYAcgBvAG0ATQBNAFMAXwBWAGEAcgBpAGEAYgBsAGUAIgAsACIATQBNAFMAXwBEAGEAaQByAHkAXwBOADIATwBEAGkAcgBlAGMAdABfAEUAcQB1AGEAdABpAG8AbgBzAC4AVgBFAEUAUgBHAF8ANABfADMAXwAxAF8AMwBfAF8AMQBfAFQAbwB0AGEAbABBAG4AbgB1AGEAbABEAGkAcgBlAGMAdABOAGkAdAByAG8AdQBzAE8AeABpAGQAZQBFAG0AaQBzAHMAaQBvAG4AcwBGAHIAbwBtAE0ATQBTAF8AVQBuAGkAdAAiACwAIgBNAE0AUwBfAEQAYQBpAHIAeQBfAE4AMgBPAEQAaQByAGUAYwB0AF8ARQBxAHUAYQB0AGkAbwBuAHMALgBWAEUARQBSAEcAXwA0AF8AMwBfADEAXwAzAF8AXwAxAF8AVABvAHQAYQBsAEEAbgBuAHUAYQBsAEQAaQByAGUAYwB0AE4AaQB0AHIAbwB1AHMATwB4AGkAZABlAEUAbQBpAHMAcwBpAG8AbgBzAEYAcgBvAG0ATQBNAFMAXwBTAG8AdQByAGMAZQAiACwAIgBNAE0AUwBfAEQAYQBpAHIAeQBfAE4AMgBPAEQAaQByAGUAYwB0AF8ARQBxAHUAYQB0AGkAbwBuAHMALgBWAEUARQBSAEcAXwA0AF8AMwBfADEAXwAzAF8AXwAxAF8AVABvAHQAYQBsAEEAbgBuAHUAYQBsAEQAaQByAGUAYwB0AE4AaQB0AHIAbwB1AHMATwB4AGkAZABlAEUAbQBpAHMAcwBpAG8AbgBzAEYAcgBvAG0ATQBNAFMAXwBOAEkAUgBSAGUAZgBlAHIAZQBuAGMAZQAiACwAIgBNAE0AUwBfAEQAYQBpAHIAeQBfAE4AMgBPAEQAaQByAGUAYwB0AF8ARQBxAHUAYQB0AGkAbwBuAHMALgBWAEUARQBSAEcAXwA0AF8AMwBfADEAXwAzAF8AXwAxAF8AVABvAHQAYQBsAEEAbgBuAHUAYQBsAEQAaQByAGUAYwB0AE4AaQB0AHIAbwB1AHMATwB4AGkAZABlAEUAbQBpAHMAcwBpAG8AbgBzAEYAcgBvAG0ATQBNAFMAXwBMAGEAdABlAHgARQBxAHUAYQB0AGkAbwBuACIALAAiAE0ATQBTAF8ARABhAGkAcgB5AF8ATgAyAE8ARABpAHIAZQBjAHQAXwBFAHEAdQBhAHQAaQBvAG4AcwAuAFYARQBFAFIARwBfADQAXwAzAF8AMQBfADMAXwBfADEAXwBUAG8AdABhAGwAQQBuAG4AdQBhAGwARABpAHIAZQBjAHQATgBpAHQAcgBvAHUAcwBPAHgAaQBkAGUARQBtAGkAcwBzAGkAbwBuAHMARgByAG8AbQBNAE0AUwBfAEEAcgBnAHUAbQBlAG4AdABzACIALAAiAE0ATQBTAF8ARABhAGkAcgB5AF8ATgAyAE8ARABpAHIAZQBjAHQAXwBFAHEAdQBhAHQAaQBvAG4AcwAuAFYARQBFAFIARwBfADQAXwAzAF8AMQBfADMAXwBfADIAXwBUAG8AdABhAGwATgBpAHQAcgBvAGcAZQBuAEkAbgBFAGEAYwBoAE0ATQBTACIALAAiAE0ATQBTAF8ARABhAGkAcgB5AF8ATgAyAE8ARABpAHIAZQBjAHQAXwBFAHEAdQBhAHQAaQBvAG4AcwAuAFYARQBFAFIARwBfADQAXwAzAF8AMQBfADMAXwBfADIAXwBUAG8AdABhAGwATgBpAHQAcgBvAGcAZQBuAEkAbgBFAGEAYwBoAE0ATQBTAF8AVABpAHQAbABlACIALAAiAE0ATQBTAF8ARABhAGkAcgB5AF8ATgAyAE8ARABpAHIAZQBjAHQAXwBFAHEAdQBhAHQAaQBvAG4AcwAuAFYARQBFAFIARwBfADQAXwAzAF8AMQBfADMAXwBfADIAXwBUAG8AdABhAGwATgBpAHQAcgBvAGcAZQBuAEkAbgBFAGEAYwBoAE0ATQBTAF8AVgBhAHIAaQBhAGIAbABlACIALAAiAE0ATQBTAF8ARABhAGkAcgB5AF8ATgAyAE8ARABpAHIAZQBjAHQAXwBFAHEAdQBhAHQAaQBvAG4AcwAuAFYARQBFAFIARwBfADQAXwAzAF8AMQBfADMAXwBfADIAXwBUAG8AdABhAGwATgBpAHQAcgBvAGcAZQBuAEkAbgBFAGEAYwBoAE0ATQBTAF8AVQBuAGkAdAAiACwAIgBNAE0AUwBfAEQAYQBpAHIAeQBfAE4AMgBPAEQAaQByAGUAYwB0AF8ARQBxAHUAYQB0AGkAbwBuAHMALgBWAEUARQBSAEcAXwA0AF8AMwBfADEAXwAzAF8AXwAyAF8AVABvAHQAYQBsAE4AaQB0AHIAbwBnAGUAbgBJAG4ARQBhAGMAaABNAE0AUwBfAFMAbwB1AHIAYwBlACIALAAiAE0ATQBTAF8ARABhAGkAcgB5AF8ATgAyAE8ARABpAHIAZQBjAHQAXwBFAHEAdQBhAHQAaQBvAG4AcwAuAFYARQBFAFIARwBfADQAXwAzAF8AMQBfADMAXwBfADIAXwBUAG8AdABhAGwATgBpAHQAcgBvAGcAZQBuAEkAbgBFAGEAYwBoAE0ATQBTAF8ATgBJAFIAUgBlAGYAZQByAGUAbgBjAGUAIgAsACIATQBNAFMAXwBEAGEAaQByAHkAXwBOADIATwBEAGkAcgBlAGMAdABfAEUAcQB1AGEAdABpAG8AbgBzAC4AVgBFAEUAUgBHAF8ANABfADMAXwAxAF8AMwBfAF8AMgBfAFQAbwB0AGEAbABOAGkAdAByAG8AZwBlAG4ASQBuAEUAYQBjAGgATQBNAFMAXwBMAGEAdABlAHgARQBxAHUAYQB0AGkAbwBuACIALAAiAE0ATQBTAF8ARABhAGkAcgB5AF8ATgAyAE8ARABpAHIAZQBjAHQAXwBFAHEAdQBhAHQAaQBvAG4AcwAuAFYARQBFAFIARwBfADQAXwAzAF8AMQBfADMAXwBfADIAXwBUAG8AdABhAGwATgBpAHQAcgBvAGcAZQBuAEkAbgBFAGEAYwBoAE0ATQBT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IgAsACIATQBNAFMAXwBEAGEAaQByAHkAXwBOADIATwBEAGkAcgBlAGMAdABfAEUAcQB1AGEAdABpAG8AbgBzAC4AVgBFAEUAUgBHAF8ANABfADMAXwAxAF8AMwBfAF8AMwBhAF8AVABvAHQAYQBsAEEAbgBuAHUAYQBsAE4AaQB0AHIAbwBnAGUAbgBFAHgAYwByAGUAdABlAGQARwByAGUAYQB0AGUAcgBUAGgAYQBuAE8AbgBlAFkAZQBhAHIAVgBhAHIAaQBhAHQAaQBvAG4AIgAsACIATQBNAFMAXwBEAGEAaQByAHkAXwBOADIATwBEAGkAcgBlAGMAdABfAEUAcQB1AGEAdABpAG8AbgBzAC4AVgBFAEUAUgBHAF8ANABfADMAXwAxAF8AMwBfAF8AMwBhAF8AVABvAHQAYQBsAEEAbgBuAHUAYQBsAE4AaQB0AHIAbwBnAGUAbgBFAHgAYwByAGUAdABlAGQARwByAGUAYQB0AGUAcgBUAGgAYQBuAE8AbgBlAFkAZQBhAHIAXwBUAGkAdABsAGUAIgAsACIATQBNAFMAXwBEAGEAaQByAHkAXwBOADIATwBEAGkAcgBlAGMAdABfAEUAcQB1AGEAdABpAG8AbgBzAC4AVgBFAEUAUgBHAF8ANABfADMAXwAxAF8AMwBfAF8AMwBhAF8AVABvAHQAYQBsAEEAbgBuAHUAYQBsAE4AaQB0AHIAbwBnAGUAbgBFAHgAYwByAGUAdABlAGQARwByAGUAYQB0AGUAcgBUAGgAYQBuAE8AbgBlAFkAZQBhAHIAXwBWAGEAcgBpAGEAYgBsAGUAIgAsACIATQBNAFMAXwBEAGEAaQByAHkAXwBOADIATwBEAGkAcgBlAGMAdABfAEUAcQB1AGEAdABpAG8AbgBzAC4AVgBFAEUAUgBHAF8ANABfADMAXwAxAF8AMwBfAF8AMwBhAF8AVABvAHQAYQBsAEEAbgBuAHUAYQBsAE4AaQB0AHIAbwBnAGUAbgBFAHgAYwByAGUAdABlAGQARwByAGUAYQB0AGUAcgBUAGgAYQBuAE8AbgBlAFkAZQBhAHIAXwBVAG4AaQB0ACIALAAiAE0ATQBTAF8ARABhAGkAcgB5AF8ATgAyAE8ARABpAHIAZQBjAHQAXwBFAHEAdQBhAHQAaQBvAG4AcwAuAFYARQBFAFIARwBfADQAXwAzAF8AMQBfADMAXwBfADMAYQBfAFQAbwB0AGEAbABBAG4AbgB1AGEAbABOAGkAdAByAG8AZwBlAG4ARQB4AGMAcgBlAHQAZQBkAEcAcgBlAGEAdABlAHIAVABoAGEAbgBPAG4AZQBZAGUAYQByAF8AUwBvAHUAcgBjAGUAIgAsACIATQBNAFMAXwBEAGEAaQByAHkAXwBOADIATwBEAGkAcgBlAGMAdABfAEUAcQB1AGEAdABpAG8AbgBzAC4AVgBFAEUAUgBHAF8ANABfADMAXwAxAF8AMwBfAF8AMwBhAF8AVABvAHQAYQBsAEEAbgBuAHUAYQBsAE4AaQB0AHIAbwBnAGUAbgBFAHgAYwByAGUAdABlAGQARwByAGUAYQB0AGUAcgBUAGgAYQBuAE8AbgBlAFkAZQBhAHIAXwBOAEkAUgBSAGUAZgBlAHIAZQBuAGMAZQAiACwAIgBNAE0AUwBfAEQAYQBpAHIAeQBfAE4AMgBPAEQAaQByAGUAYwB0AF8ARQBxAHUAYQB0AGkAbwBuAHMALgBWAEUARQBSAEcAXwA0AF8AMwBfADEAXwAzAF8AXwAzAGEAXwBUAG8AdABhAGwAQQBuAG4AdQBhAGwATgBpAHQAcgBvAGcAZQBuAEUAeABjAHIAZQB0AGUAZABHAHIAZQBhAHQAZQByAFQAaABhAG4ATwBuAGUAWQBlAGEAcgBfAEwAYQB0AGUAeABFAHEAdQBhAHQAaQBvAG4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XwBWAGEAcgBpAGEAdABpAG8AbgAiACwAIgBNAE0AUwBfAEQAYQBpAHIAeQBfAE4AMgBPAEQAaQByAGUAYwB0AF8ARQBxAHUAYQB0AGkAbwBuAHMALgBWAEUARQBSAEcAXwA0AF8AMwBfADEAXwAzAF8AXwAzAGIAXwBUAG8AdABhAGwAQQBuAG4AdQBhAGwATgBpAHQAcgBvAGcAZQBuAEUAeABjAHIAZQB0AGUAZABMAGUAcwBzAFQAaABhAG4ATwBuAGUAWQBlAGEAcgAiACwAIgBNAE0AUwBfAEQAYQBpAHIAeQBfAE4AMgBPAEQAaQByAGUAYwB0AF8ARQBxAHUAYQB0AGkAbwBuAHMALgBWAEUARQBSAEcAXwA0AF8AMwBfADEAXwAzAF8AXwAzAGIAXwBUAG8AdABhAGwAQQBuAG4AdQBhAGwATgBpAHQAcgBvAGcAZQBuAEUAeABjAHIAZQB0AGUAZABMAGUAcwBzAFQAaABhAG4ATwBuAGUAWQBlAGEAcgBWAGEAcgBpAGEAdABpAG8AbgAiACwAIgBNAE0AUwBfAEQAYQBpAHIAeQBfAE4AMgBPAEQAaQByAGUAYwB0AF8ARQBxAHUAYQB0AGkAbwBuAHMALgBWAEUARQBSAEcAXwA0AF8AMwBfADEAXwAzAF8AXwAzAGIAXwBUAG8AdABhAGwAQQBuAG4AdQBhAGwATgBpAHQAcgBvAGcAZQBuAEUAeABjAHIAZQB0AGUAZABMAGUAcwBzAFQAaABhAG4ATwBuAGUAWQBlAGEAcgBfAFQAaQB0AGwAZQAiACwAIgBNAE0AUwBfAEQAYQBpAHIAeQBfAE4AMgBPAEQAaQByAGUAYwB0AF8ARQBxAHUAYQB0AGkAbwBuAHMALgBWAEUARQBSAEcAXwA0AF8AMwBfADEAXwAzAF8AXwAzAGIAXwBUAG8AdABhAGwAQQBuAG4AdQBhAGwATgBpAHQAcgBvAGcAZQBuAEUAeABjAHIAZQB0AGUAZABMAGUAcwBzAFQAaABhAG4ATwBuAGUAWQBlAGEAcgBfAFYAYQByAGkAYQBiAGwAZQAiACwAIgBNAE0AUwBfAEQAYQBpAHIAeQBfAE4AMgBPAEQAaQByAGUAYwB0AF8ARQBxAHUAYQB0AGkAbwBuAHMALgBWAEUARQBSAEcAXwA0AF8AMwBfADEAXwAzAF8AXwAzAGIAXwBUAG8AdABhAGwAQQBuAG4AdQBhAGwATgBpAHQAcgBvAGcAZQBuAEUAeABjAHIAZQB0AGUAZABMAGUAcwBzAFQAaABhAG4ATwBuAGUAWQBlAGEAcgBfAFUAbgBpAHQAIgAsACIATQBNAFMAXwBEAGEAaQByAHkAXwBOADIATwBEAGkAcgBlAGMAdABfAEUAcQB1AGEAdABpAG8AbgBzAC4AVgBFAEUAUgBHAF8ANABfADMAXwAxAF8AMwBfAF8AMwBiAF8AVABvAHQAYQBsAEEAbgBuAHUAYQBsAE4AaQB0AHIAbwBnAGUAbgBFAHgAYwByAGUAdABlAGQATABlAHMAcwBUAGgAYQBuAE8AbgBlAFkAZQBhAHIAXwBTAG8AdQByAGMAZQAiACwAIgBNAE0AUwBfAEQAYQBpAHIAeQBfAE4AMgBPAEQAaQByAGUAYwB0AF8ARQBxAHUAYQB0AGkAbwBuAHMALgBWAEUARQBSAEcAXwA0AF8AMwBfADEAXwAzAF8AXwAzAGIAXwBUAG8AdABhAGwAQQBuAG4AdQBhAGwATgBpAHQAcgBvAGcAZQBuAEUAeABjAHIAZQB0AGUAZABMAGUAcwBzAFQAaABhAG4ATwBuAGUAWQBlAGEAcgBfAE4ASQBSAFIAZQBmAGUAcgBlAG4AYwBlACIALAAiAE0ATQBTAF8ARABhAGkAcgB5AF8ATgAyAE8ARABpAHIAZQBjAHQAXwBFAHEAdQBhAHQAaQBvAG4AcwAuAFYARQBFAFIARwBfADQAXwAzAF8AMQBfADMAXwBfADMAYgBfAFQAbwB0AGEAbABBAG4AbgB1AGEAbABOAGkAdAByAG8AZwBlAG4ARQB4AGMAcgBlAHQAZQBkAEwAZQBzAHMAVABoAGEAbgBPAG4AZQBZAGUAYQByAF8ATABhAHQAZQB4AEUAcQB1AGEAdABpAG8Abg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VgBhAHIAaQBhAHQAaQBvAG4AIgAsACIATQBNAFMAXwBEAGEAaQByAHkAXwBOADIATwBEAGkAcgBlAGMAdABfAEUAcQB1AGEAdABpAG8AbgBzAC4AVgBFAEUAUgBHAF8ANABfADMAXwAxAF8AMwBfAF8AMwBiAF8AVABvAHQAYQBsAEEAbgBuAHUAYQBsAE4AaQB0AHIAbwBnAGUAbgBFAHgAYwByAGUAdABlAGQATABlAHMAcwBUAGgAYQBuAE8AbgBlAFkAZQBhAHIAXwBBAHIAZwB1AG0AZQBuAHQAcwAiACwAIgBNAE0AUwBfAEQAYQBpAHIAeQBfAE4AMgBPAEQAaQByAGUAYwB0AF8ARQBxAHUAYQB0AGkAbwBuAHMALgBWAEUARQBSAEcAXwA0AF8AMwBfADEAXwAzAF8AXwAzAGIAXwBUAG8AdABhAGwAQQBuAG4AdQBhAGwATgBpAHQAcgBvAGcAZQBuAEUAeABjAHIAZQB0AGUAZABMAGUAcwBzAFQAaABhAG4ATwBuAGUAWQBlAGEAcgBfAFYAYQByAGkAYQB0AGkAbwBuACIALAAiAE0ATQBTAF8ARABhAGkAcgB5AF8ATgAyAE8ARABpAHIAZQBjAHQAXwBFAHEAdQBhAHQAaQBvAG4AcwAuAFYARQBFAFIARwBfADQAXwAzAF8AMQBfADMAXwBfADQAXwBOAGkAdAByAG8AZwBlAG4ARQB4AGMAcgBlAHQAZQBkAEIAeQBEAGEAaQByAHkAQwBhAHQAdABsAGUARwByAGUAYQB0AGUAcgBUAGgAYQBuAE8AbgBlAFkAZQBhAHIAIgAsACIATQBNAFMAXwBEAGEAaQByAHkAXwBOADIATwBEAGkAcgBlAGMAdABfAEUAcQB1AGEAdABpAG8AbgBzAC4AVgBFAEUAUgBHAF8ANABfADMAXwAxAF8AMwBfAF8ANABfAE4AaQB0AHIAbwBnAGUAbgBFAHgAYwByAGUAdABlAGQAQgB5AEQAYQBpAHIAeQBDAGEAdAB0AGwAZQBHAHIAZQBhAHQAZQByAFQAaABhAG4ATwBuAGUAWQBlAGEAcgBfAFQAaQB0AGwAZQAiACwAIgBNAE0AUwBfAEQAYQBpAHIAeQBfAE4AMgBPAEQAaQByAGUAYwB0AF8ARQBxAHUAYQB0AGkAbwBuAHMALgBWAEUARQBSAEcAXwA0AF8AMwBfADEAXwAzAF8AXwA0AF8ATgBpAHQAcgBvAGcAZQBuAEUAeABjAHIAZQB0AGUAZABCAHkARABhAGkAcgB5AEMAYQB0AHQAbABlAEcAcgBlAGEAdABlAHIAVABoAGEAbgBPAG4AZQBZAGUAYQByAF8AVgBhAHIAaQBhAGIAbABlACIALAAiAE0ATQBTAF8ARABhAGkAcgB5AF8ATgAyAE8ARABpAHIAZQBjAHQAXwBFAHEAdQBhAHQAaQBvAG4AcwAuAFYARQBFAFIARwBfADQAXwAzAF8AMQBfADMAXwBfADQAXwBOAGkAdAByAG8AZwBlAG4ARQB4AGMAcgBlAHQAZQBkAEIAeQBEAGEAaQByAHkAQwBhAHQAdABsAGUARwByAGUAYQB0AGUAcgBUAGgAYQBuAE8AbgBlAFkAZQBhAHIAXwBVAG4AaQB0ACIALAAiAE0ATQBTAF8ARABhAGkAcgB5AF8ATgAyAE8ARABpAHIAZQBjAHQAXwBFAHEAdQBhAHQAaQBvAG4AcwAuAFYARQBFAFIARwBfADQAXwAzAF8AMQBfADMAXwBfADQAXwBOAGkAdAByAG8AZwBlAG4ARQB4AGMAcgBlAHQAZQBkAEIAeQBEAGEAaQByAHkAQwBhAHQAdABsAGUARwByAGUAYQB0AGUAcgBUAGgAYQBuAE8AbgBlAFkAZQBhAHIAXwBTAG8AdQByAGMAZQAiACwAIgBNAE0AUwBfAEQAYQBpAHIAeQBfAE4AMgBPAEQAaQByAGUAYwB0AF8ARQBxAHUAYQB0AGkAbwBuAHMALgBWAEUARQBSAEcAXwA0AF8AMwBfADEAXwAzAF8AXwA0AF8ATgBpAHQAcgBvAGcAZQBuAEUAeABjAHIAZQB0AGUAZABCAHkARABhAGkAcgB5AEMAYQB0AHQAbABlAEcAcgBlAGEAdABlAHIAVABoAGEAbgBPAG4AZQBZAGUAYQByAF8ATgBJAFIAUgBlAGYAZQByAGUAbgBjAGUAIgAsACIATQBNAFMAXwBEAGEAaQByAHkAXwBOADIATwBEAGkAcgBlAGMAdABfAEUAcQB1AGEAdABpAG8AbgBzAC4AVgBFAEUAUgBHAF8ANABfADMAXwAxAF8AMwBfAF8ANABfAE4AaQB0AHIAbwBnAGUAbgBFAHgAYwByAGUAdABlAGQAQgB5AEQAYQBpAHIAeQBDAGEAdAB0AGwAZQBHAHIAZQBhAHQAZQByAFQAaABhAG4ATwBuAGUAWQBlAGEAcgBfAEwAYQB0AGUAeABFAHEAdQBhAHQAaQBvAG4AIgAsACIATQBNAFMAXwBEAGEAaQByAHkAXwBOADIATwBEAGkAcgBlAGMAdABfAEUAcQB1AGEAdABpAG8AbgBzAC4AVgBFAEUAUgBHAF8ANABfADMAXwAxAF8AMwBfAF8ANABfAE4AaQB0AHIAbwBnAGUAbgBFAHgAYwByAGUAdABlAGQAQgB5AEQAYQBpAHIAeQBDAGEAdAB0AGwAZQBHAHIAZQBhAHQAZQByAFQAaABhAG4ATwBuAGUAWQBlAGEAcgBfAEEAcgBnAHUAbQBlAG4AdABzACIALAAiAE0ATQBTAF8ARABhAGkAcgB5AF8ATgAyAE8ARABpAHIAZQBjAHQAXwBFAHEAdQBhAHQAaQBvAG4AcwAuAFYARQBFAFIARwBfADQAXwAzAF8AMQBfADMAXwBfADUAXwBDAHIAdQBkAGUAUAByAG8AdABlAGkAbgBJAG4AdABhAGsAZQBPAGYARABhAGkAcgB5AEMAYQB0AHQAbABlACIALAAiAE0ATQBTAF8ARABhAGkAcgB5AF8ATgAyAE8ARABpAHIAZQBjAHQAXwBFAHEAdQBhAHQAaQBvAG4AcwAuAFYARQBFAFIARwBfADQAXwAzAF8AMQBfADMAXwBfADUAXwBDAHIAdQBkAGUAUAByAG8AdABlAGkAbgBJAG4AdABhAGsAZQBPAGYARABhAGkAcgB5AEMAYQB0AHQAbABlAF8AVABpAHQAbABlACIALAAiAE0ATQBTAF8ARABhAGkAcgB5AF8ATgAyAE8ARABpAHIAZQBjAHQAXwBFAHEAdQBhAHQAaQBvAG4AcwAuAFYARQBFAFIARwBfADQAXwAzAF8AMQBfADMAXwBfADUAXwBDAHIAdQBkAGUAUAByAG8AdABlAGkAbgBJAG4AdABhAGsAZQBPAGYARABhAGkAcgB5AEMAYQB0AHQAbABlAF8AVgBhAHIAaQBhAGIAbABlACIALAAiAE0ATQBTAF8ARABhAGkAcgB5AF8ATgAyAE8ARABpAHIAZQBjAHQAXwBFAHEAdQBhAHQAaQBvAG4AcwAuAFYARQBFAFIARwBfADQAXwAzAF8AMQBfADMAXwBfADUAXwBDAHIAdQBkAGUAUAByAG8AdABlAGkAbgBJAG4AdABhAGsAZQBPAGYARABhAGkAcgB5AEMAYQB0AHQAbABlAF8AVQBuAGkAdAAiACwAIgBNAE0AUwBfAEQAYQBpAHIAeQBfAE4AMgBPAEQAaQByAGUAYwB0AF8ARQBxAHUAYQB0AGkAbwBuAHMALgBWAEUARQBSAEcAXwA0AF8AMwBfADEAXwAzAF8AXwA1AF8AQwByAHUAZABlAFAAcgBvAHQAZQBpAG4ASQBuAHQAYQBrAGUATwBmAEQAYQBpAHIAeQBDAGEAdAB0AGwAZQBfAFMAbwB1AHIAYwBlACIALAAiAE0ATQBTAF8ARABhAGkAcgB5AF8ATgAyAE8ARABpAHIAZQBjAHQAXwBFAHEAdQBhAHQAaQBvAG4AcwAuAFYARQBFAFIARwBfADQAXwAzAF8AMQBfADMAXwBfADUAXwBDAHIAdQBkAGUAUAByAG8AdABlAGkAbgBJAG4AdABhAGsAZQBPAGYARABhAGkAcgB5AEMAYQB0AHQAbABlAF8ATgBJAFIAUgBlAGYAZQByAGUAbgBjAGUAIgAsACIATQBNAFMAXwBEAGEAaQByAHkAXwBOADIATwBEAGkAcgBlAGMAdABfAEUAcQB1AGEAdABpAG8AbgBzAC4AVgBFAEUAUgBHAF8ANABfADMAXwAxAF8AMwBfAF8ANQBfAEMAcgB1AGQAZQBQAHIAbwB0AGUAaQBuAEkAbgB0AGEAawBlAE8AZgBEAGEAaQByAHkAQwBhAHQAdABsAGUAXwBMAGEAdABlAHgARQBxAHUAYQB0AGkAbwBuACIALAAiAE0ATQBTAF8ARABhAGkAcgB5AF8ATgAyAE8ARABpAHIAZQBjAHQAXwBFAHEAdQBhAHQAaQBvAG4AcwAuAFYARQBFAFIARwBfADQAXwAzAF8AMQBfADMAXwBfADUAXwBDAHIAdQBkAGUAUAByAG8AdABlAGkAbgBJAG4AdABhAGsAZQBPAGYARABhAGkAcgB5AEMAYQB0AHQAbABlAF8AQQByAGcAdQBtAGUAbgB0AHMAIgAsACIATQBNAFMAXwBEAGEAaQByAHkAXwBOADIATwBEAGkAcgBlAGMAdABfAEUAcQB1AGEAdABpAG8AbgBzAC4AVgBFAEUAUgBHAF8ANABfADMAXwAxAF8AMwBfAF8ANgBfAE4AaQB0AHIAbwBnAGUAbgBSAGUAdABhAGkAbgBlAGQAQgB5AEIAbwBkAHkAIgAsACIATQBNAFMAXwBEAGEAaQByAHkAXwBOADIATwBEAGkAcgBlAGMAdABfAEUAcQB1AGEAdABpAG8AbgBzAC4AVgBFAEUAUgBHAF8ANABfADMAXwAxAF8AMwBfAF8ANgBfAE4AaQB0AHIAbwBnAGUAbgBSAGUAdABhAGkAbgBlAGQAQgB5AEIAbwBkAHkAXwBUAGkAdABsAGUAIgAsACIATQBNAFMAXwBEAGEAaQByAHkAXwBOADIATwBEAGkAcgBlAGMAdABfAEUAcQB1AGEAdABpAG8AbgBzAC4AVgBFAEUAUgBHAF8ANABfADMAXwAxAF8AMwBfAF8ANgBfAE4AaQB0AHIAbwBnAGUAbgBSAGUAdABhAGkAbgBlAGQAQgB5AEIAbwBkAHkAXwBWAGEAcgBpAGEAYgBsAGUAIgAsACIATQBNAFMAXwBEAGEAaQByAHkAXwBOADIATwBEAGkAcgBlAGMAdABfAEUAcQB1AGEAdABpAG8AbgBzAC4AVgBFAEUAUgBHAF8ANABfADMAXwAxAF8AMwBfAF8ANgBfAE4AaQB0AHIAbwBnAGUAbgBSAGUAdABhAGkAbgBlAGQAQgB5AEIAbwBkAHkAXwBVAG4AaQB0ACIALAAiAE0ATQBTAF8ARABhAGkAcgB5AF8ATgAyAE8ARABpAHIAZQBjAHQAXwBFAHEAdQBhAHQAaQBvAG4AcwAuAFYARQBFAFIARwBfADQAXwAzAF8AMQBfADMAXwBfADYAXwBOAGkAdAByAG8AZwBlAG4AUgBlAHQAYQBpAG4AZQBkAEIAeQBCAG8AZAB5AF8AUwBvAHUAcgBjAGUAIgAsACIATQBNAFMAXwBEAGEAaQByAHkAXwBOADIATwBEAGkAcgBlAGMAdABfAEUAcQB1AGEAdABpAG8AbgBzAC4AVgBFAEUAUgBHAF8ANABfADMAXwAxAF8AMwBfAF8ANgBfAE4AaQB0AHIAbwBnAGUAbgBSAGUAdABhAGkAbgBlAGQAQgB5AEIAbwBkAHkAXwBOAEkAUgBSAGUAZgBlAHIAZQBuAGMAZQAiACwAIgBNAE0AUwBfAEQAYQBpAHIAeQBfAE4AMgBPAEQAaQByAGUAYwB0AF8ARQBxAHUAYQB0AGkAbwBuAHMALgBWAEUARQBSAEcAXwA0AF8AMwBfADEAXwAzAF8AXwA2AF8ATgBpAHQAcgBvAGcAZQBuAFIAZQB0AGEAaQBuAGUAZABCAHkAQgBvAGQAeQBfAEwAYQB0AGUAeABFAHEAdQBhAHQAaQBvAG4AIgAsACIATQBNAFMAXwBEAGEAaQByAHkAXwBOADIATwBEAGkAcgBlAGMAdABfAEUAcQB1AGEAdABpAG8AbgBzAC4AVgBFAEUAUgBHAF8ANABfADMAXwAxAF8AMwBfAF8ANgBfAE4AaQB0AHIAbwBnAGUAbgBSAGUAdABhAGkAbgBlAGQAQgB5AEIAbwBkAHkAXwBBAHIAZwB1AG0AZQBuAHQAcwAiACwAIgBNAE0AUwBfAEQAYQBpAHIAeQBfAE4AMgBPAEQAaQByAGUAYwB0AF8ARQBxAHUAYQB0AGkAbwBuAHMALgBWAEUARQBSAEcAXwA0AF8AMwBfADEAXwAzAF8AXwA2AF8ATgBpAHQAcgBvAGcAZQBuAFIAZQB0AGEAaQBuAGUAZABCAHkAQgBvAGQAeQBfAFYAYQByAGkAYQB0AGkAbwBuACIALAAiAE0ATQBTAF8ARABhAGkAcgB5AF8ATgAyAE8ARABpAHIAZQBjAHQAXwBFAHEAdQBhAHQAaQBvAG4AcwAuAFYARQBFAFIARwBfADQAXwAzAF8AMQBfADMAXwBfADcAXwBJAG4AdABhAGsAZQBSAGUAbABhAHQAaQB2AGUAVABvAE0AYQBpAG4AdABlAG4AYQBuAGMAZQAiACwAIgBNAE0AUwBfAEQAYQBpAHIAeQBfAE4AMgBPAEQAaQByAGUAYwB0AF8ARQBxAHUAYQB0AGkAbwBuAHMALgBWAEUARQBSAEcAXwA0AF8AMwBfADEAXwAzAF8AXwA3AF8ASQBuAHQAYQBrAGUAUgBlAGwAYQB0AGkAdgBlAFQAbwBNAGEAaQBuAHQAZQBuAGEAbgBjAGUAXwBUAGkAdABsAGUAIgAsACIATQBNAFMAXwBEAGEAaQByAHkAXwBOADIATwBEAGkAcgBlAGMAdABfAEUAcQB1AGEAdABpAG8AbgBzAC4AVgBFAEUAUgBHAF8ANABfADMAXwAxAF8AMwBfAF8ANwBfAEkAbgB0AGEAawBlAFIAZQBsAGEAdABpAHYAZQBUAG8ATQBhAGkAbgB0AGUAbgBhAG4AYwBlAF8AVgBhAHIAaQBhAGIAbABlACIALAAiAE0ATQBTAF8ARABhAGkAcgB5AF8ATgAyAE8ARABpAHIAZQBjAHQAXwBFAHEAdQBhAHQAaQBvAG4AcwAuAFYARQBFAFIARwBfADQAXwAzAF8AMQBfADMAXwBfADcAXwBJAG4AdABhAGsAZQBSAGUAbABhAHQAaQB2AGUAVABvAE0AYQBpAG4AdABlAG4AYQBuAGMAZQBfAFUAbgBpAHQAIgAsACIATQBNAFMAXwBEAGEAaQByAHkAXwBOADIATwBEAGkAcgBlAGMAdABfAEUAcQB1AGEAdABpAG8AbgBzAC4AVgBFAEUAUgBHAF8ANABfADMAXwAxAF8AMwBfAF8ANwBfAEkAbgB0AGEAawBlAFIAZQBsAGEAdABpAHYAZQBUAG8ATQBhAGkAbgB0AGUAbgBhAG4AYwBlAF8AUwBvAHUAcgBjAGUAIgAsACIATQBNAFMAXwBEAGEAaQByAHkAXwBOADIATwBEAGkAcgBlAGMAdABfAEUAcQB1AGEAdABpAG8AbgBzAC4AVgBFAEUAUgBHAF8ANABfADMAXwAxAF8AMwBfAF8ANwBfAEkAbgB0AGEAawBlAFIAZQBsAGEAdABpAHYAZQBUAG8ATQBhAGkAbgB0AGUAbgBhAG4AYwBlAF8ATgBJAFIAUgBlAGYAZQByAGUAbgBjAGUAIgAsACIATQBNAFMAXwBEAGEAaQByAHkAXwBOADIATwBEAGkAcgBlAGMAdABfAEUAcQB1AGEAdABpAG8AbgBzAC4AVgBFAEUAUgBHAF8ANABfADMAXwAxAF8AMwBfAF8ANwBfAEkAbgB0AGEAawBlAFIAZQBsAGEAdABpAHYAZQBUAG8ATQBhAGkAbgB0AGUAbgBhAG4AYwBlAF8ATABhAHQAZQB4AEUAcQB1AGEAdABpAG8AbgAiACwAIgBNAE0AUwBfAEQAYQBpAHIAeQBfAE4AMgBPAEQAaQByAGUAYwB0AF8ARQBxAHUAYQB0AGkAbwBuAHMALgBWAEUARQBSAEcAXwA0AF8AMwBfADEAXwAzAF8AXwA3AF8ASQBuAHQAYQBrAGUAUgBlAGwAYQB0AGkAdgBlAFQAbwBNAGEAaQBuAHQAZQBuAGEAbgBjAGUAXwBBAHIAZwB1AG0AZQBuAHQAcwAiACwAIgBNAE0AUwBfAEQAYQBpAHIAeQBfAE4AMgBPAEQAaQByAGUAYwB0AF8ARQBxAHUAYQB0AGkAbwBuAHMALgBWAEUARQBSAEcAXwA0AF8AMwBfADEAXwAzAF8AXwA4AF8AUgBlAGwAYQB0AGkAdgBlAFMAaQB6AGUAIgAsACIATQBNAFMAXwBEAGEAaQByAHkAXwBOADIATwBEAGkAcgBlAGMAdABfAEUAcQB1AGEAdABpAG8AbgBzAC4AVgBFAEUAUgBHAF8ANABfADMAXwAxAF8AMwBfAF8AOABfAFIAZQBsAGEAdABpAHYAZQBTAGkAegBlAF8AVABpAHQAbABlACIALAAiAE0ATQBTAF8ARABhAGkAcgB5AF8ATgAyAE8ARABpAHIAZQBjAHQAXwBFAHEAdQBhAHQAaQBvAG4AcwAuAFYARQBFAFIARwBfADQAXwAzAF8AMQBfADMAXwBfADgAXwBSAGUAbABhAHQAaQB2AGUAUwBpAHoAZQBfAFYAYQByAGkAYQBiAGwAZQAiACwAIgBNAE0AUwBfAEQAYQBpAHIAeQBfAE4AMgBPAEQAaQByAGUAYwB0AF8ARQBxAHUAYQB0AGkAbwBuAHMALgBWAEUARQBSAEcAXwA0AF8AMwBfADEAXwAzAF8AXwA4AF8AUgBlAGwAYQB0AGkAdgBlAFMAaQB6AGUAXwBVAG4AaQB0ACIALAAiAE0ATQBTAF8ARABhAGkAcgB5AF8ATgAyAE8ARABpAHIAZQBjAHQAXwBFAHEAdQBhAHQAaQBvAG4AcwAuAFYARQBFAFIARwBfADQAXwAzAF8AMQBfADMAXwBfADgAXwBSAGUAbABhAHQAaQB2AGUAUwBpAHoAZQBfAFMAbwB1AHIAYwBlACIALAAiAE0ATQBTAF8ARABhAGkAcgB5AF8ATgAyAE8ARABpAHIAZQBjAHQAXwBFAHEAdQBhAHQAaQBvAG4AcwAuAFYARQBFAFIARwBfADQAXwAzAF8AMQBfADMAXwBfADgAXwBSAGUAbABhAHQAaQB2AGUAUwBpAHoAZQBfAE4ASQBSAFIAZQBmAGUAcgBlAG4AYwBlACIALAAiAE0ATQBTAF8ARABhAGkAcgB5AF8ATgAyAE8ARABpAHIAZQBjAHQAXwBFAHEAdQBhAHQAaQBvAG4AcwAuAFYARQBFAFIARwBfADQAXwAzAF8AMQBfADMAXwBfADgAXwBSAGUAbABhAHQAaQB2AGUAUwBpAHoAZQBfAEwAYQB0AGUAeABFAHEAdQBhAHQAaQBvAG4AIgAsACIATQBNAFMAXwBEAGEAaQByAHkAXwBOADIATwBEAGkAcgBlAGMAdABfAEUAcQB1AGEAdABpAG8AbgBzAC4AVgBFAEUAUgBHAF8ANABfADMAXwAxAF8AMwBfAF8AOABfAFIAZQBsAGEAdABpAHYAZQBTAGkAegBlAF8AQQByAGcAdQBtAGUAbgB0AHMAIgAsACIARQBuAHQAZQByAGkAYwBNAGUAdABoAGEAbgBlAF8ARABhAGkAcgB5AF8ARQBxAHUAYQB0AGkAbwBuAHMALgBWAEUARQBSAEcAXwAzAF8AMwBfADEAXwAxAF8AXwAxAF8AVABvAHQAYQBsAEEAbgBuAHUAYQBsAE0AZQB0AGgAYQBuAGUARgByAG8AbQBFAG4AdABlAHIAaQBjAEYAZQByAG0AZQBuAHQAYQB0AGkAbwBuACIALAAiAEUAbgB0AGUAcgBpAGMATQBlAHQAaABhAG4AZQBfAEQAYQBpAHIAeQBfAEUAcQB1AGEAdABpAG8AbgBzAC4AVgBFAEUAUgBHAF8AMwBfADMAXwAxAF8AMQBfAF8AMQBfAFQAbwB0AGEAbABBAG4AbgB1AGEAbABNAGUAdABoAGEAbgBlAEYAcgBvAG0ARQBuAHQAZQByAGkAYwBGAGUAcgBtAGUAbgB0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EEAcgBnAHUAbQBlAG4AdABzACIALAAiAEUAbgB0AGUAcgBpAGMATQBlAHQAaABhAG4AZQBfAEQAYQBpAHIAeQBfAEUAcQB1AGEAdABpAG8AbgBzAC4AVgBFAEUAUgBHAF8AMwBfADMAXwAxAF8AMQBfAF8AMQBfAFQAbwB0AGEAbABBAG4AbgB1AGEAbABNAGUAdABoAGEAbgBlAEYAcgBvAG0ARQBuAHQAZQByAGkAYwBGAGUAcgBtAGUAbgB0AGEAdABpAG8AbgBfAFYAYQByAGkAYQB0AGkAbwBuACIALAAiAEUAbgB0AGUAcgBpAGMATQBlAHQAaABhAG4AZQBfAEQAYQBpAHIAeQBfAEUAcQB1AGEAdABpAG8AbgBzAC4AVgBFAEUAUgBHAF8AMwBfADMAXwAxAF8AMQBfAF8AMgBfAEQAYQBpAGwAeQBFAG4AdABlAHIAaQBjAE0AZQB0AGgAYQBuAGUAUAByAG8AZAB1AGMAdABpAG8AbgAiACwAIgBFAG4AdABlAHIAaQBjAE0AZQB0AGgAYQBuAGUAXwBEAGEAaQByAHkAXwBFAHEAdQBhAHQAaQBvAG4AcwAuAFYARQBFAFIARwBfADMAXwAzAF8AMQBfADEAXwBfADIAXwBEAGEAaQBsAHkARQBuAHQAZQByAGkAYwBNAGUAdABoAGEAbgBlAFAAcgBvAGQAdQBjAHQAaQBvAG4AXwBUAGkAdABsAGUAIgAsACIARQBuAHQAZQByAGkAYwBNAGUAdABoAGEAbgBlAF8ARABhAGkAcgB5AF8ARQBxAHUAYQB0AGkAbwBuAHMALgBWAEUARQBSAEcAXwAzAF8AMwBfADEAXwAxAF8AXwAyAF8ARABhAGkAbAB5AEUAbgB0AGUAcgBpAGMATQBlAHQAaABhAG4AZQBQAHIAbwBkAHUAYwB0AGkAbwBuAF8AVgBhAHIAaQBhAGIAbABlACIALAAiAEUAbgB0AGUAcgBpAGMATQBlAHQAaABhAG4AZQBfAEQAYQBpAHIAeQBfAEUAcQB1AGEAdABpAG8AbgBzAC4AVgBFAEUAUgBHAF8AMwBfADMAXwAxAF8AMQBfAF8AMgBfAEQAYQBpAGwAeQBFAG4AdABlAHIAaQBjAE0AZQB0AGgAYQBuAGUAUAByAG8AZAB1AGMAdABpAG8AbgBfAFUAbgBpAHQAIgAsACIARQBuAHQAZQByAGkAYwBNAGUAdABoAGEAbgBlAF8ARABhAGkAcgB5AF8ARQBxAHUAYQB0AGkAbwBuAHMALgBWAEUARQBSAEcAXwAzAF8AMwBfADEAXwAxAF8AXwAyAF8ARABhAGkAbAB5AEUAbgB0AGUAcgBpAGMATQBlAHQAaABhAG4AZQBQAHIAbwBkAHUAYwB0AGkAbwBuAF8AUwBvAHUAcgBjAGUAIgAsACIARQBuAHQAZQByAGkAYwBNAGUAdABoAGEAbgBlAF8ARABhAGkAcgB5AF8ARQBxAHUAYQB0AGkAbwBuAHMALgBWAEUARQBSAEcAXwAzAF8AMwBfADEAXwAxAF8AXwAyAF8ARABhAGkAbAB5AEUAbgB0AGUAcgBpAGMATQBlAHQAaABhAG4AZQBQAHIAbwBkAHUAYwB0AGkAbwBuAF8ATgBJAFIAUgBlAGYAZQByAGUAbgBjAGUAIgAsACIARQBuAHQAZQByAGkAYwBNAGUAdABoAGEAbgBlAF8ARABhAGkAcgB5AF8ARQBxAHUAYQB0AGkAbwBuAHMALgBWAEUARQBSAEcAXwAzAF8AMwBfADEAXwAxAF8AXwAyAF8ARABhAGkAbAB5AEUAbgB0AGUAcgBpAGMATQBlAHQAaABhAG4AZQBQAHIAbwBkAHUAYwB0AGkAbwBuAF8ATABhAHQAZQB4AEUAcQB1AGEAdABpAG8AbgAiACwAIgBFAG4AdABlAHIAaQBjAE0AZQB0AGgAYQBuAGUAXwBEAGEAaQByAHkAXwBFAHEAdQBhAHQAaQBvAG4AcwAuAFYARQBFAFIARwBfADMAXwAzAF8AMQBfADEAXwBfADIAXwBEAGEAaQBsAHkARQBuAHQAZQByAGkAYwBNAGUAdABoAGEAbgBlAFAAcgBvAGQAdQBjAHQAaQBvAG4AXwBBAHIAZwB1AG0AZQBuAHQAcwAiACwAIgBFAG4AdABlAHIAaQBjAE0AZQB0AGgAYQBuAGUAXwBEAGEAaQByAHkAXwBFAHEAdQBhAHQAaQBvAG4AcwAuAFYARQBFAFIARwBfADMAXwAzAF8AMQBfADEAXwBfADMAXwBEAHIAeQBNAGEAdAB0AGUAcgBGAGUAZQBkAEkAbgB0AGEAawBlACIALAAiAEUAbgB0AGUAcgBpAGMATQBlAHQAaABhAG4AZQBfAEQAYQBpAHIAeQBfAEUAcQB1AGEAdABpAG8AbgBzAC4AVgBFAEUAUgBHAF8AMwBfADMAXwAxAF8AMQBfAF8AMwBfAEQAcgB5AE0AYQB0AHQAZQByAEYAZQBlAGQASQBuAHQAYQBrAGUAXwBUAGkAdABsAGUAIgAsACIARQBuAHQAZQByAGkAYwBNAGUAdABoAGEAbgBlAF8ARABhAGkAcgB5AF8ARQBxAHUAYQB0AGkAbwBuAHMALgBWAEUARQBSAEcAXwAzAF8AMwBfADEAXwAxAF8AXwAzAF8ARAByAHkATQBhAHQAdABlAHIARgBlAGUAZABJAG4AdABhAGsAZQBfAFYAYQByAGkAYQBiAGwAZQAiACwAIgBFAG4AdABlAHIAaQBjAE0AZQB0AGgAYQBuAGUAXwBEAGEAaQByAHkAXwBFAHEAdQBhAHQAaQBvAG4AcwAuAFYARQBFAFIARwBfADMAXwAzAF8AMQBfADEAXwBfADMAXwBEAHIAeQBNAGEAdAB0AGUAcgBGAGUAZQBkAEkAbgB0AGEAawBlAF8AVQBuAGkAdAAiACwAIgBFAG4AdABlAHIAaQBjAE0AZQB0AGgAYQBuAGUAXwBEAGEAaQByAHkAXwBFAHEAdQBhAHQAaQBvAG4AcwAuAFYARQBFAFIARwBfADMAXwAzAF8AMQBfADEAXwBfADMAXwBEAHIAeQBNAGEAdAB0AGUAcgBGAGUAZQBkAEkAbgB0AGEAawBlAF8AUwBvAHUAcgBjAGUAIgAsACIARQBuAHQAZQByAGkAYwBNAGUAdABoAGEAbgBlAF8ARABhAGkAcgB5AF8ARQBxAHUAYQB0AGkAbwBuAHMALgBWAEUARQBSAEcAXwAzAF8AMwBfADEAXwAxAF8AXwAzAF8ARAByAHkATQBhAHQAdABlAHIARgBlAGUAZABJAG4AdABhAGsAZQBfAE4ASQBSAFIAZQBmAGUAcgBlAG4AYwBlACIALAAiAEUAbgB0AGUAcgBpAGMATQBlAHQAaABhAG4AZQBfAEQAYQBpAHIAeQBfAEUAcQB1AGEAdABpAG8AbgBzAC4AVgBFAEUAUgBHAF8AMwBfADMAXwAxAF8AMQBfAF8AMwBfAEQAcgB5AE0AYQB0AHQAZQByAEYAZQBlAGQASQBuAHQAYQBrAGUAXwBMAGEAdABlAHgARQBxAHUAYQB0AGkAbwBuACIALAAiAEUAbgB0AGUAcgBpAGMATQBlAHQAaABhAG4AZQBfAEQAYQBpAHIAeQBfAEUAcQB1AGEAdABpAG8AbgBzAC4AVgBFAEUAUgBHAF8AMwBfADMAXwAxAF8AMQBfAF8AMwBfAEQAcgB5AE0AYQB0AHQAZQByAEYAZQBlAGQASQBuAHQAYQBrAGUAXwBBAHIAZwB1AG0AZQBuAHQAcwAiACwAIgBFAG4AdABlAHIAaQBjAE0AZQB0AGgAYQBuAGUAXwBEAGEAaQByAHkAXwBFAHEAdQBhAHQAaQBvAG4AcwAuAFYARQBFAFIARwBfADMAXwAzAF8AMQBfADEAXwBfADQAXwBBAGQAZABpAHQAaQBvAG4AYQBsAEkAbgB0AGEAawBlAEYAbwByAE0AaQBsAGsAUAByAG8AZAB1AGMAdABpAG8AbgAiACwAIgBFAG4AdABlAHIAaQBjAE0AZQB0AGgAYQBuAGUAXwBEAGEAaQByAHkAXwBFAHEAdQBhAHQAaQBvAG4AcwAuAFYARQBFAFIARwBfADMAXwAzAF8AMQBfADEAXwBfADQAXwBBAGQAZABpAHQAaQBvAG4AYQBsAEkAbgB0AGEAawBlAEYAbwByAE0AaQBsAGsAUAByAG8AZAB1AGMAdABpAG8AbgBfAFQAaQB0AGwAZQAiACwAIgBFAG4AdABlAHIAaQBjAE0AZQB0AGgAYQBuAGUAXwBEAGEAaQByAHkAXwBFAHEAdQBhAHQAaQBvAG4AcwAuAFYARQBFAFIARwBfADMAXwAzAF8AMQBfADEAXwBfADQAXwBBAGQAZABpAHQAaQBvAG4AYQBsAEkAbgB0AGEAawBlAEYAbwByAE0AaQBsAGsAUAByAG8AZAB1AGMAdABpAG8AbgBfAFYAYQByAGkAYQBiAGwAZQAiACwAIgBFAG4AdABlAHIAaQBjAE0AZQB0AGgAYQBuAGUAXwBEAGEAaQByAHkAXwBFAHEAdQBhAHQAaQBvAG4AcwAuAFYARQBFAFIARwBfADMAXwAzAF8AMQBfADEAXwBfADQAXwBBAGQAZABpAHQAaQBvAG4AYQBsAEkAbgB0AGEAawBlAEYAbwByAE0AaQBsAGsAUAByAG8AZAB1AGMAdABpAG8AbgBfAFUAbgBpAHQAIgAsACIARQBuAHQAZQByAGkAYwBNAGUAdABoAGEAbgBlAF8ARABhAGkAcgB5AF8ARQBxAHUAYQB0AGkAbwBuAHMALgBWAEUARQBSAEcAXwAzAF8AMwBfADEAXwAxAF8AXwA0AF8AQQBkAGQAaQB0AGkAbwBuAGEAbABJAG4AdABhAGsAZQBGAG8AcgBNAGkAbABrAFAAcgBvAGQAdQBjAHQAaQBvAG4AXwBTAG8AdQByAGMAZQAiACwAIgBFAG4AdABlAHIAaQBjAE0AZQB0AGgAYQBuAGUAXwBEAGEAaQByAHkAXwBFAHEAdQBhAHQAaQBvAG4AcwAuAFYARQBFAFIARwBfADMAXwAzAF8AMQBfADEAXwBfADQAXwBBAGQAZABpAHQAaQBvAG4AYQBsAEkAbgB0AGEAawBlAEYAbwByAE0AaQBsAGsAUAByAG8AZAB1AGMAdABpAG8AbgBfAE4ASQBSAFIAZQBmAGUAcgBlAG4AYwBlACIALAAiAEUAbgB0AGUAcgBpAGMATQBlAHQAaABhAG4AZQBfAEQAYQBpAHIAeQBfAEUAcQB1AGEAdABpAG8AbgBzAC4AVgBFAEUAUgBHAF8AMwBfADMAXwAxAF8AMQBfAF8ANABfAEEAZABkAGkAdABpAG8AbgBhAGwASQBuAHQAYQBrAGUARgBvAHIATQBpAGwAawBQAHIAbwBkAHUAYwB0AGkAbwBuAF8ATABhAHQAZQB4AEUAcQB1AGEAdABpAG8AbgAiACwAIgBFAG4AdABlAHIAaQBjAE0AZQB0AGgAYQBuAGUAXwBEAGEAaQByAHkAXwBFAHEAdQBhAHQAaQBvAG4AcwAuAFYARQBFAFIARwBfADMAXwAzAF8AMQBfADEAXwBfADQAXwBBAGQAZABpAHQAaQBvAG4AYQBsAEkAbgB0AGEAawBlAEYAbwByAE0AaQBsAGsAUAByAG8AZAB1AGMAdABpAG8AbgBfAEEAcgBnAHUAbQBlAG4AdABzACIALAAiAEUAbgB0AGUAcgBpAGMATQBlAHQAaABhAG4AZQBfAEQAYQBpAHIAeQBfAEUAcQB1AGEAdABpAG8AbgBzAC4AVgBFAEUAUgBHAF8AMwBfADMAXwAxAF8AMQBfAF8ANABfAEEAZABkAGkAdABpAG8AbgBhAGwASQBuAHQAYQBrAGUARgBvAHIATQBpAGwAawBQAHIAbwBkAHUAYwB0AGkAbwBuAF8AVgBhAHIAaQBhAHQAaQBvAG4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1AF8ATQBpAGwAawBQAHIAbwBkAHUAYwB0AGkAbwBuAEYAcgBvAG0ATQBpAGwAawBTAG8AbABpAGQAcwBfAEEAcgBnAHUAbQBlAG4AdABzAF8ATQBlAHQAaABvAGQAMgAiACwAIgBFAG4AdABlAHIAaQBjAE0AZQB0AGgAYQBuAGUAXwBEAGEAaQByAHkAXwBFAHEAdQBhAHQAaQBvAG4AcwAuAFYARQBFAFIARwBfADMAXwAzAF8AMQBfADEAXwBfADUAXwBNAGkAbABrAFAAcgBvAGQAdQBjAHQAaQBvAG4ARgByAG8AbQBNAGkAbABrAFMAbwBsAGkAZABzAF8AVgBhAHIAaQBhAHQAaQBvAG4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YAYQByAGkAYQB0AGkAbwBuACIALAAiAEUAbgB0AGUAcgBpAGMATQBlAHQAaABhAG4AZQBfAEQAYQBpAHIAeQBfAEUAcQB1AGEAdABpAG8AbgBzAC4AVgBFAEUAUgBHAF8AMwBfADMAXwAxAF8AMQBfAF8ANgBfAE0AZQB0AGEAYgBvAGwAaQBzAGEAYgBpAGwAaQB0AHkATwBmAEQAaQBlAHQAXwBUAGkAdABsAGUAIgAsACIARQBuAHQAZQByAGkAYwBNAGUAdABoAGEAbgBlAF8ARABhAGkAcgB5AF8ARQBxAHUAYQB0AGkAbwBuAHMALgBWAEUARQBSAEcAXwAzAF8AMwBfADEAXwAxAF8AXwA2AF8ATQBlAHQAYQBiAG8AbABpAHMAYQBiAGkAbABpAHQAeQBPAGYARABpAGUAdABfAFYAYQByAGkAYQBiAGwAZQAiACwAIgBFAG4AdABlAHIAaQBjAE0AZQB0AGgAYQBuAGUAXwBEAGEAaQByAHkAXwBFAHEAdQBhAHQAaQBvAG4AcwAuAFYARQBFAFIARwBfADMAXwAzAF8AMQBfADEAXwBfADYAXwBNAGUAdABhAGIAbwBsAGkAcwBhAGIAaQBsAGkAdAB5AE8AZgBEAGkAZQB0AF8AVQBuAGkAdAAiACwAIgBFAG4AdABlAHIAaQBjAE0AZQB0AGgAYQBuAGUAXwBEAGEAaQByAHkAXwBFAHEAdQBhAHQAaQBvAG4AcwAuAFYARQBFAFIARwBfADMAXwAzAF8AMQBfADEAXwBfADYAXwBNAGUAdABhAGIAbwBsAGkAcwBhAGIAaQBsAGkAdAB5AE8AZgBEAGkAZQB0AF8AUwBvAHUAcgBjAGUAIgAsACIARQBuAHQAZQByAGkAYwBNAGUAdABoAGEAbgBlAF8ARABhAGkAcgB5AF8ARQBxAHUAYQB0AGkAbwBuAHMALgBWAEUARQBSAEcAXwAzAF8AMwBfADEAXwAxAF8AXwA2AF8ATQBlAHQAYQBiAG8AbABpAHMAYQBiAGkAbABpAHQAeQBPAGYARABpAGUAdABfAE4ASQBSAFIAZQBmAGUAcgBlAG4AYwBlACIALAAiAEUAbgB0AGUAcgBpAGMATQBlAHQAaABhAG4AZQBfAEQAYQBpAHIAeQBfAEUAcQB1AGEAdABpAG8AbgBzAC4AVgBFAEUAUgBHAF8AMwBfADMAXwAxAF8AMQBfAF8ANgBfAE0AZQB0AGEAYgBvAGwAaQBzAGEAYgBpAGwAaQB0AHkATwBmAEQAaQBlAHQAXwBMAGEAdABlAHgARQBxAHUAYQB0AGkAbwBuACIALAAiAEUAbgB0AGUAcgBpAGMATQBlAHQAaABhAG4AZQBfAEQAYQBpAHIAeQBfAEUAcQB1AGEAdABpAG8AbgBzAC4AVgBFAEUAUgBHAF8AMwBfADMAXwAxAF8AMQBfAF8ANgBfAE0AZQB0AGEAYgBvAGwAaQBzAGEAYgBpAGwAaQB0AHkATwBmAEQAaQBlAHQAXwBMAGEAdABlAHgARQBxAHUAYQB0AGkAbwBuAFYAYQByAGkAYQB0AGkAbwBuACIALAAiAEUAbgB0AGUAcgBpAGMATQBlAHQAaABhAG4AZQBfAEQAYQBpAHIAeQBfAEUAcQB1AGEAdABpAG8AbgBzAC4AVgBFAEUAUgBHAF8AMwBfADMAXwAxAF8AMQBfAF8ANgBfAE0AZQB0AGEAYgBvAGwAaQBzAGEAYgBpAGwAaQB0AHkATwBmAEQAaQBlAHQAXwBBAHIAZwB1AG0AZQBuAHQAcwAiACwAIgBFAG4AdABlAHIAaQBjAE0AZQB0AGgAYQBuAGUAXwBEAGEAaQByAHkAXwBFAHEAdQBhAHQAaQBvAG4AcwAuAFYARQBFAFIARwBfADMAXwAzAF8AMQBfADEAXwBfADYAXwBNAGUAdABhAGIAbwBsAGkAcwBhAGIAaQBsAGkAdAB5AE8AZgBEAGkAZQB0AF8AVgBhAHIAaQBhAHQAaQBvAG4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CwAIgBNAE0AUwBfAEQAYQBpAHIAeQBfAEwAZQBhAGMAaABpAG4AZwBBAG4AZABSAHUAbgBvAGYAZgBfAEUAcQB1AGEAdABpAG8AbgBzAC4AVgBFAEUAUgBHAF8ANABfADMAXwAxAF8ANgBfAF8AMQBfAEEAbgBuAHUAYQBsAEUAbQBpAHMAcwBpAG8AbgBzAEYAcgBvAG0ATABlAGEAYwBoAGkAbgBnAEEAbgBkAFIAdQBuAG8AZgBmAEYAcgBvAG0ATQBNAFMAIgAsACIATQBNAFMAXwBEAGEAaQByAHkAXwBMAGUAYQBjAGgAaQBuAGcAQQBuAGQAUgB1AG4AbwBmAGYAXwBFAHEAdQBhAHQAaQBvAG4AcwAuAFYARQBFAFIARwBfADQAXwAzAF8AMQBfADYAXwBfADEAXwBBAG4AbgB1AGEAbABFAG0AaQBzAHMAaQBvAG4AcwBGAHIAbwBtAEwAZQBhAGMAaABpAG4AZwBBAG4AZABSAHUAbgBvAGYAZgBGAHIAbwBtAE0ATQBTAF8AVABpAHQAbABlACIALAAiAE0ATQBTAF8ARABhAGkAcgB5AF8ATABlAGEAYwBoAGkAbgBnAEEAbgBkAFIAdQBuAG8AZgBmAF8ARQBxAHUAYQB0AGkAbwBuAHMALgBWAEUARQBSAEcAXwA0AF8AMwBfADEAXwA2AF8AXwAxAF8AQQBuAG4AdQBhAGwARQBtAGkAcwBzAGkAbwBuAHMARgByAG8AbQBMAGUAYQBjAGgAaQBuAGcAQQBuAGQAUgB1AG4AbwBmAGYARgByAG8AbQBNAE0AUwBfAFYAYQByAGkAYQBiAGwAZQAiACwAIgBNAE0AUwBfAEQAYQBpAHIAeQBfAEwAZQBhAGMAaABpAG4AZwBBAG4AZABSAHUAbgBvAGYAZgBfAEUAcQB1AGEAdABpAG8AbgBzAC4AVgBFAEUAUgBHAF8ANABfADMAXwAxAF8ANgBfAF8AMQBfAEEAbgBuAHUAYQBsAEUAbQBpAHMAcwBpAG8AbgBzAEYAcgBvAG0ATABlAGEAYwBoAGkAbgBnAEEAbgBkAFIAdQBuAG8AZgBmAEYAcgBvAG0ATQBNAFMAXwBVAG4AaQB0ACIALAAiAE0ATQBTAF8ARABhAGkAcgB5AF8ATABlAGEAYwBoAGkAbgBnAEEAbgBkAFIAdQBuAG8AZgBmAF8ARQBxAHUAYQB0AGkAbwBuAHMALgBWAEUARQBSAEcAXwA0AF8AMwBfADEAXwA2AF8AXwAxAF8AQQBuAG4AdQBhAGwARQBtAGkAcwBzAGkAbwBuAHMARgByAG8AbQBMAGUAYQBjAGgAaQBuAGcAQQBuAGQAUgB1AG4AbwBmAGYARgByAG8AbQBNAE0AUwBfAFMAbwB1AHIAYwBlACIALAAiAE0ATQBTAF8ARABhAGkAcgB5AF8ATABlAGEAYwBoAGkAbgBnAEEAbgBkAFIAdQBuAG8AZgBmAF8ARQBxAHUAYQB0AGkAbwBuAHMALgBWAEUARQBSAEcAXwA0AF8AMwBfADEAXwA2AF8AXwAxAF8AQQBuAG4AdQBhAGwARQBtAGkAcwBzAGkAbwBuAHMARgByAG8AbQBMAGUAYQBjAGgAaQBuAGcAQQBuAGQAUgB1AG4AbwBmAGYARgByAG8AbQBNAE0AUwBfAE4ASQBSAFIAZQBmAGUAcgBlAG4AYwBlACIALAAiAE0ATQBTAF8ARABhAGkAcgB5AF8ATABlAGEAYwBoAGkAbgBnAEEAbgBkAFIAdQBuAG8AZgBmAF8ARQBxAHUAYQB0AGkAbwBuAHMALgBWAEUARQBSAEcAXwA0AF8AMwBfADEAXwA2AF8AXwAxAF8AQQBuAG4AdQBhAGwARQBtAGkAcwBzAGkAbwBuAHMARgByAG8AbQBMAGUAYQBjAGgAaQBuAGcAQQBuAGQAUgB1AG4AbwBmAGYARgByAG8AbQBNAE0AUwBfAEwAYQB0AGUAeABFAHEAdQBhAHQAaQBvAG4AIgAsACIATQBNAFMAXwBEAGEAaQByAHkAXwBMAGUAYQBjAGgAaQBuAGcAQQBuAGQAUgB1AG4AbwBmAGYAXwBFAHEAdQBhAHQAaQBvAG4AcwAuAFYARQBFAFIARwBfADQAXwAzAF8AMQBfADYAXwBfADEAXwBBAG4AbgB1AGEAbABFAG0AaQBzAHMAaQBvAG4AcwBGAHIAbwBtAEwAZQBhAGMAaABpAG4AZwBBAG4AZABSAHUAbgBvAGYAZgBGAHIAbwBtAE0ATQBTAF8AQQByAGcAdQBtAGUAbgB0AHM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UAGkAdA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WAGEAcgBpAGEAYg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VAG4AaQB0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UwBvAHUAc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OAEkAUgBSAGUAZgBlAHIAZQBu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wAYQB0AGUAeABFAHEAdQBhAHQAaQBvAG4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BAHIAZwB1AG0AZQBuAHQAcwAiACwAIgBNAE0AUwBfAEQAYQBpAHIAeQBfAFMAbwBpAGwAXwBOADIATwBEAGkAcgBlAGMAdABfAEUAcQB1AGEAdABpAG8AbgBzAC4AVgBFAEUAUgBHAF8ANABfADMAXwAxAF8AOQBfAF8AMQBfAEQAaQByAGUAYwB0AE4AaQB0AHIAbwB1AHMATwB4AGkAZABlAEUAbQBpAHMAcwBpAG8AbgBzAE8AbgBQAGEAcwB0AHUAcgBlACIALAAiAE0ATQBTAF8ARABhAGkAcgB5AF8AUwBvAGkAbABfAE4AMgBPAEQAaQByAGUAYwB0AF8ARQBxAHUAYQB0AGkAbwBuAHMALgBWAEUARQBSAEcAXwA0AF8AMwBfADEAXwA5AF8AXwAxAF8ARABpAHIAZQBjAHQATgBpAHQAcgBvAHUAcwBPAHgAaQBkAGUARQBtAGkAcwBzAGkAbwBuAHMATwBuAFAAYQBzAHQAdQByAGUAXwBUAGkAdABsAGUAIgAsACIATQBNAFMAXwBEAGEAaQByAHkAXwBTAG8AaQBsAF8ATgAyAE8ARABpAHIAZQBjAHQAXwBFAHEAdQBhAHQAaQBvAG4AcwAuAFYARQBFAFIARwBfADQAXwAzAF8AMQBfADkAXwBfADEAXwBEAGkAcgBlAGMAdABOAGkAdAByAG8AdQBzAE8AeABpAGQAZQBFAG0AaQBzAHMAaQBvAG4AcwBPAG4AUABhAHMAdAB1AHIAZQBfAFYAYQByAGkAYQBiAGwAZQAiACwAIgBNAE0AUwBfAEQAYQBpAHIAeQBfAFMAbwBpAGwAXwBOADIATwBEAGkAcgBlAGMAdABfAEUAcQB1AGEAdABpAG8AbgBzAC4AVgBFAEUAUgBHAF8ANABfADMAXwAxAF8AOQBfAF8AMQBfAEQAaQByAGUAYwB0AE4AaQB0AHIAbwB1AHMATwB4AGkAZABlAEUAbQBpAHMAcwBpAG8AbgBzAE8AbgBQAGEAcwB0AHUAcgBlAF8AVQBuAGkAdAAiACwAIgBNAE0AUwBfAEQAYQBpAHIAeQBfAFMAbwBpAGwAXwBOADIATwBEAGkAcgBlAGMAdABfAEUAcQB1AGEAdABpAG8AbgBzAC4AVgBFAEUAUgBHAF8ANABfADMAXwAxAF8AOQBfAF8AMQBfAEQAaQByAGUAYwB0AE4AaQB0AHIAbwB1AHMATwB4AGkAZABlAEUAbQBpAHMAcwBpAG8AbgBzAE8AbgBQAGEAcwB0AHUAcgBlAF8AUwBvAHUAcgBjAGUAIgAsACIATQBNAFMAXwBEAGEAaQByAHkAXwBTAG8AaQBsAF8ATgAyAE8ARABpAHIAZQBjAHQAXwBFAHEAdQBhAHQAaQBvAG4AcwAuAFYARQBFAFIARwBfADQAXwAzAF8AMQBfADkAXwBfADEAXwBEAGkAcgBlAGMAdABOAGkAdAByAG8AdQBzAE8AeABpAGQAZQBFAG0AaQBzAHMAaQBvAG4AcwBPAG4AUABhAHMAdAB1AHIAZQBfAE4ASQBSAFIAZQBmAGUAcgBlAG4AYwBlACIALAAiAE0ATQBTAF8ARABhAGkAcgB5AF8AUwBvAGkAbABfAE4AMgBPAEQAaQByAGUAYwB0AF8ARQBxAHUAYQB0AGkAbwBuAHMALgBWAEUARQBSAEcAXwA0AF8AMwBfADEAXwA5AF8AXwAxAF8ARABpAHIAZQBjAHQATgBpAHQAcgBvAHUAcwBPAHgAaQBkAGUARQBtAGkAcwBzAGkAbwBuAHMATwBuAFAAYQBzAHQAdQByAGUAXwBMAGEAdABlAHgARQBxAHUAYQB0AGkAbwBuACIALAAiAE0ATQBTAF8ARABhAGkAcgB5AF8AUwBvAGkAbABfAE4AMgBPAEQAaQByAGUAYwB0AF8ARQBxAHUAYQB0AGkAbwBuAHMALgBWAEUARQBSAEcAXwA0AF8AMwBfADEAXwA5AF8AXwAxAF8ARABpAHIAZQBjAHQATgBpAHQAcgBvAHUAcwBPAHgAaQBkAGUARQBtAGkAcwBzAGkAbwBuAHMATwBuAFAAYQBzAHQAdQByAGUAXwBBAHIAZwB1AG0AZQBuAHQAcw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QAaQB0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YAYQByAGkAYQBi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UAbgBpAHQ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TAG8AdQBy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4ASQBSAFIAZQBmAGUAcgBlAG4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ABhAHQAZQB4AEUAcQB1AGEAdABpAG8Abg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EAcgBnAHUAbQBlAG4AdABzACIALAAiAE0ATQBTAF8ARABhAGkAcgB5AF8AUwBvAGkAbABfAEEAdABtAG8AcwBwAGgAZQByAGkAYwBEAGUAcABvAHMAaQB0AGkAbwBuAF8ARQBxAHUAYQB0AGkAbwBuAHMALgBWAEUARQBSAEcAXwA0AF8AMwBfADEAXwAxADAAXwBfADIAXwBNAGEAcwBzAE8AZgBOAGkAdAByAG8AZwBlAG4AVgBvAGwAYQB0AGkAbABpAHMAZQBkAE8AbgBQAGEAcwB0AHUAcgBlACIALAAiAE0ATQBTAF8ARABhAGkAcgB5AF8AUwBvAGkAbABfAEEAdABtAG8AcwBwAGgAZQByAGkAYwBEAGUAcABvAHMAaQB0AGkAbwBuAF8ARQBxAHUAYQB0AGkAbwBuAHMALgBWAEUARQBSAEcAXwA0AF8AMwBfADEAXwAxADAAXwBfADIAXwBNAGEAcwBzAE8AZgBOAGkAdAByAG8AZwBlAG4AVgBvAGwAYQB0AGkAbABpAHMAZQBkAE8AbgBQAGEAcwB0AHUAcgBlAF8AVABpAHQ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gBhAHIAaQBhAGI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QBuAGkAdAAiACwAIgBNAE0AUwBfAEQAYQBpAHIAeQBfAFMAbwBpAGwAXwBBAHQAbQBvAHMAcABoAGUAcgBpAGMARABlAHAAbwBzAGkAdABpAG8AbgBfAEUAcQB1AGEAdABpAG8AbgBzAC4AVgBFAEUAUgBHAF8ANABfADMAXwAxAF8AMQAwAF8AXwAyAF8ATQBhAHMAcwBPAGYATgBpAHQAcgBvAGcAZQBuAFYAbwBsAGEAdABpAGwAaQBzAGUAZABPAG4AUABhAHMAdAB1AHIAZQBfAFMAbwB1AHI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gBJAFIAUgBlAGYAZQByAGUAb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MAGEAdABlAHgARQBxAHUAYQB0AGkAbwBuACIALAAiAE0ATQBTAF8ARABhAGkAcgB5AF8AUwBvAGkAbABfAEEAdABtAG8AcwBwAGgAZQByAGkAYwBEAGUAcABvAHMAaQB0AGkAbwBuAF8ARQBxAHUAYQB0AGkAbwBuAHMALgBWAEUARQBSAEcAXwA0AF8AMwBfADEAXwAxADAAXwBfADIAXwBNAGEAcwBzAE8AZgBOAGkAdAByAG8AZwBlAG4AVgBvAGwAYQB0AGkAbABpAHMAZQBkAE8AbgBQAGEAcwB0AHUAcgBlAF8AQQByAGcAdQBtAGUAbgB0AHM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UAGkAdA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WAGEAcgBpAGEAYg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VAG4AaQB0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UwBvAHUAc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OAEkAUgBSAGUAZgBlAHIAZQBu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wAYQB0AGUAeABFAHEAdQBhAHQAaQBvAG4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BAHIAZwB1AG0AZQBuAHQAcwAiACwAIgBNAE0AUwBfAEQAYQBpAHIAeQBfAFMAbwBpAGwAXwBMAGUAYQBjAGgAaQBuAGcAQQBuAGQAUgB1AG4AbwBmAGYALgBWAEUARQBSAEcAXwA0AF8AMwBfADEAXwAxADIAXwBfADIAXwBNAGEAcwBzAE8AZgBOAGkAdAByAG8AZwBlAG4ATABvAHMAdABUAG8ATABlAGEAYwBoAGkAbgBnAEEAbgBkAFIAdQBuAG8AZgBmAE8AbgBQAGEAcwB0AHUAcgBlACIALAAiAE0ATQBTAF8ARABhAGkAcgB5AF8AUwBvAGkAbABfAEwAZQBhAGMAaABpAG4AZwBBAG4AZABSAHUAbgBvAGYAZgAuAFYARQBFAFIARwBfADQAXwAzAF8AMQBfADEAMgBfAF8AMgBfAE0AYQBzAHMATwBmAE4AaQB0AHIAbwBnAGUAbgBMAG8AcwB0AFQAbwBMAGUAYQBjAGgAaQBuAGcAQQBuAGQAUgB1AG4AbwBmAGYATwBuAFAAYQBzAHQAdQByAGUAXwBUAGkAdABsAGUAIgAsACIATQBNAFMAXwBEAGEAaQByAHkAXwBTAG8AaQBsAF8ATABlAGEAYwBoAGkAbgBnAEEAbgBkAFIAdQBuAG8AZgBmAC4AVgBFAEUAUgBHAF8ANABfADMAXwAxAF8AMQAyAF8AXwAyAF8ATQBhAHMAcwBPAGYATgBpAHQAcgBvAGcAZQBuAEwAbwBzAHQAVABvAEwAZQBhAGMAaABpAG4AZwBBAG4AZABSAHUAbgBvAGYAZgBPAG4AUABhAHMAdAB1AHIAZQBfAFYAYQByAGkAYQBiAGwAZQAiACwAIgBNAE0AUwBfAEQAYQBpAHIAeQBfAFMAbwBpAGwAXwBMAGUAYQBjAGgAaQBuAGcAQQBuAGQAUgB1AG4AbwBmAGYALgBWAEUARQBSAEcAXwA0AF8AMwBfADEAXwAxADIAXwBfADIAXwBNAGEAcwBzAE8AZgBOAGkAdAByAG8AZwBlAG4ATABvAHMAdABUAG8ATABlAGEAYwBoAGkAbgBnAEEAbgBkAFIAdQBuAG8AZgBmAE8AbgBQAGEAcwB0AHUAcgBlAF8AVQBuAGkAdAAiACwAIgBNAE0AUwBfAEQAYQBpAHIAeQBfAFMAbwBpAGwAXwBMAGUAYQBjAGgAaQBuAGcAQQBuAGQAUgB1AG4AbwBmAGYALgBWAEUARQBSAEcAXwA0AF8AMwBfADEAXwAxADIAXwBfADIAXwBNAGEAcwBzAE8AZgBOAGkAdAByAG8AZwBlAG4ATABvAHMAdABUAG8ATABlAGEAYwBoAGkAbgBnAEEAbgBkAFIAdQBuAG8AZgBmAE8AbgBQAGEAcwB0AHUAcgBlAF8AUwBvAHUAcgBjAGUAIgAsACIATQBNAFMAXwBEAGEAaQByAHkAXwBTAG8AaQBsAF8ATABlAGEAYwBoAGkAbgBnAEEAbgBkAFIAdQBuAG8AZgBmAC4AVgBFAEUAUgBHAF8ANABfADMAXwAxAF8AMQAyAF8AXwAyAF8ATQBhAHMAcwBPAGYATgBpAHQAcgBvAGcAZQBuAEwAbwBzAHQAVABvAEwAZQBhAGMAaABpAG4AZwBBAG4AZABSAHUAbgBvAGYAZgBPAG4AUABhAHMAdAB1AHIAZQBfAE4ASQBSAFIAZQBmAGUAcgBlAG4AYwBlACIALAAiAE0ATQBTAF8ARABhAGkAcgB5AF8AUwBvAGkAbABfAEwAZQBhAGMAaABpAG4AZwBBAG4AZABSAHUAbgBvAGYAZgAuAFYARQBFAFIARwBfADQAXwAzAF8AMQBfADEAMgBfAF8AMgBfAE0AYQBzAHMATwBmAE4AaQB0AHIAbwBnAGUAbgBMAG8AcwB0AFQAbwBMAGUAYQBjAGgAaQBuAGcAQQBuAGQAUgB1AG4AbwBmAGYATwBuAFAAYQBzAHQAdQByAGUAXwBMAGEAdABlAHgARQBxAHUAYQB0AGkAbwBuACIALAAiAE0ATQBTAF8ARABhAGkAcgB5AF8AUwBvAGkAbABfAEwAZQBhAGMAaABpAG4AZwBBAG4AZABSAHUAbgBvAGYAZgAuAFYARQBFAFIARwBfADQAXwAzAF8AMQBfADEAMg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2026-06-04T05:09:54Z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