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66CA9E0-A120-4EAB-BA39-304C801936EE}" xr6:coauthVersionLast="47" xr6:coauthVersionMax="47" xr10:uidLastSave="{00000000-0000-0000-0000-000000000000}"/>
  <bookViews>
    <workbookView xWindow="1215" yWindow="1110" windowWidth="36900" windowHeight="18960" activeTab="3" xr2:uid="{992023F3-CAB7-4E5B-A348-08D563A0EF40}"/>
  </bookViews>
  <sheets>
    <sheet name="Home" sheetId="71" r:id="rId1"/>
    <sheet name="Overview" sheetId="118" r:id="rId2"/>
    <sheet name="Results" sheetId="13" r:id="rId3"/>
    <sheet name="Input - Fuel" sheetId="70" r:id="rId4"/>
    <sheet name="8.1.1.1-2 Transport fuel" sheetId="69" r:id="rId5"/>
    <sheet name="8.2.1.1-2 Stationary fuel" sheetId="74" r:id="rId6"/>
    <sheet name="8.X.1.1-2 General use fuel" sheetId="120" r:id="rId7"/>
    <sheet name="Constants - Fuel" sheetId="110" r:id="rId8"/>
    <sheet name="Constants - Common" sheetId="111"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6">_xlfn.LAMBDA(_xlpm.Month,_xlpm.LivestockClass,_xlpm.HeadAtStart,_xlpm.LiveweightAtStart,_xlpm.LiveweightGain, [0]!CommonLivestock_InputFunctions.LivestockMovement_ProportionalAverageLiveweightAddedDuringMonth(_xlpm.Month, _xlpm.LivestockClass, _xlpm.HeadAtStart) + '8.X.1.1-2 General use fuel'!CommonLivestock_InputFunctions.LivestockMovement_ProportionalAverageLiveweightRemainingAtEndOfMonth(_xlpm.Month,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6">_xlfn.LAMBDA(_xlpm.LivestockClass,_xlpm.MovementDate,_xlpm.WeightAtMovementDate,_xlpm.Head, IFERROR(_xlpm.Head * (_xlpm.WeightAtMovementDate + '8.X.1.1-2 General use fuel'!CommonLivestock_InputFunctions.LivestockMovement_LiveweightGrownDuringMonthPerHead(_xlpm.LivestockClass,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6">_xlfn.LAMBDA(_xlpm.LivestockClass,_xlpm.Month, '8.X.1.1-2 General use fuel'!CommonLivestock_InputFunctions.LivestockMovement_LiveweightGrownDuringMonthPerHead(_xlpm.LivestockClass,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6">_xlfn.LAMBDA(_xlpm.LivestockClass,_xlpm.Month,_xlpm.HeadAtStartOfMonth, [0]!CommonLivestock_InputFunctions.LivestockMovement_HeadRemainingAtMonthEnd(_xlpm.Month, _xlpm.LivestockClass, _xlpm.HeadAtStartOfMonth) * '8.X.1.1-2 General use fuel'!CommonLivestock_InputFunctions.LivestockMovement_LiveweightGrownFromMonthStartPerHead(_xlpm.LivestockClass,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6">_xlfn.LAMBDA(_xlpm.LivestockClass,_xlpm.MovementDate,_xlpm.Head, '8.X.1.1-2 General use fuel'!CommonLivestock_InputFunctions.LivestockMovement_LiveweightGrownDuringMonthPerHead(_xlpm.LivestockClass,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6">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6">_xlfn.LAMBDA(_xlpm.Month,_xlpm.LivestockClass,_xlpm.HeadAtStart, '8.X.1.1-2 General use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70" l="1" a="1"/>
  <c r="G22" i="70" s="1"/>
  <c r="G21" i="70"/>
  <c r="G21" i="70" a="1"/>
  <c r="G20" i="70" a="1"/>
  <c r="G20" i="70" s="1"/>
  <c r="G19" i="70" a="1"/>
  <c r="G19" i="70" s="1"/>
  <c r="G18" i="70" a="1"/>
  <c r="G18" i="70" s="1"/>
  <c r="G17" i="70" a="1"/>
  <c r="G17" i="70" s="1"/>
  <c r="G16" i="70" a="1"/>
  <c r="G16" i="70" s="1"/>
  <c r="G15" i="70" a="1"/>
  <c r="G15" i="70" s="1"/>
  <c r="G14" i="70"/>
  <c r="G14" i="70" a="1"/>
  <c r="G13" i="70" a="1"/>
  <c r="G13" i="70" s="1"/>
  <c r="G12" i="70" a="1"/>
  <c r="G12" i="70" s="1"/>
  <c r="G11" i="70" a="1"/>
  <c r="G11" i="70" s="1"/>
  <c r="A17" i="110" l="1"/>
  <c r="A16" i="110"/>
  <c r="A13" i="110"/>
  <c r="A12" i="110"/>
  <c r="A11" i="110"/>
  <c r="A8" i="110"/>
  <c r="A5" i="110"/>
  <c r="A4" i="110"/>
  <c r="A3" i="110"/>
  <c r="A17" i="120"/>
  <c r="A16" i="120"/>
  <c r="A13" i="120"/>
  <c r="A12" i="120"/>
  <c r="A11" i="120"/>
  <c r="A8" i="120"/>
  <c r="A5" i="120"/>
  <c r="A4" i="120"/>
  <c r="A3" i="12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7" i="120" a="1"/>
  <c r="D7" i="120" s="1"/>
  <c r="D6" i="74" a="1"/>
  <c r="D6" i="74" s="1"/>
  <c r="D60" i="69"/>
  <c r="D54" i="69"/>
  <c r="D48" i="69"/>
  <c r="D47" i="74"/>
  <c r="F55" i="74"/>
  <c r="F54" i="74"/>
  <c r="F53" i="74"/>
  <c r="J31" i="120"/>
  <c r="J30" i="120"/>
  <c r="J29" i="120"/>
  <c r="J28" i="120"/>
  <c r="J27" i="120"/>
  <c r="J26" i="120"/>
  <c r="J25" i="120"/>
  <c r="J33" i="120"/>
  <c r="J32" i="120"/>
  <c r="I33" i="120"/>
  <c r="I32" i="120"/>
  <c r="I31" i="120"/>
  <c r="I30" i="120"/>
  <c r="I29" i="120"/>
  <c r="I28" i="120"/>
  <c r="I27" i="120"/>
  <c r="I26" i="120"/>
  <c r="I25" i="120"/>
  <c r="H33" i="120"/>
  <c r="H32" i="120"/>
  <c r="H31" i="120"/>
  <c r="H30" i="120"/>
  <c r="H29" i="120"/>
  <c r="H28" i="120"/>
  <c r="H27" i="120"/>
  <c r="H26" i="120"/>
  <c r="H25" i="120"/>
  <c r="G33" i="120"/>
  <c r="G32" i="120"/>
  <c r="E31" i="120"/>
  <c r="E30" i="120"/>
  <c r="E29" i="120"/>
  <c r="E28" i="120"/>
  <c r="E27" i="120"/>
  <c r="E26" i="120"/>
  <c r="G31" i="120"/>
  <c r="G30" i="120"/>
  <c r="G29" i="120"/>
  <c r="G28" i="120"/>
  <c r="G27" i="120"/>
  <c r="G26" i="120"/>
  <c r="G25" i="120"/>
  <c r="E25" i="120"/>
  <c r="D33" i="120"/>
  <c r="D32" i="120"/>
  <c r="D31" i="120"/>
  <c r="D30" i="120"/>
  <c r="D29" i="120"/>
  <c r="D28" i="120"/>
  <c r="D27" i="120"/>
  <c r="F33" i="120"/>
  <c r="F32" i="120"/>
  <c r="F31" i="120"/>
  <c r="F30" i="120"/>
  <c r="F29" i="120"/>
  <c r="F28" i="120"/>
  <c r="F27" i="120"/>
  <c r="L27" i="120" s="1" a="1"/>
  <c r="L27" i="120" s="1"/>
  <c r="F26" i="120"/>
  <c r="F25" i="120"/>
  <c r="D25" i="120"/>
  <c r="G14" i="120" a="1"/>
  <c r="G14" i="120" s="1"/>
  <c r="D14" i="120" a="1"/>
  <c r="D14" i="120" s="1"/>
  <c r="E12" i="120" a="1"/>
  <c r="E12" i="120" s="1"/>
  <c r="E11" i="120" a="1"/>
  <c r="E11" i="120" s="1"/>
  <c r="D6" i="120" a="1"/>
  <c r="D6" i="120"/>
  <c r="D5" i="120" a="1"/>
  <c r="D5" i="120" s="1"/>
  <c r="A76" i="120"/>
  <c r="A38" i="120"/>
  <c r="L33" i="120" a="1"/>
  <c r="L33" i="120" s="1"/>
  <c r="L32" i="120" a="1"/>
  <c r="L32" i="120" s="1"/>
  <c r="L31" i="120" a="1"/>
  <c r="L31" i="120" s="1"/>
  <c r="L30" i="120" a="1"/>
  <c r="L30" i="120" s="1"/>
  <c r="L29" i="120" a="1"/>
  <c r="L29" i="120" s="1"/>
  <c r="L28" i="120" a="1"/>
  <c r="L28" i="120" s="1"/>
  <c r="L26" i="120" a="1"/>
  <c r="L26" i="120" s="1"/>
  <c r="L25" i="120" a="1"/>
  <c r="L25" i="120" s="1"/>
  <c r="K25" i="120" a="1"/>
  <c r="K25" i="120" s="1"/>
  <c r="D35" i="120"/>
  <c r="I16" i="120" a="1"/>
  <c r="I16" i="120" s="1"/>
  <c r="I15" i="120" a="1"/>
  <c r="I15" i="120" s="1"/>
  <c r="I14" i="120" a="1"/>
  <c r="I14" i="120" s="1"/>
  <c r="G14" i="74" a="1"/>
  <c r="G14" i="74" s="1"/>
  <c r="D14" i="74" a="1"/>
  <c r="D14" i="74" s="1"/>
  <c r="E12" i="74" a="1"/>
  <c r="E12" i="74" s="1"/>
  <c r="E11" i="74" a="1"/>
  <c r="E11" i="74" s="1"/>
  <c r="D5" i="74" a="1"/>
  <c r="D5" i="74" s="1"/>
  <c r="L40" i="74" a="1"/>
  <c r="L40" i="74" s="1"/>
  <c r="L39" i="74" a="1"/>
  <c r="L39" i="74" s="1"/>
  <c r="K40" i="74" a="1"/>
  <c r="K40" i="74" s="1"/>
  <c r="K39" i="74" a="1"/>
  <c r="K39" i="74" s="1"/>
  <c r="F40" i="74"/>
  <c r="F39" i="74"/>
  <c r="F38" i="74"/>
  <c r="F37" i="74"/>
  <c r="F36" i="74"/>
  <c r="F35" i="74"/>
  <c r="L35" i="74" s="1" a="1"/>
  <c r="L35" i="74" s="1"/>
  <c r="F34" i="74"/>
  <c r="F33" i="74"/>
  <c r="F32" i="74"/>
  <c r="D32" i="74"/>
  <c r="D38" i="74" s="1"/>
  <c r="D34" i="74"/>
  <c r="F31" i="74"/>
  <c r="F30" i="74"/>
  <c r="F29" i="74"/>
  <c r="F28" i="74"/>
  <c r="L28" i="74" s="1" a="1"/>
  <c r="L28" i="74" s="1"/>
  <c r="F27" i="74"/>
  <c r="L27" i="74" s="1" a="1"/>
  <c r="L27" i="74" s="1"/>
  <c r="F26" i="74"/>
  <c r="L26" i="74" s="1" a="1"/>
  <c r="L26" i="74" s="1"/>
  <c r="F25" i="74"/>
  <c r="D25" i="74"/>
  <c r="L38" i="74" a="1"/>
  <c r="L38" i="74" s="1"/>
  <c r="L37" i="74" a="1"/>
  <c r="L37" i="74" s="1"/>
  <c r="L34" i="74" a="1"/>
  <c r="L34" i="74" s="1"/>
  <c r="L33" i="74" a="1"/>
  <c r="L33" i="74" s="1"/>
  <c r="L32" i="74" a="1"/>
  <c r="L32" i="74" s="1"/>
  <c r="L31" i="74" a="1"/>
  <c r="L31" i="74" s="1"/>
  <c r="L30" i="74" a="1"/>
  <c r="L30" i="74" s="1"/>
  <c r="L29" i="74" a="1"/>
  <c r="L29" i="74" s="1"/>
  <c r="L25" i="74" a="1"/>
  <c r="L25" i="74" s="1"/>
  <c r="K25" i="74" a="1"/>
  <c r="K25" i="74" s="1"/>
  <c r="D42" i="74"/>
  <c r="I16" i="74" a="1"/>
  <c r="I16" i="74" s="1"/>
  <c r="I15" i="74" a="1"/>
  <c r="I15" i="74" s="1"/>
  <c r="I14" i="74" a="1"/>
  <c r="I14" i="74" s="1"/>
  <c r="A69" i="69"/>
  <c r="I16" i="69" a="1"/>
  <c r="I16" i="69" s="1"/>
  <c r="I15" i="69" a="1"/>
  <c r="I15" i="69" s="1"/>
  <c r="I14" i="69" a="1"/>
  <c r="I14" i="69" s="1"/>
  <c r="E11" i="69" a="1"/>
  <c r="E11" i="69" s="1"/>
  <c r="E12" i="69" a="1"/>
  <c r="E12" i="69" s="1"/>
  <c r="F49" i="69" s="1"/>
  <c r="G14" i="69" a="1"/>
  <c r="G14" i="69" s="1"/>
  <c r="D14" i="69" a="1"/>
  <c r="D14" i="69" s="1"/>
  <c r="E8" i="120" a="1"/>
  <c r="E7" i="74" a="1"/>
  <c r="K27" i="120" l="1" a="1"/>
  <c r="K27" i="120" s="1"/>
  <c r="E8" i="120"/>
  <c r="F38" i="120"/>
  <c r="F37" i="120"/>
  <c r="F36" i="120"/>
  <c r="K33" i="120" a="1"/>
  <c r="K33" i="120" s="1"/>
  <c r="K30" i="120" a="1"/>
  <c r="K30" i="120" s="1"/>
  <c r="K26" i="120" a="1"/>
  <c r="K26" i="120" s="1"/>
  <c r="K31" i="120" a="1"/>
  <c r="K31" i="120" s="1"/>
  <c r="K29" i="120" a="1"/>
  <c r="K29" i="120" s="1"/>
  <c r="D34" i="120"/>
  <c r="K32" i="120" a="1"/>
  <c r="K32" i="120" s="1"/>
  <c r="K28" i="120" a="1"/>
  <c r="K28" i="120" s="1"/>
  <c r="D26" i="120"/>
  <c r="D33" i="74"/>
  <c r="D35" i="74"/>
  <c r="D36" i="74"/>
  <c r="K33" i="74" a="1"/>
  <c r="K33" i="74" s="1"/>
  <c r="D37" i="74"/>
  <c r="K37" i="74" s="1" a="1"/>
  <c r="K37" i="74" s="1"/>
  <c r="K36" i="74" a="1"/>
  <c r="K36" i="74" s="1"/>
  <c r="L36" i="74" a="1"/>
  <c r="L36" i="74" s="1"/>
  <c r="K32" i="74" a="1"/>
  <c r="K32" i="74" s="1"/>
  <c r="E7" i="74"/>
  <c r="F44" i="74"/>
  <c r="F43" i="74"/>
  <c r="F50" i="74"/>
  <c r="F49" i="74"/>
  <c r="F48" i="74"/>
  <c r="F45" i="74"/>
  <c r="D27" i="74"/>
  <c r="K27" i="74" s="1" a="1"/>
  <c r="K27" i="74" s="1"/>
  <c r="D29" i="74"/>
  <c r="K29" i="74" s="1" a="1"/>
  <c r="K29" i="74" s="1"/>
  <c r="D31" i="74"/>
  <c r="K31" i="74" s="1" a="1"/>
  <c r="K31" i="74" s="1"/>
  <c r="K34" i="74" a="1"/>
  <c r="K34" i="74" s="1"/>
  <c r="K38" i="74" a="1"/>
  <c r="K38" i="74" s="1"/>
  <c r="D26" i="74"/>
  <c r="K26" i="74" s="1" a="1"/>
  <c r="K26" i="74" s="1"/>
  <c r="D28" i="74"/>
  <c r="K28" i="74" s="1" a="1"/>
  <c r="K28" i="74" s="1"/>
  <c r="D30" i="74"/>
  <c r="K30" i="74" s="1" a="1"/>
  <c r="K30" i="74" s="1"/>
  <c r="K35" i="74" a="1"/>
  <c r="K35" i="74" s="1"/>
  <c r="F61" i="69"/>
  <c r="F50" i="69"/>
  <c r="F51" i="69"/>
  <c r="F55" i="69"/>
  <c r="F56" i="69"/>
  <c r="F57" i="69"/>
  <c r="F62" i="69"/>
  <c r="F63" i="69"/>
  <c r="F67" i="69"/>
  <c r="F68" i="69"/>
  <c r="F69" i="69"/>
  <c r="F44" i="69"/>
  <c r="F43" i="69"/>
  <c r="F45" i="69"/>
  <c r="L34" i="69" l="1" a="1"/>
  <c r="L34" i="69" s="1"/>
  <c r="D34" i="110"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8" i="69"/>
  <c r="F37" i="69"/>
  <c r="F36" i="69"/>
  <c r="F35" i="69"/>
  <c r="F34" i="69"/>
  <c r="F33" i="69"/>
  <c r="L33" i="69" s="1" a="1"/>
  <c r="L33" i="69" s="1"/>
  <c r="D37" i="69"/>
  <c r="D34" i="69"/>
  <c r="D35" i="69" s="1"/>
  <c r="D25" i="69"/>
  <c r="D27" i="69" s="1"/>
  <c r="D33" i="69"/>
  <c r="F32" i="69"/>
  <c r="L32" i="69" s="1" a="1"/>
  <c r="L32" i="69" s="1"/>
  <c r="F29" i="69"/>
  <c r="L29" i="69" s="1" a="1"/>
  <c r="L29" i="69" s="1"/>
  <c r="F27" i="69"/>
  <c r="K27" i="69" s="1" a="1"/>
  <c r="K27" i="69" s="1"/>
  <c r="F26" i="69"/>
  <c r="L26" i="69" s="1" a="1"/>
  <c r="L26" i="69" s="1"/>
  <c r="D6" i="69" a="1"/>
  <c r="D6" i="69" s="1"/>
  <c r="D5" i="69" a="1"/>
  <c r="D5" i="69" s="1"/>
  <c r="H131" i="110"/>
  <c r="I132" i="110"/>
  <c r="I131" i="110"/>
  <c r="J139" i="110"/>
  <c r="J138" i="110"/>
  <c r="J137" i="110"/>
  <c r="J136" i="110"/>
  <c r="J135" i="110"/>
  <c r="J134" i="110"/>
  <c r="J133" i="110"/>
  <c r="J132" i="110"/>
  <c r="J131" i="110"/>
  <c r="G138" i="110"/>
  <c r="G137" i="110"/>
  <c r="F31" i="69" s="1"/>
  <c r="G136" i="110"/>
  <c r="F30" i="69" s="1"/>
  <c r="G135" i="110"/>
  <c r="G134" i="110"/>
  <c r="F28" i="69" s="1"/>
  <c r="G133" i="110"/>
  <c r="G132" i="110"/>
  <c r="G131" i="110"/>
  <c r="F25" i="69" s="1"/>
  <c r="F133" i="110"/>
  <c r="F132" i="110"/>
  <c r="F131" i="110"/>
  <c r="E139" i="110"/>
  <c r="E138" i="110"/>
  <c r="E137" i="110"/>
  <c r="E136" i="110"/>
  <c r="E135" i="110"/>
  <c r="E134" i="110"/>
  <c r="E133" i="110"/>
  <c r="E132" i="110"/>
  <c r="E131" i="110"/>
  <c r="D137" i="110"/>
  <c r="D136" i="110"/>
  <c r="D135" i="110"/>
  <c r="D134" i="110"/>
  <c r="D133" i="110"/>
  <c r="D132" i="110"/>
  <c r="D131" i="110"/>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E32" i="69" s="1"/>
  <c r="D17" i="110" a="1"/>
  <c r="D17" i="110" s="1"/>
  <c r="L16" i="110" a="1"/>
  <c r="L16" i="110" s="1"/>
  <c r="K16" i="110" a="1"/>
  <c r="K16" i="110" s="1"/>
  <c r="J16" i="110" a="1"/>
  <c r="J16" i="110" s="1"/>
  <c r="I16" i="110" a="1"/>
  <c r="I16" i="110" s="1"/>
  <c r="H16" i="110" a="1"/>
  <c r="H16" i="110" s="1"/>
  <c r="G16" i="110" a="1"/>
  <c r="G16" i="110" s="1"/>
  <c r="F16" i="110" a="1"/>
  <c r="F16" i="110" s="1"/>
  <c r="E16" i="110" a="1"/>
  <c r="E16" i="110" s="1"/>
  <c r="E31" i="69" s="1"/>
  <c r="D16" i="110" a="1"/>
  <c r="D16" i="110" s="1"/>
  <c r="L15" i="110" a="1"/>
  <c r="L15" i="110" s="1"/>
  <c r="K15" i="110" a="1"/>
  <c r="K15" i="110" s="1"/>
  <c r="J15" i="110" a="1"/>
  <c r="J15" i="110" s="1"/>
  <c r="I15" i="110" a="1"/>
  <c r="I15" i="110" s="1"/>
  <c r="H15" i="110" a="1"/>
  <c r="H15" i="110" s="1"/>
  <c r="G15" i="110" a="1"/>
  <c r="G15" i="110" s="1"/>
  <c r="F15" i="110" a="1"/>
  <c r="F15" i="110" s="1"/>
  <c r="E15" i="110" a="1"/>
  <c r="E15" i="110" s="1"/>
  <c r="E30" i="69" s="1"/>
  <c r="D15" i="110" a="1"/>
  <c r="D15" i="110" s="1"/>
  <c r="L14" i="110" a="1"/>
  <c r="L14" i="110" s="1"/>
  <c r="K14" i="110" a="1"/>
  <c r="K14" i="110" s="1"/>
  <c r="J14" i="110" a="1"/>
  <c r="J14" i="110" s="1"/>
  <c r="I14" i="110" a="1"/>
  <c r="I14" i="110" s="1"/>
  <c r="H14" i="110" a="1"/>
  <c r="H14" i="110" s="1"/>
  <c r="G14" i="110" a="1"/>
  <c r="G14" i="110" s="1"/>
  <c r="F14" i="110" a="1"/>
  <c r="F14" i="110" s="1"/>
  <c r="E14" i="110" a="1"/>
  <c r="E14" i="110" s="1"/>
  <c r="E29" i="69"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E27" i="69" s="1"/>
  <c r="D12" i="110" a="1"/>
  <c r="D12" i="110" s="1"/>
  <c r="L11" i="110" a="1"/>
  <c r="L11" i="110" s="1"/>
  <c r="K11" i="110" a="1"/>
  <c r="K11" i="110" s="1"/>
  <c r="J11" i="110" a="1"/>
  <c r="J11" i="110" s="1"/>
  <c r="I11" i="110" a="1"/>
  <c r="I11" i="110" s="1"/>
  <c r="H11" i="110" a="1"/>
  <c r="H11" i="110" s="1"/>
  <c r="G11" i="110" a="1"/>
  <c r="G11" i="110" s="1"/>
  <c r="F11" i="110" a="1"/>
  <c r="F11" i="110" s="1"/>
  <c r="E11" i="110" a="1"/>
  <c r="E11" i="110" s="1"/>
  <c r="E38" i="69" s="1"/>
  <c r="D11" i="110" a="1"/>
  <c r="D11" i="110" s="1"/>
  <c r="L10" i="110" a="1"/>
  <c r="L10" i="110" s="1"/>
  <c r="K10" i="110" a="1"/>
  <c r="K10" i="110" s="1"/>
  <c r="J10" i="110" a="1"/>
  <c r="J10" i="110" s="1"/>
  <c r="I10" i="110" a="1"/>
  <c r="I10" i="110" s="1"/>
  <c r="H10" i="110" a="1"/>
  <c r="H10" i="110" s="1"/>
  <c r="G10" i="110" a="1"/>
  <c r="G10" i="110" s="1"/>
  <c r="F10" i="110" a="1"/>
  <c r="F10" i="110" s="1"/>
  <c r="E10" i="110" a="1"/>
  <c r="E10" i="110" s="1"/>
  <c r="E37" i="69" s="1"/>
  <c r="D10" i="110" a="1"/>
  <c r="D10" i="110" s="1"/>
  <c r="D8" i="110" a="1"/>
  <c r="D8" i="110" s="1"/>
  <c r="D7" i="110" a="1"/>
  <c r="D7" i="110" s="1"/>
  <c r="D6" i="110" a="1"/>
  <c r="D6" i="110" s="1"/>
  <c r="D5" i="110" a="1"/>
  <c r="D5" i="110" s="1"/>
  <c r="H22" i="70"/>
  <c r="I22" i="70" s="1"/>
  <c r="I21" i="70"/>
  <c r="H21" i="70"/>
  <c r="H20" i="70"/>
  <c r="I20" i="70" s="1"/>
  <c r="H19" i="70"/>
  <c r="I19" i="70" s="1"/>
  <c r="H18" i="70"/>
  <c r="I18" i="70" s="1"/>
  <c r="H17" i="70"/>
  <c r="I17" i="70" s="1"/>
  <c r="H16" i="70"/>
  <c r="I16" i="70" s="1"/>
  <c r="H15" i="70"/>
  <c r="I15" i="70" s="1"/>
  <c r="H14" i="70"/>
  <c r="I14" i="70" s="1"/>
  <c r="H13" i="70"/>
  <c r="I13" i="70" s="1"/>
  <c r="H12" i="70"/>
  <c r="I12" i="70" s="1"/>
  <c r="H11" i="70"/>
  <c r="I11" i="70" s="1"/>
  <c r="E7" i="69" a="1"/>
  <c r="E33" i="120" l="1"/>
  <c r="E40" i="74"/>
  <c r="E29" i="74"/>
  <c r="E36" i="74"/>
  <c r="E28" i="74"/>
  <c r="E35" i="74"/>
  <c r="E30" i="74"/>
  <c r="E37" i="74"/>
  <c r="E32" i="120"/>
  <c r="E39" i="74"/>
  <c r="E27" i="74"/>
  <c r="E34" i="74"/>
  <c r="E26" i="74"/>
  <c r="E33" i="74"/>
  <c r="E38" i="74"/>
  <c r="E31" i="74"/>
  <c r="E25" i="74"/>
  <c r="E32" i="74"/>
  <c r="K35" i="69" a="1"/>
  <c r="K35" i="69" s="1"/>
  <c r="D26" i="69"/>
  <c r="D31" i="69"/>
  <c r="K37" i="69" a="1"/>
  <c r="K37" i="69" s="1"/>
  <c r="L27" i="69" a="1"/>
  <c r="L27" i="69" s="1"/>
  <c r="K34" i="69" a="1"/>
  <c r="K34" i="69" s="1"/>
  <c r="I31" i="69" a="1"/>
  <c r="I31" i="69" s="1"/>
  <c r="H36" i="69" a="1"/>
  <c r="H36" i="69" s="1"/>
  <c r="J28" i="69" a="1"/>
  <c r="J28" i="69" s="1"/>
  <c r="J39" i="69" a="1"/>
  <c r="J39" i="69" s="1"/>
  <c r="I39" i="69" a="1"/>
  <c r="I39" i="69" s="1"/>
  <c r="H39" i="69" a="1"/>
  <c r="H39" i="69" s="1"/>
  <c r="H37" i="69" a="1"/>
  <c r="H37" i="69" s="1"/>
  <c r="G30" i="69" a="1"/>
  <c r="G30" i="69" s="1"/>
  <c r="I37" i="69" a="1"/>
  <c r="I37" i="69" s="1"/>
  <c r="J27" i="69" a="1"/>
  <c r="J27" i="69" s="1"/>
  <c r="J37" i="69" a="1"/>
  <c r="J37" i="69" s="1"/>
  <c r="H38" i="69" a="1"/>
  <c r="H38" i="69" s="1"/>
  <c r="I38" i="69" a="1"/>
  <c r="I38" i="69" s="1"/>
  <c r="J32" i="69" a="1"/>
  <c r="J32" i="69" s="1"/>
  <c r="I29" i="69" a="1"/>
  <c r="I29" i="69" s="1"/>
  <c r="J38" i="69" a="1"/>
  <c r="J38" i="69" s="1"/>
  <c r="L28" i="69" a="1"/>
  <c r="L28" i="69" s="1"/>
  <c r="L30" i="69" a="1"/>
  <c r="L30" i="69" s="1"/>
  <c r="L25" i="69" a="1"/>
  <c r="L25" i="69" s="1"/>
  <c r="K25" i="69" a="1"/>
  <c r="K25" i="69" s="1"/>
  <c r="L31" i="69" a="1"/>
  <c r="L31" i="69" s="1"/>
  <c r="K31" i="69" a="1"/>
  <c r="K31" i="69" s="1"/>
  <c r="G36" i="69" a="1"/>
  <c r="G36" i="69" s="1"/>
  <c r="G29" i="69" a="1"/>
  <c r="G29" i="69" s="1"/>
  <c r="I27" i="69" a="1"/>
  <c r="I27" i="69" s="1"/>
  <c r="H31" i="69" a="1"/>
  <c r="H31" i="69" s="1"/>
  <c r="I36" i="69" a="1"/>
  <c r="I36" i="69" s="1"/>
  <c r="H28" i="69" a="1"/>
  <c r="H28" i="69" s="1"/>
  <c r="L35" i="69" a="1"/>
  <c r="L35" i="69" s="1"/>
  <c r="J36" i="69" a="1"/>
  <c r="J36" i="69" s="1"/>
  <c r="G31" i="69" a="1"/>
  <c r="G31" i="69" s="1"/>
  <c r="I28" i="69" a="1"/>
  <c r="I28" i="69" s="1"/>
  <c r="J31" i="69" a="1"/>
  <c r="J31" i="69" s="1"/>
  <c r="G32" i="69" a="1"/>
  <c r="G32" i="69" s="1"/>
  <c r="H32" i="69" a="1"/>
  <c r="H32" i="69" s="1"/>
  <c r="L36" i="69" a="1"/>
  <c r="L36" i="69" s="1"/>
  <c r="G34" i="69" a="1"/>
  <c r="G34" i="69" s="1"/>
  <c r="H29" i="69" a="1"/>
  <c r="H29" i="69" s="1"/>
  <c r="L37" i="69" a="1"/>
  <c r="L37" i="69" s="1"/>
  <c r="G37" i="69" a="1"/>
  <c r="G37" i="69" s="1"/>
  <c r="H34" i="69" a="1"/>
  <c r="H34" i="69" s="1"/>
  <c r="L38" i="69" a="1"/>
  <c r="L38" i="69" s="1"/>
  <c r="I32" i="69" a="1"/>
  <c r="I32" i="69" s="1"/>
  <c r="I34" i="69" a="1"/>
  <c r="I34" i="69" s="1"/>
  <c r="L39" i="69" a="1"/>
  <c r="L39" i="69" s="1"/>
  <c r="G38" i="69" a="1"/>
  <c r="G38" i="69" s="1"/>
  <c r="J34" i="69" a="1"/>
  <c r="J34" i="69" s="1"/>
  <c r="J29" i="69" a="1"/>
  <c r="J29" i="69" s="1"/>
  <c r="D38" i="69"/>
  <c r="K38" i="69" s="1" a="1"/>
  <c r="K38" i="69" s="1"/>
  <c r="G39" i="69" a="1"/>
  <c r="G39" i="69" s="1"/>
  <c r="G35" i="69" a="1"/>
  <c r="G35" i="69" s="1"/>
  <c r="G27" i="69" a="1"/>
  <c r="G27" i="69" s="1"/>
  <c r="H30" i="69" a="1"/>
  <c r="H30" i="69" s="1"/>
  <c r="D39" i="69"/>
  <c r="K39" i="69" s="1" a="1"/>
  <c r="K39" i="69" s="1"/>
  <c r="H35" i="69" a="1"/>
  <c r="H35" i="69" s="1"/>
  <c r="I30" i="69" a="1"/>
  <c r="I30" i="69" s="1"/>
  <c r="K26" i="69" a="1"/>
  <c r="K26" i="69" s="1"/>
  <c r="K33" i="69" a="1"/>
  <c r="K33" i="69" s="1"/>
  <c r="I35" i="69" a="1"/>
  <c r="I35" i="69" s="1"/>
  <c r="G28" i="69" a="1"/>
  <c r="G28" i="69" s="1"/>
  <c r="J30" i="69" a="1"/>
  <c r="J30" i="69" s="1"/>
  <c r="J35" i="69" a="1"/>
  <c r="J35" i="69" s="1"/>
  <c r="H27" i="69" a="1"/>
  <c r="H27" i="69" s="1"/>
  <c r="E33" i="69"/>
  <c r="G33" i="69" s="1" a="1"/>
  <c r="G33" i="69" s="1"/>
  <c r="E25" i="69"/>
  <c r="E26" i="69"/>
  <c r="H26" i="69" s="1" a="1"/>
  <c r="H26" i="69" s="1"/>
  <c r="E7" i="69"/>
  <c r="D30" i="69"/>
  <c r="K30" i="69" s="1" a="1"/>
  <c r="K30" i="69" s="1"/>
  <c r="D42" i="69"/>
  <c r="D29" i="69"/>
  <c r="K29" i="69" s="1" a="1"/>
  <c r="K29" i="69" s="1"/>
  <c r="D28" i="69"/>
  <c r="K28" i="69" s="1" a="1"/>
  <c r="K28" i="69" s="1"/>
  <c r="D36" i="69"/>
  <c r="K36" i="69" s="1" a="1"/>
  <c r="K36" i="69" s="1"/>
  <c r="D32" i="69"/>
  <c r="K32" i="69" s="1" a="1"/>
  <c r="K32" i="69" s="1"/>
  <c r="J38" i="74" l="1"/>
  <c r="I38" i="74"/>
  <c r="H38" i="74"/>
  <c r="G38" i="74"/>
  <c r="I30" i="74"/>
  <c r="G30" i="74"/>
  <c r="J30" i="74"/>
  <c r="H30" i="74"/>
  <c r="G33" i="74"/>
  <c r="H33" i="74"/>
  <c r="I33" i="74"/>
  <c r="J33" i="74"/>
  <c r="J26" i="74"/>
  <c r="H26" i="74"/>
  <c r="I26" i="74"/>
  <c r="G26" i="74"/>
  <c r="J28" i="74"/>
  <c r="H28" i="74"/>
  <c r="I28" i="74"/>
  <c r="G28" i="74"/>
  <c r="G37" i="74"/>
  <c r="J37" i="74"/>
  <c r="I37" i="74"/>
  <c r="H37" i="74"/>
  <c r="J35" i="74"/>
  <c r="I35" i="74"/>
  <c r="H35" i="74"/>
  <c r="G35" i="74"/>
  <c r="J34" i="74"/>
  <c r="I34" i="74"/>
  <c r="H34" i="74"/>
  <c r="G34" i="74"/>
  <c r="I36" i="74"/>
  <c r="H36" i="74"/>
  <c r="G36" i="74"/>
  <c r="J36" i="74"/>
  <c r="I31" i="74"/>
  <c r="G31" i="74"/>
  <c r="H31" i="74"/>
  <c r="J31" i="74"/>
  <c r="J27" i="74"/>
  <c r="H27" i="74"/>
  <c r="I27" i="74"/>
  <c r="G27" i="74"/>
  <c r="J29" i="74"/>
  <c r="H29" i="74"/>
  <c r="I29" i="74"/>
  <c r="G29" i="74"/>
  <c r="J32" i="74"/>
  <c r="I32" i="74"/>
  <c r="H32" i="74"/>
  <c r="G32" i="74"/>
  <c r="G25" i="74"/>
  <c r="J25" i="74"/>
  <c r="H25" i="74"/>
  <c r="I25" i="74"/>
  <c r="J39" i="74"/>
  <c r="I39" i="74"/>
  <c r="H39" i="74"/>
  <c r="G39" i="74"/>
  <c r="G40" i="74"/>
  <c r="J40" i="74"/>
  <c r="I40" i="74"/>
  <c r="H40" i="74"/>
  <c r="M34" i="69" a="1"/>
  <c r="M34" i="69" s="1"/>
  <c r="I26" i="69" a="1"/>
  <c r="I26" i="69" s="1"/>
  <c r="G25" i="69" a="1"/>
  <c r="G25" i="69" s="1"/>
  <c r="H25" i="69" a="1"/>
  <c r="H25" i="69" s="1"/>
  <c r="I25" i="69" a="1"/>
  <c r="I25" i="69" s="1"/>
  <c r="N25" i="69" s="1" a="1"/>
  <c r="N25" i="69" s="1"/>
  <c r="H33" i="69" a="1"/>
  <c r="H33" i="69" s="1"/>
  <c r="M33" i="69" s="1" a="1"/>
  <c r="M33" i="69" s="1"/>
  <c r="I33" i="69" a="1"/>
  <c r="I33" i="69" s="1"/>
  <c r="J33" i="69" a="1"/>
  <c r="J33" i="69" s="1"/>
  <c r="J25" i="69" a="1"/>
  <c r="J25" i="69" s="1"/>
  <c r="G26" i="69" a="1"/>
  <c r="G26" i="69" s="1"/>
  <c r="J26" i="69" a="1"/>
  <c r="J26" i="69" s="1"/>
  <c r="N34" i="69" a="1"/>
  <c r="N34" i="69" s="1"/>
  <c r="M38" i="69" a="1"/>
  <c r="M38" i="69" s="1"/>
  <c r="O37" i="69" a="1"/>
  <c r="O37" i="69" s="1"/>
  <c r="O34" i="69" a="1"/>
  <c r="O34" i="69" s="1"/>
  <c r="M37" i="69" a="1"/>
  <c r="M37" i="69" s="1"/>
  <c r="N37" i="69" a="1"/>
  <c r="N37" i="69" s="1"/>
  <c r="N38" i="69" a="1"/>
  <c r="N38" i="69" s="1"/>
  <c r="O38" i="69" a="1"/>
  <c r="O38" i="69" s="1"/>
  <c r="O27" i="69" a="1"/>
  <c r="O27" i="69" s="1"/>
  <c r="N35" i="69" a="1"/>
  <c r="N35" i="69" s="1"/>
  <c r="O31" i="69" a="1"/>
  <c r="O31" i="69" s="1"/>
  <c r="O32" i="69" a="1"/>
  <c r="O32" i="69" s="1"/>
  <c r="M32" i="69" a="1"/>
  <c r="M32" i="69" s="1"/>
  <c r="N32" i="69" a="1"/>
  <c r="N32" i="69" s="1"/>
  <c r="M35" i="69" a="1"/>
  <c r="M35" i="69" s="1"/>
  <c r="M36" i="69" a="1"/>
  <c r="M36" i="69" s="1"/>
  <c r="N36" i="69" a="1"/>
  <c r="N36" i="69" s="1"/>
  <c r="O36" i="69" a="1"/>
  <c r="O36" i="69" s="1"/>
  <c r="M27" i="69" a="1"/>
  <c r="M27" i="69" s="1"/>
  <c r="O35" i="69" a="1"/>
  <c r="O35" i="69" s="1"/>
  <c r="M30" i="69" a="1"/>
  <c r="M30" i="69" s="1"/>
  <c r="O30" i="69" a="1"/>
  <c r="O30" i="69" s="1"/>
  <c r="N30" i="69" a="1"/>
  <c r="N30" i="69" s="1"/>
  <c r="M31" i="69" a="1"/>
  <c r="M31" i="69" s="1"/>
  <c r="N27" i="69" a="1"/>
  <c r="N27" i="69" s="1"/>
  <c r="M28" i="69" a="1"/>
  <c r="M28" i="69" s="1"/>
  <c r="N28" i="69" a="1"/>
  <c r="N28" i="69" s="1"/>
  <c r="O28" i="69" a="1"/>
  <c r="O28" i="69" s="1"/>
  <c r="N31" i="69" a="1"/>
  <c r="N31" i="69" s="1"/>
  <c r="N29" i="69" a="1"/>
  <c r="N29" i="69" s="1"/>
  <c r="O29" i="69" a="1"/>
  <c r="O29" i="69" s="1"/>
  <c r="M29" i="69" a="1"/>
  <c r="M29" i="69" s="1"/>
  <c r="O29" i="120" l="1" a="1"/>
  <c r="O29" i="120" s="1"/>
  <c r="N29" i="120" a="1"/>
  <c r="N29" i="120" s="1"/>
  <c r="M29" i="120" a="1"/>
  <c r="M29" i="120" s="1"/>
  <c r="M29" i="74" a="1"/>
  <c r="M29" i="74" s="1"/>
  <c r="O29" i="74" a="1"/>
  <c r="O29" i="74" s="1"/>
  <c r="N29" i="74" a="1"/>
  <c r="N29" i="74" s="1"/>
  <c r="N34" i="74" a="1"/>
  <c r="N34" i="74" s="1"/>
  <c r="M34" i="74" a="1"/>
  <c r="M34" i="74" s="1"/>
  <c r="O34" i="74" a="1"/>
  <c r="O34" i="74" s="1"/>
  <c r="O28" i="120" a="1"/>
  <c r="O28" i="120" s="1"/>
  <c r="N28" i="120" a="1"/>
  <c r="N28" i="120" s="1"/>
  <c r="M28" i="120" a="1"/>
  <c r="M28" i="120" s="1"/>
  <c r="N40" i="74" a="1"/>
  <c r="N40" i="74" s="1"/>
  <c r="M40" i="74" a="1"/>
  <c r="M40" i="74" s="1"/>
  <c r="O40" i="74" a="1"/>
  <c r="O40" i="74" s="1"/>
  <c r="M27" i="120" a="1"/>
  <c r="M27" i="120" s="1"/>
  <c r="N27" i="120" a="1"/>
  <c r="N27" i="120" s="1"/>
  <c r="O27" i="120" a="1"/>
  <c r="O27" i="120" s="1"/>
  <c r="M39" i="74" a="1"/>
  <c r="M39" i="74" s="1"/>
  <c r="N39" i="74" a="1"/>
  <c r="N39" i="74" s="1"/>
  <c r="O39" i="74" a="1"/>
  <c r="O39" i="74" s="1"/>
  <c r="N35" i="74" a="1"/>
  <c r="N35" i="74" s="1"/>
  <c r="O35" i="74" a="1"/>
  <c r="O35" i="74" s="1"/>
  <c r="M35" i="74" a="1"/>
  <c r="M35" i="74" s="1"/>
  <c r="O37" i="74" a="1"/>
  <c r="O37" i="74" s="1"/>
  <c r="M37" i="74" a="1"/>
  <c r="M37" i="74" s="1"/>
  <c r="N37" i="74" a="1"/>
  <c r="N37" i="74" s="1"/>
  <c r="M30" i="120" a="1"/>
  <c r="M30" i="120" s="1"/>
  <c r="O30" i="120" a="1"/>
  <c r="O30" i="120" s="1"/>
  <c r="N30" i="120" a="1"/>
  <c r="N30" i="120" s="1"/>
  <c r="M27" i="74" a="1"/>
  <c r="M27" i="74" s="1"/>
  <c r="N27" i="74" a="1"/>
  <c r="N27" i="74" s="1"/>
  <c r="O27" i="74" a="1"/>
  <c r="O27" i="74" s="1"/>
  <c r="O33" i="120" a="1"/>
  <c r="O33" i="120" s="1"/>
  <c r="N33" i="120" a="1"/>
  <c r="N33" i="120" s="1"/>
  <c r="M33" i="120" a="1"/>
  <c r="M33" i="120" s="1"/>
  <c r="M28" i="74" a="1"/>
  <c r="M28" i="74" s="1"/>
  <c r="N28" i="74" a="1"/>
  <c r="N28" i="74" s="1"/>
  <c r="O28" i="74" a="1"/>
  <c r="O28" i="74" s="1"/>
  <c r="M31" i="120" a="1"/>
  <c r="M31" i="120" s="1"/>
  <c r="O31" i="120" a="1"/>
  <c r="O31" i="120" s="1"/>
  <c r="N31" i="120" a="1"/>
  <c r="N31" i="120" s="1"/>
  <c r="O33" i="74" a="1"/>
  <c r="O33" i="74" s="1"/>
  <c r="N33" i="74" a="1"/>
  <c r="N33" i="74" s="1"/>
  <c r="M33" i="74" a="1"/>
  <c r="M33" i="74" s="1"/>
  <c r="O25" i="120" a="1"/>
  <c r="O25" i="120" s="1"/>
  <c r="N25" i="120" a="1"/>
  <c r="N25" i="120" s="1"/>
  <c r="M25" i="120" a="1"/>
  <c r="M25" i="120" s="1"/>
  <c r="N32" i="120" a="1"/>
  <c r="N32" i="120" s="1"/>
  <c r="M32" i="120" a="1"/>
  <c r="M32" i="120" s="1"/>
  <c r="O32" i="120" a="1"/>
  <c r="O32" i="120" s="1"/>
  <c r="N31" i="74" a="1"/>
  <c r="N31" i="74" s="1"/>
  <c r="M31" i="74" a="1"/>
  <c r="M31" i="74" s="1"/>
  <c r="O31" i="74" a="1"/>
  <c r="O31" i="74" s="1"/>
  <c r="M26" i="74" a="1"/>
  <c r="M26" i="74" s="1"/>
  <c r="O26" i="74" a="1"/>
  <c r="O26" i="74" s="1"/>
  <c r="N26" i="74" a="1"/>
  <c r="N26" i="74" s="1"/>
  <c r="N30" i="74" a="1"/>
  <c r="N30" i="74" s="1"/>
  <c r="O30" i="74" a="1"/>
  <c r="O30" i="74" s="1"/>
  <c r="M30" i="74" a="1"/>
  <c r="M30" i="74" s="1"/>
  <c r="O38" i="74" a="1"/>
  <c r="O38" i="74" s="1"/>
  <c r="M38" i="74" a="1"/>
  <c r="M38" i="74" s="1"/>
  <c r="N38" i="74" a="1"/>
  <c r="N38" i="74" s="1"/>
  <c r="N25" i="74" a="1"/>
  <c r="N25" i="74" s="1"/>
  <c r="M25" i="74" a="1"/>
  <c r="M25" i="74" s="1"/>
  <c r="O25" i="74" a="1"/>
  <c r="O25" i="74" s="1"/>
  <c r="M32" i="74" a="1"/>
  <c r="M32" i="74" s="1"/>
  <c r="O32" i="74" a="1"/>
  <c r="O32" i="74" s="1"/>
  <c r="N32" i="74" a="1"/>
  <c r="N32" i="74" s="1"/>
  <c r="O26" i="120" a="1"/>
  <c r="O26" i="120" s="1"/>
  <c r="N26" i="120" a="1"/>
  <c r="N26" i="120" s="1"/>
  <c r="M26" i="120" a="1"/>
  <c r="M26" i="120" s="1"/>
  <c r="O36" i="74" a="1"/>
  <c r="O36" i="74" s="1"/>
  <c r="N36" i="74" a="1"/>
  <c r="N36" i="74" s="1"/>
  <c r="M36" i="74" a="1"/>
  <c r="M36" i="74" s="1"/>
  <c r="M25" i="69" a="1"/>
  <c r="M25" i="69" s="1"/>
  <c r="O25" i="69" a="1"/>
  <c r="O25" i="69" s="1"/>
  <c r="N33" i="69" a="1"/>
  <c r="N33" i="69" s="1"/>
  <c r="E50" i="69" s="1"/>
  <c r="O33" i="69" a="1"/>
  <c r="O33" i="69" s="1"/>
  <c r="E51" i="69" s="1"/>
  <c r="N26" i="69" a="1"/>
  <c r="N26" i="69" s="1"/>
  <c r="E44" i="69" s="1"/>
  <c r="M26" i="69" a="1"/>
  <c r="M26" i="69" s="1"/>
  <c r="O26" i="69" a="1"/>
  <c r="O26" i="69" s="1"/>
  <c r="O39" i="69" a="1"/>
  <c r="O39" i="69" s="1"/>
  <c r="E63" i="69" s="1"/>
  <c r="N39" i="69" a="1"/>
  <c r="N39" i="69" s="1"/>
  <c r="E62" i="69" s="1"/>
  <c r="M39" i="69" a="1"/>
  <c r="M39" i="69" s="1"/>
  <c r="E61" i="69" s="1"/>
  <c r="E56" i="69"/>
  <c r="E57" i="69"/>
  <c r="E55" i="69"/>
  <c r="E49" i="69"/>
  <c r="E36" i="120" l="1"/>
  <c r="E15" i="13" s="1"/>
  <c r="F15" i="13" s="1"/>
  <c r="E37" i="120"/>
  <c r="E16" i="13" s="1"/>
  <c r="F16" i="13" s="1"/>
  <c r="E38" i="120"/>
  <c r="E17" i="13" s="1"/>
  <c r="F17" i="13" s="1"/>
  <c r="E68" i="69"/>
  <c r="E10" i="13" s="1"/>
  <c r="F10" i="13" s="1"/>
  <c r="E45" i="74"/>
  <c r="E43" i="74"/>
  <c r="E44" i="74"/>
  <c r="E49" i="74"/>
  <c r="E50" i="74"/>
  <c r="E48" i="74"/>
  <c r="E43" i="69"/>
  <c r="E67" i="69" s="1"/>
  <c r="E9" i="13" s="1"/>
  <c r="E45" i="69"/>
  <c r="E69" i="69" s="1"/>
  <c r="E11" i="13" s="1"/>
  <c r="F11" i="13" s="1"/>
  <c r="F9" i="13" l="1"/>
  <c r="E54" i="74"/>
  <c r="E13" i="13" s="1"/>
  <c r="F13" i="13" s="1"/>
  <c r="E53" i="74"/>
  <c r="E12" i="13" s="1"/>
  <c r="F12" i="13" s="1"/>
  <c r="E55" i="74"/>
  <c r="E14" i="13" s="1"/>
  <c r="F14" i="13" s="1"/>
  <c r="E18" i="13" l="1"/>
  <c r="F18" i="13"/>
  <c r="A17" i="118" l="1"/>
  <c r="A5" i="118"/>
  <c r="A4" i="118"/>
  <c r="A3" i="118"/>
  <c r="A37" i="69" l="1"/>
  <c r="A83" i="69"/>
  <c r="A76" i="74"/>
  <c r="A38" i="74"/>
  <c r="E259" i="11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0" i="111" l="1"/>
  <c r="H51" i="111"/>
  <c r="H49" i="111"/>
  <c r="H53" i="111"/>
  <c r="H48" i="111"/>
  <c r="H54" i="111"/>
  <c r="H52" i="1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<sst xmlns="http://schemas.openxmlformats.org/spreadsheetml/2006/main" count="334" uniqueCount="187">
  <si>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</si>
  <si>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</si>
  <si>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</si>
  <si>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</si>
  <si>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</si>
  <si>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</si>
  <si>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</si>
  <si>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</si>
  <si>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</si>
  <si>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</si>
  <si>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</si>
  <si>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</si>
  <si>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</si>
  <si>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</si>
  <si>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</si>
  <si>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</si>
  <si>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</si>
  <si>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</si>
  <si>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</si>
  <si>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</si>
  <si>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</si>
  <si>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</si>
  <si>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</si>
  <si>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</si>
  <si>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</si>
  <si>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</si>
  <si>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</si>
  <si>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</si>
  <si>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</si>
  <si>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</si>
  <si>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</si>
  <si>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</si>
  <si>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</si>
  <si>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</si>
  <si>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</si>
  <si>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</si>
  <si>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</si>
  <si>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</si>
  <si>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</si>
  <si>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</si>
  <si>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</si>
  <si>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</si>
  <si>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</si>
  <si>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</si>
  <si>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</si>
  <si>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</si>
  <si>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</si>
  <si>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</si>
  <si>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</si>
  <si>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</si>
  <si>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</si>
  <si>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</si>
  <si>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</si>
  <si>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</si>
  <si>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</si>
  <si>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</si>
  <si>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</si>
  <si>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</si>
  <si>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</si>
  <si>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</si>
  <si>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</si>
  <si>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</si>
  <si>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</si>
  <si>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</si>
  <si>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</si>
  <si>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</si>
  <si>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</si>
  <si>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</si>
  <si>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</si>
  <si>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</si>
  <si>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</si>
  <si>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</si>
  <si>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</si>
  <si>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</si>
  <si>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</si>
  <si>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</si>
  <si>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</si>
  <si>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</si>
  <si>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</si>
  <si>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</si>
  <si>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</si>
  <si>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</si>
  <si>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</si>
  <si>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</si>
  <si>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</si>
  <si>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</si>
  <si>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</si>
  <si>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</si>
  <si>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</si>
  <si>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</si>
  <si>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</si>
  <si>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</si>
  <si>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</si>
  <si>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</si>
  <si>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</si>
  <si>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</si>
  <si>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</si>
  <si>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</si>
  <si>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</si>
  <si>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</si>
  <si>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</si>
  <si>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</si>
  <si>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</si>
  <si>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</si>
  <si>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</si>
  <si>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</si>
  <si>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</si>
  <si>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</si>
  <si>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</si>
  <si>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</si>
  <si>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</si>
  <si>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</si>
  <si>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</si>
  <si>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</si>
  <si>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</si>
  <si>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</si>
  <si>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</si>
  <si>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</si>
  <si>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</si>
  <si>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</si>
  <si>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</si>
  <si>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</si>
  <si>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Scope 3 Emission Factors for Natural Gas (kg CO2 - e / GJ) Metro</t>
  </si>
  <si>
    <t>Scope 3 Emission Factors for Natural Gas (kg CO2 - e / GJ) Non - Metro</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</si>
  <si>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</si>
  <si>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</si>
  <si>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</si>
  <si>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</si>
  <si>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</si>
  <si>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</si>
  <si>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</si>
  <si>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</si>
  <si>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</si>
  <si>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</si>
  <si>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</si>
  <si>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</si>
  <si>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</si>
  <si>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</si>
  <si>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</si>
  <si>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</si>
  <si>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</si>
  <si>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</si>
  <si>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</si>
  <si>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</si>
  <si>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</si>
  <si>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</si>
  <si>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General use</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</si>
  <si>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</si>
  <si>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</si>
  <si>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</si>
  <si>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</si>
  <si>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</si>
  <si>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</si>
  <si>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</si>
  <si>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</si>
  <si>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</si>
  <si>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</si>
  <si>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</si>
  <si>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</si>
  <si>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</si>
  <si>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</si>
  <si>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</si>
  <si>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</si>
  <si>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</si>
  <si>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</si>
  <si>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</si>
  <si>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</si>
  <si>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</si>
  <si>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</si>
  <si>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</si>
  <si>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</si>
  <si>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</si>
  <si>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Emissions for general use fuel combustion</t>
  </si>
  <si>
    <t>8.1.1.1-2 Transport fuel: CO2</t>
  </si>
  <si>
    <t>8.1.1.1-2 Transport fuel: CH4</t>
  </si>
  <si>
    <t>8.1.1.1-2 Transport fuel: N2O</t>
  </si>
  <si>
    <t>8.2.1.1-2 Stationary fuel: CO2</t>
  </si>
  <si>
    <t>8.2.1.1-2 Stationary fuel: CH4</t>
  </si>
  <si>
    <t>8.2.1.1-2 Stationary fuel: N2O</t>
  </si>
  <si>
    <t>8.X General fuel: CO2</t>
  </si>
  <si>
    <t>8.X General fuel: CH4</t>
  </si>
  <si>
    <t>8.X General fuel: N2O</t>
  </si>
  <si>
    <t>Total scope 1 - All stationary fuel use</t>
  </si>
  <si>
    <t>Total sope 1 - All transport fuel combustion</t>
  </si>
  <si>
    <t>8: Fuel use: Overview</t>
  </si>
  <si>
    <t>8: Fuel use: Results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</si>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</sst>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cellStyleXfs>
  <cellXfs count="114">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0" xfId="0" applyNumberFormat="1" applyFont="1" applyFill="1" applyAlignment="1">
      <alignment vertical="center"/>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68" fontId="26" fillId="4" borderId="2" xfId="46" applyNumberFormat="1">
      <alignment horizontal="center"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1"/>
      <tableStyleElement type="headerRow" dxfId="120"/>
      <tableStyleElement type="totalRow" dxfId="119"/>
      <tableStyleElement type="firstColumn" dxfId="118"/>
      <tableStyleElement type="firstRowStripe" dxfId="117"/>
      <tableStyleElement type="secondRowStripe" dxfId="116"/>
    </tableStyle>
    <tableStyle name="Equation table" pivot="0" count="6" xr9:uid="{B247698E-E41D-4CCD-AA0A-C14817E9DE65}">
      <tableStyleElement type="wholeTable" dxfId="115"/>
      <tableStyleElement type="headerRow" dxfId="114"/>
      <tableStyleElement type="totalRow" dxfId="113"/>
      <tableStyleElement type="firstColumn" dxfId="112"/>
      <tableStyleElement type="firstRowStripe" dxfId="111"/>
      <tableStyleElement type="secondRowStripe" dxfId="11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5.2.1.1-2 Organic Fert N2O'!D5"/><Relationship Id="rId1" Type="http://schemas.openxmlformats.org/officeDocument/2006/relationships/hyperlink" Target="#'5.1.1.3-4 Inorganic fert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1"/>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oneCellAnchor>
    <xdr:from>
      <xdr:col>11</xdr:col>
      <xdr:colOff>19050</xdr:colOff>
      <xdr:row>7</xdr:row>
      <xdr:rowOff>3136</xdr:rowOff>
    </xdr:from>
    <xdr:ext cx="1838325" cy="298800"/>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8.X General fuel use</a:t>
          </a:r>
        </a:p>
      </xdr:txBody>
    </xdr:sp>
    <xdr:clientData/>
  </xdr:oneCellAnchor>
  <xdr:twoCellAnchor>
    <xdr:from>
      <xdr:col>11</xdr:col>
      <xdr:colOff>194829</xdr:colOff>
      <xdr:row>9</xdr:row>
      <xdr:rowOff>122958</xdr:rowOff>
    </xdr:from>
    <xdr:to>
      <xdr:col>13</xdr:col>
      <xdr:colOff>487629</xdr:colOff>
      <xdr:row>12</xdr:row>
      <xdr:rowOff>100008</xdr:rowOff>
    </xdr:to>
    <xdr:sp macro="" textlink="'8.X.1.1-2 General use fuel'!D5">
      <xdr:nvSpPr>
        <xdr:cNvPr id="26" name="TextBox 25">
          <a:hlinkClick xmlns:r="http://schemas.openxmlformats.org/officeDocument/2006/relationships" r:id="rId2"/>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CE9035-6D0C-4731-B79E-8FBC74FD3A4D}" type="TxLink">
            <a:rPr lang="en-US" sz="1000" b="0" i="0" u="none" strike="noStrike">
              <a:solidFill>
                <a:srgbClr val="7030A0"/>
              </a:solidFill>
              <a:latin typeface="Times New Roman"/>
              <a:cs typeface="Times New Roman"/>
            </a:rPr>
            <a:pPr algn="ctr"/>
            <a:t>Emissions for each GHG from the generic combustion of fuels</a:t>
          </a:fld>
          <a:endParaRPr lang="en-AU" sz="1000">
            <a:solidFill>
              <a:srgbClr val="7030A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2</xdr:col>
      <xdr:colOff>301902</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64102"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64102"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𝐸_𝑔=∑10_𝑡▒∑10_𝑞▒(𝑄_(𝑇𝑟𝑎𝑛𝑠,𝑡𝑞)×𝐸𝐶_(𝑇𝑟𝑎𝑛𝑠,𝑞)×𝐸𝐹_(𝑇𝑟𝑎𝑛𝑠,𝑞,1,𝑡𝑞𝑔)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32960</xdr:colOff>
      <xdr:row>8</xdr:row>
      <xdr:rowOff>91304</xdr:rowOff>
    </xdr:from>
    <xdr:ext cx="3042948"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AE9538-BBEC-4C25-B4BB-9BD3F80EB5DC}"/>
                </a:ext>
              </a:extLst>
            </xdr:cNvPr>
            <xdr:cNvSpPr txBox="1"/>
          </xdr:nvSpPr>
          <xdr:spPr>
            <a:xfrm>
              <a:off x="2711166" y="2198010"/>
              <a:ext cx="3042948"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AE9538-BBEC-4C25-B4BB-9BD3F80EB5DC}"/>
                </a:ext>
              </a:extLst>
            </xdr:cNvPr>
            <xdr:cNvSpPr txBox="1"/>
          </xdr:nvSpPr>
          <xdr:spPr>
            <a:xfrm>
              <a:off x="2711166" y="2198010"/>
              <a:ext cx="3042948"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𝐸_𝑔=∑10_𝑡▒∑10_𝑞▒(𝑄_(𝐺𝐶,𝑞)×𝐸𝐶_(𝐺𝐶,𝑞)×𝐸𝐹_(𝐺𝐶,1,𝑞𝑔)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0:I22" totalsRowDxfId="109" headerRowCellStyle="Input table column header">
  <autoFilter ref="D10:I22"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9540E705-999C-466B-A6B4-24C60E9153AE}" name="Fuel use (select)" totalsRowFunction="average" totalsRowDxfId="108" dataCellStyle="Input select" totalsRowCellStyle="Input select"/>
    <tableColumn id="3" xr3:uid="{30909C53-73F3-46FE-93B7-F60E126CD84F}" name="Fuel type (select)" totalsRowDxfId="107" dataCellStyle="Input select" totalsRowCellStyle="Input select"/>
    <tableColumn id="4" xr3:uid="{9DFFE0DC-C289-47FB-8F0C-2D2F480EEE4C}" name="Amount purchased" totalsRowDxfId="106" totalsRowCellStyle="Content bold"/>
    <tableColumn id="6" xr3:uid="{29AE264C-132E-48F6-8BA3-262EAF9E4687}" name="Amount unit" totalsRowDxfId="105" dataCellStyle="Input number general calculated" totalsRowCellStyle="Input text calculated"/>
    <tableColumn id="5" xr3:uid="{B9F0EEB0-BF4E-4AB9-8B4B-25BBC232DE33}" name="Percent consumed" totalsRowDxfId="104" totalsRowCellStyle="Input percent">
      <calculatedColumnFormula>1</calculatedColumnFormula>
    </tableColumn>
    <tableColumn id="1" xr3:uid="{AE1D2D8C-400E-46F5-850E-2BBEDF1657F8}" name="Amount consumed" totalsRowFunction="custom" totalsRowDxfId="103" dataCellStyle="Input number general calculated" totalsRowCellStyle="Input number 3 decimal places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2" dataDxfId="1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0">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99">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8">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7">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6">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5">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4">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2" dataDxfId="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0">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89">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8">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7">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6">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5">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4">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3">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J139" totalsRowShown="0" headerRowDxfId="81" dataDxfId="80">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32D4BA3-A3CE-460F-A250-E2A6690A9C59}" name="Generators" dataDxfId="79"/>
    <tableColumn id="2" xr3:uid="{6E069153-6950-4C63-9ADE-F4A2F0DF67AF}" name="Power standalone machinery or heating" dataDxfId="78"/>
    <tableColumn id="3" xr3:uid="{3917BF44-833D-42F1-B3B3-C62FEF76A321}" name="Aviation" dataDxfId="77"/>
    <tableColumn id="5" xr3:uid="{4F35E2A0-90CD-4AC1-B52F-870485779A73}" name="Cars and light commercial vehicles" dataDxfId="76"/>
    <tableColumn id="7" xr3:uid="{1651A844-7E2B-435C-A7B4-4B0FFD5577CE}" name="Off-road Agriculture and forestry equipment" dataDxfId="75" dataCellStyle="Content bold"/>
    <tableColumn id="8" xr3:uid="{FCED622E-3FDD-4E8D-B2D1-E4C99EF7323A}" name="Vessels" dataDxfId="74" dataCellStyle="Content bold"/>
    <tableColumn id="6" xr3:uid="{1E441AA6-3AB5-4373-8C13-AD2F41D6BA71}" name="General use" dataDxfId="73"/>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2" dataDxfId="71">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0">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69">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68">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7">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6">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5">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4">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3" totalsRowDxfId="62">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1">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Scope 3 Emission Factors for Natural Gas (kg CO2 - e / GJ) Metro" totalsRowDxfId="60">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Scope 3 Emission Factors for Natural Gas (kg CO2 - e / GJ) Non - Metro" totalsRowDxfId="59">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E162" totalsRowShown="0">
  <autoFilter ref="D142:E162" xr:uid="{74386805-E5CF-44F9-982C-CBCADB323E30}">
    <filterColumn colId="0" hiddenButton="1"/>
    <filterColumn colId="1" hiddenButton="1"/>
  </autoFilter>
  <tableColumns count="2">
    <tableColumn id="1" xr3:uid="{792636F9-F5FE-469C-B560-C7E663FA77BA}" name="Fuel type"/>
    <tableColumn id="2" xr3:uid="{529B0AD7-20FC-4E42-A872-AF12092332B1}" name="Unit"/>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8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20" sqref="K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184</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186</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185</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173</v>
      </c>
      <c r="E9" s="65">
        <f>'8.1.1.1-2 Transport fuel'!E67</f>
        <v>0</v>
      </c>
      <c r="F9" s="65">
        <f>E9</f>
        <v>0</v>
      </c>
      <c r="G9" s="33" t="s">
        <v>59</v>
      </c>
      <c r="H9" s="19"/>
    </row>
    <row r="10" spans="1:8" ht="20.100000000000001" customHeight="1" x14ac:dyDescent="0.25">
      <c r="A10" s="16" t="s">
        <v>45</v>
      </c>
      <c r="C10" s="19"/>
      <c r="D10" s="1" t="s">
        <v>174</v>
      </c>
      <c r="E10" s="65">
        <f>'8.1.1.1-2 Transport fuel'!E68</f>
        <v>0</v>
      </c>
      <c r="F10" s="65">
        <f t="shared" ref="F10:F17" si="0">E10</f>
        <v>0</v>
      </c>
      <c r="G10" s="33" t="s">
        <v>59</v>
      </c>
      <c r="H10" s="19"/>
    </row>
    <row r="11" spans="1:8" ht="20.100000000000001" customHeight="1" x14ac:dyDescent="0.25">
      <c r="A11" s="14" t="str">
        <f>HYPERLINK("#'8.1.1.1-2 Transport fuel'!A1", "8.1.1.1-2 Transport fuel")</f>
        <v>8.1.1.1-2 Transport fuel</v>
      </c>
      <c r="C11" s="19"/>
      <c r="D11" s="1" t="s">
        <v>175</v>
      </c>
      <c r="E11" s="65">
        <f>'8.1.1.1-2 Transport fuel'!E69</f>
        <v>0</v>
      </c>
      <c r="F11" s="65">
        <f t="shared" si="0"/>
        <v>0</v>
      </c>
      <c r="G11" s="33" t="s">
        <v>59</v>
      </c>
      <c r="H11" s="19"/>
    </row>
    <row r="12" spans="1:8" ht="20.100000000000001" customHeight="1" x14ac:dyDescent="0.25">
      <c r="A12" s="14" t="str">
        <f>HYPERLINK("#'8.2.1.1-2 Stationary fuel'!A1", "8.2.1.1-2 Stationary fuel")</f>
        <v>8.2.1.1-2 Stationary fuel</v>
      </c>
      <c r="C12" s="19"/>
      <c r="D12" s="1" t="s">
        <v>176</v>
      </c>
      <c r="E12" s="65">
        <f>'8.2.1.1-2 Stationary fuel'!E53</f>
        <v>0</v>
      </c>
      <c r="F12" s="65">
        <f t="shared" si="0"/>
        <v>0</v>
      </c>
      <c r="G12" s="33" t="s">
        <v>59</v>
      </c>
      <c r="H12" s="19"/>
    </row>
    <row r="13" spans="1:8" ht="20.100000000000001" customHeight="1" x14ac:dyDescent="0.25">
      <c r="A13" s="14" t="str">
        <f>HYPERLINK("#'8.X.1.1-2 General use fuel'!A1", "8.X.1.1-2 General use fuel")</f>
        <v>8.X.1.1-2 General use fuel</v>
      </c>
      <c r="C13" s="19"/>
      <c r="D13" s="1" t="s">
        <v>177</v>
      </c>
      <c r="E13" s="65">
        <f>'8.2.1.1-2 Stationary fuel'!E54</f>
        <v>0</v>
      </c>
      <c r="F13" s="65">
        <f t="shared" si="0"/>
        <v>0</v>
      </c>
      <c r="G13" s="33" t="s">
        <v>59</v>
      </c>
      <c r="H13" s="19"/>
    </row>
    <row r="14" spans="1:8" ht="20.100000000000001" customHeight="1" x14ac:dyDescent="0.25">
      <c r="A14" s="14"/>
      <c r="C14" s="19"/>
      <c r="D14" s="1" t="s">
        <v>178</v>
      </c>
      <c r="E14" s="65">
        <f>'8.2.1.1-2 Stationary fuel'!E55</f>
        <v>0</v>
      </c>
      <c r="F14" s="65">
        <f t="shared" si="0"/>
        <v>0</v>
      </c>
      <c r="G14" s="33" t="s">
        <v>59</v>
      </c>
      <c r="H14" s="19"/>
    </row>
    <row r="15" spans="1:8" ht="20.100000000000001" customHeight="1" x14ac:dyDescent="0.25">
      <c r="A15" s="15" t="s">
        <v>2</v>
      </c>
      <c r="C15" s="19"/>
      <c r="D15" s="1" t="s">
        <v>179</v>
      </c>
      <c r="E15" s="65">
        <f>'8.X.1.1-2 General use fuel'!E36</f>
        <v>1.1287170000000002</v>
      </c>
      <c r="F15" s="65">
        <f t="shared" si="0"/>
        <v>1.1287170000000002</v>
      </c>
      <c r="G15" s="33" t="s">
        <v>59</v>
      </c>
      <c r="H15" s="19"/>
    </row>
    <row r="16" spans="1:8" ht="20.100000000000001" customHeight="1" x14ac:dyDescent="0.25">
      <c r="A16" s="14" t="str">
        <f>HYPERLINK("#'Constants - Fuel'!A1", "Constants - Fuel")</f>
        <v>Constants - Fuel</v>
      </c>
      <c r="C16" s="19"/>
      <c r="D16" s="1" t="s">
        <v>180</v>
      </c>
      <c r="E16" s="65">
        <f>'8.X.1.1-2 General use fuel'!E37</f>
        <v>6.8774499999999994E-3</v>
      </c>
      <c r="F16" s="65">
        <f t="shared" si="0"/>
        <v>6.8774499999999994E-3</v>
      </c>
      <c r="G16" s="33" t="s">
        <v>59</v>
      </c>
      <c r="H16" s="19"/>
    </row>
    <row r="17" spans="1:8" ht="20.100000000000001" customHeight="1" x14ac:dyDescent="0.25">
      <c r="A17" s="14" t="str">
        <f>HYPERLINK("#'Constants - Common'!A1", "Constants - Common")</f>
        <v>Constants - Common</v>
      </c>
      <c r="C17" s="19"/>
      <c r="D17" s="1" t="s">
        <v>181</v>
      </c>
      <c r="E17" s="65">
        <f>'8.X.1.1-2 General use fuel'!E38</f>
        <v>1.4673749999999999E-2</v>
      </c>
      <c r="F17" s="65">
        <f t="shared" si="0"/>
        <v>1.4673749999999999E-2</v>
      </c>
      <c r="G17" s="33" t="s">
        <v>59</v>
      </c>
      <c r="H17" s="19"/>
    </row>
    <row r="18" spans="1:8" ht="20.100000000000001" customHeight="1" x14ac:dyDescent="0.3">
      <c r="C18" s="19"/>
      <c r="D18" s="25" t="s">
        <v>55</v>
      </c>
      <c r="E18" s="46">
        <f>SUM(E9:E17)</f>
        <v>1.1502682000000002</v>
      </c>
      <c r="F18" s="46">
        <f>SUM(F9:F17)</f>
        <v>1.1502682000000002</v>
      </c>
      <c r="G18" s="44" t="s">
        <v>59</v>
      </c>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J361"/>
  <sheetViews>
    <sheetView showGridLines="0" tabSelected="1" zoomScale="85" zoomScaleNormal="85" workbookViewId="0">
      <selection activeCell="F36" sqref="F3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9" width="24.85546875" style="1" customWidth="1"/>
    <col min="10" max="10" width="4.7109375" style="1" customWidth="1"/>
    <col min="11" max="11" width="4.7109375" customWidth="1"/>
  </cols>
  <sheetData>
    <row r="1" spans="1:10" s="36" customFormat="1" ht="30" customHeight="1" x14ac:dyDescent="0.35">
      <c r="A1" s="36" t="e" vm="1">
        <v>#VALUE!</v>
      </c>
      <c r="C1" s="36"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108</v>
      </c>
      <c r="E5" s="3"/>
      <c r="F5" s="3"/>
      <c r="G5" s="3"/>
      <c r="H5" s="3"/>
    </row>
    <row r="6" spans="1:10" ht="20.100000000000001" customHeight="1" x14ac:dyDescent="0.25">
      <c r="A6" s="13"/>
      <c r="D6" s="19"/>
      <c r="E6" s="19"/>
      <c r="F6" s="19"/>
      <c r="G6" s="19"/>
      <c r="H6" s="19"/>
      <c r="I6" s="19"/>
    </row>
    <row r="7" spans="1:10" ht="20.100000000000001" customHeight="1" x14ac:dyDescent="0.25">
      <c r="A7" s="17" t="s">
        <v>1</v>
      </c>
      <c r="D7" s="49" t="s">
        <v>87</v>
      </c>
      <c r="E7" s="40"/>
      <c r="F7" s="40"/>
      <c r="G7" s="40"/>
      <c r="H7" s="37"/>
    </row>
    <row r="8" spans="1:10" ht="20.100000000000001" customHeight="1" x14ac:dyDescent="0.25">
      <c r="A8" s="50" t="str">
        <f>HYPERLINK("#'Input - Fuel'!A1", "Fuel")</f>
        <v>Fuel</v>
      </c>
      <c r="D8" s="41" t="s">
        <v>88</v>
      </c>
      <c r="E8" s="39"/>
      <c r="F8" s="39"/>
      <c r="G8" s="39"/>
      <c r="H8" s="38"/>
    </row>
    <row r="9" spans="1:10" ht="20.100000000000001" customHeight="1" x14ac:dyDescent="0.25">
      <c r="A9" s="14"/>
      <c r="D9" s="19"/>
      <c r="E9" s="19"/>
      <c r="F9" s="19"/>
      <c r="G9" s="19"/>
      <c r="H9" s="19"/>
      <c r="I9" s="19"/>
    </row>
    <row r="10" spans="1:10" ht="20.100000000000001" customHeight="1" x14ac:dyDescent="0.25">
      <c r="A10" s="16" t="s">
        <v>45</v>
      </c>
      <c r="D10" s="53" t="s">
        <v>89</v>
      </c>
      <c r="E10" s="53" t="s">
        <v>90</v>
      </c>
      <c r="F10" s="53" t="s">
        <v>91</v>
      </c>
      <c r="G10" s="53" t="s">
        <v>92</v>
      </c>
      <c r="H10" s="53" t="s">
        <v>93</v>
      </c>
      <c r="I10" s="53" t="s">
        <v>94</v>
      </c>
    </row>
    <row r="11" spans="1:10" ht="20.100000000000001" customHeight="1" x14ac:dyDescent="0.25">
      <c r="A11" s="14" t="str">
        <f>HYPERLINK("#'8.1.1.1-2 Transport fuel'!A1", "8.1.1.1-2 Transport fuel")</f>
        <v>8.1.1.1-2 Transport fuel</v>
      </c>
      <c r="D11" s="29" t="s">
        <v>146</v>
      </c>
      <c r="E11" s="29" t="s">
        <v>98</v>
      </c>
      <c r="F11" s="73">
        <v>100</v>
      </c>
      <c r="G11" s="31" t="str" cm="1">
        <f t="array" ref="G11">Common_InputFunctions.Utility_LookupValueInTable(Table_Input_Fuel[[#This Row],[Fuel type (select)]],Table_FuelTypes_Units[Fuel type], Table_FuelTypes_Units[Unit])</f>
        <v>kL</v>
      </c>
      <c r="H11" s="74">
        <f>1</f>
        <v>1</v>
      </c>
      <c r="I11" s="31">
        <f>Table_Input_Fuel[[#This Row],[Amount purchased]]*Table_Input_Fuel[[#This Row],[Percent consumed]]*10^-3</f>
        <v>0.1</v>
      </c>
    </row>
    <row r="12" spans="1:10" ht="20.100000000000001" customHeight="1" x14ac:dyDescent="0.25">
      <c r="A12" s="14" t="str">
        <f>HYPERLINK("#'8.2.1.1-2 Stationary fuel'!A1", "8.2.1.1-2 Stationary fuel")</f>
        <v>8.2.1.1-2 Stationary fuel</v>
      </c>
      <c r="D12" s="29" t="s">
        <v>146</v>
      </c>
      <c r="E12" s="29" t="s">
        <v>105</v>
      </c>
      <c r="F12" s="73">
        <v>100</v>
      </c>
      <c r="G12" s="31" t="str" cm="1">
        <f t="array" ref="G12">Common_InputFunctions.Utility_LookupValueInTable(Table_Input_Fuel[[#This Row],[Fuel type (select)]],Table_FuelTypes_Units[Fuel type], Table_FuelTypes_Units[Unit])</f>
        <v>kL</v>
      </c>
      <c r="H12" s="74">
        <f>1</f>
        <v>1</v>
      </c>
      <c r="I12" s="31">
        <f>Table_Input_Fuel[[#This Row],[Amount purchased]]*Table_Input_Fuel[[#This Row],[Percent consumed]]*10^-3</f>
        <v>0.1</v>
      </c>
    </row>
    <row r="13" spans="1:10" ht="20.100000000000001" customHeight="1" x14ac:dyDescent="0.25">
      <c r="A13" s="14" t="str">
        <f>HYPERLINK("#'8.X.1.1-2 General use fuel'!A1", "8.X.1.1-2 General use fuel")</f>
        <v>8.X.1.1-2 General use fuel</v>
      </c>
      <c r="D13" s="29" t="s">
        <v>146</v>
      </c>
      <c r="E13" s="29" t="s">
        <v>127</v>
      </c>
      <c r="F13" s="73">
        <v>100</v>
      </c>
      <c r="G13" s="31" t="str" cm="1">
        <f t="array" ref="G13">Common_InputFunctions.Utility_LookupValueInTable(Table_Input_Fuel[[#This Row],[Fuel type (select)]],Table_FuelTypes_Units[Fuel type], Table_FuelTypes_Units[Unit])</f>
        <v>kL</v>
      </c>
      <c r="H13" s="74">
        <f>1</f>
        <v>1</v>
      </c>
      <c r="I13" s="31">
        <f>Table_Input_Fuel[[#This Row],[Amount purchased]]*Table_Input_Fuel[[#This Row],[Percent consumed]]*10^-3</f>
        <v>0.1</v>
      </c>
    </row>
    <row r="14" spans="1:10" ht="20.100000000000001" customHeight="1" x14ac:dyDescent="0.25">
      <c r="A14" s="14"/>
      <c r="D14" s="29" t="s">
        <v>146</v>
      </c>
      <c r="E14" s="29" t="s">
        <v>96</v>
      </c>
      <c r="F14" s="73">
        <v>100</v>
      </c>
      <c r="G14" s="31" t="str" cm="1">
        <f t="array" ref="G14">Common_InputFunctions.Utility_LookupValueInTable(Table_Input_Fuel[[#This Row],[Fuel type (select)]],Table_FuelTypes_Units[Fuel type], Table_FuelTypes_Units[Unit])</f>
        <v>kL</v>
      </c>
      <c r="H14" s="74">
        <f>1</f>
        <v>1</v>
      </c>
      <c r="I14" s="31">
        <f>Table_Input_Fuel[[#This Row],[Amount purchased]]*Table_Input_Fuel[[#This Row],[Percent consumed]]*10^-3</f>
        <v>0.1</v>
      </c>
    </row>
    <row r="15" spans="1:10" ht="20.100000000000001" customHeight="1" x14ac:dyDescent="0.25">
      <c r="A15" s="15" t="s">
        <v>2</v>
      </c>
      <c r="D15" s="29" t="s">
        <v>146</v>
      </c>
      <c r="E15" s="29" t="s">
        <v>128</v>
      </c>
      <c r="F15" s="73">
        <v>100</v>
      </c>
      <c r="G15" s="31" t="str" cm="1">
        <f t="array" ref="G15">Common_InputFunctions.Utility_LookupValueInTable(Table_Input_Fuel[[#This Row],[Fuel type (select)]],Table_FuelTypes_Units[Fuel type], Table_FuelTypes_Units[Unit])</f>
        <v>kL</v>
      </c>
      <c r="H15" s="74">
        <f>1</f>
        <v>1</v>
      </c>
      <c r="I15" s="31">
        <f>Table_Input_Fuel[[#This Row],[Amount purchased]]*Table_Input_Fuel[[#This Row],[Percent consumed]]*10^-3</f>
        <v>0.1</v>
      </c>
    </row>
    <row r="16" spans="1:10" ht="20.100000000000001" customHeight="1" x14ac:dyDescent="0.25">
      <c r="A16" s="14" t="str">
        <f>HYPERLINK("#'Constants - Fuel'!A1", "Constants - Fuel")</f>
        <v>Constants - Fuel</v>
      </c>
      <c r="D16" s="29" t="s">
        <v>146</v>
      </c>
      <c r="E16" s="29" t="s">
        <v>127</v>
      </c>
      <c r="F16" s="73">
        <v>100</v>
      </c>
      <c r="G16" s="31" t="str" cm="1">
        <f t="array" ref="G16">Common_InputFunctions.Utility_LookupValueInTable(Table_Input_Fuel[[#This Row],[Fuel type (select)]],Table_FuelTypes_Units[Fuel type], Table_FuelTypes_Units[Unit])</f>
        <v>kL</v>
      </c>
      <c r="H16" s="74">
        <f>1</f>
        <v>1</v>
      </c>
      <c r="I16" s="31">
        <f>Table_Input_Fuel[[#This Row],[Amount purchased]]*Table_Input_Fuel[[#This Row],[Percent consumed]]*10^-3</f>
        <v>0.1</v>
      </c>
    </row>
    <row r="17" spans="1:9" ht="20.100000000000001" customHeight="1" x14ac:dyDescent="0.25">
      <c r="A17" s="14" t="str">
        <f>HYPERLINK("#'Constants - Common'!A1", "Constants - Common")</f>
        <v>Constants - Common</v>
      </c>
      <c r="D17" s="29" t="s">
        <v>146</v>
      </c>
      <c r="E17" s="29" t="s">
        <v>106</v>
      </c>
      <c r="F17" s="73">
        <v>100</v>
      </c>
      <c r="G17" s="31" t="str" cm="1">
        <f t="array" ref="G17">Common_InputFunctions.Utility_LookupValueInTable(Table_Input_Fuel[[#This Row],[Fuel type (select)]],Table_FuelTypes_Units[Fuel type], Table_FuelTypes_Units[Unit])</f>
        <v>kL</v>
      </c>
      <c r="H17" s="74">
        <f>1</f>
        <v>1</v>
      </c>
      <c r="I17" s="31">
        <f>Table_Input_Fuel[[#This Row],[Amount purchased]]*Table_Input_Fuel[[#This Row],[Percent consumed]]*10^-3</f>
        <v>0.1</v>
      </c>
    </row>
    <row r="18" spans="1:9" ht="20.100000000000001" customHeight="1" x14ac:dyDescent="0.25">
      <c r="D18" s="29" t="s">
        <v>146</v>
      </c>
      <c r="E18" s="29" t="s">
        <v>98</v>
      </c>
      <c r="F18" s="73">
        <v>100</v>
      </c>
      <c r="G18" s="31" t="str" cm="1">
        <f t="array" ref="G18">Common_InputFunctions.Utility_LookupValueInTable(Table_Input_Fuel[[#This Row],[Fuel type (select)]],Table_FuelTypes_Units[Fuel type], Table_FuelTypes_Units[Unit])</f>
        <v>kL</v>
      </c>
      <c r="H18" s="74">
        <f>1</f>
        <v>1</v>
      </c>
      <c r="I18" s="31">
        <f>Table_Input_Fuel[[#This Row],[Amount purchased]]*Table_Input_Fuel[[#This Row],[Percent consumed]]*10^-3</f>
        <v>0.1</v>
      </c>
    </row>
    <row r="19" spans="1:9" ht="20.100000000000001" customHeight="1" x14ac:dyDescent="0.25">
      <c r="D19" s="29" t="s">
        <v>146</v>
      </c>
      <c r="E19" s="29" t="s">
        <v>98</v>
      </c>
      <c r="F19" s="73">
        <v>100</v>
      </c>
      <c r="G19" s="31" t="str" cm="1">
        <f t="array" ref="G19">Common_InputFunctions.Utility_LookupValueInTable(Table_Input_Fuel[[#This Row],[Fuel type (select)]],Table_FuelTypes_Units[Fuel type], Table_FuelTypes_Units[Unit])</f>
        <v>kL</v>
      </c>
      <c r="H19" s="74">
        <f>1</f>
        <v>1</v>
      </c>
      <c r="I19" s="31">
        <f>Table_Input_Fuel[[#This Row],[Amount purchased]]*Table_Input_Fuel[[#This Row],[Percent consumed]]*10^-3</f>
        <v>0.1</v>
      </c>
    </row>
    <row r="20" spans="1:9" ht="20.100000000000001" customHeight="1" x14ac:dyDescent="0.25">
      <c r="A20" s="14"/>
      <c r="D20" s="29" t="s">
        <v>146</v>
      </c>
      <c r="E20" s="29" t="s">
        <v>129</v>
      </c>
      <c r="F20" s="73">
        <v>100</v>
      </c>
      <c r="G20" s="31" t="str" cm="1">
        <f t="array" ref="G20">Common_InputFunctions.Utility_LookupValueInTable(Table_Input_Fuel[[#This Row],[Fuel type (select)]],Table_FuelTypes_Units[Fuel type], Table_FuelTypes_Units[Unit])</f>
        <v>kL</v>
      </c>
      <c r="H20" s="74">
        <f>1</f>
        <v>1</v>
      </c>
      <c r="I20" s="31">
        <f>Table_Input_Fuel[[#This Row],[Amount purchased]]*Table_Input_Fuel[[#This Row],[Percent consumed]]*10^-3</f>
        <v>0.1</v>
      </c>
    </row>
    <row r="21" spans="1:9" ht="20.100000000000001" customHeight="1" x14ac:dyDescent="0.25">
      <c r="A21" s="14"/>
      <c r="D21" s="29" t="s">
        <v>146</v>
      </c>
      <c r="E21" s="29" t="s">
        <v>99</v>
      </c>
      <c r="F21" s="73">
        <v>100</v>
      </c>
      <c r="G21" s="31" t="str" cm="1">
        <f t="array" ref="G21">Common_InputFunctions.Utility_LookupValueInTable(Table_Input_Fuel[[#This Row],[Fuel type (select)]],Table_FuelTypes_Units[Fuel type], Table_FuelTypes_Units[Unit])</f>
        <v>GJ</v>
      </c>
      <c r="H21" s="74">
        <f>1</f>
        <v>1</v>
      </c>
      <c r="I21" s="31">
        <f>Table_Input_Fuel[[#This Row],[Amount purchased]]*Table_Input_Fuel[[#This Row],[Percent consumed]]*10^-3</f>
        <v>0.1</v>
      </c>
    </row>
    <row r="22" spans="1:9" ht="20.100000000000001" customHeight="1" x14ac:dyDescent="0.25">
      <c r="D22" s="29" t="s">
        <v>146</v>
      </c>
      <c r="E22" s="29" t="s">
        <v>107</v>
      </c>
      <c r="F22" s="73">
        <v>100</v>
      </c>
      <c r="G22" s="31" t="str" cm="1">
        <f t="array" ref="G22">Common_InputFunctions.Utility_LookupValueInTable(Table_Input_Fuel[[#This Row],[Fuel type (select)]],Table_FuelTypes_Units[Fuel type], Table_FuelTypes_Units[Unit])</f>
        <v>GJ</v>
      </c>
      <c r="H22" s="74">
        <f>1</f>
        <v>1</v>
      </c>
      <c r="I22" s="31">
        <f>Table_Input_Fuel[[#This Row],[Amount purchased]]*Table_Input_Fuel[[#This Row],[Percent consumed]]*10^-3</f>
        <v>0.1</v>
      </c>
    </row>
    <row r="23" spans="1:9" ht="20.100000000000001" customHeight="1" x14ac:dyDescent="0.25">
      <c r="A23" s="14"/>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4"/>
    </row>
    <row r="30" spans="1:9" ht="20.100000000000001" customHeight="1" x14ac:dyDescent="0.25">
      <c r="A30" s="14"/>
    </row>
    <row r="31" spans="1:9" ht="20.100000000000001" customHeight="1" x14ac:dyDescent="0.25">
      <c r="A31" s="35"/>
    </row>
    <row r="32" spans="1:9" ht="20.100000000000001" customHeight="1" x14ac:dyDescent="0.25">
      <c r="A32" s="35"/>
    </row>
    <row r="33" spans="1:10" ht="20.100000000000001" customHeight="1" x14ac:dyDescent="0.25">
      <c r="A33" s="14"/>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6"/>
      <c r="J38" s="56"/>
    </row>
    <row r="39" spans="1:10" ht="20.100000000000001" customHeight="1" x14ac:dyDescent="0.25">
      <c r="A39" s="14"/>
      <c r="C39" s="56"/>
      <c r="J39" s="56"/>
    </row>
    <row r="40" spans="1:10" s="57" customFormat="1" ht="20.100000000000001" customHeight="1" x14ac:dyDescent="0.25">
      <c r="C40" s="1"/>
      <c r="D40" s="1"/>
      <c r="E40" s="1"/>
      <c r="F40" s="1"/>
      <c r="G40" s="1"/>
      <c r="H40" s="1"/>
      <c r="I40" s="1"/>
      <c r="J40" s="1"/>
    </row>
    <row r="41" spans="1:10" s="57" customFormat="1" ht="20.100000000000001" customHeight="1" x14ac:dyDescent="0.25">
      <c r="A41" s="58"/>
      <c r="C41" s="1"/>
      <c r="D41" s="1"/>
      <c r="E41" s="1"/>
      <c r="F41" s="1"/>
      <c r="G41" s="1"/>
      <c r="H41" s="1"/>
      <c r="I41" s="1"/>
      <c r="J41" s="1"/>
    </row>
    <row r="42" spans="1:10" ht="20.100000000000001" customHeight="1" x14ac:dyDescent="0.25"/>
    <row r="43" spans="1:10" ht="20.100000000000001" customHeight="1" x14ac:dyDescent="0.25"/>
    <row r="44" spans="1:10" ht="20.100000000000001" customHeight="1" x14ac:dyDescent="0.25">
      <c r="A44" s="63"/>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45"/>
    </row>
  </sheetData>
  <conditionalFormatting sqref="F47">
    <cfRule type="cellIs" dxfId="16" priority="62" operator="lessThan">
      <formula>0</formula>
    </cfRule>
  </conditionalFormatting>
  <conditionalFormatting sqref="F126:F127">
    <cfRule type="cellIs" dxfId="15" priority="21" operator="lessThan">
      <formula>0</formula>
    </cfRule>
  </conditionalFormatting>
  <conditionalFormatting sqref="F138:F139">
    <cfRule type="cellIs" dxfId="14" priority="20" operator="lessThan">
      <formula>0</formula>
    </cfRule>
  </conditionalFormatting>
  <conditionalFormatting sqref="F150:F151">
    <cfRule type="cellIs" dxfId="13" priority="19" operator="lessThan">
      <formula>0</formula>
    </cfRule>
  </conditionalFormatting>
  <conditionalFormatting sqref="F162:F163">
    <cfRule type="cellIs" dxfId="12" priority="18" operator="lessThan">
      <formula>0</formula>
    </cfRule>
  </conditionalFormatting>
  <conditionalFormatting sqref="F250:F251">
    <cfRule type="cellIs" dxfId="11" priority="93" operator="lessThan">
      <formula>0</formula>
    </cfRule>
  </conditionalFormatting>
  <conditionalFormatting sqref="F255:F256">
    <cfRule type="cellIs" dxfId="10" priority="92" operator="lessThan">
      <formula>0</formula>
    </cfRule>
  </conditionalFormatting>
  <conditionalFormatting sqref="F260:F261">
    <cfRule type="cellIs" dxfId="9" priority="91" operator="lessThan">
      <formula>0</formula>
    </cfRule>
  </conditionalFormatting>
  <conditionalFormatting sqref="F284:F285">
    <cfRule type="cellIs" dxfId="8" priority="85" operator="lessThan">
      <formula>0</formula>
    </cfRule>
  </conditionalFormatting>
  <conditionalFormatting sqref="F289:F290">
    <cfRule type="cellIs" dxfId="7" priority="84" operator="lessThan">
      <formula>0</formula>
    </cfRule>
  </conditionalFormatting>
  <conditionalFormatting sqref="F294:F295">
    <cfRule type="cellIs" dxfId="6" priority="83" operator="lessThan">
      <formula>0</formula>
    </cfRule>
  </conditionalFormatting>
  <conditionalFormatting sqref="I31 I33:I37 I41:I42 H43:H45 I46 I48:I50 I52:I53 I204 E210:G210 I210">
    <cfRule type="cellIs" dxfId="5" priority="79" operator="lessThan">
      <formula>0</formula>
    </cfRule>
  </conditionalFormatting>
  <conditionalFormatting sqref="I57:I61">
    <cfRule type="cellIs" dxfId="4" priority="5" operator="lessThan">
      <formula>0</formula>
    </cfRule>
  </conditionalFormatting>
  <conditionalFormatting sqref="I65 I124">
    <cfRule type="cellIs" dxfId="3" priority="74" operator="lessThan">
      <formula>0</formula>
    </cfRule>
  </conditionalFormatting>
  <conditionalFormatting sqref="I76:I78">
    <cfRule type="cellIs" dxfId="2" priority="4" operator="lessThan">
      <formula>0</formula>
    </cfRule>
  </conditionalFormatting>
  <conditionalFormatting sqref="I82:I85">
    <cfRule type="cellIs" dxfId="1" priority="3" operator="lessThan">
      <formula>0</formula>
    </cfRule>
  </conditionalFormatting>
  <conditionalFormatting sqref="I89:I93">
    <cfRule type="cellIs" dxfId="0" priority="1" operator="lessThan">
      <formula>0</formula>
    </cfRule>
  </conditionalFormatting>
  <dataValidations count="9">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H24:H25" xr:uid="{4A7ED0FB-DC6D-4B9E-B043-37B0C0BD600A}">
      <formula1>INDIRECT("Table_Fertiliser_ChemicalCompounds[Fertiliser type f]")</formula1>
    </dataValidation>
    <dataValidation type="list" allowBlank="1" showInputMessage="1" showErrorMessage="1" sqref="D44:D45" xr:uid="{23F8C720-A764-46DD-9B01-B7EA3D86E5AB}">
      <formula1>INDIRECT("Table_SourceData_OrganicFertiliserTypes[Organic fertiliser type]")</formula1>
    </dataValidation>
    <dataValidation type="list" allowBlank="1" showInputMessage="1" showErrorMessage="1" sqref="E11:E22" xr:uid="{76773934-728A-4512-A789-D38AF73B28FA}">
      <formula1>_xlfn.TRIMRANGE(INDIRECT("Table_FuelTypesPerUse["&amp;D11&amp;"]"))</formula1>
    </dataValidation>
    <dataValidation type="list" allowBlank="1" showInputMessage="1" showErrorMessage="1" sqref="D11:D22" xr:uid="{44BCE1B2-993E-4D7C-8172-C366FD07D726}">
      <formula1>INDIRECT("Table_FuelTypesPerUse[#Headers]")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85" zoomScaleNormal="85" workbookViewId="0">
      <selection activeCell="A12" sqref="A12"/>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8" customFormat="1" ht="30" customHeight="1" x14ac:dyDescent="0.35">
      <c r="A1" s="36" t="e" vm="1">
        <v>#VALUE!</v>
      </c>
      <c r="C1" s="8" t="s">
        <v>109</v>
      </c>
    </row>
    <row r="2" spans="1:16" s="9" customFormat="1" ht="20.100000000000001" customHeight="1" x14ac:dyDescent="0.25"/>
    <row r="3" spans="1:16" ht="20.100000000000001" customHeight="1" x14ac:dyDescent="0.25">
      <c r="A3" s="14" t="str">
        <f>HYPERLINK("#'Home'!A1", "Home")</f>
        <v>Home</v>
      </c>
      <c r="C3" s="4"/>
      <c r="D3" s="4" t="s">
        <v>49</v>
      </c>
      <c r="E3" s="4"/>
      <c r="F3" s="4"/>
      <c r="G3" s="4"/>
      <c r="H3" s="4"/>
      <c r="I3" s="4"/>
      <c r="J3" s="4"/>
      <c r="K3" s="4"/>
      <c r="L3" s="4"/>
      <c r="M3" s="4"/>
      <c r="N3" s="4"/>
      <c r="O3" s="4"/>
      <c r="P3" s="4"/>
    </row>
    <row r="4" spans="1:16" ht="20.100000000000001" customHeight="1" x14ac:dyDescent="0.25">
      <c r="A4" s="14" t="str">
        <f>HYPERLINK("#'Overview'!A1", "Overview")</f>
        <v>Overview</v>
      </c>
    </row>
    <row r="5" spans="1:16"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O5" s="52"/>
    </row>
    <row r="6" spans="1:16" ht="20.100000000000001" customHeight="1" x14ac:dyDescent="0.25">
      <c r="A6" s="13"/>
      <c r="D6" s="5" t="str" cm="1">
        <f t="array" ref="D6">Fuel_Equations.VEERG_8_1_1_1__1_FuelCombustionTransport_Source()</f>
        <v>VEERG 2026: 8.1.1.1, Equation (1)</v>
      </c>
      <c r="O6" s="52"/>
    </row>
    <row r="7" spans="1:16" ht="20.100000000000001" customHeight="1" x14ac:dyDescent="0.25">
      <c r="A7" s="17" t="s">
        <v>1</v>
      </c>
      <c r="D7" s="11" t="s">
        <v>10</v>
      </c>
      <c r="E7" s="11" t="str" cm="1">
        <f t="array" aca="1" ref="E7" ca="1">Common_InputFunctions.Utility_DisplayFunctionName(M25)</f>
        <v>=Fuel_Equations.VEERG_8_1_1_1__1_FuelCombustionTransport</v>
      </c>
      <c r="O7" s="52"/>
    </row>
    <row r="8" spans="1:16" ht="20.100000000000001" customHeight="1" x14ac:dyDescent="0.25">
      <c r="A8" s="14" t="str">
        <f>HYPERLINK("#'Input - Fuel'!A1", "Fuel")</f>
        <v>Fuel</v>
      </c>
      <c r="O8" s="52"/>
    </row>
    <row r="9" spans="1:16" ht="20.100000000000001" customHeight="1" x14ac:dyDescent="0.25">
      <c r="A9" s="14"/>
      <c r="G9" s="5"/>
      <c r="O9" s="52"/>
    </row>
    <row r="10" spans="1:16" ht="20.100000000000001" customHeight="1" x14ac:dyDescent="0.25">
      <c r="A10" s="16" t="s">
        <v>45</v>
      </c>
      <c r="O10" s="52"/>
    </row>
    <row r="11" spans="1:16"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O11" s="52"/>
    </row>
    <row r="12" spans="1:16" ht="20.100000000000001" customHeight="1" x14ac:dyDescent="0.25">
      <c r="A12" s="14" t="str">
        <f>HYPERLINK("#'8.2.1.1-2 Stationary fuel'!A1", "8.2.1.1-2 Stationary fuel")</f>
        <v>8.2.1.1-2 Stationary fuel</v>
      </c>
      <c r="D12" s="32" t="s">
        <v>5</v>
      </c>
      <c r="E12" s="33" t="str" cm="1">
        <f t="array" ref="E12">Fuel_Equations.VEERG_8_1_1_1__1_FuelCombustionTransport_Unit()</f>
        <v>t CO2-e</v>
      </c>
    </row>
    <row r="13" spans="1:16" ht="20.100000000000001" customHeight="1" x14ac:dyDescent="0.25">
      <c r="A13" s="14" t="str">
        <f>HYPERLINK("#'8.X.1.1-2 General use fuel'!A1", "8.X.1.1-2 General use fuel")</f>
        <v>8.X.1.1-2 General use fuel</v>
      </c>
    </row>
    <row r="14" spans="1:16"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O14" s="52"/>
    </row>
    <row r="15" spans="1:16"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O15" s="52"/>
    </row>
    <row r="16" spans="1:16"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O16" s="52"/>
    </row>
    <row r="17" spans="1:15" ht="20.100000000000001" customHeight="1" x14ac:dyDescent="0.25">
      <c r="A17" s="14" t="str">
        <f>HYPERLINK("#'Constants - Common'!A1", "Constants - Common")</f>
        <v>Constants - Common</v>
      </c>
      <c r="D17" s="60" t="str">
        <v>q</v>
      </c>
      <c r="E17" s="62" t="str">
        <v>Fuel type</v>
      </c>
      <c r="F17" s="61"/>
      <c r="G17" s="60" t="str">
        <v/>
      </c>
      <c r="H17" s="54" t="str">
        <v>Constant</v>
      </c>
      <c r="I17" s="59"/>
      <c r="J17" s="52"/>
      <c r="L17" s="52"/>
      <c r="M17" s="52"/>
      <c r="N17" s="52"/>
      <c r="O17" s="52"/>
    </row>
    <row r="18" spans="1:15" ht="20.100000000000001" customHeight="1" x14ac:dyDescent="0.25">
      <c r="D18" s="60" t="str">
        <v>Trans</v>
      </c>
      <c r="E18" s="62" t="str">
        <v>Transport combustion</v>
      </c>
      <c r="F18" s="61"/>
      <c r="G18" s="60" t="str">
        <v/>
      </c>
      <c r="H18" s="54" t="str">
        <v>Constant</v>
      </c>
      <c r="I18" s="59"/>
      <c r="J18" s="52"/>
      <c r="L18" s="52"/>
      <c r="M18" s="52"/>
      <c r="N18" s="52"/>
      <c r="O18" s="52"/>
    </row>
    <row r="19" spans="1:15" ht="20.100000000000001" customHeight="1" x14ac:dyDescent="0.25">
      <c r="D19" s="60" t="str">
        <v>g</v>
      </c>
      <c r="E19" s="62" t="str">
        <v>Greenhouse gas</v>
      </c>
      <c r="F19" s="61"/>
      <c r="G19" s="60" t="str">
        <v/>
      </c>
      <c r="H19" s="54" t="str">
        <v>Constant</v>
      </c>
      <c r="I19" s="59"/>
      <c r="J19" s="52"/>
      <c r="L19" s="52"/>
      <c r="M19" s="52"/>
      <c r="N19" s="52"/>
      <c r="O19" s="52"/>
    </row>
    <row r="20" spans="1:15" ht="20.100000000000001" customHeight="1" x14ac:dyDescent="0.25">
      <c r="A20" s="14"/>
      <c r="D20" s="60" t="str">
        <v>1</v>
      </c>
      <c r="E20" s="62" t="str">
        <v>Scope 1</v>
      </c>
      <c r="F20" s="61"/>
      <c r="G20" s="60" t="str">
        <v/>
      </c>
      <c r="H20" s="54" t="str">
        <v>Constant</v>
      </c>
      <c r="I20" s="59"/>
      <c r="J20" s="52"/>
      <c r="L20" s="52"/>
      <c r="M20" s="52"/>
      <c r="N20" s="52"/>
      <c r="O20" s="52"/>
    </row>
    <row r="21" spans="1:15" ht="20.100000000000001" customHeight="1" x14ac:dyDescent="0.25">
      <c r="A21" s="14"/>
      <c r="O21" s="52"/>
    </row>
    <row r="22" spans="1:15" ht="20.100000000000001" customHeight="1" x14ac:dyDescent="0.25">
      <c r="D22" s="43" t="s">
        <v>163</v>
      </c>
    </row>
    <row r="23" spans="1:15" ht="20.100000000000001" customHeight="1" x14ac:dyDescent="0.25">
      <c r="A23" s="14"/>
      <c r="D23" s="42" t="s">
        <v>164</v>
      </c>
    </row>
    <row r="24" spans="1:15" ht="20.100000000000001" customHeight="1" x14ac:dyDescent="0.25">
      <c r="D24" s="30" t="s">
        <v>149</v>
      </c>
      <c r="E24" s="30" t="s">
        <v>162</v>
      </c>
      <c r="F24" s="30" t="s">
        <v>150</v>
      </c>
      <c r="G24" s="30" t="s">
        <v>151</v>
      </c>
      <c r="H24" s="30" t="s">
        <v>152</v>
      </c>
      <c r="I24" s="30" t="s">
        <v>153</v>
      </c>
      <c r="J24" s="30" t="s">
        <v>154</v>
      </c>
      <c r="K24" s="53" t="s">
        <v>171</v>
      </c>
      <c r="L24" s="30" t="s">
        <v>155</v>
      </c>
      <c r="M24" s="30" t="s">
        <v>156</v>
      </c>
      <c r="N24" s="30" t="s">
        <v>157</v>
      </c>
      <c r="O24" s="30" t="s">
        <v>158</v>
      </c>
    </row>
    <row r="25" spans="1:15"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64" cm="1">
        <f t="array" ref="K25">Fuel_InputFunctions.Fuel_TotalConsumption(Table_Input_Fuel[Amount consumed], Table_Input_Fuel[Fuel use (select)], D25, Table_Input_Fuel[Fuel type (select)],F25)</f>
        <v>0</v>
      </c>
      <c r="L25" s="64" t="str" cm="1">
        <f t="array" ref="L25">Common_InputFunctions.Utility_LookupValueInTable(F25,Table_FuelTypes_Units[Fuel type],Table_FuelTypes_Units[Unit])</f>
        <v>kL</v>
      </c>
      <c r="M25" s="108" cm="1">
        <f t="array" ref="M25">Fuel_Equations.VEERG_8_1_1_1__1_FuelCombustionTransport($K25,$G25,$H25)</f>
        <v>0</v>
      </c>
      <c r="N25" s="108" cm="1">
        <f t="array" ref="N25">Fuel_Equations.VEERG_8_1_1_1__1_FuelCombustionTransport($K25,$G25,$I25)</f>
        <v>0</v>
      </c>
      <c r="O25" s="108" cm="1">
        <f t="array" ref="O25">Fuel_Equations.VEERG_8_1_1_1__1_FuelCombustionTransport($K25,$G25,$J25)</f>
        <v>0</v>
      </c>
    </row>
    <row r="26" spans="1:15"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64" cm="1">
        <f t="array" ref="K26">Fuel_InputFunctions.Fuel_TotalConsumption(Table_Input_Fuel[Amount consumed], Table_Input_Fuel[Fuel use (select)], D26, Table_Input_Fuel[Fuel type (select)],F26)</f>
        <v>0</v>
      </c>
      <c r="L26" s="64" t="str" cm="1">
        <f t="array" ref="L26">Common_InputFunctions.Utility_LookupValueInTable(F26,Table_FuelTypes_Units[Fuel type],Table_FuelTypes_Units[Unit])</f>
        <v>kL</v>
      </c>
      <c r="M26" s="108" cm="1">
        <f t="array" ref="M26">Fuel_Equations.VEERG_8_1_1_1__1_FuelCombustionTransport($K26,$G26,$H26)</f>
        <v>0</v>
      </c>
      <c r="N26" s="108" cm="1">
        <f t="array" ref="N26">Fuel_Equations.VEERG_8_1_1_1__1_FuelCombustionTransport($K26,$G26,$I26)</f>
        <v>0</v>
      </c>
      <c r="O26" s="108" cm="1">
        <f t="array" ref="O26">Fuel_Equations.VEERG_8_1_1_1__1_FuelCombustionTransport($K26,$G26,$J26)</f>
        <v>0</v>
      </c>
    </row>
    <row r="27" spans="1:15"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64" cm="1">
        <f t="array" ref="K27">Fuel_InputFunctions.Fuel_TotalConsumption(Table_Input_Fuel[Amount consumed], Table_Input_Fuel[Fuel use (select)], D27, Table_Input_Fuel[Fuel type (select)],F27)</f>
        <v>0</v>
      </c>
      <c r="L27" s="64" t="str" cm="1">
        <f t="array" ref="L27">Common_InputFunctions.Utility_LookupValueInTable(F27,Table_FuelTypes_Units[Fuel type],Table_FuelTypes_Units[Unit])</f>
        <v>kL</v>
      </c>
      <c r="M27" s="108" cm="1">
        <f t="array" ref="M27">Fuel_Equations.VEERG_8_1_1_1__1_FuelCombustionTransport($K27,$G27,$H27)</f>
        <v>0</v>
      </c>
      <c r="N27" s="108" cm="1">
        <f t="array" ref="N27">Fuel_Equations.VEERG_8_1_1_1__1_FuelCombustionTransport($K27,$G27,$I27)</f>
        <v>0</v>
      </c>
      <c r="O27" s="108" cm="1">
        <f t="array" ref="O27">Fuel_Equations.VEERG_8_1_1_1__1_FuelCombustionTransport($K27,$G27,$J27)</f>
        <v>0</v>
      </c>
    </row>
    <row r="28" spans="1:15"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64" cm="1">
        <f t="array" ref="K28">Fuel_InputFunctions.Fuel_TotalConsumption(Table_Input_Fuel[Amount consumed], Table_Input_Fuel[Fuel use (select)], D28, Table_Input_Fuel[Fuel type (select)],F28)</f>
        <v>0</v>
      </c>
      <c r="L28" s="64" t="str" cm="1">
        <f t="array" ref="L28">Common_InputFunctions.Utility_LookupValueInTable(F28,Table_FuelTypes_Units[Fuel type],Table_FuelTypes_Units[Unit])</f>
        <v>kL</v>
      </c>
      <c r="M28" s="108" cm="1">
        <f t="array" ref="M28">Fuel_Equations.VEERG_8_1_1_1__1_FuelCombustionTransport($K28,$G28,$H28)</f>
        <v>0</v>
      </c>
      <c r="N28" s="108" cm="1">
        <f t="array" ref="N28">Fuel_Equations.VEERG_8_1_1_1__1_FuelCombustionTransport($K28,$G28,$I28)</f>
        <v>0</v>
      </c>
      <c r="O28" s="108" cm="1">
        <f t="array" ref="O28">Fuel_Equations.VEERG_8_1_1_1__1_FuelCombustionTransport($K28,$G28,$J28)</f>
        <v>0</v>
      </c>
    </row>
    <row r="29" spans="1:15"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64" cm="1">
        <f t="array" ref="K29">Fuel_InputFunctions.Fuel_TotalConsumption(Table_Input_Fuel[Amount consumed], Table_Input_Fuel[Fuel use (select)], D29, Table_Input_Fuel[Fuel type (select)],F29)</f>
        <v>0</v>
      </c>
      <c r="L29" s="64" t="str" cm="1">
        <f t="array" ref="L29">Common_InputFunctions.Utility_LookupValueInTable(F29,Table_FuelTypes_Units[Fuel type],Table_FuelTypes_Units[Unit])</f>
        <v>kL</v>
      </c>
      <c r="M29" s="108" cm="1">
        <f t="array" ref="M29">Fuel_Equations.VEERG_8_1_1_1__1_FuelCombustionTransport($K29,$G29,$H29)</f>
        <v>0</v>
      </c>
      <c r="N29" s="108" cm="1">
        <f t="array" ref="N29">Fuel_Equations.VEERG_8_1_1_1__1_FuelCombustionTransport($K29,$G29,$I29)</f>
        <v>0</v>
      </c>
      <c r="O29" s="108" cm="1">
        <f t="array" ref="O29">Fuel_Equations.VEERG_8_1_1_1__1_FuelCombustionTransport($K29,$G29,$J29)</f>
        <v>0</v>
      </c>
    </row>
    <row r="30" spans="1:15"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64" cm="1">
        <f t="array" ref="K30">Fuel_InputFunctions.Fuel_TotalConsumption(Table_Input_Fuel[Amount consumed], Table_Input_Fuel[Fuel use (select)], D30, Table_Input_Fuel[Fuel type (select)],F30)</f>
        <v>0</v>
      </c>
      <c r="L30" s="64" t="str" cm="1">
        <f t="array" ref="L30">Common_InputFunctions.Utility_LookupValueInTable(F30,Table_FuelTypes_Units[Fuel type],Table_FuelTypes_Units[Unit])</f>
        <v>kL</v>
      </c>
      <c r="M30" s="108" cm="1">
        <f t="array" ref="M30">Fuel_Equations.VEERG_8_1_1_1__1_FuelCombustionTransport($K30,$G30,$H30)</f>
        <v>0</v>
      </c>
      <c r="N30" s="108" cm="1">
        <f t="array" ref="N30">Fuel_Equations.VEERG_8_1_1_1__1_FuelCombustionTransport($K30,$G30,$I30)</f>
        <v>0</v>
      </c>
      <c r="O30" s="108" cm="1">
        <f t="array" ref="O30">Fuel_Equations.VEERG_8_1_1_1__1_FuelCombustionTransport($K30,$G30,$J30)</f>
        <v>0</v>
      </c>
    </row>
    <row r="31" spans="1:15"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64" cm="1">
        <f t="array" ref="K31">Fuel_InputFunctions.Fuel_TotalConsumption(Table_Input_Fuel[Amount consumed], Table_Input_Fuel[Fuel use (select)], D31, Table_Input_Fuel[Fuel type (select)],F31)</f>
        <v>0</v>
      </c>
      <c r="L31" s="64" t="str" cm="1">
        <f t="array" ref="L31">Common_InputFunctions.Utility_LookupValueInTable(F31,Table_FuelTypes_Units[Fuel type],Table_FuelTypes_Units[Unit])</f>
        <v>kL</v>
      </c>
      <c r="M31" s="108" cm="1">
        <f t="array" ref="M31">Fuel_Equations.VEERG_8_1_1_1__1_FuelCombustionTransport($K31,$G31,$H31)</f>
        <v>0</v>
      </c>
      <c r="N31" s="108" cm="1">
        <f t="array" ref="N31">Fuel_Equations.VEERG_8_1_1_1__1_FuelCombustionTransport($K31,$G31,$I31)</f>
        <v>0</v>
      </c>
      <c r="O31" s="108" cm="1">
        <f t="array" ref="O31">Fuel_Equations.VEERG_8_1_1_1__1_FuelCombustionTransport($K31,$G31,$J31)</f>
        <v>0</v>
      </c>
    </row>
    <row r="32" spans="1:15"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89" cm="1">
        <f t="array" ref="K32">Fuel_InputFunctions.Fuel_TotalConsumption(Table_Input_Fuel[Amount consumed], Table_Input_Fuel[Fuel use (select)], D32, Table_Input_Fuel[Fuel type (select)],F32)</f>
        <v>0</v>
      </c>
      <c r="L32" s="64" t="str" cm="1">
        <f t="array" ref="L32">Common_InputFunctions.Utility_LookupValueInTable(F32,Table_FuelTypes_Units[Fuel type],Table_FuelTypes_Units[Unit])</f>
        <v>kL</v>
      </c>
      <c r="M32" s="109" cm="1">
        <f t="array" ref="M32">Fuel_Equations.VEERG_8_1_1_1__1_FuelCombustionTransport($K32,$G32,$H32)</f>
        <v>0</v>
      </c>
      <c r="N32" s="109" cm="1">
        <f t="array" ref="N32">Fuel_Equations.VEERG_8_1_1_1__1_FuelCombustionTransport($K32,$G32,$I32)</f>
        <v>0</v>
      </c>
      <c r="O32" s="109" cm="1">
        <f t="array" ref="O32">Fuel_Equations.VEERG_8_1_1_1__1_FuelCombustionTransport($K32,$G32,$J32)</f>
        <v>0</v>
      </c>
    </row>
    <row r="33" spans="1:15"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3" cm="1">
        <f t="array" ref="G33">IFERROR(_xlfn.XLOOKUP(1, (Table_Fuel_EFs_Transport[Fuel combusted]=$E33)*(Table_Fuel_EFs_Transport[Transport type]=$D$33), Table_Fuel_EFs_Transport[Energy Content Factor (GJ per unit of fuel)]), 0)</f>
        <v>38.6</v>
      </c>
      <c r="H33" s="103" cm="1">
        <f t="array" ref="H33">IFERROR(_xlfn.XLOOKUP(1, (Table_Fuel_EFs_Transport[Fuel combusted]=$E33)*(Table_Fuel_EFs_Transport[Transport type]=$D$33), Table_Fuel_EFs_Transport[Scope 1 Emission Factor (kg CO2 - e / GJ) CO2]), 0)</f>
        <v>69.900000000000006</v>
      </c>
      <c r="I33" s="103" cm="1">
        <f t="array" ref="I33">IFERROR(_xlfn.XLOOKUP(1, (Table_Fuel_EFs_Transport[Fuel combusted]=$E33)*(Table_Fuel_EFs_Transport[Transport type]=$D$33), Table_Fuel_EFs_Transport[Scope 1 Emission Factor (kg CO2 - e / GJ) CH4]), 0)</f>
        <v>0.3</v>
      </c>
      <c r="J33" s="103" cm="1">
        <f t="array" ref="J33">IFERROR(_xlfn.XLOOKUP(1, (Table_Fuel_EFs_Transport[Fuel combusted]=$E33)*(Table_Fuel_EFs_Transport[Transport type]=$D$33), Table_Fuel_EFs_Transport[Scope 1 Emission Factor (kg CO2 - e / GJ) N2O]), 0)</f>
        <v>0.5</v>
      </c>
      <c r="K33" s="105" cm="1">
        <f t="array" ref="K33">Fuel_InputFunctions.Fuel_TotalConsumption(Table_Input_Fuel[Amount consumed], Table_Input_Fuel[Fuel use (select)], D33, Table_Input_Fuel[Fuel type (select)],F33)</f>
        <v>0</v>
      </c>
      <c r="L33" s="92" t="str" cm="1">
        <f t="array" ref="L33">Common_InputFunctions.Utility_LookupValueInTable(F33,Table_FuelTypes_Units[Fuel type],Table_FuelTypes_Units[Unit])</f>
        <v>kL</v>
      </c>
      <c r="M33" s="110" cm="1">
        <f t="array" ref="M33">Fuel_Equations.VEERG_8_1_1_1__1_FuelCombustionTransport($K33,$G33,$H33)</f>
        <v>0</v>
      </c>
      <c r="N33" s="110" cm="1">
        <f t="array" ref="N33">Fuel_Equations.VEERG_8_1_1_1__1_FuelCombustionTransport($K33,$G33,$I33)</f>
        <v>0</v>
      </c>
      <c r="O33" s="110" cm="1">
        <f t="array" ref="O33">Fuel_Equations.VEERG_8_1_1_1__1_FuelCombustionTransport($K33,$G33,$J33)</f>
        <v>0</v>
      </c>
    </row>
    <row r="34" spans="1:15" ht="20.100000000000001" customHeight="1" x14ac:dyDescent="0.25">
      <c r="D34" s="90" t="str">
        <f>Table_FuelTypesPerUse[[#Headers],[Aviation]]</f>
        <v>Aviation</v>
      </c>
      <c r="E34" s="91" t="str">
        <f>'Constants - Fuel'!$E$28</f>
        <v>Gasoline for use as fuel in an aircraft</v>
      </c>
      <c r="F34" s="91" t="str">
        <f>'Constants - Fuel'!$F$131</f>
        <v>Avgas</v>
      </c>
      <c r="G34" s="104" cm="1">
        <f t="array" ref="G34">IFERROR(_xlfn.XLOOKUP(1, (Table_Fuel_EFs_Transport[Fuel combusted]=$E34)*(Table_Fuel_EFs_Transport[Transport type]=$D$34), Table_Fuel_EFs_Transport[Energy Content Factor (GJ per unit of fuel)]), 0)</f>
        <v>33.1</v>
      </c>
      <c r="H34" s="104" cm="1">
        <f t="array" ref="H34">IFERROR(_xlfn.XLOOKUP(1, (Table_Fuel_EFs_Transport[Fuel combusted]=$E34)*(Table_Fuel_EFs_Transport[Transport type]=$D$34), Table_Fuel_EFs_Transport[Scope 1 Emission Factor (kg CO2 - e / GJ) CO2]), 0)</f>
        <v>67</v>
      </c>
      <c r="I34" s="104" cm="1">
        <f t="array" ref="I34">IFERROR(_xlfn.XLOOKUP(1, (Table_Fuel_EFs_Transport[Fuel combusted]=$E34)*(Table_Fuel_EFs_Transport[Transport type]=$D$34), Table_Fuel_EFs_Transport[Scope 1 Emission Factor (kg CO2 - e / GJ) CH4]), 0)</f>
        <v>0.06</v>
      </c>
      <c r="J34" s="104" cm="1">
        <f t="array" ref="J34">IFERROR(_xlfn.XLOOKUP(1, (Table_Fuel_EFs_Transport[Fuel combusted]=$E34)*(Table_Fuel_EFs_Transport[Transport type]=$D$34), Table_Fuel_EFs_Transport[Scope 1 Emission Factor (kg CO2 - e / GJ) N2O]), 0)</f>
        <v>0.6</v>
      </c>
      <c r="K34" s="92" cm="1">
        <f t="array" ref="K34">Fuel_InputFunctions.Fuel_TotalConsumption(Table_Input_Fuel[Amount consumed], Table_Input_Fuel[Fuel use (select)], D34, Table_Input_Fuel[Fuel type (select)],F34)</f>
        <v>0</v>
      </c>
      <c r="L34" s="92" t="str" cm="1">
        <f t="array" ref="L34">Common_InputFunctions.Utility_LookupValueInTable(F34,Table_FuelTypes_Units[Fuel type],Table_FuelTypes_Units[Unit])</f>
        <v>kL</v>
      </c>
      <c r="M34" s="110" cm="1">
        <f t="array" ref="M34">Fuel_Equations.VEERG_8_1_1_1__1_FuelCombustionTransport($K34,$G34,$H34)</f>
        <v>0</v>
      </c>
      <c r="N34" s="110" cm="1">
        <f t="array" ref="N34">Fuel_Equations.VEERG_8_1_1_1__1_FuelCombustionTransport($K34,$G34,$I34)</f>
        <v>0</v>
      </c>
      <c r="O34" s="110" cm="1">
        <f t="array" ref="O34">Fuel_Equations.VEERG_8_1_1_1__1_FuelCombustionTransport($K34,$G34,$J34)</f>
        <v>0</v>
      </c>
    </row>
    <row r="35" spans="1:15"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64" cm="1">
        <f t="array" ref="K35">Fuel_InputFunctions.Fuel_TotalConsumption(Table_Input_Fuel[Amount consumed], Table_Input_Fuel[Fuel use (select)], D35, Table_Input_Fuel[Fuel type (select)],F35)</f>
        <v>0</v>
      </c>
      <c r="L35" s="64" t="str" cm="1">
        <f t="array" ref="L35">Common_InputFunctions.Utility_LookupValueInTable(F35,Table_FuelTypes_Units[Fuel type],Table_FuelTypes_Units[Unit])</f>
        <v>kL</v>
      </c>
      <c r="M35" s="108" cm="1">
        <f t="array" ref="M35">Fuel_Equations.VEERG_8_1_1_1__1_FuelCombustionTransport($K35,$G35,$H35)</f>
        <v>0</v>
      </c>
      <c r="N35" s="108" cm="1">
        <f t="array" ref="N35">Fuel_Equations.VEERG_8_1_1_1__1_FuelCombustionTransport($K35,$G35,$I35)</f>
        <v>0</v>
      </c>
      <c r="O35" s="108" cm="1">
        <f t="array" ref="O35">Fuel_Equations.VEERG_8_1_1_1__1_FuelCombustionTransport($K35,$G35,$J35)</f>
        <v>0</v>
      </c>
    </row>
    <row r="36" spans="1:15" ht="20.100000000000001" customHeight="1" x14ac:dyDescent="0.25">
      <c r="D36" s="88" t="str">
        <f>$D$34</f>
        <v>Aviation</v>
      </c>
      <c r="E36" s="87" t="str">
        <f>'Constants - Fuel'!$E$30</f>
        <v>Renewable aviation kerosene</v>
      </c>
      <c r="F36" s="87" t="str">
        <f>'Constants - Fuel'!$F$133</f>
        <v>Renewable aviation kerosene</v>
      </c>
      <c r="G36" s="102" cm="1">
        <f t="array" ref="G36">IFERROR(_xlfn.XLOOKUP(1, (Table_Fuel_EFs_Transport[Fuel combusted]=$E36)*(Table_Fuel_EFs_Transport[Transport type]=$D$34), Table_Fuel_EFs_Transport[Energy Content Factor (GJ per unit of fuel)]), 0)</f>
        <v>36.799999999999997</v>
      </c>
      <c r="H36" s="102" cm="1">
        <f t="array" ref="H36">IFERROR(_xlfn.XLOOKUP(1, (Table_Fuel_EFs_Transport[Fuel combusted]=$E36)*(Table_Fuel_EFs_Transport[Transport type]=$D$34), Table_Fuel_EFs_Transport[Scope 1 Emission Factor (kg CO2 - e / GJ) CO2]), 0)</f>
        <v>0</v>
      </c>
      <c r="I36" s="102" cm="1">
        <f t="array" ref="I36">IFERROR(_xlfn.XLOOKUP(1, (Table_Fuel_EFs_Transport[Fuel combusted]=$E36)*(Table_Fuel_EFs_Transport[Transport type]=$D$34), Table_Fuel_EFs_Transport[Scope 1 Emission Factor (kg CO2 - e / GJ) CH4]), 0)</f>
        <v>0.01</v>
      </c>
      <c r="J36" s="102" cm="1">
        <f t="array" ref="J36">IFERROR(_xlfn.XLOOKUP(1, (Table_Fuel_EFs_Transport[Fuel combusted]=$E36)*(Table_Fuel_EFs_Transport[Transport type]=$D$34), Table_Fuel_EFs_Transport[Scope 1 Emission Factor (kg CO2 - e / GJ) N2O]), 0)</f>
        <v>0.6</v>
      </c>
      <c r="K36" s="89" cm="1">
        <f t="array" ref="K36">Fuel_InputFunctions.Fuel_TotalConsumption(Table_Input_Fuel[Amount consumed], Table_Input_Fuel[Fuel use (select)], D36, Table_Input_Fuel[Fuel type (select)],F36)</f>
        <v>0</v>
      </c>
      <c r="L36" s="64" t="str" cm="1">
        <f t="array" ref="L36">Common_InputFunctions.Utility_LookupValueInTable(F36,Table_FuelTypes_Units[Fuel type],Table_FuelTypes_Units[Unit])</f>
        <v>kL</v>
      </c>
      <c r="M36" s="108" cm="1">
        <f t="array" ref="M36">Fuel_Equations.VEERG_8_1_1_1__1_FuelCombustionTransport($K36,$G36,$H36)</f>
        <v>0</v>
      </c>
      <c r="N36" s="108" cm="1">
        <f t="array" ref="N36">Fuel_Equations.VEERG_8_1_1_1__1_FuelCombustionTransport($K36,$G36,$I36)</f>
        <v>0</v>
      </c>
      <c r="O36" s="108" cm="1">
        <f t="array" ref="O36">Fuel_Equations.VEERG_8_1_1_1__1_FuelCombustionTransport($K36,$G36,$J36)</f>
        <v>0</v>
      </c>
    </row>
    <row r="37" spans="1:15"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4" cm="1">
        <f t="array" ref="G37">IFERROR(_xlfn.XLOOKUP(1, (Table_Fuel_EFs_Transport[Fuel combusted]=$E37)*(Table_Fuel_EFs_Transport[Transport type]=$D$37), Table_Fuel_EFs_Transport[Energy Content Factor (GJ per unit of fuel)]), 0)</f>
        <v>34.200000000000003</v>
      </c>
      <c r="H37" s="104" cm="1">
        <f t="array" ref="H37">IFERROR(_xlfn.XLOOKUP(1, (Table_Fuel_EFs_Transport[Fuel combusted]=$E37)*(Table_Fuel_EFs_Transport[Transport type]=$D$37), Table_Fuel_EFs_Transport[Scope 1 Emission Factor (kg CO2 - e / GJ) CO2]), 0)</f>
        <v>67.400000000000006</v>
      </c>
      <c r="I37" s="104" cm="1">
        <f t="array" ref="I37">IFERROR(_xlfn.XLOOKUP(1, (Table_Fuel_EFs_Transport[Fuel combusted]=$E37)*(Table_Fuel_EFs_Transport[Transport type]=$D$37), Table_Fuel_EFs_Transport[Scope 1 Emission Factor (kg CO2 - e / GJ) CH4]), 0)</f>
        <v>10.1</v>
      </c>
      <c r="J37" s="104" cm="1">
        <f t="array" ref="J37">IFERROR(_xlfn.XLOOKUP(1, (Table_Fuel_EFs_Transport[Fuel combusted]=$E37)*(Table_Fuel_EFs_Transport[Transport type]=$D$37), Table_Fuel_EFs_Transport[Scope 1 Emission Factor (kg CO2 - e / GJ) N2O]), 0)</f>
        <v>0.3</v>
      </c>
      <c r="K37" s="92" cm="1">
        <f t="array" ref="K37">Fuel_InputFunctions.Fuel_TotalConsumption(Table_Input_Fuel[Amount consumed], Table_Input_Fuel[Fuel use (select)], D37, Table_Input_Fuel[Fuel type (select)],F37)</f>
        <v>0</v>
      </c>
      <c r="L37" s="93" t="str" cm="1">
        <f t="array" ref="L37">Common_InputFunctions.Utility_LookupValueInTable(F37,Table_FuelTypes_Units[Fuel type],Table_FuelTypes_Units[Unit])</f>
        <v>kL</v>
      </c>
      <c r="M37" s="110" cm="1">
        <f t="array" ref="M37">Fuel_Equations.VEERG_8_1_1_1__1_FuelCombustionTransport($K37,$G37,$H37)</f>
        <v>0</v>
      </c>
      <c r="N37" s="110" cm="1">
        <f t="array" ref="N37">Fuel_Equations.VEERG_8_1_1_1__1_FuelCombustionTransport($K37,$G37,$I37)</f>
        <v>0</v>
      </c>
      <c r="O37" s="110" cm="1">
        <f t="array" ref="O37">Fuel_Equations.VEERG_8_1_1_1__1_FuelCombustionTransport($K37,$G37,$J37)</f>
        <v>0</v>
      </c>
    </row>
    <row r="38" spans="1:15"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64" cm="1">
        <f t="array" ref="K38">Fuel_InputFunctions.Fuel_TotalConsumption(Table_Input_Fuel[Amount consumed], Table_Input_Fuel[Fuel use (select)], D38, Table_Input_Fuel[Fuel type (select)],F38)</f>
        <v>0</v>
      </c>
      <c r="L38" s="64" t="str" cm="1">
        <f t="array" ref="L38">Common_InputFunctions.Utility_LookupValueInTable(F38,Table_FuelTypes_Units[Fuel type],Table_FuelTypes_Units[Unit])</f>
        <v>kL</v>
      </c>
      <c r="M38" s="108" cm="1">
        <f t="array" ref="M38">Fuel_Equations.VEERG_8_1_1_1__1_FuelCombustionTransport($K38,$G38,$H38)</f>
        <v>0</v>
      </c>
      <c r="N38" s="108" cm="1">
        <f t="array" ref="N38">Fuel_Equations.VEERG_8_1_1_1__1_FuelCombustionTransport($K38,$G38,$I38)</f>
        <v>0</v>
      </c>
      <c r="O38" s="108" cm="1">
        <f t="array" ref="O38">Fuel_Equations.VEERG_8_1_1_1__1_FuelCombustionTransport($K38,$G38,$J38)</f>
        <v>0</v>
      </c>
    </row>
    <row r="39" spans="1:15"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64" cm="1">
        <f t="array" ref="K39">Fuel_InputFunctions.Fuel_TotalConsumption(Table_Input_Fuel[Amount consumed], Table_Input_Fuel[Fuel use (select)], D39, Table_Input_Fuel[Fuel type (select)],F39)</f>
        <v>0</v>
      </c>
      <c r="L39" s="64" t="str" cm="1">
        <f t="array" ref="L39">Common_InputFunctions.Utility_LookupValueInTable(F39,Table_FuelTypes_Units[Fuel type],Table_FuelTypes_Units[Unit])</f>
        <v>kL</v>
      </c>
      <c r="M39" s="108" cm="1">
        <f t="array" ref="M39">Fuel_Equations.VEERG_8_1_1_1__1_FuelCombustionTransport($K39,$G39,$H39)</f>
        <v>0</v>
      </c>
      <c r="N39" s="108" cm="1">
        <f t="array" ref="N39">Fuel_Equations.VEERG_8_1_1_1__1_FuelCombustionTransport($K39,$G39,$I39)</f>
        <v>0</v>
      </c>
      <c r="O39" s="108" cm="1">
        <f t="array" ref="O39">Fuel_Equations.VEERG_8_1_1_1__1_FuelCombustionTransport($K39,$G39,$J39)</f>
        <v>0</v>
      </c>
    </row>
    <row r="40" spans="1:15" ht="20.100000000000001" customHeight="1" x14ac:dyDescent="0.25">
      <c r="H40" s="52"/>
      <c r="I40" s="52"/>
      <c r="J40" s="52"/>
      <c r="L40" s="52"/>
      <c r="M40" s="52"/>
      <c r="N40" s="52"/>
      <c r="O40" s="52"/>
    </row>
    <row r="41" spans="1:15" ht="20.100000000000001" customHeight="1" x14ac:dyDescent="0.25">
      <c r="H41" s="52"/>
      <c r="I41" s="52"/>
      <c r="J41" s="52"/>
      <c r="L41" s="52"/>
      <c r="M41" s="52"/>
      <c r="N41" s="52"/>
      <c r="O41" s="52"/>
    </row>
    <row r="42" spans="1:15" ht="20.100000000000001" customHeight="1" x14ac:dyDescent="0.25">
      <c r="D42" s="94" t="str">
        <f>"Total scope 1 - " &amp; D25</f>
        <v>Total scope 1 - Cars and light commercial vehicles</v>
      </c>
      <c r="E42" s="95"/>
      <c r="F42" s="96"/>
    </row>
    <row r="43" spans="1:15" ht="20.100000000000001" customHeight="1" x14ac:dyDescent="0.25">
      <c r="D43" s="3" t="s">
        <v>159</v>
      </c>
      <c r="E43" s="106">
        <f>SUM(M25:M32)</f>
        <v>0</v>
      </c>
      <c r="F43" s="2" t="str">
        <f>$E$12</f>
        <v>t CO2-e</v>
      </c>
    </row>
    <row r="44" spans="1:15" ht="20.100000000000001" customHeight="1" x14ac:dyDescent="0.25">
      <c r="D44" s="3" t="s">
        <v>160</v>
      </c>
      <c r="E44" s="106">
        <f>SUM(N25:N32)</f>
        <v>0</v>
      </c>
      <c r="F44" s="2" t="str">
        <f t="shared" ref="F44:F45" si="1">$E$12</f>
        <v>t CO2-e</v>
      </c>
    </row>
    <row r="45" spans="1:15" ht="20.100000000000001" customHeight="1" x14ac:dyDescent="0.25">
      <c r="D45" s="3" t="s">
        <v>161</v>
      </c>
      <c r="E45" s="106">
        <f>SUM(O25:O32)</f>
        <v>0</v>
      </c>
      <c r="F45" s="2" t="str">
        <f t="shared" si="1"/>
        <v>t CO2-e</v>
      </c>
    </row>
    <row r="46" spans="1:15" ht="20.100000000000001" customHeight="1" x14ac:dyDescent="0.25">
      <c r="D46" s="3"/>
      <c r="E46" s="97"/>
      <c r="F46" s="2"/>
    </row>
    <row r="47" spans="1:15" ht="20.100000000000001" customHeight="1" x14ac:dyDescent="0.25">
      <c r="D47" s="52"/>
      <c r="E47" s="52"/>
      <c r="F47" s="52"/>
    </row>
    <row r="48" spans="1:15" ht="20.100000000000001" customHeight="1" x14ac:dyDescent="0.25">
      <c r="D48" s="94" t="str">
        <f>"Total scope 1 - " &amp; D33</f>
        <v>Total scope 1 - Off-road Agriculture and forestry equipment</v>
      </c>
      <c r="E48" s="98"/>
      <c r="F48" s="96"/>
      <c r="H48" s="52"/>
      <c r="I48" s="52"/>
      <c r="J48" s="52"/>
      <c r="L48" s="52"/>
      <c r="M48" s="52"/>
      <c r="N48" s="52"/>
      <c r="O48" s="52"/>
    </row>
    <row r="49" spans="4:15" ht="20.100000000000001" customHeight="1" x14ac:dyDescent="0.25">
      <c r="D49" s="3" t="s">
        <v>159</v>
      </c>
      <c r="E49" s="106">
        <f>SUM(M33:M33)</f>
        <v>0</v>
      </c>
      <c r="F49" s="2" t="str">
        <f t="shared" ref="F49:F51" si="2">$E$12</f>
        <v>t CO2-e</v>
      </c>
      <c r="H49" s="52"/>
      <c r="I49" s="52"/>
      <c r="J49" s="52"/>
      <c r="L49" s="52"/>
      <c r="M49" s="52"/>
      <c r="N49" s="52"/>
      <c r="O49" s="52"/>
    </row>
    <row r="50" spans="4:15" ht="20.100000000000001" customHeight="1" x14ac:dyDescent="0.25">
      <c r="D50" s="3" t="s">
        <v>160</v>
      </c>
      <c r="E50" s="106">
        <f>SUM(N33:N33)</f>
        <v>0</v>
      </c>
      <c r="F50" s="2" t="str">
        <f t="shared" si="2"/>
        <v>t CO2-e</v>
      </c>
      <c r="H50" s="52"/>
      <c r="I50" s="52"/>
      <c r="J50" s="52"/>
      <c r="L50" s="52"/>
      <c r="M50" s="52"/>
      <c r="N50" s="52"/>
      <c r="O50" s="52"/>
    </row>
    <row r="51" spans="4:15" ht="20.100000000000001" customHeight="1" x14ac:dyDescent="0.25">
      <c r="D51" s="3" t="s">
        <v>161</v>
      </c>
      <c r="E51" s="106">
        <f>SUM(O33:O33)</f>
        <v>0</v>
      </c>
      <c r="F51" s="2" t="str">
        <f t="shared" si="2"/>
        <v>t CO2-e</v>
      </c>
      <c r="H51" s="52"/>
      <c r="I51" s="52"/>
      <c r="J51" s="52"/>
      <c r="L51" s="52"/>
      <c r="M51" s="52"/>
      <c r="N51" s="52"/>
      <c r="O51" s="52"/>
    </row>
    <row r="52" spans="4:15" ht="20.100000000000001" customHeight="1" x14ac:dyDescent="0.25">
      <c r="D52" s="3"/>
      <c r="E52" s="97"/>
      <c r="F52" s="2"/>
      <c r="H52" s="52"/>
      <c r="I52" s="52"/>
      <c r="J52" s="52"/>
      <c r="L52" s="52"/>
      <c r="M52" s="52"/>
      <c r="N52" s="52"/>
      <c r="O52" s="52"/>
    </row>
    <row r="53" spans="4:15" ht="20.100000000000001" customHeight="1" x14ac:dyDescent="0.25">
      <c r="D53" s="52"/>
      <c r="E53" s="99"/>
      <c r="F53" s="52"/>
      <c r="G53" s="52"/>
      <c r="H53" s="52"/>
      <c r="I53" s="52"/>
      <c r="J53" s="52"/>
      <c r="L53" s="52"/>
      <c r="M53" s="52"/>
      <c r="N53" s="52"/>
      <c r="O53" s="52"/>
    </row>
    <row r="54" spans="4:15" ht="20.100000000000001" customHeight="1" x14ac:dyDescent="0.25">
      <c r="D54" s="94" t="str">
        <f>"Total scope 1 - " &amp; D34</f>
        <v>Total scope 1 - Aviation</v>
      </c>
      <c r="E54" s="98"/>
      <c r="F54" s="96"/>
      <c r="G54" s="52"/>
      <c r="H54" s="52"/>
      <c r="I54" s="52"/>
      <c r="J54" s="52"/>
      <c r="L54" s="52"/>
      <c r="M54" s="52"/>
      <c r="N54" s="52"/>
      <c r="O54" s="52"/>
    </row>
    <row r="55" spans="4:15" ht="20.100000000000001" customHeight="1" x14ac:dyDescent="0.25">
      <c r="D55" s="3" t="s">
        <v>159</v>
      </c>
      <c r="E55" s="106">
        <f>SUM(M34:M36)</f>
        <v>0</v>
      </c>
      <c r="F55" s="2" t="str">
        <f t="shared" ref="F55:F57" si="3">$E$12</f>
        <v>t CO2-e</v>
      </c>
      <c r="G55" s="52"/>
      <c r="H55" s="52"/>
      <c r="I55" s="52"/>
      <c r="J55" s="52"/>
      <c r="L55" s="52"/>
      <c r="M55" s="52"/>
      <c r="N55" s="52"/>
      <c r="O55" s="52"/>
    </row>
    <row r="56" spans="4:15" ht="20.100000000000001" customHeight="1" x14ac:dyDescent="0.25">
      <c r="D56" s="3" t="s">
        <v>160</v>
      </c>
      <c r="E56" s="106">
        <f>SUM(N34:N36)</f>
        <v>0</v>
      </c>
      <c r="F56" s="2" t="str">
        <f t="shared" si="3"/>
        <v>t CO2-e</v>
      </c>
      <c r="G56" s="52"/>
      <c r="H56" s="52"/>
      <c r="I56" s="52"/>
      <c r="J56" s="52"/>
      <c r="L56" s="52"/>
      <c r="M56" s="52"/>
      <c r="N56" s="52"/>
      <c r="O56" s="52"/>
    </row>
    <row r="57" spans="4:15" ht="20.100000000000001" customHeight="1" x14ac:dyDescent="0.25">
      <c r="D57" s="3" t="s">
        <v>161</v>
      </c>
      <c r="E57" s="106">
        <f>SUM(O34:O36)</f>
        <v>0</v>
      </c>
      <c r="F57" s="2" t="str">
        <f t="shared" si="3"/>
        <v>t CO2-e</v>
      </c>
      <c r="G57" s="52"/>
      <c r="H57" s="52"/>
      <c r="I57" s="52"/>
      <c r="J57" s="52"/>
      <c r="L57" s="52"/>
      <c r="M57" s="52"/>
      <c r="N57" s="52"/>
      <c r="O57" s="52"/>
    </row>
    <row r="58" spans="4:15" ht="20.100000000000001" customHeight="1" x14ac:dyDescent="0.25">
      <c r="D58" s="3"/>
      <c r="E58" s="97"/>
      <c r="F58" s="2"/>
      <c r="G58" s="52"/>
      <c r="H58" s="52"/>
      <c r="I58" s="52"/>
      <c r="J58" s="52"/>
      <c r="L58" s="52"/>
      <c r="M58" s="52"/>
      <c r="N58" s="52"/>
      <c r="O58" s="52"/>
    </row>
    <row r="59" spans="4:15" ht="20.100000000000001" customHeight="1" x14ac:dyDescent="0.25">
      <c r="D59" s="52"/>
      <c r="E59" s="99"/>
      <c r="F59" s="52"/>
      <c r="G59" s="52"/>
      <c r="H59" s="52"/>
      <c r="I59" s="52"/>
      <c r="J59" s="52"/>
      <c r="L59" s="52"/>
      <c r="M59" s="52"/>
      <c r="N59" s="52"/>
      <c r="O59" s="52"/>
    </row>
    <row r="60" spans="4:15" ht="20.100000000000001" customHeight="1" x14ac:dyDescent="0.25">
      <c r="D60" s="94" t="str">
        <f>"Total scope 1 - " &amp; D37</f>
        <v>Total scope 1 - Vessels</v>
      </c>
      <c r="E60" s="98"/>
      <c r="F60" s="96"/>
      <c r="G60" s="52"/>
      <c r="H60" s="52"/>
      <c r="I60" s="52"/>
      <c r="J60" s="52"/>
      <c r="L60" s="52"/>
      <c r="M60" s="52"/>
      <c r="N60" s="52"/>
      <c r="O60" s="52"/>
    </row>
    <row r="61" spans="4:15" ht="20.100000000000001" customHeight="1" x14ac:dyDescent="0.25">
      <c r="D61" s="3" t="s">
        <v>159</v>
      </c>
      <c r="E61" s="106">
        <f>SUM(M37:M39)</f>
        <v>0</v>
      </c>
      <c r="F61" s="2" t="str">
        <f t="shared" ref="F61:F63" si="4">$E$12</f>
        <v>t CO2-e</v>
      </c>
      <c r="G61" s="52"/>
      <c r="H61" s="52"/>
      <c r="I61" s="52"/>
      <c r="J61" s="52"/>
      <c r="L61" s="52"/>
      <c r="M61" s="52"/>
      <c r="N61" s="52"/>
      <c r="O61" s="52"/>
    </row>
    <row r="62" spans="4:15" ht="20.100000000000001" customHeight="1" x14ac:dyDescent="0.25">
      <c r="D62" s="3" t="s">
        <v>160</v>
      </c>
      <c r="E62" s="106">
        <f>SUM(N37:N39)</f>
        <v>0</v>
      </c>
      <c r="F62" s="2" t="str">
        <f t="shared" si="4"/>
        <v>t CO2-e</v>
      </c>
      <c r="G62" s="52"/>
      <c r="H62" s="52"/>
      <c r="I62" s="52"/>
      <c r="J62" s="52"/>
      <c r="L62" s="52"/>
      <c r="M62" s="52"/>
      <c r="N62" s="52"/>
      <c r="O62" s="52"/>
    </row>
    <row r="63" spans="4:15" ht="20.100000000000001" customHeight="1" x14ac:dyDescent="0.25">
      <c r="D63" s="3" t="s">
        <v>161</v>
      </c>
      <c r="E63" s="106">
        <f>SUM(O37:O39)</f>
        <v>0</v>
      </c>
      <c r="F63" s="2" t="str">
        <f t="shared" si="4"/>
        <v>t CO2-e</v>
      </c>
      <c r="G63" s="52"/>
      <c r="H63" s="52"/>
      <c r="I63" s="52"/>
      <c r="J63" s="52"/>
      <c r="L63" s="52"/>
      <c r="M63" s="52"/>
      <c r="N63" s="52"/>
      <c r="O63" s="52"/>
    </row>
    <row r="64" spans="4:15" ht="20.100000000000001" customHeight="1" x14ac:dyDescent="0.25">
      <c r="D64" s="3"/>
      <c r="E64" s="97"/>
      <c r="F64" s="2"/>
      <c r="G64" s="52"/>
      <c r="H64" s="52"/>
      <c r="I64" s="52"/>
      <c r="J64" s="52"/>
      <c r="L64" s="52"/>
      <c r="M64" s="52"/>
      <c r="N64" s="52"/>
      <c r="O64" s="52"/>
    </row>
    <row r="65" spans="1:15" ht="20.100000000000001" customHeight="1" x14ac:dyDescent="0.25">
      <c r="G65" s="52"/>
      <c r="H65" s="52"/>
      <c r="I65" s="52"/>
      <c r="J65" s="52"/>
      <c r="L65" s="52"/>
      <c r="M65" s="52"/>
      <c r="N65" s="52"/>
      <c r="O65" s="52"/>
    </row>
    <row r="66" spans="1:15" ht="20.100000000000001" customHeight="1" x14ac:dyDescent="0.25">
      <c r="D66" s="94" t="s">
        <v>183</v>
      </c>
      <c r="E66" s="100"/>
      <c r="F66" s="96"/>
      <c r="G66" s="52"/>
      <c r="H66" s="52"/>
      <c r="I66" s="52"/>
      <c r="J66" s="52"/>
      <c r="L66" s="52"/>
      <c r="M66" s="52"/>
      <c r="N66" s="52"/>
      <c r="O66" s="52"/>
    </row>
    <row r="67" spans="1:15" ht="20.100000000000001" customHeight="1" x14ac:dyDescent="0.25">
      <c r="D67" s="3" t="s">
        <v>159</v>
      </c>
      <c r="E67" s="106">
        <f>E43+E49+E55+E61</f>
        <v>0</v>
      </c>
      <c r="F67" s="2" t="str">
        <f t="shared" ref="F67:F69" si="5">$E$12</f>
        <v>t CO2-e</v>
      </c>
      <c r="G67" s="52"/>
    </row>
    <row r="68" spans="1:15" ht="20.100000000000001" customHeight="1" x14ac:dyDescent="0.25">
      <c r="D68" s="3" t="s">
        <v>160</v>
      </c>
      <c r="E68" s="106">
        <f t="shared" ref="E68:E69" si="6">E44+E50+E56+E62</f>
        <v>0</v>
      </c>
      <c r="F68" s="2" t="str">
        <f t="shared" si="5"/>
        <v>t CO2-e</v>
      </c>
      <c r="G68" s="52"/>
    </row>
    <row r="69" spans="1:15" ht="20.100000000000001" customHeight="1" x14ac:dyDescent="0.25">
      <c r="A69" s="63" t="str">
        <f>HYPERLINK("#A1", "▲ Back to top")</f>
        <v>▲ Back to top</v>
      </c>
      <c r="D69" s="3" t="s">
        <v>161</v>
      </c>
      <c r="E69" s="106">
        <f t="shared" si="6"/>
        <v>0</v>
      </c>
      <c r="F69" s="2" t="str">
        <f t="shared" si="5"/>
        <v>t CO2-e</v>
      </c>
      <c r="G69" s="52"/>
    </row>
    <row r="70" spans="1:15" ht="20.100000000000001" customHeight="1" x14ac:dyDescent="0.25">
      <c r="G70" s="52"/>
    </row>
    <row r="71" spans="1:15" ht="20.100000000000001" customHeight="1" x14ac:dyDescent="0.25">
      <c r="G71" s="52"/>
    </row>
    <row r="72" spans="1:15" ht="20.100000000000001" customHeight="1" x14ac:dyDescent="0.25"/>
    <row r="73" spans="1:15" ht="20.100000000000001" customHeight="1" x14ac:dyDescent="0.25"/>
    <row r="74" spans="1:15" ht="20.100000000000001" customHeight="1" x14ac:dyDescent="0.25"/>
    <row r="75" spans="1:15" ht="20.100000000000001" customHeight="1" x14ac:dyDescent="0.25"/>
    <row r="76" spans="1:15" ht="20.100000000000001" customHeight="1" x14ac:dyDescent="0.25"/>
    <row r="77" spans="1:15" ht="20.100000000000001" customHeight="1" x14ac:dyDescent="0.25"/>
    <row r="78" spans="1:15" ht="20.100000000000001" customHeight="1" x14ac:dyDescent="0.25"/>
    <row r="79" spans="1:15" ht="20.100000000000001" customHeight="1" x14ac:dyDescent="0.25"/>
    <row r="80" spans="1:15"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P165"/>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4" width="40.42578125" style="1" customWidth="1"/>
    <col min="5" max="15" width="30.7109375" style="1" customWidth="1"/>
    <col min="16" max="16" width="4.7109375" style="1" customWidth="1"/>
  </cols>
  <sheetData>
    <row r="1" spans="1:16" s="8" customFormat="1" ht="30" customHeight="1" x14ac:dyDescent="0.35">
      <c r="A1" s="8" t="e" vm="1">
        <v>#VALUE!</v>
      </c>
      <c r="C1" s="8" t="s">
        <v>110</v>
      </c>
    </row>
    <row r="2" spans="1:16" s="9" customFormat="1" ht="20.100000000000001" customHeight="1" x14ac:dyDescent="0.25">
      <c r="A2"/>
    </row>
    <row r="3" spans="1:16" ht="20.100000000000001" customHeight="1" x14ac:dyDescent="0.25">
      <c r="A3" s="14" t="str">
        <f>HYPERLINK("#'Home'!A1", "Home")</f>
        <v>Home</v>
      </c>
      <c r="C3" s="4"/>
      <c r="D3" s="4" t="s">
        <v>49</v>
      </c>
      <c r="E3" s="4"/>
      <c r="F3" s="4"/>
      <c r="G3" s="4"/>
      <c r="H3" s="4"/>
      <c r="I3" s="4"/>
      <c r="J3" s="4"/>
      <c r="K3" s="4"/>
      <c r="L3" s="4"/>
      <c r="M3" s="4"/>
      <c r="N3" s="4"/>
      <c r="O3" s="4"/>
      <c r="P3" s="4"/>
    </row>
    <row r="4" spans="1:16" ht="20.100000000000001" customHeight="1" x14ac:dyDescent="0.25">
      <c r="A4" s="14" t="str">
        <f>HYPERLINK("#'Overview'!A1", "Overview")</f>
        <v>Overview</v>
      </c>
    </row>
    <row r="5" spans="1:16" ht="20.100000000000001" customHeight="1" x14ac:dyDescent="0.25">
      <c r="A5" s="14" t="str">
        <f>HYPERLINK("#'Results'!A1", "Results")</f>
        <v>Results</v>
      </c>
      <c r="D5" s="6" t="str" cm="1">
        <f t="array" ref="D5">Fuel_Equations.VEERG_8_2_1_1__1_FuelCombustionStationary_Title()</f>
        <v>Emissions for each GHG from the stationary combustion of fuels</v>
      </c>
      <c r="O5" s="52"/>
    </row>
    <row r="6" spans="1:16" ht="20.100000000000001" customHeight="1" x14ac:dyDescent="0.25">
      <c r="A6" s="13"/>
      <c r="D6" s="5" t="str" cm="1">
        <f t="array" ref="D6">Fuel_Equations.VEERG_8_2_1_1__1_FuelCombustionStationary_Source()</f>
        <v>VEERG 2026: 8.2.1.1, Equation (1)</v>
      </c>
      <c r="O6" s="52"/>
    </row>
    <row r="7" spans="1:16" ht="20.100000000000001" customHeight="1" x14ac:dyDescent="0.25">
      <c r="A7" s="17" t="s">
        <v>1</v>
      </c>
      <c r="D7" s="11" t="s">
        <v>10</v>
      </c>
      <c r="E7" s="11" t="str" cm="1">
        <f t="array" aca="1" ref="E7" ca="1">Common_InputFunctions.Utility_DisplayFunctionName(M25)</f>
        <v>=Fuel_Equations.VEERG_8_2_1_1__1_FuelCombustionStationary</v>
      </c>
      <c r="O7" s="52"/>
    </row>
    <row r="8" spans="1:16" ht="20.100000000000001" customHeight="1" x14ac:dyDescent="0.25">
      <c r="A8" s="14" t="str">
        <f>HYPERLINK("#'Input - Fuel'!A1", "Fuel")</f>
        <v>Fuel</v>
      </c>
      <c r="O8" s="52"/>
    </row>
    <row r="9" spans="1:16" ht="20.100000000000001" customHeight="1" x14ac:dyDescent="0.25">
      <c r="A9" s="14"/>
      <c r="G9" s="5"/>
      <c r="O9" s="52"/>
    </row>
    <row r="10" spans="1:16" ht="20.100000000000001" customHeight="1" x14ac:dyDescent="0.25">
      <c r="A10" s="16" t="s">
        <v>45</v>
      </c>
      <c r="O10" s="52"/>
    </row>
    <row r="11" spans="1:16"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O11" s="52"/>
    </row>
    <row r="12" spans="1:16"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row>
    <row r="13" spans="1:16" ht="20.100000000000001" customHeight="1" x14ac:dyDescent="0.25">
      <c r="A13" s="14" t="str">
        <f>HYPERLINK("#'8.X.1.1-2 General use fuel'!A1", "8.X.1.1-2 General use fuel")</f>
        <v>8.X.1.1-2 General use fuel</v>
      </c>
    </row>
    <row r="14" spans="1:16"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O14" s="52"/>
    </row>
    <row r="15" spans="1:16"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O15" s="52"/>
    </row>
    <row r="16" spans="1:16"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O16" s="52"/>
    </row>
    <row r="17" spans="1:15" ht="20.100000000000001" customHeight="1" x14ac:dyDescent="0.25">
      <c r="A17" s="14" t="str">
        <f>HYPERLINK("#'Constants - Common'!A1", "Constants - Common")</f>
        <v>Constants - Common</v>
      </c>
      <c r="D17" s="60" t="str">
        <v>q</v>
      </c>
      <c r="E17" s="62" t="str">
        <v>Fuel type</v>
      </c>
      <c r="F17" s="61"/>
      <c r="G17" s="60" t="str">
        <v/>
      </c>
      <c r="H17" s="54" t="str">
        <v>Constant</v>
      </c>
      <c r="I17" s="59"/>
      <c r="J17" s="52"/>
      <c r="L17" s="52"/>
      <c r="N17" s="52"/>
      <c r="O17" s="52"/>
    </row>
    <row r="18" spans="1:15" ht="20.100000000000001" customHeight="1" x14ac:dyDescent="0.25">
      <c r="D18" s="60" t="str">
        <v>SC</v>
      </c>
      <c r="E18" s="62" t="str">
        <v>Stationary combustion</v>
      </c>
      <c r="F18" s="61"/>
      <c r="G18" s="60" t="str">
        <v/>
      </c>
      <c r="H18" s="54" t="str">
        <v>Constant</v>
      </c>
      <c r="I18" s="59"/>
      <c r="J18" s="52"/>
      <c r="L18" s="52"/>
      <c r="N18" s="52"/>
      <c r="O18" s="52"/>
    </row>
    <row r="19" spans="1:15" ht="20.100000000000001" customHeight="1" x14ac:dyDescent="0.25">
      <c r="D19" s="60" t="str">
        <v>g</v>
      </c>
      <c r="E19" s="62" t="str">
        <v>Greenhouse gas</v>
      </c>
      <c r="F19" s="61"/>
      <c r="G19" s="60" t="str">
        <v/>
      </c>
      <c r="H19" s="54" t="str">
        <v>Constant</v>
      </c>
      <c r="I19" s="59"/>
      <c r="J19" s="52"/>
      <c r="L19" s="52"/>
      <c r="N19" s="52"/>
      <c r="O19" s="52"/>
    </row>
    <row r="20" spans="1:15" ht="20.100000000000001" customHeight="1" x14ac:dyDescent="0.25">
      <c r="A20" s="14"/>
      <c r="D20" s="60" t="str">
        <v>1</v>
      </c>
      <c r="E20" s="62" t="str">
        <v>Scope 1</v>
      </c>
      <c r="F20" s="61"/>
      <c r="G20" s="60" t="str">
        <v/>
      </c>
      <c r="H20" s="54" t="str">
        <v>Constant</v>
      </c>
      <c r="I20" s="59"/>
      <c r="J20" s="52"/>
      <c r="L20" s="52"/>
      <c r="N20" s="52"/>
      <c r="O20" s="52"/>
    </row>
    <row r="21" spans="1:15" ht="20.100000000000001" customHeight="1" x14ac:dyDescent="0.25">
      <c r="A21" s="14"/>
      <c r="O21" s="52"/>
    </row>
    <row r="22" spans="1:15" ht="20.100000000000001" customHeight="1" x14ac:dyDescent="0.25">
      <c r="D22" s="43" t="s">
        <v>163</v>
      </c>
    </row>
    <row r="23" spans="1:15" ht="20.100000000000001" customHeight="1" x14ac:dyDescent="0.25">
      <c r="A23" s="14"/>
      <c r="D23" s="42" t="s">
        <v>165</v>
      </c>
    </row>
    <row r="24" spans="1:15" ht="20.100000000000001" customHeight="1" x14ac:dyDescent="0.25">
      <c r="D24" s="30" t="s">
        <v>149</v>
      </c>
      <c r="E24" s="30" t="s">
        <v>162</v>
      </c>
      <c r="F24" s="30" t="s">
        <v>150</v>
      </c>
      <c r="G24" s="30" t="s">
        <v>166</v>
      </c>
      <c r="H24" s="30" t="s">
        <v>167</v>
      </c>
      <c r="I24" s="30" t="s">
        <v>168</v>
      </c>
      <c r="J24" s="30" t="s">
        <v>169</v>
      </c>
      <c r="K24" s="53" t="s">
        <v>170</v>
      </c>
      <c r="L24" s="30" t="s">
        <v>155</v>
      </c>
      <c r="M24" s="30" t="s">
        <v>156</v>
      </c>
      <c r="N24" s="30" t="s">
        <v>157</v>
      </c>
      <c r="O24" s="30" t="s">
        <v>158</v>
      </c>
    </row>
    <row r="25" spans="1:15"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64" cm="1">
        <f t="array" ref="K25">Fuel_InputFunctions.Fuel_TotalConsumption(Table_Input_Fuel[Amount consumed], Table_Input_Fuel[Fuel use (select)], D25, Table_Input_Fuel[Fuel type (select)],F25)</f>
        <v>0</v>
      </c>
      <c r="L25" s="64" t="str" cm="1">
        <f t="array" ref="L25">Common_InputFunctions.Utility_LookupValueInTable(F25,Table_FuelTypes_Units[Fuel type],Table_FuelTypes_Units[Unit])</f>
        <v>kL</v>
      </c>
      <c r="M25" s="111" cm="1">
        <f t="array" ref="M25">Fuel_Equations.VEERG_8_2_1_1__1_FuelCombustionStationary($K25,$G25,H25)</f>
        <v>0</v>
      </c>
      <c r="N25" s="111" cm="1">
        <f t="array" ref="N25">Fuel_Equations.VEERG_8_2_1_1__1_FuelCombustionStationary($K25,$G25,I25)</f>
        <v>0</v>
      </c>
      <c r="O25" s="111" cm="1">
        <f t="array" ref="O25">Fuel_Equations.VEERG_8_2_1_1__1_FuelCombustionStationary($K25,$G25,J25)</f>
        <v>0</v>
      </c>
    </row>
    <row r="26" spans="1:15"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64" cm="1">
        <f t="array" ref="K26">Fuel_InputFunctions.Fuel_TotalConsumption(Table_Input_Fuel[Amount consumed], Table_Input_Fuel[Fuel use (select)], D26, Table_Input_Fuel[Fuel type (select)],F26)</f>
        <v>0</v>
      </c>
      <c r="L26" s="64" t="str" cm="1">
        <f t="array" ref="L26">Common_InputFunctions.Utility_LookupValueInTable(F26,Table_FuelTypes_Units[Fuel type],Table_FuelTypes_Units[Unit])</f>
        <v>kL</v>
      </c>
      <c r="M26" s="111" cm="1">
        <f t="array" ref="M26">Fuel_Equations.VEERG_8_2_1_1__1_FuelCombustionStationary($K26,$G26,H26)</f>
        <v>0</v>
      </c>
      <c r="N26" s="111" cm="1">
        <f t="array" ref="N26">Fuel_Equations.VEERG_8_2_1_1__1_FuelCombustionStationary($K26,$G26,I26)</f>
        <v>0</v>
      </c>
      <c r="O26" s="111" cm="1">
        <f t="array" ref="O26">Fuel_Equations.VEERG_8_2_1_1__1_FuelCombustionStationary($K26,$G26,J26)</f>
        <v>0</v>
      </c>
    </row>
    <row r="27" spans="1:15"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64" cm="1">
        <f t="array" ref="K27">Fuel_InputFunctions.Fuel_TotalConsumption(Table_Input_Fuel[Amount consumed], Table_Input_Fuel[Fuel use (select)], D27, Table_Input_Fuel[Fuel type (select)],F27)</f>
        <v>0</v>
      </c>
      <c r="L27" s="64" t="str" cm="1">
        <f t="array" ref="L27">Common_InputFunctions.Utility_LookupValueInTable(F27,Table_FuelTypes_Units[Fuel type],Table_FuelTypes_Units[Unit])</f>
        <v>kL</v>
      </c>
      <c r="M27" s="111" cm="1">
        <f t="array" ref="M27">Fuel_Equations.VEERG_8_2_1_1__1_FuelCombustionStationary($K27,$G27,H27)</f>
        <v>0</v>
      </c>
      <c r="N27" s="111" cm="1">
        <f t="array" ref="N27">Fuel_Equations.VEERG_8_2_1_1__1_FuelCombustionStationary($K27,$G27,I27)</f>
        <v>0</v>
      </c>
      <c r="O27" s="111" cm="1">
        <f t="array" ref="O27">Fuel_Equations.VEERG_8_2_1_1__1_FuelCombustionStationary($K27,$G27,J27)</f>
        <v>0</v>
      </c>
    </row>
    <row r="28" spans="1:15"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64" cm="1">
        <f t="array" ref="K28">Fuel_InputFunctions.Fuel_TotalConsumption(Table_Input_Fuel[Amount consumed], Table_Input_Fuel[Fuel use (select)], D28, Table_Input_Fuel[Fuel type (select)],F28)</f>
        <v>0</v>
      </c>
      <c r="L28" s="64" t="str" cm="1">
        <f t="array" ref="L28">Common_InputFunctions.Utility_LookupValueInTable(F28,Table_FuelTypes_Units[Fuel type],Table_FuelTypes_Units[Unit])</f>
        <v>kL</v>
      </c>
      <c r="M28" s="111" cm="1">
        <f t="array" ref="M28">Fuel_Equations.VEERG_8_2_1_1__1_FuelCombustionStationary($K28,$G28,H28)</f>
        <v>0</v>
      </c>
      <c r="N28" s="111" cm="1">
        <f t="array" ref="N28">Fuel_Equations.VEERG_8_2_1_1__1_FuelCombustionStationary($K28,$G28,I28)</f>
        <v>0</v>
      </c>
      <c r="O28" s="111" cm="1">
        <f t="array" ref="O28">Fuel_Equations.VEERG_8_2_1_1__1_FuelCombustionStationary($K28,$G28,J28)</f>
        <v>0</v>
      </c>
    </row>
    <row r="29" spans="1:15"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64" cm="1">
        <f t="array" ref="K29">Fuel_InputFunctions.Fuel_TotalConsumption(Table_Input_Fuel[Amount consumed], Table_Input_Fuel[Fuel use (select)], D29, Table_Input_Fuel[Fuel type (select)],F29)</f>
        <v>0</v>
      </c>
      <c r="L29" s="64" t="str" cm="1">
        <f t="array" ref="L29">Common_InputFunctions.Utility_LookupValueInTable(F29,Table_FuelTypes_Units[Fuel type],Table_FuelTypes_Units[Unit])</f>
        <v>kL</v>
      </c>
      <c r="M29" s="111" cm="1">
        <f t="array" ref="M29">Fuel_Equations.VEERG_8_2_1_1__1_FuelCombustionStationary($K29,$G29,H29)</f>
        <v>0</v>
      </c>
      <c r="N29" s="111" cm="1">
        <f t="array" ref="N29">Fuel_Equations.VEERG_8_2_1_1__1_FuelCombustionStationary($K29,$G29,I29)</f>
        <v>0</v>
      </c>
      <c r="O29" s="111" cm="1">
        <f t="array" ref="O29">Fuel_Equations.VEERG_8_2_1_1__1_FuelCombustionStationary($K29,$G29,J29)</f>
        <v>0</v>
      </c>
    </row>
    <row r="30" spans="1:15"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64" cm="1">
        <f t="array" ref="K30">Fuel_InputFunctions.Fuel_TotalConsumption(Table_Input_Fuel[Amount consumed], Table_Input_Fuel[Fuel use (select)], D30, Table_Input_Fuel[Fuel type (select)],F30)</f>
        <v>0</v>
      </c>
      <c r="L30" s="64" t="str" cm="1">
        <f t="array" ref="L30">Common_InputFunctions.Utility_LookupValueInTable(F30,Table_FuelTypes_Units[Fuel type],Table_FuelTypes_Units[Unit])</f>
        <v>kL</v>
      </c>
      <c r="M30" s="111" cm="1">
        <f t="array" ref="M30">Fuel_Equations.VEERG_8_2_1_1__1_FuelCombustionStationary($K30,$G30,H30)</f>
        <v>0</v>
      </c>
      <c r="N30" s="111" cm="1">
        <f t="array" ref="N30">Fuel_Equations.VEERG_8_2_1_1__1_FuelCombustionStationary($K30,$G30,I30)</f>
        <v>0</v>
      </c>
      <c r="O30" s="111" cm="1">
        <f t="array" ref="O30">Fuel_Equations.VEERG_8_2_1_1__1_FuelCombustionStationary($K30,$G30,J30)</f>
        <v>0</v>
      </c>
    </row>
    <row r="31" spans="1:15" ht="20.100000000000001" customHeight="1" x14ac:dyDescent="0.25">
      <c r="D31" s="88" t="str">
        <f t="shared" si="0"/>
        <v>Generators</v>
      </c>
      <c r="E31" s="87" t="str">
        <f>'Constants - Fuel'!$D$77</f>
        <v>Renewable diesel</v>
      </c>
      <c r="F31" s="87" t="str">
        <f>'Constants - Fuel'!D137</f>
        <v>Renewable diesel</v>
      </c>
      <c r="G31" s="102">
        <f>IFERROR(_xlfn.XLOOKUP($E31, Table_Fuel_EFs_StationaryLiquid[Fuel combusted], Table_Fuel_EFs_StationaryLiquid[Energy Content Factor (GJ per unit of fuel)]),0)</f>
        <v>38.6</v>
      </c>
      <c r="H31" s="102">
        <f>IFERROR(_xlfn.XLOOKUP($E31, Table_Fuel_EFs_StationaryLiquid[Fuel combusted], Table_Fuel_EFs_StationaryLiquid[Scope 1 Emission Factor (kg CO2 - e / GJ) CO2]),0)</f>
        <v>0</v>
      </c>
      <c r="I31" s="102">
        <f>IFERROR(_xlfn.XLOOKUP($E31, Table_Fuel_EFs_StationaryLiquid[Fuel combusted], Table_Fuel_EFs_StationaryLiquid[Scope 1 Emission Factor (kg CO2 - e / GJ) CH4]),0)</f>
        <v>0.1</v>
      </c>
      <c r="J31" s="102">
        <f>IFERROR(_xlfn.XLOOKUP($E31, Table_Fuel_EFs_StationaryLiquid[Fuel combusted], Table_Fuel_EFs_StationaryLiquid[Scope 1 Emission Factor (kg CO2 - e / GJ) N2O]),0)</f>
        <v>0.2</v>
      </c>
      <c r="K31" s="89" cm="1">
        <f t="array" ref="K31">Fuel_InputFunctions.Fuel_TotalConsumption(Table_Input_Fuel[Amount consumed], Table_Input_Fuel[Fuel use (select)], D31, Table_Input_Fuel[Fuel type (select)],F31)</f>
        <v>0</v>
      </c>
      <c r="L31" s="89" t="str" cm="1">
        <f t="array" ref="L31">Common_InputFunctions.Utility_LookupValueInTable(F31,Table_FuelTypes_Units[Fuel type],Table_FuelTypes_Units[Unit])</f>
        <v>kL</v>
      </c>
      <c r="M31" s="112" cm="1">
        <f t="array" ref="M31">Fuel_Equations.VEERG_8_2_1_1__1_FuelCombustionStationary($K31,$G31,H31)</f>
        <v>0</v>
      </c>
      <c r="N31" s="112" cm="1">
        <f t="array" ref="N31">Fuel_Equations.VEERG_8_2_1_1__1_FuelCombustionStationary($K31,$G31,I31)</f>
        <v>0</v>
      </c>
      <c r="O31" s="112" cm="1">
        <f t="array" ref="O31">Fuel_Equations.VEERG_8_2_1_1__1_FuelCombustionStationary($K31,$G31,J31)</f>
        <v>0</v>
      </c>
    </row>
    <row r="32" spans="1:15"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4">
        <f>IFERROR(_xlfn.XLOOKUP($E32, Table_Fuel_EFs_StationaryLiquid[Fuel combusted], Table_Fuel_EFs_StationaryLiquid[Energy Content Factor (GJ per unit of fuel)]),0)</f>
        <v>34.200000000000003</v>
      </c>
      <c r="H32" s="104">
        <f>IFERROR(_xlfn.XLOOKUP($E32, Table_Fuel_EFs_StationaryLiquid[Fuel combusted], Table_Fuel_EFs_StationaryLiquid[Scope 1 Emission Factor (kg CO2 - e / GJ) CO2]),0)</f>
        <v>67.400000000000006</v>
      </c>
      <c r="I32" s="104">
        <f>IFERROR(_xlfn.XLOOKUP($E32, Table_Fuel_EFs_StationaryLiquid[Fuel combusted], Table_Fuel_EFs_StationaryLiquid[Scope 1 Emission Factor (kg CO2 - e / GJ) CH4]),0)</f>
        <v>0.2</v>
      </c>
      <c r="J32" s="104">
        <f>IFERROR(_xlfn.XLOOKUP($E32, Table_Fuel_EFs_StationaryLiquid[Fuel combusted], Table_Fuel_EFs_StationaryLiquid[Scope 1 Emission Factor (kg CO2 - e / GJ) N2O]),0)</f>
        <v>0.2</v>
      </c>
      <c r="K32" s="105" cm="1">
        <f t="array" ref="K32">Fuel_InputFunctions.Fuel_TotalConsumption(Table_Input_Fuel[Amount consumed], Table_Input_Fuel[Fuel use (select)], D32, Table_Input_Fuel[Fuel type (select)],F32)</f>
        <v>0</v>
      </c>
      <c r="L32" s="92" t="str" cm="1">
        <f t="array" ref="L32">Common_InputFunctions.Utility_LookupValueInTable(F32,Table_FuelTypes_Units[Fuel type],Table_FuelTypes_Units[Unit])</f>
        <v>kL</v>
      </c>
      <c r="M32" s="113" cm="1">
        <f t="array" ref="M32">Fuel_Equations.VEERG_8_2_1_1__1_FuelCombustionStationary($K32,$G32,H32)</f>
        <v>0</v>
      </c>
      <c r="N32" s="113" cm="1">
        <f t="array" ref="N32">Fuel_Equations.VEERG_8_2_1_1__1_FuelCombustionStationary($K32,$G32,I32)</f>
        <v>0</v>
      </c>
      <c r="O32" s="113" cm="1">
        <f t="array" ref="O32">Fuel_Equations.VEERG_8_2_1_1__1_FuelCombustionStationary($K32,$G32,J32)</f>
        <v>0</v>
      </c>
    </row>
    <row r="33" spans="1:15" ht="20.100000000000001" customHeight="1" x14ac:dyDescent="0.25">
      <c r="D33" s="88" t="str">
        <f t="shared" ref="D33:D38"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cm="1">
        <f t="array" ref="K33">Fuel_InputFunctions.Fuel_TotalConsumption(Table_Input_Fuel[Amount consumed], Table_Input_Fuel[Fuel use (select)], D33, Table_Input_Fuel[Fuel type (select)],F33)</f>
        <v>0</v>
      </c>
      <c r="L33" s="31" t="str" cm="1">
        <f t="array" ref="L33">Common_InputFunctions.Utility_LookupValueInTable(F33,Table_FuelTypes_Units[Fuel type],Table_FuelTypes_Units[Unit])</f>
        <v>kL</v>
      </c>
      <c r="M33" s="111" cm="1">
        <f t="array" ref="M33">Fuel_Equations.VEERG_8_2_1_1__1_FuelCombustionStationary($K33,$G33,H33)</f>
        <v>0</v>
      </c>
      <c r="N33" s="111" cm="1">
        <f t="array" ref="N33">Fuel_Equations.VEERG_8_2_1_1__1_FuelCombustionStationary($K33,$G33,I33)</f>
        <v>0</v>
      </c>
      <c r="O33" s="111" cm="1">
        <f t="array" ref="O33">Fuel_Equations.VEERG_8_2_1_1__1_FuelCombustionStationary($K33,$G33,J33)</f>
        <v>0</v>
      </c>
    </row>
    <row r="34" spans="1:15"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cm="1">
        <f t="array" ref="K34">Fuel_InputFunctions.Fuel_TotalConsumption(Table_Input_Fuel[Amount consumed], Table_Input_Fuel[Fuel use (select)], D34, Table_Input_Fuel[Fuel type (select)],F34)</f>
        <v>0</v>
      </c>
      <c r="L34" s="31" t="str" cm="1">
        <f t="array" ref="L34">Common_InputFunctions.Utility_LookupValueInTable(F34,Table_FuelTypes_Units[Fuel type],Table_FuelTypes_Units[Unit])</f>
        <v>kL</v>
      </c>
      <c r="M34" s="111" cm="1">
        <f t="array" ref="M34">Fuel_Equations.VEERG_8_2_1_1__1_FuelCombustionStationary($K34,$G34,H34)</f>
        <v>0</v>
      </c>
      <c r="N34" s="111" cm="1">
        <f t="array" ref="N34">Fuel_Equations.VEERG_8_2_1_1__1_FuelCombustionStationary($K34,$G34,I34)</f>
        <v>0</v>
      </c>
      <c r="O34" s="111" cm="1">
        <f t="array" ref="O34">Fuel_Equations.VEERG_8_2_1_1__1_FuelCombustionStationary($K34,$G34,J34)</f>
        <v>0</v>
      </c>
    </row>
    <row r="35" spans="1:15"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cm="1">
        <f t="array" ref="K35">Fuel_InputFunctions.Fuel_TotalConsumption(Table_Input_Fuel[Amount consumed], Table_Input_Fuel[Fuel use (select)], D35, Table_Input_Fuel[Fuel type (select)],F35)</f>
        <v>0</v>
      </c>
      <c r="L35" s="31" t="str" cm="1">
        <f t="array" ref="L35">Common_InputFunctions.Utility_LookupValueInTable(F35,Table_FuelTypes_Units[Fuel type],Table_FuelTypes_Units[Unit])</f>
        <v>kL</v>
      </c>
      <c r="M35" s="111" cm="1">
        <f t="array" ref="M35">Fuel_Equations.VEERG_8_2_1_1__1_FuelCombustionStationary($K35,$G35,H35)</f>
        <v>0</v>
      </c>
      <c r="N35" s="111" cm="1">
        <f t="array" ref="N35">Fuel_Equations.VEERG_8_2_1_1__1_FuelCombustionStationary($K35,$G35,I35)</f>
        <v>0</v>
      </c>
      <c r="O35" s="111" cm="1">
        <f t="array" ref="O35">Fuel_Equations.VEERG_8_2_1_1__1_FuelCombustionStationary($K35,$G35,J35)</f>
        <v>0</v>
      </c>
    </row>
    <row r="36" spans="1:15"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cm="1">
        <f t="array" ref="K36">Fuel_InputFunctions.Fuel_TotalConsumption(Table_Input_Fuel[Amount consumed], Table_Input_Fuel[Fuel use (select)], D36, Table_Input_Fuel[Fuel type (select)],F36)</f>
        <v>0</v>
      </c>
      <c r="L36" s="31" t="str" cm="1">
        <f t="array" ref="L36">Common_InputFunctions.Utility_LookupValueInTable(F36,Table_FuelTypes_Units[Fuel type],Table_FuelTypes_Units[Unit])</f>
        <v>kL</v>
      </c>
      <c r="M36" s="111" cm="1">
        <f t="array" ref="M36">Fuel_Equations.VEERG_8_2_1_1__1_FuelCombustionStationary($K36,$G36,H36)</f>
        <v>0</v>
      </c>
      <c r="N36" s="111" cm="1">
        <f t="array" ref="N36">Fuel_Equations.VEERG_8_2_1_1__1_FuelCombustionStationary($K36,$G36,I36)</f>
        <v>0</v>
      </c>
      <c r="O36" s="111" cm="1">
        <f t="array" ref="O36">Fuel_Equations.VEERG_8_2_1_1__1_FuelCombustionStationary($K36,$G36,J36)</f>
        <v>0</v>
      </c>
    </row>
    <row r="37" spans="1:15"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cm="1">
        <f t="array" ref="K37">Fuel_InputFunctions.Fuel_TotalConsumption(Table_Input_Fuel[Amount consumed], Table_Input_Fuel[Fuel use (select)], D37, Table_Input_Fuel[Fuel type (select)],F37)</f>
        <v>0</v>
      </c>
      <c r="L37" s="31" t="str" cm="1">
        <f t="array" ref="L37">Common_InputFunctions.Utility_LookupValueInTable(F37,Table_FuelTypes_Units[Fuel type],Table_FuelTypes_Units[Unit])</f>
        <v>kL</v>
      </c>
      <c r="M37" s="111" cm="1">
        <f t="array" ref="M37">Fuel_Equations.VEERG_8_2_1_1__1_FuelCombustionStationary($K37,$G37,H37)</f>
        <v>0</v>
      </c>
      <c r="N37" s="111" cm="1">
        <f t="array" ref="N37">Fuel_Equations.VEERG_8_2_1_1__1_FuelCombustionStationary($K37,$G37,I37)</f>
        <v>0</v>
      </c>
      <c r="O37" s="111" cm="1">
        <f t="array" ref="O37">Fuel_Equations.VEERG_8_2_1_1__1_FuelCombustionStationary($K37,$G37,J37)</f>
        <v>0</v>
      </c>
    </row>
    <row r="38" spans="1:15"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cm="1">
        <f t="array" ref="K38">Fuel_InputFunctions.Fuel_TotalConsumption(Table_Input_Fuel[Amount consumed], Table_Input_Fuel[Fuel use (select)], D38, Table_Input_Fuel[Fuel type (select)],F38)</f>
        <v>0</v>
      </c>
      <c r="L38" s="31" t="str" cm="1">
        <f t="array" ref="L38">Common_InputFunctions.Utility_LookupValueInTable(F38,Table_FuelTypes_Units[Fuel type],Table_FuelTypes_Units[Unit])</f>
        <v>kL</v>
      </c>
      <c r="M38" s="111" cm="1">
        <f t="array" ref="M38">Fuel_Equations.VEERG_8_2_1_1__1_FuelCombustionStationary($K38,$G38,H38)</f>
        <v>0</v>
      </c>
      <c r="N38" s="111" cm="1">
        <f t="array" ref="N38">Fuel_Equations.VEERG_8_2_1_1__1_FuelCombustionStationary($K38,$G38,I38)</f>
        <v>0</v>
      </c>
      <c r="O38" s="111" cm="1">
        <f t="array" ref="O38">Fuel_Equations.VEERG_8_2_1_1__1_FuelCombustionStationary($K38,$G38,J38)</f>
        <v>0</v>
      </c>
    </row>
    <row r="39" spans="1:15" ht="20.100000000000001" customHeight="1" x14ac:dyDescent="0.25">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64" cm="1">
        <f t="array" ref="K39">Fuel_InputFunctions.Fuel_TotalConsumption(Table_Input_Fuel[Amount consumed], Table_Input_Fuel[Fuel use (select)], D39, Table_Input_Fuel[Fuel type (select)],F39)</f>
        <v>0</v>
      </c>
      <c r="L39" s="64" t="str" cm="1">
        <f t="array" ref="L39">Common_InputFunctions.Utility_LookupValueInTable(F39,Table_FuelTypes_Units[Fuel type],Table_FuelTypes_Units[Unit])</f>
        <v>GJ</v>
      </c>
      <c r="M39" s="111" cm="1">
        <f t="array" ref="M39">Fuel_Equations.VEERG_8_2_1_1__1_FuelCombustionStationary($K39,$G39,H39)</f>
        <v>0</v>
      </c>
      <c r="N39" s="111" cm="1">
        <f t="array" ref="N39">Fuel_Equations.VEERG_8_2_1_1__1_FuelCombustionStationary($K39,$G39,I39)</f>
        <v>0</v>
      </c>
      <c r="O39" s="111" cm="1">
        <f t="array" ref="O39">Fuel_Equations.VEERG_8_2_1_1__1_FuelCombustionStationary($K39,$G39,J39)</f>
        <v>0</v>
      </c>
    </row>
    <row r="40" spans="1:15" ht="20.100000000000001" customHeight="1" x14ac:dyDescent="0.25">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64" cm="1">
        <f t="array" ref="K40">Fuel_InputFunctions.Fuel_TotalConsumption(Table_Input_Fuel[Amount consumed], Table_Input_Fuel[Fuel use (select)], D40, Table_Input_Fuel[Fuel type (select)],F40)</f>
        <v>0</v>
      </c>
      <c r="L40" s="64" t="str" cm="1">
        <f t="array" ref="L40">Common_InputFunctions.Utility_LookupValueInTable(F40,Table_FuelTypes_Units[Fuel type],Table_FuelTypes_Units[Unit])</f>
        <v>GJ</v>
      </c>
      <c r="M40" s="111" cm="1">
        <f t="array" ref="M40">Fuel_Equations.VEERG_8_2_1_1__1_FuelCombustionStationary($K40,$G40,H40)</f>
        <v>0</v>
      </c>
      <c r="N40" s="111" cm="1">
        <f t="array" ref="N40">Fuel_Equations.VEERG_8_2_1_1__1_FuelCombustionStationary($K40,$G40,I40)</f>
        <v>0</v>
      </c>
      <c r="O40" s="111" cm="1">
        <f t="array" ref="O40">Fuel_Equations.VEERG_8_2_1_1__1_FuelCombustionStationary($K40,$G40,J40)</f>
        <v>0</v>
      </c>
    </row>
    <row r="41" spans="1:15" ht="20.100000000000001" customHeight="1" x14ac:dyDescent="0.25"/>
    <row r="42" spans="1:15" ht="20.100000000000001" customHeight="1" x14ac:dyDescent="0.25">
      <c r="D42" s="94" t="str">
        <f>"Total scope 1 - " &amp; D25</f>
        <v>Total scope 1 - Generators</v>
      </c>
      <c r="E42" s="95"/>
      <c r="F42" s="96"/>
    </row>
    <row r="43" spans="1:15" ht="20.100000000000001" customHeight="1" x14ac:dyDescent="0.25">
      <c r="D43" s="3" t="s">
        <v>159</v>
      </c>
      <c r="E43" s="106">
        <f>SUM(M25:M31)</f>
        <v>0</v>
      </c>
      <c r="F43" s="2" t="str">
        <f>$E$12</f>
        <v>t CO2-e</v>
      </c>
    </row>
    <row r="44" spans="1:15" ht="20.100000000000001" customHeight="1" x14ac:dyDescent="0.25">
      <c r="D44" s="3" t="s">
        <v>160</v>
      </c>
      <c r="E44" s="106">
        <f>SUM(N25:N31)</f>
        <v>0</v>
      </c>
      <c r="F44" s="2" t="str">
        <f t="shared" ref="F44:F45" si="2">$E$12</f>
        <v>t CO2-e</v>
      </c>
    </row>
    <row r="45" spans="1:15" ht="20.100000000000001" customHeight="1" x14ac:dyDescent="0.25">
      <c r="D45" s="3" t="s">
        <v>161</v>
      </c>
      <c r="E45" s="106">
        <f>SUM(O25:O31)</f>
        <v>0</v>
      </c>
      <c r="F45" s="2" t="str">
        <f t="shared" si="2"/>
        <v>t CO2-e</v>
      </c>
    </row>
    <row r="46" spans="1:15" ht="20.100000000000001" customHeight="1" x14ac:dyDescent="0.25">
      <c r="D46" s="3"/>
      <c r="E46" s="97"/>
      <c r="F46" s="2"/>
    </row>
    <row r="47" spans="1:15" ht="20.100000000000001" customHeight="1" x14ac:dyDescent="0.25">
      <c r="D47" s="94" t="str">
        <f>"Total scope 1 - " &amp; D32</f>
        <v>Total scope 1 - Power standalone machinery or heating</v>
      </c>
      <c r="E47" s="98"/>
      <c r="F47" s="96"/>
      <c r="H47" s="52"/>
      <c r="I47" s="52"/>
      <c r="J47" s="52"/>
      <c r="L47" s="52"/>
      <c r="N47" s="52"/>
      <c r="O47" s="52"/>
    </row>
    <row r="48" spans="1:15" ht="20.100000000000001" customHeight="1" x14ac:dyDescent="0.25">
      <c r="D48" s="3" t="s">
        <v>159</v>
      </c>
      <c r="E48" s="106">
        <f>SUM(M32:M40)</f>
        <v>0</v>
      </c>
      <c r="F48" s="2" t="str">
        <f t="shared" ref="F48:F50" si="3">$E$12</f>
        <v>t CO2-e</v>
      </c>
      <c r="H48" s="52"/>
      <c r="I48" s="52"/>
      <c r="J48" s="52"/>
      <c r="L48" s="52"/>
      <c r="N48" s="52"/>
      <c r="O48" s="52"/>
    </row>
    <row r="49" spans="4:15" ht="20.100000000000001" customHeight="1" x14ac:dyDescent="0.25">
      <c r="D49" s="3" t="s">
        <v>160</v>
      </c>
      <c r="E49" s="106">
        <f>SUM(N32:N40)</f>
        <v>0</v>
      </c>
      <c r="F49" s="2" t="str">
        <f t="shared" si="3"/>
        <v>t CO2-e</v>
      </c>
      <c r="H49" s="52"/>
      <c r="I49" s="52"/>
      <c r="J49" s="52"/>
      <c r="L49" s="52"/>
      <c r="N49" s="52"/>
      <c r="O49" s="52"/>
    </row>
    <row r="50" spans="4:15" ht="20.100000000000001" customHeight="1" x14ac:dyDescent="0.25">
      <c r="D50" s="3" t="s">
        <v>161</v>
      </c>
      <c r="E50" s="106">
        <f>SUM(O32:O40)</f>
        <v>0</v>
      </c>
      <c r="F50" s="2" t="str">
        <f t="shared" si="3"/>
        <v>t CO2-e</v>
      </c>
      <c r="H50" s="52"/>
      <c r="I50" s="52"/>
      <c r="J50" s="52"/>
      <c r="L50" s="52"/>
      <c r="N50" s="52"/>
      <c r="O50" s="52"/>
    </row>
    <row r="51" spans="4:15" ht="20.100000000000001" customHeight="1" x14ac:dyDescent="0.25">
      <c r="H51" s="52"/>
      <c r="I51" s="52"/>
      <c r="J51" s="52"/>
      <c r="L51" s="52"/>
      <c r="N51" s="52"/>
      <c r="O51" s="52"/>
    </row>
    <row r="52" spans="4:15" ht="20.100000000000001" customHeight="1" x14ac:dyDescent="0.25">
      <c r="D52" s="94" t="s">
        <v>182</v>
      </c>
      <c r="E52" s="98"/>
      <c r="F52" s="96"/>
      <c r="G52" s="52"/>
      <c r="H52" s="52"/>
      <c r="I52" s="52"/>
      <c r="J52" s="52"/>
      <c r="L52" s="52"/>
      <c r="N52" s="52"/>
      <c r="O52" s="52"/>
    </row>
    <row r="53" spans="4:15" ht="20.100000000000001" customHeight="1" x14ac:dyDescent="0.25">
      <c r="D53" s="3" t="s">
        <v>159</v>
      </c>
      <c r="E53" s="106">
        <f>E43+E48</f>
        <v>0</v>
      </c>
      <c r="F53" s="2" t="str">
        <f t="shared" ref="F53:F55" si="4">$E$12</f>
        <v>t CO2-e</v>
      </c>
      <c r="G53" s="52"/>
      <c r="H53" s="52"/>
      <c r="I53" s="52"/>
      <c r="J53" s="52"/>
      <c r="L53" s="52"/>
      <c r="N53" s="52"/>
      <c r="O53" s="52"/>
    </row>
    <row r="54" spans="4:15" ht="20.100000000000001" customHeight="1" x14ac:dyDescent="0.25">
      <c r="D54" s="3" t="s">
        <v>160</v>
      </c>
      <c r="E54" s="106">
        <f t="shared" ref="E54:E55" si="5">E44+E49</f>
        <v>0</v>
      </c>
      <c r="F54" s="2" t="str">
        <f t="shared" si="4"/>
        <v>t CO2-e</v>
      </c>
      <c r="G54" s="52"/>
      <c r="H54" s="52"/>
      <c r="I54" s="52"/>
      <c r="J54" s="52"/>
      <c r="L54" s="52"/>
      <c r="N54" s="52"/>
      <c r="O54" s="52"/>
    </row>
    <row r="55" spans="4:15" ht="20.100000000000001" customHeight="1" x14ac:dyDescent="0.25">
      <c r="D55" s="3" t="s">
        <v>161</v>
      </c>
      <c r="E55" s="106">
        <f t="shared" si="5"/>
        <v>0</v>
      </c>
      <c r="F55" s="2" t="str">
        <f t="shared" si="4"/>
        <v>t CO2-e</v>
      </c>
      <c r="G55" s="52"/>
      <c r="H55" s="52"/>
      <c r="I55" s="52"/>
      <c r="J55" s="52"/>
      <c r="L55" s="52"/>
      <c r="N55" s="52"/>
      <c r="O55" s="52"/>
    </row>
    <row r="56" spans="4:15" ht="20.100000000000001" customHeight="1" x14ac:dyDescent="0.25"/>
    <row r="57" spans="4:15" ht="20.100000000000001" customHeight="1" x14ac:dyDescent="0.25">
      <c r="G57" s="52"/>
      <c r="H57" s="52"/>
      <c r="I57" s="52"/>
      <c r="J57" s="52"/>
      <c r="L57" s="52"/>
      <c r="N57" s="52"/>
      <c r="O57" s="52"/>
    </row>
    <row r="58" spans="4:15" ht="20.100000000000001" customHeight="1" x14ac:dyDescent="0.25">
      <c r="G58" s="52"/>
      <c r="H58" s="52"/>
      <c r="I58" s="52"/>
      <c r="J58" s="52"/>
      <c r="L58" s="52"/>
      <c r="N58" s="52"/>
      <c r="O58" s="52"/>
    </row>
    <row r="59" spans="4:15" ht="20.100000000000001" customHeight="1" x14ac:dyDescent="0.25">
      <c r="G59" s="52"/>
      <c r="H59" s="52"/>
      <c r="I59" s="52"/>
      <c r="J59" s="52"/>
      <c r="L59" s="52"/>
      <c r="N59" s="52"/>
      <c r="O59" s="52"/>
    </row>
    <row r="60" spans="4:15" ht="20.100000000000001" customHeight="1" x14ac:dyDescent="0.25">
      <c r="G60" s="52"/>
      <c r="H60" s="52"/>
      <c r="I60" s="52"/>
      <c r="J60" s="52"/>
      <c r="L60" s="52"/>
      <c r="N60" s="52"/>
      <c r="O60" s="52"/>
    </row>
    <row r="61" spans="4:15" ht="20.100000000000001" customHeight="1" x14ac:dyDescent="0.25">
      <c r="G61" s="52"/>
      <c r="H61" s="52"/>
      <c r="I61" s="52"/>
      <c r="J61" s="52"/>
      <c r="L61" s="52"/>
      <c r="N61" s="52"/>
      <c r="O61" s="52"/>
    </row>
    <row r="62" spans="4:15" ht="20.100000000000001" customHeight="1" x14ac:dyDescent="0.25">
      <c r="G62" s="52"/>
      <c r="H62" s="52"/>
      <c r="I62" s="52"/>
      <c r="J62" s="52"/>
      <c r="L62" s="52"/>
      <c r="N62" s="52"/>
      <c r="O62" s="52"/>
    </row>
    <row r="63" spans="4:15" ht="20.100000000000001" customHeight="1" x14ac:dyDescent="0.25">
      <c r="G63" s="52"/>
      <c r="H63" s="52"/>
      <c r="I63" s="52"/>
      <c r="J63" s="52"/>
      <c r="L63" s="52"/>
      <c r="N63" s="52"/>
      <c r="O63" s="52"/>
    </row>
    <row r="64" spans="4:15" ht="20.100000000000001" customHeight="1" x14ac:dyDescent="0.25">
      <c r="G64" s="52"/>
      <c r="H64" s="52"/>
      <c r="I64" s="52"/>
      <c r="J64" s="52"/>
      <c r="L64" s="52"/>
      <c r="N64" s="52"/>
      <c r="O64" s="52"/>
    </row>
    <row r="65" spans="1:15" ht="20.100000000000001" customHeight="1" x14ac:dyDescent="0.25">
      <c r="G65" s="52"/>
      <c r="H65" s="52"/>
      <c r="I65" s="52"/>
      <c r="J65" s="52"/>
      <c r="L65" s="52"/>
      <c r="N65" s="52"/>
      <c r="O65" s="52"/>
    </row>
    <row r="66" spans="1:15" ht="20.100000000000001" customHeight="1" x14ac:dyDescent="0.25">
      <c r="G66" s="52"/>
      <c r="H66" s="52"/>
      <c r="I66" s="52"/>
      <c r="J66" s="52"/>
      <c r="L66" s="52"/>
      <c r="N66" s="52"/>
      <c r="O66" s="52"/>
    </row>
    <row r="67" spans="1:15" ht="20.100000000000001" customHeight="1" x14ac:dyDescent="0.25">
      <c r="G67" s="52"/>
    </row>
    <row r="68" spans="1:15" ht="20.100000000000001" customHeight="1" x14ac:dyDescent="0.25">
      <c r="G68" s="52"/>
    </row>
    <row r="69" spans="1:15" ht="20.100000000000001" customHeight="1" x14ac:dyDescent="0.25">
      <c r="G69" s="52"/>
    </row>
    <row r="70" spans="1:15" ht="20.100000000000001" customHeight="1" x14ac:dyDescent="0.25">
      <c r="G70" s="52"/>
    </row>
    <row r="71" spans="1:15" ht="20.100000000000001" customHeight="1" x14ac:dyDescent="0.25">
      <c r="G71" s="52"/>
    </row>
    <row r="72" spans="1:15" ht="20.100000000000001" customHeight="1" x14ac:dyDescent="0.25"/>
    <row r="73" spans="1:15" ht="20.100000000000001" customHeight="1" x14ac:dyDescent="0.25"/>
    <row r="74" spans="1:15" ht="20.100000000000001" customHeight="1" x14ac:dyDescent="0.25"/>
    <row r="75" spans="1:15" ht="20.100000000000001" customHeight="1" x14ac:dyDescent="0.25"/>
    <row r="76" spans="1:15" ht="20.100000000000001" customHeight="1" x14ac:dyDescent="0.25">
      <c r="A76" s="63" t="str">
        <f>HYPERLINK("#A1", "▲ Back to top")</f>
        <v>▲ Back to top</v>
      </c>
    </row>
    <row r="77" spans="1:15" ht="20.100000000000001" customHeight="1" x14ac:dyDescent="0.25"/>
    <row r="78" spans="1:15" ht="20.100000000000001" customHeight="1" x14ac:dyDescent="0.25"/>
    <row r="79" spans="1:15" ht="20.100000000000001" customHeight="1" x14ac:dyDescent="0.25"/>
    <row r="80" spans="1: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C1F92-97DF-4533-8AD2-2A18034CC3AD}">
  <dimension ref="A1:P165"/>
  <sheetViews>
    <sheetView showGridLines="0" zoomScale="85" zoomScaleNormal="85" workbookViewId="0">
      <selection activeCell="A16" sqref="A16"/>
    </sheetView>
  </sheetViews>
  <sheetFormatPr defaultRowHeight="15.75" x14ac:dyDescent="0.25"/>
  <cols>
    <col min="1" max="1" width="30.7109375" customWidth="1"/>
    <col min="2" max="2" width="4.7109375" customWidth="1"/>
    <col min="3" max="3" width="4.7109375" style="1" customWidth="1"/>
    <col min="4" max="4" width="40.42578125" style="1" customWidth="1"/>
    <col min="5" max="15" width="30.7109375" style="1" customWidth="1"/>
    <col min="16" max="16" width="4.7109375" style="1" customWidth="1"/>
  </cols>
  <sheetData>
    <row r="1" spans="1:16" s="8" customFormat="1" ht="30" customHeight="1" x14ac:dyDescent="0.35">
      <c r="A1" s="8" t="e" vm="1">
        <v>#VALUE!</v>
      </c>
      <c r="C1" s="8" t="s">
        <v>110</v>
      </c>
    </row>
    <row r="2" spans="1:16" s="9" customFormat="1" ht="20.100000000000001" customHeight="1" x14ac:dyDescent="0.25">
      <c r="A2"/>
    </row>
    <row r="3" spans="1:16" ht="20.100000000000001" customHeight="1" x14ac:dyDescent="0.25">
      <c r="A3" s="14" t="str">
        <f>HYPERLINK("#'Home'!A1", "Home")</f>
        <v>Home</v>
      </c>
      <c r="C3" s="4"/>
      <c r="D3" s="4" t="s">
        <v>49</v>
      </c>
      <c r="E3" s="4"/>
      <c r="F3" s="4"/>
      <c r="G3" s="4"/>
      <c r="H3" s="4"/>
      <c r="I3" s="4"/>
      <c r="J3" s="4"/>
      <c r="K3" s="4"/>
      <c r="L3" s="4"/>
      <c r="M3" s="4"/>
      <c r="N3" s="4"/>
      <c r="O3" s="4"/>
      <c r="P3" s="4"/>
    </row>
    <row r="4" spans="1:16" ht="20.100000000000001" customHeight="1" x14ac:dyDescent="0.25">
      <c r="A4" s="14" t="str">
        <f>HYPERLINK("#'Overview'!A1", "Overview")</f>
        <v>Overview</v>
      </c>
    </row>
    <row r="5" spans="1:16" ht="20.100000000000001" customHeight="1" x14ac:dyDescent="0.25">
      <c r="A5" s="14" t="str">
        <f>HYPERLINK("#'Results'!A1", "Results")</f>
        <v>Results</v>
      </c>
      <c r="D5" s="6" t="str" cm="1">
        <f t="array" ref="D5">Fuel_Equations.VEERG_8_X_FuelCombustionGeneric_Title()</f>
        <v>Emissions for each GHG from the generic combustion of fuels</v>
      </c>
      <c r="O5" s="52"/>
    </row>
    <row r="6" spans="1:16" ht="20.100000000000001" customHeight="1" x14ac:dyDescent="0.25">
      <c r="A6" s="13"/>
      <c r="D6" s="5" t="str" cm="1">
        <f t="array" ref="D6">Fuel_Equations.VEERG_8_X_FuelCombustionGeneric_Source()</f>
        <v>Uses VEERG 2026: 8.1.1.1, Equation (1), 8.2.1.1, Equation (1) and everages the Australian National Greenhouse Accounts Factors 2025 for transport and stationary fuel combustion</v>
      </c>
      <c r="O6" s="52"/>
    </row>
    <row r="7" spans="1:16" ht="20.100000000000001" customHeight="1" x14ac:dyDescent="0.25">
      <c r="A7" s="17" t="s">
        <v>1</v>
      </c>
      <c r="D7" s="34" t="str" cm="1">
        <f t="array" ref="D7">Fuel_Equations.VEERG_8_X_FuelCombustionGeneric_Variation()</f>
        <v>VARIATION ON SOURCE: This calculation uses averages of transport and stationary emission factors for fuel combustion where the usage is not known.</v>
      </c>
      <c r="O7" s="52"/>
    </row>
    <row r="8" spans="1:16" ht="20.100000000000001" customHeight="1" x14ac:dyDescent="0.25">
      <c r="A8" s="14" t="str">
        <f>HYPERLINK("#'Input - Fuel'!A1", "Fuel")</f>
        <v>Fuel</v>
      </c>
      <c r="D8" s="11" t="s">
        <v>10</v>
      </c>
      <c r="E8" s="11" t="str" cm="1">
        <f t="array" aca="1" ref="E8" ca="1">Common_InputFunctions.Utility_DisplayFunctionName(M25)</f>
        <v>=Fuel_Equations.VEERG_8_2_1_1__1_FuelCombustionStationary</v>
      </c>
      <c r="O8" s="52"/>
    </row>
    <row r="9" spans="1:16" ht="20.100000000000001" customHeight="1" x14ac:dyDescent="0.25">
      <c r="A9" s="14"/>
      <c r="G9" s="5"/>
      <c r="O9" s="52"/>
    </row>
    <row r="10" spans="1:16" ht="20.100000000000001" customHeight="1" x14ac:dyDescent="0.25">
      <c r="A10" s="16" t="s">
        <v>45</v>
      </c>
      <c r="O10" s="52"/>
    </row>
    <row r="11" spans="1:16" ht="20.100000000000001" customHeight="1" x14ac:dyDescent="0.25">
      <c r="A11" s="14" t="str">
        <f>HYPERLINK("#'8.1.1.1-2 Transport fuel'!A1", "8.1.1.1-2 Transport fuel")</f>
        <v>8.1.1.1-2 Transport fuel</v>
      </c>
      <c r="D11" s="32" t="s">
        <v>13</v>
      </c>
      <c r="E11" s="1" t="str" cm="1">
        <f t="array" ref="E11">Fuel_Equations.VEERG_8_X_FuelCombustionGeneric_Variable()</f>
        <v>E_g</v>
      </c>
      <c r="O11" s="52"/>
    </row>
    <row r="12" spans="1:16" ht="20.100000000000001" customHeight="1" x14ac:dyDescent="0.25">
      <c r="A12" s="14" t="str">
        <f>HYPERLINK("#'8.2.1.1-2 Stationary fuel'!A1", "8.2.1.1-2 Stationary fuel")</f>
        <v>8.2.1.1-2 Stationary fuel</v>
      </c>
      <c r="D12" s="32" t="s">
        <v>5</v>
      </c>
      <c r="E12" s="33" t="str" cm="1">
        <f t="array" ref="E12">Fuel_Equations.VEERG_8_X_FuelCombustionGeneric_Unit()</f>
        <v>t CO2-e</v>
      </c>
    </row>
    <row r="13" spans="1:16" ht="20.100000000000001" customHeight="1" x14ac:dyDescent="0.25">
      <c r="A13" s="71" t="str">
        <f>HYPERLINK("#'8.X.1.1-2 General use fuel'!A1", "8.X.1.1-2 General use fuel")</f>
        <v>8.X.1.1-2 General use fuel</v>
      </c>
    </row>
    <row r="14" spans="1:16" ht="20.100000000000001" customHeight="1" x14ac:dyDescent="0.25">
      <c r="A14" s="14"/>
      <c r="D14" s="60" t="str" cm="1">
        <f t="array" ref="D14:E20">_xlfn.CHOOSECOLS(Fuel_Equations.VEERG_8_X_FuelCombustionGeneric_Arguments(), 1,2)</f>
        <v>Q_GCq</v>
      </c>
      <c r="E14" s="62" t="str">
        <v>Amount of fuel type q used for generic combustion operations</v>
      </c>
      <c r="F14" s="61"/>
      <c r="G14" s="60" t="str" cm="1">
        <f t="array" ref="G14:H20">_xlfn.CHOOSECOLS(Fuel_Equations.VEERG_8_X_FuelCombustionGeneric_Arguments(), 3,4)</f>
        <v>Varies based on fuel type: kL, m3, GJ</v>
      </c>
      <c r="H14" s="55" t="str">
        <v>Input</v>
      </c>
      <c r="I14" s="59" t="str" cm="1">
        <f t="array" aca="1" ref="I14" ca="1">HYPERLINK(Common_InputFunctions.Utility_SourceHyperlink($D$22), $D$22)</f>
        <v>Table_E_g</v>
      </c>
      <c r="O14" s="52"/>
    </row>
    <row r="15" spans="1:16" ht="20.100000000000001" customHeight="1" x14ac:dyDescent="0.25">
      <c r="A15" s="15" t="s">
        <v>2</v>
      </c>
      <c r="D15" s="60" t="str">
        <v>EC_GCq</v>
      </c>
      <c r="E15" s="62" t="str">
        <v>Energy content factor for generic combustion operations</v>
      </c>
      <c r="F15" s="61"/>
      <c r="G15" s="60" t="str">
        <v>GJ / unit of fuel</v>
      </c>
      <c r="H15" s="54" t="str">
        <v>Constant</v>
      </c>
      <c r="I15" s="59" t="str" cm="1">
        <f t="array" aca="1" ref="I15" ca="1">HYPERLINK(Common_InputFunctions.Utility_SourceHyperlink($D$22), $D$22)</f>
        <v>Table_E_g</v>
      </c>
      <c r="O15" s="52"/>
    </row>
    <row r="16" spans="1:16" ht="20.100000000000001" customHeight="1" x14ac:dyDescent="0.25">
      <c r="A16" s="14" t="str">
        <f>HYPERLINK("#'Constants - Fuel'!A1", "Constants - Fuel")</f>
        <v>Constants - Fuel</v>
      </c>
      <c r="D16" s="60" t="str">
        <v>EF_GC1qg</v>
      </c>
      <c r="E16" s="62" t="str">
        <v>Scope 1 emission factor for generic combustion for each greenhouse gas</v>
      </c>
      <c r="F16" s="61"/>
      <c r="G16" s="60" t="str">
        <v>kg CO2e / GJ</v>
      </c>
      <c r="H16" s="54" t="str">
        <v>Constant</v>
      </c>
      <c r="I16" s="59" t="str" cm="1">
        <f t="array" aca="1" ref="I16" ca="1">HYPERLINK(Common_InputFunctions.Utility_SourceHyperlink($D$22), $D$22)</f>
        <v>Table_E_g</v>
      </c>
      <c r="O16" s="52"/>
    </row>
    <row r="17" spans="1:15" ht="20.100000000000001" customHeight="1" x14ac:dyDescent="0.25">
      <c r="A17" s="14" t="str">
        <f>HYPERLINK("#'Constants - Common'!A1", "Constants - Common")</f>
        <v>Constants - Common</v>
      </c>
      <c r="D17" s="60" t="str">
        <v>q</v>
      </c>
      <c r="E17" s="62" t="str">
        <v>Fuel type</v>
      </c>
      <c r="F17" s="61"/>
      <c r="G17" s="60" t="str">
        <v/>
      </c>
      <c r="H17" s="54" t="str">
        <v>Constant</v>
      </c>
      <c r="I17" s="59"/>
      <c r="J17" s="52"/>
      <c r="L17" s="52"/>
      <c r="N17" s="52"/>
      <c r="O17" s="52"/>
    </row>
    <row r="18" spans="1:15" ht="20.100000000000001" customHeight="1" x14ac:dyDescent="0.25">
      <c r="D18" s="60" t="str">
        <v>GC</v>
      </c>
      <c r="E18" s="62" t="str">
        <v>Generic combustion</v>
      </c>
      <c r="F18" s="61"/>
      <c r="G18" s="60" t="str">
        <v/>
      </c>
      <c r="H18" s="54" t="str">
        <v>Constant</v>
      </c>
      <c r="I18" s="59"/>
      <c r="J18" s="52"/>
      <c r="L18" s="52"/>
      <c r="N18" s="52"/>
      <c r="O18" s="52"/>
    </row>
    <row r="19" spans="1:15" ht="20.100000000000001" customHeight="1" x14ac:dyDescent="0.25">
      <c r="D19" s="60" t="str">
        <v>g</v>
      </c>
      <c r="E19" s="62" t="str">
        <v>Greenhouse gas</v>
      </c>
      <c r="F19" s="61"/>
      <c r="G19" s="60" t="str">
        <v/>
      </c>
      <c r="H19" s="54" t="str">
        <v>Constant</v>
      </c>
      <c r="I19" s="59"/>
      <c r="J19" s="52"/>
      <c r="L19" s="52"/>
      <c r="N19" s="52"/>
      <c r="O19" s="52"/>
    </row>
    <row r="20" spans="1:15" ht="20.100000000000001" customHeight="1" x14ac:dyDescent="0.25">
      <c r="A20" s="14"/>
      <c r="D20" s="60" t="str">
        <v>1</v>
      </c>
      <c r="E20" s="62" t="str">
        <v>Scope 1</v>
      </c>
      <c r="F20" s="61"/>
      <c r="G20" s="60" t="str">
        <v/>
      </c>
      <c r="H20" s="54" t="str">
        <v>Constant</v>
      </c>
      <c r="I20" s="59"/>
      <c r="J20" s="52"/>
      <c r="L20" s="52"/>
      <c r="N20" s="52"/>
      <c r="O20" s="52"/>
    </row>
    <row r="21" spans="1:15" ht="20.100000000000001" customHeight="1" x14ac:dyDescent="0.25">
      <c r="A21" s="14"/>
      <c r="O21" s="52"/>
    </row>
    <row r="22" spans="1:15" ht="20.100000000000001" customHeight="1" x14ac:dyDescent="0.25">
      <c r="D22" s="43" t="s">
        <v>163</v>
      </c>
    </row>
    <row r="23" spans="1:15" ht="20.100000000000001" customHeight="1" x14ac:dyDescent="0.25">
      <c r="A23" s="14"/>
      <c r="D23" s="42" t="s">
        <v>172</v>
      </c>
    </row>
    <row r="24" spans="1:15" ht="20.100000000000001" customHeight="1" x14ac:dyDescent="0.25">
      <c r="D24" s="30" t="s">
        <v>149</v>
      </c>
      <c r="E24" s="30" t="s">
        <v>162</v>
      </c>
      <c r="F24" s="30" t="s">
        <v>150</v>
      </c>
      <c r="G24" s="30" t="s">
        <v>166</v>
      </c>
      <c r="H24" s="30" t="s">
        <v>167</v>
      </c>
      <c r="I24" s="30" t="s">
        <v>168</v>
      </c>
      <c r="J24" s="30" t="s">
        <v>169</v>
      </c>
      <c r="K24" s="53" t="s">
        <v>170</v>
      </c>
      <c r="L24" s="30" t="s">
        <v>155</v>
      </c>
      <c r="M24" s="30" t="s">
        <v>156</v>
      </c>
      <c r="N24" s="30" t="s">
        <v>157</v>
      </c>
      <c r="O24" s="30" t="s">
        <v>158</v>
      </c>
    </row>
    <row r="25" spans="1:15" ht="20.100000000000001" customHeight="1" x14ac:dyDescent="0.25">
      <c r="D25" s="3" t="str">
        <f>Table_FuelTypesPerUse[[#Headers],[General use]]</f>
        <v>General use</v>
      </c>
      <c r="E25" s="87" t="str">
        <f>'Constants - Fuel'!E10 &amp; ", " &amp; 'Constants - Fuel'!$D$58</f>
        <v>Gasoline, Automotive gasoline / petrol (other than for use as fuel in an aircraft)</v>
      </c>
      <c r="F25" s="87" t="str">
        <f>'Constants - Fuel'!J131</f>
        <v>Petrol</v>
      </c>
      <c r="G25" s="31">
        <f>AVERAGE(Common_InputFunctions.Utility_LookupValueInTableNumber(Fuel_InputFunctions.Fuel_GetStationaryFuelString($E25), Table_Fuel_EFs_StationaryLiquid[Fuel combusted], Table_Fuel_EFs_StationaryLiquid[Energy Content Factor (GJ per unit of fuel)]), Common_InputFunctions.Utility_LookupValueInTableNumber(Fuel_InputFunctions.Fuel_GetTransportFuelString($E25), Table_Fuel_EFs_Transport[Fuel combusted], Table_Fuel_EFs_Transport[Energy Content Factor (GJ per unit of fuel)]))</f>
        <v>34.200000000000003</v>
      </c>
      <c r="H25" s="31">
        <f>AVERAGE(Common_InputFunctions.Utility_LookupValueInTableNumber(Fuel_InputFunctions.Fuel_GetStationaryFuelString($E25), Table_Fuel_EFs_StationaryLiquid[Fuel combusted], Table_Fuel_EFs_StationaryLiquid[Scope 1 Emission Factor (kg CO2 - e / GJ) CO2]), Common_InputFunctions.Utility_LookupValueInTableNumber(Fuel_InputFunctions.Fuel_GetTransportFuelString($E25), Table_Fuel_EFs_Transport[Fuel combusted], Table_Fuel_EFs_Transport[Scope 1 Emission Factor (kg CO2 - e / GJ) CO2]))</f>
        <v>67.400000000000006</v>
      </c>
      <c r="I25" s="31">
        <f>AVERAGE(Common_InputFunctions.Utility_LookupValueInTableNumber(Fuel_InputFunctions.Fuel_GetStationaryFuelString($E25), Table_Fuel_EFs_StationaryLiquid[Fuel combusted], Table_Fuel_EFs_StationaryLiquid[Scope 1 Emission Factor (kg CO2 - e / GJ) CH4]), Common_InputFunctions.Utility_LookupValueInTableNumber(Fuel_InputFunctions.Fuel_GetTransportFuelString($E25), Table_Fuel_EFs_Transport[Fuel combusted], Table_Fuel_EFs_Transport[Scope 1 Emission Factor (kg CO2 - e / GJ) CH4]))</f>
        <v>0.11</v>
      </c>
      <c r="J25" s="31">
        <f>AVERAGE(Common_InputFunctions.Utility_LookupValueInTableNumber(Fuel_InputFunctions.Fuel_GetStationaryFuelString($E25), Table_Fuel_EFs_StationaryLiquid[Fuel combusted], Table_Fuel_EFs_StationaryLiquid[Scope 1 Emission Factor (kg CO2 - e / GJ) N2O]), Common_InputFunctions.Utility_LookupValueInTableNumber(Fuel_InputFunctions.Fuel_GetTransportFuelString($E25), Table_Fuel_EFs_Transport[Fuel combusted], Table_Fuel_EFs_Transport[Scope 1 Emission Factor (kg CO2 - e / GJ) N2O]))</f>
        <v>0.2</v>
      </c>
      <c r="K25" s="64" cm="1">
        <f t="array" ref="K25">Fuel_InputFunctions.Fuel_TotalConsumption(Table_Input_Fuel[Amount consumed], Table_Input_Fuel[Fuel use (select)], D25, Table_Input_Fuel[Fuel type (select)],F25)</f>
        <v>0.30000000000000004</v>
      </c>
      <c r="L25" s="64" t="str" cm="1">
        <f t="array" ref="L25">Common_InputFunctions.Utility_LookupValueInTable(F25,Table_FuelTypes_Units[Fuel type],Table_FuelTypes_Units[Unit])</f>
        <v>kL</v>
      </c>
      <c r="M25" s="107" cm="1">
        <f t="array" ref="M25">Fuel_Equations.VEERG_8_2_1_1__1_FuelCombustionStationary($K25,$G25,H25)</f>
        <v>0.69152400000000014</v>
      </c>
      <c r="N25" s="107" cm="1">
        <f t="array" ref="N25">Fuel_Equations.VEERG_8_2_1_1__1_FuelCombustionStationary($K25,$G25,I25)</f>
        <v>1.1286000000000002E-3</v>
      </c>
      <c r="O25" s="107" cm="1">
        <f t="array" ref="O25">Fuel_Equations.VEERG_8_2_1_1__1_FuelCombustionStationary($K25,$G25,J25)</f>
        <v>2.0520000000000004E-3</v>
      </c>
    </row>
    <row r="26" spans="1:15" ht="20.100000000000001" customHeight="1" x14ac:dyDescent="0.25">
      <c r="D26" s="88" t="str">
        <f>$D$25</f>
        <v>General use</v>
      </c>
      <c r="E26" s="87" t="str">
        <f>'Constants - Fuel'!E11 &amp; ", " &amp; 'Constants - Fuel'!$D$63</f>
        <v>Diesel oil, Diesel oil</v>
      </c>
      <c r="F26" s="87" t="str">
        <f>'Constants - Fuel'!J132</f>
        <v>Diesel</v>
      </c>
      <c r="G26" s="31">
        <f>AVERAGE(Common_InputFunctions.Utility_LookupValueInTableNumber(Fuel_InputFunctions.Fuel_GetStationaryFuelString($E26), Table_Fuel_EFs_StationaryLiquid[Fuel combusted], Table_Fuel_EFs_StationaryLiquid[Energy Content Factor (GJ per unit of fuel)]), Common_InputFunctions.Utility_LookupValueInTableNumber(Fuel_InputFunctions.Fuel_GetTransportFuelString($E26), Table_Fuel_EFs_Transport[Fuel combusted], Table_Fuel_EFs_Transport[Energy Content Factor (GJ per unit of fuel)]))</f>
        <v>38.6</v>
      </c>
      <c r="H26" s="31">
        <f>AVERAGE(Common_InputFunctions.Utility_LookupValueInTableNumber(Fuel_InputFunctions.Fuel_GetStationaryFuelString($E26), Table_Fuel_EFs_StationaryLiquid[Fuel combusted], Table_Fuel_EFs_StationaryLiquid[Scope 1 Emission Factor (kg CO2 - e / GJ) CO2]), Common_InputFunctions.Utility_LookupValueInTableNumber(Fuel_InputFunctions.Fuel_GetTransportFuelString($E26), Table_Fuel_EFs_Transport[Fuel combusted], Table_Fuel_EFs_Transport[Scope 1 Emission Factor (kg CO2 - e / GJ) CO2]))</f>
        <v>69.900000000000006</v>
      </c>
      <c r="I26" s="31">
        <f>AVERAGE(Common_InputFunctions.Utility_LookupValueInTableNumber(Fuel_InputFunctions.Fuel_GetStationaryFuelString($E26), Table_Fuel_EFs_StationaryLiquid[Fuel combusted], Table_Fuel_EFs_StationaryLiquid[Scope 1 Emission Factor (kg CO2 - e / GJ) CH4]), Common_InputFunctions.Utility_LookupValueInTableNumber(Fuel_InputFunctions.Fuel_GetTransportFuelString($E26), Table_Fuel_EFs_Transport[Fuel combusted], Table_Fuel_EFs_Transport[Scope 1 Emission Factor (kg CO2 - e / GJ) CH4]))</f>
        <v>5.5E-2</v>
      </c>
      <c r="J26" s="31">
        <f>AVERAGE(Common_InputFunctions.Utility_LookupValueInTableNumber(Fuel_InputFunctions.Fuel_GetStationaryFuelString($E26), Table_Fuel_EFs_StationaryLiquid[Fuel combusted], Table_Fuel_EFs_StationaryLiquid[Scope 1 Emission Factor (kg CO2 - e / GJ) N2O]), Common_InputFunctions.Utility_LookupValueInTableNumber(Fuel_InputFunctions.Fuel_GetTransportFuelString($E26), Table_Fuel_EFs_Transport[Fuel combusted], Table_Fuel_EFs_Transport[Scope 1 Emission Factor (kg CO2 - e / GJ) N2O]))</f>
        <v>0.35</v>
      </c>
      <c r="K26" s="64" cm="1">
        <f t="array" ref="K26">Fuel_InputFunctions.Fuel_TotalConsumption(Table_Input_Fuel[Amount consumed], Table_Input_Fuel[Fuel use (select)], D26, Table_Input_Fuel[Fuel type (select)],F26)</f>
        <v>0.1</v>
      </c>
      <c r="L26" s="64" t="str" cm="1">
        <f t="array" ref="L26">Common_InputFunctions.Utility_LookupValueInTable(F26,Table_FuelTypes_Units[Fuel type],Table_FuelTypes_Units[Unit])</f>
        <v>kL</v>
      </c>
      <c r="M26" s="107" cm="1">
        <f t="array" ref="M26">Fuel_Equations.VEERG_8_2_1_1__1_FuelCombustionStationary($K26,$G26,H26)</f>
        <v>0.26981400000000005</v>
      </c>
      <c r="N26" s="107" cm="1">
        <f t="array" ref="N26">Fuel_Equations.VEERG_8_2_1_1__1_FuelCombustionStationary($K26,$G26,I26)</f>
        <v>2.1230000000000001E-4</v>
      </c>
      <c r="O26" s="107" cm="1">
        <f t="array" ref="O26">Fuel_Equations.VEERG_8_2_1_1__1_FuelCombustionStationary($K26,$G26,J26)</f>
        <v>1.351E-3</v>
      </c>
    </row>
    <row r="27" spans="1:15" ht="20.100000000000001" customHeight="1" x14ac:dyDescent="0.25">
      <c r="D27" s="88" t="str">
        <f t="shared" ref="D27:D33" si="0">$D$25</f>
        <v>General use</v>
      </c>
      <c r="E27" s="87" t="str">
        <f>'Constants - Fuel'!E12 &amp; ", " &amp; 'Constants - Fuel'!$D$67</f>
        <v>Liquefied petroleum gas (LPG), Liquefied petroleum gas (LPG)</v>
      </c>
      <c r="F27" s="87" t="str">
        <f>'Constants - Fuel'!J133</f>
        <v>Liquefied petroleum gas (LPG)</v>
      </c>
      <c r="G27" s="31">
        <f>AVERAGE(Common_InputFunctions.Utility_LookupValueInTableNumber(Fuel_InputFunctions.Fuel_GetStationaryFuelString($E27), Table_Fuel_EFs_StationaryLiquid[Fuel combusted], Table_Fuel_EFs_StationaryLiquid[Energy Content Factor (GJ per unit of fuel)]), Common_InputFunctions.Utility_LookupValueInTableNumber(Fuel_InputFunctions.Fuel_GetTransportFuelString($E27), Table_Fuel_EFs_Transport[Fuel combusted], Table_Fuel_EFs_Transport[Energy Content Factor (GJ per unit of fuel)]))</f>
        <v>25.95</v>
      </c>
      <c r="H27" s="31">
        <f>AVERAGE(Common_InputFunctions.Utility_LookupValueInTableNumber(Fuel_InputFunctions.Fuel_GetStationaryFuelString($E27), Table_Fuel_EFs_StationaryLiquid[Fuel combusted], Table_Fuel_EFs_StationaryLiquid[Scope 1 Emission Factor (kg CO2 - e / GJ) CO2]), Common_InputFunctions.Utility_LookupValueInTableNumber(Fuel_InputFunctions.Fuel_GetTransportFuelString($E27), Table_Fuel_EFs_Transport[Fuel combusted], Table_Fuel_EFs_Transport[Scope 1 Emission Factor (kg CO2 - e / GJ) CO2]))</f>
        <v>60.2</v>
      </c>
      <c r="I27" s="31">
        <f>AVERAGE(Common_InputFunctions.Utility_LookupValueInTableNumber(Fuel_InputFunctions.Fuel_GetStationaryFuelString($E27), Table_Fuel_EFs_StationaryLiquid[Fuel combusted], Table_Fuel_EFs_StationaryLiquid[Scope 1 Emission Factor (kg CO2 - e / GJ) CH4]), Common_InputFunctions.Utility_LookupValueInTableNumber(Fuel_InputFunctions.Fuel_GetTransportFuelString($E27), Table_Fuel_EFs_Transport[Fuel combusted], Table_Fuel_EFs_Transport[Scope 1 Emission Factor (kg CO2 - e / GJ) CH4]))</f>
        <v>0.35</v>
      </c>
      <c r="J27" s="31">
        <f>AVERAGE(Common_InputFunctions.Utility_LookupValueInTableNumber(Fuel_InputFunctions.Fuel_GetStationaryFuelString($E27), Table_Fuel_EFs_StationaryLiquid[Fuel combusted], Table_Fuel_EFs_StationaryLiquid[Scope 1 Emission Factor (kg CO2 - e / GJ) N2O]), Common_InputFunctions.Utility_LookupValueInTableNumber(Fuel_InputFunctions.Fuel_GetTransportFuelString($E27), Table_Fuel_EFs_Transport[Fuel combusted], Table_Fuel_EFs_Transport[Scope 1 Emission Factor (kg CO2 - e / GJ) N2O]))</f>
        <v>0.25</v>
      </c>
      <c r="K27" s="64" cm="1">
        <f t="array" ref="K27">Fuel_InputFunctions.Fuel_TotalConsumption(Table_Input_Fuel[Amount consumed], Table_Input_Fuel[Fuel use (select)], D27, Table_Input_Fuel[Fuel type (select)],F27)</f>
        <v>0.1</v>
      </c>
      <c r="L27" s="64" t="str" cm="1">
        <f t="array" ref="L27">Common_InputFunctions.Utility_LookupValueInTable(F27,Table_FuelTypes_Units[Fuel type],Table_FuelTypes_Units[Unit])</f>
        <v>kL</v>
      </c>
      <c r="M27" s="107" cm="1">
        <f t="array" ref="M27">Fuel_Equations.VEERG_8_2_1_1__1_FuelCombustionStationary($K27,$G27,H27)</f>
        <v>0.15621900000000002</v>
      </c>
      <c r="N27" s="107" cm="1">
        <f t="array" ref="N27">Fuel_Equations.VEERG_8_2_1_1__1_FuelCombustionStationary($K27,$G27,I27)</f>
        <v>9.0824999999999999E-4</v>
      </c>
      <c r="O27" s="107" cm="1">
        <f t="array" ref="O27">Fuel_Equations.VEERG_8_2_1_1__1_FuelCombustionStationary($K27,$G27,J27)</f>
        <v>6.4875000000000002E-4</v>
      </c>
    </row>
    <row r="28" spans="1:15" ht="20.100000000000001" customHeight="1" x14ac:dyDescent="0.25">
      <c r="D28" s="88" t="str">
        <f t="shared" si="0"/>
        <v>General use</v>
      </c>
      <c r="E28" s="87" t="str">
        <f>'Constants - Fuel'!E15 &amp; ", " &amp; 'Constants - Fuel'!$D$73</f>
        <v>Biodiesel, Biodiesel</v>
      </c>
      <c r="F28" s="87" t="str">
        <f>'Constants - Fuel'!J134</f>
        <v>Biodiesel</v>
      </c>
      <c r="G28" s="31">
        <f>AVERAGE(Common_InputFunctions.Utility_LookupValueInTableNumber(Fuel_InputFunctions.Fuel_GetStationaryFuelString($E28), Table_Fuel_EFs_StationaryLiquid[Fuel combusted], Table_Fuel_EFs_StationaryLiquid[Energy Content Factor (GJ per unit of fuel)]), Common_InputFunctions.Utility_LookupValueInTableNumber(Fuel_InputFunctions.Fuel_GetTransportFuelString($E28), Table_Fuel_EFs_Transport[Fuel combusted], Table_Fuel_EFs_Transport[Energy Content Factor (GJ per unit of fuel)]))</f>
        <v>34.6</v>
      </c>
      <c r="H28" s="31">
        <f>AVERAGE(Common_InputFunctions.Utility_LookupValueInTableNumber(Fuel_InputFunctions.Fuel_GetStationaryFuelString($E28), Table_Fuel_EFs_StationaryLiquid[Fuel combusted], Table_Fuel_EFs_StationaryLiquid[Scope 1 Emission Factor (kg CO2 - e / GJ) CO2]), Common_InputFunctions.Utility_LookupValueInTableNumber(Fuel_InputFunctions.Fuel_GetTransportFuelString($E28), Table_Fuel_EFs_Transport[Fuel combusted], Table_Fuel_EFs_Transport[Scope 1 Emission Factor (kg CO2 - e / GJ) CO2]))</f>
        <v>0</v>
      </c>
      <c r="I28" s="31">
        <f>AVERAGE(Common_InputFunctions.Utility_LookupValueInTableNumber(Fuel_InputFunctions.Fuel_GetStationaryFuelString($E28), Table_Fuel_EFs_StationaryLiquid[Fuel combusted], Table_Fuel_EFs_StationaryLiquid[Scope 1 Emission Factor (kg CO2 - e / GJ) CH4]), Common_InputFunctions.Utility_LookupValueInTableNumber(Fuel_InputFunctions.Fuel_GetTransportFuelString($E28), Table_Fuel_EFs_Transport[Fuel combusted], Table_Fuel_EFs_Transport[Scope 1 Emission Factor (kg CO2 - e / GJ) CH4]))</f>
        <v>0.44</v>
      </c>
      <c r="J28" s="31">
        <f>AVERAGE(Common_InputFunctions.Utility_LookupValueInTableNumber(Fuel_InputFunctions.Fuel_GetStationaryFuelString($E28), Table_Fuel_EFs_StationaryLiquid[Fuel combusted], Table_Fuel_EFs_StationaryLiquid[Scope 1 Emission Factor (kg CO2 - e / GJ) N2O]), Common_InputFunctions.Utility_LookupValueInTableNumber(Fuel_InputFunctions.Fuel_GetTransportFuelString($E28), Table_Fuel_EFs_Transport[Fuel combusted], Table_Fuel_EFs_Transport[Scope 1 Emission Factor (kg CO2 - e / GJ) N2O]))</f>
        <v>0.95</v>
      </c>
      <c r="K28" s="64" cm="1">
        <f t="array" ref="K28">Fuel_InputFunctions.Fuel_TotalConsumption(Table_Input_Fuel[Amount consumed], Table_Input_Fuel[Fuel use (select)], D28, Table_Input_Fuel[Fuel type (select)],F28)</f>
        <v>0.2</v>
      </c>
      <c r="L28" s="64" t="str" cm="1">
        <f t="array" ref="L28">Common_InputFunctions.Utility_LookupValueInTable(F28,Table_FuelTypes_Units[Fuel type],Table_FuelTypes_Units[Unit])</f>
        <v>kL</v>
      </c>
      <c r="M28" s="107" cm="1">
        <f t="array" ref="M28">Fuel_Equations.VEERG_8_2_1_1__1_FuelCombustionStationary($K28,$G28,H28)</f>
        <v>0</v>
      </c>
      <c r="N28" s="107" cm="1">
        <f t="array" ref="N28">Fuel_Equations.VEERG_8_2_1_1__1_FuelCombustionStationary($K28,$G28,I28)</f>
        <v>3.0448000000000003E-3</v>
      </c>
      <c r="O28" s="107" cm="1">
        <f t="array" ref="O28">Fuel_Equations.VEERG_8_2_1_1__1_FuelCombustionStationary($K28,$G28,J28)</f>
        <v>6.5740000000000008E-3</v>
      </c>
    </row>
    <row r="29" spans="1:15" ht="20.100000000000001" customHeight="1" x14ac:dyDescent="0.25">
      <c r="D29" s="88" t="str">
        <f t="shared" si="0"/>
        <v>General use</v>
      </c>
      <c r="E29" s="87" t="str">
        <f>'Constants - Fuel'!E14 &amp; ", " &amp; 'Constants - Fuel'!$D$74</f>
        <v>Ethanol, Ethanol for use as a fuel in an internal combustion engine</v>
      </c>
      <c r="F29" s="87" t="str">
        <f>'Constants - Fuel'!J135</f>
        <v>Ethanol</v>
      </c>
      <c r="G29" s="31">
        <f>AVERAGE(Common_InputFunctions.Utility_LookupValueInTableNumber(Fuel_InputFunctions.Fuel_GetStationaryFuelString($E29), Table_Fuel_EFs_StationaryLiquid[Fuel combusted], Table_Fuel_EFs_StationaryLiquid[Energy Content Factor (GJ per unit of fuel)]), Common_InputFunctions.Utility_LookupValueInTableNumber(Fuel_InputFunctions.Fuel_GetTransportFuelString($E29), Table_Fuel_EFs_Transport[Fuel combusted], Table_Fuel_EFs_Transport[Energy Content Factor (GJ per unit of fuel)]))</f>
        <v>23.4</v>
      </c>
      <c r="H29" s="31">
        <f>AVERAGE(Common_InputFunctions.Utility_LookupValueInTableNumber(Fuel_InputFunctions.Fuel_GetStationaryFuelString($E29), Table_Fuel_EFs_StationaryLiquid[Fuel combusted], Table_Fuel_EFs_StationaryLiquid[Scope 1 Emission Factor (kg CO2 - e / GJ) CO2]), Common_InputFunctions.Utility_LookupValueInTableNumber(Fuel_InputFunctions.Fuel_GetTransportFuelString($E29), Table_Fuel_EFs_Transport[Fuel combusted], Table_Fuel_EFs_Transport[Scope 1 Emission Factor (kg CO2 - e / GJ) CO2]))</f>
        <v>0</v>
      </c>
      <c r="I29" s="31">
        <f>AVERAGE(Common_InputFunctions.Utility_LookupValueInTableNumber(Fuel_InputFunctions.Fuel_GetStationaryFuelString($E29), Table_Fuel_EFs_StationaryLiquid[Fuel combusted], Table_Fuel_EFs_StationaryLiquid[Scope 1 Emission Factor (kg CO2 - e / GJ) CH4]), Common_InputFunctions.Utility_LookupValueInTableNumber(Fuel_InputFunctions.Fuel_GetTransportFuelString($E29), Table_Fuel_EFs_Transport[Fuel combusted], Table_Fuel_EFs_Transport[Scope 1 Emission Factor (kg CO2 - e / GJ) CH4]))</f>
        <v>0.14000000000000001</v>
      </c>
      <c r="J29" s="31">
        <f>AVERAGE(Common_InputFunctions.Utility_LookupValueInTableNumber(Fuel_InputFunctions.Fuel_GetStationaryFuelString($E29), Table_Fuel_EFs_StationaryLiquid[Fuel combusted], Table_Fuel_EFs_StationaryLiquid[Scope 1 Emission Factor (kg CO2 - e / GJ) N2O]), Common_InputFunctions.Utility_LookupValueInTableNumber(Fuel_InputFunctions.Fuel_GetTransportFuelString($E29), Table_Fuel_EFs_Transport[Fuel combusted], Table_Fuel_EFs_Transport[Scope 1 Emission Factor (kg CO2 - e / GJ) N2O]))</f>
        <v>0.2</v>
      </c>
      <c r="K29" s="64" cm="1">
        <f t="array" ref="K29">Fuel_InputFunctions.Fuel_TotalConsumption(Table_Input_Fuel[Amount consumed], Table_Input_Fuel[Fuel use (select)], D29, Table_Input_Fuel[Fuel type (select)],F29)</f>
        <v>0.1</v>
      </c>
      <c r="L29" s="64" t="str" cm="1">
        <f t="array" ref="L29">Common_InputFunctions.Utility_LookupValueInTable(F29,Table_FuelTypes_Units[Fuel type],Table_FuelTypes_Units[Unit])</f>
        <v>kL</v>
      </c>
      <c r="M29" s="107" cm="1">
        <f t="array" ref="M29">Fuel_Equations.VEERG_8_2_1_1__1_FuelCombustionStationary($K29,$G29,H29)</f>
        <v>0</v>
      </c>
      <c r="N29" s="107" cm="1">
        <f t="array" ref="N29">Fuel_Equations.VEERG_8_2_1_1__1_FuelCombustionStationary($K29,$G29,I29)</f>
        <v>3.2759999999999999E-4</v>
      </c>
      <c r="O29" s="107" cm="1">
        <f t="array" ref="O29">Fuel_Equations.VEERG_8_2_1_1__1_FuelCombustionStationary($K29,$G29,J29)</f>
        <v>4.6799999999999999E-4</v>
      </c>
    </row>
    <row r="30" spans="1:15" ht="20.100000000000001" customHeight="1" x14ac:dyDescent="0.25">
      <c r="D30" s="88" t="str">
        <f t="shared" si="0"/>
        <v>General use</v>
      </c>
      <c r="E30" s="87" t="str">
        <f>'Constants - Fuel'!E17 &amp; ", " &amp; 'Constants - Fuel'!$D$75</f>
        <v>Other biofuels, Biofuels other than those mentioned in the items above and below</v>
      </c>
      <c r="F30" s="87" t="str">
        <f>'Constants - Fuel'!J136</f>
        <v>Other biofuels</v>
      </c>
      <c r="G30" s="31">
        <f>AVERAGE(Common_InputFunctions.Utility_LookupValueInTableNumber(Fuel_InputFunctions.Fuel_GetStationaryFuelString($E30), Table_Fuel_EFs_StationaryLiquid[Fuel combusted], Table_Fuel_EFs_StationaryLiquid[Energy Content Factor (GJ per unit of fuel)]), Common_InputFunctions.Utility_LookupValueInTableNumber(Fuel_InputFunctions.Fuel_GetTransportFuelString($E30), Table_Fuel_EFs_Transport[Fuel combusted], Table_Fuel_EFs_Transport[Energy Content Factor (GJ per unit of fuel)]))</f>
        <v>23.4</v>
      </c>
      <c r="H30" s="31">
        <f>AVERAGE(Common_InputFunctions.Utility_LookupValueInTableNumber(Fuel_InputFunctions.Fuel_GetStationaryFuelString($E30), Table_Fuel_EFs_StationaryLiquid[Fuel combusted], Table_Fuel_EFs_StationaryLiquid[Scope 1 Emission Factor (kg CO2 - e / GJ) CO2]), Common_InputFunctions.Utility_LookupValueInTableNumber(Fuel_InputFunctions.Fuel_GetTransportFuelString($E30), Table_Fuel_EFs_Transport[Fuel combusted], Table_Fuel_EFs_Transport[Scope 1 Emission Factor (kg CO2 - e / GJ) CO2]))</f>
        <v>0</v>
      </c>
      <c r="I30" s="31">
        <f>AVERAGE(Common_InputFunctions.Utility_LookupValueInTableNumber(Fuel_InputFunctions.Fuel_GetStationaryFuelString($E30), Table_Fuel_EFs_StationaryLiquid[Fuel combusted], Table_Fuel_EFs_StationaryLiquid[Scope 1 Emission Factor (kg CO2 - e / GJ) CH4]), Common_InputFunctions.Utility_LookupValueInTableNumber(Fuel_InputFunctions.Fuel_GetTransportFuelString($E30), Table_Fuel_EFs_Transport[Fuel combusted], Table_Fuel_EFs_Transport[Scope 1 Emission Factor (kg CO2 - e / GJ) CH4]))</f>
        <v>0.44</v>
      </c>
      <c r="J30" s="31">
        <f>AVERAGE(Common_InputFunctions.Utility_LookupValueInTableNumber(Fuel_InputFunctions.Fuel_GetStationaryFuelString($E30), Table_Fuel_EFs_StationaryLiquid[Fuel combusted], Table_Fuel_EFs_StationaryLiquid[Scope 1 Emission Factor (kg CO2 - e / GJ) N2O]), Common_InputFunctions.Utility_LookupValueInTableNumber(Fuel_InputFunctions.Fuel_GetTransportFuelString($E30), Table_Fuel_EFs_Transport[Fuel combusted], Table_Fuel_EFs_Transport[Scope 1 Emission Factor (kg CO2 - e / GJ) N2O]))</f>
        <v>0.95</v>
      </c>
      <c r="K30" s="64" cm="1">
        <f t="array" ref="K30">Fuel_InputFunctions.Fuel_TotalConsumption(Table_Input_Fuel[Amount consumed], Table_Input_Fuel[Fuel use (select)], D30, Table_Input_Fuel[Fuel type (select)],F30)</f>
        <v>0.1</v>
      </c>
      <c r="L30" s="64" t="str" cm="1">
        <f t="array" ref="L30">Common_InputFunctions.Utility_LookupValueInTable(F30,Table_FuelTypes_Units[Fuel type],Table_FuelTypes_Units[Unit])</f>
        <v>kL</v>
      </c>
      <c r="M30" s="107" cm="1">
        <f t="array" ref="M30">Fuel_Equations.VEERG_8_2_1_1__1_FuelCombustionStationary($K30,$G30,H30)</f>
        <v>0</v>
      </c>
      <c r="N30" s="107" cm="1">
        <f t="array" ref="N30">Fuel_Equations.VEERG_8_2_1_1__1_FuelCombustionStationary($K30,$G30,I30)</f>
        <v>1.0295999999999999E-3</v>
      </c>
      <c r="O30" s="107" cm="1">
        <f t="array" ref="O30">Fuel_Equations.VEERG_8_2_1_1__1_FuelCombustionStationary($K30,$G30,J30)</f>
        <v>2.2229999999999997E-3</v>
      </c>
    </row>
    <row r="31" spans="1:15" ht="20.100000000000001" customHeight="1" x14ac:dyDescent="0.25">
      <c r="D31" s="88" t="str">
        <f t="shared" si="0"/>
        <v>General use</v>
      </c>
      <c r="E31" s="87" t="str">
        <f>'Constants - Fuel'!E16 &amp; ", " &amp; 'Constants - Fuel'!$D$77</f>
        <v>Renewable diesel, Renewable diesel</v>
      </c>
      <c r="F31" s="87" t="str">
        <f>'Constants - Fuel'!J137</f>
        <v>Renewable diesel</v>
      </c>
      <c r="G31" s="31">
        <f>AVERAGE(Common_InputFunctions.Utility_LookupValueInTableNumber(Fuel_InputFunctions.Fuel_GetStationaryFuelString($E31), Table_Fuel_EFs_StationaryLiquid[Fuel combusted], Table_Fuel_EFs_StationaryLiquid[Energy Content Factor (GJ per unit of fuel)]), Common_InputFunctions.Utility_LookupValueInTableNumber(Fuel_InputFunctions.Fuel_GetTransportFuelString($E31), Table_Fuel_EFs_Transport[Fuel combusted], Table_Fuel_EFs_Transport[Energy Content Factor (GJ per unit of fuel)]))</f>
        <v>38.6</v>
      </c>
      <c r="H31" s="31">
        <f>AVERAGE(Common_InputFunctions.Utility_LookupValueInTableNumber(Fuel_InputFunctions.Fuel_GetStationaryFuelString($E31), Table_Fuel_EFs_StationaryLiquid[Fuel combusted], Table_Fuel_EFs_StationaryLiquid[Scope 1 Emission Factor (kg CO2 - e / GJ) CO2]), Common_InputFunctions.Utility_LookupValueInTableNumber(Fuel_InputFunctions.Fuel_GetTransportFuelString($E31), Table_Fuel_EFs_Transport[Fuel combusted], Table_Fuel_EFs_Transport[Scope 1 Emission Factor (kg CO2 - e / GJ) CO2]))</f>
        <v>0</v>
      </c>
      <c r="I31" s="31">
        <f>AVERAGE(Common_InputFunctions.Utility_LookupValueInTableNumber(Fuel_InputFunctions.Fuel_GetStationaryFuelString($E31), Table_Fuel_EFs_StationaryLiquid[Fuel combusted], Table_Fuel_EFs_StationaryLiquid[Scope 1 Emission Factor (kg CO2 - e / GJ) CH4]), Common_InputFunctions.Utility_LookupValueInTableNumber(Fuel_InputFunctions.Fuel_GetTransportFuelString($E31), Table_Fuel_EFs_Transport[Fuel combusted], Table_Fuel_EFs_Transport[Scope 1 Emission Factor (kg CO2 - e / GJ) CH4]))</f>
        <v>5.5E-2</v>
      </c>
      <c r="J31" s="31">
        <f>AVERAGE(Common_InputFunctions.Utility_LookupValueInTableNumber(Fuel_InputFunctions.Fuel_GetStationaryFuelString($E31), Table_Fuel_EFs_StationaryLiquid[Fuel combusted], Table_Fuel_EFs_StationaryLiquid[Scope 1 Emission Factor (kg CO2 - e / GJ) N2O]), Common_InputFunctions.Utility_LookupValueInTableNumber(Fuel_InputFunctions.Fuel_GetTransportFuelString($E31), Table_Fuel_EFs_Transport[Fuel combusted], Table_Fuel_EFs_Transport[Scope 1 Emission Factor (kg CO2 - e / GJ) N2O]))</f>
        <v>0.35</v>
      </c>
      <c r="K31" s="31" cm="1">
        <f t="array" ref="K31">Fuel_InputFunctions.Fuel_TotalConsumption(Table_Input_Fuel[Amount consumed], Table_Input_Fuel[Fuel use (select)], D31, Table_Input_Fuel[Fuel type (select)],F31)</f>
        <v>0.1</v>
      </c>
      <c r="L31" s="31" t="str" cm="1">
        <f t="array" ref="L31">Common_InputFunctions.Utility_LookupValueInTable(F31,Table_FuelTypes_Units[Fuel type],Table_FuelTypes_Units[Unit])</f>
        <v>kL</v>
      </c>
      <c r="M31" s="31" cm="1">
        <f t="array" ref="M31">Fuel_Equations.VEERG_8_2_1_1__1_FuelCombustionStationary($K31,$G31,H31)</f>
        <v>0</v>
      </c>
      <c r="N31" s="31" cm="1">
        <f t="array" ref="N31">Fuel_Equations.VEERG_8_2_1_1__1_FuelCombustionStationary($K31,$G31,I31)</f>
        <v>2.1230000000000001E-4</v>
      </c>
      <c r="O31" s="31" cm="1">
        <f t="array" ref="O31">Fuel_Equations.VEERG_8_2_1_1__1_FuelCombustionStationary($K31,$G31,J31)</f>
        <v>1.351E-3</v>
      </c>
    </row>
    <row r="32" spans="1:15" ht="20.100000000000001" customHeight="1" x14ac:dyDescent="0.25">
      <c r="D32" s="88" t="str">
        <f t="shared" si="0"/>
        <v>General use</v>
      </c>
      <c r="E32" s="87" t="str">
        <f>'Constants - Fuel'!$D$103</f>
        <v>Natural gas distributed in a pipeline - Gigajoules</v>
      </c>
      <c r="F32" s="87" t="str">
        <f>'Constants - Fuel'!J138</f>
        <v>Natural gas (via pipeline) in GJ</v>
      </c>
      <c r="G32" s="31">
        <f>IFERROR(_xlfn.XLOOKUP($E32, Table_Fuel_EFs_StationaryGaseous[Fuel combusted], Table_Fuel_EFs_StationaryGaseous[Energy Content Factor (GJ per unit of fuel)]),0)</f>
        <v>1</v>
      </c>
      <c r="H32" s="31">
        <f>IFERROR(_xlfn.XLOOKUP($E32, Table_Fuel_EFs_StationaryGaseous[Fuel combusted], Table_Fuel_EFs_StationaryGaseous[Scope 1 Emission Factor (kg CO2 - e / GJ) CO2]),0)</f>
        <v>51.4</v>
      </c>
      <c r="I32" s="31">
        <f>IFERROR(_xlfn.XLOOKUP($E32, Table_Fuel_EFs_StationaryGaseous[Fuel combusted], Table_Fuel_EFs_StationaryGaseous[Scope 1 Emission Factor (kg CO2 - e / GJ) CH4]),0)</f>
        <v>0.1</v>
      </c>
      <c r="J32" s="31">
        <f>IFERROR(_xlfn.XLOOKUP($E32, Table_Fuel_EFs_StationaryGaseous[Fuel combusted], Table_Fuel_EFs_StationaryGaseous[Scope 1 Emission Factor (kg CO2 - e / GJ) N2O]),0)</f>
        <v>0.03</v>
      </c>
      <c r="K32" s="31" cm="1">
        <f t="array" ref="K32">Fuel_InputFunctions.Fuel_TotalConsumption(Table_Input_Fuel[Amount consumed], Table_Input_Fuel[Fuel use (select)], D32, Table_Input_Fuel[Fuel type (select)],F32)</f>
        <v>0.1</v>
      </c>
      <c r="L32" s="31" t="str" cm="1">
        <f t="array" ref="L32">Common_InputFunctions.Utility_LookupValueInTable(F32,Table_FuelTypes_Units[Fuel type],Table_FuelTypes_Units[Unit])</f>
        <v>GJ</v>
      </c>
      <c r="M32" s="31" cm="1">
        <f t="array" ref="M32">Fuel_Equations.VEERG_8_2_1_1__1_FuelCombustionStationary($K32,$G32,H32)</f>
        <v>5.1400000000000005E-3</v>
      </c>
      <c r="N32" s="31" cm="1">
        <f t="array" ref="N32">Fuel_Equations.VEERG_8_2_1_1__1_FuelCombustionStationary($K32,$G32,I32)</f>
        <v>1.0000000000000003E-5</v>
      </c>
      <c r="O32" s="31" cm="1">
        <f t="array" ref="O32">Fuel_Equations.VEERG_8_2_1_1__1_FuelCombustionStationary($K32,$G32,J32)</f>
        <v>3.0000000000000001E-6</v>
      </c>
    </row>
    <row r="33" spans="1:15" ht="20.100000000000001" customHeight="1" x14ac:dyDescent="0.25">
      <c r="D33" s="88" t="str">
        <f t="shared" si="0"/>
        <v>General use</v>
      </c>
      <c r="E33" s="87" t="str">
        <f>'Constants - Fuel'!$D$104</f>
        <v>Town gas - Gigajoules</v>
      </c>
      <c r="F33" s="87" t="str">
        <f>'Constants - Fuel'!J139</f>
        <v>Town gas in GJ</v>
      </c>
      <c r="G33" s="31">
        <f>IFERROR(_xlfn.XLOOKUP($E33, Table_Fuel_EFs_StationaryGaseous[Fuel combusted], Table_Fuel_EFs_StationaryGaseous[Energy Content Factor (GJ per unit of fuel)]),0)</f>
        <v>1</v>
      </c>
      <c r="H33" s="31">
        <f>IFERROR(_xlfn.XLOOKUP($E33, Table_Fuel_EFs_StationaryGaseous[Fuel combusted], Table_Fuel_EFs_StationaryGaseous[Scope 1 Emission Factor (kg CO2 - e / GJ) CO2]),0)</f>
        <v>60.2</v>
      </c>
      <c r="I33" s="31">
        <f>IFERROR(_xlfn.XLOOKUP($E33, Table_Fuel_EFs_StationaryGaseous[Fuel combusted], Table_Fuel_EFs_StationaryGaseous[Scope 1 Emission Factor (kg CO2 - e / GJ) CH4]),0)</f>
        <v>0.04</v>
      </c>
      <c r="J33" s="31">
        <f>IFERROR(_xlfn.XLOOKUP($E33, Table_Fuel_EFs_StationaryGaseous[Fuel combusted], Table_Fuel_EFs_StationaryGaseous[Scope 1 Emission Factor (kg CO2 - e / GJ) N2O]),0)</f>
        <v>0.03</v>
      </c>
      <c r="K33" s="31" cm="1">
        <f t="array" ref="K33">Fuel_InputFunctions.Fuel_TotalConsumption(Table_Input_Fuel[Amount consumed], Table_Input_Fuel[Fuel use (select)], D33, Table_Input_Fuel[Fuel type (select)],F33)</f>
        <v>0.1</v>
      </c>
      <c r="L33" s="31" t="str" cm="1">
        <f t="array" ref="L33">Common_InputFunctions.Utility_LookupValueInTable(F33,Table_FuelTypes_Units[Fuel type],Table_FuelTypes_Units[Unit])</f>
        <v>GJ</v>
      </c>
      <c r="M33" s="31" cm="1">
        <f t="array" ref="M33">Fuel_Equations.VEERG_8_2_1_1__1_FuelCombustionStationary($K33,$G33,H33)</f>
        <v>6.0200000000000002E-3</v>
      </c>
      <c r="N33" s="31" cm="1">
        <f t="array" ref="N33">Fuel_Equations.VEERG_8_2_1_1__1_FuelCombustionStationary($K33,$G33,I33)</f>
        <v>3.9999999999999998E-6</v>
      </c>
      <c r="O33" s="31" cm="1">
        <f t="array" ref="O33">Fuel_Equations.VEERG_8_2_1_1__1_FuelCombustionStationary($K33,$G33,J33)</f>
        <v>3.0000000000000001E-6</v>
      </c>
    </row>
    <row r="34" spans="1:15" ht="20.100000000000001" customHeight="1" x14ac:dyDescent="0.25">
      <c r="D34" s="88" t="str">
        <f>$D$32</f>
        <v>General use</v>
      </c>
    </row>
    <row r="35" spans="1:15" ht="20.100000000000001" customHeight="1" x14ac:dyDescent="0.25">
      <c r="D35" s="94" t="str">
        <f>"Total scope 1 - " &amp; D25</f>
        <v>Total scope 1 - General use</v>
      </c>
      <c r="E35" s="95"/>
      <c r="F35" s="96"/>
    </row>
    <row r="36" spans="1:15" ht="20.100000000000001" customHeight="1" x14ac:dyDescent="0.25">
      <c r="D36" s="3" t="s">
        <v>159</v>
      </c>
      <c r="E36" s="106">
        <f>SUM(M25:M33)</f>
        <v>1.1287170000000002</v>
      </c>
      <c r="F36" s="2" t="str">
        <f>$E$12</f>
        <v>t CO2-e</v>
      </c>
    </row>
    <row r="37" spans="1:15" ht="20.100000000000001" customHeight="1" x14ac:dyDescent="0.25">
      <c r="D37" s="3" t="s">
        <v>160</v>
      </c>
      <c r="E37" s="106">
        <f>SUM(N25:N33)</f>
        <v>6.8774499999999994E-3</v>
      </c>
      <c r="F37" s="2" t="str">
        <f t="shared" ref="F37:F38" si="1">$E$12</f>
        <v>t CO2-e</v>
      </c>
    </row>
    <row r="38" spans="1:15" ht="20.100000000000001" customHeight="1" x14ac:dyDescent="0.25">
      <c r="A38" s="63" t="str">
        <f>HYPERLINK("#A1", "▲ Back to top")</f>
        <v>▲ Back to top</v>
      </c>
      <c r="D38" s="3" t="s">
        <v>161</v>
      </c>
      <c r="E38" s="106">
        <f>SUM(O25:O33)</f>
        <v>1.4673749999999999E-2</v>
      </c>
      <c r="F38" s="2" t="str">
        <f t="shared" si="1"/>
        <v>t CO2-e</v>
      </c>
    </row>
    <row r="39" spans="1:15" ht="20.100000000000001" customHeight="1" x14ac:dyDescent="0.25"/>
    <row r="40" spans="1:15" ht="20.100000000000001" customHeight="1" x14ac:dyDescent="0.25"/>
    <row r="41" spans="1:15" ht="20.100000000000001" customHeight="1" x14ac:dyDescent="0.25"/>
    <row r="42" spans="1:15" ht="20.100000000000001" customHeight="1" x14ac:dyDescent="0.25"/>
    <row r="43" spans="1:15" ht="20.100000000000001" customHeight="1" x14ac:dyDescent="0.25"/>
    <row r="44" spans="1:15" ht="20.100000000000001" customHeight="1" x14ac:dyDescent="0.25"/>
    <row r="45" spans="1:15" ht="20.100000000000001" customHeight="1" x14ac:dyDescent="0.25"/>
    <row r="46" spans="1:15" ht="20.100000000000001" customHeight="1" x14ac:dyDescent="0.25"/>
    <row r="47" spans="1:15" ht="20.100000000000001" customHeight="1" x14ac:dyDescent="0.25">
      <c r="D47" s="3"/>
      <c r="E47" s="97"/>
      <c r="F47" s="2"/>
      <c r="H47" s="52"/>
      <c r="I47" s="52"/>
      <c r="J47" s="52"/>
      <c r="L47" s="52"/>
      <c r="N47" s="52"/>
      <c r="O47" s="52"/>
    </row>
    <row r="48" spans="1:15" ht="20.100000000000001" customHeight="1" x14ac:dyDescent="0.25">
      <c r="D48" s="52"/>
      <c r="E48" s="52"/>
      <c r="F48" s="52"/>
      <c r="G48" s="52"/>
      <c r="H48" s="52"/>
      <c r="I48" s="52"/>
      <c r="J48" s="52"/>
      <c r="L48" s="52"/>
      <c r="N48" s="52"/>
      <c r="O48" s="52"/>
    </row>
    <row r="49" spans="4:15" ht="20.100000000000001" customHeight="1" x14ac:dyDescent="0.25">
      <c r="D49" s="52"/>
      <c r="E49" s="52"/>
      <c r="F49" s="52"/>
      <c r="G49" s="52"/>
      <c r="H49" s="52"/>
      <c r="I49" s="52"/>
      <c r="J49" s="52"/>
      <c r="L49" s="52"/>
      <c r="N49" s="52"/>
      <c r="O49" s="52"/>
    </row>
    <row r="50" spans="4:15" ht="20.100000000000001" customHeight="1" x14ac:dyDescent="0.25">
      <c r="D50" s="52"/>
      <c r="E50" s="52"/>
      <c r="F50" s="52"/>
      <c r="G50" s="52"/>
      <c r="H50" s="52"/>
      <c r="I50" s="52"/>
      <c r="J50" s="52"/>
      <c r="L50" s="52"/>
      <c r="N50" s="52"/>
      <c r="O50" s="52"/>
    </row>
    <row r="51" spans="4:15" ht="20.100000000000001" customHeight="1" x14ac:dyDescent="0.25">
      <c r="D51" s="52"/>
      <c r="E51" s="52"/>
      <c r="F51" s="52"/>
      <c r="G51" s="52"/>
      <c r="H51" s="52"/>
      <c r="I51" s="52"/>
      <c r="J51" s="52"/>
      <c r="L51" s="52"/>
      <c r="N51" s="52"/>
      <c r="O51" s="52"/>
    </row>
    <row r="52" spans="4:15" ht="20.100000000000001" customHeight="1" x14ac:dyDescent="0.25">
      <c r="D52" s="3"/>
      <c r="E52" s="106"/>
      <c r="F52" s="2"/>
      <c r="G52" s="52"/>
      <c r="H52" s="52"/>
      <c r="I52" s="52"/>
      <c r="J52" s="52"/>
      <c r="L52" s="52"/>
      <c r="N52" s="52"/>
      <c r="O52" s="52"/>
    </row>
    <row r="53" spans="4:15" ht="20.100000000000001" customHeight="1" x14ac:dyDescent="0.25">
      <c r="D53" s="3"/>
      <c r="E53" s="97"/>
      <c r="F53" s="2"/>
      <c r="G53" s="52"/>
      <c r="H53" s="52"/>
      <c r="I53" s="52"/>
      <c r="J53" s="52"/>
      <c r="L53" s="52"/>
      <c r="N53" s="52"/>
      <c r="O53" s="52"/>
    </row>
    <row r="54" spans="4:15" ht="20.100000000000001" customHeight="1" x14ac:dyDescent="0.25">
      <c r="D54" s="52"/>
      <c r="E54" s="99"/>
      <c r="F54" s="52"/>
      <c r="G54" s="52"/>
      <c r="H54" s="52"/>
      <c r="I54" s="52"/>
      <c r="J54" s="52"/>
      <c r="L54" s="52"/>
      <c r="N54" s="52"/>
      <c r="O54" s="52"/>
    </row>
    <row r="55" spans="4:15" ht="20.100000000000001" customHeight="1" x14ac:dyDescent="0.25">
      <c r="G55" s="52"/>
      <c r="H55" s="52"/>
      <c r="I55" s="52"/>
      <c r="J55" s="52"/>
      <c r="L55" s="52"/>
      <c r="N55" s="52"/>
      <c r="O55" s="52"/>
    </row>
    <row r="56" spans="4:15" ht="20.100000000000001" customHeight="1" x14ac:dyDescent="0.25"/>
    <row r="57" spans="4:15" ht="20.100000000000001" customHeight="1" x14ac:dyDescent="0.25">
      <c r="G57" s="52"/>
      <c r="H57" s="52"/>
      <c r="I57" s="52"/>
      <c r="J57" s="52"/>
      <c r="L57" s="52"/>
      <c r="N57" s="52"/>
      <c r="O57" s="52"/>
    </row>
    <row r="58" spans="4:15" ht="20.100000000000001" customHeight="1" x14ac:dyDescent="0.25">
      <c r="G58" s="52"/>
      <c r="H58" s="52"/>
      <c r="I58" s="52"/>
      <c r="J58" s="52"/>
      <c r="L58" s="52"/>
      <c r="N58" s="52"/>
      <c r="O58" s="52"/>
    </row>
    <row r="59" spans="4:15" ht="20.100000000000001" customHeight="1" x14ac:dyDescent="0.25">
      <c r="G59" s="52"/>
      <c r="H59" s="52"/>
      <c r="I59" s="52"/>
      <c r="J59" s="52"/>
      <c r="L59" s="52"/>
      <c r="N59" s="52"/>
      <c r="O59" s="52"/>
    </row>
    <row r="60" spans="4:15" ht="20.100000000000001" customHeight="1" x14ac:dyDescent="0.25">
      <c r="G60" s="52"/>
      <c r="H60" s="52"/>
      <c r="I60" s="52"/>
      <c r="J60" s="52"/>
      <c r="L60" s="52"/>
      <c r="N60" s="52"/>
      <c r="O60" s="52"/>
    </row>
    <row r="61" spans="4:15" ht="20.100000000000001" customHeight="1" x14ac:dyDescent="0.25">
      <c r="G61" s="52"/>
      <c r="H61" s="52"/>
      <c r="I61" s="52"/>
      <c r="J61" s="52"/>
      <c r="L61" s="52"/>
      <c r="N61" s="52"/>
      <c r="O61" s="52"/>
    </row>
    <row r="62" spans="4:15" ht="20.100000000000001" customHeight="1" x14ac:dyDescent="0.25">
      <c r="G62" s="52"/>
      <c r="H62" s="52"/>
      <c r="I62" s="52"/>
      <c r="J62" s="52"/>
      <c r="L62" s="52"/>
      <c r="N62" s="52"/>
      <c r="O62" s="52"/>
    </row>
    <row r="63" spans="4:15" ht="20.100000000000001" customHeight="1" x14ac:dyDescent="0.25">
      <c r="G63" s="52"/>
      <c r="H63" s="52"/>
      <c r="I63" s="52"/>
      <c r="J63" s="52"/>
      <c r="L63" s="52"/>
      <c r="N63" s="52"/>
      <c r="O63" s="52"/>
    </row>
    <row r="64" spans="4:15" ht="20.100000000000001" customHeight="1" x14ac:dyDescent="0.25">
      <c r="G64" s="52"/>
      <c r="H64" s="52"/>
      <c r="I64" s="52"/>
      <c r="J64" s="52"/>
      <c r="L64" s="52"/>
      <c r="N64" s="52"/>
      <c r="O64" s="52"/>
    </row>
    <row r="65" spans="1:15" ht="20.100000000000001" customHeight="1" x14ac:dyDescent="0.25">
      <c r="G65" s="52"/>
      <c r="H65" s="52"/>
      <c r="I65" s="52"/>
      <c r="J65" s="52"/>
      <c r="L65" s="52"/>
      <c r="N65" s="52"/>
      <c r="O65" s="52"/>
    </row>
    <row r="66" spans="1:15" ht="20.100000000000001" customHeight="1" x14ac:dyDescent="0.25">
      <c r="G66" s="52"/>
      <c r="H66" s="52"/>
      <c r="I66" s="52"/>
      <c r="J66" s="52"/>
      <c r="L66" s="52"/>
      <c r="N66" s="52"/>
      <c r="O66" s="52"/>
    </row>
    <row r="67" spans="1:15" ht="20.100000000000001" customHeight="1" x14ac:dyDescent="0.25">
      <c r="G67" s="52"/>
    </row>
    <row r="68" spans="1:15" ht="20.100000000000001" customHeight="1" x14ac:dyDescent="0.25">
      <c r="G68" s="52"/>
    </row>
    <row r="69" spans="1:15" ht="20.100000000000001" customHeight="1" x14ac:dyDescent="0.25">
      <c r="G69" s="52"/>
    </row>
    <row r="70" spans="1:15" ht="20.100000000000001" customHeight="1" x14ac:dyDescent="0.25">
      <c r="G70" s="52"/>
    </row>
    <row r="71" spans="1:15" ht="20.100000000000001" customHeight="1" x14ac:dyDescent="0.25">
      <c r="G71" s="52"/>
    </row>
    <row r="72" spans="1:15" ht="20.100000000000001" customHeight="1" x14ac:dyDescent="0.25"/>
    <row r="73" spans="1:15" ht="20.100000000000001" customHeight="1" x14ac:dyDescent="0.25"/>
    <row r="74" spans="1:15" ht="20.100000000000001" customHeight="1" x14ac:dyDescent="0.25"/>
    <row r="75" spans="1:15" ht="20.100000000000001" customHeight="1" x14ac:dyDescent="0.25"/>
    <row r="76" spans="1:15" ht="20.100000000000001" customHeight="1" x14ac:dyDescent="0.25">
      <c r="A76" s="63" t="str">
        <f>HYPERLINK("#A1", "▲ Back to top")</f>
        <v>▲ Back to top</v>
      </c>
    </row>
    <row r="77" spans="1:15" ht="20.100000000000001" customHeight="1" x14ac:dyDescent="0.25"/>
    <row r="78" spans="1:15" ht="20.100000000000001" customHeight="1" x14ac:dyDescent="0.25"/>
    <row r="79" spans="1:15" ht="20.100000000000001" customHeight="1" x14ac:dyDescent="0.25"/>
    <row r="80" spans="1: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1" t="str" cm="1">
        <f t="array" ref="D32">Common_InputFunctions.Utility_DisplayArrayInTable(Fuel_SourceData.Fuel_Scope1Scope3EmissionFactorsTransport_Data(), Table_Fuel_EFs_Transport[[#Headers],[Transport type]], 0)</f>
        <v>Vessels</v>
      </c>
      <c r="E32" s="101" t="str" cm="1">
        <f t="array" ref="E32">Common_InputFunctions.Utility_DisplayArrayInTable(Fuel_SourceData.Fuel_Scope1Scope3EmissionFactorsTransport_Data(), Table_Fuel_EFs_Transport[[#Headers],[Transport type]], 0)</f>
        <v>Diesel oil</v>
      </c>
      <c r="F32" s="101" cm="1">
        <f t="array" ref="F32">Common_InputFunctions.Utility_DisplayArrayInTable(Fuel_SourceData.Fuel_Scope1Scope3EmissionFactorsTransport_Data(), Table_Fuel_EFs_Transport[[#Headers],[Transport type]], 0)</f>
        <v>38.6</v>
      </c>
      <c r="G32" s="101" t="str" cm="1">
        <f t="array" ref="G32">Common_InputFunctions.Utility_DisplayArrayInTable(Fuel_SourceData.Fuel_Scope1Scope3EmissionFactorsTransport_Data(), Table_Fuel_EFs_Transport[[#Headers],[Transport type]], 0)</f>
        <v>kL</v>
      </c>
      <c r="H32" s="101" cm="1">
        <f t="array" ref="H32">Common_InputFunctions.Utility_DisplayArrayInTable(Fuel_SourceData.Fuel_Scope1Scope3EmissionFactorsTransport_Data(), Table_Fuel_EFs_Transport[[#Headers],[Transport type]], 0)</f>
        <v>69.900000000000006</v>
      </c>
      <c r="I32" s="101" cm="1">
        <f t="array" ref="I32">Common_InputFunctions.Utility_DisplayArrayInTable(Fuel_SourceData.Fuel_Scope1Scope3EmissionFactorsTransport_Data(), Table_Fuel_EFs_Transport[[#Headers],[Transport type]], 0)</f>
        <v>0.2</v>
      </c>
      <c r="J32" s="101" cm="1">
        <f t="array" ref="J32">Common_InputFunctions.Utility_DisplayArrayInTable(Fuel_SourceData.Fuel_Scope1Scope3EmissionFactorsTransport_Data(), Table_Fuel_EFs_Transport[[#Headers],[Transport type]], 0)</f>
        <v>0.5</v>
      </c>
      <c r="K32" s="101" t="str" cm="1">
        <f t="array" ref="K32">Common_InputFunctions.Utility_DisplayArrayInTable(Fuel_SourceData.Fuel_Scope1Scope3EmissionFactorsTransport_Data(), Table_Fuel_EFs_Transport[[#Headers],[Transport type]], 0)</f>
        <v/>
      </c>
      <c r="L32" s="101" cm="1">
        <f t="array" ref="L32">Common_InputFunctions.Utility_DisplayArrayInTable(Fuel_SourceData.Fuel_Scope1Scope3EmissionFactorsTransport_Data(), Table_Fuel_EFs_Transport[[#Headers],[Transport type]], 0)</f>
        <v>17.3</v>
      </c>
    </row>
    <row r="33" spans="4:12" ht="20.100000000000001" customHeight="1" x14ac:dyDescent="0.25">
      <c r="D33" s="101" t="str" cm="1">
        <f t="array" ref="D33">Common_InputFunctions.Utility_DisplayArrayInTable(Fuel_SourceData.Fuel_Scope1Scope3EmissionFactorsTransport_Data(), Table_Fuel_EFs_Transport[[#Headers],[Transport type]], 0)</f>
        <v>Vessels</v>
      </c>
      <c r="E33" s="101" t="str" cm="1">
        <f t="array" ref="E33">Common_InputFunctions.Utility_DisplayArrayInTable(Fuel_SourceData.Fuel_Scope1Scope3EmissionFactorsTransport_Data(), Table_Fuel_EFs_Transport[[#Headers],[Transport type]], 0)</f>
        <v>Fuel Oil</v>
      </c>
      <c r="F33" s="101" cm="1">
        <f t="array" ref="F33">Common_InputFunctions.Utility_DisplayArrayInTable(Fuel_SourceData.Fuel_Scope1Scope3EmissionFactorsTransport_Data(), Table_Fuel_EFs_Transport[[#Headers],[Transport type]], 0)</f>
        <v>39.700000000000003</v>
      </c>
      <c r="G33" s="101" t="str" cm="1">
        <f t="array" ref="G33">Common_InputFunctions.Utility_DisplayArrayInTable(Fuel_SourceData.Fuel_Scope1Scope3EmissionFactorsTransport_Data(), Table_Fuel_EFs_Transport[[#Headers],[Transport type]], 0)</f>
        <v>kL</v>
      </c>
      <c r="H33" s="101" cm="1">
        <f t="array" ref="H33">Common_InputFunctions.Utility_DisplayArrayInTable(Fuel_SourceData.Fuel_Scope1Scope3EmissionFactorsTransport_Data(), Table_Fuel_EFs_Transport[[#Headers],[Transport type]], 0)</f>
        <v>73.599999999999994</v>
      </c>
      <c r="I33" s="101" cm="1">
        <f t="array" ref="I33">Common_InputFunctions.Utility_DisplayArrayInTable(Fuel_SourceData.Fuel_Scope1Scope3EmissionFactorsTransport_Data(), Table_Fuel_EFs_Transport[[#Headers],[Transport type]], 0)</f>
        <v>0.2</v>
      </c>
      <c r="J33" s="101" cm="1">
        <f t="array" ref="J33">Common_InputFunctions.Utility_DisplayArrayInTable(Fuel_SourceData.Fuel_Scope1Scope3EmissionFactorsTransport_Data(), Table_Fuel_EFs_Transport[[#Headers],[Transport type]], 0)</f>
        <v>0.5</v>
      </c>
      <c r="K33" s="101" t="str" cm="1">
        <f t="array" ref="K33">Common_InputFunctions.Utility_DisplayArrayInTable(Fuel_SourceData.Fuel_Scope1Scope3EmissionFactorsTransport_Data(), Table_Fuel_EFs_Transport[[#Headers],[Transport type]], 0)</f>
        <v/>
      </c>
      <c r="L33" s="101" cm="1">
        <f t="array" ref="L33">Common_InputFunctions.Utility_DisplayArrayInTable(Fuel_SourceData.Fuel_Scope1Scope3EmissionFactorsTransport_Data(), Table_Fuel_EFs_Transport[[#Headers],[Transport type]], 0)</f>
        <v>18</v>
      </c>
    </row>
    <row r="34" spans="4:12" ht="20.100000000000001" customHeight="1" x14ac:dyDescent="0.25">
      <c r="D34" s="101" t="str" cm="1">
        <f t="array" ref="D34">Common_InputFunctions.Utility_DisplayArrayInTable(Fuel_SourceData.Fuel_Scope1Scope3EmissionFactorsTransport_Data(), Table_Fuel_EFs_Transport[[#Headers],[Transport type]], 0)</f>
        <v>Off-road Agriculture and forestry equipment</v>
      </c>
      <c r="E34" s="101" t="str" cm="1">
        <f t="array" ref="E34">Common_InputFunctions.Utility_DisplayArrayInTable(Fuel_SourceData.Fuel_Scope1Scope3EmissionFactorsTransport_Data(), Table_Fuel_EFs_Transport[[#Headers],[Transport type]], 0)</f>
        <v>Diesel oil</v>
      </c>
      <c r="F34" s="101" cm="1">
        <f t="array" ref="F34">Common_InputFunctions.Utility_DisplayArrayInTable(Fuel_SourceData.Fuel_Scope1Scope3EmissionFactorsTransport_Data(), Table_Fuel_EFs_Transport[[#Headers],[Transport type]], 0)</f>
        <v>38.6</v>
      </c>
      <c r="G34" s="101" t="str" cm="1">
        <f t="array" ref="G34">Common_InputFunctions.Utility_DisplayArrayInTable(Fuel_SourceData.Fuel_Scope1Scope3EmissionFactorsTransport_Data(), Table_Fuel_EFs_Transport[[#Headers],[Transport type]], 0)</f>
        <v>kL</v>
      </c>
      <c r="H34" s="101" cm="1">
        <f t="array" ref="H34">Common_InputFunctions.Utility_DisplayArrayInTable(Fuel_SourceData.Fuel_Scope1Scope3EmissionFactorsTransport_Data(), Table_Fuel_EFs_Transport[[#Headers],[Transport type]], 0)</f>
        <v>69.900000000000006</v>
      </c>
      <c r="I34" s="101" cm="1">
        <f t="array" ref="I34">Common_InputFunctions.Utility_DisplayArrayInTable(Fuel_SourceData.Fuel_Scope1Scope3EmissionFactorsTransport_Data(), Table_Fuel_EFs_Transport[[#Headers],[Transport type]], 0)</f>
        <v>0.3</v>
      </c>
      <c r="J34" s="101" cm="1">
        <f t="array" ref="J34">Common_InputFunctions.Utility_DisplayArrayInTable(Fuel_SourceData.Fuel_Scope1Scope3EmissionFactorsTransport_Data(), Table_Fuel_EFs_Transport[[#Headers],[Transport type]], 0)</f>
        <v>0.5</v>
      </c>
      <c r="K34" s="101" t="str" cm="1">
        <f t="array" ref="K34">Common_InputFunctions.Utility_DisplayArrayInTable(Fuel_SourceData.Fuel_Scope1Scope3EmissionFactorsTransport_Data(), Table_Fuel_EFs_Transport[[#Headers],[Transport type]], 0)</f>
        <v/>
      </c>
      <c r="L34" s="101"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139</v>
      </c>
      <c r="E39" s="28" t="s">
        <v>140</v>
      </c>
      <c r="F39" s="28" t="s">
        <v>141</v>
      </c>
      <c r="G39" s="28" t="s">
        <v>142</v>
      </c>
      <c r="H39" s="28" t="s">
        <v>143</v>
      </c>
      <c r="I39" s="28" t="s">
        <v>144</v>
      </c>
      <c r="J39" s="28" t="s">
        <v>145</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122</v>
      </c>
      <c r="F112" s="75" t="s">
        <v>123</v>
      </c>
      <c r="G112" s="52"/>
      <c r="H112" s="32" t="s">
        <v>124</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147</v>
      </c>
      <c r="I130" s="83" t="s">
        <v>148</v>
      </c>
      <c r="J130" s="83" t="s">
        <v>146</v>
      </c>
      <c r="K130" s="52"/>
      <c r="L130" s="52"/>
      <c r="M130" s="52"/>
      <c r="AG130" s="1"/>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84" t="str">
        <f>$D$143</f>
        <v>Petrol</v>
      </c>
      <c r="K131" s="52"/>
      <c r="L131" s="52"/>
      <c r="M131" s="52"/>
      <c r="AG131" s="1"/>
    </row>
    <row r="132" spans="4:33" ht="20.100000000000001" customHeight="1" x14ac:dyDescent="0.25">
      <c r="D132" s="84" t="str">
        <f>$D$144</f>
        <v>Diesel</v>
      </c>
      <c r="E132" s="84" t="str">
        <f>$D$144</f>
        <v>Diesel</v>
      </c>
      <c r="F132" s="84" t="str">
        <f>$D$151</f>
        <v>Jet A1, Jet B</v>
      </c>
      <c r="G132" s="84" t="str">
        <f>$D$144</f>
        <v>Diesel</v>
      </c>
      <c r="H132" s="84"/>
      <c r="I132" s="84" t="str">
        <f>$D$144</f>
        <v>Diesel</v>
      </c>
      <c r="J132" s="84" t="str">
        <f>$D$144</f>
        <v>Diesel</v>
      </c>
      <c r="K132" s="52"/>
      <c r="L132" s="52"/>
      <c r="M132" s="52"/>
      <c r="AG132" s="1"/>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137</v>
      </c>
      <c r="J133" s="84" t="str">
        <f>$D$145</f>
        <v>Liquefied petroleum gas (LPG)</v>
      </c>
      <c r="K133" s="52"/>
      <c r="L133" s="52"/>
      <c r="M133" s="52"/>
      <c r="AG133" s="1"/>
    </row>
    <row r="134" spans="4:33" ht="20.100000000000001" customHeight="1" x14ac:dyDescent="0.25">
      <c r="D134" s="84" t="str">
        <f>$D$146</f>
        <v>Biodiesel</v>
      </c>
      <c r="E134" s="84" t="str">
        <f>$D$146</f>
        <v>Biodiesel</v>
      </c>
      <c r="F134" s="83"/>
      <c r="G134" s="84" t="str">
        <f>$D$160</f>
        <v>Fuel oil</v>
      </c>
      <c r="H134" s="84"/>
      <c r="I134" s="84"/>
      <c r="J134" s="84" t="str">
        <f>$D$146</f>
        <v>Biodiesel</v>
      </c>
      <c r="K134" s="52"/>
      <c r="L134" s="52"/>
      <c r="M134" s="52"/>
      <c r="AG134" s="1"/>
    </row>
    <row r="135" spans="4:33" ht="20.100000000000001" customHeight="1" x14ac:dyDescent="0.25">
      <c r="D135" s="84" t="str">
        <f>$D$147</f>
        <v>Ethanol</v>
      </c>
      <c r="E135" s="84" t="str">
        <f>$D$147</f>
        <v>Ethanol</v>
      </c>
      <c r="F135" s="83"/>
      <c r="G135" s="84" t="str">
        <f>$D$147</f>
        <v>Ethanol</v>
      </c>
      <c r="H135" s="84"/>
      <c r="I135" s="84"/>
      <c r="J135" s="84" t="str">
        <f>$D$147</f>
        <v>Ethanol</v>
      </c>
      <c r="K135" s="52"/>
      <c r="L135" s="52"/>
      <c r="M135" s="52"/>
      <c r="AG135" s="1"/>
    </row>
    <row r="136" spans="4:33" ht="20.100000000000001" customHeight="1" x14ac:dyDescent="0.25">
      <c r="D136" s="84" t="str">
        <f>$D$148</f>
        <v>Other biofuels</v>
      </c>
      <c r="E136" s="84" t="str">
        <f>$D$148</f>
        <v>Other biofuels</v>
      </c>
      <c r="F136" s="83"/>
      <c r="G136" s="84" t="str">
        <f>$D$146</f>
        <v>Biodiesel</v>
      </c>
      <c r="H136" s="84"/>
      <c r="I136" s="84"/>
      <c r="J136" s="84" t="str">
        <f>$D$148</f>
        <v>Other biofuels</v>
      </c>
      <c r="K136" s="52"/>
      <c r="L136" s="52"/>
      <c r="M136" s="52"/>
      <c r="AG136" s="1"/>
    </row>
    <row r="137" spans="4:33" ht="20.100000000000001" customHeight="1" x14ac:dyDescent="0.25">
      <c r="D137" s="84" t="str">
        <f>$D$149</f>
        <v>Renewable diesel</v>
      </c>
      <c r="E137" s="84" t="str">
        <f>$D$149</f>
        <v>Renewable diesel</v>
      </c>
      <c r="F137" s="83"/>
      <c r="G137" s="84" t="str">
        <f>$D$149</f>
        <v>Renewable diesel</v>
      </c>
      <c r="H137" s="84"/>
      <c r="I137" s="84"/>
      <c r="J137" s="84" t="str">
        <f>$D$149</f>
        <v>Renewable diesel</v>
      </c>
      <c r="K137" s="52"/>
      <c r="L137" s="52"/>
      <c r="M137" s="52"/>
      <c r="AG137" s="1"/>
    </row>
    <row r="138" spans="4:33" ht="20.100000000000001" customHeight="1" x14ac:dyDescent="0.25">
      <c r="D138" s="83"/>
      <c r="E138" s="85" t="str">
        <f>$D$161</f>
        <v>Natural gas (via pipeline) in GJ</v>
      </c>
      <c r="F138" s="85"/>
      <c r="G138" s="84" t="str">
        <f>$D$148</f>
        <v>Other biofuels</v>
      </c>
      <c r="H138" s="84"/>
      <c r="I138" s="84"/>
      <c r="J138" s="85" t="str">
        <f>$D$161</f>
        <v>Natural gas (via pipeline) in GJ</v>
      </c>
      <c r="K138" s="52"/>
      <c r="L138" s="52"/>
      <c r="M138" s="52"/>
      <c r="AG138" s="1"/>
    </row>
    <row r="139" spans="4:33" ht="20.100000000000001" customHeight="1" x14ac:dyDescent="0.25">
      <c r="D139" s="85"/>
      <c r="E139" s="85" t="str">
        <f>$D$162</f>
        <v>Town gas in GJ</v>
      </c>
      <c r="F139" s="85"/>
      <c r="G139" s="85"/>
      <c r="H139" s="85"/>
      <c r="I139" s="85"/>
      <c r="J139" s="85" t="str">
        <f>$D$162</f>
        <v>Town gas in GJ</v>
      </c>
      <c r="K139" s="52"/>
      <c r="L139" s="52"/>
      <c r="M139" s="52"/>
      <c r="AG139" s="1"/>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125</v>
      </c>
      <c r="E142" t="s">
        <v>5</v>
      </c>
      <c r="F142" s="52"/>
      <c r="G142" s="52"/>
      <c r="H142" s="52"/>
      <c r="I142" s="52"/>
      <c r="J142" s="52"/>
      <c r="K142" s="52"/>
      <c r="L142" s="52"/>
    </row>
    <row r="143" spans="4:33" ht="20.100000000000001" customHeight="1" x14ac:dyDescent="0.25">
      <c r="D143" s="84" t="s">
        <v>98</v>
      </c>
      <c r="E143" t="s">
        <v>126</v>
      </c>
      <c r="F143" s="52"/>
      <c r="G143" s="52"/>
      <c r="H143" s="52"/>
      <c r="I143" s="52"/>
      <c r="J143" s="52"/>
      <c r="K143" s="52"/>
      <c r="L143" s="52"/>
    </row>
    <row r="144" spans="4:33" ht="20.100000000000001" customHeight="1" x14ac:dyDescent="0.25">
      <c r="D144" s="84" t="s">
        <v>105</v>
      </c>
      <c r="E144" t="s">
        <v>126</v>
      </c>
      <c r="F144" s="52"/>
      <c r="G144" s="52"/>
      <c r="H144" s="52"/>
      <c r="I144" s="52"/>
      <c r="J144" s="52"/>
      <c r="K144" s="52"/>
      <c r="L144" s="52"/>
    </row>
    <row r="145" spans="4:12" ht="20.100000000000001" customHeight="1" x14ac:dyDescent="0.25">
      <c r="D145" s="84" t="s">
        <v>106</v>
      </c>
      <c r="E145" t="s">
        <v>126</v>
      </c>
      <c r="F145" s="52"/>
      <c r="G145" s="52"/>
      <c r="H145" s="52"/>
      <c r="I145" s="52"/>
      <c r="J145" s="52"/>
      <c r="K145" s="52"/>
      <c r="L145" s="52"/>
    </row>
    <row r="146" spans="4:12" ht="20.100000000000001" customHeight="1" x14ac:dyDescent="0.25">
      <c r="D146" s="84" t="s">
        <v>127</v>
      </c>
      <c r="E146" t="s">
        <v>126</v>
      </c>
      <c r="F146" s="52"/>
      <c r="G146" s="52"/>
      <c r="H146" s="52"/>
      <c r="I146" s="52"/>
      <c r="J146" s="52"/>
      <c r="K146" s="52"/>
      <c r="L146" s="52"/>
    </row>
    <row r="147" spans="4:12" ht="20.100000000000001" customHeight="1" x14ac:dyDescent="0.25">
      <c r="D147" s="84" t="s">
        <v>96</v>
      </c>
      <c r="E147" t="s">
        <v>126</v>
      </c>
      <c r="F147" s="52"/>
      <c r="G147" s="52"/>
      <c r="H147" s="52"/>
      <c r="I147" s="52"/>
      <c r="J147" s="52"/>
      <c r="K147" s="52"/>
      <c r="L147" s="52"/>
    </row>
    <row r="148" spans="4:12" ht="20.100000000000001" customHeight="1" x14ac:dyDescent="0.25">
      <c r="D148" s="84" t="s">
        <v>128</v>
      </c>
      <c r="E148" t="s">
        <v>126</v>
      </c>
      <c r="F148" s="52"/>
      <c r="G148" s="52"/>
      <c r="H148" s="52"/>
      <c r="I148" s="52"/>
      <c r="J148" s="52"/>
      <c r="K148" s="52"/>
      <c r="L148" s="52"/>
    </row>
    <row r="149" spans="4:12" ht="20.100000000000001" customHeight="1" x14ac:dyDescent="0.25">
      <c r="D149" s="84" t="s">
        <v>129</v>
      </c>
      <c r="E149" t="s">
        <v>126</v>
      </c>
      <c r="F149" s="52"/>
      <c r="G149" s="52"/>
      <c r="H149" s="52"/>
      <c r="I149" s="52"/>
      <c r="J149" s="52"/>
      <c r="K149" s="52"/>
      <c r="L149" s="52"/>
    </row>
    <row r="150" spans="4:12" ht="20.100000000000001" customHeight="1" x14ac:dyDescent="0.25">
      <c r="D150" s="84" t="s">
        <v>130</v>
      </c>
      <c r="E150" t="s">
        <v>126</v>
      </c>
      <c r="F150" s="52"/>
      <c r="G150" s="52"/>
      <c r="H150" s="52"/>
      <c r="I150" s="52"/>
      <c r="J150" s="52"/>
      <c r="K150" s="52"/>
      <c r="L150" s="52"/>
    </row>
    <row r="151" spans="4:12" ht="20.100000000000001" customHeight="1" x14ac:dyDescent="0.25">
      <c r="D151" s="84" t="s">
        <v>101</v>
      </c>
      <c r="E151" t="s">
        <v>126</v>
      </c>
      <c r="F151" s="52"/>
      <c r="G151" s="52"/>
      <c r="H151" s="52"/>
      <c r="I151" s="52"/>
      <c r="J151" s="52"/>
      <c r="K151" s="52"/>
      <c r="L151" s="52"/>
    </row>
    <row r="152" spans="4:12" ht="20.100000000000001" customHeight="1" x14ac:dyDescent="0.25">
      <c r="D152" s="86" t="s">
        <v>131</v>
      </c>
      <c r="E152" s="19" t="s">
        <v>126</v>
      </c>
      <c r="F152" s="52"/>
      <c r="G152" s="52"/>
      <c r="H152" s="52"/>
      <c r="I152" s="52"/>
      <c r="J152" s="52"/>
      <c r="K152" s="52"/>
      <c r="L152" s="52"/>
    </row>
    <row r="153" spans="4:12" ht="20.100000000000001" customHeight="1" x14ac:dyDescent="0.25">
      <c r="D153" s="86" t="s">
        <v>102</v>
      </c>
      <c r="E153" s="19" t="s">
        <v>126</v>
      </c>
      <c r="F153" s="52"/>
      <c r="G153" s="52"/>
      <c r="H153" s="52"/>
      <c r="I153" s="52"/>
      <c r="J153" s="52"/>
      <c r="K153" s="52"/>
      <c r="L153" s="52"/>
    </row>
    <row r="154" spans="4:12" ht="20.100000000000001" customHeight="1" x14ac:dyDescent="0.25">
      <c r="D154" s="86" t="s">
        <v>103</v>
      </c>
      <c r="E154" s="19" t="s">
        <v>126</v>
      </c>
      <c r="F154" s="52"/>
      <c r="G154" s="52"/>
      <c r="H154" s="52"/>
      <c r="I154" s="52"/>
      <c r="J154" s="52"/>
      <c r="K154" s="52"/>
      <c r="L154" s="52"/>
    </row>
    <row r="155" spans="4:12" ht="20.100000000000001" customHeight="1" x14ac:dyDescent="0.25">
      <c r="D155" s="86" t="s">
        <v>132</v>
      </c>
      <c r="E155" s="19" t="s">
        <v>126</v>
      </c>
      <c r="F155" s="52"/>
      <c r="G155" s="52"/>
      <c r="H155" s="52"/>
      <c r="I155" s="52"/>
      <c r="J155" s="52"/>
      <c r="K155" s="52"/>
      <c r="L155" s="52"/>
    </row>
    <row r="156" spans="4:12" ht="20.100000000000001" customHeight="1" x14ac:dyDescent="0.25">
      <c r="D156" s="86" t="s">
        <v>133</v>
      </c>
      <c r="E156" s="19" t="s">
        <v>126</v>
      </c>
      <c r="F156" s="52"/>
      <c r="G156" s="52"/>
      <c r="H156" s="52"/>
      <c r="I156" s="52"/>
      <c r="J156" s="52"/>
      <c r="K156" s="52"/>
      <c r="L156" s="52"/>
    </row>
    <row r="157" spans="4:12" ht="20.100000000000001" customHeight="1" x14ac:dyDescent="0.25">
      <c r="D157" s="86" t="s">
        <v>134</v>
      </c>
      <c r="E157" s="19" t="s">
        <v>126</v>
      </c>
      <c r="F157" s="52"/>
      <c r="G157" s="52"/>
      <c r="H157" s="52"/>
      <c r="I157" s="52"/>
      <c r="J157" s="52"/>
      <c r="K157" s="52"/>
      <c r="L157" s="52"/>
    </row>
    <row r="158" spans="4:12" ht="20.100000000000001" customHeight="1" x14ac:dyDescent="0.25">
      <c r="D158" s="86" t="s">
        <v>135</v>
      </c>
      <c r="E158" s="19" t="s">
        <v>126</v>
      </c>
      <c r="F158" s="52"/>
      <c r="G158" s="52"/>
      <c r="H158" s="52"/>
      <c r="I158" s="52"/>
      <c r="J158" s="52"/>
      <c r="K158" s="52"/>
      <c r="L158" s="52"/>
    </row>
    <row r="159" spans="4:12" ht="20.100000000000001" customHeight="1" x14ac:dyDescent="0.25">
      <c r="D159" s="86" t="s">
        <v>136</v>
      </c>
      <c r="E159" s="19" t="s">
        <v>126</v>
      </c>
      <c r="F159" s="52"/>
      <c r="G159" s="52"/>
      <c r="H159" s="52"/>
      <c r="I159" s="52"/>
      <c r="J159" s="52"/>
      <c r="K159" s="52"/>
      <c r="L159" s="52"/>
    </row>
    <row r="160" spans="4:12" ht="20.100000000000001" customHeight="1" x14ac:dyDescent="0.25">
      <c r="D160" s="86" t="s">
        <v>137</v>
      </c>
      <c r="E160" s="19" t="s">
        <v>126</v>
      </c>
      <c r="F160" s="52"/>
      <c r="G160" s="52"/>
      <c r="H160" s="52"/>
      <c r="I160" s="52"/>
      <c r="J160" s="52"/>
      <c r="K160" s="52"/>
      <c r="L160" s="52"/>
    </row>
    <row r="161" spans="4:12" ht="20.100000000000001" customHeight="1" x14ac:dyDescent="0.25">
      <c r="D161" s="85" t="s">
        <v>99</v>
      </c>
      <c r="E161" s="52" t="s">
        <v>138</v>
      </c>
      <c r="F161" s="52"/>
      <c r="G161" s="52"/>
      <c r="H161" s="52"/>
      <c r="I161" s="52"/>
      <c r="J161" s="52"/>
      <c r="K161" s="52"/>
      <c r="L161" s="52"/>
    </row>
    <row r="162" spans="4:12" ht="20.100000000000001" customHeight="1" x14ac:dyDescent="0.25">
      <c r="D162" s="52" t="s">
        <v>107</v>
      </c>
      <c r="E162" s="52" t="s">
        <v>138</v>
      </c>
      <c r="F162" s="52"/>
      <c r="G162" s="52"/>
      <c r="H162" s="52"/>
      <c r="I162" s="52"/>
      <c r="J162" s="52"/>
      <c r="K162" s="52"/>
      <c r="L162" s="52"/>
    </row>
    <row r="163" spans="4:12" ht="20.100000000000001" customHeight="1" x14ac:dyDescent="0.25"/>
    <row r="164" spans="4:12" ht="20.100000000000001" customHeight="1" x14ac:dyDescent="0.25"/>
    <row r="165" spans="4:12"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topLeftCell="A123"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c r="D98" s="33" t="str" cm="1">
        <f t="array" ref="D98:D101">Common_SourceData.Common_SourceData_ClimateZones_Appendices()</f>
        <v>Note:</v>
      </c>
    </row>
    <row r="99" spans="4:20" ht="20.100000000000001" customHeight="1" x14ac:dyDescent="0.25">
      <c r="D99" s="33" t="str">
        <v>MAT = mean annual temperature</v>
      </c>
    </row>
    <row r="100" spans="4:20" ht="20.100000000000001" customHeight="1" x14ac:dyDescent="0.25">
      <c r="D100" s="33" t="str">
        <v>MAP = mean annual precipitation</v>
      </c>
    </row>
    <row r="101" spans="4:20" ht="20.100000000000001" customHeight="1" x14ac:dyDescent="0.25">
      <c r="D101" s="33" t="str">
        <v>PET = potential evapotranspiration</v>
      </c>
    </row>
    <row r="102" spans="4:20" ht="20.100000000000001" customHeight="1" x14ac:dyDescent="0.25">
      <c r="D102" s="33"/>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CcATgBhAHQAdQByAGEAbAAgAGcAYQBzACAAZABpAHMAdAByAGkAYgB1AHQAZQBkACAAaQBuACAAYQAgAHAAaQBwAGUAbABpAG4AZQAgAC0AIABHAGkAZwBhAGoAbwB1AGwAZQBzACcAIABhAG4AZAAgACcAVABvAHcAbgAgAGcAYQBzACAALQAgAEcAaQBnAGEAagBvAHUAbABlAHMAJ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CcAQwAn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JwBOAEUAJ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CcATgBFAC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IABMAEUATgAoAEMAZQBsAGwAKQAgAC0AIABGAEkATgBEACgAXAAiACwAIABcACIALAAgAEMAZQBsAGwAKQAgAC0AIAAx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AAgAC8AKgAgAFwAbgAtAC0ALQAtAC0ALQAtAC0ALQAtAC0ALQAtAC0ALQAtAC0ALQAtAC0ALQAtAC0ALQAtAC0ALQAtAC0ALQAtAC0ALQAtAC0ALQAtAC0AXABuAFYARQBFAFIARwBfADgAXwAyAF8AMQBfADEAXwBfADIAXwBGAHUAZQBsAEMAbwBtAGIAdQBzAHQAaQBvAG4ARwBlAG4AZQByAGkAYwBcAG4ARQBtAGkAcwBzAGkAbwBuAHMAIABmAG8AcgAgAGUAYQBjAGgAIABHAEgARwAgAGYAcgBvAG0AIABnAGUAbgBlAHIAaQBjACAAZgB1AGUAbAAgAGMAbwBtAGIAdQBzAHQAaQBvAG4AIAB3AGgAZQByAGUAIAB0AGgAZQAgAHUAcwBhAGcAZQAgAGkAcwAgAG4AbwB0ACAAawBuAG8AdwBuAFwAbgBRACAAOgAgAEEAbQBvAHUAbgB0ACAAbwBmACAAZgB1AGUAbAAgAHQAeQBwAGUAIABxACAAdQBzAGUAZAAgAGYAbwByACAAZwBlAG4AZQByAGkAYwAgAGMAbwBtAGIAdQBzAHQAaQBvAG4AIABvAHAAZQByAGEAdABpAG8AbgBzACAAOgAgAGsATABcAG4ARQBDACAAOgAgAEUAbgBlAHIAZwB5ACAAYwBvAG4AdABlAG4AdAAgAGYAYQBjAHQAbwByACAAZgBvAHIAIABnAGUAbgBlAHIAaQBjACAAYwBvAG0AYgB1AHMAdABpAG8AbgAgAG8AcABlAHIAYQB0AGkAbwBuAHMAIAA6ACAARwBKAC8AawBMAFwAbgBFAEYAIAA6ACAAUwBjAG8AcABlACAAMQAgAGUAbQBpAHMAcwBpAG8AbgAgAGYAYQBjAHQAbwByACAAZgBvAHIAIABnAGUAbgBlAHIAaQBj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FgAXwBGAHUAZQBsAEMAbwBtAGIAdQBzAHQAaQBvAG4ARwBlAG4AZQByAGkAYwBcAG4AIAAgAD0ATABBAE0AQgBEAEEAKABcAG4AIAAgACAAIABRAF8ARwBDAHEALAAgAEUAQwBfAEcAQwBxACwAIABFAEYAXwBHAEMAMQBxAGcALABcAG4AIAAgACAAIABWAEUARQBSAEcAXwA4AF8ARgB1AGUAbABDAG8AbQBiAHUAcwB0AGkAbwBuACgAUQBfAEcAQwBxACwAIABFAEMAXwBHAEMAcQAsACAARQBGAF8ARwBDADEAcQBnACkAXABuACAAIAApAFwAbgA7AFwAbgBcAG4AVgBFAEUAUgBHAF8AOABfAFgAXwBGAHUAZQBsAEMAbwBtAGIAdQBzAHQAaQBvAG4ARwBlAG4AZQByAGkAYwBfAFQAaQB0AGwAZQBcAG4AIAAgAD0ATABBAE0AQgBEAEEAKABcACIARQBtAGkAcwBzAGkAbwBuAHMAIABmAG8AcgAgAGUAYQBjAGgAIABHAEgARwAgAGYAcgBvAG0AIAB0AGgAZQAgAGcAZQBuAGUAcgBpAGMAIABjAG8AbQBiAHUAcwB0AGkAbwBuACAAbwBmACAAZgB1AGUAbABzAFwAIgApADsAXABuAFwAbgBWAEUARQBSAEcAXwA4AF8AWABfAEYAdQBlAGwAQwBvAG0AYgB1AHMAdABpAG8AbgBHAGUAbgBlAHIAaQBjAF8AVgBhAHIAaQBhAGIAbABlAFwAbgAgACAAPQBMAEEATQBCAEQAQQAoAFwAIgBFAF8AZwBcACIAKQA7AFwAbgBcAG4AVgBFAEUAUgBHAF8AOABfAFgAXwBGAHUAZQBsAEMAbwBtAGIAdQBzAHQAaQBvAG4ARwBlAG4AZQByAGkAYwBfAFUAbgBpAHQAXABuACAAIAA9AEwAQQBNAEIARABBACgAXAAiAHQAIABDAE8AMgAtAGUAXAAiACkAOwBcAG4AXABuAFYARQBFAFIARwBfADgAXwBYAF8ARgB1AGUAbABDAG8AbQBiAHUAcwB0AGkAbwBuAEcAZQBuAGUAcgBpAGMAXwBTAG8AdQByAGMAZQBcAG4AIAAgAD0ATABBAE0AQgBEAEEAKABcACIAVQBzAGUAcwAgAFYARQBFAFIARwAgADIAMAAyADYAOgAgADgALgAxAC4AMQAuADEALAAgAEUAcQB1AGEAdABpAG8AbgAgACgAMQApACwAIAA4AC4AMgAuADEALgAxACwAIABFAHEAdQBhAHQAaQBvAG4AIAAoADEAKQAgAGEAbgBkACAAZQB2AGUAcgBhAGcAZQBzACAAdABoAGUAIABBAHUAcwB0AHIAYQBsAGkAYQBuACAATgBhAHQAaQBvAG4AYQBsACAARwByAGUAZQBuAGgAbwB1AHMAZQAgAEEAYwBjAG8AdQBuAHQAcwAgAEYAYQBjAHQAbwByAHMAIAAyADAAMgA1ACAAZgBvAHIAIAB0AHIAYQBuAHMAcABvAHIAdAAgAGEAbgBkACAAcwB0AGEAdABpAG8AbgBhAHIAeQAgAGYAdQBlAGwAIABjAG8AbQBiAHUAcwB0AGkAbwBuAFwAIgApADsAXABuAFwAbgBWAEUARQBSAEcAXwA4AF8AWABfAEYAdQBlAGwAQwBvAG0AYgB1AHMAdABpAG8AbgBHAGUAbgBlAHIAaQBj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ZwBlAG4AZQByAGkAYwAgAGUAbgBlAHIAZwB5ACAAcwBvAHUAcgBjAGUAcwAgAC0AIABDAGEAbABjAHUAbABhAHQAaQBuAGcAIABlAG0AaQBzAHMAaQBvAG4AcwAgAGYAcgBvAG0AIABnAGUAbgBlAHIAaQBjACAAYwBvAG0AYgB1AHMAdABpAG8AbgAgAG8AZgAgAGwAaQBxAHUAaQBkACAAZgB1AGUAbABzACAAYQBuAGQAIAAyAC4AMwAgAEUAcwB0AGkAbQBhAHQAaQBuAGcAIABlAG0AaQBzAHMAaQBvAG4AcwAgAGYAcgBvAG0AIAB0AHIAYQBuAHMAcABvAHIAdAAgAGYAdQBlAGwAcwBcACIAKQA7AFwAbgBcAG4AVgBFAEUAUgBHAF8AOABfAFgAXwBGAHUAZQBsAEMAbwBtAGIAdQBzAHQAaQBvAG4ARwBlAG4AZQByAGkAYwBfAEwAYQB0AGUAeABFAHEAdQBhAHQAaQBvAG4AXABuACAAIAA9AEwAQQBNAEIARABBACgAXAAiAEUAXwBnAD0AXABcAHMAdQBtAFwAXABuAG8AbABpAG0AaQB0AHMAXwB0ACAAXABcAHMAdQBtAFwAXABuAG8AbABpAG0AaQB0AHMAXwBxAFwAXABsAGUAZgB0ACgAUQBfAHsARwBDACwAcQB9AFwAXAB0AGkAbQBlAHMAIABFAEMAXwB7AEcAQwAsAHEAfQBcAFwAdABpAG0AZQBzACAARQBGAF8AewBHAEMALAAxACwAcQBnAH0AXABcAHIAaQBnAGgAdAApAFwAXAB0AGkAbQBlAHMAIAAxADAAXgB7AC0AMwB9AFwAIgApADsAXABuAFwAbgBWAEUARQBSAEcAXwA4AF8AWABfAEYAdQBlAGwAQwBvAG0AYgB1AHMAdABpAG8AbgBHAGUAbgBlAHIAaQBjAF8AQQByAGcAdQBtAGUAbgB0AHMAXABuACAAIAA9AEwAQQBNAEIARABBACgAXABuACAAIAAgACAATQBBAEsARQBBAFIAUgBBAFkAKAA3ACwAIAA0ACwAIABcAG4AIAAgACAAIAAgACAATABBAE0AQgBEAEEAKAByACwAYwAsACAAXABuACAAIAAgACAAIAAgACAAIABJAE4ARABFAFgAKAB7AFwAbgAgACAAIAAgACAAIAAgACAAIAAgAFwAIgBRAF8ARwBDAHEAXAAiACwAIABcACIAQQBtAG8AdQBuAHQAIABvAGYAIABmAHUAZQBsACAAdAB5AHAAZQAgAHEAIAB1AHMAZQBkACAAZgBvAHIAIABnAGUAbgBlAHIAaQBjACAAYwBvAG0AYgB1AHMAdABpAG8AbgAgAG8AcABlAHIAYQB0AGkAbwBuAHMAXAAiACwAIABcACIAVgBhAHIAaQBlAHMAIABiAGEAcwBlAGQAIABvAG4AIABmAHUAZQBsACAAdAB5AHAAZQA6ACAAawBMACwAIABtADMALAAgAEcASgBcACIALAAgAFwAIgBJAG4AcAB1AHQAXAAiADsAXABuACAAIAAgACAAIAAgACAAIAAgACAAXAAiAEUAQwBfAEcAQwBxAFwAIgAsACAAXAAiAEUAbgBlAHIAZwB5ACAAYwBvAG4AdABlAG4AdAAgAGYAYQBjAHQAbwByACAAZgBvAHIAIABnAGUAbgBlAHIAaQBjACAAYwBvAG0AYgB1AHMAdABpAG8AbgAgAG8AcABlAHIAYQB0AGkAbwBuAHMAXAAiACwAIABcACIARwBKACAALwAgAHUAbgBpAHQAIABvAGYAIABmAHUAZQBsAFwAIgAsACAAXAAiAEMAbwBuAHMAdABhAG4AdABcACIAOwBcAG4AIAAgACAAIAAgACAAIAAgACAAIABcACIARQBGAF8ARwBDADEAcQBnAFwAIgAsACAAXAAiAFMAYwBvAHAAZQAgADEAIABlAG0AaQBzAHMAaQBvAG4AIABmAGEAYwB0AG8AcgAgAGYAbwByACAAZwBlAG4AZQByAGkAYw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RwBDAFwAIgAsACAAXAAiAEcAZQBuAGUAcgBpAGM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AAgAFYARQBFAFIARwBfADgAXwBYAF8ARgB1AGUAbABDAG8AbQBiAHUAcwB0AGkAbwBuAEcAZQBuAGUAcgBpAGMAXwBWAGEAcgBpAGEAdABpAG8AbgBcAG4AIAAgAD0ATABBAE0AQgBEAEEAKABcACIAVgBBAFIASQBBAFQASQBPAE4AIABPAE4AIABTAE8AVQBSAEMARQA6ACAAVABoAGkAcwAgAGMAYQBsAGMAdQBsAGEAdABpAG8AbgAgAHUAcwBlAHMAIABhAHYAZQByAGEAZwBlAHMAIABvAGYAIAB0AHIAYQBuAHMAcABvAHIAdAAgAGEAbgBkACAAcwB0AGEAdABpAG8AbgBhAHIAeQAgAGUAbQBpAHMAcwBpAG8AbgAgAGYAYQBjAHQAbwByAHMAIABmAG8AcgAgAGYAdQBlAGwAIABjAG8AbQBiAHUAcwB0AGkAbwBuACAAdwBoAGUAcgBlACAAdABoAGUAIAB1AHMAYQBnAGUAIABpAHMAIABuAG8AdAAgAGsAbgBvAHcAbgAuAFwAI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HUAZQBsAF8ARQBxAHUAYQB0AGkAbwBuAHMALgBWAEUARQBSAEcAXwA4AF8AWABfAEYAdQBlAGwAQwBvAG0AYgB1AHMAdABpAG8AbgBHAGUAbgBlAHIAaQBjACIALAAiAEYAdQBlAGwAXwBFAHEAdQBhAHQAaQBvAG4AcwAuAFYARQBFAFIARwBfADgAXwBYAF8ARgB1AGUAbABDAG8AbQBiAHUAcwB0AGkAbwBuAEcAZQBuAGUAcgBpAGMAXwBUAGkAdABsAGUAIgAsACIARgB1AGUAbABfAEUAcQB1AGEAdABpAG8AbgBzAC4AVgBFAEUAUgBHAF8AOABfAFgAXwBGAHUAZQBsAEMAbwBtAGIAdQBzAHQAaQBvAG4ARwBlAG4AZQByAGkAYwBfAFYAYQByAGkAYQBiAGwAZQAiACwAIgBGAHUAZQBsAF8ARQBxAHUAYQB0AGkAbwBuAHMALgBWAEUARQBSAEcAXwA4AF8AWABfAEYAdQBlAGwAQwBvAG0AYgB1AHMAdABpAG8AbgBHAGUAbgBlAHIAaQBjAF8AVQBuAGkAdAAiACwAIgBGAHUAZQBsAF8ARQBxAHUAYQB0AGkAbwBuAHMALgBWAEUARQBSAEcAXwA4AF8AWABfAEYAdQBlAGwAQwBvAG0AYgB1AHMAdABpAG8AbgBHAGUAbgBlAHIAaQBjAF8AUwBvAHUAcgBjAGUAIgAsACIARgB1AGUAbABfAEUAcQB1AGEAdABpAG8AbgBzAC4AVgBFAEUAUgBHAF8AOABfAFgAXwBGAHUAZQBsAEMAbwBtAGIAdQBzAHQAaQBvAG4ARwBlAG4AZQByAGkAYwBfAE4ASQBSAFIAZQBmAGUAcgBlAG4AYwBlACIALAAiAEYAdQBlAGwAXwBFAHEAdQBhAHQAaQBvAG4AcwAuAFYARQBFAFIARwBfADgAXwBYAF8ARgB1AGUAbABDAG8AbQBiAHUAcwB0AGkAbwBuAEcAZQBuAGUAcgBpAGMAXwBMAGEAdABlAHgARQBxAHUAYQB0AGkAbwBuACIALAAiAEYAdQBlAGwAXwBFAHEAdQBhAHQAaQBvAG4AcwAuAFYARQBFAFIARwBfADgAXwBYAF8ARgB1AGUAbABDAG8AbQBiAHUAcwB0AGkAbwBuAEcAZQBuAGUAcgBpAGMAXwBBAHIAZwB1AG0AZQBuAHQAcwAiACwAIgBGAHUAZQBsAF8ARQBxAHUAYQB0AGkAbwBuAHMALgBWAEUARQBSAEcAXwA4AF8AWABfAEYAdQBlAGwAQwBvAG0AYgB1AHMAdABpAG8AbgBHAGUAbgBlAHIAaQBj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Home</vt:lpstr>
      <vt:lpstr>Overview</vt:lpstr>
      <vt:lpstr>Results</vt:lpstr>
      <vt:lpstr>Input - Fuel</vt:lpstr>
      <vt:lpstr>8.1.1.1-2 Transport fuel</vt:lpstr>
      <vt:lpstr>8.2.1.1-2 Stationary fuel</vt:lpstr>
      <vt:lpstr>8.X.1.1-2 General use fuel</vt:lpstr>
      <vt:lpstr>Constants - Fuel</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2026-05-01T07:00:19Z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