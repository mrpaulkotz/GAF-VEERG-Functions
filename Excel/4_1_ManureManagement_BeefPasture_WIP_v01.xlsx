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96DD77FB-CFDF-4818-8D93-F221939E5769}" xr6:coauthVersionLast="47" xr6:coauthVersionMax="47" xr10:uidLastSave="{00000000-0000-0000-0000-000000000000}"/>
  <bookViews>
    <workbookView xWindow="615" yWindow="240" windowWidth="37755" windowHeight="20445" firstSheet="3" activeTab="3" xr2:uid="{992023F3-CAB7-4E5B-A348-08D563A0EF40}"/>
  </bookViews>
  <sheets>
    <sheet name="Home" sheetId="71" r:id="rId1"/>
    <sheet name="Results" sheetId="13" r:id="rId2"/>
    <sheet name="Input - Site" sheetId="15" r:id="rId3"/>
    <sheet name="Input - Pasture Beef" sheetId="70" r:id="rId4"/>
    <sheet name="4.2.1.1-2 Methane" sheetId="69" r:id="rId5"/>
    <sheet name="4.3.1.3-4 Direct N20" sheetId="76" r:id="rId6"/>
    <sheet name="4.3.1.5 Atmos deposition" sheetId="82" r:id="rId7"/>
    <sheet name="4.3.1.6-7 Leaching and runoff" sheetId="95" r:id="rId8"/>
    <sheet name="4.3.1.8 Manure applied to soils" sheetId="81" r:id="rId9"/>
    <sheet name="4.3.1.9 Soil direct N2O" sheetId="96" r:id="rId10"/>
    <sheet name="4.3.1.10-11 Soil Atmos Dep" sheetId="97" r:id="rId11"/>
    <sheet name="4.3.1.12-13 Soil leach runoff" sheetId="98" r:id="rId12"/>
    <sheet name="Constants - Pature Beef" sheetId="79" r:id="rId13"/>
    <sheet name="Constants - Common" sheetId="93" r:id="rId14"/>
    <sheet name="Constants - Livestock" sheetId="43" r:id="rId15"/>
    <sheet name="Acknowledgements" sheetId="72" r:id="rId16"/>
    <sheet name="Tab template" sheetId="74" r:id="rId17"/>
  </sheets>
  <externalReferences>
    <externalReference r:id="rId18"/>
    <externalReference r:id="rId19"/>
    <externalReference r:id="rId20"/>
    <externalReference r:id="rId21"/>
    <externalReference r:id="rId22"/>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 localSheetId="10">_xlfn.LAMBDA(_xlpm.Month,_xlpm.LivestockClass,_xlpm.HeadAtStart,_xlpm.LiveweightAtStart,_xlpm.LiveweightGain, [0]!CommonLivestock_InputFunctions.LivestockMovement_ProportionalAverageLiveweightAddedDuringMonth(_xlpm.Month, _xlpm.LivestockClass, _xlpm.HeadAtStart) + '4.3.1.10-11 Soil Atmos Dep'!CommonLivestock_InputFunctions.LivestockMovement_ProportionalAverageLiveweightRemainingAtEndOfMonth(_xlpm.Month,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1">_xlfn.LAMBDA(_xlpm.Month,_xlpm.LivestockClass,_xlpm.HeadAtStart,_xlpm.LiveweightAtStart,_xlpm.LiveweightGain, [0]!CommonLivestock_InputFunctions.LivestockMovement_ProportionalAverageLiveweightAddedDuringMonth(_xlpm.Month, _xlpm.LivestockClass, _xlpm.HeadAtStart) + '4.3.1.12-13 Soil leach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7">_xlfn.LAMBDA(_xlpm.Month,_xlpm.LivestockClass,_xlpm.HeadAtStart,_xlpm.LiveweightAtStart,_xlpm.LiveweightGain, [0]!CommonLivestock_InputFunctions.LivestockMovement_ProportionalAverageLiveweightAddedDuringMonth(_xlpm.Month, _xlpm.LivestockClass, _xlpm.HeadAtStart) + '4.3.1.6-7 Leaching and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9">_xlfn.LAMBDA(_xlpm.Month,_xlpm.LivestockClass,_xlpm.HeadAtStart,_xlpm.LiveweightAtStart,_xlpm.LiveweightGain, [0]!CommonLivestock_InputFunctions.LivestockMovement_ProportionalAverageLiveweightAddedDuringMonth(_xlpm.Month, _xlpm.LivestockClass, _xlpm.HeadAtStart) + '4.3.1.9 Soil direct N2O'!CommonLivestock_InputFunctions.LivestockMovement_ProportionalAverageLiveweightRemainingAtEndOfMonth(_xlpm.Month,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10">_xlfn.LAMBDA(_xlpm.LivestockClass,_xlpm.MovementDate,_xlpm.WeightAtMovementDate,_xlpm.Head, IFERROR(_xlpm.Head * (_xlpm.WeightAtMovementDate + '4.3.1.10-11 Soil Atmos Dep'!CommonLivestock_InputFunctions.LivestockMovement_LiveweightGrownDuringMonthPerHead(_xlpm.LivestockClass, _xlpm.MovementDate)), 0))</definedName>
    <definedName name="CommonLivestock_InputFunctions.LivestockMovement_LiveweightAddedDuringMonth" localSheetId="11">_xlfn.LAMBDA(_xlpm.LivestockClass,_xlpm.MovementDate,_xlpm.WeightAtMovementDate,_xlpm.Head, IFERROR(_xlpm.Head * (_xlpm.WeightAtMovementDate + '4.3.1.12-13 Soil leach runoff'!CommonLivestock_InputFunctions.LivestockMovement_LiveweightGrownDuringMonthPerHead(_xlpm.LivestockClass, _xlpm.MovementDate)), 0))</definedName>
    <definedName name="CommonLivestock_InputFunctions.LivestockMovement_LiveweightAddedDuringMonth" localSheetId="7">_xlfn.LAMBDA(_xlpm.LivestockClass,_xlpm.MovementDate,_xlpm.WeightAtMovementDate,_xlpm.Head, IFERROR(_xlpm.Head * (_xlpm.WeightAtMovementDate + '4.3.1.6-7 Leaching and runoff'!CommonLivestock_InputFunctions.LivestockMovement_LiveweightGrownDuringMonthPerHead(_xlpm.LivestockClass, _xlpm.MovementDate)), 0))</definedName>
    <definedName name="CommonLivestock_InputFunctions.LivestockMovement_LiveweightAddedDuringMonth" localSheetId="9">_xlfn.LAMBDA(_xlpm.LivestockClass,_xlpm.MovementDate,_xlpm.WeightAtMovementDate,_xlpm.Head, IFERROR(_xlpm.Head * (_xlpm.WeightAtMovementDate + '4.3.1.9 Soil direct N2O'!CommonLivestock_InputFunctions.LivestockMovement_LiveweightGrownDuringMonthPerHead(_xlpm.LivestockClass,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10">_xlfn.LAMBDA(_xlpm.LivestockClass,_xlpm.Month, '4.3.1.10-11 Soil Atmos Dep'!CommonLivestock_InputFunctions.LivestockMovement_LiveweightGrownDuringMonthPerHead(_xlpm.LivestockClass, EOMONTH(_xlpm.Month, -1) + 1))</definedName>
    <definedName name="CommonLivestock_InputFunctions.LivestockMovement_LiveweightGrownFromMonthStartPerHead" localSheetId="11">_xlfn.LAMBDA(_xlpm.LivestockClass,_xlpm.Month, '4.3.1.12-13 Soil leach runoff'!CommonLivestock_InputFunctions.LivestockMovement_LiveweightGrownDuringMonthPerHead(_xlpm.LivestockClass, EOMONTH(_xlpm.Month, -1) + 1))</definedName>
    <definedName name="CommonLivestock_InputFunctions.LivestockMovement_LiveweightGrownFromMonthStartPerHead" localSheetId="7">_xlfn.LAMBDA(_xlpm.LivestockClass,_xlpm.Month, '4.3.1.6-7 Leaching and runoff'!CommonLivestock_InputFunctions.LivestockMovement_LiveweightGrownDuringMonthPerHead(_xlpm.LivestockClass, EOMONTH(_xlpm.Month, -1) + 1))</definedName>
    <definedName name="CommonLivestock_InputFunctions.LivestockMovement_LiveweightGrownFromMonthStartPerHead" localSheetId="9">_xlfn.LAMBDA(_xlpm.LivestockClass,_xlpm.Month, '4.3.1.9 Soil direct N2O'!CommonLivestock_InputFunctions.LivestockMovement_LiveweightGrownDuringMonthPerHead(_xlpm.LivestockClass,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10">_xlfn.LAMBDA(_xlpm.LivestockClass,_xlpm.Month,_xlpm.HeadAtStartOfMonth, [0]!CommonLivestock_InputFunctions.LivestockMovement_HeadRemainingAtMonthEnd(_xlpm.Month, _xlpm.LivestockClass, _xlpm.HeadAtStartOfMonth) * '4.3.1.10-11 Soil Atmos Dep'!CommonLivestock_InputFunctions.LivestockMovement_LiveweightGrownFromMonthStartPerHead(_xlpm.LivestockClass, _xlpm.Month))</definedName>
    <definedName name="CommonLivestock_InputFunctions.LivestockMovement_LiveweightGrownFromMonthStartTotal" localSheetId="11">_xlfn.LAMBDA(_xlpm.LivestockClass,_xlpm.Month,_xlpm.HeadAtStartOfMonth, [0]!CommonLivestock_InputFunctions.LivestockMovement_HeadRemainingAtMonthEnd(_xlpm.Month, _xlpm.LivestockClass, _xlpm.HeadAtStartOfMonth) * '4.3.1.12-13 Soil leach runoff'!CommonLivestock_InputFunctions.LivestockMovement_LiveweightGrownFromMonthStartPerHead(_xlpm.LivestockClass, _xlpm.Month))</definedName>
    <definedName name="CommonLivestock_InputFunctions.LivestockMovement_LiveweightGrownFromMonthStartTotal" localSheetId="7">_xlfn.LAMBDA(_xlpm.LivestockClass,_xlpm.Month,_xlpm.HeadAtStartOfMonth, [0]!CommonLivestock_InputFunctions.LivestockMovement_HeadRemainingAtMonthEnd(_xlpm.Month, _xlpm.LivestockClass, _xlpm.HeadAtStartOfMonth) * '4.3.1.6-7 Leaching and runoff'!CommonLivestock_InputFunctions.LivestockMovement_LiveweightGrownFromMonthStartPerHead(_xlpm.LivestockClass, _xlpm.Month))</definedName>
    <definedName name="CommonLivestock_InputFunctions.LivestockMovement_LiveweightGrownFromMonthStartTotal" localSheetId="9">_xlfn.LAMBDA(_xlpm.LivestockClass,_xlpm.Month,_xlpm.HeadAtStartOfMonth, [0]!CommonLivestock_InputFunctions.LivestockMovement_HeadRemainingAtMonthEnd(_xlpm.Month, _xlpm.LivestockClass, _xlpm.HeadAtStartOfMonth) * '4.3.1.9 Soil direct N2O'!CommonLivestock_InputFunctions.LivestockMovement_LiveweightGrownFromMonthStartPerHead(_xlpm.LivestockClass,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10">_xlfn.LAMBDA(_xlpm.LivestockClass,_xlpm.MovementDate,_xlpm.Head, '4.3.1.10-11 Soil Atmos Dep'!CommonLivestock_InputFunctions.LivestockMovement_LiveweightGrownDuringMonthPerHead(_xlpm.LivestockClass, _xlpm.MovementDate) * _xlpm.Head)</definedName>
    <definedName name="CommonLivestock_InputFunctions.LivestockMovement_LiveweightGrownFromMovementDateTotal" localSheetId="11">_xlfn.LAMBDA(_xlpm.LivestockClass,_xlpm.MovementDate,_xlpm.Head, '4.3.1.12-13 Soil leach runoff'!CommonLivestock_InputFunctions.LivestockMovement_LiveweightGrownDuringMonthPerHead(_xlpm.LivestockClass, _xlpm.MovementDate) * _xlpm.Head)</definedName>
    <definedName name="CommonLivestock_InputFunctions.LivestockMovement_LiveweightGrownFromMovementDateTotal" localSheetId="7">_xlfn.LAMBDA(_xlpm.LivestockClass,_xlpm.MovementDate,_xlpm.Head, '4.3.1.6-7 Leaching and runoff'!CommonLivestock_InputFunctions.LivestockMovement_LiveweightGrownDuringMonthPerHead(_xlpm.LivestockClass, _xlpm.MovementDate) * _xlpm.Head)</definedName>
    <definedName name="CommonLivestock_InputFunctions.LivestockMovement_LiveweightGrownFromMovementDateTotal" localSheetId="9">_xlfn.LAMBDA(_xlpm.LivestockClass,_xlpm.MovementDate,_xlpm.Head, '4.3.1.9 Soil direct N2O'!CommonLivestock_InputFunctions.LivestockMovement_LiveweightGrownDuringMonthPerHead(_xlpm.LivestockClass,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10">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1">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7">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9">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10">_xlfn.LAMBDA(_xlpm.Month,_xlpm.LivestockClass,_xlpm.HeadAtStart, '4.3.1.10-11 Soil Atmos Dep'!CommonLivestock_InputFunctions.LivestockMovement_LiveweightGrownFromMonthStartTotal(_xlpm.LivestockClass,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1">_xlfn.LAMBDA(_xlpm.Month,_xlpm.LivestockClass,_xlpm.HeadAtStart, '4.3.1.12-13 Soil leach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7">_xlfn.LAMBDA(_xlpm.Month,_xlpm.LivestockClass,_xlpm.HeadAtStart, '4.3.1.6-7 Leaching and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9">_xlfn.LAMBDA(_xlpm.Month,_xlpm.LivestockClass,_xlpm.HeadAtStart, '4.3.1.9 Soil direct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2, _xlfn.LAMBDA(_xlpm.r,_xlpm.c, INDEX({"D_j","number of days the animal is on the farm in each time-period (days)";"M_jkl","daily production of enteric methane in each time-period, class and subclass (kg CH4/head/day)";"N_jkl","number of beef cattle in each time-period, class and subclass (head)"},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2, _xlfn.LAMBDA(_xlpm.r,_xlpm.c, INDEX({"I_jkl","dry matter intake (kg DM/head/day)"},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2, _xlfn.LAMBDA(_xlpm.r,_xlpm.c, INDEX({"W_jkl","liveweight (kg)";"LWG_jkl","live weight gain (kg/head/day)";"MA_jk45","additional intake for milk production in cows greater than 2 years (kg/head/day)"},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_xlfn.LAMBDA(_xlfn.MAKEARRAY(2, 2, _xlfn.LAMBDA(_xlpm.r,_xlpm.c, INDEX({"LC_jk45","proportion of cows greater than 1 year in calf in the season of calving expressed as a fraction";"FA_jk45","feed adjustment value for lactating cows in the season of calving and the season immediately after calving expressed as a fraction"},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2, _xlfn.LAMBDA(_xlpm.r,_xlpm.c, INDEX({"MN_ATMOS","mass of N volatilised from MMS (kg N)";"EF_N2O","nitrous oxide emission factor for atmospheric deposition (kg N2O-N/kg N)";"C_N2O","factor to convert elemental mass of N2O to molecular mass";"j","production system";"ir","irrigation method";"r","rainfall region"},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2, _xlfn.LAMBDA(_xlpm.r,_xlpm.c, INDEX({"MN_jm","total nitrogen in each MMS for dairy cattle classes (kg N)";"FracGASM_m","fraction of N volatilised from MMS (fraction)"},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2, _xlfn.LAMBDA(_xlpm.r,_xlpm.c, INDEX({"MNLeach_jm","mass of N lost through leaching and runoff";"EF_leach","nitrous oxide emission factor for leaching and runoff (kg N2O-N/kg N)";"C_N2O","factor to convert elemental mass of N2O to molecular mass"},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2, _xlfn.LAMBDA(_xlpm.r,_xlpm.c, INDEX({"MN_jm4","total nitrogen in solid storage system m=4 (kg N)";"FracWET_i","fraction of N that is available for leaching and runoff from the leaching zone z and irrigation type ir (dimensionless)";"FracLEACH_MS","fraction of N that is lost through leaching and runoff (dimensionless)";"z","location in leaching zone";"j","production system";"ir","irrigation method"},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N)";"PF_scope","fraction of manure applied to soil within farm boundary"},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N)";"PF","fraction of manure applied to soil within farm boundary"},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2, _xlfn.LAMBDA(_xlpm.r,_xlpm.c, INDEX({"MN_jm","total nitrogen in each MMS for dairy cattle classes (kg N)";"EF_m","nitrous oxide emission factor for each MMS (kg N2O-N/kg N deposited)";"C_N2O","factor to convert elemental mass of N2O to molecular mass"},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2, _xlfn.LAMBDA(_xlpm.r,_xlpm.c, INDEX({"AE_j","total nitrogen excreted by each dairy class (kg N)";"MMS_jm","manure management system fraction for class j and system m"},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2, _xlfn.LAMBDA(_xlpm.r,_xlpm.c, INDEX({"N_j124","number of dairy cattle in classes j=1,2,4";"NE_j124","nitrogen excreted by dairy cattle greater than one year old (kg N/head/day)";"D_j124","duration of stay on farm for classes j=1,2,4 (days)"},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2, _xlfn.LAMBDA(_xlpm.r,_xlpm.c, INDEX({"N_j35","number of dairy cattle in classes j=3,5";"NE_j35","nitrogen excreted by weaned dairy cattle less than one year old (kg N/head/day)";"NPW_j35","nitrogen excreted by pre-weaned calves (kg N/head/day)";"D_j35","duration of stay on farm for weaned dairy cattle less than one year old (days)";"DPW_j35","duration of stay on farm for pre-weaned calves (days)"},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2, _xlfn.LAMBDA(_xlpm.r,_xlpm.c, INDEX({"CPI_j","crude protein intake (kg/head/day)";"NR_j","amount of nitrogen retained by the body (kg N/head/day)";"W_j","liveweight (kg)"},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2, _xlfn.LAMBDA(_xlpm.r,_xlpm.c, INDEX({"I_j","dry matter intake (kgDM/head/day)";"CP_j","crude protein content of feed intake (fraction)"},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_xlfn.LAMBDA(_xlfn.MAKEARRAY(4, 2, _xlfn.LAMBDA(_xlpm.r,_xlpm.c, INDEX({"MP_j","milk production (L/head/day)";"L_j","intake relative to maintenance";"Z_j","relative size";"LWG_j","liveweight gain (kg/day)"},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2, _xlfn.LAMBDA(_xlpm.r,_xlpm.c, INDEX({"I_j","dry matter intake (kgDM/head/day)";"W_j","liveweight (kg)";"MR_j","increase in metabolic rate when producing milk";"MI_j","additional intake required for milk production (kgDM/head/day)"},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2, _xlfn.LAMBDA(_xlpm.r,_xlpm.c, INDEX({"W_j","liveweight (kg)";"WR_j","reference weight (kg)"},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2, _xlfn.LAMBDA(_xlpm.r,_xlpm.c, INDEX({"M_vol_m14","mass of nitrogen volatilised from urine and faeces deposited on pasture (kg N)";"EF_N2O","nitrous oxide emission factor for atmospheric deposition (kg N2O-N/kg N)";"C_N2O","factor to convert elemental mass of N2O to molecular mass";"j","production system";"ir","irrigation method";"r","rainfall region"},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2, _xlfn.LAMBDA(_xlpm.r,_xlpm.c, INDEX({"MN_jm14","mass of nitrogen excreted on pasture, range and paddock for each dairy class (kg N)";"FracGASMsoil","fraction of nitrogen volatilised from urine and faeces deposited on pasture ((kg NH3-N + NOx-N)/kg N)"},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2, _xlfn.LAMBDA(_xlpm.r,_xlpm.c, INDEX({"M_leach_m14","mass of nitrogen lost to leaching and runoff from urine and faeces deposited on pasture (kg N)";"EF_leach","nitrous oxide emission factor for leaching and runoff (kg N2O-N/kg N)";"C_N2O","factor to convert elemental mass of N2O to molecular mass"},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2, _xlfn.LAMBDA(_xlpm.r,_xlpm.c, INDEX({"MN_jm14","mass of nitrogen excreted on pasture, range and paddock for each dairy class (kg N)";"FracWet","fraction of N available for leaching and runoff";"FracLEACH","fraction of N lost through leaching and runoff";"z","location in leaching zone";"j","production system";"ir","irrigation method"},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2, _xlfn.LAMBDA(_xlpm.r,_xlpm.c, INDEX({"MN_jm14","mass of nitrogen excreted on pasture, range, and paddock for each dairy cattle class (kg N)";"EF_PRP","emission factor for nitrous oxide emissions for urine and dung deposited on PRP (kg N2O-N/kg N deposited)";"C_N2O","factor to convert elemental mass of N2O to molecular mass";"z","Wet or dry climate zone"},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2, _xlfn.LAMBDA(_xlpm.r,_xlpm.c, INDEX({"N_jkl","number of beef cattle in each time-period, class and subclass (head)";"M_jklm","methane production from manure in each time-period, class, subclass and MMS (kg/head/day)";"D_j","number of days in each time-period for each input class (days)"},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_xlfn.LAMBDA(_xlfn.MAKEARRAY(5, 2, _xlfn.LAMBDA(_xlpm.r,_xlpm.c, INDEX({"VS_jkl","volatile solid production (kg/day)";"B_o","emissions potential (m3 CH4/kg VS)";"MMS_m","fraction of waste in each manure management system";"MCF_im","methane conversion factor for temperature zone and MMS";"rho","density of methane (kg/m3)"},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2, _xlfn.LAMBDA(_xlpm.r,_xlpm.c, INDEX({"I_jkl","dry matter intake as calculated in Chapter 3 Section 3.2.1 (kg/head/day)";"DMD_jkl","dry matter digestibility expressed as a fraction";"A","ash content of feed intake expressed as a fraction"},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Range_LivestockStartingValues">#REF!</definedName>
    <definedName name="SourceData_PastureBeef.SourceData_PastureBeef_CrudeProteinContent_Data">_xlfn.LAMBDA(_xlfn.MAKEARRAY(11, 6, _xlfn.LAMBDA(_xlpm.r,_xlpm.c, INDEX({"State","Region","Spring","Summer","Autumn","Winter";"ACT","n/a",0.07,0.13,0.1,0.06;"NSW","n/a",0.07,0.13,0.1,0.06;"NT","n/a",0.058,0.092,0.075,0.053;"QLD","n/a",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definedName>
    <definedName name="SourceData_PastureBeef.SourceData_PastureBeef_DryMatterDigestibility_Data">_xlfn.LAMBDA(_xlfn.MAKEARRAY(11, 6, _xlfn.LAMBDA(_xlpm.r,_xlpm.c, INDEX({"State","Region","Spring","Summer","Autumn","Winter";"ACT","n/a",0.55,0.65,0.6,0.5;"NSW","n/a",0.55,0.65,0.6,0.5;"NT","n/a",0.55,0.61,0.57,0.54;"QLD","n/a",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6" i="70" l="1" a="1"/>
  <c r="E126" i="70" s="1"/>
  <c r="E125" i="70" a="1"/>
  <c r="E125" i="70" s="1"/>
  <c r="E123" i="70" a="1"/>
  <c r="E123" i="70" s="1"/>
  <c r="E124" i="70" a="1"/>
  <c r="E124" i="70" s="1"/>
  <c r="D112" i="70"/>
  <c r="G121" i="70"/>
  <c r="F121" i="70"/>
  <c r="E121" i="70"/>
  <c r="D120" i="70"/>
  <c r="D119" i="70"/>
  <c r="D118" i="70"/>
  <c r="D117" i="70"/>
  <c r="D116" i="70"/>
  <c r="D115" i="70"/>
  <c r="D114" i="70"/>
  <c r="D113" i="70"/>
  <c r="D111" i="70"/>
  <c r="D110" i="70"/>
  <c r="D109" i="70"/>
  <c r="G106" i="70"/>
  <c r="F106" i="70"/>
  <c r="E106" i="70"/>
  <c r="K86" i="70" a="1"/>
  <c r="K86" i="70" s="1"/>
  <c r="N83" i="70" a="1"/>
  <c r="N83" i="70" s="1"/>
  <c r="J83" i="70" a="1"/>
  <c r="J83" i="70" s="1"/>
  <c r="L82" i="70" a="1"/>
  <c r="L82" i="70" s="1"/>
  <c r="H82" i="70" a="1"/>
  <c r="H82" i="70" s="1"/>
  <c r="J81" i="70" a="1"/>
  <c r="J81" i="70" s="1"/>
  <c r="E81" i="70" a="1"/>
  <c r="E81" i="70" s="1"/>
  <c r="F80" i="70" a="1"/>
  <c r="F80" i="70" s="1"/>
  <c r="P280" i="79"/>
  <c r="O280" i="79"/>
  <c r="N280" i="79"/>
  <c r="M280" i="79"/>
  <c r="L280" i="79"/>
  <c r="K280" i="79"/>
  <c r="J280" i="79"/>
  <c r="I280" i="79"/>
  <c r="H280" i="79"/>
  <c r="G280" i="79"/>
  <c r="P279" i="79"/>
  <c r="O279" i="79"/>
  <c r="N279" i="79"/>
  <c r="M279" i="79"/>
  <c r="L279" i="79"/>
  <c r="K279" i="79"/>
  <c r="J279" i="79"/>
  <c r="I279" i="79"/>
  <c r="H279" i="79"/>
  <c r="G279" i="79"/>
  <c r="P278" i="79"/>
  <c r="O278" i="79"/>
  <c r="N278" i="79"/>
  <c r="M278" i="79"/>
  <c r="L278" i="79"/>
  <c r="K278" i="79"/>
  <c r="J278" i="79"/>
  <c r="I278" i="79"/>
  <c r="H278" i="79"/>
  <c r="G278" i="79"/>
  <c r="P277" i="79"/>
  <c r="O277" i="79"/>
  <c r="N277" i="79"/>
  <c r="M277" i="79"/>
  <c r="L277" i="79"/>
  <c r="K277" i="79"/>
  <c r="J277" i="79"/>
  <c r="I277" i="79"/>
  <c r="H277" i="79"/>
  <c r="G277" i="79"/>
  <c r="P276" i="79"/>
  <c r="O276" i="79"/>
  <c r="N276" i="79"/>
  <c r="M276" i="79"/>
  <c r="L276" i="79"/>
  <c r="K276" i="79"/>
  <c r="J276" i="79"/>
  <c r="I276" i="79"/>
  <c r="H276" i="79"/>
  <c r="G276" i="79"/>
  <c r="P275" i="79"/>
  <c r="O275" i="79"/>
  <c r="N275" i="79"/>
  <c r="M275" i="79"/>
  <c r="L275" i="79"/>
  <c r="K275" i="79"/>
  <c r="J275" i="79"/>
  <c r="I275" i="79"/>
  <c r="H275" i="79"/>
  <c r="G275" i="79"/>
  <c r="P274" i="79"/>
  <c r="O274" i="79"/>
  <c r="N274" i="79"/>
  <c r="M274" i="79"/>
  <c r="L274" i="79"/>
  <c r="K274" i="79"/>
  <c r="J274" i="79"/>
  <c r="I274" i="79"/>
  <c r="H274" i="79"/>
  <c r="G274" i="79"/>
  <c r="P273" i="79"/>
  <c r="O273" i="79"/>
  <c r="N273" i="79"/>
  <c r="M273" i="79"/>
  <c r="L273" i="79"/>
  <c r="K273" i="79"/>
  <c r="J273" i="79"/>
  <c r="I273" i="79"/>
  <c r="H273" i="79"/>
  <c r="G273" i="79"/>
  <c r="P272" i="79"/>
  <c r="O272" i="79"/>
  <c r="N272" i="79"/>
  <c r="M272" i="79"/>
  <c r="L272" i="79"/>
  <c r="K272" i="79"/>
  <c r="J272" i="79"/>
  <c r="I272" i="79"/>
  <c r="H272" i="79"/>
  <c r="G272" i="79"/>
  <c r="P271" i="79"/>
  <c r="O271" i="79"/>
  <c r="N271" i="79"/>
  <c r="M271" i="79"/>
  <c r="L271" i="79"/>
  <c r="K271" i="79"/>
  <c r="J271" i="79"/>
  <c r="I271" i="79"/>
  <c r="H271" i="79"/>
  <c r="G271" i="79"/>
  <c r="P270" i="79"/>
  <c r="O270" i="79"/>
  <c r="N270" i="79"/>
  <c r="M270" i="79"/>
  <c r="L270" i="79"/>
  <c r="K270" i="79"/>
  <c r="J270" i="79"/>
  <c r="I270" i="79"/>
  <c r="H270" i="79"/>
  <c r="G270" i="79"/>
  <c r="P269" i="79"/>
  <c r="O269" i="79"/>
  <c r="N269" i="79"/>
  <c r="M269" i="79"/>
  <c r="L269" i="79"/>
  <c r="K269" i="79"/>
  <c r="J269" i="79"/>
  <c r="I269" i="79"/>
  <c r="H269" i="79"/>
  <c r="G269" i="79"/>
  <c r="P268" i="79"/>
  <c r="O268" i="79"/>
  <c r="N268" i="79"/>
  <c r="M268" i="79"/>
  <c r="L268" i="79"/>
  <c r="K268" i="79"/>
  <c r="J268" i="79"/>
  <c r="I268" i="79"/>
  <c r="H268" i="79"/>
  <c r="G268" i="79"/>
  <c r="P267" i="79"/>
  <c r="O267" i="79"/>
  <c r="N267" i="79"/>
  <c r="M267" i="79"/>
  <c r="L267" i="79"/>
  <c r="K267" i="79"/>
  <c r="J267" i="79"/>
  <c r="I267" i="79"/>
  <c r="H267" i="79"/>
  <c r="G267" i="79"/>
  <c r="P266" i="79"/>
  <c r="O266" i="79"/>
  <c r="N266" i="79"/>
  <c r="M266" i="79"/>
  <c r="L266" i="79"/>
  <c r="K266" i="79"/>
  <c r="J266" i="79"/>
  <c r="I266" i="79"/>
  <c r="H266" i="79"/>
  <c r="G266" i="79"/>
  <c r="P265" i="79"/>
  <c r="O265" i="79"/>
  <c r="N265" i="79"/>
  <c r="M265" i="79"/>
  <c r="L265" i="79"/>
  <c r="K265" i="79"/>
  <c r="J265" i="79"/>
  <c r="I265" i="79"/>
  <c r="H265" i="79"/>
  <c r="G265" i="79"/>
  <c r="P264" i="79"/>
  <c r="O264" i="79"/>
  <c r="N264" i="79"/>
  <c r="M264" i="79"/>
  <c r="L264" i="79"/>
  <c r="K264" i="79"/>
  <c r="J264" i="79"/>
  <c r="I264" i="79"/>
  <c r="H264" i="79"/>
  <c r="G264" i="79"/>
  <c r="P263" i="79"/>
  <c r="O263" i="79"/>
  <c r="N263" i="79"/>
  <c r="M263" i="79"/>
  <c r="L263" i="79"/>
  <c r="K263" i="79"/>
  <c r="J263" i="79"/>
  <c r="I263" i="79"/>
  <c r="H263" i="79"/>
  <c r="G263" i="79"/>
  <c r="P262" i="79"/>
  <c r="O262" i="79"/>
  <c r="N262" i="79"/>
  <c r="M262" i="79"/>
  <c r="L262" i="79"/>
  <c r="K262" i="79"/>
  <c r="J262" i="79"/>
  <c r="I262" i="79"/>
  <c r="H262" i="79"/>
  <c r="G262" i="79"/>
  <c r="P261" i="79"/>
  <c r="O261" i="79"/>
  <c r="N261" i="79"/>
  <c r="M261" i="79"/>
  <c r="L261" i="79"/>
  <c r="K261" i="79"/>
  <c r="J261" i="79"/>
  <c r="I261" i="79"/>
  <c r="H261" i="79"/>
  <c r="G261" i="79"/>
  <c r="P260" i="79"/>
  <c r="O260" i="79"/>
  <c r="N260" i="79"/>
  <c r="M260" i="79"/>
  <c r="L260" i="79"/>
  <c r="K260" i="79"/>
  <c r="J260" i="79"/>
  <c r="I260" i="79"/>
  <c r="H260" i="79"/>
  <c r="G260" i="79"/>
  <c r="P259" i="79"/>
  <c r="O259" i="79"/>
  <c r="N259" i="79"/>
  <c r="M259" i="79"/>
  <c r="L259" i="79"/>
  <c r="K259" i="79"/>
  <c r="J259" i="79"/>
  <c r="I259" i="79"/>
  <c r="H259" i="79"/>
  <c r="G259" i="79"/>
  <c r="P258" i="79"/>
  <c r="O258" i="79"/>
  <c r="N258" i="79"/>
  <c r="M258" i="79"/>
  <c r="L258" i="79"/>
  <c r="K258" i="79"/>
  <c r="J258" i="79"/>
  <c r="I258" i="79"/>
  <c r="H258" i="79"/>
  <c r="G258" i="79"/>
  <c r="P257" i="79"/>
  <c r="O257" i="79"/>
  <c r="N257" i="79"/>
  <c r="M257" i="79"/>
  <c r="L257" i="79"/>
  <c r="K257" i="79"/>
  <c r="J257" i="79"/>
  <c r="I257" i="79"/>
  <c r="H257" i="79"/>
  <c r="G257" i="79"/>
  <c r="P256" i="79"/>
  <c r="O256" i="79"/>
  <c r="N256" i="79"/>
  <c r="M256" i="79"/>
  <c r="L256" i="79"/>
  <c r="K256" i="79"/>
  <c r="J256" i="79"/>
  <c r="I256" i="79"/>
  <c r="H256" i="79"/>
  <c r="G256" i="79"/>
  <c r="P255" i="79"/>
  <c r="O255" i="79"/>
  <c r="N255" i="79"/>
  <c r="M255" i="79"/>
  <c r="L255" i="79"/>
  <c r="K255" i="79"/>
  <c r="J255" i="79"/>
  <c r="I255" i="79"/>
  <c r="H255" i="79"/>
  <c r="G255" i="79"/>
  <c r="P254" i="79"/>
  <c r="O254" i="79"/>
  <c r="N254" i="79"/>
  <c r="M254" i="79"/>
  <c r="L254" i="79"/>
  <c r="K254" i="79"/>
  <c r="J254" i="79"/>
  <c r="I254" i="79"/>
  <c r="H254" i="79"/>
  <c r="G254" i="79"/>
  <c r="P253" i="79"/>
  <c r="O253" i="79"/>
  <c r="N253" i="79"/>
  <c r="M253" i="79"/>
  <c r="L253" i="79"/>
  <c r="K253" i="79"/>
  <c r="J253" i="79"/>
  <c r="I253" i="79"/>
  <c r="H253" i="79"/>
  <c r="G253" i="79"/>
  <c r="P252" i="79"/>
  <c r="O252" i="79"/>
  <c r="P251" i="79"/>
  <c r="O251" i="79"/>
  <c r="P250" i="79"/>
  <c r="O250" i="79"/>
  <c r="P249" i="79"/>
  <c r="O249" i="79"/>
  <c r="P248" i="79"/>
  <c r="O248" i="79"/>
  <c r="P247" i="79"/>
  <c r="O247" i="79"/>
  <c r="P246" i="79"/>
  <c r="O246" i="79"/>
  <c r="P245" i="79"/>
  <c r="O245" i="79"/>
  <c r="P244" i="79"/>
  <c r="O244" i="79"/>
  <c r="P243" i="79"/>
  <c r="O243" i="79"/>
  <c r="P242" i="79"/>
  <c r="O242" i="79"/>
  <c r="P241" i="79"/>
  <c r="O241" i="79"/>
  <c r="P240" i="79"/>
  <c r="O240" i="79"/>
  <c r="P239" i="79"/>
  <c r="O239" i="79"/>
  <c r="P238" i="79"/>
  <c r="O238" i="79"/>
  <c r="P237" i="79"/>
  <c r="O237" i="79"/>
  <c r="P236" i="79"/>
  <c r="O236" i="79"/>
  <c r="P235" i="79"/>
  <c r="O235" i="79"/>
  <c r="P234" i="79"/>
  <c r="O234" i="79"/>
  <c r="P233" i="79"/>
  <c r="O233" i="79"/>
  <c r="P232" i="79"/>
  <c r="O232" i="79"/>
  <c r="P231" i="79"/>
  <c r="O231" i="79"/>
  <c r="P230" i="79"/>
  <c r="O230" i="79"/>
  <c r="P229" i="79"/>
  <c r="O229" i="79"/>
  <c r="N229" i="79"/>
  <c r="N252" i="79"/>
  <c r="M252" i="79"/>
  <c r="L252" i="79"/>
  <c r="N251" i="79"/>
  <c r="M251" i="79"/>
  <c r="L251" i="79"/>
  <c r="N250" i="79"/>
  <c r="M250" i="79"/>
  <c r="L250" i="79"/>
  <c r="N249" i="79"/>
  <c r="M249" i="79"/>
  <c r="L249" i="79"/>
  <c r="N248" i="79"/>
  <c r="M248" i="79"/>
  <c r="L248" i="79"/>
  <c r="N247" i="79"/>
  <c r="M247" i="79"/>
  <c r="L247" i="79"/>
  <c r="N246" i="79"/>
  <c r="M246" i="79"/>
  <c r="L246" i="79"/>
  <c r="N245" i="79"/>
  <c r="M245" i="79"/>
  <c r="L245" i="79"/>
  <c r="N244" i="79"/>
  <c r="M244" i="79"/>
  <c r="L244" i="79"/>
  <c r="N243" i="79"/>
  <c r="M243" i="79"/>
  <c r="L243" i="79"/>
  <c r="N242" i="79"/>
  <c r="M242" i="79"/>
  <c r="L242" i="79"/>
  <c r="N241" i="79"/>
  <c r="M241" i="79"/>
  <c r="L241" i="79"/>
  <c r="N240" i="79"/>
  <c r="M240" i="79"/>
  <c r="L240" i="79"/>
  <c r="N239" i="79"/>
  <c r="M239" i="79"/>
  <c r="L239" i="79"/>
  <c r="N238" i="79"/>
  <c r="M238" i="79"/>
  <c r="L238" i="79"/>
  <c r="N237" i="79"/>
  <c r="M237" i="79"/>
  <c r="L237" i="79"/>
  <c r="N236" i="79"/>
  <c r="M236" i="79"/>
  <c r="L236" i="79"/>
  <c r="N235" i="79"/>
  <c r="M235" i="79"/>
  <c r="L235" i="79"/>
  <c r="N234" i="79"/>
  <c r="M234" i="79"/>
  <c r="L234" i="79"/>
  <c r="N233" i="79"/>
  <c r="M233" i="79"/>
  <c r="L233" i="79"/>
  <c r="N232" i="79"/>
  <c r="M232" i="79"/>
  <c r="L232" i="79"/>
  <c r="N231" i="79"/>
  <c r="M231" i="79"/>
  <c r="L231" i="79"/>
  <c r="N230" i="79"/>
  <c r="M230" i="79"/>
  <c r="L230" i="79"/>
  <c r="M229" i="79"/>
  <c r="L229" i="79"/>
  <c r="K229" i="79"/>
  <c r="K252" i="79"/>
  <c r="J252" i="79"/>
  <c r="I252" i="79"/>
  <c r="H252" i="79"/>
  <c r="G252" i="79"/>
  <c r="K251" i="79"/>
  <c r="J251" i="79"/>
  <c r="I251" i="79"/>
  <c r="H251" i="79"/>
  <c r="G251" i="79"/>
  <c r="K250" i="79"/>
  <c r="J250" i="79"/>
  <c r="I250" i="79"/>
  <c r="H250" i="79"/>
  <c r="G250" i="79"/>
  <c r="K249" i="79"/>
  <c r="J249" i="79"/>
  <c r="I249" i="79"/>
  <c r="H249" i="79"/>
  <c r="G249" i="79"/>
  <c r="K248" i="79"/>
  <c r="J248" i="79"/>
  <c r="I248" i="79"/>
  <c r="H248" i="79"/>
  <c r="G248" i="79"/>
  <c r="K247" i="79"/>
  <c r="J247" i="79"/>
  <c r="I247" i="79"/>
  <c r="H247" i="79"/>
  <c r="G247" i="79"/>
  <c r="K246" i="79"/>
  <c r="J246" i="79"/>
  <c r="I246" i="79"/>
  <c r="H246" i="79"/>
  <c r="G246" i="79"/>
  <c r="K245" i="79"/>
  <c r="J245" i="79"/>
  <c r="I245" i="79"/>
  <c r="H245" i="79"/>
  <c r="G245" i="79"/>
  <c r="K244" i="79"/>
  <c r="J244" i="79"/>
  <c r="I244" i="79"/>
  <c r="H244" i="79"/>
  <c r="G244" i="79"/>
  <c r="K243" i="79"/>
  <c r="J243" i="79"/>
  <c r="I243" i="79"/>
  <c r="H243" i="79"/>
  <c r="G243" i="79"/>
  <c r="K242" i="79"/>
  <c r="J242" i="79"/>
  <c r="I242" i="79"/>
  <c r="H242" i="79"/>
  <c r="G242" i="79"/>
  <c r="K241" i="79"/>
  <c r="J241" i="79"/>
  <c r="I241" i="79"/>
  <c r="H241" i="79"/>
  <c r="G241" i="79"/>
  <c r="K240" i="79"/>
  <c r="J240" i="79"/>
  <c r="I240" i="79"/>
  <c r="H240" i="79"/>
  <c r="G240" i="79"/>
  <c r="K239" i="79"/>
  <c r="J239" i="79"/>
  <c r="I239" i="79"/>
  <c r="H239" i="79"/>
  <c r="G239" i="79"/>
  <c r="K238" i="79"/>
  <c r="J238" i="79"/>
  <c r="I238" i="79"/>
  <c r="H238" i="79"/>
  <c r="G238" i="79"/>
  <c r="K237" i="79"/>
  <c r="J237" i="79"/>
  <c r="I237" i="79"/>
  <c r="H237" i="79"/>
  <c r="G237" i="79"/>
  <c r="K236" i="79"/>
  <c r="J236" i="79"/>
  <c r="I236" i="79"/>
  <c r="H236" i="79"/>
  <c r="G236" i="79"/>
  <c r="K235" i="79"/>
  <c r="J235" i="79"/>
  <c r="I235" i="79"/>
  <c r="H235" i="79"/>
  <c r="G235" i="79"/>
  <c r="K234" i="79"/>
  <c r="J234" i="79"/>
  <c r="I234" i="79"/>
  <c r="H234" i="79"/>
  <c r="G234" i="79"/>
  <c r="K233" i="79"/>
  <c r="J233" i="79"/>
  <c r="I233" i="79"/>
  <c r="H233" i="79"/>
  <c r="G233" i="79"/>
  <c r="K232" i="79"/>
  <c r="J232" i="79"/>
  <c r="I232" i="79"/>
  <c r="H232" i="79"/>
  <c r="G232" i="79"/>
  <c r="K231" i="79"/>
  <c r="J231" i="79"/>
  <c r="I231" i="79"/>
  <c r="H231" i="79"/>
  <c r="G231" i="79"/>
  <c r="K230" i="79"/>
  <c r="J230" i="79"/>
  <c r="I230" i="79"/>
  <c r="H230" i="79"/>
  <c r="G230" i="79"/>
  <c r="J229" i="79"/>
  <c r="I229" i="79"/>
  <c r="H229" i="79"/>
  <c r="G229" i="79"/>
  <c r="P228" i="79"/>
  <c r="O228" i="79"/>
  <c r="P227" i="79"/>
  <c r="O227" i="79"/>
  <c r="P226" i="79"/>
  <c r="O226" i="79"/>
  <c r="P225" i="79"/>
  <c r="O225" i="79"/>
  <c r="N225" i="79"/>
  <c r="N228" i="79"/>
  <c r="M228" i="79"/>
  <c r="L228" i="79"/>
  <c r="N227" i="79"/>
  <c r="M227" i="79"/>
  <c r="L227" i="79"/>
  <c r="N226" i="79"/>
  <c r="M226" i="79"/>
  <c r="L226" i="79"/>
  <c r="M225" i="79"/>
  <c r="L225" i="79"/>
  <c r="K225" i="79"/>
  <c r="K228" i="79"/>
  <c r="J228" i="79"/>
  <c r="I228" i="79"/>
  <c r="H228" i="79"/>
  <c r="G228" i="79"/>
  <c r="K227" i="79"/>
  <c r="J227" i="79"/>
  <c r="I227" i="79"/>
  <c r="H227" i="79"/>
  <c r="G227" i="79"/>
  <c r="K226" i="79"/>
  <c r="J226" i="79"/>
  <c r="I226" i="79"/>
  <c r="H226" i="79"/>
  <c r="G226" i="79"/>
  <c r="J225" i="79"/>
  <c r="I225" i="79"/>
  <c r="H225" i="79"/>
  <c r="G225" i="79"/>
  <c r="G221" i="79"/>
  <c r="P224" i="79"/>
  <c r="O224" i="79"/>
  <c r="P223" i="79"/>
  <c r="O223" i="79"/>
  <c r="P222" i="79"/>
  <c r="O222" i="79"/>
  <c r="P221" i="79"/>
  <c r="O221" i="79"/>
  <c r="N221" i="79"/>
  <c r="N224" i="79"/>
  <c r="N223" i="79"/>
  <c r="N222" i="79"/>
  <c r="M224" i="79"/>
  <c r="M223" i="79"/>
  <c r="M222" i="79"/>
  <c r="M221" i="79"/>
  <c r="L224" i="79"/>
  <c r="L223" i="79"/>
  <c r="L222" i="79"/>
  <c r="L221" i="79"/>
  <c r="K221" i="79"/>
  <c r="K224" i="79"/>
  <c r="J224" i="79"/>
  <c r="I224" i="79"/>
  <c r="H224" i="79"/>
  <c r="G224" i="79"/>
  <c r="K223" i="79"/>
  <c r="J223" i="79"/>
  <c r="I223" i="79"/>
  <c r="H223" i="79"/>
  <c r="G223" i="79"/>
  <c r="K222" i="79"/>
  <c r="J222" i="79"/>
  <c r="I222" i="79"/>
  <c r="H222" i="79"/>
  <c r="G222" i="79"/>
  <c r="J221" i="79"/>
  <c r="I221" i="79"/>
  <c r="H221" i="79"/>
  <c r="F280" i="79"/>
  <c r="F279" i="79"/>
  <c r="F278" i="79"/>
  <c r="F277" i="79"/>
  <c r="F276" i="79"/>
  <c r="F275" i="79"/>
  <c r="F274" i="79"/>
  <c r="F273" i="79"/>
  <c r="F272" i="79"/>
  <c r="F271" i="79"/>
  <c r="F270" i="79"/>
  <c r="F269" i="79"/>
  <c r="F268" i="79"/>
  <c r="F267" i="79"/>
  <c r="F266" i="79"/>
  <c r="F265" i="79"/>
  <c r="F264" i="79"/>
  <c r="F263" i="79"/>
  <c r="F262" i="79"/>
  <c r="F261" i="79"/>
  <c r="F260" i="79"/>
  <c r="F259" i="79"/>
  <c r="F258" i="79"/>
  <c r="F257" i="79"/>
  <c r="F256" i="79"/>
  <c r="F255" i="79"/>
  <c r="F254" i="79"/>
  <c r="F253" i="79"/>
  <c r="F228" i="79"/>
  <c r="F227" i="79"/>
  <c r="F226" i="79"/>
  <c r="F225" i="79"/>
  <c r="F221" i="79"/>
  <c r="F252" i="79"/>
  <c r="F251" i="79"/>
  <c r="F250" i="79"/>
  <c r="F249" i="79"/>
  <c r="F248" i="79"/>
  <c r="F247" i="79"/>
  <c r="F246" i="79"/>
  <c r="F245" i="79"/>
  <c r="F244" i="79"/>
  <c r="F243" i="79"/>
  <c r="F242" i="79"/>
  <c r="F241" i="79"/>
  <c r="F240" i="79"/>
  <c r="F239" i="79"/>
  <c r="F238" i="79"/>
  <c r="F237" i="79"/>
  <c r="F236" i="79"/>
  <c r="F235" i="79"/>
  <c r="F234" i="79"/>
  <c r="F233" i="79"/>
  <c r="F232" i="79"/>
  <c r="F231" i="79"/>
  <c r="F230" i="79"/>
  <c r="F229" i="79"/>
  <c r="F224" i="79"/>
  <c r="F223" i="79"/>
  <c r="F222" i="79"/>
  <c r="E280" i="79"/>
  <c r="E279" i="79"/>
  <c r="E278" i="79"/>
  <c r="E277" i="79"/>
  <c r="E276" i="79"/>
  <c r="E275" i="79"/>
  <c r="E274" i="79"/>
  <c r="E273" i="79"/>
  <c r="E272" i="79"/>
  <c r="E271" i="79"/>
  <c r="E270" i="79"/>
  <c r="E269" i="79"/>
  <c r="E268" i="79"/>
  <c r="E267" i="79"/>
  <c r="E266" i="79"/>
  <c r="E265" i="79"/>
  <c r="E264" i="79"/>
  <c r="E263" i="79"/>
  <c r="E262" i="79"/>
  <c r="E261" i="79"/>
  <c r="E260" i="79"/>
  <c r="E259" i="79"/>
  <c r="E258" i="79"/>
  <c r="E257" i="79"/>
  <c r="E256" i="79"/>
  <c r="E255" i="79"/>
  <c r="E254" i="79"/>
  <c r="E253" i="79"/>
  <c r="E252" i="79"/>
  <c r="E251" i="79"/>
  <c r="E250" i="79"/>
  <c r="E249" i="79"/>
  <c r="E248" i="79"/>
  <c r="E247" i="79"/>
  <c r="E246" i="79"/>
  <c r="E245" i="79"/>
  <c r="E244" i="79"/>
  <c r="E243" i="79"/>
  <c r="E242" i="79"/>
  <c r="E241" i="79"/>
  <c r="D215" i="79" a="1"/>
  <c r="D215" i="79" s="1"/>
  <c r="E215" i="79" a="1"/>
  <c r="E215" i="79" s="1"/>
  <c r="F215" i="79" a="1"/>
  <c r="F215" i="79" s="1"/>
  <c r="G215" i="79" a="1"/>
  <c r="G215" i="79" s="1"/>
  <c r="H215" i="79" a="1"/>
  <c r="H215" i="79" s="1"/>
  <c r="I215" i="79" a="1"/>
  <c r="I215" i="79" s="1"/>
  <c r="J215" i="79" a="1"/>
  <c r="J215" i="79" s="1"/>
  <c r="K215" i="79" a="1"/>
  <c r="K215" i="79" s="1"/>
  <c r="L215" i="79" a="1"/>
  <c r="L215" i="79" s="1"/>
  <c r="M215" i="79" a="1"/>
  <c r="M215" i="79" s="1"/>
  <c r="N215" i="79" a="1"/>
  <c r="N215" i="79" s="1"/>
  <c r="O215" i="79" a="1"/>
  <c r="O215" i="79" s="1"/>
  <c r="P215" i="79" a="1"/>
  <c r="P215" i="79" s="1"/>
  <c r="D214" i="79" a="1"/>
  <c r="D214" i="79" s="1"/>
  <c r="E214" i="79" a="1"/>
  <c r="E214" i="79" s="1"/>
  <c r="F214" i="79" a="1"/>
  <c r="F214" i="79" s="1"/>
  <c r="G214" i="79" a="1"/>
  <c r="G214" i="79" s="1"/>
  <c r="H214" i="79" a="1"/>
  <c r="H214" i="79" s="1"/>
  <c r="I214" i="79" a="1"/>
  <c r="I214" i="79" s="1"/>
  <c r="J214" i="79" a="1"/>
  <c r="J214" i="79" s="1"/>
  <c r="K214" i="79" a="1"/>
  <c r="K214" i="79" s="1"/>
  <c r="L214" i="79" a="1"/>
  <c r="L214" i="79" s="1"/>
  <c r="M214" i="79" a="1"/>
  <c r="M214" i="79" s="1"/>
  <c r="N214" i="79" a="1"/>
  <c r="N214" i="79" s="1"/>
  <c r="O214" i="79" a="1"/>
  <c r="O214" i="79" s="1"/>
  <c r="P214" i="79" a="1"/>
  <c r="P214" i="79" s="1"/>
  <c r="D213" i="79" a="1"/>
  <c r="D213" i="79" s="1"/>
  <c r="E213" i="79" a="1"/>
  <c r="E213" i="79" s="1"/>
  <c r="F213" i="79" a="1"/>
  <c r="F213" i="79" s="1"/>
  <c r="G213" i="79" a="1"/>
  <c r="G213" i="79" s="1"/>
  <c r="H213" i="79" a="1"/>
  <c r="H213" i="79" s="1"/>
  <c r="I213" i="79" a="1"/>
  <c r="I213" i="79" s="1"/>
  <c r="J213" i="79" a="1"/>
  <c r="J213" i="79" s="1"/>
  <c r="K213" i="79" a="1"/>
  <c r="K213" i="79" s="1"/>
  <c r="L213" i="79" a="1"/>
  <c r="L213" i="79" s="1"/>
  <c r="M213" i="79" a="1"/>
  <c r="M213" i="79" s="1"/>
  <c r="N213" i="79" a="1"/>
  <c r="N213" i="79" s="1"/>
  <c r="O213" i="79" a="1"/>
  <c r="O213" i="79" s="1"/>
  <c r="P213" i="79" a="1"/>
  <c r="P213" i="79" s="1"/>
  <c r="D212" i="79" a="1"/>
  <c r="D212" i="79" s="1"/>
  <c r="E212" i="79" a="1"/>
  <c r="E212" i="79" s="1"/>
  <c r="F212" i="79" a="1"/>
  <c r="F212" i="79" s="1"/>
  <c r="G212" i="79" a="1"/>
  <c r="G212" i="79" s="1"/>
  <c r="H212" i="79" a="1"/>
  <c r="H212" i="79" s="1"/>
  <c r="I212" i="79" a="1"/>
  <c r="I212" i="79" s="1"/>
  <c r="J212" i="79" a="1"/>
  <c r="J212" i="79" s="1"/>
  <c r="K212" i="79" a="1"/>
  <c r="K212" i="79" s="1"/>
  <c r="L212" i="79" a="1"/>
  <c r="L212" i="79" s="1"/>
  <c r="M212" i="79" a="1"/>
  <c r="M212" i="79" s="1"/>
  <c r="N212" i="79" a="1"/>
  <c r="N212" i="79" s="1"/>
  <c r="O212" i="79" a="1"/>
  <c r="O212" i="79" s="1"/>
  <c r="P212" i="79" a="1"/>
  <c r="P212" i="79" s="1"/>
  <c r="D211" i="79" a="1"/>
  <c r="D211" i="79" s="1"/>
  <c r="E211" i="79" a="1"/>
  <c r="E211" i="79" s="1"/>
  <c r="F211" i="79" a="1"/>
  <c r="F211" i="79" s="1"/>
  <c r="G211" i="79" a="1"/>
  <c r="G211" i="79" s="1"/>
  <c r="H211" i="79" a="1"/>
  <c r="H211" i="79" s="1"/>
  <c r="I211" i="79" a="1"/>
  <c r="I211" i="79" s="1"/>
  <c r="J211" i="79" a="1"/>
  <c r="J211" i="79" s="1"/>
  <c r="K211" i="79" a="1"/>
  <c r="K211" i="79" s="1"/>
  <c r="L211" i="79" a="1"/>
  <c r="L211" i="79" s="1"/>
  <c r="M211" i="79" a="1"/>
  <c r="M211" i="79" s="1"/>
  <c r="N211" i="79" a="1"/>
  <c r="N211" i="79" s="1"/>
  <c r="O211" i="79" a="1"/>
  <c r="O211" i="79" s="1"/>
  <c r="P211" i="79" a="1"/>
  <c r="P211" i="79" s="1"/>
  <c r="D210" i="79" a="1"/>
  <c r="D210" i="79" s="1"/>
  <c r="E210" i="79" a="1"/>
  <c r="E210" i="79" s="1"/>
  <c r="F210" i="79" a="1"/>
  <c r="F210" i="79" s="1"/>
  <c r="G210" i="79" a="1"/>
  <c r="G210" i="79" s="1"/>
  <c r="H210" i="79" a="1"/>
  <c r="H210" i="79" s="1"/>
  <c r="I210" i="79" a="1"/>
  <c r="I210" i="79" s="1"/>
  <c r="J210" i="79" a="1"/>
  <c r="J210" i="79" s="1"/>
  <c r="K210" i="79" a="1"/>
  <c r="K210" i="79" s="1"/>
  <c r="L210" i="79" a="1"/>
  <c r="L210" i="79" s="1"/>
  <c r="M210" i="79" a="1"/>
  <c r="M210" i="79" s="1"/>
  <c r="N210" i="79" a="1"/>
  <c r="N210" i="79" s="1"/>
  <c r="O210" i="79" a="1"/>
  <c r="O210" i="79" s="1"/>
  <c r="P210" i="79" a="1"/>
  <c r="P210" i="79" s="1"/>
  <c r="D209" i="79" a="1"/>
  <c r="D209" i="79" s="1"/>
  <c r="E209" i="79" a="1"/>
  <c r="E209" i="79" s="1"/>
  <c r="F209" i="79" a="1"/>
  <c r="F209" i="79" s="1"/>
  <c r="G209" i="79" a="1"/>
  <c r="G209" i="79" s="1"/>
  <c r="H209" i="79" a="1"/>
  <c r="H209" i="79" s="1"/>
  <c r="I209" i="79" a="1"/>
  <c r="I209" i="79" s="1"/>
  <c r="J209" i="79" a="1"/>
  <c r="J209" i="79" s="1"/>
  <c r="K209" i="79" a="1"/>
  <c r="K209" i="79" s="1"/>
  <c r="L209" i="79" a="1"/>
  <c r="L209" i="79" s="1"/>
  <c r="M209" i="79" a="1"/>
  <c r="M209" i="79" s="1"/>
  <c r="N209" i="79" a="1"/>
  <c r="N209" i="79" s="1"/>
  <c r="O209" i="79" a="1"/>
  <c r="O209" i="79" s="1"/>
  <c r="P209" i="79" a="1"/>
  <c r="P209" i="79" s="1"/>
  <c r="D208" i="79" a="1"/>
  <c r="D208" i="79" s="1"/>
  <c r="E208" i="79" a="1"/>
  <c r="E208" i="79" s="1"/>
  <c r="F208" i="79" a="1"/>
  <c r="F208" i="79" s="1"/>
  <c r="G208" i="79" a="1"/>
  <c r="G208" i="79" s="1"/>
  <c r="H208" i="79" a="1"/>
  <c r="H208" i="79" s="1"/>
  <c r="I208" i="79" a="1"/>
  <c r="I208" i="79" s="1"/>
  <c r="J208" i="79" a="1"/>
  <c r="J208" i="79" s="1"/>
  <c r="K208" i="79" a="1"/>
  <c r="K208" i="79" s="1"/>
  <c r="L208" i="79" a="1"/>
  <c r="L208" i="79" s="1"/>
  <c r="M208" i="79" a="1"/>
  <c r="M208" i="79" s="1"/>
  <c r="N208" i="79" a="1"/>
  <c r="N208" i="79" s="1"/>
  <c r="O208" i="79" a="1"/>
  <c r="O208" i="79" s="1"/>
  <c r="P208" i="79" a="1"/>
  <c r="P208" i="79" s="1"/>
  <c r="D207" i="79" a="1"/>
  <c r="D207" i="79" s="1"/>
  <c r="E207" i="79" a="1"/>
  <c r="E207" i="79" s="1"/>
  <c r="F207" i="79" a="1"/>
  <c r="F207" i="79" s="1"/>
  <c r="G207" i="79" a="1"/>
  <c r="G207" i="79" s="1"/>
  <c r="H207" i="79" a="1"/>
  <c r="H207" i="79" s="1"/>
  <c r="I207" i="79" a="1"/>
  <c r="I207" i="79" s="1"/>
  <c r="J207" i="79" a="1"/>
  <c r="J207" i="79" s="1"/>
  <c r="K207" i="79" a="1"/>
  <c r="K207" i="79" s="1"/>
  <c r="L207" i="79" a="1"/>
  <c r="L207" i="79" s="1"/>
  <c r="M207" i="79" a="1"/>
  <c r="M207" i="79" s="1"/>
  <c r="N207" i="79" a="1"/>
  <c r="N207" i="79" s="1"/>
  <c r="O207" i="79" a="1"/>
  <c r="O207" i="79" s="1"/>
  <c r="P207" i="79" a="1"/>
  <c r="P207" i="79" s="1"/>
  <c r="D206" i="79" a="1"/>
  <c r="D206" i="79" s="1"/>
  <c r="E206" i="79" a="1"/>
  <c r="E206" i="79" s="1"/>
  <c r="F206" i="79" a="1"/>
  <c r="F206" i="79" s="1"/>
  <c r="G206" i="79" a="1"/>
  <c r="G206" i="79" s="1"/>
  <c r="H206" i="79" a="1"/>
  <c r="H206" i="79" s="1"/>
  <c r="I206" i="79" a="1"/>
  <c r="I206" i="79" s="1"/>
  <c r="J206" i="79" a="1"/>
  <c r="J206" i="79" s="1"/>
  <c r="K206" i="79" a="1"/>
  <c r="K206" i="79" s="1"/>
  <c r="L206" i="79" a="1"/>
  <c r="L206" i="79" s="1"/>
  <c r="M206" i="79" a="1"/>
  <c r="M206" i="79" s="1"/>
  <c r="N206" i="79" a="1"/>
  <c r="N206" i="79" s="1"/>
  <c r="O206" i="79" a="1"/>
  <c r="O206" i="79" s="1"/>
  <c r="P206" i="79" a="1"/>
  <c r="P206" i="79" s="1"/>
  <c r="D205" i="79" a="1"/>
  <c r="D205" i="79" s="1"/>
  <c r="E205" i="79" a="1"/>
  <c r="E205" i="79" s="1"/>
  <c r="F205" i="79" a="1"/>
  <c r="F205" i="79" s="1"/>
  <c r="G205" i="79" a="1"/>
  <c r="G205" i="79" s="1"/>
  <c r="H205" i="79" a="1"/>
  <c r="H205" i="79" s="1"/>
  <c r="I205" i="79" a="1"/>
  <c r="I205" i="79" s="1"/>
  <c r="J205" i="79" a="1"/>
  <c r="J205" i="79" s="1"/>
  <c r="K205" i="79" a="1"/>
  <c r="K205" i="79" s="1"/>
  <c r="L205" i="79" a="1"/>
  <c r="L205" i="79" s="1"/>
  <c r="M205" i="79" a="1"/>
  <c r="M205" i="79" s="1"/>
  <c r="N205" i="79" a="1"/>
  <c r="N205" i="79" s="1"/>
  <c r="O205" i="79" a="1"/>
  <c r="O205" i="79" s="1"/>
  <c r="P205" i="79" a="1"/>
  <c r="P205" i="79" s="1"/>
  <c r="D204" i="79" a="1"/>
  <c r="D204" i="79" s="1"/>
  <c r="E204" i="79" a="1"/>
  <c r="E204" i="79" s="1"/>
  <c r="F204" i="79" a="1"/>
  <c r="F204" i="79" s="1"/>
  <c r="G204" i="79" a="1"/>
  <c r="G204" i="79" s="1"/>
  <c r="H204" i="79" a="1"/>
  <c r="H204" i="79" s="1"/>
  <c r="I204" i="79" a="1"/>
  <c r="I204" i="79" s="1"/>
  <c r="J204" i="79" a="1"/>
  <c r="J204" i="79" s="1"/>
  <c r="K204" i="79" a="1"/>
  <c r="K204" i="79" s="1"/>
  <c r="L204" i="79" a="1"/>
  <c r="L204" i="79" s="1"/>
  <c r="M204" i="79" a="1"/>
  <c r="M204" i="79" s="1"/>
  <c r="N204" i="79" a="1"/>
  <c r="N204" i="79" s="1"/>
  <c r="O204" i="79" a="1"/>
  <c r="O204" i="79" s="1"/>
  <c r="P204" i="79" a="1"/>
  <c r="P204" i="79" s="1"/>
  <c r="D203" i="79" a="1"/>
  <c r="D203" i="79" s="1"/>
  <c r="E203" i="79" a="1"/>
  <c r="E203" i="79" s="1"/>
  <c r="F203" i="79" a="1"/>
  <c r="F203" i="79" s="1"/>
  <c r="G203" i="79" a="1"/>
  <c r="G203" i="79" s="1"/>
  <c r="H203" i="79" a="1"/>
  <c r="H203" i="79" s="1"/>
  <c r="I203" i="79" a="1"/>
  <c r="I203" i="79" s="1"/>
  <c r="J203" i="79" a="1"/>
  <c r="J203" i="79" s="1"/>
  <c r="K203" i="79" a="1"/>
  <c r="K203" i="79" s="1"/>
  <c r="L203" i="79" a="1"/>
  <c r="L203" i="79" s="1"/>
  <c r="M203" i="79" a="1"/>
  <c r="M203" i="79" s="1"/>
  <c r="N203" i="79" a="1"/>
  <c r="N203" i="79" s="1"/>
  <c r="O203" i="79" a="1"/>
  <c r="O203" i="79" s="1"/>
  <c r="P203" i="79" a="1"/>
  <c r="P203" i="79" s="1"/>
  <c r="D202" i="79" a="1"/>
  <c r="D202" i="79" s="1"/>
  <c r="E202" i="79" a="1"/>
  <c r="E202" i="79" s="1"/>
  <c r="F202" i="79" a="1"/>
  <c r="F202" i="79" s="1"/>
  <c r="G202" i="79" a="1"/>
  <c r="G202" i="79" s="1"/>
  <c r="H202" i="79" a="1"/>
  <c r="H202" i="79" s="1"/>
  <c r="I202" i="79" a="1"/>
  <c r="I202" i="79" s="1"/>
  <c r="J202" i="79" a="1"/>
  <c r="J202" i="79" s="1"/>
  <c r="K202" i="79" a="1"/>
  <c r="K202" i="79" s="1"/>
  <c r="L202" i="79" a="1"/>
  <c r="L202" i="79" s="1"/>
  <c r="M202" i="79" a="1"/>
  <c r="M202" i="79" s="1"/>
  <c r="N202" i="79" a="1"/>
  <c r="N202" i="79" s="1"/>
  <c r="O202" i="79" a="1"/>
  <c r="O202" i="79" s="1"/>
  <c r="P202" i="79" a="1"/>
  <c r="P202" i="79" s="1"/>
  <c r="D201" i="79" a="1"/>
  <c r="D201" i="79" s="1"/>
  <c r="E201" i="79" a="1"/>
  <c r="E201" i="79" s="1"/>
  <c r="F201" i="79" a="1"/>
  <c r="F201" i="79" s="1"/>
  <c r="G201" i="79" a="1"/>
  <c r="G201" i="79" s="1"/>
  <c r="H201" i="79" a="1"/>
  <c r="H201" i="79" s="1"/>
  <c r="I201" i="79" a="1"/>
  <c r="I201" i="79" s="1"/>
  <c r="J201" i="79" a="1"/>
  <c r="J201" i="79" s="1"/>
  <c r="K201" i="79" a="1"/>
  <c r="K201" i="79" s="1"/>
  <c r="L201" i="79" a="1"/>
  <c r="L201" i="79" s="1"/>
  <c r="M201" i="79" a="1"/>
  <c r="M201" i="79" s="1"/>
  <c r="N201" i="79" a="1"/>
  <c r="N201" i="79" s="1"/>
  <c r="O201" i="79" a="1"/>
  <c r="O201" i="79" s="1"/>
  <c r="P201" i="79" a="1"/>
  <c r="P201" i="79" s="1"/>
  <c r="D200" i="79" a="1"/>
  <c r="D200" i="79" s="1"/>
  <c r="E200" i="79" a="1"/>
  <c r="E200" i="79" s="1"/>
  <c r="F200" i="79" a="1"/>
  <c r="F200" i="79" s="1"/>
  <c r="G200" i="79" a="1"/>
  <c r="G200" i="79" s="1"/>
  <c r="H200" i="79" a="1"/>
  <c r="H200" i="79" s="1"/>
  <c r="I200" i="79" a="1"/>
  <c r="I200" i="79" s="1"/>
  <c r="J200" i="79" a="1"/>
  <c r="J200" i="79" s="1"/>
  <c r="K200" i="79" a="1"/>
  <c r="K200" i="79" s="1"/>
  <c r="L200" i="79" a="1"/>
  <c r="L200" i="79" s="1"/>
  <c r="M200" i="79" a="1"/>
  <c r="M200" i="79" s="1"/>
  <c r="N200" i="79" a="1"/>
  <c r="N200" i="79" s="1"/>
  <c r="O200" i="79" a="1"/>
  <c r="O200" i="79" s="1"/>
  <c r="P200" i="79" a="1"/>
  <c r="P200" i="79" s="1"/>
  <c r="D199" i="79" a="1"/>
  <c r="D199" i="79" s="1"/>
  <c r="E199" i="79" a="1"/>
  <c r="E199" i="79" s="1"/>
  <c r="F199" i="79" a="1"/>
  <c r="F199" i="79" s="1"/>
  <c r="G199" i="79" a="1"/>
  <c r="G199" i="79" s="1"/>
  <c r="H199" i="79" a="1"/>
  <c r="H199" i="79" s="1"/>
  <c r="I199" i="79" a="1"/>
  <c r="I199" i="79" s="1"/>
  <c r="J199" i="79" a="1"/>
  <c r="J199" i="79" s="1"/>
  <c r="K199" i="79" a="1"/>
  <c r="K199" i="79" s="1"/>
  <c r="L199" i="79" a="1"/>
  <c r="L199" i="79" s="1"/>
  <c r="M199" i="79" a="1"/>
  <c r="M199" i="79" s="1"/>
  <c r="N199" i="79" a="1"/>
  <c r="N199" i="79" s="1"/>
  <c r="O199" i="79" a="1"/>
  <c r="O199" i="79" s="1"/>
  <c r="P199" i="79" a="1"/>
  <c r="P199" i="79" s="1"/>
  <c r="D198" i="79" a="1"/>
  <c r="D198" i="79" s="1"/>
  <c r="E198" i="79" a="1"/>
  <c r="E198" i="79" s="1"/>
  <c r="F198" i="79" a="1"/>
  <c r="F198" i="79" s="1"/>
  <c r="G198" i="79" a="1"/>
  <c r="G198" i="79" s="1"/>
  <c r="H198" i="79" a="1"/>
  <c r="H198" i="79" s="1"/>
  <c r="I198" i="79" a="1"/>
  <c r="I198" i="79" s="1"/>
  <c r="J198" i="79" a="1"/>
  <c r="J198" i="79" s="1"/>
  <c r="K198" i="79" a="1"/>
  <c r="K198" i="79" s="1"/>
  <c r="L198" i="79" a="1"/>
  <c r="L198" i="79" s="1"/>
  <c r="M198" i="79" a="1"/>
  <c r="M198" i="79" s="1"/>
  <c r="N198" i="79" a="1"/>
  <c r="N198" i="79" s="1"/>
  <c r="O198" i="79" a="1"/>
  <c r="O198" i="79" s="1"/>
  <c r="P198" i="79" a="1"/>
  <c r="P198" i="79" s="1"/>
  <c r="D197" i="79" a="1"/>
  <c r="D197" i="79" s="1"/>
  <c r="E197" i="79" a="1"/>
  <c r="E197" i="79" s="1"/>
  <c r="F197" i="79" a="1"/>
  <c r="F197" i="79" s="1"/>
  <c r="G197" i="79" a="1"/>
  <c r="G197" i="79" s="1"/>
  <c r="H197" i="79" a="1"/>
  <c r="H197" i="79" s="1"/>
  <c r="I197" i="79" a="1"/>
  <c r="I197" i="79" s="1"/>
  <c r="J197" i="79" a="1"/>
  <c r="J197" i="79" s="1"/>
  <c r="K197" i="79" a="1"/>
  <c r="K197" i="79" s="1"/>
  <c r="L197" i="79" a="1"/>
  <c r="L197" i="79" s="1"/>
  <c r="M197" i="79" a="1"/>
  <c r="M197" i="79" s="1"/>
  <c r="N197" i="79" a="1"/>
  <c r="N197" i="79" s="1"/>
  <c r="O197" i="79" a="1"/>
  <c r="O197" i="79" s="1"/>
  <c r="P197" i="79" a="1"/>
  <c r="P197" i="79" s="1"/>
  <c r="D196" i="79" a="1"/>
  <c r="D196" i="79" s="1"/>
  <c r="E196" i="79" a="1"/>
  <c r="E196" i="79" s="1"/>
  <c r="F196" i="79" a="1"/>
  <c r="F196" i="79" s="1"/>
  <c r="G196" i="79" a="1"/>
  <c r="G196" i="79" s="1"/>
  <c r="H196" i="79" a="1"/>
  <c r="H196" i="79" s="1"/>
  <c r="I196" i="79" a="1"/>
  <c r="I196" i="79" s="1"/>
  <c r="J196" i="79" a="1"/>
  <c r="J196" i="79" s="1"/>
  <c r="K196" i="79" a="1"/>
  <c r="K196" i="79" s="1"/>
  <c r="L196" i="79" a="1"/>
  <c r="L196" i="79" s="1"/>
  <c r="M196" i="79" a="1"/>
  <c r="M196" i="79" s="1"/>
  <c r="N196" i="79" a="1"/>
  <c r="N196" i="79" s="1"/>
  <c r="O196" i="79" a="1"/>
  <c r="O196" i="79" s="1"/>
  <c r="P196" i="79" a="1"/>
  <c r="P196" i="79" s="1"/>
  <c r="D195" i="79" a="1"/>
  <c r="D195" i="79" s="1"/>
  <c r="E195" i="79" a="1"/>
  <c r="E195" i="79" s="1"/>
  <c r="F195" i="79" a="1"/>
  <c r="F195" i="79" s="1"/>
  <c r="G195" i="79" a="1"/>
  <c r="G195" i="79" s="1"/>
  <c r="H195" i="79" a="1"/>
  <c r="H195" i="79" s="1"/>
  <c r="I195" i="79" a="1"/>
  <c r="I195" i="79" s="1"/>
  <c r="J195" i="79" a="1"/>
  <c r="J195" i="79" s="1"/>
  <c r="K195" i="79" a="1"/>
  <c r="K195" i="79" s="1"/>
  <c r="L195" i="79" a="1"/>
  <c r="L195" i="79" s="1"/>
  <c r="M195" i="79" a="1"/>
  <c r="M195" i="79" s="1"/>
  <c r="N195" i="79" a="1"/>
  <c r="N195" i="79" s="1"/>
  <c r="O195" i="79" a="1"/>
  <c r="O195" i="79" s="1"/>
  <c r="P195" i="79" a="1"/>
  <c r="P195" i="79" s="1"/>
  <c r="D194" i="79" a="1"/>
  <c r="D194" i="79" s="1"/>
  <c r="E194" i="79" a="1"/>
  <c r="E194" i="79" s="1"/>
  <c r="F194" i="79" a="1"/>
  <c r="F194" i="79" s="1"/>
  <c r="G194" i="79" a="1"/>
  <c r="G194" i="79" s="1"/>
  <c r="H194" i="79" a="1"/>
  <c r="H194" i="79" s="1"/>
  <c r="I194" i="79" a="1"/>
  <c r="I194" i="79" s="1"/>
  <c r="J194" i="79" a="1"/>
  <c r="J194" i="79" s="1"/>
  <c r="K194" i="79" a="1"/>
  <c r="K194" i="79" s="1"/>
  <c r="L194" i="79" a="1"/>
  <c r="L194" i="79" s="1"/>
  <c r="M194" i="79" a="1"/>
  <c r="M194" i="79" s="1"/>
  <c r="N194" i="79" a="1"/>
  <c r="N194" i="79" s="1"/>
  <c r="O194" i="79" a="1"/>
  <c r="O194" i="79" s="1"/>
  <c r="P194" i="79" a="1"/>
  <c r="P194" i="79" s="1"/>
  <c r="D193" i="79" a="1"/>
  <c r="D193" i="79" s="1"/>
  <c r="E193" i="79" a="1"/>
  <c r="E193" i="79" s="1"/>
  <c r="F193" i="79" a="1"/>
  <c r="F193" i="79" s="1"/>
  <c r="G193" i="79" a="1"/>
  <c r="G193" i="79" s="1"/>
  <c r="H193" i="79" a="1"/>
  <c r="H193" i="79" s="1"/>
  <c r="I193" i="79" a="1"/>
  <c r="I193" i="79" s="1"/>
  <c r="J193" i="79" a="1"/>
  <c r="J193" i="79" s="1"/>
  <c r="K193" i="79" a="1"/>
  <c r="K193" i="79" s="1"/>
  <c r="L193" i="79" a="1"/>
  <c r="L193" i="79" s="1"/>
  <c r="M193" i="79" a="1"/>
  <c r="M193" i="79" s="1"/>
  <c r="N193" i="79" a="1"/>
  <c r="N193" i="79" s="1"/>
  <c r="O193" i="79" a="1"/>
  <c r="O193" i="79" s="1"/>
  <c r="P193" i="79" a="1"/>
  <c r="P193" i="79" s="1"/>
  <c r="D192" i="79" a="1"/>
  <c r="D192" i="79" s="1"/>
  <c r="E192" i="79" a="1"/>
  <c r="E192" i="79" s="1"/>
  <c r="F192" i="79" a="1"/>
  <c r="F192" i="79" s="1"/>
  <c r="G192" i="79" a="1"/>
  <c r="G192" i="79" s="1"/>
  <c r="H192" i="79" a="1"/>
  <c r="H192" i="79" s="1"/>
  <c r="I192" i="79" a="1"/>
  <c r="I192" i="79" s="1"/>
  <c r="J192" i="79" a="1"/>
  <c r="J192" i="79" s="1"/>
  <c r="K192" i="79" a="1"/>
  <c r="K192" i="79" s="1"/>
  <c r="L192" i="79" a="1"/>
  <c r="L192" i="79" s="1"/>
  <c r="M192" i="79" a="1"/>
  <c r="M192" i="79" s="1"/>
  <c r="N192" i="79" a="1"/>
  <c r="N192" i="79" s="1"/>
  <c r="O192" i="79" a="1"/>
  <c r="O192" i="79" s="1"/>
  <c r="P192" i="79" a="1"/>
  <c r="P192" i="79" s="1"/>
  <c r="D191" i="79" a="1"/>
  <c r="D191" i="79" s="1"/>
  <c r="E191" i="79" a="1"/>
  <c r="E191" i="79" s="1"/>
  <c r="F191" i="79" a="1"/>
  <c r="F191" i="79" s="1"/>
  <c r="G191" i="79" a="1"/>
  <c r="G191" i="79" s="1"/>
  <c r="H191" i="79" a="1"/>
  <c r="H191" i="79" s="1"/>
  <c r="I191" i="79" a="1"/>
  <c r="I191" i="79" s="1"/>
  <c r="J191" i="79" a="1"/>
  <c r="J191" i="79" s="1"/>
  <c r="K191" i="79" a="1"/>
  <c r="K191" i="79" s="1"/>
  <c r="L191" i="79" a="1"/>
  <c r="L191" i="79" s="1"/>
  <c r="M191" i="79" a="1"/>
  <c r="M191" i="79" s="1"/>
  <c r="N191" i="79" a="1"/>
  <c r="N191" i="79" s="1"/>
  <c r="O191" i="79" a="1"/>
  <c r="O191" i="79" s="1"/>
  <c r="P191" i="79" a="1"/>
  <c r="P191" i="79" s="1"/>
  <c r="D190" i="79" a="1"/>
  <c r="D190" i="79" s="1"/>
  <c r="E190" i="79" a="1"/>
  <c r="E190" i="79" s="1"/>
  <c r="F190" i="79" a="1"/>
  <c r="F190" i="79" s="1"/>
  <c r="G190" i="79" a="1"/>
  <c r="G190" i="79" s="1"/>
  <c r="H190" i="79" a="1"/>
  <c r="H190" i="79" s="1"/>
  <c r="I190" i="79" a="1"/>
  <c r="I190" i="79" s="1"/>
  <c r="J190" i="79" a="1"/>
  <c r="J190" i="79" s="1"/>
  <c r="K190" i="79" a="1"/>
  <c r="K190" i="79" s="1"/>
  <c r="L190" i="79" a="1"/>
  <c r="L190" i="79" s="1"/>
  <c r="M190" i="79" a="1"/>
  <c r="M190" i="79" s="1"/>
  <c r="N190" i="79" a="1"/>
  <c r="N190" i="79" s="1"/>
  <c r="O190" i="79" a="1"/>
  <c r="O190" i="79" s="1"/>
  <c r="P190" i="79" a="1"/>
  <c r="P190" i="79" s="1"/>
  <c r="D189" i="79" a="1"/>
  <c r="D189" i="79" s="1"/>
  <c r="E189" i="79" a="1"/>
  <c r="E189" i="79" s="1"/>
  <c r="F189" i="79" a="1"/>
  <c r="F189" i="79" s="1"/>
  <c r="G189" i="79" a="1"/>
  <c r="G189" i="79" s="1"/>
  <c r="H189" i="79" a="1"/>
  <c r="H189" i="79" s="1"/>
  <c r="I189" i="79" a="1"/>
  <c r="I189" i="79" s="1"/>
  <c r="J189" i="79" a="1"/>
  <c r="J189" i="79" s="1"/>
  <c r="K189" i="79" a="1"/>
  <c r="K189" i="79" s="1"/>
  <c r="L189" i="79" a="1"/>
  <c r="L189" i="79" s="1"/>
  <c r="M189" i="79" a="1"/>
  <c r="M189" i="79" s="1"/>
  <c r="N189" i="79" a="1"/>
  <c r="N189" i="79" s="1"/>
  <c r="O189" i="79" a="1"/>
  <c r="O189" i="79" s="1"/>
  <c r="P189" i="79" a="1"/>
  <c r="P189" i="79" s="1"/>
  <c r="P188" i="79" a="1"/>
  <c r="P188" i="79" s="1"/>
  <c r="O188" i="79" a="1"/>
  <c r="O188" i="79" s="1"/>
  <c r="N188" i="79" a="1"/>
  <c r="N188" i="79" s="1"/>
  <c r="M188" i="79" a="1"/>
  <c r="M188" i="79" s="1"/>
  <c r="L188" i="79" a="1"/>
  <c r="L188" i="79" s="1"/>
  <c r="K188" i="79" a="1"/>
  <c r="K188" i="79" s="1"/>
  <c r="J188" i="79" a="1"/>
  <c r="J188" i="79" s="1"/>
  <c r="I188" i="79" a="1"/>
  <c r="I188" i="79" s="1"/>
  <c r="H188" i="79" a="1"/>
  <c r="H188" i="79" s="1"/>
  <c r="G188" i="79" a="1"/>
  <c r="G188" i="79" s="1"/>
  <c r="F188" i="79" a="1"/>
  <c r="F188" i="79" s="1"/>
  <c r="E188" i="79" a="1"/>
  <c r="E188" i="79" s="1"/>
  <c r="D188" i="79" a="1"/>
  <c r="D188" i="79" s="1"/>
  <c r="D186" i="79" a="1"/>
  <c r="D186" i="79" s="1"/>
  <c r="D185" i="79" a="1"/>
  <c r="D185" i="79" s="1"/>
  <c r="D184" i="79" a="1"/>
  <c r="D184" i="79" s="1"/>
  <c r="D183" i="79" a="1"/>
  <c r="D183" i="79" s="1"/>
  <c r="D180" i="79" a="1"/>
  <c r="D180" i="79" s="1"/>
  <c r="E180" i="79" a="1"/>
  <c r="E180" i="79" s="1"/>
  <c r="F180" i="79" a="1"/>
  <c r="F180" i="79" s="1"/>
  <c r="G180" i="79" a="1"/>
  <c r="G180" i="79" s="1"/>
  <c r="H180" i="79" a="1"/>
  <c r="H180" i="79" s="1"/>
  <c r="I180" i="79" a="1"/>
  <c r="I180" i="79" s="1"/>
  <c r="J180" i="79" a="1"/>
  <c r="J180" i="79" s="1"/>
  <c r="K180" i="79" a="1"/>
  <c r="K180" i="79" s="1"/>
  <c r="L180" i="79" a="1"/>
  <c r="L180" i="79" s="1"/>
  <c r="M180" i="79" a="1"/>
  <c r="M180" i="79" s="1"/>
  <c r="D179" i="79" a="1"/>
  <c r="D179" i="79" s="1"/>
  <c r="E179" i="79" a="1"/>
  <c r="E179" i="79" s="1"/>
  <c r="F179" i="79" a="1"/>
  <c r="F179" i="79" s="1"/>
  <c r="G179" i="79" a="1"/>
  <c r="G179" i="79" s="1"/>
  <c r="H179" i="79" a="1"/>
  <c r="H179" i="79" s="1"/>
  <c r="I179" i="79" a="1"/>
  <c r="I179" i="79" s="1"/>
  <c r="J179" i="79" a="1"/>
  <c r="J179" i="79" s="1"/>
  <c r="K179" i="79" a="1"/>
  <c r="K179" i="79" s="1"/>
  <c r="L179" i="79" a="1"/>
  <c r="L179" i="79" s="1"/>
  <c r="M179" i="79" a="1"/>
  <c r="M179" i="79" s="1"/>
  <c r="D178" i="79" a="1"/>
  <c r="D178" i="79" s="1"/>
  <c r="E178" i="79" a="1"/>
  <c r="E178" i="79" s="1"/>
  <c r="F178" i="79" a="1"/>
  <c r="F178" i="79" s="1"/>
  <c r="G178" i="79" a="1"/>
  <c r="G178" i="79" s="1"/>
  <c r="H178" i="79" a="1"/>
  <c r="H178" i="79" s="1"/>
  <c r="I178" i="79" a="1"/>
  <c r="I178" i="79" s="1"/>
  <c r="J178" i="79" a="1"/>
  <c r="J178" i="79" s="1"/>
  <c r="K178" i="79" a="1"/>
  <c r="K178" i="79" s="1"/>
  <c r="L178" i="79" a="1"/>
  <c r="L178" i="79" s="1"/>
  <c r="M178" i="79" a="1"/>
  <c r="M178" i="79" s="1"/>
  <c r="D177" i="79" a="1"/>
  <c r="D177" i="79" s="1"/>
  <c r="E177" i="79" a="1"/>
  <c r="E177" i="79" s="1"/>
  <c r="F177" i="79" a="1"/>
  <c r="F177" i="79" s="1"/>
  <c r="G177" i="79" a="1"/>
  <c r="G177" i="79" s="1"/>
  <c r="H177" i="79" a="1"/>
  <c r="H177" i="79" s="1"/>
  <c r="I177" i="79" a="1"/>
  <c r="I177" i="79" s="1"/>
  <c r="J177" i="79" a="1"/>
  <c r="J177" i="79" s="1"/>
  <c r="K177" i="79" a="1"/>
  <c r="K177" i="79" s="1"/>
  <c r="L177" i="79" a="1"/>
  <c r="L177" i="79" s="1"/>
  <c r="M177" i="79" a="1"/>
  <c r="M177" i="79" s="1"/>
  <c r="D176" i="79" a="1"/>
  <c r="D176" i="79" s="1"/>
  <c r="E176" i="79" a="1"/>
  <c r="E176" i="79" s="1"/>
  <c r="F176" i="79" a="1"/>
  <c r="F176" i="79" s="1"/>
  <c r="G176" i="79" a="1"/>
  <c r="G176" i="79" s="1"/>
  <c r="H176" i="79" a="1"/>
  <c r="H176" i="79" s="1"/>
  <c r="I176" i="79" a="1"/>
  <c r="I176" i="79" s="1"/>
  <c r="J176" i="79" a="1"/>
  <c r="J176" i="79" s="1"/>
  <c r="K176" i="79" a="1"/>
  <c r="K176" i="79" s="1"/>
  <c r="L176" i="79" a="1"/>
  <c r="L176" i="79" s="1"/>
  <c r="M176" i="79" a="1"/>
  <c r="M176" i="79" s="1"/>
  <c r="D175" i="79" a="1"/>
  <c r="D175" i="79" s="1"/>
  <c r="E175" i="79" a="1"/>
  <c r="E175" i="79" s="1"/>
  <c r="F175" i="79" a="1"/>
  <c r="F175" i="79" s="1"/>
  <c r="G175" i="79" a="1"/>
  <c r="G175" i="79" s="1"/>
  <c r="H175" i="79" a="1"/>
  <c r="H175" i="79" s="1"/>
  <c r="I175" i="79" a="1"/>
  <c r="I175" i="79" s="1"/>
  <c r="J175" i="79" a="1"/>
  <c r="J175" i="79" s="1"/>
  <c r="K175" i="79" a="1"/>
  <c r="K175" i="79" s="1"/>
  <c r="L175" i="79" a="1"/>
  <c r="L175" i="79" s="1"/>
  <c r="M175" i="79" a="1"/>
  <c r="M175" i="79" s="1"/>
  <c r="D174" i="79" a="1"/>
  <c r="D174" i="79" s="1"/>
  <c r="E174" i="79" a="1"/>
  <c r="E174" i="79" s="1"/>
  <c r="F174" i="79" a="1"/>
  <c r="F174" i="79" s="1"/>
  <c r="G174" i="79" a="1"/>
  <c r="G174" i="79" s="1"/>
  <c r="H174" i="79" a="1"/>
  <c r="H174" i="79" s="1"/>
  <c r="I174" i="79" a="1"/>
  <c r="I174" i="79" s="1"/>
  <c r="J174" i="79" a="1"/>
  <c r="J174" i="79" s="1"/>
  <c r="K174" i="79" a="1"/>
  <c r="K174" i="79" s="1"/>
  <c r="L174" i="79" a="1"/>
  <c r="L174" i="79" s="1"/>
  <c r="M174" i="79" a="1"/>
  <c r="M174" i="79" s="1"/>
  <c r="D173" i="79" a="1"/>
  <c r="D173" i="79" s="1"/>
  <c r="E173" i="79" a="1"/>
  <c r="E173" i="79" s="1"/>
  <c r="F173" i="79" a="1"/>
  <c r="F173" i="79" s="1"/>
  <c r="G173" i="79" a="1"/>
  <c r="G173" i="79" s="1"/>
  <c r="H173" i="79" a="1"/>
  <c r="H173" i="79" s="1"/>
  <c r="I173" i="79" a="1"/>
  <c r="I173" i="79" s="1"/>
  <c r="J173" i="79" a="1"/>
  <c r="J173" i="79" s="1"/>
  <c r="K173" i="79" a="1"/>
  <c r="K173" i="79" s="1"/>
  <c r="L173" i="79" a="1"/>
  <c r="L173" i="79" s="1"/>
  <c r="M173" i="79" a="1"/>
  <c r="M173" i="79" s="1"/>
  <c r="D172" i="79" a="1"/>
  <c r="D172" i="79" s="1"/>
  <c r="E172" i="79" a="1"/>
  <c r="E172" i="79" s="1"/>
  <c r="F172" i="79" a="1"/>
  <c r="F172" i="79" s="1"/>
  <c r="G172" i="79" a="1"/>
  <c r="G172" i="79" s="1"/>
  <c r="H172" i="79" a="1"/>
  <c r="H172" i="79" s="1"/>
  <c r="I172" i="79" a="1"/>
  <c r="I172" i="79" s="1"/>
  <c r="J172" i="79" a="1"/>
  <c r="J172" i="79" s="1"/>
  <c r="K172" i="79" a="1"/>
  <c r="K172" i="79" s="1"/>
  <c r="L172" i="79" a="1"/>
  <c r="L172" i="79" s="1"/>
  <c r="M172" i="79" a="1"/>
  <c r="M172" i="79" s="1"/>
  <c r="D171" i="79" a="1"/>
  <c r="D171" i="79" s="1"/>
  <c r="E171" i="79" a="1"/>
  <c r="E171" i="79" s="1"/>
  <c r="F171" i="79" a="1"/>
  <c r="F171" i="79" s="1"/>
  <c r="G171" i="79" a="1"/>
  <c r="G171" i="79" s="1"/>
  <c r="H171" i="79" a="1"/>
  <c r="H171" i="79" s="1"/>
  <c r="I171" i="79" a="1"/>
  <c r="I171" i="79" s="1"/>
  <c r="J171" i="79" a="1"/>
  <c r="J171" i="79" s="1"/>
  <c r="K171" i="79" a="1"/>
  <c r="K171" i="79" s="1"/>
  <c r="L171" i="79" a="1"/>
  <c r="L171" i="79" s="1"/>
  <c r="M171" i="79" a="1"/>
  <c r="M171" i="79" s="1"/>
  <c r="D170" i="79" a="1"/>
  <c r="D170" i="79" s="1"/>
  <c r="E170" i="79" a="1"/>
  <c r="E170" i="79" s="1"/>
  <c r="F170" i="79" a="1"/>
  <c r="F170" i="79" s="1"/>
  <c r="G170" i="79" a="1"/>
  <c r="G170" i="79" s="1"/>
  <c r="H170" i="79" a="1"/>
  <c r="H170" i="79" s="1"/>
  <c r="I170" i="79" a="1"/>
  <c r="I170" i="79" s="1"/>
  <c r="J170" i="79" a="1"/>
  <c r="J170" i="79" s="1"/>
  <c r="K170" i="79" a="1"/>
  <c r="K170" i="79" s="1"/>
  <c r="L170" i="79" a="1"/>
  <c r="L170" i="79" s="1"/>
  <c r="M170" i="79" a="1"/>
  <c r="M170" i="79" s="1"/>
  <c r="D169" i="79" a="1"/>
  <c r="D169" i="79" s="1"/>
  <c r="E169" i="79" a="1"/>
  <c r="E169" i="79" s="1"/>
  <c r="F169" i="79" a="1"/>
  <c r="F169" i="79" s="1"/>
  <c r="G169" i="79" a="1"/>
  <c r="G169" i="79" s="1"/>
  <c r="H169" i="79" a="1"/>
  <c r="H169" i="79" s="1"/>
  <c r="I169" i="79" a="1"/>
  <c r="I169" i="79" s="1"/>
  <c r="J169" i="79" a="1"/>
  <c r="J169" i="79" s="1"/>
  <c r="K169" i="79" a="1"/>
  <c r="K169" i="79" s="1"/>
  <c r="L169" i="79" a="1"/>
  <c r="L169" i="79" s="1"/>
  <c r="M169" i="79" a="1"/>
  <c r="M169" i="79" s="1"/>
  <c r="D168" i="79" a="1"/>
  <c r="D168" i="79" s="1"/>
  <c r="E168" i="79" a="1"/>
  <c r="E168" i="79" s="1"/>
  <c r="F168" i="79" a="1"/>
  <c r="F168" i="79" s="1"/>
  <c r="G168" i="79" a="1"/>
  <c r="G168" i="79" s="1"/>
  <c r="H168" i="79" a="1"/>
  <c r="H168" i="79" s="1"/>
  <c r="I168" i="79" a="1"/>
  <c r="I168" i="79" s="1"/>
  <c r="J168" i="79" a="1"/>
  <c r="J168" i="79" s="1"/>
  <c r="K168" i="79" a="1"/>
  <c r="K168" i="79" s="1"/>
  <c r="L168" i="79" a="1"/>
  <c r="L168" i="79" s="1"/>
  <c r="M168" i="79" a="1"/>
  <c r="M168" i="79" s="1"/>
  <c r="D167" i="79" a="1"/>
  <c r="D167" i="79" s="1"/>
  <c r="E167" i="79" a="1"/>
  <c r="E167" i="79" s="1"/>
  <c r="F167" i="79" a="1"/>
  <c r="F167" i="79" s="1"/>
  <c r="G167" i="79" a="1"/>
  <c r="G167" i="79" s="1"/>
  <c r="H167" i="79" a="1"/>
  <c r="H167" i="79" s="1"/>
  <c r="I167" i="79" a="1"/>
  <c r="I167" i="79" s="1"/>
  <c r="J167" i="79" a="1"/>
  <c r="J167" i="79" s="1"/>
  <c r="K167" i="79" a="1"/>
  <c r="K167" i="79" s="1"/>
  <c r="L167" i="79" a="1"/>
  <c r="L167" i="79" s="1"/>
  <c r="M167" i="79" a="1"/>
  <c r="M167" i="79" s="1"/>
  <c r="D166" i="79" a="1"/>
  <c r="D166" i="79" s="1"/>
  <c r="E166" i="79" a="1"/>
  <c r="E166" i="79" s="1"/>
  <c r="F166" i="79" a="1"/>
  <c r="F166" i="79" s="1"/>
  <c r="G166" i="79" a="1"/>
  <c r="G166" i="79" s="1"/>
  <c r="H166" i="79" a="1"/>
  <c r="H166" i="79" s="1"/>
  <c r="I166" i="79" a="1"/>
  <c r="I166" i="79" s="1"/>
  <c r="J166" i="79" a="1"/>
  <c r="J166" i="79" s="1"/>
  <c r="K166" i="79" a="1"/>
  <c r="K166" i="79" s="1"/>
  <c r="L166" i="79" a="1"/>
  <c r="L166" i="79" s="1"/>
  <c r="M166" i="79" a="1"/>
  <c r="M166" i="79" s="1"/>
  <c r="D165" i="79" a="1"/>
  <c r="D165" i="79" s="1"/>
  <c r="E165" i="79" a="1"/>
  <c r="E165" i="79" s="1"/>
  <c r="F165" i="79" a="1"/>
  <c r="F165" i="79" s="1"/>
  <c r="G165" i="79" a="1"/>
  <c r="G165" i="79" s="1"/>
  <c r="H165" i="79" a="1"/>
  <c r="H165" i="79" s="1"/>
  <c r="I165" i="79" a="1"/>
  <c r="I165" i="79" s="1"/>
  <c r="J165" i="79" a="1"/>
  <c r="J165" i="79" s="1"/>
  <c r="K165" i="79" a="1"/>
  <c r="K165" i="79" s="1"/>
  <c r="L165" i="79" a="1"/>
  <c r="L165" i="79" s="1"/>
  <c r="M165" i="79" a="1"/>
  <c r="M165" i="79" s="1"/>
  <c r="D164" i="79" a="1"/>
  <c r="D164" i="79" s="1"/>
  <c r="E164" i="79" a="1"/>
  <c r="E164" i="79" s="1"/>
  <c r="F164" i="79" a="1"/>
  <c r="F164" i="79" s="1"/>
  <c r="G164" i="79" a="1"/>
  <c r="G164" i="79" s="1"/>
  <c r="H164" i="79" a="1"/>
  <c r="H164" i="79" s="1"/>
  <c r="I164" i="79" a="1"/>
  <c r="I164" i="79" s="1"/>
  <c r="J164" i="79" a="1"/>
  <c r="J164" i="79" s="1"/>
  <c r="K164" i="79" a="1"/>
  <c r="K164" i="79" s="1"/>
  <c r="L164" i="79" a="1"/>
  <c r="L164" i="79" s="1"/>
  <c r="M164" i="79" a="1"/>
  <c r="M164" i="79" s="1"/>
  <c r="D163" i="79" a="1"/>
  <c r="D163" i="79" s="1"/>
  <c r="E163" i="79" a="1"/>
  <c r="E163" i="79" s="1"/>
  <c r="F163" i="79" a="1"/>
  <c r="F163" i="79" s="1"/>
  <c r="G163" i="79" a="1"/>
  <c r="G163" i="79" s="1"/>
  <c r="H163" i="79" a="1"/>
  <c r="H163" i="79" s="1"/>
  <c r="I163" i="79" a="1"/>
  <c r="I163" i="79" s="1"/>
  <c r="J163" i="79" a="1"/>
  <c r="J163" i="79" s="1"/>
  <c r="K163" i="79" a="1"/>
  <c r="K163" i="79" s="1"/>
  <c r="L163" i="79" a="1"/>
  <c r="L163" i="79" s="1"/>
  <c r="M163" i="79" a="1"/>
  <c r="M163" i="79" s="1"/>
  <c r="D162" i="79" a="1"/>
  <c r="D162" i="79" s="1"/>
  <c r="E162" i="79" a="1"/>
  <c r="E162" i="79" s="1"/>
  <c r="F162" i="79" a="1"/>
  <c r="F162" i="79" s="1"/>
  <c r="G162" i="79" a="1"/>
  <c r="G162" i="79" s="1"/>
  <c r="H162" i="79" a="1"/>
  <c r="H162" i="79" s="1"/>
  <c r="I162" i="79" a="1"/>
  <c r="I162" i="79" s="1"/>
  <c r="J162" i="79" a="1"/>
  <c r="J162" i="79" s="1"/>
  <c r="K162" i="79" a="1"/>
  <c r="K162" i="79" s="1"/>
  <c r="L162" i="79" a="1"/>
  <c r="L162" i="79" s="1"/>
  <c r="M162" i="79" a="1"/>
  <c r="M162" i="79" s="1"/>
  <c r="D161" i="79" a="1"/>
  <c r="D161" i="79" s="1"/>
  <c r="E161" i="79" a="1"/>
  <c r="E161" i="79" s="1"/>
  <c r="F161" i="79" a="1"/>
  <c r="F161" i="79" s="1"/>
  <c r="G161" i="79" a="1"/>
  <c r="G161" i="79" s="1"/>
  <c r="H161" i="79" a="1"/>
  <c r="H161" i="79" s="1"/>
  <c r="I161" i="79" a="1"/>
  <c r="I161" i="79" s="1"/>
  <c r="J161" i="79" a="1"/>
  <c r="J161" i="79" s="1"/>
  <c r="K161" i="79" a="1"/>
  <c r="K161" i="79" s="1"/>
  <c r="L161" i="79" a="1"/>
  <c r="L161" i="79" s="1"/>
  <c r="M161" i="79" a="1"/>
  <c r="M161" i="79" s="1"/>
  <c r="D160" i="79" a="1"/>
  <c r="D160" i="79" s="1"/>
  <c r="E160" i="79" a="1"/>
  <c r="E160" i="79" s="1"/>
  <c r="F160" i="79" a="1"/>
  <c r="F160" i="79" s="1"/>
  <c r="G160" i="79" a="1"/>
  <c r="G160" i="79" s="1"/>
  <c r="H160" i="79" a="1"/>
  <c r="H160" i="79" s="1"/>
  <c r="I160" i="79" a="1"/>
  <c r="I160" i="79" s="1"/>
  <c r="J160" i="79" a="1"/>
  <c r="J160" i="79" s="1"/>
  <c r="K160" i="79" a="1"/>
  <c r="K160" i="79" s="1"/>
  <c r="L160" i="79" a="1"/>
  <c r="L160" i="79" s="1"/>
  <c r="M160" i="79" a="1"/>
  <c r="M160" i="79" s="1"/>
  <c r="D159" i="79" a="1"/>
  <c r="D159" i="79" s="1"/>
  <c r="E159" i="79" a="1"/>
  <c r="E159" i="79" s="1"/>
  <c r="F159" i="79" a="1"/>
  <c r="F159" i="79" s="1"/>
  <c r="G159" i="79" a="1"/>
  <c r="G159" i="79" s="1"/>
  <c r="H159" i="79" a="1"/>
  <c r="H159" i="79" s="1"/>
  <c r="I159" i="79" a="1"/>
  <c r="I159" i="79" s="1"/>
  <c r="J159" i="79" a="1"/>
  <c r="J159" i="79" s="1"/>
  <c r="K159" i="79" a="1"/>
  <c r="K159" i="79" s="1"/>
  <c r="L159" i="79" a="1"/>
  <c r="L159" i="79" s="1"/>
  <c r="M159" i="79" a="1"/>
  <c r="M159" i="79" s="1"/>
  <c r="D158" i="79" a="1"/>
  <c r="D158" i="79" s="1"/>
  <c r="E158" i="79" a="1"/>
  <c r="E158" i="79" s="1"/>
  <c r="F158" i="79" a="1"/>
  <c r="F158" i="79" s="1"/>
  <c r="G158" i="79" a="1"/>
  <c r="G158" i="79" s="1"/>
  <c r="H158" i="79" a="1"/>
  <c r="H158" i="79" s="1"/>
  <c r="I158" i="79" a="1"/>
  <c r="I158" i="79" s="1"/>
  <c r="J158" i="79" a="1"/>
  <c r="J158" i="79" s="1"/>
  <c r="K158" i="79" a="1"/>
  <c r="K158" i="79" s="1"/>
  <c r="L158" i="79" a="1"/>
  <c r="L158" i="79" s="1"/>
  <c r="M158" i="79" a="1"/>
  <c r="M158" i="79" s="1"/>
  <c r="D157" i="79" a="1"/>
  <c r="D157" i="79" s="1"/>
  <c r="E157" i="79" a="1"/>
  <c r="E157" i="79" s="1"/>
  <c r="F157" i="79" a="1"/>
  <c r="F157" i="79" s="1"/>
  <c r="G157" i="79" a="1"/>
  <c r="G157" i="79" s="1"/>
  <c r="H157" i="79" a="1"/>
  <c r="H157" i="79" s="1"/>
  <c r="I157" i="79" a="1"/>
  <c r="I157" i="79" s="1"/>
  <c r="J157" i="79" a="1"/>
  <c r="J157" i="79" s="1"/>
  <c r="K157" i="79" a="1"/>
  <c r="K157" i="79" s="1"/>
  <c r="L157" i="79" a="1"/>
  <c r="L157" i="79" s="1"/>
  <c r="M157" i="79" a="1"/>
  <c r="M157" i="79" s="1"/>
  <c r="D156" i="79" a="1"/>
  <c r="D156" i="79" s="1"/>
  <c r="E156" i="79" a="1"/>
  <c r="E156" i="79" s="1"/>
  <c r="F156" i="79" a="1"/>
  <c r="F156" i="79" s="1"/>
  <c r="G156" i="79" a="1"/>
  <c r="G156" i="79" s="1"/>
  <c r="H156" i="79" a="1"/>
  <c r="H156" i="79" s="1"/>
  <c r="I156" i="79" a="1"/>
  <c r="I156" i="79" s="1"/>
  <c r="J156" i="79" a="1"/>
  <c r="J156" i="79" s="1"/>
  <c r="K156" i="79" a="1"/>
  <c r="K156" i="79" s="1"/>
  <c r="L156" i="79" a="1"/>
  <c r="L156" i="79" s="1"/>
  <c r="M156" i="79" a="1"/>
  <c r="M156" i="79" s="1"/>
  <c r="D155" i="79" a="1"/>
  <c r="D155" i="79" s="1"/>
  <c r="E155" i="79" a="1"/>
  <c r="E155" i="79" s="1"/>
  <c r="F155" i="79" a="1"/>
  <c r="F155" i="79" s="1"/>
  <c r="G155" i="79" a="1"/>
  <c r="G155" i="79" s="1"/>
  <c r="H155" i="79" a="1"/>
  <c r="H155" i="79" s="1"/>
  <c r="I155" i="79" a="1"/>
  <c r="I155" i="79" s="1"/>
  <c r="J155" i="79" a="1"/>
  <c r="J155" i="79" s="1"/>
  <c r="K155" i="79" a="1"/>
  <c r="K155" i="79" s="1"/>
  <c r="L155" i="79" a="1"/>
  <c r="L155" i="79" s="1"/>
  <c r="M155" i="79" a="1"/>
  <c r="M155" i="79" s="1"/>
  <c r="D154" i="79" a="1"/>
  <c r="D154" i="79" s="1"/>
  <c r="E154" i="79" a="1"/>
  <c r="E154" i="79" s="1"/>
  <c r="F154" i="79" a="1"/>
  <c r="F154" i="79" s="1"/>
  <c r="G154" i="79" a="1"/>
  <c r="G154" i="79" s="1"/>
  <c r="H154" i="79" a="1"/>
  <c r="H154" i="79" s="1"/>
  <c r="I154" i="79" a="1"/>
  <c r="I154" i="79" s="1"/>
  <c r="J154" i="79" a="1"/>
  <c r="J154" i="79" s="1"/>
  <c r="K154" i="79" a="1"/>
  <c r="K154" i="79" s="1"/>
  <c r="L154" i="79" a="1"/>
  <c r="L154" i="79" s="1"/>
  <c r="M154" i="79" a="1"/>
  <c r="M154" i="79" s="1"/>
  <c r="M153" i="79" a="1"/>
  <c r="M153" i="79" s="1"/>
  <c r="L153" i="79" a="1"/>
  <c r="L153" i="79" s="1"/>
  <c r="K153" i="79" a="1"/>
  <c r="K153" i="79" s="1"/>
  <c r="J153" i="79" a="1"/>
  <c r="J153" i="79" s="1"/>
  <c r="I153" i="79" a="1"/>
  <c r="I153" i="79" s="1"/>
  <c r="H153" i="79" a="1"/>
  <c r="H153" i="79" s="1"/>
  <c r="G153" i="79" a="1"/>
  <c r="G153" i="79" s="1"/>
  <c r="F153" i="79" a="1"/>
  <c r="F153" i="79" s="1"/>
  <c r="E153" i="79" a="1"/>
  <c r="E153" i="79" s="1"/>
  <c r="D153" i="79" a="1"/>
  <c r="D153" i="79" s="1"/>
  <c r="D151" i="79" a="1"/>
  <c r="D151" i="79" s="1"/>
  <c r="D150" i="79" a="1"/>
  <c r="D150" i="79" s="1"/>
  <c r="D149" i="79" a="1"/>
  <c r="D149" i="79" s="1"/>
  <c r="D148" i="79" a="1"/>
  <c r="D148" i="79" s="1"/>
  <c r="D97" i="70"/>
  <c r="N97" i="70" s="1" a="1"/>
  <c r="N97" i="70" s="1"/>
  <c r="D96" i="70"/>
  <c r="L96" i="70" s="1" a="1"/>
  <c r="L96" i="70" s="1"/>
  <c r="D95" i="70"/>
  <c r="L95" i="70" s="1" a="1"/>
  <c r="L95" i="70" s="1"/>
  <c r="D94" i="70"/>
  <c r="K94" i="70" s="1" a="1"/>
  <c r="K94" i="70" s="1"/>
  <c r="D93" i="70"/>
  <c r="J93" i="70" s="1" a="1"/>
  <c r="J93" i="70" s="1"/>
  <c r="D92" i="70"/>
  <c r="I92" i="70" s="1" a="1"/>
  <c r="I92" i="70" s="1"/>
  <c r="D91" i="70"/>
  <c r="H91" i="70" s="1" a="1"/>
  <c r="H91" i="70" s="1"/>
  <c r="D90" i="70"/>
  <c r="H90" i="70" s="1" a="1"/>
  <c r="H90" i="70" s="1"/>
  <c r="D89" i="70"/>
  <c r="F89" i="70" s="1" a="1"/>
  <c r="F89" i="70" s="1"/>
  <c r="D88" i="70"/>
  <c r="F88" i="70" s="1" a="1"/>
  <c r="F88" i="70" s="1"/>
  <c r="D87" i="70"/>
  <c r="N87" i="70" s="1" a="1"/>
  <c r="N87" i="70" s="1"/>
  <c r="D86" i="70"/>
  <c r="N86" i="70" s="1" a="1"/>
  <c r="N86" i="70" s="1"/>
  <c r="E7" i="70"/>
  <c r="M83" i="70" s="1" a="1"/>
  <c r="M83" i="70" s="1"/>
  <c r="E224" i="93" a="1"/>
  <c r="E224" i="93" s="1"/>
  <c r="D224" i="93" a="1"/>
  <c r="D224" i="93" s="1"/>
  <c r="E223" i="93" a="1"/>
  <c r="E223" i="93" s="1"/>
  <c r="D223" i="93" a="1"/>
  <c r="D223" i="93" s="1"/>
  <c r="E222" i="93" a="1"/>
  <c r="E222" i="93" s="1"/>
  <c r="D222" i="93" a="1"/>
  <c r="D222" i="93" s="1"/>
  <c r="E221" i="93" a="1"/>
  <c r="E221" i="93" s="1"/>
  <c r="D221" i="93" a="1"/>
  <c r="D221" i="93" s="1"/>
  <c r="E220" i="93" a="1"/>
  <c r="E220" i="93" s="1"/>
  <c r="D220" i="93" a="1"/>
  <c r="D220" i="93" s="1"/>
  <c r="E219" i="93" a="1"/>
  <c r="E219" i="93" s="1"/>
  <c r="D219" i="93" a="1"/>
  <c r="D219" i="93" s="1"/>
  <c r="E218" i="93" a="1"/>
  <c r="E218" i="93" s="1"/>
  <c r="D218" i="93" a="1"/>
  <c r="D218" i="93" s="1"/>
  <c r="E217" i="93" a="1"/>
  <c r="E217" i="93" s="1"/>
  <c r="D217" i="93" a="1"/>
  <c r="D217" i="93" s="1"/>
  <c r="E216" i="93" a="1"/>
  <c r="E216" i="93" s="1"/>
  <c r="D216" i="93" a="1"/>
  <c r="D216" i="93" s="1"/>
  <c r="E215" i="93" a="1"/>
  <c r="E215" i="93" s="1"/>
  <c r="D215" i="93" a="1"/>
  <c r="D215" i="93" s="1"/>
  <c r="E214" i="93" a="1"/>
  <c r="E214" i="93" s="1"/>
  <c r="D214" i="93" a="1"/>
  <c r="D214" i="93" s="1"/>
  <c r="E213" i="93" a="1"/>
  <c r="E213" i="93" s="1"/>
  <c r="D213" i="93" a="1"/>
  <c r="D213" i="93" s="1"/>
  <c r="D211" i="93" a="1"/>
  <c r="D211" i="93" s="1"/>
  <c r="D81" i="79" a="1"/>
  <c r="D81" i="79" s="1"/>
  <c r="E81" i="79" a="1"/>
  <c r="E81" i="79" s="1"/>
  <c r="E145" i="79" s="1"/>
  <c r="F81" i="79" a="1"/>
  <c r="F81" i="79" s="1"/>
  <c r="F145"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5" i="70"/>
  <c r="D74" i="70"/>
  <c r="D73" i="70"/>
  <c r="D72" i="70"/>
  <c r="D71" i="70"/>
  <c r="D70" i="70"/>
  <c r="D69" i="70"/>
  <c r="D68" i="70"/>
  <c r="D67" i="70"/>
  <c r="D66" i="70"/>
  <c r="D65" i="70"/>
  <c r="D64" i="70"/>
  <c r="D53" i="70"/>
  <c r="D52" i="70"/>
  <c r="D51" i="70"/>
  <c r="D50" i="70"/>
  <c r="D49" i="70"/>
  <c r="D48" i="70"/>
  <c r="D47" i="70"/>
  <c r="D46" i="70"/>
  <c r="D45" i="70"/>
  <c r="D44" i="70"/>
  <c r="D43" i="70"/>
  <c r="D42" i="70"/>
  <c r="N31" i="70"/>
  <c r="N24" i="70"/>
  <c r="M31" i="70"/>
  <c r="L31" i="70"/>
  <c r="K31" i="70"/>
  <c r="G31" i="70"/>
  <c r="F31" i="70"/>
  <c r="M30" i="70"/>
  <c r="L30" i="70"/>
  <c r="H30" i="70"/>
  <c r="G30" i="70"/>
  <c r="F30" i="70"/>
  <c r="M29" i="70"/>
  <c r="I29" i="70"/>
  <c r="H29" i="70"/>
  <c r="G29" i="70"/>
  <c r="F29" i="70"/>
  <c r="I28" i="70"/>
  <c r="H28" i="70"/>
  <c r="G28" i="70"/>
  <c r="J27" i="70"/>
  <c r="I27" i="70"/>
  <c r="I26" i="70"/>
  <c r="M24" i="70"/>
  <c r="L24" i="70"/>
  <c r="K24" i="70"/>
  <c r="I24" i="70"/>
  <c r="H24" i="70"/>
  <c r="G24" i="70"/>
  <c r="F24" i="70"/>
  <c r="M23" i="70"/>
  <c r="L23" i="70"/>
  <c r="H23" i="70"/>
  <c r="G23" i="70"/>
  <c r="F23" i="70"/>
  <c r="M22" i="70"/>
  <c r="I22" i="70"/>
  <c r="H22" i="70"/>
  <c r="G22" i="70"/>
  <c r="F22" i="70"/>
  <c r="H21" i="70"/>
  <c r="G21" i="70"/>
  <c r="I20" i="70"/>
  <c r="E30" i="70"/>
  <c r="E29" i="70"/>
  <c r="E28" i="70"/>
  <c r="E27" i="70"/>
  <c r="E24" i="70"/>
  <c r="E23" i="70"/>
  <c r="E22" i="70"/>
  <c r="E21" i="70"/>
  <c r="D31" i="70"/>
  <c r="E31" i="70" s="1"/>
  <c r="D30" i="70"/>
  <c r="K30" i="70" s="1"/>
  <c r="D29" i="70"/>
  <c r="L29" i="70" s="1"/>
  <c r="D28" i="70"/>
  <c r="M28" i="70" s="1"/>
  <c r="D27" i="70"/>
  <c r="N27" i="70" s="1"/>
  <c r="D26" i="70"/>
  <c r="N26" i="70" s="1"/>
  <c r="D25" i="70"/>
  <c r="M25" i="70" s="1"/>
  <c r="D24" i="70"/>
  <c r="J24" i="70" s="1"/>
  <c r="D23" i="70"/>
  <c r="N23" i="70" s="1"/>
  <c r="D22" i="70"/>
  <c r="N22" i="70" s="1"/>
  <c r="D21" i="70"/>
  <c r="M21" i="70" s="1"/>
  <c r="D20" i="70"/>
  <c r="K20" i="70" s="1"/>
  <c r="D13" i="69" a="1"/>
  <c r="D13" i="69" s="1"/>
  <c r="E11" i="69" a="1"/>
  <c r="E11" i="69" s="1"/>
  <c r="E10" i="69" a="1"/>
  <c r="E10" i="69" s="1"/>
  <c r="D6" i="69" a="1"/>
  <c r="D6" i="69" s="1"/>
  <c r="D5" i="69" a="1"/>
  <c r="D5" i="69" s="1"/>
  <c r="E45" i="69" a="1"/>
  <c r="E45" i="69" s="1"/>
  <c r="D52" i="69" a="1"/>
  <c r="D52" i="69" s="1"/>
  <c r="E50" i="69" a="1"/>
  <c r="E50" i="69" s="1"/>
  <c r="E49" i="69" a="1"/>
  <c r="E49" i="69" s="1"/>
  <c r="D44" i="69" a="1"/>
  <c r="D44" i="69" s="1"/>
  <c r="D43" i="69" a="1"/>
  <c r="D43" i="69" s="1"/>
  <c r="E50" i="76"/>
  <c r="D50" i="76"/>
  <c r="A11" i="76"/>
  <c r="A11" i="70"/>
  <c r="A11" i="15"/>
  <c r="A11" i="13"/>
  <c r="H9" i="13"/>
  <c r="G9" i="13"/>
  <c r="F9" i="13"/>
  <c r="E9" i="13"/>
  <c r="J8" i="13"/>
  <c r="I8" i="13"/>
  <c r="H8" i="13"/>
  <c r="G8" i="13"/>
  <c r="F8" i="13"/>
  <c r="E8" i="13"/>
  <c r="J7" i="13"/>
  <c r="I7" i="13"/>
  <c r="H7" i="13"/>
  <c r="G7" i="13"/>
  <c r="F7" i="13"/>
  <c r="E7" i="13"/>
  <c r="A8" i="70"/>
  <c r="A21" i="15"/>
  <c r="A8" i="15"/>
  <c r="A21" i="13"/>
  <c r="A8" i="13"/>
  <c r="A24" i="43"/>
  <c r="A23" i="43"/>
  <c r="A22" i="43"/>
  <c r="A21" i="43"/>
  <c r="A18" i="43"/>
  <c r="A17" i="43"/>
  <c r="A16" i="43"/>
  <c r="A15" i="43"/>
  <c r="A14" i="43"/>
  <c r="A13" i="43"/>
  <c r="A12" i="43"/>
  <c r="A11" i="43"/>
  <c r="A8" i="43"/>
  <c r="A7" i="43"/>
  <c r="A4" i="43"/>
  <c r="A3" i="43"/>
  <c r="A24" i="93"/>
  <c r="A23" i="93"/>
  <c r="A22" i="93"/>
  <c r="A21" i="93"/>
  <c r="A18" i="93"/>
  <c r="A17" i="93"/>
  <c r="A16" i="93"/>
  <c r="A15" i="93"/>
  <c r="A14" i="93"/>
  <c r="A13" i="93"/>
  <c r="A12" i="93"/>
  <c r="A11" i="93"/>
  <c r="A8" i="93"/>
  <c r="A7" i="93"/>
  <c r="A4" i="93"/>
  <c r="A3" i="93"/>
  <c r="A24" i="79"/>
  <c r="A23" i="79"/>
  <c r="A22" i="79"/>
  <c r="A21" i="79"/>
  <c r="A18" i="79"/>
  <c r="A17" i="79"/>
  <c r="A16" i="79"/>
  <c r="A15" i="79"/>
  <c r="A14" i="79"/>
  <c r="A13" i="79"/>
  <c r="A12" i="79"/>
  <c r="A11" i="79"/>
  <c r="A8" i="79"/>
  <c r="A7" i="79"/>
  <c r="A4" i="79"/>
  <c r="A3" i="79"/>
  <c r="A24" i="98"/>
  <c r="A23" i="98"/>
  <c r="A22" i="98"/>
  <c r="A21" i="98"/>
  <c r="A18" i="98"/>
  <c r="A17" i="98"/>
  <c r="A16" i="98"/>
  <c r="A15" i="98"/>
  <c r="A14" i="98"/>
  <c r="A13" i="98"/>
  <c r="A12" i="98"/>
  <c r="A11" i="98"/>
  <c r="A8" i="98"/>
  <c r="A7" i="98"/>
  <c r="A4" i="98"/>
  <c r="A3" i="98"/>
  <c r="A24" i="97"/>
  <c r="A23" i="97"/>
  <c r="A22" i="97"/>
  <c r="A21" i="97"/>
  <c r="A18" i="97"/>
  <c r="A17" i="97"/>
  <c r="A16" i="97"/>
  <c r="A15" i="97"/>
  <c r="A14" i="97"/>
  <c r="A13" i="97"/>
  <c r="A12" i="97"/>
  <c r="A11" i="97"/>
  <c r="A8" i="97"/>
  <c r="A7" i="97"/>
  <c r="A4" i="97"/>
  <c r="A3" i="97"/>
  <c r="A24" i="96"/>
  <c r="A23" i="96"/>
  <c r="A22" i="96"/>
  <c r="A21" i="96"/>
  <c r="A18" i="96"/>
  <c r="A17" i="96"/>
  <c r="A16" i="96"/>
  <c r="A15" i="96"/>
  <c r="A14" i="96"/>
  <c r="A13" i="96"/>
  <c r="A12" i="96"/>
  <c r="A11" i="96"/>
  <c r="A8" i="96"/>
  <c r="A7" i="96"/>
  <c r="A4" i="96"/>
  <c r="A3" i="96"/>
  <c r="A24" i="81"/>
  <c r="A23" i="81"/>
  <c r="A22" i="81"/>
  <c r="A21" i="81"/>
  <c r="A18" i="81"/>
  <c r="A17" i="81"/>
  <c r="A16" i="81"/>
  <c r="A15" i="81"/>
  <c r="A14" i="81"/>
  <c r="A13" i="81"/>
  <c r="A12" i="81"/>
  <c r="A11" i="81"/>
  <c r="A8" i="81"/>
  <c r="A7" i="81"/>
  <c r="A4" i="81"/>
  <c r="A3" i="81"/>
  <c r="A24" i="95"/>
  <c r="A23" i="95"/>
  <c r="A22" i="95"/>
  <c r="A21" i="95"/>
  <c r="A18" i="95"/>
  <c r="A17" i="95"/>
  <c r="A16" i="95"/>
  <c r="A15" i="95"/>
  <c r="A14" i="95"/>
  <c r="A13" i="95"/>
  <c r="A12" i="95"/>
  <c r="A11" i="95"/>
  <c r="A8" i="95"/>
  <c r="A7" i="95"/>
  <c r="A4" i="95"/>
  <c r="A3" i="95"/>
  <c r="A24" i="82"/>
  <c r="A23" i="82"/>
  <c r="A22" i="82"/>
  <c r="A21" i="82"/>
  <c r="A18" i="82"/>
  <c r="A17" i="82"/>
  <c r="A16" i="82"/>
  <c r="A15" i="82"/>
  <c r="A14" i="82"/>
  <c r="A13" i="82"/>
  <c r="A12" i="82"/>
  <c r="A11" i="82"/>
  <c r="A8" i="82"/>
  <c r="A7" i="82"/>
  <c r="A4" i="82"/>
  <c r="A3" i="82"/>
  <c r="A24" i="76"/>
  <c r="A23" i="76"/>
  <c r="A22" i="76"/>
  <c r="A21" i="76"/>
  <c r="A18" i="76"/>
  <c r="A17" i="76"/>
  <c r="A16" i="76"/>
  <c r="A15" i="76"/>
  <c r="A14" i="76"/>
  <c r="A13" i="76"/>
  <c r="A12" i="76"/>
  <c r="A8" i="76"/>
  <c r="A7" i="76"/>
  <c r="A4" i="76"/>
  <c r="A3" i="76"/>
  <c r="A24" i="70"/>
  <c r="A23" i="70"/>
  <c r="A22" i="70"/>
  <c r="A21" i="70"/>
  <c r="A18" i="70"/>
  <c r="A17" i="70"/>
  <c r="A16" i="70"/>
  <c r="A15" i="70"/>
  <c r="A14" i="70"/>
  <c r="A13" i="70"/>
  <c r="A12" i="70"/>
  <c r="A7" i="70"/>
  <c r="A4" i="70"/>
  <c r="A3" i="70"/>
  <c r="A24" i="15"/>
  <c r="A23" i="15"/>
  <c r="A22" i="15"/>
  <c r="A18" i="15"/>
  <c r="A17" i="15"/>
  <c r="A16" i="15"/>
  <c r="A15" i="15"/>
  <c r="A14" i="15"/>
  <c r="A13" i="15"/>
  <c r="A12" i="15"/>
  <c r="A7" i="15"/>
  <c r="A4" i="15"/>
  <c r="A3" i="15"/>
  <c r="A18" i="13"/>
  <c r="A17" i="13"/>
  <c r="A16" i="13"/>
  <c r="A14" i="13"/>
  <c r="A15" i="13"/>
  <c r="A13" i="13"/>
  <c r="A12" i="13"/>
  <c r="P43" i="98"/>
  <c r="O43" i="98"/>
  <c r="P38" i="97"/>
  <c r="O38" i="97"/>
  <c r="P61" i="82"/>
  <c r="O61" i="82"/>
  <c r="Q49" i="82"/>
  <c r="F49" i="82"/>
  <c r="Q26" i="97"/>
  <c r="F26" i="97"/>
  <c r="Q30" i="98"/>
  <c r="F30" i="98"/>
  <c r="J14" i="13"/>
  <c r="J13" i="13"/>
  <c r="J12" i="13"/>
  <c r="G12" i="13"/>
  <c r="Q52" i="98" a="1"/>
  <c r="Q52" i="98" s="1"/>
  <c r="O49" i="98" a="1"/>
  <c r="O49" i="98" s="1"/>
  <c r="Q47" i="98"/>
  <c r="F47" i="98"/>
  <c r="G14" i="13" s="1"/>
  <c r="F52" i="98" a="1"/>
  <c r="F52" i="98" s="1"/>
  <c r="D49" i="98" a="1"/>
  <c r="D49" i="98" s="1"/>
  <c r="D35" i="98" a="1"/>
  <c r="D35" i="98" s="1"/>
  <c r="H44" i="98"/>
  <c r="D43" i="98" a="1"/>
  <c r="D43" i="98" s="1"/>
  <c r="E41" i="98" a="1"/>
  <c r="E41" i="98" s="1"/>
  <c r="E40" i="98" a="1"/>
  <c r="E40" i="98"/>
  <c r="D36" i="98" a="1"/>
  <c r="D36" i="98" s="1"/>
  <c r="V28" i="98"/>
  <c r="P28" i="98"/>
  <c r="O28" i="98"/>
  <c r="K28" i="98"/>
  <c r="E28" i="98"/>
  <c r="D28" i="98"/>
  <c r="H18" i="98"/>
  <c r="H17" i="98"/>
  <c r="H16" i="98"/>
  <c r="H15" i="98"/>
  <c r="H13" i="98"/>
  <c r="P23" i="98"/>
  <c r="O23" i="98"/>
  <c r="E23" i="98"/>
  <c r="D23" i="98"/>
  <c r="D13" i="98" a="1"/>
  <c r="D13" i="98" s="1"/>
  <c r="E11" i="98" a="1"/>
  <c r="E11" i="98" s="1"/>
  <c r="V23" i="98" s="1"/>
  <c r="E10" i="98" a="1"/>
  <c r="E10" i="98" s="1"/>
  <c r="D6" i="98" a="1"/>
  <c r="D6" i="98" s="1"/>
  <c r="D5" i="98" a="1"/>
  <c r="D5" i="98" s="1"/>
  <c r="Q50" i="97" a="1"/>
  <c r="Q50" i="97" s="1"/>
  <c r="O47" i="97" a="1"/>
  <c r="O47" i="97" s="1"/>
  <c r="Q45" i="97"/>
  <c r="F50" i="97" a="1"/>
  <c r="F50" i="97" s="1"/>
  <c r="D47" i="97" a="1"/>
  <c r="D47" i="97" s="1"/>
  <c r="H42" i="97"/>
  <c r="H41" i="97"/>
  <c r="D38" i="97" a="1"/>
  <c r="D38" i="97" s="1"/>
  <c r="E36" i="97" a="1"/>
  <c r="E36" i="97" s="1"/>
  <c r="F45" i="97" s="1"/>
  <c r="G13" i="13" s="1"/>
  <c r="E35" i="97" a="1"/>
  <c r="E35" i="97" s="1"/>
  <c r="D31" i="97" a="1"/>
  <c r="D31" i="97" s="1"/>
  <c r="D30" i="97" a="1"/>
  <c r="D30" i="97" s="1"/>
  <c r="O24" i="97"/>
  <c r="D24" i="97"/>
  <c r="H14" i="97"/>
  <c r="H13" i="97"/>
  <c r="O19" i="97"/>
  <c r="D19" i="97"/>
  <c r="D13" i="97" a="1"/>
  <c r="D13" i="97" s="1"/>
  <c r="E11" i="97" a="1"/>
  <c r="E11" i="97" s="1"/>
  <c r="V19" i="97" s="1"/>
  <c r="E10" i="97" a="1"/>
  <c r="E10" i="97" s="1"/>
  <c r="D6" i="97" a="1"/>
  <c r="D6" i="97" s="1"/>
  <c r="D5" i="97" a="1"/>
  <c r="D5" i="97" s="1"/>
  <c r="Q58" i="96" a="1"/>
  <c r="Q58" i="96" s="1"/>
  <c r="O55" i="96" a="1"/>
  <c r="O55" i="96" s="1"/>
  <c r="F58" i="96" a="1"/>
  <c r="F58" i="96" s="1"/>
  <c r="D55" i="96" a="1"/>
  <c r="D55" i="96" s="1"/>
  <c r="O51" i="96"/>
  <c r="D51" i="96"/>
  <c r="D35" i="96" a="1"/>
  <c r="D35" i="96" s="1"/>
  <c r="D36" i="96" a="1"/>
  <c r="D36" i="96" s="1"/>
  <c r="E208" i="93" a="1"/>
  <c r="E208" i="93" s="1"/>
  <c r="D208" i="93" a="1"/>
  <c r="D208" i="93" s="1"/>
  <c r="E207" i="93" a="1"/>
  <c r="E207" i="93" s="1"/>
  <c r="D207" i="93" a="1"/>
  <c r="D207" i="93" s="1"/>
  <c r="D205" i="93" a="1"/>
  <c r="D205" i="93" s="1"/>
  <c r="D204" i="93" a="1"/>
  <c r="D204" i="93" s="1"/>
  <c r="D203" i="93" a="1"/>
  <c r="D203" i="93" s="1"/>
  <c r="D202" i="93" a="1"/>
  <c r="D202" i="93" s="1"/>
  <c r="H43" i="96"/>
  <c r="G13" i="96"/>
  <c r="O31" i="96"/>
  <c r="D31" i="96"/>
  <c r="O25" i="96"/>
  <c r="D25" i="96"/>
  <c r="G14" i="96"/>
  <c r="D13" i="96" a="1"/>
  <c r="D13" i="96" s="1"/>
  <c r="E11" i="96" a="1"/>
  <c r="E11" i="96" s="1"/>
  <c r="K31" i="96" s="1"/>
  <c r="E10" i="96" a="1"/>
  <c r="E10" i="96" s="1"/>
  <c r="D6" i="96" a="1"/>
  <c r="D6" i="96" s="1"/>
  <c r="D5" i="96" a="1"/>
  <c r="D5" i="96" s="1"/>
  <c r="D43" i="96" a="1"/>
  <c r="D43" i="96" s="1"/>
  <c r="E41" i="96" a="1"/>
  <c r="E41" i="96" s="1"/>
  <c r="Q53" i="96" s="1"/>
  <c r="E40" i="96" a="1"/>
  <c r="E40" i="96" s="1"/>
  <c r="O194" i="81"/>
  <c r="O193" i="81"/>
  <c r="O192" i="81"/>
  <c r="O191" i="81"/>
  <c r="O190" i="81"/>
  <c r="O189" i="81"/>
  <c r="O188" i="81"/>
  <c r="O187" i="81"/>
  <c r="D194" i="81"/>
  <c r="D193" i="81"/>
  <c r="D192" i="81"/>
  <c r="D191" i="81"/>
  <c r="D190" i="81"/>
  <c r="D189" i="81"/>
  <c r="D188" i="81"/>
  <c r="D187" i="81"/>
  <c r="J182" i="81"/>
  <c r="I182" i="81"/>
  <c r="H182" i="81"/>
  <c r="G182" i="81"/>
  <c r="F182" i="81"/>
  <c r="J181" i="81"/>
  <c r="I181" i="81"/>
  <c r="H181" i="81"/>
  <c r="G181" i="81"/>
  <c r="F181" i="81"/>
  <c r="J180" i="81"/>
  <c r="I180" i="81"/>
  <c r="H180" i="81"/>
  <c r="G180" i="81"/>
  <c r="F180" i="81"/>
  <c r="J179" i="81"/>
  <c r="I179" i="81"/>
  <c r="H179" i="81"/>
  <c r="G179" i="81"/>
  <c r="F179" i="81"/>
  <c r="J178" i="81"/>
  <c r="I178" i="81"/>
  <c r="H178" i="81"/>
  <c r="G178" i="81"/>
  <c r="F178" i="81"/>
  <c r="J177" i="81"/>
  <c r="I177" i="81"/>
  <c r="H177" i="81"/>
  <c r="G177" i="81"/>
  <c r="F177" i="81"/>
  <c r="J176" i="81"/>
  <c r="I176" i="81"/>
  <c r="H176" i="81"/>
  <c r="G176" i="81"/>
  <c r="F176" i="81"/>
  <c r="J175" i="81"/>
  <c r="I175" i="81"/>
  <c r="H175" i="81"/>
  <c r="G175" i="81"/>
  <c r="F175" i="81"/>
  <c r="D182" i="81"/>
  <c r="D181" i="81"/>
  <c r="D180" i="81"/>
  <c r="D179" i="81"/>
  <c r="D178" i="81"/>
  <c r="D177" i="81"/>
  <c r="D176" i="81"/>
  <c r="D175" i="81"/>
  <c r="O164" i="81"/>
  <c r="O163" i="81"/>
  <c r="O162" i="81"/>
  <c r="O161" i="81"/>
  <c r="O160" i="81"/>
  <c r="O159" i="81"/>
  <c r="O158" i="81"/>
  <c r="O157" i="81"/>
  <c r="J151" i="81"/>
  <c r="I151" i="81"/>
  <c r="H151" i="81"/>
  <c r="G151" i="81"/>
  <c r="K128" i="81"/>
  <c r="K163" i="81"/>
  <c r="D164" i="81"/>
  <c r="D163" i="81"/>
  <c r="D162" i="81"/>
  <c r="D161" i="81"/>
  <c r="D160" i="81"/>
  <c r="D159" i="81"/>
  <c r="D158" i="81"/>
  <c r="D157" i="81"/>
  <c r="J152" i="81"/>
  <c r="I152" i="81"/>
  <c r="H152" i="81"/>
  <c r="G152" i="81"/>
  <c r="F152" i="81"/>
  <c r="D223" i="70"/>
  <c r="D247" i="70"/>
  <c r="F151" i="81"/>
  <c r="J150" i="81"/>
  <c r="I150" i="81"/>
  <c r="H150" i="81"/>
  <c r="G150" i="81"/>
  <c r="F150" i="81"/>
  <c r="J149" i="81"/>
  <c r="I149" i="81"/>
  <c r="H149" i="81"/>
  <c r="G149" i="81"/>
  <c r="F149" i="81"/>
  <c r="J148" i="81"/>
  <c r="I148" i="81"/>
  <c r="H148" i="81"/>
  <c r="G148" i="81"/>
  <c r="F148" i="81"/>
  <c r="J147" i="81"/>
  <c r="I147" i="81"/>
  <c r="H147" i="81"/>
  <c r="G147" i="81"/>
  <c r="F147" i="81"/>
  <c r="J146" i="81"/>
  <c r="I146" i="81"/>
  <c r="H146" i="81"/>
  <c r="G146" i="81"/>
  <c r="F146" i="81"/>
  <c r="J145" i="81"/>
  <c r="I145" i="81"/>
  <c r="H145" i="81"/>
  <c r="G145" i="81"/>
  <c r="F145" i="81"/>
  <c r="D152" i="81"/>
  <c r="D151" i="81"/>
  <c r="D150" i="81"/>
  <c r="D149" i="81"/>
  <c r="D148" i="81"/>
  <c r="D147" i="81"/>
  <c r="D146" i="81"/>
  <c r="D145" i="81"/>
  <c r="D136" i="81"/>
  <c r="O130" i="81"/>
  <c r="O129" i="81"/>
  <c r="O128" i="81"/>
  <c r="O127" i="81"/>
  <c r="O126" i="81"/>
  <c r="O125" i="81"/>
  <c r="O124" i="81"/>
  <c r="O123" i="81"/>
  <c r="D130" i="81"/>
  <c r="D129" i="81"/>
  <c r="D128" i="81"/>
  <c r="D127" i="81"/>
  <c r="D126" i="81"/>
  <c r="D125" i="81"/>
  <c r="D124" i="81"/>
  <c r="D123" i="81"/>
  <c r="H118" i="81"/>
  <c r="H117" i="81"/>
  <c r="H116" i="81"/>
  <c r="H115" i="81"/>
  <c r="H114" i="81"/>
  <c r="D114" i="81" a="1"/>
  <c r="D114" i="81" s="1"/>
  <c r="E112" i="81" a="1"/>
  <c r="E112" i="81" s="1"/>
  <c r="V163" i="81" s="1"/>
  <c r="E111" i="81" a="1"/>
  <c r="E111" i="81" s="1"/>
  <c r="D107" i="81" a="1"/>
  <c r="D107" i="81" s="1"/>
  <c r="D106" i="81" a="1"/>
  <c r="D106" i="81" s="1"/>
  <c r="O100" i="81"/>
  <c r="O99" i="81"/>
  <c r="O98" i="81"/>
  <c r="O97" i="81"/>
  <c r="O96" i="81"/>
  <c r="O95" i="81"/>
  <c r="O94" i="81"/>
  <c r="O93" i="81"/>
  <c r="D100" i="81"/>
  <c r="D99" i="81"/>
  <c r="D98" i="81"/>
  <c r="D97" i="81"/>
  <c r="D96" i="81"/>
  <c r="D95" i="81"/>
  <c r="D94" i="81"/>
  <c r="D93" i="81"/>
  <c r="G58" i="81"/>
  <c r="D88" i="81"/>
  <c r="D87" i="81"/>
  <c r="D86" i="81"/>
  <c r="D85" i="81"/>
  <c r="D84" i="81"/>
  <c r="D83" i="81"/>
  <c r="D82" i="81"/>
  <c r="D81" i="81"/>
  <c r="G56" i="81"/>
  <c r="G57" i="81"/>
  <c r="G55" i="81"/>
  <c r="G54" i="81"/>
  <c r="O42" i="81"/>
  <c r="O41" i="81"/>
  <c r="O40" i="81"/>
  <c r="O39" i="81"/>
  <c r="O38" i="81"/>
  <c r="O37" i="81"/>
  <c r="O36" i="81"/>
  <c r="O35" i="81"/>
  <c r="D6" i="81" a="1"/>
  <c r="D6" i="81" s="1"/>
  <c r="D42" i="81"/>
  <c r="D41" i="81"/>
  <c r="D40" i="81"/>
  <c r="D39" i="81"/>
  <c r="D38" i="81"/>
  <c r="D37" i="81"/>
  <c r="D36" i="81"/>
  <c r="D35" i="81"/>
  <c r="H13" i="81"/>
  <c r="H18" i="81"/>
  <c r="H17" i="81"/>
  <c r="H16" i="81"/>
  <c r="D13" i="81" a="1"/>
  <c r="D13" i="81" s="1"/>
  <c r="E11" i="81" a="1"/>
  <c r="E11" i="81" s="1"/>
  <c r="K86" i="81" s="1"/>
  <c r="E10" i="81" a="1"/>
  <c r="E10" i="81" s="1"/>
  <c r="D5" i="81" a="1"/>
  <c r="D5" i="81" s="1"/>
  <c r="O30" i="81"/>
  <c r="D30" i="81"/>
  <c r="O29" i="81"/>
  <c r="D29" i="81"/>
  <c r="O28" i="81"/>
  <c r="D28" i="81"/>
  <c r="O27" i="81"/>
  <c r="D27" i="81"/>
  <c r="O26" i="81"/>
  <c r="D26" i="81"/>
  <c r="O25" i="81"/>
  <c r="D25" i="81"/>
  <c r="O24" i="81"/>
  <c r="D24" i="81"/>
  <c r="O23" i="81"/>
  <c r="D23" i="81"/>
  <c r="D54" i="81" a="1"/>
  <c r="D54" i="81" s="1"/>
  <c r="E52" i="81" a="1"/>
  <c r="E52" i="81" s="1"/>
  <c r="V95" i="81" s="1"/>
  <c r="E51" i="81" a="1"/>
  <c r="E51" i="81" s="1"/>
  <c r="D47" i="81" a="1"/>
  <c r="D47" i="81" s="1"/>
  <c r="D46" i="81" a="1"/>
  <c r="D46" i="81" s="1"/>
  <c r="H15" i="95"/>
  <c r="G43" i="95"/>
  <c r="Q57" i="95" a="1"/>
  <c r="Q57" i="95" s="1"/>
  <c r="O54" i="95" a="1"/>
  <c r="O54" i="95" s="1"/>
  <c r="F57" i="95" a="1"/>
  <c r="F57" i="95" s="1"/>
  <c r="J10" i="13" s="1"/>
  <c r="D54" i="95" a="1"/>
  <c r="D54" i="95" s="1"/>
  <c r="V50" i="95"/>
  <c r="O50" i="95"/>
  <c r="O49" i="95"/>
  <c r="D50" i="95"/>
  <c r="D49" i="95"/>
  <c r="G42" i="95"/>
  <c r="E40" i="95" a="1"/>
  <c r="E40" i="95" s="1"/>
  <c r="K49" i="95" s="1"/>
  <c r="E39" i="95" a="1"/>
  <c r="E39" i="95" s="1"/>
  <c r="D35" i="95" a="1"/>
  <c r="D35" i="95" s="1"/>
  <c r="D42" i="95" a="1"/>
  <c r="D42" i="95" s="1"/>
  <c r="D34" i="95" a="1"/>
  <c r="D34" i="95" s="1"/>
  <c r="O30" i="95"/>
  <c r="O29" i="95"/>
  <c r="O24" i="95"/>
  <c r="O23" i="95"/>
  <c r="D30" i="95"/>
  <c r="D29" i="95"/>
  <c r="D24" i="95"/>
  <c r="D23" i="95"/>
  <c r="E147" i="93" a="1"/>
  <c r="E147" i="93" s="1"/>
  <c r="D147" i="93" a="1"/>
  <c r="D147" i="93" s="1"/>
  <c r="E146" i="93" a="1"/>
  <c r="E146" i="93" s="1"/>
  <c r="D146" i="93" a="1"/>
  <c r="D146" i="93" s="1"/>
  <c r="E145" i="93" a="1"/>
  <c r="E145" i="93" s="1"/>
  <c r="D145" i="93" a="1"/>
  <c r="D145" i="93" s="1"/>
  <c r="E144" i="93" a="1"/>
  <c r="E144" i="93" s="1"/>
  <c r="D144" i="93" a="1"/>
  <c r="D144" i="93" s="1"/>
  <c r="E143" i="93" a="1"/>
  <c r="E143" i="93" s="1"/>
  <c r="D143" i="93" a="1"/>
  <c r="D143" i="93" s="1"/>
  <c r="D141" i="93" a="1"/>
  <c r="D141" i="93" s="1"/>
  <c r="D140" i="93" a="1"/>
  <c r="D140" i="93" s="1"/>
  <c r="D139" i="93" a="1"/>
  <c r="D139" i="93" s="1"/>
  <c r="E55" i="82" a="1"/>
  <c r="E37" i="98" a="1"/>
  <c r="E32" i="97" a="1"/>
  <c r="E7" i="98" a="1"/>
  <c r="E7" i="97" a="1"/>
  <c r="E37" i="96" a="1"/>
  <c r="E7" i="96" a="1"/>
  <c r="E108" i="81" a="1"/>
  <c r="E48" i="81" a="1"/>
  <c r="E7" i="81" a="1"/>
  <c r="E36" i="95" a="1"/>
  <c r="E7" i="95" a="1"/>
  <c r="F26" i="70" l="1"/>
  <c r="L27" i="70"/>
  <c r="J29" i="70"/>
  <c r="H31" i="70"/>
  <c r="N28" i="70"/>
  <c r="H80" i="70" a="1"/>
  <c r="H80" i="70" s="1"/>
  <c r="K81" i="70" a="1"/>
  <c r="K81" i="70" s="1"/>
  <c r="M82" i="70" a="1"/>
  <c r="M82" i="70" s="1"/>
  <c r="E86" i="70" a="1"/>
  <c r="E86" i="70" s="1"/>
  <c r="E87" i="70" a="1"/>
  <c r="E87" i="70" s="1"/>
  <c r="G88" i="70" a="1"/>
  <c r="G88" i="70" s="1"/>
  <c r="G89" i="70" a="1"/>
  <c r="G89" i="70" s="1"/>
  <c r="I91" i="70" a="1"/>
  <c r="I91" i="70" s="1"/>
  <c r="J92" i="70" a="1"/>
  <c r="J92" i="70" s="1"/>
  <c r="K93" i="70" a="1"/>
  <c r="K93" i="70" s="1"/>
  <c r="M95" i="70" a="1"/>
  <c r="M95" i="70" s="1"/>
  <c r="M96" i="70" a="1"/>
  <c r="M96" i="70" s="1"/>
  <c r="G26" i="70"/>
  <c r="M27" i="70"/>
  <c r="K29" i="70"/>
  <c r="I31" i="70"/>
  <c r="N29" i="70"/>
  <c r="I80" i="70" a="1"/>
  <c r="I80" i="70" s="1"/>
  <c r="N82" i="70" a="1"/>
  <c r="N82" i="70" s="1"/>
  <c r="F86" i="70" a="1"/>
  <c r="F86" i="70" s="1"/>
  <c r="F87" i="70" a="1"/>
  <c r="F87" i="70" s="1"/>
  <c r="H89" i="70" a="1"/>
  <c r="H89" i="70" s="1"/>
  <c r="I90" i="70" a="1"/>
  <c r="I90" i="70" s="1"/>
  <c r="J91" i="70" a="1"/>
  <c r="J91" i="70" s="1"/>
  <c r="L93" i="70" a="1"/>
  <c r="L93" i="70" s="1"/>
  <c r="L94" i="70" a="1"/>
  <c r="L94" i="70" s="1"/>
  <c r="N95" i="70" a="1"/>
  <c r="N95" i="70" s="1"/>
  <c r="N96" i="70" a="1"/>
  <c r="N96" i="70" s="1"/>
  <c r="K25" i="70"/>
  <c r="L20" i="70"/>
  <c r="J22" i="70"/>
  <c r="E25" i="70"/>
  <c r="M20" i="70"/>
  <c r="K22" i="70"/>
  <c r="E26" i="70"/>
  <c r="F21" i="70"/>
  <c r="L22" i="70"/>
  <c r="H26" i="70"/>
  <c r="F28" i="70"/>
  <c r="J31" i="70"/>
  <c r="N30" i="70"/>
  <c r="J80" i="70" a="1"/>
  <c r="J80" i="70" s="1"/>
  <c r="L81" i="70" a="1"/>
  <c r="L81" i="70" s="1"/>
  <c r="E83" i="70" a="1"/>
  <c r="E83" i="70" s="1"/>
  <c r="G87" i="70" a="1"/>
  <c r="G87" i="70" s="1"/>
  <c r="H88" i="70" a="1"/>
  <c r="H88" i="70" s="1"/>
  <c r="I89" i="70" a="1"/>
  <c r="I89" i="70" s="1"/>
  <c r="K91" i="70" a="1"/>
  <c r="K91" i="70" s="1"/>
  <c r="K92" i="70" a="1"/>
  <c r="K92" i="70" s="1"/>
  <c r="M93" i="70" a="1"/>
  <c r="M93" i="70" s="1"/>
  <c r="M94" i="70" a="1"/>
  <c r="M94" i="70" s="1"/>
  <c r="E97" i="70" a="1"/>
  <c r="E97" i="70" s="1"/>
  <c r="K80" i="70" a="1"/>
  <c r="K80" i="70" s="1"/>
  <c r="M81" i="70" a="1"/>
  <c r="M81" i="70" s="1"/>
  <c r="G86" i="70" a="1"/>
  <c r="G86" i="70" s="1"/>
  <c r="H87" i="70" a="1"/>
  <c r="H87" i="70" s="1"/>
  <c r="J89" i="70" a="1"/>
  <c r="J89" i="70" s="1"/>
  <c r="J90" i="70" a="1"/>
  <c r="J90" i="70" s="1"/>
  <c r="L91" i="70" a="1"/>
  <c r="L91" i="70" s="1"/>
  <c r="L92" i="70" a="1"/>
  <c r="L92" i="70" s="1"/>
  <c r="N94" i="70" a="1"/>
  <c r="N94" i="70" s="1"/>
  <c r="E96" i="70" a="1"/>
  <c r="E96" i="70" s="1"/>
  <c r="F97" i="70" a="1"/>
  <c r="F97" i="70" s="1"/>
  <c r="J26" i="70"/>
  <c r="L80" i="70" a="1"/>
  <c r="L80" i="70" s="1"/>
  <c r="N81" i="70" a="1"/>
  <c r="N81" i="70" s="1"/>
  <c r="F83" i="70" a="1"/>
  <c r="F83" i="70" s="1"/>
  <c r="I87" i="70" a="1"/>
  <c r="I87" i="70" s="1"/>
  <c r="I88" i="70" a="1"/>
  <c r="I88" i="70" s="1"/>
  <c r="K89" i="70" a="1"/>
  <c r="K89" i="70" s="1"/>
  <c r="K90" i="70" a="1"/>
  <c r="K90" i="70" s="1"/>
  <c r="M92" i="70" a="1"/>
  <c r="M92" i="70" s="1"/>
  <c r="N93" i="70" a="1"/>
  <c r="N93" i="70" s="1"/>
  <c r="E95" i="70" a="1"/>
  <c r="E95" i="70" s="1"/>
  <c r="G97" i="70" a="1"/>
  <c r="G97" i="70" s="1"/>
  <c r="M80" i="70" a="1"/>
  <c r="M80" i="70" s="1"/>
  <c r="E82" i="70" a="1"/>
  <c r="E82" i="70" s="1"/>
  <c r="G83" i="70" a="1"/>
  <c r="G83" i="70" s="1"/>
  <c r="H86" i="70" a="1"/>
  <c r="H86" i="70" s="1"/>
  <c r="J87" i="70" a="1"/>
  <c r="J87" i="70" s="1"/>
  <c r="J88" i="70" a="1"/>
  <c r="J88" i="70" s="1"/>
  <c r="L90" i="70" a="1"/>
  <c r="L90" i="70" s="1"/>
  <c r="M91" i="70" a="1"/>
  <c r="M91" i="70" s="1"/>
  <c r="N92" i="70" a="1"/>
  <c r="N92" i="70" s="1"/>
  <c r="F95" i="70" a="1"/>
  <c r="F95" i="70" s="1"/>
  <c r="F96" i="70" a="1"/>
  <c r="F96" i="70" s="1"/>
  <c r="H97" i="70" a="1"/>
  <c r="H97" i="70" s="1"/>
  <c r="I21" i="70"/>
  <c r="K26" i="70"/>
  <c r="N80" i="70" a="1"/>
  <c r="N80" i="70" s="1"/>
  <c r="F82" i="70" a="1"/>
  <c r="F82" i="70" s="1"/>
  <c r="H83" i="70" a="1"/>
  <c r="H83" i="70" s="1"/>
  <c r="I86" i="70" a="1"/>
  <c r="I86" i="70" s="1"/>
  <c r="K88" i="70" a="1"/>
  <c r="K88" i="70" s="1"/>
  <c r="L89" i="70" a="1"/>
  <c r="L89" i="70" s="1"/>
  <c r="M90" i="70" a="1"/>
  <c r="M90" i="70" s="1"/>
  <c r="E93" i="70" a="1"/>
  <c r="E93" i="70" s="1"/>
  <c r="E94" i="70" a="1"/>
  <c r="E94" i="70" s="1"/>
  <c r="G95" i="70" a="1"/>
  <c r="G95" i="70" s="1"/>
  <c r="G96" i="70" a="1"/>
  <c r="G96" i="70" s="1"/>
  <c r="N20" i="70"/>
  <c r="K21" i="70"/>
  <c r="I23" i="70"/>
  <c r="G25" i="70"/>
  <c r="M26" i="70"/>
  <c r="K28" i="70"/>
  <c r="I30" i="70"/>
  <c r="N21" i="70"/>
  <c r="G82" i="70" a="1"/>
  <c r="G82" i="70" s="1"/>
  <c r="I83" i="70" a="1"/>
  <c r="I83" i="70" s="1"/>
  <c r="J86" i="70" a="1"/>
  <c r="J86" i="70" s="1"/>
  <c r="K87" i="70" a="1"/>
  <c r="K87" i="70" s="1"/>
  <c r="L88" i="70" a="1"/>
  <c r="L88" i="70" s="1"/>
  <c r="N90" i="70" a="1"/>
  <c r="N90" i="70" s="1"/>
  <c r="N91" i="70" a="1"/>
  <c r="N91" i="70" s="1"/>
  <c r="F93" i="70" a="1"/>
  <c r="F93" i="70" s="1"/>
  <c r="F94" i="70" a="1"/>
  <c r="F94" i="70" s="1"/>
  <c r="H96" i="70" a="1"/>
  <c r="H96" i="70" s="1"/>
  <c r="I97" i="70" a="1"/>
  <c r="I97" i="70" s="1"/>
  <c r="J21" i="70"/>
  <c r="F20" i="70"/>
  <c r="L21" i="70"/>
  <c r="J23" i="70"/>
  <c r="H25" i="70"/>
  <c r="F27" i="70"/>
  <c r="L28" i="70"/>
  <c r="J30" i="70"/>
  <c r="M88" i="70" a="1"/>
  <c r="M88" i="70" s="1"/>
  <c r="M89" i="70" a="1"/>
  <c r="M89" i="70" s="1"/>
  <c r="E91" i="70" a="1"/>
  <c r="E91" i="70" s="1"/>
  <c r="E92" i="70" a="1"/>
  <c r="E92" i="70" s="1"/>
  <c r="G94" i="70" a="1"/>
  <c r="G94" i="70" s="1"/>
  <c r="H95" i="70" a="1"/>
  <c r="H95" i="70" s="1"/>
  <c r="I96" i="70" a="1"/>
  <c r="I96" i="70" s="1"/>
  <c r="F25" i="70"/>
  <c r="L26" i="70"/>
  <c r="J28" i="70"/>
  <c r="G20" i="70"/>
  <c r="K23" i="70"/>
  <c r="I25" i="70"/>
  <c r="G27" i="70"/>
  <c r="F81" i="70" a="1"/>
  <c r="F81" i="70" s="1"/>
  <c r="K83" i="70" a="1"/>
  <c r="K83" i="70" s="1"/>
  <c r="L86" i="70" a="1"/>
  <c r="L86" i="70" s="1"/>
  <c r="L87" i="70" a="1"/>
  <c r="L87" i="70" s="1"/>
  <c r="N88" i="70" a="1"/>
  <c r="N88" i="70" s="1"/>
  <c r="N89" i="70" a="1"/>
  <c r="N89" i="70" s="1"/>
  <c r="F92" i="70" a="1"/>
  <c r="F92" i="70" s="1"/>
  <c r="G93" i="70" a="1"/>
  <c r="G93" i="70" s="1"/>
  <c r="H94" i="70" a="1"/>
  <c r="H94" i="70" s="1"/>
  <c r="J96" i="70" a="1"/>
  <c r="J96" i="70" s="1"/>
  <c r="J97" i="70" a="1"/>
  <c r="J97" i="70" s="1"/>
  <c r="E20" i="70"/>
  <c r="H20" i="70"/>
  <c r="J25" i="70"/>
  <c r="H27" i="70"/>
  <c r="E80" i="70" a="1"/>
  <c r="E80" i="70" s="1"/>
  <c r="G81" i="70" a="1"/>
  <c r="G81" i="70" s="1"/>
  <c r="I82" i="70" a="1"/>
  <c r="I82" i="70" s="1"/>
  <c r="L83" i="70" a="1"/>
  <c r="L83" i="70" s="1"/>
  <c r="M86" i="70" a="1"/>
  <c r="M86" i="70" s="1"/>
  <c r="M87" i="70" a="1"/>
  <c r="M87" i="70" s="1"/>
  <c r="E90" i="70" a="1"/>
  <c r="E90" i="70" s="1"/>
  <c r="F91" i="70" a="1"/>
  <c r="F91" i="70" s="1"/>
  <c r="G92" i="70" a="1"/>
  <c r="G92" i="70" s="1"/>
  <c r="I94" i="70" a="1"/>
  <c r="I94" i="70" s="1"/>
  <c r="I95" i="70" a="1"/>
  <c r="I95" i="70" s="1"/>
  <c r="K96" i="70" a="1"/>
  <c r="K96" i="70" s="1"/>
  <c r="K97" i="70" a="1"/>
  <c r="K97" i="70" s="1"/>
  <c r="N25" i="70"/>
  <c r="H81" i="70" a="1"/>
  <c r="H81" i="70" s="1"/>
  <c r="J82" i="70" a="1"/>
  <c r="J82" i="70" s="1"/>
  <c r="E89" i="70" a="1"/>
  <c r="E89" i="70" s="1"/>
  <c r="F90" i="70" a="1"/>
  <c r="F90" i="70" s="1"/>
  <c r="H92" i="70" a="1"/>
  <c r="H92" i="70" s="1"/>
  <c r="H93" i="70" a="1"/>
  <c r="H93" i="70" s="1"/>
  <c r="J94" i="70" a="1"/>
  <c r="J94" i="70" s="1"/>
  <c r="J95" i="70" a="1"/>
  <c r="J95" i="70" s="1"/>
  <c r="L97" i="70" a="1"/>
  <c r="L97" i="70" s="1"/>
  <c r="G80" i="70" a="1"/>
  <c r="G80" i="70" s="1"/>
  <c r="I81" i="70" a="1"/>
  <c r="I81" i="70" s="1"/>
  <c r="K82" i="70" a="1"/>
  <c r="K82" i="70" s="1"/>
  <c r="E88" i="70" a="1"/>
  <c r="E88" i="70" s="1"/>
  <c r="G90" i="70" a="1"/>
  <c r="G90" i="70" s="1"/>
  <c r="G91" i="70" a="1"/>
  <c r="G91" i="70" s="1"/>
  <c r="I93" i="70" a="1"/>
  <c r="I93" i="70" s="1"/>
  <c r="K95" i="70" a="1"/>
  <c r="K95" i="70" s="1"/>
  <c r="M97" i="70" a="1"/>
  <c r="M97" i="70" s="1"/>
  <c r="J20" i="70"/>
  <c r="L25" i="70"/>
  <c r="K27" i="70"/>
  <c r="H87" i="79"/>
  <c r="K87" i="79"/>
  <c r="N87" i="79"/>
  <c r="G91" i="79"/>
  <c r="K92" i="79"/>
  <c r="O91" i="79"/>
  <c r="K97" i="79"/>
  <c r="O95" i="79"/>
  <c r="L98" i="79"/>
  <c r="O99" i="79"/>
  <c r="L103" i="79"/>
  <c r="P103" i="79"/>
  <c r="L115" i="79"/>
  <c r="P106" i="79"/>
  <c r="P113" i="79"/>
  <c r="G88" i="79"/>
  <c r="K88" i="79"/>
  <c r="O87" i="79"/>
  <c r="K93" i="79"/>
  <c r="O92" i="79"/>
  <c r="L94" i="79"/>
  <c r="O96" i="79"/>
  <c r="L99" i="79"/>
  <c r="P99" i="79"/>
  <c r="L104" i="79"/>
  <c r="O104" i="79"/>
  <c r="L116" i="79"/>
  <c r="N112" i="79"/>
  <c r="O107" i="79"/>
  <c r="O114" i="79"/>
  <c r="H88" i="79"/>
  <c r="K89" i="79"/>
  <c r="P87" i="79"/>
  <c r="I91" i="79"/>
  <c r="L90" i="79"/>
  <c r="O93" i="79"/>
  <c r="L95" i="79"/>
  <c r="O97" i="79"/>
  <c r="L100" i="79"/>
  <c r="O100" i="79"/>
  <c r="L105" i="79"/>
  <c r="P104" i="79"/>
  <c r="L117" i="79"/>
  <c r="P107" i="79"/>
  <c r="P114" i="79"/>
  <c r="G89" i="79"/>
  <c r="L86" i="79"/>
  <c r="N88" i="79"/>
  <c r="J91" i="79"/>
  <c r="L91" i="79"/>
  <c r="O90" i="79"/>
  <c r="L96" i="79"/>
  <c r="P94" i="79"/>
  <c r="L101" i="79"/>
  <c r="P100" i="79"/>
  <c r="O105" i="79"/>
  <c r="N113" i="79"/>
  <c r="O108" i="79"/>
  <c r="O115" i="79"/>
  <c r="H89" i="79"/>
  <c r="L87" i="79"/>
  <c r="O88" i="79"/>
  <c r="L92" i="79"/>
  <c r="P90" i="79"/>
  <c r="P95" i="79"/>
  <c r="O101" i="79"/>
  <c r="P105" i="79"/>
  <c r="K107" i="79"/>
  <c r="K109" i="79"/>
  <c r="K111" i="79"/>
  <c r="K113" i="79"/>
  <c r="P108" i="79"/>
  <c r="P115" i="79"/>
  <c r="I86" i="79"/>
  <c r="P88" i="79"/>
  <c r="L93" i="79"/>
  <c r="P91" i="79"/>
  <c r="P96" i="79"/>
  <c r="P101" i="79"/>
  <c r="N103" i="79"/>
  <c r="L106" i="79"/>
  <c r="O109" i="79"/>
  <c r="O116" i="79"/>
  <c r="N89" i="79"/>
  <c r="I92" i="79"/>
  <c r="M90" i="79"/>
  <c r="P92" i="79"/>
  <c r="P97" i="79"/>
  <c r="F102" i="79"/>
  <c r="L65" i="70" s="1" a="1"/>
  <c r="L65" i="70" s="1"/>
  <c r="P109" i="79"/>
  <c r="N69" i="70" s="1" a="1"/>
  <c r="N69" i="70" s="1"/>
  <c r="P116" i="79"/>
  <c r="O89" i="79"/>
  <c r="J92" i="79"/>
  <c r="M91" i="79"/>
  <c r="P93" i="79"/>
  <c r="L108" i="79"/>
  <c r="O110" i="79"/>
  <c r="O117" i="79"/>
  <c r="I89" i="79"/>
  <c r="P89" i="79"/>
  <c r="P110" i="79"/>
  <c r="P117" i="79"/>
  <c r="J86" i="79"/>
  <c r="M88" i="79"/>
  <c r="L110" i="79"/>
  <c r="O111" i="79"/>
  <c r="M89" i="79"/>
  <c r="G90" i="79"/>
  <c r="N102" i="79"/>
  <c r="P111" i="79"/>
  <c r="N86" i="79"/>
  <c r="H90" i="79"/>
  <c r="J93" i="79"/>
  <c r="N98" i="79"/>
  <c r="O102" i="79"/>
  <c r="K112" i="79"/>
  <c r="K114" i="79"/>
  <c r="O112" i="79"/>
  <c r="O86" i="79"/>
  <c r="K90" i="79"/>
  <c r="N94" i="79"/>
  <c r="O98" i="79"/>
  <c r="K102" i="79"/>
  <c r="N106" i="79"/>
  <c r="P86" i="79"/>
  <c r="E55" i="82"/>
  <c r="K188" i="81"/>
  <c r="V160" i="81"/>
  <c r="E37" i="98"/>
  <c r="E32" i="97"/>
  <c r="E7" i="98"/>
  <c r="K23" i="98"/>
  <c r="V191" i="81"/>
  <c r="V24" i="97"/>
  <c r="H15" i="81"/>
  <c r="K51" i="96"/>
  <c r="K127" i="81"/>
  <c r="V51" i="96"/>
  <c r="K24" i="97"/>
  <c r="E7" i="97"/>
  <c r="K19" i="97"/>
  <c r="V38" i="81"/>
  <c r="K38" i="81"/>
  <c r="V39" i="81"/>
  <c r="V123" i="81"/>
  <c r="V125" i="81"/>
  <c r="K189" i="81"/>
  <c r="V31" i="96"/>
  <c r="K40" i="81"/>
  <c r="V40" i="81"/>
  <c r="V126" i="81"/>
  <c r="V162" i="81"/>
  <c r="V193" i="81"/>
  <c r="K42" i="81"/>
  <c r="K84" i="81"/>
  <c r="V127" i="81"/>
  <c r="F196" i="81"/>
  <c r="F23" i="13" s="1"/>
  <c r="K82" i="81"/>
  <c r="V42" i="81"/>
  <c r="Q196" i="81"/>
  <c r="V35" i="81"/>
  <c r="F53" i="96"/>
  <c r="K87" i="81"/>
  <c r="K194" i="81"/>
  <c r="K36" i="81"/>
  <c r="K37" i="81"/>
  <c r="K39" i="81"/>
  <c r="K83" i="81"/>
  <c r="V36" i="81"/>
  <c r="K159" i="81"/>
  <c r="K88" i="81"/>
  <c r="K161" i="81"/>
  <c r="V37" i="81"/>
  <c r="K162" i="81"/>
  <c r="V158" i="81"/>
  <c r="K81" i="81"/>
  <c r="E37" i="96"/>
  <c r="E7" i="96"/>
  <c r="V49" i="95"/>
  <c r="K50" i="95"/>
  <c r="Q52" i="95"/>
  <c r="F52" i="95"/>
  <c r="G10" i="13" s="1"/>
  <c r="K99" i="81"/>
  <c r="V96" i="81"/>
  <c r="V94" i="81"/>
  <c r="Q132" i="81"/>
  <c r="F102" i="81"/>
  <c r="F21" i="13" s="1"/>
  <c r="V93" i="81"/>
  <c r="F132" i="81"/>
  <c r="K100" i="81"/>
  <c r="K98" i="81"/>
  <c r="K97" i="81"/>
  <c r="K96" i="81"/>
  <c r="K95" i="81"/>
  <c r="V100" i="81"/>
  <c r="K94" i="81"/>
  <c r="V99" i="81"/>
  <c r="K93" i="81"/>
  <c r="V98" i="81"/>
  <c r="V97" i="81"/>
  <c r="K41" i="81"/>
  <c r="V41" i="81"/>
  <c r="K85" i="81"/>
  <c r="K123" i="81"/>
  <c r="V129" i="81"/>
  <c r="K190" i="81"/>
  <c r="V187" i="81"/>
  <c r="K124" i="81"/>
  <c r="V130" i="81"/>
  <c r="V159" i="81"/>
  <c r="V192" i="81"/>
  <c r="K125" i="81"/>
  <c r="V164" i="81"/>
  <c r="K126" i="81"/>
  <c r="K191" i="81"/>
  <c r="V188" i="81"/>
  <c r="K187" i="81"/>
  <c r="K157" i="81"/>
  <c r="K129" i="81"/>
  <c r="K192" i="81"/>
  <c r="V189" i="81"/>
  <c r="K158" i="81"/>
  <c r="K130" i="81"/>
  <c r="V161" i="81"/>
  <c r="V194" i="81"/>
  <c r="F166" i="81"/>
  <c r="F22" i="13" s="1"/>
  <c r="K160" i="81"/>
  <c r="V124" i="81"/>
  <c r="V157" i="81"/>
  <c r="K193" i="81"/>
  <c r="V190" i="81"/>
  <c r="Q166" i="81"/>
  <c r="K164" i="81"/>
  <c r="V128" i="81"/>
  <c r="E108" i="81"/>
  <c r="E48" i="81"/>
  <c r="E7" i="81"/>
  <c r="K35" i="81"/>
  <c r="E36" i="95"/>
  <c r="E7" i="95"/>
  <c r="L70" i="70" l="1" a="1"/>
  <c r="L70" i="70" s="1"/>
  <c r="G72" i="70" a="1"/>
  <c r="G72" i="70" s="1"/>
  <c r="M73" i="70" a="1"/>
  <c r="M73" i="70" s="1"/>
  <c r="H68" i="70" a="1"/>
  <c r="H68" i="70" s="1"/>
  <c r="I69" i="70" a="1"/>
  <c r="I69" i="70" s="1"/>
  <c r="E68" i="70" a="1"/>
  <c r="E68" i="70" s="1"/>
  <c r="I72" i="70" a="1"/>
  <c r="I72" i="70" s="1"/>
  <c r="E74" i="70" a="1"/>
  <c r="E74" i="70" s="1"/>
  <c r="M70" i="70" a="1"/>
  <c r="M70" i="70" s="1"/>
  <c r="G75" i="70" a="1"/>
  <c r="G75" i="70" s="1"/>
  <c r="F67" i="70" a="1"/>
  <c r="F67" i="70" s="1"/>
  <c r="K73" i="70" a="1"/>
  <c r="K73" i="70" s="1"/>
  <c r="L69" i="70" a="1"/>
  <c r="L69" i="70" s="1"/>
  <c r="H71" i="70" a="1"/>
  <c r="H71" i="70" s="1"/>
  <c r="E75" i="70" a="1"/>
  <c r="E75" i="70" s="1"/>
  <c r="F71" i="70" a="1"/>
  <c r="F71" i="70" s="1"/>
  <c r="M65" i="70" a="1"/>
  <c r="M65" i="70" s="1"/>
  <c r="F68" i="70" a="1"/>
  <c r="F68" i="70" s="1"/>
  <c r="J72" i="70" a="1"/>
  <c r="J72" i="70" s="1"/>
  <c r="G67" i="70" a="1"/>
  <c r="G67" i="70" s="1"/>
  <c r="J69" i="70" a="1"/>
  <c r="J69" i="70" s="1"/>
  <c r="N73" i="70" a="1"/>
  <c r="N73" i="70" s="1"/>
  <c r="K68" i="70" a="1"/>
  <c r="K68" i="70" s="1"/>
  <c r="N70" i="70" a="1"/>
  <c r="N70" i="70" s="1"/>
  <c r="H75" i="70" a="1"/>
  <c r="H75" i="70" s="1"/>
  <c r="M72" i="70" a="1"/>
  <c r="M72" i="70" s="1"/>
  <c r="H69" i="70" a="1"/>
  <c r="H69" i="70" s="1"/>
  <c r="H72" i="70" a="1"/>
  <c r="H72" i="70" s="1"/>
  <c r="E67" i="70" a="1"/>
  <c r="E67" i="70" s="1"/>
  <c r="J71" i="70" a="1"/>
  <c r="J71" i="70" s="1"/>
  <c r="F75" i="70" a="1"/>
  <c r="F75" i="70" s="1"/>
  <c r="I68" i="70" a="1"/>
  <c r="I68" i="70" s="1"/>
  <c r="G70" i="70" a="1"/>
  <c r="G70" i="70" s="1"/>
  <c r="F72" i="70" a="1"/>
  <c r="F72" i="70" s="1"/>
  <c r="G68" i="70" a="1"/>
  <c r="G68" i="70" s="1"/>
  <c r="M69" i="70" a="1"/>
  <c r="M69" i="70" s="1"/>
  <c r="E69" i="70" a="1"/>
  <c r="E69" i="70" s="1"/>
  <c r="J73" i="70" a="1"/>
  <c r="J73" i="70" s="1"/>
  <c r="K69" i="70" a="1"/>
  <c r="K69" i="70" s="1"/>
  <c r="G71" i="70" a="1"/>
  <c r="G71" i="70" s="1"/>
  <c r="F69" i="70" a="1"/>
  <c r="F69" i="70" s="1"/>
  <c r="N74" i="70" a="1"/>
  <c r="N74" i="70" s="1"/>
  <c r="E71" i="70" a="1"/>
  <c r="E71" i="70" s="1"/>
  <c r="K72" i="70" a="1"/>
  <c r="K72" i="70" s="1"/>
  <c r="G69" i="70" a="1"/>
  <c r="G69" i="70" s="1"/>
  <c r="J66" i="70" a="1"/>
  <c r="J66" i="70" s="1"/>
  <c r="K66" i="70" a="1"/>
  <c r="K66" i="70" s="1"/>
  <c r="L66" i="70" a="1"/>
  <c r="L66" i="70" s="1"/>
  <c r="M66" i="70" a="1"/>
  <c r="M66" i="70" s="1"/>
  <c r="N66" i="70" a="1"/>
  <c r="N66" i="70" s="1"/>
  <c r="K65" i="70" a="1"/>
  <c r="K65" i="70" s="1"/>
  <c r="H64" i="70" a="1"/>
  <c r="H64" i="70" s="1"/>
  <c r="I64" i="70" a="1"/>
  <c r="I64" i="70" s="1"/>
  <c r="F61" i="70" a="1"/>
  <c r="F61" i="70" s="1"/>
  <c r="M59" i="70" a="1"/>
  <c r="M59" i="70" s="1"/>
  <c r="J58" i="70" a="1"/>
  <c r="J58" i="70" s="1"/>
  <c r="K58" i="70" a="1"/>
  <c r="K58" i="70" s="1"/>
  <c r="L58" i="70" a="1"/>
  <c r="L58" i="70" s="1"/>
  <c r="M58" i="70" a="1"/>
  <c r="M58" i="70" s="1"/>
  <c r="N67" i="70" a="1"/>
  <c r="N67" i="70" s="1"/>
  <c r="J64" i="70" a="1"/>
  <c r="J64" i="70" s="1"/>
  <c r="G61" i="70" a="1"/>
  <c r="G61" i="70" s="1"/>
  <c r="N59" i="70" a="1"/>
  <c r="N59" i="70" s="1"/>
  <c r="E60" i="70" a="1"/>
  <c r="E60" i="70" s="1"/>
  <c r="F60" i="70" a="1"/>
  <c r="F60" i="70" s="1"/>
  <c r="G60" i="70" a="1"/>
  <c r="G60" i="70" s="1"/>
  <c r="N65" i="70" a="1"/>
  <c r="N65" i="70" s="1"/>
  <c r="K64" i="70" a="1"/>
  <c r="K64" i="70" s="1"/>
  <c r="H61" i="70" a="1"/>
  <c r="H61" i="70" s="1"/>
  <c r="I61" i="70" a="1"/>
  <c r="I61" i="70" s="1"/>
  <c r="J61" i="70" a="1"/>
  <c r="J61" i="70" s="1"/>
  <c r="K61" i="70" a="1"/>
  <c r="K61" i="70" s="1"/>
  <c r="J68" i="70" a="1"/>
  <c r="J68" i="70" s="1"/>
  <c r="H67" i="70" a="1"/>
  <c r="H67" i="70" s="1"/>
  <c r="E66" i="70" a="1"/>
  <c r="E66" i="70" s="1"/>
  <c r="L64" i="70" a="1"/>
  <c r="L64" i="70" s="1"/>
  <c r="M64" i="70" a="1"/>
  <c r="M64" i="70" s="1"/>
  <c r="N64" i="70" a="1"/>
  <c r="N64" i="70" s="1"/>
  <c r="E65" i="70" a="1"/>
  <c r="E65" i="70" s="1"/>
  <c r="E70" i="70" a="1"/>
  <c r="E70" i="70" s="1"/>
  <c r="L68" i="70" a="1"/>
  <c r="L68" i="70" s="1"/>
  <c r="I67" i="70" a="1"/>
  <c r="I67" i="70" s="1"/>
  <c r="F66" i="70" a="1"/>
  <c r="F66" i="70" s="1"/>
  <c r="G66" i="70" a="1"/>
  <c r="G66" i="70" s="1"/>
  <c r="H66" i="70" a="1"/>
  <c r="H66" i="70" s="1"/>
  <c r="I66" i="70" a="1"/>
  <c r="I66" i="70" s="1"/>
  <c r="L73" i="70" a="1"/>
  <c r="L73" i="70" s="1"/>
  <c r="I71" i="70" a="1"/>
  <c r="I71" i="70" s="1"/>
  <c r="F70" i="70" a="1"/>
  <c r="F70" i="70" s="1"/>
  <c r="M68" i="70" a="1"/>
  <c r="M68" i="70" s="1"/>
  <c r="J67" i="70" a="1"/>
  <c r="J67" i="70" s="1"/>
  <c r="K67" i="70" a="1"/>
  <c r="K67" i="70" s="1"/>
  <c r="L67" i="70" a="1"/>
  <c r="L67" i="70" s="1"/>
  <c r="M67" i="70" a="1"/>
  <c r="M67" i="70" s="1"/>
  <c r="L72" i="70" a="1"/>
  <c r="L72" i="70" s="1"/>
  <c r="I75" i="70" a="1"/>
  <c r="I75" i="70" s="1"/>
  <c r="F74" i="70" a="1"/>
  <c r="F74" i="70" s="1"/>
  <c r="G74" i="70" a="1"/>
  <c r="G74" i="70" s="1"/>
  <c r="N72" i="70" a="1"/>
  <c r="N72" i="70" s="1"/>
  <c r="K71" i="70" a="1"/>
  <c r="K71" i="70" s="1"/>
  <c r="H70" i="70" a="1"/>
  <c r="H70" i="70" s="1"/>
  <c r="I70" i="70" a="1"/>
  <c r="I70" i="70" s="1"/>
  <c r="J70" i="70" a="1"/>
  <c r="J70" i="70" s="1"/>
  <c r="K70" i="70" a="1"/>
  <c r="K70" i="70" s="1"/>
  <c r="N68" i="70" a="1"/>
  <c r="N68" i="70" s="1"/>
  <c r="J75" i="70" a="1"/>
  <c r="J75" i="70" s="1"/>
  <c r="K75" i="70" a="1"/>
  <c r="K75" i="70" s="1"/>
  <c r="H74" i="70" a="1"/>
  <c r="H74" i="70" s="1"/>
  <c r="E73" i="70" a="1"/>
  <c r="E73" i="70" s="1"/>
  <c r="L71" i="70" a="1"/>
  <c r="L71" i="70" s="1"/>
  <c r="M71" i="70" a="1"/>
  <c r="M71" i="70" s="1"/>
  <c r="N71" i="70" a="1"/>
  <c r="N71" i="70" s="1"/>
  <c r="E72" i="70" a="1"/>
  <c r="E72" i="70" s="1"/>
  <c r="L75" i="70" a="1"/>
  <c r="L75" i="70" s="1"/>
  <c r="I74" i="70" a="1"/>
  <c r="I74" i="70" s="1"/>
  <c r="F73" i="70" a="1"/>
  <c r="F73" i="70" s="1"/>
  <c r="G73" i="70" a="1"/>
  <c r="G73" i="70" s="1"/>
  <c r="H73" i="70" a="1"/>
  <c r="H73" i="70" s="1"/>
  <c r="I73" i="70" a="1"/>
  <c r="I73" i="70" s="1"/>
  <c r="N58" i="70" a="1"/>
  <c r="N58" i="70" s="1"/>
  <c r="E59" i="70" a="1"/>
  <c r="E59" i="70" s="1"/>
  <c r="F59" i="70" a="1"/>
  <c r="F59" i="70" s="1"/>
  <c r="G59" i="70" a="1"/>
  <c r="G59" i="70" s="1"/>
  <c r="H59" i="70" a="1"/>
  <c r="H59" i="70" s="1"/>
  <c r="E58" i="70" a="1"/>
  <c r="E58" i="70" s="1"/>
  <c r="M75" i="70" a="1"/>
  <c r="M75" i="70" s="1"/>
  <c r="J74" i="70" a="1"/>
  <c r="J74" i="70" s="1"/>
  <c r="K74" i="70" a="1"/>
  <c r="K74" i="70" s="1"/>
  <c r="L74" i="70" a="1"/>
  <c r="L74" i="70" s="1"/>
  <c r="M74" i="70" a="1"/>
  <c r="M74" i="70" s="1"/>
  <c r="H60" i="70" a="1"/>
  <c r="H60" i="70" s="1"/>
  <c r="I60" i="70" a="1"/>
  <c r="I60" i="70" s="1"/>
  <c r="J60" i="70" a="1"/>
  <c r="J60" i="70" s="1"/>
  <c r="K60" i="70" a="1"/>
  <c r="K60" i="70" s="1"/>
  <c r="L60" i="70" a="1"/>
  <c r="L60" i="70" s="1"/>
  <c r="I59" i="70" a="1"/>
  <c r="I59" i="70" s="1"/>
  <c r="F58" i="70" a="1"/>
  <c r="F58" i="70" s="1"/>
  <c r="G58" i="70" a="1"/>
  <c r="G58" i="70" s="1"/>
  <c r="N75" i="70" a="1"/>
  <c r="N75" i="70" s="1"/>
  <c r="L61" i="70" a="1"/>
  <c r="L61" i="70" s="1"/>
  <c r="M61" i="70" a="1"/>
  <c r="M61" i="70" s="1"/>
  <c r="N61" i="70" a="1"/>
  <c r="N61" i="70" s="1"/>
  <c r="E64" i="70" a="1"/>
  <c r="E64" i="70" s="1"/>
  <c r="F64" i="70" a="1"/>
  <c r="F64" i="70" s="1"/>
  <c r="M60" i="70" a="1"/>
  <c r="M60" i="70" s="1"/>
  <c r="J59" i="70" a="1"/>
  <c r="J59" i="70" s="1"/>
  <c r="K59" i="70" a="1"/>
  <c r="K59" i="70" s="1"/>
  <c r="H58" i="70" a="1"/>
  <c r="H58" i="70" s="1"/>
  <c r="F65" i="70" a="1"/>
  <c r="F65" i="70" s="1"/>
  <c r="G65" i="70" a="1"/>
  <c r="G65" i="70" s="1"/>
  <c r="H65" i="70" a="1"/>
  <c r="H65" i="70" s="1"/>
  <c r="I65" i="70" a="1"/>
  <c r="I65" i="70" s="1"/>
  <c r="J65" i="70" a="1"/>
  <c r="J65" i="70" s="1"/>
  <c r="G64" i="70" a="1"/>
  <c r="G64" i="70" s="1"/>
  <c r="N60" i="70" a="1"/>
  <c r="N60" i="70" s="1"/>
  <c r="E61" i="70" a="1"/>
  <c r="E61" i="70" s="1"/>
  <c r="L59" i="70" a="1"/>
  <c r="L59" i="70" s="1"/>
  <c r="I58" i="70" a="1"/>
  <c r="I58" i="70" s="1"/>
  <c r="H18" i="95" l="1"/>
  <c r="H17" i="95"/>
  <c r="G64" i="82"/>
  <c r="G65" i="82"/>
  <c r="H16" i="95"/>
  <c r="H13" i="95"/>
  <c r="D6" i="95" a="1"/>
  <c r="D6" i="95" s="1"/>
  <c r="E11" i="95" a="1"/>
  <c r="E11" i="95" s="1"/>
  <c r="E10" i="95" a="1"/>
  <c r="E10" i="95" s="1"/>
  <c r="D13" i="95" a="1"/>
  <c r="D13" i="95" s="1"/>
  <c r="D5" i="95" a="1"/>
  <c r="D5" i="95" s="1"/>
  <c r="Q73" i="82" a="1"/>
  <c r="Q73" i="82" s="1"/>
  <c r="O70" i="82" a="1"/>
  <c r="O70" i="82" s="1"/>
  <c r="F73" i="82" a="1"/>
  <c r="F73" i="82" s="1"/>
  <c r="J9" i="13" s="1"/>
  <c r="D70" i="82" a="1"/>
  <c r="D70" i="82" s="1"/>
  <c r="E59" i="82" a="1"/>
  <c r="E59" i="82" s="1"/>
  <c r="F68" i="82" s="1"/>
  <c r="E58" i="82" a="1"/>
  <c r="E58" i="82" s="1"/>
  <c r="D54" i="82" a="1"/>
  <c r="D54" i="82" s="1"/>
  <c r="D61" i="82" a="1"/>
  <c r="D61"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G14" i="82"/>
  <c r="G13" i="82"/>
  <c r="D26" i="82"/>
  <c r="D25" i="82"/>
  <c r="D24" i="82"/>
  <c r="D23" i="82"/>
  <c r="D22" i="82"/>
  <c r="D21" i="82"/>
  <c r="D20" i="82"/>
  <c r="D19" i="82"/>
  <c r="D6" i="82" a="1"/>
  <c r="D6" i="82" s="1"/>
  <c r="E11" i="82" a="1"/>
  <c r="E11" i="82" s="1"/>
  <c r="E10" i="82" a="1"/>
  <c r="E10" i="82" s="1"/>
  <c r="D13" i="82" a="1"/>
  <c r="D13" i="82" s="1"/>
  <c r="D5" i="82" a="1"/>
  <c r="D5" i="82" s="1"/>
  <c r="P285" i="76" a="1"/>
  <c r="P285" i="76" s="1"/>
  <c r="N282" i="76" a="1"/>
  <c r="N282" i="76" s="1"/>
  <c r="N278" i="76"/>
  <c r="N277" i="76"/>
  <c r="N276" i="76"/>
  <c r="N275" i="76"/>
  <c r="N274" i="76"/>
  <c r="N273" i="76"/>
  <c r="N272" i="76"/>
  <c r="N271" i="76"/>
  <c r="F285" i="76" a="1"/>
  <c r="F285" i="76" s="1"/>
  <c r="D282" i="76" a="1"/>
  <c r="D282" i="76" s="1"/>
  <c r="D278" i="76"/>
  <c r="D277" i="76"/>
  <c r="D276" i="76"/>
  <c r="D275" i="76"/>
  <c r="D274" i="76"/>
  <c r="D273" i="76"/>
  <c r="D272" i="76"/>
  <c r="D271" i="76"/>
  <c r="G256" i="76"/>
  <c r="G255" i="76"/>
  <c r="E253" i="76" a="1"/>
  <c r="E253" i="76" s="1"/>
  <c r="P280" i="76" s="1"/>
  <c r="E252" i="76" a="1"/>
  <c r="E252" i="76" s="1"/>
  <c r="D248" i="76" a="1"/>
  <c r="D248" i="76" s="1"/>
  <c r="D255" i="76" a="1"/>
  <c r="D255" i="76" s="1"/>
  <c r="D247" i="76" a="1"/>
  <c r="D247" i="76" s="1"/>
  <c r="N243" i="76"/>
  <c r="N242" i="76"/>
  <c r="N241" i="76"/>
  <c r="N240" i="76"/>
  <c r="N239" i="76"/>
  <c r="N238" i="76"/>
  <c r="N237" i="76"/>
  <c r="N236" i="76"/>
  <c r="D243" i="76"/>
  <c r="D242" i="76"/>
  <c r="D241" i="76"/>
  <c r="D240" i="76"/>
  <c r="D239" i="76"/>
  <c r="D238" i="76"/>
  <c r="D237" i="76"/>
  <c r="D236" i="76"/>
  <c r="N231" i="76"/>
  <c r="N230" i="76"/>
  <c r="N229" i="76"/>
  <c r="N228" i="76"/>
  <c r="N227" i="76"/>
  <c r="N226" i="76"/>
  <c r="N225" i="76"/>
  <c r="N224" i="76"/>
  <c r="G219" i="76"/>
  <c r="D231" i="76"/>
  <c r="D230" i="76"/>
  <c r="D229" i="76"/>
  <c r="D228" i="76"/>
  <c r="D227" i="76"/>
  <c r="D226" i="76"/>
  <c r="D225" i="76"/>
  <c r="D224" i="76"/>
  <c r="G218" i="76"/>
  <c r="D218" i="76" a="1"/>
  <c r="D218" i="76" s="1"/>
  <c r="E216" i="76" a="1"/>
  <c r="E216" i="76" s="1"/>
  <c r="E215" i="76" a="1"/>
  <c r="E215" i="76" s="1"/>
  <c r="D211" i="76" a="1"/>
  <c r="D211" i="76" s="1"/>
  <c r="D210" i="76" a="1"/>
  <c r="D210" i="76" s="1"/>
  <c r="G184" i="76"/>
  <c r="G186" i="76"/>
  <c r="G185" i="76"/>
  <c r="G183" i="76"/>
  <c r="G182" i="76"/>
  <c r="D175" i="76" a="1"/>
  <c r="D175" i="76" s="1"/>
  <c r="E180" i="76" a="1"/>
  <c r="E180" i="76" s="1"/>
  <c r="E179" i="76" a="1"/>
  <c r="E179" i="76" s="1"/>
  <c r="D174" i="76" a="1"/>
  <c r="D174" i="76" s="1"/>
  <c r="D182" i="76" a="1"/>
  <c r="D182" i="76" s="1"/>
  <c r="D173" i="76" a="1"/>
  <c r="D173" i="76" s="1"/>
  <c r="S139" i="76"/>
  <c r="G154" i="76"/>
  <c r="G152" i="76"/>
  <c r="H159" i="76"/>
  <c r="G159" i="76"/>
  <c r="F159" i="76"/>
  <c r="E159" i="76"/>
  <c r="D159" i="76"/>
  <c r="G153" i="76"/>
  <c r="D145" i="76" a="1"/>
  <c r="D145" i="76" s="1"/>
  <c r="D152" i="76" a="1"/>
  <c r="D152" i="76" s="1"/>
  <c r="E150" i="76" a="1"/>
  <c r="E150" i="76" s="1"/>
  <c r="S169" i="76" s="1"/>
  <c r="E149" i="76" a="1"/>
  <c r="E149" i="76" s="1"/>
  <c r="D144" i="76" a="1"/>
  <c r="D144" i="76" s="1"/>
  <c r="D143" i="76" a="1"/>
  <c r="D143" i="76" s="1"/>
  <c r="G134" i="76"/>
  <c r="G133" i="76"/>
  <c r="G132" i="76"/>
  <c r="D132" i="76" a="1"/>
  <c r="D132" i="76" s="1"/>
  <c r="E130" i="76" a="1"/>
  <c r="E130" i="76" s="1"/>
  <c r="I139" i="76" s="1"/>
  <c r="E129" i="76" a="1"/>
  <c r="E129" i="76" s="1"/>
  <c r="D124" i="76" a="1"/>
  <c r="D124" i="76" s="1"/>
  <c r="D123" i="76" a="1"/>
  <c r="D123" i="76" s="1"/>
  <c r="R114" i="76"/>
  <c r="Q114" i="76"/>
  <c r="P114" i="76"/>
  <c r="O114" i="76"/>
  <c r="N114" i="76"/>
  <c r="G109" i="76"/>
  <c r="G108" i="76"/>
  <c r="D108" i="76" a="1"/>
  <c r="D108" i="76" s="1"/>
  <c r="E106" i="76" a="1"/>
  <c r="E106" i="76" s="1"/>
  <c r="S119" i="76" s="1"/>
  <c r="E105" i="76" a="1"/>
  <c r="E105" i="76" s="1"/>
  <c r="D101" i="76" a="1"/>
  <c r="D101" i="76" s="1"/>
  <c r="D100" i="76" a="1"/>
  <c r="D100" i="76" s="1"/>
  <c r="G81" i="76"/>
  <c r="G80" i="76"/>
  <c r="G79" i="76"/>
  <c r="G78" i="76"/>
  <c r="D86" i="76"/>
  <c r="D78" i="76" a="1"/>
  <c r="D78" i="76" s="1"/>
  <c r="E76" i="76" a="1"/>
  <c r="E76" i="76" s="1"/>
  <c r="I96" i="76" s="1"/>
  <c r="E75" i="76" a="1"/>
  <c r="E75" i="76" s="1"/>
  <c r="D70" i="76" a="1"/>
  <c r="D70" i="76" s="1"/>
  <c r="D69" i="76" a="1"/>
  <c r="D69" i="76" s="1"/>
  <c r="G45" i="76"/>
  <c r="G44" i="76"/>
  <c r="G42" i="76"/>
  <c r="G43" i="76"/>
  <c r="E40" i="76" a="1"/>
  <c r="E40" i="76" s="1"/>
  <c r="S65" i="76" s="1"/>
  <c r="E39" i="76" a="1"/>
  <c r="E39" i="76" s="1"/>
  <c r="D34" i="76" a="1"/>
  <c r="D34" i="76" s="1"/>
  <c r="D42" i="76" a="1"/>
  <c r="D42" i="76" s="1"/>
  <c r="D33" i="76" a="1"/>
  <c r="D33" i="76" s="1"/>
  <c r="F14" i="76"/>
  <c r="F13" i="76"/>
  <c r="D13" i="76" a="1"/>
  <c r="D13" i="76" s="1"/>
  <c r="E11" i="76" a="1"/>
  <c r="E11" i="76" s="1"/>
  <c r="I29" i="76" s="1"/>
  <c r="E10" i="76" a="1"/>
  <c r="E10" i="76" s="1"/>
  <c r="D6" i="76" a="1"/>
  <c r="D6" i="76" s="1"/>
  <c r="D5" i="76" a="1"/>
  <c r="D5" i="76" s="1"/>
  <c r="I50" i="76"/>
  <c r="E114" i="76"/>
  <c r="I268" i="70"/>
  <c r="J88" i="81" s="1"/>
  <c r="H268" i="70"/>
  <c r="I88" i="81" s="1"/>
  <c r="G268" i="70"/>
  <c r="H88" i="81" s="1"/>
  <c r="F268" i="70"/>
  <c r="G88" i="81" s="1"/>
  <c r="E268" i="70"/>
  <c r="F88" i="81" s="1"/>
  <c r="I263" i="70"/>
  <c r="J87" i="81" s="1"/>
  <c r="H263" i="70"/>
  <c r="I87" i="81" s="1"/>
  <c r="G263" i="70"/>
  <c r="H87" i="81" s="1"/>
  <c r="F263" i="70"/>
  <c r="G87" i="81" s="1"/>
  <c r="E263" i="70"/>
  <c r="F87" i="81" s="1"/>
  <c r="I258" i="70"/>
  <c r="J86" i="81" s="1"/>
  <c r="H258" i="70"/>
  <c r="I86" i="81" s="1"/>
  <c r="G258" i="70"/>
  <c r="H86" i="81" s="1"/>
  <c r="F258" i="70"/>
  <c r="G86" i="81" s="1"/>
  <c r="E258" i="70"/>
  <c r="F86" i="81" s="1"/>
  <c r="I253" i="70"/>
  <c r="J85" i="81" s="1"/>
  <c r="H253" i="70"/>
  <c r="I85" i="81" s="1"/>
  <c r="G253" i="70"/>
  <c r="H85" i="81" s="1"/>
  <c r="F253" i="70"/>
  <c r="G85" i="81" s="1"/>
  <c r="E253" i="70"/>
  <c r="F85" i="81" s="1"/>
  <c r="E204" i="70"/>
  <c r="I216" i="70" s="1"/>
  <c r="E203" i="70"/>
  <c r="H209" i="70" s="1"/>
  <c r="E199" i="70"/>
  <c r="F215" i="70" s="1"/>
  <c r="E198" i="70"/>
  <c r="H208" i="70" s="1"/>
  <c r="E194" i="70"/>
  <c r="H214" i="70" s="1"/>
  <c r="E193" i="70"/>
  <c r="G207" i="70" s="1"/>
  <c r="D154" i="70"/>
  <c r="D188" i="70"/>
  <c r="I244" i="70"/>
  <c r="J84" i="81" s="1"/>
  <c r="H244" i="70"/>
  <c r="I84" i="81" s="1"/>
  <c r="G244" i="70"/>
  <c r="H84" i="81" s="1"/>
  <c r="F244" i="70"/>
  <c r="G84" i="81" s="1"/>
  <c r="E244" i="70"/>
  <c r="F84" i="81" s="1"/>
  <c r="I182" i="70"/>
  <c r="H182" i="70"/>
  <c r="G182" i="70"/>
  <c r="F182" i="70"/>
  <c r="E182" i="70"/>
  <c r="I181" i="70"/>
  <c r="H181" i="70"/>
  <c r="G181" i="70"/>
  <c r="F181" i="70"/>
  <c r="E181" i="70"/>
  <c r="I180" i="70"/>
  <c r="H180" i="70"/>
  <c r="G180" i="70"/>
  <c r="F180" i="70"/>
  <c r="E180" i="70"/>
  <c r="I175" i="70"/>
  <c r="H175" i="70"/>
  <c r="G175" i="70"/>
  <c r="F175" i="70"/>
  <c r="E175" i="70"/>
  <c r="I174" i="70"/>
  <c r="H174" i="70"/>
  <c r="G174" i="70"/>
  <c r="F174" i="70"/>
  <c r="E174" i="70"/>
  <c r="I173" i="70"/>
  <c r="H173" i="70"/>
  <c r="G173" i="70"/>
  <c r="F173" i="70"/>
  <c r="E173" i="70"/>
  <c r="E7" i="82" a="1"/>
  <c r="E249" i="76" a="1"/>
  <c r="E212" i="76" a="1"/>
  <c r="E176" i="76" a="1"/>
  <c r="E146" i="76" a="1"/>
  <c r="E125" i="76" a="1"/>
  <c r="E102" i="76" a="1"/>
  <c r="E71" i="76" a="1"/>
  <c r="E35" i="76" a="1"/>
  <c r="E7" i="76" a="1"/>
  <c r="S29" i="76" l="1"/>
  <c r="S206" i="76"/>
  <c r="I206" i="76"/>
  <c r="I169" i="76"/>
  <c r="V29" i="95"/>
  <c r="K30" i="95"/>
  <c r="K29" i="95"/>
  <c r="V30" i="95"/>
  <c r="S96" i="76"/>
  <c r="I119" i="76"/>
  <c r="F280" i="76"/>
  <c r="S50" i="76"/>
  <c r="I65" i="76"/>
  <c r="E60" i="76"/>
  <c r="F60" i="76"/>
  <c r="G60" i="76"/>
  <c r="F114" i="76"/>
  <c r="H114" i="76"/>
  <c r="G114" i="76"/>
  <c r="D114" i="76"/>
  <c r="H60" i="76"/>
  <c r="Q68" i="82"/>
  <c r="E7" i="82"/>
  <c r="E249" i="76"/>
  <c r="E212" i="76"/>
  <c r="E176" i="76"/>
  <c r="E146" i="76"/>
  <c r="E125" i="76"/>
  <c r="E102" i="76"/>
  <c r="E71" i="76"/>
  <c r="E35" i="76"/>
  <c r="E7" i="76"/>
  <c r="I60" i="76"/>
  <c r="D60" i="76"/>
  <c r="F183" i="70"/>
  <c r="F185" i="70" s="1"/>
  <c r="I183" i="70"/>
  <c r="I185" i="70" s="1"/>
  <c r="E183" i="70"/>
  <c r="E185" i="70" s="1"/>
  <c r="G183" i="70"/>
  <c r="G185" i="70" s="1"/>
  <c r="I176" i="70"/>
  <c r="I178" i="70" s="1"/>
  <c r="H183" i="70"/>
  <c r="H185" i="70" s="1"/>
  <c r="H207" i="70"/>
  <c r="H210" i="70" s="1"/>
  <c r="H212" i="70" s="1"/>
  <c r="I208" i="70"/>
  <c r="F209" i="70"/>
  <c r="I209" i="70"/>
  <c r="E216" i="70"/>
  <c r="F216" i="70"/>
  <c r="G216" i="70"/>
  <c r="F176" i="70"/>
  <c r="F178" i="70" s="1"/>
  <c r="E207" i="70"/>
  <c r="G176" i="70"/>
  <c r="G178" i="70" s="1"/>
  <c r="F207" i="70"/>
  <c r="E176" i="70"/>
  <c r="E178" i="70" s="1"/>
  <c r="H176" i="70"/>
  <c r="H178" i="70" s="1"/>
  <c r="E209" i="70"/>
  <c r="E215" i="70"/>
  <c r="G209" i="70"/>
  <c r="G215" i="70"/>
  <c r="H215" i="70"/>
  <c r="I207" i="70"/>
  <c r="H216" i="70"/>
  <c r="I215" i="70"/>
  <c r="E208" i="70"/>
  <c r="E214" i="70"/>
  <c r="I214" i="70"/>
  <c r="F208" i="70"/>
  <c r="F214" i="70"/>
  <c r="G208" i="70"/>
  <c r="G214" i="70"/>
  <c r="F217" i="70" l="1"/>
  <c r="F219" i="70" s="1"/>
  <c r="I210" i="70"/>
  <c r="I212" i="70" s="1"/>
  <c r="F210" i="70"/>
  <c r="F212" i="70" s="1"/>
  <c r="G210" i="70"/>
  <c r="G212" i="70" s="1"/>
  <c r="E217" i="70"/>
  <c r="E219" i="70" s="1"/>
  <c r="H217" i="70"/>
  <c r="H219" i="70" s="1"/>
  <c r="E210" i="70"/>
  <c r="E212" i="70" s="1"/>
  <c r="I217" i="70"/>
  <c r="I219" i="70" s="1"/>
  <c r="G217" i="70"/>
  <c r="G219" i="70" s="1"/>
  <c r="G201" i="76" l="1"/>
  <c r="Q201" i="76"/>
  <c r="P196" i="76"/>
  <c r="H196" i="76"/>
  <c r="F201" i="76"/>
  <c r="F196" i="76"/>
  <c r="E164" i="76"/>
  <c r="R196" i="76"/>
  <c r="D164" i="76"/>
  <c r="D201" i="76"/>
  <c r="N201" i="76"/>
  <c r="O164" i="76"/>
  <c r="H201" i="76"/>
  <c r="G164" i="76"/>
  <c r="E201" i="76"/>
  <c r="O201" i="76"/>
  <c r="Q164" i="76"/>
  <c r="N164" i="76"/>
  <c r="P201" i="76" l="1"/>
  <c r="R201" i="76"/>
  <c r="I234" i="70" l="1"/>
  <c r="J82" i="81" s="1"/>
  <c r="H234" i="70"/>
  <c r="I82" i="81" s="1"/>
  <c r="I239" i="70"/>
  <c r="J83" i="81" s="1"/>
  <c r="H239" i="70"/>
  <c r="I83" i="81" s="1"/>
  <c r="I229" i="70"/>
  <c r="J81" i="81" s="1"/>
  <c r="H229" i="70"/>
  <c r="I81" i="81" s="1"/>
  <c r="D55" i="76"/>
  <c r="H191" i="76"/>
  <c r="F191" i="76"/>
  <c r="H24" i="76" a="1"/>
  <c r="H24" i="76" s="1"/>
  <c r="G24" i="76" a="1"/>
  <c r="G24" i="76" s="1"/>
  <c r="F24" i="76" a="1"/>
  <c r="F24" i="76" s="1"/>
  <c r="E24" i="76" a="1"/>
  <c r="E24" i="76" s="1"/>
  <c r="D24" i="76" a="1"/>
  <c r="D24" i="76" s="1"/>
  <c r="F76" i="81" l="1"/>
  <c r="F75" i="81"/>
  <c r="F73" i="81"/>
  <c r="F72" i="81"/>
  <c r="F74" i="81"/>
  <c r="E63" i="81" a="1"/>
  <c r="E63" i="81" s="1"/>
  <c r="E72" i="81" a="1"/>
  <c r="E72" i="81" s="1"/>
  <c r="D72" i="81" a="1"/>
  <c r="D72" i="81" s="1"/>
  <c r="D63" i="81" a="1"/>
  <c r="D63" i="81" s="1"/>
  <c r="E262" i="76" a="1"/>
  <c r="E262" i="76" s="1"/>
  <c r="E31" i="82" a="1"/>
  <c r="E31" i="82" s="1"/>
  <c r="D262" i="76" a="1"/>
  <c r="D262" i="76" s="1"/>
  <c r="D31" i="82" a="1"/>
  <c r="D31" i="82" s="1"/>
  <c r="F35" i="82"/>
  <c r="F34" i="82"/>
  <c r="F33" i="82"/>
  <c r="F32" i="82"/>
  <c r="F31" i="82"/>
  <c r="H55" i="76"/>
  <c r="G55" i="76"/>
  <c r="E55" i="76"/>
  <c r="F55" i="76"/>
  <c r="G150" i="70" a="1"/>
  <c r="G150" i="70" s="1"/>
  <c r="H145" i="70" a="1"/>
  <c r="H145" i="70" s="1"/>
  <c r="E150" i="70" a="1"/>
  <c r="E150" i="70" s="1"/>
  <c r="I149" i="70" a="1"/>
  <c r="I149" i="70" s="1"/>
  <c r="I143" i="70" a="1"/>
  <c r="I143" i="70" s="1"/>
  <c r="G148" i="70" a="1"/>
  <c r="G148" i="70" s="1"/>
  <c r="S25" i="96" s="1"/>
  <c r="H150" i="70" a="1"/>
  <c r="H150" i="70" s="1"/>
  <c r="F150" i="70" a="1"/>
  <c r="F150" i="70" s="1"/>
  <c r="G145" i="70" a="1"/>
  <c r="G145" i="70" s="1"/>
  <c r="F145" i="70" a="1"/>
  <c r="F145" i="70" s="1"/>
  <c r="E145" i="70" a="1"/>
  <c r="E145" i="70" s="1"/>
  <c r="E143" i="70" a="1"/>
  <c r="E143" i="70" s="1"/>
  <c r="F25" i="96" s="1"/>
  <c r="H149" i="70" a="1"/>
  <c r="H149" i="70" s="1"/>
  <c r="I144" i="70" a="1"/>
  <c r="I144" i="70" s="1"/>
  <c r="E149" i="70" a="1"/>
  <c r="E149" i="70" s="1"/>
  <c r="E144" i="70" a="1"/>
  <c r="E144" i="70" s="1"/>
  <c r="I145" i="70" a="1"/>
  <c r="I145" i="70" s="1"/>
  <c r="G149" i="70" a="1"/>
  <c r="G149" i="70" s="1"/>
  <c r="H144" i="70" a="1"/>
  <c r="H144" i="70" s="1"/>
  <c r="F144" i="70" a="1"/>
  <c r="F144" i="70" s="1"/>
  <c r="H148" i="70" a="1"/>
  <c r="H148" i="70" s="1"/>
  <c r="T25" i="96" s="1"/>
  <c r="F149" i="70" a="1"/>
  <c r="F149" i="70" s="1"/>
  <c r="G144" i="70" a="1"/>
  <c r="G144" i="70" s="1"/>
  <c r="I148" i="70" a="1"/>
  <c r="I148" i="70" s="1"/>
  <c r="U25" i="96" s="1"/>
  <c r="H143" i="70" a="1"/>
  <c r="H143" i="70" s="1"/>
  <c r="F148" i="70" a="1"/>
  <c r="F148" i="70" s="1"/>
  <c r="R25" i="96" s="1"/>
  <c r="G143" i="70" a="1"/>
  <c r="G143" i="70" s="1"/>
  <c r="I150" i="70" a="1"/>
  <c r="I150" i="70" s="1"/>
  <c r="E148" i="70" a="1"/>
  <c r="E148" i="70" s="1"/>
  <c r="Q25" i="96" s="1"/>
  <c r="F143" i="70" a="1"/>
  <c r="F143" i="70" s="1"/>
  <c r="H199" i="93" a="1"/>
  <c r="H199" i="93" s="1"/>
  <c r="G199" i="93" a="1"/>
  <c r="G199" i="93" s="1"/>
  <c r="F199" i="93" a="1"/>
  <c r="F199" i="93" s="1"/>
  <c r="E199" i="93" a="1"/>
  <c r="E199" i="93" s="1"/>
  <c r="D199" i="93" a="1"/>
  <c r="D199" i="93" s="1"/>
  <c r="H198" i="93" a="1"/>
  <c r="H198" i="93" s="1"/>
  <c r="G198" i="93" a="1"/>
  <c r="G198" i="93" s="1"/>
  <c r="F198" i="93" a="1"/>
  <c r="F198" i="93" s="1"/>
  <c r="E198" i="93" a="1"/>
  <c r="E198" i="93" s="1"/>
  <c r="D198" i="93" a="1"/>
  <c r="D198" i="93" s="1"/>
  <c r="H197" i="93" a="1"/>
  <c r="H197" i="93" s="1"/>
  <c r="G197" i="93" a="1"/>
  <c r="G197" i="93" s="1"/>
  <c r="F197" i="93" a="1"/>
  <c r="F197" i="93" s="1"/>
  <c r="E197" i="93" a="1"/>
  <c r="E197" i="93" s="1"/>
  <c r="D197" i="93" a="1"/>
  <c r="D197" i="93" s="1"/>
  <c r="H196" i="93" a="1"/>
  <c r="H196" i="93" s="1"/>
  <c r="G196" i="93" a="1"/>
  <c r="G196" i="93" s="1"/>
  <c r="F196" i="93" a="1"/>
  <c r="F196" i="93" s="1"/>
  <c r="E196" i="93" a="1"/>
  <c r="E196" i="93" s="1"/>
  <c r="D196" i="93" a="1"/>
  <c r="D196" i="93" s="1"/>
  <c r="H195" i="93" a="1"/>
  <c r="H195" i="93" s="1"/>
  <c r="G195" i="93" a="1"/>
  <c r="G195" i="93" s="1"/>
  <c r="F195" i="93" a="1"/>
  <c r="F195" i="93" s="1"/>
  <c r="E195" i="93" a="1"/>
  <c r="E195" i="93" s="1"/>
  <c r="D195" i="93" a="1"/>
  <c r="D195" i="93" s="1"/>
  <c r="H194" i="93" a="1"/>
  <c r="H194" i="93" s="1"/>
  <c r="G194" i="93" a="1"/>
  <c r="G194" i="93" s="1"/>
  <c r="F194" i="93" a="1"/>
  <c r="F194" i="93" s="1"/>
  <c r="E194" i="93" a="1"/>
  <c r="E194" i="93" s="1"/>
  <c r="D194" i="93" a="1"/>
  <c r="D194" i="93" s="1"/>
  <c r="H193" i="93" a="1"/>
  <c r="H193" i="93" s="1"/>
  <c r="G193" i="93" a="1"/>
  <c r="G193" i="93" s="1"/>
  <c r="F193" i="93" a="1"/>
  <c r="F193" i="93" s="1"/>
  <c r="E193" i="93" a="1"/>
  <c r="E193" i="93" s="1"/>
  <c r="D193" i="93" a="1"/>
  <c r="D193" i="93" s="1"/>
  <c r="H192" i="93" a="1"/>
  <c r="H192" i="93" s="1"/>
  <c r="G192" i="93" a="1"/>
  <c r="G192" i="93" s="1"/>
  <c r="F192" i="93" a="1"/>
  <c r="F192" i="93" s="1"/>
  <c r="E192" i="93" a="1"/>
  <c r="E192" i="93" s="1"/>
  <c r="D192" i="93" a="1"/>
  <c r="D192" i="93" s="1"/>
  <c r="H191" i="93" a="1"/>
  <c r="H191" i="93" s="1"/>
  <c r="G191" i="93" a="1"/>
  <c r="G191" i="93" s="1"/>
  <c r="F191" i="93" a="1"/>
  <c r="F191" i="93" s="1"/>
  <c r="E191" i="93" a="1"/>
  <c r="E191" i="93" s="1"/>
  <c r="D191" i="93" a="1"/>
  <c r="D191" i="93" s="1"/>
  <c r="H190" i="93" a="1"/>
  <c r="H190" i="93" s="1"/>
  <c r="G190" i="93" a="1"/>
  <c r="G190" i="93" s="1"/>
  <c r="F190" i="93" a="1"/>
  <c r="F190" i="93" s="1"/>
  <c r="E190" i="93" a="1"/>
  <c r="E190" i="93" s="1"/>
  <c r="D190" i="93" a="1"/>
  <c r="D190" i="93" s="1"/>
  <c r="H189" i="93" a="1"/>
  <c r="H189" i="93" s="1"/>
  <c r="G189" i="93" a="1"/>
  <c r="G189" i="93" s="1"/>
  <c r="F189" i="93" a="1"/>
  <c r="F189" i="93" s="1"/>
  <c r="E189" i="93" a="1"/>
  <c r="E189" i="93" s="1"/>
  <c r="D189" i="93" a="1"/>
  <c r="D189" i="93" s="1"/>
  <c r="H188" i="93" a="1"/>
  <c r="H188" i="93" s="1"/>
  <c r="G188" i="93" a="1"/>
  <c r="G188" i="93" s="1"/>
  <c r="F188" i="93" a="1"/>
  <c r="F188" i="93" s="1"/>
  <c r="G9" i="79" s="1"/>
  <c r="E188" i="93" a="1"/>
  <c r="E188" i="93" s="1"/>
  <c r="D188" i="93" a="1"/>
  <c r="D188" i="93" s="1"/>
  <c r="H187" i="93" a="1"/>
  <c r="H187" i="93" s="1"/>
  <c r="G187" i="93" a="1"/>
  <c r="G187" i="93" s="1"/>
  <c r="F187" i="93" a="1"/>
  <c r="F187" i="93" s="1"/>
  <c r="E187" i="93" a="1"/>
  <c r="E187" i="93" s="1"/>
  <c r="D187" i="93" a="1"/>
  <c r="D187" i="93" s="1"/>
  <c r="D181" i="93" a="1"/>
  <c r="D181" i="93" s="1"/>
  <c r="D180" i="93" a="1"/>
  <c r="D180" i="93" s="1"/>
  <c r="D179" i="93" a="1"/>
  <c r="D179" i="93" s="1"/>
  <c r="D178" i="93" a="1"/>
  <c r="D178" i="93" s="1"/>
  <c r="E175" i="93" a="1"/>
  <c r="E175" i="93" s="1"/>
  <c r="D175" i="93" a="1"/>
  <c r="D175" i="93" s="1"/>
  <c r="D174" i="93" a="1"/>
  <c r="D174" i="93" s="1"/>
  <c r="D173" i="93" a="1"/>
  <c r="D173" i="93" s="1"/>
  <c r="D170" i="93" a="1"/>
  <c r="D170" i="93" s="1"/>
  <c r="D169" i="93" a="1"/>
  <c r="D169" i="93" s="1"/>
  <c r="D168" i="93" a="1"/>
  <c r="D168" i="93" s="1"/>
  <c r="D167" i="93" a="1"/>
  <c r="D167" i="93" s="1"/>
  <c r="D164" i="93" a="1"/>
  <c r="D164" i="93" s="1"/>
  <c r="D163" i="93" a="1"/>
  <c r="D163" i="93" s="1"/>
  <c r="D162" i="93" a="1"/>
  <c r="D162" i="93" s="1"/>
  <c r="D161" i="93" a="1"/>
  <c r="D161" i="93" s="1"/>
  <c r="E158" i="93" a="1"/>
  <c r="E158" i="93" s="1"/>
  <c r="D158" i="93" a="1"/>
  <c r="D158" i="93" s="1"/>
  <c r="E157" i="93" a="1"/>
  <c r="E157" i="93" s="1"/>
  <c r="D157" i="93" a="1"/>
  <c r="D157" i="93" s="1"/>
  <c r="E156" i="93" a="1"/>
  <c r="E156" i="93" s="1"/>
  <c r="D156" i="93" a="1"/>
  <c r="D156" i="93" s="1"/>
  <c r="E155" i="93" a="1"/>
  <c r="E155" i="93" s="1"/>
  <c r="D155" i="93" a="1"/>
  <c r="D155" i="93" s="1"/>
  <c r="E154" i="93" a="1"/>
  <c r="E154" i="93" s="1"/>
  <c r="D154" i="93" a="1"/>
  <c r="D154" i="93" s="1"/>
  <c r="D151" i="93" a="1"/>
  <c r="D151" i="93" s="1"/>
  <c r="D150" i="93" a="1"/>
  <c r="D150" i="93" s="1"/>
  <c r="E136" i="93" a="1"/>
  <c r="E136" i="93" s="1"/>
  <c r="D136" i="93" a="1"/>
  <c r="D136" i="93" s="1"/>
  <c r="E135" i="93" a="1"/>
  <c r="E135" i="93" s="1"/>
  <c r="D135" i="93" a="1"/>
  <c r="D135" i="93" s="1"/>
  <c r="H14" i="98" s="1" a="1"/>
  <c r="H14" i="98" s="1"/>
  <c r="D133" i="93" a="1"/>
  <c r="D133" i="93" s="1"/>
  <c r="D132" i="93" a="1"/>
  <c r="D132" i="93" s="1"/>
  <c r="E129" i="93" a="1"/>
  <c r="E129" i="93" s="1"/>
  <c r="D129" i="93" a="1"/>
  <c r="D129" i="93" s="1"/>
  <c r="E128" i="93" a="1"/>
  <c r="E128" i="93" s="1"/>
  <c r="D128" i="93" a="1"/>
  <c r="D128" i="93" s="1"/>
  <c r="D125" i="93" a="1"/>
  <c r="D125" i="93" s="1"/>
  <c r="D124" i="93" a="1"/>
  <c r="D124" i="93" s="1"/>
  <c r="G121" i="93" a="1"/>
  <c r="G121" i="93" s="1"/>
  <c r="F121" i="93" a="1"/>
  <c r="F121" i="93" s="1"/>
  <c r="E121" i="93" a="1"/>
  <c r="E121" i="93" s="1"/>
  <c r="D121" i="93" a="1"/>
  <c r="D121" i="93" s="1"/>
  <c r="G120" i="93" a="1"/>
  <c r="G120" i="93" s="1"/>
  <c r="F120" i="93" a="1"/>
  <c r="F120" i="93" s="1"/>
  <c r="E120" i="93" a="1"/>
  <c r="E120" i="93" s="1"/>
  <c r="D120" i="93" a="1"/>
  <c r="D120" i="93" s="1"/>
  <c r="D117" i="93" a="1"/>
  <c r="D117" i="93" s="1"/>
  <c r="D116" i="93" a="1"/>
  <c r="D116" i="93" s="1"/>
  <c r="D115" i="93" a="1"/>
  <c r="D115" i="93" s="1"/>
  <c r="G112" i="93" a="1"/>
  <c r="G112" i="93" s="1"/>
  <c r="F112" i="93" a="1"/>
  <c r="F112" i="93" s="1"/>
  <c r="E112" i="93" a="1"/>
  <c r="E112" i="93" s="1"/>
  <c r="D112" i="93" a="1"/>
  <c r="D112" i="93" s="1"/>
  <c r="G111" i="93" a="1"/>
  <c r="G111" i="93" s="1"/>
  <c r="F111" i="93" a="1"/>
  <c r="F111" i="93" s="1"/>
  <c r="E111" i="93" a="1"/>
  <c r="E111" i="93" s="1"/>
  <c r="D111" i="93" a="1"/>
  <c r="D111" i="93" s="1"/>
  <c r="G110" i="93" a="1"/>
  <c r="G110" i="93" s="1"/>
  <c r="F110" i="93" a="1"/>
  <c r="F110" i="93" s="1"/>
  <c r="E110" i="93" a="1"/>
  <c r="E110" i="93" s="1"/>
  <c r="D110" i="93" a="1"/>
  <c r="D110" i="93" s="1"/>
  <c r="D107" i="93" a="1"/>
  <c r="D107" i="93" s="1"/>
  <c r="D106" i="93" a="1"/>
  <c r="D106" i="93" s="1"/>
  <c r="D105" i="93" a="1"/>
  <c r="D105" i="93" s="1"/>
  <c r="D98" i="93" a="1"/>
  <c r="D98" i="93" s="1"/>
  <c r="S97" i="93" a="1"/>
  <c r="S97" i="93" s="1"/>
  <c r="R97" i="93" a="1"/>
  <c r="R97" i="93" s="1"/>
  <c r="Q97" i="93" a="1"/>
  <c r="Q97" i="93" s="1"/>
  <c r="P97" i="93" a="1"/>
  <c r="P97" i="93" s="1"/>
  <c r="O97" i="93" a="1"/>
  <c r="O97" i="93" s="1"/>
  <c r="N97" i="93" a="1"/>
  <c r="N97" i="93" s="1"/>
  <c r="M97" i="93" a="1"/>
  <c r="M97" i="93" s="1"/>
  <c r="L97" i="93" a="1"/>
  <c r="L97" i="93" s="1"/>
  <c r="K97" i="93" a="1"/>
  <c r="K97" i="93" s="1"/>
  <c r="J97" i="93" a="1"/>
  <c r="J97" i="93" s="1"/>
  <c r="I97" i="93" a="1"/>
  <c r="I97" i="93" s="1"/>
  <c r="H97" i="93" a="1"/>
  <c r="H97" i="93" s="1"/>
  <c r="G97" i="93" a="1"/>
  <c r="G97" i="93" s="1"/>
  <c r="F97" i="93" a="1"/>
  <c r="F97" i="93" s="1"/>
  <c r="E97" i="93" a="1"/>
  <c r="E97" i="93" s="1"/>
  <c r="D97" i="93" a="1"/>
  <c r="D97" i="93" s="1"/>
  <c r="S96" i="93" a="1"/>
  <c r="S96" i="93" s="1"/>
  <c r="R96" i="93" a="1"/>
  <c r="R96" i="93" s="1"/>
  <c r="Q96" i="93" a="1"/>
  <c r="Q96" i="93" s="1"/>
  <c r="P96" i="93" a="1"/>
  <c r="P96" i="93" s="1"/>
  <c r="O96" i="93" a="1"/>
  <c r="O96" i="93" s="1"/>
  <c r="N96" i="93" a="1"/>
  <c r="N96" i="93" s="1"/>
  <c r="M96" i="93" a="1"/>
  <c r="M96" i="93" s="1"/>
  <c r="L96" i="93" a="1"/>
  <c r="L96" i="93" s="1"/>
  <c r="K96" i="93" a="1"/>
  <c r="K96" i="93" s="1"/>
  <c r="J96" i="93" a="1"/>
  <c r="J96" i="93" s="1"/>
  <c r="I96" i="93" a="1"/>
  <c r="I96" i="93" s="1"/>
  <c r="H96" i="93" a="1"/>
  <c r="H96" i="93" s="1"/>
  <c r="G96" i="93" a="1"/>
  <c r="G96" i="93" s="1"/>
  <c r="F96" i="93" a="1"/>
  <c r="F96" i="93" s="1"/>
  <c r="E96" i="93" a="1"/>
  <c r="E96" i="93" s="1"/>
  <c r="D96" i="93" a="1"/>
  <c r="D96" i="93" s="1"/>
  <c r="S95" i="93" a="1"/>
  <c r="S95" i="93" s="1"/>
  <c r="R95" i="93" a="1"/>
  <c r="R95" i="93" s="1"/>
  <c r="Q95" i="93" a="1"/>
  <c r="Q95" i="93" s="1"/>
  <c r="P95" i="93" a="1"/>
  <c r="P95" i="93" s="1"/>
  <c r="O95" i="93" a="1"/>
  <c r="O95" i="93" s="1"/>
  <c r="N95" i="93" a="1"/>
  <c r="N95" i="93" s="1"/>
  <c r="M95" i="93" a="1"/>
  <c r="M95" i="93" s="1"/>
  <c r="L95" i="93" a="1"/>
  <c r="L95" i="93" s="1"/>
  <c r="K95" i="93" a="1"/>
  <c r="K95" i="93" s="1"/>
  <c r="J95" i="93" a="1"/>
  <c r="J95" i="93" s="1"/>
  <c r="I95" i="93" a="1"/>
  <c r="I95" i="93" s="1"/>
  <c r="H95" i="93" a="1"/>
  <c r="H95" i="93" s="1"/>
  <c r="G95" i="93" a="1"/>
  <c r="G95" i="93" s="1"/>
  <c r="F95" i="93" a="1"/>
  <c r="F95" i="93" s="1"/>
  <c r="E95" i="93" a="1"/>
  <c r="E95" i="93" s="1"/>
  <c r="D95" i="93" a="1"/>
  <c r="D95" i="93" s="1"/>
  <c r="S94" i="93" a="1"/>
  <c r="S94" i="93" s="1"/>
  <c r="R94" i="93" a="1"/>
  <c r="R94" i="93" s="1"/>
  <c r="Q94" i="93" a="1"/>
  <c r="Q94" i="93" s="1"/>
  <c r="P94" i="93" a="1"/>
  <c r="P94" i="93" s="1"/>
  <c r="O94" i="93" a="1"/>
  <c r="O94" i="93" s="1"/>
  <c r="N94" i="93" a="1"/>
  <c r="N94" i="93" s="1"/>
  <c r="M94" i="93" a="1"/>
  <c r="M94" i="93" s="1"/>
  <c r="L94" i="93" a="1"/>
  <c r="L94" i="93" s="1"/>
  <c r="K94" i="93" a="1"/>
  <c r="K94" i="93" s="1"/>
  <c r="J94" i="93" a="1"/>
  <c r="J94" i="93" s="1"/>
  <c r="I94" i="93" a="1"/>
  <c r="I94" i="93" s="1"/>
  <c r="H94" i="93" a="1"/>
  <c r="H94" i="93" s="1"/>
  <c r="G94" i="93" a="1"/>
  <c r="G94" i="93" s="1"/>
  <c r="F94" i="93" a="1"/>
  <c r="F94" i="93" s="1"/>
  <c r="E94" i="93" a="1"/>
  <c r="E94" i="93" s="1"/>
  <c r="D94" i="93" a="1"/>
  <c r="D94" i="93" s="1"/>
  <c r="S93" i="93" a="1"/>
  <c r="S93" i="93" s="1"/>
  <c r="R93" i="93" a="1"/>
  <c r="R93" i="93" s="1"/>
  <c r="Q93" i="93" a="1"/>
  <c r="Q93" i="93" s="1"/>
  <c r="P93" i="93" a="1"/>
  <c r="P93" i="93" s="1"/>
  <c r="O93" i="93" a="1"/>
  <c r="O93" i="93" s="1"/>
  <c r="N93" i="93" a="1"/>
  <c r="N93" i="93" s="1"/>
  <c r="M93" i="93" a="1"/>
  <c r="M93" i="93" s="1"/>
  <c r="L93" i="93" a="1"/>
  <c r="L93" i="93" s="1"/>
  <c r="K93" i="93" a="1"/>
  <c r="K93" i="93" s="1"/>
  <c r="J93" i="93" a="1"/>
  <c r="J93" i="93" s="1"/>
  <c r="I93" i="93" a="1"/>
  <c r="I93" i="93" s="1"/>
  <c r="H93" i="93" a="1"/>
  <c r="H93" i="93" s="1"/>
  <c r="G93" i="93" a="1"/>
  <c r="G93" i="93" s="1"/>
  <c r="F93" i="93" a="1"/>
  <c r="F93" i="93" s="1"/>
  <c r="E93" i="93" a="1"/>
  <c r="E93" i="93" s="1"/>
  <c r="D93" i="93" a="1"/>
  <c r="D93" i="93" s="1"/>
  <c r="S92" i="93" a="1"/>
  <c r="S92" i="93" s="1"/>
  <c r="R92" i="93" a="1"/>
  <c r="R92" i="93" s="1"/>
  <c r="Q92" i="93" a="1"/>
  <c r="Q92" i="93" s="1"/>
  <c r="P92" i="93" a="1"/>
  <c r="P92" i="93" s="1"/>
  <c r="O92" i="93" a="1"/>
  <c r="O92" i="93" s="1"/>
  <c r="N92" i="93" a="1"/>
  <c r="N92" i="93" s="1"/>
  <c r="M92" i="93" a="1"/>
  <c r="M92" i="93" s="1"/>
  <c r="L92" i="93" a="1"/>
  <c r="L92" i="93" s="1"/>
  <c r="K92" i="93" a="1"/>
  <c r="K92" i="93" s="1"/>
  <c r="J92" i="93" a="1"/>
  <c r="J92" i="93" s="1"/>
  <c r="I92" i="93" a="1"/>
  <c r="I92" i="93" s="1"/>
  <c r="H92" i="93" a="1"/>
  <c r="H92" i="93" s="1"/>
  <c r="G92" i="93" a="1"/>
  <c r="G92" i="93" s="1"/>
  <c r="F92" i="93" a="1"/>
  <c r="F92" i="93" s="1"/>
  <c r="E92" i="93" a="1"/>
  <c r="E92" i="93" s="1"/>
  <c r="D92" i="93" a="1"/>
  <c r="D92" i="93" s="1"/>
  <c r="S91" i="93" a="1"/>
  <c r="S91" i="93" s="1"/>
  <c r="R91" i="93" a="1"/>
  <c r="R91" i="93" s="1"/>
  <c r="Q91" i="93" a="1"/>
  <c r="Q91" i="93" s="1"/>
  <c r="P91" i="93" a="1"/>
  <c r="P91" i="93" s="1"/>
  <c r="O91" i="93" a="1"/>
  <c r="O91" i="93" s="1"/>
  <c r="N91" i="93" a="1"/>
  <c r="N91" i="93" s="1"/>
  <c r="M91" i="93" a="1"/>
  <c r="M91" i="93" s="1"/>
  <c r="L91" i="93" a="1"/>
  <c r="L91" i="93" s="1"/>
  <c r="K91" i="93" a="1"/>
  <c r="K91" i="93" s="1"/>
  <c r="J91" i="93" a="1"/>
  <c r="J91" i="93" s="1"/>
  <c r="I91" i="93" a="1"/>
  <c r="I91" i="93" s="1"/>
  <c r="H91" i="93" a="1"/>
  <c r="H91" i="93" s="1"/>
  <c r="G91" i="93" a="1"/>
  <c r="G91" i="93" s="1"/>
  <c r="F91" i="93" a="1"/>
  <c r="F91" i="93" s="1"/>
  <c r="E91" i="93" a="1"/>
  <c r="E91" i="93" s="1"/>
  <c r="D91" i="93" a="1"/>
  <c r="D91" i="93" s="1"/>
  <c r="S90" i="93" a="1"/>
  <c r="S90" i="93" s="1"/>
  <c r="R90" i="93" a="1"/>
  <c r="R90" i="93" s="1"/>
  <c r="Q90" i="93" a="1"/>
  <c r="Q90" i="93" s="1"/>
  <c r="P90" i="93" a="1"/>
  <c r="P90" i="93" s="1"/>
  <c r="O90" i="93" a="1"/>
  <c r="O90" i="93" s="1"/>
  <c r="N90" i="93" a="1"/>
  <c r="N90" i="93" s="1"/>
  <c r="M90" i="93" a="1"/>
  <c r="M90" i="93" s="1"/>
  <c r="L90" i="93" a="1"/>
  <c r="L90" i="93" s="1"/>
  <c r="K90" i="93" a="1"/>
  <c r="K90" i="93" s="1"/>
  <c r="J90" i="93" a="1"/>
  <c r="J90" i="93" s="1"/>
  <c r="I90" i="93" a="1"/>
  <c r="I90" i="93" s="1"/>
  <c r="H90" i="93" a="1"/>
  <c r="H90" i="93" s="1"/>
  <c r="G90" i="93" a="1"/>
  <c r="G90" i="93" s="1"/>
  <c r="F90" i="93" a="1"/>
  <c r="F90" i="93" s="1"/>
  <c r="E90" i="93" a="1"/>
  <c r="E90" i="93" s="1"/>
  <c r="D90" i="93" a="1"/>
  <c r="D90" i="93" s="1"/>
  <c r="D83" i="93" a="1"/>
  <c r="D83" i="93" s="1"/>
  <c r="D82" i="93" a="1"/>
  <c r="D82" i="93" s="1"/>
  <c r="D81" i="93" a="1"/>
  <c r="D81" i="93" s="1"/>
  <c r="E77" i="93" a="1"/>
  <c r="E77" i="93" s="1"/>
  <c r="D77" i="93" a="1"/>
  <c r="D77" i="93" s="1"/>
  <c r="E76" i="93" a="1"/>
  <c r="E76" i="93" s="1"/>
  <c r="D76" i="93" a="1"/>
  <c r="D76" i="93" s="1"/>
  <c r="E75" i="93" a="1"/>
  <c r="E75" i="93" s="1"/>
  <c r="D75" i="93" a="1"/>
  <c r="D75" i="93" s="1"/>
  <c r="E74" i="93" a="1"/>
  <c r="E74" i="93" s="1"/>
  <c r="D74" i="93" a="1"/>
  <c r="D74" i="93" s="1"/>
  <c r="E73" i="93" a="1"/>
  <c r="E73" i="93" s="1"/>
  <c r="D73" i="93" a="1"/>
  <c r="D73" i="93" s="1"/>
  <c r="E72" i="93" a="1"/>
  <c r="E72" i="93" s="1"/>
  <c r="D72" i="93" a="1"/>
  <c r="D72" i="93" s="1"/>
  <c r="E71" i="93" a="1"/>
  <c r="E71" i="93" s="1"/>
  <c r="D71" i="93" a="1"/>
  <c r="D71" i="93" s="1"/>
  <c r="E70" i="93" a="1"/>
  <c r="E70" i="93" s="1"/>
  <c r="D70" i="93" a="1"/>
  <c r="D70" i="93" s="1"/>
  <c r="E69" i="93" a="1"/>
  <c r="E69" i="93" s="1"/>
  <c r="D69" i="93" a="1"/>
  <c r="D69" i="93" s="1"/>
  <c r="E68" i="93" a="1"/>
  <c r="E68" i="93" s="1"/>
  <c r="D68" i="93" a="1"/>
  <c r="D68" i="93" s="1"/>
  <c r="E67" i="93" a="1"/>
  <c r="E67" i="93" s="1"/>
  <c r="D67" i="93" a="1"/>
  <c r="D67" i="93" s="1"/>
  <c r="E66" i="93" a="1"/>
  <c r="E66" i="93" s="1"/>
  <c r="D66" i="93" a="1"/>
  <c r="D66" i="93" s="1"/>
  <c r="E65" i="93" a="1"/>
  <c r="E65" i="93" s="1"/>
  <c r="D65" i="93" a="1"/>
  <c r="D65" i="93" s="1"/>
  <c r="E64" i="93" a="1"/>
  <c r="E64" i="93" s="1"/>
  <c r="D64" i="93" a="1"/>
  <c r="D64" i="93" s="1"/>
  <c r="D59" i="93" a="1"/>
  <c r="D59" i="93" s="1"/>
  <c r="D58" i="93" a="1"/>
  <c r="D58" i="93" s="1"/>
  <c r="D57" i="93" a="1"/>
  <c r="D57" i="93" s="1"/>
  <c r="G54" i="93" a="1"/>
  <c r="G54" i="93" s="1"/>
  <c r="F54" i="93" a="1"/>
  <c r="F54" i="93" s="1"/>
  <c r="E54" i="93" a="1"/>
  <c r="E54" i="93" s="1"/>
  <c r="D54" i="93" a="1"/>
  <c r="D54" i="93" s="1"/>
  <c r="G53" i="93" a="1"/>
  <c r="G53" i="93" s="1"/>
  <c r="F53" i="93" a="1"/>
  <c r="F53" i="93" s="1"/>
  <c r="E53" i="93" a="1"/>
  <c r="E53" i="93" s="1"/>
  <c r="D53" i="93" a="1"/>
  <c r="D53" i="93" s="1"/>
  <c r="G52" i="93" a="1"/>
  <c r="G52" i="93" s="1"/>
  <c r="F52" i="93" a="1"/>
  <c r="F52" i="93" s="1"/>
  <c r="E52" i="93" a="1"/>
  <c r="E52" i="93" s="1"/>
  <c r="D52" i="93" a="1"/>
  <c r="D52" i="93" s="1"/>
  <c r="G51" i="93" a="1"/>
  <c r="G51" i="93" s="1"/>
  <c r="F51" i="93" a="1"/>
  <c r="F51" i="93" s="1"/>
  <c r="E51" i="93" a="1"/>
  <c r="E51" i="93" s="1"/>
  <c r="D51" i="93" a="1"/>
  <c r="D51" i="93" s="1"/>
  <c r="G50" i="93" a="1"/>
  <c r="G50" i="93" s="1"/>
  <c r="F50" i="93" a="1"/>
  <c r="F50" i="93" s="1"/>
  <c r="E50" i="93" a="1"/>
  <c r="E50" i="93" s="1"/>
  <c r="D50" i="93" a="1"/>
  <c r="D50" i="93" s="1"/>
  <c r="G49" i="93" a="1"/>
  <c r="G49" i="93" s="1"/>
  <c r="F49" i="93" a="1"/>
  <c r="F49" i="93" s="1"/>
  <c r="E49" i="93" a="1"/>
  <c r="E49" i="93" s="1"/>
  <c r="D49" i="93" a="1"/>
  <c r="D49" i="93" s="1"/>
  <c r="G48" i="93" a="1"/>
  <c r="G48" i="93" s="1"/>
  <c r="F48" i="93" a="1"/>
  <c r="F48" i="93" s="1"/>
  <c r="E48" i="93" a="1"/>
  <c r="E48" i="93" s="1"/>
  <c r="D48" i="93" a="1"/>
  <c r="D48" i="93" s="1"/>
  <c r="D46" i="93" a="1"/>
  <c r="D46" i="93" s="1"/>
  <c r="D45" i="93" a="1"/>
  <c r="D45" i="93" s="1"/>
  <c r="E43" i="93" a="1"/>
  <c r="E43" i="93" s="1"/>
  <c r="D43" i="93" a="1"/>
  <c r="D43" i="93" s="1"/>
  <c r="E42" i="93" a="1"/>
  <c r="E42" i="93" s="1"/>
  <c r="D42" i="93" a="1"/>
  <c r="D42" i="93" s="1"/>
  <c r="E41" i="93" a="1"/>
  <c r="E41" i="93" s="1"/>
  <c r="D41" i="93" a="1"/>
  <c r="D41" i="93" s="1"/>
  <c r="E40" i="93" a="1"/>
  <c r="E40" i="93" s="1"/>
  <c r="D40" i="93" a="1"/>
  <c r="D40" i="93" s="1"/>
  <c r="E39" i="93" a="1"/>
  <c r="E39" i="93" s="1"/>
  <c r="D39" i="93" a="1"/>
  <c r="D39" i="93" s="1"/>
  <c r="E38" i="93" a="1"/>
  <c r="E38" i="93" s="1"/>
  <c r="D38" i="93" a="1"/>
  <c r="D38" i="93" s="1"/>
  <c r="E37" i="93" a="1"/>
  <c r="E37" i="93" s="1"/>
  <c r="D37" i="93" a="1"/>
  <c r="D37" i="93" s="1"/>
  <c r="D35" i="93" a="1"/>
  <c r="D35" i="93" s="1"/>
  <c r="D34" i="93" a="1"/>
  <c r="D34" i="93" s="1"/>
  <c r="D30" i="93" a="1"/>
  <c r="D30" i="93" s="1"/>
  <c r="D29" i="93" a="1"/>
  <c r="D29" i="93" s="1"/>
  <c r="D28" i="93" a="1"/>
  <c r="D28" i="93" s="1"/>
  <c r="D27" i="93" a="1"/>
  <c r="D27" i="93" s="1"/>
  <c r="D26" i="93" a="1"/>
  <c r="D26" i="93" s="1"/>
  <c r="D25" i="93" a="1"/>
  <c r="D25" i="93" s="1"/>
  <c r="D24" i="93" a="1"/>
  <c r="D24" i="93" s="1"/>
  <c r="D23" i="93" a="1"/>
  <c r="D23" i="93" s="1"/>
  <c r="D22" i="93" a="1"/>
  <c r="D22" i="93" s="1"/>
  <c r="D21" i="93" a="1"/>
  <c r="D21" i="93" s="1"/>
  <c r="D19" i="93" a="1"/>
  <c r="D19" i="93" s="1"/>
  <c r="D18" i="93" a="1"/>
  <c r="D18" i="93" s="1"/>
  <c r="F14" i="93" a="1"/>
  <c r="F14" i="93" s="1"/>
  <c r="E14" i="93" a="1"/>
  <c r="E14" i="93" s="1"/>
  <c r="D14" i="93" a="1"/>
  <c r="D14" i="93" s="1"/>
  <c r="F13" i="93" a="1"/>
  <c r="F13" i="93" s="1"/>
  <c r="E13" i="93" a="1"/>
  <c r="E13" i="93" s="1"/>
  <c r="D13" i="93" a="1"/>
  <c r="D13" i="93" s="1"/>
  <c r="F12" i="93" a="1"/>
  <c r="F12" i="93" s="1"/>
  <c r="E12" i="93" a="1"/>
  <c r="E12" i="93" s="1"/>
  <c r="D12" i="93" a="1"/>
  <c r="D12" i="93" s="1"/>
  <c r="F11" i="93" a="1"/>
  <c r="F11" i="93" s="1"/>
  <c r="E11" i="93" a="1"/>
  <c r="E11" i="93" s="1"/>
  <c r="D11" i="93" a="1"/>
  <c r="D11" i="93" s="1"/>
  <c r="F10" i="93" a="1"/>
  <c r="F10" i="93" s="1"/>
  <c r="E10" i="93" a="1"/>
  <c r="E10" i="93" s="1"/>
  <c r="D10" i="93" a="1"/>
  <c r="D10" i="93" s="1"/>
  <c r="F9" i="93" a="1"/>
  <c r="F9" i="93" s="1"/>
  <c r="E9" i="93" a="1"/>
  <c r="E9" i="93" s="1"/>
  <c r="D9" i="93" a="1"/>
  <c r="D9" i="93" s="1"/>
  <c r="F8" i="93" a="1"/>
  <c r="F8" i="93" s="1"/>
  <c r="E8" i="93" a="1"/>
  <c r="E8" i="93" s="1"/>
  <c r="D8" i="93" a="1"/>
  <c r="D8" i="93" s="1"/>
  <c r="F7" i="93" a="1"/>
  <c r="F7" i="93" s="1"/>
  <c r="E7" i="93" a="1"/>
  <c r="E7" i="93" s="1"/>
  <c r="D7" i="93" a="1"/>
  <c r="D7" i="93" s="1"/>
  <c r="D5" i="93" a="1"/>
  <c r="D5" i="93" s="1"/>
  <c r="G50" i="98" l="1"/>
  <c r="R50" i="98"/>
  <c r="G48" i="97"/>
  <c r="R48" i="97"/>
  <c r="H39" i="97"/>
  <c r="G56" i="96"/>
  <c r="R56" i="96"/>
  <c r="J25" i="96"/>
  <c r="G25" i="96"/>
  <c r="H25" i="96"/>
  <c r="I25" i="96"/>
  <c r="R55" i="95"/>
  <c r="G55" i="95"/>
  <c r="H14" i="81" a="1"/>
  <c r="H14" i="81" s="1"/>
  <c r="H14" i="95" a="1"/>
  <c r="H14" i="95" s="1"/>
  <c r="R224" i="76" a="1"/>
  <c r="R224" i="76" s="1"/>
  <c r="R226" i="76" a="1"/>
  <c r="R226" i="76" s="1"/>
  <c r="R227" i="76" a="1"/>
  <c r="R227" i="76" s="1"/>
  <c r="R225" i="76" a="1"/>
  <c r="R225" i="76" s="1"/>
  <c r="T226" i="76" a="1"/>
  <c r="T226" i="76" s="1"/>
  <c r="T224" i="76" a="1"/>
  <c r="T224" i="76" s="1"/>
  <c r="T225" i="76" a="1"/>
  <c r="T225" i="76" s="1"/>
  <c r="T227" i="76" a="1"/>
  <c r="T227" i="76" s="1"/>
  <c r="Q91" i="76"/>
  <c r="J229" i="76" a="1"/>
  <c r="J229" i="76" s="1"/>
  <c r="J230" i="76" a="1"/>
  <c r="J230" i="76" s="1"/>
  <c r="J231" i="76" a="1"/>
  <c r="J231" i="76" s="1"/>
  <c r="J228" i="76" a="1"/>
  <c r="J228" i="76" s="1"/>
  <c r="P231" i="76" a="1"/>
  <c r="P231" i="76" s="1"/>
  <c r="P229" i="76" a="1"/>
  <c r="P229" i="76" s="1"/>
  <c r="P228" i="76" a="1"/>
  <c r="P228" i="76" s="1"/>
  <c r="P230" i="76" a="1"/>
  <c r="P230" i="76" s="1"/>
  <c r="G91" i="76"/>
  <c r="F225" i="76" a="1"/>
  <c r="F225" i="76" s="1"/>
  <c r="F227" i="76" a="1"/>
  <c r="F227" i="76" s="1"/>
  <c r="F226" i="76" a="1"/>
  <c r="F226" i="76" s="1"/>
  <c r="F224" i="76" a="1"/>
  <c r="F224" i="76" s="1"/>
  <c r="I230" i="76" a="1"/>
  <c r="I230" i="76" s="1"/>
  <c r="I229" i="76" a="1"/>
  <c r="I229" i="76" s="1"/>
  <c r="I231" i="76" a="1"/>
  <c r="I231" i="76" s="1"/>
  <c r="I228" i="76" a="1"/>
  <c r="I228" i="76" s="1"/>
  <c r="F91" i="76"/>
  <c r="G62" i="82"/>
  <c r="G8" i="79"/>
  <c r="P227" i="76" a="1"/>
  <c r="P227" i="76" s="1"/>
  <c r="P224" i="76" a="1"/>
  <c r="P224" i="76" s="1"/>
  <c r="P226" i="76" a="1"/>
  <c r="P226" i="76" s="1"/>
  <c r="P225" i="76" a="1"/>
  <c r="P225" i="76" s="1"/>
  <c r="R229" i="76" a="1"/>
  <c r="R229" i="76" s="1"/>
  <c r="R231" i="76" a="1"/>
  <c r="R231" i="76" s="1"/>
  <c r="R228" i="76" a="1"/>
  <c r="R228" i="76" s="1"/>
  <c r="R230" i="76" a="1"/>
  <c r="R230" i="76" s="1"/>
  <c r="P91" i="76"/>
  <c r="T231" i="76" a="1"/>
  <c r="T231" i="76" s="1"/>
  <c r="T228" i="76" a="1"/>
  <c r="T228" i="76" s="1"/>
  <c r="T230" i="76" a="1"/>
  <c r="T230" i="76" s="1"/>
  <c r="T229" i="76" a="1"/>
  <c r="T229" i="76" s="1"/>
  <c r="J227" i="76" a="1"/>
  <c r="J227" i="76" s="1"/>
  <c r="J224" i="76" a="1"/>
  <c r="J224" i="76" s="1"/>
  <c r="J226" i="76" a="1"/>
  <c r="J226" i="76" s="1"/>
  <c r="J225" i="76" a="1"/>
  <c r="J225" i="76" s="1"/>
  <c r="E91" i="76"/>
  <c r="O19" i="76"/>
  <c r="O29" i="76" s="1" a="1"/>
  <c r="O29" i="76" s="1"/>
  <c r="S224" i="76" a="1"/>
  <c r="S224" i="76" s="1"/>
  <c r="S226" i="76" a="1"/>
  <c r="S226" i="76" s="1"/>
  <c r="S225" i="76" a="1"/>
  <c r="S225" i="76" s="1"/>
  <c r="S227" i="76" a="1"/>
  <c r="S227" i="76" s="1"/>
  <c r="O91" i="76"/>
  <c r="E19" i="76"/>
  <c r="E29" i="76" s="1" a="1"/>
  <c r="E29" i="76" s="1"/>
  <c r="N91" i="76"/>
  <c r="P19" i="76"/>
  <c r="P29" i="76" s="1" a="1"/>
  <c r="P29" i="76" s="1"/>
  <c r="F228" i="76" a="1"/>
  <c r="F228" i="76" s="1"/>
  <c r="F230" i="76" a="1"/>
  <c r="F230" i="76" s="1"/>
  <c r="F229" i="76" a="1"/>
  <c r="F229" i="76" s="1"/>
  <c r="F231" i="76" a="1"/>
  <c r="F231" i="76" s="1"/>
  <c r="D91" i="76"/>
  <c r="F19" i="76"/>
  <c r="F29" i="76" s="1" a="1"/>
  <c r="F29" i="76" s="1"/>
  <c r="G228" i="76" a="1"/>
  <c r="G228" i="76" s="1"/>
  <c r="G230" i="76" a="1"/>
  <c r="G230" i="76" s="1"/>
  <c r="G231" i="76" a="1"/>
  <c r="G231" i="76" s="1"/>
  <c r="G229" i="76" a="1"/>
  <c r="G229" i="76" s="1"/>
  <c r="H19" i="76"/>
  <c r="H29" i="76" s="1" a="1"/>
  <c r="H29" i="76" s="1"/>
  <c r="N19" i="76"/>
  <c r="N29" i="76" s="1" a="1"/>
  <c r="N29" i="76" s="1"/>
  <c r="H225" i="76" a="1"/>
  <c r="H225" i="76" s="1"/>
  <c r="H227" i="76" a="1"/>
  <c r="H227" i="76" s="1"/>
  <c r="H224" i="76" a="1"/>
  <c r="H224" i="76" s="1"/>
  <c r="H226" i="76" a="1"/>
  <c r="H226" i="76" s="1"/>
  <c r="H230" i="76" a="1"/>
  <c r="H230" i="76" s="1"/>
  <c r="H229" i="76" a="1"/>
  <c r="H229" i="76" s="1"/>
  <c r="H228" i="76" a="1"/>
  <c r="H228" i="76" s="1"/>
  <c r="H231" i="76" a="1"/>
  <c r="H231" i="76" s="1"/>
  <c r="R19" i="76"/>
  <c r="R29" i="76" s="1" a="1"/>
  <c r="R29" i="76" s="1"/>
  <c r="D19" i="76"/>
  <c r="D29" i="76" s="1" a="1"/>
  <c r="D29" i="76" s="1"/>
  <c r="Q224" i="76" a="1"/>
  <c r="Q224" i="76" s="1"/>
  <c r="Q226" i="76" a="1"/>
  <c r="Q226" i="76" s="1"/>
  <c r="Q227" i="76" a="1"/>
  <c r="Q227" i="76" s="1"/>
  <c r="Q225" i="76" a="1"/>
  <c r="Q225" i="76" s="1"/>
  <c r="Q229" i="76" a="1"/>
  <c r="Q229" i="76" s="1"/>
  <c r="Q231" i="76" a="1"/>
  <c r="Q231" i="76" s="1"/>
  <c r="Q228" i="76" a="1"/>
  <c r="Q228" i="76" s="1"/>
  <c r="Q230" i="76" a="1"/>
  <c r="Q230" i="76" s="1"/>
  <c r="G19" i="76"/>
  <c r="G29" i="76" s="1" a="1"/>
  <c r="G29" i="76" s="1"/>
  <c r="G71" i="82"/>
  <c r="R71" i="82"/>
  <c r="Q283" i="76"/>
  <c r="G283" i="76"/>
  <c r="S229" i="76" a="1"/>
  <c r="S229" i="76" s="1"/>
  <c r="S231" i="76" a="1"/>
  <c r="S231" i="76" s="1"/>
  <c r="S228" i="76" a="1"/>
  <c r="S228" i="76" s="1"/>
  <c r="S230" i="76" a="1"/>
  <c r="S230" i="76" s="1"/>
  <c r="Q19" i="76"/>
  <c r="Q29" i="76" s="1" a="1"/>
  <c r="Q29" i="76" s="1"/>
  <c r="G225" i="76" a="1"/>
  <c r="G225" i="76" s="1"/>
  <c r="G227" i="76" a="1"/>
  <c r="G227" i="76" s="1"/>
  <c r="G224" i="76" a="1"/>
  <c r="G224" i="76" s="1"/>
  <c r="G226" i="76" a="1"/>
  <c r="G226" i="76" s="1"/>
  <c r="H91" i="76"/>
  <c r="I225" i="76" a="1"/>
  <c r="I225" i="76" s="1"/>
  <c r="I227" i="76" a="1"/>
  <c r="I227" i="76" s="1"/>
  <c r="I224" i="76" a="1"/>
  <c r="I224" i="76" s="1"/>
  <c r="I226" i="76" a="1"/>
  <c r="I226" i="76" s="1"/>
  <c r="R91" i="76"/>
  <c r="E31" i="15"/>
  <c r="E32" i="15" s="1"/>
  <c r="H46" i="96" s="1"/>
  <c r="H44" i="96" s="1" a="1"/>
  <c r="H44" i="96" s="1"/>
  <c r="E30" i="15"/>
  <c r="E33" i="15"/>
  <c r="H54" i="93"/>
  <c r="H50" i="93"/>
  <c r="G63" i="82" s="1"/>
  <c r="H51" i="93"/>
  <c r="H52" i="93"/>
  <c r="H48" i="93"/>
  <c r="H53" i="93"/>
  <c r="H49" i="93"/>
  <c r="G239" i="70"/>
  <c r="H83" i="81" s="1"/>
  <c r="F239" i="70"/>
  <c r="G83" i="81" s="1"/>
  <c r="E239" i="70"/>
  <c r="F83" i="81" s="1"/>
  <c r="H45" i="98" l="1"/>
  <c r="H40" i="97"/>
  <c r="H43" i="97"/>
  <c r="G66" i="82"/>
  <c r="P50" i="76"/>
  <c r="H45" i="96"/>
  <c r="O50" i="76"/>
  <c r="G44" i="95"/>
  <c r="R50" i="76"/>
  <c r="G257" i="76"/>
  <c r="H50" i="76"/>
  <c r="F50" i="76"/>
  <c r="G50" i="76"/>
  <c r="Q50" i="76"/>
  <c r="N50" i="76" l="1"/>
  <c r="P65" i="76" a="1"/>
  <c r="P65" i="76" s="1"/>
  <c r="P96" i="76" s="1" a="1"/>
  <c r="P96" i="76" s="1"/>
  <c r="P119" i="76" a="1"/>
  <c r="P119" i="76" s="1"/>
  <c r="N65" i="76" a="1"/>
  <c r="N65" i="76" s="1"/>
  <c r="N96" i="76" s="1" a="1"/>
  <c r="N96" i="76" s="1"/>
  <c r="N119" i="76" a="1"/>
  <c r="N119" i="76" s="1"/>
  <c r="E119" i="76" a="1"/>
  <c r="E119" i="76" s="1"/>
  <c r="E65" i="76" a="1"/>
  <c r="E65" i="76" s="1"/>
  <c r="E96" i="76" s="1" a="1"/>
  <c r="E96" i="76" s="1"/>
  <c r="R65" i="76" a="1"/>
  <c r="R65" i="76" s="1"/>
  <c r="R96" i="76" s="1" a="1"/>
  <c r="R96" i="76" s="1"/>
  <c r="R119" i="76" a="1"/>
  <c r="R119" i="76" s="1"/>
  <c r="H65" i="76" a="1"/>
  <c r="H65" i="76" s="1"/>
  <c r="H96" i="76" s="1" a="1"/>
  <c r="H96" i="76" s="1"/>
  <c r="H119" i="76" a="1"/>
  <c r="H119" i="76" s="1"/>
  <c r="Q65" i="76" a="1"/>
  <c r="Q65" i="76" s="1"/>
  <c r="Q96" i="76" s="1" a="1"/>
  <c r="Q96" i="76" s="1"/>
  <c r="Q119" i="76" a="1"/>
  <c r="Q119" i="76" s="1"/>
  <c r="D119" i="76" a="1"/>
  <c r="D119" i="76" s="1"/>
  <c r="D65" i="76" a="1"/>
  <c r="D65" i="76" s="1"/>
  <c r="D96" i="76" s="1" a="1"/>
  <c r="D96" i="76" s="1"/>
  <c r="G119" i="76" a="1"/>
  <c r="G119" i="76" s="1"/>
  <c r="G65" i="76" a="1"/>
  <c r="G65" i="76" s="1"/>
  <c r="G96" i="76" s="1" a="1"/>
  <c r="G96" i="76" s="1"/>
  <c r="O65" i="76" a="1"/>
  <c r="O65" i="76" s="1"/>
  <c r="O96" i="76" s="1" a="1"/>
  <c r="O96" i="76" s="1"/>
  <c r="O119" i="76" a="1"/>
  <c r="O119" i="76" s="1"/>
  <c r="F119" i="76" a="1"/>
  <c r="F119" i="76" s="1"/>
  <c r="F65" i="76" a="1"/>
  <c r="F65" i="76" s="1"/>
  <c r="F96" i="76" s="1" a="1"/>
  <c r="F96" i="76" s="1"/>
  <c r="A39" i="74"/>
  <c r="A38" i="74"/>
  <c r="A37" i="74"/>
  <c r="A36" i="74"/>
  <c r="A33" i="74"/>
  <c r="A30" i="74"/>
  <c r="A29" i="74"/>
  <c r="A28" i="74"/>
  <c r="A27" i="74"/>
  <c r="A26" i="74"/>
  <c r="A25" i="74"/>
  <c r="A24" i="74"/>
  <c r="A19" i="74"/>
  <c r="A18" i="74"/>
  <c r="A15" i="74"/>
  <c r="A14" i="74"/>
  <c r="A13" i="74"/>
  <c r="A12" i="74"/>
  <c r="A11" i="74"/>
  <c r="A10" i="74"/>
  <c r="A9" i="74"/>
  <c r="A8" i="74"/>
  <c r="A7" i="74"/>
  <c r="A4" i="74"/>
  <c r="F139" i="76" l="1" a="1"/>
  <c r="F139" i="76" s="1"/>
  <c r="F169" i="76" s="1" a="1"/>
  <c r="F169" i="76" s="1"/>
  <c r="H139" i="76" a="1"/>
  <c r="H139" i="76" s="1"/>
  <c r="H169" i="76" s="1" a="1"/>
  <c r="H169" i="76" s="1"/>
  <c r="R139" i="76" a="1"/>
  <c r="R139" i="76" s="1"/>
  <c r="R206" i="76" s="1" a="1"/>
  <c r="R206" i="76" s="1"/>
  <c r="Q139" i="76" a="1"/>
  <c r="Q139" i="76" s="1"/>
  <c r="Q169" i="76" s="1" a="1"/>
  <c r="Q169" i="76" s="1"/>
  <c r="D139" i="76" a="1"/>
  <c r="D139" i="76" s="1"/>
  <c r="D169" i="76" s="1" a="1"/>
  <c r="D169" i="76" s="1"/>
  <c r="D19" i="96" s="1"/>
  <c r="G139" i="76" a="1"/>
  <c r="G139" i="76" s="1"/>
  <c r="G206" i="76" s="1" a="1"/>
  <c r="G206" i="76" s="1"/>
  <c r="E139" i="76" a="1"/>
  <c r="E139" i="76" s="1"/>
  <c r="N139" i="76" a="1"/>
  <c r="N139" i="76" s="1"/>
  <c r="O139" i="76" a="1"/>
  <c r="O139" i="76" s="1"/>
  <c r="P139" i="76" a="1"/>
  <c r="P139" i="76" s="1"/>
  <c r="G229" i="70"/>
  <c r="H81" i="81" s="1"/>
  <c r="F229" i="70"/>
  <c r="G81" i="81" s="1"/>
  <c r="E229" i="70"/>
  <c r="F81" i="81" s="1"/>
  <c r="G234" i="70"/>
  <c r="H82" i="81" s="1"/>
  <c r="F234" i="70"/>
  <c r="G82" i="81" s="1"/>
  <c r="E234" i="70"/>
  <c r="F82" i="81" s="1"/>
  <c r="R169" i="76" l="1" a="1"/>
  <c r="R169" i="76" s="1"/>
  <c r="H206" i="76" a="1"/>
  <c r="H206" i="76" s="1"/>
  <c r="H19" i="96" s="1"/>
  <c r="U31" i="96" s="1" a="1"/>
  <c r="U31" i="96" s="1"/>
  <c r="F206" i="76" a="1"/>
  <c r="F206" i="76" s="1"/>
  <c r="F19" i="96" s="1"/>
  <c r="S31" i="96" s="1" a="1"/>
  <c r="S31" i="96" s="1"/>
  <c r="G169" i="76" a="1"/>
  <c r="G169" i="76" s="1"/>
  <c r="G19" i="96" s="1"/>
  <c r="I31" i="96" s="1" a="1"/>
  <c r="I31" i="96" s="1"/>
  <c r="D206" i="76" a="1"/>
  <c r="D206" i="76" s="1"/>
  <c r="Q31" i="96" a="1"/>
  <c r="Q31" i="96" s="1"/>
  <c r="F31" i="96" a="1"/>
  <c r="F31" i="96" s="1"/>
  <c r="Q206" i="76" a="1"/>
  <c r="Q206" i="76" s="1"/>
  <c r="T241" i="76" a="1"/>
  <c r="T241" i="76" s="1"/>
  <c r="T236" i="76" a="1"/>
  <c r="T236" i="76" s="1"/>
  <c r="T239" i="76" a="1"/>
  <c r="T239" i="76" s="1"/>
  <c r="T242" i="76" a="1"/>
  <c r="T242" i="76" s="1"/>
  <c r="T237" i="76" a="1"/>
  <c r="T237" i="76" s="1"/>
  <c r="T243" i="76" a="1"/>
  <c r="T243" i="76" s="1"/>
  <c r="T238" i="76" a="1"/>
  <c r="T238" i="76" s="1"/>
  <c r="T240" i="76" a="1"/>
  <c r="T240" i="76" s="1"/>
  <c r="F243" i="76" a="1"/>
  <c r="F243" i="76" s="1"/>
  <c r="F242" i="76" a="1"/>
  <c r="F242" i="76" s="1"/>
  <c r="F241" i="76" a="1"/>
  <c r="F241" i="76" s="1"/>
  <c r="F240" i="76" a="1"/>
  <c r="F240" i="76" s="1"/>
  <c r="F238" i="76" a="1"/>
  <c r="F238" i="76" s="1"/>
  <c r="F236" i="76" a="1"/>
  <c r="F236" i="76" s="1"/>
  <c r="F239" i="76" a="1"/>
  <c r="F239" i="76" s="1"/>
  <c r="F237" i="76" a="1"/>
  <c r="F237" i="76" s="1"/>
  <c r="S243" i="76" a="1"/>
  <c r="S243" i="76" s="1"/>
  <c r="S241" i="76" a="1"/>
  <c r="S241" i="76" s="1"/>
  <c r="S236" i="76" a="1"/>
  <c r="S236" i="76" s="1"/>
  <c r="S239" i="76" a="1"/>
  <c r="S239" i="76" s="1"/>
  <c r="S238" i="76" a="1"/>
  <c r="S238" i="76" s="1"/>
  <c r="S240" i="76" a="1"/>
  <c r="S240" i="76" s="1"/>
  <c r="S237" i="76" a="1"/>
  <c r="S237" i="76" s="1"/>
  <c r="S242" i="76" a="1"/>
  <c r="S242" i="76" s="1"/>
  <c r="O169" i="76" a="1"/>
  <c r="O169" i="76" s="1"/>
  <c r="O206" i="76" a="1"/>
  <c r="O206" i="76" s="1"/>
  <c r="E169" i="76" a="1"/>
  <c r="E169" i="76" s="1"/>
  <c r="E19" i="96" s="1"/>
  <c r="E206" i="76" a="1"/>
  <c r="E206" i="76" s="1"/>
  <c r="N169" i="76" a="1"/>
  <c r="N169" i="76" s="1"/>
  <c r="N206" i="76" a="1"/>
  <c r="N206" i="76" s="1"/>
  <c r="P169" i="76" a="1"/>
  <c r="P169" i="76" s="1"/>
  <c r="P206" i="76" a="1"/>
  <c r="P206" i="76" s="1"/>
  <c r="J240" i="76" l="1" a="1"/>
  <c r="J240" i="76" s="1"/>
  <c r="J238" i="76" a="1"/>
  <c r="J238" i="76" s="1"/>
  <c r="J241" i="76" a="1"/>
  <c r="J241" i="76" s="1"/>
  <c r="J276" i="76" s="1" a="1"/>
  <c r="J276" i="76" s="1"/>
  <c r="J31" i="96" a="1"/>
  <c r="J31" i="96" s="1"/>
  <c r="J23" i="98" s="1"/>
  <c r="J28" i="98" s="1" a="1"/>
  <c r="J28" i="98" s="1"/>
  <c r="H242" i="76" a="1"/>
  <c r="H242" i="76" s="1"/>
  <c r="H29" i="81" s="1"/>
  <c r="H238" i="76" a="1"/>
  <c r="H238" i="76" s="1"/>
  <c r="H21" i="82" s="1"/>
  <c r="H42" i="82" s="1" a="1"/>
  <c r="H42" i="82" s="1"/>
  <c r="H240" i="76" a="1"/>
  <c r="H240" i="76" s="1"/>
  <c r="H27" i="81" s="1"/>
  <c r="H239" i="76" a="1"/>
  <c r="H239" i="76" s="1"/>
  <c r="H26" i="81" s="1"/>
  <c r="H236" i="76" a="1"/>
  <c r="H236" i="76" s="1"/>
  <c r="H271" i="76" s="1" a="1"/>
  <c r="H271" i="76" s="1"/>
  <c r="H237" i="76" a="1"/>
  <c r="H237" i="76" s="1"/>
  <c r="H24" i="81" s="1"/>
  <c r="H241" i="76" a="1"/>
  <c r="H241" i="76" s="1"/>
  <c r="H24" i="82" s="1"/>
  <c r="H45" i="82" s="1" a="1"/>
  <c r="H45" i="82" s="1"/>
  <c r="H243" i="76" a="1"/>
  <c r="H243" i="76" s="1"/>
  <c r="H24" i="95" s="1"/>
  <c r="H30" i="95" s="1" a="1"/>
  <c r="H30" i="95" s="1"/>
  <c r="H50" i="95" s="1" a="1"/>
  <c r="H50" i="95" s="1"/>
  <c r="I241" i="76" a="1"/>
  <c r="I241" i="76" s="1"/>
  <c r="I276" i="76" s="1" a="1"/>
  <c r="I276" i="76" s="1"/>
  <c r="J239" i="76" a="1"/>
  <c r="J239" i="76" s="1"/>
  <c r="J274" i="76" s="1" a="1"/>
  <c r="J274" i="76" s="1"/>
  <c r="I243" i="76" a="1"/>
  <c r="I243" i="76" s="1"/>
  <c r="I24" i="95" s="1"/>
  <c r="I30" i="95" s="1" a="1"/>
  <c r="I30" i="95" s="1"/>
  <c r="I50" i="95" s="1" a="1"/>
  <c r="I50" i="95" s="1"/>
  <c r="I236" i="76" a="1"/>
  <c r="I236" i="76" s="1"/>
  <c r="I19" i="82" s="1"/>
  <c r="I40" i="82" s="1" a="1"/>
  <c r="I40" i="82" s="1"/>
  <c r="I237" i="76" a="1"/>
  <c r="I237" i="76" s="1"/>
  <c r="I24" i="81" s="1"/>
  <c r="I238" i="76" a="1"/>
  <c r="I238" i="76" s="1"/>
  <c r="I21" i="82" s="1"/>
  <c r="I42" i="82" s="1" a="1"/>
  <c r="I42" i="82" s="1"/>
  <c r="I239" i="76" a="1"/>
  <c r="I239" i="76" s="1"/>
  <c r="I26" i="81" s="1"/>
  <c r="I240" i="76" a="1"/>
  <c r="I240" i="76" s="1"/>
  <c r="I23" i="82" s="1"/>
  <c r="I44" i="82" s="1" a="1"/>
  <c r="I44" i="82" s="1"/>
  <c r="I242" i="76" a="1"/>
  <c r="I242" i="76" s="1"/>
  <c r="I25" i="82" s="1"/>
  <c r="I46" i="82" s="1" a="1"/>
  <c r="I46" i="82" s="1"/>
  <c r="J242" i="76" a="1"/>
  <c r="J242" i="76" s="1"/>
  <c r="J29" i="81" s="1"/>
  <c r="J243" i="76" a="1"/>
  <c r="J243" i="76" s="1"/>
  <c r="J30" i="81" s="1"/>
  <c r="H31" i="96" a="1"/>
  <c r="H31" i="96" s="1"/>
  <c r="H23" i="98" s="1"/>
  <c r="H28" i="98" s="1" a="1"/>
  <c r="H28" i="98" s="1"/>
  <c r="J236" i="76" a="1"/>
  <c r="J236" i="76" s="1"/>
  <c r="J19" i="82" s="1"/>
  <c r="J40" i="82" s="1" a="1"/>
  <c r="J40" i="82" s="1"/>
  <c r="J237" i="76" a="1"/>
  <c r="J237" i="76" s="1"/>
  <c r="J20" i="82" s="1"/>
  <c r="J41" i="82" s="1" a="1"/>
  <c r="J41" i="82" s="1"/>
  <c r="T31" i="96" a="1"/>
  <c r="T31" i="96" s="1"/>
  <c r="T19" i="97" s="1"/>
  <c r="T24" i="97" s="1" a="1"/>
  <c r="T24" i="97" s="1"/>
  <c r="S23" i="98"/>
  <c r="S28" i="98" s="1" a="1"/>
  <c r="S28" i="98" s="1"/>
  <c r="S19" i="97"/>
  <c r="S24" i="97" s="1" a="1"/>
  <c r="S24" i="97" s="1"/>
  <c r="F19" i="97"/>
  <c r="F24" i="97" s="1" a="1"/>
  <c r="F24" i="97" s="1"/>
  <c r="F23" i="98"/>
  <c r="F28" i="98" s="1" a="1"/>
  <c r="F28" i="98" s="1"/>
  <c r="Q23" i="98"/>
  <c r="Q28" i="98" s="1" a="1"/>
  <c r="Q28" i="98" s="1"/>
  <c r="Q19" i="97"/>
  <c r="Q24" i="97" s="1" a="1"/>
  <c r="Q24" i="97" s="1"/>
  <c r="J19" i="97"/>
  <c r="J24" i="97" s="1" a="1"/>
  <c r="J24" i="97" s="1"/>
  <c r="U23" i="98"/>
  <c r="U28" i="98" s="1" a="1"/>
  <c r="U28" i="98" s="1"/>
  <c r="U19" i="97"/>
  <c r="U24" i="97" s="1" a="1"/>
  <c r="U24" i="97" s="1"/>
  <c r="I19" i="97"/>
  <c r="I24" i="97" s="1" a="1"/>
  <c r="I24" i="97" s="1"/>
  <c r="I23" i="98"/>
  <c r="I28" i="98" s="1" a="1"/>
  <c r="I28" i="98" s="1"/>
  <c r="S51" i="96" a="1"/>
  <c r="S51" i="96" s="1"/>
  <c r="F51" i="96" a="1"/>
  <c r="F51" i="96" s="1"/>
  <c r="Q51" i="96" a="1"/>
  <c r="Q51" i="96" s="1"/>
  <c r="J51" i="96" a="1"/>
  <c r="J51" i="96" s="1"/>
  <c r="U51" i="96" a="1"/>
  <c r="U51" i="96" s="1"/>
  <c r="I51" i="96" a="1"/>
  <c r="I51" i="96" s="1"/>
  <c r="R31" i="96" a="1"/>
  <c r="R31" i="96" s="1"/>
  <c r="G31" i="96" a="1"/>
  <c r="G31" i="96" s="1"/>
  <c r="U20" i="82"/>
  <c r="U41" i="82" s="1" a="1"/>
  <c r="U41" i="82" s="1"/>
  <c r="U24" i="81"/>
  <c r="T25" i="82"/>
  <c r="T46" i="82" s="1" a="1"/>
  <c r="T46" i="82" s="1"/>
  <c r="T29" i="81"/>
  <c r="U25" i="82"/>
  <c r="U46" i="82" s="1" a="1"/>
  <c r="U46" i="82" s="1"/>
  <c r="U29" i="81"/>
  <c r="T24" i="81"/>
  <c r="T20" i="82"/>
  <c r="T41" i="82" s="1" a="1"/>
  <c r="T41" i="82" s="1"/>
  <c r="U23" i="95"/>
  <c r="U29" i="95" s="1" a="1"/>
  <c r="U29" i="95" s="1"/>
  <c r="U49" i="95" s="1" a="1"/>
  <c r="U49" i="95" s="1"/>
  <c r="U26" i="81"/>
  <c r="U22" i="82"/>
  <c r="U43" i="82" s="1" a="1"/>
  <c r="U43" i="82" s="1"/>
  <c r="T27" i="81"/>
  <c r="T23" i="82"/>
  <c r="T44" i="82" s="1" a="1"/>
  <c r="T44" i="82" s="1"/>
  <c r="F20" i="82"/>
  <c r="F41" i="82" s="1" a="1"/>
  <c r="F41" i="82" s="1"/>
  <c r="F24" i="81"/>
  <c r="U23" i="81"/>
  <c r="U19" i="82"/>
  <c r="U40" i="82" s="1" a="1"/>
  <c r="U40" i="82" s="1"/>
  <c r="U24" i="82"/>
  <c r="U45" i="82" s="1" a="1"/>
  <c r="U45" i="82" s="1"/>
  <c r="U28" i="81"/>
  <c r="T23" i="81"/>
  <c r="T19" i="82"/>
  <c r="T40" i="82" s="1" a="1"/>
  <c r="T40" i="82" s="1"/>
  <c r="F25" i="81"/>
  <c r="F21" i="82"/>
  <c r="F42" i="82" s="1" a="1"/>
  <c r="F42" i="82" s="1"/>
  <c r="F23" i="82"/>
  <c r="F44" i="82" s="1" a="1"/>
  <c r="F44" i="82" s="1"/>
  <c r="F27" i="81"/>
  <c r="J23" i="82"/>
  <c r="J44" i="82" s="1" a="1"/>
  <c r="J44" i="82" s="1"/>
  <c r="J27" i="81"/>
  <c r="F23" i="95"/>
  <c r="F29" i="95" s="1" a="1"/>
  <c r="F29" i="95" s="1"/>
  <c r="F49" i="95" s="1" a="1"/>
  <c r="F49" i="95" s="1"/>
  <c r="F22" i="82"/>
  <c r="F43" i="82" s="1" a="1"/>
  <c r="F43" i="82" s="1"/>
  <c r="F26" i="81"/>
  <c r="T24" i="95"/>
  <c r="T30" i="95" s="1" a="1"/>
  <c r="T30" i="95" s="1"/>
  <c r="T50" i="95" s="1" a="1"/>
  <c r="T50" i="95" s="1"/>
  <c r="T26" i="82"/>
  <c r="T47" i="82" s="1" a="1"/>
  <c r="T47" i="82" s="1"/>
  <c r="T30" i="81"/>
  <c r="F28" i="81"/>
  <c r="F24" i="82"/>
  <c r="F45" i="82" s="1" a="1"/>
  <c r="F45" i="82" s="1"/>
  <c r="F29" i="81"/>
  <c r="F25" i="82"/>
  <c r="F46" i="82" s="1" a="1"/>
  <c r="F46" i="82" s="1"/>
  <c r="T25" i="81"/>
  <c r="T21" i="82"/>
  <c r="T42" i="82" s="1" a="1"/>
  <c r="T42" i="82" s="1"/>
  <c r="T24" i="82"/>
  <c r="T45" i="82" s="1" a="1"/>
  <c r="T45" i="82" s="1"/>
  <c r="T28" i="81"/>
  <c r="F24" i="95"/>
  <c r="F30" i="95" s="1" a="1"/>
  <c r="F30" i="95" s="1"/>
  <c r="F50" i="95" s="1" a="1"/>
  <c r="F50" i="95" s="1"/>
  <c r="F26" i="82"/>
  <c r="F47" i="82" s="1" a="1"/>
  <c r="F47" i="82" s="1"/>
  <c r="F30" i="81"/>
  <c r="F19" i="82"/>
  <c r="F40" i="82" s="1" a="1"/>
  <c r="F40" i="82" s="1"/>
  <c r="F23" i="81"/>
  <c r="U27" i="81"/>
  <c r="U23" i="82"/>
  <c r="U44" i="82" s="1" a="1"/>
  <c r="U44" i="82" s="1"/>
  <c r="J25" i="81"/>
  <c r="J21" i="82"/>
  <c r="J42" i="82" s="1" a="1"/>
  <c r="J42" i="82" s="1"/>
  <c r="U21" i="82"/>
  <c r="U42" i="82" s="1" a="1"/>
  <c r="U42" i="82" s="1"/>
  <c r="U25" i="81"/>
  <c r="T23" i="95"/>
  <c r="T29" i="95" s="1" a="1"/>
  <c r="T29" i="95" s="1"/>
  <c r="T49" i="95" s="1" a="1"/>
  <c r="T49" i="95" s="1"/>
  <c r="T22" i="82"/>
  <c r="T43" i="82" s="1" a="1"/>
  <c r="T43" i="82" s="1"/>
  <c r="T26" i="81"/>
  <c r="U24" i="95"/>
  <c r="U30" i="95" s="1" a="1"/>
  <c r="U30" i="95" s="1"/>
  <c r="U50" i="95" s="1" a="1"/>
  <c r="U50" i="95" s="1"/>
  <c r="U30" i="81"/>
  <c r="U26" i="82"/>
  <c r="U47" i="82" s="1" a="1"/>
  <c r="U47" i="82" s="1"/>
  <c r="T278" i="76" a="1"/>
  <c r="T278" i="76" s="1"/>
  <c r="T272" i="76" a="1"/>
  <c r="T272" i="76" s="1"/>
  <c r="F274" i="76" a="1"/>
  <c r="F274" i="76" s="1"/>
  <c r="T276" i="76" a="1"/>
  <c r="T276" i="76" s="1"/>
  <c r="P240" i="76" a="1"/>
  <c r="P240" i="76" s="1"/>
  <c r="P238" i="76" a="1"/>
  <c r="P238" i="76" s="1"/>
  <c r="P243" i="76" a="1"/>
  <c r="P243" i="76" s="1"/>
  <c r="P241" i="76" a="1"/>
  <c r="P241" i="76" s="1"/>
  <c r="P236" i="76" a="1"/>
  <c r="P236" i="76" s="1"/>
  <c r="P239" i="76" a="1"/>
  <c r="P239" i="76" s="1"/>
  <c r="P242" i="76" a="1"/>
  <c r="P242" i="76" s="1"/>
  <c r="P237" i="76" a="1"/>
  <c r="P237" i="76" s="1"/>
  <c r="S275" i="76" a="1"/>
  <c r="S275" i="76" s="1"/>
  <c r="F272" i="76" a="1"/>
  <c r="F272" i="76" s="1"/>
  <c r="F271" i="76" a="1"/>
  <c r="F271" i="76" s="1"/>
  <c r="F273" i="76" a="1"/>
  <c r="F273" i="76" s="1"/>
  <c r="S276" i="76" a="1"/>
  <c r="S276" i="76" s="1"/>
  <c r="F275" i="76" a="1"/>
  <c r="F275" i="76" s="1"/>
  <c r="J275" i="76" a="1"/>
  <c r="J275" i="76" s="1"/>
  <c r="S277" i="76" a="1"/>
  <c r="S277" i="76" s="1"/>
  <c r="T277" i="76" a="1"/>
  <c r="T277" i="76" s="1"/>
  <c r="S278" i="76" a="1"/>
  <c r="S278" i="76" s="1"/>
  <c r="F276" i="76" a="1"/>
  <c r="F276" i="76" s="1"/>
  <c r="F277" i="76" a="1"/>
  <c r="F277" i="76" s="1"/>
  <c r="S273" i="76" a="1"/>
  <c r="S273" i="76" s="1"/>
  <c r="S271" i="76" a="1"/>
  <c r="S271" i="76" s="1"/>
  <c r="F278" i="76" a="1"/>
  <c r="F278" i="76" s="1"/>
  <c r="G238" i="76" a="1"/>
  <c r="G238" i="76" s="1"/>
  <c r="G237" i="76" a="1"/>
  <c r="G237" i="76" s="1"/>
  <c r="G236" i="76" a="1"/>
  <c r="G236" i="76" s="1"/>
  <c r="G243" i="76" a="1"/>
  <c r="G243" i="76" s="1"/>
  <c r="G240" i="76" a="1"/>
  <c r="G240" i="76" s="1"/>
  <c r="G239" i="76" a="1"/>
  <c r="G239" i="76" s="1"/>
  <c r="G241" i="76" a="1"/>
  <c r="G241" i="76" s="1"/>
  <c r="G242" i="76" a="1"/>
  <c r="G242" i="76" s="1"/>
  <c r="T275" i="76" a="1"/>
  <c r="T275" i="76" s="1"/>
  <c r="J273" i="76" a="1"/>
  <c r="J273" i="76" s="1"/>
  <c r="S272" i="76" a="1"/>
  <c r="S272" i="76" s="1"/>
  <c r="T274" i="76" a="1"/>
  <c r="T274" i="76" s="1"/>
  <c r="T271" i="76" a="1"/>
  <c r="T271" i="76" s="1"/>
  <c r="S274" i="76" a="1"/>
  <c r="S274" i="76" s="1"/>
  <c r="Q243" i="76" a="1"/>
  <c r="Q243" i="76" s="1"/>
  <c r="Q238" i="76" a="1"/>
  <c r="Q238" i="76" s="1"/>
  <c r="Q241" i="76" a="1"/>
  <c r="Q241" i="76" s="1"/>
  <c r="Q236" i="76" a="1"/>
  <c r="Q236" i="76" s="1"/>
  <c r="Q240" i="76" a="1"/>
  <c r="Q240" i="76" s="1"/>
  <c r="Q242" i="76" a="1"/>
  <c r="Q242" i="76" s="1"/>
  <c r="Q239" i="76" a="1"/>
  <c r="Q239" i="76" s="1"/>
  <c r="Q237" i="76" a="1"/>
  <c r="Q237" i="76" s="1"/>
  <c r="R243" i="76" a="1"/>
  <c r="R243" i="76" s="1"/>
  <c r="R238" i="76" a="1"/>
  <c r="R238" i="76" s="1"/>
  <c r="R241" i="76" a="1"/>
  <c r="R241" i="76" s="1"/>
  <c r="R236" i="76" a="1"/>
  <c r="R236" i="76" s="1"/>
  <c r="R239" i="76" a="1"/>
  <c r="R239" i="76" s="1"/>
  <c r="R237" i="76" a="1"/>
  <c r="R237" i="76" s="1"/>
  <c r="R240" i="76" a="1"/>
  <c r="R240" i="76" s="1"/>
  <c r="R242" i="76" a="1"/>
  <c r="R242" i="76" s="1"/>
  <c r="T273" i="76" a="1"/>
  <c r="T273" i="76" s="1"/>
  <c r="A24" i="13"/>
  <c r="A22" i="13"/>
  <c r="A23" i="13"/>
  <c r="A7" i="13"/>
  <c r="A4" i="13"/>
  <c r="A3" i="13"/>
  <c r="I25" i="81" l="1"/>
  <c r="I273" i="76" a="1"/>
  <c r="I273" i="76" s="1"/>
  <c r="I274" i="76" a="1"/>
  <c r="I274" i="76" s="1"/>
  <c r="H19" i="82"/>
  <c r="H40" i="82" s="1" a="1"/>
  <c r="H40" i="82" s="1"/>
  <c r="I275" i="76" a="1"/>
  <c r="I275" i="76" s="1"/>
  <c r="J28" i="81"/>
  <c r="J40" i="81" s="1" a="1"/>
  <c r="J40" i="81" s="1"/>
  <c r="J98" i="81" s="1" a="1"/>
  <c r="J98" i="81" s="1"/>
  <c r="J24" i="82"/>
  <c r="J45" i="82" s="1" a="1"/>
  <c r="J45" i="82" s="1"/>
  <c r="H274" i="76" a="1"/>
  <c r="H274" i="76" s="1"/>
  <c r="I22" i="82"/>
  <c r="I43" i="82" s="1" a="1"/>
  <c r="I43" i="82" s="1"/>
  <c r="I23" i="95"/>
  <c r="I29" i="95" s="1" a="1"/>
  <c r="I29" i="95" s="1"/>
  <c r="I49" i="95" s="1" a="1"/>
  <c r="I49" i="95" s="1"/>
  <c r="J272" i="76" a="1"/>
  <c r="J272" i="76" s="1"/>
  <c r="I24" i="82"/>
  <c r="I45" i="82" s="1" a="1"/>
  <c r="I45" i="82" s="1"/>
  <c r="H25" i="81"/>
  <c r="H37" i="81" s="1" a="1"/>
  <c r="H37" i="81" s="1"/>
  <c r="H189" i="81" s="1" a="1"/>
  <c r="H189" i="81" s="1"/>
  <c r="I29" i="81"/>
  <c r="I41" i="81" s="1" a="1"/>
  <c r="I41" i="81" s="1"/>
  <c r="I193" i="81" s="1" a="1"/>
  <c r="I193" i="81" s="1"/>
  <c r="H277" i="76" a="1"/>
  <c r="H277" i="76" s="1"/>
  <c r="H25" i="82"/>
  <c r="H46" i="82" s="1" a="1"/>
  <c r="H46" i="82" s="1"/>
  <c r="I28" i="81"/>
  <c r="I40" i="81" s="1" a="1"/>
  <c r="I40" i="81" s="1"/>
  <c r="I128" i="81" s="1" a="1"/>
  <c r="I128" i="81" s="1"/>
  <c r="I278" i="76" a="1"/>
  <c r="I278" i="76" s="1"/>
  <c r="H23" i="81"/>
  <c r="H35" i="81" s="1" a="1"/>
  <c r="H35" i="81" s="1"/>
  <c r="H187" i="81" s="1" a="1"/>
  <c r="H187" i="81" s="1"/>
  <c r="H275" i="76" a="1"/>
  <c r="H275" i="76" s="1"/>
  <c r="H20" i="82"/>
  <c r="H41" i="82" s="1" a="1"/>
  <c r="H41" i="82" s="1"/>
  <c r="H23" i="82"/>
  <c r="H44" i="82" s="1" a="1"/>
  <c r="H44" i="82" s="1"/>
  <c r="H272" i="76" a="1"/>
  <c r="H272" i="76" s="1"/>
  <c r="H273" i="76" a="1"/>
  <c r="H273" i="76" s="1"/>
  <c r="J271" i="76" a="1"/>
  <c r="J271" i="76" s="1"/>
  <c r="I23" i="81"/>
  <c r="I35" i="81" s="1" a="1"/>
  <c r="I35" i="81" s="1"/>
  <c r="I157" i="81" s="1" a="1"/>
  <c r="I157" i="81" s="1"/>
  <c r="I272" i="76" a="1"/>
  <c r="I272" i="76" s="1"/>
  <c r="I27" i="81"/>
  <c r="I39" i="81" s="1" a="1"/>
  <c r="I39" i="81" s="1"/>
  <c r="I161" i="81" s="1" a="1"/>
  <c r="I161" i="81" s="1"/>
  <c r="I20" i="82"/>
  <c r="I41" i="82" s="1" a="1"/>
  <c r="I41" i="82" s="1"/>
  <c r="I271" i="76" a="1"/>
  <c r="I271" i="76" s="1"/>
  <c r="H276" i="76" a="1"/>
  <c r="H276" i="76" s="1"/>
  <c r="I30" i="81"/>
  <c r="I42" i="81" s="1" a="1"/>
  <c r="I42" i="81" s="1"/>
  <c r="I164" i="81" s="1" a="1"/>
  <c r="I164" i="81" s="1"/>
  <c r="I26" i="82"/>
  <c r="I47" i="82" s="1" a="1"/>
  <c r="I47" i="82" s="1"/>
  <c r="H28" i="81"/>
  <c r="H40" i="81" s="1" a="1"/>
  <c r="H40" i="81" s="1"/>
  <c r="H192" i="81" s="1" a="1"/>
  <c r="H192" i="81" s="1"/>
  <c r="J23" i="81"/>
  <c r="J35" i="81" s="1" a="1"/>
  <c r="J35" i="81" s="1"/>
  <c r="J187" i="81" s="1" a="1"/>
  <c r="J187" i="81" s="1"/>
  <c r="J277" i="76" a="1"/>
  <c r="J277" i="76" s="1"/>
  <c r="I277" i="76" a="1"/>
  <c r="I277" i="76" s="1"/>
  <c r="J24" i="81"/>
  <c r="J36" i="81" s="1" a="1"/>
  <c r="J36" i="81" s="1"/>
  <c r="J188" i="81" s="1" a="1"/>
  <c r="J188" i="81" s="1"/>
  <c r="J278" i="76" a="1"/>
  <c r="J278" i="76" s="1"/>
  <c r="H278" i="76" a="1"/>
  <c r="H278" i="76" s="1"/>
  <c r="J26" i="82"/>
  <c r="J47" i="82" s="1" a="1"/>
  <c r="J47" i="82" s="1"/>
  <c r="J24" i="95"/>
  <c r="J30" i="95" s="1" a="1"/>
  <c r="J30" i="95" s="1"/>
  <c r="J50" i="95" s="1" a="1"/>
  <c r="J50" i="95" s="1"/>
  <c r="H23" i="95"/>
  <c r="H29" i="95" s="1" a="1"/>
  <c r="H29" i="95" s="1"/>
  <c r="H49" i="95" s="1" a="1"/>
  <c r="H49" i="95" s="1"/>
  <c r="J25" i="82"/>
  <c r="J46" i="82" s="1" a="1"/>
  <c r="J46" i="82" s="1"/>
  <c r="H26" i="82"/>
  <c r="H47" i="82" s="1" a="1"/>
  <c r="H47" i="82" s="1"/>
  <c r="H22" i="82"/>
  <c r="H43" i="82" s="1" a="1"/>
  <c r="H43" i="82" s="1"/>
  <c r="H30" i="81"/>
  <c r="H42" i="81" s="1" a="1"/>
  <c r="H42" i="81" s="1"/>
  <c r="H194" i="81" s="1" a="1"/>
  <c r="H194" i="81" s="1"/>
  <c r="J26" i="81"/>
  <c r="J38" i="81" s="1" a="1"/>
  <c r="J38" i="81" s="1"/>
  <c r="J160" i="81" s="1" a="1"/>
  <c r="J160" i="81" s="1"/>
  <c r="J22" i="82"/>
  <c r="J43" i="82" s="1" a="1"/>
  <c r="J43" i="82" s="1"/>
  <c r="J23" i="95"/>
  <c r="J29" i="95" s="1" a="1"/>
  <c r="J29" i="95" s="1"/>
  <c r="J49" i="95" s="1" a="1"/>
  <c r="J49" i="95" s="1"/>
  <c r="H51" i="96" a="1"/>
  <c r="H51" i="96" s="1"/>
  <c r="H19" i="97"/>
  <c r="H24" i="97" s="1" a="1"/>
  <c r="H24" i="97" s="1"/>
  <c r="T23" i="98"/>
  <c r="T28" i="98" s="1" a="1"/>
  <c r="T28" i="98" s="1"/>
  <c r="T51" i="96" a="1"/>
  <c r="T51" i="96" s="1"/>
  <c r="G23" i="98"/>
  <c r="G28" i="98" s="1" a="1"/>
  <c r="G28" i="98" s="1"/>
  <c r="E30" i="98" s="1"/>
  <c r="H43" i="98" s="1"/>
  <c r="E47" i="98" s="1" a="1"/>
  <c r="E47" i="98" s="1"/>
  <c r="G19" i="97"/>
  <c r="G24" i="97" s="1" a="1"/>
  <c r="G24" i="97" s="1"/>
  <c r="E26" i="97" s="1"/>
  <c r="H38" i="97" s="1"/>
  <c r="E45" i="97" s="1" a="1"/>
  <c r="E45" i="97" s="1"/>
  <c r="R23" i="98"/>
  <c r="R28" i="98" s="1" a="1"/>
  <c r="R28" i="98" s="1"/>
  <c r="P30" i="98" s="1"/>
  <c r="S43" i="98" s="1"/>
  <c r="P47" i="98" s="1" a="1"/>
  <c r="P47" i="98" s="1"/>
  <c r="R19" i="97"/>
  <c r="R24" i="97" s="1" a="1"/>
  <c r="R24" i="97" s="1"/>
  <c r="P26" i="97" s="1"/>
  <c r="S38" i="97" s="1"/>
  <c r="P45" i="97" s="1" a="1"/>
  <c r="P45" i="97" s="1"/>
  <c r="G51" i="96" a="1"/>
  <c r="G51" i="96" s="1"/>
  <c r="E53" i="96" s="1"/>
  <c r="R51" i="96" a="1"/>
  <c r="R51" i="96" s="1"/>
  <c r="P53" i="96" s="1"/>
  <c r="R23" i="81"/>
  <c r="R19" i="82"/>
  <c r="R40" i="82" s="1" a="1"/>
  <c r="R40" i="82" s="1"/>
  <c r="G24" i="95"/>
  <c r="G30" i="95" s="1" a="1"/>
  <c r="G30" i="95" s="1"/>
  <c r="G50" i="95" s="1" a="1"/>
  <c r="G50" i="95" s="1"/>
  <c r="G26" i="82"/>
  <c r="G47" i="82" s="1" a="1"/>
  <c r="G47" i="82" s="1"/>
  <c r="G30" i="81"/>
  <c r="Q21" i="82"/>
  <c r="Q42" i="82" s="1" a="1"/>
  <c r="Q42" i="82" s="1"/>
  <c r="Q25" i="81"/>
  <c r="T38" i="81" a="1"/>
  <c r="T38" i="81" s="1"/>
  <c r="T160" i="81" s="1" a="1"/>
  <c r="T160" i="81" s="1"/>
  <c r="S27" i="81"/>
  <c r="S23" i="82"/>
  <c r="S44" i="82" s="1" a="1"/>
  <c r="S44" i="82" s="1"/>
  <c r="S24" i="81"/>
  <c r="S20" i="82"/>
  <c r="S41" i="82" s="1" a="1"/>
  <c r="S41" i="82" s="1"/>
  <c r="R21" i="82"/>
  <c r="R42" i="82" s="1" a="1"/>
  <c r="R42" i="82" s="1"/>
  <c r="R25" i="81"/>
  <c r="G24" i="81"/>
  <c r="G20" i="82"/>
  <c r="G41" i="82" s="1" a="1"/>
  <c r="G41" i="82" s="1"/>
  <c r="H39" i="81" a="1"/>
  <c r="H39" i="81" s="1"/>
  <c r="H191" i="81" s="1" a="1"/>
  <c r="H191" i="81" s="1"/>
  <c r="T36" i="81" a="1"/>
  <c r="T36" i="81" s="1"/>
  <c r="T158" i="81" s="1" a="1"/>
  <c r="T158" i="81" s="1"/>
  <c r="J37" i="81" a="1"/>
  <c r="J37" i="81" s="1"/>
  <c r="J189" i="81" s="1" a="1"/>
  <c r="J189" i="81" s="1"/>
  <c r="I37" i="81" a="1"/>
  <c r="I37" i="81" s="1"/>
  <c r="I125" i="81" s="1" a="1"/>
  <c r="I125" i="81" s="1"/>
  <c r="J41" i="81" a="1"/>
  <c r="J41" i="81" s="1"/>
  <c r="J163" i="81" s="1" a="1"/>
  <c r="J163" i="81" s="1"/>
  <c r="S29" i="81"/>
  <c r="S25" i="82"/>
  <c r="S46" i="82" s="1" a="1"/>
  <c r="S46" i="82" s="1"/>
  <c r="S23" i="95"/>
  <c r="S29" i="95" s="1" a="1"/>
  <c r="S29" i="95" s="1"/>
  <c r="S49" i="95" s="1" a="1"/>
  <c r="S49" i="95" s="1"/>
  <c r="S26" i="81"/>
  <c r="S22" i="82"/>
  <c r="S43" i="82" s="1" a="1"/>
  <c r="S43" i="82" s="1"/>
  <c r="R24" i="95"/>
  <c r="R30" i="95" s="1" a="1"/>
  <c r="R30" i="95" s="1"/>
  <c r="R50" i="95" s="1" a="1"/>
  <c r="R50" i="95" s="1"/>
  <c r="R26" i="82"/>
  <c r="R47" i="82" s="1" a="1"/>
  <c r="R47" i="82" s="1"/>
  <c r="R30" i="81"/>
  <c r="G25" i="81"/>
  <c r="G21" i="82"/>
  <c r="G42" i="82" s="1" a="1"/>
  <c r="G42" i="82" s="1"/>
  <c r="S23" i="81"/>
  <c r="S19" i="82"/>
  <c r="S40" i="82" s="1" a="1"/>
  <c r="S40" i="82" s="1"/>
  <c r="I38" i="81" a="1"/>
  <c r="I38" i="81" s="1"/>
  <c r="I96" i="81" s="1" a="1"/>
  <c r="I96" i="81" s="1"/>
  <c r="U40" i="81" a="1"/>
  <c r="U40" i="81" s="1"/>
  <c r="U192" i="81" s="1" a="1"/>
  <c r="U192" i="81" s="1"/>
  <c r="U39" i="81" a="1"/>
  <c r="U39" i="81" s="1"/>
  <c r="U191" i="81" s="1" a="1"/>
  <c r="U191" i="81" s="1"/>
  <c r="J39" i="81" a="1"/>
  <c r="J39" i="81" s="1"/>
  <c r="J127" i="81" s="1" a="1"/>
  <c r="J127" i="81" s="1"/>
  <c r="U37" i="81" a="1"/>
  <c r="U37" i="81" s="1"/>
  <c r="U189" i="81" s="1" a="1"/>
  <c r="U189" i="81" s="1"/>
  <c r="T40" i="81" a="1"/>
  <c r="T40" i="81" s="1"/>
  <c r="T162" i="81" s="1" a="1"/>
  <c r="T162" i="81" s="1"/>
  <c r="U41" i="81" a="1"/>
  <c r="U41" i="81" s="1"/>
  <c r="U99" i="81" s="1" a="1"/>
  <c r="U99" i="81" s="1"/>
  <c r="S24" i="95"/>
  <c r="S30" i="95" s="1" a="1"/>
  <c r="S30" i="95" s="1"/>
  <c r="S50" i="95" s="1" a="1"/>
  <c r="S50" i="95" s="1"/>
  <c r="S30" i="81"/>
  <c r="S26" i="82"/>
  <c r="S47" i="82" s="1" a="1"/>
  <c r="S47" i="82" s="1"/>
  <c r="U42" i="81" a="1"/>
  <c r="U42" i="81" s="1"/>
  <c r="U100" i="81" s="1" a="1"/>
  <c r="U100" i="81" s="1"/>
  <c r="F40" i="81" a="1"/>
  <c r="F40" i="81" s="1"/>
  <c r="F98" i="81" s="1" a="1"/>
  <c r="F98" i="81" s="1"/>
  <c r="F39" i="81" a="1"/>
  <c r="F39" i="81" s="1"/>
  <c r="F127" i="81" s="1" a="1"/>
  <c r="F127" i="81" s="1"/>
  <c r="U35" i="81" a="1"/>
  <c r="U35" i="81" s="1"/>
  <c r="U157" i="81" s="1" a="1"/>
  <c r="U157" i="81" s="1"/>
  <c r="S25" i="81"/>
  <c r="S21" i="82"/>
  <c r="S42" i="82" s="1" a="1"/>
  <c r="S42" i="82" s="1"/>
  <c r="Q20" i="82"/>
  <c r="Q41" i="82" s="1" a="1"/>
  <c r="Q41" i="82" s="1"/>
  <c r="Q24" i="81"/>
  <c r="H36" i="81" a="1"/>
  <c r="H36" i="81" s="1"/>
  <c r="H124" i="81" s="1" a="1"/>
  <c r="H124" i="81" s="1"/>
  <c r="F35" i="81" a="1"/>
  <c r="F35" i="81" s="1"/>
  <c r="F187" i="81" s="1" a="1"/>
  <c r="F187" i="81" s="1"/>
  <c r="T42" i="81" a="1"/>
  <c r="T42" i="81" s="1"/>
  <c r="T194" i="81" s="1" a="1"/>
  <c r="T194" i="81" s="1"/>
  <c r="F36" i="81" a="1"/>
  <c r="F36" i="81" s="1"/>
  <c r="F158" i="81" s="1" a="1"/>
  <c r="F158" i="81" s="1"/>
  <c r="T37" i="81" a="1"/>
  <c r="T37" i="81" s="1"/>
  <c r="T125" i="81" s="1" a="1"/>
  <c r="T125" i="81" s="1"/>
  <c r="J42" i="81" a="1"/>
  <c r="J42" i="81" s="1"/>
  <c r="J194" i="81" s="1" a="1"/>
  <c r="J194" i="81" s="1"/>
  <c r="H41" i="81" a="1"/>
  <c r="H41" i="81" s="1"/>
  <c r="H163" i="81" s="1" a="1"/>
  <c r="H163" i="81" s="1"/>
  <c r="Q25" i="82"/>
  <c r="Q46" i="82" s="1" a="1"/>
  <c r="Q46" i="82" s="1"/>
  <c r="Q29" i="81"/>
  <c r="G25" i="82"/>
  <c r="G46" i="82" s="1" a="1"/>
  <c r="G46" i="82" s="1"/>
  <c r="G29" i="81"/>
  <c r="Q23" i="95"/>
  <c r="Q29" i="95" s="1" a="1"/>
  <c r="Q29" i="95" s="1"/>
  <c r="Q49" i="95" s="1" a="1"/>
  <c r="Q49" i="95" s="1"/>
  <c r="Q22" i="82"/>
  <c r="Q43" i="82" s="1" a="1"/>
  <c r="Q43" i="82" s="1"/>
  <c r="Q26" i="81"/>
  <c r="H38" i="81" a="1"/>
  <c r="H38" i="81" s="1"/>
  <c r="H160" i="81" s="1" a="1"/>
  <c r="H160" i="81" s="1"/>
  <c r="T41" i="81" a="1"/>
  <c r="T41" i="81" s="1"/>
  <c r="T193" i="81" s="1" a="1"/>
  <c r="T193" i="81" s="1"/>
  <c r="T39" i="81" a="1"/>
  <c r="T39" i="81" s="1"/>
  <c r="T191" i="81" s="1" a="1"/>
  <c r="T191" i="81" s="1"/>
  <c r="R20" i="82"/>
  <c r="R41" i="82" s="1" a="1"/>
  <c r="R41" i="82" s="1"/>
  <c r="R24" i="81"/>
  <c r="G28" i="81"/>
  <c r="G24" i="82"/>
  <c r="G45" i="82" s="1" a="1"/>
  <c r="G45" i="82" s="1"/>
  <c r="Q23" i="81"/>
  <c r="Q19" i="82"/>
  <c r="Q40" i="82" s="1" a="1"/>
  <c r="Q40" i="82" s="1"/>
  <c r="R29" i="81"/>
  <c r="R25" i="82"/>
  <c r="R46" i="82" s="1" a="1"/>
  <c r="R46" i="82" s="1"/>
  <c r="G23" i="95"/>
  <c r="G29" i="95" s="1" a="1"/>
  <c r="G29" i="95" s="1"/>
  <c r="G49" i="95" s="1" a="1"/>
  <c r="G49" i="95" s="1"/>
  <c r="G26" i="81"/>
  <c r="G22" i="82"/>
  <c r="G43" i="82" s="1" a="1"/>
  <c r="G43" i="82" s="1"/>
  <c r="Q24" i="82"/>
  <c r="Q45" i="82" s="1" a="1"/>
  <c r="Q45" i="82" s="1"/>
  <c r="Q28" i="81"/>
  <c r="F42" i="81" a="1"/>
  <c r="F42" i="81" s="1"/>
  <c r="F130" i="81" s="1" a="1"/>
  <c r="F130" i="81" s="1"/>
  <c r="I36" i="81" a="1"/>
  <c r="I36" i="81" s="1"/>
  <c r="I158" i="81" s="1" a="1"/>
  <c r="I158" i="81" s="1"/>
  <c r="U36" i="81" a="1"/>
  <c r="U36" i="81" s="1"/>
  <c r="U94" i="81" s="1" a="1"/>
  <c r="U94" i="81" s="1"/>
  <c r="R27" i="81"/>
  <c r="R23" i="82"/>
  <c r="R44" i="82" s="1" a="1"/>
  <c r="R44" i="82" s="1"/>
  <c r="G27" i="81"/>
  <c r="G23" i="82"/>
  <c r="G44" i="82" s="1" a="1"/>
  <c r="G44" i="82" s="1"/>
  <c r="Q24" i="95"/>
  <c r="Q30" i="95" s="1" a="1"/>
  <c r="Q30" i="95" s="1"/>
  <c r="Q50" i="95" s="1" a="1"/>
  <c r="Q50" i="95" s="1"/>
  <c r="Q26" i="82"/>
  <c r="Q47" i="82" s="1" a="1"/>
  <c r="Q47" i="82" s="1"/>
  <c r="Q30" i="81"/>
  <c r="F41" i="81" a="1"/>
  <c r="F41" i="81" s="1"/>
  <c r="F193" i="81" s="1" a="1"/>
  <c r="F193" i="81" s="1"/>
  <c r="F38" i="81" a="1"/>
  <c r="F38" i="81" s="1"/>
  <c r="F126" i="81" s="1" a="1"/>
  <c r="F126" i="81" s="1"/>
  <c r="F37" i="81" a="1"/>
  <c r="F37" i="81" s="1"/>
  <c r="F189" i="81" s="1" a="1"/>
  <c r="F189" i="81" s="1"/>
  <c r="U38" i="81" a="1"/>
  <c r="U38" i="81" s="1"/>
  <c r="U160" i="81" s="1" a="1"/>
  <c r="U160" i="81" s="1"/>
  <c r="S28" i="81"/>
  <c r="S24" i="82"/>
  <c r="S45" i="82" s="1" a="1"/>
  <c r="S45" i="82" s="1"/>
  <c r="R23" i="95"/>
  <c r="R29" i="95" s="1" a="1"/>
  <c r="R29" i="95" s="1"/>
  <c r="R49" i="95" s="1" a="1"/>
  <c r="R49" i="95" s="1"/>
  <c r="R22" i="82"/>
  <c r="R43" i="82" s="1" a="1"/>
  <c r="R43" i="82" s="1"/>
  <c r="R26" i="81"/>
  <c r="R24" i="82"/>
  <c r="R45" i="82" s="1" a="1"/>
  <c r="R45" i="82" s="1"/>
  <c r="R28" i="81"/>
  <c r="G23" i="81"/>
  <c r="G19" i="82"/>
  <c r="G40" i="82" s="1" a="1"/>
  <c r="G40" i="82" s="1"/>
  <c r="E49" i="82" s="1"/>
  <c r="Q27" i="81"/>
  <c r="Q23" i="82"/>
  <c r="Q44" i="82" s="1" a="1"/>
  <c r="Q44" i="82" s="1"/>
  <c r="T35" i="81" a="1"/>
  <c r="T35" i="81" s="1"/>
  <c r="T157" i="81" s="1" a="1"/>
  <c r="T157" i="81" s="1"/>
  <c r="G277" i="76" a="1"/>
  <c r="G277" i="76" s="1"/>
  <c r="R273" i="76" a="1"/>
  <c r="R273" i="76" s="1"/>
  <c r="P272" i="76" a="1"/>
  <c r="P272" i="76" s="1"/>
  <c r="P277" i="76" a="1"/>
  <c r="P277" i="76" s="1"/>
  <c r="P274" i="76" a="1"/>
  <c r="P274" i="76" s="1"/>
  <c r="R278" i="76" a="1"/>
  <c r="R278" i="76" s="1"/>
  <c r="P271" i="76" a="1"/>
  <c r="P271" i="76" s="1"/>
  <c r="Q277" i="76" a="1"/>
  <c r="Q277" i="76" s="1"/>
  <c r="G274" i="76" a="1"/>
  <c r="G274" i="76" s="1"/>
  <c r="P276" i="76" a="1"/>
  <c r="P276" i="76" s="1"/>
  <c r="P278" i="76" a="1"/>
  <c r="P278" i="76" s="1"/>
  <c r="P273" i="76" a="1"/>
  <c r="P273" i="76" s="1"/>
  <c r="Q272" i="76" a="1"/>
  <c r="Q272" i="76" s="1"/>
  <c r="Q274" i="76" a="1"/>
  <c r="Q274" i="76" s="1"/>
  <c r="G276" i="76" a="1"/>
  <c r="G276" i="76" s="1"/>
  <c r="G275" i="76" a="1"/>
  <c r="G275" i="76" s="1"/>
  <c r="R277" i="76" a="1"/>
  <c r="R277" i="76" s="1"/>
  <c r="Q271" i="76" a="1"/>
  <c r="Q271" i="76" s="1"/>
  <c r="G278" i="76" a="1"/>
  <c r="G278" i="76" s="1"/>
  <c r="R275" i="76" a="1"/>
  <c r="R275" i="76" s="1"/>
  <c r="Q276" i="76" a="1"/>
  <c r="Q276" i="76" s="1"/>
  <c r="G271" i="76" a="1"/>
  <c r="G271" i="76" s="1"/>
  <c r="P275" i="76" a="1"/>
  <c r="P275" i="76" s="1"/>
  <c r="Q275" i="76" a="1"/>
  <c r="Q275" i="76" s="1"/>
  <c r="R272" i="76" a="1"/>
  <c r="R272" i="76" s="1"/>
  <c r="R274" i="76" a="1"/>
  <c r="R274" i="76" s="1"/>
  <c r="G273" i="76" a="1"/>
  <c r="G273" i="76" s="1"/>
  <c r="R271" i="76" a="1"/>
  <c r="R271" i="76" s="1"/>
  <c r="Q273" i="76" a="1"/>
  <c r="Q273" i="76" s="1"/>
  <c r="G272" i="76" a="1"/>
  <c r="G272" i="76" s="1"/>
  <c r="Q278" i="76" a="1"/>
  <c r="Q278" i="76" s="1"/>
  <c r="R276" i="76" a="1"/>
  <c r="R276"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H99" i="81" l="1" a="1"/>
  <c r="H99" i="81" s="1"/>
  <c r="R61" i="82"/>
  <c r="P68" i="82" s="1" a="1"/>
  <c r="P68" i="82" s="1"/>
  <c r="G61" i="82"/>
  <c r="E68" i="82" s="1" a="1"/>
  <c r="E68" i="82" s="1"/>
  <c r="F14" i="13"/>
  <c r="R49" i="98"/>
  <c r="P52" i="98" s="1" a="1"/>
  <c r="P52" i="98" s="1"/>
  <c r="I14" i="13" s="1"/>
  <c r="G49" i="98"/>
  <c r="E52" i="98" s="1" a="1"/>
  <c r="E52" i="98" s="1"/>
  <c r="H14" i="13" s="1"/>
  <c r="E14" i="13"/>
  <c r="P49" i="82"/>
  <c r="H125" i="81" a="1"/>
  <c r="H125" i="81" s="1"/>
  <c r="E52" i="95"/>
  <c r="G54" i="95" s="1"/>
  <c r="E57" i="95" s="1" a="1"/>
  <c r="E57" i="95" s="1"/>
  <c r="H10" i="13" s="1"/>
  <c r="U130" i="81" a="1"/>
  <c r="U130" i="81" s="1"/>
  <c r="R55" i="96"/>
  <c r="P58" i="96" s="1" a="1"/>
  <c r="P58" i="96" s="1"/>
  <c r="I12" i="13" s="1"/>
  <c r="F12" i="13"/>
  <c r="G55" i="96"/>
  <c r="E58" i="96" s="1" a="1"/>
  <c r="E58" i="96" s="1"/>
  <c r="H12" i="13" s="1"/>
  <c r="E12" i="13"/>
  <c r="R47" i="97"/>
  <c r="P50" i="97" s="1" a="1"/>
  <c r="P50" i="97" s="1"/>
  <c r="I13" i="13" s="1"/>
  <c r="F13" i="13"/>
  <c r="G47" i="97"/>
  <c r="E50" i="97" s="1" a="1"/>
  <c r="E50" i="97" s="1"/>
  <c r="H13" i="13" s="1"/>
  <c r="E13" i="13"/>
  <c r="I163" i="81" a="1"/>
  <c r="I163" i="81" s="1"/>
  <c r="T128" i="81" a="1"/>
  <c r="T128" i="81" s="1"/>
  <c r="H193" i="81" a="1"/>
  <c r="H193" i="81" s="1"/>
  <c r="I129" i="81" a="1"/>
  <c r="I129" i="81" s="1"/>
  <c r="P19" i="97"/>
  <c r="E19" i="97"/>
  <c r="P24" i="97"/>
  <c r="E24" i="97"/>
  <c r="T127" i="81" a="1"/>
  <c r="T127" i="81" s="1"/>
  <c r="I99" i="81" a="1"/>
  <c r="I99" i="81" s="1"/>
  <c r="U98" i="81" a="1"/>
  <c r="U98" i="81" s="1"/>
  <c r="F125" i="81" a="1"/>
  <c r="F125" i="81" s="1"/>
  <c r="F95" i="81" a="1"/>
  <c r="F95" i="81" s="1"/>
  <c r="T96" i="81" a="1"/>
  <c r="T96" i="81" s="1"/>
  <c r="F159" i="81" a="1"/>
  <c r="F159" i="81" s="1"/>
  <c r="U190" i="81" a="1"/>
  <c r="U190" i="81" s="1"/>
  <c r="H159" i="81" a="1"/>
  <c r="H159" i="81" s="1"/>
  <c r="I192" i="81" a="1"/>
  <c r="I192" i="81" s="1"/>
  <c r="F100" i="81" a="1"/>
  <c r="F100" i="81" s="1"/>
  <c r="H157" i="81" a="1"/>
  <c r="H157" i="81" s="1"/>
  <c r="F194" i="81" a="1"/>
  <c r="F194" i="81" s="1"/>
  <c r="H94" i="81" a="1"/>
  <c r="H94" i="81" s="1"/>
  <c r="H188" i="81" a="1"/>
  <c r="H188" i="81" s="1"/>
  <c r="T190" i="81" a="1"/>
  <c r="T190" i="81" s="1"/>
  <c r="J94" i="81" a="1"/>
  <c r="J94" i="81" s="1"/>
  <c r="H158" i="81" a="1"/>
  <c r="H158" i="81" s="1"/>
  <c r="T126" i="81" a="1"/>
  <c r="T126" i="81" s="1"/>
  <c r="J158" i="81" a="1"/>
  <c r="J158" i="81" s="1"/>
  <c r="I98" i="81" a="1"/>
  <c r="I98" i="81" s="1"/>
  <c r="H97" i="81" a="1"/>
  <c r="H97" i="81" s="1"/>
  <c r="I162" i="81" a="1"/>
  <c r="I162" i="81" s="1"/>
  <c r="T163" i="81" a="1"/>
  <c r="T163" i="81" s="1"/>
  <c r="P51" i="96"/>
  <c r="P25" i="96"/>
  <c r="E25" i="96"/>
  <c r="P31" i="96"/>
  <c r="E51" i="96"/>
  <c r="E31" i="96"/>
  <c r="P52" i="95"/>
  <c r="R54" i="95" s="1"/>
  <c r="P57" i="95" s="1" a="1"/>
  <c r="P57" i="95" s="1"/>
  <c r="I10" i="13" s="1"/>
  <c r="T100" i="81" a="1"/>
  <c r="T100" i="81" s="1"/>
  <c r="F129" i="81" a="1"/>
  <c r="F129" i="81" s="1"/>
  <c r="T164" i="81" a="1"/>
  <c r="T164" i="81" s="1"/>
  <c r="F164" i="81" a="1"/>
  <c r="F164" i="81" s="1"/>
  <c r="T130" i="81" a="1"/>
  <c r="T130" i="81" s="1"/>
  <c r="U97" i="81" a="1"/>
  <c r="U97" i="81" s="1"/>
  <c r="J126" i="81" a="1"/>
  <c r="J126" i="81" s="1"/>
  <c r="T93" i="81" a="1"/>
  <c r="T93" i="81" s="1"/>
  <c r="T187" i="81" a="1"/>
  <c r="T187" i="81" s="1"/>
  <c r="F163" i="81" a="1"/>
  <c r="F163" i="81" s="1"/>
  <c r="J190" i="81" a="1"/>
  <c r="J190" i="81" s="1"/>
  <c r="H129" i="81" a="1"/>
  <c r="H129" i="81" s="1"/>
  <c r="F123" i="81" a="1"/>
  <c r="F123" i="81" s="1"/>
  <c r="U193" i="81" a="1"/>
  <c r="U193" i="81" s="1"/>
  <c r="H164" i="81" a="1"/>
  <c r="H164" i="81" s="1"/>
  <c r="F97" i="81" a="1"/>
  <c r="F97" i="81" s="1"/>
  <c r="U129" i="81" a="1"/>
  <c r="U129" i="81" s="1"/>
  <c r="H130" i="81" a="1"/>
  <c r="H130" i="81" s="1"/>
  <c r="T97" i="81" a="1"/>
  <c r="T97" i="81" s="1"/>
  <c r="H96" i="81" a="1"/>
  <c r="H96" i="81" s="1"/>
  <c r="F157" i="81" a="1"/>
  <c r="F157" i="81" s="1"/>
  <c r="U163" i="81" a="1"/>
  <c r="U163" i="81" s="1"/>
  <c r="H100" i="81" a="1"/>
  <c r="H100" i="81" s="1"/>
  <c r="H126" i="81" a="1"/>
  <c r="H126" i="81" s="1"/>
  <c r="F93" i="81" a="1"/>
  <c r="F93" i="81" s="1"/>
  <c r="T98" i="81" a="1"/>
  <c r="T98" i="81" s="1"/>
  <c r="H162" i="81" a="1"/>
  <c r="H162" i="81" s="1"/>
  <c r="T123" i="81" a="1"/>
  <c r="T123" i="81" s="1"/>
  <c r="H128" i="81" a="1"/>
  <c r="H128" i="81" s="1"/>
  <c r="H190" i="81" a="1"/>
  <c r="H190" i="81" s="1"/>
  <c r="H98" i="81" a="1"/>
  <c r="H98" i="81" s="1"/>
  <c r="F160" i="81" a="1"/>
  <c r="F160" i="81" s="1"/>
  <c r="J124" i="81" a="1"/>
  <c r="J124" i="81" s="1"/>
  <c r="J100" i="81" a="1"/>
  <c r="J100" i="81" s="1"/>
  <c r="H93" i="81" a="1"/>
  <c r="H93" i="81" s="1"/>
  <c r="T192" i="81" a="1"/>
  <c r="T192" i="81" s="1"/>
  <c r="I189" i="81" a="1"/>
  <c r="I189" i="81" s="1"/>
  <c r="F96" i="81" a="1"/>
  <c r="F96" i="81" s="1"/>
  <c r="J95" i="81" a="1"/>
  <c r="J95" i="81" s="1"/>
  <c r="U164" i="81" a="1"/>
  <c r="U164" i="81" s="1"/>
  <c r="J191" i="81" a="1"/>
  <c r="J191" i="81" s="1"/>
  <c r="J125" i="81" a="1"/>
  <c r="J125" i="81" s="1"/>
  <c r="U96" i="81" a="1"/>
  <c r="U96" i="81" s="1"/>
  <c r="F99" i="81" a="1"/>
  <c r="F99" i="81" s="1"/>
  <c r="I94" i="81" a="1"/>
  <c r="I94" i="81" s="1"/>
  <c r="J157" i="81" a="1"/>
  <c r="J157" i="81" s="1"/>
  <c r="T159" i="81" a="1"/>
  <c r="T159" i="81" s="1"/>
  <c r="U187" i="81" a="1"/>
  <c r="U187" i="81" s="1"/>
  <c r="F192" i="81" a="1"/>
  <c r="F192" i="81" s="1"/>
  <c r="U125" i="81" a="1"/>
  <c r="U125" i="81" s="1"/>
  <c r="U127" i="81" a="1"/>
  <c r="U127" i="81" s="1"/>
  <c r="I126" i="81" a="1"/>
  <c r="I126" i="81" s="1"/>
  <c r="S41" i="81" a="1"/>
  <c r="S41" i="81" s="1"/>
  <c r="S99" i="81" s="1" a="1"/>
  <c r="S99" i="81" s="1"/>
  <c r="I130" i="81" a="1"/>
  <c r="I130" i="81" s="1"/>
  <c r="I93" i="81" a="1"/>
  <c r="I93" i="81" s="1"/>
  <c r="U126" i="81" a="1"/>
  <c r="U126" i="81" s="1"/>
  <c r="Q42" i="81" a="1"/>
  <c r="Q42" i="81" s="1"/>
  <c r="Q100" i="81" s="1" a="1"/>
  <c r="Q100" i="81" s="1"/>
  <c r="I124" i="81" a="1"/>
  <c r="I124" i="81" s="1"/>
  <c r="R41" i="81" a="1"/>
  <c r="R41" i="81" s="1"/>
  <c r="R129" i="81" s="1" a="1"/>
  <c r="R129" i="81" s="1"/>
  <c r="J93" i="81" a="1"/>
  <c r="J93" i="81" s="1"/>
  <c r="Q41" i="81" a="1"/>
  <c r="Q41" i="81" s="1"/>
  <c r="Q193" i="81" s="1" a="1"/>
  <c r="Q193" i="81" s="1"/>
  <c r="T189" i="81" a="1"/>
  <c r="T189" i="81" s="1"/>
  <c r="U93" i="81" a="1"/>
  <c r="U93" i="81" s="1"/>
  <c r="H123" i="81" a="1"/>
  <c r="H123" i="81" s="1"/>
  <c r="J97" i="81" a="1"/>
  <c r="J97" i="81" s="1"/>
  <c r="U161" i="81" a="1"/>
  <c r="U161" i="81" s="1"/>
  <c r="I190" i="81" a="1"/>
  <c r="I190" i="81" s="1"/>
  <c r="J99" i="81" a="1"/>
  <c r="J99" i="81" s="1"/>
  <c r="J159" i="81" a="1"/>
  <c r="J159" i="81" s="1"/>
  <c r="I194" i="81" a="1"/>
  <c r="I194" i="81" s="1"/>
  <c r="S39" i="81" a="1"/>
  <c r="S39" i="81" s="1"/>
  <c r="S161" i="81" s="1" a="1"/>
  <c r="S161" i="81" s="1"/>
  <c r="I123" i="81" a="1"/>
  <c r="I123" i="81" s="1"/>
  <c r="I188" i="81" a="1"/>
  <c r="I188" i="81" s="1"/>
  <c r="J123" i="81" a="1"/>
  <c r="J123" i="81" s="1"/>
  <c r="T95" i="81" a="1"/>
  <c r="T95" i="81" s="1"/>
  <c r="U123" i="81" a="1"/>
  <c r="U123" i="81" s="1"/>
  <c r="J161" i="81" a="1"/>
  <c r="J161" i="81" s="1"/>
  <c r="J129" i="81" a="1"/>
  <c r="J129" i="81" s="1"/>
  <c r="I187" i="81" a="1"/>
  <c r="I187" i="81" s="1"/>
  <c r="Q35" i="81" a="1"/>
  <c r="Q35" i="81" s="1"/>
  <c r="Q187" i="81" s="1" a="1"/>
  <c r="Q187" i="81" s="1"/>
  <c r="J193" i="81" a="1"/>
  <c r="J193" i="81" s="1"/>
  <c r="J96" i="81" a="1"/>
  <c r="J96" i="81" s="1"/>
  <c r="H161" i="81" a="1"/>
  <c r="H161" i="81" s="1"/>
  <c r="S35" i="81" a="1"/>
  <c r="S35" i="81" s="1"/>
  <c r="S157" i="81" s="1" a="1"/>
  <c r="S157" i="81" s="1"/>
  <c r="H127" i="81" a="1"/>
  <c r="H127" i="81" s="1"/>
  <c r="F94" i="81" a="1"/>
  <c r="F94" i="81" s="1"/>
  <c r="G39" i="81" a="1"/>
  <c r="G39" i="81" s="1"/>
  <c r="G161" i="81" s="1" a="1"/>
  <c r="G161" i="81" s="1"/>
  <c r="G40" i="81" a="1"/>
  <c r="G40" i="81" s="1"/>
  <c r="G128" i="81" s="1" a="1"/>
  <c r="G128" i="81" s="1"/>
  <c r="I127" i="81" a="1"/>
  <c r="I127" i="81" s="1"/>
  <c r="R36" i="81" a="1"/>
  <c r="R36" i="81" s="1"/>
  <c r="R188" i="81" s="1" a="1"/>
  <c r="R188" i="81" s="1"/>
  <c r="F124" i="81" a="1"/>
  <c r="F124" i="81" s="1"/>
  <c r="F191" i="81" a="1"/>
  <c r="F191" i="81" s="1"/>
  <c r="J128" i="81" a="1"/>
  <c r="J128" i="81" s="1"/>
  <c r="G37" i="81" a="1"/>
  <c r="G37" i="81" s="1"/>
  <c r="G125" i="81" s="1" a="1"/>
  <c r="G125" i="81" s="1"/>
  <c r="Q39" i="81" a="1"/>
  <c r="Q39" i="81" s="1"/>
  <c r="Q127" i="81" s="1" a="1"/>
  <c r="Q127" i="81" s="1"/>
  <c r="I97" i="81" a="1"/>
  <c r="I97" i="81" s="1"/>
  <c r="R39" i="81" a="1"/>
  <c r="R39" i="81" s="1"/>
  <c r="R191" i="81" s="1" a="1"/>
  <c r="R191" i="81" s="1"/>
  <c r="F188" i="81" a="1"/>
  <c r="F188" i="81" s="1"/>
  <c r="R42" i="81" a="1"/>
  <c r="R42" i="81" s="1"/>
  <c r="R130" i="81" s="1" a="1"/>
  <c r="R130" i="81" s="1"/>
  <c r="Q37" i="81" a="1"/>
  <c r="Q37" i="81" s="1"/>
  <c r="Q159" i="81" s="1" a="1"/>
  <c r="Q159" i="81" s="1"/>
  <c r="H95" i="81" a="1"/>
  <c r="H95" i="81" s="1"/>
  <c r="I191" i="81" a="1"/>
  <c r="I191" i="81" s="1"/>
  <c r="U158" i="81" a="1"/>
  <c r="U158" i="81" s="1"/>
  <c r="T161" i="81" a="1"/>
  <c r="T161" i="81" s="1"/>
  <c r="J130" i="81" a="1"/>
  <c r="J130" i="81" s="1"/>
  <c r="F161" i="81" a="1"/>
  <c r="F161" i="81" s="1"/>
  <c r="U194" i="81" a="1"/>
  <c r="U194" i="81" s="1"/>
  <c r="J192" i="81" a="1"/>
  <c r="J192" i="81" s="1"/>
  <c r="U128" i="81" a="1"/>
  <c r="U128" i="81" s="1"/>
  <c r="I159" i="81" a="1"/>
  <c r="I159" i="81" s="1"/>
  <c r="T188" i="81" a="1"/>
  <c r="T188" i="81" s="1"/>
  <c r="G35" i="81" a="1"/>
  <c r="G35" i="81" s="1"/>
  <c r="G157" i="81" s="1" a="1"/>
  <c r="G157" i="81" s="1"/>
  <c r="U124" i="81" a="1"/>
  <c r="U124" i="81" s="1"/>
  <c r="Q40" i="81" a="1"/>
  <c r="Q40" i="81" s="1"/>
  <c r="Q98" i="81" s="1" a="1"/>
  <c r="Q98" i="81" s="1"/>
  <c r="T99" i="81" a="1"/>
  <c r="T99" i="81" s="1"/>
  <c r="J162" i="81" a="1"/>
  <c r="J162" i="81" s="1"/>
  <c r="U162" i="81" a="1"/>
  <c r="U162" i="81" s="1"/>
  <c r="I95" i="81" a="1"/>
  <c r="I95" i="81" s="1"/>
  <c r="T94" i="81" a="1"/>
  <c r="T94" i="81" s="1"/>
  <c r="G36" i="81" a="1"/>
  <c r="G36" i="81" s="1"/>
  <c r="G94" i="81" s="1" a="1"/>
  <c r="G94" i="81" s="1"/>
  <c r="G42" i="81" a="1"/>
  <c r="G42" i="81" s="1"/>
  <c r="G164" i="81" s="1" a="1"/>
  <c r="G164" i="81" s="1"/>
  <c r="R40" i="81" a="1"/>
  <c r="R40" i="81" s="1"/>
  <c r="R128" i="81" s="1" a="1"/>
  <c r="R128" i="81" s="1"/>
  <c r="F190" i="81" a="1"/>
  <c r="F190" i="81" s="1"/>
  <c r="U188" i="81" a="1"/>
  <c r="U188" i="81" s="1"/>
  <c r="T129" i="81" a="1"/>
  <c r="T129" i="81" s="1"/>
  <c r="Q38" i="81" a="1"/>
  <c r="Q38" i="81" s="1"/>
  <c r="Q160" i="81" s="1" a="1"/>
  <c r="Q160" i="81" s="1"/>
  <c r="J164" i="81" a="1"/>
  <c r="J164" i="81" s="1"/>
  <c r="Q36" i="81" a="1"/>
  <c r="Q36" i="81" s="1"/>
  <c r="Q188" i="81" s="1" a="1"/>
  <c r="Q188" i="81" s="1"/>
  <c r="F128" i="81" a="1"/>
  <c r="F128" i="81" s="1"/>
  <c r="U95" i="81" a="1"/>
  <c r="U95" i="81" s="1"/>
  <c r="T124" i="81" a="1"/>
  <c r="T124" i="81" s="1"/>
  <c r="R37" i="81" a="1"/>
  <c r="R37" i="81" s="1"/>
  <c r="R95" i="81" s="1" a="1"/>
  <c r="R95" i="81" s="1"/>
  <c r="S38" i="81" a="1"/>
  <c r="S38" i="81" s="1"/>
  <c r="S126" i="81" s="1" a="1"/>
  <c r="S126" i="81" s="1"/>
  <c r="R38" i="81" a="1"/>
  <c r="R38" i="81" s="1"/>
  <c r="R126" i="81" s="1" a="1"/>
  <c r="R126" i="81" s="1"/>
  <c r="S40" i="81" a="1"/>
  <c r="S40" i="81" s="1"/>
  <c r="S98" i="81" s="1" a="1"/>
  <c r="S98" i="81" s="1"/>
  <c r="G38" i="81" a="1"/>
  <c r="G38" i="81" s="1"/>
  <c r="G160" i="81" s="1" a="1"/>
  <c r="G160" i="81" s="1"/>
  <c r="F162" i="81" a="1"/>
  <c r="F162" i="81" s="1"/>
  <c r="S42" i="81" a="1"/>
  <c r="S42" i="81" s="1"/>
  <c r="S130" i="81" s="1" a="1"/>
  <c r="S130" i="81" s="1"/>
  <c r="U159" i="81" a="1"/>
  <c r="U159" i="81" s="1"/>
  <c r="I160" i="81" a="1"/>
  <c r="I160" i="81" s="1"/>
  <c r="I100" i="81" a="1"/>
  <c r="I100" i="81" s="1"/>
  <c r="G41" i="81" a="1"/>
  <c r="G41" i="81" s="1"/>
  <c r="G129" i="81" s="1" a="1"/>
  <c r="G129" i="81" s="1"/>
  <c r="S37" i="81" a="1"/>
  <c r="S37" i="81" s="1"/>
  <c r="S95" i="81" s="1" a="1"/>
  <c r="S95" i="81" s="1"/>
  <c r="S36" i="81" a="1"/>
  <c r="S36" i="81" s="1"/>
  <c r="S158" i="81" s="1" a="1"/>
  <c r="S158" i="81" s="1"/>
  <c r="R35" i="81" a="1"/>
  <c r="R35" i="81" s="1"/>
  <c r="R123" i="81" s="1" a="1"/>
  <c r="R123" i="81" s="1"/>
  <c r="D162" i="70"/>
  <c r="D196" i="70"/>
  <c r="D167" i="70"/>
  <c r="D201" i="70"/>
  <c r="D157" i="70"/>
  <c r="D191" i="70"/>
  <c r="D172" i="70"/>
  <c r="D206" i="70"/>
  <c r="E29" i="15"/>
  <c r="G163" i="81" l="1" a="1"/>
  <c r="G163" i="81" s="1"/>
  <c r="G99" i="81" a="1"/>
  <c r="G99" i="81" s="1"/>
  <c r="E10" i="13"/>
  <c r="Q158" i="81" a="1"/>
  <c r="Q158" i="81" s="1"/>
  <c r="S190" i="81" a="1"/>
  <c r="S190" i="81" s="1"/>
  <c r="R159" i="81" a="1"/>
  <c r="R159" i="81" s="1"/>
  <c r="G127" i="81" a="1"/>
  <c r="G127" i="81" s="1"/>
  <c r="R164" i="81" a="1"/>
  <c r="R164" i="81" s="1"/>
  <c r="R193" i="81" a="1"/>
  <c r="R193" i="81" s="1"/>
  <c r="F10" i="13"/>
  <c r="S160" i="81" a="1"/>
  <c r="S160" i="81" s="1"/>
  <c r="G190" i="81" a="1"/>
  <c r="G190" i="81" s="1"/>
  <c r="R127" i="81" a="1"/>
  <c r="R127" i="81" s="1"/>
  <c r="R99" i="81" a="1"/>
  <c r="R99" i="81" s="1"/>
  <c r="R163" i="81" a="1"/>
  <c r="R163" i="81" s="1"/>
  <c r="Q97" i="81" a="1"/>
  <c r="Q97" i="81" s="1"/>
  <c r="G193" i="81" a="1"/>
  <c r="G193" i="81" s="1"/>
  <c r="Q93" i="81" a="1"/>
  <c r="Q93" i="81" s="1"/>
  <c r="Q123" i="81" a="1"/>
  <c r="Q123" i="81" s="1"/>
  <c r="S194" i="81" a="1"/>
  <c r="S194" i="81" s="1"/>
  <c r="S189" i="81" a="1"/>
  <c r="S189" i="81" s="1"/>
  <c r="Q164" i="81" a="1"/>
  <c r="Q164" i="81" s="1"/>
  <c r="R160" i="81" a="1"/>
  <c r="R160" i="81" s="1"/>
  <c r="S96" i="81" a="1"/>
  <c r="S96" i="81" s="1"/>
  <c r="G130" i="81" a="1"/>
  <c r="G130" i="81" s="1"/>
  <c r="S164" i="81" a="1"/>
  <c r="S164" i="81" s="1"/>
  <c r="S191" i="81" a="1"/>
  <c r="S191" i="81" s="1"/>
  <c r="G162" i="81" a="1"/>
  <c r="G162" i="81" s="1"/>
  <c r="Q157" i="81" a="1"/>
  <c r="Q157" i="81" s="1"/>
  <c r="S100" i="81" a="1"/>
  <c r="S100" i="81" s="1"/>
  <c r="Q128" i="81" a="1"/>
  <c r="Q128" i="81" s="1"/>
  <c r="G159" i="81" a="1"/>
  <c r="G159" i="81" s="1"/>
  <c r="R192" i="81" a="1"/>
  <c r="R192" i="81" s="1"/>
  <c r="G95" i="81" a="1"/>
  <c r="G95" i="81" s="1"/>
  <c r="R93" i="81" a="1"/>
  <c r="R93" i="81" s="1"/>
  <c r="G189" i="81" a="1"/>
  <c r="G189" i="81" s="1"/>
  <c r="R124" i="81" a="1"/>
  <c r="R124" i="81" s="1"/>
  <c r="Q96" i="81" a="1"/>
  <c r="Q96" i="81" s="1"/>
  <c r="Q94" i="81" a="1"/>
  <c r="Q94" i="81" s="1"/>
  <c r="G100" i="81" a="1"/>
  <c r="G100" i="81" s="1"/>
  <c r="G93" i="81" a="1"/>
  <c r="G93" i="81" s="1"/>
  <c r="Q194" i="81" a="1"/>
  <c r="Q194" i="81" s="1"/>
  <c r="S127" i="81" a="1"/>
  <c r="S127" i="81" s="1"/>
  <c r="Q161" i="81" a="1"/>
  <c r="Q161" i="81" s="1"/>
  <c r="Q124" i="81" a="1"/>
  <c r="Q124" i="81" s="1"/>
  <c r="G194" i="81" a="1"/>
  <c r="G194" i="81" s="1"/>
  <c r="G123" i="81" a="1"/>
  <c r="G123" i="81" s="1"/>
  <c r="Q190" i="81" a="1"/>
  <c r="Q190" i="81" s="1"/>
  <c r="R94" i="81" a="1"/>
  <c r="R94" i="81" s="1"/>
  <c r="S187" i="81" a="1"/>
  <c r="S187" i="81" s="1"/>
  <c r="R158" i="81" a="1"/>
  <c r="R158" i="81" s="1"/>
  <c r="R125" i="81" a="1"/>
  <c r="R125" i="81" s="1"/>
  <c r="S97" i="81" a="1"/>
  <c r="S97" i="81" s="1"/>
  <c r="G98" i="81" a="1"/>
  <c r="G98" i="81" s="1"/>
  <c r="Q126" i="81" a="1"/>
  <c r="Q126" i="81" s="1"/>
  <c r="R97" i="81" a="1"/>
  <c r="R97" i="81" s="1"/>
  <c r="Q99" i="81" a="1"/>
  <c r="Q99" i="81" s="1"/>
  <c r="G188" i="81" a="1"/>
  <c r="G188" i="81" s="1"/>
  <c r="G97" i="81" a="1"/>
  <c r="G97" i="81" s="1"/>
  <c r="S125" i="81" a="1"/>
  <c r="S125" i="81" s="1"/>
  <c r="E190" i="81"/>
  <c r="E148" i="81"/>
  <c r="E160" i="81"/>
  <c r="E178" i="81"/>
  <c r="E84" i="81"/>
  <c r="P26" i="81"/>
  <c r="P190" i="81"/>
  <c r="E23" i="95"/>
  <c r="E49" i="95"/>
  <c r="P29" i="95"/>
  <c r="P160" i="81"/>
  <c r="P96" i="81"/>
  <c r="E26" i="81"/>
  <c r="P126" i="81"/>
  <c r="E96" i="81"/>
  <c r="E126" i="81"/>
  <c r="E38" i="81"/>
  <c r="P23" i="95"/>
  <c r="P38" i="81"/>
  <c r="E29" i="95"/>
  <c r="P49" i="95"/>
  <c r="R157" i="81" a="1"/>
  <c r="R157" i="81" s="1"/>
  <c r="G96" i="81" a="1"/>
  <c r="G96" i="81" s="1"/>
  <c r="R190" i="81" a="1"/>
  <c r="R190" i="81" s="1"/>
  <c r="G158" i="81" a="1"/>
  <c r="G158" i="81" s="1"/>
  <c r="G187" i="81" a="1"/>
  <c r="G187" i="81" s="1"/>
  <c r="Q95" i="81" a="1"/>
  <c r="Q95" i="81" s="1"/>
  <c r="R187" i="81" a="1"/>
  <c r="R187" i="81" s="1"/>
  <c r="G126" i="81" a="1"/>
  <c r="G126" i="81" s="1"/>
  <c r="R162" i="81" a="1"/>
  <c r="R162" i="81" s="1"/>
  <c r="Q189" i="81" a="1"/>
  <c r="Q189" i="81" s="1"/>
  <c r="R161" i="81" a="1"/>
  <c r="R161" i="81" s="1"/>
  <c r="G191" i="81" a="1"/>
  <c r="G191" i="81" s="1"/>
  <c r="Q130" i="81" a="1"/>
  <c r="Q130" i="81" s="1"/>
  <c r="E161" i="81"/>
  <c r="E85" i="81"/>
  <c r="P191" i="81"/>
  <c r="P27" i="81"/>
  <c r="P127" i="81"/>
  <c r="P161" i="81"/>
  <c r="P97" i="81"/>
  <c r="E127" i="81"/>
  <c r="E27" i="81"/>
  <c r="E191" i="81"/>
  <c r="E149" i="81"/>
  <c r="P39" i="81"/>
  <c r="E39" i="81"/>
  <c r="E97" i="81"/>
  <c r="E179" i="81"/>
  <c r="E30" i="95"/>
  <c r="E194" i="81"/>
  <c r="P100" i="81"/>
  <c r="P130" i="81"/>
  <c r="E100" i="81"/>
  <c r="P30" i="81"/>
  <c r="E130" i="81"/>
  <c r="E152" i="81"/>
  <c r="P30" i="95"/>
  <c r="E182" i="81"/>
  <c r="P194" i="81"/>
  <c r="E164" i="81"/>
  <c r="E30" i="81"/>
  <c r="P42" i="81"/>
  <c r="P164" i="81"/>
  <c r="E50" i="95"/>
  <c r="P24" i="95"/>
  <c r="E24" i="95"/>
  <c r="E42" i="81"/>
  <c r="P50" i="95"/>
  <c r="E88" i="81"/>
  <c r="R98" i="81" a="1"/>
  <c r="R98" i="81" s="1"/>
  <c r="Q125" i="81" a="1"/>
  <c r="Q125" i="81" s="1"/>
  <c r="Q129" i="81" a="1"/>
  <c r="Q129" i="81" s="1"/>
  <c r="Q191" i="81" a="1"/>
  <c r="Q191" i="81" s="1"/>
  <c r="Q163" i="81" a="1"/>
  <c r="Q163" i="81" s="1"/>
  <c r="P187" i="81"/>
  <c r="P93" i="81"/>
  <c r="P123" i="81"/>
  <c r="E93" i="81"/>
  <c r="P23" i="81"/>
  <c r="E123" i="81"/>
  <c r="E145" i="81"/>
  <c r="E187" i="81"/>
  <c r="E157" i="81"/>
  <c r="E175" i="81"/>
  <c r="E23" i="81"/>
  <c r="E81" i="81"/>
  <c r="P35" i="81"/>
  <c r="P157" i="81"/>
  <c r="E35" i="81"/>
  <c r="S188" i="81" a="1"/>
  <c r="S188" i="81" s="1"/>
  <c r="R194" i="81" a="1"/>
  <c r="R194" i="81" s="1"/>
  <c r="S93" i="81" a="1"/>
  <c r="S93" i="81" s="1"/>
  <c r="S128" i="81" a="1"/>
  <c r="S128" i="81" s="1"/>
  <c r="S124" i="81" a="1"/>
  <c r="S124" i="81" s="1"/>
  <c r="S162" i="81" a="1"/>
  <c r="S162" i="81" s="1"/>
  <c r="R189" i="81" a="1"/>
  <c r="R189" i="81" s="1"/>
  <c r="Q162" i="81" a="1"/>
  <c r="Q162" i="81" s="1"/>
  <c r="R100" i="81" a="1"/>
  <c r="R100" i="81" s="1"/>
  <c r="S123" i="81" a="1"/>
  <c r="S123" i="81" s="1"/>
  <c r="S94" i="81" a="1"/>
  <c r="S94" i="81" s="1"/>
  <c r="P40" i="81"/>
  <c r="P28" i="81"/>
  <c r="P162" i="81"/>
  <c r="P98" i="81"/>
  <c r="P128" i="81"/>
  <c r="E98" i="81"/>
  <c r="E192" i="81"/>
  <c r="E128" i="81"/>
  <c r="E150" i="81"/>
  <c r="E28" i="81"/>
  <c r="E86" i="81"/>
  <c r="E162" i="81"/>
  <c r="P192" i="81"/>
  <c r="E180" i="81"/>
  <c r="E40" i="81"/>
  <c r="S192" i="81" a="1"/>
  <c r="S192" i="81" s="1"/>
  <c r="Q192" i="81" a="1"/>
  <c r="Q192" i="81" s="1"/>
  <c r="G192" i="81" a="1"/>
  <c r="G192" i="81" s="1"/>
  <c r="S193" i="81" a="1"/>
  <c r="S193" i="81" s="1"/>
  <c r="P29" i="81"/>
  <c r="P99" i="81"/>
  <c r="E193" i="81"/>
  <c r="E129" i="81"/>
  <c r="P41" i="81"/>
  <c r="E41" i="81"/>
  <c r="E151" i="81"/>
  <c r="E87" i="81"/>
  <c r="P193" i="81"/>
  <c r="E163" i="81"/>
  <c r="E29" i="81"/>
  <c r="E181" i="81"/>
  <c r="E99" i="81"/>
  <c r="P129" i="81"/>
  <c r="P163" i="81"/>
  <c r="E125" i="81"/>
  <c r="E147" i="81"/>
  <c r="E189" i="81"/>
  <c r="P25" i="81"/>
  <c r="E159" i="81"/>
  <c r="E177" i="81"/>
  <c r="E83" i="81"/>
  <c r="P189" i="81"/>
  <c r="E25" i="81"/>
  <c r="P95" i="81"/>
  <c r="P159" i="81"/>
  <c r="P125" i="81"/>
  <c r="E95" i="81"/>
  <c r="E37" i="81"/>
  <c r="P37" i="81"/>
  <c r="P94" i="81"/>
  <c r="P36" i="81"/>
  <c r="P158" i="81"/>
  <c r="E124" i="81"/>
  <c r="E36" i="81"/>
  <c r="P24" i="81"/>
  <c r="E146" i="81"/>
  <c r="E188" i="81"/>
  <c r="E158" i="81"/>
  <c r="E176" i="81"/>
  <c r="E24" i="81"/>
  <c r="P188" i="81"/>
  <c r="P124" i="81"/>
  <c r="E94" i="81"/>
  <c r="E82" i="81"/>
  <c r="S159" i="81" a="1"/>
  <c r="S159" i="81" s="1"/>
  <c r="S163" i="81" a="1"/>
  <c r="S163" i="81" s="1"/>
  <c r="R96" i="81" a="1"/>
  <c r="R96" i="81" s="1"/>
  <c r="G124" i="81" a="1"/>
  <c r="G124" i="81" s="1"/>
  <c r="S129" i="81" a="1"/>
  <c r="S129" i="81" s="1"/>
  <c r="R70" i="82"/>
  <c r="P73" i="82" s="1" a="1"/>
  <c r="P73" i="82" s="1"/>
  <c r="I9" i="13" s="1"/>
  <c r="G70" i="82"/>
  <c r="E73" i="82" s="1" a="1"/>
  <c r="E73" i="82" s="1"/>
  <c r="E242" i="76"/>
  <c r="E46" i="82"/>
  <c r="P25" i="82"/>
  <c r="O277" i="76"/>
  <c r="E277" i="76"/>
  <c r="O230" i="76"/>
  <c r="P46" i="82"/>
  <c r="E25" i="82"/>
  <c r="O242" i="76"/>
  <c r="E230" i="76"/>
  <c r="P45" i="82"/>
  <c r="E241" i="76"/>
  <c r="E45" i="82"/>
  <c r="P24" i="82"/>
  <c r="E276" i="76"/>
  <c r="O241" i="76"/>
  <c r="O229" i="76"/>
  <c r="O276" i="76"/>
  <c r="E24" i="82"/>
  <c r="E229" i="76"/>
  <c r="D199" i="70"/>
  <c r="P41" i="82"/>
  <c r="O225" i="76"/>
  <c r="E20" i="82"/>
  <c r="E225" i="76"/>
  <c r="O272" i="76"/>
  <c r="E41" i="82"/>
  <c r="P20" i="82"/>
  <c r="E272" i="76"/>
  <c r="O237" i="76"/>
  <c r="E237" i="76"/>
  <c r="D198" i="70"/>
  <c r="D174" i="70"/>
  <c r="D164" i="70"/>
  <c r="D255" i="70"/>
  <c r="D208" i="70"/>
  <c r="D181" i="70"/>
  <c r="D231" i="70"/>
  <c r="D215" i="70"/>
  <c r="D163" i="70"/>
  <c r="D197" i="70"/>
  <c r="D165" i="70"/>
  <c r="D250" i="70"/>
  <c r="E40" i="82"/>
  <c r="P19" i="82"/>
  <c r="E271" i="76"/>
  <c r="O271" i="76"/>
  <c r="O224" i="76"/>
  <c r="E19" i="82"/>
  <c r="E224" i="76"/>
  <c r="P40" i="82"/>
  <c r="E236" i="76"/>
  <c r="O236" i="76"/>
  <c r="D193" i="70"/>
  <c r="D192" i="70"/>
  <c r="D180" i="70"/>
  <c r="D207" i="70"/>
  <c r="D226" i="70"/>
  <c r="D160" i="70"/>
  <c r="D214" i="70"/>
  <c r="D194" i="70"/>
  <c r="D173" i="70"/>
  <c r="D159" i="70"/>
  <c r="D158" i="70"/>
  <c r="D168" i="70"/>
  <c r="O226" i="76"/>
  <c r="O273" i="76"/>
  <c r="O238" i="76"/>
  <c r="E21" i="82"/>
  <c r="E226" i="76"/>
  <c r="P42" i="82"/>
  <c r="E238" i="76"/>
  <c r="E42" i="82"/>
  <c r="P21" i="82"/>
  <c r="E273" i="76"/>
  <c r="D203" i="70"/>
  <c r="D236" i="70"/>
  <c r="D170" i="70"/>
  <c r="D175" i="70"/>
  <c r="D204" i="70"/>
  <c r="D216" i="70"/>
  <c r="D182" i="70"/>
  <c r="D209" i="70"/>
  <c r="D202" i="70"/>
  <c r="D169" i="70"/>
  <c r="D260" i="70"/>
  <c r="E23" i="82"/>
  <c r="E228" i="76"/>
  <c r="O240" i="76"/>
  <c r="O275" i="76"/>
  <c r="E240" i="76"/>
  <c r="E44" i="82"/>
  <c r="P23" i="82"/>
  <c r="E275" i="76"/>
  <c r="P44" i="82"/>
  <c r="O228" i="76"/>
  <c r="E47" i="82"/>
  <c r="P26" i="82"/>
  <c r="E278" i="76"/>
  <c r="P47" i="82"/>
  <c r="O243" i="76"/>
  <c r="O231" i="76"/>
  <c r="E26" i="82"/>
  <c r="E231" i="76"/>
  <c r="E243" i="76"/>
  <c r="O278" i="76"/>
  <c r="D241" i="70"/>
  <c r="P43" i="82"/>
  <c r="E22" i="82"/>
  <c r="E227" i="76"/>
  <c r="E239" i="76"/>
  <c r="E43" i="82"/>
  <c r="P22" i="82"/>
  <c r="O274" i="76"/>
  <c r="O227" i="76"/>
  <c r="E274" i="76"/>
  <c r="O239" i="76"/>
  <c r="D265" i="70"/>
  <c r="E13" i="15"/>
  <c r="E132" i="81" l="1"/>
  <c r="P132" i="81"/>
  <c r="P196" i="81"/>
  <c r="P166" i="81"/>
  <c r="E166" i="81"/>
  <c r="E22" i="13" s="1"/>
  <c r="E102" i="81"/>
  <c r="E21" i="13" s="1"/>
  <c r="E196" i="81"/>
  <c r="E23" i="13" s="1"/>
  <c r="E280" i="76"/>
  <c r="O280" i="76"/>
  <c r="Q282" i="76" l="1"/>
  <c r="O285" i="76" s="1" a="1"/>
  <c r="O285" i="76" s="1"/>
  <c r="G282" i="76"/>
  <c r="E285" i="76" s="1" a="1"/>
  <c r="E285" i="76" s="1"/>
  <c r="H15" i="13"/>
  <c r="I1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<sst xmlns="http://schemas.openxmlformats.org/spreadsheetml/2006/main" count="1758" uniqueCount="415">
  <si>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</si>
  <si>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</si>
  <si>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</si>
  <si>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</si>
  <si>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</si>
  <si>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</si>
  <si>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</si>
  <si>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</si>
  <si>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</si>
  <si>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</si>
  <si>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</si>
  <si>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</si>
  <si>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</si>
  <si>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</si>
  <si>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</si>
  <si>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</si>
  <si>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</si>
  <si>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</si>
  <si>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</si>
  <si>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</si>
  <si>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</si>
  <si>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</si>
  <si>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</si>
  <si>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</si>
  <si>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</si>
  <si>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</si>
  <si>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</si>
  <si>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</si>
  <si>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</si>
  <si>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</si>
  <si>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</si>
  <si>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</si>
  <si>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</si>
  <si>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</si>
  <si>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</si>
  <si>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</si>
  <si>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</si>
  <si>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</si>
  <si>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</si>
  <si>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</si>
  <si>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</si>
  <si>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</si>
  <si>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</si>
  <si>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</si>
  <si>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</si>
  <si>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</si>
  <si>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</si>
  <si>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</si>
  <si>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</si>
  <si>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</si>
  <si>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</si>
  <si>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</si>
  <si>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</si>
  <si>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</si>
  <si>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</si>
  <si>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</si>
  <si>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</si>
  <si>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</si>
  <si>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</si>
  <si>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</si>
  <si>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</si>
  <si>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</si>
  <si>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</si>
  <si>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</si>
  <si>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</si>
  <si>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</si>
  <si>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</si>
  <si>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</si>
  <si>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</si>
  <si>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</si>
  <si>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</si>
  <si>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</si>
  <si>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</si>
  <si>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</si>
  <si>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</si>
  <si>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</si>
  <si>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</si>
  <si>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</si>
  <si>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</si>
  <si>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</si>
  <si>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</si>
  <si>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</si>
  <si>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</si>
  <si>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</si>
  <si>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</si>
  <si>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</si>
  <si>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</si>
  <si>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</si>
  <si>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</si>
  <si>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</si>
  <si>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</si>
  <si>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</si>
  <si>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</si>
  <si>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</si>
  <si>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</si>
  <si>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</si>
  <si>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</si>
  <si>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</si>
  <si>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</si>
  <si>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</si>
  <si>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Stage 1 MMS</t>
  </si>
  <si>
    <t>Manure management systems</t>
  </si>
  <si>
    <t>Herd movement</t>
  </si>
  <si>
    <t>Table_N_j</t>
  </si>
  <si>
    <t>Head</t>
  </si>
  <si>
    <r>
      <t>E</t>
    </r>
    <r>
      <rPr>
        <vertAlign val="subscript"/>
        <sz val="12"/>
        <color theme="1" tint="0.24994659260841701"/>
        <rFont val="Times New Roman"/>
        <family val="1"/>
      </rPr>
      <t>CO2e</t>
    </r>
  </si>
  <si>
    <t>Sold as fertiliser</t>
  </si>
  <si>
    <t>Formula name</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</si>
  <si>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</si>
  <si>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</si>
  <si>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</si>
  <si>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</si>
  <si>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</si>
  <si>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</si>
  <si>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</si>
  <si>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</si>
  <si>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</si>
  <si>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</si>
  <si>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</si>
  <si>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</si>
  <si>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kg N</t>
  </si>
  <si>
    <r>
      <t>MNSoil</t>
    </r>
    <r>
      <rPr>
        <b/>
        <vertAlign val="subscript"/>
        <sz val="16"/>
        <color theme="1" tint="0.24994659260841701"/>
        <rFont val="Times New Roman"/>
        <family val="1"/>
      </rPr>
      <t>scope1</t>
    </r>
  </si>
  <si>
    <t>Deposited on farm soils as waste (Direct application MMS)</t>
  </si>
  <si>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</si>
  <si>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</si>
  <si>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</si>
  <si>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</si>
  <si>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</si>
  <si>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</si>
  <si>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t>Table_PF_sold</t>
  </si>
  <si>
    <t>Fraction of manure sold</t>
  </si>
  <si>
    <t>M1_Table_MNSoil_scope3_sold</t>
  </si>
  <si>
    <t>M2_Table_MNSoil_scope3_sold</t>
  </si>
  <si>
    <t>Mass of nitrogen applied as fertiliser on own farm</t>
  </si>
  <si>
    <t>Mass of nitrogen sold</t>
  </si>
  <si>
    <r>
      <t>MNSoil</t>
    </r>
    <r>
      <rPr>
        <b/>
        <vertAlign val="subscript"/>
        <sz val="16"/>
        <color theme="1" tint="0.24994659260841701"/>
        <rFont val="Times New Roman"/>
        <family val="1"/>
      </rPr>
      <t>scope3,sold</t>
    </r>
  </si>
  <si>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</si>
  <si>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</si>
  <si>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</si>
  <si>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</si>
  <si>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</si>
  <si>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</si>
  <si>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</si>
  <si>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</si>
  <si>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</si>
  <si>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</si>
  <si>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</si>
  <si>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</si>
  <si>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</si>
  <si>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</si>
  <si>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</si>
  <si>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</si>
  <si>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</si>
  <si>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</si>
  <si>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</si>
  <si>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</si>
  <si>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This feedlot</t>
  </si>
  <si>
    <t>Manure nitrogen sold</t>
  </si>
  <si>
    <t>Scope 3 (downstream)</t>
  </si>
  <si>
    <t>Crops or pasture that use manure as fertiliser</t>
  </si>
  <si>
    <t>Amount of N in manure</t>
  </si>
  <si>
    <t>N unit</t>
  </si>
  <si>
    <t>WARNING: Manure nitrogen that was applied to soils must be accounted for</t>
  </si>
  <si>
    <t>Manure nitrogen use</t>
  </si>
  <si>
    <t>Manure nitrogen deposited on farm soils as fertiliser for other farm enterpsies (eg crops)</t>
  </si>
  <si>
    <t>Manure nitrogen deposited on farm soils with no other purpose (aka waste)</t>
  </si>
  <si>
    <t>15.13.1.1 (1), 5.2.2.1 (1), 5.4.1.3 (1, 2), 5.5.1.1 (1, 3)</t>
  </si>
  <si>
    <t>5.2.2.1 (1), 5.4.1.3 (1, 2), 5.5.1.1 (1, 3)</t>
  </si>
  <si>
    <t>VEERG Calculation method</t>
  </si>
  <si>
    <t>See the table below for how to account for manure applied to soils for scope 1 and 3.</t>
  </si>
  <si>
    <t>N/A</t>
  </si>
  <si>
    <t>Dairy manure management systems</t>
  </si>
  <si>
    <t>Dairy crop or pasture production systems</t>
  </si>
  <si>
    <t>Milking cows</t>
  </si>
  <si>
    <t>Milking shed</t>
  </si>
  <si>
    <t>Heifers &gt; 1 year</t>
  </si>
  <si>
    <t>Heifers &lt; 1 year</t>
  </si>
  <si>
    <t>Bulls &gt; 1 year</t>
  </si>
  <si>
    <t>Bulls &lt; 1 year</t>
  </si>
  <si>
    <t>Month</t>
  </si>
  <si>
    <t>kg/head</t>
  </si>
  <si>
    <t>kg/head/day</t>
  </si>
  <si>
    <t>Milk production</t>
  </si>
  <si>
    <t>Method 1 values</t>
  </si>
  <si>
    <t>Time spent in production systems</t>
  </si>
  <si>
    <t>Feed pad</t>
  </si>
  <si>
    <t>Production system template</t>
  </si>
  <si>
    <t>Method 2 custom values (Edit if known)</t>
  </si>
  <si>
    <t>Method 1 default values (Do not edit)</t>
  </si>
  <si>
    <t>Yes</t>
  </si>
  <si>
    <t>Total manure sent to MMS (Must equal 100%)  (Method 1)</t>
  </si>
  <si>
    <t>Total percent sent to solid storage (Method 1)</t>
  </si>
  <si>
    <t>Total percent sent to solid storage (Method 2)</t>
  </si>
  <si>
    <t>Total manure sent to MMS (Must equal 100%)  (Method 2)</t>
  </si>
  <si>
    <t>Post treatment destinations</t>
  </si>
  <si>
    <t>Production systems</t>
  </si>
  <si>
    <t>No</t>
  </si>
  <si>
    <t>System 3: Pasture-grazed 3-9 months/year</t>
  </si>
  <si>
    <t>Applied to farm soils as fertiliser</t>
  </si>
  <si>
    <t>Liveweight</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</si>
  <si>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</si>
  <si>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</si>
  <si>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</si>
  <si>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</si>
  <si>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</si>
  <si>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</si>
  <si>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</si>
  <si>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</si>
  <si>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</si>
  <si>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</si>
  <si>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M1_Table_MI_j</t>
  </si>
  <si>
    <t>Additional intake for milk production (Method 1)</t>
  </si>
  <si>
    <t>L/head/day</t>
  </si>
  <si>
    <t>Table_MP_j</t>
  </si>
  <si>
    <t>Feed intake (Method 2)</t>
  </si>
  <si>
    <t>Feed intake (Method 1)</t>
  </si>
  <si>
    <t>M1_Table_MMS_j_m</t>
  </si>
  <si>
    <t>M2_Table_MMS_j_m</t>
  </si>
  <si>
    <t>Number of dairy cattle in all classes</t>
  </si>
  <si>
    <t>M1_Table_DPW_j</t>
  </si>
  <si>
    <t>CH4/head/day</t>
  </si>
  <si>
    <t>M1_Table_D_j-1-2-4</t>
  </si>
  <si>
    <t>Duration of stay of of pre-weaned dairy cattle in all classes (Method 1)</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</si>
  <si>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</si>
  <si>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</si>
  <si>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</si>
  <si>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</si>
  <si>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</si>
  <si>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</si>
  <si>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</si>
  <si>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</si>
  <si>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</si>
  <si>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</si>
  <si>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</si>
  <si>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</si>
  <si>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</si>
  <si>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</si>
  <si>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</si>
  <si>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</si>
  <si>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</si>
  <si>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</si>
  <si>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</si>
  <si>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</si>
  <si>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</si>
  <si>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</si>
  <si>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</si>
  <si>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</si>
  <si>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</si>
  <si>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</si>
  <si>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</si>
  <si>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</si>
  <si>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</si>
  <si>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</si>
  <si>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</si>
  <si>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</si>
  <si>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</si>
  <si>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</si>
  <si>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</si>
  <si>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</si>
  <si>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</si>
  <si>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</si>
  <si>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</si>
  <si>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</si>
  <si>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</si>
  <si>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</si>
  <si>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</si>
  <si>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</si>
  <si>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</si>
  <si>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There is no method 2 in VEERG doc, but there are method 2 flow-ons from direct N2O</t>
  </si>
  <si>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</si>
  <si>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</si>
  <si>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</si>
  <si>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</si>
  <si>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</si>
  <si>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</si>
  <si>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</si>
  <si>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</si>
  <si>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</si>
  <si>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</si>
  <si>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</si>
  <si>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</si>
  <si>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</si>
  <si>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</si>
  <si>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Should have 1-13 subscript</t>
  </si>
  <si>
    <t>M1_Table_MN_leach_j_m-1-13</t>
  </si>
  <si>
    <t>M2_Table_MN_leach_j_m-1-13</t>
  </si>
  <si>
    <t>Mass of N lost to leaching and runoff from all MMS (Method 2)</t>
  </si>
  <si>
    <t>Mass of N lost to leaching and runoff from all MMS (Method 1)</t>
  </si>
  <si>
    <t>Guidance should reference MNLeach equation for MMS 1-13</t>
  </si>
  <si>
    <t>Table_PF_scope</t>
  </si>
  <si>
    <t>Fraction of manure applied to soils within farm boundary</t>
  </si>
  <si>
    <t>Needs subscripts 1-13</t>
  </si>
  <si>
    <t>M1_Table_MN_soil_scope1</t>
  </si>
  <si>
    <t>has 'scope' subscript in arguments definition but not equation</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</si>
  <si>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</si>
  <si>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</si>
  <si>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</si>
  <si>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</si>
  <si>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</si>
  <si>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</si>
  <si>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</si>
  <si>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</si>
  <si>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 Manure that is removed from MMS and used as fertiliser on the farm, for other enterprises (eg crops)</t>
  </si>
  <si>
    <t>* Manure that is removed from MMS that is sold</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</si>
  <si>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</si>
  <si>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</si>
  <si>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</si>
  <si>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</si>
  <si>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</si>
  <si>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</si>
  <si>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</si>
  <si>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</si>
  <si>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</si>
  <si>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</si>
  <si>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</si>
  <si>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</si>
  <si>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</si>
  <si>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</si>
  <si>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</si>
  <si>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</si>
  <si>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</si>
  <si>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</si>
  <si>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</si>
  <si>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</si>
  <si>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</si>
  <si>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</si>
  <si>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</si>
  <si>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</si>
  <si>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</si>
  <si>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</si>
  <si>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</si>
  <si>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</si>
  <si>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</si>
  <si>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t>equation in document has FracGASMm-1-13, should be m=1-13</t>
  </si>
  <si>
    <r>
      <t>MN</t>
    </r>
    <r>
      <rPr>
        <b/>
        <vertAlign val="subscript"/>
        <sz val="12"/>
        <color theme="1" tint="0.24994659260841701"/>
        <rFont val="Times New Roman"/>
        <family val="1"/>
      </rPr>
      <t>ATMOS</t>
    </r>
  </si>
  <si>
    <t>GHG emissions method 1</t>
  </si>
  <si>
    <t>GHG emissions method 2</t>
  </si>
  <si>
    <t>CO2-e emissions method 1</t>
  </si>
  <si>
    <t>CO2-e emissions method 2</t>
  </si>
  <si>
    <t>Input -Pasture Beef</t>
  </si>
  <si>
    <t>4.2 Manure management: Pasture Beef: Results</t>
  </si>
  <si>
    <t>4.2.1.1-2 Manure methane</t>
  </si>
  <si>
    <t>4.2.1.1-2 Manure Methane</t>
  </si>
  <si>
    <t>4.2.1.3-4 Manure direct N2O</t>
  </si>
  <si>
    <t>4.2.1.5 Manure atmospheric deposition</t>
  </si>
  <si>
    <t>4.2.1.6-7 Manure leaching and runoff</t>
  </si>
  <si>
    <t>4.2.1.8 Manure applied to soils</t>
  </si>
  <si>
    <t>4.2.1.9 Soil direct N2O</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</si>
  <si>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</si>
  <si>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</si>
  <si>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</si>
  <si>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</si>
  <si>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</si>
  <si>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</si>
  <si>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</si>
  <si>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</si>
  <si>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</si>
  <si>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</si>
  <si>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</si>
  <si>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</si>
  <si>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</si>
  <si>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</si>
  <si>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</si>
  <si>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</si>
  <si>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</si>
  <si>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Method values</t>
  </si>
  <si>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</si>
  <si>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</si>
  <si>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</si>
  <si>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</si>
  <si>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</si>
  <si>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</si>
  <si>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</si>
  <si>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</si>
  <si>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</si>
  <si>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</si>
  <si>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</si>
  <si>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</si>
  <si>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</si>
  <si>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</si>
  <si>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</si>
  <si>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</si>
  <si>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</si>
  <si>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</si>
  <si>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</si>
  <si>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</si>
  <si>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</si>
  <si>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</si>
  <si>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</si>
  <si>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</si>
  <si>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</si>
  <si>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</si>
  <si>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</si>
  <si>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</si>
  <si>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</si>
  <si>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</si>
  <si>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</si>
  <si>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</si>
  <si>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</si>
  <si>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</si>
  <si>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</si>
  <si>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</si>
  <si>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</si>
  <si>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</si>
  <si>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</si>
  <si>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</si>
  <si>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</si>
  <si>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</si>
  <si>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</si>
  <si>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</si>
  <si>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</si>
  <si>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</si>
  <si>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</si>
  <si>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</si>
  <si>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Total (Cannot exceed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</si>
</sst>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4" formatCode="0.0000%"/>
    <numFmt numFmtId="176" formatCode="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s>
  <fills count="15">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top/>
      <bottom/>
      <diagonal/>
    </border>
    <border>
      <left/>
      <right style="thin">
        <color theme="3" tint="0.749961851863155"/>
      </right>
      <top/>
      <bottom/>
      <diagonal/>
    </border>
  </borders>
  <cellStyleXfs count="65">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cellStyleXfs>
  <cellXfs count="146">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0" fontId="46" fillId="13" borderId="0" xfId="41" applyBorder="1">
      <alignment horizontal="left" vertical="center"/>
    </xf>
    <xf numFmtId="0" fontId="46" fillId="13" borderId="9" xfId="41" applyBorder="1">
      <alignment horizontal="left" vertical="center"/>
    </xf>
    <xf numFmtId="0" fontId="46" fillId="13" borderId="20" xfId="41" applyBorder="1">
      <alignment horizontal="left" vertical="center"/>
    </xf>
    <xf numFmtId="0" fontId="46" fillId="13" borderId="21"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59"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0" fillId="0" borderId="0" xfId="2" applyFont="1"/>
    <xf numFmtId="0" fontId="0" fillId="0" borderId="0" xfId="8" applyFont="1" applyFill="1" applyBorder="1">
      <alignment horizontal="left" vertical="center"/>
    </xf>
    <xf numFmtId="0" fontId="17" fillId="4" borderId="0" xfId="32" applyFill="1">
      <alignment vertical="center"/>
    </xf>
    <xf numFmtId="9" fontId="2" fillId="0" borderId="2" xfId="14" applyFont="1" applyBorder="1" applyAlignment="1">
      <alignment horizontal="center" vertical="center"/>
    </xf>
    <xf numFmtId="0" fontId="38" fillId="14" borderId="0" xfId="5" applyFill="1">
      <alignment horizontal="left" vertical="center"/>
    </xf>
    <xf numFmtId="174" fontId="40" fillId="4" borderId="0" xfId="8" applyNumberFormat="1">
      <alignment horizontal="left" vertical="center"/>
    </xf>
    <xf numFmtId="9" fontId="35" fillId="4" borderId="2" xfId="55" applyNumberFormat="1">
      <alignment horizontal="center" vertical="center"/>
    </xf>
    <xf numFmtId="0" fontId="35" fillId="4" borderId="2" xfId="55" applyAlignment="1">
      <alignment horizontal="center" vertical="center"/>
    </xf>
    <xf numFmtId="176" fontId="40" fillId="4" borderId="0" xfId="8" applyNumberFormat="1">
      <alignment horizontal="left" vertical="center"/>
    </xf>
    <xf numFmtId="43" fontId="40" fillId="4" borderId="0" xfId="42" applyFont="1" applyFill="1" applyAlignment="1">
      <alignment horizontal="left" vertical="center"/>
    </xf>
    <xf numFmtId="0" fontId="35" fillId="14" borderId="2" xfId="55" applyFill="1" applyAlignment="1">
      <alignment horizontal="left" vertical="center"/>
    </xf>
    <xf numFmtId="0" fontId="35" fillId="4" borderId="19" xfId="55" applyBorder="1" applyAlignment="1">
      <alignment vertical="center"/>
    </xf>
    <xf numFmtId="0" fontId="40" fillId="4" borderId="1" xfId="8" applyFont="1" applyBorder="1">
      <alignment horizontal="left" vertical="center"/>
    </xf>
    <xf numFmtId="0" fontId="6" fillId="4" borderId="1" xfId="56" applyFont="1" applyBorder="1">
      <alignment horizontal="left" vertical="center"/>
    </xf>
    <xf numFmtId="0" fontId="0" fillId="0" borderId="0" xfId="8" applyNumberFormat="1" applyFont="1" applyFill="1" applyBorder="1" applyAlignment="1">
      <alignment horizontal="left" vertical="center"/>
    </xf>
    <xf numFmtId="0" fontId="0" fillId="0" borderId="0" xfId="0" applyFont="1" applyFill="1" applyBorder="1"/>
    <xf numFmtId="0" fontId="0" fillId="0" borderId="0" xfId="29" applyFont="1" applyFill="1" applyBorder="1">
      <alignment horizontal="left" vertical="center" indent="1"/>
    </xf>
  </cellXfs>
  <cellStyles count="65">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10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9"/>
      <tableStyleElement type="headerRow" dxfId="98"/>
      <tableStyleElement type="totalRow" dxfId="97"/>
      <tableStyleElement type="firstColumn" dxfId="96"/>
      <tableStyleElement type="firstRowStripe" dxfId="95"/>
      <tableStyleElement type="secondRowStripe" dxfId="94"/>
    </tableStyle>
    <tableStyle name="Equation table" pivot="0" count="6" xr9:uid="{B247698E-E41D-4CCD-AA0A-C14817E9DE65}">
      <tableStyleElement type="wholeTable" dxfId="93"/>
      <tableStyleElement type="headerRow" dxfId="92"/>
      <tableStyleElement type="totalRow" dxfId="91"/>
      <tableStyleElement type="firstColumn" dxfId="90"/>
      <tableStyleElement type="firstRowStripe" dxfId="89"/>
      <tableStyleElement type="secondRowStripe" dxfId="88"/>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4.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4.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45</xdr:row>
      <xdr:rowOff>195262</xdr:rowOff>
    </xdr:from>
    <xdr:ext cx="3370218" cy="253339"/>
    <mc:AlternateContent xmlns:mc="http://schemas.openxmlformats.org/markup-compatibility/2006">
      <mc:Choice xmlns:a14="http://schemas.microsoft.com/office/drawing/2010/main"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3</xdr:col>
      <xdr:colOff>19050</xdr:colOff>
      <xdr:row>6</xdr:row>
      <xdr:rowOff>204787</xdr:rowOff>
    </xdr:from>
    <xdr:ext cx="3040319" cy="194990"/>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95575" y="1824037"/>
              <a:ext cx="304031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95575" y="1824037"/>
              <a:ext cx="304031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9525</xdr:colOff>
      <xdr:row>71</xdr:row>
      <xdr:rowOff>90487</xdr:rowOff>
    </xdr:from>
    <xdr:ext cx="7038402" cy="397288"/>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p>
          </xdr:txBody>
        </xdr:sp>
      </mc:Choice>
      <mc:Fallback>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𝑁𝑅_𝑗=((0.032×𝑀𝑃_𝑗×1.03)/6.38)+{(0.212−0.008×(𝐿_𝑗−2)−[(0.140−0.008×(𝐿_𝑗−2))/(1+𝑒^(−6×(𝑍_𝑗−0.4) ) )])×(𝐿𝑊𝐺_𝑗×0.92)}×1/6.25</a:t>
              </a:r>
            </a:p>
          </xdr:txBody>
        </xdr:sp>
      </mc:Fallback>
    </mc:AlternateContent>
    <xdr:clientData/>
  </xdr:oneCellAnchor>
  <xdr:oneCellAnchor>
    <xdr:from>
      <xdr:col>3</xdr:col>
      <xdr:colOff>85725</xdr:colOff>
      <xdr:row>102</xdr:row>
      <xdr:rowOff>147637</xdr:rowOff>
    </xdr:from>
    <xdr:ext cx="946413" cy="182871"/>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125</xdr:row>
      <xdr:rowOff>119062</xdr:rowOff>
    </xdr:from>
    <xdr:ext cx="2719847" cy="413768"/>
    <mc:AlternateContent xmlns:mc="http://schemas.openxmlformats.org/markup-compatibility/2006">
      <mc:Choice xmlns:a14="http://schemas.microsoft.com/office/drawing/2010/main"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146</xdr:row>
      <xdr:rowOff>119062</xdr:rowOff>
    </xdr:from>
    <xdr:ext cx="3283528" cy="182871"/>
    <mc:AlternateContent xmlns:mc="http://schemas.openxmlformats.org/markup-compatibility/2006">
      <mc:Choice xmlns:a14="http://schemas.microsoft.com/office/drawing/2010/main"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146</xdr:row>
      <xdr:rowOff>138112</xdr:rowOff>
    </xdr:from>
    <xdr:ext cx="2449453" cy="182871"/>
    <mc:AlternateContent xmlns:mc="http://schemas.openxmlformats.org/markup-compatibility/2006">
      <mc:Choice xmlns:a14="http://schemas.microsoft.com/office/drawing/2010/main"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176</xdr:row>
      <xdr:rowOff>128587</xdr:rowOff>
    </xdr:from>
    <xdr:ext cx="4867936" cy="194990"/>
    <mc:AlternateContent xmlns:mc="http://schemas.openxmlformats.org/markup-compatibility/2006">
      <mc:Choice xmlns:a14="http://schemas.microsoft.com/office/drawing/2010/main"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176</xdr:row>
      <xdr:rowOff>138112</xdr:rowOff>
    </xdr:from>
    <xdr:ext cx="4361129" cy="194990"/>
    <mc:AlternateContent xmlns:mc="http://schemas.openxmlformats.org/markup-compatibility/2006">
      <mc:Choice xmlns:a14="http://schemas.microsoft.com/office/drawing/2010/main"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212</xdr:row>
      <xdr:rowOff>118440</xdr:rowOff>
    </xdr:from>
    <xdr:ext cx="1405385" cy="182871"/>
    <mc:AlternateContent xmlns:mc="http://schemas.openxmlformats.org/markup-compatibility/2006">
      <mc:Choice xmlns:a14="http://schemas.microsoft.com/office/drawing/2010/main"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249</xdr:row>
      <xdr:rowOff>126723</xdr:rowOff>
    </xdr:from>
    <xdr:ext cx="3059363" cy="332079"/>
    <mc:AlternateContent xmlns:mc="http://schemas.openxmlformats.org/markup-compatibility/2006">
      <mc:Choice xmlns:a14="http://schemas.microsoft.com/office/drawing/2010/main"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p>
          </xdr:txBody>
        </xdr:sp>
      </mc:Choice>
      <mc:Fallback>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𝐸_(𝑁2𝑂,𝑑𝑖𝑟)=∑10_𝑗▒∑10_𝑚▒(𝑀𝑁_𝑗𝑚×𝐸𝐹_𝑚×𝐶_𝑁2𝑂×10^(−3) )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p>
          </xdr:txBody>
        </xdr:sp>
      </mc:Choice>
      <mc:Fallback>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295275</xdr:colOff>
      <xdr:row>48</xdr:row>
      <xdr:rowOff>93289</xdr:rowOff>
    </xdr:from>
    <xdr:ext cx="6020815" cy="332079"/>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p>
          </xdr:txBody>
        </xdr:sp>
      </mc:Choice>
      <mc:Fallback>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𝑀𝑁𝑆𝑜𝑖𝑙_𝑠𝑐𝑜𝑝𝑒1=∑10_𝑗▒∑10_𝑚▒(𝑀𝑁_(𝑗𝑚=1−13)×(1−𝐸𝐹_(𝑚=1−13)−𝐹𝑟𝑎𝑐𝐺𝐴𝑆𝑀_(𝑚=1−13) )−𝑀𝑁𝐿𝑒𝑎𝑐ℎ_𝑗𝑚 ) ×𝑃</a:t>
              </a:r>
              <a14:m xmlns:a14="http://schemas.microsoft.com/office/drawing/2010/main"/>
            </a:p>
          </xdr:txBody>
        </xdr:sp>
      </mc:Fallback>
    </mc:AlternateContent>
    <xdr:clientData/>
  </xdr:oneCellAnchor>
  <xdr:oneCellAnchor>
    <xdr:from>
      <xdr:col>3</xdr:col>
      <xdr:colOff>19050</xdr:colOff>
      <xdr:row>7</xdr:row>
      <xdr:rowOff>128587</xdr:rowOff>
    </xdr:from>
    <xdr:ext cx="3431965" cy="182871"/>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28D387F4-AB9D-4CF0-A1AB-CBF0155F7D7D}"/>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dr:sp macro="" textlink="">
          <xdr:nvSpPr>
            <xdr:cNvPr id="5" name="TextBox 4">
              <a:extLst>
                <a:ext uri="{FF2B5EF4-FFF2-40B4-BE49-F238E27FC236}">
                  <a16:creationId xmlns:a16="http://schemas.microsoft.com/office/drawing/2014/main" id="{28D387F4-AB9D-4CF0-A1AB-CBF0155F7D7D}"/>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13445</xdr:colOff>
      <xdr:row>108</xdr:row>
      <xdr:rowOff>108696</xdr:rowOff>
    </xdr:from>
    <xdr:ext cx="6384120" cy="332079"/>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p>
          </xdr:txBody>
        </xdr:sp>
      </mc:Choice>
      <mc:Fallback>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𝑀𝑁𝑆𝑜𝑖𝑙_𝑠𝑐𝑜𝑝𝑒3=∑10_𝑗▒∑10_𝑚▒(𝑀𝑁_(𝑗𝑚=1−13)×(1−𝐸𝐹_(𝑚=1−13)−𝐹𝑟𝑎𝑐𝐺𝐴𝑆𝑀_(𝑚=1−13) )−𝑀𝑁𝐿𝑒𝑎𝑐ℎ_𝑗𝑚 ) ×(1−𝑃𝐹</a:t>
              </a:r>
              <a14:m xmlns:a14="http://schemas.microsoft.com/office/drawing/2010/main"/>
            </a:p>
          </xdr:txBody>
        </xdr:sp>
      </mc:Fallback>
    </mc:AlternateContent>
    <xdr:clientData/>
  </xdr:oneCellAnchor>
  <xdr:twoCellAnchor editAs="oneCell">
    <xdr:from>
      <xdr:col>6</xdr:col>
      <xdr:colOff>1983442</xdr:colOff>
      <xdr:row>110</xdr:row>
      <xdr:rowOff>44824</xdr:rowOff>
    </xdr:from>
    <xdr:to>
      <xdr:col>9</xdr:col>
      <xdr:colOff>1728210</xdr:colOff>
      <xdr:row>112</xdr:row>
      <xdr:rowOff>94766</xdr:rowOff>
    </xdr:to>
    <xdr:pic>
      <xdr:nvPicPr>
        <xdr:cNvPr id="9" name="Picture 8">
          <a:extLst>
            <a:ext uri="{FF2B5EF4-FFF2-40B4-BE49-F238E27FC236}">
              <a16:creationId xmlns:a16="http://schemas.microsoft.com/office/drawing/2014/main" id="{5C60F29D-4670-9430-0E3C-2B84B76E7BF1}"/>
            </a:ext>
          </a:extLst>
        </xdr:cNvPr>
        <xdr:cNvPicPr>
          <a:picLocks noChangeAspect="1"/>
        </xdr:cNvPicPr>
      </xdr:nvPicPr>
      <xdr:blipFill>
        <a:blip xmlns:r="http://schemas.openxmlformats.org/officeDocument/2006/relationships" r:embed="rId1"/>
        <a:stretch>
          <a:fillRect/>
        </a:stretch>
      </xdr:blipFill>
      <xdr:spPr>
        <a:xfrm>
          <a:off x="10813677" y="27297530"/>
          <a:ext cx="5896798" cy="543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p>
          </xdr:txBody>
        </xdr:sp>
      </mc:Choice>
      <mc:Fallback>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GAF2-Template-WIP-v30.xlsx" TargetMode="External"/><Relationship Id="rId1" Type="http://schemas.openxmlformats.org/officeDocument/2006/relationships/externalLinkPath" Target="GAF2-Template-WIP-v3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4.2.1.1-2%20Methane"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4.2.1.3-4%20Direct%20N20"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4.2.1.5%20Atmos%20deposition"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GAF%20Working%20Files/Shared%20working%20files/Templates/GAF2-Template-WIP-v29.xlsx" TargetMode="External"/><Relationship Id="rId2" Type="http://schemas.openxmlformats.org/officeDocument/2006/relationships/externalLinkPath" Target="file:///C:\GAF%20Working%20Files\Shared%20working%20files\Templates\GAF2-Template-WIP-v29.xlsx" TargetMode="External"/><Relationship Id="rId1" Type="http://schemas.openxmlformats.org/officeDocument/2006/relationships/externalLinkPath" Target="/GAF%20Working%20Files/Shared%20working%20files/Templates/GAF2-Template-WIP-v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row r="7">
          <cell r="E7" t="str">
            <v>Milking cows</v>
          </cell>
          <cell r="F7" t="str">
            <v>Heifers &gt; 1 year</v>
          </cell>
          <cell r="G7" t="str">
            <v>Heifers &lt; 1 year</v>
          </cell>
          <cell r="H7" t="str">
            <v>Bulls &gt; 1 year</v>
          </cell>
          <cell r="I7" t="str">
            <v>Bulls &lt; 1 year</v>
          </cell>
        </row>
        <row r="8">
          <cell r="D8" t="str">
            <v>January 2024</v>
          </cell>
          <cell r="E8">
            <v>120</v>
          </cell>
          <cell r="F8">
            <v>75</v>
          </cell>
          <cell r="G8">
            <v>55</v>
          </cell>
          <cell r="H8">
            <v>3</v>
          </cell>
          <cell r="I8">
            <v>3</v>
          </cell>
        </row>
        <row r="9">
          <cell r="D9" t="str">
            <v>February 2024</v>
          </cell>
          <cell r="E9">
            <v>120</v>
          </cell>
          <cell r="F9">
            <v>75</v>
          </cell>
          <cell r="G9">
            <v>55</v>
          </cell>
          <cell r="H9">
            <v>3</v>
          </cell>
          <cell r="I9">
            <v>3</v>
          </cell>
        </row>
        <row r="10">
          <cell r="D10" t="str">
            <v>March 2024</v>
          </cell>
          <cell r="E10">
            <v>120</v>
          </cell>
          <cell r="F10">
            <v>75</v>
          </cell>
          <cell r="G10">
            <v>55</v>
          </cell>
          <cell r="H10">
            <v>3</v>
          </cell>
          <cell r="I10">
            <v>3</v>
          </cell>
        </row>
        <row r="11">
          <cell r="D11" t="str">
            <v>April 2024</v>
          </cell>
          <cell r="E11">
            <v>120</v>
          </cell>
          <cell r="F11">
            <v>75</v>
          </cell>
          <cell r="G11">
            <v>55</v>
          </cell>
          <cell r="H11">
            <v>3</v>
          </cell>
          <cell r="I11">
            <v>3</v>
          </cell>
        </row>
        <row r="12">
          <cell r="D12" t="str">
            <v>May 2024</v>
          </cell>
          <cell r="E12">
            <v>120</v>
          </cell>
          <cell r="F12">
            <v>75</v>
          </cell>
          <cell r="G12">
            <v>55</v>
          </cell>
          <cell r="H12">
            <v>3</v>
          </cell>
          <cell r="I12">
            <v>3</v>
          </cell>
        </row>
        <row r="13">
          <cell r="D13" t="str">
            <v>June 2024</v>
          </cell>
          <cell r="E13">
            <v>120</v>
          </cell>
          <cell r="F13">
            <v>75</v>
          </cell>
          <cell r="G13">
            <v>55</v>
          </cell>
          <cell r="H13">
            <v>3</v>
          </cell>
          <cell r="I13">
            <v>3</v>
          </cell>
        </row>
        <row r="14">
          <cell r="D14" t="str">
            <v>July 2024</v>
          </cell>
          <cell r="E14">
            <v>120</v>
          </cell>
          <cell r="F14">
            <v>75</v>
          </cell>
          <cell r="G14">
            <v>55</v>
          </cell>
          <cell r="H14">
            <v>3</v>
          </cell>
          <cell r="I14">
            <v>3</v>
          </cell>
        </row>
        <row r="15">
          <cell r="D15" t="str">
            <v>August 2024</v>
          </cell>
          <cell r="E15">
            <v>120</v>
          </cell>
          <cell r="F15">
            <v>75</v>
          </cell>
          <cell r="G15">
            <v>55</v>
          </cell>
          <cell r="H15">
            <v>3</v>
          </cell>
          <cell r="I15">
            <v>3</v>
          </cell>
        </row>
        <row r="16">
          <cell r="D16" t="str">
            <v>September 2024</v>
          </cell>
          <cell r="E16">
            <v>120</v>
          </cell>
          <cell r="F16">
            <v>103</v>
          </cell>
          <cell r="G16">
            <v>57.5</v>
          </cell>
          <cell r="H16">
            <v>4.5</v>
          </cell>
          <cell r="I16">
            <v>31.5</v>
          </cell>
        </row>
        <row r="17">
          <cell r="D17" t="str">
            <v>October 2024</v>
          </cell>
          <cell r="E17">
            <v>120</v>
          </cell>
          <cell r="F17">
            <v>130</v>
          </cell>
          <cell r="G17">
            <v>60</v>
          </cell>
          <cell r="H17">
            <v>8</v>
          </cell>
          <cell r="I17">
            <v>60</v>
          </cell>
        </row>
        <row r="18">
          <cell r="D18" t="str">
            <v>November 2024</v>
          </cell>
          <cell r="E18">
            <v>120</v>
          </cell>
          <cell r="F18">
            <v>130</v>
          </cell>
          <cell r="G18">
            <v>60</v>
          </cell>
          <cell r="H18">
            <v>6</v>
          </cell>
          <cell r="I18">
            <v>32.5</v>
          </cell>
        </row>
        <row r="19">
          <cell r="D19" t="str">
            <v>December 2024</v>
          </cell>
          <cell r="E19">
            <v>120</v>
          </cell>
          <cell r="F19">
            <v>130</v>
          </cell>
          <cell r="G19">
            <v>60</v>
          </cell>
          <cell r="H19">
            <v>6</v>
          </cell>
          <cell r="I19">
            <v>5</v>
          </cell>
        </row>
        <row r="24">
          <cell r="E24" t="str">
            <v>Milking cows</v>
          </cell>
          <cell r="F24" t="str">
            <v>Heifers &gt; 1 year</v>
          </cell>
          <cell r="G24" t="str">
            <v>Heifers &lt; 1 year</v>
          </cell>
          <cell r="H24" t="str">
            <v>Bulls &gt; 1 year</v>
          </cell>
          <cell r="I24" t="str">
            <v>Bulls &lt; 1 year</v>
          </cell>
        </row>
        <row r="25">
          <cell r="D25" t="str">
            <v>January 2024</v>
          </cell>
          <cell r="E25">
            <v>510</v>
          </cell>
          <cell r="F25">
            <v>452.16999999999996</v>
          </cell>
          <cell r="G25">
            <v>215.52054794520546</v>
          </cell>
          <cell r="H25">
            <v>500.21232876712327</v>
          </cell>
          <cell r="I25">
            <v>215.94520547945206</v>
          </cell>
        </row>
        <row r="26">
          <cell r="D26" t="str">
            <v>February 2024</v>
          </cell>
          <cell r="E26">
            <v>510</v>
          </cell>
          <cell r="F26">
            <v>456.37</v>
          </cell>
          <cell r="G26">
            <v>226.20547945205479</v>
          </cell>
          <cell r="H26">
            <v>500.6232876712329</v>
          </cell>
          <cell r="I26">
            <v>227.45205479452056</v>
          </cell>
        </row>
        <row r="27">
          <cell r="D27" t="str">
            <v>March 2024</v>
          </cell>
          <cell r="E27">
            <v>510</v>
          </cell>
          <cell r="F27">
            <v>460.56999999999994</v>
          </cell>
          <cell r="G27">
            <v>236.89041095890411</v>
          </cell>
          <cell r="H27">
            <v>501.03424657534254</v>
          </cell>
          <cell r="I27">
            <v>238.95890410958904</v>
          </cell>
        </row>
        <row r="28">
          <cell r="D28" t="str">
            <v>April 2024</v>
          </cell>
          <cell r="E28">
            <v>510</v>
          </cell>
          <cell r="F28">
            <v>464.83999999999992</v>
          </cell>
          <cell r="G28">
            <v>247.75342465753425</v>
          </cell>
          <cell r="H28">
            <v>501.45205479452056</v>
          </cell>
          <cell r="I28">
            <v>250.65753424657532</v>
          </cell>
        </row>
        <row r="29">
          <cell r="D29" t="str">
            <v>May 2024</v>
          </cell>
          <cell r="E29">
            <v>510</v>
          </cell>
          <cell r="F29">
            <v>469.1099999999999</v>
          </cell>
          <cell r="G29">
            <v>258.61643835616439</v>
          </cell>
          <cell r="H29">
            <v>501.8698630136987</v>
          </cell>
          <cell r="I29">
            <v>262.35616438356163</v>
          </cell>
        </row>
        <row r="30">
          <cell r="D30" t="str">
            <v>June 2024</v>
          </cell>
          <cell r="E30">
            <v>510</v>
          </cell>
          <cell r="F30">
            <v>473.37999999999988</v>
          </cell>
          <cell r="G30">
            <v>269.47945205479448</v>
          </cell>
          <cell r="H30">
            <v>502.28767123287673</v>
          </cell>
          <cell r="I30">
            <v>274.05479452054794</v>
          </cell>
        </row>
        <row r="31">
          <cell r="D31" t="str">
            <v>July 2024</v>
          </cell>
          <cell r="E31">
            <v>510</v>
          </cell>
          <cell r="F31">
            <v>477.64999999999986</v>
          </cell>
          <cell r="G31">
            <v>280.34246575342462</v>
          </cell>
          <cell r="H31">
            <v>502.70547945205487</v>
          </cell>
          <cell r="I31">
            <v>285.75342465753425</v>
          </cell>
        </row>
        <row r="32">
          <cell r="D32" t="str">
            <v>August 2024</v>
          </cell>
          <cell r="E32">
            <v>510</v>
          </cell>
          <cell r="F32">
            <v>481.9899999999999</v>
          </cell>
          <cell r="G32">
            <v>291.38356164383555</v>
          </cell>
          <cell r="H32">
            <v>503.13013698630141</v>
          </cell>
          <cell r="I32">
            <v>297.64383561643837</v>
          </cell>
        </row>
        <row r="33">
          <cell r="D33" t="str">
            <v>September 2024</v>
          </cell>
          <cell r="E33">
            <v>510</v>
          </cell>
          <cell r="F33">
            <v>455.29076923076911</v>
          </cell>
          <cell r="G33">
            <v>201.945205479452</v>
          </cell>
          <cell r="H33">
            <v>465.15753424657544</v>
          </cell>
          <cell r="I33">
            <v>205.47945205479454</v>
          </cell>
        </row>
        <row r="34">
          <cell r="D34" t="str">
            <v>October 2024</v>
          </cell>
          <cell r="E34">
            <v>510</v>
          </cell>
          <cell r="F34">
            <v>428.59153846153833</v>
          </cell>
          <cell r="G34">
            <v>112.50684931506849</v>
          </cell>
          <cell r="H34">
            <v>427.18493150684935</v>
          </cell>
          <cell r="I34">
            <v>113.31506849315069</v>
          </cell>
        </row>
        <row r="35">
          <cell r="D35" t="str">
            <v>November 2024</v>
          </cell>
          <cell r="E35">
            <v>510</v>
          </cell>
          <cell r="F35">
            <v>432.86153846153832</v>
          </cell>
          <cell r="G35">
            <v>123.36986301369863</v>
          </cell>
          <cell r="H35">
            <v>427.60273972602749</v>
          </cell>
          <cell r="I35">
            <v>125.01369863013699</v>
          </cell>
        </row>
        <row r="36">
          <cell r="D36" t="str">
            <v>December 2024</v>
          </cell>
          <cell r="E36">
            <v>510</v>
          </cell>
          <cell r="F36">
            <v>437.1315384615383</v>
          </cell>
          <cell r="G36">
            <v>134.23287671232879</v>
          </cell>
          <cell r="H36">
            <v>428.02054794520552</v>
          </cell>
          <cell r="I36">
            <v>136.7123287671233</v>
          </cell>
        </row>
        <row r="41">
          <cell r="E41" t="str">
            <v>Milking cows</v>
          </cell>
          <cell r="F41" t="str">
            <v>Heifers &gt; 1 year</v>
          </cell>
          <cell r="G41" t="str">
            <v>Heifers &lt; 1 year</v>
          </cell>
          <cell r="H41" t="str">
            <v>Bulls &gt; 1 year</v>
          </cell>
          <cell r="I41" t="str">
            <v>Bulls &lt; 1 year</v>
          </cell>
        </row>
        <row r="42">
          <cell r="D42" t="str">
            <v>January 2024</v>
          </cell>
          <cell r="E42">
            <v>0</v>
          </cell>
          <cell r="F42">
            <v>0.14000000000000001</v>
          </cell>
          <cell r="G42">
            <v>0.35616438356164382</v>
          </cell>
          <cell r="H42">
            <v>1.3698630136986301E-2</v>
          </cell>
          <cell r="I42">
            <v>0.38356164383561642</v>
          </cell>
        </row>
        <row r="43">
          <cell r="D43" t="str">
            <v>February 2024</v>
          </cell>
          <cell r="E43">
            <v>0</v>
          </cell>
          <cell r="F43">
            <v>0.14000000000000001</v>
          </cell>
          <cell r="G43">
            <v>0.35616438356164382</v>
          </cell>
          <cell r="H43">
            <v>1.3698630136986301E-2</v>
          </cell>
          <cell r="I43">
            <v>0.38356164383561642</v>
          </cell>
        </row>
        <row r="44">
          <cell r="D44" t="str">
            <v>March 2024</v>
          </cell>
          <cell r="E44">
            <v>0</v>
          </cell>
          <cell r="F44">
            <v>0.14000000000000001</v>
          </cell>
          <cell r="G44">
            <v>0.35616438356164382</v>
          </cell>
          <cell r="H44">
            <v>1.3698630136986301E-2</v>
          </cell>
          <cell r="I44">
            <v>0.38356164383561642</v>
          </cell>
        </row>
        <row r="45">
          <cell r="D45" t="str">
            <v>April 2024</v>
          </cell>
          <cell r="E45">
            <v>0</v>
          </cell>
          <cell r="F45">
            <v>0.14000000000000001</v>
          </cell>
          <cell r="G45">
            <v>0.35616438356164382</v>
          </cell>
          <cell r="H45">
            <v>1.3698630136986301E-2</v>
          </cell>
          <cell r="I45">
            <v>0.38356164383561642</v>
          </cell>
        </row>
        <row r="46">
          <cell r="D46" t="str">
            <v>May 2024</v>
          </cell>
          <cell r="E46">
            <v>0</v>
          </cell>
          <cell r="F46">
            <v>0.14000000000000001</v>
          </cell>
          <cell r="G46">
            <v>0.35616438356164382</v>
          </cell>
          <cell r="H46">
            <v>1.3698630136986301E-2</v>
          </cell>
          <cell r="I46">
            <v>0.38356164383561642</v>
          </cell>
        </row>
        <row r="47">
          <cell r="D47" t="str">
            <v>June 2024</v>
          </cell>
          <cell r="E47">
            <v>0</v>
          </cell>
          <cell r="F47">
            <v>0.14000000000000001</v>
          </cell>
          <cell r="G47">
            <v>0.35616438356164382</v>
          </cell>
          <cell r="H47">
            <v>1.3698630136986301E-2</v>
          </cell>
          <cell r="I47">
            <v>0.38356164383561642</v>
          </cell>
        </row>
        <row r="48">
          <cell r="D48" t="str">
            <v>July 2024</v>
          </cell>
          <cell r="E48">
            <v>0</v>
          </cell>
          <cell r="F48">
            <v>0.14000000000000001</v>
          </cell>
          <cell r="G48">
            <v>0.35616438356164382</v>
          </cell>
          <cell r="H48">
            <v>1.3698630136986301E-2</v>
          </cell>
          <cell r="I48">
            <v>0.38356164383561642</v>
          </cell>
        </row>
        <row r="49">
          <cell r="D49" t="str">
            <v>August 2024</v>
          </cell>
          <cell r="E49">
            <v>0</v>
          </cell>
          <cell r="F49">
            <v>0.14000000000000001</v>
          </cell>
          <cell r="G49">
            <v>0.35616438356164382</v>
          </cell>
          <cell r="H49">
            <v>1.3698630136986301E-2</v>
          </cell>
          <cell r="I49">
            <v>0.38356164383561642</v>
          </cell>
        </row>
        <row r="50">
          <cell r="D50" t="str">
            <v>September 2024</v>
          </cell>
          <cell r="E50">
            <v>0</v>
          </cell>
          <cell r="F50">
            <v>0.14000000000000001</v>
          </cell>
          <cell r="G50">
            <v>0.35616438356164382</v>
          </cell>
          <cell r="H50">
            <v>1.3698630136986301E-2</v>
          </cell>
          <cell r="I50">
            <v>0.38356164383561642</v>
          </cell>
        </row>
        <row r="51">
          <cell r="D51" t="str">
            <v>October 2024</v>
          </cell>
          <cell r="E51">
            <v>0</v>
          </cell>
          <cell r="F51">
            <v>0.14000000000000001</v>
          </cell>
          <cell r="G51">
            <v>0.35616438356164382</v>
          </cell>
          <cell r="H51">
            <v>1.3698630136986301E-2</v>
          </cell>
          <cell r="I51">
            <v>0.38356164383561642</v>
          </cell>
        </row>
        <row r="52">
          <cell r="D52" t="str">
            <v>November 2024</v>
          </cell>
          <cell r="E52">
            <v>0</v>
          </cell>
          <cell r="F52">
            <v>0.14000000000000001</v>
          </cell>
          <cell r="G52">
            <v>0.35616438356164382</v>
          </cell>
          <cell r="H52">
            <v>1.3698630136986301E-2</v>
          </cell>
          <cell r="I52">
            <v>0.38356164383561642</v>
          </cell>
        </row>
        <row r="53">
          <cell r="D53" t="str">
            <v>December 2024</v>
          </cell>
          <cell r="E53">
            <v>0</v>
          </cell>
          <cell r="F53">
            <v>0.14000000000000001</v>
          </cell>
          <cell r="G53">
            <v>0.35616438356164382</v>
          </cell>
          <cell r="H53">
            <v>1.3698630136986301E-2</v>
          </cell>
          <cell r="I53">
            <v>0.38356164383561642</v>
          </cell>
        </row>
        <row r="58">
          <cell r="E58" t="str">
            <v>Milking cows</v>
          </cell>
        </row>
        <row r="59">
          <cell r="D59" t="str">
            <v>January 2024</v>
          </cell>
          <cell r="E59">
            <v>0</v>
          </cell>
        </row>
        <row r="60">
          <cell r="D60" t="str">
            <v>February 2024</v>
          </cell>
          <cell r="E60">
            <v>0</v>
          </cell>
        </row>
        <row r="61">
          <cell r="D61" t="str">
            <v>March 2024</v>
          </cell>
          <cell r="E61">
            <v>0</v>
          </cell>
        </row>
        <row r="62">
          <cell r="D62" t="str">
            <v>April 2024</v>
          </cell>
          <cell r="E62">
            <v>0</v>
          </cell>
        </row>
        <row r="63">
          <cell r="D63" t="str">
            <v>May 2024</v>
          </cell>
          <cell r="E63">
            <v>0</v>
          </cell>
        </row>
        <row r="64">
          <cell r="D64" t="str">
            <v>June 2024</v>
          </cell>
          <cell r="E64">
            <v>0</v>
          </cell>
        </row>
        <row r="65">
          <cell r="D65" t="str">
            <v>July 2024</v>
          </cell>
          <cell r="E65">
            <v>0</v>
          </cell>
        </row>
        <row r="66">
          <cell r="D66" t="str">
            <v>August 2024</v>
          </cell>
          <cell r="E66">
            <v>0</v>
          </cell>
        </row>
        <row r="67">
          <cell r="D67" t="str">
            <v>September 2024</v>
          </cell>
          <cell r="E67">
            <v>1</v>
          </cell>
        </row>
        <row r="68">
          <cell r="D68" t="str">
            <v>October 2024</v>
          </cell>
          <cell r="E68">
            <v>0</v>
          </cell>
        </row>
        <row r="69">
          <cell r="D69" t="str">
            <v>November 2024</v>
          </cell>
          <cell r="E69">
            <v>0</v>
          </cell>
        </row>
        <row r="70">
          <cell r="D70" t="str">
            <v>December 2024</v>
          </cell>
          <cell r="E70">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Results"/>
      <sheetName val="Input - Site"/>
      <sheetName val="Input - Dairy"/>
      <sheetName val="4.3.1.1-2 Methane"/>
      <sheetName val="4.3.1.3-4 Direct N20"/>
      <sheetName val="4.3.1.5 Atmos deposition"/>
      <sheetName val="4.3.1.6-7 Leaching and runoff"/>
      <sheetName val="4.3.1.8 Manure applied to soils"/>
      <sheetName val="4.3.1.9 Soil direct N2O"/>
      <sheetName val="4.3.1.10-11 Soil Atmos Dep"/>
      <sheetName val="4.3.1.12-13 Soil leach runoff"/>
      <sheetName val="Constants - Dairy"/>
      <sheetName val="Constants - Common"/>
      <sheetName val="Constants - Livestock"/>
      <sheetName val="Acknowledgements"/>
      <sheetName val="Tab template"/>
      <sheetName val="4.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row r="7">
          <cell r="E7" t="str">
            <v>Milking cows</v>
          </cell>
          <cell r="F7" t="str">
            <v>Heifers &gt; 1 year</v>
          </cell>
          <cell r="G7" t="str">
            <v>Heifers &lt; 1 year</v>
          </cell>
          <cell r="H7" t="str">
            <v>Bulls &gt; 1 year</v>
          </cell>
          <cell r="I7" t="str">
            <v>Bulls &lt; 1 year</v>
          </cell>
        </row>
        <row r="8">
          <cell r="D8" t="str">
            <v>January 2024</v>
          </cell>
          <cell r="E8">
            <v>120</v>
          </cell>
          <cell r="F8">
            <v>75</v>
          </cell>
          <cell r="G8">
            <v>55</v>
          </cell>
          <cell r="H8">
            <v>3</v>
          </cell>
          <cell r="I8">
            <v>3</v>
          </cell>
        </row>
        <row r="9">
          <cell r="D9" t="str">
            <v>February 2024</v>
          </cell>
          <cell r="E9">
            <v>120</v>
          </cell>
          <cell r="F9">
            <v>75</v>
          </cell>
          <cell r="G9">
            <v>55</v>
          </cell>
          <cell r="H9">
            <v>3</v>
          </cell>
          <cell r="I9">
            <v>3</v>
          </cell>
        </row>
        <row r="10">
          <cell r="D10" t="str">
            <v>March 2024</v>
          </cell>
          <cell r="E10">
            <v>120</v>
          </cell>
          <cell r="F10">
            <v>75</v>
          </cell>
          <cell r="G10">
            <v>55</v>
          </cell>
          <cell r="H10">
            <v>3</v>
          </cell>
          <cell r="I10">
            <v>3</v>
          </cell>
        </row>
        <row r="11">
          <cell r="D11" t="str">
            <v>April 2024</v>
          </cell>
          <cell r="E11">
            <v>120</v>
          </cell>
          <cell r="F11">
            <v>75</v>
          </cell>
          <cell r="G11">
            <v>55</v>
          </cell>
          <cell r="H11">
            <v>3</v>
          </cell>
          <cell r="I11">
            <v>3</v>
          </cell>
        </row>
        <row r="12">
          <cell r="D12" t="str">
            <v>May 2024</v>
          </cell>
          <cell r="E12">
            <v>120</v>
          </cell>
          <cell r="F12">
            <v>75</v>
          </cell>
          <cell r="G12">
            <v>55</v>
          </cell>
          <cell r="H12">
            <v>3</v>
          </cell>
          <cell r="I12">
            <v>3</v>
          </cell>
        </row>
        <row r="13">
          <cell r="D13" t="str">
            <v>June 2024</v>
          </cell>
          <cell r="E13">
            <v>120</v>
          </cell>
          <cell r="F13">
            <v>75</v>
          </cell>
          <cell r="G13">
            <v>55</v>
          </cell>
          <cell r="H13">
            <v>3</v>
          </cell>
          <cell r="I13">
            <v>3</v>
          </cell>
        </row>
        <row r="14">
          <cell r="D14" t="str">
            <v>July 2024</v>
          </cell>
          <cell r="E14">
            <v>120</v>
          </cell>
          <cell r="F14">
            <v>75</v>
          </cell>
          <cell r="G14">
            <v>55</v>
          </cell>
          <cell r="H14">
            <v>3</v>
          </cell>
          <cell r="I14">
            <v>3</v>
          </cell>
        </row>
        <row r="15">
          <cell r="D15" t="str">
            <v>August 2024</v>
          </cell>
          <cell r="E15">
            <v>120</v>
          </cell>
          <cell r="F15">
            <v>75</v>
          </cell>
          <cell r="G15">
            <v>55</v>
          </cell>
          <cell r="H15">
            <v>3</v>
          </cell>
          <cell r="I15">
            <v>3</v>
          </cell>
        </row>
        <row r="16">
          <cell r="D16" t="str">
            <v>September 2024</v>
          </cell>
          <cell r="E16">
            <v>120</v>
          </cell>
          <cell r="F16">
            <v>103</v>
          </cell>
          <cell r="G16">
            <v>57.5</v>
          </cell>
          <cell r="H16">
            <v>4.5</v>
          </cell>
          <cell r="I16">
            <v>31.5</v>
          </cell>
        </row>
        <row r="17">
          <cell r="D17" t="str">
            <v>October 2024</v>
          </cell>
          <cell r="E17">
            <v>120</v>
          </cell>
          <cell r="F17">
            <v>130</v>
          </cell>
          <cell r="G17">
            <v>60</v>
          </cell>
          <cell r="H17">
            <v>8</v>
          </cell>
          <cell r="I17">
            <v>60</v>
          </cell>
        </row>
        <row r="18">
          <cell r="D18" t="str">
            <v>November 2024</v>
          </cell>
          <cell r="E18">
            <v>120</v>
          </cell>
          <cell r="F18">
            <v>130</v>
          </cell>
          <cell r="G18">
            <v>60</v>
          </cell>
          <cell r="H18">
            <v>6</v>
          </cell>
          <cell r="I18">
            <v>32.5</v>
          </cell>
        </row>
        <row r="19">
          <cell r="D19" t="str">
            <v>December 2024</v>
          </cell>
          <cell r="E19">
            <v>120</v>
          </cell>
          <cell r="F19">
            <v>130</v>
          </cell>
          <cell r="G19">
            <v>60</v>
          </cell>
          <cell r="H19">
            <v>6</v>
          </cell>
          <cell r="I19">
            <v>5</v>
          </cell>
        </row>
        <row r="24">
          <cell r="E24" t="str">
            <v>Milking cows</v>
          </cell>
          <cell r="F24" t="str">
            <v>Heifers &gt; 1 year</v>
          </cell>
          <cell r="G24" t="str">
            <v>Heifers &lt; 1 year</v>
          </cell>
          <cell r="H24" t="str">
            <v>Bulls &gt; 1 year</v>
          </cell>
          <cell r="I24" t="str">
            <v>Bulls &lt; 1 year</v>
          </cell>
        </row>
        <row r="25">
          <cell r="D25" t="str">
            <v>January 2024</v>
          </cell>
          <cell r="E25">
            <v>510</v>
          </cell>
          <cell r="F25">
            <v>452.16999999999996</v>
          </cell>
          <cell r="G25">
            <v>215.52054794520546</v>
          </cell>
          <cell r="H25">
            <v>500.21232876712327</v>
          </cell>
          <cell r="I25">
            <v>215.94520547945206</v>
          </cell>
        </row>
        <row r="26">
          <cell r="D26" t="str">
            <v>February 2024</v>
          </cell>
          <cell r="E26">
            <v>510</v>
          </cell>
          <cell r="F26">
            <v>456.37</v>
          </cell>
          <cell r="G26">
            <v>226.20547945205479</v>
          </cell>
          <cell r="H26">
            <v>500.6232876712329</v>
          </cell>
          <cell r="I26">
            <v>227.45205479452056</v>
          </cell>
        </row>
        <row r="27">
          <cell r="D27" t="str">
            <v>March 2024</v>
          </cell>
          <cell r="E27">
            <v>510</v>
          </cell>
          <cell r="F27">
            <v>460.56999999999994</v>
          </cell>
          <cell r="G27">
            <v>236.89041095890411</v>
          </cell>
          <cell r="H27">
            <v>501.03424657534254</v>
          </cell>
          <cell r="I27">
            <v>238.95890410958904</v>
          </cell>
        </row>
        <row r="28">
          <cell r="D28" t="str">
            <v>April 2024</v>
          </cell>
          <cell r="E28">
            <v>510</v>
          </cell>
          <cell r="F28">
            <v>464.83999999999992</v>
          </cell>
          <cell r="G28">
            <v>247.75342465753425</v>
          </cell>
          <cell r="H28">
            <v>501.45205479452056</v>
          </cell>
          <cell r="I28">
            <v>250.65753424657532</v>
          </cell>
        </row>
        <row r="29">
          <cell r="D29" t="str">
            <v>May 2024</v>
          </cell>
          <cell r="E29">
            <v>510</v>
          </cell>
          <cell r="F29">
            <v>469.1099999999999</v>
          </cell>
          <cell r="G29">
            <v>258.61643835616439</v>
          </cell>
          <cell r="H29">
            <v>501.8698630136987</v>
          </cell>
          <cell r="I29">
            <v>262.35616438356163</v>
          </cell>
        </row>
        <row r="30">
          <cell r="D30" t="str">
            <v>June 2024</v>
          </cell>
          <cell r="E30">
            <v>510</v>
          </cell>
          <cell r="F30">
            <v>473.37999999999988</v>
          </cell>
          <cell r="G30">
            <v>269.47945205479448</v>
          </cell>
          <cell r="H30">
            <v>502.28767123287673</v>
          </cell>
          <cell r="I30">
            <v>274.05479452054794</v>
          </cell>
        </row>
        <row r="31">
          <cell r="D31" t="str">
            <v>July 2024</v>
          </cell>
          <cell r="E31">
            <v>510</v>
          </cell>
          <cell r="F31">
            <v>477.64999999999986</v>
          </cell>
          <cell r="G31">
            <v>280.34246575342462</v>
          </cell>
          <cell r="H31">
            <v>502.70547945205487</v>
          </cell>
          <cell r="I31">
            <v>285.75342465753425</v>
          </cell>
        </row>
        <row r="32">
          <cell r="D32" t="str">
            <v>August 2024</v>
          </cell>
          <cell r="E32">
            <v>510</v>
          </cell>
          <cell r="F32">
            <v>481.9899999999999</v>
          </cell>
          <cell r="G32">
            <v>291.38356164383555</v>
          </cell>
          <cell r="H32">
            <v>503.13013698630141</v>
          </cell>
          <cell r="I32">
            <v>297.64383561643837</v>
          </cell>
        </row>
        <row r="33">
          <cell r="D33" t="str">
            <v>September 2024</v>
          </cell>
          <cell r="E33">
            <v>510</v>
          </cell>
          <cell r="F33">
            <v>455.29076923076911</v>
          </cell>
          <cell r="G33">
            <v>201.945205479452</v>
          </cell>
          <cell r="H33">
            <v>465.15753424657544</v>
          </cell>
          <cell r="I33">
            <v>205.47945205479454</v>
          </cell>
        </row>
        <row r="34">
          <cell r="D34" t="str">
            <v>October 2024</v>
          </cell>
          <cell r="E34">
            <v>510</v>
          </cell>
          <cell r="F34">
            <v>428.59153846153833</v>
          </cell>
          <cell r="G34">
            <v>112.50684931506849</v>
          </cell>
          <cell r="H34">
            <v>427.18493150684935</v>
          </cell>
          <cell r="I34">
            <v>113.31506849315069</v>
          </cell>
        </row>
        <row r="35">
          <cell r="D35" t="str">
            <v>November 2024</v>
          </cell>
          <cell r="E35">
            <v>510</v>
          </cell>
          <cell r="F35">
            <v>432.86153846153832</v>
          </cell>
          <cell r="G35">
            <v>123.36986301369863</v>
          </cell>
          <cell r="H35">
            <v>427.60273972602749</v>
          </cell>
          <cell r="I35">
            <v>125.01369863013699</v>
          </cell>
        </row>
        <row r="36">
          <cell r="D36" t="str">
            <v>December 2024</v>
          </cell>
          <cell r="E36">
            <v>510</v>
          </cell>
          <cell r="F36">
            <v>437.1315384615383</v>
          </cell>
          <cell r="G36">
            <v>134.23287671232879</v>
          </cell>
          <cell r="H36">
            <v>428.02054794520552</v>
          </cell>
          <cell r="I36">
            <v>136.7123287671233</v>
          </cell>
        </row>
        <row r="41">
          <cell r="E41" t="str">
            <v>Milking cows</v>
          </cell>
          <cell r="F41" t="str">
            <v>Heifers &gt; 1 year</v>
          </cell>
          <cell r="G41" t="str">
            <v>Heifers &lt; 1 year</v>
          </cell>
          <cell r="H41" t="str">
            <v>Bulls &gt; 1 year</v>
          </cell>
          <cell r="I41" t="str">
            <v>Bulls &lt; 1 year</v>
          </cell>
        </row>
        <row r="42">
          <cell r="D42" t="str">
            <v>January 2024</v>
          </cell>
          <cell r="E42">
            <v>0</v>
          </cell>
          <cell r="F42">
            <v>0.14000000000000001</v>
          </cell>
          <cell r="G42">
            <v>0.35616438356164382</v>
          </cell>
          <cell r="H42">
            <v>1.3698630136986301E-2</v>
          </cell>
          <cell r="I42">
            <v>0.38356164383561642</v>
          </cell>
        </row>
        <row r="43">
          <cell r="D43" t="str">
            <v>February 2024</v>
          </cell>
          <cell r="E43">
            <v>0</v>
          </cell>
          <cell r="F43">
            <v>0.14000000000000001</v>
          </cell>
          <cell r="G43">
            <v>0.35616438356164382</v>
          </cell>
          <cell r="H43">
            <v>1.3698630136986301E-2</v>
          </cell>
          <cell r="I43">
            <v>0.38356164383561642</v>
          </cell>
        </row>
        <row r="44">
          <cell r="D44" t="str">
            <v>March 2024</v>
          </cell>
          <cell r="E44">
            <v>0</v>
          </cell>
          <cell r="F44">
            <v>0.14000000000000001</v>
          </cell>
          <cell r="G44">
            <v>0.35616438356164382</v>
          </cell>
          <cell r="H44">
            <v>1.3698630136986301E-2</v>
          </cell>
          <cell r="I44">
            <v>0.38356164383561642</v>
          </cell>
        </row>
        <row r="45">
          <cell r="D45" t="str">
            <v>April 2024</v>
          </cell>
          <cell r="E45">
            <v>0</v>
          </cell>
          <cell r="F45">
            <v>0.14000000000000001</v>
          </cell>
          <cell r="G45">
            <v>0.35616438356164382</v>
          </cell>
          <cell r="H45">
            <v>1.3698630136986301E-2</v>
          </cell>
          <cell r="I45">
            <v>0.38356164383561642</v>
          </cell>
        </row>
        <row r="46">
          <cell r="D46" t="str">
            <v>May 2024</v>
          </cell>
          <cell r="E46">
            <v>0</v>
          </cell>
          <cell r="F46">
            <v>0.14000000000000001</v>
          </cell>
          <cell r="G46">
            <v>0.35616438356164382</v>
          </cell>
          <cell r="H46">
            <v>1.3698630136986301E-2</v>
          </cell>
          <cell r="I46">
            <v>0.38356164383561642</v>
          </cell>
        </row>
        <row r="47">
          <cell r="D47" t="str">
            <v>June 2024</v>
          </cell>
          <cell r="E47">
            <v>0</v>
          </cell>
          <cell r="F47">
            <v>0.14000000000000001</v>
          </cell>
          <cell r="G47">
            <v>0.35616438356164382</v>
          </cell>
          <cell r="H47">
            <v>1.3698630136986301E-2</v>
          </cell>
          <cell r="I47">
            <v>0.38356164383561642</v>
          </cell>
        </row>
        <row r="48">
          <cell r="D48" t="str">
            <v>July 2024</v>
          </cell>
          <cell r="E48">
            <v>0</v>
          </cell>
          <cell r="F48">
            <v>0.14000000000000001</v>
          </cell>
          <cell r="G48">
            <v>0.35616438356164382</v>
          </cell>
          <cell r="H48">
            <v>1.3698630136986301E-2</v>
          </cell>
          <cell r="I48">
            <v>0.38356164383561642</v>
          </cell>
        </row>
        <row r="49">
          <cell r="D49" t="str">
            <v>August 2024</v>
          </cell>
          <cell r="E49">
            <v>0</v>
          </cell>
          <cell r="F49">
            <v>0.14000000000000001</v>
          </cell>
          <cell r="G49">
            <v>0.35616438356164382</v>
          </cell>
          <cell r="H49">
            <v>1.3698630136986301E-2</v>
          </cell>
          <cell r="I49">
            <v>0.38356164383561642</v>
          </cell>
        </row>
        <row r="50">
          <cell r="D50" t="str">
            <v>September 2024</v>
          </cell>
          <cell r="E50">
            <v>0</v>
          </cell>
          <cell r="F50">
            <v>0.14000000000000001</v>
          </cell>
          <cell r="G50">
            <v>0.35616438356164382</v>
          </cell>
          <cell r="H50">
            <v>1.3698630136986301E-2</v>
          </cell>
          <cell r="I50">
            <v>0.38356164383561642</v>
          </cell>
        </row>
        <row r="51">
          <cell r="D51" t="str">
            <v>October 2024</v>
          </cell>
          <cell r="E51">
            <v>0</v>
          </cell>
          <cell r="F51">
            <v>0.14000000000000001</v>
          </cell>
          <cell r="G51">
            <v>0.35616438356164382</v>
          </cell>
          <cell r="H51">
            <v>1.3698630136986301E-2</v>
          </cell>
          <cell r="I51">
            <v>0.38356164383561642</v>
          </cell>
        </row>
        <row r="52">
          <cell r="D52" t="str">
            <v>November 2024</v>
          </cell>
          <cell r="E52">
            <v>0</v>
          </cell>
          <cell r="F52">
            <v>0.14000000000000001</v>
          </cell>
          <cell r="G52">
            <v>0.35616438356164382</v>
          </cell>
          <cell r="H52">
            <v>1.3698630136986301E-2</v>
          </cell>
          <cell r="I52">
            <v>0.38356164383561642</v>
          </cell>
        </row>
        <row r="53">
          <cell r="D53" t="str">
            <v>December 2024</v>
          </cell>
          <cell r="E53">
            <v>0</v>
          </cell>
          <cell r="F53">
            <v>0.14000000000000001</v>
          </cell>
          <cell r="G53">
            <v>0.35616438356164382</v>
          </cell>
          <cell r="H53">
            <v>1.3698630136986301E-2</v>
          </cell>
          <cell r="I53">
            <v>0.38356164383561642</v>
          </cell>
        </row>
        <row r="58">
          <cell r="E58" t="str">
            <v>Milking cows</v>
          </cell>
        </row>
        <row r="59">
          <cell r="D59" t="str">
            <v>January 2024</v>
          </cell>
          <cell r="E59">
            <v>0</v>
          </cell>
        </row>
        <row r="60">
          <cell r="D60" t="str">
            <v>February 2024</v>
          </cell>
          <cell r="E60">
            <v>0</v>
          </cell>
        </row>
        <row r="61">
          <cell r="D61" t="str">
            <v>March 2024</v>
          </cell>
          <cell r="E61">
            <v>0</v>
          </cell>
        </row>
        <row r="62">
          <cell r="D62" t="str">
            <v>April 2024</v>
          </cell>
          <cell r="E62">
            <v>0</v>
          </cell>
        </row>
        <row r="63">
          <cell r="D63" t="str">
            <v>May 2024</v>
          </cell>
          <cell r="E63">
            <v>0</v>
          </cell>
        </row>
        <row r="64">
          <cell r="D64" t="str">
            <v>June 2024</v>
          </cell>
          <cell r="E64">
            <v>0</v>
          </cell>
        </row>
        <row r="65">
          <cell r="D65" t="str">
            <v>July 2024</v>
          </cell>
          <cell r="E65">
            <v>0</v>
          </cell>
        </row>
        <row r="66">
          <cell r="D66" t="str">
            <v>August 2024</v>
          </cell>
          <cell r="E66">
            <v>0</v>
          </cell>
        </row>
        <row r="67">
          <cell r="D67" t="str">
            <v>September 2024</v>
          </cell>
          <cell r="E67">
            <v>1</v>
          </cell>
        </row>
        <row r="68">
          <cell r="D68" t="str">
            <v>October 2024</v>
          </cell>
          <cell r="E68">
            <v>0</v>
          </cell>
        </row>
        <row r="69">
          <cell r="D69" t="str">
            <v>November 2024</v>
          </cell>
          <cell r="E69">
            <v>0</v>
          </cell>
        </row>
        <row r="70">
          <cell r="D70" t="str">
            <v>December 2024</v>
          </cell>
          <cell r="E70">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2</v>
    <v>1</v>
    <v>19</v>
  </rv>
</rvData>
</file>

<file path=xl/richData/rdrichvaluestructure.xml><?xml version="1.0" encoding="utf-8"?>
<rvStructures xmlns="http://schemas.microsoft.com/office/spreadsheetml/2017/richdata" count="2">
  <s t="_localImage">
    <k n="_rvRel:LocalImageIdentifier" t="i"/>
    <k n="CalcOrigin" t="i"/>
  </s>
  <s t="_error">
    <k n="errorType" t="i"/>
    <k n="argument" t="s"/>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67"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66"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65"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64"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63"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62"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61"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60"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59"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5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5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5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5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5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5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5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5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5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4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4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47"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5" totalsRowShown="0">
  <autoFilter ref="D85:P145"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2:M180" totalsRowShown="0">
  <autoFilter ref="D152:M180"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4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4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4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4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4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4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3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3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3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7:P215" totalsRowShown="0">
  <autoFilter ref="D187:P215"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3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3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3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3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3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3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3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2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2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2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0:P280" totalsRowShown="0">
  <autoFilter ref="D220:P280"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E157</calculatedColumnFormula>
    </tableColumn>
    <tableColumn id="3" xr3:uid="{AC2B56C3-EAA6-4EB7-8AE8-595B24DDA286}" name="Season">
      <calculatedColumnFormula>F157</calculatedColumnFormula>
    </tableColumn>
    <tableColumn id="4" xr3:uid="{08B8437B-3F1B-4B67-96D6-D3205B887359}" name="Bulls &lt; 1 year">
      <calculatedColumnFormula>G157</calculatedColumnFormula>
    </tableColumn>
    <tableColumn id="5" xr3:uid="{CD173C65-37CB-47D4-9539-A607834353CA}" name="Bulls &gt; 1 year">
      <calculatedColumnFormula>H157</calculatedColumnFormula>
    </tableColumn>
    <tableColumn id="6" xr3:uid="{F0F0A114-C329-4154-B2DB-771A6B064444}" name="Cows &lt; 1 year">
      <calculatedColumnFormula>I157</calculatedColumnFormula>
    </tableColumn>
    <tableColumn id="7" xr3:uid="{761E5345-3D87-40AC-B840-E970BEAD4881}" name="Cows 1-2 years">
      <calculatedColumnFormula>J157</calculatedColumnFormula>
    </tableColumn>
    <tableColumn id="8" xr3:uid="{61CEB2F6-1825-4DC6-9E30-29B9B1373F7D}" name="Cows 2-3 years">
      <calculatedColumnFormula>K157</calculatedColumnFormula>
    </tableColumn>
    <tableColumn id="9" xr3:uid="{CB252A06-219C-4E93-8701-6BF8F198053D}" name="Cows &gt; 3 years">
      <calculatedColumnFormula>L157</calculatedColumnFormula>
    </tableColumn>
    <tableColumn id="10" xr3:uid="{6B66DB24-C04A-4D4C-B9BD-CDC6F4F5F354}" name="Steers &lt; 1 year">
      <calculatedColumnFormula>M157</calculatedColumnFormula>
    </tableColumn>
    <tableColumn id="11" xr3:uid="{9C7A5F7A-D394-46BB-8AC1-693C660CFDB6}" name="Steers 1-2 years">
      <calculatedColumnFormula>N157</calculatedColumnFormula>
    </tableColumn>
    <tableColumn id="12" xr3:uid="{83B5303D-9DB1-46F1-BB3E-05B25A2AEFB1}" name="Steers 2-3 years">
      <calculatedColumnFormula>O157</calculatedColumnFormula>
    </tableColumn>
    <tableColumn id="13" xr3:uid="{22665AE4-33C3-49E0-ADD0-40C083DBA62A}" name="Steers &gt;3 years">
      <calculatedColumnFormula>P157</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D1D9596-4A7C-4460-A4E2-1688577D944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B8BAC5D1-23E3-4DB2-8231-02AE565241F4}" name="State/Territory">
      <calculatedColumnFormula array="1">Common_InputFunctions.Utility_DisplayArrayInTable(Common_SourceData.Common_SourceData_AustralianStatesTerritories_Data(),Table_AustralianStates[[#Headers],[State/Territory]],0)</calculatedColumnFormula>
    </tableColumn>
    <tableColumn id="2" xr3:uid="{7CAD7769-A700-4ED9-89D7-A6EC0CE835AA}" name="Common Name">
      <calculatedColumnFormula array="1">Common_InputFunctions.Utility_DisplayArrayInTable(Common_SourceData.Common_SourceData_AustralianStatesTerritories_Data(),Table_AustralianStates[[#Headers],[State/Territory]],0)</calculatedColumnFormula>
    </tableColumn>
    <tableColumn id="3" xr3:uid="{75245601-8082-46DE-9750-76309BBC867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939D8F-475E-42A2-B10E-5709CBC115DE}" name="Table_WASA4Areas" displayName="Table_WASA4Areas" ref="D20:D30" totalsRowShown="0">
  <autoFilter ref="D20:D30" xr:uid="{5FA81339-C6C8-4D36-BEEA-6C4AEDD9E676}">
    <filterColumn colId="0" hiddenButton="1"/>
  </autoFilter>
  <tableColumns count="1">
    <tableColumn id="1" xr3:uid="{990D7C09-F4E7-401D-8508-814A4472E75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B4A3EE-7803-4DC5-B74C-A649206C36F0}" name="Table_GWPData" displayName="Table_GWPData" ref="D36:E43" totalsRowShown="0">
  <autoFilter ref="D36:E43" xr:uid="{B8E87A66-3E41-4AD3-925D-01EE21B43D7A}">
    <filterColumn colId="0" hiddenButton="1"/>
    <filterColumn colId="1" hiddenButton="1"/>
  </autoFilter>
  <tableColumns count="2">
    <tableColumn id="1" xr3:uid="{877405C9-449F-4281-8E55-7000A79F03DC}" name="Gas">
      <calculatedColumnFormula array="1">Common_InputFunctions.Utility_DisplayArrayInTable(Common_SourceData.Common_SourceData_GWP_Data(), Table_GWPData[[#Headers],[Gas]], 0)</calculatedColumnFormula>
    </tableColumn>
    <tableColumn id="2" xr3:uid="{2282FF16-6D22-4CED-9CF9-CA4FE3B5B66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AFE892B-D8EA-4AC3-B1C7-B633CA716EB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BEEB08C-2BF5-40FA-AB44-3DF21389038B}" name="Gas">
      <calculatedColumnFormula array="1">Common_InputFunctions.Utility_DisplayArrayInTable(Common_SourceData.Common_SourceData_ConvertGasElementalToMolecular_Data(),Table_GasToMolecularConversionFactor[[#Headers],[Gas]], 0)</calculatedColumnFormula>
    </tableColumn>
    <tableColumn id="5" xr3:uid="{0D7F477B-380A-4884-AB7F-3C338F71878C}" name="Conversion factor">
      <calculatedColumnFormula array="1">Common_InputFunctions.Utility_DisplayArrayInTable(Common_SourceData.Common_SourceData_ConvertGasElementalToMolecular_Data(),Table_GasToMolecularConversionFactor[[#Headers],[Gas]], 0)</calculatedColumnFormula>
    </tableColumn>
    <tableColumn id="2" xr3:uid="{F390ECDF-7FCD-4F38-8419-96F2A2FA089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57CCC2A-D1AB-4A5B-ACA6-AAFCD2BFF5E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FE507D-935A-4704-9DCB-E4A740E3017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466D456-A36F-49B2-95BF-C04AF73063B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9672771-6091-4FA5-86EA-395E240FF5D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E0CB869-00AE-4755-8478-34C0A24DACCC}" name="MAT"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3" xr3:uid="{EEBB7F36-38AB-43CA-89EE-CBF9D2B12C70}" name="MAP"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4" xr3:uid="{3010F3BA-675E-4D83-9AAD-FBE9EC6F9CF0}" name="Frost days per year"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5" xr3:uid="{3F1B2FE9-64D5-41E9-9332-E943400478C4}" name="Elevation"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6" xr3:uid="{C4BB9839-93FF-42DA-A517-F34E10C70484}" name="MAP:PET"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7" xr3:uid="{A01F6B36-D801-484C-A91E-3EFD0F4A77C0}" name="Min temp"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8" xr3:uid="{033C9484-1852-4D2B-88A9-02D24D40BB22}" name="Max temp"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9" xr3:uid="{C54AFCDF-470B-41E8-8CB5-A1938A000F27}" name="Min rainfall"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10" xr3:uid="{E235B24A-0205-4131-BBC7-FD5B69336BB5}" name="Max rainfall"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11" xr3:uid="{2236A619-E104-4738-8E09-41B8930DF78A}" name="Min frost days"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5" xr3:uid="{85D18FF3-E59D-404A-A2E0-032D9A5E0B84}" name="Max frost days"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2" xr3:uid="{82A7ECE5-EF70-4355-AA39-B204B086F753}" name="Min 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16" xr3:uid="{D75C68D2-6308-4B32-BFEC-DFF390DB8E53}" name="Max elevation"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13" xr3:uid="{36486A17-D0A0-48BD-A954-F404E9596B7F}" name="Min MAP:PET"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7" xr3:uid="{99A2031C-68A9-4CB7-9470-3CF073E8938E}" name="Max MAP:PET" totalsRowDxfId="7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C95AB78-06E7-4C32-AD35-CD50562C88D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BBF6521-99F9-49EC-9C13-C6835493D24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DDE2867-2EF4-48CD-8D28-92B0EFFA35E5}" name="Wet or Dry Zone" totalsRowDxfId="7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5D7090B-AAEA-4808-BC5D-086CCF4BBAE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AAE3F64-7F01-4FED-AE2A-4CC0A0AFC425}" name="Temperature Zone">
      <calculatedColumnFormula array="1">Common_InputFunctions.Utility_DisplayArrayInTable(Common_SourceData.Common_SourceData_TemperatureZones_Data(),Table_SourceData_TemperatureZones[[#Headers],[Temperature Zone]],0)</calculatedColumnFormula>
    </tableColumn>
    <tableColumn id="2" xr3:uid="{AEA33916-A881-48B9-9513-C775740C2271}" name="MAT">
      <calculatedColumnFormula array="1">Common_InputFunctions.Utility_DisplayArrayInTable(Common_SourceData.Common_SourceData_TemperatureZones_Data(),Table_SourceData_TemperatureZones[[#Headers],[Temperature Zone]],0)</calculatedColumnFormula>
    </tableColumn>
    <tableColumn id="3" xr3:uid="{46A7C8CC-F651-4E5A-8816-00DC7155E41F}" name="Min MAT">
      <calculatedColumnFormula array="1">Common_InputFunctions.Utility_DisplayArrayInTable(Common_SourceData.Common_SourceData_TemperatureZones_Data(),Table_SourceData_TemperatureZones[[#Headers],[Temperature Zone]],0)</calculatedColumnFormula>
    </tableColumn>
    <tableColumn id="4" xr3:uid="{94E1B2C5-8CA3-4911-9490-BDB7B5E410D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FBCB2EB-CB69-4536-B093-D2999F8975C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D0F9C16-1557-47D4-A2E0-F011F3665C9A}" name="Rainfall Zone">
      <calculatedColumnFormula array="1">Common_InputFunctions.Utility_DisplayArrayInTable(Common_SourceData.Common_SourceData_RainfallZones_Data(),Table_SourceData_RainfallZones[[#Headers],[Rainfall Zone]],0)</calculatedColumnFormula>
    </tableColumn>
    <tableColumn id="2" xr3:uid="{DEE86EB2-7147-48E0-99E2-B80F395D5907}" name="Annual rainfall">
      <calculatedColumnFormula array="1">Common_InputFunctions.Utility_DisplayArrayInTable(Common_SourceData.Common_SourceData_RainfallZones_Data(),Table_SourceData_RainfallZones[[#Headers],[Rainfall Zone]],0)</calculatedColumnFormula>
    </tableColumn>
    <tableColumn id="3" xr3:uid="{792F58AE-8E56-4C6B-A91C-FD6F4909C46B}" name="Min rainfall">
      <calculatedColumnFormula array="1">Common_InputFunctions.Utility_DisplayArrayInTable(Common_SourceData.Common_SourceData_RainfallZones_Data(),Table_SourceData_RainfallZones[[#Headers],[Rainfall Zone]],0)</calculatedColumnFormula>
    </tableColumn>
    <tableColumn id="4" xr3:uid="{CF837850-D32D-4DE9-AF76-D2BCB4CBC57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F44C9C9-843A-4986-9A15-FCC4C7226F0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2ACC7FC-E427-49E6-A389-0791A8DCD704}" name="Leaching Zone">
      <calculatedColumnFormula array="1">Common_InputFunctions.Utility_DisplayArrayInTable(Common_SourceData.Common_SourceData_LeachingZones_Data(), Table_SourceData_LeachingZones[[#Headers],[Leaching Zone]], 0)</calculatedColumnFormula>
    </tableColumn>
    <tableColumn id="2" xr3:uid="{3A3F842A-200A-4D57-B914-198436D6BAC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90FA315-08A3-4F5F-8258-83CA4D06C97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1B4DCCC-63F9-4DE8-A00A-E63F34A4D1A6}" name="Data source">
      <calculatedColumnFormula array="1">Common_InputFunctions.Utility_DisplayArrayInTable(Common_SourceData.Common_SourceData_DataScores_Scope3_Data(), Table_SourceData_DataScores_Scope3[[#Headers],[Data source]], 0)</calculatedColumnFormula>
    </tableColumn>
    <tableColumn id="2" xr3:uid="{D68051CE-5DD8-42C0-84E4-5AA8F823F65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4AC07FE-F7F3-41D7-B120-CF3992BE87B8}" name="Table_SourceData_FracWET" displayName="Table_SourceData_FracWET" ref="D134:E136" totalsRowShown="0">
  <autoFilter ref="D134:E136" xr:uid="{308E99BE-FE1F-47A4-B2CA-97217277C4E9}">
    <filterColumn colId="0" hiddenButton="1"/>
    <filterColumn colId="1" hiddenButton="1"/>
  </autoFilter>
  <tableColumns count="2">
    <tableColumn id="1" xr3:uid="{7CC796C2-63D2-47F7-9053-D908618080F5}" name="Is in leaching zone">
      <calculatedColumnFormula array="1">Common_InputFunctions.Utility_DisplayArrayInTable(Common_SourceData.Common_SourceData_FracWET_Data(),Table_SourceData_FracWET[[#Headers],[Is in leaching zone]],0)</calculatedColumnFormula>
    </tableColumn>
    <tableColumn id="2" xr3:uid="{DAA00D67-052D-437D-8304-FCF408B01074}" name="FracWET" dataDxfId="7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C0C0055-156C-4515-918D-A7318F9FFE4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060F504-EC73-483B-8A81-F1C43606FEEA}" name="Production system j">
      <calculatedColumnFormula array="1">Common_InputFunctions.Utility_DisplayArrayInTable(Common_SourceData.Common_SourceData_EFN2O_Data(), Table_SourceData_Common_EFN2O[[#Headers],[Production system j]], 0)</calculatedColumnFormula>
    </tableColumn>
    <tableColumn id="2" xr3:uid="{574B37D8-1169-4165-A77A-24E1AAFF4980}" name="EFN2O">
      <calculatedColumnFormula array="1">Common_InputFunctions.Utility_DisplayArrayInTable(Common_SourceData.Common_SourceData_EFN2O_Data(), Table_SourceData_Common_EFN2O[[#Headers],[Production system j]], 0)</calculatedColumnFormula>
    </tableColumn>
    <tableColumn id="3" xr3:uid="{1D0F0020-9E5D-466E-A545-6A2C8753D1A8}" name="Production system only">
      <calculatedColumnFormula array="1">Common_InputFunctions.Utility_DisplayArrayInTable(Common_SourceData.Common_SourceData_EFN2O_Data(), Table_SourceData_Common_EFN2O[[#Headers],[Production system j]], 0)</calculatedColumnFormula>
    </tableColumn>
    <tableColumn id="4" xr3:uid="{333334E3-27E0-4C5F-931E-5AA744E7E65B}" name="Irrigation method">
      <calculatedColumnFormula array="1">Common_InputFunctions.Utility_DisplayArrayInTable(Common_SourceData.Common_SourceData_EFN2O_Data(), Table_SourceData_Common_EFN2O[[#Headers],[Production system j]], 0)</calculatedColumnFormula>
    </tableColumn>
    <tableColumn id="5" xr3:uid="{BE721098-7E6E-446D-B004-47690C85F60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F4AF217-11CD-44B2-AEFC-D12D4E4657B1}" name="Table_SourceData_FracWETIrrigation" displayName="Table_SourceData_FracWETIrrigation" ref="D142:E147" totalsRowShown="0">
  <autoFilter ref="D142:E147" xr:uid="{9F4AF217-11CD-44B2-AEFC-D12D4E4657B1}">
    <filterColumn colId="0" hiddenButton="1"/>
    <filterColumn colId="1" hiddenButton="1"/>
  </autoFilter>
  <tableColumns count="2">
    <tableColumn id="1" xr3:uid="{75FFB07C-E646-43F2-8DD1-8837D1EF5A2F}" name="Irrigation type i">
      <calculatedColumnFormula array="1">Common_InputFunctions.Utility_DisplayArrayInTable(Common_SourceData.Common_SourceData_FracWETIrrigation_Data(), Table_SourceData_FracWETIrrigation[[#Headers],[Irrigation type i]], 0)</calculatedColumnFormula>
    </tableColumn>
    <tableColumn id="2" xr3:uid="{B9F49DDF-B63F-4467-8825-770F71EB20E5}" name="FracWET" dataDxfId="6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EA6399-7414-41B3-87FD-22E42F06F12C}" name="Table_SourceData_EFPastureRangeAndPaddock" displayName="Table_SourceData_EFPastureRangeAndPaddock" ref="D206:E208" totalsRowShown="0">
  <autoFilter ref="D206:E208" xr:uid="{5CEA6399-7414-41B3-87FD-22E42F06F12C}">
    <filterColumn colId="0" hiddenButton="1"/>
    <filterColumn colId="1" hiddenButton="1"/>
  </autoFilter>
  <tableColumns count="2">
    <tableColumn id="1" xr3:uid="{282007ED-8860-4119-B995-A739EF4649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6F7BFFEE-D02E-4A1B-B18B-7DE3445418C3}" name="EFPRP" dataDxfId="6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D56B449-1EF3-47B1-B82F-6F427C192876}" name="Table_SourceData_Common_MonthToSeason" displayName="Table_SourceData_Common_MonthToSeason" ref="D212:E224" totalsRowShown="0">
  <autoFilter ref="D212:E224" xr:uid="{FD56B449-1EF3-47B1-B82F-6F427C192876}">
    <filterColumn colId="0" hiddenButton="1"/>
    <filterColumn colId="1" hiddenButton="1"/>
  </autoFilter>
  <tableColumns count="2">
    <tableColumn id="1" xr3:uid="{99D1B48C-DB11-4563-9BA4-0FBA549F95AC}" name="Month">
      <calculatedColumnFormula array="1">Common_InputFunctions.Utility_DisplayArrayInTable(Common_SourceData.Common_SourceData_MonthsToSeasons_Data(), Table_SourceData_Common_MonthToSeason[[#Headers],[Month]], 0)</calculatedColumnFormula>
    </tableColumn>
    <tableColumn id="2" xr3:uid="{48A4BE54-E5A6-436B-9EF1-D58A6BFB7F69}"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07"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5.xml"/><Relationship Id="rId13" Type="http://schemas.openxmlformats.org/officeDocument/2006/relationships/table" Target="../tables/table30.xml"/><Relationship Id="rId3" Type="http://schemas.openxmlformats.org/officeDocument/2006/relationships/table" Target="../tables/table20.xml"/><Relationship Id="rId7" Type="http://schemas.openxmlformats.org/officeDocument/2006/relationships/table" Target="../tables/table24.xml"/><Relationship Id="rId12" Type="http://schemas.openxmlformats.org/officeDocument/2006/relationships/table" Target="../tables/table29.xml"/><Relationship Id="rId2" Type="http://schemas.openxmlformats.org/officeDocument/2006/relationships/table" Target="../tables/table19.xml"/><Relationship Id="rId1" Type="http://schemas.openxmlformats.org/officeDocument/2006/relationships/table" Target="../tables/table18.xml"/><Relationship Id="rId6" Type="http://schemas.openxmlformats.org/officeDocument/2006/relationships/table" Target="../tables/table23.xml"/><Relationship Id="rId11" Type="http://schemas.openxmlformats.org/officeDocument/2006/relationships/table" Target="../tables/table28.xml"/><Relationship Id="rId5" Type="http://schemas.openxmlformats.org/officeDocument/2006/relationships/table" Target="../tables/table22.xml"/><Relationship Id="rId15" Type="http://schemas.openxmlformats.org/officeDocument/2006/relationships/table" Target="../tables/table32.xml"/><Relationship Id="rId10" Type="http://schemas.openxmlformats.org/officeDocument/2006/relationships/table" Target="../tables/table27.xml"/><Relationship Id="rId4" Type="http://schemas.openxmlformats.org/officeDocument/2006/relationships/table" Target="../tables/table21.xml"/><Relationship Id="rId9" Type="http://schemas.openxmlformats.org/officeDocument/2006/relationships/table" Target="../tables/table26.xml"/><Relationship Id="rId14" Type="http://schemas.openxmlformats.org/officeDocument/2006/relationships/table" Target="../tables/table3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3" sqref="D13"/>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71" t="e" vm="1">
        <v>#VALUE!</v>
      </c>
      <c r="C1" s="129" t="s">
        <v>340</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28" t="str">
        <f>HYPERLINK("#'Results'!A1", "Results")</f>
        <v>Results</v>
      </c>
      <c r="C4" s="24"/>
      <c r="D4" s="6" t="s">
        <v>5</v>
      </c>
      <c r="E4" s="26"/>
      <c r="F4" s="26"/>
      <c r="G4" s="26"/>
      <c r="H4" s="6"/>
      <c r="I4" s="6"/>
      <c r="J4" s="6"/>
      <c r="K4" s="27"/>
    </row>
    <row r="5" spans="1:11" ht="20.100000000000001" customHeight="1" x14ac:dyDescent="0.3">
      <c r="A5" s="16"/>
      <c r="C5" s="24"/>
      <c r="D5" s="28"/>
      <c r="E5" s="29"/>
      <c r="F5" s="29"/>
      <c r="G5" s="29"/>
      <c r="H5" s="26"/>
      <c r="I5" s="24"/>
      <c r="J5" s="24"/>
      <c r="K5" s="24"/>
    </row>
    <row r="6" spans="1:11" ht="20.100000000000001" customHeight="1" x14ac:dyDescent="0.25">
      <c r="A6" s="20" t="s">
        <v>3</v>
      </c>
      <c r="C6" s="24"/>
      <c r="D6" s="127" t="s">
        <v>137</v>
      </c>
      <c r="E6" s="127" t="s">
        <v>335</v>
      </c>
      <c r="F6" s="127" t="s">
        <v>336</v>
      </c>
      <c r="G6" s="127" t="s">
        <v>154</v>
      </c>
      <c r="H6" s="127" t="s">
        <v>337</v>
      </c>
      <c r="I6" s="127" t="s">
        <v>338</v>
      </c>
      <c r="J6" s="127" t="s">
        <v>155</v>
      </c>
      <c r="K6" s="24"/>
    </row>
    <row r="7" spans="1:11" ht="20.100000000000001" customHeight="1" x14ac:dyDescent="0.25">
      <c r="A7" s="17" t="str">
        <f>HYPERLINK("#'Input - Site'!A1", "Site")</f>
        <v>Site</v>
      </c>
      <c r="C7" s="24"/>
      <c r="D7" s="1" t="s">
        <v>341</v>
      </c>
      <c r="E7" s="122" t="e">
        <f>[2]Results!$E$264</f>
        <v>#REF!</v>
      </c>
      <c r="F7" s="122" t="e">
        <f>[2]Results!$P$264</f>
        <v>#REF!</v>
      </c>
      <c r="G7" s="57" t="e">
        <f>[2]Results!$F$264</f>
        <v>#REF!</v>
      </c>
      <c r="H7" s="122" t="e">
        <f>[2]Results!$E$269</f>
        <v>#REF!</v>
      </c>
      <c r="I7" s="122" t="e">
        <f>[2]Results!$P$269</f>
        <v>#REF!</v>
      </c>
      <c r="J7" s="57">
        <f>[2]Results!$F$269</f>
        <v>0</v>
      </c>
      <c r="K7" s="24"/>
    </row>
    <row r="8" spans="1:11" ht="20.100000000000001" customHeight="1" x14ac:dyDescent="0.25">
      <c r="A8" s="17" t="str">
        <f>HYPERLINK("#'Input - Pasture Beef'!A1", "Pasture Beef")</f>
        <v>Pasture Beef</v>
      </c>
      <c r="C8" s="24"/>
      <c r="D8" s="1" t="s">
        <v>343</v>
      </c>
      <c r="E8" s="122" t="e">
        <f>'[3]4.2.1'!$E$280</f>
        <v>#REF!</v>
      </c>
      <c r="F8" s="122" t="e">
        <f>'[3]4.2.1'!$O$280</f>
        <v>#REF!</v>
      </c>
      <c r="G8" s="57" t="e">
        <f>'[3]4.2.1'!$F$280</f>
        <v>#REF!</v>
      </c>
      <c r="H8" s="122" t="e">
        <f>'[3]4.2.1'!$E$285</f>
        <v>#REF!</v>
      </c>
      <c r="I8" s="122" t="e">
        <f>'[3]4.2.1'!$O$285</f>
        <v>#REF!</v>
      </c>
      <c r="J8" s="57" t="e">
        <f>'[3]4.2.1'!$F$285</f>
        <v>#REF!</v>
      </c>
      <c r="K8" s="24"/>
    </row>
    <row r="9" spans="1:11" ht="20.100000000000001" customHeight="1" x14ac:dyDescent="0.25">
      <c r="A9" s="17"/>
      <c r="C9" s="24"/>
      <c r="D9" s="1" t="s">
        <v>344</v>
      </c>
      <c r="E9" s="122" t="e">
        <f>'[4]4.2.1'!$E$68</f>
        <v>#REF!</v>
      </c>
      <c r="F9" s="122" t="e">
        <f>'[4]4.2.1'!$P$68</f>
        <v>#REF!</v>
      </c>
      <c r="G9" s="57" t="e">
        <f>'[4]4.2.1'!$F$68</f>
        <v>#REF!</v>
      </c>
      <c r="H9" s="122" t="e">
        <f>'[4]4.2.1'!$E$73</f>
        <v>#REF!</v>
      </c>
      <c r="I9" s="122" t="e">
        <f ca="1">'4.3.1.5 Atmos deposition'!$P$73</f>
        <v>#REF!</v>
      </c>
      <c r="J9" s="57" t="str">
        <f>'4.3.1.5 Atmos deposition'!$F$73</f>
        <v>t CO2e</v>
      </c>
      <c r="K9" s="24"/>
    </row>
    <row r="10" spans="1:11" ht="20.100000000000001" customHeight="1" x14ac:dyDescent="0.25">
      <c r="A10" s="19" t="s">
        <v>77</v>
      </c>
      <c r="C10" s="24"/>
      <c r="D10" s="1" t="s">
        <v>345</v>
      </c>
      <c r="E10" s="122" t="e">
        <f ca="1">'4.3.1.6-7 Leaching and runoff'!$E$52</f>
        <v>#REF!</v>
      </c>
      <c r="F10" s="122" t="e">
        <f ca="1">'4.3.1.6-7 Leaching and runoff'!$P$52</f>
        <v>#VALUE!</v>
      </c>
      <c r="G10" s="57" t="str">
        <f>'4.3.1.6-7 Leaching and runoff'!$F$52</f>
        <v>t N2O</v>
      </c>
      <c r="H10" s="122" t="e">
        <f ca="1">'4.3.1.6-7 Leaching and runoff'!$E$57</f>
        <v>#REF!</v>
      </c>
      <c r="I10" s="122" t="e">
        <f ca="1">'4.3.1.6-7 Leaching and runoff'!$P$57</f>
        <v>#VALUE!</v>
      </c>
      <c r="J10" s="57" t="str">
        <f>'4.3.1.6-7 Leaching and runoff'!$F$57</f>
        <v>t CO2e</v>
      </c>
      <c r="K10" s="24"/>
    </row>
    <row r="11" spans="1:11" ht="20.100000000000001" customHeight="1" x14ac:dyDescent="0.25">
      <c r="A11" s="17" t="str">
        <f>HYPERLINK("#'4.2.1.1-2 Methane'!A1", "4.2.1.1-2 Methane")</f>
        <v>4.2.1.1-2 Methane</v>
      </c>
      <c r="C11" s="24"/>
      <c r="D11" s="1" t="s">
        <v>346</v>
      </c>
      <c r="E11" s="122" t="s">
        <v>170</v>
      </c>
      <c r="F11" s="122" t="s">
        <v>170</v>
      </c>
      <c r="G11" s="57"/>
      <c r="H11" s="122" t="s">
        <v>170</v>
      </c>
      <c r="I11" s="122" t="s">
        <v>170</v>
      </c>
      <c r="J11" s="57"/>
      <c r="K11" s="24"/>
    </row>
    <row r="12" spans="1:11" ht="20.100000000000001" customHeight="1" x14ac:dyDescent="0.25">
      <c r="A12" s="17" t="str">
        <f>HYPERLINK("#'4.3.1.3-4 Direct N20'!A1", "4.3.1.3-4 Direct N2O")</f>
        <v>4.3.1.3-4 Direct N2O</v>
      </c>
      <c r="C12" s="24"/>
      <c r="D12" s="1" t="s">
        <v>347</v>
      </c>
      <c r="E12" s="122" t="e">
        <f>'4.3.1.9 Soil direct N2O'!$E$53</f>
        <v>#REF!</v>
      </c>
      <c r="F12" s="122" t="e">
        <f>'4.3.1.9 Soil direct N2O'!$P$53</f>
        <v>#REF!</v>
      </c>
      <c r="G12" s="57" t="str">
        <f>'4.3.1.9 Soil direct N2O'!$F$53</f>
        <v>t N2O</v>
      </c>
      <c r="H12" s="122" t="e">
        <f>'4.3.1.9 Soil direct N2O'!$E$58</f>
        <v>#REF!</v>
      </c>
      <c r="I12" s="122" t="e">
        <f>'4.3.1.9 Soil direct N2O'!$P$58</f>
        <v>#REF!</v>
      </c>
      <c r="J12" s="57" t="str">
        <f>'4.3.1.9 Soil direct N2O'!$F$58</f>
        <v>t CO2e</v>
      </c>
      <c r="K12" s="24"/>
    </row>
    <row r="13" spans="1:11" ht="20.100000000000001" customHeight="1" x14ac:dyDescent="0.25">
      <c r="A13" s="17" t="str">
        <f>HYPERLINK("#'4.3.1.5 Atmos Deposition'!A1", "4.3.1.5 Atmospheric deposition")</f>
        <v>4.3.1.5 Atmospheric deposition</v>
      </c>
      <c r="C13" s="24"/>
      <c r="D13" s="1" t="s">
        <v>322</v>
      </c>
      <c r="E13" s="122" t="e">
        <f>'4.3.1.10-11 Soil Atmos Dep'!$E$45</f>
        <v>#REF!</v>
      </c>
      <c r="F13" s="122" t="e">
        <f>'4.3.1.10-11 Soil Atmos Dep'!$P$45</f>
        <v>#REF!</v>
      </c>
      <c r="G13" s="57" t="str">
        <f>'4.3.1.10-11 Soil Atmos Dep'!$F$45</f>
        <v>t N2O</v>
      </c>
      <c r="H13" s="122" t="e">
        <f>'4.3.1.10-11 Soil Atmos Dep'!$E$50</f>
        <v>#REF!</v>
      </c>
      <c r="I13" s="122" t="e">
        <f>'4.3.1.10-11 Soil Atmos Dep'!$P$50</f>
        <v>#REF!</v>
      </c>
      <c r="J13" s="57" t="str">
        <f>'4.3.1.10-11 Soil Atmos Dep'!$F$50</f>
        <v>t CO2e</v>
      </c>
      <c r="K13" s="24"/>
    </row>
    <row r="14" spans="1:11" ht="20.100000000000001" customHeight="1" x14ac:dyDescent="0.25">
      <c r="A14" s="17" t="str">
        <f>HYPERLINK("#'4.3.1.6-7 Leaching and runoff'!A1", "4.3.1.6-7 Leaching and runoff")</f>
        <v>4.3.1.6-7 Leaching and runoff</v>
      </c>
      <c r="C14" s="24"/>
      <c r="D14" s="1" t="s">
        <v>323</v>
      </c>
      <c r="E14" s="122" t="e">
        <f>'4.3.1.12-13 Soil leach runoff'!$E$47</f>
        <v>#REF!</v>
      </c>
      <c r="F14" s="122" t="e">
        <f>'4.3.1.12-13 Soil leach runoff'!$P$47</f>
        <v>#REF!</v>
      </c>
      <c r="G14" s="57" t="str">
        <f>'4.3.1.12-13 Soil leach runoff'!$F$47</f>
        <v>t N2O</v>
      </c>
      <c r="H14" s="122" t="e">
        <f>'4.3.1.12-13 Soil leach runoff'!$E$52</f>
        <v>#REF!</v>
      </c>
      <c r="I14" s="122" t="e">
        <f>'4.3.1.12-13 Soil leach runoff'!$P$52</f>
        <v>#REF!</v>
      </c>
      <c r="J14" s="57" t="str">
        <f>'4.3.1.12-13 Soil leach runoff'!$F$52</f>
        <v>t CO2e</v>
      </c>
      <c r="K14" s="24"/>
    </row>
    <row r="15" spans="1:11" ht="20.100000000000001" customHeight="1" x14ac:dyDescent="0.3">
      <c r="A15" s="17" t="str">
        <f>HYPERLINK("#'4.3.1.8 Manure applied to soils'!A1", "4.3.1.8 Manure applied to soils")</f>
        <v>4.3.1.8 Manure applied to soils</v>
      </c>
      <c r="C15" s="24"/>
      <c r="D15" s="31" t="s">
        <v>152</v>
      </c>
      <c r="E15" s="25"/>
      <c r="F15" s="25"/>
      <c r="G15" s="31"/>
      <c r="H15" s="124" t="e">
        <f>SUM(H7:H15)</f>
        <v>#REF!</v>
      </c>
      <c r="I15" s="124" t="e">
        <f>SUM(I7:I15)</f>
        <v>#REF!</v>
      </c>
      <c r="J15" s="111" t="s">
        <v>304</v>
      </c>
      <c r="K15" s="24"/>
    </row>
    <row r="16" spans="1:11" ht="20.100000000000001" customHeight="1" x14ac:dyDescent="0.25">
      <c r="A16" s="17" t="str">
        <f>HYPERLINK("#'4.3.1.9 Soil direct N2O'!A1", "4.3.1.9 Soil direct N2O")</f>
        <v>4.3.1.9 Soil direct N2O</v>
      </c>
      <c r="C16" s="24"/>
      <c r="D16" s="1"/>
      <c r="E16" s="1"/>
      <c r="F16" s="1"/>
      <c r="G16" s="26"/>
      <c r="H16" s="24"/>
      <c r="I16" s="1"/>
      <c r="J16" s="1"/>
      <c r="K16" s="24"/>
    </row>
    <row r="17" spans="1:11" ht="20.100000000000001" customHeight="1" x14ac:dyDescent="0.25">
      <c r="A17" s="17" t="str">
        <f>HYPERLINK("#'4.3.1.10-11 Soil Atmos Dep'!A1", "4.3.1.10-11 Soil atm. deposition")</f>
        <v>4.3.1.10-11 Soil atm. deposition</v>
      </c>
      <c r="C17" s="24"/>
      <c r="D17" s="112" t="s">
        <v>162</v>
      </c>
      <c r="E17" s="1"/>
      <c r="F17" s="1"/>
      <c r="G17" s="1"/>
      <c r="H17" s="26"/>
      <c r="I17" s="1"/>
      <c r="J17" s="1"/>
      <c r="K17" s="24"/>
    </row>
    <row r="18" spans="1:11" ht="20.100000000000001" customHeight="1" x14ac:dyDescent="0.25">
      <c r="A18" s="17" t="str">
        <f>HYPERLINK("#'4.3.1.12-13 Soil leach runoff'!A1", "4.3.1.12-13 Soil leach &amp; runoff")</f>
        <v>4.3.1.12-13 Soil leach &amp; runoff</v>
      </c>
      <c r="C18" s="24"/>
      <c r="D18" s="125" t="s">
        <v>169</v>
      </c>
      <c r="E18" s="1"/>
      <c r="F18" s="1"/>
      <c r="G18" s="1"/>
      <c r="H18" s="1"/>
      <c r="I18" s="1"/>
      <c r="J18" s="1"/>
      <c r="K18" s="24"/>
    </row>
    <row r="19" spans="1:11" ht="20.100000000000001" customHeight="1" x14ac:dyDescent="0.25">
      <c r="A19" s="17"/>
      <c r="C19" s="24"/>
      <c r="D19" s="112"/>
      <c r="E19" s="1"/>
      <c r="F19" s="1"/>
      <c r="G19" s="1"/>
      <c r="H19" s="1"/>
      <c r="I19" s="1"/>
      <c r="J19" s="1"/>
      <c r="K19" s="24"/>
    </row>
    <row r="20" spans="1:11" ht="20.100000000000001" customHeight="1" x14ac:dyDescent="0.25">
      <c r="A20" s="18" t="s">
        <v>4</v>
      </c>
      <c r="C20" s="24"/>
      <c r="D20" s="127" t="s">
        <v>163</v>
      </c>
      <c r="E20" s="127" t="s">
        <v>160</v>
      </c>
      <c r="F20" s="127" t="s">
        <v>161</v>
      </c>
      <c r="G20" s="127" t="s">
        <v>153</v>
      </c>
      <c r="H20" s="127" t="s">
        <v>168</v>
      </c>
      <c r="I20" s="1"/>
      <c r="J20" s="1"/>
      <c r="K20" s="24"/>
    </row>
    <row r="21" spans="1:11" ht="20.100000000000001" customHeight="1" x14ac:dyDescent="0.25">
      <c r="A21" s="17" t="str">
        <f>HYPERLINK("#'Constants - Pasture Beef'!A1", "Constants - Pasture Beef")</f>
        <v>Constants - Pasture Beef</v>
      </c>
      <c r="C21" s="24"/>
      <c r="D21" s="1" t="s">
        <v>165</v>
      </c>
      <c r="E21" s="126" t="e">
        <f ca="1">'4.3.1.8 Manure applied to soils'!$E$102</f>
        <v>#REF!</v>
      </c>
      <c r="F21" s="57" t="str">
        <f>'4.3.1.8 Manure applied to soils'!$F$102</f>
        <v>kg N</v>
      </c>
      <c r="G21" s="1" t="s">
        <v>156</v>
      </c>
      <c r="H21" s="1" t="s">
        <v>167</v>
      </c>
      <c r="I21" s="1"/>
      <c r="J21" s="1"/>
      <c r="K21" s="24"/>
    </row>
    <row r="22" spans="1:11" ht="20.100000000000001" customHeight="1" x14ac:dyDescent="0.25">
      <c r="A22" s="17" t="str">
        <f>HYPERLINK("#'Constants - Livestock'!A1", "Constants - Livestock")</f>
        <v>Constants - Livestock</v>
      </c>
      <c r="C22" s="24"/>
      <c r="D22" s="1" t="s">
        <v>164</v>
      </c>
      <c r="E22" s="126" t="e">
        <f ca="1">'4.3.1.8 Manure applied to soils'!$E$166</f>
        <v>#REF!</v>
      </c>
      <c r="F22" s="57" t="str">
        <f>'4.3.1.8 Manure applied to soils'!$F$166</f>
        <v>kg N</v>
      </c>
      <c r="G22" s="1" t="s">
        <v>159</v>
      </c>
      <c r="H22" s="1" t="s">
        <v>167</v>
      </c>
      <c r="I22" s="24"/>
      <c r="J22" s="1"/>
      <c r="K22" s="24"/>
    </row>
    <row r="23" spans="1:11" ht="20.100000000000001" customHeight="1" x14ac:dyDescent="0.25">
      <c r="A23" s="17" t="str">
        <f>HYPERLINK("#'Constants - Common'!A1", "Constants - Common")</f>
        <v>Constants - Common</v>
      </c>
      <c r="C23" s="24"/>
      <c r="D23" s="1" t="s">
        <v>157</v>
      </c>
      <c r="E23" s="126" t="e">
        <f ca="1">'4.3.1.8 Manure applied to soils'!$E$196</f>
        <v>#REF!</v>
      </c>
      <c r="F23" s="57" t="str">
        <f>'4.3.1.8 Manure applied to soils'!$F$196</f>
        <v>kg N</v>
      </c>
      <c r="G23" s="1" t="s">
        <v>158</v>
      </c>
      <c r="H23" s="1" t="s">
        <v>166</v>
      </c>
      <c r="I23" s="24"/>
      <c r="J23" s="24"/>
      <c r="K23" s="24"/>
    </row>
    <row r="24" spans="1:11" ht="20.100000000000001" customHeight="1" x14ac:dyDescent="0.25">
      <c r="A24" s="17" t="str">
        <f>HYPERLINK("#'Acknowledgements'!A1", "Acknowledgements")</f>
        <v>Acknowledgements</v>
      </c>
      <c r="C24" s="24"/>
      <c r="D24" s="1"/>
      <c r="E24" s="1"/>
      <c r="F24" s="1"/>
      <c r="G24" s="1"/>
      <c r="H24" s="1"/>
      <c r="I24" s="24"/>
      <c r="J24" s="24"/>
      <c r="K24" s="24"/>
    </row>
    <row r="25" spans="1:11" ht="20.100000000000001" customHeight="1" x14ac:dyDescent="0.25">
      <c r="C25" s="24"/>
      <c r="D25" s="1"/>
      <c r="E25" s="1"/>
      <c r="F25" s="1"/>
      <c r="G25" s="1"/>
      <c r="H25" s="26"/>
      <c r="I25" s="24"/>
      <c r="J25" s="24"/>
      <c r="K25" s="24"/>
    </row>
    <row r="26" spans="1:11" ht="20.100000000000001" customHeight="1" x14ac:dyDescent="0.3">
      <c r="C26" s="24"/>
      <c r="D26" s="1"/>
      <c r="E26" s="1"/>
      <c r="F26" s="1"/>
      <c r="G26" s="1"/>
      <c r="H26" s="29"/>
      <c r="I26" s="24"/>
      <c r="J26" s="24"/>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21"/>
      <c r="J38" s="121"/>
      <c r="K38" s="24"/>
    </row>
    <row r="39" spans="3:11" ht="20.100000000000001" customHeight="1" x14ac:dyDescent="0.25">
      <c r="C39" s="24"/>
      <c r="D39" s="1"/>
      <c r="E39" s="1"/>
      <c r="F39" s="1"/>
      <c r="G39" s="1"/>
      <c r="H39" s="1"/>
      <c r="I39" s="121"/>
      <c r="J39" s="121"/>
      <c r="K39" s="24"/>
    </row>
    <row r="40" spans="3:11" ht="20.100000000000001" customHeight="1" x14ac:dyDescent="0.25">
      <c r="C40" s="24"/>
      <c r="D40" s="1"/>
      <c r="E40" s="1"/>
      <c r="F40" s="1"/>
      <c r="G40" s="1"/>
      <c r="H40" s="1"/>
      <c r="I40" s="121"/>
      <c r="J40" s="121"/>
      <c r="K40" s="24"/>
    </row>
    <row r="41" spans="3:11" ht="20.100000000000001" customHeight="1" x14ac:dyDescent="0.25">
      <c r="C41" s="24"/>
      <c r="D41" s="1"/>
      <c r="E41" s="1"/>
      <c r="F41" s="1"/>
      <c r="G41" s="1"/>
      <c r="H41" s="1"/>
      <c r="I41" s="121"/>
      <c r="J41" s="121"/>
      <c r="K41" s="24"/>
    </row>
    <row r="42" spans="3:11" ht="20.100000000000001" customHeight="1" x14ac:dyDescent="0.25">
      <c r="C42" s="24"/>
      <c r="D42" s="1"/>
      <c r="E42" s="1"/>
      <c r="F42" s="1"/>
      <c r="G42" s="1"/>
      <c r="H42" s="1"/>
      <c r="I42" s="121"/>
      <c r="J42" s="121"/>
      <c r="K42" s="24"/>
    </row>
    <row r="43" spans="3:11" ht="20.100000000000001" customHeight="1" x14ac:dyDescent="0.25">
      <c r="C43" s="24"/>
      <c r="D43" s="1"/>
      <c r="E43" s="1"/>
      <c r="F43" s="1"/>
      <c r="G43" s="1"/>
      <c r="H43" s="1"/>
      <c r="I43" s="121"/>
      <c r="J43" s="121"/>
      <c r="K43" s="24"/>
    </row>
    <row r="44" spans="3:11" ht="20.100000000000001" customHeight="1" x14ac:dyDescent="0.25">
      <c r="C44" s="24"/>
      <c r="D44" s="1"/>
      <c r="E44" s="1"/>
      <c r="F44" s="1"/>
      <c r="G44" s="1"/>
      <c r="H44" s="1"/>
      <c r="I44" s="121"/>
      <c r="J44" s="121"/>
      <c r="K44" s="24"/>
    </row>
    <row r="45" spans="3:11" ht="20.100000000000001" customHeight="1" x14ac:dyDescent="0.25">
      <c r="C45" s="24"/>
      <c r="D45" s="1"/>
      <c r="E45" s="1"/>
      <c r="F45" s="1"/>
      <c r="G45" s="1"/>
      <c r="H45" s="1"/>
      <c r="I45" s="121"/>
      <c r="J45" s="121"/>
      <c r="K45" s="24"/>
    </row>
    <row r="46" spans="3:11" ht="20.100000000000001" customHeight="1" x14ac:dyDescent="0.25">
      <c r="C46" s="24"/>
      <c r="D46" s="1"/>
      <c r="E46" s="1"/>
      <c r="F46" s="1"/>
      <c r="G46" s="1"/>
      <c r="H46" s="1"/>
      <c r="I46" s="121"/>
      <c r="J46" s="121"/>
      <c r="K46" s="24"/>
    </row>
    <row r="47" spans="3:11" ht="20.100000000000001" customHeight="1" x14ac:dyDescent="0.25">
      <c r="C47" s="24"/>
      <c r="D47" s="1"/>
      <c r="E47" s="1"/>
      <c r="F47" s="1"/>
      <c r="G47" s="1"/>
      <c r="H47" s="1"/>
      <c r="I47" s="121"/>
      <c r="J47" s="121"/>
      <c r="K47" s="24"/>
    </row>
    <row r="48" spans="3:11" ht="20.100000000000001" customHeight="1" x14ac:dyDescent="0.25">
      <c r="C48" s="24"/>
      <c r="D48" s="1"/>
      <c r="E48" s="1"/>
      <c r="F48" s="1"/>
      <c r="G48" s="1"/>
      <c r="H48" s="1"/>
      <c r="I48" s="121"/>
      <c r="J48" s="121"/>
      <c r="K48" s="24"/>
    </row>
    <row r="49" spans="3:11" ht="20.100000000000001" customHeight="1" x14ac:dyDescent="0.25">
      <c r="C49" s="24"/>
      <c r="D49" s="1"/>
      <c r="E49" s="1"/>
      <c r="F49" s="1"/>
      <c r="G49" s="1"/>
      <c r="H49" s="121"/>
      <c r="I49" s="121"/>
      <c r="J49" s="121"/>
      <c r="K49" s="24"/>
    </row>
    <row r="50" spans="3:11" ht="20.100000000000001" customHeight="1" x14ac:dyDescent="0.25">
      <c r="C50" s="24"/>
      <c r="D50" s="1"/>
      <c r="E50" s="1"/>
      <c r="F50" s="1"/>
      <c r="G50" s="1"/>
      <c r="H50" s="121"/>
      <c r="I50" s="121"/>
      <c r="J50" s="121"/>
      <c r="K50" s="24"/>
    </row>
    <row r="51" spans="3:11" ht="20.100000000000001" customHeight="1" x14ac:dyDescent="0.25">
      <c r="C51" s="24"/>
      <c r="D51" s="1"/>
      <c r="E51" s="1"/>
      <c r="F51" s="1"/>
      <c r="G51" s="1"/>
      <c r="H51" s="121"/>
      <c r="I51" s="121"/>
      <c r="J51" s="121"/>
      <c r="K51" s="24"/>
    </row>
    <row r="52" spans="3:11" ht="20.100000000000001" customHeight="1" x14ac:dyDescent="0.25">
      <c r="C52" s="24"/>
      <c r="D52" s="1"/>
      <c r="E52" s="1"/>
      <c r="F52" s="1"/>
      <c r="G52" s="1"/>
      <c r="H52" s="121"/>
      <c r="I52" s="121"/>
      <c r="J52" s="121"/>
      <c r="K52" s="24"/>
    </row>
    <row r="53" spans="3:11" ht="20.100000000000001" customHeight="1" x14ac:dyDescent="0.25">
      <c r="C53" s="24"/>
      <c r="D53" s="1"/>
      <c r="E53" s="1"/>
      <c r="F53" s="1"/>
      <c r="G53" s="1"/>
      <c r="H53" s="121"/>
      <c r="I53" s="121"/>
      <c r="J53" s="121"/>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73"/>
      <c r="D4" s="73"/>
      <c r="E4" s="73"/>
      <c r="F4" s="73"/>
      <c r="G4" s="73"/>
      <c r="H4" s="73"/>
      <c r="I4" s="73"/>
      <c r="J4" s="73"/>
      <c r="K4" s="73"/>
    </row>
    <row r="5" spans="1:24" ht="20.100000000000001" customHeight="1" x14ac:dyDescent="0.25">
      <c r="D5" s="6" t="s">
        <v>15</v>
      </c>
      <c r="N5" s="43"/>
    </row>
    <row r="6" spans="1:24" ht="20.100000000000001" customHeight="1" x14ac:dyDescent="0.25">
      <c r="A6" s="20" t="s">
        <v>3</v>
      </c>
      <c r="D6" s="14"/>
      <c r="N6" s="44"/>
    </row>
    <row r="7" spans="1:24" ht="20.100000000000001" customHeight="1" x14ac:dyDescent="0.25">
      <c r="A7" s="21" t="str">
        <f>HYPERLINK("#'Input - Site'!A1", "Site")</f>
        <v>Site</v>
      </c>
      <c r="D7" s="1" t="s">
        <v>7</v>
      </c>
      <c r="E7" s="35" t="s">
        <v>6</v>
      </c>
      <c r="F7" s="2"/>
    </row>
    <row r="8" spans="1:24" ht="20.100000000000001" customHeight="1" x14ac:dyDescent="0.25">
      <c r="A8" s="17" t="str">
        <f>HYPERLINK("#'Input - Pasture Beef'!A1", "Pasture Beef")</f>
        <v>Pasture Beef</v>
      </c>
      <c r="D8" s="10" t="s">
        <v>73</v>
      </c>
      <c r="E8" s="35" t="s">
        <v>74</v>
      </c>
    </row>
    <row r="9" spans="1:24" ht="20.100000000000001" customHeight="1" x14ac:dyDescent="0.25">
      <c r="A9" s="17"/>
      <c r="N9" s="45"/>
    </row>
    <row r="10" spans="1:24" ht="20.100000000000001" customHeight="1" x14ac:dyDescent="0.25">
      <c r="A10" s="19" t="s">
        <v>77</v>
      </c>
      <c r="D10" s="98" t="s">
        <v>91</v>
      </c>
      <c r="E10" s="96"/>
      <c r="F10" s="99"/>
      <c r="G10" s="93"/>
      <c r="N10" s="45"/>
    </row>
    <row r="11" spans="1:24" ht="20.100000000000001" customHeight="1" x14ac:dyDescent="0.25">
      <c r="A11" s="17" t="str">
        <f>HYPERLINK("#'4.2.1.1-2 Methane'!A1", "4.2.1.1-2 Methane")</f>
        <v>4.2.1.1-2 Methane</v>
      </c>
      <c r="N11" s="46"/>
    </row>
    <row r="12" spans="1:24" ht="20.100000000000001" customHeight="1" x14ac:dyDescent="0.25">
      <c r="A12" s="17" t="str">
        <f>HYPERLINK("#'4.3.1.3-4 Direct N20'!A1", "4.3.1.3-4 Direct N2O")</f>
        <v>4.3.1.3-4 Direct N2O</v>
      </c>
      <c r="D12" s="10" t="s">
        <v>97</v>
      </c>
      <c r="E12" s="67">
        <v>45292</v>
      </c>
      <c r="F12" s="2" t="s">
        <v>71</v>
      </c>
    </row>
    <row r="13" spans="1:24" ht="20.100000000000001" customHeight="1" x14ac:dyDescent="0.25">
      <c r="A13" s="17" t="str">
        <f>HYPERLINK("#'4.3.1.5 Atmos Deposition'!A1", "4.3.1.5 Atmospheric deposition")</f>
        <v>4.3.1.5 Atmospheric deposition</v>
      </c>
      <c r="D13" s="10" t="s">
        <v>98</v>
      </c>
      <c r="E13" s="74">
        <f>DATE(YEAR(E12)+1,MONTH(E12),DAY(E12))-1</f>
        <v>45657</v>
      </c>
      <c r="F13" s="2" t="s">
        <v>17</v>
      </c>
      <c r="N13" s="40"/>
      <c r="O13" s="40"/>
    </row>
    <row r="14" spans="1:24" ht="20.100000000000001" customHeight="1" x14ac:dyDescent="0.25">
      <c r="A14" s="17" t="str">
        <f>HYPERLINK("#'4.3.1.6-7 Leaching and runoff'!A1", "4.3.1.6-7 Leaching and runoff")</f>
        <v>4.3.1.6-7 Leaching and runoff</v>
      </c>
      <c r="N14" s="40"/>
      <c r="O14" s="40"/>
    </row>
    <row r="15" spans="1:24" ht="20.100000000000001" customHeight="1" x14ac:dyDescent="0.25">
      <c r="A15" s="17" t="str">
        <f>HYPERLINK("#'4.3.1.8 Manure applied to soils'!A1", "4.3.1.8 Manure applied to soils")</f>
        <v>4.3.1.8 Manure applied to soils</v>
      </c>
      <c r="N15" s="40"/>
      <c r="O15" s="40"/>
    </row>
    <row r="16" spans="1:24" ht="20.100000000000001" customHeight="1" x14ac:dyDescent="0.25">
      <c r="A16" s="17" t="str">
        <f>HYPERLINK("#'4.3.1.9 Soil direct N2O'!A1", "4.3.1.9 Soil direct N2O")</f>
        <v>4.3.1.9 Soil direct N2O</v>
      </c>
      <c r="D16" s="6" t="s">
        <v>14</v>
      </c>
      <c r="N16" s="40"/>
      <c r="O16" s="40"/>
    </row>
    <row r="17" spans="1:25" ht="20.100000000000001" customHeight="1" x14ac:dyDescent="0.25">
      <c r="A17" s="17" t="str">
        <f>HYPERLINK("#'4.3.1.10-11 Soil Atmos Dep'!A1", "4.3.1.10-11 Soil atm. deposition")</f>
        <v>4.3.1.10-11 Soil atm. deposition</v>
      </c>
    </row>
    <row r="18" spans="1:25" ht="20.100000000000001" customHeight="1" x14ac:dyDescent="0.25">
      <c r="A18" s="17" t="str">
        <f>HYPERLINK("#'4.3.1.12-13 Soil leach runoff'!A1", "4.3.1.12-13 Soil leach &amp; runoff")</f>
        <v>4.3.1.12-13 Soil leach &amp; runoff</v>
      </c>
      <c r="D18" s="100" t="s">
        <v>16</v>
      </c>
      <c r="E18" s="95"/>
      <c r="F18" s="95"/>
      <c r="G18" s="91"/>
    </row>
    <row r="19" spans="1:25" ht="20.100000000000001" customHeight="1" x14ac:dyDescent="0.25">
      <c r="A19" s="17"/>
      <c r="D19" s="97" t="s">
        <v>72</v>
      </c>
      <c r="E19" s="94"/>
      <c r="F19" s="94"/>
      <c r="G19" s="92"/>
      <c r="N19" s="43"/>
    </row>
    <row r="20" spans="1:25" ht="20.100000000000001" customHeight="1" x14ac:dyDescent="0.25">
      <c r="A20" s="18" t="s">
        <v>4</v>
      </c>
      <c r="D20" s="1"/>
      <c r="E20" s="33"/>
      <c r="F20" s="2"/>
      <c r="N20" s="44"/>
    </row>
    <row r="21" spans="1:25" ht="20.100000000000001" customHeight="1" x14ac:dyDescent="0.25">
      <c r="A21" s="17" t="str">
        <f>HYPERLINK("#'Constants - Pasture Beef'!A1", "Constants - Pasture Beef")</f>
        <v>Constants - Pasture Beef</v>
      </c>
      <c r="D21" s="1" t="s">
        <v>8</v>
      </c>
      <c r="E21" s="42" t="s">
        <v>402</v>
      </c>
      <c r="F21" s="2" t="s">
        <v>11</v>
      </c>
    </row>
    <row r="22" spans="1:25" ht="20.100000000000001" customHeight="1" x14ac:dyDescent="0.25">
      <c r="A22" s="17" t="str">
        <f>HYPERLINK("#'Constants - Livestock'!A1", "Constants - Livestock")</f>
        <v>Constants - Livestock</v>
      </c>
      <c r="D22" s="1" t="s">
        <v>26</v>
      </c>
      <c r="E22" s="42" t="s">
        <v>35</v>
      </c>
      <c r="F22" s="2" t="s">
        <v>11</v>
      </c>
      <c r="G22" s="1"/>
    </row>
    <row r="23" spans="1:25" ht="20.100000000000001" customHeight="1" x14ac:dyDescent="0.25">
      <c r="A23" s="17" t="str">
        <f>HYPERLINK("#'Constants - Common'!A1", "Constants - Common")</f>
        <v>Constants - Common</v>
      </c>
      <c r="D23" s="1" t="s">
        <v>9</v>
      </c>
      <c r="E23" s="42" t="s">
        <v>96</v>
      </c>
      <c r="F23" s="2" t="s">
        <v>11</v>
      </c>
    </row>
    <row r="24" spans="1:25" ht="20.100000000000001" customHeight="1" x14ac:dyDescent="0.25">
      <c r="A24" s="17" t="str">
        <f>HYPERLINK("#'Acknowledgements'!A1", "Acknowledgements")</f>
        <v>Acknowledgements</v>
      </c>
      <c r="D24" s="1" t="s">
        <v>40</v>
      </c>
      <c r="E24" s="35">
        <v>307.7</v>
      </c>
      <c r="F24" s="2" t="s">
        <v>54</v>
      </c>
    </row>
    <row r="25" spans="1:25" ht="20.100000000000001" customHeight="1" x14ac:dyDescent="0.25">
      <c r="A25"/>
      <c r="D25" s="1" t="s">
        <v>62</v>
      </c>
      <c r="E25" s="35">
        <v>18</v>
      </c>
      <c r="F25" s="2" t="s">
        <v>12</v>
      </c>
      <c r="N25" s="44"/>
    </row>
    <row r="26" spans="1:25" ht="20.100000000000001" customHeight="1" x14ac:dyDescent="0.25">
      <c r="A26"/>
      <c r="D26" s="1" t="s">
        <v>63</v>
      </c>
      <c r="E26" s="35">
        <v>601</v>
      </c>
      <c r="F26" s="2" t="s">
        <v>13</v>
      </c>
    </row>
    <row r="27" spans="1:25" ht="20.100000000000001" customHeight="1" x14ac:dyDescent="0.25">
      <c r="A27"/>
      <c r="D27" s="10" t="s">
        <v>64</v>
      </c>
      <c r="E27" s="35">
        <v>1326</v>
      </c>
      <c r="F27" s="2" t="s">
        <v>13</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93</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274"/>
  <sheetViews>
    <sheetView showGridLines="0" tabSelected="1" topLeftCell="A99" zoomScaleNormal="100" workbookViewId="0">
      <selection activeCell="F125" sqref="F12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9" customWidth="1"/>
    <col min="19" max="24" width="30.7109375" style="59" customWidth="1"/>
    <col min="25" max="25" width="4.7109375" style="59" customWidth="1"/>
  </cols>
  <sheetData>
    <row r="1" spans="1:25" s="71" customFormat="1" ht="30" customHeight="1" x14ac:dyDescent="0.35">
      <c r="A1" s="71" t="e" vm="1">
        <v>#VALUE!</v>
      </c>
      <c r="C1" s="71" t="s">
        <v>339</v>
      </c>
      <c r="Q1" s="59"/>
      <c r="R1" s="59"/>
      <c r="S1" s="59"/>
      <c r="T1" s="59"/>
      <c r="U1" s="59"/>
      <c r="V1" s="59"/>
      <c r="W1" s="59"/>
      <c r="X1" s="59"/>
      <c r="Y1" s="59"/>
    </row>
    <row r="2" spans="1:25" s="9" customFormat="1" ht="20.100000000000001" customHeight="1" x14ac:dyDescent="0.25">
      <c r="Q2" s="59"/>
      <c r="R2" s="59"/>
      <c r="S2" s="59"/>
      <c r="T2" s="59"/>
      <c r="U2" s="59"/>
      <c r="V2" s="59"/>
      <c r="W2" s="59"/>
      <c r="X2" s="59"/>
      <c r="Y2" s="59"/>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102</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5" t="str">
        <f>'Input - Site'!$E$21</f>
        <v>Western Australia</v>
      </c>
      <c r="P7" s="3"/>
      <c r="T7" s="7"/>
    </row>
    <row r="8" spans="1:25" ht="20.100000000000001" customHeight="1" x14ac:dyDescent="0.25">
      <c r="A8" s="21" t="str">
        <f>HYPERLINK("#'Input - Pasture Beef'!A1", "Pasture Beef")</f>
        <v>Pasture Beef</v>
      </c>
      <c r="D8" s="1" t="s">
        <v>388</v>
      </c>
      <c r="E8" s="42" t="s">
        <v>393</v>
      </c>
      <c r="F8" s="2" t="s">
        <v>11</v>
      </c>
      <c r="P8" s="3"/>
      <c r="T8" s="7"/>
    </row>
    <row r="9" spans="1:25" ht="20.100000000000001" customHeight="1" x14ac:dyDescent="0.25">
      <c r="A9" s="17"/>
      <c r="T9" s="7"/>
    </row>
    <row r="10" spans="1:25" ht="20.100000000000001" customHeight="1" x14ac:dyDescent="0.25">
      <c r="A10" s="19" t="s">
        <v>77</v>
      </c>
      <c r="D10" s="98" t="s">
        <v>364</v>
      </c>
      <c r="E10" s="99"/>
      <c r="F10" s="99"/>
      <c r="G10" s="93"/>
      <c r="T10" s="7"/>
    </row>
    <row r="11" spans="1:25" ht="20.100000000000001" customHeight="1" x14ac:dyDescent="0.25">
      <c r="A11" s="17" t="str">
        <f>HYPERLINK("#'4.2.1.1-2 Methane'!A1", "4.2.1.1-2 Methane")</f>
        <v>4.2.1.1-2 Methane</v>
      </c>
      <c r="T11" s="7"/>
    </row>
    <row r="12" spans="1:25" ht="20.100000000000001" customHeight="1" x14ac:dyDescent="0.25">
      <c r="A12" s="17" t="str">
        <f>HYPERLINK("#'4.3.1.3-4 Direct N20'!A1", "4.3.1.3-4 Direct N2O")</f>
        <v>4.3.1.3-4 Direct N2O</v>
      </c>
      <c r="D12" s="51" t="s">
        <v>361</v>
      </c>
      <c r="T12" s="7"/>
    </row>
    <row r="13" spans="1:25" ht="20.100000000000001" customHeight="1" x14ac:dyDescent="0.25">
      <c r="A13" s="17" t="str">
        <f>HYPERLINK("#'4.3.1.5 Atmos Deposition'!A1", "4.3.1.5 Atmospheric deposition")</f>
        <v>4.3.1.5 Atmospheric deposition</v>
      </c>
      <c r="D13" s="66" t="s">
        <v>362</v>
      </c>
      <c r="E13" s="66" t="s">
        <v>178</v>
      </c>
      <c r="F13" s="66" t="s">
        <v>177</v>
      </c>
      <c r="G13" s="66" t="s">
        <v>348</v>
      </c>
      <c r="H13" s="66" t="s">
        <v>349</v>
      </c>
      <c r="I13" s="66" t="s">
        <v>350</v>
      </c>
      <c r="J13" s="66" t="s">
        <v>351</v>
      </c>
      <c r="K13" s="66" t="s">
        <v>352</v>
      </c>
      <c r="L13" s="66" t="s">
        <v>353</v>
      </c>
      <c r="M13" s="66" t="s">
        <v>354</v>
      </c>
      <c r="N13" s="66" t="s">
        <v>355</v>
      </c>
      <c r="T13" s="40"/>
    </row>
    <row r="14" spans="1:25" ht="20.100000000000001" customHeight="1" x14ac:dyDescent="0.25">
      <c r="A14" s="17" t="str">
        <f>HYPERLINK("#'4.3.1.6-7 Leaching and runoff'!A1", "4.3.1.6-7 Leaching and runoff")</f>
        <v>4.3.1.6-7 Leaching and runoff</v>
      </c>
      <c r="D14" s="1" t="s">
        <v>357</v>
      </c>
      <c r="E14" s="55">
        <v>91.25</v>
      </c>
      <c r="F14" s="55">
        <v>91.25</v>
      </c>
      <c r="G14" s="55">
        <v>91.25</v>
      </c>
      <c r="H14" s="55">
        <v>91.25</v>
      </c>
      <c r="I14" s="55">
        <v>91.25</v>
      </c>
      <c r="J14" s="55">
        <v>91.25</v>
      </c>
      <c r="K14" s="55">
        <v>91.25</v>
      </c>
      <c r="L14" s="55">
        <v>91.25</v>
      </c>
      <c r="M14" s="55">
        <v>91.25</v>
      </c>
      <c r="N14" s="55">
        <v>91.25</v>
      </c>
      <c r="O14" s="2" t="s">
        <v>55</v>
      </c>
      <c r="T14" s="40"/>
    </row>
    <row r="15" spans="1:25" ht="20.100000000000001" customHeight="1" x14ac:dyDescent="0.25">
      <c r="A15" s="17" t="str">
        <f>HYPERLINK("#'4.3.1.8 Manure applied to soils'!A1", "4.3.1.8 Manure applied to soils")</f>
        <v>4.3.1.8 Manure applied to soils</v>
      </c>
      <c r="D15" s="1" t="s">
        <v>358</v>
      </c>
      <c r="E15" s="55">
        <v>91.25</v>
      </c>
      <c r="F15" s="55">
        <v>91.25</v>
      </c>
      <c r="G15" s="55">
        <v>91.25</v>
      </c>
      <c r="H15" s="55">
        <v>91.25</v>
      </c>
      <c r="I15" s="55">
        <v>91.25</v>
      </c>
      <c r="J15" s="55">
        <v>91.25</v>
      </c>
      <c r="K15" s="55">
        <v>91.25</v>
      </c>
      <c r="L15" s="55">
        <v>91.25</v>
      </c>
      <c r="M15" s="55">
        <v>91.25</v>
      </c>
      <c r="N15" s="55">
        <v>91.25</v>
      </c>
      <c r="O15" s="2" t="s">
        <v>55</v>
      </c>
      <c r="T15" s="40"/>
    </row>
    <row r="16" spans="1:25" ht="20.100000000000001" customHeight="1" x14ac:dyDescent="0.25">
      <c r="A16" s="17" t="str">
        <f>HYPERLINK("#'4.3.1.9 Soil direct N2O'!A1", "4.3.1.9 Soil direct N2O")</f>
        <v>4.3.1.9 Soil direct N2O</v>
      </c>
      <c r="D16" s="1" t="s">
        <v>359</v>
      </c>
      <c r="E16" s="55">
        <v>91.25</v>
      </c>
      <c r="F16" s="55">
        <v>91.25</v>
      </c>
      <c r="G16" s="55">
        <v>91.25</v>
      </c>
      <c r="H16" s="55">
        <v>91.25</v>
      </c>
      <c r="I16" s="55">
        <v>91.25</v>
      </c>
      <c r="J16" s="55">
        <v>91.25</v>
      </c>
      <c r="K16" s="55">
        <v>91.25</v>
      </c>
      <c r="L16" s="55">
        <v>91.25</v>
      </c>
      <c r="M16" s="55">
        <v>91.25</v>
      </c>
      <c r="N16" s="55">
        <v>91.25</v>
      </c>
      <c r="O16" s="2" t="s">
        <v>55</v>
      </c>
      <c r="T16" s="40"/>
    </row>
    <row r="17" spans="1:20" ht="20.100000000000001" customHeight="1" x14ac:dyDescent="0.25">
      <c r="A17" s="17" t="str">
        <f>HYPERLINK("#'4.3.1.10-11 Soil Atmos Dep'!A1", "4.3.1.10-11 Soil atm. deposition")</f>
        <v>4.3.1.10-11 Soil atm. deposition</v>
      </c>
      <c r="D17" s="1" t="s">
        <v>356</v>
      </c>
      <c r="E17" s="55">
        <v>91.25</v>
      </c>
      <c r="F17" s="55">
        <v>91.25</v>
      </c>
      <c r="G17" s="55">
        <v>91.25</v>
      </c>
      <c r="H17" s="55">
        <v>91.25</v>
      </c>
      <c r="I17" s="55">
        <v>91.25</v>
      </c>
      <c r="J17" s="55">
        <v>91.25</v>
      </c>
      <c r="K17" s="55">
        <v>91.25</v>
      </c>
      <c r="L17" s="55">
        <v>91.25</v>
      </c>
      <c r="M17" s="55">
        <v>91.25</v>
      </c>
      <c r="N17" s="55">
        <v>91.25</v>
      </c>
      <c r="O17" s="2" t="s">
        <v>55</v>
      </c>
      <c r="T17" s="7"/>
    </row>
    <row r="18" spans="1:20" ht="20.100000000000001" customHeight="1" x14ac:dyDescent="0.25">
      <c r="A18" s="17" t="str">
        <f>HYPERLINK("#'4.3.1.12-13 Soil leach runoff'!A1", "4.3.1.12-13 Soil leach &amp; runoff")</f>
        <v>4.3.1.12-13 Soil leach &amp; runoff</v>
      </c>
      <c r="T18" s="7"/>
    </row>
    <row r="19" spans="1:20" ht="20.100000000000001" customHeight="1" x14ac:dyDescent="0.25">
      <c r="A19" s="17"/>
      <c r="D19" s="66" t="s">
        <v>363</v>
      </c>
      <c r="E19" s="66" t="s">
        <v>178</v>
      </c>
      <c r="F19" s="66" t="s">
        <v>177</v>
      </c>
      <c r="G19" s="66" t="s">
        <v>348</v>
      </c>
      <c r="H19" s="66" t="s">
        <v>349</v>
      </c>
      <c r="I19" s="66" t="s">
        <v>350</v>
      </c>
      <c r="J19" s="66" t="s">
        <v>351</v>
      </c>
      <c r="K19" s="66" t="s">
        <v>352</v>
      </c>
      <c r="L19" s="66" t="s">
        <v>353</v>
      </c>
      <c r="M19" s="66" t="s">
        <v>354</v>
      </c>
      <c r="N19" s="66" t="s">
        <v>355</v>
      </c>
      <c r="T19" s="7"/>
    </row>
    <row r="20" spans="1:20" ht="20.100000000000001" customHeight="1" x14ac:dyDescent="0.25">
      <c r="A20" s="18" t="s">
        <v>4</v>
      </c>
      <c r="D20" s="1" t="str">
        <f>TEXT('Input - Site'!$E$12, "mmmm yyyy")</f>
        <v>January 2024</v>
      </c>
      <c r="E20" s="69">
        <f>DAY(EOMONTH($D20,0))</f>
        <v>31</v>
      </c>
      <c r="F20" s="69">
        <f>DAY(EOMONTH($D20,0))</f>
        <v>31</v>
      </c>
      <c r="G20" s="69">
        <f>DAY(EOMONTH($D20,0))</f>
        <v>31</v>
      </c>
      <c r="H20" s="69">
        <f>DAY(EOMONTH($D20,0))</f>
        <v>31</v>
      </c>
      <c r="I20" s="69">
        <f>DAY(EOMONTH($D20,0))</f>
        <v>31</v>
      </c>
      <c r="J20" s="69">
        <f>DAY(EOMONTH($D20,0))</f>
        <v>31</v>
      </c>
      <c r="K20" s="69">
        <f>DAY(EOMONTH($D20,0))</f>
        <v>31</v>
      </c>
      <c r="L20" s="69">
        <f>DAY(EOMONTH($D20,0))</f>
        <v>31</v>
      </c>
      <c r="M20" s="69">
        <f>DAY(EOMONTH($D20,0))</f>
        <v>31</v>
      </c>
      <c r="N20" s="69">
        <f>DAY(EOMONTH($D20,0))</f>
        <v>31</v>
      </c>
      <c r="O20" s="2" t="s">
        <v>55</v>
      </c>
      <c r="T20" s="7"/>
    </row>
    <row r="21" spans="1:20" ht="20.100000000000001" customHeight="1" x14ac:dyDescent="0.25">
      <c r="A21" s="17" t="str">
        <f>HYPERLINK("#'Constants - Dairy'!A1", "Constants - Dairy")</f>
        <v>Constants - Dairy</v>
      </c>
      <c r="D21" s="1" t="str">
        <f>TEXT(EDATE('Input - Site'!$E$12,1), "mmmm yyyy")</f>
        <v>February 2024</v>
      </c>
      <c r="E21" s="69">
        <f>DAY(EOMONTH($D21,0))</f>
        <v>29</v>
      </c>
      <c r="F21" s="69">
        <f>DAY(EOMONTH($D21,0))</f>
        <v>29</v>
      </c>
      <c r="G21" s="69">
        <f>DAY(EOMONTH($D21,0))</f>
        <v>29</v>
      </c>
      <c r="H21" s="69">
        <f>DAY(EOMONTH($D21,0))</f>
        <v>29</v>
      </c>
      <c r="I21" s="69">
        <f>DAY(EOMONTH($D21,0))</f>
        <v>29</v>
      </c>
      <c r="J21" s="69">
        <f>DAY(EOMONTH($D21,0))</f>
        <v>29</v>
      </c>
      <c r="K21" s="69">
        <f>DAY(EOMONTH($D21,0))</f>
        <v>29</v>
      </c>
      <c r="L21" s="69">
        <f>DAY(EOMONTH($D21,0))</f>
        <v>29</v>
      </c>
      <c r="M21" s="69">
        <f>DAY(EOMONTH($D21,0))</f>
        <v>29</v>
      </c>
      <c r="N21" s="69">
        <f>DAY(EOMONTH($D21,0))</f>
        <v>29</v>
      </c>
      <c r="O21" s="2" t="s">
        <v>55</v>
      </c>
      <c r="T21" s="7"/>
    </row>
    <row r="22" spans="1:20" ht="20.100000000000001" customHeight="1" x14ac:dyDescent="0.25">
      <c r="A22" s="17" t="str">
        <f>HYPERLINK("#'Constants - Livestock'!A1", "Constants - Livestock")</f>
        <v>Constants - Livestock</v>
      </c>
      <c r="D22" s="1" t="str">
        <f>TEXT(EDATE('Input - Site'!$E$12,2), "mmmm yyyy")</f>
        <v>March 2024</v>
      </c>
      <c r="E22" s="69">
        <f>DAY(EOMONTH($D22,0))</f>
        <v>31</v>
      </c>
      <c r="F22" s="69">
        <f>DAY(EOMONTH($D22,0))</f>
        <v>31</v>
      </c>
      <c r="G22" s="69">
        <f>DAY(EOMONTH($D22,0))</f>
        <v>31</v>
      </c>
      <c r="H22" s="69">
        <f>DAY(EOMONTH($D22,0))</f>
        <v>31</v>
      </c>
      <c r="I22" s="69">
        <f>DAY(EOMONTH($D22,0))</f>
        <v>31</v>
      </c>
      <c r="J22" s="69">
        <f>DAY(EOMONTH($D22,0))</f>
        <v>31</v>
      </c>
      <c r="K22" s="69">
        <f>DAY(EOMONTH($D22,0))</f>
        <v>31</v>
      </c>
      <c r="L22" s="69">
        <f>DAY(EOMONTH($D22,0))</f>
        <v>31</v>
      </c>
      <c r="M22" s="69">
        <f>DAY(EOMONTH($D22,0))</f>
        <v>31</v>
      </c>
      <c r="N22" s="69">
        <f>DAY(EOMONTH($D22,0))</f>
        <v>31</v>
      </c>
      <c r="O22" s="2" t="s">
        <v>55</v>
      </c>
      <c r="T22" s="7"/>
    </row>
    <row r="23" spans="1:20" ht="20.100000000000001" customHeight="1" x14ac:dyDescent="0.25">
      <c r="A23" s="17" t="str">
        <f>HYPERLINK("#'Constants - Common'!A1", "Constants - Common")</f>
        <v>Constants - Common</v>
      </c>
      <c r="D23" s="1" t="str">
        <f>TEXT(EDATE('Input - Site'!$E$12,3), "mmmm yyyy")</f>
        <v>April 2024</v>
      </c>
      <c r="E23" s="69">
        <f>DAY(EOMONTH($D23,0))</f>
        <v>30</v>
      </c>
      <c r="F23" s="69">
        <f>DAY(EOMONTH($D23,0))</f>
        <v>30</v>
      </c>
      <c r="G23" s="69">
        <f>DAY(EOMONTH($D23,0))</f>
        <v>30</v>
      </c>
      <c r="H23" s="69">
        <f>DAY(EOMONTH($D23,0))</f>
        <v>30</v>
      </c>
      <c r="I23" s="69">
        <f>DAY(EOMONTH($D23,0))</f>
        <v>30</v>
      </c>
      <c r="J23" s="69">
        <f>DAY(EOMONTH($D23,0))</f>
        <v>30</v>
      </c>
      <c r="K23" s="69">
        <f>DAY(EOMONTH($D23,0))</f>
        <v>30</v>
      </c>
      <c r="L23" s="69">
        <f>DAY(EOMONTH($D23,0))</f>
        <v>30</v>
      </c>
      <c r="M23" s="69">
        <f>DAY(EOMONTH($D23,0))</f>
        <v>30</v>
      </c>
      <c r="N23" s="69">
        <f>DAY(EOMONTH($D23,0))</f>
        <v>30</v>
      </c>
      <c r="O23" s="2" t="s">
        <v>55</v>
      </c>
      <c r="T23" s="7"/>
    </row>
    <row r="24" spans="1:20" ht="20.100000000000001" customHeight="1" x14ac:dyDescent="0.25">
      <c r="A24" s="17" t="str">
        <f>HYPERLINK("#'Acknowledgements'!A1", "Acknowledgements")</f>
        <v>Acknowledgements</v>
      </c>
      <c r="D24" s="1" t="str">
        <f>TEXT(EDATE('Input - Site'!$E$12,4), "mmmm yyyy")</f>
        <v>May 2024</v>
      </c>
      <c r="E24" s="69">
        <f>DAY(EOMONTH($D24,0))</f>
        <v>31</v>
      </c>
      <c r="F24" s="69">
        <f>DAY(EOMONTH($D24,0))</f>
        <v>31</v>
      </c>
      <c r="G24" s="69">
        <f>DAY(EOMONTH($D24,0))</f>
        <v>31</v>
      </c>
      <c r="H24" s="69">
        <f>DAY(EOMONTH($D24,0))</f>
        <v>31</v>
      </c>
      <c r="I24" s="69">
        <f>DAY(EOMONTH($D24,0))</f>
        <v>31</v>
      </c>
      <c r="J24" s="69">
        <f>DAY(EOMONTH($D24,0))</f>
        <v>31</v>
      </c>
      <c r="K24" s="69">
        <f>DAY(EOMONTH($D24,0))</f>
        <v>31</v>
      </c>
      <c r="L24" s="69">
        <f>DAY(EOMONTH($D24,0))</f>
        <v>31</v>
      </c>
      <c r="M24" s="69">
        <f>DAY(EOMONTH($D24,0))</f>
        <v>31</v>
      </c>
      <c r="N24" s="69">
        <f>DAY(EOMONTH($D24,0))</f>
        <v>31</v>
      </c>
      <c r="O24" s="2" t="s">
        <v>55</v>
      </c>
      <c r="T24" s="7"/>
    </row>
    <row r="25" spans="1:20" ht="20.100000000000001" customHeight="1" x14ac:dyDescent="0.25">
      <c r="D25" s="1" t="str">
        <f>TEXT(EDATE('Input - Site'!$E$12,5), "mmmm yyyy")</f>
        <v>June 2024</v>
      </c>
      <c r="E25" s="69">
        <f>DAY(EOMONTH($D25,0))</f>
        <v>30</v>
      </c>
      <c r="F25" s="69">
        <f>DAY(EOMONTH($D25,0))</f>
        <v>30</v>
      </c>
      <c r="G25" s="69">
        <f>DAY(EOMONTH($D25,0))</f>
        <v>30</v>
      </c>
      <c r="H25" s="69">
        <f>DAY(EOMONTH($D25,0))</f>
        <v>30</v>
      </c>
      <c r="I25" s="69">
        <f>DAY(EOMONTH($D25,0))</f>
        <v>30</v>
      </c>
      <c r="J25" s="69">
        <f>DAY(EOMONTH($D25,0))</f>
        <v>30</v>
      </c>
      <c r="K25" s="69">
        <f>DAY(EOMONTH($D25,0))</f>
        <v>30</v>
      </c>
      <c r="L25" s="69">
        <f>DAY(EOMONTH($D25,0))</f>
        <v>30</v>
      </c>
      <c r="M25" s="69">
        <f>DAY(EOMONTH($D25,0))</f>
        <v>30</v>
      </c>
      <c r="N25" s="69">
        <f>DAY(EOMONTH($D25,0))</f>
        <v>30</v>
      </c>
      <c r="O25" s="2" t="s">
        <v>55</v>
      </c>
      <c r="T25" s="7"/>
    </row>
    <row r="26" spans="1:20" ht="20.100000000000001" customHeight="1" x14ac:dyDescent="0.25">
      <c r="A26" s="17"/>
      <c r="D26" s="1" t="str">
        <f>TEXT(EDATE('Input - Site'!$E$12,6), "mmmm yyyy")</f>
        <v>July 2024</v>
      </c>
      <c r="E26" s="69">
        <f>DAY(EOMONTH($D26,0))</f>
        <v>31</v>
      </c>
      <c r="F26" s="69">
        <f>DAY(EOMONTH($D26,0))</f>
        <v>31</v>
      </c>
      <c r="G26" s="69">
        <f>DAY(EOMONTH($D26,0))</f>
        <v>31</v>
      </c>
      <c r="H26" s="69">
        <f>DAY(EOMONTH($D26,0))</f>
        <v>31</v>
      </c>
      <c r="I26" s="69">
        <f>DAY(EOMONTH($D26,0))</f>
        <v>31</v>
      </c>
      <c r="J26" s="69">
        <f>DAY(EOMONTH($D26,0))</f>
        <v>31</v>
      </c>
      <c r="K26" s="69">
        <f>DAY(EOMONTH($D26,0))</f>
        <v>31</v>
      </c>
      <c r="L26" s="69">
        <f>DAY(EOMONTH($D26,0))</f>
        <v>31</v>
      </c>
      <c r="M26" s="69">
        <f>DAY(EOMONTH($D26,0))</f>
        <v>31</v>
      </c>
      <c r="N26" s="69">
        <f>DAY(EOMONTH($D26,0))</f>
        <v>31</v>
      </c>
      <c r="O26" s="2" t="s">
        <v>55</v>
      </c>
      <c r="T26" s="7"/>
    </row>
    <row r="27" spans="1:20" ht="20.100000000000001" customHeight="1" x14ac:dyDescent="0.25">
      <c r="A27" s="17"/>
      <c r="D27" s="1" t="str">
        <f>TEXT(EDATE('Input - Site'!$E$12,7), "mmmm yyyy")</f>
        <v>August 2024</v>
      </c>
      <c r="E27" s="69">
        <f>DAY(EOMONTH($D27,0))</f>
        <v>31</v>
      </c>
      <c r="F27" s="69">
        <f>DAY(EOMONTH($D27,0))</f>
        <v>31</v>
      </c>
      <c r="G27" s="69">
        <f>DAY(EOMONTH($D27,0))</f>
        <v>31</v>
      </c>
      <c r="H27" s="69">
        <f>DAY(EOMONTH($D27,0))</f>
        <v>31</v>
      </c>
      <c r="I27" s="69">
        <f>DAY(EOMONTH($D27,0))</f>
        <v>31</v>
      </c>
      <c r="J27" s="69">
        <f>DAY(EOMONTH($D27,0))</f>
        <v>31</v>
      </c>
      <c r="K27" s="69">
        <f>DAY(EOMONTH($D27,0))</f>
        <v>31</v>
      </c>
      <c r="L27" s="69">
        <f>DAY(EOMONTH($D27,0))</f>
        <v>31</v>
      </c>
      <c r="M27" s="69">
        <f>DAY(EOMONTH($D27,0))</f>
        <v>31</v>
      </c>
      <c r="N27" s="69">
        <f>DAY(EOMONTH($D27,0))</f>
        <v>31</v>
      </c>
      <c r="O27" s="2" t="s">
        <v>55</v>
      </c>
      <c r="T27" s="7"/>
    </row>
    <row r="28" spans="1:20" ht="20.100000000000001" customHeight="1" x14ac:dyDescent="0.25">
      <c r="A28" s="17"/>
      <c r="D28" s="1" t="str">
        <f>TEXT(EDATE('Input - Site'!$E$12,8), "mmmm yyyy")</f>
        <v>September 2024</v>
      </c>
      <c r="E28" s="69">
        <f>DAY(EOMONTH($D28,0))</f>
        <v>30</v>
      </c>
      <c r="F28" s="69">
        <f>DAY(EOMONTH($D28,0))</f>
        <v>30</v>
      </c>
      <c r="G28" s="69">
        <f>DAY(EOMONTH($D28,0))</f>
        <v>30</v>
      </c>
      <c r="H28" s="69">
        <f>DAY(EOMONTH($D28,0))</f>
        <v>30</v>
      </c>
      <c r="I28" s="69">
        <f>DAY(EOMONTH($D28,0))</f>
        <v>30</v>
      </c>
      <c r="J28" s="69">
        <f>DAY(EOMONTH($D28,0))</f>
        <v>30</v>
      </c>
      <c r="K28" s="69">
        <f>DAY(EOMONTH($D28,0))</f>
        <v>30</v>
      </c>
      <c r="L28" s="69">
        <f>DAY(EOMONTH($D28,0))</f>
        <v>30</v>
      </c>
      <c r="M28" s="69">
        <f>DAY(EOMONTH($D28,0))</f>
        <v>30</v>
      </c>
      <c r="N28" s="69">
        <f>DAY(EOMONTH($D28,0))</f>
        <v>30</v>
      </c>
      <c r="O28" s="2" t="s">
        <v>55</v>
      </c>
      <c r="T28" s="7"/>
    </row>
    <row r="29" spans="1:20" ht="20.100000000000001" customHeight="1" x14ac:dyDescent="0.25">
      <c r="A29" s="17"/>
      <c r="D29" s="1" t="str">
        <f>TEXT(EDATE('Input - Site'!$E$12,9), "mmmm yyyy")</f>
        <v>October 2024</v>
      </c>
      <c r="E29" s="69">
        <f>DAY(EOMONTH($D29,0))</f>
        <v>31</v>
      </c>
      <c r="F29" s="69">
        <f>DAY(EOMONTH($D29,0))</f>
        <v>31</v>
      </c>
      <c r="G29" s="69">
        <f>DAY(EOMONTH($D29,0))</f>
        <v>31</v>
      </c>
      <c r="H29" s="69">
        <f>DAY(EOMONTH($D29,0))</f>
        <v>31</v>
      </c>
      <c r="I29" s="69">
        <f>DAY(EOMONTH($D29,0))</f>
        <v>31</v>
      </c>
      <c r="J29" s="69">
        <f>DAY(EOMONTH($D29,0))</f>
        <v>31</v>
      </c>
      <c r="K29" s="69">
        <f>DAY(EOMONTH($D29,0))</f>
        <v>31</v>
      </c>
      <c r="L29" s="69">
        <f>DAY(EOMONTH($D29,0))</f>
        <v>31</v>
      </c>
      <c r="M29" s="69">
        <f>DAY(EOMONTH($D29,0))</f>
        <v>31</v>
      </c>
      <c r="N29" s="69">
        <f>DAY(EOMONTH($D29,0))</f>
        <v>31</v>
      </c>
      <c r="O29" s="2" t="s">
        <v>55</v>
      </c>
      <c r="T29" s="7"/>
    </row>
    <row r="30" spans="1:20" ht="20.100000000000001" customHeight="1" x14ac:dyDescent="0.25">
      <c r="A30" s="17"/>
      <c r="D30" s="1" t="str">
        <f>TEXT(EDATE('Input - Site'!$E$12,10), "mmmm yyyy")</f>
        <v>November 2024</v>
      </c>
      <c r="E30" s="69">
        <f>DAY(EOMONTH($D30,0))</f>
        <v>30</v>
      </c>
      <c r="F30" s="69">
        <f>DAY(EOMONTH($D30,0))</f>
        <v>30</v>
      </c>
      <c r="G30" s="69">
        <f>DAY(EOMONTH($D30,0))</f>
        <v>30</v>
      </c>
      <c r="H30" s="69">
        <f>DAY(EOMONTH($D30,0))</f>
        <v>30</v>
      </c>
      <c r="I30" s="69">
        <f>DAY(EOMONTH($D30,0))</f>
        <v>30</v>
      </c>
      <c r="J30" s="69">
        <f>DAY(EOMONTH($D30,0))</f>
        <v>30</v>
      </c>
      <c r="K30" s="69">
        <f>DAY(EOMONTH($D30,0))</f>
        <v>30</v>
      </c>
      <c r="L30" s="69">
        <f>DAY(EOMONTH($D30,0))</f>
        <v>30</v>
      </c>
      <c r="M30" s="69">
        <f>DAY(EOMONTH($D30,0))</f>
        <v>30</v>
      </c>
      <c r="N30" s="69">
        <f>DAY(EOMONTH($D30,0))</f>
        <v>30</v>
      </c>
      <c r="O30" s="2" t="s">
        <v>55</v>
      </c>
      <c r="T30" s="7"/>
    </row>
    <row r="31" spans="1:20" ht="20.100000000000001" customHeight="1" x14ac:dyDescent="0.25">
      <c r="A31" s="70"/>
      <c r="D31" s="1" t="str">
        <f>TEXT(EDATE('Input - Site'!$E$12,11), "mmmm yyyy")</f>
        <v>December 2024</v>
      </c>
      <c r="E31" s="69">
        <f>DAY(EOMONTH($D31,0))</f>
        <v>31</v>
      </c>
      <c r="F31" s="69">
        <f>DAY(EOMONTH($D31,0))</f>
        <v>31</v>
      </c>
      <c r="G31" s="69">
        <f>DAY(EOMONTH($D31,0))</f>
        <v>31</v>
      </c>
      <c r="H31" s="69">
        <f>DAY(EOMONTH($D31,0))</f>
        <v>31</v>
      </c>
      <c r="I31" s="69">
        <f>DAY(EOMONTH($D31,0))</f>
        <v>31</v>
      </c>
      <c r="J31" s="69">
        <f>DAY(EOMONTH($D31,0))</f>
        <v>31</v>
      </c>
      <c r="K31" s="69">
        <f>DAY(EOMONTH($D31,0))</f>
        <v>31</v>
      </c>
      <c r="L31" s="69">
        <f>DAY(EOMONTH($D31,0))</f>
        <v>31</v>
      </c>
      <c r="M31" s="69">
        <f>DAY(EOMONTH($D31,0))</f>
        <v>31</v>
      </c>
      <c r="N31" s="69">
        <f>DAY(EOMONTH($D31,0))</f>
        <v>31</v>
      </c>
      <c r="O31" s="2" t="s">
        <v>55</v>
      </c>
      <c r="T31" s="7"/>
    </row>
    <row r="32" spans="1:20" ht="20.100000000000001" customHeight="1" x14ac:dyDescent="0.25">
      <c r="A32" s="70"/>
      <c r="T32" s="7"/>
    </row>
    <row r="33" spans="1:20" ht="20.100000000000001" customHeight="1" x14ac:dyDescent="0.25">
      <c r="A33" s="17"/>
      <c r="T33" s="7"/>
    </row>
    <row r="34" spans="1:20" ht="20.100000000000001" customHeight="1" x14ac:dyDescent="0.25">
      <c r="D34" s="51" t="s">
        <v>104</v>
      </c>
      <c r="T34" s="7"/>
    </row>
    <row r="35" spans="1:20" ht="20.100000000000001" customHeight="1" x14ac:dyDescent="0.25">
      <c r="D35" s="66" t="s">
        <v>183</v>
      </c>
      <c r="E35" s="66" t="s">
        <v>178</v>
      </c>
      <c r="F35" s="66" t="s">
        <v>177</v>
      </c>
      <c r="G35" s="66" t="s">
        <v>348</v>
      </c>
      <c r="H35" s="66" t="s">
        <v>349</v>
      </c>
      <c r="I35" s="66" t="s">
        <v>350</v>
      </c>
      <c r="J35" s="66" t="s">
        <v>351</v>
      </c>
      <c r="K35" s="66" t="s">
        <v>352</v>
      </c>
      <c r="L35" s="66" t="s">
        <v>353</v>
      </c>
      <c r="M35" s="66" t="s">
        <v>354</v>
      </c>
      <c r="N35" s="66" t="s">
        <v>355</v>
      </c>
      <c r="T35" s="7"/>
    </row>
    <row r="36" spans="1:20" ht="20.100000000000001" customHeight="1" x14ac:dyDescent="0.25">
      <c r="D36" s="1" t="s">
        <v>357</v>
      </c>
      <c r="E36" s="69">
        <v>100</v>
      </c>
      <c r="F36" s="69">
        <v>100</v>
      </c>
      <c r="G36" s="69">
        <v>100</v>
      </c>
      <c r="H36" s="69">
        <v>100</v>
      </c>
      <c r="I36" s="69">
        <v>100</v>
      </c>
      <c r="J36" s="69">
        <v>100</v>
      </c>
      <c r="K36" s="69">
        <v>100</v>
      </c>
      <c r="L36" s="69">
        <v>100</v>
      </c>
      <c r="M36" s="69">
        <v>100</v>
      </c>
      <c r="N36" s="69">
        <v>100</v>
      </c>
      <c r="O36" s="2" t="s">
        <v>104</v>
      </c>
      <c r="T36" s="7"/>
    </row>
    <row r="37" spans="1:20" ht="20.100000000000001" customHeight="1" x14ac:dyDescent="0.25">
      <c r="D37" s="1" t="s">
        <v>358</v>
      </c>
      <c r="E37" s="69">
        <v>100</v>
      </c>
      <c r="F37" s="69">
        <v>100</v>
      </c>
      <c r="G37" s="69">
        <v>100</v>
      </c>
      <c r="H37" s="69">
        <v>100</v>
      </c>
      <c r="I37" s="69">
        <v>100</v>
      </c>
      <c r="J37" s="69">
        <v>100</v>
      </c>
      <c r="K37" s="69">
        <v>100</v>
      </c>
      <c r="L37" s="69">
        <v>100</v>
      </c>
      <c r="M37" s="69">
        <v>100</v>
      </c>
      <c r="N37" s="69">
        <v>100</v>
      </c>
      <c r="O37" s="2" t="s">
        <v>104</v>
      </c>
      <c r="T37" s="7"/>
    </row>
    <row r="38" spans="1:20" ht="20.100000000000001" customHeight="1" x14ac:dyDescent="0.25">
      <c r="D38" s="1" t="s">
        <v>359</v>
      </c>
      <c r="E38" s="69">
        <v>100</v>
      </c>
      <c r="F38" s="69">
        <v>100</v>
      </c>
      <c r="G38" s="69">
        <v>100</v>
      </c>
      <c r="H38" s="69">
        <v>100</v>
      </c>
      <c r="I38" s="69">
        <v>100</v>
      </c>
      <c r="J38" s="69">
        <v>100</v>
      </c>
      <c r="K38" s="69">
        <v>100</v>
      </c>
      <c r="L38" s="69">
        <v>100</v>
      </c>
      <c r="M38" s="69">
        <v>100</v>
      </c>
      <c r="N38" s="69">
        <v>100</v>
      </c>
      <c r="O38" s="2" t="s">
        <v>104</v>
      </c>
      <c r="T38" s="7"/>
    </row>
    <row r="39" spans="1:20" ht="20.100000000000001" customHeight="1" x14ac:dyDescent="0.25">
      <c r="A39" s="17"/>
      <c r="D39" s="1" t="s">
        <v>356</v>
      </c>
      <c r="E39" s="69">
        <v>100</v>
      </c>
      <c r="F39" s="69">
        <v>100</v>
      </c>
      <c r="G39" s="69">
        <v>100</v>
      </c>
      <c r="H39" s="69">
        <v>100</v>
      </c>
      <c r="I39" s="69">
        <v>100</v>
      </c>
      <c r="J39" s="69">
        <v>100</v>
      </c>
      <c r="K39" s="69">
        <v>100</v>
      </c>
      <c r="L39" s="69">
        <v>100</v>
      </c>
      <c r="M39" s="69">
        <v>100</v>
      </c>
      <c r="N39" s="69">
        <v>100</v>
      </c>
      <c r="O39" s="2" t="s">
        <v>104</v>
      </c>
      <c r="T39" s="7"/>
    </row>
    <row r="40" spans="1:20" ht="20.100000000000001" customHeight="1" x14ac:dyDescent="0.25">
      <c r="O40" s="2"/>
      <c r="T40" s="7"/>
    </row>
    <row r="41" spans="1:20" ht="20.100000000000001" customHeight="1" x14ac:dyDescent="0.25">
      <c r="A41" s="47"/>
      <c r="D41" s="66" t="s">
        <v>365</v>
      </c>
      <c r="E41" s="66" t="s">
        <v>178</v>
      </c>
      <c r="F41" s="66" t="s">
        <v>177</v>
      </c>
      <c r="G41" s="66" t="s">
        <v>348</v>
      </c>
      <c r="H41" s="66" t="s">
        <v>349</v>
      </c>
      <c r="I41" s="66" t="s">
        <v>350</v>
      </c>
      <c r="J41" s="66" t="s">
        <v>351</v>
      </c>
      <c r="K41" s="66" t="s">
        <v>352</v>
      </c>
      <c r="L41" s="66" t="s">
        <v>353</v>
      </c>
      <c r="M41" s="66" t="s">
        <v>354</v>
      </c>
      <c r="N41" s="66" t="s">
        <v>355</v>
      </c>
      <c r="O41" s="2"/>
      <c r="T41" s="7"/>
    </row>
    <row r="42" spans="1:20" ht="20.100000000000001" customHeight="1" x14ac:dyDescent="0.25">
      <c r="D42" s="1" t="str">
        <f>TEXT('Input - Site'!$E$12, "mmmm yyyy")</f>
        <v>January 2024</v>
      </c>
      <c r="E42" s="69">
        <v>100</v>
      </c>
      <c r="F42" s="69">
        <v>100</v>
      </c>
      <c r="G42" s="69">
        <v>100</v>
      </c>
      <c r="H42" s="69">
        <v>100</v>
      </c>
      <c r="I42" s="69">
        <v>100</v>
      </c>
      <c r="J42" s="69">
        <v>100</v>
      </c>
      <c r="K42" s="69">
        <v>100</v>
      </c>
      <c r="L42" s="69">
        <v>100</v>
      </c>
      <c r="M42" s="69">
        <v>100</v>
      </c>
      <c r="N42" s="69">
        <v>100</v>
      </c>
      <c r="O42" s="2" t="s">
        <v>104</v>
      </c>
      <c r="T42" s="7"/>
    </row>
    <row r="43" spans="1:20" ht="20.100000000000001" customHeight="1" x14ac:dyDescent="0.25">
      <c r="D43" s="1" t="str">
        <f>TEXT(EDATE('Input - Site'!$E$12,1), "mmmm yyyy")</f>
        <v>February 2024</v>
      </c>
      <c r="E43" s="69">
        <v>100</v>
      </c>
      <c r="F43" s="69">
        <v>100</v>
      </c>
      <c r="G43" s="69">
        <v>100</v>
      </c>
      <c r="H43" s="69">
        <v>100</v>
      </c>
      <c r="I43" s="69">
        <v>100</v>
      </c>
      <c r="J43" s="69">
        <v>100</v>
      </c>
      <c r="K43" s="69">
        <v>100</v>
      </c>
      <c r="L43" s="69">
        <v>100</v>
      </c>
      <c r="M43" s="69">
        <v>100</v>
      </c>
      <c r="N43" s="69">
        <v>100</v>
      </c>
      <c r="O43" s="2" t="s">
        <v>104</v>
      </c>
      <c r="T43" s="7"/>
    </row>
    <row r="44" spans="1:20" ht="20.100000000000001" customHeight="1" x14ac:dyDescent="0.25">
      <c r="D44" s="1" t="str">
        <f>TEXT(EDATE('Input - Site'!$E$12,2), "mmmm yyyy")</f>
        <v>March 2024</v>
      </c>
      <c r="E44" s="69">
        <v>100</v>
      </c>
      <c r="F44" s="69">
        <v>100</v>
      </c>
      <c r="G44" s="69">
        <v>100</v>
      </c>
      <c r="H44" s="69">
        <v>100</v>
      </c>
      <c r="I44" s="69">
        <v>100</v>
      </c>
      <c r="J44" s="69">
        <v>100</v>
      </c>
      <c r="K44" s="69">
        <v>100</v>
      </c>
      <c r="L44" s="69">
        <v>100</v>
      </c>
      <c r="M44" s="69">
        <v>100</v>
      </c>
      <c r="N44" s="69">
        <v>100</v>
      </c>
      <c r="O44" s="2" t="s">
        <v>104</v>
      </c>
      <c r="T44" s="7"/>
    </row>
    <row r="45" spans="1:20" ht="20.100000000000001" customHeight="1" x14ac:dyDescent="0.25">
      <c r="D45" s="1" t="str">
        <f>TEXT(EDATE('Input - Site'!$E$12,3), "mmmm yyyy")</f>
        <v>April 2024</v>
      </c>
      <c r="E45" s="69">
        <v>100</v>
      </c>
      <c r="F45" s="69">
        <v>100</v>
      </c>
      <c r="G45" s="69">
        <v>100</v>
      </c>
      <c r="H45" s="69">
        <v>100</v>
      </c>
      <c r="I45" s="69">
        <v>100</v>
      </c>
      <c r="J45" s="69">
        <v>100</v>
      </c>
      <c r="K45" s="69">
        <v>100</v>
      </c>
      <c r="L45" s="69">
        <v>100</v>
      </c>
      <c r="M45" s="69">
        <v>100</v>
      </c>
      <c r="N45" s="69">
        <v>100</v>
      </c>
      <c r="O45" s="2" t="s">
        <v>104</v>
      </c>
      <c r="T45" s="7"/>
    </row>
    <row r="46" spans="1:20" ht="20.100000000000001" customHeight="1" x14ac:dyDescent="0.25">
      <c r="D46" s="1" t="str">
        <f>TEXT(EDATE('Input - Site'!$E$12,4), "mmmm yyyy")</f>
        <v>May 2024</v>
      </c>
      <c r="E46" s="69">
        <v>100</v>
      </c>
      <c r="F46" s="69">
        <v>100</v>
      </c>
      <c r="G46" s="69">
        <v>100</v>
      </c>
      <c r="H46" s="69">
        <v>100</v>
      </c>
      <c r="I46" s="69">
        <v>100</v>
      </c>
      <c r="J46" s="69">
        <v>100</v>
      </c>
      <c r="K46" s="69">
        <v>100</v>
      </c>
      <c r="L46" s="69">
        <v>100</v>
      </c>
      <c r="M46" s="69">
        <v>100</v>
      </c>
      <c r="N46" s="69">
        <v>100</v>
      </c>
      <c r="O46" s="2" t="s">
        <v>104</v>
      </c>
      <c r="T46" s="7"/>
    </row>
    <row r="47" spans="1:20" ht="20.100000000000001" customHeight="1" x14ac:dyDescent="0.25">
      <c r="D47" s="1" t="str">
        <f>TEXT(EDATE('Input - Site'!$E$12,5), "mmmm yyyy")</f>
        <v>June 2024</v>
      </c>
      <c r="E47" s="69">
        <v>100</v>
      </c>
      <c r="F47" s="69">
        <v>100</v>
      </c>
      <c r="G47" s="69">
        <v>100</v>
      </c>
      <c r="H47" s="69">
        <v>100</v>
      </c>
      <c r="I47" s="69">
        <v>100</v>
      </c>
      <c r="J47" s="69">
        <v>100</v>
      </c>
      <c r="K47" s="69">
        <v>100</v>
      </c>
      <c r="L47" s="69">
        <v>100</v>
      </c>
      <c r="M47" s="69">
        <v>100</v>
      </c>
      <c r="N47" s="69">
        <v>100</v>
      </c>
      <c r="O47" s="2" t="s">
        <v>104</v>
      </c>
      <c r="T47" s="7"/>
    </row>
    <row r="48" spans="1:20" ht="20.100000000000001" customHeight="1" x14ac:dyDescent="0.25">
      <c r="D48" s="1" t="str">
        <f>TEXT(EDATE('Input - Site'!$E$12,6), "mmmm yyyy")</f>
        <v>July 2024</v>
      </c>
      <c r="E48" s="69">
        <v>100</v>
      </c>
      <c r="F48" s="69">
        <v>100</v>
      </c>
      <c r="G48" s="69">
        <v>100</v>
      </c>
      <c r="H48" s="69">
        <v>100</v>
      </c>
      <c r="I48" s="69">
        <v>100</v>
      </c>
      <c r="J48" s="69">
        <v>100</v>
      </c>
      <c r="K48" s="69">
        <v>100</v>
      </c>
      <c r="L48" s="69">
        <v>100</v>
      </c>
      <c r="M48" s="69">
        <v>100</v>
      </c>
      <c r="N48" s="69">
        <v>100</v>
      </c>
      <c r="O48" s="2" t="s">
        <v>104</v>
      </c>
      <c r="T48" s="7"/>
    </row>
    <row r="49" spans="4:20" ht="20.100000000000001" customHeight="1" x14ac:dyDescent="0.25">
      <c r="D49" s="1" t="str">
        <f>TEXT(EDATE('Input - Site'!$E$12,7), "mmmm yyyy")</f>
        <v>August 2024</v>
      </c>
      <c r="E49" s="69">
        <v>100</v>
      </c>
      <c r="F49" s="69">
        <v>100</v>
      </c>
      <c r="G49" s="69">
        <v>100</v>
      </c>
      <c r="H49" s="69">
        <v>100</v>
      </c>
      <c r="I49" s="69">
        <v>100</v>
      </c>
      <c r="J49" s="69">
        <v>100</v>
      </c>
      <c r="K49" s="69">
        <v>100</v>
      </c>
      <c r="L49" s="69">
        <v>100</v>
      </c>
      <c r="M49" s="69">
        <v>100</v>
      </c>
      <c r="N49" s="69">
        <v>100</v>
      </c>
      <c r="O49" s="2" t="s">
        <v>104</v>
      </c>
      <c r="T49" s="7"/>
    </row>
    <row r="50" spans="4:20" ht="20.100000000000001" customHeight="1" x14ac:dyDescent="0.25">
      <c r="D50" s="1" t="str">
        <f>TEXT(EDATE('Input - Site'!$E$12,8), "mmmm yyyy")</f>
        <v>September 2024</v>
      </c>
      <c r="E50" s="69">
        <v>100</v>
      </c>
      <c r="F50" s="69">
        <v>100</v>
      </c>
      <c r="G50" s="69">
        <v>100</v>
      </c>
      <c r="H50" s="69">
        <v>100</v>
      </c>
      <c r="I50" s="69">
        <v>100</v>
      </c>
      <c r="J50" s="69">
        <v>100</v>
      </c>
      <c r="K50" s="69">
        <v>100</v>
      </c>
      <c r="L50" s="69">
        <v>100</v>
      </c>
      <c r="M50" s="69">
        <v>100</v>
      </c>
      <c r="N50" s="69">
        <v>100</v>
      </c>
      <c r="O50" s="2" t="s">
        <v>104</v>
      </c>
      <c r="P50" s="3"/>
      <c r="T50" s="7"/>
    </row>
    <row r="51" spans="4:20" ht="20.100000000000001" customHeight="1" x14ac:dyDescent="0.25">
      <c r="D51" s="1" t="str">
        <f>TEXT(EDATE('Input - Site'!$E$12,9), "mmmm yyyy")</f>
        <v>October 2024</v>
      </c>
      <c r="E51" s="69">
        <v>100</v>
      </c>
      <c r="F51" s="69">
        <v>100</v>
      </c>
      <c r="G51" s="69">
        <v>100</v>
      </c>
      <c r="H51" s="69">
        <v>100</v>
      </c>
      <c r="I51" s="69">
        <v>100</v>
      </c>
      <c r="J51" s="69">
        <v>100</v>
      </c>
      <c r="K51" s="69">
        <v>100</v>
      </c>
      <c r="L51" s="69">
        <v>100</v>
      </c>
      <c r="M51" s="69">
        <v>100</v>
      </c>
      <c r="N51" s="69">
        <v>100</v>
      </c>
      <c r="O51" s="2" t="s">
        <v>104</v>
      </c>
      <c r="P51" s="3"/>
      <c r="T51" s="7"/>
    </row>
    <row r="52" spans="4:20" ht="20.100000000000001" customHeight="1" x14ac:dyDescent="0.25">
      <c r="D52" s="1" t="str">
        <f>TEXT(EDATE('Input - Site'!$E$12,10), "mmmm yyyy")</f>
        <v>November 2024</v>
      </c>
      <c r="E52" s="69">
        <v>100</v>
      </c>
      <c r="F52" s="69">
        <v>100</v>
      </c>
      <c r="G52" s="69">
        <v>100</v>
      </c>
      <c r="H52" s="69">
        <v>100</v>
      </c>
      <c r="I52" s="69">
        <v>100</v>
      </c>
      <c r="J52" s="69">
        <v>100</v>
      </c>
      <c r="K52" s="69">
        <v>100</v>
      </c>
      <c r="L52" s="69">
        <v>100</v>
      </c>
      <c r="M52" s="69">
        <v>100</v>
      </c>
      <c r="N52" s="69">
        <v>100</v>
      </c>
      <c r="O52" s="2" t="s">
        <v>104</v>
      </c>
      <c r="P52" s="3"/>
      <c r="T52" s="7"/>
    </row>
    <row r="53" spans="4:20" ht="20.100000000000001" customHeight="1" x14ac:dyDescent="0.25">
      <c r="D53" s="1" t="str">
        <f>TEXT(EDATE('Input - Site'!$E$12,11), "mmmm yyyy")</f>
        <v>December 2024</v>
      </c>
      <c r="E53" s="69">
        <v>100</v>
      </c>
      <c r="F53" s="69">
        <v>100</v>
      </c>
      <c r="G53" s="69">
        <v>100</v>
      </c>
      <c r="H53" s="69">
        <v>100</v>
      </c>
      <c r="I53" s="69">
        <v>100</v>
      </c>
      <c r="J53" s="69">
        <v>100</v>
      </c>
      <c r="K53" s="69">
        <v>100</v>
      </c>
      <c r="L53" s="69">
        <v>100</v>
      </c>
      <c r="M53" s="69">
        <v>100</v>
      </c>
      <c r="N53" s="69">
        <v>100</v>
      </c>
      <c r="O53" s="2" t="s">
        <v>104</v>
      </c>
      <c r="P53" s="3"/>
      <c r="T53" s="7"/>
    </row>
    <row r="54" spans="4:20" ht="20.100000000000001" customHeight="1" x14ac:dyDescent="0.25">
      <c r="P54" s="3"/>
      <c r="T54" s="7"/>
    </row>
    <row r="55" spans="4:20" ht="20.100000000000001" customHeight="1" x14ac:dyDescent="0.25">
      <c r="P55" s="3"/>
      <c r="T55" s="7"/>
    </row>
    <row r="56" spans="4:20" ht="20.100000000000001" customHeight="1" x14ac:dyDescent="0.25">
      <c r="D56" s="51" t="s">
        <v>199</v>
      </c>
      <c r="P56" s="3"/>
      <c r="T56" s="7"/>
    </row>
    <row r="57" spans="4:20" ht="20.100000000000001" customHeight="1" x14ac:dyDescent="0.25">
      <c r="D57" s="66" t="s">
        <v>362</v>
      </c>
      <c r="E57" s="66" t="s">
        <v>178</v>
      </c>
      <c r="F57" s="66" t="s">
        <v>177</v>
      </c>
      <c r="G57" s="66" t="s">
        <v>348</v>
      </c>
      <c r="H57" s="66" t="s">
        <v>349</v>
      </c>
      <c r="I57" s="66" t="s">
        <v>350</v>
      </c>
      <c r="J57" s="66" t="s">
        <v>351</v>
      </c>
      <c r="K57" s="66" t="s">
        <v>352</v>
      </c>
      <c r="L57" s="66" t="s">
        <v>353</v>
      </c>
      <c r="M57" s="66" t="s">
        <v>354</v>
      </c>
      <c r="N57" s="66" t="s">
        <v>355</v>
      </c>
      <c r="P57" s="3"/>
      <c r="T57" s="7"/>
    </row>
    <row r="58" spans="4:20" ht="20.100000000000001" customHeight="1" x14ac:dyDescent="0.25">
      <c r="D58" s="1" t="s">
        <v>357</v>
      </c>
      <c r="E58" s="55" cm="1">
        <f t="array" ref="E58">InputFunctions_PastureBeef.LookupLiveweightFromSeason($E$7,$E$8,$D58,E$57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58" s="55" cm="1">
        <f t="array" ref="F58">InputFunctions_PastureBeef.LookupLiveweightFromSeason($E$7,$E$8,$D58,F$57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58" s="55" cm="1">
        <f t="array" ref="G58">InputFunctions_PastureBeef.LookupLiveweightFromSeason($E$7,$E$8,$D58,G$57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58" s="55" cm="1">
        <f t="array" ref="H58">InputFunctions_PastureBeef.LookupLiveweightFromSeason($E$7,$E$8,$D58,H$57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58" s="55" cm="1">
        <f t="array" ref="I58">InputFunctions_PastureBeef.LookupLiveweightFromSeason($E$7,$E$8,$D58,I$57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58" s="55" cm="1">
        <f t="array" ref="J58">InputFunctions_PastureBeef.LookupLiveweightFromSeason($E$7,$E$8,$D58,J$57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58" s="55" cm="1">
        <f t="array" ref="K58">InputFunctions_PastureBeef.LookupLiveweightFromSeason($E$7,$E$8,$D58,K$57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58" s="55" cm="1">
        <f t="array" ref="L58">InputFunctions_PastureBeef.LookupLiveweightFromSeason($E$7,$E$8,$D58,L$57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58" s="55" cm="1">
        <f t="array" ref="M58">InputFunctions_PastureBeef.LookupLiveweightFromSeason($E$7,$E$8,$D58,M$57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58" s="55" cm="1">
        <f t="array" ref="N58">InputFunctions_PastureBeef.LookupLiveweightFromSeason($E$7,$E$8,$D58,N$57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58" s="2" t="s">
        <v>180</v>
      </c>
      <c r="P58" s="3"/>
      <c r="T58" s="7"/>
    </row>
    <row r="59" spans="4:20" ht="20.100000000000001" customHeight="1" x14ac:dyDescent="0.25">
      <c r="D59" s="1" t="s">
        <v>358</v>
      </c>
      <c r="E59" s="55" cm="1">
        <f t="array" ref="E59">InputFunctions_PastureBeef.LookupLiveweightFromSeason($E$7,$E$8,$D59,E$57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59" s="55" cm="1">
        <f t="array" ref="F59">InputFunctions_PastureBeef.LookupLiveweightFromSeason($E$7,$E$8,$D59,F$57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59" s="55" cm="1">
        <f t="array" ref="G59">InputFunctions_PastureBeef.LookupLiveweightFromSeason($E$7,$E$8,$D59,G$57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59" s="55" cm="1">
        <f t="array" ref="H59">InputFunctions_PastureBeef.LookupLiveweightFromSeason($E$7,$E$8,$D59,H$57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59" s="55" cm="1">
        <f t="array" ref="I59">InputFunctions_PastureBeef.LookupLiveweightFromSeason($E$7,$E$8,$D59,I$57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59" s="55" cm="1">
        <f t="array" ref="J59">InputFunctions_PastureBeef.LookupLiveweightFromSeason($E$7,$E$8,$D59,J$57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59" s="55" cm="1">
        <f t="array" ref="K59">InputFunctions_PastureBeef.LookupLiveweightFromSeason($E$7,$E$8,$D59,K$57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59" s="55" cm="1">
        <f t="array" ref="L59">InputFunctions_PastureBeef.LookupLiveweightFromSeason($E$7,$E$8,$D59,L$57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59" s="55" cm="1">
        <f t="array" ref="M59">InputFunctions_PastureBeef.LookupLiveweightFromSeason($E$7,$E$8,$D59,M$57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59" s="55" cm="1">
        <f t="array" ref="N59">InputFunctions_PastureBeef.LookupLiveweightFromSeason($E$7,$E$8,$D59,N$57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59" s="2" t="s">
        <v>180</v>
      </c>
      <c r="P59" s="3"/>
      <c r="T59" s="7"/>
    </row>
    <row r="60" spans="4:20" ht="20.100000000000001" customHeight="1" x14ac:dyDescent="0.25">
      <c r="D60" s="1" t="s">
        <v>359</v>
      </c>
      <c r="E60" s="55" cm="1">
        <f t="array" ref="E60">InputFunctions_PastureBeef.LookupLiveweightFromSeason($E$7,$E$8,$D60,E$57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0" s="55" cm="1">
        <f t="array" ref="F60">InputFunctions_PastureBeef.LookupLiveweightFromSeason($E$7,$E$8,$D60,F$57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0" s="55" cm="1">
        <f t="array" ref="G60">InputFunctions_PastureBeef.LookupLiveweightFromSeason($E$7,$E$8,$D60,G$57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0" s="55" cm="1">
        <f t="array" ref="H60">InputFunctions_PastureBeef.LookupLiveweightFromSeason($E$7,$E$8,$D60,H$57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0" s="55" cm="1">
        <f t="array" ref="I60">InputFunctions_PastureBeef.LookupLiveweightFromSeason($E$7,$E$8,$D60,I$57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0" s="55" cm="1">
        <f t="array" ref="J60">InputFunctions_PastureBeef.LookupLiveweightFromSeason($E$7,$E$8,$D60,J$57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0" s="55" cm="1">
        <f t="array" ref="K60">InputFunctions_PastureBeef.LookupLiveweightFromSeason($E$7,$E$8,$D60,K$57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0" s="55" cm="1">
        <f t="array" ref="L60">InputFunctions_PastureBeef.LookupLiveweightFromSeason($E$7,$E$8,$D60,L$57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0" s="55" cm="1">
        <f t="array" ref="M60">InputFunctions_PastureBeef.LookupLiveweightFromSeason($E$7,$E$8,$D60,M$57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0" s="55" cm="1">
        <f t="array" ref="N60">InputFunctions_PastureBeef.LookupLiveweightFromSeason($E$7,$E$8,$D60,N$57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0" s="2" t="s">
        <v>180</v>
      </c>
      <c r="P60" s="3"/>
      <c r="T60" s="7"/>
    </row>
    <row r="61" spans="4:20" ht="20.100000000000001" customHeight="1" x14ac:dyDescent="0.25">
      <c r="D61" s="1" t="s">
        <v>356</v>
      </c>
      <c r="E61" s="55" cm="1">
        <f t="array" ref="E61">InputFunctions_PastureBeef.LookupLiveweightFromSeason($E$7,$E$8,$D61,E$57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5" cm="1">
        <f t="array" ref="F61">InputFunctions_PastureBeef.LookupLiveweightFromSeason($E$7,$E$8,$D61,F$57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5" cm="1">
        <f t="array" ref="G61">InputFunctions_PastureBeef.LookupLiveweightFromSeason($E$7,$E$8,$D61,G$57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5" cm="1">
        <f t="array" ref="H61">InputFunctions_PastureBeef.LookupLiveweightFromSeason($E$7,$E$8,$D61,H$57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5" cm="1">
        <f t="array" ref="I61">InputFunctions_PastureBeef.LookupLiveweightFromSeason($E$7,$E$8,$D61,I$57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5" cm="1">
        <f t="array" ref="J61">InputFunctions_PastureBeef.LookupLiveweightFromSeason($E$7,$E$8,$D61,J$57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5" cm="1">
        <f t="array" ref="K61">InputFunctions_PastureBeef.LookupLiveweightFromSeason($E$7,$E$8,$D61,K$57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5" cm="1">
        <f t="array" ref="L61">InputFunctions_PastureBeef.LookupLiveweightFromSeason($E$7,$E$8,$D61,L$57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5" cm="1">
        <f t="array" ref="M61">InputFunctions_PastureBeef.LookupLiveweightFromSeason($E$7,$E$8,$D61,M$57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5" cm="1">
        <f t="array" ref="N61">InputFunctions_PastureBeef.LookupLiveweightFromSeason($E$7,$E$8,$D61,N$57,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180</v>
      </c>
      <c r="P61" s="3"/>
      <c r="T61" s="7"/>
    </row>
    <row r="62" spans="4:20" ht="20.100000000000001" customHeight="1" x14ac:dyDescent="0.25">
      <c r="O62" s="2"/>
      <c r="P62" s="3"/>
      <c r="T62" s="7"/>
    </row>
    <row r="63" spans="4:20" ht="20.100000000000001" customHeight="1" x14ac:dyDescent="0.25">
      <c r="D63" s="66" t="s">
        <v>363</v>
      </c>
      <c r="E63" s="66" t="s">
        <v>178</v>
      </c>
      <c r="F63" s="66" t="s">
        <v>177</v>
      </c>
      <c r="G63" s="66" t="s">
        <v>348</v>
      </c>
      <c r="H63" s="66" t="s">
        <v>349</v>
      </c>
      <c r="I63" s="66" t="s">
        <v>350</v>
      </c>
      <c r="J63" s="66" t="s">
        <v>351</v>
      </c>
      <c r="K63" s="66" t="s">
        <v>352</v>
      </c>
      <c r="L63" s="66" t="s">
        <v>353</v>
      </c>
      <c r="M63" s="66" t="s">
        <v>354</v>
      </c>
      <c r="N63" s="66" t="s">
        <v>355</v>
      </c>
      <c r="O63" s="2"/>
      <c r="P63" s="3"/>
      <c r="T63" s="7"/>
    </row>
    <row r="64" spans="4:20" ht="20.100000000000001" customHeight="1" x14ac:dyDescent="0.25">
      <c r="D64" s="1" t="str">
        <f>TEXT('Input - Site'!$E$12, "mmmm yyyy")</f>
        <v>January 2024</v>
      </c>
      <c r="E64" s="69" cm="1">
        <f t="array" ref="E64">InputFunctions_PastureBeef.LookupLiveweightFromMonth($E$7,$E$8,$D64,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4" s="69" cm="1">
        <f t="array" ref="F64">InputFunctions_PastureBeef.LookupLiveweightFromMonth($E$7,$E$8,$D64,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4" s="69" cm="1">
        <f t="array" ref="G64">InputFunctions_PastureBeef.LookupLiveweightFromMonth($E$7,$E$8,$D64,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4" s="69" cm="1">
        <f t="array" ref="H64">InputFunctions_PastureBeef.LookupLiveweightFromMonth($E$7,$E$8,$D64,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4" s="69" cm="1">
        <f t="array" ref="I64">InputFunctions_PastureBeef.LookupLiveweightFromMonth($E$7,$E$8,$D64,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4" s="69" cm="1">
        <f t="array" ref="J64">InputFunctions_PastureBeef.LookupLiveweightFromMonth($E$7,$E$8,$D64,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4" s="69" cm="1">
        <f t="array" ref="K64">InputFunctions_PastureBeef.LookupLiveweightFromMonth($E$7,$E$8,$D64,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4" s="69" cm="1">
        <f t="array" ref="L64">InputFunctions_PastureBeef.LookupLiveweightFromMonth($E$7,$E$8,$D64,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4" s="69" cm="1">
        <f t="array" ref="M64">InputFunctions_PastureBeef.LookupLiveweightFromMonth($E$7,$E$8,$D64,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4" s="69" cm="1">
        <f t="array" ref="N64">InputFunctions_PastureBeef.LookupLiveweightFromMonth($E$7,$E$8,$D64,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4" s="2" t="s">
        <v>180</v>
      </c>
      <c r="P64" s="3"/>
      <c r="T64" s="7"/>
    </row>
    <row r="65" spans="4:20" ht="20.100000000000001" customHeight="1" x14ac:dyDescent="0.25">
      <c r="D65" s="1" t="str">
        <f>TEXT(EDATE('Input - Site'!$E$12,1), "mmmm yyyy")</f>
        <v>February 2024</v>
      </c>
      <c r="E65" s="69" cm="1">
        <f t="array" ref="E65">InputFunctions_PastureBeef.LookupLiveweightFromMonth($E$7,$E$8,$D65,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5" s="69" cm="1">
        <f t="array" ref="F65">InputFunctions_PastureBeef.LookupLiveweightFromMonth($E$7,$E$8,$D65,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5" s="69" cm="1">
        <f t="array" ref="G65">InputFunctions_PastureBeef.LookupLiveweightFromMonth($E$7,$E$8,$D65,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5" s="69" cm="1">
        <f t="array" ref="H65">InputFunctions_PastureBeef.LookupLiveweightFromMonth($E$7,$E$8,$D65,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5" s="69" cm="1">
        <f t="array" ref="I65">InputFunctions_PastureBeef.LookupLiveweightFromMonth($E$7,$E$8,$D65,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5" s="69" cm="1">
        <f t="array" ref="J65">InputFunctions_PastureBeef.LookupLiveweightFromMonth($E$7,$E$8,$D65,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5" s="69" cm="1">
        <f t="array" ref="K65">InputFunctions_PastureBeef.LookupLiveweightFromMonth($E$7,$E$8,$D65,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5" s="69" cm="1">
        <f t="array" ref="L65">InputFunctions_PastureBeef.LookupLiveweightFromMonth($E$7,$E$8,$D65,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5" s="69" cm="1">
        <f t="array" ref="M65">InputFunctions_PastureBeef.LookupLiveweightFromMonth($E$7,$E$8,$D65,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5" s="69" cm="1">
        <f t="array" ref="N65">InputFunctions_PastureBeef.LookupLiveweightFromMonth($E$7,$E$8,$D65,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5" s="2" t="s">
        <v>180</v>
      </c>
      <c r="P65" s="3"/>
      <c r="T65" s="7"/>
    </row>
    <row r="66" spans="4:20" ht="20.100000000000001" customHeight="1" x14ac:dyDescent="0.25">
      <c r="D66" s="1" t="str">
        <f>TEXT(EDATE('Input - Site'!$E$12,2), "mmmm yyyy")</f>
        <v>March 2024</v>
      </c>
      <c r="E66" s="69" cm="1">
        <f t="array" ref="E66">InputFunctions_PastureBeef.LookupLiveweightFromMonth($E$7,$E$8,$D66,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6" s="69" cm="1">
        <f t="array" ref="F66">InputFunctions_PastureBeef.LookupLiveweightFromMonth($E$7,$E$8,$D66,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6" s="69" cm="1">
        <f t="array" ref="G66">InputFunctions_PastureBeef.LookupLiveweightFromMonth($E$7,$E$8,$D66,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6" s="69" cm="1">
        <f t="array" ref="H66">InputFunctions_PastureBeef.LookupLiveweightFromMonth($E$7,$E$8,$D66,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6" s="69" cm="1">
        <f t="array" ref="I66">InputFunctions_PastureBeef.LookupLiveweightFromMonth($E$7,$E$8,$D66,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6" s="69" cm="1">
        <f t="array" ref="J66">InputFunctions_PastureBeef.LookupLiveweightFromMonth($E$7,$E$8,$D66,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6" s="69" cm="1">
        <f t="array" ref="K66">InputFunctions_PastureBeef.LookupLiveweightFromMonth($E$7,$E$8,$D66,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6" s="69" cm="1">
        <f t="array" ref="L66">InputFunctions_PastureBeef.LookupLiveweightFromMonth($E$7,$E$8,$D66,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6" s="69" cm="1">
        <f t="array" ref="M66">InputFunctions_PastureBeef.LookupLiveweightFromMonth($E$7,$E$8,$D66,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6" s="69" cm="1">
        <f t="array" ref="N66">InputFunctions_PastureBeef.LookupLiveweightFromMonth($E$7,$E$8,$D66,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6" s="2" t="s">
        <v>180</v>
      </c>
      <c r="P66" s="3"/>
      <c r="T66" s="7"/>
    </row>
    <row r="67" spans="4:20" ht="20.100000000000001" customHeight="1" x14ac:dyDescent="0.25">
      <c r="D67" s="1" t="str">
        <f>TEXT(EDATE('Input - Site'!$E$12,3), "mmmm yyyy")</f>
        <v>April 2024</v>
      </c>
      <c r="E67" s="69" cm="1">
        <f t="array" ref="E67">InputFunctions_PastureBeef.LookupLiveweightFromMonth($E$7,$E$8,$D67,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7" s="69" cm="1">
        <f t="array" ref="F67">InputFunctions_PastureBeef.LookupLiveweightFromMonth($E$7,$E$8,$D67,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7" s="69" cm="1">
        <f t="array" ref="G67">InputFunctions_PastureBeef.LookupLiveweightFromMonth($E$7,$E$8,$D67,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7" s="69" cm="1">
        <f t="array" ref="H67">InputFunctions_PastureBeef.LookupLiveweightFromMonth($E$7,$E$8,$D67,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7" s="69" cm="1">
        <f t="array" ref="I67">InputFunctions_PastureBeef.LookupLiveweightFromMonth($E$7,$E$8,$D67,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7" s="69" cm="1">
        <f t="array" ref="J67">InputFunctions_PastureBeef.LookupLiveweightFromMonth($E$7,$E$8,$D67,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7" s="69" cm="1">
        <f t="array" ref="K67">InputFunctions_PastureBeef.LookupLiveweightFromMonth($E$7,$E$8,$D67,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7" s="69" cm="1">
        <f t="array" ref="L67">InputFunctions_PastureBeef.LookupLiveweightFromMonth($E$7,$E$8,$D67,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7" s="69" cm="1">
        <f t="array" ref="M67">InputFunctions_PastureBeef.LookupLiveweightFromMonth($E$7,$E$8,$D67,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7" s="69" cm="1">
        <f t="array" ref="N67">InputFunctions_PastureBeef.LookupLiveweightFromMonth($E$7,$E$8,$D67,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7" s="2" t="s">
        <v>180</v>
      </c>
      <c r="P67" s="3"/>
      <c r="T67" s="7"/>
    </row>
    <row r="68" spans="4:20" ht="20.100000000000001" customHeight="1" x14ac:dyDescent="0.25">
      <c r="D68" s="1" t="str">
        <f>TEXT(EDATE('Input - Site'!$E$12,4), "mmmm yyyy")</f>
        <v>May 2024</v>
      </c>
      <c r="E68" s="69" cm="1">
        <f t="array" ref="E68">InputFunctions_PastureBeef.LookupLiveweightFromMonth($E$7,$E$8,$D68,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9" cm="1">
        <f t="array" ref="F68">InputFunctions_PastureBeef.LookupLiveweightFromMonth($E$7,$E$8,$D68,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9" cm="1">
        <f t="array" ref="G68">InputFunctions_PastureBeef.LookupLiveweightFromMonth($E$7,$E$8,$D68,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9" cm="1">
        <f t="array" ref="H68">InputFunctions_PastureBeef.LookupLiveweightFromMonth($E$7,$E$8,$D68,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9" cm="1">
        <f t="array" ref="I68">InputFunctions_PastureBeef.LookupLiveweightFromMonth($E$7,$E$8,$D68,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9" cm="1">
        <f t="array" ref="J68">InputFunctions_PastureBeef.LookupLiveweightFromMonth($E$7,$E$8,$D68,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9" cm="1">
        <f t="array" ref="K68">InputFunctions_PastureBeef.LookupLiveweightFromMonth($E$7,$E$8,$D68,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9" cm="1">
        <f t="array" ref="L68">InputFunctions_PastureBeef.LookupLiveweightFromMonth($E$7,$E$8,$D68,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9" cm="1">
        <f t="array" ref="M68">InputFunctions_PastureBeef.LookupLiveweightFromMonth($E$7,$E$8,$D68,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9" cm="1">
        <f t="array" ref="N68">InputFunctions_PastureBeef.LookupLiveweightFromMonth($E$7,$E$8,$D68,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180</v>
      </c>
      <c r="P68" s="3"/>
      <c r="T68" s="7"/>
    </row>
    <row r="69" spans="4:20" ht="20.100000000000001" customHeight="1" x14ac:dyDescent="0.25">
      <c r="D69" s="1" t="str">
        <f>TEXT(EDATE('Input - Site'!$E$12,5), "mmmm yyyy")</f>
        <v>June 2024</v>
      </c>
      <c r="E69" s="69" cm="1">
        <f t="array" ref="E69">InputFunctions_PastureBeef.LookupLiveweightFromMonth($E$7,$E$8,$D69,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69" s="69" cm="1">
        <f t="array" ref="F69">InputFunctions_PastureBeef.LookupLiveweightFromMonth($E$7,$E$8,$D69,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69" s="69" cm="1">
        <f t="array" ref="G69">InputFunctions_PastureBeef.LookupLiveweightFromMonth($E$7,$E$8,$D69,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69" s="69" cm="1">
        <f t="array" ref="H69">InputFunctions_PastureBeef.LookupLiveweightFromMonth($E$7,$E$8,$D69,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69" s="69" cm="1">
        <f t="array" ref="I69">InputFunctions_PastureBeef.LookupLiveweightFromMonth($E$7,$E$8,$D69,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69" s="69" cm="1">
        <f t="array" ref="J69">InputFunctions_PastureBeef.LookupLiveweightFromMonth($E$7,$E$8,$D69,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69" s="69" cm="1">
        <f t="array" ref="K69">InputFunctions_PastureBeef.LookupLiveweightFromMonth($E$7,$E$8,$D69,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69" s="69" cm="1">
        <f t="array" ref="L69">InputFunctions_PastureBeef.LookupLiveweightFromMonth($E$7,$E$8,$D69,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69" s="69" cm="1">
        <f t="array" ref="M69">InputFunctions_PastureBeef.LookupLiveweightFromMonth($E$7,$E$8,$D69,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69" s="69" cm="1">
        <f t="array" ref="N69">InputFunctions_PastureBeef.LookupLiveweightFromMonth($E$7,$E$8,$D69,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69" s="2" t="s">
        <v>180</v>
      </c>
      <c r="P69" s="3"/>
      <c r="T69" s="7"/>
    </row>
    <row r="70" spans="4:20" ht="20.100000000000001" customHeight="1" x14ac:dyDescent="0.25">
      <c r="D70" s="1" t="str">
        <f>TEXT(EDATE('Input - Site'!$E$12,6), "mmmm yyyy")</f>
        <v>July 2024</v>
      </c>
      <c r="E70" s="69" cm="1">
        <f t="array" ref="E70">InputFunctions_PastureBeef.LookupLiveweightFromMonth($E$7,$E$8,$D70,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0" s="69" cm="1">
        <f t="array" ref="F70">InputFunctions_PastureBeef.LookupLiveweightFromMonth($E$7,$E$8,$D70,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0" s="69" cm="1">
        <f t="array" ref="G70">InputFunctions_PastureBeef.LookupLiveweightFromMonth($E$7,$E$8,$D70,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0" s="69" cm="1">
        <f t="array" ref="H70">InputFunctions_PastureBeef.LookupLiveweightFromMonth($E$7,$E$8,$D70,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0" s="69" cm="1">
        <f t="array" ref="I70">InputFunctions_PastureBeef.LookupLiveweightFromMonth($E$7,$E$8,$D70,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0" s="69" cm="1">
        <f t="array" ref="J70">InputFunctions_PastureBeef.LookupLiveweightFromMonth($E$7,$E$8,$D70,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0" s="69" cm="1">
        <f t="array" ref="K70">InputFunctions_PastureBeef.LookupLiveweightFromMonth($E$7,$E$8,$D70,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0" s="69" cm="1">
        <f t="array" ref="L70">InputFunctions_PastureBeef.LookupLiveweightFromMonth($E$7,$E$8,$D70,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0" s="69" cm="1">
        <f t="array" ref="M70">InputFunctions_PastureBeef.LookupLiveweightFromMonth($E$7,$E$8,$D70,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0" s="69" cm="1">
        <f t="array" ref="N70">InputFunctions_PastureBeef.LookupLiveweightFromMonth($E$7,$E$8,$D70,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0" s="2" t="s">
        <v>180</v>
      </c>
      <c r="P70" s="3"/>
      <c r="T70" s="7"/>
    </row>
    <row r="71" spans="4:20" ht="20.100000000000001" customHeight="1" x14ac:dyDescent="0.25">
      <c r="D71" s="1" t="str">
        <f>TEXT(EDATE('Input - Site'!$E$12,7), "mmmm yyyy")</f>
        <v>August 2024</v>
      </c>
      <c r="E71" s="69" cm="1">
        <f t="array" ref="E71">InputFunctions_PastureBeef.LookupLiveweightFromMonth($E$7,$E$8,$D71,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9" cm="1">
        <f t="array" ref="F71">InputFunctions_PastureBeef.LookupLiveweightFromMonth($E$7,$E$8,$D71,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9" cm="1">
        <f t="array" ref="G71">InputFunctions_PastureBeef.LookupLiveweightFromMonth($E$7,$E$8,$D71,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9" cm="1">
        <f t="array" ref="H71">InputFunctions_PastureBeef.LookupLiveweightFromMonth($E$7,$E$8,$D71,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9" cm="1">
        <f t="array" ref="I71">InputFunctions_PastureBeef.LookupLiveweightFromMonth($E$7,$E$8,$D71,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9" cm="1">
        <f t="array" ref="J71">InputFunctions_PastureBeef.LookupLiveweightFromMonth($E$7,$E$8,$D71,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9" cm="1">
        <f t="array" ref="K71">InputFunctions_PastureBeef.LookupLiveweightFromMonth($E$7,$E$8,$D71,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9" cm="1">
        <f t="array" ref="L71">InputFunctions_PastureBeef.LookupLiveweightFromMonth($E$7,$E$8,$D71,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9" cm="1">
        <f t="array" ref="M71">InputFunctions_PastureBeef.LookupLiveweightFromMonth($E$7,$E$8,$D71,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9" cm="1">
        <f t="array" ref="N71">InputFunctions_PastureBeef.LookupLiveweightFromMonth($E$7,$E$8,$D71,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180</v>
      </c>
      <c r="P71" s="3"/>
      <c r="T71" s="7"/>
    </row>
    <row r="72" spans="4:20" ht="20.100000000000001" customHeight="1" x14ac:dyDescent="0.25">
      <c r="D72" s="1" t="str">
        <f>TEXT(EDATE('Input - Site'!$E$12,8), "mmmm yyyy")</f>
        <v>September 2024</v>
      </c>
      <c r="E72" s="69" cm="1">
        <f t="array" ref="E72">InputFunctions_PastureBeef.LookupLiveweightFromMonth($E$7,$E$8,$D72,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2" s="69" cm="1">
        <f t="array" ref="F72">InputFunctions_PastureBeef.LookupLiveweightFromMonth($E$7,$E$8,$D72,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2" s="69" cm="1">
        <f t="array" ref="G72">InputFunctions_PastureBeef.LookupLiveweightFromMonth($E$7,$E$8,$D72,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2" s="69" cm="1">
        <f t="array" ref="H72">InputFunctions_PastureBeef.LookupLiveweightFromMonth($E$7,$E$8,$D72,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2" s="69" cm="1">
        <f t="array" ref="I72">InputFunctions_PastureBeef.LookupLiveweightFromMonth($E$7,$E$8,$D72,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2" s="69" cm="1">
        <f t="array" ref="J72">InputFunctions_PastureBeef.LookupLiveweightFromMonth($E$7,$E$8,$D72,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2" s="69" cm="1">
        <f t="array" ref="K72">InputFunctions_PastureBeef.LookupLiveweightFromMonth($E$7,$E$8,$D72,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2" s="69" cm="1">
        <f t="array" ref="L72">InputFunctions_PastureBeef.LookupLiveweightFromMonth($E$7,$E$8,$D72,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2" s="69" cm="1">
        <f t="array" ref="M72">InputFunctions_PastureBeef.LookupLiveweightFromMonth($E$7,$E$8,$D72,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2" s="69" cm="1">
        <f t="array" ref="N72">InputFunctions_PastureBeef.LookupLiveweightFromMonth($E$7,$E$8,$D72,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2" s="2" t="s">
        <v>180</v>
      </c>
      <c r="T72" s="7"/>
    </row>
    <row r="73" spans="4:20" ht="20.100000000000001" customHeight="1" x14ac:dyDescent="0.25">
      <c r="D73" s="1" t="str">
        <f>TEXT(EDATE('Input - Site'!$E$12,9), "mmmm yyyy")</f>
        <v>October 2024</v>
      </c>
      <c r="E73" s="69" cm="1">
        <f t="array" ref="E73">InputFunctions_PastureBeef.LookupLiveweightFromMonth($E$7,$E$8,$D73,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3" s="69" cm="1">
        <f t="array" ref="F73">InputFunctions_PastureBeef.LookupLiveweightFromMonth($E$7,$E$8,$D73,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3" s="69" cm="1">
        <f t="array" ref="G73">InputFunctions_PastureBeef.LookupLiveweightFromMonth($E$7,$E$8,$D73,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3" s="69" cm="1">
        <f t="array" ref="H73">InputFunctions_PastureBeef.LookupLiveweightFromMonth($E$7,$E$8,$D73,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3" s="69" cm="1">
        <f t="array" ref="I73">InputFunctions_PastureBeef.LookupLiveweightFromMonth($E$7,$E$8,$D73,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3" s="69" cm="1">
        <f t="array" ref="J73">InputFunctions_PastureBeef.LookupLiveweightFromMonth($E$7,$E$8,$D73,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3" s="69" cm="1">
        <f t="array" ref="K73">InputFunctions_PastureBeef.LookupLiveweightFromMonth($E$7,$E$8,$D73,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3" s="69" cm="1">
        <f t="array" ref="L73">InputFunctions_PastureBeef.LookupLiveweightFromMonth($E$7,$E$8,$D73,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3" s="69" cm="1">
        <f t="array" ref="M73">InputFunctions_PastureBeef.LookupLiveweightFromMonth($E$7,$E$8,$D73,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3" s="69" cm="1">
        <f t="array" ref="N73">InputFunctions_PastureBeef.LookupLiveweightFromMonth($E$7,$E$8,$D73,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3" s="2" t="s">
        <v>180</v>
      </c>
      <c r="T73" s="7"/>
    </row>
    <row r="74" spans="4:20" ht="20.100000000000001" customHeight="1" x14ac:dyDescent="0.25">
      <c r="D74" s="1" t="str">
        <f>TEXT(EDATE('Input - Site'!$E$12,10), "mmmm yyyy")</f>
        <v>November 2024</v>
      </c>
      <c r="E74" s="69" cm="1">
        <f t="array" ref="E74">InputFunctions_PastureBeef.LookupLiveweightFromMonth($E$7,$E$8,$D74,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9" cm="1">
        <f t="array" ref="F74">InputFunctions_PastureBeef.LookupLiveweightFromMonth($E$7,$E$8,$D74,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9" cm="1">
        <f t="array" ref="G74">InputFunctions_PastureBeef.LookupLiveweightFromMonth($E$7,$E$8,$D74,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9" cm="1">
        <f t="array" ref="H74">InputFunctions_PastureBeef.LookupLiveweightFromMonth($E$7,$E$8,$D74,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9" cm="1">
        <f t="array" ref="I74">InputFunctions_PastureBeef.LookupLiveweightFromMonth($E$7,$E$8,$D74,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9" cm="1">
        <f t="array" ref="J74">InputFunctions_PastureBeef.LookupLiveweightFromMonth($E$7,$E$8,$D74,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9" cm="1">
        <f t="array" ref="K74">InputFunctions_PastureBeef.LookupLiveweightFromMonth($E$7,$E$8,$D74,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9" cm="1">
        <f t="array" ref="L74">InputFunctions_PastureBeef.LookupLiveweightFromMonth($E$7,$E$8,$D74,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9" cm="1">
        <f t="array" ref="M74">InputFunctions_PastureBeef.LookupLiveweightFromMonth($E$7,$E$8,$D74,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9" cm="1">
        <f t="array" ref="N74">InputFunctions_PastureBeef.LookupLiveweightFromMonth($E$7,$E$8,$D74,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180</v>
      </c>
      <c r="T74" s="7"/>
    </row>
    <row r="75" spans="4:20" ht="20.100000000000001" customHeight="1" x14ac:dyDescent="0.25">
      <c r="D75" s="1" t="str">
        <f>TEXT(EDATE('Input - Site'!$E$12,11), "mmmm yyyy")</f>
        <v>December 2024</v>
      </c>
      <c r="E75" s="69" cm="1">
        <f t="array" ref="E75">InputFunctions_PastureBeef.LookupLiveweightFromMonth($E$7,$E$8,$D75,E$63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5" s="69" cm="1">
        <f t="array" ref="F75">InputFunctions_PastureBeef.LookupLiveweightFromMonth($E$7,$E$8,$D75,F$63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5" s="69" cm="1">
        <f t="array" ref="G75">InputFunctions_PastureBeef.LookupLiveweightFromMonth($E$7,$E$8,$D75,G$63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5" s="69" cm="1">
        <f t="array" ref="H75">InputFunctions_PastureBeef.LookupLiveweightFromMonth($E$7,$E$8,$D75,H$63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5" s="69" cm="1">
        <f t="array" ref="I75">InputFunctions_PastureBeef.LookupLiveweightFromMonth($E$7,$E$8,$D75,I$63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5" s="69" cm="1">
        <f t="array" ref="J75">InputFunctions_PastureBeef.LookupLiveweightFromMonth($E$7,$E$8,$D75,J$63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5" s="69" cm="1">
        <f t="array" ref="K75">InputFunctions_PastureBeef.LookupLiveweightFromMonth($E$7,$E$8,$D75,K$63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5" s="69" cm="1">
        <f t="array" ref="L75">InputFunctions_PastureBeef.LookupLiveweightFromMonth($E$7,$E$8,$D75,L$63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5" s="69" cm="1">
        <f t="array" ref="M75">InputFunctions_PastureBeef.LookupLiveweightFromMonth($E$7,$E$8,$D75,M$63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5" s="69" cm="1">
        <f t="array" ref="N75">InputFunctions_PastureBeef.LookupLiveweightFromMonth($E$7,$E$8,$D75,N$63,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5" s="2" t="s">
        <v>180</v>
      </c>
      <c r="T75" s="7"/>
    </row>
    <row r="76" spans="4:20" ht="20.100000000000001" customHeight="1" x14ac:dyDescent="0.25">
      <c r="T76" s="7"/>
    </row>
    <row r="77" spans="4:20" ht="20.100000000000001" customHeight="1" x14ac:dyDescent="0.25">
      <c r="T77" s="7"/>
    </row>
    <row r="78" spans="4:20" ht="20.100000000000001" customHeight="1" x14ac:dyDescent="0.25">
      <c r="D78" s="51" t="s">
        <v>360</v>
      </c>
      <c r="T78" s="7"/>
    </row>
    <row r="79" spans="4:20" ht="20.100000000000001" customHeight="1" x14ac:dyDescent="0.25">
      <c r="D79" s="66" t="s">
        <v>362</v>
      </c>
      <c r="E79" s="66" t="s">
        <v>178</v>
      </c>
      <c r="F79" s="66" t="s">
        <v>177</v>
      </c>
      <c r="G79" s="66" t="s">
        <v>348</v>
      </c>
      <c r="H79" s="66" t="s">
        <v>349</v>
      </c>
      <c r="I79" s="66" t="s">
        <v>350</v>
      </c>
      <c r="J79" s="66" t="s">
        <v>351</v>
      </c>
      <c r="K79" s="66" t="s">
        <v>352</v>
      </c>
      <c r="L79" s="66" t="s">
        <v>353</v>
      </c>
      <c r="M79" s="66" t="s">
        <v>354</v>
      </c>
      <c r="N79" s="66" t="s">
        <v>355</v>
      </c>
      <c r="T79" s="7"/>
    </row>
    <row r="80" spans="4:20" ht="20.100000000000001" customHeight="1" x14ac:dyDescent="0.25">
      <c r="D80" s="1" t="s">
        <v>357</v>
      </c>
      <c r="E80" s="55" cm="1">
        <f t="array" ref="E80">InputFunctions_PastureBeef.LookupLiveweightFromSeason($E$7,$E$8,$D80,E$79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0" s="55" cm="1">
        <f t="array" ref="F80">InputFunctions_PastureBeef.LookupLiveweightFromSeason($E$7,$E$8,$D80,F$79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0" s="55" cm="1">
        <f t="array" ref="G80">InputFunctions_PastureBeef.LookupLiveweightFromSeason($E$7,$E$8,$D80,G$79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0" s="55" cm="1">
        <f t="array" ref="H80">InputFunctions_PastureBeef.LookupLiveweightFromSeason($E$7,$E$8,$D80,H$79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0" s="55" cm="1">
        <f t="array" ref="I80">InputFunctions_PastureBeef.LookupLiveweightFromSeason($E$7,$E$8,$D80,I$79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0" s="55" cm="1">
        <f t="array" ref="J80">InputFunctions_PastureBeef.LookupLiveweightFromSeason($E$7,$E$8,$D80,J$79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0" s="55" cm="1">
        <f t="array" ref="K80">InputFunctions_PastureBeef.LookupLiveweightFromSeason($E$7,$E$8,$D80,K$79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0" s="55" cm="1">
        <f t="array" ref="L80">InputFunctions_PastureBeef.LookupLiveweightFromSeason($E$7,$E$8,$D80,L$79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0" s="55" cm="1">
        <f t="array" ref="M80">InputFunctions_PastureBeef.LookupLiveweightFromSeason($E$7,$E$8,$D80,M$79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0" s="55" cm="1">
        <f t="array" ref="N80">InputFunctions_PastureBeef.LookupLiveweightFromSeason($E$7,$E$8,$D80,N$79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0" s="2" t="s">
        <v>181</v>
      </c>
      <c r="T80" s="7"/>
    </row>
    <row r="81" spans="4:20" ht="20.100000000000001" customHeight="1" x14ac:dyDescent="0.25">
      <c r="D81" s="1" t="s">
        <v>358</v>
      </c>
      <c r="E81" s="55" cm="1">
        <f t="array" ref="E81">InputFunctions_PastureBeef.LookupLiveweightFromSeason($E$7,$E$8,$D81,E$79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1" s="55" cm="1">
        <f t="array" ref="F81">InputFunctions_PastureBeef.LookupLiveweightFromSeason($E$7,$E$8,$D81,F$79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1" s="55" cm="1">
        <f t="array" ref="G81">InputFunctions_PastureBeef.LookupLiveweightFromSeason($E$7,$E$8,$D81,G$79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1" s="55" cm="1">
        <f t="array" ref="H81">InputFunctions_PastureBeef.LookupLiveweightFromSeason($E$7,$E$8,$D81,H$79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1" s="55" cm="1">
        <f t="array" ref="I81">InputFunctions_PastureBeef.LookupLiveweightFromSeason($E$7,$E$8,$D81,I$79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1" s="55" cm="1">
        <f t="array" ref="J81">InputFunctions_PastureBeef.LookupLiveweightFromSeason($E$7,$E$8,$D81,J$79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1" s="55" cm="1">
        <f t="array" ref="K81">InputFunctions_PastureBeef.LookupLiveweightFromSeason($E$7,$E$8,$D81,K$79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1" s="55" cm="1">
        <f t="array" ref="L81">InputFunctions_PastureBeef.LookupLiveweightFromSeason($E$7,$E$8,$D81,L$79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1" s="55" cm="1">
        <f t="array" ref="M81">InputFunctions_PastureBeef.LookupLiveweightFromSeason($E$7,$E$8,$D81,M$79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1" s="55" cm="1">
        <f t="array" ref="N81">InputFunctions_PastureBeef.LookupLiveweightFromSeason($E$7,$E$8,$D81,N$79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1" s="2" t="s">
        <v>181</v>
      </c>
      <c r="T81" s="7"/>
    </row>
    <row r="82" spans="4:20" ht="20.100000000000001" customHeight="1" x14ac:dyDescent="0.25">
      <c r="D82" s="1" t="s">
        <v>359</v>
      </c>
      <c r="E82" s="55" cm="1">
        <f t="array" ref="E82">InputFunctions_PastureBeef.LookupLiveweightFromSeason($E$7,$E$8,$D82,E$79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2" s="55" cm="1">
        <f t="array" ref="F82">InputFunctions_PastureBeef.LookupLiveweightFromSeason($E$7,$E$8,$D82,F$79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2" s="55" cm="1">
        <f t="array" ref="G82">InputFunctions_PastureBeef.LookupLiveweightFromSeason($E$7,$E$8,$D82,G$79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2" s="55" cm="1">
        <f t="array" ref="H82">InputFunctions_PastureBeef.LookupLiveweightFromSeason($E$7,$E$8,$D82,H$79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2" s="55" cm="1">
        <f t="array" ref="I82">InputFunctions_PastureBeef.LookupLiveweightFromSeason($E$7,$E$8,$D82,I$79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2" s="55" cm="1">
        <f t="array" ref="J82">InputFunctions_PastureBeef.LookupLiveweightFromSeason($E$7,$E$8,$D82,J$79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2" s="55" cm="1">
        <f t="array" ref="K82">InputFunctions_PastureBeef.LookupLiveweightFromSeason($E$7,$E$8,$D82,K$79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2" s="55" cm="1">
        <f t="array" ref="L82">InputFunctions_PastureBeef.LookupLiveweightFromSeason($E$7,$E$8,$D82,L$79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2" s="55" cm="1">
        <f t="array" ref="M82">InputFunctions_PastureBeef.LookupLiveweightFromSeason($E$7,$E$8,$D82,M$79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2" s="55" cm="1">
        <f t="array" ref="N82">InputFunctions_PastureBeef.LookupLiveweightFromSeason($E$7,$E$8,$D82,N$79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2" s="2" t="s">
        <v>181</v>
      </c>
      <c r="T82" s="7"/>
    </row>
    <row r="83" spans="4:20" ht="20.100000000000001" customHeight="1" x14ac:dyDescent="0.25">
      <c r="D83" s="1" t="s">
        <v>356</v>
      </c>
      <c r="E83" s="55" cm="1">
        <f t="array" ref="E83">InputFunctions_PastureBeef.LookupLiveweightFromSeason($E$7,$E$8,$D83,E$79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5" cm="1">
        <f t="array" ref="F83">InputFunctions_PastureBeef.LookupLiveweightFromSeason($E$7,$E$8,$D83,F$79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5" cm="1">
        <f t="array" ref="G83">InputFunctions_PastureBeef.LookupLiveweightFromSeason($E$7,$E$8,$D83,G$79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5" cm="1">
        <f t="array" ref="H83">InputFunctions_PastureBeef.LookupLiveweightFromSeason($E$7,$E$8,$D83,H$79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5" cm="1">
        <f t="array" ref="I83">InputFunctions_PastureBeef.LookupLiveweightFromSeason($E$7,$E$8,$D83,I$79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5" cm="1">
        <f t="array" ref="J83">InputFunctions_PastureBeef.LookupLiveweightFromSeason($E$7,$E$8,$D83,J$79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5" cm="1">
        <f t="array" ref="K83">InputFunctions_PastureBeef.LookupLiveweightFromSeason($E$7,$E$8,$D83,K$79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5" cm="1">
        <f t="array" ref="L83">InputFunctions_PastureBeef.LookupLiveweightFromSeason($E$7,$E$8,$D83,L$79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5" cm="1">
        <f t="array" ref="M83">InputFunctions_PastureBeef.LookupLiveweightFromSeason($E$7,$E$8,$D83,M$79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5" cm="1">
        <f t="array" ref="N83">InputFunctions_PastureBeef.LookupLiveweightFromSeason($E$7,$E$8,$D83,N$79,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181</v>
      </c>
      <c r="T83" s="7"/>
    </row>
    <row r="84" spans="4:20" ht="20.100000000000001" customHeight="1" x14ac:dyDescent="0.25">
      <c r="O84" s="2"/>
      <c r="T84" s="7"/>
    </row>
    <row r="85" spans="4:20" ht="20.100000000000001" customHeight="1" x14ac:dyDescent="0.25">
      <c r="D85" s="66" t="s">
        <v>363</v>
      </c>
      <c r="E85" s="66" t="s">
        <v>178</v>
      </c>
      <c r="F85" s="66" t="s">
        <v>177</v>
      </c>
      <c r="G85" s="66" t="s">
        <v>348</v>
      </c>
      <c r="H85" s="66" t="s">
        <v>349</v>
      </c>
      <c r="I85" s="66" t="s">
        <v>350</v>
      </c>
      <c r="J85" s="66" t="s">
        <v>351</v>
      </c>
      <c r="K85" s="66" t="s">
        <v>352</v>
      </c>
      <c r="L85" s="66" t="s">
        <v>353</v>
      </c>
      <c r="M85" s="66" t="s">
        <v>354</v>
      </c>
      <c r="N85" s="66" t="s">
        <v>355</v>
      </c>
      <c r="O85" s="2"/>
      <c r="T85" s="7"/>
    </row>
    <row r="86" spans="4:20" ht="20.100000000000001" customHeight="1" x14ac:dyDescent="0.25">
      <c r="D86" s="1" t="str">
        <f>TEXT('Input - Site'!$E$12, "mmmm yyyy")</f>
        <v>January 2024</v>
      </c>
      <c r="E86" s="69" cm="1">
        <f t="array" ref="E86">InputFunctions_PastureBeef.LookupLiveweightFromMonth($E$7,$E$8,$D86,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6" s="69" cm="1">
        <f t="array" ref="F86">InputFunctions_PastureBeef.LookupLiveweightFromMonth($E$7,$E$8,$D86,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6" s="69" cm="1">
        <f t="array" ref="G86">InputFunctions_PastureBeef.LookupLiveweightFromMonth($E$7,$E$8,$D86,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6" s="69" cm="1">
        <f t="array" ref="H86">InputFunctions_PastureBeef.LookupLiveweightFromMonth($E$7,$E$8,$D86,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6" s="69" cm="1">
        <f t="array" ref="I86">InputFunctions_PastureBeef.LookupLiveweightFromMonth($E$7,$E$8,$D86,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6" s="69" cm="1">
        <f t="array" ref="J86">InputFunctions_PastureBeef.LookupLiveweightFromMonth($E$7,$E$8,$D86,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6" s="69" cm="1">
        <f t="array" ref="K86">InputFunctions_PastureBeef.LookupLiveweightFromMonth($E$7,$E$8,$D86,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6" s="69" cm="1">
        <f t="array" ref="L86">InputFunctions_PastureBeef.LookupLiveweightFromMonth($E$7,$E$8,$D86,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6" s="69" cm="1">
        <f t="array" ref="M86">InputFunctions_PastureBeef.LookupLiveweightFromMonth($E$7,$E$8,$D86,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6" s="69" cm="1">
        <f t="array" ref="N86">InputFunctions_PastureBeef.LookupLiveweightFromMonth($E$7,$E$8,$D86,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6" s="2" t="s">
        <v>181</v>
      </c>
      <c r="T86" s="7"/>
    </row>
    <row r="87" spans="4:20" ht="20.100000000000001" customHeight="1" x14ac:dyDescent="0.25">
      <c r="D87" s="1" t="str">
        <f>TEXT(EDATE('Input - Site'!$E$12,1), "mmmm yyyy")</f>
        <v>February 2024</v>
      </c>
      <c r="E87" s="69" cm="1">
        <f t="array" ref="E87">InputFunctions_PastureBeef.LookupLiveweightFromMonth($E$7,$E$8,$D87,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7" s="69" cm="1">
        <f t="array" ref="F87">InputFunctions_PastureBeef.LookupLiveweightFromMonth($E$7,$E$8,$D87,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7" s="69" cm="1">
        <f t="array" ref="G87">InputFunctions_PastureBeef.LookupLiveweightFromMonth($E$7,$E$8,$D87,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7" s="69" cm="1">
        <f t="array" ref="H87">InputFunctions_PastureBeef.LookupLiveweightFromMonth($E$7,$E$8,$D87,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7" s="69" cm="1">
        <f t="array" ref="I87">InputFunctions_PastureBeef.LookupLiveweightFromMonth($E$7,$E$8,$D87,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7" s="69" cm="1">
        <f t="array" ref="J87">InputFunctions_PastureBeef.LookupLiveweightFromMonth($E$7,$E$8,$D87,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7" s="69" cm="1">
        <f t="array" ref="K87">InputFunctions_PastureBeef.LookupLiveweightFromMonth($E$7,$E$8,$D87,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7" s="69" cm="1">
        <f t="array" ref="L87">InputFunctions_PastureBeef.LookupLiveweightFromMonth($E$7,$E$8,$D87,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7" s="69" cm="1">
        <f t="array" ref="M87">InputFunctions_PastureBeef.LookupLiveweightFromMonth($E$7,$E$8,$D87,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7" s="69" cm="1">
        <f t="array" ref="N87">InputFunctions_PastureBeef.LookupLiveweightFromMonth($E$7,$E$8,$D87,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7" s="2" t="s">
        <v>181</v>
      </c>
      <c r="T87" s="7"/>
    </row>
    <row r="88" spans="4:20" ht="20.100000000000001" customHeight="1" x14ac:dyDescent="0.25">
      <c r="D88" s="1" t="str">
        <f>TEXT(EDATE('Input - Site'!$E$12,2), "mmmm yyyy")</f>
        <v>March 2024</v>
      </c>
      <c r="E88" s="69" cm="1">
        <f t="array" ref="E88">InputFunctions_PastureBeef.LookupLiveweightFromMonth($E$7,$E$8,$D88,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88" s="69" cm="1">
        <f t="array" ref="F88">InputFunctions_PastureBeef.LookupLiveweightFromMonth($E$7,$E$8,$D88,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88" s="69" cm="1">
        <f t="array" ref="G88">InputFunctions_PastureBeef.LookupLiveweightFromMonth($E$7,$E$8,$D88,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88" s="69" cm="1">
        <f t="array" ref="H88">InputFunctions_PastureBeef.LookupLiveweightFromMonth($E$7,$E$8,$D88,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88" s="69" cm="1">
        <f t="array" ref="I88">InputFunctions_PastureBeef.LookupLiveweightFromMonth($E$7,$E$8,$D88,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88" s="69" cm="1">
        <f t="array" ref="J88">InputFunctions_PastureBeef.LookupLiveweightFromMonth($E$7,$E$8,$D88,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88" s="69" cm="1">
        <f t="array" ref="K88">InputFunctions_PastureBeef.LookupLiveweightFromMonth($E$7,$E$8,$D88,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88" s="69" cm="1">
        <f t="array" ref="L88">InputFunctions_PastureBeef.LookupLiveweightFromMonth($E$7,$E$8,$D88,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88" s="69" cm="1">
        <f t="array" ref="M88">InputFunctions_PastureBeef.LookupLiveweightFromMonth($E$7,$E$8,$D88,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88" s="69" cm="1">
        <f t="array" ref="N88">InputFunctions_PastureBeef.LookupLiveweightFromMonth($E$7,$E$8,$D88,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88" s="2" t="s">
        <v>181</v>
      </c>
      <c r="T88" s="7"/>
    </row>
    <row r="89" spans="4:20" ht="20.100000000000001" customHeight="1" x14ac:dyDescent="0.25">
      <c r="D89" s="1" t="str">
        <f>TEXT(EDATE('Input - Site'!$E$12,3), "mmmm yyyy")</f>
        <v>April 2024</v>
      </c>
      <c r="E89" s="69" cm="1">
        <f t="array" ref="E89">InputFunctions_PastureBeef.LookupLiveweightFromMonth($E$7,$E$8,$D89,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89" s="69" cm="1">
        <f t="array" ref="F89">InputFunctions_PastureBeef.LookupLiveweightFromMonth($E$7,$E$8,$D89,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89" s="69" cm="1">
        <f t="array" ref="G89">InputFunctions_PastureBeef.LookupLiveweightFromMonth($E$7,$E$8,$D89,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89" s="69" cm="1">
        <f t="array" ref="H89">InputFunctions_PastureBeef.LookupLiveweightFromMonth($E$7,$E$8,$D89,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89" s="69" cm="1">
        <f t="array" ref="I89">InputFunctions_PastureBeef.LookupLiveweightFromMonth($E$7,$E$8,$D89,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89" s="69" cm="1">
        <f t="array" ref="J89">InputFunctions_PastureBeef.LookupLiveweightFromMonth($E$7,$E$8,$D89,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89" s="69" cm="1">
        <f t="array" ref="K89">InputFunctions_PastureBeef.LookupLiveweightFromMonth($E$7,$E$8,$D89,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89" s="69" cm="1">
        <f t="array" ref="L89">InputFunctions_PastureBeef.LookupLiveweightFromMonth($E$7,$E$8,$D89,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89" s="69" cm="1">
        <f t="array" ref="M89">InputFunctions_PastureBeef.LookupLiveweightFromMonth($E$7,$E$8,$D89,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89" s="69" cm="1">
        <f t="array" ref="N89">InputFunctions_PastureBeef.LookupLiveweightFromMonth($E$7,$E$8,$D89,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89" s="2" t="s">
        <v>181</v>
      </c>
      <c r="T89" s="7"/>
    </row>
    <row r="90" spans="4:20" ht="20.100000000000001" customHeight="1" x14ac:dyDescent="0.25">
      <c r="D90" s="1" t="str">
        <f>TEXT(EDATE('Input - Site'!$E$12,4), "mmmm yyyy")</f>
        <v>May 2024</v>
      </c>
      <c r="E90" s="69" cm="1">
        <f t="array" ref="E90">InputFunctions_PastureBeef.LookupLiveweightFromMonth($E$7,$E$8,$D90,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9" cm="1">
        <f t="array" ref="F90">InputFunctions_PastureBeef.LookupLiveweightFromMonth($E$7,$E$8,$D90,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9" cm="1">
        <f t="array" ref="G90">InputFunctions_PastureBeef.LookupLiveweightFromMonth($E$7,$E$8,$D90,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9" cm="1">
        <f t="array" ref="H90">InputFunctions_PastureBeef.LookupLiveweightFromMonth($E$7,$E$8,$D90,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9" cm="1">
        <f t="array" ref="I90">InputFunctions_PastureBeef.LookupLiveweightFromMonth($E$7,$E$8,$D90,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9" cm="1">
        <f t="array" ref="J90">InputFunctions_PastureBeef.LookupLiveweightFromMonth($E$7,$E$8,$D90,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9" cm="1">
        <f t="array" ref="K90">InputFunctions_PastureBeef.LookupLiveweightFromMonth($E$7,$E$8,$D90,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9" cm="1">
        <f t="array" ref="L90">InputFunctions_PastureBeef.LookupLiveweightFromMonth($E$7,$E$8,$D90,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9" cm="1">
        <f t="array" ref="M90">InputFunctions_PastureBeef.LookupLiveweightFromMonth($E$7,$E$8,$D90,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9" cm="1">
        <f t="array" ref="N90">InputFunctions_PastureBeef.LookupLiveweightFromMonth($E$7,$E$8,$D90,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181</v>
      </c>
      <c r="T90" s="7"/>
    </row>
    <row r="91" spans="4:20" ht="20.100000000000001" customHeight="1" x14ac:dyDescent="0.25">
      <c r="D91" s="1" t="str">
        <f>TEXT(EDATE('Input - Site'!$E$12,5), "mmmm yyyy")</f>
        <v>June 2024</v>
      </c>
      <c r="E91" s="69" cm="1">
        <f t="array" ref="E91">InputFunctions_PastureBeef.LookupLiveweightFromMonth($E$7,$E$8,$D91,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1" s="69" cm="1">
        <f t="array" ref="F91">InputFunctions_PastureBeef.LookupLiveweightFromMonth($E$7,$E$8,$D91,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1" s="69" cm="1">
        <f t="array" ref="G91">InputFunctions_PastureBeef.LookupLiveweightFromMonth($E$7,$E$8,$D91,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1" s="69" cm="1">
        <f t="array" ref="H91">InputFunctions_PastureBeef.LookupLiveweightFromMonth($E$7,$E$8,$D91,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1" s="69" cm="1">
        <f t="array" ref="I91">InputFunctions_PastureBeef.LookupLiveweightFromMonth($E$7,$E$8,$D91,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1" s="69" cm="1">
        <f t="array" ref="J91">InputFunctions_PastureBeef.LookupLiveweightFromMonth($E$7,$E$8,$D91,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1" s="69" cm="1">
        <f t="array" ref="K91">InputFunctions_PastureBeef.LookupLiveweightFromMonth($E$7,$E$8,$D91,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1" s="69" cm="1">
        <f t="array" ref="L91">InputFunctions_PastureBeef.LookupLiveweightFromMonth($E$7,$E$8,$D91,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1" s="69" cm="1">
        <f t="array" ref="M91">InputFunctions_PastureBeef.LookupLiveweightFromMonth($E$7,$E$8,$D91,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1" s="69" cm="1">
        <f t="array" ref="N91">InputFunctions_PastureBeef.LookupLiveweightFromMonth($E$7,$E$8,$D91,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1" s="2" t="s">
        <v>181</v>
      </c>
      <c r="T91" s="7"/>
    </row>
    <row r="92" spans="4:20" ht="20.100000000000001" customHeight="1" x14ac:dyDescent="0.25">
      <c r="D92" s="1" t="str">
        <f>TEXT(EDATE('Input - Site'!$E$12,6), "mmmm yyyy")</f>
        <v>July 2024</v>
      </c>
      <c r="E92" s="69" cm="1">
        <f t="array" ref="E92">InputFunctions_PastureBeef.LookupLiveweightFromMonth($E$7,$E$8,$D92,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2" s="69" cm="1">
        <f t="array" ref="F92">InputFunctions_PastureBeef.LookupLiveweightFromMonth($E$7,$E$8,$D92,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2" s="69" cm="1">
        <f t="array" ref="G92">InputFunctions_PastureBeef.LookupLiveweightFromMonth($E$7,$E$8,$D92,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2" s="69" cm="1">
        <f t="array" ref="H92">InputFunctions_PastureBeef.LookupLiveweightFromMonth($E$7,$E$8,$D92,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2" s="69" cm="1">
        <f t="array" ref="I92">InputFunctions_PastureBeef.LookupLiveweightFromMonth($E$7,$E$8,$D92,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2" s="69" cm="1">
        <f t="array" ref="J92">InputFunctions_PastureBeef.LookupLiveweightFromMonth($E$7,$E$8,$D92,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2" s="69" cm="1">
        <f t="array" ref="K92">InputFunctions_PastureBeef.LookupLiveweightFromMonth($E$7,$E$8,$D92,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2" s="69" cm="1">
        <f t="array" ref="L92">InputFunctions_PastureBeef.LookupLiveweightFromMonth($E$7,$E$8,$D92,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2" s="69" cm="1">
        <f t="array" ref="M92">InputFunctions_PastureBeef.LookupLiveweightFromMonth($E$7,$E$8,$D92,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2" s="69" cm="1">
        <f t="array" ref="N92">InputFunctions_PastureBeef.LookupLiveweightFromMonth($E$7,$E$8,$D92,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2" s="2" t="s">
        <v>181</v>
      </c>
      <c r="T92" s="7"/>
    </row>
    <row r="93" spans="4:20" ht="20.100000000000001" customHeight="1" x14ac:dyDescent="0.25">
      <c r="D93" s="1" t="str">
        <f>TEXT(EDATE('Input - Site'!$E$12,7), "mmmm yyyy")</f>
        <v>August 2024</v>
      </c>
      <c r="E93" s="69" cm="1">
        <f t="array" ref="E93">InputFunctions_PastureBeef.LookupLiveweightFromMonth($E$7,$E$8,$D93,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9" cm="1">
        <f t="array" ref="F93">InputFunctions_PastureBeef.LookupLiveweightFromMonth($E$7,$E$8,$D93,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9" cm="1">
        <f t="array" ref="G93">InputFunctions_PastureBeef.LookupLiveweightFromMonth($E$7,$E$8,$D93,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9" cm="1">
        <f t="array" ref="H93">InputFunctions_PastureBeef.LookupLiveweightFromMonth($E$7,$E$8,$D93,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9" cm="1">
        <f t="array" ref="I93">InputFunctions_PastureBeef.LookupLiveweightFromMonth($E$7,$E$8,$D93,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9" cm="1">
        <f t="array" ref="J93">InputFunctions_PastureBeef.LookupLiveweightFromMonth($E$7,$E$8,$D93,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9" cm="1">
        <f t="array" ref="K93">InputFunctions_PastureBeef.LookupLiveweightFromMonth($E$7,$E$8,$D93,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9" cm="1">
        <f t="array" ref="L93">InputFunctions_PastureBeef.LookupLiveweightFromMonth($E$7,$E$8,$D93,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9" cm="1">
        <f t="array" ref="M93">InputFunctions_PastureBeef.LookupLiveweightFromMonth($E$7,$E$8,$D93,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9" cm="1">
        <f t="array" ref="N93">InputFunctions_PastureBeef.LookupLiveweightFromMonth($E$7,$E$8,$D93,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181</v>
      </c>
      <c r="T93" s="7"/>
    </row>
    <row r="94" spans="4:20" ht="20.100000000000001" customHeight="1" x14ac:dyDescent="0.25">
      <c r="D94" s="1" t="str">
        <f>TEXT(EDATE('Input - Site'!$E$12,8), "mmmm yyyy")</f>
        <v>September 2024</v>
      </c>
      <c r="E94" s="69" cm="1">
        <f t="array" ref="E94">InputFunctions_PastureBeef.LookupLiveweightFromMonth($E$7,$E$8,$D94,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4" s="69" cm="1">
        <f t="array" ref="F94">InputFunctions_PastureBeef.LookupLiveweightFromMonth($E$7,$E$8,$D94,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4" s="69" cm="1">
        <f t="array" ref="G94">InputFunctions_PastureBeef.LookupLiveweightFromMonth($E$7,$E$8,$D94,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4" s="69" cm="1">
        <f t="array" ref="H94">InputFunctions_PastureBeef.LookupLiveweightFromMonth($E$7,$E$8,$D94,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4" s="69" cm="1">
        <f t="array" ref="I94">InputFunctions_PastureBeef.LookupLiveweightFromMonth($E$7,$E$8,$D94,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4" s="69" cm="1">
        <f t="array" ref="J94">InputFunctions_PastureBeef.LookupLiveweightFromMonth($E$7,$E$8,$D94,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4" s="69" cm="1">
        <f t="array" ref="K94">InputFunctions_PastureBeef.LookupLiveweightFromMonth($E$7,$E$8,$D94,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4" s="69" cm="1">
        <f t="array" ref="L94">InputFunctions_PastureBeef.LookupLiveweightFromMonth($E$7,$E$8,$D94,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4" s="69" cm="1">
        <f t="array" ref="M94">InputFunctions_PastureBeef.LookupLiveweightFromMonth($E$7,$E$8,$D94,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4" s="69" cm="1">
        <f t="array" ref="N94">InputFunctions_PastureBeef.LookupLiveweightFromMonth($E$7,$E$8,$D94,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4" s="2" t="s">
        <v>181</v>
      </c>
      <c r="T94" s="7"/>
    </row>
    <row r="95" spans="4:20" ht="20.100000000000001" customHeight="1" x14ac:dyDescent="0.25">
      <c r="D95" s="1" t="str">
        <f>TEXT(EDATE('Input - Site'!$E$12,9), "mmmm yyyy")</f>
        <v>October 2024</v>
      </c>
      <c r="E95" s="69" cm="1">
        <f t="array" ref="E95">InputFunctions_PastureBeef.LookupLiveweightFromMonth($E$7,$E$8,$D95,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5" s="69" cm="1">
        <f t="array" ref="F95">InputFunctions_PastureBeef.LookupLiveweightFromMonth($E$7,$E$8,$D95,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5" s="69" cm="1">
        <f t="array" ref="G95">InputFunctions_PastureBeef.LookupLiveweightFromMonth($E$7,$E$8,$D95,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5" s="69" cm="1">
        <f t="array" ref="H95">InputFunctions_PastureBeef.LookupLiveweightFromMonth($E$7,$E$8,$D95,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5" s="69" cm="1">
        <f t="array" ref="I95">InputFunctions_PastureBeef.LookupLiveweightFromMonth($E$7,$E$8,$D95,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5" s="69" cm="1">
        <f t="array" ref="J95">InputFunctions_PastureBeef.LookupLiveweightFromMonth($E$7,$E$8,$D95,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5" s="69" cm="1">
        <f t="array" ref="K95">InputFunctions_PastureBeef.LookupLiveweightFromMonth($E$7,$E$8,$D95,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5" s="69" cm="1">
        <f t="array" ref="L95">InputFunctions_PastureBeef.LookupLiveweightFromMonth($E$7,$E$8,$D95,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5" s="69" cm="1">
        <f t="array" ref="M95">InputFunctions_PastureBeef.LookupLiveweightFromMonth($E$7,$E$8,$D95,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5" s="69" cm="1">
        <f t="array" ref="N95">InputFunctions_PastureBeef.LookupLiveweightFromMonth($E$7,$E$8,$D95,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5" s="2" t="s">
        <v>181</v>
      </c>
      <c r="T95" s="7"/>
    </row>
    <row r="96" spans="4:20" ht="20.100000000000001" customHeight="1" x14ac:dyDescent="0.25">
      <c r="D96" s="1" t="str">
        <f>TEXT(EDATE('Input - Site'!$E$12,10), "mmmm yyyy")</f>
        <v>November 2024</v>
      </c>
      <c r="E96" s="69" cm="1">
        <f t="array" ref="E96">InputFunctions_PastureBeef.LookupLiveweightFromMonth($E$7,$E$8,$D96,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9" cm="1">
        <f t="array" ref="F96">InputFunctions_PastureBeef.LookupLiveweightFromMonth($E$7,$E$8,$D96,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9" cm="1">
        <f t="array" ref="G96">InputFunctions_PastureBeef.LookupLiveweightFromMonth($E$7,$E$8,$D96,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9" cm="1">
        <f t="array" ref="H96">InputFunctions_PastureBeef.LookupLiveweightFromMonth($E$7,$E$8,$D96,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9" cm="1">
        <f t="array" ref="I96">InputFunctions_PastureBeef.LookupLiveweightFromMonth($E$7,$E$8,$D96,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9" cm="1">
        <f t="array" ref="J96">InputFunctions_PastureBeef.LookupLiveweightFromMonth($E$7,$E$8,$D96,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9" cm="1">
        <f t="array" ref="K96">InputFunctions_PastureBeef.LookupLiveweightFromMonth($E$7,$E$8,$D96,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9" cm="1">
        <f t="array" ref="L96">InputFunctions_PastureBeef.LookupLiveweightFromMonth($E$7,$E$8,$D96,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9" cm="1">
        <f t="array" ref="M96">InputFunctions_PastureBeef.LookupLiveweightFromMonth($E$7,$E$8,$D96,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9" cm="1">
        <f t="array" ref="N96">InputFunctions_PastureBeef.LookupLiveweightFromMonth($E$7,$E$8,$D96,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181</v>
      </c>
      <c r="T96" s="7"/>
    </row>
    <row r="97" spans="4:20" ht="20.100000000000001" customHeight="1" x14ac:dyDescent="0.25">
      <c r="D97" s="1" t="str">
        <f>TEXT(EDATE('Input - Site'!$E$12,11), "mmmm yyyy")</f>
        <v>December 2024</v>
      </c>
      <c r="E97" s="69" cm="1">
        <f t="array" ref="E97">InputFunctions_PastureBeef.LookupLiveweightFromMonth($E$7,$E$8,$D97,E$85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7" s="69" cm="1">
        <f t="array" ref="F97">InputFunctions_PastureBeef.LookupLiveweightFromMonth($E$7,$E$8,$D97,F$85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7" s="69" cm="1">
        <f t="array" ref="G97">InputFunctions_PastureBeef.LookupLiveweightFromMonth($E$7,$E$8,$D97,G$85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7" s="69" cm="1">
        <f t="array" ref="H97">InputFunctions_PastureBeef.LookupLiveweightFromMonth($E$7,$E$8,$D97,H$85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7" s="69" cm="1">
        <f t="array" ref="I97">InputFunctions_PastureBeef.LookupLiveweightFromMonth($E$7,$E$8,$D97,I$85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7" s="69" cm="1">
        <f t="array" ref="J97">InputFunctions_PastureBeef.LookupLiveweightFromMonth($E$7,$E$8,$D97,J$85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7" s="69" cm="1">
        <f t="array" ref="K97">InputFunctions_PastureBeef.LookupLiveweightFromMonth($E$7,$E$8,$D97,K$85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7" s="69" cm="1">
        <f t="array" ref="L97">InputFunctions_PastureBeef.LookupLiveweightFromMonth($E$7,$E$8,$D97,L$85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7" s="69" cm="1">
        <f t="array" ref="M97">InputFunctions_PastureBeef.LookupLiveweightFromMonth($E$7,$E$8,$D97,M$85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7" s="69" cm="1">
        <f t="array" ref="N97">InputFunctions_PastureBeef.LookupLiveweightFromMonth($E$7,$E$8,$D97,N$85,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7" s="2" t="s">
        <v>181</v>
      </c>
      <c r="T97" s="7"/>
    </row>
    <row r="98" spans="4:20" ht="20.100000000000001" customHeight="1" x14ac:dyDescent="0.25">
      <c r="T98" s="7"/>
    </row>
    <row r="99" spans="4:20" ht="20.100000000000001" customHeight="1" x14ac:dyDescent="0.25">
      <c r="T99" s="7"/>
    </row>
    <row r="100" spans="4:20" ht="20.100000000000001" customHeight="1" x14ac:dyDescent="0.25">
      <c r="D100" s="51" t="s">
        <v>413</v>
      </c>
      <c r="K100" s="2"/>
      <c r="L100" s="2"/>
      <c r="M100" s="2"/>
      <c r="N100" s="2"/>
      <c r="O100" s="2"/>
      <c r="T100" s="7"/>
    </row>
    <row r="101" spans="4:20" ht="20.100000000000001" customHeight="1" x14ac:dyDescent="0.25">
      <c r="D101" s="66" t="s">
        <v>183</v>
      </c>
      <c r="E101" s="66" t="s">
        <v>349</v>
      </c>
      <c r="F101" s="66" t="s">
        <v>350</v>
      </c>
      <c r="G101" s="66" t="s">
        <v>351</v>
      </c>
      <c r="T101" s="7"/>
    </row>
    <row r="102" spans="4:20" ht="20.100000000000001" customHeight="1" x14ac:dyDescent="0.25">
      <c r="D102" s="1" t="s">
        <v>357</v>
      </c>
      <c r="E102" s="49">
        <v>0.25</v>
      </c>
      <c r="F102" s="49"/>
      <c r="G102" s="49"/>
      <c r="H102" s="2" t="s">
        <v>19</v>
      </c>
      <c r="T102" s="7"/>
    </row>
    <row r="103" spans="4:20" ht="20.100000000000001" customHeight="1" x14ac:dyDescent="0.25">
      <c r="D103" s="1" t="s">
        <v>358</v>
      </c>
      <c r="E103" s="49">
        <v>0.25</v>
      </c>
      <c r="F103" s="49"/>
      <c r="G103" s="49"/>
      <c r="H103" s="2" t="s">
        <v>19</v>
      </c>
      <c r="T103" s="7"/>
    </row>
    <row r="104" spans="4:20" ht="20.100000000000001" customHeight="1" x14ac:dyDescent="0.25">
      <c r="D104" s="1" t="s">
        <v>359</v>
      </c>
      <c r="E104" s="49">
        <v>0.25</v>
      </c>
      <c r="F104" s="49"/>
      <c r="G104" s="49"/>
      <c r="H104" s="2" t="s">
        <v>19</v>
      </c>
      <c r="L104" s="2"/>
      <c r="M104" s="2"/>
      <c r="N104" s="2"/>
      <c r="O104" s="2"/>
      <c r="T104" s="7"/>
    </row>
    <row r="105" spans="4:20" ht="20.100000000000001" customHeight="1" x14ac:dyDescent="0.25">
      <c r="D105" s="1" t="s">
        <v>356</v>
      </c>
      <c r="E105" s="49">
        <v>0.25</v>
      </c>
      <c r="F105" s="49"/>
      <c r="G105" s="49"/>
      <c r="H105" s="2" t="s">
        <v>19</v>
      </c>
      <c r="L105" s="2"/>
      <c r="M105" s="2"/>
      <c r="N105" s="2"/>
      <c r="O105" s="2"/>
      <c r="T105" s="7"/>
    </row>
    <row r="106" spans="4:20" ht="20.100000000000001" customHeight="1" x14ac:dyDescent="0.25">
      <c r="D106" s="1" t="s">
        <v>414</v>
      </c>
      <c r="E106" s="101">
        <f>SUM(E102:E105)</f>
        <v>1</v>
      </c>
      <c r="F106" s="101">
        <f t="shared" ref="F106:G106" si="0">SUM(F102:F105)</f>
        <v>0</v>
      </c>
      <c r="G106" s="101">
        <f t="shared" si="0"/>
        <v>0</v>
      </c>
      <c r="T106" s="7"/>
    </row>
    <row r="107" spans="4:20" ht="20.100000000000001" customHeight="1" x14ac:dyDescent="0.25"/>
    <row r="108" spans="4:20" ht="20.100000000000001" customHeight="1" x14ac:dyDescent="0.25">
      <c r="D108" s="66" t="s">
        <v>365</v>
      </c>
      <c r="E108" s="66" t="s">
        <v>349</v>
      </c>
      <c r="F108" s="66" t="s">
        <v>350</v>
      </c>
      <c r="G108" s="66" t="s">
        <v>351</v>
      </c>
      <c r="L108" s="2"/>
      <c r="M108" s="2"/>
      <c r="N108" s="2"/>
      <c r="O108" s="2"/>
    </row>
    <row r="109" spans="4:20" ht="20.100000000000001" customHeight="1" x14ac:dyDescent="0.25">
      <c r="D109" s="1" t="str">
        <f>TEXT('Input - Site'!$E$12, "mmmm yyyy")</f>
        <v>January 2024</v>
      </c>
      <c r="E109" s="49">
        <v>0.05</v>
      </c>
      <c r="F109" s="49"/>
      <c r="G109" s="49"/>
      <c r="H109" s="2" t="s">
        <v>19</v>
      </c>
      <c r="L109" s="2"/>
      <c r="M109" s="2"/>
      <c r="N109" s="2"/>
      <c r="O109" s="2"/>
    </row>
    <row r="110" spans="4:20" ht="20.100000000000001" customHeight="1" x14ac:dyDescent="0.25">
      <c r="D110" s="1" t="str">
        <f>TEXT(EDATE('Input - Site'!$E$12,1), "mmmm yyyy")</f>
        <v>February 2024</v>
      </c>
      <c r="E110" s="49">
        <v>0.05</v>
      </c>
      <c r="F110" s="49"/>
      <c r="G110" s="49"/>
      <c r="H110" s="2" t="s">
        <v>19</v>
      </c>
    </row>
    <row r="111" spans="4:20" ht="20.100000000000001" customHeight="1" x14ac:dyDescent="0.25">
      <c r="D111" s="1" t="str">
        <f>TEXT(EDATE('Input - Site'!$E$12,2), "mmmm yyyy")</f>
        <v>March 2024</v>
      </c>
      <c r="E111" s="49">
        <v>0.05</v>
      </c>
      <c r="F111" s="49"/>
      <c r="G111" s="49"/>
      <c r="H111" s="2" t="s">
        <v>19</v>
      </c>
    </row>
    <row r="112" spans="4:20" ht="20.100000000000001" customHeight="1" x14ac:dyDescent="0.25">
      <c r="D112" s="1" t="str">
        <f>TEXT(EDATE('Input - Site'!$E$12,3), "mmmm yyyy")</f>
        <v>April 2024</v>
      </c>
      <c r="E112" s="49">
        <v>0</v>
      </c>
      <c r="F112" s="49"/>
      <c r="G112" s="49"/>
      <c r="H112" s="2" t="s">
        <v>19</v>
      </c>
    </row>
    <row r="113" spans="4:15" ht="20.100000000000001" customHeight="1" x14ac:dyDescent="0.25">
      <c r="D113" s="1" t="str">
        <f>TEXT(EDATE('Input - Site'!$E$12,4), "mmmm yyyy")</f>
        <v>May 2024</v>
      </c>
      <c r="E113" s="49">
        <v>0.05</v>
      </c>
      <c r="F113" s="49"/>
      <c r="G113" s="49"/>
      <c r="H113" s="2" t="s">
        <v>19</v>
      </c>
    </row>
    <row r="114" spans="4:15" ht="20.100000000000001" customHeight="1" x14ac:dyDescent="0.25">
      <c r="D114" s="1" t="str">
        <f>TEXT(EDATE('Input - Site'!$E$12,5), "mmmm yyyy")</f>
        <v>June 2024</v>
      </c>
      <c r="E114" s="49">
        <v>0.05</v>
      </c>
      <c r="F114" s="49"/>
      <c r="G114" s="49"/>
      <c r="H114" s="2" t="s">
        <v>19</v>
      </c>
      <c r="K114" s="2"/>
      <c r="L114" s="2"/>
      <c r="M114" s="2"/>
      <c r="N114" s="2"/>
      <c r="O114" s="2"/>
    </row>
    <row r="115" spans="4:15" ht="20.100000000000001" customHeight="1" x14ac:dyDescent="0.25">
      <c r="D115" s="1" t="str">
        <f>TEXT(EDATE('Input - Site'!$E$12,6), "mmmm yyyy")</f>
        <v>July 2024</v>
      </c>
      <c r="E115" s="49">
        <v>0.05</v>
      </c>
      <c r="F115" s="49"/>
      <c r="G115" s="49"/>
      <c r="H115" s="2" t="s">
        <v>19</v>
      </c>
      <c r="K115" s="2"/>
      <c r="L115" s="2"/>
      <c r="M115" s="2"/>
      <c r="N115" s="2"/>
      <c r="O115" s="2"/>
    </row>
    <row r="116" spans="4:15" ht="20.100000000000001" customHeight="1" x14ac:dyDescent="0.25">
      <c r="D116" s="1" t="str">
        <f>TEXT(EDATE('Input - Site'!$E$12,7), "mmmm yyyy")</f>
        <v>August 2024</v>
      </c>
      <c r="E116" s="49">
        <v>0</v>
      </c>
      <c r="F116" s="49"/>
      <c r="G116" s="49"/>
      <c r="H116" s="2" t="s">
        <v>19</v>
      </c>
    </row>
    <row r="117" spans="4:15" ht="20.100000000000001" customHeight="1" x14ac:dyDescent="0.25">
      <c r="D117" s="1" t="str">
        <f>TEXT(EDATE('Input - Site'!$E$12,8), "mmmm yyyy")</f>
        <v>September 2024</v>
      </c>
      <c r="E117" s="49">
        <v>0</v>
      </c>
      <c r="F117" s="49"/>
      <c r="G117" s="49"/>
      <c r="H117" s="2" t="s">
        <v>19</v>
      </c>
    </row>
    <row r="118" spans="4:15" ht="20.100000000000001" customHeight="1" x14ac:dyDescent="0.25">
      <c r="D118" s="1" t="str">
        <f>TEXT(EDATE('Input - Site'!$E$12,9), "mmmm yyyy")</f>
        <v>October 2024</v>
      </c>
      <c r="E118" s="49">
        <v>0</v>
      </c>
      <c r="F118" s="49"/>
      <c r="G118" s="49"/>
      <c r="H118" s="2" t="s">
        <v>19</v>
      </c>
      <c r="K118" s="2"/>
      <c r="L118" s="2"/>
      <c r="M118" s="2"/>
      <c r="N118" s="2"/>
      <c r="O118" s="2"/>
    </row>
    <row r="119" spans="4:15" ht="20.100000000000001" customHeight="1" x14ac:dyDescent="0.25">
      <c r="D119" s="1" t="str">
        <f>TEXT(EDATE('Input - Site'!$E$12,10), "mmmm yyyy")</f>
        <v>November 2024</v>
      </c>
      <c r="E119" s="49">
        <v>0</v>
      </c>
      <c r="F119" s="49"/>
      <c r="G119" s="49"/>
      <c r="H119" s="2" t="s">
        <v>19</v>
      </c>
      <c r="K119" s="2"/>
      <c r="L119" s="2"/>
      <c r="M119" s="2"/>
      <c r="N119" s="2"/>
      <c r="O119" s="2"/>
    </row>
    <row r="120" spans="4:15" ht="20.100000000000001" customHeight="1" x14ac:dyDescent="0.25">
      <c r="D120" s="1" t="str">
        <f>TEXT(EDATE('Input - Site'!$E$12,11), "mmmm yyyy")</f>
        <v>December 2024</v>
      </c>
      <c r="E120" s="49">
        <v>0.05</v>
      </c>
      <c r="F120" s="49"/>
      <c r="G120" s="49"/>
      <c r="H120" s="2" t="s">
        <v>19</v>
      </c>
    </row>
    <row r="121" spans="4:15" ht="20.100000000000001" customHeight="1" x14ac:dyDescent="0.25">
      <c r="D121" s="1" t="s">
        <v>414</v>
      </c>
      <c r="E121" s="101">
        <f>SUM(E109:E120)</f>
        <v>0.35</v>
      </c>
      <c r="F121" s="101">
        <f t="shared" ref="F121:G121" si="1">SUM(F109:F120)</f>
        <v>0</v>
      </c>
      <c r="G121" s="101">
        <f t="shared" si="1"/>
        <v>0</v>
      </c>
    </row>
    <row r="122" spans="4:15" ht="20.100000000000001" customHeight="1" x14ac:dyDescent="0.25"/>
    <row r="123" spans="4:15" ht="20.100000000000001" customHeight="1" x14ac:dyDescent="0.25">
      <c r="D123" s="1" t="s">
        <v>357</v>
      </c>
      <c r="E123" s="101" cm="1">
        <f t="array" ref="E123">InputFunctions_PastureBeef.ConvertMonthlyCalvingToSeason(D123,$E$109:$E$120,$D$109:$D$120,Table_SourceData_Common_MonthToSeason[Month],Table_SourceData_Common_MonthToSeason[Season])</f>
        <v>0.15000000000000002</v>
      </c>
      <c r="F123" s="2" t="s">
        <v>19</v>
      </c>
    </row>
    <row r="124" spans="4:15" ht="20.100000000000001" customHeight="1" x14ac:dyDescent="0.25">
      <c r="D124" s="1" t="s">
        <v>358</v>
      </c>
      <c r="E124" s="101" cm="1">
        <f t="array" ref="E124">InputFunctions_PastureBeef.ConvertMonthlyCalvingToSeason(D124,$E$109:$E$120,$D$109:$D$120,Table_SourceData_Common_MonthToSeason[Month],Table_SourceData_Common_MonthToSeason[Season])</f>
        <v>0.1</v>
      </c>
      <c r="F124" s="2" t="s">
        <v>19</v>
      </c>
    </row>
    <row r="125" spans="4:15" ht="20.100000000000001" customHeight="1" x14ac:dyDescent="0.25">
      <c r="D125" s="1" t="s">
        <v>359</v>
      </c>
      <c r="E125" s="101" cm="1">
        <f t="array" ref="E125">InputFunctions_PastureBeef.ConvertMonthlyCalvingToSeason(D125,$E$109:$E$120,$D$109:$D$120,Table_SourceData_Common_MonthToSeason[Month],Table_SourceData_Common_MonthToSeason[Season])</f>
        <v>0.1</v>
      </c>
      <c r="F125" s="2" t="s">
        <v>19</v>
      </c>
      <c r="K125" s="2"/>
      <c r="L125" s="2"/>
      <c r="M125" s="2"/>
      <c r="N125" s="2"/>
      <c r="O125" s="2"/>
    </row>
    <row r="126" spans="4:15" ht="20.100000000000001" customHeight="1" x14ac:dyDescent="0.25">
      <c r="D126" s="1" t="s">
        <v>356</v>
      </c>
      <c r="E126" s="101" cm="1">
        <f t="array" ref="E126">InputFunctions_PastureBeef.ConvertMonthlyCalvingToSeason(D126,$E$109:$E$120,$D$109:$D$120,Table_SourceData_Common_MonthToSeason[Month],Table_SourceData_Common_MonthToSeason[Season])</f>
        <v>0</v>
      </c>
      <c r="F126" s="2" t="s">
        <v>19</v>
      </c>
      <c r="K126" s="2"/>
      <c r="L126" s="2"/>
      <c r="M126" s="2"/>
      <c r="N126" s="2"/>
      <c r="O126" s="2"/>
    </row>
    <row r="127" spans="4:15" ht="20.100000000000001" customHeight="1" x14ac:dyDescent="0.25">
      <c r="K127" s="2"/>
      <c r="L127" s="2"/>
      <c r="M127" s="2"/>
      <c r="N127" s="2"/>
      <c r="O127" s="2"/>
    </row>
    <row r="128" spans="4:15" ht="20.100000000000001" customHeight="1" x14ac:dyDescent="0.25"/>
    <row r="129" spans="4:15" ht="20.100000000000001" customHeight="1" x14ac:dyDescent="0.25"/>
    <row r="130" spans="4:15" ht="20.100000000000001" customHeight="1" x14ac:dyDescent="0.25">
      <c r="K130" s="2"/>
      <c r="L130" s="2"/>
      <c r="M130" s="2"/>
      <c r="N130" s="2"/>
      <c r="O130" s="2"/>
    </row>
    <row r="131" spans="4:15" ht="20.100000000000001" customHeight="1" x14ac:dyDescent="0.25">
      <c r="K131" s="2"/>
      <c r="L131" s="2"/>
      <c r="M131" s="2"/>
      <c r="N131" s="2"/>
      <c r="O131" s="2"/>
    </row>
    <row r="132" spans="4:15" ht="20.100000000000001" customHeight="1" x14ac:dyDescent="0.25">
      <c r="K132" s="2"/>
      <c r="L132" s="2"/>
      <c r="M132" s="2"/>
      <c r="N132" s="2"/>
      <c r="O132" s="2"/>
    </row>
    <row r="133" spans="4:15" ht="20.100000000000001" customHeight="1" x14ac:dyDescent="0.25"/>
    <row r="134" spans="4:15" ht="20.100000000000001" customHeight="1" x14ac:dyDescent="0.25">
      <c r="G134" s="3"/>
      <c r="H134" s="3"/>
      <c r="I134" s="3"/>
      <c r="J134" s="3"/>
      <c r="K134" s="3"/>
      <c r="L134" s="3"/>
      <c r="M134" s="3"/>
      <c r="N134" s="3"/>
      <c r="O134" s="3"/>
    </row>
    <row r="135" spans="4:15" ht="20.100000000000001" customHeight="1" x14ac:dyDescent="0.25">
      <c r="G135" s="6"/>
      <c r="H135" s="6"/>
      <c r="I135" s="6"/>
      <c r="J135" s="131"/>
      <c r="K135" s="131"/>
      <c r="L135" s="131"/>
      <c r="M135" s="131"/>
      <c r="N135" s="131"/>
      <c r="O135" s="131"/>
    </row>
    <row r="136" spans="4:15" ht="20.100000000000001" customHeight="1" x14ac:dyDescent="0.25">
      <c r="H136" s="3"/>
      <c r="I136" s="3"/>
      <c r="J136" s="3"/>
      <c r="K136" s="3"/>
      <c r="L136" s="3"/>
      <c r="M136" s="3"/>
      <c r="N136" s="3"/>
      <c r="O136" s="3"/>
    </row>
    <row r="137" spans="4:15" ht="20.100000000000001" customHeight="1" x14ac:dyDescent="0.25"/>
    <row r="138" spans="4:15" ht="20.100000000000001" customHeight="1" x14ac:dyDescent="0.25">
      <c r="D138" s="6" t="s">
        <v>195</v>
      </c>
    </row>
    <row r="139" spans="4:15" ht="20.100000000000001" customHeight="1" x14ac:dyDescent="0.25">
      <c r="D139" s="51" t="s">
        <v>184</v>
      </c>
    </row>
    <row r="140" spans="4:15" ht="20.100000000000001" customHeight="1" x14ac:dyDescent="0.25">
      <c r="D140" s="1" t="s">
        <v>186</v>
      </c>
      <c r="E140" s="42" t="s">
        <v>197</v>
      </c>
      <c r="F140" s="2" t="s">
        <v>11</v>
      </c>
    </row>
    <row r="141" spans="4:15" ht="20.100000000000001" customHeight="1" x14ac:dyDescent="0.25"/>
    <row r="142" spans="4:15" ht="20.100000000000001" customHeight="1" x14ac:dyDescent="0.25">
      <c r="D142" s="66" t="s">
        <v>188</v>
      </c>
      <c r="E142" s="41" t="s">
        <v>173</v>
      </c>
      <c r="F142" s="41" t="s">
        <v>175</v>
      </c>
      <c r="G142" s="41" t="s">
        <v>176</v>
      </c>
      <c r="H142" s="41" t="s">
        <v>177</v>
      </c>
      <c r="I142" s="41" t="s">
        <v>178</v>
      </c>
    </row>
    <row r="143" spans="4:15" ht="20.100000000000001" customHeight="1" x14ac:dyDescent="0.25">
      <c r="D143" s="1" t="s">
        <v>143</v>
      </c>
      <c r="E143" s="101" cm="1">
        <f t="array" ref="E143">Common_InputFunctions.Utility_LookupValueInTableNumber($E$140, #REF!,#REF!)</f>
        <v>0</v>
      </c>
      <c r="F143" s="101" cm="1">
        <f t="array" ref="F143">Common_InputFunctions.Utility_LookupValueInTableNumber($E$140, #REF!,#REF!)</f>
        <v>0</v>
      </c>
      <c r="G143" s="101" cm="1">
        <f t="array" ref="G143">Common_InputFunctions.Utility_LookupValueInTableNumber($E$140, #REF!,#REF!)</f>
        <v>0</v>
      </c>
      <c r="H143" s="101" cm="1">
        <f t="array" ref="H143">Common_InputFunctions.Utility_LookupValueInTableNumber($E$140, #REF!,#REF!)</f>
        <v>0</v>
      </c>
      <c r="I143" s="101" cm="1">
        <f t="array" ref="I143">Common_InputFunctions.Utility_LookupValueInTableNumber($E$140, #REF!,#REF!)</f>
        <v>0</v>
      </c>
      <c r="J143" s="2" t="s">
        <v>19</v>
      </c>
      <c r="K143" s="2"/>
      <c r="L143" s="2"/>
      <c r="M143" s="2"/>
      <c r="N143" s="2"/>
      <c r="O143" s="2"/>
    </row>
    <row r="144" spans="4:15" ht="20.100000000000001" customHeight="1" x14ac:dyDescent="0.25">
      <c r="D144" s="1" t="s">
        <v>174</v>
      </c>
      <c r="E144" s="101" cm="1">
        <f t="array" ref="E144">Common_InputFunctions.Utility_LookupValueInTableNumber($E$140, #REF!,#REF!)</f>
        <v>0</v>
      </c>
      <c r="F144" s="101" cm="1">
        <f t="array" ref="F144">Common_InputFunctions.Utility_LookupValueInTableNumber($E$140, #REF!,#REF!)</f>
        <v>0</v>
      </c>
      <c r="G144" s="101" cm="1">
        <f t="array" ref="G144">Common_InputFunctions.Utility_LookupValueInTableNumber($E$140, #REF!,#REF!)</f>
        <v>0</v>
      </c>
      <c r="H144" s="101" cm="1">
        <f t="array" ref="H144">Common_InputFunctions.Utility_LookupValueInTableNumber($E$140, #REF!,#REF!)</f>
        <v>0</v>
      </c>
      <c r="I144" s="101" cm="1">
        <f t="array" ref="I144">Common_InputFunctions.Utility_LookupValueInTableNumber($E$140, #REF!,#REF!)</f>
        <v>0</v>
      </c>
      <c r="J144" s="2" t="s">
        <v>19</v>
      </c>
      <c r="K144" s="2"/>
      <c r="L144" s="2"/>
      <c r="M144" s="2"/>
      <c r="N144" s="2"/>
      <c r="O144" s="2"/>
    </row>
    <row r="145" spans="4:15" ht="20.100000000000001" customHeight="1" x14ac:dyDescent="0.25">
      <c r="D145" s="1" t="s">
        <v>185</v>
      </c>
      <c r="E145" s="101" cm="1">
        <f t="array" ref="E145">Common_InputFunctions.Utility_LookupValueInTableNumber($E$140, #REF!,#REF!)</f>
        <v>0</v>
      </c>
      <c r="F145" s="101" cm="1">
        <f t="array" ref="F145">Common_InputFunctions.Utility_LookupValueInTableNumber($E$140, #REF!,#REF!)</f>
        <v>0</v>
      </c>
      <c r="G145" s="101" cm="1">
        <f t="array" ref="G145">Common_InputFunctions.Utility_LookupValueInTableNumber($E$140, #REF!,#REF!)</f>
        <v>0</v>
      </c>
      <c r="H145" s="101" cm="1">
        <f t="array" ref="H145">Common_InputFunctions.Utility_LookupValueInTableNumber($E$140, #REF!,#REF!)</f>
        <v>0</v>
      </c>
      <c r="I145" s="101" cm="1">
        <f t="array" ref="I145">Common_InputFunctions.Utility_LookupValueInTableNumber($E$140, #REF!,#REF!)</f>
        <v>0</v>
      </c>
      <c r="J145" s="2" t="s">
        <v>19</v>
      </c>
      <c r="K145" s="2"/>
      <c r="L145" s="2"/>
      <c r="M145" s="2"/>
      <c r="N145" s="2"/>
      <c r="O145" s="2"/>
    </row>
    <row r="146" spans="4:15" ht="20.100000000000001" customHeight="1" x14ac:dyDescent="0.25"/>
    <row r="147" spans="4:15" ht="20.100000000000001" customHeight="1" x14ac:dyDescent="0.25">
      <c r="D147" s="66" t="s">
        <v>187</v>
      </c>
      <c r="E147" s="41" t="s">
        <v>173</v>
      </c>
      <c r="F147" s="41" t="s">
        <v>175</v>
      </c>
      <c r="G147" s="41" t="s">
        <v>176</v>
      </c>
      <c r="H147" s="41" t="s">
        <v>177</v>
      </c>
      <c r="I147" s="41" t="s">
        <v>178</v>
      </c>
    </row>
    <row r="148" spans="4:15" ht="20.100000000000001" customHeight="1" x14ac:dyDescent="0.25">
      <c r="D148" s="1" t="s">
        <v>143</v>
      </c>
      <c r="E148" s="132" cm="1">
        <f t="array" ref="E148">Common_InputFunctions.Utility_LookupValueInTableNumber($E$140, #REF!,#REF!)</f>
        <v>0</v>
      </c>
      <c r="F148" s="132" cm="1">
        <f t="array" ref="F148">Common_InputFunctions.Utility_LookupValueInTableNumber($E$140, #REF!,#REF!)</f>
        <v>0</v>
      </c>
      <c r="G148" s="132" cm="1">
        <f t="array" ref="G148">Common_InputFunctions.Utility_LookupValueInTableNumber($E$140, #REF!,#REF!)</f>
        <v>0</v>
      </c>
      <c r="H148" s="132" cm="1">
        <f t="array" ref="H148">Common_InputFunctions.Utility_LookupValueInTableNumber($E$140, #REF!,#REF!)</f>
        <v>0</v>
      </c>
      <c r="I148" s="132" cm="1">
        <f t="array" ref="I148">Common_InputFunctions.Utility_LookupValueInTableNumber($E$140, #REF!,#REF!)</f>
        <v>0</v>
      </c>
      <c r="J148" s="2" t="s">
        <v>19</v>
      </c>
      <c r="K148" s="2"/>
      <c r="L148" s="2"/>
      <c r="M148" s="2"/>
      <c r="N148" s="2"/>
      <c r="O148" s="2"/>
    </row>
    <row r="149" spans="4:15" ht="20.100000000000001" customHeight="1" x14ac:dyDescent="0.25">
      <c r="D149" s="1" t="s">
        <v>174</v>
      </c>
      <c r="E149" s="132" cm="1">
        <f t="array" ref="E149">Common_InputFunctions.Utility_LookupValueInTableNumber($E$140, #REF!,#REF!)</f>
        <v>0</v>
      </c>
      <c r="F149" s="132" cm="1">
        <f t="array" ref="F149">Common_InputFunctions.Utility_LookupValueInTableNumber($E$140, #REF!,#REF!)</f>
        <v>0</v>
      </c>
      <c r="G149" s="132" cm="1">
        <f t="array" ref="G149">Common_InputFunctions.Utility_LookupValueInTableNumber($E$140, #REF!,#REF!)</f>
        <v>0</v>
      </c>
      <c r="H149" s="132" cm="1">
        <f t="array" ref="H149">Common_InputFunctions.Utility_LookupValueInTableNumber($E$140, #REF!,#REF!)</f>
        <v>0</v>
      </c>
      <c r="I149" s="132" cm="1">
        <f t="array" ref="I149">Common_InputFunctions.Utility_LookupValueInTableNumber($E$140, #REF!,#REF!)</f>
        <v>0</v>
      </c>
      <c r="J149" s="2" t="s">
        <v>19</v>
      </c>
      <c r="K149" s="2"/>
      <c r="L149" s="2"/>
      <c r="M149" s="2"/>
      <c r="N149" s="2"/>
      <c r="O149" s="2"/>
    </row>
    <row r="150" spans="4:15" ht="20.100000000000001" customHeight="1" x14ac:dyDescent="0.25">
      <c r="D150" s="1" t="s">
        <v>185</v>
      </c>
      <c r="E150" s="132" cm="1">
        <f t="array" ref="E150">Common_InputFunctions.Utility_LookupValueInTableNumber($E$140, #REF!,#REF!)</f>
        <v>0</v>
      </c>
      <c r="F150" s="132" cm="1">
        <f t="array" ref="F150">Common_InputFunctions.Utility_LookupValueInTableNumber($E$140, #REF!,#REF!)</f>
        <v>0</v>
      </c>
      <c r="G150" s="132" cm="1">
        <f t="array" ref="G150">Common_InputFunctions.Utility_LookupValueInTableNumber($E$140, #REF!,#REF!)</f>
        <v>0</v>
      </c>
      <c r="H150" s="132" cm="1">
        <f t="array" ref="H150">Common_InputFunctions.Utility_LookupValueInTableNumber($E$140, #REF!,#REF!)</f>
        <v>0</v>
      </c>
      <c r="I150" s="132" cm="1">
        <f t="array" ref="I150">Common_InputFunctions.Utility_LookupValueInTableNumber($E$140, #REF!,#REF!)</f>
        <v>0</v>
      </c>
      <c r="J150" s="2" t="s">
        <v>19</v>
      </c>
      <c r="K150" s="2"/>
      <c r="L150" s="2"/>
      <c r="M150" s="2"/>
      <c r="N150" s="2"/>
      <c r="O150" s="2"/>
    </row>
    <row r="151" spans="4:15" ht="20.100000000000001" customHeight="1" x14ac:dyDescent="0.25">
      <c r="E151" s="137"/>
    </row>
    <row r="152" spans="4:15" ht="20.100000000000001" customHeight="1" x14ac:dyDescent="0.25"/>
    <row r="153" spans="4:15" ht="20.100000000000001" customHeight="1" x14ac:dyDescent="0.25">
      <c r="D153" s="6" t="s">
        <v>101</v>
      </c>
      <c r="F153" s="134"/>
    </row>
    <row r="154" spans="4:15" ht="20.100000000000001" customHeight="1" x14ac:dyDescent="0.25">
      <c r="D154" s="51" t="str">
        <f>"From " &amp; $D$144</f>
        <v>From Milking shed</v>
      </c>
    </row>
    <row r="155" spans="4:15" ht="20.100000000000001" customHeight="1" x14ac:dyDescent="0.25"/>
    <row r="156" spans="4:15" ht="20.100000000000001" customHeight="1" x14ac:dyDescent="0.25">
      <c r="D156" s="66" t="s">
        <v>100</v>
      </c>
      <c r="E156" s="41" t="s">
        <v>173</v>
      </c>
      <c r="F156" s="41" t="s">
        <v>175</v>
      </c>
      <c r="G156" s="41" t="s">
        <v>176</v>
      </c>
      <c r="H156" s="41" t="s">
        <v>177</v>
      </c>
      <c r="I156" s="41" t="s">
        <v>178</v>
      </c>
    </row>
    <row r="157" spans="4:15" ht="20.100000000000001" customHeight="1" x14ac:dyDescent="0.25">
      <c r="D157" s="56" t="str">
        <f>'Constants - Pature Beef'!$D$8</f>
        <v>Anaerobic lagoon</v>
      </c>
      <c r="E157" s="49">
        <v>0.25</v>
      </c>
      <c r="F157" s="49">
        <v>0.25</v>
      </c>
      <c r="G157" s="49">
        <v>0.25</v>
      </c>
      <c r="H157" s="49">
        <v>0.25</v>
      </c>
      <c r="I157" s="49">
        <v>0.25</v>
      </c>
      <c r="J157" s="2" t="s">
        <v>19</v>
      </c>
      <c r="K157" s="2"/>
      <c r="L157" s="2"/>
      <c r="M157" s="2"/>
      <c r="N157" s="2"/>
      <c r="O157" s="2"/>
    </row>
    <row r="158" spans="4:15" ht="20.100000000000001" customHeight="1" x14ac:dyDescent="0.25">
      <c r="D158" s="1" t="str">
        <f>"Were solids separated from " &amp; $D$157 &amp; "?"</f>
        <v>Were solids separated from Anaerobic lagoon?</v>
      </c>
      <c r="E158" s="42" t="s">
        <v>189</v>
      </c>
      <c r="F158" s="2" t="s">
        <v>11</v>
      </c>
    </row>
    <row r="159" spans="4:15" ht="20.100000000000001" customHeight="1" x14ac:dyDescent="0.25">
      <c r="D159" s="1" t="str">
        <f>"Percent solids separated from " &amp; $D$157 &amp; " (Method 1 - Do not edit)"</f>
        <v>Percent solids separated from Anaerobic lagoon (Method 1 - Do not edit)</v>
      </c>
      <c r="E159" s="101">
        <v>0.2</v>
      </c>
      <c r="F159" s="2" t="s">
        <v>19</v>
      </c>
    </row>
    <row r="160" spans="4:15" ht="20.100000000000001" customHeight="1" x14ac:dyDescent="0.25">
      <c r="D160" s="1" t="str">
        <f>"Percent solids separated from " &amp; $D$157 &amp; " (Method 2 - Edit if known)"</f>
        <v>Percent solids separated from Anaerobic lagoon (Method 2 - Edit if known)</v>
      </c>
      <c r="E160" s="49">
        <v>0.2</v>
      </c>
      <c r="F160" s="2" t="s">
        <v>19</v>
      </c>
    </row>
    <row r="161" spans="4:15" ht="20.100000000000001" customHeight="1" x14ac:dyDescent="0.25"/>
    <row r="162" spans="4:15" ht="20.100000000000001" customHeight="1" x14ac:dyDescent="0.25">
      <c r="D162" s="56" t="str">
        <f>'Constants - Pature Beef'!$D$9</f>
        <v>Sump and dispersal system</v>
      </c>
      <c r="E162" s="49">
        <v>0.25</v>
      </c>
      <c r="F162" s="49">
        <v>0.25</v>
      </c>
      <c r="G162" s="49">
        <v>0.25</v>
      </c>
      <c r="H162" s="49">
        <v>0.25</v>
      </c>
      <c r="I162" s="49">
        <v>0.25</v>
      </c>
      <c r="J162" s="2" t="s">
        <v>19</v>
      </c>
      <c r="K162" s="2"/>
      <c r="L162" s="2"/>
      <c r="M162" s="2"/>
      <c r="N162" s="2"/>
      <c r="O162" s="2"/>
    </row>
    <row r="163" spans="4:15" ht="20.100000000000001" customHeight="1" x14ac:dyDescent="0.25">
      <c r="D163" s="1" t="str">
        <f>"Were solids separated from " &amp; $D$162 &amp; "?"</f>
        <v>Were solids separated from Sump and dispersal system?</v>
      </c>
      <c r="E163" s="42" t="s">
        <v>189</v>
      </c>
      <c r="F163" s="2" t="s">
        <v>11</v>
      </c>
    </row>
    <row r="164" spans="4:15" ht="20.100000000000001" customHeight="1" x14ac:dyDescent="0.25">
      <c r="D164" s="1" t="str">
        <f>"Percent solids separated from " &amp; $D$162 &amp; " (Method 1 - Do not edit)"</f>
        <v>Percent solids separated from Sump and dispersal system (Method 1 - Do not edit)</v>
      </c>
      <c r="E164" s="101">
        <v>0.2</v>
      </c>
      <c r="F164" s="2" t="s">
        <v>19</v>
      </c>
    </row>
    <row r="165" spans="4:15" ht="20.100000000000001" customHeight="1" x14ac:dyDescent="0.25">
      <c r="D165" s="1" t="str">
        <f>"Percent solids separated from " &amp; $D$162 &amp; " (Method 2 - Edit if known)"</f>
        <v>Percent solids separated from Sump and dispersal system (Method 2 - Edit if known)</v>
      </c>
      <c r="E165" s="49">
        <v>0.2</v>
      </c>
      <c r="F165" s="2" t="s">
        <v>19</v>
      </c>
    </row>
    <row r="167" spans="4:15" x14ac:dyDescent="0.25">
      <c r="D167" s="56" t="str">
        <f>'Constants - Pature Beef'!$D$10</f>
        <v>Drains to paddock</v>
      </c>
      <c r="E167" s="49">
        <v>0.25</v>
      </c>
      <c r="F167" s="49">
        <v>0.25</v>
      </c>
      <c r="G167" s="49">
        <v>0.25</v>
      </c>
      <c r="H167" s="49">
        <v>0.25</v>
      </c>
      <c r="I167" s="49">
        <v>0.25</v>
      </c>
      <c r="J167" s="2" t="s">
        <v>19</v>
      </c>
      <c r="K167" s="2"/>
      <c r="L167" s="2"/>
      <c r="M167" s="2"/>
      <c r="N167" s="2"/>
      <c r="O167" s="2"/>
    </row>
    <row r="168" spans="4:15" x14ac:dyDescent="0.25">
      <c r="D168" s="1" t="str">
        <f>"Were solids separated from " &amp; $D$167 &amp; "?"</f>
        <v>Were solids separated from Drains to paddock?</v>
      </c>
      <c r="E168" s="42" t="s">
        <v>189</v>
      </c>
      <c r="F168" s="2" t="s">
        <v>11</v>
      </c>
    </row>
    <row r="169" spans="4:15" x14ac:dyDescent="0.25">
      <c r="D169" s="1" t="str">
        <f>"Percent solids separated from " &amp; $D$167 &amp; " (Method 1 - Do not edit)"</f>
        <v>Percent solids separated from Drains to paddock (Method 1 - Do not edit)</v>
      </c>
      <c r="E169" s="101">
        <v>0.2</v>
      </c>
      <c r="F169" s="2" t="s">
        <v>19</v>
      </c>
    </row>
    <row r="170" spans="4:15" x14ac:dyDescent="0.25">
      <c r="D170" s="1" t="str">
        <f>"Percent solids separated from " &amp; $D$167 &amp; " (Method 2 - Edit if known)"</f>
        <v>Percent solids separated from Drains to paddock (Method 2 - Edit if known)</v>
      </c>
      <c r="E170" s="49">
        <v>0.2</v>
      </c>
      <c r="F170" s="2" t="s">
        <v>19</v>
      </c>
    </row>
    <row r="172" spans="4:15" x14ac:dyDescent="0.25">
      <c r="D172" s="56" t="str">
        <f>'Constants - Pature Beef'!$D$11</f>
        <v>Solid storage</v>
      </c>
      <c r="E172" s="49">
        <v>0.25</v>
      </c>
      <c r="F172" s="49">
        <v>0.25</v>
      </c>
      <c r="G172" s="49">
        <v>0.25</v>
      </c>
      <c r="H172" s="49">
        <v>0.25</v>
      </c>
      <c r="I172" s="49">
        <v>0.25</v>
      </c>
      <c r="J172" s="2" t="s">
        <v>19</v>
      </c>
      <c r="K172" s="2"/>
      <c r="L172" s="2"/>
      <c r="M172" s="2"/>
      <c r="N172" s="2"/>
      <c r="O172" s="2"/>
    </row>
    <row r="173" spans="4:15" x14ac:dyDescent="0.25">
      <c r="D173" s="1" t="str">
        <f>"Perecnt separated from " &amp; $D$157 &amp; " (Method 1)"</f>
        <v>Perecnt separated from Anaerobic lagoon (Method 1)</v>
      </c>
      <c r="E173" s="101">
        <f>E157*$E$159</f>
        <v>0.05</v>
      </c>
      <c r="F173" s="101">
        <f>F157*$E$159</f>
        <v>0.05</v>
      </c>
      <c r="G173" s="101">
        <f>G157*$E$159</f>
        <v>0.05</v>
      </c>
      <c r="H173" s="101">
        <f>H157*$E$159</f>
        <v>0.05</v>
      </c>
      <c r="I173" s="101">
        <f>I157*$E$159</f>
        <v>0.05</v>
      </c>
      <c r="J173" s="2" t="s">
        <v>19</v>
      </c>
      <c r="K173" s="2"/>
      <c r="L173" s="2"/>
      <c r="M173" s="2"/>
      <c r="N173" s="2"/>
      <c r="O173" s="2"/>
    </row>
    <row r="174" spans="4:15" x14ac:dyDescent="0.25">
      <c r="D174" s="1" t="str">
        <f>"Perecnt separated from " &amp; $D$162 &amp; " (Method 1)"</f>
        <v>Perecnt separated from Sump and dispersal system (Method 1)</v>
      </c>
      <c r="E174" s="101">
        <f>E162*$E$164</f>
        <v>0.05</v>
      </c>
      <c r="F174" s="101">
        <f>F162*$E$164</f>
        <v>0.05</v>
      </c>
      <c r="G174" s="101">
        <f>G162*$E$164</f>
        <v>0.05</v>
      </c>
      <c r="H174" s="101">
        <f>H162*$E$164</f>
        <v>0.05</v>
      </c>
      <c r="I174" s="101">
        <f>I162*$E$164</f>
        <v>0.05</v>
      </c>
      <c r="J174" s="2" t="s">
        <v>19</v>
      </c>
      <c r="K174" s="2"/>
      <c r="L174" s="2"/>
      <c r="M174" s="2"/>
      <c r="N174" s="2"/>
      <c r="O174" s="2"/>
    </row>
    <row r="175" spans="4:15" x14ac:dyDescent="0.25">
      <c r="D175" s="1" t="str">
        <f>"Perecnt separated from " &amp; $D$167 &amp; " (Method 1)"</f>
        <v>Perecnt separated from Drains to paddock (Method 1)</v>
      </c>
      <c r="E175" s="101">
        <f>E167*$E$169</f>
        <v>0.05</v>
      </c>
      <c r="F175" s="101">
        <f>F167*$E$169</f>
        <v>0.05</v>
      </c>
      <c r="G175" s="101">
        <f>G167*$E$169</f>
        <v>0.05</v>
      </c>
      <c r="H175" s="101">
        <f>H167*$E$169</f>
        <v>0.05</v>
      </c>
      <c r="I175" s="101">
        <f>I167*$E$169</f>
        <v>0.05</v>
      </c>
      <c r="J175" s="2" t="s">
        <v>19</v>
      </c>
      <c r="K175" s="2"/>
      <c r="L175" s="2"/>
      <c r="M175" s="2"/>
      <c r="N175" s="2"/>
      <c r="O175" s="2"/>
    </row>
    <row r="176" spans="4:15" x14ac:dyDescent="0.25">
      <c r="D176" s="1" t="s">
        <v>191</v>
      </c>
      <c r="E176" s="101">
        <f>E$172+SUM(E173:E175)</f>
        <v>0.4</v>
      </c>
      <c r="F176" s="101">
        <f>F$172+SUM(F173:F175)</f>
        <v>0.4</v>
      </c>
      <c r="G176" s="101">
        <f>G$172+SUM(G173:G175)</f>
        <v>0.4</v>
      </c>
      <c r="H176" s="101">
        <f>H$172+SUM(H173:H175)</f>
        <v>0.4</v>
      </c>
      <c r="I176" s="101">
        <f>I$172+SUM(I173:I175)</f>
        <v>0.4</v>
      </c>
      <c r="J176" s="2" t="s">
        <v>19</v>
      </c>
      <c r="K176" s="2"/>
      <c r="L176" s="2"/>
      <c r="M176" s="2"/>
      <c r="N176" s="2"/>
      <c r="O176" s="2"/>
    </row>
    <row r="178" spans="4:15" x14ac:dyDescent="0.25">
      <c r="D178" s="1" t="s">
        <v>190</v>
      </c>
      <c r="E178" s="101">
        <f>(E157-(E157*$E$159))+(E162-(E162*$E$164))+(E167-(E167*$E$169))+E176</f>
        <v>1</v>
      </c>
      <c r="F178" s="101">
        <f>(F157-(F157*$E$159))+(F162-(F162*$E$164))+(F167-(F167*$E$169))+F176</f>
        <v>1</v>
      </c>
      <c r="G178" s="101">
        <f>(G157-(G157*$E$159))+(G162-(G162*$E$164))+(G167-(G167*$E$169))+G176</f>
        <v>1</v>
      </c>
      <c r="H178" s="101">
        <f>(H157-(H157*$E$159))+(H162-(H162*$E$164))+(H167-(H167*$E$169))+H176</f>
        <v>1</v>
      </c>
      <c r="I178" s="101">
        <f>(I157-(I157*$E$159))+(I162-(I162*$E$164))+(I167-(I167*$E$169))+I176</f>
        <v>1</v>
      </c>
      <c r="J178" s="2" t="s">
        <v>19</v>
      </c>
      <c r="K178" s="2"/>
      <c r="L178" s="2"/>
      <c r="M178" s="2"/>
      <c r="N178" s="2"/>
      <c r="O178" s="2"/>
    </row>
    <row r="180" spans="4:15" x14ac:dyDescent="0.25">
      <c r="D180" s="1" t="str">
        <f>"Perecnt separated from " &amp; $D$157 &amp; " (Method 2)"</f>
        <v>Perecnt separated from Anaerobic lagoon (Method 2)</v>
      </c>
      <c r="E180" s="101">
        <f>E157*$E$160</f>
        <v>0.05</v>
      </c>
      <c r="F180" s="101">
        <f>F157*$E$160</f>
        <v>0.05</v>
      </c>
      <c r="G180" s="101">
        <f>G157*$E$160</f>
        <v>0.05</v>
      </c>
      <c r="H180" s="101">
        <f>H157*$E$160</f>
        <v>0.05</v>
      </c>
      <c r="I180" s="101">
        <f>I157*$E$160</f>
        <v>0.05</v>
      </c>
      <c r="J180" s="2" t="s">
        <v>19</v>
      </c>
      <c r="K180" s="2"/>
      <c r="L180" s="2"/>
      <c r="M180" s="2"/>
      <c r="N180" s="2"/>
      <c r="O180" s="2"/>
    </row>
    <row r="181" spans="4:15" x14ac:dyDescent="0.25">
      <c r="D181" s="1" t="str">
        <f>"Perecnt separated from " &amp; $D$162 &amp; " (Method 2)"</f>
        <v>Perecnt separated from Sump and dispersal system (Method 2)</v>
      </c>
      <c r="E181" s="101">
        <f>E162*$E$165</f>
        <v>0.05</v>
      </c>
      <c r="F181" s="101">
        <f>F162*$E$165</f>
        <v>0.05</v>
      </c>
      <c r="G181" s="101">
        <f>G162*$E$165</f>
        <v>0.05</v>
      </c>
      <c r="H181" s="101">
        <f>H162*$E$165</f>
        <v>0.05</v>
      </c>
      <c r="I181" s="101">
        <f>I162*$E$165</f>
        <v>0.05</v>
      </c>
      <c r="J181" s="2" t="s">
        <v>19</v>
      </c>
      <c r="K181" s="2"/>
      <c r="L181" s="2"/>
      <c r="M181" s="2"/>
      <c r="N181" s="2"/>
      <c r="O181" s="2"/>
    </row>
    <row r="182" spans="4:15" x14ac:dyDescent="0.25">
      <c r="D182" s="1" t="str">
        <f>"Perecnt separated from " &amp; $D$167 &amp; " (Method 2)"</f>
        <v>Perecnt separated from Drains to paddock (Method 2)</v>
      </c>
      <c r="E182" s="101">
        <f>E167*$E$170</f>
        <v>0.05</v>
      </c>
      <c r="F182" s="101">
        <f>F167*$E$170</f>
        <v>0.05</v>
      </c>
      <c r="G182" s="101">
        <f>G167*$E$170</f>
        <v>0.05</v>
      </c>
      <c r="H182" s="101">
        <f>H167*$E$170</f>
        <v>0.05</v>
      </c>
      <c r="I182" s="101">
        <f>I167*$E$170</f>
        <v>0.05</v>
      </c>
      <c r="J182" s="2" t="s">
        <v>19</v>
      </c>
      <c r="K182" s="2"/>
      <c r="L182" s="2"/>
      <c r="M182" s="2"/>
      <c r="N182" s="2"/>
      <c r="O182" s="2"/>
    </row>
    <row r="183" spans="4:15" x14ac:dyDescent="0.25">
      <c r="D183" s="1" t="s">
        <v>192</v>
      </c>
      <c r="E183" s="101">
        <f>E$172+SUM(E180:E182)</f>
        <v>0.4</v>
      </c>
      <c r="F183" s="101">
        <f>F$172+SUM(F180:F182)</f>
        <v>0.4</v>
      </c>
      <c r="G183" s="101">
        <f>G$172+SUM(G180:G182)</f>
        <v>0.4</v>
      </c>
      <c r="H183" s="101">
        <f>H$172+SUM(H180:H182)</f>
        <v>0.4</v>
      </c>
      <c r="I183" s="101">
        <f>I$172+SUM(I180:I182)</f>
        <v>0.4</v>
      </c>
      <c r="J183" s="2" t="s">
        <v>19</v>
      </c>
      <c r="K183" s="2"/>
      <c r="L183" s="2"/>
      <c r="M183" s="2"/>
      <c r="N183" s="2"/>
      <c r="O183" s="2"/>
    </row>
    <row r="185" spans="4:15" x14ac:dyDescent="0.25">
      <c r="D185" s="1" t="s">
        <v>193</v>
      </c>
      <c r="E185" s="101">
        <f>(E157-(E157*$E$160))+(E162-(E162*$E$165))+(E167-(E167*$E$170))+E183</f>
        <v>1</v>
      </c>
      <c r="F185" s="101">
        <f>(F157-(F157*$E$160))+(F162-(F162*$E$165))+(F167-(F167*$E$170))+F183</f>
        <v>1</v>
      </c>
      <c r="G185" s="101">
        <f>(G157-(G157*$E$160))+(G162-(G162*$E$165))+(G167-(G167*$E$170))+G183</f>
        <v>1</v>
      </c>
      <c r="H185" s="101">
        <f>(H157-(H157*$E$160))+(H162-(H162*$E$165))+(H167-(H167*$E$170))+H183</f>
        <v>1</v>
      </c>
      <c r="I185" s="101">
        <f>(I157-(I157*$E$160))+(I162-(I162*$E$165))+(I167-(I167*$E$170))+I183</f>
        <v>1</v>
      </c>
      <c r="J185" s="2" t="s">
        <v>19</v>
      </c>
      <c r="K185" s="2"/>
      <c r="L185" s="2"/>
      <c r="M185" s="2"/>
      <c r="N185" s="2"/>
      <c r="O185" s="2"/>
    </row>
    <row r="188" spans="4:15" ht="18.75" x14ac:dyDescent="0.25">
      <c r="D188" s="51" t="str">
        <f>"From " &amp; $D$145</f>
        <v>From Feed pad</v>
      </c>
    </row>
    <row r="190" spans="4:15" x14ac:dyDescent="0.25">
      <c r="D190" s="66" t="s">
        <v>100</v>
      </c>
      <c r="E190" s="41" t="s">
        <v>173</v>
      </c>
      <c r="F190" s="41" t="s">
        <v>175</v>
      </c>
      <c r="G190" s="41" t="s">
        <v>176</v>
      </c>
      <c r="H190" s="41" t="s">
        <v>177</v>
      </c>
      <c r="I190" s="41" t="s">
        <v>178</v>
      </c>
    </row>
    <row r="191" spans="4:15" x14ac:dyDescent="0.25">
      <c r="D191" s="56" t="str">
        <f>'Constants - Pature Beef'!$D$8</f>
        <v>Anaerobic lagoon</v>
      </c>
      <c r="E191" s="49">
        <v>0.25</v>
      </c>
      <c r="F191" s="49">
        <v>0.25</v>
      </c>
      <c r="G191" s="49">
        <v>0.25</v>
      </c>
      <c r="H191" s="49">
        <v>0.25</v>
      </c>
      <c r="I191" s="49">
        <v>0.25</v>
      </c>
      <c r="J191" s="2" t="s">
        <v>19</v>
      </c>
      <c r="K191" s="2"/>
      <c r="L191" s="2"/>
      <c r="M191" s="2"/>
      <c r="N191" s="2"/>
      <c r="O191" s="2"/>
    </row>
    <row r="192" spans="4:15" x14ac:dyDescent="0.25">
      <c r="D192" s="1" t="str">
        <f>"Were solids separated from " &amp; $D$157 &amp; "?"</f>
        <v>Were solids separated from Anaerobic lagoon?</v>
      </c>
      <c r="E192" s="42" t="s">
        <v>196</v>
      </c>
      <c r="F192" s="2" t="s">
        <v>11</v>
      </c>
    </row>
    <row r="193" spans="4:15" x14ac:dyDescent="0.25">
      <c r="D193" s="1" t="str">
        <f>"Percent solids separated from " &amp; $D$157 &amp; " (Method 1 - Do not edit)"</f>
        <v>Percent solids separated from Anaerobic lagoon (Method 1 - Do not edit)</v>
      </c>
      <c r="E193" s="101">
        <f>IF(E192="Yes", 20%, 0)</f>
        <v>0</v>
      </c>
      <c r="F193" s="2" t="s">
        <v>19</v>
      </c>
    </row>
    <row r="194" spans="4:15" x14ac:dyDescent="0.25">
      <c r="D194" s="1" t="str">
        <f>"Percent solids separated from " &amp; $D$157 &amp; " (Method 2 - Edit if known)"</f>
        <v>Percent solids separated from Anaerobic lagoon (Method 2 - Edit if known)</v>
      </c>
      <c r="E194" s="49">
        <f>IF(E192="Yes", 20%, 0)</f>
        <v>0</v>
      </c>
      <c r="F194" s="2" t="s">
        <v>19</v>
      </c>
    </row>
    <row r="196" spans="4:15" x14ac:dyDescent="0.25">
      <c r="D196" s="56" t="str">
        <f>'Constants - Pature Beef'!$D$9</f>
        <v>Sump and dispersal system</v>
      </c>
      <c r="E196" s="49">
        <v>0.25</v>
      </c>
      <c r="F196" s="49">
        <v>0.25</v>
      </c>
      <c r="G196" s="49">
        <v>0.25</v>
      </c>
      <c r="H196" s="49">
        <v>0.25</v>
      </c>
      <c r="I196" s="49">
        <v>0.25</v>
      </c>
      <c r="J196" s="2" t="s">
        <v>19</v>
      </c>
      <c r="K196" s="2"/>
      <c r="L196" s="2"/>
      <c r="M196" s="2"/>
      <c r="N196" s="2"/>
      <c r="O196" s="2"/>
    </row>
    <row r="197" spans="4:15" x14ac:dyDescent="0.25">
      <c r="D197" s="1" t="str">
        <f>"Were solids separated from " &amp; $D$162 &amp; "?"</f>
        <v>Were solids separated from Sump and dispersal system?</v>
      </c>
      <c r="E197" s="42" t="s">
        <v>189</v>
      </c>
      <c r="F197" s="2" t="s">
        <v>11</v>
      </c>
    </row>
    <row r="198" spans="4:15" x14ac:dyDescent="0.25">
      <c r="D198" s="1" t="str">
        <f>"Percent solids separated from " &amp; $D$162 &amp; " (Method 1 - Do not edit)"</f>
        <v>Percent solids separated from Sump and dispersal system (Method 1 - Do not edit)</v>
      </c>
      <c r="E198" s="101">
        <f>IF(E197="Yes", 20%, 0)</f>
        <v>0.2</v>
      </c>
      <c r="F198" s="2" t="s">
        <v>19</v>
      </c>
    </row>
    <row r="199" spans="4:15" x14ac:dyDescent="0.25">
      <c r="D199" s="1" t="str">
        <f>"Percent solids separated from " &amp; $D$162 &amp; " (Method 2 - Edit if known)"</f>
        <v>Percent solids separated from Sump and dispersal system (Method 2 - Edit if known)</v>
      </c>
      <c r="E199" s="49">
        <f>IF(E197="Yes", 20%, 0)</f>
        <v>0.2</v>
      </c>
      <c r="F199" s="2" t="s">
        <v>19</v>
      </c>
    </row>
    <row r="201" spans="4:15" x14ac:dyDescent="0.25">
      <c r="D201" s="56" t="str">
        <f>'Constants - Pature Beef'!$D$10</f>
        <v>Drains to paddock</v>
      </c>
      <c r="E201" s="49">
        <v>0.25</v>
      </c>
      <c r="F201" s="49">
        <v>0.25</v>
      </c>
      <c r="G201" s="49">
        <v>0.25</v>
      </c>
      <c r="H201" s="49">
        <v>0.25</v>
      </c>
      <c r="I201" s="49">
        <v>0.25</v>
      </c>
      <c r="J201" s="2" t="s">
        <v>19</v>
      </c>
      <c r="K201" s="2"/>
      <c r="L201" s="2"/>
      <c r="M201" s="2"/>
      <c r="N201" s="2"/>
      <c r="O201" s="2"/>
    </row>
    <row r="202" spans="4:15" x14ac:dyDescent="0.25">
      <c r="D202" s="1" t="str">
        <f>"Were solids separated from " &amp; $D$167 &amp; "?"</f>
        <v>Were solids separated from Drains to paddock?</v>
      </c>
      <c r="E202" s="42" t="s">
        <v>189</v>
      </c>
      <c r="F202" s="2" t="s">
        <v>11</v>
      </c>
    </row>
    <row r="203" spans="4:15" x14ac:dyDescent="0.25">
      <c r="D203" s="1" t="str">
        <f>"Percent solids separated from " &amp; $D$167 &amp; " (Method 1 - Do not edit)"</f>
        <v>Percent solids separated from Drains to paddock (Method 1 - Do not edit)</v>
      </c>
      <c r="E203" s="101">
        <f>IF(E202="Yes", 20%, 0)</f>
        <v>0.2</v>
      </c>
      <c r="F203" s="2" t="s">
        <v>19</v>
      </c>
    </row>
    <row r="204" spans="4:15" x14ac:dyDescent="0.25">
      <c r="D204" s="1" t="str">
        <f>"Percent solids separated from " &amp; $D$167 &amp; " (Method 2 - Edit if known)"</f>
        <v>Percent solids separated from Drains to paddock (Method 2 - Edit if known)</v>
      </c>
      <c r="E204" s="49">
        <f>IF(E202="Yes", 20%, 0)</f>
        <v>0.2</v>
      </c>
      <c r="F204" s="2" t="s">
        <v>19</v>
      </c>
    </row>
    <row r="206" spans="4:15" x14ac:dyDescent="0.25">
      <c r="D206" s="56" t="str">
        <f>'Constants - Pature Beef'!$D$11</f>
        <v>Solid storage</v>
      </c>
      <c r="E206" s="49">
        <v>0.25</v>
      </c>
      <c r="F206" s="49">
        <v>0.25</v>
      </c>
      <c r="G206" s="49">
        <v>0.25</v>
      </c>
      <c r="H206" s="49">
        <v>0.25</v>
      </c>
      <c r="I206" s="49">
        <v>0.25</v>
      </c>
      <c r="J206" s="2" t="s">
        <v>19</v>
      </c>
      <c r="K206" s="2"/>
      <c r="L206" s="2"/>
      <c r="M206" s="2"/>
      <c r="N206" s="2"/>
      <c r="O206" s="2"/>
    </row>
    <row r="207" spans="4:15" x14ac:dyDescent="0.25">
      <c r="D207" s="1" t="str">
        <f>"Perecnt separated from " &amp; $D$157 &amp; " (Method 1)"</f>
        <v>Perecnt separated from Anaerobic lagoon (Method 1)</v>
      </c>
      <c r="E207" s="101">
        <f>E191*$E$193</f>
        <v>0</v>
      </c>
      <c r="F207" s="101">
        <f>F191*$E$193</f>
        <v>0</v>
      </c>
      <c r="G207" s="101">
        <f>G191*$E$193</f>
        <v>0</v>
      </c>
      <c r="H207" s="101">
        <f>H191*$E$193</f>
        <v>0</v>
      </c>
      <c r="I207" s="101">
        <f>I191*$E$193</f>
        <v>0</v>
      </c>
      <c r="J207" s="2" t="s">
        <v>19</v>
      </c>
      <c r="K207" s="2"/>
      <c r="L207" s="2"/>
      <c r="M207" s="2"/>
      <c r="N207" s="2"/>
      <c r="O207" s="2"/>
    </row>
    <row r="208" spans="4:15" x14ac:dyDescent="0.25">
      <c r="D208" s="1" t="str">
        <f>"Perecnt separated from " &amp; $D$162 &amp; " (Method 1)"</f>
        <v>Perecnt separated from Sump and dispersal system (Method 1)</v>
      </c>
      <c r="E208" s="101">
        <f>E196*$E$198</f>
        <v>0.05</v>
      </c>
      <c r="F208" s="101">
        <f>F196*$E$198</f>
        <v>0.05</v>
      </c>
      <c r="G208" s="101">
        <f>G196*$E$198</f>
        <v>0.05</v>
      </c>
      <c r="H208" s="101">
        <f>H196*$E$198</f>
        <v>0.05</v>
      </c>
      <c r="I208" s="101">
        <f>I196*$E$198</f>
        <v>0.05</v>
      </c>
      <c r="J208" s="2" t="s">
        <v>19</v>
      </c>
      <c r="K208" s="2"/>
      <c r="L208" s="2"/>
      <c r="M208" s="2"/>
      <c r="N208" s="2"/>
      <c r="O208" s="2"/>
    </row>
    <row r="209" spans="4:15" x14ac:dyDescent="0.25">
      <c r="D209" s="1" t="str">
        <f>"Perecnt separated from " &amp; $D$167 &amp; " (Method 1)"</f>
        <v>Perecnt separated from Drains to paddock (Method 1)</v>
      </c>
      <c r="E209" s="101">
        <f>E201*$E$203</f>
        <v>0.05</v>
      </c>
      <c r="F209" s="101">
        <f>F201*$E$203</f>
        <v>0.05</v>
      </c>
      <c r="G209" s="101">
        <f>G201*$E$203</f>
        <v>0.05</v>
      </c>
      <c r="H209" s="101">
        <f>H201*$E$203</f>
        <v>0.05</v>
      </c>
      <c r="I209" s="101">
        <f>I201*$E$203</f>
        <v>0.05</v>
      </c>
      <c r="J209" s="2" t="s">
        <v>19</v>
      </c>
      <c r="K209" s="2"/>
      <c r="L209" s="2"/>
      <c r="M209" s="2"/>
      <c r="N209" s="2"/>
      <c r="O209" s="2"/>
    </row>
    <row r="210" spans="4:15" x14ac:dyDescent="0.25">
      <c r="D210" s="1" t="s">
        <v>191</v>
      </c>
      <c r="E210" s="101">
        <f>E$206+SUM(E207:E209)</f>
        <v>0.35</v>
      </c>
      <c r="F210" s="101">
        <f>F$206+SUM(F207:F209)</f>
        <v>0.35</v>
      </c>
      <c r="G210" s="101">
        <f>G$206+SUM(G207:G209)</f>
        <v>0.35</v>
      </c>
      <c r="H210" s="101">
        <f>H$206+SUM(H207:H209)</f>
        <v>0.35</v>
      </c>
      <c r="I210" s="101">
        <f>I$206+SUM(I207:I209)</f>
        <v>0.35</v>
      </c>
      <c r="J210" s="2" t="s">
        <v>19</v>
      </c>
      <c r="K210" s="2"/>
      <c r="L210" s="2"/>
      <c r="M210" s="2"/>
      <c r="N210" s="2"/>
      <c r="O210" s="2"/>
    </row>
    <row r="212" spans="4:15" x14ac:dyDescent="0.25">
      <c r="D212" s="1" t="s">
        <v>190</v>
      </c>
      <c r="E212" s="101">
        <f>(E191-(E191*$E$193))+(E196-(E196*$E$198))+(E201-(E201*$E$203))+E210</f>
        <v>1</v>
      </c>
      <c r="F212" s="101">
        <f>(F191-(F191*$E$193))+(F196-(F196*$E$198))+(F201-(F201*$E$203))+F210</f>
        <v>1</v>
      </c>
      <c r="G212" s="101">
        <f>(G191-(G191*$E$193))+(G196-(G196*$E$198))+(G201-(G201*$E$203))+G210</f>
        <v>1</v>
      </c>
      <c r="H212" s="101">
        <f>(H191-(H191*$E$193))+(H196-(H196*$E$198))+(H201-(H201*$E$203))+H210</f>
        <v>1</v>
      </c>
      <c r="I212" s="101">
        <f>(I191-(I191*$E$193))+(I196-(I196*$E$198))+(I201-(I201*$E$203))+I210</f>
        <v>1</v>
      </c>
      <c r="J212" s="2" t="s">
        <v>19</v>
      </c>
      <c r="K212" s="2"/>
      <c r="L212" s="2"/>
      <c r="M212" s="2"/>
      <c r="N212" s="2"/>
      <c r="O212" s="2"/>
    </row>
    <row r="214" spans="4:15" x14ac:dyDescent="0.25">
      <c r="D214" s="1" t="str">
        <f>"Perecnt separated from " &amp; $D$157 &amp; " (Method 2)"</f>
        <v>Perecnt separated from Anaerobic lagoon (Method 2)</v>
      </c>
      <c r="E214" s="101">
        <f>E191*$E$194</f>
        <v>0</v>
      </c>
      <c r="F214" s="101">
        <f>F191*$E$194</f>
        <v>0</v>
      </c>
      <c r="G214" s="101">
        <f>G191*$E$194</f>
        <v>0</v>
      </c>
      <c r="H214" s="101">
        <f>H191*$E$194</f>
        <v>0</v>
      </c>
      <c r="I214" s="101">
        <f>I191*$E$194</f>
        <v>0</v>
      </c>
      <c r="J214" s="2" t="s">
        <v>19</v>
      </c>
      <c r="K214" s="2"/>
      <c r="L214" s="2"/>
      <c r="M214" s="2"/>
      <c r="N214" s="2"/>
      <c r="O214" s="2"/>
    </row>
    <row r="215" spans="4:15" x14ac:dyDescent="0.25">
      <c r="D215" s="1" t="str">
        <f>"Perecnt separated from " &amp; $D$162 &amp; " (Method 2)"</f>
        <v>Perecnt separated from Sump and dispersal system (Method 2)</v>
      </c>
      <c r="E215" s="101">
        <f>E196*$E$199</f>
        <v>0.05</v>
      </c>
      <c r="F215" s="101">
        <f>F196*$E$199</f>
        <v>0.05</v>
      </c>
      <c r="G215" s="101">
        <f>G196*$E$199</f>
        <v>0.05</v>
      </c>
      <c r="H215" s="101">
        <f>H196*$E$199</f>
        <v>0.05</v>
      </c>
      <c r="I215" s="101">
        <f>I196*$E$199</f>
        <v>0.05</v>
      </c>
      <c r="J215" s="2" t="s">
        <v>19</v>
      </c>
      <c r="K215" s="2"/>
      <c r="L215" s="2"/>
      <c r="M215" s="2"/>
      <c r="N215" s="2"/>
      <c r="O215" s="2"/>
    </row>
    <row r="216" spans="4:15" x14ac:dyDescent="0.25">
      <c r="D216" s="1" t="str">
        <f>"Perecnt separated from " &amp; $D$167 &amp; " (Method 2)"</f>
        <v>Perecnt separated from Drains to paddock (Method 2)</v>
      </c>
      <c r="E216" s="101">
        <f>E201*$E$204</f>
        <v>0.05</v>
      </c>
      <c r="F216" s="101">
        <f>F201*$E$204</f>
        <v>0.05</v>
      </c>
      <c r="G216" s="101">
        <f>G201*$E$204</f>
        <v>0.05</v>
      </c>
      <c r="H216" s="101">
        <f>H201*$E$204</f>
        <v>0.05</v>
      </c>
      <c r="I216" s="101">
        <f>I201*$E$204</f>
        <v>0.05</v>
      </c>
      <c r="J216" s="2" t="s">
        <v>19</v>
      </c>
      <c r="K216" s="2"/>
      <c r="L216" s="2"/>
      <c r="M216" s="2"/>
      <c r="N216" s="2"/>
      <c r="O216" s="2"/>
    </row>
    <row r="217" spans="4:15" x14ac:dyDescent="0.25">
      <c r="D217" s="1" t="s">
        <v>192</v>
      </c>
      <c r="E217" s="101">
        <f>E$206+SUM(E214:E216)</f>
        <v>0.35</v>
      </c>
      <c r="F217" s="101">
        <f>F$206+SUM(F214:F216)</f>
        <v>0.35</v>
      </c>
      <c r="G217" s="101">
        <f>G$206+SUM(G214:G216)</f>
        <v>0.35</v>
      </c>
      <c r="H217" s="101">
        <f>H$206+SUM(H214:H216)</f>
        <v>0.35</v>
      </c>
      <c r="I217" s="101">
        <f>I$206+SUM(I214:I216)</f>
        <v>0.35</v>
      </c>
      <c r="J217" s="2" t="s">
        <v>19</v>
      </c>
      <c r="K217" s="2"/>
      <c r="L217" s="2"/>
      <c r="M217" s="2"/>
      <c r="N217" s="2"/>
      <c r="O217" s="2"/>
    </row>
    <row r="218" spans="4:15" x14ac:dyDescent="0.25">
      <c r="E218" s="134"/>
      <c r="F218" s="134"/>
    </row>
    <row r="219" spans="4:15" x14ac:dyDescent="0.25">
      <c r="D219" s="1" t="s">
        <v>193</v>
      </c>
      <c r="E219" s="101">
        <f>(E191-(E191*$E$194))+(E196-(E196*$E$199))+(E201-(E201*$E$204))+E217</f>
        <v>1</v>
      </c>
      <c r="F219" s="101">
        <f>(F191-(F191*$E$194))+(F196-(F196*$E$199))+(F201-(F201*$E$204))+F217</f>
        <v>1</v>
      </c>
      <c r="G219" s="101">
        <f>(G191-(G191*$E$194))+(G196-(G196*$E$199))+(G201-(G201*$E$204))+G217</f>
        <v>1</v>
      </c>
      <c r="H219" s="101">
        <f>(H191-(H191*$E$194))+(H196-(H196*$E$199))+(H201-(H201*$E$204))+H217</f>
        <v>1</v>
      </c>
      <c r="I219" s="101">
        <f>(I191-(I191*$E$194))+(I196-(I196*$E$199))+(I201-(I201*$E$204))+I217</f>
        <v>1</v>
      </c>
      <c r="J219" s="2" t="s">
        <v>19</v>
      </c>
      <c r="K219" s="2"/>
      <c r="L219" s="2"/>
      <c r="M219" s="2"/>
      <c r="N219" s="2"/>
      <c r="O219" s="2"/>
    </row>
    <row r="222" spans="4:15" ht="23.25" x14ac:dyDescent="0.25">
      <c r="D222" s="6" t="s">
        <v>194</v>
      </c>
    </row>
    <row r="223" spans="4:15" ht="18.75" x14ac:dyDescent="0.25">
      <c r="D223" s="51" t="str">
        <f>"From " &amp; $D$144</f>
        <v>From Milking shed</v>
      </c>
    </row>
    <row r="225" spans="4:15" x14ac:dyDescent="0.25">
      <c r="D225" s="66" t="s">
        <v>100</v>
      </c>
      <c r="E225" s="41" t="s">
        <v>173</v>
      </c>
      <c r="F225" s="41" t="s">
        <v>175</v>
      </c>
      <c r="G225" s="41" t="s">
        <v>176</v>
      </c>
      <c r="H225" s="41" t="s">
        <v>177</v>
      </c>
      <c r="I225" s="41" t="s">
        <v>178</v>
      </c>
    </row>
    <row r="226" spans="4:15" x14ac:dyDescent="0.25">
      <c r="D226" s="56" t="str">
        <f>"Sent from stage 1: " &amp; $D$157 &amp; " to:"</f>
        <v>Sent from stage 1: Anaerobic lagoon to:</v>
      </c>
      <c r="E226" s="58"/>
    </row>
    <row r="227" spans="4:15" x14ac:dyDescent="0.25">
      <c r="D227" s="1" t="s">
        <v>106</v>
      </c>
      <c r="E227" s="49">
        <v>0.25</v>
      </c>
      <c r="F227" s="49">
        <v>0.25</v>
      </c>
      <c r="G227" s="49">
        <v>0.25</v>
      </c>
      <c r="H227" s="49">
        <v>0.25</v>
      </c>
      <c r="I227" s="49">
        <v>0.25</v>
      </c>
      <c r="J227" s="2" t="s">
        <v>19</v>
      </c>
      <c r="K227" s="2"/>
      <c r="L227" s="2"/>
      <c r="M227" s="2"/>
      <c r="N227" s="2"/>
      <c r="O227" s="2"/>
    </row>
    <row r="228" spans="4:15" x14ac:dyDescent="0.25">
      <c r="D228" s="1" t="s">
        <v>198</v>
      </c>
      <c r="E228" s="49">
        <v>0.25</v>
      </c>
      <c r="F228" s="49">
        <v>0.25</v>
      </c>
      <c r="G228" s="49">
        <v>0.25</v>
      </c>
      <c r="H228" s="49">
        <v>0.25</v>
      </c>
      <c r="I228" s="49">
        <v>0.25</v>
      </c>
      <c r="J228" s="2" t="s">
        <v>19</v>
      </c>
      <c r="K228" s="2"/>
      <c r="L228" s="2"/>
      <c r="M228" s="2"/>
      <c r="N228" s="2"/>
      <c r="O228" s="2"/>
    </row>
    <row r="229" spans="4:15" x14ac:dyDescent="0.25">
      <c r="D229" s="1" t="s">
        <v>122</v>
      </c>
      <c r="E229" s="101">
        <f t="shared" ref="E229:I229" si="2">1-SUM(E227:E228)</f>
        <v>0.5</v>
      </c>
      <c r="F229" s="101">
        <f t="shared" si="2"/>
        <v>0.5</v>
      </c>
      <c r="G229" s="101">
        <f t="shared" si="2"/>
        <v>0.5</v>
      </c>
      <c r="H229" s="101">
        <f t="shared" si="2"/>
        <v>0.5</v>
      </c>
      <c r="I229" s="101">
        <f t="shared" si="2"/>
        <v>0.5</v>
      </c>
      <c r="J229" s="2" t="s">
        <v>19</v>
      </c>
      <c r="K229" s="2"/>
      <c r="L229" s="2"/>
      <c r="M229" s="2"/>
      <c r="N229" s="2"/>
      <c r="O229" s="2"/>
    </row>
    <row r="231" spans="4:15" x14ac:dyDescent="0.25">
      <c r="D231" s="56" t="str">
        <f>"Sent from stage 1: " &amp; $D$162 &amp; " to:"</f>
        <v>Sent from stage 1: Sump and dispersal system to:</v>
      </c>
    </row>
    <row r="232" spans="4:15" x14ac:dyDescent="0.25">
      <c r="D232" s="1" t="s">
        <v>106</v>
      </c>
      <c r="E232" s="49">
        <v>0.25</v>
      </c>
      <c r="F232" s="49">
        <v>0.25</v>
      </c>
      <c r="G232" s="49">
        <v>0.25</v>
      </c>
      <c r="H232" s="49">
        <v>0.25</v>
      </c>
      <c r="I232" s="49">
        <v>0.25</v>
      </c>
      <c r="J232" s="2" t="s">
        <v>19</v>
      </c>
      <c r="K232" s="2"/>
      <c r="L232" s="2"/>
      <c r="M232" s="2"/>
      <c r="N232" s="2"/>
      <c r="O232" s="2"/>
    </row>
    <row r="233" spans="4:15" x14ac:dyDescent="0.25">
      <c r="D233" s="1" t="s">
        <v>198</v>
      </c>
      <c r="E233" s="49">
        <v>0.25</v>
      </c>
      <c r="F233" s="49">
        <v>0.25</v>
      </c>
      <c r="G233" s="49">
        <v>0.25</v>
      </c>
      <c r="H233" s="49">
        <v>0.25</v>
      </c>
      <c r="I233" s="49">
        <v>0.25</v>
      </c>
      <c r="J233" s="2" t="s">
        <v>19</v>
      </c>
      <c r="K233" s="2"/>
      <c r="L233" s="2"/>
      <c r="M233" s="2"/>
      <c r="N233" s="2"/>
      <c r="O233" s="2"/>
    </row>
    <row r="234" spans="4:15" x14ac:dyDescent="0.25">
      <c r="D234" s="1" t="s">
        <v>122</v>
      </c>
      <c r="E234" s="101">
        <f>1-SUM(E232:E233)</f>
        <v>0.5</v>
      </c>
      <c r="F234" s="101">
        <f t="shared" ref="F234:I234" si="3">1-SUM(F232:F233)</f>
        <v>0.5</v>
      </c>
      <c r="G234" s="101">
        <f t="shared" si="3"/>
        <v>0.5</v>
      </c>
      <c r="H234" s="101">
        <f t="shared" si="3"/>
        <v>0.5</v>
      </c>
      <c r="I234" s="101">
        <f t="shared" si="3"/>
        <v>0.5</v>
      </c>
      <c r="J234" s="2" t="s">
        <v>19</v>
      </c>
      <c r="K234" s="2"/>
      <c r="L234" s="2"/>
      <c r="M234" s="2"/>
      <c r="N234" s="2"/>
      <c r="O234" s="2"/>
    </row>
    <row r="236" spans="4:15" x14ac:dyDescent="0.25">
      <c r="D236" s="56" t="str">
        <f>"Sent from stage 1: " &amp; $D$167 &amp; " to:"</f>
        <v>Sent from stage 1: Drains to paddock to:</v>
      </c>
    </row>
    <row r="237" spans="4:15" x14ac:dyDescent="0.25">
      <c r="D237" s="1" t="s">
        <v>106</v>
      </c>
      <c r="E237" s="49">
        <v>0.25</v>
      </c>
      <c r="F237" s="49">
        <v>0.25</v>
      </c>
      <c r="G237" s="49">
        <v>0.25</v>
      </c>
      <c r="H237" s="49">
        <v>0.25</v>
      </c>
      <c r="I237" s="49">
        <v>0.25</v>
      </c>
      <c r="J237" s="2" t="s">
        <v>19</v>
      </c>
      <c r="K237" s="2"/>
      <c r="L237" s="2"/>
      <c r="M237" s="2"/>
      <c r="N237" s="2"/>
      <c r="O237" s="2"/>
    </row>
    <row r="238" spans="4:15" x14ac:dyDescent="0.25">
      <c r="D238" s="1" t="s">
        <v>198</v>
      </c>
      <c r="E238" s="49">
        <v>0.25</v>
      </c>
      <c r="F238" s="49">
        <v>0.25</v>
      </c>
      <c r="G238" s="49">
        <v>0.25</v>
      </c>
      <c r="H238" s="49">
        <v>0.25</v>
      </c>
      <c r="I238" s="49">
        <v>0.25</v>
      </c>
      <c r="J238" s="2" t="s">
        <v>19</v>
      </c>
      <c r="K238" s="2"/>
      <c r="L238" s="2"/>
      <c r="M238" s="2"/>
      <c r="N238" s="2"/>
      <c r="O238" s="2"/>
    </row>
    <row r="239" spans="4:15" x14ac:dyDescent="0.25">
      <c r="D239" s="1" t="s">
        <v>122</v>
      </c>
      <c r="E239" s="101">
        <f>1-SUM(E237:E238)</f>
        <v>0.5</v>
      </c>
      <c r="F239" s="101">
        <f t="shared" ref="F239:I239" si="4">1-SUM(F237:F238)</f>
        <v>0.5</v>
      </c>
      <c r="G239" s="101">
        <f t="shared" si="4"/>
        <v>0.5</v>
      </c>
      <c r="H239" s="101">
        <f t="shared" si="4"/>
        <v>0.5</v>
      </c>
      <c r="I239" s="101">
        <f t="shared" si="4"/>
        <v>0.5</v>
      </c>
      <c r="J239" s="2" t="s">
        <v>19</v>
      </c>
      <c r="K239" s="2"/>
      <c r="L239" s="2"/>
      <c r="M239" s="2"/>
      <c r="N239" s="2"/>
      <c r="O239" s="2"/>
    </row>
    <row r="241" spans="4:15" x14ac:dyDescent="0.25">
      <c r="D241" s="56" t="str">
        <f>"Sent from stage 1: " &amp; $D$172 &amp; " to:"</f>
        <v>Sent from stage 1: Solid storage to:</v>
      </c>
    </row>
    <row r="242" spans="4:15" x14ac:dyDescent="0.25">
      <c r="D242" s="1" t="s">
        <v>106</v>
      </c>
      <c r="E242" s="49">
        <v>0.25</v>
      </c>
      <c r="F242" s="49">
        <v>0.25</v>
      </c>
      <c r="G242" s="49">
        <v>0.25</v>
      </c>
      <c r="H242" s="49">
        <v>0.25</v>
      </c>
      <c r="I242" s="49">
        <v>0.25</v>
      </c>
      <c r="J242" s="2" t="s">
        <v>19</v>
      </c>
      <c r="K242" s="2"/>
      <c r="L242" s="2"/>
      <c r="M242" s="2"/>
      <c r="N242" s="2"/>
      <c r="O242" s="2"/>
    </row>
    <row r="243" spans="4:15" x14ac:dyDescent="0.25">
      <c r="D243" s="1" t="s">
        <v>198</v>
      </c>
      <c r="E243" s="49">
        <v>0.25</v>
      </c>
      <c r="F243" s="49">
        <v>0.25</v>
      </c>
      <c r="G243" s="49">
        <v>0.25</v>
      </c>
      <c r="H243" s="49">
        <v>0.25</v>
      </c>
      <c r="I243" s="49">
        <v>0.25</v>
      </c>
      <c r="J243" s="2" t="s">
        <v>19</v>
      </c>
      <c r="K243" s="2"/>
      <c r="L243" s="2"/>
      <c r="M243" s="2"/>
      <c r="N243" s="2"/>
      <c r="O243" s="2"/>
    </row>
    <row r="244" spans="4:15" x14ac:dyDescent="0.25">
      <c r="D244" s="1" t="s">
        <v>122</v>
      </c>
      <c r="E244" s="101">
        <f>1-SUM(E242:E243)</f>
        <v>0.5</v>
      </c>
      <c r="F244" s="101">
        <f t="shared" ref="F244:I244" si="5">1-SUM(F242:F243)</f>
        <v>0.5</v>
      </c>
      <c r="G244" s="101">
        <f t="shared" si="5"/>
        <v>0.5</v>
      </c>
      <c r="H244" s="101">
        <f t="shared" si="5"/>
        <v>0.5</v>
      </c>
      <c r="I244" s="101">
        <f t="shared" si="5"/>
        <v>0.5</v>
      </c>
      <c r="J244" s="2" t="s">
        <v>19</v>
      </c>
      <c r="K244" s="2"/>
      <c r="L244" s="2"/>
      <c r="M244" s="2"/>
      <c r="N244" s="2"/>
      <c r="O244" s="2"/>
    </row>
    <row r="246" spans="4:15" x14ac:dyDescent="0.25">
      <c r="D246" s="112"/>
    </row>
    <row r="247" spans="4:15" ht="18.75" x14ac:dyDescent="0.25">
      <c r="D247" s="51" t="str">
        <f>"From " &amp; $D$145</f>
        <v>From Feed pad</v>
      </c>
    </row>
    <row r="249" spans="4:15" x14ac:dyDescent="0.25">
      <c r="D249" s="66" t="s">
        <v>100</v>
      </c>
      <c r="E249" s="41" t="s">
        <v>173</v>
      </c>
      <c r="F249" s="41" t="s">
        <v>175</v>
      </c>
      <c r="G249" s="41" t="s">
        <v>176</v>
      </c>
      <c r="H249" s="41" t="s">
        <v>177</v>
      </c>
      <c r="I249" s="41" t="s">
        <v>178</v>
      </c>
    </row>
    <row r="250" spans="4:15" x14ac:dyDescent="0.25">
      <c r="D250" s="56" t="str">
        <f>"Sent from stage 1: " &amp; $D$157 &amp; " to:"</f>
        <v>Sent from stage 1: Anaerobic lagoon to:</v>
      </c>
      <c r="E250" s="58"/>
    </row>
    <row r="251" spans="4:15" x14ac:dyDescent="0.25">
      <c r="D251" s="1" t="s">
        <v>106</v>
      </c>
      <c r="E251" s="49">
        <v>0.25</v>
      </c>
      <c r="F251" s="49">
        <v>0.25</v>
      </c>
      <c r="G251" s="49">
        <v>0.25</v>
      </c>
      <c r="H251" s="49">
        <v>0.25</v>
      </c>
      <c r="I251" s="49">
        <v>0.25</v>
      </c>
      <c r="J251" s="2" t="s">
        <v>19</v>
      </c>
      <c r="K251" s="2"/>
      <c r="L251" s="2"/>
      <c r="M251" s="2"/>
      <c r="N251" s="2"/>
      <c r="O251" s="2"/>
    </row>
    <row r="252" spans="4:15" x14ac:dyDescent="0.25">
      <c r="D252" s="1" t="s">
        <v>198</v>
      </c>
      <c r="E252" s="49">
        <v>0.25</v>
      </c>
      <c r="F252" s="49">
        <v>0.25</v>
      </c>
      <c r="G252" s="49">
        <v>0.25</v>
      </c>
      <c r="H252" s="49">
        <v>0.25</v>
      </c>
      <c r="I252" s="49">
        <v>0.25</v>
      </c>
      <c r="J252" s="2" t="s">
        <v>19</v>
      </c>
      <c r="K252" s="2"/>
      <c r="L252" s="2"/>
      <c r="M252" s="2"/>
      <c r="N252" s="2"/>
      <c r="O252" s="2"/>
    </row>
    <row r="253" spans="4:15" x14ac:dyDescent="0.25">
      <c r="D253" s="1" t="s">
        <v>122</v>
      </c>
      <c r="E253" s="101">
        <f t="shared" ref="E253:I253" si="6">1-SUM(E251:E252)</f>
        <v>0.5</v>
      </c>
      <c r="F253" s="101">
        <f t="shared" si="6"/>
        <v>0.5</v>
      </c>
      <c r="G253" s="101">
        <f t="shared" si="6"/>
        <v>0.5</v>
      </c>
      <c r="H253" s="101">
        <f t="shared" si="6"/>
        <v>0.5</v>
      </c>
      <c r="I253" s="101">
        <f t="shared" si="6"/>
        <v>0.5</v>
      </c>
      <c r="J253" s="2" t="s">
        <v>19</v>
      </c>
      <c r="K253" s="2"/>
      <c r="L253" s="2"/>
      <c r="M253" s="2"/>
      <c r="N253" s="2"/>
      <c r="O253" s="2"/>
    </row>
    <row r="255" spans="4:15" x14ac:dyDescent="0.25">
      <c r="D255" s="56" t="str">
        <f>"Sent from stage 1: " &amp; $D$162 &amp; " to:"</f>
        <v>Sent from stage 1: Sump and dispersal system to:</v>
      </c>
    </row>
    <row r="256" spans="4:15" x14ac:dyDescent="0.25">
      <c r="D256" s="1" t="s">
        <v>106</v>
      </c>
      <c r="E256" s="49">
        <v>0.25</v>
      </c>
      <c r="F256" s="49">
        <v>0.25</v>
      </c>
      <c r="G256" s="49">
        <v>0.25</v>
      </c>
      <c r="H256" s="49">
        <v>0.25</v>
      </c>
      <c r="I256" s="49">
        <v>0.25</v>
      </c>
      <c r="J256" s="2" t="s">
        <v>19</v>
      </c>
      <c r="K256" s="2"/>
      <c r="L256" s="2"/>
      <c r="M256" s="2"/>
      <c r="N256" s="2"/>
      <c r="O256" s="2"/>
    </row>
    <row r="257" spans="4:15" x14ac:dyDescent="0.25">
      <c r="D257" s="1" t="s">
        <v>198</v>
      </c>
      <c r="E257" s="49">
        <v>0.25</v>
      </c>
      <c r="F257" s="49">
        <v>0.25</v>
      </c>
      <c r="G257" s="49">
        <v>0.25</v>
      </c>
      <c r="H257" s="49">
        <v>0.25</v>
      </c>
      <c r="I257" s="49">
        <v>0.25</v>
      </c>
      <c r="J257" s="2" t="s">
        <v>19</v>
      </c>
      <c r="K257" s="2"/>
      <c r="L257" s="2"/>
      <c r="M257" s="2"/>
      <c r="N257" s="2"/>
      <c r="O257" s="2"/>
    </row>
    <row r="258" spans="4:15" x14ac:dyDescent="0.25">
      <c r="D258" s="1" t="s">
        <v>122</v>
      </c>
      <c r="E258" s="101">
        <f>1-SUM(E256:E257)</f>
        <v>0.5</v>
      </c>
      <c r="F258" s="101">
        <f t="shared" ref="F258:I258" si="7">1-SUM(F256:F257)</f>
        <v>0.5</v>
      </c>
      <c r="G258" s="101">
        <f t="shared" si="7"/>
        <v>0.5</v>
      </c>
      <c r="H258" s="101">
        <f t="shared" si="7"/>
        <v>0.5</v>
      </c>
      <c r="I258" s="101">
        <f t="shared" si="7"/>
        <v>0.5</v>
      </c>
      <c r="J258" s="2" t="s">
        <v>19</v>
      </c>
      <c r="K258" s="2"/>
      <c r="L258" s="2"/>
      <c r="M258" s="2"/>
      <c r="N258" s="2"/>
      <c r="O258" s="2"/>
    </row>
    <row r="260" spans="4:15" x14ac:dyDescent="0.25">
      <c r="D260" s="56" t="str">
        <f>"Sent from stage 1: " &amp; $D$167 &amp; " to:"</f>
        <v>Sent from stage 1: Drains to paddock to:</v>
      </c>
    </row>
    <row r="261" spans="4:15" x14ac:dyDescent="0.25">
      <c r="D261" s="1" t="s">
        <v>106</v>
      </c>
      <c r="E261" s="49">
        <v>0.25</v>
      </c>
      <c r="F261" s="49">
        <v>0.25</v>
      </c>
      <c r="G261" s="49">
        <v>0.25</v>
      </c>
      <c r="H261" s="49">
        <v>0.25</v>
      </c>
      <c r="I261" s="49">
        <v>0.25</v>
      </c>
      <c r="J261" s="2" t="s">
        <v>19</v>
      </c>
      <c r="K261" s="2"/>
      <c r="L261" s="2"/>
      <c r="M261" s="2"/>
      <c r="N261" s="2"/>
      <c r="O261" s="2"/>
    </row>
    <row r="262" spans="4:15" x14ac:dyDescent="0.25">
      <c r="D262" s="1" t="s">
        <v>198</v>
      </c>
      <c r="E262" s="49">
        <v>0.25</v>
      </c>
      <c r="F262" s="49">
        <v>0.25</v>
      </c>
      <c r="G262" s="49">
        <v>0.25</v>
      </c>
      <c r="H262" s="49">
        <v>0.25</v>
      </c>
      <c r="I262" s="49">
        <v>0.25</v>
      </c>
      <c r="J262" s="2" t="s">
        <v>19</v>
      </c>
      <c r="K262" s="2"/>
      <c r="L262" s="2"/>
      <c r="M262" s="2"/>
      <c r="N262" s="2"/>
      <c r="O262" s="2"/>
    </row>
    <row r="263" spans="4:15" x14ac:dyDescent="0.25">
      <c r="D263" s="1" t="s">
        <v>122</v>
      </c>
      <c r="E263" s="101">
        <f>1-SUM(E261:E262)</f>
        <v>0.5</v>
      </c>
      <c r="F263" s="101">
        <f t="shared" ref="F263:I263" si="8">1-SUM(F261:F262)</f>
        <v>0.5</v>
      </c>
      <c r="G263" s="101">
        <f t="shared" si="8"/>
        <v>0.5</v>
      </c>
      <c r="H263" s="101">
        <f t="shared" si="8"/>
        <v>0.5</v>
      </c>
      <c r="I263" s="101">
        <f t="shared" si="8"/>
        <v>0.5</v>
      </c>
      <c r="J263" s="2" t="s">
        <v>19</v>
      </c>
      <c r="K263" s="2"/>
      <c r="L263" s="2"/>
      <c r="M263" s="2"/>
      <c r="N263" s="2"/>
      <c r="O263" s="2"/>
    </row>
    <row r="265" spans="4:15" x14ac:dyDescent="0.25">
      <c r="D265" s="56" t="str">
        <f>"Sent from stage 1: " &amp; $D$172 &amp; " to:"</f>
        <v>Sent from stage 1: Solid storage to:</v>
      </c>
    </row>
    <row r="266" spans="4:15" x14ac:dyDescent="0.25">
      <c r="D266" s="1" t="s">
        <v>106</v>
      </c>
      <c r="E266" s="49">
        <v>0.25</v>
      </c>
      <c r="F266" s="49">
        <v>0.25</v>
      </c>
      <c r="G266" s="49">
        <v>0.25</v>
      </c>
      <c r="H266" s="49">
        <v>0.25</v>
      </c>
      <c r="I266" s="49">
        <v>0.25</v>
      </c>
      <c r="J266" s="2" t="s">
        <v>19</v>
      </c>
      <c r="K266" s="2"/>
      <c r="L266" s="2"/>
      <c r="M266" s="2"/>
      <c r="N266" s="2"/>
      <c r="O266" s="2"/>
    </row>
    <row r="267" spans="4:15" x14ac:dyDescent="0.25">
      <c r="D267" s="1" t="s">
        <v>198</v>
      </c>
      <c r="E267" s="49">
        <v>0.25</v>
      </c>
      <c r="F267" s="49">
        <v>0.25</v>
      </c>
      <c r="G267" s="49">
        <v>0.25</v>
      </c>
      <c r="H267" s="49">
        <v>0.25</v>
      </c>
      <c r="I267" s="49">
        <v>0.25</v>
      </c>
      <c r="J267" s="2" t="s">
        <v>19</v>
      </c>
      <c r="K267" s="2"/>
      <c r="L267" s="2"/>
      <c r="M267" s="2"/>
      <c r="N267" s="2"/>
      <c r="O267" s="2"/>
    </row>
    <row r="268" spans="4:15" x14ac:dyDescent="0.25">
      <c r="D268" s="1" t="s">
        <v>122</v>
      </c>
      <c r="E268" s="101">
        <f>1-SUM(E266:E267)</f>
        <v>0.5</v>
      </c>
      <c r="F268" s="101">
        <f t="shared" ref="F268:I268" si="9">1-SUM(F266:F267)</f>
        <v>0.5</v>
      </c>
      <c r="G268" s="101">
        <f t="shared" si="9"/>
        <v>0.5</v>
      </c>
      <c r="H268" s="101">
        <f t="shared" si="9"/>
        <v>0.5</v>
      </c>
      <c r="I268" s="101">
        <f t="shared" si="9"/>
        <v>0.5</v>
      </c>
      <c r="J268" s="2" t="s">
        <v>19</v>
      </c>
      <c r="K268" s="2"/>
      <c r="L268" s="2"/>
      <c r="M268" s="2"/>
      <c r="N268" s="2"/>
      <c r="O268" s="2"/>
    </row>
    <row r="270" spans="4:15" x14ac:dyDescent="0.25">
      <c r="D270" s="112"/>
    </row>
    <row r="273" spans="4:6" x14ac:dyDescent="0.25">
      <c r="D273" s="1" t="s">
        <v>138</v>
      </c>
      <c r="E273" s="42" t="s">
        <v>143</v>
      </c>
      <c r="F273" s="2" t="s">
        <v>11</v>
      </c>
    </row>
    <row r="274" spans="4:6" x14ac:dyDescent="0.25">
      <c r="E274" s="42" t="s">
        <v>148</v>
      </c>
      <c r="F274" s="2" t="s">
        <v>11</v>
      </c>
    </row>
  </sheetData>
  <conditionalFormatting sqref="E100:O100 I114:O115 J157:O157 J162:O162 J167:O167 J172:O176 I118:O119">
    <cfRule type="cellIs" dxfId="24" priority="31" operator="lessThan">
      <formula>0</formula>
    </cfRule>
  </conditionalFormatting>
  <conditionalFormatting sqref="P43:R43">
    <cfRule type="cellIs" dxfId="23" priority="32" operator="lessThan">
      <formula>0</formula>
    </cfRule>
  </conditionalFormatting>
  <conditionalFormatting sqref="J143:O145">
    <cfRule type="cellIs" dxfId="22" priority="25" operator="lessThan">
      <formula>0</formula>
    </cfRule>
  </conditionalFormatting>
  <conditionalFormatting sqref="J148:O150">
    <cfRule type="cellIs" dxfId="21" priority="24" operator="lessThan">
      <formula>0</formula>
    </cfRule>
  </conditionalFormatting>
  <conditionalFormatting sqref="F159:F160">
    <cfRule type="cellIs" dxfId="20" priority="22" operator="lessThan">
      <formula>0</formula>
    </cfRule>
  </conditionalFormatting>
  <conditionalFormatting sqref="F164:F165">
    <cfRule type="cellIs" dxfId="19" priority="21" operator="lessThan">
      <formula>0</formula>
    </cfRule>
  </conditionalFormatting>
  <conditionalFormatting sqref="F169:F170">
    <cfRule type="cellIs" dxfId="18" priority="20" operator="lessThan">
      <formula>0</formula>
    </cfRule>
  </conditionalFormatting>
  <conditionalFormatting sqref="J178:O178">
    <cfRule type="cellIs" dxfId="17" priority="18" operator="lessThan">
      <formula>0</formula>
    </cfRule>
  </conditionalFormatting>
  <conditionalFormatting sqref="J180:O183">
    <cfRule type="cellIs" dxfId="16" priority="17" operator="lessThan">
      <formula>0</formula>
    </cfRule>
  </conditionalFormatting>
  <conditionalFormatting sqref="J185:O185">
    <cfRule type="cellIs" dxfId="15" priority="16" operator="lessThan">
      <formula>0</formula>
    </cfRule>
  </conditionalFormatting>
  <conditionalFormatting sqref="J191:O191 J196:O196 J201:O201 J206:O210">
    <cfRule type="cellIs" dxfId="14" priority="15" operator="lessThan">
      <formula>0</formula>
    </cfRule>
  </conditionalFormatting>
  <conditionalFormatting sqref="F193:F194">
    <cfRule type="cellIs" dxfId="13" priority="14" operator="lessThan">
      <formula>0</formula>
    </cfRule>
  </conditionalFormatting>
  <conditionalFormatting sqref="F198:F199">
    <cfRule type="cellIs" dxfId="12" priority="13" operator="lessThan">
      <formula>0</formula>
    </cfRule>
  </conditionalFormatting>
  <conditionalFormatting sqref="F203:F204">
    <cfRule type="cellIs" dxfId="11" priority="12" operator="lessThan">
      <formula>0</formula>
    </cfRule>
  </conditionalFormatting>
  <conditionalFormatting sqref="J212:O212">
    <cfRule type="cellIs" dxfId="10" priority="11" operator="lessThan">
      <formula>0</formula>
    </cfRule>
  </conditionalFormatting>
  <conditionalFormatting sqref="J214:O217">
    <cfRule type="cellIs" dxfId="9" priority="10" operator="lessThan">
      <formula>0</formula>
    </cfRule>
  </conditionalFormatting>
  <conditionalFormatting sqref="J219:O219">
    <cfRule type="cellIs" dxfId="8" priority="9" operator="lessThan">
      <formula>0</formula>
    </cfRule>
  </conditionalFormatting>
  <conditionalFormatting sqref="E130:O130 E131:I131 G125:O126">
    <cfRule type="cellIs" dxfId="7" priority="8" operator="lessThan">
      <formula>0</formula>
    </cfRule>
  </conditionalFormatting>
  <conditionalFormatting sqref="E127:O127">
    <cfRule type="cellIs" dxfId="6" priority="7" operator="lessThan">
      <formula>0</formula>
    </cfRule>
  </conditionalFormatting>
  <conditionalFormatting sqref="E132:I132">
    <cfRule type="cellIs" dxfId="5" priority="6" operator="lessThan">
      <formula>0</formula>
    </cfRule>
  </conditionalFormatting>
  <conditionalFormatting sqref="J131:O131">
    <cfRule type="cellIs" dxfId="4" priority="5" operator="lessThan">
      <formula>0</formula>
    </cfRule>
  </conditionalFormatting>
  <conditionalFormatting sqref="J132:O132">
    <cfRule type="cellIs" dxfId="3" priority="4" operator="lessThan">
      <formula>0</formula>
    </cfRule>
  </conditionalFormatting>
  <conditionalFormatting sqref="E104:G105 I104:O105">
    <cfRule type="cellIs" dxfId="2" priority="3" operator="lessThan">
      <formula>0</formula>
    </cfRule>
  </conditionalFormatting>
  <conditionalFormatting sqref="I109:O109 H108:O108">
    <cfRule type="cellIs" dxfId="1" priority="2" operator="lessThan">
      <formula>0</formula>
    </cfRule>
  </conditionalFormatting>
  <conditionalFormatting sqref="F111:G112">
    <cfRule type="cellIs" dxfId="0" priority="1" operator="lessThan">
      <formula>0</formula>
    </cfRule>
  </conditionalFormatting>
  <dataValidations count="7">
    <dataValidation type="list" allowBlank="1" showInputMessage="1" showErrorMessage="1" sqref="D186" xr:uid="{4E913AB3-F90B-4C35-BCE1-5DBB8FC05107}">
      <formula1>INDIRECT("Table_SourceData_PoultryMMSStage1[MMS]")</formula1>
    </dataValidation>
    <dataValidation type="list" allowBlank="1" showInputMessage="1" showErrorMessage="1" sqref="E273" xr:uid="{AF94BFC8-A9BD-4286-932B-111409BF1EB6}">
      <formula1>INDIRECT("Table_SourceData_Dairy_CropProdSystems[Production system]")</formula1>
    </dataValidation>
    <dataValidation type="list" allowBlank="1" showInputMessage="1" showErrorMessage="1" sqref="E274" xr:uid="{20E9D9A1-CABD-46A5-B149-02F06B30AA0E}">
      <formula1>INDIRECT("Table_SourceData_Dairy_IrrigationMethods[Irrigation method]")</formula1>
    </dataValidation>
    <dataValidation type="list" allowBlank="1" showInputMessage="1" showErrorMessage="1" sqref="E140" xr:uid="{9FB53635-991F-44AA-A123-E8ABEF9EE0A6}">
      <formula1>INDIRECT("Table_SourceData_Dairy_ProductionSystemTemplates[Area]")</formula1>
    </dataValidation>
    <dataValidation type="list" allowBlank="1" showInputMessage="1" showErrorMessage="1" sqref="E158 E163 E168 E202 E197 E192" xr:uid="{00A4EA4C-90D3-4150-979D-4D71C7F37A31}">
      <formula1>"Yes, No"</formula1>
    </dataValidation>
    <dataValidation type="list" allowBlank="1" showInputMessage="1" showErrorMessage="1" sqref="E12 E34 E56 E78"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271"/>
  <sheetViews>
    <sheetView showGridLines="0" topLeftCell="B1" zoomScaleNormal="100" workbookViewId="0">
      <selection activeCell="E19" sqref="E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342</v>
      </c>
    </row>
    <row r="2" spans="1:23" s="9" customFormat="1" ht="20.100000000000001" customHeight="1" x14ac:dyDescent="0.25"/>
    <row r="3" spans="1:23" ht="20.100000000000001" customHeight="1" x14ac:dyDescent="0.25">
      <c r="C3" s="4"/>
      <c r="D3" s="4" t="s">
        <v>115</v>
      </c>
      <c r="E3" s="4"/>
      <c r="F3" s="4"/>
      <c r="G3" s="4"/>
      <c r="H3" s="4"/>
      <c r="I3" s="4"/>
      <c r="J3" s="4"/>
      <c r="K3" s="4"/>
      <c r="L3" s="4"/>
      <c r="N3" s="4"/>
      <c r="O3" s="4" t="s">
        <v>116</v>
      </c>
      <c r="P3" s="4"/>
      <c r="Q3" s="4"/>
      <c r="R3" s="4"/>
      <c r="S3" s="4"/>
      <c r="T3" s="4"/>
      <c r="U3" s="4"/>
      <c r="V3" s="4"/>
      <c r="W3" s="4"/>
    </row>
    <row r="4" spans="1:23" ht="20.100000000000001" customHeight="1" x14ac:dyDescent="0.25"/>
    <row r="5" spans="1:23"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23" ht="20.100000000000001" customHeight="1" x14ac:dyDescent="0.25">
      <c r="D6" s="5" t="str" cm="1">
        <f t="array" ref="D6">EntericMethane_PastureBeef_Equations.VEERG_3_2_1_1__4_AdditionalIntakeForMilkProduction_Source()</f>
        <v>VEERG 2026: 3.2.1.1, Equation (4)</v>
      </c>
    </row>
    <row r="7" spans="1:23" ht="20.100000000000001" customHeight="1" x14ac:dyDescent="0.25"/>
    <row r="8" spans="1:23" ht="20.100000000000001" customHeight="1" x14ac:dyDescent="0.25"/>
    <row r="9" spans="1:23" ht="20.100000000000001" customHeight="1" x14ac:dyDescent="0.25"/>
    <row r="10" spans="1:23" ht="20.100000000000001" customHeight="1" x14ac:dyDescent="0.25">
      <c r="D10" s="56" t="s">
        <v>30</v>
      </c>
      <c r="E10" s="1" t="str" cm="1">
        <f t="array" ref="E10">EntericMethane_PastureBeef_Equations.VEERG_3_2_1_1__4_AdditionalIntakeForMilkProduction_Variable()</f>
        <v>MA_jk45</v>
      </c>
    </row>
    <row r="11" spans="1:23" ht="20.100000000000001" customHeight="1" x14ac:dyDescent="0.25">
      <c r="D11" s="56" t="s">
        <v>20</v>
      </c>
      <c r="E11" s="57" t="str" cm="1">
        <f t="array" ref="E11">EntericMethane_PastureBeef_Equations.VEERG_3_2_1_1__4_AdditionalIntakeForMilkProduction_Unit()</f>
        <v>fraction</v>
      </c>
    </row>
    <row r="12" spans="1:23" ht="20.100000000000001" customHeight="1" x14ac:dyDescent="0.25"/>
    <row r="13" spans="1:23" ht="20.100000000000001" customHeight="1" x14ac:dyDescent="0.25">
      <c r="D13" s="60" t="str" cm="1">
        <f t="array" ref="D13:E14">EntericMethane_PastureBeef_Equations.VEERG_3_2_1_1__4_AdditionalIntakeForMilkProduction_Arguments()</f>
        <v>LC_jk45</v>
      </c>
      <c r="E13" s="61" t="str">
        <v>proportion of cows greater than 1 year in calf in the season of calving expressed as a fraction</v>
      </c>
      <c r="F13" s="62"/>
      <c r="G13" s="61"/>
      <c r="H13" s="62"/>
      <c r="I13" s="60"/>
    </row>
    <row r="14" spans="1:23" ht="20.100000000000001" customHeight="1" x14ac:dyDescent="0.25">
      <c r="D14" s="60" t="str">
        <v>FA_jk45</v>
      </c>
      <c r="E14" s="61" t="str">
        <v>feed adjustment value for lactating cows in the season of calving and the season immediately after calving expressed as a fraction</v>
      </c>
      <c r="F14" s="62"/>
      <c r="G14" s="61"/>
      <c r="H14" s="62"/>
      <c r="I14" s="60"/>
    </row>
    <row r="15" spans="1:23" ht="20.100000000000001" customHeight="1" x14ac:dyDescent="0.25"/>
    <row r="16" spans="1:23"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spans="4:5" ht="20.100000000000001" customHeight="1" x14ac:dyDescent="0.25"/>
    <row r="34" spans="4:5" ht="20.100000000000001" customHeight="1" x14ac:dyDescent="0.25"/>
    <row r="35" spans="4:5" ht="20.100000000000001" customHeight="1" x14ac:dyDescent="0.25"/>
    <row r="36" spans="4:5" ht="20.100000000000001" customHeight="1" x14ac:dyDescent="0.25"/>
    <row r="37" spans="4:5" ht="20.100000000000001" customHeight="1" x14ac:dyDescent="0.25"/>
    <row r="38" spans="4:5" ht="20.100000000000001" customHeight="1" x14ac:dyDescent="0.25"/>
    <row r="39" spans="4:5" ht="20.100000000000001" customHeight="1" x14ac:dyDescent="0.25"/>
    <row r="40" spans="4:5" ht="20.100000000000001" customHeight="1" x14ac:dyDescent="0.25"/>
    <row r="41" spans="4:5" ht="20.100000000000001" customHeight="1" x14ac:dyDescent="0.25"/>
    <row r="42" spans="4:5" ht="20.100000000000001" customHeight="1" x14ac:dyDescent="0.25"/>
    <row r="43" spans="4:5" ht="20.100000000000001" customHeight="1" x14ac:dyDescent="0.25">
      <c r="D43" s="6" t="str" cm="1">
        <f t="array" ref="D43">MMS_PastureBeef_Methane_Equations.VEERG_4_2_1_1__3_VolatileSolidProductionFromGrazingBeef_Title()</f>
        <v>Volatile solid production from grazing beef</v>
      </c>
    </row>
    <row r="44" spans="4:5" ht="20.100000000000001" customHeight="1" x14ac:dyDescent="0.25">
      <c r="D44" s="5" t="str" cm="1">
        <f t="array" ref="D44">MMS_PastureBeef_Methane_Equations.VEERG_4_2_1_1__3_VolatileSolidProductionFromGrazingBeef_Source()</f>
        <v>VEERG 2026: 4.2.1.1, Equation (3)</v>
      </c>
    </row>
    <row r="45" spans="4:5" ht="20.100000000000001" customHeight="1" x14ac:dyDescent="0.25">
      <c r="D45" s="13" t="s">
        <v>27</v>
      </c>
      <c r="E45" s="13" t="e" cm="1" vm="2">
        <f t="array" aca="1" ref="E45" ca="1">Common_InputFunctions.Utility_DisplayFunctionName()</f>
        <v>#VALUE!</v>
      </c>
    </row>
    <row r="46" spans="4:5" ht="20.100000000000001" customHeight="1" x14ac:dyDescent="0.25"/>
    <row r="47" spans="4:5" ht="20.100000000000001" customHeight="1" x14ac:dyDescent="0.25"/>
    <row r="48" spans="4:5" ht="20.100000000000001" customHeight="1" x14ac:dyDescent="0.25"/>
    <row r="49" spans="4:7" ht="20.100000000000001" customHeight="1" x14ac:dyDescent="0.25">
      <c r="D49" s="56" t="s">
        <v>30</v>
      </c>
      <c r="E49" s="1" t="str" cm="1">
        <f t="array" ref="E49">MMS_PastureBeef_Methane_Equations.VEERG_4_2_1_1__3_VolatileSolidProductionFromGrazingBeef_Variable()</f>
        <v>VS_jkl</v>
      </c>
    </row>
    <row r="50" spans="4:7" ht="20.100000000000001" customHeight="1" x14ac:dyDescent="0.25">
      <c r="D50" s="56" t="s">
        <v>20</v>
      </c>
      <c r="E50" s="57" t="str" cm="1">
        <f t="array" ref="E50">MMS_PastureBeef_Methane_Equations.VEERG_4_2_1_1__3_VolatileSolidProductionFromGrazingBeef_Unit()</f>
        <v>kg/head/day</v>
      </c>
    </row>
    <row r="51" spans="4:7" ht="20.100000000000001" customHeight="1" x14ac:dyDescent="0.25"/>
    <row r="52" spans="4:7" ht="20.100000000000001" customHeight="1" x14ac:dyDescent="0.25">
      <c r="D52" s="60" t="str" cm="1">
        <f t="array" ref="D52:E54">MMS_PastureBeef_Methane_Equations.VEERG_4_2_1_1__3_VolatileSolidProductionFromGrazingBeef_Arguments()</f>
        <v>I_jkl</v>
      </c>
      <c r="E52" s="61" t="str">
        <v>dry matter intake as calculated in Chapter 3 Section 3.2.1 (kg/head/day)</v>
      </c>
      <c r="F52" s="62"/>
      <c r="G52" s="60"/>
    </row>
    <row r="53" spans="4:7" ht="20.100000000000001" customHeight="1" x14ac:dyDescent="0.25">
      <c r="D53" s="60" t="str">
        <v>DMD_jkl</v>
      </c>
      <c r="E53" s="61" t="str">
        <v>dry matter digestibility expressed as a fraction</v>
      </c>
      <c r="F53" s="62"/>
      <c r="G53" s="60"/>
    </row>
    <row r="54" spans="4:7" ht="20.100000000000001" customHeight="1" x14ac:dyDescent="0.25">
      <c r="D54" s="60" t="str">
        <v>A</v>
      </c>
      <c r="E54" s="61" t="str">
        <v>ash content of feed intake expressed as a fraction</v>
      </c>
      <c r="F54" s="62"/>
      <c r="G54" s="60"/>
    </row>
    <row r="55" spans="4:7" ht="20.100000000000001" customHeight="1" x14ac:dyDescent="0.25"/>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sheetData>
  <dataValidations disablePrompts="1" count="1">
    <dataValidation operator="equal" allowBlank="1" showInputMessage="1" showErrorMessage="1" sqref="E116:G116 F132:F136 Q122:U126 D154:F154 P60:R60 E121:J121 F122:J126 E131:F131 Q132:Q136 P131:Q131 P121:U121 E141:J141 F142:J146 P141:U141 Q142:U146 E166:J166 F167:J167 E172:J172 F173:J173 Q173:U173 P166:U166 Q167:U167 P172:U172 E206 E203 E258 E255 P206 P203 P258 P255"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zoomScaleNormal="100" workbookViewId="0">
      <selection activeCell="A11" sqref="A1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223</v>
      </c>
    </row>
    <row r="2" spans="1:21" s="9" customFormat="1" ht="20.100000000000001" customHeight="1" x14ac:dyDescent="0.25"/>
    <row r="3" spans="1:21" ht="20.100000000000001" customHeight="1" x14ac:dyDescent="0.25">
      <c r="A3" s="17" t="str">
        <f>HYPERLINK("#'Home'!A1", "Home")</f>
        <v>Home</v>
      </c>
      <c r="C3" s="4"/>
      <c r="D3" s="4" t="s">
        <v>115</v>
      </c>
      <c r="E3" s="4"/>
      <c r="F3" s="4"/>
      <c r="G3" s="4"/>
      <c r="H3" s="4"/>
      <c r="I3" s="4"/>
      <c r="J3" s="4"/>
      <c r="K3" s="4"/>
      <c r="M3" s="4"/>
      <c r="N3" s="4" t="s">
        <v>116</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MMS_Dairy_N2ODirect_Equations.VEERG_4_3_1_3__8_RelativeSize_Title()</f>
        <v>Relative size</v>
      </c>
    </row>
    <row r="6" spans="1:21" ht="20.100000000000001" customHeight="1" x14ac:dyDescent="0.25">
      <c r="A6" s="20" t="s">
        <v>3</v>
      </c>
      <c r="D6" s="5" t="str" cm="1">
        <f t="array" ref="D6">MMS_Dairy_N2ODirect_Equations.VEERG_4_3_1_3__8_RelativeSize_Source()</f>
        <v>VEERG 2026: 4.3.1.3, Equation (8)</v>
      </c>
    </row>
    <row r="7" spans="1:21" ht="20.100000000000001" customHeight="1" x14ac:dyDescent="0.25">
      <c r="A7" s="17" t="str">
        <f>HYPERLINK("#'Input - Site'!A1", "Site")</f>
        <v>Site</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Dairy'!A1", "Dairy")</f>
        <v>Dairy</v>
      </c>
    </row>
    <row r="9" spans="1:21" ht="20.100000000000001" customHeight="1" x14ac:dyDescent="0.25">
      <c r="A9" s="17"/>
    </row>
    <row r="10" spans="1:21" ht="20.100000000000001" customHeight="1" x14ac:dyDescent="0.25">
      <c r="A10" s="19" t="s">
        <v>77</v>
      </c>
      <c r="D10" s="56" t="s">
        <v>30</v>
      </c>
      <c r="E10" s="1" t="str" cm="1">
        <f t="array" ref="E10">MMS_Dairy_N2ODirect_Equations.VEERG_4_3_1_3__8_RelativeSize_Variable()</f>
        <v>Z_j</v>
      </c>
    </row>
    <row r="11" spans="1:21" ht="20.100000000000001" customHeight="1" x14ac:dyDescent="0.25">
      <c r="A11" s="17" t="str">
        <f>HYPERLINK("#'4.2.1.1-2 Methane'!A1", "4.2.1.1-2 Methane")</f>
        <v>4.2.1.1-2 Methane</v>
      </c>
      <c r="D11" s="56" t="s">
        <v>20</v>
      </c>
      <c r="E11" s="57" t="str" cm="1">
        <f t="array" ref="E11">MMS_Dairy_N2ODirect_Equations.VEERG_4_3_1_3__8_RelativeSize_Unit()</f>
        <v>ratio</v>
      </c>
    </row>
    <row r="12" spans="1:21" ht="20.100000000000001" customHeight="1" x14ac:dyDescent="0.25">
      <c r="A12" s="22" t="str">
        <f>HYPERLINK("#'4.3.1.3-4 Direct N20'!A1", "4.3.1.3-4 Direct N2O")</f>
        <v>4.3.1.3-4 Direct N2O</v>
      </c>
    </row>
    <row r="13" spans="1:21" ht="20.100000000000001" customHeight="1" x14ac:dyDescent="0.25">
      <c r="A13" s="17" t="str">
        <f>HYPERLINK("#'4.3.1.5 Atmos Deposition'!A1", "4.3.1.5 Atmospheric deposition")</f>
        <v>4.3.1.5 Atmospheric deposition</v>
      </c>
      <c r="D13" s="60" t="str" cm="1">
        <f t="array" ref="D13:E14">MMS_Dairy_N2ODirect_Equations.VEERG_4_3_1_3__8_RelativeSize_Arguments()</f>
        <v>W_j</v>
      </c>
      <c r="E13" s="60" t="str">
        <v>liveweight (kg)</v>
      </c>
      <c r="F13" s="60" t="str">
        <f>"See " &amp; D16</f>
        <v>See M1_Table_W_j</v>
      </c>
    </row>
    <row r="14" spans="1:21" ht="20.100000000000001" customHeight="1" x14ac:dyDescent="0.25">
      <c r="A14" s="17" t="str">
        <f>HYPERLINK("#'4.3.1.6-7 Leaching and runoff'!A1", "4.3.1.6-7 Leaching and runoff")</f>
        <v>4.3.1.6-7 Leaching and runoff</v>
      </c>
      <c r="D14" s="60" t="str">
        <v>WR_j</v>
      </c>
      <c r="E14" s="60" t="str">
        <v>reference weight (kg)</v>
      </c>
      <c r="F14" s="60" t="str">
        <f>"See " &amp; D21</f>
        <v>See Table_WR_j</v>
      </c>
    </row>
    <row r="15" spans="1:21" ht="20.100000000000001" customHeight="1" x14ac:dyDescent="0.25">
      <c r="A15" s="17" t="str">
        <f>HYPERLINK("#'4.3.1.8 Manure applied to soils'!A1", "4.3.1.8 Manure applied to soils")</f>
        <v>4.3.1.8 Manure applied to soils</v>
      </c>
    </row>
    <row r="16" spans="1:21" ht="20.100000000000001" customHeight="1" x14ac:dyDescent="0.25">
      <c r="A16" s="17" t="str">
        <f>HYPERLINK("#'4.3.1.9 Soil direct N2O'!A1", "4.3.1.9 Soil direct N2O")</f>
        <v>4.3.1.9 Soil direct N2O</v>
      </c>
      <c r="D16" s="104" t="s">
        <v>200</v>
      </c>
      <c r="N16" s="104" t="s">
        <v>202</v>
      </c>
    </row>
    <row r="17" spans="1:21" ht="20.100000000000001" customHeight="1" x14ac:dyDescent="0.25">
      <c r="A17" s="17" t="str">
        <f>HYPERLINK("#'4.3.1.10-11 Soil Atmos Dep'!A1", "4.3.1.10-11 Soil atm. deposition")</f>
        <v>4.3.1.10-11 Soil atm. deposition</v>
      </c>
      <c r="D17" s="103" t="s">
        <v>201</v>
      </c>
      <c r="N17" s="103" t="s">
        <v>203</v>
      </c>
    </row>
    <row r="18" spans="1:21" ht="20.100000000000001" customHeight="1" x14ac:dyDescent="0.25">
      <c r="A18" s="17" t="str">
        <f>HYPERLINK("#'4.3.1.12-13 Soil leach runoff'!A1", "4.3.1.12-13 Soil leach &amp; runoff")</f>
        <v>4.3.1.12-13 Soil leach &amp; runoff</v>
      </c>
      <c r="D18" s="54" t="s">
        <v>173</v>
      </c>
      <c r="E18" s="54" t="s">
        <v>175</v>
      </c>
      <c r="F18" s="54" t="s">
        <v>176</v>
      </c>
      <c r="G18" s="54" t="s">
        <v>177</v>
      </c>
      <c r="H18" s="54" t="s">
        <v>178</v>
      </c>
      <c r="N18" s="54" t="s">
        <v>173</v>
      </c>
      <c r="O18" s="54" t="s">
        <v>175</v>
      </c>
      <c r="P18" s="54" t="s">
        <v>176</v>
      </c>
      <c r="Q18" s="54" t="s">
        <v>177</v>
      </c>
      <c r="R18" s="54" t="s">
        <v>178</v>
      </c>
    </row>
    <row r="19" spans="1:21" ht="20.100000000000001" customHeight="1" x14ac:dyDescent="0.25">
      <c r="A19" s="17"/>
      <c r="D19" s="55">
        <f>'Input - Pasture Beef'!$E$104</f>
        <v>0.25</v>
      </c>
      <c r="E19" s="55">
        <f>'Input - Pasture Beef'!$F$104</f>
        <v>0</v>
      </c>
      <c r="F19" s="55">
        <f>'Input - Pasture Beef'!$G$104</f>
        <v>0</v>
      </c>
      <c r="G19" s="55" t="str">
        <f>'Input - Pasture Beef'!$H$104</f>
        <v>Percent</v>
      </c>
      <c r="H19" s="55">
        <f>'Input - Pasture Beef'!$I$104</f>
        <v>0</v>
      </c>
      <c r="I19" s="2" t="s">
        <v>180</v>
      </c>
      <c r="N19" s="55" t="str">
        <f>'Input - Pasture Beef'!$E$108</f>
        <v>Cows 1-2 years</v>
      </c>
      <c r="O19" s="55" t="str">
        <f>'Input - Pasture Beef'!$F$108</f>
        <v>Cows 2-3 years</v>
      </c>
      <c r="P19" s="55" t="str">
        <f>'Input - Pasture Beef'!$G$108</f>
        <v>Cows &gt; 3 years</v>
      </c>
      <c r="Q19" s="55">
        <f>'Input - Pasture Beef'!$H$108</f>
        <v>0</v>
      </c>
      <c r="R19" s="55">
        <f>'Input - Pasture Beef'!$I$108</f>
        <v>0</v>
      </c>
      <c r="S19" s="2" t="s">
        <v>180</v>
      </c>
    </row>
    <row r="20" spans="1:21" ht="20.100000000000001" customHeight="1" x14ac:dyDescent="0.25">
      <c r="A20" s="18" t="s">
        <v>4</v>
      </c>
    </row>
    <row r="21" spans="1:21" ht="20.100000000000001" customHeight="1" x14ac:dyDescent="0.25">
      <c r="A21" s="17" t="str">
        <f>HYPERLINK("#'Constants - Dairy'!A1", "Constants - Dairy")</f>
        <v>Constants - Dairy</v>
      </c>
      <c r="D21" s="104" t="s">
        <v>224</v>
      </c>
    </row>
    <row r="22" spans="1:21" ht="20.100000000000001" customHeight="1" x14ac:dyDescent="0.25">
      <c r="A22" s="17" t="str">
        <f>HYPERLINK("#'Constants - Livestock'!A1", "Constants - Livestock")</f>
        <v>Constants - Livestock</v>
      </c>
      <c r="D22" s="103" t="s">
        <v>225</v>
      </c>
    </row>
    <row r="23" spans="1:21" ht="20.100000000000001" customHeight="1" x14ac:dyDescent="0.25">
      <c r="A23" s="17" t="str">
        <f>HYPERLINK("#'Constants - Common'!A1", "Constants - Common")</f>
        <v>Constants - Common</v>
      </c>
      <c r="D23" s="54" t="s">
        <v>173</v>
      </c>
      <c r="E23" s="54" t="s">
        <v>175</v>
      </c>
      <c r="F23" s="54" t="s">
        <v>176</v>
      </c>
      <c r="G23" s="54" t="s">
        <v>177</v>
      </c>
      <c r="H23" s="54" t="s">
        <v>178</v>
      </c>
    </row>
    <row r="24" spans="1:21" ht="20.100000000000001" customHeight="1" x14ac:dyDescent="0.25">
      <c r="A24" s="17" t="str">
        <f>HYPERLINK("#'Acknowledgements'!A1", "Acknowledgements")</f>
        <v>Acknowledgements</v>
      </c>
      <c r="D24" s="55" t="e" cm="1">
        <f t="array" ref="D24">#REF!</f>
        <v>#REF!</v>
      </c>
      <c r="E24" s="55" t="e" cm="1">
        <f t="array" ref="E24">#REF!</f>
        <v>#REF!</v>
      </c>
      <c r="F24" s="55" t="e" cm="1">
        <f t="array" ref="F24">#REF!</f>
        <v>#REF!</v>
      </c>
      <c r="G24" s="55" t="e" cm="1">
        <f t="array" ref="G24">#REF!</f>
        <v>#REF!</v>
      </c>
      <c r="H24" s="55" t="e" cm="1">
        <f t="array" ref="H24">#REF!</f>
        <v>#REF!</v>
      </c>
      <c r="I24" s="2" t="s">
        <v>180</v>
      </c>
    </row>
    <row r="25" spans="1:21" ht="20.100000000000001" customHeight="1" x14ac:dyDescent="0.25"/>
    <row r="26" spans="1:21" ht="20.100000000000001" customHeight="1" x14ac:dyDescent="0.25">
      <c r="D26" s="104" t="s">
        <v>226</v>
      </c>
      <c r="N26" s="104" t="s">
        <v>226</v>
      </c>
    </row>
    <row r="27" spans="1:21" ht="20.100000000000001" customHeight="1" x14ac:dyDescent="0.25">
      <c r="D27" s="103" t="s">
        <v>227</v>
      </c>
      <c r="N27" s="103" t="s">
        <v>227</v>
      </c>
    </row>
    <row r="28" spans="1:21" ht="20.100000000000001" customHeight="1" x14ac:dyDescent="0.25">
      <c r="D28" s="54" t="s">
        <v>173</v>
      </c>
      <c r="E28" s="54" t="s">
        <v>175</v>
      </c>
      <c r="F28" s="54" t="s">
        <v>176</v>
      </c>
      <c r="G28" s="54" t="s">
        <v>177</v>
      </c>
      <c r="H28" s="54" t="s">
        <v>178</v>
      </c>
      <c r="N28" s="54" t="s">
        <v>173</v>
      </c>
      <c r="O28" s="54" t="s">
        <v>175</v>
      </c>
      <c r="P28" s="54" t="s">
        <v>176</v>
      </c>
      <c r="Q28" s="54" t="s">
        <v>177</v>
      </c>
      <c r="R28" s="54" t="s">
        <v>178</v>
      </c>
    </row>
    <row r="29" spans="1:21" ht="20.100000000000001" customHeight="1" x14ac:dyDescent="0.25">
      <c r="D29" s="55" t="e" cm="1">
        <f t="array" ref="D29">MMS_Dairy_N2ODirect_Equations.VEERG_4_3_1_3__8_RelativeSize(D19,D24)</f>
        <v>#REF!</v>
      </c>
      <c r="E29" s="55" t="e" cm="1">
        <f t="array" ref="E29">MMS_Dairy_N2ODirect_Equations.VEERG_4_3_1_3__8_RelativeSize(E19,E24)</f>
        <v>#REF!</v>
      </c>
      <c r="F29" s="55" t="e" cm="1">
        <f t="array" ref="F29">MMS_Dairy_N2ODirect_Equations.VEERG_4_3_1_3__8_RelativeSize(F19,F24)</f>
        <v>#REF!</v>
      </c>
      <c r="G29" s="55" t="e" cm="1">
        <f t="array" ref="G29">MMS_Dairy_N2ODirect_Equations.VEERG_4_3_1_3__8_RelativeSize(G19,G24)</f>
        <v>#VALUE!</v>
      </c>
      <c r="H29" s="55" t="e" cm="1">
        <f t="array" ref="H29">MMS_Dairy_N2ODirect_Equations.VEERG_4_3_1_3__8_RelativeSize(H19,H24)</f>
        <v>#REF!</v>
      </c>
      <c r="I29" s="2" t="str">
        <f>$E$11</f>
        <v>ratio</v>
      </c>
      <c r="N29" s="55" t="e" cm="1">
        <f t="array" ref="N29">MMS_Dairy_N2ODirect_Equations.VEERG_4_3_1_3__8_RelativeSize(N19,D24)</f>
        <v>#VALUE!</v>
      </c>
      <c r="O29" s="55" t="e" cm="1">
        <f t="array" ref="O29">MMS_Dairy_N2ODirect_Equations.VEERG_4_3_1_3__8_RelativeSize(O19,E24)</f>
        <v>#VALUE!</v>
      </c>
      <c r="P29" s="55" t="e" cm="1">
        <f t="array" ref="P29">MMS_Dairy_N2ODirect_Equations.VEERG_4_3_1_3__8_RelativeSize(P19,F24)</f>
        <v>#VALUE!</v>
      </c>
      <c r="Q29" s="55" t="e" cm="1">
        <f t="array" ref="Q29">MMS_Dairy_N2ODirect_Equations.VEERG_4_3_1_3__8_RelativeSize(Q19,G24)</f>
        <v>#REF!</v>
      </c>
      <c r="R29" s="55" t="e" cm="1">
        <f t="array" ref="R29">MMS_Dairy_N2ODirect_Equations.VEERG_4_3_1_3__8_RelativeSize(R19,H24)</f>
        <v>#REF!</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60" t="str" cm="1">
        <f t="array" ref="D42:E45">MMS_Dairy_N2ODirect_Equations.VEERG_4_3_1_3__7_IntakeRelativeToMaintenance_Arguments()</f>
        <v>I_j</v>
      </c>
      <c r="E42" s="61" t="str">
        <v>dry matter intake (kgDM/head/day)</v>
      </c>
      <c r="F42" s="62"/>
      <c r="G42" s="60" t="str">
        <f>"See " &amp; D47</f>
        <v>See M1_Table_I_j</v>
      </c>
    </row>
    <row r="43" spans="4:14" ht="20.100000000000001" customHeight="1" x14ac:dyDescent="0.25">
      <c r="D43" s="60" t="str">
        <v>W_j</v>
      </c>
      <c r="E43" s="61" t="str">
        <v>liveweight (kg)</v>
      </c>
      <c r="F43" s="62"/>
      <c r="G43" s="60" t="str">
        <f>"See " &amp; D16</f>
        <v>See M1_Table_W_j</v>
      </c>
    </row>
    <row r="44" spans="4:14" ht="20.100000000000001" customHeight="1" x14ac:dyDescent="0.25">
      <c r="D44" s="60" t="str">
        <v>MR_j</v>
      </c>
      <c r="E44" s="61" t="str">
        <v>increase in metabolic rate when producing milk</v>
      </c>
      <c r="F44" s="62"/>
      <c r="G44" s="60" t="str">
        <f>"See " &amp; D52</f>
        <v>See Table_MR_j</v>
      </c>
    </row>
    <row r="45" spans="4:14" ht="20.100000000000001" customHeight="1" x14ac:dyDescent="0.25">
      <c r="D45" s="60" t="str">
        <v>MI_j</v>
      </c>
      <c r="E45" s="61" t="str">
        <v>additional intake required for milk production (kgDM/head/day)</v>
      </c>
      <c r="F45" s="62"/>
      <c r="G45" s="60" t="str">
        <f>"See " &amp; D57</f>
        <v>See M1_Table_MI_j</v>
      </c>
    </row>
    <row r="46" spans="4:14" ht="20.100000000000001" customHeight="1" x14ac:dyDescent="0.25"/>
    <row r="47" spans="4:14" ht="20.100000000000001" customHeight="1" x14ac:dyDescent="0.25">
      <c r="D47" s="104" t="s">
        <v>108</v>
      </c>
      <c r="N47" s="104" t="s">
        <v>110</v>
      </c>
    </row>
    <row r="48" spans="4:14" ht="20.100000000000001" customHeight="1" x14ac:dyDescent="0.25">
      <c r="D48" s="103" t="s">
        <v>215</v>
      </c>
      <c r="N48" s="103" t="s">
        <v>214</v>
      </c>
    </row>
    <row r="49" spans="4:19" ht="20.100000000000001" customHeight="1" x14ac:dyDescent="0.25">
      <c r="D49" s="54" t="s">
        <v>173</v>
      </c>
      <c r="E49" s="54" t="s">
        <v>175</v>
      </c>
      <c r="F49" s="54" t="s">
        <v>176</v>
      </c>
      <c r="G49" s="54" t="s">
        <v>177</v>
      </c>
      <c r="H49" s="54" t="s">
        <v>178</v>
      </c>
      <c r="N49" s="54" t="s">
        <v>173</v>
      </c>
      <c r="O49" s="54" t="s">
        <v>175</v>
      </c>
      <c r="P49" s="54" t="s">
        <v>176</v>
      </c>
      <c r="Q49" s="54" t="s">
        <v>177</v>
      </c>
      <c r="R49" s="54" t="s">
        <v>178</v>
      </c>
    </row>
    <row r="50" spans="4:19" ht="20.100000000000001" customHeight="1" x14ac:dyDescent="0.25">
      <c r="D50" s="55" t="e">
        <f>'[2]4.2.1'!D84</f>
        <v>#REF!</v>
      </c>
      <c r="E50" s="55" t="e">
        <f>'[2]4.2.1'!E84</f>
        <v>#REF!</v>
      </c>
      <c r="F50" s="55">
        <f>'4.2.1.1-2 Methane'!F84</f>
        <v>0</v>
      </c>
      <c r="G50" s="55">
        <f>'4.2.1.1-2 Methane'!G84</f>
        <v>0</v>
      </c>
      <c r="H50" s="55">
        <f>'4.2.1.1-2 Methane'!H84</f>
        <v>0</v>
      </c>
      <c r="I50" s="2">
        <f>'4.2.1.1-2 Methane'!I84</f>
        <v>0</v>
      </c>
      <c r="N50" s="55">
        <f>'4.2.1.1-2 Methane'!O84</f>
        <v>0</v>
      </c>
      <c r="O50" s="55">
        <f>'4.2.1.1-2 Methane'!P84</f>
        <v>0</v>
      </c>
      <c r="P50" s="55">
        <f>'4.2.1.1-2 Methane'!Q84</f>
        <v>0</v>
      </c>
      <c r="Q50" s="55">
        <f>'4.2.1.1-2 Methane'!R84</f>
        <v>0</v>
      </c>
      <c r="R50" s="55">
        <f>'4.2.1.1-2 Methane'!S84</f>
        <v>0</v>
      </c>
      <c r="S50" s="2">
        <f>'4.2.1.1-2 Methane'!T84</f>
        <v>0</v>
      </c>
    </row>
    <row r="51" spans="4:19" ht="20.100000000000001" customHeight="1" x14ac:dyDescent="0.25"/>
    <row r="52" spans="4:19" ht="20.100000000000001" customHeight="1" x14ac:dyDescent="0.25">
      <c r="D52" s="104" t="s">
        <v>208</v>
      </c>
    </row>
    <row r="53" spans="4:19" ht="20.100000000000001" customHeight="1" x14ac:dyDescent="0.25">
      <c r="D53" s="103" t="s">
        <v>209</v>
      </c>
    </row>
    <row r="54" spans="4:19" ht="20.100000000000001" customHeight="1" x14ac:dyDescent="0.25">
      <c r="D54" s="54" t="s">
        <v>173</v>
      </c>
      <c r="E54" s="54" t="s">
        <v>175</v>
      </c>
      <c r="F54" s="54" t="s">
        <v>176</v>
      </c>
      <c r="G54" s="54" t="s">
        <v>177</v>
      </c>
      <c r="H54" s="54" t="s">
        <v>178</v>
      </c>
    </row>
    <row r="55" spans="4:19" ht="20.100000000000001" customHeight="1" x14ac:dyDescent="0.25">
      <c r="D55" s="55" t="str">
        <f>'Constants - Pature Beef'!$E$127</f>
        <v>Northern</v>
      </c>
      <c r="E55" s="55" t="str">
        <f>'Constants - Pature Beef'!$E$128</f>
        <v>Northern</v>
      </c>
      <c r="F55" s="55" t="str">
        <f>'Constants - Pature Beef'!$E$128</f>
        <v>Northern</v>
      </c>
      <c r="G55" s="55" t="str">
        <f>'Constants - Pature Beef'!$E$128</f>
        <v>Northern</v>
      </c>
      <c r="H55" s="55" t="str">
        <f>'Constants - Pature Beef'!$E$128</f>
        <v>Northern</v>
      </c>
      <c r="I55" s="2" t="s">
        <v>99</v>
      </c>
    </row>
    <row r="56" spans="4:19" ht="20.100000000000001" customHeight="1" x14ac:dyDescent="0.25"/>
    <row r="57" spans="4:19" ht="20.100000000000001" customHeight="1" x14ac:dyDescent="0.25">
      <c r="D57" s="104" t="s">
        <v>210</v>
      </c>
    </row>
    <row r="58" spans="4:19" ht="20.100000000000001" customHeight="1" x14ac:dyDescent="0.25">
      <c r="D58" s="103" t="s">
        <v>211</v>
      </c>
    </row>
    <row r="59" spans="4:19" ht="20.100000000000001" customHeight="1" x14ac:dyDescent="0.25">
      <c r="D59" s="54" t="s">
        <v>173</v>
      </c>
      <c r="E59" s="54" t="s">
        <v>175</v>
      </c>
      <c r="F59" s="54" t="s">
        <v>176</v>
      </c>
      <c r="G59" s="54" t="s">
        <v>177</v>
      </c>
      <c r="H59" s="54" t="s">
        <v>178</v>
      </c>
    </row>
    <row r="60" spans="4:19" ht="20.100000000000001" customHeight="1" x14ac:dyDescent="0.25">
      <c r="D60" s="55" t="e">
        <f>'4.2.1.1-2 Methane'!#REF!</f>
        <v>#REF!</v>
      </c>
      <c r="E60" s="55" t="e">
        <f>'4.2.1.1-2 Methane'!#REF!</f>
        <v>#REF!</v>
      </c>
      <c r="F60" s="55" t="e">
        <f>'4.2.1.1-2 Methane'!#REF!</f>
        <v>#REF!</v>
      </c>
      <c r="G60" s="55" t="e">
        <f>'4.2.1.1-2 Methane'!#REF!</f>
        <v>#REF!</v>
      </c>
      <c r="H60" s="55" t="e">
        <f>'4.2.1.1-2 Methane'!#REF!</f>
        <v>#REF!</v>
      </c>
      <c r="I60" s="2" t="e">
        <f>'4.2.1.1-2 Methane'!#REF!</f>
        <v>#REF!</v>
      </c>
    </row>
    <row r="61" spans="4:19" ht="20.100000000000001" customHeight="1" x14ac:dyDescent="0.25"/>
    <row r="62" spans="4:19" ht="20.100000000000001" customHeight="1" x14ac:dyDescent="0.25">
      <c r="D62" s="104" t="s">
        <v>228</v>
      </c>
      <c r="N62" s="104" t="s">
        <v>230</v>
      </c>
    </row>
    <row r="63" spans="4:19" ht="20.100000000000001" customHeight="1" x14ac:dyDescent="0.25">
      <c r="D63" s="103" t="s">
        <v>229</v>
      </c>
      <c r="N63" s="103" t="s">
        <v>231</v>
      </c>
    </row>
    <row r="64" spans="4:19" ht="20.100000000000001" customHeight="1" x14ac:dyDescent="0.25">
      <c r="D64" s="54" t="s">
        <v>173</v>
      </c>
      <c r="E64" s="54" t="s">
        <v>175</v>
      </c>
      <c r="F64" s="54" t="s">
        <v>176</v>
      </c>
      <c r="G64" s="54" t="s">
        <v>177</v>
      </c>
      <c r="H64" s="54" t="s">
        <v>178</v>
      </c>
      <c r="N64" s="54" t="s">
        <v>173</v>
      </c>
      <c r="O64" s="54" t="s">
        <v>175</v>
      </c>
      <c r="P64" s="54" t="s">
        <v>176</v>
      </c>
      <c r="Q64" s="54" t="s">
        <v>177</v>
      </c>
      <c r="R64" s="54" t="s">
        <v>178</v>
      </c>
    </row>
    <row r="65" spans="3:21" ht="20.100000000000001" customHeight="1" x14ac:dyDescent="0.25">
      <c r="D65" s="55" t="e" cm="1">
        <f t="array" ref="D65">MMS_Dairy_N2ODirect_Equations.VEERG_4_3_1_3__7_IntakeRelativeToMaintenance(D50,D19,D55,D60)</f>
        <v>#REF!</v>
      </c>
      <c r="E65" s="55" t="e" cm="1">
        <f t="array" ref="E65">MMS_Dairy_N2ODirect_Equations.VEERG_4_3_1_3__7_IntakeRelativeToMaintenance(E50,E19,E55,E60)</f>
        <v>#REF!</v>
      </c>
      <c r="F65" s="55" t="e" cm="1">
        <f t="array" ref="F65">MMS_Dairy_N2ODirect_Equations.VEERG_4_3_1_3__7_IntakeRelativeToMaintenance(F50,F19,F55,F60)</f>
        <v>#VALUE!</v>
      </c>
      <c r="G65" s="55" t="e" cm="1">
        <f t="array" ref="G65">MMS_Dairy_N2ODirect_Equations.VEERG_4_3_1_3__7_IntakeRelativeToMaintenance(G50,G19,G55,G60)</f>
        <v>#VALUE!</v>
      </c>
      <c r="H65" s="55" t="e" cm="1">
        <f t="array" ref="H65">MMS_Dairy_N2ODirect_Equations.VEERG_4_3_1_3__7_IntakeRelativeToMaintenance(H50,H19,H55,H60)</f>
        <v>#VALUE!</v>
      </c>
      <c r="I65" s="2" t="str">
        <f>$E$40</f>
        <v>ratio</v>
      </c>
      <c r="N65" s="55" t="e" cm="1">
        <f t="array" ref="N65">MMS_Dairy_N2ODirect_Equations.VEERG_4_3_1_3__7_IntakeRelativeToMaintenance(N50,N19,D55,D60)</f>
        <v>#VALUE!</v>
      </c>
      <c r="O65" s="55" t="e" cm="1">
        <f t="array" ref="O65">MMS_Dairy_N2ODirect_Equations.VEERG_4_3_1_3__7_IntakeRelativeToMaintenance(O50,O19,E55,E60)</f>
        <v>#VALUE!</v>
      </c>
      <c r="P65" s="55" t="e" cm="1">
        <f t="array" ref="P65">MMS_Dairy_N2ODirect_Equations.VEERG_4_3_1_3__7_IntakeRelativeToMaintenance(P50,P19,F55,F60)</f>
        <v>#VALUE!</v>
      </c>
      <c r="Q65" s="55" t="e" cm="1">
        <f t="array" ref="Q65">MMS_Dairy_N2ODirect_Equations.VEERG_4_3_1_3__7_IntakeRelativeToMaintenance(Q50,Q19,G55,G60)</f>
        <v>#VALUE!</v>
      </c>
      <c r="R65" s="55" t="e" cm="1">
        <f t="array" ref="R65">MMS_Dairy_N2ODirect_Equations.VEERG_4_3_1_3__7_IntakeRelativeToMaintenance(R50,R19,H55,H60)</f>
        <v>#VALUE!</v>
      </c>
      <c r="S65" s="2" t="str">
        <f>$E$40</f>
        <v>ratio</v>
      </c>
    </row>
    <row r="66" spans="3:21" ht="20.100000000000001" customHeight="1" x14ac:dyDescent="0.25"/>
    <row r="67" spans="3:21" ht="20.100000000000001" customHeight="1" x14ac:dyDescent="0.25"/>
    <row r="68" spans="3:21" ht="20.100000000000001" customHeight="1" x14ac:dyDescent="0.25">
      <c r="C68" s="48"/>
      <c r="D68" s="48"/>
      <c r="E68" s="48"/>
      <c r="F68" s="48"/>
      <c r="G68" s="48"/>
      <c r="H68" s="48"/>
      <c r="I68" s="48"/>
      <c r="J68" s="48"/>
      <c r="K68" s="48"/>
      <c r="M68" s="48"/>
      <c r="N68" s="48"/>
      <c r="O68" s="48"/>
      <c r="P68" s="48"/>
      <c r="Q68" s="48"/>
      <c r="R68" s="48"/>
      <c r="S68" s="48"/>
      <c r="T68" s="48"/>
      <c r="U68" s="48"/>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13" t="s">
        <v>27</v>
      </c>
      <c r="E71" s="13" t="str" cm="1">
        <f t="array" aca="1" ref="E71" ca="1">Common_InputFunctions.Utility_DisplayFunctionName(D96)</f>
        <v>=MMS_Dairy_N2ODirect_Equations.VEERG_4_3_1_3__6_NitrogenRetainedByBody</v>
      </c>
    </row>
    <row r="72" spans="3:21" ht="20.100000000000001" customHeight="1" x14ac:dyDescent="0.25"/>
    <row r="73" spans="3:21" ht="20.100000000000001" customHeight="1" x14ac:dyDescent="0.25"/>
    <row r="74" spans="3:21" ht="20.100000000000001" customHeight="1" x14ac:dyDescent="0.25"/>
    <row r="75" spans="3:21" ht="20.100000000000001" customHeight="1" x14ac:dyDescent="0.25">
      <c r="D75" s="56" t="s">
        <v>30</v>
      </c>
      <c r="E75" s="1" t="str" cm="1">
        <f t="array" ref="E75">MMS_Dairy_N2ODirect_Equations.VEERG_4_3_1_3__6_NitrogenRetainedByBody_Variable()</f>
        <v>NR_j</v>
      </c>
    </row>
    <row r="76" spans="3:21" ht="20.100000000000001" customHeight="1" x14ac:dyDescent="0.25">
      <c r="D76" s="56" t="s">
        <v>20</v>
      </c>
      <c r="E76" s="57" t="str" cm="1">
        <f t="array" ref="E76">MMS_Dairy_N2ODirect_Equations.VEERG_4_3_1_3__6_NitrogenRetainedByBody_Unit()</f>
        <v>kg N/head/day</v>
      </c>
    </row>
    <row r="77" spans="3:21" ht="20.100000000000001" customHeight="1" x14ac:dyDescent="0.25"/>
    <row r="78" spans="3:21" ht="20.100000000000001" customHeight="1" x14ac:dyDescent="0.25">
      <c r="D78" s="114" t="str" cm="1">
        <f t="array" ref="D78:E81">MMS_Dairy_N2ODirect_Equations.VEERG_4_3_1_3__6_NitrogenRetainedByBody_Arguments()</f>
        <v>MP_j</v>
      </c>
      <c r="E78" s="116" t="str">
        <v>milk production (L/head/day)</v>
      </c>
      <c r="F78" s="115"/>
      <c r="G78" s="114" t="str">
        <f>"See " &amp; D83</f>
        <v>See Table_MP_j</v>
      </c>
    </row>
    <row r="79" spans="3:21" ht="20.100000000000001" customHeight="1" x14ac:dyDescent="0.25">
      <c r="D79" s="114" t="str">
        <v>L_j</v>
      </c>
      <c r="E79" s="116" t="str">
        <v>intake relative to maintenance</v>
      </c>
      <c r="F79" s="115"/>
      <c r="G79" s="114" t="str">
        <f>"See " &amp; D62</f>
        <v>See M1_Table_L_j</v>
      </c>
    </row>
    <row r="80" spans="3:21" ht="20.100000000000001" customHeight="1" x14ac:dyDescent="0.25">
      <c r="D80" s="114" t="str">
        <v>Z_j</v>
      </c>
      <c r="E80" s="116" t="str">
        <v>relative size</v>
      </c>
      <c r="F80" s="115"/>
      <c r="G80" s="114" t="str">
        <f>"See " &amp; D26</f>
        <v>See M1_Table_Z_j</v>
      </c>
    </row>
    <row r="81" spans="4:19" ht="20.100000000000001" customHeight="1" x14ac:dyDescent="0.25">
      <c r="D81" s="114" t="str">
        <v>LWG_j</v>
      </c>
      <c r="E81" s="116" t="str">
        <v>liveweight gain (kg/day)</v>
      </c>
      <c r="F81" s="115"/>
      <c r="G81" s="114" t="str">
        <f>"See " &amp; D88</f>
        <v>See M1_Table_LWG_j</v>
      </c>
    </row>
    <row r="82" spans="4:19" ht="20.100000000000001" customHeight="1" x14ac:dyDescent="0.25"/>
    <row r="83" spans="4:19" ht="20.100000000000001" customHeight="1" x14ac:dyDescent="0.25">
      <c r="D83" s="104" t="s">
        <v>213</v>
      </c>
    </row>
    <row r="84" spans="4:19" ht="20.100000000000001" customHeight="1" x14ac:dyDescent="0.25">
      <c r="D84" s="103" t="s">
        <v>182</v>
      </c>
    </row>
    <row r="85" spans="4:19" ht="20.100000000000001" customHeight="1" x14ac:dyDescent="0.25">
      <c r="D85" s="54" t="s">
        <v>173</v>
      </c>
      <c r="E85" s="54" t="s">
        <v>175</v>
      </c>
      <c r="F85" s="54" t="s">
        <v>176</v>
      </c>
      <c r="G85" s="54" t="s">
        <v>177</v>
      </c>
      <c r="H85" s="54" t="s">
        <v>178</v>
      </c>
    </row>
    <row r="86" spans="4:19" ht="20.100000000000001" customHeight="1" x14ac:dyDescent="0.25">
      <c r="D86" s="55">
        <f>'Input - Pasture Beef'!$E$136</f>
        <v>0</v>
      </c>
      <c r="E86" s="55">
        <v>0</v>
      </c>
      <c r="F86" s="55">
        <v>0</v>
      </c>
      <c r="G86" s="55">
        <v>0</v>
      </c>
      <c r="H86" s="55">
        <v>0</v>
      </c>
      <c r="I86" s="2" t="s">
        <v>212</v>
      </c>
    </row>
    <row r="87" spans="4:19" ht="20.100000000000001" customHeight="1" x14ac:dyDescent="0.25"/>
    <row r="88" spans="4:19" ht="20.100000000000001" customHeight="1" x14ac:dyDescent="0.25">
      <c r="D88" s="104" t="s">
        <v>204</v>
      </c>
      <c r="N88" s="104" t="s">
        <v>206</v>
      </c>
    </row>
    <row r="89" spans="4:19" ht="20.100000000000001" customHeight="1" x14ac:dyDescent="0.25">
      <c r="D89" s="103" t="s">
        <v>205</v>
      </c>
      <c r="N89" s="103" t="s">
        <v>207</v>
      </c>
    </row>
    <row r="90" spans="4:19" ht="20.100000000000001" customHeight="1" x14ac:dyDescent="0.25">
      <c r="D90" s="54" t="s">
        <v>173</v>
      </c>
      <c r="E90" s="54" t="s">
        <v>175</v>
      </c>
      <c r="F90" s="54" t="s">
        <v>176</v>
      </c>
      <c r="G90" s="54" t="s">
        <v>177</v>
      </c>
      <c r="H90" s="54" t="s">
        <v>178</v>
      </c>
      <c r="N90" s="54" t="s">
        <v>173</v>
      </c>
      <c r="O90" s="54" t="s">
        <v>175</v>
      </c>
      <c r="P90" s="54" t="s">
        <v>176</v>
      </c>
      <c r="Q90" s="54" t="s">
        <v>177</v>
      </c>
      <c r="R90" s="54" t="s">
        <v>178</v>
      </c>
    </row>
    <row r="91" spans="4:19" ht="20.100000000000001" customHeight="1" x14ac:dyDescent="0.25">
      <c r="D91" s="55">
        <f>'Input - Pasture Beef'!$E$105</f>
        <v>0.25</v>
      </c>
      <c r="E91" s="55">
        <f>'Input - Pasture Beef'!$F$105</f>
        <v>0</v>
      </c>
      <c r="F91" s="55">
        <f>'Input - Pasture Beef'!$G$105</f>
        <v>0</v>
      </c>
      <c r="G91" s="55" t="str">
        <f>'Input - Pasture Beef'!$H$105</f>
        <v>Percent</v>
      </c>
      <c r="H91" s="55">
        <f>'Input - Pasture Beef'!$I$105</f>
        <v>0</v>
      </c>
      <c r="I91" s="2" t="s">
        <v>181</v>
      </c>
      <c r="N91" s="55">
        <f>'Input - Pasture Beef'!$E$109</f>
        <v>0.05</v>
      </c>
      <c r="O91" s="55">
        <f>'Input - Pasture Beef'!$F$109</f>
        <v>0</v>
      </c>
      <c r="P91" s="55">
        <f>'Input - Pasture Beef'!$G$109</f>
        <v>0</v>
      </c>
      <c r="Q91" s="55" t="str">
        <f>'Input - Pasture Beef'!$H$109</f>
        <v>Percent</v>
      </c>
      <c r="R91" s="55">
        <f>'Input - Pasture Beef'!$I$109</f>
        <v>0</v>
      </c>
      <c r="S91" s="2" t="s">
        <v>181</v>
      </c>
    </row>
    <row r="92" spans="4:19" ht="20.100000000000001" customHeight="1" x14ac:dyDescent="0.25"/>
    <row r="93" spans="4:19" ht="20.100000000000001" customHeight="1" x14ac:dyDescent="0.25">
      <c r="D93" s="104" t="s">
        <v>111</v>
      </c>
      <c r="N93" s="104" t="s">
        <v>112</v>
      </c>
    </row>
    <row r="94" spans="4:19" ht="20.100000000000001" customHeight="1" x14ac:dyDescent="0.25">
      <c r="D94" s="103" t="s">
        <v>232</v>
      </c>
      <c r="N94" s="103" t="s">
        <v>233</v>
      </c>
    </row>
    <row r="95" spans="4:19" ht="20.100000000000001" customHeight="1" x14ac:dyDescent="0.25">
      <c r="D95" s="54" t="s">
        <v>173</v>
      </c>
      <c r="E95" s="54" t="s">
        <v>175</v>
      </c>
      <c r="F95" s="54" t="s">
        <v>176</v>
      </c>
      <c r="G95" s="54" t="s">
        <v>177</v>
      </c>
      <c r="H95" s="54" t="s">
        <v>178</v>
      </c>
      <c r="N95" s="54" t="s">
        <v>173</v>
      </c>
      <c r="O95" s="54" t="s">
        <v>175</v>
      </c>
      <c r="P95" s="54" t="s">
        <v>176</v>
      </c>
      <c r="Q95" s="54" t="s">
        <v>177</v>
      </c>
      <c r="R95" s="54" t="s">
        <v>178</v>
      </c>
    </row>
    <row r="96" spans="4:19" ht="20.100000000000001" customHeight="1" x14ac:dyDescent="0.25">
      <c r="D96" s="55" t="e" cm="1">
        <f t="array" ref="D96">MMS_Dairy_N2ODirect_Equations.VEERG_4_3_1_3__6_NitrogenRetainedByBody(D86,D65,D29,D91)</f>
        <v>#REF!</v>
      </c>
      <c r="E96" s="55" t="e" cm="1">
        <f t="array" ref="E96">MMS_Dairy_N2ODirect_Equations.VEERG_4_3_1_3__6_NitrogenRetainedByBody(E86,E65,E29,E91)</f>
        <v>#REF!</v>
      </c>
      <c r="F96" s="55" t="e" cm="1">
        <f t="array" ref="F96">MMS_Dairy_N2ODirect_Equations.VEERG_4_3_1_3__6_NitrogenRetainedByBody(F86,F65,F29,F91)</f>
        <v>#VALUE!</v>
      </c>
      <c r="G96" s="55" t="e" cm="1">
        <f t="array" ref="G96">MMS_Dairy_N2ODirect_Equations.VEERG_4_3_1_3__6_NitrogenRetainedByBody(G86,G65,G29,G91)</f>
        <v>#VALUE!</v>
      </c>
      <c r="H96" s="55" t="e" cm="1">
        <f t="array" ref="H96">MMS_Dairy_N2ODirect_Equations.VEERG_4_3_1_3__6_NitrogenRetainedByBody(H86,H65,H29,H91)</f>
        <v>#VALUE!</v>
      </c>
      <c r="I96" s="2" t="str">
        <f>$E$76</f>
        <v>kg N/head/day</v>
      </c>
      <c r="N96" s="55" t="e" cm="1">
        <f t="array" ref="N96">MMS_Dairy_N2ODirect_Equations.VEERG_4_3_1_3__6_NitrogenRetainedByBody(D86,N65,N29,N91)</f>
        <v>#VALUE!</v>
      </c>
      <c r="O96" s="55" t="e" cm="1">
        <f t="array" ref="O96">MMS_Dairy_N2ODirect_Equations.VEERG_4_3_1_3__6_NitrogenRetainedByBody(E86,O65,O29,O91)</f>
        <v>#VALUE!</v>
      </c>
      <c r="P96" s="55" t="e" cm="1">
        <f t="array" ref="P96">MMS_Dairy_N2ODirect_Equations.VEERG_4_3_1_3__6_NitrogenRetainedByBody(F86,P65,P29,P91)</f>
        <v>#VALUE!</v>
      </c>
      <c r="Q96" s="55" t="e" cm="1">
        <f t="array" ref="Q96">MMS_Dairy_N2ODirect_Equations.VEERG_4_3_1_3__6_NitrogenRetainedByBody(G86,Q65,Q29,Q91)</f>
        <v>#VALUE!</v>
      </c>
      <c r="R96" s="55" t="e" cm="1">
        <f t="array" ref="R96">MMS_Dairy_N2ODirect_Equations.VEERG_4_3_1_3__6_NitrogenRetainedByBody(H86,R65,R29,R91)</f>
        <v>#VALUE!</v>
      </c>
      <c r="S96" s="2" t="str">
        <f>$E$76</f>
        <v>kg N/head/day</v>
      </c>
    </row>
    <row r="97" spans="3:21" ht="20.100000000000001" customHeight="1" x14ac:dyDescent="0.25"/>
    <row r="98" spans="3:21" ht="20.100000000000001" customHeight="1" x14ac:dyDescent="0.25"/>
    <row r="99" spans="3:21" ht="20.100000000000001" customHeight="1" x14ac:dyDescent="0.25">
      <c r="C99" s="48"/>
      <c r="D99" s="48"/>
      <c r="E99" s="48"/>
      <c r="F99" s="48"/>
      <c r="G99" s="48"/>
      <c r="H99" s="48"/>
      <c r="I99" s="48"/>
      <c r="J99" s="48"/>
      <c r="K99" s="48"/>
      <c r="M99" s="48"/>
      <c r="N99" s="48"/>
      <c r="O99" s="48"/>
      <c r="P99" s="48"/>
      <c r="Q99" s="48"/>
      <c r="R99" s="48"/>
      <c r="S99" s="48"/>
      <c r="T99" s="48"/>
      <c r="U99" s="48"/>
    </row>
    <row r="100" spans="3:21" ht="20.100000000000001" customHeight="1" x14ac:dyDescent="0.25">
      <c r="D100" s="6" t="str" cm="1">
        <f t="array" ref="D100">MMS_Dairy_N2ODirect_Equations.VEERG_4_3_1_3__5_CrudeProteinIntakeOfDairyCattle_Title()</f>
        <v>Crude protein intake of dairy cattle</v>
      </c>
    </row>
    <row r="101" spans="3:21" ht="20.100000000000001" customHeight="1" x14ac:dyDescent="0.25">
      <c r="D101" s="5" t="str" cm="1">
        <f t="array" ref="D101">MMS_Dairy_N2ODirect_Equations.VEERG_4_3_1_3__5_CrudeProteinIntakeOfDairyCattle_Source()</f>
        <v>VEERG 2026: 4.3.1.3, Equation (5)</v>
      </c>
    </row>
    <row r="102" spans="3:21" ht="20.100000000000001" customHeight="1" x14ac:dyDescent="0.25">
      <c r="D102" s="13" t="s">
        <v>27</v>
      </c>
      <c r="E102" s="13" t="str" cm="1">
        <f t="array" aca="1" ref="E102" ca="1">Common_InputFunctions.Utility_DisplayFunctionName(D119)</f>
        <v>=MMS_Dairy_N2ODirect_Equations.VEERG_4_3_1_3__5_CrudeProteinIntakeOfDairyCattle</v>
      </c>
    </row>
    <row r="103" spans="3:21" ht="20.100000000000001" customHeight="1" x14ac:dyDescent="0.25"/>
    <row r="104" spans="3:21" ht="20.100000000000001" customHeight="1" x14ac:dyDescent="0.25">
      <c r="D104" s="6"/>
    </row>
    <row r="105" spans="3:21" ht="20.100000000000001" customHeight="1" x14ac:dyDescent="0.25">
      <c r="D105" s="56" t="s">
        <v>30</v>
      </c>
      <c r="E105" s="1" t="str" cm="1">
        <f t="array" ref="E105">MMS_Dairy_N2ODirect_Equations.VEERG_4_3_1_3__5_CrudeProteinIntakeOfDairyCattle_Variable()</f>
        <v>CPI_j</v>
      </c>
    </row>
    <row r="106" spans="3:21" ht="20.100000000000001" customHeight="1" x14ac:dyDescent="0.25">
      <c r="D106" s="56" t="s">
        <v>20</v>
      </c>
      <c r="E106" s="57" t="str" cm="1">
        <f t="array" ref="E106">MMS_Dairy_N2ODirect_Equations.VEERG_4_3_1_3__5_CrudeProteinIntakeOfDairyCattle_Unit()</f>
        <v>kg/head/day</v>
      </c>
    </row>
    <row r="107" spans="3:21" ht="20.100000000000001" customHeight="1" x14ac:dyDescent="0.25"/>
    <row r="108" spans="3:21" ht="20.100000000000001" customHeight="1" x14ac:dyDescent="0.25">
      <c r="D108" s="60" t="str" cm="1">
        <f t="array" ref="D108:E109">MMS_Dairy_N2ODirect_Equations.VEERG_4_3_1_3__5_CrudeProteinIntakeOfDairyCattle_Arguments()</f>
        <v>I_j</v>
      </c>
      <c r="E108" s="61" t="str">
        <v>dry matter intake (kgDM/head/day)</v>
      </c>
      <c r="F108" s="62"/>
      <c r="G108" s="60" t="str">
        <f>"See " &amp; D47</f>
        <v>See M1_Table_I_j</v>
      </c>
    </row>
    <row r="109" spans="3:21" ht="20.100000000000001" customHeight="1" x14ac:dyDescent="0.25">
      <c r="D109" s="60" t="str">
        <v>CP_j</v>
      </c>
      <c r="E109" s="61" t="str">
        <v>crude protein content of feed intake (fraction)</v>
      </c>
      <c r="F109" s="62"/>
      <c r="G109" s="60" t="str">
        <f>"See " &amp; D111</f>
        <v>See M1_Table_CP_j</v>
      </c>
    </row>
    <row r="110" spans="3:21" ht="20.100000000000001" customHeight="1" x14ac:dyDescent="0.25"/>
    <row r="111" spans="3:21" ht="20.100000000000001" customHeight="1" x14ac:dyDescent="0.25">
      <c r="D111" s="104" t="s">
        <v>109</v>
      </c>
      <c r="N111" s="104" t="s">
        <v>109</v>
      </c>
    </row>
    <row r="112" spans="3:21" ht="20.100000000000001" customHeight="1" x14ac:dyDescent="0.25">
      <c r="D112" s="103" t="s">
        <v>234</v>
      </c>
      <c r="N112" s="103" t="s">
        <v>234</v>
      </c>
    </row>
    <row r="113" spans="3:21" ht="20.100000000000001" customHeight="1" x14ac:dyDescent="0.25">
      <c r="D113" s="54" t="s">
        <v>173</v>
      </c>
      <c r="E113" s="54" t="s">
        <v>175</v>
      </c>
      <c r="F113" s="54" t="s">
        <v>176</v>
      </c>
      <c r="G113" s="54" t="s">
        <v>177</v>
      </c>
      <c r="H113" s="54" t="s">
        <v>178</v>
      </c>
      <c r="N113" s="54" t="s">
        <v>173</v>
      </c>
      <c r="O113" s="54" t="s">
        <v>175</v>
      </c>
      <c r="P113" s="54" t="s">
        <v>176</v>
      </c>
      <c r="Q113" s="54" t="s">
        <v>177</v>
      </c>
      <c r="R113" s="54" t="s">
        <v>178</v>
      </c>
    </row>
    <row r="114" spans="3:21" ht="20.100000000000001" customHeight="1" x14ac:dyDescent="0.25">
      <c r="D114" s="55">
        <f>'Input - Pasture Beef'!E127</f>
        <v>0</v>
      </c>
      <c r="E114" s="55">
        <f>'Input - Pasture Beef'!F127</f>
        <v>0</v>
      </c>
      <c r="F114" s="55">
        <f>'Input - Pasture Beef'!G127</f>
        <v>0</v>
      </c>
      <c r="G114" s="55">
        <f>'Input - Pasture Beef'!H127</f>
        <v>0</v>
      </c>
      <c r="H114" s="55">
        <f>'Input - Pasture Beef'!I127</f>
        <v>0</v>
      </c>
      <c r="I114" s="2" t="s">
        <v>99</v>
      </c>
      <c r="N114" s="55">
        <f>'Input - Pasture Beef'!E132</f>
        <v>0</v>
      </c>
      <c r="O114" s="55">
        <f>'Input - Pasture Beef'!F132</f>
        <v>0</v>
      </c>
      <c r="P114" s="55">
        <f>'Input - Pasture Beef'!G132</f>
        <v>0</v>
      </c>
      <c r="Q114" s="55">
        <f>'Input - Pasture Beef'!H132</f>
        <v>0</v>
      </c>
      <c r="R114" s="55">
        <f>'Input - Pasture Beef'!I132</f>
        <v>0</v>
      </c>
      <c r="S114" s="2" t="s">
        <v>99</v>
      </c>
    </row>
    <row r="115" spans="3:21" ht="20.100000000000001" customHeight="1" x14ac:dyDescent="0.25"/>
    <row r="116" spans="3:21" ht="20.100000000000001" customHeight="1" x14ac:dyDescent="0.25">
      <c r="D116" s="104" t="s">
        <v>235</v>
      </c>
      <c r="N116" s="104" t="s">
        <v>235</v>
      </c>
    </row>
    <row r="117" spans="3:21" ht="20.100000000000001" customHeight="1" x14ac:dyDescent="0.25">
      <c r="D117" s="103" t="s">
        <v>236</v>
      </c>
      <c r="N117" s="103" t="s">
        <v>236</v>
      </c>
    </row>
    <row r="118" spans="3:21" ht="20.100000000000001" customHeight="1" x14ac:dyDescent="0.25">
      <c r="D118" s="54" t="s">
        <v>173</v>
      </c>
      <c r="E118" s="54" t="s">
        <v>175</v>
      </c>
      <c r="F118" s="54" t="s">
        <v>176</v>
      </c>
      <c r="G118" s="54" t="s">
        <v>177</v>
      </c>
      <c r="H118" s="54" t="s">
        <v>178</v>
      </c>
      <c r="N118" s="54" t="s">
        <v>173</v>
      </c>
      <c r="O118" s="54" t="s">
        <v>175</v>
      </c>
      <c r="P118" s="54" t="s">
        <v>176</v>
      </c>
      <c r="Q118" s="54" t="s">
        <v>177</v>
      </c>
      <c r="R118" s="54" t="s">
        <v>178</v>
      </c>
    </row>
    <row r="119" spans="3:21" ht="20.100000000000001" customHeight="1" x14ac:dyDescent="0.25">
      <c r="D119" s="55" t="e" cm="1">
        <f t="array" ref="D119">MMS_Dairy_N2ODirect_Equations.VEERG_4_3_1_3__5_CrudeProteinIntakeOfDairyCattle(D50,D114)</f>
        <v>#REF!</v>
      </c>
      <c r="E119" s="55" t="e" cm="1">
        <f t="array" ref="E119">MMS_Dairy_N2ODirect_Equations.VEERG_4_3_1_3__5_CrudeProteinIntakeOfDairyCattle(E50,E114)</f>
        <v>#REF!</v>
      </c>
      <c r="F119" s="55" cm="1">
        <f t="array" ref="F119">MMS_Dairy_N2ODirect_Equations.VEERG_4_3_1_3__5_CrudeProteinIntakeOfDairyCattle(F50,F114)</f>
        <v>0</v>
      </c>
      <c r="G119" s="55" cm="1">
        <f t="array" ref="G119">MMS_Dairy_N2ODirect_Equations.VEERG_4_3_1_3__5_CrudeProteinIntakeOfDairyCattle(G50,G114)</f>
        <v>0</v>
      </c>
      <c r="H119" s="55" cm="1">
        <f t="array" ref="H119">MMS_Dairy_N2ODirect_Equations.VEERG_4_3_1_3__5_CrudeProteinIntakeOfDairyCattle(H50,H114)</f>
        <v>0</v>
      </c>
      <c r="I119" s="2" t="str">
        <f>$E$106</f>
        <v>kg/head/day</v>
      </c>
      <c r="N119" s="55" cm="1">
        <f t="array" ref="N119">MMS_Dairy_N2ODirect_Equations.VEERG_4_3_1_3__5_CrudeProteinIntakeOfDairyCattle(N50,N114)</f>
        <v>0</v>
      </c>
      <c r="O119" s="55" cm="1">
        <f t="array" ref="O119">MMS_Dairy_N2ODirect_Equations.VEERG_4_3_1_3__5_CrudeProteinIntakeOfDairyCattle(O50,O114)</f>
        <v>0</v>
      </c>
      <c r="P119" s="55" cm="1">
        <f t="array" ref="P119">MMS_Dairy_N2ODirect_Equations.VEERG_4_3_1_3__5_CrudeProteinIntakeOfDairyCattle(P50,P114)</f>
        <v>0</v>
      </c>
      <c r="Q119" s="55" cm="1">
        <f t="array" ref="Q119">MMS_Dairy_N2ODirect_Equations.VEERG_4_3_1_3__5_CrudeProteinIntakeOfDairyCattle(Q50,Q114)</f>
        <v>0</v>
      </c>
      <c r="R119" s="55" cm="1">
        <f t="array" ref="R119">MMS_Dairy_N2ODirect_Equations.VEERG_4_3_1_3__5_CrudeProteinIntakeOfDairyCattle(R50,R114)</f>
        <v>0</v>
      </c>
      <c r="S119" s="2" t="str">
        <f>$E$106</f>
        <v>kg/head/day</v>
      </c>
    </row>
    <row r="120" spans="3:21" ht="20.100000000000001" customHeight="1" x14ac:dyDescent="0.25"/>
    <row r="121" spans="3:21" ht="20.100000000000001" customHeight="1" x14ac:dyDescent="0.25"/>
    <row r="122" spans="3:21" ht="20.100000000000001" customHeight="1" x14ac:dyDescent="0.25">
      <c r="C122" s="48"/>
      <c r="D122" s="48"/>
      <c r="E122" s="48"/>
      <c r="F122" s="48"/>
      <c r="G122" s="48"/>
      <c r="H122" s="48"/>
      <c r="I122" s="48"/>
      <c r="J122" s="48"/>
      <c r="K122" s="48"/>
      <c r="M122" s="48"/>
      <c r="N122" s="48"/>
      <c r="O122" s="48"/>
      <c r="P122" s="48"/>
      <c r="Q122" s="48"/>
      <c r="R122" s="48"/>
      <c r="S122" s="48"/>
      <c r="T122" s="48"/>
      <c r="U122" s="48"/>
    </row>
    <row r="123" spans="3:21" ht="20.100000000000001" customHeight="1" x14ac:dyDescent="0.25">
      <c r="D123" s="6" t="str" cm="1">
        <f t="array" ref="D123">MMS_Dairy_N2ODirect_Equations.VEERG_4_3_1_3__4_NitrogenExcretedByDairyCattleGreaterThanOneYear_Title()</f>
        <v>Nitrogen excreted by dairy cattle greater than one year old</v>
      </c>
    </row>
    <row r="124" spans="3:21" ht="20.100000000000001" customHeight="1" x14ac:dyDescent="0.25">
      <c r="D124" s="5" t="str" cm="1">
        <f t="array" ref="D124">MMS_Dairy_N2ODirect_Equations.VEERG_4_3_1_3__4_NitrogenExcretedByDairyCattleGreaterThanOneYear_Source()</f>
        <v>VEERG 2026: 4.3.1.3, Equation (4)</v>
      </c>
    </row>
    <row r="125" spans="3:21" ht="20.100000000000001" customHeight="1" x14ac:dyDescent="0.25">
      <c r="D125" s="13" t="s">
        <v>27</v>
      </c>
      <c r="E125" s="13" t="str" cm="1">
        <f t="array" aca="1" ref="E125" ca="1">Common_InputFunctions.Utility_DisplayFunctionName(D139)</f>
        <v>=MMS_Dairy_N2ODirect_Equations.VEERG_4_3_1_3__4_NitrogenExcretedByDairyCattleGreaterThanOneYear</v>
      </c>
    </row>
    <row r="126" spans="3:21" ht="20.100000000000001" customHeight="1" x14ac:dyDescent="0.25"/>
    <row r="127" spans="3:21" ht="20.100000000000001" customHeight="1" x14ac:dyDescent="0.25">
      <c r="D127" s="6"/>
    </row>
    <row r="128" spans="3:21" ht="20.100000000000001" customHeight="1" x14ac:dyDescent="0.25"/>
    <row r="129" spans="3:21" ht="20.100000000000001" customHeight="1" x14ac:dyDescent="0.25">
      <c r="D129" s="56" t="s">
        <v>30</v>
      </c>
      <c r="E129" s="1" t="str" cm="1">
        <f t="array" ref="E129">MMS_Dairy_N2ODirect_Equations.VEERG_4_3_1_3__4_NitrogenExcretedByDairyCattleGreaterThanOneYear_Variable()</f>
        <v>NE_j</v>
      </c>
    </row>
    <row r="130" spans="3:21" ht="20.100000000000001" customHeight="1" x14ac:dyDescent="0.25">
      <c r="D130" s="56" t="s">
        <v>20</v>
      </c>
      <c r="E130" s="57" t="str" cm="1">
        <f t="array" ref="E130">MMS_Dairy_N2ODirect_Equations.VEERG_4_3_1_3__4_NitrogenExcretedByDairyCattleGreaterThanOneYear_Unit()</f>
        <v>kg N/head/day</v>
      </c>
    </row>
    <row r="131" spans="3:21" ht="20.100000000000001" customHeight="1" x14ac:dyDescent="0.25"/>
    <row r="132" spans="3:21" ht="20.100000000000001" customHeight="1" x14ac:dyDescent="0.25">
      <c r="D132" s="60" t="str" cm="1">
        <f t="array" ref="D132:E134">MMS_Dairy_N2ODirect_Equations.VEERG_4_3_1_3__4_NitrogenExcretedByDairyCattleGreaterThanOneYear_Arguments()</f>
        <v>CPI_j</v>
      </c>
      <c r="E132" s="61" t="str">
        <v>crude protein intake (kg/head/day)</v>
      </c>
      <c r="F132" s="62"/>
      <c r="G132" s="60" t="str">
        <f>"See " &amp;D116</f>
        <v>See M1_Table_CPI_j</v>
      </c>
    </row>
    <row r="133" spans="3:21" ht="20.100000000000001" customHeight="1" x14ac:dyDescent="0.25">
      <c r="D133" s="60" t="str">
        <v>NR_j</v>
      </c>
      <c r="E133" s="61" t="str">
        <v>amount of nitrogen retained by the body (kg N/head/day)</v>
      </c>
      <c r="F133" s="62"/>
      <c r="G133" s="60" t="str">
        <f>"See " &amp; D93</f>
        <v>See M1_Table_NR_j</v>
      </c>
    </row>
    <row r="134" spans="3:21" ht="20.100000000000001" customHeight="1" x14ac:dyDescent="0.25">
      <c r="D134" s="60" t="str">
        <v>W_j</v>
      </c>
      <c r="E134" s="61" t="str">
        <v>liveweight (kg)</v>
      </c>
      <c r="F134" s="62"/>
      <c r="G134" s="60" t="str">
        <f>"See " &amp; D16</f>
        <v>See M1_Table_W_j</v>
      </c>
    </row>
    <row r="135" spans="3:21" ht="20.100000000000001" customHeight="1" x14ac:dyDescent="0.25"/>
    <row r="136" spans="3:21" ht="20.100000000000001" customHeight="1" x14ac:dyDescent="0.25">
      <c r="D136" s="104" t="s">
        <v>113</v>
      </c>
      <c r="N136" s="104" t="s">
        <v>114</v>
      </c>
    </row>
    <row r="137" spans="3:21" ht="20.100000000000001" customHeight="1" x14ac:dyDescent="0.25">
      <c r="D137" s="103" t="s">
        <v>237</v>
      </c>
      <c r="N137" s="103" t="s">
        <v>238</v>
      </c>
    </row>
    <row r="138" spans="3:21" ht="20.100000000000001" customHeight="1" x14ac:dyDescent="0.25">
      <c r="D138" s="54" t="s">
        <v>173</v>
      </c>
      <c r="E138" s="54" t="s">
        <v>175</v>
      </c>
      <c r="F138" s="54" t="s">
        <v>176</v>
      </c>
      <c r="G138" s="54" t="s">
        <v>177</v>
      </c>
      <c r="H138" s="54" t="s">
        <v>178</v>
      </c>
      <c r="N138" s="54" t="s">
        <v>173</v>
      </c>
      <c r="O138" s="54" t="s">
        <v>175</v>
      </c>
      <c r="P138" s="54" t="s">
        <v>176</v>
      </c>
      <c r="Q138" s="54" t="s">
        <v>177</v>
      </c>
      <c r="R138" s="54" t="s">
        <v>178</v>
      </c>
    </row>
    <row r="139" spans="3:21" ht="20.100000000000001" customHeight="1" x14ac:dyDescent="0.25">
      <c r="D139" s="55" t="e" cm="1">
        <f t="array" ref="D139">MMS_Dairy_N2ODirect_Equations.VEERG_4_3_1_3__4_NitrogenExcretedByDairyCattleGreaterThanOneYear(D119,D96,D19)</f>
        <v>#REF!</v>
      </c>
      <c r="E139" s="55" t="e" cm="1">
        <f t="array" ref="E139">MMS_Dairy_N2ODirect_Equations.VEERG_4_3_1_3__4_NitrogenExcretedByDairyCattleGreaterThanOneYear(E119,E96,E19)</f>
        <v>#REF!</v>
      </c>
      <c r="F139" s="55" t="e" cm="1">
        <f t="array" ref="F139">MMS_Dairy_N2ODirect_Equations.VEERG_4_3_1_3__4_NitrogenExcretedByDairyCattleGreaterThanOneYear(F119,F96,F19)</f>
        <v>#VALUE!</v>
      </c>
      <c r="G139" s="55" t="e" cm="1">
        <f t="array" ref="G139">MMS_Dairy_N2ODirect_Equations.VEERG_4_3_1_3__4_NitrogenExcretedByDairyCattleGreaterThanOneYear(G119,G96,G19)</f>
        <v>#VALUE!</v>
      </c>
      <c r="H139" s="55" t="e" cm="1">
        <f t="array" ref="H139">MMS_Dairy_N2ODirect_Equations.VEERG_4_3_1_3__4_NitrogenExcretedByDairyCattleGreaterThanOneYear(H119,H96,H19)</f>
        <v>#VALUE!</v>
      </c>
      <c r="I139" s="2" t="str">
        <f>$E$130</f>
        <v>kg N/head/day</v>
      </c>
      <c r="N139" s="55" t="e" cm="1">
        <f t="array" ref="N139">MMS_Dairy_N2ODirect_Equations.VEERG_4_3_1_3__4_NitrogenExcretedByDairyCattleGreaterThanOneYear(N119,N96,N19)</f>
        <v>#VALUE!</v>
      </c>
      <c r="O139" s="55" t="e" cm="1">
        <f t="array" ref="O139">MMS_Dairy_N2ODirect_Equations.VEERG_4_3_1_3__4_NitrogenExcretedByDairyCattleGreaterThanOneYear(O119,O96,O19)</f>
        <v>#VALUE!</v>
      </c>
      <c r="P139" s="55" t="e" cm="1">
        <f t="array" ref="P139">MMS_Dairy_N2ODirect_Equations.VEERG_4_3_1_3__4_NitrogenExcretedByDairyCattleGreaterThanOneYear(P119,P96,P19)</f>
        <v>#VALUE!</v>
      </c>
      <c r="Q139" s="55" t="e" cm="1">
        <f t="array" ref="Q139">MMS_Dairy_N2ODirect_Equations.VEERG_4_3_1_3__4_NitrogenExcretedByDairyCattleGreaterThanOneYear(Q119,Q96,Q19)</f>
        <v>#VALUE!</v>
      </c>
      <c r="R139" s="55" t="e" cm="1">
        <f t="array" ref="R139">MMS_Dairy_N2ODirect_Equations.VEERG_4_3_1_3__4_NitrogenExcretedByDairyCattleGreaterThanOneYear(R119,R96,R19)</f>
        <v>#VALUE!</v>
      </c>
      <c r="S139" s="2" t="str">
        <f>$E$130</f>
        <v>kg N/head/day</v>
      </c>
    </row>
    <row r="140" spans="3:21" ht="20.100000000000001" customHeight="1" x14ac:dyDescent="0.25"/>
    <row r="141" spans="3:21" ht="20.100000000000001" customHeight="1" x14ac:dyDescent="0.25"/>
    <row r="142" spans="3:21" ht="20.100000000000001" customHeight="1" x14ac:dyDescent="0.25">
      <c r="C142" s="48"/>
      <c r="D142" s="48"/>
      <c r="E142" s="48"/>
      <c r="F142" s="48"/>
      <c r="G142" s="48"/>
      <c r="H142" s="48"/>
      <c r="I142" s="48"/>
      <c r="J142" s="48"/>
      <c r="K142" s="48"/>
      <c r="M142" s="48"/>
      <c r="N142" s="48"/>
      <c r="O142" s="48"/>
      <c r="P142" s="48"/>
      <c r="Q142" s="48"/>
      <c r="R142" s="48"/>
      <c r="S142" s="48"/>
      <c r="T142" s="48"/>
      <c r="U142" s="48"/>
    </row>
    <row r="143" spans="3:21" ht="20.100000000000001" customHeight="1" x14ac:dyDescent="0.25">
      <c r="D143" s="6" t="str" cm="1">
        <f t="array" ref="D143">MMS_Dairy_N2ODirect_Equations.VEERG_4_3_1_3__3a_TotalAnnualNitrogenExcretedGreaterThanOneYear_Title()</f>
        <v>Total annual nitrogen excreted by dairy cattle greater than one year old</v>
      </c>
    </row>
    <row r="144" spans="3:21" ht="20.100000000000001" customHeight="1" x14ac:dyDescent="0.25">
      <c r="D144" s="5" t="str" cm="1">
        <f t="array" ref="D144">MMS_Dairy_N2ODirect_Equations.VEERG_4_3_1_3__3a_TotalAnnualNitrogenExcretedGreaterThanOneYear_Source()</f>
        <v>VEERG 2026: 4.3.1.3, Equation (3a)</v>
      </c>
    </row>
    <row r="145" spans="4:9" ht="20.100000000000001" customHeight="1" x14ac:dyDescent="0.25">
      <c r="D145" s="58" t="str" cm="1">
        <f t="array" ref="D145">MMS_Dairy_N2ODirect_Equations.VEERG_4_3_1_3__3a_TotalAnnualNitrogenExcretedGreaterThanOneYear_Variation()</f>
        <v>VARIATION: Used Duration variables instead of hard-coded 365 value.</v>
      </c>
    </row>
    <row r="146" spans="4:9" ht="20.100000000000001" customHeight="1" x14ac:dyDescent="0.25">
      <c r="D146" s="13" t="s">
        <v>27</v>
      </c>
      <c r="E146" s="13" t="str" cm="1">
        <f t="array" aca="1" ref="E146" ca="1">Common_InputFunctions.Utility_DisplayFunctionName(D169)</f>
        <v>=MMS_Dairy_N2ODirect_Equations.VEERG_4_3_1_3__3a_TotalAnnualNitrogenExcretedGreaterThanOneYearVariation</v>
      </c>
    </row>
    <row r="147" spans="4:9" ht="20.100000000000001" customHeight="1" x14ac:dyDescent="0.25"/>
    <row r="148" spans="4:9" ht="20.100000000000001" customHeight="1" x14ac:dyDescent="0.25">
      <c r="D148" s="6"/>
    </row>
    <row r="149" spans="4:9" ht="20.100000000000001" customHeight="1" x14ac:dyDescent="0.25">
      <c r="D149" s="56" t="s">
        <v>30</v>
      </c>
      <c r="E149" s="1" t="str" cm="1">
        <f t="array" ref="E149">MMS_Dairy_N2ODirect_Equations.VEERG_4_3_1_3__3a_TotalAnnualNitrogenExcretedGreaterThanOneYear_Variable()</f>
        <v>AE_j124</v>
      </c>
    </row>
    <row r="150" spans="4:9" ht="20.100000000000001" customHeight="1" x14ac:dyDescent="0.25">
      <c r="D150" s="56" t="s">
        <v>20</v>
      </c>
      <c r="E150" s="57" t="str" cm="1">
        <f t="array" ref="E150">MMS_Dairy_N2ODirect_Equations.VEERG_4_3_1_3__3a_TotalAnnualNitrogenExcretedGreaterThanOneYear_Unit()</f>
        <v>kg N</v>
      </c>
    </row>
    <row r="151" spans="4:9" ht="20.100000000000001" customHeight="1" x14ac:dyDescent="0.25"/>
    <row r="152" spans="4:9" ht="20.100000000000001" customHeight="1" x14ac:dyDescent="0.25">
      <c r="D152" s="114" t="str" cm="1">
        <f t="array" ref="D152:E154">MMS_Dairy_N2ODirect_Equations.VEERG_4_3_1_3__3a_TotalAnnualNitrogenExcretedGreaterThanOneYear_Arguments()</f>
        <v>N_j124</v>
      </c>
      <c r="E152" s="116" t="str">
        <v>number of dairy cattle in classes j=1,2,4</v>
      </c>
      <c r="F152" s="115"/>
      <c r="G152" s="114" t="str">
        <f>"See " &amp; D156</f>
        <v>See Table_N_j</v>
      </c>
    </row>
    <row r="153" spans="4:9" ht="20.100000000000001" customHeight="1" x14ac:dyDescent="0.25">
      <c r="D153" s="114" t="str">
        <v>NE_j124</v>
      </c>
      <c r="E153" s="116" t="str">
        <v>nitrogen excreted by dairy cattle greater than one year old (kg N/head/day)</v>
      </c>
      <c r="F153" s="115"/>
      <c r="G153" s="114" t="str">
        <f>"See " &amp; D136</f>
        <v>See M1_Table_NE_j</v>
      </c>
    </row>
    <row r="154" spans="4:9" ht="20.100000000000001" customHeight="1" x14ac:dyDescent="0.25">
      <c r="D154" s="114" t="str">
        <v>D_j124</v>
      </c>
      <c r="E154" s="116" t="str">
        <v>duration of stay on farm for classes j=1,2,4 (days)</v>
      </c>
      <c r="F154" s="115"/>
      <c r="G154" s="114" t="str">
        <f>"See " &amp; D161</f>
        <v>See M1_Table_D_j-1-2-4</v>
      </c>
    </row>
    <row r="155" spans="4:9" ht="20.100000000000001" customHeight="1" x14ac:dyDescent="0.25"/>
    <row r="156" spans="4:9" ht="20.100000000000001" customHeight="1" x14ac:dyDescent="0.25">
      <c r="D156" s="104" t="s">
        <v>103</v>
      </c>
    </row>
    <row r="157" spans="4:9" ht="20.100000000000001" customHeight="1" x14ac:dyDescent="0.25">
      <c r="D157" s="103" t="s">
        <v>218</v>
      </c>
    </row>
    <row r="158" spans="4:9" ht="20.100000000000001" customHeight="1" x14ac:dyDescent="0.25">
      <c r="D158" s="54" t="s">
        <v>173</v>
      </c>
      <c r="E158" s="54" t="s">
        <v>175</v>
      </c>
      <c r="F158" s="54" t="s">
        <v>176</v>
      </c>
      <c r="G158" s="54" t="s">
        <v>177</v>
      </c>
      <c r="H158" s="54" t="s">
        <v>178</v>
      </c>
    </row>
    <row r="159" spans="4:9" ht="20.100000000000001" customHeight="1" x14ac:dyDescent="0.25">
      <c r="D159" s="106">
        <f>'Input - Pasture Beef'!$E$100</f>
        <v>0</v>
      </c>
      <c r="E159" s="106">
        <f>'Input - Pasture Beef'!$F$100</f>
        <v>0</v>
      </c>
      <c r="F159" s="106">
        <f>'Input - Pasture Beef'!$G$100</f>
        <v>0</v>
      </c>
      <c r="G159" s="106">
        <f>'Input - Pasture Beef'!$H$100</f>
        <v>0</v>
      </c>
      <c r="H159" s="106">
        <f>'Input - Pasture Beef'!$I$100</f>
        <v>0</v>
      </c>
      <c r="I159" s="2" t="s">
        <v>104</v>
      </c>
    </row>
    <row r="160" spans="4:9" ht="20.100000000000001" customHeight="1" x14ac:dyDescent="0.25"/>
    <row r="161" spans="3:21" ht="20.100000000000001" customHeight="1" x14ac:dyDescent="0.25">
      <c r="D161" s="104" t="s">
        <v>221</v>
      </c>
      <c r="N161" s="104" t="s">
        <v>221</v>
      </c>
    </row>
    <row r="162" spans="3:21" ht="20.100000000000001" customHeight="1" x14ac:dyDescent="0.25">
      <c r="D162" s="103" t="s">
        <v>241</v>
      </c>
      <c r="N162" s="103" t="s">
        <v>242</v>
      </c>
    </row>
    <row r="163" spans="3:21" ht="20.100000000000001" customHeight="1" x14ac:dyDescent="0.25">
      <c r="D163" s="54" t="s">
        <v>173</v>
      </c>
      <c r="E163" s="54" t="s">
        <v>175</v>
      </c>
      <c r="F163" s="54" t="s">
        <v>176</v>
      </c>
      <c r="G163" s="54" t="s">
        <v>177</v>
      </c>
      <c r="H163" s="54" t="s">
        <v>178</v>
      </c>
      <c r="N163" s="54" t="s">
        <v>173</v>
      </c>
      <c r="O163" s="54" t="s">
        <v>175</v>
      </c>
      <c r="P163" s="54" t="s">
        <v>176</v>
      </c>
      <c r="Q163" s="54" t="s">
        <v>177</v>
      </c>
      <c r="R163" s="54" t="s">
        <v>178</v>
      </c>
    </row>
    <row r="164" spans="3:21" ht="20.100000000000001" customHeight="1" x14ac:dyDescent="0.25">
      <c r="D164" s="55">
        <f>'Input - Pasture Beef'!$E$114</f>
        <v>0.05</v>
      </c>
      <c r="E164" s="55">
        <f>'Input - Pasture Beef'!$F$114</f>
        <v>0</v>
      </c>
      <c r="F164" s="55">
        <v>0</v>
      </c>
      <c r="G164" s="55" t="str">
        <f>'Input - Pasture Beef'!$H$114</f>
        <v>Percent</v>
      </c>
      <c r="H164" s="55">
        <v>0</v>
      </c>
      <c r="I164" s="2" t="s">
        <v>55</v>
      </c>
      <c r="N164" s="55">
        <f>'Input - Pasture Beef'!E118</f>
        <v>0</v>
      </c>
      <c r="O164" s="55">
        <f>'Input - Pasture Beef'!F118</f>
        <v>0</v>
      </c>
      <c r="P164" s="55">
        <v>0</v>
      </c>
      <c r="Q164" s="55" t="str">
        <f>'Input - Pasture Beef'!H118</f>
        <v>Percent</v>
      </c>
      <c r="R164" s="55">
        <v>0</v>
      </c>
      <c r="S164" s="2" t="s">
        <v>55</v>
      </c>
    </row>
    <row r="165" spans="3:21" ht="20.100000000000001" customHeight="1" x14ac:dyDescent="0.25"/>
    <row r="166" spans="3:21" ht="20.100000000000001" customHeight="1" x14ac:dyDescent="0.25">
      <c r="D166" s="104" t="s">
        <v>239</v>
      </c>
      <c r="N166" s="104" t="s">
        <v>239</v>
      </c>
    </row>
    <row r="167" spans="3:21" ht="20.100000000000001" customHeight="1" x14ac:dyDescent="0.25">
      <c r="D167" s="103" t="s">
        <v>248</v>
      </c>
      <c r="N167" s="103" t="s">
        <v>240</v>
      </c>
    </row>
    <row r="168" spans="3:21" ht="20.100000000000001" customHeight="1" x14ac:dyDescent="0.25">
      <c r="D168" s="54" t="s">
        <v>173</v>
      </c>
      <c r="E168" s="54" t="s">
        <v>175</v>
      </c>
      <c r="F168" s="54" t="s">
        <v>176</v>
      </c>
      <c r="G168" s="54" t="s">
        <v>177</v>
      </c>
      <c r="H168" s="54" t="s">
        <v>178</v>
      </c>
      <c r="N168" s="54" t="s">
        <v>173</v>
      </c>
      <c r="O168" s="54" t="s">
        <v>175</v>
      </c>
      <c r="P168" s="54" t="s">
        <v>176</v>
      </c>
      <c r="Q168" s="54" t="s">
        <v>177</v>
      </c>
      <c r="R168" s="54" t="s">
        <v>178</v>
      </c>
    </row>
    <row r="169" spans="3:21" ht="20.100000000000001" customHeight="1" x14ac:dyDescent="0.25">
      <c r="D169" s="55" t="e" cm="1">
        <f t="array" ref="D169">MMS_Dairy_N2ODirect_Equations.VEERG_4_3_1_3__3a_TotalAnnualNitrogenExcretedGreaterThanOneYearVariation(D159,D139,D164)</f>
        <v>#REF!</v>
      </c>
      <c r="E169" s="55" t="e" cm="1">
        <f t="array" ref="E169">MMS_Dairy_N2ODirect_Equations.VEERG_4_3_1_3__3a_TotalAnnualNitrogenExcretedGreaterThanOneYearVariation(E159,E139,E164)</f>
        <v>#REF!</v>
      </c>
      <c r="F169" s="55" t="e" cm="1">
        <f t="array" ref="F169">MMS_Dairy_N2ODirect_Equations.VEERG_4_3_1_3__3a_TotalAnnualNitrogenExcretedGreaterThanOneYearVariation(F159,F139,F164)</f>
        <v>#VALUE!</v>
      </c>
      <c r="G169" s="55" t="e" cm="1">
        <f t="array" ref="G169">MMS_Dairy_N2ODirect_Equations.VEERG_4_3_1_3__3a_TotalAnnualNitrogenExcretedGreaterThanOneYearVariation(G159,G139,G164)</f>
        <v>#VALUE!</v>
      </c>
      <c r="H169" s="55" t="e" cm="1">
        <f t="array" ref="H169">MMS_Dairy_N2ODirect_Equations.VEERG_4_3_1_3__3a_TotalAnnualNitrogenExcretedGreaterThanOneYearVariation(H159,H139,H164)</f>
        <v>#VALUE!</v>
      </c>
      <c r="I169" s="2" t="str">
        <f>$E$150</f>
        <v>kg N</v>
      </c>
      <c r="N169" s="55" t="e" cm="1">
        <f t="array" ref="N169">MMS_Dairy_N2ODirect_Equations.VEERG_4_3_1_3__3a_TotalAnnualNitrogenExcretedGreaterThanOneYearVariation(D159,N139,N164)</f>
        <v>#VALUE!</v>
      </c>
      <c r="O169" s="55" t="e" cm="1">
        <f t="array" ref="O169">MMS_Dairy_N2ODirect_Equations.VEERG_4_3_1_3__3a_TotalAnnualNitrogenExcretedGreaterThanOneYearVariation(E159,O139,O164)</f>
        <v>#VALUE!</v>
      </c>
      <c r="P169" s="55" t="e" cm="1">
        <f t="array" ref="P169">MMS_Dairy_N2ODirect_Equations.VEERG_4_3_1_3__3a_TotalAnnualNitrogenExcretedGreaterThanOneYearVariation(F159,P139,P164)</f>
        <v>#VALUE!</v>
      </c>
      <c r="Q169" s="55" t="e" cm="1">
        <f t="array" ref="Q169">MMS_Dairy_N2ODirect_Equations.VEERG_4_3_1_3__3a_TotalAnnualNitrogenExcretedGreaterThanOneYearVariation(G159,Q139,Q164)</f>
        <v>#VALUE!</v>
      </c>
      <c r="R169" s="55" t="e" cm="1">
        <f t="array" ref="R169">MMS_Dairy_N2ODirect_Equations.VEERG_4_3_1_3__3a_TotalAnnualNitrogenExcretedGreaterThanOneYearVariation(H159,R139,R164)</f>
        <v>#VALUE!</v>
      </c>
      <c r="S169" s="2" t="str">
        <f>$E$150</f>
        <v>kg N</v>
      </c>
    </row>
    <row r="170" spans="3:21" ht="20.100000000000001" customHeight="1" x14ac:dyDescent="0.25"/>
    <row r="171" spans="3:21" ht="20.100000000000001" customHeight="1" x14ac:dyDescent="0.25"/>
    <row r="172" spans="3:21" ht="20.100000000000001" customHeight="1" x14ac:dyDescent="0.25">
      <c r="C172" s="48"/>
      <c r="D172" s="48"/>
      <c r="E172" s="48"/>
      <c r="F172" s="48"/>
      <c r="G172" s="48"/>
      <c r="H172" s="48"/>
      <c r="I172" s="48"/>
      <c r="J172" s="48"/>
      <c r="K172" s="48"/>
      <c r="M172" s="48"/>
      <c r="N172" s="48"/>
      <c r="O172" s="48"/>
      <c r="P172" s="48"/>
      <c r="Q172" s="48"/>
      <c r="R172" s="48"/>
      <c r="S172" s="48"/>
      <c r="T172" s="48"/>
      <c r="U172" s="48"/>
    </row>
    <row r="173" spans="3:21" ht="20.100000000000001" customHeight="1" x14ac:dyDescent="0.25">
      <c r="D173" s="6" t="str" cm="1">
        <f t="array" ref="D173">MMS_Dairy_N2ODirect_Equations.VEERG_4_3_1_3__3b_TotalAnnualNitrogenExcretedLessThanOneYear_Title()</f>
        <v>Total annual nitrogen excreted by dairy cattle less than one year old</v>
      </c>
    </row>
    <row r="174" spans="3:21" ht="20.100000000000001" customHeight="1" x14ac:dyDescent="0.25">
      <c r="D174" s="5" t="str" cm="1">
        <f t="array" ref="D174">MMS_Dairy_N2ODirect_Equations.VEERG_4_3_1_3__3b_TotalAnnualNitrogenExcretedLessThanOneYear_Source()</f>
        <v>VEERG 2026: 4.3.1.3, Equation (3b)</v>
      </c>
    </row>
    <row r="175" spans="3:21" ht="20.100000000000001" customHeight="1" x14ac:dyDescent="0.25">
      <c r="D175" s="58" t="str" cm="1">
        <f t="array" ref="D175">MMS_Dairy_N2ODirect_Equations.VEERG_4_3_1_3__3b_TotalAnnualNitrogenExcretedLessThanOneYear_Variation()</f>
        <v>VARIATION: Used Duration variables instead of hard-coded 281 and 84 values.</v>
      </c>
    </row>
    <row r="176" spans="3:21" ht="20.100000000000001" customHeight="1" x14ac:dyDescent="0.25">
      <c r="D176" s="13" t="s">
        <v>27</v>
      </c>
      <c r="E176" s="13" t="str" cm="1">
        <f t="array" aca="1" ref="E176" ca="1">Common_InputFunctions.Utility_DisplayFunctionName(D206)</f>
        <v>=MMS_Dairy_N2ODirect_Equations.VEERG_4_3_1_3__3b_TotalAnnualNitrogenExcretedLessThanOneYearVariation</v>
      </c>
    </row>
    <row r="177" spans="4:9" ht="20.100000000000001" customHeight="1" x14ac:dyDescent="0.25">
      <c r="D177" s="6"/>
    </row>
    <row r="178" spans="4:9" ht="20.100000000000001" customHeight="1" x14ac:dyDescent="0.25">
      <c r="D178" s="6"/>
    </row>
    <row r="179" spans="4:9" ht="20.100000000000001" customHeight="1" x14ac:dyDescent="0.25">
      <c r="D179" s="56" t="s">
        <v>30</v>
      </c>
      <c r="E179" s="1" t="str" cm="1">
        <f t="array" ref="E179">MMS_Dairy_N2ODirect_Equations.VEERG_4_3_1_3__3b_TotalAnnualNitrogenExcretedLessThanOneYear_Variable()</f>
        <v>AE_j35</v>
      </c>
    </row>
    <row r="180" spans="4:9" ht="20.100000000000001" customHeight="1" x14ac:dyDescent="0.25">
      <c r="D180" s="56" t="s">
        <v>20</v>
      </c>
      <c r="E180" s="57" t="str" cm="1">
        <f t="array" ref="E180">MMS_Dairy_N2ODirect_Equations.VEERG_4_3_1_3__3b_TotalAnnualNitrogenExcretedLessThanOneYear_Unit()</f>
        <v>kg N</v>
      </c>
    </row>
    <row r="181" spans="4:9" ht="20.100000000000001" customHeight="1" x14ac:dyDescent="0.25"/>
    <row r="182" spans="4:9" ht="20.100000000000001" customHeight="1" x14ac:dyDescent="0.25">
      <c r="D182" s="60" t="str" cm="1">
        <f t="array" ref="D182:E186">MMS_Dairy_N2ODirect_Equations.VEERG_4_3_1_3__3b_TotalAnnualNitrogenExcretedLessThanOneYear_Arguments()</f>
        <v>N_j35</v>
      </c>
      <c r="E182" s="61" t="str">
        <v>number of dairy cattle in classes j=3,5</v>
      </c>
      <c r="F182" s="62"/>
      <c r="G182" s="60" t="str">
        <f>"See " &amp; D156</f>
        <v>See Table_N_j</v>
      </c>
    </row>
    <row r="183" spans="4:9" ht="20.100000000000001" customHeight="1" x14ac:dyDescent="0.25">
      <c r="D183" s="60" t="str">
        <v>NE_j35</v>
      </c>
      <c r="E183" s="61" t="str">
        <v>nitrogen excreted by weaned dairy cattle less than one year old (kg N/head/day)</v>
      </c>
      <c r="F183" s="62"/>
      <c r="G183" s="60" t="str">
        <f>"See " &amp; D136</f>
        <v>See M1_Table_NE_j</v>
      </c>
    </row>
    <row r="184" spans="4:9" ht="20.100000000000001" customHeight="1" x14ac:dyDescent="0.25">
      <c r="D184" s="60" t="str">
        <v>NPW_j35</v>
      </c>
      <c r="E184" s="61" t="str">
        <v>nitrogen excreted by pre-weaned calves (kg N/head/day)</v>
      </c>
      <c r="F184" s="62"/>
      <c r="G184" s="60" t="str">
        <f>"See " &amp; D188</f>
        <v>See Table_NPW_j-3-5</v>
      </c>
    </row>
    <row r="185" spans="4:9" ht="20.100000000000001" customHeight="1" x14ac:dyDescent="0.25">
      <c r="D185" s="60" t="str">
        <v>D_j35</v>
      </c>
      <c r="E185" s="61" t="str">
        <v>duration of stay on farm for weaned dairy cattle less than one year old (days)</v>
      </c>
      <c r="F185" s="62"/>
      <c r="G185" s="60" t="str">
        <f>"See " &amp; D193</f>
        <v>See M1_Table_D_j-3-5</v>
      </c>
    </row>
    <row r="186" spans="4:9" ht="20.100000000000001" customHeight="1" x14ac:dyDescent="0.25">
      <c r="D186" s="60" t="str">
        <v>DPW_j35</v>
      </c>
      <c r="E186" s="61" t="str">
        <v>duration of stay on farm for pre-weaned calves (days)</v>
      </c>
      <c r="F186" s="62"/>
      <c r="G186" s="60" t="str">
        <f>"See " &amp; D198</f>
        <v>See M1_Table_DPW_j</v>
      </c>
    </row>
    <row r="187" spans="4:9" ht="20.100000000000001" customHeight="1" x14ac:dyDescent="0.25"/>
    <row r="188" spans="4:9" ht="20.100000000000001" customHeight="1" x14ac:dyDescent="0.25">
      <c r="D188" s="104" t="s">
        <v>245</v>
      </c>
    </row>
    <row r="189" spans="4:9" ht="20.100000000000001" customHeight="1" x14ac:dyDescent="0.25">
      <c r="D189" s="103" t="s">
        <v>246</v>
      </c>
    </row>
    <row r="190" spans="4:9" ht="20.100000000000001" customHeight="1" x14ac:dyDescent="0.25">
      <c r="D190" s="54" t="s">
        <v>173</v>
      </c>
      <c r="E190" s="54" t="s">
        <v>175</v>
      </c>
      <c r="F190" s="54" t="s">
        <v>176</v>
      </c>
      <c r="G190" s="54" t="s">
        <v>177</v>
      </c>
      <c r="H190" s="54" t="s">
        <v>178</v>
      </c>
    </row>
    <row r="191" spans="4:9" ht="20.100000000000001" customHeight="1" x14ac:dyDescent="0.25">
      <c r="D191" s="55">
        <v>0</v>
      </c>
      <c r="E191" s="55">
        <v>0</v>
      </c>
      <c r="F191" s="55">
        <f>'Constants - Pature Beef'!$G$82</f>
        <v>0</v>
      </c>
      <c r="G191" s="55">
        <v>0</v>
      </c>
      <c r="H191" s="55">
        <f>'Constants - Pature Beef'!$G$83</f>
        <v>0</v>
      </c>
      <c r="I191" s="2" t="s">
        <v>220</v>
      </c>
    </row>
    <row r="192" spans="4:9" ht="20.100000000000001" customHeight="1" x14ac:dyDescent="0.25"/>
    <row r="193" spans="4:19" ht="20.100000000000001" customHeight="1" x14ac:dyDescent="0.25">
      <c r="D193" s="104" t="s">
        <v>243</v>
      </c>
      <c r="N193" s="104" t="s">
        <v>243</v>
      </c>
    </row>
    <row r="194" spans="4:19" ht="20.100000000000001" customHeight="1" x14ac:dyDescent="0.25">
      <c r="D194" s="103" t="s">
        <v>244</v>
      </c>
      <c r="N194" s="103" t="s">
        <v>244</v>
      </c>
    </row>
    <row r="195" spans="4:19" ht="20.100000000000001" customHeight="1" x14ac:dyDescent="0.25">
      <c r="D195" s="54" t="s">
        <v>173</v>
      </c>
      <c r="E195" s="54" t="s">
        <v>175</v>
      </c>
      <c r="F195" s="54" t="s">
        <v>176</v>
      </c>
      <c r="G195" s="54" t="s">
        <v>177</v>
      </c>
      <c r="H195" s="54" t="s">
        <v>178</v>
      </c>
      <c r="N195" s="54" t="s">
        <v>173</v>
      </c>
      <c r="O195" s="54" t="s">
        <v>175</v>
      </c>
      <c r="P195" s="54" t="s">
        <v>176</v>
      </c>
      <c r="Q195" s="54" t="s">
        <v>177</v>
      </c>
      <c r="R195" s="54" t="s">
        <v>178</v>
      </c>
    </row>
    <row r="196" spans="4:19" ht="20.100000000000001" customHeight="1" x14ac:dyDescent="0.25">
      <c r="D196" s="55">
        <v>0</v>
      </c>
      <c r="E196" s="55">
        <v>0</v>
      </c>
      <c r="F196" s="55">
        <f>'Input - Pasture Beef'!$G$114</f>
        <v>0</v>
      </c>
      <c r="G196" s="55">
        <v>0</v>
      </c>
      <c r="H196" s="55">
        <f>'Input - Pasture Beef'!$I$114</f>
        <v>0</v>
      </c>
      <c r="I196" s="2" t="s">
        <v>55</v>
      </c>
      <c r="N196" s="55">
        <v>0</v>
      </c>
      <c r="O196" s="55">
        <v>0</v>
      </c>
      <c r="P196" s="55">
        <f>'Input - Pasture Beef'!G118</f>
        <v>0</v>
      </c>
      <c r="Q196" s="55">
        <v>0</v>
      </c>
      <c r="R196" s="55">
        <f>'Input - Pasture Beef'!I118</f>
        <v>0</v>
      </c>
      <c r="S196" s="2" t="s">
        <v>55</v>
      </c>
    </row>
    <row r="197" spans="4:19" ht="20.100000000000001" customHeight="1" x14ac:dyDescent="0.25"/>
    <row r="198" spans="4:19" ht="20.100000000000001" customHeight="1" x14ac:dyDescent="0.25">
      <c r="D198" s="104" t="s">
        <v>219</v>
      </c>
      <c r="N198" s="104" t="s">
        <v>219</v>
      </c>
    </row>
    <row r="199" spans="4:19" ht="20.100000000000001" customHeight="1" x14ac:dyDescent="0.25">
      <c r="D199" s="103" t="s">
        <v>222</v>
      </c>
      <c r="N199" s="103" t="s">
        <v>222</v>
      </c>
    </row>
    <row r="200" spans="4:19" ht="20.100000000000001" customHeight="1" x14ac:dyDescent="0.25">
      <c r="D200" s="54" t="s">
        <v>173</v>
      </c>
      <c r="E200" s="54" t="s">
        <v>175</v>
      </c>
      <c r="F200" s="54" t="s">
        <v>176</v>
      </c>
      <c r="G200" s="54" t="s">
        <v>177</v>
      </c>
      <c r="H200" s="54" t="s">
        <v>178</v>
      </c>
      <c r="N200" s="54" t="s">
        <v>173</v>
      </c>
      <c r="O200" s="54" t="s">
        <v>175</v>
      </c>
      <c r="P200" s="54" t="s">
        <v>176</v>
      </c>
      <c r="Q200" s="54" t="s">
        <v>177</v>
      </c>
      <c r="R200" s="54" t="s">
        <v>178</v>
      </c>
    </row>
    <row r="201" spans="4:19" ht="20.100000000000001" customHeight="1" x14ac:dyDescent="0.25">
      <c r="D201" s="55">
        <f>'Input - Pasture Beef'!$E$115</f>
        <v>0.05</v>
      </c>
      <c r="E201" s="55">
        <f>'Input - Pasture Beef'!$F$115</f>
        <v>0</v>
      </c>
      <c r="F201" s="55">
        <f>'Input - Pasture Beef'!$G$115</f>
        <v>0</v>
      </c>
      <c r="G201" s="55" t="str">
        <f>'Input - Pasture Beef'!$H$115</f>
        <v>Percent</v>
      </c>
      <c r="H201" s="55">
        <f>'Input - Pasture Beef'!$I$115</f>
        <v>0</v>
      </c>
      <c r="I201" s="2" t="s">
        <v>55</v>
      </c>
      <c r="N201" s="55">
        <f>'Input - Pasture Beef'!$E$115</f>
        <v>0.05</v>
      </c>
      <c r="O201" s="55">
        <f>'Input - Pasture Beef'!$F$115</f>
        <v>0</v>
      </c>
      <c r="P201" s="55">
        <f>'Input - Pasture Beef'!G119</f>
        <v>0</v>
      </c>
      <c r="Q201" s="55" t="str">
        <f>'Input - Pasture Beef'!$H$115</f>
        <v>Percent</v>
      </c>
      <c r="R201" s="55">
        <f>'Input - Pasture Beef'!I119</f>
        <v>0</v>
      </c>
      <c r="S201" s="2" t="s">
        <v>55</v>
      </c>
    </row>
    <row r="202" spans="4:19" ht="20.100000000000001" customHeight="1" x14ac:dyDescent="0.25"/>
    <row r="203" spans="4:19" ht="20.100000000000001" customHeight="1" x14ac:dyDescent="0.25">
      <c r="D203" s="104" t="s">
        <v>117</v>
      </c>
      <c r="N203" s="104" t="s">
        <v>117</v>
      </c>
    </row>
    <row r="204" spans="4:19" ht="20.100000000000001" customHeight="1" x14ac:dyDescent="0.25">
      <c r="D204" s="103" t="s">
        <v>247</v>
      </c>
      <c r="N204" s="103" t="s">
        <v>247</v>
      </c>
    </row>
    <row r="205" spans="4:19" ht="20.100000000000001" customHeight="1" x14ac:dyDescent="0.25">
      <c r="D205" s="54" t="s">
        <v>173</v>
      </c>
      <c r="E205" s="54" t="s">
        <v>175</v>
      </c>
      <c r="F205" s="54" t="s">
        <v>176</v>
      </c>
      <c r="G205" s="54" t="s">
        <v>177</v>
      </c>
      <c r="H205" s="54" t="s">
        <v>178</v>
      </c>
      <c r="N205" s="54" t="s">
        <v>173</v>
      </c>
      <c r="O205" s="54" t="s">
        <v>175</v>
      </c>
      <c r="P205" s="54" t="s">
        <v>176</v>
      </c>
      <c r="Q205" s="54" t="s">
        <v>177</v>
      </c>
      <c r="R205" s="54" t="s">
        <v>178</v>
      </c>
    </row>
    <row r="206" spans="4:19" ht="20.100000000000001" customHeight="1" x14ac:dyDescent="0.25">
      <c r="D206" s="55" t="e" cm="1">
        <f t="array" ref="D206">MMS_Dairy_N2ODirect_Equations.VEERG_4_3_1_3__3b_TotalAnnualNitrogenExcretedLessThanOneYearVariation(D159,D139,D191,D196,D201)</f>
        <v>#REF!</v>
      </c>
      <c r="E206" s="55" t="e" cm="1">
        <f t="array" ref="E206">MMS_Dairy_N2ODirect_Equations.VEERG_4_3_1_3__3b_TotalAnnualNitrogenExcretedLessThanOneYearVariation(E159,E139,E191,E196,E201)</f>
        <v>#REF!</v>
      </c>
      <c r="F206" s="55" t="e" cm="1">
        <f t="array" ref="F206">MMS_Dairy_N2ODirect_Equations.VEERG_4_3_1_3__3b_TotalAnnualNitrogenExcretedLessThanOneYearVariation(F159,F139,F191,F196,F201)</f>
        <v>#VALUE!</v>
      </c>
      <c r="G206" s="55" t="e" cm="1">
        <f t="array" ref="G206">MMS_Dairy_N2ODirect_Equations.VEERG_4_3_1_3__3b_TotalAnnualNitrogenExcretedLessThanOneYearVariation(G159,G139,G191,G196,G201)</f>
        <v>#VALUE!</v>
      </c>
      <c r="H206" s="55" t="e" cm="1">
        <f t="array" ref="H206">MMS_Dairy_N2ODirect_Equations.VEERG_4_3_1_3__3b_TotalAnnualNitrogenExcretedLessThanOneYearVariation(H159,H139,H191,H196,H201)</f>
        <v>#VALUE!</v>
      </c>
      <c r="I206" s="2" t="str">
        <f>$E$180</f>
        <v>kg N</v>
      </c>
      <c r="N206" s="55" t="e" cm="1">
        <f t="array" ref="N206">MMS_Dairy_N2ODirect_Equations.VEERG_4_3_1_3__3b_TotalAnnualNitrogenExcretedLessThanOneYearVariation(D159,N139,D191,N196,N201)</f>
        <v>#VALUE!</v>
      </c>
      <c r="O206" s="55" t="e" cm="1">
        <f t="array" ref="O206">MMS_Dairy_N2ODirect_Equations.VEERG_4_3_1_3__3b_TotalAnnualNitrogenExcretedLessThanOneYearVariation(E159,O139,E191,O196,O201)</f>
        <v>#VALUE!</v>
      </c>
      <c r="P206" s="55" t="e" cm="1">
        <f t="array" ref="P206">MMS_Dairy_N2ODirect_Equations.VEERG_4_3_1_3__3b_TotalAnnualNitrogenExcretedLessThanOneYearVariation(F159,P139,F191,P196,P201)</f>
        <v>#VALUE!</v>
      </c>
      <c r="Q206" s="55" t="e" cm="1">
        <f t="array" ref="Q206">MMS_Dairy_N2ODirect_Equations.VEERG_4_3_1_3__3b_TotalAnnualNitrogenExcretedLessThanOneYearVariation(G159,Q139,G191,Q196,Q201)</f>
        <v>#VALUE!</v>
      </c>
      <c r="R206" s="55" t="e" cm="1">
        <f t="array" ref="R206">MMS_Dairy_N2ODirect_Equations.VEERG_4_3_1_3__3b_TotalAnnualNitrogenExcretedLessThanOneYearVariation(H159,R139,H191,R196,R201)</f>
        <v>#VALUE!</v>
      </c>
      <c r="S206" s="2" t="str">
        <f>$E$180</f>
        <v>kg N</v>
      </c>
    </row>
    <row r="207" spans="4:19" ht="20.100000000000001" customHeight="1" x14ac:dyDescent="0.25"/>
    <row r="208" spans="4:19" ht="20.100000000000001" customHeight="1" x14ac:dyDescent="0.25"/>
    <row r="209" spans="3:21" ht="20.100000000000001" customHeight="1" x14ac:dyDescent="0.25">
      <c r="C209" s="48"/>
      <c r="D209" s="48"/>
      <c r="E209" s="48"/>
      <c r="F209" s="48"/>
      <c r="G209" s="48"/>
      <c r="H209" s="48"/>
      <c r="I209" s="48"/>
      <c r="J209" s="48"/>
      <c r="K209" s="48"/>
      <c r="M209" s="48"/>
      <c r="N209" s="48"/>
      <c r="O209" s="48"/>
      <c r="P209" s="48"/>
      <c r="Q209" s="48"/>
      <c r="R209" s="48"/>
      <c r="S209" s="48"/>
      <c r="T209" s="48"/>
      <c r="U209" s="48"/>
    </row>
    <row r="210" spans="3:21" ht="20.100000000000001" customHeight="1" x14ac:dyDescent="0.25">
      <c r="D210" s="6" t="str" cm="1">
        <f t="array" ref="D210">MMS_Dairy_N2ODirect_Equations.VEERG_4_3_1_3__2_TotalNitrogenInEachMMS_Title()</f>
        <v>Total nitrogen in each MMS</v>
      </c>
    </row>
    <row r="211" spans="3:21" ht="20.100000000000001" customHeight="1" x14ac:dyDescent="0.25">
      <c r="D211" s="5" t="str" cm="1">
        <f t="array" ref="D211">MMS_Dairy_N2ODirect_Equations.VEERG_4_3_1_3__2_TotalNitrogenInEachMMS_Source()</f>
        <v>VEERG 2026: 4.3.1.3, Equation (2)</v>
      </c>
    </row>
    <row r="212" spans="3:21" ht="20.100000000000001" customHeight="1" x14ac:dyDescent="0.25">
      <c r="D212" s="13" t="s">
        <v>27</v>
      </c>
      <c r="E212" s="13" t="str" cm="1">
        <f t="array" aca="1" ref="E212" ca="1">Common_InputFunctions.Utility_DisplayFunctionName(F236)</f>
        <v>=MMS_Dairy_N2ODirect_Equations.VEERG_4_3_1_3__2_TotalNitrogenInEachMMS</v>
      </c>
    </row>
    <row r="213" spans="3:21" ht="20.100000000000001" customHeight="1" x14ac:dyDescent="0.25"/>
    <row r="214" spans="3:21" ht="20.100000000000001" customHeight="1" x14ac:dyDescent="0.25">
      <c r="D214" s="6"/>
    </row>
    <row r="215" spans="3:21" ht="20.100000000000001" customHeight="1" x14ac:dyDescent="0.25">
      <c r="D215" s="56" t="s">
        <v>30</v>
      </c>
      <c r="E215" s="1" t="str" cm="1">
        <f t="array" ref="E215">MMS_Dairy_N2ODirect_Equations.VEERG_4_3_1_3__2_TotalNitrogenInEachMMS_Variable()</f>
        <v>MN_jm</v>
      </c>
    </row>
    <row r="216" spans="3:21" ht="20.100000000000001" customHeight="1" x14ac:dyDescent="0.25">
      <c r="D216" s="56" t="s">
        <v>20</v>
      </c>
      <c r="E216" s="57" t="str" cm="1">
        <f t="array" ref="E216">MMS_Dairy_N2ODirect_Equations.VEERG_4_3_1_3__2_TotalNitrogenInEachMMS_Unit()</f>
        <v>kg N</v>
      </c>
    </row>
    <row r="217" spans="3:21" ht="20.100000000000001" customHeight="1" x14ac:dyDescent="0.25"/>
    <row r="218" spans="3:21" ht="20.100000000000001" customHeight="1" x14ac:dyDescent="0.25">
      <c r="D218" s="114" t="str" cm="1">
        <f t="array" ref="D218:E219">MMS_Dairy_N2ODirect_Equations.VEERG_4_3_1_3__2_TotalNitrogenInEachMMS_Arguments()</f>
        <v>AE_j</v>
      </c>
      <c r="E218" s="116" t="str">
        <v>total nitrogen excreted by each dairy class (kg N)</v>
      </c>
      <c r="F218" s="115"/>
      <c r="G218" s="114" t="str">
        <f>"See " &amp; D166 &amp; " and " &amp; D203</f>
        <v>See M1_Table_AE_j-1-2-4 and M1_Table_AE_j</v>
      </c>
    </row>
    <row r="219" spans="3:21" ht="20.100000000000001" customHeight="1" x14ac:dyDescent="0.25">
      <c r="D219" s="114" t="str">
        <v>MMS_jm</v>
      </c>
      <c r="E219" s="116" t="str">
        <v>manure management system fraction for class j and system m</v>
      </c>
      <c r="F219" s="115"/>
      <c r="G219" s="114" t="str">
        <f>"See " &amp; D221</f>
        <v>See M1_Table_MMS_j_m</v>
      </c>
    </row>
    <row r="220" spans="3:21" ht="20.100000000000001" customHeight="1" x14ac:dyDescent="0.25"/>
    <row r="221" spans="3:21" ht="20.100000000000001" customHeight="1" x14ac:dyDescent="0.25">
      <c r="D221" s="104" t="s">
        <v>216</v>
      </c>
      <c r="N221" s="104" t="s">
        <v>217</v>
      </c>
    </row>
    <row r="222" spans="3:21" ht="20.100000000000001" customHeight="1" x14ac:dyDescent="0.25">
      <c r="D222" s="103" t="s">
        <v>249</v>
      </c>
      <c r="N222" s="103" t="s">
        <v>250</v>
      </c>
    </row>
    <row r="223" spans="3:21" ht="20.100000000000001" customHeight="1" x14ac:dyDescent="0.25">
      <c r="D223" s="54" t="s">
        <v>144</v>
      </c>
      <c r="E223" s="54" t="s">
        <v>68</v>
      </c>
      <c r="F223" s="54" t="s">
        <v>173</v>
      </c>
      <c r="G223" s="54" t="s">
        <v>175</v>
      </c>
      <c r="H223" s="54" t="s">
        <v>176</v>
      </c>
      <c r="I223" s="54" t="s">
        <v>177</v>
      </c>
      <c r="J223" s="54" t="s">
        <v>178</v>
      </c>
      <c r="N223" s="54" t="s">
        <v>144</v>
      </c>
      <c r="O223" s="54" t="s">
        <v>68</v>
      </c>
      <c r="P223" s="54" t="s">
        <v>173</v>
      </c>
      <c r="Q223" s="54" t="s">
        <v>175</v>
      </c>
      <c r="R223" s="54" t="s">
        <v>176</v>
      </c>
      <c r="S223" s="54" t="s">
        <v>177</v>
      </c>
      <c r="T223" s="54" t="s">
        <v>178</v>
      </c>
    </row>
    <row r="224" spans="3:21" ht="20.100000000000001" customHeight="1" x14ac:dyDescent="0.25">
      <c r="D224" s="136" t="str">
        <f>'Input - Pasture Beef'!$D$144</f>
        <v>Milking shed</v>
      </c>
      <c r="E224" s="136" t="str">
        <f>'Input - Pasture Beef'!$D$157</f>
        <v>Anaerobic lagoon</v>
      </c>
      <c r="F224" s="55" t="e" cm="1">
        <f t="array" aca="1" ref="F224" ca="1">InputFunctions_Dairy.CalculateFractionInMMSAfterSolidSeparation('Input - Pasture Beef'!E144,'Input - Pasture Beef'!E157,'Input - Pasture Beef'!$E$159)</f>
        <v>#NAME?</v>
      </c>
      <c r="G224" s="55" t="e" cm="1">
        <f t="array" aca="1" ref="G224" ca="1">InputFunctions_Dairy.CalculateFractionInMMSAfterSolidSeparation('Input - Pasture Beef'!F144,'Input - Pasture Beef'!F157,'Input - Pasture Beef'!$E$159)</f>
        <v>#NAME?</v>
      </c>
      <c r="H224" s="55" t="e" cm="1">
        <f t="array" aca="1" ref="H224" ca="1">InputFunctions_Dairy.CalculateFractionInMMSAfterSolidSeparation('Input - Pasture Beef'!G144,'Input - Pasture Beef'!G157,'Input - Pasture Beef'!$E$159)</f>
        <v>#NAME?</v>
      </c>
      <c r="I224" s="55" t="e" cm="1">
        <f t="array" aca="1" ref="I224" ca="1">InputFunctions_Dairy.CalculateFractionInMMSAfterSolidSeparation('Input - Pasture Beef'!H144,'Input - Pasture Beef'!H157,'Input - Pasture Beef'!$E$159)</f>
        <v>#NAME?</v>
      </c>
      <c r="J224" s="55" t="e" cm="1">
        <f t="array" aca="1" ref="J224" ca="1">InputFunctions_Dairy.CalculateFractionInMMSAfterSolidSeparation('Input - Pasture Beef'!I144,'Input - Pasture Beef'!I157,'Input - Pasture Beef'!$E$159)</f>
        <v>#NAME?</v>
      </c>
      <c r="N224" s="136" t="str">
        <f>'Input - Pasture Beef'!$D$144</f>
        <v>Milking shed</v>
      </c>
      <c r="O224" s="136" t="str">
        <f>'Input - Pasture Beef'!$D$157</f>
        <v>Anaerobic lagoon</v>
      </c>
      <c r="P224" s="55" t="e" cm="1">
        <f t="array" aca="1" ref="P224" ca="1">InputFunctions_Dairy.CalculateFractionInMMSAfterSolidSeparation('Input - Pasture Beef'!E149,'Input - Pasture Beef'!E157,'Input - Pasture Beef'!$E$160)</f>
        <v>#NAME?</v>
      </c>
      <c r="Q224" s="55" t="e" cm="1">
        <f t="array" aca="1" ref="Q224" ca="1">InputFunctions_Dairy.CalculateFractionInMMSAfterSolidSeparation('Input - Pasture Beef'!F149,'Input - Pasture Beef'!F157,'Input - Pasture Beef'!$E$160)</f>
        <v>#NAME?</v>
      </c>
      <c r="R224" s="55" t="e" cm="1">
        <f t="array" aca="1" ref="R224" ca="1">InputFunctions_Dairy.CalculateFractionInMMSAfterSolidSeparation('Input - Pasture Beef'!G149,'Input - Pasture Beef'!G157,'Input - Pasture Beef'!$E$160)</f>
        <v>#NAME?</v>
      </c>
      <c r="S224" s="55" t="e" cm="1">
        <f t="array" aca="1" ref="S224" ca="1">InputFunctions_Dairy.CalculateFractionInMMSAfterSolidSeparation('Input - Pasture Beef'!H149,'Input - Pasture Beef'!H157,'Input - Pasture Beef'!$E$160)</f>
        <v>#NAME?</v>
      </c>
      <c r="T224" s="55" t="e" cm="1">
        <f t="array" aca="1" ref="T224" ca="1">InputFunctions_Dairy.CalculateFractionInMMSAfterSolidSeparation('Input - Pasture Beef'!I149,'Input - Pasture Beef'!I157,'Input - Pasture Beef'!$E$160)</f>
        <v>#NAME?</v>
      </c>
    </row>
    <row r="225" spans="4:20" ht="20.100000000000001" customHeight="1" x14ac:dyDescent="0.25">
      <c r="D225" s="136" t="str">
        <f>'Input - Pasture Beef'!$D$144</f>
        <v>Milking shed</v>
      </c>
      <c r="E225" s="136" t="str">
        <f>'Input - Pasture Beef'!$D$162</f>
        <v>Sump and dispersal system</v>
      </c>
      <c r="F225" s="55" t="e" cm="1">
        <f t="array" aca="1" ref="F225" ca="1">InputFunctions_Dairy.CalculateFractionInMMSAfterSolidSeparation('Input - Pasture Beef'!E144,'Input - Pasture Beef'!E162,'Input - Pasture Beef'!$E$164)</f>
        <v>#NAME?</v>
      </c>
      <c r="G225" s="55" t="e" cm="1">
        <f t="array" aca="1" ref="G225" ca="1">InputFunctions_Dairy.CalculateFractionInMMSAfterSolidSeparation('Input - Pasture Beef'!F144,'Input - Pasture Beef'!F162,'Input - Pasture Beef'!$E$164)</f>
        <v>#NAME?</v>
      </c>
      <c r="H225" s="55" t="e" cm="1">
        <f t="array" aca="1" ref="H225" ca="1">InputFunctions_Dairy.CalculateFractionInMMSAfterSolidSeparation('Input - Pasture Beef'!G144,'Input - Pasture Beef'!G162,'Input - Pasture Beef'!$E$164)</f>
        <v>#NAME?</v>
      </c>
      <c r="I225" s="55" t="e" cm="1">
        <f t="array" aca="1" ref="I225" ca="1">InputFunctions_Dairy.CalculateFractionInMMSAfterSolidSeparation('Input - Pasture Beef'!H144,'Input - Pasture Beef'!H162,'Input - Pasture Beef'!$E$164)</f>
        <v>#NAME?</v>
      </c>
      <c r="J225" s="55" t="e" cm="1">
        <f t="array" aca="1" ref="J225" ca="1">InputFunctions_Dairy.CalculateFractionInMMSAfterSolidSeparation('Input - Pasture Beef'!I144,'Input - Pasture Beef'!I162,'Input - Pasture Beef'!$E$164)</f>
        <v>#NAME?</v>
      </c>
      <c r="N225" s="136" t="str">
        <f>'Input - Pasture Beef'!$D$144</f>
        <v>Milking shed</v>
      </c>
      <c r="O225" s="136" t="str">
        <f>'Input - Pasture Beef'!$D$162</f>
        <v>Sump and dispersal system</v>
      </c>
      <c r="P225" s="55" t="e" cm="1">
        <f t="array" aca="1" ref="P225" ca="1">InputFunctions_Dairy.CalculateFractionInMMSAfterSolidSeparation('Input - Pasture Beef'!E149,'Input - Pasture Beef'!E162,'Input - Pasture Beef'!$E$165)</f>
        <v>#NAME?</v>
      </c>
      <c r="Q225" s="55" t="e" cm="1">
        <f t="array" aca="1" ref="Q225" ca="1">InputFunctions_Dairy.CalculateFractionInMMSAfterSolidSeparation('Input - Pasture Beef'!F149,'Input - Pasture Beef'!F162,'Input - Pasture Beef'!$E$165)</f>
        <v>#NAME?</v>
      </c>
      <c r="R225" s="55" t="e" cm="1">
        <f t="array" aca="1" ref="R225" ca="1">InputFunctions_Dairy.CalculateFractionInMMSAfterSolidSeparation('Input - Pasture Beef'!G149,'Input - Pasture Beef'!G162,'Input - Pasture Beef'!$E$165)</f>
        <v>#NAME?</v>
      </c>
      <c r="S225" s="55" t="e" cm="1">
        <f t="array" aca="1" ref="S225" ca="1">InputFunctions_Dairy.CalculateFractionInMMSAfterSolidSeparation('Input - Pasture Beef'!H149,'Input - Pasture Beef'!H162,'Input - Pasture Beef'!$E$165)</f>
        <v>#NAME?</v>
      </c>
      <c r="T225" s="55" t="e" cm="1">
        <f t="array" aca="1" ref="T225" ca="1">InputFunctions_Dairy.CalculateFractionInMMSAfterSolidSeparation('Input - Pasture Beef'!I149,'Input - Pasture Beef'!I162,'Input - Pasture Beef'!$E$165)</f>
        <v>#NAME?</v>
      </c>
    </row>
    <row r="226" spans="4:20" ht="20.100000000000001" customHeight="1" x14ac:dyDescent="0.25">
      <c r="D226" s="136" t="str">
        <f>'Input - Pasture Beef'!$D$144</f>
        <v>Milking shed</v>
      </c>
      <c r="E226" s="136" t="str">
        <f>'Input - Pasture Beef'!$D$167</f>
        <v>Drains to paddock</v>
      </c>
      <c r="F226" s="55" t="e" cm="1">
        <f t="array" aca="1" ref="F226" ca="1">InputFunctions_Dairy.CalculateFractionInMMSAfterSolidSeparation('Input - Pasture Beef'!E144,'Input - Pasture Beef'!E167,'Input - Pasture Beef'!$E$169)</f>
        <v>#NAME?</v>
      </c>
      <c r="G226" s="55" t="e" cm="1">
        <f t="array" aca="1" ref="G226" ca="1">InputFunctions_Dairy.CalculateFractionInMMSAfterSolidSeparation('Input - Pasture Beef'!F144,'Input - Pasture Beef'!F167,'Input - Pasture Beef'!$E$169)</f>
        <v>#NAME?</v>
      </c>
      <c r="H226" s="55" t="e" cm="1">
        <f t="array" aca="1" ref="H226" ca="1">InputFunctions_Dairy.CalculateFractionInMMSAfterSolidSeparation('Input - Pasture Beef'!G144,'Input - Pasture Beef'!G167,'Input - Pasture Beef'!$E$169)</f>
        <v>#NAME?</v>
      </c>
      <c r="I226" s="55" t="e" cm="1">
        <f t="array" aca="1" ref="I226" ca="1">InputFunctions_Dairy.CalculateFractionInMMSAfterSolidSeparation('Input - Pasture Beef'!H144,'Input - Pasture Beef'!H167,'Input - Pasture Beef'!$E$169)</f>
        <v>#NAME?</v>
      </c>
      <c r="J226" s="55" t="e" cm="1">
        <f t="array" aca="1" ref="J226" ca="1">InputFunctions_Dairy.CalculateFractionInMMSAfterSolidSeparation('Input - Pasture Beef'!I144,'Input - Pasture Beef'!I167,'Input - Pasture Beef'!$E$169)</f>
        <v>#NAME?</v>
      </c>
      <c r="N226" s="136" t="str">
        <f>'Input - Pasture Beef'!$D$144</f>
        <v>Milking shed</v>
      </c>
      <c r="O226" s="136" t="str">
        <f>'Input - Pasture Beef'!$D$167</f>
        <v>Drains to paddock</v>
      </c>
      <c r="P226" s="55" t="e" cm="1">
        <f t="array" aca="1" ref="P226" ca="1">InputFunctions_Dairy.CalculateFractionInMMSAfterSolidSeparation('Input - Pasture Beef'!E149,'Input - Pasture Beef'!E167,'Input - Pasture Beef'!$E$170)</f>
        <v>#NAME?</v>
      </c>
      <c r="Q226" s="55" t="e" cm="1">
        <f t="array" aca="1" ref="Q226" ca="1">InputFunctions_Dairy.CalculateFractionInMMSAfterSolidSeparation('Input - Pasture Beef'!F149,'Input - Pasture Beef'!F167,'Input - Pasture Beef'!$E$170)</f>
        <v>#NAME?</v>
      </c>
      <c r="R226" s="55" t="e" cm="1">
        <f t="array" aca="1" ref="R226" ca="1">InputFunctions_Dairy.CalculateFractionInMMSAfterSolidSeparation('Input - Pasture Beef'!G149,'Input - Pasture Beef'!G167,'Input - Pasture Beef'!$E$170)</f>
        <v>#NAME?</v>
      </c>
      <c r="S226" s="55" t="e" cm="1">
        <f t="array" aca="1" ref="S226" ca="1">InputFunctions_Dairy.CalculateFractionInMMSAfterSolidSeparation('Input - Pasture Beef'!H149,'Input - Pasture Beef'!H167,'Input - Pasture Beef'!$E$170)</f>
        <v>#NAME?</v>
      </c>
      <c r="T226" s="55" t="e" cm="1">
        <f t="array" aca="1" ref="T226" ca="1">InputFunctions_Dairy.CalculateFractionInMMSAfterSolidSeparation('Input - Pasture Beef'!I149,'Input - Pasture Beef'!I167,'Input - Pasture Beef'!$E$170)</f>
        <v>#NAME?</v>
      </c>
    </row>
    <row r="227" spans="4:20" ht="20.100000000000001" customHeight="1" x14ac:dyDescent="0.25">
      <c r="D227" s="136" t="str">
        <f>'Input - Pasture Beef'!$D$144</f>
        <v>Milking shed</v>
      </c>
      <c r="E227" s="136" t="str">
        <f>'Input - Pasture Beef'!$D$172</f>
        <v>Solid storage</v>
      </c>
      <c r="F227" s="55" t="e" cm="1">
        <f t="array" aca="1" ref="F227" ca="1">InputFunctions_Dairy.CalculateFractionInSolidStorage('Input - Pasture Beef'!E144,'Input - Pasture Beef'!E172,'Input - Pasture Beef'!E157,'Input - Pasture Beef'!$E$159,'Input - Pasture Beef'!E162,'Input - Pasture Beef'!$E$164,'Input - Pasture Beef'!E167,'Input - Pasture Beef'!$E$169)</f>
        <v>#NAME?</v>
      </c>
      <c r="G227" s="55" t="e" cm="1">
        <f t="array" aca="1" ref="G227" ca="1">InputFunctions_Dairy.CalculateFractionInSolidStorage('Input - Pasture Beef'!F144,'Input - Pasture Beef'!F172,'Input - Pasture Beef'!F157,'Input - Pasture Beef'!$E$159,'Input - Pasture Beef'!F162,'Input - Pasture Beef'!$E$164,'Input - Pasture Beef'!F167,'Input - Pasture Beef'!$E$169)</f>
        <v>#NAME?</v>
      </c>
      <c r="H227" s="55" t="e" cm="1">
        <f t="array" aca="1" ref="H227" ca="1">InputFunctions_Dairy.CalculateFractionInSolidStorage('Input - Pasture Beef'!G144,'Input - Pasture Beef'!G172,'Input - Pasture Beef'!G157,'Input - Pasture Beef'!$E$159,'Input - Pasture Beef'!G162,'Input - Pasture Beef'!$E$164,'Input - Pasture Beef'!G167,'Input - Pasture Beef'!$E$169)</f>
        <v>#NAME?</v>
      </c>
      <c r="I227" s="55" t="e" cm="1">
        <f t="array" aca="1" ref="I227" ca="1">InputFunctions_Dairy.CalculateFractionInSolidStorage('Input - Pasture Beef'!H144,'Input - Pasture Beef'!H172,'Input - Pasture Beef'!H157,'Input - Pasture Beef'!$E$159,'Input - Pasture Beef'!H162,'Input - Pasture Beef'!$E$164,'Input - Pasture Beef'!H167,'Input - Pasture Beef'!$E$169)</f>
        <v>#NAME?</v>
      </c>
      <c r="J227" s="55" t="e" cm="1">
        <f t="array" aca="1" ref="J227" ca="1">InputFunctions_Dairy.CalculateFractionInSolidStorage('Input - Pasture Beef'!I144,'Input - Pasture Beef'!I172,'Input - Pasture Beef'!I157,'Input - Pasture Beef'!$E$159,'Input - Pasture Beef'!I162,'Input - Pasture Beef'!$E$164,'Input - Pasture Beef'!I167,'Input - Pasture Beef'!$E$169)</f>
        <v>#NAME?</v>
      </c>
      <c r="N227" s="136" t="str">
        <f>'Input - Pasture Beef'!$D$144</f>
        <v>Milking shed</v>
      </c>
      <c r="O227" s="136" t="str">
        <f>'Input - Pasture Beef'!$D$172</f>
        <v>Solid storage</v>
      </c>
      <c r="P227" s="55" t="e" cm="1">
        <f t="array" aca="1" ref="P227" ca="1">InputFunctions_Dairy.CalculateFractionInSolidStorage('Input - Pasture Beef'!E149,'Input - Pasture Beef'!E172,'Input - Pasture Beef'!E157,'Input - Pasture Beef'!$E$160,'Input - Pasture Beef'!E162,'Input - Pasture Beef'!$E$165,'Input - Pasture Beef'!E167,'Input - Pasture Beef'!$E$170)</f>
        <v>#NAME?</v>
      </c>
      <c r="Q227" s="55" t="e" cm="1">
        <f t="array" aca="1" ref="Q227" ca="1">InputFunctions_Dairy.CalculateFractionInSolidStorage('Input - Pasture Beef'!F149,'Input - Pasture Beef'!F172,'Input - Pasture Beef'!F157,'Input - Pasture Beef'!$E$160,'Input - Pasture Beef'!F162,'Input - Pasture Beef'!$E$165,'Input - Pasture Beef'!F167,'Input - Pasture Beef'!$E$170)</f>
        <v>#NAME?</v>
      </c>
      <c r="R227" s="55" t="e" cm="1">
        <f t="array" aca="1" ref="R227" ca="1">InputFunctions_Dairy.CalculateFractionInSolidStorage('Input - Pasture Beef'!G149,'Input - Pasture Beef'!G172,'Input - Pasture Beef'!G157,'Input - Pasture Beef'!$E$160,'Input - Pasture Beef'!G162,'Input - Pasture Beef'!$E$165,'Input - Pasture Beef'!G167,'Input - Pasture Beef'!$E$170)</f>
        <v>#NAME?</v>
      </c>
      <c r="S227" s="55" t="e" cm="1">
        <f t="array" aca="1" ref="S227" ca="1">InputFunctions_Dairy.CalculateFractionInSolidStorage('Input - Pasture Beef'!H149,'Input - Pasture Beef'!H172,'Input - Pasture Beef'!H157,'Input - Pasture Beef'!$E$160,'Input - Pasture Beef'!H162,'Input - Pasture Beef'!$E$165,'Input - Pasture Beef'!H167,'Input - Pasture Beef'!$E$170)</f>
        <v>#NAME?</v>
      </c>
      <c r="T227" s="55" t="e" cm="1">
        <f t="array" aca="1" ref="T227" ca="1">InputFunctions_Dairy.CalculateFractionInSolidStorage('Input - Pasture Beef'!I149,'Input - Pasture Beef'!I172,'Input - Pasture Beef'!I157,'Input - Pasture Beef'!$E$160,'Input - Pasture Beef'!I162,'Input - Pasture Beef'!$E$165,'Input - Pasture Beef'!I167,'Input - Pasture Beef'!$E$170)</f>
        <v>#NAME?</v>
      </c>
    </row>
    <row r="228" spans="4:20" ht="20.100000000000001" customHeight="1" x14ac:dyDescent="0.25">
      <c r="D228" s="136" t="str">
        <f>'Input - Pasture Beef'!$D$145</f>
        <v>Feed pad</v>
      </c>
      <c r="E228" s="136" t="str">
        <f>'Input - Pasture Beef'!$D$191</f>
        <v>Anaerobic lagoon</v>
      </c>
      <c r="F228" s="55" t="e" cm="1">
        <f t="array" aca="1" ref="F228" ca="1">InputFunctions_Dairy.CalculateFractionInMMSAfterSolidSeparation('Input - Pasture Beef'!E145,'Input - Pasture Beef'!E191,'Input - Pasture Beef'!$E$193)</f>
        <v>#NAME?</v>
      </c>
      <c r="G228" s="55" t="e" cm="1">
        <f t="array" aca="1" ref="G228" ca="1">InputFunctions_Dairy.CalculateFractionInMMSAfterSolidSeparation('Input - Pasture Beef'!F145,'Input - Pasture Beef'!F191,'Input - Pasture Beef'!$E$193)</f>
        <v>#NAME?</v>
      </c>
      <c r="H228" s="55" t="e" cm="1">
        <f t="array" aca="1" ref="H228" ca="1">InputFunctions_Dairy.CalculateFractionInMMSAfterSolidSeparation('Input - Pasture Beef'!G145,'Input - Pasture Beef'!G191,'Input - Pasture Beef'!$E$193)</f>
        <v>#NAME?</v>
      </c>
      <c r="I228" s="55" t="e" cm="1">
        <f t="array" aca="1" ref="I228" ca="1">InputFunctions_Dairy.CalculateFractionInMMSAfterSolidSeparation('Input - Pasture Beef'!H145,'Input - Pasture Beef'!H191,'Input - Pasture Beef'!$E$193)</f>
        <v>#NAME?</v>
      </c>
      <c r="J228" s="55" t="e" cm="1">
        <f t="array" aca="1" ref="J228" ca="1">InputFunctions_Dairy.CalculateFractionInMMSAfterSolidSeparation('Input - Pasture Beef'!I145,'Input - Pasture Beef'!I191,'Input - Pasture Beef'!$E$193)</f>
        <v>#NAME?</v>
      </c>
      <c r="N228" s="136" t="str">
        <f>'Input - Pasture Beef'!$D$145</f>
        <v>Feed pad</v>
      </c>
      <c r="O228" s="136" t="str">
        <f>'Input - Pasture Beef'!$D$191</f>
        <v>Anaerobic lagoon</v>
      </c>
      <c r="P228" s="55" t="e" cm="1">
        <f t="array" aca="1" ref="P228" ca="1">InputFunctions_Dairy.CalculateFractionInMMSAfterSolidSeparation('Input - Pasture Beef'!E150,'Input - Pasture Beef'!E191,'Input - Pasture Beef'!$E$194)</f>
        <v>#NAME?</v>
      </c>
      <c r="Q228" s="55" t="e" cm="1">
        <f t="array" aca="1" ref="Q228" ca="1">InputFunctions_Dairy.CalculateFractionInMMSAfterSolidSeparation('Input - Pasture Beef'!F150,'Input - Pasture Beef'!F191,'Input - Pasture Beef'!$E$194)</f>
        <v>#NAME?</v>
      </c>
      <c r="R228" s="55" t="e" cm="1">
        <f t="array" aca="1" ref="R228" ca="1">InputFunctions_Dairy.CalculateFractionInMMSAfterSolidSeparation('Input - Pasture Beef'!G150,'Input - Pasture Beef'!G191,'Input - Pasture Beef'!$E$194)</f>
        <v>#NAME?</v>
      </c>
      <c r="S228" s="55" t="e" cm="1">
        <f t="array" aca="1" ref="S228" ca="1">InputFunctions_Dairy.CalculateFractionInMMSAfterSolidSeparation('Input - Pasture Beef'!H150,'Input - Pasture Beef'!H191,'Input - Pasture Beef'!$E$194)</f>
        <v>#NAME?</v>
      </c>
      <c r="T228" s="55" t="e" cm="1">
        <f t="array" aca="1" ref="T228" ca="1">InputFunctions_Dairy.CalculateFractionInMMSAfterSolidSeparation('Input - Pasture Beef'!I150,'Input - Pasture Beef'!I191,'Input - Pasture Beef'!$E$194)</f>
        <v>#NAME?</v>
      </c>
    </row>
    <row r="229" spans="4:20" ht="20.100000000000001" customHeight="1" x14ac:dyDescent="0.25">
      <c r="D229" s="136" t="str">
        <f>'Input - Pasture Beef'!$D$145</f>
        <v>Feed pad</v>
      </c>
      <c r="E229" s="136" t="str">
        <f>'Input - Pasture Beef'!$D$196</f>
        <v>Sump and dispersal system</v>
      </c>
      <c r="F229" s="55" t="e" cm="1">
        <f t="array" aca="1" ref="F229" ca="1">InputFunctions_Dairy.CalculateFractionInMMSAfterSolidSeparation('Input - Pasture Beef'!E145,'Input - Pasture Beef'!E196,'Input - Pasture Beef'!$E$198)</f>
        <v>#NAME?</v>
      </c>
      <c r="G229" s="55" t="e" cm="1">
        <f t="array" aca="1" ref="G229" ca="1">InputFunctions_Dairy.CalculateFractionInMMSAfterSolidSeparation('Input - Pasture Beef'!F145,'Input - Pasture Beef'!F196,'Input - Pasture Beef'!$E$198)</f>
        <v>#NAME?</v>
      </c>
      <c r="H229" s="55" t="e" cm="1">
        <f t="array" aca="1" ref="H229" ca="1">InputFunctions_Dairy.CalculateFractionInMMSAfterSolidSeparation('Input - Pasture Beef'!G145,'Input - Pasture Beef'!G196,'Input - Pasture Beef'!$E$198)</f>
        <v>#NAME?</v>
      </c>
      <c r="I229" s="55" t="e" cm="1">
        <f t="array" aca="1" ref="I229" ca="1">InputFunctions_Dairy.CalculateFractionInMMSAfterSolidSeparation('Input - Pasture Beef'!H145,'Input - Pasture Beef'!H196,'Input - Pasture Beef'!$E$198)</f>
        <v>#NAME?</v>
      </c>
      <c r="J229" s="55" t="e" cm="1">
        <f t="array" aca="1" ref="J229" ca="1">InputFunctions_Dairy.CalculateFractionInMMSAfterSolidSeparation('Input - Pasture Beef'!I145,'Input - Pasture Beef'!I196,'Input - Pasture Beef'!$E$198)</f>
        <v>#NAME?</v>
      </c>
      <c r="N229" s="136" t="str">
        <f>'Input - Pasture Beef'!$D$145</f>
        <v>Feed pad</v>
      </c>
      <c r="O229" s="136" t="str">
        <f>'Input - Pasture Beef'!$D$196</f>
        <v>Sump and dispersal system</v>
      </c>
      <c r="P229" s="55" t="e" cm="1">
        <f t="array" aca="1" ref="P229" ca="1">InputFunctions_Dairy.CalculateFractionInMMSAfterSolidSeparation('Input - Pasture Beef'!E150,'Input - Pasture Beef'!E196,'Input - Pasture Beef'!$E$199)</f>
        <v>#NAME?</v>
      </c>
      <c r="Q229" s="55" t="e" cm="1">
        <f t="array" aca="1" ref="Q229" ca="1">InputFunctions_Dairy.CalculateFractionInMMSAfterSolidSeparation('Input - Pasture Beef'!F150,'Input - Pasture Beef'!F196,'Input - Pasture Beef'!$E$199)</f>
        <v>#NAME?</v>
      </c>
      <c r="R229" s="55" t="e" cm="1">
        <f t="array" aca="1" ref="R229" ca="1">InputFunctions_Dairy.CalculateFractionInMMSAfterSolidSeparation('Input - Pasture Beef'!G150,'Input - Pasture Beef'!G196,'Input - Pasture Beef'!$E$199)</f>
        <v>#NAME?</v>
      </c>
      <c r="S229" s="55" t="e" cm="1">
        <f t="array" aca="1" ref="S229" ca="1">InputFunctions_Dairy.CalculateFractionInMMSAfterSolidSeparation('Input - Pasture Beef'!H150,'Input - Pasture Beef'!H196,'Input - Pasture Beef'!$E$199)</f>
        <v>#NAME?</v>
      </c>
      <c r="T229" s="55" t="e" cm="1">
        <f t="array" aca="1" ref="T229" ca="1">InputFunctions_Dairy.CalculateFractionInMMSAfterSolidSeparation('Input - Pasture Beef'!I150,'Input - Pasture Beef'!I196,'Input - Pasture Beef'!$E$199)</f>
        <v>#NAME?</v>
      </c>
    </row>
    <row r="230" spans="4:20" ht="20.100000000000001" customHeight="1" x14ac:dyDescent="0.25">
      <c r="D230" s="136" t="str">
        <f>'Input - Pasture Beef'!$D$145</f>
        <v>Feed pad</v>
      </c>
      <c r="E230" s="136" t="str">
        <f>'Input - Pasture Beef'!$D$201</f>
        <v>Drains to paddock</v>
      </c>
      <c r="F230" s="55" t="e" cm="1">
        <f t="array" aca="1" ref="F230" ca="1">InputFunctions_Dairy.CalculateFractionInMMSAfterSolidSeparation('Input - Pasture Beef'!E145,'Input - Pasture Beef'!E201,'Input - Pasture Beef'!$E$203)</f>
        <v>#NAME?</v>
      </c>
      <c r="G230" s="55" t="e" cm="1">
        <f t="array" aca="1" ref="G230" ca="1">InputFunctions_Dairy.CalculateFractionInMMSAfterSolidSeparation('Input - Pasture Beef'!F145,'Input - Pasture Beef'!F201,'Input - Pasture Beef'!$E$203)</f>
        <v>#NAME?</v>
      </c>
      <c r="H230" s="55" t="e" cm="1">
        <f t="array" aca="1" ref="H230" ca="1">InputFunctions_Dairy.CalculateFractionInMMSAfterSolidSeparation('Input - Pasture Beef'!G145,'Input - Pasture Beef'!G201,'Input - Pasture Beef'!$E$203)</f>
        <v>#NAME?</v>
      </c>
      <c r="I230" s="55" t="e" cm="1">
        <f t="array" aca="1" ref="I230" ca="1">InputFunctions_Dairy.CalculateFractionInMMSAfterSolidSeparation('Input - Pasture Beef'!H145,'Input - Pasture Beef'!H201,'Input - Pasture Beef'!$E$203)</f>
        <v>#NAME?</v>
      </c>
      <c r="J230" s="55" t="e" cm="1">
        <f t="array" aca="1" ref="J230" ca="1">InputFunctions_Dairy.CalculateFractionInMMSAfterSolidSeparation('Input - Pasture Beef'!I145,'Input - Pasture Beef'!I201,'Input - Pasture Beef'!$E$203)</f>
        <v>#NAME?</v>
      </c>
      <c r="N230" s="136" t="str">
        <f>'Input - Pasture Beef'!$D$145</f>
        <v>Feed pad</v>
      </c>
      <c r="O230" s="136" t="str">
        <f>'Input - Pasture Beef'!$D$201</f>
        <v>Drains to paddock</v>
      </c>
      <c r="P230" s="55" t="e" cm="1">
        <f t="array" aca="1" ref="P230" ca="1">InputFunctions_Dairy.CalculateFractionInMMSAfterSolidSeparation('Input - Pasture Beef'!E150,'Input - Pasture Beef'!E201,'Input - Pasture Beef'!$E$204)</f>
        <v>#NAME?</v>
      </c>
      <c r="Q230" s="55" t="e" cm="1">
        <f t="array" aca="1" ref="Q230" ca="1">InputFunctions_Dairy.CalculateFractionInMMSAfterSolidSeparation('Input - Pasture Beef'!F150,'Input - Pasture Beef'!F201,'Input - Pasture Beef'!$E$204)</f>
        <v>#NAME?</v>
      </c>
      <c r="R230" s="55" t="e" cm="1">
        <f t="array" aca="1" ref="R230" ca="1">InputFunctions_Dairy.CalculateFractionInMMSAfterSolidSeparation('Input - Pasture Beef'!G150,'Input - Pasture Beef'!G201,'Input - Pasture Beef'!$E$204)</f>
        <v>#NAME?</v>
      </c>
      <c r="S230" s="55" t="e" cm="1">
        <f t="array" aca="1" ref="S230" ca="1">InputFunctions_Dairy.CalculateFractionInMMSAfterSolidSeparation('Input - Pasture Beef'!H150,'Input - Pasture Beef'!H201,'Input - Pasture Beef'!$E$204)</f>
        <v>#NAME?</v>
      </c>
      <c r="T230" s="55" t="e" cm="1">
        <f t="array" aca="1" ref="T230" ca="1">InputFunctions_Dairy.CalculateFractionInMMSAfterSolidSeparation('Input - Pasture Beef'!I150,'Input - Pasture Beef'!I201,'Input - Pasture Beef'!$E$204)</f>
        <v>#NAME?</v>
      </c>
    </row>
    <row r="231" spans="4:20" ht="20.100000000000001" customHeight="1" x14ac:dyDescent="0.25">
      <c r="D231" s="136" t="str">
        <f>'Input - Pasture Beef'!$D$145</f>
        <v>Feed pad</v>
      </c>
      <c r="E231" s="136" t="str">
        <f>'Input - Pasture Beef'!$D$206</f>
        <v>Solid storage</v>
      </c>
      <c r="F231" s="55" t="e" cm="1">
        <f t="array" aca="1" ref="F231" ca="1">InputFunctions_Dairy.CalculateFractionInSolidStorage('Input - Pasture Beef'!E145,'Input - Pasture Beef'!E206,'Input - Pasture Beef'!E191,'Input - Pasture Beef'!$E$193,'Input - Pasture Beef'!E196,'Input - Pasture Beef'!$E$198,'Input - Pasture Beef'!E201,'Input - Pasture Beef'!$E$203)</f>
        <v>#NAME?</v>
      </c>
      <c r="G231" s="55" t="e" cm="1">
        <f t="array" aca="1" ref="G231" ca="1">InputFunctions_Dairy.CalculateFractionInSolidStorage('Input - Pasture Beef'!F145,'Input - Pasture Beef'!F206,'Input - Pasture Beef'!F191,'Input - Pasture Beef'!$E$193,'Input - Pasture Beef'!F196,'Input - Pasture Beef'!$E$198,'Input - Pasture Beef'!F201,'Input - Pasture Beef'!$E$203)</f>
        <v>#NAME?</v>
      </c>
      <c r="H231" s="55" t="e" cm="1">
        <f t="array" aca="1" ref="H231" ca="1">InputFunctions_Dairy.CalculateFractionInSolidStorage('Input - Pasture Beef'!G145,'Input - Pasture Beef'!G206,'Input - Pasture Beef'!G191,'Input - Pasture Beef'!$E$193,'Input - Pasture Beef'!G196,'Input - Pasture Beef'!$E$198,'Input - Pasture Beef'!G201,'Input - Pasture Beef'!$E$203)</f>
        <v>#NAME?</v>
      </c>
      <c r="I231" s="55" t="e" cm="1">
        <f t="array" aca="1" ref="I231" ca="1">InputFunctions_Dairy.CalculateFractionInSolidStorage('Input - Pasture Beef'!H145,'Input - Pasture Beef'!H206,'Input - Pasture Beef'!H191,'Input - Pasture Beef'!$E$193,'Input - Pasture Beef'!H196,'Input - Pasture Beef'!$E$198,'Input - Pasture Beef'!H201,'Input - Pasture Beef'!$E$203)</f>
        <v>#NAME?</v>
      </c>
      <c r="J231" s="55" t="e" cm="1">
        <f t="array" aca="1" ref="J231" ca="1">InputFunctions_Dairy.CalculateFractionInSolidStorage('Input - Pasture Beef'!I145,'Input - Pasture Beef'!I206,'Input - Pasture Beef'!I191,'Input - Pasture Beef'!$E$193,'Input - Pasture Beef'!I196,'Input - Pasture Beef'!$E$198,'Input - Pasture Beef'!I201,'Input - Pasture Beef'!$E$203)</f>
        <v>#NAME?</v>
      </c>
      <c r="N231" s="136" t="str">
        <f>'Input - Pasture Beef'!$D$145</f>
        <v>Feed pad</v>
      </c>
      <c r="O231" s="136" t="str">
        <f>'Input - Pasture Beef'!$D$206</f>
        <v>Solid storage</v>
      </c>
      <c r="P231" s="55" t="e" cm="1">
        <f t="array" aca="1" ref="P231" ca="1">InputFunctions_Dairy.CalculateFractionInSolidStorage('Input - Pasture Beef'!E150,'Input - Pasture Beef'!E206,'Input - Pasture Beef'!E191,'Input - Pasture Beef'!$E$194, 'Input - Pasture Beef'!E196,'Input - Pasture Beef'!$E$199,'Input - Pasture Beef'!E201,'Input - Pasture Beef'!$E$204)</f>
        <v>#NAME?</v>
      </c>
      <c r="Q231" s="55" t="e" cm="1">
        <f t="array" aca="1" ref="Q231" ca="1">InputFunctions_Dairy.CalculateFractionInSolidStorage('Input - Pasture Beef'!F150,'Input - Pasture Beef'!F206,'Input - Pasture Beef'!F191,'Input - Pasture Beef'!$E$194, 'Input - Pasture Beef'!F196,'Input - Pasture Beef'!$E$199,'Input - Pasture Beef'!F201,'Input - Pasture Beef'!$E$204)</f>
        <v>#NAME?</v>
      </c>
      <c r="R231" s="55" t="e" cm="1">
        <f t="array" aca="1" ref="R231" ca="1">InputFunctions_Dairy.CalculateFractionInSolidStorage('Input - Pasture Beef'!G150,'Input - Pasture Beef'!G206,'Input - Pasture Beef'!G191,'Input - Pasture Beef'!$E$194, 'Input - Pasture Beef'!G196,'Input - Pasture Beef'!$E$199,'Input - Pasture Beef'!G201,'Input - Pasture Beef'!$E$204)</f>
        <v>#NAME?</v>
      </c>
      <c r="S231" s="55" t="e" cm="1">
        <f t="array" aca="1" ref="S231" ca="1">InputFunctions_Dairy.CalculateFractionInSolidStorage('Input - Pasture Beef'!H150,'Input - Pasture Beef'!H206,'Input - Pasture Beef'!H191,'Input - Pasture Beef'!$E$194, 'Input - Pasture Beef'!H196,'Input - Pasture Beef'!$E$199,'Input - Pasture Beef'!H201,'Input - Pasture Beef'!$E$204)</f>
        <v>#NAME?</v>
      </c>
      <c r="T231" s="55" t="e" cm="1">
        <f t="array" aca="1" ref="T231" ca="1">InputFunctions_Dairy.CalculateFractionInSolidStorage('Input - Pasture Beef'!I150,'Input - Pasture Beef'!I206,'Input - Pasture Beef'!I191,'Input - Pasture Beef'!$E$194, 'Input - Pasture Beef'!I196,'Input - Pasture Beef'!$E$199,'Input - Pasture Beef'!I201,'Input - Pasture Beef'!$E$204)</f>
        <v>#NAME?</v>
      </c>
    </row>
    <row r="232" spans="4:20" ht="20.100000000000001" customHeight="1" x14ac:dyDescent="0.25">
      <c r="Q232" s="138"/>
    </row>
    <row r="233" spans="4:20" ht="20.100000000000001" customHeight="1" x14ac:dyDescent="0.25">
      <c r="D233" s="104" t="s">
        <v>251</v>
      </c>
      <c r="N233" s="104" t="s">
        <v>254</v>
      </c>
    </row>
    <row r="234" spans="4:20" ht="20.100000000000001" customHeight="1" x14ac:dyDescent="0.25">
      <c r="D234" s="103" t="s">
        <v>252</v>
      </c>
      <c r="N234" s="103" t="s">
        <v>253</v>
      </c>
    </row>
    <row r="235" spans="4:20" ht="20.100000000000001" customHeight="1" x14ac:dyDescent="0.25">
      <c r="D235" s="54" t="s">
        <v>144</v>
      </c>
      <c r="E235" s="54" t="s">
        <v>68</v>
      </c>
      <c r="F235" s="54" t="s">
        <v>173</v>
      </c>
      <c r="G235" s="54" t="s">
        <v>175</v>
      </c>
      <c r="H235" s="54" t="s">
        <v>176</v>
      </c>
      <c r="I235" s="54" t="s">
        <v>177</v>
      </c>
      <c r="J235" s="54" t="s">
        <v>178</v>
      </c>
      <c r="N235" s="54" t="s">
        <v>144</v>
      </c>
      <c r="O235" s="54" t="s">
        <v>68</v>
      </c>
      <c r="P235" s="54" t="s">
        <v>173</v>
      </c>
      <c r="Q235" s="54" t="s">
        <v>175</v>
      </c>
      <c r="R235" s="54" t="s">
        <v>176</v>
      </c>
      <c r="S235" s="54" t="s">
        <v>177</v>
      </c>
      <c r="T235" s="54" t="s">
        <v>178</v>
      </c>
    </row>
    <row r="236" spans="4:20" ht="20.100000000000001" customHeight="1" x14ac:dyDescent="0.25">
      <c r="D236" s="136" t="str">
        <f>'Input - Pasture Beef'!$D$144</f>
        <v>Milking shed</v>
      </c>
      <c r="E236" s="136" t="str">
        <f>'Input - Pasture Beef'!$D$157</f>
        <v>Anaerobic lagoon</v>
      </c>
      <c r="F236" s="55" t="e" cm="1">
        <f t="array" aca="1" ref="F236" ca="1">MMS_Dairy_N2ODirect_Equations.VEERG_4_3_1_3__2_TotalNitrogenInEachMMS(D$169,F224)</f>
        <v>#REF!</v>
      </c>
      <c r="G236" s="55" t="e" cm="1">
        <f t="array" aca="1" ref="G236" ca="1">MMS_Dairy_N2ODirect_Equations.VEERG_4_3_1_3__2_TotalNitrogenInEachMMS(E$169,G224)</f>
        <v>#REF!</v>
      </c>
      <c r="H236" s="55" t="e" cm="1">
        <f t="array" aca="1" ref="H236" ca="1">MMS_Dairy_N2ODirect_Equations.VEERG_4_3_1_3__2_TotalNitrogenInEachMMS(F$206,H224)</f>
        <v>#VALUE!</v>
      </c>
      <c r="I236" s="55" t="e" cm="1">
        <f t="array" aca="1" ref="I236" ca="1">MMS_Dairy_N2ODirect_Equations.VEERG_4_3_1_3__2_TotalNitrogenInEachMMS(G$169,I224)</f>
        <v>#VALUE!</v>
      </c>
      <c r="J236" s="55" t="e" cm="1">
        <f t="array" aca="1" ref="J236" ca="1">MMS_Dairy_N2ODirect_Equations.VEERG_4_3_1_3__2_TotalNitrogenInEachMMS(H$206,J224)</f>
        <v>#VALUE!</v>
      </c>
      <c r="N236" s="136" t="str">
        <f>'Input - Pasture Beef'!$D$144</f>
        <v>Milking shed</v>
      </c>
      <c r="O236" s="136" t="str">
        <f>'Input - Pasture Beef'!$D$157</f>
        <v>Anaerobic lagoon</v>
      </c>
      <c r="P236" s="55" t="e" cm="1">
        <f t="array" aca="1" ref="P236" ca="1">MMS_Dairy_N2ODirect_Equations.VEERG_4_3_1_3__2_TotalNitrogenInEachMMS(N$169,P224)</f>
        <v>#VALUE!</v>
      </c>
      <c r="Q236" s="55" t="e" cm="1">
        <f t="array" aca="1" ref="Q236" ca="1">MMS_Dairy_N2ODirect_Equations.VEERG_4_3_1_3__2_TotalNitrogenInEachMMS(O$169,Q224)</f>
        <v>#VALUE!</v>
      </c>
      <c r="R236" s="55" t="e" cm="1">
        <f t="array" aca="1" ref="R236" ca="1">MMS_Dairy_N2ODirect_Equations.VEERG_4_3_1_3__2_TotalNitrogenInEachMMS(P$206,R224)</f>
        <v>#VALUE!</v>
      </c>
      <c r="S236" s="55" t="e" cm="1">
        <f t="array" aca="1" ref="S236" ca="1">MMS_Dairy_N2ODirect_Equations.VEERG_4_3_1_3__2_TotalNitrogenInEachMMS(Q$169,S224)</f>
        <v>#VALUE!</v>
      </c>
      <c r="T236" s="55" t="e" cm="1">
        <f t="array" aca="1" ref="T236" ca="1">MMS_Dairy_N2ODirect_Equations.VEERG_4_3_1_3__2_TotalNitrogenInEachMMS(R$206,T224)</f>
        <v>#VALUE!</v>
      </c>
    </row>
    <row r="237" spans="4:20" ht="20.100000000000001" customHeight="1" x14ac:dyDescent="0.25">
      <c r="D237" s="136" t="str">
        <f>'Input - Pasture Beef'!$D$144</f>
        <v>Milking shed</v>
      </c>
      <c r="E237" s="136" t="str">
        <f>'Input - Pasture Beef'!$D$162</f>
        <v>Sump and dispersal system</v>
      </c>
      <c r="F237" s="55" t="e" cm="1">
        <f t="array" aca="1" ref="F237" ca="1">MMS_Dairy_N2ODirect_Equations.VEERG_4_3_1_3__2_TotalNitrogenInEachMMS(D$169,F225)</f>
        <v>#REF!</v>
      </c>
      <c r="G237" s="55" t="e" cm="1">
        <f t="array" aca="1" ref="G237" ca="1">MMS_Dairy_N2ODirect_Equations.VEERG_4_3_1_3__2_TotalNitrogenInEachMMS(E$169,G225)</f>
        <v>#REF!</v>
      </c>
      <c r="H237" s="55" t="e" cm="1">
        <f t="array" aca="1" ref="H237" ca="1">MMS_Dairy_N2ODirect_Equations.VEERG_4_3_1_3__2_TotalNitrogenInEachMMS(F$206,H225)</f>
        <v>#VALUE!</v>
      </c>
      <c r="I237" s="55" t="e" cm="1">
        <f t="array" aca="1" ref="I237" ca="1">MMS_Dairy_N2ODirect_Equations.VEERG_4_3_1_3__2_TotalNitrogenInEachMMS(G$169,I225)</f>
        <v>#VALUE!</v>
      </c>
      <c r="J237" s="55" t="e" cm="1">
        <f t="array" aca="1" ref="J237" ca="1">MMS_Dairy_N2ODirect_Equations.VEERG_4_3_1_3__2_TotalNitrogenInEachMMS(H$206,J225)</f>
        <v>#VALUE!</v>
      </c>
      <c r="N237" s="136" t="str">
        <f>'Input - Pasture Beef'!$D$144</f>
        <v>Milking shed</v>
      </c>
      <c r="O237" s="136" t="str">
        <f>'Input - Pasture Beef'!$D$162</f>
        <v>Sump and dispersal system</v>
      </c>
      <c r="P237" s="55" t="e" cm="1">
        <f t="array" aca="1" ref="P237" ca="1">MMS_Dairy_N2ODirect_Equations.VEERG_4_3_1_3__2_TotalNitrogenInEachMMS(N$169,P225)</f>
        <v>#VALUE!</v>
      </c>
      <c r="Q237" s="55" t="e" cm="1">
        <f t="array" aca="1" ref="Q237" ca="1">MMS_Dairy_N2ODirect_Equations.VEERG_4_3_1_3__2_TotalNitrogenInEachMMS(O$169,Q225)</f>
        <v>#VALUE!</v>
      </c>
      <c r="R237" s="55" t="e" cm="1">
        <f t="array" aca="1" ref="R237" ca="1">MMS_Dairy_N2ODirect_Equations.VEERG_4_3_1_3__2_TotalNitrogenInEachMMS(P$206,R225)</f>
        <v>#VALUE!</v>
      </c>
      <c r="S237" s="55" t="e" cm="1">
        <f t="array" aca="1" ref="S237" ca="1">MMS_Dairy_N2ODirect_Equations.VEERG_4_3_1_3__2_TotalNitrogenInEachMMS(Q$169,S225)</f>
        <v>#VALUE!</v>
      </c>
      <c r="T237" s="55" t="e" cm="1">
        <f t="array" aca="1" ref="T237" ca="1">MMS_Dairy_N2ODirect_Equations.VEERG_4_3_1_3__2_TotalNitrogenInEachMMS(R$206,T225)</f>
        <v>#VALUE!</v>
      </c>
    </row>
    <row r="238" spans="4:20" ht="20.100000000000001" customHeight="1" x14ac:dyDescent="0.25">
      <c r="D238" s="136" t="str">
        <f>'Input - Pasture Beef'!$D$144</f>
        <v>Milking shed</v>
      </c>
      <c r="E238" s="136" t="str">
        <f>'Input - Pasture Beef'!$D$167</f>
        <v>Drains to paddock</v>
      </c>
      <c r="F238" s="55" t="e" cm="1">
        <f t="array" aca="1" ref="F238" ca="1">MMS_Dairy_N2ODirect_Equations.VEERG_4_3_1_3__2_TotalNitrogenInEachMMS(D$169,F226)</f>
        <v>#REF!</v>
      </c>
      <c r="G238" s="55" t="e" cm="1">
        <f t="array" aca="1" ref="G238" ca="1">MMS_Dairy_N2ODirect_Equations.VEERG_4_3_1_3__2_TotalNitrogenInEachMMS(E$169,G226)</f>
        <v>#REF!</v>
      </c>
      <c r="H238" s="55" t="e" cm="1">
        <f t="array" aca="1" ref="H238" ca="1">MMS_Dairy_N2ODirect_Equations.VEERG_4_3_1_3__2_TotalNitrogenInEachMMS(F$206,H226)</f>
        <v>#VALUE!</v>
      </c>
      <c r="I238" s="55" t="e" cm="1">
        <f t="array" aca="1" ref="I238" ca="1">MMS_Dairy_N2ODirect_Equations.VEERG_4_3_1_3__2_TotalNitrogenInEachMMS(G$169,I226)</f>
        <v>#VALUE!</v>
      </c>
      <c r="J238" s="55" t="e" cm="1">
        <f t="array" aca="1" ref="J238" ca="1">MMS_Dairy_N2ODirect_Equations.VEERG_4_3_1_3__2_TotalNitrogenInEachMMS(H$206,J226)</f>
        <v>#VALUE!</v>
      </c>
      <c r="N238" s="136" t="str">
        <f>'Input - Pasture Beef'!$D$144</f>
        <v>Milking shed</v>
      </c>
      <c r="O238" s="136" t="str">
        <f>'Input - Pasture Beef'!$D$167</f>
        <v>Drains to paddock</v>
      </c>
      <c r="P238" s="55" t="e" cm="1">
        <f t="array" aca="1" ref="P238" ca="1">MMS_Dairy_N2ODirect_Equations.VEERG_4_3_1_3__2_TotalNitrogenInEachMMS(N$169,P226)</f>
        <v>#VALUE!</v>
      </c>
      <c r="Q238" s="55" t="e" cm="1">
        <f t="array" aca="1" ref="Q238" ca="1">MMS_Dairy_N2ODirect_Equations.VEERG_4_3_1_3__2_TotalNitrogenInEachMMS(O$169,Q226)</f>
        <v>#VALUE!</v>
      </c>
      <c r="R238" s="55" t="e" cm="1">
        <f t="array" aca="1" ref="R238" ca="1">MMS_Dairy_N2ODirect_Equations.VEERG_4_3_1_3__2_TotalNitrogenInEachMMS(P$206,R226)</f>
        <v>#VALUE!</v>
      </c>
      <c r="S238" s="55" t="e" cm="1">
        <f t="array" aca="1" ref="S238" ca="1">MMS_Dairy_N2ODirect_Equations.VEERG_4_3_1_3__2_TotalNitrogenInEachMMS(Q$169,S226)</f>
        <v>#VALUE!</v>
      </c>
      <c r="T238" s="55" t="e" cm="1">
        <f t="array" aca="1" ref="T238" ca="1">MMS_Dairy_N2ODirect_Equations.VEERG_4_3_1_3__2_TotalNitrogenInEachMMS(R$206,T226)</f>
        <v>#VALUE!</v>
      </c>
    </row>
    <row r="239" spans="4:20" ht="20.100000000000001" customHeight="1" x14ac:dyDescent="0.25">
      <c r="D239" s="136" t="str">
        <f>'Input - Pasture Beef'!$D$144</f>
        <v>Milking shed</v>
      </c>
      <c r="E239" s="136" t="str">
        <f>'Input - Pasture Beef'!$D$172</f>
        <v>Solid storage</v>
      </c>
      <c r="F239" s="55" t="e" cm="1">
        <f t="array" aca="1" ref="F239" ca="1">MMS_Dairy_N2ODirect_Equations.VEERG_4_3_1_3__2_TotalNitrogenInEachMMS(D$169,F227)</f>
        <v>#REF!</v>
      </c>
      <c r="G239" s="55" t="e" cm="1">
        <f t="array" aca="1" ref="G239" ca="1">MMS_Dairy_N2ODirect_Equations.VEERG_4_3_1_3__2_TotalNitrogenInEachMMS(E$169,G227)</f>
        <v>#REF!</v>
      </c>
      <c r="H239" s="55" t="e" cm="1">
        <f t="array" aca="1" ref="H239" ca="1">MMS_Dairy_N2ODirect_Equations.VEERG_4_3_1_3__2_TotalNitrogenInEachMMS(F$206,H227)</f>
        <v>#VALUE!</v>
      </c>
      <c r="I239" s="55" t="e" cm="1">
        <f t="array" aca="1" ref="I239" ca="1">MMS_Dairy_N2ODirect_Equations.VEERG_4_3_1_3__2_TotalNitrogenInEachMMS(G$169,I227)</f>
        <v>#VALUE!</v>
      </c>
      <c r="J239" s="55" t="e" cm="1">
        <f t="array" aca="1" ref="J239" ca="1">MMS_Dairy_N2ODirect_Equations.VEERG_4_3_1_3__2_TotalNitrogenInEachMMS(H$206,J227)</f>
        <v>#VALUE!</v>
      </c>
      <c r="N239" s="136" t="str">
        <f>'Input - Pasture Beef'!$D$144</f>
        <v>Milking shed</v>
      </c>
      <c r="O239" s="136" t="str">
        <f>'Input - Pasture Beef'!$D$172</f>
        <v>Solid storage</v>
      </c>
      <c r="P239" s="55" t="e" cm="1">
        <f t="array" aca="1" ref="P239" ca="1">MMS_Dairy_N2ODirect_Equations.VEERG_4_3_1_3__2_TotalNitrogenInEachMMS(N$169,P227)</f>
        <v>#VALUE!</v>
      </c>
      <c r="Q239" s="55" t="e" cm="1">
        <f t="array" aca="1" ref="Q239" ca="1">MMS_Dairy_N2ODirect_Equations.VEERG_4_3_1_3__2_TotalNitrogenInEachMMS(O$169,Q227)</f>
        <v>#VALUE!</v>
      </c>
      <c r="R239" s="55" t="e" cm="1">
        <f t="array" aca="1" ref="R239" ca="1">MMS_Dairy_N2ODirect_Equations.VEERG_4_3_1_3__2_TotalNitrogenInEachMMS(P$206,R227)</f>
        <v>#VALUE!</v>
      </c>
      <c r="S239" s="55" t="e" cm="1">
        <f t="array" aca="1" ref="S239" ca="1">MMS_Dairy_N2ODirect_Equations.VEERG_4_3_1_3__2_TotalNitrogenInEachMMS(Q$169,S227)</f>
        <v>#VALUE!</v>
      </c>
      <c r="T239" s="55" t="e" cm="1">
        <f t="array" aca="1" ref="T239" ca="1">MMS_Dairy_N2ODirect_Equations.VEERG_4_3_1_3__2_TotalNitrogenInEachMMS(R$206,T227)</f>
        <v>#VALUE!</v>
      </c>
    </row>
    <row r="240" spans="4:20" ht="20.100000000000001" customHeight="1" x14ac:dyDescent="0.25">
      <c r="D240" s="136" t="str">
        <f>'Input - Pasture Beef'!$D$145</f>
        <v>Feed pad</v>
      </c>
      <c r="E240" s="136" t="str">
        <f>'Input - Pasture Beef'!$D$191</f>
        <v>Anaerobic lagoon</v>
      </c>
      <c r="F240" s="55" t="e" cm="1">
        <f t="array" aca="1" ref="F240" ca="1">MMS_Dairy_N2ODirect_Equations.VEERG_4_3_1_3__2_TotalNitrogenInEachMMS(D$169,F228)</f>
        <v>#REF!</v>
      </c>
      <c r="G240" s="55" t="e" cm="1">
        <f t="array" aca="1" ref="G240" ca="1">MMS_Dairy_N2ODirect_Equations.VEERG_4_3_1_3__2_TotalNitrogenInEachMMS(E$169,G228)</f>
        <v>#REF!</v>
      </c>
      <c r="H240" s="55" t="e" cm="1">
        <f t="array" aca="1" ref="H240" ca="1">MMS_Dairy_N2ODirect_Equations.VEERG_4_3_1_3__2_TotalNitrogenInEachMMS(F$206,H228)</f>
        <v>#VALUE!</v>
      </c>
      <c r="I240" s="55" t="e" cm="1">
        <f t="array" aca="1" ref="I240" ca="1">MMS_Dairy_N2ODirect_Equations.VEERG_4_3_1_3__2_TotalNitrogenInEachMMS(G$169,I228)</f>
        <v>#VALUE!</v>
      </c>
      <c r="J240" s="55" t="e" cm="1">
        <f t="array" aca="1" ref="J240" ca="1">MMS_Dairy_N2ODirect_Equations.VEERG_4_3_1_3__2_TotalNitrogenInEachMMS(H$206,J228)</f>
        <v>#VALUE!</v>
      </c>
      <c r="N240" s="136" t="str">
        <f>'Input - Pasture Beef'!$D$145</f>
        <v>Feed pad</v>
      </c>
      <c r="O240" s="136" t="str">
        <f>'Input - Pasture Beef'!$D$191</f>
        <v>Anaerobic lagoon</v>
      </c>
      <c r="P240" s="55" t="e" cm="1">
        <f t="array" aca="1" ref="P240" ca="1">MMS_Dairy_N2ODirect_Equations.VEERG_4_3_1_3__2_TotalNitrogenInEachMMS(N$169,P228)</f>
        <v>#VALUE!</v>
      </c>
      <c r="Q240" s="55" t="e" cm="1">
        <f t="array" aca="1" ref="Q240" ca="1">MMS_Dairy_N2ODirect_Equations.VEERG_4_3_1_3__2_TotalNitrogenInEachMMS(O$169,Q228)</f>
        <v>#VALUE!</v>
      </c>
      <c r="R240" s="55" t="e" cm="1">
        <f t="array" aca="1" ref="R240" ca="1">MMS_Dairy_N2ODirect_Equations.VEERG_4_3_1_3__2_TotalNitrogenInEachMMS(P$206,R228)</f>
        <v>#VALUE!</v>
      </c>
      <c r="S240" s="55" t="e" cm="1">
        <f t="array" aca="1" ref="S240" ca="1">MMS_Dairy_N2ODirect_Equations.VEERG_4_3_1_3__2_TotalNitrogenInEachMMS(Q$169,S228)</f>
        <v>#VALUE!</v>
      </c>
      <c r="T240" s="55" t="e" cm="1">
        <f t="array" aca="1" ref="T240" ca="1">MMS_Dairy_N2ODirect_Equations.VEERG_4_3_1_3__2_TotalNitrogenInEachMMS(R$206,T228)</f>
        <v>#VALUE!</v>
      </c>
    </row>
    <row r="241" spans="3:21" ht="20.100000000000001" customHeight="1" x14ac:dyDescent="0.25">
      <c r="D241" s="136" t="str">
        <f>'Input - Pasture Beef'!$D$145</f>
        <v>Feed pad</v>
      </c>
      <c r="E241" s="136" t="str">
        <f>'Input - Pasture Beef'!$D$196</f>
        <v>Sump and dispersal system</v>
      </c>
      <c r="F241" s="55" t="e" cm="1">
        <f t="array" aca="1" ref="F241" ca="1">MMS_Dairy_N2ODirect_Equations.VEERG_4_3_1_3__2_TotalNitrogenInEachMMS(D$169,F229)</f>
        <v>#REF!</v>
      </c>
      <c r="G241" s="55" t="e" cm="1">
        <f t="array" aca="1" ref="G241" ca="1">MMS_Dairy_N2ODirect_Equations.VEERG_4_3_1_3__2_TotalNitrogenInEachMMS(E$169,G229)</f>
        <v>#REF!</v>
      </c>
      <c r="H241" s="55" t="e" cm="1">
        <f t="array" aca="1" ref="H241" ca="1">MMS_Dairy_N2ODirect_Equations.VEERG_4_3_1_3__2_TotalNitrogenInEachMMS(F$206,H229)</f>
        <v>#VALUE!</v>
      </c>
      <c r="I241" s="55" t="e" cm="1">
        <f t="array" aca="1" ref="I241" ca="1">MMS_Dairy_N2ODirect_Equations.VEERG_4_3_1_3__2_TotalNitrogenInEachMMS(G$169,I229)</f>
        <v>#VALUE!</v>
      </c>
      <c r="J241" s="55" t="e" cm="1">
        <f t="array" aca="1" ref="J241" ca="1">MMS_Dairy_N2ODirect_Equations.VEERG_4_3_1_3__2_TotalNitrogenInEachMMS(H$206,J229)</f>
        <v>#VALUE!</v>
      </c>
      <c r="N241" s="136" t="str">
        <f>'Input - Pasture Beef'!$D$145</f>
        <v>Feed pad</v>
      </c>
      <c r="O241" s="136" t="str">
        <f>'Input - Pasture Beef'!$D$196</f>
        <v>Sump and dispersal system</v>
      </c>
      <c r="P241" s="55" t="e" cm="1">
        <f t="array" aca="1" ref="P241" ca="1">MMS_Dairy_N2ODirect_Equations.VEERG_4_3_1_3__2_TotalNitrogenInEachMMS(N$169,P229)</f>
        <v>#VALUE!</v>
      </c>
      <c r="Q241" s="55" t="e" cm="1">
        <f t="array" aca="1" ref="Q241" ca="1">MMS_Dairy_N2ODirect_Equations.VEERG_4_3_1_3__2_TotalNitrogenInEachMMS(O$169,Q229)</f>
        <v>#VALUE!</v>
      </c>
      <c r="R241" s="55" t="e" cm="1">
        <f t="array" aca="1" ref="R241" ca="1">MMS_Dairy_N2ODirect_Equations.VEERG_4_3_1_3__2_TotalNitrogenInEachMMS(P$206,R229)</f>
        <v>#VALUE!</v>
      </c>
      <c r="S241" s="55" t="e" cm="1">
        <f t="array" aca="1" ref="S241" ca="1">MMS_Dairy_N2ODirect_Equations.VEERG_4_3_1_3__2_TotalNitrogenInEachMMS(Q$169,S229)</f>
        <v>#VALUE!</v>
      </c>
      <c r="T241" s="55" t="e" cm="1">
        <f t="array" aca="1" ref="T241" ca="1">MMS_Dairy_N2ODirect_Equations.VEERG_4_3_1_3__2_TotalNitrogenInEachMMS(R$206,T229)</f>
        <v>#VALUE!</v>
      </c>
    </row>
    <row r="242" spans="3:21" ht="20.100000000000001" customHeight="1" x14ac:dyDescent="0.25">
      <c r="D242" s="136" t="str">
        <f>'Input - Pasture Beef'!$D$145</f>
        <v>Feed pad</v>
      </c>
      <c r="E242" s="136" t="str">
        <f>'Input - Pasture Beef'!$D$201</f>
        <v>Drains to paddock</v>
      </c>
      <c r="F242" s="55" t="e" cm="1">
        <f t="array" aca="1" ref="F242" ca="1">MMS_Dairy_N2ODirect_Equations.VEERG_4_3_1_3__2_TotalNitrogenInEachMMS(D$169,F230)</f>
        <v>#REF!</v>
      </c>
      <c r="G242" s="55" t="e" cm="1">
        <f t="array" aca="1" ref="G242" ca="1">MMS_Dairy_N2ODirect_Equations.VEERG_4_3_1_3__2_TotalNitrogenInEachMMS(E$169,G230)</f>
        <v>#REF!</v>
      </c>
      <c r="H242" s="55" t="e" cm="1">
        <f t="array" aca="1" ref="H242" ca="1">MMS_Dairy_N2ODirect_Equations.VEERG_4_3_1_3__2_TotalNitrogenInEachMMS(F$206,H230)</f>
        <v>#VALUE!</v>
      </c>
      <c r="I242" s="55" t="e" cm="1">
        <f t="array" aca="1" ref="I242" ca="1">MMS_Dairy_N2ODirect_Equations.VEERG_4_3_1_3__2_TotalNitrogenInEachMMS(G$169,I230)</f>
        <v>#VALUE!</v>
      </c>
      <c r="J242" s="55" t="e" cm="1">
        <f t="array" aca="1" ref="J242" ca="1">MMS_Dairy_N2ODirect_Equations.VEERG_4_3_1_3__2_TotalNitrogenInEachMMS(H$206,J230)</f>
        <v>#VALUE!</v>
      </c>
      <c r="N242" s="136" t="str">
        <f>'Input - Pasture Beef'!$D$145</f>
        <v>Feed pad</v>
      </c>
      <c r="O242" s="136" t="str">
        <f>'Input - Pasture Beef'!$D$201</f>
        <v>Drains to paddock</v>
      </c>
      <c r="P242" s="55" t="e" cm="1">
        <f t="array" aca="1" ref="P242" ca="1">MMS_Dairy_N2ODirect_Equations.VEERG_4_3_1_3__2_TotalNitrogenInEachMMS(N$169,P230)</f>
        <v>#VALUE!</v>
      </c>
      <c r="Q242" s="55" t="e" cm="1">
        <f t="array" aca="1" ref="Q242" ca="1">MMS_Dairy_N2ODirect_Equations.VEERG_4_3_1_3__2_TotalNitrogenInEachMMS(O$169,Q230)</f>
        <v>#VALUE!</v>
      </c>
      <c r="R242" s="55" t="e" cm="1">
        <f t="array" aca="1" ref="R242" ca="1">MMS_Dairy_N2ODirect_Equations.VEERG_4_3_1_3__2_TotalNitrogenInEachMMS(P$206,R230)</f>
        <v>#VALUE!</v>
      </c>
      <c r="S242" s="55" t="e" cm="1">
        <f t="array" aca="1" ref="S242" ca="1">MMS_Dairy_N2ODirect_Equations.VEERG_4_3_1_3__2_TotalNitrogenInEachMMS(Q$169,S230)</f>
        <v>#VALUE!</v>
      </c>
      <c r="T242" s="55" t="e" cm="1">
        <f t="array" aca="1" ref="T242" ca="1">MMS_Dairy_N2ODirect_Equations.VEERG_4_3_1_3__2_TotalNitrogenInEachMMS(R$206,T230)</f>
        <v>#VALUE!</v>
      </c>
    </row>
    <row r="243" spans="3:21" ht="20.100000000000001" customHeight="1" x14ac:dyDescent="0.25">
      <c r="D243" s="136" t="str">
        <f>'Input - Pasture Beef'!$D$145</f>
        <v>Feed pad</v>
      </c>
      <c r="E243" s="136" t="str">
        <f>'Input - Pasture Beef'!$D$206</f>
        <v>Solid storage</v>
      </c>
      <c r="F243" s="55" t="e" cm="1">
        <f t="array" aca="1" ref="F243" ca="1">MMS_Dairy_N2ODirect_Equations.VEERG_4_3_1_3__2_TotalNitrogenInEachMMS(D$169,F231)</f>
        <v>#REF!</v>
      </c>
      <c r="G243" s="55" t="e" cm="1">
        <f t="array" aca="1" ref="G243" ca="1">MMS_Dairy_N2ODirect_Equations.VEERG_4_3_1_3__2_TotalNitrogenInEachMMS(E$169,G231)</f>
        <v>#REF!</v>
      </c>
      <c r="H243" s="55" t="e" cm="1">
        <f t="array" aca="1" ref="H243" ca="1">MMS_Dairy_N2ODirect_Equations.VEERG_4_3_1_3__2_TotalNitrogenInEachMMS(F$206,H231)</f>
        <v>#VALUE!</v>
      </c>
      <c r="I243" s="55" t="e" cm="1">
        <f t="array" aca="1" ref="I243" ca="1">MMS_Dairy_N2ODirect_Equations.VEERG_4_3_1_3__2_TotalNitrogenInEachMMS(G$169,I231)</f>
        <v>#VALUE!</v>
      </c>
      <c r="J243" s="55" t="e" cm="1">
        <f t="array" aca="1" ref="J243" ca="1">MMS_Dairy_N2ODirect_Equations.VEERG_4_3_1_3__2_TotalNitrogenInEachMMS(H$206,J231)</f>
        <v>#VALUE!</v>
      </c>
      <c r="N243" s="136" t="str">
        <f>'Input - Pasture Beef'!$D$145</f>
        <v>Feed pad</v>
      </c>
      <c r="O243" s="136" t="str">
        <f>'Input - Pasture Beef'!$D$206</f>
        <v>Solid storage</v>
      </c>
      <c r="P243" s="55" t="e" cm="1">
        <f t="array" aca="1" ref="P243" ca="1">MMS_Dairy_N2ODirect_Equations.VEERG_4_3_1_3__2_TotalNitrogenInEachMMS(N$169,P231)</f>
        <v>#VALUE!</v>
      </c>
      <c r="Q243" s="55" t="e" cm="1">
        <f t="array" aca="1" ref="Q243" ca="1">MMS_Dairy_N2ODirect_Equations.VEERG_4_3_1_3__2_TotalNitrogenInEachMMS(O$169,Q231)</f>
        <v>#VALUE!</v>
      </c>
      <c r="R243" s="55" t="e" cm="1">
        <f t="array" aca="1" ref="R243" ca="1">MMS_Dairy_N2ODirect_Equations.VEERG_4_3_1_3__2_TotalNitrogenInEachMMS(P$206,R231)</f>
        <v>#VALUE!</v>
      </c>
      <c r="S243" s="55" t="e" cm="1">
        <f t="array" aca="1" ref="S243" ca="1">MMS_Dairy_N2ODirect_Equations.VEERG_4_3_1_3__2_TotalNitrogenInEachMMS(Q$169,S231)</f>
        <v>#VALUE!</v>
      </c>
      <c r="T243" s="55" t="e" cm="1">
        <f t="array" aca="1" ref="T243" ca="1">MMS_Dairy_N2ODirect_Equations.VEERG_4_3_1_3__2_TotalNitrogenInEachMMS(R$206,T231)</f>
        <v>#VALUE!</v>
      </c>
    </row>
    <row r="244" spans="3:21" ht="20.100000000000001" customHeight="1" x14ac:dyDescent="0.25"/>
    <row r="245" spans="3:21" ht="20.100000000000001" customHeight="1" x14ac:dyDescent="0.25"/>
    <row r="246" spans="3:21" ht="20.100000000000001" customHeight="1" x14ac:dyDescent="0.25">
      <c r="C246" s="48"/>
      <c r="D246" s="48"/>
      <c r="E246" s="48"/>
      <c r="F246" s="48"/>
      <c r="G246" s="48"/>
      <c r="H246" s="48"/>
      <c r="I246" s="48"/>
      <c r="J246" s="48"/>
      <c r="K246" s="48"/>
      <c r="M246" s="48"/>
      <c r="N246" s="48"/>
      <c r="O246" s="48"/>
      <c r="P246" s="48"/>
      <c r="Q246" s="48"/>
      <c r="R246" s="48"/>
      <c r="S246" s="48"/>
      <c r="T246" s="48"/>
      <c r="U246" s="48"/>
    </row>
    <row r="247" spans="3:21" ht="20.100000000000001" customHeight="1" x14ac:dyDescent="0.25">
      <c r="D247" s="6" t="str" cm="1">
        <f t="array" ref="D247">MMS_Dairy_N2ODirect_Equations.VEERG_4_3_1_3__1_TotalAnnualDirectNitrousOxideEmissionsFromMMS_Title()</f>
        <v>Total annual direct nitrous oxide emissions from manure management systems</v>
      </c>
    </row>
    <row r="248" spans="3:21" ht="20.100000000000001" customHeight="1" x14ac:dyDescent="0.25">
      <c r="D248" s="5" t="str" cm="1">
        <f t="array" ref="D248">MMS_Dairy_N2ODirect_Equations.VEERG_4_3_1_3__1_TotalAnnualDirectNitrousOxideEmissionsFromMMS_Source()</f>
        <v>VEERG 2026: 4.3.1.3, Equation (1)</v>
      </c>
    </row>
    <row r="249" spans="3:21" ht="20.100000000000001" customHeight="1" x14ac:dyDescent="0.25">
      <c r="D249" s="13" t="s">
        <v>27</v>
      </c>
      <c r="E249" s="13" t="str" cm="1">
        <f t="array" aca="1" ref="E249" ca="1">Common_InputFunctions.Utility_DisplayFunctionName(F273)</f>
        <v>=MMS_Dairy_N2ODirect_Equations.VEERG_4_3_1_3__1_TotalAnnualDirectNitrousOxideEmissionsFromMMS</v>
      </c>
    </row>
    <row r="250" spans="3:21" ht="20.100000000000001" customHeight="1" x14ac:dyDescent="0.25"/>
    <row r="251" spans="3:21" ht="20.100000000000001" customHeight="1" x14ac:dyDescent="0.25">
      <c r="D251" s="6"/>
    </row>
    <row r="252" spans="3:21" ht="20.100000000000001" customHeight="1" x14ac:dyDescent="0.25">
      <c r="D252" s="56" t="s">
        <v>30</v>
      </c>
      <c r="E252" s="1" t="str" cm="1">
        <f t="array" ref="E252">MMS_Dairy_N2ODirect_Equations.VEERG_4_3_1_3__1_TotalAnnualDirectNitrousOxideEmissionsFromMMS_Variable()</f>
        <v>E_N2Odir</v>
      </c>
    </row>
    <row r="253" spans="3:21" ht="20.100000000000001" customHeight="1" x14ac:dyDescent="0.25">
      <c r="D253" s="56" t="s">
        <v>20</v>
      </c>
      <c r="E253" s="57" t="str" cm="1">
        <f t="array" ref="E253">MMS_Dairy_N2ODirect_Equations.VEERG_4_3_1_3__1_TotalAnnualDirectNitrousOxideEmissionsFromMMS_Unit()</f>
        <v>t N2O</v>
      </c>
    </row>
    <row r="254" spans="3:21" ht="20.100000000000001" customHeight="1" x14ac:dyDescent="0.25"/>
    <row r="255" spans="3:21" ht="20.100000000000001" customHeight="1" x14ac:dyDescent="0.25">
      <c r="D255" s="60" t="str" cm="1">
        <f t="array" ref="D255:E257">MMS_Dairy_N2ODirect_Equations.VEERG_4_3_1_3__1_TotalAnnualDirectNitrousOxideEmissionsFromMMS_Arguments()</f>
        <v>MN_jm</v>
      </c>
      <c r="E255" s="61" t="str">
        <v>total nitrogen in each MMS for dairy cattle classes (kg N)</v>
      </c>
      <c r="F255" s="62"/>
      <c r="G255" s="60" t="str">
        <f>"See " &amp; D233</f>
        <v>See M1_Table_MN_j_m</v>
      </c>
    </row>
    <row r="256" spans="3:21" ht="20.100000000000001" customHeight="1" x14ac:dyDescent="0.25">
      <c r="D256" s="60" t="str">
        <v>EF_m</v>
      </c>
      <c r="E256" s="61" t="str">
        <v>nitrous oxide emission factor for each MMS (kg N2O-N/kg N deposited)</v>
      </c>
      <c r="F256" s="62"/>
      <c r="G256" s="60" t="str">
        <f>"See " &amp; D259</f>
        <v>See Table_EF_m</v>
      </c>
    </row>
    <row r="257" spans="4:20" ht="20.100000000000001" customHeight="1" x14ac:dyDescent="0.25">
      <c r="D257" s="60" t="str">
        <v>C_N2O</v>
      </c>
      <c r="E257" s="61" t="str">
        <v>factor to convert elemental mass of N2O to molecular mass</v>
      </c>
      <c r="F257" s="62"/>
      <c r="G257" s="60">
        <f>Common_InputFunctions.Utility_LookupValueInTableNumber("N2O",Table_GasToMolecularConversionFactor[Gas],Table_GasToMolecularConversionFactor[Conversion factor combined])</f>
        <v>1.5714285714285714</v>
      </c>
    </row>
    <row r="258" spans="4:20" ht="20.100000000000001" customHeight="1" x14ac:dyDescent="0.25"/>
    <row r="259" spans="4:20" ht="20.100000000000001" customHeight="1" x14ac:dyDescent="0.25">
      <c r="D259" s="104" t="s">
        <v>255</v>
      </c>
    </row>
    <row r="260" spans="4:20" ht="20.100000000000001" customHeight="1" x14ac:dyDescent="0.25">
      <c r="D260" s="103" t="s">
        <v>256</v>
      </c>
    </row>
    <row r="261" spans="4:20" ht="20.100000000000001" customHeight="1" x14ac:dyDescent="0.25">
      <c r="D261" s="54" t="s">
        <v>68</v>
      </c>
      <c r="E261" s="54" t="s">
        <v>257</v>
      </c>
    </row>
    <row r="262" spans="4:20" ht="20.100000000000001" customHeight="1" x14ac:dyDescent="0.25">
      <c r="D262" s="136" t="e" cm="1">
        <f t="array" ref="D262">#REF!</f>
        <v>#REF!</v>
      </c>
      <c r="E262" s="136" t="e" cm="1">
        <f t="array" ref="E262">#REF!</f>
        <v>#REF!</v>
      </c>
    </row>
    <row r="263" spans="4:20" ht="20.100000000000001" customHeight="1" x14ac:dyDescent="0.25">
      <c r="D263" s="136"/>
      <c r="E263" s="136"/>
    </row>
    <row r="264" spans="4:20" ht="20.100000000000001" customHeight="1" x14ac:dyDescent="0.25">
      <c r="D264" s="136"/>
      <c r="E264" s="136"/>
    </row>
    <row r="265" spans="4:20" ht="20.100000000000001" customHeight="1" x14ac:dyDescent="0.25">
      <c r="D265" s="136"/>
      <c r="E265" s="136"/>
    </row>
    <row r="266" spans="4:20" ht="20.100000000000001" customHeight="1" x14ac:dyDescent="0.25">
      <c r="D266" s="136"/>
      <c r="E266" s="136"/>
    </row>
    <row r="267" spans="4:20" ht="20.100000000000001" customHeight="1" x14ac:dyDescent="0.25"/>
    <row r="268" spans="4:20" ht="20.100000000000001" customHeight="1" x14ac:dyDescent="0.25">
      <c r="D268" s="104" t="s">
        <v>119</v>
      </c>
      <c r="N268" s="104" t="s">
        <v>119</v>
      </c>
    </row>
    <row r="269" spans="4:20" ht="20.100000000000001" customHeight="1" x14ac:dyDescent="0.25">
      <c r="D269" s="103" t="s">
        <v>258</v>
      </c>
      <c r="N269" s="103" t="s">
        <v>258</v>
      </c>
    </row>
    <row r="270" spans="4:20" ht="20.100000000000001" customHeight="1" x14ac:dyDescent="0.25">
      <c r="D270" s="54" t="s">
        <v>144</v>
      </c>
      <c r="E270" s="54" t="s">
        <v>68</v>
      </c>
      <c r="F270" s="54" t="s">
        <v>173</v>
      </c>
      <c r="G270" s="54" t="s">
        <v>175</v>
      </c>
      <c r="H270" s="54" t="s">
        <v>176</v>
      </c>
      <c r="I270" s="54" t="s">
        <v>177</v>
      </c>
      <c r="J270" s="54" t="s">
        <v>178</v>
      </c>
      <c r="N270" s="54" t="s">
        <v>144</v>
      </c>
      <c r="O270" s="54" t="s">
        <v>68</v>
      </c>
      <c r="P270" s="54" t="s">
        <v>173</v>
      </c>
      <c r="Q270" s="54" t="s">
        <v>175</v>
      </c>
      <c r="R270" s="54" t="s">
        <v>176</v>
      </c>
      <c r="S270" s="54" t="s">
        <v>177</v>
      </c>
      <c r="T270" s="54" t="s">
        <v>178</v>
      </c>
    </row>
    <row r="271" spans="4:20" ht="20.100000000000001" customHeight="1" x14ac:dyDescent="0.25">
      <c r="D271" s="136" t="str">
        <f>'Input - Pasture Beef'!$D$144</f>
        <v>Milking shed</v>
      </c>
      <c r="E271" s="136" t="str">
        <f>'Input - Pasture Beef'!$D$157</f>
        <v>Anaerobic lagoon</v>
      </c>
      <c r="F271" s="55" t="e" cm="1">
        <f t="array" aca="1" ref="F271" ca="1">MMS_Dairy_N2ODirect_Equations.VEERG_4_3_1_3__1_TotalAnnualDirectNitrousOxideEmissionsFromMMS(F236,$E263,$G$257)</f>
        <v>#REF!</v>
      </c>
      <c r="G271" s="55" t="e" cm="1">
        <f t="array" aca="1" ref="G271" ca="1">MMS_Dairy_N2ODirect_Equations.VEERG_4_3_1_3__1_TotalAnnualDirectNitrousOxideEmissionsFromMMS(G236,$E263,$G$257)</f>
        <v>#REF!</v>
      </c>
      <c r="H271" s="55" t="e" cm="1">
        <f t="array" aca="1" ref="H271" ca="1">MMS_Dairy_N2ODirect_Equations.VEERG_4_3_1_3__1_TotalAnnualDirectNitrousOxideEmissionsFromMMS(H236,$E263,$G$257)</f>
        <v>#VALUE!</v>
      </c>
      <c r="I271" s="55" t="e" cm="1">
        <f t="array" aca="1" ref="I271" ca="1">MMS_Dairy_N2ODirect_Equations.VEERG_4_3_1_3__1_TotalAnnualDirectNitrousOxideEmissionsFromMMS(I236,$E263,$G$257)</f>
        <v>#VALUE!</v>
      </c>
      <c r="J271" s="55" t="e" cm="1">
        <f t="array" aca="1" ref="J271" ca="1">MMS_Dairy_N2ODirect_Equations.VEERG_4_3_1_3__1_TotalAnnualDirectNitrousOxideEmissionsFromMMS(J236,$E263,$G$257)</f>
        <v>#VALUE!</v>
      </c>
      <c r="N271" s="136" t="str">
        <f>'Input - Pasture Beef'!$D$144</f>
        <v>Milking shed</v>
      </c>
      <c r="O271" s="136" t="str">
        <f>'Input - Pasture Beef'!$D$157</f>
        <v>Anaerobic lagoon</v>
      </c>
      <c r="P271" s="55" t="e" cm="1">
        <f t="array" aca="1" ref="P271" ca="1">MMS_Dairy_N2ODirect_Equations.VEERG_4_3_1_3__1_TotalAnnualDirectNitrousOxideEmissionsFromMMS(P236,$E263,$G$257)</f>
        <v>#VALUE!</v>
      </c>
      <c r="Q271" s="55" t="e" cm="1">
        <f t="array" aca="1" ref="Q271" ca="1">MMS_Dairy_N2ODirect_Equations.VEERG_4_3_1_3__1_TotalAnnualDirectNitrousOxideEmissionsFromMMS(Q236,$E263,$G$257)</f>
        <v>#VALUE!</v>
      </c>
      <c r="R271" s="55" t="e" cm="1">
        <f t="array" aca="1" ref="R271" ca="1">MMS_Dairy_N2ODirect_Equations.VEERG_4_3_1_3__1_TotalAnnualDirectNitrousOxideEmissionsFromMMS(R236,$E263,$G$257)</f>
        <v>#VALUE!</v>
      </c>
      <c r="S271" s="55" t="e" cm="1">
        <f t="array" aca="1" ref="S271" ca="1">MMS_Dairy_N2ODirect_Equations.VEERG_4_3_1_3__1_TotalAnnualDirectNitrousOxideEmissionsFromMMS(S236,$E263,$G$257)</f>
        <v>#VALUE!</v>
      </c>
      <c r="T271" s="55" t="e" cm="1">
        <f t="array" aca="1" ref="T271" ca="1">MMS_Dairy_N2ODirect_Equations.VEERG_4_3_1_3__1_TotalAnnualDirectNitrousOxideEmissionsFromMMS(T236,$E263,$G$257)</f>
        <v>#VALUE!</v>
      </c>
    </row>
    <row r="272" spans="4:20" ht="20.100000000000001" customHeight="1" x14ac:dyDescent="0.25">
      <c r="D272" s="136" t="str">
        <f>'Input - Pasture Beef'!$D$144</f>
        <v>Milking shed</v>
      </c>
      <c r="E272" s="136" t="str">
        <f>'Input - Pasture Beef'!$D$162</f>
        <v>Sump and dispersal system</v>
      </c>
      <c r="F272" s="55" t="e" cm="1">
        <f t="array" aca="1" ref="F272" ca="1">MMS_Dairy_N2ODirect_Equations.VEERG_4_3_1_3__1_TotalAnnualDirectNitrousOxideEmissionsFromMMS(F237,$E264,$G$257)</f>
        <v>#REF!</v>
      </c>
      <c r="G272" s="55" t="e" cm="1">
        <f t="array" aca="1" ref="G272" ca="1">MMS_Dairy_N2ODirect_Equations.VEERG_4_3_1_3__1_TotalAnnualDirectNitrousOxideEmissionsFromMMS(G237,$E264,$G$257)</f>
        <v>#REF!</v>
      </c>
      <c r="H272" s="55" t="e" cm="1">
        <f t="array" aca="1" ref="H272" ca="1">MMS_Dairy_N2ODirect_Equations.VEERG_4_3_1_3__1_TotalAnnualDirectNitrousOxideEmissionsFromMMS(H237,$E264,$G$257)</f>
        <v>#VALUE!</v>
      </c>
      <c r="I272" s="55" t="e" cm="1">
        <f t="array" aca="1" ref="I272" ca="1">MMS_Dairy_N2ODirect_Equations.VEERG_4_3_1_3__1_TotalAnnualDirectNitrousOxideEmissionsFromMMS(I237,$E264,$G$257)</f>
        <v>#VALUE!</v>
      </c>
      <c r="J272" s="55" t="e" cm="1">
        <f t="array" aca="1" ref="J272" ca="1">MMS_Dairy_N2ODirect_Equations.VEERG_4_3_1_3__1_TotalAnnualDirectNitrousOxideEmissionsFromMMS(J237,$E264,$G$257)</f>
        <v>#VALUE!</v>
      </c>
      <c r="N272" s="136" t="str">
        <f>'Input - Pasture Beef'!$D$144</f>
        <v>Milking shed</v>
      </c>
      <c r="O272" s="136" t="str">
        <f>'Input - Pasture Beef'!$D$162</f>
        <v>Sump and dispersal system</v>
      </c>
      <c r="P272" s="55" t="e" cm="1">
        <f t="array" aca="1" ref="P272" ca="1">MMS_Dairy_N2ODirect_Equations.VEERG_4_3_1_3__1_TotalAnnualDirectNitrousOxideEmissionsFromMMS(P237,$E264,$G$257)</f>
        <v>#VALUE!</v>
      </c>
      <c r="Q272" s="55" t="e" cm="1">
        <f t="array" aca="1" ref="Q272" ca="1">MMS_Dairy_N2ODirect_Equations.VEERG_4_3_1_3__1_TotalAnnualDirectNitrousOxideEmissionsFromMMS(Q237,$E264,$G$257)</f>
        <v>#VALUE!</v>
      </c>
      <c r="R272" s="55" t="e" cm="1">
        <f t="array" aca="1" ref="R272" ca="1">MMS_Dairy_N2ODirect_Equations.VEERG_4_3_1_3__1_TotalAnnualDirectNitrousOxideEmissionsFromMMS(R237,$E264,$G$257)</f>
        <v>#VALUE!</v>
      </c>
      <c r="S272" s="55" t="e" cm="1">
        <f t="array" aca="1" ref="S272" ca="1">MMS_Dairy_N2ODirect_Equations.VEERG_4_3_1_3__1_TotalAnnualDirectNitrousOxideEmissionsFromMMS(S237,$E264,$G$257)</f>
        <v>#VALUE!</v>
      </c>
      <c r="T272" s="55" t="e" cm="1">
        <f t="array" aca="1" ref="T272" ca="1">MMS_Dairy_N2ODirect_Equations.VEERG_4_3_1_3__1_TotalAnnualDirectNitrousOxideEmissionsFromMMS(T237,$E264,$G$257)</f>
        <v>#VALUE!</v>
      </c>
    </row>
    <row r="273" spans="4:20" ht="20.100000000000001" customHeight="1" x14ac:dyDescent="0.25">
      <c r="D273" s="136" t="str">
        <f>'Input - Pasture Beef'!$D$144</f>
        <v>Milking shed</v>
      </c>
      <c r="E273" s="136" t="str">
        <f>'Input - Pasture Beef'!$D$167</f>
        <v>Drains to paddock</v>
      </c>
      <c r="F273" s="55" t="e" cm="1">
        <f t="array" aca="1" ref="F273" ca="1">MMS_Dairy_N2ODirect_Equations.VEERG_4_3_1_3__1_TotalAnnualDirectNitrousOxideEmissionsFromMMS(F238,$E265,$G$257)</f>
        <v>#REF!</v>
      </c>
      <c r="G273" s="55" t="e" cm="1">
        <f t="array" aca="1" ref="G273" ca="1">MMS_Dairy_N2ODirect_Equations.VEERG_4_3_1_3__1_TotalAnnualDirectNitrousOxideEmissionsFromMMS(G238,$E265,$G$257)</f>
        <v>#REF!</v>
      </c>
      <c r="H273" s="55" t="e" cm="1">
        <f t="array" aca="1" ref="H273" ca="1">MMS_Dairy_N2ODirect_Equations.VEERG_4_3_1_3__1_TotalAnnualDirectNitrousOxideEmissionsFromMMS(H238,$E265,$G$257)</f>
        <v>#VALUE!</v>
      </c>
      <c r="I273" s="55" t="e" cm="1">
        <f t="array" aca="1" ref="I273" ca="1">MMS_Dairy_N2ODirect_Equations.VEERG_4_3_1_3__1_TotalAnnualDirectNitrousOxideEmissionsFromMMS(I238,$E265,$G$257)</f>
        <v>#VALUE!</v>
      </c>
      <c r="J273" s="55" t="e" cm="1">
        <f t="array" aca="1" ref="J273" ca="1">MMS_Dairy_N2ODirect_Equations.VEERG_4_3_1_3__1_TotalAnnualDirectNitrousOxideEmissionsFromMMS(J238,$E265,$G$257)</f>
        <v>#VALUE!</v>
      </c>
      <c r="N273" s="136" t="str">
        <f>'Input - Pasture Beef'!$D$144</f>
        <v>Milking shed</v>
      </c>
      <c r="O273" s="136" t="str">
        <f>'Input - Pasture Beef'!$D$167</f>
        <v>Drains to paddock</v>
      </c>
      <c r="P273" s="55" t="e" cm="1">
        <f t="array" aca="1" ref="P273" ca="1">MMS_Dairy_N2ODirect_Equations.VEERG_4_3_1_3__1_TotalAnnualDirectNitrousOxideEmissionsFromMMS(P238,$E265,$G$257)</f>
        <v>#VALUE!</v>
      </c>
      <c r="Q273" s="55" t="e" cm="1">
        <f t="array" aca="1" ref="Q273" ca="1">MMS_Dairy_N2ODirect_Equations.VEERG_4_3_1_3__1_TotalAnnualDirectNitrousOxideEmissionsFromMMS(Q238,$E265,$G$257)</f>
        <v>#VALUE!</v>
      </c>
      <c r="R273" s="55" t="e" cm="1">
        <f t="array" aca="1" ref="R273" ca="1">MMS_Dairy_N2ODirect_Equations.VEERG_4_3_1_3__1_TotalAnnualDirectNitrousOxideEmissionsFromMMS(R238,$E265,$G$257)</f>
        <v>#VALUE!</v>
      </c>
      <c r="S273" s="55" t="e" cm="1">
        <f t="array" aca="1" ref="S273" ca="1">MMS_Dairy_N2ODirect_Equations.VEERG_4_3_1_3__1_TotalAnnualDirectNitrousOxideEmissionsFromMMS(S238,$E265,$G$257)</f>
        <v>#VALUE!</v>
      </c>
      <c r="T273" s="55" t="e" cm="1">
        <f t="array" aca="1" ref="T273" ca="1">MMS_Dairy_N2ODirect_Equations.VEERG_4_3_1_3__1_TotalAnnualDirectNitrousOxideEmissionsFromMMS(T238,$E265,$G$257)</f>
        <v>#VALUE!</v>
      </c>
    </row>
    <row r="274" spans="4:20" ht="20.100000000000001" customHeight="1" x14ac:dyDescent="0.25">
      <c r="D274" s="136" t="str">
        <f>'Input - Pasture Beef'!$D$144</f>
        <v>Milking shed</v>
      </c>
      <c r="E274" s="136" t="str">
        <f>'Input - Pasture Beef'!$D$172</f>
        <v>Solid storage</v>
      </c>
      <c r="F274" s="55" t="e" cm="1">
        <f t="array" aca="1" ref="F274" ca="1">MMS_Dairy_N2ODirect_Equations.VEERG_4_3_1_3__1_TotalAnnualDirectNitrousOxideEmissionsFromMMS(F239,$E266,$G$257)</f>
        <v>#REF!</v>
      </c>
      <c r="G274" s="55" t="e" cm="1">
        <f t="array" aca="1" ref="G274" ca="1">MMS_Dairy_N2ODirect_Equations.VEERG_4_3_1_3__1_TotalAnnualDirectNitrousOxideEmissionsFromMMS(G239,$E266,$G$257)</f>
        <v>#REF!</v>
      </c>
      <c r="H274" s="55" t="e" cm="1">
        <f t="array" aca="1" ref="H274" ca="1">MMS_Dairy_N2ODirect_Equations.VEERG_4_3_1_3__1_TotalAnnualDirectNitrousOxideEmissionsFromMMS(H239,$E266,$G$257)</f>
        <v>#VALUE!</v>
      </c>
      <c r="I274" s="55" t="e" cm="1">
        <f t="array" aca="1" ref="I274" ca="1">MMS_Dairy_N2ODirect_Equations.VEERG_4_3_1_3__1_TotalAnnualDirectNitrousOxideEmissionsFromMMS(I239,$E266,$G$257)</f>
        <v>#VALUE!</v>
      </c>
      <c r="J274" s="55" t="e" cm="1">
        <f t="array" aca="1" ref="J274" ca="1">MMS_Dairy_N2ODirect_Equations.VEERG_4_3_1_3__1_TotalAnnualDirectNitrousOxideEmissionsFromMMS(J239,$E266,$G$257)</f>
        <v>#VALUE!</v>
      </c>
      <c r="N274" s="136" t="str">
        <f>'Input - Pasture Beef'!$D$144</f>
        <v>Milking shed</v>
      </c>
      <c r="O274" s="136" t="str">
        <f>'Input - Pasture Beef'!$D$172</f>
        <v>Solid storage</v>
      </c>
      <c r="P274" s="55" t="e" cm="1">
        <f t="array" aca="1" ref="P274" ca="1">MMS_Dairy_N2ODirect_Equations.VEERG_4_3_1_3__1_TotalAnnualDirectNitrousOxideEmissionsFromMMS(P239,$E266,$G$257)</f>
        <v>#VALUE!</v>
      </c>
      <c r="Q274" s="55" t="e" cm="1">
        <f t="array" aca="1" ref="Q274" ca="1">MMS_Dairy_N2ODirect_Equations.VEERG_4_3_1_3__1_TotalAnnualDirectNitrousOxideEmissionsFromMMS(Q239,$E266,$G$257)</f>
        <v>#VALUE!</v>
      </c>
      <c r="R274" s="55" t="e" cm="1">
        <f t="array" aca="1" ref="R274" ca="1">MMS_Dairy_N2ODirect_Equations.VEERG_4_3_1_3__1_TotalAnnualDirectNitrousOxideEmissionsFromMMS(R239,$E266,$G$257)</f>
        <v>#VALUE!</v>
      </c>
      <c r="S274" s="55" t="e" cm="1">
        <f t="array" aca="1" ref="S274" ca="1">MMS_Dairy_N2ODirect_Equations.VEERG_4_3_1_3__1_TotalAnnualDirectNitrousOxideEmissionsFromMMS(S239,$E266,$G$257)</f>
        <v>#VALUE!</v>
      </c>
      <c r="T274" s="55" t="e" cm="1">
        <f t="array" aca="1" ref="T274" ca="1">MMS_Dairy_N2ODirect_Equations.VEERG_4_3_1_3__1_TotalAnnualDirectNitrousOxideEmissionsFromMMS(T239,$E266,$G$257)</f>
        <v>#VALUE!</v>
      </c>
    </row>
    <row r="275" spans="4:20" ht="20.100000000000001" customHeight="1" x14ac:dyDescent="0.25">
      <c r="D275" s="136" t="str">
        <f>'Input - Pasture Beef'!$D$145</f>
        <v>Feed pad</v>
      </c>
      <c r="E275" s="136" t="str">
        <f>'Input - Pasture Beef'!$D$191</f>
        <v>Anaerobic lagoon</v>
      </c>
      <c r="F275" s="55" t="e" cm="1">
        <f t="array" aca="1" ref="F275" ca="1">MMS_Dairy_N2ODirect_Equations.VEERG_4_3_1_3__1_TotalAnnualDirectNitrousOxideEmissionsFromMMS(F240,$E263,$G$257)</f>
        <v>#REF!</v>
      </c>
      <c r="G275" s="55" t="e" cm="1">
        <f t="array" aca="1" ref="G275" ca="1">MMS_Dairy_N2ODirect_Equations.VEERG_4_3_1_3__1_TotalAnnualDirectNitrousOxideEmissionsFromMMS(G240,$E263,$G$257)</f>
        <v>#REF!</v>
      </c>
      <c r="H275" s="55" t="e" cm="1">
        <f t="array" aca="1" ref="H275" ca="1">MMS_Dairy_N2ODirect_Equations.VEERG_4_3_1_3__1_TotalAnnualDirectNitrousOxideEmissionsFromMMS(H240,$E263,$G$257)</f>
        <v>#VALUE!</v>
      </c>
      <c r="I275" s="55" t="e" cm="1">
        <f t="array" aca="1" ref="I275" ca="1">MMS_Dairy_N2ODirect_Equations.VEERG_4_3_1_3__1_TotalAnnualDirectNitrousOxideEmissionsFromMMS(I240,$E263,$G$257)</f>
        <v>#VALUE!</v>
      </c>
      <c r="J275" s="55" t="e" cm="1">
        <f t="array" aca="1" ref="J275" ca="1">MMS_Dairy_N2ODirect_Equations.VEERG_4_3_1_3__1_TotalAnnualDirectNitrousOxideEmissionsFromMMS(J240,$E263,$G$257)</f>
        <v>#VALUE!</v>
      </c>
      <c r="N275" s="136" t="str">
        <f>'Input - Pasture Beef'!$D$145</f>
        <v>Feed pad</v>
      </c>
      <c r="O275" s="136" t="str">
        <f>'Input - Pasture Beef'!$D$191</f>
        <v>Anaerobic lagoon</v>
      </c>
      <c r="P275" s="55" t="e" cm="1">
        <f t="array" aca="1" ref="P275" ca="1">MMS_Dairy_N2ODirect_Equations.VEERG_4_3_1_3__1_TotalAnnualDirectNitrousOxideEmissionsFromMMS(P240,$E263,$G$257)</f>
        <v>#VALUE!</v>
      </c>
      <c r="Q275" s="55" t="e" cm="1">
        <f t="array" aca="1" ref="Q275" ca="1">MMS_Dairy_N2ODirect_Equations.VEERG_4_3_1_3__1_TotalAnnualDirectNitrousOxideEmissionsFromMMS(Q240,$E263,$G$257)</f>
        <v>#VALUE!</v>
      </c>
      <c r="R275" s="55" t="e" cm="1">
        <f t="array" aca="1" ref="R275" ca="1">MMS_Dairy_N2ODirect_Equations.VEERG_4_3_1_3__1_TotalAnnualDirectNitrousOxideEmissionsFromMMS(R240,$E263,$G$257)</f>
        <v>#VALUE!</v>
      </c>
      <c r="S275" s="55" t="e" cm="1">
        <f t="array" aca="1" ref="S275" ca="1">MMS_Dairy_N2ODirect_Equations.VEERG_4_3_1_3__1_TotalAnnualDirectNitrousOxideEmissionsFromMMS(S240,$E263,$G$257)</f>
        <v>#VALUE!</v>
      </c>
      <c r="T275" s="55" t="e" cm="1">
        <f t="array" aca="1" ref="T275" ca="1">MMS_Dairy_N2ODirect_Equations.VEERG_4_3_1_3__1_TotalAnnualDirectNitrousOxideEmissionsFromMMS(T240,$E263,$G$257)</f>
        <v>#VALUE!</v>
      </c>
    </row>
    <row r="276" spans="4:20" ht="20.100000000000001" customHeight="1" x14ac:dyDescent="0.25">
      <c r="D276" s="136" t="str">
        <f>'Input - Pasture Beef'!$D$145</f>
        <v>Feed pad</v>
      </c>
      <c r="E276" s="136" t="str">
        <f>'Input - Pasture Beef'!$D$196</f>
        <v>Sump and dispersal system</v>
      </c>
      <c r="F276" s="55" t="e" cm="1">
        <f t="array" aca="1" ref="F276" ca="1">MMS_Dairy_N2ODirect_Equations.VEERG_4_3_1_3__1_TotalAnnualDirectNitrousOxideEmissionsFromMMS(F241,$E264,$G$257)</f>
        <v>#REF!</v>
      </c>
      <c r="G276" s="55" t="e" cm="1">
        <f t="array" aca="1" ref="G276" ca="1">MMS_Dairy_N2ODirect_Equations.VEERG_4_3_1_3__1_TotalAnnualDirectNitrousOxideEmissionsFromMMS(G241,$E264,$G$257)</f>
        <v>#REF!</v>
      </c>
      <c r="H276" s="55" t="e" cm="1">
        <f t="array" aca="1" ref="H276" ca="1">MMS_Dairy_N2ODirect_Equations.VEERG_4_3_1_3__1_TotalAnnualDirectNitrousOxideEmissionsFromMMS(H241,$E264,$G$257)</f>
        <v>#VALUE!</v>
      </c>
      <c r="I276" s="55" t="e" cm="1">
        <f t="array" aca="1" ref="I276" ca="1">MMS_Dairy_N2ODirect_Equations.VEERG_4_3_1_3__1_TotalAnnualDirectNitrousOxideEmissionsFromMMS(I241,$E264,$G$257)</f>
        <v>#VALUE!</v>
      </c>
      <c r="J276" s="55" t="e" cm="1">
        <f t="array" aca="1" ref="J276" ca="1">MMS_Dairy_N2ODirect_Equations.VEERG_4_3_1_3__1_TotalAnnualDirectNitrousOxideEmissionsFromMMS(J241,$E264,$G$257)</f>
        <v>#VALUE!</v>
      </c>
      <c r="N276" s="136" t="str">
        <f>'Input - Pasture Beef'!$D$145</f>
        <v>Feed pad</v>
      </c>
      <c r="O276" s="136" t="str">
        <f>'Input - Pasture Beef'!$D$196</f>
        <v>Sump and dispersal system</v>
      </c>
      <c r="P276" s="55" t="e" cm="1">
        <f t="array" aca="1" ref="P276" ca="1">MMS_Dairy_N2ODirect_Equations.VEERG_4_3_1_3__1_TotalAnnualDirectNitrousOxideEmissionsFromMMS(P241,$E264,$G$257)</f>
        <v>#VALUE!</v>
      </c>
      <c r="Q276" s="55" t="e" cm="1">
        <f t="array" aca="1" ref="Q276" ca="1">MMS_Dairy_N2ODirect_Equations.VEERG_4_3_1_3__1_TotalAnnualDirectNitrousOxideEmissionsFromMMS(Q241,$E264,$G$257)</f>
        <v>#VALUE!</v>
      </c>
      <c r="R276" s="55" t="e" cm="1">
        <f t="array" aca="1" ref="R276" ca="1">MMS_Dairy_N2ODirect_Equations.VEERG_4_3_1_3__1_TotalAnnualDirectNitrousOxideEmissionsFromMMS(R241,$E264,$G$257)</f>
        <v>#VALUE!</v>
      </c>
      <c r="S276" s="55" t="e" cm="1">
        <f t="array" aca="1" ref="S276" ca="1">MMS_Dairy_N2ODirect_Equations.VEERG_4_3_1_3__1_TotalAnnualDirectNitrousOxideEmissionsFromMMS(S241,$E264,$G$257)</f>
        <v>#VALUE!</v>
      </c>
      <c r="T276" s="55" t="e" cm="1">
        <f t="array" aca="1" ref="T276" ca="1">MMS_Dairy_N2ODirect_Equations.VEERG_4_3_1_3__1_TotalAnnualDirectNitrousOxideEmissionsFromMMS(T241,$E264,$G$257)</f>
        <v>#VALUE!</v>
      </c>
    </row>
    <row r="277" spans="4:20" ht="20.100000000000001" customHeight="1" x14ac:dyDescent="0.25">
      <c r="D277" s="136" t="str">
        <f>'Input - Pasture Beef'!$D$145</f>
        <v>Feed pad</v>
      </c>
      <c r="E277" s="136" t="str">
        <f>'Input - Pasture Beef'!$D$201</f>
        <v>Drains to paddock</v>
      </c>
      <c r="F277" s="55" t="e" cm="1">
        <f t="array" aca="1" ref="F277" ca="1">MMS_Dairy_N2ODirect_Equations.VEERG_4_3_1_3__1_TotalAnnualDirectNitrousOxideEmissionsFromMMS(F242,$E265,$G$257)</f>
        <v>#REF!</v>
      </c>
      <c r="G277" s="55" t="e" cm="1">
        <f t="array" aca="1" ref="G277" ca="1">MMS_Dairy_N2ODirect_Equations.VEERG_4_3_1_3__1_TotalAnnualDirectNitrousOxideEmissionsFromMMS(G242,$E265,$G$257)</f>
        <v>#REF!</v>
      </c>
      <c r="H277" s="55" t="e" cm="1">
        <f t="array" aca="1" ref="H277" ca="1">MMS_Dairy_N2ODirect_Equations.VEERG_4_3_1_3__1_TotalAnnualDirectNitrousOxideEmissionsFromMMS(H242,$E265,$G$257)</f>
        <v>#VALUE!</v>
      </c>
      <c r="I277" s="55" t="e" cm="1">
        <f t="array" aca="1" ref="I277" ca="1">MMS_Dairy_N2ODirect_Equations.VEERG_4_3_1_3__1_TotalAnnualDirectNitrousOxideEmissionsFromMMS(I242,$E265,$G$257)</f>
        <v>#VALUE!</v>
      </c>
      <c r="J277" s="55" t="e" cm="1">
        <f t="array" aca="1" ref="J277" ca="1">MMS_Dairy_N2ODirect_Equations.VEERG_4_3_1_3__1_TotalAnnualDirectNitrousOxideEmissionsFromMMS(J242,$E265,$G$257)</f>
        <v>#VALUE!</v>
      </c>
      <c r="N277" s="136" t="str">
        <f>'Input - Pasture Beef'!$D$145</f>
        <v>Feed pad</v>
      </c>
      <c r="O277" s="136" t="str">
        <f>'Input - Pasture Beef'!$D$201</f>
        <v>Drains to paddock</v>
      </c>
      <c r="P277" s="55" t="e" cm="1">
        <f t="array" aca="1" ref="P277" ca="1">MMS_Dairy_N2ODirect_Equations.VEERG_4_3_1_3__1_TotalAnnualDirectNitrousOxideEmissionsFromMMS(P242,$E265,$G$257)</f>
        <v>#VALUE!</v>
      </c>
      <c r="Q277" s="55" t="e" cm="1">
        <f t="array" aca="1" ref="Q277" ca="1">MMS_Dairy_N2ODirect_Equations.VEERG_4_3_1_3__1_TotalAnnualDirectNitrousOxideEmissionsFromMMS(Q242,$E265,$G$257)</f>
        <v>#VALUE!</v>
      </c>
      <c r="R277" s="55" t="e" cm="1">
        <f t="array" aca="1" ref="R277" ca="1">MMS_Dairy_N2ODirect_Equations.VEERG_4_3_1_3__1_TotalAnnualDirectNitrousOxideEmissionsFromMMS(R242,$E265,$G$257)</f>
        <v>#VALUE!</v>
      </c>
      <c r="S277" s="55" t="e" cm="1">
        <f t="array" aca="1" ref="S277" ca="1">MMS_Dairy_N2ODirect_Equations.VEERG_4_3_1_3__1_TotalAnnualDirectNitrousOxideEmissionsFromMMS(S242,$E265,$G$257)</f>
        <v>#VALUE!</v>
      </c>
      <c r="T277" s="55" t="e" cm="1">
        <f t="array" aca="1" ref="T277" ca="1">MMS_Dairy_N2ODirect_Equations.VEERG_4_3_1_3__1_TotalAnnualDirectNitrousOxideEmissionsFromMMS(T242,$E265,$G$257)</f>
        <v>#VALUE!</v>
      </c>
    </row>
    <row r="278" spans="4:20" ht="20.100000000000001" customHeight="1" x14ac:dyDescent="0.25">
      <c r="D278" s="136" t="str">
        <f>'Input - Pasture Beef'!$D$145</f>
        <v>Feed pad</v>
      </c>
      <c r="E278" s="136" t="str">
        <f>'Input - Pasture Beef'!$D$206</f>
        <v>Solid storage</v>
      </c>
      <c r="F278" s="55" t="e" cm="1">
        <f t="array" aca="1" ref="F278" ca="1">MMS_Dairy_N2ODirect_Equations.VEERG_4_3_1_3__1_TotalAnnualDirectNitrousOxideEmissionsFromMMS(F243,$E266,$G$257)</f>
        <v>#REF!</v>
      </c>
      <c r="G278" s="55" t="e" cm="1">
        <f t="array" aca="1" ref="G278" ca="1">MMS_Dairy_N2ODirect_Equations.VEERG_4_3_1_3__1_TotalAnnualDirectNitrousOxideEmissionsFromMMS(G243,$E266,$G$257)</f>
        <v>#REF!</v>
      </c>
      <c r="H278" s="55" t="e" cm="1">
        <f t="array" aca="1" ref="H278" ca="1">MMS_Dairy_N2ODirect_Equations.VEERG_4_3_1_3__1_TotalAnnualDirectNitrousOxideEmissionsFromMMS(H243,$E266,$G$257)</f>
        <v>#VALUE!</v>
      </c>
      <c r="I278" s="55" t="e" cm="1">
        <f t="array" aca="1" ref="I278" ca="1">MMS_Dairy_N2ODirect_Equations.VEERG_4_3_1_3__1_TotalAnnualDirectNitrousOxideEmissionsFromMMS(I243,$E266,$G$257)</f>
        <v>#VALUE!</v>
      </c>
      <c r="J278" s="55" t="e" cm="1">
        <f t="array" aca="1" ref="J278" ca="1">MMS_Dairy_N2ODirect_Equations.VEERG_4_3_1_3__1_TotalAnnualDirectNitrousOxideEmissionsFromMMS(J243,$E266,$G$257)</f>
        <v>#VALUE!</v>
      </c>
      <c r="N278" s="136" t="str">
        <f>'Input - Pasture Beef'!$D$145</f>
        <v>Feed pad</v>
      </c>
      <c r="O278" s="136" t="str">
        <f>'Input - Pasture Beef'!$D$206</f>
        <v>Solid storage</v>
      </c>
      <c r="P278" s="55" t="e" cm="1">
        <f t="array" aca="1" ref="P278" ca="1">MMS_Dairy_N2ODirect_Equations.VEERG_4_3_1_3__1_TotalAnnualDirectNitrousOxideEmissionsFromMMS(P243,$E266,$G$257)</f>
        <v>#VALUE!</v>
      </c>
      <c r="Q278" s="55" t="e" cm="1">
        <f t="array" aca="1" ref="Q278" ca="1">MMS_Dairy_N2ODirect_Equations.VEERG_4_3_1_3__1_TotalAnnualDirectNitrousOxideEmissionsFromMMS(Q243,$E266,$G$257)</f>
        <v>#VALUE!</v>
      </c>
      <c r="R278" s="55" t="e" cm="1">
        <f t="array" aca="1" ref="R278" ca="1">MMS_Dairy_N2ODirect_Equations.VEERG_4_3_1_3__1_TotalAnnualDirectNitrousOxideEmissionsFromMMS(R243,$E266,$G$257)</f>
        <v>#VALUE!</v>
      </c>
      <c r="S278" s="55" t="e" cm="1">
        <f t="array" aca="1" ref="S278" ca="1">MMS_Dairy_N2ODirect_Equations.VEERG_4_3_1_3__1_TotalAnnualDirectNitrousOxideEmissionsFromMMS(S243,$E266,$G$257)</f>
        <v>#VALUE!</v>
      </c>
      <c r="T278" s="55" t="e" cm="1">
        <f t="array" aca="1" ref="T278" ca="1">MMS_Dairy_N2ODirect_Equations.VEERG_4_3_1_3__1_TotalAnnualDirectNitrousOxideEmissionsFromMMS(T243,$E266,$G$257)</f>
        <v>#VALUE!</v>
      </c>
    </row>
    <row r="279" spans="4:20" ht="20.100000000000001" customHeight="1" x14ac:dyDescent="0.25"/>
    <row r="280" spans="4:20" ht="20.100000000000001" customHeight="1" x14ac:dyDescent="0.25">
      <c r="D280" s="107" t="s">
        <v>118</v>
      </c>
      <c r="E280" s="108" t="e">
        <f ca="1">SUM(E275:G278)</f>
        <v>#REF!</v>
      </c>
      <c r="F280" s="109" t="str">
        <f>$E$253</f>
        <v>t N2O</v>
      </c>
      <c r="N280" s="107" t="s">
        <v>118</v>
      </c>
      <c r="O280" s="108" t="e">
        <f ca="1">SUM(O275:Q278)</f>
        <v>#VALUE!</v>
      </c>
      <c r="P280" s="109" t="str">
        <f>$E$253</f>
        <v>t N2O</v>
      </c>
    </row>
    <row r="281" spans="4:20" ht="20.100000000000001" customHeight="1" x14ac:dyDescent="0.25"/>
    <row r="282" spans="4:20" ht="20.100000000000001" customHeight="1" x14ac:dyDescent="0.25">
      <c r="D282" s="60" t="str" cm="1">
        <f t="array" ref="D282:E283">Common_Equations.Common_ConvertN2OToCO2e_Arguments()</f>
        <v>EN2O</v>
      </c>
      <c r="E282" s="61" t="str">
        <v>Nitrous oxide emissions (t N2O)</v>
      </c>
      <c r="F282" s="110"/>
      <c r="G282" s="55" t="e">
        <f ca="1">$E$280</f>
        <v>#REF!</v>
      </c>
      <c r="N282" s="60" t="str" cm="1">
        <f t="array" ref="N282:O283">Common_Equations.Common_ConvertN2OToCO2e_Arguments()</f>
        <v>EN2O</v>
      </c>
      <c r="O282" s="61" t="str">
        <v>Nitrous oxide emissions (t N2O)</v>
      </c>
      <c r="P282" s="110"/>
      <c r="Q282" s="55" t="e">
        <f ca="1">$E$280</f>
        <v>#REF!</v>
      </c>
    </row>
    <row r="283" spans="4:20" ht="20.100000000000001" customHeight="1" x14ac:dyDescent="0.25">
      <c r="D283" s="60" t="str">
        <v>GWPN2O</v>
      </c>
      <c r="E283" s="61" t="str">
        <v>Global warming potential for nitrous oxide (t CO2-e / t N2O)</v>
      </c>
      <c r="F283" s="110"/>
      <c r="G283" s="55">
        <f>Common_InputFunctions.Utility_LookupValueInTableNumber("N2O",Table_GWPData[Gas],Table_GWPData[CO2-e factor])</f>
        <v>265</v>
      </c>
      <c r="N283" s="60" t="str">
        <v>GWPN2O</v>
      </c>
      <c r="O283" s="61" t="str">
        <v>Global warming potential for nitrous oxide (t CO2-e / t N2O)</v>
      </c>
      <c r="P283" s="110"/>
      <c r="Q283" s="55">
        <f>Common_InputFunctions.Utility_LookupValueInTableNumber("N2O",Table_GWPData[Gas],Table_GWPData[CO2-e factor])</f>
        <v>265</v>
      </c>
    </row>
    <row r="284" spans="4:20" ht="20.100000000000001" customHeight="1" x14ac:dyDescent="0.25"/>
    <row r="285" spans="4:20" ht="20.100000000000001" customHeight="1" x14ac:dyDescent="0.25">
      <c r="D285" s="48" t="s">
        <v>105</v>
      </c>
      <c r="E285" s="48" t="e" cm="1">
        <f t="array" aca="1" ref="E285" ca="1">Common_Equations.Common_ConvertN2OToCO2e(G282,G283)</f>
        <v>#REF!</v>
      </c>
      <c r="F285" s="111" t="str" cm="1">
        <f t="array" ref="F285">Common_Equations.Common_ConvertN2OToCO2e_Unit()</f>
        <v>t CO2e</v>
      </c>
      <c r="N285" s="48" t="s">
        <v>105</v>
      </c>
      <c r="O285" s="48" t="e" cm="1">
        <f t="array" aca="1" ref="O285" ca="1">Common_Equations.Common_ConvertN2OToCO2e(Q282,Q283)</f>
        <v>#REF!</v>
      </c>
      <c r="P285" s="111" t="str" cm="1">
        <f t="array" ref="P285">Common_Equations.Common_ConvertN2OToCO2e_Unit()</f>
        <v>t CO2e</v>
      </c>
    </row>
    <row r="286" spans="4:20" ht="20.100000000000001" customHeight="1" x14ac:dyDescent="0.25"/>
    <row r="287" spans="4:20" ht="20.100000000000001" customHeight="1" x14ac:dyDescent="0.25"/>
    <row r="288" spans="4:20"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O106:T106 F78 N83:P83 D79:E79 E101:J101 E73:F73 F106:J106 E227 E224 O227 O224 E239 E236 O239 O236 E265 E262 E274 E271 O274 O271" xr:uid="{CE18DC45-74F3-46B3-972B-5F44E5579A05}"/>
  </dataValidations>
  <pageMargins left="0.7" right="0.7" top="0.75" bottom="0.75" header="0.3" footer="0.3"/>
  <pageSetup paperSize="9" orientation="portrait" r:id="rId1"/>
  <ignoredErrors>
    <ignoredError sqref="H236:H243"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259</v>
      </c>
    </row>
    <row r="2" spans="1:23" s="9" customFormat="1" ht="20.100000000000001" customHeight="1" x14ac:dyDescent="0.25"/>
    <row r="3" spans="1:23" ht="20.100000000000001" customHeight="1" x14ac:dyDescent="0.25">
      <c r="A3" s="17" t="str">
        <f>HYPERLINK("#'Home'!A1", "Home")</f>
        <v>Home</v>
      </c>
      <c r="C3" s="4"/>
      <c r="D3" s="4" t="s">
        <v>115</v>
      </c>
      <c r="E3" s="4"/>
      <c r="F3" s="4"/>
      <c r="G3" s="4"/>
      <c r="H3" s="4"/>
      <c r="I3" s="4"/>
      <c r="J3" s="4"/>
      <c r="K3" s="4"/>
      <c r="L3" s="4"/>
      <c r="N3" s="4"/>
      <c r="O3" s="4" t="s">
        <v>116</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MMS_Dairy_AtmosphericDeposition_Equations.VEERG_4_3_1_5__2_TotalNitrogenVolatilisedFromMMS_Title()</f>
        <v>Total nitrogen volatilised from MMS</v>
      </c>
      <c r="G5" s="113" t="s">
        <v>268</v>
      </c>
    </row>
    <row r="6" spans="1:23" ht="20.100000000000001" customHeight="1" x14ac:dyDescent="0.25">
      <c r="A6" s="20" t="s">
        <v>3</v>
      </c>
      <c r="D6" s="5" t="str" cm="1">
        <f t="array" ref="D6">MMS_Dairy_AtmosphericDeposition_Equations.VEERG_4_3_1_5__2_TotalNitrogenVolatilisedFromMMS_Source()</f>
        <v>VEERG 2026: 4.3.1.5, Equation (2)</v>
      </c>
    </row>
    <row r="7" spans="1:23" ht="20.100000000000001" customHeight="1" x14ac:dyDescent="0.25">
      <c r="A7" s="17" t="str">
        <f>HYPERLINK("#'Input - Site'!A1", "Site")</f>
        <v>Site</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77</v>
      </c>
      <c r="D10" s="56" t="s">
        <v>30</v>
      </c>
      <c r="E10" s="1" t="str" cm="1">
        <f t="array" ref="E10">MMS_Dairy_AtmosphericDeposition_Equations.VEERG_4_3_1_5__2_TotalNitrogenVolatilisedFromMMS_Variable()</f>
        <v>MN_ATMOS</v>
      </c>
    </row>
    <row r="11" spans="1:23" ht="20.100000000000001" customHeight="1" x14ac:dyDescent="0.25">
      <c r="A11" s="17" t="str">
        <f>HYPERLINK("#'4.3.1.1-2 Methane'!A1", "4.3.1.1-2 Methane")</f>
        <v>4.3.1.1-2 Methane</v>
      </c>
      <c r="D11" s="56" t="s">
        <v>20</v>
      </c>
      <c r="E11" s="57" t="str" cm="1">
        <f t="array" ref="E11">MMS_Dairy_AtmosphericDeposition_Equations.VEERG_4_3_1_5__2_TotalNitrogenVolatilisedFromMMS_Unit()</f>
        <v>kg N</v>
      </c>
    </row>
    <row r="12" spans="1:23" ht="20.100000000000001" customHeight="1" x14ac:dyDescent="0.25">
      <c r="A12" s="17" t="str">
        <f>HYPERLINK("#'4.3.1.3-4 Direct N20'!A1", "4.3.1.3-4 Direct N2O")</f>
        <v>4.3.1.3-4 Direct N2O</v>
      </c>
    </row>
    <row r="13" spans="1:23" ht="20.100000000000001" customHeight="1" x14ac:dyDescent="0.25">
      <c r="A13" s="22" t="str">
        <f>HYPERLINK("#'4.3.1.5 Atmos Deposition'!A1", "4.3.1.5 Atmospheric deposition")</f>
        <v>4.3.1.5 Atmospheric deposition</v>
      </c>
      <c r="D13" s="60" t="str" cm="1">
        <f t="array" ref="D13:E14">MMS_Dairy_AtmosphericDeposition_Equations.VEERG_4_3_1_5__2_TotalNitrogenVolatilisedFromMMS_Arguments()</f>
        <v>MN_jm</v>
      </c>
      <c r="E13" s="61" t="str">
        <v>total nitrogen in each MMS for dairy cattle classes (kg N)</v>
      </c>
      <c r="F13" s="62"/>
      <c r="G13" s="60" t="str">
        <f>"See " &amp; $D$16</f>
        <v>See M1_Table_MN_j_m</v>
      </c>
    </row>
    <row r="14" spans="1:23" ht="20.100000000000001" customHeight="1" x14ac:dyDescent="0.25">
      <c r="A14" s="17" t="str">
        <f>HYPERLINK("#'4.3.1.6-7 Leaching and runoff'!A1", "4.3.1.6-7 Leaching and runoff")</f>
        <v>4.3.1.6-7 Leaching and runoff</v>
      </c>
      <c r="D14" s="60" t="str">
        <v>FracGASM_m</v>
      </c>
      <c r="E14" s="61" t="str">
        <v>fraction of N volatilised from MMS (fraction)</v>
      </c>
      <c r="F14" s="62"/>
      <c r="G14" s="60" t="str">
        <f>"See " &amp; $D$28</f>
        <v>See Table_FracGASM_m</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251</v>
      </c>
      <c r="O16" s="104" t="s">
        <v>254</v>
      </c>
    </row>
    <row r="17" spans="1:22" ht="20.100000000000001" customHeight="1" x14ac:dyDescent="0.25">
      <c r="A17" s="17" t="str">
        <f>HYPERLINK("#'4.3.1.10-11 Soil Atmos Dep'!A1", "4.3.1.10-11 Soil atm. deposition")</f>
        <v>4.3.1.10-11 Soil atm. deposition</v>
      </c>
      <c r="D17" s="103" t="s">
        <v>252</v>
      </c>
      <c r="O17" s="103" t="s">
        <v>253</v>
      </c>
    </row>
    <row r="18" spans="1:22" ht="20.100000000000001" customHeight="1" x14ac:dyDescent="0.25">
      <c r="A18" s="17" t="str">
        <f>HYPERLINK("#'4.3.1.12-13 Soil leach runoff'!A1", "4.3.1.12-13 Soil leach &amp; runoff")</f>
        <v>4.3.1.12-13 Soil leach &amp; runoff</v>
      </c>
      <c r="D18" s="54" t="s">
        <v>144</v>
      </c>
      <c r="E18" s="54" t="s">
        <v>68</v>
      </c>
      <c r="F18" s="54" t="s">
        <v>173</v>
      </c>
      <c r="G18" s="54" t="s">
        <v>175</v>
      </c>
      <c r="H18" s="54" t="s">
        <v>176</v>
      </c>
      <c r="I18" s="54" t="s">
        <v>177</v>
      </c>
      <c r="J18" s="54" t="s">
        <v>178</v>
      </c>
      <c r="O18" s="54" t="s">
        <v>144</v>
      </c>
      <c r="P18" s="54" t="s">
        <v>68</v>
      </c>
      <c r="Q18" s="54" t="s">
        <v>173</v>
      </c>
      <c r="R18" s="54" t="s">
        <v>175</v>
      </c>
      <c r="S18" s="54" t="s">
        <v>176</v>
      </c>
      <c r="T18" s="54" t="s">
        <v>177</v>
      </c>
      <c r="U18" s="54" t="s">
        <v>178</v>
      </c>
    </row>
    <row r="19" spans="1:22" ht="20.100000000000001" customHeight="1" x14ac:dyDescent="0.25">
      <c r="A19" s="17"/>
      <c r="D19" s="136" t="str">
        <f>'Input - Pasture Beef'!$D$144</f>
        <v>Milking shed</v>
      </c>
      <c r="E19" s="136" t="str">
        <f>'Input - Pasture Beef'!$D$157</f>
        <v>Anaerobic lagoon</v>
      </c>
      <c r="F19" s="55" t="e">
        <f ca="1">'4.3.1.3-4 Direct N20'!$F$236</f>
        <v>#REF!</v>
      </c>
      <c r="G19" s="55" t="e">
        <f ca="1">'4.3.1.3-4 Direct N20'!$G$236</f>
        <v>#REF!</v>
      </c>
      <c r="H19" s="55" t="e">
        <f ca="1">'4.3.1.3-4 Direct N20'!$H$236</f>
        <v>#VALUE!</v>
      </c>
      <c r="I19" s="55" t="e">
        <f ca="1">'4.3.1.3-4 Direct N20'!$I$236</f>
        <v>#VALUE!</v>
      </c>
      <c r="J19" s="55" t="e">
        <f ca="1">'4.3.1.3-4 Direct N20'!$J$236</f>
        <v>#VALUE!</v>
      </c>
      <c r="K19" s="2" t="s">
        <v>120</v>
      </c>
      <c r="O19" s="136" t="str">
        <f>'Input - Pasture Beef'!$D$144</f>
        <v>Milking shed</v>
      </c>
      <c r="P19" s="136" t="str">
        <f>'Input - Pasture Beef'!$D$157</f>
        <v>Anaerobic lagoon</v>
      </c>
      <c r="Q19" s="55" t="e">
        <f ca="1">'4.3.1.3-4 Direct N20'!$P$236</f>
        <v>#VALUE!</v>
      </c>
      <c r="R19" s="55" t="e">
        <f ca="1">'4.3.1.3-4 Direct N20'!$Q$236</f>
        <v>#VALUE!</v>
      </c>
      <c r="S19" s="55" t="e">
        <f ca="1">'4.3.1.3-4 Direct N20'!$R$236</f>
        <v>#VALUE!</v>
      </c>
      <c r="T19" s="55" t="e">
        <f ca="1">'4.3.1.3-4 Direct N20'!$S$236</f>
        <v>#VALUE!</v>
      </c>
      <c r="U19" s="55" t="e">
        <f ca="1">'4.3.1.3-4 Direct N20'!$T$236</f>
        <v>#VALUE!</v>
      </c>
      <c r="V19" s="2" t="s">
        <v>120</v>
      </c>
    </row>
    <row r="20" spans="1:22" ht="20.100000000000001" customHeight="1" x14ac:dyDescent="0.25">
      <c r="A20" s="18" t="s">
        <v>4</v>
      </c>
      <c r="D20" s="136" t="str">
        <f>'Input - Pasture Beef'!$D$144</f>
        <v>Milking shed</v>
      </c>
      <c r="E20" s="136" t="str">
        <f>'Input - Pasture Beef'!$D$162</f>
        <v>Sump and dispersal system</v>
      </c>
      <c r="F20" s="55" t="e">
        <f ca="1">'4.3.1.3-4 Direct N20'!$F$237</f>
        <v>#REF!</v>
      </c>
      <c r="G20" s="55" t="e">
        <f ca="1">'4.3.1.3-4 Direct N20'!$G$237</f>
        <v>#REF!</v>
      </c>
      <c r="H20" s="55" t="e">
        <f ca="1">'4.3.1.3-4 Direct N20'!$H$237</f>
        <v>#VALUE!</v>
      </c>
      <c r="I20" s="55" t="e">
        <f ca="1">'4.3.1.3-4 Direct N20'!$I$237</f>
        <v>#VALUE!</v>
      </c>
      <c r="J20" s="55" t="e">
        <f ca="1">'4.3.1.3-4 Direct N20'!$J$237</f>
        <v>#VALUE!</v>
      </c>
      <c r="K20" s="2" t="s">
        <v>120</v>
      </c>
      <c r="O20" s="136" t="str">
        <f>'Input - Pasture Beef'!$D$144</f>
        <v>Milking shed</v>
      </c>
      <c r="P20" s="136" t="str">
        <f>'Input - Pasture Beef'!$D$162</f>
        <v>Sump and dispersal system</v>
      </c>
      <c r="Q20" s="55" t="e">
        <f ca="1">'4.3.1.3-4 Direct N20'!$P$237</f>
        <v>#VALUE!</v>
      </c>
      <c r="R20" s="55" t="e">
        <f ca="1">'4.3.1.3-4 Direct N20'!$Q$237</f>
        <v>#VALUE!</v>
      </c>
      <c r="S20" s="55" t="e">
        <f ca="1">'4.3.1.3-4 Direct N20'!$R$237</f>
        <v>#VALUE!</v>
      </c>
      <c r="T20" s="55" t="e">
        <f ca="1">'4.3.1.3-4 Direct N20'!$S$237</f>
        <v>#VALUE!</v>
      </c>
      <c r="U20" s="55" t="e">
        <f ca="1">'4.3.1.3-4 Direct N20'!$T$237</f>
        <v>#VALUE!</v>
      </c>
      <c r="V20" s="2" t="s">
        <v>120</v>
      </c>
    </row>
    <row r="21" spans="1:22" ht="20.100000000000001" customHeight="1" x14ac:dyDescent="0.25">
      <c r="A21" s="17" t="str">
        <f>HYPERLINK("#'Constants - Dairy'!A1", "Constants - Dairy")</f>
        <v>Constants - Dairy</v>
      </c>
      <c r="D21" s="136" t="str">
        <f>'Input - Pasture Beef'!$D$144</f>
        <v>Milking shed</v>
      </c>
      <c r="E21" s="136" t="str">
        <f>'Input - Pasture Beef'!$D$167</f>
        <v>Drains to paddock</v>
      </c>
      <c r="F21" s="55" t="e">
        <f ca="1">'4.3.1.3-4 Direct N20'!$F$238</f>
        <v>#REF!</v>
      </c>
      <c r="G21" s="55" t="e">
        <f ca="1">'4.3.1.3-4 Direct N20'!$G$238</f>
        <v>#REF!</v>
      </c>
      <c r="H21" s="55" t="e">
        <f ca="1">'4.3.1.3-4 Direct N20'!$H$238</f>
        <v>#VALUE!</v>
      </c>
      <c r="I21" s="55" t="e">
        <f ca="1">'4.3.1.3-4 Direct N20'!$I$238</f>
        <v>#VALUE!</v>
      </c>
      <c r="J21" s="55" t="e">
        <f ca="1">'4.3.1.3-4 Direct N20'!$J$238</f>
        <v>#VALUE!</v>
      </c>
      <c r="K21" s="2" t="s">
        <v>120</v>
      </c>
      <c r="O21" s="136" t="str">
        <f>'Input - Pasture Beef'!$D$144</f>
        <v>Milking shed</v>
      </c>
      <c r="P21" s="136" t="str">
        <f>'Input - Pasture Beef'!$D$167</f>
        <v>Drains to paddock</v>
      </c>
      <c r="Q21" s="55" t="e">
        <f ca="1">'4.3.1.3-4 Direct N20'!$P$238</f>
        <v>#VALUE!</v>
      </c>
      <c r="R21" s="55" t="e">
        <f ca="1">'4.3.1.3-4 Direct N20'!$Q$238</f>
        <v>#VALUE!</v>
      </c>
      <c r="S21" s="55" t="e">
        <f ca="1">'4.3.1.3-4 Direct N20'!$R$238</f>
        <v>#VALUE!</v>
      </c>
      <c r="T21" s="55" t="e">
        <f ca="1">'4.3.1.3-4 Direct N20'!$S$238</f>
        <v>#VALUE!</v>
      </c>
      <c r="U21" s="55" t="e">
        <f ca="1">'4.3.1.3-4 Direct N20'!$T$238</f>
        <v>#VALUE!</v>
      </c>
      <c r="V21" s="2" t="s">
        <v>120</v>
      </c>
    </row>
    <row r="22" spans="1:22" ht="20.100000000000001" customHeight="1" x14ac:dyDescent="0.25">
      <c r="A22" s="17" t="str">
        <f>HYPERLINK("#'Constants - Livestock'!A1", "Constants - Livestock")</f>
        <v>Constants - Livestock</v>
      </c>
      <c r="D22" s="136" t="str">
        <f>'Input - Pasture Beef'!$D$144</f>
        <v>Milking shed</v>
      </c>
      <c r="E22" s="136" t="str">
        <f>'Input - Pasture Beef'!$D$172</f>
        <v>Solid storage</v>
      </c>
      <c r="F22" s="55" t="e">
        <f ca="1">'4.3.1.3-4 Direct N20'!$F$239</f>
        <v>#REF!</v>
      </c>
      <c r="G22" s="55" t="e">
        <f ca="1">'4.3.1.3-4 Direct N20'!$G$239</f>
        <v>#REF!</v>
      </c>
      <c r="H22" s="55" t="e">
        <f ca="1">'4.3.1.3-4 Direct N20'!$H$239</f>
        <v>#VALUE!</v>
      </c>
      <c r="I22" s="55" t="e">
        <f ca="1">'4.3.1.3-4 Direct N20'!$I$239</f>
        <v>#VALUE!</v>
      </c>
      <c r="J22" s="55" t="e">
        <f ca="1">'4.3.1.3-4 Direct N20'!$J$239</f>
        <v>#VALUE!</v>
      </c>
      <c r="K22" s="2" t="s">
        <v>120</v>
      </c>
      <c r="O22" s="136" t="str">
        <f>'Input - Pasture Beef'!$D$144</f>
        <v>Milking shed</v>
      </c>
      <c r="P22" s="136" t="str">
        <f>'Input - Pasture Beef'!$D$172</f>
        <v>Solid storage</v>
      </c>
      <c r="Q22" s="55" t="e">
        <f ca="1">'4.3.1.3-4 Direct N20'!$P$239</f>
        <v>#VALUE!</v>
      </c>
      <c r="R22" s="55" t="e">
        <f ca="1">'4.3.1.3-4 Direct N20'!$Q$239</f>
        <v>#VALUE!</v>
      </c>
      <c r="S22" s="55" t="e">
        <f ca="1">'4.3.1.3-4 Direct N20'!$R$239</f>
        <v>#VALUE!</v>
      </c>
      <c r="T22" s="55" t="e">
        <f ca="1">'4.3.1.3-4 Direct N20'!$S$239</f>
        <v>#VALUE!</v>
      </c>
      <c r="U22" s="55" t="e">
        <f ca="1">'4.3.1.3-4 Direct N20'!$T$239</f>
        <v>#VALUE!</v>
      </c>
      <c r="V22" s="2" t="s">
        <v>120</v>
      </c>
    </row>
    <row r="23" spans="1:22" ht="20.100000000000001" customHeight="1" x14ac:dyDescent="0.25">
      <c r="A23" s="17" t="str">
        <f>HYPERLINK("#'Constants - Common'!A1", "Constants - Common")</f>
        <v>Constants - Common</v>
      </c>
      <c r="D23" s="136" t="str">
        <f>'Input - Pasture Beef'!$D$145</f>
        <v>Feed pad</v>
      </c>
      <c r="E23" s="136" t="str">
        <f>'Input - Pasture Beef'!$D$191</f>
        <v>Anaerobic lagoon</v>
      </c>
      <c r="F23" s="55" t="e">
        <f ca="1">'4.3.1.3-4 Direct N20'!$F$240</f>
        <v>#REF!</v>
      </c>
      <c r="G23" s="55" t="e">
        <f ca="1">'4.3.1.3-4 Direct N20'!$G$240</f>
        <v>#REF!</v>
      </c>
      <c r="H23" s="55" t="e">
        <f ca="1">'4.3.1.3-4 Direct N20'!$H$240</f>
        <v>#VALUE!</v>
      </c>
      <c r="I23" s="55" t="e">
        <f ca="1">'4.3.1.3-4 Direct N20'!$I$240</f>
        <v>#VALUE!</v>
      </c>
      <c r="J23" s="55" t="e">
        <f ca="1">'4.3.1.3-4 Direct N20'!$J$240</f>
        <v>#VALUE!</v>
      </c>
      <c r="K23" s="2" t="s">
        <v>120</v>
      </c>
      <c r="O23" s="136" t="str">
        <f>'Input - Pasture Beef'!$D$145</f>
        <v>Feed pad</v>
      </c>
      <c r="P23" s="136" t="str">
        <f>'Input - Pasture Beef'!$D$191</f>
        <v>Anaerobic lagoon</v>
      </c>
      <c r="Q23" s="55" t="e">
        <f ca="1">'4.3.1.3-4 Direct N20'!$P$240</f>
        <v>#VALUE!</v>
      </c>
      <c r="R23" s="55" t="e">
        <f ca="1">'4.3.1.3-4 Direct N20'!$Q$240</f>
        <v>#VALUE!</v>
      </c>
      <c r="S23" s="55" t="e">
        <f ca="1">'4.3.1.3-4 Direct N20'!$R$240</f>
        <v>#VALUE!</v>
      </c>
      <c r="T23" s="55" t="e">
        <f ca="1">'4.3.1.3-4 Direct N20'!$S$240</f>
        <v>#VALUE!</v>
      </c>
      <c r="U23" s="55" t="e">
        <f ca="1">'4.3.1.3-4 Direct N20'!$T$240</f>
        <v>#VALUE!</v>
      </c>
      <c r="V23" s="2" t="s">
        <v>120</v>
      </c>
    </row>
    <row r="24" spans="1:22" ht="20.100000000000001" customHeight="1" x14ac:dyDescent="0.25">
      <c r="A24" s="17" t="str">
        <f>HYPERLINK("#'Acknowledgements'!A1", "Acknowledgements")</f>
        <v>Acknowledgements</v>
      </c>
      <c r="D24" s="136" t="str">
        <f>'Input - Pasture Beef'!$D$145</f>
        <v>Feed pad</v>
      </c>
      <c r="E24" s="136" t="str">
        <f>'Input - Pasture Beef'!$D$196</f>
        <v>Sump and dispersal system</v>
      </c>
      <c r="F24" s="55" t="e">
        <f ca="1">'4.3.1.3-4 Direct N20'!$F$241</f>
        <v>#REF!</v>
      </c>
      <c r="G24" s="55" t="e">
        <f ca="1">'4.3.1.3-4 Direct N20'!$G$241</f>
        <v>#REF!</v>
      </c>
      <c r="H24" s="55" t="e">
        <f ca="1">'4.3.1.3-4 Direct N20'!$H$241</f>
        <v>#VALUE!</v>
      </c>
      <c r="I24" s="55" t="e">
        <f ca="1">'4.3.1.3-4 Direct N20'!$I$241</f>
        <v>#VALUE!</v>
      </c>
      <c r="J24" s="55" t="e">
        <f ca="1">'4.3.1.3-4 Direct N20'!$J$241</f>
        <v>#VALUE!</v>
      </c>
      <c r="K24" s="2" t="s">
        <v>120</v>
      </c>
      <c r="O24" s="136" t="str">
        <f>'Input - Pasture Beef'!$D$145</f>
        <v>Feed pad</v>
      </c>
      <c r="P24" s="136" t="str">
        <f>'Input - Pasture Beef'!$D$196</f>
        <v>Sump and dispersal system</v>
      </c>
      <c r="Q24" s="55" t="e">
        <f ca="1">'4.3.1.3-4 Direct N20'!$P$241</f>
        <v>#VALUE!</v>
      </c>
      <c r="R24" s="55" t="e">
        <f ca="1">'4.3.1.3-4 Direct N20'!$Q$241</f>
        <v>#VALUE!</v>
      </c>
      <c r="S24" s="55" t="e">
        <f ca="1">'4.3.1.3-4 Direct N20'!$R$241</f>
        <v>#VALUE!</v>
      </c>
      <c r="T24" s="55" t="e">
        <f ca="1">'4.3.1.3-4 Direct N20'!$S$241</f>
        <v>#VALUE!</v>
      </c>
      <c r="U24" s="55" t="e">
        <f ca="1">'4.3.1.3-4 Direct N20'!$T$241</f>
        <v>#VALUE!</v>
      </c>
      <c r="V24" s="2" t="s">
        <v>120</v>
      </c>
    </row>
    <row r="25" spans="1:22" ht="20.100000000000001" customHeight="1" x14ac:dyDescent="0.25">
      <c r="D25" s="136" t="str">
        <f>'Input - Pasture Beef'!$D$145</f>
        <v>Feed pad</v>
      </c>
      <c r="E25" s="136" t="str">
        <f>'Input - Pasture Beef'!$D$201</f>
        <v>Drains to paddock</v>
      </c>
      <c r="F25" s="55" t="e">
        <f ca="1">'4.3.1.3-4 Direct N20'!$F$242</f>
        <v>#REF!</v>
      </c>
      <c r="G25" s="55" t="e">
        <f ca="1">'4.3.1.3-4 Direct N20'!$G$242</f>
        <v>#REF!</v>
      </c>
      <c r="H25" s="55" t="e">
        <f ca="1">'4.3.1.3-4 Direct N20'!$H$242</f>
        <v>#VALUE!</v>
      </c>
      <c r="I25" s="55" t="e">
        <f ca="1">'4.3.1.3-4 Direct N20'!$I$242</f>
        <v>#VALUE!</v>
      </c>
      <c r="J25" s="55" t="e">
        <f ca="1">'4.3.1.3-4 Direct N20'!$J$242</f>
        <v>#VALUE!</v>
      </c>
      <c r="K25" s="2" t="s">
        <v>120</v>
      </c>
      <c r="O25" s="136" t="str">
        <f>'Input - Pasture Beef'!$D$145</f>
        <v>Feed pad</v>
      </c>
      <c r="P25" s="136" t="str">
        <f>'Input - Pasture Beef'!$D$201</f>
        <v>Drains to paddock</v>
      </c>
      <c r="Q25" s="55" t="e">
        <f ca="1">'4.3.1.3-4 Direct N20'!$P$242</f>
        <v>#VALUE!</v>
      </c>
      <c r="R25" s="55" t="e">
        <f ca="1">'4.3.1.3-4 Direct N20'!$Q$242</f>
        <v>#VALUE!</v>
      </c>
      <c r="S25" s="55" t="e">
        <f ca="1">'4.3.1.3-4 Direct N20'!$R$242</f>
        <v>#VALUE!</v>
      </c>
      <c r="T25" s="55" t="e">
        <f ca="1">'4.3.1.3-4 Direct N20'!$S$242</f>
        <v>#VALUE!</v>
      </c>
      <c r="U25" s="55" t="e">
        <f ca="1">'4.3.1.3-4 Direct N20'!$T$242</f>
        <v>#VALUE!</v>
      </c>
      <c r="V25" s="2" t="s">
        <v>120</v>
      </c>
    </row>
    <row r="26" spans="1:22" ht="20.100000000000001" customHeight="1" x14ac:dyDescent="0.25">
      <c r="D26" s="136" t="str">
        <f>'Input - Pasture Beef'!$D$145</f>
        <v>Feed pad</v>
      </c>
      <c r="E26" s="136" t="str">
        <f>'Input - Pasture Beef'!$D$206</f>
        <v>Solid storage</v>
      </c>
      <c r="F26" s="55" t="e">
        <f ca="1">'4.3.1.3-4 Direct N20'!$F$243</f>
        <v>#REF!</v>
      </c>
      <c r="G26" s="55" t="e">
        <f ca="1">'4.3.1.3-4 Direct N20'!$G$243</f>
        <v>#REF!</v>
      </c>
      <c r="H26" s="55" t="e">
        <f ca="1">'4.3.1.3-4 Direct N20'!$H$243</f>
        <v>#VALUE!</v>
      </c>
      <c r="I26" s="55" t="e">
        <f ca="1">'4.3.1.3-4 Direct N20'!$I$243</f>
        <v>#VALUE!</v>
      </c>
      <c r="J26" s="55" t="e">
        <f ca="1">'4.3.1.3-4 Direct N20'!$J$243</f>
        <v>#VALUE!</v>
      </c>
      <c r="K26" s="2" t="s">
        <v>120</v>
      </c>
      <c r="O26" s="136" t="str">
        <f>'Input - Pasture Beef'!$D$145</f>
        <v>Feed pad</v>
      </c>
      <c r="P26" s="136" t="str">
        <f>'Input - Pasture Beef'!$D$206</f>
        <v>Solid storage</v>
      </c>
      <c r="Q26" s="55" t="e">
        <f ca="1">'4.3.1.3-4 Direct N20'!$P$243</f>
        <v>#VALUE!</v>
      </c>
      <c r="R26" s="55" t="e">
        <f ca="1">'4.3.1.3-4 Direct N20'!$Q$243</f>
        <v>#VALUE!</v>
      </c>
      <c r="S26" s="55" t="e">
        <f ca="1">'4.3.1.3-4 Direct N20'!$R$243</f>
        <v>#VALUE!</v>
      </c>
      <c r="T26" s="55" t="e">
        <f ca="1">'4.3.1.3-4 Direct N20'!$S$243</f>
        <v>#VALUE!</v>
      </c>
      <c r="U26" s="55" t="e">
        <f ca="1">'4.3.1.3-4 Direct N20'!$T$243</f>
        <v>#VALUE!</v>
      </c>
      <c r="V26" s="2" t="s">
        <v>120</v>
      </c>
    </row>
    <row r="27" spans="1:22" ht="20.100000000000001" customHeight="1" x14ac:dyDescent="0.25"/>
    <row r="28" spans="1:22" ht="20.100000000000001" customHeight="1" x14ac:dyDescent="0.25">
      <c r="D28" s="104" t="s">
        <v>260</v>
      </c>
    </row>
    <row r="29" spans="1:22" ht="20.100000000000001" customHeight="1" x14ac:dyDescent="0.25">
      <c r="D29" s="103" t="s">
        <v>262</v>
      </c>
    </row>
    <row r="30" spans="1:22" ht="20.100000000000001" customHeight="1" x14ac:dyDescent="0.25">
      <c r="D30" s="54" t="s">
        <v>68</v>
      </c>
      <c r="E30" s="54" t="s">
        <v>261</v>
      </c>
    </row>
    <row r="31" spans="1:22" ht="20.100000000000001" customHeight="1" x14ac:dyDescent="0.25">
      <c r="D31" s="136" t="e" cm="1">
        <f t="array" ref="D31">#REF!</f>
        <v>#REF!</v>
      </c>
      <c r="E31" s="136" t="e" cm="1">
        <f t="array" ref="E31">#REF!</f>
        <v>#REF!</v>
      </c>
      <c r="F31" s="2" t="str">
        <f>'Constants - Pature Beef'!$D$103</f>
        <v>VIC</v>
      </c>
    </row>
    <row r="32" spans="1:22" ht="20.100000000000001" customHeight="1" x14ac:dyDescent="0.25">
      <c r="D32" s="136"/>
      <c r="E32" s="136"/>
      <c r="F32" s="2" t="str">
        <f>'Constants - Pature Beef'!$D$103</f>
        <v>VIC</v>
      </c>
    </row>
    <row r="33" spans="4:22" ht="20.100000000000001" customHeight="1" x14ac:dyDescent="0.25">
      <c r="D33" s="136"/>
      <c r="E33" s="136"/>
      <c r="F33" s="2" t="str">
        <f>'Constants - Pature Beef'!$D$103</f>
        <v>VIC</v>
      </c>
    </row>
    <row r="34" spans="4:22" ht="20.100000000000001" customHeight="1" x14ac:dyDescent="0.25">
      <c r="D34" s="136"/>
      <c r="E34" s="136"/>
      <c r="F34" s="2" t="str">
        <f>'Constants - Pature Beef'!$D$103</f>
        <v>VIC</v>
      </c>
    </row>
    <row r="35" spans="4:22" ht="20.100000000000001" customHeight="1" x14ac:dyDescent="0.25">
      <c r="D35" s="136"/>
      <c r="E35" s="136"/>
      <c r="F35" s="2" t="str">
        <f>'Constants - Pature Beef'!$D$103</f>
        <v>VIC</v>
      </c>
    </row>
    <row r="36" spans="4:22" ht="20.100000000000001" customHeight="1" x14ac:dyDescent="0.25"/>
    <row r="37" spans="4:22" ht="20.100000000000001" customHeight="1" x14ac:dyDescent="0.25">
      <c r="D37" s="104" t="s">
        <v>263</v>
      </c>
      <c r="O37" s="104" t="s">
        <v>265</v>
      </c>
    </row>
    <row r="38" spans="4:22" ht="20.100000000000001" customHeight="1" x14ac:dyDescent="0.25">
      <c r="D38" s="103" t="s">
        <v>264</v>
      </c>
      <c r="O38" s="103" t="s">
        <v>266</v>
      </c>
    </row>
    <row r="39" spans="4:22" ht="20.100000000000001" customHeight="1" x14ac:dyDescent="0.25">
      <c r="D39" s="54" t="s">
        <v>144</v>
      </c>
      <c r="E39" s="54" t="s">
        <v>68</v>
      </c>
      <c r="F39" s="54" t="s">
        <v>173</v>
      </c>
      <c r="G39" s="54" t="s">
        <v>175</v>
      </c>
      <c r="H39" s="54" t="s">
        <v>176</v>
      </c>
      <c r="I39" s="54" t="s">
        <v>177</v>
      </c>
      <c r="J39" s="54" t="s">
        <v>178</v>
      </c>
      <c r="O39" s="54" t="s">
        <v>144</v>
      </c>
      <c r="P39" s="54" t="s">
        <v>68</v>
      </c>
      <c r="Q39" s="54" t="s">
        <v>173</v>
      </c>
      <c r="R39" s="54" t="s">
        <v>175</v>
      </c>
      <c r="S39" s="54" t="s">
        <v>176</v>
      </c>
      <c r="T39" s="54" t="s">
        <v>177</v>
      </c>
      <c r="U39" s="54" t="s">
        <v>178</v>
      </c>
    </row>
    <row r="40" spans="4:22" ht="20.100000000000001" customHeight="1" x14ac:dyDescent="0.25">
      <c r="D40" s="136" t="str">
        <f>'Input - Pasture Beef'!$D$144</f>
        <v>Milking shed</v>
      </c>
      <c r="E40" s="136" t="str">
        <f>'Input - Pasture Beef'!$D$157</f>
        <v>Anaerobic lagoon</v>
      </c>
      <c r="F40" s="55" t="e" cm="1">
        <f t="array" aca="1" ref="F40" ca="1">MMS_Dairy_AtmosphericDeposition_Equations.VEERG_4_3_1_5__2_TotalNitrogenVolatilisedFromMMS(F19,$E32)</f>
        <v>#REF!</v>
      </c>
      <c r="G40" s="55" t="e" cm="1">
        <f t="array" aca="1" ref="G40" ca="1">MMS_Dairy_AtmosphericDeposition_Equations.VEERG_4_3_1_5__2_TotalNitrogenVolatilisedFromMMS(G19,$E32)</f>
        <v>#REF!</v>
      </c>
      <c r="H40" s="55" t="e" cm="1">
        <f t="array" aca="1" ref="H40" ca="1">MMS_Dairy_AtmosphericDeposition_Equations.VEERG_4_3_1_5__2_TotalNitrogenVolatilisedFromMMS(H19,$E32)</f>
        <v>#VALUE!</v>
      </c>
      <c r="I40" s="55" t="e" cm="1">
        <f t="array" aca="1" ref="I40" ca="1">MMS_Dairy_AtmosphericDeposition_Equations.VEERG_4_3_1_5__2_TotalNitrogenVolatilisedFromMMS(I19,$E32)</f>
        <v>#VALUE!</v>
      </c>
      <c r="J40" s="55" t="e" cm="1">
        <f t="array" aca="1" ref="J40" ca="1">MMS_Dairy_AtmosphericDeposition_Equations.VEERG_4_3_1_5__2_TotalNitrogenVolatilisedFromMMS(J19,$E32)</f>
        <v>#VALUE!</v>
      </c>
      <c r="K40" s="2" t="s">
        <v>120</v>
      </c>
      <c r="O40" s="136" t="str">
        <f>'Input - Pasture Beef'!$D$144</f>
        <v>Milking shed</v>
      </c>
      <c r="P40" s="136" t="str">
        <f>'Input - Pasture Beef'!$D$157</f>
        <v>Anaerobic lagoon</v>
      </c>
      <c r="Q40" s="55" t="e" cm="1">
        <f t="array" aca="1" ref="Q40" ca="1">MMS_Dairy_AtmosphericDeposition_Equations.VEERG_4_3_1_5__2_TotalNitrogenVolatilisedFromMMS(Q19,$E32)</f>
        <v>#VALUE!</v>
      </c>
      <c r="R40" s="55" t="e" cm="1">
        <f t="array" aca="1" ref="R40" ca="1">MMS_Dairy_AtmosphericDeposition_Equations.VEERG_4_3_1_5__2_TotalNitrogenVolatilisedFromMMS(R19,$E32)</f>
        <v>#VALUE!</v>
      </c>
      <c r="S40" s="55" t="e" cm="1">
        <f t="array" aca="1" ref="S40" ca="1">MMS_Dairy_AtmosphericDeposition_Equations.VEERG_4_3_1_5__2_TotalNitrogenVolatilisedFromMMS(S19,$E32)</f>
        <v>#VALUE!</v>
      </c>
      <c r="T40" s="55" t="e" cm="1">
        <f t="array" aca="1" ref="T40" ca="1">MMS_Dairy_AtmosphericDeposition_Equations.VEERG_4_3_1_5__2_TotalNitrogenVolatilisedFromMMS(T19,$E32)</f>
        <v>#VALUE!</v>
      </c>
      <c r="U40" s="55" t="e" cm="1">
        <f t="array" aca="1" ref="U40" ca="1">MMS_Dairy_AtmosphericDeposition_Equations.VEERG_4_3_1_5__2_TotalNitrogenVolatilisedFromMMS(U19,$E32)</f>
        <v>#VALUE!</v>
      </c>
      <c r="V40" s="2" t="s">
        <v>120</v>
      </c>
    </row>
    <row r="41" spans="4:22" ht="20.100000000000001" customHeight="1" x14ac:dyDescent="0.25">
      <c r="D41" s="136" t="str">
        <f>'Input - Pasture Beef'!$D$144</f>
        <v>Milking shed</v>
      </c>
      <c r="E41" s="136" t="str">
        <f>'Input - Pasture Beef'!$D$162</f>
        <v>Sump and dispersal system</v>
      </c>
      <c r="F41" s="55" t="e" cm="1">
        <f t="array" aca="1" ref="F41" ca="1">MMS_Dairy_AtmosphericDeposition_Equations.VEERG_4_3_1_5__2_TotalNitrogenVolatilisedFromMMS(F20,$E33)</f>
        <v>#REF!</v>
      </c>
      <c r="G41" s="55" t="e" cm="1">
        <f t="array" aca="1" ref="G41" ca="1">MMS_Dairy_AtmosphericDeposition_Equations.VEERG_4_3_1_5__2_TotalNitrogenVolatilisedFromMMS(G20,$E33)</f>
        <v>#REF!</v>
      </c>
      <c r="H41" s="55" t="e" cm="1">
        <f t="array" aca="1" ref="H41" ca="1">MMS_Dairy_AtmosphericDeposition_Equations.VEERG_4_3_1_5__2_TotalNitrogenVolatilisedFromMMS(H20,$E33)</f>
        <v>#VALUE!</v>
      </c>
      <c r="I41" s="55" t="e" cm="1">
        <f t="array" aca="1" ref="I41" ca="1">MMS_Dairy_AtmosphericDeposition_Equations.VEERG_4_3_1_5__2_TotalNitrogenVolatilisedFromMMS(I20,$E33)</f>
        <v>#VALUE!</v>
      </c>
      <c r="J41" s="55" t="e" cm="1">
        <f t="array" aca="1" ref="J41" ca="1">MMS_Dairy_AtmosphericDeposition_Equations.VEERG_4_3_1_5__2_TotalNitrogenVolatilisedFromMMS(J20,$E33)</f>
        <v>#VALUE!</v>
      </c>
      <c r="K41" s="2" t="s">
        <v>120</v>
      </c>
      <c r="O41" s="136" t="str">
        <f>'Input - Pasture Beef'!$D$144</f>
        <v>Milking shed</v>
      </c>
      <c r="P41" s="136" t="str">
        <f>'Input - Pasture Beef'!$D$162</f>
        <v>Sump and dispersal system</v>
      </c>
      <c r="Q41" s="55" t="e" cm="1">
        <f t="array" aca="1" ref="Q41" ca="1">MMS_Dairy_AtmosphericDeposition_Equations.VEERG_4_3_1_5__2_TotalNitrogenVolatilisedFromMMS(Q20,$E33)</f>
        <v>#VALUE!</v>
      </c>
      <c r="R41" s="55" t="e" cm="1">
        <f t="array" aca="1" ref="R41" ca="1">MMS_Dairy_AtmosphericDeposition_Equations.VEERG_4_3_1_5__2_TotalNitrogenVolatilisedFromMMS(R20,$E33)</f>
        <v>#VALUE!</v>
      </c>
      <c r="S41" s="55" t="e" cm="1">
        <f t="array" aca="1" ref="S41" ca="1">MMS_Dairy_AtmosphericDeposition_Equations.VEERG_4_3_1_5__2_TotalNitrogenVolatilisedFromMMS(S20,$E33)</f>
        <v>#VALUE!</v>
      </c>
      <c r="T41" s="55" t="e" cm="1">
        <f t="array" aca="1" ref="T41" ca="1">MMS_Dairy_AtmosphericDeposition_Equations.VEERG_4_3_1_5__2_TotalNitrogenVolatilisedFromMMS(T20,$E33)</f>
        <v>#VALUE!</v>
      </c>
      <c r="U41" s="55" t="e" cm="1">
        <f t="array" aca="1" ref="U41" ca="1">MMS_Dairy_AtmosphericDeposition_Equations.VEERG_4_3_1_5__2_TotalNitrogenVolatilisedFromMMS(U20,$E33)</f>
        <v>#VALUE!</v>
      </c>
      <c r="V41" s="2" t="s">
        <v>120</v>
      </c>
    </row>
    <row r="42" spans="4:22" ht="20.100000000000001" customHeight="1" x14ac:dyDescent="0.25">
      <c r="D42" s="136" t="str">
        <f>'Input - Pasture Beef'!$D$144</f>
        <v>Milking shed</v>
      </c>
      <c r="E42" s="136" t="str">
        <f>'Input - Pasture Beef'!$D$167</f>
        <v>Drains to paddock</v>
      </c>
      <c r="F42" s="55" t="e" cm="1">
        <f t="array" aca="1" ref="F42" ca="1">MMS_Dairy_AtmosphericDeposition_Equations.VEERG_4_3_1_5__2_TotalNitrogenVolatilisedFromMMS(F21,$E34)</f>
        <v>#REF!</v>
      </c>
      <c r="G42" s="55" t="e" cm="1">
        <f t="array" aca="1" ref="G42" ca="1">MMS_Dairy_AtmosphericDeposition_Equations.VEERG_4_3_1_5__2_TotalNitrogenVolatilisedFromMMS(G21,$E34)</f>
        <v>#REF!</v>
      </c>
      <c r="H42" s="55" t="e" cm="1">
        <f t="array" aca="1" ref="H42" ca="1">MMS_Dairy_AtmosphericDeposition_Equations.VEERG_4_3_1_5__2_TotalNitrogenVolatilisedFromMMS(H21,$E34)</f>
        <v>#VALUE!</v>
      </c>
      <c r="I42" s="55" t="e" cm="1">
        <f t="array" aca="1" ref="I42" ca="1">MMS_Dairy_AtmosphericDeposition_Equations.VEERG_4_3_1_5__2_TotalNitrogenVolatilisedFromMMS(I21,$E34)</f>
        <v>#VALUE!</v>
      </c>
      <c r="J42" s="55" t="e" cm="1">
        <f t="array" aca="1" ref="J42" ca="1">MMS_Dairy_AtmosphericDeposition_Equations.VEERG_4_3_1_5__2_TotalNitrogenVolatilisedFromMMS(J21,$E34)</f>
        <v>#VALUE!</v>
      </c>
      <c r="K42" s="2" t="s">
        <v>120</v>
      </c>
      <c r="O42" s="136" t="str">
        <f>'Input - Pasture Beef'!$D$144</f>
        <v>Milking shed</v>
      </c>
      <c r="P42" s="136" t="str">
        <f>'Input - Pasture Beef'!$D$167</f>
        <v>Drains to paddock</v>
      </c>
      <c r="Q42" s="55" t="e" cm="1">
        <f t="array" aca="1" ref="Q42" ca="1">MMS_Dairy_AtmosphericDeposition_Equations.VEERG_4_3_1_5__2_TotalNitrogenVolatilisedFromMMS(Q21,$E34)</f>
        <v>#VALUE!</v>
      </c>
      <c r="R42" s="55" t="e" cm="1">
        <f t="array" aca="1" ref="R42" ca="1">MMS_Dairy_AtmosphericDeposition_Equations.VEERG_4_3_1_5__2_TotalNitrogenVolatilisedFromMMS(R21,$E34)</f>
        <v>#VALUE!</v>
      </c>
      <c r="S42" s="55" t="e" cm="1">
        <f t="array" aca="1" ref="S42" ca="1">MMS_Dairy_AtmosphericDeposition_Equations.VEERG_4_3_1_5__2_TotalNitrogenVolatilisedFromMMS(S21,$E34)</f>
        <v>#VALUE!</v>
      </c>
      <c r="T42" s="55" t="e" cm="1">
        <f t="array" aca="1" ref="T42" ca="1">MMS_Dairy_AtmosphericDeposition_Equations.VEERG_4_3_1_5__2_TotalNitrogenVolatilisedFromMMS(T21,$E34)</f>
        <v>#VALUE!</v>
      </c>
      <c r="U42" s="55" t="e" cm="1">
        <f t="array" aca="1" ref="U42" ca="1">MMS_Dairy_AtmosphericDeposition_Equations.VEERG_4_3_1_5__2_TotalNitrogenVolatilisedFromMMS(U21,$E34)</f>
        <v>#VALUE!</v>
      </c>
      <c r="V42" s="2" t="s">
        <v>120</v>
      </c>
    </row>
    <row r="43" spans="4:22" ht="20.100000000000001" customHeight="1" x14ac:dyDescent="0.25">
      <c r="D43" s="136" t="str">
        <f>'Input - Pasture Beef'!$D$144</f>
        <v>Milking shed</v>
      </c>
      <c r="E43" s="136" t="str">
        <f>'Input - Pasture Beef'!$D$172</f>
        <v>Solid storage</v>
      </c>
      <c r="F43" s="55" t="e" cm="1">
        <f t="array" aca="1" ref="F43" ca="1">MMS_Dairy_AtmosphericDeposition_Equations.VEERG_4_3_1_5__2_TotalNitrogenVolatilisedFromMMS(F22,$E35)</f>
        <v>#REF!</v>
      </c>
      <c r="G43" s="55" t="e" cm="1">
        <f t="array" aca="1" ref="G43" ca="1">MMS_Dairy_AtmosphericDeposition_Equations.VEERG_4_3_1_5__2_TotalNitrogenVolatilisedFromMMS(G22,$E35)</f>
        <v>#REF!</v>
      </c>
      <c r="H43" s="55" t="e" cm="1">
        <f t="array" aca="1" ref="H43" ca="1">MMS_Dairy_AtmosphericDeposition_Equations.VEERG_4_3_1_5__2_TotalNitrogenVolatilisedFromMMS(H22,$E35)</f>
        <v>#VALUE!</v>
      </c>
      <c r="I43" s="55" t="e" cm="1">
        <f t="array" aca="1" ref="I43" ca="1">MMS_Dairy_AtmosphericDeposition_Equations.VEERG_4_3_1_5__2_TotalNitrogenVolatilisedFromMMS(I22,$E35)</f>
        <v>#VALUE!</v>
      </c>
      <c r="J43" s="55" t="e" cm="1">
        <f t="array" aca="1" ref="J43" ca="1">MMS_Dairy_AtmosphericDeposition_Equations.VEERG_4_3_1_5__2_TotalNitrogenVolatilisedFromMMS(J22,$E35)</f>
        <v>#VALUE!</v>
      </c>
      <c r="K43" s="2" t="s">
        <v>120</v>
      </c>
      <c r="O43" s="136" t="str">
        <f>'Input - Pasture Beef'!$D$144</f>
        <v>Milking shed</v>
      </c>
      <c r="P43" s="136" t="str">
        <f>'Input - Pasture Beef'!$D$172</f>
        <v>Solid storage</v>
      </c>
      <c r="Q43" s="55" t="e" cm="1">
        <f t="array" aca="1" ref="Q43" ca="1">MMS_Dairy_AtmosphericDeposition_Equations.VEERG_4_3_1_5__2_TotalNitrogenVolatilisedFromMMS(Q22,$E35)</f>
        <v>#VALUE!</v>
      </c>
      <c r="R43" s="55" t="e" cm="1">
        <f t="array" aca="1" ref="R43" ca="1">MMS_Dairy_AtmosphericDeposition_Equations.VEERG_4_3_1_5__2_TotalNitrogenVolatilisedFromMMS(R22,$E35)</f>
        <v>#VALUE!</v>
      </c>
      <c r="S43" s="55" t="e" cm="1">
        <f t="array" aca="1" ref="S43" ca="1">MMS_Dairy_AtmosphericDeposition_Equations.VEERG_4_3_1_5__2_TotalNitrogenVolatilisedFromMMS(S22,$E35)</f>
        <v>#VALUE!</v>
      </c>
      <c r="T43" s="55" t="e" cm="1">
        <f t="array" aca="1" ref="T43" ca="1">MMS_Dairy_AtmosphericDeposition_Equations.VEERG_4_3_1_5__2_TotalNitrogenVolatilisedFromMMS(T22,$E35)</f>
        <v>#VALUE!</v>
      </c>
      <c r="U43" s="55" t="e" cm="1">
        <f t="array" aca="1" ref="U43" ca="1">MMS_Dairy_AtmosphericDeposition_Equations.VEERG_4_3_1_5__2_TotalNitrogenVolatilisedFromMMS(U22,$E35)</f>
        <v>#VALUE!</v>
      </c>
      <c r="V43" s="2" t="s">
        <v>120</v>
      </c>
    </row>
    <row r="44" spans="4:22" ht="20.100000000000001" customHeight="1" x14ac:dyDescent="0.25">
      <c r="D44" s="136" t="str">
        <f>'Input - Pasture Beef'!$D$145</f>
        <v>Feed pad</v>
      </c>
      <c r="E44" s="136" t="str">
        <f>'Input - Pasture Beef'!$D$191</f>
        <v>Anaerobic lagoon</v>
      </c>
      <c r="F44" s="55" t="e" cm="1">
        <f t="array" aca="1" ref="F44" ca="1">MMS_Dairy_AtmosphericDeposition_Equations.VEERG_4_3_1_5__2_TotalNitrogenVolatilisedFromMMS(F23, $E32)</f>
        <v>#REF!</v>
      </c>
      <c r="G44" s="55" t="e" cm="1">
        <f t="array" aca="1" ref="G44" ca="1">MMS_Dairy_AtmosphericDeposition_Equations.VEERG_4_3_1_5__2_TotalNitrogenVolatilisedFromMMS(G23, $E32)</f>
        <v>#REF!</v>
      </c>
      <c r="H44" s="55" t="e" cm="1">
        <f t="array" aca="1" ref="H44" ca="1">MMS_Dairy_AtmosphericDeposition_Equations.VEERG_4_3_1_5__2_TotalNitrogenVolatilisedFromMMS(H23, $E32)</f>
        <v>#VALUE!</v>
      </c>
      <c r="I44" s="55" t="e" cm="1">
        <f t="array" aca="1" ref="I44" ca="1">MMS_Dairy_AtmosphericDeposition_Equations.VEERG_4_3_1_5__2_TotalNitrogenVolatilisedFromMMS(I23, $E32)</f>
        <v>#VALUE!</v>
      </c>
      <c r="J44" s="55" t="e" cm="1">
        <f t="array" aca="1" ref="J44" ca="1">MMS_Dairy_AtmosphericDeposition_Equations.VEERG_4_3_1_5__2_TotalNitrogenVolatilisedFromMMS(J23, $E32)</f>
        <v>#VALUE!</v>
      </c>
      <c r="K44" s="2" t="s">
        <v>120</v>
      </c>
      <c r="O44" s="136" t="str">
        <f>'Input - Pasture Beef'!$D$145</f>
        <v>Feed pad</v>
      </c>
      <c r="P44" s="136" t="str">
        <f>'Input - Pasture Beef'!$D$191</f>
        <v>Anaerobic lagoon</v>
      </c>
      <c r="Q44" s="55" t="e" cm="1">
        <f t="array" aca="1" ref="Q44" ca="1">MMS_Dairy_AtmosphericDeposition_Equations.VEERG_4_3_1_5__2_TotalNitrogenVolatilisedFromMMS(Q23, $E32)</f>
        <v>#VALUE!</v>
      </c>
      <c r="R44" s="55" t="e" cm="1">
        <f t="array" aca="1" ref="R44" ca="1">MMS_Dairy_AtmosphericDeposition_Equations.VEERG_4_3_1_5__2_TotalNitrogenVolatilisedFromMMS(R23, $E32)</f>
        <v>#VALUE!</v>
      </c>
      <c r="S44" s="55" t="e" cm="1">
        <f t="array" aca="1" ref="S44" ca="1">MMS_Dairy_AtmosphericDeposition_Equations.VEERG_4_3_1_5__2_TotalNitrogenVolatilisedFromMMS(S23, $E32)</f>
        <v>#VALUE!</v>
      </c>
      <c r="T44" s="55" t="e" cm="1">
        <f t="array" aca="1" ref="T44" ca="1">MMS_Dairy_AtmosphericDeposition_Equations.VEERG_4_3_1_5__2_TotalNitrogenVolatilisedFromMMS(T23, $E32)</f>
        <v>#VALUE!</v>
      </c>
      <c r="U44" s="55" t="e" cm="1">
        <f t="array" aca="1" ref="U44" ca="1">MMS_Dairy_AtmosphericDeposition_Equations.VEERG_4_3_1_5__2_TotalNitrogenVolatilisedFromMMS(U23, $E32)</f>
        <v>#VALUE!</v>
      </c>
      <c r="V44" s="2" t="s">
        <v>120</v>
      </c>
    </row>
    <row r="45" spans="4:22" ht="20.100000000000001" customHeight="1" x14ac:dyDescent="0.25">
      <c r="D45" s="136" t="str">
        <f>'Input - Pasture Beef'!$D$145</f>
        <v>Feed pad</v>
      </c>
      <c r="E45" s="136" t="str">
        <f>'Input - Pasture Beef'!$D$196</f>
        <v>Sump and dispersal system</v>
      </c>
      <c r="F45" s="55" t="e" cm="1">
        <f t="array" aca="1" ref="F45" ca="1">MMS_Dairy_AtmosphericDeposition_Equations.VEERG_4_3_1_5__2_TotalNitrogenVolatilisedFromMMS(F24, $E33)</f>
        <v>#REF!</v>
      </c>
      <c r="G45" s="55" t="e" cm="1">
        <f t="array" aca="1" ref="G45" ca="1">MMS_Dairy_AtmosphericDeposition_Equations.VEERG_4_3_1_5__2_TotalNitrogenVolatilisedFromMMS(G24, $E33)</f>
        <v>#REF!</v>
      </c>
      <c r="H45" s="55" t="e" cm="1">
        <f t="array" aca="1" ref="H45" ca="1">MMS_Dairy_AtmosphericDeposition_Equations.VEERG_4_3_1_5__2_TotalNitrogenVolatilisedFromMMS(H24, $E33)</f>
        <v>#VALUE!</v>
      </c>
      <c r="I45" s="55" t="e" cm="1">
        <f t="array" aca="1" ref="I45" ca="1">MMS_Dairy_AtmosphericDeposition_Equations.VEERG_4_3_1_5__2_TotalNitrogenVolatilisedFromMMS(I24, $E33)</f>
        <v>#VALUE!</v>
      </c>
      <c r="J45" s="55" t="e" cm="1">
        <f t="array" aca="1" ref="J45" ca="1">MMS_Dairy_AtmosphericDeposition_Equations.VEERG_4_3_1_5__2_TotalNitrogenVolatilisedFromMMS(J24, $E33)</f>
        <v>#VALUE!</v>
      </c>
      <c r="K45" s="2" t="s">
        <v>120</v>
      </c>
      <c r="O45" s="136" t="str">
        <f>'Input - Pasture Beef'!$D$145</f>
        <v>Feed pad</v>
      </c>
      <c r="P45" s="136" t="str">
        <f>'Input - Pasture Beef'!$D$196</f>
        <v>Sump and dispersal system</v>
      </c>
      <c r="Q45" s="55" t="e" cm="1">
        <f t="array" aca="1" ref="Q45" ca="1">MMS_Dairy_AtmosphericDeposition_Equations.VEERG_4_3_1_5__2_TotalNitrogenVolatilisedFromMMS(Q24, $E33)</f>
        <v>#VALUE!</v>
      </c>
      <c r="R45" s="55" t="e" cm="1">
        <f t="array" aca="1" ref="R45" ca="1">MMS_Dairy_AtmosphericDeposition_Equations.VEERG_4_3_1_5__2_TotalNitrogenVolatilisedFromMMS(R24, $E33)</f>
        <v>#VALUE!</v>
      </c>
      <c r="S45" s="55" t="e" cm="1">
        <f t="array" aca="1" ref="S45" ca="1">MMS_Dairy_AtmosphericDeposition_Equations.VEERG_4_3_1_5__2_TotalNitrogenVolatilisedFromMMS(S24, $E33)</f>
        <v>#VALUE!</v>
      </c>
      <c r="T45" s="55" t="e" cm="1">
        <f t="array" aca="1" ref="T45" ca="1">MMS_Dairy_AtmosphericDeposition_Equations.VEERG_4_3_1_5__2_TotalNitrogenVolatilisedFromMMS(T24, $E33)</f>
        <v>#VALUE!</v>
      </c>
      <c r="U45" s="55" t="e" cm="1">
        <f t="array" aca="1" ref="U45" ca="1">MMS_Dairy_AtmosphericDeposition_Equations.VEERG_4_3_1_5__2_TotalNitrogenVolatilisedFromMMS(U24, $E33)</f>
        <v>#VALUE!</v>
      </c>
      <c r="V45" s="2" t="s">
        <v>120</v>
      </c>
    </row>
    <row r="46" spans="4:22" ht="20.100000000000001" customHeight="1" x14ac:dyDescent="0.25">
      <c r="D46" s="136" t="str">
        <f>'Input - Pasture Beef'!$D$145</f>
        <v>Feed pad</v>
      </c>
      <c r="E46" s="136" t="str">
        <f>'Input - Pasture Beef'!$D$201</f>
        <v>Drains to paddock</v>
      </c>
      <c r="F46" s="55" t="e" cm="1">
        <f t="array" aca="1" ref="F46" ca="1">MMS_Dairy_AtmosphericDeposition_Equations.VEERG_4_3_1_5__2_TotalNitrogenVolatilisedFromMMS(F25, $E34)</f>
        <v>#REF!</v>
      </c>
      <c r="G46" s="55" t="e" cm="1">
        <f t="array" aca="1" ref="G46" ca="1">MMS_Dairy_AtmosphericDeposition_Equations.VEERG_4_3_1_5__2_TotalNitrogenVolatilisedFromMMS(G25, $E34)</f>
        <v>#REF!</v>
      </c>
      <c r="H46" s="55" t="e" cm="1">
        <f t="array" aca="1" ref="H46" ca="1">MMS_Dairy_AtmosphericDeposition_Equations.VEERG_4_3_1_5__2_TotalNitrogenVolatilisedFromMMS(H25, $E34)</f>
        <v>#VALUE!</v>
      </c>
      <c r="I46" s="55" t="e" cm="1">
        <f t="array" aca="1" ref="I46" ca="1">MMS_Dairy_AtmosphericDeposition_Equations.VEERG_4_3_1_5__2_TotalNitrogenVolatilisedFromMMS(I25, $E34)</f>
        <v>#VALUE!</v>
      </c>
      <c r="J46" s="55" t="e" cm="1">
        <f t="array" aca="1" ref="J46" ca="1">MMS_Dairy_AtmosphericDeposition_Equations.VEERG_4_3_1_5__2_TotalNitrogenVolatilisedFromMMS(J25, $E34)</f>
        <v>#VALUE!</v>
      </c>
      <c r="K46" s="2" t="s">
        <v>120</v>
      </c>
      <c r="O46" s="136" t="str">
        <f>'Input - Pasture Beef'!$D$145</f>
        <v>Feed pad</v>
      </c>
      <c r="P46" s="136" t="str">
        <f>'Input - Pasture Beef'!$D$201</f>
        <v>Drains to paddock</v>
      </c>
      <c r="Q46" s="55" t="e" cm="1">
        <f t="array" aca="1" ref="Q46" ca="1">MMS_Dairy_AtmosphericDeposition_Equations.VEERG_4_3_1_5__2_TotalNitrogenVolatilisedFromMMS(Q25, $E34)</f>
        <v>#VALUE!</v>
      </c>
      <c r="R46" s="55" t="e" cm="1">
        <f t="array" aca="1" ref="R46" ca="1">MMS_Dairy_AtmosphericDeposition_Equations.VEERG_4_3_1_5__2_TotalNitrogenVolatilisedFromMMS(R25, $E34)</f>
        <v>#VALUE!</v>
      </c>
      <c r="S46" s="55" t="e" cm="1">
        <f t="array" aca="1" ref="S46" ca="1">MMS_Dairy_AtmosphericDeposition_Equations.VEERG_4_3_1_5__2_TotalNitrogenVolatilisedFromMMS(S25, $E34)</f>
        <v>#VALUE!</v>
      </c>
      <c r="T46" s="55" t="e" cm="1">
        <f t="array" aca="1" ref="T46" ca="1">MMS_Dairy_AtmosphericDeposition_Equations.VEERG_4_3_1_5__2_TotalNitrogenVolatilisedFromMMS(T25, $E34)</f>
        <v>#VALUE!</v>
      </c>
      <c r="U46" s="55" t="e" cm="1">
        <f t="array" aca="1" ref="U46" ca="1">MMS_Dairy_AtmosphericDeposition_Equations.VEERG_4_3_1_5__2_TotalNitrogenVolatilisedFromMMS(U25, $E34)</f>
        <v>#VALUE!</v>
      </c>
      <c r="V46" s="2" t="s">
        <v>120</v>
      </c>
    </row>
    <row r="47" spans="4:22" ht="20.100000000000001" customHeight="1" x14ac:dyDescent="0.25">
      <c r="D47" s="136" t="str">
        <f>'Input - Pasture Beef'!$D$145</f>
        <v>Feed pad</v>
      </c>
      <c r="E47" s="136" t="str">
        <f>'Input - Pasture Beef'!$D$206</f>
        <v>Solid storage</v>
      </c>
      <c r="F47" s="55" t="e" cm="1">
        <f t="array" aca="1" ref="F47" ca="1">MMS_Dairy_AtmosphericDeposition_Equations.VEERG_4_3_1_5__2_TotalNitrogenVolatilisedFromMMS(F26, $E35)</f>
        <v>#REF!</v>
      </c>
      <c r="G47" s="55" t="e" cm="1">
        <f t="array" aca="1" ref="G47" ca="1">MMS_Dairy_AtmosphericDeposition_Equations.VEERG_4_3_1_5__2_TotalNitrogenVolatilisedFromMMS(G26, $E35)</f>
        <v>#REF!</v>
      </c>
      <c r="H47" s="55" t="e" cm="1">
        <f t="array" aca="1" ref="H47" ca="1">MMS_Dairy_AtmosphericDeposition_Equations.VEERG_4_3_1_5__2_TotalNitrogenVolatilisedFromMMS(H26, $E35)</f>
        <v>#VALUE!</v>
      </c>
      <c r="I47" s="55" t="e" cm="1">
        <f t="array" aca="1" ref="I47" ca="1">MMS_Dairy_AtmosphericDeposition_Equations.VEERG_4_3_1_5__2_TotalNitrogenVolatilisedFromMMS(I26, $E35)</f>
        <v>#VALUE!</v>
      </c>
      <c r="J47" s="55" t="e" cm="1">
        <f t="array" aca="1" ref="J47" ca="1">MMS_Dairy_AtmosphericDeposition_Equations.VEERG_4_3_1_5__2_TotalNitrogenVolatilisedFromMMS(J26, $E35)</f>
        <v>#VALUE!</v>
      </c>
      <c r="K47" s="2" t="s">
        <v>120</v>
      </c>
      <c r="O47" s="136" t="str">
        <f>'Input - Pasture Beef'!$D$145</f>
        <v>Feed pad</v>
      </c>
      <c r="P47" s="136" t="str">
        <f>'Input - Pasture Beef'!$D$206</f>
        <v>Solid storage</v>
      </c>
      <c r="Q47" s="55" t="e" cm="1">
        <f t="array" aca="1" ref="Q47" ca="1">MMS_Dairy_AtmosphericDeposition_Equations.VEERG_4_3_1_5__2_TotalNitrogenVolatilisedFromMMS(Q26, $E35)</f>
        <v>#VALUE!</v>
      </c>
      <c r="R47" s="55" t="e" cm="1">
        <f t="array" aca="1" ref="R47" ca="1">MMS_Dairy_AtmosphericDeposition_Equations.VEERG_4_3_1_5__2_TotalNitrogenVolatilisedFromMMS(R26, $E35)</f>
        <v>#VALUE!</v>
      </c>
      <c r="S47" s="55" t="e" cm="1">
        <f t="array" aca="1" ref="S47" ca="1">MMS_Dairy_AtmosphericDeposition_Equations.VEERG_4_3_1_5__2_TotalNitrogenVolatilisedFromMMS(S26, $E35)</f>
        <v>#VALUE!</v>
      </c>
      <c r="T47" s="55" t="e" cm="1">
        <f t="array" aca="1" ref="T47" ca="1">MMS_Dairy_AtmosphericDeposition_Equations.VEERG_4_3_1_5__2_TotalNitrogenVolatilisedFromMMS(T26, $E35)</f>
        <v>#VALUE!</v>
      </c>
      <c r="U47" s="55" t="e" cm="1">
        <f t="array" aca="1" ref="U47" ca="1">MMS_Dairy_AtmosphericDeposition_Equations.VEERG_4_3_1_5__2_TotalNitrogenVolatilisedFromMMS(U26, $E35)</f>
        <v>#VALUE!</v>
      </c>
      <c r="V47" s="2" t="s">
        <v>120</v>
      </c>
    </row>
    <row r="48" spans="4:22" ht="20.100000000000001" customHeight="1" x14ac:dyDescent="0.25"/>
    <row r="49" spans="3:23" ht="20.100000000000001" customHeight="1" x14ac:dyDescent="0.25">
      <c r="D49" s="123" t="s">
        <v>334</v>
      </c>
      <c r="E49" s="141" t="e">
        <f ca="1">SUM(F40:J47)</f>
        <v>#REF!</v>
      </c>
      <c r="F49" s="142" t="str">
        <f>$E$11</f>
        <v>kg N</v>
      </c>
      <c r="O49" s="123" t="s">
        <v>334</v>
      </c>
      <c r="P49" s="141" t="e">
        <f ca="1">SUM(Q40:U47)</f>
        <v>#VALUE!</v>
      </c>
      <c r="Q49" s="142" t="str">
        <f>$E$11</f>
        <v>kg N</v>
      </c>
    </row>
    <row r="50" spans="3:23" ht="20.100000000000001" customHeight="1" x14ac:dyDescent="0.25">
      <c r="W50" s="48"/>
    </row>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3:23" ht="20.100000000000001" customHeight="1" x14ac:dyDescent="0.25"/>
    <row r="57" spans="3:23" ht="20.100000000000001" customHeight="1" x14ac:dyDescent="0.25">
      <c r="D57" s="6"/>
    </row>
    <row r="58" spans="3:23" ht="20.100000000000001" customHeight="1" x14ac:dyDescent="0.25">
      <c r="D58" s="56" t="s">
        <v>30</v>
      </c>
      <c r="E58" s="1" t="str" cm="1">
        <f t="array" ref="E58">MMS_Dairy_AtmosphericDeposition_Equations.VEERG_4_3_1_5__1_AnnualAtmosphericDepositionEmissionsFromMMS_Variable()</f>
        <v>E_N2OMMSad</v>
      </c>
    </row>
    <row r="59" spans="3:23" ht="20.100000000000001" customHeight="1" x14ac:dyDescent="0.25">
      <c r="D59" s="56" t="s">
        <v>20</v>
      </c>
      <c r="E59" s="57"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60" t="str" cm="1">
        <f t="array" ref="D61:E66">MMS_Dairy_AtmosphericDeposition_Equations.VEERG_4_3_1_5__1_AnnualAtmosphericDepositionEmissionsFromMMS_Arguments()</f>
        <v>MN_ATMOS</v>
      </c>
      <c r="E61" s="61" t="str">
        <v>mass of N volatilised from MMS (kg N)</v>
      </c>
      <c r="F61" s="62"/>
      <c r="G61" s="60" t="e">
        <f ca="1">$E$49</f>
        <v>#REF!</v>
      </c>
      <c r="O61" s="60" t="str">
        <f>D61</f>
        <v>MN_ATMOS</v>
      </c>
      <c r="P61" s="61" t="str">
        <f>E61</f>
        <v>mass of N volatilised from MMS (kg N)</v>
      </c>
      <c r="Q61" s="62"/>
      <c r="R61" s="60" t="e">
        <f ca="1">$E$49</f>
        <v>#REF!</v>
      </c>
    </row>
    <row r="62" spans="3:23" ht="20.100000000000001" customHeight="1" x14ac:dyDescent="0.25">
      <c r="D62" s="60" t="str">
        <v>EF_N2O</v>
      </c>
      <c r="E62" s="61" t="str">
        <v>nitrous oxide emission factor for atmospheric deposition (kg N2O-N/kg N)</v>
      </c>
      <c r="F62" s="62"/>
      <c r="G62" s="60">
        <f>Common_InputFunctions.Utility_LookupN2OEFFromProdIrrigationRainfall(G64,G65,G66,Table_SourceData_Common_EFN2O[Production system only],Table_SourceData_Common_EFN2O[Irrigation method],Table_SourceData_Common_EFN2O[Rainfall zone],Table_SourceData_Common_EFN2O[EFN2O])</f>
        <v>5.8999999999999999E-3</v>
      </c>
      <c r="O62" s="60"/>
      <c r="P62" s="61"/>
      <c r="Q62" s="62"/>
      <c r="R62" s="60"/>
    </row>
    <row r="63" spans="3:23" ht="20.100000000000001" customHeight="1" x14ac:dyDescent="0.25">
      <c r="D63" s="60" t="str">
        <v>C_N2O</v>
      </c>
      <c r="E63" s="61" t="str">
        <v>factor to convert elemental mass of N2O to molecular mass</v>
      </c>
      <c r="F63" s="62"/>
      <c r="G63" s="60">
        <f>Common_InputFunctions.Utility_LookupValueInTableNumber("N2O",Table_GasToMolecularConversionFactor[Gas],Table_GasToMolecularConversionFactor[Conversion factor combined])</f>
        <v>1.5714285714285714</v>
      </c>
      <c r="O63" s="60"/>
      <c r="P63" s="61"/>
      <c r="Q63" s="62"/>
      <c r="R63" s="60"/>
    </row>
    <row r="64" spans="3:23" ht="20.100000000000001" customHeight="1" x14ac:dyDescent="0.25">
      <c r="D64" s="60" t="str">
        <v>j</v>
      </c>
      <c r="E64" s="61" t="str">
        <v>production system</v>
      </c>
      <c r="F64" s="62"/>
      <c r="G64" s="60" t="str">
        <f>'Input - Pasture Beef'!$E$273</f>
        <v>Pasture</v>
      </c>
      <c r="O64" s="60"/>
      <c r="P64" s="61"/>
      <c r="Q64" s="62"/>
      <c r="R64" s="60"/>
    </row>
    <row r="65" spans="4:18" ht="20.100000000000001" customHeight="1" x14ac:dyDescent="0.25">
      <c r="D65" s="60" t="str">
        <v>ir</v>
      </c>
      <c r="E65" s="61" t="str">
        <v>irrigation method</v>
      </c>
      <c r="F65" s="62"/>
      <c r="G65" s="60" t="str">
        <f>'Input - Pasture Beef'!$E$274</f>
        <v>Sprinkler irrigation</v>
      </c>
      <c r="O65" s="60"/>
      <c r="P65" s="61"/>
      <c r="Q65" s="62"/>
      <c r="R65" s="60"/>
    </row>
    <row r="66" spans="4:18" ht="20.100000000000001" customHeight="1" x14ac:dyDescent="0.25">
      <c r="D66" s="60" t="str">
        <v>r</v>
      </c>
      <c r="E66" s="61" t="str">
        <v>rainfall region</v>
      </c>
      <c r="F66" s="62"/>
      <c r="G66" s="60" t="str">
        <f>'Input - Site'!$E$30</f>
        <v>High rainfall</v>
      </c>
      <c r="O66" s="60"/>
      <c r="P66" s="61"/>
      <c r="Q66" s="62"/>
      <c r="R66" s="60"/>
    </row>
    <row r="67" spans="4:18" ht="20.100000000000001" customHeight="1" x14ac:dyDescent="0.25"/>
    <row r="68" spans="4:18" ht="20.100000000000001" customHeight="1" x14ac:dyDescent="0.25">
      <c r="D68" s="107" t="s">
        <v>267</v>
      </c>
      <c r="E68" s="108" t="e" cm="1">
        <f t="array" aca="1" ref="E68" ca="1">MMS_Dairy_AtmosphericDeposition_Equations.VEERG_4_3_1_5__1_AnnualAtmosphericDepositionEmissionsFromMMS($G$61,$G$62,$G$63)</f>
        <v>#REF!</v>
      </c>
      <c r="F68" s="109" t="str">
        <f>$E$59</f>
        <v>t N2O</v>
      </c>
      <c r="O68" s="107" t="s">
        <v>267</v>
      </c>
      <c r="P68" s="108" t="e" cm="1">
        <f t="array" aca="1" ref="P68" ca="1">MMS_Dairy_AtmosphericDeposition_Equations.VEERG_4_3_1_5__1_AnnualAtmosphericDepositionEmissionsFromMMS($R$61,$G$62,$G$63)</f>
        <v>#REF!</v>
      </c>
      <c r="Q68" s="109" t="str">
        <f>$E$59</f>
        <v>t N2O</v>
      </c>
    </row>
    <row r="69" spans="4:18" ht="20.100000000000001" customHeight="1" x14ac:dyDescent="0.25"/>
    <row r="70" spans="4:18" ht="20.100000000000001" customHeight="1" x14ac:dyDescent="0.25">
      <c r="D70" s="60" t="str" cm="1">
        <f t="array" ref="D70:E71">Common_Equations.Common_ConvertN2OToCO2e_Arguments()</f>
        <v>EN2O</v>
      </c>
      <c r="E70" s="61" t="str">
        <v>Nitrous oxide emissions (t N2O)</v>
      </c>
      <c r="F70" s="110"/>
      <c r="G70" s="55" t="e">
        <f ca="1">$E$68</f>
        <v>#REF!</v>
      </c>
      <c r="O70" s="60" t="str" cm="1">
        <f t="array" ref="O70:P71">Common_Equations.Common_ConvertN2OToCO2e_Arguments()</f>
        <v>EN2O</v>
      </c>
      <c r="P70" s="61" t="str">
        <v>Nitrous oxide emissions (t N2O)</v>
      </c>
      <c r="Q70" s="110"/>
      <c r="R70" s="55" t="e">
        <f ca="1">P68</f>
        <v>#REF!</v>
      </c>
    </row>
    <row r="71" spans="4:18" ht="20.100000000000001" customHeight="1" x14ac:dyDescent="0.25">
      <c r="D71" s="60" t="str">
        <v>GWPN2O</v>
      </c>
      <c r="E71" s="61" t="str">
        <v>Global warming potential for nitrous oxide (t CO2-e / t N2O)</v>
      </c>
      <c r="F71" s="110"/>
      <c r="G71" s="55">
        <f>Common_InputFunctions.Utility_LookupValueInTableNumber("N2O",Table_GWPData[Gas],Table_GWPData[CO2-e factor])</f>
        <v>265</v>
      </c>
      <c r="O71" s="60" t="str">
        <v>GWPN2O</v>
      </c>
      <c r="P71" s="61" t="str">
        <v>Global warming potential for nitrous oxide (t CO2-e / t N2O)</v>
      </c>
      <c r="Q71" s="110"/>
      <c r="R71" s="55">
        <f>Common_InputFunctions.Utility_LookupValueInTableNumber("N2O",Table_GWPData[Gas],Table_GWPData[CO2-e factor])</f>
        <v>265</v>
      </c>
    </row>
    <row r="72" spans="4:18" ht="20.100000000000001" customHeight="1" x14ac:dyDescent="0.25"/>
    <row r="73" spans="4:18" ht="20.100000000000001" customHeight="1" x14ac:dyDescent="0.25">
      <c r="D73" s="48" t="s">
        <v>105</v>
      </c>
      <c r="E73" s="48" t="e" cm="1">
        <f t="array" aca="1" ref="E73" ca="1">Common_Equations.Common_ConvertN2OToCO2e(G70,G71)</f>
        <v>#REF!</v>
      </c>
      <c r="F73" s="111" t="str" cm="1">
        <f t="array" ref="F73">Common_Equations.Common_ConvertN2OToCO2e_Unit()</f>
        <v>t CO2e</v>
      </c>
      <c r="O73" s="48" t="s">
        <v>105</v>
      </c>
      <c r="P73" s="48" t="e" cm="1">
        <f t="array" aca="1" ref="P73" ca="1">Common_Equations.Common_ConvertN2OToCO2e(R70,R71)</f>
        <v>#REF!</v>
      </c>
      <c r="Q73" s="111"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34 E31 E22 E19 P22 P19 E43 E40 P43 P40 E74 P74" xr:uid="{7FA3C31B-BFCF-4AA3-9A1C-D3DF345CD246}"/>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305</v>
      </c>
    </row>
    <row r="2" spans="1:23" s="9" customFormat="1" ht="20.100000000000001" customHeight="1" x14ac:dyDescent="0.25"/>
    <row r="3" spans="1:23" ht="20.100000000000001" customHeight="1" x14ac:dyDescent="0.25">
      <c r="A3" s="17" t="str">
        <f>HYPERLINK("#'Home'!A1", "Home")</f>
        <v>Home</v>
      </c>
      <c r="C3" s="4"/>
      <c r="D3" s="4" t="s">
        <v>115</v>
      </c>
      <c r="E3" s="4"/>
      <c r="F3" s="4"/>
      <c r="G3" s="4"/>
      <c r="H3" s="4"/>
      <c r="I3" s="4"/>
      <c r="J3" s="4"/>
      <c r="K3" s="4"/>
      <c r="L3" s="4"/>
      <c r="N3" s="4"/>
      <c r="O3" s="4" t="s">
        <v>116</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20" t="s">
        <v>3</v>
      </c>
      <c r="D6" s="5" t="str" cm="1">
        <f t="array" ref="D6">MMS_Dairy_LeachingAndRunoff_Equations.VEERG_4_3_1_6__2_MassOfNitrogenLostToLeachingAndRunoffFromSolidStorage_Source()</f>
        <v>VEERG 2026: 4.3.1.6, Equation (2)</v>
      </c>
    </row>
    <row r="7" spans="1:23" ht="20.100000000000001" customHeight="1" x14ac:dyDescent="0.25">
      <c r="A7" s="17" t="str">
        <f>HYPERLINK("#'Input - Site'!A1", "Site")</f>
        <v>Site</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Dairy'!A1", "Dairy")</f>
        <v>Dairy</v>
      </c>
      <c r="G8" s="113" t="s">
        <v>268</v>
      </c>
    </row>
    <row r="9" spans="1:23" ht="20.100000000000001" customHeight="1" x14ac:dyDescent="0.25">
      <c r="A9" s="17"/>
    </row>
    <row r="10" spans="1:23" ht="20.100000000000001" customHeight="1" x14ac:dyDescent="0.25">
      <c r="A10" s="19" t="s">
        <v>77</v>
      </c>
      <c r="D10" s="56" t="s">
        <v>30</v>
      </c>
      <c r="E10" s="1" t="str" cm="1">
        <f t="array" ref="E10">MMS_Dairy_LeachingAndRunoff_Equations.VEERG_4_3_1_6__2_MassOfNitrogenLostToLeachingAndRunoffFromSolidStorage_Variable()</f>
        <v>MNLeach_jm4</v>
      </c>
    </row>
    <row r="11" spans="1:23" ht="20.100000000000001" customHeight="1" x14ac:dyDescent="0.25">
      <c r="A11" s="17" t="str">
        <f>HYPERLINK("#'4.3.1.1-2 Methane'!A1", "4.3.1.1-2 Methane")</f>
        <v>4.3.1.1-2 Methane</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MMS_Dairy_LeachingAndRunoff_Equations.VEERG_4_3_1_6__2_MassOfNitrogenLostToLeachingAndRunoffFromSolidStorage_Arguments()</f>
        <v>MN_jm4</v>
      </c>
      <c r="E13" s="61" t="str">
        <v>total nitrogen in solid storage system m=4 (kg N)</v>
      </c>
      <c r="F13" s="105"/>
      <c r="G13" s="62"/>
      <c r="H13" s="60" t="str">
        <f>"See " &amp; D20</f>
        <v>See M1_Table_MN_j_m-4</v>
      </c>
    </row>
    <row r="14" spans="1:23" ht="20.100000000000001" customHeight="1" x14ac:dyDescent="0.25">
      <c r="A14" s="22" t="str">
        <f>HYPERLINK("#'4.3.1.6-7 Leaching and runoff'!A1", "4.3.1.6-7 Leaching and runoff")</f>
        <v>4.3.1.6-7 Leaching and runoff</v>
      </c>
      <c r="D14" s="60" t="str">
        <v>FracWET_i</v>
      </c>
      <c r="E14" s="61" t="str">
        <v>fraction of N that is available for leaching and runoff from the leaching zone z and irrigation type ir (dimensionless)</v>
      </c>
      <c r="F14" s="105"/>
      <c r="G14" s="62"/>
      <c r="H14" s="60" cm="1">
        <f t="array" ref="H14">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FracLEACH_MS</v>
      </c>
      <c r="E15" s="61" t="str">
        <v>fraction of N that is lost through leaching and runoff (dimensionless)</v>
      </c>
      <c r="F15" s="105"/>
      <c r="G15" s="62"/>
      <c r="H15" s="60" t="str">
        <f>'Constants - Pature Beef'!$D$237</f>
        <v>VIC</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Pasture Beef'!$E$273</f>
        <v>Pasture</v>
      </c>
    </row>
    <row r="18" spans="1:22" ht="20.100000000000001" customHeight="1" x14ac:dyDescent="0.25">
      <c r="A18" s="17" t="str">
        <f>HYPERLINK("#'4.3.1.12-13 Soil leach runoff'!A1", "4.3.1.12-13 Soil leach &amp; runoff")</f>
        <v>4.3.1.12-13 Soil leach &amp; runoff</v>
      </c>
      <c r="D18" s="60" t="str">
        <v>ir</v>
      </c>
      <c r="E18" s="61" t="str">
        <v>irrigation method</v>
      </c>
      <c r="F18" s="105"/>
      <c r="G18" s="62"/>
      <c r="H18" s="60" t="str">
        <f>'Input - Pasture Beef'!$E$274</f>
        <v>Sprinkler irrigation</v>
      </c>
    </row>
    <row r="19" spans="1:22" ht="20.100000000000001" customHeight="1" x14ac:dyDescent="0.25">
      <c r="A19" s="17"/>
    </row>
    <row r="20" spans="1:22" ht="20.100000000000001" customHeight="1" x14ac:dyDescent="0.25">
      <c r="A20" s="18" t="s">
        <v>4</v>
      </c>
      <c r="D20" s="104" t="s">
        <v>270</v>
      </c>
      <c r="O20" s="104" t="s">
        <v>272</v>
      </c>
    </row>
    <row r="21" spans="1:22" ht="20.100000000000001" customHeight="1" x14ac:dyDescent="0.25">
      <c r="A21" s="17" t="str">
        <f>HYPERLINK("#'Constants - Dairy'!A1", "Constants - Dairy")</f>
        <v>Constants - Dairy</v>
      </c>
      <c r="D21" s="103" t="s">
        <v>271</v>
      </c>
      <c r="O21" s="103" t="s">
        <v>273</v>
      </c>
    </row>
    <row r="22" spans="1:22" ht="20.100000000000001" customHeight="1" x14ac:dyDescent="0.25">
      <c r="A22" s="17" t="str">
        <f>HYPERLINK("#'Constants - Livestock'!A1", "Constants - Livestock")</f>
        <v>Constants - Livestock</v>
      </c>
      <c r="D22" s="54" t="s">
        <v>144</v>
      </c>
      <c r="E22" s="54" t="s">
        <v>68</v>
      </c>
      <c r="F22" s="54" t="s">
        <v>173</v>
      </c>
      <c r="G22" s="54" t="s">
        <v>175</v>
      </c>
      <c r="H22" s="54" t="s">
        <v>176</v>
      </c>
      <c r="I22" s="54" t="s">
        <v>177</v>
      </c>
      <c r="J22" s="54" t="s">
        <v>178</v>
      </c>
      <c r="O22" s="54" t="s">
        <v>144</v>
      </c>
      <c r="P22" s="54" t="s">
        <v>68</v>
      </c>
      <c r="Q22" s="54" t="s">
        <v>173</v>
      </c>
      <c r="R22" s="54" t="s">
        <v>175</v>
      </c>
      <c r="S22" s="54" t="s">
        <v>176</v>
      </c>
      <c r="T22" s="54" t="s">
        <v>177</v>
      </c>
      <c r="U22" s="54" t="s">
        <v>178</v>
      </c>
    </row>
    <row r="23" spans="1:22" ht="20.100000000000001" customHeight="1" x14ac:dyDescent="0.25">
      <c r="A23" s="17" t="str">
        <f>HYPERLINK("#'Constants - Common'!A1", "Constants - Common")</f>
        <v>Constants - Common</v>
      </c>
      <c r="D23" s="136" t="str">
        <f>'Input - Pasture Beef'!$D$144</f>
        <v>Milking shed</v>
      </c>
      <c r="E23" s="136" t="str">
        <f>'Input - Pasture Beef'!$D$172</f>
        <v>Solid storage</v>
      </c>
      <c r="F23" s="55" t="e">
        <f ca="1">'4.3.1.3-4 Direct N20'!F239</f>
        <v>#REF!</v>
      </c>
      <c r="G23" s="55" t="e">
        <f ca="1">'4.3.1.3-4 Direct N20'!G239</f>
        <v>#REF!</v>
      </c>
      <c r="H23" s="55" t="e">
        <f ca="1">'4.3.1.3-4 Direct N20'!H239</f>
        <v>#VALUE!</v>
      </c>
      <c r="I23" s="55" t="e">
        <f ca="1">'4.3.1.3-4 Direct N20'!I239</f>
        <v>#VALUE!</v>
      </c>
      <c r="J23" s="55" t="e">
        <f ca="1">'4.3.1.3-4 Direct N20'!J239</f>
        <v>#VALUE!</v>
      </c>
      <c r="K23" s="2" t="s">
        <v>120</v>
      </c>
      <c r="O23" s="136" t="str">
        <f>'Input - Pasture Beef'!$D$144</f>
        <v>Milking shed</v>
      </c>
      <c r="P23" s="136" t="str">
        <f>'Input - Pasture Beef'!$D$172</f>
        <v>Solid storage</v>
      </c>
      <c r="Q23" s="55" t="e">
        <f ca="1">'4.3.1.3-4 Direct N20'!P239</f>
        <v>#VALUE!</v>
      </c>
      <c r="R23" s="55" t="e">
        <f ca="1">'4.3.1.3-4 Direct N20'!Q239</f>
        <v>#VALUE!</v>
      </c>
      <c r="S23" s="55" t="e">
        <f ca="1">'4.3.1.3-4 Direct N20'!R239</f>
        <v>#VALUE!</v>
      </c>
      <c r="T23" s="55" t="e">
        <f ca="1">'4.3.1.3-4 Direct N20'!S239</f>
        <v>#VALUE!</v>
      </c>
      <c r="U23" s="55" t="e">
        <f ca="1">'4.3.1.3-4 Direct N20'!T239</f>
        <v>#VALUE!</v>
      </c>
      <c r="V23" s="2" t="s">
        <v>120</v>
      </c>
    </row>
    <row r="24" spans="1:22" ht="20.100000000000001" customHeight="1" x14ac:dyDescent="0.25">
      <c r="A24" s="17" t="str">
        <f>HYPERLINK("#'Acknowledgements'!A1", "Acknowledgements")</f>
        <v>Acknowledgements</v>
      </c>
      <c r="D24" s="136" t="str">
        <f>'Input - Pasture Beef'!$D$145</f>
        <v>Feed pad</v>
      </c>
      <c r="E24" s="136" t="str">
        <f>'Input - Pasture Beef'!$D$206</f>
        <v>Solid storage</v>
      </c>
      <c r="F24" s="55" t="e">
        <f ca="1">'4.3.1.3-4 Direct N20'!F243</f>
        <v>#REF!</v>
      </c>
      <c r="G24" s="55" t="e">
        <f ca="1">'4.3.1.3-4 Direct N20'!G243</f>
        <v>#REF!</v>
      </c>
      <c r="H24" s="55" t="e">
        <f ca="1">'4.3.1.3-4 Direct N20'!H243</f>
        <v>#VALUE!</v>
      </c>
      <c r="I24" s="55" t="e">
        <f ca="1">'4.3.1.3-4 Direct N20'!I243</f>
        <v>#VALUE!</v>
      </c>
      <c r="J24" s="55" t="e">
        <f ca="1">'4.3.1.3-4 Direct N20'!J243</f>
        <v>#VALUE!</v>
      </c>
      <c r="K24" s="2" t="s">
        <v>120</v>
      </c>
      <c r="O24" s="136" t="str">
        <f>'Input - Pasture Beef'!$D$145</f>
        <v>Feed pad</v>
      </c>
      <c r="P24" s="136" t="str">
        <f>'Input - Pasture Beef'!$D$206</f>
        <v>Solid storage</v>
      </c>
      <c r="Q24" s="55" t="e">
        <f ca="1">'4.3.1.3-4 Direct N20'!P243</f>
        <v>#VALUE!</v>
      </c>
      <c r="R24" s="55" t="e">
        <f ca="1">'4.3.1.3-4 Direct N20'!Q243</f>
        <v>#VALUE!</v>
      </c>
      <c r="S24" s="55" t="e">
        <f ca="1">'4.3.1.3-4 Direct N20'!R243</f>
        <v>#VALUE!</v>
      </c>
      <c r="T24" s="55" t="e">
        <f ca="1">'4.3.1.3-4 Direct N20'!S243</f>
        <v>#VALUE!</v>
      </c>
      <c r="U24" s="55" t="e">
        <f ca="1">'4.3.1.3-4 Direct N20'!T243</f>
        <v>#VALUE!</v>
      </c>
      <c r="V24" s="2" t="s">
        <v>120</v>
      </c>
    </row>
    <row r="25" spans="1:22" ht="20.100000000000001" customHeight="1" x14ac:dyDescent="0.25"/>
    <row r="26" spans="1:22" ht="20.100000000000001" customHeight="1" x14ac:dyDescent="0.25">
      <c r="D26" s="104" t="s">
        <v>275</v>
      </c>
      <c r="O26" s="104" t="s">
        <v>276</v>
      </c>
    </row>
    <row r="27" spans="1:22" ht="20.100000000000001" customHeight="1" x14ac:dyDescent="0.25">
      <c r="D27" s="103" t="s">
        <v>274</v>
      </c>
      <c r="O27" s="103" t="s">
        <v>277</v>
      </c>
    </row>
    <row r="28" spans="1:22" ht="20.100000000000001" customHeight="1" x14ac:dyDescent="0.25">
      <c r="D28" s="54" t="s">
        <v>144</v>
      </c>
      <c r="E28" s="54" t="s">
        <v>68</v>
      </c>
      <c r="F28" s="54" t="s">
        <v>173</v>
      </c>
      <c r="G28" s="54" t="s">
        <v>175</v>
      </c>
      <c r="H28" s="54" t="s">
        <v>176</v>
      </c>
      <c r="I28" s="54" t="s">
        <v>177</v>
      </c>
      <c r="J28" s="54" t="s">
        <v>178</v>
      </c>
      <c r="O28" s="54" t="s">
        <v>144</v>
      </c>
      <c r="P28" s="54" t="s">
        <v>68</v>
      </c>
      <c r="Q28" s="54" t="s">
        <v>173</v>
      </c>
      <c r="R28" s="54" t="s">
        <v>175</v>
      </c>
      <c r="S28" s="54" t="s">
        <v>176</v>
      </c>
      <c r="T28" s="54" t="s">
        <v>177</v>
      </c>
      <c r="U28" s="54" t="s">
        <v>178</v>
      </c>
    </row>
    <row r="29" spans="1:22" ht="20.100000000000001" customHeight="1" x14ac:dyDescent="0.25">
      <c r="D29" s="136" t="str">
        <f>'Input - Pasture Beef'!$D$144</f>
        <v>Milking shed</v>
      </c>
      <c r="E29" s="136" t="str">
        <f>'Input - Pasture Beef'!$D$172</f>
        <v>Solid storage</v>
      </c>
      <c r="F29" s="55" t="e" cm="1">
        <f t="array" aca="1" ref="F29" ca="1">MMS_Dairy_LeachingAndRunoff_Equations.VEERG_4_3_1_6__2_MassOfNitrogenLostToLeachingAndRunoffFromSolidStorage(F23,$H$14,$H$15)</f>
        <v>#REF!</v>
      </c>
      <c r="G29" s="55" t="e" cm="1">
        <f t="array" aca="1" ref="G29" ca="1">MMS_Dairy_LeachingAndRunoff_Equations.VEERG_4_3_1_6__2_MassOfNitrogenLostToLeachingAndRunoffFromSolidStorage(G23,$H$14,$H$15)</f>
        <v>#REF!</v>
      </c>
      <c r="H29" s="55" t="e" cm="1">
        <f t="array" aca="1" ref="H29" ca="1">MMS_Dairy_LeachingAndRunoff_Equations.VEERG_4_3_1_6__2_MassOfNitrogenLostToLeachingAndRunoffFromSolidStorage(H23,$H$14,$H$15)</f>
        <v>#VALUE!</v>
      </c>
      <c r="I29" s="55" t="e" cm="1">
        <f t="array" aca="1" ref="I29" ca="1">MMS_Dairy_LeachingAndRunoff_Equations.VEERG_4_3_1_6__2_MassOfNitrogenLostToLeachingAndRunoffFromSolidStorage(I23,$H$14,$H$15)</f>
        <v>#VALUE!</v>
      </c>
      <c r="J29" s="55" t="e" cm="1">
        <f t="array" aca="1" ref="J29" ca="1">MMS_Dairy_LeachingAndRunoff_Equations.VEERG_4_3_1_6__2_MassOfNitrogenLostToLeachingAndRunoffFromSolidStorage(J23,$H$14,$H$15)</f>
        <v>#VALUE!</v>
      </c>
      <c r="K29" s="2" t="str">
        <f>$E$11</f>
        <v>kg N</v>
      </c>
      <c r="O29" s="136" t="str">
        <f>'Input - Pasture Beef'!$D$144</f>
        <v>Milking shed</v>
      </c>
      <c r="P29" s="136" t="str">
        <f>'Input - Pasture Beef'!$D$172</f>
        <v>Solid storage</v>
      </c>
      <c r="Q29" s="55" t="e" cm="1">
        <f t="array" aca="1" ref="Q29" ca="1">MMS_Dairy_LeachingAndRunoff_Equations.VEERG_4_3_1_6__2_MassOfNitrogenLostToLeachingAndRunoffFromSolidStorage(Q23,$H$14,$H$15)</f>
        <v>#VALUE!</v>
      </c>
      <c r="R29" s="55" t="e" cm="1">
        <f t="array" aca="1" ref="R29" ca="1">MMS_Dairy_LeachingAndRunoff_Equations.VEERG_4_3_1_6__2_MassOfNitrogenLostToLeachingAndRunoffFromSolidStorage(R23,$H$14,$H$15)</f>
        <v>#VALUE!</v>
      </c>
      <c r="S29" s="55" t="e" cm="1">
        <f t="array" aca="1" ref="S29" ca="1">MMS_Dairy_LeachingAndRunoff_Equations.VEERG_4_3_1_6__2_MassOfNitrogenLostToLeachingAndRunoffFromSolidStorage(S23,$H$14,$H$15)</f>
        <v>#VALUE!</v>
      </c>
      <c r="T29" s="55" t="e" cm="1">
        <f t="array" aca="1" ref="T29" ca="1">MMS_Dairy_LeachingAndRunoff_Equations.VEERG_4_3_1_6__2_MassOfNitrogenLostToLeachingAndRunoffFromSolidStorage(T23,$H$14,$H$15)</f>
        <v>#VALUE!</v>
      </c>
      <c r="U29" s="55" t="e" cm="1">
        <f t="array" aca="1" ref="U29" ca="1">MMS_Dairy_LeachingAndRunoff_Equations.VEERG_4_3_1_6__2_MassOfNitrogenLostToLeachingAndRunoffFromSolidStorage(U23,$H$14,$H$15)</f>
        <v>#VALUE!</v>
      </c>
      <c r="V29" s="2" t="str">
        <f t="shared" ref="V29:V30" si="0">$E$11</f>
        <v>kg N</v>
      </c>
    </row>
    <row r="30" spans="1:22" ht="20.100000000000001" customHeight="1" x14ac:dyDescent="0.25">
      <c r="D30" s="136" t="str">
        <f>'Input - Pasture Beef'!$D$145</f>
        <v>Feed pad</v>
      </c>
      <c r="E30" s="136" t="str">
        <f>'Input - Pasture Beef'!$D$206</f>
        <v>Solid storage</v>
      </c>
      <c r="F30" s="55" t="e" cm="1">
        <f t="array" aca="1" ref="F30" ca="1">MMS_Dairy_LeachingAndRunoff_Equations.VEERG_4_3_1_6__2_MassOfNitrogenLostToLeachingAndRunoffFromSolidStorage(F24,$H$14,$H$15)</f>
        <v>#REF!</v>
      </c>
      <c r="G30" s="55" t="e" cm="1">
        <f t="array" aca="1" ref="G30" ca="1">MMS_Dairy_LeachingAndRunoff_Equations.VEERG_4_3_1_6__2_MassOfNitrogenLostToLeachingAndRunoffFromSolidStorage(G24,$H$14,$H$15)</f>
        <v>#REF!</v>
      </c>
      <c r="H30" s="55" t="e" cm="1">
        <f t="array" aca="1" ref="H30" ca="1">MMS_Dairy_LeachingAndRunoff_Equations.VEERG_4_3_1_6__2_MassOfNitrogenLostToLeachingAndRunoffFromSolidStorage(H24,$H$14,$H$15)</f>
        <v>#VALUE!</v>
      </c>
      <c r="I30" s="55" t="e" cm="1">
        <f t="array" aca="1" ref="I30" ca="1">MMS_Dairy_LeachingAndRunoff_Equations.VEERG_4_3_1_6__2_MassOfNitrogenLostToLeachingAndRunoffFromSolidStorage(I24,$H$14,$H$15)</f>
        <v>#VALUE!</v>
      </c>
      <c r="J30" s="55" t="e" cm="1">
        <f t="array" aca="1" ref="J30" ca="1">MMS_Dairy_LeachingAndRunoff_Equations.VEERG_4_3_1_6__2_MassOfNitrogenLostToLeachingAndRunoffFromSolidStorage(J24,$H$14,$H$15)</f>
        <v>#VALUE!</v>
      </c>
      <c r="K30" s="2" t="str">
        <f>$E$11</f>
        <v>kg N</v>
      </c>
      <c r="O30" s="136" t="str">
        <f>'Input - Pasture Beef'!$D$145</f>
        <v>Feed pad</v>
      </c>
      <c r="P30" s="136" t="str">
        <f>'Input - Pasture Beef'!$D$206</f>
        <v>Solid storage</v>
      </c>
      <c r="Q30" s="55" t="e" cm="1">
        <f t="array" aca="1" ref="Q30" ca="1">MMS_Dairy_LeachingAndRunoff_Equations.VEERG_4_3_1_6__2_MassOfNitrogenLostToLeachingAndRunoffFromSolidStorage(Q24,$H$14,$H$15)</f>
        <v>#VALUE!</v>
      </c>
      <c r="R30" s="55" t="e" cm="1">
        <f t="array" aca="1" ref="R30" ca="1">MMS_Dairy_LeachingAndRunoff_Equations.VEERG_4_3_1_6__2_MassOfNitrogenLostToLeachingAndRunoffFromSolidStorage(R24,$H$14,$H$15)</f>
        <v>#VALUE!</v>
      </c>
      <c r="S30" s="55" t="e" cm="1">
        <f t="array" aca="1" ref="S30" ca="1">MMS_Dairy_LeachingAndRunoff_Equations.VEERG_4_3_1_6__2_MassOfNitrogenLostToLeachingAndRunoffFromSolidStorage(S24,$H$14,$H$15)</f>
        <v>#VALUE!</v>
      </c>
      <c r="T30" s="55" t="e" cm="1">
        <f t="array" aca="1" ref="T30" ca="1">MMS_Dairy_LeachingAndRunoff_Equations.VEERG_4_3_1_6__2_MassOfNitrogenLostToLeachingAndRunoffFromSolidStorage(T24,$H$14,$H$15)</f>
        <v>#VALUE!</v>
      </c>
      <c r="U30" s="55" t="e" cm="1">
        <f t="array" aca="1" ref="U30" ca="1">MMS_Dairy_LeachingAndRunoff_Equations.VEERG_4_3_1_6__2_MassOfNitrogenLostToLeachingAndRunoffFromSolidStorage(U24,$H$14,$H$15)</f>
        <v>#VALUE!</v>
      </c>
      <c r="V30" s="2" t="str">
        <f t="shared" si="0"/>
        <v>kg N</v>
      </c>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14" t="str" cm="1">
        <f t="array" ref="D42:E44">MMS_Dairy_LeachingAndRunoff_Equations.VEERG_4_3_1_6__1_AnnualEmissionsFromLeachingAndRunoffFromMMS_Arguments()</f>
        <v>MNLeach_jm</v>
      </c>
      <c r="E42" s="116" t="str">
        <v>mass of N lost through leaching and runoff</v>
      </c>
      <c r="F42" s="115"/>
      <c r="G42" s="114" t="str">
        <f>"See " &amp; D26</f>
        <v>See M1_Table_MN_leach_j_m-4</v>
      </c>
    </row>
    <row r="43" spans="3:23" ht="20.100000000000001" customHeight="1" x14ac:dyDescent="0.25">
      <c r="D43" s="114" t="str">
        <v>EF_leach</v>
      </c>
      <c r="E43" s="116" t="str">
        <v>nitrous oxide emission factor for leaching and runoff (kg N2O-N/kg N)</v>
      </c>
      <c r="F43" s="115"/>
      <c r="G43" s="60" t="str">
        <f>'Constants - Pature Beef'!$D$230</f>
        <v>SA</v>
      </c>
    </row>
    <row r="44" spans="3:23" ht="20.100000000000001" customHeight="1" x14ac:dyDescent="0.25">
      <c r="D44" s="114" t="str">
        <v>C_N2O</v>
      </c>
      <c r="E44" s="116" t="str">
        <v>factor to convert elemental mass of N2O to molecular mass</v>
      </c>
      <c r="F44" s="115"/>
      <c r="G44" s="60">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278</v>
      </c>
      <c r="O46" s="104" t="s">
        <v>280</v>
      </c>
    </row>
    <row r="47" spans="3:23" ht="20.100000000000001" customHeight="1" x14ac:dyDescent="0.25">
      <c r="D47" s="103" t="s">
        <v>279</v>
      </c>
      <c r="O47" s="103" t="s">
        <v>281</v>
      </c>
    </row>
    <row r="48" spans="3:23" ht="20.100000000000001" customHeight="1" x14ac:dyDescent="0.25">
      <c r="D48" s="54" t="s">
        <v>144</v>
      </c>
      <c r="E48" s="54" t="s">
        <v>68</v>
      </c>
      <c r="F48" s="54" t="s">
        <v>173</v>
      </c>
      <c r="G48" s="54" t="s">
        <v>175</v>
      </c>
      <c r="H48" s="54" t="s">
        <v>176</v>
      </c>
      <c r="I48" s="54" t="s">
        <v>177</v>
      </c>
      <c r="J48" s="54" t="s">
        <v>178</v>
      </c>
      <c r="O48" s="54" t="s">
        <v>144</v>
      </c>
      <c r="P48" s="54" t="s">
        <v>68</v>
      </c>
      <c r="Q48" s="54" t="s">
        <v>173</v>
      </c>
      <c r="R48" s="54" t="s">
        <v>175</v>
      </c>
      <c r="S48" s="54" t="s">
        <v>176</v>
      </c>
      <c r="T48" s="54" t="s">
        <v>177</v>
      </c>
      <c r="U48" s="54" t="s">
        <v>178</v>
      </c>
    </row>
    <row r="49" spans="4:22" ht="20.100000000000001" customHeight="1" x14ac:dyDescent="0.25">
      <c r="D49" s="136" t="str">
        <f>'Input - Pasture Beef'!$D$144</f>
        <v>Milking shed</v>
      </c>
      <c r="E49" s="136" t="str">
        <f>'Input - Pasture Beef'!$D$172</f>
        <v>Solid storage</v>
      </c>
      <c r="F49" s="55" t="e" cm="1">
        <f t="array" aca="1" ref="F49" ca="1">MMS_Dairy_LeachingAndRunoff_Equations.VEERG_4_3_1_6__1_AnnualEmissionsFromLeachingAndRunoffFromMMS(F29,$G$43,$G$44)</f>
        <v>#REF!</v>
      </c>
      <c r="G49" s="55" t="e" cm="1">
        <f t="array" aca="1" ref="G49" ca="1">MMS_Dairy_LeachingAndRunoff_Equations.VEERG_4_3_1_6__1_AnnualEmissionsFromLeachingAndRunoffFromMMS(G29,$G$43,$G$44)</f>
        <v>#REF!</v>
      </c>
      <c r="H49" s="55" t="e" cm="1">
        <f t="array" aca="1" ref="H49" ca="1">MMS_Dairy_LeachingAndRunoff_Equations.VEERG_4_3_1_6__1_AnnualEmissionsFromLeachingAndRunoffFromMMS(H29,$G$43,$G$44)</f>
        <v>#VALUE!</v>
      </c>
      <c r="I49" s="55" t="e" cm="1">
        <f t="array" aca="1" ref="I49" ca="1">MMS_Dairy_LeachingAndRunoff_Equations.VEERG_4_3_1_6__1_AnnualEmissionsFromLeachingAndRunoffFromMMS(I29,$G$43,$G$44)</f>
        <v>#VALUE!</v>
      </c>
      <c r="J49" s="55" t="e" cm="1">
        <f t="array" aca="1" ref="J49" ca="1">MMS_Dairy_LeachingAndRunoff_Equations.VEERG_4_3_1_6__1_AnnualEmissionsFromLeachingAndRunoffFromMMS(J29,$G$43,$G$44)</f>
        <v>#VALUE!</v>
      </c>
      <c r="K49" s="2" t="str">
        <f>$E$40</f>
        <v>t N2O</v>
      </c>
      <c r="O49" s="136" t="str">
        <f>'Input - Pasture Beef'!$D$144</f>
        <v>Milking shed</v>
      </c>
      <c r="P49" s="136" t="str">
        <f>'Input - Pasture Beef'!$D$172</f>
        <v>Solid storage</v>
      </c>
      <c r="Q49" s="55" t="e" cm="1">
        <f t="array" aca="1" ref="Q49" ca="1">MMS_Dairy_LeachingAndRunoff_Equations.VEERG_4_3_1_6__1_AnnualEmissionsFromLeachingAndRunoffFromMMS(Q29,$G$43,$G$44)</f>
        <v>#VALUE!</v>
      </c>
      <c r="R49" s="55" t="e" cm="1">
        <f t="array" aca="1" ref="R49" ca="1">MMS_Dairy_LeachingAndRunoff_Equations.VEERG_4_3_1_6__1_AnnualEmissionsFromLeachingAndRunoffFromMMS(R29,$G$43,$G$44)</f>
        <v>#VALUE!</v>
      </c>
      <c r="S49" s="55" t="e" cm="1">
        <f t="array" aca="1" ref="S49" ca="1">MMS_Dairy_LeachingAndRunoff_Equations.VEERG_4_3_1_6__1_AnnualEmissionsFromLeachingAndRunoffFromMMS(S29,$G$43,$G$44)</f>
        <v>#VALUE!</v>
      </c>
      <c r="T49" s="55" t="e" cm="1">
        <f t="array" aca="1" ref="T49" ca="1">MMS_Dairy_LeachingAndRunoff_Equations.VEERG_4_3_1_6__1_AnnualEmissionsFromLeachingAndRunoffFromMMS(T29,$G$43,$G$44)</f>
        <v>#VALUE!</v>
      </c>
      <c r="U49" s="55" t="e" cm="1">
        <f t="array" aca="1" ref="U49" ca="1">MMS_Dairy_LeachingAndRunoff_Equations.VEERG_4_3_1_6__1_AnnualEmissionsFromLeachingAndRunoffFromMMS(U29,$G$43,$G$44)</f>
        <v>#VALUE!</v>
      </c>
      <c r="V49" s="2" t="str">
        <f>$E$40</f>
        <v>t N2O</v>
      </c>
    </row>
    <row r="50" spans="4:22" ht="20.100000000000001" customHeight="1" x14ac:dyDescent="0.25">
      <c r="D50" s="136" t="str">
        <f>'Input - Pasture Beef'!$D$145</f>
        <v>Feed pad</v>
      </c>
      <c r="E50" s="136" t="str">
        <f>'Input - Pasture Beef'!$D$206</f>
        <v>Solid storage</v>
      </c>
      <c r="F50" s="55" t="e" cm="1">
        <f t="array" aca="1" ref="F50" ca="1">MMS_Dairy_LeachingAndRunoff_Equations.VEERG_4_3_1_6__1_AnnualEmissionsFromLeachingAndRunoffFromMMS(F30,$G$43,$G$44)</f>
        <v>#REF!</v>
      </c>
      <c r="G50" s="55" t="e" cm="1">
        <f t="array" aca="1" ref="G50" ca="1">MMS_Dairy_LeachingAndRunoff_Equations.VEERG_4_3_1_6__1_AnnualEmissionsFromLeachingAndRunoffFromMMS(G30,$G$43,$G$44)</f>
        <v>#REF!</v>
      </c>
      <c r="H50" s="55" t="e" cm="1">
        <f t="array" aca="1" ref="H50" ca="1">MMS_Dairy_LeachingAndRunoff_Equations.VEERG_4_3_1_6__1_AnnualEmissionsFromLeachingAndRunoffFromMMS(H30,$G$43,$G$44)</f>
        <v>#VALUE!</v>
      </c>
      <c r="I50" s="55" t="e" cm="1">
        <f t="array" aca="1" ref="I50" ca="1">MMS_Dairy_LeachingAndRunoff_Equations.VEERG_4_3_1_6__1_AnnualEmissionsFromLeachingAndRunoffFromMMS(I30,$G$43,$G$44)</f>
        <v>#VALUE!</v>
      </c>
      <c r="J50" s="55" t="e" cm="1">
        <f t="array" aca="1" ref="J50" ca="1">MMS_Dairy_LeachingAndRunoff_Equations.VEERG_4_3_1_6__1_AnnualEmissionsFromLeachingAndRunoffFromMMS(J30,$G$43,$G$44)</f>
        <v>#VALUE!</v>
      </c>
      <c r="K50" s="2" t="str">
        <f>$E$40</f>
        <v>t N2O</v>
      </c>
      <c r="O50" s="136" t="str">
        <f>'Input - Pasture Beef'!$D$145</f>
        <v>Feed pad</v>
      </c>
      <c r="P50" s="136" t="str">
        <f>'Input - Pasture Beef'!$D$206</f>
        <v>Solid storage</v>
      </c>
      <c r="Q50" s="55" t="e" cm="1">
        <f t="array" aca="1" ref="Q50" ca="1">MMS_Dairy_LeachingAndRunoff_Equations.VEERG_4_3_1_6__1_AnnualEmissionsFromLeachingAndRunoffFromMMS(Q30,$G$43,$G$44)</f>
        <v>#VALUE!</v>
      </c>
      <c r="R50" s="55" t="e" cm="1">
        <f t="array" aca="1" ref="R50" ca="1">MMS_Dairy_LeachingAndRunoff_Equations.VEERG_4_3_1_6__1_AnnualEmissionsFromLeachingAndRunoffFromMMS(R30,$G$43,$G$44)</f>
        <v>#VALUE!</v>
      </c>
      <c r="S50" s="55" t="e" cm="1">
        <f t="array" aca="1" ref="S50" ca="1">MMS_Dairy_LeachingAndRunoff_Equations.VEERG_4_3_1_6__1_AnnualEmissionsFromLeachingAndRunoffFromMMS(S30,$G$43,$G$44)</f>
        <v>#VALUE!</v>
      </c>
      <c r="T50" s="55" t="e" cm="1">
        <f t="array" aca="1" ref="T50" ca="1">MMS_Dairy_LeachingAndRunoff_Equations.VEERG_4_3_1_6__1_AnnualEmissionsFromLeachingAndRunoffFromMMS(T30,$G$43,$G$44)</f>
        <v>#VALUE!</v>
      </c>
      <c r="U50" s="55" t="e" cm="1">
        <f t="array" aca="1" ref="U50" ca="1">MMS_Dairy_LeachingAndRunoff_Equations.VEERG_4_3_1_6__1_AnnualEmissionsFromLeachingAndRunoffFromMMS(U30,$G$43,$G$44)</f>
        <v>#VALUE!</v>
      </c>
      <c r="V50" s="2" t="str">
        <f>$E$40</f>
        <v>t N2O</v>
      </c>
    </row>
    <row r="51" spans="4:22" ht="20.100000000000001" customHeight="1" x14ac:dyDescent="0.25"/>
    <row r="52" spans="4:22" ht="20.100000000000001" customHeight="1" x14ac:dyDescent="0.25">
      <c r="D52" s="107" t="s">
        <v>267</v>
      </c>
      <c r="E52" s="108" t="e">
        <f ca="1">SUM(F49:J50)</f>
        <v>#REF!</v>
      </c>
      <c r="F52" s="109" t="str">
        <f>$E$40</f>
        <v>t N2O</v>
      </c>
      <c r="O52" s="107" t="s">
        <v>267</v>
      </c>
      <c r="P52" s="108" t="e">
        <f ca="1">SUM(Q49:U50)</f>
        <v>#VALUE!</v>
      </c>
      <c r="Q52" s="109" t="str">
        <f>$E$40</f>
        <v>t N2O</v>
      </c>
    </row>
    <row r="53" spans="4:22" ht="20.100000000000001" customHeight="1" x14ac:dyDescent="0.25"/>
    <row r="54" spans="4:22" ht="20.100000000000001" customHeight="1" x14ac:dyDescent="0.25">
      <c r="D54" s="60" t="str" cm="1">
        <f t="array" ref="D54:E55">Common_Equations.Common_ConvertN2OToCO2e_Arguments()</f>
        <v>EN2O</v>
      </c>
      <c r="E54" s="61" t="str">
        <v>Nitrous oxide emissions (t N2O)</v>
      </c>
      <c r="F54" s="110"/>
      <c r="G54" s="55" t="e">
        <f ca="1">E$52</f>
        <v>#REF!</v>
      </c>
      <c r="O54" s="60" t="str" cm="1">
        <f t="array" ref="O54:P55">Common_Equations.Common_ConvertN2OToCO2e_Arguments()</f>
        <v>EN2O</v>
      </c>
      <c r="P54" s="61" t="str">
        <v>Nitrous oxide emissions (t N2O)</v>
      </c>
      <c r="Q54" s="110"/>
      <c r="R54" s="55" t="e">
        <f ca="1">P$52</f>
        <v>#VALUE!</v>
      </c>
    </row>
    <row r="55" spans="4:22" ht="20.100000000000001" customHeight="1" x14ac:dyDescent="0.25">
      <c r="D55" s="60" t="str">
        <v>GWPN2O</v>
      </c>
      <c r="E55" s="61" t="str">
        <v>Global warming potential for nitrous oxide (t CO2-e / t N2O)</v>
      </c>
      <c r="F55" s="110"/>
      <c r="G55" s="55">
        <f>Common_InputFunctions.Utility_LookupValueInTableNumber("N2O",Table_GWPData[Gas],Table_GWPData[CO2-e factor])</f>
        <v>265</v>
      </c>
      <c r="O55" s="60" t="str">
        <v>GWPN2O</v>
      </c>
      <c r="P55" s="61" t="str">
        <v>Global warming potential for nitrous oxide (t CO2-e / t N2O)</v>
      </c>
      <c r="Q55" s="110"/>
      <c r="R55" s="55">
        <f>Common_InputFunctions.Utility_LookupValueInTableNumber("N2O",Table_GWPData[Gas],Table_GWPData[CO2-e factor])</f>
        <v>265</v>
      </c>
    </row>
    <row r="56" spans="4:22" ht="20.100000000000001" customHeight="1" x14ac:dyDescent="0.25"/>
    <row r="57" spans="4:22" ht="20.100000000000001" customHeight="1" x14ac:dyDescent="0.25">
      <c r="D57" s="48" t="s">
        <v>105</v>
      </c>
      <c r="E57" s="48" t="e" cm="1">
        <f t="array" aca="1" ref="E57" ca="1">Common_Equations.Common_ConvertN2OToCO2e(G54,G55)</f>
        <v>#REF!</v>
      </c>
      <c r="F57" s="111" t="str" cm="1">
        <f t="array" ref="F57">Common_Equations.Common_ConvertN2OToCO2e_Unit()</f>
        <v>t CO2e</v>
      </c>
      <c r="O57" s="48" t="s">
        <v>105</v>
      </c>
      <c r="P57" s="48" t="e" cm="1">
        <f t="array" aca="1" ref="P57" ca="1">Common_Equations.Common_ConvertN2OToCO2e(R54,R55)</f>
        <v>#VALUE!</v>
      </c>
      <c r="Q57" s="111"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E29 P23 P29 E49 P49" xr:uid="{41AE1C4A-D10F-453D-9EBD-FABAB69A8FB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zoomScale="85" zoomScaleNormal="85"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282</v>
      </c>
    </row>
    <row r="2" spans="1:23" s="9" customFormat="1" ht="20.100000000000001" customHeight="1" x14ac:dyDescent="0.25"/>
    <row r="3" spans="1:23" ht="20.100000000000001" customHeight="1" x14ac:dyDescent="0.25">
      <c r="A3" s="17" t="str">
        <f>HYPERLINK("#'Home'!A1", "Home")</f>
        <v>Home</v>
      </c>
      <c r="C3" s="4"/>
      <c r="D3" s="4" t="s">
        <v>115</v>
      </c>
      <c r="E3" s="4"/>
      <c r="F3" s="4"/>
      <c r="G3" s="4"/>
      <c r="H3" s="4"/>
      <c r="I3" s="4"/>
      <c r="J3" s="4"/>
      <c r="K3" s="4"/>
      <c r="L3" s="4"/>
      <c r="N3" s="4"/>
      <c r="O3" s="4" t="s">
        <v>116</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20" t="s">
        <v>3</v>
      </c>
      <c r="D6" s="5" t="str" cm="1">
        <f t="array" ref="D6">MMS_Dairy_LeachingAndRunoff_Equations.VEERG_4_3_1_6__2_MassOfNitrogenLostToLeachingAndRunoffFromSolidStorage_Source()</f>
        <v>VEERG 2026: 4.3.1.6, Equation (2)</v>
      </c>
    </row>
    <row r="7" spans="1:23" ht="20.100000000000001" customHeight="1" x14ac:dyDescent="0.25">
      <c r="A7" s="17" t="str">
        <f>HYPERLINK("#'Input - Site'!A1", "Site")</f>
        <v>Site</v>
      </c>
      <c r="D7" s="13" t="s">
        <v>27</v>
      </c>
      <c r="E7" s="13" t="str" cm="1">
        <f t="array" aca="1" ref="E7" ca="1">Common_InputFunctions.Utility_DisplayFunctionName($F$35)</f>
        <v>=MMS_Dairy_LeachingAndRunoff_Equations.VEERG_4_3_1_6__2_MassOfNitrogenLostToLeachingAndRunoffFromSolidStorage</v>
      </c>
    </row>
    <row r="8" spans="1:23" ht="20.100000000000001" customHeight="1" x14ac:dyDescent="0.25">
      <c r="A8" s="17" t="str">
        <f>HYPERLINK("#'Input - Dairy'!A1", "Dairy")</f>
        <v>Dairy</v>
      </c>
      <c r="G8" s="113" t="s">
        <v>268</v>
      </c>
    </row>
    <row r="9" spans="1:23" ht="20.100000000000001" customHeight="1" x14ac:dyDescent="0.25">
      <c r="A9" s="17"/>
    </row>
    <row r="10" spans="1:23" ht="20.100000000000001" customHeight="1" x14ac:dyDescent="0.25">
      <c r="A10" s="19" t="s">
        <v>77</v>
      </c>
      <c r="D10" s="56" t="s">
        <v>30</v>
      </c>
      <c r="E10" s="1" t="str" cm="1">
        <f t="array" ref="E10">MMS_Dairy_LeachingAndRunoff_Equations.VEERG_4_3_1_6__2_MassOfNitrogenLostToLeachingAndRunoffFromSolidStorage_Variable()</f>
        <v>MNLeach_jm4</v>
      </c>
    </row>
    <row r="11" spans="1:23" ht="20.100000000000001" customHeight="1" x14ac:dyDescent="0.25">
      <c r="A11" s="17" t="str">
        <f>HYPERLINK("#'4.3.1.1-2 Methane'!A1", "4.3.1.1-2 Methane")</f>
        <v>4.3.1.1-2 Methane</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39" t="str" cm="1">
        <f t="array" ref="D13:E18">MMS_Dairy_LeachingAndRunoff_Equations.VEERG_4_3_1_6__2_MassOfNitrogenLostToLeachingAndRunoffFromSolidStorage_Arguments()</f>
        <v>MN_jm4</v>
      </c>
      <c r="E13" s="61" t="str">
        <v>total nitrogen in solid storage system m=4 (kg N)</v>
      </c>
      <c r="F13" s="105"/>
      <c r="G13" s="62"/>
      <c r="H13" s="60" t="str">
        <f>"See " &amp; D20</f>
        <v>See M1_Table_MN_j_m</v>
      </c>
      <c r="I13" s="1" t="s">
        <v>291</v>
      </c>
    </row>
    <row r="14" spans="1:23" ht="20.100000000000001" customHeight="1" x14ac:dyDescent="0.25">
      <c r="A14" s="17" t="str">
        <f>HYPERLINK("#'4.3.1.6-7 Leaching and runoff'!A1", "4.3.1.6-7 Leaching and runoff")</f>
        <v>4.3.1.6-7 Leaching and runoff</v>
      </c>
      <c r="D14" s="60" t="str">
        <v>FracWET_i</v>
      </c>
      <c r="E14" s="61" t="str">
        <v>fraction of N that is available for leaching and runoff from the leaching zone z and irrigation type ir (dimensionless)</v>
      </c>
      <c r="F14" s="105"/>
      <c r="G14" s="62"/>
      <c r="H14" s="60" cm="1">
        <f t="array" ref="H14">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22" t="str">
        <f>HYPERLINK("#'4.3.1.8 Manure applied to soils'!A1", "4.3.1.8 Manure applied to soils")</f>
        <v>4.3.1.8 Manure applied to soils</v>
      </c>
      <c r="D15" s="60" t="str">
        <v>FracLEACH_MS</v>
      </c>
      <c r="E15" s="61" t="str">
        <v>fraction of N that is lost through leaching and runoff (dimensionless)</v>
      </c>
      <c r="F15" s="105"/>
      <c r="G15" s="62"/>
      <c r="H15" s="60" t="str">
        <f>'Constants - Pature Beef'!$D$237</f>
        <v>VIC</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Pasture Beef'!$E$273</f>
        <v>Pasture</v>
      </c>
    </row>
    <row r="18" spans="1:22" ht="20.100000000000001" customHeight="1" x14ac:dyDescent="0.25">
      <c r="A18" s="17" t="str">
        <f>HYPERLINK("#'4.3.1.12-13 Soil leach runoff'!A1", "4.3.1.12-13 Soil leach &amp; runoff")</f>
        <v>4.3.1.12-13 Soil leach &amp; runoff</v>
      </c>
      <c r="D18" s="60" t="str">
        <v>ir</v>
      </c>
      <c r="E18" s="61" t="str">
        <v>irrigation method</v>
      </c>
      <c r="F18" s="105"/>
      <c r="G18" s="62"/>
      <c r="H18" s="60" t="str">
        <f>'Input - Pasture Beef'!$E$274</f>
        <v>Sprinkler irrigation</v>
      </c>
    </row>
    <row r="19" spans="1:22" ht="20.100000000000001" customHeight="1" x14ac:dyDescent="0.25">
      <c r="A19" s="17"/>
    </row>
    <row r="20" spans="1:22" ht="20.100000000000001" customHeight="1" x14ac:dyDescent="0.25">
      <c r="A20" s="18" t="s">
        <v>4</v>
      </c>
      <c r="D20" s="104" t="s">
        <v>251</v>
      </c>
      <c r="O20" s="104" t="s">
        <v>254</v>
      </c>
    </row>
    <row r="21" spans="1:22" ht="20.100000000000001" customHeight="1" x14ac:dyDescent="0.25">
      <c r="A21" s="17" t="str">
        <f>HYPERLINK("#'Constants - Dairy'!A1", "Constants - Dairy")</f>
        <v>Constants - Dairy</v>
      </c>
      <c r="D21" s="103" t="s">
        <v>252</v>
      </c>
      <c r="O21" s="103" t="s">
        <v>253</v>
      </c>
    </row>
    <row r="22" spans="1:22" ht="20.100000000000001" customHeight="1" x14ac:dyDescent="0.25">
      <c r="A22" s="17" t="str">
        <f>HYPERLINK("#'Constants - Livestock'!A1", "Constants - Livestock")</f>
        <v>Constants - Livestock</v>
      </c>
      <c r="D22" s="54" t="s">
        <v>144</v>
      </c>
      <c r="E22" s="54" t="s">
        <v>68</v>
      </c>
      <c r="F22" s="54" t="s">
        <v>173</v>
      </c>
      <c r="G22" s="54" t="s">
        <v>175</v>
      </c>
      <c r="H22" s="54" t="s">
        <v>176</v>
      </c>
      <c r="I22" s="54" t="s">
        <v>177</v>
      </c>
      <c r="J22" s="54" t="s">
        <v>178</v>
      </c>
      <c r="O22" s="54" t="s">
        <v>144</v>
      </c>
      <c r="P22" s="54" t="s">
        <v>68</v>
      </c>
      <c r="Q22" s="54" t="s">
        <v>173</v>
      </c>
      <c r="R22" s="54" t="s">
        <v>175</v>
      </c>
      <c r="S22" s="54" t="s">
        <v>176</v>
      </c>
      <c r="T22" s="54" t="s">
        <v>177</v>
      </c>
      <c r="U22" s="54" t="s">
        <v>178</v>
      </c>
    </row>
    <row r="23" spans="1:22" ht="20.100000000000001" customHeight="1" x14ac:dyDescent="0.25">
      <c r="A23" s="17" t="str">
        <f>HYPERLINK("#'Constants - Common'!A1", "Constants - Common")</f>
        <v>Constants - Common</v>
      </c>
      <c r="D23" s="136" t="str">
        <f>'Input - Pasture Beef'!$D$144</f>
        <v>Milking shed</v>
      </c>
      <c r="E23" s="136" t="str">
        <f>'Input - Pasture Beef'!$D$157</f>
        <v>Anaerobic lagoon</v>
      </c>
      <c r="F23" s="55" t="e">
        <f ca="1">'4.3.1.3-4 Direct N20'!$F$236</f>
        <v>#REF!</v>
      </c>
      <c r="G23" s="55" t="e">
        <f ca="1">'4.3.1.3-4 Direct N20'!$G$236</f>
        <v>#REF!</v>
      </c>
      <c r="H23" s="55" t="e">
        <f ca="1">'4.3.1.3-4 Direct N20'!$H$236</f>
        <v>#VALUE!</v>
      </c>
      <c r="I23" s="55" t="e">
        <f ca="1">'4.3.1.3-4 Direct N20'!$I$236</f>
        <v>#VALUE!</v>
      </c>
      <c r="J23" s="55" t="e">
        <f ca="1">'4.3.1.3-4 Direct N20'!$J$236</f>
        <v>#VALUE!</v>
      </c>
      <c r="K23" s="2" t="s">
        <v>120</v>
      </c>
      <c r="O23" s="136" t="str">
        <f>'Input - Pasture Beef'!$D$144</f>
        <v>Milking shed</v>
      </c>
      <c r="P23" s="136" t="str">
        <f>'Input - Pasture Beef'!$D$157</f>
        <v>Anaerobic lagoon</v>
      </c>
      <c r="Q23" s="55" t="e">
        <f ca="1">'4.3.1.3-4 Direct N20'!$P$236</f>
        <v>#VALUE!</v>
      </c>
      <c r="R23" s="55" t="e">
        <f ca="1">'4.3.1.3-4 Direct N20'!$Q$236</f>
        <v>#VALUE!</v>
      </c>
      <c r="S23" s="55" t="e">
        <f ca="1">'4.3.1.3-4 Direct N20'!$R$236</f>
        <v>#VALUE!</v>
      </c>
      <c r="T23" s="55" t="e">
        <f ca="1">'4.3.1.3-4 Direct N20'!$S$236</f>
        <v>#VALUE!</v>
      </c>
      <c r="U23" s="55" t="e">
        <f ca="1">'4.3.1.3-4 Direct N20'!$T$236</f>
        <v>#VALUE!</v>
      </c>
      <c r="V23" s="2" t="s">
        <v>120</v>
      </c>
    </row>
    <row r="24" spans="1:22" ht="20.100000000000001" customHeight="1" x14ac:dyDescent="0.25">
      <c r="A24" s="17" t="str">
        <f>HYPERLINK("#'Acknowledgements'!A1", "Acknowledgements")</f>
        <v>Acknowledgements</v>
      </c>
      <c r="D24" s="136" t="str">
        <f>'Input - Pasture Beef'!$D$144</f>
        <v>Milking shed</v>
      </c>
      <c r="E24" s="136" t="str">
        <f>'Input - Pasture Beef'!$D$162</f>
        <v>Sump and dispersal system</v>
      </c>
      <c r="F24" s="55" t="e">
        <f ca="1">'4.3.1.3-4 Direct N20'!$F$237</f>
        <v>#REF!</v>
      </c>
      <c r="G24" s="55" t="e">
        <f ca="1">'4.3.1.3-4 Direct N20'!$G$237</f>
        <v>#REF!</v>
      </c>
      <c r="H24" s="55" t="e">
        <f ca="1">'4.3.1.3-4 Direct N20'!$H$237</f>
        <v>#VALUE!</v>
      </c>
      <c r="I24" s="55" t="e">
        <f ca="1">'4.3.1.3-4 Direct N20'!$I$237</f>
        <v>#VALUE!</v>
      </c>
      <c r="J24" s="55" t="e">
        <f ca="1">'4.3.1.3-4 Direct N20'!$J$237</f>
        <v>#VALUE!</v>
      </c>
      <c r="K24" s="2" t="s">
        <v>120</v>
      </c>
      <c r="O24" s="136" t="str">
        <f>'Input - Pasture Beef'!$D$144</f>
        <v>Milking shed</v>
      </c>
      <c r="P24" s="136" t="str">
        <f>'Input - Pasture Beef'!$D$162</f>
        <v>Sump and dispersal system</v>
      </c>
      <c r="Q24" s="55" t="e">
        <f ca="1">'4.3.1.3-4 Direct N20'!$P$237</f>
        <v>#VALUE!</v>
      </c>
      <c r="R24" s="55" t="e">
        <f ca="1">'4.3.1.3-4 Direct N20'!$Q$237</f>
        <v>#VALUE!</v>
      </c>
      <c r="S24" s="55" t="e">
        <f ca="1">'4.3.1.3-4 Direct N20'!$R$237</f>
        <v>#VALUE!</v>
      </c>
      <c r="T24" s="55" t="e">
        <f ca="1">'4.3.1.3-4 Direct N20'!$S$237</f>
        <v>#VALUE!</v>
      </c>
      <c r="U24" s="55" t="e">
        <f ca="1">'4.3.1.3-4 Direct N20'!$T$237</f>
        <v>#VALUE!</v>
      </c>
      <c r="V24" s="2" t="s">
        <v>120</v>
      </c>
    </row>
    <row r="25" spans="1:22" ht="20.100000000000001" customHeight="1" x14ac:dyDescent="0.25">
      <c r="D25" s="136" t="str">
        <f>'Input - Pasture Beef'!$D$144</f>
        <v>Milking shed</v>
      </c>
      <c r="E25" s="136" t="str">
        <f>'Input - Pasture Beef'!$D$167</f>
        <v>Drains to paddock</v>
      </c>
      <c r="F25" s="55" t="e">
        <f ca="1">'4.3.1.3-4 Direct N20'!$F$238</f>
        <v>#REF!</v>
      </c>
      <c r="G25" s="55" t="e">
        <f ca="1">'4.3.1.3-4 Direct N20'!$G$238</f>
        <v>#REF!</v>
      </c>
      <c r="H25" s="55" t="e">
        <f ca="1">'4.3.1.3-4 Direct N20'!$H$238</f>
        <v>#VALUE!</v>
      </c>
      <c r="I25" s="55" t="e">
        <f ca="1">'4.3.1.3-4 Direct N20'!$I$238</f>
        <v>#VALUE!</v>
      </c>
      <c r="J25" s="55" t="e">
        <f ca="1">'4.3.1.3-4 Direct N20'!$J$238</f>
        <v>#VALUE!</v>
      </c>
      <c r="K25" s="2" t="s">
        <v>120</v>
      </c>
      <c r="O25" s="136" t="str">
        <f>'Input - Pasture Beef'!$D$144</f>
        <v>Milking shed</v>
      </c>
      <c r="P25" s="136" t="str">
        <f>'Input - Pasture Beef'!$D$167</f>
        <v>Drains to paddock</v>
      </c>
      <c r="Q25" s="55" t="e">
        <f ca="1">'4.3.1.3-4 Direct N20'!$P$238</f>
        <v>#VALUE!</v>
      </c>
      <c r="R25" s="55" t="e">
        <f ca="1">'4.3.1.3-4 Direct N20'!$Q$238</f>
        <v>#VALUE!</v>
      </c>
      <c r="S25" s="55" t="e">
        <f ca="1">'4.3.1.3-4 Direct N20'!$R$238</f>
        <v>#VALUE!</v>
      </c>
      <c r="T25" s="55" t="e">
        <f ca="1">'4.3.1.3-4 Direct N20'!$S$238</f>
        <v>#VALUE!</v>
      </c>
      <c r="U25" s="55" t="e">
        <f ca="1">'4.3.1.3-4 Direct N20'!$T$238</f>
        <v>#VALUE!</v>
      </c>
      <c r="V25" s="2" t="s">
        <v>120</v>
      </c>
    </row>
    <row r="26" spans="1:22" ht="20.100000000000001" customHeight="1" x14ac:dyDescent="0.25">
      <c r="D26" s="136" t="str">
        <f>'Input - Pasture Beef'!$D$144</f>
        <v>Milking shed</v>
      </c>
      <c r="E26" s="136" t="str">
        <f>'Input - Pasture Beef'!$D$172</f>
        <v>Solid storage</v>
      </c>
      <c r="F26" s="55" t="e">
        <f ca="1">'4.3.1.3-4 Direct N20'!$F$239</f>
        <v>#REF!</v>
      </c>
      <c r="G26" s="55" t="e">
        <f ca="1">'4.3.1.3-4 Direct N20'!$G$239</f>
        <v>#REF!</v>
      </c>
      <c r="H26" s="55" t="e">
        <f ca="1">'4.3.1.3-4 Direct N20'!$H$239</f>
        <v>#VALUE!</v>
      </c>
      <c r="I26" s="55" t="e">
        <f ca="1">'4.3.1.3-4 Direct N20'!$I$239</f>
        <v>#VALUE!</v>
      </c>
      <c r="J26" s="55" t="e">
        <f ca="1">'4.3.1.3-4 Direct N20'!$J$239</f>
        <v>#VALUE!</v>
      </c>
      <c r="K26" s="2" t="s">
        <v>120</v>
      </c>
      <c r="O26" s="136" t="str">
        <f>'Input - Pasture Beef'!$D$144</f>
        <v>Milking shed</v>
      </c>
      <c r="P26" s="136" t="str">
        <f>'Input - Pasture Beef'!$D$172</f>
        <v>Solid storage</v>
      </c>
      <c r="Q26" s="55" t="e">
        <f ca="1">'4.3.1.3-4 Direct N20'!$P$239</f>
        <v>#VALUE!</v>
      </c>
      <c r="R26" s="55" t="e">
        <f ca="1">'4.3.1.3-4 Direct N20'!$Q$239</f>
        <v>#VALUE!</v>
      </c>
      <c r="S26" s="55" t="e">
        <f ca="1">'4.3.1.3-4 Direct N20'!$R$239</f>
        <v>#VALUE!</v>
      </c>
      <c r="T26" s="55" t="e">
        <f ca="1">'4.3.1.3-4 Direct N20'!$S$239</f>
        <v>#VALUE!</v>
      </c>
      <c r="U26" s="55" t="e">
        <f ca="1">'4.3.1.3-4 Direct N20'!$T$239</f>
        <v>#VALUE!</v>
      </c>
      <c r="V26" s="2" t="s">
        <v>120</v>
      </c>
    </row>
    <row r="27" spans="1:22" ht="20.100000000000001" customHeight="1" x14ac:dyDescent="0.25">
      <c r="D27" s="136" t="str">
        <f>'Input - Pasture Beef'!$D$145</f>
        <v>Feed pad</v>
      </c>
      <c r="E27" s="136" t="str">
        <f>'Input - Pasture Beef'!$D$191</f>
        <v>Anaerobic lagoon</v>
      </c>
      <c r="F27" s="55" t="e">
        <f ca="1">'4.3.1.3-4 Direct N20'!$F$240</f>
        <v>#REF!</v>
      </c>
      <c r="G27" s="55" t="e">
        <f ca="1">'4.3.1.3-4 Direct N20'!$G$240</f>
        <v>#REF!</v>
      </c>
      <c r="H27" s="55" t="e">
        <f ca="1">'4.3.1.3-4 Direct N20'!$H$240</f>
        <v>#VALUE!</v>
      </c>
      <c r="I27" s="55" t="e">
        <f ca="1">'4.3.1.3-4 Direct N20'!$I$240</f>
        <v>#VALUE!</v>
      </c>
      <c r="J27" s="55" t="e">
        <f ca="1">'4.3.1.3-4 Direct N20'!$J$240</f>
        <v>#VALUE!</v>
      </c>
      <c r="K27" s="2" t="s">
        <v>120</v>
      </c>
      <c r="O27" s="136" t="str">
        <f>'Input - Pasture Beef'!$D$145</f>
        <v>Feed pad</v>
      </c>
      <c r="P27" s="136" t="str">
        <f>'Input - Pasture Beef'!$D$191</f>
        <v>Anaerobic lagoon</v>
      </c>
      <c r="Q27" s="55" t="e">
        <f ca="1">'4.3.1.3-4 Direct N20'!$P$240</f>
        <v>#VALUE!</v>
      </c>
      <c r="R27" s="55" t="e">
        <f ca="1">'4.3.1.3-4 Direct N20'!$Q$240</f>
        <v>#VALUE!</v>
      </c>
      <c r="S27" s="55" t="e">
        <f ca="1">'4.3.1.3-4 Direct N20'!$R$240</f>
        <v>#VALUE!</v>
      </c>
      <c r="T27" s="55" t="e">
        <f ca="1">'4.3.1.3-4 Direct N20'!$S$240</f>
        <v>#VALUE!</v>
      </c>
      <c r="U27" s="55" t="e">
        <f ca="1">'4.3.1.3-4 Direct N20'!$T$240</f>
        <v>#VALUE!</v>
      </c>
      <c r="V27" s="2" t="s">
        <v>120</v>
      </c>
    </row>
    <row r="28" spans="1:22" ht="20.100000000000001" customHeight="1" x14ac:dyDescent="0.25">
      <c r="D28" s="136" t="str">
        <f>'Input - Pasture Beef'!$D$145</f>
        <v>Feed pad</v>
      </c>
      <c r="E28" s="136" t="str">
        <f>'Input - Pasture Beef'!$D$196</f>
        <v>Sump and dispersal system</v>
      </c>
      <c r="F28" s="55" t="e">
        <f ca="1">'4.3.1.3-4 Direct N20'!$F$241</f>
        <v>#REF!</v>
      </c>
      <c r="G28" s="55" t="e">
        <f ca="1">'4.3.1.3-4 Direct N20'!$G$241</f>
        <v>#REF!</v>
      </c>
      <c r="H28" s="55" t="e">
        <f ca="1">'4.3.1.3-4 Direct N20'!$H$241</f>
        <v>#VALUE!</v>
      </c>
      <c r="I28" s="55" t="e">
        <f ca="1">'4.3.1.3-4 Direct N20'!$I$241</f>
        <v>#VALUE!</v>
      </c>
      <c r="J28" s="55" t="e">
        <f ca="1">'4.3.1.3-4 Direct N20'!$J$241</f>
        <v>#VALUE!</v>
      </c>
      <c r="K28" s="2" t="s">
        <v>120</v>
      </c>
      <c r="O28" s="136" t="str">
        <f>'Input - Pasture Beef'!$D$145</f>
        <v>Feed pad</v>
      </c>
      <c r="P28" s="136" t="str">
        <f>'Input - Pasture Beef'!$D$196</f>
        <v>Sump and dispersal system</v>
      </c>
      <c r="Q28" s="55" t="e">
        <f ca="1">'4.3.1.3-4 Direct N20'!$P$241</f>
        <v>#VALUE!</v>
      </c>
      <c r="R28" s="55" t="e">
        <f ca="1">'4.3.1.3-4 Direct N20'!$Q$241</f>
        <v>#VALUE!</v>
      </c>
      <c r="S28" s="55" t="e">
        <f ca="1">'4.3.1.3-4 Direct N20'!$R$241</f>
        <v>#VALUE!</v>
      </c>
      <c r="T28" s="55" t="e">
        <f ca="1">'4.3.1.3-4 Direct N20'!$S$241</f>
        <v>#VALUE!</v>
      </c>
      <c r="U28" s="55" t="e">
        <f ca="1">'4.3.1.3-4 Direct N20'!$T$241</f>
        <v>#VALUE!</v>
      </c>
      <c r="V28" s="2" t="s">
        <v>120</v>
      </c>
    </row>
    <row r="29" spans="1:22" ht="20.100000000000001" customHeight="1" x14ac:dyDescent="0.25">
      <c r="D29" s="136" t="str">
        <f>'Input - Pasture Beef'!$D$145</f>
        <v>Feed pad</v>
      </c>
      <c r="E29" s="136" t="str">
        <f>'Input - Pasture Beef'!$D$201</f>
        <v>Drains to paddock</v>
      </c>
      <c r="F29" s="55" t="e">
        <f ca="1">'4.3.1.3-4 Direct N20'!$F$242</f>
        <v>#REF!</v>
      </c>
      <c r="G29" s="55" t="e">
        <f ca="1">'4.3.1.3-4 Direct N20'!$G$242</f>
        <v>#REF!</v>
      </c>
      <c r="H29" s="55" t="e">
        <f ca="1">'4.3.1.3-4 Direct N20'!$H$242</f>
        <v>#VALUE!</v>
      </c>
      <c r="I29" s="55" t="e">
        <f ca="1">'4.3.1.3-4 Direct N20'!$I$242</f>
        <v>#VALUE!</v>
      </c>
      <c r="J29" s="55" t="e">
        <f ca="1">'4.3.1.3-4 Direct N20'!$J$242</f>
        <v>#VALUE!</v>
      </c>
      <c r="K29" s="2" t="s">
        <v>120</v>
      </c>
      <c r="O29" s="136" t="str">
        <f>'Input - Pasture Beef'!$D$145</f>
        <v>Feed pad</v>
      </c>
      <c r="P29" s="136" t="str">
        <f>'Input - Pasture Beef'!$D$201</f>
        <v>Drains to paddock</v>
      </c>
      <c r="Q29" s="55" t="e">
        <f ca="1">'4.3.1.3-4 Direct N20'!$P$242</f>
        <v>#VALUE!</v>
      </c>
      <c r="R29" s="55" t="e">
        <f ca="1">'4.3.1.3-4 Direct N20'!$Q$242</f>
        <v>#VALUE!</v>
      </c>
      <c r="S29" s="55" t="e">
        <f ca="1">'4.3.1.3-4 Direct N20'!$R$242</f>
        <v>#VALUE!</v>
      </c>
      <c r="T29" s="55" t="e">
        <f ca="1">'4.3.1.3-4 Direct N20'!$S$242</f>
        <v>#VALUE!</v>
      </c>
      <c r="U29" s="55" t="e">
        <f ca="1">'4.3.1.3-4 Direct N20'!$T$242</f>
        <v>#VALUE!</v>
      </c>
      <c r="V29" s="2" t="s">
        <v>120</v>
      </c>
    </row>
    <row r="30" spans="1:22" ht="20.100000000000001" customHeight="1" x14ac:dyDescent="0.25">
      <c r="D30" s="136" t="str">
        <f>'Input - Pasture Beef'!$D$145</f>
        <v>Feed pad</v>
      </c>
      <c r="E30" s="136" t="str">
        <f>'Input - Pasture Beef'!$D$206</f>
        <v>Solid storage</v>
      </c>
      <c r="F30" s="55" t="e">
        <f ca="1">'4.3.1.3-4 Direct N20'!$F$243</f>
        <v>#REF!</v>
      </c>
      <c r="G30" s="55" t="e">
        <f ca="1">'4.3.1.3-4 Direct N20'!$G$243</f>
        <v>#REF!</v>
      </c>
      <c r="H30" s="55" t="e">
        <f ca="1">'4.3.1.3-4 Direct N20'!$H$243</f>
        <v>#VALUE!</v>
      </c>
      <c r="I30" s="55" t="e">
        <f ca="1">'4.3.1.3-4 Direct N20'!$I$243</f>
        <v>#VALUE!</v>
      </c>
      <c r="J30" s="55" t="e">
        <f ca="1">'4.3.1.3-4 Direct N20'!$J$243</f>
        <v>#VALUE!</v>
      </c>
      <c r="K30" s="2" t="s">
        <v>120</v>
      </c>
      <c r="O30" s="136" t="str">
        <f>'Input - Pasture Beef'!$D$145</f>
        <v>Feed pad</v>
      </c>
      <c r="P30" s="136" t="str">
        <f>'Input - Pasture Beef'!$D$206</f>
        <v>Solid storage</v>
      </c>
      <c r="Q30" s="55" t="e">
        <f ca="1">'4.3.1.3-4 Direct N20'!$P$243</f>
        <v>#VALUE!</v>
      </c>
      <c r="R30" s="55" t="e">
        <f ca="1">'4.3.1.3-4 Direct N20'!$Q$243</f>
        <v>#VALUE!</v>
      </c>
      <c r="S30" s="55" t="e">
        <f ca="1">'4.3.1.3-4 Direct N20'!$R$243</f>
        <v>#VALUE!</v>
      </c>
      <c r="T30" s="55" t="e">
        <f ca="1">'4.3.1.3-4 Direct N20'!$S$243</f>
        <v>#VALUE!</v>
      </c>
      <c r="U30" s="55" t="e">
        <f ca="1">'4.3.1.3-4 Direct N20'!$T$243</f>
        <v>#VALUE!</v>
      </c>
      <c r="V30" s="2" t="s">
        <v>120</v>
      </c>
    </row>
    <row r="31" spans="1:22" ht="20.100000000000001" customHeight="1" x14ac:dyDescent="0.25"/>
    <row r="32" spans="1:22" ht="20.100000000000001" customHeight="1" x14ac:dyDescent="0.25">
      <c r="D32" s="104" t="s">
        <v>284</v>
      </c>
      <c r="O32" s="104" t="s">
        <v>285</v>
      </c>
    </row>
    <row r="33" spans="3:23" ht="20.100000000000001" customHeight="1" x14ac:dyDescent="0.25">
      <c r="D33" s="103" t="s">
        <v>287</v>
      </c>
      <c r="O33" s="103" t="s">
        <v>286</v>
      </c>
    </row>
    <row r="34" spans="3:23" ht="20.100000000000001" customHeight="1" x14ac:dyDescent="0.25">
      <c r="D34" s="54" t="s">
        <v>144</v>
      </c>
      <c r="E34" s="54" t="s">
        <v>68</v>
      </c>
      <c r="F34" s="54" t="s">
        <v>173</v>
      </c>
      <c r="G34" s="54" t="s">
        <v>175</v>
      </c>
      <c r="H34" s="54" t="s">
        <v>176</v>
      </c>
      <c r="I34" s="54" t="s">
        <v>177</v>
      </c>
      <c r="J34" s="54" t="s">
        <v>178</v>
      </c>
      <c r="O34" s="54" t="s">
        <v>144</v>
      </c>
      <c r="P34" s="54" t="s">
        <v>68</v>
      </c>
      <c r="Q34" s="54" t="s">
        <v>173</v>
      </c>
      <c r="R34" s="54" t="s">
        <v>175</v>
      </c>
      <c r="S34" s="54" t="s">
        <v>176</v>
      </c>
      <c r="T34" s="54" t="s">
        <v>177</v>
      </c>
      <c r="U34" s="54" t="s">
        <v>178</v>
      </c>
    </row>
    <row r="35" spans="3:23" ht="20.100000000000001" customHeight="1" x14ac:dyDescent="0.25">
      <c r="D35" s="136" t="str">
        <f>'Input - Pasture Beef'!$D$144</f>
        <v>Milking shed</v>
      </c>
      <c r="E35" s="136" t="str">
        <f>'Input - Pasture Beef'!$D$157</f>
        <v>Anaerobic lagoon</v>
      </c>
      <c r="F35" s="55" t="e" cm="1">
        <f t="array" aca="1" ref="F35" ca="1">MMS_Dairy_LeachingAndRunoff_Equations.VEERG_4_3_1_6__2_MassOfNitrogenLostToLeachingAndRunoffFromSolidStorage(F23,$H$14,$H$15)</f>
        <v>#REF!</v>
      </c>
      <c r="G35" s="55" t="e" cm="1">
        <f t="array" aca="1" ref="G35" ca="1">MMS_Dairy_LeachingAndRunoff_Equations.VEERG_4_3_1_6__2_MassOfNitrogenLostToLeachingAndRunoffFromSolidStorage(G23,$H$14,$H$15)</f>
        <v>#REF!</v>
      </c>
      <c r="H35" s="55" t="e" cm="1">
        <f t="array" aca="1" ref="H35" ca="1">MMS_Dairy_LeachingAndRunoff_Equations.VEERG_4_3_1_6__2_MassOfNitrogenLostToLeachingAndRunoffFromSolidStorage(H23,$H$14,$H$15)</f>
        <v>#VALUE!</v>
      </c>
      <c r="I35" s="55" t="e" cm="1">
        <f t="array" aca="1" ref="I35" ca="1">MMS_Dairy_LeachingAndRunoff_Equations.VEERG_4_3_1_6__2_MassOfNitrogenLostToLeachingAndRunoffFromSolidStorage(I23,$H$14,$H$15)</f>
        <v>#VALUE!</v>
      </c>
      <c r="J35" s="55" t="e" cm="1">
        <f t="array" aca="1" ref="J35" ca="1">MMS_Dairy_LeachingAndRunoff_Equations.VEERG_4_3_1_6__2_MassOfNitrogenLostToLeachingAndRunoffFromSolidStorage(J23,$H$14,$H$15)</f>
        <v>#VALUE!</v>
      </c>
      <c r="K35" s="2" t="str">
        <f>$E$11</f>
        <v>kg N</v>
      </c>
      <c r="O35" s="136" t="str">
        <f>'Input - Pasture Beef'!$D$144</f>
        <v>Milking shed</v>
      </c>
      <c r="P35" s="136" t="str">
        <f>'Input - Pasture Beef'!$D$157</f>
        <v>Anaerobic lagoon</v>
      </c>
      <c r="Q35" s="55" t="e" cm="1">
        <f t="array" aca="1" ref="Q35" ca="1">MMS_Dairy_LeachingAndRunoff_Equations.VEERG_4_3_1_6__2_MassOfNitrogenLostToLeachingAndRunoffFromSolidStorage(Q23,$H$14,$H$15)</f>
        <v>#VALUE!</v>
      </c>
      <c r="R35" s="55" t="e" cm="1">
        <f t="array" aca="1" ref="R35" ca="1">MMS_Dairy_LeachingAndRunoff_Equations.VEERG_4_3_1_6__2_MassOfNitrogenLostToLeachingAndRunoffFromSolidStorage(R23,$H$14,$H$15)</f>
        <v>#VALUE!</v>
      </c>
      <c r="S35" s="55" t="e" cm="1">
        <f t="array" aca="1" ref="S35" ca="1">MMS_Dairy_LeachingAndRunoff_Equations.VEERG_4_3_1_6__2_MassOfNitrogenLostToLeachingAndRunoffFromSolidStorage(S23,$H$14,$H$15)</f>
        <v>#VALUE!</v>
      </c>
      <c r="T35" s="55" t="e" cm="1">
        <f t="array" aca="1" ref="T35" ca="1">MMS_Dairy_LeachingAndRunoff_Equations.VEERG_4_3_1_6__2_MassOfNitrogenLostToLeachingAndRunoffFromSolidStorage(T23,$H$14,$H$15)</f>
        <v>#VALUE!</v>
      </c>
      <c r="U35" s="55" t="e" cm="1">
        <f t="array" aca="1" ref="U35" ca="1">MMS_Dairy_LeachingAndRunoff_Equations.VEERG_4_3_1_6__2_MassOfNitrogenLostToLeachingAndRunoffFromSolidStorage(U23,$H$14,$H$15)</f>
        <v>#VALUE!</v>
      </c>
      <c r="V35" s="2" t="str">
        <f>$E$11</f>
        <v>kg N</v>
      </c>
    </row>
    <row r="36" spans="3:23" ht="20.100000000000001" customHeight="1" x14ac:dyDescent="0.25">
      <c r="D36" s="136" t="str">
        <f>'Input - Pasture Beef'!$D$144</f>
        <v>Milking shed</v>
      </c>
      <c r="E36" s="136" t="str">
        <f>'Input - Pasture Beef'!$D$162</f>
        <v>Sump and dispersal system</v>
      </c>
      <c r="F36" s="55" t="e" cm="1">
        <f t="array" aca="1" ref="F36" ca="1">MMS_Dairy_LeachingAndRunoff_Equations.VEERG_4_3_1_6__2_MassOfNitrogenLostToLeachingAndRunoffFromSolidStorage(F24,$H$14,$H$15)</f>
        <v>#REF!</v>
      </c>
      <c r="G36" s="55" t="e" cm="1">
        <f t="array" aca="1" ref="G36" ca="1">MMS_Dairy_LeachingAndRunoff_Equations.VEERG_4_3_1_6__2_MassOfNitrogenLostToLeachingAndRunoffFromSolidStorage(G24,$H$14,$H$15)</f>
        <v>#REF!</v>
      </c>
      <c r="H36" s="55" t="e" cm="1">
        <f t="array" aca="1" ref="H36" ca="1">MMS_Dairy_LeachingAndRunoff_Equations.VEERG_4_3_1_6__2_MassOfNitrogenLostToLeachingAndRunoffFromSolidStorage(H24,$H$14,$H$15)</f>
        <v>#VALUE!</v>
      </c>
      <c r="I36" s="55" t="e" cm="1">
        <f t="array" aca="1" ref="I36" ca="1">MMS_Dairy_LeachingAndRunoff_Equations.VEERG_4_3_1_6__2_MassOfNitrogenLostToLeachingAndRunoffFromSolidStorage(I24,$H$14,$H$15)</f>
        <v>#VALUE!</v>
      </c>
      <c r="J36" s="55" t="e" cm="1">
        <f t="array" aca="1" ref="J36" ca="1">MMS_Dairy_LeachingAndRunoff_Equations.VEERG_4_3_1_6__2_MassOfNitrogenLostToLeachingAndRunoffFromSolidStorage(J24,$H$14,$H$15)</f>
        <v>#VALUE!</v>
      </c>
      <c r="K36" s="2" t="str">
        <f t="shared" ref="K36:K42" si="0">$E$11</f>
        <v>kg N</v>
      </c>
      <c r="O36" s="136" t="str">
        <f>'Input - Pasture Beef'!$D$144</f>
        <v>Milking shed</v>
      </c>
      <c r="P36" s="136" t="str">
        <f>'Input - Pasture Beef'!$D$162</f>
        <v>Sump and dispersal system</v>
      </c>
      <c r="Q36" s="55" t="e" cm="1">
        <f t="array" aca="1" ref="Q36" ca="1">MMS_Dairy_LeachingAndRunoff_Equations.VEERG_4_3_1_6__2_MassOfNitrogenLostToLeachingAndRunoffFromSolidStorage(Q24,$H$14,$H$15)</f>
        <v>#VALUE!</v>
      </c>
      <c r="R36" s="55" t="e" cm="1">
        <f t="array" aca="1" ref="R36" ca="1">MMS_Dairy_LeachingAndRunoff_Equations.VEERG_4_3_1_6__2_MassOfNitrogenLostToLeachingAndRunoffFromSolidStorage(R24,$H$14,$H$15)</f>
        <v>#VALUE!</v>
      </c>
      <c r="S36" s="55" t="e" cm="1">
        <f t="array" aca="1" ref="S36" ca="1">MMS_Dairy_LeachingAndRunoff_Equations.VEERG_4_3_1_6__2_MassOfNitrogenLostToLeachingAndRunoffFromSolidStorage(S24,$H$14,$H$15)</f>
        <v>#VALUE!</v>
      </c>
      <c r="T36" s="55" t="e" cm="1">
        <f t="array" aca="1" ref="T36" ca="1">MMS_Dairy_LeachingAndRunoff_Equations.VEERG_4_3_1_6__2_MassOfNitrogenLostToLeachingAndRunoffFromSolidStorage(T24,$H$14,$H$15)</f>
        <v>#VALUE!</v>
      </c>
      <c r="U36" s="55" t="e" cm="1">
        <f t="array" aca="1" ref="U36" ca="1">MMS_Dairy_LeachingAndRunoff_Equations.VEERG_4_3_1_6__2_MassOfNitrogenLostToLeachingAndRunoffFromSolidStorage(U24,$H$14,$H$15)</f>
        <v>#VALUE!</v>
      </c>
      <c r="V36" s="2" t="str">
        <f t="shared" ref="V36:V42" si="1">$E$11</f>
        <v>kg N</v>
      </c>
    </row>
    <row r="37" spans="3:23" ht="20.100000000000001" customHeight="1" x14ac:dyDescent="0.25">
      <c r="D37" s="136" t="str">
        <f>'Input - Pasture Beef'!$D$144</f>
        <v>Milking shed</v>
      </c>
      <c r="E37" s="136" t="str">
        <f>'Input - Pasture Beef'!$D$167</f>
        <v>Drains to paddock</v>
      </c>
      <c r="F37" s="55" t="e" cm="1">
        <f t="array" aca="1" ref="F37" ca="1">MMS_Dairy_LeachingAndRunoff_Equations.VEERG_4_3_1_6__2_MassOfNitrogenLostToLeachingAndRunoffFromSolidStorage(F25,$H$14,$H$15)</f>
        <v>#REF!</v>
      </c>
      <c r="G37" s="55" t="e" cm="1">
        <f t="array" aca="1" ref="G37" ca="1">MMS_Dairy_LeachingAndRunoff_Equations.VEERG_4_3_1_6__2_MassOfNitrogenLostToLeachingAndRunoffFromSolidStorage(G25,$H$14,$H$15)</f>
        <v>#REF!</v>
      </c>
      <c r="H37" s="55" t="e" cm="1">
        <f t="array" aca="1" ref="H37" ca="1">MMS_Dairy_LeachingAndRunoff_Equations.VEERG_4_3_1_6__2_MassOfNitrogenLostToLeachingAndRunoffFromSolidStorage(H25,$H$14,$H$15)</f>
        <v>#VALUE!</v>
      </c>
      <c r="I37" s="55" t="e" cm="1">
        <f t="array" aca="1" ref="I37" ca="1">MMS_Dairy_LeachingAndRunoff_Equations.VEERG_4_3_1_6__2_MassOfNitrogenLostToLeachingAndRunoffFromSolidStorage(I25,$H$14,$H$15)</f>
        <v>#VALUE!</v>
      </c>
      <c r="J37" s="55" t="e" cm="1">
        <f t="array" aca="1" ref="J37" ca="1">MMS_Dairy_LeachingAndRunoff_Equations.VEERG_4_3_1_6__2_MassOfNitrogenLostToLeachingAndRunoffFromSolidStorage(J25,$H$14,$H$15)</f>
        <v>#VALUE!</v>
      </c>
      <c r="K37" s="2" t="str">
        <f t="shared" si="0"/>
        <v>kg N</v>
      </c>
      <c r="O37" s="136" t="str">
        <f>'Input - Pasture Beef'!$D$144</f>
        <v>Milking shed</v>
      </c>
      <c r="P37" s="136" t="str">
        <f>'Input - Pasture Beef'!$D$167</f>
        <v>Drains to paddock</v>
      </c>
      <c r="Q37" s="55" t="e" cm="1">
        <f t="array" aca="1" ref="Q37" ca="1">MMS_Dairy_LeachingAndRunoff_Equations.VEERG_4_3_1_6__2_MassOfNitrogenLostToLeachingAndRunoffFromSolidStorage(Q25,$H$14,$H$15)</f>
        <v>#VALUE!</v>
      </c>
      <c r="R37" s="55" t="e" cm="1">
        <f t="array" aca="1" ref="R37" ca="1">MMS_Dairy_LeachingAndRunoff_Equations.VEERG_4_3_1_6__2_MassOfNitrogenLostToLeachingAndRunoffFromSolidStorage(R25,$H$14,$H$15)</f>
        <v>#VALUE!</v>
      </c>
      <c r="S37" s="55" t="e" cm="1">
        <f t="array" aca="1" ref="S37" ca="1">MMS_Dairy_LeachingAndRunoff_Equations.VEERG_4_3_1_6__2_MassOfNitrogenLostToLeachingAndRunoffFromSolidStorage(S25,$H$14,$H$15)</f>
        <v>#VALUE!</v>
      </c>
      <c r="T37" s="55" t="e" cm="1">
        <f t="array" aca="1" ref="T37" ca="1">MMS_Dairy_LeachingAndRunoff_Equations.VEERG_4_3_1_6__2_MassOfNitrogenLostToLeachingAndRunoffFromSolidStorage(T25,$H$14,$H$15)</f>
        <v>#VALUE!</v>
      </c>
      <c r="U37" s="55" t="e" cm="1">
        <f t="array" aca="1" ref="U37" ca="1">MMS_Dairy_LeachingAndRunoff_Equations.VEERG_4_3_1_6__2_MassOfNitrogenLostToLeachingAndRunoffFromSolidStorage(U25,$H$14,$H$15)</f>
        <v>#VALUE!</v>
      </c>
      <c r="V37" s="2" t="str">
        <f t="shared" si="1"/>
        <v>kg N</v>
      </c>
    </row>
    <row r="38" spans="3:23" ht="20.100000000000001" customHeight="1" x14ac:dyDescent="0.25">
      <c r="D38" s="136" t="str">
        <f>'Input - Pasture Beef'!$D$144</f>
        <v>Milking shed</v>
      </c>
      <c r="E38" s="136" t="str">
        <f>'Input - Pasture Beef'!$D$172</f>
        <v>Solid storage</v>
      </c>
      <c r="F38" s="55" t="e" cm="1">
        <f t="array" aca="1" ref="F38" ca="1">MMS_Dairy_LeachingAndRunoff_Equations.VEERG_4_3_1_6__2_MassOfNitrogenLostToLeachingAndRunoffFromSolidStorage(F26,$H$14,$H$15)</f>
        <v>#REF!</v>
      </c>
      <c r="G38" s="55" t="e" cm="1">
        <f t="array" aca="1" ref="G38" ca="1">MMS_Dairy_LeachingAndRunoff_Equations.VEERG_4_3_1_6__2_MassOfNitrogenLostToLeachingAndRunoffFromSolidStorage(G26,$H$14,$H$15)</f>
        <v>#REF!</v>
      </c>
      <c r="H38" s="55" t="e" cm="1">
        <f t="array" aca="1" ref="H38" ca="1">MMS_Dairy_LeachingAndRunoff_Equations.VEERG_4_3_1_6__2_MassOfNitrogenLostToLeachingAndRunoffFromSolidStorage(H26,$H$14,$H$15)</f>
        <v>#VALUE!</v>
      </c>
      <c r="I38" s="55" t="e" cm="1">
        <f t="array" aca="1" ref="I38" ca="1">MMS_Dairy_LeachingAndRunoff_Equations.VEERG_4_3_1_6__2_MassOfNitrogenLostToLeachingAndRunoffFromSolidStorage(I26,$H$14,$H$15)</f>
        <v>#VALUE!</v>
      </c>
      <c r="J38" s="55" t="e" cm="1">
        <f t="array" aca="1" ref="J38" ca="1">MMS_Dairy_LeachingAndRunoff_Equations.VEERG_4_3_1_6__2_MassOfNitrogenLostToLeachingAndRunoffFromSolidStorage(J26,$H$14,$H$15)</f>
        <v>#VALUE!</v>
      </c>
      <c r="K38" s="2" t="str">
        <f t="shared" si="0"/>
        <v>kg N</v>
      </c>
      <c r="O38" s="136" t="str">
        <f>'Input - Pasture Beef'!$D$144</f>
        <v>Milking shed</v>
      </c>
      <c r="P38" s="136" t="str">
        <f>'Input - Pasture Beef'!$D$172</f>
        <v>Solid storage</v>
      </c>
      <c r="Q38" s="55" t="e" cm="1">
        <f t="array" aca="1" ref="Q38" ca="1">MMS_Dairy_LeachingAndRunoff_Equations.VEERG_4_3_1_6__2_MassOfNitrogenLostToLeachingAndRunoffFromSolidStorage(Q26,$H$14,$H$15)</f>
        <v>#VALUE!</v>
      </c>
      <c r="R38" s="55" t="e" cm="1">
        <f t="array" aca="1" ref="R38" ca="1">MMS_Dairy_LeachingAndRunoff_Equations.VEERG_4_3_1_6__2_MassOfNitrogenLostToLeachingAndRunoffFromSolidStorage(R26,$H$14,$H$15)</f>
        <v>#VALUE!</v>
      </c>
      <c r="S38" s="55" t="e" cm="1">
        <f t="array" aca="1" ref="S38" ca="1">MMS_Dairy_LeachingAndRunoff_Equations.VEERG_4_3_1_6__2_MassOfNitrogenLostToLeachingAndRunoffFromSolidStorage(S26,$H$14,$H$15)</f>
        <v>#VALUE!</v>
      </c>
      <c r="T38" s="55" t="e" cm="1">
        <f t="array" aca="1" ref="T38" ca="1">MMS_Dairy_LeachingAndRunoff_Equations.VEERG_4_3_1_6__2_MassOfNitrogenLostToLeachingAndRunoffFromSolidStorage(T26,$H$14,$H$15)</f>
        <v>#VALUE!</v>
      </c>
      <c r="U38" s="55" t="e" cm="1">
        <f t="array" aca="1" ref="U38" ca="1">MMS_Dairy_LeachingAndRunoff_Equations.VEERG_4_3_1_6__2_MassOfNitrogenLostToLeachingAndRunoffFromSolidStorage(U26,$H$14,$H$15)</f>
        <v>#VALUE!</v>
      </c>
      <c r="V38" s="2" t="str">
        <f t="shared" si="1"/>
        <v>kg N</v>
      </c>
    </row>
    <row r="39" spans="3:23" ht="20.100000000000001" customHeight="1" x14ac:dyDescent="0.25">
      <c r="D39" s="136" t="str">
        <f>'Input - Pasture Beef'!$D$145</f>
        <v>Feed pad</v>
      </c>
      <c r="E39" s="136" t="str">
        <f>'Input - Pasture Beef'!$D$191</f>
        <v>Anaerobic lagoon</v>
      </c>
      <c r="F39" s="55" t="e" cm="1">
        <f t="array" aca="1" ref="F39" ca="1">MMS_Dairy_LeachingAndRunoff_Equations.VEERG_4_3_1_6__2_MassOfNitrogenLostToLeachingAndRunoffFromSolidStorage(F27,$H$14,$H$15)</f>
        <v>#REF!</v>
      </c>
      <c r="G39" s="55" t="e" cm="1">
        <f t="array" aca="1" ref="G39" ca="1">MMS_Dairy_LeachingAndRunoff_Equations.VEERG_4_3_1_6__2_MassOfNitrogenLostToLeachingAndRunoffFromSolidStorage(G27,$H$14,$H$15)</f>
        <v>#REF!</v>
      </c>
      <c r="H39" s="55" t="e" cm="1">
        <f t="array" aca="1" ref="H39" ca="1">MMS_Dairy_LeachingAndRunoff_Equations.VEERG_4_3_1_6__2_MassOfNitrogenLostToLeachingAndRunoffFromSolidStorage(H27,$H$14,$H$15)</f>
        <v>#VALUE!</v>
      </c>
      <c r="I39" s="55" t="e" cm="1">
        <f t="array" aca="1" ref="I39" ca="1">MMS_Dairy_LeachingAndRunoff_Equations.VEERG_4_3_1_6__2_MassOfNitrogenLostToLeachingAndRunoffFromSolidStorage(I27,$H$14,$H$15)</f>
        <v>#VALUE!</v>
      </c>
      <c r="J39" s="55" t="e" cm="1">
        <f t="array" aca="1" ref="J39" ca="1">MMS_Dairy_LeachingAndRunoff_Equations.VEERG_4_3_1_6__2_MassOfNitrogenLostToLeachingAndRunoffFromSolidStorage(J27,$H$14,$H$15)</f>
        <v>#VALUE!</v>
      </c>
      <c r="K39" s="2" t="str">
        <f t="shared" si="0"/>
        <v>kg N</v>
      </c>
      <c r="O39" s="136" t="str">
        <f>'Input - Pasture Beef'!$D$145</f>
        <v>Feed pad</v>
      </c>
      <c r="P39" s="136" t="str">
        <f>'Input - Pasture Beef'!$D$191</f>
        <v>Anaerobic lagoon</v>
      </c>
      <c r="Q39" s="55" t="e" cm="1">
        <f t="array" aca="1" ref="Q39" ca="1">MMS_Dairy_LeachingAndRunoff_Equations.VEERG_4_3_1_6__2_MassOfNitrogenLostToLeachingAndRunoffFromSolidStorage(Q27,$H$14,$H$15)</f>
        <v>#VALUE!</v>
      </c>
      <c r="R39" s="55" t="e" cm="1">
        <f t="array" aca="1" ref="R39" ca="1">MMS_Dairy_LeachingAndRunoff_Equations.VEERG_4_3_1_6__2_MassOfNitrogenLostToLeachingAndRunoffFromSolidStorage(R27,$H$14,$H$15)</f>
        <v>#VALUE!</v>
      </c>
      <c r="S39" s="55" t="e" cm="1">
        <f t="array" aca="1" ref="S39" ca="1">MMS_Dairy_LeachingAndRunoff_Equations.VEERG_4_3_1_6__2_MassOfNitrogenLostToLeachingAndRunoffFromSolidStorage(S27,$H$14,$H$15)</f>
        <v>#VALUE!</v>
      </c>
      <c r="T39" s="55" t="e" cm="1">
        <f t="array" aca="1" ref="T39" ca="1">MMS_Dairy_LeachingAndRunoff_Equations.VEERG_4_3_1_6__2_MassOfNitrogenLostToLeachingAndRunoffFromSolidStorage(T27,$H$14,$H$15)</f>
        <v>#VALUE!</v>
      </c>
      <c r="U39" s="55" t="e" cm="1">
        <f t="array" aca="1" ref="U39" ca="1">MMS_Dairy_LeachingAndRunoff_Equations.VEERG_4_3_1_6__2_MassOfNitrogenLostToLeachingAndRunoffFromSolidStorage(U27,$H$14,$H$15)</f>
        <v>#VALUE!</v>
      </c>
      <c r="V39" s="2" t="str">
        <f t="shared" si="1"/>
        <v>kg N</v>
      </c>
    </row>
    <row r="40" spans="3:23" ht="20.100000000000001" customHeight="1" x14ac:dyDescent="0.25">
      <c r="D40" s="136" t="str">
        <f>'Input - Pasture Beef'!$D$145</f>
        <v>Feed pad</v>
      </c>
      <c r="E40" s="136" t="str">
        <f>'Input - Pasture Beef'!$D$196</f>
        <v>Sump and dispersal system</v>
      </c>
      <c r="F40" s="55" t="e" cm="1">
        <f t="array" aca="1" ref="F40" ca="1">MMS_Dairy_LeachingAndRunoff_Equations.VEERG_4_3_1_6__2_MassOfNitrogenLostToLeachingAndRunoffFromSolidStorage(F28,$H$14,$H$15)</f>
        <v>#REF!</v>
      </c>
      <c r="G40" s="55" t="e" cm="1">
        <f t="array" aca="1" ref="G40" ca="1">MMS_Dairy_LeachingAndRunoff_Equations.VEERG_4_3_1_6__2_MassOfNitrogenLostToLeachingAndRunoffFromSolidStorage(G28,$H$14,$H$15)</f>
        <v>#REF!</v>
      </c>
      <c r="H40" s="55" t="e" cm="1">
        <f t="array" aca="1" ref="H40" ca="1">MMS_Dairy_LeachingAndRunoff_Equations.VEERG_4_3_1_6__2_MassOfNitrogenLostToLeachingAndRunoffFromSolidStorage(H28,$H$14,$H$15)</f>
        <v>#VALUE!</v>
      </c>
      <c r="I40" s="55" t="e" cm="1">
        <f t="array" aca="1" ref="I40" ca="1">MMS_Dairy_LeachingAndRunoff_Equations.VEERG_4_3_1_6__2_MassOfNitrogenLostToLeachingAndRunoffFromSolidStorage(I28,$H$14,$H$15)</f>
        <v>#VALUE!</v>
      </c>
      <c r="J40" s="55" t="e" cm="1">
        <f t="array" aca="1" ref="J40" ca="1">MMS_Dairy_LeachingAndRunoff_Equations.VEERG_4_3_1_6__2_MassOfNitrogenLostToLeachingAndRunoffFromSolidStorage(J28,$H$14,$H$15)</f>
        <v>#VALUE!</v>
      </c>
      <c r="K40" s="2" t="str">
        <f t="shared" si="0"/>
        <v>kg N</v>
      </c>
      <c r="O40" s="136" t="str">
        <f>'Input - Pasture Beef'!$D$145</f>
        <v>Feed pad</v>
      </c>
      <c r="P40" s="136" t="str">
        <f>'Input - Pasture Beef'!$D$196</f>
        <v>Sump and dispersal system</v>
      </c>
      <c r="Q40" s="55" t="e" cm="1">
        <f t="array" aca="1" ref="Q40" ca="1">MMS_Dairy_LeachingAndRunoff_Equations.VEERG_4_3_1_6__2_MassOfNitrogenLostToLeachingAndRunoffFromSolidStorage(Q28,$H$14,$H$15)</f>
        <v>#VALUE!</v>
      </c>
      <c r="R40" s="55" t="e" cm="1">
        <f t="array" aca="1" ref="R40" ca="1">MMS_Dairy_LeachingAndRunoff_Equations.VEERG_4_3_1_6__2_MassOfNitrogenLostToLeachingAndRunoffFromSolidStorage(R28,$H$14,$H$15)</f>
        <v>#VALUE!</v>
      </c>
      <c r="S40" s="55" t="e" cm="1">
        <f t="array" aca="1" ref="S40" ca="1">MMS_Dairy_LeachingAndRunoff_Equations.VEERG_4_3_1_6__2_MassOfNitrogenLostToLeachingAndRunoffFromSolidStorage(S28,$H$14,$H$15)</f>
        <v>#VALUE!</v>
      </c>
      <c r="T40" s="55" t="e" cm="1">
        <f t="array" aca="1" ref="T40" ca="1">MMS_Dairy_LeachingAndRunoff_Equations.VEERG_4_3_1_6__2_MassOfNitrogenLostToLeachingAndRunoffFromSolidStorage(T28,$H$14,$H$15)</f>
        <v>#VALUE!</v>
      </c>
      <c r="U40" s="55" t="e" cm="1">
        <f t="array" aca="1" ref="U40" ca="1">MMS_Dairy_LeachingAndRunoff_Equations.VEERG_4_3_1_6__2_MassOfNitrogenLostToLeachingAndRunoffFromSolidStorage(U28,$H$14,$H$15)</f>
        <v>#VALUE!</v>
      </c>
      <c r="V40" s="2" t="str">
        <f t="shared" si="1"/>
        <v>kg N</v>
      </c>
    </row>
    <row r="41" spans="3:23" ht="20.100000000000001" customHeight="1" x14ac:dyDescent="0.25">
      <c r="D41" s="136" t="str">
        <f>'Input - Pasture Beef'!$D$145</f>
        <v>Feed pad</v>
      </c>
      <c r="E41" s="136" t="str">
        <f>'Input - Pasture Beef'!$D$201</f>
        <v>Drains to paddock</v>
      </c>
      <c r="F41" s="55" t="e" cm="1">
        <f t="array" aca="1" ref="F41" ca="1">MMS_Dairy_LeachingAndRunoff_Equations.VEERG_4_3_1_6__2_MassOfNitrogenLostToLeachingAndRunoffFromSolidStorage(F29,$H$14,$H$15)</f>
        <v>#REF!</v>
      </c>
      <c r="G41" s="55" t="e" cm="1">
        <f t="array" aca="1" ref="G41" ca="1">MMS_Dairy_LeachingAndRunoff_Equations.VEERG_4_3_1_6__2_MassOfNitrogenLostToLeachingAndRunoffFromSolidStorage(G29,$H$14,$H$15)</f>
        <v>#REF!</v>
      </c>
      <c r="H41" s="55" t="e" cm="1">
        <f t="array" aca="1" ref="H41" ca="1">MMS_Dairy_LeachingAndRunoff_Equations.VEERG_4_3_1_6__2_MassOfNitrogenLostToLeachingAndRunoffFromSolidStorage(H29,$H$14,$H$15)</f>
        <v>#VALUE!</v>
      </c>
      <c r="I41" s="55" t="e" cm="1">
        <f t="array" aca="1" ref="I41" ca="1">MMS_Dairy_LeachingAndRunoff_Equations.VEERG_4_3_1_6__2_MassOfNitrogenLostToLeachingAndRunoffFromSolidStorage(I29,$H$14,$H$15)</f>
        <v>#VALUE!</v>
      </c>
      <c r="J41" s="55" t="e" cm="1">
        <f t="array" aca="1" ref="J41" ca="1">MMS_Dairy_LeachingAndRunoff_Equations.VEERG_4_3_1_6__2_MassOfNitrogenLostToLeachingAndRunoffFromSolidStorage(J29,$H$14,$H$15)</f>
        <v>#VALUE!</v>
      </c>
      <c r="K41" s="2" t="str">
        <f t="shared" si="0"/>
        <v>kg N</v>
      </c>
      <c r="O41" s="136" t="str">
        <f>'Input - Pasture Beef'!$D$145</f>
        <v>Feed pad</v>
      </c>
      <c r="P41" s="136" t="str">
        <f>'Input - Pasture Beef'!$D$201</f>
        <v>Drains to paddock</v>
      </c>
      <c r="Q41" s="55" t="e" cm="1">
        <f t="array" aca="1" ref="Q41" ca="1">MMS_Dairy_LeachingAndRunoff_Equations.VEERG_4_3_1_6__2_MassOfNitrogenLostToLeachingAndRunoffFromSolidStorage(Q29,$H$14,$H$15)</f>
        <v>#VALUE!</v>
      </c>
      <c r="R41" s="55" t="e" cm="1">
        <f t="array" aca="1" ref="R41" ca="1">MMS_Dairy_LeachingAndRunoff_Equations.VEERG_4_3_1_6__2_MassOfNitrogenLostToLeachingAndRunoffFromSolidStorage(R29,$H$14,$H$15)</f>
        <v>#VALUE!</v>
      </c>
      <c r="S41" s="55" t="e" cm="1">
        <f t="array" aca="1" ref="S41" ca="1">MMS_Dairy_LeachingAndRunoff_Equations.VEERG_4_3_1_6__2_MassOfNitrogenLostToLeachingAndRunoffFromSolidStorage(S29,$H$14,$H$15)</f>
        <v>#VALUE!</v>
      </c>
      <c r="T41" s="55" t="e" cm="1">
        <f t="array" aca="1" ref="T41" ca="1">MMS_Dairy_LeachingAndRunoff_Equations.VEERG_4_3_1_6__2_MassOfNitrogenLostToLeachingAndRunoffFromSolidStorage(T29,$H$14,$H$15)</f>
        <v>#VALUE!</v>
      </c>
      <c r="U41" s="55" t="e" cm="1">
        <f t="array" aca="1" ref="U41" ca="1">MMS_Dairy_LeachingAndRunoff_Equations.VEERG_4_3_1_6__2_MassOfNitrogenLostToLeachingAndRunoffFromSolidStorage(U29,$H$14,$H$15)</f>
        <v>#VALUE!</v>
      </c>
      <c r="V41" s="2" t="str">
        <f t="shared" si="1"/>
        <v>kg N</v>
      </c>
    </row>
    <row r="42" spans="3:23" ht="20.100000000000001" customHeight="1" x14ac:dyDescent="0.25">
      <c r="D42" s="136" t="str">
        <f>'Input - Pasture Beef'!$D$145</f>
        <v>Feed pad</v>
      </c>
      <c r="E42" s="136" t="str">
        <f>'Input - Pasture Beef'!$D$206</f>
        <v>Solid storage</v>
      </c>
      <c r="F42" s="55" t="e" cm="1">
        <f t="array" aca="1" ref="F42" ca="1">MMS_Dairy_LeachingAndRunoff_Equations.VEERG_4_3_1_6__2_MassOfNitrogenLostToLeachingAndRunoffFromSolidStorage(F30,$H$14,$H$15)</f>
        <v>#REF!</v>
      </c>
      <c r="G42" s="55" t="e" cm="1">
        <f t="array" aca="1" ref="G42" ca="1">MMS_Dairy_LeachingAndRunoff_Equations.VEERG_4_3_1_6__2_MassOfNitrogenLostToLeachingAndRunoffFromSolidStorage(G30,$H$14,$H$15)</f>
        <v>#REF!</v>
      </c>
      <c r="H42" s="55" t="e" cm="1">
        <f t="array" aca="1" ref="H42" ca="1">MMS_Dairy_LeachingAndRunoff_Equations.VEERG_4_3_1_6__2_MassOfNitrogenLostToLeachingAndRunoffFromSolidStorage(H30,$H$14,$H$15)</f>
        <v>#VALUE!</v>
      </c>
      <c r="I42" s="55" t="e" cm="1">
        <f t="array" aca="1" ref="I42" ca="1">MMS_Dairy_LeachingAndRunoff_Equations.VEERG_4_3_1_6__2_MassOfNitrogenLostToLeachingAndRunoffFromSolidStorage(I30,$H$14,$H$15)</f>
        <v>#VALUE!</v>
      </c>
      <c r="J42" s="55" t="e" cm="1">
        <f t="array" aca="1" ref="J42" ca="1">MMS_Dairy_LeachingAndRunoff_Equations.VEERG_4_3_1_6__2_MassOfNitrogenLostToLeachingAndRunoffFromSolidStorage(J30,$H$14,$H$15)</f>
        <v>#VALUE!</v>
      </c>
      <c r="K42" s="2" t="str">
        <f t="shared" si="0"/>
        <v>kg N</v>
      </c>
      <c r="O42" s="136" t="str">
        <f>'Input - Pasture Beef'!$D$145</f>
        <v>Feed pad</v>
      </c>
      <c r="P42" s="136" t="str">
        <f>'Input - Pasture Beef'!$D$206</f>
        <v>Solid storage</v>
      </c>
      <c r="Q42" s="55" t="e" cm="1">
        <f t="array" aca="1" ref="Q42" ca="1">MMS_Dairy_LeachingAndRunoff_Equations.VEERG_4_3_1_6__2_MassOfNitrogenLostToLeachingAndRunoffFromSolidStorage(Q30,$H$14,$H$15)</f>
        <v>#VALUE!</v>
      </c>
      <c r="R42" s="55" t="e" cm="1">
        <f t="array" aca="1" ref="R42" ca="1">MMS_Dairy_LeachingAndRunoff_Equations.VEERG_4_3_1_6__2_MassOfNitrogenLostToLeachingAndRunoffFromSolidStorage(R30,$H$14,$H$15)</f>
        <v>#VALUE!</v>
      </c>
      <c r="S42" s="55" t="e" cm="1">
        <f t="array" aca="1" ref="S42" ca="1">MMS_Dairy_LeachingAndRunoff_Equations.VEERG_4_3_1_6__2_MassOfNitrogenLostToLeachingAndRunoffFromSolidStorage(S30,$H$14,$H$15)</f>
        <v>#VALUE!</v>
      </c>
      <c r="T42" s="55" t="e" cm="1">
        <f t="array" aca="1" ref="T42" ca="1">MMS_Dairy_LeachingAndRunoff_Equations.VEERG_4_3_1_6__2_MassOfNitrogenLostToLeachingAndRunoffFromSolidStorage(T30,$H$14,$H$15)</f>
        <v>#VALUE!</v>
      </c>
      <c r="U42" s="55" t="e" cm="1">
        <f t="array" aca="1" ref="U42" ca="1">MMS_Dairy_LeachingAndRunoff_Equations.VEERG_4_3_1_6__2_MassOfNitrogenLostToLeachingAndRunoffFromSolidStorage(U30,$H$14,$H$15)</f>
        <v>#VALUE!</v>
      </c>
      <c r="V42" s="2" t="str">
        <f t="shared" si="1"/>
        <v>kg N</v>
      </c>
    </row>
    <row r="43" spans="3:23" ht="20.100000000000001" customHeight="1" x14ac:dyDescent="0.25"/>
    <row r="44" spans="3:23" ht="20.100000000000001" customHeight="1" x14ac:dyDescent="0.25"/>
    <row r="45" spans="3:23" ht="20.100000000000001" customHeight="1" x14ac:dyDescent="0.25">
      <c r="C45" s="48"/>
      <c r="D45" s="48"/>
      <c r="E45" s="48"/>
      <c r="F45" s="48"/>
      <c r="G45" s="48"/>
      <c r="H45" s="48"/>
      <c r="I45" s="48"/>
      <c r="J45" s="48"/>
      <c r="K45" s="48"/>
      <c r="L45" s="48"/>
      <c r="N45" s="48"/>
      <c r="O45" s="48"/>
      <c r="P45" s="48"/>
      <c r="Q45" s="48"/>
      <c r="R45" s="48"/>
      <c r="S45" s="48"/>
      <c r="T45" s="48"/>
      <c r="U45" s="48"/>
      <c r="V45" s="48"/>
      <c r="W45" s="48"/>
    </row>
    <row r="46" spans="3:23" ht="20.100000000000001" customHeight="1" x14ac:dyDescent="0.25">
      <c r="D46" s="6" t="str" cm="1">
        <f t="array" ref="D46">MMS_Dairy_ManureAppliedToSoils_Equations.VEERG_4_3_1_8__1_MassOfNitrogenAppliedToSoilsScope1_Title()</f>
        <v>Mass of nitrogen from manure applied to soils for scope 1 emissions</v>
      </c>
    </row>
    <row r="47" spans="3:23" ht="20.100000000000001" customHeight="1" x14ac:dyDescent="0.25">
      <c r="D47" s="5" t="str" cm="1">
        <f t="array" ref="D47">MMS_Dairy_ManureAppliedToSoils_Equations.VEERG_4_3_1_8__1_MassOfNitrogenAppliedToSoilsScope1_Source()</f>
        <v>VEERG 2026: 4.3.1.8, Equation (1)</v>
      </c>
    </row>
    <row r="48" spans="3:23" ht="20.100000000000001" customHeight="1" x14ac:dyDescent="0.25">
      <c r="D48" s="13" t="s">
        <v>27</v>
      </c>
      <c r="E48" s="13" t="str" cm="1">
        <f t="array" aca="1" ref="E48" ca="1">Common_InputFunctions.Utility_DisplayFunctionName($F$93)</f>
        <v>=MMS_Dairy_ManureAppliedToSoils_Equations.VEERG_4_3_1_8__1_MassOfNitrogenAppliedToSoilsScope1</v>
      </c>
    </row>
    <row r="49" spans="4:8" ht="20.100000000000001" customHeight="1" x14ac:dyDescent="0.25">
      <c r="G49" s="113" t="s">
        <v>288</v>
      </c>
    </row>
    <row r="50" spans="4:8" ht="20.100000000000001" customHeight="1" x14ac:dyDescent="0.25"/>
    <row r="51" spans="4:8" ht="20.100000000000001" customHeight="1" x14ac:dyDescent="0.25">
      <c r="D51" s="56" t="s">
        <v>30</v>
      </c>
      <c r="E51" s="1" t="str" cm="1">
        <f t="array" ref="E51">MMS_Dairy_ManureAppliedToSoils_Equations.VEERG_4_3_1_8__1_MassOfNitrogenAppliedToSoilsScope1_Variable()</f>
        <v>MNSoil_scope1</v>
      </c>
    </row>
    <row r="52" spans="4:8" ht="20.100000000000001" customHeight="1" x14ac:dyDescent="0.25">
      <c r="D52" s="56" t="s">
        <v>20</v>
      </c>
      <c r="E52" s="57" t="str" cm="1">
        <f t="array" ref="E52">MMS_Dairy_ManureAppliedToSoils_Equations.VEERG_4_3_1_8__1_MassOfNitrogenAppliedToSoilsScope1_Unit()</f>
        <v>kg N</v>
      </c>
    </row>
    <row r="53" spans="4:8" ht="20.100000000000001" customHeight="1" x14ac:dyDescent="0.25"/>
    <row r="54" spans="4:8" ht="20.100000000000001" customHeight="1" x14ac:dyDescent="0.25">
      <c r="D54" s="114" t="str" cm="1">
        <f t="array" ref="D54:E58">MMS_Dairy_ManureAppliedToSoils_Equations.VEERG_4_3_1_8__1_MassOfNitrogenAppliedToSoilsScope1_Arguments()</f>
        <v>MN_jm</v>
      </c>
      <c r="E54" s="116" t="str">
        <v>total nitrogen in each MMS for dairy cattle classes (kg N)</v>
      </c>
      <c r="F54" s="115"/>
      <c r="G54" s="114" t="str">
        <f>"See " &amp; $D$20</f>
        <v>See M1_Table_MN_j_m</v>
      </c>
    </row>
    <row r="55" spans="4:8" ht="20.100000000000001" customHeight="1" x14ac:dyDescent="0.25">
      <c r="D55" s="114" t="str">
        <v>EF_m</v>
      </c>
      <c r="E55" s="116" t="str">
        <v>emission factor for nitrous oxide emissions per MMS (kg N2O-N/kg N)</v>
      </c>
      <c r="F55" s="115"/>
      <c r="G55" s="114" t="str">
        <f>"See " &amp; D60</f>
        <v>See Table_EF_m</v>
      </c>
    </row>
    <row r="56" spans="4:8" ht="20.100000000000001" customHeight="1" x14ac:dyDescent="0.25">
      <c r="D56" s="114" t="str">
        <v>FracGASM_m</v>
      </c>
      <c r="E56" s="116" t="str">
        <v>fraction of N volatilised from MMS</v>
      </c>
      <c r="F56" s="115"/>
      <c r="G56" s="114" t="str">
        <f>"See " &amp; D69</f>
        <v>See Table_FracGASM_m</v>
      </c>
    </row>
    <row r="57" spans="4:8" ht="20.100000000000001" customHeight="1" x14ac:dyDescent="0.25">
      <c r="D57" s="114" t="str">
        <v>MNLeach_jm</v>
      </c>
      <c r="E57" s="116" t="str">
        <v>mass of N lost through leaching and runoff from each MMS (kg N)</v>
      </c>
      <c r="F57" s="115"/>
      <c r="G57" s="114" t="str">
        <f>"See " &amp; D32</f>
        <v>See M1_Table_MN_leach_j_m-1-13</v>
      </c>
      <c r="H57" s="113" t="s">
        <v>283</v>
      </c>
    </row>
    <row r="58" spans="4:8" ht="20.100000000000001" customHeight="1" x14ac:dyDescent="0.25">
      <c r="D58" s="114" t="str">
        <v>PF_scope</v>
      </c>
      <c r="E58" s="116" t="str">
        <v>fraction of manure applied to soil within farm boundary</v>
      </c>
      <c r="F58" s="115"/>
      <c r="G58" s="114" t="str">
        <f>"See " &amp; D78</f>
        <v>See Table_PF_scope</v>
      </c>
      <c r="H58" s="113" t="s">
        <v>293</v>
      </c>
    </row>
    <row r="59" spans="4:8" ht="20.100000000000001" customHeight="1" x14ac:dyDescent="0.25"/>
    <row r="60" spans="4:8" ht="20.100000000000001" customHeight="1" x14ac:dyDescent="0.25">
      <c r="D60" s="104" t="s">
        <v>255</v>
      </c>
    </row>
    <row r="61" spans="4:8" ht="20.100000000000001" customHeight="1" x14ac:dyDescent="0.25">
      <c r="D61" s="103" t="s">
        <v>256</v>
      </c>
    </row>
    <row r="62" spans="4:8" ht="20.100000000000001" customHeight="1" x14ac:dyDescent="0.25">
      <c r="D62" s="54" t="s">
        <v>68</v>
      </c>
      <c r="E62" s="54" t="s">
        <v>257</v>
      </c>
    </row>
    <row r="63" spans="4:8" ht="20.100000000000001" customHeight="1" x14ac:dyDescent="0.25">
      <c r="D63" s="136" t="e" cm="1">
        <f t="array" ref="D63">#REF!</f>
        <v>#REF!</v>
      </c>
      <c r="E63" s="136" t="e" cm="1">
        <f t="array" ref="E63">#REF!</f>
        <v>#REF!</v>
      </c>
    </row>
    <row r="64" spans="4:8" ht="20.100000000000001" customHeight="1" x14ac:dyDescent="0.25">
      <c r="D64" s="136"/>
      <c r="E64" s="136"/>
    </row>
    <row r="65" spans="4:10" ht="20.100000000000001" customHeight="1" x14ac:dyDescent="0.25">
      <c r="D65" s="136"/>
      <c r="E65" s="136"/>
    </row>
    <row r="66" spans="4:10" ht="20.100000000000001" customHeight="1" x14ac:dyDescent="0.25">
      <c r="D66" s="136"/>
      <c r="E66" s="136"/>
    </row>
    <row r="67" spans="4:10" ht="20.100000000000001" customHeight="1" x14ac:dyDescent="0.25">
      <c r="D67" s="136"/>
      <c r="E67" s="136"/>
    </row>
    <row r="68" spans="4:10" ht="20.100000000000001" customHeight="1" x14ac:dyDescent="0.25"/>
    <row r="69" spans="4:10" ht="20.100000000000001" customHeight="1" x14ac:dyDescent="0.25">
      <c r="D69" s="104" t="s">
        <v>260</v>
      </c>
    </row>
    <row r="70" spans="4:10" ht="20.100000000000001" customHeight="1" x14ac:dyDescent="0.25">
      <c r="D70" s="103" t="s">
        <v>262</v>
      </c>
    </row>
    <row r="71" spans="4:10" ht="20.100000000000001" customHeight="1" x14ac:dyDescent="0.25">
      <c r="D71" s="54" t="s">
        <v>68</v>
      </c>
      <c r="E71" s="54" t="s">
        <v>261</v>
      </c>
    </row>
    <row r="72" spans="4:10" ht="20.100000000000001" customHeight="1" x14ac:dyDescent="0.25">
      <c r="D72" s="136" t="e" cm="1">
        <f t="array" ref="D72">#REF!</f>
        <v>#REF!</v>
      </c>
      <c r="E72" s="136" t="e" cm="1">
        <f t="array" ref="E72">#REF!</f>
        <v>#REF!</v>
      </c>
      <c r="F72" s="2" t="str">
        <f>'Constants - Pature Beef'!$D$103</f>
        <v>VIC</v>
      </c>
    </row>
    <row r="73" spans="4:10" ht="20.100000000000001" customHeight="1" x14ac:dyDescent="0.25">
      <c r="D73" s="136"/>
      <c r="E73" s="136"/>
      <c r="F73" s="2" t="str">
        <f>'Constants - Pature Beef'!$D$103</f>
        <v>VIC</v>
      </c>
    </row>
    <row r="74" spans="4:10" ht="20.100000000000001" customHeight="1" x14ac:dyDescent="0.25">
      <c r="D74" s="136"/>
      <c r="E74" s="136"/>
      <c r="F74" s="2" t="str">
        <f>'Constants - Pature Beef'!$D$103</f>
        <v>VIC</v>
      </c>
    </row>
    <row r="75" spans="4:10" ht="20.100000000000001" customHeight="1" x14ac:dyDescent="0.25">
      <c r="D75" s="136"/>
      <c r="E75" s="136"/>
      <c r="F75" s="2" t="str">
        <f>'Constants - Pature Beef'!$D$103</f>
        <v>VIC</v>
      </c>
    </row>
    <row r="76" spans="4:10" ht="20.100000000000001" customHeight="1" x14ac:dyDescent="0.25">
      <c r="D76" s="136"/>
      <c r="E76" s="136"/>
      <c r="F76" s="2" t="str">
        <f>'Constants - Pature Beef'!$D$103</f>
        <v>VIC</v>
      </c>
    </row>
    <row r="77" spans="4:10" ht="20.100000000000001" customHeight="1" x14ac:dyDescent="0.25"/>
    <row r="78" spans="4:10" ht="20.100000000000001" customHeight="1" x14ac:dyDescent="0.25">
      <c r="D78" s="104" t="s">
        <v>289</v>
      </c>
    </row>
    <row r="79" spans="4:10" ht="20.100000000000001" customHeight="1" x14ac:dyDescent="0.25">
      <c r="D79" s="103" t="s">
        <v>290</v>
      </c>
    </row>
    <row r="80" spans="4:10" ht="20.100000000000001" customHeight="1" x14ac:dyDescent="0.25">
      <c r="D80" s="54" t="s">
        <v>144</v>
      </c>
      <c r="E80" s="54" t="s">
        <v>68</v>
      </c>
      <c r="F80" s="54" t="s">
        <v>173</v>
      </c>
      <c r="G80" s="54" t="s">
        <v>175</v>
      </c>
      <c r="H80" s="54" t="s">
        <v>176</v>
      </c>
      <c r="I80" s="54" t="s">
        <v>177</v>
      </c>
      <c r="J80" s="54" t="s">
        <v>178</v>
      </c>
    </row>
    <row r="81" spans="4:22" ht="20.100000000000001" customHeight="1" x14ac:dyDescent="0.25">
      <c r="D81" s="136" t="str">
        <f>'Input - Pasture Beef'!$D$144</f>
        <v>Milking shed</v>
      </c>
      <c r="E81" s="136" t="str">
        <f>'Input - Pasture Beef'!$D$157</f>
        <v>Anaerobic lagoon</v>
      </c>
      <c r="F81" s="135">
        <f>'Input - Pasture Beef'!E229</f>
        <v>0.5</v>
      </c>
      <c r="G81" s="135">
        <f>'Input - Pasture Beef'!F229</f>
        <v>0.5</v>
      </c>
      <c r="H81" s="135">
        <f>'Input - Pasture Beef'!G229</f>
        <v>0.5</v>
      </c>
      <c r="I81" s="135">
        <f>'Input - Pasture Beef'!H229</f>
        <v>0.5</v>
      </c>
      <c r="J81" s="135">
        <f>'Input - Pasture Beef'!I229</f>
        <v>0.5</v>
      </c>
      <c r="K81" s="2" t="str">
        <f>$E$11</f>
        <v>kg N</v>
      </c>
    </row>
    <row r="82" spans="4:22" ht="20.100000000000001" customHeight="1" x14ac:dyDescent="0.25">
      <c r="D82" s="136" t="str">
        <f>'Input - Pasture Beef'!$D$144</f>
        <v>Milking shed</v>
      </c>
      <c r="E82" s="136" t="str">
        <f>'Input - Pasture Beef'!$D$162</f>
        <v>Sump and dispersal system</v>
      </c>
      <c r="F82" s="135">
        <f>'Input - Pasture Beef'!E234</f>
        <v>0.5</v>
      </c>
      <c r="G82" s="135">
        <f>'Input - Pasture Beef'!F234</f>
        <v>0.5</v>
      </c>
      <c r="H82" s="135">
        <f>'Input - Pasture Beef'!G234</f>
        <v>0.5</v>
      </c>
      <c r="I82" s="135">
        <f>'Input - Pasture Beef'!H234</f>
        <v>0.5</v>
      </c>
      <c r="J82" s="135">
        <f>'Input - Pasture Beef'!I234</f>
        <v>0.5</v>
      </c>
      <c r="K82" s="2" t="str">
        <f t="shared" ref="K82:K88" si="2">$E$11</f>
        <v>kg N</v>
      </c>
    </row>
    <row r="83" spans="4:22" ht="20.100000000000001" customHeight="1" x14ac:dyDescent="0.25">
      <c r="D83" s="136" t="str">
        <f>'Input - Pasture Beef'!$D$144</f>
        <v>Milking shed</v>
      </c>
      <c r="E83" s="136" t="str">
        <f>'Input - Pasture Beef'!$D$167</f>
        <v>Drains to paddock</v>
      </c>
      <c r="F83" s="135">
        <f>'Input - Pasture Beef'!E239</f>
        <v>0.5</v>
      </c>
      <c r="G83" s="135">
        <f>'Input - Pasture Beef'!F239</f>
        <v>0.5</v>
      </c>
      <c r="H83" s="135">
        <f>'Input - Pasture Beef'!G239</f>
        <v>0.5</v>
      </c>
      <c r="I83" s="135">
        <f>'Input - Pasture Beef'!H239</f>
        <v>0.5</v>
      </c>
      <c r="J83" s="135">
        <f>'Input - Pasture Beef'!I239</f>
        <v>0.5</v>
      </c>
      <c r="K83" s="2" t="str">
        <f t="shared" si="2"/>
        <v>kg N</v>
      </c>
    </row>
    <row r="84" spans="4:22" ht="20.100000000000001" customHeight="1" x14ac:dyDescent="0.25">
      <c r="D84" s="136" t="str">
        <f>'Input - Pasture Beef'!$D$144</f>
        <v>Milking shed</v>
      </c>
      <c r="E84" s="136" t="str">
        <f>'Input - Pasture Beef'!$D$172</f>
        <v>Solid storage</v>
      </c>
      <c r="F84" s="135">
        <f>'Input - Pasture Beef'!E244</f>
        <v>0.5</v>
      </c>
      <c r="G84" s="135">
        <f>'Input - Pasture Beef'!F244</f>
        <v>0.5</v>
      </c>
      <c r="H84" s="135">
        <f>'Input - Pasture Beef'!G244</f>
        <v>0.5</v>
      </c>
      <c r="I84" s="135">
        <f>'Input - Pasture Beef'!H244</f>
        <v>0.5</v>
      </c>
      <c r="J84" s="135">
        <f>'Input - Pasture Beef'!I244</f>
        <v>0.5</v>
      </c>
      <c r="K84" s="2" t="str">
        <f t="shared" si="2"/>
        <v>kg N</v>
      </c>
    </row>
    <row r="85" spans="4:22" ht="20.100000000000001" customHeight="1" x14ac:dyDescent="0.25">
      <c r="D85" s="136" t="str">
        <f>'Input - Pasture Beef'!$D$145</f>
        <v>Feed pad</v>
      </c>
      <c r="E85" s="136" t="str">
        <f>'Input - Pasture Beef'!$D$191</f>
        <v>Anaerobic lagoon</v>
      </c>
      <c r="F85" s="135">
        <f>'Input - Pasture Beef'!E253</f>
        <v>0.5</v>
      </c>
      <c r="G85" s="135">
        <f>'Input - Pasture Beef'!F253</f>
        <v>0.5</v>
      </c>
      <c r="H85" s="135">
        <f>'Input - Pasture Beef'!G253</f>
        <v>0.5</v>
      </c>
      <c r="I85" s="135">
        <f>'Input - Pasture Beef'!H253</f>
        <v>0.5</v>
      </c>
      <c r="J85" s="135">
        <f>'Input - Pasture Beef'!I253</f>
        <v>0.5</v>
      </c>
      <c r="K85" s="2" t="str">
        <f t="shared" si="2"/>
        <v>kg N</v>
      </c>
    </row>
    <row r="86" spans="4:22" ht="20.100000000000001" customHeight="1" x14ac:dyDescent="0.25">
      <c r="D86" s="136" t="str">
        <f>'Input - Pasture Beef'!$D$145</f>
        <v>Feed pad</v>
      </c>
      <c r="E86" s="136" t="str">
        <f>'Input - Pasture Beef'!$D$196</f>
        <v>Sump and dispersal system</v>
      </c>
      <c r="F86" s="135">
        <f>'Input - Pasture Beef'!E258</f>
        <v>0.5</v>
      </c>
      <c r="G86" s="135">
        <f>'Input - Pasture Beef'!F258</f>
        <v>0.5</v>
      </c>
      <c r="H86" s="135">
        <f>'Input - Pasture Beef'!G258</f>
        <v>0.5</v>
      </c>
      <c r="I86" s="135">
        <f>'Input - Pasture Beef'!H258</f>
        <v>0.5</v>
      </c>
      <c r="J86" s="135">
        <f>'Input - Pasture Beef'!I258</f>
        <v>0.5</v>
      </c>
      <c r="K86" s="2" t="str">
        <f t="shared" si="2"/>
        <v>kg N</v>
      </c>
    </row>
    <row r="87" spans="4:22" ht="20.100000000000001" customHeight="1" x14ac:dyDescent="0.25">
      <c r="D87" s="136" t="str">
        <f>'Input - Pasture Beef'!$D$145</f>
        <v>Feed pad</v>
      </c>
      <c r="E87" s="136" t="str">
        <f>'Input - Pasture Beef'!$D$201</f>
        <v>Drains to paddock</v>
      </c>
      <c r="F87" s="135">
        <f>'Input - Pasture Beef'!E263</f>
        <v>0.5</v>
      </c>
      <c r="G87" s="135">
        <f>'Input - Pasture Beef'!F263</f>
        <v>0.5</v>
      </c>
      <c r="H87" s="135">
        <f>'Input - Pasture Beef'!G263</f>
        <v>0.5</v>
      </c>
      <c r="I87" s="135">
        <f>'Input - Pasture Beef'!H263</f>
        <v>0.5</v>
      </c>
      <c r="J87" s="135">
        <f>'Input - Pasture Beef'!I263</f>
        <v>0.5</v>
      </c>
      <c r="K87" s="2" t="str">
        <f t="shared" si="2"/>
        <v>kg N</v>
      </c>
    </row>
    <row r="88" spans="4:22" ht="20.100000000000001" customHeight="1" x14ac:dyDescent="0.25">
      <c r="D88" s="136" t="str">
        <f>'Input - Pasture Beef'!$D$145</f>
        <v>Feed pad</v>
      </c>
      <c r="E88" s="136" t="str">
        <f>'Input - Pasture Beef'!$D$206</f>
        <v>Solid storage</v>
      </c>
      <c r="F88" s="135">
        <f>'Input - Pasture Beef'!E268</f>
        <v>0.5</v>
      </c>
      <c r="G88" s="135">
        <f>'Input - Pasture Beef'!F268</f>
        <v>0.5</v>
      </c>
      <c r="H88" s="135">
        <f>'Input - Pasture Beef'!G268</f>
        <v>0.5</v>
      </c>
      <c r="I88" s="135">
        <f>'Input - Pasture Beef'!H268</f>
        <v>0.5</v>
      </c>
      <c r="J88" s="135">
        <f>'Input - Pasture Beef'!I268</f>
        <v>0.5</v>
      </c>
      <c r="K88" s="2" t="str">
        <f t="shared" si="2"/>
        <v>kg N</v>
      </c>
    </row>
    <row r="89" spans="4:22" ht="20.100000000000001" customHeight="1" x14ac:dyDescent="0.25"/>
    <row r="90" spans="4:22" ht="20.100000000000001" customHeight="1" x14ac:dyDescent="0.25">
      <c r="D90" s="104" t="s">
        <v>292</v>
      </c>
      <c r="O90" s="104" t="s">
        <v>297</v>
      </c>
    </row>
    <row r="91" spans="4:22" ht="20.100000000000001" customHeight="1" x14ac:dyDescent="0.25">
      <c r="D91" s="103" t="s">
        <v>296</v>
      </c>
      <c r="O91" s="103" t="s">
        <v>298</v>
      </c>
    </row>
    <row r="92" spans="4:22" ht="20.100000000000001" customHeight="1" x14ac:dyDescent="0.25">
      <c r="D92" s="54" t="s">
        <v>144</v>
      </c>
      <c r="E92" s="54" t="s">
        <v>68</v>
      </c>
      <c r="F92" s="54" t="s">
        <v>173</v>
      </c>
      <c r="G92" s="54" t="s">
        <v>175</v>
      </c>
      <c r="H92" s="54" t="s">
        <v>176</v>
      </c>
      <c r="I92" s="54" t="s">
        <v>177</v>
      </c>
      <c r="J92" s="54" t="s">
        <v>178</v>
      </c>
      <c r="O92" s="54" t="s">
        <v>144</v>
      </c>
      <c r="P92" s="54" t="s">
        <v>68</v>
      </c>
      <c r="Q92" s="54" t="s">
        <v>173</v>
      </c>
      <c r="R92" s="54" t="s">
        <v>175</v>
      </c>
      <c r="S92" s="54" t="s">
        <v>176</v>
      </c>
      <c r="T92" s="54" t="s">
        <v>177</v>
      </c>
      <c r="U92" s="54" t="s">
        <v>178</v>
      </c>
    </row>
    <row r="93" spans="4:22" ht="20.100000000000001" customHeight="1" x14ac:dyDescent="0.25">
      <c r="D93" s="136" t="str">
        <f>'Input - Pasture Beef'!$D$144</f>
        <v>Milking shed</v>
      </c>
      <c r="E93" s="136" t="str">
        <f>'Input - Pasture Beef'!$D$157</f>
        <v>Anaerobic lagoon</v>
      </c>
      <c r="F93" s="55" t="e" cm="1">
        <f t="array" aca="1" ref="F93" ca="1">MMS_Dairy_ManureAppliedToSoils_Equations.VEERG_4_3_1_8__1_MassOfNitrogenAppliedToSoilsScope1(F23,$E64,$E73,F35,F81)</f>
        <v>#REF!</v>
      </c>
      <c r="G93" s="55" t="e" cm="1">
        <f t="array" aca="1" ref="G93" ca="1">MMS_Dairy_ManureAppliedToSoils_Equations.VEERG_4_3_1_8__1_MassOfNitrogenAppliedToSoilsScope1(G23,$E64,$E73,G35,G81)</f>
        <v>#REF!</v>
      </c>
      <c r="H93" s="55" t="e" cm="1">
        <f t="array" aca="1" ref="H93" ca="1">MMS_Dairy_ManureAppliedToSoils_Equations.VEERG_4_3_1_8__1_MassOfNitrogenAppliedToSoilsScope1(H23,$E64,$E73,H35,H81)</f>
        <v>#VALUE!</v>
      </c>
      <c r="I93" s="55" t="e" cm="1">
        <f t="array" aca="1" ref="I93" ca="1">MMS_Dairy_ManureAppliedToSoils_Equations.VEERG_4_3_1_8__1_MassOfNitrogenAppliedToSoilsScope1(I23,$E64,$E73,I35,I81)</f>
        <v>#VALUE!</v>
      </c>
      <c r="J93" s="55" t="e" cm="1">
        <f t="array" aca="1" ref="J93" ca="1">MMS_Dairy_ManureAppliedToSoils_Equations.VEERG_4_3_1_8__1_MassOfNitrogenAppliedToSoilsScope1(J23,$E64,$E73,J35,J81)</f>
        <v>#VALUE!</v>
      </c>
      <c r="K93" s="2" t="str">
        <f>$E$52</f>
        <v>kg N</v>
      </c>
      <c r="O93" s="136" t="str">
        <f>'Input - Pasture Beef'!$D$144</f>
        <v>Milking shed</v>
      </c>
      <c r="P93" s="136" t="str">
        <f>'Input - Pasture Beef'!$D$157</f>
        <v>Anaerobic lagoon</v>
      </c>
      <c r="Q93" s="55" t="e" cm="1">
        <f t="array" aca="1" ref="Q93" ca="1">MMS_Dairy_ManureAppliedToSoils_Equations.VEERG_4_3_1_8__1_MassOfNitrogenAppliedToSoilsScope1(Q23,$E64,$E73,Q35,F81)</f>
        <v>#VALUE!</v>
      </c>
      <c r="R93" s="55" t="e" cm="1">
        <f t="array" aca="1" ref="R93" ca="1">MMS_Dairy_ManureAppliedToSoils_Equations.VEERG_4_3_1_8__1_MassOfNitrogenAppliedToSoilsScope1(R23,$E64,$E73,R35,G81)</f>
        <v>#VALUE!</v>
      </c>
      <c r="S93" s="55" t="e" cm="1">
        <f t="array" aca="1" ref="S93" ca="1">MMS_Dairy_ManureAppliedToSoils_Equations.VEERG_4_3_1_8__1_MassOfNitrogenAppliedToSoilsScope1(S23,$E64,$E73,S35,H81)</f>
        <v>#VALUE!</v>
      </c>
      <c r="T93" s="55" t="e" cm="1">
        <f t="array" aca="1" ref="T93" ca="1">MMS_Dairy_ManureAppliedToSoils_Equations.VEERG_4_3_1_8__1_MassOfNitrogenAppliedToSoilsScope1(T23,$E64,$E73,T35,I81)</f>
        <v>#VALUE!</v>
      </c>
      <c r="U93" s="55" t="e" cm="1">
        <f t="array" aca="1" ref="U93" ca="1">MMS_Dairy_ManureAppliedToSoils_Equations.VEERG_4_3_1_8__1_MassOfNitrogenAppliedToSoilsScope1(U23,$E64,$E73,U35,J81)</f>
        <v>#VALUE!</v>
      </c>
      <c r="V93" s="2" t="str">
        <f>$E$52</f>
        <v>kg N</v>
      </c>
    </row>
    <row r="94" spans="4:22" ht="20.100000000000001" customHeight="1" x14ac:dyDescent="0.25">
      <c r="D94" s="136" t="str">
        <f>'Input - Pasture Beef'!$D$144</f>
        <v>Milking shed</v>
      </c>
      <c r="E94" s="136" t="str">
        <f>'Input - Pasture Beef'!$D$162</f>
        <v>Sump and dispersal system</v>
      </c>
      <c r="F94" s="55" t="e" cm="1">
        <f t="array" aca="1" ref="F94" ca="1">MMS_Dairy_ManureAppliedToSoils_Equations.VEERG_4_3_1_8__1_MassOfNitrogenAppliedToSoilsScope1(F24,$E65,$E74,F36,F82)</f>
        <v>#REF!</v>
      </c>
      <c r="G94" s="55" t="e" cm="1">
        <f t="array" aca="1" ref="G94" ca="1">MMS_Dairy_ManureAppliedToSoils_Equations.VEERG_4_3_1_8__1_MassOfNitrogenAppliedToSoilsScope1(G24,$E65,$E74,G36,G82)</f>
        <v>#REF!</v>
      </c>
      <c r="H94" s="55" t="e" cm="1">
        <f t="array" aca="1" ref="H94" ca="1">MMS_Dairy_ManureAppliedToSoils_Equations.VEERG_4_3_1_8__1_MassOfNitrogenAppliedToSoilsScope1(H24,$E65,$E74,H36,H82)</f>
        <v>#VALUE!</v>
      </c>
      <c r="I94" s="55" t="e" cm="1">
        <f t="array" aca="1" ref="I94" ca="1">MMS_Dairy_ManureAppliedToSoils_Equations.VEERG_4_3_1_8__1_MassOfNitrogenAppliedToSoilsScope1(I24,$E65,$E74,I36,I82)</f>
        <v>#VALUE!</v>
      </c>
      <c r="J94" s="55" t="e" cm="1">
        <f t="array" aca="1" ref="J94" ca="1">MMS_Dairy_ManureAppliedToSoils_Equations.VEERG_4_3_1_8__1_MassOfNitrogenAppliedToSoilsScope1(J24,$E65,$E74,J36,J82)</f>
        <v>#VALUE!</v>
      </c>
      <c r="K94" s="2" t="str">
        <f t="shared" ref="K94:K100" si="3">$E$52</f>
        <v>kg N</v>
      </c>
      <c r="O94" s="136" t="str">
        <f>'Input - Pasture Beef'!$D$144</f>
        <v>Milking shed</v>
      </c>
      <c r="P94" s="136" t="str">
        <f>'Input - Pasture Beef'!$D$162</f>
        <v>Sump and dispersal system</v>
      </c>
      <c r="Q94" s="55" t="e" cm="1">
        <f t="array" aca="1" ref="Q94" ca="1">MMS_Dairy_ManureAppliedToSoils_Equations.VEERG_4_3_1_8__1_MassOfNitrogenAppliedToSoilsScope1(Q24,$E65,$E74,Q36,F82)</f>
        <v>#VALUE!</v>
      </c>
      <c r="R94" s="55" t="e" cm="1">
        <f t="array" aca="1" ref="R94" ca="1">MMS_Dairy_ManureAppliedToSoils_Equations.VEERG_4_3_1_8__1_MassOfNitrogenAppliedToSoilsScope1(R24,$E65,$E74,R36,G82)</f>
        <v>#VALUE!</v>
      </c>
      <c r="S94" s="55" t="e" cm="1">
        <f t="array" aca="1" ref="S94" ca="1">MMS_Dairy_ManureAppliedToSoils_Equations.VEERG_4_3_1_8__1_MassOfNitrogenAppliedToSoilsScope1(S24,$E65,$E74,S36,H82)</f>
        <v>#VALUE!</v>
      </c>
      <c r="T94" s="55" t="e" cm="1">
        <f t="array" aca="1" ref="T94" ca="1">MMS_Dairy_ManureAppliedToSoils_Equations.VEERG_4_3_1_8__1_MassOfNitrogenAppliedToSoilsScope1(T24,$E65,$E74,T36,I82)</f>
        <v>#VALUE!</v>
      </c>
      <c r="U94" s="55" t="e" cm="1">
        <f t="array" aca="1" ref="U94" ca="1">MMS_Dairy_ManureAppliedToSoils_Equations.VEERG_4_3_1_8__1_MassOfNitrogenAppliedToSoilsScope1(U24,$E65,$E74,U36,J82)</f>
        <v>#VALUE!</v>
      </c>
      <c r="V94" s="2" t="str">
        <f t="shared" ref="V94:V100" si="4">$E$52</f>
        <v>kg N</v>
      </c>
    </row>
    <row r="95" spans="4:22" ht="20.100000000000001" customHeight="1" x14ac:dyDescent="0.25">
      <c r="D95" s="136" t="str">
        <f>'Input - Pasture Beef'!$D$144</f>
        <v>Milking shed</v>
      </c>
      <c r="E95" s="136" t="str">
        <f>'Input - Pasture Beef'!$D$167</f>
        <v>Drains to paddock</v>
      </c>
      <c r="F95" s="55" t="e" cm="1">
        <f t="array" aca="1" ref="F95" ca="1">MMS_Dairy_ManureAppliedToSoils_Equations.VEERG_4_3_1_8__1_MassOfNitrogenAppliedToSoilsScope1(F25,$E66,$E75,F37,F83)</f>
        <v>#REF!</v>
      </c>
      <c r="G95" s="55" t="e" cm="1">
        <f t="array" aca="1" ref="G95" ca="1">MMS_Dairy_ManureAppliedToSoils_Equations.VEERG_4_3_1_8__1_MassOfNitrogenAppliedToSoilsScope1(G25,$E66,$E75,G37,G83)</f>
        <v>#REF!</v>
      </c>
      <c r="H95" s="55" t="e" cm="1">
        <f t="array" aca="1" ref="H95" ca="1">MMS_Dairy_ManureAppliedToSoils_Equations.VEERG_4_3_1_8__1_MassOfNitrogenAppliedToSoilsScope1(H25,$E66,$E75,H37,H83)</f>
        <v>#VALUE!</v>
      </c>
      <c r="I95" s="55" t="e" cm="1">
        <f t="array" aca="1" ref="I95" ca="1">MMS_Dairy_ManureAppliedToSoils_Equations.VEERG_4_3_1_8__1_MassOfNitrogenAppliedToSoilsScope1(I25,$E66,$E75,I37,I83)</f>
        <v>#VALUE!</v>
      </c>
      <c r="J95" s="55" t="e" cm="1">
        <f t="array" aca="1" ref="J95" ca="1">MMS_Dairy_ManureAppliedToSoils_Equations.VEERG_4_3_1_8__1_MassOfNitrogenAppliedToSoilsScope1(J25,$E66,$E75,J37,J83)</f>
        <v>#VALUE!</v>
      </c>
      <c r="K95" s="2" t="str">
        <f t="shared" si="3"/>
        <v>kg N</v>
      </c>
      <c r="O95" s="136" t="str">
        <f>'Input - Pasture Beef'!$D$144</f>
        <v>Milking shed</v>
      </c>
      <c r="P95" s="136" t="str">
        <f>'Input - Pasture Beef'!$D$167</f>
        <v>Drains to paddock</v>
      </c>
      <c r="Q95" s="55" t="e" cm="1">
        <f t="array" aca="1" ref="Q95" ca="1">MMS_Dairy_ManureAppliedToSoils_Equations.VEERG_4_3_1_8__1_MassOfNitrogenAppliedToSoilsScope1(Q25,$E66,$E75,Q37,F83)</f>
        <v>#VALUE!</v>
      </c>
      <c r="R95" s="55" t="e" cm="1">
        <f t="array" aca="1" ref="R95" ca="1">MMS_Dairy_ManureAppliedToSoils_Equations.VEERG_4_3_1_8__1_MassOfNitrogenAppliedToSoilsScope1(R25,$E66,$E75,R37,G83)</f>
        <v>#VALUE!</v>
      </c>
      <c r="S95" s="55" t="e" cm="1">
        <f t="array" aca="1" ref="S95" ca="1">MMS_Dairy_ManureAppliedToSoils_Equations.VEERG_4_3_1_8__1_MassOfNitrogenAppliedToSoilsScope1(S25,$E66,$E75,S37,H83)</f>
        <v>#VALUE!</v>
      </c>
      <c r="T95" s="55" t="e" cm="1">
        <f t="array" aca="1" ref="T95" ca="1">MMS_Dairy_ManureAppliedToSoils_Equations.VEERG_4_3_1_8__1_MassOfNitrogenAppliedToSoilsScope1(T25,$E66,$E75,T37,I83)</f>
        <v>#VALUE!</v>
      </c>
      <c r="U95" s="55" t="e" cm="1">
        <f t="array" aca="1" ref="U95" ca="1">MMS_Dairy_ManureAppliedToSoils_Equations.VEERG_4_3_1_8__1_MassOfNitrogenAppliedToSoilsScope1(U25,$E66,$E75,U37,J83)</f>
        <v>#VALUE!</v>
      </c>
      <c r="V95" s="2" t="str">
        <f t="shared" si="4"/>
        <v>kg N</v>
      </c>
    </row>
    <row r="96" spans="4:22" ht="20.100000000000001" customHeight="1" x14ac:dyDescent="0.25">
      <c r="D96" s="136" t="str">
        <f>'Input - Pasture Beef'!$D$144</f>
        <v>Milking shed</v>
      </c>
      <c r="E96" s="136" t="str">
        <f>'Input - Pasture Beef'!$D$172</f>
        <v>Solid storage</v>
      </c>
      <c r="F96" s="55" t="e" cm="1">
        <f t="array" aca="1" ref="F96" ca="1">MMS_Dairy_ManureAppliedToSoils_Equations.VEERG_4_3_1_8__1_MassOfNitrogenAppliedToSoilsScope1(F26,$E67,$E76,F38,F84)</f>
        <v>#REF!</v>
      </c>
      <c r="G96" s="55" t="e" cm="1">
        <f t="array" aca="1" ref="G96" ca="1">MMS_Dairy_ManureAppliedToSoils_Equations.VEERG_4_3_1_8__1_MassOfNitrogenAppliedToSoilsScope1(G26,$E67,$E76,G38,G84)</f>
        <v>#REF!</v>
      </c>
      <c r="H96" s="55" t="e" cm="1">
        <f t="array" aca="1" ref="H96" ca="1">MMS_Dairy_ManureAppliedToSoils_Equations.VEERG_4_3_1_8__1_MassOfNitrogenAppliedToSoilsScope1(H26,$E67,$E76,H38,H84)</f>
        <v>#VALUE!</v>
      </c>
      <c r="I96" s="55" t="e" cm="1">
        <f t="array" aca="1" ref="I96" ca="1">MMS_Dairy_ManureAppliedToSoils_Equations.VEERG_4_3_1_8__1_MassOfNitrogenAppliedToSoilsScope1(I26,$E67,$E76,I38,I84)</f>
        <v>#VALUE!</v>
      </c>
      <c r="J96" s="55" t="e" cm="1">
        <f t="array" aca="1" ref="J96" ca="1">MMS_Dairy_ManureAppliedToSoils_Equations.VEERG_4_3_1_8__1_MassOfNitrogenAppliedToSoilsScope1(J26,$E67,$E76,J38,J84)</f>
        <v>#VALUE!</v>
      </c>
      <c r="K96" s="2" t="str">
        <f t="shared" si="3"/>
        <v>kg N</v>
      </c>
      <c r="O96" s="136" t="str">
        <f>'Input - Pasture Beef'!$D$144</f>
        <v>Milking shed</v>
      </c>
      <c r="P96" s="136" t="str">
        <f>'Input - Pasture Beef'!$D$172</f>
        <v>Solid storage</v>
      </c>
      <c r="Q96" s="55" t="e" cm="1">
        <f t="array" aca="1" ref="Q96" ca="1">MMS_Dairy_ManureAppliedToSoils_Equations.VEERG_4_3_1_8__1_MassOfNitrogenAppliedToSoilsScope1(Q26,$E67,$E76,Q38,F84)</f>
        <v>#VALUE!</v>
      </c>
      <c r="R96" s="55" t="e" cm="1">
        <f t="array" aca="1" ref="R96" ca="1">MMS_Dairy_ManureAppliedToSoils_Equations.VEERG_4_3_1_8__1_MassOfNitrogenAppliedToSoilsScope1(R26,$E67,$E76,R38,G84)</f>
        <v>#VALUE!</v>
      </c>
      <c r="S96" s="55" t="e" cm="1">
        <f t="array" aca="1" ref="S96" ca="1">MMS_Dairy_ManureAppliedToSoils_Equations.VEERG_4_3_1_8__1_MassOfNitrogenAppliedToSoilsScope1(S26,$E67,$E76,S38,H84)</f>
        <v>#VALUE!</v>
      </c>
      <c r="T96" s="55" t="e" cm="1">
        <f t="array" aca="1" ref="T96" ca="1">MMS_Dairy_ManureAppliedToSoils_Equations.VEERG_4_3_1_8__1_MassOfNitrogenAppliedToSoilsScope1(T26,$E67,$E76,T38,I84)</f>
        <v>#VALUE!</v>
      </c>
      <c r="U96" s="55" t="e" cm="1">
        <f t="array" aca="1" ref="U96" ca="1">MMS_Dairy_ManureAppliedToSoils_Equations.VEERG_4_3_1_8__1_MassOfNitrogenAppliedToSoilsScope1(U26,$E67,$E76,U38,J84)</f>
        <v>#VALUE!</v>
      </c>
      <c r="V96" s="2" t="str">
        <f t="shared" si="4"/>
        <v>kg N</v>
      </c>
    </row>
    <row r="97" spans="3:23" ht="20.100000000000001" customHeight="1" x14ac:dyDescent="0.25">
      <c r="D97" s="136" t="str">
        <f>'Input - Pasture Beef'!$D$145</f>
        <v>Feed pad</v>
      </c>
      <c r="E97" s="136" t="str">
        <f>'Input - Pasture Beef'!$D$191</f>
        <v>Anaerobic lagoon</v>
      </c>
      <c r="F97" s="55" t="e" cm="1">
        <f t="array" aca="1" ref="F97" ca="1">MMS_Dairy_ManureAppliedToSoils_Equations.VEERG_4_3_1_8__1_MassOfNitrogenAppliedToSoilsScope1(F27,$E64,$E73,F39,F85)</f>
        <v>#REF!</v>
      </c>
      <c r="G97" s="55" t="e" cm="1">
        <f t="array" aca="1" ref="G97" ca="1">MMS_Dairy_ManureAppliedToSoils_Equations.VEERG_4_3_1_8__1_MassOfNitrogenAppliedToSoilsScope1(G27,$E64,$E73,G39,G85)</f>
        <v>#REF!</v>
      </c>
      <c r="H97" s="55" t="e" cm="1">
        <f t="array" aca="1" ref="H97" ca="1">MMS_Dairy_ManureAppliedToSoils_Equations.VEERG_4_3_1_8__1_MassOfNitrogenAppliedToSoilsScope1(H27,$E64,$E73,H39,H85)</f>
        <v>#VALUE!</v>
      </c>
      <c r="I97" s="55" t="e" cm="1">
        <f t="array" aca="1" ref="I97" ca="1">MMS_Dairy_ManureAppliedToSoils_Equations.VEERG_4_3_1_8__1_MassOfNitrogenAppliedToSoilsScope1(I27,$E64,$E73,I39,I85)</f>
        <v>#VALUE!</v>
      </c>
      <c r="J97" s="55" t="e" cm="1">
        <f t="array" aca="1" ref="J97" ca="1">MMS_Dairy_ManureAppliedToSoils_Equations.VEERG_4_3_1_8__1_MassOfNitrogenAppliedToSoilsScope1(J27,$E64,$E73,J39,J85)</f>
        <v>#VALUE!</v>
      </c>
      <c r="K97" s="2" t="str">
        <f t="shared" si="3"/>
        <v>kg N</v>
      </c>
      <c r="O97" s="136" t="str">
        <f>'Input - Pasture Beef'!$D$145</f>
        <v>Feed pad</v>
      </c>
      <c r="P97" s="136" t="str">
        <f>'Input - Pasture Beef'!$D$191</f>
        <v>Anaerobic lagoon</v>
      </c>
      <c r="Q97" s="55" t="e" cm="1">
        <f t="array" aca="1" ref="Q97" ca="1">MMS_Dairy_ManureAppliedToSoils_Equations.VEERG_4_3_1_8__1_MassOfNitrogenAppliedToSoilsScope1(Q27,$E64,$E73,Q39,F85)</f>
        <v>#VALUE!</v>
      </c>
      <c r="R97" s="55" t="e" cm="1">
        <f t="array" aca="1" ref="R97" ca="1">MMS_Dairy_ManureAppliedToSoils_Equations.VEERG_4_3_1_8__1_MassOfNitrogenAppliedToSoilsScope1(R27,$E64,$E73,R39,G85)</f>
        <v>#VALUE!</v>
      </c>
      <c r="S97" s="55" t="e" cm="1">
        <f t="array" aca="1" ref="S97" ca="1">MMS_Dairy_ManureAppliedToSoils_Equations.VEERG_4_3_1_8__1_MassOfNitrogenAppliedToSoilsScope1(S27,$E64,$E73,S39,H85)</f>
        <v>#VALUE!</v>
      </c>
      <c r="T97" s="55" t="e" cm="1">
        <f t="array" aca="1" ref="T97" ca="1">MMS_Dairy_ManureAppliedToSoils_Equations.VEERG_4_3_1_8__1_MassOfNitrogenAppliedToSoilsScope1(T27,$E64,$E73,T39,I85)</f>
        <v>#VALUE!</v>
      </c>
      <c r="U97" s="55" t="e" cm="1">
        <f t="array" aca="1" ref="U97" ca="1">MMS_Dairy_ManureAppliedToSoils_Equations.VEERG_4_3_1_8__1_MassOfNitrogenAppliedToSoilsScope1(U27,$E64,$E73,U39,J85)</f>
        <v>#VALUE!</v>
      </c>
      <c r="V97" s="2" t="str">
        <f t="shared" si="4"/>
        <v>kg N</v>
      </c>
    </row>
    <row r="98" spans="3:23" ht="20.100000000000001" customHeight="1" x14ac:dyDescent="0.25">
      <c r="D98" s="136" t="str">
        <f>'Input - Pasture Beef'!$D$145</f>
        <v>Feed pad</v>
      </c>
      <c r="E98" s="136" t="str">
        <f>'Input - Pasture Beef'!$D$196</f>
        <v>Sump and dispersal system</v>
      </c>
      <c r="F98" s="55" t="e" cm="1">
        <f t="array" aca="1" ref="F98" ca="1">MMS_Dairy_ManureAppliedToSoils_Equations.VEERG_4_3_1_8__1_MassOfNitrogenAppliedToSoilsScope1(F28,$E65,$E74,F40,F86)</f>
        <v>#REF!</v>
      </c>
      <c r="G98" s="55" t="e" cm="1">
        <f t="array" aca="1" ref="G98" ca="1">MMS_Dairy_ManureAppliedToSoils_Equations.VEERG_4_3_1_8__1_MassOfNitrogenAppliedToSoilsScope1(G28,$E65,$E74,G40,G86)</f>
        <v>#REF!</v>
      </c>
      <c r="H98" s="55" t="e" cm="1">
        <f t="array" aca="1" ref="H98" ca="1">MMS_Dairy_ManureAppliedToSoils_Equations.VEERG_4_3_1_8__1_MassOfNitrogenAppliedToSoilsScope1(H28,$E65,$E74,H40,H86)</f>
        <v>#VALUE!</v>
      </c>
      <c r="I98" s="55" t="e" cm="1">
        <f t="array" aca="1" ref="I98" ca="1">MMS_Dairy_ManureAppliedToSoils_Equations.VEERG_4_3_1_8__1_MassOfNitrogenAppliedToSoilsScope1(I28,$E65,$E74,I40,I86)</f>
        <v>#VALUE!</v>
      </c>
      <c r="J98" s="55" t="e" cm="1">
        <f t="array" aca="1" ref="J98" ca="1">MMS_Dairy_ManureAppliedToSoils_Equations.VEERG_4_3_1_8__1_MassOfNitrogenAppliedToSoilsScope1(J28,$E65,$E74,J40,J86)</f>
        <v>#VALUE!</v>
      </c>
      <c r="K98" s="2" t="str">
        <f t="shared" si="3"/>
        <v>kg N</v>
      </c>
      <c r="O98" s="136" t="str">
        <f>'Input - Pasture Beef'!$D$145</f>
        <v>Feed pad</v>
      </c>
      <c r="P98" s="136" t="str">
        <f>'Input - Pasture Beef'!$D$196</f>
        <v>Sump and dispersal system</v>
      </c>
      <c r="Q98" s="55" t="e" cm="1">
        <f t="array" aca="1" ref="Q98" ca="1">MMS_Dairy_ManureAppliedToSoils_Equations.VEERG_4_3_1_8__1_MassOfNitrogenAppliedToSoilsScope1(Q28,$E65,$E74,Q40,F86)</f>
        <v>#VALUE!</v>
      </c>
      <c r="R98" s="55" t="e" cm="1">
        <f t="array" aca="1" ref="R98" ca="1">MMS_Dairy_ManureAppliedToSoils_Equations.VEERG_4_3_1_8__1_MassOfNitrogenAppliedToSoilsScope1(R28,$E65,$E74,R40,G86)</f>
        <v>#VALUE!</v>
      </c>
      <c r="S98" s="55" t="e" cm="1">
        <f t="array" aca="1" ref="S98" ca="1">MMS_Dairy_ManureAppliedToSoils_Equations.VEERG_4_3_1_8__1_MassOfNitrogenAppliedToSoilsScope1(S28,$E65,$E74,S40,H86)</f>
        <v>#VALUE!</v>
      </c>
      <c r="T98" s="55" t="e" cm="1">
        <f t="array" aca="1" ref="T98" ca="1">MMS_Dairy_ManureAppliedToSoils_Equations.VEERG_4_3_1_8__1_MassOfNitrogenAppliedToSoilsScope1(T28,$E65,$E74,T40,I86)</f>
        <v>#VALUE!</v>
      </c>
      <c r="U98" s="55" t="e" cm="1">
        <f t="array" aca="1" ref="U98" ca="1">MMS_Dairy_ManureAppliedToSoils_Equations.VEERG_4_3_1_8__1_MassOfNitrogenAppliedToSoilsScope1(U28,$E65,$E74,U40,J86)</f>
        <v>#VALUE!</v>
      </c>
      <c r="V98" s="2" t="str">
        <f t="shared" si="4"/>
        <v>kg N</v>
      </c>
    </row>
    <row r="99" spans="3:23" ht="20.100000000000001" customHeight="1" x14ac:dyDescent="0.25">
      <c r="D99" s="136" t="str">
        <f>'Input - Pasture Beef'!$D$145</f>
        <v>Feed pad</v>
      </c>
      <c r="E99" s="136" t="str">
        <f>'Input - Pasture Beef'!$D$201</f>
        <v>Drains to paddock</v>
      </c>
      <c r="F99" s="55" t="e" cm="1">
        <f t="array" aca="1" ref="F99" ca="1">MMS_Dairy_ManureAppliedToSoils_Equations.VEERG_4_3_1_8__1_MassOfNitrogenAppliedToSoilsScope1(F29,$E66,$E75,F41,F87)</f>
        <v>#REF!</v>
      </c>
      <c r="G99" s="55" t="e" cm="1">
        <f t="array" aca="1" ref="G99" ca="1">MMS_Dairy_ManureAppliedToSoils_Equations.VEERG_4_3_1_8__1_MassOfNitrogenAppliedToSoilsScope1(G29,$E66,$E75,G41,G87)</f>
        <v>#REF!</v>
      </c>
      <c r="H99" s="55" t="e" cm="1">
        <f t="array" aca="1" ref="H99" ca="1">MMS_Dairy_ManureAppliedToSoils_Equations.VEERG_4_3_1_8__1_MassOfNitrogenAppliedToSoilsScope1(H29,$E66,$E75,H41,H87)</f>
        <v>#VALUE!</v>
      </c>
      <c r="I99" s="55" t="e" cm="1">
        <f t="array" aca="1" ref="I99" ca="1">MMS_Dairy_ManureAppliedToSoils_Equations.VEERG_4_3_1_8__1_MassOfNitrogenAppliedToSoilsScope1(I29,$E66,$E75,I41,I87)</f>
        <v>#VALUE!</v>
      </c>
      <c r="J99" s="55" t="e" cm="1">
        <f t="array" aca="1" ref="J99" ca="1">MMS_Dairy_ManureAppliedToSoils_Equations.VEERG_4_3_1_8__1_MassOfNitrogenAppliedToSoilsScope1(J29,$E66,$E75,J41,J87)</f>
        <v>#VALUE!</v>
      </c>
      <c r="K99" s="2" t="str">
        <f t="shared" si="3"/>
        <v>kg N</v>
      </c>
      <c r="O99" s="136" t="str">
        <f>'Input - Pasture Beef'!$D$145</f>
        <v>Feed pad</v>
      </c>
      <c r="P99" s="136" t="str">
        <f>'Input - Pasture Beef'!$D$201</f>
        <v>Drains to paddock</v>
      </c>
      <c r="Q99" s="55" t="e" cm="1">
        <f t="array" aca="1" ref="Q99" ca="1">MMS_Dairy_ManureAppliedToSoils_Equations.VEERG_4_3_1_8__1_MassOfNitrogenAppliedToSoilsScope1(Q29,$E66,$E75,Q41,F87)</f>
        <v>#VALUE!</v>
      </c>
      <c r="R99" s="55" t="e" cm="1">
        <f t="array" aca="1" ref="R99" ca="1">MMS_Dairy_ManureAppliedToSoils_Equations.VEERG_4_3_1_8__1_MassOfNitrogenAppliedToSoilsScope1(R29,$E66,$E75,R41,G87)</f>
        <v>#VALUE!</v>
      </c>
      <c r="S99" s="55" t="e" cm="1">
        <f t="array" aca="1" ref="S99" ca="1">MMS_Dairy_ManureAppliedToSoils_Equations.VEERG_4_3_1_8__1_MassOfNitrogenAppliedToSoilsScope1(S29,$E66,$E75,S41,H87)</f>
        <v>#VALUE!</v>
      </c>
      <c r="T99" s="55" t="e" cm="1">
        <f t="array" aca="1" ref="T99" ca="1">MMS_Dairy_ManureAppliedToSoils_Equations.VEERG_4_3_1_8__1_MassOfNitrogenAppliedToSoilsScope1(T29,$E66,$E75,T41,I87)</f>
        <v>#VALUE!</v>
      </c>
      <c r="U99" s="55" t="e" cm="1">
        <f t="array" aca="1" ref="U99" ca="1">MMS_Dairy_ManureAppliedToSoils_Equations.VEERG_4_3_1_8__1_MassOfNitrogenAppliedToSoilsScope1(U29,$E66,$E75,U41,J87)</f>
        <v>#VALUE!</v>
      </c>
      <c r="V99" s="2" t="str">
        <f t="shared" si="4"/>
        <v>kg N</v>
      </c>
    </row>
    <row r="100" spans="3:23" ht="20.100000000000001" customHeight="1" x14ac:dyDescent="0.25">
      <c r="D100" s="136" t="str">
        <f>'Input - Pasture Beef'!$D$145</f>
        <v>Feed pad</v>
      </c>
      <c r="E100" s="136" t="str">
        <f>'Input - Pasture Beef'!$D$206</f>
        <v>Solid storage</v>
      </c>
      <c r="F100" s="55" t="e" cm="1">
        <f t="array" aca="1" ref="F100" ca="1">MMS_Dairy_ManureAppliedToSoils_Equations.VEERG_4_3_1_8__1_MassOfNitrogenAppliedToSoilsScope1(F30,$E67,$E76,F42,F88)</f>
        <v>#REF!</v>
      </c>
      <c r="G100" s="55" t="e" cm="1">
        <f t="array" aca="1" ref="G100" ca="1">MMS_Dairy_ManureAppliedToSoils_Equations.VEERG_4_3_1_8__1_MassOfNitrogenAppliedToSoilsScope1(G30,$E67,$E76,G42,G88)</f>
        <v>#REF!</v>
      </c>
      <c r="H100" s="55" t="e" cm="1">
        <f t="array" aca="1" ref="H100" ca="1">MMS_Dairy_ManureAppliedToSoils_Equations.VEERG_4_3_1_8__1_MassOfNitrogenAppliedToSoilsScope1(H30,$E67,$E76,H42,H88)</f>
        <v>#VALUE!</v>
      </c>
      <c r="I100" s="55" t="e" cm="1">
        <f t="array" aca="1" ref="I100" ca="1">MMS_Dairy_ManureAppliedToSoils_Equations.VEERG_4_3_1_8__1_MassOfNitrogenAppliedToSoilsScope1(I30,$E67,$E76,I42,I88)</f>
        <v>#VALUE!</v>
      </c>
      <c r="J100" s="55" t="e" cm="1">
        <f t="array" aca="1" ref="J100" ca="1">MMS_Dairy_ManureAppliedToSoils_Equations.VEERG_4_3_1_8__1_MassOfNitrogenAppliedToSoilsScope1(J30,$E67,$E76,J42,J88)</f>
        <v>#VALUE!</v>
      </c>
      <c r="K100" s="2" t="str">
        <f t="shared" si="3"/>
        <v>kg N</v>
      </c>
      <c r="O100" s="136" t="str">
        <f>'Input - Pasture Beef'!$D$145</f>
        <v>Feed pad</v>
      </c>
      <c r="P100" s="136" t="str">
        <f>'Input - Pasture Beef'!$D$206</f>
        <v>Solid storage</v>
      </c>
      <c r="Q100" s="55" t="e" cm="1">
        <f t="array" aca="1" ref="Q100" ca="1">MMS_Dairy_ManureAppliedToSoils_Equations.VEERG_4_3_1_8__1_MassOfNitrogenAppliedToSoilsScope1(Q30,$E67,$E76,Q42,F88)</f>
        <v>#VALUE!</v>
      </c>
      <c r="R100" s="55" t="e" cm="1">
        <f t="array" aca="1" ref="R100" ca="1">MMS_Dairy_ManureAppliedToSoils_Equations.VEERG_4_3_1_8__1_MassOfNitrogenAppliedToSoilsScope1(R30,$E67,$E76,R42,G88)</f>
        <v>#VALUE!</v>
      </c>
      <c r="S100" s="55" t="e" cm="1">
        <f t="array" aca="1" ref="S100" ca="1">MMS_Dairy_ManureAppliedToSoils_Equations.VEERG_4_3_1_8__1_MassOfNitrogenAppliedToSoilsScope1(S30,$E67,$E76,S42,H88)</f>
        <v>#VALUE!</v>
      </c>
      <c r="T100" s="55" t="e" cm="1">
        <f t="array" aca="1" ref="T100" ca="1">MMS_Dairy_ManureAppliedToSoils_Equations.VEERG_4_3_1_8__1_MassOfNitrogenAppliedToSoilsScope1(T30,$E67,$E76,T42,I88)</f>
        <v>#VALUE!</v>
      </c>
      <c r="U100" s="55" t="e" cm="1">
        <f t="array" aca="1" ref="U100" ca="1">MMS_Dairy_ManureAppliedToSoils_Equations.VEERG_4_3_1_8__1_MassOfNitrogenAppliedToSoilsScope1(U30,$E67,$E76,U42,J88)</f>
        <v>#VALUE!</v>
      </c>
      <c r="V100" s="2" t="str">
        <f t="shared" si="4"/>
        <v>kg N</v>
      </c>
    </row>
    <row r="101" spans="3:23" ht="20.100000000000001" customHeight="1" x14ac:dyDescent="0.25"/>
    <row r="102" spans="3:23" ht="20.100000000000001" customHeight="1" x14ac:dyDescent="0.25">
      <c r="D102" s="107" t="s">
        <v>121</v>
      </c>
      <c r="E102" s="108" t="e">
        <f ca="1">SUM(F93:J100)</f>
        <v>#REF!</v>
      </c>
      <c r="F102" s="109" t="str">
        <f>$E$52</f>
        <v>kg N</v>
      </c>
    </row>
    <row r="103" spans="3:23" ht="20.100000000000001" customHeight="1" x14ac:dyDescent="0.25"/>
    <row r="104" spans="3:23" ht="20.100000000000001" customHeight="1" x14ac:dyDescent="0.25"/>
    <row r="105" spans="3:23" ht="20.100000000000001" customHeight="1" x14ac:dyDescent="0.25">
      <c r="C105" s="48"/>
      <c r="D105" s="48"/>
      <c r="E105" s="48"/>
      <c r="F105" s="48"/>
      <c r="G105" s="48"/>
      <c r="H105" s="48"/>
      <c r="I105" s="48"/>
      <c r="J105" s="48"/>
      <c r="K105" s="48"/>
      <c r="L105" s="48"/>
      <c r="N105" s="48"/>
      <c r="O105" s="48"/>
      <c r="P105" s="48"/>
      <c r="Q105" s="48"/>
      <c r="R105" s="48"/>
      <c r="S105" s="48"/>
      <c r="T105" s="48"/>
      <c r="U105" s="48"/>
      <c r="V105" s="48"/>
      <c r="W105" s="48"/>
    </row>
    <row r="106" spans="3:23" ht="20.100000000000001" customHeight="1" x14ac:dyDescent="0.25">
      <c r="D106" s="6" t="str" cm="1">
        <f t="array" ref="D106">MMS_Dairy_ManureAppliedToSoils_Equations.VEERG_4_3_1_8__2_MassOfNitrogenAppliedToSoilsScope3_Title()</f>
        <v>Mass of nitrogen from manure applied to soils for scope 3 emissions</v>
      </c>
    </row>
    <row r="107" spans="3:23" ht="20.100000000000001" customHeight="1" x14ac:dyDescent="0.25">
      <c r="D107" s="5" t="str" cm="1">
        <f t="array" ref="D107">MMS_Dairy_ManureAppliedToSoils_Equations.VEERG_4_3_1_8__2_MassOfNitrogenAppliedToSoilsScope3_Source()</f>
        <v>VEERG 2026: 4.3.1.8, Equation (2)</v>
      </c>
    </row>
    <row r="108" spans="3:23" ht="20.100000000000001" customHeight="1" x14ac:dyDescent="0.25">
      <c r="D108" s="13" t="s">
        <v>27</v>
      </c>
      <c r="E108" s="13" t="str" cm="1">
        <f t="array" aca="1" ref="E108" ca="1">Common_InputFunctions.Utility_DisplayFunctionName($F$123)</f>
        <v>=MMS_Dairy_ManureAppliedToSoils_Equations.VEERG_4_3_1_8__2_MassOfNitrogenAppliedToSoilsScope3</v>
      </c>
    </row>
    <row r="109" spans="3:23" ht="20.100000000000001" customHeight="1" x14ac:dyDescent="0.25"/>
    <row r="110" spans="3:23" ht="20.100000000000001" customHeight="1" x14ac:dyDescent="0.25">
      <c r="H110" s="113" t="s">
        <v>333</v>
      </c>
    </row>
    <row r="111" spans="3:23" ht="20.100000000000001" customHeight="1" x14ac:dyDescent="0.25">
      <c r="D111" s="56" t="s">
        <v>30</v>
      </c>
      <c r="E111" s="1" t="str" cm="1">
        <f t="array" ref="E111">MMS_Dairy_ManureAppliedToSoils_Equations.VEERG_4_3_1_8__2_MassOfNitrogenAppliedToSoilsScope3_Variable()</f>
        <v>MNSoil_scope3</v>
      </c>
    </row>
    <row r="112" spans="3:23" ht="20.100000000000001" customHeight="1" x14ac:dyDescent="0.25">
      <c r="D112" s="56" t="s">
        <v>20</v>
      </c>
      <c r="E112" s="57" t="str" cm="1">
        <f t="array" ref="E112">MMS_Dairy_ManureAppliedToSoils_Equations.VEERG_4_3_1_8__2_MassOfNitrogenAppliedToSoilsScope3_Unit()</f>
        <v>kg N</v>
      </c>
    </row>
    <row r="113" spans="4:22" ht="20.100000000000001" customHeight="1" x14ac:dyDescent="0.25"/>
    <row r="114" spans="4:22" ht="20.100000000000001" customHeight="1" x14ac:dyDescent="0.25">
      <c r="D114" s="114" t="str" cm="1">
        <f t="array" ref="D114:E118">MMS_Dairy_ManureAppliedToSoils_Equations.VEERG_4_3_1_8__2_MassOfNitrogenAppliedToSoilsScope3_Arguments()</f>
        <v>MN_jm</v>
      </c>
      <c r="E114" s="116" t="str">
        <v>total nitrogen in each MMS for dairy cattle classes (kg N)</v>
      </c>
      <c r="F114" s="140"/>
      <c r="G114" s="115"/>
      <c r="H114" s="114" t="str">
        <f>"See " &amp; $D$20</f>
        <v>See M1_Table_MN_j_m</v>
      </c>
    </row>
    <row r="115" spans="4:22" ht="20.100000000000001" customHeight="1" x14ac:dyDescent="0.25">
      <c r="D115" s="114" t="str">
        <v>EF_m</v>
      </c>
      <c r="E115" s="116" t="str">
        <v>emission factor for nitrous oxide emissions per MMS (kg N2O-N/kg N)</v>
      </c>
      <c r="F115" s="140"/>
      <c r="G115" s="115"/>
      <c r="H115" s="114" t="str">
        <f>"See " &amp; $D$60</f>
        <v>See Table_EF_m</v>
      </c>
    </row>
    <row r="116" spans="4:22" ht="20.100000000000001" customHeight="1" x14ac:dyDescent="0.25">
      <c r="D116" s="114" t="str">
        <v>FracGASM_m</v>
      </c>
      <c r="E116" s="116" t="str">
        <v>fraction of N volatilised from MMS</v>
      </c>
      <c r="F116" s="140"/>
      <c r="G116" s="115"/>
      <c r="H116" s="114" t="str">
        <f>"See " &amp; $D$69</f>
        <v>See Table_FracGASM_m</v>
      </c>
    </row>
    <row r="117" spans="4:22" ht="20.100000000000001" customHeight="1" x14ac:dyDescent="0.25">
      <c r="D117" s="114" t="str">
        <v>MNLeach_jm</v>
      </c>
      <c r="E117" s="116" t="str">
        <v>mass of N lost through leaching and runoff from each MMS (kg N)</v>
      </c>
      <c r="F117" s="140"/>
      <c r="G117" s="115"/>
      <c r="H117" s="114" t="str">
        <f>"See " &amp; $D$32</f>
        <v>See M1_Table_MN_leach_j_m-1-13</v>
      </c>
    </row>
    <row r="118" spans="4:22" ht="20.100000000000001" customHeight="1" x14ac:dyDescent="0.25">
      <c r="D118" s="114" t="str">
        <v>PF</v>
      </c>
      <c r="E118" s="116" t="str">
        <v>fraction of manure applied to soil within farm boundary</v>
      </c>
      <c r="F118" s="140"/>
      <c r="G118" s="115"/>
      <c r="H118" s="114" t="str">
        <f>"See " &amp; D78</f>
        <v>See Table_PF_scope</v>
      </c>
    </row>
    <row r="119" spans="4:22" ht="20.100000000000001" customHeight="1" x14ac:dyDescent="0.25"/>
    <row r="120" spans="4:22" ht="20.100000000000001" customHeight="1" x14ac:dyDescent="0.25">
      <c r="D120" s="104" t="s">
        <v>294</v>
      </c>
      <c r="O120" s="104" t="s">
        <v>300</v>
      </c>
    </row>
    <row r="121" spans="4:22" ht="20.100000000000001" customHeight="1" x14ac:dyDescent="0.25">
      <c r="D121" s="103" t="s">
        <v>295</v>
      </c>
      <c r="O121" s="103" t="s">
        <v>301</v>
      </c>
    </row>
    <row r="122" spans="4:22" ht="20.100000000000001" customHeight="1" x14ac:dyDescent="0.25">
      <c r="D122" s="54" t="s">
        <v>144</v>
      </c>
      <c r="E122" s="54" t="s">
        <v>68</v>
      </c>
      <c r="F122" s="54" t="s">
        <v>173</v>
      </c>
      <c r="G122" s="54" t="s">
        <v>175</v>
      </c>
      <c r="H122" s="54" t="s">
        <v>176</v>
      </c>
      <c r="I122" s="54" t="s">
        <v>177</v>
      </c>
      <c r="J122" s="54" t="s">
        <v>178</v>
      </c>
      <c r="O122" s="54" t="s">
        <v>144</v>
      </c>
      <c r="P122" s="54" t="s">
        <v>68</v>
      </c>
      <c r="Q122" s="54" t="s">
        <v>173</v>
      </c>
      <c r="R122" s="54" t="s">
        <v>175</v>
      </c>
      <c r="S122" s="54" t="s">
        <v>176</v>
      </c>
      <c r="T122" s="54" t="s">
        <v>177</v>
      </c>
      <c r="U122" s="54" t="s">
        <v>178</v>
      </c>
    </row>
    <row r="123" spans="4:22" ht="20.100000000000001" customHeight="1" x14ac:dyDescent="0.25">
      <c r="D123" s="136" t="str">
        <f>'Input - Pasture Beef'!$D$144</f>
        <v>Milking shed</v>
      </c>
      <c r="E123" s="136" t="str">
        <f>'Input - Pasture Beef'!$D$157</f>
        <v>Anaerobic lagoon</v>
      </c>
      <c r="F123" s="55" t="e" cm="1">
        <f t="array" aca="1" ref="F123" ca="1">MMS_Dairy_ManureAppliedToSoils_Equations.VEERG_4_3_1_8__2_MassOfNitrogenAppliedToSoilsScope3(F23, $E64, $E73, F35,F81)</f>
        <v>#REF!</v>
      </c>
      <c r="G123" s="55" t="e" cm="1">
        <f t="array" aca="1" ref="G123" ca="1">MMS_Dairy_ManureAppliedToSoils_Equations.VEERG_4_3_1_8__2_MassOfNitrogenAppliedToSoilsScope3(G23, $E64, $E73, G35,G81)</f>
        <v>#REF!</v>
      </c>
      <c r="H123" s="55" t="e" cm="1">
        <f t="array" aca="1" ref="H123" ca="1">MMS_Dairy_ManureAppliedToSoils_Equations.VEERG_4_3_1_8__2_MassOfNitrogenAppliedToSoilsScope3(H23, $E64, $E73, H35,H81)</f>
        <v>#VALUE!</v>
      </c>
      <c r="I123" s="55" t="e" cm="1">
        <f t="array" aca="1" ref="I123" ca="1">MMS_Dairy_ManureAppliedToSoils_Equations.VEERG_4_3_1_8__2_MassOfNitrogenAppliedToSoilsScope3(I23, $E64, $E73, I35,I81)</f>
        <v>#VALUE!</v>
      </c>
      <c r="J123" s="55" t="e" cm="1">
        <f t="array" aca="1" ref="J123" ca="1">MMS_Dairy_ManureAppliedToSoils_Equations.VEERG_4_3_1_8__2_MassOfNitrogenAppliedToSoilsScope3(J23, $E64, $E73, J35,J81)</f>
        <v>#VALUE!</v>
      </c>
      <c r="K123" s="2" t="str">
        <f>$E$112</f>
        <v>kg N</v>
      </c>
      <c r="O123" s="136" t="str">
        <f>'Input - Pasture Beef'!$D$144</f>
        <v>Milking shed</v>
      </c>
      <c r="P123" s="136" t="str">
        <f>'Input - Pasture Beef'!$D$157</f>
        <v>Anaerobic lagoon</v>
      </c>
      <c r="Q123" s="55" t="e" cm="1">
        <f t="array" aca="1" ref="Q123" ca="1">MMS_Dairy_ManureAppliedToSoils_Equations.VEERG_4_3_1_8__2_MassOfNitrogenAppliedToSoilsScope3(Q23, $E64, $E73, Q35,F81)</f>
        <v>#VALUE!</v>
      </c>
      <c r="R123" s="55" t="e" cm="1">
        <f t="array" aca="1" ref="R123" ca="1">MMS_Dairy_ManureAppliedToSoils_Equations.VEERG_4_3_1_8__2_MassOfNitrogenAppliedToSoilsScope3(R23, $E64, $E73, R35,G81)</f>
        <v>#VALUE!</v>
      </c>
      <c r="S123" s="55" t="e" cm="1">
        <f t="array" aca="1" ref="S123" ca="1">MMS_Dairy_ManureAppliedToSoils_Equations.VEERG_4_3_1_8__2_MassOfNitrogenAppliedToSoilsScope3(S23, $E64, $E73, S35,H81)</f>
        <v>#VALUE!</v>
      </c>
      <c r="T123" s="55" t="e" cm="1">
        <f t="array" aca="1" ref="T123" ca="1">MMS_Dairy_ManureAppliedToSoils_Equations.VEERG_4_3_1_8__2_MassOfNitrogenAppliedToSoilsScope3(T23, $E64, $E73, T35,I81)</f>
        <v>#VALUE!</v>
      </c>
      <c r="U123" s="55" t="e" cm="1">
        <f t="array" aca="1" ref="U123" ca="1">MMS_Dairy_ManureAppliedToSoils_Equations.VEERG_4_3_1_8__2_MassOfNitrogenAppliedToSoilsScope3(U23, $E64, $E73, U35,J81)</f>
        <v>#VALUE!</v>
      </c>
      <c r="V123" s="2" t="str">
        <f t="shared" ref="V123:V130" si="5">$E$112</f>
        <v>kg N</v>
      </c>
    </row>
    <row r="124" spans="4:22" ht="20.100000000000001" customHeight="1" x14ac:dyDescent="0.25">
      <c r="D124" s="136" t="str">
        <f>'Input - Pasture Beef'!$D$144</f>
        <v>Milking shed</v>
      </c>
      <c r="E124" s="136" t="str">
        <f>'Input - Pasture Beef'!$D$162</f>
        <v>Sump and dispersal system</v>
      </c>
      <c r="F124" s="55" t="e" cm="1">
        <f t="array" aca="1" ref="F124" ca="1">MMS_Dairy_ManureAppliedToSoils_Equations.VEERG_4_3_1_8__2_MassOfNitrogenAppliedToSoilsScope3(F24, $E65, $E74, F36,F82)</f>
        <v>#REF!</v>
      </c>
      <c r="G124" s="55" t="e" cm="1">
        <f t="array" aca="1" ref="G124" ca="1">MMS_Dairy_ManureAppliedToSoils_Equations.VEERG_4_3_1_8__2_MassOfNitrogenAppliedToSoilsScope3(G24, $E65, $E74, G36,G82)</f>
        <v>#REF!</v>
      </c>
      <c r="H124" s="55" t="e" cm="1">
        <f t="array" aca="1" ref="H124" ca="1">MMS_Dairy_ManureAppliedToSoils_Equations.VEERG_4_3_1_8__2_MassOfNitrogenAppliedToSoilsScope3(H24, $E65, $E74, H36,H82)</f>
        <v>#VALUE!</v>
      </c>
      <c r="I124" s="55" t="e" cm="1">
        <f t="array" aca="1" ref="I124" ca="1">MMS_Dairy_ManureAppliedToSoils_Equations.VEERG_4_3_1_8__2_MassOfNitrogenAppliedToSoilsScope3(I24, $E65, $E74, I36,I82)</f>
        <v>#VALUE!</v>
      </c>
      <c r="J124" s="55" t="e" cm="1">
        <f t="array" aca="1" ref="J124" ca="1">MMS_Dairy_ManureAppliedToSoils_Equations.VEERG_4_3_1_8__2_MassOfNitrogenAppliedToSoilsScope3(J24, $E65, $E74, J36,J82)</f>
        <v>#VALUE!</v>
      </c>
      <c r="K124" s="2" t="str">
        <f t="shared" ref="K124:K130" si="6">$E$112</f>
        <v>kg N</v>
      </c>
      <c r="O124" s="136" t="str">
        <f>'Input - Pasture Beef'!$D$144</f>
        <v>Milking shed</v>
      </c>
      <c r="P124" s="136" t="str">
        <f>'Input - Pasture Beef'!$D$162</f>
        <v>Sump and dispersal system</v>
      </c>
      <c r="Q124" s="55" t="e" cm="1">
        <f t="array" aca="1" ref="Q124" ca="1">MMS_Dairy_ManureAppliedToSoils_Equations.VEERG_4_3_1_8__2_MassOfNitrogenAppliedToSoilsScope3(Q24, $E65, $E74, Q36,F82)</f>
        <v>#VALUE!</v>
      </c>
      <c r="R124" s="55" t="e" cm="1">
        <f t="array" aca="1" ref="R124" ca="1">MMS_Dairy_ManureAppliedToSoils_Equations.VEERG_4_3_1_8__2_MassOfNitrogenAppliedToSoilsScope3(R24, $E65, $E74, R36,G82)</f>
        <v>#VALUE!</v>
      </c>
      <c r="S124" s="55" t="e" cm="1">
        <f t="array" aca="1" ref="S124" ca="1">MMS_Dairy_ManureAppliedToSoils_Equations.VEERG_4_3_1_8__2_MassOfNitrogenAppliedToSoilsScope3(S24, $E65, $E74, S36,H82)</f>
        <v>#VALUE!</v>
      </c>
      <c r="T124" s="55" t="e" cm="1">
        <f t="array" aca="1" ref="T124" ca="1">MMS_Dairy_ManureAppliedToSoils_Equations.VEERG_4_3_1_8__2_MassOfNitrogenAppliedToSoilsScope3(T24, $E65, $E74, T36,I82)</f>
        <v>#VALUE!</v>
      </c>
      <c r="U124" s="55" t="e" cm="1">
        <f t="array" aca="1" ref="U124" ca="1">MMS_Dairy_ManureAppliedToSoils_Equations.VEERG_4_3_1_8__2_MassOfNitrogenAppliedToSoilsScope3(U24, $E65, $E74, U36,J82)</f>
        <v>#VALUE!</v>
      </c>
      <c r="V124" s="2" t="str">
        <f t="shared" si="5"/>
        <v>kg N</v>
      </c>
    </row>
    <row r="125" spans="4:22" ht="20.100000000000001" customHeight="1" x14ac:dyDescent="0.25">
      <c r="D125" s="136" t="str">
        <f>'Input - Pasture Beef'!$D$144</f>
        <v>Milking shed</v>
      </c>
      <c r="E125" s="136" t="str">
        <f>'Input - Pasture Beef'!$D$167</f>
        <v>Drains to paddock</v>
      </c>
      <c r="F125" s="55" t="e" cm="1">
        <f t="array" aca="1" ref="F125" ca="1">MMS_Dairy_ManureAppliedToSoils_Equations.VEERG_4_3_1_8__2_MassOfNitrogenAppliedToSoilsScope3(F25, $E66, $E75, F37,F83)</f>
        <v>#REF!</v>
      </c>
      <c r="G125" s="55" t="e" cm="1">
        <f t="array" aca="1" ref="G125" ca="1">MMS_Dairy_ManureAppliedToSoils_Equations.VEERG_4_3_1_8__2_MassOfNitrogenAppliedToSoilsScope3(G25, $E66, $E75, G37,G83)</f>
        <v>#REF!</v>
      </c>
      <c r="H125" s="55" t="e" cm="1">
        <f t="array" aca="1" ref="H125" ca="1">MMS_Dairy_ManureAppliedToSoils_Equations.VEERG_4_3_1_8__2_MassOfNitrogenAppliedToSoilsScope3(H25, $E66, $E75, H37,H83)</f>
        <v>#VALUE!</v>
      </c>
      <c r="I125" s="55" t="e" cm="1">
        <f t="array" aca="1" ref="I125" ca="1">MMS_Dairy_ManureAppliedToSoils_Equations.VEERG_4_3_1_8__2_MassOfNitrogenAppliedToSoilsScope3(I25, $E66, $E75, I37,I83)</f>
        <v>#VALUE!</v>
      </c>
      <c r="J125" s="55" t="e" cm="1">
        <f t="array" aca="1" ref="J125" ca="1">MMS_Dairy_ManureAppliedToSoils_Equations.VEERG_4_3_1_8__2_MassOfNitrogenAppliedToSoilsScope3(J25, $E66, $E75, J37,J83)</f>
        <v>#VALUE!</v>
      </c>
      <c r="K125" s="2" t="str">
        <f t="shared" si="6"/>
        <v>kg N</v>
      </c>
      <c r="O125" s="136" t="str">
        <f>'Input - Pasture Beef'!$D$144</f>
        <v>Milking shed</v>
      </c>
      <c r="P125" s="136" t="str">
        <f>'Input - Pasture Beef'!$D$167</f>
        <v>Drains to paddock</v>
      </c>
      <c r="Q125" s="55" t="e" cm="1">
        <f t="array" aca="1" ref="Q125" ca="1">MMS_Dairy_ManureAppliedToSoils_Equations.VEERG_4_3_1_8__2_MassOfNitrogenAppliedToSoilsScope3(Q25, $E66, $E75, Q37,F83)</f>
        <v>#VALUE!</v>
      </c>
      <c r="R125" s="55" t="e" cm="1">
        <f t="array" aca="1" ref="R125" ca="1">MMS_Dairy_ManureAppliedToSoils_Equations.VEERG_4_3_1_8__2_MassOfNitrogenAppliedToSoilsScope3(R25, $E66, $E75, R37,G83)</f>
        <v>#VALUE!</v>
      </c>
      <c r="S125" s="55" t="e" cm="1">
        <f t="array" aca="1" ref="S125" ca="1">MMS_Dairy_ManureAppliedToSoils_Equations.VEERG_4_3_1_8__2_MassOfNitrogenAppliedToSoilsScope3(S25, $E66, $E75, S37,H83)</f>
        <v>#VALUE!</v>
      </c>
      <c r="T125" s="55" t="e" cm="1">
        <f t="array" aca="1" ref="T125" ca="1">MMS_Dairy_ManureAppliedToSoils_Equations.VEERG_4_3_1_8__2_MassOfNitrogenAppliedToSoilsScope3(T25, $E66, $E75, T37,I83)</f>
        <v>#VALUE!</v>
      </c>
      <c r="U125" s="55" t="e" cm="1">
        <f t="array" aca="1" ref="U125" ca="1">MMS_Dairy_ManureAppliedToSoils_Equations.VEERG_4_3_1_8__2_MassOfNitrogenAppliedToSoilsScope3(U25, $E66, $E75, U37,J83)</f>
        <v>#VALUE!</v>
      </c>
      <c r="V125" s="2" t="str">
        <f t="shared" si="5"/>
        <v>kg N</v>
      </c>
    </row>
    <row r="126" spans="4:22" ht="20.100000000000001" customHeight="1" x14ac:dyDescent="0.25">
      <c r="D126" s="136" t="str">
        <f>'Input - Pasture Beef'!$D$144</f>
        <v>Milking shed</v>
      </c>
      <c r="E126" s="136" t="str">
        <f>'Input - Pasture Beef'!$D$172</f>
        <v>Solid storage</v>
      </c>
      <c r="F126" s="55" t="e" cm="1">
        <f t="array" aca="1" ref="F126" ca="1">MMS_Dairy_ManureAppliedToSoils_Equations.VEERG_4_3_1_8__2_MassOfNitrogenAppliedToSoilsScope3(F26, $E67, $E76, F38,F84)</f>
        <v>#REF!</v>
      </c>
      <c r="G126" s="55" t="e" cm="1">
        <f t="array" aca="1" ref="G126" ca="1">MMS_Dairy_ManureAppliedToSoils_Equations.VEERG_4_3_1_8__2_MassOfNitrogenAppliedToSoilsScope3(G26, $E67, $E76, G38,G84)</f>
        <v>#REF!</v>
      </c>
      <c r="H126" s="55" t="e" cm="1">
        <f t="array" aca="1" ref="H126" ca="1">MMS_Dairy_ManureAppliedToSoils_Equations.VEERG_4_3_1_8__2_MassOfNitrogenAppliedToSoilsScope3(H26, $E67, $E76, H38,H84)</f>
        <v>#VALUE!</v>
      </c>
      <c r="I126" s="55" t="e" cm="1">
        <f t="array" aca="1" ref="I126" ca="1">MMS_Dairy_ManureAppliedToSoils_Equations.VEERG_4_3_1_8__2_MassOfNitrogenAppliedToSoilsScope3(I26, $E67, $E76, I38,I84)</f>
        <v>#VALUE!</v>
      </c>
      <c r="J126" s="55" t="e" cm="1">
        <f t="array" aca="1" ref="J126" ca="1">MMS_Dairy_ManureAppliedToSoils_Equations.VEERG_4_3_1_8__2_MassOfNitrogenAppliedToSoilsScope3(J26, $E67, $E76, J38,J84)</f>
        <v>#VALUE!</v>
      </c>
      <c r="K126" s="2" t="str">
        <f t="shared" si="6"/>
        <v>kg N</v>
      </c>
      <c r="O126" s="136" t="str">
        <f>'Input - Pasture Beef'!$D$144</f>
        <v>Milking shed</v>
      </c>
      <c r="P126" s="136" t="str">
        <f>'Input - Pasture Beef'!$D$172</f>
        <v>Solid storage</v>
      </c>
      <c r="Q126" s="55" t="e" cm="1">
        <f t="array" aca="1" ref="Q126" ca="1">MMS_Dairy_ManureAppliedToSoils_Equations.VEERG_4_3_1_8__2_MassOfNitrogenAppliedToSoilsScope3(Q26, $E67, $E76, Q38,F84)</f>
        <v>#VALUE!</v>
      </c>
      <c r="R126" s="55" t="e" cm="1">
        <f t="array" aca="1" ref="R126" ca="1">MMS_Dairy_ManureAppliedToSoils_Equations.VEERG_4_3_1_8__2_MassOfNitrogenAppliedToSoilsScope3(R26, $E67, $E76, R38,G84)</f>
        <v>#VALUE!</v>
      </c>
      <c r="S126" s="55" t="e" cm="1">
        <f t="array" aca="1" ref="S126" ca="1">MMS_Dairy_ManureAppliedToSoils_Equations.VEERG_4_3_1_8__2_MassOfNitrogenAppliedToSoilsScope3(S26, $E67, $E76, S38,H84)</f>
        <v>#VALUE!</v>
      </c>
      <c r="T126" s="55" t="e" cm="1">
        <f t="array" aca="1" ref="T126" ca="1">MMS_Dairy_ManureAppliedToSoils_Equations.VEERG_4_3_1_8__2_MassOfNitrogenAppliedToSoilsScope3(T26, $E67, $E76, T38,I84)</f>
        <v>#VALUE!</v>
      </c>
      <c r="U126" s="55" t="e" cm="1">
        <f t="array" aca="1" ref="U126" ca="1">MMS_Dairy_ManureAppliedToSoils_Equations.VEERG_4_3_1_8__2_MassOfNitrogenAppliedToSoilsScope3(U26, $E67, $E76, U38,J84)</f>
        <v>#VALUE!</v>
      </c>
      <c r="V126" s="2" t="str">
        <f t="shared" si="5"/>
        <v>kg N</v>
      </c>
    </row>
    <row r="127" spans="4:22" ht="20.100000000000001" customHeight="1" x14ac:dyDescent="0.25">
      <c r="D127" s="136" t="str">
        <f>'Input - Pasture Beef'!$D$145</f>
        <v>Feed pad</v>
      </c>
      <c r="E127" s="136" t="str">
        <f>'Input - Pasture Beef'!$D$191</f>
        <v>Anaerobic lagoon</v>
      </c>
      <c r="F127" s="55" t="e" cm="1">
        <f t="array" aca="1" ref="F127" ca="1">MMS_Dairy_ManureAppliedToSoils_Equations.VEERG_4_3_1_8__2_MassOfNitrogenAppliedToSoilsScope3(F27, $E64, $E73, F39,F85)</f>
        <v>#REF!</v>
      </c>
      <c r="G127" s="55" t="e" cm="1">
        <f t="array" aca="1" ref="G127" ca="1">MMS_Dairy_ManureAppliedToSoils_Equations.VEERG_4_3_1_8__2_MassOfNitrogenAppliedToSoilsScope3(G27, $E64, $E73, G39,G85)</f>
        <v>#REF!</v>
      </c>
      <c r="H127" s="55" t="e" cm="1">
        <f t="array" aca="1" ref="H127" ca="1">MMS_Dairy_ManureAppliedToSoils_Equations.VEERG_4_3_1_8__2_MassOfNitrogenAppliedToSoilsScope3(H27, $E64, $E73, H39,H85)</f>
        <v>#VALUE!</v>
      </c>
      <c r="I127" s="55" t="e" cm="1">
        <f t="array" aca="1" ref="I127" ca="1">MMS_Dairy_ManureAppliedToSoils_Equations.VEERG_4_3_1_8__2_MassOfNitrogenAppliedToSoilsScope3(I27, $E64, $E73, I39,I85)</f>
        <v>#VALUE!</v>
      </c>
      <c r="J127" s="55" t="e" cm="1">
        <f t="array" aca="1" ref="J127" ca="1">MMS_Dairy_ManureAppliedToSoils_Equations.VEERG_4_3_1_8__2_MassOfNitrogenAppliedToSoilsScope3(J27, $E64, $E73, J39,J85)</f>
        <v>#VALUE!</v>
      </c>
      <c r="K127" s="2" t="str">
        <f t="shared" si="6"/>
        <v>kg N</v>
      </c>
      <c r="O127" s="136" t="str">
        <f>'Input - Pasture Beef'!$D$145</f>
        <v>Feed pad</v>
      </c>
      <c r="P127" s="136" t="str">
        <f>'Input - Pasture Beef'!$D$191</f>
        <v>Anaerobic lagoon</v>
      </c>
      <c r="Q127" s="55" t="e" cm="1">
        <f t="array" aca="1" ref="Q127" ca="1">MMS_Dairy_ManureAppliedToSoils_Equations.VEERG_4_3_1_8__2_MassOfNitrogenAppliedToSoilsScope3(Q27, $E64, $E73, Q39,F85)</f>
        <v>#VALUE!</v>
      </c>
      <c r="R127" s="55" t="e" cm="1">
        <f t="array" aca="1" ref="R127" ca="1">MMS_Dairy_ManureAppliedToSoils_Equations.VEERG_4_3_1_8__2_MassOfNitrogenAppliedToSoilsScope3(R27, $E64, $E73, R39,G85)</f>
        <v>#VALUE!</v>
      </c>
      <c r="S127" s="55" t="e" cm="1">
        <f t="array" aca="1" ref="S127" ca="1">MMS_Dairy_ManureAppliedToSoils_Equations.VEERG_4_3_1_8__2_MassOfNitrogenAppliedToSoilsScope3(S27, $E64, $E73, S39,H85)</f>
        <v>#VALUE!</v>
      </c>
      <c r="T127" s="55" t="e" cm="1">
        <f t="array" aca="1" ref="T127" ca="1">MMS_Dairy_ManureAppliedToSoils_Equations.VEERG_4_3_1_8__2_MassOfNitrogenAppliedToSoilsScope3(T27, $E64, $E73, T39,I85)</f>
        <v>#VALUE!</v>
      </c>
      <c r="U127" s="55" t="e" cm="1">
        <f t="array" aca="1" ref="U127" ca="1">MMS_Dairy_ManureAppliedToSoils_Equations.VEERG_4_3_1_8__2_MassOfNitrogenAppliedToSoilsScope3(U27, $E64, $E73, U39,J85)</f>
        <v>#VALUE!</v>
      </c>
      <c r="V127" s="2" t="str">
        <f t="shared" si="5"/>
        <v>kg N</v>
      </c>
    </row>
    <row r="128" spans="4:22" ht="20.100000000000001" customHeight="1" x14ac:dyDescent="0.25">
      <c r="D128" s="136" t="str">
        <f>'Input - Pasture Beef'!$D$145</f>
        <v>Feed pad</v>
      </c>
      <c r="E128" s="136" t="str">
        <f>'Input - Pasture Beef'!$D$196</f>
        <v>Sump and dispersal system</v>
      </c>
      <c r="F128" s="55" t="e" cm="1">
        <f t="array" aca="1" ref="F128" ca="1">MMS_Dairy_ManureAppliedToSoils_Equations.VEERG_4_3_1_8__2_MassOfNitrogenAppliedToSoilsScope3(F28, $E65, $E74, F40,F86)</f>
        <v>#REF!</v>
      </c>
      <c r="G128" s="55" t="e" cm="1">
        <f t="array" aca="1" ref="G128" ca="1">MMS_Dairy_ManureAppliedToSoils_Equations.VEERG_4_3_1_8__2_MassOfNitrogenAppliedToSoilsScope3(G28, $E65, $E74, G40,G86)</f>
        <v>#REF!</v>
      </c>
      <c r="H128" s="55" t="e" cm="1">
        <f t="array" aca="1" ref="H128" ca="1">MMS_Dairy_ManureAppliedToSoils_Equations.VEERG_4_3_1_8__2_MassOfNitrogenAppliedToSoilsScope3(H28, $E65, $E74, H40,H86)</f>
        <v>#VALUE!</v>
      </c>
      <c r="I128" s="55" t="e" cm="1">
        <f t="array" aca="1" ref="I128" ca="1">MMS_Dairy_ManureAppliedToSoils_Equations.VEERG_4_3_1_8__2_MassOfNitrogenAppliedToSoilsScope3(I28, $E65, $E74, I40,I86)</f>
        <v>#VALUE!</v>
      </c>
      <c r="J128" s="55" t="e" cm="1">
        <f t="array" aca="1" ref="J128" ca="1">MMS_Dairy_ManureAppliedToSoils_Equations.VEERG_4_3_1_8__2_MassOfNitrogenAppliedToSoilsScope3(J28, $E65, $E74, J40,J86)</f>
        <v>#VALUE!</v>
      </c>
      <c r="K128" s="2" t="str">
        <f t="shared" si="6"/>
        <v>kg N</v>
      </c>
      <c r="O128" s="136" t="str">
        <f>'Input - Pasture Beef'!$D$145</f>
        <v>Feed pad</v>
      </c>
      <c r="P128" s="136" t="str">
        <f>'Input - Pasture Beef'!$D$196</f>
        <v>Sump and dispersal system</v>
      </c>
      <c r="Q128" s="55" t="e" cm="1">
        <f t="array" aca="1" ref="Q128" ca="1">MMS_Dairy_ManureAppliedToSoils_Equations.VEERG_4_3_1_8__2_MassOfNitrogenAppliedToSoilsScope3(Q28, $E65, $E74, Q40,F86)</f>
        <v>#VALUE!</v>
      </c>
      <c r="R128" s="55" t="e" cm="1">
        <f t="array" aca="1" ref="R128" ca="1">MMS_Dairy_ManureAppliedToSoils_Equations.VEERG_4_3_1_8__2_MassOfNitrogenAppliedToSoilsScope3(R28, $E65, $E74, R40,G86)</f>
        <v>#VALUE!</v>
      </c>
      <c r="S128" s="55" t="e" cm="1">
        <f t="array" aca="1" ref="S128" ca="1">MMS_Dairy_ManureAppliedToSoils_Equations.VEERG_4_3_1_8__2_MassOfNitrogenAppliedToSoilsScope3(S28, $E65, $E74, S40,H86)</f>
        <v>#VALUE!</v>
      </c>
      <c r="T128" s="55" t="e" cm="1">
        <f t="array" aca="1" ref="T128" ca="1">MMS_Dairy_ManureAppliedToSoils_Equations.VEERG_4_3_1_8__2_MassOfNitrogenAppliedToSoilsScope3(T28, $E65, $E74, T40,I86)</f>
        <v>#VALUE!</v>
      </c>
      <c r="U128" s="55" t="e" cm="1">
        <f t="array" aca="1" ref="U128" ca="1">MMS_Dairy_ManureAppliedToSoils_Equations.VEERG_4_3_1_8__2_MassOfNitrogenAppliedToSoilsScope3(U28, $E65, $E74, U40,J86)</f>
        <v>#VALUE!</v>
      </c>
      <c r="V128" s="2" t="str">
        <f t="shared" si="5"/>
        <v>kg N</v>
      </c>
    </row>
    <row r="129" spans="3:23" ht="20.100000000000001" customHeight="1" x14ac:dyDescent="0.25">
      <c r="D129" s="136" t="str">
        <f>'Input - Pasture Beef'!$D$145</f>
        <v>Feed pad</v>
      </c>
      <c r="E129" s="136" t="str">
        <f>'Input - Pasture Beef'!$D$201</f>
        <v>Drains to paddock</v>
      </c>
      <c r="F129" s="55" t="e" cm="1">
        <f t="array" aca="1" ref="F129" ca="1">MMS_Dairy_ManureAppliedToSoils_Equations.VEERG_4_3_1_8__2_MassOfNitrogenAppliedToSoilsScope3(F29, $E66, $E75, F41,F87)</f>
        <v>#REF!</v>
      </c>
      <c r="G129" s="55" t="e" cm="1">
        <f t="array" aca="1" ref="G129" ca="1">MMS_Dairy_ManureAppliedToSoils_Equations.VEERG_4_3_1_8__2_MassOfNitrogenAppliedToSoilsScope3(G29, $E66, $E75, G41,G87)</f>
        <v>#REF!</v>
      </c>
      <c r="H129" s="55" t="e" cm="1">
        <f t="array" aca="1" ref="H129" ca="1">MMS_Dairy_ManureAppliedToSoils_Equations.VEERG_4_3_1_8__2_MassOfNitrogenAppliedToSoilsScope3(H29, $E66, $E75, H41,H87)</f>
        <v>#VALUE!</v>
      </c>
      <c r="I129" s="55" t="e" cm="1">
        <f t="array" aca="1" ref="I129" ca="1">MMS_Dairy_ManureAppliedToSoils_Equations.VEERG_4_3_1_8__2_MassOfNitrogenAppliedToSoilsScope3(I29, $E66, $E75, I41,I87)</f>
        <v>#VALUE!</v>
      </c>
      <c r="J129" s="55" t="e" cm="1">
        <f t="array" aca="1" ref="J129" ca="1">MMS_Dairy_ManureAppliedToSoils_Equations.VEERG_4_3_1_8__2_MassOfNitrogenAppliedToSoilsScope3(J29, $E66, $E75, J41,J87)</f>
        <v>#VALUE!</v>
      </c>
      <c r="K129" s="2" t="str">
        <f t="shared" si="6"/>
        <v>kg N</v>
      </c>
      <c r="O129" s="136" t="str">
        <f>'Input - Pasture Beef'!$D$145</f>
        <v>Feed pad</v>
      </c>
      <c r="P129" s="136" t="str">
        <f>'Input - Pasture Beef'!$D$201</f>
        <v>Drains to paddock</v>
      </c>
      <c r="Q129" s="55" t="e" cm="1">
        <f t="array" aca="1" ref="Q129" ca="1">MMS_Dairy_ManureAppliedToSoils_Equations.VEERG_4_3_1_8__2_MassOfNitrogenAppliedToSoilsScope3(Q29, $E66, $E75, Q41,F87)</f>
        <v>#VALUE!</v>
      </c>
      <c r="R129" s="55" t="e" cm="1">
        <f t="array" aca="1" ref="R129" ca="1">MMS_Dairy_ManureAppliedToSoils_Equations.VEERG_4_3_1_8__2_MassOfNitrogenAppliedToSoilsScope3(R29, $E66, $E75, R41,G87)</f>
        <v>#VALUE!</v>
      </c>
      <c r="S129" s="55" t="e" cm="1">
        <f t="array" aca="1" ref="S129" ca="1">MMS_Dairy_ManureAppliedToSoils_Equations.VEERG_4_3_1_8__2_MassOfNitrogenAppliedToSoilsScope3(S29, $E66, $E75, S41,H87)</f>
        <v>#VALUE!</v>
      </c>
      <c r="T129" s="55" t="e" cm="1">
        <f t="array" aca="1" ref="T129" ca="1">MMS_Dairy_ManureAppliedToSoils_Equations.VEERG_4_3_1_8__2_MassOfNitrogenAppliedToSoilsScope3(T29, $E66, $E75, T41,I87)</f>
        <v>#VALUE!</v>
      </c>
      <c r="U129" s="55" t="e" cm="1">
        <f t="array" aca="1" ref="U129" ca="1">MMS_Dairy_ManureAppliedToSoils_Equations.VEERG_4_3_1_8__2_MassOfNitrogenAppliedToSoilsScope3(U29, $E66, $E75, U41,J87)</f>
        <v>#VALUE!</v>
      </c>
      <c r="V129" s="2" t="str">
        <f t="shared" si="5"/>
        <v>kg N</v>
      </c>
    </row>
    <row r="130" spans="3:23" ht="20.100000000000001" customHeight="1" x14ac:dyDescent="0.25">
      <c r="D130" s="136" t="str">
        <f>'Input - Pasture Beef'!$D$145</f>
        <v>Feed pad</v>
      </c>
      <c r="E130" s="136" t="str">
        <f>'Input - Pasture Beef'!$D$206</f>
        <v>Solid storage</v>
      </c>
      <c r="F130" s="55" t="e" cm="1">
        <f t="array" aca="1" ref="F130" ca="1">MMS_Dairy_ManureAppliedToSoils_Equations.VEERG_4_3_1_8__2_MassOfNitrogenAppliedToSoilsScope3(F30, $E67, $E76, F42,F88)</f>
        <v>#REF!</v>
      </c>
      <c r="G130" s="55" t="e" cm="1">
        <f t="array" aca="1" ref="G130" ca="1">MMS_Dairy_ManureAppliedToSoils_Equations.VEERG_4_3_1_8__2_MassOfNitrogenAppliedToSoilsScope3(G30, $E67, $E76, G42,G88)</f>
        <v>#REF!</v>
      </c>
      <c r="H130" s="55" t="e" cm="1">
        <f t="array" aca="1" ref="H130" ca="1">MMS_Dairy_ManureAppliedToSoils_Equations.VEERG_4_3_1_8__2_MassOfNitrogenAppliedToSoilsScope3(H30, $E67, $E76, H42,H88)</f>
        <v>#VALUE!</v>
      </c>
      <c r="I130" s="55" t="e" cm="1">
        <f t="array" aca="1" ref="I130" ca="1">MMS_Dairy_ManureAppliedToSoils_Equations.VEERG_4_3_1_8__2_MassOfNitrogenAppliedToSoilsScope3(I30, $E67, $E76, I42,I88)</f>
        <v>#VALUE!</v>
      </c>
      <c r="J130" s="55" t="e" cm="1">
        <f t="array" aca="1" ref="J130" ca="1">MMS_Dairy_ManureAppliedToSoils_Equations.VEERG_4_3_1_8__2_MassOfNitrogenAppliedToSoilsScope3(J30, $E67, $E76, J42,J88)</f>
        <v>#VALUE!</v>
      </c>
      <c r="K130" s="2" t="str">
        <f t="shared" si="6"/>
        <v>kg N</v>
      </c>
      <c r="O130" s="136" t="str">
        <f>'Input - Pasture Beef'!$D$145</f>
        <v>Feed pad</v>
      </c>
      <c r="P130" s="136" t="str">
        <f>'Input - Pasture Beef'!$D$206</f>
        <v>Solid storage</v>
      </c>
      <c r="Q130" s="55" t="e" cm="1">
        <f t="array" aca="1" ref="Q130" ca="1">MMS_Dairy_ManureAppliedToSoils_Equations.VEERG_4_3_1_8__2_MassOfNitrogenAppliedToSoilsScope3(Q30, $E67, $E76, Q42,F88)</f>
        <v>#VALUE!</v>
      </c>
      <c r="R130" s="55" t="e" cm="1">
        <f t="array" aca="1" ref="R130" ca="1">MMS_Dairy_ManureAppliedToSoils_Equations.VEERG_4_3_1_8__2_MassOfNitrogenAppliedToSoilsScope3(R30, $E67, $E76, R42,G88)</f>
        <v>#VALUE!</v>
      </c>
      <c r="S130" s="55" t="e" cm="1">
        <f t="array" aca="1" ref="S130" ca="1">MMS_Dairy_ManureAppliedToSoils_Equations.VEERG_4_3_1_8__2_MassOfNitrogenAppliedToSoilsScope3(S30, $E67, $E76, S42,H88)</f>
        <v>#VALUE!</v>
      </c>
      <c r="T130" s="55" t="e" cm="1">
        <f t="array" aca="1" ref="T130" ca="1">MMS_Dairy_ManureAppliedToSoils_Equations.VEERG_4_3_1_8__2_MassOfNitrogenAppliedToSoilsScope3(T30, $E67, $E76, T42,I88)</f>
        <v>#VALUE!</v>
      </c>
      <c r="U130" s="55" t="e" cm="1">
        <f t="array" aca="1" ref="U130" ca="1">MMS_Dairy_ManureAppliedToSoils_Equations.VEERG_4_3_1_8__2_MassOfNitrogenAppliedToSoilsScope3(U30, $E67, $E76, U42,J88)</f>
        <v>#VALUE!</v>
      </c>
      <c r="V130" s="2" t="str">
        <f t="shared" si="5"/>
        <v>kg N</v>
      </c>
    </row>
    <row r="131" spans="3:23" ht="20.100000000000001" customHeight="1" x14ac:dyDescent="0.25"/>
    <row r="132" spans="3:23" ht="20.100000000000001" customHeight="1" x14ac:dyDescent="0.25">
      <c r="D132" s="107" t="s">
        <v>299</v>
      </c>
      <c r="E132" s="108" t="e">
        <f ca="1">SUM(F123:J130)</f>
        <v>#REF!</v>
      </c>
      <c r="F132" s="109" t="str">
        <f>$E$52</f>
        <v>kg N</v>
      </c>
      <c r="O132" s="107" t="s">
        <v>299</v>
      </c>
      <c r="P132" s="108" t="e">
        <f ca="1">SUM(Q123:U130)</f>
        <v>#VALUE!</v>
      </c>
      <c r="Q132" s="109" t="str">
        <f>$E$52</f>
        <v>kg N</v>
      </c>
    </row>
    <row r="133" spans="3:23" ht="20.100000000000001" customHeight="1" x14ac:dyDescent="0.25"/>
    <row r="134" spans="3:23" ht="20.100000000000001" customHeight="1" x14ac:dyDescent="0.25"/>
    <row r="135" spans="3:23" ht="20.100000000000001" customHeight="1" x14ac:dyDescent="0.25">
      <c r="C135" s="48"/>
      <c r="D135" s="48"/>
      <c r="E135" s="48"/>
      <c r="F135" s="48"/>
      <c r="G135" s="48"/>
      <c r="H135" s="48"/>
      <c r="I135" s="48"/>
      <c r="J135" s="48"/>
      <c r="K135" s="48"/>
      <c r="L135" s="48"/>
      <c r="N135" s="48"/>
      <c r="O135" s="48"/>
      <c r="P135" s="48"/>
      <c r="Q135" s="48"/>
      <c r="R135" s="48"/>
      <c r="S135" s="48"/>
      <c r="T135" s="48"/>
      <c r="U135" s="48"/>
      <c r="V135" s="48"/>
      <c r="W135" s="48"/>
    </row>
    <row r="136" spans="3:23" ht="20.100000000000001" customHeight="1" x14ac:dyDescent="0.25">
      <c r="D136" s="118" t="str">
        <f>"Below are applications of " &amp; D113 &amp; " that are applied to the following contexts:"</f>
        <v>Below are applications of  that are applied to the following contexts:</v>
      </c>
      <c r="E136" s="95"/>
      <c r="F136" s="95"/>
      <c r="G136" s="95"/>
      <c r="H136" s="91"/>
    </row>
    <row r="137" spans="3:23" ht="20.100000000000001" customHeight="1" x14ac:dyDescent="0.25">
      <c r="D137" s="119" t="s">
        <v>302</v>
      </c>
      <c r="E137" s="117"/>
      <c r="F137" s="117"/>
      <c r="G137" s="117"/>
      <c r="H137" s="120"/>
    </row>
    <row r="138" spans="3:23" ht="20.100000000000001" customHeight="1" x14ac:dyDescent="0.25">
      <c r="D138" s="97" t="s">
        <v>303</v>
      </c>
      <c r="E138" s="94"/>
      <c r="F138" s="94"/>
      <c r="G138" s="94"/>
      <c r="H138" s="92"/>
    </row>
    <row r="139" spans="3:23" ht="20.100000000000001" customHeight="1" x14ac:dyDescent="0.25"/>
    <row r="140" spans="3:23" ht="20.100000000000001" customHeight="1" x14ac:dyDescent="0.25">
      <c r="D140" s="6" t="s">
        <v>133</v>
      </c>
    </row>
    <row r="141" spans="3:23" ht="20.100000000000001" customHeight="1" x14ac:dyDescent="0.25"/>
    <row r="142" spans="3:23" ht="20.100000000000001" customHeight="1" x14ac:dyDescent="0.25">
      <c r="D142" s="104" t="s">
        <v>123</v>
      </c>
    </row>
    <row r="143" spans="3:23" ht="20.100000000000001" customHeight="1" x14ac:dyDescent="0.25">
      <c r="D143" s="103" t="s">
        <v>124</v>
      </c>
    </row>
    <row r="144" spans="3:23" ht="20.100000000000001" customHeight="1" x14ac:dyDescent="0.25">
      <c r="D144" s="54" t="s">
        <v>144</v>
      </c>
      <c r="E144" s="54" t="s">
        <v>68</v>
      </c>
      <c r="F144" s="54" t="s">
        <v>173</v>
      </c>
      <c r="G144" s="54" t="s">
        <v>175</v>
      </c>
      <c r="H144" s="54" t="s">
        <v>176</v>
      </c>
      <c r="I144" s="54" t="s">
        <v>177</v>
      </c>
      <c r="J144" s="54" t="s">
        <v>178</v>
      </c>
    </row>
    <row r="145" spans="4:22" ht="20.100000000000001" customHeight="1" x14ac:dyDescent="0.25">
      <c r="D145" s="136" t="str">
        <f>'Input - Pasture Beef'!$D$144</f>
        <v>Milking shed</v>
      </c>
      <c r="E145" s="136" t="str">
        <f>'Input - Pasture Beef'!$D$157</f>
        <v>Anaerobic lagoon</v>
      </c>
      <c r="F145" s="135">
        <f>'Input - Pasture Beef'!E228</f>
        <v>0.25</v>
      </c>
      <c r="G145" s="135">
        <f>'Input - Pasture Beef'!F228</f>
        <v>0.25</v>
      </c>
      <c r="H145" s="135">
        <f>'Input - Pasture Beef'!G228</f>
        <v>0.25</v>
      </c>
      <c r="I145" s="135">
        <f>'Input - Pasture Beef'!H228</f>
        <v>0.25</v>
      </c>
      <c r="J145" s="135">
        <f>'Input - Pasture Beef'!I228</f>
        <v>0.25</v>
      </c>
      <c r="K145" s="2" t="s">
        <v>99</v>
      </c>
    </row>
    <row r="146" spans="4:22" ht="20.100000000000001" customHeight="1" x14ac:dyDescent="0.25">
      <c r="D146" s="136" t="str">
        <f>'Input - Pasture Beef'!$D$144</f>
        <v>Milking shed</v>
      </c>
      <c r="E146" s="136" t="str">
        <f>'Input - Pasture Beef'!$D$162</f>
        <v>Sump and dispersal system</v>
      </c>
      <c r="F146" s="135">
        <f>'Input - Pasture Beef'!E233</f>
        <v>0.25</v>
      </c>
      <c r="G146" s="135">
        <f>'Input - Pasture Beef'!F233</f>
        <v>0.25</v>
      </c>
      <c r="H146" s="135">
        <f>'Input - Pasture Beef'!G233</f>
        <v>0.25</v>
      </c>
      <c r="I146" s="135">
        <f>'Input - Pasture Beef'!H233</f>
        <v>0.25</v>
      </c>
      <c r="J146" s="135">
        <f>'Input - Pasture Beef'!I233</f>
        <v>0.25</v>
      </c>
      <c r="K146" s="2" t="s">
        <v>99</v>
      </c>
    </row>
    <row r="147" spans="4:22" ht="20.100000000000001" customHeight="1" x14ac:dyDescent="0.25">
      <c r="D147" s="136" t="str">
        <f>'Input - Pasture Beef'!$D$144</f>
        <v>Milking shed</v>
      </c>
      <c r="E147" s="136" t="str">
        <f>'Input - Pasture Beef'!$D$167</f>
        <v>Drains to paddock</v>
      </c>
      <c r="F147" s="135">
        <f>'Input - Pasture Beef'!E238</f>
        <v>0.25</v>
      </c>
      <c r="G147" s="135">
        <f>'Input - Pasture Beef'!F238</f>
        <v>0.25</v>
      </c>
      <c r="H147" s="135">
        <f>'Input - Pasture Beef'!G238</f>
        <v>0.25</v>
      </c>
      <c r="I147" s="135">
        <f>'Input - Pasture Beef'!H238</f>
        <v>0.25</v>
      </c>
      <c r="J147" s="135">
        <f>'Input - Pasture Beef'!I238</f>
        <v>0.25</v>
      </c>
      <c r="K147" s="2" t="s">
        <v>99</v>
      </c>
    </row>
    <row r="148" spans="4:22" ht="20.100000000000001" customHeight="1" x14ac:dyDescent="0.25">
      <c r="D148" s="136" t="str">
        <f>'Input - Pasture Beef'!$D$144</f>
        <v>Milking shed</v>
      </c>
      <c r="E148" s="136" t="str">
        <f>'Input - Pasture Beef'!$D$172</f>
        <v>Solid storage</v>
      </c>
      <c r="F148" s="135">
        <f>'Input - Pasture Beef'!E243</f>
        <v>0.25</v>
      </c>
      <c r="G148" s="135">
        <f>'Input - Pasture Beef'!F243</f>
        <v>0.25</v>
      </c>
      <c r="H148" s="135">
        <f>'Input - Pasture Beef'!G243</f>
        <v>0.25</v>
      </c>
      <c r="I148" s="135">
        <f>'Input - Pasture Beef'!H243</f>
        <v>0.25</v>
      </c>
      <c r="J148" s="135">
        <f>'Input - Pasture Beef'!I243</f>
        <v>0.25</v>
      </c>
      <c r="K148" s="2" t="s">
        <v>99</v>
      </c>
    </row>
    <row r="149" spans="4:22" ht="20.100000000000001" customHeight="1" x14ac:dyDescent="0.25">
      <c r="D149" s="136" t="str">
        <f>'Input - Pasture Beef'!$D$145</f>
        <v>Feed pad</v>
      </c>
      <c r="E149" s="136" t="str">
        <f>'Input - Pasture Beef'!$D$191</f>
        <v>Anaerobic lagoon</v>
      </c>
      <c r="F149" s="135">
        <f>'Input - Pasture Beef'!E252</f>
        <v>0.25</v>
      </c>
      <c r="G149" s="135">
        <f>'Input - Pasture Beef'!F252</f>
        <v>0.25</v>
      </c>
      <c r="H149" s="135">
        <f>'Input - Pasture Beef'!G252</f>
        <v>0.25</v>
      </c>
      <c r="I149" s="135">
        <f>'Input - Pasture Beef'!H252</f>
        <v>0.25</v>
      </c>
      <c r="J149" s="135">
        <f>'Input - Pasture Beef'!I252</f>
        <v>0.25</v>
      </c>
      <c r="K149" s="2" t="s">
        <v>99</v>
      </c>
    </row>
    <row r="150" spans="4:22" ht="20.100000000000001" customHeight="1" x14ac:dyDescent="0.25">
      <c r="D150" s="136" t="str">
        <f>'Input - Pasture Beef'!$D$145</f>
        <v>Feed pad</v>
      </c>
      <c r="E150" s="136" t="str">
        <f>'Input - Pasture Beef'!$D$196</f>
        <v>Sump and dispersal system</v>
      </c>
      <c r="F150" s="135">
        <f>'Input - Pasture Beef'!E257</f>
        <v>0.25</v>
      </c>
      <c r="G150" s="135">
        <f>'Input - Pasture Beef'!F257</f>
        <v>0.25</v>
      </c>
      <c r="H150" s="135">
        <f>'Input - Pasture Beef'!G257</f>
        <v>0.25</v>
      </c>
      <c r="I150" s="135">
        <f>'Input - Pasture Beef'!H257</f>
        <v>0.25</v>
      </c>
      <c r="J150" s="135">
        <f>'Input - Pasture Beef'!I257</f>
        <v>0.25</v>
      </c>
      <c r="K150" s="2" t="s">
        <v>99</v>
      </c>
    </row>
    <row r="151" spans="4:22" ht="20.100000000000001" customHeight="1" x14ac:dyDescent="0.25">
      <c r="D151" s="136" t="str">
        <f>'Input - Pasture Beef'!$D$145</f>
        <v>Feed pad</v>
      </c>
      <c r="E151" s="136" t="str">
        <f>'Input - Pasture Beef'!$D$201</f>
        <v>Drains to paddock</v>
      </c>
      <c r="F151" s="135">
        <f>'Input - Pasture Beef'!E262</f>
        <v>0.25</v>
      </c>
      <c r="G151" s="135">
        <f>'Input - Pasture Beef'!F262</f>
        <v>0.25</v>
      </c>
      <c r="H151" s="135">
        <f>'Input - Pasture Beef'!G262</f>
        <v>0.25</v>
      </c>
      <c r="I151" s="135">
        <f>'Input - Pasture Beef'!H262</f>
        <v>0.25</v>
      </c>
      <c r="J151" s="135">
        <f>'Input - Pasture Beef'!I262</f>
        <v>0.25</v>
      </c>
      <c r="K151" s="2" t="s">
        <v>99</v>
      </c>
    </row>
    <row r="152" spans="4:22" ht="20.100000000000001" customHeight="1" x14ac:dyDescent="0.25">
      <c r="D152" s="136" t="str">
        <f>'Input - Pasture Beef'!$D$145</f>
        <v>Feed pad</v>
      </c>
      <c r="E152" s="136" t="str">
        <f>'Input - Pasture Beef'!$D$206</f>
        <v>Solid storage</v>
      </c>
      <c r="F152" s="135">
        <f>'Input - Pasture Beef'!E267</f>
        <v>0.25</v>
      </c>
      <c r="G152" s="135">
        <f>'Input - Pasture Beef'!F267</f>
        <v>0.25</v>
      </c>
      <c r="H152" s="135">
        <f>'Input - Pasture Beef'!G267</f>
        <v>0.25</v>
      </c>
      <c r="I152" s="135">
        <f>'Input - Pasture Beef'!H267</f>
        <v>0.25</v>
      </c>
      <c r="J152" s="135">
        <f>'Input - Pasture Beef'!I267</f>
        <v>0.25</v>
      </c>
      <c r="K152" s="2" t="s">
        <v>99</v>
      </c>
    </row>
    <row r="153" spans="4:22" ht="20.100000000000001" customHeight="1" x14ac:dyDescent="0.25"/>
    <row r="154" spans="4:22" ht="20.100000000000001" customHeight="1" x14ac:dyDescent="0.25">
      <c r="D154" s="104" t="s">
        <v>125</v>
      </c>
      <c r="O154" s="104" t="s">
        <v>126</v>
      </c>
    </row>
    <row r="155" spans="4:22" ht="20.100000000000001" customHeight="1" x14ac:dyDescent="0.25">
      <c r="D155" s="103" t="s">
        <v>128</v>
      </c>
      <c r="O155" s="103" t="s">
        <v>127</v>
      </c>
    </row>
    <row r="156" spans="4:22" ht="20.100000000000001" customHeight="1" x14ac:dyDescent="0.25">
      <c r="D156" s="54" t="s">
        <v>144</v>
      </c>
      <c r="E156" s="54" t="s">
        <v>68</v>
      </c>
      <c r="F156" s="54" t="s">
        <v>173</v>
      </c>
      <c r="G156" s="54" t="s">
        <v>175</v>
      </c>
      <c r="H156" s="54" t="s">
        <v>176</v>
      </c>
      <c r="I156" s="54" t="s">
        <v>177</v>
      </c>
      <c r="J156" s="54" t="s">
        <v>178</v>
      </c>
      <c r="O156" s="54" t="s">
        <v>144</v>
      </c>
      <c r="P156" s="54" t="s">
        <v>68</v>
      </c>
      <c r="Q156" s="54" t="s">
        <v>173</v>
      </c>
      <c r="R156" s="54" t="s">
        <v>175</v>
      </c>
      <c r="S156" s="54" t="s">
        <v>176</v>
      </c>
      <c r="T156" s="54" t="s">
        <v>177</v>
      </c>
      <c r="U156" s="54" t="s">
        <v>178</v>
      </c>
    </row>
    <row r="157" spans="4:22" ht="20.100000000000001" customHeight="1" x14ac:dyDescent="0.25">
      <c r="D157" s="136" t="str">
        <f>'Input - Pasture Beef'!$D$144</f>
        <v>Milking shed</v>
      </c>
      <c r="E157" s="136" t="str">
        <f>'Input - Pasture Beef'!$D$157</f>
        <v>Anaerobic lagoon</v>
      </c>
      <c r="F157" s="55" t="e" cm="1">
        <f t="array" aca="1" ref="F157" ca="1">MMS_Dairy_ManureAppliedToSoils_Equations.VEERG_4_3_1_8__1_MassOfNitrogenAppliedToSoilsScope1(F23,$E64,$E73,F35,F145)</f>
        <v>#REF!</v>
      </c>
      <c r="G157" s="55" t="e" cm="1">
        <f t="array" aca="1" ref="G157" ca="1">MMS_Dairy_ManureAppliedToSoils_Equations.VEERG_4_3_1_8__1_MassOfNitrogenAppliedToSoilsScope1(G23,$E64,$E73,G35,G145)</f>
        <v>#REF!</v>
      </c>
      <c r="H157" s="55" t="e" cm="1">
        <f t="array" aca="1" ref="H157" ca="1">MMS_Dairy_ManureAppliedToSoils_Equations.VEERG_4_3_1_8__1_MassOfNitrogenAppliedToSoilsScope1(H23,$E64,$E73,H35,H145)</f>
        <v>#VALUE!</v>
      </c>
      <c r="I157" s="55" t="e" cm="1">
        <f t="array" aca="1" ref="I157" ca="1">MMS_Dairy_ManureAppliedToSoils_Equations.VEERG_4_3_1_8__1_MassOfNitrogenAppliedToSoilsScope1(I23,$E64,$E73,I35,I145)</f>
        <v>#VALUE!</v>
      </c>
      <c r="J157" s="55" t="e" cm="1">
        <f t="array" aca="1" ref="J157" ca="1">MMS_Dairy_ManureAppliedToSoils_Equations.VEERG_4_3_1_8__1_MassOfNitrogenAppliedToSoilsScope1(J23,$E64,$E73,J35,J145)</f>
        <v>#VALUE!</v>
      </c>
      <c r="K157" s="2" t="str">
        <f>$E$112</f>
        <v>kg N</v>
      </c>
      <c r="O157" s="136" t="str">
        <f>'Input - Pasture Beef'!$D$144</f>
        <v>Milking shed</v>
      </c>
      <c r="P157" s="136" t="str">
        <f>'Input - Pasture Beef'!$D$157</f>
        <v>Anaerobic lagoon</v>
      </c>
      <c r="Q157" s="55" t="e" cm="1">
        <f t="array" aca="1" ref="Q157" ca="1">MMS_Dairy_ManureAppliedToSoils_Equations.VEERG_4_3_1_8__1_MassOfNitrogenAppliedToSoilsScope1(Q23,$E64,$E73,Q35,F145)</f>
        <v>#VALUE!</v>
      </c>
      <c r="R157" s="55" t="e" cm="1">
        <f t="array" aca="1" ref="R157" ca="1">MMS_Dairy_ManureAppliedToSoils_Equations.VEERG_4_3_1_8__1_MassOfNitrogenAppliedToSoilsScope1(R23,$E64,$E73,R35,G145)</f>
        <v>#VALUE!</v>
      </c>
      <c r="S157" s="55" t="e" cm="1">
        <f t="array" aca="1" ref="S157" ca="1">MMS_Dairy_ManureAppliedToSoils_Equations.VEERG_4_3_1_8__1_MassOfNitrogenAppliedToSoilsScope1(S23,$E64,$E73,S35,H145)</f>
        <v>#VALUE!</v>
      </c>
      <c r="T157" s="55" t="e" cm="1">
        <f t="array" aca="1" ref="T157" ca="1">MMS_Dairy_ManureAppliedToSoils_Equations.VEERG_4_3_1_8__1_MassOfNitrogenAppliedToSoilsScope1(T23,$E64,$E73,T35,I145)</f>
        <v>#VALUE!</v>
      </c>
      <c r="U157" s="55" t="e" cm="1">
        <f t="array" aca="1" ref="U157" ca="1">MMS_Dairy_ManureAppliedToSoils_Equations.VEERG_4_3_1_8__1_MassOfNitrogenAppliedToSoilsScope1(U23,$E64,$E73,U35,J145)</f>
        <v>#VALUE!</v>
      </c>
      <c r="V157" s="2" t="str">
        <f>$E$112</f>
        <v>kg N</v>
      </c>
    </row>
    <row r="158" spans="4:22" ht="20.100000000000001" customHeight="1" x14ac:dyDescent="0.25">
      <c r="D158" s="136" t="str">
        <f>'Input - Pasture Beef'!$D$144</f>
        <v>Milking shed</v>
      </c>
      <c r="E158" s="136" t="str">
        <f>'Input - Pasture Beef'!$D$162</f>
        <v>Sump and dispersal system</v>
      </c>
      <c r="F158" s="55" t="e" cm="1">
        <f t="array" aca="1" ref="F158" ca="1">MMS_Dairy_ManureAppliedToSoils_Equations.VEERG_4_3_1_8__1_MassOfNitrogenAppliedToSoilsScope1(F24,$E65,$E74,F36,F146)</f>
        <v>#REF!</v>
      </c>
      <c r="G158" s="55" t="e" cm="1">
        <f t="array" aca="1" ref="G158" ca="1">MMS_Dairy_ManureAppliedToSoils_Equations.VEERG_4_3_1_8__1_MassOfNitrogenAppliedToSoilsScope1(G24,$E65,$E74,G36,G146)</f>
        <v>#REF!</v>
      </c>
      <c r="H158" s="55" t="e" cm="1">
        <f t="array" aca="1" ref="H158" ca="1">MMS_Dairy_ManureAppliedToSoils_Equations.VEERG_4_3_1_8__1_MassOfNitrogenAppliedToSoilsScope1(H24,$E65,$E74,H36,H146)</f>
        <v>#VALUE!</v>
      </c>
      <c r="I158" s="55" t="e" cm="1">
        <f t="array" aca="1" ref="I158" ca="1">MMS_Dairy_ManureAppliedToSoils_Equations.VEERG_4_3_1_8__1_MassOfNitrogenAppliedToSoilsScope1(I24,$E65,$E74,I36,I146)</f>
        <v>#VALUE!</v>
      </c>
      <c r="J158" s="55" t="e" cm="1">
        <f t="array" aca="1" ref="J158" ca="1">MMS_Dairy_ManureAppliedToSoils_Equations.VEERG_4_3_1_8__1_MassOfNitrogenAppliedToSoilsScope1(J24,$E65,$E74,J36,J146)</f>
        <v>#VALUE!</v>
      </c>
      <c r="K158" s="2" t="str">
        <f t="shared" ref="K158:K164" si="7">$E$112</f>
        <v>kg N</v>
      </c>
      <c r="O158" s="136" t="str">
        <f>'Input - Pasture Beef'!$D$144</f>
        <v>Milking shed</v>
      </c>
      <c r="P158" s="136" t="str">
        <f>'Input - Pasture Beef'!$D$162</f>
        <v>Sump and dispersal system</v>
      </c>
      <c r="Q158" s="55" t="e" cm="1">
        <f t="array" aca="1" ref="Q158" ca="1">MMS_Dairy_ManureAppliedToSoils_Equations.VEERG_4_3_1_8__1_MassOfNitrogenAppliedToSoilsScope1(Q24,$E65,$E74,Q36,F146)</f>
        <v>#VALUE!</v>
      </c>
      <c r="R158" s="55" t="e" cm="1">
        <f t="array" aca="1" ref="R158" ca="1">MMS_Dairy_ManureAppliedToSoils_Equations.VEERG_4_3_1_8__1_MassOfNitrogenAppliedToSoilsScope1(R24,$E65,$E74,R36,G146)</f>
        <v>#VALUE!</v>
      </c>
      <c r="S158" s="55" t="e" cm="1">
        <f t="array" aca="1" ref="S158" ca="1">MMS_Dairy_ManureAppliedToSoils_Equations.VEERG_4_3_1_8__1_MassOfNitrogenAppliedToSoilsScope1(S24,$E65,$E74,S36,H146)</f>
        <v>#VALUE!</v>
      </c>
      <c r="T158" s="55" t="e" cm="1">
        <f t="array" aca="1" ref="T158" ca="1">MMS_Dairy_ManureAppliedToSoils_Equations.VEERG_4_3_1_8__1_MassOfNitrogenAppliedToSoilsScope1(T24,$E65,$E74,T36,I146)</f>
        <v>#VALUE!</v>
      </c>
      <c r="U158" s="55" t="e" cm="1">
        <f t="array" aca="1" ref="U158" ca="1">MMS_Dairy_ManureAppliedToSoils_Equations.VEERG_4_3_1_8__1_MassOfNitrogenAppliedToSoilsScope1(U24,$E65,$E74,U36,J146)</f>
        <v>#VALUE!</v>
      </c>
      <c r="V158" s="2" t="str">
        <f t="shared" ref="V158:V164" si="8">$E$112</f>
        <v>kg N</v>
      </c>
    </row>
    <row r="159" spans="4:22" ht="20.100000000000001" customHeight="1" x14ac:dyDescent="0.25">
      <c r="D159" s="136" t="str">
        <f>'Input - Pasture Beef'!$D$144</f>
        <v>Milking shed</v>
      </c>
      <c r="E159" s="136" t="str">
        <f>'Input - Pasture Beef'!$D$167</f>
        <v>Drains to paddock</v>
      </c>
      <c r="F159" s="55" t="e" cm="1">
        <f t="array" aca="1" ref="F159" ca="1">MMS_Dairy_ManureAppliedToSoils_Equations.VEERG_4_3_1_8__1_MassOfNitrogenAppliedToSoilsScope1(F25,$E66,$E75,F37,F147)</f>
        <v>#REF!</v>
      </c>
      <c r="G159" s="55" t="e" cm="1">
        <f t="array" aca="1" ref="G159" ca="1">MMS_Dairy_ManureAppliedToSoils_Equations.VEERG_4_3_1_8__1_MassOfNitrogenAppliedToSoilsScope1(G25,$E66,$E75,G37,G147)</f>
        <v>#REF!</v>
      </c>
      <c r="H159" s="55" t="e" cm="1">
        <f t="array" aca="1" ref="H159" ca="1">MMS_Dairy_ManureAppliedToSoils_Equations.VEERG_4_3_1_8__1_MassOfNitrogenAppliedToSoilsScope1(H25,$E66,$E75,H37,H147)</f>
        <v>#VALUE!</v>
      </c>
      <c r="I159" s="55" t="e" cm="1">
        <f t="array" aca="1" ref="I159" ca="1">MMS_Dairy_ManureAppliedToSoils_Equations.VEERG_4_3_1_8__1_MassOfNitrogenAppliedToSoilsScope1(I25,$E66,$E75,I37,I147)</f>
        <v>#VALUE!</v>
      </c>
      <c r="J159" s="55" t="e" cm="1">
        <f t="array" aca="1" ref="J159" ca="1">MMS_Dairy_ManureAppliedToSoils_Equations.VEERG_4_3_1_8__1_MassOfNitrogenAppliedToSoilsScope1(J25,$E66,$E75,J37,J147)</f>
        <v>#VALUE!</v>
      </c>
      <c r="K159" s="2" t="str">
        <f t="shared" si="7"/>
        <v>kg N</v>
      </c>
      <c r="O159" s="136" t="str">
        <f>'Input - Pasture Beef'!$D$144</f>
        <v>Milking shed</v>
      </c>
      <c r="P159" s="136" t="str">
        <f>'Input - Pasture Beef'!$D$167</f>
        <v>Drains to paddock</v>
      </c>
      <c r="Q159" s="55" t="e" cm="1">
        <f t="array" aca="1" ref="Q159" ca="1">MMS_Dairy_ManureAppliedToSoils_Equations.VEERG_4_3_1_8__1_MassOfNitrogenAppliedToSoilsScope1(Q25,$E66,$E75,Q37,F147)</f>
        <v>#VALUE!</v>
      </c>
      <c r="R159" s="55" t="e" cm="1">
        <f t="array" aca="1" ref="R159" ca="1">MMS_Dairy_ManureAppliedToSoils_Equations.VEERG_4_3_1_8__1_MassOfNitrogenAppliedToSoilsScope1(R25,$E66,$E75,R37,G147)</f>
        <v>#VALUE!</v>
      </c>
      <c r="S159" s="55" t="e" cm="1">
        <f t="array" aca="1" ref="S159" ca="1">MMS_Dairy_ManureAppliedToSoils_Equations.VEERG_4_3_1_8__1_MassOfNitrogenAppliedToSoilsScope1(S25,$E66,$E75,S37,H147)</f>
        <v>#VALUE!</v>
      </c>
      <c r="T159" s="55" t="e" cm="1">
        <f t="array" aca="1" ref="T159" ca="1">MMS_Dairy_ManureAppliedToSoils_Equations.VEERG_4_3_1_8__1_MassOfNitrogenAppliedToSoilsScope1(T25,$E66,$E75,T37,I147)</f>
        <v>#VALUE!</v>
      </c>
      <c r="U159" s="55" t="e" cm="1">
        <f t="array" aca="1" ref="U159" ca="1">MMS_Dairy_ManureAppliedToSoils_Equations.VEERG_4_3_1_8__1_MassOfNitrogenAppliedToSoilsScope1(U25,$E66,$E75,U37,J147)</f>
        <v>#VALUE!</v>
      </c>
      <c r="V159" s="2" t="str">
        <f t="shared" si="8"/>
        <v>kg N</v>
      </c>
    </row>
    <row r="160" spans="4:22" ht="20.100000000000001" customHeight="1" x14ac:dyDescent="0.25">
      <c r="D160" s="136" t="str">
        <f>'Input - Pasture Beef'!$D$144</f>
        <v>Milking shed</v>
      </c>
      <c r="E160" s="136" t="str">
        <f>'Input - Pasture Beef'!$D$172</f>
        <v>Solid storage</v>
      </c>
      <c r="F160" s="55" t="e" cm="1">
        <f t="array" aca="1" ref="F160" ca="1">MMS_Dairy_ManureAppliedToSoils_Equations.VEERG_4_3_1_8__1_MassOfNitrogenAppliedToSoilsScope1(F26,$E67,$E76,F38,F148)</f>
        <v>#REF!</v>
      </c>
      <c r="G160" s="55" t="e" cm="1">
        <f t="array" aca="1" ref="G160" ca="1">MMS_Dairy_ManureAppliedToSoils_Equations.VEERG_4_3_1_8__1_MassOfNitrogenAppliedToSoilsScope1(G26,$E67,$E76,G38,G148)</f>
        <v>#REF!</v>
      </c>
      <c r="H160" s="55" t="e" cm="1">
        <f t="array" aca="1" ref="H160" ca="1">MMS_Dairy_ManureAppliedToSoils_Equations.VEERG_4_3_1_8__1_MassOfNitrogenAppliedToSoilsScope1(H26,$E67,$E76,H38,H148)</f>
        <v>#VALUE!</v>
      </c>
      <c r="I160" s="55" t="e" cm="1">
        <f t="array" aca="1" ref="I160" ca="1">MMS_Dairy_ManureAppliedToSoils_Equations.VEERG_4_3_1_8__1_MassOfNitrogenAppliedToSoilsScope1(I26,$E67,$E76,I38,I148)</f>
        <v>#VALUE!</v>
      </c>
      <c r="J160" s="55" t="e" cm="1">
        <f t="array" aca="1" ref="J160" ca="1">MMS_Dairy_ManureAppliedToSoils_Equations.VEERG_4_3_1_8__1_MassOfNitrogenAppliedToSoilsScope1(J26,$E67,$E76,J38,J148)</f>
        <v>#VALUE!</v>
      </c>
      <c r="K160" s="2" t="str">
        <f t="shared" si="7"/>
        <v>kg N</v>
      </c>
      <c r="O160" s="136" t="str">
        <f>'Input - Pasture Beef'!$D$144</f>
        <v>Milking shed</v>
      </c>
      <c r="P160" s="136" t="str">
        <f>'Input - Pasture Beef'!$D$172</f>
        <v>Solid storage</v>
      </c>
      <c r="Q160" s="55" t="e" cm="1">
        <f t="array" aca="1" ref="Q160" ca="1">MMS_Dairy_ManureAppliedToSoils_Equations.VEERG_4_3_1_8__1_MassOfNitrogenAppliedToSoilsScope1(Q26,$E67,$E76,Q38,F148)</f>
        <v>#VALUE!</v>
      </c>
      <c r="R160" s="55" t="e" cm="1">
        <f t="array" aca="1" ref="R160" ca="1">MMS_Dairy_ManureAppliedToSoils_Equations.VEERG_4_3_1_8__1_MassOfNitrogenAppliedToSoilsScope1(R26,$E67,$E76,R38,G148)</f>
        <v>#VALUE!</v>
      </c>
      <c r="S160" s="55" t="e" cm="1">
        <f t="array" aca="1" ref="S160" ca="1">MMS_Dairy_ManureAppliedToSoils_Equations.VEERG_4_3_1_8__1_MassOfNitrogenAppliedToSoilsScope1(S26,$E67,$E76,S38,H148)</f>
        <v>#VALUE!</v>
      </c>
      <c r="T160" s="55" t="e" cm="1">
        <f t="array" aca="1" ref="T160" ca="1">MMS_Dairy_ManureAppliedToSoils_Equations.VEERG_4_3_1_8__1_MassOfNitrogenAppliedToSoilsScope1(T26,$E67,$E76,T38,I148)</f>
        <v>#VALUE!</v>
      </c>
      <c r="U160" s="55" t="e" cm="1">
        <f t="array" aca="1" ref="U160" ca="1">MMS_Dairy_ManureAppliedToSoils_Equations.VEERG_4_3_1_8__1_MassOfNitrogenAppliedToSoilsScope1(U26,$E67,$E76,U38,J148)</f>
        <v>#VALUE!</v>
      </c>
      <c r="V160" s="2" t="str">
        <f t="shared" si="8"/>
        <v>kg N</v>
      </c>
    </row>
    <row r="161" spans="3:23" ht="20.100000000000001" customHeight="1" x14ac:dyDescent="0.25">
      <c r="D161" s="136" t="str">
        <f>'Input - Pasture Beef'!$D$145</f>
        <v>Feed pad</v>
      </c>
      <c r="E161" s="136" t="str">
        <f>'Input - Pasture Beef'!$D$191</f>
        <v>Anaerobic lagoon</v>
      </c>
      <c r="F161" s="55" t="e" cm="1">
        <f t="array" aca="1" ref="F161" ca="1">MMS_Dairy_ManureAppliedToSoils_Equations.VEERG_4_3_1_8__1_MassOfNitrogenAppliedToSoilsScope1(F27,$E64,$E73,F39,F149)</f>
        <v>#REF!</v>
      </c>
      <c r="G161" s="55" t="e" cm="1">
        <f t="array" aca="1" ref="G161" ca="1">MMS_Dairy_ManureAppliedToSoils_Equations.VEERG_4_3_1_8__1_MassOfNitrogenAppliedToSoilsScope1(G27,$E64,$E73,G39,G149)</f>
        <v>#REF!</v>
      </c>
      <c r="H161" s="55" t="e" cm="1">
        <f t="array" aca="1" ref="H161" ca="1">MMS_Dairy_ManureAppliedToSoils_Equations.VEERG_4_3_1_8__1_MassOfNitrogenAppliedToSoilsScope1(H27,$E64,$E73,H39,H149)</f>
        <v>#VALUE!</v>
      </c>
      <c r="I161" s="55" t="e" cm="1">
        <f t="array" aca="1" ref="I161" ca="1">MMS_Dairy_ManureAppliedToSoils_Equations.VEERG_4_3_1_8__1_MassOfNitrogenAppliedToSoilsScope1(I27,$E64,$E73,I39,I149)</f>
        <v>#VALUE!</v>
      </c>
      <c r="J161" s="55" t="e" cm="1">
        <f t="array" aca="1" ref="J161" ca="1">MMS_Dairy_ManureAppliedToSoils_Equations.VEERG_4_3_1_8__1_MassOfNitrogenAppliedToSoilsScope1(J27,$E64,$E73,J39,J149)</f>
        <v>#VALUE!</v>
      </c>
      <c r="K161" s="2" t="str">
        <f t="shared" si="7"/>
        <v>kg N</v>
      </c>
      <c r="O161" s="136" t="str">
        <f>'Input - Pasture Beef'!$D$145</f>
        <v>Feed pad</v>
      </c>
      <c r="P161" s="136" t="str">
        <f>'Input - Pasture Beef'!$D$191</f>
        <v>Anaerobic lagoon</v>
      </c>
      <c r="Q161" s="55" t="e" cm="1">
        <f t="array" aca="1" ref="Q161" ca="1">MMS_Dairy_ManureAppliedToSoils_Equations.VEERG_4_3_1_8__1_MassOfNitrogenAppliedToSoilsScope1(Q27,$E64,$E73,Q39,F149)</f>
        <v>#VALUE!</v>
      </c>
      <c r="R161" s="55" t="e" cm="1">
        <f t="array" aca="1" ref="R161" ca="1">MMS_Dairy_ManureAppliedToSoils_Equations.VEERG_4_3_1_8__1_MassOfNitrogenAppliedToSoilsScope1(R27,$E64,$E73,R39,G149)</f>
        <v>#VALUE!</v>
      </c>
      <c r="S161" s="55" t="e" cm="1">
        <f t="array" aca="1" ref="S161" ca="1">MMS_Dairy_ManureAppliedToSoils_Equations.VEERG_4_3_1_8__1_MassOfNitrogenAppliedToSoilsScope1(S27,$E64,$E73,S39,H149)</f>
        <v>#VALUE!</v>
      </c>
      <c r="T161" s="55" t="e" cm="1">
        <f t="array" aca="1" ref="T161" ca="1">MMS_Dairy_ManureAppliedToSoils_Equations.VEERG_4_3_1_8__1_MassOfNitrogenAppliedToSoilsScope1(T27,$E64,$E73,T39,I149)</f>
        <v>#VALUE!</v>
      </c>
      <c r="U161" s="55" t="e" cm="1">
        <f t="array" aca="1" ref="U161" ca="1">MMS_Dairy_ManureAppliedToSoils_Equations.VEERG_4_3_1_8__1_MassOfNitrogenAppliedToSoilsScope1(U27,$E64,$E73,U39,J149)</f>
        <v>#VALUE!</v>
      </c>
      <c r="V161" s="2" t="str">
        <f t="shared" si="8"/>
        <v>kg N</v>
      </c>
    </row>
    <row r="162" spans="3:23" ht="20.100000000000001" customHeight="1" x14ac:dyDescent="0.25">
      <c r="D162" s="136" t="str">
        <f>'Input - Pasture Beef'!$D$145</f>
        <v>Feed pad</v>
      </c>
      <c r="E162" s="136" t="str">
        <f>'Input - Pasture Beef'!$D$196</f>
        <v>Sump and dispersal system</v>
      </c>
      <c r="F162" s="55" t="e" cm="1">
        <f t="array" aca="1" ref="F162" ca="1">MMS_Dairy_ManureAppliedToSoils_Equations.VEERG_4_3_1_8__1_MassOfNitrogenAppliedToSoilsScope1(F28,$E65,$E74,F40,F150)</f>
        <v>#REF!</v>
      </c>
      <c r="G162" s="55" t="e" cm="1">
        <f t="array" aca="1" ref="G162" ca="1">MMS_Dairy_ManureAppliedToSoils_Equations.VEERG_4_3_1_8__1_MassOfNitrogenAppliedToSoilsScope1(G28,$E65,$E74,G40,G150)</f>
        <v>#REF!</v>
      </c>
      <c r="H162" s="55" t="e" cm="1">
        <f t="array" aca="1" ref="H162" ca="1">MMS_Dairy_ManureAppliedToSoils_Equations.VEERG_4_3_1_8__1_MassOfNitrogenAppliedToSoilsScope1(H28,$E65,$E74,H40,H150)</f>
        <v>#VALUE!</v>
      </c>
      <c r="I162" s="55" t="e" cm="1">
        <f t="array" aca="1" ref="I162" ca="1">MMS_Dairy_ManureAppliedToSoils_Equations.VEERG_4_3_1_8__1_MassOfNitrogenAppliedToSoilsScope1(I28,$E65,$E74,I40,I150)</f>
        <v>#VALUE!</v>
      </c>
      <c r="J162" s="55" t="e" cm="1">
        <f t="array" aca="1" ref="J162" ca="1">MMS_Dairy_ManureAppliedToSoils_Equations.VEERG_4_3_1_8__1_MassOfNitrogenAppliedToSoilsScope1(J28,$E65,$E74,J40,J150)</f>
        <v>#VALUE!</v>
      </c>
      <c r="K162" s="2" t="str">
        <f t="shared" si="7"/>
        <v>kg N</v>
      </c>
      <c r="O162" s="136" t="str">
        <f>'Input - Pasture Beef'!$D$145</f>
        <v>Feed pad</v>
      </c>
      <c r="P162" s="136" t="str">
        <f>'Input - Pasture Beef'!$D$196</f>
        <v>Sump and dispersal system</v>
      </c>
      <c r="Q162" s="55" t="e" cm="1">
        <f t="array" aca="1" ref="Q162" ca="1">MMS_Dairy_ManureAppliedToSoils_Equations.VEERG_4_3_1_8__1_MassOfNitrogenAppliedToSoilsScope1(Q28,$E65,$E74,Q40,F150)</f>
        <v>#VALUE!</v>
      </c>
      <c r="R162" s="55" t="e" cm="1">
        <f t="array" aca="1" ref="R162" ca="1">MMS_Dairy_ManureAppliedToSoils_Equations.VEERG_4_3_1_8__1_MassOfNitrogenAppliedToSoilsScope1(R28,$E65,$E74,R40,G150)</f>
        <v>#VALUE!</v>
      </c>
      <c r="S162" s="55" t="e" cm="1">
        <f t="array" aca="1" ref="S162" ca="1">MMS_Dairy_ManureAppliedToSoils_Equations.VEERG_4_3_1_8__1_MassOfNitrogenAppliedToSoilsScope1(S28,$E65,$E74,S40,H150)</f>
        <v>#VALUE!</v>
      </c>
      <c r="T162" s="55" t="e" cm="1">
        <f t="array" aca="1" ref="T162" ca="1">MMS_Dairy_ManureAppliedToSoils_Equations.VEERG_4_3_1_8__1_MassOfNitrogenAppliedToSoilsScope1(T28,$E65,$E74,T40,I150)</f>
        <v>#VALUE!</v>
      </c>
      <c r="U162" s="55" t="e" cm="1">
        <f t="array" aca="1" ref="U162" ca="1">MMS_Dairy_ManureAppliedToSoils_Equations.VEERG_4_3_1_8__1_MassOfNitrogenAppliedToSoilsScope1(U28,$E65,$E74,U40,J150)</f>
        <v>#VALUE!</v>
      </c>
      <c r="V162" s="2" t="str">
        <f t="shared" si="8"/>
        <v>kg N</v>
      </c>
    </row>
    <row r="163" spans="3:23" ht="20.100000000000001" customHeight="1" x14ac:dyDescent="0.25">
      <c r="D163" s="136" t="str">
        <f>'Input - Pasture Beef'!$D$145</f>
        <v>Feed pad</v>
      </c>
      <c r="E163" s="136" t="str">
        <f>'Input - Pasture Beef'!$D$201</f>
        <v>Drains to paddock</v>
      </c>
      <c r="F163" s="55" t="e" cm="1">
        <f t="array" aca="1" ref="F163" ca="1">MMS_Dairy_ManureAppliedToSoils_Equations.VEERG_4_3_1_8__1_MassOfNitrogenAppliedToSoilsScope1(F29,$E66,$E75,F41,F151)</f>
        <v>#REF!</v>
      </c>
      <c r="G163" s="55" t="e" cm="1">
        <f t="array" aca="1" ref="G163" ca="1">MMS_Dairy_ManureAppliedToSoils_Equations.VEERG_4_3_1_8__1_MassOfNitrogenAppliedToSoilsScope1(G29,$E66,$E75,G41,G151)</f>
        <v>#REF!</v>
      </c>
      <c r="H163" s="55" t="e" cm="1">
        <f t="array" aca="1" ref="H163" ca="1">MMS_Dairy_ManureAppliedToSoils_Equations.VEERG_4_3_1_8__1_MassOfNitrogenAppliedToSoilsScope1(H29,$E66,$E75,H41,H151)</f>
        <v>#VALUE!</v>
      </c>
      <c r="I163" s="55" t="e" cm="1">
        <f t="array" aca="1" ref="I163" ca="1">MMS_Dairy_ManureAppliedToSoils_Equations.VEERG_4_3_1_8__1_MassOfNitrogenAppliedToSoilsScope1(I29,$E66,$E75,I41,I151)</f>
        <v>#VALUE!</v>
      </c>
      <c r="J163" s="55" t="e" cm="1">
        <f t="array" aca="1" ref="J163" ca="1">MMS_Dairy_ManureAppliedToSoils_Equations.VEERG_4_3_1_8__1_MassOfNitrogenAppliedToSoilsScope1(J29,$E66,$E75,J41,J151)</f>
        <v>#VALUE!</v>
      </c>
      <c r="K163" s="2" t="str">
        <f t="shared" si="7"/>
        <v>kg N</v>
      </c>
      <c r="O163" s="136" t="str">
        <f>'Input - Pasture Beef'!$D$145</f>
        <v>Feed pad</v>
      </c>
      <c r="P163" s="136" t="str">
        <f>'Input - Pasture Beef'!$D$201</f>
        <v>Drains to paddock</v>
      </c>
      <c r="Q163" s="55" t="e" cm="1">
        <f t="array" aca="1" ref="Q163" ca="1">MMS_Dairy_ManureAppliedToSoils_Equations.VEERG_4_3_1_8__1_MassOfNitrogenAppliedToSoilsScope1(Q29,$E66,$E75,Q41,F151)</f>
        <v>#VALUE!</v>
      </c>
      <c r="R163" s="55" t="e" cm="1">
        <f t="array" aca="1" ref="R163" ca="1">MMS_Dairy_ManureAppliedToSoils_Equations.VEERG_4_3_1_8__1_MassOfNitrogenAppliedToSoilsScope1(R29,$E66,$E75,R41,G151)</f>
        <v>#VALUE!</v>
      </c>
      <c r="S163" s="55" t="e" cm="1">
        <f t="array" aca="1" ref="S163" ca="1">MMS_Dairy_ManureAppliedToSoils_Equations.VEERG_4_3_1_8__1_MassOfNitrogenAppliedToSoilsScope1(S29,$E66,$E75,S41,H151)</f>
        <v>#VALUE!</v>
      </c>
      <c r="T163" s="55" t="e" cm="1">
        <f t="array" aca="1" ref="T163" ca="1">MMS_Dairy_ManureAppliedToSoils_Equations.VEERG_4_3_1_8__1_MassOfNitrogenAppliedToSoilsScope1(T29,$E66,$E75,T41,I151)</f>
        <v>#VALUE!</v>
      </c>
      <c r="U163" s="55" t="e" cm="1">
        <f t="array" aca="1" ref="U163" ca="1">MMS_Dairy_ManureAppliedToSoils_Equations.VEERG_4_3_1_8__1_MassOfNitrogenAppliedToSoilsScope1(U29,$E66,$E75,U41,J151)</f>
        <v>#VALUE!</v>
      </c>
      <c r="V163" s="2" t="str">
        <f t="shared" si="8"/>
        <v>kg N</v>
      </c>
    </row>
    <row r="164" spans="3:23" ht="20.100000000000001" customHeight="1" x14ac:dyDescent="0.25">
      <c r="D164" s="136" t="str">
        <f>'Input - Pasture Beef'!$D$145</f>
        <v>Feed pad</v>
      </c>
      <c r="E164" s="136" t="str">
        <f>'Input - Pasture Beef'!$D$206</f>
        <v>Solid storage</v>
      </c>
      <c r="F164" s="55" t="e" cm="1">
        <f t="array" aca="1" ref="F164" ca="1">MMS_Dairy_ManureAppliedToSoils_Equations.VEERG_4_3_1_8__1_MassOfNitrogenAppliedToSoilsScope1(F30,$E67,$E76,F42,F152)</f>
        <v>#REF!</v>
      </c>
      <c r="G164" s="55" t="e" cm="1">
        <f t="array" aca="1" ref="G164" ca="1">MMS_Dairy_ManureAppliedToSoils_Equations.VEERG_4_3_1_8__1_MassOfNitrogenAppliedToSoilsScope1(G30,$E67,$E76,G42,G152)</f>
        <v>#REF!</v>
      </c>
      <c r="H164" s="55" t="e" cm="1">
        <f t="array" aca="1" ref="H164" ca="1">MMS_Dairy_ManureAppliedToSoils_Equations.VEERG_4_3_1_8__1_MassOfNitrogenAppliedToSoilsScope1(H30,$E67,$E76,H42,H152)</f>
        <v>#VALUE!</v>
      </c>
      <c r="I164" s="55" t="e" cm="1">
        <f t="array" aca="1" ref="I164" ca="1">MMS_Dairy_ManureAppliedToSoils_Equations.VEERG_4_3_1_8__1_MassOfNitrogenAppliedToSoilsScope1(I30,$E67,$E76,I42,I152)</f>
        <v>#VALUE!</v>
      </c>
      <c r="J164" s="55" t="e" cm="1">
        <f t="array" aca="1" ref="J164" ca="1">MMS_Dairy_ManureAppliedToSoils_Equations.VEERG_4_3_1_8__1_MassOfNitrogenAppliedToSoilsScope1(J30,$E67,$E76,J42,J152)</f>
        <v>#VALUE!</v>
      </c>
      <c r="K164" s="2" t="str">
        <f t="shared" si="7"/>
        <v>kg N</v>
      </c>
      <c r="O164" s="136" t="str">
        <f>'Input - Pasture Beef'!$D$145</f>
        <v>Feed pad</v>
      </c>
      <c r="P164" s="136" t="str">
        <f>'Input - Pasture Beef'!$D$206</f>
        <v>Solid storage</v>
      </c>
      <c r="Q164" s="55" t="e" cm="1">
        <f t="array" aca="1" ref="Q164" ca="1">MMS_Dairy_ManureAppliedToSoils_Equations.VEERG_4_3_1_8__1_MassOfNitrogenAppliedToSoilsScope1(Q30,$E67,$E76,Q42,F152)</f>
        <v>#VALUE!</v>
      </c>
      <c r="R164" s="55" t="e" cm="1">
        <f t="array" aca="1" ref="R164" ca="1">MMS_Dairy_ManureAppliedToSoils_Equations.VEERG_4_3_1_8__1_MassOfNitrogenAppliedToSoilsScope1(R30,$E67,$E76,R42,G152)</f>
        <v>#VALUE!</v>
      </c>
      <c r="S164" s="55" t="e" cm="1">
        <f t="array" aca="1" ref="S164" ca="1">MMS_Dairy_ManureAppliedToSoils_Equations.VEERG_4_3_1_8__1_MassOfNitrogenAppliedToSoilsScope1(S30,$E67,$E76,S42,H152)</f>
        <v>#VALUE!</v>
      </c>
      <c r="T164" s="55" t="e" cm="1">
        <f t="array" aca="1" ref="T164" ca="1">MMS_Dairy_ManureAppliedToSoils_Equations.VEERG_4_3_1_8__1_MassOfNitrogenAppliedToSoilsScope1(T30,$E67,$E76,T42,I152)</f>
        <v>#VALUE!</v>
      </c>
      <c r="U164" s="55" t="e" cm="1">
        <f t="array" aca="1" ref="U164" ca="1">MMS_Dairy_ManureAppliedToSoils_Equations.VEERG_4_3_1_8__1_MassOfNitrogenAppliedToSoilsScope1(U30,$E67,$E76,U42,J152)</f>
        <v>#VALUE!</v>
      </c>
      <c r="V164" s="2" t="str">
        <f t="shared" si="8"/>
        <v>kg N</v>
      </c>
    </row>
    <row r="165" spans="3:23" ht="20.100000000000001" customHeight="1" x14ac:dyDescent="0.25"/>
    <row r="166" spans="3:23" ht="20.100000000000001" customHeight="1" x14ac:dyDescent="0.25">
      <c r="D166" s="107" t="s">
        <v>136</v>
      </c>
      <c r="E166" s="108" t="e">
        <f ca="1">SUM(F157:J164)</f>
        <v>#REF!</v>
      </c>
      <c r="F166" s="109" t="str">
        <f>$E$112</f>
        <v>kg N</v>
      </c>
      <c r="O166" s="107" t="s">
        <v>136</v>
      </c>
      <c r="P166" s="108" t="e">
        <f ca="1">SUM(Q157:U164)</f>
        <v>#VALUE!</v>
      </c>
      <c r="Q166" s="109" t="str">
        <f>$E$112</f>
        <v>kg N</v>
      </c>
    </row>
    <row r="167" spans="3:23" ht="20.100000000000001" customHeight="1" x14ac:dyDescent="0.25"/>
    <row r="168" spans="3:23" ht="20.100000000000001" customHeight="1" x14ac:dyDescent="0.25"/>
    <row r="169" spans="3:23" ht="20.100000000000001" customHeight="1" x14ac:dyDescent="0.25">
      <c r="C169" s="48"/>
      <c r="D169" s="48"/>
      <c r="E169" s="48"/>
      <c r="F169" s="48"/>
      <c r="G169" s="48"/>
      <c r="H169" s="48"/>
      <c r="I169" s="48"/>
      <c r="J169" s="48"/>
      <c r="K169" s="48"/>
      <c r="L169" s="48"/>
      <c r="N169" s="48"/>
      <c r="O169" s="48"/>
      <c r="P169" s="48"/>
      <c r="Q169" s="48"/>
      <c r="R169" s="48"/>
      <c r="S169" s="48"/>
      <c r="T169" s="48"/>
      <c r="U169" s="48"/>
      <c r="V169" s="48"/>
      <c r="W169" s="48"/>
    </row>
    <row r="170" spans="3:23" ht="20.100000000000001" customHeight="1" x14ac:dyDescent="0.25">
      <c r="D170" s="6" t="s">
        <v>134</v>
      </c>
    </row>
    <row r="171" spans="3:23" ht="20.100000000000001" customHeight="1" x14ac:dyDescent="0.25"/>
    <row r="172" spans="3:23" ht="20.100000000000001" customHeight="1" x14ac:dyDescent="0.25">
      <c r="D172" s="104" t="s">
        <v>129</v>
      </c>
    </row>
    <row r="173" spans="3:23" ht="20.100000000000001" customHeight="1" x14ac:dyDescent="0.25">
      <c r="D173" s="103" t="s">
        <v>130</v>
      </c>
    </row>
    <row r="174" spans="3:23" ht="20.100000000000001" customHeight="1" x14ac:dyDescent="0.25">
      <c r="D174" s="54" t="s">
        <v>144</v>
      </c>
      <c r="E174" s="54" t="s">
        <v>68</v>
      </c>
      <c r="F174" s="54" t="s">
        <v>173</v>
      </c>
      <c r="G174" s="54" t="s">
        <v>175</v>
      </c>
      <c r="H174" s="54" t="s">
        <v>176</v>
      </c>
      <c r="I174" s="54" t="s">
        <v>177</v>
      </c>
      <c r="J174" s="54" t="s">
        <v>178</v>
      </c>
    </row>
    <row r="175" spans="3:23" ht="20.100000000000001" customHeight="1" x14ac:dyDescent="0.25">
      <c r="D175" s="136" t="str">
        <f>'Input - Pasture Beef'!$D$144</f>
        <v>Milking shed</v>
      </c>
      <c r="E175" s="136" t="str">
        <f>'Input - Pasture Beef'!$D$157</f>
        <v>Anaerobic lagoon</v>
      </c>
      <c r="F175" s="135">
        <f>'Input - Pasture Beef'!E227</f>
        <v>0.25</v>
      </c>
      <c r="G175" s="135">
        <f>'Input - Pasture Beef'!F227</f>
        <v>0.25</v>
      </c>
      <c r="H175" s="135">
        <f>'Input - Pasture Beef'!G227</f>
        <v>0.25</v>
      </c>
      <c r="I175" s="135">
        <f>'Input - Pasture Beef'!H227</f>
        <v>0.25</v>
      </c>
      <c r="J175" s="135">
        <f>'Input - Pasture Beef'!I227</f>
        <v>0.25</v>
      </c>
      <c r="K175" s="2" t="s">
        <v>99</v>
      </c>
    </row>
    <row r="176" spans="3:23" ht="20.100000000000001" customHeight="1" x14ac:dyDescent="0.25">
      <c r="D176" s="136" t="str">
        <f>'Input - Pasture Beef'!$D$144</f>
        <v>Milking shed</v>
      </c>
      <c r="E176" s="136" t="str">
        <f>'Input - Pasture Beef'!$D$162</f>
        <v>Sump and dispersal system</v>
      </c>
      <c r="F176" s="135">
        <f>'Input - Pasture Beef'!E232</f>
        <v>0.25</v>
      </c>
      <c r="G176" s="135">
        <f>'Input - Pasture Beef'!F232</f>
        <v>0.25</v>
      </c>
      <c r="H176" s="135">
        <f>'Input - Pasture Beef'!G232</f>
        <v>0.25</v>
      </c>
      <c r="I176" s="135">
        <f>'Input - Pasture Beef'!H232</f>
        <v>0.25</v>
      </c>
      <c r="J176" s="135">
        <f>'Input - Pasture Beef'!I232</f>
        <v>0.25</v>
      </c>
      <c r="K176" s="2" t="s">
        <v>99</v>
      </c>
    </row>
    <row r="177" spans="4:22" ht="20.100000000000001" customHeight="1" x14ac:dyDescent="0.25">
      <c r="D177" s="136" t="str">
        <f>'Input - Pasture Beef'!$D$144</f>
        <v>Milking shed</v>
      </c>
      <c r="E177" s="136" t="str">
        <f>'Input - Pasture Beef'!$D$167</f>
        <v>Drains to paddock</v>
      </c>
      <c r="F177" s="135">
        <f>'Input - Pasture Beef'!E237</f>
        <v>0.25</v>
      </c>
      <c r="G177" s="135">
        <f>'Input - Pasture Beef'!F237</f>
        <v>0.25</v>
      </c>
      <c r="H177" s="135">
        <f>'Input - Pasture Beef'!G237</f>
        <v>0.25</v>
      </c>
      <c r="I177" s="135">
        <f>'Input - Pasture Beef'!H237</f>
        <v>0.25</v>
      </c>
      <c r="J177" s="135">
        <f>'Input - Pasture Beef'!I237</f>
        <v>0.25</v>
      </c>
      <c r="K177" s="2" t="s">
        <v>99</v>
      </c>
    </row>
    <row r="178" spans="4:22" ht="20.100000000000001" customHeight="1" x14ac:dyDescent="0.25">
      <c r="D178" s="136" t="str">
        <f>'Input - Pasture Beef'!$D$144</f>
        <v>Milking shed</v>
      </c>
      <c r="E178" s="136" t="str">
        <f>'Input - Pasture Beef'!$D$172</f>
        <v>Solid storage</v>
      </c>
      <c r="F178" s="135">
        <f>'Input - Pasture Beef'!E242</f>
        <v>0.25</v>
      </c>
      <c r="G178" s="135">
        <f>'Input - Pasture Beef'!F242</f>
        <v>0.25</v>
      </c>
      <c r="H178" s="135">
        <f>'Input - Pasture Beef'!G242</f>
        <v>0.25</v>
      </c>
      <c r="I178" s="135">
        <f>'Input - Pasture Beef'!H242</f>
        <v>0.25</v>
      </c>
      <c r="J178" s="135">
        <f>'Input - Pasture Beef'!I242</f>
        <v>0.25</v>
      </c>
      <c r="K178" s="2" t="s">
        <v>99</v>
      </c>
    </row>
    <row r="179" spans="4:22" ht="20.100000000000001" customHeight="1" x14ac:dyDescent="0.25">
      <c r="D179" s="136" t="str">
        <f>'Input - Pasture Beef'!$D$145</f>
        <v>Feed pad</v>
      </c>
      <c r="E179" s="136" t="str">
        <f>'Input - Pasture Beef'!$D$191</f>
        <v>Anaerobic lagoon</v>
      </c>
      <c r="F179" s="135">
        <f>'Input - Pasture Beef'!E251</f>
        <v>0.25</v>
      </c>
      <c r="G179" s="135">
        <f>'Input - Pasture Beef'!F251</f>
        <v>0.25</v>
      </c>
      <c r="H179" s="135">
        <f>'Input - Pasture Beef'!G251</f>
        <v>0.25</v>
      </c>
      <c r="I179" s="135">
        <f>'Input - Pasture Beef'!H251</f>
        <v>0.25</v>
      </c>
      <c r="J179" s="135">
        <f>'Input - Pasture Beef'!I251</f>
        <v>0.25</v>
      </c>
      <c r="K179" s="2" t="s">
        <v>99</v>
      </c>
    </row>
    <row r="180" spans="4:22" ht="20.100000000000001" customHeight="1" x14ac:dyDescent="0.25">
      <c r="D180" s="136" t="str">
        <f>'Input - Pasture Beef'!$D$145</f>
        <v>Feed pad</v>
      </c>
      <c r="E180" s="136" t="str">
        <f>'Input - Pasture Beef'!$D$196</f>
        <v>Sump and dispersal system</v>
      </c>
      <c r="F180" s="135">
        <f>'Input - Pasture Beef'!E256</f>
        <v>0.25</v>
      </c>
      <c r="G180" s="135">
        <f>'Input - Pasture Beef'!F256</f>
        <v>0.25</v>
      </c>
      <c r="H180" s="135">
        <f>'Input - Pasture Beef'!G256</f>
        <v>0.25</v>
      </c>
      <c r="I180" s="135">
        <f>'Input - Pasture Beef'!H256</f>
        <v>0.25</v>
      </c>
      <c r="J180" s="135">
        <f>'Input - Pasture Beef'!I256</f>
        <v>0.25</v>
      </c>
      <c r="K180" s="2" t="s">
        <v>99</v>
      </c>
    </row>
    <row r="181" spans="4:22" ht="20.100000000000001" customHeight="1" x14ac:dyDescent="0.25">
      <c r="D181" s="136" t="str">
        <f>'Input - Pasture Beef'!$D$145</f>
        <v>Feed pad</v>
      </c>
      <c r="E181" s="136" t="str">
        <f>'Input - Pasture Beef'!$D$201</f>
        <v>Drains to paddock</v>
      </c>
      <c r="F181" s="135">
        <f>'Input - Pasture Beef'!E261</f>
        <v>0.25</v>
      </c>
      <c r="G181" s="135">
        <f>'Input - Pasture Beef'!F261</f>
        <v>0.25</v>
      </c>
      <c r="H181" s="135">
        <f>'Input - Pasture Beef'!G261</f>
        <v>0.25</v>
      </c>
      <c r="I181" s="135">
        <f>'Input - Pasture Beef'!H261</f>
        <v>0.25</v>
      </c>
      <c r="J181" s="135">
        <f>'Input - Pasture Beef'!I261</f>
        <v>0.25</v>
      </c>
      <c r="K181" s="2" t="s">
        <v>99</v>
      </c>
    </row>
    <row r="182" spans="4:22" ht="20.100000000000001" customHeight="1" x14ac:dyDescent="0.25">
      <c r="D182" s="136" t="str">
        <f>'Input - Pasture Beef'!$D$145</f>
        <v>Feed pad</v>
      </c>
      <c r="E182" s="136" t="str">
        <f>'Input - Pasture Beef'!$D$206</f>
        <v>Solid storage</v>
      </c>
      <c r="F182" s="135">
        <f>'Input - Pasture Beef'!E266</f>
        <v>0.25</v>
      </c>
      <c r="G182" s="135">
        <f>'Input - Pasture Beef'!F266</f>
        <v>0.25</v>
      </c>
      <c r="H182" s="135">
        <f>'Input - Pasture Beef'!G266</f>
        <v>0.25</v>
      </c>
      <c r="I182" s="135">
        <f>'Input - Pasture Beef'!H266</f>
        <v>0.25</v>
      </c>
      <c r="J182" s="135">
        <f>'Input - Pasture Beef'!I266</f>
        <v>0.25</v>
      </c>
      <c r="K182" s="2" t="s">
        <v>99</v>
      </c>
    </row>
    <row r="183" spans="4:22" ht="20.100000000000001" customHeight="1" x14ac:dyDescent="0.25"/>
    <row r="184" spans="4:22" ht="20.100000000000001" customHeight="1" x14ac:dyDescent="0.25">
      <c r="D184" s="104" t="s">
        <v>131</v>
      </c>
      <c r="O184" s="104" t="s">
        <v>132</v>
      </c>
    </row>
    <row r="185" spans="4:22" ht="20.100000000000001" customHeight="1" x14ac:dyDescent="0.25">
      <c r="D185" s="103" t="s">
        <v>128</v>
      </c>
      <c r="O185" s="103" t="s">
        <v>127</v>
      </c>
    </row>
    <row r="186" spans="4:22" ht="20.100000000000001" customHeight="1" x14ac:dyDescent="0.25">
      <c r="D186" s="54" t="s">
        <v>144</v>
      </c>
      <c r="E186" s="54" t="s">
        <v>68</v>
      </c>
      <c r="F186" s="54" t="s">
        <v>173</v>
      </c>
      <c r="G186" s="54" t="s">
        <v>175</v>
      </c>
      <c r="H186" s="54" t="s">
        <v>176</v>
      </c>
      <c r="I186" s="54" t="s">
        <v>177</v>
      </c>
      <c r="J186" s="54" t="s">
        <v>178</v>
      </c>
      <c r="O186" s="54" t="s">
        <v>144</v>
      </c>
      <c r="P186" s="54" t="s">
        <v>68</v>
      </c>
      <c r="Q186" s="54" t="s">
        <v>173</v>
      </c>
      <c r="R186" s="54" t="s">
        <v>175</v>
      </c>
      <c r="S186" s="54" t="s">
        <v>176</v>
      </c>
      <c r="T186" s="54" t="s">
        <v>177</v>
      </c>
      <c r="U186" s="54" t="s">
        <v>178</v>
      </c>
    </row>
    <row r="187" spans="4:22" ht="20.100000000000001" customHeight="1" x14ac:dyDescent="0.25">
      <c r="D187" s="136" t="str">
        <f>'Input - Pasture Beef'!$D$144</f>
        <v>Milking shed</v>
      </c>
      <c r="E187" s="136" t="str">
        <f>'Input - Pasture Beef'!$D$157</f>
        <v>Anaerobic lagoon</v>
      </c>
      <c r="F187" s="55" t="e" cm="1">
        <f t="array" aca="1" ref="F187" ca="1">MMS_Dairy_ManureAppliedToSoils_Equations.VEERG_4_3_1_8__1_MassOfNitrogenAppliedToSoilsScope1(F23,$E64,$E73,F35,F175)</f>
        <v>#REF!</v>
      </c>
      <c r="G187" s="55" t="e" cm="1">
        <f t="array" aca="1" ref="G187" ca="1">MMS_Dairy_ManureAppliedToSoils_Equations.VEERG_4_3_1_8__1_MassOfNitrogenAppliedToSoilsScope1(G23,$E64,$E73,G35,G175)</f>
        <v>#REF!</v>
      </c>
      <c r="H187" s="55" t="e" cm="1">
        <f t="array" aca="1" ref="H187" ca="1">MMS_Dairy_ManureAppliedToSoils_Equations.VEERG_4_3_1_8__1_MassOfNitrogenAppliedToSoilsScope1(H23,$E64,$E73,H35,H175)</f>
        <v>#VALUE!</v>
      </c>
      <c r="I187" s="55" t="e" cm="1">
        <f t="array" aca="1" ref="I187" ca="1">MMS_Dairy_ManureAppliedToSoils_Equations.VEERG_4_3_1_8__1_MassOfNitrogenAppliedToSoilsScope1(I23,$E64,$E73,I35,I175)</f>
        <v>#VALUE!</v>
      </c>
      <c r="J187" s="55" t="e" cm="1">
        <f t="array" aca="1" ref="J187" ca="1">MMS_Dairy_ManureAppliedToSoils_Equations.VEERG_4_3_1_8__1_MassOfNitrogenAppliedToSoilsScope1(J23,$E64,$E73,J35,J175)</f>
        <v>#VALUE!</v>
      </c>
      <c r="K187" s="2" t="str">
        <f>$E$112</f>
        <v>kg N</v>
      </c>
      <c r="O187" s="136" t="str">
        <f>'Input - Pasture Beef'!$D$144</f>
        <v>Milking shed</v>
      </c>
      <c r="P187" s="136" t="str">
        <f>'Input - Pasture Beef'!$D$157</f>
        <v>Anaerobic lagoon</v>
      </c>
      <c r="Q187" s="55" t="e" cm="1">
        <f t="array" aca="1" ref="Q187" ca="1">MMS_Dairy_ManureAppliedToSoils_Equations.VEERG_4_3_1_8__1_MassOfNitrogenAppliedToSoilsScope1(Q23,$E64,$E73,Q35,F175)</f>
        <v>#VALUE!</v>
      </c>
      <c r="R187" s="55" t="e" cm="1">
        <f t="array" aca="1" ref="R187" ca="1">MMS_Dairy_ManureAppliedToSoils_Equations.VEERG_4_3_1_8__1_MassOfNitrogenAppliedToSoilsScope1(R23,$E64,$E73,R35,G175)</f>
        <v>#VALUE!</v>
      </c>
      <c r="S187" s="55" t="e" cm="1">
        <f t="array" aca="1" ref="S187" ca="1">MMS_Dairy_ManureAppliedToSoils_Equations.VEERG_4_3_1_8__1_MassOfNitrogenAppliedToSoilsScope1(S23,$E64,$E73,S35,H175)</f>
        <v>#VALUE!</v>
      </c>
      <c r="T187" s="55" t="e" cm="1">
        <f t="array" aca="1" ref="T187" ca="1">MMS_Dairy_ManureAppliedToSoils_Equations.VEERG_4_3_1_8__1_MassOfNitrogenAppliedToSoilsScope1(T23,$E64,$E73,T35,I175)</f>
        <v>#VALUE!</v>
      </c>
      <c r="U187" s="55" t="e" cm="1">
        <f t="array" aca="1" ref="U187" ca="1">MMS_Dairy_ManureAppliedToSoils_Equations.VEERG_4_3_1_8__1_MassOfNitrogenAppliedToSoilsScope1(U23,$E64,$E73,U35,J175)</f>
        <v>#VALUE!</v>
      </c>
      <c r="V187" s="2" t="str">
        <f>$E$112</f>
        <v>kg N</v>
      </c>
    </row>
    <row r="188" spans="4:22" ht="20.100000000000001" customHeight="1" x14ac:dyDescent="0.25">
      <c r="D188" s="136" t="str">
        <f>'Input - Pasture Beef'!$D$144</f>
        <v>Milking shed</v>
      </c>
      <c r="E188" s="136" t="str">
        <f>'Input - Pasture Beef'!$D$162</f>
        <v>Sump and dispersal system</v>
      </c>
      <c r="F188" s="55" t="e" cm="1">
        <f t="array" aca="1" ref="F188" ca="1">MMS_Dairy_ManureAppliedToSoils_Equations.VEERG_4_3_1_8__1_MassOfNitrogenAppliedToSoilsScope1(F24,$E65,$E74,F36,F176)</f>
        <v>#REF!</v>
      </c>
      <c r="G188" s="55" t="e" cm="1">
        <f t="array" aca="1" ref="G188" ca="1">MMS_Dairy_ManureAppliedToSoils_Equations.VEERG_4_3_1_8__1_MassOfNitrogenAppliedToSoilsScope1(G24,$E65,$E74,G36,G176)</f>
        <v>#REF!</v>
      </c>
      <c r="H188" s="55" t="e" cm="1">
        <f t="array" aca="1" ref="H188" ca="1">MMS_Dairy_ManureAppliedToSoils_Equations.VEERG_4_3_1_8__1_MassOfNitrogenAppliedToSoilsScope1(H24,$E65,$E74,H36,H176)</f>
        <v>#VALUE!</v>
      </c>
      <c r="I188" s="55" t="e" cm="1">
        <f t="array" aca="1" ref="I188" ca="1">MMS_Dairy_ManureAppliedToSoils_Equations.VEERG_4_3_1_8__1_MassOfNitrogenAppliedToSoilsScope1(I24,$E65,$E74,I36,I176)</f>
        <v>#VALUE!</v>
      </c>
      <c r="J188" s="55" t="e" cm="1">
        <f t="array" aca="1" ref="J188" ca="1">MMS_Dairy_ManureAppliedToSoils_Equations.VEERG_4_3_1_8__1_MassOfNitrogenAppliedToSoilsScope1(J24,$E65,$E74,J36,J176)</f>
        <v>#VALUE!</v>
      </c>
      <c r="K188" s="2" t="str">
        <f t="shared" ref="K188:K194" si="9">$E$112</f>
        <v>kg N</v>
      </c>
      <c r="O188" s="136" t="str">
        <f>'Input - Pasture Beef'!$D$144</f>
        <v>Milking shed</v>
      </c>
      <c r="P188" s="136" t="str">
        <f>'Input - Pasture Beef'!$D$162</f>
        <v>Sump and dispersal system</v>
      </c>
      <c r="Q188" s="55" t="e" cm="1">
        <f t="array" aca="1" ref="Q188" ca="1">MMS_Dairy_ManureAppliedToSoils_Equations.VEERG_4_3_1_8__1_MassOfNitrogenAppliedToSoilsScope1(Q24,$E65,$E74,Q36,F176)</f>
        <v>#VALUE!</v>
      </c>
      <c r="R188" s="55" t="e" cm="1">
        <f t="array" aca="1" ref="R188" ca="1">MMS_Dairy_ManureAppliedToSoils_Equations.VEERG_4_3_1_8__1_MassOfNitrogenAppliedToSoilsScope1(R24,$E65,$E74,R36,G176)</f>
        <v>#VALUE!</v>
      </c>
      <c r="S188" s="55" t="e" cm="1">
        <f t="array" aca="1" ref="S188" ca="1">MMS_Dairy_ManureAppliedToSoils_Equations.VEERG_4_3_1_8__1_MassOfNitrogenAppliedToSoilsScope1(S24,$E65,$E74,S36,H176)</f>
        <v>#VALUE!</v>
      </c>
      <c r="T188" s="55" t="e" cm="1">
        <f t="array" aca="1" ref="T188" ca="1">MMS_Dairy_ManureAppliedToSoils_Equations.VEERG_4_3_1_8__1_MassOfNitrogenAppliedToSoilsScope1(T24,$E65,$E74,T36,I176)</f>
        <v>#VALUE!</v>
      </c>
      <c r="U188" s="55" t="e" cm="1">
        <f t="array" aca="1" ref="U188" ca="1">MMS_Dairy_ManureAppliedToSoils_Equations.VEERG_4_3_1_8__1_MassOfNitrogenAppliedToSoilsScope1(U24,$E65,$E74,U36,J176)</f>
        <v>#VALUE!</v>
      </c>
      <c r="V188" s="2" t="str">
        <f t="shared" ref="V188:V194" si="10">$E$112</f>
        <v>kg N</v>
      </c>
    </row>
    <row r="189" spans="4:22" ht="20.100000000000001" customHeight="1" x14ac:dyDescent="0.25">
      <c r="D189" s="136" t="str">
        <f>'Input - Pasture Beef'!$D$144</f>
        <v>Milking shed</v>
      </c>
      <c r="E189" s="136" t="str">
        <f>'Input - Pasture Beef'!$D$167</f>
        <v>Drains to paddock</v>
      </c>
      <c r="F189" s="55" t="e" cm="1">
        <f t="array" aca="1" ref="F189" ca="1">MMS_Dairy_ManureAppliedToSoils_Equations.VEERG_4_3_1_8__1_MassOfNitrogenAppliedToSoilsScope1(F25,$E66,$E75,F37,F177)</f>
        <v>#REF!</v>
      </c>
      <c r="G189" s="55" t="e" cm="1">
        <f t="array" aca="1" ref="G189" ca="1">MMS_Dairy_ManureAppliedToSoils_Equations.VEERG_4_3_1_8__1_MassOfNitrogenAppliedToSoilsScope1(G25,$E66,$E75,G37,G177)</f>
        <v>#REF!</v>
      </c>
      <c r="H189" s="55" t="e" cm="1">
        <f t="array" aca="1" ref="H189" ca="1">MMS_Dairy_ManureAppliedToSoils_Equations.VEERG_4_3_1_8__1_MassOfNitrogenAppliedToSoilsScope1(H25,$E66,$E75,H37,H177)</f>
        <v>#VALUE!</v>
      </c>
      <c r="I189" s="55" t="e" cm="1">
        <f t="array" aca="1" ref="I189" ca="1">MMS_Dairy_ManureAppliedToSoils_Equations.VEERG_4_3_1_8__1_MassOfNitrogenAppliedToSoilsScope1(I25,$E66,$E75,I37,I177)</f>
        <v>#VALUE!</v>
      </c>
      <c r="J189" s="55" t="e" cm="1">
        <f t="array" aca="1" ref="J189" ca="1">MMS_Dairy_ManureAppliedToSoils_Equations.VEERG_4_3_1_8__1_MassOfNitrogenAppliedToSoilsScope1(J25,$E66,$E75,J37,J177)</f>
        <v>#VALUE!</v>
      </c>
      <c r="K189" s="2" t="str">
        <f t="shared" si="9"/>
        <v>kg N</v>
      </c>
      <c r="O189" s="136" t="str">
        <f>'Input - Pasture Beef'!$D$144</f>
        <v>Milking shed</v>
      </c>
      <c r="P189" s="136" t="str">
        <f>'Input - Pasture Beef'!$D$167</f>
        <v>Drains to paddock</v>
      </c>
      <c r="Q189" s="55" t="e" cm="1">
        <f t="array" aca="1" ref="Q189" ca="1">MMS_Dairy_ManureAppliedToSoils_Equations.VEERG_4_3_1_8__1_MassOfNitrogenAppliedToSoilsScope1(Q25,$E66,$E75,Q37,F177)</f>
        <v>#VALUE!</v>
      </c>
      <c r="R189" s="55" t="e" cm="1">
        <f t="array" aca="1" ref="R189" ca="1">MMS_Dairy_ManureAppliedToSoils_Equations.VEERG_4_3_1_8__1_MassOfNitrogenAppliedToSoilsScope1(R25,$E66,$E75,R37,G177)</f>
        <v>#VALUE!</v>
      </c>
      <c r="S189" s="55" t="e" cm="1">
        <f t="array" aca="1" ref="S189" ca="1">MMS_Dairy_ManureAppliedToSoils_Equations.VEERG_4_3_1_8__1_MassOfNitrogenAppliedToSoilsScope1(S25,$E66,$E75,S37,H177)</f>
        <v>#VALUE!</v>
      </c>
      <c r="T189" s="55" t="e" cm="1">
        <f t="array" aca="1" ref="T189" ca="1">MMS_Dairy_ManureAppliedToSoils_Equations.VEERG_4_3_1_8__1_MassOfNitrogenAppliedToSoilsScope1(T25,$E66,$E75,T37,I177)</f>
        <v>#VALUE!</v>
      </c>
      <c r="U189" s="55" t="e" cm="1">
        <f t="array" aca="1" ref="U189" ca="1">MMS_Dairy_ManureAppliedToSoils_Equations.VEERG_4_3_1_8__1_MassOfNitrogenAppliedToSoilsScope1(U25,$E66,$E75,U37,J177)</f>
        <v>#VALUE!</v>
      </c>
      <c r="V189" s="2" t="str">
        <f t="shared" si="10"/>
        <v>kg N</v>
      </c>
    </row>
    <row r="190" spans="4:22" ht="20.100000000000001" customHeight="1" x14ac:dyDescent="0.25">
      <c r="D190" s="136" t="str">
        <f>'Input - Pasture Beef'!$D$144</f>
        <v>Milking shed</v>
      </c>
      <c r="E190" s="136" t="str">
        <f>'Input - Pasture Beef'!$D$172</f>
        <v>Solid storage</v>
      </c>
      <c r="F190" s="55" t="e" cm="1">
        <f t="array" aca="1" ref="F190" ca="1">MMS_Dairy_ManureAppliedToSoils_Equations.VEERG_4_3_1_8__1_MassOfNitrogenAppliedToSoilsScope1(F26,$E67,$E76,F38,F178)</f>
        <v>#REF!</v>
      </c>
      <c r="G190" s="55" t="e" cm="1">
        <f t="array" aca="1" ref="G190" ca="1">MMS_Dairy_ManureAppliedToSoils_Equations.VEERG_4_3_1_8__1_MassOfNitrogenAppliedToSoilsScope1(G26,$E67,$E76,G38,G178)</f>
        <v>#REF!</v>
      </c>
      <c r="H190" s="55" t="e" cm="1">
        <f t="array" aca="1" ref="H190" ca="1">MMS_Dairy_ManureAppliedToSoils_Equations.VEERG_4_3_1_8__1_MassOfNitrogenAppliedToSoilsScope1(H26,$E67,$E76,H38,H178)</f>
        <v>#VALUE!</v>
      </c>
      <c r="I190" s="55" t="e" cm="1">
        <f t="array" aca="1" ref="I190" ca="1">MMS_Dairy_ManureAppliedToSoils_Equations.VEERG_4_3_1_8__1_MassOfNitrogenAppliedToSoilsScope1(I26,$E67,$E76,I38,I178)</f>
        <v>#VALUE!</v>
      </c>
      <c r="J190" s="55" t="e" cm="1">
        <f t="array" aca="1" ref="J190" ca="1">MMS_Dairy_ManureAppliedToSoils_Equations.VEERG_4_3_1_8__1_MassOfNitrogenAppliedToSoilsScope1(J26,$E67,$E76,J38,J178)</f>
        <v>#VALUE!</v>
      </c>
      <c r="K190" s="2" t="str">
        <f t="shared" si="9"/>
        <v>kg N</v>
      </c>
      <c r="O190" s="136" t="str">
        <f>'Input - Pasture Beef'!$D$144</f>
        <v>Milking shed</v>
      </c>
      <c r="P190" s="136" t="str">
        <f>'Input - Pasture Beef'!$D$172</f>
        <v>Solid storage</v>
      </c>
      <c r="Q190" s="55" t="e" cm="1">
        <f t="array" aca="1" ref="Q190" ca="1">MMS_Dairy_ManureAppliedToSoils_Equations.VEERG_4_3_1_8__1_MassOfNitrogenAppliedToSoilsScope1(Q26,$E67,$E76,Q38,F178)</f>
        <v>#VALUE!</v>
      </c>
      <c r="R190" s="55" t="e" cm="1">
        <f t="array" aca="1" ref="R190" ca="1">MMS_Dairy_ManureAppliedToSoils_Equations.VEERG_4_3_1_8__1_MassOfNitrogenAppliedToSoilsScope1(R26,$E67,$E76,R38,G178)</f>
        <v>#VALUE!</v>
      </c>
      <c r="S190" s="55" t="e" cm="1">
        <f t="array" aca="1" ref="S190" ca="1">MMS_Dairy_ManureAppliedToSoils_Equations.VEERG_4_3_1_8__1_MassOfNitrogenAppliedToSoilsScope1(S26,$E67,$E76,S38,H178)</f>
        <v>#VALUE!</v>
      </c>
      <c r="T190" s="55" t="e" cm="1">
        <f t="array" aca="1" ref="T190" ca="1">MMS_Dairy_ManureAppliedToSoils_Equations.VEERG_4_3_1_8__1_MassOfNitrogenAppliedToSoilsScope1(T26,$E67,$E76,T38,I178)</f>
        <v>#VALUE!</v>
      </c>
      <c r="U190" s="55" t="e" cm="1">
        <f t="array" aca="1" ref="U190" ca="1">MMS_Dairy_ManureAppliedToSoils_Equations.VEERG_4_3_1_8__1_MassOfNitrogenAppliedToSoilsScope1(U26,$E67,$E76,U38,J178)</f>
        <v>#VALUE!</v>
      </c>
      <c r="V190" s="2" t="str">
        <f t="shared" si="10"/>
        <v>kg N</v>
      </c>
    </row>
    <row r="191" spans="4:22" ht="20.100000000000001" customHeight="1" x14ac:dyDescent="0.25">
      <c r="D191" s="136" t="str">
        <f>'Input - Pasture Beef'!$D$145</f>
        <v>Feed pad</v>
      </c>
      <c r="E191" s="136" t="str">
        <f>'Input - Pasture Beef'!$D$191</f>
        <v>Anaerobic lagoon</v>
      </c>
      <c r="F191" s="55" t="e" cm="1">
        <f t="array" aca="1" ref="F191" ca="1">MMS_Dairy_ManureAppliedToSoils_Equations.VEERG_4_3_1_8__1_MassOfNitrogenAppliedToSoilsScope1(F27,$E64,$E73,F39,F179)</f>
        <v>#REF!</v>
      </c>
      <c r="G191" s="55" t="e" cm="1">
        <f t="array" aca="1" ref="G191" ca="1">MMS_Dairy_ManureAppliedToSoils_Equations.VEERG_4_3_1_8__1_MassOfNitrogenAppliedToSoilsScope1(G27,$E64,$E73,G39,G179)</f>
        <v>#REF!</v>
      </c>
      <c r="H191" s="55" t="e" cm="1">
        <f t="array" aca="1" ref="H191" ca="1">MMS_Dairy_ManureAppliedToSoils_Equations.VEERG_4_3_1_8__1_MassOfNitrogenAppliedToSoilsScope1(H27,$E64,$E73,H39,H179)</f>
        <v>#VALUE!</v>
      </c>
      <c r="I191" s="55" t="e" cm="1">
        <f t="array" aca="1" ref="I191" ca="1">MMS_Dairy_ManureAppliedToSoils_Equations.VEERG_4_3_1_8__1_MassOfNitrogenAppliedToSoilsScope1(I27,$E64,$E73,I39,I179)</f>
        <v>#VALUE!</v>
      </c>
      <c r="J191" s="55" t="e" cm="1">
        <f t="array" aca="1" ref="J191" ca="1">MMS_Dairy_ManureAppliedToSoils_Equations.VEERG_4_3_1_8__1_MassOfNitrogenAppliedToSoilsScope1(J27,$E64,$E73,J39,J179)</f>
        <v>#VALUE!</v>
      </c>
      <c r="K191" s="2" t="str">
        <f t="shared" si="9"/>
        <v>kg N</v>
      </c>
      <c r="O191" s="136" t="str">
        <f>'Input - Pasture Beef'!$D$145</f>
        <v>Feed pad</v>
      </c>
      <c r="P191" s="136" t="str">
        <f>'Input - Pasture Beef'!$D$191</f>
        <v>Anaerobic lagoon</v>
      </c>
      <c r="Q191" s="55" t="e" cm="1">
        <f t="array" aca="1" ref="Q191" ca="1">MMS_Dairy_ManureAppliedToSoils_Equations.VEERG_4_3_1_8__1_MassOfNitrogenAppliedToSoilsScope1(Q27,$E64,$E73,Q39,F179)</f>
        <v>#VALUE!</v>
      </c>
      <c r="R191" s="55" t="e" cm="1">
        <f t="array" aca="1" ref="R191" ca="1">MMS_Dairy_ManureAppliedToSoils_Equations.VEERG_4_3_1_8__1_MassOfNitrogenAppliedToSoilsScope1(R27,$E64,$E73,R39,G179)</f>
        <v>#VALUE!</v>
      </c>
      <c r="S191" s="55" t="e" cm="1">
        <f t="array" aca="1" ref="S191" ca="1">MMS_Dairy_ManureAppliedToSoils_Equations.VEERG_4_3_1_8__1_MassOfNitrogenAppliedToSoilsScope1(S27,$E64,$E73,S39,H179)</f>
        <v>#VALUE!</v>
      </c>
      <c r="T191" s="55" t="e" cm="1">
        <f t="array" aca="1" ref="T191" ca="1">MMS_Dairy_ManureAppliedToSoils_Equations.VEERG_4_3_1_8__1_MassOfNitrogenAppliedToSoilsScope1(T27,$E64,$E73,T39,I179)</f>
        <v>#VALUE!</v>
      </c>
      <c r="U191" s="55" t="e" cm="1">
        <f t="array" aca="1" ref="U191" ca="1">MMS_Dairy_ManureAppliedToSoils_Equations.VEERG_4_3_1_8__1_MassOfNitrogenAppliedToSoilsScope1(U27,$E64,$E73,U39,J179)</f>
        <v>#VALUE!</v>
      </c>
      <c r="V191" s="2" t="str">
        <f t="shared" si="10"/>
        <v>kg N</v>
      </c>
    </row>
    <row r="192" spans="4:22" ht="20.100000000000001" customHeight="1" x14ac:dyDescent="0.25">
      <c r="D192" s="136" t="str">
        <f>'Input - Pasture Beef'!$D$145</f>
        <v>Feed pad</v>
      </c>
      <c r="E192" s="136" t="str">
        <f>'Input - Pasture Beef'!$D$196</f>
        <v>Sump and dispersal system</v>
      </c>
      <c r="F192" s="55" t="e" cm="1">
        <f t="array" aca="1" ref="F192" ca="1">MMS_Dairy_ManureAppliedToSoils_Equations.VEERG_4_3_1_8__1_MassOfNitrogenAppliedToSoilsScope1(F28,$E65,$E74,F40,F180)</f>
        <v>#REF!</v>
      </c>
      <c r="G192" s="55" t="e" cm="1">
        <f t="array" aca="1" ref="G192" ca="1">MMS_Dairy_ManureAppliedToSoils_Equations.VEERG_4_3_1_8__1_MassOfNitrogenAppliedToSoilsScope1(G28,$E65,$E74,G40,G180)</f>
        <v>#REF!</v>
      </c>
      <c r="H192" s="55" t="e" cm="1">
        <f t="array" aca="1" ref="H192" ca="1">MMS_Dairy_ManureAppliedToSoils_Equations.VEERG_4_3_1_8__1_MassOfNitrogenAppliedToSoilsScope1(H28,$E65,$E74,H40,H180)</f>
        <v>#VALUE!</v>
      </c>
      <c r="I192" s="55" t="e" cm="1">
        <f t="array" aca="1" ref="I192" ca="1">MMS_Dairy_ManureAppliedToSoils_Equations.VEERG_4_3_1_8__1_MassOfNitrogenAppliedToSoilsScope1(I28,$E65,$E74,I40,I180)</f>
        <v>#VALUE!</v>
      </c>
      <c r="J192" s="55" t="e" cm="1">
        <f t="array" aca="1" ref="J192" ca="1">MMS_Dairy_ManureAppliedToSoils_Equations.VEERG_4_3_1_8__1_MassOfNitrogenAppliedToSoilsScope1(J28,$E65,$E74,J40,J180)</f>
        <v>#VALUE!</v>
      </c>
      <c r="K192" s="2" t="str">
        <f t="shared" si="9"/>
        <v>kg N</v>
      </c>
      <c r="O192" s="136" t="str">
        <f>'Input - Pasture Beef'!$D$145</f>
        <v>Feed pad</v>
      </c>
      <c r="P192" s="136" t="str">
        <f>'Input - Pasture Beef'!$D$196</f>
        <v>Sump and dispersal system</v>
      </c>
      <c r="Q192" s="55" t="e" cm="1">
        <f t="array" aca="1" ref="Q192" ca="1">MMS_Dairy_ManureAppliedToSoils_Equations.VEERG_4_3_1_8__1_MassOfNitrogenAppliedToSoilsScope1(Q28,$E65,$E74,Q40,F180)</f>
        <v>#VALUE!</v>
      </c>
      <c r="R192" s="55" t="e" cm="1">
        <f t="array" aca="1" ref="R192" ca="1">MMS_Dairy_ManureAppliedToSoils_Equations.VEERG_4_3_1_8__1_MassOfNitrogenAppliedToSoilsScope1(R28,$E65,$E74,R40,G180)</f>
        <v>#VALUE!</v>
      </c>
      <c r="S192" s="55" t="e" cm="1">
        <f t="array" aca="1" ref="S192" ca="1">MMS_Dairy_ManureAppliedToSoils_Equations.VEERG_4_3_1_8__1_MassOfNitrogenAppliedToSoilsScope1(S28,$E65,$E74,S40,H180)</f>
        <v>#VALUE!</v>
      </c>
      <c r="T192" s="55" t="e" cm="1">
        <f t="array" aca="1" ref="T192" ca="1">MMS_Dairy_ManureAppliedToSoils_Equations.VEERG_4_3_1_8__1_MassOfNitrogenAppliedToSoilsScope1(T28,$E65,$E74,T40,I180)</f>
        <v>#VALUE!</v>
      </c>
      <c r="U192" s="55" t="e" cm="1">
        <f t="array" aca="1" ref="U192" ca="1">MMS_Dairy_ManureAppliedToSoils_Equations.VEERG_4_3_1_8__1_MassOfNitrogenAppliedToSoilsScope1(U28,$E65,$E74,U40,J180)</f>
        <v>#VALUE!</v>
      </c>
      <c r="V192" s="2" t="str">
        <f t="shared" si="10"/>
        <v>kg N</v>
      </c>
    </row>
    <row r="193" spans="4:22" ht="20.100000000000001" customHeight="1" x14ac:dyDescent="0.25">
      <c r="D193" s="136" t="str">
        <f>'Input - Pasture Beef'!$D$145</f>
        <v>Feed pad</v>
      </c>
      <c r="E193" s="136" t="str">
        <f>'Input - Pasture Beef'!$D$201</f>
        <v>Drains to paddock</v>
      </c>
      <c r="F193" s="55" t="e" cm="1">
        <f t="array" aca="1" ref="F193" ca="1">MMS_Dairy_ManureAppliedToSoils_Equations.VEERG_4_3_1_8__1_MassOfNitrogenAppliedToSoilsScope1(F29,$E66,$E75,F41,F181)</f>
        <v>#REF!</v>
      </c>
      <c r="G193" s="55" t="e" cm="1">
        <f t="array" aca="1" ref="G193" ca="1">MMS_Dairy_ManureAppliedToSoils_Equations.VEERG_4_3_1_8__1_MassOfNitrogenAppliedToSoilsScope1(G29,$E66,$E75,G41,G181)</f>
        <v>#REF!</v>
      </c>
      <c r="H193" s="55" t="e" cm="1">
        <f t="array" aca="1" ref="H193" ca="1">MMS_Dairy_ManureAppliedToSoils_Equations.VEERG_4_3_1_8__1_MassOfNitrogenAppliedToSoilsScope1(H29,$E66,$E75,H41,H181)</f>
        <v>#VALUE!</v>
      </c>
      <c r="I193" s="55" t="e" cm="1">
        <f t="array" aca="1" ref="I193" ca="1">MMS_Dairy_ManureAppliedToSoils_Equations.VEERG_4_3_1_8__1_MassOfNitrogenAppliedToSoilsScope1(I29,$E66,$E75,I41,I181)</f>
        <v>#VALUE!</v>
      </c>
      <c r="J193" s="55" t="e" cm="1">
        <f t="array" aca="1" ref="J193" ca="1">MMS_Dairy_ManureAppliedToSoils_Equations.VEERG_4_3_1_8__1_MassOfNitrogenAppliedToSoilsScope1(J29,$E66,$E75,J41,J181)</f>
        <v>#VALUE!</v>
      </c>
      <c r="K193" s="2" t="str">
        <f t="shared" si="9"/>
        <v>kg N</v>
      </c>
      <c r="O193" s="136" t="str">
        <f>'Input - Pasture Beef'!$D$145</f>
        <v>Feed pad</v>
      </c>
      <c r="P193" s="136" t="str">
        <f>'Input - Pasture Beef'!$D$201</f>
        <v>Drains to paddock</v>
      </c>
      <c r="Q193" s="55" t="e" cm="1">
        <f t="array" aca="1" ref="Q193" ca="1">MMS_Dairy_ManureAppliedToSoils_Equations.VEERG_4_3_1_8__1_MassOfNitrogenAppliedToSoilsScope1(Q29,$E66,$E75,Q41,F181)</f>
        <v>#VALUE!</v>
      </c>
      <c r="R193" s="55" t="e" cm="1">
        <f t="array" aca="1" ref="R193" ca="1">MMS_Dairy_ManureAppliedToSoils_Equations.VEERG_4_3_1_8__1_MassOfNitrogenAppliedToSoilsScope1(R29,$E66,$E75,R41,G181)</f>
        <v>#VALUE!</v>
      </c>
      <c r="S193" s="55" t="e" cm="1">
        <f t="array" aca="1" ref="S193" ca="1">MMS_Dairy_ManureAppliedToSoils_Equations.VEERG_4_3_1_8__1_MassOfNitrogenAppliedToSoilsScope1(S29,$E66,$E75,S41,H181)</f>
        <v>#VALUE!</v>
      </c>
      <c r="T193" s="55" t="e" cm="1">
        <f t="array" aca="1" ref="T193" ca="1">MMS_Dairy_ManureAppliedToSoils_Equations.VEERG_4_3_1_8__1_MassOfNitrogenAppliedToSoilsScope1(T29,$E66,$E75,T41,I181)</f>
        <v>#VALUE!</v>
      </c>
      <c r="U193" s="55" t="e" cm="1">
        <f t="array" aca="1" ref="U193" ca="1">MMS_Dairy_ManureAppliedToSoils_Equations.VEERG_4_3_1_8__1_MassOfNitrogenAppliedToSoilsScope1(U29,$E66,$E75,U41,J181)</f>
        <v>#VALUE!</v>
      </c>
      <c r="V193" s="2" t="str">
        <f t="shared" si="10"/>
        <v>kg N</v>
      </c>
    </row>
    <row r="194" spans="4:22" ht="20.100000000000001" customHeight="1" x14ac:dyDescent="0.25">
      <c r="D194" s="136" t="str">
        <f>'Input - Pasture Beef'!$D$145</f>
        <v>Feed pad</v>
      </c>
      <c r="E194" s="136" t="str">
        <f>'Input - Pasture Beef'!$D$206</f>
        <v>Solid storage</v>
      </c>
      <c r="F194" s="55" t="e" cm="1">
        <f t="array" aca="1" ref="F194" ca="1">MMS_Dairy_ManureAppliedToSoils_Equations.VEERG_4_3_1_8__1_MassOfNitrogenAppliedToSoilsScope1(F30,$E67,$E76,F42,F182)</f>
        <v>#REF!</v>
      </c>
      <c r="G194" s="55" t="e" cm="1">
        <f t="array" aca="1" ref="G194" ca="1">MMS_Dairy_ManureAppliedToSoils_Equations.VEERG_4_3_1_8__1_MassOfNitrogenAppliedToSoilsScope1(G30,$E67,$E76,G42,G182)</f>
        <v>#REF!</v>
      </c>
      <c r="H194" s="55" t="e" cm="1">
        <f t="array" aca="1" ref="H194" ca="1">MMS_Dairy_ManureAppliedToSoils_Equations.VEERG_4_3_1_8__1_MassOfNitrogenAppliedToSoilsScope1(H30,$E67,$E76,H42,H182)</f>
        <v>#VALUE!</v>
      </c>
      <c r="I194" s="55" t="e" cm="1">
        <f t="array" aca="1" ref="I194" ca="1">MMS_Dairy_ManureAppliedToSoils_Equations.VEERG_4_3_1_8__1_MassOfNitrogenAppliedToSoilsScope1(I30,$E67,$E76,I42,I182)</f>
        <v>#VALUE!</v>
      </c>
      <c r="J194" s="55" t="e" cm="1">
        <f t="array" aca="1" ref="J194" ca="1">MMS_Dairy_ManureAppliedToSoils_Equations.VEERG_4_3_1_8__1_MassOfNitrogenAppliedToSoilsScope1(J30,$E67,$E76,J42,J182)</f>
        <v>#VALUE!</v>
      </c>
      <c r="K194" s="2" t="str">
        <f t="shared" si="9"/>
        <v>kg N</v>
      </c>
      <c r="O194" s="136" t="str">
        <f>'Input - Pasture Beef'!$D$145</f>
        <v>Feed pad</v>
      </c>
      <c r="P194" s="136" t="str">
        <f>'Input - Pasture Beef'!$D$206</f>
        <v>Solid storage</v>
      </c>
      <c r="Q194" s="55" t="e" cm="1">
        <f t="array" aca="1" ref="Q194" ca="1">MMS_Dairy_ManureAppliedToSoils_Equations.VEERG_4_3_1_8__1_MassOfNitrogenAppliedToSoilsScope1(Q30,$E67,$E76,Q42,F182)</f>
        <v>#VALUE!</v>
      </c>
      <c r="R194" s="55" t="e" cm="1">
        <f t="array" aca="1" ref="R194" ca="1">MMS_Dairy_ManureAppliedToSoils_Equations.VEERG_4_3_1_8__1_MassOfNitrogenAppliedToSoilsScope1(R30,$E67,$E76,R42,G182)</f>
        <v>#VALUE!</v>
      </c>
      <c r="S194" s="55" t="e" cm="1">
        <f t="array" aca="1" ref="S194" ca="1">MMS_Dairy_ManureAppliedToSoils_Equations.VEERG_4_3_1_8__1_MassOfNitrogenAppliedToSoilsScope1(S30,$E67,$E76,S42,H182)</f>
        <v>#VALUE!</v>
      </c>
      <c r="T194" s="55" t="e" cm="1">
        <f t="array" aca="1" ref="T194" ca="1">MMS_Dairy_ManureAppliedToSoils_Equations.VEERG_4_3_1_8__1_MassOfNitrogenAppliedToSoilsScope1(T30,$E67,$E76,T42,I182)</f>
        <v>#VALUE!</v>
      </c>
      <c r="U194" s="55" t="e" cm="1">
        <f t="array" aca="1" ref="U194" ca="1">MMS_Dairy_ManureAppliedToSoils_Equations.VEERG_4_3_1_8__1_MassOfNitrogenAppliedToSoilsScope1(U30,$E67,$E76,U42,J182)</f>
        <v>#VALUE!</v>
      </c>
      <c r="V194" s="2" t="str">
        <f t="shared" si="10"/>
        <v>kg N</v>
      </c>
    </row>
    <row r="195" spans="4:22" ht="20.100000000000001" customHeight="1" x14ac:dyDescent="0.25"/>
    <row r="196" spans="4:22" ht="20.100000000000001" customHeight="1" x14ac:dyDescent="0.25">
      <c r="D196" s="107" t="s">
        <v>135</v>
      </c>
      <c r="E196" s="108" t="e">
        <f ca="1">SUM(F187:J194)</f>
        <v>#REF!</v>
      </c>
      <c r="F196" s="109" t="str">
        <f>$E$112</f>
        <v>kg N</v>
      </c>
      <c r="O196" s="107" t="s">
        <v>135</v>
      </c>
      <c r="P196" s="108" t="e">
        <f ca="1">SUM(Q187:U194)</f>
        <v>#VALUE!</v>
      </c>
      <c r="Q196" s="109" t="str">
        <f>$E$112</f>
        <v>kg N</v>
      </c>
    </row>
    <row r="197" spans="4:22" ht="20.100000000000001" customHeight="1" x14ac:dyDescent="0.25"/>
    <row r="198" spans="4:22" ht="20.100000000000001" customHeight="1" x14ac:dyDescent="0.25"/>
    <row r="199" spans="4:22" ht="20.100000000000001" customHeight="1" x14ac:dyDescent="0.25"/>
    <row r="200" spans="4:22" ht="20.100000000000001" customHeight="1" x14ac:dyDescent="0.25"/>
    <row r="201" spans="4:22" ht="20.100000000000001" customHeight="1" x14ac:dyDescent="0.25"/>
    <row r="202" spans="4:22" ht="20.100000000000001" customHeight="1" x14ac:dyDescent="0.25"/>
    <row r="203" spans="4:22" ht="20.100000000000001" customHeight="1" x14ac:dyDescent="0.25"/>
    <row r="204" spans="4:22" ht="20.100000000000001" customHeight="1" x14ac:dyDescent="0.25"/>
    <row r="205" spans="4:22" ht="20.100000000000001" customHeight="1" x14ac:dyDescent="0.25"/>
    <row r="206" spans="4:22" ht="20.100000000000001" customHeight="1" x14ac:dyDescent="0.25"/>
    <row r="207" spans="4:22" ht="20.100000000000001" customHeight="1" x14ac:dyDescent="0.25"/>
  </sheetData>
  <dataValidations disablePrompts="1" count="1">
    <dataValidation operator="equal" allowBlank="1" showInputMessage="1" showErrorMessage="1" sqref="E26 E23 P26 P23 E66 E63 E75 E72 P93 P96 E35 E38 P35 P38 E81 E84 E93 E96 E123 E126 P123 P126 E145 E148 E157 E160 P157 P160 E175 E178 E187 E190 P187 P190" xr:uid="{3CE1B7AD-39BD-4423-96DF-3D6853CFDB0B}"/>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306</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MMS_Dairy_N2ODirect_Equations.VEERG_4_3_1_3__2_TotalNitrogenInEachMMS_Title()</f>
        <v>Total nitrogen in each MMS</v>
      </c>
    </row>
    <row r="6" spans="1:23" ht="20.100000000000001" customHeight="1" x14ac:dyDescent="0.25">
      <c r="A6" s="20" t="s">
        <v>3</v>
      </c>
      <c r="D6" s="5" t="str" cm="1">
        <f t="array" ref="D6">MMS_Dairy_N2ODirect_Equations.VEERG_4_3_1_3__2_TotalNitrogenInEachMMS_Source()</f>
        <v>VEERG 2026: 4.3.1.3, Equation (2)</v>
      </c>
    </row>
    <row r="7" spans="1:23" ht="20.100000000000001" customHeight="1" x14ac:dyDescent="0.25">
      <c r="A7" s="17" t="str">
        <f>HYPERLINK("#'Input - Site'!A1", "Site")</f>
        <v>Site</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Dairy'!A1", "Dairy")</f>
        <v>Dairy</v>
      </c>
    </row>
    <row r="9" spans="1:23" ht="20.100000000000001" customHeight="1" x14ac:dyDescent="0.25">
      <c r="A9" s="17"/>
      <c r="D9" s="6"/>
    </row>
    <row r="10" spans="1:23" ht="20.100000000000001" customHeight="1" x14ac:dyDescent="0.25">
      <c r="A10" s="19" t="s">
        <v>77</v>
      </c>
      <c r="D10" s="56" t="s">
        <v>30</v>
      </c>
      <c r="E10" s="1" t="str" cm="1">
        <f t="array" ref="E10">MMS_Dairy_N2ODirect_Equations.VEERG_4_3_1_3__2_TotalNitrogenInEachMMS_Variable()</f>
        <v>MN_jm</v>
      </c>
    </row>
    <row r="11" spans="1:23" ht="20.100000000000001" customHeight="1" x14ac:dyDescent="0.25">
      <c r="A11" s="17" t="str">
        <f>HYPERLINK("#'4.3.1.1-2 Methane'!A1", "4.3.1.1-2 Methane")</f>
        <v>4.3.1.1-2 Methane</v>
      </c>
      <c r="D11" s="56" t="s">
        <v>20</v>
      </c>
      <c r="E11" s="57" t="str" cm="1">
        <f t="array" ref="E11">MMS_Dairy_N2ODirect_Equations.VEERG_4_3_1_3__2_TotalNitrogenInEachMMS_Unit()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4" t="str" cm="1">
        <f t="array" ref="D13:E14">MMS_Dairy_N2ODirect_Equations.VEERG_4_3_1_3__2_TotalNitrogenInEachMMS_Arguments()</f>
        <v>AE_j</v>
      </c>
      <c r="E13" s="116" t="str">
        <v>total nitrogen excreted by each dairy class (kg N)</v>
      </c>
      <c r="F13" s="115"/>
      <c r="G13" s="114" t="str">
        <f>"See " &amp; D16</f>
        <v>See M1_Table_AE_j</v>
      </c>
    </row>
    <row r="14" spans="1:23" ht="20.100000000000001" customHeight="1" x14ac:dyDescent="0.25">
      <c r="A14" s="17" t="str">
        <f>HYPERLINK("#'4.3.1.6-7 Leaching and runoff'!A1", "4.3.1.6-7 Leaching and runoff")</f>
        <v>4.3.1.6-7 Leaching and runoff</v>
      </c>
      <c r="D14" s="114" t="str">
        <v>MMS_jm</v>
      </c>
      <c r="E14" s="116" t="str">
        <v>manure management system fraction for class j and system m</v>
      </c>
      <c r="F14" s="115"/>
      <c r="G14" s="114" t="str">
        <f>"See " &amp; D22</f>
        <v>See M1_Table_MMS_j_m-14</v>
      </c>
    </row>
    <row r="15" spans="1:23" ht="20.100000000000001" customHeight="1" x14ac:dyDescent="0.25">
      <c r="A15" s="17" t="str">
        <f>HYPERLINK("#'4.3.1.8 Manure applied to soils'!A1", "4.3.1.8 Manure applied to soils")</f>
        <v>4.3.1.8 Manure applied to soils</v>
      </c>
    </row>
    <row r="16" spans="1:23" ht="20.100000000000001" customHeight="1" x14ac:dyDescent="0.25">
      <c r="A16" s="22" t="str">
        <f>HYPERLINK("#'4.3.1.9 Soil direct N2O'!A1", "4.3.1.9 Soil direct N2O")</f>
        <v>4.3.1.9 Soil direct N2O</v>
      </c>
      <c r="D16" s="104" t="s">
        <v>117</v>
      </c>
    </row>
    <row r="17" spans="1:22" ht="20.100000000000001" customHeight="1" x14ac:dyDescent="0.25">
      <c r="A17" s="17" t="str">
        <f>HYPERLINK("#'4.3.1.10-11 Soil Atmos Dep'!A1", "4.3.1.10-11 Soil atm. deposition")</f>
        <v>4.3.1.10-11 Soil atm. deposition</v>
      </c>
      <c r="D17" s="103" t="s">
        <v>309</v>
      </c>
    </row>
    <row r="18" spans="1:22" ht="20.100000000000001" customHeight="1" x14ac:dyDescent="0.25">
      <c r="A18" s="17" t="str">
        <f>HYPERLINK("#'4.3.1.12-13 Soil leach runoff'!A1", "4.3.1.12-13 Soil leach &amp; runoff")</f>
        <v>4.3.1.12-13 Soil leach &amp; runoff</v>
      </c>
      <c r="D18" s="54" t="s">
        <v>173</v>
      </c>
      <c r="E18" s="54" t="s">
        <v>175</v>
      </c>
      <c r="F18" s="54" t="s">
        <v>176</v>
      </c>
      <c r="G18" s="54" t="s">
        <v>177</v>
      </c>
      <c r="H18" s="54" t="s">
        <v>178</v>
      </c>
    </row>
    <row r="19" spans="1:22" ht="20.100000000000001" customHeight="1" x14ac:dyDescent="0.25">
      <c r="A19" s="17"/>
      <c r="D19" s="55" t="e">
        <f>'4.3.1.3-4 Direct N20'!D169</f>
        <v>#REF!</v>
      </c>
      <c r="E19" s="55" t="e">
        <f>'4.3.1.3-4 Direct N20'!E169</f>
        <v>#REF!</v>
      </c>
      <c r="F19" s="55" t="e">
        <f>'4.3.1.3-4 Direct N20'!F206</f>
        <v>#VALUE!</v>
      </c>
      <c r="G19" s="55" t="e">
        <f>'4.3.1.3-4 Direct N20'!G169</f>
        <v>#VALUE!</v>
      </c>
      <c r="H19" s="55" t="e">
        <f>'4.3.1.3-4 Direct N20'!H206</f>
        <v>#VALUE!</v>
      </c>
      <c r="I19" s="2" t="s">
        <v>120</v>
      </c>
    </row>
    <row r="20" spans="1:22" ht="20.100000000000001" customHeight="1" x14ac:dyDescent="0.25">
      <c r="A20" s="18" t="s">
        <v>4</v>
      </c>
    </row>
    <row r="21" spans="1:22" ht="20.100000000000001" customHeight="1" x14ac:dyDescent="0.25">
      <c r="A21" s="17" t="str">
        <f>HYPERLINK("#'Constants - Dairy'!A1", "Constants - Dairy")</f>
        <v>Constants - Dairy</v>
      </c>
    </row>
    <row r="22" spans="1:22" ht="20.100000000000001" customHeight="1" x14ac:dyDescent="0.25">
      <c r="A22" s="17" t="str">
        <f>HYPERLINK("#'Constants - Livestock'!A1", "Constants - Livestock")</f>
        <v>Constants - Livestock</v>
      </c>
      <c r="D22" s="104" t="s">
        <v>307</v>
      </c>
      <c r="O22" s="104" t="s">
        <v>307</v>
      </c>
    </row>
    <row r="23" spans="1:22" ht="20.100000000000001" customHeight="1" x14ac:dyDescent="0.25">
      <c r="A23" s="17" t="str">
        <f>HYPERLINK("#'Constants - Common'!A1", "Constants - Common")</f>
        <v>Constants - Common</v>
      </c>
      <c r="D23" s="103" t="s">
        <v>308</v>
      </c>
      <c r="O23" s="103" t="s">
        <v>308</v>
      </c>
    </row>
    <row r="24" spans="1:22" ht="20.100000000000001" customHeight="1" x14ac:dyDescent="0.25">
      <c r="A24" s="17" t="str">
        <f>HYPERLINK("#'Acknowledgements'!A1", "Acknowledgements")</f>
        <v>Acknowledgements</v>
      </c>
      <c r="D24" s="54" t="s">
        <v>144</v>
      </c>
      <c r="E24" s="54" t="s">
        <v>68</v>
      </c>
      <c r="F24" s="54" t="s">
        <v>173</v>
      </c>
      <c r="G24" s="54" t="s">
        <v>175</v>
      </c>
      <c r="H24" s="54" t="s">
        <v>176</v>
      </c>
      <c r="I24" s="54" t="s">
        <v>177</v>
      </c>
      <c r="J24" s="54" t="s">
        <v>178</v>
      </c>
      <c r="O24" s="54" t="s">
        <v>144</v>
      </c>
      <c r="P24" s="54" t="s">
        <v>68</v>
      </c>
      <c r="Q24" s="54" t="s">
        <v>173</v>
      </c>
      <c r="R24" s="54" t="s">
        <v>175</v>
      </c>
      <c r="S24" s="54" t="s">
        <v>176</v>
      </c>
      <c r="T24" s="54" t="s">
        <v>177</v>
      </c>
      <c r="U24" s="54" t="s">
        <v>178</v>
      </c>
    </row>
    <row r="25" spans="1:22" ht="20.100000000000001" customHeight="1" x14ac:dyDescent="0.25">
      <c r="D25" s="136" t="str">
        <f>'Input - Pasture Beef'!$D$143</f>
        <v>Pasture</v>
      </c>
      <c r="E25" s="136" t="str">
        <f>'Constants - Livestock'!$E$27</f>
        <v>Pasture range and paddock</v>
      </c>
      <c r="F25" s="55">
        <f>'Input - Pasture Beef'!E143</f>
        <v>0</v>
      </c>
      <c r="G25" s="55">
        <f>'Input - Pasture Beef'!F143</f>
        <v>0</v>
      </c>
      <c r="H25" s="55">
        <f>'Input - Pasture Beef'!G143</f>
        <v>0</v>
      </c>
      <c r="I25" s="55">
        <f>'Input - Pasture Beef'!H143</f>
        <v>0</v>
      </c>
      <c r="J25" s="55">
        <f>'Input - Pasture Beef'!I143</f>
        <v>0</v>
      </c>
      <c r="K25" s="2" t="s">
        <v>99</v>
      </c>
      <c r="O25" s="136" t="str">
        <f>'Input - Pasture Beef'!$D$143</f>
        <v>Pasture</v>
      </c>
      <c r="P25" s="136" t="str">
        <f>'Constants - Livestock'!$E$27</f>
        <v>Pasture range and paddock</v>
      </c>
      <c r="Q25" s="55">
        <f>'Input - Pasture Beef'!E148</f>
        <v>0</v>
      </c>
      <c r="R25" s="55">
        <f>'Input - Pasture Beef'!F148</f>
        <v>0</v>
      </c>
      <c r="S25" s="55">
        <f>'Input - Pasture Beef'!G148</f>
        <v>0</v>
      </c>
      <c r="T25" s="55">
        <f>'Input - Pasture Beef'!H148</f>
        <v>0</v>
      </c>
      <c r="U25" s="55">
        <f>'Input - Pasture Beef'!I148</f>
        <v>0</v>
      </c>
      <c r="V25" s="2" t="s">
        <v>99</v>
      </c>
    </row>
    <row r="26" spans="1:22" ht="20.100000000000001" customHeight="1" x14ac:dyDescent="0.25"/>
    <row r="27" spans="1:22" ht="20.100000000000001" customHeight="1" x14ac:dyDescent="0.25">
      <c r="Q27" s="138"/>
    </row>
    <row r="28" spans="1:22" ht="20.100000000000001" customHeight="1" x14ac:dyDescent="0.25">
      <c r="D28" s="104" t="s">
        <v>310</v>
      </c>
      <c r="O28" s="104" t="s">
        <v>312</v>
      </c>
    </row>
    <row r="29" spans="1:22" ht="20.100000000000001" customHeight="1" x14ac:dyDescent="0.25">
      <c r="D29" s="103" t="s">
        <v>311</v>
      </c>
      <c r="O29" s="103" t="s">
        <v>313</v>
      </c>
    </row>
    <row r="30" spans="1:22" ht="20.100000000000001" customHeight="1" x14ac:dyDescent="0.25">
      <c r="D30" s="54" t="s">
        <v>144</v>
      </c>
      <c r="E30" s="54" t="s">
        <v>68</v>
      </c>
      <c r="F30" s="54" t="s">
        <v>173</v>
      </c>
      <c r="G30" s="54" t="s">
        <v>175</v>
      </c>
      <c r="H30" s="54" t="s">
        <v>176</v>
      </c>
      <c r="I30" s="54" t="s">
        <v>177</v>
      </c>
      <c r="J30" s="54" t="s">
        <v>178</v>
      </c>
      <c r="O30" s="54" t="s">
        <v>144</v>
      </c>
      <c r="P30" s="54" t="s">
        <v>68</v>
      </c>
      <c r="Q30" s="54" t="s">
        <v>173</v>
      </c>
      <c r="R30" s="54" t="s">
        <v>175</v>
      </c>
      <c r="S30" s="54" t="s">
        <v>176</v>
      </c>
      <c r="T30" s="54" t="s">
        <v>177</v>
      </c>
      <c r="U30" s="54" t="s">
        <v>178</v>
      </c>
    </row>
    <row r="31" spans="1:22" ht="20.100000000000001" customHeight="1" x14ac:dyDescent="0.25">
      <c r="D31" s="136" t="str">
        <f>'Input - Pasture Beef'!$D$143</f>
        <v>Pasture</v>
      </c>
      <c r="E31" s="136" t="str">
        <f>'Constants - Livestock'!$E$27</f>
        <v>Pasture range and paddock</v>
      </c>
      <c r="F31" s="55" t="e" cm="1">
        <f t="array" ref="F31">MMS_Dairy_N2ODirect_Equations.VEERG_4_3_1_3__2_TotalNitrogenInEachMMS(D19,F25)</f>
        <v>#REF!</v>
      </c>
      <c r="G31" s="55" t="e" cm="1">
        <f t="array" ref="G31">MMS_Dairy_N2ODirect_Equations.VEERG_4_3_1_3__2_TotalNitrogenInEachMMS(E19,G25)</f>
        <v>#REF!</v>
      </c>
      <c r="H31" s="55" t="e" cm="1">
        <f t="array" ref="H31">MMS_Dairy_N2ODirect_Equations.VEERG_4_3_1_3__2_TotalNitrogenInEachMMS(F19,H25)</f>
        <v>#VALUE!</v>
      </c>
      <c r="I31" s="55" t="e" cm="1">
        <f t="array" ref="I31">MMS_Dairy_N2ODirect_Equations.VEERG_4_3_1_3__2_TotalNitrogenInEachMMS(G19,I25)</f>
        <v>#VALUE!</v>
      </c>
      <c r="J31" s="55" t="e" cm="1">
        <f t="array" ref="J31">MMS_Dairy_N2ODirect_Equations.VEERG_4_3_1_3__2_TotalNitrogenInEachMMS(H19,J25)</f>
        <v>#VALUE!</v>
      </c>
      <c r="K31" s="2" t="str">
        <f>$E$11</f>
        <v>kg N</v>
      </c>
      <c r="O31" s="136" t="str">
        <f>'Input - Pasture Beef'!$D$143</f>
        <v>Pasture</v>
      </c>
      <c r="P31" s="136" t="str">
        <f>'Constants - Livestock'!$E$27</f>
        <v>Pasture range and paddock</v>
      </c>
      <c r="Q31" s="55" t="e" cm="1">
        <f t="array" ref="Q31">MMS_Dairy_N2ODirect_Equations.VEERG_4_3_1_3__2_TotalNitrogenInEachMMS(D19,Q25)</f>
        <v>#REF!</v>
      </c>
      <c r="R31" s="55" t="e" cm="1">
        <f t="array" ref="R31">MMS_Dairy_N2ODirect_Equations.VEERG_4_3_1_3__2_TotalNitrogenInEachMMS(E19,R25)</f>
        <v>#REF!</v>
      </c>
      <c r="S31" s="55" t="e" cm="1">
        <f t="array" ref="S31">MMS_Dairy_N2ODirect_Equations.VEERG_4_3_1_3__2_TotalNitrogenInEachMMS(F19,S25)</f>
        <v>#VALUE!</v>
      </c>
      <c r="T31" s="55" t="e" cm="1">
        <f t="array" ref="T31">MMS_Dairy_N2ODirect_Equations.VEERG_4_3_1_3__2_TotalNitrogenInEachMMS(G19,T25)</f>
        <v>#VALUE!</v>
      </c>
      <c r="U31" s="55" t="e" cm="1">
        <f t="array" ref="U31">MMS_Dairy_N2ODirect_Equations.VEERG_4_3_1_3__2_TotalNitrogenInEachMMS(H19,U25)</f>
        <v>#VALUE!</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107</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60" t="str" cm="1">
        <f t="array" ref="D43:E46">MMS_Dairy_Soil_N2ODirect_Equations.VEERG_4_3_1_9__1_DirectNitrousOxideEmissionsOnPasture_Arguments()</f>
        <v>MN_jm14</v>
      </c>
      <c r="E43" s="61" t="str">
        <v>mass of nitrogen excreted on pasture, range, and paddock for each dairy cattle class (kg N)</v>
      </c>
      <c r="F43" s="105"/>
      <c r="G43" s="62"/>
      <c r="H43" s="60" t="str">
        <f>"See " &amp; D28</f>
        <v>See M1_Table_MN_j_m-14</v>
      </c>
    </row>
    <row r="44" spans="3:23" ht="20.100000000000001" customHeight="1" x14ac:dyDescent="0.25">
      <c r="D44" s="60" t="str">
        <v>EF_PRP</v>
      </c>
      <c r="E44" s="61" t="str">
        <v>emission factor for nitrous oxide emissions for urine and dung deposited on PRP (kg N2O-N/kg N deposited)</v>
      </c>
      <c r="F44" s="105"/>
      <c r="G44" s="62"/>
      <c r="H44" s="60" cm="1">
        <f t="array" ref="H44">Common_InputFunctions.Utility_LookupValueInTable(H46, Table_SourceData_EFPastureRangeAndPaddock[Climate zone],Table_SourceData_EFPastureRangeAndPaddock[EFPRP])</f>
        <v>2E-3</v>
      </c>
    </row>
    <row r="45" spans="3:23" ht="20.100000000000001" customHeight="1" x14ac:dyDescent="0.25">
      <c r="D45" s="60" t="str">
        <v>C_N2O</v>
      </c>
      <c r="E45" s="61" t="str">
        <v>factor to convert elemental mass of N2O to molecular mass</v>
      </c>
      <c r="F45" s="105"/>
      <c r="G45" s="62"/>
      <c r="H45" s="60">
        <f>Common_InputFunctions.Utility_LookupValueInTableNumber("N2O",Table_GasToMolecularConversionFactor[Gas],Table_GasToMolecularConversionFactor[Conversion factor combined])</f>
        <v>1.5714285714285714</v>
      </c>
    </row>
    <row r="46" spans="3:23" ht="20.100000000000001" customHeight="1" x14ac:dyDescent="0.25">
      <c r="D46" s="60" t="str">
        <v>z</v>
      </c>
      <c r="E46" s="61" t="str">
        <v>Wet or dry climate zone</v>
      </c>
      <c r="F46" s="105"/>
      <c r="G46" s="62"/>
      <c r="H46" s="60" t="str">
        <f>'Input - Site'!$E$32</f>
        <v>Dry climate zone</v>
      </c>
    </row>
    <row r="47" spans="3:23" ht="20.100000000000001" customHeight="1" x14ac:dyDescent="0.25"/>
    <row r="48" spans="3:23" ht="20.100000000000001" customHeight="1" x14ac:dyDescent="0.25">
      <c r="D48" s="104" t="s">
        <v>119</v>
      </c>
      <c r="O48" s="104" t="s">
        <v>316</v>
      </c>
    </row>
    <row r="49" spans="4:22" ht="20.100000000000001" customHeight="1" x14ac:dyDescent="0.25">
      <c r="D49" s="103" t="s">
        <v>315</v>
      </c>
      <c r="O49" s="103" t="s">
        <v>317</v>
      </c>
    </row>
    <row r="50" spans="4:22" ht="20.100000000000001" customHeight="1" x14ac:dyDescent="0.25">
      <c r="D50" s="54" t="s">
        <v>144</v>
      </c>
      <c r="E50" s="54" t="s">
        <v>68</v>
      </c>
      <c r="F50" s="54" t="s">
        <v>173</v>
      </c>
      <c r="G50" s="54" t="s">
        <v>175</v>
      </c>
      <c r="H50" s="54" t="s">
        <v>176</v>
      </c>
      <c r="I50" s="54" t="s">
        <v>177</v>
      </c>
      <c r="J50" s="54" t="s">
        <v>178</v>
      </c>
      <c r="O50" s="54" t="s">
        <v>144</v>
      </c>
      <c r="P50" s="54" t="s">
        <v>68</v>
      </c>
      <c r="Q50" s="54" t="s">
        <v>173</v>
      </c>
      <c r="R50" s="54" t="s">
        <v>175</v>
      </c>
      <c r="S50" s="54" t="s">
        <v>176</v>
      </c>
      <c r="T50" s="54" t="s">
        <v>177</v>
      </c>
      <c r="U50" s="54" t="s">
        <v>178</v>
      </c>
    </row>
    <row r="51" spans="4:22" ht="20.100000000000001" customHeight="1" x14ac:dyDescent="0.25">
      <c r="D51" s="136" t="str">
        <f>'Input - Pasture Beef'!$D$143</f>
        <v>Pasture</v>
      </c>
      <c r="E51" s="136" t="str">
        <f>'Constants - Livestock'!$E$27</f>
        <v>Pasture range and paddock</v>
      </c>
      <c r="F51" s="55" t="e" cm="1">
        <f t="array" ref="F51">MMS_Dairy_Soil_N2ODirect_Equations.VEERG_4_3_1_9__1_DirectNitrousOxideEmissionsOnPasture(F31,$H$44,$H$45)</f>
        <v>#REF!</v>
      </c>
      <c r="G51" s="55" t="e" cm="1">
        <f t="array" ref="G51">MMS_Dairy_Soil_N2ODirect_Equations.VEERG_4_3_1_9__1_DirectNitrousOxideEmissionsOnPasture(G31,$H$44,$H$45)</f>
        <v>#REF!</v>
      </c>
      <c r="H51" s="55" t="e" cm="1">
        <f t="array" ref="H51">MMS_Dairy_Soil_N2ODirect_Equations.VEERG_4_3_1_9__1_DirectNitrousOxideEmissionsOnPasture(H31,$H$44,$H$45)</f>
        <v>#VALUE!</v>
      </c>
      <c r="I51" s="55" t="e" cm="1">
        <f t="array" ref="I51">MMS_Dairy_Soil_N2ODirect_Equations.VEERG_4_3_1_9__1_DirectNitrousOxideEmissionsOnPasture(I31,$H$44,$H$45)</f>
        <v>#VALUE!</v>
      </c>
      <c r="J51" s="55" t="e" cm="1">
        <f t="array" ref="J51">MMS_Dairy_Soil_N2ODirect_Equations.VEERG_4_3_1_9__1_DirectNitrousOxideEmissionsOnPasture(J31,$H$44,$H$45)</f>
        <v>#VALUE!</v>
      </c>
      <c r="K51" s="2" t="str">
        <f>$E$41</f>
        <v>t N2O</v>
      </c>
      <c r="O51" s="136" t="str">
        <f>'Input - Pasture Beef'!$D$143</f>
        <v>Pasture</v>
      </c>
      <c r="P51" s="136" t="str">
        <f>'Constants - Livestock'!$E$27</f>
        <v>Pasture range and paddock</v>
      </c>
      <c r="Q51" s="55" t="e" cm="1">
        <f t="array" ref="Q51">MMS_Dairy_Soil_N2ODirect_Equations.VEERG_4_3_1_9__1_DirectNitrousOxideEmissionsOnPasture(Q31,$H$44,$H$45)</f>
        <v>#REF!</v>
      </c>
      <c r="R51" s="55" t="e" cm="1">
        <f t="array" ref="R51">MMS_Dairy_Soil_N2ODirect_Equations.VEERG_4_3_1_9__1_DirectNitrousOxideEmissionsOnPasture(R31,$H$44,$H$45)</f>
        <v>#REF!</v>
      </c>
      <c r="S51" s="55" t="e" cm="1">
        <f t="array" ref="S51">MMS_Dairy_Soil_N2ODirect_Equations.VEERG_4_3_1_9__1_DirectNitrousOxideEmissionsOnPasture(S31,$H$44,$H$45)</f>
        <v>#VALUE!</v>
      </c>
      <c r="T51" s="55" t="e" cm="1">
        <f t="array" ref="T51">MMS_Dairy_Soil_N2ODirect_Equations.VEERG_4_3_1_9__1_DirectNitrousOxideEmissionsOnPasture(T31,$H$44,$H$45)</f>
        <v>#VALUE!</v>
      </c>
      <c r="U51" s="55" t="e" cm="1">
        <f t="array" ref="U51">MMS_Dairy_Soil_N2ODirect_Equations.VEERG_4_3_1_9__1_DirectNitrousOxideEmissionsOnPasture(U31,$H$44,$H$45)</f>
        <v>#VALUE!</v>
      </c>
      <c r="V51" s="2" t="str">
        <f>$E$41</f>
        <v>t N2O</v>
      </c>
    </row>
    <row r="52" spans="4:22" ht="20.100000000000001" customHeight="1" x14ac:dyDescent="0.25"/>
    <row r="53" spans="4:22" ht="20.100000000000001" customHeight="1" x14ac:dyDescent="0.25">
      <c r="D53" s="107" t="s">
        <v>118</v>
      </c>
      <c r="E53" s="108" t="e">
        <f>SUM(F51:J51)</f>
        <v>#REF!</v>
      </c>
      <c r="F53" s="109" t="str">
        <f>$E$41</f>
        <v>t N2O</v>
      </c>
      <c r="O53" s="107" t="s">
        <v>118</v>
      </c>
      <c r="P53" s="108" t="e">
        <f>SUM(Q51:U51)</f>
        <v>#REF!</v>
      </c>
      <c r="Q53" s="109" t="str">
        <f>$E$41</f>
        <v>t N2O</v>
      </c>
    </row>
    <row r="54" spans="4:22" ht="20.100000000000001" customHeight="1" x14ac:dyDescent="0.25"/>
    <row r="55" spans="4:22" ht="20.100000000000001" customHeight="1" x14ac:dyDescent="0.25">
      <c r="D55" s="60" t="str" cm="1">
        <f t="array" ref="D55:E56">Common_Equations.Common_ConvertN2OToCO2e_Arguments()</f>
        <v>EN2O</v>
      </c>
      <c r="E55" s="61" t="str">
        <v>Nitrous oxide emissions (t N2O)</v>
      </c>
      <c r="F55" s="110"/>
      <c r="G55" s="55" t="e">
        <f>E53</f>
        <v>#REF!</v>
      </c>
      <c r="O55" s="60" t="str" cm="1">
        <f t="array" ref="O55:P56">Common_Equations.Common_ConvertN2OToCO2e_Arguments()</f>
        <v>EN2O</v>
      </c>
      <c r="P55" s="61" t="str">
        <v>Nitrous oxide emissions (t N2O)</v>
      </c>
      <c r="Q55" s="110"/>
      <c r="R55" s="55" t="e">
        <f>P53</f>
        <v>#REF!</v>
      </c>
    </row>
    <row r="56" spans="4:22" ht="20.100000000000001" customHeight="1" x14ac:dyDescent="0.25">
      <c r="D56" s="60" t="str">
        <v>GWPN2O</v>
      </c>
      <c r="E56" s="61" t="str">
        <v>Global warming potential for nitrous oxide (t CO2-e / t N2O)</v>
      </c>
      <c r="F56" s="110"/>
      <c r="G56" s="55">
        <f>Common_InputFunctions.Utility_LookupValueInTableNumber("N2O",Table_GWPData[Gas],Table_GWPData[CO2-e factor])</f>
        <v>265</v>
      </c>
      <c r="O56" s="60" t="str">
        <v>GWPN2O</v>
      </c>
      <c r="P56" s="61" t="str">
        <v>Global warming potential for nitrous oxide (t CO2-e / t N2O)</v>
      </c>
      <c r="Q56" s="110"/>
      <c r="R56" s="55">
        <f>Common_InputFunctions.Utility_LookupValueInTableNumber("N2O",Table_GWPData[Gas],Table_GWPData[CO2-e factor])</f>
        <v>265</v>
      </c>
    </row>
    <row r="57" spans="4:22" ht="20.100000000000001" customHeight="1" x14ac:dyDescent="0.25"/>
    <row r="58" spans="4:22" ht="20.100000000000001" customHeight="1" x14ac:dyDescent="0.25">
      <c r="D58" s="48" t="s">
        <v>105</v>
      </c>
      <c r="E58" s="48" t="e" cm="1">
        <f t="array" ref="E58">Common_Equations.Common_ConvertN2OToCO2e(G55,G56)</f>
        <v>#REF!</v>
      </c>
      <c r="F58" s="111" t="str" cm="1">
        <f t="array" ref="F58">Common_Equations.Common_ConvertN2OToCO2e_Unit()</f>
        <v>t CO2e</v>
      </c>
      <c r="O58" s="48" t="s">
        <v>105</v>
      </c>
      <c r="P58" s="48" t="e" cm="1">
        <f t="array" ref="P58">Common_Equations.Common_ConvertN2OToCO2e(R55,R56)</f>
        <v>#REF!</v>
      </c>
      <c r="Q58" s="111"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325</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20" t="s">
        <v>3</v>
      </c>
      <c r="D6" s="5" t="str" cm="1">
        <f t="array" ref="D6">MMS_Dairy_Soil_AtmosphericDeposition_Equations.VEERG_4_3_1_10__2_MassOfNitrogenVolatilisedOnPasture_Source()</f>
        <v>VEERG 2026: 4.3.1.10, Equation (2)</v>
      </c>
    </row>
    <row r="7" spans="1:23" ht="20.100000000000001" customHeight="1" x14ac:dyDescent="0.25">
      <c r="A7" s="17" t="str">
        <f>HYPERLINK("#'Input - Site'!A1", "Site")</f>
        <v>Site</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77</v>
      </c>
      <c r="D10" s="56" t="s">
        <v>30</v>
      </c>
      <c r="E10" s="1" t="str" cm="1">
        <f t="array" ref="E10">MMS_Dairy_Soil_AtmosphericDeposition_Equations.VEERG_4_3_1_10__2_MassOfNitrogenVolatilisedOnPasture_Variable()</f>
        <v>M_vol_m14</v>
      </c>
    </row>
    <row r="11" spans="1:23" ht="20.100000000000001" customHeight="1" x14ac:dyDescent="0.25">
      <c r="A11" s="17" t="str">
        <f>HYPERLINK("#'4.3.1.1-2 Methane'!A1", "4.3.1.1-2 Methane")</f>
        <v>4.3.1.1-2 Methane</v>
      </c>
      <c r="D11" s="56" t="s">
        <v>20</v>
      </c>
      <c r="E11" s="57" t="str" cm="1">
        <f t="array" ref="E11">MMS_Dairy_Soil_AtmosphericDeposition_Equations.VEERG_4_3_1_10__2_MassOfNitrogenVolatilisedOnPasture_Unit()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4">MMS_Dairy_Soil_AtmosphericDeposition_Equations.VEERG_4_3_1_10__2_MassOfNitrogenVolatilisedOnPasture_Arguments()</f>
        <v>MN_jm14</v>
      </c>
      <c r="E13" s="61" t="str">
        <v>mass of nitrogen excreted on pasture, range and paddock for each dairy class (kg N)</v>
      </c>
      <c r="F13" s="105"/>
      <c r="G13" s="62"/>
      <c r="H13" s="60" t="str">
        <f>"See " &amp; D16</f>
        <v>See M1_Table_MN_j_m-14</v>
      </c>
    </row>
    <row r="14" spans="1:23" ht="20.100000000000001" customHeight="1" x14ac:dyDescent="0.25">
      <c r="A14" s="17" t="str">
        <f>HYPERLINK("#'4.3.1.6-7 Leaching and runoff'!A1", "4.3.1.6-7 Leaching and runoff")</f>
        <v>4.3.1.6-7 Leaching and runoff</v>
      </c>
      <c r="D14" s="60" t="str">
        <v>FracGASMsoil</v>
      </c>
      <c r="E14" s="61" t="str">
        <v>fraction of nitrogen volatilised from urine and faeces deposited on pasture ((kg NH3-N + NOx-N)/kg N)</v>
      </c>
      <c r="F14" s="105"/>
      <c r="G14" s="62"/>
      <c r="H14" s="60" t="str">
        <f>'Constants - Pature Beef'!$D$243</f>
        <v>WA</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310</v>
      </c>
      <c r="M16" s="59"/>
      <c r="O16" s="104" t="s">
        <v>312</v>
      </c>
    </row>
    <row r="17" spans="1:23" ht="20.100000000000001" customHeight="1" x14ac:dyDescent="0.25">
      <c r="A17" s="22" t="str">
        <f>HYPERLINK("#'4.3.1.10-11 Soil Atmos Dep'!A1", "4.3.1.10-11 Soil atm. deposition")</f>
        <v>4.3.1.10-11 Soil atm. deposition</v>
      </c>
      <c r="D17" s="103" t="s">
        <v>311</v>
      </c>
      <c r="M17" s="59"/>
      <c r="O17" s="103" t="s">
        <v>313</v>
      </c>
    </row>
    <row r="18" spans="1:23" ht="20.100000000000001" customHeight="1" x14ac:dyDescent="0.25">
      <c r="A18" s="17" t="str">
        <f>HYPERLINK("#'4.3.1.12-13 Soil leach runoff'!A1", "4.3.1.12-13 Soil leach &amp; runoff")</f>
        <v>4.3.1.12-13 Soil leach &amp; runoff</v>
      </c>
      <c r="D18" s="54" t="s">
        <v>144</v>
      </c>
      <c r="E18" s="54" t="s">
        <v>68</v>
      </c>
      <c r="F18" s="54" t="s">
        <v>173</v>
      </c>
      <c r="G18" s="54" t="s">
        <v>175</v>
      </c>
      <c r="H18" s="54" t="s">
        <v>176</v>
      </c>
      <c r="I18" s="54" t="s">
        <v>177</v>
      </c>
      <c r="J18" s="54" t="s">
        <v>178</v>
      </c>
      <c r="M18" s="59"/>
      <c r="O18" s="54" t="s">
        <v>144</v>
      </c>
      <c r="P18" s="54" t="s">
        <v>68</v>
      </c>
      <c r="Q18" s="54" t="s">
        <v>173</v>
      </c>
      <c r="R18" s="54" t="s">
        <v>175</v>
      </c>
      <c r="S18" s="54" t="s">
        <v>176</v>
      </c>
      <c r="T18" s="54" t="s">
        <v>177</v>
      </c>
      <c r="U18" s="54" t="s">
        <v>178</v>
      </c>
    </row>
    <row r="19" spans="1:23" ht="20.100000000000001" customHeight="1" x14ac:dyDescent="0.25">
      <c r="A19" s="17"/>
      <c r="D19" s="136" t="str">
        <f>'Input - Pasture Beef'!$D$143</f>
        <v>Pasture</v>
      </c>
      <c r="E19" s="136" t="str">
        <f>'Constants - Livestock'!$E$27</f>
        <v>Pasture range and paddock</v>
      </c>
      <c r="F19" s="55" t="e">
        <f>'4.3.1.9 Soil direct N2O'!$F$31</f>
        <v>#REF!</v>
      </c>
      <c r="G19" s="55" t="e">
        <f>'4.3.1.9 Soil direct N2O'!$G$31</f>
        <v>#REF!</v>
      </c>
      <c r="H19" s="55" t="e">
        <f>'4.3.1.9 Soil direct N2O'!$H$31</f>
        <v>#VALUE!</v>
      </c>
      <c r="I19" s="55" t="e">
        <f>'4.3.1.9 Soil direct N2O'!$I$31</f>
        <v>#VALUE!</v>
      </c>
      <c r="J19" s="55" t="e">
        <f>'4.3.1.9 Soil direct N2O'!$J$31</f>
        <v>#VALUE!</v>
      </c>
      <c r="K19" s="2" t="str">
        <f>$E$11</f>
        <v>kg N</v>
      </c>
      <c r="M19" s="59"/>
      <c r="O19" s="136" t="str">
        <f>'Input - Pasture Beef'!$D$143</f>
        <v>Pasture</v>
      </c>
      <c r="P19" s="136" t="str">
        <f>'Constants - Livestock'!$E$27</f>
        <v>Pasture range and paddock</v>
      </c>
      <c r="Q19" s="55" t="e">
        <f>'4.3.1.9 Soil direct N2O'!$Q$31</f>
        <v>#REF!</v>
      </c>
      <c r="R19" s="55" t="e">
        <f>'4.3.1.9 Soil direct N2O'!$R$31</f>
        <v>#REF!</v>
      </c>
      <c r="S19" s="55" t="e">
        <f>'4.3.1.9 Soil direct N2O'!$S$31</f>
        <v>#VALUE!</v>
      </c>
      <c r="T19" s="55" t="e">
        <f>'4.3.1.9 Soil direct N2O'!$T$31</f>
        <v>#VALUE!</v>
      </c>
      <c r="U19" s="55" t="e">
        <f>'4.3.1.9 Soil direct N2O'!$U$31</f>
        <v>#VALUE!</v>
      </c>
      <c r="V19" s="2" t="str">
        <f>$E$11</f>
        <v>kg N</v>
      </c>
    </row>
    <row r="20" spans="1:23" ht="20.100000000000001" customHeight="1" x14ac:dyDescent="0.25">
      <c r="A20" s="18" t="s">
        <v>4</v>
      </c>
    </row>
    <row r="21" spans="1:23" ht="20.100000000000001" customHeight="1" x14ac:dyDescent="0.25">
      <c r="A21" s="17" t="str">
        <f>HYPERLINK("#'Constants - Dairy'!A1", "Constants - Dairy")</f>
        <v>Constants - Dairy</v>
      </c>
      <c r="D21" s="104" t="s">
        <v>318</v>
      </c>
      <c r="O21" s="104" t="s">
        <v>320</v>
      </c>
    </row>
    <row r="22" spans="1:23" ht="20.100000000000001" customHeight="1" x14ac:dyDescent="0.25">
      <c r="A22" s="17" t="str">
        <f>HYPERLINK("#'Constants - Livestock'!A1", "Constants - Livestock")</f>
        <v>Constants - Livestock</v>
      </c>
      <c r="D22" s="103" t="s">
        <v>319</v>
      </c>
      <c r="O22" s="103" t="s">
        <v>321</v>
      </c>
    </row>
    <row r="23" spans="1:23" ht="20.100000000000001" customHeight="1" x14ac:dyDescent="0.25">
      <c r="A23" s="17" t="str">
        <f>HYPERLINK("#'Constants - Common'!A1", "Constants - Common")</f>
        <v>Constants - Common</v>
      </c>
      <c r="D23" s="54" t="s">
        <v>144</v>
      </c>
      <c r="E23" s="54" t="s">
        <v>68</v>
      </c>
      <c r="F23" s="54" t="s">
        <v>173</v>
      </c>
      <c r="G23" s="54" t="s">
        <v>175</v>
      </c>
      <c r="H23" s="54" t="s">
        <v>176</v>
      </c>
      <c r="I23" s="54" t="s">
        <v>177</v>
      </c>
      <c r="J23" s="54" t="s">
        <v>178</v>
      </c>
      <c r="O23" s="54" t="s">
        <v>144</v>
      </c>
      <c r="P23" s="54" t="s">
        <v>68</v>
      </c>
      <c r="Q23" s="54" t="s">
        <v>173</v>
      </c>
      <c r="R23" s="54" t="s">
        <v>175</v>
      </c>
      <c r="S23" s="54" t="s">
        <v>176</v>
      </c>
      <c r="T23" s="54" t="s">
        <v>177</v>
      </c>
      <c r="U23" s="54" t="s">
        <v>178</v>
      </c>
    </row>
    <row r="24" spans="1:23" ht="20.100000000000001" customHeight="1" x14ac:dyDescent="0.25">
      <c r="A24" s="17" t="str">
        <f>HYPERLINK("#'Acknowledgements'!A1", "Acknowledgements")</f>
        <v>Acknowledgements</v>
      </c>
      <c r="D24" s="136" t="str">
        <f>'Input - Pasture Beef'!$D$143</f>
        <v>Pasture</v>
      </c>
      <c r="E24" s="136" t="str">
        <f>'Constants - Livestock'!$E$27</f>
        <v>Pasture range and paddock</v>
      </c>
      <c r="F24" s="55" t="e" cm="1">
        <f t="array" ref="F24">MMS_Dairy_Soil_AtmosphericDeposition_Equations.VEERG_4_3_1_10__2_MassOfNitrogenVolatilisedOnPasture(F19,$H$14)</f>
        <v>#REF!</v>
      </c>
      <c r="G24" s="55" t="e" cm="1">
        <f t="array" ref="G24">MMS_Dairy_Soil_AtmosphericDeposition_Equations.VEERG_4_3_1_10__2_MassOfNitrogenVolatilisedOnPasture(G19,$H$14)</f>
        <v>#REF!</v>
      </c>
      <c r="H24" s="55" t="e" cm="1">
        <f t="array" ref="H24">MMS_Dairy_Soil_AtmosphericDeposition_Equations.VEERG_4_3_1_10__2_MassOfNitrogenVolatilisedOnPasture(H19,$H$14)</f>
        <v>#VALUE!</v>
      </c>
      <c r="I24" s="55" t="e" cm="1">
        <f t="array" ref="I24">MMS_Dairy_Soil_AtmosphericDeposition_Equations.VEERG_4_3_1_10__2_MassOfNitrogenVolatilisedOnPasture(I19,$H$14)</f>
        <v>#VALUE!</v>
      </c>
      <c r="J24" s="55" t="e" cm="1">
        <f t="array" ref="J24">MMS_Dairy_Soil_AtmosphericDeposition_Equations.VEERG_4_3_1_10__2_MassOfNitrogenVolatilisedOnPasture(J19,$H$14)</f>
        <v>#VALUE!</v>
      </c>
      <c r="K24" s="2" t="str">
        <f>$E$11</f>
        <v>kg N</v>
      </c>
      <c r="O24" s="136" t="str">
        <f>'Input - Pasture Beef'!$D$143</f>
        <v>Pasture</v>
      </c>
      <c r="P24" s="136" t="str">
        <f>'Constants - Livestock'!$E$27</f>
        <v>Pasture range and paddock</v>
      </c>
      <c r="Q24" s="55" t="e" cm="1">
        <f t="array" ref="Q24">MMS_Dairy_Soil_AtmosphericDeposition_Equations.VEERG_4_3_1_10__2_MassOfNitrogenVolatilisedOnPasture(Q19,$H$14)</f>
        <v>#REF!</v>
      </c>
      <c r="R24" s="55" t="e" cm="1">
        <f t="array" ref="R24">MMS_Dairy_Soil_AtmosphericDeposition_Equations.VEERG_4_3_1_10__2_MassOfNitrogenVolatilisedOnPasture(R19,$H$14)</f>
        <v>#REF!</v>
      </c>
      <c r="S24" s="55" t="e" cm="1">
        <f t="array" ref="S24">MMS_Dairy_Soil_AtmosphericDeposition_Equations.VEERG_4_3_1_10__2_MassOfNitrogenVolatilisedOnPasture(S19,$H$14)</f>
        <v>#VALUE!</v>
      </c>
      <c r="T24" s="55" t="e" cm="1">
        <f t="array" ref="T24">MMS_Dairy_Soil_AtmosphericDeposition_Equations.VEERG_4_3_1_10__2_MassOfNitrogenVolatilisedOnPasture(T19,$H$14)</f>
        <v>#VALUE!</v>
      </c>
      <c r="U24" s="55" t="e" cm="1">
        <f t="array" ref="U24">MMS_Dairy_Soil_AtmosphericDeposition_Equations.VEERG_4_3_1_10__2_MassOfNitrogenVolatilisedOnPasture(U19,$H$14)</f>
        <v>#VALUE!</v>
      </c>
      <c r="V24" s="2" t="str">
        <f>$E$11</f>
        <v>kg N</v>
      </c>
    </row>
    <row r="25" spans="1:23" ht="20.100000000000001" customHeight="1" x14ac:dyDescent="0.25"/>
    <row r="26" spans="1:23" ht="20.100000000000001" customHeight="1" x14ac:dyDescent="0.25">
      <c r="D26" s="123" t="s">
        <v>332</v>
      </c>
      <c r="E26" s="141" t="e">
        <f>SUM(F24:J24)</f>
        <v>#REF!</v>
      </c>
      <c r="F26" s="142" t="str">
        <f>$E$11</f>
        <v>kg N</v>
      </c>
      <c r="O26" s="123" t="s">
        <v>332</v>
      </c>
      <c r="P26" s="141" t="e">
        <f>SUM(Q24:U24)</f>
        <v>#REF!</v>
      </c>
      <c r="Q26" s="14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60" t="str" cm="1">
        <f t="array" ref="D38:E43">MMS_Dairy_Soil_AtmosphericDeposition_Equations.VEERG_4_3_1_10__1_AtmosphericDepositionEmissionsFromUrineAndDungOnPasture_Arguments()</f>
        <v>M_vol_m14</v>
      </c>
      <c r="E38" s="60" t="str">
        <v>mass of nitrogen volatilised from urine and faeces deposited on pasture (kg N)</v>
      </c>
      <c r="F38" s="61"/>
      <c r="G38" s="62"/>
      <c r="H38" s="60" t="e">
        <f>$E$26</f>
        <v>#REF!</v>
      </c>
      <c r="O38" s="60" t="str">
        <f>D38</f>
        <v>M_vol_m14</v>
      </c>
      <c r="P38" s="60" t="str">
        <f>E38</f>
        <v>mass of nitrogen volatilised from urine and faeces deposited on pasture (kg N)</v>
      </c>
      <c r="Q38" s="61"/>
      <c r="R38" s="62"/>
      <c r="S38" s="60" t="e">
        <f>$P$26</f>
        <v>#REF!</v>
      </c>
    </row>
    <row r="39" spans="4:19" ht="20.100000000000001" customHeight="1" x14ac:dyDescent="0.25">
      <c r="D39" s="60" t="str">
        <v>EF_N2O</v>
      </c>
      <c r="E39" s="60" t="str">
        <v>nitrous oxide emission factor for atmospheric deposition (kg N2O-N/kg N)</v>
      </c>
      <c r="F39" s="61"/>
      <c r="G39" s="62"/>
      <c r="H39" s="60">
        <f>Common_InputFunctions.Utility_LookupN2OEFFromProdIrrigationRainfall(H41,H42,H43,Table_SourceData_Common_EFN2O[Production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60" t="str">
        <v>C_N2O</v>
      </c>
      <c r="E40" s="60" t="str">
        <v>factor to convert elemental mass of N2O to molecular mass</v>
      </c>
      <c r="F40" s="61"/>
      <c r="G40" s="62"/>
      <c r="H40" s="60">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60" t="str">
        <v>j</v>
      </c>
      <c r="E41" s="61" t="str">
        <v>production system</v>
      </c>
      <c r="F41" s="105"/>
      <c r="G41" s="62"/>
      <c r="H41" s="60" t="str">
        <f>'Input - Pasture Beef'!$E$273</f>
        <v>Pasture</v>
      </c>
      <c r="O41" s="60"/>
      <c r="P41" s="61"/>
      <c r="Q41" s="105"/>
      <c r="R41" s="62"/>
      <c r="S41" s="60"/>
    </row>
    <row r="42" spans="4:19" ht="20.100000000000001" customHeight="1" x14ac:dyDescent="0.25">
      <c r="D42" s="60" t="str">
        <v>ir</v>
      </c>
      <c r="E42" s="61" t="str">
        <v>irrigation method</v>
      </c>
      <c r="F42" s="105"/>
      <c r="G42" s="62"/>
      <c r="H42" s="60" t="str">
        <f>'Input - Pasture Beef'!$E$274</f>
        <v>Sprinkler irrigation</v>
      </c>
      <c r="O42" s="60"/>
      <c r="P42" s="61"/>
      <c r="Q42" s="105"/>
      <c r="R42" s="62"/>
      <c r="S42" s="60"/>
    </row>
    <row r="43" spans="4:19" ht="20.100000000000001" customHeight="1" x14ac:dyDescent="0.25">
      <c r="D43" s="60" t="str">
        <v>r</v>
      </c>
      <c r="E43" s="61" t="str">
        <v>rainfall region</v>
      </c>
      <c r="F43" s="105"/>
      <c r="G43" s="62"/>
      <c r="H43" s="60" t="str">
        <f>'Input - Site'!$E$30</f>
        <v>High rainfall</v>
      </c>
      <c r="O43" s="60"/>
      <c r="P43" s="61"/>
      <c r="Q43" s="105"/>
      <c r="R43" s="62"/>
      <c r="S43" s="60"/>
    </row>
    <row r="44" spans="4:19" ht="20.100000000000001" customHeight="1" x14ac:dyDescent="0.25"/>
    <row r="45" spans="4:19" ht="20.100000000000001" customHeight="1" x14ac:dyDescent="0.25">
      <c r="D45" s="107" t="s">
        <v>151</v>
      </c>
      <c r="E45" s="108" t="e" cm="1">
        <f t="array" ref="E45">MMS_Dairy_Soil_AtmosphericDeposition_Equations.VEERG_4_3_1_10__1_AtmosphericDepositionEmissionsFromUrineAndDungOnPasture($H$38,$H$39,$H$40)</f>
        <v>#REF!</v>
      </c>
      <c r="F45" s="109" t="str">
        <f>$E$36</f>
        <v>t N2O</v>
      </c>
      <c r="O45" s="107" t="s">
        <v>151</v>
      </c>
      <c r="P45" s="108" t="e" cm="1">
        <f t="array" ref="P45">MMS_Dairy_Soil_AtmosphericDeposition_Equations.VEERG_4_3_1_10__1_AtmosphericDepositionEmissionsFromUrineAndDungOnPasture($S$38,$H$39,$H$40)</f>
        <v>#REF!</v>
      </c>
      <c r="Q45" s="109"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0"/>
      <c r="G47" s="55" t="e">
        <f>E45</f>
        <v>#REF!</v>
      </c>
      <c r="O47" s="60" t="str" cm="1">
        <f t="array" ref="O47:P48">Common_Equations.Common_ConvertN2OToCO2e_Arguments()</f>
        <v>EN2O</v>
      </c>
      <c r="P47" s="61" t="str">
        <v>Nitrous oxide emissions (t N2O)</v>
      </c>
      <c r="Q47" s="110"/>
      <c r="R47" s="55" t="e">
        <f>P45</f>
        <v>#REF!</v>
      </c>
    </row>
    <row r="48" spans="4:19" ht="20.100000000000001" customHeight="1" x14ac:dyDescent="0.25">
      <c r="D48" s="60" t="str">
        <v>GWPN2O</v>
      </c>
      <c r="E48" s="61" t="str">
        <v>Global warming potential for nitrous oxide (t CO2-e / t N2O)</v>
      </c>
      <c r="F48" s="110"/>
      <c r="G48" s="55">
        <f>Common_InputFunctions.Utility_LookupValueInTableNumber("N2O",Table_GWPData[Gas],Table_GWPData[CO2-e factor])</f>
        <v>265</v>
      </c>
      <c r="O48" s="60" t="str">
        <v>GWPN2O</v>
      </c>
      <c r="P48" s="61" t="str">
        <v>Global warming potential for nitrous oxide (t CO2-e / t N2O)</v>
      </c>
      <c r="Q48" s="110"/>
      <c r="R48" s="55">
        <f>Common_InputFunctions.Utility_LookupValueInTableNumber("N2O",Table_GWPData[Gas],Table_GWPData[CO2-e factor])</f>
        <v>265</v>
      </c>
    </row>
    <row r="49" spans="4:17" ht="20.100000000000001" customHeight="1" x14ac:dyDescent="0.25"/>
    <row r="50" spans="4:17" ht="20.100000000000001" customHeight="1" x14ac:dyDescent="0.25">
      <c r="D50" s="48" t="s">
        <v>105</v>
      </c>
      <c r="E50" s="48" t="e" cm="1">
        <f t="array" ref="E50">Common_Equations.Common_ConvertN2OToCO2e(G47,G48)</f>
        <v>#REF!</v>
      </c>
      <c r="F50" s="111" t="str" cm="1">
        <f t="array" ref="F50">Common_Equations.Common_ConvertN2OToCO2e_Unit()</f>
        <v>t CO2e</v>
      </c>
      <c r="O50" s="48" t="s">
        <v>105</v>
      </c>
      <c r="P50" s="48" t="e" cm="1">
        <f t="array" ref="P50">Common_Equations.Common_ConvertN2OToCO2e(R47,R48)</f>
        <v>#REF!</v>
      </c>
      <c r="Q50" s="111"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324</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20" t="s">
        <v>3</v>
      </c>
      <c r="D6" s="5" t="str" cm="1">
        <f t="array" ref="D6">MMS_Dairy_Soil_LeachingAndRunoff.VEERG_4_3_1_12__2_MassOfNitrogenLostToLeachingAndRunoffOnPasture_Source()</f>
        <v>VEERG 2026: 4.3.1.12, Equation (2)</v>
      </c>
    </row>
    <row r="7" spans="1:23" ht="20.100000000000001" customHeight="1" x14ac:dyDescent="0.25">
      <c r="A7" s="17" t="str">
        <f>HYPERLINK("#'Input - Site'!A1", "Site")</f>
        <v>Site</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Dairy'!A1", "Dairy")</f>
        <v>Dairy</v>
      </c>
      <c r="E8" s="1" t="s">
        <v>18</v>
      </c>
    </row>
    <row r="9" spans="1:23" ht="20.100000000000001" customHeight="1" x14ac:dyDescent="0.25">
      <c r="A9" s="17"/>
    </row>
    <row r="10" spans="1:23" ht="20.100000000000001" customHeight="1" x14ac:dyDescent="0.25">
      <c r="A10" s="19" t="s">
        <v>77</v>
      </c>
      <c r="D10" s="56" t="s">
        <v>30</v>
      </c>
      <c r="E10" s="1" t="str" cm="1">
        <f t="array" ref="E10">MMS_Dairy_Soil_LeachingAndRunoff.VEERG_4_3_1_12__2_MassOfNitrogenLostToLeachingAndRunoffOnPasture_Variable()</f>
        <v>M_leach_m14</v>
      </c>
    </row>
    <row r="11" spans="1:23" ht="20.100000000000001" customHeight="1" x14ac:dyDescent="0.25">
      <c r="A11" s="17" t="str">
        <f>HYPERLINK("#'4.3.1.1-2 Methane'!A1", "4.3.1.1-2 Methane")</f>
        <v>4.3.1.1-2 Methane</v>
      </c>
      <c r="D11" s="56" t="s">
        <v>20</v>
      </c>
      <c r="E11" s="57" t="str" cm="1">
        <f t="array" ref="E11">MMS_Dairy_Soil_LeachingAndRunoff.VEERG_4_3_1_12__2_MassOfNitrogenLostToLeachingAndRunoffOnPasture_Unit()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MMS_Dairy_Soil_LeachingAndRunoff.VEERG_4_3_1_12__2_MassOfNitrogenLostToLeachingAndRunoffOnPasture_Arguments()</f>
        <v>MN_jm14</v>
      </c>
      <c r="E13" s="61" t="str">
        <v>mass of nitrogen excreted on pasture, range and paddock for each dairy class (kg N)</v>
      </c>
      <c r="F13" s="105"/>
      <c r="G13" s="62"/>
      <c r="H13" s="60" t="str">
        <f>"See " &amp; D20</f>
        <v>See M1_Table_MN_j_m-14</v>
      </c>
    </row>
    <row r="14" spans="1:23" ht="20.100000000000001" customHeight="1" x14ac:dyDescent="0.25">
      <c r="A14" s="17" t="str">
        <f>HYPERLINK("#'4.3.1.6-7 Leaching and runoff'!A1", "4.3.1.6-7 Leaching and runoff")</f>
        <v>4.3.1.6-7 Leaching and runoff</v>
      </c>
      <c r="D14" s="60" t="str">
        <v>FracWet</v>
      </c>
      <c r="E14" s="61" t="str">
        <v>fraction of N available for leaching and runoff</v>
      </c>
      <c r="F14" s="105"/>
      <c r="G14" s="62"/>
      <c r="H14" s="60" cm="1">
        <f t="array" ref="H14">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v>
      </c>
      <c r="E15" s="61" t="str">
        <v>fraction of N lost through leaching and runoff</v>
      </c>
      <c r="F15" s="105"/>
      <c r="G15" s="62"/>
      <c r="H15" s="60" t="str">
        <f>'Constants - Pature Beef'!$D$237</f>
        <v>VIC</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Pasture Beef'!$E$273</f>
        <v>Pasture</v>
      </c>
    </row>
    <row r="18" spans="1:22" ht="20.100000000000001" customHeight="1" x14ac:dyDescent="0.25">
      <c r="A18" s="22" t="str">
        <f>HYPERLINK("#'4.3.1.12-13 Soil leach runoff'!A1", "4.3.1.12-13 Soil leach &amp; runoff")</f>
        <v>4.3.1.12-13 Soil leach &amp; runoff</v>
      </c>
      <c r="D18" s="60" t="str">
        <v>ir</v>
      </c>
      <c r="E18" s="61" t="str">
        <v>irrigation method</v>
      </c>
      <c r="F18" s="105"/>
      <c r="G18" s="62"/>
      <c r="H18" s="60" t="str">
        <f>'Input - Pasture Beef'!$E$274</f>
        <v>Sprinkler irrigation</v>
      </c>
    </row>
    <row r="19" spans="1:22" ht="20.100000000000001" customHeight="1" x14ac:dyDescent="0.25">
      <c r="A19" s="17"/>
    </row>
    <row r="20" spans="1:22" ht="20.100000000000001" customHeight="1" x14ac:dyDescent="0.25">
      <c r="A20" s="18" t="s">
        <v>4</v>
      </c>
      <c r="D20" s="104" t="s">
        <v>310</v>
      </c>
      <c r="M20" s="59"/>
      <c r="O20" s="104" t="s">
        <v>312</v>
      </c>
    </row>
    <row r="21" spans="1:22" ht="20.100000000000001" customHeight="1" x14ac:dyDescent="0.25">
      <c r="A21" s="17" t="str">
        <f>HYPERLINK("#'Constants - Dairy'!A1", "Constants - Dairy")</f>
        <v>Constants - Dairy</v>
      </c>
      <c r="D21" s="103" t="s">
        <v>311</v>
      </c>
      <c r="M21" s="59"/>
      <c r="O21" s="103" t="s">
        <v>313</v>
      </c>
    </row>
    <row r="22" spans="1:22" ht="20.100000000000001" customHeight="1" x14ac:dyDescent="0.25">
      <c r="A22" s="17" t="str">
        <f>HYPERLINK("#'Constants - Livestock'!A1", "Constants - Livestock")</f>
        <v>Constants - Livestock</v>
      </c>
      <c r="D22" s="54" t="s">
        <v>144</v>
      </c>
      <c r="E22" s="54" t="s">
        <v>68</v>
      </c>
      <c r="F22" s="54" t="s">
        <v>173</v>
      </c>
      <c r="G22" s="54" t="s">
        <v>175</v>
      </c>
      <c r="H22" s="54" t="s">
        <v>176</v>
      </c>
      <c r="I22" s="54" t="s">
        <v>177</v>
      </c>
      <c r="J22" s="54" t="s">
        <v>178</v>
      </c>
      <c r="M22" s="59"/>
      <c r="O22" s="54" t="s">
        <v>144</v>
      </c>
      <c r="P22" s="54" t="s">
        <v>68</v>
      </c>
      <c r="Q22" s="54" t="s">
        <v>173</v>
      </c>
      <c r="R22" s="54" t="s">
        <v>175</v>
      </c>
      <c r="S22" s="54" t="s">
        <v>176</v>
      </c>
      <c r="T22" s="54" t="s">
        <v>177</v>
      </c>
      <c r="U22" s="54" t="s">
        <v>178</v>
      </c>
    </row>
    <row r="23" spans="1:22" ht="20.100000000000001" customHeight="1" x14ac:dyDescent="0.25">
      <c r="A23" s="17" t="str">
        <f>HYPERLINK("#'Constants - Common'!A1", "Constants - Common")</f>
        <v>Constants - Common</v>
      </c>
      <c r="D23" s="136" t="str">
        <f>'Input - Pasture Beef'!$D$143</f>
        <v>Pasture</v>
      </c>
      <c r="E23" s="136" t="str">
        <f>'Constants - Livestock'!$E$27</f>
        <v>Pasture range and paddock</v>
      </c>
      <c r="F23" s="55" t="e">
        <f>'4.3.1.9 Soil direct N2O'!$F$31</f>
        <v>#REF!</v>
      </c>
      <c r="G23" s="55" t="e">
        <f>'4.3.1.9 Soil direct N2O'!$G$31</f>
        <v>#REF!</v>
      </c>
      <c r="H23" s="55" t="e">
        <f>'4.3.1.9 Soil direct N2O'!$H$31</f>
        <v>#VALUE!</v>
      </c>
      <c r="I23" s="55" t="e">
        <f>'4.3.1.9 Soil direct N2O'!$I$31</f>
        <v>#VALUE!</v>
      </c>
      <c r="J23" s="55" t="e">
        <f>'4.3.1.9 Soil direct N2O'!$J$31</f>
        <v>#VALUE!</v>
      </c>
      <c r="K23" s="2" t="str">
        <f>$E$11</f>
        <v>kg N</v>
      </c>
      <c r="M23" s="59"/>
      <c r="O23" s="136" t="str">
        <f>'Input - Pasture Beef'!$D$143</f>
        <v>Pasture</v>
      </c>
      <c r="P23" s="136" t="str">
        <f>'Constants - Livestock'!$E$27</f>
        <v>Pasture range and paddock</v>
      </c>
      <c r="Q23" s="55" t="e">
        <f>'4.3.1.9 Soil direct N2O'!$Q$31</f>
        <v>#REF!</v>
      </c>
      <c r="R23" s="55" t="e">
        <f>'4.3.1.9 Soil direct N2O'!$R$31</f>
        <v>#REF!</v>
      </c>
      <c r="S23" s="55" t="e">
        <f>'4.3.1.9 Soil direct N2O'!$S$31</f>
        <v>#VALUE!</v>
      </c>
      <c r="T23" s="55" t="e">
        <f>'4.3.1.9 Soil direct N2O'!$T$31</f>
        <v>#VALUE!</v>
      </c>
      <c r="U23" s="55" t="e">
        <f>'4.3.1.9 Soil direct N2O'!$U$31</f>
        <v>#VALUE!</v>
      </c>
      <c r="V23" s="2" t="str">
        <f>$E$11</f>
        <v>kg N</v>
      </c>
    </row>
    <row r="24" spans="1:22" ht="20.100000000000001" customHeight="1" x14ac:dyDescent="0.25">
      <c r="A24" s="17" t="str">
        <f>HYPERLINK("#'Acknowledgements'!A1", "Acknowledgements")</f>
        <v>Acknowledgements</v>
      </c>
    </row>
    <row r="25" spans="1:22" ht="20.100000000000001" customHeight="1" x14ac:dyDescent="0.25">
      <c r="D25" s="104" t="s">
        <v>326</v>
      </c>
      <c r="O25" s="104" t="s">
        <v>328</v>
      </c>
    </row>
    <row r="26" spans="1:22" ht="20.100000000000001" customHeight="1" x14ac:dyDescent="0.25">
      <c r="D26" s="103" t="s">
        <v>327</v>
      </c>
      <c r="O26" s="103" t="s">
        <v>329</v>
      </c>
    </row>
    <row r="27" spans="1:22" ht="20.100000000000001" customHeight="1" x14ac:dyDescent="0.25">
      <c r="D27" s="54" t="s">
        <v>144</v>
      </c>
      <c r="E27" s="54" t="s">
        <v>68</v>
      </c>
      <c r="F27" s="54" t="s">
        <v>173</v>
      </c>
      <c r="G27" s="54" t="s">
        <v>175</v>
      </c>
      <c r="H27" s="54" t="s">
        <v>176</v>
      </c>
      <c r="I27" s="54" t="s">
        <v>177</v>
      </c>
      <c r="J27" s="54" t="s">
        <v>178</v>
      </c>
      <c r="O27" s="54" t="s">
        <v>144</v>
      </c>
      <c r="P27" s="54" t="s">
        <v>68</v>
      </c>
      <c r="Q27" s="54" t="s">
        <v>173</v>
      </c>
      <c r="R27" s="54" t="s">
        <v>175</v>
      </c>
      <c r="S27" s="54" t="s">
        <v>176</v>
      </c>
      <c r="T27" s="54" t="s">
        <v>177</v>
      </c>
      <c r="U27" s="54" t="s">
        <v>178</v>
      </c>
    </row>
    <row r="28" spans="1:22" ht="20.100000000000001" customHeight="1" x14ac:dyDescent="0.25">
      <c r="D28" s="136" t="str">
        <f>'Input - Pasture Beef'!$D$143</f>
        <v>Pasture</v>
      </c>
      <c r="E28" s="136" t="str">
        <f>'Constants - Livestock'!$E$27</f>
        <v>Pasture range and paddock</v>
      </c>
      <c r="F28" s="55" t="e" cm="1">
        <f t="array" ref="F28">MMS_Dairy_Soil_LeachingAndRunoff.VEERG_4_3_1_12__2_MassOfNitrogenLostToLeachingAndRunoffOnPasture(F23,$H$14,$H$15)</f>
        <v>#REF!</v>
      </c>
      <c r="G28" s="55" t="e" cm="1">
        <f t="array" ref="G28">MMS_Dairy_Soil_LeachingAndRunoff.VEERG_4_3_1_12__2_MassOfNitrogenLostToLeachingAndRunoffOnPasture(G23,$H$14,$H$15)</f>
        <v>#REF!</v>
      </c>
      <c r="H28" s="55" t="e" cm="1">
        <f t="array" ref="H28">MMS_Dairy_Soil_LeachingAndRunoff.VEERG_4_3_1_12__2_MassOfNitrogenLostToLeachingAndRunoffOnPasture(H23,$H$14,$H$15)</f>
        <v>#VALUE!</v>
      </c>
      <c r="I28" s="55" t="e" cm="1">
        <f t="array" ref="I28">MMS_Dairy_Soil_LeachingAndRunoff.VEERG_4_3_1_12__2_MassOfNitrogenLostToLeachingAndRunoffOnPasture(I23,$H$14,$H$15)</f>
        <v>#VALUE!</v>
      </c>
      <c r="J28" s="55" t="e" cm="1">
        <f t="array" ref="J28">MMS_Dairy_Soil_LeachingAndRunoff.VEERG_4_3_1_12__2_MassOfNitrogenLostToLeachingAndRunoffOnPasture(J23,$H$14,$H$15)</f>
        <v>#VALUE!</v>
      </c>
      <c r="K28" s="2" t="str">
        <f>$E$11</f>
        <v>kg N</v>
      </c>
      <c r="O28" s="136" t="str">
        <f>'Input - Pasture Beef'!$D$143</f>
        <v>Pasture</v>
      </c>
      <c r="P28" s="136" t="str">
        <f>'Constants - Livestock'!$E$27</f>
        <v>Pasture range and paddock</v>
      </c>
      <c r="Q28" s="55" t="e" cm="1">
        <f t="array" ref="Q28">MMS_Dairy_Soil_LeachingAndRunoff.VEERG_4_3_1_12__2_MassOfNitrogenLostToLeachingAndRunoffOnPasture(Q23,$H$14,$H$15)</f>
        <v>#REF!</v>
      </c>
      <c r="R28" s="55" t="e" cm="1">
        <f t="array" ref="R28">MMS_Dairy_Soil_LeachingAndRunoff.VEERG_4_3_1_12__2_MassOfNitrogenLostToLeachingAndRunoffOnPasture(R23,$H$14,$H$15)</f>
        <v>#REF!</v>
      </c>
      <c r="S28" s="55" t="e" cm="1">
        <f t="array" ref="S28">MMS_Dairy_Soil_LeachingAndRunoff.VEERG_4_3_1_12__2_MassOfNitrogenLostToLeachingAndRunoffOnPasture(S23,$H$14,$H$15)</f>
        <v>#VALUE!</v>
      </c>
      <c r="T28" s="55" t="e" cm="1">
        <f t="array" ref="T28">MMS_Dairy_Soil_LeachingAndRunoff.VEERG_4_3_1_12__2_MassOfNitrogenLostToLeachingAndRunoffOnPasture(T23,$H$14,$H$15)</f>
        <v>#VALUE!</v>
      </c>
      <c r="U28" s="55" t="e" cm="1">
        <f t="array" ref="U28">MMS_Dairy_Soil_LeachingAndRunoff.VEERG_4_3_1_12__2_MassOfNitrogenLostToLeachingAndRunoffOnPasture(U23,$H$14,$H$15)</f>
        <v>#VALUE!</v>
      </c>
      <c r="V28" s="2" t="str">
        <f>$E$11</f>
        <v>kg N</v>
      </c>
    </row>
    <row r="29" spans="1:22" ht="20.100000000000001" customHeight="1" x14ac:dyDescent="0.25"/>
    <row r="30" spans="1:22" ht="20.100000000000001" customHeight="1" x14ac:dyDescent="0.25">
      <c r="D30" s="123" t="s">
        <v>331</v>
      </c>
      <c r="E30" s="141" t="e">
        <f>SUM(F28:J28)</f>
        <v>#REF!</v>
      </c>
      <c r="F30" s="142" t="str">
        <f>$E$11</f>
        <v>kg N</v>
      </c>
      <c r="O30" s="123" t="s">
        <v>331</v>
      </c>
      <c r="P30" s="141" t="e">
        <f>SUM(Q28:U28)</f>
        <v>#REF!</v>
      </c>
      <c r="Q30" s="14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14" t="str" cm="1">
        <f t="array" ref="D43:E45">MMS_Dairy_Soil_LeachingAndRunoff.VEERG_4_3_1_12__1_LeachingAndRunoffEmissionsFromUrineAndDungOnPasture_Arguments()</f>
        <v>M_leach_m14</v>
      </c>
      <c r="E43" s="116" t="str">
        <v>mass of nitrogen lost to leaching and runoff from urine and faeces deposited on pasture (kg N)</v>
      </c>
      <c r="F43" s="140"/>
      <c r="G43" s="115"/>
      <c r="H43" s="60" t="e">
        <f>$E$30</f>
        <v>#REF!</v>
      </c>
      <c r="O43" s="114" t="str">
        <f>D43</f>
        <v>M_leach_m14</v>
      </c>
      <c r="P43" s="114" t="str">
        <f>E43</f>
        <v>mass of nitrogen lost to leaching and runoff from urine and faeces deposited on pasture (kg N)</v>
      </c>
      <c r="Q43" s="140"/>
      <c r="R43" s="115"/>
      <c r="S43" s="60" t="e">
        <f>$P$30</f>
        <v>#REF!</v>
      </c>
    </row>
    <row r="44" spans="3:23" ht="20.100000000000001" customHeight="1" x14ac:dyDescent="0.25">
      <c r="D44" s="114" t="str">
        <v>EF_leach</v>
      </c>
      <c r="E44" s="116" t="str">
        <v>nitrous oxide emission factor for leaching and runoff (kg N2O-N/kg N)</v>
      </c>
      <c r="F44" s="140"/>
      <c r="G44" s="115"/>
      <c r="H44" s="60" t="str">
        <f>'Constants - Pature Beef'!$D$230</f>
        <v>SA</v>
      </c>
      <c r="O44" s="114"/>
      <c r="P44" s="116"/>
      <c r="Q44" s="140"/>
      <c r="R44" s="115"/>
      <c r="S44" s="60"/>
    </row>
    <row r="45" spans="3:23" ht="20.100000000000001" customHeight="1" x14ac:dyDescent="0.25">
      <c r="D45" s="114" t="str">
        <v>C_N2O</v>
      </c>
      <c r="E45" s="116" t="str">
        <v>factor to convert elemental mass of N2O to molecular mass</v>
      </c>
      <c r="F45" s="140"/>
      <c r="G45" s="115"/>
      <c r="H45" s="60">
        <f>Common_InputFunctions.Utility_LookupValueInTableNumber("N2O",Table_GasToMolecularConversionFactor[Gas],Table_GasToMolecularConversionFactor[Conversion factor combined])</f>
        <v>1.5714285714285714</v>
      </c>
      <c r="O45" s="114"/>
      <c r="P45" s="116"/>
      <c r="Q45" s="140"/>
      <c r="R45" s="115"/>
      <c r="S45" s="60"/>
    </row>
    <row r="46" spans="3:23" ht="20.100000000000001" customHeight="1" x14ac:dyDescent="0.25"/>
    <row r="47" spans="3:23" ht="20.100000000000001" customHeight="1" x14ac:dyDescent="0.25">
      <c r="D47" s="107" t="s">
        <v>330</v>
      </c>
      <c r="E47" s="108" t="e" cm="1">
        <f t="array" ref="E47">MMS_Dairy_Soil_LeachingAndRunoff.VEERG_4_3_1_12__1_LeachingAndRunoffEmissionsFromUrineAndDungOnPasture($H$43,$H$44,$H$45)</f>
        <v>#REF!</v>
      </c>
      <c r="F47" s="109" t="str">
        <f>$E$41</f>
        <v>t N2O</v>
      </c>
      <c r="O47" s="107" t="s">
        <v>330</v>
      </c>
      <c r="P47" s="108" t="e" cm="1">
        <f t="array" ref="P47">MMS_Dairy_Soil_LeachingAndRunoff.VEERG_4_3_1_12__1_LeachingAndRunoffEmissionsFromUrineAndDungOnPasture($S$43,$H$44,$H$45)</f>
        <v>#REF!</v>
      </c>
      <c r="Q47" s="109" t="str">
        <f>$E$41</f>
        <v>t N2O</v>
      </c>
    </row>
    <row r="48" spans="3:23" ht="20.100000000000001" customHeight="1" x14ac:dyDescent="0.25"/>
    <row r="49" spans="4:18" ht="20.100000000000001" customHeight="1" x14ac:dyDescent="0.25">
      <c r="D49" s="60" t="str" cm="1">
        <f t="array" ref="D49:E50">Common_Equations.Common_ConvertN2OToCO2e_Arguments()</f>
        <v>EN2O</v>
      </c>
      <c r="E49" s="61" t="str">
        <v>Nitrous oxide emissions (t N2O)</v>
      </c>
      <c r="F49" s="110"/>
      <c r="G49" s="55" t="e">
        <f>E47</f>
        <v>#REF!</v>
      </c>
      <c r="O49" s="60" t="str" cm="1">
        <f t="array" ref="O49:P50">Common_Equations.Common_ConvertN2OToCO2e_Arguments()</f>
        <v>EN2O</v>
      </c>
      <c r="P49" s="61" t="str">
        <v>Nitrous oxide emissions (t N2O)</v>
      </c>
      <c r="Q49" s="110"/>
      <c r="R49" s="55" t="e">
        <f>P47</f>
        <v>#REF!</v>
      </c>
    </row>
    <row r="50" spans="4:18" ht="20.100000000000001" customHeight="1" x14ac:dyDescent="0.25">
      <c r="D50" s="60" t="str">
        <v>GWPN2O</v>
      </c>
      <c r="E50" s="61" t="str">
        <v>Global warming potential for nitrous oxide (t CO2-e / t N2O)</v>
      </c>
      <c r="F50" s="110"/>
      <c r="G50" s="55">
        <f>Common_InputFunctions.Utility_LookupValueInTableNumber("N2O",Table_GWPData[Gas],Table_GWPData[CO2-e factor])</f>
        <v>265</v>
      </c>
      <c r="O50" s="60" t="str">
        <v>GWPN2O</v>
      </c>
      <c r="P50" s="61" t="str">
        <v>Global warming potential for nitrous oxide (t CO2-e / t N2O)</v>
      </c>
      <c r="Q50" s="110"/>
      <c r="R50" s="55">
        <f>Common_InputFunctions.Utility_LookupValueInTableNumber("N2O",Table_GWPData[Gas],Table_GWPData[CO2-e factor])</f>
        <v>265</v>
      </c>
    </row>
    <row r="51" spans="4:18" ht="20.100000000000001" customHeight="1" x14ac:dyDescent="0.25"/>
    <row r="52" spans="4:18" ht="20.100000000000001" customHeight="1" x14ac:dyDescent="0.25">
      <c r="D52" s="48" t="s">
        <v>105</v>
      </c>
      <c r="E52" s="48" t="e" cm="1">
        <f t="array" ref="E52">Common_Equations.Common_ConvertN2OToCO2e(G49,G50)</f>
        <v>#REF!</v>
      </c>
      <c r="F52" s="111" t="str" cm="1">
        <f t="array" ref="F52">Common_Equations.Common_ConvertN2OToCO2e_Unit()</f>
        <v>t CO2e</v>
      </c>
      <c r="O52" s="48" t="s">
        <v>105</v>
      </c>
      <c r="P52" s="48" t="e" cm="1">
        <f t="array" ref="P52">Common_Equations.Common_ConvertN2OToCO2e(R49,R50)</f>
        <v>#REF!</v>
      </c>
      <c r="Q52" s="111"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316"/>
  <sheetViews>
    <sheetView showGridLines="0" topLeftCell="A239" zoomScale="85" zoomScaleNormal="85" workbookViewId="0">
      <selection activeCell="H287" sqref="H287"/>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366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4"/>
    </row>
    <row r="5" spans="1:21" ht="20.100000000000001" customHeight="1" x14ac:dyDescent="0.25">
      <c r="A5" s="16"/>
      <c r="D5" s="133" t="s">
        <v>171</v>
      </c>
      <c r="E5" s="113"/>
      <c r="F5" s="113"/>
      <c r="G5" s="133" t="s">
        <v>172</v>
      </c>
      <c r="H5" s="113"/>
      <c r="J5" s="6" t="s">
        <v>145</v>
      </c>
      <c r="M5" s="1" t="s">
        <v>390</v>
      </c>
      <c r="O5" s="1" t="s">
        <v>391</v>
      </c>
      <c r="Q5" s="1" t="s">
        <v>392</v>
      </c>
      <c r="S5" s="1" t="s">
        <v>403</v>
      </c>
    </row>
    <row r="6" spans="1:21" ht="20.100000000000001" customHeight="1" x14ac:dyDescent="0.25">
      <c r="A6" s="20" t="s">
        <v>3</v>
      </c>
      <c r="M6" s="1"/>
    </row>
    <row r="7" spans="1:21" ht="20.100000000000001" customHeight="1" x14ac:dyDescent="0.25">
      <c r="A7" s="17" t="str">
        <f>HYPERLINK("#'Input - Site'!A1", "Site")</f>
        <v>Site</v>
      </c>
      <c r="D7" s="102" t="s">
        <v>68</v>
      </c>
      <c r="E7" s="39" t="s">
        <v>82</v>
      </c>
      <c r="G7" s="39" t="s">
        <v>144</v>
      </c>
      <c r="J7" s="39" t="s">
        <v>142</v>
      </c>
      <c r="M7" s="144" t="s">
        <v>367</v>
      </c>
      <c r="O7" s="130" t="s">
        <v>367</v>
      </c>
      <c r="Q7" s="130" t="s">
        <v>367</v>
      </c>
      <c r="S7" s="130" t="s">
        <v>367</v>
      </c>
    </row>
    <row r="8" spans="1:21" ht="20.100000000000001" customHeight="1" x14ac:dyDescent="0.25">
      <c r="A8" s="17" t="str">
        <f>HYPERLINK("#'Input - Dairy'!A1", "Dairy")</f>
        <v>Dairy</v>
      </c>
      <c r="D8" s="39" t="str">
        <f>'Constants - Livestock'!$E$10</f>
        <v>Anaerobic lagoon</v>
      </c>
      <c r="E8" s="39" t="str">
        <f>'Constants - Livestock'!$F$10</f>
        <v>Anaerobic lagoon (m=1)</v>
      </c>
      <c r="G8" s="39" t="str">
        <f>'Constants - Common'!$F$187</f>
        <v>Pasture</v>
      </c>
      <c r="J8" s="39" t="s">
        <v>146</v>
      </c>
      <c r="M8" s="130" t="s">
        <v>393</v>
      </c>
      <c r="O8" s="130" t="s">
        <v>395</v>
      </c>
      <c r="Q8" s="130" t="s">
        <v>398</v>
      </c>
      <c r="S8" s="130" t="s">
        <v>386</v>
      </c>
    </row>
    <row r="9" spans="1:21" ht="20.100000000000001" customHeight="1" x14ac:dyDescent="0.25">
      <c r="A9" s="17"/>
      <c r="D9" s="39" t="str">
        <f>'Constants - Livestock'!$E$13</f>
        <v>Sump and dispersal system</v>
      </c>
      <c r="E9" s="39" t="str">
        <f>'Constants - Livestock'!$F$13</f>
        <v>Sump and dispersal system (m=3a)</v>
      </c>
      <c r="G9" s="1" t="str">
        <f>'Constants - Common'!$F$188</f>
        <v>Crop</v>
      </c>
      <c r="J9" s="39" t="s">
        <v>147</v>
      </c>
      <c r="M9" s="130" t="s">
        <v>394</v>
      </c>
      <c r="O9" s="130" t="s">
        <v>396</v>
      </c>
      <c r="Q9" s="130" t="s">
        <v>399</v>
      </c>
    </row>
    <row r="10" spans="1:21" ht="20.100000000000001" customHeight="1" x14ac:dyDescent="0.25">
      <c r="A10" s="19" t="s">
        <v>77</v>
      </c>
      <c r="D10" s="39" t="str">
        <f>'Constants - Livestock'!$E$14</f>
        <v>Drains to paddock</v>
      </c>
      <c r="E10" s="39" t="str">
        <f>'Constants - Livestock'!$F$14</f>
        <v>Drains to paddock (m=3b)</v>
      </c>
      <c r="J10" s="1" t="s">
        <v>148</v>
      </c>
      <c r="M10" s="130" t="s">
        <v>389</v>
      </c>
      <c r="O10" s="130" t="s">
        <v>397</v>
      </c>
      <c r="Q10" s="130" t="s">
        <v>400</v>
      </c>
      <c r="S10" s="1" t="s">
        <v>404</v>
      </c>
    </row>
    <row r="11" spans="1:21" ht="20.100000000000001" customHeight="1" x14ac:dyDescent="0.25">
      <c r="A11" s="17" t="str">
        <f>HYPERLINK("#'4.3.1.1-2 Methane'!A1", "4.3.1.1-2 Methane")</f>
        <v>4.3.1.1-2 Methane</v>
      </c>
      <c r="D11" s="39" t="str">
        <f>'Constants - Livestock'!$E$15</f>
        <v>Solid storage</v>
      </c>
      <c r="E11" s="39" t="str">
        <f>'Constants - Livestock'!$F$15</f>
        <v>Solid storage (m=4)</v>
      </c>
      <c r="J11" s="1" t="s">
        <v>149</v>
      </c>
      <c r="M11" s="1"/>
      <c r="Q11" s="130" t="s">
        <v>401</v>
      </c>
    </row>
    <row r="12" spans="1:21" ht="20.100000000000001" customHeight="1" x14ac:dyDescent="0.25">
      <c r="A12" s="17" t="str">
        <f>HYPERLINK("#'4.3.1.3-4 Direct N20'!A1", "4.3.1.3-4 Direct N2O")</f>
        <v>4.3.1.3-4 Direct N2O</v>
      </c>
      <c r="J12" s="1" t="s">
        <v>150</v>
      </c>
      <c r="M12" s="1"/>
      <c r="S12" s="130" t="s">
        <v>367</v>
      </c>
    </row>
    <row r="13" spans="1:21" ht="20.100000000000001" customHeight="1" x14ac:dyDescent="0.25">
      <c r="A13" s="17" t="str">
        <f>HYPERLINK("#'4.3.1.5 Atmos Deposition'!A1", "4.3.1.5 Atmospheric deposition")</f>
        <v>4.3.1.5 Atmospheric deposition</v>
      </c>
      <c r="M13" s="1"/>
      <c r="S13" s="130" t="s">
        <v>386</v>
      </c>
    </row>
    <row r="14" spans="1:21" ht="20.100000000000001" customHeight="1" x14ac:dyDescent="0.25">
      <c r="A14" s="17" t="str">
        <f>HYPERLINK("#'4.3.1.6-7 Leaching and runoff'!A1", "4.3.1.6-7 Leaching and runoff")</f>
        <v>4.3.1.6-7 Leaching and runoff</v>
      </c>
      <c r="D14" s="6" t="str" cm="1">
        <f t="array" ref="D14">SourceData_PastureBeef.SourceData_PastureBeef_Liveweight_Title()</f>
        <v>Beef pasture cattle - Liveweight (kg) (Wjkl)</v>
      </c>
      <c r="M14" s="1"/>
    </row>
    <row r="15" spans="1:21" ht="20.100000000000001" customHeight="1" x14ac:dyDescent="0.25">
      <c r="A15" s="17" t="str">
        <f>HYPERLINK("#'4.3.1.8 Manure applied to soils'!A1", "4.3.1.8 Manure applied to soils")</f>
        <v>4.3.1.8 Manure applied to soils</v>
      </c>
      <c r="D15" s="5" t="str" cm="1">
        <f t="array" ref="D15">SourceData_PastureBeef.SourceData_PastureBeef_Liveweight_Source()</f>
        <v>VEERG 2026: Table A.1.2.1</v>
      </c>
      <c r="M15" s="1"/>
      <c r="S15" s="1" t="s">
        <v>405</v>
      </c>
    </row>
    <row r="16" spans="1:21" ht="20.100000000000001" customHeight="1" x14ac:dyDescent="0.25">
      <c r="A16" s="17" t="str">
        <f>HYPERLINK("#'4.3.1.9 Soil direct N2O'!A1", "4.3.1.9 Soil direct N2O")</f>
        <v>4.3.1.9 Soil direct N2O</v>
      </c>
      <c r="D16" s="1" t="str" cm="1">
        <f t="array" ref="D16">SourceData_PastureBeef.SourceData_PastureBeef_Liveweight_Variable()</f>
        <v>Wjkl</v>
      </c>
      <c r="M16" s="1"/>
    </row>
    <row r="17" spans="1:19" ht="20.100000000000001" customHeight="1" x14ac:dyDescent="0.25">
      <c r="A17" s="17" t="str">
        <f>HYPERLINK("#'4.3.1.10-11 Soil Atmos Dep'!A1", "4.3.1.10-11 Soil atm. deposition")</f>
        <v>4.3.1.10-11 Soil atm. deposition</v>
      </c>
      <c r="D17" s="57" t="str" cm="1">
        <f t="array" ref="D17">SourceData_PastureBeef.SourceData_PastureBeef_Liveweight_Unit()</f>
        <v>kg</v>
      </c>
      <c r="M17" s="1"/>
      <c r="S17" s="130" t="s">
        <v>367</v>
      </c>
    </row>
    <row r="18" spans="1:19" ht="20.100000000000001" customHeight="1" x14ac:dyDescent="0.25">
      <c r="A18" s="17" t="str">
        <f>HYPERLINK("#'4.3.1.12-13 Soil leach runoff'!A1", "4.3.1.12-13 Soil leach &amp; runoff")</f>
        <v>4.3.1.12-13 Soil leach &amp; runoff</v>
      </c>
      <c r="D18" s="130" t="s">
        <v>8</v>
      </c>
      <c r="E18" s="130" t="s">
        <v>367</v>
      </c>
      <c r="F18" s="130" t="s">
        <v>368</v>
      </c>
      <c r="G18" s="130" t="s">
        <v>369</v>
      </c>
      <c r="H18" s="130" t="s">
        <v>370</v>
      </c>
      <c r="I18" s="130" t="s">
        <v>371</v>
      </c>
      <c r="J18" s="130" t="s">
        <v>372</v>
      </c>
      <c r="K18" s="130" t="s">
        <v>373</v>
      </c>
      <c r="L18" s="130" t="s">
        <v>374</v>
      </c>
      <c r="M18" s="130" t="s">
        <v>375</v>
      </c>
      <c r="S18" s="130" t="s">
        <v>386</v>
      </c>
    </row>
    <row r="19" spans="1:19" ht="20.100000000000001" customHeight="1" x14ac:dyDescent="0.25">
      <c r="A19" s="17"/>
      <c r="D19" s="130" t="str" cm="1">
        <f t="array" ref="D19">Common_InputFunctions.Utility_DisplayArrayInTable(SourceData_PastureBeef.SourceData_PastureBeef_Liveweight_Data(), Table_SourceData_PastureBeef_Liveweight[[#Headers],[State]], 0)</f>
        <v>ACT/NSW</v>
      </c>
      <c r="E19" s="130" t="str" cm="1">
        <f t="array" ref="E19">Common_InputFunctions.Utility_DisplayArrayInTable(SourceData_PastureBeef.SourceData_PastureBeef_Liveweight_Data(), Table_SourceData_PastureBeef_Liveweight[[#Headers],[State]], 0)</f>
        <v>n/a</v>
      </c>
      <c r="F19" s="130" t="str" cm="1">
        <f t="array" ref="F19">Common_InputFunctions.Utility_DisplayArrayInTable(SourceData_PastureBeef.SourceData_PastureBeef_Liveweight_Data(), Table_SourceData_PastureBeef_Liveweight[[#Headers],[State]], 0)</f>
        <v>Spring</v>
      </c>
      <c r="G19" s="130" cm="1">
        <f t="array" ref="G19">Common_InputFunctions.Utility_DisplayArrayInTable(SourceData_PastureBeef.SourceData_PastureBeef_Liveweight_Data(), Table_SourceData_PastureBeef_Liveweight[[#Headers],[State]], 0)</f>
        <v>80</v>
      </c>
      <c r="H19" s="130" cm="1">
        <f t="array" ref="H19">Common_InputFunctions.Utility_DisplayArrayInTable(SourceData_PastureBeef.SourceData_PastureBeef_Liveweight_Data(), Table_SourceData_PastureBeef_Liveweight[[#Headers],[State]], 0)</f>
        <v>480</v>
      </c>
      <c r="I19" s="130" cm="1">
        <f t="array" ref="I19">Common_InputFunctions.Utility_DisplayArrayInTable(SourceData_PastureBeef.SourceData_PastureBeef_Liveweight_Data(), Table_SourceData_PastureBeef_Liveweight[[#Headers],[State]], 0)</f>
        <v>75</v>
      </c>
      <c r="J19" s="130" cm="1">
        <f t="array" ref="J19">Common_InputFunctions.Utility_DisplayArrayInTable(SourceData_PastureBeef.SourceData_PastureBeef_Liveweight_Data(), Table_SourceData_PastureBeef_Liveweight[[#Headers],[State]], 0)</f>
        <v>300</v>
      </c>
      <c r="K19" s="130" cm="1">
        <f t="array" ref="K19">Common_InputFunctions.Utility_DisplayArrayInTable(SourceData_PastureBeef.SourceData_PastureBeef_Liveweight_Data(), Table_SourceData_PastureBeef_Liveweight[[#Headers],[State]], 0)</f>
        <v>440</v>
      </c>
      <c r="L19" s="130" cm="1">
        <f t="array" ref="L19">Common_InputFunctions.Utility_DisplayArrayInTable(SourceData_PastureBeef.SourceData_PastureBeef_Liveweight_Data(), Table_SourceData_PastureBeef_Liveweight[[#Headers],[State]], 0)</f>
        <v>75</v>
      </c>
      <c r="M19" s="130" cm="1">
        <f t="array" ref="M19">Common_InputFunctions.Utility_DisplayArrayInTable(SourceData_PastureBeef.SourceData_PastureBeef_Liveweight_Data(), Table_SourceData_PastureBeef_Liveweight[[#Headers],[State]], 0)</f>
        <v>380</v>
      </c>
    </row>
    <row r="20" spans="1:19" ht="20.100000000000001" customHeight="1" x14ac:dyDescent="0.25">
      <c r="A20" s="18" t="s">
        <v>4</v>
      </c>
      <c r="D20" s="1" t="str" cm="1">
        <f t="array" ref="D20">Common_InputFunctions.Utility_DisplayArrayInTable(SourceData_PastureBeef.SourceData_PastureBeef_Liveweight_Data(), Table_SourceData_PastureBeef_Liveweight[[#Headers],[State]], 0)</f>
        <v>ACT/NSW</v>
      </c>
      <c r="E20" s="39" t="str" cm="1">
        <f t="array" ref="E20">Common_InputFunctions.Utility_DisplayArrayInTable(SourceData_PastureBeef.SourceData_PastureBeef_Liveweight_Data(), Table_SourceData_PastureBeef_Liveweight[[#Headers],[State]], 0)</f>
        <v>n/a</v>
      </c>
      <c r="F20" s="39" t="str" cm="1">
        <f t="array" ref="F20">Common_InputFunctions.Utility_DisplayArrayInTable(SourceData_PastureBeef.SourceData_PastureBeef_Liveweight_Data(), Table_SourceData_PastureBeef_Liveweight[[#Headers],[State]], 0)</f>
        <v>Summer</v>
      </c>
      <c r="G20" s="39" cm="1">
        <f t="array" ref="G20">Common_InputFunctions.Utility_DisplayArrayInTable(SourceData_PastureBeef.SourceData_PastureBeef_Liveweight_Data(), Table_SourceData_PastureBeef_Liveweight[[#Headers],[State]], 0)</f>
        <v>170</v>
      </c>
      <c r="H20" s="39" cm="1">
        <f t="array" ref="H20">Common_InputFunctions.Utility_DisplayArrayInTable(SourceData_PastureBeef.SourceData_PastureBeef_Liveweight_Data(), Table_SourceData_PastureBeef_Liveweight[[#Headers],[State]], 0)</f>
        <v>520</v>
      </c>
      <c r="I20" s="39" cm="1">
        <f t="array" ref="I20">Common_InputFunctions.Utility_DisplayArrayInTable(SourceData_PastureBeef.SourceData_PastureBeef_Liveweight_Data(), Table_SourceData_PastureBeef_Liveweight[[#Headers],[State]], 0)</f>
        <v>160</v>
      </c>
      <c r="J20" s="39" cm="1">
        <f t="array" ref="J20">Common_InputFunctions.Utility_DisplayArrayInTable(SourceData_PastureBeef.SourceData_PastureBeef_Liveweight_Data(), Table_SourceData_PastureBeef_Liveweight[[#Headers],[State]], 0)</f>
        <v>360</v>
      </c>
      <c r="K20" s="39" cm="1">
        <f t="array" ref="K20">Common_InputFunctions.Utility_DisplayArrayInTable(SourceData_PastureBeef.SourceData_PastureBeef_Liveweight_Data(), Table_SourceData_PastureBeef_Liveweight[[#Headers],[State]], 0)</f>
        <v>470</v>
      </c>
      <c r="L20" s="39" cm="1">
        <f t="array" ref="L20">Common_InputFunctions.Utility_DisplayArrayInTable(SourceData_PastureBeef.SourceData_PastureBeef_Liveweight_Data(), Table_SourceData_PastureBeef_Liveweight[[#Headers],[State]], 0)</f>
        <v>160</v>
      </c>
      <c r="M20" s="39" cm="1">
        <f t="array" ref="M20">Common_InputFunctions.Utility_DisplayArrayInTable(SourceData_PastureBeef.SourceData_PastureBeef_Liveweight_Data(), Table_SourceData_PastureBeef_Liveweight[[#Headers],[State]], 0)</f>
        <v>420</v>
      </c>
      <c r="S20" s="1" t="s">
        <v>406</v>
      </c>
    </row>
    <row r="21" spans="1:19" ht="20.100000000000001" customHeight="1" x14ac:dyDescent="0.25">
      <c r="A21" s="72" t="str">
        <f>HYPERLINK("#'Constants - Dairy'!A1", "Constants - Dairy")</f>
        <v>Constants - Dairy</v>
      </c>
      <c r="D21" s="1" t="str" cm="1">
        <f t="array" ref="D21">Common_InputFunctions.Utility_DisplayArrayInTable(SourceData_PastureBeef.SourceData_PastureBeef_Liveweight_Data(), Table_SourceData_PastureBeef_Liveweight[[#Headers],[State]], 0)</f>
        <v>ACT/NSW</v>
      </c>
      <c r="E21" s="39" t="str" cm="1">
        <f t="array" ref="E21">Common_InputFunctions.Utility_DisplayArrayInTable(SourceData_PastureBeef.SourceData_PastureBeef_Liveweight_Data(), Table_SourceData_PastureBeef_Liveweight[[#Headers],[State]], 0)</f>
        <v>n/a</v>
      </c>
      <c r="F21" s="39" t="str" cm="1">
        <f t="array" ref="F21">Common_InputFunctions.Utility_DisplayArrayInTable(SourceData_PastureBeef.SourceData_PastureBeef_Liveweight_Data(), Table_SourceData_PastureBeef_Liveweight[[#Headers],[State]], 0)</f>
        <v>Autumn</v>
      </c>
      <c r="G21" s="39" cm="1">
        <f t="array" ref="G21">Common_InputFunctions.Utility_DisplayArrayInTable(SourceData_PastureBeef.SourceData_PastureBeef_Liveweight_Data(), Table_SourceData_PastureBeef_Liveweight[[#Headers],[State]], 0)</f>
        <v>240</v>
      </c>
      <c r="H21" s="39" cm="1">
        <f t="array" ref="H21">Common_InputFunctions.Utility_DisplayArrayInTable(SourceData_PastureBeef.SourceData_PastureBeef_Liveweight_Data(), Table_SourceData_PastureBeef_Liveweight[[#Headers],[State]], 0)</f>
        <v>550</v>
      </c>
      <c r="I21" s="39" cm="1">
        <f t="array" ref="I21">Common_InputFunctions.Utility_DisplayArrayInTable(SourceData_PastureBeef.SourceData_PastureBeef_Liveweight_Data(), Table_SourceData_PastureBeef_Liveweight[[#Headers],[State]], 0)</f>
        <v>220</v>
      </c>
      <c r="J21" s="39" cm="1">
        <f t="array" ref="J21">Common_InputFunctions.Utility_DisplayArrayInTable(SourceData_PastureBeef.SourceData_PastureBeef_Liveweight_Data(), Table_SourceData_PastureBeef_Liveweight[[#Headers],[State]], 0)</f>
        <v>390</v>
      </c>
      <c r="K21" s="39" cm="1">
        <f t="array" ref="K21">Common_InputFunctions.Utility_DisplayArrayInTable(SourceData_PastureBeef.SourceData_PastureBeef_Liveweight_Data(), Table_SourceData_PastureBeef_Liveweight[[#Headers],[State]], 0)</f>
        <v>490</v>
      </c>
      <c r="L21" s="39" cm="1">
        <f t="array" ref="L21">Common_InputFunctions.Utility_DisplayArrayInTable(SourceData_PastureBeef.SourceData_PastureBeef_Liveweight_Data(), Table_SourceData_PastureBeef_Liveweight[[#Headers],[State]], 0)</f>
        <v>220</v>
      </c>
      <c r="M21" s="39" cm="1">
        <f t="array" ref="M21">Common_InputFunctions.Utility_DisplayArrayInTable(SourceData_PastureBeef.SourceData_PastureBeef_Liveweight_Data(), Table_SourceData_PastureBeef_Liveweight[[#Headers],[State]], 0)</f>
        <v>450</v>
      </c>
    </row>
    <row r="22" spans="1:19" ht="20.100000000000001" customHeight="1" x14ac:dyDescent="0.25">
      <c r="A22" s="17" t="str">
        <f>HYPERLINK("#'Constants - Livestock'!A1", "Constants - Livestock")</f>
        <v>Constants - Livestock</v>
      </c>
      <c r="D22" s="1" t="str" cm="1">
        <f t="array" ref="D22">Common_InputFunctions.Utility_DisplayArrayInTable(SourceData_PastureBeef.SourceData_PastureBeef_Liveweight_Data(), Table_SourceData_PastureBeef_Liveweight[[#Headers],[State]], 0)</f>
        <v>ACT/NSW</v>
      </c>
      <c r="E22" s="39" t="str" cm="1">
        <f t="array" ref="E22">Common_InputFunctions.Utility_DisplayArrayInTable(SourceData_PastureBeef.SourceData_PastureBeef_Liveweight_Data(), Table_SourceData_PastureBeef_Liveweight[[#Headers],[State]], 0)</f>
        <v>n/a</v>
      </c>
      <c r="F22" s="39" t="str" cm="1">
        <f t="array" ref="F22">Common_InputFunctions.Utility_DisplayArrayInTable(SourceData_PastureBeef.SourceData_PastureBeef_Liveweight_Data(), Table_SourceData_PastureBeef_Liveweight[[#Headers],[State]], 0)</f>
        <v>Winter</v>
      </c>
      <c r="G22" s="39" cm="1">
        <f t="array" ref="G22">Common_InputFunctions.Utility_DisplayArrayInTable(SourceData_PastureBeef.SourceData_PastureBeef_Liveweight_Data(), Table_SourceData_PastureBeef_Liveweight[[#Headers],[State]], 0)</f>
        <v>280</v>
      </c>
      <c r="H22" s="39" cm="1">
        <f t="array" ref="H22">Common_InputFunctions.Utility_DisplayArrayInTable(SourceData_PastureBeef.SourceData_PastureBeef_Liveweight_Data(), Table_SourceData_PastureBeef_Liveweight[[#Headers],[State]], 0)</f>
        <v>560</v>
      </c>
      <c r="I22" s="39" cm="1">
        <f t="array" ref="I22">Common_InputFunctions.Utility_DisplayArrayInTable(SourceData_PastureBeef.SourceData_PastureBeef_Liveweight_Data(), Table_SourceData_PastureBeef_Liveweight[[#Headers],[State]], 0)</f>
        <v>260</v>
      </c>
      <c r="J22" s="39" cm="1">
        <f t="array" ref="J22">Common_InputFunctions.Utility_DisplayArrayInTable(SourceData_PastureBeef.SourceData_PastureBeef_Liveweight_Data(), Table_SourceData_PastureBeef_Liveweight[[#Headers],[State]], 0)</f>
        <v>410</v>
      </c>
      <c r="K22" s="39" cm="1">
        <f t="array" ref="K22">Common_InputFunctions.Utility_DisplayArrayInTable(SourceData_PastureBeef.SourceData_PastureBeef_Liveweight_Data(), Table_SourceData_PastureBeef_Liveweight[[#Headers],[State]], 0)</f>
        <v>500</v>
      </c>
      <c r="L22" s="39" cm="1">
        <f t="array" ref="L22">Common_InputFunctions.Utility_DisplayArrayInTable(SourceData_PastureBeef.SourceData_PastureBeef_Liveweight_Data(), Table_SourceData_PastureBeef_Liveweight[[#Headers],[State]], 0)</f>
        <v>260</v>
      </c>
      <c r="M22" s="39" cm="1">
        <f t="array" ref="M22">Common_InputFunctions.Utility_DisplayArrayInTable(SourceData_PastureBeef.SourceData_PastureBeef_Liveweight_Data(), Table_SourceData_PastureBeef_Liveweight[[#Headers],[State]], 0)</f>
        <v>460</v>
      </c>
      <c r="S22" s="130" t="s">
        <v>367</v>
      </c>
    </row>
    <row r="23" spans="1:19" ht="20.100000000000001" customHeight="1" x14ac:dyDescent="0.25">
      <c r="A23" s="17" t="str">
        <f>HYPERLINK("#'Constants - Common'!A1", "Constants - Common")</f>
        <v>Constants - Common</v>
      </c>
      <c r="D23" s="1" t="str" cm="1">
        <f t="array" ref="D23">Common_InputFunctions.Utility_DisplayArrayInTable(SourceData_PastureBeef.SourceData_PastureBeef_Liveweight_Data(), Table_SourceData_PastureBeef_Liveweight[[#Headers],[State]], 0)</f>
        <v>South Australia</v>
      </c>
      <c r="E23" s="39" t="str" cm="1">
        <f t="array" ref="E23">Common_InputFunctions.Utility_DisplayArrayInTable(SourceData_PastureBeef.SourceData_PastureBeef_Liveweight_Data(), Table_SourceData_PastureBeef_Liveweight[[#Headers],[State]], 0)</f>
        <v>n/a</v>
      </c>
      <c r="F23" s="39" t="str" cm="1">
        <f t="array" ref="F23">Common_InputFunctions.Utility_DisplayArrayInTable(SourceData_PastureBeef.SourceData_PastureBeef_Liveweight_Data(), Table_SourceData_PastureBeef_Liveweight[[#Headers],[State]], 0)</f>
        <v>Spring</v>
      </c>
      <c r="G23" s="39" cm="1">
        <f t="array" ref="G23">Common_InputFunctions.Utility_DisplayArrayInTable(SourceData_PastureBeef.SourceData_PastureBeef_Liveweight_Data(), Table_SourceData_PastureBeef_Liveweight[[#Headers],[State]], 0)</f>
        <v>250</v>
      </c>
      <c r="H23" s="39" cm="1">
        <f t="array" ref="H23">Common_InputFunctions.Utility_DisplayArrayInTable(SourceData_PastureBeef.SourceData_PastureBeef_Liveweight_Data(), Table_SourceData_PastureBeef_Liveweight[[#Headers],[State]], 0)</f>
        <v>800</v>
      </c>
      <c r="I23" s="39" cm="1">
        <f t="array" ref="I23">Common_InputFunctions.Utility_DisplayArrayInTable(SourceData_PastureBeef.SourceData_PastureBeef_Liveweight_Data(), Table_SourceData_PastureBeef_Liveweight[[#Headers],[State]], 0)</f>
        <v>220</v>
      </c>
      <c r="J23" s="39" cm="1">
        <f t="array" ref="J23">Common_InputFunctions.Utility_DisplayArrayInTable(SourceData_PastureBeef.SourceData_PastureBeef_Liveweight_Data(), Table_SourceData_PastureBeef_Liveweight[[#Headers],[State]], 0)</f>
        <v>400</v>
      </c>
      <c r="K23" s="39" cm="1">
        <f t="array" ref="K23">Common_InputFunctions.Utility_DisplayArrayInTable(SourceData_PastureBeef.SourceData_PastureBeef_Liveweight_Data(), Table_SourceData_PastureBeef_Liveweight[[#Headers],[State]], 0)</f>
        <v>500</v>
      </c>
      <c r="L23" s="39" cm="1">
        <f t="array" ref="L23">Common_InputFunctions.Utility_DisplayArrayInTable(SourceData_PastureBeef.SourceData_PastureBeef_Liveweight_Data(), Table_SourceData_PastureBeef_Liveweight[[#Headers],[State]], 0)</f>
        <v>230</v>
      </c>
      <c r="M23" s="39" cm="1">
        <f t="array" ref="M23">Common_InputFunctions.Utility_DisplayArrayInTable(SourceData_PastureBeef.SourceData_PastureBeef_Liveweight_Data(), Table_SourceData_PastureBeef_Liveweight[[#Headers],[State]], 0)</f>
        <v>420</v>
      </c>
      <c r="S23" s="130" t="s">
        <v>386</v>
      </c>
    </row>
    <row r="24" spans="1:19" ht="20.100000000000001" customHeight="1" x14ac:dyDescent="0.25">
      <c r="A24" s="17" t="str">
        <f>HYPERLINK("#'Acknowledgements'!A1", "Acknowledgements")</f>
        <v>Acknowledgements</v>
      </c>
      <c r="D24" s="1" t="str" cm="1">
        <f t="array" ref="D24">Common_InputFunctions.Utility_DisplayArrayInTable(SourceData_PastureBeef.SourceData_PastureBeef_Liveweight_Data(), Table_SourceData_PastureBeef_Liveweight[[#Headers],[State]], 0)</f>
        <v>South Australia</v>
      </c>
      <c r="E24" s="39" t="str" cm="1">
        <f t="array" ref="E24">Common_InputFunctions.Utility_DisplayArrayInTable(SourceData_PastureBeef.SourceData_PastureBeef_Liveweight_Data(), Table_SourceData_PastureBeef_Liveweight[[#Headers],[State]], 0)</f>
        <v>n/a</v>
      </c>
      <c r="F24" s="39" t="str" cm="1">
        <f t="array" ref="F24">Common_InputFunctions.Utility_DisplayArrayInTable(SourceData_PastureBeef.SourceData_PastureBeef_Liveweight_Data(), Table_SourceData_PastureBeef_Liveweight[[#Headers],[State]], 0)</f>
        <v>Summer</v>
      </c>
      <c r="G24" s="39" cm="1">
        <f t="array" ref="G24">Common_InputFunctions.Utility_DisplayArrayInTable(SourceData_PastureBeef.SourceData_PastureBeef_Liveweight_Data(), Table_SourceData_PastureBeef_Liveweight[[#Headers],[State]], 0)</f>
        <v>320</v>
      </c>
      <c r="H24" s="39" cm="1">
        <f t="array" ref="H24">Common_InputFunctions.Utility_DisplayArrayInTable(SourceData_PastureBeef.SourceData_PastureBeef_Liveweight_Data(), Table_SourceData_PastureBeef_Liveweight[[#Headers],[State]], 0)</f>
        <v>800</v>
      </c>
      <c r="I24" s="39" cm="1">
        <f t="array" ref="I24">Common_InputFunctions.Utility_DisplayArrayInTable(SourceData_PastureBeef.SourceData_PastureBeef_Liveweight_Data(), Table_SourceData_PastureBeef_Liveweight[[#Headers],[State]], 0)</f>
        <v>280</v>
      </c>
      <c r="J24" s="39" cm="1">
        <f t="array" ref="J24">Common_InputFunctions.Utility_DisplayArrayInTable(SourceData_PastureBeef.SourceData_PastureBeef_Liveweight_Data(), Table_SourceData_PastureBeef_Liveweight[[#Headers],[State]], 0)</f>
        <v>420</v>
      </c>
      <c r="K24" s="39" cm="1">
        <f t="array" ref="K24">Common_InputFunctions.Utility_DisplayArrayInTable(SourceData_PastureBeef.SourceData_PastureBeef_Liveweight_Data(), Table_SourceData_PastureBeef_Liveweight[[#Headers],[State]], 0)</f>
        <v>500</v>
      </c>
      <c r="L24" s="39" cm="1">
        <f t="array" ref="L24">Common_InputFunctions.Utility_DisplayArrayInTable(SourceData_PastureBeef.SourceData_PastureBeef_Liveweight_Data(), Table_SourceData_PastureBeef_Liveweight[[#Headers],[State]], 0)</f>
        <v>290</v>
      </c>
      <c r="M24" s="39"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9" t="str" cm="1">
        <f t="array" ref="E25">Common_InputFunctions.Utility_DisplayArrayInTable(SourceData_PastureBeef.SourceData_PastureBeef_Liveweight_Data(), Table_SourceData_PastureBeef_Liveweight[[#Headers],[State]], 0)</f>
        <v>n/a</v>
      </c>
      <c r="F25" s="39" t="str" cm="1">
        <f t="array" ref="F25">Common_InputFunctions.Utility_DisplayArrayInTable(SourceData_PastureBeef.SourceData_PastureBeef_Liveweight_Data(), Table_SourceData_PastureBeef_Liveweight[[#Headers],[State]], 0)</f>
        <v>Autumn</v>
      </c>
      <c r="G25" s="39" cm="1">
        <f t="array" ref="G25">Common_InputFunctions.Utility_DisplayArrayInTable(SourceData_PastureBeef.SourceData_PastureBeef_Liveweight_Data(), Table_SourceData_PastureBeef_Liveweight[[#Headers],[State]], 0)</f>
        <v>80</v>
      </c>
      <c r="H25" s="39" cm="1">
        <f t="array" ref="H25">Common_InputFunctions.Utility_DisplayArrayInTable(SourceData_PastureBeef.SourceData_PastureBeef_Liveweight_Data(), Table_SourceData_PastureBeef_Liveweight[[#Headers],[State]], 0)</f>
        <v>700</v>
      </c>
      <c r="I25" s="39" cm="1">
        <f t="array" ref="I25">Common_InputFunctions.Utility_DisplayArrayInTable(SourceData_PastureBeef.SourceData_PastureBeef_Liveweight_Data(), Table_SourceData_PastureBeef_Liveweight[[#Headers],[State]], 0)</f>
        <v>70</v>
      </c>
      <c r="J25" s="39" cm="1">
        <f t="array" ref="J25">Common_InputFunctions.Utility_DisplayArrayInTable(SourceData_PastureBeef.SourceData_PastureBeef_Liveweight_Data(), Table_SourceData_PastureBeef_Liveweight[[#Headers],[State]], 0)</f>
        <v>300</v>
      </c>
      <c r="K25" s="39" cm="1">
        <f t="array" ref="K25">Common_InputFunctions.Utility_DisplayArrayInTable(SourceData_PastureBeef.SourceData_PastureBeef_Liveweight_Data(), Table_SourceData_PastureBeef_Liveweight[[#Headers],[State]], 0)</f>
        <v>450</v>
      </c>
      <c r="L25" s="39" cm="1">
        <f t="array" ref="L25">Common_InputFunctions.Utility_DisplayArrayInTable(SourceData_PastureBeef.SourceData_PastureBeef_Liveweight_Data(), Table_SourceData_PastureBeef_Liveweight[[#Headers],[State]], 0)</f>
        <v>75</v>
      </c>
      <c r="M25" s="39" cm="1">
        <f t="array" ref="M25">Common_InputFunctions.Utility_DisplayArrayInTable(SourceData_PastureBeef.SourceData_PastureBeef_Liveweight_Data(), Table_SourceData_PastureBeef_Liveweight[[#Headers],[State]], 0)</f>
        <v>400</v>
      </c>
      <c r="S25" s="1" t="s">
        <v>407</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9" t="str" cm="1">
        <f t="array" ref="E26">Common_InputFunctions.Utility_DisplayArrayInTable(SourceData_PastureBeef.SourceData_PastureBeef_Liveweight_Data(), Table_SourceData_PastureBeef_Liveweight[[#Headers],[State]], 0)</f>
        <v>n/a</v>
      </c>
      <c r="F26" s="39" t="str" cm="1">
        <f t="array" ref="F26">Common_InputFunctions.Utility_DisplayArrayInTable(SourceData_PastureBeef.SourceData_PastureBeef_Liveweight_Data(), Table_SourceData_PastureBeef_Liveweight[[#Headers],[State]], 0)</f>
        <v>Winter</v>
      </c>
      <c r="G26" s="39" cm="1">
        <f t="array" ref="G26">Common_InputFunctions.Utility_DisplayArrayInTable(SourceData_PastureBeef.SourceData_PastureBeef_Liveweight_Data(), Table_SourceData_PastureBeef_Liveweight[[#Headers],[State]], 0)</f>
        <v>160</v>
      </c>
      <c r="H26" s="39" cm="1">
        <f t="array" ref="H26">Common_InputFunctions.Utility_DisplayArrayInTable(SourceData_PastureBeef.SourceData_PastureBeef_Liveweight_Data(), Table_SourceData_PastureBeef_Liveweight[[#Headers],[State]], 0)</f>
        <v>700</v>
      </c>
      <c r="I26" s="39" cm="1">
        <f t="array" ref="I26">Common_InputFunctions.Utility_DisplayArrayInTable(SourceData_PastureBeef.SourceData_PastureBeef_Liveweight_Data(), Table_SourceData_PastureBeef_Liveweight[[#Headers],[State]], 0)</f>
        <v>140</v>
      </c>
      <c r="J26" s="39" cm="1">
        <f t="array" ref="J26">Common_InputFunctions.Utility_DisplayArrayInTable(SourceData_PastureBeef.SourceData_PastureBeef_Liveweight_Data(), Table_SourceData_PastureBeef_Liveweight[[#Headers],[State]], 0)</f>
        <v>350</v>
      </c>
      <c r="K26" s="39" cm="1">
        <f t="array" ref="K26">Common_InputFunctions.Utility_DisplayArrayInTable(SourceData_PastureBeef.SourceData_PastureBeef_Liveweight_Data(), Table_SourceData_PastureBeef_Liveweight[[#Headers],[State]], 0)</f>
        <v>450</v>
      </c>
      <c r="L26" s="39" cm="1">
        <f t="array" ref="L26">Common_InputFunctions.Utility_DisplayArrayInTable(SourceData_PastureBeef.SourceData_PastureBeef_Liveweight_Data(), Table_SourceData_PastureBeef_Liveweight[[#Headers],[State]], 0)</f>
        <v>150</v>
      </c>
      <c r="M26" s="39"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9" t="str" cm="1">
        <f t="array" ref="E27">Common_InputFunctions.Utility_DisplayArrayInTable(SourceData_PastureBeef.SourceData_PastureBeef_Liveweight_Data(), Table_SourceData_PastureBeef_Liveweight[[#Headers],[State]], 0)</f>
        <v>n/a</v>
      </c>
      <c r="F27" s="39" t="str" cm="1">
        <f t="array" ref="F27">Common_InputFunctions.Utility_DisplayArrayInTable(SourceData_PastureBeef.SourceData_PastureBeef_Liveweight_Data(), Table_SourceData_PastureBeef_Liveweight[[#Headers],[State]], 0)</f>
        <v>Spring</v>
      </c>
      <c r="G27" s="39" cm="1">
        <f t="array" ref="G27">Common_InputFunctions.Utility_DisplayArrayInTable(SourceData_PastureBeef.SourceData_PastureBeef_Liveweight_Data(), Table_SourceData_PastureBeef_Liveweight[[#Headers],[State]], 0)</f>
        <v>105</v>
      </c>
      <c r="H27" s="39" cm="1">
        <f t="array" ref="H27">Common_InputFunctions.Utility_DisplayArrayInTable(SourceData_PastureBeef.SourceData_PastureBeef_Liveweight_Data(), Table_SourceData_PastureBeef_Liveweight[[#Headers],[State]], 0)</f>
        <v>700</v>
      </c>
      <c r="I27" s="39" cm="1">
        <f t="array" ref="I27">Common_InputFunctions.Utility_DisplayArrayInTable(SourceData_PastureBeef.SourceData_PastureBeef_Liveweight_Data(), Table_SourceData_PastureBeef_Liveweight[[#Headers],[State]], 0)</f>
        <v>85</v>
      </c>
      <c r="J27" s="39" cm="1">
        <f t="array" ref="J27">Common_InputFunctions.Utility_DisplayArrayInTable(SourceData_PastureBeef.SourceData_PastureBeef_Liveweight_Data(), Table_SourceData_PastureBeef_Liveweight[[#Headers],[State]], 0)</f>
        <v>300</v>
      </c>
      <c r="K27" s="39" cm="1">
        <f t="array" ref="K27">Common_InputFunctions.Utility_DisplayArrayInTable(SourceData_PastureBeef.SourceData_PastureBeef_Liveweight_Data(), Table_SourceData_PastureBeef_Liveweight[[#Headers],[State]], 0)</f>
        <v>490</v>
      </c>
      <c r="L27" s="39" cm="1">
        <f t="array" ref="L27">Common_InputFunctions.Utility_DisplayArrayInTable(SourceData_PastureBeef.SourceData_PastureBeef_Liveweight_Data(), Table_SourceData_PastureBeef_Liveweight[[#Headers],[State]], 0)</f>
        <v>90</v>
      </c>
      <c r="M27" s="39" cm="1">
        <f t="array" ref="M27">Common_InputFunctions.Utility_DisplayArrayInTable(SourceData_PastureBeef.SourceData_PastureBeef_Liveweight_Data(), Table_SourceData_PastureBeef_Liveweight[[#Headers],[State]], 0)</f>
        <v>480</v>
      </c>
      <c r="S27" s="130" t="s">
        <v>367</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9" t="str" cm="1">
        <f t="array" ref="E28">Common_InputFunctions.Utility_DisplayArrayInTable(SourceData_PastureBeef.SourceData_PastureBeef_Liveweight_Data(), Table_SourceData_PastureBeef_Liveweight[[#Headers],[State]], 0)</f>
        <v>n/a</v>
      </c>
      <c r="F28" s="39" t="str" cm="1">
        <f t="array" ref="F28">Common_InputFunctions.Utility_DisplayArrayInTable(SourceData_PastureBeef.SourceData_PastureBeef_Liveweight_Data(), Table_SourceData_PastureBeef_Liveweight[[#Headers],[State]], 0)</f>
        <v>Summer</v>
      </c>
      <c r="G28" s="39" cm="1">
        <f t="array" ref="G28">Common_InputFunctions.Utility_DisplayArrayInTable(SourceData_PastureBeef.SourceData_PastureBeef_Liveweight_Data(), Table_SourceData_PastureBeef_Liveweight[[#Headers],[State]], 0)</f>
        <v>480</v>
      </c>
      <c r="H28" s="39" cm="1">
        <f t="array" ref="H28">Common_InputFunctions.Utility_DisplayArrayInTable(SourceData_PastureBeef.SourceData_PastureBeef_Liveweight_Data(), Table_SourceData_PastureBeef_Liveweight[[#Headers],[State]], 0)</f>
        <v>750</v>
      </c>
      <c r="I28" s="39" cm="1">
        <f t="array" ref="I28">Common_InputFunctions.Utility_DisplayArrayInTable(SourceData_PastureBeef.SourceData_PastureBeef_Liveweight_Data(), Table_SourceData_PastureBeef_Liveweight[[#Headers],[State]], 0)</f>
        <v>150</v>
      </c>
      <c r="J28" s="39" cm="1">
        <f t="array" ref="J28">Common_InputFunctions.Utility_DisplayArrayInTable(SourceData_PastureBeef.SourceData_PastureBeef_Liveweight_Data(), Table_SourceData_PastureBeef_Liveweight[[#Headers],[State]], 0)</f>
        <v>350</v>
      </c>
      <c r="K28" s="39" cm="1">
        <f t="array" ref="K28">Common_InputFunctions.Utility_DisplayArrayInTable(SourceData_PastureBeef.SourceData_PastureBeef_Liveweight_Data(), Table_SourceData_PastureBeef_Liveweight[[#Headers],[State]], 0)</f>
        <v>530</v>
      </c>
      <c r="L28" s="39" cm="1">
        <f t="array" ref="L28">Common_InputFunctions.Utility_DisplayArrayInTable(SourceData_PastureBeef.SourceData_PastureBeef_Liveweight_Data(), Table_SourceData_PastureBeef_Liveweight[[#Headers],[State]], 0)</f>
        <v>160</v>
      </c>
      <c r="M28" s="39" cm="1">
        <f t="array" ref="M28">Common_InputFunctions.Utility_DisplayArrayInTable(SourceData_PastureBeef.SourceData_PastureBeef_Liveweight_Data(), Table_SourceData_PastureBeef_Liveweight[[#Headers],[State]], 0)</f>
        <v>460</v>
      </c>
      <c r="S28" s="130" t="s">
        <v>386</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9" t="str" cm="1">
        <f t="array" ref="E29">Common_InputFunctions.Utility_DisplayArrayInTable(SourceData_PastureBeef.SourceData_PastureBeef_Liveweight_Data(), Table_SourceData_PastureBeef_Liveweight[[#Headers],[State]], 0)</f>
        <v>n/a</v>
      </c>
      <c r="F29" s="39" t="str" cm="1">
        <f t="array" ref="F29">Common_InputFunctions.Utility_DisplayArrayInTable(SourceData_PastureBeef.SourceData_PastureBeef_Liveweight_Data(), Table_SourceData_PastureBeef_Liveweight[[#Headers],[State]], 0)</f>
        <v>Autumn</v>
      </c>
      <c r="G29" s="39" cm="1">
        <f t="array" ref="G29">Common_InputFunctions.Utility_DisplayArrayInTable(SourceData_PastureBeef.SourceData_PastureBeef_Liveweight_Data(), Table_SourceData_PastureBeef_Liveweight[[#Headers],[State]], 0)</f>
        <v>250</v>
      </c>
      <c r="H29" s="39" cm="1">
        <f t="array" ref="H29">Common_InputFunctions.Utility_DisplayArrayInTable(SourceData_PastureBeef.SourceData_PastureBeef_Liveweight_Data(), Table_SourceData_PastureBeef_Liveweight[[#Headers],[State]], 0)</f>
        <v>725</v>
      </c>
      <c r="I29" s="39" cm="1">
        <f t="array" ref="I29">Common_InputFunctions.Utility_DisplayArrayInTable(SourceData_PastureBeef.SourceData_PastureBeef_Liveweight_Data(), Table_SourceData_PastureBeef_Liveweight[[#Headers],[State]], 0)</f>
        <v>200</v>
      </c>
      <c r="J29" s="39" cm="1">
        <f t="array" ref="J29">Common_InputFunctions.Utility_DisplayArrayInTable(SourceData_PastureBeef.SourceData_PastureBeef_Liveweight_Data(), Table_SourceData_PastureBeef_Liveweight[[#Headers],[State]], 0)</f>
        <v>360</v>
      </c>
      <c r="K29" s="39" cm="1">
        <f t="array" ref="K29">Common_InputFunctions.Utility_DisplayArrayInTable(SourceData_PastureBeef.SourceData_PastureBeef_Liveweight_Data(), Table_SourceData_PastureBeef_Liveweight[[#Headers],[State]], 0)</f>
        <v>500</v>
      </c>
      <c r="L29" s="39" cm="1">
        <f t="array" ref="L29">Common_InputFunctions.Utility_DisplayArrayInTable(SourceData_PastureBeef.SourceData_PastureBeef_Liveweight_Data(), Table_SourceData_PastureBeef_Liveweight[[#Headers],[State]], 0)</f>
        <v>215</v>
      </c>
      <c r="M29" s="39"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9" t="str" cm="1">
        <f t="array" ref="E30">Common_InputFunctions.Utility_DisplayArrayInTable(SourceData_PastureBeef.SourceData_PastureBeef_Liveweight_Data(), Table_SourceData_PastureBeef_Liveweight[[#Headers],[State]], 0)</f>
        <v>n/a</v>
      </c>
      <c r="F30" s="39" t="str" cm="1">
        <f t="array" ref="F30">Common_InputFunctions.Utility_DisplayArrayInTable(SourceData_PastureBeef.SourceData_PastureBeef_Liveweight_Data(), Table_SourceData_PastureBeef_Liveweight[[#Headers],[State]], 0)</f>
        <v>Winter</v>
      </c>
      <c r="G30" s="39" cm="1">
        <f t="array" ref="G30">Common_InputFunctions.Utility_DisplayArrayInTable(SourceData_PastureBeef.SourceData_PastureBeef_Liveweight_Data(), Table_SourceData_PastureBeef_Liveweight[[#Headers],[State]], 0)</f>
        <v>260</v>
      </c>
      <c r="H30" s="39" cm="1">
        <f t="array" ref="H30">Common_InputFunctions.Utility_DisplayArrayInTable(SourceData_PastureBeef.SourceData_PastureBeef_Liveweight_Data(), Table_SourceData_PastureBeef_Liveweight[[#Headers],[State]], 0)</f>
        <v>700</v>
      </c>
      <c r="I30" s="39" cm="1">
        <f t="array" ref="I30">Common_InputFunctions.Utility_DisplayArrayInTable(SourceData_PastureBeef.SourceData_PastureBeef_Liveweight_Data(), Table_SourceData_PastureBeef_Liveweight[[#Headers],[State]], 0)</f>
        <v>210</v>
      </c>
      <c r="J30" s="39" cm="1">
        <f t="array" ref="J30">Common_InputFunctions.Utility_DisplayArrayInTable(SourceData_PastureBeef.SourceData_PastureBeef_Liveweight_Data(), Table_SourceData_PastureBeef_Liveweight[[#Headers],[State]], 0)</f>
        <v>380</v>
      </c>
      <c r="K30" s="39" cm="1">
        <f t="array" ref="K30">Common_InputFunctions.Utility_DisplayArrayInTable(SourceData_PastureBeef.SourceData_PastureBeef_Liveweight_Data(), Table_SourceData_PastureBeef_Liveweight[[#Headers],[State]], 0)</f>
        <v>460</v>
      </c>
      <c r="L30" s="39" cm="1">
        <f t="array" ref="L30">Common_InputFunctions.Utility_DisplayArrayInTable(SourceData_PastureBeef.SourceData_PastureBeef_Liveweight_Data(), Table_SourceData_PastureBeef_Liveweight[[#Headers],[State]], 0)</f>
        <v>230</v>
      </c>
      <c r="M30" s="39"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9" t="str" cm="1">
        <f t="array" ref="E31">Common_InputFunctions.Utility_DisplayArrayInTable(SourceData_PastureBeef.SourceData_PastureBeef_Liveweight_Data(), Table_SourceData_PastureBeef_Liveweight[[#Headers],[State]], 0)</f>
        <v>n/a</v>
      </c>
      <c r="F31" s="39" t="str" cm="1">
        <f t="array" ref="F31">Common_InputFunctions.Utility_DisplayArrayInTable(SourceData_PastureBeef.SourceData_PastureBeef_Liveweight_Data(), Table_SourceData_PastureBeef_Liveweight[[#Headers],[State]], 0)</f>
        <v>Spring</v>
      </c>
      <c r="G31" s="39" cm="1">
        <f t="array" ref="G31">Common_InputFunctions.Utility_DisplayArrayInTable(SourceData_PastureBeef.SourceData_PastureBeef_Liveweight_Data(), Table_SourceData_PastureBeef_Liveweight[[#Headers],[State]], 0)</f>
        <v>250</v>
      </c>
      <c r="H31" s="39" cm="1">
        <f t="array" ref="H31">Common_InputFunctions.Utility_DisplayArrayInTable(SourceData_PastureBeef.SourceData_PastureBeef_Liveweight_Data(), Table_SourceData_PastureBeef_Liveweight[[#Headers],[State]], 0)</f>
        <v>820</v>
      </c>
      <c r="I31" s="39" cm="1">
        <f t="array" ref="I31">Common_InputFunctions.Utility_DisplayArrayInTable(SourceData_PastureBeef.SourceData_PastureBeef_Liveweight_Data(), Table_SourceData_PastureBeef_Liveweight[[#Headers],[State]], 0)</f>
        <v>240</v>
      </c>
      <c r="J31" s="39" cm="1">
        <f t="array" ref="J31">Common_InputFunctions.Utility_DisplayArrayInTable(SourceData_PastureBeef.SourceData_PastureBeef_Liveweight_Data(), Table_SourceData_PastureBeef_Liveweight[[#Headers],[State]], 0)</f>
        <v>410</v>
      </c>
      <c r="K31" s="39" cm="1">
        <f t="array" ref="K31">Common_InputFunctions.Utility_DisplayArrayInTable(SourceData_PastureBeef.SourceData_PastureBeef_Liveweight_Data(), Table_SourceData_PastureBeef_Liveweight[[#Headers],[State]], 0)</f>
        <v>560</v>
      </c>
      <c r="L31" s="39" cm="1">
        <f t="array" ref="L31">Common_InputFunctions.Utility_DisplayArrayInTable(SourceData_PastureBeef.SourceData_PastureBeef_Liveweight_Data(), Table_SourceData_PastureBeef_Liveweight[[#Headers],[State]], 0)</f>
        <v>240</v>
      </c>
      <c r="M31" s="39"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9" t="str" cm="1">
        <f t="array" ref="E32">Common_InputFunctions.Utility_DisplayArrayInTable(SourceData_PastureBeef.SourceData_PastureBeef_Liveweight_Data(), Table_SourceData_PastureBeef_Liveweight[[#Headers],[State]], 0)</f>
        <v>n/a</v>
      </c>
      <c r="F32" s="39" t="str" cm="1">
        <f t="array" ref="F32">Common_InputFunctions.Utility_DisplayArrayInTable(SourceData_PastureBeef.SourceData_PastureBeef_Liveweight_Data(), Table_SourceData_PastureBeef_Liveweight[[#Headers],[State]], 0)</f>
        <v>Summer</v>
      </c>
      <c r="G32" s="39" cm="1">
        <f t="array" ref="G32">Common_InputFunctions.Utility_DisplayArrayInTable(SourceData_PastureBeef.SourceData_PastureBeef_Liveweight_Data(), Table_SourceData_PastureBeef_Liveweight[[#Headers],[State]], 0)</f>
        <v>280</v>
      </c>
      <c r="H32" s="39" cm="1">
        <f t="array" ref="H32">Common_InputFunctions.Utility_DisplayArrayInTable(SourceData_PastureBeef.SourceData_PastureBeef_Liveweight_Data(), Table_SourceData_PastureBeef_Liveweight[[#Headers],[State]], 0)</f>
        <v>850</v>
      </c>
      <c r="I32" s="39" cm="1">
        <f t="array" ref="I32">Common_InputFunctions.Utility_DisplayArrayInTable(SourceData_PastureBeef.SourceData_PastureBeef_Liveweight_Data(), Table_SourceData_PastureBeef_Liveweight[[#Headers],[State]], 0)</f>
        <v>260</v>
      </c>
      <c r="J32" s="39" cm="1">
        <f t="array" ref="J32">Common_InputFunctions.Utility_DisplayArrayInTable(SourceData_PastureBeef.SourceData_PastureBeef_Liveweight_Data(), Table_SourceData_PastureBeef_Liveweight[[#Headers],[State]], 0)</f>
        <v>440</v>
      </c>
      <c r="K32" s="39" cm="1">
        <f t="array" ref="K32">Common_InputFunctions.Utility_DisplayArrayInTable(SourceData_PastureBeef.SourceData_PastureBeef_Liveweight_Data(), Table_SourceData_PastureBeef_Liveweight[[#Headers],[State]], 0)</f>
        <v>550</v>
      </c>
      <c r="L32" s="39" cm="1">
        <f t="array" ref="L32">Common_InputFunctions.Utility_DisplayArrayInTable(SourceData_PastureBeef.SourceData_PastureBeef_Liveweight_Data(), Table_SourceData_PastureBeef_Liveweight[[#Headers],[State]], 0)</f>
        <v>270</v>
      </c>
      <c r="M32" s="39"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9" t="str" cm="1">
        <f t="array" ref="E33">Common_InputFunctions.Utility_DisplayArrayInTable(SourceData_PastureBeef.SourceData_PastureBeef_Liveweight_Data(), Table_SourceData_PastureBeef_Liveweight[[#Headers],[State]], 0)</f>
        <v>n/a</v>
      </c>
      <c r="F33" s="39" t="str" cm="1">
        <f t="array" ref="F33">Common_InputFunctions.Utility_DisplayArrayInTable(SourceData_PastureBeef.SourceData_PastureBeef_Liveweight_Data(), Table_SourceData_PastureBeef_Liveweight[[#Headers],[State]], 0)</f>
        <v>Autumn</v>
      </c>
      <c r="G33" s="39" cm="1">
        <f t="array" ref="G33">Common_InputFunctions.Utility_DisplayArrayInTable(SourceData_PastureBeef.SourceData_PastureBeef_Liveweight_Data(), Table_SourceData_PastureBeef_Liveweight[[#Headers],[State]], 0)</f>
        <v>100</v>
      </c>
      <c r="H33" s="39" cm="1">
        <f t="array" ref="H33">Common_InputFunctions.Utility_DisplayArrayInTable(SourceData_PastureBeef.SourceData_PastureBeef_Liveweight_Data(), Table_SourceData_PastureBeef_Liveweight[[#Headers],[State]], 0)</f>
        <v>700</v>
      </c>
      <c r="I33" s="39" cm="1">
        <f t="array" ref="I33">Common_InputFunctions.Utility_DisplayArrayInTable(SourceData_PastureBeef.SourceData_PastureBeef_Liveweight_Data(), Table_SourceData_PastureBeef_Liveweight[[#Headers],[State]], 0)</f>
        <v>95</v>
      </c>
      <c r="J33" s="39" cm="1">
        <f t="array" ref="J33">Common_InputFunctions.Utility_DisplayArrayInTable(SourceData_PastureBeef.SourceData_PastureBeef_Liveweight_Data(), Table_SourceData_PastureBeef_Liveweight[[#Headers],[State]], 0)</f>
        <v>300</v>
      </c>
      <c r="K33" s="39" cm="1">
        <f t="array" ref="K33">Common_InputFunctions.Utility_DisplayArrayInTable(SourceData_PastureBeef.SourceData_PastureBeef_Liveweight_Data(), Table_SourceData_PastureBeef_Liveweight[[#Headers],[State]], 0)</f>
        <v>450</v>
      </c>
      <c r="L33" s="39" cm="1">
        <f t="array" ref="L33">Common_InputFunctions.Utility_DisplayArrayInTable(SourceData_PastureBeef.SourceData_PastureBeef_Liveweight_Data(), Table_SourceData_PastureBeef_Liveweight[[#Headers],[State]], 0)</f>
        <v>95</v>
      </c>
      <c r="M33" s="39"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9" t="str" cm="1">
        <f t="array" ref="E34">Common_InputFunctions.Utility_DisplayArrayInTable(SourceData_PastureBeef.SourceData_PastureBeef_Liveweight_Data(), Table_SourceData_PastureBeef_Liveweight[[#Headers],[State]], 0)</f>
        <v>n/a</v>
      </c>
      <c r="F34" s="39" t="str" cm="1">
        <f t="array" ref="F34">Common_InputFunctions.Utility_DisplayArrayInTable(SourceData_PastureBeef.SourceData_PastureBeef_Liveweight_Data(), Table_SourceData_PastureBeef_Liveweight[[#Headers],[State]], 0)</f>
        <v>Winter</v>
      </c>
      <c r="G34" s="39" cm="1">
        <f t="array" ref="G34">Common_InputFunctions.Utility_DisplayArrayInTable(SourceData_PastureBeef.SourceData_PastureBeef_Liveweight_Data(), Table_SourceData_PastureBeef_Liveweight[[#Headers],[State]], 0)</f>
        <v>150</v>
      </c>
      <c r="H34" s="39" cm="1">
        <f t="array" ref="H34">Common_InputFunctions.Utility_DisplayArrayInTable(SourceData_PastureBeef.SourceData_PastureBeef_Liveweight_Data(), Table_SourceData_PastureBeef_Liveweight[[#Headers],[State]], 0)</f>
        <v>720</v>
      </c>
      <c r="I34" s="39" cm="1">
        <f t="array" ref="I34">Common_InputFunctions.Utility_DisplayArrayInTable(SourceData_PastureBeef.SourceData_PastureBeef_Liveweight_Data(), Table_SourceData_PastureBeef_Liveweight[[#Headers],[State]], 0)</f>
        <v>140</v>
      </c>
      <c r="J34" s="39" cm="1">
        <f t="array" ref="J34">Common_InputFunctions.Utility_DisplayArrayInTable(SourceData_PastureBeef.SourceData_PastureBeef_Liveweight_Data(), Table_SourceData_PastureBeef_Liveweight[[#Headers],[State]], 0)</f>
        <v>320</v>
      </c>
      <c r="K34" s="39" cm="1">
        <f t="array" ref="K34">Common_InputFunctions.Utility_DisplayArrayInTable(SourceData_PastureBeef.SourceData_PastureBeef_Liveweight_Data(), Table_SourceData_PastureBeef_Liveweight[[#Headers],[State]], 0)</f>
        <v>470</v>
      </c>
      <c r="L34" s="39" cm="1">
        <f t="array" ref="L34">Common_InputFunctions.Utility_DisplayArrayInTable(SourceData_PastureBeef.SourceData_PastureBeef_Liveweight_Data(), Table_SourceData_PastureBeef_Liveweight[[#Headers],[State]], 0)</f>
        <v>140</v>
      </c>
      <c r="M34" s="39"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9" t="str" cm="1">
        <f t="array" ref="E35">Common_InputFunctions.Utility_DisplayArrayInTable(SourceData_PastureBeef.SourceData_PastureBeef_Liveweight_Data(), Table_SourceData_PastureBeef_Liveweight[[#Headers],[State]], 0)</f>
        <v>South West</v>
      </c>
      <c r="F35" s="39" t="str" cm="1">
        <f t="array" ref="F35">Common_InputFunctions.Utility_DisplayArrayInTable(SourceData_PastureBeef.SourceData_PastureBeef_Liveweight_Data(), Table_SourceData_PastureBeef_Liveweight[[#Headers],[State]], 0)</f>
        <v>Spring</v>
      </c>
      <c r="G35" s="39" cm="1">
        <f t="array" ref="G35">Common_InputFunctions.Utility_DisplayArrayInTable(SourceData_PastureBeef.SourceData_PastureBeef_Liveweight_Data(), Table_SourceData_PastureBeef_Liveweight[[#Headers],[State]], 0)</f>
        <v>340</v>
      </c>
      <c r="H35" s="39" cm="1">
        <f t="array" ref="H35">Common_InputFunctions.Utility_DisplayArrayInTable(SourceData_PastureBeef.SourceData_PastureBeef_Liveweight_Data(), Table_SourceData_PastureBeef_Liveweight[[#Headers],[State]], 0)</f>
        <v>800</v>
      </c>
      <c r="I35" s="39" cm="1">
        <f t="array" ref="I35">Common_InputFunctions.Utility_DisplayArrayInTable(SourceData_PastureBeef.SourceData_PastureBeef_Liveweight_Data(), Table_SourceData_PastureBeef_Liveweight[[#Headers],[State]], 0)</f>
        <v>260</v>
      </c>
      <c r="J35" s="39" cm="1">
        <f t="array" ref="J35">Common_InputFunctions.Utility_DisplayArrayInTable(SourceData_PastureBeef.SourceData_PastureBeef_Liveweight_Data(), Table_SourceData_PastureBeef_Liveweight[[#Headers],[State]], 0)</f>
        <v>420</v>
      </c>
      <c r="K35" s="39" cm="1">
        <f t="array" ref="K35">Common_InputFunctions.Utility_DisplayArrayInTable(SourceData_PastureBeef.SourceData_PastureBeef_Liveweight_Data(), Table_SourceData_PastureBeef_Liveweight[[#Headers],[State]], 0)</f>
        <v>550</v>
      </c>
      <c r="L35" s="39" cm="1">
        <f t="array" ref="L35">Common_InputFunctions.Utility_DisplayArrayInTable(SourceData_PastureBeef.SourceData_PastureBeef_Liveweight_Data(), Table_SourceData_PastureBeef_Liveweight[[#Headers],[State]], 0)</f>
        <v>300</v>
      </c>
      <c r="M35" s="39"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9" t="str" cm="1">
        <f t="array" ref="E36">Common_InputFunctions.Utility_DisplayArrayInTable(SourceData_PastureBeef.SourceData_PastureBeef_Liveweight_Data(), Table_SourceData_PastureBeef_Liveweight[[#Headers],[State]], 0)</f>
        <v>South West</v>
      </c>
      <c r="F36" s="39" t="str" cm="1">
        <f t="array" ref="F36">Common_InputFunctions.Utility_DisplayArrayInTable(SourceData_PastureBeef.SourceData_PastureBeef_Liveweight_Data(), Table_SourceData_PastureBeef_Liveweight[[#Headers],[State]], 0)</f>
        <v>Summer</v>
      </c>
      <c r="G36" s="39" cm="1">
        <f t="array" ref="G36">Common_InputFunctions.Utility_DisplayArrayInTable(SourceData_PastureBeef.SourceData_PastureBeef_Liveweight_Data(), Table_SourceData_PastureBeef_Liveweight[[#Headers],[State]], 0)</f>
        <v>380</v>
      </c>
      <c r="H36" s="39" cm="1">
        <f t="array" ref="H36">Common_InputFunctions.Utility_DisplayArrayInTable(SourceData_PastureBeef.SourceData_PastureBeef_Liveweight_Data(), Table_SourceData_PastureBeef_Liveweight[[#Headers],[State]], 0)</f>
        <v>780</v>
      </c>
      <c r="I36" s="39" cm="1">
        <f t="array" ref="I36">Common_InputFunctions.Utility_DisplayArrayInTable(SourceData_PastureBeef.SourceData_PastureBeef_Liveweight_Data(), Table_SourceData_PastureBeef_Liveweight[[#Headers],[State]], 0)</f>
        <v>300</v>
      </c>
      <c r="J36" s="39" cm="1">
        <f t="array" ref="J36">Common_InputFunctions.Utility_DisplayArrayInTable(SourceData_PastureBeef.SourceData_PastureBeef_Liveweight_Data(), Table_SourceData_PastureBeef_Liveweight[[#Headers],[State]], 0)</f>
        <v>450</v>
      </c>
      <c r="K36" s="39" cm="1">
        <f t="array" ref="K36">Common_InputFunctions.Utility_DisplayArrayInTable(SourceData_PastureBeef.SourceData_PastureBeef_Liveweight_Data(), Table_SourceData_PastureBeef_Liveweight[[#Headers],[State]], 0)</f>
        <v>530</v>
      </c>
      <c r="L36" s="39" cm="1">
        <f t="array" ref="L36">Common_InputFunctions.Utility_DisplayArrayInTable(SourceData_PastureBeef.SourceData_PastureBeef_Liveweight_Data(), Table_SourceData_PastureBeef_Liveweight[[#Headers],[State]], 0)</f>
        <v>340</v>
      </c>
      <c r="M36" s="39"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9" t="str" cm="1">
        <f t="array" ref="E37">Common_InputFunctions.Utility_DisplayArrayInTable(SourceData_PastureBeef.SourceData_PastureBeef_Liveweight_Data(), Table_SourceData_PastureBeef_Liveweight[[#Headers],[State]], 0)</f>
        <v>South West</v>
      </c>
      <c r="F37" s="39" t="str" cm="1">
        <f t="array" ref="F37">Common_InputFunctions.Utility_DisplayArrayInTable(SourceData_PastureBeef.SourceData_PastureBeef_Liveweight_Data(), Table_SourceData_PastureBeef_Liveweight[[#Headers],[State]], 0)</f>
        <v>Autumn</v>
      </c>
      <c r="G37" s="39" cm="1">
        <f t="array" ref="G37">Common_InputFunctions.Utility_DisplayArrayInTable(SourceData_PastureBeef.SourceData_PastureBeef_Liveweight_Data(), Table_SourceData_PastureBeef_Liveweight[[#Headers],[State]], 0)</f>
        <v>100</v>
      </c>
      <c r="H37" s="39" cm="1">
        <f t="array" ref="H37">Common_InputFunctions.Utility_DisplayArrayInTable(SourceData_PastureBeef.SourceData_PastureBeef_Liveweight_Data(), Table_SourceData_PastureBeef_Liveweight[[#Headers],[State]], 0)</f>
        <v>680</v>
      </c>
      <c r="I37" s="39" cm="1">
        <f t="array" ref="I37">Common_InputFunctions.Utility_DisplayArrayInTable(SourceData_PastureBeef.SourceData_PastureBeef_Liveweight_Data(), Table_SourceData_PastureBeef_Liveweight[[#Headers],[State]], 0)</f>
        <v>80</v>
      </c>
      <c r="J37" s="39" cm="1">
        <f t="array" ref="J37">Common_InputFunctions.Utility_DisplayArrayInTable(SourceData_PastureBeef.SourceData_PastureBeef_Liveweight_Data(), Table_SourceData_PastureBeef_Liveweight[[#Headers],[State]], 0)</f>
        <v>320</v>
      </c>
      <c r="K37" s="39" cm="1">
        <f t="array" ref="K37">Common_InputFunctions.Utility_DisplayArrayInTable(SourceData_PastureBeef.SourceData_PastureBeef_Liveweight_Data(), Table_SourceData_PastureBeef_Liveweight[[#Headers],[State]], 0)</f>
        <v>480</v>
      </c>
      <c r="L37" s="39" cm="1">
        <f t="array" ref="L37">Common_InputFunctions.Utility_DisplayArrayInTable(SourceData_PastureBeef.SourceData_PastureBeef_Liveweight_Data(), Table_SourceData_PastureBeef_Liveweight[[#Headers],[State]], 0)</f>
        <v>100</v>
      </c>
      <c r="M37" s="39"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9" t="str" cm="1">
        <f t="array" ref="E38">Common_InputFunctions.Utility_DisplayArrayInTable(SourceData_PastureBeef.SourceData_PastureBeef_Liveweight_Data(), Table_SourceData_PastureBeef_Liveweight[[#Headers],[State]], 0)</f>
        <v>South West</v>
      </c>
      <c r="F38" s="39" t="str" cm="1">
        <f t="array" ref="F38">Common_InputFunctions.Utility_DisplayArrayInTable(SourceData_PastureBeef.SourceData_PastureBeef_Liveweight_Data(), Table_SourceData_PastureBeef_Liveweight[[#Headers],[State]], 0)</f>
        <v>Winter</v>
      </c>
      <c r="G38" s="39" cm="1">
        <f t="array" ref="G38">Common_InputFunctions.Utility_DisplayArrayInTable(SourceData_PastureBeef.SourceData_PastureBeef_Liveweight_Data(), Table_SourceData_PastureBeef_Liveweight[[#Headers],[State]], 0)</f>
        <v>190</v>
      </c>
      <c r="H38" s="39" cm="1">
        <f t="array" ref="H38">Common_InputFunctions.Utility_DisplayArrayInTable(SourceData_PastureBeef.SourceData_PastureBeef_Liveweight_Data(), Table_SourceData_PastureBeef_Liveweight[[#Headers],[State]], 0)</f>
        <v>700</v>
      </c>
      <c r="I38" s="39" cm="1">
        <f t="array" ref="I38">Common_InputFunctions.Utility_DisplayArrayInTable(SourceData_PastureBeef.SourceData_PastureBeef_Liveweight_Data(), Table_SourceData_PastureBeef_Liveweight[[#Headers],[State]], 0)</f>
        <v>150</v>
      </c>
      <c r="J38" s="39" cm="1">
        <f t="array" ref="J38">Common_InputFunctions.Utility_DisplayArrayInTable(SourceData_PastureBeef.SourceData_PastureBeef_Liveweight_Data(), Table_SourceData_PastureBeef_Liveweight[[#Headers],[State]], 0)</f>
        <v>330</v>
      </c>
      <c r="K38" s="39" cm="1">
        <f t="array" ref="K38">Common_InputFunctions.Utility_DisplayArrayInTable(SourceData_PastureBeef.SourceData_PastureBeef_Liveweight_Data(), Table_SourceData_PastureBeef_Liveweight[[#Headers],[State]], 0)</f>
        <v>490</v>
      </c>
      <c r="L38" s="39" cm="1">
        <f t="array" ref="L38">Common_InputFunctions.Utility_DisplayArrayInTable(SourceData_PastureBeef.SourceData_PastureBeef_Liveweight_Data(), Table_SourceData_PastureBeef_Liveweight[[#Headers],[State]], 0)</f>
        <v>170</v>
      </c>
      <c r="M38" s="39"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9" t="str" cm="1">
        <f t="array" ref="E39">Common_InputFunctions.Utility_DisplayArrayInTable(SourceData_PastureBeef.SourceData_PastureBeef_Liveweight_Data(), Table_SourceData_PastureBeef_Liveweight[[#Headers],[State]], 0)</f>
        <v>Pilbara</v>
      </c>
      <c r="F39" s="39" t="str" cm="1">
        <f t="array" ref="F39">Common_InputFunctions.Utility_DisplayArrayInTable(SourceData_PastureBeef.SourceData_PastureBeef_Liveweight_Data(), Table_SourceData_PastureBeef_Liveweight[[#Headers],[State]], 0)</f>
        <v>Spring</v>
      </c>
      <c r="G39" s="39" cm="1">
        <f t="array" ref="G39">Common_InputFunctions.Utility_DisplayArrayInTable(SourceData_PastureBeef.SourceData_PastureBeef_Liveweight_Data(), Table_SourceData_PastureBeef_Liveweight[[#Headers],[State]], 0)</f>
        <v>80</v>
      </c>
      <c r="H39" s="39" cm="1">
        <f t="array" ref="H39">Common_InputFunctions.Utility_DisplayArrayInTable(SourceData_PastureBeef.SourceData_PastureBeef_Liveweight_Data(), Table_SourceData_PastureBeef_Liveweight[[#Headers],[State]], 0)</f>
        <v>450</v>
      </c>
      <c r="I39" s="39" cm="1">
        <f t="array" ref="I39">Common_InputFunctions.Utility_DisplayArrayInTable(SourceData_PastureBeef.SourceData_PastureBeef_Liveweight_Data(), Table_SourceData_PastureBeef_Liveweight[[#Headers],[State]], 0)</f>
        <v>70</v>
      </c>
      <c r="J39" s="39" cm="1">
        <f t="array" ref="J39">Common_InputFunctions.Utility_DisplayArrayInTable(SourceData_PastureBeef.SourceData_PastureBeef_Liveweight_Data(), Table_SourceData_PastureBeef_Liveweight[[#Headers],[State]], 0)</f>
        <v>260</v>
      </c>
      <c r="K39" s="39" cm="1">
        <f t="array" ref="K39">Common_InputFunctions.Utility_DisplayArrayInTable(SourceData_PastureBeef.SourceData_PastureBeef_Liveweight_Data(), Table_SourceData_PastureBeef_Liveweight[[#Headers],[State]], 0)</f>
        <v>340</v>
      </c>
      <c r="L39" s="39" cm="1">
        <f t="array" ref="L39">Common_InputFunctions.Utility_DisplayArrayInTable(SourceData_PastureBeef.SourceData_PastureBeef_Liveweight_Data(), Table_SourceData_PastureBeef_Liveweight[[#Headers],[State]], 0)</f>
        <v>80</v>
      </c>
      <c r="M39" s="39"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9" t="str" cm="1">
        <f t="array" ref="E40">Common_InputFunctions.Utility_DisplayArrayInTable(SourceData_PastureBeef.SourceData_PastureBeef_Liveweight_Data(), Table_SourceData_PastureBeef_Liveweight[[#Headers],[State]], 0)</f>
        <v>Pilbara</v>
      </c>
      <c r="F40" s="39" t="str" cm="1">
        <f t="array" ref="F40">Common_InputFunctions.Utility_DisplayArrayInTable(SourceData_PastureBeef.SourceData_PastureBeef_Liveweight_Data(), Table_SourceData_PastureBeef_Liveweight[[#Headers],[State]], 0)</f>
        <v>Summer</v>
      </c>
      <c r="G40" s="39" cm="1">
        <f t="array" ref="G40">Common_InputFunctions.Utility_DisplayArrayInTable(SourceData_PastureBeef.SourceData_PastureBeef_Liveweight_Data(), Table_SourceData_PastureBeef_Liveweight[[#Headers],[State]], 0)</f>
        <v>150</v>
      </c>
      <c r="H40" s="39" cm="1">
        <f t="array" ref="H40">Common_InputFunctions.Utility_DisplayArrayInTable(SourceData_PastureBeef.SourceData_PastureBeef_Liveweight_Data(), Table_SourceData_PastureBeef_Liveweight[[#Headers],[State]], 0)</f>
        <v>500</v>
      </c>
      <c r="I40" s="39" cm="1">
        <f t="array" ref="I40">Common_InputFunctions.Utility_DisplayArrayInTable(SourceData_PastureBeef.SourceData_PastureBeef_Liveweight_Data(), Table_SourceData_PastureBeef_Liveweight[[#Headers],[State]], 0)</f>
        <v>140</v>
      </c>
      <c r="J40" s="39" cm="1">
        <f t="array" ref="J40">Common_InputFunctions.Utility_DisplayArrayInTable(SourceData_PastureBeef.SourceData_PastureBeef_Liveweight_Data(), Table_SourceData_PastureBeef_Liveweight[[#Headers],[State]], 0)</f>
        <v>310</v>
      </c>
      <c r="K40" s="39" cm="1">
        <f t="array" ref="K40">Common_InputFunctions.Utility_DisplayArrayInTable(SourceData_PastureBeef.SourceData_PastureBeef_Liveweight_Data(), Table_SourceData_PastureBeef_Liveweight[[#Headers],[State]], 0)</f>
        <v>360</v>
      </c>
      <c r="L40" s="39" cm="1">
        <f t="array" ref="L40">Common_InputFunctions.Utility_DisplayArrayInTable(SourceData_PastureBeef.SourceData_PastureBeef_Liveweight_Data(), Table_SourceData_PastureBeef_Liveweight[[#Headers],[State]], 0)</f>
        <v>150</v>
      </c>
      <c r="M40" s="39"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9" t="str" cm="1">
        <f t="array" ref="E41">Common_InputFunctions.Utility_DisplayArrayInTable(SourceData_PastureBeef.SourceData_PastureBeef_Liveweight_Data(), Table_SourceData_PastureBeef_Liveweight[[#Headers],[State]], 0)</f>
        <v>Pilbara</v>
      </c>
      <c r="F41" s="39" t="str" cm="1">
        <f t="array" ref="F41">Common_InputFunctions.Utility_DisplayArrayInTable(SourceData_PastureBeef.SourceData_PastureBeef_Liveweight_Data(), Table_SourceData_PastureBeef_Liveweight[[#Headers],[State]], 0)</f>
        <v>Autumn</v>
      </c>
      <c r="G41" s="39" cm="1">
        <f t="array" ref="G41">Common_InputFunctions.Utility_DisplayArrayInTable(SourceData_PastureBeef.SourceData_PastureBeef_Liveweight_Data(), Table_SourceData_PastureBeef_Liveweight[[#Headers],[State]], 0)</f>
        <v>230</v>
      </c>
      <c r="H41" s="39" cm="1">
        <f t="array" ref="H41">Common_InputFunctions.Utility_DisplayArrayInTable(SourceData_PastureBeef.SourceData_PastureBeef_Liveweight_Data(), Table_SourceData_PastureBeef_Liveweight[[#Headers],[State]], 0)</f>
        <v>550</v>
      </c>
      <c r="I41" s="39" cm="1">
        <f t="array" ref="I41">Common_InputFunctions.Utility_DisplayArrayInTable(SourceData_PastureBeef.SourceData_PastureBeef_Liveweight_Data(), Table_SourceData_PastureBeef_Liveweight[[#Headers],[State]], 0)</f>
        <v>220</v>
      </c>
      <c r="J41" s="39" cm="1">
        <f t="array" ref="J41">Common_InputFunctions.Utility_DisplayArrayInTable(SourceData_PastureBeef.SourceData_PastureBeef_Liveweight_Data(), Table_SourceData_PastureBeef_Liveweight[[#Headers],[State]], 0)</f>
        <v>330</v>
      </c>
      <c r="K41" s="39" cm="1">
        <f t="array" ref="K41">Common_InputFunctions.Utility_DisplayArrayInTable(SourceData_PastureBeef.SourceData_PastureBeef_Liveweight_Data(), Table_SourceData_PastureBeef_Liveweight[[#Headers],[State]], 0)</f>
        <v>380</v>
      </c>
      <c r="L41" s="39" cm="1">
        <f t="array" ref="L41">Common_InputFunctions.Utility_DisplayArrayInTable(SourceData_PastureBeef.SourceData_PastureBeef_Liveweight_Data(), Table_SourceData_PastureBeef_Liveweight[[#Headers],[State]], 0)</f>
        <v>230</v>
      </c>
      <c r="M41" s="39"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9" t="str" cm="1">
        <f t="array" ref="E42">Common_InputFunctions.Utility_DisplayArrayInTable(SourceData_PastureBeef.SourceData_PastureBeef_Liveweight_Data(), Table_SourceData_PastureBeef_Liveweight[[#Headers],[State]], 0)</f>
        <v>Pilbara</v>
      </c>
      <c r="F42" s="39" t="str" cm="1">
        <f t="array" ref="F42">Common_InputFunctions.Utility_DisplayArrayInTable(SourceData_PastureBeef.SourceData_PastureBeef_Liveweight_Data(), Table_SourceData_PastureBeef_Liveweight[[#Headers],[State]], 0)</f>
        <v>Winter</v>
      </c>
      <c r="G42" s="39" cm="1">
        <f t="array" ref="G42">Common_InputFunctions.Utility_DisplayArrayInTable(SourceData_PastureBeef.SourceData_PastureBeef_Liveweight_Data(), Table_SourceData_PastureBeef_Liveweight[[#Headers],[State]], 0)</f>
        <v>250</v>
      </c>
      <c r="H42" s="39" cm="1">
        <f t="array" ref="H42">Common_InputFunctions.Utility_DisplayArrayInTable(SourceData_PastureBeef.SourceData_PastureBeef_Liveweight_Data(), Table_SourceData_PastureBeef_Liveweight[[#Headers],[State]], 0)</f>
        <v>500</v>
      </c>
      <c r="I42" s="39" cm="1">
        <f t="array" ref="I42">Common_InputFunctions.Utility_DisplayArrayInTable(SourceData_PastureBeef.SourceData_PastureBeef_Liveweight_Data(), Table_SourceData_PastureBeef_Liveweight[[#Headers],[State]], 0)</f>
        <v>240</v>
      </c>
      <c r="J42" s="39" cm="1">
        <f t="array" ref="J42">Common_InputFunctions.Utility_DisplayArrayInTable(SourceData_PastureBeef.SourceData_PastureBeef_Liveweight_Data(), Table_SourceData_PastureBeef_Liveweight[[#Headers],[State]], 0)</f>
        <v>340</v>
      </c>
      <c r="K42" s="39" cm="1">
        <f t="array" ref="K42">Common_InputFunctions.Utility_DisplayArrayInTable(SourceData_PastureBeef.SourceData_PastureBeef_Liveweight_Data(), Table_SourceData_PastureBeef_Liveweight[[#Headers],[State]], 0)</f>
        <v>360</v>
      </c>
      <c r="L42" s="39" cm="1">
        <f t="array" ref="L42">Common_InputFunctions.Utility_DisplayArrayInTable(SourceData_PastureBeef.SourceData_PastureBeef_Liveweight_Data(), Table_SourceData_PastureBeef_Liveweight[[#Headers],[State]], 0)</f>
        <v>250</v>
      </c>
      <c r="M42" s="39"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9" t="str" cm="1">
        <f t="array" ref="E43">Common_InputFunctions.Utility_DisplayArrayInTable(SourceData_PastureBeef.SourceData_PastureBeef_Liveweight_Data(), Table_SourceData_PastureBeef_Liveweight[[#Headers],[State]], 0)</f>
        <v>Kimberley</v>
      </c>
      <c r="F43" s="39" t="str" cm="1">
        <f t="array" ref="F43">Common_InputFunctions.Utility_DisplayArrayInTable(SourceData_PastureBeef.SourceData_PastureBeef_Liveweight_Data(), Table_SourceData_PastureBeef_Liveweight[[#Headers],[State]], 0)</f>
        <v>Spring</v>
      </c>
      <c r="G43" s="39" cm="1">
        <f t="array" ref="G43">Common_InputFunctions.Utility_DisplayArrayInTable(SourceData_PastureBeef.SourceData_PastureBeef_Liveweight_Data(), Table_SourceData_PastureBeef_Liveweight[[#Headers],[State]], 0)</f>
        <v>220</v>
      </c>
      <c r="H43" s="39" cm="1">
        <f t="array" ref="H43">Common_InputFunctions.Utility_DisplayArrayInTable(SourceData_PastureBeef.SourceData_PastureBeef_Liveweight_Data(), Table_SourceData_PastureBeef_Liveweight[[#Headers],[State]], 0)</f>
        <v>500</v>
      </c>
      <c r="I43" s="39" cm="1">
        <f t="array" ref="I43">Common_InputFunctions.Utility_DisplayArrayInTable(SourceData_PastureBeef.SourceData_PastureBeef_Liveweight_Data(), Table_SourceData_PastureBeef_Liveweight[[#Headers],[State]], 0)</f>
        <v>180</v>
      </c>
      <c r="J43" s="39" cm="1">
        <f t="array" ref="J43">Common_InputFunctions.Utility_DisplayArrayInTable(SourceData_PastureBeef.SourceData_PastureBeef_Liveweight_Data(), Table_SourceData_PastureBeef_Liveweight[[#Headers],[State]], 0)</f>
        <v>300</v>
      </c>
      <c r="K43" s="39" cm="1">
        <f t="array" ref="K43">Common_InputFunctions.Utility_DisplayArrayInTable(SourceData_PastureBeef.SourceData_PastureBeef_Liveweight_Data(), Table_SourceData_PastureBeef_Liveweight[[#Headers],[State]], 0)</f>
        <v>320</v>
      </c>
      <c r="L43" s="39" cm="1">
        <f t="array" ref="L43">Common_InputFunctions.Utility_DisplayArrayInTable(SourceData_PastureBeef.SourceData_PastureBeef_Liveweight_Data(), Table_SourceData_PastureBeef_Liveweight[[#Headers],[State]], 0)</f>
        <v>210</v>
      </c>
      <c r="M43" s="39"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9" t="str" cm="1">
        <f t="array" ref="E44">Common_InputFunctions.Utility_DisplayArrayInTable(SourceData_PastureBeef.SourceData_PastureBeef_Liveweight_Data(), Table_SourceData_PastureBeef_Liveweight[[#Headers],[State]], 0)</f>
        <v>Kimberley</v>
      </c>
      <c r="F44" s="39" t="str" cm="1">
        <f t="array" ref="F44">Common_InputFunctions.Utility_DisplayArrayInTable(SourceData_PastureBeef.SourceData_PastureBeef_Liveweight_Data(), Table_SourceData_PastureBeef_Liveweight[[#Headers],[State]], 0)</f>
        <v>Summer</v>
      </c>
      <c r="G44" s="39" cm="1">
        <f t="array" ref="G44">Common_InputFunctions.Utility_DisplayArrayInTable(SourceData_PastureBeef.SourceData_PastureBeef_Liveweight_Data(), Table_SourceData_PastureBeef_Liveweight[[#Headers],[State]], 0)</f>
        <v>110</v>
      </c>
      <c r="H44" s="39" cm="1">
        <f t="array" ref="H44">Common_InputFunctions.Utility_DisplayArrayInTable(SourceData_PastureBeef.SourceData_PastureBeef_Liveweight_Data(), Table_SourceData_PastureBeef_Liveweight[[#Headers],[State]], 0)</f>
        <v>550</v>
      </c>
      <c r="I44" s="39" cm="1">
        <f t="array" ref="I44">Common_InputFunctions.Utility_DisplayArrayInTable(SourceData_PastureBeef.SourceData_PastureBeef_Liveweight_Data(), Table_SourceData_PastureBeef_Liveweight[[#Headers],[State]], 0)</f>
        <v>90</v>
      </c>
      <c r="J44" s="39" cm="1">
        <f t="array" ref="J44">Common_InputFunctions.Utility_DisplayArrayInTable(SourceData_PastureBeef.SourceData_PastureBeef_Liveweight_Data(), Table_SourceData_PastureBeef_Liveweight[[#Headers],[State]], 0)</f>
        <v>220</v>
      </c>
      <c r="K44" s="39" cm="1">
        <f t="array" ref="K44">Common_InputFunctions.Utility_DisplayArrayInTable(SourceData_PastureBeef.SourceData_PastureBeef_Liveweight_Data(), Table_SourceData_PastureBeef_Liveweight[[#Headers],[State]], 0)</f>
        <v>380</v>
      </c>
      <c r="L44" s="39" cm="1">
        <f t="array" ref="L44">Common_InputFunctions.Utility_DisplayArrayInTable(SourceData_PastureBeef.SourceData_PastureBeef_Liveweight_Data(), Table_SourceData_PastureBeef_Liveweight[[#Headers],[State]], 0)</f>
        <v>100</v>
      </c>
      <c r="M44" s="39"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9" t="str" cm="1">
        <f t="array" ref="E45">Common_InputFunctions.Utility_DisplayArrayInTable(SourceData_PastureBeef.SourceData_PastureBeef_Liveweight_Data(), Table_SourceData_PastureBeef_Liveweight[[#Headers],[State]], 0)</f>
        <v>Kimberley</v>
      </c>
      <c r="F45" s="39" t="str" cm="1">
        <f t="array" ref="F45">Common_InputFunctions.Utility_DisplayArrayInTable(SourceData_PastureBeef.SourceData_PastureBeef_Liveweight_Data(), Table_SourceData_PastureBeef_Liveweight[[#Headers],[State]], 0)</f>
        <v>Autumn</v>
      </c>
      <c r="G45" s="39" cm="1">
        <f t="array" ref="G45">Common_InputFunctions.Utility_DisplayArrayInTable(SourceData_PastureBeef.SourceData_PastureBeef_Liveweight_Data(), Table_SourceData_PastureBeef_Liveweight[[#Headers],[State]], 0)</f>
        <v>170</v>
      </c>
      <c r="H45" s="39" cm="1">
        <f t="array" ref="H45">Common_InputFunctions.Utility_DisplayArrayInTable(SourceData_PastureBeef.SourceData_PastureBeef_Liveweight_Data(), Table_SourceData_PastureBeef_Liveweight[[#Headers],[State]], 0)</f>
        <v>600</v>
      </c>
      <c r="I45" s="39" cm="1">
        <f t="array" ref="I45">Common_InputFunctions.Utility_DisplayArrayInTable(SourceData_PastureBeef.SourceData_PastureBeef_Liveweight_Data(), Table_SourceData_PastureBeef_Liveweight[[#Headers],[State]], 0)</f>
        <v>140</v>
      </c>
      <c r="J45" s="39" cm="1">
        <f t="array" ref="J45">Common_InputFunctions.Utility_DisplayArrayInTable(SourceData_PastureBeef.SourceData_PastureBeef_Liveweight_Data(), Table_SourceData_PastureBeef_Liveweight[[#Headers],[State]], 0)</f>
        <v>270</v>
      </c>
      <c r="K45" s="39" cm="1">
        <f t="array" ref="K45">Common_InputFunctions.Utility_DisplayArrayInTable(SourceData_PastureBeef.SourceData_PastureBeef_Liveweight_Data(), Table_SourceData_PastureBeef_Liveweight[[#Headers],[State]], 0)</f>
        <v>390</v>
      </c>
      <c r="L45" s="39" cm="1">
        <f t="array" ref="L45">Common_InputFunctions.Utility_DisplayArrayInTable(SourceData_PastureBeef.SourceData_PastureBeef_Liveweight_Data(), Table_SourceData_PastureBeef_Liveweight[[#Headers],[State]], 0)</f>
        <v>160</v>
      </c>
      <c r="M45" s="39"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9" t="str" cm="1">
        <f t="array" ref="E46">Common_InputFunctions.Utility_DisplayArrayInTable(SourceData_PastureBeef.SourceData_PastureBeef_Liveweight_Data(), Table_SourceData_PastureBeef_Liveweight[[#Headers],[State]], 0)</f>
        <v>Kimberley</v>
      </c>
      <c r="F46" s="39" t="str" cm="1">
        <f t="array" ref="F46">Common_InputFunctions.Utility_DisplayArrayInTable(SourceData_PastureBeef.SourceData_PastureBeef_Liveweight_Data(), Table_SourceData_PastureBeef_Liveweight[[#Headers],[State]], 0)</f>
        <v>Winter</v>
      </c>
      <c r="G46" s="39" cm="1">
        <f t="array" ref="G46">Common_InputFunctions.Utility_DisplayArrayInTable(SourceData_PastureBeef.SourceData_PastureBeef_Liveweight_Data(), Table_SourceData_PastureBeef_Liveweight[[#Headers],[State]], 0)</f>
        <v>200</v>
      </c>
      <c r="H46" s="39" cm="1">
        <f t="array" ref="H46">Common_InputFunctions.Utility_DisplayArrayInTable(SourceData_PastureBeef.SourceData_PastureBeef_Liveweight_Data(), Table_SourceData_PastureBeef_Liveweight[[#Headers],[State]], 0)</f>
        <v>550</v>
      </c>
      <c r="I46" s="39" cm="1">
        <f t="array" ref="I46">Common_InputFunctions.Utility_DisplayArrayInTable(SourceData_PastureBeef.SourceData_PastureBeef_Liveweight_Data(), Table_SourceData_PastureBeef_Liveweight[[#Headers],[State]], 0)</f>
        <v>150</v>
      </c>
      <c r="J46" s="39" cm="1">
        <f t="array" ref="J46">Common_InputFunctions.Utility_DisplayArrayInTable(SourceData_PastureBeef.SourceData_PastureBeef_Liveweight_Data(), Table_SourceData_PastureBeef_Liveweight[[#Headers],[State]], 0)</f>
        <v>280</v>
      </c>
      <c r="K46" s="39" cm="1">
        <f t="array" ref="K46">Common_InputFunctions.Utility_DisplayArrayInTable(SourceData_PastureBeef.SourceData_PastureBeef_Liveweight_Data(), Table_SourceData_PastureBeef_Liveweight[[#Headers],[State]], 0)</f>
        <v>350</v>
      </c>
      <c r="L46" s="39" cm="1">
        <f t="array" ref="L46">Common_InputFunctions.Utility_DisplayArrayInTable(SourceData_PastureBeef.SourceData_PastureBeef_Liveweight_Data(), Table_SourceData_PastureBeef_Liveweight[[#Headers],[State]], 0)</f>
        <v>190</v>
      </c>
      <c r="M46" s="39"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7" t="str" cm="1">
        <f t="array" ref="D52">SourceData_PastureBeef.SourceData_PastureBeef_LiveweightNTQLD_Unit()</f>
        <v>kg</v>
      </c>
      <c r="M52" s="1"/>
    </row>
    <row r="53" spans="4:16" ht="20.100000000000001" customHeight="1" x14ac:dyDescent="0.25">
      <c r="D53" s="130" t="s">
        <v>8</v>
      </c>
      <c r="E53" s="130" t="s">
        <v>367</v>
      </c>
      <c r="F53" s="130" t="s">
        <v>368</v>
      </c>
      <c r="G53" s="130" t="s">
        <v>387</v>
      </c>
      <c r="H53" s="130" t="s">
        <v>376</v>
      </c>
      <c r="I53" s="130" t="s">
        <v>377</v>
      </c>
      <c r="J53" s="130" t="s">
        <v>378</v>
      </c>
      <c r="K53" s="130" t="s">
        <v>379</v>
      </c>
      <c r="L53" s="130" t="s">
        <v>380</v>
      </c>
      <c r="M53" s="130" t="s">
        <v>381</v>
      </c>
      <c r="N53" s="130" t="s">
        <v>382</v>
      </c>
      <c r="O53" s="130" t="s">
        <v>383</v>
      </c>
      <c r="P53" s="130" t="s">
        <v>384</v>
      </c>
    </row>
    <row r="54" spans="4:16" ht="20.100000000000001" customHeight="1" x14ac:dyDescent="0.25">
      <c r="D54" s="130" t="str" cm="1">
        <f t="array" ref="D54">Common_InputFunctions.Utility_DisplayArrayInTable(SourceData_PastureBeef.SourceData_PastureBeef_LiveweightNTQLD_Data(),Table_SourceData_PastureBeef_LiveweightNTQD[[#Headers],[State]], 0)</f>
        <v>Northern Territory</v>
      </c>
      <c r="E54" s="130" t="str" cm="1">
        <f t="array" ref="E54">Common_InputFunctions.Utility_DisplayArrayInTable(SourceData_PastureBeef.SourceData_PastureBeef_LiveweightNTQLD_Data(),Table_SourceData_PastureBeef_LiveweightNTQD[[#Headers],[State]], 0)</f>
        <v>Alice Springs</v>
      </c>
      <c r="F54" s="130" t="str" cm="1">
        <f t="array" ref="F54">Common_InputFunctions.Utility_DisplayArrayInTable(SourceData_PastureBeef.SourceData_PastureBeef_LiveweightNTQLD_Data(),Table_SourceData_PastureBeef_LiveweightNTQD[[#Headers],[State]], 0)</f>
        <v>Spring</v>
      </c>
      <c r="G54" s="130" cm="1">
        <f t="array" ref="G54">Common_InputFunctions.Utility_DisplayArrayInTable(SourceData_PastureBeef.SourceData_PastureBeef_LiveweightNTQLD_Data(),Table_SourceData_PastureBeef_LiveweightNTQD[[#Headers],[State]], 0)</f>
        <v>220</v>
      </c>
      <c r="H54" s="130" cm="1">
        <f t="array" ref="H54">Common_InputFunctions.Utility_DisplayArrayInTable(SourceData_PastureBeef.SourceData_PastureBeef_LiveweightNTQLD_Data(),Table_SourceData_PastureBeef_LiveweightNTQD[[#Headers],[State]], 0)</f>
        <v>706</v>
      </c>
      <c r="I54" s="130" cm="1">
        <f t="array" ref="I54">Common_InputFunctions.Utility_DisplayArrayInTable(SourceData_PastureBeef.SourceData_PastureBeef_LiveweightNTQLD_Data(),Table_SourceData_PastureBeef_LiveweightNTQD[[#Headers],[State]], 0)</f>
        <v>208</v>
      </c>
      <c r="J54" s="130" cm="1">
        <f t="array" ref="J54">Common_InputFunctions.Utility_DisplayArrayInTable(SourceData_PastureBeef.SourceData_PastureBeef_LiveweightNTQLD_Data(),Table_SourceData_PastureBeef_LiveweightNTQD[[#Headers],[State]], 0)</f>
        <v>323</v>
      </c>
      <c r="K54" s="130" cm="1">
        <f t="array" ref="K54">Common_InputFunctions.Utility_DisplayArrayInTable(SourceData_PastureBeef.SourceData_PastureBeef_LiveweightNTQLD_Data(),Table_SourceData_PastureBeef_LiveweightNTQD[[#Headers],[State]], 0)</f>
        <v>415</v>
      </c>
      <c r="L54" s="130" cm="1">
        <f t="array" ref="L54">Common_InputFunctions.Utility_DisplayArrayInTable(SourceData_PastureBeef.SourceData_PastureBeef_LiveweightNTQLD_Data(),Table_SourceData_PastureBeef_LiveweightNTQD[[#Headers],[State]], 0)</f>
        <v>467</v>
      </c>
      <c r="M54" s="130" cm="1">
        <f t="array" ref="M54">Common_InputFunctions.Utility_DisplayArrayInTable(SourceData_PastureBeef.SourceData_PastureBeef_LiveweightNTQLD_Data(),Table_SourceData_PastureBeef_LiveweightNTQD[[#Headers],[State]], 0)</f>
        <v>223</v>
      </c>
      <c r="N54" s="130" cm="1">
        <f t="array" ref="N54">Common_InputFunctions.Utility_DisplayArrayInTable(SourceData_PastureBeef.SourceData_PastureBeef_LiveweightNTQLD_Data(),Table_SourceData_PastureBeef_LiveweightNTQD[[#Headers],[State]], 0)</f>
        <v>371</v>
      </c>
      <c r="O54" s="130" cm="1">
        <f t="array" ref="O54">Common_InputFunctions.Utility_DisplayArrayInTable(SourceData_PastureBeef.SourceData_PastureBeef_LiveweightNTQLD_Data(),Table_SourceData_PastureBeef_LiveweightNTQD[[#Headers],[State]], 0)</f>
        <v>493</v>
      </c>
      <c r="P54" s="13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9" t="str" cm="1">
        <f t="array" ref="E55">Common_InputFunctions.Utility_DisplayArrayInTable(SourceData_PastureBeef.SourceData_PastureBeef_LiveweightNTQLD_Data(),Table_SourceData_PastureBeef_LiveweightNTQD[[#Headers],[State]], 0)</f>
        <v>Alice Springs</v>
      </c>
      <c r="F55" s="39" t="str" cm="1">
        <f t="array" ref="F55">Common_InputFunctions.Utility_DisplayArrayInTable(SourceData_PastureBeef.SourceData_PastureBeef_LiveweightNTQLD_Data(),Table_SourceData_PastureBeef_LiveweightNTQD[[#Headers],[State]], 0)</f>
        <v>Summer</v>
      </c>
      <c r="G55" s="39" cm="1">
        <f t="array" ref="G55">Common_InputFunctions.Utility_DisplayArrayInTable(SourceData_PastureBeef.SourceData_PastureBeef_LiveweightNTQLD_Data(),Table_SourceData_PastureBeef_LiveweightNTQD[[#Headers],[State]], 0)</f>
        <v>110</v>
      </c>
      <c r="H55" s="39" cm="1">
        <f t="array" ref="H55">Common_InputFunctions.Utility_DisplayArrayInTable(SourceData_PastureBeef.SourceData_PastureBeef_LiveweightNTQLD_Data(),Table_SourceData_PastureBeef_LiveweightNTQD[[#Headers],[State]], 0)</f>
        <v>703</v>
      </c>
      <c r="I55" s="39" cm="1">
        <f t="array" ref="I55">Common_InputFunctions.Utility_DisplayArrayInTable(SourceData_PastureBeef.SourceData_PastureBeef_LiveweightNTQLD_Data(),Table_SourceData_PastureBeef_LiveweightNTQD[[#Headers],[State]], 0)</f>
        <v>112</v>
      </c>
      <c r="J55" s="39" cm="1">
        <f t="array" ref="J55">Common_InputFunctions.Utility_DisplayArrayInTable(SourceData_PastureBeef.SourceData_PastureBeef_LiveweightNTQLD_Data(),Table_SourceData_PastureBeef_LiveweightNTQD[[#Headers],[State]], 0)</f>
        <v>256</v>
      </c>
      <c r="K55" s="39" cm="1">
        <f t="array" ref="K55">Common_InputFunctions.Utility_DisplayArrayInTable(SourceData_PastureBeef.SourceData_PastureBeef_LiveweightNTQLD_Data(),Table_SourceData_PastureBeef_LiveweightNTQD[[#Headers],[State]], 0)</f>
        <v>368</v>
      </c>
      <c r="L55" s="39" cm="1">
        <f t="array" ref="L55">Common_InputFunctions.Utility_DisplayArrayInTable(SourceData_PastureBeef.SourceData_PastureBeef_LiveweightNTQLD_Data(),Table_SourceData_PastureBeef_LiveweightNTQD[[#Headers],[State]], 0)</f>
        <v>465</v>
      </c>
      <c r="M55" s="39" cm="1">
        <f t="array" ref="M55">Common_InputFunctions.Utility_DisplayArrayInTable(SourceData_PastureBeef.SourceData_PastureBeef_LiveweightNTQLD_Data(),Table_SourceData_PastureBeef_LiveweightNTQD[[#Headers],[State]], 0)</f>
        <v>108</v>
      </c>
      <c r="N55" s="39" cm="1">
        <f t="array" ref="N55">Common_InputFunctions.Utility_DisplayArrayInTable(SourceData_PastureBeef.SourceData_PastureBeef_LiveweightNTQLD_Data(),Table_SourceData_PastureBeef_LiveweightNTQD[[#Headers],[State]], 0)</f>
        <v>280</v>
      </c>
      <c r="O55" s="39" cm="1">
        <f t="array" ref="O55">Common_InputFunctions.Utility_DisplayArrayInTable(SourceData_PastureBeef.SourceData_PastureBeef_LiveweightNTQLD_Data(),Table_SourceData_PastureBeef_LiveweightNTQD[[#Headers],[State]], 0)</f>
        <v>421</v>
      </c>
      <c r="P55" s="39"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9" t="str" cm="1">
        <f t="array" ref="E56">Common_InputFunctions.Utility_DisplayArrayInTable(SourceData_PastureBeef.SourceData_PastureBeef_LiveweightNTQLD_Data(),Table_SourceData_PastureBeef_LiveweightNTQD[[#Headers],[State]], 0)</f>
        <v>Alice Springs</v>
      </c>
      <c r="F56" s="39" t="str" cm="1">
        <f t="array" ref="F56">Common_InputFunctions.Utility_DisplayArrayInTable(SourceData_PastureBeef.SourceData_PastureBeef_LiveweightNTQLD_Data(),Table_SourceData_PastureBeef_LiveweightNTQD[[#Headers],[State]], 0)</f>
        <v>Autumn</v>
      </c>
      <c r="G56" s="39" cm="1">
        <f t="array" ref="G56">Common_InputFunctions.Utility_DisplayArrayInTable(SourceData_PastureBeef.SourceData_PastureBeef_LiveweightNTQLD_Data(),Table_SourceData_PastureBeef_LiveweightNTQD[[#Headers],[State]], 0)</f>
        <v>170</v>
      </c>
      <c r="H56" s="39" cm="1">
        <f t="array" ref="H56">Common_InputFunctions.Utility_DisplayArrayInTable(SourceData_PastureBeef.SourceData_PastureBeef_LiveweightNTQLD_Data(),Table_SourceData_PastureBeef_LiveweightNTQD[[#Headers],[State]], 0)</f>
        <v>721</v>
      </c>
      <c r="I56" s="39" cm="1">
        <f t="array" ref="I56">Common_InputFunctions.Utility_DisplayArrayInTable(SourceData_PastureBeef.SourceData_PastureBeef_LiveweightNTQLD_Data(),Table_SourceData_PastureBeef_LiveweightNTQD[[#Headers],[State]], 0)</f>
        <v>169</v>
      </c>
      <c r="J56" s="39" cm="1">
        <f t="array" ref="J56">Common_InputFunctions.Utility_DisplayArrayInTable(SourceData_PastureBeef.SourceData_PastureBeef_LiveweightNTQLD_Data(),Table_SourceData_PastureBeef_LiveweightNTQD[[#Headers],[State]], 0)</f>
        <v>306</v>
      </c>
      <c r="K56" s="39" cm="1">
        <f t="array" ref="K56">Common_InputFunctions.Utility_DisplayArrayInTable(SourceData_PastureBeef.SourceData_PastureBeef_LiveweightNTQLD_Data(),Table_SourceData_PastureBeef_LiveweightNTQD[[#Headers],[State]], 0)</f>
        <v>392</v>
      </c>
      <c r="L56" s="39" cm="1">
        <f t="array" ref="L56">Common_InputFunctions.Utility_DisplayArrayInTable(SourceData_PastureBeef.SourceData_PastureBeef_LiveweightNTQLD_Data(),Table_SourceData_PastureBeef_LiveweightNTQD[[#Headers],[State]], 0)</f>
        <v>464</v>
      </c>
      <c r="M56" s="39" cm="1">
        <f t="array" ref="M56">Common_InputFunctions.Utility_DisplayArrayInTable(SourceData_PastureBeef.SourceData_PastureBeef_LiveweightNTQLD_Data(),Table_SourceData_PastureBeef_LiveweightNTQD[[#Headers],[State]], 0)</f>
        <v>176</v>
      </c>
      <c r="N56" s="39" cm="1">
        <f t="array" ref="N56">Common_InputFunctions.Utility_DisplayArrayInTable(SourceData_PastureBeef.SourceData_PastureBeef_LiveweightNTQLD_Data(),Table_SourceData_PastureBeef_LiveweightNTQD[[#Headers],[State]], 0)</f>
        <v>339</v>
      </c>
      <c r="O56" s="39" cm="1">
        <f t="array" ref="O56">Common_InputFunctions.Utility_DisplayArrayInTable(SourceData_PastureBeef.SourceData_PastureBeef_LiveweightNTQLD_Data(),Table_SourceData_PastureBeef_LiveweightNTQD[[#Headers],[State]], 0)</f>
        <v>470</v>
      </c>
      <c r="P56" s="39"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9" t="str" cm="1">
        <f t="array" ref="E57">Common_InputFunctions.Utility_DisplayArrayInTable(SourceData_PastureBeef.SourceData_PastureBeef_LiveweightNTQLD_Data(),Table_SourceData_PastureBeef_LiveweightNTQD[[#Headers],[State]], 0)</f>
        <v>Alice Springs</v>
      </c>
      <c r="F57" s="39" t="str" cm="1">
        <f t="array" ref="F57">Common_InputFunctions.Utility_DisplayArrayInTable(SourceData_PastureBeef.SourceData_PastureBeef_LiveweightNTQLD_Data(),Table_SourceData_PastureBeef_LiveweightNTQD[[#Headers],[State]], 0)</f>
        <v>Winter</v>
      </c>
      <c r="G57" s="39" cm="1">
        <f t="array" ref="G57">Common_InputFunctions.Utility_DisplayArrayInTable(SourceData_PastureBeef.SourceData_PastureBeef_LiveweightNTQLD_Data(),Table_SourceData_PastureBeef_LiveweightNTQD[[#Headers],[State]], 0)</f>
        <v>200</v>
      </c>
      <c r="H57" s="39" cm="1">
        <f t="array" ref="H57">Common_InputFunctions.Utility_DisplayArrayInTable(SourceData_PastureBeef.SourceData_PastureBeef_LiveweightNTQLD_Data(),Table_SourceData_PastureBeef_LiveweightNTQD[[#Headers],[State]], 0)</f>
        <v>727</v>
      </c>
      <c r="I57" s="39" cm="1">
        <f t="array" ref="I57">Common_InputFunctions.Utility_DisplayArrayInTable(SourceData_PastureBeef.SourceData_PastureBeef_LiveweightNTQLD_Data(),Table_SourceData_PastureBeef_LiveweightNTQD[[#Headers],[State]], 0)</f>
        <v>211</v>
      </c>
      <c r="J57" s="39" cm="1">
        <f t="array" ref="J57">Common_InputFunctions.Utility_DisplayArrayInTable(SourceData_PastureBeef.SourceData_PastureBeef_LiveweightNTQLD_Data(),Table_SourceData_PastureBeef_LiveweightNTQD[[#Headers],[State]], 0)</f>
        <v>338</v>
      </c>
      <c r="K57" s="39" cm="1">
        <f t="array" ref="K57">Common_InputFunctions.Utility_DisplayArrayInTable(SourceData_PastureBeef.SourceData_PastureBeef_LiveweightNTQLD_Data(),Table_SourceData_PastureBeef_LiveweightNTQD[[#Headers],[State]], 0)</f>
        <v>432</v>
      </c>
      <c r="L57" s="39" cm="1">
        <f t="array" ref="L57">Common_InputFunctions.Utility_DisplayArrayInTable(SourceData_PastureBeef.SourceData_PastureBeef_LiveweightNTQLD_Data(),Table_SourceData_PastureBeef_LiveweightNTQD[[#Headers],[State]], 0)</f>
        <v>492</v>
      </c>
      <c r="M57" s="39" cm="1">
        <f t="array" ref="M57">Common_InputFunctions.Utility_DisplayArrayInTable(SourceData_PastureBeef.SourceData_PastureBeef_LiveweightNTQLD_Data(),Table_SourceData_PastureBeef_LiveweightNTQD[[#Headers],[State]], 0)</f>
        <v>222</v>
      </c>
      <c r="N57" s="39" cm="1">
        <f t="array" ref="N57">Common_InputFunctions.Utility_DisplayArrayInTable(SourceData_PastureBeef.SourceData_PastureBeef_LiveweightNTQLD_Data(),Table_SourceData_PastureBeef_LiveweightNTQD[[#Headers],[State]], 0)</f>
        <v>377</v>
      </c>
      <c r="O57" s="39" cm="1">
        <f t="array" ref="O57">Common_InputFunctions.Utility_DisplayArrayInTable(SourceData_PastureBeef.SourceData_PastureBeef_LiveweightNTQLD_Data(),Table_SourceData_PastureBeef_LiveweightNTQD[[#Headers],[State]], 0)</f>
        <v>498</v>
      </c>
      <c r="P57" s="39"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9" t="str" cm="1">
        <f t="array" ref="E58">Common_InputFunctions.Utility_DisplayArrayInTable(SourceData_PastureBeef.SourceData_PastureBeef_LiveweightNTQLD_Data(),Table_SourceData_PastureBeef_LiveweightNTQD[[#Headers],[State]], 0)</f>
        <v>Barkly</v>
      </c>
      <c r="F58" s="39" t="str" cm="1">
        <f t="array" ref="F58">Common_InputFunctions.Utility_DisplayArrayInTable(SourceData_PastureBeef.SourceData_PastureBeef_LiveweightNTQLD_Data(),Table_SourceData_PastureBeef_LiveweightNTQD[[#Headers],[State]], 0)</f>
        <v>Spring</v>
      </c>
      <c r="G58" s="39" cm="1">
        <f t="array" ref="G58">Common_InputFunctions.Utility_DisplayArrayInTable(SourceData_PastureBeef.SourceData_PastureBeef_LiveweightNTQLD_Data(),Table_SourceData_PastureBeef_LiveweightNTQD[[#Headers],[State]], 0)</f>
        <v>220</v>
      </c>
      <c r="H58" s="39" cm="1">
        <f t="array" ref="H58">Common_InputFunctions.Utility_DisplayArrayInTable(SourceData_PastureBeef.SourceData_PastureBeef_LiveweightNTQLD_Data(),Table_SourceData_PastureBeef_LiveweightNTQD[[#Headers],[State]], 0)</f>
        <v>620</v>
      </c>
      <c r="I58" s="39" cm="1">
        <f t="array" ref="I58">Common_InputFunctions.Utility_DisplayArrayInTable(SourceData_PastureBeef.SourceData_PastureBeef_LiveweightNTQLD_Data(),Table_SourceData_PastureBeef_LiveweightNTQD[[#Headers],[State]], 0)</f>
        <v>227</v>
      </c>
      <c r="J58" s="39" cm="1">
        <f t="array" ref="J58">Common_InputFunctions.Utility_DisplayArrayInTable(SourceData_PastureBeef.SourceData_PastureBeef_LiveweightNTQLD_Data(),Table_SourceData_PastureBeef_LiveweightNTQD[[#Headers],[State]], 0)</f>
        <v>319</v>
      </c>
      <c r="K58" s="39" cm="1">
        <f t="array" ref="K58">Common_InputFunctions.Utility_DisplayArrayInTable(SourceData_PastureBeef.SourceData_PastureBeef_LiveweightNTQLD_Data(),Table_SourceData_PastureBeef_LiveweightNTQD[[#Headers],[State]], 0)</f>
        <v>398</v>
      </c>
      <c r="L58" s="39" cm="1">
        <f t="array" ref="L58">Common_InputFunctions.Utility_DisplayArrayInTable(SourceData_PastureBeef.SourceData_PastureBeef_LiveweightNTQLD_Data(),Table_SourceData_PastureBeef_LiveweightNTQD[[#Headers],[State]], 0)</f>
        <v>452</v>
      </c>
      <c r="M58" s="39" cm="1">
        <f t="array" ref="M58">Common_InputFunctions.Utility_DisplayArrayInTable(SourceData_PastureBeef.SourceData_PastureBeef_LiveweightNTQLD_Data(),Table_SourceData_PastureBeef_LiveweightNTQD[[#Headers],[State]], 0)</f>
        <v>216</v>
      </c>
      <c r="N58" s="39" cm="1">
        <f t="array" ref="N58">Common_InputFunctions.Utility_DisplayArrayInTable(SourceData_PastureBeef.SourceData_PastureBeef_LiveweightNTQLD_Data(),Table_SourceData_PastureBeef_LiveweightNTQD[[#Headers],[State]], 0)</f>
        <v>334</v>
      </c>
      <c r="O58" s="39" t="str" cm="1">
        <f t="array" ref="O58">Common_InputFunctions.Utility_DisplayArrayInTable(SourceData_PastureBeef.SourceData_PastureBeef_LiveweightNTQLD_Data(),Table_SourceData_PastureBeef_LiveweightNTQD[[#Headers],[State]], 0)</f>
        <v>NO</v>
      </c>
      <c r="P58" s="39"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9" t="str" cm="1">
        <f t="array" ref="E59">Common_InputFunctions.Utility_DisplayArrayInTable(SourceData_PastureBeef.SourceData_PastureBeef_LiveweightNTQLD_Data(),Table_SourceData_PastureBeef_LiveweightNTQD[[#Headers],[State]], 0)</f>
        <v>Barkly</v>
      </c>
      <c r="F59" s="39" t="str" cm="1">
        <f t="array" ref="F59">Common_InputFunctions.Utility_DisplayArrayInTable(SourceData_PastureBeef.SourceData_PastureBeef_LiveweightNTQLD_Data(),Table_SourceData_PastureBeef_LiveweightNTQD[[#Headers],[State]], 0)</f>
        <v>Summer</v>
      </c>
      <c r="G59" s="39" cm="1">
        <f t="array" ref="G59">Common_InputFunctions.Utility_DisplayArrayInTable(SourceData_PastureBeef.SourceData_PastureBeef_LiveweightNTQLD_Data(),Table_SourceData_PastureBeef_LiveweightNTQD[[#Headers],[State]], 0)</f>
        <v>110</v>
      </c>
      <c r="H59" s="39" cm="1">
        <f t="array" ref="H59">Common_InputFunctions.Utility_DisplayArrayInTable(SourceData_PastureBeef.SourceData_PastureBeef_LiveweightNTQLD_Data(),Table_SourceData_PastureBeef_LiveweightNTQD[[#Headers],[State]], 0)</f>
        <v>650</v>
      </c>
      <c r="I59" s="39" cm="1">
        <f t="array" ref="I59">Common_InputFunctions.Utility_DisplayArrayInTable(SourceData_PastureBeef.SourceData_PastureBeef_LiveweightNTQLD_Data(),Table_SourceData_PastureBeef_LiveweightNTQD[[#Headers],[State]], 0)</f>
        <v>108</v>
      </c>
      <c r="J59" s="39" cm="1">
        <f t="array" ref="J59">Common_InputFunctions.Utility_DisplayArrayInTable(SourceData_PastureBeef.SourceData_PastureBeef_LiveweightNTQLD_Data(),Table_SourceData_PastureBeef_LiveweightNTQD[[#Headers],[State]], 0)</f>
        <v>262</v>
      </c>
      <c r="K59" s="39" cm="1">
        <f t="array" ref="K59">Common_InputFunctions.Utility_DisplayArrayInTable(SourceData_PastureBeef.SourceData_PastureBeef_LiveweightNTQLD_Data(),Table_SourceData_PastureBeef_LiveweightNTQD[[#Headers],[State]], 0)</f>
        <v>346</v>
      </c>
      <c r="L59" s="39" cm="1">
        <f t="array" ref="L59">Common_InputFunctions.Utility_DisplayArrayInTable(SourceData_PastureBeef.SourceData_PastureBeef_LiveweightNTQLD_Data(),Table_SourceData_PastureBeef_LiveweightNTQD[[#Headers],[State]], 0)</f>
        <v>430</v>
      </c>
      <c r="M59" s="39" cm="1">
        <f t="array" ref="M59">Common_InputFunctions.Utility_DisplayArrayInTable(SourceData_PastureBeef.SourceData_PastureBeef_LiveweightNTQLD_Data(),Table_SourceData_PastureBeef_LiveweightNTQD[[#Headers],[State]], 0)</f>
        <v>111</v>
      </c>
      <c r="N59" s="39" cm="1">
        <f t="array" ref="N59">Common_InputFunctions.Utility_DisplayArrayInTable(SourceData_PastureBeef.SourceData_PastureBeef_LiveweightNTQLD_Data(),Table_SourceData_PastureBeef_LiveweightNTQD[[#Headers],[State]], 0)</f>
        <v>236</v>
      </c>
      <c r="O59" s="39" t="str" cm="1">
        <f t="array" ref="O59">Common_InputFunctions.Utility_DisplayArrayInTable(SourceData_PastureBeef.SourceData_PastureBeef_LiveweightNTQLD_Data(),Table_SourceData_PastureBeef_LiveweightNTQD[[#Headers],[State]], 0)</f>
        <v>NO</v>
      </c>
      <c r="P59" s="39"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9" t="str" cm="1">
        <f t="array" ref="E60">Common_InputFunctions.Utility_DisplayArrayInTable(SourceData_PastureBeef.SourceData_PastureBeef_LiveweightNTQLD_Data(),Table_SourceData_PastureBeef_LiveweightNTQD[[#Headers],[State]], 0)</f>
        <v>Barkly</v>
      </c>
      <c r="F60" s="39" t="str" cm="1">
        <f t="array" ref="F60">Common_InputFunctions.Utility_DisplayArrayInTable(SourceData_PastureBeef.SourceData_PastureBeef_LiveweightNTQLD_Data(),Table_SourceData_PastureBeef_LiveweightNTQD[[#Headers],[State]], 0)</f>
        <v>Autumn</v>
      </c>
      <c r="G60" s="39" cm="1">
        <f t="array" ref="G60">Common_InputFunctions.Utility_DisplayArrayInTable(SourceData_PastureBeef.SourceData_PastureBeef_LiveweightNTQLD_Data(),Table_SourceData_PastureBeef_LiveweightNTQD[[#Headers],[State]], 0)</f>
        <v>170</v>
      </c>
      <c r="H60" s="39" cm="1">
        <f t="array" ref="H60">Common_InputFunctions.Utility_DisplayArrayInTable(SourceData_PastureBeef.SourceData_PastureBeef_LiveweightNTQLD_Data(),Table_SourceData_PastureBeef_LiveweightNTQD[[#Headers],[State]], 0)</f>
        <v>670</v>
      </c>
      <c r="I60" s="39" cm="1">
        <f t="array" ref="I60">Common_InputFunctions.Utility_DisplayArrayInTable(SourceData_PastureBeef.SourceData_PastureBeef_LiveweightNTQLD_Data(),Table_SourceData_PastureBeef_LiveweightNTQD[[#Headers],[State]], 0)</f>
        <v>170</v>
      </c>
      <c r="J60" s="39" cm="1">
        <f t="array" ref="J60">Common_InputFunctions.Utility_DisplayArrayInTable(SourceData_PastureBeef.SourceData_PastureBeef_LiveweightNTQLD_Data(),Table_SourceData_PastureBeef_LiveweightNTQD[[#Headers],[State]], 0)</f>
        <v>266</v>
      </c>
      <c r="K60" s="39" cm="1">
        <f t="array" ref="K60">Common_InputFunctions.Utility_DisplayArrayInTable(SourceData_PastureBeef.SourceData_PastureBeef_LiveweightNTQLD_Data(),Table_SourceData_PastureBeef_LiveweightNTQD[[#Headers],[State]], 0)</f>
        <v>363</v>
      </c>
      <c r="L60" s="39" cm="1">
        <f t="array" ref="L60">Common_InputFunctions.Utility_DisplayArrayInTable(SourceData_PastureBeef.SourceData_PastureBeef_LiveweightNTQLD_Data(),Table_SourceData_PastureBeef_LiveweightNTQD[[#Headers],[State]], 0)</f>
        <v>444</v>
      </c>
      <c r="M60" s="39" cm="1">
        <f t="array" ref="M60">Common_InputFunctions.Utility_DisplayArrayInTable(SourceData_PastureBeef.SourceData_PastureBeef_LiveweightNTQLD_Data(),Table_SourceData_PastureBeef_LiveweightNTQD[[#Headers],[State]], 0)</f>
        <v>169</v>
      </c>
      <c r="N60" s="39" cm="1">
        <f t="array" ref="N60">Common_InputFunctions.Utility_DisplayArrayInTable(SourceData_PastureBeef.SourceData_PastureBeef_LiveweightNTQLD_Data(),Table_SourceData_PastureBeef_LiveweightNTQD[[#Headers],[State]], 0)</f>
        <v>282</v>
      </c>
      <c r="O60" s="39" t="str" cm="1">
        <f t="array" ref="O60">Common_InputFunctions.Utility_DisplayArrayInTable(SourceData_PastureBeef.SourceData_PastureBeef_LiveweightNTQLD_Data(),Table_SourceData_PastureBeef_LiveweightNTQD[[#Headers],[State]], 0)</f>
        <v>NO</v>
      </c>
      <c r="P60" s="39"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9" t="str" cm="1">
        <f t="array" ref="E61">Common_InputFunctions.Utility_DisplayArrayInTable(SourceData_PastureBeef.SourceData_PastureBeef_LiveweightNTQLD_Data(),Table_SourceData_PastureBeef_LiveweightNTQD[[#Headers],[State]], 0)</f>
        <v>Barkly</v>
      </c>
      <c r="F61" s="39" t="str" cm="1">
        <f t="array" ref="F61">Common_InputFunctions.Utility_DisplayArrayInTable(SourceData_PastureBeef.SourceData_PastureBeef_LiveweightNTQLD_Data(),Table_SourceData_PastureBeef_LiveweightNTQD[[#Headers],[State]], 0)</f>
        <v>Winter</v>
      </c>
      <c r="G61" s="39" cm="1">
        <f t="array" ref="G61">Common_InputFunctions.Utility_DisplayArrayInTable(SourceData_PastureBeef.SourceData_PastureBeef_LiveweightNTQLD_Data(),Table_SourceData_PastureBeef_LiveweightNTQD[[#Headers],[State]], 0)</f>
        <v>200</v>
      </c>
      <c r="H61" s="39" cm="1">
        <f t="array" ref="H61">Common_InputFunctions.Utility_DisplayArrayInTable(SourceData_PastureBeef.SourceData_PastureBeef_LiveweightNTQLD_Data(),Table_SourceData_PastureBeef_LiveweightNTQD[[#Headers],[State]], 0)</f>
        <v>660</v>
      </c>
      <c r="I61" s="39" cm="1">
        <f t="array" ref="I61">Common_InputFunctions.Utility_DisplayArrayInTable(SourceData_PastureBeef.SourceData_PastureBeef_LiveweightNTQLD_Data(),Table_SourceData_PastureBeef_LiveweightNTQD[[#Headers],[State]], 0)</f>
        <v>225</v>
      </c>
      <c r="J61" s="39" cm="1">
        <f t="array" ref="J61">Common_InputFunctions.Utility_DisplayArrayInTable(SourceData_PastureBeef.SourceData_PastureBeef_LiveweightNTQLD_Data(),Table_SourceData_PastureBeef_LiveweightNTQD[[#Headers],[State]], 0)</f>
        <v>307</v>
      </c>
      <c r="K61" s="39" cm="1">
        <f t="array" ref="K61">Common_InputFunctions.Utility_DisplayArrayInTable(SourceData_PastureBeef.SourceData_PastureBeef_LiveweightNTQLD_Data(),Table_SourceData_PastureBeef_LiveweightNTQD[[#Headers],[State]], 0)</f>
        <v>398</v>
      </c>
      <c r="L61" s="39" cm="1">
        <f t="array" ref="L61">Common_InputFunctions.Utility_DisplayArrayInTable(SourceData_PastureBeef.SourceData_PastureBeef_LiveweightNTQLD_Data(),Table_SourceData_PastureBeef_LiveweightNTQD[[#Headers],[State]], 0)</f>
        <v>452</v>
      </c>
      <c r="M61" s="39" cm="1">
        <f t="array" ref="M61">Common_InputFunctions.Utility_DisplayArrayInTable(SourceData_PastureBeef.SourceData_PastureBeef_LiveweightNTQLD_Data(),Table_SourceData_PastureBeef_LiveweightNTQD[[#Headers],[State]], 0)</f>
        <v>214</v>
      </c>
      <c r="N61" s="39" cm="1">
        <f t="array" ref="N61">Common_InputFunctions.Utility_DisplayArrayInTable(SourceData_PastureBeef.SourceData_PastureBeef_LiveweightNTQLD_Data(),Table_SourceData_PastureBeef_LiveweightNTQD[[#Headers],[State]], 0)</f>
        <v>326</v>
      </c>
      <c r="O61" s="39" t="str" cm="1">
        <f t="array" ref="O61">Common_InputFunctions.Utility_DisplayArrayInTable(SourceData_PastureBeef.SourceData_PastureBeef_LiveweightNTQLD_Data(),Table_SourceData_PastureBeef_LiveweightNTQD[[#Headers],[State]], 0)</f>
        <v>NO</v>
      </c>
      <c r="P61" s="39"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9" t="str" cm="1">
        <f t="array" ref="E62">Common_InputFunctions.Utility_DisplayArrayInTable(SourceData_PastureBeef.SourceData_PastureBeef_LiveweightNTQLD_Data(),Table_SourceData_PastureBeef_LiveweightNTQD[[#Headers],[State]], 0)</f>
        <v>Northern</v>
      </c>
      <c r="F62" s="39" t="str" cm="1">
        <f t="array" ref="F62">Common_InputFunctions.Utility_DisplayArrayInTable(SourceData_PastureBeef.SourceData_PastureBeef_LiveweightNTQLD_Data(),Table_SourceData_PastureBeef_LiveweightNTQD[[#Headers],[State]], 0)</f>
        <v>Spring</v>
      </c>
      <c r="G62" s="39" cm="1">
        <f t="array" ref="G62">Common_InputFunctions.Utility_DisplayArrayInTable(SourceData_PastureBeef.SourceData_PastureBeef_LiveweightNTQLD_Data(),Table_SourceData_PastureBeef_LiveweightNTQD[[#Headers],[State]], 0)</f>
        <v>220</v>
      </c>
      <c r="H62" s="39" cm="1">
        <f t="array" ref="H62">Common_InputFunctions.Utility_DisplayArrayInTable(SourceData_PastureBeef.SourceData_PastureBeef_LiveweightNTQLD_Data(),Table_SourceData_PastureBeef_LiveweightNTQD[[#Headers],[State]], 0)</f>
        <v>620</v>
      </c>
      <c r="I62" s="39" cm="1">
        <f t="array" ref="I62">Common_InputFunctions.Utility_DisplayArrayInTable(SourceData_PastureBeef.SourceData_PastureBeef_LiveweightNTQLD_Data(),Table_SourceData_PastureBeef_LiveweightNTQD[[#Headers],[State]], 0)</f>
        <v>177</v>
      </c>
      <c r="J62" s="39" cm="1">
        <f t="array" ref="J62">Common_InputFunctions.Utility_DisplayArrayInTable(SourceData_PastureBeef.SourceData_PastureBeef_LiveweightNTQLD_Data(),Table_SourceData_PastureBeef_LiveweightNTQD[[#Headers],[State]], 0)</f>
        <v>267</v>
      </c>
      <c r="K62" s="39" cm="1">
        <f t="array" ref="K62">Common_InputFunctions.Utility_DisplayArrayInTable(SourceData_PastureBeef.SourceData_PastureBeef_LiveweightNTQLD_Data(),Table_SourceData_PastureBeef_LiveweightNTQD[[#Headers],[State]], 0)</f>
        <v>365</v>
      </c>
      <c r="L62" s="39" cm="1">
        <f t="array" ref="L62">Common_InputFunctions.Utility_DisplayArrayInTable(SourceData_PastureBeef.SourceData_PastureBeef_LiveweightNTQLD_Data(),Table_SourceData_PastureBeef_LiveweightNTQD[[#Headers],[State]], 0)</f>
        <v>406</v>
      </c>
      <c r="M62" s="39" cm="1">
        <f t="array" ref="M62">Common_InputFunctions.Utility_DisplayArrayInTable(SourceData_PastureBeef.SourceData_PastureBeef_LiveweightNTQLD_Data(),Table_SourceData_PastureBeef_LiveweightNTQD[[#Headers],[State]], 0)</f>
        <v>231</v>
      </c>
      <c r="N62" s="39" cm="1">
        <f t="array" ref="N62">Common_InputFunctions.Utility_DisplayArrayInTable(SourceData_PastureBeef.SourceData_PastureBeef_LiveweightNTQLD_Data(),Table_SourceData_PastureBeef_LiveweightNTQD[[#Headers],[State]], 0)</f>
        <v>249</v>
      </c>
      <c r="O62" s="39" cm="1">
        <f t="array" ref="O62">Common_InputFunctions.Utility_DisplayArrayInTable(SourceData_PastureBeef.SourceData_PastureBeef_LiveweightNTQLD_Data(),Table_SourceData_PastureBeef_LiveweightNTQD[[#Headers],[State]], 0)</f>
        <v>324</v>
      </c>
      <c r="P62" s="39"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9" t="str" cm="1">
        <f t="array" ref="E63">Common_InputFunctions.Utility_DisplayArrayInTable(SourceData_PastureBeef.SourceData_PastureBeef_LiveweightNTQLD_Data(),Table_SourceData_PastureBeef_LiveweightNTQD[[#Headers],[State]], 0)</f>
        <v>Northern</v>
      </c>
      <c r="F63" s="39" t="str" cm="1">
        <f t="array" ref="F63">Common_InputFunctions.Utility_DisplayArrayInTable(SourceData_PastureBeef.SourceData_PastureBeef_LiveweightNTQLD_Data(),Table_SourceData_PastureBeef_LiveweightNTQD[[#Headers],[State]], 0)</f>
        <v>Summer</v>
      </c>
      <c r="G63" s="39" cm="1">
        <f t="array" ref="G63">Common_InputFunctions.Utility_DisplayArrayInTable(SourceData_PastureBeef.SourceData_PastureBeef_LiveweightNTQLD_Data(),Table_SourceData_PastureBeef_LiveweightNTQD[[#Headers],[State]], 0)</f>
        <v>110</v>
      </c>
      <c r="H63" s="39" cm="1">
        <f t="array" ref="H63">Common_InputFunctions.Utility_DisplayArrayInTable(SourceData_PastureBeef.SourceData_PastureBeef_LiveweightNTQLD_Data(),Table_SourceData_PastureBeef_LiveweightNTQD[[#Headers],[State]], 0)</f>
        <v>650</v>
      </c>
      <c r="I63" s="39" cm="1">
        <f t="array" ref="I63">Common_InputFunctions.Utility_DisplayArrayInTable(SourceData_PastureBeef.SourceData_PastureBeef_LiveweightNTQLD_Data(),Table_SourceData_PastureBeef_LiveweightNTQD[[#Headers],[State]], 0)</f>
        <v>102</v>
      </c>
      <c r="J63" s="39" cm="1">
        <f t="array" ref="J63">Common_InputFunctions.Utility_DisplayArrayInTable(SourceData_PastureBeef.SourceData_PastureBeef_LiveweightNTQLD_Data(),Table_SourceData_PastureBeef_LiveweightNTQD[[#Headers],[State]], 0)</f>
        <v>203</v>
      </c>
      <c r="K63" s="39" cm="1">
        <f t="array" ref="K63">Common_InputFunctions.Utility_DisplayArrayInTable(SourceData_PastureBeef.SourceData_PastureBeef_LiveweightNTQLD_Data(),Table_SourceData_PastureBeef_LiveweightNTQD[[#Headers],[State]], 0)</f>
        <v>299</v>
      </c>
      <c r="L63" s="39" cm="1">
        <f t="array" ref="L63">Common_InputFunctions.Utility_DisplayArrayInTable(SourceData_PastureBeef.SourceData_PastureBeef_LiveweightNTQLD_Data(),Table_SourceData_PastureBeef_LiveweightNTQD[[#Headers],[State]], 0)</f>
        <v>380</v>
      </c>
      <c r="M63" s="39" cm="1">
        <f t="array" ref="M63">Common_InputFunctions.Utility_DisplayArrayInTable(SourceData_PastureBeef.SourceData_PastureBeef_LiveweightNTQLD_Data(),Table_SourceData_PastureBeef_LiveweightNTQD[[#Headers],[State]], 0)</f>
        <v>102</v>
      </c>
      <c r="N63" s="39" cm="1">
        <f t="array" ref="N63">Common_InputFunctions.Utility_DisplayArrayInTable(SourceData_PastureBeef.SourceData_PastureBeef_LiveweightNTQLD_Data(),Table_SourceData_PastureBeef_LiveweightNTQD[[#Headers],[State]], 0)</f>
        <v>218</v>
      </c>
      <c r="O63" s="39" cm="1">
        <f t="array" ref="O63">Common_InputFunctions.Utility_DisplayArrayInTable(SourceData_PastureBeef.SourceData_PastureBeef_LiveweightNTQLD_Data(),Table_SourceData_PastureBeef_LiveweightNTQD[[#Headers],[State]], 0)</f>
        <v>263</v>
      </c>
      <c r="P63" s="39"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9" t="str" cm="1">
        <f t="array" ref="E64">Common_InputFunctions.Utility_DisplayArrayInTable(SourceData_PastureBeef.SourceData_PastureBeef_LiveweightNTQLD_Data(),Table_SourceData_PastureBeef_LiveweightNTQD[[#Headers],[State]], 0)</f>
        <v>Northern</v>
      </c>
      <c r="F64" s="39" t="str" cm="1">
        <f t="array" ref="F64">Common_InputFunctions.Utility_DisplayArrayInTable(SourceData_PastureBeef.SourceData_PastureBeef_LiveweightNTQLD_Data(),Table_SourceData_PastureBeef_LiveweightNTQD[[#Headers],[State]], 0)</f>
        <v>Autumn</v>
      </c>
      <c r="G64" s="39" cm="1">
        <f t="array" ref="G64">Common_InputFunctions.Utility_DisplayArrayInTable(SourceData_PastureBeef.SourceData_PastureBeef_LiveweightNTQLD_Data(),Table_SourceData_PastureBeef_LiveweightNTQD[[#Headers],[State]], 0)</f>
        <v>170</v>
      </c>
      <c r="H64" s="39" cm="1">
        <f t="array" ref="H64">Common_InputFunctions.Utility_DisplayArrayInTable(SourceData_PastureBeef.SourceData_PastureBeef_LiveweightNTQLD_Data(),Table_SourceData_PastureBeef_LiveweightNTQD[[#Headers],[State]], 0)</f>
        <v>670</v>
      </c>
      <c r="I64" s="39" cm="1">
        <f t="array" ref="I64">Common_InputFunctions.Utility_DisplayArrayInTable(SourceData_PastureBeef.SourceData_PastureBeef_LiveweightNTQLD_Data(),Table_SourceData_PastureBeef_LiveweightNTQD[[#Headers],[State]], 0)</f>
        <v>173</v>
      </c>
      <c r="J64" s="39" cm="1">
        <f t="array" ref="J64">Common_InputFunctions.Utility_DisplayArrayInTable(SourceData_PastureBeef.SourceData_PastureBeef_LiveweightNTQLD_Data(),Table_SourceData_PastureBeef_LiveweightNTQD[[#Headers],[State]], 0)</f>
        <v>250</v>
      </c>
      <c r="K64" s="39" cm="1">
        <f t="array" ref="K64">Common_InputFunctions.Utility_DisplayArrayInTable(SourceData_PastureBeef.SourceData_PastureBeef_LiveweightNTQLD_Data(),Table_SourceData_PastureBeef_LiveweightNTQD[[#Headers],[State]], 0)</f>
        <v>336</v>
      </c>
      <c r="L64" s="39" cm="1">
        <f t="array" ref="L64">Common_InputFunctions.Utility_DisplayArrayInTable(SourceData_PastureBeef.SourceData_PastureBeef_LiveweightNTQLD_Data(),Table_SourceData_PastureBeef_LiveweightNTQD[[#Headers],[State]], 0)</f>
        <v>414</v>
      </c>
      <c r="M64" s="39" cm="1">
        <f t="array" ref="M64">Common_InputFunctions.Utility_DisplayArrayInTable(SourceData_PastureBeef.SourceData_PastureBeef_LiveweightNTQLD_Data(),Table_SourceData_PastureBeef_LiveweightNTQD[[#Headers],[State]], 0)</f>
        <v>175</v>
      </c>
      <c r="N64" s="39" cm="1">
        <f t="array" ref="N64">Common_InputFunctions.Utility_DisplayArrayInTable(SourceData_PastureBeef.SourceData_PastureBeef_LiveweightNTQLD_Data(),Table_SourceData_PastureBeef_LiveweightNTQD[[#Headers],[State]], 0)</f>
        <v>243</v>
      </c>
      <c r="O64" s="39" cm="1">
        <f t="array" ref="O64">Common_InputFunctions.Utility_DisplayArrayInTable(SourceData_PastureBeef.SourceData_PastureBeef_LiveweightNTQLD_Data(),Table_SourceData_PastureBeef_LiveweightNTQD[[#Headers],[State]], 0)</f>
        <v>304</v>
      </c>
      <c r="P64" s="39"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9" t="str" cm="1">
        <f t="array" ref="E65">Common_InputFunctions.Utility_DisplayArrayInTable(SourceData_PastureBeef.SourceData_PastureBeef_LiveweightNTQLD_Data(),Table_SourceData_PastureBeef_LiveweightNTQD[[#Headers],[State]], 0)</f>
        <v>Northern</v>
      </c>
      <c r="F65" s="39" t="str" cm="1">
        <f t="array" ref="F65">Common_InputFunctions.Utility_DisplayArrayInTable(SourceData_PastureBeef.SourceData_PastureBeef_LiveweightNTQLD_Data(),Table_SourceData_PastureBeef_LiveweightNTQD[[#Headers],[State]], 0)</f>
        <v>Winter</v>
      </c>
      <c r="G65" s="39" cm="1">
        <f t="array" ref="G65">Common_InputFunctions.Utility_DisplayArrayInTable(SourceData_PastureBeef.SourceData_PastureBeef_LiveweightNTQLD_Data(),Table_SourceData_PastureBeef_LiveweightNTQD[[#Headers],[State]], 0)</f>
        <v>200</v>
      </c>
      <c r="H65" s="39" cm="1">
        <f t="array" ref="H65">Common_InputFunctions.Utility_DisplayArrayInTable(SourceData_PastureBeef.SourceData_PastureBeef_LiveweightNTQLD_Data(),Table_SourceData_PastureBeef_LiveweightNTQD[[#Headers],[State]], 0)</f>
        <v>660</v>
      </c>
      <c r="I65" s="39" cm="1">
        <f t="array" ref="I65">Common_InputFunctions.Utility_DisplayArrayInTable(SourceData_PastureBeef.SourceData_PastureBeef_LiveweightNTQLD_Data(),Table_SourceData_PastureBeef_LiveweightNTQD[[#Headers],[State]], 0)</f>
        <v>202</v>
      </c>
      <c r="J65" s="39" cm="1">
        <f t="array" ref="J65">Common_InputFunctions.Utility_DisplayArrayInTable(SourceData_PastureBeef.SourceData_PastureBeef_LiveweightNTQLD_Data(),Table_SourceData_PastureBeef_LiveweightNTQD[[#Headers],[State]], 0)</f>
        <v>272</v>
      </c>
      <c r="K65" s="39" cm="1">
        <f t="array" ref="K65">Common_InputFunctions.Utility_DisplayArrayInTable(SourceData_PastureBeef.SourceData_PastureBeef_LiveweightNTQLD_Data(),Table_SourceData_PastureBeef_LiveweightNTQD[[#Headers],[State]], 0)</f>
        <v>365</v>
      </c>
      <c r="L65" s="39" cm="1">
        <f t="array" ref="L65">Common_InputFunctions.Utility_DisplayArrayInTable(SourceData_PastureBeef.SourceData_PastureBeef_LiveweightNTQLD_Data(),Table_SourceData_PastureBeef_LiveweightNTQD[[#Headers],[State]], 0)</f>
        <v>390</v>
      </c>
      <c r="M65" s="39" cm="1">
        <f t="array" ref="M65">Common_InputFunctions.Utility_DisplayArrayInTable(SourceData_PastureBeef.SourceData_PastureBeef_LiveweightNTQLD_Data(),Table_SourceData_PastureBeef_LiveweightNTQD[[#Headers],[State]], 0)</f>
        <v>208</v>
      </c>
      <c r="N65" s="39" cm="1">
        <f t="array" ref="N65">Common_InputFunctions.Utility_DisplayArrayInTable(SourceData_PastureBeef.SourceData_PastureBeef_LiveweightNTQLD_Data(),Table_SourceData_PastureBeef_LiveweightNTQD[[#Headers],[State]], 0)</f>
        <v>260</v>
      </c>
      <c r="O65" s="39" cm="1">
        <f t="array" ref="O65">Common_InputFunctions.Utility_DisplayArrayInTable(SourceData_PastureBeef.SourceData_PastureBeef_LiveweightNTQLD_Data(),Table_SourceData_PastureBeef_LiveweightNTQD[[#Headers],[State]], 0)</f>
        <v>337</v>
      </c>
      <c r="P65" s="39"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9" t="str" cm="1">
        <f t="array" ref="E66">Common_InputFunctions.Utility_DisplayArrayInTable(SourceData_PastureBeef.SourceData_PastureBeef_LiveweightNTQLD_Data(),Table_SourceData_PastureBeef_LiveweightNTQD[[#Headers],[State]], 0)</f>
        <v>High</v>
      </c>
      <c r="F66" s="39" t="str" cm="1">
        <f t="array" ref="F66">Common_InputFunctions.Utility_DisplayArrayInTable(SourceData_PastureBeef.SourceData_PastureBeef_LiveweightNTQLD_Data(),Table_SourceData_PastureBeef_LiveweightNTQD[[#Headers],[State]], 0)</f>
        <v>Spring</v>
      </c>
      <c r="G66" s="39" cm="1">
        <f t="array" ref="G66">Common_InputFunctions.Utility_DisplayArrayInTable(SourceData_PastureBeef.SourceData_PastureBeef_LiveweightNTQLD_Data(),Table_SourceData_PastureBeef_LiveweightNTQD[[#Headers],[State]], 0)</f>
        <v>260</v>
      </c>
      <c r="H66" s="39" cm="1">
        <f t="array" ref="H66">Common_InputFunctions.Utility_DisplayArrayInTable(SourceData_PastureBeef.SourceData_PastureBeef_LiveweightNTQLD_Data(),Table_SourceData_PastureBeef_LiveweightNTQD[[#Headers],[State]], 0)</f>
        <v>705</v>
      </c>
      <c r="I66" s="39" cm="1">
        <f t="array" ref="I66">Common_InputFunctions.Utility_DisplayArrayInTable(SourceData_PastureBeef.SourceData_PastureBeef_LiveweightNTQLD_Data(),Table_SourceData_PastureBeef_LiveweightNTQD[[#Headers],[State]], 0)</f>
        <v>215</v>
      </c>
      <c r="J66" s="39" cm="1">
        <f t="array" ref="J66">Common_InputFunctions.Utility_DisplayArrayInTable(SourceData_PastureBeef.SourceData_PastureBeef_LiveweightNTQLD_Data(),Table_SourceData_PastureBeef_LiveweightNTQD[[#Headers],[State]], 0)</f>
        <v>302</v>
      </c>
      <c r="K66" s="39" cm="1">
        <f t="array" ref="K66">Common_InputFunctions.Utility_DisplayArrayInTable(SourceData_PastureBeef.SourceData_PastureBeef_LiveweightNTQLD_Data(),Table_SourceData_PastureBeef_LiveweightNTQD[[#Headers],[State]], 0)</f>
        <v>416</v>
      </c>
      <c r="L66" s="39" cm="1">
        <f t="array" ref="L66">Common_InputFunctions.Utility_DisplayArrayInTable(SourceData_PastureBeef.SourceData_PastureBeef_LiveweightNTQLD_Data(),Table_SourceData_PastureBeef_LiveweightNTQD[[#Headers],[State]], 0)</f>
        <v>519</v>
      </c>
      <c r="M66" s="39" cm="1">
        <f t="array" ref="M66">Common_InputFunctions.Utility_DisplayArrayInTable(SourceData_PastureBeef.SourceData_PastureBeef_LiveweightNTQLD_Data(),Table_SourceData_PastureBeef_LiveweightNTQD[[#Headers],[State]], 0)</f>
        <v>234</v>
      </c>
      <c r="N66" s="39" cm="1">
        <f t="array" ref="N66">Common_InputFunctions.Utility_DisplayArrayInTable(SourceData_PastureBeef.SourceData_PastureBeef_LiveweightNTQLD_Data(),Table_SourceData_PastureBeef_LiveweightNTQD[[#Headers],[State]], 0)</f>
        <v>455</v>
      </c>
      <c r="O66" s="39" cm="1">
        <f t="array" ref="O66">Common_InputFunctions.Utility_DisplayArrayInTable(SourceData_PastureBeef.SourceData_PastureBeef_LiveweightNTQLD_Data(),Table_SourceData_PastureBeef_LiveweightNTQD[[#Headers],[State]], 0)</f>
        <v>551</v>
      </c>
      <c r="P66" s="39"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9" t="str" cm="1">
        <f t="array" ref="E67">Common_InputFunctions.Utility_DisplayArrayInTable(SourceData_PastureBeef.SourceData_PastureBeef_LiveweightNTQLD_Data(),Table_SourceData_PastureBeef_LiveweightNTQD[[#Headers],[State]], 0)</f>
        <v>High</v>
      </c>
      <c r="F67" s="39" t="str" cm="1">
        <f t="array" ref="F67">Common_InputFunctions.Utility_DisplayArrayInTable(SourceData_PastureBeef.SourceData_PastureBeef_LiveweightNTQLD_Data(),Table_SourceData_PastureBeef_LiveweightNTQD[[#Headers],[State]], 0)</f>
        <v>Summer</v>
      </c>
      <c r="G67" s="39" cm="1">
        <f t="array" ref="G67">Common_InputFunctions.Utility_DisplayArrayInTable(SourceData_PastureBeef.SourceData_PastureBeef_LiveweightNTQLD_Data(),Table_SourceData_PastureBeef_LiveweightNTQD[[#Headers],[State]], 0)</f>
        <v>153</v>
      </c>
      <c r="H67" s="39" cm="1">
        <f t="array" ref="H67">Common_InputFunctions.Utility_DisplayArrayInTable(SourceData_PastureBeef.SourceData_PastureBeef_LiveweightNTQLD_Data(),Table_SourceData_PastureBeef_LiveweightNTQD[[#Headers],[State]], 0)</f>
        <v>703</v>
      </c>
      <c r="I67" s="39" cm="1">
        <f t="array" ref="I67">Common_InputFunctions.Utility_DisplayArrayInTable(SourceData_PastureBeef.SourceData_PastureBeef_LiveweightNTQLD_Data(),Table_SourceData_PastureBeef_LiveweightNTQD[[#Headers],[State]], 0)</f>
        <v>118</v>
      </c>
      <c r="J67" s="39" cm="1">
        <f t="array" ref="J67">Common_InputFunctions.Utility_DisplayArrayInTable(SourceData_PastureBeef.SourceData_PastureBeef_LiveweightNTQLD_Data(),Table_SourceData_PastureBeef_LiveweightNTQD[[#Headers],[State]], 0)</f>
        <v>277</v>
      </c>
      <c r="K67" s="39" cm="1">
        <f t="array" ref="K67">Common_InputFunctions.Utility_DisplayArrayInTable(SourceData_PastureBeef.SourceData_PastureBeef_LiveweightNTQLD_Data(),Table_SourceData_PastureBeef_LiveweightNTQD[[#Headers],[State]], 0)</f>
        <v>397</v>
      </c>
      <c r="L67" s="39" cm="1">
        <f t="array" ref="L67">Common_InputFunctions.Utility_DisplayArrayInTable(SourceData_PastureBeef.SourceData_PastureBeef_LiveweightNTQLD_Data(),Table_SourceData_PastureBeef_LiveweightNTQD[[#Headers],[State]], 0)</f>
        <v>483</v>
      </c>
      <c r="M67" s="39" cm="1">
        <f t="array" ref="M67">Common_InputFunctions.Utility_DisplayArrayInTable(SourceData_PastureBeef.SourceData_PastureBeef_LiveweightNTQLD_Data(),Table_SourceData_PastureBeef_LiveweightNTQD[[#Headers],[State]], 0)</f>
        <v>111</v>
      </c>
      <c r="N67" s="39" cm="1">
        <f t="array" ref="N67">Common_InputFunctions.Utility_DisplayArrayInTable(SourceData_PastureBeef.SourceData_PastureBeef_LiveweightNTQLD_Data(),Table_SourceData_PastureBeef_LiveweightNTQD[[#Headers],[State]], 0)</f>
        <v>304</v>
      </c>
      <c r="O67" s="39" cm="1">
        <f t="array" ref="O67">Common_InputFunctions.Utility_DisplayArrayInTable(SourceData_PastureBeef.SourceData_PastureBeef_LiveweightNTQLD_Data(),Table_SourceData_PastureBeef_LiveweightNTQD[[#Headers],[State]], 0)</f>
        <v>521</v>
      </c>
      <c r="P67" s="39"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9" t="str" cm="1">
        <f t="array" ref="E68">Common_InputFunctions.Utility_DisplayArrayInTable(SourceData_PastureBeef.SourceData_PastureBeef_LiveweightNTQLD_Data(),Table_SourceData_PastureBeef_LiveweightNTQD[[#Headers],[State]], 0)</f>
        <v>High</v>
      </c>
      <c r="F68" s="39" t="str" cm="1">
        <f t="array" ref="F68">Common_InputFunctions.Utility_DisplayArrayInTable(SourceData_PastureBeef.SourceData_PastureBeef_LiveweightNTQLD_Data(),Table_SourceData_PastureBeef_LiveweightNTQD[[#Headers],[State]], 0)</f>
        <v>Autumn</v>
      </c>
      <c r="G68" s="39" cm="1">
        <f t="array" ref="G68">Common_InputFunctions.Utility_DisplayArrayInTable(SourceData_PastureBeef.SourceData_PastureBeef_LiveweightNTQLD_Data(),Table_SourceData_PastureBeef_LiveweightNTQD[[#Headers],[State]], 0)</f>
        <v>168</v>
      </c>
      <c r="H68" s="39" cm="1">
        <f t="array" ref="H68">Common_InputFunctions.Utility_DisplayArrayInTable(SourceData_PastureBeef.SourceData_PastureBeef_LiveweightNTQLD_Data(),Table_SourceData_PastureBeef_LiveweightNTQD[[#Headers],[State]], 0)</f>
        <v>718</v>
      </c>
      <c r="I68" s="39" cm="1">
        <f t="array" ref="I68">Common_InputFunctions.Utility_DisplayArrayInTable(SourceData_PastureBeef.SourceData_PastureBeef_LiveweightNTQLD_Data(),Table_SourceData_PastureBeef_LiveweightNTQD[[#Headers],[State]], 0)</f>
        <v>191</v>
      </c>
      <c r="J68" s="39" cm="1">
        <f t="array" ref="J68">Common_InputFunctions.Utility_DisplayArrayInTable(SourceData_PastureBeef.SourceData_PastureBeef_LiveweightNTQLD_Data(),Table_SourceData_PastureBeef_LiveweightNTQD[[#Headers],[State]], 0)</f>
        <v>319</v>
      </c>
      <c r="K68" s="39" cm="1">
        <f t="array" ref="K68">Common_InputFunctions.Utility_DisplayArrayInTable(SourceData_PastureBeef.SourceData_PastureBeef_LiveweightNTQLD_Data(),Table_SourceData_PastureBeef_LiveweightNTQD[[#Headers],[State]], 0)</f>
        <v>440</v>
      </c>
      <c r="L68" s="39" cm="1">
        <f t="array" ref="L68">Common_InputFunctions.Utility_DisplayArrayInTable(SourceData_PastureBeef.SourceData_PastureBeef_LiveweightNTQLD_Data(),Table_SourceData_PastureBeef_LiveweightNTQD[[#Headers],[State]], 0)</f>
        <v>506</v>
      </c>
      <c r="M68" s="39" cm="1">
        <f t="array" ref="M68">Common_InputFunctions.Utility_DisplayArrayInTable(SourceData_PastureBeef.SourceData_PastureBeef_LiveweightNTQLD_Data(),Table_SourceData_PastureBeef_LiveweightNTQD[[#Headers],[State]], 0)</f>
        <v>188</v>
      </c>
      <c r="N68" s="39" cm="1">
        <f t="array" ref="N68">Common_InputFunctions.Utility_DisplayArrayInTable(SourceData_PastureBeef.SourceData_PastureBeef_LiveweightNTQLD_Data(),Table_SourceData_PastureBeef_LiveweightNTQD[[#Headers],[State]], 0)</f>
        <v>326</v>
      </c>
      <c r="O68" s="39" cm="1">
        <f t="array" ref="O68">Common_InputFunctions.Utility_DisplayArrayInTable(SourceData_PastureBeef.SourceData_PastureBeef_LiveweightNTQLD_Data(),Table_SourceData_PastureBeef_LiveweightNTQD[[#Headers],[State]], 0)</f>
        <v>520</v>
      </c>
      <c r="P68" s="39"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9" t="str" cm="1">
        <f t="array" ref="E69">Common_InputFunctions.Utility_DisplayArrayInTable(SourceData_PastureBeef.SourceData_PastureBeef_LiveweightNTQLD_Data(),Table_SourceData_PastureBeef_LiveweightNTQD[[#Headers],[State]], 0)</f>
        <v>High</v>
      </c>
      <c r="F69" s="39" t="str" cm="1">
        <f t="array" ref="F69">Common_InputFunctions.Utility_DisplayArrayInTable(SourceData_PastureBeef.SourceData_PastureBeef_LiveweightNTQLD_Data(),Table_SourceData_PastureBeef_LiveweightNTQD[[#Headers],[State]], 0)</f>
        <v>Winter</v>
      </c>
      <c r="G69" s="39" cm="1">
        <f t="array" ref="G69">Common_InputFunctions.Utility_DisplayArrayInTable(SourceData_PastureBeef.SourceData_PastureBeef_LiveweightNTQLD_Data(),Table_SourceData_PastureBeef_LiveweightNTQD[[#Headers],[State]], 0)</f>
        <v>235</v>
      </c>
      <c r="H69" s="39" cm="1">
        <f t="array" ref="H69">Common_InputFunctions.Utility_DisplayArrayInTable(SourceData_PastureBeef.SourceData_PastureBeef_LiveweightNTQLD_Data(),Table_SourceData_PastureBeef_LiveweightNTQD[[#Headers],[State]], 0)</f>
        <v>722</v>
      </c>
      <c r="I69" s="39" cm="1">
        <f t="array" ref="I69">Common_InputFunctions.Utility_DisplayArrayInTable(SourceData_PastureBeef.SourceData_PastureBeef_LiveweightNTQLD_Data(),Table_SourceData_PastureBeef_LiveweightNTQD[[#Headers],[State]], 0)</f>
        <v>207</v>
      </c>
      <c r="J69" s="39" cm="1">
        <f t="array" ref="J69">Common_InputFunctions.Utility_DisplayArrayInTable(SourceData_PastureBeef.SourceData_PastureBeef_LiveweightNTQLD_Data(),Table_SourceData_PastureBeef_LiveweightNTQD[[#Headers],[State]], 0)</f>
        <v>352</v>
      </c>
      <c r="K69" s="39" cm="1">
        <f t="array" ref="K69">Common_InputFunctions.Utility_DisplayArrayInTable(SourceData_PastureBeef.SourceData_PastureBeef_LiveweightNTQLD_Data(),Table_SourceData_PastureBeef_LiveweightNTQD[[#Headers],[State]], 0)</f>
        <v>470</v>
      </c>
      <c r="L69" s="39" cm="1">
        <f t="array" ref="L69">Common_InputFunctions.Utility_DisplayArrayInTable(SourceData_PastureBeef.SourceData_PastureBeef_LiveweightNTQLD_Data(),Table_SourceData_PastureBeef_LiveweightNTQD[[#Headers],[State]], 0)</f>
        <v>514</v>
      </c>
      <c r="M69" s="39" cm="1">
        <f t="array" ref="M69">Common_InputFunctions.Utility_DisplayArrayInTable(SourceData_PastureBeef.SourceData_PastureBeef_LiveweightNTQLD_Data(),Table_SourceData_PastureBeef_LiveweightNTQD[[#Headers],[State]], 0)</f>
        <v>209</v>
      </c>
      <c r="N69" s="39" cm="1">
        <f t="array" ref="N69">Common_InputFunctions.Utility_DisplayArrayInTable(SourceData_PastureBeef.SourceData_PastureBeef_LiveweightNTQLD_Data(),Table_SourceData_PastureBeef_LiveweightNTQD[[#Headers],[State]], 0)</f>
        <v>421</v>
      </c>
      <c r="O69" s="39" cm="1">
        <f t="array" ref="O69">Common_InputFunctions.Utility_DisplayArrayInTable(SourceData_PastureBeef.SourceData_PastureBeef_LiveweightNTQLD_Data(),Table_SourceData_PastureBeef_LiveweightNTQD[[#Headers],[State]], 0)</f>
        <v>512</v>
      </c>
      <c r="P69" s="39"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9" t="str" cm="1">
        <f t="array" ref="E70">Common_InputFunctions.Utility_DisplayArrayInTable(SourceData_PastureBeef.SourceData_PastureBeef_LiveweightNTQLD_Data(),Table_SourceData_PastureBeef_LiveweightNTQD[[#Headers],[State]], 0)</f>
        <v>Moderate/High</v>
      </c>
      <c r="F70" s="39" t="str" cm="1">
        <f t="array" ref="F70">Common_InputFunctions.Utility_DisplayArrayInTable(SourceData_PastureBeef.SourceData_PastureBeef_LiveweightNTQLD_Data(),Table_SourceData_PastureBeef_LiveweightNTQD[[#Headers],[State]], 0)</f>
        <v>Spring</v>
      </c>
      <c r="G70" s="39" cm="1">
        <f t="array" ref="G70">Common_InputFunctions.Utility_DisplayArrayInTable(SourceData_PastureBeef.SourceData_PastureBeef_LiveweightNTQLD_Data(),Table_SourceData_PastureBeef_LiveweightNTQD[[#Headers],[State]], 0)</f>
        <v>230</v>
      </c>
      <c r="H70" s="39" cm="1">
        <f t="array" ref="H70">Common_InputFunctions.Utility_DisplayArrayInTable(SourceData_PastureBeef.SourceData_PastureBeef_LiveweightNTQLD_Data(),Table_SourceData_PastureBeef_LiveweightNTQD[[#Headers],[State]], 0)</f>
        <v>674</v>
      </c>
      <c r="I70" s="39" cm="1">
        <f t="array" ref="I70">Common_InputFunctions.Utility_DisplayArrayInTable(SourceData_PastureBeef.SourceData_PastureBeef_LiveweightNTQLD_Data(),Table_SourceData_PastureBeef_LiveweightNTQD[[#Headers],[State]], 0)</f>
        <v>217</v>
      </c>
      <c r="J70" s="39" cm="1">
        <f t="array" ref="J70">Common_InputFunctions.Utility_DisplayArrayInTable(SourceData_PastureBeef.SourceData_PastureBeef_LiveweightNTQLD_Data(),Table_SourceData_PastureBeef_LiveweightNTQD[[#Headers],[State]], 0)</f>
        <v>344</v>
      </c>
      <c r="K70" s="39" cm="1">
        <f t="array" ref="K70">Common_InputFunctions.Utility_DisplayArrayInTable(SourceData_PastureBeef.SourceData_PastureBeef_LiveweightNTQLD_Data(),Table_SourceData_PastureBeef_LiveweightNTQD[[#Headers],[State]], 0)</f>
        <v>357</v>
      </c>
      <c r="L70" s="39" cm="1">
        <f t="array" ref="L70">Common_InputFunctions.Utility_DisplayArrayInTable(SourceData_PastureBeef.SourceData_PastureBeef_LiveweightNTQLD_Data(),Table_SourceData_PastureBeef_LiveweightNTQD[[#Headers],[State]], 0)</f>
        <v>467</v>
      </c>
      <c r="M70" s="39" cm="1">
        <f t="array" ref="M70">Common_InputFunctions.Utility_DisplayArrayInTable(SourceData_PastureBeef.SourceData_PastureBeef_LiveweightNTQLD_Data(),Table_SourceData_PastureBeef_LiveweightNTQD[[#Headers],[State]], 0)</f>
        <v>242</v>
      </c>
      <c r="N70" s="39" cm="1">
        <f t="array" ref="N70">Common_InputFunctions.Utility_DisplayArrayInTable(SourceData_PastureBeef.SourceData_PastureBeef_LiveweightNTQLD_Data(),Table_SourceData_PastureBeef_LiveweightNTQD[[#Headers],[State]], 0)</f>
        <v>370</v>
      </c>
      <c r="O70" s="39" cm="1">
        <f t="array" ref="O70">Common_InputFunctions.Utility_DisplayArrayInTable(SourceData_PastureBeef.SourceData_PastureBeef_LiveweightNTQLD_Data(),Table_SourceData_PastureBeef_LiveweightNTQD[[#Headers],[State]], 0)</f>
        <v>550</v>
      </c>
      <c r="P70" s="39"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9" t="str" cm="1">
        <f t="array" ref="E71">Common_InputFunctions.Utility_DisplayArrayInTable(SourceData_PastureBeef.SourceData_PastureBeef_LiveweightNTQLD_Data(),Table_SourceData_PastureBeef_LiveweightNTQD[[#Headers],[State]], 0)</f>
        <v>Moderate/High</v>
      </c>
      <c r="F71" s="39" t="str" cm="1">
        <f t="array" ref="F71">Common_InputFunctions.Utility_DisplayArrayInTable(SourceData_PastureBeef.SourceData_PastureBeef_LiveweightNTQLD_Data(),Table_SourceData_PastureBeef_LiveweightNTQD[[#Headers],[State]], 0)</f>
        <v>Summer</v>
      </c>
      <c r="G71" s="39" cm="1">
        <f t="array" ref="G71">Common_InputFunctions.Utility_DisplayArrayInTable(SourceData_PastureBeef.SourceData_PastureBeef_LiveweightNTQLD_Data(),Table_SourceData_PastureBeef_LiveweightNTQD[[#Headers],[State]], 0)</f>
        <v>113</v>
      </c>
      <c r="H71" s="39" cm="1">
        <f t="array" ref="H71">Common_InputFunctions.Utility_DisplayArrayInTable(SourceData_PastureBeef.SourceData_PastureBeef_LiveweightNTQLD_Data(),Table_SourceData_PastureBeef_LiveweightNTQD[[#Headers],[State]], 0)</f>
        <v>669</v>
      </c>
      <c r="I71" s="39" cm="1">
        <f t="array" ref="I71">Common_InputFunctions.Utility_DisplayArrayInTable(SourceData_PastureBeef.SourceData_PastureBeef_LiveweightNTQLD_Data(),Table_SourceData_PastureBeef_LiveweightNTQD[[#Headers],[State]], 0)</f>
        <v>113</v>
      </c>
      <c r="J71" s="39" cm="1">
        <f t="array" ref="J71">Common_InputFunctions.Utility_DisplayArrayInTable(SourceData_PastureBeef.SourceData_PastureBeef_LiveweightNTQLD_Data(),Table_SourceData_PastureBeef_LiveweightNTQD[[#Headers],[State]], 0)</f>
        <v>283</v>
      </c>
      <c r="K71" s="39" cm="1">
        <f t="array" ref="K71">Common_InputFunctions.Utility_DisplayArrayInTable(SourceData_PastureBeef.SourceData_PastureBeef_LiveweightNTQLD_Data(),Table_SourceData_PastureBeef_LiveweightNTQD[[#Headers],[State]], 0)</f>
        <v>361</v>
      </c>
      <c r="L71" s="39" cm="1">
        <f t="array" ref="L71">Common_InputFunctions.Utility_DisplayArrayInTable(SourceData_PastureBeef.SourceData_PastureBeef_LiveweightNTQLD_Data(),Table_SourceData_PastureBeef_LiveweightNTQD[[#Headers],[State]], 0)</f>
        <v>477</v>
      </c>
      <c r="M71" s="39" cm="1">
        <f t="array" ref="M71">Common_InputFunctions.Utility_DisplayArrayInTable(SourceData_PastureBeef.SourceData_PastureBeef_LiveweightNTQLD_Data(),Table_SourceData_PastureBeef_LiveweightNTQD[[#Headers],[State]], 0)</f>
        <v>120</v>
      </c>
      <c r="N71" s="39" cm="1">
        <f t="array" ref="N71">Common_InputFunctions.Utility_DisplayArrayInTable(SourceData_PastureBeef.SourceData_PastureBeef_LiveweightNTQLD_Data(),Table_SourceData_PastureBeef_LiveweightNTQD[[#Headers],[State]], 0)</f>
        <v>273</v>
      </c>
      <c r="O71" s="39" cm="1">
        <f t="array" ref="O71">Common_InputFunctions.Utility_DisplayArrayInTable(SourceData_PastureBeef.SourceData_PastureBeef_LiveweightNTQLD_Data(),Table_SourceData_PastureBeef_LiveweightNTQD[[#Headers],[State]], 0)</f>
        <v>545</v>
      </c>
      <c r="P71" s="39"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9" t="str" cm="1">
        <f t="array" ref="E72">Common_InputFunctions.Utility_DisplayArrayInTable(SourceData_PastureBeef.SourceData_PastureBeef_LiveweightNTQLD_Data(),Table_SourceData_PastureBeef_LiveweightNTQD[[#Headers],[State]], 0)</f>
        <v>Moderate/High</v>
      </c>
      <c r="F72" s="39" t="str" cm="1">
        <f t="array" ref="F72">Common_InputFunctions.Utility_DisplayArrayInTable(SourceData_PastureBeef.SourceData_PastureBeef_LiveweightNTQLD_Data(),Table_SourceData_PastureBeef_LiveweightNTQD[[#Headers],[State]], 0)</f>
        <v>Autumn</v>
      </c>
      <c r="G72" s="39" cm="1">
        <f t="array" ref="G72">Common_InputFunctions.Utility_DisplayArrayInTable(SourceData_PastureBeef.SourceData_PastureBeef_LiveweightNTQLD_Data(),Table_SourceData_PastureBeef_LiveweightNTQD[[#Headers],[State]], 0)</f>
        <v>172</v>
      </c>
      <c r="H72" s="39" cm="1">
        <f t="array" ref="H72">Common_InputFunctions.Utility_DisplayArrayInTable(SourceData_PastureBeef.SourceData_PastureBeef_LiveweightNTQLD_Data(),Table_SourceData_PastureBeef_LiveweightNTQD[[#Headers],[State]], 0)</f>
        <v>685</v>
      </c>
      <c r="I72" s="39" cm="1">
        <f t="array" ref="I72">Common_InputFunctions.Utility_DisplayArrayInTable(SourceData_PastureBeef.SourceData_PastureBeef_LiveweightNTQLD_Data(),Table_SourceData_PastureBeef_LiveweightNTQD[[#Headers],[State]], 0)</f>
        <v>172</v>
      </c>
      <c r="J72" s="39" cm="1">
        <f t="array" ref="J72">Common_InputFunctions.Utility_DisplayArrayInTable(SourceData_PastureBeef.SourceData_PastureBeef_LiveweightNTQLD_Data(),Table_SourceData_PastureBeef_LiveweightNTQD[[#Headers],[State]], 0)</f>
        <v>309</v>
      </c>
      <c r="K72" s="39" cm="1">
        <f t="array" ref="K72">Common_InputFunctions.Utility_DisplayArrayInTable(SourceData_PastureBeef.SourceData_PastureBeef_LiveweightNTQLD_Data(),Table_SourceData_PastureBeef_LiveweightNTQD[[#Headers],[State]], 0)</f>
        <v>376</v>
      </c>
      <c r="L72" s="39" cm="1">
        <f t="array" ref="L72">Common_InputFunctions.Utility_DisplayArrayInTable(SourceData_PastureBeef.SourceData_PastureBeef_LiveweightNTQLD_Data(),Table_SourceData_PastureBeef_LiveweightNTQD[[#Headers],[State]], 0)</f>
        <v>471</v>
      </c>
      <c r="M72" s="39" cm="1">
        <f t="array" ref="M72">Common_InputFunctions.Utility_DisplayArrayInTable(SourceData_PastureBeef.SourceData_PastureBeef_LiveweightNTQLD_Data(),Table_SourceData_PastureBeef_LiveweightNTQD[[#Headers],[State]], 0)</f>
        <v>238</v>
      </c>
      <c r="N72" s="39" cm="1">
        <f t="array" ref="N72">Common_InputFunctions.Utility_DisplayArrayInTable(SourceData_PastureBeef.SourceData_PastureBeef_LiveweightNTQLD_Data(),Table_SourceData_PastureBeef_LiveweightNTQD[[#Headers],[State]], 0)</f>
        <v>329</v>
      </c>
      <c r="O72" s="39" cm="1">
        <f t="array" ref="O72">Common_InputFunctions.Utility_DisplayArrayInTable(SourceData_PastureBeef.SourceData_PastureBeef_LiveweightNTQLD_Data(),Table_SourceData_PastureBeef_LiveweightNTQD[[#Headers],[State]], 0)</f>
        <v>573</v>
      </c>
      <c r="P72" s="39"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9" t="str" cm="1">
        <f t="array" ref="E73">Common_InputFunctions.Utility_DisplayArrayInTable(SourceData_PastureBeef.SourceData_PastureBeef_LiveweightNTQLD_Data(),Table_SourceData_PastureBeef_LiveweightNTQD[[#Headers],[State]], 0)</f>
        <v>Moderate/High</v>
      </c>
      <c r="F73" s="39" t="str" cm="1">
        <f t="array" ref="F73">Common_InputFunctions.Utility_DisplayArrayInTable(SourceData_PastureBeef.SourceData_PastureBeef_LiveweightNTQLD_Data(),Table_SourceData_PastureBeef_LiveweightNTQD[[#Headers],[State]], 0)</f>
        <v>Winter</v>
      </c>
      <c r="G73" s="39" cm="1">
        <f t="array" ref="G73">Common_InputFunctions.Utility_DisplayArrayInTable(SourceData_PastureBeef.SourceData_PastureBeef_LiveweightNTQLD_Data(),Table_SourceData_PastureBeef_LiveweightNTQD[[#Headers],[State]], 0)</f>
        <v>241</v>
      </c>
      <c r="H73" s="39" cm="1">
        <f t="array" ref="H73">Common_InputFunctions.Utility_DisplayArrayInTable(SourceData_PastureBeef.SourceData_PastureBeef_LiveweightNTQLD_Data(),Table_SourceData_PastureBeef_LiveweightNTQD[[#Headers],[State]], 0)</f>
        <v>692</v>
      </c>
      <c r="I73" s="39" cm="1">
        <f t="array" ref="I73">Common_InputFunctions.Utility_DisplayArrayInTable(SourceData_PastureBeef.SourceData_PastureBeef_LiveweightNTQLD_Data(),Table_SourceData_PastureBeef_LiveweightNTQD[[#Headers],[State]], 0)</f>
        <v>208</v>
      </c>
      <c r="J73" s="39" cm="1">
        <f t="array" ref="J73">Common_InputFunctions.Utility_DisplayArrayInTable(SourceData_PastureBeef.SourceData_PastureBeef_LiveweightNTQLD_Data(),Table_SourceData_PastureBeef_LiveweightNTQD[[#Headers],[State]], 0)</f>
        <v>344</v>
      </c>
      <c r="K73" s="39" cm="1">
        <f t="array" ref="K73">Common_InputFunctions.Utility_DisplayArrayInTable(SourceData_PastureBeef.SourceData_PastureBeef_LiveweightNTQLD_Data(),Table_SourceData_PastureBeef_LiveweightNTQD[[#Headers],[State]], 0)</f>
        <v>364</v>
      </c>
      <c r="L73" s="39" cm="1">
        <f t="array" ref="L73">Common_InputFunctions.Utility_DisplayArrayInTable(SourceData_PastureBeef.SourceData_PastureBeef_LiveweightNTQLD_Data(),Table_SourceData_PastureBeef_LiveweightNTQD[[#Headers],[State]], 0)</f>
        <v>484</v>
      </c>
      <c r="M73" s="39" cm="1">
        <f t="array" ref="M73">Common_InputFunctions.Utility_DisplayArrayInTable(SourceData_PastureBeef.SourceData_PastureBeef_LiveweightNTQLD_Data(),Table_SourceData_PastureBeef_LiveweightNTQD[[#Headers],[State]], 0)</f>
        <v>260</v>
      </c>
      <c r="N73" s="39" cm="1">
        <f t="array" ref="N73">Common_InputFunctions.Utility_DisplayArrayInTable(SourceData_PastureBeef.SourceData_PastureBeef_LiveweightNTQLD_Data(),Table_SourceData_PastureBeef_LiveweightNTQD[[#Headers],[State]], 0)</f>
        <v>350</v>
      </c>
      <c r="O73" s="39" cm="1">
        <f t="array" ref="O73">Common_InputFunctions.Utility_DisplayArrayInTable(SourceData_PastureBeef.SourceData_PastureBeef_LiveweightNTQLD_Data(),Table_SourceData_PastureBeef_LiveweightNTQD[[#Headers],[State]], 0)</f>
        <v>567</v>
      </c>
      <c r="P73" s="39"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9" t="str" cm="1">
        <f t="array" ref="E74">Common_InputFunctions.Utility_DisplayArrayInTable(SourceData_PastureBeef.SourceData_PastureBeef_LiveweightNTQLD_Data(),Table_SourceData_PastureBeef_LiveweightNTQD[[#Headers],[State]], 0)</f>
        <v>Moderate/Low</v>
      </c>
      <c r="F74" s="39" t="str" cm="1">
        <f t="array" ref="F74">Common_InputFunctions.Utility_DisplayArrayInTable(SourceData_PastureBeef.SourceData_PastureBeef_LiveweightNTQLD_Data(),Table_SourceData_PastureBeef_LiveweightNTQD[[#Headers],[State]], 0)</f>
        <v>Spring</v>
      </c>
      <c r="G74" s="39" cm="1">
        <f t="array" ref="G74">Common_InputFunctions.Utility_DisplayArrayInTable(SourceData_PastureBeef.SourceData_PastureBeef_LiveweightNTQLD_Data(),Table_SourceData_PastureBeef_LiveweightNTQD[[#Headers],[State]], 0)</f>
        <v>236</v>
      </c>
      <c r="H74" s="39" cm="1">
        <f t="array" ref="H74">Common_InputFunctions.Utility_DisplayArrayInTable(SourceData_PastureBeef.SourceData_PastureBeef_LiveweightNTQLD_Data(),Table_SourceData_PastureBeef_LiveweightNTQD[[#Headers],[State]], 0)</f>
        <v>674</v>
      </c>
      <c r="I74" s="39" cm="1">
        <f t="array" ref="I74">Common_InputFunctions.Utility_DisplayArrayInTable(SourceData_PastureBeef.SourceData_PastureBeef_LiveweightNTQLD_Data(),Table_SourceData_PastureBeef_LiveweightNTQD[[#Headers],[State]], 0)</f>
        <v>178</v>
      </c>
      <c r="J74" s="39" cm="1">
        <f t="array" ref="J74">Common_InputFunctions.Utility_DisplayArrayInTable(SourceData_PastureBeef.SourceData_PastureBeef_LiveweightNTQLD_Data(),Table_SourceData_PastureBeef_LiveweightNTQD[[#Headers],[State]], 0)</f>
        <v>310</v>
      </c>
      <c r="K74" s="39" cm="1">
        <f t="array" ref="K74">Common_InputFunctions.Utility_DisplayArrayInTable(SourceData_PastureBeef.SourceData_PastureBeef_LiveweightNTQLD_Data(),Table_SourceData_PastureBeef_LiveweightNTQD[[#Headers],[State]], 0)</f>
        <v>428</v>
      </c>
      <c r="L74" s="39" cm="1">
        <f t="array" ref="L74">Common_InputFunctions.Utility_DisplayArrayInTable(SourceData_PastureBeef.SourceData_PastureBeef_LiveweightNTQLD_Data(),Table_SourceData_PastureBeef_LiveweightNTQD[[#Headers],[State]], 0)</f>
        <v>466</v>
      </c>
      <c r="M74" s="39" cm="1">
        <f t="array" ref="M74">Common_InputFunctions.Utility_DisplayArrayInTable(SourceData_PastureBeef.SourceData_PastureBeef_LiveweightNTQLD_Data(),Table_SourceData_PastureBeef_LiveweightNTQD[[#Headers],[State]], 0)</f>
        <v>193</v>
      </c>
      <c r="N74" s="39" cm="1">
        <f t="array" ref="N74">Common_InputFunctions.Utility_DisplayArrayInTable(SourceData_PastureBeef.SourceData_PastureBeef_LiveweightNTQLD_Data(),Table_SourceData_PastureBeef_LiveweightNTQD[[#Headers],[State]], 0)</f>
        <v>370</v>
      </c>
      <c r="O74" s="39" cm="1">
        <f t="array" ref="O74">Common_InputFunctions.Utility_DisplayArrayInTable(SourceData_PastureBeef.SourceData_PastureBeef_LiveweightNTQLD_Data(),Table_SourceData_PastureBeef_LiveweightNTQD[[#Headers],[State]], 0)</f>
        <v>519</v>
      </c>
      <c r="P74" s="39"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9" t="str" cm="1">
        <f t="array" ref="E75">Common_InputFunctions.Utility_DisplayArrayInTable(SourceData_PastureBeef.SourceData_PastureBeef_LiveweightNTQLD_Data(),Table_SourceData_PastureBeef_LiveweightNTQD[[#Headers],[State]], 0)</f>
        <v>Moderate/Low</v>
      </c>
      <c r="F75" s="39" t="str" cm="1">
        <f t="array" ref="F75">Common_InputFunctions.Utility_DisplayArrayInTable(SourceData_PastureBeef.SourceData_PastureBeef_LiveweightNTQLD_Data(),Table_SourceData_PastureBeef_LiveweightNTQD[[#Headers],[State]], 0)</f>
        <v>Summer</v>
      </c>
      <c r="G75" s="39" cm="1">
        <f t="array" ref="G75">Common_InputFunctions.Utility_DisplayArrayInTable(SourceData_PastureBeef.SourceData_PastureBeef_LiveweightNTQLD_Data(),Table_SourceData_PastureBeef_LiveweightNTQD[[#Headers],[State]], 0)</f>
        <v>120</v>
      </c>
      <c r="H75" s="39" cm="1">
        <f t="array" ref="H75">Common_InputFunctions.Utility_DisplayArrayInTable(SourceData_PastureBeef.SourceData_PastureBeef_LiveweightNTQLD_Data(),Table_SourceData_PastureBeef_LiveweightNTQD[[#Headers],[State]], 0)</f>
        <v>669</v>
      </c>
      <c r="I75" s="39" cm="1">
        <f t="array" ref="I75">Common_InputFunctions.Utility_DisplayArrayInTable(SourceData_PastureBeef.SourceData_PastureBeef_LiveweightNTQLD_Data(),Table_SourceData_PastureBeef_LiveweightNTQD[[#Headers],[State]], 0)</f>
        <v>112</v>
      </c>
      <c r="J75" s="39" cm="1">
        <f t="array" ref="J75">Common_InputFunctions.Utility_DisplayArrayInTable(SourceData_PastureBeef.SourceData_PastureBeef_LiveweightNTQLD_Data(),Table_SourceData_PastureBeef_LiveweightNTQD[[#Headers],[State]], 0)</f>
        <v>250</v>
      </c>
      <c r="K75" s="39" cm="1">
        <f t="array" ref="K75">Common_InputFunctions.Utility_DisplayArrayInTable(SourceData_PastureBeef.SourceData_PastureBeef_LiveweightNTQLD_Data(),Table_SourceData_PastureBeef_LiveweightNTQD[[#Headers],[State]], 0)</f>
        <v>390</v>
      </c>
      <c r="L75" s="39" cm="1">
        <f t="array" ref="L75">Common_InputFunctions.Utility_DisplayArrayInTable(SourceData_PastureBeef.SourceData_PastureBeef_LiveweightNTQLD_Data(),Table_SourceData_PastureBeef_LiveweightNTQD[[#Headers],[State]], 0)</f>
        <v>448</v>
      </c>
      <c r="M75" s="39" cm="1">
        <f t="array" ref="M75">Common_InputFunctions.Utility_DisplayArrayInTable(SourceData_PastureBeef.SourceData_PastureBeef_LiveweightNTQLD_Data(),Table_SourceData_PastureBeef_LiveweightNTQD[[#Headers],[State]], 0)</f>
        <v>115</v>
      </c>
      <c r="N75" s="39" cm="1">
        <f t="array" ref="N75">Common_InputFunctions.Utility_DisplayArrayInTable(SourceData_PastureBeef.SourceData_PastureBeef_LiveweightNTQLD_Data(),Table_SourceData_PastureBeef_LiveweightNTQD[[#Headers],[State]], 0)</f>
        <v>273</v>
      </c>
      <c r="O75" s="39" cm="1">
        <f t="array" ref="O75">Common_InputFunctions.Utility_DisplayArrayInTable(SourceData_PastureBeef.SourceData_PastureBeef_LiveweightNTQLD_Data(),Table_SourceData_PastureBeef_LiveweightNTQD[[#Headers],[State]], 0)</f>
        <v>433</v>
      </c>
      <c r="P75" s="39"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9" t="str" cm="1">
        <f t="array" ref="E76">Common_InputFunctions.Utility_DisplayArrayInTable(SourceData_PastureBeef.SourceData_PastureBeef_LiveweightNTQLD_Data(),Table_SourceData_PastureBeef_LiveweightNTQD[[#Headers],[State]], 0)</f>
        <v>Moderate/Low</v>
      </c>
      <c r="F76" s="39" t="str" cm="1">
        <f t="array" ref="F76">Common_InputFunctions.Utility_DisplayArrayInTable(SourceData_PastureBeef.SourceData_PastureBeef_LiveweightNTQLD_Data(),Table_SourceData_PastureBeef_LiveweightNTQD[[#Headers],[State]], 0)</f>
        <v>Autumn</v>
      </c>
      <c r="G76" s="39" cm="1">
        <f t="array" ref="G76">Common_InputFunctions.Utility_DisplayArrayInTable(SourceData_PastureBeef.SourceData_PastureBeef_LiveweightNTQLD_Data(),Table_SourceData_PastureBeef_LiveweightNTQD[[#Headers],[State]], 0)</f>
        <v>125</v>
      </c>
      <c r="H76" s="39" cm="1">
        <f t="array" ref="H76">Common_InputFunctions.Utility_DisplayArrayInTable(SourceData_PastureBeef.SourceData_PastureBeef_LiveweightNTQLD_Data(),Table_SourceData_PastureBeef_LiveweightNTQD[[#Headers],[State]], 0)</f>
        <v>685</v>
      </c>
      <c r="I76" s="39" cm="1">
        <f t="array" ref="I76">Common_InputFunctions.Utility_DisplayArrayInTable(SourceData_PastureBeef.SourceData_PastureBeef_LiveweightNTQLD_Data(),Table_SourceData_PastureBeef_LiveweightNTQD[[#Headers],[State]], 0)</f>
        <v>140</v>
      </c>
      <c r="J76" s="39" cm="1">
        <f t="array" ref="J76">Common_InputFunctions.Utility_DisplayArrayInTable(SourceData_PastureBeef.SourceData_PastureBeef_LiveweightNTQLD_Data(),Table_SourceData_PastureBeef_LiveweightNTQD[[#Headers],[State]], 0)</f>
        <v>277</v>
      </c>
      <c r="K76" s="39" cm="1">
        <f t="array" ref="K76">Common_InputFunctions.Utility_DisplayArrayInTable(SourceData_PastureBeef.SourceData_PastureBeef_LiveweightNTQLD_Data(),Table_SourceData_PastureBeef_LiveweightNTQD[[#Headers],[State]], 0)</f>
        <v>407</v>
      </c>
      <c r="L76" s="39" cm="1">
        <f t="array" ref="L76">Common_InputFunctions.Utility_DisplayArrayInTable(SourceData_PastureBeef.SourceData_PastureBeef_LiveweightNTQLD_Data(),Table_SourceData_PastureBeef_LiveweightNTQD[[#Headers],[State]], 0)</f>
        <v>455</v>
      </c>
      <c r="M76" s="39" cm="1">
        <f t="array" ref="M76">Common_InputFunctions.Utility_DisplayArrayInTable(SourceData_PastureBeef.SourceData_PastureBeef_LiveweightNTQLD_Data(),Table_SourceData_PastureBeef_LiveweightNTQD[[#Headers],[State]], 0)</f>
        <v>141</v>
      </c>
      <c r="N76" s="39" cm="1">
        <f t="array" ref="N76">Common_InputFunctions.Utility_DisplayArrayInTable(SourceData_PastureBeef.SourceData_PastureBeef_LiveweightNTQLD_Data(),Table_SourceData_PastureBeef_LiveweightNTQD[[#Headers],[State]], 0)</f>
        <v>296</v>
      </c>
      <c r="O76" s="39" cm="1">
        <f t="array" ref="O76">Common_InputFunctions.Utility_DisplayArrayInTable(SourceData_PastureBeef.SourceData_PastureBeef_LiveweightNTQLD_Data(),Table_SourceData_PastureBeef_LiveweightNTQD[[#Headers],[State]], 0)</f>
        <v>445</v>
      </c>
      <c r="P76" s="39"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9" t="str" cm="1">
        <f t="array" ref="E77">Common_InputFunctions.Utility_DisplayArrayInTable(SourceData_PastureBeef.SourceData_PastureBeef_LiveweightNTQLD_Data(),Table_SourceData_PastureBeef_LiveweightNTQD[[#Headers],[State]], 0)</f>
        <v>Moderate/Low</v>
      </c>
      <c r="F77" s="39" t="str" cm="1">
        <f t="array" ref="F77">Common_InputFunctions.Utility_DisplayArrayInTable(SourceData_PastureBeef.SourceData_PastureBeef_LiveweightNTQLD_Data(),Table_SourceData_PastureBeef_LiveweightNTQD[[#Headers],[State]], 0)</f>
        <v>Winter</v>
      </c>
      <c r="G77" s="39" cm="1">
        <f t="array" ref="G77">Common_InputFunctions.Utility_DisplayArrayInTable(SourceData_PastureBeef.SourceData_PastureBeef_LiveweightNTQLD_Data(),Table_SourceData_PastureBeef_LiveweightNTQD[[#Headers],[State]], 0)</f>
        <v>180</v>
      </c>
      <c r="H77" s="39" cm="1">
        <f t="array" ref="H77">Common_InputFunctions.Utility_DisplayArrayInTable(SourceData_PastureBeef.SourceData_PastureBeef_LiveweightNTQLD_Data(),Table_SourceData_PastureBeef_LiveweightNTQD[[#Headers],[State]], 0)</f>
        <v>692</v>
      </c>
      <c r="I77" s="39" cm="1">
        <f t="array" ref="I77">Common_InputFunctions.Utility_DisplayArrayInTable(SourceData_PastureBeef.SourceData_PastureBeef_LiveweightNTQLD_Data(),Table_SourceData_PastureBeef_LiveweightNTQD[[#Headers],[State]], 0)</f>
        <v>183</v>
      </c>
      <c r="J77" s="39" cm="1">
        <f t="array" ref="J77">Common_InputFunctions.Utility_DisplayArrayInTable(SourceData_PastureBeef.SourceData_PastureBeef_LiveweightNTQLD_Data(),Table_SourceData_PastureBeef_LiveweightNTQD[[#Headers],[State]], 0)</f>
        <v>316</v>
      </c>
      <c r="K77" s="39" cm="1">
        <f t="array" ref="K77">Common_InputFunctions.Utility_DisplayArrayInTable(SourceData_PastureBeef.SourceData_PastureBeef_LiveweightNTQLD_Data(),Table_SourceData_PastureBeef_LiveweightNTQD[[#Headers],[State]], 0)</f>
        <v>438</v>
      </c>
      <c r="L77" s="39" cm="1">
        <f t="array" ref="L77">Common_InputFunctions.Utility_DisplayArrayInTable(SourceData_PastureBeef.SourceData_PastureBeef_LiveweightNTQLD_Data(),Table_SourceData_PastureBeef_LiveweightNTQD[[#Headers],[State]], 0)</f>
        <v>468</v>
      </c>
      <c r="M77" s="39" cm="1">
        <f t="array" ref="M77">Common_InputFunctions.Utility_DisplayArrayInTable(SourceData_PastureBeef.SourceData_PastureBeef_LiveweightNTQLD_Data(),Table_SourceData_PastureBeef_LiveweightNTQD[[#Headers],[State]], 0)</f>
        <v>189</v>
      </c>
      <c r="N77" s="39" cm="1">
        <f t="array" ref="N77">Common_InputFunctions.Utility_DisplayArrayInTable(SourceData_PastureBeef.SourceData_PastureBeef_LiveweightNTQLD_Data(),Table_SourceData_PastureBeef_LiveweightNTQD[[#Headers],[State]], 0)</f>
        <v>354</v>
      </c>
      <c r="O77" s="39" cm="1">
        <f t="array" ref="O77">Common_InputFunctions.Utility_DisplayArrayInTable(SourceData_PastureBeef.SourceData_PastureBeef_LiveweightNTQLD_Data(),Table_SourceData_PastureBeef_LiveweightNTQD[[#Headers],[State]], 0)</f>
        <v>500</v>
      </c>
      <c r="P77" s="39"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9" t="str" cm="1">
        <f t="array" ref="E78">Common_InputFunctions.Utility_DisplayArrayInTable(SourceData_PastureBeef.SourceData_PastureBeef_LiveweightNTQLD_Data(),Table_SourceData_PastureBeef_LiveweightNTQD[[#Headers],[State]], 0)</f>
        <v>Low</v>
      </c>
      <c r="F78" s="39" t="str" cm="1">
        <f t="array" ref="F78">Common_InputFunctions.Utility_DisplayArrayInTable(SourceData_PastureBeef.SourceData_PastureBeef_LiveweightNTQLD_Data(),Table_SourceData_PastureBeef_LiveweightNTQD[[#Headers],[State]], 0)</f>
        <v>Spring</v>
      </c>
      <c r="G78" s="39" cm="1">
        <f t="array" ref="G78">Common_InputFunctions.Utility_DisplayArrayInTable(SourceData_PastureBeef.SourceData_PastureBeef_LiveweightNTQLD_Data(),Table_SourceData_PastureBeef_LiveweightNTQD[[#Headers],[State]], 0)</f>
        <v>190</v>
      </c>
      <c r="H78" s="39" cm="1">
        <f t="array" ref="H78">Common_InputFunctions.Utility_DisplayArrayInTable(SourceData_PastureBeef.SourceData_PastureBeef_LiveweightNTQLD_Data(),Table_SourceData_PastureBeef_LiveweightNTQD[[#Headers],[State]], 0)</f>
        <v>617</v>
      </c>
      <c r="I78" s="39" cm="1">
        <f t="array" ref="I78">Common_InputFunctions.Utility_DisplayArrayInTable(SourceData_PastureBeef.SourceData_PastureBeef_LiveweightNTQLD_Data(),Table_SourceData_PastureBeef_LiveweightNTQD[[#Headers],[State]], 0)</f>
        <v>174</v>
      </c>
      <c r="J78" s="39" cm="1">
        <f t="array" ref="J78">Common_InputFunctions.Utility_DisplayArrayInTable(SourceData_PastureBeef.SourceData_PastureBeef_LiveweightNTQLD_Data(),Table_SourceData_PastureBeef_LiveweightNTQD[[#Headers],[State]], 0)</f>
        <v>265</v>
      </c>
      <c r="K78" s="39" cm="1">
        <f t="array" ref="K78">Common_InputFunctions.Utility_DisplayArrayInTable(SourceData_PastureBeef.SourceData_PastureBeef_LiveweightNTQLD_Data(),Table_SourceData_PastureBeef_LiveweightNTQD[[#Headers],[State]], 0)</f>
        <v>371</v>
      </c>
      <c r="L78" s="39" cm="1">
        <f t="array" ref="L78">Common_InputFunctions.Utility_DisplayArrayInTable(SourceData_PastureBeef.SourceData_PastureBeef_LiveweightNTQLD_Data(),Table_SourceData_PastureBeef_LiveweightNTQD[[#Headers],[State]], 0)</f>
        <v>415</v>
      </c>
      <c r="M78" s="39" cm="1">
        <f t="array" ref="M78">Common_InputFunctions.Utility_DisplayArrayInTable(SourceData_PastureBeef.SourceData_PastureBeef_LiveweightNTQLD_Data(),Table_SourceData_PastureBeef_LiveweightNTQD[[#Headers],[State]], 0)</f>
        <v>170</v>
      </c>
      <c r="N78" s="39" cm="1">
        <f t="array" ref="N78">Common_InputFunctions.Utility_DisplayArrayInTable(SourceData_PastureBeef.SourceData_PastureBeef_LiveweightNTQLD_Data(),Table_SourceData_PastureBeef_LiveweightNTQD[[#Headers],[State]], 0)</f>
        <v>272</v>
      </c>
      <c r="O78" s="39" cm="1">
        <f t="array" ref="O78">Common_InputFunctions.Utility_DisplayArrayInTable(SourceData_PastureBeef.SourceData_PastureBeef_LiveweightNTQLD_Data(),Table_SourceData_PastureBeef_LiveweightNTQD[[#Headers],[State]], 0)</f>
        <v>392</v>
      </c>
      <c r="P78" s="39"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9" t="str" cm="1">
        <f t="array" ref="E79">Common_InputFunctions.Utility_DisplayArrayInTable(SourceData_PastureBeef.SourceData_PastureBeef_LiveweightNTQLD_Data(),Table_SourceData_PastureBeef_LiveweightNTQD[[#Headers],[State]], 0)</f>
        <v>Low</v>
      </c>
      <c r="F79" s="39" t="str" cm="1">
        <f t="array" ref="F79">Common_InputFunctions.Utility_DisplayArrayInTable(SourceData_PastureBeef.SourceData_PastureBeef_LiveweightNTQLD_Data(),Table_SourceData_PastureBeef_LiveweightNTQD[[#Headers],[State]], 0)</f>
        <v>Summer</v>
      </c>
      <c r="G79" s="39" cm="1">
        <f t="array" ref="G79">Common_InputFunctions.Utility_DisplayArrayInTable(SourceData_PastureBeef.SourceData_PastureBeef_LiveweightNTQLD_Data(),Table_SourceData_PastureBeef_LiveweightNTQD[[#Headers],[State]], 0)</f>
        <v>119</v>
      </c>
      <c r="H79" s="39" cm="1">
        <f t="array" ref="H79">Common_InputFunctions.Utility_DisplayArrayInTable(SourceData_PastureBeef.SourceData_PastureBeef_LiveweightNTQLD_Data(),Table_SourceData_PastureBeef_LiveweightNTQD[[#Headers],[State]], 0)</f>
        <v>591</v>
      </c>
      <c r="I79" s="39" cm="1">
        <f t="array" ref="I79">Common_InputFunctions.Utility_DisplayArrayInTable(SourceData_PastureBeef.SourceData_PastureBeef_LiveweightNTQLD_Data(),Table_SourceData_PastureBeef_LiveweightNTQD[[#Headers],[State]], 0)</f>
        <v>140</v>
      </c>
      <c r="J79" s="39" cm="1">
        <f t="array" ref="J79">Common_InputFunctions.Utility_DisplayArrayInTable(SourceData_PastureBeef.SourceData_PastureBeef_LiveweightNTQLD_Data(),Table_SourceData_PastureBeef_LiveweightNTQD[[#Headers],[State]], 0)</f>
        <v>205</v>
      </c>
      <c r="K79" s="39" cm="1">
        <f t="array" ref="K79">Common_InputFunctions.Utility_DisplayArrayInTable(SourceData_PastureBeef.SourceData_PastureBeef_LiveweightNTQLD_Data(),Table_SourceData_PastureBeef_LiveweightNTQD[[#Headers],[State]], 0)</f>
        <v>310</v>
      </c>
      <c r="L79" s="39" cm="1">
        <f t="array" ref="L79">Common_InputFunctions.Utility_DisplayArrayInTable(SourceData_PastureBeef.SourceData_PastureBeef_LiveweightNTQLD_Data(),Table_SourceData_PastureBeef_LiveweightNTQD[[#Headers],[State]], 0)</f>
        <v>405</v>
      </c>
      <c r="M79" s="39" cm="1">
        <f t="array" ref="M79">Common_InputFunctions.Utility_DisplayArrayInTable(SourceData_PastureBeef.SourceData_PastureBeef_LiveweightNTQLD_Data(),Table_SourceData_PastureBeef_LiveweightNTQD[[#Headers],[State]], 0)</f>
        <v>133</v>
      </c>
      <c r="N79" s="39" cm="1">
        <f t="array" ref="N79">Common_InputFunctions.Utility_DisplayArrayInTable(SourceData_PastureBeef.SourceData_PastureBeef_LiveweightNTQLD_Data(),Table_SourceData_PastureBeef_LiveweightNTQD[[#Headers],[State]], 0)</f>
        <v>218</v>
      </c>
      <c r="O79" s="39" cm="1">
        <f t="array" ref="O79">Common_InputFunctions.Utility_DisplayArrayInTable(SourceData_PastureBeef.SourceData_PastureBeef_LiveweightNTQLD_Data(),Table_SourceData_PastureBeef_LiveweightNTQD[[#Headers],[State]], 0)</f>
        <v>315</v>
      </c>
      <c r="P79" s="39"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9" t="str" cm="1">
        <f t="array" ref="E80">Common_InputFunctions.Utility_DisplayArrayInTable(SourceData_PastureBeef.SourceData_PastureBeef_LiveweightNTQLD_Data(),Table_SourceData_PastureBeef_LiveweightNTQD[[#Headers],[State]], 0)</f>
        <v>Low</v>
      </c>
      <c r="F80" s="39" t="str" cm="1">
        <f t="array" ref="F80">Common_InputFunctions.Utility_DisplayArrayInTable(SourceData_PastureBeef.SourceData_PastureBeef_LiveweightNTQLD_Data(),Table_SourceData_PastureBeef_LiveweightNTQD[[#Headers],[State]], 0)</f>
        <v>Autumn</v>
      </c>
      <c r="G80" s="39" cm="1">
        <f t="array" ref="G80">Common_InputFunctions.Utility_DisplayArrayInTable(SourceData_PastureBeef.SourceData_PastureBeef_LiveweightNTQLD_Data(),Table_SourceData_PastureBeef_LiveweightNTQD[[#Headers],[State]], 0)</f>
        <v>175</v>
      </c>
      <c r="H80" s="39" cm="1">
        <f t="array" ref="H80">Common_InputFunctions.Utility_DisplayArrayInTable(SourceData_PastureBeef.SourceData_PastureBeef_LiveweightNTQLD_Data(),Table_SourceData_PastureBeef_LiveweightNTQD[[#Headers],[State]], 0)</f>
        <v>610</v>
      </c>
      <c r="I80" s="39" cm="1">
        <f t="array" ref="I80">Common_InputFunctions.Utility_DisplayArrayInTable(SourceData_PastureBeef.SourceData_PastureBeef_LiveweightNTQLD_Data(),Table_SourceData_PastureBeef_LiveweightNTQD[[#Headers],[State]], 0)</f>
        <v>163</v>
      </c>
      <c r="J80" s="39" cm="1">
        <f t="array" ref="J80">Common_InputFunctions.Utility_DisplayArrayInTable(SourceData_PastureBeef.SourceData_PastureBeef_LiveweightNTQLD_Data(),Table_SourceData_PastureBeef_LiveweightNTQD[[#Headers],[State]], 0)</f>
        <v>232</v>
      </c>
      <c r="K80" s="39" cm="1">
        <f t="array" ref="K80">Common_InputFunctions.Utility_DisplayArrayInTable(SourceData_PastureBeef.SourceData_PastureBeef_LiveweightNTQLD_Data(),Table_SourceData_PastureBeef_LiveweightNTQD[[#Headers],[State]], 0)</f>
        <v>351</v>
      </c>
      <c r="L80" s="39" cm="1">
        <f t="array" ref="L80">Common_InputFunctions.Utility_DisplayArrayInTable(SourceData_PastureBeef.SourceData_PastureBeef_LiveweightNTQLD_Data(),Table_SourceData_PastureBeef_LiveweightNTQD[[#Headers],[State]], 0)</f>
        <v>427</v>
      </c>
      <c r="M80" s="39" cm="1">
        <f t="array" ref="M80">Common_InputFunctions.Utility_DisplayArrayInTable(SourceData_PastureBeef.SourceData_PastureBeef_LiveweightNTQLD_Data(),Table_SourceData_PastureBeef_LiveweightNTQD[[#Headers],[State]], 0)</f>
        <v>146</v>
      </c>
      <c r="N80" s="39" cm="1">
        <f t="array" ref="N80">Common_InputFunctions.Utility_DisplayArrayInTable(SourceData_PastureBeef.SourceData_PastureBeef_LiveweightNTQLD_Data(),Table_SourceData_PastureBeef_LiveweightNTQD[[#Headers],[State]], 0)</f>
        <v>242</v>
      </c>
      <c r="O80" s="39" cm="1">
        <f t="array" ref="O80">Common_InputFunctions.Utility_DisplayArrayInTable(SourceData_PastureBeef.SourceData_PastureBeef_LiveweightNTQLD_Data(),Table_SourceData_PastureBeef_LiveweightNTQD[[#Headers],[State]], 0)</f>
        <v>320</v>
      </c>
      <c r="P80" s="39"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9" t="str" cm="1">
        <f t="array" ref="E81">Common_InputFunctions.Utility_DisplayArrayInTable(SourceData_PastureBeef.SourceData_PastureBeef_LiveweightNTQLD_Data(),Table_SourceData_PastureBeef_LiveweightNTQD[[#Headers],[State]], 0)</f>
        <v>Low</v>
      </c>
      <c r="F81" s="39" t="str" cm="1">
        <f t="array" ref="F81">Common_InputFunctions.Utility_DisplayArrayInTable(SourceData_PastureBeef.SourceData_PastureBeef_LiveweightNTQLD_Data(),Table_SourceData_PastureBeef_LiveweightNTQD[[#Headers],[State]], 0)</f>
        <v>Winter</v>
      </c>
      <c r="G81" s="39" cm="1">
        <f t="array" ref="G81">Common_InputFunctions.Utility_DisplayArrayInTable(SourceData_PastureBeef.SourceData_PastureBeef_LiveweightNTQLD_Data(),Table_SourceData_PastureBeef_LiveweightNTQD[[#Headers],[State]], 0)</f>
        <v>192</v>
      </c>
      <c r="H81" s="39" cm="1">
        <f t="array" ref="H81">Common_InputFunctions.Utility_DisplayArrayInTable(SourceData_PastureBeef.SourceData_PastureBeef_LiveweightNTQLD_Data(),Table_SourceData_PastureBeef_LiveweightNTQD[[#Headers],[State]], 0)</f>
        <v>615</v>
      </c>
      <c r="I81" s="39" cm="1">
        <f t="array" ref="I81">Common_InputFunctions.Utility_DisplayArrayInTable(SourceData_PastureBeef.SourceData_PastureBeef_LiveweightNTQLD_Data(),Table_SourceData_PastureBeef_LiveweightNTQD[[#Headers],[State]], 0)</f>
        <v>162</v>
      </c>
      <c r="J81" s="39" cm="1">
        <f t="array" ref="J81">Common_InputFunctions.Utility_DisplayArrayInTable(SourceData_PastureBeef.SourceData_PastureBeef_LiveweightNTQLD_Data(),Table_SourceData_PastureBeef_LiveweightNTQD[[#Headers],[State]], 0)</f>
        <v>255</v>
      </c>
      <c r="K81" s="39" cm="1">
        <f t="array" ref="K81">Common_InputFunctions.Utility_DisplayArrayInTable(SourceData_PastureBeef.SourceData_PastureBeef_LiveweightNTQLD_Data(),Table_SourceData_PastureBeef_LiveweightNTQD[[#Headers],[State]], 0)</f>
        <v>364</v>
      </c>
      <c r="L81" s="39" cm="1">
        <f t="array" ref="L81">Common_InputFunctions.Utility_DisplayArrayInTable(SourceData_PastureBeef.SourceData_PastureBeef_LiveweightNTQLD_Data(),Table_SourceData_PastureBeef_LiveweightNTQD[[#Headers],[State]], 0)</f>
        <v>420</v>
      </c>
      <c r="M81" s="39" cm="1">
        <f t="array" ref="M81">Common_InputFunctions.Utility_DisplayArrayInTable(SourceData_PastureBeef.SourceData_PastureBeef_LiveweightNTQLD_Data(),Table_SourceData_PastureBeef_LiveweightNTQD[[#Headers],[State]], 0)</f>
        <v>157</v>
      </c>
      <c r="N81" s="39" cm="1">
        <f t="array" ref="N81">Common_InputFunctions.Utility_DisplayArrayInTable(SourceData_PastureBeef.SourceData_PastureBeef_LiveweightNTQLD_Data(),Table_SourceData_PastureBeef_LiveweightNTQD[[#Headers],[State]], 0)</f>
        <v>261</v>
      </c>
      <c r="O81" s="39" cm="1">
        <f t="array" ref="O81">Common_InputFunctions.Utility_DisplayArrayInTable(SourceData_PastureBeef.SourceData_PastureBeef_LiveweightNTQLD_Data(),Table_SourceData_PastureBeef_LiveweightNTQD[[#Headers],[State]], 0)</f>
        <v>342</v>
      </c>
      <c r="P81" s="39"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385</v>
      </c>
      <c r="M84" s="1"/>
    </row>
    <row r="85" spans="4:22" ht="20.100000000000001" customHeight="1" x14ac:dyDescent="0.25">
      <c r="D85" s="143" t="s">
        <v>8</v>
      </c>
      <c r="E85" s="143" t="s">
        <v>367</v>
      </c>
      <c r="F85" s="143" t="s">
        <v>368</v>
      </c>
      <c r="G85" s="145" t="s">
        <v>178</v>
      </c>
      <c r="H85" s="145" t="s">
        <v>177</v>
      </c>
      <c r="I85" s="145" t="s">
        <v>348</v>
      </c>
      <c r="J85" s="145" t="s">
        <v>349</v>
      </c>
      <c r="K85" s="145" t="s">
        <v>350</v>
      </c>
      <c r="L85" s="145" t="s">
        <v>351</v>
      </c>
      <c r="M85" s="145" t="s">
        <v>352</v>
      </c>
      <c r="N85" s="145" t="s">
        <v>353</v>
      </c>
      <c r="O85" s="145" t="s">
        <v>354</v>
      </c>
      <c r="P85" s="145" t="s">
        <v>355</v>
      </c>
      <c r="V85" s="1"/>
    </row>
    <row r="86" spans="4:22" ht="20.100000000000001" customHeight="1" x14ac:dyDescent="0.25">
      <c r="D86" s="130" t="s">
        <v>83</v>
      </c>
      <c r="E86" s="130" t="s">
        <v>386</v>
      </c>
      <c r="F86" s="130" t="str">
        <f>F19</f>
        <v>Spring</v>
      </c>
      <c r="G86" s="130">
        <f>G19</f>
        <v>80</v>
      </c>
      <c r="H86" s="130">
        <f t="shared" ref="H86:K89" si="0">H19</f>
        <v>480</v>
      </c>
      <c r="I86" s="130">
        <f>I19</f>
        <v>75</v>
      </c>
      <c r="J86" s="130">
        <f>J19</f>
        <v>300</v>
      </c>
      <c r="K86" s="130">
        <f>K19</f>
        <v>440</v>
      </c>
      <c r="L86" s="130">
        <f>K19</f>
        <v>440</v>
      </c>
      <c r="M86" s="130">
        <f>L19</f>
        <v>75</v>
      </c>
      <c r="N86" s="130">
        <f>M19</f>
        <v>380</v>
      </c>
      <c r="O86" s="130">
        <f>M19</f>
        <v>380</v>
      </c>
      <c r="P86" s="130">
        <f>M19</f>
        <v>380</v>
      </c>
      <c r="V86" s="1"/>
    </row>
    <row r="87" spans="4:22" ht="20.100000000000001" customHeight="1" x14ac:dyDescent="0.25">
      <c r="D87" s="130" t="s">
        <v>83</v>
      </c>
      <c r="E87" s="130" t="s">
        <v>386</v>
      </c>
      <c r="F87" s="130" t="s">
        <v>357</v>
      </c>
      <c r="G87" s="130">
        <f t="shared" ref="G87:H87" si="1">G20</f>
        <v>170</v>
      </c>
      <c r="H87" s="130">
        <f t="shared" si="0"/>
        <v>520</v>
      </c>
      <c r="I87" s="130">
        <f t="shared" si="0"/>
        <v>160</v>
      </c>
      <c r="J87" s="130">
        <f t="shared" si="0"/>
        <v>360</v>
      </c>
      <c r="K87" s="130">
        <f t="shared" si="0"/>
        <v>470</v>
      </c>
      <c r="L87" s="130">
        <f t="shared" ref="L87:N89" si="2">K20</f>
        <v>470</v>
      </c>
      <c r="M87" s="130">
        <f t="shared" si="2"/>
        <v>160</v>
      </c>
      <c r="N87" s="130">
        <f t="shared" si="2"/>
        <v>420</v>
      </c>
      <c r="O87" s="130">
        <f t="shared" ref="O87:O89" si="3">M20</f>
        <v>420</v>
      </c>
      <c r="P87" s="130">
        <f t="shared" ref="P87:P89" si="4">M20</f>
        <v>420</v>
      </c>
      <c r="V87" s="1"/>
    </row>
    <row r="88" spans="4:22" ht="20.100000000000001" customHeight="1" x14ac:dyDescent="0.25">
      <c r="D88" s="130" t="s">
        <v>83</v>
      </c>
      <c r="E88" s="130" t="s">
        <v>386</v>
      </c>
      <c r="F88" s="130" t="s">
        <v>358</v>
      </c>
      <c r="G88" s="130">
        <f t="shared" ref="G88:H88" si="5">G21</f>
        <v>240</v>
      </c>
      <c r="H88" s="130">
        <f t="shared" si="0"/>
        <v>550</v>
      </c>
      <c r="I88" s="130">
        <f t="shared" si="0"/>
        <v>220</v>
      </c>
      <c r="J88" s="130">
        <f t="shared" si="0"/>
        <v>390</v>
      </c>
      <c r="K88" s="130">
        <f t="shared" si="0"/>
        <v>490</v>
      </c>
      <c r="L88" s="130">
        <f t="shared" si="2"/>
        <v>490</v>
      </c>
      <c r="M88" s="130">
        <f t="shared" si="2"/>
        <v>220</v>
      </c>
      <c r="N88" s="130">
        <f t="shared" si="2"/>
        <v>450</v>
      </c>
      <c r="O88" s="130">
        <f t="shared" si="3"/>
        <v>450</v>
      </c>
      <c r="P88" s="130">
        <f t="shared" si="4"/>
        <v>450</v>
      </c>
      <c r="V88" s="1"/>
    </row>
    <row r="89" spans="4:22" ht="20.100000000000001" customHeight="1" x14ac:dyDescent="0.25">
      <c r="D89" s="130" t="s">
        <v>83</v>
      </c>
      <c r="E89" s="130" t="s">
        <v>386</v>
      </c>
      <c r="F89" s="130" t="s">
        <v>359</v>
      </c>
      <c r="G89" s="130">
        <f t="shared" ref="G89:H89" si="6">G22</f>
        <v>280</v>
      </c>
      <c r="H89" s="130">
        <f t="shared" si="0"/>
        <v>560</v>
      </c>
      <c r="I89" s="130">
        <f t="shared" si="0"/>
        <v>260</v>
      </c>
      <c r="J89" s="130">
        <f t="shared" si="0"/>
        <v>410</v>
      </c>
      <c r="K89" s="130">
        <f t="shared" si="0"/>
        <v>500</v>
      </c>
      <c r="L89" s="130">
        <f t="shared" si="2"/>
        <v>500</v>
      </c>
      <c r="M89" s="130">
        <f t="shared" si="2"/>
        <v>260</v>
      </c>
      <c r="N89" s="130">
        <f t="shared" si="2"/>
        <v>460</v>
      </c>
      <c r="O89" s="130">
        <f t="shared" si="3"/>
        <v>460</v>
      </c>
      <c r="P89" s="130">
        <f t="shared" si="4"/>
        <v>460</v>
      </c>
      <c r="V89" s="1"/>
    </row>
    <row r="90" spans="4:22" ht="20.100000000000001" customHeight="1" x14ac:dyDescent="0.25">
      <c r="D90" s="130" t="s">
        <v>84</v>
      </c>
      <c r="E90" s="130" t="s">
        <v>386</v>
      </c>
      <c r="F90" s="130" t="str">
        <f>F23</f>
        <v>Spring</v>
      </c>
      <c r="G90" s="130">
        <f>G19</f>
        <v>80</v>
      </c>
      <c r="H90" s="130">
        <f t="shared" ref="H90:J90" si="7">H19</f>
        <v>480</v>
      </c>
      <c r="I90" s="130">
        <f t="shared" si="7"/>
        <v>75</v>
      </c>
      <c r="J90" s="130">
        <f t="shared" si="7"/>
        <v>300</v>
      </c>
      <c r="K90" s="130">
        <f>K19</f>
        <v>440</v>
      </c>
      <c r="L90" s="130">
        <f>K19</f>
        <v>440</v>
      </c>
      <c r="M90" s="130">
        <f>L19</f>
        <v>75</v>
      </c>
      <c r="N90" s="130">
        <f>M19</f>
        <v>380</v>
      </c>
      <c r="O90" s="130">
        <f>M19</f>
        <v>380</v>
      </c>
      <c r="P90" s="130">
        <f>M19</f>
        <v>380</v>
      </c>
      <c r="V90" s="1"/>
    </row>
    <row r="91" spans="4:22" ht="20.100000000000001" customHeight="1" x14ac:dyDescent="0.25">
      <c r="D91" s="130" t="s">
        <v>84</v>
      </c>
      <c r="E91" s="130" t="s">
        <v>386</v>
      </c>
      <c r="F91" s="130" t="s">
        <v>357</v>
      </c>
      <c r="G91" s="130">
        <f t="shared" ref="G91:K91" si="8">G20</f>
        <v>170</v>
      </c>
      <c r="H91" s="130">
        <f t="shared" si="8"/>
        <v>520</v>
      </c>
      <c r="I91" s="130">
        <f t="shared" si="8"/>
        <v>160</v>
      </c>
      <c r="J91" s="130">
        <f t="shared" si="8"/>
        <v>360</v>
      </c>
      <c r="K91" s="130">
        <f t="shared" si="8"/>
        <v>470</v>
      </c>
      <c r="L91" s="130">
        <f t="shared" ref="L91:M93" si="9">K20</f>
        <v>470</v>
      </c>
      <c r="M91" s="130">
        <f t="shared" si="9"/>
        <v>160</v>
      </c>
      <c r="N91" s="130">
        <f t="shared" ref="N90:N117" si="10">M20</f>
        <v>420</v>
      </c>
      <c r="O91" s="130">
        <f t="shared" ref="O91:O93" si="11">M20</f>
        <v>420</v>
      </c>
      <c r="P91" s="130">
        <f t="shared" ref="P91:P93" si="12">M20</f>
        <v>420</v>
      </c>
    </row>
    <row r="92" spans="4:22" ht="20.100000000000001" customHeight="1" x14ac:dyDescent="0.25">
      <c r="D92" s="130" t="s">
        <v>84</v>
      </c>
      <c r="E92" s="130" t="s">
        <v>386</v>
      </c>
      <c r="F92" s="130" t="s">
        <v>358</v>
      </c>
      <c r="G92" s="130">
        <f t="shared" ref="G92:K92" si="13">G21</f>
        <v>240</v>
      </c>
      <c r="H92" s="130">
        <f t="shared" si="13"/>
        <v>550</v>
      </c>
      <c r="I92" s="130">
        <f t="shared" si="13"/>
        <v>220</v>
      </c>
      <c r="J92" s="130">
        <f t="shared" si="13"/>
        <v>390</v>
      </c>
      <c r="K92" s="130">
        <f t="shared" si="13"/>
        <v>490</v>
      </c>
      <c r="L92" s="130">
        <f t="shared" si="9"/>
        <v>490</v>
      </c>
      <c r="M92" s="130">
        <f t="shared" si="9"/>
        <v>220</v>
      </c>
      <c r="N92" s="130">
        <f t="shared" si="10"/>
        <v>450</v>
      </c>
      <c r="O92" s="130">
        <f t="shared" si="11"/>
        <v>450</v>
      </c>
      <c r="P92" s="130">
        <f t="shared" si="12"/>
        <v>450</v>
      </c>
    </row>
    <row r="93" spans="4:22" ht="20.100000000000001" customHeight="1" x14ac:dyDescent="0.25">
      <c r="D93" s="130" t="s">
        <v>84</v>
      </c>
      <c r="E93" s="130" t="s">
        <v>386</v>
      </c>
      <c r="F93" s="130" t="s">
        <v>359</v>
      </c>
      <c r="G93" s="130">
        <f t="shared" ref="G93:K93" si="14">G22</f>
        <v>280</v>
      </c>
      <c r="H93" s="130">
        <f t="shared" si="14"/>
        <v>560</v>
      </c>
      <c r="I93" s="130">
        <f t="shared" si="14"/>
        <v>260</v>
      </c>
      <c r="J93" s="130">
        <f t="shared" si="14"/>
        <v>410</v>
      </c>
      <c r="K93" s="130">
        <f t="shared" si="14"/>
        <v>500</v>
      </c>
      <c r="L93" s="130">
        <f t="shared" si="9"/>
        <v>500</v>
      </c>
      <c r="M93" s="130">
        <f t="shared" si="9"/>
        <v>260</v>
      </c>
      <c r="N93" s="130">
        <f t="shared" si="10"/>
        <v>460</v>
      </c>
      <c r="O93" s="130">
        <f t="shared" si="11"/>
        <v>460</v>
      </c>
      <c r="P93" s="130">
        <f t="shared" si="12"/>
        <v>460</v>
      </c>
    </row>
    <row r="94" spans="4:22" ht="20.100000000000001" customHeight="1" x14ac:dyDescent="0.25">
      <c r="D94" s="130" t="s">
        <v>87</v>
      </c>
      <c r="E94" s="130" t="s">
        <v>386</v>
      </c>
      <c r="F94" s="130" t="str">
        <f>F27</f>
        <v>Spring</v>
      </c>
      <c r="G94" s="130">
        <f>G23</f>
        <v>250</v>
      </c>
      <c r="H94" s="130">
        <f t="shared" ref="H94:J94" si="15">H23</f>
        <v>800</v>
      </c>
      <c r="I94" s="130">
        <f t="shared" si="15"/>
        <v>220</v>
      </c>
      <c r="J94" s="130">
        <f>J23</f>
        <v>400</v>
      </c>
      <c r="K94" s="130">
        <f>K23</f>
        <v>500</v>
      </c>
      <c r="L94" s="130">
        <f>K23</f>
        <v>500</v>
      </c>
      <c r="M94" s="130">
        <f>L23</f>
        <v>230</v>
      </c>
      <c r="N94" s="130">
        <f>M23</f>
        <v>420</v>
      </c>
      <c r="O94" s="130">
        <f>M23</f>
        <v>420</v>
      </c>
      <c r="P94" s="130">
        <f>M23</f>
        <v>420</v>
      </c>
    </row>
    <row r="95" spans="4:22" ht="20.100000000000001" customHeight="1" x14ac:dyDescent="0.25">
      <c r="D95" s="130" t="s">
        <v>87</v>
      </c>
      <c r="E95" s="130" t="s">
        <v>386</v>
      </c>
      <c r="F95" s="130" t="s">
        <v>357</v>
      </c>
      <c r="G95" s="130">
        <f t="shared" ref="G95:K95" si="16">G24</f>
        <v>320</v>
      </c>
      <c r="H95" s="130">
        <f t="shared" si="16"/>
        <v>800</v>
      </c>
      <c r="I95" s="130">
        <f t="shared" si="16"/>
        <v>280</v>
      </c>
      <c r="J95" s="130">
        <f t="shared" si="16"/>
        <v>420</v>
      </c>
      <c r="K95" s="130">
        <f t="shared" si="16"/>
        <v>500</v>
      </c>
      <c r="L95" s="130">
        <f t="shared" ref="L95:M97" si="17">K24</f>
        <v>500</v>
      </c>
      <c r="M95" s="130">
        <f t="shared" si="17"/>
        <v>290</v>
      </c>
      <c r="N95" s="130">
        <f t="shared" si="10"/>
        <v>420</v>
      </c>
      <c r="O95" s="130">
        <f t="shared" ref="O95:O97" si="18">M24</f>
        <v>420</v>
      </c>
      <c r="P95" s="130">
        <f t="shared" ref="P95:P97" si="19">M24</f>
        <v>420</v>
      </c>
    </row>
    <row r="96" spans="4:22" ht="20.100000000000001" customHeight="1" x14ac:dyDescent="0.25">
      <c r="D96" s="130" t="s">
        <v>87</v>
      </c>
      <c r="E96" s="130" t="s">
        <v>386</v>
      </c>
      <c r="F96" s="130" t="s">
        <v>358</v>
      </c>
      <c r="G96" s="130">
        <f t="shared" ref="G96:K96" si="20">G25</f>
        <v>80</v>
      </c>
      <c r="H96" s="130">
        <f t="shared" si="20"/>
        <v>700</v>
      </c>
      <c r="I96" s="130">
        <f t="shared" si="20"/>
        <v>70</v>
      </c>
      <c r="J96" s="130">
        <f t="shared" si="20"/>
        <v>300</v>
      </c>
      <c r="K96" s="130">
        <f t="shared" si="20"/>
        <v>450</v>
      </c>
      <c r="L96" s="130">
        <f t="shared" si="17"/>
        <v>450</v>
      </c>
      <c r="M96" s="130">
        <f t="shared" si="17"/>
        <v>75</v>
      </c>
      <c r="N96" s="130">
        <f t="shared" si="10"/>
        <v>400</v>
      </c>
      <c r="O96" s="130">
        <f t="shared" si="18"/>
        <v>400</v>
      </c>
      <c r="P96" s="130">
        <f t="shared" si="19"/>
        <v>400</v>
      </c>
    </row>
    <row r="97" spans="4:16" ht="20.100000000000001" customHeight="1" x14ac:dyDescent="0.25">
      <c r="D97" s="130" t="s">
        <v>87</v>
      </c>
      <c r="E97" s="130" t="s">
        <v>386</v>
      </c>
      <c r="F97" s="130" t="s">
        <v>359</v>
      </c>
      <c r="G97" s="130">
        <f t="shared" ref="G97:K97" si="21">G26</f>
        <v>160</v>
      </c>
      <c r="H97" s="130">
        <f t="shared" si="21"/>
        <v>700</v>
      </c>
      <c r="I97" s="130">
        <f t="shared" si="21"/>
        <v>140</v>
      </c>
      <c r="J97" s="130">
        <f t="shared" si="21"/>
        <v>350</v>
      </c>
      <c r="K97" s="130">
        <f t="shared" si="21"/>
        <v>450</v>
      </c>
      <c r="L97" s="130">
        <f t="shared" si="17"/>
        <v>450</v>
      </c>
      <c r="M97" s="130">
        <f t="shared" si="17"/>
        <v>150</v>
      </c>
      <c r="N97" s="130">
        <f t="shared" si="10"/>
        <v>400</v>
      </c>
      <c r="O97" s="130">
        <f t="shared" si="18"/>
        <v>400</v>
      </c>
      <c r="P97" s="130">
        <f t="shared" si="19"/>
        <v>400</v>
      </c>
    </row>
    <row r="98" spans="4:16" ht="20.100000000000001" customHeight="1" x14ac:dyDescent="0.25">
      <c r="D98" s="130" t="s">
        <v>88</v>
      </c>
      <c r="E98" s="130" t="s">
        <v>386</v>
      </c>
      <c r="F98" s="130" t="str">
        <f>F31</f>
        <v>Spring</v>
      </c>
      <c r="G98" s="130">
        <f>G27</f>
        <v>105</v>
      </c>
      <c r="H98" s="130">
        <f t="shared" ref="H98:K98" si="22">H27</f>
        <v>700</v>
      </c>
      <c r="I98" s="130">
        <f t="shared" si="22"/>
        <v>85</v>
      </c>
      <c r="J98" s="130">
        <f t="shared" si="22"/>
        <v>300</v>
      </c>
      <c r="K98" s="130">
        <f t="shared" si="22"/>
        <v>490</v>
      </c>
      <c r="L98" s="130">
        <f>K27</f>
        <v>490</v>
      </c>
      <c r="M98" s="130">
        <f>L27</f>
        <v>90</v>
      </c>
      <c r="N98" s="130">
        <f>M27</f>
        <v>480</v>
      </c>
      <c r="O98" s="130">
        <f>M27</f>
        <v>480</v>
      </c>
      <c r="P98" s="130">
        <f>M27</f>
        <v>480</v>
      </c>
    </row>
    <row r="99" spans="4:16" ht="20.100000000000001" customHeight="1" x14ac:dyDescent="0.25">
      <c r="D99" s="130" t="s">
        <v>88</v>
      </c>
      <c r="E99" s="130" t="s">
        <v>386</v>
      </c>
      <c r="F99" s="130" t="s">
        <v>357</v>
      </c>
      <c r="G99" s="130">
        <f t="shared" ref="G99:K99" si="23">G28</f>
        <v>480</v>
      </c>
      <c r="H99" s="130">
        <f t="shared" si="23"/>
        <v>750</v>
      </c>
      <c r="I99" s="130">
        <f t="shared" si="23"/>
        <v>150</v>
      </c>
      <c r="J99" s="130">
        <f t="shared" si="23"/>
        <v>350</v>
      </c>
      <c r="K99" s="130">
        <f t="shared" si="23"/>
        <v>530</v>
      </c>
      <c r="L99" s="130">
        <f t="shared" ref="L99:M101" si="24">K28</f>
        <v>530</v>
      </c>
      <c r="M99" s="130">
        <f t="shared" si="24"/>
        <v>160</v>
      </c>
      <c r="N99" s="130">
        <f t="shared" si="10"/>
        <v>460</v>
      </c>
      <c r="O99" s="130">
        <f t="shared" ref="O99:O101" si="25">M28</f>
        <v>460</v>
      </c>
      <c r="P99" s="130">
        <f t="shared" ref="P99:P101" si="26">M28</f>
        <v>460</v>
      </c>
    </row>
    <row r="100" spans="4:16" ht="20.100000000000001" customHeight="1" x14ac:dyDescent="0.25">
      <c r="D100" s="130" t="s">
        <v>88</v>
      </c>
      <c r="E100" s="130" t="s">
        <v>386</v>
      </c>
      <c r="F100" s="130" t="s">
        <v>358</v>
      </c>
      <c r="G100" s="130">
        <f t="shared" ref="G100:K100" si="27">G29</f>
        <v>250</v>
      </c>
      <c r="H100" s="130">
        <f t="shared" si="27"/>
        <v>725</v>
      </c>
      <c r="I100" s="130">
        <f t="shared" si="27"/>
        <v>200</v>
      </c>
      <c r="J100" s="130">
        <f t="shared" si="27"/>
        <v>360</v>
      </c>
      <c r="K100" s="130">
        <f t="shared" si="27"/>
        <v>500</v>
      </c>
      <c r="L100" s="130">
        <f t="shared" si="24"/>
        <v>500</v>
      </c>
      <c r="M100" s="130">
        <f t="shared" si="24"/>
        <v>215</v>
      </c>
      <c r="N100" s="130">
        <f t="shared" si="10"/>
        <v>490</v>
      </c>
      <c r="O100" s="130">
        <f t="shared" si="25"/>
        <v>490</v>
      </c>
      <c r="P100" s="130">
        <f t="shared" si="26"/>
        <v>490</v>
      </c>
    </row>
    <row r="101" spans="4:16" ht="20.100000000000001" customHeight="1" x14ac:dyDescent="0.25">
      <c r="D101" s="130" t="s">
        <v>88</v>
      </c>
      <c r="E101" s="130" t="s">
        <v>386</v>
      </c>
      <c r="F101" s="130" t="s">
        <v>359</v>
      </c>
      <c r="G101" s="130">
        <f t="shared" ref="G101:K101" si="28">G30</f>
        <v>260</v>
      </c>
      <c r="H101" s="130">
        <f t="shared" si="28"/>
        <v>700</v>
      </c>
      <c r="I101" s="130">
        <f t="shared" si="28"/>
        <v>210</v>
      </c>
      <c r="J101" s="130">
        <f t="shared" si="28"/>
        <v>380</v>
      </c>
      <c r="K101" s="130">
        <f t="shared" si="28"/>
        <v>460</v>
      </c>
      <c r="L101" s="130">
        <f t="shared" si="24"/>
        <v>460</v>
      </c>
      <c r="M101" s="130">
        <f t="shared" si="24"/>
        <v>230</v>
      </c>
      <c r="N101" s="130">
        <f t="shared" si="10"/>
        <v>470</v>
      </c>
      <c r="O101" s="130">
        <f t="shared" si="25"/>
        <v>470</v>
      </c>
      <c r="P101" s="130">
        <f t="shared" si="26"/>
        <v>470</v>
      </c>
    </row>
    <row r="102" spans="4:16" ht="20.100000000000001" customHeight="1" x14ac:dyDescent="0.25">
      <c r="D102" s="130" t="s">
        <v>89</v>
      </c>
      <c r="E102" s="130" t="s">
        <v>386</v>
      </c>
      <c r="F102" s="130" t="str">
        <f>F35</f>
        <v>Spring</v>
      </c>
      <c r="G102" s="130">
        <f>G31</f>
        <v>250</v>
      </c>
      <c r="H102" s="130">
        <f t="shared" ref="H102:K102" si="29">H31</f>
        <v>820</v>
      </c>
      <c r="I102" s="130">
        <f t="shared" si="29"/>
        <v>240</v>
      </c>
      <c r="J102" s="130">
        <f t="shared" si="29"/>
        <v>410</v>
      </c>
      <c r="K102" s="130">
        <f>K31</f>
        <v>560</v>
      </c>
      <c r="L102" s="130">
        <f>K31</f>
        <v>560</v>
      </c>
      <c r="M102" s="130">
        <f>L31</f>
        <v>240</v>
      </c>
      <c r="N102" s="130">
        <f>M31</f>
        <v>510</v>
      </c>
      <c r="O102" s="130">
        <f>M31</f>
        <v>510</v>
      </c>
      <c r="P102" s="130">
        <f>M31</f>
        <v>510</v>
      </c>
    </row>
    <row r="103" spans="4:16" ht="20.100000000000001" customHeight="1" x14ac:dyDescent="0.25">
      <c r="D103" s="130" t="s">
        <v>89</v>
      </c>
      <c r="E103" s="130" t="s">
        <v>386</v>
      </c>
      <c r="F103" s="130" t="s">
        <v>357</v>
      </c>
      <c r="G103" s="130">
        <f t="shared" ref="G103:K103" si="30">G32</f>
        <v>280</v>
      </c>
      <c r="H103" s="130">
        <f t="shared" si="30"/>
        <v>850</v>
      </c>
      <c r="I103" s="130">
        <f t="shared" si="30"/>
        <v>260</v>
      </c>
      <c r="J103" s="130">
        <f t="shared" si="30"/>
        <v>440</v>
      </c>
      <c r="K103" s="130">
        <f t="shared" si="30"/>
        <v>550</v>
      </c>
      <c r="L103" s="130">
        <f t="shared" ref="L103:M105" si="31">K32</f>
        <v>550</v>
      </c>
      <c r="M103" s="130">
        <f t="shared" si="31"/>
        <v>270</v>
      </c>
      <c r="N103" s="130">
        <f t="shared" si="10"/>
        <v>520</v>
      </c>
      <c r="O103" s="130">
        <f t="shared" ref="O103:O105" si="32">M32</f>
        <v>520</v>
      </c>
      <c r="P103" s="130">
        <f t="shared" ref="P103:P105" si="33">M32</f>
        <v>520</v>
      </c>
    </row>
    <row r="104" spans="4:16" ht="20.100000000000001" customHeight="1" x14ac:dyDescent="0.25">
      <c r="D104" s="130" t="s">
        <v>89</v>
      </c>
      <c r="E104" s="130" t="s">
        <v>386</v>
      </c>
      <c r="F104" s="130" t="s">
        <v>358</v>
      </c>
      <c r="G104" s="130">
        <f t="shared" ref="G104:K104" si="34">G33</f>
        <v>100</v>
      </c>
      <c r="H104" s="130">
        <f t="shared" si="34"/>
        <v>700</v>
      </c>
      <c r="I104" s="130">
        <f t="shared" si="34"/>
        <v>95</v>
      </c>
      <c r="J104" s="130">
        <f t="shared" si="34"/>
        <v>300</v>
      </c>
      <c r="K104" s="130">
        <f t="shared" si="34"/>
        <v>450</v>
      </c>
      <c r="L104" s="130">
        <f t="shared" si="31"/>
        <v>450</v>
      </c>
      <c r="M104" s="130">
        <f t="shared" si="31"/>
        <v>95</v>
      </c>
      <c r="N104" s="130">
        <f t="shared" si="10"/>
        <v>410</v>
      </c>
      <c r="O104" s="130">
        <f t="shared" si="32"/>
        <v>410</v>
      </c>
      <c r="P104" s="130">
        <f t="shared" si="33"/>
        <v>410</v>
      </c>
    </row>
    <row r="105" spans="4:16" ht="20.100000000000001" customHeight="1" x14ac:dyDescent="0.25">
      <c r="D105" s="130" t="s">
        <v>89</v>
      </c>
      <c r="E105" s="130" t="s">
        <v>386</v>
      </c>
      <c r="F105" s="130" t="s">
        <v>359</v>
      </c>
      <c r="G105" s="130">
        <f t="shared" ref="G105:K105" si="35">G34</f>
        <v>150</v>
      </c>
      <c r="H105" s="130">
        <f t="shared" si="35"/>
        <v>720</v>
      </c>
      <c r="I105" s="130">
        <f t="shared" si="35"/>
        <v>140</v>
      </c>
      <c r="J105" s="130">
        <f t="shared" si="35"/>
        <v>320</v>
      </c>
      <c r="K105" s="130">
        <f t="shared" si="35"/>
        <v>470</v>
      </c>
      <c r="L105" s="130">
        <f t="shared" si="31"/>
        <v>470</v>
      </c>
      <c r="M105" s="130">
        <f t="shared" si="31"/>
        <v>140</v>
      </c>
      <c r="N105" s="130">
        <f t="shared" si="10"/>
        <v>440</v>
      </c>
      <c r="O105" s="130">
        <f t="shared" si="32"/>
        <v>440</v>
      </c>
      <c r="P105" s="130">
        <f t="shared" si="33"/>
        <v>440</v>
      </c>
    </row>
    <row r="106" spans="4:16" ht="20.100000000000001" customHeight="1" x14ac:dyDescent="0.25">
      <c r="D106" s="130" t="s">
        <v>90</v>
      </c>
      <c r="E106" s="130" t="str">
        <f>E35</f>
        <v>South West</v>
      </c>
      <c r="F106" s="130" t="str">
        <f t="shared" ref="F106:K106" si="36">F35</f>
        <v>Spring</v>
      </c>
      <c r="G106" s="130">
        <f t="shared" si="36"/>
        <v>340</v>
      </c>
      <c r="H106" s="130">
        <f t="shared" si="36"/>
        <v>800</v>
      </c>
      <c r="I106" s="130">
        <f t="shared" si="36"/>
        <v>260</v>
      </c>
      <c r="J106" s="130">
        <f t="shared" si="36"/>
        <v>420</v>
      </c>
      <c r="K106" s="130">
        <f t="shared" si="36"/>
        <v>550</v>
      </c>
      <c r="L106" s="130">
        <f>K35</f>
        <v>550</v>
      </c>
      <c r="M106" s="130">
        <f>L35</f>
        <v>300</v>
      </c>
      <c r="N106" s="130">
        <f>M35</f>
        <v>480</v>
      </c>
      <c r="O106" s="130">
        <f>M35</f>
        <v>480</v>
      </c>
      <c r="P106" s="130">
        <f>M35</f>
        <v>480</v>
      </c>
    </row>
    <row r="107" spans="4:16" ht="20.100000000000001" customHeight="1" x14ac:dyDescent="0.25">
      <c r="D107" s="130" t="s">
        <v>90</v>
      </c>
      <c r="E107" s="130" t="str">
        <f t="shared" ref="E107:K107" si="37">E36</f>
        <v>South West</v>
      </c>
      <c r="F107" s="130" t="str">
        <f t="shared" si="37"/>
        <v>Summer</v>
      </c>
      <c r="G107" s="130">
        <f t="shared" si="37"/>
        <v>380</v>
      </c>
      <c r="H107" s="130">
        <f t="shared" si="37"/>
        <v>780</v>
      </c>
      <c r="I107" s="130">
        <f t="shared" si="37"/>
        <v>300</v>
      </c>
      <c r="J107" s="130">
        <f t="shared" si="37"/>
        <v>450</v>
      </c>
      <c r="K107" s="130">
        <f t="shared" si="37"/>
        <v>530</v>
      </c>
      <c r="L107" s="130">
        <f t="shared" ref="L107:M117" si="38">K36</f>
        <v>530</v>
      </c>
      <c r="M107" s="130">
        <f t="shared" si="38"/>
        <v>340</v>
      </c>
      <c r="N107" s="130">
        <f t="shared" si="10"/>
        <v>470</v>
      </c>
      <c r="O107" s="130">
        <f t="shared" ref="O107:O117" si="39">M36</f>
        <v>470</v>
      </c>
      <c r="P107" s="130">
        <f t="shared" ref="P107:P117" si="40">M36</f>
        <v>470</v>
      </c>
    </row>
    <row r="108" spans="4:16" ht="20.100000000000001" customHeight="1" x14ac:dyDescent="0.25">
      <c r="D108" s="130" t="s">
        <v>90</v>
      </c>
      <c r="E108" s="130" t="str">
        <f t="shared" ref="E108:K108" si="41">E37</f>
        <v>South West</v>
      </c>
      <c r="F108" s="130" t="str">
        <f t="shared" si="41"/>
        <v>Autumn</v>
      </c>
      <c r="G108" s="130">
        <f t="shared" si="41"/>
        <v>100</v>
      </c>
      <c r="H108" s="130">
        <f t="shared" si="41"/>
        <v>680</v>
      </c>
      <c r="I108" s="130">
        <f t="shared" si="41"/>
        <v>80</v>
      </c>
      <c r="J108" s="130">
        <f t="shared" si="41"/>
        <v>320</v>
      </c>
      <c r="K108" s="130">
        <f t="shared" si="41"/>
        <v>480</v>
      </c>
      <c r="L108" s="130">
        <f t="shared" si="38"/>
        <v>480</v>
      </c>
      <c r="M108" s="130">
        <f t="shared" si="38"/>
        <v>100</v>
      </c>
      <c r="N108" s="130">
        <f t="shared" si="10"/>
        <v>340</v>
      </c>
      <c r="O108" s="130">
        <f t="shared" si="39"/>
        <v>340</v>
      </c>
      <c r="P108" s="130">
        <f t="shared" si="40"/>
        <v>340</v>
      </c>
    </row>
    <row r="109" spans="4:16" ht="20.100000000000001" customHeight="1" x14ac:dyDescent="0.25">
      <c r="D109" s="130" t="s">
        <v>90</v>
      </c>
      <c r="E109" s="130" t="str">
        <f t="shared" ref="E109:K109" si="42">E38</f>
        <v>South West</v>
      </c>
      <c r="F109" s="130" t="str">
        <f t="shared" si="42"/>
        <v>Winter</v>
      </c>
      <c r="G109" s="130">
        <f t="shared" si="42"/>
        <v>190</v>
      </c>
      <c r="H109" s="130">
        <f t="shared" si="42"/>
        <v>700</v>
      </c>
      <c r="I109" s="130">
        <f t="shared" si="42"/>
        <v>150</v>
      </c>
      <c r="J109" s="130">
        <f t="shared" si="42"/>
        <v>330</v>
      </c>
      <c r="K109" s="130">
        <f t="shared" si="42"/>
        <v>490</v>
      </c>
      <c r="L109" s="130">
        <f t="shared" si="38"/>
        <v>490</v>
      </c>
      <c r="M109" s="130">
        <f t="shared" si="38"/>
        <v>170</v>
      </c>
      <c r="N109" s="130">
        <f t="shared" si="10"/>
        <v>360</v>
      </c>
      <c r="O109" s="130">
        <f t="shared" si="39"/>
        <v>360</v>
      </c>
      <c r="P109" s="130">
        <f t="shared" si="40"/>
        <v>360</v>
      </c>
    </row>
    <row r="110" spans="4:16" ht="20.100000000000001" customHeight="1" x14ac:dyDescent="0.25">
      <c r="D110" s="130" t="s">
        <v>90</v>
      </c>
      <c r="E110" s="130" t="str">
        <f t="shared" ref="E110:K110" si="43">E39</f>
        <v>Pilbara</v>
      </c>
      <c r="F110" s="130" t="str">
        <f t="shared" si="43"/>
        <v>Spring</v>
      </c>
      <c r="G110" s="130">
        <f t="shared" si="43"/>
        <v>80</v>
      </c>
      <c r="H110" s="130">
        <f t="shared" si="43"/>
        <v>450</v>
      </c>
      <c r="I110" s="130">
        <f t="shared" si="43"/>
        <v>70</v>
      </c>
      <c r="J110" s="130">
        <f t="shared" si="43"/>
        <v>260</v>
      </c>
      <c r="K110" s="130">
        <f t="shared" si="43"/>
        <v>340</v>
      </c>
      <c r="L110" s="130">
        <f t="shared" si="38"/>
        <v>340</v>
      </c>
      <c r="M110" s="130">
        <f t="shared" si="38"/>
        <v>80</v>
      </c>
      <c r="N110" s="130">
        <f t="shared" si="10"/>
        <v>370</v>
      </c>
      <c r="O110" s="130">
        <f t="shared" si="39"/>
        <v>370</v>
      </c>
      <c r="P110" s="130">
        <f t="shared" si="40"/>
        <v>370</v>
      </c>
    </row>
    <row r="111" spans="4:16" ht="20.100000000000001" customHeight="1" x14ac:dyDescent="0.25">
      <c r="D111" s="130" t="s">
        <v>90</v>
      </c>
      <c r="E111" s="130" t="str">
        <f t="shared" ref="E111:K111" si="44">E40</f>
        <v>Pilbara</v>
      </c>
      <c r="F111" s="130" t="str">
        <f t="shared" si="44"/>
        <v>Summer</v>
      </c>
      <c r="G111" s="130">
        <f t="shared" si="44"/>
        <v>150</v>
      </c>
      <c r="H111" s="130">
        <f t="shared" si="44"/>
        <v>500</v>
      </c>
      <c r="I111" s="130">
        <f t="shared" si="44"/>
        <v>140</v>
      </c>
      <c r="J111" s="130">
        <f t="shared" si="44"/>
        <v>310</v>
      </c>
      <c r="K111" s="130">
        <f t="shared" si="44"/>
        <v>360</v>
      </c>
      <c r="L111" s="130">
        <f t="shared" si="38"/>
        <v>360</v>
      </c>
      <c r="M111" s="130">
        <f t="shared" si="38"/>
        <v>150</v>
      </c>
      <c r="N111" s="130">
        <f t="shared" si="10"/>
        <v>400</v>
      </c>
      <c r="O111" s="130">
        <f t="shared" si="39"/>
        <v>400</v>
      </c>
      <c r="P111" s="130">
        <f t="shared" si="40"/>
        <v>400</v>
      </c>
    </row>
    <row r="112" spans="4:16" ht="20.100000000000001" customHeight="1" x14ac:dyDescent="0.25">
      <c r="D112" s="130" t="s">
        <v>90</v>
      </c>
      <c r="E112" s="130" t="str">
        <f t="shared" ref="E112:K112" si="45">E41</f>
        <v>Pilbara</v>
      </c>
      <c r="F112" s="130" t="str">
        <f t="shared" si="45"/>
        <v>Autumn</v>
      </c>
      <c r="G112" s="130">
        <f t="shared" si="45"/>
        <v>230</v>
      </c>
      <c r="H112" s="130">
        <f t="shared" si="45"/>
        <v>550</v>
      </c>
      <c r="I112" s="130">
        <f t="shared" si="45"/>
        <v>220</v>
      </c>
      <c r="J112" s="130">
        <f t="shared" si="45"/>
        <v>330</v>
      </c>
      <c r="K112" s="130">
        <f t="shared" si="45"/>
        <v>380</v>
      </c>
      <c r="L112" s="130">
        <f t="shared" si="38"/>
        <v>380</v>
      </c>
      <c r="M112" s="130">
        <f t="shared" si="38"/>
        <v>230</v>
      </c>
      <c r="N112" s="130">
        <f t="shared" si="10"/>
        <v>420</v>
      </c>
      <c r="O112" s="130">
        <f t="shared" si="39"/>
        <v>420</v>
      </c>
      <c r="P112" s="130">
        <f t="shared" si="40"/>
        <v>420</v>
      </c>
    </row>
    <row r="113" spans="4:22" ht="20.100000000000001" customHeight="1" x14ac:dyDescent="0.25">
      <c r="D113" s="130" t="s">
        <v>90</v>
      </c>
      <c r="E113" s="130" t="str">
        <f t="shared" ref="E113:K113" si="46">E42</f>
        <v>Pilbara</v>
      </c>
      <c r="F113" s="130" t="str">
        <f t="shared" si="46"/>
        <v>Winter</v>
      </c>
      <c r="G113" s="130">
        <f t="shared" si="46"/>
        <v>250</v>
      </c>
      <c r="H113" s="130">
        <f t="shared" si="46"/>
        <v>500</v>
      </c>
      <c r="I113" s="130">
        <f t="shared" si="46"/>
        <v>240</v>
      </c>
      <c r="J113" s="130">
        <f t="shared" si="46"/>
        <v>340</v>
      </c>
      <c r="K113" s="130">
        <f t="shared" si="46"/>
        <v>360</v>
      </c>
      <c r="L113" s="130">
        <f t="shared" si="38"/>
        <v>360</v>
      </c>
      <c r="M113" s="130">
        <f t="shared" si="38"/>
        <v>250</v>
      </c>
      <c r="N113" s="130">
        <f t="shared" si="10"/>
        <v>390</v>
      </c>
      <c r="O113" s="130">
        <f t="shared" si="39"/>
        <v>390</v>
      </c>
      <c r="P113" s="130">
        <f t="shared" si="40"/>
        <v>390</v>
      </c>
    </row>
    <row r="114" spans="4:22" ht="20.100000000000001" customHeight="1" x14ac:dyDescent="0.25">
      <c r="D114" s="130" t="s">
        <v>90</v>
      </c>
      <c r="E114" s="130" t="str">
        <f t="shared" ref="E114:K114" si="47">E43</f>
        <v>Kimberley</v>
      </c>
      <c r="F114" s="130" t="str">
        <f t="shared" si="47"/>
        <v>Spring</v>
      </c>
      <c r="G114" s="130">
        <f t="shared" si="47"/>
        <v>220</v>
      </c>
      <c r="H114" s="130">
        <f t="shared" si="47"/>
        <v>500</v>
      </c>
      <c r="I114" s="130">
        <f t="shared" si="47"/>
        <v>180</v>
      </c>
      <c r="J114" s="130">
        <f t="shared" si="47"/>
        <v>300</v>
      </c>
      <c r="K114" s="130">
        <f t="shared" si="47"/>
        <v>320</v>
      </c>
      <c r="L114" s="130">
        <f t="shared" si="38"/>
        <v>320</v>
      </c>
      <c r="M114" s="130">
        <f t="shared" si="38"/>
        <v>210</v>
      </c>
      <c r="N114" s="130">
        <f t="shared" si="10"/>
        <v>340</v>
      </c>
      <c r="O114" s="130">
        <f t="shared" si="39"/>
        <v>340</v>
      </c>
      <c r="P114" s="130">
        <f t="shared" si="40"/>
        <v>340</v>
      </c>
    </row>
    <row r="115" spans="4:22" ht="20.100000000000001" customHeight="1" x14ac:dyDescent="0.25">
      <c r="D115" s="130" t="s">
        <v>90</v>
      </c>
      <c r="E115" s="130" t="str">
        <f t="shared" ref="E115:K115" si="48">E44</f>
        <v>Kimberley</v>
      </c>
      <c r="F115" s="130" t="str">
        <f t="shared" si="48"/>
        <v>Summer</v>
      </c>
      <c r="G115" s="130">
        <f t="shared" si="48"/>
        <v>110</v>
      </c>
      <c r="H115" s="130">
        <f t="shared" si="48"/>
        <v>550</v>
      </c>
      <c r="I115" s="130">
        <f t="shared" si="48"/>
        <v>90</v>
      </c>
      <c r="J115" s="130">
        <f t="shared" si="48"/>
        <v>220</v>
      </c>
      <c r="K115" s="130">
        <f t="shared" si="48"/>
        <v>380</v>
      </c>
      <c r="L115" s="130">
        <f t="shared" si="38"/>
        <v>380</v>
      </c>
      <c r="M115" s="130">
        <f t="shared" si="38"/>
        <v>100</v>
      </c>
      <c r="N115" s="130">
        <f t="shared" si="10"/>
        <v>390</v>
      </c>
      <c r="O115" s="130">
        <f t="shared" si="39"/>
        <v>390</v>
      </c>
      <c r="P115" s="130">
        <f t="shared" si="40"/>
        <v>390</v>
      </c>
      <c r="V115" s="1"/>
    </row>
    <row r="116" spans="4:22" ht="20.100000000000001" customHeight="1" x14ac:dyDescent="0.25">
      <c r="D116" s="130" t="s">
        <v>90</v>
      </c>
      <c r="E116" s="130" t="str">
        <f t="shared" ref="E116:K116" si="49">E45</f>
        <v>Kimberley</v>
      </c>
      <c r="F116" s="130" t="str">
        <f t="shared" si="49"/>
        <v>Autumn</v>
      </c>
      <c r="G116" s="130">
        <f t="shared" si="49"/>
        <v>170</v>
      </c>
      <c r="H116" s="130">
        <f t="shared" si="49"/>
        <v>600</v>
      </c>
      <c r="I116" s="130">
        <f t="shared" si="49"/>
        <v>140</v>
      </c>
      <c r="J116" s="130">
        <f t="shared" si="49"/>
        <v>270</v>
      </c>
      <c r="K116" s="130">
        <f t="shared" si="49"/>
        <v>390</v>
      </c>
      <c r="L116" s="130">
        <f t="shared" si="38"/>
        <v>390</v>
      </c>
      <c r="M116" s="130">
        <f t="shared" si="38"/>
        <v>160</v>
      </c>
      <c r="N116" s="130">
        <f t="shared" si="10"/>
        <v>430</v>
      </c>
      <c r="O116" s="130">
        <f t="shared" si="39"/>
        <v>430</v>
      </c>
      <c r="P116" s="130">
        <f t="shared" si="40"/>
        <v>430</v>
      </c>
      <c r="V116" s="1"/>
    </row>
    <row r="117" spans="4:22" ht="20.100000000000001" customHeight="1" x14ac:dyDescent="0.25">
      <c r="D117" s="130" t="s">
        <v>90</v>
      </c>
      <c r="E117" s="130" t="str">
        <f t="shared" ref="E117:K117" si="50">E46</f>
        <v>Kimberley</v>
      </c>
      <c r="F117" s="130" t="str">
        <f t="shared" si="50"/>
        <v>Winter</v>
      </c>
      <c r="G117" s="130">
        <f t="shared" si="50"/>
        <v>200</v>
      </c>
      <c r="H117" s="130">
        <f t="shared" si="50"/>
        <v>550</v>
      </c>
      <c r="I117" s="130">
        <f t="shared" si="50"/>
        <v>150</v>
      </c>
      <c r="J117" s="130">
        <f t="shared" si="50"/>
        <v>280</v>
      </c>
      <c r="K117" s="130">
        <f t="shared" si="50"/>
        <v>350</v>
      </c>
      <c r="L117" s="130">
        <f t="shared" si="38"/>
        <v>350</v>
      </c>
      <c r="M117" s="130">
        <f t="shared" si="38"/>
        <v>190</v>
      </c>
      <c r="N117" s="130">
        <f t="shared" si="10"/>
        <v>400</v>
      </c>
      <c r="O117" s="130">
        <f t="shared" si="39"/>
        <v>400</v>
      </c>
      <c r="P117" s="130">
        <f t="shared" si="40"/>
        <v>400</v>
      </c>
      <c r="V117" s="1"/>
    </row>
    <row r="118" spans="4:22" ht="20.100000000000001" customHeight="1" x14ac:dyDescent="0.25">
      <c r="D118" s="130" t="s">
        <v>85</v>
      </c>
      <c r="E118" s="130" t="str">
        <f>E54</f>
        <v>Alice Springs</v>
      </c>
      <c r="F118" s="130" t="str">
        <f t="shared" ref="F118:P118" si="51">F54</f>
        <v>Spring</v>
      </c>
      <c r="G118" s="130">
        <f t="shared" si="51"/>
        <v>220</v>
      </c>
      <c r="H118" s="130">
        <f t="shared" si="51"/>
        <v>706</v>
      </c>
      <c r="I118" s="130">
        <f t="shared" si="51"/>
        <v>208</v>
      </c>
      <c r="J118" s="130">
        <f t="shared" si="51"/>
        <v>323</v>
      </c>
      <c r="K118" s="130">
        <f t="shared" si="51"/>
        <v>415</v>
      </c>
      <c r="L118" s="130">
        <f t="shared" si="51"/>
        <v>467</v>
      </c>
      <c r="M118" s="130">
        <f t="shared" si="51"/>
        <v>223</v>
      </c>
      <c r="N118" s="130">
        <f t="shared" si="51"/>
        <v>371</v>
      </c>
      <c r="O118" s="130">
        <f t="shared" si="51"/>
        <v>493</v>
      </c>
      <c r="P118" s="130">
        <f t="shared" si="51"/>
        <v>585</v>
      </c>
    </row>
    <row r="119" spans="4:22" ht="20.100000000000001" customHeight="1" x14ac:dyDescent="0.25">
      <c r="D119" s="130" t="s">
        <v>85</v>
      </c>
      <c r="E119" s="130" t="str">
        <f t="shared" ref="E119:P119" si="52">E55</f>
        <v>Alice Springs</v>
      </c>
      <c r="F119" s="130" t="str">
        <f t="shared" si="52"/>
        <v>Summer</v>
      </c>
      <c r="G119" s="130">
        <f t="shared" si="52"/>
        <v>110</v>
      </c>
      <c r="H119" s="130">
        <f t="shared" si="52"/>
        <v>703</v>
      </c>
      <c r="I119" s="130">
        <f t="shared" si="52"/>
        <v>112</v>
      </c>
      <c r="J119" s="130">
        <f t="shared" si="52"/>
        <v>256</v>
      </c>
      <c r="K119" s="130">
        <f t="shared" si="52"/>
        <v>368</v>
      </c>
      <c r="L119" s="130">
        <f t="shared" si="52"/>
        <v>465</v>
      </c>
      <c r="M119" s="130">
        <f t="shared" si="52"/>
        <v>108</v>
      </c>
      <c r="N119" s="130">
        <f t="shared" si="52"/>
        <v>280</v>
      </c>
      <c r="O119" s="130">
        <f t="shared" si="52"/>
        <v>421</v>
      </c>
      <c r="P119" s="130">
        <f t="shared" si="52"/>
        <v>543</v>
      </c>
    </row>
    <row r="120" spans="4:22" ht="20.100000000000001" customHeight="1" x14ac:dyDescent="0.25">
      <c r="D120" s="130" t="s">
        <v>85</v>
      </c>
      <c r="E120" s="130" t="str">
        <f t="shared" ref="E120:P120" si="53">E56</f>
        <v>Alice Springs</v>
      </c>
      <c r="F120" s="130" t="str">
        <f t="shared" si="53"/>
        <v>Autumn</v>
      </c>
      <c r="G120" s="130">
        <f t="shared" si="53"/>
        <v>170</v>
      </c>
      <c r="H120" s="130">
        <f t="shared" si="53"/>
        <v>721</v>
      </c>
      <c r="I120" s="130">
        <f t="shared" si="53"/>
        <v>169</v>
      </c>
      <c r="J120" s="130">
        <f t="shared" si="53"/>
        <v>306</v>
      </c>
      <c r="K120" s="130">
        <f t="shared" si="53"/>
        <v>392</v>
      </c>
      <c r="L120" s="130">
        <f t="shared" si="53"/>
        <v>464</v>
      </c>
      <c r="M120" s="130">
        <f t="shared" si="53"/>
        <v>176</v>
      </c>
      <c r="N120" s="130">
        <f t="shared" si="53"/>
        <v>339</v>
      </c>
      <c r="O120" s="130">
        <f t="shared" si="53"/>
        <v>470</v>
      </c>
      <c r="P120" s="130">
        <f t="shared" si="53"/>
        <v>580</v>
      </c>
    </row>
    <row r="121" spans="4:22" ht="20.100000000000001" customHeight="1" x14ac:dyDescent="0.25">
      <c r="D121" s="130" t="s">
        <v>85</v>
      </c>
      <c r="E121" s="130" t="str">
        <f t="shared" ref="E121:P121" si="54">E57</f>
        <v>Alice Springs</v>
      </c>
      <c r="F121" s="130" t="str">
        <f t="shared" si="54"/>
        <v>Winter</v>
      </c>
      <c r="G121" s="130">
        <f t="shared" si="54"/>
        <v>200</v>
      </c>
      <c r="H121" s="130">
        <f t="shared" si="54"/>
        <v>727</v>
      </c>
      <c r="I121" s="130">
        <f t="shared" si="54"/>
        <v>211</v>
      </c>
      <c r="J121" s="130">
        <f t="shared" si="54"/>
        <v>338</v>
      </c>
      <c r="K121" s="130">
        <f t="shared" si="54"/>
        <v>432</v>
      </c>
      <c r="L121" s="130">
        <f t="shared" si="54"/>
        <v>492</v>
      </c>
      <c r="M121" s="130">
        <f t="shared" si="54"/>
        <v>222</v>
      </c>
      <c r="N121" s="130">
        <f t="shared" si="54"/>
        <v>377</v>
      </c>
      <c r="O121" s="130">
        <f t="shared" si="54"/>
        <v>498</v>
      </c>
      <c r="P121" s="130">
        <f t="shared" si="54"/>
        <v>590</v>
      </c>
    </row>
    <row r="122" spans="4:22" ht="20.100000000000001" customHeight="1" x14ac:dyDescent="0.25">
      <c r="D122" s="130" t="s">
        <v>85</v>
      </c>
      <c r="E122" s="130" t="str">
        <f t="shared" ref="E122:P122" si="55">E58</f>
        <v>Barkly</v>
      </c>
      <c r="F122" s="130" t="str">
        <f t="shared" si="55"/>
        <v>Spring</v>
      </c>
      <c r="G122" s="130">
        <f t="shared" si="55"/>
        <v>220</v>
      </c>
      <c r="H122" s="130">
        <f t="shared" si="55"/>
        <v>620</v>
      </c>
      <c r="I122" s="130">
        <f t="shared" si="55"/>
        <v>227</v>
      </c>
      <c r="J122" s="130">
        <f t="shared" si="55"/>
        <v>319</v>
      </c>
      <c r="K122" s="130">
        <f t="shared" si="55"/>
        <v>398</v>
      </c>
      <c r="L122" s="130">
        <f t="shared" si="55"/>
        <v>452</v>
      </c>
      <c r="M122" s="130">
        <f t="shared" si="55"/>
        <v>216</v>
      </c>
      <c r="N122" s="130">
        <f t="shared" si="55"/>
        <v>334</v>
      </c>
      <c r="O122" s="130" t="str">
        <f t="shared" si="55"/>
        <v>NO</v>
      </c>
      <c r="P122" s="130" t="str">
        <f t="shared" si="55"/>
        <v>NO</v>
      </c>
    </row>
    <row r="123" spans="4:22" ht="20.100000000000001" customHeight="1" x14ac:dyDescent="0.25">
      <c r="D123" s="130" t="s">
        <v>85</v>
      </c>
      <c r="E123" s="130" t="str">
        <f t="shared" ref="E123:P123" si="56">E59</f>
        <v>Barkly</v>
      </c>
      <c r="F123" s="130" t="str">
        <f t="shared" si="56"/>
        <v>Summer</v>
      </c>
      <c r="G123" s="130">
        <f t="shared" si="56"/>
        <v>110</v>
      </c>
      <c r="H123" s="130">
        <f t="shared" si="56"/>
        <v>650</v>
      </c>
      <c r="I123" s="130">
        <f t="shared" si="56"/>
        <v>108</v>
      </c>
      <c r="J123" s="130">
        <f t="shared" si="56"/>
        <v>262</v>
      </c>
      <c r="K123" s="130">
        <f t="shared" si="56"/>
        <v>346</v>
      </c>
      <c r="L123" s="130">
        <f t="shared" si="56"/>
        <v>430</v>
      </c>
      <c r="M123" s="130">
        <f t="shared" si="56"/>
        <v>111</v>
      </c>
      <c r="N123" s="130">
        <f t="shared" si="56"/>
        <v>236</v>
      </c>
      <c r="O123" s="130" t="str">
        <f t="shared" si="56"/>
        <v>NO</v>
      </c>
      <c r="P123" s="130" t="str">
        <f t="shared" si="56"/>
        <v>NO</v>
      </c>
    </row>
    <row r="124" spans="4:22" ht="20.100000000000001" customHeight="1" x14ac:dyDescent="0.25">
      <c r="D124" s="130" t="s">
        <v>85</v>
      </c>
      <c r="E124" s="130" t="str">
        <f t="shared" ref="E124:P124" si="57">E60</f>
        <v>Barkly</v>
      </c>
      <c r="F124" s="130" t="str">
        <f t="shared" si="57"/>
        <v>Autumn</v>
      </c>
      <c r="G124" s="130">
        <f t="shared" si="57"/>
        <v>170</v>
      </c>
      <c r="H124" s="130">
        <f t="shared" si="57"/>
        <v>670</v>
      </c>
      <c r="I124" s="130">
        <f t="shared" si="57"/>
        <v>170</v>
      </c>
      <c r="J124" s="130">
        <f t="shared" si="57"/>
        <v>266</v>
      </c>
      <c r="K124" s="130">
        <f t="shared" si="57"/>
        <v>363</v>
      </c>
      <c r="L124" s="130">
        <f t="shared" si="57"/>
        <v>444</v>
      </c>
      <c r="M124" s="130">
        <f t="shared" si="57"/>
        <v>169</v>
      </c>
      <c r="N124" s="130">
        <f t="shared" si="57"/>
        <v>282</v>
      </c>
      <c r="O124" s="130" t="str">
        <f t="shared" si="57"/>
        <v>NO</v>
      </c>
      <c r="P124" s="130" t="str">
        <f t="shared" si="57"/>
        <v>NO</v>
      </c>
    </row>
    <row r="125" spans="4:22" ht="20.100000000000001" customHeight="1" x14ac:dyDescent="0.25">
      <c r="D125" s="130" t="s">
        <v>85</v>
      </c>
      <c r="E125" s="130" t="str">
        <f t="shared" ref="E125:P125" si="58">E61</f>
        <v>Barkly</v>
      </c>
      <c r="F125" s="130" t="str">
        <f t="shared" si="58"/>
        <v>Winter</v>
      </c>
      <c r="G125" s="130">
        <f t="shared" si="58"/>
        <v>200</v>
      </c>
      <c r="H125" s="130">
        <f t="shared" si="58"/>
        <v>660</v>
      </c>
      <c r="I125" s="130">
        <f t="shared" si="58"/>
        <v>225</v>
      </c>
      <c r="J125" s="130">
        <f t="shared" si="58"/>
        <v>307</v>
      </c>
      <c r="K125" s="130">
        <f t="shared" si="58"/>
        <v>398</v>
      </c>
      <c r="L125" s="130">
        <f t="shared" si="58"/>
        <v>452</v>
      </c>
      <c r="M125" s="130">
        <f t="shared" si="58"/>
        <v>214</v>
      </c>
      <c r="N125" s="130">
        <f t="shared" si="58"/>
        <v>326</v>
      </c>
      <c r="O125" s="130" t="str">
        <f t="shared" si="58"/>
        <v>NO</v>
      </c>
      <c r="P125" s="130" t="str">
        <f t="shared" si="58"/>
        <v>NO</v>
      </c>
      <c r="V125" s="1"/>
    </row>
    <row r="126" spans="4:22" ht="20.100000000000001" customHeight="1" x14ac:dyDescent="0.25">
      <c r="D126" s="130" t="s">
        <v>85</v>
      </c>
      <c r="E126" s="130" t="str">
        <f t="shared" ref="E126:P126" si="59">E62</f>
        <v>Northern</v>
      </c>
      <c r="F126" s="130" t="str">
        <f t="shared" si="59"/>
        <v>Spring</v>
      </c>
      <c r="G126" s="130">
        <f t="shared" si="59"/>
        <v>220</v>
      </c>
      <c r="H126" s="130">
        <f t="shared" si="59"/>
        <v>620</v>
      </c>
      <c r="I126" s="130">
        <f t="shared" si="59"/>
        <v>177</v>
      </c>
      <c r="J126" s="130">
        <f t="shared" si="59"/>
        <v>267</v>
      </c>
      <c r="K126" s="130">
        <f t="shared" si="59"/>
        <v>365</v>
      </c>
      <c r="L126" s="130">
        <f t="shared" si="59"/>
        <v>406</v>
      </c>
      <c r="M126" s="130">
        <f t="shared" si="59"/>
        <v>231</v>
      </c>
      <c r="N126" s="130">
        <f t="shared" si="59"/>
        <v>249</v>
      </c>
      <c r="O126" s="130">
        <f t="shared" si="59"/>
        <v>324</v>
      </c>
      <c r="P126" s="130" t="str">
        <f t="shared" si="59"/>
        <v>NO</v>
      </c>
      <c r="V126" s="1"/>
    </row>
    <row r="127" spans="4:22" ht="20.100000000000001" customHeight="1" x14ac:dyDescent="0.25">
      <c r="D127" s="130" t="s">
        <v>85</v>
      </c>
      <c r="E127" s="130" t="str">
        <f t="shared" ref="E127:P127" si="60">E63</f>
        <v>Northern</v>
      </c>
      <c r="F127" s="130" t="str">
        <f t="shared" si="60"/>
        <v>Summer</v>
      </c>
      <c r="G127" s="130">
        <f t="shared" si="60"/>
        <v>110</v>
      </c>
      <c r="H127" s="130">
        <f t="shared" si="60"/>
        <v>650</v>
      </c>
      <c r="I127" s="130">
        <f t="shared" si="60"/>
        <v>102</v>
      </c>
      <c r="J127" s="130">
        <f t="shared" si="60"/>
        <v>203</v>
      </c>
      <c r="K127" s="130">
        <f t="shared" si="60"/>
        <v>299</v>
      </c>
      <c r="L127" s="130">
        <f t="shared" si="60"/>
        <v>380</v>
      </c>
      <c r="M127" s="130">
        <f t="shared" si="60"/>
        <v>102</v>
      </c>
      <c r="N127" s="130">
        <f t="shared" si="60"/>
        <v>218</v>
      </c>
      <c r="O127" s="130">
        <f t="shared" si="60"/>
        <v>263</v>
      </c>
      <c r="P127" s="130" t="str">
        <f t="shared" si="60"/>
        <v>NO</v>
      </c>
      <c r="V127" s="1"/>
    </row>
    <row r="128" spans="4:22" ht="20.100000000000001" customHeight="1" x14ac:dyDescent="0.25">
      <c r="D128" s="130" t="s">
        <v>85</v>
      </c>
      <c r="E128" s="130" t="str">
        <f t="shared" ref="E128:P128" si="61">E64</f>
        <v>Northern</v>
      </c>
      <c r="F128" s="130" t="str">
        <f t="shared" si="61"/>
        <v>Autumn</v>
      </c>
      <c r="G128" s="130">
        <f t="shared" si="61"/>
        <v>170</v>
      </c>
      <c r="H128" s="130">
        <f t="shared" si="61"/>
        <v>670</v>
      </c>
      <c r="I128" s="130">
        <f t="shared" si="61"/>
        <v>173</v>
      </c>
      <c r="J128" s="130">
        <f t="shared" si="61"/>
        <v>250</v>
      </c>
      <c r="K128" s="130">
        <f t="shared" si="61"/>
        <v>336</v>
      </c>
      <c r="L128" s="130">
        <f t="shared" si="61"/>
        <v>414</v>
      </c>
      <c r="M128" s="130">
        <f t="shared" si="61"/>
        <v>175</v>
      </c>
      <c r="N128" s="130">
        <f t="shared" si="61"/>
        <v>243</v>
      </c>
      <c r="O128" s="130">
        <f t="shared" si="61"/>
        <v>304</v>
      </c>
      <c r="P128" s="130" t="str">
        <f t="shared" si="61"/>
        <v>NO</v>
      </c>
      <c r="V128" s="1"/>
    </row>
    <row r="129" spans="4:22" ht="20.100000000000001" customHeight="1" x14ac:dyDescent="0.25">
      <c r="D129" s="130" t="s">
        <v>85</v>
      </c>
      <c r="E129" s="130" t="str">
        <f t="shared" ref="E129:P129" si="62">E65</f>
        <v>Northern</v>
      </c>
      <c r="F129" s="130" t="str">
        <f t="shared" si="62"/>
        <v>Winter</v>
      </c>
      <c r="G129" s="130">
        <f t="shared" si="62"/>
        <v>200</v>
      </c>
      <c r="H129" s="130">
        <f t="shared" si="62"/>
        <v>660</v>
      </c>
      <c r="I129" s="130">
        <f t="shared" si="62"/>
        <v>202</v>
      </c>
      <c r="J129" s="130">
        <f t="shared" si="62"/>
        <v>272</v>
      </c>
      <c r="K129" s="130">
        <f t="shared" si="62"/>
        <v>365</v>
      </c>
      <c r="L129" s="130">
        <f t="shared" si="62"/>
        <v>390</v>
      </c>
      <c r="M129" s="130">
        <f t="shared" si="62"/>
        <v>208</v>
      </c>
      <c r="N129" s="130">
        <f t="shared" si="62"/>
        <v>260</v>
      </c>
      <c r="O129" s="130">
        <f t="shared" si="62"/>
        <v>337</v>
      </c>
      <c r="P129" s="130" t="str">
        <f t="shared" si="62"/>
        <v>NO</v>
      </c>
      <c r="V129" s="1"/>
    </row>
    <row r="130" spans="4:22" ht="20.100000000000001" customHeight="1" x14ac:dyDescent="0.25">
      <c r="D130" s="130" t="s">
        <v>86</v>
      </c>
      <c r="E130" s="130" t="str">
        <f t="shared" ref="E130:P130" si="63">E66</f>
        <v>High</v>
      </c>
      <c r="F130" s="130" t="str">
        <f t="shared" si="63"/>
        <v>Spring</v>
      </c>
      <c r="G130" s="130">
        <f t="shared" si="63"/>
        <v>260</v>
      </c>
      <c r="H130" s="130">
        <f t="shared" si="63"/>
        <v>705</v>
      </c>
      <c r="I130" s="130">
        <f t="shared" si="63"/>
        <v>215</v>
      </c>
      <c r="J130" s="130">
        <f t="shared" si="63"/>
        <v>302</v>
      </c>
      <c r="K130" s="130">
        <f t="shared" si="63"/>
        <v>416</v>
      </c>
      <c r="L130" s="130">
        <f t="shared" si="63"/>
        <v>519</v>
      </c>
      <c r="M130" s="130">
        <f t="shared" si="63"/>
        <v>234</v>
      </c>
      <c r="N130" s="130">
        <f t="shared" si="63"/>
        <v>455</v>
      </c>
      <c r="O130" s="130">
        <f t="shared" si="63"/>
        <v>551</v>
      </c>
      <c r="P130" s="130">
        <f t="shared" si="63"/>
        <v>660</v>
      </c>
      <c r="V130" s="1"/>
    </row>
    <row r="131" spans="4:22" ht="20.100000000000001" customHeight="1" x14ac:dyDescent="0.25">
      <c r="D131" s="130" t="s">
        <v>86</v>
      </c>
      <c r="E131" s="130" t="str">
        <f t="shared" ref="E131:P131" si="64">E67</f>
        <v>High</v>
      </c>
      <c r="F131" s="130" t="str">
        <f t="shared" si="64"/>
        <v>Summer</v>
      </c>
      <c r="G131" s="130">
        <f t="shared" si="64"/>
        <v>153</v>
      </c>
      <c r="H131" s="130">
        <f t="shared" si="64"/>
        <v>703</v>
      </c>
      <c r="I131" s="130">
        <f t="shared" si="64"/>
        <v>118</v>
      </c>
      <c r="J131" s="130">
        <f t="shared" si="64"/>
        <v>277</v>
      </c>
      <c r="K131" s="130">
        <f t="shared" si="64"/>
        <v>397</v>
      </c>
      <c r="L131" s="130">
        <f t="shared" si="64"/>
        <v>483</v>
      </c>
      <c r="M131" s="130">
        <f t="shared" si="64"/>
        <v>111</v>
      </c>
      <c r="N131" s="130">
        <f t="shared" si="64"/>
        <v>304</v>
      </c>
      <c r="O131" s="130">
        <f t="shared" si="64"/>
        <v>521</v>
      </c>
      <c r="P131" s="130">
        <f t="shared" si="64"/>
        <v>547</v>
      </c>
    </row>
    <row r="132" spans="4:22" ht="20.100000000000001" customHeight="1" x14ac:dyDescent="0.25">
      <c r="D132" s="130" t="s">
        <v>86</v>
      </c>
      <c r="E132" s="130" t="str">
        <f t="shared" ref="E132:P132" si="65">E68</f>
        <v>High</v>
      </c>
      <c r="F132" s="130" t="str">
        <f t="shared" si="65"/>
        <v>Autumn</v>
      </c>
      <c r="G132" s="130">
        <f t="shared" si="65"/>
        <v>168</v>
      </c>
      <c r="H132" s="130">
        <f t="shared" si="65"/>
        <v>718</v>
      </c>
      <c r="I132" s="130">
        <f t="shared" si="65"/>
        <v>191</v>
      </c>
      <c r="J132" s="130">
        <f t="shared" si="65"/>
        <v>319</v>
      </c>
      <c r="K132" s="130">
        <f t="shared" si="65"/>
        <v>440</v>
      </c>
      <c r="L132" s="130">
        <f t="shared" si="65"/>
        <v>506</v>
      </c>
      <c r="M132" s="130">
        <f t="shared" si="65"/>
        <v>188</v>
      </c>
      <c r="N132" s="130">
        <f t="shared" si="65"/>
        <v>326</v>
      </c>
      <c r="O132" s="130">
        <f t="shared" si="65"/>
        <v>520</v>
      </c>
      <c r="P132" s="130">
        <f t="shared" si="65"/>
        <v>582</v>
      </c>
    </row>
    <row r="133" spans="4:22" ht="20.100000000000001" customHeight="1" x14ac:dyDescent="0.25">
      <c r="D133" s="130" t="s">
        <v>86</v>
      </c>
      <c r="E133" s="130" t="str">
        <f t="shared" ref="E133:P133" si="66">E69</f>
        <v>High</v>
      </c>
      <c r="F133" s="130" t="str">
        <f t="shared" si="66"/>
        <v>Winter</v>
      </c>
      <c r="G133" s="130">
        <f t="shared" si="66"/>
        <v>235</v>
      </c>
      <c r="H133" s="130">
        <f t="shared" si="66"/>
        <v>722</v>
      </c>
      <c r="I133" s="130">
        <f t="shared" si="66"/>
        <v>207</v>
      </c>
      <c r="J133" s="130">
        <f t="shared" si="66"/>
        <v>352</v>
      </c>
      <c r="K133" s="130">
        <f t="shared" si="66"/>
        <v>470</v>
      </c>
      <c r="L133" s="130">
        <f t="shared" si="66"/>
        <v>514</v>
      </c>
      <c r="M133" s="130">
        <f t="shared" si="66"/>
        <v>209</v>
      </c>
      <c r="N133" s="130">
        <f t="shared" si="66"/>
        <v>421</v>
      </c>
      <c r="O133" s="130">
        <f t="shared" si="66"/>
        <v>512</v>
      </c>
      <c r="P133" s="130">
        <f t="shared" si="66"/>
        <v>605</v>
      </c>
    </row>
    <row r="134" spans="4:22" ht="20.100000000000001" customHeight="1" x14ac:dyDescent="0.25">
      <c r="D134" s="130" t="s">
        <v>86</v>
      </c>
      <c r="E134" s="130" t="str">
        <f t="shared" ref="E134:P134" si="67">E70</f>
        <v>Moderate/High</v>
      </c>
      <c r="F134" s="130" t="str">
        <f t="shared" si="67"/>
        <v>Spring</v>
      </c>
      <c r="G134" s="130">
        <f t="shared" si="67"/>
        <v>230</v>
      </c>
      <c r="H134" s="130">
        <f t="shared" si="67"/>
        <v>674</v>
      </c>
      <c r="I134" s="130">
        <f t="shared" si="67"/>
        <v>217</v>
      </c>
      <c r="J134" s="130">
        <f t="shared" si="67"/>
        <v>344</v>
      </c>
      <c r="K134" s="130">
        <f t="shared" si="67"/>
        <v>357</v>
      </c>
      <c r="L134" s="130">
        <f t="shared" si="67"/>
        <v>467</v>
      </c>
      <c r="M134" s="130">
        <f t="shared" si="67"/>
        <v>242</v>
      </c>
      <c r="N134" s="130">
        <f t="shared" si="67"/>
        <v>370</v>
      </c>
      <c r="O134" s="130">
        <f t="shared" si="67"/>
        <v>550</v>
      </c>
      <c r="P134" s="130">
        <f t="shared" si="67"/>
        <v>620</v>
      </c>
    </row>
    <row r="135" spans="4:22" ht="20.100000000000001" customHeight="1" x14ac:dyDescent="0.25">
      <c r="D135" s="130" t="s">
        <v>86</v>
      </c>
      <c r="E135" s="130" t="str">
        <f t="shared" ref="E135:P135" si="68">E71</f>
        <v>Moderate/High</v>
      </c>
      <c r="F135" s="130" t="str">
        <f t="shared" si="68"/>
        <v>Summer</v>
      </c>
      <c r="G135" s="130">
        <f t="shared" si="68"/>
        <v>113</v>
      </c>
      <c r="H135" s="130">
        <f t="shared" si="68"/>
        <v>669</v>
      </c>
      <c r="I135" s="130">
        <f t="shared" si="68"/>
        <v>113</v>
      </c>
      <c r="J135" s="130">
        <f t="shared" si="68"/>
        <v>283</v>
      </c>
      <c r="K135" s="130">
        <f t="shared" si="68"/>
        <v>361</v>
      </c>
      <c r="L135" s="130">
        <f t="shared" si="68"/>
        <v>477</v>
      </c>
      <c r="M135" s="130">
        <f t="shared" si="68"/>
        <v>120</v>
      </c>
      <c r="N135" s="130">
        <f t="shared" si="68"/>
        <v>273</v>
      </c>
      <c r="O135" s="130">
        <f t="shared" si="68"/>
        <v>545</v>
      </c>
      <c r="P135" s="130">
        <f t="shared" si="68"/>
        <v>553</v>
      </c>
    </row>
    <row r="136" spans="4:22" ht="20.100000000000001" customHeight="1" x14ac:dyDescent="0.25">
      <c r="D136" s="130" t="s">
        <v>86</v>
      </c>
      <c r="E136" s="130" t="str">
        <f t="shared" ref="E136:P136" si="69">E72</f>
        <v>Moderate/High</v>
      </c>
      <c r="F136" s="130" t="str">
        <f t="shared" si="69"/>
        <v>Autumn</v>
      </c>
      <c r="G136" s="130">
        <f t="shared" si="69"/>
        <v>172</v>
      </c>
      <c r="H136" s="130">
        <f t="shared" si="69"/>
        <v>685</v>
      </c>
      <c r="I136" s="130">
        <f t="shared" si="69"/>
        <v>172</v>
      </c>
      <c r="J136" s="130">
        <f t="shared" si="69"/>
        <v>309</v>
      </c>
      <c r="K136" s="130">
        <f t="shared" si="69"/>
        <v>376</v>
      </c>
      <c r="L136" s="130">
        <f t="shared" si="69"/>
        <v>471</v>
      </c>
      <c r="M136" s="130">
        <f t="shared" si="69"/>
        <v>238</v>
      </c>
      <c r="N136" s="130">
        <f t="shared" si="69"/>
        <v>329</v>
      </c>
      <c r="O136" s="130">
        <f t="shared" si="69"/>
        <v>573</v>
      </c>
      <c r="P136" s="130">
        <f t="shared" si="69"/>
        <v>620</v>
      </c>
    </row>
    <row r="137" spans="4:22" ht="20.100000000000001" customHeight="1" x14ac:dyDescent="0.25">
      <c r="D137" s="130" t="s">
        <v>86</v>
      </c>
      <c r="E137" s="130" t="str">
        <f t="shared" ref="E137:P137" si="70">E73</f>
        <v>Moderate/High</v>
      </c>
      <c r="F137" s="130" t="str">
        <f t="shared" si="70"/>
        <v>Winter</v>
      </c>
      <c r="G137" s="130">
        <f t="shared" si="70"/>
        <v>241</v>
      </c>
      <c r="H137" s="130">
        <f t="shared" si="70"/>
        <v>692</v>
      </c>
      <c r="I137" s="130">
        <f t="shared" si="70"/>
        <v>208</v>
      </c>
      <c r="J137" s="130">
        <f t="shared" si="70"/>
        <v>344</v>
      </c>
      <c r="K137" s="130">
        <f t="shared" si="70"/>
        <v>364</v>
      </c>
      <c r="L137" s="130">
        <f t="shared" si="70"/>
        <v>484</v>
      </c>
      <c r="M137" s="130">
        <f t="shared" si="70"/>
        <v>260</v>
      </c>
      <c r="N137" s="130">
        <f t="shared" si="70"/>
        <v>350</v>
      </c>
      <c r="O137" s="130">
        <f t="shared" si="70"/>
        <v>567</v>
      </c>
      <c r="P137" s="130">
        <f t="shared" si="70"/>
        <v>620</v>
      </c>
    </row>
    <row r="138" spans="4:22" ht="20.100000000000001" customHeight="1" x14ac:dyDescent="0.25">
      <c r="D138" s="130" t="s">
        <v>86</v>
      </c>
      <c r="E138" s="130" t="str">
        <f t="shared" ref="E138:P138" si="71">E74</f>
        <v>Moderate/Low</v>
      </c>
      <c r="F138" s="130" t="str">
        <f t="shared" si="71"/>
        <v>Spring</v>
      </c>
      <c r="G138" s="130">
        <f t="shared" si="71"/>
        <v>236</v>
      </c>
      <c r="H138" s="130">
        <f t="shared" si="71"/>
        <v>674</v>
      </c>
      <c r="I138" s="130">
        <f t="shared" si="71"/>
        <v>178</v>
      </c>
      <c r="J138" s="130">
        <f t="shared" si="71"/>
        <v>310</v>
      </c>
      <c r="K138" s="130">
        <f t="shared" si="71"/>
        <v>428</v>
      </c>
      <c r="L138" s="130">
        <f t="shared" si="71"/>
        <v>466</v>
      </c>
      <c r="M138" s="130">
        <f t="shared" si="71"/>
        <v>193</v>
      </c>
      <c r="N138" s="130">
        <f t="shared" si="71"/>
        <v>370</v>
      </c>
      <c r="O138" s="130">
        <f t="shared" si="71"/>
        <v>519</v>
      </c>
      <c r="P138" s="130">
        <f t="shared" si="71"/>
        <v>565</v>
      </c>
    </row>
    <row r="139" spans="4:22" ht="20.100000000000001" customHeight="1" x14ac:dyDescent="0.25">
      <c r="D139" s="130" t="s">
        <v>86</v>
      </c>
      <c r="E139" s="130" t="str">
        <f t="shared" ref="E139:P139" si="72">E75</f>
        <v>Moderate/Low</v>
      </c>
      <c r="F139" s="130" t="str">
        <f t="shared" si="72"/>
        <v>Summer</v>
      </c>
      <c r="G139" s="130">
        <f t="shared" si="72"/>
        <v>120</v>
      </c>
      <c r="H139" s="130">
        <f t="shared" si="72"/>
        <v>669</v>
      </c>
      <c r="I139" s="130">
        <f t="shared" si="72"/>
        <v>112</v>
      </c>
      <c r="J139" s="130">
        <f t="shared" si="72"/>
        <v>250</v>
      </c>
      <c r="K139" s="130">
        <f t="shared" si="72"/>
        <v>390</v>
      </c>
      <c r="L139" s="130">
        <f t="shared" si="72"/>
        <v>448</v>
      </c>
      <c r="M139" s="130">
        <f t="shared" si="72"/>
        <v>115</v>
      </c>
      <c r="N139" s="130">
        <f t="shared" si="72"/>
        <v>273</v>
      </c>
      <c r="O139" s="130">
        <f t="shared" si="72"/>
        <v>433</v>
      </c>
      <c r="P139" s="130">
        <f t="shared" si="72"/>
        <v>556</v>
      </c>
    </row>
    <row r="140" spans="4:22" ht="20.100000000000001" customHeight="1" x14ac:dyDescent="0.25">
      <c r="D140" s="130" t="s">
        <v>86</v>
      </c>
      <c r="E140" s="130" t="str">
        <f t="shared" ref="E140:P140" si="73">E76</f>
        <v>Moderate/Low</v>
      </c>
      <c r="F140" s="130" t="str">
        <f t="shared" si="73"/>
        <v>Autumn</v>
      </c>
      <c r="G140" s="130">
        <f t="shared" si="73"/>
        <v>125</v>
      </c>
      <c r="H140" s="130">
        <f t="shared" si="73"/>
        <v>685</v>
      </c>
      <c r="I140" s="130">
        <f t="shared" si="73"/>
        <v>140</v>
      </c>
      <c r="J140" s="130">
        <f t="shared" si="73"/>
        <v>277</v>
      </c>
      <c r="K140" s="130">
        <f t="shared" si="73"/>
        <v>407</v>
      </c>
      <c r="L140" s="130">
        <f t="shared" si="73"/>
        <v>455</v>
      </c>
      <c r="M140" s="130">
        <f t="shared" si="73"/>
        <v>141</v>
      </c>
      <c r="N140" s="130">
        <f t="shared" si="73"/>
        <v>296</v>
      </c>
      <c r="O140" s="130">
        <f t="shared" si="73"/>
        <v>445</v>
      </c>
      <c r="P140" s="130">
        <f t="shared" si="73"/>
        <v>593</v>
      </c>
    </row>
    <row r="141" spans="4:22" ht="20.100000000000001" customHeight="1" x14ac:dyDescent="0.25">
      <c r="D141" s="130" t="s">
        <v>86</v>
      </c>
      <c r="E141" s="130" t="str">
        <f t="shared" ref="E141:P141" si="74">E77</f>
        <v>Moderate/Low</v>
      </c>
      <c r="F141" s="130" t="str">
        <f t="shared" si="74"/>
        <v>Winter</v>
      </c>
      <c r="G141" s="130">
        <f t="shared" si="74"/>
        <v>180</v>
      </c>
      <c r="H141" s="130">
        <f t="shared" si="74"/>
        <v>692</v>
      </c>
      <c r="I141" s="130">
        <f t="shared" si="74"/>
        <v>183</v>
      </c>
      <c r="J141" s="130">
        <f t="shared" si="74"/>
        <v>316</v>
      </c>
      <c r="K141" s="130">
        <f t="shared" si="74"/>
        <v>438</v>
      </c>
      <c r="L141" s="130">
        <f t="shared" si="74"/>
        <v>468</v>
      </c>
      <c r="M141" s="130">
        <f t="shared" si="74"/>
        <v>189</v>
      </c>
      <c r="N141" s="130">
        <f t="shared" si="74"/>
        <v>354</v>
      </c>
      <c r="O141" s="130">
        <f t="shared" si="74"/>
        <v>500</v>
      </c>
      <c r="P141" s="130">
        <f t="shared" si="74"/>
        <v>553</v>
      </c>
    </row>
    <row r="142" spans="4:22" ht="20.100000000000001" customHeight="1" x14ac:dyDescent="0.25">
      <c r="D142" s="130" t="s">
        <v>86</v>
      </c>
      <c r="E142" s="130" t="str">
        <f t="shared" ref="E142:P142" si="75">E78</f>
        <v>Low</v>
      </c>
      <c r="F142" s="130" t="str">
        <f t="shared" si="75"/>
        <v>Spring</v>
      </c>
      <c r="G142" s="130">
        <f t="shared" si="75"/>
        <v>190</v>
      </c>
      <c r="H142" s="130">
        <f t="shared" si="75"/>
        <v>617</v>
      </c>
      <c r="I142" s="130">
        <f t="shared" si="75"/>
        <v>174</v>
      </c>
      <c r="J142" s="130">
        <f t="shared" si="75"/>
        <v>265</v>
      </c>
      <c r="K142" s="130">
        <f t="shared" si="75"/>
        <v>371</v>
      </c>
      <c r="L142" s="130">
        <f t="shared" si="75"/>
        <v>415</v>
      </c>
      <c r="M142" s="130">
        <f t="shared" si="75"/>
        <v>170</v>
      </c>
      <c r="N142" s="130">
        <f t="shared" si="75"/>
        <v>272</v>
      </c>
      <c r="O142" s="130">
        <f t="shared" si="75"/>
        <v>392</v>
      </c>
      <c r="P142" s="130">
        <f t="shared" si="75"/>
        <v>531</v>
      </c>
    </row>
    <row r="143" spans="4:22" ht="20.100000000000001" customHeight="1" x14ac:dyDescent="0.25">
      <c r="D143" s="130" t="s">
        <v>86</v>
      </c>
      <c r="E143" s="130" t="str">
        <f t="shared" ref="E143:P143" si="76">E79</f>
        <v>Low</v>
      </c>
      <c r="F143" s="130" t="str">
        <f t="shared" si="76"/>
        <v>Summer</v>
      </c>
      <c r="G143" s="130">
        <f t="shared" si="76"/>
        <v>119</v>
      </c>
      <c r="H143" s="130">
        <f t="shared" si="76"/>
        <v>591</v>
      </c>
      <c r="I143" s="130">
        <f t="shared" si="76"/>
        <v>140</v>
      </c>
      <c r="J143" s="130">
        <f t="shared" si="76"/>
        <v>205</v>
      </c>
      <c r="K143" s="130">
        <f t="shared" si="76"/>
        <v>310</v>
      </c>
      <c r="L143" s="130">
        <f t="shared" si="76"/>
        <v>405</v>
      </c>
      <c r="M143" s="130">
        <f t="shared" si="76"/>
        <v>133</v>
      </c>
      <c r="N143" s="130">
        <f t="shared" si="76"/>
        <v>218</v>
      </c>
      <c r="O143" s="130">
        <f t="shared" si="76"/>
        <v>315</v>
      </c>
      <c r="P143" s="130">
        <f t="shared" si="76"/>
        <v>445</v>
      </c>
    </row>
    <row r="144" spans="4:22" ht="20.100000000000001" customHeight="1" x14ac:dyDescent="0.25">
      <c r="D144" s="130" t="s">
        <v>86</v>
      </c>
      <c r="E144" s="130" t="str">
        <f t="shared" ref="E144:P144" si="77">E80</f>
        <v>Low</v>
      </c>
      <c r="F144" s="130" t="str">
        <f t="shared" si="77"/>
        <v>Autumn</v>
      </c>
      <c r="G144" s="130">
        <f t="shared" si="77"/>
        <v>175</v>
      </c>
      <c r="H144" s="130">
        <f t="shared" si="77"/>
        <v>610</v>
      </c>
      <c r="I144" s="130">
        <f t="shared" si="77"/>
        <v>163</v>
      </c>
      <c r="J144" s="130">
        <f t="shared" si="77"/>
        <v>232</v>
      </c>
      <c r="K144" s="130">
        <f t="shared" si="77"/>
        <v>351</v>
      </c>
      <c r="L144" s="130">
        <f t="shared" si="77"/>
        <v>427</v>
      </c>
      <c r="M144" s="130">
        <f t="shared" si="77"/>
        <v>146</v>
      </c>
      <c r="N144" s="130">
        <f t="shared" si="77"/>
        <v>242</v>
      </c>
      <c r="O144" s="130">
        <f t="shared" si="77"/>
        <v>320</v>
      </c>
      <c r="P144" s="130">
        <f t="shared" si="77"/>
        <v>471</v>
      </c>
    </row>
    <row r="145" spans="4:16" ht="20.100000000000001" customHeight="1" x14ac:dyDescent="0.25">
      <c r="D145" s="130" t="s">
        <v>86</v>
      </c>
      <c r="E145" s="130" t="str">
        <f t="shared" ref="E145:P145" si="78">E81</f>
        <v>Low</v>
      </c>
      <c r="F145" s="130" t="str">
        <f t="shared" si="78"/>
        <v>Winter</v>
      </c>
      <c r="G145" s="130">
        <f t="shared" si="78"/>
        <v>192</v>
      </c>
      <c r="H145" s="130">
        <f t="shared" si="78"/>
        <v>615</v>
      </c>
      <c r="I145" s="130">
        <f t="shared" si="78"/>
        <v>162</v>
      </c>
      <c r="J145" s="130">
        <f t="shared" si="78"/>
        <v>255</v>
      </c>
      <c r="K145" s="130">
        <f t="shared" si="78"/>
        <v>364</v>
      </c>
      <c r="L145" s="130">
        <f t="shared" si="78"/>
        <v>420</v>
      </c>
      <c r="M145" s="130">
        <f t="shared" si="78"/>
        <v>157</v>
      </c>
      <c r="N145" s="130">
        <f t="shared" si="78"/>
        <v>261</v>
      </c>
      <c r="O145" s="130">
        <f t="shared" si="78"/>
        <v>342</v>
      </c>
      <c r="P145" s="130">
        <f t="shared" si="78"/>
        <v>484</v>
      </c>
    </row>
    <row r="146" spans="4:16" ht="20.100000000000001" customHeight="1" x14ac:dyDescent="0.25">
      <c r="M146" s="1"/>
    </row>
    <row r="147" spans="4:16" ht="20.100000000000001" customHeight="1" x14ac:dyDescent="0.25">
      <c r="M147" s="1"/>
    </row>
    <row r="148" spans="4:16" ht="20.100000000000001" customHeight="1" x14ac:dyDescent="0.25">
      <c r="D148" s="6" t="str" cm="1">
        <f t="array" ref="D148">SourceData_PastureBeef.SourceData_PastureBeef_LiveweightGain_Title()</f>
        <v>Beef pasture cattle - Liveweight gain (kg) (LWGjkl)</v>
      </c>
      <c r="M148" s="1"/>
    </row>
    <row r="149" spans="4:16" ht="20.100000000000001" customHeight="1" x14ac:dyDescent="0.25">
      <c r="D149" s="5" t="str" cm="1">
        <f t="array" ref="D149">SourceData_PastureBeef.SourceData_PastureBeef_LiveweightGain_Source()</f>
        <v>VEERG 2026: Table A.1.2.3</v>
      </c>
      <c r="M149" s="1"/>
    </row>
    <row r="150" spans="4:16" ht="20.100000000000001" customHeight="1" x14ac:dyDescent="0.25">
      <c r="D150" s="1" t="str" cm="1">
        <f t="array" ref="D150">SourceData_PastureBeef.SourceData_PastureBeef_LiveweightGain_Variable()</f>
        <v>LWGjkl</v>
      </c>
      <c r="M150" s="1"/>
    </row>
    <row r="151" spans="4:16" ht="20.100000000000001" customHeight="1" x14ac:dyDescent="0.25">
      <c r="D151" s="57" t="str" cm="1">
        <f t="array" ref="D151">SourceData_PastureBeef.SourceData_PastureBeef_LiveweightGain_Unit()</f>
        <v>kg</v>
      </c>
      <c r="M151" s="1"/>
    </row>
    <row r="152" spans="4:16" ht="20.100000000000001" customHeight="1" x14ac:dyDescent="0.25">
      <c r="D152" s="130" t="s">
        <v>8</v>
      </c>
      <c r="E152" s="130" t="s">
        <v>367</v>
      </c>
      <c r="F152" s="130" t="s">
        <v>368</v>
      </c>
      <c r="G152" s="130" t="s">
        <v>387</v>
      </c>
      <c r="H152" s="130" t="s">
        <v>376</v>
      </c>
      <c r="I152" s="130" t="s">
        <v>408</v>
      </c>
      <c r="J152" s="130" t="s">
        <v>372</v>
      </c>
      <c r="K152" s="130" t="s">
        <v>409</v>
      </c>
      <c r="L152" s="130" t="s">
        <v>381</v>
      </c>
      <c r="M152" s="130" t="s">
        <v>410</v>
      </c>
    </row>
    <row r="153" spans="4:16" ht="20.100000000000001" customHeight="1" x14ac:dyDescent="0.25">
      <c r="D153" s="130" t="str" cm="1">
        <f t="array" ref="D153">Common_InputFunctions.Utility_DisplayArrayInTable(SourceData_PastureBeef.SourceData_PastureBeef_LiveweightGain_Data(), Table_SourceData_PastureBeef_LiveweightGain[[#Headers],[State]],0)</f>
        <v>ACT/NSW</v>
      </c>
      <c r="E153" s="130" t="str" cm="1">
        <f t="array" ref="E153">Common_InputFunctions.Utility_DisplayArrayInTable(SourceData_PastureBeef.SourceData_PastureBeef_LiveweightGain_Data(), Table_SourceData_PastureBeef_LiveweightGain[[#Headers],[State]],0)</f>
        <v>n/a</v>
      </c>
      <c r="F153" s="130" t="str" cm="1">
        <f t="array" ref="F153">Common_InputFunctions.Utility_DisplayArrayInTable(SourceData_PastureBeef.SourceData_PastureBeef_LiveweightGain_Data(), Table_SourceData_PastureBeef_LiveweightGain[[#Headers],[State]],0)</f>
        <v>Spring</v>
      </c>
      <c r="G153" s="130" cm="1">
        <f t="array" ref="G153">Common_InputFunctions.Utility_DisplayArrayInTable(SourceData_PastureBeef.SourceData_PastureBeef_LiveweightGain_Data(), Table_SourceData_PastureBeef_LiveweightGain[[#Headers],[State]],0)</f>
        <v>0.5</v>
      </c>
      <c r="H153" s="130" cm="1">
        <f t="array" ref="H153">Common_InputFunctions.Utility_DisplayArrayInTable(SourceData_PastureBeef.SourceData_PastureBeef_LiveweightGain_Data(), Table_SourceData_PastureBeef_LiveweightGain[[#Headers],[State]],0)</f>
        <v>0.2</v>
      </c>
      <c r="I153" s="130" cm="1">
        <f t="array" ref="I153">Common_InputFunctions.Utility_DisplayArrayInTable(SourceData_PastureBeef.SourceData_PastureBeef_LiveweightGain_Data(), Table_SourceData_PastureBeef_LiveweightGain[[#Headers],[State]],0)</f>
        <v>0.5</v>
      </c>
      <c r="J153" s="130" cm="1">
        <f t="array" ref="J153">Common_InputFunctions.Utility_DisplayArrayInTable(SourceData_PastureBeef.SourceData_PastureBeef_LiveweightGain_Data(), Table_SourceData_PastureBeef_LiveweightGain[[#Headers],[State]],0)</f>
        <v>0.4</v>
      </c>
      <c r="K153" s="130" cm="1">
        <f t="array" ref="K153">Common_InputFunctions.Utility_DisplayArrayInTable(SourceData_PastureBeef.SourceData_PastureBeef_LiveweightGain_Data(), Table_SourceData_PastureBeef_LiveweightGain[[#Headers],[State]],0)</f>
        <v>0.3</v>
      </c>
      <c r="L153" s="130" cm="1">
        <f t="array" ref="L153">Common_InputFunctions.Utility_DisplayArrayInTable(SourceData_PastureBeef.SourceData_PastureBeef_LiveweightGain_Data(), Table_SourceData_PastureBeef_LiveweightGain[[#Headers],[State]],0)</f>
        <v>0.5</v>
      </c>
      <c r="M153" s="130" cm="1">
        <f t="array" ref="M153">Common_InputFunctions.Utility_DisplayArrayInTable(SourceData_PastureBeef.SourceData_PastureBeef_LiveweightGain_Data(), Table_SourceData_PastureBeef_LiveweightGain[[#Headers],[State]],0)</f>
        <v>0.4</v>
      </c>
    </row>
    <row r="154" spans="4:16" ht="20.100000000000001" customHeight="1" x14ac:dyDescent="0.25">
      <c r="D154" s="1" t="str" cm="1">
        <f t="array" ref="D154">Common_InputFunctions.Utility_DisplayArrayInTable(SourceData_PastureBeef.SourceData_PastureBeef_LiveweightGain_Data(), Table_SourceData_PastureBeef_LiveweightGain[[#Headers],[State]],0)</f>
        <v>ACT/NSW</v>
      </c>
      <c r="E154" s="39" t="str" cm="1">
        <f t="array" ref="E154">Common_InputFunctions.Utility_DisplayArrayInTable(SourceData_PastureBeef.SourceData_PastureBeef_LiveweightGain_Data(), Table_SourceData_PastureBeef_LiveweightGain[[#Headers],[State]],0)</f>
        <v>n/a</v>
      </c>
      <c r="F154" s="39" t="str" cm="1">
        <f t="array" ref="F154">Common_InputFunctions.Utility_DisplayArrayInTable(SourceData_PastureBeef.SourceData_PastureBeef_LiveweightGain_Data(), Table_SourceData_PastureBeef_LiveweightGain[[#Headers],[State]],0)</f>
        <v>Summer</v>
      </c>
      <c r="G154" s="39" cm="1">
        <f t="array" ref="G154">Common_InputFunctions.Utility_DisplayArrayInTable(SourceData_PastureBeef.SourceData_PastureBeef_LiveweightGain_Data(), Table_SourceData_PastureBeef_LiveweightGain[[#Headers],[State]],0)</f>
        <v>1</v>
      </c>
      <c r="H154" s="39" cm="1">
        <f t="array" ref="H154">Common_InputFunctions.Utility_DisplayArrayInTable(SourceData_PastureBeef.SourceData_PastureBeef_LiveweightGain_Data(), Table_SourceData_PastureBeef_LiveweightGain[[#Headers],[State]],0)</f>
        <v>0.4</v>
      </c>
      <c r="I154" s="39" cm="1">
        <f t="array" ref="I154">Common_InputFunctions.Utility_DisplayArrayInTable(SourceData_PastureBeef.SourceData_PastureBeef_LiveweightGain_Data(), Table_SourceData_PastureBeef_LiveweightGain[[#Headers],[State]],0)</f>
        <v>0.9</v>
      </c>
      <c r="J154" s="39" cm="1">
        <f t="array" ref="J154">Common_InputFunctions.Utility_DisplayArrayInTable(SourceData_PastureBeef.SourceData_PastureBeef_LiveweightGain_Data(), Table_SourceData_PastureBeef_LiveweightGain[[#Headers],[State]],0)</f>
        <v>0.7</v>
      </c>
      <c r="K154" s="39" cm="1">
        <f t="array" ref="K154">Common_InputFunctions.Utility_DisplayArrayInTable(SourceData_PastureBeef.SourceData_PastureBeef_LiveweightGain_Data(), Table_SourceData_PastureBeef_LiveweightGain[[#Headers],[State]],0)</f>
        <v>0.3</v>
      </c>
      <c r="L154" s="39" cm="1">
        <f t="array" ref="L154">Common_InputFunctions.Utility_DisplayArrayInTable(SourceData_PastureBeef.SourceData_PastureBeef_LiveweightGain_Data(), Table_SourceData_PastureBeef_LiveweightGain[[#Headers],[State]],0)</f>
        <v>0.9</v>
      </c>
      <c r="M154" s="39" cm="1">
        <f t="array" ref="M154">Common_InputFunctions.Utility_DisplayArrayInTable(SourceData_PastureBeef.SourceData_PastureBeef_LiveweightGain_Data(), Table_SourceData_PastureBeef_LiveweightGain[[#Headers],[State]],0)</f>
        <v>0.4</v>
      </c>
    </row>
    <row r="155" spans="4:16" ht="20.100000000000001" customHeight="1" x14ac:dyDescent="0.25">
      <c r="D155" s="1" t="str" cm="1">
        <f t="array" ref="D155">Common_InputFunctions.Utility_DisplayArrayInTable(SourceData_PastureBeef.SourceData_PastureBeef_LiveweightGain_Data(), Table_SourceData_PastureBeef_LiveweightGain[[#Headers],[State]],0)</f>
        <v>ACT/NSW</v>
      </c>
      <c r="E155" s="39" t="str" cm="1">
        <f t="array" ref="E155">Common_InputFunctions.Utility_DisplayArrayInTable(SourceData_PastureBeef.SourceData_PastureBeef_LiveweightGain_Data(), Table_SourceData_PastureBeef_LiveweightGain[[#Headers],[State]],0)</f>
        <v>n/a</v>
      </c>
      <c r="F155" s="39" t="str" cm="1">
        <f t="array" ref="F155">Common_InputFunctions.Utility_DisplayArrayInTable(SourceData_PastureBeef.SourceData_PastureBeef_LiveweightGain_Data(), Table_SourceData_PastureBeef_LiveweightGain[[#Headers],[State]],0)</f>
        <v>Autumn</v>
      </c>
      <c r="G155" s="39" cm="1">
        <f t="array" ref="G155">Common_InputFunctions.Utility_DisplayArrayInTable(SourceData_PastureBeef.SourceData_PastureBeef_LiveweightGain_Data(), Table_SourceData_PastureBeef_LiveweightGain[[#Headers],[State]],0)</f>
        <v>0.8</v>
      </c>
      <c r="H155" s="39" cm="1">
        <f t="array" ref="H155">Common_InputFunctions.Utility_DisplayArrayInTable(SourceData_PastureBeef.SourceData_PastureBeef_LiveweightGain_Data(), Table_SourceData_PastureBeef_LiveweightGain[[#Headers],[State]],0)</f>
        <v>0.3</v>
      </c>
      <c r="I155" s="39" cm="1">
        <f t="array" ref="I155">Common_InputFunctions.Utility_DisplayArrayInTable(SourceData_PastureBeef.SourceData_PastureBeef_LiveweightGain_Data(), Table_SourceData_PastureBeef_LiveweightGain[[#Headers],[State]],0)</f>
        <v>0.7</v>
      </c>
      <c r="J155" s="39" cm="1">
        <f t="array" ref="J155">Common_InputFunctions.Utility_DisplayArrayInTable(SourceData_PastureBeef.SourceData_PastureBeef_LiveweightGain_Data(), Table_SourceData_PastureBeef_LiveweightGain[[#Headers],[State]],0)</f>
        <v>0.3</v>
      </c>
      <c r="K155" s="39" cm="1">
        <f t="array" ref="K155">Common_InputFunctions.Utility_DisplayArrayInTable(SourceData_PastureBeef.SourceData_PastureBeef_LiveweightGain_Data(), Table_SourceData_PastureBeef_LiveweightGain[[#Headers],[State]],0)</f>
        <v>0.2</v>
      </c>
      <c r="L155" s="39" cm="1">
        <f t="array" ref="L155">Common_InputFunctions.Utility_DisplayArrayInTable(SourceData_PastureBeef.SourceData_PastureBeef_LiveweightGain_Data(), Table_SourceData_PastureBeef_LiveweightGain[[#Headers],[State]],0)</f>
        <v>0.7</v>
      </c>
      <c r="M155" s="39" cm="1">
        <f t="array" ref="M155">Common_InputFunctions.Utility_DisplayArrayInTable(SourceData_PastureBeef.SourceData_PastureBeef_LiveweightGain_Data(), Table_SourceData_PastureBeef_LiveweightGain[[#Headers],[State]],0)</f>
        <v>0.3</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9" t="str" cm="1">
        <f t="array" ref="E156">Common_InputFunctions.Utility_DisplayArrayInTable(SourceData_PastureBeef.SourceData_PastureBeef_LiveweightGain_Data(), Table_SourceData_PastureBeef_LiveweightGain[[#Headers],[State]],0)</f>
        <v>n/a</v>
      </c>
      <c r="F156" s="39" t="str" cm="1">
        <f t="array" ref="F156">Common_InputFunctions.Utility_DisplayArrayInTable(SourceData_PastureBeef.SourceData_PastureBeef_LiveweightGain_Data(), Table_SourceData_PastureBeef_LiveweightGain[[#Headers],[State]],0)</f>
        <v>Winter</v>
      </c>
      <c r="G156" s="39" cm="1">
        <f t="array" ref="G156">Common_InputFunctions.Utility_DisplayArrayInTable(SourceData_PastureBeef.SourceData_PastureBeef_LiveweightGain_Data(), Table_SourceData_PastureBeef_LiveweightGain[[#Headers],[State]],0)</f>
        <v>0.4</v>
      </c>
      <c r="H156" s="39" cm="1">
        <f t="array" ref="H156">Common_InputFunctions.Utility_DisplayArrayInTable(SourceData_PastureBeef.SourceData_PastureBeef_LiveweightGain_Data(), Table_SourceData_PastureBeef_LiveweightGain[[#Headers],[State]],0)</f>
        <v>0.1</v>
      </c>
      <c r="I156" s="39" cm="1">
        <f t="array" ref="I156">Common_InputFunctions.Utility_DisplayArrayInTable(SourceData_PastureBeef.SourceData_PastureBeef_LiveweightGain_Data(), Table_SourceData_PastureBeef_LiveweightGain[[#Headers],[State]],0)</f>
        <v>0.4</v>
      </c>
      <c r="J156" s="39" cm="1">
        <f t="array" ref="J156">Common_InputFunctions.Utility_DisplayArrayInTable(SourceData_PastureBeef.SourceData_PastureBeef_LiveweightGain_Data(), Table_SourceData_PastureBeef_LiveweightGain[[#Headers],[State]],0)</f>
        <v>0.2</v>
      </c>
      <c r="K156" s="39" cm="1">
        <f t="array" ref="K156">Common_InputFunctions.Utility_DisplayArrayInTable(SourceData_PastureBeef.SourceData_PastureBeef_LiveweightGain_Data(), Table_SourceData_PastureBeef_LiveweightGain[[#Headers],[State]],0)</f>
        <v>0.1</v>
      </c>
      <c r="L156" s="39" cm="1">
        <f t="array" ref="L156">Common_InputFunctions.Utility_DisplayArrayInTable(SourceData_PastureBeef.SourceData_PastureBeef_LiveweightGain_Data(), Table_SourceData_PastureBeef_LiveweightGain[[#Headers],[State]],0)</f>
        <v>0.4</v>
      </c>
      <c r="M156" s="39" cm="1">
        <f t="array" ref="M156">Common_InputFunctions.Utility_DisplayArrayInTable(SourceData_PastureBeef.SourceData_PastureBeef_LiveweightGain_Data(), Table_SourceData_PastureBeef_LiveweightGain[[#Headers],[State]],0)</f>
        <v>0.1</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South Australia</v>
      </c>
      <c r="E157" s="39" t="str" cm="1">
        <f t="array" ref="E157">Common_InputFunctions.Utility_DisplayArrayInTable(SourceData_PastureBeef.SourceData_PastureBeef_LiveweightGain_Data(), Table_SourceData_PastureBeef_LiveweightGain[[#Headers],[State]],0)</f>
        <v>n/a</v>
      </c>
      <c r="F157" s="39" t="str" cm="1">
        <f t="array" ref="F157">Common_InputFunctions.Utility_DisplayArrayInTable(SourceData_PastureBeef.SourceData_PastureBeef_LiveweightGain_Data(), Table_SourceData_PastureBeef_LiveweightGain[[#Headers],[State]],0)</f>
        <v>Spring</v>
      </c>
      <c r="G157" s="39" cm="1">
        <f t="array" ref="G157">Common_InputFunctions.Utility_DisplayArrayInTable(SourceData_PastureBeef.SourceData_PastureBeef_LiveweightGain_Data(), Table_SourceData_PastureBeef_LiveweightGain[[#Headers],[State]],0)</f>
        <v>0.99</v>
      </c>
      <c r="H157" s="39" cm="1">
        <f t="array" ref="H157">Common_InputFunctions.Utility_DisplayArrayInTable(SourceData_PastureBeef.SourceData_PastureBeef_LiveweightGain_Data(), Table_SourceData_PastureBeef_LiveweightGain[[#Headers],[State]],0)</f>
        <v>1.1000000000000001</v>
      </c>
      <c r="I157" s="39" cm="1">
        <f t="array" ref="I157">Common_InputFunctions.Utility_DisplayArrayInTable(SourceData_PastureBeef.SourceData_PastureBeef_LiveweightGain_Data(), Table_SourceData_PastureBeef_LiveweightGain[[#Headers],[State]],0)</f>
        <v>0.88</v>
      </c>
      <c r="J157" s="39" cm="1">
        <f t="array" ref="J157">Common_InputFunctions.Utility_DisplayArrayInTable(SourceData_PastureBeef.SourceData_PastureBeef_LiveweightGain_Data(), Table_SourceData_PastureBeef_LiveweightGain[[#Headers],[State]],0)</f>
        <v>0.55000000000000004</v>
      </c>
      <c r="K157" s="39" cm="1">
        <f t="array" ref="K157">Common_InputFunctions.Utility_DisplayArrayInTable(SourceData_PastureBeef.SourceData_PastureBeef_LiveweightGain_Data(), Table_SourceData_PastureBeef_LiveweightGain[[#Headers],[State]],0)</f>
        <v>0.55000000000000004</v>
      </c>
      <c r="L157" s="39" cm="1">
        <f t="array" ref="L157">Common_InputFunctions.Utility_DisplayArrayInTable(SourceData_PastureBeef.SourceData_PastureBeef_LiveweightGain_Data(), Table_SourceData_PastureBeef_LiveweightGain[[#Headers],[State]],0)</f>
        <v>0.88</v>
      </c>
      <c r="M157" s="39" cm="1">
        <f t="array" ref="M157">Common_InputFunctions.Utility_DisplayArrayInTable(SourceData_PastureBeef.SourceData_PastureBeef_LiveweightGain_Data(), Table_SourceData_PastureBeef_LiveweightGain[[#Headers],[State]],0)</f>
        <v>0.22</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South Australia</v>
      </c>
      <c r="E158" s="39" t="str" cm="1">
        <f t="array" ref="E158">Common_InputFunctions.Utility_DisplayArrayInTable(SourceData_PastureBeef.SourceData_PastureBeef_LiveweightGain_Data(), Table_SourceData_PastureBeef_LiveweightGain[[#Headers],[State]],0)</f>
        <v>n/a</v>
      </c>
      <c r="F158" s="39" t="str" cm="1">
        <f t="array" ref="F158">Common_InputFunctions.Utility_DisplayArrayInTable(SourceData_PastureBeef.SourceData_PastureBeef_LiveweightGain_Data(), Table_SourceData_PastureBeef_LiveweightGain[[#Headers],[State]],0)</f>
        <v>Summer</v>
      </c>
      <c r="G158" s="39" cm="1">
        <f t="array" ref="G158">Common_InputFunctions.Utility_DisplayArrayInTable(SourceData_PastureBeef.SourceData_PastureBeef_LiveweightGain_Data(), Table_SourceData_PastureBeef_LiveweightGain[[#Headers],[State]],0)</f>
        <v>0.77</v>
      </c>
      <c r="H158" s="39" cm="1">
        <f t="array" ref="H158">Common_InputFunctions.Utility_DisplayArrayInTable(SourceData_PastureBeef.SourceData_PastureBeef_LiveweightGain_Data(), Table_SourceData_PastureBeef_LiveweightGain[[#Headers],[State]],0)</f>
        <v>0</v>
      </c>
      <c r="I158" s="39" cm="1">
        <f t="array" ref="I158">Common_InputFunctions.Utility_DisplayArrayInTable(SourceData_PastureBeef.SourceData_PastureBeef_LiveweightGain_Data(), Table_SourceData_PastureBeef_LiveweightGain[[#Headers],[State]],0)</f>
        <v>0.66</v>
      </c>
      <c r="J158" s="39" cm="1">
        <f t="array" ref="J158">Common_InputFunctions.Utility_DisplayArrayInTable(SourceData_PastureBeef.SourceData_PastureBeef_LiveweightGain_Data(), Table_SourceData_PastureBeef_LiveweightGain[[#Headers],[State]],0)</f>
        <v>0.22</v>
      </c>
      <c r="K158" s="39" cm="1">
        <f t="array" ref="K158">Common_InputFunctions.Utility_DisplayArrayInTable(SourceData_PastureBeef.SourceData_PastureBeef_LiveweightGain_Data(), Table_SourceData_PastureBeef_LiveweightGain[[#Headers],[State]],0)</f>
        <v>0</v>
      </c>
      <c r="L158" s="39" cm="1">
        <f t="array" ref="L158">Common_InputFunctions.Utility_DisplayArrayInTable(SourceData_PastureBeef.SourceData_PastureBeef_LiveweightGain_Data(), Table_SourceData_PastureBeef_LiveweightGain[[#Headers],[State]],0)</f>
        <v>0.66</v>
      </c>
      <c r="M158" s="39" cm="1">
        <f t="array" ref="M158">Common_InputFunctions.Utility_DisplayArrayInTable(SourceData_PastureBeef.SourceData_PastureBeef_LiveweightGain_Data(), Table_SourceData_PastureBeef_LiveweightGain[[#Headers],[State]],0)</f>
        <v>0</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9" t="str" cm="1">
        <f t="array" ref="E159">Common_InputFunctions.Utility_DisplayArrayInTable(SourceData_PastureBeef.SourceData_PastureBeef_LiveweightGain_Data(), Table_SourceData_PastureBeef_LiveweightGain[[#Headers],[State]],0)</f>
        <v>n/a</v>
      </c>
      <c r="F159" s="39" t="str" cm="1">
        <f t="array" ref="F159">Common_InputFunctions.Utility_DisplayArrayInTable(SourceData_PastureBeef.SourceData_PastureBeef_LiveweightGain_Data(), Table_SourceData_PastureBeef_LiveweightGain[[#Headers],[State]],0)</f>
        <v>Autumn</v>
      </c>
      <c r="G159" s="39" cm="1">
        <f t="array" ref="G159">Common_InputFunctions.Utility_DisplayArrayInTable(SourceData_PastureBeef.SourceData_PastureBeef_LiveweightGain_Data(), Table_SourceData_PastureBeef_LiveweightGain[[#Headers],[State]],0)</f>
        <v>0.9</v>
      </c>
      <c r="H159" s="39" cm="1">
        <f t="array" ref="H159">Common_InputFunctions.Utility_DisplayArrayInTable(SourceData_PastureBeef.SourceData_PastureBeef_LiveweightGain_Data(), Table_SourceData_PastureBeef_LiveweightGain[[#Headers],[State]],0)</f>
        <v>-1.1000000000000001</v>
      </c>
      <c r="I159" s="39" cm="1">
        <f t="array" ref="I159">Common_InputFunctions.Utility_DisplayArrayInTable(SourceData_PastureBeef.SourceData_PastureBeef_LiveweightGain_Data(), Table_SourceData_PastureBeef_LiveweightGain[[#Headers],[State]],0)</f>
        <v>0.7</v>
      </c>
      <c r="J159" s="39" cm="1">
        <f t="array" ref="J159">Common_InputFunctions.Utility_DisplayArrayInTable(SourceData_PastureBeef.SourceData_PastureBeef_LiveweightGain_Data(), Table_SourceData_PastureBeef_LiveweightGain[[#Headers],[State]],0)</f>
        <v>0.22</v>
      </c>
      <c r="K159" s="39" cm="1">
        <f t="array" ref="K159">Common_InputFunctions.Utility_DisplayArrayInTable(SourceData_PastureBeef.SourceData_PastureBeef_LiveweightGain_Data(), Table_SourceData_PastureBeef_LiveweightGain[[#Headers],[State]],0)</f>
        <v>-0.55000000000000004</v>
      </c>
      <c r="L159" s="39" cm="1">
        <f t="array" ref="L159">Common_InputFunctions.Utility_DisplayArrayInTable(SourceData_PastureBeef.SourceData_PastureBeef_LiveweightGain_Data(), Table_SourceData_PastureBeef_LiveweightGain[[#Headers],[State]],0)</f>
        <v>0.8</v>
      </c>
      <c r="M159" s="39"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9" t="str" cm="1">
        <f t="array" ref="E160">Common_InputFunctions.Utility_DisplayArrayInTable(SourceData_PastureBeef.SourceData_PastureBeef_LiveweightGain_Data(), Table_SourceData_PastureBeef_LiveweightGain[[#Headers],[State]],0)</f>
        <v>n/a</v>
      </c>
      <c r="F160" s="39" t="str" cm="1">
        <f t="array" ref="F160">Common_InputFunctions.Utility_DisplayArrayInTable(SourceData_PastureBeef.SourceData_PastureBeef_LiveweightGain_Data(), Table_SourceData_PastureBeef_LiveweightGain[[#Headers],[State]],0)</f>
        <v>Winter</v>
      </c>
      <c r="G160" s="39" cm="1">
        <f t="array" ref="G160">Common_InputFunctions.Utility_DisplayArrayInTable(SourceData_PastureBeef.SourceData_PastureBeef_LiveweightGain_Data(), Table_SourceData_PastureBeef_LiveweightGain[[#Headers],[State]],0)</f>
        <v>0.88</v>
      </c>
      <c r="H160" s="39" cm="1">
        <f t="array" ref="H160">Common_InputFunctions.Utility_DisplayArrayInTable(SourceData_PastureBeef.SourceData_PastureBeef_LiveweightGain_Data(), Table_SourceData_PastureBeef_LiveweightGain[[#Headers],[State]],0)</f>
        <v>0</v>
      </c>
      <c r="I160" s="39" cm="1">
        <f t="array" ref="I160">Common_InputFunctions.Utility_DisplayArrayInTable(SourceData_PastureBeef.SourceData_PastureBeef_LiveweightGain_Data(), Table_SourceData_PastureBeef_LiveweightGain[[#Headers],[State]],0)</f>
        <v>0.77</v>
      </c>
      <c r="J160" s="39" cm="1">
        <f t="array" ref="J160">Common_InputFunctions.Utility_DisplayArrayInTable(SourceData_PastureBeef.SourceData_PastureBeef_LiveweightGain_Data(), Table_SourceData_PastureBeef_LiveweightGain[[#Headers],[State]],0)</f>
        <v>0.55000000000000004</v>
      </c>
      <c r="K160" s="39" cm="1">
        <f t="array" ref="K160">Common_InputFunctions.Utility_DisplayArrayInTable(SourceData_PastureBeef.SourceData_PastureBeef_LiveweightGain_Data(), Table_SourceData_PastureBeef_LiveweightGain[[#Headers],[State]],0)</f>
        <v>0</v>
      </c>
      <c r="L160" s="39" cm="1">
        <f t="array" ref="L160">Common_InputFunctions.Utility_DisplayArrayInTable(SourceData_PastureBeef.SourceData_PastureBeef_LiveweightGain_Data(), Table_SourceData_PastureBeef_LiveweightGain[[#Headers],[State]],0)</f>
        <v>0.82</v>
      </c>
      <c r="M160" s="39"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Tasmania</v>
      </c>
      <c r="E161" s="39" t="str" cm="1">
        <f t="array" ref="E161">Common_InputFunctions.Utility_DisplayArrayInTable(SourceData_PastureBeef.SourceData_PastureBeef_LiveweightGain_Data(), Table_SourceData_PastureBeef_LiveweightGain[[#Headers],[State]],0)</f>
        <v>n/a</v>
      </c>
      <c r="F161" s="39" t="str" cm="1">
        <f t="array" ref="F161">Common_InputFunctions.Utility_DisplayArrayInTable(SourceData_PastureBeef.SourceData_PastureBeef_LiveweightGain_Data(), Table_SourceData_PastureBeef_LiveweightGain[[#Headers],[State]],0)</f>
        <v>Spring</v>
      </c>
      <c r="G161" s="39" cm="1">
        <f t="array" ref="G161">Common_InputFunctions.Utility_DisplayArrayInTable(SourceData_PastureBeef.SourceData_PastureBeef_LiveweightGain_Data(), Table_SourceData_PastureBeef_LiveweightGain[[#Headers],[State]],0)</f>
        <v>1</v>
      </c>
      <c r="H161" s="39" cm="1">
        <f t="array" ref="H161">Common_InputFunctions.Utility_DisplayArrayInTable(SourceData_PastureBeef.SourceData_PastureBeef_LiveweightGain_Data(), Table_SourceData_PastureBeef_LiveweightGain[[#Headers],[State]],0)</f>
        <v>0.5</v>
      </c>
      <c r="I161" s="39" cm="1">
        <f t="array" ref="I161">Common_InputFunctions.Utility_DisplayArrayInTable(SourceData_PastureBeef.SourceData_PastureBeef_LiveweightGain_Data(), Table_SourceData_PastureBeef_LiveweightGain[[#Headers],[State]],0)</f>
        <v>1</v>
      </c>
      <c r="J161" s="39" cm="1">
        <f t="array" ref="J161">Common_InputFunctions.Utility_DisplayArrayInTable(SourceData_PastureBeef.SourceData_PastureBeef_LiveweightGain_Data(), Table_SourceData_PastureBeef_LiveweightGain[[#Headers],[State]],0)</f>
        <v>1</v>
      </c>
      <c r="K161" s="39" cm="1">
        <f t="array" ref="K161">Common_InputFunctions.Utility_DisplayArrayInTable(SourceData_PastureBeef.SourceData_PastureBeef_LiveweightGain_Data(), Table_SourceData_PastureBeef_LiveweightGain[[#Headers],[State]],0)</f>
        <v>-0.44</v>
      </c>
      <c r="L161" s="39" cm="1">
        <f t="array" ref="L161">Common_InputFunctions.Utility_DisplayArrayInTable(SourceData_PastureBeef.SourceData_PastureBeef_LiveweightGain_Data(), Table_SourceData_PastureBeef_LiveweightGain[[#Headers],[State]],0)</f>
        <v>1</v>
      </c>
      <c r="M161" s="39" cm="1">
        <f t="array" ref="M161">Common_InputFunctions.Utility_DisplayArrayInTable(SourceData_PastureBeef.SourceData_PastureBeef_LiveweightGain_Data(), Table_SourceData_PastureBeef_LiveweightGain[[#Headers],[State]],0)</f>
        <v>0.5</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Tasmania</v>
      </c>
      <c r="E162" s="39" t="str" cm="1">
        <f t="array" ref="E162">Common_InputFunctions.Utility_DisplayArrayInTable(SourceData_PastureBeef.SourceData_PastureBeef_LiveweightGain_Data(), Table_SourceData_PastureBeef_LiveweightGain[[#Headers],[State]],0)</f>
        <v>n/a</v>
      </c>
      <c r="F162" s="39" t="str" cm="1">
        <f t="array" ref="F162">Common_InputFunctions.Utility_DisplayArrayInTable(SourceData_PastureBeef.SourceData_PastureBeef_LiveweightGain_Data(), Table_SourceData_PastureBeef_LiveweightGain[[#Headers],[State]],0)</f>
        <v>Summer</v>
      </c>
      <c r="G162" s="39" cm="1">
        <f t="array" ref="G162">Common_InputFunctions.Utility_DisplayArrayInTable(SourceData_PastureBeef.SourceData_PastureBeef_LiveweightGain_Data(), Table_SourceData_PastureBeef_LiveweightGain[[#Headers],[State]],0)</f>
        <v>0.82</v>
      </c>
      <c r="H162" s="39" cm="1">
        <f t="array" ref="H162">Common_InputFunctions.Utility_DisplayArrayInTable(SourceData_PastureBeef.SourceData_PastureBeef_LiveweightGain_Data(), Table_SourceData_PastureBeef_LiveweightGain[[#Headers],[State]],0)</f>
        <v>0.55000000000000004</v>
      </c>
      <c r="I162" s="39" cm="1">
        <f t="array" ref="I162">Common_InputFunctions.Utility_DisplayArrayInTable(SourceData_PastureBeef.SourceData_PastureBeef_LiveweightGain_Data(), Table_SourceData_PastureBeef_LiveweightGain[[#Headers],[State]],0)</f>
        <v>0.71</v>
      </c>
      <c r="J162" s="39" cm="1">
        <f t="array" ref="J162">Common_InputFunctions.Utility_DisplayArrayInTable(SourceData_PastureBeef.SourceData_PastureBeef_LiveweightGain_Data(), Table_SourceData_PastureBeef_LiveweightGain[[#Headers],[State]],0)</f>
        <v>0.55000000000000004</v>
      </c>
      <c r="K162" s="39" cm="1">
        <f t="array" ref="K162">Common_InputFunctions.Utility_DisplayArrayInTable(SourceData_PastureBeef.SourceData_PastureBeef_LiveweightGain_Data(), Table_SourceData_PastureBeef_LiveweightGain[[#Headers],[State]],0)</f>
        <v>0.99</v>
      </c>
      <c r="L162" s="39" cm="1">
        <f t="array" ref="L162">Common_InputFunctions.Utility_DisplayArrayInTable(SourceData_PastureBeef.SourceData_PastureBeef_LiveweightGain_Data(), Table_SourceData_PastureBeef_LiveweightGain[[#Headers],[State]],0)</f>
        <v>0.77</v>
      </c>
      <c r="M162" s="39" cm="1">
        <f t="array" ref="M162">Common_InputFunctions.Utility_DisplayArrayInTable(SourceData_PastureBeef.SourceData_PastureBeef_LiveweightGain_Data(), Table_SourceData_PastureBeef_LiveweightGain[[#Headers],[State]],0)</f>
        <v>0.5</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9" t="str" cm="1">
        <f t="array" ref="E163">Common_InputFunctions.Utility_DisplayArrayInTable(SourceData_PastureBeef.SourceData_PastureBeef_LiveweightGain_Data(), Table_SourceData_PastureBeef_LiveweightGain[[#Headers],[State]],0)</f>
        <v>n/a</v>
      </c>
      <c r="F163" s="39" t="str" cm="1">
        <f t="array" ref="F163">Common_InputFunctions.Utility_DisplayArrayInTable(SourceData_PastureBeef.SourceData_PastureBeef_LiveweightGain_Data(), Table_SourceData_PastureBeef_LiveweightGain[[#Headers],[State]],0)</f>
        <v>Autumn</v>
      </c>
      <c r="G163" s="39" cm="1">
        <f t="array" ref="G163">Common_InputFunctions.Utility_DisplayArrayInTable(SourceData_PastureBeef.SourceData_PastureBeef_LiveweightGain_Data(), Table_SourceData_PastureBeef_LiveweightGain[[#Headers],[State]],0)</f>
        <v>0.77</v>
      </c>
      <c r="H163" s="39" cm="1">
        <f t="array" ref="H163">Common_InputFunctions.Utility_DisplayArrayInTable(SourceData_PastureBeef.SourceData_PastureBeef_LiveweightGain_Data(), Table_SourceData_PastureBeef_LiveweightGain[[#Headers],[State]],0)</f>
        <v>0.5</v>
      </c>
      <c r="I163" s="39" cm="1">
        <f t="array" ref="I163">Common_InputFunctions.Utility_DisplayArrayInTable(SourceData_PastureBeef.SourceData_PastureBeef_LiveweightGain_Data(), Table_SourceData_PastureBeef_LiveweightGain[[#Headers],[State]],0)</f>
        <v>0.55000000000000004</v>
      </c>
      <c r="J163" s="39" cm="1">
        <f t="array" ref="J163">Common_InputFunctions.Utility_DisplayArrayInTable(SourceData_PastureBeef.SourceData_PastureBeef_LiveweightGain_Data(), Table_SourceData_PastureBeef_LiveweightGain[[#Headers],[State]],0)</f>
        <v>0.11</v>
      </c>
      <c r="K163" s="39" cm="1">
        <f t="array" ref="K163">Common_InputFunctions.Utility_DisplayArrayInTable(SourceData_PastureBeef.SourceData_PastureBeef_LiveweightGain_Data(), Table_SourceData_PastureBeef_LiveweightGain[[#Headers],[State]],0)</f>
        <v>-0.33</v>
      </c>
      <c r="L163" s="39" cm="1">
        <f t="array" ref="L163">Common_InputFunctions.Utility_DisplayArrayInTable(SourceData_PastureBeef.SourceData_PastureBeef_LiveweightGain_Data(), Table_SourceData_PastureBeef_LiveweightGain[[#Headers],[State]],0)</f>
        <v>0.6</v>
      </c>
      <c r="M163" s="39" cm="1">
        <f t="array" ref="M163">Common_InputFunctions.Utility_DisplayArrayInTable(SourceData_PastureBeef.SourceData_PastureBeef_LiveweightGain_Data(), Table_SourceData_PastureBeef_LiveweightGain[[#Headers],[State]],0)</f>
        <v>0.33</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9" t="str" cm="1">
        <f t="array" ref="E164">Common_InputFunctions.Utility_DisplayArrayInTable(SourceData_PastureBeef.SourceData_PastureBeef_LiveweightGain_Data(), Table_SourceData_PastureBeef_LiveweightGain[[#Headers],[State]],0)</f>
        <v>n/a</v>
      </c>
      <c r="F164" s="39" t="str" cm="1">
        <f t="array" ref="F164">Common_InputFunctions.Utility_DisplayArrayInTable(SourceData_PastureBeef.SourceData_PastureBeef_LiveweightGain_Data(), Table_SourceData_PastureBeef_LiveweightGain[[#Headers],[State]],0)</f>
        <v>Winter</v>
      </c>
      <c r="G164" s="39" cm="1">
        <f t="array" ref="G164">Common_InputFunctions.Utility_DisplayArrayInTable(SourceData_PastureBeef.SourceData_PastureBeef_LiveweightGain_Data(), Table_SourceData_PastureBeef_LiveweightGain[[#Headers],[State]],0)</f>
        <v>0.11</v>
      </c>
      <c r="H164" s="39" cm="1">
        <f t="array" ref="H164">Common_InputFunctions.Utility_DisplayArrayInTable(SourceData_PastureBeef.SourceData_PastureBeef_LiveweightGain_Data(), Table_SourceData_PastureBeef_LiveweightGain[[#Headers],[State]],0)</f>
        <v>-0.27</v>
      </c>
      <c r="I164" s="39" cm="1">
        <f t="array" ref="I164">Common_InputFunctions.Utility_DisplayArrayInTable(SourceData_PastureBeef.SourceData_PastureBeef_LiveweightGain_Data(), Table_SourceData_PastureBeef_LiveweightGain[[#Headers],[State]],0)</f>
        <v>0.11</v>
      </c>
      <c r="J164" s="39" cm="1">
        <f t="array" ref="J164">Common_InputFunctions.Utility_DisplayArrayInTable(SourceData_PastureBeef.SourceData_PastureBeef_LiveweightGain_Data(), Table_SourceData_PastureBeef_LiveweightGain[[#Headers],[State]],0)</f>
        <v>0.22</v>
      </c>
      <c r="K164" s="39" cm="1">
        <f t="array" ref="K164">Common_InputFunctions.Utility_DisplayArrayInTable(SourceData_PastureBeef.SourceData_PastureBeef_LiveweightGain_Data(), Table_SourceData_PastureBeef_LiveweightGain[[#Headers],[State]],0)</f>
        <v>-0.44</v>
      </c>
      <c r="L164" s="39" cm="1">
        <f t="array" ref="L164">Common_InputFunctions.Utility_DisplayArrayInTable(SourceData_PastureBeef.SourceData_PastureBeef_LiveweightGain_Data(), Table_SourceData_PastureBeef_LiveweightGain[[#Headers],[State]],0)</f>
        <v>0.16</v>
      </c>
      <c r="M164" s="39" cm="1">
        <f t="array" ref="M164">Common_InputFunctions.Utility_DisplayArrayInTable(SourceData_PastureBeef.SourceData_PastureBeef_LiveweightGain_Data(), Table_SourceData_PastureBeef_LiveweightGain[[#Headers],[State]],0)</f>
        <v>-0.22</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Victoria</v>
      </c>
      <c r="E165" s="39" t="str" cm="1">
        <f t="array" ref="E165">Common_InputFunctions.Utility_DisplayArrayInTable(SourceData_PastureBeef.SourceData_PastureBeef_LiveweightGain_Data(), Table_SourceData_PastureBeef_LiveweightGain[[#Headers],[State]],0)</f>
        <v>n/a</v>
      </c>
      <c r="F165" s="39" t="str" cm="1">
        <f t="array" ref="F165">Common_InputFunctions.Utility_DisplayArrayInTable(SourceData_PastureBeef.SourceData_PastureBeef_LiveweightGain_Data(), Table_SourceData_PastureBeef_LiveweightGain[[#Headers],[State]],0)</f>
        <v>Spring</v>
      </c>
      <c r="G165" s="39" cm="1">
        <f t="array" ref="G165">Common_InputFunctions.Utility_DisplayArrayInTable(SourceData_PastureBeef.SourceData_PastureBeef_LiveweightGain_Data(), Table_SourceData_PastureBeef_LiveweightGain[[#Headers],[State]],0)</f>
        <v>1.1000000000000001</v>
      </c>
      <c r="H165" s="39" cm="1">
        <f t="array" ref="H165">Common_InputFunctions.Utility_DisplayArrayInTable(SourceData_PastureBeef.SourceData_PastureBeef_LiveweightGain_Data(), Table_SourceData_PastureBeef_LiveweightGain[[#Headers],[State]],0)</f>
        <v>1.1000000000000001</v>
      </c>
      <c r="I165" s="39" cm="1">
        <f t="array" ref="I165">Common_InputFunctions.Utility_DisplayArrayInTable(SourceData_PastureBeef.SourceData_PastureBeef_LiveweightGain_Data(), Table_SourceData_PastureBeef_LiveweightGain[[#Headers],[State]],0)</f>
        <v>1.1000000000000001</v>
      </c>
      <c r="J165" s="39" cm="1">
        <f t="array" ref="J165">Common_InputFunctions.Utility_DisplayArrayInTable(SourceData_PastureBeef.SourceData_PastureBeef_LiveweightGain_Data(), Table_SourceData_PastureBeef_LiveweightGain[[#Headers],[State]],0)</f>
        <v>0.99</v>
      </c>
      <c r="K165" s="39" cm="1">
        <f t="array" ref="K165">Common_InputFunctions.Utility_DisplayArrayInTable(SourceData_PastureBeef.SourceData_PastureBeef_LiveweightGain_Data(), Table_SourceData_PastureBeef_LiveweightGain[[#Headers],[State]],0)</f>
        <v>0.99</v>
      </c>
      <c r="L165" s="39" cm="1">
        <f t="array" ref="L165">Common_InputFunctions.Utility_DisplayArrayInTable(SourceData_PastureBeef.SourceData_PastureBeef_LiveweightGain_Data(), Table_SourceData_PastureBeef_LiveweightGain[[#Headers],[State]],0)</f>
        <v>1.1000000000000001</v>
      </c>
      <c r="M165" s="39" cm="1">
        <f t="array" ref="M165">Common_InputFunctions.Utility_DisplayArrayInTable(SourceData_PastureBeef.SourceData_PastureBeef_LiveweightGain_Data(), Table_SourceData_PastureBeef_LiveweightGain[[#Headers],[State]],0)</f>
        <v>0.77</v>
      </c>
    </row>
    <row r="166" spans="4:13" x14ac:dyDescent="0.25">
      <c r="D166" s="1" t="str" cm="1">
        <f t="array" ref="D166">Common_InputFunctions.Utility_DisplayArrayInTable(SourceData_PastureBeef.SourceData_PastureBeef_LiveweightGain_Data(), Table_SourceData_PastureBeef_LiveweightGain[[#Headers],[State]],0)</f>
        <v>Victoria</v>
      </c>
      <c r="E166" s="39" t="str" cm="1">
        <f t="array" ref="E166">Common_InputFunctions.Utility_DisplayArrayInTable(SourceData_PastureBeef.SourceData_PastureBeef_LiveweightGain_Data(), Table_SourceData_PastureBeef_LiveweightGain[[#Headers],[State]],0)</f>
        <v>n/a</v>
      </c>
      <c r="F166" s="39" t="str" cm="1">
        <f t="array" ref="F166">Common_InputFunctions.Utility_DisplayArrayInTable(SourceData_PastureBeef.SourceData_PastureBeef_LiveweightGain_Data(), Table_SourceData_PastureBeef_LiveweightGain[[#Headers],[State]],0)</f>
        <v>Summer</v>
      </c>
      <c r="G166" s="39" cm="1">
        <f t="array" ref="G166">Common_InputFunctions.Utility_DisplayArrayInTable(SourceData_PastureBeef.SourceData_PastureBeef_LiveweightGain_Data(), Table_SourceData_PastureBeef_LiveweightGain[[#Headers],[State]],0)</f>
        <v>0.33</v>
      </c>
      <c r="H166" s="39" cm="1">
        <f t="array" ref="H166">Common_InputFunctions.Utility_DisplayArrayInTable(SourceData_PastureBeef.SourceData_PastureBeef_LiveweightGain_Data(), Table_SourceData_PastureBeef_LiveweightGain[[#Headers],[State]],0)</f>
        <v>0.33</v>
      </c>
      <c r="I166" s="39" cm="1">
        <f t="array" ref="I166">Common_InputFunctions.Utility_DisplayArrayInTable(SourceData_PastureBeef.SourceData_PastureBeef_LiveweightGain_Data(), Table_SourceData_PastureBeef_LiveweightGain[[#Headers],[State]],0)</f>
        <v>0.22</v>
      </c>
      <c r="J166" s="39" cm="1">
        <f t="array" ref="J166">Common_InputFunctions.Utility_DisplayArrayInTable(SourceData_PastureBeef.SourceData_PastureBeef_LiveweightGain_Data(), Table_SourceData_PastureBeef_LiveweightGain[[#Headers],[State]],0)</f>
        <v>0.33</v>
      </c>
      <c r="K166" s="39" cm="1">
        <f t="array" ref="K166">Common_InputFunctions.Utility_DisplayArrayInTable(SourceData_PastureBeef.SourceData_PastureBeef_LiveweightGain_Data(), Table_SourceData_PastureBeef_LiveweightGain[[#Headers],[State]],0)</f>
        <v>-0.1</v>
      </c>
      <c r="L166" s="39" cm="1">
        <f t="array" ref="L166">Common_InputFunctions.Utility_DisplayArrayInTable(SourceData_PastureBeef.SourceData_PastureBeef_LiveweightGain_Data(), Table_SourceData_PastureBeef_LiveweightGain[[#Headers],[State]],0)</f>
        <v>0.33</v>
      </c>
      <c r="M166" s="39" cm="1">
        <f t="array" ref="M166">Common_InputFunctions.Utility_DisplayArrayInTable(SourceData_PastureBeef.SourceData_PastureBeef_LiveweightGain_Data(), Table_SourceData_PastureBeef_LiveweightGain[[#Headers],[State]],0)</f>
        <v>0.11</v>
      </c>
    </row>
    <row r="167" spans="4:13" x14ac:dyDescent="0.25">
      <c r="D167" s="1" t="str" cm="1">
        <f t="array" ref="D167">Common_InputFunctions.Utility_DisplayArrayInTable(SourceData_PastureBeef.SourceData_PastureBeef_LiveweightGain_Data(), Table_SourceData_PastureBeef_LiveweightGain[[#Headers],[State]],0)</f>
        <v>Victoria</v>
      </c>
      <c r="E167" s="39" t="str" cm="1">
        <f t="array" ref="E167">Common_InputFunctions.Utility_DisplayArrayInTable(SourceData_PastureBeef.SourceData_PastureBeef_LiveweightGain_Data(), Table_SourceData_PastureBeef_LiveweightGain[[#Headers],[State]],0)</f>
        <v>n/a</v>
      </c>
      <c r="F167" s="39" t="str" cm="1">
        <f t="array" ref="F167">Common_InputFunctions.Utility_DisplayArrayInTable(SourceData_PastureBeef.SourceData_PastureBeef_LiveweightGain_Data(), Table_SourceData_PastureBeef_LiveweightGain[[#Headers],[State]],0)</f>
        <v>Autumn</v>
      </c>
      <c r="G167" s="39" cm="1">
        <f t="array" ref="G167">Common_InputFunctions.Utility_DisplayArrayInTable(SourceData_PastureBeef.SourceData_PastureBeef_LiveweightGain_Data(), Table_SourceData_PastureBeef_LiveweightGain[[#Headers],[State]],0)</f>
        <v>0.5</v>
      </c>
      <c r="H167" s="39" cm="1">
        <f t="array" ref="H167">Common_InputFunctions.Utility_DisplayArrayInTable(SourceData_PastureBeef.SourceData_PastureBeef_LiveweightGain_Data(), Table_SourceData_PastureBeef_LiveweightGain[[#Headers],[State]],0)</f>
        <v>0.2</v>
      </c>
      <c r="I167" s="39" cm="1">
        <f t="array" ref="I167">Common_InputFunctions.Utility_DisplayArrayInTable(SourceData_PastureBeef.SourceData_PastureBeef_LiveweightGain_Data(), Table_SourceData_PastureBeef_LiveweightGain[[#Headers],[State]],0)</f>
        <v>0.55000000000000004</v>
      </c>
      <c r="J167" s="39" cm="1">
        <f t="array" ref="J167">Common_InputFunctions.Utility_DisplayArrayInTable(SourceData_PastureBeef.SourceData_PastureBeef_LiveweightGain_Data(), Table_SourceData_PastureBeef_LiveweightGain[[#Headers],[State]],0)</f>
        <v>0.44</v>
      </c>
      <c r="K167" s="39" cm="1">
        <f t="array" ref="K167">Common_InputFunctions.Utility_DisplayArrayInTable(SourceData_PastureBeef.SourceData_PastureBeef_LiveweightGain_Data(), Table_SourceData_PastureBeef_LiveweightGain[[#Headers],[State]],0)</f>
        <v>0.2</v>
      </c>
      <c r="L167" s="39" cm="1">
        <f t="array" ref="L167">Common_InputFunctions.Utility_DisplayArrayInTable(SourceData_PastureBeef.SourceData_PastureBeef_LiveweightGain_Data(), Table_SourceData_PastureBeef_LiveweightGain[[#Headers],[State]],0)</f>
        <v>0.55000000000000004</v>
      </c>
      <c r="M167" s="39" cm="1">
        <f t="array" ref="M167">Common_InputFunctions.Utility_DisplayArrayInTable(SourceData_PastureBeef.SourceData_PastureBeef_LiveweightGain_Data(), Table_SourceData_PastureBeef_LiveweightGain[[#Headers],[State]],0)</f>
        <v>0.2</v>
      </c>
    </row>
    <row r="168" spans="4:13" x14ac:dyDescent="0.25">
      <c r="D168" s="1" t="str" cm="1">
        <f t="array" ref="D168">Common_InputFunctions.Utility_DisplayArrayInTable(SourceData_PastureBeef.SourceData_PastureBeef_LiveweightGain_Data(), Table_SourceData_PastureBeef_LiveweightGain[[#Headers],[State]],0)</f>
        <v>Victoria</v>
      </c>
      <c r="E168" s="39" t="str" cm="1">
        <f t="array" ref="E168">Common_InputFunctions.Utility_DisplayArrayInTable(SourceData_PastureBeef.SourceData_PastureBeef_LiveweightGain_Data(), Table_SourceData_PastureBeef_LiveweightGain[[#Headers],[State]],0)</f>
        <v>n/a</v>
      </c>
      <c r="F168" s="39" t="str" cm="1">
        <f t="array" ref="F168">Common_InputFunctions.Utility_DisplayArrayInTable(SourceData_PastureBeef.SourceData_PastureBeef_LiveweightGain_Data(), Table_SourceData_PastureBeef_LiveweightGain[[#Headers],[State]],0)</f>
        <v>Winter</v>
      </c>
      <c r="G168" s="39" cm="1">
        <f t="array" ref="G168">Common_InputFunctions.Utility_DisplayArrayInTable(SourceData_PastureBeef.SourceData_PastureBeef_LiveweightGain_Data(), Table_SourceData_PastureBeef_LiveweightGain[[#Headers],[State]],0)</f>
        <v>0.55000000000000004</v>
      </c>
      <c r="H168" s="39" cm="1">
        <f t="array" ref="H168">Common_InputFunctions.Utility_DisplayArrayInTable(SourceData_PastureBeef.SourceData_PastureBeef_LiveweightGain_Data(), Table_SourceData_PastureBeef_LiveweightGain[[#Headers],[State]],0)</f>
        <v>0.22</v>
      </c>
      <c r="I168" s="39" cm="1">
        <f t="array" ref="I168">Common_InputFunctions.Utility_DisplayArrayInTable(SourceData_PastureBeef.SourceData_PastureBeef_LiveweightGain_Data(), Table_SourceData_PastureBeef_LiveweightGain[[#Headers],[State]],0)</f>
        <v>0.49</v>
      </c>
      <c r="J168" s="39" cm="1">
        <f t="array" ref="J168">Common_InputFunctions.Utility_DisplayArrayInTable(SourceData_PastureBeef.SourceData_PastureBeef_LiveweightGain_Data(), Table_SourceData_PastureBeef_LiveweightGain[[#Headers],[State]],0)</f>
        <v>0.22</v>
      </c>
      <c r="K168" s="39" cm="1">
        <f t="array" ref="K168">Common_InputFunctions.Utility_DisplayArrayInTable(SourceData_PastureBeef.SourceData_PastureBeef_LiveweightGain_Data(), Table_SourceData_PastureBeef_LiveweightGain[[#Headers],[State]],0)</f>
        <v>0.22</v>
      </c>
      <c r="L168" s="39" cm="1">
        <f t="array" ref="L168">Common_InputFunctions.Utility_DisplayArrayInTable(SourceData_PastureBeef.SourceData_PastureBeef_LiveweightGain_Data(), Table_SourceData_PastureBeef_LiveweightGain[[#Headers],[State]],0)</f>
        <v>0.49</v>
      </c>
      <c r="M168" s="39" cm="1">
        <f t="array" ref="M168">Common_InputFunctions.Utility_DisplayArrayInTable(SourceData_PastureBeef.SourceData_PastureBeef_LiveweightGain_Data(), Table_SourceData_PastureBeef_LiveweightGain[[#Headers],[State]],0)</f>
        <v>0.33</v>
      </c>
    </row>
    <row r="169" spans="4:13" x14ac:dyDescent="0.25">
      <c r="D169" s="1" t="str" cm="1">
        <f t="array" ref="D169">Common_InputFunctions.Utility_DisplayArrayInTable(SourceData_PastureBeef.SourceData_PastureBeef_LiveweightGain_Data(), Table_SourceData_PastureBeef_LiveweightGain[[#Headers],[State]],0)</f>
        <v>Western Australia</v>
      </c>
      <c r="E169" s="39" t="str" cm="1">
        <f t="array" ref="E169">Common_InputFunctions.Utility_DisplayArrayInTable(SourceData_PastureBeef.SourceData_PastureBeef_LiveweightGain_Data(), Table_SourceData_PastureBeef_LiveweightGain[[#Headers],[State]],0)</f>
        <v>South West</v>
      </c>
      <c r="F169" s="39" t="str" cm="1">
        <f t="array" ref="F169">Common_InputFunctions.Utility_DisplayArrayInTable(SourceData_PastureBeef.SourceData_PastureBeef_LiveweightGain_Data(), Table_SourceData_PastureBeef_LiveweightGain[[#Headers],[State]],0)</f>
        <v>Spring</v>
      </c>
      <c r="G169" s="39" cm="1">
        <f t="array" ref="G169">Common_InputFunctions.Utility_DisplayArrayInTable(SourceData_PastureBeef.SourceData_PastureBeef_LiveweightGain_Data(), Table_SourceData_PastureBeef_LiveweightGain[[#Headers],[State]],0)</f>
        <v>1.64</v>
      </c>
      <c r="H169" s="39" cm="1">
        <f t="array" ref="H169">Common_InputFunctions.Utility_DisplayArrayInTable(SourceData_PastureBeef.SourceData_PastureBeef_LiveweightGain_Data(), Table_SourceData_PastureBeef_LiveweightGain[[#Headers],[State]],0)</f>
        <v>1.1000000000000001</v>
      </c>
      <c r="I169" s="39" cm="1">
        <f t="array" ref="I169">Common_InputFunctions.Utility_DisplayArrayInTable(SourceData_PastureBeef.SourceData_PastureBeef_LiveweightGain_Data(), Table_SourceData_PastureBeef_LiveweightGain[[#Headers],[State]],0)</f>
        <v>1.21</v>
      </c>
      <c r="J169" s="39" cm="1">
        <f t="array" ref="J169">Common_InputFunctions.Utility_DisplayArrayInTable(SourceData_PastureBeef.SourceData_PastureBeef_LiveweightGain_Data(), Table_SourceData_PastureBeef_LiveweightGain[[#Headers],[State]],0)</f>
        <v>0.99</v>
      </c>
      <c r="K169" s="39" cm="1">
        <f t="array" ref="K169">Common_InputFunctions.Utility_DisplayArrayInTable(SourceData_PastureBeef.SourceData_PastureBeef_LiveweightGain_Data(), Table_SourceData_PastureBeef_LiveweightGain[[#Headers],[State]],0)</f>
        <v>0.66</v>
      </c>
      <c r="L169" s="39" cm="1">
        <f t="array" ref="L169">Common_InputFunctions.Utility_DisplayArrayInTable(SourceData_PastureBeef.SourceData_PastureBeef_LiveweightGain_Data(), Table_SourceData_PastureBeef_LiveweightGain[[#Headers],[State]],0)</f>
        <v>1.42</v>
      </c>
      <c r="M169" s="39" cm="1">
        <f t="array" ref="M169">Common_InputFunctions.Utility_DisplayArrayInTable(SourceData_PastureBeef.SourceData_PastureBeef_LiveweightGain_Data(), Table_SourceData_PastureBeef_LiveweightGain[[#Headers],[State]],0)</f>
        <v>1.1000000000000001</v>
      </c>
    </row>
    <row r="170" spans="4:13" x14ac:dyDescent="0.25">
      <c r="D170" s="1" t="str" cm="1">
        <f t="array" ref="D170">Common_InputFunctions.Utility_DisplayArrayInTable(SourceData_PastureBeef.SourceData_PastureBeef_LiveweightGain_Data(), Table_SourceData_PastureBeef_LiveweightGain[[#Headers],[State]],0)</f>
        <v>Western Australia</v>
      </c>
      <c r="E170" s="39" t="str" cm="1">
        <f t="array" ref="E170">Common_InputFunctions.Utility_DisplayArrayInTable(SourceData_PastureBeef.SourceData_PastureBeef_LiveweightGain_Data(), Table_SourceData_PastureBeef_LiveweightGain[[#Headers],[State]],0)</f>
        <v>South West</v>
      </c>
      <c r="F170" s="39" t="str" cm="1">
        <f t="array" ref="F170">Common_InputFunctions.Utility_DisplayArrayInTable(SourceData_PastureBeef.SourceData_PastureBeef_LiveweightGain_Data(), Table_SourceData_PastureBeef_LiveweightGain[[#Headers],[State]],0)</f>
        <v>Summer</v>
      </c>
      <c r="G170" s="39" cm="1">
        <f t="array" ref="G170">Common_InputFunctions.Utility_DisplayArrayInTable(SourceData_PastureBeef.SourceData_PastureBeef_LiveweightGain_Data(), Table_SourceData_PastureBeef_LiveweightGain[[#Headers],[State]],0)</f>
        <v>0.44</v>
      </c>
      <c r="H170" s="39" cm="1">
        <f t="array" ref="H170">Common_InputFunctions.Utility_DisplayArrayInTable(SourceData_PastureBeef.SourceData_PastureBeef_LiveweightGain_Data(), Table_SourceData_PastureBeef_LiveweightGain[[#Headers],[State]],0)</f>
        <v>-0.22</v>
      </c>
      <c r="I170" s="39" cm="1">
        <f t="array" ref="I170">Common_InputFunctions.Utility_DisplayArrayInTable(SourceData_PastureBeef.SourceData_PastureBeef_LiveweightGain_Data(), Table_SourceData_PastureBeef_LiveweightGain[[#Headers],[State]],0)</f>
        <v>0.44</v>
      </c>
      <c r="J170" s="39" cm="1">
        <f t="array" ref="J170">Common_InputFunctions.Utility_DisplayArrayInTable(SourceData_PastureBeef.SourceData_PastureBeef_LiveweightGain_Data(), Table_SourceData_PastureBeef_LiveweightGain[[#Headers],[State]],0)</f>
        <v>0.33</v>
      </c>
      <c r="K170" s="39" cm="1">
        <f t="array" ref="K170">Common_InputFunctions.Utility_DisplayArrayInTable(SourceData_PastureBeef.SourceData_PastureBeef_LiveweightGain_Data(), Table_SourceData_PastureBeef_LiveweightGain[[#Headers],[State]],0)</f>
        <v>-0.22</v>
      </c>
      <c r="L170" s="39" cm="1">
        <f t="array" ref="L170">Common_InputFunctions.Utility_DisplayArrayInTable(SourceData_PastureBeef.SourceData_PastureBeef_LiveweightGain_Data(), Table_SourceData_PastureBeef_LiveweightGain[[#Headers],[State]],0)</f>
        <v>0.44</v>
      </c>
      <c r="M170" s="39" cm="1">
        <f t="array" ref="M170">Common_InputFunctions.Utility_DisplayArrayInTable(SourceData_PastureBeef.SourceData_PastureBeef_LiveweightGain_Data(), Table_SourceData_PastureBeef_LiveweightGain[[#Headers],[State]],0)</f>
        <v>-0.11</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9" t="str" cm="1">
        <f t="array" ref="E171">Common_InputFunctions.Utility_DisplayArrayInTable(SourceData_PastureBeef.SourceData_PastureBeef_LiveweightGain_Data(), Table_SourceData_PastureBeef_LiveweightGain[[#Headers],[State]],0)</f>
        <v>South West</v>
      </c>
      <c r="F171" s="39" t="str" cm="1">
        <f t="array" ref="F171">Common_InputFunctions.Utility_DisplayArrayInTable(SourceData_PastureBeef.SourceData_PastureBeef_LiveweightGain_Data(), Table_SourceData_PastureBeef_LiveweightGain[[#Headers],[State]],0)</f>
        <v>Autumn</v>
      </c>
      <c r="G171" s="39" cm="1">
        <f t="array" ref="G171">Common_InputFunctions.Utility_DisplayArrayInTable(SourceData_PastureBeef.SourceData_PastureBeef_LiveweightGain_Data(), Table_SourceData_PastureBeef_LiveweightGain[[#Headers],[State]],0)</f>
        <v>0.6</v>
      </c>
      <c r="H171" s="39" cm="1">
        <f t="array" ref="H171">Common_InputFunctions.Utility_DisplayArrayInTable(SourceData_PastureBeef.SourceData_PastureBeef_LiveweightGain_Data(), Table_SourceData_PastureBeef_LiveweightGain[[#Headers],[State]],0)</f>
        <v>0</v>
      </c>
      <c r="I171" s="39" cm="1">
        <f t="array" ref="I171">Common_InputFunctions.Utility_DisplayArrayInTable(SourceData_PastureBeef.SourceData_PastureBeef_LiveweightGain_Data(), Table_SourceData_PastureBeef_LiveweightGain[[#Headers],[State]],0)</f>
        <v>0.6</v>
      </c>
      <c r="J171" s="39" cm="1">
        <f t="array" ref="J171">Common_InputFunctions.Utility_DisplayArrayInTable(SourceData_PastureBeef.SourceData_PastureBeef_LiveweightGain_Data(), Table_SourceData_PastureBeef_LiveweightGain[[#Headers],[State]],0)</f>
        <v>0.22</v>
      </c>
      <c r="K171" s="39" cm="1">
        <f t="array" ref="K171">Common_InputFunctions.Utility_DisplayArrayInTable(SourceData_PastureBeef.SourceData_PastureBeef_LiveweightGain_Data(), Table_SourceData_PastureBeef_LiveweightGain[[#Headers],[State]],0)</f>
        <v>-0.55000000000000004</v>
      </c>
      <c r="L171" s="39" cm="1">
        <f t="array" ref="L171">Common_InputFunctions.Utility_DisplayArrayInTable(SourceData_PastureBeef.SourceData_PastureBeef_LiveweightGain_Data(), Table_SourceData_PastureBeef_LiveweightGain[[#Headers],[State]],0)</f>
        <v>0.6</v>
      </c>
      <c r="M171" s="39" cm="1">
        <f t="array" ref="M171">Common_InputFunctions.Utility_DisplayArrayInTable(SourceData_PastureBeef.SourceData_PastureBeef_LiveweightGain_Data(), Table_SourceData_PastureBeef_LiveweightGain[[#Headers],[State]],0)</f>
        <v>0</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9" t="str" cm="1">
        <f t="array" ref="E172">Common_InputFunctions.Utility_DisplayArrayInTable(SourceData_PastureBeef.SourceData_PastureBeef_LiveweightGain_Data(), Table_SourceData_PastureBeef_LiveweightGain[[#Headers],[State]],0)</f>
        <v>South West</v>
      </c>
      <c r="F172" s="39" t="str" cm="1">
        <f t="array" ref="F172">Common_InputFunctions.Utility_DisplayArrayInTable(SourceData_PastureBeef.SourceData_PastureBeef_LiveweightGain_Data(), Table_SourceData_PastureBeef_LiveweightGain[[#Headers],[State]],0)</f>
        <v>Winter</v>
      </c>
      <c r="G172" s="39" cm="1">
        <f t="array" ref="G172">Common_InputFunctions.Utility_DisplayArrayInTable(SourceData_PastureBeef.SourceData_PastureBeef_LiveweightGain_Data(), Table_SourceData_PastureBeef_LiveweightGain[[#Headers],[State]],0)</f>
        <v>0.99</v>
      </c>
      <c r="H172" s="39" cm="1">
        <f t="array" ref="H172">Common_InputFunctions.Utility_DisplayArrayInTable(SourceData_PastureBeef.SourceData_PastureBeef_LiveweightGain_Data(), Table_SourceData_PastureBeef_LiveweightGain[[#Headers],[State]],0)</f>
        <v>0.22</v>
      </c>
      <c r="I172" s="39" cm="1">
        <f t="array" ref="I172">Common_InputFunctions.Utility_DisplayArrayInTable(SourceData_PastureBeef.SourceData_PastureBeef_LiveweightGain_Data(), Table_SourceData_PastureBeef_LiveweightGain[[#Headers],[State]],0)</f>
        <v>0.77</v>
      </c>
      <c r="J172" s="39" cm="1">
        <f t="array" ref="J172">Common_InputFunctions.Utility_DisplayArrayInTable(SourceData_PastureBeef.SourceData_PastureBeef_LiveweightGain_Data(), Table_SourceData_PastureBeef_LiveweightGain[[#Headers],[State]],0)</f>
        <v>0.11</v>
      </c>
      <c r="K172" s="39" cm="1">
        <f t="array" ref="K172">Common_InputFunctions.Utility_DisplayArrayInTable(SourceData_PastureBeef.SourceData_PastureBeef_LiveweightGain_Data(), Table_SourceData_PastureBeef_LiveweightGain[[#Headers],[State]],0)</f>
        <v>0.11</v>
      </c>
      <c r="L172" s="39" cm="1">
        <f t="array" ref="L172">Common_InputFunctions.Utility_DisplayArrayInTable(SourceData_PastureBeef.SourceData_PastureBeef_LiveweightGain_Data(), Table_SourceData_PastureBeef_LiveweightGain[[#Headers],[State]],0)</f>
        <v>0.77</v>
      </c>
      <c r="M172" s="39" cm="1">
        <f t="array" ref="M172">Common_InputFunctions.Utility_DisplayArrayInTable(SourceData_PastureBeef.SourceData_PastureBeef_LiveweightGain_Data(), Table_SourceData_PastureBeef_LiveweightGain[[#Headers],[State]],0)</f>
        <v>0.44</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9" t="str" cm="1">
        <f t="array" ref="E173">Common_InputFunctions.Utility_DisplayArrayInTable(SourceData_PastureBeef.SourceData_PastureBeef_LiveweightGain_Data(), Table_SourceData_PastureBeef_LiveweightGain[[#Headers],[State]],0)</f>
        <v>Pilbara</v>
      </c>
      <c r="F173" s="39" t="str" cm="1">
        <f t="array" ref="F173">Common_InputFunctions.Utility_DisplayArrayInTable(SourceData_PastureBeef.SourceData_PastureBeef_LiveweightGain_Data(), Table_SourceData_PastureBeef_LiveweightGain[[#Headers],[State]],0)</f>
        <v>Spring</v>
      </c>
      <c r="G173" s="39" cm="1">
        <f t="array" ref="G173">Common_InputFunctions.Utility_DisplayArrayInTable(SourceData_PastureBeef.SourceData_PastureBeef_LiveweightGain_Data(), Table_SourceData_PastureBeef_LiveweightGain[[#Headers],[State]],0)</f>
        <v>0.7</v>
      </c>
      <c r="H173" s="39" cm="1">
        <f t="array" ref="H173">Common_InputFunctions.Utility_DisplayArrayInTable(SourceData_PastureBeef.SourceData_PastureBeef_LiveweightGain_Data(), Table_SourceData_PastureBeef_LiveweightGain[[#Headers],[State]],0)</f>
        <v>-0.55000000000000004</v>
      </c>
      <c r="I173" s="39" cm="1">
        <f t="array" ref="I173">Common_InputFunctions.Utility_DisplayArrayInTable(SourceData_PastureBeef.SourceData_PastureBeef_LiveweightGain_Data(), Table_SourceData_PastureBeef_LiveweightGain[[#Headers],[State]],0)</f>
        <v>0.7</v>
      </c>
      <c r="J173" s="39" cm="1">
        <f t="array" ref="J173">Common_InputFunctions.Utility_DisplayArrayInTable(SourceData_PastureBeef.SourceData_PastureBeef_LiveweightGain_Data(), Table_SourceData_PastureBeef_LiveweightGain[[#Headers],[State]],0)</f>
        <v>0.22</v>
      </c>
      <c r="K173" s="39" cm="1">
        <f t="array" ref="K173">Common_InputFunctions.Utility_DisplayArrayInTable(SourceData_PastureBeef.SourceData_PastureBeef_LiveweightGain_Data(), Table_SourceData_PastureBeef_LiveweightGain[[#Headers],[State]],0)</f>
        <v>-0.22</v>
      </c>
      <c r="L173" s="39" cm="1">
        <f t="array" ref="L173">Common_InputFunctions.Utility_DisplayArrayInTable(SourceData_PastureBeef.SourceData_PastureBeef_LiveweightGain_Data(), Table_SourceData_PastureBeef_LiveweightGain[[#Headers],[State]],0)</f>
        <v>0.7</v>
      </c>
      <c r="M173" s="39" cm="1">
        <f t="array" ref="M173">Common_InputFunctions.Utility_DisplayArrayInTable(SourceData_PastureBeef.SourceData_PastureBeef_LiveweightGain_Data(), Table_SourceData_PastureBeef_LiveweightGain[[#Headers],[State]],0)</f>
        <v>-0.22</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9" t="str" cm="1">
        <f t="array" ref="E174">Common_InputFunctions.Utility_DisplayArrayInTable(SourceData_PastureBeef.SourceData_PastureBeef_LiveweightGain_Data(), Table_SourceData_PastureBeef_LiveweightGain[[#Headers],[State]],0)</f>
        <v>Pilbara</v>
      </c>
      <c r="F174" s="39" t="str" cm="1">
        <f t="array" ref="F174">Common_InputFunctions.Utility_DisplayArrayInTable(SourceData_PastureBeef.SourceData_PastureBeef_LiveweightGain_Data(), Table_SourceData_PastureBeef_LiveweightGain[[#Headers],[State]],0)</f>
        <v>Summer</v>
      </c>
      <c r="G174" s="39" cm="1">
        <f t="array" ref="G174">Common_InputFunctions.Utility_DisplayArrayInTable(SourceData_PastureBeef.SourceData_PastureBeef_LiveweightGain_Data(), Table_SourceData_PastureBeef_LiveweightGain[[#Headers],[State]],0)</f>
        <v>0.77</v>
      </c>
      <c r="H174" s="39" cm="1">
        <f t="array" ref="H174">Common_InputFunctions.Utility_DisplayArrayInTable(SourceData_PastureBeef.SourceData_PastureBeef_LiveweightGain_Data(), Table_SourceData_PastureBeef_LiveweightGain[[#Headers],[State]],0)</f>
        <v>0.55000000000000004</v>
      </c>
      <c r="I174" s="39" cm="1">
        <f t="array" ref="I174">Common_InputFunctions.Utility_DisplayArrayInTable(SourceData_PastureBeef.SourceData_PastureBeef_LiveweightGain_Data(), Table_SourceData_PastureBeef_LiveweightGain[[#Headers],[State]],0)</f>
        <v>0.77</v>
      </c>
      <c r="J174" s="39" cm="1">
        <f t="array" ref="J174">Common_InputFunctions.Utility_DisplayArrayInTable(SourceData_PastureBeef.SourceData_PastureBeef_LiveweightGain_Data(), Table_SourceData_PastureBeef_LiveweightGain[[#Headers],[State]],0)</f>
        <v>0.66</v>
      </c>
      <c r="K174" s="39" cm="1">
        <f t="array" ref="K174">Common_InputFunctions.Utility_DisplayArrayInTable(SourceData_PastureBeef.SourceData_PastureBeef_LiveweightGain_Data(), Table_SourceData_PastureBeef_LiveweightGain[[#Headers],[State]],0)</f>
        <v>0.55000000000000004</v>
      </c>
      <c r="L174" s="39" cm="1">
        <f t="array" ref="L174">Common_InputFunctions.Utility_DisplayArrayInTable(SourceData_PastureBeef.SourceData_PastureBeef_LiveweightGain_Data(), Table_SourceData_PastureBeef_LiveweightGain[[#Headers],[State]],0)</f>
        <v>0.77</v>
      </c>
      <c r="M174" s="39" cm="1">
        <f t="array" ref="M174">Common_InputFunctions.Utility_DisplayArrayInTable(SourceData_PastureBeef.SourceData_PastureBeef_LiveweightGain_Data(), Table_SourceData_PastureBeef_LiveweightGain[[#Headers],[State]],0)</f>
        <v>0.33</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9" t="str" cm="1">
        <f t="array" ref="E175">Common_InputFunctions.Utility_DisplayArrayInTable(SourceData_PastureBeef.SourceData_PastureBeef_LiveweightGain_Data(), Table_SourceData_PastureBeef_LiveweightGain[[#Headers],[State]],0)</f>
        <v>Pilbara</v>
      </c>
      <c r="F175" s="39" t="str" cm="1">
        <f t="array" ref="F175">Common_InputFunctions.Utility_DisplayArrayInTable(SourceData_PastureBeef.SourceData_PastureBeef_LiveweightGain_Data(), Table_SourceData_PastureBeef_LiveweightGain[[#Headers],[State]],0)</f>
        <v>Autumn</v>
      </c>
      <c r="G175" s="39" cm="1">
        <f t="array" ref="G175">Common_InputFunctions.Utility_DisplayArrayInTable(SourceData_PastureBeef.SourceData_PastureBeef_LiveweightGain_Data(), Table_SourceData_PastureBeef_LiveweightGain[[#Headers],[State]],0)</f>
        <v>0.88</v>
      </c>
      <c r="H175" s="39" cm="1">
        <f t="array" ref="H175">Common_InputFunctions.Utility_DisplayArrayInTable(SourceData_PastureBeef.SourceData_PastureBeef_LiveweightGain_Data(), Table_SourceData_PastureBeef_LiveweightGain[[#Headers],[State]],0)</f>
        <v>0.55000000000000004</v>
      </c>
      <c r="I175" s="39" cm="1">
        <f t="array" ref="I175">Common_InputFunctions.Utility_DisplayArrayInTable(SourceData_PastureBeef.SourceData_PastureBeef_LiveweightGain_Data(), Table_SourceData_PastureBeef_LiveweightGain[[#Headers],[State]],0)</f>
        <v>0.88</v>
      </c>
      <c r="J175" s="39" cm="1">
        <f t="array" ref="J175">Common_InputFunctions.Utility_DisplayArrayInTable(SourceData_PastureBeef.SourceData_PastureBeef_LiveweightGain_Data(), Table_SourceData_PastureBeef_LiveweightGain[[#Headers],[State]],0)</f>
        <v>0.22</v>
      </c>
      <c r="K175" s="39" cm="1">
        <f t="array" ref="K175">Common_InputFunctions.Utility_DisplayArrayInTable(SourceData_PastureBeef.SourceData_PastureBeef_LiveweightGain_Data(), Table_SourceData_PastureBeef_LiveweightGain[[#Headers],[State]],0)</f>
        <v>0.22</v>
      </c>
      <c r="L175" s="39" cm="1">
        <f t="array" ref="L175">Common_InputFunctions.Utility_DisplayArrayInTable(SourceData_PastureBeef.SourceData_PastureBeef_LiveweightGain_Data(), Table_SourceData_PastureBeef_LiveweightGain[[#Headers],[State]],0)</f>
        <v>0.88</v>
      </c>
      <c r="M175" s="39"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9" t="str" cm="1">
        <f t="array" ref="E176">Common_InputFunctions.Utility_DisplayArrayInTable(SourceData_PastureBeef.SourceData_PastureBeef_LiveweightGain_Data(), Table_SourceData_PastureBeef_LiveweightGain[[#Headers],[State]],0)</f>
        <v>Pilbara</v>
      </c>
      <c r="F176" s="39" t="str" cm="1">
        <f t="array" ref="F176">Common_InputFunctions.Utility_DisplayArrayInTable(SourceData_PastureBeef.SourceData_PastureBeef_LiveweightGain_Data(), Table_SourceData_PastureBeef_LiveweightGain[[#Headers],[State]],0)</f>
        <v>Winter</v>
      </c>
      <c r="G176" s="39" cm="1">
        <f t="array" ref="G176">Common_InputFunctions.Utility_DisplayArrayInTable(SourceData_PastureBeef.SourceData_PastureBeef_LiveweightGain_Data(), Table_SourceData_PastureBeef_LiveweightGain[[#Headers],[State]],0)</f>
        <v>0.22</v>
      </c>
      <c r="H176" s="39" cm="1">
        <f t="array" ref="H176">Common_InputFunctions.Utility_DisplayArrayInTable(SourceData_PastureBeef.SourceData_PastureBeef_LiveweightGain_Data(), Table_SourceData_PastureBeef_LiveweightGain[[#Headers],[State]],0)</f>
        <v>-0.55000000000000004</v>
      </c>
      <c r="I176" s="39" cm="1">
        <f t="array" ref="I176">Common_InputFunctions.Utility_DisplayArrayInTable(SourceData_PastureBeef.SourceData_PastureBeef_LiveweightGain_Data(), Table_SourceData_PastureBeef_LiveweightGain[[#Headers],[State]],0)</f>
        <v>0.22</v>
      </c>
      <c r="J176" s="39" cm="1">
        <f t="array" ref="J176">Common_InputFunctions.Utility_DisplayArrayInTable(SourceData_PastureBeef.SourceData_PastureBeef_LiveweightGain_Data(), Table_SourceData_PastureBeef_LiveweightGain[[#Headers],[State]],0)</f>
        <v>0.11</v>
      </c>
      <c r="K176" s="39" cm="1">
        <f t="array" ref="K176">Common_InputFunctions.Utility_DisplayArrayInTable(SourceData_PastureBeef.SourceData_PastureBeef_LiveweightGain_Data(), Table_SourceData_PastureBeef_LiveweightGain[[#Headers],[State]],0)</f>
        <v>-0.22</v>
      </c>
      <c r="L176" s="39" cm="1">
        <f t="array" ref="L176">Common_InputFunctions.Utility_DisplayArrayInTable(SourceData_PastureBeef.SourceData_PastureBeef_LiveweightGain_Data(), Table_SourceData_PastureBeef_LiveweightGain[[#Headers],[State]],0)</f>
        <v>0.22</v>
      </c>
      <c r="M176" s="39"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9" t="str" cm="1">
        <f t="array" ref="E177">Common_InputFunctions.Utility_DisplayArrayInTable(SourceData_PastureBeef.SourceData_PastureBeef_LiveweightGain_Data(), Table_SourceData_PastureBeef_LiveweightGain[[#Headers],[State]],0)</f>
        <v>Kimberley</v>
      </c>
      <c r="F177" s="39" t="str" cm="1">
        <f t="array" ref="F177">Common_InputFunctions.Utility_DisplayArrayInTable(SourceData_PastureBeef.SourceData_PastureBeef_LiveweightGain_Data(), Table_SourceData_PastureBeef_LiveweightGain[[#Headers],[State]],0)</f>
        <v>Spring</v>
      </c>
      <c r="G177" s="39" cm="1">
        <f t="array" ref="G177">Common_InputFunctions.Utility_DisplayArrayInTable(SourceData_PastureBeef.SourceData_PastureBeef_LiveweightGain_Data(), Table_SourceData_PastureBeef_LiveweightGain[[#Headers],[State]],0)</f>
        <v>0.22</v>
      </c>
      <c r="H177" s="39" cm="1">
        <f t="array" ref="H177">Common_InputFunctions.Utility_DisplayArrayInTable(SourceData_PastureBeef.SourceData_PastureBeef_LiveweightGain_Data(), Table_SourceData_PastureBeef_LiveweightGain[[#Headers],[State]],0)</f>
        <v>-0.55000000000000004</v>
      </c>
      <c r="I177" s="39" cm="1">
        <f t="array" ref="I177">Common_InputFunctions.Utility_DisplayArrayInTable(SourceData_PastureBeef.SourceData_PastureBeef_LiveweightGain_Data(), Table_SourceData_PastureBeef_LiveweightGain[[#Headers],[State]],0)</f>
        <v>0.33</v>
      </c>
      <c r="J177" s="39" cm="1">
        <f t="array" ref="J177">Common_InputFunctions.Utility_DisplayArrayInTable(SourceData_PastureBeef.SourceData_PastureBeef_LiveweightGain_Data(), Table_SourceData_PastureBeef_LiveweightGain[[#Headers],[State]],0)</f>
        <v>0.22</v>
      </c>
      <c r="K177" s="39" cm="1">
        <f t="array" ref="K177">Common_InputFunctions.Utility_DisplayArrayInTable(SourceData_PastureBeef.SourceData_PastureBeef_LiveweightGain_Data(), Table_SourceData_PastureBeef_LiveweightGain[[#Headers],[State]],0)</f>
        <v>-0.33</v>
      </c>
      <c r="L177" s="39" cm="1">
        <f t="array" ref="L177">Common_InputFunctions.Utility_DisplayArrayInTable(SourceData_PastureBeef.SourceData_PastureBeef_LiveweightGain_Data(), Table_SourceData_PastureBeef_LiveweightGain[[#Headers],[State]],0)</f>
        <v>0.22</v>
      </c>
      <c r="M177" s="39" cm="1">
        <f t="array" ref="M177">Common_InputFunctions.Utility_DisplayArrayInTable(SourceData_PastureBeef.SourceData_PastureBeef_LiveweightGain_Data(), Table_SourceData_PastureBeef_LiveweightGain[[#Headers],[State]],0)</f>
        <v>-0.55000000000000004</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9" t="str" cm="1">
        <f t="array" ref="E178">Common_InputFunctions.Utility_DisplayArrayInTable(SourceData_PastureBeef.SourceData_PastureBeef_LiveweightGain_Data(), Table_SourceData_PastureBeef_LiveweightGain[[#Headers],[State]],0)</f>
        <v>Kimberley</v>
      </c>
      <c r="F178" s="39" t="str" cm="1">
        <f t="array" ref="F178">Common_InputFunctions.Utility_DisplayArrayInTable(SourceData_PastureBeef.SourceData_PastureBeef_LiveweightGain_Data(), Table_SourceData_PastureBeef_LiveweightGain[[#Headers],[State]],0)</f>
        <v>Summer</v>
      </c>
      <c r="G178" s="39" cm="1">
        <f t="array" ref="G178">Common_InputFunctions.Utility_DisplayArrayInTable(SourceData_PastureBeef.SourceData_PastureBeef_LiveweightGain_Data(), Table_SourceData_PastureBeef_LiveweightGain[[#Headers],[State]],0)</f>
        <v>0.8</v>
      </c>
      <c r="H178" s="39" cm="1">
        <f t="array" ref="H178">Common_InputFunctions.Utility_DisplayArrayInTable(SourceData_PastureBeef.SourceData_PastureBeef_LiveweightGain_Data(), Table_SourceData_PastureBeef_LiveweightGain[[#Headers],[State]],0)</f>
        <v>0.55000000000000004</v>
      </c>
      <c r="I178" s="39" cm="1">
        <f t="array" ref="I178">Common_InputFunctions.Utility_DisplayArrayInTable(SourceData_PastureBeef.SourceData_PastureBeef_LiveweightGain_Data(), Table_SourceData_PastureBeef_LiveweightGain[[#Headers],[State]],0)</f>
        <v>0.7</v>
      </c>
      <c r="J178" s="39" cm="1">
        <f t="array" ref="J178">Common_InputFunctions.Utility_DisplayArrayInTable(SourceData_PastureBeef.SourceData_PastureBeef_LiveweightGain_Data(), Table_SourceData_PastureBeef_LiveweightGain[[#Headers],[State]],0)</f>
        <v>0.44</v>
      </c>
      <c r="K178" s="39" cm="1">
        <f t="array" ref="K178">Common_InputFunctions.Utility_DisplayArrayInTable(SourceData_PastureBeef.SourceData_PastureBeef_LiveweightGain_Data(), Table_SourceData_PastureBeef_LiveweightGain[[#Headers],[State]],0)</f>
        <v>0.66</v>
      </c>
      <c r="L178" s="39" cm="1">
        <f t="array" ref="L178">Common_InputFunctions.Utility_DisplayArrayInTable(SourceData_PastureBeef.SourceData_PastureBeef_LiveweightGain_Data(), Table_SourceData_PastureBeef_LiveweightGain[[#Headers],[State]],0)</f>
        <v>0.8</v>
      </c>
      <c r="M178" s="39" cm="1">
        <f t="array" ref="M178">Common_InputFunctions.Utility_DisplayArrayInTable(SourceData_PastureBeef.SourceData_PastureBeef_LiveweightGain_Data(), Table_SourceData_PastureBeef_LiveweightGain[[#Headers],[State]],0)</f>
        <v>0.55000000000000004</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9" t="str" cm="1">
        <f t="array" ref="E179">Common_InputFunctions.Utility_DisplayArrayInTable(SourceData_PastureBeef.SourceData_PastureBeef_LiveweightGain_Data(), Table_SourceData_PastureBeef_LiveweightGain[[#Headers],[State]],0)</f>
        <v>Kimberley</v>
      </c>
      <c r="F179" s="39" t="str" cm="1">
        <f t="array" ref="F179">Common_InputFunctions.Utility_DisplayArrayInTable(SourceData_PastureBeef.SourceData_PastureBeef_LiveweightGain_Data(), Table_SourceData_PastureBeef_LiveweightGain[[#Headers],[State]],0)</f>
        <v>Autumn</v>
      </c>
      <c r="G179" s="39" cm="1">
        <f t="array" ref="G179">Common_InputFunctions.Utility_DisplayArrayInTable(SourceData_PastureBeef.SourceData_PastureBeef_LiveweightGain_Data(), Table_SourceData_PastureBeef_LiveweightGain[[#Headers],[State]],0)</f>
        <v>0.66</v>
      </c>
      <c r="H179" s="39" cm="1">
        <f t="array" ref="H179">Common_InputFunctions.Utility_DisplayArrayInTable(SourceData_PastureBeef.SourceData_PastureBeef_LiveweightGain_Data(), Table_SourceData_PastureBeef_LiveweightGain[[#Headers],[State]],0)</f>
        <v>0.55000000000000004</v>
      </c>
      <c r="I179" s="39" cm="1">
        <f t="array" ref="I179">Common_InputFunctions.Utility_DisplayArrayInTable(SourceData_PastureBeef.SourceData_PastureBeef_LiveweightGain_Data(), Table_SourceData_PastureBeef_LiveweightGain[[#Headers],[State]],0)</f>
        <v>0.55000000000000004</v>
      </c>
      <c r="J179" s="39" cm="1">
        <f t="array" ref="J179">Common_InputFunctions.Utility_DisplayArrayInTable(SourceData_PastureBeef.SourceData_PastureBeef_LiveweightGain_Data(), Table_SourceData_PastureBeef_LiveweightGain[[#Headers],[State]],0)</f>
        <v>0.55000000000000004</v>
      </c>
      <c r="K179" s="39" cm="1">
        <f t="array" ref="K179">Common_InputFunctions.Utility_DisplayArrayInTable(SourceData_PastureBeef.SourceData_PastureBeef_LiveweightGain_Data(), Table_SourceData_PastureBeef_LiveweightGain[[#Headers],[State]],0)</f>
        <v>0.11</v>
      </c>
      <c r="L179" s="39" cm="1">
        <f t="array" ref="L179">Common_InputFunctions.Utility_DisplayArrayInTable(SourceData_PastureBeef.SourceData_PastureBeef_LiveweightGain_Data(), Table_SourceData_PastureBeef_LiveweightGain[[#Headers],[State]],0)</f>
        <v>0.66</v>
      </c>
      <c r="M179" s="39"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9" t="str" cm="1">
        <f t="array" ref="E180">Common_InputFunctions.Utility_DisplayArrayInTable(SourceData_PastureBeef.SourceData_PastureBeef_LiveweightGain_Data(), Table_SourceData_PastureBeef_LiveweightGain[[#Headers],[State]],0)</f>
        <v>Kimberley</v>
      </c>
      <c r="F180" s="39" t="str" cm="1">
        <f t="array" ref="F180">Common_InputFunctions.Utility_DisplayArrayInTable(SourceData_PastureBeef.SourceData_PastureBeef_LiveweightGain_Data(), Table_SourceData_PastureBeef_LiveweightGain[[#Headers],[State]],0)</f>
        <v>Winter</v>
      </c>
      <c r="G180" s="39" cm="1">
        <f t="array" ref="G180">Common_InputFunctions.Utility_DisplayArrayInTable(SourceData_PastureBeef.SourceData_PastureBeef_LiveweightGain_Data(), Table_SourceData_PastureBeef_LiveweightGain[[#Headers],[State]],0)</f>
        <v>0.33</v>
      </c>
      <c r="H180" s="39" cm="1">
        <f t="array" ref="H180">Common_InputFunctions.Utility_DisplayArrayInTable(SourceData_PastureBeef.SourceData_PastureBeef_LiveweightGain_Data(), Table_SourceData_PastureBeef_LiveweightGain[[#Headers],[State]],0)</f>
        <v>-0.55000000000000004</v>
      </c>
      <c r="I180" s="39" cm="1">
        <f t="array" ref="I180">Common_InputFunctions.Utility_DisplayArrayInTable(SourceData_PastureBeef.SourceData_PastureBeef_LiveweightGain_Data(), Table_SourceData_PastureBeef_LiveweightGain[[#Headers],[State]],0)</f>
        <v>0.11</v>
      </c>
      <c r="J180" s="39" cm="1">
        <f t="array" ref="J180">Common_InputFunctions.Utility_DisplayArrayInTable(SourceData_PastureBeef.SourceData_PastureBeef_LiveweightGain_Data(), Table_SourceData_PastureBeef_LiveweightGain[[#Headers],[State]],0)</f>
        <v>0.11</v>
      </c>
      <c r="K180" s="39" cm="1">
        <f t="array" ref="K180">Common_InputFunctions.Utility_DisplayArrayInTable(SourceData_PastureBeef.SourceData_PastureBeef_LiveweightGain_Data(), Table_SourceData_PastureBeef_LiveweightGain[[#Headers],[State]],0)</f>
        <v>-0.44</v>
      </c>
      <c r="L180" s="39" cm="1">
        <f t="array" ref="L180">Common_InputFunctions.Utility_DisplayArrayInTable(SourceData_PastureBeef.SourceData_PastureBeef_LiveweightGain_Data(), Table_SourceData_PastureBeef_LiveweightGain[[#Headers],[State]],0)</f>
        <v>0.33</v>
      </c>
      <c r="M180" s="39" cm="1">
        <f t="array" ref="M180">Common_InputFunctions.Utility_DisplayArrayInTable(SourceData_PastureBeef.SourceData_PastureBeef_LiveweightGain_Data(), Table_SourceData_PastureBeef_LiveweightGain[[#Headers],[State]],0)</f>
        <v>-0.55000000000000004</v>
      </c>
    </row>
    <row r="181" spans="4:16" x14ac:dyDescent="0.25">
      <c r="M181" s="1"/>
    </row>
    <row r="182" spans="4:16" x14ac:dyDescent="0.25">
      <c r="M182" s="1"/>
    </row>
    <row r="183" spans="4:16" ht="23.25" x14ac:dyDescent="0.25">
      <c r="D183" s="6" t="str" cm="1">
        <f t="array" ref="D183">SourceData_PastureBeef.SourceData_PastureBeef_LiveweightGainNTQLD_Title()</f>
        <v>Beef pasture cattle - Liveweight gain (kg) (LWGjkl) for NT and QLD</v>
      </c>
      <c r="M183" s="1"/>
    </row>
    <row r="184" spans="4:16" x14ac:dyDescent="0.25">
      <c r="D184" s="5" t="str" cm="1">
        <f t="array" ref="D184">SourceData_PastureBeef.SourceData_PastureBeef_LiveweightGainNTQLD_Source()</f>
        <v>VEERG 2026: Table A.1.2.4</v>
      </c>
      <c r="M184" s="1"/>
    </row>
    <row r="185" spans="4:16" x14ac:dyDescent="0.25">
      <c r="D185" s="1" t="str" cm="1">
        <f t="array" ref="D185">SourceData_PastureBeef.SourceData_PastureBeef_LiveweightGainNTQLD_Variable()</f>
        <v>LWGjkl</v>
      </c>
      <c r="M185" s="1"/>
    </row>
    <row r="186" spans="4:16" x14ac:dyDescent="0.25">
      <c r="D186" s="57" t="str" cm="1">
        <f t="array" ref="D186">SourceData_PastureBeef.SourceData_PastureBeef_LiveweightGainNTQLD_Unit()</f>
        <v>kg</v>
      </c>
      <c r="M186" s="1"/>
    </row>
    <row r="187" spans="4:16" x14ac:dyDescent="0.25">
      <c r="D187" s="130" t="s">
        <v>8</v>
      </c>
      <c r="E187" s="130" t="s">
        <v>367</v>
      </c>
      <c r="F187" s="130" t="s">
        <v>368</v>
      </c>
      <c r="G187" s="130" t="s">
        <v>387</v>
      </c>
      <c r="H187" s="130" t="s">
        <v>376</v>
      </c>
      <c r="I187" s="130" t="s">
        <v>408</v>
      </c>
      <c r="J187" s="130" t="s">
        <v>372</v>
      </c>
      <c r="K187" s="130" t="s">
        <v>411</v>
      </c>
      <c r="L187" s="130" t="s">
        <v>412</v>
      </c>
      <c r="M187" s="130" t="s">
        <v>381</v>
      </c>
      <c r="N187" s="130" t="s">
        <v>382</v>
      </c>
      <c r="O187" s="130" t="s">
        <v>383</v>
      </c>
      <c r="P187" s="130" t="s">
        <v>384</v>
      </c>
    </row>
    <row r="188" spans="4:16" x14ac:dyDescent="0.25">
      <c r="D188" s="130" t="str" cm="1">
        <f t="array" ref="D188">Common_InputFunctions.Utility_DisplayArrayInTable(SourceData_PastureBeef.SourceData_PastureBeef_LiveweightGainNTQLD_Data(),Table_SourceData_PastureBeef_LiveweightGainNTQLD[[#Headers],[State]],0)</f>
        <v>Northern Territory</v>
      </c>
      <c r="E188" s="130" t="str" cm="1">
        <f t="array" ref="E188">Common_InputFunctions.Utility_DisplayArrayInTable(SourceData_PastureBeef.SourceData_PastureBeef_LiveweightGainNTQLD_Data(),Table_SourceData_PastureBeef_LiveweightGainNTQLD[[#Headers],[State]],0)</f>
        <v>Alice Springs</v>
      </c>
      <c r="F188" s="130" t="str" cm="1">
        <f t="array" ref="F188">Common_InputFunctions.Utility_DisplayArrayInTable(SourceData_PastureBeef.SourceData_PastureBeef_LiveweightGainNTQLD_Data(),Table_SourceData_PastureBeef_LiveweightGainNTQLD[[#Headers],[State]],0)</f>
        <v>Spring</v>
      </c>
      <c r="G188" s="130" cm="1">
        <f t="array" ref="G188">Common_InputFunctions.Utility_DisplayArrayInTable(SourceData_PastureBeef.SourceData_PastureBeef_LiveweightGainNTQLD_Data(),Table_SourceData_PastureBeef_LiveweightGainNTQLD[[#Headers],[State]],0)</f>
        <v>0.22</v>
      </c>
      <c r="H188" s="130" cm="1">
        <f t="array" ref="H188">Common_InputFunctions.Utility_DisplayArrayInTable(SourceData_PastureBeef.SourceData_PastureBeef_LiveweightGainNTQLD_Data(),Table_SourceData_PastureBeef_LiveweightGainNTQLD[[#Headers],[State]],0)</f>
        <v>-0.23</v>
      </c>
      <c r="I188" s="130" cm="1">
        <f t="array" ref="I188">Common_InputFunctions.Utility_DisplayArrayInTable(SourceData_PastureBeef.SourceData_PastureBeef_LiveweightGainNTQLD_Data(),Table_SourceData_PastureBeef_LiveweightGainNTQLD[[#Headers],[State]],0)</f>
        <v>0.25</v>
      </c>
      <c r="J188" s="130" cm="1">
        <f t="array" ref="J188">Common_InputFunctions.Utility_DisplayArrayInTable(SourceData_PastureBeef.SourceData_PastureBeef_LiveweightGainNTQLD_Data(),Table_SourceData_PastureBeef_LiveweightGainNTQLD[[#Headers],[State]],0)</f>
        <v>0.17</v>
      </c>
      <c r="K188" s="130" cm="1">
        <f t="array" ref="K188">Common_InputFunctions.Utility_DisplayArrayInTable(SourceData_PastureBeef.SourceData_PastureBeef_LiveweightGainNTQLD_Data(),Table_SourceData_PastureBeef_LiveweightGainNTQLD[[#Headers],[State]],0)</f>
        <v>0.18</v>
      </c>
      <c r="L188" s="130" cm="1">
        <f t="array" ref="L188">Common_InputFunctions.Utility_DisplayArrayInTable(SourceData_PastureBeef.SourceData_PastureBeef_LiveweightGainNTQLD_Data(),Table_SourceData_PastureBeef_LiveweightGainNTQLD[[#Headers],[State]],0)</f>
        <v>-0.28000000000000003</v>
      </c>
      <c r="M188" s="130" cm="1">
        <f t="array" ref="M188">Common_InputFunctions.Utility_DisplayArrayInTable(SourceData_PastureBeef.SourceData_PastureBeef_LiveweightGainNTQLD_Data(),Table_SourceData_PastureBeef_LiveweightGainNTQLD[[#Headers],[State]],0)</f>
        <v>0.32</v>
      </c>
      <c r="N188" s="130" cm="1">
        <f t="array" ref="N188">Common_InputFunctions.Utility_DisplayArrayInTable(SourceData_PastureBeef.SourceData_PastureBeef_LiveweightGainNTQLD_Data(),Table_SourceData_PastureBeef_LiveweightGainNTQLD[[#Headers],[State]],0)</f>
        <v>0.24</v>
      </c>
      <c r="O188" s="130" cm="1">
        <f t="array" ref="O188">Common_InputFunctions.Utility_DisplayArrayInTable(SourceData_PastureBeef.SourceData_PastureBeef_LiveweightGainNTQLD_Data(),Table_SourceData_PastureBeef_LiveweightGainNTQLD[[#Headers],[State]],0)</f>
        <v>0.25</v>
      </c>
      <c r="P188" s="130" cm="1">
        <f t="array" ref="P188">Common_InputFunctions.Utility_DisplayArrayInTable(SourceData_PastureBeef.SourceData_PastureBeef_LiveweightGainNTQLD_Data(),Table_SourceData_PastureBeef_LiveweightGainNTQLD[[#Headers],[State]],0)</f>
        <v>-0.05</v>
      </c>
    </row>
    <row r="189" spans="4:16" x14ac:dyDescent="0.25">
      <c r="D189" s="1" t="str" cm="1">
        <f t="array" ref="D189">Common_InputFunctions.Utility_DisplayArrayInTable(SourceData_PastureBeef.SourceData_PastureBeef_LiveweightGainNTQLD_Data(),Table_SourceData_PastureBeef_LiveweightGainNTQLD[[#Headers],[State]],0)</f>
        <v>Northern Territory</v>
      </c>
      <c r="E189" s="39" t="str" cm="1">
        <f t="array" ref="E189">Common_InputFunctions.Utility_DisplayArrayInTable(SourceData_PastureBeef.SourceData_PastureBeef_LiveweightGainNTQLD_Data(),Table_SourceData_PastureBeef_LiveweightGainNTQLD[[#Headers],[State]],0)</f>
        <v>Alice Springs</v>
      </c>
      <c r="F189" s="39" t="str" cm="1">
        <f t="array" ref="F189">Common_InputFunctions.Utility_DisplayArrayInTable(SourceData_PastureBeef.SourceData_PastureBeef_LiveweightGainNTQLD_Data(),Table_SourceData_PastureBeef_LiveweightGainNTQLD[[#Headers],[State]],0)</f>
        <v>Summer</v>
      </c>
      <c r="G189" s="39" cm="1">
        <f t="array" ref="G189">Common_InputFunctions.Utility_DisplayArrayInTable(SourceData_PastureBeef.SourceData_PastureBeef_LiveweightGainNTQLD_Data(),Table_SourceData_PastureBeef_LiveweightGainNTQLD[[#Headers],[State]],0)</f>
        <v>0.66</v>
      </c>
      <c r="H189" s="39" cm="1">
        <f t="array" ref="H189">Common_InputFunctions.Utility_DisplayArrayInTable(SourceData_PastureBeef.SourceData_PastureBeef_LiveweightGainNTQLD_Data(),Table_SourceData_PastureBeef_LiveweightGainNTQLD[[#Headers],[State]],0)</f>
        <v>0.2</v>
      </c>
      <c r="I189" s="39" cm="1">
        <f t="array" ref="I189">Common_InputFunctions.Utility_DisplayArrayInTable(SourceData_PastureBeef.SourceData_PastureBeef_LiveweightGainNTQLD_Data(),Table_SourceData_PastureBeef_LiveweightGainNTQLD[[#Headers],[State]],0)</f>
        <v>0.62</v>
      </c>
      <c r="J189" s="39" cm="1">
        <f t="array" ref="J189">Common_InputFunctions.Utility_DisplayArrayInTable(SourceData_PastureBeef.SourceData_PastureBeef_LiveweightGainNTQLD_Data(),Table_SourceData_PastureBeef_LiveweightGainNTQLD[[#Headers],[State]],0)</f>
        <v>0.54</v>
      </c>
      <c r="K189" s="39" cm="1">
        <f t="array" ref="K189">Common_InputFunctions.Utility_DisplayArrayInTable(SourceData_PastureBeef.SourceData_PastureBeef_LiveweightGainNTQLD_Data(),Table_SourceData_PastureBeef_LiveweightGainNTQLD[[#Headers],[State]],0)</f>
        <v>0.38</v>
      </c>
      <c r="L189" s="39" cm="1">
        <f t="array" ref="L189">Common_InputFunctions.Utility_DisplayArrayInTable(SourceData_PastureBeef.SourceData_PastureBeef_LiveweightGainNTQLD_Data(),Table_SourceData_PastureBeef_LiveweightGainNTQLD[[#Headers],[State]],0)</f>
        <v>0.27</v>
      </c>
      <c r="M189" s="39" cm="1">
        <f t="array" ref="M189">Common_InputFunctions.Utility_DisplayArrayInTable(SourceData_PastureBeef.SourceData_PastureBeef_LiveweightGainNTQLD_Data(),Table_SourceData_PastureBeef_LiveweightGainNTQLD[[#Headers],[State]],0)</f>
        <v>0.75</v>
      </c>
      <c r="N189" s="39" cm="1">
        <f t="array" ref="N189">Common_InputFunctions.Utility_DisplayArrayInTable(SourceData_PastureBeef.SourceData_PastureBeef_LiveweightGainNTQLD_Data(),Table_SourceData_PastureBeef_LiveweightGainNTQLD[[#Headers],[State]],0)</f>
        <v>0.64</v>
      </c>
      <c r="O189" s="39" cm="1">
        <f t="array" ref="O189">Common_InputFunctions.Utility_DisplayArrayInTable(SourceData_PastureBeef.SourceData_PastureBeef_LiveweightGainNTQLD_Data(),Table_SourceData_PastureBeef_LiveweightGainNTQLD[[#Headers],[State]],0)</f>
        <v>0.55000000000000004</v>
      </c>
      <c r="P189" s="39" cm="1">
        <f t="array" ref="P189">Common_InputFunctions.Utility_DisplayArrayInTable(SourceData_PastureBeef.SourceData_PastureBeef_LiveweightGainNTQLD_Data(),Table_SourceData_PastureBeef_LiveweightGainNTQLD[[#Headers],[State]],0)</f>
        <v>0.48</v>
      </c>
    </row>
    <row r="190" spans="4:16" x14ac:dyDescent="0.25">
      <c r="D190" s="1" t="str" cm="1">
        <f t="array" ref="D190">Common_InputFunctions.Utility_DisplayArrayInTable(SourceData_PastureBeef.SourceData_PastureBeef_LiveweightGainNTQLD_Data(),Table_SourceData_PastureBeef_LiveweightGainNTQLD[[#Headers],[State]],0)</f>
        <v>Northern Territory</v>
      </c>
      <c r="E190" s="39" t="str" cm="1">
        <f t="array" ref="E190">Common_InputFunctions.Utility_DisplayArrayInTable(SourceData_PastureBeef.SourceData_PastureBeef_LiveweightGainNTQLD_Data(),Table_SourceData_PastureBeef_LiveweightGainNTQLD[[#Headers],[State]],0)</f>
        <v>Alice Springs</v>
      </c>
      <c r="F190" s="39" t="str" cm="1">
        <f t="array" ref="F190">Common_InputFunctions.Utility_DisplayArrayInTable(SourceData_PastureBeef.SourceData_PastureBeef_LiveweightGainNTQLD_Data(),Table_SourceData_PastureBeef_LiveweightGainNTQLD[[#Headers],[State]],0)</f>
        <v>Autumn</v>
      </c>
      <c r="G190" s="39" cm="1">
        <f t="array" ref="G190">Common_InputFunctions.Utility_DisplayArrayInTable(SourceData_PastureBeef.SourceData_PastureBeef_LiveweightGainNTQLD_Data(),Table_SourceData_PastureBeef_LiveweightGainNTQLD[[#Headers],[State]],0)</f>
        <v>0.49</v>
      </c>
      <c r="H190" s="39" cm="1">
        <f t="array" ref="H190">Common_InputFunctions.Utility_DisplayArrayInTable(SourceData_PastureBeef.SourceData_PastureBeef_LiveweightGainNTQLD_Data(),Table_SourceData_PastureBeef_LiveweightGainNTQLD[[#Headers],[State]],0)</f>
        <v>0.13</v>
      </c>
      <c r="I190" s="39" cm="1">
        <f t="array" ref="I190">Common_InputFunctions.Utility_DisplayArrayInTable(SourceData_PastureBeef.SourceData_PastureBeef_LiveweightGainNTQLD_Data(),Table_SourceData_PastureBeef_LiveweightGainNTQLD[[#Headers],[State]],0)</f>
        <v>0.54</v>
      </c>
      <c r="J190" s="39" cm="1">
        <f t="array" ref="J190">Common_InputFunctions.Utility_DisplayArrayInTable(SourceData_PastureBeef.SourceData_PastureBeef_LiveweightGainNTQLD_Data(),Table_SourceData_PastureBeef_LiveweightGainNTQLD[[#Headers],[State]],0)</f>
        <v>0.45</v>
      </c>
      <c r="K190" s="39" cm="1">
        <f t="array" ref="K190">Common_InputFunctions.Utility_DisplayArrayInTable(SourceData_PastureBeef.SourceData_PastureBeef_LiveweightGainNTQLD_Data(),Table_SourceData_PastureBeef_LiveweightGainNTQLD[[#Headers],[State]],0)</f>
        <v>0.35</v>
      </c>
      <c r="L190" s="39" cm="1">
        <f t="array" ref="L190">Common_InputFunctions.Utility_DisplayArrayInTable(SourceData_PastureBeef.SourceData_PastureBeef_LiveweightGainNTQLD_Data(),Table_SourceData_PastureBeef_LiveweightGainNTQLD[[#Headers],[State]],0)</f>
        <v>0.15</v>
      </c>
      <c r="M190" s="39" cm="1">
        <f t="array" ref="M190">Common_InputFunctions.Utility_DisplayArrayInTable(SourceData_PastureBeef.SourceData_PastureBeef_LiveweightGainNTQLD_Data(),Table_SourceData_PastureBeef_LiveweightGainNTQLD[[#Headers],[State]],0)</f>
        <v>0.63</v>
      </c>
      <c r="N190" s="39" cm="1">
        <f t="array" ref="N190">Common_InputFunctions.Utility_DisplayArrayInTable(SourceData_PastureBeef.SourceData_PastureBeef_LiveweightGainNTQLD_Data(),Table_SourceData_PastureBeef_LiveweightGainNTQLD[[#Headers],[State]],0)</f>
        <v>0.54</v>
      </c>
      <c r="O190" s="39" cm="1">
        <f t="array" ref="O190">Common_InputFunctions.Utility_DisplayArrayInTable(SourceData_PastureBeef.SourceData_PastureBeef_LiveweightGainNTQLD_Data(),Table_SourceData_PastureBeef_LiveweightGainNTQLD[[#Headers],[State]],0)</f>
        <v>0.42</v>
      </c>
      <c r="P190" s="39" cm="1">
        <f t="array" ref="P190">Common_InputFunctions.Utility_DisplayArrayInTable(SourceData_PastureBeef.SourceData_PastureBeef_LiveweightGainNTQLD_Data(),Table_SourceData_PastureBeef_LiveweightGainNTQLD[[#Headers],[State]],0)</f>
        <v>0.26</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9" t="str" cm="1">
        <f t="array" ref="E191">Common_InputFunctions.Utility_DisplayArrayInTable(SourceData_PastureBeef.SourceData_PastureBeef_LiveweightGainNTQLD_Data(),Table_SourceData_PastureBeef_LiveweightGainNTQLD[[#Headers],[State]],0)</f>
        <v>Alice Springs</v>
      </c>
      <c r="F191" s="39" t="str" cm="1">
        <f t="array" ref="F191">Common_InputFunctions.Utility_DisplayArrayInTable(SourceData_PastureBeef.SourceData_PastureBeef_LiveweightGainNTQLD_Data(),Table_SourceData_PastureBeef_LiveweightGainNTQLD[[#Headers],[State]],0)</f>
        <v>Winter</v>
      </c>
      <c r="G191" s="39" cm="1">
        <f t="array" ref="G191">Common_InputFunctions.Utility_DisplayArrayInTable(SourceData_PastureBeef.SourceData_PastureBeef_LiveweightGainNTQLD_Data(),Table_SourceData_PastureBeef_LiveweightGainNTQLD[[#Headers],[State]],0)</f>
        <v>0.27</v>
      </c>
      <c r="H191" s="39" cm="1">
        <f t="array" ref="H191">Common_InputFunctions.Utility_DisplayArrayInTable(SourceData_PastureBeef.SourceData_PastureBeef_LiveweightGainNTQLD_Data(),Table_SourceData_PastureBeef_LiveweightGainNTQLD[[#Headers],[State]],0)</f>
        <v>-0.8</v>
      </c>
      <c r="I191" s="39" cm="1">
        <f t="array" ref="I191">Common_InputFunctions.Utility_DisplayArrayInTable(SourceData_PastureBeef.SourceData_PastureBeef_LiveweightGainNTQLD_Data(),Table_SourceData_PastureBeef_LiveweightGainNTQLD[[#Headers],[State]],0)</f>
        <v>0.22</v>
      </c>
      <c r="J191" s="39" cm="1">
        <f t="array" ref="J191">Common_InputFunctions.Utility_DisplayArrayInTable(SourceData_PastureBeef.SourceData_PastureBeef_LiveweightGainNTQLD_Data(),Table_SourceData_PastureBeef_LiveweightGainNTQLD[[#Headers],[State]],0)</f>
        <v>0.09</v>
      </c>
      <c r="K191" s="39" cm="1">
        <f t="array" ref="K191">Common_InputFunctions.Utility_DisplayArrayInTable(SourceData_PastureBeef.SourceData_PastureBeef_LiveweightGainNTQLD_Data(),Table_SourceData_PastureBeef_LiveweightGainNTQLD[[#Headers],[State]],0)</f>
        <v>0.12</v>
      </c>
      <c r="L191" s="39" cm="1">
        <f t="array" ref="L191">Common_InputFunctions.Utility_DisplayArrayInTable(SourceData_PastureBeef.SourceData_PastureBeef_LiveweightGainNTQLD_Data(),Table_SourceData_PastureBeef_LiveweightGainNTQLD[[#Headers],[State]],0)</f>
        <v>0.02</v>
      </c>
      <c r="M191" s="39" cm="1">
        <f t="array" ref="M191">Common_InputFunctions.Utility_DisplayArrayInTable(SourceData_PastureBeef.SourceData_PastureBeef_LiveweightGainNTQLD_Data(),Table_SourceData_PastureBeef_LiveweightGainNTQLD[[#Headers],[State]],0)</f>
        <v>0.25</v>
      </c>
      <c r="N191" s="39" cm="1">
        <f t="array" ref="N191">Common_InputFunctions.Utility_DisplayArrayInTable(SourceData_PastureBeef.SourceData_PastureBeef_LiveweightGainNTQLD_Data(),Table_SourceData_PastureBeef_LiveweightGainNTQLD[[#Headers],[State]],0)</f>
        <v>0.18</v>
      </c>
      <c r="O191" s="39" cm="1">
        <f t="array" ref="O191">Common_InputFunctions.Utility_DisplayArrayInTable(SourceData_PastureBeef.SourceData_PastureBeef_LiveweightGainNTQLD_Data(),Table_SourceData_PastureBeef_LiveweightGainNTQLD[[#Headers],[State]],0)</f>
        <v>0.12</v>
      </c>
      <c r="P191" s="39" cm="1">
        <f t="array" ref="P191">Common_InputFunctions.Utility_DisplayArrayInTable(SourceData_PastureBeef.SourceData_PastureBeef_LiveweightGainNTQLD_Data(),Table_SourceData_PastureBeef_LiveweightGainNTQLD[[#Headers],[State]],0)</f>
        <v>0.03</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9" t="str" cm="1">
        <f t="array" ref="E192">Common_InputFunctions.Utility_DisplayArrayInTable(SourceData_PastureBeef.SourceData_PastureBeef_LiveweightGainNTQLD_Data(),Table_SourceData_PastureBeef_LiveweightGainNTQLD[[#Headers],[State]],0)</f>
        <v>Barkly</v>
      </c>
      <c r="F192" s="39" t="str" cm="1">
        <f t="array" ref="F192">Common_InputFunctions.Utility_DisplayArrayInTable(SourceData_PastureBeef.SourceData_PastureBeef_LiveweightGainNTQLD_Data(),Table_SourceData_PastureBeef_LiveweightGainNTQLD[[#Headers],[State]],0)</f>
        <v>Spring</v>
      </c>
      <c r="G192" s="39" cm="1">
        <f t="array" ref="G192">Common_InputFunctions.Utility_DisplayArrayInTable(SourceData_PastureBeef.SourceData_PastureBeef_LiveweightGainNTQLD_Data(),Table_SourceData_PastureBeef_LiveweightGainNTQLD[[#Headers],[State]],0)</f>
        <v>0.22</v>
      </c>
      <c r="H192" s="39" cm="1">
        <f t="array" ref="H192">Common_InputFunctions.Utility_DisplayArrayInTable(SourceData_PastureBeef.SourceData_PastureBeef_LiveweightGainNTQLD_Data(),Table_SourceData_PastureBeef_LiveweightGainNTQLD[[#Headers],[State]],0)</f>
        <v>-0.44</v>
      </c>
      <c r="I192" s="39" cm="1">
        <f t="array" ref="I192">Common_InputFunctions.Utility_DisplayArrayInTable(SourceData_PastureBeef.SourceData_PastureBeef_LiveweightGainNTQLD_Data(),Table_SourceData_PastureBeef_LiveweightGainNTQLD[[#Headers],[State]],0)</f>
        <v>0.2</v>
      </c>
      <c r="J192" s="39" cm="1">
        <f t="array" ref="J192">Common_InputFunctions.Utility_DisplayArrayInTable(SourceData_PastureBeef.SourceData_PastureBeef_LiveweightGainNTQLD_Data(),Table_SourceData_PastureBeef_LiveweightGainNTQLD[[#Headers],[State]],0)</f>
        <v>0.21</v>
      </c>
      <c r="K192" s="39" cm="1">
        <f t="array" ref="K192">Common_InputFunctions.Utility_DisplayArrayInTable(SourceData_PastureBeef.SourceData_PastureBeef_LiveweightGainNTQLD_Data(),Table_SourceData_PastureBeef_LiveweightGainNTQLD[[#Headers],[State]],0)</f>
        <v>0.18</v>
      </c>
      <c r="L192" s="39" cm="1">
        <f t="array" ref="L192">Common_InputFunctions.Utility_DisplayArrayInTable(SourceData_PastureBeef.SourceData_PastureBeef_LiveweightGainNTQLD_Data(),Table_SourceData_PastureBeef_LiveweightGainNTQLD[[#Headers],[State]],0)</f>
        <v>0.01</v>
      </c>
      <c r="M192" s="39" cm="1">
        <f t="array" ref="M192">Common_InputFunctions.Utility_DisplayArrayInTable(SourceData_PastureBeef.SourceData_PastureBeef_LiveweightGainNTQLD_Data(),Table_SourceData_PastureBeef_LiveweightGainNTQLD[[#Headers],[State]],0)</f>
        <v>0.12</v>
      </c>
      <c r="N192" s="39" cm="1">
        <f t="array" ref="N192">Common_InputFunctions.Utility_DisplayArrayInTable(SourceData_PastureBeef.SourceData_PastureBeef_LiveweightGainNTQLD_Data(),Table_SourceData_PastureBeef_LiveweightGainNTQLD[[#Headers],[State]],0)</f>
        <v>0.09</v>
      </c>
      <c r="O192" s="39" t="str" cm="1">
        <f t="array" ref="O192">Common_InputFunctions.Utility_DisplayArrayInTable(SourceData_PastureBeef.SourceData_PastureBeef_LiveweightGainNTQLD_Data(),Table_SourceData_PastureBeef_LiveweightGainNTQLD[[#Headers],[State]],0)</f>
        <v>NO</v>
      </c>
      <c r="P192" s="39" t="str" cm="1">
        <f t="array" ref="P192">Common_InputFunctions.Utility_DisplayArrayInTable(SourceData_PastureBeef.SourceData_PastureBeef_LiveweightGainNTQLD_Data(),Table_SourceData_PastureBeef_LiveweightGainNTQLD[[#Headers],[State]],0)</f>
        <v>NO</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9" t="str" cm="1">
        <f t="array" ref="E193">Common_InputFunctions.Utility_DisplayArrayInTable(SourceData_PastureBeef.SourceData_PastureBeef_LiveweightGainNTQLD_Data(),Table_SourceData_PastureBeef_LiveweightGainNTQLD[[#Headers],[State]],0)</f>
        <v>Barkly</v>
      </c>
      <c r="F193" s="39" t="str" cm="1">
        <f t="array" ref="F193">Common_InputFunctions.Utility_DisplayArrayInTable(SourceData_PastureBeef.SourceData_PastureBeef_LiveweightGainNTQLD_Data(),Table_SourceData_PastureBeef_LiveweightGainNTQLD[[#Headers],[State]],0)</f>
        <v>Summer</v>
      </c>
      <c r="G193" s="39" cm="1">
        <f t="array" ref="G193">Common_InputFunctions.Utility_DisplayArrayInTable(SourceData_PastureBeef.SourceData_PastureBeef_LiveweightGainNTQLD_Data(),Table_SourceData_PastureBeef_LiveweightGainNTQLD[[#Headers],[State]],0)</f>
        <v>0.66</v>
      </c>
      <c r="H193" s="39" cm="1">
        <f t="array" ref="H193">Common_InputFunctions.Utility_DisplayArrayInTable(SourceData_PastureBeef.SourceData_PastureBeef_LiveweightGainNTQLD_Data(),Table_SourceData_PastureBeef_LiveweightGainNTQLD[[#Headers],[State]],0)</f>
        <v>0.22</v>
      </c>
      <c r="I193" s="39" cm="1">
        <f t="array" ref="I193">Common_InputFunctions.Utility_DisplayArrayInTable(SourceData_PastureBeef.SourceData_PastureBeef_LiveweightGainNTQLD_Data(),Table_SourceData_PastureBeef_LiveweightGainNTQLD[[#Headers],[State]],0)</f>
        <v>0.68</v>
      </c>
      <c r="J193" s="39" cm="1">
        <f t="array" ref="J193">Common_InputFunctions.Utility_DisplayArrayInTable(SourceData_PastureBeef.SourceData_PastureBeef_LiveweightGainNTQLD_Data(),Table_SourceData_PastureBeef_LiveweightGainNTQLD[[#Headers],[State]],0)</f>
        <v>0.22</v>
      </c>
      <c r="K193" s="39" cm="1">
        <f t="array" ref="K193">Common_InputFunctions.Utility_DisplayArrayInTable(SourceData_PastureBeef.SourceData_PastureBeef_LiveweightGainNTQLD_Data(),Table_SourceData_PastureBeef_LiveweightGainNTQLD[[#Headers],[State]],0)</f>
        <v>0.24</v>
      </c>
      <c r="L193" s="39" cm="1">
        <f t="array" ref="L193">Common_InputFunctions.Utility_DisplayArrayInTable(SourceData_PastureBeef.SourceData_PastureBeef_LiveweightGainNTQLD_Data(),Table_SourceData_PastureBeef_LiveweightGainNTQLD[[#Headers],[State]],0)</f>
        <v>0.25</v>
      </c>
      <c r="M193" s="39" cm="1">
        <f t="array" ref="M193">Common_InputFunctions.Utility_DisplayArrayInTable(SourceData_PastureBeef.SourceData_PastureBeef_LiveweightGainNTQLD_Data(),Table_SourceData_PastureBeef_LiveweightGainNTQLD[[#Headers],[State]],0)</f>
        <v>0.64</v>
      </c>
      <c r="N193" s="39" cm="1">
        <f t="array" ref="N193">Common_InputFunctions.Utility_DisplayArrayInTable(SourceData_PastureBeef.SourceData_PastureBeef_LiveweightGainNTQLD_Data(),Table_SourceData_PastureBeef_LiveweightGainNTQLD[[#Headers],[State]],0)</f>
        <v>0.37</v>
      </c>
      <c r="O193" s="39" t="str" cm="1">
        <f t="array" ref="O193">Common_InputFunctions.Utility_DisplayArrayInTable(SourceData_PastureBeef.SourceData_PastureBeef_LiveweightGainNTQLD_Data(),Table_SourceData_PastureBeef_LiveweightGainNTQLD[[#Headers],[State]],0)</f>
        <v>NO</v>
      </c>
      <c r="P193" s="39" t="str" cm="1">
        <f t="array" ref="P193">Common_InputFunctions.Utility_DisplayArrayInTable(SourceData_PastureBeef.SourceData_PastureBeef_LiveweightGainNTQLD_Data(),Table_SourceData_PastureBeef_LiveweightGainNTQLD[[#Headers],[State]],0)</f>
        <v>NO</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9" t="str" cm="1">
        <f t="array" ref="E194">Common_InputFunctions.Utility_DisplayArrayInTable(SourceData_PastureBeef.SourceData_PastureBeef_LiveweightGainNTQLD_Data(),Table_SourceData_PastureBeef_LiveweightGainNTQLD[[#Headers],[State]],0)</f>
        <v>Barkly</v>
      </c>
      <c r="F194" s="39" t="str" cm="1">
        <f t="array" ref="F194">Common_InputFunctions.Utility_DisplayArrayInTable(SourceData_PastureBeef.SourceData_PastureBeef_LiveweightGainNTQLD_Data(),Table_SourceData_PastureBeef_LiveweightGainNTQLD[[#Headers],[State]],0)</f>
        <v>Autumn</v>
      </c>
      <c r="G194" s="39" cm="1">
        <f t="array" ref="G194">Common_InputFunctions.Utility_DisplayArrayInTable(SourceData_PastureBeef.SourceData_PastureBeef_LiveweightGainNTQLD_Data(),Table_SourceData_PastureBeef_LiveweightGainNTQLD[[#Headers],[State]],0)</f>
        <v>0.49</v>
      </c>
      <c r="H194" s="39" cm="1">
        <f t="array" ref="H194">Common_InputFunctions.Utility_DisplayArrayInTable(SourceData_PastureBeef.SourceData_PastureBeef_LiveweightGainNTQLD_Data(),Table_SourceData_PastureBeef_LiveweightGainNTQLD[[#Headers],[State]],0)</f>
        <v>0.05</v>
      </c>
      <c r="I194" s="39" cm="1">
        <f t="array" ref="I194">Common_InputFunctions.Utility_DisplayArrayInTable(SourceData_PastureBeef.SourceData_PastureBeef_LiveweightGainNTQLD_Data(),Table_SourceData_PastureBeef_LiveweightGainNTQLD[[#Headers],[State]],0)</f>
        <v>0.64</v>
      </c>
      <c r="J194" s="39" cm="1">
        <f t="array" ref="J194">Common_InputFunctions.Utility_DisplayArrayInTable(SourceData_PastureBeef.SourceData_PastureBeef_LiveweightGainNTQLD_Data(),Table_SourceData_PastureBeef_LiveweightGainNTQLD[[#Headers],[State]],0)</f>
        <v>0.25</v>
      </c>
      <c r="K194" s="39" cm="1">
        <f t="array" ref="K194">Common_InputFunctions.Utility_DisplayArrayInTable(SourceData_PastureBeef.SourceData_PastureBeef_LiveweightGainNTQLD_Data(),Table_SourceData_PastureBeef_LiveweightGainNTQLD[[#Headers],[State]],0)</f>
        <v>0.28999999999999998</v>
      </c>
      <c r="L194" s="39" cm="1">
        <f t="array" ref="L194">Common_InputFunctions.Utility_DisplayArrayInTable(SourceData_PastureBeef.SourceData_PastureBeef_LiveweightGainNTQLD_Data(),Table_SourceData_PastureBeef_LiveweightGainNTQLD[[#Headers],[State]],0)</f>
        <v>0.12</v>
      </c>
      <c r="M194" s="39" cm="1">
        <f t="array" ref="M194">Common_InputFunctions.Utility_DisplayArrayInTable(SourceData_PastureBeef.SourceData_PastureBeef_LiveweightGainNTQLD_Data(),Table_SourceData_PastureBeef_LiveweightGainNTQLD[[#Headers],[State]],0)</f>
        <v>0.56999999999999995</v>
      </c>
      <c r="N194" s="39" cm="1">
        <f t="array" ref="N194">Common_InputFunctions.Utility_DisplayArrayInTable(SourceData_PastureBeef.SourceData_PastureBeef_LiveweightGainNTQLD_Data(),Table_SourceData_PastureBeef_LiveweightGainNTQLD[[#Headers],[State]],0)</f>
        <v>0.49</v>
      </c>
      <c r="O194" s="39" t="str" cm="1">
        <f t="array" ref="O194">Common_InputFunctions.Utility_DisplayArrayInTable(SourceData_PastureBeef.SourceData_PastureBeef_LiveweightGainNTQLD_Data(),Table_SourceData_PastureBeef_LiveweightGainNTQLD[[#Headers],[State]],0)</f>
        <v>NO</v>
      </c>
      <c r="P194" s="39"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9" t="str" cm="1">
        <f t="array" ref="E195">Common_InputFunctions.Utility_DisplayArrayInTable(SourceData_PastureBeef.SourceData_PastureBeef_LiveweightGainNTQLD_Data(),Table_SourceData_PastureBeef_LiveweightGainNTQLD[[#Headers],[State]],0)</f>
        <v>Barkly</v>
      </c>
      <c r="F195" s="39" t="str" cm="1">
        <f t="array" ref="F195">Common_InputFunctions.Utility_DisplayArrayInTable(SourceData_PastureBeef.SourceData_PastureBeef_LiveweightGainNTQLD_Data(),Table_SourceData_PastureBeef_LiveweightGainNTQLD[[#Headers],[State]],0)</f>
        <v>Winter</v>
      </c>
      <c r="G195" s="39" cm="1">
        <f t="array" ref="G195">Common_InputFunctions.Utility_DisplayArrayInTable(SourceData_PastureBeef.SourceData_PastureBeef_LiveweightGainNTQLD_Data(),Table_SourceData_PastureBeef_LiveweightGainNTQLD[[#Headers],[State]],0)</f>
        <v>0.27</v>
      </c>
      <c r="H195" s="39" cm="1">
        <f t="array" ref="H195">Common_InputFunctions.Utility_DisplayArrayInTable(SourceData_PastureBeef.SourceData_PastureBeef_LiveweightGainNTQLD_Data(),Table_SourceData_PastureBeef_LiveweightGainNTQLD[[#Headers],[State]],0)</f>
        <v>-0.27</v>
      </c>
      <c r="I195" s="39" cm="1">
        <f t="array" ref="I195">Common_InputFunctions.Utility_DisplayArrayInTable(SourceData_PastureBeef.SourceData_PastureBeef_LiveweightGainNTQLD_Data(),Table_SourceData_PastureBeef_LiveweightGainNTQLD[[#Headers],[State]],0)</f>
        <v>0.31</v>
      </c>
      <c r="J195" s="39" cm="1">
        <f t="array" ref="J195">Common_InputFunctions.Utility_DisplayArrayInTable(SourceData_PastureBeef.SourceData_PastureBeef_LiveweightGainNTQLD_Data(),Table_SourceData_PastureBeef_LiveweightGainNTQLD[[#Headers],[State]],0)</f>
        <v>0.28999999999999998</v>
      </c>
      <c r="K195" s="39" cm="1">
        <f t="array" ref="K195">Common_InputFunctions.Utility_DisplayArrayInTable(SourceData_PastureBeef.SourceData_PastureBeef_LiveweightGainNTQLD_Data(),Table_SourceData_PastureBeef_LiveweightGainNTQLD[[#Headers],[State]],0)</f>
        <v>0.19</v>
      </c>
      <c r="L195" s="39" cm="1">
        <f t="array" ref="L195">Common_InputFunctions.Utility_DisplayArrayInTable(SourceData_PastureBeef.SourceData_PastureBeef_LiveweightGainNTQLD_Data(),Table_SourceData_PastureBeef_LiveweightGainNTQLD[[#Headers],[State]],0)</f>
        <v>0.04</v>
      </c>
      <c r="M195" s="39" cm="1">
        <f t="array" ref="M195">Common_InputFunctions.Utility_DisplayArrayInTable(SourceData_PastureBeef.SourceData_PastureBeef_LiveweightGainNTQLD_Data(),Table_SourceData_PastureBeef_LiveweightGainNTQLD[[#Headers],[State]],0)</f>
        <v>0.26</v>
      </c>
      <c r="N195" s="39" cm="1">
        <f t="array" ref="N195">Common_InputFunctions.Utility_DisplayArrayInTable(SourceData_PastureBeef.SourceData_PastureBeef_LiveweightGainNTQLD_Data(),Table_SourceData_PastureBeef_LiveweightGainNTQLD[[#Headers],[State]],0)</f>
        <v>0.28000000000000003</v>
      </c>
      <c r="O195" s="39" t="str" cm="1">
        <f t="array" ref="O195">Common_InputFunctions.Utility_DisplayArrayInTable(SourceData_PastureBeef.SourceData_PastureBeef_LiveweightGainNTQLD_Data(),Table_SourceData_PastureBeef_LiveweightGainNTQLD[[#Headers],[State]],0)</f>
        <v>NO</v>
      </c>
      <c r="P195" s="39"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9" t="str" cm="1">
        <f t="array" ref="E196">Common_InputFunctions.Utility_DisplayArrayInTable(SourceData_PastureBeef.SourceData_PastureBeef_LiveweightGainNTQLD_Data(),Table_SourceData_PastureBeef_LiveweightGainNTQLD[[#Headers],[State]],0)</f>
        <v>Northern</v>
      </c>
      <c r="F196" s="39" t="str" cm="1">
        <f t="array" ref="F196">Common_InputFunctions.Utility_DisplayArrayInTable(SourceData_PastureBeef.SourceData_PastureBeef_LiveweightGainNTQLD_Data(),Table_SourceData_PastureBeef_LiveweightGainNTQLD[[#Headers],[State]],0)</f>
        <v>Spring</v>
      </c>
      <c r="G196" s="39" cm="1">
        <f t="array" ref="G196">Common_InputFunctions.Utility_DisplayArrayInTable(SourceData_PastureBeef.SourceData_PastureBeef_LiveweightGainNTQLD_Data(),Table_SourceData_PastureBeef_LiveweightGainNTQLD[[#Headers],[State]],0)</f>
        <v>0.22</v>
      </c>
      <c r="H196" s="39" cm="1">
        <f t="array" ref="H196">Common_InputFunctions.Utility_DisplayArrayInTable(SourceData_PastureBeef.SourceData_PastureBeef_LiveweightGainNTQLD_Data(),Table_SourceData_PastureBeef_LiveweightGainNTQLD[[#Headers],[State]],0)</f>
        <v>-0.44</v>
      </c>
      <c r="I196" s="39" cm="1">
        <f t="array" ref="I196">Common_InputFunctions.Utility_DisplayArrayInTable(SourceData_PastureBeef.SourceData_PastureBeef_LiveweightGainNTQLD_Data(),Table_SourceData_PastureBeef_LiveweightGainNTQLD[[#Headers],[State]],0)</f>
        <v>0</v>
      </c>
      <c r="J196" s="39" cm="1">
        <f t="array" ref="J196">Common_InputFunctions.Utility_DisplayArrayInTable(SourceData_PastureBeef.SourceData_PastureBeef_LiveweightGainNTQLD_Data(),Table_SourceData_PastureBeef_LiveweightGainNTQLD[[#Headers],[State]],0)</f>
        <v>0.15</v>
      </c>
      <c r="K196" s="39" cm="1">
        <f t="array" ref="K196">Common_InputFunctions.Utility_DisplayArrayInTable(SourceData_PastureBeef.SourceData_PastureBeef_LiveweightGainNTQLD_Data(),Table_SourceData_PastureBeef_LiveweightGainNTQLD[[#Headers],[State]],0)</f>
        <v>0.08</v>
      </c>
      <c r="L196" s="39" cm="1">
        <f t="array" ref="L196">Common_InputFunctions.Utility_DisplayArrayInTable(SourceData_PastureBeef.SourceData_PastureBeef_LiveweightGainNTQLD_Data(),Table_SourceData_PastureBeef_LiveweightGainNTQLD[[#Headers],[State]],0)</f>
        <v>0.17</v>
      </c>
      <c r="M196" s="39" cm="1">
        <f t="array" ref="M196">Common_InputFunctions.Utility_DisplayArrayInTable(SourceData_PastureBeef.SourceData_PastureBeef_LiveweightGainNTQLD_Data(),Table_SourceData_PastureBeef_LiveweightGainNTQLD[[#Headers],[State]],0)</f>
        <v>0.06</v>
      </c>
      <c r="N196" s="39" cm="1">
        <f t="array" ref="N196">Common_InputFunctions.Utility_DisplayArrayInTable(SourceData_PastureBeef.SourceData_PastureBeef_LiveweightGainNTQLD_Data(),Table_SourceData_PastureBeef_LiveweightGainNTQLD[[#Headers],[State]],0)</f>
        <v>0.02</v>
      </c>
      <c r="O196" s="39" cm="1">
        <f t="array" ref="O196">Common_InputFunctions.Utility_DisplayArrayInTable(SourceData_PastureBeef.SourceData_PastureBeef_LiveweightGainNTQLD_Data(),Table_SourceData_PastureBeef_LiveweightGainNTQLD[[#Headers],[State]],0)</f>
        <v>-0.14000000000000001</v>
      </c>
      <c r="P196" s="39"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9" t="str" cm="1">
        <f t="array" ref="E197">Common_InputFunctions.Utility_DisplayArrayInTable(SourceData_PastureBeef.SourceData_PastureBeef_LiveweightGainNTQLD_Data(),Table_SourceData_PastureBeef_LiveweightGainNTQLD[[#Headers],[State]],0)</f>
        <v>Northern</v>
      </c>
      <c r="F197" s="39" t="str" cm="1">
        <f t="array" ref="F197">Common_InputFunctions.Utility_DisplayArrayInTable(SourceData_PastureBeef.SourceData_PastureBeef_LiveweightGainNTQLD_Data(),Table_SourceData_PastureBeef_LiveweightGainNTQLD[[#Headers],[State]],0)</f>
        <v>Summer</v>
      </c>
      <c r="G197" s="39" cm="1">
        <f t="array" ref="G197">Common_InputFunctions.Utility_DisplayArrayInTable(SourceData_PastureBeef.SourceData_PastureBeef_LiveweightGainNTQLD_Data(),Table_SourceData_PastureBeef_LiveweightGainNTQLD[[#Headers],[State]],0)</f>
        <v>0.66</v>
      </c>
      <c r="H197" s="39" cm="1">
        <f t="array" ref="H197">Common_InputFunctions.Utility_DisplayArrayInTable(SourceData_PastureBeef.SourceData_PastureBeef_LiveweightGainNTQLD_Data(),Table_SourceData_PastureBeef_LiveweightGainNTQLD[[#Headers],[State]],0)</f>
        <v>0.22</v>
      </c>
      <c r="I197" s="39" cm="1">
        <f t="array" ref="I197">Common_InputFunctions.Utility_DisplayArrayInTable(SourceData_PastureBeef.SourceData_PastureBeef_LiveweightGainNTQLD_Data(),Table_SourceData_PastureBeef_LiveweightGainNTQLD[[#Headers],[State]],0)</f>
        <v>0.79</v>
      </c>
      <c r="J197" s="39" cm="1">
        <f t="array" ref="J197">Common_InputFunctions.Utility_DisplayArrayInTable(SourceData_PastureBeef.SourceData_PastureBeef_LiveweightGainNTQLD_Data(),Table_SourceData_PastureBeef_LiveweightGainNTQLD[[#Headers],[State]],0)</f>
        <v>0.4</v>
      </c>
      <c r="K197" s="39" cm="1">
        <f t="array" ref="K197">Common_InputFunctions.Utility_DisplayArrayInTable(SourceData_PastureBeef.SourceData_PastureBeef_LiveweightGainNTQLD_Data(),Table_SourceData_PastureBeef_LiveweightGainNTQLD[[#Headers],[State]],0)</f>
        <v>0.38</v>
      </c>
      <c r="L197" s="39" cm="1">
        <f t="array" ref="L197">Common_InputFunctions.Utility_DisplayArrayInTable(SourceData_PastureBeef.SourceData_PastureBeef_LiveweightGainNTQLD_Data(),Table_SourceData_PastureBeef_LiveweightGainNTQLD[[#Headers],[State]],0)</f>
        <v>0.27</v>
      </c>
      <c r="M197" s="39" cm="1">
        <f t="array" ref="M197">Common_InputFunctions.Utility_DisplayArrayInTable(SourceData_PastureBeef.SourceData_PastureBeef_LiveweightGainNTQLD_Data(),Table_SourceData_PastureBeef_LiveweightGainNTQLD[[#Headers],[State]],0)</f>
        <v>0.8</v>
      </c>
      <c r="N197" s="39" cm="1">
        <f t="array" ref="N197">Common_InputFunctions.Utility_DisplayArrayInTable(SourceData_PastureBeef.SourceData_PastureBeef_LiveweightGainNTQLD_Data(),Table_SourceData_PastureBeef_LiveweightGainNTQLD[[#Headers],[State]],0)</f>
        <v>0.16</v>
      </c>
      <c r="O197" s="39" cm="1">
        <f t="array" ref="O197">Common_InputFunctions.Utility_DisplayArrayInTable(SourceData_PastureBeef.SourceData_PastureBeef_LiveweightGainNTQLD_Data(),Table_SourceData_PastureBeef_LiveweightGainNTQLD[[#Headers],[State]],0)</f>
        <v>0.3</v>
      </c>
      <c r="P197" s="39"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9" t="str" cm="1">
        <f t="array" ref="E198">Common_InputFunctions.Utility_DisplayArrayInTable(SourceData_PastureBeef.SourceData_PastureBeef_LiveweightGainNTQLD_Data(),Table_SourceData_PastureBeef_LiveweightGainNTQLD[[#Headers],[State]],0)</f>
        <v>Northern</v>
      </c>
      <c r="F198" s="39" t="str" cm="1">
        <f t="array" ref="F198">Common_InputFunctions.Utility_DisplayArrayInTable(SourceData_PastureBeef.SourceData_PastureBeef_LiveweightGainNTQLD_Data(),Table_SourceData_PastureBeef_LiveweightGainNTQLD[[#Headers],[State]],0)</f>
        <v>Autumn</v>
      </c>
      <c r="G198" s="39" cm="1">
        <f t="array" ref="G198">Common_InputFunctions.Utility_DisplayArrayInTable(SourceData_PastureBeef.SourceData_PastureBeef_LiveweightGainNTQLD_Data(),Table_SourceData_PastureBeef_LiveweightGainNTQLD[[#Headers],[State]],0)</f>
        <v>0.49</v>
      </c>
      <c r="H198" s="39" cm="1">
        <f t="array" ref="H198">Common_InputFunctions.Utility_DisplayArrayInTable(SourceData_PastureBeef.SourceData_PastureBeef_LiveweightGainNTQLD_Data(),Table_SourceData_PastureBeef_LiveweightGainNTQLD[[#Headers],[State]],0)</f>
        <v>0.05</v>
      </c>
      <c r="I198" s="39" cm="1">
        <f t="array" ref="I198">Common_InputFunctions.Utility_DisplayArrayInTable(SourceData_PastureBeef.SourceData_PastureBeef_LiveweightGainNTQLD_Data(),Table_SourceData_PastureBeef_LiveweightGainNTQLD[[#Headers],[State]],0)</f>
        <v>0.55000000000000004</v>
      </c>
      <c r="J198" s="39" cm="1">
        <f t="array" ref="J198">Common_InputFunctions.Utility_DisplayArrayInTable(SourceData_PastureBeef.SourceData_PastureBeef_LiveweightGainNTQLD_Data(),Table_SourceData_PastureBeef_LiveweightGainNTQLD[[#Headers],[State]],0)</f>
        <v>0.38</v>
      </c>
      <c r="K198" s="39" cm="1">
        <f t="array" ref="K198">Common_InputFunctions.Utility_DisplayArrayInTable(SourceData_PastureBeef.SourceData_PastureBeef_LiveweightGainNTQLD_Data(),Table_SourceData_PastureBeef_LiveweightGainNTQLD[[#Headers],[State]],0)</f>
        <v>0.36</v>
      </c>
      <c r="L198" s="39" cm="1">
        <f t="array" ref="L198">Common_InputFunctions.Utility_DisplayArrayInTable(SourceData_PastureBeef.SourceData_PastureBeef_LiveweightGainNTQLD_Data(),Table_SourceData_PastureBeef_LiveweightGainNTQLD[[#Headers],[State]],0)</f>
        <v>0.06</v>
      </c>
      <c r="M198" s="39" cm="1">
        <f t="array" ref="M198">Common_InputFunctions.Utility_DisplayArrayInTable(SourceData_PastureBeef.SourceData_PastureBeef_LiveweightGainNTQLD_Data(),Table_SourceData_PastureBeef_LiveweightGainNTQLD[[#Headers],[State]],0)</f>
        <v>0.57999999999999996</v>
      </c>
      <c r="N198" s="39" cm="1">
        <f t="array" ref="N198">Common_InputFunctions.Utility_DisplayArrayInTable(SourceData_PastureBeef.SourceData_PastureBeef_LiveweightGainNTQLD_Data(),Table_SourceData_PastureBeef_LiveweightGainNTQLD[[#Headers],[State]],0)</f>
        <v>0.23</v>
      </c>
      <c r="O198" s="39" cm="1">
        <f t="array" ref="O198">Common_InputFunctions.Utility_DisplayArrayInTable(SourceData_PastureBeef.SourceData_PastureBeef_LiveweightGainNTQLD_Data(),Table_SourceData_PastureBeef_LiveweightGainNTQLD[[#Headers],[State]],0)</f>
        <v>0.4</v>
      </c>
      <c r="P198" s="39"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9" t="str" cm="1">
        <f t="array" ref="E199">Common_InputFunctions.Utility_DisplayArrayInTable(SourceData_PastureBeef.SourceData_PastureBeef_LiveweightGainNTQLD_Data(),Table_SourceData_PastureBeef_LiveweightGainNTQLD[[#Headers],[State]],0)</f>
        <v>Northern</v>
      </c>
      <c r="F199" s="39" t="str" cm="1">
        <f t="array" ref="F199">Common_InputFunctions.Utility_DisplayArrayInTable(SourceData_PastureBeef.SourceData_PastureBeef_LiveweightGainNTQLD_Data(),Table_SourceData_PastureBeef_LiveweightGainNTQLD[[#Headers],[State]],0)</f>
        <v>Winter</v>
      </c>
      <c r="G199" s="39" cm="1">
        <f t="array" ref="G199">Common_InputFunctions.Utility_DisplayArrayInTable(SourceData_PastureBeef.SourceData_PastureBeef_LiveweightGainNTQLD_Data(),Table_SourceData_PastureBeef_LiveweightGainNTQLD[[#Headers],[State]],0)</f>
        <v>0.27</v>
      </c>
      <c r="H199" s="39" cm="1">
        <f t="array" ref="H199">Common_InputFunctions.Utility_DisplayArrayInTable(SourceData_PastureBeef.SourceData_PastureBeef_LiveweightGainNTQLD_Data(),Table_SourceData_PastureBeef_LiveweightGainNTQLD[[#Headers],[State]],0)</f>
        <v>-0.27</v>
      </c>
      <c r="I199" s="39" cm="1">
        <f t="array" ref="I199">Common_InputFunctions.Utility_DisplayArrayInTable(SourceData_PastureBeef.SourceData_PastureBeef_LiveweightGainNTQLD_Data(),Table_SourceData_PastureBeef_LiveweightGainNTQLD[[#Headers],[State]],0)</f>
        <v>0.02</v>
      </c>
      <c r="J199" s="39" cm="1">
        <f t="array" ref="J199">Common_InputFunctions.Utility_DisplayArrayInTable(SourceData_PastureBeef.SourceData_PastureBeef_LiveweightGainNTQLD_Data(),Table_SourceData_PastureBeef_LiveweightGainNTQLD[[#Headers],[State]],0)</f>
        <v>0.09</v>
      </c>
      <c r="K199" s="39" cm="1">
        <f t="array" ref="K199">Common_InputFunctions.Utility_DisplayArrayInTable(SourceData_PastureBeef.SourceData_PastureBeef_LiveweightGainNTQLD_Data(),Table_SourceData_PastureBeef_LiveweightGainNTQLD[[#Headers],[State]],0)</f>
        <v>0.16</v>
      </c>
      <c r="L199" s="39" cm="1">
        <f t="array" ref="L199">Common_InputFunctions.Utility_DisplayArrayInTable(SourceData_PastureBeef.SourceData_PastureBeef_LiveweightGainNTQLD_Data(),Table_SourceData_PastureBeef_LiveweightGainNTQLD[[#Headers],[State]],0)</f>
        <v>-0.04</v>
      </c>
      <c r="M199" s="39" cm="1">
        <f t="array" ref="M199">Common_InputFunctions.Utility_DisplayArrayInTable(SourceData_PastureBeef.SourceData_PastureBeef_LiveweightGainNTQLD_Data(),Table_SourceData_PastureBeef_LiveweightGainNTQLD[[#Headers],[State]],0)</f>
        <v>0.21</v>
      </c>
      <c r="N199" s="39" cm="1">
        <f t="array" ref="N199">Common_InputFunctions.Utility_DisplayArrayInTable(SourceData_PastureBeef.SourceData_PastureBeef_LiveweightGainNTQLD_Data(),Table_SourceData_PastureBeef_LiveweightGainNTQLD[[#Headers],[State]],0)</f>
        <v>0.03</v>
      </c>
      <c r="O199" s="39" cm="1">
        <f t="array" ref="O199">Common_InputFunctions.Utility_DisplayArrayInTable(SourceData_PastureBeef.SourceData_PastureBeef_LiveweightGainNTQLD_Data(),Table_SourceData_PastureBeef_LiveweightGainNTQLD[[#Headers],[State]],0)</f>
        <v>0.11</v>
      </c>
      <c r="P199" s="39"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Queensland</v>
      </c>
      <c r="E200" s="39" t="str" cm="1">
        <f t="array" ref="E200">Common_InputFunctions.Utility_DisplayArrayInTable(SourceData_PastureBeef.SourceData_PastureBeef_LiveweightGainNTQLD_Data(),Table_SourceData_PastureBeef_LiveweightGainNTQLD[[#Headers],[State]],0)</f>
        <v>High</v>
      </c>
      <c r="F200" s="39" t="str" cm="1">
        <f t="array" ref="F200">Common_InputFunctions.Utility_DisplayArrayInTable(SourceData_PastureBeef.SourceData_PastureBeef_LiveweightGainNTQLD_Data(),Table_SourceData_PastureBeef_LiveweightGainNTQLD[[#Headers],[State]],0)</f>
        <v>Spring</v>
      </c>
      <c r="G200" s="39" cm="1">
        <f t="array" ref="G200">Common_InputFunctions.Utility_DisplayArrayInTable(SourceData_PastureBeef.SourceData_PastureBeef_LiveweightGainNTQLD_Data(),Table_SourceData_PastureBeef_LiveweightGainNTQLD[[#Headers],[State]],0)</f>
        <v>0.27</v>
      </c>
      <c r="H200" s="39" cm="1">
        <f t="array" ref="H200">Common_InputFunctions.Utility_DisplayArrayInTable(SourceData_PastureBeef.SourceData_PastureBeef_LiveweightGainNTQLD_Data(),Table_SourceData_PastureBeef_LiveweightGainNTQLD[[#Headers],[State]],0)</f>
        <v>-0.19</v>
      </c>
      <c r="I200" s="39" cm="1">
        <f t="array" ref="I200">Common_InputFunctions.Utility_DisplayArrayInTable(SourceData_PastureBeef.SourceData_PastureBeef_LiveweightGainNTQLD_Data(),Table_SourceData_PastureBeef_LiveweightGainNTQLD[[#Headers],[State]],0)</f>
        <v>0.38</v>
      </c>
      <c r="J200" s="39" cm="1">
        <f t="array" ref="J200">Common_InputFunctions.Utility_DisplayArrayInTable(SourceData_PastureBeef.SourceData_PastureBeef_LiveweightGainNTQLD_Data(),Table_SourceData_PastureBeef_LiveweightGainNTQLD[[#Headers],[State]],0)</f>
        <v>0.25</v>
      </c>
      <c r="K200" s="39" cm="1">
        <f t="array" ref="K200">Common_InputFunctions.Utility_DisplayArrayInTable(SourceData_PastureBeef.SourceData_PastureBeef_LiveweightGainNTQLD_Data(),Table_SourceData_PastureBeef_LiveweightGainNTQLD[[#Headers],[State]],0)</f>
        <v>7.0000000000000007E-2</v>
      </c>
      <c r="L200" s="39" cm="1">
        <f t="array" ref="L200">Common_InputFunctions.Utility_DisplayArrayInTable(SourceData_PastureBeef.SourceData_PastureBeef_LiveweightGainNTQLD_Data(),Table_SourceData_PastureBeef_LiveweightGainNTQLD[[#Headers],[State]],0)</f>
        <v>0.05</v>
      </c>
      <c r="M200" s="39" cm="1">
        <f t="array" ref="M200">Common_InputFunctions.Utility_DisplayArrayInTable(SourceData_PastureBeef.SourceData_PastureBeef_LiveweightGainNTQLD_Data(),Table_SourceData_PastureBeef_LiveweightGainNTQLD[[#Headers],[State]],0)</f>
        <v>0.52</v>
      </c>
      <c r="N200" s="39" cm="1">
        <f t="array" ref="N200">Common_InputFunctions.Utility_DisplayArrayInTable(SourceData_PastureBeef.SourceData_PastureBeef_LiveweightGainNTQLD_Data(),Table_SourceData_PastureBeef_LiveweightGainNTQLD[[#Headers],[State]],0)</f>
        <v>0.55000000000000004</v>
      </c>
      <c r="O200" s="39" cm="1">
        <f t="array" ref="O200">Common_InputFunctions.Utility_DisplayArrayInTable(SourceData_PastureBeef.SourceData_PastureBeef_LiveweightGainNTQLD_Data(),Table_SourceData_PastureBeef_LiveweightGainNTQLD[[#Headers],[State]],0)</f>
        <v>0.19</v>
      </c>
      <c r="P200" s="39" cm="1">
        <f t="array" ref="P200">Common_InputFunctions.Utility_DisplayArrayInTable(SourceData_PastureBeef.SourceData_PastureBeef_LiveweightGainNTQLD_Data(),Table_SourceData_PastureBeef_LiveweightGainNTQLD[[#Headers],[State]],0)</f>
        <v>0.6</v>
      </c>
    </row>
    <row r="201" spans="4:16" x14ac:dyDescent="0.25">
      <c r="D201" s="1" t="str" cm="1">
        <f t="array" ref="D201">Common_InputFunctions.Utility_DisplayArrayInTable(SourceData_PastureBeef.SourceData_PastureBeef_LiveweightGainNTQLD_Data(),Table_SourceData_PastureBeef_LiveweightGainNTQLD[[#Headers],[State]],0)</f>
        <v>Queensland</v>
      </c>
      <c r="E201" s="39" t="str" cm="1">
        <f t="array" ref="E201">Common_InputFunctions.Utility_DisplayArrayInTable(SourceData_PastureBeef.SourceData_PastureBeef_LiveweightGainNTQLD_Data(),Table_SourceData_PastureBeef_LiveweightGainNTQLD[[#Headers],[State]],0)</f>
        <v>High</v>
      </c>
      <c r="F201" s="39" t="str" cm="1">
        <f t="array" ref="F201">Common_InputFunctions.Utility_DisplayArrayInTable(SourceData_PastureBeef.SourceData_PastureBeef_LiveweightGainNTQLD_Data(),Table_SourceData_PastureBeef_LiveweightGainNTQLD[[#Headers],[State]],0)</f>
        <v>Summer</v>
      </c>
      <c r="G201" s="39" cm="1">
        <f t="array" ref="G201">Common_InputFunctions.Utility_DisplayArrayInTable(SourceData_PastureBeef.SourceData_PastureBeef_LiveweightGainNTQLD_Data(),Table_SourceData_PastureBeef_LiveweightGainNTQLD[[#Headers],[State]],0)</f>
        <v>0.16</v>
      </c>
      <c r="H201" s="39" cm="1">
        <f t="array" ref="H201">Common_InputFunctions.Utility_DisplayArrayInTable(SourceData_PastureBeef.SourceData_PastureBeef_LiveweightGainNTQLD_Data(),Table_SourceData_PastureBeef_LiveweightGainNTQLD[[#Headers],[State]],0)</f>
        <v>0.16</v>
      </c>
      <c r="I201" s="39" cm="1">
        <f t="array" ref="I201">Common_InputFunctions.Utility_DisplayArrayInTable(SourceData_PastureBeef.SourceData_PastureBeef_LiveweightGainNTQLD_Data(),Table_SourceData_PastureBeef_LiveweightGainNTQLD[[#Headers],[State]],0)</f>
        <v>0.8</v>
      </c>
      <c r="J201" s="39" cm="1">
        <f t="array" ref="J201">Common_InputFunctions.Utility_DisplayArrayInTable(SourceData_PastureBeef.SourceData_PastureBeef_LiveweightGainNTQLD_Data(),Table_SourceData_PastureBeef_LiveweightGainNTQLD[[#Headers],[State]],0)</f>
        <v>0.56999999999999995</v>
      </c>
      <c r="K201" s="39" cm="1">
        <f t="array" ref="K201">Common_InputFunctions.Utility_DisplayArrayInTable(SourceData_PastureBeef.SourceData_PastureBeef_LiveweightGainNTQLD_Data(),Table_SourceData_PastureBeef_LiveweightGainNTQLD[[#Headers],[State]],0)</f>
        <v>0.76</v>
      </c>
      <c r="L201" s="39" cm="1">
        <f t="array" ref="L201">Common_InputFunctions.Utility_DisplayArrayInTable(SourceData_PastureBeef.SourceData_PastureBeef_LiveweightGainNTQLD_Data(),Table_SourceData_PastureBeef_LiveweightGainNTQLD[[#Headers],[State]],0)</f>
        <v>0.49</v>
      </c>
      <c r="M201" s="39" cm="1">
        <f t="array" ref="M201">Common_InputFunctions.Utility_DisplayArrayInTable(SourceData_PastureBeef.SourceData_PastureBeef_LiveweightGainNTQLD_Data(),Table_SourceData_PastureBeef_LiveweightGainNTQLD[[#Headers],[State]],0)</f>
        <v>0.84</v>
      </c>
      <c r="N201" s="39" cm="1">
        <f t="array" ref="N201">Common_InputFunctions.Utility_DisplayArrayInTable(SourceData_PastureBeef.SourceData_PastureBeef_LiveweightGainNTQLD_Data(),Table_SourceData_PastureBeef_LiveweightGainNTQLD[[#Headers],[State]],0)</f>
        <v>0.51</v>
      </c>
      <c r="O201" s="39" cm="1">
        <f t="array" ref="O201">Common_InputFunctions.Utility_DisplayArrayInTable(SourceData_PastureBeef.SourceData_PastureBeef_LiveweightGainNTQLD_Data(),Table_SourceData_PastureBeef_LiveweightGainNTQLD[[#Headers],[State]],0)</f>
        <v>0.36</v>
      </c>
      <c r="P201" s="39" cm="1">
        <f t="array" ref="P201">Common_InputFunctions.Utility_DisplayArrayInTable(SourceData_PastureBeef.SourceData_PastureBeef_LiveweightGainNTQLD_Data(),Table_SourceData_PastureBeef_LiveweightGainNTQLD[[#Headers],[State]],0)</f>
        <v>0.17</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9" t="str" cm="1">
        <f t="array" ref="E202">Common_InputFunctions.Utility_DisplayArrayInTable(SourceData_PastureBeef.SourceData_PastureBeef_LiveweightGainNTQLD_Data(),Table_SourceData_PastureBeef_LiveweightGainNTQLD[[#Headers],[State]],0)</f>
        <v>High</v>
      </c>
      <c r="F202" s="39" t="str" cm="1">
        <f t="array" ref="F202">Common_InputFunctions.Utility_DisplayArrayInTable(SourceData_PastureBeef.SourceData_PastureBeef_LiveweightGainNTQLD_Data(),Table_SourceData_PastureBeef_LiveweightGainNTQLD[[#Headers],[State]],0)</f>
        <v>Autumn</v>
      </c>
      <c r="G202" s="39" cm="1">
        <f t="array" ref="G202">Common_InputFunctions.Utility_DisplayArrayInTable(SourceData_PastureBeef.SourceData_PastureBeef_LiveweightGainNTQLD_Data(),Table_SourceData_PastureBeef_LiveweightGainNTQLD[[#Headers],[State]],0)</f>
        <v>0.45</v>
      </c>
      <c r="H202" s="39" cm="1">
        <f t="array" ref="H202">Common_InputFunctions.Utility_DisplayArrayInTable(SourceData_PastureBeef.SourceData_PastureBeef_LiveweightGainNTQLD_Data(),Table_SourceData_PastureBeef_LiveweightGainNTQLD[[#Headers],[State]],0)</f>
        <v>0.1</v>
      </c>
      <c r="I202" s="39" cm="1">
        <f t="array" ref="I202">Common_InputFunctions.Utility_DisplayArrayInTable(SourceData_PastureBeef.SourceData_PastureBeef_LiveweightGainNTQLD_Data(),Table_SourceData_PastureBeef_LiveweightGainNTQLD[[#Headers],[State]],0)</f>
        <v>0.49</v>
      </c>
      <c r="J202" s="39" cm="1">
        <f t="array" ref="J202">Common_InputFunctions.Utility_DisplayArrayInTable(SourceData_PastureBeef.SourceData_PastureBeef_LiveweightGainNTQLD_Data(),Table_SourceData_PastureBeef_LiveweightGainNTQLD[[#Headers],[State]],0)</f>
        <v>0.41</v>
      </c>
      <c r="K202" s="39" cm="1">
        <f t="array" ref="K202">Common_InputFunctions.Utility_DisplayArrayInTable(SourceData_PastureBeef.SourceData_PastureBeef_LiveweightGainNTQLD_Data(),Table_SourceData_PastureBeef_LiveweightGainNTQLD[[#Headers],[State]],0)</f>
        <v>0.4</v>
      </c>
      <c r="L202" s="39" cm="1">
        <f t="array" ref="L202">Common_InputFunctions.Utility_DisplayArrayInTable(SourceData_PastureBeef.SourceData_PastureBeef_LiveweightGainNTQLD_Data(),Table_SourceData_PastureBeef_LiveweightGainNTQLD[[#Headers],[State]],0)</f>
        <v>0.17</v>
      </c>
      <c r="M202" s="39" cm="1">
        <f t="array" ref="M202">Common_InputFunctions.Utility_DisplayArrayInTable(SourceData_PastureBeef.SourceData_PastureBeef_LiveweightGainNTQLD_Data(),Table_SourceData_PastureBeef_LiveweightGainNTQLD[[#Headers],[State]],0)</f>
        <v>0.54</v>
      </c>
      <c r="N202" s="39" cm="1">
        <f t="array" ref="N202">Common_InputFunctions.Utility_DisplayArrayInTable(SourceData_PastureBeef.SourceData_PastureBeef_LiveweightGainNTQLD_Data(),Table_SourceData_PastureBeef_LiveweightGainNTQLD[[#Headers],[State]],0)</f>
        <v>0.64</v>
      </c>
      <c r="O202" s="39" cm="1">
        <f t="array" ref="O202">Common_InputFunctions.Utility_DisplayArrayInTable(SourceData_PastureBeef.SourceData_PastureBeef_LiveweightGainNTQLD_Data(),Table_SourceData_PastureBeef_LiveweightGainNTQLD[[#Headers],[State]],0)</f>
        <v>-0.05</v>
      </c>
      <c r="P202" s="39" cm="1">
        <f t="array" ref="P202">Common_InputFunctions.Utility_DisplayArrayInTable(SourceData_PastureBeef.SourceData_PastureBeef_LiveweightGainNTQLD_Data(),Table_SourceData_PastureBeef_LiveweightGainNTQLD[[#Headers],[State]],0)</f>
        <v>0.32</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9" t="str" cm="1">
        <f t="array" ref="E203">Common_InputFunctions.Utility_DisplayArrayInTable(SourceData_PastureBeef.SourceData_PastureBeef_LiveweightGainNTQLD_Data(),Table_SourceData_PastureBeef_LiveweightGainNTQLD[[#Headers],[State]],0)</f>
        <v>High</v>
      </c>
      <c r="F203" s="39" t="str" cm="1">
        <f t="array" ref="F203">Common_InputFunctions.Utility_DisplayArrayInTable(SourceData_PastureBeef.SourceData_PastureBeef_LiveweightGainNTQLD_Data(),Table_SourceData_PastureBeef_LiveweightGainNTQLD[[#Headers],[State]],0)</f>
        <v>Winter</v>
      </c>
      <c r="G203" s="39" cm="1">
        <f t="array" ref="G203">Common_InputFunctions.Utility_DisplayArrayInTable(SourceData_PastureBeef.SourceData_PastureBeef_LiveweightGainNTQLD_Data(),Table_SourceData_PastureBeef_LiveweightGainNTQLD[[#Headers],[State]],0)</f>
        <v>0.51</v>
      </c>
      <c r="H203" s="39" cm="1">
        <f t="array" ref="H203">Common_InputFunctions.Utility_DisplayArrayInTable(SourceData_PastureBeef.SourceData_PastureBeef_LiveweightGainNTQLD_Data(),Table_SourceData_PastureBeef_LiveweightGainNTQLD[[#Headers],[State]],0)</f>
        <v>-7.0000000000000007E-2</v>
      </c>
      <c r="I203" s="39" cm="1">
        <f t="array" ref="I203">Common_InputFunctions.Utility_DisplayArrayInTable(SourceData_PastureBeef.SourceData_PastureBeef_LiveweightGainNTQLD_Data(),Table_SourceData_PastureBeef_LiveweightGainNTQLD[[#Headers],[State]],0)</f>
        <v>0.13</v>
      </c>
      <c r="J203" s="39" cm="1">
        <f t="array" ref="J203">Common_InputFunctions.Utility_DisplayArrayInTable(SourceData_PastureBeef.SourceData_PastureBeef_LiveweightGainNTQLD_Data(),Table_SourceData_PastureBeef_LiveweightGainNTQLD[[#Headers],[State]],0)</f>
        <v>-0.09</v>
      </c>
      <c r="K203" s="39" cm="1">
        <f t="array" ref="K203">Common_InputFunctions.Utility_DisplayArrayInTable(SourceData_PastureBeef.SourceData_PastureBeef_LiveweightGainNTQLD_Data(),Table_SourceData_PastureBeef_LiveweightGainNTQLD[[#Headers],[State]],0)</f>
        <v>-0.13</v>
      </c>
      <c r="L203" s="39" cm="1">
        <f t="array" ref="L203">Common_InputFunctions.Utility_DisplayArrayInTable(SourceData_PastureBeef.SourceData_PastureBeef_LiveweightGainNTQLD_Data(),Table_SourceData_PastureBeef_LiveweightGainNTQLD[[#Headers],[State]],0)</f>
        <v>7.0000000000000007E-2</v>
      </c>
      <c r="M203" s="39" cm="1">
        <f t="array" ref="M203">Common_InputFunctions.Utility_DisplayArrayInTable(SourceData_PastureBeef.SourceData_PastureBeef_LiveweightGainNTQLD_Data(),Table_SourceData_PastureBeef_LiveweightGainNTQLD[[#Headers],[State]],0)</f>
        <v>0.25</v>
      </c>
      <c r="N203" s="39" cm="1">
        <f t="array" ref="N203">Common_InputFunctions.Utility_DisplayArrayInTable(SourceData_PastureBeef.SourceData_PastureBeef_LiveweightGainNTQLD_Data(),Table_SourceData_PastureBeef_LiveweightGainNTQLD[[#Headers],[State]],0)</f>
        <v>0.71</v>
      </c>
      <c r="O203" s="39" cm="1">
        <f t="array" ref="O203">Common_InputFunctions.Utility_DisplayArrayInTable(SourceData_PastureBeef.SourceData_PastureBeef_LiveweightGainNTQLD_Data(),Table_SourceData_PastureBeef_LiveweightGainNTQLD[[#Headers],[State]],0)</f>
        <v>0.17</v>
      </c>
      <c r="P203" s="39" cm="1">
        <f t="array" ref="P203">Common_InputFunctions.Utility_DisplayArrayInTable(SourceData_PastureBeef.SourceData_PastureBeef_LiveweightGainNTQLD_Data(),Table_SourceData_PastureBeef_LiveweightGainNTQLD[[#Headers],[State]],0)</f>
        <v>0.43</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9" t="str" cm="1">
        <f t="array" ref="E204">Common_InputFunctions.Utility_DisplayArrayInTable(SourceData_PastureBeef.SourceData_PastureBeef_LiveweightGainNTQLD_Data(),Table_SourceData_PastureBeef_LiveweightGainNTQLD[[#Headers],[State]],0)</f>
        <v>Moderate/High</v>
      </c>
      <c r="F204" s="39" t="str" cm="1">
        <f t="array" ref="F204">Common_InputFunctions.Utility_DisplayArrayInTable(SourceData_PastureBeef.SourceData_PastureBeef_LiveweightGainNTQLD_Data(),Table_SourceData_PastureBeef_LiveweightGainNTQLD[[#Headers],[State]],0)</f>
        <v>Spring</v>
      </c>
      <c r="G204" s="39" cm="1">
        <f t="array" ref="G204">Common_InputFunctions.Utility_DisplayArrayInTable(SourceData_PastureBeef.SourceData_PastureBeef_LiveweightGainNTQLD_Data(),Table_SourceData_PastureBeef_LiveweightGainNTQLD[[#Headers],[State]],0)</f>
        <v>-0.12</v>
      </c>
      <c r="H204" s="39" cm="1">
        <f t="array" ref="H204">Common_InputFunctions.Utility_DisplayArrayInTable(SourceData_PastureBeef.SourceData_PastureBeef_LiveweightGainNTQLD_Data(),Table_SourceData_PastureBeef_LiveweightGainNTQLD[[#Headers],[State]],0)</f>
        <v>-0.19</v>
      </c>
      <c r="I204" s="39" cm="1">
        <f t="array" ref="I204">Common_InputFunctions.Utility_DisplayArrayInTable(SourceData_PastureBeef.SourceData_PastureBeef_LiveweightGainNTQLD_Data(),Table_SourceData_PastureBeef_LiveweightGainNTQLD[[#Headers],[State]],0)</f>
        <v>0.41</v>
      </c>
      <c r="J204" s="39" cm="1">
        <f t="array" ref="J204">Common_InputFunctions.Utility_DisplayArrayInTable(SourceData_PastureBeef.SourceData_PastureBeef_LiveweightGainNTQLD_Data(),Table_SourceData_PastureBeef_LiveweightGainNTQLD[[#Headers],[State]],0)</f>
        <v>0.09</v>
      </c>
      <c r="K204" s="39" cm="1">
        <f t="array" ref="K204">Common_InputFunctions.Utility_DisplayArrayInTable(SourceData_PastureBeef.SourceData_PastureBeef_LiveweightGainNTQLD_Data(),Table_SourceData_PastureBeef_LiveweightGainNTQLD[[#Headers],[State]],0)</f>
        <v>0.41</v>
      </c>
      <c r="L204" s="39" cm="1">
        <f t="array" ref="L204">Common_InputFunctions.Utility_DisplayArrayInTable(SourceData_PastureBeef.SourceData_PastureBeef_LiveweightGainNTQLD_Data(),Table_SourceData_PastureBeef_LiveweightGainNTQLD[[#Headers],[State]],0)</f>
        <v>-0.19</v>
      </c>
      <c r="M204" s="39" cm="1">
        <f t="array" ref="M204">Common_InputFunctions.Utility_DisplayArrayInTable(SourceData_PastureBeef.SourceData_PastureBeef_LiveweightGainNTQLD_Data(),Table_SourceData_PastureBeef_LiveweightGainNTQLD[[#Headers],[State]],0)</f>
        <v>7.0000000000000007E-2</v>
      </c>
      <c r="N204" s="39" cm="1">
        <f t="array" ref="N204">Common_InputFunctions.Utility_DisplayArrayInTable(SourceData_PastureBeef.SourceData_PastureBeef_LiveweightGainNTQLD_Data(),Table_SourceData_PastureBeef_LiveweightGainNTQLD[[#Headers],[State]],0)</f>
        <v>1.07</v>
      </c>
      <c r="O204" s="39" cm="1">
        <f t="array" ref="O204">Common_InputFunctions.Utility_DisplayArrayInTable(SourceData_PastureBeef.SourceData_PastureBeef_LiveweightGainNTQLD_Data(),Table_SourceData_PastureBeef_LiveweightGainNTQLD[[#Headers],[State]],0)</f>
        <v>-0.08</v>
      </c>
      <c r="P204" s="39" cm="1">
        <f t="array" ref="P204">Common_InputFunctions.Utility_DisplayArrayInTable(SourceData_PastureBeef.SourceData_PastureBeef_LiveweightGainNTQLD_Data(),Table_SourceData_PastureBeef_LiveweightGainNTQLD[[#Headers],[State]],0)</f>
        <v>0</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9" t="str" cm="1">
        <f t="array" ref="E205">Common_InputFunctions.Utility_DisplayArrayInTable(SourceData_PastureBeef.SourceData_PastureBeef_LiveweightGainNTQLD_Data(),Table_SourceData_PastureBeef_LiveweightGainNTQLD[[#Headers],[State]],0)</f>
        <v>Moderate/High</v>
      </c>
      <c r="F205" s="39" t="str" cm="1">
        <f t="array" ref="F205">Common_InputFunctions.Utility_DisplayArrayInTable(SourceData_PastureBeef.SourceData_PastureBeef_LiveweightGainNTQLD_Data(),Table_SourceData_PastureBeef_LiveweightGainNTQLD[[#Headers],[State]],0)</f>
        <v>Summer</v>
      </c>
      <c r="G205" s="39" cm="1">
        <f t="array" ref="G205">Common_InputFunctions.Utility_DisplayArrayInTable(SourceData_PastureBeef.SourceData_PastureBeef_LiveweightGainNTQLD_Data(),Table_SourceData_PastureBeef_LiveweightGainNTQLD[[#Headers],[State]],0)</f>
        <v>0.65</v>
      </c>
      <c r="H205" s="39" cm="1">
        <f t="array" ref="H205">Common_InputFunctions.Utility_DisplayArrayInTable(SourceData_PastureBeef.SourceData_PastureBeef_LiveweightGainNTQLD_Data(),Table_SourceData_PastureBeef_LiveweightGainNTQLD[[#Headers],[State]],0)</f>
        <v>0.19</v>
      </c>
      <c r="I205" s="39" cm="1">
        <f t="array" ref="I205">Common_InputFunctions.Utility_DisplayArrayInTable(SourceData_PastureBeef.SourceData_PastureBeef_LiveweightGainNTQLD_Data(),Table_SourceData_PastureBeef_LiveweightGainNTQLD[[#Headers],[State]],0)</f>
        <v>0.65</v>
      </c>
      <c r="J205" s="39" cm="1">
        <f t="array" ref="J205">Common_InputFunctions.Utility_DisplayArrayInTable(SourceData_PastureBeef.SourceData_PastureBeef_LiveweightGainNTQLD_Data(),Table_SourceData_PastureBeef_LiveweightGainNTQLD[[#Headers],[State]],0)</f>
        <v>0.51</v>
      </c>
      <c r="K205" s="39" cm="1">
        <f t="array" ref="K205">Common_InputFunctions.Utility_DisplayArrayInTable(SourceData_PastureBeef.SourceData_PastureBeef_LiveweightGainNTQLD_Data(),Table_SourceData_PastureBeef_LiveweightGainNTQLD[[#Headers],[State]],0)</f>
        <v>0.18</v>
      </c>
      <c r="L205" s="39" cm="1">
        <f t="array" ref="L205">Common_InputFunctions.Utility_DisplayArrayInTable(SourceData_PastureBeef.SourceData_PastureBeef_LiveweightGainNTQLD_Data(),Table_SourceData_PastureBeef_LiveweightGainNTQLD[[#Headers],[State]],0)</f>
        <v>0.63</v>
      </c>
      <c r="M205" s="39" cm="1">
        <f t="array" ref="M205">Common_InputFunctions.Utility_DisplayArrayInTable(SourceData_PastureBeef.SourceData_PastureBeef_LiveweightGainNTQLD_Data(),Table_SourceData_PastureBeef_LiveweightGainNTQLD[[#Headers],[State]],0)</f>
        <v>1.3</v>
      </c>
      <c r="N205" s="39" cm="1">
        <f t="array" ref="N205">Common_InputFunctions.Utility_DisplayArrayInTable(SourceData_PastureBeef.SourceData_PastureBeef_LiveweightGainNTQLD_Data(),Table_SourceData_PastureBeef_LiveweightGainNTQLD[[#Headers],[State]],0)</f>
        <v>0.48</v>
      </c>
      <c r="O205" s="39" cm="1">
        <f t="array" ref="O205">Common_InputFunctions.Utility_DisplayArrayInTable(SourceData_PastureBeef.SourceData_PastureBeef_LiveweightGainNTQLD_Data(),Table_SourceData_PastureBeef_LiveweightGainNTQLD[[#Headers],[State]],0)</f>
        <v>1.1200000000000001</v>
      </c>
      <c r="P205" s="39" cm="1">
        <f t="array" ref="P205">Common_InputFunctions.Utility_DisplayArrayInTable(SourceData_PastureBeef.SourceData_PastureBeef_LiveweightGainNTQLD_Data(),Table_SourceData_PastureBeef_LiveweightGainNTQLD[[#Headers],[State]],0)</f>
        <v>0.38</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9" t="str" cm="1">
        <f t="array" ref="E206">Common_InputFunctions.Utility_DisplayArrayInTable(SourceData_PastureBeef.SourceData_PastureBeef_LiveweightGainNTQLD_Data(),Table_SourceData_PastureBeef_LiveweightGainNTQLD[[#Headers],[State]],0)</f>
        <v>Moderate/High</v>
      </c>
      <c r="F206" s="39" t="str" cm="1">
        <f t="array" ref="F206">Common_InputFunctions.Utility_DisplayArrayInTable(SourceData_PastureBeef.SourceData_PastureBeef_LiveweightGainNTQLD_Data(),Table_SourceData_PastureBeef_LiveweightGainNTQLD[[#Headers],[State]],0)</f>
        <v>Autumn</v>
      </c>
      <c r="G206" s="39" cm="1">
        <f t="array" ref="G206">Common_InputFunctions.Utility_DisplayArrayInTable(SourceData_PastureBeef.SourceData_PastureBeef_LiveweightGainNTQLD_Data(),Table_SourceData_PastureBeef_LiveweightGainNTQLD[[#Headers],[State]],0)</f>
        <v>0.7</v>
      </c>
      <c r="H206" s="39" cm="1">
        <f t="array" ref="H206">Common_InputFunctions.Utility_DisplayArrayInTable(SourceData_PastureBeef.SourceData_PastureBeef_LiveweightGainNTQLD_Data(),Table_SourceData_PastureBeef_LiveweightGainNTQLD[[#Headers],[State]],0)</f>
        <v>0.13</v>
      </c>
      <c r="I206" s="39" cm="1">
        <f t="array" ref="I206">Common_InputFunctions.Utility_DisplayArrayInTable(SourceData_PastureBeef.SourceData_PastureBeef_LiveweightGainNTQLD_Data(),Table_SourceData_PastureBeef_LiveweightGainNTQLD[[#Headers],[State]],0)</f>
        <v>0.52</v>
      </c>
      <c r="J206" s="39" cm="1">
        <f t="array" ref="J206">Common_InputFunctions.Utility_DisplayArrayInTable(SourceData_PastureBeef.SourceData_PastureBeef_LiveweightGainNTQLD_Data(),Table_SourceData_PastureBeef_LiveweightGainNTQLD[[#Headers],[State]],0)</f>
        <v>0.34</v>
      </c>
      <c r="K206" s="39" cm="1">
        <f t="array" ref="K206">Common_InputFunctions.Utility_DisplayArrayInTable(SourceData_PastureBeef.SourceData_PastureBeef_LiveweightGainNTQLD_Data(),Table_SourceData_PastureBeef_LiveweightGainNTQLD[[#Headers],[State]],0)</f>
        <v>0.02</v>
      </c>
      <c r="L206" s="39" cm="1">
        <f t="array" ref="L206">Common_InputFunctions.Utility_DisplayArrayInTable(SourceData_PastureBeef.SourceData_PastureBeef_LiveweightGainNTQLD_Data(),Table_SourceData_PastureBeef_LiveweightGainNTQLD[[#Headers],[State]],0)</f>
        <v>0.04</v>
      </c>
      <c r="M206" s="39" cm="1">
        <f t="array" ref="M206">Common_InputFunctions.Utility_DisplayArrayInTable(SourceData_PastureBeef.SourceData_PastureBeef_LiveweightGainNTQLD_Data(),Table_SourceData_PastureBeef_LiveweightGainNTQLD[[#Headers],[State]],0)</f>
        <v>0.77</v>
      </c>
      <c r="N206" s="39" cm="1">
        <f t="array" ref="N206">Common_InputFunctions.Utility_DisplayArrayInTable(SourceData_PastureBeef.SourceData_PastureBeef_LiveweightGainNTQLD_Data(),Table_SourceData_PastureBeef_LiveweightGainNTQLD[[#Headers],[State]],0)</f>
        <v>0.42</v>
      </c>
      <c r="O206" s="39" cm="1">
        <f t="array" ref="O206">Common_InputFunctions.Utility_DisplayArrayInTable(SourceData_PastureBeef.SourceData_PastureBeef_LiveweightGainNTQLD_Data(),Table_SourceData_PastureBeef_LiveweightGainNTQLD[[#Headers],[State]],0)</f>
        <v>0.12</v>
      </c>
      <c r="P206" s="39" cm="1">
        <f t="array" ref="P206">Common_InputFunctions.Utility_DisplayArrayInTable(SourceData_PastureBeef.SourceData_PastureBeef_LiveweightGainNTQLD_Data(),Table_SourceData_PastureBeef_LiveweightGainNTQLD[[#Headers],[State]],0)</f>
        <v>0.74</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9" t="str" cm="1">
        <f t="array" ref="E207">Common_InputFunctions.Utility_DisplayArrayInTable(SourceData_PastureBeef.SourceData_PastureBeef_LiveweightGainNTQLD_Data(),Table_SourceData_PastureBeef_LiveweightGainNTQLD[[#Headers],[State]],0)</f>
        <v>Moderate/High</v>
      </c>
      <c r="F207" s="39" t="str" cm="1">
        <f t="array" ref="F207">Common_InputFunctions.Utility_DisplayArrayInTable(SourceData_PastureBeef.SourceData_PastureBeef_LiveweightGainNTQLD_Data(),Table_SourceData_PastureBeef_LiveweightGainNTQLD[[#Headers],[State]],0)</f>
        <v>Winter</v>
      </c>
      <c r="G207" s="39" cm="1">
        <f t="array" ref="G207">Common_InputFunctions.Utility_DisplayArrayInTable(SourceData_PastureBeef.SourceData_PastureBeef_LiveweightGainNTQLD_Data(),Table_SourceData_PastureBeef_LiveweightGainNTQLD[[#Headers],[State]],0)</f>
        <v>0.32</v>
      </c>
      <c r="H207" s="39" cm="1">
        <f t="array" ref="H207">Common_InputFunctions.Utility_DisplayArrayInTable(SourceData_PastureBeef.SourceData_PastureBeef_LiveweightGainNTQLD_Data(),Table_SourceData_PastureBeef_LiveweightGainNTQLD[[#Headers],[State]],0)</f>
        <v>-0.06</v>
      </c>
      <c r="I207" s="39" cm="1">
        <f t="array" ref="I207">Common_InputFunctions.Utility_DisplayArrayInTable(SourceData_PastureBeef.SourceData_PastureBeef_LiveweightGainNTQLD_Data(),Table_SourceData_PastureBeef_LiveweightGainNTQLD[[#Headers],[State]],0)</f>
        <v>0.25</v>
      </c>
      <c r="J207" s="39" cm="1">
        <f t="array" ref="J207">Common_InputFunctions.Utility_DisplayArrayInTable(SourceData_PastureBeef.SourceData_PastureBeef_LiveweightGainNTQLD_Data(),Table_SourceData_PastureBeef_LiveweightGainNTQLD[[#Headers],[State]],0)</f>
        <v>0.19</v>
      </c>
      <c r="K207" s="39" cm="1">
        <f t="array" ref="K207">Common_InputFunctions.Utility_DisplayArrayInTable(SourceData_PastureBeef.SourceData_PastureBeef_LiveweightGainNTQLD_Data(),Table_SourceData_PastureBeef_LiveweightGainNTQLD[[#Headers],[State]],0)</f>
        <v>-0.1</v>
      </c>
      <c r="L207" s="39" cm="1">
        <f t="array" ref="L207">Common_InputFunctions.Utility_DisplayArrayInTable(SourceData_PastureBeef.SourceData_PastureBeef_LiveweightGainNTQLD_Data(),Table_SourceData_PastureBeef_LiveweightGainNTQLD[[#Headers],[State]],0)</f>
        <v>-0.02</v>
      </c>
      <c r="M207" s="39" cm="1">
        <f t="array" ref="M207">Common_InputFunctions.Utility_DisplayArrayInTable(SourceData_PastureBeef.SourceData_PastureBeef_LiveweightGainNTQLD_Data(),Table_SourceData_PastureBeef_LiveweightGainNTQLD[[#Headers],[State]],0)</f>
        <v>0.02</v>
      </c>
      <c r="N207" s="39" cm="1">
        <f t="array" ref="N207">Common_InputFunctions.Utility_DisplayArrayInTable(SourceData_PastureBeef.SourceData_PastureBeef_LiveweightGainNTQLD_Data(),Table_SourceData_PastureBeef_LiveweightGainNTQLD[[#Headers],[State]],0)</f>
        <v>0.23</v>
      </c>
      <c r="O207" s="39" cm="1">
        <f t="array" ref="O207">Common_InputFunctions.Utility_DisplayArrayInTable(SourceData_PastureBeef.SourceData_PastureBeef_LiveweightGainNTQLD_Data(),Table_SourceData_PastureBeef_LiveweightGainNTQLD[[#Headers],[State]],0)</f>
        <v>-0.13</v>
      </c>
      <c r="P207" s="39" cm="1">
        <f t="array" ref="P207">Common_InputFunctions.Utility_DisplayArrayInTable(SourceData_PastureBeef.SourceData_PastureBeef_LiveweightGainNTQLD_Data(),Table_SourceData_PastureBeef_LiveweightGainNTQLD[[#Headers],[State]],0)</f>
        <v>0</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9" t="str" cm="1">
        <f t="array" ref="E208">Common_InputFunctions.Utility_DisplayArrayInTable(SourceData_PastureBeef.SourceData_PastureBeef_LiveweightGainNTQLD_Data(),Table_SourceData_PastureBeef_LiveweightGainNTQLD[[#Headers],[State]],0)</f>
        <v>Moderate/Low</v>
      </c>
      <c r="F208" s="39" t="str" cm="1">
        <f t="array" ref="F208">Common_InputFunctions.Utility_DisplayArrayInTable(SourceData_PastureBeef.SourceData_PastureBeef_LiveweightGainNTQLD_Data(),Table_SourceData_PastureBeef_LiveweightGainNTQLD[[#Headers],[State]],0)</f>
        <v>Spring</v>
      </c>
      <c r="G208" s="39" cm="1">
        <f t="array" ref="G208">Common_InputFunctions.Utility_DisplayArrayInTable(SourceData_PastureBeef.SourceData_PastureBeef_LiveweightGainNTQLD_Data(),Table_SourceData_PastureBeef_LiveweightGainNTQLD[[#Headers],[State]],0)</f>
        <v>0.62</v>
      </c>
      <c r="H208" s="39" cm="1">
        <f t="array" ref="H208">Common_InputFunctions.Utility_DisplayArrayInTable(SourceData_PastureBeef.SourceData_PastureBeef_LiveweightGainNTQLD_Data(),Table_SourceData_PastureBeef_LiveweightGainNTQLD[[#Headers],[State]],0)</f>
        <v>-0.19</v>
      </c>
      <c r="I208" s="39" cm="1">
        <f t="array" ref="I208">Common_InputFunctions.Utility_DisplayArrayInTable(SourceData_PastureBeef.SourceData_PastureBeef_LiveweightGainNTQLD_Data(),Table_SourceData_PastureBeef_LiveweightGainNTQLD[[#Headers],[State]],0)</f>
        <v>0.37</v>
      </c>
      <c r="J208" s="39" cm="1">
        <f t="array" ref="J208">Common_InputFunctions.Utility_DisplayArrayInTable(SourceData_PastureBeef.SourceData_PastureBeef_LiveweightGainNTQLD_Data(),Table_SourceData_PastureBeef_LiveweightGainNTQLD[[#Headers],[State]],0)</f>
        <v>0.41</v>
      </c>
      <c r="K208" s="39" cm="1">
        <f t="array" ref="K208">Common_InputFunctions.Utility_DisplayArrayInTable(SourceData_PastureBeef.SourceData_PastureBeef_LiveweightGainNTQLD_Data(),Table_SourceData_PastureBeef_LiveweightGainNTQLD[[#Headers],[State]],0)</f>
        <v>0.06</v>
      </c>
      <c r="L208" s="39" cm="1">
        <f t="array" ref="L208">Common_InputFunctions.Utility_DisplayArrayInTable(SourceData_PastureBeef.SourceData_PastureBeef_LiveweightGainNTQLD_Data(),Table_SourceData_PastureBeef_LiveweightGainNTQLD[[#Headers],[State]],0)</f>
        <v>-0.02</v>
      </c>
      <c r="M208" s="39" cm="1">
        <f t="array" ref="M208">Common_InputFunctions.Utility_DisplayArrayInTable(SourceData_PastureBeef.SourceData_PastureBeef_LiveweightGainNTQLD_Data(),Table_SourceData_PastureBeef_LiveweightGainNTQLD[[#Headers],[State]],0)</f>
        <v>0.47</v>
      </c>
      <c r="N208" s="39" cm="1">
        <f t="array" ref="N208">Common_InputFunctions.Utility_DisplayArrayInTable(SourceData_PastureBeef.SourceData_PastureBeef_LiveweightGainNTQLD_Data(),Table_SourceData_PastureBeef_LiveweightGainNTQLD[[#Headers],[State]],0)</f>
        <v>0.44</v>
      </c>
      <c r="O208" s="39" cm="1">
        <f t="array" ref="O208">Common_InputFunctions.Utility_DisplayArrayInTable(SourceData_PastureBeef.SourceData_PastureBeef_LiveweightGainNTQLD_Data(),Table_SourceData_PastureBeef_LiveweightGainNTQLD[[#Headers],[State]],0)</f>
        <v>0.3</v>
      </c>
      <c r="P208" s="39" cm="1">
        <f t="array" ref="P208">Common_InputFunctions.Utility_DisplayArrayInTable(SourceData_PastureBeef.SourceData_PastureBeef_LiveweightGainNTQLD_Data(),Table_SourceData_PastureBeef_LiveweightGainNTQLD[[#Headers],[State]],0)</f>
        <v>0.13</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9" t="str" cm="1">
        <f t="array" ref="E209">Common_InputFunctions.Utility_DisplayArrayInTable(SourceData_PastureBeef.SourceData_PastureBeef_LiveweightGainNTQLD_Data(),Table_SourceData_PastureBeef_LiveweightGainNTQLD[[#Headers],[State]],0)</f>
        <v>Moderate/Low</v>
      </c>
      <c r="F209" s="39" t="str" cm="1">
        <f t="array" ref="F209">Common_InputFunctions.Utility_DisplayArrayInTable(SourceData_PastureBeef.SourceData_PastureBeef_LiveweightGainNTQLD_Data(),Table_SourceData_PastureBeef_LiveweightGainNTQLD[[#Headers],[State]],0)</f>
        <v>Summer</v>
      </c>
      <c r="G209" s="39" cm="1">
        <f t="array" ref="G209">Common_InputFunctions.Utility_DisplayArrayInTable(SourceData_PastureBeef.SourceData_PastureBeef_LiveweightGainNTQLD_Data(),Table_SourceData_PastureBeef_LiveweightGainNTQLD[[#Headers],[State]],0)</f>
        <v>0.05</v>
      </c>
      <c r="H209" s="39" cm="1">
        <f t="array" ref="H209">Common_InputFunctions.Utility_DisplayArrayInTable(SourceData_PastureBeef.SourceData_PastureBeef_LiveweightGainNTQLD_Data(),Table_SourceData_PastureBeef_LiveweightGainNTQLD[[#Headers],[State]],0)</f>
        <v>0.19</v>
      </c>
      <c r="I209" s="39" cm="1">
        <f t="array" ref="I209">Common_InputFunctions.Utility_DisplayArrayInTable(SourceData_PastureBeef.SourceData_PastureBeef_LiveweightGainNTQLD_Data(),Table_SourceData_PastureBeef_LiveweightGainNTQLD[[#Headers],[State]],0)</f>
        <v>0.31</v>
      </c>
      <c r="J209" s="39" cm="1">
        <f t="array" ref="J209">Common_InputFunctions.Utility_DisplayArrayInTable(SourceData_PastureBeef.SourceData_PastureBeef_LiveweightGainNTQLD_Data(),Table_SourceData_PastureBeef_LiveweightGainNTQLD[[#Headers],[State]],0)</f>
        <v>0.54</v>
      </c>
      <c r="K209" s="39" cm="1">
        <f t="array" ref="K209">Common_InputFunctions.Utility_DisplayArrayInTable(SourceData_PastureBeef.SourceData_PastureBeef_LiveweightGainNTQLD_Data(),Table_SourceData_PastureBeef_LiveweightGainNTQLD[[#Headers],[State]],0)</f>
        <v>0.53</v>
      </c>
      <c r="L209" s="39" cm="1">
        <f t="array" ref="L209">Common_InputFunctions.Utility_DisplayArrayInTable(SourceData_PastureBeef.SourceData_PastureBeef_LiveweightGainNTQLD_Data(),Table_SourceData_PastureBeef_LiveweightGainNTQLD[[#Headers],[State]],0)</f>
        <v>0.15</v>
      </c>
      <c r="M209" s="39" cm="1">
        <f t="array" ref="M209">Common_InputFunctions.Utility_DisplayArrayInTable(SourceData_PastureBeef.SourceData_PastureBeef_LiveweightGainNTQLD_Data(),Table_SourceData_PastureBeef_LiveweightGainNTQLD[[#Headers],[State]],0)</f>
        <v>0.28000000000000003</v>
      </c>
      <c r="N209" s="39" cm="1">
        <f t="array" ref="N209">Common_InputFunctions.Utility_DisplayArrayInTable(SourceData_PastureBeef.SourceData_PastureBeef_LiveweightGainNTQLD_Data(),Table_SourceData_PastureBeef_LiveweightGainNTQLD[[#Headers],[State]],0)</f>
        <v>0.56999999999999995</v>
      </c>
      <c r="O209" s="39" cm="1">
        <f t="array" ref="O209">Common_InputFunctions.Utility_DisplayArrayInTable(SourceData_PastureBeef.SourceData_PastureBeef_LiveweightGainNTQLD_Data(),Table_SourceData_PastureBeef_LiveweightGainNTQLD[[#Headers],[State]],0)</f>
        <v>0.42</v>
      </c>
      <c r="P209" s="39" cm="1">
        <f t="array" ref="P209">Common_InputFunctions.Utility_DisplayArrayInTable(SourceData_PastureBeef.SourceData_PastureBeef_LiveweightGainNTQLD_Data(),Table_SourceData_PastureBeef_LiveweightGainNTQLD[[#Headers],[State]],0)</f>
        <v>0.4</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9" t="str" cm="1">
        <f t="array" ref="E210">Common_InputFunctions.Utility_DisplayArrayInTable(SourceData_PastureBeef.SourceData_PastureBeef_LiveweightGainNTQLD_Data(),Table_SourceData_PastureBeef_LiveweightGainNTQLD[[#Headers],[State]],0)</f>
        <v>Moderate/Low</v>
      </c>
      <c r="F210" s="39" t="str" cm="1">
        <f t="array" ref="F210">Common_InputFunctions.Utility_DisplayArrayInTable(SourceData_PastureBeef.SourceData_PastureBeef_LiveweightGainNTQLD_Data(),Table_SourceData_PastureBeef_LiveweightGainNTQLD[[#Headers],[State]],0)</f>
        <v>Autumn</v>
      </c>
      <c r="G210" s="39" cm="1">
        <f t="array" ref="G210">Common_InputFunctions.Utility_DisplayArrayInTable(SourceData_PastureBeef.SourceData_PastureBeef_LiveweightGainNTQLD_Data(),Table_SourceData_PastureBeef_LiveweightGainNTQLD[[#Headers],[State]],0)</f>
        <v>0.33</v>
      </c>
      <c r="H210" s="39" cm="1">
        <f t="array" ref="H210">Common_InputFunctions.Utility_DisplayArrayInTable(SourceData_PastureBeef.SourceData_PastureBeef_LiveweightGainNTQLD_Data(),Table_SourceData_PastureBeef_LiveweightGainNTQLD[[#Headers],[State]],0)</f>
        <v>0.13</v>
      </c>
      <c r="I210" s="39" cm="1">
        <f t="array" ref="I210">Common_InputFunctions.Utility_DisplayArrayInTable(SourceData_PastureBeef.SourceData_PastureBeef_LiveweightGainNTQLD_Data(),Table_SourceData_PastureBeef_LiveweightGainNTQLD[[#Headers],[State]],0)</f>
        <v>0.39</v>
      </c>
      <c r="J210" s="39" cm="1">
        <f t="array" ref="J210">Common_InputFunctions.Utility_DisplayArrayInTable(SourceData_PastureBeef.SourceData_PastureBeef_LiveweightGainNTQLD_Data(),Table_SourceData_PastureBeef_LiveweightGainNTQLD[[#Headers],[State]],0)</f>
        <v>0.36</v>
      </c>
      <c r="K210" s="39" cm="1">
        <f t="array" ref="K210">Common_InputFunctions.Utility_DisplayArrayInTable(SourceData_PastureBeef.SourceData_PastureBeef_LiveweightGainNTQLD_Data(),Table_SourceData_PastureBeef_LiveweightGainNTQLD[[#Headers],[State]],0)</f>
        <v>0.26</v>
      </c>
      <c r="L210" s="39" cm="1">
        <f t="array" ref="L210">Common_InputFunctions.Utility_DisplayArrayInTable(SourceData_PastureBeef.SourceData_PastureBeef_LiveweightGainNTQLD_Data(),Table_SourceData_PastureBeef_LiveweightGainNTQLD[[#Headers],[State]],0)</f>
        <v>0.11</v>
      </c>
      <c r="M210" s="39" cm="1">
        <f t="array" ref="M210">Common_InputFunctions.Utility_DisplayArrayInTable(SourceData_PastureBeef.SourceData_PastureBeef_LiveweightGainNTQLD_Data(),Table_SourceData_PastureBeef_LiveweightGainNTQLD[[#Headers],[State]],0)</f>
        <v>0.4</v>
      </c>
      <c r="N210" s="39" cm="1">
        <f t="array" ref="N210">Common_InputFunctions.Utility_DisplayArrayInTable(SourceData_PastureBeef.SourceData_PastureBeef_LiveweightGainNTQLD_Data(),Table_SourceData_PastureBeef_LiveweightGainNTQLD[[#Headers],[State]],0)</f>
        <v>0.44</v>
      </c>
      <c r="O210" s="39" cm="1">
        <f t="array" ref="O210">Common_InputFunctions.Utility_DisplayArrayInTable(SourceData_PastureBeef.SourceData_PastureBeef_LiveweightGainNTQLD_Data(),Table_SourceData_PastureBeef_LiveweightGainNTQLD[[#Headers],[State]],0)</f>
        <v>0.37</v>
      </c>
      <c r="P210" s="39" cm="1">
        <f t="array" ref="P210">Common_InputFunctions.Utility_DisplayArrayInTable(SourceData_PastureBeef.SourceData_PastureBeef_LiveweightGainNTQLD_Data(),Table_SourceData_PastureBeef_LiveweightGainNTQLD[[#Headers],[State]],0)</f>
        <v>-0.01</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9" t="str" cm="1">
        <f t="array" ref="E211">Common_InputFunctions.Utility_DisplayArrayInTable(SourceData_PastureBeef.SourceData_PastureBeef_LiveweightGainNTQLD_Data(),Table_SourceData_PastureBeef_LiveweightGainNTQLD[[#Headers],[State]],0)</f>
        <v>Moderate/Low</v>
      </c>
      <c r="F211" s="39" t="str" cm="1">
        <f t="array" ref="F211">Common_InputFunctions.Utility_DisplayArrayInTable(SourceData_PastureBeef.SourceData_PastureBeef_LiveweightGainNTQLD_Data(),Table_SourceData_PastureBeef_LiveweightGainNTQLD[[#Headers],[State]],0)</f>
        <v>Winter</v>
      </c>
      <c r="G211" s="39" cm="1">
        <f t="array" ref="G211">Common_InputFunctions.Utility_DisplayArrayInTable(SourceData_PastureBeef.SourceData_PastureBeef_LiveweightGainNTQLD_Data(),Table_SourceData_PastureBeef_LiveweightGainNTQLD[[#Headers],[State]],0)</f>
        <v>0.61</v>
      </c>
      <c r="H211" s="39" cm="1">
        <f t="array" ref="H211">Common_InputFunctions.Utility_DisplayArrayInTable(SourceData_PastureBeef.SourceData_PastureBeef_LiveweightGainNTQLD_Data(),Table_SourceData_PastureBeef_LiveweightGainNTQLD[[#Headers],[State]],0)</f>
        <v>-0.06</v>
      </c>
      <c r="I211" s="39" cm="1">
        <f t="array" ref="I211">Common_InputFunctions.Utility_DisplayArrayInTable(SourceData_PastureBeef.SourceData_PastureBeef_LiveweightGainNTQLD_Data(),Table_SourceData_PastureBeef_LiveweightGainNTQLD[[#Headers],[State]],0)</f>
        <v>0.21</v>
      </c>
      <c r="J211" s="39" cm="1">
        <f t="array" ref="J211">Common_InputFunctions.Utility_DisplayArrayInTable(SourceData_PastureBeef.SourceData_PastureBeef_LiveweightGainNTQLD_Data(),Table_SourceData_PastureBeef_LiveweightGainNTQLD[[#Headers],[State]],0)</f>
        <v>0.18</v>
      </c>
      <c r="K211" s="39" cm="1">
        <f t="array" ref="K211">Common_InputFunctions.Utility_DisplayArrayInTable(SourceData_PastureBeef.SourceData_PastureBeef_LiveweightGainNTQLD_Data(),Table_SourceData_PastureBeef_LiveweightGainNTQLD[[#Headers],[State]],0)</f>
        <v>0.12</v>
      </c>
      <c r="L211" s="39" cm="1">
        <f t="array" ref="L211">Common_InputFunctions.Utility_DisplayArrayInTable(SourceData_PastureBeef.SourceData_PastureBeef_LiveweightGainNTQLD_Data(),Table_SourceData_PastureBeef_LiveweightGainNTQLD[[#Headers],[State]],0)</f>
        <v>0.06</v>
      </c>
      <c r="M211" s="39" cm="1">
        <f t="array" ref="M211">Common_InputFunctions.Utility_DisplayArrayInTable(SourceData_PastureBeef.SourceData_PastureBeef_LiveweightGainNTQLD_Data(),Table_SourceData_PastureBeef_LiveweightGainNTQLD[[#Headers],[State]],0)</f>
        <v>0.28999999999999998</v>
      </c>
      <c r="N211" s="39" cm="1">
        <f t="array" ref="N211">Common_InputFunctions.Utility_DisplayArrayInTable(SourceData_PastureBeef.SourceData_PastureBeef_LiveweightGainNTQLD_Data(),Table_SourceData_PastureBeef_LiveweightGainNTQLD[[#Headers],[State]],0)</f>
        <v>0.41</v>
      </c>
      <c r="O211" s="39" cm="1">
        <f t="array" ref="O211">Common_InputFunctions.Utility_DisplayArrayInTable(SourceData_PastureBeef.SourceData_PastureBeef_LiveweightGainNTQLD_Data(),Table_SourceData_PastureBeef_LiveweightGainNTQLD[[#Headers],[State]],0)</f>
        <v>0.41</v>
      </c>
      <c r="P211" s="39" cm="1">
        <f t="array" ref="P211">Common_InputFunctions.Utility_DisplayArrayInTable(SourceData_PastureBeef.SourceData_PastureBeef_LiveweightGainNTQLD_Data(),Table_SourceData_PastureBeef_LiveweightGainNTQLD[[#Headers],[State]],0)</f>
        <v>-0.15</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9" t="str" cm="1">
        <f t="array" ref="E212">Common_InputFunctions.Utility_DisplayArrayInTable(SourceData_PastureBeef.SourceData_PastureBeef_LiveweightGainNTQLD_Data(),Table_SourceData_PastureBeef_LiveweightGainNTQLD[[#Headers],[State]],0)</f>
        <v>Low</v>
      </c>
      <c r="F212" s="39" t="str" cm="1">
        <f t="array" ref="F212">Common_InputFunctions.Utility_DisplayArrayInTable(SourceData_PastureBeef.SourceData_PastureBeef_LiveweightGainNTQLD_Data(),Table_SourceData_PastureBeef_LiveweightGainNTQLD[[#Headers],[State]],0)</f>
        <v>Spring</v>
      </c>
      <c r="G212" s="39" cm="1">
        <f t="array" ref="G212">Common_InputFunctions.Utility_DisplayArrayInTable(SourceData_PastureBeef.SourceData_PastureBeef_LiveweightGainNTQLD_Data(),Table_SourceData_PastureBeef_LiveweightGainNTQLD[[#Headers],[State]],0)</f>
        <v>-0.2</v>
      </c>
      <c r="H212" s="39" cm="1">
        <f t="array" ref="H212">Common_InputFunctions.Utility_DisplayArrayInTable(SourceData_PastureBeef.SourceData_PastureBeef_LiveweightGainNTQLD_Data(),Table_SourceData_PastureBeef_LiveweightGainNTQLD[[#Headers],[State]],0)</f>
        <v>0.02</v>
      </c>
      <c r="I212" s="39" cm="1">
        <f t="array" ref="I212">Common_InputFunctions.Utility_DisplayArrayInTable(SourceData_PastureBeef.SourceData_PastureBeef_LiveweightGainNTQLD_Data(),Table_SourceData_PastureBeef_LiveweightGainNTQLD[[#Headers],[State]],0)</f>
        <v>0.24</v>
      </c>
      <c r="J212" s="39" cm="1">
        <f t="array" ref="J212">Common_InputFunctions.Utility_DisplayArrayInTable(SourceData_PastureBeef.SourceData_PastureBeef_LiveweightGainNTQLD_Data(),Table_SourceData_PastureBeef_LiveweightGainNTQLD[[#Headers],[State]],0)</f>
        <v>0.3</v>
      </c>
      <c r="K212" s="39" cm="1">
        <f t="array" ref="K212">Common_InputFunctions.Utility_DisplayArrayInTable(SourceData_PastureBeef.SourceData_PastureBeef_LiveweightGainNTQLD_Data(),Table_SourceData_PastureBeef_LiveweightGainNTQLD[[#Headers],[State]],0)</f>
        <v>0.23</v>
      </c>
      <c r="L212" s="39" cm="1">
        <f t="array" ref="L212">Common_InputFunctions.Utility_DisplayArrayInTable(SourceData_PastureBeef.SourceData_PastureBeef_LiveweightGainNTQLD_Data(),Table_SourceData_PastureBeef_LiveweightGainNTQLD[[#Headers],[State]],0)</f>
        <v>-0.05</v>
      </c>
      <c r="M212" s="39" cm="1">
        <f t="array" ref="M212">Common_InputFunctions.Utility_DisplayArrayInTable(SourceData_PastureBeef.SourceData_PastureBeef_LiveweightGainNTQLD_Data(),Table_SourceData_PastureBeef_LiveweightGainNTQLD[[#Headers],[State]],0)</f>
        <v>0.34</v>
      </c>
      <c r="N212" s="39" cm="1">
        <f t="array" ref="N212">Common_InputFunctions.Utility_DisplayArrayInTable(SourceData_PastureBeef.SourceData_PastureBeef_LiveweightGainNTQLD_Data(),Table_SourceData_PastureBeef_LiveweightGainNTQLD[[#Headers],[State]],0)</f>
        <v>0.3</v>
      </c>
      <c r="O212" s="39" cm="1">
        <f t="array" ref="O212">Common_InputFunctions.Utility_DisplayArrayInTable(SourceData_PastureBeef.SourceData_PastureBeef_LiveweightGainNTQLD_Data(),Table_SourceData_PastureBeef_LiveweightGainNTQLD[[#Headers],[State]],0)</f>
        <v>0.56999999999999995</v>
      </c>
      <c r="P212" s="39" cm="1">
        <f t="array" ref="P212">Common_InputFunctions.Utility_DisplayArrayInTable(SourceData_PastureBeef.SourceData_PastureBeef_LiveweightGainNTQLD_Data(),Table_SourceData_PastureBeef_LiveweightGainNTQLD[[#Headers],[State]],0)</f>
        <v>0.52</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9" t="str" cm="1">
        <f t="array" ref="E213">Common_InputFunctions.Utility_DisplayArrayInTable(SourceData_PastureBeef.SourceData_PastureBeef_LiveweightGainNTQLD_Data(),Table_SourceData_PastureBeef_LiveweightGainNTQLD[[#Headers],[State]],0)</f>
        <v>Low</v>
      </c>
      <c r="F213" s="39" t="str" cm="1">
        <f t="array" ref="F213">Common_InputFunctions.Utility_DisplayArrayInTable(SourceData_PastureBeef.SourceData_PastureBeef_LiveweightGainNTQLD_Data(),Table_SourceData_PastureBeef_LiveweightGainNTQLD[[#Headers],[State]],0)</f>
        <v>Summer</v>
      </c>
      <c r="G213" s="39" cm="1">
        <f t="array" ref="G213">Common_InputFunctions.Utility_DisplayArrayInTable(SourceData_PastureBeef.SourceData_PastureBeef_LiveweightGainNTQLD_Data(),Table_SourceData_PastureBeef_LiveweightGainNTQLD[[#Headers],[State]],0)</f>
        <v>0.62</v>
      </c>
      <c r="H213" s="39" cm="1">
        <f t="array" ref="H213">Common_InputFunctions.Utility_DisplayArrayInTable(SourceData_PastureBeef.SourceData_PastureBeef_LiveweightGainNTQLD_Data(),Table_SourceData_PastureBeef_LiveweightGainNTQLD[[#Headers],[State]],0)</f>
        <v>0.21</v>
      </c>
      <c r="I213" s="39" cm="1">
        <f t="array" ref="I213">Common_InputFunctions.Utility_DisplayArrayInTable(SourceData_PastureBeef.SourceData_PastureBeef_LiveweightGainNTQLD_Data(),Table_SourceData_PastureBeef_LiveweightGainNTQLD[[#Headers],[State]],0)</f>
        <v>0.25</v>
      </c>
      <c r="J213" s="39" cm="1">
        <f t="array" ref="J213">Common_InputFunctions.Utility_DisplayArrayInTable(SourceData_PastureBeef.SourceData_PastureBeef_LiveweightGainNTQLD_Data(),Table_SourceData_PastureBeef_LiveweightGainNTQLD[[#Headers],[State]],0)</f>
        <v>0.32</v>
      </c>
      <c r="K213" s="39" cm="1">
        <f t="array" ref="K213">Common_InputFunctions.Utility_DisplayArrayInTable(SourceData_PastureBeef.SourceData_PastureBeef_LiveweightGainNTQLD_Data(),Table_SourceData_PastureBeef_LiveweightGainNTQLD[[#Headers],[State]],0)</f>
        <v>0.47</v>
      </c>
      <c r="L213" s="39" cm="1">
        <f t="array" ref="L213">Common_InputFunctions.Utility_DisplayArrayInTable(SourceData_PastureBeef.SourceData_PastureBeef_LiveweightGainNTQLD_Data(),Table_SourceData_PastureBeef_LiveweightGainNTQLD[[#Headers],[State]],0)</f>
        <v>0.31</v>
      </c>
      <c r="M213" s="39" cm="1">
        <f t="array" ref="M213">Common_InputFunctions.Utility_DisplayArrayInTable(SourceData_PastureBeef.SourceData_PastureBeef_LiveweightGainNTQLD_Data(),Table_SourceData_PastureBeef_LiveweightGainNTQLD[[#Headers],[State]],0)</f>
        <v>0.14000000000000001</v>
      </c>
      <c r="N213" s="39" cm="1">
        <f t="array" ref="N213">Common_InputFunctions.Utility_DisplayArrayInTable(SourceData_PastureBeef.SourceData_PastureBeef_LiveweightGainNTQLD_Data(),Table_SourceData_PastureBeef_LiveweightGainNTQLD[[#Headers],[State]],0)</f>
        <v>0.4</v>
      </c>
      <c r="O213" s="39" cm="1">
        <f t="array" ref="O213">Common_InputFunctions.Utility_DisplayArrayInTable(SourceData_PastureBeef.SourceData_PastureBeef_LiveweightGainNTQLD_Data(),Table_SourceData_PastureBeef_LiveweightGainNTQLD[[#Headers],[State]],0)</f>
        <v>0.26</v>
      </c>
      <c r="P213" s="39" cm="1">
        <f t="array" ref="P213">Common_InputFunctions.Utility_DisplayArrayInTable(SourceData_PastureBeef.SourceData_PastureBeef_LiveweightGainNTQLD_Data(),Table_SourceData_PastureBeef_LiveweightGainNTQLD[[#Headers],[State]],0)</f>
        <v>0.43</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9" t="str" cm="1">
        <f t="array" ref="E214">Common_InputFunctions.Utility_DisplayArrayInTable(SourceData_PastureBeef.SourceData_PastureBeef_LiveweightGainNTQLD_Data(),Table_SourceData_PastureBeef_LiveweightGainNTQLD[[#Headers],[State]],0)</f>
        <v>Low</v>
      </c>
      <c r="F214" s="39" t="str" cm="1">
        <f t="array" ref="F214">Common_InputFunctions.Utility_DisplayArrayInTable(SourceData_PastureBeef.SourceData_PastureBeef_LiveweightGainNTQLD_Data(),Table_SourceData_PastureBeef_LiveweightGainNTQLD[[#Headers],[State]],0)</f>
        <v>Autumn</v>
      </c>
      <c r="G214" s="39" cm="1">
        <f t="array" ref="G214">Common_InputFunctions.Utility_DisplayArrayInTable(SourceData_PastureBeef.SourceData_PastureBeef_LiveweightGainNTQLD_Data(),Table_SourceData_PastureBeef_LiveweightGainNTQLD[[#Headers],[State]],0)</f>
        <v>0.4</v>
      </c>
      <c r="H214" s="39" cm="1">
        <f t="array" ref="H214">Common_InputFunctions.Utility_DisplayArrayInTable(SourceData_PastureBeef.SourceData_PastureBeef_LiveweightGainNTQLD_Data(),Table_SourceData_PastureBeef_LiveweightGainNTQLD[[#Headers],[State]],0)</f>
        <v>0.13</v>
      </c>
      <c r="I214" s="39" cm="1">
        <f t="array" ref="I214">Common_InputFunctions.Utility_DisplayArrayInTable(SourceData_PastureBeef.SourceData_PastureBeef_LiveweightGainNTQLD_Data(),Table_SourceData_PastureBeef_LiveweightGainNTQLD[[#Headers],[State]],0)</f>
        <v>0.12</v>
      </c>
      <c r="J214" s="39" cm="1">
        <f t="array" ref="J214">Common_InputFunctions.Utility_DisplayArrayInTable(SourceData_PastureBeef.SourceData_PastureBeef_LiveweightGainNTQLD_Data(),Table_SourceData_PastureBeef_LiveweightGainNTQLD[[#Headers],[State]],0)</f>
        <v>0.27</v>
      </c>
      <c r="K214" s="39" cm="1">
        <f t="array" ref="K214">Common_InputFunctions.Utility_DisplayArrayInTable(SourceData_PastureBeef.SourceData_PastureBeef_LiveweightGainNTQLD_Data(),Table_SourceData_PastureBeef_LiveweightGainNTQLD[[#Headers],[State]],0)</f>
        <v>0.3</v>
      </c>
      <c r="L214" s="39" cm="1">
        <f t="array" ref="L214">Common_InputFunctions.Utility_DisplayArrayInTable(SourceData_PastureBeef.SourceData_PastureBeef_LiveweightGainNTQLD_Data(),Table_SourceData_PastureBeef_LiveweightGainNTQLD[[#Headers],[State]],0)</f>
        <v>0.08</v>
      </c>
      <c r="M214" s="39" cm="1">
        <f t="array" ref="M214">Common_InputFunctions.Utility_DisplayArrayInTable(SourceData_PastureBeef.SourceData_PastureBeef_LiveweightGainNTQLD_Data(),Table_SourceData_PastureBeef_LiveweightGainNTQLD[[#Headers],[State]],0)</f>
        <v>0.13</v>
      </c>
      <c r="N214" s="39" cm="1">
        <f t="array" ref="N214">Common_InputFunctions.Utility_DisplayArrayInTable(SourceData_PastureBeef.SourceData_PastureBeef_LiveweightGainNTQLD_Data(),Table_SourceData_PastureBeef_LiveweightGainNTQLD[[#Headers],[State]],0)</f>
        <v>0.24</v>
      </c>
      <c r="O214" s="39" cm="1">
        <f t="array" ref="O214">Common_InputFunctions.Utility_DisplayArrayInTable(SourceData_PastureBeef.SourceData_PastureBeef_LiveweightGainNTQLD_Data(),Table_SourceData_PastureBeef_LiveweightGainNTQLD[[#Headers],[State]],0)</f>
        <v>0.15</v>
      </c>
      <c r="P214" s="39" cm="1">
        <f t="array" ref="P214">Common_InputFunctions.Utility_DisplayArrayInTable(SourceData_PastureBeef.SourceData_PastureBeef_LiveweightGainNTQLD_Data(),Table_SourceData_PastureBeef_LiveweightGainNTQLD[[#Headers],[State]],0)</f>
        <v>0.21</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9" t="str" cm="1">
        <f t="array" ref="E215">Common_InputFunctions.Utility_DisplayArrayInTable(SourceData_PastureBeef.SourceData_PastureBeef_LiveweightGainNTQLD_Data(),Table_SourceData_PastureBeef_LiveweightGainNTQLD[[#Headers],[State]],0)</f>
        <v>Low</v>
      </c>
      <c r="F215" s="39" t="str" cm="1">
        <f t="array" ref="F215">Common_InputFunctions.Utility_DisplayArrayInTable(SourceData_PastureBeef.SourceData_PastureBeef_LiveweightGainNTQLD_Data(),Table_SourceData_PastureBeef_LiveweightGainNTQLD[[#Headers],[State]],0)</f>
        <v>Winter</v>
      </c>
      <c r="G215" s="39" cm="1">
        <f t="array" ref="G215">Common_InputFunctions.Utility_DisplayArrayInTable(SourceData_PastureBeef.SourceData_PastureBeef_LiveweightGainNTQLD_Data(),Table_SourceData_PastureBeef_LiveweightGainNTQLD[[#Headers],[State]],0)</f>
        <v>0.08</v>
      </c>
      <c r="H215" s="39" cm="1">
        <f t="array" ref="H215">Common_InputFunctions.Utility_DisplayArrayInTable(SourceData_PastureBeef.SourceData_PastureBeef_LiveweightGainNTQLD_Data(),Table_SourceData_PastureBeef_LiveweightGainNTQLD[[#Headers],[State]],0)</f>
        <v>0.04</v>
      </c>
      <c r="I215" s="39" cm="1">
        <f t="array" ref="I215">Common_InputFunctions.Utility_DisplayArrayInTable(SourceData_PastureBeef.SourceData_PastureBeef_LiveweightGainNTQLD_Data(),Table_SourceData_PastureBeef_LiveweightGainNTQLD[[#Headers],[State]],0)</f>
        <v>0.06</v>
      </c>
      <c r="J215" s="39" cm="1">
        <f t="array" ref="J215">Common_InputFunctions.Utility_DisplayArrayInTable(SourceData_PastureBeef.SourceData_PastureBeef_LiveweightGainNTQLD_Data(),Table_SourceData_PastureBeef_LiveweightGainNTQLD[[#Headers],[State]],0)</f>
        <v>0.18</v>
      </c>
      <c r="K215" s="39" cm="1">
        <f t="array" ref="K215">Common_InputFunctions.Utility_DisplayArrayInTable(SourceData_PastureBeef.SourceData_PastureBeef_LiveweightGainNTQLD_Data(),Table_SourceData_PastureBeef_LiveweightGainNTQLD[[#Headers],[State]],0)</f>
        <v>0.11</v>
      </c>
      <c r="L215" s="39" cm="1">
        <f t="array" ref="L215">Common_InputFunctions.Utility_DisplayArrayInTable(SourceData_PastureBeef.SourceData_PastureBeef_LiveweightGainNTQLD_Data(),Table_SourceData_PastureBeef_LiveweightGainNTQLD[[#Headers],[State]],0)</f>
        <v>-7.0000000000000007E-2</v>
      </c>
      <c r="M215" s="39" cm="1">
        <f t="array" ref="M215">Common_InputFunctions.Utility_DisplayArrayInTable(SourceData_PastureBeef.SourceData_PastureBeef_LiveweightGainNTQLD_Data(),Table_SourceData_PastureBeef_LiveweightGainNTQLD[[#Headers],[State]],0)</f>
        <v>0.13</v>
      </c>
      <c r="N215" s="39" cm="1">
        <f t="array" ref="N215">Common_InputFunctions.Utility_DisplayArrayInTable(SourceData_PastureBeef.SourceData_PastureBeef_LiveweightGainNTQLD_Data(),Table_SourceData_PastureBeef_LiveweightGainNTQLD[[#Headers],[State]],0)</f>
        <v>0.16</v>
      </c>
      <c r="O215" s="39" cm="1">
        <f t="array" ref="O215">Common_InputFunctions.Utility_DisplayArrayInTable(SourceData_PastureBeef.SourceData_PastureBeef_LiveweightGainNTQLD_Data(),Table_SourceData_PastureBeef_LiveweightGainNTQLD[[#Headers],[State]],0)</f>
        <v>0.4</v>
      </c>
      <c r="P215" s="39" cm="1">
        <f t="array" ref="P215">Common_InputFunctions.Utility_DisplayArrayInTable(SourceData_PastureBeef.SourceData_PastureBeef_LiveweightGainNTQLD_Data(),Table_SourceData_PastureBeef_LiveweightGainNTQLD[[#Headers],[State]],0)</f>
        <v>0.33</v>
      </c>
    </row>
    <row r="216" spans="4:16" x14ac:dyDescent="0.25">
      <c r="M216" s="1"/>
    </row>
    <row r="217" spans="4:16" x14ac:dyDescent="0.25">
      <c r="M217" s="1"/>
    </row>
    <row r="218" spans="4:16" ht="23.25" x14ac:dyDescent="0.25">
      <c r="D218" s="6" t="s">
        <v>385</v>
      </c>
      <c r="M218" s="1"/>
    </row>
    <row r="219" spans="4:16" x14ac:dyDescent="0.25">
      <c r="M219" s="1"/>
    </row>
    <row r="220" spans="4:16" x14ac:dyDescent="0.25">
      <c r="D220" s="143" t="s">
        <v>8</v>
      </c>
      <c r="E220" s="143" t="s">
        <v>367</v>
      </c>
      <c r="F220" s="143" t="s">
        <v>368</v>
      </c>
      <c r="G220" s="145" t="s">
        <v>178</v>
      </c>
      <c r="H220" s="145" t="s">
        <v>177</v>
      </c>
      <c r="I220" s="145" t="s">
        <v>348</v>
      </c>
      <c r="J220" s="145" t="s">
        <v>349</v>
      </c>
      <c r="K220" s="145" t="s">
        <v>350</v>
      </c>
      <c r="L220" s="145" t="s">
        <v>351</v>
      </c>
      <c r="M220" s="145" t="s">
        <v>352</v>
      </c>
      <c r="N220" s="145" t="s">
        <v>353</v>
      </c>
      <c r="O220" s="145" t="s">
        <v>354</v>
      </c>
      <c r="P220" s="145" t="s">
        <v>355</v>
      </c>
    </row>
    <row r="221" spans="4:16" x14ac:dyDescent="0.25">
      <c r="D221" s="130" t="s">
        <v>83</v>
      </c>
      <c r="E221" s="130" t="s">
        <v>386</v>
      </c>
      <c r="F221" s="130" t="str">
        <f>F153</f>
        <v>Spring</v>
      </c>
      <c r="G221" s="130">
        <f>G153</f>
        <v>0.5</v>
      </c>
      <c r="H221" s="130">
        <f t="shared" ref="H221:K221" si="79">H153</f>
        <v>0.2</v>
      </c>
      <c r="I221" s="130">
        <f t="shared" si="79"/>
        <v>0.5</v>
      </c>
      <c r="J221" s="130">
        <f t="shared" si="79"/>
        <v>0.4</v>
      </c>
      <c r="K221" s="130">
        <f>K153</f>
        <v>0.3</v>
      </c>
      <c r="L221" s="130">
        <f>K153</f>
        <v>0.3</v>
      </c>
      <c r="M221" s="130">
        <f>L153</f>
        <v>0.5</v>
      </c>
      <c r="N221" s="130">
        <f>M153</f>
        <v>0.4</v>
      </c>
      <c r="O221" s="130">
        <f>M153</f>
        <v>0.4</v>
      </c>
      <c r="P221" s="130">
        <f>M153</f>
        <v>0.4</v>
      </c>
    </row>
    <row r="222" spans="4:16" x14ac:dyDescent="0.25">
      <c r="D222" s="130" t="s">
        <v>83</v>
      </c>
      <c r="E222" s="130" t="s">
        <v>386</v>
      </c>
      <c r="F222" s="130" t="str">
        <f t="shared" ref="F222:K252" si="80">F154</f>
        <v>Summer</v>
      </c>
      <c r="G222" s="130">
        <f t="shared" si="80"/>
        <v>1</v>
      </c>
      <c r="H222" s="130">
        <f t="shared" si="80"/>
        <v>0.4</v>
      </c>
      <c r="I222" s="130">
        <f t="shared" si="80"/>
        <v>0.9</v>
      </c>
      <c r="J222" s="130">
        <f t="shared" si="80"/>
        <v>0.7</v>
      </c>
      <c r="K222" s="130">
        <f t="shared" si="80"/>
        <v>0.3</v>
      </c>
      <c r="L222" s="130">
        <f t="shared" ref="L222:M224" si="81">K154</f>
        <v>0.3</v>
      </c>
      <c r="M222" s="130">
        <f t="shared" si="81"/>
        <v>0.9</v>
      </c>
      <c r="N222" s="130">
        <f t="shared" ref="N221:N224" si="82">M154</f>
        <v>0.4</v>
      </c>
      <c r="O222" s="130">
        <f t="shared" ref="O222:O224" si="83">M154</f>
        <v>0.4</v>
      </c>
      <c r="P222" s="130">
        <f t="shared" ref="P222:P224" si="84">M154</f>
        <v>0.4</v>
      </c>
    </row>
    <row r="223" spans="4:16" x14ac:dyDescent="0.25">
      <c r="D223" s="130" t="s">
        <v>83</v>
      </c>
      <c r="E223" s="130" t="s">
        <v>386</v>
      </c>
      <c r="F223" s="130" t="str">
        <f t="shared" si="80"/>
        <v>Autumn</v>
      </c>
      <c r="G223" s="130">
        <f t="shared" si="80"/>
        <v>0.8</v>
      </c>
      <c r="H223" s="130">
        <f t="shared" si="80"/>
        <v>0.3</v>
      </c>
      <c r="I223" s="130">
        <f t="shared" si="80"/>
        <v>0.7</v>
      </c>
      <c r="J223" s="130">
        <f t="shared" si="80"/>
        <v>0.3</v>
      </c>
      <c r="K223" s="130">
        <f t="shared" si="80"/>
        <v>0.2</v>
      </c>
      <c r="L223" s="130">
        <f t="shared" si="81"/>
        <v>0.2</v>
      </c>
      <c r="M223" s="130">
        <f t="shared" si="81"/>
        <v>0.7</v>
      </c>
      <c r="N223" s="130">
        <f t="shared" si="82"/>
        <v>0.3</v>
      </c>
      <c r="O223" s="130">
        <f t="shared" si="83"/>
        <v>0.3</v>
      </c>
      <c r="P223" s="130">
        <f t="shared" si="84"/>
        <v>0.3</v>
      </c>
    </row>
    <row r="224" spans="4:16" x14ac:dyDescent="0.25">
      <c r="D224" s="130" t="s">
        <v>83</v>
      </c>
      <c r="E224" s="130" t="s">
        <v>386</v>
      </c>
      <c r="F224" s="130" t="str">
        <f t="shared" si="80"/>
        <v>Winter</v>
      </c>
      <c r="G224" s="130">
        <f t="shared" si="80"/>
        <v>0.4</v>
      </c>
      <c r="H224" s="130">
        <f t="shared" si="80"/>
        <v>0.1</v>
      </c>
      <c r="I224" s="130">
        <f t="shared" si="80"/>
        <v>0.4</v>
      </c>
      <c r="J224" s="130">
        <f t="shared" si="80"/>
        <v>0.2</v>
      </c>
      <c r="K224" s="130">
        <f t="shared" si="80"/>
        <v>0.1</v>
      </c>
      <c r="L224" s="130">
        <f t="shared" si="81"/>
        <v>0.1</v>
      </c>
      <c r="M224" s="130">
        <f t="shared" si="81"/>
        <v>0.4</v>
      </c>
      <c r="N224" s="130">
        <f t="shared" si="82"/>
        <v>0.1</v>
      </c>
      <c r="O224" s="130">
        <f t="shared" si="83"/>
        <v>0.1</v>
      </c>
      <c r="P224" s="130">
        <f t="shared" si="84"/>
        <v>0.1</v>
      </c>
    </row>
    <row r="225" spans="4:16" x14ac:dyDescent="0.25">
      <c r="D225" s="130" t="s">
        <v>84</v>
      </c>
      <c r="E225" s="130" t="s">
        <v>386</v>
      </c>
      <c r="F225" s="130" t="str">
        <f>F153</f>
        <v>Spring</v>
      </c>
      <c r="G225" s="130">
        <f>G153</f>
        <v>0.5</v>
      </c>
      <c r="H225" s="130">
        <f t="shared" ref="H225:K225" si="85">H153</f>
        <v>0.2</v>
      </c>
      <c r="I225" s="130">
        <f t="shared" si="85"/>
        <v>0.5</v>
      </c>
      <c r="J225" s="130">
        <f t="shared" si="85"/>
        <v>0.4</v>
      </c>
      <c r="K225" s="130">
        <f>K153</f>
        <v>0.3</v>
      </c>
      <c r="L225" s="130">
        <f>K153</f>
        <v>0.3</v>
      </c>
      <c r="M225" s="130">
        <f t="shared" ref="M225:N225" si="86">L153</f>
        <v>0.5</v>
      </c>
      <c r="N225" s="130">
        <f>M153</f>
        <v>0.4</v>
      </c>
      <c r="O225" s="130">
        <f>M153</f>
        <v>0.4</v>
      </c>
      <c r="P225" s="130">
        <f>M153</f>
        <v>0.4</v>
      </c>
    </row>
    <row r="226" spans="4:16" x14ac:dyDescent="0.25">
      <c r="D226" s="130" t="s">
        <v>84</v>
      </c>
      <c r="E226" s="130" t="s">
        <v>386</v>
      </c>
      <c r="F226" s="130" t="str">
        <f t="shared" ref="F226:K228" si="87">F154</f>
        <v>Summer</v>
      </c>
      <c r="G226" s="130">
        <f t="shared" si="87"/>
        <v>1</v>
      </c>
      <c r="H226" s="130">
        <f t="shared" si="87"/>
        <v>0.4</v>
      </c>
      <c r="I226" s="130">
        <f t="shared" si="87"/>
        <v>0.9</v>
      </c>
      <c r="J226" s="130">
        <f t="shared" si="87"/>
        <v>0.7</v>
      </c>
      <c r="K226" s="130">
        <f t="shared" si="87"/>
        <v>0.3</v>
      </c>
      <c r="L226" s="130">
        <f t="shared" ref="L226:N226" si="88">K154</f>
        <v>0.3</v>
      </c>
      <c r="M226" s="130">
        <f t="shared" si="88"/>
        <v>0.9</v>
      </c>
      <c r="N226" s="130">
        <f t="shared" si="88"/>
        <v>0.4</v>
      </c>
      <c r="O226" s="130">
        <f t="shared" ref="O226:O228" si="89">M154</f>
        <v>0.4</v>
      </c>
      <c r="P226" s="130">
        <f t="shared" ref="P226:P228" si="90">M154</f>
        <v>0.4</v>
      </c>
    </row>
    <row r="227" spans="4:16" x14ac:dyDescent="0.25">
      <c r="D227" s="130" t="s">
        <v>84</v>
      </c>
      <c r="E227" s="130" t="s">
        <v>386</v>
      </c>
      <c r="F227" s="130" t="str">
        <f t="shared" si="87"/>
        <v>Autumn</v>
      </c>
      <c r="G227" s="130">
        <f t="shared" si="87"/>
        <v>0.8</v>
      </c>
      <c r="H227" s="130">
        <f t="shared" si="87"/>
        <v>0.3</v>
      </c>
      <c r="I227" s="130">
        <f t="shared" si="87"/>
        <v>0.7</v>
      </c>
      <c r="J227" s="130">
        <f t="shared" si="87"/>
        <v>0.3</v>
      </c>
      <c r="K227" s="130">
        <f t="shared" si="87"/>
        <v>0.2</v>
      </c>
      <c r="L227" s="130">
        <f t="shared" ref="L227:N227" si="91">K155</f>
        <v>0.2</v>
      </c>
      <c r="M227" s="130">
        <f t="shared" si="91"/>
        <v>0.7</v>
      </c>
      <c r="N227" s="130">
        <f t="shared" si="91"/>
        <v>0.3</v>
      </c>
      <c r="O227" s="130">
        <f t="shared" si="89"/>
        <v>0.3</v>
      </c>
      <c r="P227" s="130">
        <f t="shared" si="90"/>
        <v>0.3</v>
      </c>
    </row>
    <row r="228" spans="4:16" x14ac:dyDescent="0.25">
      <c r="D228" s="130" t="s">
        <v>84</v>
      </c>
      <c r="E228" s="130" t="s">
        <v>386</v>
      </c>
      <c r="F228" s="130" t="str">
        <f t="shared" si="87"/>
        <v>Winter</v>
      </c>
      <c r="G228" s="130">
        <f t="shared" si="87"/>
        <v>0.4</v>
      </c>
      <c r="H228" s="130">
        <f t="shared" si="87"/>
        <v>0.1</v>
      </c>
      <c r="I228" s="130">
        <f t="shared" si="87"/>
        <v>0.4</v>
      </c>
      <c r="J228" s="130">
        <f t="shared" si="87"/>
        <v>0.2</v>
      </c>
      <c r="K228" s="130">
        <f t="shared" si="87"/>
        <v>0.1</v>
      </c>
      <c r="L228" s="130">
        <f t="shared" ref="L228:N228" si="92">K156</f>
        <v>0.1</v>
      </c>
      <c r="M228" s="130">
        <f t="shared" si="92"/>
        <v>0.4</v>
      </c>
      <c r="N228" s="130">
        <f t="shared" si="92"/>
        <v>0.1</v>
      </c>
      <c r="O228" s="130">
        <f t="shared" si="89"/>
        <v>0.1</v>
      </c>
      <c r="P228" s="130">
        <f t="shared" si="90"/>
        <v>0.1</v>
      </c>
    </row>
    <row r="229" spans="4:16" x14ac:dyDescent="0.25">
      <c r="D229" s="130" t="s">
        <v>87</v>
      </c>
      <c r="E229" s="130" t="s">
        <v>386</v>
      </c>
      <c r="F229" s="39" t="str">
        <f>F157</f>
        <v>Spring</v>
      </c>
      <c r="G229" s="130">
        <f>G157</f>
        <v>0.99</v>
      </c>
      <c r="H229" s="130">
        <f t="shared" ref="H229:K229" si="93">H157</f>
        <v>1.1000000000000001</v>
      </c>
      <c r="I229" s="130">
        <f t="shared" si="93"/>
        <v>0.88</v>
      </c>
      <c r="J229" s="130">
        <f t="shared" si="93"/>
        <v>0.55000000000000004</v>
      </c>
      <c r="K229" s="130">
        <f>K157</f>
        <v>0.55000000000000004</v>
      </c>
      <c r="L229" s="130">
        <f>K157</f>
        <v>0.55000000000000004</v>
      </c>
      <c r="M229" s="130">
        <f t="shared" ref="M229:N229" si="94">L157</f>
        <v>0.88</v>
      </c>
      <c r="N229" s="130">
        <f>M157</f>
        <v>0.22</v>
      </c>
      <c r="O229" s="130">
        <f>M157</f>
        <v>0.22</v>
      </c>
      <c r="P229" s="130">
        <f>M157</f>
        <v>0.22</v>
      </c>
    </row>
    <row r="230" spans="4:16" x14ac:dyDescent="0.25">
      <c r="D230" s="130" t="s">
        <v>87</v>
      </c>
      <c r="E230" s="130" t="s">
        <v>386</v>
      </c>
      <c r="F230" s="39" t="str">
        <f t="shared" ref="F230:K252" si="95">F158</f>
        <v>Summer</v>
      </c>
      <c r="G230" s="130">
        <f t="shared" si="95"/>
        <v>0.77</v>
      </c>
      <c r="H230" s="130">
        <f t="shared" si="95"/>
        <v>0</v>
      </c>
      <c r="I230" s="130">
        <f t="shared" si="95"/>
        <v>0.66</v>
      </c>
      <c r="J230" s="130">
        <f t="shared" si="95"/>
        <v>0.22</v>
      </c>
      <c r="K230" s="130">
        <f t="shared" si="95"/>
        <v>0</v>
      </c>
      <c r="L230" s="130">
        <f t="shared" ref="L230:N230" si="96">K158</f>
        <v>0</v>
      </c>
      <c r="M230" s="130">
        <f t="shared" si="96"/>
        <v>0.66</v>
      </c>
      <c r="N230" s="130">
        <f t="shared" si="96"/>
        <v>0</v>
      </c>
      <c r="O230" s="130">
        <f t="shared" ref="O230:O252" si="97">M158</f>
        <v>0</v>
      </c>
      <c r="P230" s="130">
        <f t="shared" ref="P230:P252" si="98">M158</f>
        <v>0</v>
      </c>
    </row>
    <row r="231" spans="4:16" x14ac:dyDescent="0.25">
      <c r="D231" s="130" t="s">
        <v>87</v>
      </c>
      <c r="E231" s="130" t="s">
        <v>386</v>
      </c>
      <c r="F231" s="39" t="str">
        <f t="shared" si="95"/>
        <v>Autumn</v>
      </c>
      <c r="G231" s="130">
        <f t="shared" si="95"/>
        <v>0.9</v>
      </c>
      <c r="H231" s="130">
        <f t="shared" si="95"/>
        <v>-1.1000000000000001</v>
      </c>
      <c r="I231" s="130">
        <f t="shared" si="95"/>
        <v>0.7</v>
      </c>
      <c r="J231" s="130">
        <f t="shared" si="95"/>
        <v>0.22</v>
      </c>
      <c r="K231" s="130">
        <f t="shared" si="95"/>
        <v>-0.55000000000000004</v>
      </c>
      <c r="L231" s="130">
        <f t="shared" ref="L231:N231" si="99">K159</f>
        <v>-0.55000000000000004</v>
      </c>
      <c r="M231" s="130">
        <f t="shared" si="99"/>
        <v>0.8</v>
      </c>
      <c r="N231" s="130">
        <f t="shared" si="99"/>
        <v>-0.22</v>
      </c>
      <c r="O231" s="130">
        <f t="shared" si="97"/>
        <v>-0.22</v>
      </c>
      <c r="P231" s="130">
        <f t="shared" si="98"/>
        <v>-0.22</v>
      </c>
    </row>
    <row r="232" spans="4:16" x14ac:dyDescent="0.25">
      <c r="D232" s="130" t="s">
        <v>87</v>
      </c>
      <c r="E232" s="130" t="s">
        <v>386</v>
      </c>
      <c r="F232" s="39" t="str">
        <f t="shared" si="95"/>
        <v>Winter</v>
      </c>
      <c r="G232" s="130">
        <f t="shared" si="95"/>
        <v>0.88</v>
      </c>
      <c r="H232" s="130">
        <f t="shared" si="95"/>
        <v>0</v>
      </c>
      <c r="I232" s="130">
        <f t="shared" si="95"/>
        <v>0.77</v>
      </c>
      <c r="J232" s="130">
        <f t="shared" si="95"/>
        <v>0.55000000000000004</v>
      </c>
      <c r="K232" s="130">
        <f t="shared" si="95"/>
        <v>0</v>
      </c>
      <c r="L232" s="130">
        <f t="shared" ref="L232:N232" si="100">K160</f>
        <v>0</v>
      </c>
      <c r="M232" s="130">
        <f t="shared" si="100"/>
        <v>0.82</v>
      </c>
      <c r="N232" s="130">
        <f t="shared" si="100"/>
        <v>0</v>
      </c>
      <c r="O232" s="130">
        <f t="shared" si="97"/>
        <v>0</v>
      </c>
      <c r="P232" s="130">
        <f t="shared" si="98"/>
        <v>0</v>
      </c>
    </row>
    <row r="233" spans="4:16" x14ac:dyDescent="0.25">
      <c r="D233" s="130" t="s">
        <v>88</v>
      </c>
      <c r="E233" s="130" t="s">
        <v>386</v>
      </c>
      <c r="F233" s="39" t="str">
        <f t="shared" si="95"/>
        <v>Spring</v>
      </c>
      <c r="G233" s="130">
        <f t="shared" si="95"/>
        <v>1</v>
      </c>
      <c r="H233" s="130">
        <f t="shared" si="95"/>
        <v>0.5</v>
      </c>
      <c r="I233" s="130">
        <f t="shared" si="95"/>
        <v>1</v>
      </c>
      <c r="J233" s="130">
        <f t="shared" si="95"/>
        <v>1</v>
      </c>
      <c r="K233" s="130">
        <f t="shared" si="95"/>
        <v>-0.44</v>
      </c>
      <c r="L233" s="130">
        <f t="shared" ref="L233:N233" si="101">K161</f>
        <v>-0.44</v>
      </c>
      <c r="M233" s="130">
        <f t="shared" si="101"/>
        <v>1</v>
      </c>
      <c r="N233" s="130">
        <f t="shared" si="101"/>
        <v>0.5</v>
      </c>
      <c r="O233" s="130">
        <f t="shared" si="97"/>
        <v>0.5</v>
      </c>
      <c r="P233" s="130">
        <f t="shared" si="98"/>
        <v>0.5</v>
      </c>
    </row>
    <row r="234" spans="4:16" x14ac:dyDescent="0.25">
      <c r="D234" s="130" t="s">
        <v>88</v>
      </c>
      <c r="E234" s="130" t="s">
        <v>386</v>
      </c>
      <c r="F234" s="39" t="str">
        <f t="shared" si="95"/>
        <v>Summer</v>
      </c>
      <c r="G234" s="130">
        <f t="shared" si="95"/>
        <v>0.82</v>
      </c>
      <c r="H234" s="130">
        <f t="shared" si="95"/>
        <v>0.55000000000000004</v>
      </c>
      <c r="I234" s="130">
        <f t="shared" si="95"/>
        <v>0.71</v>
      </c>
      <c r="J234" s="130">
        <f t="shared" si="95"/>
        <v>0.55000000000000004</v>
      </c>
      <c r="K234" s="130">
        <f t="shared" si="95"/>
        <v>0.99</v>
      </c>
      <c r="L234" s="130">
        <f t="shared" ref="L234:N234" si="102">K162</f>
        <v>0.99</v>
      </c>
      <c r="M234" s="130">
        <f t="shared" si="102"/>
        <v>0.77</v>
      </c>
      <c r="N234" s="130">
        <f t="shared" si="102"/>
        <v>0.5</v>
      </c>
      <c r="O234" s="130">
        <f t="shared" si="97"/>
        <v>0.5</v>
      </c>
      <c r="P234" s="130">
        <f t="shared" si="98"/>
        <v>0.5</v>
      </c>
    </row>
    <row r="235" spans="4:16" x14ac:dyDescent="0.25">
      <c r="D235" s="130" t="s">
        <v>88</v>
      </c>
      <c r="E235" s="130" t="s">
        <v>386</v>
      </c>
      <c r="F235" s="39" t="str">
        <f t="shared" si="95"/>
        <v>Autumn</v>
      </c>
      <c r="G235" s="130">
        <f t="shared" si="95"/>
        <v>0.77</v>
      </c>
      <c r="H235" s="130">
        <f t="shared" si="95"/>
        <v>0.5</v>
      </c>
      <c r="I235" s="130">
        <f t="shared" si="95"/>
        <v>0.55000000000000004</v>
      </c>
      <c r="J235" s="130">
        <f t="shared" si="95"/>
        <v>0.11</v>
      </c>
      <c r="K235" s="130">
        <f t="shared" si="95"/>
        <v>-0.33</v>
      </c>
      <c r="L235" s="130">
        <f t="shared" ref="L235:N235" si="103">K163</f>
        <v>-0.33</v>
      </c>
      <c r="M235" s="130">
        <f t="shared" si="103"/>
        <v>0.6</v>
      </c>
      <c r="N235" s="130">
        <f t="shared" si="103"/>
        <v>0.33</v>
      </c>
      <c r="O235" s="130">
        <f t="shared" si="97"/>
        <v>0.33</v>
      </c>
      <c r="P235" s="130">
        <f t="shared" si="98"/>
        <v>0.33</v>
      </c>
    </row>
    <row r="236" spans="4:16" x14ac:dyDescent="0.25">
      <c r="D236" s="130" t="s">
        <v>88</v>
      </c>
      <c r="E236" s="130" t="s">
        <v>386</v>
      </c>
      <c r="F236" s="39" t="str">
        <f t="shared" si="95"/>
        <v>Winter</v>
      </c>
      <c r="G236" s="130">
        <f t="shared" si="95"/>
        <v>0.11</v>
      </c>
      <c r="H236" s="130">
        <f t="shared" si="95"/>
        <v>-0.27</v>
      </c>
      <c r="I236" s="130">
        <f t="shared" si="95"/>
        <v>0.11</v>
      </c>
      <c r="J236" s="130">
        <f t="shared" si="95"/>
        <v>0.22</v>
      </c>
      <c r="K236" s="130">
        <f t="shared" si="95"/>
        <v>-0.44</v>
      </c>
      <c r="L236" s="130">
        <f t="shared" ref="L236:N236" si="104">K164</f>
        <v>-0.44</v>
      </c>
      <c r="M236" s="130">
        <f t="shared" si="104"/>
        <v>0.16</v>
      </c>
      <c r="N236" s="130">
        <f t="shared" si="104"/>
        <v>-0.22</v>
      </c>
      <c r="O236" s="130">
        <f t="shared" si="97"/>
        <v>-0.22</v>
      </c>
      <c r="P236" s="130">
        <f t="shared" si="98"/>
        <v>-0.22</v>
      </c>
    </row>
    <row r="237" spans="4:16" x14ac:dyDescent="0.25">
      <c r="D237" s="130" t="s">
        <v>89</v>
      </c>
      <c r="E237" s="130" t="s">
        <v>386</v>
      </c>
      <c r="F237" s="39" t="str">
        <f t="shared" si="95"/>
        <v>Spring</v>
      </c>
      <c r="G237" s="130">
        <f t="shared" si="95"/>
        <v>1.1000000000000001</v>
      </c>
      <c r="H237" s="130">
        <f t="shared" si="95"/>
        <v>1.1000000000000001</v>
      </c>
      <c r="I237" s="130">
        <f t="shared" si="95"/>
        <v>1.1000000000000001</v>
      </c>
      <c r="J237" s="130">
        <f t="shared" si="95"/>
        <v>0.99</v>
      </c>
      <c r="K237" s="130">
        <f t="shared" si="95"/>
        <v>0.99</v>
      </c>
      <c r="L237" s="130">
        <f t="shared" ref="L237:N237" si="105">K165</f>
        <v>0.99</v>
      </c>
      <c r="M237" s="130">
        <f t="shared" si="105"/>
        <v>1.1000000000000001</v>
      </c>
      <c r="N237" s="130">
        <f t="shared" si="105"/>
        <v>0.77</v>
      </c>
      <c r="O237" s="130">
        <f t="shared" si="97"/>
        <v>0.77</v>
      </c>
      <c r="P237" s="130">
        <f t="shared" si="98"/>
        <v>0.77</v>
      </c>
    </row>
    <row r="238" spans="4:16" x14ac:dyDescent="0.25">
      <c r="D238" s="130" t="s">
        <v>89</v>
      </c>
      <c r="E238" s="130" t="s">
        <v>386</v>
      </c>
      <c r="F238" s="39" t="str">
        <f t="shared" si="95"/>
        <v>Summer</v>
      </c>
      <c r="G238" s="130">
        <f t="shared" si="95"/>
        <v>0.33</v>
      </c>
      <c r="H238" s="130">
        <f t="shared" si="95"/>
        <v>0.33</v>
      </c>
      <c r="I238" s="130">
        <f t="shared" si="95"/>
        <v>0.22</v>
      </c>
      <c r="J238" s="130">
        <f t="shared" si="95"/>
        <v>0.33</v>
      </c>
      <c r="K238" s="130">
        <f t="shared" si="95"/>
        <v>-0.1</v>
      </c>
      <c r="L238" s="130">
        <f t="shared" ref="L238:N238" si="106">K166</f>
        <v>-0.1</v>
      </c>
      <c r="M238" s="130">
        <f t="shared" si="106"/>
        <v>0.33</v>
      </c>
      <c r="N238" s="130">
        <f t="shared" si="106"/>
        <v>0.11</v>
      </c>
      <c r="O238" s="130">
        <f t="shared" si="97"/>
        <v>0.11</v>
      </c>
      <c r="P238" s="130">
        <f t="shared" si="98"/>
        <v>0.11</v>
      </c>
    </row>
    <row r="239" spans="4:16" x14ac:dyDescent="0.25">
      <c r="D239" s="130" t="s">
        <v>89</v>
      </c>
      <c r="E239" s="130" t="s">
        <v>386</v>
      </c>
      <c r="F239" s="39" t="str">
        <f t="shared" si="95"/>
        <v>Autumn</v>
      </c>
      <c r="G239" s="130">
        <f t="shared" si="95"/>
        <v>0.5</v>
      </c>
      <c r="H239" s="130">
        <f t="shared" si="95"/>
        <v>0.2</v>
      </c>
      <c r="I239" s="130">
        <f t="shared" si="95"/>
        <v>0.55000000000000004</v>
      </c>
      <c r="J239" s="130">
        <f t="shared" si="95"/>
        <v>0.44</v>
      </c>
      <c r="K239" s="130">
        <f t="shared" si="95"/>
        <v>0.2</v>
      </c>
      <c r="L239" s="130">
        <f t="shared" ref="L239:N239" si="107">K167</f>
        <v>0.2</v>
      </c>
      <c r="M239" s="130">
        <f t="shared" si="107"/>
        <v>0.55000000000000004</v>
      </c>
      <c r="N239" s="130">
        <f t="shared" si="107"/>
        <v>0.2</v>
      </c>
      <c r="O239" s="130">
        <f t="shared" si="97"/>
        <v>0.2</v>
      </c>
      <c r="P239" s="130">
        <f t="shared" si="98"/>
        <v>0.2</v>
      </c>
    </row>
    <row r="240" spans="4:16" x14ac:dyDescent="0.25">
      <c r="D240" s="130" t="s">
        <v>89</v>
      </c>
      <c r="E240" s="130" t="s">
        <v>386</v>
      </c>
      <c r="F240" s="39" t="str">
        <f t="shared" si="95"/>
        <v>Winter</v>
      </c>
      <c r="G240" s="130">
        <f t="shared" si="95"/>
        <v>0.55000000000000004</v>
      </c>
      <c r="H240" s="130">
        <f t="shared" si="95"/>
        <v>0.22</v>
      </c>
      <c r="I240" s="130">
        <f t="shared" si="95"/>
        <v>0.49</v>
      </c>
      <c r="J240" s="130">
        <f t="shared" si="95"/>
        <v>0.22</v>
      </c>
      <c r="K240" s="130">
        <f t="shared" si="95"/>
        <v>0.22</v>
      </c>
      <c r="L240" s="130">
        <f t="shared" ref="L240:N240" si="108">K168</f>
        <v>0.22</v>
      </c>
      <c r="M240" s="130">
        <f t="shared" si="108"/>
        <v>0.49</v>
      </c>
      <c r="N240" s="130">
        <f t="shared" si="108"/>
        <v>0.33</v>
      </c>
      <c r="O240" s="130">
        <f t="shared" si="97"/>
        <v>0.33</v>
      </c>
      <c r="P240" s="130">
        <f t="shared" si="98"/>
        <v>0.33</v>
      </c>
    </row>
    <row r="241" spans="4:16" x14ac:dyDescent="0.25">
      <c r="D241" s="130" t="s">
        <v>90</v>
      </c>
      <c r="E241" s="130" t="str">
        <f>E169</f>
        <v>South West</v>
      </c>
      <c r="F241" s="39" t="str">
        <f t="shared" si="95"/>
        <v>Spring</v>
      </c>
      <c r="G241" s="130">
        <f t="shared" si="95"/>
        <v>1.64</v>
      </c>
      <c r="H241" s="130">
        <f t="shared" si="95"/>
        <v>1.1000000000000001</v>
      </c>
      <c r="I241" s="130">
        <f t="shared" si="95"/>
        <v>1.21</v>
      </c>
      <c r="J241" s="130">
        <f t="shared" si="95"/>
        <v>0.99</v>
      </c>
      <c r="K241" s="130">
        <f t="shared" si="95"/>
        <v>0.66</v>
      </c>
      <c r="L241" s="130">
        <f t="shared" ref="L241:N241" si="109">K169</f>
        <v>0.66</v>
      </c>
      <c r="M241" s="130">
        <f t="shared" si="109"/>
        <v>1.42</v>
      </c>
      <c r="N241" s="130">
        <f t="shared" si="109"/>
        <v>1.1000000000000001</v>
      </c>
      <c r="O241" s="130">
        <f t="shared" si="97"/>
        <v>1.1000000000000001</v>
      </c>
      <c r="P241" s="130">
        <f t="shared" si="98"/>
        <v>1.1000000000000001</v>
      </c>
    </row>
    <row r="242" spans="4:16" x14ac:dyDescent="0.25">
      <c r="D242" s="130" t="s">
        <v>90</v>
      </c>
      <c r="E242" s="130" t="str">
        <f t="shared" ref="E242:E252" si="110">E170</f>
        <v>South West</v>
      </c>
      <c r="F242" s="39" t="str">
        <f t="shared" si="95"/>
        <v>Summer</v>
      </c>
      <c r="G242" s="130">
        <f t="shared" si="95"/>
        <v>0.44</v>
      </c>
      <c r="H242" s="130">
        <f t="shared" si="95"/>
        <v>-0.22</v>
      </c>
      <c r="I242" s="130">
        <f t="shared" si="95"/>
        <v>0.44</v>
      </c>
      <c r="J242" s="130">
        <f t="shared" si="95"/>
        <v>0.33</v>
      </c>
      <c r="K242" s="130">
        <f t="shared" si="95"/>
        <v>-0.22</v>
      </c>
      <c r="L242" s="130">
        <f t="shared" ref="L242:N242" si="111">K170</f>
        <v>-0.22</v>
      </c>
      <c r="M242" s="130">
        <f t="shared" si="111"/>
        <v>0.44</v>
      </c>
      <c r="N242" s="130">
        <f t="shared" si="111"/>
        <v>-0.11</v>
      </c>
      <c r="O242" s="130">
        <f t="shared" si="97"/>
        <v>-0.11</v>
      </c>
      <c r="P242" s="130">
        <f t="shared" si="98"/>
        <v>-0.11</v>
      </c>
    </row>
    <row r="243" spans="4:16" x14ac:dyDescent="0.25">
      <c r="D243" s="130" t="s">
        <v>90</v>
      </c>
      <c r="E243" s="130" t="str">
        <f t="shared" si="110"/>
        <v>South West</v>
      </c>
      <c r="F243" s="39" t="str">
        <f t="shared" si="95"/>
        <v>Autumn</v>
      </c>
      <c r="G243" s="130">
        <f t="shared" si="95"/>
        <v>0.6</v>
      </c>
      <c r="H243" s="130">
        <f t="shared" si="95"/>
        <v>0</v>
      </c>
      <c r="I243" s="130">
        <f t="shared" si="95"/>
        <v>0.6</v>
      </c>
      <c r="J243" s="130">
        <f t="shared" si="95"/>
        <v>0.22</v>
      </c>
      <c r="K243" s="130">
        <f t="shared" si="95"/>
        <v>-0.55000000000000004</v>
      </c>
      <c r="L243" s="130">
        <f t="shared" ref="L243:N243" si="112">K171</f>
        <v>-0.55000000000000004</v>
      </c>
      <c r="M243" s="130">
        <f t="shared" si="112"/>
        <v>0.6</v>
      </c>
      <c r="N243" s="130">
        <f t="shared" si="112"/>
        <v>0</v>
      </c>
      <c r="O243" s="130">
        <f t="shared" si="97"/>
        <v>0</v>
      </c>
      <c r="P243" s="130">
        <f t="shared" si="98"/>
        <v>0</v>
      </c>
    </row>
    <row r="244" spans="4:16" x14ac:dyDescent="0.25">
      <c r="D244" s="130" t="s">
        <v>90</v>
      </c>
      <c r="E244" s="130" t="str">
        <f t="shared" si="110"/>
        <v>South West</v>
      </c>
      <c r="F244" s="39" t="str">
        <f t="shared" si="95"/>
        <v>Winter</v>
      </c>
      <c r="G244" s="130">
        <f t="shared" si="95"/>
        <v>0.99</v>
      </c>
      <c r="H244" s="130">
        <f t="shared" si="95"/>
        <v>0.22</v>
      </c>
      <c r="I244" s="130">
        <f t="shared" si="95"/>
        <v>0.77</v>
      </c>
      <c r="J244" s="130">
        <f t="shared" si="95"/>
        <v>0.11</v>
      </c>
      <c r="K244" s="130">
        <f t="shared" si="95"/>
        <v>0.11</v>
      </c>
      <c r="L244" s="130">
        <f t="shared" ref="L244:N244" si="113">K172</f>
        <v>0.11</v>
      </c>
      <c r="M244" s="130">
        <f t="shared" si="113"/>
        <v>0.77</v>
      </c>
      <c r="N244" s="130">
        <f t="shared" si="113"/>
        <v>0.44</v>
      </c>
      <c r="O244" s="130">
        <f t="shared" si="97"/>
        <v>0.44</v>
      </c>
      <c r="P244" s="130">
        <f t="shared" si="98"/>
        <v>0.44</v>
      </c>
    </row>
    <row r="245" spans="4:16" x14ac:dyDescent="0.25">
      <c r="D245" s="130" t="s">
        <v>90</v>
      </c>
      <c r="E245" s="130" t="str">
        <f t="shared" si="110"/>
        <v>Pilbara</v>
      </c>
      <c r="F245" s="39" t="str">
        <f t="shared" si="95"/>
        <v>Spring</v>
      </c>
      <c r="G245" s="130">
        <f t="shared" si="95"/>
        <v>0.7</v>
      </c>
      <c r="H245" s="130">
        <f t="shared" si="95"/>
        <v>-0.55000000000000004</v>
      </c>
      <c r="I245" s="130">
        <f t="shared" si="95"/>
        <v>0.7</v>
      </c>
      <c r="J245" s="130">
        <f t="shared" si="95"/>
        <v>0.22</v>
      </c>
      <c r="K245" s="130">
        <f t="shared" si="95"/>
        <v>-0.22</v>
      </c>
      <c r="L245" s="130">
        <f t="shared" ref="L245:N245" si="114">K173</f>
        <v>-0.22</v>
      </c>
      <c r="M245" s="130">
        <f t="shared" si="114"/>
        <v>0.7</v>
      </c>
      <c r="N245" s="130">
        <f t="shared" si="114"/>
        <v>-0.22</v>
      </c>
      <c r="O245" s="130">
        <f t="shared" si="97"/>
        <v>-0.22</v>
      </c>
      <c r="P245" s="130">
        <f t="shared" si="98"/>
        <v>-0.22</v>
      </c>
    </row>
    <row r="246" spans="4:16" x14ac:dyDescent="0.25">
      <c r="D246" s="130" t="s">
        <v>90</v>
      </c>
      <c r="E246" s="130" t="str">
        <f t="shared" si="110"/>
        <v>Pilbara</v>
      </c>
      <c r="F246" s="39" t="str">
        <f t="shared" si="95"/>
        <v>Summer</v>
      </c>
      <c r="G246" s="130">
        <f t="shared" si="95"/>
        <v>0.77</v>
      </c>
      <c r="H246" s="130">
        <f t="shared" si="95"/>
        <v>0.55000000000000004</v>
      </c>
      <c r="I246" s="130">
        <f t="shared" si="95"/>
        <v>0.77</v>
      </c>
      <c r="J246" s="130">
        <f t="shared" si="95"/>
        <v>0.66</v>
      </c>
      <c r="K246" s="130">
        <f t="shared" si="95"/>
        <v>0.55000000000000004</v>
      </c>
      <c r="L246" s="130">
        <f t="shared" ref="L246:N246" si="115">K174</f>
        <v>0.55000000000000004</v>
      </c>
      <c r="M246" s="130">
        <f t="shared" si="115"/>
        <v>0.77</v>
      </c>
      <c r="N246" s="130">
        <f t="shared" si="115"/>
        <v>0.33</v>
      </c>
      <c r="O246" s="130">
        <f t="shared" si="97"/>
        <v>0.33</v>
      </c>
      <c r="P246" s="130">
        <f t="shared" si="98"/>
        <v>0.33</v>
      </c>
    </row>
    <row r="247" spans="4:16" x14ac:dyDescent="0.25">
      <c r="D247" s="130" t="s">
        <v>90</v>
      </c>
      <c r="E247" s="130" t="str">
        <f t="shared" si="110"/>
        <v>Pilbara</v>
      </c>
      <c r="F247" s="39" t="str">
        <f t="shared" si="95"/>
        <v>Autumn</v>
      </c>
      <c r="G247" s="130">
        <f t="shared" si="95"/>
        <v>0.88</v>
      </c>
      <c r="H247" s="130">
        <f t="shared" si="95"/>
        <v>0.55000000000000004</v>
      </c>
      <c r="I247" s="130">
        <f t="shared" si="95"/>
        <v>0.88</v>
      </c>
      <c r="J247" s="130">
        <f t="shared" si="95"/>
        <v>0.22</v>
      </c>
      <c r="K247" s="130">
        <f t="shared" si="95"/>
        <v>0.22</v>
      </c>
      <c r="L247" s="130">
        <f t="shared" ref="L247:N247" si="116">K175</f>
        <v>0.22</v>
      </c>
      <c r="M247" s="130">
        <f t="shared" si="116"/>
        <v>0.88</v>
      </c>
      <c r="N247" s="130">
        <f t="shared" si="116"/>
        <v>0.22</v>
      </c>
      <c r="O247" s="130">
        <f t="shared" si="97"/>
        <v>0.22</v>
      </c>
      <c r="P247" s="130">
        <f t="shared" si="98"/>
        <v>0.22</v>
      </c>
    </row>
    <row r="248" spans="4:16" x14ac:dyDescent="0.25">
      <c r="D248" s="130" t="s">
        <v>90</v>
      </c>
      <c r="E248" s="130" t="str">
        <f t="shared" si="110"/>
        <v>Pilbara</v>
      </c>
      <c r="F248" s="39" t="str">
        <f t="shared" si="95"/>
        <v>Winter</v>
      </c>
      <c r="G248" s="130">
        <f t="shared" si="95"/>
        <v>0.22</v>
      </c>
      <c r="H248" s="130">
        <f t="shared" si="95"/>
        <v>-0.55000000000000004</v>
      </c>
      <c r="I248" s="130">
        <f t="shared" si="95"/>
        <v>0.22</v>
      </c>
      <c r="J248" s="130">
        <f t="shared" si="95"/>
        <v>0.11</v>
      </c>
      <c r="K248" s="130">
        <f t="shared" si="95"/>
        <v>-0.22</v>
      </c>
      <c r="L248" s="130">
        <f t="shared" ref="L248:N248" si="117">K176</f>
        <v>-0.22</v>
      </c>
      <c r="M248" s="130">
        <f t="shared" si="117"/>
        <v>0.22</v>
      </c>
      <c r="N248" s="130">
        <f t="shared" si="117"/>
        <v>-0.33</v>
      </c>
      <c r="O248" s="130">
        <f t="shared" si="97"/>
        <v>-0.33</v>
      </c>
      <c r="P248" s="130">
        <f t="shared" si="98"/>
        <v>-0.33</v>
      </c>
    </row>
    <row r="249" spans="4:16" x14ac:dyDescent="0.25">
      <c r="D249" s="130" t="s">
        <v>90</v>
      </c>
      <c r="E249" s="130" t="str">
        <f t="shared" si="110"/>
        <v>Kimberley</v>
      </c>
      <c r="F249" s="39" t="str">
        <f t="shared" si="95"/>
        <v>Spring</v>
      </c>
      <c r="G249" s="130">
        <f t="shared" si="95"/>
        <v>0.22</v>
      </c>
      <c r="H249" s="130">
        <f t="shared" si="95"/>
        <v>-0.55000000000000004</v>
      </c>
      <c r="I249" s="130">
        <f t="shared" si="95"/>
        <v>0.33</v>
      </c>
      <c r="J249" s="130">
        <f t="shared" si="95"/>
        <v>0.22</v>
      </c>
      <c r="K249" s="130">
        <f t="shared" si="95"/>
        <v>-0.33</v>
      </c>
      <c r="L249" s="130">
        <f t="shared" ref="L249:N249" si="118">K177</f>
        <v>-0.33</v>
      </c>
      <c r="M249" s="130">
        <f t="shared" si="118"/>
        <v>0.22</v>
      </c>
      <c r="N249" s="130">
        <f t="shared" si="118"/>
        <v>-0.55000000000000004</v>
      </c>
      <c r="O249" s="130">
        <f t="shared" si="97"/>
        <v>-0.55000000000000004</v>
      </c>
      <c r="P249" s="130">
        <f t="shared" si="98"/>
        <v>-0.55000000000000004</v>
      </c>
    </row>
    <row r="250" spans="4:16" x14ac:dyDescent="0.25">
      <c r="D250" s="130" t="s">
        <v>90</v>
      </c>
      <c r="E250" s="130" t="str">
        <f t="shared" si="110"/>
        <v>Kimberley</v>
      </c>
      <c r="F250" s="39" t="str">
        <f t="shared" si="95"/>
        <v>Summer</v>
      </c>
      <c r="G250" s="130">
        <f t="shared" si="95"/>
        <v>0.8</v>
      </c>
      <c r="H250" s="130">
        <f t="shared" si="95"/>
        <v>0.55000000000000004</v>
      </c>
      <c r="I250" s="130">
        <f t="shared" si="95"/>
        <v>0.7</v>
      </c>
      <c r="J250" s="130">
        <f t="shared" si="95"/>
        <v>0.44</v>
      </c>
      <c r="K250" s="130">
        <f t="shared" si="95"/>
        <v>0.66</v>
      </c>
      <c r="L250" s="130">
        <f t="shared" ref="L250:N250" si="119">K178</f>
        <v>0.66</v>
      </c>
      <c r="M250" s="130">
        <f t="shared" si="119"/>
        <v>0.8</v>
      </c>
      <c r="N250" s="130">
        <f t="shared" si="119"/>
        <v>0.55000000000000004</v>
      </c>
      <c r="O250" s="130">
        <f t="shared" si="97"/>
        <v>0.55000000000000004</v>
      </c>
      <c r="P250" s="130">
        <f t="shared" si="98"/>
        <v>0.55000000000000004</v>
      </c>
    </row>
    <row r="251" spans="4:16" x14ac:dyDescent="0.25">
      <c r="D251" s="130" t="s">
        <v>90</v>
      </c>
      <c r="E251" s="130" t="str">
        <f t="shared" si="110"/>
        <v>Kimberley</v>
      </c>
      <c r="F251" s="39" t="str">
        <f t="shared" si="95"/>
        <v>Autumn</v>
      </c>
      <c r="G251" s="130">
        <f t="shared" si="95"/>
        <v>0.66</v>
      </c>
      <c r="H251" s="130">
        <f t="shared" si="95"/>
        <v>0.55000000000000004</v>
      </c>
      <c r="I251" s="130">
        <f t="shared" si="95"/>
        <v>0.55000000000000004</v>
      </c>
      <c r="J251" s="130">
        <f t="shared" si="95"/>
        <v>0.55000000000000004</v>
      </c>
      <c r="K251" s="130">
        <f t="shared" si="95"/>
        <v>0.11</v>
      </c>
      <c r="L251" s="130">
        <f t="shared" ref="L251:N251" si="120">K179</f>
        <v>0.11</v>
      </c>
      <c r="M251" s="130">
        <f t="shared" si="120"/>
        <v>0.66</v>
      </c>
      <c r="N251" s="130">
        <f t="shared" si="120"/>
        <v>0.55000000000000004</v>
      </c>
      <c r="O251" s="130">
        <f t="shared" si="97"/>
        <v>0.55000000000000004</v>
      </c>
      <c r="P251" s="130">
        <f t="shared" si="98"/>
        <v>0.55000000000000004</v>
      </c>
    </row>
    <row r="252" spans="4:16" x14ac:dyDescent="0.25">
      <c r="D252" s="130" t="s">
        <v>90</v>
      </c>
      <c r="E252" s="130" t="str">
        <f t="shared" si="110"/>
        <v>Kimberley</v>
      </c>
      <c r="F252" s="39" t="str">
        <f t="shared" si="95"/>
        <v>Winter</v>
      </c>
      <c r="G252" s="130">
        <f t="shared" si="95"/>
        <v>0.33</v>
      </c>
      <c r="H252" s="130">
        <f t="shared" si="95"/>
        <v>-0.55000000000000004</v>
      </c>
      <c r="I252" s="130">
        <f t="shared" si="95"/>
        <v>0.11</v>
      </c>
      <c r="J252" s="130">
        <f t="shared" si="95"/>
        <v>0.11</v>
      </c>
      <c r="K252" s="130">
        <f t="shared" si="95"/>
        <v>-0.44</v>
      </c>
      <c r="L252" s="130">
        <f t="shared" ref="L252:N252" si="121">K180</f>
        <v>-0.44</v>
      </c>
      <c r="M252" s="130">
        <f t="shared" si="121"/>
        <v>0.33</v>
      </c>
      <c r="N252" s="130">
        <f t="shared" si="121"/>
        <v>-0.55000000000000004</v>
      </c>
      <c r="O252" s="130">
        <f t="shared" si="97"/>
        <v>-0.55000000000000004</v>
      </c>
      <c r="P252" s="130">
        <f t="shared" si="98"/>
        <v>-0.55000000000000004</v>
      </c>
    </row>
    <row r="253" spans="4:16" x14ac:dyDescent="0.25">
      <c r="D253" s="130" t="s">
        <v>85</v>
      </c>
      <c r="E253" s="130" t="str">
        <f>E188</f>
        <v>Alice Springs</v>
      </c>
      <c r="F253" s="130" t="str">
        <f>F188</f>
        <v>Spring</v>
      </c>
      <c r="G253" s="130">
        <f>G188</f>
        <v>0.22</v>
      </c>
      <c r="H253" s="130">
        <f t="shared" ref="H253:P253" si="122">H188</f>
        <v>-0.23</v>
      </c>
      <c r="I253" s="130">
        <f t="shared" si="122"/>
        <v>0.25</v>
      </c>
      <c r="J253" s="130">
        <f t="shared" si="122"/>
        <v>0.17</v>
      </c>
      <c r="K253" s="130">
        <f t="shared" si="122"/>
        <v>0.18</v>
      </c>
      <c r="L253" s="130">
        <f t="shared" si="122"/>
        <v>-0.28000000000000003</v>
      </c>
      <c r="M253" s="130">
        <f t="shared" si="122"/>
        <v>0.32</v>
      </c>
      <c r="N253" s="130">
        <f t="shared" si="122"/>
        <v>0.24</v>
      </c>
      <c r="O253" s="130">
        <f t="shared" si="122"/>
        <v>0.25</v>
      </c>
      <c r="P253" s="130">
        <f t="shared" si="122"/>
        <v>-0.05</v>
      </c>
    </row>
    <row r="254" spans="4:16" x14ac:dyDescent="0.25">
      <c r="D254" s="130" t="s">
        <v>85</v>
      </c>
      <c r="E254" s="130" t="str">
        <f t="shared" ref="E254:P280" si="123">E189</f>
        <v>Alice Springs</v>
      </c>
      <c r="F254" s="130" t="str">
        <f t="shared" si="123"/>
        <v>Summer</v>
      </c>
      <c r="G254" s="130">
        <f t="shared" si="123"/>
        <v>0.66</v>
      </c>
      <c r="H254" s="130">
        <f t="shared" si="123"/>
        <v>0.2</v>
      </c>
      <c r="I254" s="130">
        <f t="shared" si="123"/>
        <v>0.62</v>
      </c>
      <c r="J254" s="130">
        <f t="shared" si="123"/>
        <v>0.54</v>
      </c>
      <c r="K254" s="130">
        <f t="shared" si="123"/>
        <v>0.38</v>
      </c>
      <c r="L254" s="130">
        <f t="shared" si="123"/>
        <v>0.27</v>
      </c>
      <c r="M254" s="130">
        <f t="shared" si="123"/>
        <v>0.75</v>
      </c>
      <c r="N254" s="130">
        <f t="shared" si="123"/>
        <v>0.64</v>
      </c>
      <c r="O254" s="130">
        <f t="shared" si="123"/>
        <v>0.55000000000000004</v>
      </c>
      <c r="P254" s="130">
        <f t="shared" si="123"/>
        <v>0.48</v>
      </c>
    </row>
    <row r="255" spans="4:16" x14ac:dyDescent="0.25">
      <c r="D255" s="130" t="s">
        <v>85</v>
      </c>
      <c r="E255" s="130" t="str">
        <f t="shared" si="123"/>
        <v>Alice Springs</v>
      </c>
      <c r="F255" s="130" t="str">
        <f t="shared" si="123"/>
        <v>Autumn</v>
      </c>
      <c r="G255" s="130">
        <f t="shared" si="123"/>
        <v>0.49</v>
      </c>
      <c r="H255" s="130">
        <f t="shared" si="123"/>
        <v>0.13</v>
      </c>
      <c r="I255" s="130">
        <f t="shared" si="123"/>
        <v>0.54</v>
      </c>
      <c r="J255" s="130">
        <f t="shared" si="123"/>
        <v>0.45</v>
      </c>
      <c r="K255" s="130">
        <f t="shared" si="123"/>
        <v>0.35</v>
      </c>
      <c r="L255" s="130">
        <f t="shared" si="123"/>
        <v>0.15</v>
      </c>
      <c r="M255" s="130">
        <f t="shared" si="123"/>
        <v>0.63</v>
      </c>
      <c r="N255" s="130">
        <f t="shared" si="123"/>
        <v>0.54</v>
      </c>
      <c r="O255" s="130">
        <f t="shared" si="123"/>
        <v>0.42</v>
      </c>
      <c r="P255" s="130">
        <f t="shared" si="123"/>
        <v>0.26</v>
      </c>
    </row>
    <row r="256" spans="4:16" x14ac:dyDescent="0.25">
      <c r="D256" s="130" t="s">
        <v>85</v>
      </c>
      <c r="E256" s="130" t="str">
        <f t="shared" si="123"/>
        <v>Alice Springs</v>
      </c>
      <c r="F256" s="130" t="str">
        <f t="shared" si="123"/>
        <v>Winter</v>
      </c>
      <c r="G256" s="130">
        <f t="shared" si="123"/>
        <v>0.27</v>
      </c>
      <c r="H256" s="130">
        <f t="shared" si="123"/>
        <v>-0.8</v>
      </c>
      <c r="I256" s="130">
        <f t="shared" si="123"/>
        <v>0.22</v>
      </c>
      <c r="J256" s="130">
        <f t="shared" si="123"/>
        <v>0.09</v>
      </c>
      <c r="K256" s="130">
        <f t="shared" si="123"/>
        <v>0.12</v>
      </c>
      <c r="L256" s="130">
        <f t="shared" si="123"/>
        <v>0.02</v>
      </c>
      <c r="M256" s="130">
        <f t="shared" si="123"/>
        <v>0.25</v>
      </c>
      <c r="N256" s="130">
        <f t="shared" si="123"/>
        <v>0.18</v>
      </c>
      <c r="O256" s="130">
        <f t="shared" si="123"/>
        <v>0.12</v>
      </c>
      <c r="P256" s="130">
        <f t="shared" si="123"/>
        <v>0.03</v>
      </c>
    </row>
    <row r="257" spans="4:16" x14ac:dyDescent="0.25">
      <c r="D257" s="130" t="s">
        <v>85</v>
      </c>
      <c r="E257" s="130" t="str">
        <f t="shared" si="123"/>
        <v>Barkly</v>
      </c>
      <c r="F257" s="130" t="str">
        <f t="shared" si="123"/>
        <v>Spring</v>
      </c>
      <c r="G257" s="130">
        <f t="shared" si="123"/>
        <v>0.22</v>
      </c>
      <c r="H257" s="130">
        <f t="shared" si="123"/>
        <v>-0.44</v>
      </c>
      <c r="I257" s="130">
        <f t="shared" si="123"/>
        <v>0.2</v>
      </c>
      <c r="J257" s="130">
        <f t="shared" si="123"/>
        <v>0.21</v>
      </c>
      <c r="K257" s="130">
        <f t="shared" si="123"/>
        <v>0.18</v>
      </c>
      <c r="L257" s="130">
        <f t="shared" si="123"/>
        <v>0.01</v>
      </c>
      <c r="M257" s="130">
        <f t="shared" si="123"/>
        <v>0.12</v>
      </c>
      <c r="N257" s="130">
        <f t="shared" si="123"/>
        <v>0.09</v>
      </c>
      <c r="O257" s="130" t="str">
        <f t="shared" si="123"/>
        <v>NO</v>
      </c>
      <c r="P257" s="130" t="str">
        <f t="shared" si="123"/>
        <v>NO</v>
      </c>
    </row>
    <row r="258" spans="4:16" x14ac:dyDescent="0.25">
      <c r="D258" s="130" t="s">
        <v>85</v>
      </c>
      <c r="E258" s="130" t="str">
        <f t="shared" si="123"/>
        <v>Barkly</v>
      </c>
      <c r="F258" s="130" t="str">
        <f t="shared" si="123"/>
        <v>Summer</v>
      </c>
      <c r="G258" s="130">
        <f t="shared" si="123"/>
        <v>0.66</v>
      </c>
      <c r="H258" s="130">
        <f t="shared" si="123"/>
        <v>0.22</v>
      </c>
      <c r="I258" s="130">
        <f t="shared" si="123"/>
        <v>0.68</v>
      </c>
      <c r="J258" s="130">
        <f t="shared" si="123"/>
        <v>0.22</v>
      </c>
      <c r="K258" s="130">
        <f t="shared" si="123"/>
        <v>0.24</v>
      </c>
      <c r="L258" s="130">
        <f t="shared" si="123"/>
        <v>0.25</v>
      </c>
      <c r="M258" s="130">
        <f t="shared" si="123"/>
        <v>0.64</v>
      </c>
      <c r="N258" s="130">
        <f t="shared" si="123"/>
        <v>0.37</v>
      </c>
      <c r="O258" s="130" t="str">
        <f t="shared" si="123"/>
        <v>NO</v>
      </c>
      <c r="P258" s="130" t="str">
        <f t="shared" si="123"/>
        <v>NO</v>
      </c>
    </row>
    <row r="259" spans="4:16" x14ac:dyDescent="0.25">
      <c r="D259" s="130" t="s">
        <v>85</v>
      </c>
      <c r="E259" s="130" t="str">
        <f t="shared" si="123"/>
        <v>Barkly</v>
      </c>
      <c r="F259" s="130" t="str">
        <f t="shared" si="123"/>
        <v>Autumn</v>
      </c>
      <c r="G259" s="130">
        <f t="shared" si="123"/>
        <v>0.49</v>
      </c>
      <c r="H259" s="130">
        <f t="shared" si="123"/>
        <v>0.05</v>
      </c>
      <c r="I259" s="130">
        <f t="shared" si="123"/>
        <v>0.64</v>
      </c>
      <c r="J259" s="130">
        <f t="shared" si="123"/>
        <v>0.25</v>
      </c>
      <c r="K259" s="130">
        <f t="shared" si="123"/>
        <v>0.28999999999999998</v>
      </c>
      <c r="L259" s="130">
        <f t="shared" si="123"/>
        <v>0.12</v>
      </c>
      <c r="M259" s="130">
        <f t="shared" si="123"/>
        <v>0.56999999999999995</v>
      </c>
      <c r="N259" s="130">
        <f t="shared" si="123"/>
        <v>0.49</v>
      </c>
      <c r="O259" s="130" t="str">
        <f t="shared" si="123"/>
        <v>NO</v>
      </c>
      <c r="P259" s="130" t="str">
        <f t="shared" si="123"/>
        <v>NO</v>
      </c>
    </row>
    <row r="260" spans="4:16" x14ac:dyDescent="0.25">
      <c r="D260" s="130" t="s">
        <v>85</v>
      </c>
      <c r="E260" s="130" t="str">
        <f t="shared" si="123"/>
        <v>Barkly</v>
      </c>
      <c r="F260" s="130" t="str">
        <f t="shared" si="123"/>
        <v>Winter</v>
      </c>
      <c r="G260" s="130">
        <f t="shared" si="123"/>
        <v>0.27</v>
      </c>
      <c r="H260" s="130">
        <f t="shared" si="123"/>
        <v>-0.27</v>
      </c>
      <c r="I260" s="130">
        <f t="shared" si="123"/>
        <v>0.31</v>
      </c>
      <c r="J260" s="130">
        <f t="shared" si="123"/>
        <v>0.28999999999999998</v>
      </c>
      <c r="K260" s="130">
        <f t="shared" si="123"/>
        <v>0.19</v>
      </c>
      <c r="L260" s="130">
        <f t="shared" si="123"/>
        <v>0.04</v>
      </c>
      <c r="M260" s="130">
        <f t="shared" si="123"/>
        <v>0.26</v>
      </c>
      <c r="N260" s="130">
        <f t="shared" si="123"/>
        <v>0.28000000000000003</v>
      </c>
      <c r="O260" s="130" t="str">
        <f t="shared" si="123"/>
        <v>NO</v>
      </c>
      <c r="P260" s="130" t="str">
        <f t="shared" si="123"/>
        <v>NO</v>
      </c>
    </row>
    <row r="261" spans="4:16" x14ac:dyDescent="0.25">
      <c r="D261" s="130" t="s">
        <v>85</v>
      </c>
      <c r="E261" s="130" t="str">
        <f t="shared" si="123"/>
        <v>Northern</v>
      </c>
      <c r="F261" s="130" t="str">
        <f t="shared" si="123"/>
        <v>Spring</v>
      </c>
      <c r="G261" s="130">
        <f t="shared" si="123"/>
        <v>0.22</v>
      </c>
      <c r="H261" s="130">
        <f t="shared" si="123"/>
        <v>-0.44</v>
      </c>
      <c r="I261" s="130">
        <f t="shared" si="123"/>
        <v>0</v>
      </c>
      <c r="J261" s="130">
        <f t="shared" si="123"/>
        <v>0.15</v>
      </c>
      <c r="K261" s="130">
        <f t="shared" si="123"/>
        <v>0.08</v>
      </c>
      <c r="L261" s="130">
        <f t="shared" si="123"/>
        <v>0.17</v>
      </c>
      <c r="M261" s="130">
        <f t="shared" si="123"/>
        <v>0.06</v>
      </c>
      <c r="N261" s="130">
        <f t="shared" si="123"/>
        <v>0.02</v>
      </c>
      <c r="O261" s="130">
        <f t="shared" si="123"/>
        <v>-0.14000000000000001</v>
      </c>
      <c r="P261" s="130" t="str">
        <f t="shared" si="123"/>
        <v>NO</v>
      </c>
    </row>
    <row r="262" spans="4:16" x14ac:dyDescent="0.25">
      <c r="D262" s="130" t="s">
        <v>85</v>
      </c>
      <c r="E262" s="130" t="str">
        <f t="shared" si="123"/>
        <v>Northern</v>
      </c>
      <c r="F262" s="130" t="str">
        <f t="shared" si="123"/>
        <v>Summer</v>
      </c>
      <c r="G262" s="130">
        <f t="shared" si="123"/>
        <v>0.66</v>
      </c>
      <c r="H262" s="130">
        <f t="shared" si="123"/>
        <v>0.22</v>
      </c>
      <c r="I262" s="130">
        <f t="shared" si="123"/>
        <v>0.79</v>
      </c>
      <c r="J262" s="130">
        <f t="shared" si="123"/>
        <v>0.4</v>
      </c>
      <c r="K262" s="130">
        <f t="shared" si="123"/>
        <v>0.38</v>
      </c>
      <c r="L262" s="130">
        <f t="shared" si="123"/>
        <v>0.27</v>
      </c>
      <c r="M262" s="130">
        <f t="shared" si="123"/>
        <v>0.8</v>
      </c>
      <c r="N262" s="130">
        <f t="shared" si="123"/>
        <v>0.16</v>
      </c>
      <c r="O262" s="130">
        <f t="shared" si="123"/>
        <v>0.3</v>
      </c>
      <c r="P262" s="130" t="str">
        <f t="shared" si="123"/>
        <v>NO</v>
      </c>
    </row>
    <row r="263" spans="4:16" x14ac:dyDescent="0.25">
      <c r="D263" s="130" t="s">
        <v>85</v>
      </c>
      <c r="E263" s="130" t="str">
        <f t="shared" si="123"/>
        <v>Northern</v>
      </c>
      <c r="F263" s="130" t="str">
        <f t="shared" si="123"/>
        <v>Autumn</v>
      </c>
      <c r="G263" s="130">
        <f t="shared" si="123"/>
        <v>0.49</v>
      </c>
      <c r="H263" s="130">
        <f t="shared" si="123"/>
        <v>0.05</v>
      </c>
      <c r="I263" s="130">
        <f t="shared" si="123"/>
        <v>0.55000000000000004</v>
      </c>
      <c r="J263" s="130">
        <f t="shared" si="123"/>
        <v>0.38</v>
      </c>
      <c r="K263" s="130">
        <f t="shared" si="123"/>
        <v>0.36</v>
      </c>
      <c r="L263" s="130">
        <f t="shared" si="123"/>
        <v>0.06</v>
      </c>
      <c r="M263" s="130">
        <f t="shared" si="123"/>
        <v>0.57999999999999996</v>
      </c>
      <c r="N263" s="130">
        <f t="shared" si="123"/>
        <v>0.23</v>
      </c>
      <c r="O263" s="130">
        <f t="shared" si="123"/>
        <v>0.4</v>
      </c>
      <c r="P263" s="130" t="str">
        <f t="shared" si="123"/>
        <v>NO</v>
      </c>
    </row>
    <row r="264" spans="4:16" x14ac:dyDescent="0.25">
      <c r="D264" s="130" t="s">
        <v>85</v>
      </c>
      <c r="E264" s="130" t="str">
        <f t="shared" si="123"/>
        <v>Northern</v>
      </c>
      <c r="F264" s="130" t="str">
        <f t="shared" si="123"/>
        <v>Winter</v>
      </c>
      <c r="G264" s="130">
        <f t="shared" si="123"/>
        <v>0.27</v>
      </c>
      <c r="H264" s="130">
        <f t="shared" si="123"/>
        <v>-0.27</v>
      </c>
      <c r="I264" s="130">
        <f t="shared" si="123"/>
        <v>0.02</v>
      </c>
      <c r="J264" s="130">
        <f t="shared" si="123"/>
        <v>0.09</v>
      </c>
      <c r="K264" s="130">
        <f t="shared" si="123"/>
        <v>0.16</v>
      </c>
      <c r="L264" s="130">
        <f t="shared" si="123"/>
        <v>-0.04</v>
      </c>
      <c r="M264" s="130">
        <f t="shared" si="123"/>
        <v>0.21</v>
      </c>
      <c r="N264" s="130">
        <f t="shared" si="123"/>
        <v>0.03</v>
      </c>
      <c r="O264" s="130">
        <f t="shared" si="123"/>
        <v>0.11</v>
      </c>
      <c r="P264" s="130" t="str">
        <f t="shared" si="123"/>
        <v>NO</v>
      </c>
    </row>
    <row r="265" spans="4:16" x14ac:dyDescent="0.25">
      <c r="D265" s="130" t="s">
        <v>86</v>
      </c>
      <c r="E265" s="130" t="str">
        <f t="shared" si="123"/>
        <v>High</v>
      </c>
      <c r="F265" s="130" t="str">
        <f t="shared" si="123"/>
        <v>Spring</v>
      </c>
      <c r="G265" s="130">
        <f t="shared" si="123"/>
        <v>0.27</v>
      </c>
      <c r="H265" s="130">
        <f t="shared" si="123"/>
        <v>-0.19</v>
      </c>
      <c r="I265" s="130">
        <f t="shared" si="123"/>
        <v>0.38</v>
      </c>
      <c r="J265" s="130">
        <f t="shared" si="123"/>
        <v>0.25</v>
      </c>
      <c r="K265" s="130">
        <f t="shared" si="123"/>
        <v>7.0000000000000007E-2</v>
      </c>
      <c r="L265" s="130">
        <f t="shared" si="123"/>
        <v>0.05</v>
      </c>
      <c r="M265" s="130">
        <f t="shared" si="123"/>
        <v>0.52</v>
      </c>
      <c r="N265" s="130">
        <f t="shared" si="123"/>
        <v>0.55000000000000004</v>
      </c>
      <c r="O265" s="130">
        <f t="shared" si="123"/>
        <v>0.19</v>
      </c>
      <c r="P265" s="130">
        <f t="shared" si="123"/>
        <v>0.6</v>
      </c>
    </row>
    <row r="266" spans="4:16" x14ac:dyDescent="0.25">
      <c r="D266" s="130" t="s">
        <v>86</v>
      </c>
      <c r="E266" s="130" t="str">
        <f t="shared" si="123"/>
        <v>High</v>
      </c>
      <c r="F266" s="130" t="str">
        <f t="shared" si="123"/>
        <v>Summer</v>
      </c>
      <c r="G266" s="130">
        <f t="shared" si="123"/>
        <v>0.16</v>
      </c>
      <c r="H266" s="130">
        <f t="shared" si="123"/>
        <v>0.16</v>
      </c>
      <c r="I266" s="130">
        <f t="shared" si="123"/>
        <v>0.8</v>
      </c>
      <c r="J266" s="130">
        <f t="shared" si="123"/>
        <v>0.56999999999999995</v>
      </c>
      <c r="K266" s="130">
        <f t="shared" si="123"/>
        <v>0.76</v>
      </c>
      <c r="L266" s="130">
        <f t="shared" si="123"/>
        <v>0.49</v>
      </c>
      <c r="M266" s="130">
        <f t="shared" si="123"/>
        <v>0.84</v>
      </c>
      <c r="N266" s="130">
        <f t="shared" si="123"/>
        <v>0.51</v>
      </c>
      <c r="O266" s="130">
        <f t="shared" si="123"/>
        <v>0.36</v>
      </c>
      <c r="P266" s="130">
        <f t="shared" si="123"/>
        <v>0.17</v>
      </c>
    </row>
    <row r="267" spans="4:16" x14ac:dyDescent="0.25">
      <c r="D267" s="130" t="s">
        <v>86</v>
      </c>
      <c r="E267" s="130" t="str">
        <f t="shared" si="123"/>
        <v>High</v>
      </c>
      <c r="F267" s="130" t="str">
        <f t="shared" si="123"/>
        <v>Autumn</v>
      </c>
      <c r="G267" s="130">
        <f t="shared" si="123"/>
        <v>0.45</v>
      </c>
      <c r="H267" s="130">
        <f t="shared" si="123"/>
        <v>0.1</v>
      </c>
      <c r="I267" s="130">
        <f t="shared" si="123"/>
        <v>0.49</v>
      </c>
      <c r="J267" s="130">
        <f t="shared" si="123"/>
        <v>0.41</v>
      </c>
      <c r="K267" s="130">
        <f t="shared" si="123"/>
        <v>0.4</v>
      </c>
      <c r="L267" s="130">
        <f t="shared" si="123"/>
        <v>0.17</v>
      </c>
      <c r="M267" s="130">
        <f t="shared" si="123"/>
        <v>0.54</v>
      </c>
      <c r="N267" s="130">
        <f t="shared" si="123"/>
        <v>0.64</v>
      </c>
      <c r="O267" s="130">
        <f t="shared" si="123"/>
        <v>-0.05</v>
      </c>
      <c r="P267" s="130">
        <f t="shared" si="123"/>
        <v>0.32</v>
      </c>
    </row>
    <row r="268" spans="4:16" x14ac:dyDescent="0.25">
      <c r="D268" s="130" t="s">
        <v>86</v>
      </c>
      <c r="E268" s="130" t="str">
        <f t="shared" si="123"/>
        <v>High</v>
      </c>
      <c r="F268" s="130" t="str">
        <f t="shared" si="123"/>
        <v>Winter</v>
      </c>
      <c r="G268" s="130">
        <f t="shared" si="123"/>
        <v>0.51</v>
      </c>
      <c r="H268" s="130">
        <f t="shared" si="123"/>
        <v>-7.0000000000000007E-2</v>
      </c>
      <c r="I268" s="130">
        <f t="shared" si="123"/>
        <v>0.13</v>
      </c>
      <c r="J268" s="130">
        <f t="shared" si="123"/>
        <v>-0.09</v>
      </c>
      <c r="K268" s="130">
        <f t="shared" si="123"/>
        <v>-0.13</v>
      </c>
      <c r="L268" s="130">
        <f t="shared" si="123"/>
        <v>7.0000000000000007E-2</v>
      </c>
      <c r="M268" s="130">
        <f t="shared" si="123"/>
        <v>0.25</v>
      </c>
      <c r="N268" s="130">
        <f t="shared" si="123"/>
        <v>0.71</v>
      </c>
      <c r="O268" s="130">
        <f t="shared" si="123"/>
        <v>0.17</v>
      </c>
      <c r="P268" s="130">
        <f t="shared" si="123"/>
        <v>0.43</v>
      </c>
    </row>
    <row r="269" spans="4:16" x14ac:dyDescent="0.25">
      <c r="D269" s="130" t="s">
        <v>86</v>
      </c>
      <c r="E269" s="130" t="str">
        <f t="shared" si="123"/>
        <v>Moderate/High</v>
      </c>
      <c r="F269" s="130" t="str">
        <f t="shared" si="123"/>
        <v>Spring</v>
      </c>
      <c r="G269" s="130">
        <f t="shared" si="123"/>
        <v>-0.12</v>
      </c>
      <c r="H269" s="130">
        <f t="shared" si="123"/>
        <v>-0.19</v>
      </c>
      <c r="I269" s="130">
        <f t="shared" si="123"/>
        <v>0.41</v>
      </c>
      <c r="J269" s="130">
        <f t="shared" si="123"/>
        <v>0.09</v>
      </c>
      <c r="K269" s="130">
        <f t="shared" si="123"/>
        <v>0.41</v>
      </c>
      <c r="L269" s="130">
        <f t="shared" si="123"/>
        <v>-0.19</v>
      </c>
      <c r="M269" s="130">
        <f t="shared" si="123"/>
        <v>7.0000000000000007E-2</v>
      </c>
      <c r="N269" s="130">
        <f t="shared" si="123"/>
        <v>1.07</v>
      </c>
      <c r="O269" s="130">
        <f t="shared" si="123"/>
        <v>-0.08</v>
      </c>
      <c r="P269" s="130">
        <f t="shared" si="123"/>
        <v>0</v>
      </c>
    </row>
    <row r="270" spans="4:16" x14ac:dyDescent="0.25">
      <c r="D270" s="130" t="s">
        <v>86</v>
      </c>
      <c r="E270" s="130" t="str">
        <f t="shared" si="123"/>
        <v>Moderate/High</v>
      </c>
      <c r="F270" s="130" t="str">
        <f t="shared" si="123"/>
        <v>Summer</v>
      </c>
      <c r="G270" s="130">
        <f t="shared" si="123"/>
        <v>0.65</v>
      </c>
      <c r="H270" s="130">
        <f t="shared" si="123"/>
        <v>0.19</v>
      </c>
      <c r="I270" s="130">
        <f t="shared" si="123"/>
        <v>0.65</v>
      </c>
      <c r="J270" s="130">
        <f t="shared" si="123"/>
        <v>0.51</v>
      </c>
      <c r="K270" s="130">
        <f t="shared" si="123"/>
        <v>0.18</v>
      </c>
      <c r="L270" s="130">
        <f t="shared" si="123"/>
        <v>0.63</v>
      </c>
      <c r="M270" s="130">
        <f t="shared" si="123"/>
        <v>1.3</v>
      </c>
      <c r="N270" s="130">
        <f t="shared" si="123"/>
        <v>0.48</v>
      </c>
      <c r="O270" s="130">
        <f t="shared" si="123"/>
        <v>1.1200000000000001</v>
      </c>
      <c r="P270" s="130">
        <f t="shared" si="123"/>
        <v>0.38</v>
      </c>
    </row>
    <row r="271" spans="4:16" x14ac:dyDescent="0.25">
      <c r="D271" s="130" t="s">
        <v>86</v>
      </c>
      <c r="E271" s="130" t="str">
        <f t="shared" si="123"/>
        <v>Moderate/High</v>
      </c>
      <c r="F271" s="130" t="str">
        <f t="shared" si="123"/>
        <v>Autumn</v>
      </c>
      <c r="G271" s="130">
        <f t="shared" si="123"/>
        <v>0.7</v>
      </c>
      <c r="H271" s="130">
        <f t="shared" si="123"/>
        <v>0.13</v>
      </c>
      <c r="I271" s="130">
        <f t="shared" si="123"/>
        <v>0.52</v>
      </c>
      <c r="J271" s="130">
        <f t="shared" si="123"/>
        <v>0.34</v>
      </c>
      <c r="K271" s="130">
        <f t="shared" si="123"/>
        <v>0.02</v>
      </c>
      <c r="L271" s="130">
        <f t="shared" si="123"/>
        <v>0.04</v>
      </c>
      <c r="M271" s="130">
        <f t="shared" si="123"/>
        <v>0.77</v>
      </c>
      <c r="N271" s="130">
        <f t="shared" si="123"/>
        <v>0.42</v>
      </c>
      <c r="O271" s="130">
        <f t="shared" si="123"/>
        <v>0.12</v>
      </c>
      <c r="P271" s="130">
        <f t="shared" si="123"/>
        <v>0.74</v>
      </c>
    </row>
    <row r="272" spans="4:16" x14ac:dyDescent="0.25">
      <c r="D272" s="130" t="s">
        <v>86</v>
      </c>
      <c r="E272" s="130" t="str">
        <f t="shared" si="123"/>
        <v>Moderate/High</v>
      </c>
      <c r="F272" s="130" t="str">
        <f t="shared" si="123"/>
        <v>Winter</v>
      </c>
      <c r="G272" s="130">
        <f t="shared" si="123"/>
        <v>0.32</v>
      </c>
      <c r="H272" s="130">
        <f t="shared" si="123"/>
        <v>-0.06</v>
      </c>
      <c r="I272" s="130">
        <f t="shared" si="123"/>
        <v>0.25</v>
      </c>
      <c r="J272" s="130">
        <f t="shared" si="123"/>
        <v>0.19</v>
      </c>
      <c r="K272" s="130">
        <f t="shared" si="123"/>
        <v>-0.1</v>
      </c>
      <c r="L272" s="130">
        <f t="shared" si="123"/>
        <v>-0.02</v>
      </c>
      <c r="M272" s="130">
        <f t="shared" si="123"/>
        <v>0.02</v>
      </c>
      <c r="N272" s="130">
        <f t="shared" si="123"/>
        <v>0.23</v>
      </c>
      <c r="O272" s="130">
        <f t="shared" si="123"/>
        <v>-0.13</v>
      </c>
      <c r="P272" s="130">
        <f t="shared" si="123"/>
        <v>0</v>
      </c>
    </row>
    <row r="273" spans="4:16" x14ac:dyDescent="0.25">
      <c r="D273" s="130" t="s">
        <v>86</v>
      </c>
      <c r="E273" s="130" t="str">
        <f t="shared" si="123"/>
        <v>Moderate/Low</v>
      </c>
      <c r="F273" s="130" t="str">
        <f t="shared" si="123"/>
        <v>Spring</v>
      </c>
      <c r="G273" s="130">
        <f t="shared" si="123"/>
        <v>0.62</v>
      </c>
      <c r="H273" s="130">
        <f t="shared" si="123"/>
        <v>-0.19</v>
      </c>
      <c r="I273" s="130">
        <f t="shared" si="123"/>
        <v>0.37</v>
      </c>
      <c r="J273" s="130">
        <f t="shared" si="123"/>
        <v>0.41</v>
      </c>
      <c r="K273" s="130">
        <f t="shared" si="123"/>
        <v>0.06</v>
      </c>
      <c r="L273" s="130">
        <f t="shared" si="123"/>
        <v>-0.02</v>
      </c>
      <c r="M273" s="130">
        <f t="shared" si="123"/>
        <v>0.47</v>
      </c>
      <c r="N273" s="130">
        <f t="shared" si="123"/>
        <v>0.44</v>
      </c>
      <c r="O273" s="130">
        <f t="shared" si="123"/>
        <v>0.3</v>
      </c>
      <c r="P273" s="130">
        <f t="shared" si="123"/>
        <v>0.13</v>
      </c>
    </row>
    <row r="274" spans="4:16" x14ac:dyDescent="0.25">
      <c r="D274" s="130" t="s">
        <v>86</v>
      </c>
      <c r="E274" s="130" t="str">
        <f t="shared" si="123"/>
        <v>Moderate/Low</v>
      </c>
      <c r="F274" s="130" t="str">
        <f t="shared" si="123"/>
        <v>Summer</v>
      </c>
      <c r="G274" s="130">
        <f t="shared" si="123"/>
        <v>0.05</v>
      </c>
      <c r="H274" s="130">
        <f t="shared" ref="H274:P274" si="124">H209</f>
        <v>0.19</v>
      </c>
      <c r="I274" s="130">
        <f t="shared" si="124"/>
        <v>0.31</v>
      </c>
      <c r="J274" s="130">
        <f t="shared" si="124"/>
        <v>0.54</v>
      </c>
      <c r="K274" s="130">
        <f t="shared" si="124"/>
        <v>0.53</v>
      </c>
      <c r="L274" s="130">
        <f t="shared" si="124"/>
        <v>0.15</v>
      </c>
      <c r="M274" s="130">
        <f t="shared" si="124"/>
        <v>0.28000000000000003</v>
      </c>
      <c r="N274" s="130">
        <f t="shared" si="124"/>
        <v>0.56999999999999995</v>
      </c>
      <c r="O274" s="130">
        <f t="shared" si="124"/>
        <v>0.42</v>
      </c>
      <c r="P274" s="130">
        <f t="shared" si="124"/>
        <v>0.4</v>
      </c>
    </row>
    <row r="275" spans="4:16" x14ac:dyDescent="0.25">
      <c r="D275" s="130" t="s">
        <v>86</v>
      </c>
      <c r="E275" s="130" t="str">
        <f t="shared" si="123"/>
        <v>Moderate/Low</v>
      </c>
      <c r="F275" s="130" t="str">
        <f t="shared" si="123"/>
        <v>Autumn</v>
      </c>
      <c r="G275" s="130">
        <f t="shared" ref="G275:P275" si="125">G210</f>
        <v>0.33</v>
      </c>
      <c r="H275" s="130">
        <f t="shared" si="125"/>
        <v>0.13</v>
      </c>
      <c r="I275" s="130">
        <f t="shared" si="125"/>
        <v>0.39</v>
      </c>
      <c r="J275" s="130">
        <f t="shared" si="125"/>
        <v>0.36</v>
      </c>
      <c r="K275" s="130">
        <f t="shared" si="125"/>
        <v>0.26</v>
      </c>
      <c r="L275" s="130">
        <f t="shared" si="125"/>
        <v>0.11</v>
      </c>
      <c r="M275" s="130">
        <f t="shared" si="125"/>
        <v>0.4</v>
      </c>
      <c r="N275" s="130">
        <f t="shared" si="125"/>
        <v>0.44</v>
      </c>
      <c r="O275" s="130">
        <f t="shared" si="125"/>
        <v>0.37</v>
      </c>
      <c r="P275" s="130">
        <f t="shared" si="125"/>
        <v>-0.01</v>
      </c>
    </row>
    <row r="276" spans="4:16" x14ac:dyDescent="0.25">
      <c r="D276" s="130" t="s">
        <v>86</v>
      </c>
      <c r="E276" s="130" t="str">
        <f t="shared" si="123"/>
        <v>Moderate/Low</v>
      </c>
      <c r="F276" s="130" t="str">
        <f t="shared" si="123"/>
        <v>Winter</v>
      </c>
      <c r="G276" s="130">
        <f t="shared" ref="G276:P276" si="126">G211</f>
        <v>0.61</v>
      </c>
      <c r="H276" s="130">
        <f t="shared" si="126"/>
        <v>-0.06</v>
      </c>
      <c r="I276" s="130">
        <f t="shared" si="126"/>
        <v>0.21</v>
      </c>
      <c r="J276" s="130">
        <f t="shared" si="126"/>
        <v>0.18</v>
      </c>
      <c r="K276" s="130">
        <f t="shared" si="126"/>
        <v>0.12</v>
      </c>
      <c r="L276" s="130">
        <f t="shared" si="126"/>
        <v>0.06</v>
      </c>
      <c r="M276" s="130">
        <f t="shared" si="126"/>
        <v>0.28999999999999998</v>
      </c>
      <c r="N276" s="130">
        <f t="shared" si="126"/>
        <v>0.41</v>
      </c>
      <c r="O276" s="130">
        <f t="shared" si="126"/>
        <v>0.41</v>
      </c>
      <c r="P276" s="130">
        <f t="shared" si="126"/>
        <v>-0.15</v>
      </c>
    </row>
    <row r="277" spans="4:16" x14ac:dyDescent="0.25">
      <c r="D277" s="130" t="s">
        <v>86</v>
      </c>
      <c r="E277" s="130" t="str">
        <f t="shared" si="123"/>
        <v>Low</v>
      </c>
      <c r="F277" s="130" t="str">
        <f t="shared" si="123"/>
        <v>Spring</v>
      </c>
      <c r="G277" s="130">
        <f t="shared" ref="G277:P277" si="127">G212</f>
        <v>-0.2</v>
      </c>
      <c r="H277" s="130">
        <f t="shared" si="127"/>
        <v>0.02</v>
      </c>
      <c r="I277" s="130">
        <f t="shared" si="127"/>
        <v>0.24</v>
      </c>
      <c r="J277" s="130">
        <f t="shared" si="127"/>
        <v>0.3</v>
      </c>
      <c r="K277" s="130">
        <f t="shared" si="127"/>
        <v>0.23</v>
      </c>
      <c r="L277" s="130">
        <f t="shared" si="127"/>
        <v>-0.05</v>
      </c>
      <c r="M277" s="130">
        <f t="shared" si="127"/>
        <v>0.34</v>
      </c>
      <c r="N277" s="130">
        <f t="shared" si="127"/>
        <v>0.3</v>
      </c>
      <c r="O277" s="130">
        <f t="shared" si="127"/>
        <v>0.56999999999999995</v>
      </c>
      <c r="P277" s="130">
        <f t="shared" si="127"/>
        <v>0.52</v>
      </c>
    </row>
    <row r="278" spans="4:16" x14ac:dyDescent="0.25">
      <c r="D278" s="130" t="s">
        <v>86</v>
      </c>
      <c r="E278" s="130" t="str">
        <f t="shared" si="123"/>
        <v>Low</v>
      </c>
      <c r="F278" s="130" t="str">
        <f t="shared" si="123"/>
        <v>Summer</v>
      </c>
      <c r="G278" s="130">
        <f t="shared" ref="G278:P278" si="128">G213</f>
        <v>0.62</v>
      </c>
      <c r="H278" s="130">
        <f t="shared" si="128"/>
        <v>0.21</v>
      </c>
      <c r="I278" s="130">
        <f t="shared" si="128"/>
        <v>0.25</v>
      </c>
      <c r="J278" s="130">
        <f t="shared" si="128"/>
        <v>0.32</v>
      </c>
      <c r="K278" s="130">
        <f t="shared" si="128"/>
        <v>0.47</v>
      </c>
      <c r="L278" s="130">
        <f t="shared" si="128"/>
        <v>0.31</v>
      </c>
      <c r="M278" s="130">
        <f t="shared" si="128"/>
        <v>0.14000000000000001</v>
      </c>
      <c r="N278" s="130">
        <f t="shared" si="128"/>
        <v>0.4</v>
      </c>
      <c r="O278" s="130">
        <f t="shared" si="128"/>
        <v>0.26</v>
      </c>
      <c r="P278" s="130">
        <f t="shared" si="128"/>
        <v>0.43</v>
      </c>
    </row>
    <row r="279" spans="4:16" x14ac:dyDescent="0.25">
      <c r="D279" s="130" t="s">
        <v>86</v>
      </c>
      <c r="E279" s="130" t="str">
        <f t="shared" si="123"/>
        <v>Low</v>
      </c>
      <c r="F279" s="130" t="str">
        <f t="shared" si="123"/>
        <v>Autumn</v>
      </c>
      <c r="G279" s="130">
        <f t="shared" ref="G279:P279" si="129">G214</f>
        <v>0.4</v>
      </c>
      <c r="H279" s="130">
        <f t="shared" si="129"/>
        <v>0.13</v>
      </c>
      <c r="I279" s="130">
        <f t="shared" si="129"/>
        <v>0.12</v>
      </c>
      <c r="J279" s="130">
        <f t="shared" si="129"/>
        <v>0.27</v>
      </c>
      <c r="K279" s="130">
        <f t="shared" si="129"/>
        <v>0.3</v>
      </c>
      <c r="L279" s="130">
        <f t="shared" si="129"/>
        <v>0.08</v>
      </c>
      <c r="M279" s="130">
        <f t="shared" si="129"/>
        <v>0.13</v>
      </c>
      <c r="N279" s="130">
        <f t="shared" si="129"/>
        <v>0.24</v>
      </c>
      <c r="O279" s="130">
        <f t="shared" si="129"/>
        <v>0.15</v>
      </c>
      <c r="P279" s="130">
        <f t="shared" si="129"/>
        <v>0.21</v>
      </c>
    </row>
    <row r="280" spans="4:16" x14ac:dyDescent="0.25">
      <c r="D280" s="130" t="s">
        <v>86</v>
      </c>
      <c r="E280" s="130" t="str">
        <f t="shared" si="123"/>
        <v>Low</v>
      </c>
      <c r="F280" s="130" t="str">
        <f t="shared" si="123"/>
        <v>Winter</v>
      </c>
      <c r="G280" s="130">
        <f t="shared" ref="G280:P280" si="130">G215</f>
        <v>0.08</v>
      </c>
      <c r="H280" s="130">
        <f t="shared" si="130"/>
        <v>0.04</v>
      </c>
      <c r="I280" s="130">
        <f t="shared" si="130"/>
        <v>0.06</v>
      </c>
      <c r="J280" s="130">
        <f t="shared" si="130"/>
        <v>0.18</v>
      </c>
      <c r="K280" s="130">
        <f t="shared" si="130"/>
        <v>0.11</v>
      </c>
      <c r="L280" s="130">
        <f t="shared" si="130"/>
        <v>-7.0000000000000007E-2</v>
      </c>
      <c r="M280" s="130">
        <f t="shared" si="130"/>
        <v>0.13</v>
      </c>
      <c r="N280" s="130">
        <f t="shared" si="130"/>
        <v>0.16</v>
      </c>
      <c r="O280" s="130">
        <f t="shared" si="130"/>
        <v>0.4</v>
      </c>
      <c r="P280" s="130">
        <f t="shared" si="130"/>
        <v>0.33</v>
      </c>
    </row>
    <row r="281" spans="4:16" x14ac:dyDescent="0.25">
      <c r="M281" s="24"/>
    </row>
    <row r="282" spans="4:16" x14ac:dyDescent="0.25">
      <c r="M282" s="24"/>
    </row>
    <row r="283" spans="4:16" x14ac:dyDescent="0.25">
      <c r="M283" s="24"/>
    </row>
    <row r="284" spans="4:16" x14ac:dyDescent="0.25">
      <c r="M284" s="24"/>
    </row>
    <row r="285" spans="4:16" x14ac:dyDescent="0.25">
      <c r="M285" s="24"/>
    </row>
    <row r="286" spans="4:16" x14ac:dyDescent="0.25">
      <c r="M286" s="24"/>
    </row>
    <row r="287" spans="4:16" x14ac:dyDescent="0.25">
      <c r="M287" s="24"/>
    </row>
    <row r="288" spans="4:16" x14ac:dyDescent="0.25">
      <c r="M288" s="24"/>
    </row>
    <row r="289" spans="13:13" x14ac:dyDescent="0.25">
      <c r="M289" s="24"/>
    </row>
    <row r="290" spans="13:13" x14ac:dyDescent="0.25">
      <c r="M290" s="24"/>
    </row>
    <row r="291" spans="13:13" x14ac:dyDescent="0.25">
      <c r="M291" s="24"/>
    </row>
    <row r="292" spans="13:13" x14ac:dyDescent="0.25">
      <c r="M292" s="24"/>
    </row>
    <row r="293" spans="13:13" x14ac:dyDescent="0.25">
      <c r="M293" s="24"/>
    </row>
    <row r="294" spans="13:13" x14ac:dyDescent="0.25">
      <c r="M294" s="24"/>
    </row>
    <row r="295" spans="13:13" x14ac:dyDescent="0.25">
      <c r="M295" s="24"/>
    </row>
    <row r="296" spans="13:13" x14ac:dyDescent="0.25">
      <c r="M296" s="24"/>
    </row>
    <row r="297" spans="13:13" x14ac:dyDescent="0.25">
      <c r="M297" s="24"/>
    </row>
    <row r="298" spans="13:13" x14ac:dyDescent="0.25">
      <c r="M298" s="24"/>
    </row>
    <row r="299" spans="13:13" x14ac:dyDescent="0.25">
      <c r="M299" s="24"/>
    </row>
    <row r="300" spans="13:13" x14ac:dyDescent="0.25">
      <c r="M300" s="24"/>
    </row>
    <row r="301" spans="13:13" x14ac:dyDescent="0.25">
      <c r="M301" s="24"/>
    </row>
    <row r="302" spans="13:13" x14ac:dyDescent="0.25">
      <c r="M302" s="24"/>
    </row>
    <row r="303" spans="13:13" x14ac:dyDescent="0.25">
      <c r="M303" s="24"/>
    </row>
    <row r="304" spans="13:13" x14ac:dyDescent="0.25">
      <c r="M304" s="24"/>
    </row>
    <row r="305" spans="13:13" x14ac:dyDescent="0.25">
      <c r="M305" s="24"/>
    </row>
    <row r="306" spans="13:13" x14ac:dyDescent="0.25">
      <c r="M306" s="24"/>
    </row>
    <row r="307" spans="13:13" x14ac:dyDescent="0.25">
      <c r="M307" s="24"/>
    </row>
    <row r="308" spans="13:13" x14ac:dyDescent="0.25">
      <c r="M308" s="24"/>
    </row>
    <row r="309" spans="13:13" x14ac:dyDescent="0.25">
      <c r="M309" s="24"/>
    </row>
    <row r="310" spans="13:13" x14ac:dyDescent="0.25">
      <c r="M310" s="24"/>
    </row>
    <row r="311" spans="13:13" x14ac:dyDescent="0.25">
      <c r="M311" s="24"/>
    </row>
    <row r="312" spans="13:13" x14ac:dyDescent="0.25">
      <c r="M312" s="24"/>
    </row>
    <row r="313" spans="13:13" x14ac:dyDescent="0.25">
      <c r="M313" s="24"/>
    </row>
    <row r="314" spans="13:13" x14ac:dyDescent="0.25">
      <c r="M314" s="24"/>
    </row>
    <row r="315" spans="13:13" x14ac:dyDescent="0.25">
      <c r="M315" s="24"/>
    </row>
    <row r="316" spans="13:13" x14ac:dyDescent="0.25">
      <c r="M316" s="24"/>
    </row>
  </sheetData>
  <pageMargins left="0.7" right="0.7" top="0.75" bottom="0.75" header="0.3" footer="0.3"/>
  <ignoredErrors>
    <ignoredError sqref="E221:P280" calculatedColumn="1"/>
  </ignoredErrors>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46AF-EF07-489E-9218-499E0ED230A9}">
  <dimension ref="A1:BX224"/>
  <sheetViews>
    <sheetView showGridLines="0" topLeftCell="A182" zoomScale="85" zoomScaleNormal="85" workbookViewId="0">
      <selection activeCell="D218" sqref="D21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16" width="20.7109375" style="1" customWidth="1"/>
    <col min="17" max="17" width="17.28515625" style="1" customWidth="1"/>
    <col min="18" max="19" width="20.7109375" style="1" customWidth="1"/>
    <col min="20" max="20" width="4.7109375" style="1" customWidth="1"/>
    <col min="21" max="32" width="20.7109375" style="7" customWidth="1"/>
    <col min="33" max="38" width="21.85546875" style="7" customWidth="1"/>
    <col min="39" max="43" width="20.7109375" style="7" customWidth="1"/>
    <col min="44" max="64" width="9.140625" style="7"/>
    <col min="65" max="16384" width="9.140625" style="3"/>
  </cols>
  <sheetData>
    <row r="1" spans="1:64" s="8" customFormat="1" ht="30" customHeight="1" x14ac:dyDescent="0.35">
      <c r="A1" s="8" t="e" vm="1">
        <v>#VALUE!</v>
      </c>
      <c r="C1" s="8" t="s">
        <v>78</v>
      </c>
    </row>
    <row r="2" spans="1:64" s="9" customFormat="1" ht="20.100000000000001" customHeight="1" x14ac:dyDescent="0.25"/>
    <row r="3" spans="1:64" ht="20.100000000000001" customHeight="1" x14ac:dyDescent="0.25">
      <c r="A3" s="17" t="str">
        <f>HYPERLINK("#'Home'!A1", "Home")</f>
        <v>Home</v>
      </c>
      <c r="C3" s="4"/>
      <c r="D3" s="4"/>
      <c r="E3" s="4"/>
      <c r="F3" s="4"/>
      <c r="G3" s="4"/>
      <c r="H3" s="4"/>
      <c r="I3" s="4"/>
      <c r="J3" s="4"/>
      <c r="K3" s="4"/>
      <c r="L3" s="4"/>
      <c r="M3" s="4"/>
      <c r="N3" s="4"/>
      <c r="O3" s="4"/>
      <c r="P3" s="4"/>
      <c r="Q3" s="4"/>
      <c r="R3" s="4"/>
      <c r="S3" s="4"/>
      <c r="T3" s="4"/>
      <c r="U3" s="11"/>
      <c r="V3" s="11"/>
    </row>
    <row r="4" spans="1:64" ht="20.100000000000001" customHeight="1" x14ac:dyDescent="0.25">
      <c r="A4" s="17" t="str">
        <f>HYPERLINK("#'Results'!A1", "Results")</f>
        <v>Results</v>
      </c>
      <c r="BL4" s="3"/>
    </row>
    <row r="5" spans="1:64" ht="20.100000000000001" customHeight="1" x14ac:dyDescent="0.25">
      <c r="A5" s="16"/>
      <c r="D5" s="6" t="str" cm="1">
        <f t="array" ref="D5">Common_SourceData.Common_SourceData_AustralianStatesTerritories_Title()</f>
        <v>Australian states and territories</v>
      </c>
      <c r="BL5" s="3"/>
    </row>
    <row r="6" spans="1:64" ht="20.100000000000001" customHeight="1" x14ac:dyDescent="0.25">
      <c r="A6" s="20" t="s">
        <v>3</v>
      </c>
      <c r="D6" s="39" t="s">
        <v>22</v>
      </c>
      <c r="E6" s="39" t="s">
        <v>23</v>
      </c>
      <c r="F6" s="39" t="s">
        <v>24</v>
      </c>
    </row>
    <row r="7" spans="1:64" ht="20.100000000000001" customHeight="1" x14ac:dyDescent="0.25">
      <c r="A7" s="17" t="str">
        <f>HYPERLINK("#'Input - Site'!A1", "Site")</f>
        <v>Site</v>
      </c>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4" ht="20.100000000000001" customHeight="1" x14ac:dyDescent="0.25">
      <c r="A8" s="17" t="str">
        <f>HYPERLINK("#'Input - Dairy'!A1", "Dairy")</f>
        <v>Dairy</v>
      </c>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4" ht="20.100000000000001" customHeight="1" x14ac:dyDescent="0.25">
      <c r="A9" s="17"/>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4" ht="20.100000000000001" customHeight="1" x14ac:dyDescent="0.25">
      <c r="A10" s="19" t="s">
        <v>77</v>
      </c>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4" ht="20.100000000000001" customHeight="1" x14ac:dyDescent="0.25">
      <c r="A11" s="17" t="str">
        <f>HYPERLINK("#'4.3.1.1-2 Methane'!A1", "4.3.1.1-2 Methane")</f>
        <v>4.3.1.1-2 Methane</v>
      </c>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L11" s="3"/>
    </row>
    <row r="12" spans="1:64" ht="20.100000000000001" customHeight="1" x14ac:dyDescent="0.25">
      <c r="A12" s="17" t="str">
        <f>HYPERLINK("#'4.3.1.3-4 Direct N20'!A1", "4.3.1.3-4 Direct N2O")</f>
        <v>4.3.1.3-4 Direct N2O</v>
      </c>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L12" s="3"/>
    </row>
    <row r="13" spans="1:64" ht="20.100000000000001" customHeight="1" x14ac:dyDescent="0.25">
      <c r="A13" s="17" t="str">
        <f>HYPERLINK("#'4.3.1.5 Atmos Deposition'!A1", "4.3.1.5 Atmospheric deposition")</f>
        <v>4.3.1.5 Atmospheric deposition</v>
      </c>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4" ht="20.100000000000001" customHeight="1" x14ac:dyDescent="0.25">
      <c r="A14" s="17" t="str">
        <f>HYPERLINK("#'4.3.1.6-7 Leaching and runoff'!A1", "4.3.1.6-7 Leaching and runoff")</f>
        <v>4.3.1.6-7 Leaching and runoff</v>
      </c>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4" ht="20.100000000000001" customHeight="1" x14ac:dyDescent="0.25">
      <c r="A15" s="17" t="str">
        <f>HYPERLINK("#'4.3.1.8 Manure applied to soils'!A1", "4.3.1.8 Manure applied to soils")</f>
        <v>4.3.1.8 Manure applied to soils</v>
      </c>
    </row>
    <row r="16" spans="1:64" ht="20.100000000000001" customHeight="1" x14ac:dyDescent="0.25">
      <c r="A16" s="17" t="str">
        <f>HYPERLINK("#'4.3.1.9 Soil direct N2O'!A1", "4.3.1.9 Soil direct N2O")</f>
        <v>4.3.1.9 Soil direct N2O</v>
      </c>
    </row>
    <row r="17" spans="1:4" ht="20.100000000000001" customHeight="1" x14ac:dyDescent="0.25">
      <c r="A17" s="17" t="str">
        <f>HYPERLINK("#'4.3.1.10-11 Soil Atmos Dep'!A1", "4.3.1.10-11 Soil atm. deposition")</f>
        <v>4.3.1.10-11 Soil atm. deposition</v>
      </c>
    </row>
    <row r="18" spans="1:4" ht="20.100000000000001" customHeight="1" x14ac:dyDescent="0.25">
      <c r="A18" s="17" t="str">
        <f>HYPERLINK("#'4.3.1.12-13 Soil leach runoff'!A1", "4.3.1.12-13 Soil leach &amp; runoff")</f>
        <v>4.3.1.12-13 Soil leach &amp; runoff</v>
      </c>
      <c r="D18" s="6" t="str" cm="1">
        <f t="array" ref="D18">Common_SourceData.Common_SourceData_WASA4Areas_Title()</f>
        <v>ABS Statistcal Areas Level 4 - Western Australia</v>
      </c>
    </row>
    <row r="19" spans="1:4" ht="20.100000000000001" customHeight="1" x14ac:dyDescent="0.25">
      <c r="A19" s="17"/>
      <c r="D19" s="5" t="str" cm="1">
        <f t="array" ref="D19">Common_SourceData.Common_SourceData_WASA4Areas_Source()</f>
        <v>Australian Bureau of Statistics (ABS) - Statistical Areas Level 2 - 2021 - Shapefile</v>
      </c>
    </row>
    <row r="20" spans="1:4" ht="20.100000000000001" customHeight="1" x14ac:dyDescent="0.25">
      <c r="A20" s="18" t="s">
        <v>4</v>
      </c>
      <c r="D20" s="39" t="s">
        <v>25</v>
      </c>
    </row>
    <row r="21" spans="1:4" ht="20.100000000000001" customHeight="1" x14ac:dyDescent="0.25">
      <c r="A21" s="17" t="str">
        <f>HYPERLINK("#'Constants - Dairy'!A1", "Constants - Dairy")</f>
        <v>Constants - Dairy</v>
      </c>
      <c r="D21" s="39"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Livestock'!A1", "Constants - Livestock")</f>
        <v>Constants - Livestock</v>
      </c>
      <c r="D22" s="39" t="str" cm="1">
        <f t="array" ref="D22">Common_InputFunctions.Utility_DisplayArrayInTable(Common_SourceData.Common_SourceData_WASA4Areas_Data(), Table_WASA4Areas[[#Headers],[SA 4 Name]], 0)</f>
        <v>Mandurah</v>
      </c>
    </row>
    <row r="23" spans="1:4" ht="20.100000000000001" customHeight="1" x14ac:dyDescent="0.25">
      <c r="A23" s="72" t="str">
        <f>HYPERLINK("#'Constants - Common'!A1", "Constants - Common")</f>
        <v>Constants - Common</v>
      </c>
      <c r="D23" s="39" t="str" cm="1">
        <f t="array" ref="D23">Common_InputFunctions.Utility_DisplayArrayInTable(Common_SourceData.Common_SourceData_WASA4Areas_Data(), Table_WASA4Areas[[#Headers],[SA 4 Name]], 0)</f>
        <v>Perth - Inner</v>
      </c>
    </row>
    <row r="24" spans="1:4" ht="20.100000000000001" customHeight="1" x14ac:dyDescent="0.25">
      <c r="A24" s="17" t="str">
        <f>HYPERLINK("#'Acknowledgements'!A1", "Acknowledgements")</f>
        <v>Acknowledgements</v>
      </c>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19" ht="20.100000000000001" customHeight="1" x14ac:dyDescent="0.25">
      <c r="D81" s="6" t="str" cm="1">
        <f t="array" ref="D81">Common_SourceData.Common_SourceData_ClimateZones_Title()</f>
        <v>VEERG Australian climate zones</v>
      </c>
    </row>
    <row r="82" spans="4:19" ht="20.100000000000001" customHeight="1" x14ac:dyDescent="0.25">
      <c r="D82" s="5" t="str" cm="1">
        <f t="array" ref="D82">Common_SourceData.Common_SourceData_ClimateZones_Source()</f>
        <v>VEERG 2026: Table 1.3: Climate and Rainfall zone classifications and definitions</v>
      </c>
    </row>
    <row r="83" spans="4:19" ht="20.100000000000001" customHeight="1" x14ac:dyDescent="0.25">
      <c r="D83" s="58" t="str" cm="1">
        <f t="array" ref="D83:D87">"⚠️" &amp; Common_SourceData.Common_SourceData_ClimateZones_Variation()</f>
        <v>⚠️VARIATION OF SOURCE DATA:</v>
      </c>
    </row>
    <row r="84" spans="4:19" ht="20.100000000000001" customHeight="1" x14ac:dyDescent="0.25">
      <c r="D84" s="58" t="str">
        <v>⚠️Added warm / cool temperate moist / dry - low frost and high temp classes to accommodate climate scenarios excluded by VEERG criteria.</v>
      </c>
    </row>
    <row r="85" spans="4:19" ht="20.100000000000001" customHeight="1" x14ac:dyDescent="0.25">
      <c r="D85" s="58" t="str">
        <v>⚠️Fixed typo in MAT value for warm temperate dry - changed 10 to 11.</v>
      </c>
    </row>
    <row r="86" spans="4:19" ht="20.100000000000001" customHeight="1" x14ac:dyDescent="0.25">
      <c r="D86" s="58" t="str">
        <v>⚠️Added min and max columns for MAT, MAP, frost days per year, elevation, MAP:PET to calculate zones from real climate data.</v>
      </c>
    </row>
    <row r="87" spans="4:19" ht="20.100000000000001" customHeight="1" x14ac:dyDescent="0.25">
      <c r="D87" s="58" t="str">
        <v>⚠️GAF accepts rainfall as a proxy for precipitation.</v>
      </c>
    </row>
    <row r="88" spans="4:19" ht="20.100000000000001" customHeight="1" x14ac:dyDescent="0.25"/>
    <row r="89" spans="4:19" ht="20.100000000000001" customHeight="1" x14ac:dyDescent="0.25">
      <c r="D89" s="39" t="s">
        <v>10</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row>
    <row r="90" spans="4:19"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row>
    <row r="91" spans="4:19"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row>
    <row r="92" spans="4:19"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row>
    <row r="93" spans="4:19"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row>
    <row r="94" spans="4:19"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row>
    <row r="95" spans="4:19"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row>
    <row r="96" spans="4:19"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row>
    <row r="97" spans="4:19"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row>
    <row r="98" spans="4:19" ht="20.100000000000001" customHeight="1" x14ac:dyDescent="0.25">
      <c r="D98" s="57" t="str" cm="1">
        <f t="array" ref="D98:D101">Common_SourceData.Common_SourceData_ClimateZones_Appendices()</f>
        <v>Note:</v>
      </c>
    </row>
    <row r="99" spans="4:19" ht="20.100000000000001" customHeight="1" x14ac:dyDescent="0.25">
      <c r="D99" s="57" t="str">
        <v>MAT = mean annual temperature</v>
      </c>
    </row>
    <row r="100" spans="4:19" ht="20.100000000000001" customHeight="1" x14ac:dyDescent="0.25">
      <c r="D100" s="57" t="str">
        <v>MAP = mean annual precipitation</v>
      </c>
    </row>
    <row r="101" spans="4:19" ht="20.100000000000001" customHeight="1" x14ac:dyDescent="0.25">
      <c r="D101" s="57" t="str">
        <v>PET = potential evapotranspiration</v>
      </c>
    </row>
    <row r="102" spans="4:19" ht="20.100000000000001" customHeight="1" x14ac:dyDescent="0.25">
      <c r="D102" s="57"/>
    </row>
    <row r="103" spans="4:19" ht="20.100000000000001" customHeight="1" x14ac:dyDescent="0.25"/>
    <row r="104" spans="4:19" ht="20.100000000000001" customHeight="1" x14ac:dyDescent="0.25"/>
    <row r="105" spans="4:19" ht="20.100000000000001" customHeight="1" x14ac:dyDescent="0.25">
      <c r="D105" s="6" t="str" cm="1">
        <f t="array" ref="D105">Common_SourceData.Common_SourceData_TemperatureZones_Title()</f>
        <v>VEERG Australian temperature zones</v>
      </c>
    </row>
    <row r="106" spans="4:19" ht="20.100000000000001" customHeight="1" x14ac:dyDescent="0.25">
      <c r="D106" s="5" t="str" cm="1">
        <f t="array" ref="D106">Common_SourceData.Common_SourceData_TemperatureZones_Source()</f>
        <v>VEERG 2026: Table 1.3: Climate and Rainfall zone classifications and definitions</v>
      </c>
    </row>
    <row r="107" spans="4:19"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19" ht="20.100000000000001" customHeight="1" x14ac:dyDescent="0.25"/>
    <row r="109" spans="4:19" ht="20.100000000000001" customHeight="1" x14ac:dyDescent="0.25">
      <c r="D109" s="39" t="s">
        <v>56</v>
      </c>
      <c r="E109" s="39" t="s">
        <v>37</v>
      </c>
      <c r="F109" s="39" t="s">
        <v>57</v>
      </c>
      <c r="G109" s="39" t="s">
        <v>58</v>
      </c>
    </row>
    <row r="110" spans="4:19"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19"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19"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5" ht="20.100000000000001" customHeight="1" x14ac:dyDescent="0.25"/>
    <row r="114" spans="4:65" ht="20.100000000000001" customHeight="1" x14ac:dyDescent="0.25"/>
    <row r="115" spans="4:65" ht="20.100000000000001" customHeight="1" x14ac:dyDescent="0.25">
      <c r="D115" s="6" t="str" cm="1">
        <f t="array" ref="D115">Common_SourceData.Common_SourceData_RainfallZones_Title()</f>
        <v>VEERG Australian rainfall zones</v>
      </c>
      <c r="BM115" s="7"/>
    </row>
    <row r="116" spans="4:65" ht="20.100000000000001" customHeight="1" x14ac:dyDescent="0.25">
      <c r="D116" s="5" t="str" cm="1">
        <f t="array" ref="D116">Common_SourceData.Common_SourceData_RainfallZones_Source()</f>
        <v>VEERG 2026: Table 1.3: Climate and Rainfall zone classifications and definitions</v>
      </c>
      <c r="BM116" s="7"/>
    </row>
    <row r="117" spans="4:65"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M117" s="7"/>
    </row>
    <row r="118" spans="4:65" ht="20.100000000000001" customHeight="1" x14ac:dyDescent="0.25">
      <c r="BM118" s="7"/>
    </row>
    <row r="119" spans="4:65" ht="20.100000000000001" customHeight="1" x14ac:dyDescent="0.25">
      <c r="D119" s="39" t="s">
        <v>59</v>
      </c>
      <c r="E119" s="39" t="s">
        <v>60</v>
      </c>
      <c r="F119" s="39" t="s">
        <v>44</v>
      </c>
      <c r="G119" s="39" t="s">
        <v>45</v>
      </c>
      <c r="BM119" s="7"/>
    </row>
    <row r="120" spans="4:65"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M120" s="7"/>
    </row>
    <row r="121" spans="4:65"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M121" s="7"/>
    </row>
    <row r="122" spans="4:65" ht="20.100000000000001" customHeight="1" x14ac:dyDescent="0.25">
      <c r="BM122" s="7"/>
    </row>
    <row r="123" spans="4:65" ht="20.100000000000001" customHeight="1" x14ac:dyDescent="0.25"/>
    <row r="124" spans="4:65" ht="20.100000000000001" customHeight="1" x14ac:dyDescent="0.25">
      <c r="D124" s="6" t="str" cm="1">
        <f t="array" ref="D124">Common_SourceData.Common_SourceData_LeachingZones_Title()</f>
        <v>VEERG Australian leaching zones</v>
      </c>
    </row>
    <row r="125" spans="4:65" ht="20.100000000000001" customHeight="1" x14ac:dyDescent="0.25">
      <c r="D125" s="5" t="str" cm="1">
        <f t="array" ref="D125">Common_SourceData.Common_SourceData_LeachingZones_Source()</f>
        <v>VEERG 2026: Table 1.3: Climate and Rainfall zone classifications and definitions</v>
      </c>
    </row>
    <row r="126" spans="4:65" ht="20.100000000000001" customHeight="1" x14ac:dyDescent="0.25"/>
    <row r="127" spans="4:65" ht="20.100000000000001" customHeight="1" x14ac:dyDescent="0.25">
      <c r="D127" s="39" t="s">
        <v>66</v>
      </c>
      <c r="E127" s="39" t="s">
        <v>67</v>
      </c>
    </row>
    <row r="128" spans="4:65"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6"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6" ht="20.100000000000001" customHeight="1" x14ac:dyDescent="0.25"/>
    <row r="131" spans="4:76" ht="20.100000000000001" customHeight="1" x14ac:dyDescent="0.25"/>
    <row r="132" spans="4:76" ht="20.100000000000001" customHeight="1" x14ac:dyDescent="0.25">
      <c r="D132" s="6" t="str" cm="1">
        <f t="array" ref="D132">Common_SourceData.Common_SourceData_FracWET_Title()</f>
        <v>Fraction of N that is available for leaching and runoff</v>
      </c>
      <c r="E132" s="24"/>
    </row>
    <row r="133" spans="4:76" ht="20.100000000000001" customHeight="1" x14ac:dyDescent="0.25">
      <c r="D133" s="5" t="str" cm="1">
        <f t="array" ref="D133">Common_SourceData.Common_SourceData_FracWET_Source()</f>
        <v>VEERG 2026:5.5.2.3 Constant Parameters</v>
      </c>
      <c r="E133" s="24"/>
    </row>
    <row r="134" spans="4:76" ht="20.100000000000001" customHeight="1" x14ac:dyDescent="0.25">
      <c r="D134" t="s">
        <v>94</v>
      </c>
      <c r="E134" t="s">
        <v>95</v>
      </c>
    </row>
    <row r="135" spans="4:76"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6"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6" ht="20.100000000000001" customHeight="1" x14ac:dyDescent="0.25"/>
    <row r="138" spans="4:76" ht="20.100000000000001" customHeight="1" x14ac:dyDescent="0.25">
      <c r="BM138" s="7"/>
      <c r="BN138" s="7"/>
      <c r="BO138" s="7"/>
      <c r="BP138" s="7"/>
      <c r="BQ138" s="7"/>
      <c r="BR138" s="7"/>
      <c r="BS138" s="7"/>
      <c r="BT138" s="7"/>
      <c r="BU138" s="7"/>
      <c r="BV138" s="7"/>
      <c r="BW138" s="7"/>
      <c r="BX138" s="7"/>
    </row>
    <row r="139" spans="4:76" ht="20.100000000000001" customHeight="1" x14ac:dyDescent="0.25">
      <c r="D139" s="6" t="str" cm="1">
        <f t="array" ref="D139">Common_SourceData.Common_SourceData_FracWETIrrigation_Title()</f>
        <v>FracWET for irrigation types</v>
      </c>
      <c r="BM139" s="7"/>
      <c r="BN139" s="7"/>
      <c r="BO139" s="7"/>
      <c r="BP139" s="7"/>
      <c r="BQ139" s="7"/>
      <c r="BR139" s="7"/>
      <c r="BS139" s="7"/>
      <c r="BT139" s="7"/>
      <c r="BU139" s="7"/>
      <c r="BV139" s="7"/>
      <c r="BW139" s="7"/>
      <c r="BX139" s="7"/>
    </row>
    <row r="140" spans="4:76" ht="20.100000000000001" customHeight="1" x14ac:dyDescent="0.25">
      <c r="D140" s="5" t="str" cm="1">
        <f t="array" ref="D140">Common_SourceData.Common_SourceData_FracWETIrrigation_Source()</f>
        <v>VEERG 2026: Chapter 1, section 1.8.2 Leaching, climate and rainfall zones</v>
      </c>
      <c r="BM140" s="7"/>
      <c r="BN140" s="7"/>
      <c r="BO140" s="7"/>
      <c r="BP140" s="7"/>
      <c r="BQ140" s="7"/>
      <c r="BR140" s="7"/>
      <c r="BS140" s="7"/>
      <c r="BT140" s="7"/>
      <c r="BU140" s="7"/>
      <c r="BV140" s="7"/>
      <c r="BW140" s="7"/>
      <c r="BX140" s="7"/>
    </row>
    <row r="141" spans="4:76"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M141" s="7"/>
    </row>
    <row r="142" spans="4:76" ht="20.100000000000001" customHeight="1" x14ac:dyDescent="0.25">
      <c r="D142" s="39" t="s">
        <v>269</v>
      </c>
      <c r="E142" s="39" t="s">
        <v>95</v>
      </c>
      <c r="BM142" s="7"/>
    </row>
    <row r="143" spans="4:76"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M143" s="7"/>
    </row>
    <row r="144" spans="4:76"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M144" s="7"/>
    </row>
    <row r="145" spans="4:65"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M145" s="7"/>
    </row>
    <row r="146" spans="4:65"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M146" s="7"/>
    </row>
    <row r="147" spans="4:65"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M147" s="7"/>
    </row>
    <row r="148" spans="4:65" ht="20.100000000000001" customHeight="1" x14ac:dyDescent="0.25">
      <c r="BM148" s="7"/>
    </row>
    <row r="149" spans="4:65" ht="20.100000000000001" customHeight="1" x14ac:dyDescent="0.25">
      <c r="BM149" s="7"/>
    </row>
    <row r="150" spans="4:65" ht="20.100000000000001" customHeight="1" x14ac:dyDescent="0.25">
      <c r="D150" s="6" t="str" cm="1">
        <f t="array" ref="D150">Common_SourceData.Common_SourceData_DataScores_Scope3_Title()</f>
        <v>Australian data scores for scope 3</v>
      </c>
      <c r="BM150" s="7"/>
    </row>
    <row r="151" spans="4:65" ht="20.100000000000001" customHeight="1" x14ac:dyDescent="0.25">
      <c r="D151" s="5" t="str" cm="1">
        <f t="array" ref="D151">Common_SourceData.Common_SourceData_DataScores_Scope3_Source()</f>
        <v>VEERG 2026: XXXXXXXX</v>
      </c>
      <c r="BM151" s="7"/>
    </row>
    <row r="152" spans="4:65" ht="20.100000000000001" customHeight="1" x14ac:dyDescent="0.25">
      <c r="BM152" s="7"/>
    </row>
    <row r="153" spans="4:65" ht="20.100000000000001" customHeight="1" x14ac:dyDescent="0.25">
      <c r="D153" s="39" t="s">
        <v>69</v>
      </c>
      <c r="E153" s="39" t="s">
        <v>70</v>
      </c>
      <c r="BB153" s="3"/>
      <c r="BC153" s="3"/>
      <c r="BD153" s="3"/>
      <c r="BE153" s="3"/>
      <c r="BF153" s="3"/>
      <c r="BG153" s="3"/>
      <c r="BH153" s="3"/>
      <c r="BI153" s="3"/>
      <c r="BJ153" s="3"/>
      <c r="BK153" s="3"/>
      <c r="BL153" s="3"/>
    </row>
    <row r="154" spans="4:65"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B154" s="3"/>
      <c r="BC154" s="3"/>
      <c r="BD154" s="3"/>
      <c r="BE154" s="3"/>
      <c r="BF154" s="3"/>
      <c r="BG154" s="3"/>
      <c r="BH154" s="3"/>
      <c r="BI154" s="3"/>
      <c r="BJ154" s="3"/>
      <c r="BK154" s="3"/>
      <c r="BL154" s="3"/>
    </row>
    <row r="155" spans="4:65"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B155" s="3"/>
      <c r="BC155" s="3"/>
      <c r="BD155" s="3"/>
      <c r="BE155" s="3"/>
      <c r="BF155" s="3"/>
      <c r="BG155" s="3"/>
      <c r="BH155" s="3"/>
      <c r="BI155" s="3"/>
      <c r="BJ155" s="3"/>
      <c r="BK155" s="3"/>
      <c r="BL155" s="3"/>
    </row>
    <row r="156" spans="4:65"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5"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5"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5" ht="20.100000000000001" customHeight="1" x14ac:dyDescent="0.25"/>
    <row r="160" spans="4:65" ht="20.100000000000001" customHeight="1" x14ac:dyDescent="0.25"/>
    <row r="161" spans="4:67" ht="20.100000000000001" customHeight="1" x14ac:dyDescent="0.25">
      <c r="D161" s="6" t="str" cm="1">
        <f t="array" ref="D161">Common_SourceData.Common_SourceData_FracLEACH_Title()</f>
        <v>Fraction of N that is available for leaching and runoff</v>
      </c>
      <c r="E161" s="24"/>
    </row>
    <row r="162" spans="4:67" ht="20.100000000000001" customHeight="1" x14ac:dyDescent="0.25">
      <c r="D162" s="5" t="str" cm="1">
        <f t="array" ref="D162">Common_SourceData.Common_SourceData_FracLEACH_Source()</f>
        <v>VEERG 2026:5.5.2.3 Constant Parameters</v>
      </c>
      <c r="E162" s="24"/>
    </row>
    <row r="163" spans="4:67" ht="20.100000000000001" customHeight="1" x14ac:dyDescent="0.25">
      <c r="D163" s="5" t="str" cm="1">
        <f t="array" ref="D163">Common_SourceData.Common_SourceData_FracLEACH_NIRReference()</f>
        <v>National Inventory Report Volume 1: Leaching and runoff (3.D.b.2)</v>
      </c>
      <c r="E163" s="24"/>
    </row>
    <row r="164" spans="4:67" ht="20.100000000000001" customHeight="1" x14ac:dyDescent="0.25">
      <c r="D164" s="24" t="str" cm="1">
        <f t="array" ref="D164:E164">Common_SourceData.Common_SourceData_FracLEACH_Data()</f>
        <v>FracLEACH</v>
      </c>
      <c r="E164" s="24">
        <v>0.24</v>
      </c>
    </row>
    <row r="165" spans="4:67" ht="20.100000000000001" customHeight="1" x14ac:dyDescent="0.25">
      <c r="BM165" s="7"/>
      <c r="BN165" s="7"/>
      <c r="BO165" s="7"/>
    </row>
    <row r="166" spans="4:67" ht="20.100000000000001" customHeight="1" x14ac:dyDescent="0.25">
      <c r="BM166" s="7"/>
      <c r="BN166" s="7"/>
      <c r="BO166" s="7"/>
    </row>
    <row r="167" spans="4:67" ht="20.100000000000001" customHeight="1" x14ac:dyDescent="0.25">
      <c r="D167" s="6" t="str" cm="1">
        <f t="array" ref="D167">Common_SourceData.Common_SourceData_EFleach_Title()</f>
        <v>Emission factor for nitrogen leaching and runoff</v>
      </c>
      <c r="BM167" s="7"/>
      <c r="BN167" s="7"/>
      <c r="BO167" s="7"/>
    </row>
    <row r="168" spans="4:67" ht="20.100000000000001" customHeight="1" x14ac:dyDescent="0.25">
      <c r="D168" s="5" t="str" cm="1">
        <f t="array" ref="D168">Common_SourceData.Common_SourceData_EFleach_Source()</f>
        <v>VEERG 2026:5.5.2.3 Constant Parameters</v>
      </c>
      <c r="BM168" s="7"/>
      <c r="BN168" s="7"/>
      <c r="BO168" s="7"/>
    </row>
    <row r="169" spans="4:67" ht="20.100000000000001" customHeight="1" x14ac:dyDescent="0.25">
      <c r="D169" s="5" t="str" cm="1">
        <f t="array" ref="D169">Common_SourceData.Common_SourceData_EFleach_NIRReference()</f>
        <v>National Inventory Report Volume 1: Equation 3.D.B_10</v>
      </c>
      <c r="BM169" s="7"/>
      <c r="BN169" s="7"/>
      <c r="BO169" s="7"/>
    </row>
    <row r="170" spans="4:67" ht="20.100000000000001" customHeight="1" x14ac:dyDescent="0.25">
      <c r="D170" s="1" t="str" cm="1">
        <f t="array" ref="D170:E170">Common_SourceData.Common_SourceData_EFleach_Data()</f>
        <v>EFleach</v>
      </c>
      <c r="E170" s="1">
        <v>1.0999999999999999E-2</v>
      </c>
      <c r="BM170" s="7"/>
      <c r="BN170" s="7"/>
      <c r="BO170" s="7"/>
    </row>
    <row r="171" spans="4:67" ht="20.100000000000001" customHeight="1" x14ac:dyDescent="0.25">
      <c r="BM171" s="7"/>
      <c r="BN171" s="7"/>
      <c r="BO171" s="7"/>
    </row>
    <row r="172" spans="4:67" ht="20.100000000000001" customHeight="1" x14ac:dyDescent="0.25">
      <c r="BM172" s="7"/>
      <c r="BN172" s="7"/>
      <c r="BO172" s="7"/>
    </row>
    <row r="173" spans="4:67" ht="20.100000000000001" customHeight="1" x14ac:dyDescent="0.25">
      <c r="D173" s="6" t="str" cm="1">
        <f t="array" ref="D173">Common_SourceData.Common_SourceData_DensityOfMethane_Title()</f>
        <v>p = density of methane</v>
      </c>
      <c r="BM173" s="7"/>
      <c r="BN173" s="7"/>
      <c r="BO173" s="7"/>
    </row>
    <row r="174" spans="4:67" ht="20.100000000000001" customHeight="1" x14ac:dyDescent="0.25">
      <c r="D174" s="5" t="str" cm="1">
        <f t="array" ref="D174">Common_SourceData.Common_SourceData_DensityOfMethane_Source()</f>
        <v>National Inventory Report 2023 Volume 1: Equations 3.B.1a_2, 3.B.1c_2, 3.B.3_1, 3.B.4g_2</v>
      </c>
      <c r="BM174" s="7"/>
      <c r="BN174" s="7"/>
      <c r="BO174" s="7"/>
    </row>
    <row r="175" spans="4:67" ht="20.100000000000001" customHeight="1" x14ac:dyDescent="0.25">
      <c r="D175" s="1" cm="1">
        <f t="array" ref="D175">Common_SourceData.Common_SourceData_DensityOfMethane_Data()</f>
        <v>0.6784</v>
      </c>
      <c r="E175" s="57" t="str" cm="1">
        <f t="array" ref="E175">Common_SourceData.Common_SourceData_DensityOfMethane_Unit()</f>
        <v>kg/m3</v>
      </c>
      <c r="BM175" s="7"/>
      <c r="BN175" s="7"/>
      <c r="BO175" s="7"/>
    </row>
    <row r="176" spans="4:67" ht="20.100000000000001" customHeight="1" x14ac:dyDescent="0.25">
      <c r="BM176" s="7"/>
      <c r="BN176" s="7"/>
      <c r="BO176" s="7"/>
    </row>
    <row r="177" spans="4:67" ht="20.100000000000001" customHeight="1" x14ac:dyDescent="0.25">
      <c r="BM177" s="7"/>
      <c r="BN177" s="7"/>
      <c r="BO177" s="7"/>
    </row>
    <row r="178" spans="4:67" ht="20.100000000000001" customHeight="1" x14ac:dyDescent="0.25">
      <c r="D178" s="6" t="str" cm="1">
        <f t="array" ref="D178">Common_SourceData.Common_SourceData_EFN2O_Title()</f>
        <v>Nitrous oxide emission factors for inorganic fertiliser application</v>
      </c>
      <c r="BM178" s="7"/>
      <c r="BN178" s="7"/>
      <c r="BO178" s="7"/>
    </row>
    <row r="179" spans="4:67" ht="20.100000000000001" customHeight="1" x14ac:dyDescent="0.25">
      <c r="D179" s="5" t="str" cm="1">
        <f t="array" ref="D179">Common_SourceData.Common_SourceData_EFN2O_Source()</f>
        <v>VEERG 2026: Table A.2.2.1</v>
      </c>
      <c r="BM179" s="7"/>
      <c r="BN179" s="7"/>
      <c r="BO179" s="7"/>
    </row>
    <row r="180" spans="4:67" ht="20.100000000000001" customHeight="1" x14ac:dyDescent="0.25">
      <c r="D180" s="57" t="str" cm="1">
        <f t="array" ref="D180">Common_SourceData.Common_SourceData_EFN2O_Unit()</f>
        <v>(kg N2O-N / kg N</v>
      </c>
    </row>
    <row r="181" spans="4:67" ht="20.100000000000001" customHeight="1" x14ac:dyDescent="0.25">
      <c r="D181" s="58" t="str" cm="1">
        <f t="array" ref="D181:D185">Common_SourceData.Common_SourceData_EFN2O_Variation()</f>
        <v>VARIATION OF SOURCE DATA:</v>
      </c>
    </row>
    <row r="182" spans="4:67" ht="20.100000000000001" customHeight="1" x14ac:dyDescent="0.25">
      <c r="D182" s="58" t="str">
        <v>Removed duplicate 'Aquaculture' row.</v>
      </c>
    </row>
    <row r="183" spans="4:67" ht="20.100000000000001" customHeight="1" x14ac:dyDescent="0.25">
      <c r="D183" s="58" t="str">
        <v>Removed asterisks to aid lookup.</v>
      </c>
    </row>
    <row r="184" spans="4:67" ht="20.100000000000001" customHeight="1" x14ac:dyDescent="0.25">
      <c r="D184" s="58" t="str">
        <v>Added 'production system only', 'rainfall zone' and 'irrigation method' columns to aid lookup.</v>
      </c>
    </row>
    <row r="185" spans="4:67" ht="20.100000000000001" customHeight="1" x14ac:dyDescent="0.25">
      <c r="D185" s="58" t="str">
        <v>Duplicated 'non-irrigated pasture' row with same EF for low and high rainfall zones to aid lookup.</v>
      </c>
    </row>
    <row r="186" spans="4:67" ht="20.100000000000001" customHeight="1" x14ac:dyDescent="0.25">
      <c r="D186" s="39" t="s">
        <v>139</v>
      </c>
      <c r="E186" s="39" t="s">
        <v>140</v>
      </c>
      <c r="F186" s="39" t="s">
        <v>141</v>
      </c>
      <c r="G186" s="39" t="s">
        <v>142</v>
      </c>
      <c r="H186" s="39" t="s">
        <v>36</v>
      </c>
    </row>
    <row r="187" spans="4:67"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7"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7"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7"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7"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7"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314</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ht="23.25" x14ac:dyDescent="0.25">
      <c r="D211" s="6" t="str" cm="1">
        <f t="array" ref="D211">Common_SourceData.Common_SourceData_MonthsToSeasons_Title()</f>
        <v>Months to Seasons Mapping</v>
      </c>
    </row>
    <row r="212" spans="4:5" x14ac:dyDescent="0.25">
      <c r="D212" s="39" t="s">
        <v>179</v>
      </c>
      <c r="E212" s="39" t="s">
        <v>368</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Dairy'!A1", "Dairy")</f>
        <v>Dairy</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8" t="s">
        <v>81</v>
      </c>
      <c r="E9" s="39" t="s">
        <v>21</v>
      </c>
      <c r="F9" s="39" t="s">
        <v>82</v>
      </c>
      <c r="G9" s="3"/>
    </row>
    <row r="10" spans="1:13" ht="20.100000000000001" customHeight="1" x14ac:dyDescent="0.25">
      <c r="A10" s="19" t="s">
        <v>77</v>
      </c>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HYPERLINK("#'4.3.1.1-2 Methane'!A1", "4.3.1.1-2 Methane")</f>
        <v>4.3.1.1-2 Methane</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HYPERLINK("#'4.3.1.3-4 Direct N20'!A1", "4.3.1.3-4 Direct N2O")</f>
        <v>4.3.1.3-4 Direct N2O</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HYPERLINK("#'4.3.1.5 Atmos Deposition'!A1", "4.3.1.5 Atmospheric deposition")</f>
        <v>4.3.1.5 Atmospheric deposition</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HYPERLINK("#'4.3.1.6-7 Leaching and runoff'!A1", "4.3.1.6-7 Leaching and runoff")</f>
        <v>4.3.1.6-7 Leaching and runoff</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HYPERLINK("#'4.3.1.8 Manure applied to soils'!A1", "4.3.1.8 Manure applied to soils")</f>
        <v>4.3.1.8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HYPERLINK("#'4.3.1.9 Soil direct N2O'!A1", "4.3.1.9 Soil direct N2O")</f>
        <v>4.3.1.9 Soil direct N2O</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HYPERLINK("#'4.3.1.10-11 Soil Atmos Dep'!A1", "4.3.1.10-11 Soil atm. deposition")</f>
        <v>4.3.1.10-11 Soil atm. deposition</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HYPERLINK("#'4.3.1.12-13 Soil leach runoff'!A1", "4.3.1.12-13 Soil leach &amp; runoff")</f>
        <v>4.3.1.12-13 Soil leach &amp; runoff</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8" t="s">
        <v>4</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Dairy'!A1", "Constants - Dairy")</f>
        <v>Constants - Dairy</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72" t="str">
        <f>HYPERLINK("#'Constants - Livestock'!A1", "Constants - Livestock")</f>
        <v>Constants - Livestock</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79</v>
      </c>
    </row>
    <row r="17" spans="1:1" ht="20.100000000000001" customHeight="1" x14ac:dyDescent="0.25">
      <c r="A17" s="70"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70" t="s">
        <v>1</v>
      </c>
    </row>
    <row r="23" spans="1:1" ht="20.100000000000001" customHeight="1" x14ac:dyDescent="0.25">
      <c r="A23" s="70"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79</v>
      </c>
    </row>
    <row r="32" spans="1:1" ht="20.100000000000001" customHeight="1" x14ac:dyDescent="0.25">
      <c r="A32" s="70"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EAGEAaQ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1ACAATQBlAHQAaABvAGQAIAAxACAALQAgAE0AYQBuAHUAcgBlACAAQQB0AG0AbwBzAHAAaABlAHIAaQBjACAARABlAHAAbwBzAGkAdABpAG8Abg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E0ATQBTACwAYQBkAH0APQBNAE4AXwB7AEEAVABNAE8AUwB9AFwAXAB0AGkAbQBlAHMAIABFAEYAXwB7AE4AMgBPAH0AXABcAHQAaQBtAGUAcwAgAEMAXwB7AE4AMgBPAH0AXABcAHQAaQBtAGUAcwAgADEAMABeAHsALQAzAH0AXABuAE0ATg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UAXwBfADEAXwBBAG4AbgB1AGEAbABBAHQAbQBvAHMAcABoAGUAcgBpAGMARABlAHAAbwBzAGkAdABpAG8AbgBFAG0AaQBzAHMAaQBvAG4AcwBGAHIAbwBtAE0ATQBTAFwAbgAgACAAPQBMAEEATQBCAEQAQQAoAFwAbgAgACAAIAAgAE0ATgBfAEEAVABNAE8AUwAsACAARQBGAF8ATgAyAE8ALAAgAEMAXwBOADIATwAsAFwAbgAgACAAIAAgAE0ATgBfAEEAVABNAE8AUwAgACoAIABFAEYAXwBOADIATwAgACoAIABDAF8ATgAyAE8AIAAqACAAMQAwACAAXgAgAC0AMwBcAG4AIAAgACkAOwBcAG4AXABuAFYARQBFAFIARwBfADQAXwAz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MAXwAxAF8ANQBfAF8AMQBfAEEAbgBuAHUAYQBsAEEAdABtAG8AcwBwAGgAZQByAGkAYwBEAGUAcABvAHMAaQB0AGkAbwBuAEUAbQBpAHMAcwBpAG8AbgBzAEYAcgBvAG0ATQBNAFMAXwBWAGEAcgBpAGEAYgBsAGUAXABuACAAIAA9AEwAQQBNAEIARABBACgAXAAiAEUAXwBOADIATwBNAE0AUwBhAGQAXAAiACkAOwBcAG4AXABuAFYARQBFAFIARwBfADQAXwAzAF8AMQBfADUAXwBfADEAXwBBAG4AbgB1AGEAbABBAHQAbQBvAHMAcABoAGUAcgBpAGMARABlAHAAbwBzAGkAdABpAG8AbgBFAG0AaQBzAHMAaQBvAG4AcwBGAHIAbwBtAE0ATQBTAF8AVQBuAGkAdABcAG4AIAAgAD0ATABBAE0AQgBEAEEAKABcACIAdAAgAE4AMgBPAFwAIgApADsAXABuAFwAbgBWAEUARQBSAEcAXwA0AF8AMwBfADEAXwA1AF8AXwAxAF8AQQBuAG4AdQBhAGwAQQB0AG0AbwBzAHAAaABlAHIAaQBjAEQAZQBwAG8AcwBpAHQAaQBvAG4ARQBtAGkAcwBzAGkAbwBuAHMARgByAG8AbQBNAE0AUwBfAFMAbwB1AHIAYwBlAFwAbgAgACAAPQBMAEEATQBCAEQAQQAoAFwAIgBWAEUARQBSAEcAIAAyADAAMgA2ADoAIAA0AC4AMwAuADEALgA1ACwAIABFAHEAdQBhAHQAaQBvAG4AIAAoADEAKQBcACIAKQA7AFwAbgBcAG4AVgBFAEUAUgBHAF8ANABfADMAXwAxAF8ANQBfAF8AMQBfAEEAbgBuAHUAYQBsAEEAdABtAG8AcwBwAGgAZQByAGkAYwBEAGUAcABvAHMAaQB0AGkAbwBuAEUAbQBpAHMAcwBpAG8AbgBzAEYAcgBvAG0ATQBNAFMAXwBOAEkAUgBSAGUAZgBlAHIAZQBuAGMAZQBcAG4AIAAgAD0ATABBAE0AQgBEAEEAKABcACIAXAAiACkAOwBcAG4AXABuAFYARQBFAFIARwBfADQAXwAzAF8AMQBfADUAXwBfADEAXwBBAG4AbgB1AGEAbABBAHQAbQBvAHMAcABoAGUAcgBpAGMARABlAHAAbwBzAGkAdABpAG8AbgBFAG0AaQBzAHMAaQBvAG4AcwBGAHIAbwBtAE0ATQBTAF8ATABhAHQAZQB4AEUAcQB1AGEAdABpAG8AbgBcAG4AIAAgAD0ATABBAE0AQgBEAEEAKABcACIARQBfAHsATgAyAE8ALABNAE0AUwAsAGEAZAB9AD0ATQBOAF8AewBBAFQATQBPAFMAfQBcAFwAdABpAG0AZQBzACAARQBGAF8AewBOADIATwB9AFwAXAB0AGkAbQBlAHMAIABDAF8AewBOADIATwB9AFwAXAB0AGkAbQBlAHMAIAAxADAAXgB7AC0AMwB9AFwAIgApADsAXABuAFwAbgBWAEUARQBSAEcAXwA0AF8AMwBfADEAXwA1AF8AXwAxAF8AQQBuAG4AdQBhAGwAQQB0AG0AbwBzAHAAaABlAHIAaQBjAEQAZQBwAG8AcwBpAHQAaQBvAG4ARQBtAGkAcwBzAGkAbwBuAHMARgByAG8AbQBNAE0AUwBfAEEAcgBnAHUAbQBlAG4AdABzAFwAbgAgACAAPQBMAEEATQBCAEQAQQAoAFwAbgAgACAAIAAgAE0AQQBLAEUAQQBSAFIAQQBZACgANgAsACAAMgAsAFwAbgAgACAAIAAgACAAIABMAEEATQBCAEQAQQAoAHIALABjACwAXABuACAAIAAgACAAIAAgACAAIABJAE4ARABFAFgAKAB7AFwAbgAgACAAIAAgACAAIAAgACAAIAAgAFwAIgBNAE4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gByAGEAYwBHAEEAUwBNAF8AbQBcACIALAAgAFwAIgBmAHIAYQBjAHQAaQBvAG4AIABvAGYAIABOACAAdgBvAGwAYQB0AGkAbABpAHMAZQBkACAAZgByAG8AbQAgAE0ATQBTACAAKABmAHIAYQBjAHQAaQBvAG4AKQ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QBGAF8AbQBcACIALAAgAFwAIgBlAG0AaQBzAHMAaQBvAG4AIABmAGEAYwB0AG8AcgAgAGYAbwByACAAbgBpAHQAcgBvAHUAcwAgAG8AeABpAGQAZQAgAGUAbQBpAHMAcwBpAG8AbgBzACAAcABlAHIAIABNAE0AUwAgACgAawBnACAATgAyAE8ALQBOAC8AawBnACAATgApAFwAIgA7AFwAbgAgACAAIAAgACAAIAAgACAAIAAgAFwAIgBGAHIAYQBjAEcAQQBTAE0AXwBtAFwAIgAsACAAXAAiAGYAcgBhAGMAdABpAG8AbgAgAG8AZgAgAE4AIAB2AG8AbABhAHQAaQBsAGkAcwBlAGQAIABmAHIAbwBtACAATQBNAFMAXAAiADsAXABuACAAIAAgACAAIAAgACAAIAAgACAAXAAiAE0ATgBMAGUAYQBjAGgAXwBqAG0AXAAiACwAIABcACIAbQBhAHMAcwAgAG8AZgAgAE4AIABsAG8AcwB0ACAAdABoAHIAbwB1AGcAaAAgAGwAZQBhAGMAaABpAG4AZwAgAGEAbgBkACAAcgB1AG4AbwBmAGYAIABmAHIAbwBtACAAZQBhAGMAaAAgAE0ATQBTACAAKABrAGcAIABOACkAXAAiADsAXABuACAAIAAgACAAIAAgACAAIAAgACAAXAAiAFAARgBfAHMAYwBvAHAAZQBcACIALAAgAFwAIgBmAHIAYQBjAHQAaQBvAG4AIABvAGYAIABtAGEAbgB1AHIAZQAgAGEAcABwAGwAaQBlAGQAIAB0AG8AIABzAG8AaQBsACAAdwBpAHQAaABpAG4AIABmAGEAcgBtACAAYgBvAHUAbgBkAGEAcgB5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I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CAAKABrAGcAIABOACkAXAAiADsAXABuACAAIAAgACAAIAAgACAAIAAgACAAXAAiAEUARgBfAG0AXAAiACwAIABcACIAZQBtAGkAcwBzAGkAbwBuACAAZgBhAGMAdABvAHIAIABmAG8AcgAgAG4AaQB0AHIAbwB1AHMAIABvAHgAaQBkAGUAIABlAG0AaQBzAHMAaQBvAG4AcwAgAHAAZQByACAATQBNAFMAIAAoAGsAZwAgAE4AMgBPAC0ATgAvAGsAZwAgAE4AKQBcACIAOwBcAG4AIAAgACAAIAAgACAAIAAgACAAIABcACIARgByAGEAYwBHAEEAUwBNAF8AbQBcACIALAAgAFwAIgBmAHIAYQBjAHQAaQBvAG4AIABvAGYAIABOACAAdgBvAGwAYQB0AGkAbABpAHMAZQBkACAAZgByAG8AbQAgAE0ATQBTAFwAIgA7AFwAbgAgACAAIAAgACAAIAAgACAAIAAgAFwAIgBNAE4ATABlAGEAYwBoAF8AagBtAFwAIgAsACAAXAAiAG0AYQBzAHMAIABvAGYAIABOACAAbABvAHMAdAAgAHQAaAByAG8AdQBnAGgAIABsAGUAYQBjAGgAaQBuAGcAIABhAG4AZAAgAHIAdQBuAG8AZgBmACAAZgByAG8AbQAgAGUAYQBjAGgAIABNAE0AUwAgACgAawBnACAATgApAFwAIgA7AFwAbgAgACAAIAAgACAAIAAgACAAIAAgAFwAIgBQAEYAXAAiACwAIABcACIAZgByAGEAYwB0AGkAbwBuACAAbwBmACAAbQBhAG4AdQByAGUAIABhAHAAcABsAGkAZQBkACAAdABvACAAcwBvAGkAbAAgAHcAaQB0AGgAaQBuACAAZgBhAHIAbQAgAGIAbwB1AG4AZABhAHIAeQBcACIAXABuACAAIAAgACAAIAAgACAAIAB9ACwAIAByACwAIABjACkAXABuACAAIAAgACAAIAAgACkAXABuACAAIAAgACAAKQBcAG4AIAAgACkAOwBcAG4AIgB9ACwAewAiAHAAYQB0AGgAIgA6ACIALwBwAHIAbwBqAGUAYwB0AHMALwBNAE0AUwBfAEQAYQBp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MAIABNAGUAdABoAG8AZAAgADEAIAAtACAATQBhAG4AdQByAGU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NAE4AXwB7AGoAbQB9AFwAXAB0AGkAbQBlAHMAIABFAEYAXwBtAFwAXAB0AGkAbQBlAHMAIABDAF8AewBOADIATwB9AFwAXAB0AGkAbQBlAHMAIAAxADAAXgB7AC0AMwB9AFwAbgBNAE4AXwBqAG0AIAA9ACAAdABvAHQAYQBsACAAbgBpAHQAcgBvAGcAZQBuACAAaQBuACAAZQBhAGMAaAAgAE0ATQBTACAAZgBvAHIAIABkAGEAaQByAHkAIABjAGEAdAB0AGwAZQAgAGMAbABhAHMAcwBlAHMAIAAoAGsAZwAgAE4AKQBcAG4ARQBGAF8AbQAgAD0AIABuAGkAdAByAG8AdQBzACAAbwB4AGkAZABlACAAZQBtAGkAcwBzAGkAbwBuACAAZgBhAGMAdABvAHIAIABmAG8AcgAgAGUAYQBjAGgAIABNAE0AUw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zAF8AXwAxAF8AVABvAHQAYQBsAEEAbgBuAHUAYQBsAEQAaQByAGUAYwB0AE4AaQB0AHIAbwB1AHMATwB4AGkAZABlAEUAbQBpAHMAcwBpAG8AbgBzAEYAcgBvAG0ATQBNAFMAXABuACAAIAA9AEwAQQBNAEIARABBACgAXABuACAAIAAgACAATQBOAF8AagBtACwAIABFAEYAXwBtACwAIABDAF8ATgAyAE8ALABcAG4AIAAgACAAIABNAE4AXwBqAG0AIAAqACAARQBGAF8AbQAgACoAIABDAF8ATgAyAE8AIAAqACAAMQAwACAAXgAgAC0AMwBcAG4AIAAgACkAOwBcAG4AXABuAFYARQBFAFIARwBfADQAXwAz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wBfADEAXwAzAF8AXwAxAF8AVABvAHQAYQBsAEEAbgBuAHUAYQBsAEQAaQByAGUAYwB0AE4AaQB0AHIAbwB1AHMATwB4AGkAZABlAEUAbQBpAHMAcwBpAG8AbgBzAEYAcgBvAG0ATQBNAFMAXwBWAGEAcgBpAGEAYgBsAGUAXABuACAAIAA9AEwAQQBNAEIARABBACgAXAAiAEUAXwBOADIATwBkAGkAcgBcACIAKQA7AFwAbgBcAG4AVgBFAEUAUgBHAF8ANABfADMAXwAxAF8AMwBfAF8AMQBfAFQAbwB0AGEAbABBAG4AbgB1AGEAbABEAGkAcgBlAGMAdABOAGkAdAByAG8AdQBzAE8AeABpAGQAZQBFAG0AaQBzAHMAaQBvAG4AcwBGAHIAbwBtAE0ATQBTAF8AVQBuAGkAdABcAG4AIAAgAD0ATABBAE0AQgBEAEEAKABcACIAdAAgAE4AMgBPAFwAIgApADsAXABuAFwAbgBWAEUARQBSAEcAXwA0AF8AMwBfADEAXwAzAF8AXwAxAF8AVABvAHQAYQBsAEEAbgBuAHUAYQBsAEQAaQByAGUAYwB0AE4AaQB0AHIAbwB1AHMATwB4AGkAZABlAEUAbQBpAHMAcwBpAG8AbgBzAEYAcgBvAG0ATQBNAFMAXwBTAG8AdQByAGMAZQBcAG4AIAAgAD0ATABBAE0AQgBEAEEAKABcACIAVgBFAEUAUgBHACAAMgAwADIANgA6ACAANAAuADMALgAxAC4AMwAsACAARQBxAHUAYQB0AGkAbwBuACAAKAAxACkAXAAiACkAOwBcAG4AXABuAFYARQBFAFIARwBfADQAXwAzAF8AMQBfADMAXwBfADEAXwBUAG8AdABhAGwAQQBuAG4AdQBhAGwARABpAHIAZQBjAHQATgBpAHQAcgBvAHUAcwBPAHgAaQBkAGUARQBtAGkAcwBzAGkAbwBuAHMARgByAG8AbQBNAE0AUwBfAE4ASQBSAFIAZQBmAGUAcgBlAG4AYwBlAFwAbgAgACAAPQBMAEEATQBCAEQAQQAoAFwAIgBcACIAKQA7AFwAbgBcAG4AVgBFAEUAUgBHAF8ANABfADMAXwAxAF8AMwBfAF8AMQBfAFQAbwB0AGEAbABBAG4AbgB1AGEAbABEAGkAcgBlAGMAdABOAGkAdAByAG8AdQBzAE8AeABpAGQAZQBFAG0AaQBzAHMAaQBvAG4AcwBGAHIAbwBtAE0ATQBTAF8ATABhAHQAZQB4AEUAcQB1AGEAdABpAG8AbgBcAG4AIAAgAD0ATABBAE0AQgBEAEEAKABcACIARQBfAHsATgAyAE8ALABkAGkAcgB9AD0AXABcAHMAdQBtAFwAXABuAG8AbABpAG0AaQB0AHMAXwB7AGoAfQBcAFwAcwB1AG0AXABcAG4AbwBsAGkAbQBpAHQAcwBfAHsAbQB9ACgATQBOAF8AewBqAG0AfQBcAFwAdABpAG0AZQBzACAARQBGAF8AbQBcAFwAdABpAG0AZQBzACAAQwBfAHsATgAyAE8AfQBcAFwAdABpAG0AZQBzACAAMQAwAF4AewAtADMAfQApAFwAIgApADsAXABuAFwAbgBWAEUARQBSAEcAXwA0AF8AMwBfADEAXwAzAF8AXwAxAF8AVABvAHQAYQBsAEEAbgBuAHUAYQBsAEQAaQByAGUAYwB0AE4AaQB0AHIAbwB1AHMATwB4AGkAZABlAEUAbQBpAHMAcwBpAG8AbgBzAEYAcgBvAG0ATQBNAFMAXwBBAHIAZwB1AG0AZQBuAHQAcwBcAG4AIAAgAD0ATABBAE0AQgBEAEEAKABcAG4AIAAgACAAIABNAEEASwBFAEEAUgBSAEEAWQAoADMALAAgADI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CAAKABrAGcAIABOACkAXAAiADsAXABuACAAIAAgACAAIAAgACAAIAAgACAAXAAiAEUARgBfAG0AXAAiACwAIABcACIAbgBpAHQAcgBvAHUAcwAgAG8AeABpAGQAZQAgAGUAbQBpAHMAcwBpAG8AbgAgAGYAYQBjAHQAbwByACAAZgBvAHIAIABlAGEAYwBoACAATQBNAFMAIAAoAGsAZwAgAE4AMgBPAC0ATgAvAGsAZwAgAE4AIABkAGUAcABvAHMAaQB0AGUAZA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MgAsAFwAbgAgACAAIAAgACAAIABMAEEATQBCAEQAQQAoAHIALABjACwAXABuACAAIAAgACAAIAAgACAAIABJAE4ARABFAFgAKAB7AFwAbgAgACAAIAAgACAAIAAgACAAIAAgAFwAIgBBAEUAXwBqAFwAIgAsACAAXAAiAHQAbwB0AGEAbAAgAG4AaQB0AHIAbwBnAGUAbgAgAGUAeABjAHIAZQB0AGUAZAAgAGIAeQAgAGUAYQBjAGgAIABkAGEAaQByAHkAIABjAGwAYQBzAHMAIAAoAGsAZwAgAE4AKQBcACIAOwBcAG4AIAAgACAAIAAgACAAIAAgACAAIABcACIATQBNAFMAXwBqAG0AXAAiACwAIABcACIAbQBhAG4AdQByAGUAIABtAGEAbgBhAGcAZQBtAGUAbgB0ACAAcwB5AHMAdABlAG0AIABmAHIAYQBjAHQAaQBvAG4AIABmAG8AcgAgAGMAbABhAHMAcwAgAGoAIABhAG4AZAAgAHMAeQBzAHQAZQBtACAAb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zAGEAXwBUAG8AdABhAGwAQQBuAG4AdQBhAGwATgBpAHQAcgBvAGcAZQBuAEUAeABjAHIAZQB0AGUAZABHAHIAZQBhAHQAZQByAFQAaABhAG4ATwBuAGUAWQBlAGEAcgBcAG4AVABvAHQAYQBsACAAYQBuAG4AdQBhAGwAIABuAGkAdAByAG8AZwBlAG4AIABlAHgAYwByAGUAdABlAGQAIABiAHkAIABkAGEAaQByAHkAIABjAGEAdAB0AGwAZQAgAD4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Pg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7AFwAbgAgACAAIAAgACAAIAAgACAAIAAgAFwAIgBEAF8AagAxADIANABcACIALAAgAFwAIgBkAHUAcgBhAHQAaQBvAG4AIABvAGYAIABzAHQAYQB5ACAAbwBuACAAZgBhAHIAbQAgAGYAbwByACAAYwBsAGEAcwBzAGUAcwAgAGoAPQAxACwAMgAsADQAIAAoAGQAYQB5AHMAKQ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IALABcAG4AIAAgACAAIAAgACAATABBAE0AQgBEAEEAKAByACwAYwAsAFwAbgAgACAAIAAgACAAIAAgACAASQBOAEQARQBYACgAewBcAG4AIAAgACAAIAAgACAAIAAgACAAIABcACIATgBfAGoAMwA1AFwAIgAsACAAXAAiAG4AdQBtAGIAZQByACAAbwBmACAAZABhAGkAcgB5ACAAYwBhAHQAdABsAGUAIABpAG4AIABjAGwAYQBzAHMAZQBzACAAagA9ADMALAA1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7AFwAbgAgACAAIAAgACAAIAAgACAAIAAgAFwAIgBOAFAAVwBfAGoAMwA1AFwAIgAsACAAXAAiAG4AaQB0AHIAbwBnAGUAbgAgAGUAeABjAHIAZQB0AGUAZAAgAGIAeQAgAHAAcgBlAC0AdwBlAGEAbgBlAGQAIABjAGEAbAB2AGUAcwAgACgAawBnACAATgAvAGgAZQBhAGQALwBkAGEAeQAp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DsAXABuACAAIAAgACAAIAAgACAAIAAgACAAXAAiAEQAUABXAF8AagAzADUAXAAiACwAIABcACIAZAB1AHIAYQB0AGkAbwBuACAAbwBmACAAcwB0AGEAeQAgAG8AbgAgAGYAYQByAG0AIABmAG8AcgAgAHAAcgBlAC0AdwBlAGEAbgBlAGQAIABjAGEAbAB2AGUAcwAgACgAZABhAHkAcwAp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D4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QwBQAEkAXwBqAFwAIgAsACAAXAAiAGMAcgB1AGQAZQAgAHAAcgBvAHQAZQBpAG4AIABpAG4AdABhAGsAZQAgACgAawBnAC8AaABlAGEAZAAvAGQAYQB5ACkAXAAiADsAXABuACAAIAAgACAAIAAgACAAIAAgACAAXAAiAE4AUgBfAGoAXAAiACwAIABcACIAYQBtAG8AdQBuAHQAIABvAGYAIABuAGkAdAByAG8AZwBlAG4AIAByAGUAdABhAGkAbgBlAGQAIABiAHkAIAB0AGgAZQAgAGIAbwBkAHkAIAAoAGsAZwAgAE4ALwBoAGUAYQBkAC8AZABhAHkAKQBcACIAOwBcAG4AIAAgACAAIAAgACAAIAAgACAAIABcACIAVwBfAGoAXAAiACwAIABcACIAbABpAHYAZQB3AGUAaQBnAGgAdAAgACgAawBn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yACwAXABuACAAIAAgACAAIAAgAEwAQQBNAEIARABBACgAcgAsAGMALABcAG4AIAAgACAAIAAgACAAIAAgAEkATgBEAEUAWAAoAHsAXABuACAAIAAgACAAIAAgACAAIAAgACAAXAAiAEkAXwBqAFwAIgAsACAAXAAiAGQAcgB5ACAAbQBhAHQAdABlAHIAIABpAG4AdABhAGsAZQAgACgAawBnAEQATQAvAGgAZQBhAGQALwBkAGEAeQApAFwAIgA7AFwAbgAgACAAIAAgACAAIAAgACAAIAAgAFwAIgBDAFAAXwBqAFwAIgAsACAAXAAiAGMAcgB1AGQAZQAgAHAAcgBvAHQAZQBpAG4AIABjAG8AbgB0AGUAbgB0ACAAbwBmACAAZgBlAGUAZAAgAGkAbgB0AGEAawBlACAAKABmAHIAYQBjAHQAaQBvAG4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cACIALAAgAFwAIgBtAGkAbABrACAAcAByAG8AZAB1AGMAdABpAG8AbgAgACgATAAvAGgAZQBhAGQALwBkAGEAeQApAFwAIgA7AFwAbgAgACAAIAAgACAAIAAgACAAIAAgAFwAIgBMAF8AagBcACIALAAgAFwAIgBpAG4AdABhAGsAZQAgAHIAZQBsAGEAdABpAHYAZQAgAHQAbwAgAG0AYQBpAG4AdABlAG4AYQBuAGMAZQBcACIAOwBcAG4AIAAgACAAIAAgACAAIAAgACAAIABcACIAWgBfAGoAXAAiACwAIABcACIAcgBlAGwAYQB0AGkAdgBlACAAcwBpAHoAZQBcACIAOwBcAG4AIAAgACAAIAAgACAAIAAgACAAIABcACIATABXAEcAXwBqAFwAIgAsACAAXAAiAGwAaQB2AGUAdwBlAGkAZwBoAHQAIABnAGEAaQBuACAAKABrAGc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IALABcAG4AIAAgACAAIAAgACAATABBAE0AQgBEAEEAKAByACwAYwAsAFwAbgAgACAAIAAgACAAIAAgACAASQBOAEQARQBYACgAewBcAG4AIAAgACAAIAAgACAAIAAgACAAIABcACIASQBfAGoAXAAiACwAIABcACIAZAByAHkAIABtAGEAdAB0AGUAcgAgAGkAbgB0AGEAawBlACAAKABrAGcARABNAC8AaABlAGEAZAAvAGQAYQB5ACkAXAAiADsAXABuACAAIAAgACAAIAAgACAAIAAgACAAXAAiAFcAXwBqAFwAIgAsACAAXAAiAGwAaQB2AGUAdwBlAGkAZwBoAHQAIAAoAGsAZwApAFwAIgA7AFwAbgAgACAAIAAgACAAIAAgACAAIAAgAFwAIgBNAFIAXwBqAFwAIgAsACAAXAAiAGkAbgBjAHIAZQBhAHMAZQAgAGkAbgAgAG0AZQB0AGEAYgBvAGwAaQBjACAAcgBhAHQAZQAgAHcAaABlAG4AIABwAHIAbwBkAHUAYwBpAG4AZwAgAG0AaQBsAGsAXAAiADsAXABuACAAIAAgACAAIAAgACAAIAAgACAAXAAiAE0ASQBfAGoAXAAiACwAIABcACIAYQBkAGQAaQB0AGkAbwBuAGEAbAAgAGkAbgB0AGEAawBlACAAcgBlAHEAdQBpAHIAZQBkACAAZgBvAHIAIABtAGkAbABrACAAcAByAG8AZAB1AGMAdABpAG8AbgAgACgAawBn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IALABcAG4AIAAgACAAIAAgACAATABBAE0AQgBEAEEAKAByACwAYwAsAFwAbgAgACAAIAAgACAAIAAgACAASQBOAEQARQBYACgAewBcAG4AIAAgACAAIAAgACAAIAAgACAAIABcACIAVwBfAGoAXAAiACwAIABcACIAbABpAHYAZQB3AGUAaQBnAGgAdAAgACgAawBnACkAXAAiADsAXABuACAAIAAgACAAIAAgACAAIAAgACAAXAAiAFcAUgBfAGoAXAAiACwAIABcACIAcgBlAGYAZQByAGUAbgBjAGUAIAB3AGUAaQBnAGgAdAAgACgAawBnACkAXAAiAFwAbgAgACAAIAAgACAAIAAgACAAfQAsACAAcgAsACAAYwApAFwAbgAgACAAIAAgACAAIAApAFwAbgAgACAAIAAgACkAXABuACAAIAApADsAXABu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Mg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7AFwAbgAgACAAIAAgACAAIAAgACAAIAAgAFwAIgBFAEYAXwBsAGUAYQBjAGgAXAAiACwAIABcACIAbgBpAHQAcgBvAHUAcwAgAG8AeABpAGQAZQAg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wBfADEAXwA2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0ANABcAG4AawBnACAATgBcAG4ATQBOAEwAZQBhAGMAaABfAHsAagBtAD0ANAB9AD0ATQBOAF8AewBqAG0APQA0AH0AXABcAHQAaQBtAGUAcwAgAEYAcgBhAGMAVwBFAFQAXwBpAFwAXAB0AGkAbQBlAHMAIABGAHIAYQBjAEwARQBBAEMASABfAE0AUwBcAG4ATQBOAF8AagBtADQAIAA9ACAAdABvAHQAYQBsACAAbgBpAHQAcgBvAGcAZQBuACAAaQBuACAAcwBvAGwAaQBkACAAcwB0AG8AcgBhAGcAZQAgAHMAeQBzAHQAZQBtACAAbQA9ADQAIAAoAGsAZwAgAE4AKQBcAG4ARgByAGEAYwBXAEUAVABfAGk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YAXwBfADIAXwBNAGEAcwBzAE8AZgBOAGkAdAByAG8AZwBlAG4ATABvAHMAdABUAG8ATABlAGEAYwBoAGkAbgBnAEEAbgBkAFIAdQBuAG8AZgBmAEYAcgBvAG0AUwBvAGwAaQBkAFMAdABvAHIAYQBnAGUAXABuACAAIAA9AEwAQQBNAEIARABBACgAXABuACAAIAAgACAATQBOAF8AagBtADQALAAgAEYAcgBhAGMAVwBFAFQAXwBpACwAIABGAHIAYQBjAEwARQBBAEMASABfAE0AUwAsAFwAbgAgACAAIAAgAE0ATgBfAGoAbQA0ACAAKgAgAEYAcgBhAGMAVwBFAFQAXwBpACAAKgAgAEYAcgBhAGMATABFAEEAQwBIAF8ATQBTAFwAbgAgACAAKQA7AFwAbgBcAG4AVgBFAEUAUgBHAF8ANABfADMAXwAxAF8ANg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MwBfADEAXwA2AF8AXwAyAF8ATQBhAHMAcwBPAGYATgBpAHQAcgBvAGcAZQBuAEwAbwBzAHQAVABvAEwAZQBhAGMAaABpAG4AZwBBAG4AZABSAHUAbgBvAGYAZgBGAHIAbwBtAFMAbwBsAGkAZABTAHQAbwByAGEAZwBlAF8AVgBhAHIAaQBhAGIAbABlAFwAbgAgACAAPQBMAEEATQBCAEQAQQAoAFwAIgBNAE4ATABlAGEAYwBoAF8AagBtADQAXAAiACkAOwBcAG4AXABuAFYARQBFAFIARwBfADQAXwAzAF8AMQBfADYAXwBfADIAXwBNAGEAcwBzAE8AZgBOAGkAdAByAG8AZwBlAG4ATABvAHMAdABUAG8ATABlAGEAYwBoAGkAbgBnAEEAbgBkAFIAdQBuAG8AZgBmAEYAcgBvAG0AUwBvAGwAaQBkAFMAdABvAHIAYQBnAGUAXwBVAG4AaQB0AFwAbgAgACAAPQBMAEEATQBCAEQAQQAoAFwAIgBrAGcAIABOAFwAIgApADsAXABuAFwAbgBWAEUARQBSAEcAXwA0AF8AMwBfADEAXwA2AF8AXwAyAF8ATQBhAHMAcwBPAGYATgBpAHQAcgBvAGcAZQBuAEwAbwBzAHQAVABvAEwAZQBhAGMAaABpAG4AZwBBAG4AZABSAHUAbgBvAGYAZgBGAHIAbwBtAFMAbwBsAGkAZABTAHQAbwByAGEAZwBlAF8AUwBvAHUAcgBjAGUAXABuACAAIAA9AEwAQQBNAEIARABBACgAXAAiAFYARQBFAFIARwAgADIAMAAyADYAOgAgADQALgAzAC4AMQAuADYALAAgAEUAcQB1AGEAdABpAG8AbgAgACgAMgApAFwAIgApADsAXABuAFwAbgBWAEUARQBSAEcAXwA0AF8AMwBfADEAXwA2AF8AXwAyAF8ATQBhAHMAcwBPAGYATgBpAHQAcgBvAGcAZQBuAEwAbwBzAHQAVABvAEwAZQBhAGMAaABpAG4AZwBBAG4AZABSAHUAbgBvAGYAZgBGAHIAbwBtAFMAbwBsAGkAZABTAHQAbwByAGEAZwBlAF8ATgBJAFIAUgBlAGYAZQByAGUAbgBjAGUAXABuACAAIAA9AEwAQQBNAEIARABBACgAXAAiAFwAIgApADsAXABuAFwAbgBWAEUARQBSAEcAXwA0AF8AMwBfADEAXwA2AF8AXwAyAF8ATQBhAHMAcwBPAGYATgBpAHQAcgBvAGcAZQBuAEwAbwBzAHQAVABvAEwAZQBhAGMAaABpAG4AZwBBAG4AZABSAHUAbgBvAGYAZgBGAHIAbwBtAFMAbwBsAGkAZABTAHQAbwByAGEAZwBlAF8ATABhAHQAZQB4AEUAcQB1AGEAdABpAG8AbgBcAG4AIAAgAD0ATABBAE0AQgBEAEEAKABcACIATQBOAEwAZQBhAGMAaABfAHsAagBtAD0ANAB9AD0ATQBOAF8AewBqAG0APQA0AH0AXABcAHQAaQBtAGUAcwAgAEYAcgBhAGMAVwBFAFQAXwBpAFwAXAB0AGkAbQBlAHMAIABGAHIAYQBjAEwARQBBAEMASABfAHsATQBTAH0AXAAiACkAOwBcAG4AXABuAFYARQBFAFIARwBfADQAXwAzAF8AMQBfADYAXwBfADIAXwBNAGEAcwBzAE8AZgBOAGkAdAByAG8AZwBlAG4ATABvAHMAdABUAG8ATABlAGEAYwBoAGkAbgBnAEEAbgBkAFIAdQBuAG8AZgBmAEYAcgBvAG0AUwBvAGwAaQBkAFMAdABvAHIAYQBnAGUAXwBBAHIAZwB1AG0AZQBuAHQAcwBcAG4AIAAgAD0ATABBAE0AQgBEAEEAKABcAG4AIAAgACAAIABNAEEASwBFAEEAUgBSAEEAWQAoADYALAAgADIALABcAG4AIAAgACAAIAAgACAATABBAE0AQgBEAEEAKAByACwAYwAsAFwAbgAgACAAIAAgACAAIAAgACAASQBOAEQARQBYACgAewBcAG4AIAAgACAAIAAgACAAIAAgACAAIABcACIATQBOAF8AagBtADQAXAAiACwAIABcACIAdABvAHQAYQBsACAAbgBpAHQAcgBvAGcAZQBuACAAaQBuACAAcwBvAGwAaQBkACAAcwB0AG8AcgBhAGcAZQAgAHMAeQBzAHQAZQBtACAAbQA9ADQAIAAoAGsAZwAgAE4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AgACgAZABpAG0AZQBuAHMAaQBvAG4AbABlAHMAcwApAFwAIgA7AFwAbgAgACAAIAAgACAAIAAgACAAIAAgAFwAIgBGAHIAYQBjAEwARQBBAEMASABfAE0AUwBcACIALAAgAFwAIgBmAHIAYQBjAHQAaQBvAG4AIABvAGYAIABOACAAdABoAGEAdAAgAGkAcwAgAGwAbwBzAHQAIAB0AGgAcgBvAHUAZwBoACAAbABlAGEAYwBoAGkAbgBnACAAYQBuAGQAIAByAHUAbgBvAGYAZgAgACgAZABpAG0AZQBuAHMAaQBvAG4AbABlAHMAcwAp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AgACgAawBnACAAT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CIAOwBcAG4AIAAgACAAIAAgACAAIAAgACAAIABcACIAQwBfAE4AMgBPAFwAIgAsACAAXAAiAGYAYQBjAHQAbwByACAAdABvACAAYwBvAG4AdgBlAHIAdAAgAGUAbABlAG0AZQBuAHQAYQBsACAAbQBhAHMAcwAgAG8AZgAgAE4AMgBPACAAdABvACAAbQBvAGwAZQBjAHUAbABhAHIAIABtAGEAcwBzAFwAIgA7AFwAbgAgACAAIAAgACAAIAAgACAAIAAgAFwAIgB6AFwAIgAsAFwAIgBXAGUAdAAgAG8AcgAgAGQAcgB5ACAAYwBsAGkAbQBhAHQAZQAgAHoAbwBuAGU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Mg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y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AgACgAawBnACAAT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y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AgACgAawBnACAATgApAFwAIgA7AFwAbgAgACAAIAAgACAAIAAgACAAIAAgAFwAIgBFAEYAXwBsAGUAYQBjAGgAXAAiACwAIABcACIAbgBpAHQAcgBvAHUAcwAgAG8AeABpAGQAZQAg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E4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AgACgAaABlAGEAZAApAFwAIgA7AFwAbgAgACAAIAAgACAAIAAgACAAIAAgAFwAIgBNAF8AagBrAGwAbQBcACIALAAgAFwAIgBtAGUAdABoAGEAbgBlACAAcAByAG8AZAB1AGMAdABpAG8AbgAgAGYAcgBvAG0AIABtAGEAbgB1AHIAZQAgAGkAbgAgAGUAYQBjAGgAIAB0AGkAbQBlAC0AcABlAHIAaQBvAGQALAAgAGMAbABhAHMAcwAsACAAcwB1AGIAYwBsAGEAcwBzACAAYQBuAGQAIABNAE0AUwAgACgAawBnAC8AaABlAGEAZAAvAGQAYQB5ACkAXAAiADsAXABuACAAIAAgACAAIAAgACAAIAAgACAAXAAiAEQAXwBqAFwAIgAsACAAXAAiAG4AdQBtAGIAZQByACAAbwBmACAAZABhAHkAcwAgAGkAbgAgAGUAYQBjAGgAIAB0AGkAbQBlAC0AcABlAHIAaQBvAGQAIABmAG8AcgAgAGUAYQBjAGgAIABpAG4AcAB1AHQAIABjAGwAYQBzAHM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QAsACAAMgAsAFwAbgAgACAAIAAgACAAIABMAEEATQBCAEQAQQAoAHIALABjACwAXABuACAAIAAgACAAIAAgACAAIABJAE4ARABFAFgAKAB7AFwAbgAgACAAIAAgACAAIAAgACAAIAAgAFwAIgBWAFMAXwBqAGsAbABcACIALAAgAFwAIgB2AG8AbABhAHQAaQBsAGUAIABzAG8AbABpAGQAIABwAHIAbwBkAHUAYwB0AGkAbwBuACAAKABrAGcALwBkAGEAeQApAFwAIgA7AFwAbgAgACAAIAAgACAAIAAgACAAIAAgAFwAIgBCAF8AbwBcACIALAAgAFwAIgBlAG0AaQBzAHMAaQBvAG4AcwAgAHAAbwB0AGUAbgB0AGkAYQBsACAAKABtADMAIABDAEgANAAvAGsAZwAgAFYAUwApAFwAIgA7AFwAbgAgACAAIAAgACAAIAAgACAAIAAgAFwAIgBNAE0AUwBfAG0AXAAiACwAIABcACIAZgByAGEAYwB0AGkAbwBuACAAbwBmACAAdwBhAHMAdABlACAAaQBuACAAZQBhAGMAaAAgAG0AYQBuAHUAcgBlACAAbQBhAG4AYQBnAGUAbQBlAG4AdAAgAHMAeQBzAHQAZQBtAFwAIgA7AFwAbgAgACAAIAAgACAAIAAgACAAIAAgAFwAIgBNAEMARgBfAGkAbQBcACIALAAgAFwAIgBtAGUAdABoAGEAbgBlACAAYwBvAG4AdgBlAHIAcwBpAG8AbgAgAGYAYQBjAHQAbwByACAAZgBvAHIAIAB0AGUAbQBwAGUAcgBhAHQAdQByAGUAIAB6AG8AbgBlACAAYQBuAGQAIABNAE0AUwBcACIAOwBcAG4AIAAgACAAIAAgACAAIAAgACAAIABcACIAcgBoAG8AXAAiACwAIABcACIAZABlAG4AcwBpAHQAeQAgAG8AZgAgAG0AZQB0AGgAYQBuAGUAIAAoAGsAZwAvAG0AMwAp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LwBoAGUAYQBkAC8AZABhAHkAKQBcACIAOwBcAG4AIAAgACAAIAAgACAAIAAgACAAIABcACIARABNAEQAXwBqAGsAbABcACIALAAgAFwAIgBkAHIAeQAgAG0AYQB0AHQAZQByACAAZABpAGcAZQBzAHQAaQBiAGkAbABpAHQAeQAgAGUAeABwAHIAZQBzAHMAZQBkACAAYQBzACAAYQAgAGYAcgBhAGMAdABpAG8AbgBcACIAOwBcAG4AIAAgACAAIAAgACAAIAAgACAAIABcACIAQQBcACIALAAgAFwAIgBhAHMAaAAgAGMAbwBuAHQAZQBuAHQAIABvAGYAIABmAGUAZQBkACAAaQBuAHQAYQBrAGUAIABlAHgAcAByAGUAcwBzAGUAZAAgAGEAcwAgAGEAIABmAHIAYQBjAHQAaQBvAG4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I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IAAoAGQAYQB5AHMAKQBcACIAOwBcAG4AIAAgACAAIAAgACAAIAAgACAAIABcACIATQBfAGoAawBsAFwAIgAsACAAXAAiAGQAYQBpAGwAeQAgAHAAcgBvAGQAdQBjAHQAaQBvAG4AIABvAGYAIABlAG4AdABlAHIAaQBjACAAbQBlAHQAaABhAG4AZQAgAGkAbgAgAGUAYQBjAGgAIAB0AGkAbQBlAC0AcABlAHIAaQBvAGQALAAgAGMAbABhAHMAcwAgAGEAbgBkACAAcwB1AGIAYwBsAGEAcwBzACAAKABrAGcAIABDAEgANAAvAGgAZQBhAGQALwBkAGEAeQApAFwAIgA7AFwAbgAgACAAIAAgACAAIAAgACAAIAAgAFwAIgBOAF8AagBrAGwAXAAiACwAIABcACIAbgB1AG0AYgBlAHIAIABvAGYAIABiAGUAZQBmACAAYwBhAHQAdABsAGUAIABpAG4AIABlAGEAYwBoACAAdABpAG0AZQAtAHAAZQByAGkAbwBkACwAIABjAGwAYQBzAHMAIABhAG4AZAAgAHMAdQBiAGMAbABhAHMAcwAgACgAaABlAGEAZ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yACwAXABuACAAIAAgACAAIAAgAEwAQQBNAEIARABBACgAcgAsAGMALABcAG4AIAAgACAAIAAgACAAIAAgAEkATgBEAEUAWAAoAHsAXABuACAAIAAgACAAIAAgACAAIAAgACAAXAAiAEkAXwBqAGsAbABcACIALAAgAFwAIgBkAHIAeQAgAG0AYQB0AHQAZQByACAAaQBuAHQAYQBrAGUAIAAoAGsAZwAg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K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yACwAXABuACAAIAAgACAAIAAgAEwAQQBNAEIARABBACgAcgAsAGMALABcAG4AIAAgACAAIAAgACAAIAAgAEkATgBEAEUAWAAoAHsAXABuACAAIAAgACAAIAAgACAAIAAgACAAXAAiAFcAXwBqAGsAbABcACIALAAgAFwAIgBsAGkAdgBlAHcAZQBpAGcAaAB0ACAAKABrAGcAKQBcACIAOwBcAG4AIAAgACAAIAAgACAAIAAgACAAIABcACIATABXAEcAXwBqAGsAbABcACIALAAgAFwAIgBsAGkAdgBlACAAdwBlAGkAZwBoAHQAIABnAGEAaQBuACAAKABrAGcALwBoAGUAYQBkAC8AZABhAHkAKQBcACIAOwBcAG4AIAAgACAAIAAgACAAIAAgACAAIABcACIATQBBAF8AagBrADQANQBcACIALAAgAFwAIgBhAGQAZABpAHQAaQBvAG4AYQBsACAAaQBuAHQAYQBrAGUAIABmAG8AcgAgAG0AaQBsAGsAIABwAHIAbwBkAHUAYwB0AGkAbwBuACAAaQBuACAAYwBvAHcAcwAgAGcAcgBlAGEAdABlAHIAIAB0AGgAYQBuACAAMgAgAHkAZQBhAHIAcw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BAHIAZwB1AG0AZQBuAHQAcwBcAG4AIAAgAD0ATABBAE0AQgBEAEEAKABcAG4AIAAgACAAIABNAEEASwBFAEEAUgBSAEEAWQAoADIALAAgADI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XABuACAAIAAgACAAIAAgACAAIAB9ACwAIAByACwAIABjACkAXABuACAAIAAgACAAIAAgACkAXABuACAAIAAgACAAKQBcAG4AIAAgACkAOw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XAAiACkAOwBcAG4AXABuAFMAbwB1AHIAYwBlAEQAYQB0AGEAXwBQAGEAcwB0AHUAcgBlAEIAZQBlAGYAXwBEAHIAeQBNAGEAdAB0AGUAcgBEAGkAZwBlAHMAdABpAGIAaQBsAGkAdAB5AF8ARABhAHQAYQBcAG4AIAAgAD0ATABBAE0AQgBEAEEAKABcAG4AIAAgACAAIABNAEEASwBFAEEAUgBSAEEAWQAoADEAMQ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G4ALwBhAFwAIgAsACAAMAAuADUANQAsACAAMAAuADYAMQAsACAAMAAuADUANwAsACAAMAAuADUANAA7AFwAbgAgACAAIAAgACAAIAAgACAAIAAgAFwAIgBRAEwARABcACIALAAgAFwAIgBuAC8AYQ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BcACIAKQA7AFwAbgBcAG4AUwBvAHUAcgBjAGUARABhAHQAYQBfAFAAYQBzAHQAdQByAGUAQgBlAGUAZgBfAEMAcgB1AGQAZQBQAHIAbwB0AGUAaQBuAEMAbwBuAHQAZQBuAHQAXwBEAGEAdABhAFwAbgAgACAAPQBMAEEATQBCAEQAQQAoAFwAbgAgACAAIAAgAE0AQQBLAEUAQQBSAFIAQQBZACgAMQAx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uAC8AYQBcACIALAAgADAALgAwADUAOAAsACAAMAAuADAAOQAyACwAIAAwAC4AMAA3ADUALAAgADAALgAwADUAMwA7AFwAbgAgACAAIAAgACAAIAAgACAAIAAgAFwAIgBRAEwARABcACIALAAgAFwAIgBuAC8AYQ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s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LA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Results</vt:lpstr>
      <vt:lpstr>Input - Site</vt:lpstr>
      <vt:lpstr>Input - Pasture Beef</vt:lpstr>
      <vt:lpstr>4.2.1.1-2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Pature Beef</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2026-04-08T07:47:37Z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