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7F68FCE-6BA8-4FA4-806C-B805F21EC601}" xr6:coauthVersionLast="47" xr6:coauthVersionMax="47" xr10:uidLastSave="{00000000-0000-0000-0000-000000000000}"/>
  <bookViews>
    <workbookView xWindow="2730" yWindow="2730" windowWidth="28800" windowHeight="15345" firstSheet="11"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9"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122" i="79"/>
  <c r="D121" i="79"/>
  <c r="I69" i="104"/>
  <c r="I15" i="104"/>
  <c r="G75" i="104"/>
  <c r="I70" i="104"/>
  <c r="G42" i="104"/>
  <c r="G41" i="104"/>
  <c r="G40" i="104"/>
  <c r="G39" i="104"/>
  <c r="G38" i="104"/>
  <c r="G37" i="104"/>
  <c r="G36" i="104"/>
  <c r="G35" i="104"/>
  <c r="G84" i="103"/>
  <c r="H67" i="103"/>
  <c r="H66" i="103"/>
  <c r="H65" i="103"/>
  <c r="H64" i="103"/>
  <c r="H63" i="103"/>
  <c r="H62" i="103"/>
  <c r="H61" i="103"/>
  <c r="H60" i="103"/>
  <c r="I52" i="103"/>
  <c r="G73" i="102"/>
  <c r="I67" i="102"/>
  <c r="I66" i="102"/>
  <c r="Q116" i="69"/>
  <c r="G116" i="69"/>
  <c r="O60" i="69"/>
  <c r="O59" i="69"/>
  <c r="J18" i="69"/>
  <c r="I56" i="70"/>
  <c r="H56" i="70"/>
  <c r="G56" i="70"/>
  <c r="F56" i="70"/>
  <c r="E56" i="70"/>
  <c r="I55" i="70"/>
  <c r="H55" i="70"/>
  <c r="G55" i="70"/>
  <c r="F55" i="70"/>
  <c r="E55" i="70"/>
  <c r="E42" i="70"/>
  <c r="E41" i="70"/>
  <c r="E28" i="70"/>
  <c r="E27" i="70"/>
  <c r="E14" i="70"/>
  <c r="E13" i="70"/>
  <c r="E33" i="15"/>
  <c r="E32" i="15"/>
  <c r="E31" i="15"/>
  <c r="E30" i="15"/>
  <c r="E259" i="109" a="1"/>
  <c r="E259" i="109" s="1"/>
  <c r="D259" i="109" a="1"/>
  <c r="D259" i="109" s="1"/>
  <c r="E258" i="109" a="1"/>
  <c r="E258" i="109" s="1"/>
  <c r="D258" i="109" a="1"/>
  <c r="D258" i="109" s="1"/>
  <c r="D256" i="109" a="1"/>
  <c r="D256" i="109" s="1"/>
  <c r="D255" i="109"/>
  <c r="D255" i="109" a="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c r="I246" i="109" a="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c r="D180" i="109" a="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c r="D167" i="109" a="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c r="D133" i="109" a="1"/>
  <c r="D132" i="109" a="1"/>
  <c r="D132" i="109" s="1"/>
  <c r="E129" i="109" a="1"/>
  <c r="E129" i="109" s="1"/>
  <c r="D129" i="109" a="1"/>
  <c r="D129" i="109" s="1"/>
  <c r="E128" i="109" a="1"/>
  <c r="E128" i="109" s="1"/>
  <c r="D128" i="109" a="1"/>
  <c r="D128" i="109" s="1"/>
  <c r="D125" i="109" a="1"/>
  <c r="D125" i="109" s="1"/>
  <c r="D124" i="109"/>
  <c r="D124" i="109" a="1"/>
  <c r="G121" i="109" a="1"/>
  <c r="G121" i="109" s="1"/>
  <c r="F121" i="109" a="1"/>
  <c r="F121" i="109" s="1"/>
  <c r="E121" i="109" a="1"/>
  <c r="E121" i="109" s="1"/>
  <c r="D121" i="109" a="1"/>
  <c r="D121" i="109" s="1"/>
  <c r="G120" i="109" a="1"/>
  <c r="G120" i="109" s="1"/>
  <c r="F120" i="109" a="1"/>
  <c r="F120" i="109" s="1"/>
  <c r="E120" i="109" a="1"/>
  <c r="E120" i="109" s="1"/>
  <c r="D120" i="109" a="1"/>
  <c r="D120" i="109" s="1"/>
  <c r="D117" i="109"/>
  <c r="D117" i="109" a="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c r="D107" i="109" a="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c r="D81" i="109" a="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c r="D5" i="109" a="1"/>
  <c r="A3" i="109"/>
  <c r="A8" i="71"/>
  <c r="A7" i="71"/>
  <c r="A3" i="71"/>
  <c r="J17" i="69"/>
  <c r="E29" i="15"/>
  <c r="E13" i="15"/>
  <c r="D22" i="70" s="1"/>
  <c r="E93" i="69" s="1"/>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F77" i="104" a="1"/>
  <c r="F77" i="104" s="1"/>
  <c r="D74" i="104" a="1"/>
  <c r="D74" i="104" s="1"/>
  <c r="G68" i="104" a="1"/>
  <c r="G68" i="104" s="1"/>
  <c r="D68" i="104" a="1"/>
  <c r="D68" i="104" s="1"/>
  <c r="E66" i="104" a="1"/>
  <c r="E66" i="104" s="1"/>
  <c r="F72" i="104" s="1"/>
  <c r="E65" i="104" a="1"/>
  <c r="E65" i="104" s="1"/>
  <c r="D61" i="104" a="1"/>
  <c r="D61" i="104" s="1"/>
  <c r="D60" i="104" a="1"/>
  <c r="D60" i="104" s="1"/>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 i="104" a="1"/>
  <c r="E7" i="69" a="1"/>
  <c r="E62" i="104" a="1"/>
  <c r="E78" i="69" a="1"/>
  <c r="E7" i="102" a="1"/>
  <c r="E44" i="103" a="1"/>
  <c r="E7" i="103" a="1"/>
  <c r="E59" i="102" a="1"/>
  <c r="H50" i="109" l="1"/>
  <c r="I68" i="102"/>
  <c r="G65" i="103"/>
  <c r="H52" i="109"/>
  <c r="H53" i="109"/>
  <c r="H48" i="109"/>
  <c r="H51" i="109"/>
  <c r="F56" i="104"/>
  <c r="F72" i="103"/>
  <c r="H49" i="109"/>
  <c r="H54" i="109"/>
  <c r="D36" i="70"/>
  <c r="D50" i="70"/>
  <c r="D8" i="70"/>
  <c r="E92" i="69" s="1"/>
  <c r="E21" i="102"/>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0" i="102" l="1"/>
  <c r="E22" i="102"/>
  <c r="E94" i="69"/>
  <c r="G67" i="103"/>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47" i="69" l="1"/>
  <c r="F53" i="69"/>
  <c r="E51" i="69"/>
  <c r="F47" i="69"/>
  <c r="E54" i="69"/>
  <c r="F49" i="69"/>
  <c r="F54" i="69"/>
  <c r="E50" i="69"/>
  <c r="F50" i="69"/>
  <c r="E48" i="69"/>
  <c r="F51" i="69"/>
  <c r="F48" i="69"/>
  <c r="E52" i="69"/>
  <c r="F52" i="69"/>
  <c r="E49" i="69"/>
  <c r="E53" i="69"/>
  <c r="E37" i="102"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<sst xmlns="http://schemas.openxmlformats.org/spreadsheetml/2006/main" count="622" uniqueCount="294">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</sst>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eetMetadata" Target="metadata.xml" /><Relationship Id="rId26" Type="http://schemas.openxmlformats.org/officeDocument/2006/relationships/customXml" Target="../customXml/item3.xml" /><Relationship Id="rId3" Type="http://schemas.openxmlformats.org/officeDocument/2006/relationships/worksheet" Target="worksheets/sheet3.xml" /><Relationship Id="rId21" Type="http://schemas.microsoft.com/office/2017/06/relationships/rdRichValueStructure" Target="richData/rdrichvaluestructur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haredStrings" Target="sharedStrings.xml" /><Relationship Id="rId25" Type="http://schemas.openxmlformats.org/officeDocument/2006/relationships/customXml" Target="../customXml/item2.xml" /><Relationship Id="rId2" Type="http://schemas.openxmlformats.org/officeDocument/2006/relationships/worksheet" Target="worksheets/sheet2.xml" /><Relationship Id="rId16" Type="http://schemas.openxmlformats.org/officeDocument/2006/relationships/styles" Target="styles.xml" /><Relationship Id="rId20" Type="http://schemas.microsoft.com/office/2017/06/relationships/rdRichValue" Target="richData/rdrichvalue.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1.xml" /><Relationship Id="rId5" Type="http://schemas.openxmlformats.org/officeDocument/2006/relationships/worksheet" Target="worksheets/sheet5.xml" /><Relationship Id="rId15" Type="http://schemas.openxmlformats.org/officeDocument/2006/relationships/theme" Target="theme/theme1.xml" /><Relationship Id="rId23" Type="http://schemas.openxmlformats.org/officeDocument/2006/relationships/calcChain" Target="calcChain.xml" /><Relationship Id="rId10" Type="http://schemas.openxmlformats.org/officeDocument/2006/relationships/worksheet" Target="worksheets/sheet10.xml" /><Relationship Id="rId19" Type="http://schemas.microsoft.com/office/2022/10/relationships/richValueRel" Target="richData/richValueRel.xml" /><Relationship Id="rId4" Type="http://schemas.openxmlformats.org/officeDocument/2006/relationships/worksheet" Target="worksheets/sheet4.xml" /><Relationship Id="rId9" Type="http://schemas.openxmlformats.org/officeDocument/2006/relationships/worksheet" Target="worksheets/sheet9.xml" /><Relationship Id="rId22" Type="http://schemas.microsoft.com/office/2017/06/relationships/rdRichValueTypes" Target="richData/rdRichValueTypes.xml" /><Relationship Id="rId27" Type="http://schemas.openxmlformats.org/officeDocument/2006/relationships/customXml" Target="../customXml/item4.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9"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8" dataCellStyle="Content normal">
  <autoFilter ref="D24:E32" xr:uid="{50599DA1-A8E6-43AC-9BA5-F5F05D972680}">
    <filterColumn colId="0" hiddenButton="1"/>
    <filterColumn colId="1" hiddenButton="1"/>
  </autoFilter>
  <tableColumns count="2">
    <tableColumn id="1" xr3:uid="{224F01F5-9F04-424C-9B4C-94B1D666F42B}" name="Other livestock type" dataDxfId="57"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5" dataCellStyle="Content normal">
  <autoFilter ref="D39:E47" xr:uid="{EFDE3B07-3717-4AE7-8210-BEB8FBB5C09A}">
    <filterColumn colId="0" hiddenButton="1"/>
    <filterColumn colId="1" hiddenButton="1"/>
  </autoFilter>
  <tableColumns count="2">
    <tableColumn id="1" xr3:uid="{99F8CB88-8A74-44CD-B1D3-22D4849941C6}" name="Other livestock type" dataDxfId="54"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2"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1"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8"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7"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4"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3"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40"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9"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F0986C-6E42-4A8C-8657-A7163488F7D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DA27E0-9138-436D-BD19-6887D6849E7A}" name="State/Territory">
      <calculatedColumnFormula array="1">Common_InputFunctions.Utility_DisplayArrayInTable(Common_SourceData.Common_SourceData_AustralianStatesTerritories_Data(),Table_AustralianStates[[#Headers],[State/Territory]],0)</calculatedColumnFormula>
    </tableColumn>
    <tableColumn id="2" xr3:uid="{8A0E719C-1DFE-4ECA-AC23-16548D806EFA}" name="Common Name">
      <calculatedColumnFormula array="1">Common_InputFunctions.Utility_DisplayArrayInTable(Common_SourceData.Common_SourceData_AustralianStatesTerritories_Data(),Table_AustralianStates[[#Headers],[State/Territory]],0)</calculatedColumnFormula>
    </tableColumn>
    <tableColumn id="3" xr3:uid="{865E73F9-1477-45BE-87BF-6554BA53C25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B9E95-CB4E-4872-96EB-619FCEE4A3C2}" name="Table_WASA4Areas" displayName="Table_WASA4Areas" ref="D20:D30" totalsRowShown="0">
  <autoFilter ref="D20:D30" xr:uid="{5FA81339-C6C8-4D36-BEEA-6C4AEDD9E676}">
    <filterColumn colId="0" hiddenButton="1"/>
  </autoFilter>
  <tableColumns count="1">
    <tableColumn id="1" xr3:uid="{C1BBC4CC-EEA2-46AD-A862-3E7E6C4F789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4B1003-62AF-4515-A71D-6CB1BD32EE93}" name="Table_GWPData" displayName="Table_GWPData" ref="D36:E43" totalsRowShown="0">
  <autoFilter ref="D36:E43" xr:uid="{B8E87A66-3E41-4AD3-925D-01EE21B43D7A}">
    <filterColumn colId="0" hiddenButton="1"/>
    <filterColumn colId="1" hiddenButton="1"/>
  </autoFilter>
  <tableColumns count="2">
    <tableColumn id="1" xr3:uid="{0394B695-8D5F-4E7E-81B8-8E5DF8345925}" name="Gas">
      <calculatedColumnFormula array="1">Common_InputFunctions.Utility_DisplayArrayInTable(Common_SourceData.Common_SourceData_GWP_Data(), Table_GWPData[[#Headers],[Gas]], 0)</calculatedColumnFormula>
    </tableColumn>
    <tableColumn id="2" xr3:uid="{792372B8-6F7D-499E-A09E-4E1753DC867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5008CB-988C-4D4D-AE1F-877666DCAD2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23CDF2-3B32-4005-809D-9A835AA11332}" name="Gas">
      <calculatedColumnFormula array="1">Common_InputFunctions.Utility_DisplayArrayInTable(Common_SourceData.Common_SourceData_ConvertGasElementalToMolecular_Data(),Table_GasToMolecularConversionFactor[[#Headers],[Gas]], 0)</calculatedColumnFormula>
    </tableColumn>
    <tableColumn id="5" xr3:uid="{E007FE07-CEC6-4EE1-98E6-BE4CD5BE82CF}" name="Conversion factor">
      <calculatedColumnFormula array="1">Common_InputFunctions.Utility_DisplayArrayInTable(Common_SourceData.Common_SourceData_ConvertGasElementalToMolecular_Data(),Table_GasToMolecularConversionFactor[[#Headers],[Gas]], 0)</calculatedColumnFormula>
    </tableColumn>
    <tableColumn id="2" xr3:uid="{83AC60EE-A802-42EA-B555-EBFE5B8724F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ABEE3AE-28E7-422C-AF1E-611E429C5D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820675-D61C-494C-9112-30FDFA4247A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BF1691D-ED78-4320-861C-F30E8DF5456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A17227-E969-4ADF-87E0-0371E8053C4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ED77410-E0A5-414E-99F1-DAA2888A94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7DE9F1C0-B774-48E6-8BB2-55E1C69B4C9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9A6ECD6-40A4-4C83-B239-A27BC9EB0FD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44E6E93-6421-4389-9FCA-AF62B86D4D3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C8C1CF4-E340-4927-88DB-99EF86BB261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1793FB6E-13F5-413B-9DDD-06182C73803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70E0410D-47ED-47C7-89DB-CD43B8842923}"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70D5E29-790E-4240-A01E-1874ECF8A90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4DD7AD8-73BB-4413-B275-E214837BB9A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468662A2-51BA-45A2-B4FA-0832B9C7A6B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5C1C2169-AB74-4179-8C42-976FC003BEC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42F6E499-84FA-463B-A79B-B19D09EA614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DE0B931-AB3B-4CC8-9D83-2DCCD0AEB2B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9FE892C-0E22-4FEF-B299-E370BD512A09}"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C7AFCB2D-51AB-4BA5-A24E-587A5EB6874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8DC34-7CC7-441A-BD29-003E636ECB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5271A4-264D-4C8A-9489-BED422FA01C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969A27-E25C-4216-9C8A-B15164CD6269}"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7A4CD9-F050-4C72-8731-B26D27CB9D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C1D2B7-F5F0-462E-AAA8-5154ED1F9D2E}" name="Temperature Zone">
      <calculatedColumnFormula array="1">Common_InputFunctions.Utility_DisplayArrayInTable(Common_SourceData.Common_SourceData_TemperatureZones_Data(),Table_SourceData_TemperatureZones[[#Headers],[Temperature Zone]],0)</calculatedColumnFormula>
    </tableColumn>
    <tableColumn id="2" xr3:uid="{5781ED17-3D2B-4BB4-A97B-4E835921D6A1}" name="MAT">
      <calculatedColumnFormula array="1">Common_InputFunctions.Utility_DisplayArrayInTable(Common_SourceData.Common_SourceData_TemperatureZones_Data(),Table_SourceData_TemperatureZones[[#Headers],[Temperature Zone]],0)</calculatedColumnFormula>
    </tableColumn>
    <tableColumn id="3" xr3:uid="{19B2BD41-0D54-4793-AB2C-385BFDA9E0C1}" name="Min MAT">
      <calculatedColumnFormula array="1">Common_InputFunctions.Utility_DisplayArrayInTable(Common_SourceData.Common_SourceData_TemperatureZones_Data(),Table_SourceData_TemperatureZones[[#Headers],[Temperature Zone]],0)</calculatedColumnFormula>
    </tableColumn>
    <tableColumn id="4" xr3:uid="{06409D49-029A-4810-9FAA-B21975CEDEA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E49A79C-CDE3-40DC-A237-044F635DE52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E6851F0-D8CE-4DFE-8036-C8F9F12889D7}" name="Rainfall Zone">
      <calculatedColumnFormula array="1">Common_InputFunctions.Utility_DisplayArrayInTable(Common_SourceData.Common_SourceData_RainfallZones_Data(),Table_SourceData_RainfallZones[[#Headers],[Rainfall Zone]],0)</calculatedColumnFormula>
    </tableColumn>
    <tableColumn id="2" xr3:uid="{5C5CAF5F-5528-4758-BBD4-ED9D7BCE2A5F}" name="Annual rainfall">
      <calculatedColumnFormula array="1">Common_InputFunctions.Utility_DisplayArrayInTable(Common_SourceData.Common_SourceData_RainfallZones_Data(),Table_SourceData_RainfallZones[[#Headers],[Rainfall Zone]],0)</calculatedColumnFormula>
    </tableColumn>
    <tableColumn id="3" xr3:uid="{AF8104A2-9567-4371-8D06-89866AC8FA4C}" name="Min rainfall">
      <calculatedColumnFormula array="1">Common_InputFunctions.Utility_DisplayArrayInTable(Common_SourceData.Common_SourceData_RainfallZones_Data(),Table_SourceData_RainfallZones[[#Headers],[Rainfall Zone]],0)</calculatedColumnFormula>
    </tableColumn>
    <tableColumn id="4" xr3:uid="{56BCD8B5-7D87-4B65-9B62-DAC56500A23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7333ED-0E78-40FF-B02A-7D54F1B05E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F4ECC9-0DAA-47DB-B767-0EA12130E5F0}" name="Leaching Zone">
      <calculatedColumnFormula array="1">Common_InputFunctions.Utility_DisplayArrayInTable(Common_SourceData.Common_SourceData_LeachingZones_Data(), Table_SourceData_LeachingZones[[#Headers],[Leaching Zone]], 0)</calculatedColumnFormula>
    </tableColumn>
    <tableColumn id="2" xr3:uid="{1D42BD62-CB9C-44A4-A539-54613343CE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2E52D0-F018-4AA3-8131-EC88D891F2B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03BA2F5-FE4B-47FB-86A2-844732A2D3F3}" name="Data source">
      <calculatedColumnFormula array="1">Common_InputFunctions.Utility_DisplayArrayInTable(Common_SourceData.Common_SourceData_DataScores_Scope3_Data(), Table_SourceData_DataScores_Scope3[[#Headers],[Data source]], 0)</calculatedColumnFormula>
    </tableColumn>
    <tableColumn id="2" xr3:uid="{3C49E66E-898F-438E-A7A8-9A9EFCA3580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BA2FA5A-8ED9-4897-8892-4E0381664811}" name="Table_SourceData_FracWET" displayName="Table_SourceData_FracWET" ref="D134:E136" totalsRowShown="0">
  <autoFilter ref="D134:E136" xr:uid="{308E99BE-FE1F-47A4-B2CA-97217277C4E9}">
    <filterColumn colId="0" hiddenButton="1"/>
    <filterColumn colId="1" hiddenButton="1"/>
  </autoFilter>
  <tableColumns count="2">
    <tableColumn id="1" xr3:uid="{3AB08733-E779-478E-B0E9-97B28C19C11B}" name="Is in leaching zone">
      <calculatedColumnFormula array="1">Common_InputFunctions.Utility_DisplayArrayInTable(Common_SourceData.Common_SourceData_FracWET_Data(),Table_SourceData_FracWET[[#Headers],[Is in leaching zone]],0)</calculatedColumnFormula>
    </tableColumn>
    <tableColumn id="2" xr3:uid="{FE2EE01B-9E26-449A-815F-9876C8AEAD9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A63727-068E-4903-99A7-0E28F5BD528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524680-734D-484A-944B-75E7416A563B}" name="Production system j">
      <calculatedColumnFormula array="1">Common_InputFunctions.Utility_DisplayArrayInTable(Common_SourceData.Common_SourceData_EFN2O_Data(), Table_SourceData_Common_EFN2O[[#Headers],[Production system j]], 0)</calculatedColumnFormula>
    </tableColumn>
    <tableColumn id="2" xr3:uid="{A0CDB4D8-27A5-464C-942B-B1CBCBF0C318}" name="EFN2O">
      <calculatedColumnFormula array="1">Common_InputFunctions.Utility_DisplayArrayInTable(Common_SourceData.Common_SourceData_EFN2O_Data(), Table_SourceData_Common_EFN2O[[#Headers],[Production system j]], 0)</calculatedColumnFormula>
    </tableColumn>
    <tableColumn id="3" xr3:uid="{661DFF21-A842-419F-B517-4C654CE6901C}" name="Production system only">
      <calculatedColumnFormula array="1">Common_InputFunctions.Utility_DisplayArrayInTable(Common_SourceData.Common_SourceData_EFN2O_Data(), Table_SourceData_Common_EFN2O[[#Headers],[Production system j]], 0)</calculatedColumnFormula>
    </tableColumn>
    <tableColumn id="4" xr3:uid="{8A61C935-4825-4070-8B7A-D1DDABA5A2E4}" name="Irrigation method">
      <calculatedColumnFormula array="1">Common_InputFunctions.Utility_DisplayArrayInTable(Common_SourceData.Common_SourceData_EFN2O_Data(), Table_SourceData_Common_EFN2O[[#Headers],[Production system j]], 0)</calculatedColumnFormula>
    </tableColumn>
    <tableColumn id="5" xr3:uid="{70465E10-3DA2-43E3-A128-3A14C1E74F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04B18E9-3CDF-41A6-A44B-B141D85D1B2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D4F1866-1104-48B8-9926-1AAD31F861D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64334A-82AD-4C7C-B3B5-1F033430EA5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EC3438D-3AE7-4B14-9F37-90BB4EED61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7B99F02-AB40-4134-B67A-E019FD248BD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68DCC5A-5CC1-43F1-A318-492A13374BA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7DE6125-59CE-44F1-9FB7-87582F91AFE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783121C-7BDB-452D-A5E4-8D0E3554F3DB}" name="Month">
      <calculatedColumnFormula array="1">Common_InputFunctions.Utility_DisplayArrayInTable(Common_SourceData.Common_SourceData_MonthsToSeasons_Data(), Table_SourceData_Common_MonthToSeason[[#Headers],[Month]], 0)</calculatedColumnFormula>
    </tableColumn>
    <tableColumn id="2" xr3:uid="{BCE36B2D-0C6D-4FD7-868A-2E2A9DD6DE11}"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9AB84E5-5762-4BB2-B92B-94C3D142A15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0533C0-C167-4120-A701-D6DDDE9B53B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7381098-C00C-4159-BB35-616E17C7AC15}"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E3D06F8-EFDC-4B0A-AEC1-B70E72069C48}"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F96835-D68B-410A-9C08-3B8AA3C17F8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CF34BBC-3B58-4752-BDF3-C74E8B77FA6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FF6510A-FBC8-472D-87CF-28ADA0992391}"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61CE58-E21B-4BEE-A59C-B5481B9563B8}"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3E1449F-D0C6-4523-926C-92C357B3DD2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BA287A5-0A1F-4EA9-9B37-C44DEC7567F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8925C3-3A08-49B2-894C-BBFF7566F65D}"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5FE956A-CEB4-4903-A7AB-BBD5A71D7DA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4F94ACC-10AB-4ABF-8C58-809A7381A8C0}"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4EA0671-7442-43E2-ACA2-B4E7A99F00F2}"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34704C3-0E95-45DD-AEEF-A79860DFA749}"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1607BD-814A-47FD-BF2B-17DF78EB4EEA}"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DB602E1-649F-4B2B-8DAB-AAB461C9300B}"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013AD04-7F5D-449C-8CC4-D9C2F4A61A2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77FA3D5-4E92-4E9F-9BEF-61B57C75CF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CD39327-4BD7-4D24-9036-E6912D7DFE9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0D2001-8A90-41C3-9241-D0C4D9D2314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6FA8F1-6413-4D07-8E37-4191A8C81055}" name="Description" dataDxfId="0" dataCellStyle="Content normal"/>
    <tableColumn id="1" xr3:uid="{E663688C-4BCA-4A83-B673-1238D7A5B9A4}" name="ID"/>
    <tableColumn id="3" xr3:uid="{0255E234-D646-413F-B7AB-DACD6D932AC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287E74-CA37-4274-B68C-F444DBE5C6B4}"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B18C960-2C2D-4124-81DD-8173E8706AAD}" name="Description"/>
    <tableColumn id="2" xr3:uid="{F36E8054-72A5-4084-BC6C-7B72C0F095D8}" name="ID"/>
    <tableColumn id="3" xr3:uid="{BFAA927B-9D1E-44E9-932E-170D856D46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FC22583-BAE2-4C46-B11C-5A7E6EA9DEB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4D01929-3E03-4022-B989-6D4B2717DD86}" name="Description"/>
    <tableColumn id="2" xr3:uid="{7FF155AA-01CC-4D11-BC12-A4E49F1BE9AA}" name="ID"/>
    <tableColumn id="3" xr3:uid="{3AFE8C5B-F001-40F8-B743-4AB2F87B9D1E}"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482FC02-0E68-4741-A54A-B49BCCEDFD9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DA3CA1D-F39F-44E7-BDF8-22CEC4F80060}" name="Description"/>
    <tableColumn id="2" xr3:uid="{77CA643B-0A19-4187-8E9A-A2F2A338104A}" name="ID"/>
    <tableColumn id="3" xr3:uid="{D5D550B8-8ACE-454A-B38B-077AC8B5E0D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244</v>
      </c>
    </row>
    <row r="3" spans="1:1" x14ac:dyDescent="0.25">
      <c r="A3" s="125" t="str">
        <f>HYPERLINK("#'Home'!A1", "Home")</f>
        <v>Home</v>
      </c>
    </row>
    <row r="6" spans="1:1" x14ac:dyDescent="0.25">
      <c r="A6" s="12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15" zoomScaleNormal="100" workbookViewId="0">
      <selection activeCell="G43" sqref="G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AA85-707E-4E4C-8420-621CBDC45D86}">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4" t="s">
        <v>1</v>
      </c>
      <c r="D6" s="38" t="s">
        <v>17</v>
      </c>
      <c r="E6" s="38" t="s">
        <v>18</v>
      </c>
      <c r="F6" s="38" t="s">
        <v>19</v>
      </c>
    </row>
    <row r="7" spans="1:65" ht="20.100000000000001" customHeight="1" x14ac:dyDescent="0.25">
      <c r="A7" s="64"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20</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6" x14ac:dyDescent="0.25">
      <c r="D257" s="38" t="s">
        <v>242</v>
      </c>
      <c r="E257" s="38" t="s">
        <v>243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245</v>
      </c>
    </row>
    <row r="264" spans="4:6" x14ac:dyDescent="0.25">
      <c r="D264" s="1" t="s">
        <v>246</v>
      </c>
    </row>
    <row r="265" spans="4:6" x14ac:dyDescent="0.25">
      <c r="D265" s="38" t="s">
        <v>247</v>
      </c>
      <c r="E265" s="38" t="s">
        <v>248</v>
      </c>
      <c r="F265" s="38" t="s">
        <v>249</v>
      </c>
    </row>
    <row r="266" spans="4:6" x14ac:dyDescent="0.25">
      <c r="D266" s="38" t="s">
        <v>250</v>
      </c>
      <c r="E266" s="38" t="s">
        <v>251</v>
      </c>
      <c r="F266" s="38">
        <v>5</v>
      </c>
    </row>
    <row r="267" spans="4:6" x14ac:dyDescent="0.25">
      <c r="D267" s="38" t="s">
        <v>252</v>
      </c>
      <c r="E267" s="38" t="s">
        <v>253</v>
      </c>
      <c r="F267" s="38">
        <v>4</v>
      </c>
    </row>
    <row r="268" spans="4:6" x14ac:dyDescent="0.25">
      <c r="D268" s="38" t="s">
        <v>254</v>
      </c>
      <c r="E268" s="38" t="s">
        <v>255</v>
      </c>
      <c r="F268" s="38">
        <v>3</v>
      </c>
    </row>
    <row r="269" spans="4:6" x14ac:dyDescent="0.25">
      <c r="D269" s="38" t="s">
        <v>256</v>
      </c>
      <c r="E269" s="38" t="s">
        <v>257</v>
      </c>
      <c r="F269" s="38">
        <v>2</v>
      </c>
    </row>
    <row r="270" spans="4:6" x14ac:dyDescent="0.25">
      <c r="D270" s="38" t="s">
        <v>258</v>
      </c>
      <c r="E270" s="38" t="s">
        <v>259</v>
      </c>
      <c r="F270" s="38">
        <v>1</v>
      </c>
    </row>
    <row r="273" spans="4:6" x14ac:dyDescent="0.25">
      <c r="D273" s="1" t="s">
        <v>260</v>
      </c>
    </row>
    <row r="274" spans="4:6" x14ac:dyDescent="0.25">
      <c r="D274" s="38" t="s">
        <v>247</v>
      </c>
      <c r="E274" s="38" t="s">
        <v>248</v>
      </c>
      <c r="F274" s="38" t="s">
        <v>249</v>
      </c>
    </row>
    <row r="275" spans="4:6" x14ac:dyDescent="0.25">
      <c r="D275" s="38" t="s">
        <v>261</v>
      </c>
      <c r="E275" s="38" t="s">
        <v>262</v>
      </c>
      <c r="F275" s="38">
        <v>5</v>
      </c>
    </row>
    <row r="276" spans="4:6" x14ac:dyDescent="0.25">
      <c r="D276" s="38" t="s">
        <v>263</v>
      </c>
      <c r="E276" s="38" t="s">
        <v>264</v>
      </c>
      <c r="F276" s="38">
        <v>4</v>
      </c>
    </row>
    <row r="277" spans="4:6" x14ac:dyDescent="0.25">
      <c r="D277" s="38" t="s">
        <v>265</v>
      </c>
      <c r="E277" s="38" t="s">
        <v>266</v>
      </c>
      <c r="F277" s="38">
        <v>3</v>
      </c>
    </row>
    <row r="278" spans="4:6" x14ac:dyDescent="0.25">
      <c r="D278" s="38" t="s">
        <v>267</v>
      </c>
      <c r="E278" s="38" t="s">
        <v>268</v>
      </c>
      <c r="F278" s="38">
        <v>2</v>
      </c>
    </row>
    <row r="279" spans="4:6" x14ac:dyDescent="0.25">
      <c r="D279" s="38" t="s">
        <v>269</v>
      </c>
      <c r="E279" s="38" t="s">
        <v>270</v>
      </c>
      <c r="F279" s="38">
        <v>1</v>
      </c>
    </row>
    <row r="282" spans="4:6" x14ac:dyDescent="0.25">
      <c r="D282" s="1" t="s">
        <v>271</v>
      </c>
    </row>
    <row r="283" spans="4:6" x14ac:dyDescent="0.25">
      <c r="D283" s="38" t="s">
        <v>247</v>
      </c>
      <c r="E283" s="38" t="s">
        <v>248</v>
      </c>
      <c r="F283" s="38" t="s">
        <v>249</v>
      </c>
    </row>
    <row r="284" spans="4:6" x14ac:dyDescent="0.25">
      <c r="D284" s="38" t="s">
        <v>272</v>
      </c>
      <c r="E284" s="38" t="s">
        <v>273</v>
      </c>
      <c r="F284" s="38">
        <v>5</v>
      </c>
    </row>
    <row r="285" spans="4:6" x14ac:dyDescent="0.25">
      <c r="D285" s="38" t="s">
        <v>274</v>
      </c>
      <c r="E285" s="38" t="s">
        <v>275</v>
      </c>
      <c r="F285" s="38">
        <v>4</v>
      </c>
    </row>
    <row r="286" spans="4:6" x14ac:dyDescent="0.25">
      <c r="D286" s="38" t="s">
        <v>276</v>
      </c>
      <c r="E286" s="38" t="s">
        <v>277</v>
      </c>
      <c r="F286" s="38">
        <v>3</v>
      </c>
    </row>
    <row r="287" spans="4:6" x14ac:dyDescent="0.25">
      <c r="D287" s="38" t="s">
        <v>278</v>
      </c>
      <c r="E287" s="38" t="s">
        <v>279</v>
      </c>
      <c r="F287" s="38">
        <v>2</v>
      </c>
    </row>
    <row r="288" spans="4:6" x14ac:dyDescent="0.25">
      <c r="D288" s="38" t="s">
        <v>280</v>
      </c>
      <c r="E288" s="38" t="s">
        <v>281</v>
      </c>
      <c r="F288" s="38">
        <v>1</v>
      </c>
    </row>
    <row r="291" spans="4:6" x14ac:dyDescent="0.25">
      <c r="D291" s="1" t="s">
        <v>282</v>
      </c>
    </row>
    <row r="292" spans="4:6" x14ac:dyDescent="0.25">
      <c r="D292" s="38" t="s">
        <v>247</v>
      </c>
      <c r="E292" s="38" t="s">
        <v>248</v>
      </c>
      <c r="F292" s="38" t="s">
        <v>249</v>
      </c>
    </row>
    <row r="293" spans="4:6" x14ac:dyDescent="0.25">
      <c r="D293" s="38" t="s">
        <v>283</v>
      </c>
      <c r="E293" s="38" t="s">
        <v>284</v>
      </c>
      <c r="F293" s="38">
        <v>5</v>
      </c>
    </row>
    <row r="294" spans="4:6" x14ac:dyDescent="0.25">
      <c r="D294" s="38" t="s">
        <v>285</v>
      </c>
      <c r="E294" s="38" t="s">
        <v>286</v>
      </c>
      <c r="F294" s="38">
        <v>4</v>
      </c>
    </row>
    <row r="295" spans="4:6" x14ac:dyDescent="0.25">
      <c r="D295" s="38" t="s">
        <v>287</v>
      </c>
      <c r="E295" s="38" t="s">
        <v>288</v>
      </c>
      <c r="F295" s="38">
        <v>3</v>
      </c>
    </row>
    <row r="296" spans="4:6" x14ac:dyDescent="0.25">
      <c r="D296" s="38" t="s">
        <v>289</v>
      </c>
      <c r="E296" s="38" t="s">
        <v>290</v>
      </c>
      <c r="F296" s="38">
        <v>2</v>
      </c>
    </row>
    <row r="297" spans="4:6" x14ac:dyDescent="0.25">
      <c r="D297" s="38" t="s">
        <v>291</v>
      </c>
      <c r="E297" s="38" t="s">
        <v>292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293</v>
      </c>
    </row>
    <row r="3" spans="1:1" ht="15.75" x14ac:dyDescent="0.25">
      <c r="A3" s="17" t="str">
        <f>HYPERLINK("#'Home'!A1", "Home")</f>
        <v>Home</v>
      </c>
    </row>
    <row r="6" spans="1:1" x14ac:dyDescent="0.25">
      <c r="A6" s="124" t="s">
        <v>1</v>
      </c>
    </row>
    <row r="7" spans="1:1" ht="15.75" x14ac:dyDescent="0.25">
      <c r="A7" s="17" t="str">
        <f>HYPERLINK("#'Constants - Common'!A1", "Constants - Common")</f>
        <v>Constants - Common</v>
      </c>
    </row>
    <row r="8" spans="1:1" ht="15.75" x14ac:dyDescent="0.25">
      <c r="A8"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