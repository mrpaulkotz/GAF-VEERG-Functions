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63F131B-D156-46B1-A4EF-52E3A23DEEF1}" xr6:coauthVersionLast="47" xr6:coauthVersionMax="47" xr10:uidLastSave="{00000000-0000-0000-0000-000000000000}"/>
  <bookViews>
    <workbookView xWindow="4290" yWindow="4290" windowWidth="28800" windowHeight="15345" firstSheet="8"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6" r:id="rId12"/>
    <sheet name="Acknowledgements" sheetId="72" r:id="rId13"/>
  </sheets>
  <externalReferences>
    <externalReference r:id="rId14"/>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Step1">#REF!</definedName>
    <definedName name="Step2">#REF!</definedName>
    <definedName name="Step3">#REF!</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2" i="79" l="1"/>
  <c r="D121" i="79"/>
  <c r="I69" i="104"/>
  <c r="I15" i="104"/>
  <c r="O60" i="69"/>
  <c r="O59" i="69"/>
  <c r="I66" i="102"/>
  <c r="G42" i="104"/>
  <c r="G41" i="104"/>
  <c r="G40" i="104"/>
  <c r="G39" i="104"/>
  <c r="G38" i="104"/>
  <c r="G37" i="104"/>
  <c r="G36" i="104"/>
  <c r="G35" i="104"/>
  <c r="H67" i="103"/>
  <c r="H66" i="103"/>
  <c r="H65" i="103"/>
  <c r="H64" i="103"/>
  <c r="H63" i="103"/>
  <c r="H62" i="103"/>
  <c r="H61" i="103"/>
  <c r="H60" i="103"/>
  <c r="E30" i="15"/>
  <c r="E33" i="15"/>
  <c r="E32" i="15"/>
  <c r="E31" i="15"/>
  <c r="I70" i="104"/>
  <c r="I52" i="103"/>
  <c r="I67" i="102"/>
  <c r="G75" i="104"/>
  <c r="G84" i="103"/>
  <c r="G73" i="102"/>
  <c r="Q116" i="69"/>
  <c r="G116" i="69"/>
  <c r="J18" i="69"/>
  <c r="I56" i="70"/>
  <c r="H56" i="70"/>
  <c r="G56" i="70"/>
  <c r="F56" i="70"/>
  <c r="E56" i="70"/>
  <c r="I55" i="70"/>
  <c r="H55" i="70"/>
  <c r="G55" i="70"/>
  <c r="F55" i="70"/>
  <c r="E55" i="70"/>
  <c r="E42" i="70"/>
  <c r="E41" i="70"/>
  <c r="E28" i="70"/>
  <c r="E27" i="70"/>
  <c r="E14" i="70"/>
  <c r="E13" i="70"/>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c r="D57" i="106" a="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22" i="102"/>
  <c r="E21" i="102"/>
  <c r="E20" i="102"/>
  <c r="E99" i="69"/>
  <c r="E98" i="69"/>
  <c r="E97" i="69"/>
  <c r="E96" i="69"/>
  <c r="E95" i="69"/>
  <c r="E94" i="69"/>
  <c r="E93" i="69"/>
  <c r="E92" i="69"/>
  <c r="T18" i="69"/>
  <c r="D50" i="70"/>
  <c r="D36" i="70"/>
  <c r="D22" i="70"/>
  <c r="D8" i="70"/>
  <c r="J17" i="69"/>
  <c r="A14" i="104"/>
  <c r="A14" i="79"/>
  <c r="A14" i="43"/>
  <c r="A14" i="100"/>
  <c r="A14" i="13"/>
  <c r="A14" i="15"/>
  <c r="A14" i="70"/>
  <c r="A14" i="69"/>
  <c r="A14" i="102"/>
  <c r="A14" i="103"/>
  <c r="A21" i="43"/>
  <c r="A20" i="43"/>
  <c r="A19" i="43"/>
  <c r="A18" i="43"/>
  <c r="A15" i="43"/>
  <c r="A13" i="43"/>
  <c r="A12" i="43"/>
  <c r="A9" i="43"/>
  <c r="A8" i="43"/>
  <c r="A5" i="43"/>
  <c r="A4" i="43"/>
  <c r="A3" i="43"/>
  <c r="A21" i="79"/>
  <c r="A20" i="79"/>
  <c r="A19" i="79"/>
  <c r="A18" i="79"/>
  <c r="A15" i="79"/>
  <c r="A13" i="79"/>
  <c r="A12" i="79"/>
  <c r="A9" i="79"/>
  <c r="A8" i="79"/>
  <c r="A5" i="79"/>
  <c r="A4" i="79"/>
  <c r="A3" i="79"/>
  <c r="A21" i="104"/>
  <c r="A20" i="104"/>
  <c r="A19" i="104"/>
  <c r="A18" i="104"/>
  <c r="A15" i="104"/>
  <c r="A13" i="104"/>
  <c r="A12" i="104"/>
  <c r="A9" i="104"/>
  <c r="A8" i="104"/>
  <c r="A5" i="104"/>
  <c r="A4" i="104"/>
  <c r="A3" i="104"/>
  <c r="A21" i="103"/>
  <c r="A20" i="103"/>
  <c r="A19" i="103"/>
  <c r="A18" i="103"/>
  <c r="A15" i="103"/>
  <c r="A13" i="103"/>
  <c r="A12" i="103"/>
  <c r="A9" i="103"/>
  <c r="A8" i="103"/>
  <c r="A5" i="103"/>
  <c r="A4" i="103"/>
  <c r="A3" i="103"/>
  <c r="A21" i="102"/>
  <c r="A20" i="102"/>
  <c r="A19" i="102"/>
  <c r="A18" i="102"/>
  <c r="A15" i="102"/>
  <c r="A13" i="102"/>
  <c r="A12" i="102"/>
  <c r="A9" i="102"/>
  <c r="A8" i="102"/>
  <c r="A5" i="102"/>
  <c r="A4" i="102"/>
  <c r="A3" i="102"/>
  <c r="A21" i="69"/>
  <c r="A20" i="69"/>
  <c r="A19" i="69"/>
  <c r="A18" i="69"/>
  <c r="A15" i="69"/>
  <c r="A13" i="69"/>
  <c r="A12" i="69"/>
  <c r="A9" i="69"/>
  <c r="A8" i="69"/>
  <c r="A5" i="69"/>
  <c r="A4" i="69"/>
  <c r="A3" i="69"/>
  <c r="A21" i="70"/>
  <c r="A20" i="70"/>
  <c r="A19" i="70"/>
  <c r="A18" i="70"/>
  <c r="A15" i="70"/>
  <c r="A13" i="70"/>
  <c r="A12" i="70"/>
  <c r="A9" i="70"/>
  <c r="A8" i="70"/>
  <c r="A5" i="70"/>
  <c r="A4" i="70"/>
  <c r="A3" i="70"/>
  <c r="A21" i="15"/>
  <c r="A20" i="15"/>
  <c r="A19" i="15"/>
  <c r="A18" i="15"/>
  <c r="A15" i="15"/>
  <c r="A13" i="15"/>
  <c r="A12" i="15"/>
  <c r="A9" i="15"/>
  <c r="A8" i="15"/>
  <c r="A5" i="15"/>
  <c r="A4" i="15"/>
  <c r="A3" i="15"/>
  <c r="A21" i="13"/>
  <c r="A20" i="13"/>
  <c r="A19" i="13"/>
  <c r="A18" i="13"/>
  <c r="A15" i="13"/>
  <c r="A13" i="13"/>
  <c r="A12" i="13"/>
  <c r="A9" i="13"/>
  <c r="A8" i="13"/>
  <c r="A5" i="13"/>
  <c r="A4" i="13"/>
  <c r="A3" i="13"/>
  <c r="A15" i="100"/>
  <c r="A13" i="100"/>
  <c r="A12" i="100"/>
  <c r="A18" i="100"/>
  <c r="A9" i="100"/>
  <c r="F77" i="104" a="1"/>
  <c r="F77" i="104" s="1"/>
  <c r="D74" i="104" a="1"/>
  <c r="D74" i="104" s="1"/>
  <c r="G68" i="104" a="1"/>
  <c r="G68" i="104" s="1"/>
  <c r="D68" i="104" a="1"/>
  <c r="D68" i="104" s="1"/>
  <c r="E66" i="104" a="1"/>
  <c r="E66" i="104" s="1"/>
  <c r="F72" i="104" s="1"/>
  <c r="E65" i="104" a="1"/>
  <c r="E65" i="104" s="1"/>
  <c r="D61" i="104" a="1"/>
  <c r="D61" i="104" s="1"/>
  <c r="D60" i="104" a="1"/>
  <c r="D60" i="104" s="1"/>
  <c r="F56" i="104"/>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I14" i="103"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59" i="102" a="1"/>
  <c r="E7" i="69" a="1"/>
  <c r="E7" i="104" a="1"/>
  <c r="E62" i="104" a="1"/>
  <c r="E44" i="103" a="1"/>
  <c r="E7" i="102" a="1"/>
  <c r="E7" i="103" a="1"/>
  <c r="E78" i="69" a="1"/>
  <c r="H54" i="106" l="1"/>
  <c r="G65" i="103"/>
  <c r="H50" i="106"/>
  <c r="I68" i="102"/>
  <c r="H49" i="106"/>
  <c r="H52" i="106"/>
  <c r="H53" i="106"/>
  <c r="H48" i="106"/>
  <c r="H51" i="106"/>
  <c r="Q104" i="69"/>
  <c r="I60" i="103"/>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G67" i="103" l="1"/>
  <c r="G61" i="103"/>
  <c r="G66" i="103"/>
  <c r="G60" i="103"/>
  <c r="G62" i="103"/>
  <c r="G63" i="103"/>
  <c r="G64"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A21" i="100"/>
  <c r="A20" i="100"/>
  <c r="A19" i="100"/>
  <c r="A8" i="100"/>
  <c r="A5" i="100"/>
  <c r="A4" i="100"/>
  <c r="A3" i="100"/>
  <c r="E26" i="104" l="1"/>
  <c r="E22" i="103"/>
  <c r="E34" i="103" s="1" a="1"/>
  <c r="E34" i="103" s="1"/>
  <c r="E29" i="104"/>
  <c r="E25" i="103"/>
  <c r="E24" i="104"/>
  <c r="E20" i="103"/>
  <c r="E26" i="103"/>
  <c r="E38" i="103" s="1" a="1"/>
  <c r="E38" i="103" s="1"/>
  <c r="E30" i="104"/>
  <c r="E28" i="104"/>
  <c r="E24" i="103"/>
  <c r="E36" i="103" s="1" a="1"/>
  <c r="E36" i="103" s="1"/>
  <c r="E23" i="104"/>
  <c r="E19" i="103"/>
  <c r="E31" i="103" s="1" a="1"/>
  <c r="E31" i="103" s="1"/>
  <c r="E25" i="104"/>
  <c r="E21" i="103"/>
  <c r="E33" i="103" s="1" a="1"/>
  <c r="E33" i="103" s="1"/>
  <c r="E27" i="104"/>
  <c r="E23" i="103"/>
  <c r="E35" i="103" a="1"/>
  <c r="E35" i="103" s="1"/>
  <c r="E32" i="103" a="1"/>
  <c r="E32" i="103" s="1"/>
  <c r="E37" i="103" a="1"/>
  <c r="E37"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E50" i="69"/>
  <c r="E49" i="69"/>
  <c r="O67" i="69" s="1" a="1"/>
  <c r="O67" i="69" s="1"/>
  <c r="O106" i="69" s="1" a="1"/>
  <c r="O106" i="69" s="1"/>
  <c r="E52" i="69"/>
  <c r="E51" i="69"/>
  <c r="F49" i="69"/>
  <c r="E53" i="69"/>
  <c r="E60" i="69" a="1"/>
  <c r="E60" i="69" s="1"/>
  <c r="E59" i="69" a="1"/>
  <c r="E59" i="69" s="1"/>
  <c r="E48" i="69"/>
  <c r="F50" i="69"/>
  <c r="F53" i="69"/>
  <c r="F52" i="69"/>
  <c r="P70" i="69" s="1" a="1"/>
  <c r="P70" i="69" s="1"/>
  <c r="P109" i="69" s="1" a="1"/>
  <c r="P109" i="69" s="1"/>
  <c r="F48" i="69"/>
  <c r="F51" i="69"/>
  <c r="E47" i="69"/>
  <c r="E54" i="69"/>
  <c r="F47" i="69"/>
  <c r="F54" i="69"/>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29" i="15" l="1"/>
  <c r="G115" i="69" l="1"/>
  <c r="E118" i="69" s="1" a="1"/>
  <c r="E118" i="69" s="1"/>
  <c r="H7" i="13" s="1"/>
  <c r="H11" i="13" s="1"/>
  <c r="E7" i="13" l="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<sst xmlns="http://schemas.openxmlformats.org/spreadsheetml/2006/main" count="562" uniqueCount="246">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</sst>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14" borderId="2">
      <alignment horizontal="center" vertical="center"/>
    </xf>
    <xf numFmtId="0" fontId="61" fillId="15" borderId="2">
      <alignment horizontal="center" vertical="center"/>
    </xf>
    <xf numFmtId="0" fontId="35" fillId="4" borderId="2">
      <alignment horizontal="left" vertical="center"/>
    </xf>
    <xf numFmtId="0" fontId="62" fillId="4" borderId="2">
      <alignment horizontal="left"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0" fontId="50" fillId="4" borderId="0" xfId="61">
      <alignment horizontal="left" vertical="center"/>
    </xf>
    <xf numFmtId="0" fontId="49"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22" fillId="11" borderId="0" xfId="64">
      <alignment horizontal="left" vertical="center" indent="1"/>
    </xf>
    <xf numFmtId="0" fontId="59" fillId="0" borderId="0" xfId="2" applyFont="1"/>
    <xf numFmtId="0" fontId="60" fillId="14" borderId="2" xfId="65">
      <alignment horizontal="center" vertical="center"/>
    </xf>
    <xf numFmtId="0" fontId="61" fillId="15" borderId="2" xfId="66">
      <alignment horizontal="center" vertical="center"/>
    </xf>
    <xf numFmtId="0" fontId="35" fillId="4" borderId="2" xfId="67">
      <alignment horizontal="left" vertical="center"/>
    </xf>
    <xf numFmtId="0" fontId="62"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40" fillId="9" borderId="0" xfId="8" applyFill="1">
      <alignment horizontal="left" vertical="center"/>
    </xf>
    <xf numFmtId="0" fontId="17" fillId="11" borderId="0" xfId="32" applyFill="1">
      <alignment vertical="center"/>
    </xf>
    <xf numFmtId="0" fontId="46" fillId="13" borderId="20" xfId="41" applyBorder="1">
      <alignment horizontal="left" vertical="center"/>
    </xf>
    <xf numFmtId="0" fontId="47" fillId="13" borderId="21" xfId="41" applyFont="1" applyBorder="1">
      <alignment horizontal="left" vertical="center"/>
    </xf>
    <xf numFmtId="0" fontId="46" fillId="13" borderId="21" xfId="41" applyBorder="1">
      <alignment horizontal="left" vertical="center"/>
    </xf>
    <xf numFmtId="170" fontId="35" fillId="4" borderId="2" xfId="14" applyNumberFormat="1" applyFont="1" applyFill="1" applyBorder="1" applyAlignment="1">
      <alignment horizontal="center"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5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57" dataCellStyle="Content normal">
  <autoFilter ref="D24:E32" xr:uid="{50599DA1-A8E6-43AC-9BA5-F5F05D972680}">
    <filterColumn colId="0" hiddenButton="1"/>
    <filterColumn colId="1" hiddenButton="1"/>
  </autoFilter>
  <tableColumns count="2">
    <tableColumn id="1" xr3:uid="{224F01F5-9F04-424C-9B4C-94B1D666F42B}" name="Other livestock type" dataDxfId="5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5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54" dataCellStyle="Content normal">
  <autoFilter ref="D39:E47" xr:uid="{EFDE3B07-3717-4AE7-8210-BEB8FBB5C09A}">
    <filterColumn colId="0" hiddenButton="1"/>
    <filterColumn colId="1" hiddenButton="1"/>
  </autoFilter>
  <tableColumns count="2">
    <tableColumn id="1" xr3:uid="{99F8CB88-8A74-44CD-B1D3-22D4849941C6}" name="Other livestock type" dataDxfId="5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5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51"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5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4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4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47"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4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4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4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43"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4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4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9"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38"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37"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36"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E490DB-F309-49AA-BE77-4FA83016A54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B31AE77-68CD-4A5A-BC9B-B7D1DB8009CD}" name="State/Territory">
      <calculatedColumnFormula array="1">Common_InputFunctions.Utility_DisplayArrayInTable(Common_SourceData.Common_SourceData_AustralianStatesTerritories_Data(),Table_AustralianStates[[#Headers],[State/Territory]],0)</calculatedColumnFormula>
    </tableColumn>
    <tableColumn id="2" xr3:uid="{5AAC7A5C-9073-4A9D-B4AD-54974C6A3DF9}" name="Common Name">
      <calculatedColumnFormula array="1">Common_InputFunctions.Utility_DisplayArrayInTable(Common_SourceData.Common_SourceData_AustralianStatesTerritories_Data(),Table_AustralianStates[[#Headers],[State/Territory]],0)</calculatedColumnFormula>
    </tableColumn>
    <tableColumn id="3" xr3:uid="{425ECA94-09C3-44F4-AF5B-CCF88FBEC26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33B742-CB45-4614-8949-61C265B0F22C}" name="Table_WASA4Areas" displayName="Table_WASA4Areas" ref="D20:D30" totalsRowShown="0">
  <autoFilter ref="D20:D30" xr:uid="{5FA81339-C6C8-4D36-BEEA-6C4AEDD9E676}">
    <filterColumn colId="0" hiddenButton="1"/>
  </autoFilter>
  <tableColumns count="1">
    <tableColumn id="1" xr3:uid="{C491C7C2-E311-45AE-96D6-70D338EA519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8C066EE-230C-4334-B144-C4E60CB1D36F}" name="Table_GWPData" displayName="Table_GWPData" ref="D36:E43" totalsRowShown="0">
  <autoFilter ref="D36:E43" xr:uid="{B8E87A66-3E41-4AD3-925D-01EE21B43D7A}">
    <filterColumn colId="0" hiddenButton="1"/>
    <filterColumn colId="1" hiddenButton="1"/>
  </autoFilter>
  <tableColumns count="2">
    <tableColumn id="1" xr3:uid="{E61C2CD9-A230-4D5A-988F-48CA29A53E53}" name="Gas">
      <calculatedColumnFormula array="1">Common_InputFunctions.Utility_DisplayArrayInTable(Common_SourceData.Common_SourceData_GWP_Data(), Table_GWPData[[#Headers],[Gas]], 0)</calculatedColumnFormula>
    </tableColumn>
    <tableColumn id="2" xr3:uid="{C37D2277-1799-4E88-9F50-0C1093E4D25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991248-322F-434B-AA8D-16DE14D9A40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9567C64-3681-403D-B7E0-D3324F594060}" name="Gas">
      <calculatedColumnFormula array="1">Common_InputFunctions.Utility_DisplayArrayInTable(Common_SourceData.Common_SourceData_ConvertGasElementalToMolecular_Data(),Table_GasToMolecularConversionFactor[[#Headers],[Gas]], 0)</calculatedColumnFormula>
    </tableColumn>
    <tableColumn id="5" xr3:uid="{A292F32E-5FB6-4C74-B87F-6C757F41CAC3}" name="Conversion factor">
      <calculatedColumnFormula array="1">Common_InputFunctions.Utility_DisplayArrayInTable(Common_SourceData.Common_SourceData_ConvertGasElementalToMolecular_Data(),Table_GasToMolecularConversionFactor[[#Headers],[Gas]], 0)</calculatedColumnFormula>
    </tableColumn>
    <tableColumn id="2" xr3:uid="{CD27923F-CAAD-4DDF-BB87-84B3221839F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2B1A0A9-4B06-4178-82E0-EF9C18F0F3D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0B090EB-4542-456F-A1B8-EDD75537BFE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CB9F09-0A7A-4E24-88B6-F3AC56078FA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51C1A11-0A85-45A7-9336-7389B02FB1D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A2A056F-66B1-40F9-B770-363693E28BD8}"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9B440263-41B0-4910-A3B6-009E740BD6E1}"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012AD7B2-3533-43A2-A111-D808F9C1663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1296567-D65B-4E66-9A4F-AE23C59CDE05}"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5608E89F-784B-4C98-B73B-E008C04E8A9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B3F44A5E-E954-4EEE-8685-75083E63F510}"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0A939BA0-EC49-4CC9-826A-AF87B41C3AFB}"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AAB10409-C389-4AAA-B749-A2B0DA0B6426}"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CB0565A3-386D-4F31-8E85-F618FE5C9B9E}"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DEB81B51-0833-4574-9710-749384C4781B}"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9918973C-B5DB-4238-AB1F-043606E5062A}"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943F6449-12E0-4554-9393-4E5E19D035C9}"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1EE2A73A-1E73-412D-8E6D-93A218E430C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10C20E29-8C73-4576-A501-FD4589310F5D}"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53F96E10-9B11-4990-A849-23290838F446}"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2C1B28D-F21E-44AC-991C-C470FF1FC14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ED273C0-B243-4036-91A7-6DBADD68027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F6856F7-FD95-4844-8CBA-058BD17D6A07}"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9D89CE2-65B5-43A4-865C-69DBF4D30C4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3CA94E5-A207-47C3-B8AB-2828D40B87F3}" name="Temperature Zone">
      <calculatedColumnFormula array="1">Common_InputFunctions.Utility_DisplayArrayInTable(Common_SourceData.Common_SourceData_TemperatureZones_Data(),Table_SourceData_TemperatureZones[[#Headers],[Temperature Zone]],0)</calculatedColumnFormula>
    </tableColumn>
    <tableColumn id="2" xr3:uid="{FA8E0697-361C-4C9D-9CC6-14E46B071984}" name="MAT">
      <calculatedColumnFormula array="1">Common_InputFunctions.Utility_DisplayArrayInTable(Common_SourceData.Common_SourceData_TemperatureZones_Data(),Table_SourceData_TemperatureZones[[#Headers],[Temperature Zone]],0)</calculatedColumnFormula>
    </tableColumn>
    <tableColumn id="3" xr3:uid="{59DC8254-9663-4E22-B666-0CB6ABE80C52}" name="Min MAT">
      <calculatedColumnFormula array="1">Common_InputFunctions.Utility_DisplayArrayInTable(Common_SourceData.Common_SourceData_TemperatureZones_Data(),Table_SourceData_TemperatureZones[[#Headers],[Temperature Zone]],0)</calculatedColumnFormula>
    </tableColumn>
    <tableColumn id="4" xr3:uid="{5408F444-30D3-41FE-A346-3F7B0F616D7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AC731DB-5FE5-4BEB-BB67-E6447D69036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95BE7A7-9D29-4238-98E3-B4FB915813DB}" name="Rainfall Zone">
      <calculatedColumnFormula array="1">Common_InputFunctions.Utility_DisplayArrayInTable(Common_SourceData.Common_SourceData_RainfallZones_Data(),Table_SourceData_RainfallZones[[#Headers],[Rainfall Zone]],0)</calculatedColumnFormula>
    </tableColumn>
    <tableColumn id="2" xr3:uid="{7D2D6D02-4CA0-4433-A254-AA7BEE4126B1}" name="Annual rainfall">
      <calculatedColumnFormula array="1">Common_InputFunctions.Utility_DisplayArrayInTable(Common_SourceData.Common_SourceData_RainfallZones_Data(),Table_SourceData_RainfallZones[[#Headers],[Rainfall Zone]],0)</calculatedColumnFormula>
    </tableColumn>
    <tableColumn id="3" xr3:uid="{DC73D7C3-DE93-424F-9263-CA4DE9AC5110}" name="Min rainfall">
      <calculatedColumnFormula array="1">Common_InputFunctions.Utility_DisplayArrayInTable(Common_SourceData.Common_SourceData_RainfallZones_Data(),Table_SourceData_RainfallZones[[#Headers],[Rainfall Zone]],0)</calculatedColumnFormula>
    </tableColumn>
    <tableColumn id="4" xr3:uid="{224E0CD2-0D04-4695-B212-03D0328F278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B7D31C-07F2-4428-AB7F-548C712104F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E882F6D-DC51-4D07-AA90-871503645868}" name="Leaching Zone">
      <calculatedColumnFormula array="1">Common_InputFunctions.Utility_DisplayArrayInTable(Common_SourceData.Common_SourceData_LeachingZones_Data(), Table_SourceData_LeachingZones[[#Headers],[Leaching Zone]], 0)</calculatedColumnFormula>
    </tableColumn>
    <tableColumn id="2" xr3:uid="{3F9F97BC-AEBF-471D-8168-09DCDD6E219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49EF417-7610-4EE8-86FC-C94705EEB0D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1917650-525C-4307-A091-9499E6985657}" name="Data source">
      <calculatedColumnFormula array="1">Common_InputFunctions.Utility_DisplayArrayInTable(Common_SourceData.Common_SourceData_DataScores_Scope3_Data(), Table_SourceData_DataScores_Scope3[[#Headers],[Data source]], 0)</calculatedColumnFormula>
    </tableColumn>
    <tableColumn id="2" xr3:uid="{C1BE8932-200E-497B-97B6-60D8FDBAD09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BFBB1DC-ECA7-46CB-8D9F-7DEADAD580FB}" name="Table_SourceData_FracWET" displayName="Table_SourceData_FracWET" ref="D134:E136" totalsRowShown="0">
  <autoFilter ref="D134:E136" xr:uid="{308E99BE-FE1F-47A4-B2CA-97217277C4E9}">
    <filterColumn colId="0" hiddenButton="1"/>
    <filterColumn colId="1" hiddenButton="1"/>
  </autoFilter>
  <tableColumns count="2">
    <tableColumn id="1" xr3:uid="{C3FB31A4-8935-43A3-AD79-4FB9EAFC56C1}" name="Is in leaching zone">
      <calculatedColumnFormula array="1">Common_InputFunctions.Utility_DisplayArrayInTable(Common_SourceData.Common_SourceData_FracWET_Data(),Table_SourceData_FracWET[[#Headers],[Is in leaching zone]],0)</calculatedColumnFormula>
    </tableColumn>
    <tableColumn id="2" xr3:uid="{263E52F6-7EB5-4006-996D-47115FCD7DA4}"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3BD1275-2E35-46D2-A55B-4B7767D4725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B1DD602-B05F-471A-AC44-30EDCD94CEF6}" name="Production system j">
      <calculatedColumnFormula array="1">Common_InputFunctions.Utility_DisplayArrayInTable(Common_SourceData.Common_SourceData_EFN2O_Data(), Table_SourceData_Common_EFN2O[[#Headers],[Production system j]], 0)</calculatedColumnFormula>
    </tableColumn>
    <tableColumn id="2" xr3:uid="{ED334FA9-7AF2-4411-B464-CB46BBA727D3}" name="EFN2O">
      <calculatedColumnFormula array="1">Common_InputFunctions.Utility_DisplayArrayInTable(Common_SourceData.Common_SourceData_EFN2O_Data(), Table_SourceData_Common_EFN2O[[#Headers],[Production system j]], 0)</calculatedColumnFormula>
    </tableColumn>
    <tableColumn id="3" xr3:uid="{090B01BA-F976-48F9-98C0-3A091770D63E}" name="Production system only">
      <calculatedColumnFormula array="1">Common_InputFunctions.Utility_DisplayArrayInTable(Common_SourceData.Common_SourceData_EFN2O_Data(), Table_SourceData_Common_EFN2O[[#Headers],[Production system j]], 0)</calculatedColumnFormula>
    </tableColumn>
    <tableColumn id="4" xr3:uid="{1D903B59-32C5-41F2-B9DA-CB9AC30A7B66}" name="Irrigation method">
      <calculatedColumnFormula array="1">Common_InputFunctions.Utility_DisplayArrayInTable(Common_SourceData.Common_SourceData_EFN2O_Data(), Table_SourceData_Common_EFN2O[[#Headers],[Production system j]], 0)</calculatedColumnFormula>
    </tableColumn>
    <tableColumn id="5" xr3:uid="{FF917DDB-B276-4274-8557-5B3CAE7E75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2955B30-46E9-4BDA-81A7-7D75A529A9B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2B34CCD-279F-4E43-9CE2-876504724EBB}" name="Irrigation type i">
      <calculatedColumnFormula array="1">Common_InputFunctions.Utility_DisplayArrayInTable(Common_SourceData.Common_SourceData_FracWETIrrigation_Data(), Table_SourceData_FracWETIrrigation[[#Headers],[Irrigation type i]], 0)</calculatedColumnFormula>
    </tableColumn>
    <tableColumn id="2" xr3:uid="{0459DFF4-A55A-4DB0-8565-BD33B17FF808}"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AE93870E-4D62-4E4E-B4C0-810E0973472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9A7829F-C28D-4426-8119-DF1582EED27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D60D0D-ABA4-4B66-B8E2-75660905F6A0}"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F70C13C-AC55-46BE-BC9A-B883D796FD4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F441DDE-7231-4FD6-A9F6-4C2C9013A065}" name="Month">
      <calculatedColumnFormula array="1">Common_InputFunctions.Utility_DisplayArrayInTable(Common_SourceData.Common_SourceData_MonthsToSeasons_Data(), Table_SourceData_Common_MonthToSeason[[#Headers],[Month]], 0)</calculatedColumnFormula>
    </tableColumn>
    <tableColumn id="2" xr3:uid="{1DF702EA-6960-41C8-8B22-3D58B15ACCD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4FF98D9-0800-4EB2-9F60-39BAC7E76D4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551EA38-25EB-4DE2-9D0C-FC89980B4AB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B1A94A6-899E-45E3-A3D8-5F4345DEE1AD}"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168969C-A5B7-4CF6-8217-3EF855FF8433}"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5B17DBD-946C-4D30-BFB6-D795E86EDA46}"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C780371-3337-45A8-9889-512CDB6FBD1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A825B3B-DD88-482E-9295-BDB753949FF9}"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5FD0554-868A-46F5-93DB-8818B9D05DF7}"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DE906FB-0BE7-4682-A092-71B246F19574}"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9F9C521-B6A9-4637-8BF3-45164C9E51E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B037F92-2338-4B13-A326-DBADAE5A4E1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D6540B6-463F-472F-8F47-00E110008BE3}"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0BCC3D0-9867-46D2-80A0-C38010AD93B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2003B88-F326-413E-8CCC-22A809B26077}"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BA6DAEC-92D1-4DC0-8E8F-710C955146F8}"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ACB2F53-84DB-4223-9AD0-F43889BF635E}"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9B28F3B-DFFA-4B12-A24B-2D6F4356EEA1}"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EC8EF2C-13FC-4B9D-B6BA-B3B913241DF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F565BB8-C72D-4DFE-87EA-09566F4CE88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29A738A-D3AF-4C41-990B-1D3BB9501077}"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4" sqref="A4"/>
    </sheetView>
  </sheetViews>
  <sheetFormatPr defaultRowHeight="15" x14ac:dyDescent="0.25"/>
  <cols>
    <col min="1" max="1" width="30.7109375" customWidth="1"/>
    <col min="2" max="3" width="4.7109375" customWidth="1"/>
  </cols>
  <sheetData>
    <row r="1" spans="1:64" ht="30" customHeight="1" x14ac:dyDescent="0.35">
      <c r="A1" s="67" t="e" vm="1">
        <v>#VALUE!</v>
      </c>
      <c r="C1" s="114" t="s">
        <v>235</v>
      </c>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row>
    <row r="2" spans="1:64" ht="20.100000000000001" customHeight="1" x14ac:dyDescent="0.25">
      <c r="A2" s="9"/>
      <c r="C2" s="122"/>
      <c r="D2" s="122"/>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row>
    <row r="3" spans="1:64" ht="20.100000000000001" customHeight="1" x14ac:dyDescent="0.25">
      <c r="A3" s="17" t="str">
        <f>HYPERLINK("#'Home'!A1", "Home")</f>
        <v>Home</v>
      </c>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c r="AF3" s="123"/>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row>
    <row r="4" spans="1:64" ht="20.100000000000001" customHeight="1" x14ac:dyDescent="0.25">
      <c r="A4" s="11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24" t="s">
        <v>139</v>
      </c>
      <c r="E5" s="124"/>
      <c r="F5" s="124"/>
      <c r="G5" s="124"/>
      <c r="H5" s="124"/>
      <c r="I5" s="106"/>
      <c r="J5" s="91"/>
      <c r="K5" s="91"/>
      <c r="L5" s="91"/>
      <c r="M5" s="91"/>
      <c r="N5" s="91"/>
      <c r="O5" s="91"/>
      <c r="P5" s="91"/>
      <c r="Q5" s="91"/>
      <c r="R5" s="91"/>
      <c r="S5" s="91"/>
      <c r="T5" s="91"/>
      <c r="U5" s="91"/>
      <c r="V5" s="87"/>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25" t="s">
        <v>140</v>
      </c>
      <c r="E6" s="126"/>
      <c r="F6" s="126"/>
      <c r="G6" s="126"/>
      <c r="H6" s="126"/>
      <c r="I6" s="93"/>
      <c r="J6" s="90"/>
      <c r="K6" s="90"/>
      <c r="L6" s="90"/>
      <c r="M6" s="90"/>
      <c r="N6" s="90"/>
      <c r="O6" s="90"/>
      <c r="P6" s="90"/>
      <c r="Q6" s="90"/>
      <c r="R6" s="90"/>
      <c r="S6" s="90"/>
      <c r="T6" s="90"/>
      <c r="U6" s="90"/>
      <c r="V6" s="88"/>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71</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HYPERLINK("#'4.7.1.1-2 Manure Methane'!A1", "4.7.1.1-2 Methane")</f>
        <v>4.7.1.1-2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HYPERLINK("#'4.7.1.3-4 Soil Direct N2O'!A1", "4.7.1.3-4 Soil Direct N2O")</f>
        <v>4.7.1.3-4 Soil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HYPERLINK("#'4.7.1.5-6 Soil Atmos Deposition'!A1", "4.7.1.5-6 Soil Atmos deposition")</f>
        <v>4.7.1.5-6 Soil Atmos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HYPERLINK("#'4.7.1.7-8 Soil Leaching Runoff'!A1", "4.7.1.8-9 Soil Leaching &amp; Runoff")</f>
        <v>4.7.1.8-9 Soil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2</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7" t="e" vm="1">
        <v>#VALUE!</v>
      </c>
      <c r="C1" s="114" t="s">
        <v>234</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3</v>
      </c>
      <c r="E4" s="26"/>
      <c r="F4" s="26"/>
      <c r="G4" s="26"/>
      <c r="H4" s="6"/>
      <c r="I4" s="6"/>
      <c r="J4" s="6"/>
      <c r="K4" s="6"/>
      <c r="L4" s="27"/>
    </row>
    <row r="5" spans="1:12" ht="20.100000000000001" customHeight="1" x14ac:dyDescent="0.3">
      <c r="A5" s="113" t="str">
        <f>HYPERLINK("#'Results'!A1", "Results")</f>
        <v>Results</v>
      </c>
      <c r="C5" s="24"/>
      <c r="D5" s="28"/>
      <c r="E5" s="29"/>
      <c r="F5" s="29"/>
      <c r="G5" s="29"/>
      <c r="H5" s="26"/>
      <c r="I5" s="24"/>
      <c r="J5" s="24"/>
      <c r="K5" s="24"/>
      <c r="L5" s="24"/>
    </row>
    <row r="6" spans="1:12" ht="20.100000000000001" customHeight="1" x14ac:dyDescent="0.25">
      <c r="A6" s="16"/>
      <c r="C6" s="24"/>
      <c r="D6" s="112" t="s">
        <v>96</v>
      </c>
      <c r="E6" s="112" t="s">
        <v>118</v>
      </c>
      <c r="F6" s="112" t="s">
        <v>119</v>
      </c>
      <c r="G6" s="112" t="s">
        <v>111</v>
      </c>
      <c r="H6" s="112" t="s">
        <v>120</v>
      </c>
      <c r="I6" s="112" t="s">
        <v>122</v>
      </c>
      <c r="J6" s="112" t="s">
        <v>112</v>
      </c>
      <c r="K6" s="24"/>
      <c r="L6" s="24"/>
    </row>
    <row r="7" spans="1:12" ht="20.100000000000001" customHeight="1" x14ac:dyDescent="0.25">
      <c r="A7" s="20" t="s">
        <v>1</v>
      </c>
      <c r="C7" s="24"/>
      <c r="D7" s="1" t="s">
        <v>241</v>
      </c>
      <c r="E7" s="108">
        <f>'4.7.1.1-2 Manure Methane'!E113</f>
        <v>11.990348051537779</v>
      </c>
      <c r="F7" s="108">
        <f>'4.7.1.1-2 Manure Methane'!O113</f>
        <v>12.103057674611057</v>
      </c>
      <c r="G7" s="55" t="str">
        <f>'4.7.1.1-2 Manure Methane'!F113</f>
        <v>t CH4</v>
      </c>
      <c r="H7" s="108">
        <f>'4.7.1.1-2 Manure Methane'!E118</f>
        <v>335.72974544305782</v>
      </c>
      <c r="I7" s="108">
        <f>'4.7.1.1-2 Manure Methane'!O118</f>
        <v>338.8856148891096</v>
      </c>
      <c r="J7" s="55" t="s">
        <v>121</v>
      </c>
      <c r="K7" s="24"/>
      <c r="L7" s="24"/>
    </row>
    <row r="8" spans="1:12" ht="20.100000000000001" customHeight="1" x14ac:dyDescent="0.25">
      <c r="A8" s="17" t="str">
        <f>HYPERLINK("#'Input - Site'!A1", "Site")</f>
        <v>Site</v>
      </c>
      <c r="C8" s="24"/>
      <c r="D8" s="1" t="s">
        <v>242</v>
      </c>
      <c r="E8" s="108">
        <f>'4.7.1.3-4 Soil Direct N2O'!E70</f>
        <v>519.12802857142856</v>
      </c>
      <c r="F8" s="108">
        <f>E8</f>
        <v>519.12802857142856</v>
      </c>
      <c r="G8" s="55" t="s">
        <v>206</v>
      </c>
      <c r="H8" s="108">
        <f>'4.7.1.3-4 Soil Direct N2O'!E75</f>
        <v>137568.92757142856</v>
      </c>
      <c r="I8" s="108">
        <f>H8</f>
        <v>137568.92757142856</v>
      </c>
      <c r="J8" s="55" t="s">
        <v>121</v>
      </c>
      <c r="K8" s="24"/>
      <c r="L8" s="24"/>
    </row>
    <row r="9" spans="1:12" ht="20.100000000000001" customHeight="1" x14ac:dyDescent="0.25">
      <c r="A9" s="17" t="str">
        <f>HYPERLINK("#'Input - Other Livestock'!A1", "Other Livestock")</f>
        <v>Other Livestock</v>
      </c>
      <c r="C9" s="24"/>
      <c r="D9" s="1" t="s">
        <v>243</v>
      </c>
      <c r="E9" s="108">
        <f>'4.7.1.5-6 Soil Atmos Deposition'!E81</f>
        <v>186.11705144999996</v>
      </c>
      <c r="F9" s="108">
        <f>E9</f>
        <v>186.11705144999996</v>
      </c>
      <c r="G9" s="55" t="s">
        <v>206</v>
      </c>
      <c r="H9" s="108">
        <f>'4.7.1.5-6 Soil Atmos Deposition'!E86</f>
        <v>49321.018634249987</v>
      </c>
      <c r="I9" s="108">
        <f>H9</f>
        <v>49321.018634249987</v>
      </c>
      <c r="J9" s="55" t="s">
        <v>121</v>
      </c>
      <c r="K9" s="24"/>
      <c r="L9" s="24"/>
    </row>
    <row r="10" spans="1:12" ht="20.100000000000001" customHeight="1" x14ac:dyDescent="0.25">
      <c r="A10" s="17"/>
      <c r="C10" s="24"/>
      <c r="D10" s="1" t="s">
        <v>240</v>
      </c>
      <c r="E10" s="108">
        <f>'4.7.1.7-8 Soil Leaching Runoff'!E72</f>
        <v>3.0587417142857145</v>
      </c>
      <c r="F10" s="108">
        <f>E10</f>
        <v>3.0587417142857145</v>
      </c>
      <c r="G10" s="55" t="s">
        <v>206</v>
      </c>
      <c r="H10" s="108">
        <f>'4.7.1.7-8 Soil Leaching Runoff'!E77</f>
        <v>810.56655428571435</v>
      </c>
      <c r="I10" s="108">
        <f>H10</f>
        <v>810.56655428571435</v>
      </c>
      <c r="J10" s="55" t="s">
        <v>121</v>
      </c>
      <c r="K10" s="24"/>
      <c r="L10" s="24"/>
    </row>
    <row r="11" spans="1:12" ht="20.100000000000001" customHeight="1" x14ac:dyDescent="0.3">
      <c r="A11" s="19" t="s">
        <v>71</v>
      </c>
      <c r="C11" s="24"/>
      <c r="D11" s="31" t="s">
        <v>110</v>
      </c>
      <c r="E11" s="25"/>
      <c r="F11" s="31"/>
      <c r="G11" s="31"/>
      <c r="H11" s="111">
        <f>SUM(H7:H10)</f>
        <v>188036.24250540731</v>
      </c>
      <c r="I11" s="111">
        <f>SUM(I7:I10)</f>
        <v>188039.39837485336</v>
      </c>
      <c r="J11" s="105" t="s">
        <v>121</v>
      </c>
      <c r="K11" s="24"/>
      <c r="L11" s="24"/>
    </row>
    <row r="12" spans="1:12" ht="20.100000000000001" customHeight="1" x14ac:dyDescent="0.25">
      <c r="A12" s="17" t="str">
        <f>HYPERLINK("#'4.7.1.1-2 Manure Methane'!A1", "4.7.1.1-2 Methane")</f>
        <v>4.7.1.1-2 Methane</v>
      </c>
      <c r="C12" s="24"/>
      <c r="D12" s="1"/>
      <c r="E12" s="1"/>
      <c r="F12" s="1"/>
      <c r="G12" s="1"/>
      <c r="H12" s="1"/>
      <c r="I12" s="1"/>
      <c r="J12" s="1"/>
      <c r="K12" s="24"/>
      <c r="L12" s="24"/>
    </row>
    <row r="13" spans="1:12" ht="20.100000000000001" customHeight="1" x14ac:dyDescent="0.25">
      <c r="A13" s="17" t="str">
        <f>HYPERLINK("#'4.7.1.3-4 Soil Direct N2O'!A1", "4.7.1.3-4 Soil Direct N2O")</f>
        <v>4.7.1.3-4 Soil Direct N2O</v>
      </c>
      <c r="C13" s="24"/>
      <c r="D13" s="1"/>
      <c r="E13" s="1"/>
      <c r="F13" s="1"/>
      <c r="G13" s="1"/>
      <c r="H13" s="1"/>
      <c r="I13" s="1"/>
      <c r="J13" s="1"/>
      <c r="K13" s="24"/>
      <c r="L13" s="24"/>
    </row>
    <row r="14" spans="1:12" ht="20.100000000000001" customHeight="1" x14ac:dyDescent="0.25">
      <c r="A14" s="17" t="str">
        <f>HYPERLINK("#'4.7.1.5-6 Soil Atmos Deposition'!A1", "4.7.1.5-6 Soil Atmos deposition")</f>
        <v>4.7.1.5-6 Soil Atmos deposition</v>
      </c>
      <c r="C14" s="24"/>
      <c r="D14" s="1"/>
      <c r="E14" s="1"/>
      <c r="F14" s="1"/>
      <c r="G14" s="1"/>
      <c r="H14" s="1"/>
      <c r="I14" s="1"/>
      <c r="J14" s="1"/>
      <c r="K14" s="24"/>
      <c r="L14" s="24"/>
    </row>
    <row r="15" spans="1:12" ht="20.100000000000001" customHeight="1" x14ac:dyDescent="0.25">
      <c r="A15" s="17" t="str">
        <f>HYPERLINK("#'4.7.1.7-8 Soil Leaching Runoff'!A1", "4.7.1.8-9 Soil Leaching &amp; Runoff")</f>
        <v>4.7.1.8-9 Soil Leaching &amp; Runoff</v>
      </c>
      <c r="C15" s="24"/>
      <c r="D15" s="1"/>
      <c r="E15" s="1"/>
      <c r="F15" s="1"/>
      <c r="G15" s="1"/>
      <c r="H15" s="1"/>
      <c r="I15" s="1"/>
      <c r="J15" s="1"/>
      <c r="K15" s="24"/>
      <c r="L15" s="24"/>
    </row>
    <row r="16" spans="1:12" ht="20.100000000000001" customHeight="1" x14ac:dyDescent="0.25">
      <c r="C16" s="24"/>
      <c r="D16" s="1"/>
      <c r="E16" s="1"/>
      <c r="F16" s="1"/>
      <c r="G16" s="1"/>
      <c r="H16" s="1"/>
      <c r="I16" s="1"/>
      <c r="J16" s="1"/>
      <c r="K16" s="24"/>
      <c r="L16" s="24"/>
    </row>
    <row r="17" spans="1:12" ht="20.100000000000001" customHeight="1" x14ac:dyDescent="0.25">
      <c r="A17" s="18" t="s">
        <v>2</v>
      </c>
      <c r="C17" s="24"/>
      <c r="D17" s="1"/>
      <c r="E17" s="1"/>
      <c r="F17" s="1"/>
      <c r="G17" s="1"/>
      <c r="H17" s="1"/>
      <c r="I17" s="1"/>
      <c r="J17" s="1"/>
      <c r="K17" s="24"/>
      <c r="L17" s="24"/>
    </row>
    <row r="18" spans="1:12" ht="20.100000000000001" customHeight="1" x14ac:dyDescent="0.25">
      <c r="A18" s="17" t="str">
        <f>HYPERLINK("#'Constants - Other Livestock'!A1", "Constants - Other Livestock")</f>
        <v>Constants - Other Livestock</v>
      </c>
      <c r="C18" s="24"/>
      <c r="D18" s="1"/>
      <c r="E18" s="1"/>
      <c r="F18" s="1"/>
      <c r="G18" s="1"/>
      <c r="H18" s="1"/>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07"/>
      <c r="J38" s="107"/>
      <c r="K38" s="107"/>
      <c r="L38" s="24"/>
    </row>
    <row r="39" spans="3:12" ht="20.100000000000001" customHeight="1" x14ac:dyDescent="0.25">
      <c r="C39" s="24"/>
      <c r="D39" s="1"/>
      <c r="E39" s="1"/>
      <c r="F39" s="1"/>
      <c r="G39" s="1"/>
      <c r="H39" s="1"/>
      <c r="I39" s="107"/>
      <c r="J39" s="107"/>
      <c r="K39" s="107"/>
      <c r="L39" s="24"/>
    </row>
    <row r="40" spans="3:12" ht="20.100000000000001" customHeight="1" x14ac:dyDescent="0.25">
      <c r="C40" s="24"/>
      <c r="D40" s="1"/>
      <c r="E40" s="1"/>
      <c r="F40" s="1"/>
      <c r="G40" s="1"/>
      <c r="H40" s="1"/>
      <c r="I40" s="107"/>
      <c r="J40" s="107"/>
      <c r="K40" s="107"/>
      <c r="L40" s="24"/>
    </row>
    <row r="41" spans="3:12" ht="20.100000000000001" customHeight="1" x14ac:dyDescent="0.25">
      <c r="C41" s="24"/>
      <c r="D41" s="1"/>
      <c r="E41" s="1"/>
      <c r="F41" s="1"/>
      <c r="G41" s="1"/>
      <c r="H41" s="1"/>
      <c r="I41" s="107"/>
      <c r="J41" s="107"/>
      <c r="K41" s="107"/>
      <c r="L41" s="24"/>
    </row>
    <row r="42" spans="3:12" ht="20.100000000000001" customHeight="1" x14ac:dyDescent="0.25">
      <c r="C42" s="24"/>
      <c r="D42" s="1"/>
      <c r="E42" s="1"/>
      <c r="F42" s="1"/>
      <c r="G42" s="1"/>
      <c r="H42" s="1"/>
      <c r="I42" s="107"/>
      <c r="J42" s="107"/>
      <c r="K42" s="107"/>
      <c r="L42" s="24"/>
    </row>
    <row r="43" spans="3:12" ht="20.100000000000001" customHeight="1" x14ac:dyDescent="0.25">
      <c r="C43" s="24"/>
      <c r="D43" s="1"/>
      <c r="E43" s="1"/>
      <c r="F43" s="1"/>
      <c r="G43" s="1"/>
      <c r="H43" s="1"/>
      <c r="I43" s="107"/>
      <c r="J43" s="107"/>
      <c r="K43" s="107"/>
      <c r="L43" s="24"/>
    </row>
    <row r="44" spans="3:12" ht="20.100000000000001" customHeight="1" x14ac:dyDescent="0.25">
      <c r="C44" s="24"/>
      <c r="D44" s="1"/>
      <c r="E44" s="1"/>
      <c r="F44" s="1"/>
      <c r="G44" s="1"/>
      <c r="H44" s="1"/>
      <c r="I44" s="107"/>
      <c r="J44" s="107"/>
      <c r="K44" s="107"/>
      <c r="L44" s="24"/>
    </row>
    <row r="45" spans="3:12" ht="20.100000000000001" customHeight="1" x14ac:dyDescent="0.25">
      <c r="C45" s="24"/>
      <c r="D45" s="1"/>
      <c r="E45" s="1"/>
      <c r="F45" s="1"/>
      <c r="G45" s="1"/>
      <c r="H45" s="1"/>
      <c r="I45" s="107"/>
      <c r="J45" s="107"/>
      <c r="K45" s="107"/>
      <c r="L45" s="24"/>
    </row>
    <row r="46" spans="3:12" ht="20.100000000000001" customHeight="1" x14ac:dyDescent="0.25">
      <c r="C46" s="24"/>
      <c r="D46" s="1"/>
      <c r="E46" s="1"/>
      <c r="F46" s="1"/>
      <c r="G46" s="1"/>
      <c r="H46" s="1"/>
      <c r="I46" s="107"/>
      <c r="J46" s="107"/>
      <c r="K46" s="107"/>
      <c r="L46" s="24"/>
    </row>
    <row r="47" spans="3:12" ht="20.100000000000001" customHeight="1" x14ac:dyDescent="0.25">
      <c r="C47" s="24"/>
      <c r="D47" s="1"/>
      <c r="E47" s="1"/>
      <c r="F47" s="1"/>
      <c r="G47" s="1"/>
      <c r="H47" s="1"/>
      <c r="I47" s="107"/>
      <c r="J47" s="107"/>
      <c r="K47" s="107"/>
      <c r="L47" s="24"/>
    </row>
    <row r="48" spans="3:12" ht="20.100000000000001" customHeight="1" x14ac:dyDescent="0.25">
      <c r="C48" s="24"/>
      <c r="D48" s="1"/>
      <c r="E48" s="1"/>
      <c r="F48" s="1"/>
      <c r="G48" s="1"/>
      <c r="H48" s="1"/>
      <c r="I48" s="107"/>
      <c r="J48" s="107"/>
      <c r="K48" s="107"/>
      <c r="L48" s="24"/>
    </row>
    <row r="49" spans="3:12" ht="20.100000000000001" customHeight="1" x14ac:dyDescent="0.25">
      <c r="C49" s="24"/>
      <c r="D49" s="1"/>
      <c r="E49" s="1"/>
      <c r="F49" s="1"/>
      <c r="G49" s="1"/>
      <c r="H49" s="107"/>
      <c r="I49" s="107"/>
      <c r="J49" s="107"/>
      <c r="K49" s="107"/>
      <c r="L49" s="24"/>
    </row>
    <row r="50" spans="3:12" ht="20.100000000000001" customHeight="1" x14ac:dyDescent="0.25">
      <c r="C50" s="24"/>
      <c r="D50" s="1"/>
      <c r="E50" s="1"/>
      <c r="F50" s="1"/>
      <c r="G50" s="1"/>
      <c r="H50" s="107"/>
      <c r="I50" s="107"/>
      <c r="J50" s="107"/>
      <c r="K50" s="107"/>
      <c r="L50" s="24"/>
    </row>
    <row r="51" spans="3:12" ht="20.100000000000001" customHeight="1" x14ac:dyDescent="0.25">
      <c r="C51" s="24"/>
      <c r="D51" s="1"/>
      <c r="E51" s="1"/>
      <c r="F51" s="1"/>
      <c r="G51" s="1"/>
      <c r="H51" s="107"/>
      <c r="I51" s="107"/>
      <c r="J51" s="107"/>
      <c r="K51" s="107"/>
      <c r="L51" s="24"/>
    </row>
    <row r="52" spans="3:12" ht="20.100000000000001" customHeight="1" x14ac:dyDescent="0.25">
      <c r="C52" s="24"/>
      <c r="D52" s="1"/>
      <c r="E52" s="1"/>
      <c r="F52" s="1"/>
      <c r="G52" s="1"/>
      <c r="H52" s="107"/>
      <c r="I52" s="107"/>
      <c r="J52" s="107"/>
      <c r="K52" s="107"/>
      <c r="L52" s="24"/>
    </row>
    <row r="53" spans="3:12" ht="20.100000000000001" customHeight="1" x14ac:dyDescent="0.25">
      <c r="C53" s="24"/>
      <c r="D53" s="1"/>
      <c r="E53" s="1"/>
      <c r="F53" s="1"/>
      <c r="G53" s="1"/>
      <c r="H53" s="107"/>
      <c r="I53" s="107"/>
      <c r="J53" s="107"/>
      <c r="K53" s="10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77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69</v>
      </c>
      <c r="E8" s="35" t="s">
        <v>70</v>
      </c>
    </row>
    <row r="9" spans="1:24" ht="20.100000000000001" customHeight="1" x14ac:dyDescent="0.25">
      <c r="A9" s="17" t="str">
        <f>HYPERLINK("#'Input - Other Livestock'!A1", "Other Livestock")</f>
        <v>Other Livestock</v>
      </c>
      <c r="N9" s="45"/>
    </row>
    <row r="10" spans="1:24" ht="20.100000000000001" customHeight="1" x14ac:dyDescent="0.25">
      <c r="A10" s="17"/>
      <c r="D10" s="94" t="s">
        <v>76</v>
      </c>
      <c r="E10" s="92"/>
      <c r="F10" s="95"/>
      <c r="G10" s="89"/>
      <c r="N10" s="45"/>
    </row>
    <row r="11" spans="1:24" ht="20.100000000000001" customHeight="1" x14ac:dyDescent="0.25">
      <c r="A11" s="19" t="s">
        <v>71</v>
      </c>
      <c r="N11" s="46"/>
    </row>
    <row r="12" spans="1:24" ht="20.100000000000001" customHeight="1" x14ac:dyDescent="0.25">
      <c r="A12" s="17" t="str">
        <f>HYPERLINK("#'4.7.1.1-2 Manure Methane'!A1", "4.7.1.1-2 Methane")</f>
        <v>4.7.1.1-2 Methane</v>
      </c>
      <c r="D12" s="10" t="s">
        <v>82</v>
      </c>
      <c r="E12" s="64">
        <v>45292</v>
      </c>
      <c r="F12" s="2" t="s">
        <v>67</v>
      </c>
    </row>
    <row r="13" spans="1:24" ht="20.100000000000001" customHeight="1" x14ac:dyDescent="0.25">
      <c r="A13" s="17" t="str">
        <f>HYPERLINK("#'4.7.1.3-4 Soil Direct N2O'!A1", "4.7.1.3-4 Soil Direct N2O")</f>
        <v>4.7.1.3-4 Soil Direct N2O</v>
      </c>
      <c r="D13" s="10" t="s">
        <v>83</v>
      </c>
      <c r="E13" s="70">
        <f>DATE(YEAR(E12)+1,MONTH(E12),DAY(E12))-1</f>
        <v>45657</v>
      </c>
      <c r="F13" s="2" t="s">
        <v>15</v>
      </c>
      <c r="N13" s="40"/>
      <c r="O13" s="40"/>
    </row>
    <row r="14" spans="1:24" ht="20.100000000000001" customHeight="1" x14ac:dyDescent="0.25">
      <c r="A14" s="17" t="str">
        <f>HYPERLINK("#'4.7.1.5-6 Soil Atmos Deposition'!A1", "4.7.1.5-6 Soil Atmos deposition")</f>
        <v>4.7.1.5-6 Soil Atmos deposition</v>
      </c>
      <c r="N14" s="40"/>
      <c r="O14" s="40"/>
    </row>
    <row r="15" spans="1:24" ht="20.100000000000001" customHeight="1" x14ac:dyDescent="0.25">
      <c r="A15" s="17" t="str">
        <f>HYPERLINK("#'4.7.1.7-8 Soil Leaching Runoff'!A1", "4.7.1.8-9 Soil Leaching &amp; Runoff")</f>
        <v>4.7.1.8-9 Soil Leaching &amp; Runoff</v>
      </c>
      <c r="N15" s="40"/>
      <c r="O15" s="40"/>
    </row>
    <row r="16" spans="1:24" ht="20.100000000000001" customHeight="1" x14ac:dyDescent="0.25">
      <c r="A16"/>
      <c r="D16" s="6" t="s">
        <v>12</v>
      </c>
      <c r="N16" s="40"/>
      <c r="O16" s="40"/>
    </row>
    <row r="17" spans="1:25" ht="20.100000000000001" customHeight="1" x14ac:dyDescent="0.25">
      <c r="A17" s="18" t="s">
        <v>2</v>
      </c>
    </row>
    <row r="18" spans="1:25" ht="20.100000000000001" customHeight="1" x14ac:dyDescent="0.25">
      <c r="A18" s="17" t="str">
        <f>HYPERLINK("#'Constants - Other Livestock'!A1", "Constants - Other Livestock")</f>
        <v>Constants - Other Livestock</v>
      </c>
      <c r="D18" s="96" t="s">
        <v>14</v>
      </c>
      <c r="E18" s="91"/>
      <c r="F18" s="91"/>
      <c r="G18" s="87"/>
    </row>
    <row r="19" spans="1:25" ht="20.100000000000001" customHeight="1" x14ac:dyDescent="0.25">
      <c r="A19" s="17" t="str">
        <f>HYPERLINK("#'Constants - Livestock'!A1", "Constants - Livestock")</f>
        <v>Constants - Livestock</v>
      </c>
      <c r="D19" s="93" t="s">
        <v>68</v>
      </c>
      <c r="E19" s="90"/>
      <c r="F19" s="90"/>
      <c r="G19" s="88"/>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6</v>
      </c>
      <c r="E21" s="42" t="s">
        <v>85</v>
      </c>
      <c r="F21" s="2" t="s">
        <v>9</v>
      </c>
    </row>
    <row r="22" spans="1:25" ht="20.100000000000001" customHeight="1" x14ac:dyDescent="0.25">
      <c r="A22"/>
      <c r="D22" s="1" t="s">
        <v>22</v>
      </c>
      <c r="E22" s="42" t="s">
        <v>31</v>
      </c>
      <c r="F22" s="2" t="s">
        <v>9</v>
      </c>
      <c r="G22" s="1"/>
    </row>
    <row r="23" spans="1:25" ht="20.100000000000001" customHeight="1" x14ac:dyDescent="0.25">
      <c r="A23"/>
      <c r="D23" s="1" t="s">
        <v>7</v>
      </c>
      <c r="E23" s="42" t="s">
        <v>81</v>
      </c>
      <c r="F23" s="2" t="s">
        <v>9</v>
      </c>
    </row>
    <row r="24" spans="1:25" ht="20.100000000000001" customHeight="1" x14ac:dyDescent="0.25">
      <c r="A24" s="17"/>
      <c r="D24" s="1" t="s">
        <v>36</v>
      </c>
      <c r="E24" s="35">
        <v>307.7</v>
      </c>
      <c r="F24" s="2" t="s">
        <v>50</v>
      </c>
    </row>
    <row r="25" spans="1:25" ht="20.100000000000001" customHeight="1" x14ac:dyDescent="0.25">
      <c r="A25"/>
      <c r="D25" s="1" t="s">
        <v>58</v>
      </c>
      <c r="E25" s="35">
        <v>18</v>
      </c>
      <c r="F25" s="2" t="s">
        <v>10</v>
      </c>
      <c r="N25" s="44"/>
    </row>
    <row r="26" spans="1:25" ht="20.100000000000001" customHeight="1" x14ac:dyDescent="0.25">
      <c r="A26"/>
      <c r="D26" s="1" t="s">
        <v>59</v>
      </c>
      <c r="E26" s="35">
        <v>601</v>
      </c>
      <c r="F26" s="2" t="s">
        <v>11</v>
      </c>
    </row>
    <row r="27" spans="1:25" ht="20.100000000000001" customHeight="1" x14ac:dyDescent="0.25">
      <c r="A27"/>
      <c r="D27" s="10" t="s">
        <v>60</v>
      </c>
      <c r="E27" s="35">
        <v>1326</v>
      </c>
      <c r="F27" s="2" t="s">
        <v>11</v>
      </c>
    </row>
    <row r="28" spans="1:25" ht="20.100000000000001" customHeight="1" x14ac:dyDescent="0.25">
      <c r="A28"/>
      <c r="D28" s="1" t="s">
        <v>61</v>
      </c>
      <c r="E28" s="35">
        <v>7</v>
      </c>
      <c r="F28" s="2" t="s">
        <v>51</v>
      </c>
    </row>
    <row r="29" spans="1:25" ht="20.100000000000001" customHeight="1" x14ac:dyDescent="0.25">
      <c r="A29"/>
      <c r="D29" s="10" t="s">
        <v>57</v>
      </c>
      <c r="E29" s="53">
        <f>E26/E27</f>
        <v>0.45324283559577677</v>
      </c>
      <c r="F29" s="2"/>
    </row>
    <row r="30" spans="1:25" ht="20.100000000000001" customHeight="1" x14ac:dyDescent="0.25">
      <c r="A30"/>
      <c r="D30" s="10" t="s">
        <v>32</v>
      </c>
      <c r="E30" s="53" t="str">
        <f>Common_InputFunctions.Utility_LookupItemFromMinMax(E26,Table_SourceData_RainfallZones[Min rainfall],Table_SourceData_RainfallZones[Max rainfall],Table_SourceData_RainfallZones[Rainfall Zone])</f>
        <v>High rainfall</v>
      </c>
      <c r="G30" s="34"/>
      <c r="L30" s="50"/>
      <c r="M30" s="50"/>
      <c r="N30" s="50"/>
      <c r="O30" s="50"/>
      <c r="P30" s="50"/>
      <c r="Q30" s="50"/>
      <c r="R30" s="50"/>
      <c r="S30" s="50"/>
      <c r="T30" s="50"/>
      <c r="U30" s="50"/>
      <c r="V30" s="50"/>
      <c r="W30" s="50"/>
      <c r="X30" s="50"/>
      <c r="Y30" s="50"/>
    </row>
    <row r="31" spans="1:25" ht="20.100000000000001" customHeight="1" x14ac:dyDescent="0.25">
      <c r="A31"/>
      <c r="D31" s="1" t="s">
        <v>8</v>
      </c>
      <c r="E31" s="53"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78</v>
      </c>
      <c r="E32" s="53"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49</v>
      </c>
      <c r="E33" s="53" t="str">
        <f>Common_InputFunctions.Utility_LookupItemFromMinMax(E25,Table_SourceData_TemperatureZones[Min MAT],Table_SourceData_TemperatureZones[Max MAT],Table_SourceData_TemperatureZones[Temperature Zone])</f>
        <v>Temperate</v>
      </c>
      <c r="G33" s="71"/>
      <c r="L33" s="49"/>
      <c r="M33" s="49"/>
      <c r="N33" s="49"/>
      <c r="O33" s="49"/>
      <c r="P33" s="49"/>
      <c r="Q33" s="49"/>
      <c r="R33" s="49"/>
      <c r="S33" s="49"/>
      <c r="T33" s="49"/>
      <c r="U33" s="49"/>
      <c r="V33" s="49"/>
      <c r="W33" s="49"/>
      <c r="X33" s="49"/>
      <c r="Y33" s="49"/>
    </row>
    <row r="34" spans="1:25" ht="20.100000000000001" customHeight="1" x14ac:dyDescent="0.25">
      <c r="A34"/>
      <c r="J34" s="61"/>
      <c r="K34" s="74"/>
      <c r="L34" s="49"/>
      <c r="M34" s="49"/>
      <c r="N34" s="49"/>
      <c r="O34" s="49"/>
      <c r="P34" s="49"/>
      <c r="Q34" s="49"/>
      <c r="R34" s="49"/>
      <c r="S34" s="49"/>
      <c r="T34" s="49"/>
      <c r="U34" s="49"/>
      <c r="V34" s="49"/>
      <c r="W34" s="49"/>
      <c r="X34" s="49"/>
      <c r="Y34" s="49"/>
    </row>
    <row r="35" spans="1:25" ht="20.100000000000001" customHeight="1" x14ac:dyDescent="0.25">
      <c r="A35"/>
      <c r="J35" s="61"/>
      <c r="K35" s="74"/>
      <c r="L35" s="49"/>
      <c r="M35" s="49"/>
      <c r="N35" s="49"/>
      <c r="O35" s="49"/>
      <c r="P35" s="49"/>
      <c r="Q35" s="49"/>
      <c r="R35" s="49"/>
      <c r="S35" s="49"/>
      <c r="T35" s="49"/>
      <c r="U35" s="49"/>
      <c r="V35" s="49"/>
      <c r="W35" s="49"/>
      <c r="X35" s="49"/>
      <c r="Y35" s="49"/>
    </row>
    <row r="36" spans="1:25" ht="20.100000000000001" customHeight="1" x14ac:dyDescent="0.25">
      <c r="A36"/>
      <c r="D36" s="72"/>
      <c r="E36" s="72"/>
      <c r="F36" s="73"/>
      <c r="G36" s="61"/>
      <c r="H36" s="61"/>
      <c r="I36" s="62"/>
      <c r="J36" s="61"/>
      <c r="K36" s="74"/>
      <c r="L36" s="49"/>
      <c r="M36" s="49"/>
      <c r="N36" s="49"/>
      <c r="O36" s="49"/>
      <c r="P36" s="49"/>
      <c r="Q36" s="49"/>
      <c r="R36" s="49"/>
      <c r="S36" s="49"/>
      <c r="T36" s="49"/>
      <c r="U36" s="49"/>
      <c r="V36" s="49"/>
      <c r="W36" s="49"/>
      <c r="X36" s="49"/>
      <c r="Y36" s="49"/>
    </row>
    <row r="37" spans="1:25" ht="20.100000000000001" customHeight="1" x14ac:dyDescent="0.25">
      <c r="A37"/>
      <c r="D37" s="72"/>
      <c r="E37" s="72"/>
      <c r="F37" s="73"/>
      <c r="G37" s="61"/>
      <c r="H37" s="61"/>
      <c r="I37" s="62"/>
      <c r="J37" s="61"/>
      <c r="K37" s="74"/>
      <c r="L37" s="49"/>
      <c r="M37" s="49"/>
      <c r="N37" s="49"/>
      <c r="O37" s="49"/>
      <c r="P37" s="49"/>
      <c r="Q37" s="49"/>
      <c r="R37" s="49"/>
      <c r="S37" s="49"/>
      <c r="T37" s="49"/>
      <c r="U37" s="49"/>
      <c r="V37" s="49"/>
      <c r="W37" s="49"/>
      <c r="X37" s="49"/>
      <c r="Y37" s="49"/>
    </row>
    <row r="38" spans="1:25" ht="20.100000000000001" customHeight="1" x14ac:dyDescent="0.25">
      <c r="A38"/>
      <c r="D38" s="72"/>
      <c r="E38" s="72"/>
      <c r="F38" s="73"/>
      <c r="G38" s="61"/>
      <c r="H38" s="61"/>
      <c r="I38" s="62"/>
      <c r="J38" s="61"/>
      <c r="K38" s="74"/>
      <c r="L38" s="49"/>
      <c r="M38" s="49"/>
      <c r="N38" s="49"/>
      <c r="O38" s="49"/>
      <c r="P38" s="49"/>
      <c r="Q38" s="49"/>
      <c r="R38" s="49"/>
      <c r="S38" s="49"/>
      <c r="T38" s="49"/>
      <c r="U38" s="49"/>
      <c r="V38" s="49"/>
      <c r="W38" s="49"/>
      <c r="X38" s="49"/>
      <c r="Y38" s="49"/>
    </row>
    <row r="39" spans="1:25" ht="20.100000000000001" customHeight="1" x14ac:dyDescent="0.25">
      <c r="A39"/>
      <c r="D39" s="72"/>
      <c r="E39" s="72"/>
      <c r="F39" s="73"/>
      <c r="G39" s="61"/>
      <c r="H39" s="61"/>
      <c r="I39" s="62"/>
      <c r="J39" s="61"/>
      <c r="K39" s="74"/>
      <c r="L39" s="49"/>
      <c r="M39" s="49"/>
      <c r="N39" s="49"/>
      <c r="O39" s="49"/>
      <c r="P39" s="49"/>
      <c r="Q39" s="49"/>
      <c r="R39" s="49"/>
      <c r="S39" s="49"/>
      <c r="T39" s="49"/>
      <c r="U39" s="49"/>
      <c r="V39" s="49"/>
      <c r="W39" s="49"/>
      <c r="X39" s="49"/>
      <c r="Y39" s="49"/>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78"/>
      <c r="E47" s="78"/>
      <c r="F47" s="78"/>
      <c r="G47" s="78"/>
      <c r="H47" s="78"/>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3"/>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I50" sqref="I50"/>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7" customFormat="1" ht="30" customHeight="1" x14ac:dyDescent="0.35">
      <c r="A1" s="67" t="e" vm="1">
        <v>#VALUE!</v>
      </c>
      <c r="C1" s="67" t="s">
        <v>148</v>
      </c>
      <c r="N1" s="57"/>
      <c r="O1" s="57"/>
      <c r="P1" s="57"/>
      <c r="Q1" s="57"/>
      <c r="R1" s="57"/>
      <c r="S1" s="57"/>
      <c r="T1" s="57"/>
      <c r="U1" s="57"/>
    </row>
    <row r="2" spans="1:21" s="9" customFormat="1" ht="20.100000000000001" customHeight="1" x14ac:dyDescent="0.25">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152</v>
      </c>
    </row>
    <row r="6" spans="1:21" ht="20.100000000000001" customHeight="1" x14ac:dyDescent="0.25">
      <c r="A6" s="16"/>
    </row>
    <row r="7" spans="1:21" ht="20.100000000000001" customHeight="1" x14ac:dyDescent="0.25">
      <c r="A7" s="20" t="s">
        <v>1</v>
      </c>
      <c r="D7" s="63"/>
      <c r="E7" s="41" t="s">
        <v>153</v>
      </c>
      <c r="F7" s="41" t="s">
        <v>154</v>
      </c>
      <c r="G7" s="41" t="s">
        <v>155</v>
      </c>
      <c r="H7" s="41" t="s">
        <v>156</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99">
        <v>4300</v>
      </c>
      <c r="F8" s="99">
        <v>100</v>
      </c>
      <c r="G8" s="99">
        <v>100</v>
      </c>
      <c r="H8" s="99">
        <v>100</v>
      </c>
      <c r="I8" s="2" t="s">
        <v>86</v>
      </c>
      <c r="J8" s="2"/>
      <c r="K8" s="2"/>
    </row>
    <row r="9" spans="1:21" ht="20.100000000000001" customHeight="1" x14ac:dyDescent="0.25">
      <c r="A9" s="21" t="str">
        <f>HYPERLINK("#'Input - Other Livestock'!A1", "Other Livestock")</f>
        <v>Other Livestock</v>
      </c>
      <c r="J9" s="2"/>
      <c r="K9" s="2"/>
    </row>
    <row r="10" spans="1:21" ht="20.100000000000001" customHeight="1" x14ac:dyDescent="0.25">
      <c r="A10" s="17"/>
      <c r="D10" s="1" t="s">
        <v>175</v>
      </c>
      <c r="E10" s="42" t="s">
        <v>149</v>
      </c>
      <c r="F10" s="2" t="s">
        <v>9</v>
      </c>
    </row>
    <row r="11" spans="1:21" ht="20.100000000000001" customHeight="1" x14ac:dyDescent="0.25">
      <c r="A11" s="19" t="s">
        <v>71</v>
      </c>
    </row>
    <row r="12" spans="1:21" ht="20.100000000000001" customHeight="1" x14ac:dyDescent="0.25">
      <c r="A12" s="17" t="str">
        <f>HYPERLINK("#'4.7.1.1-2 Manure Methane'!A1", "4.7.1.1-2 Methane")</f>
        <v>4.7.1.1-2 Methane</v>
      </c>
      <c r="D12" s="63" t="s">
        <v>17</v>
      </c>
      <c r="E12" s="63" t="s">
        <v>150</v>
      </c>
    </row>
    <row r="13" spans="1:21" ht="20.100000000000001" customHeight="1" x14ac:dyDescent="0.25">
      <c r="A13" s="17" t="str">
        <f>HYPERLINK("#'4.7.1.3-4 Soil Direct N2O'!A1", "4.7.1.3-4 Soil Direct N2O")</f>
        <v>4.7.1.3-4 Soil Direct N2O</v>
      </c>
      <c r="D13" s="1" t="s">
        <v>137</v>
      </c>
      <c r="E13" s="127">
        <f>IF($E$10="Yes",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13" s="2" t="s">
        <v>151</v>
      </c>
    </row>
    <row r="14" spans="1:21" ht="20.100000000000001" customHeight="1" x14ac:dyDescent="0.25">
      <c r="A14" s="17" t="str">
        <f>HYPERLINK("#'4.7.1.5-6 Soil Atmos Deposition'!A1", "4.7.1.5-6 Soil Atmos deposition")</f>
        <v>4.7.1.5-6 Soil Atmos deposition</v>
      </c>
      <c r="D14" s="1" t="s">
        <v>126</v>
      </c>
      <c r="E14" s="127">
        <f>IF($E$10="Yes",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14" s="2" t="s">
        <v>151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1" t="s">
        <v>209</v>
      </c>
      <c r="E16" s="42" t="s">
        <v>101</v>
      </c>
      <c r="F16" s="2" t="s">
        <v>9</v>
      </c>
    </row>
    <row r="17" spans="1:11" ht="20.100000000000001" customHeight="1" x14ac:dyDescent="0.25">
      <c r="A17" s="18" t="s">
        <v>2</v>
      </c>
      <c r="E17" s="42" t="s">
        <v>104</v>
      </c>
      <c r="F17" s="2" t="s">
        <v>9</v>
      </c>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Livestock'!A1", "Constants - Livestock")</f>
        <v>Constants - Livestock</v>
      </c>
      <c r="D19" s="6" t="s">
        <v>157</v>
      </c>
    </row>
    <row r="20" spans="1:11" ht="20.100000000000001" customHeight="1" x14ac:dyDescent="0.25">
      <c r="A20" s="17" t="str">
        <f>HYPERLINK("#'Constants - Common'!A1", "Constants - Common")</f>
        <v>Constants - Common</v>
      </c>
    </row>
    <row r="21" spans="1:11" ht="20.100000000000001" customHeight="1" x14ac:dyDescent="0.25">
      <c r="A21" s="17" t="str">
        <f>HYPERLINK("#'Acknowledgements'!A1", "Acknowledgements")</f>
        <v>Acknowledgements</v>
      </c>
      <c r="D21" s="63"/>
      <c r="E21" s="41" t="s">
        <v>158</v>
      </c>
      <c r="F21" s="41" t="s">
        <v>159</v>
      </c>
      <c r="G21" s="41" t="s">
        <v>160</v>
      </c>
      <c r="H21" s="41" t="s">
        <v>161</v>
      </c>
      <c r="I21" s="41" t="s">
        <v>162</v>
      </c>
      <c r="J21" s="41" t="s">
        <v>163</v>
      </c>
    </row>
    <row r="22" spans="1:11" ht="20.100000000000001" customHeight="1" x14ac:dyDescent="0.25">
      <c r="D22" s="1" t="str">
        <f>"Average number of head between " &amp; TEXT('Input - Site'!$E$12, "dd mmm yy") &amp; " and " &amp; TEXT('Input - Site'!$E$13, "dd mmm yy")</f>
        <v>Average number of head between 01 Jan 24 and 31 Dec 24</v>
      </c>
      <c r="E22" s="99">
        <v>4300</v>
      </c>
      <c r="F22" s="99">
        <v>100</v>
      </c>
      <c r="G22" s="99">
        <v>100</v>
      </c>
      <c r="H22" s="99">
        <v>100</v>
      </c>
      <c r="I22" s="99">
        <v>100</v>
      </c>
      <c r="J22" s="99">
        <v>100</v>
      </c>
      <c r="K22" s="2" t="s">
        <v>86</v>
      </c>
    </row>
    <row r="23" spans="1:11" ht="20.100000000000001" customHeight="1" x14ac:dyDescent="0.25">
      <c r="J23" s="2"/>
      <c r="K23" s="2"/>
    </row>
    <row r="24" spans="1:11" ht="20.100000000000001" customHeight="1" x14ac:dyDescent="0.25">
      <c r="A24" s="17"/>
      <c r="D24" s="1" t="s">
        <v>176</v>
      </c>
      <c r="E24" s="42" t="s">
        <v>149</v>
      </c>
      <c r="F24" s="2" t="s">
        <v>9</v>
      </c>
      <c r="J24" s="2"/>
      <c r="K24" s="2"/>
    </row>
    <row r="25" spans="1:11" ht="20.100000000000001" customHeight="1" x14ac:dyDescent="0.25">
      <c r="A25" s="17"/>
      <c r="K25" s="2"/>
    </row>
    <row r="26" spans="1:11" ht="20.100000000000001" customHeight="1" x14ac:dyDescent="0.25">
      <c r="A26" s="17"/>
      <c r="D26" s="63" t="s">
        <v>17</v>
      </c>
      <c r="E26" s="63" t="s">
        <v>150</v>
      </c>
    </row>
    <row r="27" spans="1:11" ht="20.100000000000001" customHeight="1" x14ac:dyDescent="0.25">
      <c r="A27" s="17"/>
      <c r="D27" s="1" t="s">
        <v>137</v>
      </c>
      <c r="E27" s="127">
        <f>IF($E$24="Yes",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27" s="2" t="s">
        <v>151</v>
      </c>
    </row>
    <row r="28" spans="1:11" ht="20.100000000000001" customHeight="1" x14ac:dyDescent="0.25">
      <c r="A28" s="17"/>
      <c r="D28" s="1" t="s">
        <v>126</v>
      </c>
      <c r="E28" s="127">
        <f>IF($E$24="Yes",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28" s="2" t="s">
        <v>151</v>
      </c>
      <c r="K28" s="2"/>
    </row>
    <row r="29" spans="1:11" ht="20.100000000000001" customHeight="1" x14ac:dyDescent="0.25">
      <c r="A29" s="17"/>
      <c r="K29" s="2"/>
    </row>
    <row r="30" spans="1:11" ht="20.100000000000001" customHeight="1" x14ac:dyDescent="0.25">
      <c r="A30" s="17"/>
      <c r="D30" s="1" t="s">
        <v>210</v>
      </c>
      <c r="E30" s="42" t="s">
        <v>101</v>
      </c>
      <c r="F30" s="2" t="s">
        <v>9</v>
      </c>
      <c r="K30" s="2"/>
    </row>
    <row r="31" spans="1:11" ht="20.100000000000001" customHeight="1" x14ac:dyDescent="0.25">
      <c r="A31" s="66"/>
      <c r="E31" s="42" t="s">
        <v>104</v>
      </c>
      <c r="F31" s="2" t="s">
        <v>9</v>
      </c>
    </row>
    <row r="32" spans="1:11" ht="20.100000000000001" customHeight="1" x14ac:dyDescent="0.25">
      <c r="A32" s="66"/>
    </row>
    <row r="33" spans="1:11" ht="20.100000000000001" customHeight="1" x14ac:dyDescent="0.25">
      <c r="A33" s="17"/>
      <c r="D33" s="6" t="s">
        <v>164</v>
      </c>
      <c r="K33" s="2"/>
    </row>
    <row r="34" spans="1:11" ht="20.100000000000001" customHeight="1" x14ac:dyDescent="0.25"/>
    <row r="35" spans="1:11" ht="20.100000000000001" customHeight="1" x14ac:dyDescent="0.25">
      <c r="D35" s="63"/>
      <c r="E35" s="41" t="s">
        <v>165</v>
      </c>
      <c r="F35" s="41" t="s">
        <v>166</v>
      </c>
      <c r="G35" s="41" t="s">
        <v>167</v>
      </c>
      <c r="H35" s="41" t="s">
        <v>168</v>
      </c>
    </row>
    <row r="36" spans="1:11" ht="20.100000000000001" customHeight="1" x14ac:dyDescent="0.25">
      <c r="D36" s="1" t="str">
        <f>"Average number of head between " &amp; TEXT('Input - Site'!$E$12, "dd mmm yy") &amp; " and " &amp; TEXT('Input - Site'!$E$13, "dd mmm yy")</f>
        <v>Average number of head between 01 Jan 24 and 31 Dec 24</v>
      </c>
      <c r="E36" s="99">
        <v>4300</v>
      </c>
      <c r="F36" s="99">
        <v>100</v>
      </c>
      <c r="G36" s="99">
        <v>100</v>
      </c>
      <c r="H36" s="99">
        <v>100</v>
      </c>
      <c r="I36" s="2" t="s">
        <v>86</v>
      </c>
    </row>
    <row r="37" spans="1:11" ht="20.100000000000001" customHeight="1" x14ac:dyDescent="0.25"/>
    <row r="38" spans="1:11" ht="20.100000000000001" customHeight="1" x14ac:dyDescent="0.25">
      <c r="D38" s="1" t="s">
        <v>177</v>
      </c>
      <c r="E38" s="42" t="s">
        <v>149</v>
      </c>
      <c r="F38" s="2" t="s">
        <v>9</v>
      </c>
    </row>
    <row r="39" spans="1:11" ht="20.100000000000001" customHeight="1" x14ac:dyDescent="0.25">
      <c r="A39" s="17"/>
      <c r="J39" s="2"/>
    </row>
    <row r="40" spans="1:11" ht="20.100000000000001" customHeight="1" x14ac:dyDescent="0.25">
      <c r="D40" s="63" t="s">
        <v>17</v>
      </c>
      <c r="E40" s="63" t="s">
        <v>150</v>
      </c>
    </row>
    <row r="41" spans="1:11" ht="20.100000000000001" customHeight="1" x14ac:dyDescent="0.25">
      <c r="A41" s="47"/>
      <c r="D41" s="1" t="s">
        <v>137</v>
      </c>
      <c r="E41" s="127">
        <f>IF($E$38="Yes",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41" s="2" t="s">
        <v>151</v>
      </c>
    </row>
    <row r="42" spans="1:11" ht="20.100000000000001" customHeight="1" x14ac:dyDescent="0.25">
      <c r="D42" s="1" t="s">
        <v>126</v>
      </c>
      <c r="E42" s="127">
        <f>IF($E$38="Yes",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42" s="2" t="s">
        <v>151</v>
      </c>
      <c r="J42" s="2"/>
    </row>
    <row r="43" spans="1:11" ht="20.100000000000001" customHeight="1" x14ac:dyDescent="0.25">
      <c r="J43" s="2"/>
    </row>
    <row r="44" spans="1:11" ht="20.100000000000001" customHeight="1" x14ac:dyDescent="0.25">
      <c r="D44" s="1" t="s">
        <v>211</v>
      </c>
      <c r="E44" s="42" t="s">
        <v>101</v>
      </c>
      <c r="F44" s="2" t="s">
        <v>9</v>
      </c>
      <c r="J44" s="2"/>
    </row>
    <row r="45" spans="1:11" ht="20.100000000000001" customHeight="1" x14ac:dyDescent="0.25">
      <c r="E45" s="42" t="s">
        <v>104</v>
      </c>
      <c r="F45" s="2" t="s">
        <v>9</v>
      </c>
    </row>
    <row r="46" spans="1:11" ht="20.100000000000001" customHeight="1" x14ac:dyDescent="0.25"/>
    <row r="47" spans="1:11" ht="20.100000000000001" customHeight="1" x14ac:dyDescent="0.25">
      <c r="D47" s="6" t="s">
        <v>169</v>
      </c>
      <c r="J47" s="2"/>
      <c r="K47" s="2"/>
    </row>
    <row r="48" spans="1:11" ht="20.100000000000001" customHeight="1" x14ac:dyDescent="0.25">
      <c r="K48" s="2"/>
    </row>
    <row r="49" spans="4:11" ht="20.100000000000001" customHeight="1" x14ac:dyDescent="0.25">
      <c r="D49" s="63"/>
      <c r="E49" s="41" t="s">
        <v>170</v>
      </c>
      <c r="F49" s="41" t="s">
        <v>171</v>
      </c>
      <c r="G49" s="41" t="s">
        <v>172</v>
      </c>
      <c r="H49" s="41" t="s">
        <v>173</v>
      </c>
      <c r="I49" s="41" t="s">
        <v>174</v>
      </c>
    </row>
    <row r="50" spans="4:11" ht="20.100000000000001" customHeight="1" x14ac:dyDescent="0.25">
      <c r="D50" s="1" t="str">
        <f>"Average number of head between " &amp; TEXT('Input - Site'!$E$12, "dd mmm yy") &amp; " and " &amp; TEXT('Input - Site'!$E$13, "dd mmm yy")</f>
        <v>Average number of head between 01 Jan 24 and 31 Dec 24</v>
      </c>
      <c r="E50" s="99">
        <v>4300</v>
      </c>
      <c r="F50" s="99">
        <v>100</v>
      </c>
      <c r="G50" s="99">
        <v>100</v>
      </c>
      <c r="H50" s="99">
        <v>100</v>
      </c>
      <c r="I50" s="99">
        <v>100</v>
      </c>
      <c r="J50" s="2" t="s">
        <v>86</v>
      </c>
    </row>
    <row r="51" spans="4:11" ht="20.100000000000001" customHeight="1" x14ac:dyDescent="0.25"/>
    <row r="52" spans="4:11" ht="20.100000000000001" customHeight="1" x14ac:dyDescent="0.25">
      <c r="D52" s="1" t="s">
        <v>178</v>
      </c>
      <c r="E52" s="42" t="s">
        <v>149</v>
      </c>
      <c r="F52" s="42" t="s">
        <v>149</v>
      </c>
      <c r="G52" s="42" t="s">
        <v>149</v>
      </c>
      <c r="H52" s="42" t="s">
        <v>149</v>
      </c>
      <c r="I52" s="42" t="s">
        <v>149</v>
      </c>
      <c r="J52" s="2" t="s">
        <v>9</v>
      </c>
    </row>
    <row r="53" spans="4:11" ht="20.100000000000001" customHeight="1" x14ac:dyDescent="0.25">
      <c r="K53" s="2"/>
    </row>
    <row r="54" spans="4:11" ht="20.100000000000001" customHeight="1" x14ac:dyDescent="0.25">
      <c r="D54" s="63" t="s">
        <v>17</v>
      </c>
      <c r="E54" s="41" t="s">
        <v>170</v>
      </c>
      <c r="F54" s="41" t="s">
        <v>171</v>
      </c>
      <c r="G54" s="41" t="s">
        <v>172</v>
      </c>
      <c r="H54" s="41" t="s">
        <v>173</v>
      </c>
      <c r="I54" s="41" t="s">
        <v>174</v>
      </c>
      <c r="K54" s="2"/>
    </row>
    <row r="55" spans="4:11" ht="20.100000000000001" customHeight="1" x14ac:dyDescent="0.25">
      <c r="D55" s="1" t="s">
        <v>137</v>
      </c>
      <c r="E55" s="127">
        <f>IF($E$52="Yes",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55" s="127">
        <f>IF($F$52="Yes",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G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H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I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J55" s="2" t="s">
        <v>124</v>
      </c>
      <c r="K55" s="2"/>
    </row>
    <row r="56" spans="4:11" ht="20.100000000000001" customHeight="1" x14ac:dyDescent="0.25">
      <c r="D56" s="1" t="s">
        <v>126</v>
      </c>
      <c r="E56" s="127">
        <f>IF($E$52="Yes",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56" s="127">
        <f>IF($F$52="Yes",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G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H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I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J56" s="2" t="s">
        <v>124</v>
      </c>
    </row>
    <row r="57" spans="4:11" ht="20.100000000000001" customHeight="1" x14ac:dyDescent="0.25">
      <c r="I57" s="2"/>
      <c r="J57" s="2"/>
    </row>
    <row r="58" spans="4:11" ht="20.100000000000001" customHeight="1" x14ac:dyDescent="0.25">
      <c r="D58" s="1" t="s">
        <v>207</v>
      </c>
      <c r="E58" s="42" t="s">
        <v>101</v>
      </c>
      <c r="F58" s="42" t="s">
        <v>101</v>
      </c>
      <c r="G58" s="42" t="s">
        <v>214</v>
      </c>
      <c r="H58" s="42" t="s">
        <v>214</v>
      </c>
      <c r="I58" s="42" t="s">
        <v>101</v>
      </c>
      <c r="J58" s="2" t="s">
        <v>9</v>
      </c>
      <c r="K58" s="2"/>
    </row>
    <row r="59" spans="4:11" ht="20.100000000000001" customHeight="1" x14ac:dyDescent="0.25">
      <c r="E59" s="42" t="s">
        <v>105</v>
      </c>
      <c r="F59" s="42" t="s">
        <v>106</v>
      </c>
      <c r="G59" s="42" t="s">
        <v>104</v>
      </c>
      <c r="H59" s="42" t="s">
        <v>107</v>
      </c>
      <c r="I59" s="42" t="s">
        <v>104</v>
      </c>
      <c r="J59" s="2" t="s">
        <v>9</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G116" sqref="G1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236</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A6" s="16"/>
      <c r="D6" s="5" t="str" cm="1">
        <f t="array" ref="D6">MMS_OtherLivestock_Methane_Equations.VEERG_4_7_1_1__2_AnnualMethaneProductionFromManureManagement_Source()</f>
        <v>VEERG 2026: 4.7.1.1, Equation (2)</v>
      </c>
    </row>
    <row r="7" spans="1:21" ht="20.100000000000001" customHeight="1" x14ac:dyDescent="0.25">
      <c r="A7" s="20" t="s">
        <v>1</v>
      </c>
      <c r="D7" s="13" t="s">
        <v>23</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MMS_OtherLivestock_Methane_Equations.VEERG_4_7_1_1__2_AnnualMethaneProductionFromManureManagement_Variable()</f>
        <v>M_jm</v>
      </c>
    </row>
    <row r="11" spans="1:21" ht="20.100000000000001" customHeight="1" x14ac:dyDescent="0.25">
      <c r="A11" s="19" t="s">
        <v>71</v>
      </c>
      <c r="D11" s="54" t="s">
        <v>16</v>
      </c>
      <c r="E11" s="55" t="str" cm="1">
        <f t="array" ref="E11">MMS_OtherLivestock_Methane_Equations.VEERG_4_7_1_1__2_AnnualMethaneProductionFromManureManagement_Unit()</f>
        <v>kg CH4/head/day</v>
      </c>
    </row>
    <row r="12" spans="1:21" ht="20.100000000000001" customHeight="1" x14ac:dyDescent="0.25">
      <c r="A12" s="22"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_xlfn.CHOOSECOLS(MMS_OtherLivestock_Methane_Equations.VEERG_4_7_1_1__2_AnnualMethaneProductionFromManureManagement_Arguments(),1,2)</f>
        <v>VS_j</v>
      </c>
      <c r="E13" s="120" t="str">
        <v>volatile solid production</v>
      </c>
      <c r="F13" s="121"/>
      <c r="G13" s="119"/>
      <c r="H13" s="117" t="str" cm="1">
        <f t="array" ref="H13:I18">_xlfn.CHOOSECOLS(MMS_OtherLivestock_Methane_Equations.VEERG_4_7_1_1__2_AnnualMethaneProductionFromManureManagement_Arguments(),3,4)</f>
        <v>kg/head/day</v>
      </c>
      <c r="I13" s="116" t="str">
        <v>Constant</v>
      </c>
      <c r="J13" s="118" t="str" cm="1">
        <f t="array" aca="1" ref="J13" ca="1">HYPERLINK(Common_InputFunctions.Utility_SourceHyperlink($D$20),$D$20)</f>
        <v>Table_VS_j</v>
      </c>
      <c r="N13" s="117" t="str" cm="1">
        <f t="array" ref="N13:O18">_xlfn.CHOOSECOLS(MMS_OtherLivestock_Methane_Equations.VEERG_4_7_1_1__2_AnnualMethaneProductionFromManureManagement_Arguments_Method2(),1,2)</f>
        <v>VS_j</v>
      </c>
      <c r="O13" s="120" t="str">
        <v>volatile solid production</v>
      </c>
      <c r="P13" s="121"/>
      <c r="Q13" s="119"/>
      <c r="R13" s="117" t="str" cm="1">
        <f t="array" ref="R13:S18">_xlfn.CHOOSECOLS(MMS_OtherLivestock_Methane_Equations.VEERG_4_7_1_1__2_AnnualMethaneProductionFromManureManagement_Arguments_Method2(),3,4)</f>
        <v>kg/head/day</v>
      </c>
      <c r="S13" s="116" t="str">
        <v>Constant</v>
      </c>
      <c r="T13" s="118"/>
    </row>
    <row r="14" spans="1:21" ht="20.100000000000001" customHeight="1" x14ac:dyDescent="0.25">
      <c r="A14" s="17" t="str">
        <f>HYPERLINK("#'4.7.1.5-6 Soil Atmos Deposition'!A1", "4.7.1.5-6 Soil Atmos deposition")</f>
        <v>4.7.1.5-6 Soil Atmos deposition</v>
      </c>
      <c r="D14" s="117" t="str">
        <v>B_O</v>
      </c>
      <c r="E14" s="120" t="str">
        <v>methane emissions potential</v>
      </c>
      <c r="F14" s="121"/>
      <c r="G14" s="119"/>
      <c r="H14" s="117" t="str">
        <v>m3 CH4/kg VS</v>
      </c>
      <c r="I14" s="116" t="str">
        <v>Constant</v>
      </c>
      <c r="J14" s="118" t="str" cm="1">
        <f t="array" aca="1" ref="J14" ca="1">HYPERLINK(Common_InputFunctions.Utility_SourceHyperlink($D$32),$D$32)</f>
        <v>Table_B_O</v>
      </c>
      <c r="N14" s="117" t="str">
        <v>B_O</v>
      </c>
      <c r="O14" s="120" t="str">
        <v>methane emissions potential</v>
      </c>
      <c r="P14" s="121"/>
      <c r="Q14" s="119"/>
      <c r="R14" s="117" t="str">
        <v>m3 CH4/kg VS</v>
      </c>
      <c r="S14" s="116" t="str">
        <v>Constant</v>
      </c>
      <c r="T14" s="118"/>
    </row>
    <row r="15" spans="1:21" ht="20.100000000000001" customHeight="1" x14ac:dyDescent="0.25">
      <c r="A15" s="17" t="str">
        <f>HYPERLINK("#'4.7.1.7-8 Soil Leaching Runoff'!A1", "4.7.1.8-9 Soil Leaching &amp; Runoff")</f>
        <v>4.7.1.8-9 Soil Leaching &amp; Runoff</v>
      </c>
      <c r="D15" s="117" t="str">
        <v>MMS_m</v>
      </c>
      <c r="E15" s="120" t="str">
        <v>fraction of waste in each manure management system</v>
      </c>
      <c r="F15" s="121"/>
      <c r="G15" s="119"/>
      <c r="H15" s="117" t="str">
        <v>fraction</v>
      </c>
      <c r="I15" s="116" t="str">
        <v>Constant</v>
      </c>
      <c r="J15" s="118" t="str" cm="1">
        <f t="array" aca="1" ref="J15" ca="1">HYPERLINK(Common_InputFunctions.Utility_SourceHyperlink($D$44),D44)</f>
        <v>Table_MMS_m</v>
      </c>
      <c r="N15" s="117" t="str">
        <v>MMS_m</v>
      </c>
      <c r="O15" s="120" t="str">
        <v>fraction of waste in each manure management system</v>
      </c>
      <c r="P15" s="121"/>
      <c r="Q15" s="119"/>
      <c r="R15" s="117" t="str">
        <v>fraction</v>
      </c>
      <c r="S15" s="116" t="str">
        <v>Constant</v>
      </c>
      <c r="T15" s="118"/>
    </row>
    <row r="16" spans="1:21" ht="20.100000000000001" customHeight="1" x14ac:dyDescent="0.25">
      <c r="D16" s="117" t="str">
        <v>MCF_im</v>
      </c>
      <c r="E16" s="120" t="str">
        <v>methane conversion factor for state and manure management system</v>
      </c>
      <c r="F16" s="121"/>
      <c r="G16" s="119"/>
      <c r="H16" s="117" t="str">
        <v>fraction</v>
      </c>
      <c r="I16" s="116" t="str">
        <v>Constant</v>
      </c>
      <c r="J16" s="118" t="str" cm="1">
        <f t="array" aca="1" ref="J16" ca="1">HYPERLINK(Common_InputFunctions.Utility_SourceHyperlink($D$56),$D$56)</f>
        <v>M1_Table_MCF_i_m</v>
      </c>
      <c r="N16" s="117" t="str">
        <v>MCF_im</v>
      </c>
      <c r="O16" s="120" t="str">
        <v>methane conversion factor for temperature zone and manure management system</v>
      </c>
      <c r="P16" s="121"/>
      <c r="Q16" s="119"/>
      <c r="R16" s="117" t="str">
        <v>fraction</v>
      </c>
      <c r="S16" s="116" t="str">
        <v>Constant</v>
      </c>
      <c r="T16" s="118" t="str" cm="1">
        <f t="array" aca="1" ref="T16" ca="1">HYPERLINK(Common_InputFunctions.Utility_SourceHyperlink($N$56),$N$56)</f>
        <v>M2_Table_MCF_i_m</v>
      </c>
    </row>
    <row r="17" spans="1:20" ht="20.100000000000001" customHeight="1" x14ac:dyDescent="0.25">
      <c r="A17" s="18" t="s">
        <v>2</v>
      </c>
      <c r="D17" s="117" t="str">
        <v>rho</v>
      </c>
      <c r="E17" s="120" t="str">
        <v>density of methane</v>
      </c>
      <c r="F17" s="121"/>
      <c r="G17" s="119"/>
      <c r="H17" s="117" t="str">
        <v>kg/m3</v>
      </c>
      <c r="I17" s="116" t="str">
        <v>Constant</v>
      </c>
      <c r="J17" s="117">
        <f>Common_SourceData_DensityOfMethane_Data</f>
        <v>0.6784</v>
      </c>
      <c r="N17" s="117" t="str">
        <v>rho</v>
      </c>
      <c r="O17" s="120" t="str">
        <v>density of methane</v>
      </c>
      <c r="P17" s="121"/>
      <c r="Q17" s="119"/>
      <c r="R17" s="117" t="str">
        <v>kg/m3</v>
      </c>
      <c r="S17" s="116" t="str">
        <v>Constant</v>
      </c>
      <c r="T17" s="117"/>
    </row>
    <row r="18" spans="1:20" ht="20.100000000000001" customHeight="1" x14ac:dyDescent="0.25">
      <c r="A18" s="17" t="str">
        <f>HYPERLINK("#'Constants - Other Livestock'!A1", "Constants - Other Livestock")</f>
        <v>Constants - Other Livestock</v>
      </c>
      <c r="D18" s="117" t="str">
        <v>i</v>
      </c>
      <c r="E18" s="120" t="str">
        <v>state</v>
      </c>
      <c r="F18" s="121"/>
      <c r="G18" s="119"/>
      <c r="H18" s="117" t="str">
        <v/>
      </c>
      <c r="I18" s="115" t="str">
        <v>Input</v>
      </c>
      <c r="J18" s="117" t="str">
        <f>Common_InputFunctions.Utility_ConvertStateCommonNameToAbbreviation(X_Cell_Site_State,Table_AustralianStates[Common Name],Table_AustralianStates[Abbreviation])</f>
        <v>NSW</v>
      </c>
      <c r="N18" s="117" t="str">
        <v>i</v>
      </c>
      <c r="O18" s="120" t="str">
        <v>mean annual temperature</v>
      </c>
      <c r="P18" s="121"/>
      <c r="Q18" s="119"/>
      <c r="R18" s="117" t="str">
        <v>degrees Celsius</v>
      </c>
      <c r="S18" s="115" t="str">
        <v>Input</v>
      </c>
      <c r="T18" s="117">
        <f>X_Cell_Site_AverageTemperature</f>
        <v>18</v>
      </c>
    </row>
    <row r="19" spans="1:20" ht="20.100000000000001" customHeight="1" x14ac:dyDescent="0.25">
      <c r="A19" s="17" t="str">
        <f>HYPERLINK("#'Constants - Livestock'!A1", "Constants - Livestock")</f>
        <v>Constants - Livestock</v>
      </c>
    </row>
    <row r="20" spans="1:20" ht="20.100000000000001" customHeight="1" x14ac:dyDescent="0.25">
      <c r="A20" s="17" t="str">
        <f>HYPERLINK("#'Constants - Common'!A1", "Constants - Common")</f>
        <v>Constants - Common</v>
      </c>
      <c r="D20" s="98" t="s">
        <v>181</v>
      </c>
    </row>
    <row r="21" spans="1:20" ht="20.100000000000001" customHeight="1" x14ac:dyDescent="0.25">
      <c r="A21" s="17" t="str">
        <f>HYPERLINK("#'Acknowledgements'!A1", "Acknowledgements")</f>
        <v>Acknowledgements</v>
      </c>
      <c r="D21" s="97" t="s">
        <v>182</v>
      </c>
    </row>
    <row r="22" spans="1:20" ht="20.100000000000001" customHeight="1" x14ac:dyDescent="0.25">
      <c r="D22" s="52" t="s">
        <v>183</v>
      </c>
      <c r="E22" s="52" t="s">
        <v>232</v>
      </c>
    </row>
    <row r="23" spans="1:20" ht="20.100000000000001" customHeight="1" x14ac:dyDescent="0.25">
      <c r="D23" s="53" t="str">
        <f>'Constants - Other Livestock'!D25</f>
        <v>Buffalo</v>
      </c>
      <c r="E23" s="53">
        <f>'Constants - Other Livestock'!E25</f>
        <v>2.73</v>
      </c>
      <c r="F23" s="2" t="str">
        <f>H13</f>
        <v>kg/head/day</v>
      </c>
    </row>
    <row r="24" spans="1:20" ht="20.100000000000001" customHeight="1" x14ac:dyDescent="0.25">
      <c r="A24" s="17"/>
      <c r="D24" s="53" t="str">
        <f>'Constants - Other Livestock'!D26</f>
        <v>Goats</v>
      </c>
      <c r="E24" s="53">
        <f>'Constants - Other Livestock'!E26</f>
        <v>0.34</v>
      </c>
    </row>
    <row r="25" spans="1:20" ht="20.100000000000001" customHeight="1" x14ac:dyDescent="0.25">
      <c r="D25" s="53" t="str">
        <f>'Constants - Other Livestock'!D27</f>
        <v>Deer</v>
      </c>
      <c r="E25" s="53">
        <f>'Constants - Other Livestock'!E27</f>
        <v>0.91</v>
      </c>
    </row>
    <row r="26" spans="1:20" ht="20.100000000000001" customHeight="1" x14ac:dyDescent="0.25">
      <c r="D26" s="53" t="str">
        <f>'Constants - Other Livestock'!D28</f>
        <v>Camels</v>
      </c>
      <c r="E26" s="53">
        <f>'Constants - Other Livestock'!E28</f>
        <v>2.73</v>
      </c>
    </row>
    <row r="27" spans="1:20" ht="20.100000000000001" customHeight="1" x14ac:dyDescent="0.25">
      <c r="D27" s="53" t="str">
        <f>'Constants - Other Livestock'!D29</f>
        <v>Alpacas</v>
      </c>
      <c r="E27" s="53">
        <f>'Constants - Other Livestock'!E29</f>
        <v>0.34</v>
      </c>
    </row>
    <row r="28" spans="1:20" ht="20.100000000000001" customHeight="1" x14ac:dyDescent="0.25">
      <c r="D28" s="53" t="str">
        <f>'Constants - Other Livestock'!D30</f>
        <v>Horses</v>
      </c>
      <c r="E28" s="53">
        <f>'Constants - Other Livestock'!E30</f>
        <v>2.73</v>
      </c>
    </row>
    <row r="29" spans="1:20" ht="20.100000000000001" customHeight="1" x14ac:dyDescent="0.25">
      <c r="D29" s="53" t="str">
        <f>'Constants - Other Livestock'!D31</f>
        <v>Mules/asses</v>
      </c>
      <c r="E29" s="53">
        <f>'Constants - Other Livestock'!E31</f>
        <v>0.91</v>
      </c>
    </row>
    <row r="30" spans="1:20" ht="20.100000000000001" customHeight="1" x14ac:dyDescent="0.25">
      <c r="D30" s="53" t="str">
        <f>'Constants - Other Livestock'!D32</f>
        <v>Emus/ostriches</v>
      </c>
      <c r="E30" s="53">
        <f>'Constants - Other Livestock'!E32</f>
        <v>0.34</v>
      </c>
    </row>
    <row r="31" spans="1:20" ht="20.100000000000001" customHeight="1" x14ac:dyDescent="0.25"/>
    <row r="32" spans="1:20" ht="20.100000000000001" customHeight="1" x14ac:dyDescent="0.25">
      <c r="D32" s="98" t="s">
        <v>184</v>
      </c>
    </row>
    <row r="33" spans="4:7" ht="20.100000000000001" customHeight="1" x14ac:dyDescent="0.25">
      <c r="D33" s="97" t="s">
        <v>185</v>
      </c>
    </row>
    <row r="34" spans="4:7" ht="20.100000000000001" customHeight="1" x14ac:dyDescent="0.25">
      <c r="D34" s="52" t="s">
        <v>183</v>
      </c>
      <c r="E34" s="52" t="s">
        <v>231</v>
      </c>
    </row>
    <row r="35" spans="4:7" ht="20.100000000000001" customHeight="1" x14ac:dyDescent="0.25">
      <c r="D35" s="53" t="str">
        <f>'Constants - Other Livestock'!D103</f>
        <v>Buffalo</v>
      </c>
      <c r="E35" s="53">
        <f>'Constants - Other Livestock'!E103</f>
        <v>0.19</v>
      </c>
      <c r="F35" s="2" t="str">
        <f>$H$14</f>
        <v>m3 CH4/kg VS</v>
      </c>
    </row>
    <row r="36" spans="4:7" ht="20.100000000000001" customHeight="1" x14ac:dyDescent="0.25">
      <c r="D36" s="53" t="str">
        <f>'Constants - Other Livestock'!D104</f>
        <v>Goats</v>
      </c>
      <c r="E36" s="53">
        <f>'Constants - Other Livestock'!E104</f>
        <v>0.24</v>
      </c>
    </row>
    <row r="37" spans="4:7" ht="20.100000000000001" customHeight="1" x14ac:dyDescent="0.25">
      <c r="D37" s="53" t="str">
        <f>'Constants - Other Livestock'!D105</f>
        <v>Deer</v>
      </c>
      <c r="E37" s="53">
        <f>'Constants - Other Livestock'!E105</f>
        <v>0.24</v>
      </c>
    </row>
    <row r="38" spans="4:7" ht="20.100000000000001" customHeight="1" x14ac:dyDescent="0.25">
      <c r="D38" s="53" t="str">
        <f>'Constants - Other Livestock'!D106</f>
        <v>Camels</v>
      </c>
      <c r="E38" s="53">
        <f>'Constants - Other Livestock'!E106</f>
        <v>0.24</v>
      </c>
    </row>
    <row r="39" spans="4:7" ht="20.100000000000001" customHeight="1" x14ac:dyDescent="0.25">
      <c r="D39" s="53" t="str">
        <f>'Constants - Other Livestock'!D107</f>
        <v>Alpacas</v>
      </c>
      <c r="E39" s="53">
        <f>'Constants - Other Livestock'!E107</f>
        <v>0.24</v>
      </c>
    </row>
    <row r="40" spans="4:7" ht="20.100000000000001" customHeight="1" x14ac:dyDescent="0.25">
      <c r="D40" s="53" t="str">
        <f>'Constants - Other Livestock'!D108</f>
        <v>Horses</v>
      </c>
      <c r="E40" s="53">
        <f>'Constants - Other Livestock'!E108</f>
        <v>0.19</v>
      </c>
    </row>
    <row r="41" spans="4:7" ht="20.100000000000001" customHeight="1" x14ac:dyDescent="0.25">
      <c r="D41" s="53" t="str">
        <f>'Constants - Other Livestock'!D109</f>
        <v>Mules/asses</v>
      </c>
      <c r="E41" s="53">
        <f>'Constants - Other Livestock'!E109</f>
        <v>0.24</v>
      </c>
    </row>
    <row r="42" spans="4:7" ht="20.100000000000001" customHeight="1" x14ac:dyDescent="0.25">
      <c r="D42" s="53" t="str">
        <f>'Constants - Other Livestock'!D110</f>
        <v>Emus/ostriches</v>
      </c>
      <c r="E42" s="53">
        <f>'Constants - Other Livestock'!E110</f>
        <v>0.36</v>
      </c>
    </row>
    <row r="43" spans="4:7" ht="20.100000000000001" customHeight="1" x14ac:dyDescent="0.25"/>
    <row r="44" spans="4:7" ht="20.100000000000001" customHeight="1" x14ac:dyDescent="0.25">
      <c r="D44" s="98" t="s">
        <v>186</v>
      </c>
    </row>
    <row r="45" spans="4:7" ht="20.100000000000001" customHeight="1" x14ac:dyDescent="0.25">
      <c r="D45" s="97" t="s">
        <v>187</v>
      </c>
    </row>
    <row r="46" spans="4:7" ht="20.100000000000001" customHeight="1" x14ac:dyDescent="0.25">
      <c r="D46" s="52" t="s">
        <v>183</v>
      </c>
      <c r="E46" s="52" t="s">
        <v>137</v>
      </c>
      <c r="F46" s="52" t="s">
        <v>126</v>
      </c>
    </row>
    <row r="47" spans="4:7" ht="20.100000000000001" customHeight="1" x14ac:dyDescent="0.25">
      <c r="D47" s="53" t="s">
        <v>152</v>
      </c>
      <c r="E47" s="53">
        <f>'Input - Other Livestock'!E13</f>
        <v>0.99659999999999993</v>
      </c>
      <c r="F47" s="53">
        <f>'Input - Other Livestock'!E14</f>
        <v>3.4000000000000002E-3</v>
      </c>
      <c r="G47" s="2" t="str">
        <f>$H$15</f>
        <v>fraction</v>
      </c>
    </row>
    <row r="48" spans="4:7" ht="20.100000000000001" customHeight="1" x14ac:dyDescent="0.25">
      <c r="D48" s="53" t="s">
        <v>157</v>
      </c>
      <c r="E48" s="53">
        <f>'Input - Other Livestock'!E27</f>
        <v>0.99659999999999993</v>
      </c>
      <c r="F48" s="53">
        <f>'Input - Other Livestock'!E28</f>
        <v>3.4000000000000002E-3</v>
      </c>
    </row>
    <row r="49" spans="4:16" ht="20.100000000000001" customHeight="1" x14ac:dyDescent="0.25">
      <c r="D49" s="53" t="s">
        <v>164</v>
      </c>
      <c r="E49" s="53">
        <f>'Input - Other Livestock'!E41</f>
        <v>0.99659999999999993</v>
      </c>
      <c r="F49" s="53">
        <f>'Input - Other Livestock'!E42</f>
        <v>3.4000000000000002E-3</v>
      </c>
    </row>
    <row r="50" spans="4:16" ht="20.100000000000001" customHeight="1" x14ac:dyDescent="0.25">
      <c r="D50" s="53" t="s">
        <v>170</v>
      </c>
      <c r="E50" s="53">
        <f>'Input - Other Livestock'!E55</f>
        <v>0.99659999999999993</v>
      </c>
      <c r="F50" s="53">
        <f>'Input - Other Livestock'!E56</f>
        <v>3.4000000000000002E-3</v>
      </c>
    </row>
    <row r="51" spans="4:16" ht="20.100000000000001" customHeight="1" x14ac:dyDescent="0.25">
      <c r="D51" s="53" t="s">
        <v>171</v>
      </c>
      <c r="E51" s="53">
        <f>'Input - Other Livestock'!F55</f>
        <v>0.99659999999999993</v>
      </c>
      <c r="F51" s="53">
        <f>'Input - Other Livestock'!F56</f>
        <v>3.4000000000000002E-3</v>
      </c>
    </row>
    <row r="52" spans="4:16" ht="20.100000000000001" customHeight="1" x14ac:dyDescent="0.25">
      <c r="D52" s="53" t="s">
        <v>172</v>
      </c>
      <c r="E52" s="53">
        <f>'Input - Other Livestock'!G55</f>
        <v>0.99659999999999993</v>
      </c>
      <c r="F52" s="53">
        <f>'Input - Other Livestock'!G56</f>
        <v>3.4000000000000002E-3</v>
      </c>
    </row>
    <row r="53" spans="4:16" ht="20.100000000000001" customHeight="1" x14ac:dyDescent="0.25">
      <c r="D53" s="53" t="s">
        <v>188</v>
      </c>
      <c r="E53" s="53">
        <f>'Input - Other Livestock'!H55</f>
        <v>0.99659999999999993</v>
      </c>
      <c r="F53" s="53">
        <f>'Input - Other Livestock'!H56</f>
        <v>3.4000000000000002E-3</v>
      </c>
    </row>
    <row r="54" spans="4:16" ht="20.100000000000001" customHeight="1" x14ac:dyDescent="0.25">
      <c r="D54" s="53" t="s">
        <v>189</v>
      </c>
      <c r="E54" s="53">
        <f>'Input - Other Livestock'!I55</f>
        <v>0.99659999999999993</v>
      </c>
      <c r="F54" s="53">
        <f>'Input - Other Livestock'!I56</f>
        <v>3.4000000000000002E-3</v>
      </c>
    </row>
    <row r="55" spans="4:16" ht="20.100000000000001" customHeight="1" x14ac:dyDescent="0.25"/>
    <row r="56" spans="4:16" ht="20.100000000000001" customHeight="1" x14ac:dyDescent="0.25">
      <c r="D56" s="98" t="s">
        <v>190</v>
      </c>
      <c r="N56" s="98" t="s">
        <v>192</v>
      </c>
    </row>
    <row r="57" spans="4:16" ht="20.100000000000001" customHeight="1" x14ac:dyDescent="0.25">
      <c r="D57" s="97" t="s">
        <v>191</v>
      </c>
      <c r="N57" s="97" t="s">
        <v>193</v>
      </c>
    </row>
    <row r="58" spans="4:16" ht="20.100000000000001" customHeight="1" x14ac:dyDescent="0.25">
      <c r="D58" s="52" t="s">
        <v>64</v>
      </c>
      <c r="E58" s="52" t="s">
        <v>84</v>
      </c>
      <c r="N58" s="52" t="s">
        <v>64</v>
      </c>
      <c r="O58" s="52" t="s">
        <v>84</v>
      </c>
    </row>
    <row r="59" spans="4:16" ht="20.100000000000001" customHeight="1" x14ac:dyDescent="0.25">
      <c r="D59" s="53" t="s">
        <v>137</v>
      </c>
      <c r="E59" s="53" cm="1">
        <f t="array" ref="E59">Common_InputFunctions.Utility_LookupValueInTableNumber($J$18,Table_SourceData_OtherLivestock_MCF[Other livestock type],Table_SourceData_OtherLivestock_MCF[Pasture range and paddock])</f>
        <v>4.7000000000000002E-3</v>
      </c>
      <c r="F59" s="2" t="str">
        <f>$H$16</f>
        <v>fraction</v>
      </c>
      <c r="N59" s="53" t="s">
        <v>137</v>
      </c>
      <c r="O59" s="53">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3" t="s">
        <v>126</v>
      </c>
      <c r="E60" s="53" cm="1">
        <f t="array" ref="E60">Common_InputFunctions.Utility_LookupValueInTableNumber($J$18,Table_SourceData_OtherLivestock_MCF[Other livestock type],Table_SourceData_OtherLivestock_MCF[Uncovered anaerobic lagoon])</f>
        <v>0.75</v>
      </c>
      <c r="N60" s="53" t="s">
        <v>126</v>
      </c>
      <c r="O60" s="53">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8" t="s">
        <v>194</v>
      </c>
      <c r="N62" s="98" t="s">
        <v>196</v>
      </c>
    </row>
    <row r="63" spans="4:16" ht="20.100000000000001" customHeight="1" x14ac:dyDescent="0.25">
      <c r="D63" s="97" t="s">
        <v>195</v>
      </c>
      <c r="N63" s="97" t="s">
        <v>197</v>
      </c>
    </row>
    <row r="64" spans="4:16" ht="20.100000000000001" customHeight="1" x14ac:dyDescent="0.25">
      <c r="D64" s="52" t="s">
        <v>183</v>
      </c>
      <c r="E64" s="52" t="s">
        <v>137</v>
      </c>
      <c r="F64" s="52" t="s">
        <v>126</v>
      </c>
      <c r="N64" s="52" t="s">
        <v>183</v>
      </c>
      <c r="O64" s="52" t="s">
        <v>137</v>
      </c>
      <c r="P64" s="52" t="s">
        <v>126</v>
      </c>
    </row>
    <row r="65" spans="3:21" ht="20.100000000000001" customHeight="1" x14ac:dyDescent="0.25">
      <c r="D65" s="53" t="s">
        <v>152</v>
      </c>
      <c r="E65" s="53" cm="1">
        <f t="array" ref="E65">MMS_OtherLivestock_Methane_Equations.VEERG_4_7_1_1__2_AnnualMethaneProductionFromManureManagement($E23,$E35,E47,$E$59,$J$17)</f>
        <v>1.6482414364416005E-3</v>
      </c>
      <c r="F65" s="53" cm="1">
        <f t="array" ref="F65">MMS_OtherLivestock_Methane_Equations.VEERG_4_7_1_1__2_AnnualMethaneProductionFromManureManagement($E23,$E35,F47,$E$60,$J$17)</f>
        <v>8.9730950400000004E-4</v>
      </c>
      <c r="G65" s="2" t="str">
        <f>$E$11</f>
        <v>kg CH4/head/day</v>
      </c>
      <c r="N65" s="53" t="s">
        <v>152</v>
      </c>
      <c r="O65" s="53" cm="1">
        <f t="array" ref="O65">MMS_OtherLivestock_Methane_Equations.VEERG_4_7_1_1__2_AnnualMethaneProductionFromManureManagement($E23,$E35,E47,$O$59,$J$17)</f>
        <v>1.6482414364416005E-3</v>
      </c>
      <c r="P65" s="53" cm="1">
        <f t="array" ref="P65">MMS_OtherLivestock_Methane_Equations.VEERG_4_7_1_1__2_AnnualMethaneProductionFromManureManagement($E23,$E35,F47,$O$60,$J$17)</f>
        <v>9.2123775744000014E-4</v>
      </c>
      <c r="Q65" s="2" t="str">
        <f>$E$11</f>
        <v>kg CH4/head/day</v>
      </c>
    </row>
    <row r="66" spans="3:21" ht="20.100000000000001" customHeight="1" x14ac:dyDescent="0.25">
      <c r="D66" s="53" t="s">
        <v>157</v>
      </c>
      <c r="E66" s="53" cm="1">
        <f t="array" ref="E66">MMS_OtherLivestock_Methane_Equations.VEERG_4_7_1_1__2_AnnualMethaneProductionFromManureManagement($E24,$E36,E48,$E$59,$J$17)</f>
        <v>2.5929535610880004E-4</v>
      </c>
      <c r="F66" s="53" cm="1">
        <f t="array" ref="F66">MMS_OtherLivestock_Methane_Equations.VEERG_4_7_1_1__2_AnnualMethaneProductionFromManureManagement($E24,$E36,F48,$E$60,$J$17)</f>
        <v>1.4116147200000001E-4</v>
      </c>
      <c r="N66" s="53" t="s">
        <v>157</v>
      </c>
      <c r="O66" s="53" cm="1">
        <f t="array" ref="O66">MMS_OtherLivestock_Methane_Equations.VEERG_4_7_1_1__2_AnnualMethaneProductionFromManureManagement($E24,$E36,E48,$O$59,$J$17)</f>
        <v>2.5929535610880004E-4</v>
      </c>
      <c r="P66" s="53" cm="1">
        <f t="array" ref="P66">MMS_OtherLivestock_Methane_Equations.VEERG_4_7_1_1__2_AnnualMethaneProductionFromManureManagement($E24,$E36,F48,$O$60,$J$17)</f>
        <v>1.4492577792000002E-4</v>
      </c>
    </row>
    <row r="67" spans="3:21" ht="20.100000000000001" customHeight="1" x14ac:dyDescent="0.25">
      <c r="D67" s="53" t="s">
        <v>164</v>
      </c>
      <c r="E67" s="53" cm="1">
        <f t="array" ref="E67">MMS_OtherLivestock_Methane_Equations.VEERG_4_7_1_1__2_AnnualMethaneProductionFromManureManagement($E25,$E37,E49,$E$59,$J$17)</f>
        <v>6.9399639429120006E-4</v>
      </c>
      <c r="F67" s="53" cm="1">
        <f t="array" ref="F67">MMS_OtherLivestock_Methane_Equations.VEERG_4_7_1_1__2_AnnualMethaneProductionFromManureManagement($E25,$E37,F49,$E$60,$J$17)</f>
        <v>3.7781452800000003E-4</v>
      </c>
      <c r="N67" s="53" t="s">
        <v>164</v>
      </c>
      <c r="O67" s="53" cm="1">
        <f t="array" ref="O67">MMS_OtherLivestock_Methane_Equations.VEERG_4_7_1_1__2_AnnualMethaneProductionFromManureManagement($E25,$E37,E49,$O$59,$J$17)</f>
        <v>6.9399639429120006E-4</v>
      </c>
      <c r="P67" s="53" cm="1">
        <f t="array" ref="P67">MMS_OtherLivestock_Methane_Equations.VEERG_4_7_1_1__2_AnnualMethaneProductionFromManureManagement($E25,$E37,F49,$O$60,$J$17)</f>
        <v>3.8788958208000007E-4</v>
      </c>
    </row>
    <row r="68" spans="3:21" ht="20.100000000000001" customHeight="1" x14ac:dyDescent="0.25">
      <c r="D68" s="53" t="s">
        <v>170</v>
      </c>
      <c r="E68" s="53" cm="1">
        <f t="array" ref="E68">MMS_OtherLivestock_Methane_Equations.VEERG_4_7_1_1__2_AnnualMethaneProductionFromManureManagement($E26,$E38,E50,$E$59,$J$17)</f>
        <v>2.0819891828735997E-3</v>
      </c>
      <c r="F68" s="53" cm="1">
        <f t="array" ref="F68">MMS_OtherLivestock_Methane_Equations.VEERG_4_7_1_1__2_AnnualMethaneProductionFromManureManagement($E26,$E38,F50,$E$60,$J$17)</f>
        <v>1.1334435840000001E-3</v>
      </c>
      <c r="N68" s="53" t="s">
        <v>170</v>
      </c>
      <c r="O68" s="53" cm="1">
        <f t="array" ref="O68">MMS_OtherLivestock_Methane_Equations.VEERG_4_7_1_1__2_AnnualMethaneProductionFromManureManagement($E26,$E38,E50,$O$59,$J$17)</f>
        <v>2.0819891828735997E-3</v>
      </c>
      <c r="P68" s="53" cm="1">
        <f t="array" ref="P68">MMS_OtherLivestock_Methane_Equations.VEERG_4_7_1_1__2_AnnualMethaneProductionFromManureManagement($E26,$E38,F50,$O$60,$J$17)</f>
        <v>1.1636687462400002E-3</v>
      </c>
    </row>
    <row r="69" spans="3:21" ht="20.100000000000001" customHeight="1" x14ac:dyDescent="0.25">
      <c r="D69" s="53" t="s">
        <v>171</v>
      </c>
      <c r="E69" s="53" cm="1">
        <f t="array" ref="E69">MMS_OtherLivestock_Methane_Equations.VEERG_4_7_1_1__2_AnnualMethaneProductionFromManureManagement($E27,$E39,E51,$E$59,$J$17)</f>
        <v>2.5929535610880004E-4</v>
      </c>
      <c r="F69" s="53" cm="1">
        <f t="array" ref="F69">MMS_OtherLivestock_Methane_Equations.VEERG_4_7_1_1__2_AnnualMethaneProductionFromManureManagement($E27,$E39,F51,$E$60,$J$17)</f>
        <v>1.4116147200000001E-4</v>
      </c>
      <c r="N69" s="53" t="s">
        <v>171</v>
      </c>
      <c r="O69" s="53" cm="1">
        <f t="array" ref="O69">MMS_OtherLivestock_Methane_Equations.VEERG_4_7_1_1__2_AnnualMethaneProductionFromManureManagement($E27,$E39,E51,$O$59,$J$17)</f>
        <v>2.5929535610880004E-4</v>
      </c>
      <c r="P69" s="53" cm="1">
        <f t="array" ref="P69">MMS_OtherLivestock_Methane_Equations.VEERG_4_7_1_1__2_AnnualMethaneProductionFromManureManagement($E27,$E39,F51,$O$60,$J$17)</f>
        <v>1.4492577792000002E-4</v>
      </c>
    </row>
    <row r="70" spans="3:21" ht="20.100000000000001" customHeight="1" x14ac:dyDescent="0.25">
      <c r="D70" s="53" t="s">
        <v>172</v>
      </c>
      <c r="E70" s="53" cm="1">
        <f t="array" ref="E70">MMS_OtherLivestock_Methane_Equations.VEERG_4_7_1_1__2_AnnualMethaneProductionFromManureManagement($E28,$E40,E52,$E$59,$J$17)</f>
        <v>1.6482414364416005E-3</v>
      </c>
      <c r="F70" s="53" cm="1">
        <f t="array" ref="F70">MMS_OtherLivestock_Methane_Equations.VEERG_4_7_1_1__2_AnnualMethaneProductionFromManureManagement($E28,$E40,F52,$E$60,$J$17)</f>
        <v>8.9730950400000004E-4</v>
      </c>
      <c r="N70" s="53" t="s">
        <v>172</v>
      </c>
      <c r="O70" s="53" cm="1">
        <f t="array" ref="O70">MMS_OtherLivestock_Methane_Equations.VEERG_4_7_1_1__2_AnnualMethaneProductionFromManureManagement($E28,$E40,E52,$O$59,$J$17)</f>
        <v>1.6482414364416005E-3</v>
      </c>
      <c r="P70" s="53" cm="1">
        <f t="array" ref="P70">MMS_OtherLivestock_Methane_Equations.VEERG_4_7_1_1__2_AnnualMethaneProductionFromManureManagement($E28,$E40,F52,$O$60,$J$17)</f>
        <v>9.2123775744000014E-4</v>
      </c>
    </row>
    <row r="71" spans="3:21" ht="20.100000000000001" customHeight="1" x14ac:dyDescent="0.25">
      <c r="D71" s="53" t="s">
        <v>188</v>
      </c>
      <c r="E71" s="53" cm="1">
        <f t="array" ref="E71">MMS_OtherLivestock_Methane_Equations.VEERG_4_7_1_1__2_AnnualMethaneProductionFromManureManagement($E29,$E41,E53,$E$59,$J$17)</f>
        <v>6.9399639429120006E-4</v>
      </c>
      <c r="F71" s="53" cm="1">
        <f t="array" ref="F71">MMS_OtherLivestock_Methane_Equations.VEERG_4_7_1_1__2_AnnualMethaneProductionFromManureManagement($E29,$E41,F53,$E$60,$J$17)</f>
        <v>3.7781452800000003E-4</v>
      </c>
      <c r="N71" s="53" t="s">
        <v>188</v>
      </c>
      <c r="O71" s="53" cm="1">
        <f t="array" ref="O71">MMS_OtherLivestock_Methane_Equations.VEERG_4_7_1_1__2_AnnualMethaneProductionFromManureManagement($E29,$E41,E53,$O$59,$J$17)</f>
        <v>6.9399639429120006E-4</v>
      </c>
      <c r="P71" s="53" cm="1">
        <f t="array" ref="P71">MMS_OtherLivestock_Methane_Equations.VEERG_4_7_1_1__2_AnnualMethaneProductionFromManureManagement($E29,$E41,F53,$O$60,$J$17)</f>
        <v>3.8788958208000007E-4</v>
      </c>
    </row>
    <row r="72" spans="3:21" ht="20.100000000000001" customHeight="1" x14ac:dyDescent="0.25">
      <c r="D72" s="53" t="s">
        <v>189</v>
      </c>
      <c r="E72" s="53" cm="1">
        <f t="array" ref="E72">MMS_OtherLivestock_Methane_Equations.VEERG_4_7_1_1__2_AnnualMethaneProductionFromManureManagement($E30,$E42,E54,$E$59,$J$17)</f>
        <v>3.8894303416319999E-4</v>
      </c>
      <c r="F72" s="53" cm="1">
        <f t="array" ref="F72">MMS_OtherLivestock_Methane_Equations.VEERG_4_7_1_1__2_AnnualMethaneProductionFromManureManagement($E30,$E42,F54,$E$60,$J$17)</f>
        <v>2.1174220800000002E-4</v>
      </c>
      <c r="N72" s="53" t="s">
        <v>189</v>
      </c>
      <c r="O72" s="53" cm="1">
        <f t="array" ref="O72">MMS_OtherLivestock_Methane_Equations.VEERG_4_7_1_1__2_AnnualMethaneProductionFromManureManagement($E30,$E42,E54,$O$59,$J$17)</f>
        <v>3.8894303416319999E-4</v>
      </c>
      <c r="P72" s="53"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8"/>
      <c r="D75" s="48"/>
      <c r="E75" s="48"/>
      <c r="F75" s="48"/>
      <c r="G75" s="48"/>
      <c r="H75" s="48"/>
      <c r="I75" s="48"/>
      <c r="J75" s="48"/>
      <c r="K75" s="48"/>
      <c r="M75" s="48"/>
      <c r="N75" s="48"/>
      <c r="O75" s="48"/>
      <c r="P75" s="48"/>
      <c r="Q75" s="48"/>
      <c r="R75" s="48"/>
      <c r="S75" s="48"/>
      <c r="T75" s="48"/>
      <c r="U75" s="48"/>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23</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4" t="s">
        <v>26</v>
      </c>
      <c r="E81" s="1" t="str" cm="1">
        <f t="array" ref="E81">MMS_OtherLivestock_Methane_Equations.VEERG_4_7_1_1__1_TotalAnnualMethaneProductionFromManureManagementOtherLivestock_Variable()</f>
        <v>E_CH4</v>
      </c>
    </row>
    <row r="82" spans="4:9" ht="20.100000000000001" customHeight="1" x14ac:dyDescent="0.25">
      <c r="D82" s="54" t="s">
        <v>16</v>
      </c>
      <c r="E82" s="55"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7" t="str" cm="1">
        <f t="array" ref="D84:E87">_xlfn.CHOOSECOLS(MMS_OtherLivestock_Methane_Equations.VEERG_4_7_1_1__1_TotalAnnualMethaneProductionFromManureManagementOtherLivestock_Arguments(),1,2)</f>
        <v>N_j</v>
      </c>
      <c r="E84" s="117" t="str">
        <v>average annual number of livestock per livestock type j</v>
      </c>
      <c r="F84" s="117"/>
      <c r="G84" s="117" t="str" cm="1">
        <f t="array" ref="G84:H87">_xlfn.CHOOSECOLS(MMS_OtherLivestock_Methane_Equations.VEERG_4_7_1_1__1_TotalAnnualMethaneProductionFromManureManagementOtherLivestock_Arguments(),3,4)</f>
        <v>head</v>
      </c>
      <c r="H84" s="115" t="str">
        <v>Input</v>
      </c>
      <c r="I84" s="118" t="str" cm="1">
        <f t="array" aca="1" ref="I84" ca="1">HYPERLINK(Common_InputFunctions.Utility_SourceHyperlink($D$89),$D$89)</f>
        <v>Table_N_j</v>
      </c>
    </row>
    <row r="85" spans="4:9" ht="20.100000000000001" customHeight="1" x14ac:dyDescent="0.25">
      <c r="D85" s="117" t="str">
        <v>M_jm</v>
      </c>
      <c r="E85" s="120" t="str">
        <v>annual methane production from manure management</v>
      </c>
      <c r="F85" s="119"/>
      <c r="G85" s="117" t="str">
        <v>kg CH4/head/day</v>
      </c>
      <c r="H85" s="116" t="str">
        <v>Calculated from 4.7.1.1, (2)</v>
      </c>
      <c r="I85" s="118" t="str" cm="1">
        <f t="array" aca="1" ref="I85" ca="1">HYPERLINK(Common_InputFunctions.Utility_SourceHyperlink($D$62),$D$62)</f>
        <v>M1_Table_M_j_m</v>
      </c>
    </row>
    <row r="86" spans="4:9" ht="20.100000000000001" customHeight="1" x14ac:dyDescent="0.25">
      <c r="D86" s="117" t="str">
        <v>j</v>
      </c>
      <c r="E86" s="120" t="str">
        <v>livestock type</v>
      </c>
      <c r="F86" s="119"/>
      <c r="G86" s="117" t="str">
        <v/>
      </c>
      <c r="H86" s="115" t="str">
        <v>Input</v>
      </c>
      <c r="I86" s="118" t="str" cm="1">
        <f t="array" aca="1" ref="I86" ca="1">HYPERLINK(Common_InputFunctions.Utility_SourceHyperlink($D$89),$D$89)</f>
        <v>Table_N_j</v>
      </c>
    </row>
    <row r="87" spans="4:9" ht="20.100000000000001" customHeight="1" x14ac:dyDescent="0.25">
      <c r="D87" s="117" t="str">
        <v>m</v>
      </c>
      <c r="E87" s="120" t="str">
        <v>manure management system</v>
      </c>
      <c r="F87" s="119"/>
      <c r="G87" s="117" t="str">
        <v/>
      </c>
      <c r="H87" s="115" t="str">
        <v>Input</v>
      </c>
      <c r="I87" s="118" t="str" cm="1">
        <f t="array" aca="1" ref="I87" ca="1">HYPERLINK(Common_InputFunctions.Utility_SourceHyperlink($D$62),$D$62)</f>
        <v>M1_Table_M_j_m</v>
      </c>
    </row>
    <row r="88" spans="4:9" ht="20.100000000000001" customHeight="1" x14ac:dyDescent="0.25"/>
    <row r="89" spans="4:9" ht="20.100000000000001" customHeight="1" x14ac:dyDescent="0.25">
      <c r="D89" s="98" t="s">
        <v>87</v>
      </c>
    </row>
    <row r="90" spans="4:9" ht="20.100000000000001" customHeight="1" x14ac:dyDescent="0.25">
      <c r="D90" s="97" t="s">
        <v>198</v>
      </c>
    </row>
    <row r="91" spans="4:9" ht="20.100000000000001" customHeight="1" x14ac:dyDescent="0.25">
      <c r="D91" s="41" t="s">
        <v>183</v>
      </c>
      <c r="E91" s="41" t="s">
        <v>230</v>
      </c>
    </row>
    <row r="92" spans="4:9" ht="20.100000000000001" customHeight="1" x14ac:dyDescent="0.25">
      <c r="D92" s="53" t="s">
        <v>152</v>
      </c>
      <c r="E92" s="100">
        <f>SUM(X_Table_OtherLivestock_Buffalo_Head)</f>
        <v>4600</v>
      </c>
      <c r="F92" s="2" t="str">
        <f>G84</f>
        <v>head</v>
      </c>
    </row>
    <row r="93" spans="4:9" ht="20.100000000000001" customHeight="1" x14ac:dyDescent="0.25">
      <c r="D93" s="53" t="s">
        <v>157</v>
      </c>
      <c r="E93" s="100">
        <f>SUM(X_Table_OtherLivestock_Goats_Head)</f>
        <v>4800</v>
      </c>
    </row>
    <row r="94" spans="4:9" ht="20.100000000000001" customHeight="1" x14ac:dyDescent="0.25">
      <c r="D94" s="53" t="s">
        <v>164</v>
      </c>
      <c r="E94" s="100">
        <f>SUM(X_Table_OtherLivestock_Deer_Head)</f>
        <v>4600</v>
      </c>
    </row>
    <row r="95" spans="4:9" ht="20.100000000000001" customHeight="1" x14ac:dyDescent="0.25">
      <c r="D95" s="53" t="s">
        <v>170</v>
      </c>
      <c r="E95" s="100">
        <f>X_Cell_OtherLivestock_Others_Camels_Head</f>
        <v>4300</v>
      </c>
    </row>
    <row r="96" spans="4:9" ht="20.100000000000001" customHeight="1" x14ac:dyDescent="0.25">
      <c r="D96" s="53" t="s">
        <v>171</v>
      </c>
      <c r="E96" s="100">
        <f>X_Cell_OtherLivestock_Others_Alpacas_Head</f>
        <v>100</v>
      </c>
    </row>
    <row r="97" spans="4:17" ht="20.100000000000001" customHeight="1" x14ac:dyDescent="0.25">
      <c r="D97" s="53" t="s">
        <v>172</v>
      </c>
      <c r="E97" s="100">
        <f>X_Cell_OtherLivestock_Others_Horses_Head</f>
        <v>100</v>
      </c>
    </row>
    <row r="98" spans="4:17" ht="20.100000000000001" customHeight="1" x14ac:dyDescent="0.25">
      <c r="D98" s="53" t="s">
        <v>188</v>
      </c>
      <c r="E98" s="100">
        <f>X_Cell_OtherLivestock_Others_Mules_Head</f>
        <v>100</v>
      </c>
    </row>
    <row r="99" spans="4:17" ht="20.100000000000001" customHeight="1" x14ac:dyDescent="0.25">
      <c r="D99" s="53" t="s">
        <v>189</v>
      </c>
      <c r="E99" s="100">
        <f>X_Cell_OtherLivestock_Others_Emus_Head</f>
        <v>100</v>
      </c>
    </row>
    <row r="100" spans="4:17" ht="20.100000000000001" customHeight="1" x14ac:dyDescent="0.25"/>
    <row r="101" spans="4:17" ht="20.100000000000001" customHeight="1" x14ac:dyDescent="0.25">
      <c r="D101" s="98" t="s">
        <v>199</v>
      </c>
      <c r="N101" s="98" t="s">
        <v>199</v>
      </c>
    </row>
    <row r="102" spans="4:17" ht="20.100000000000001" customHeight="1" x14ac:dyDescent="0.25">
      <c r="D102" s="97" t="s">
        <v>200</v>
      </c>
      <c r="N102" s="97" t="s">
        <v>200</v>
      </c>
    </row>
    <row r="103" spans="4:17" ht="20.100000000000001" customHeight="1" x14ac:dyDescent="0.25">
      <c r="D103" s="52" t="s">
        <v>183</v>
      </c>
      <c r="E103" s="52" t="s">
        <v>137</v>
      </c>
      <c r="F103" s="52" t="s">
        <v>126</v>
      </c>
      <c r="N103" s="52" t="s">
        <v>183</v>
      </c>
      <c r="O103" s="52" t="s">
        <v>137</v>
      </c>
      <c r="P103" s="52" t="s">
        <v>126</v>
      </c>
    </row>
    <row r="104" spans="4:17" ht="20.100000000000001" customHeight="1" x14ac:dyDescent="0.25">
      <c r="D104" s="53" t="s">
        <v>152</v>
      </c>
      <c r="E104" s="53" cm="1">
        <f t="array" ref="E104">MMS_OtherLivestock_Methane_Equations.VEERG_4_7_1_1__1_TotalAnnualMethaneProductionFromManureManagementOtherLivestock($E92,E65)</f>
        <v>2.7673973717854468</v>
      </c>
      <c r="F104" s="53" cm="1">
        <f t="array" ref="F104">MMS_OtherLivestock_Methane_Equations.VEERG_4_7_1_1__1_TotalAnnualMethaneProductionFromManureManagementOtherLivestock($E92,F65)</f>
        <v>1.5065826572160002</v>
      </c>
      <c r="G104" s="2" t="str">
        <f>$E$82</f>
        <v>t CH4</v>
      </c>
      <c r="N104" s="53" t="s">
        <v>152</v>
      </c>
      <c r="O104" s="53" cm="1">
        <f t="array" ref="O104">MMS_OtherLivestock_Methane_Equations.VEERG_4_7_1_1__1_TotalAnnualMethaneProductionFromManureManagementOtherLivestock($E92,O65)</f>
        <v>2.7673973717854468</v>
      </c>
      <c r="P104" s="53"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3" t="s">
        <v>157</v>
      </c>
      <c r="E105" s="53" cm="1">
        <f t="array" ref="E105">MMS_OtherLivestock_Methane_Equations.VEERG_4_7_1_1__1_TotalAnnualMethaneProductionFromManureManagementOtherLivestock($E93,E66)</f>
        <v>0.45428546390261765</v>
      </c>
      <c r="F105" s="53" cm="1">
        <f t="array" ref="F105">MMS_OtherLivestock_Methane_Equations.VEERG_4_7_1_1__1_TotalAnnualMethaneProductionFromManureManagementOtherLivestock($E93,F66)</f>
        <v>0.24731489894400002</v>
      </c>
      <c r="N105" s="53" t="s">
        <v>157</v>
      </c>
      <c r="O105" s="53" cm="1">
        <f t="array" ref="O105">MMS_OtherLivestock_Methane_Equations.VEERG_4_7_1_1__1_TotalAnnualMethaneProductionFromManureManagementOtherLivestock($E93,O66)</f>
        <v>0.45428546390261765</v>
      </c>
      <c r="P105" s="53" cm="1">
        <f t="array" ref="P105">MMS_OtherLivestock_Methane_Equations.VEERG_4_7_1_1__1_TotalAnnualMethaneProductionFromManureManagementOtherLivestock($E93,P66)</f>
        <v>0.25390996291584</v>
      </c>
    </row>
    <row r="106" spans="4:17" ht="20.100000000000001" customHeight="1" x14ac:dyDescent="0.25">
      <c r="D106" s="53" t="s">
        <v>164</v>
      </c>
      <c r="E106" s="53" cm="1">
        <f t="array" ref="E106">MMS_OtherLivestock_Methane_Equations.VEERG_4_7_1_1__1_TotalAnnualMethaneProductionFromManureManagementOtherLivestock($E94,E67)</f>
        <v>1.1652199460149251</v>
      </c>
      <c r="F106" s="53" cm="1">
        <f t="array" ref="F106">MMS_OtherLivestock_Methane_Equations.VEERG_4_7_1_1__1_TotalAnnualMethaneProductionFromManureManagementOtherLivestock($E94,F67)</f>
        <v>0.6343505925120001</v>
      </c>
      <c r="N106" s="53" t="s">
        <v>164</v>
      </c>
      <c r="O106" s="53" cm="1">
        <f t="array" ref="O106">MMS_OtherLivestock_Methane_Equations.VEERG_4_7_1_1__1_TotalAnnualMethaneProductionFromManureManagementOtherLivestock($E94,O67)</f>
        <v>1.1652199460149251</v>
      </c>
      <c r="P106" s="53" cm="1">
        <f t="array" ref="P106">MMS_OtherLivestock_Methane_Equations.VEERG_4_7_1_1__1_TotalAnnualMethaneProductionFromManureManagementOtherLivestock($E94,P67)</f>
        <v>0.65126660831232008</v>
      </c>
    </row>
    <row r="107" spans="4:17" ht="20.100000000000001" customHeight="1" x14ac:dyDescent="0.25">
      <c r="D107" s="53" t="s">
        <v>170</v>
      </c>
      <c r="E107" s="53" cm="1">
        <f t="array" ref="E107">MMS_OtherLivestock_Methane_Equations.VEERG_4_7_1_1__1_TotalAnnualMethaneProductionFromManureManagementOtherLivestock($E95,E68)</f>
        <v>3.2676820225201144</v>
      </c>
      <c r="F107" s="53" cm="1">
        <f t="array" ref="F107">MMS_OtherLivestock_Methane_Equations.VEERG_4_7_1_1__1_TotalAnnualMethaneProductionFromManureManagementOtherLivestock($E95,F68)</f>
        <v>1.7789397050880003</v>
      </c>
      <c r="N107" s="53" t="s">
        <v>170</v>
      </c>
      <c r="O107" s="53" cm="1">
        <f t="array" ref="O107">MMS_OtherLivestock_Methane_Equations.VEERG_4_7_1_1__1_TotalAnnualMethaneProductionFromManureManagementOtherLivestock($E95,O68)</f>
        <v>3.2676820225201144</v>
      </c>
      <c r="P107" s="53" cm="1">
        <f t="array" ref="P107">MMS_OtherLivestock_Methane_Equations.VEERG_4_7_1_1__1_TotalAnnualMethaneProductionFromManureManagementOtherLivestock($E95,P68)</f>
        <v>1.8263780972236803</v>
      </c>
    </row>
    <row r="108" spans="4:17" ht="20.100000000000001" customHeight="1" x14ac:dyDescent="0.25">
      <c r="D108" s="53" t="s">
        <v>171</v>
      </c>
      <c r="E108" s="53" cm="1">
        <f t="array" ref="E108">MMS_OtherLivestock_Methane_Equations.VEERG_4_7_1_1__1_TotalAnnualMethaneProductionFromManureManagementOtherLivestock($E96,E69)</f>
        <v>9.464280497971201E-3</v>
      </c>
      <c r="F108" s="53" cm="1">
        <f t="array" ref="F108">MMS_OtherLivestock_Methane_Equations.VEERG_4_7_1_1__1_TotalAnnualMethaneProductionFromManureManagementOtherLivestock($E96,F69)</f>
        <v>5.1523937280000005E-3</v>
      </c>
      <c r="N108" s="53" t="s">
        <v>171</v>
      </c>
      <c r="O108" s="53" cm="1">
        <f t="array" ref="O108">MMS_OtherLivestock_Methane_Equations.VEERG_4_7_1_1__1_TotalAnnualMethaneProductionFromManureManagementOtherLivestock($E96,O69)</f>
        <v>9.464280497971201E-3</v>
      </c>
      <c r="P108" s="53" cm="1">
        <f t="array" ref="P108">MMS_OtherLivestock_Methane_Equations.VEERG_4_7_1_1__1_TotalAnnualMethaneProductionFromManureManagementOtherLivestock($E96,P69)</f>
        <v>5.2897908940800001E-3</v>
      </c>
    </row>
    <row r="109" spans="4:17" ht="20.100000000000001" customHeight="1" x14ac:dyDescent="0.25">
      <c r="D109" s="53" t="s">
        <v>172</v>
      </c>
      <c r="E109" s="53" cm="1">
        <f t="array" ref="E109">MMS_OtherLivestock_Methane_Equations.VEERG_4_7_1_1__1_TotalAnnualMethaneProductionFromManureManagementOtherLivestock($E97,E70)</f>
        <v>6.0160812430118414E-2</v>
      </c>
      <c r="F109" s="53" cm="1">
        <f t="array" ref="F109">MMS_OtherLivestock_Methane_Equations.VEERG_4_7_1_1__1_TotalAnnualMethaneProductionFromManureManagementOtherLivestock($E97,F70)</f>
        <v>3.2751796896000003E-2</v>
      </c>
      <c r="N109" s="53" t="s">
        <v>172</v>
      </c>
      <c r="O109" s="53" cm="1">
        <f t="array" ref="O109">MMS_OtherLivestock_Methane_Equations.VEERG_4_7_1_1__1_TotalAnnualMethaneProductionFromManureManagementOtherLivestock($E97,O70)</f>
        <v>6.0160812430118414E-2</v>
      </c>
      <c r="P109" s="53" cm="1">
        <f t="array" ref="P109">MMS_OtherLivestock_Methane_Equations.VEERG_4_7_1_1__1_TotalAnnualMethaneProductionFromManureManagementOtherLivestock($E97,P70)</f>
        <v>3.3625178146560013E-2</v>
      </c>
    </row>
    <row r="110" spans="4:17" ht="20.100000000000001" customHeight="1" x14ac:dyDescent="0.25">
      <c r="D110" s="53" t="s">
        <v>188</v>
      </c>
      <c r="E110" s="53" cm="1">
        <f t="array" ref="E110">MMS_OtherLivestock_Methane_Equations.VEERG_4_7_1_1__1_TotalAnnualMethaneProductionFromManureManagementOtherLivestock($E98,E71)</f>
        <v>2.5330868391628802E-2</v>
      </c>
      <c r="F110" s="53" cm="1">
        <f t="array" ref="F110">MMS_OtherLivestock_Methane_Equations.VEERG_4_7_1_1__1_TotalAnnualMethaneProductionFromManureManagementOtherLivestock($E98,F71)</f>
        <v>1.3790230272000003E-2</v>
      </c>
      <c r="N110" s="53" t="s">
        <v>188</v>
      </c>
      <c r="O110" s="53" cm="1">
        <f t="array" ref="O110">MMS_OtherLivestock_Methane_Equations.VEERG_4_7_1_1__1_TotalAnnualMethaneProductionFromManureManagementOtherLivestock($E98,O71)</f>
        <v>2.5330868391628802E-2</v>
      </c>
      <c r="P110" s="53" cm="1">
        <f t="array" ref="P110">MMS_OtherLivestock_Methane_Equations.VEERG_4_7_1_1__1_TotalAnnualMethaneProductionFromManureManagementOtherLivestock($E98,P71)</f>
        <v>1.4157969745920001E-2</v>
      </c>
    </row>
    <row r="111" spans="4:17" ht="20.100000000000001" customHeight="1" x14ac:dyDescent="0.25">
      <c r="D111" s="53" t="s">
        <v>189</v>
      </c>
      <c r="E111" s="53" cm="1">
        <f t="array" ref="E111">MMS_OtherLivestock_Methane_Equations.VEERG_4_7_1_1__1_TotalAnnualMethaneProductionFromManureManagementOtherLivestock($E99,E72)</f>
        <v>1.4196420746956798E-2</v>
      </c>
      <c r="F111" s="53" cm="1">
        <f t="array" ref="F111">MMS_OtherLivestock_Methane_Equations.VEERG_4_7_1_1__1_TotalAnnualMethaneProductionFromManureManagementOtherLivestock($E99,F72)</f>
        <v>7.7285905920000007E-3</v>
      </c>
      <c r="N111" s="53" t="s">
        <v>189</v>
      </c>
      <c r="O111" s="53" cm="1">
        <f t="array" ref="O111">MMS_OtherLivestock_Methane_Equations.VEERG_4_7_1_1__1_TotalAnnualMethaneProductionFromManureManagementOtherLivestock($E99,O72)</f>
        <v>1.4196420746956798E-2</v>
      </c>
      <c r="P111" s="53"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101" t="s">
        <v>92</v>
      </c>
      <c r="E113" s="102">
        <f>SUM(E104:F111)</f>
        <v>11.990348051537779</v>
      </c>
      <c r="F113" s="103" t="str">
        <f>$E$82</f>
        <v>t CH4</v>
      </c>
      <c r="N113" s="101" t="s">
        <v>93</v>
      </c>
      <c r="O113" s="102">
        <f>SUM(O104:P111)</f>
        <v>12.103057674611057</v>
      </c>
      <c r="P113" s="103" t="str">
        <f>$E$82</f>
        <v>t CH4</v>
      </c>
    </row>
    <row r="114" spans="4:18" ht="20.100000000000001" customHeight="1" x14ac:dyDescent="0.25"/>
    <row r="115" spans="4:18" ht="20.100000000000001" customHeight="1" x14ac:dyDescent="0.25">
      <c r="D115" s="58" t="str" cm="1">
        <f t="array" ref="D115:E116">Common_Equations.Common_ConvertCH4ToCO2e_Arguments()</f>
        <v>ECH4</v>
      </c>
      <c r="E115" s="59" t="str">
        <v>Methane emissions (t CH4)</v>
      </c>
      <c r="F115" s="104"/>
      <c r="G115" s="53">
        <f>E113</f>
        <v>11.990348051537779</v>
      </c>
      <c r="H115" s="2" t="str">
        <f>$E$82</f>
        <v>t CH4</v>
      </c>
      <c r="N115" s="58" t="str" cm="1">
        <f t="array" ref="N115:O116">Common_Equations.Common_ConvertCH4ToCO2e_Arguments()</f>
        <v>ECH4</v>
      </c>
      <c r="O115" s="59" t="str">
        <v>Methane emissions (t CH4)</v>
      </c>
      <c r="P115" s="104"/>
      <c r="Q115" s="53">
        <f>O113</f>
        <v>12.103057674611057</v>
      </c>
      <c r="R115" s="2" t="str">
        <f>$E$82</f>
        <v>t CH4</v>
      </c>
    </row>
    <row r="116" spans="4:18" ht="20.100000000000001" customHeight="1" x14ac:dyDescent="0.25">
      <c r="D116" s="58" t="str">
        <v>GWPCH4</v>
      </c>
      <c r="E116" s="59" t="str">
        <v>Global warming potential for methane (t CO2-e / t CH4)</v>
      </c>
      <c r="F116" s="104"/>
      <c r="G116" s="53">
        <f>Common_InputFunctions.Utility_LookupValueInTableNumber("CH4",Table_GWPData[Gas],Table_GWPData[CO2-e factor])</f>
        <v>28</v>
      </c>
      <c r="N116" s="58" t="str">
        <v>GWPCH4</v>
      </c>
      <c r="O116" s="59" t="str">
        <v>Global warming potential for methane (t CO2-e / t CH4)</v>
      </c>
      <c r="P116" s="104"/>
      <c r="Q116" s="53">
        <f>Common_InputFunctions.Utility_LookupValueInTableNumber("CH4",Table_GWPData[Gas],Table_GWPData[CO2-e factor])</f>
        <v>28</v>
      </c>
    </row>
    <row r="117" spans="4:18" ht="20.100000000000001" customHeight="1" x14ac:dyDescent="0.25"/>
    <row r="118" spans="4:18" ht="20.100000000000001" customHeight="1" x14ac:dyDescent="0.25">
      <c r="D118" s="48" t="s">
        <v>94</v>
      </c>
      <c r="E118" s="48" cm="1">
        <f t="array" ref="E118">Common_Equations.Common_ConvertCH4ToCO2e(G115,G116)</f>
        <v>335.72974544305782</v>
      </c>
      <c r="F118" s="105" t="str" cm="1">
        <f t="array" ref="F118">Common_Equations.Common_ConvertN2OToCO2e_Unit()</f>
        <v>t CO2e</v>
      </c>
      <c r="N118" s="48" t="s">
        <v>95</v>
      </c>
      <c r="O118" s="48" cm="1">
        <f t="array" ref="O118">Common_Equations.Common_ConvertCH4ToCO2e(Q115,Q116)</f>
        <v>338.8856148891096</v>
      </c>
      <c r="P118" s="105"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G73" sqref="G7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237</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A6" s="16"/>
      <c r="D6" s="5" t="str" cm="1">
        <f t="array" ref="D6">MMS_OtherLivestock_Soil_N2ODirect.VEERG_4_7_1_3__2_AnnualNitrogenExcretedToPasture_Source()</f>
        <v>VEERG 2026: 4.7.1.3, Equation (2)</v>
      </c>
    </row>
    <row r="7" spans="1:21" ht="20.100000000000001" customHeight="1" x14ac:dyDescent="0.25">
      <c r="A7" s="20" t="s">
        <v>1</v>
      </c>
      <c r="D7" s="13" t="s">
        <v>23</v>
      </c>
      <c r="E7" s="13" t="str" cm="1">
        <f t="array" aca="1" ref="E7" ca="1">Common_InputFunctions.Utility_DisplayFunctionName(E44)</f>
        <v>=MMS_OtherLivestock_Soil_N2ODirect.VEERG_4_7_1_3__2_AnnualNitrogenExcretedToPasture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MMS_OtherLivestock_Soil_N2ODirect.VEERG_4_7_1_3__2_AnnualNitrogenExcretedToPasture_Variable()</f>
        <v>AE</v>
      </c>
    </row>
    <row r="11" spans="1:21" ht="20.100000000000001" customHeight="1" x14ac:dyDescent="0.25">
      <c r="A11" s="19" t="s">
        <v>71</v>
      </c>
      <c r="D11" s="54" t="s">
        <v>16</v>
      </c>
      <c r="E11" s="55" t="str" cm="1">
        <f t="array" ref="E11">MMS_OtherLivestock_Soil_N2ODirect.VEERG_4_7_1_3__2_AnnualNitrogenExcretedToPasture_Unit()</f>
        <v>kg N/year</v>
      </c>
    </row>
    <row r="12" spans="1:21" ht="20.100000000000001" customHeight="1" x14ac:dyDescent="0.25">
      <c r="A12" s="17" t="str">
        <f>HYPERLINK("#'4.7.1.1-2 Manure Methane'!A1", "4.7.1.1-2 Methane")</f>
        <v>4.7.1.1-2 Methane</v>
      </c>
    </row>
    <row r="13" spans="1:21" ht="20.100000000000001" customHeight="1" x14ac:dyDescent="0.25">
      <c r="A13" s="22" t="str">
        <f>HYPERLINK("#'4.7.1.3-4 Soil Direct N2O'!A1", "4.7.1.3-4 Soil Direct N2O")</f>
        <v>4.7.1.3-4 Soil Direct N2O</v>
      </c>
      <c r="D13" s="117" t="str" cm="1">
        <f t="array" ref="D13:E15">_xlfn.CHOOSECOLS(MMS_OtherLivestock_Soil_N2ODirect.VEERG_4_7_1_3__2_AnnualNitrogenExcretedToPasture_Arguments(),1,2)</f>
        <v>N_j</v>
      </c>
      <c r="E13" s="120" t="str">
        <v>number of livestock of each livestock type j</v>
      </c>
      <c r="F13" s="121"/>
      <c r="G13" s="117" t="str" cm="1">
        <f t="array" ref="G13:H15">_xlfn.CHOOSECOLS(MMS_OtherLivestock_Soil_N2ODirect.VEERG_4_7_1_3__2_AnnualNitrogenExcretedToPasture_Arguments(),3,4)</f>
        <v>head</v>
      </c>
      <c r="H13" s="115" t="str">
        <v>Input</v>
      </c>
      <c r="I13" s="118" t="str" cm="1">
        <f t="array" aca="1" ref="I13" ca="1">HYPERLINK(Common_InputFunctions.Utility_SourceHyperlink($D$17),$D$17)</f>
        <v>Table_N_j</v>
      </c>
    </row>
    <row r="14" spans="1:21" ht="20.100000000000001" customHeight="1" x14ac:dyDescent="0.25">
      <c r="A14" s="17" t="str">
        <f>HYPERLINK("#'4.7.1.5-6 Soil Atmos Deposition'!A1", "4.7.1.5-6 Soil Atmos deposition")</f>
        <v>4.7.1.5-6 Soil Atmos deposition</v>
      </c>
      <c r="D14" s="117" t="str">
        <v>NE_j</v>
      </c>
      <c r="E14" s="120" t="str">
        <v>nitrogen excreted by each livestock type j</v>
      </c>
      <c r="F14" s="121"/>
      <c r="G14" s="117" t="str">
        <v>kg N/head/day</v>
      </c>
      <c r="H14" s="116" t="str">
        <v>Constant</v>
      </c>
      <c r="I14" s="118" t="str" cm="1">
        <f t="array" aca="1" ref="I14" ca="1">HYPERLINK(Common_InputFunctions.Utility_SourceHyperlink($D$29),$D$29)</f>
        <v>Table_NE_j</v>
      </c>
    </row>
    <row r="15" spans="1:21" ht="20.100000000000001" customHeight="1" x14ac:dyDescent="0.25">
      <c r="A15" s="17" t="str">
        <f>HYPERLINK("#'4.7.1.7-8 Soil Leaching Runoff'!A1", "4.7.1.8-9 Soil Leaching &amp; Runoff")</f>
        <v>4.7.1.8-9 Soil Leaching &amp; Runoff</v>
      </c>
      <c r="D15" s="117" t="str">
        <v>j</v>
      </c>
      <c r="E15" s="120" t="str">
        <v>livestock type</v>
      </c>
      <c r="F15" s="121"/>
      <c r="G15" s="117" t="str">
        <v/>
      </c>
      <c r="H15" s="115" t="str">
        <v>Input</v>
      </c>
      <c r="I15" s="118" t="str" cm="1">
        <f t="array" aca="1" ref="I15" ca="1">HYPERLINK(Common_InputFunctions.Utility_SourceHyperlink($D$17),$D$17)</f>
        <v>Table_N_j</v>
      </c>
    </row>
    <row r="16" spans="1:21" ht="20.100000000000001" customHeight="1" x14ac:dyDescent="0.25"/>
    <row r="17" spans="1:6" ht="20.100000000000001" customHeight="1" x14ac:dyDescent="0.25">
      <c r="A17" s="18" t="s">
        <v>2</v>
      </c>
      <c r="D17" s="98" t="s">
        <v>87</v>
      </c>
    </row>
    <row r="18" spans="1:6" ht="20.100000000000001" customHeight="1" x14ac:dyDescent="0.25">
      <c r="A18" s="17" t="str">
        <f>HYPERLINK("#'Constants - Other Livestock'!A1", "Constants - Other Livestock")</f>
        <v>Constants - Other Livestock</v>
      </c>
      <c r="D18" s="97" t="s">
        <v>198</v>
      </c>
    </row>
    <row r="19" spans="1:6" ht="20.100000000000001" customHeight="1" x14ac:dyDescent="0.25">
      <c r="A19" s="17" t="str">
        <f>HYPERLINK("#'Constants - Livestock'!A1", "Constants - Livestock")</f>
        <v>Constants - Livestock</v>
      </c>
      <c r="D19" s="41" t="s">
        <v>183</v>
      </c>
      <c r="E19" s="41" t="s">
        <v>230</v>
      </c>
    </row>
    <row r="20" spans="1:6" ht="20.100000000000001" customHeight="1" x14ac:dyDescent="0.25">
      <c r="A20" s="17" t="str">
        <f>HYPERLINK("#'Constants - Common'!A1", "Constants - Common")</f>
        <v>Constants - Common</v>
      </c>
      <c r="D20" s="53" t="s">
        <v>152</v>
      </c>
      <c r="E20" s="100">
        <f>SUM(X_Table_OtherLivestock_Buffalo_Head)</f>
        <v>4600</v>
      </c>
      <c r="F20" s="2" t="str">
        <f>G13</f>
        <v>head</v>
      </c>
    </row>
    <row r="21" spans="1:6" ht="20.100000000000001" customHeight="1" x14ac:dyDescent="0.25">
      <c r="A21" s="17" t="str">
        <f>HYPERLINK("#'Acknowledgements'!A1", "Acknowledgements")</f>
        <v>Acknowledgements</v>
      </c>
      <c r="D21" s="53" t="s">
        <v>157</v>
      </c>
      <c r="E21" s="100">
        <f>SUM(X_Table_OtherLivestock_Goats_Head)</f>
        <v>4800</v>
      </c>
    </row>
    <row r="22" spans="1:6" ht="20.100000000000001" customHeight="1" x14ac:dyDescent="0.25">
      <c r="D22" s="53" t="s">
        <v>164</v>
      </c>
      <c r="E22" s="100">
        <f>SUM(X_Table_OtherLivestock_Deer_Head)</f>
        <v>4600</v>
      </c>
    </row>
    <row r="23" spans="1:6" ht="20.100000000000001" customHeight="1" x14ac:dyDescent="0.25">
      <c r="D23" s="53" t="s">
        <v>170</v>
      </c>
      <c r="E23" s="100">
        <f>X_Cell_OtherLivestock_Others_Camels_Head</f>
        <v>4300</v>
      </c>
    </row>
    <row r="24" spans="1:6" ht="20.100000000000001" customHeight="1" x14ac:dyDescent="0.25">
      <c r="A24" s="17"/>
      <c r="D24" s="53" t="s">
        <v>171</v>
      </c>
      <c r="E24" s="100">
        <f>X_Cell_OtherLivestock_Others_Alpacas_Head</f>
        <v>100</v>
      </c>
    </row>
    <row r="25" spans="1:6" ht="20.100000000000001" customHeight="1" x14ac:dyDescent="0.25">
      <c r="D25" s="53" t="s">
        <v>172</v>
      </c>
      <c r="E25" s="100">
        <f>X_Cell_OtherLivestock_Others_Horses_Head</f>
        <v>100</v>
      </c>
    </row>
    <row r="26" spans="1:6" ht="20.100000000000001" customHeight="1" x14ac:dyDescent="0.25">
      <c r="D26" s="53" t="s">
        <v>188</v>
      </c>
      <c r="E26" s="100">
        <f>X_Cell_OtherLivestock_Others_Mules_Head</f>
        <v>100</v>
      </c>
    </row>
    <row r="27" spans="1:6" ht="20.100000000000001" customHeight="1" x14ac:dyDescent="0.25">
      <c r="D27" s="53" t="s">
        <v>189</v>
      </c>
      <c r="E27" s="100">
        <f>X_Cell_OtherLivestock_Others_Emus_Head</f>
        <v>100</v>
      </c>
    </row>
    <row r="28" spans="1:6" ht="20.100000000000001" customHeight="1" x14ac:dyDescent="0.25"/>
    <row r="29" spans="1:6" ht="20.100000000000001" customHeight="1" x14ac:dyDescent="0.25">
      <c r="D29" s="98" t="s">
        <v>201</v>
      </c>
    </row>
    <row r="30" spans="1:6" ht="20.100000000000001" customHeight="1" x14ac:dyDescent="0.25">
      <c r="D30" s="97" t="s">
        <v>204</v>
      </c>
    </row>
    <row r="31" spans="1:6" ht="20.100000000000001" customHeight="1" x14ac:dyDescent="0.25">
      <c r="D31" s="52" t="s">
        <v>183</v>
      </c>
      <c r="E31" s="52" t="s">
        <v>229</v>
      </c>
    </row>
    <row r="32" spans="1:6" ht="20.100000000000001" customHeight="1" x14ac:dyDescent="0.25">
      <c r="D32" s="53" t="str">
        <f>'Constants - Other Livestock'!D103</f>
        <v>Buffalo</v>
      </c>
      <c r="E32" s="53"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3" t="str">
        <f>'Constants - Other Livestock'!D104</f>
        <v>Goats</v>
      </c>
      <c r="E33" s="53"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3" t="str">
        <f>'Constants - Other Livestock'!D105</f>
        <v>Deer</v>
      </c>
      <c r="E34" s="53"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3" t="str">
        <f>'Constants - Other Livestock'!D106</f>
        <v>Camels</v>
      </c>
      <c r="E35" s="53"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3" t="str">
        <f>'Constants - Other Livestock'!D107</f>
        <v>Alpacas</v>
      </c>
      <c r="E36" s="53"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3" t="str">
        <f>'Constants - Other Livestock'!D108</f>
        <v>Horses</v>
      </c>
      <c r="E37" s="53"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3" t="str">
        <f>'Constants - Other Livestock'!D109</f>
        <v>Mules/asses</v>
      </c>
      <c r="E38" s="53"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3" t="str">
        <f>'Constants - Other Livestock'!D110</f>
        <v>Emus/ostriches</v>
      </c>
      <c r="E39" s="53"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8" t="s">
        <v>203</v>
      </c>
    </row>
    <row r="42" spans="4:6" ht="20.100000000000001" customHeight="1" x14ac:dyDescent="0.25">
      <c r="D42" s="97" t="s">
        <v>202</v>
      </c>
    </row>
    <row r="43" spans="4:6" ht="20.100000000000001" customHeight="1" x14ac:dyDescent="0.25">
      <c r="D43" s="52" t="s">
        <v>183</v>
      </c>
      <c r="E43" s="52" t="s">
        <v>226</v>
      </c>
    </row>
    <row r="44" spans="4:6" ht="20.100000000000001" customHeight="1" x14ac:dyDescent="0.25">
      <c r="D44" s="53" t="s">
        <v>152</v>
      </c>
      <c r="E44" s="53" cm="1">
        <f t="array" ref="E44">MMS_OtherLivestock_Soil_N2ODirect.VEERG_4_7_1_3__2_AnnualNitrogenExcretedToPasture(E20,E32)</f>
        <v>66320500</v>
      </c>
      <c r="F44" s="2" t="str">
        <f>$E$11</f>
        <v>kg N/year</v>
      </c>
    </row>
    <row r="45" spans="4:6" ht="20.100000000000001" customHeight="1" x14ac:dyDescent="0.25">
      <c r="D45" s="53" t="s">
        <v>157</v>
      </c>
      <c r="E45" s="53" cm="1">
        <f t="array" ref="E45">MMS_OtherLivestock_Soil_N2ODirect.VEERG_4_7_1_3__2_AnnualNitrogenExcretedToPasture(E21,E33)</f>
        <v>12264000</v>
      </c>
    </row>
    <row r="46" spans="4:6" ht="20.100000000000001" customHeight="1" x14ac:dyDescent="0.25">
      <c r="D46" s="53" t="s">
        <v>164</v>
      </c>
      <c r="E46" s="53" cm="1">
        <f t="array" ref="E46">MMS_OtherLivestock_Soil_N2ODirect.VEERG_4_7_1_3__2_AnnualNitrogenExcretedToPasture(E22,E34)</f>
        <v>22162800</v>
      </c>
    </row>
    <row r="47" spans="4:6" ht="20.100000000000001" customHeight="1" x14ac:dyDescent="0.25">
      <c r="D47" s="53" t="s">
        <v>170</v>
      </c>
      <c r="E47" s="53" cm="1">
        <f t="array" ref="E47">MMS_OtherLivestock_Soil_N2ODirect.VEERG_4_7_1_3__2_AnnualNitrogenExcretedToPasture(E23,E35)</f>
        <v>61995250</v>
      </c>
    </row>
    <row r="48" spans="4:6" ht="20.100000000000001" customHeight="1" x14ac:dyDescent="0.25">
      <c r="D48" s="53" t="s">
        <v>171</v>
      </c>
      <c r="E48" s="53" cm="1">
        <f t="array" ref="E48">MMS_OtherLivestock_Soil_N2ODirect.VEERG_4_7_1_3__2_AnnualNitrogenExcretedToPasture(E24,E36)</f>
        <v>255500</v>
      </c>
    </row>
    <row r="49" spans="3:11" ht="20.100000000000001" customHeight="1" x14ac:dyDescent="0.25">
      <c r="D49" s="53" t="s">
        <v>172</v>
      </c>
      <c r="E49" s="53" cm="1">
        <f t="array" ref="E49">MMS_OtherLivestock_Soil_N2ODirect.VEERG_4_7_1_3__2_AnnualNitrogenExcretedToPasture(E25,E37)</f>
        <v>1441750</v>
      </c>
    </row>
    <row r="50" spans="3:11" ht="20.100000000000001" customHeight="1" x14ac:dyDescent="0.25">
      <c r="D50" s="53" t="s">
        <v>188</v>
      </c>
      <c r="E50" s="53" cm="1">
        <f t="array" ref="E50">MMS_OtherLivestock_Soil_N2ODirect.VEERG_4_7_1_3__2_AnnualNitrogenExcretedToPasture(E26,E38)</f>
        <v>481800</v>
      </c>
    </row>
    <row r="51" spans="3:11" ht="20.100000000000001" customHeight="1" x14ac:dyDescent="0.25">
      <c r="D51" s="53" t="s">
        <v>189</v>
      </c>
      <c r="E51" s="53" cm="1">
        <f t="array" ref="E51">MMS_OtherLivestock_Soil_N2ODirect.VEERG_4_7_1_3__2_AnnualNitrogenExcretedToPasture(E27,E39)</f>
        <v>255500</v>
      </c>
    </row>
    <row r="52" spans="3:11" ht="20.100000000000001" customHeight="1" x14ac:dyDescent="0.25"/>
    <row r="53" spans="3:11" ht="20.100000000000001" customHeight="1" x14ac:dyDescent="0.25">
      <c r="D53" s="110" t="s">
        <v>205</v>
      </c>
      <c r="E53" s="48">
        <f>SUM(E44:E51)</f>
        <v>165177100</v>
      </c>
      <c r="F53" s="109" t="str">
        <f>$E$11</f>
        <v>kg N/year</v>
      </c>
    </row>
    <row r="54" spans="3:11" ht="20.100000000000001" customHeight="1" x14ac:dyDescent="0.25"/>
    <row r="55" spans="3:11" ht="20.100000000000001" customHeight="1" x14ac:dyDescent="0.25"/>
    <row r="56" spans="3:11" ht="20.100000000000001" customHeight="1" x14ac:dyDescent="0.25">
      <c r="C56" s="48"/>
      <c r="D56" s="48"/>
      <c r="E56" s="48"/>
      <c r="F56" s="48"/>
      <c r="G56" s="48"/>
      <c r="H56" s="48"/>
      <c r="I56" s="48"/>
      <c r="J56" s="48"/>
      <c r="K56" s="48"/>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23</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4" t="s">
        <v>26</v>
      </c>
      <c r="E62" s="1" t="str" cm="1">
        <f t="array" ref="E62">MMS_OtherLivestock_Soil_N2ODirect.VEERG_4_7_1_3__1_DirectNitrousOxideEmissionsFromSoil_Variable()</f>
        <v>E_N2Odir</v>
      </c>
    </row>
    <row r="63" spans="3:11" ht="20.100000000000001" customHeight="1" x14ac:dyDescent="0.25">
      <c r="D63" s="54" t="s">
        <v>16</v>
      </c>
      <c r="E63" s="55" t="str" cm="1">
        <f t="array" ref="E63">MMS_OtherLivestock_Soil_N2ODirect.VEERG_4_7_1_3__1_DirectNitrousOxideEmissionsFromSoil_Unit()</f>
        <v>t N2O</v>
      </c>
    </row>
    <row r="64" spans="3:11" ht="20.100000000000001" customHeight="1" x14ac:dyDescent="0.25"/>
    <row r="65" spans="4:9" ht="20.100000000000001" customHeight="1" x14ac:dyDescent="0.25">
      <c r="D65" s="117" t="str" cm="1">
        <f t="array" ref="D65:E68">_xlfn.CHOOSECOLS(MMS_OtherLivestock_Soil_N2ODirect.VEERG_4_7_1_3__1_DirectNitrousOxideEmissionsFromSoil_Arguments(),1,2)</f>
        <v>AE</v>
      </c>
      <c r="E65" s="120" t="str">
        <v>annual nitrogen excreted by each livestock type</v>
      </c>
      <c r="F65" s="119"/>
      <c r="G65" s="117" t="str" cm="1">
        <f t="array" ref="G65:H68">_xlfn.CHOOSECOLS(MMS_OtherLivestock_Soil_N2ODirect.VEERG_4_7_1_3__1_DirectNitrousOxideEmissionsFromSoil_Arguments(),3,4)</f>
        <v>kg N/year</v>
      </c>
      <c r="H65" s="116" t="str">
        <v>Calculated from 4.7.1.3, (2)</v>
      </c>
      <c r="I65" s="117">
        <f>$E$53</f>
        <v>165177100</v>
      </c>
    </row>
    <row r="66" spans="4:9" ht="20.100000000000001" customHeight="1" x14ac:dyDescent="0.25">
      <c r="D66" s="117" t="str">
        <v>EF_PRP</v>
      </c>
      <c r="E66" s="120" t="str">
        <v>emission factor for nitrous oxide from urine and dung deposited to soil</v>
      </c>
      <c r="F66" s="119"/>
      <c r="G66" s="117" t="str">
        <v>kg N2O-N/kg N deposited</v>
      </c>
      <c r="H66" s="116" t="str">
        <v>Constant</v>
      </c>
      <c r="I66" s="117">
        <f>_xlfn.XLOOKUP(I68,Table_SourceData_EFPastureRangeAndPaddock[Climate zone],Table_SourceData_EFPastureRangeAndPaddock[EFPRP])</f>
        <v>2E-3</v>
      </c>
    </row>
    <row r="67" spans="4:9" ht="20.100000000000001" customHeight="1" x14ac:dyDescent="0.25">
      <c r="D67" s="117" t="str">
        <v>C_N2O</v>
      </c>
      <c r="E67" s="120" t="str">
        <v>factor to convert elemental mass of nitrous oxide to molecular mass</v>
      </c>
      <c r="F67" s="119"/>
      <c r="G67" s="117" t="str">
        <v/>
      </c>
      <c r="H67" s="116" t="str">
        <v>Constant</v>
      </c>
      <c r="I67" s="117">
        <f>Common_InputFunctions.Utility_LookupValueInTableNumber("N2O",Table_GasToMolecularConversionFactor[Gas],Table_GasToMolecularConversionFactor[Conversion factor combined])</f>
        <v>1.5714285714285714</v>
      </c>
    </row>
    <row r="68" spans="4:9" ht="20.100000000000001" customHeight="1" x14ac:dyDescent="0.25">
      <c r="D68" s="117" t="str">
        <v>z</v>
      </c>
      <c r="E68" s="120" t="str">
        <v>wet or dry climate zone</v>
      </c>
      <c r="F68" s="119"/>
      <c r="G68" s="117" t="str">
        <v/>
      </c>
      <c r="H68" s="115" t="str">
        <v>Input</v>
      </c>
      <c r="I68" s="117" t="str">
        <f>X_Cell_Site_WetOrDryClimateZone</f>
        <v>Dry climate zone</v>
      </c>
    </row>
    <row r="69" spans="4:9" ht="20.100000000000001" customHeight="1" x14ac:dyDescent="0.25"/>
    <row r="70" spans="4:9" ht="20.100000000000001" customHeight="1" x14ac:dyDescent="0.25">
      <c r="D70" s="101" t="s">
        <v>91</v>
      </c>
      <c r="E70" s="102" cm="1">
        <f t="array" ref="E70">MMS_OtherLivestock_Soil_N2ODirect.VEERG_4_7_1_3__1_DirectNitrousOxideEmissionsFromSoil(I65,I66,I67)</f>
        <v>519.12802857142856</v>
      </c>
      <c r="F70" s="103" t="str">
        <f>$E$63</f>
        <v>t N2O</v>
      </c>
    </row>
    <row r="71" spans="4:9" ht="20.100000000000001" customHeight="1" x14ac:dyDescent="0.25"/>
    <row r="72" spans="4:9" ht="20.100000000000001" customHeight="1" x14ac:dyDescent="0.25">
      <c r="D72" s="58" t="str" cm="1">
        <f t="array" ref="D72:E73">Common_Equations.Common_ConvertN2OToCO2e_Arguments()</f>
        <v>EN2O</v>
      </c>
      <c r="E72" s="59" t="str">
        <v>Nitrous oxide emissions (t N2O)</v>
      </c>
      <c r="F72" s="104"/>
      <c r="G72" s="53">
        <f>E70</f>
        <v>519.12802857142856</v>
      </c>
    </row>
    <row r="73" spans="4:9" ht="20.100000000000001" customHeight="1" x14ac:dyDescent="0.25">
      <c r="D73" s="58" t="str">
        <v>GWPN2O</v>
      </c>
      <c r="E73" s="59" t="str">
        <v>Global warming potential for nitrous oxide (t CO2-e / t N2O)</v>
      </c>
      <c r="F73" s="104"/>
      <c r="G73" s="53">
        <f>Common_InputFunctions.Utility_LookupValueInTableNumber("N2O",Table_GWPData[Gas],Table_GWPData[CO2-e factor])</f>
        <v>265</v>
      </c>
    </row>
    <row r="74" spans="4:9" ht="20.100000000000001" customHeight="1" x14ac:dyDescent="0.25"/>
    <row r="75" spans="4:9" ht="20.100000000000001" customHeight="1" x14ac:dyDescent="0.25">
      <c r="D75" s="48" t="s">
        <v>88</v>
      </c>
      <c r="E75" s="48" cm="1">
        <f t="array" ref="E75">Common_Equations.Common_ConvertN2OToCO2e(G72,G73)</f>
        <v>137568.92757142856</v>
      </c>
      <c r="F75" s="105"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85" zoomScaleNormal="85" workbookViewId="0">
      <selection activeCell="G84" sqref="G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238</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A6" s="16"/>
      <c r="D6" s="5" t="str" cm="1">
        <f t="array" ref="D6">MMS_OtherLivestock_Soil_AtmosphericDeposition.VEERG_4_7_1_5__2_MassOfNitrogenVolatilisedFromPasture_Source()</f>
        <v>VEERG 2026: 4.7.1.5, Equation (2)</v>
      </c>
    </row>
    <row r="7" spans="1:21" ht="20.100000000000001" customHeight="1" x14ac:dyDescent="0.25">
      <c r="A7" s="20" t="s">
        <v>1</v>
      </c>
      <c r="D7" s="13" t="s">
        <v>23</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MMS_OtherLivestock_Soil_AtmosphericDeposition.VEERG_4_7_1_5__2_MassOfNitrogenVolatilisedFromPasture_Variable()</f>
        <v>M_vol</v>
      </c>
    </row>
    <row r="11" spans="1:21" ht="20.100000000000001" customHeight="1" x14ac:dyDescent="0.25">
      <c r="A11" s="19" t="s">
        <v>71</v>
      </c>
      <c r="D11" s="54" t="s">
        <v>16</v>
      </c>
      <c r="E11" s="55" t="str" cm="1">
        <f t="array" ref="E11">MMS_OtherLivestock_Soil_AtmosphericDeposition.VEERG_4_7_1_5__2_MassOfNitrogenVolatilisedFromPasture_Unit()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4">_xlfn.CHOOSECOLS(MMS_OtherLivestock_Soil_AtmosphericDeposition.VEERG_4_7_1_5__2_MassOfNitrogenVolatilisedFromPasture_Arguments(),1,2)</f>
        <v>AE</v>
      </c>
      <c r="E13" s="117" t="str">
        <v>annual nitrogen excreted by each livestock type</v>
      </c>
      <c r="F13" s="117"/>
      <c r="G13" s="117" t="str" cm="1">
        <f t="array" ref="G13:H14">_xlfn.CHOOSECOLS(MMS_OtherLivestock_Soil_AtmosphericDeposition.VEERG_4_7_1_5__2_MassOfNitrogenVolatilisedFromPasture_Arguments(),3,4)</f>
        <v>kg N/year</v>
      </c>
      <c r="H13" s="116" t="str">
        <v>Calculated by 4.7.1.3, (2)</v>
      </c>
      <c r="I13" s="117" t="str" cm="1">
        <f t="array" aca="1" ref="I13" ca="1">HYPERLINK(Common_InputFunctions.Utility_SourceHyperlink($D$16),$D$16)</f>
        <v>Table_AEj</v>
      </c>
    </row>
    <row r="14" spans="1:21" ht="20.100000000000001" customHeight="1" x14ac:dyDescent="0.25">
      <c r="A14" s="22" t="str">
        <f>HYPERLINK("#'4.7.1.5-6 Soil Atmos Deposition'!A1", "4.7.1.5-6 Soil Atmos deposition")</f>
        <v>4.7.1.5-6 Soil Atmos deposition</v>
      </c>
      <c r="D14" s="117" t="str">
        <v>FracGASMsoil</v>
      </c>
      <c r="E14" s="117" t="str">
        <v>fraction of nitrogen volatilised from urine and faeces deposited on pasture</v>
      </c>
      <c r="F14" s="117"/>
      <c r="G14" s="117" t="str">
        <v>(kg NH3-N + NOx-N)/kg N</v>
      </c>
      <c r="H14" s="116" t="str">
        <v>Constant</v>
      </c>
      <c r="I14" s="117">
        <f>SourceData_OtherLivestock_FracGASMSoil_Data</f>
        <v>0.21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98" t="s">
        <v>203</v>
      </c>
    </row>
    <row r="17" spans="1:6" ht="20.100000000000001" customHeight="1" x14ac:dyDescent="0.25">
      <c r="A17" s="18" t="s">
        <v>2</v>
      </c>
      <c r="D17" s="97" t="s">
        <v>202</v>
      </c>
    </row>
    <row r="18" spans="1:6" ht="20.100000000000001" customHeight="1" x14ac:dyDescent="0.25">
      <c r="A18" s="17" t="str">
        <f>HYPERLINK("#'Constants - Other Livestock'!A1", "Constants - Other Livestock")</f>
        <v>Constants - Other Livestock</v>
      </c>
      <c r="D18" s="52" t="s">
        <v>183</v>
      </c>
      <c r="E18" s="52" t="s">
        <v>226</v>
      </c>
    </row>
    <row r="19" spans="1:6" ht="20.100000000000001" customHeight="1" x14ac:dyDescent="0.25">
      <c r="A19" s="17" t="str">
        <f>HYPERLINK("#'Constants - Livestock'!A1", "Constants - Livestock")</f>
        <v>Constants - Livestock</v>
      </c>
      <c r="D19" s="53" t="s">
        <v>152</v>
      </c>
      <c r="E19" s="53">
        <f>INDEX(Table_AEj,2,2)</f>
        <v>66320500</v>
      </c>
      <c r="F19" s="2" t="str">
        <f>'4.7.1.3-4 Soil Direct N2O'!$F$44</f>
        <v>kg N/year</v>
      </c>
    </row>
    <row r="20" spans="1:6" ht="20.100000000000001" customHeight="1" x14ac:dyDescent="0.25">
      <c r="A20" s="17" t="str">
        <f>HYPERLINK("#'Constants - Common'!A1", "Constants - Common")</f>
        <v>Constants - Common</v>
      </c>
      <c r="D20" s="53" t="s">
        <v>157</v>
      </c>
      <c r="E20" s="53">
        <f>INDEX(Table_AEj,3,2)</f>
        <v>12264000</v>
      </c>
    </row>
    <row r="21" spans="1:6" ht="20.100000000000001" customHeight="1" x14ac:dyDescent="0.25">
      <c r="A21" s="17" t="str">
        <f>HYPERLINK("#'Acknowledgements'!A1", "Acknowledgements")</f>
        <v>Acknowledgements</v>
      </c>
      <c r="D21" s="53" t="s">
        <v>164</v>
      </c>
      <c r="E21" s="53">
        <f>INDEX(Table_AEj,4,2)</f>
        <v>22162800</v>
      </c>
    </row>
    <row r="22" spans="1:6" ht="20.100000000000001" customHeight="1" x14ac:dyDescent="0.25">
      <c r="D22" s="53" t="s">
        <v>170</v>
      </c>
      <c r="E22" s="53">
        <f>INDEX(Table_AEj,5,2)</f>
        <v>61995250</v>
      </c>
    </row>
    <row r="23" spans="1:6" ht="20.100000000000001" customHeight="1" x14ac:dyDescent="0.25">
      <c r="D23" s="53" t="s">
        <v>171</v>
      </c>
      <c r="E23" s="53">
        <f>INDEX(Table_AEj,6,2)</f>
        <v>255500</v>
      </c>
    </row>
    <row r="24" spans="1:6" ht="20.100000000000001" customHeight="1" x14ac:dyDescent="0.25">
      <c r="A24" s="17"/>
      <c r="D24" s="53" t="s">
        <v>172</v>
      </c>
      <c r="E24" s="53">
        <f>INDEX(Table_AEj,7,2)</f>
        <v>1441750</v>
      </c>
    </row>
    <row r="25" spans="1:6" ht="20.100000000000001" customHeight="1" x14ac:dyDescent="0.25">
      <c r="D25" s="53" t="s">
        <v>188</v>
      </c>
      <c r="E25" s="53">
        <f>INDEX(Table_AEj,8,2)</f>
        <v>481800</v>
      </c>
    </row>
    <row r="26" spans="1:6" ht="20.100000000000001" customHeight="1" x14ac:dyDescent="0.25">
      <c r="D26" s="53" t="s">
        <v>189</v>
      </c>
      <c r="E26" s="53">
        <f>INDEX(Table_AEj,9,2)</f>
        <v>255500</v>
      </c>
    </row>
    <row r="27" spans="1:6" ht="20.100000000000001" customHeight="1" x14ac:dyDescent="0.25"/>
    <row r="28" spans="1:6" ht="20.100000000000001" customHeight="1" x14ac:dyDescent="0.25">
      <c r="D28" s="98" t="s">
        <v>215</v>
      </c>
    </row>
    <row r="29" spans="1:6" ht="20.100000000000001" customHeight="1" x14ac:dyDescent="0.25">
      <c r="D29" s="97" t="s">
        <v>202</v>
      </c>
    </row>
    <row r="30" spans="1:6" ht="20.100000000000001" customHeight="1" x14ac:dyDescent="0.25">
      <c r="D30" s="52" t="s">
        <v>183</v>
      </c>
      <c r="E30" s="52" t="s">
        <v>228</v>
      </c>
    </row>
    <row r="31" spans="1:6" ht="20.100000000000001" customHeight="1" x14ac:dyDescent="0.25">
      <c r="D31" s="53" t="s">
        <v>152</v>
      </c>
      <c r="E31" s="53" cm="1">
        <f t="array" ref="E31">MMS_OtherLivestock_Soil_AtmosphericDeposition.VEERG_4_7_1_5__2_MassOfNitrogenVolatilisedFromPasture(E19,$I$14)</f>
        <v>13927305</v>
      </c>
      <c r="F31" s="2" t="str">
        <f>'4.7.1.3-4 Soil Direct N2O'!$F$44</f>
        <v>kg N/year</v>
      </c>
    </row>
    <row r="32" spans="1:6" ht="20.100000000000001" customHeight="1" x14ac:dyDescent="0.25">
      <c r="D32" s="53" t="s">
        <v>157</v>
      </c>
      <c r="E32" s="53" cm="1">
        <f t="array" ref="E32">MMS_OtherLivestock_Soil_AtmosphericDeposition.VEERG_4_7_1_5__2_MassOfNitrogenVolatilisedFromPasture(E20,$I$14)</f>
        <v>2575440</v>
      </c>
    </row>
    <row r="33" spans="3:11" ht="20.100000000000001" customHeight="1" x14ac:dyDescent="0.25">
      <c r="D33" s="53" t="s">
        <v>164</v>
      </c>
      <c r="E33" s="53" cm="1">
        <f t="array" ref="E33">MMS_OtherLivestock_Soil_AtmosphericDeposition.VEERG_4_7_1_5__2_MassOfNitrogenVolatilisedFromPasture(E21,$I$14)</f>
        <v>4654188</v>
      </c>
    </row>
    <row r="34" spans="3:11" ht="20.100000000000001" customHeight="1" x14ac:dyDescent="0.25">
      <c r="D34" s="53" t="s">
        <v>170</v>
      </c>
      <c r="E34" s="53" cm="1">
        <f t="array" ref="E34">MMS_OtherLivestock_Soil_AtmosphericDeposition.VEERG_4_7_1_5__2_MassOfNitrogenVolatilisedFromPasture(E22,$I$14)</f>
        <v>13019002.5</v>
      </c>
    </row>
    <row r="35" spans="3:11" ht="20.100000000000001" customHeight="1" x14ac:dyDescent="0.25">
      <c r="D35" s="53" t="s">
        <v>171</v>
      </c>
      <c r="E35" s="53" cm="1">
        <f t="array" ref="E35">MMS_OtherLivestock_Soil_AtmosphericDeposition.VEERG_4_7_1_5__2_MassOfNitrogenVolatilisedFromPasture(E23,$I$14)</f>
        <v>53655</v>
      </c>
    </row>
    <row r="36" spans="3:11" ht="20.100000000000001" customHeight="1" x14ac:dyDescent="0.25">
      <c r="D36" s="53" t="s">
        <v>172</v>
      </c>
      <c r="E36" s="53" cm="1">
        <f t="array" ref="E36">MMS_OtherLivestock_Soil_AtmosphericDeposition.VEERG_4_7_1_5__2_MassOfNitrogenVolatilisedFromPasture(E24,$I$14)</f>
        <v>302767.5</v>
      </c>
    </row>
    <row r="37" spans="3:11" ht="20.100000000000001" customHeight="1" x14ac:dyDescent="0.25">
      <c r="D37" s="53" t="s">
        <v>188</v>
      </c>
      <c r="E37" s="53" cm="1">
        <f t="array" ref="E37">MMS_OtherLivestock_Soil_AtmosphericDeposition.VEERG_4_7_1_5__2_MassOfNitrogenVolatilisedFromPasture(E25,$I$14)</f>
        <v>101178</v>
      </c>
    </row>
    <row r="38" spans="3:11" ht="20.100000000000001" customHeight="1" x14ac:dyDescent="0.25">
      <c r="D38" s="53" t="s">
        <v>189</v>
      </c>
      <c r="E38" s="53"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8"/>
      <c r="D41" s="48"/>
      <c r="E41" s="48"/>
      <c r="F41" s="48"/>
      <c r="G41" s="48"/>
      <c r="H41" s="48"/>
      <c r="I41" s="48"/>
      <c r="J41" s="48"/>
      <c r="K41" s="48"/>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23</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4" t="s">
        <v>26</v>
      </c>
      <c r="E47" s="1" t="str" cm="1">
        <f t="array" ref="E47">MMS_OtherLivestock_Soil_AtmosphericDeposition.VEERG_4_7_1_5__1_AtmosphericDepositionEmissionsFromPasture_Variable()</f>
        <v>E_N2Oad</v>
      </c>
    </row>
    <row r="48" spans="3:11" ht="20.100000000000001" customHeight="1" x14ac:dyDescent="0.25">
      <c r="D48" s="54" t="s">
        <v>16</v>
      </c>
      <c r="E48" s="55"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7" t="str" cm="1">
        <f t="array" ref="D50:E55">_xlfn.CHOOSECOLS(MMS_OtherLivestock_Soil_AtmosphericDeposition.VEERG_4_7_1_5__1_AtmosphericDepositionEmissionsFromPasture_Arguments(),1,2)</f>
        <v>M_vol</v>
      </c>
      <c r="E50" s="120" t="str">
        <v>mass of nitrogen volatilised from urine and faeces deposited on pasture</v>
      </c>
      <c r="F50" s="119"/>
      <c r="G50" s="117" t="str" cm="1">
        <f t="array" ref="G50:H55">_xlfn.CHOOSECOLS(MMS_OtherLivestock_Soil_AtmosphericDeposition.VEERG_4_7_1_5__1_AtmosphericDepositionEmissionsFromPasture_Arguments(),3,4)</f>
        <v>kg N</v>
      </c>
      <c r="H50" s="116" t="str">
        <v>Calculated from 4.7.1.5, (2)</v>
      </c>
      <c r="I50" s="118" t="str" cm="1">
        <f t="array" aca="1" ref="I50" ca="1">HYPERLINK(Common_InputFunctions.Utility_SourceHyperlink($D$28),$D$28)</f>
        <v>Table_M_vol</v>
      </c>
    </row>
    <row r="51" spans="4:9" ht="20.100000000000001" customHeight="1" x14ac:dyDescent="0.25">
      <c r="D51" s="117" t="str">
        <v>EF_N2O</v>
      </c>
      <c r="E51" s="120" t="str">
        <v>emission factor for atmospheric deposition</v>
      </c>
      <c r="F51" s="119"/>
      <c r="G51" s="117" t="str">
        <v>kg N2O-N/kg N</v>
      </c>
      <c r="H51" s="116" t="str">
        <v>Constant</v>
      </c>
      <c r="I51" s="118" t="str" cm="1">
        <f t="array" aca="1" ref="I51" ca="1">HYPERLINK(Common_InputFunctions.Utility_SourceHyperlink($D$57),$D$57)</f>
        <v>Table_EF_N2O</v>
      </c>
    </row>
    <row r="52" spans="4:9" ht="20.100000000000001" customHeight="1" x14ac:dyDescent="0.25">
      <c r="D52" s="117" t="str">
        <v>C_N2O</v>
      </c>
      <c r="E52" s="120" t="str">
        <v>factor to convert elemental mass of nitrous oxide to molecular mass</v>
      </c>
      <c r="F52" s="119"/>
      <c r="G52" s="117" t="str">
        <v/>
      </c>
      <c r="H52" s="116" t="str">
        <v>Constant</v>
      </c>
      <c r="I52" s="117">
        <f>Common_InputFunctions.Utility_LookupValueInTableNumber("N2O",Table_GasToMolecularConversionFactor[Gas],Table_GasToMolecularConversionFactor[Conversion factor combined])</f>
        <v>1.5714285714285714</v>
      </c>
    </row>
    <row r="53" spans="4:9" ht="20.100000000000001" customHeight="1" x14ac:dyDescent="0.25">
      <c r="D53" s="117" t="str">
        <v>j</v>
      </c>
      <c r="E53" s="120" t="str">
        <v>production system</v>
      </c>
      <c r="F53" s="119"/>
      <c r="G53" s="117" t="str">
        <v/>
      </c>
      <c r="H53" s="115" t="str">
        <v>Input</v>
      </c>
      <c r="I53" s="118" t="str" cm="1">
        <f t="array" aca="1" ref="I53" ca="1">HYPERLINK(Common_InputFunctions.Utility_SourceHyperlink($D$57),$D$57)</f>
        <v>Table_EF_N2O</v>
      </c>
    </row>
    <row r="54" spans="4:9" ht="20.100000000000001" customHeight="1" x14ac:dyDescent="0.25">
      <c r="D54" s="117" t="str">
        <v>i</v>
      </c>
      <c r="E54" s="120" t="str">
        <v>irrigation method</v>
      </c>
      <c r="F54" s="119"/>
      <c r="G54" s="117" t="str">
        <v/>
      </c>
      <c r="H54" s="115" t="str">
        <v>Input</v>
      </c>
      <c r="I54" s="118" t="str" cm="1">
        <f t="array" aca="1" ref="I54" ca="1">HYPERLINK(Common_InputFunctions.Utility_SourceHyperlink($D$57),$D$57)</f>
        <v>Table_EF_N2O</v>
      </c>
    </row>
    <row r="55" spans="4:9" ht="20.100000000000001" customHeight="1" x14ac:dyDescent="0.25">
      <c r="D55" s="117" t="str">
        <v>r</v>
      </c>
      <c r="E55" s="120" t="str">
        <v>rainfall zone</v>
      </c>
      <c r="F55" s="119"/>
      <c r="G55" s="117" t="str">
        <v/>
      </c>
      <c r="H55" s="115" t="str">
        <v>Input</v>
      </c>
      <c r="I55" s="118" t="str" cm="1">
        <f t="array" aca="1" ref="I55" ca="1">HYPERLINK(Common_InputFunctions.Utility_SourceHyperlink($D$57),$D$57)</f>
        <v>Table_EF_N2O</v>
      </c>
    </row>
    <row r="56" spans="4:9" ht="20.100000000000001" customHeight="1" x14ac:dyDescent="0.25"/>
    <row r="57" spans="4:9" ht="20.100000000000001" customHeight="1" x14ac:dyDescent="0.25">
      <c r="D57" s="98" t="s">
        <v>212</v>
      </c>
    </row>
    <row r="58" spans="4:9" ht="20.100000000000001" customHeight="1" x14ac:dyDescent="0.25">
      <c r="D58" s="97" t="s">
        <v>213</v>
      </c>
    </row>
    <row r="59" spans="4:9" ht="20.100000000000001" customHeight="1" x14ac:dyDescent="0.25">
      <c r="D59" s="52" t="s">
        <v>183</v>
      </c>
      <c r="E59" s="41" t="s">
        <v>102</v>
      </c>
      <c r="F59" s="41" t="s">
        <v>100</v>
      </c>
      <c r="G59" s="41" t="s">
        <v>32</v>
      </c>
      <c r="H59" s="52" t="s">
        <v>227</v>
      </c>
    </row>
    <row r="60" spans="4:9" ht="20.100000000000001" customHeight="1" x14ac:dyDescent="0.25">
      <c r="D60" s="53" t="s">
        <v>152</v>
      </c>
      <c r="E60" s="53" t="str">
        <f>X_Cell_OtherLivestock_Buffalo_GrazingProductionSystem</f>
        <v>Pasture</v>
      </c>
      <c r="F60" s="53" t="str">
        <f>X_Cell_OtherLivestock_Buffalo_GrazingIrrigationMethod</f>
        <v>Not irrigated</v>
      </c>
      <c r="G60" s="53" t="str">
        <f t="shared" ref="G60:G67" si="0">X_Cell_Site_RainfallZone</f>
        <v>High rainfall</v>
      </c>
      <c r="H60" s="53">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3" t="s">
        <v>157</v>
      </c>
      <c r="E61" s="53" t="str">
        <f>X_Cell_OtherLivestock_Goats_GrazingProductionSystem</f>
        <v>Pasture</v>
      </c>
      <c r="F61" s="53" t="str">
        <f>X_Cell_OtherLivestock_Goats_GrazingIrrigationMethod</f>
        <v>Not irrigated</v>
      </c>
      <c r="G61" s="53" t="str">
        <f t="shared" si="0"/>
        <v>High rainfall</v>
      </c>
      <c r="H61" s="53">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3" t="s">
        <v>164</v>
      </c>
      <c r="E62" s="53" t="str">
        <f>X_Cell_OtherLivestock_Deer_GrazingProductionSystem</f>
        <v>Pasture</v>
      </c>
      <c r="F62" s="53" t="str">
        <f>X_Cell_OtherLivestock_Deer_GrazingIrrigationMethod</f>
        <v>Not irrigated</v>
      </c>
      <c r="G62" s="53" t="str">
        <f t="shared" si="0"/>
        <v>High rainfall</v>
      </c>
      <c r="H62" s="53">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3" t="s">
        <v>170</v>
      </c>
      <c r="E63" s="53" t="str">
        <f>X_Cell_OtherLivestock_Others_Camels_GrazingProductionSystem</f>
        <v>Pasture</v>
      </c>
      <c r="F63" s="53" t="str">
        <f>X_Cell_OtherLivestock_Others_Camels_GrazingIrrigationMethod</f>
        <v>Drip irrigation</v>
      </c>
      <c r="G63" s="53" t="str">
        <f t="shared" si="0"/>
        <v>High rainfall</v>
      </c>
      <c r="H63" s="53">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3" t="s">
        <v>171</v>
      </c>
      <c r="E64" s="53" t="str">
        <f>X_Cell_OtherLivestock_Others_Alpacas_GrazingProductionSystem</f>
        <v>Pasture</v>
      </c>
      <c r="F64" s="53" t="str">
        <f>X_Cell_OtherLivestock_Others_Alpacas_GrazingIrrigationMethod</f>
        <v>Sprinkler irrigation</v>
      </c>
      <c r="G64" s="53" t="str">
        <f t="shared" si="0"/>
        <v>High rainfall</v>
      </c>
      <c r="H64" s="53">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3" t="s">
        <v>172</v>
      </c>
      <c r="E65" s="53" t="str">
        <f>X_Cell_OtherLivestock_Others_Horses_GrazingProductionSystem</f>
        <v>Crop</v>
      </c>
      <c r="F65" s="53" t="str">
        <f>X_Cell_OtherLivestock_Others_Horses_GrazingIrrigationMethod</f>
        <v>Not irrigated</v>
      </c>
      <c r="G65" s="53" t="str">
        <f t="shared" si="0"/>
        <v>High rainfall</v>
      </c>
      <c r="H65" s="53">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3" t="s">
        <v>188</v>
      </c>
      <c r="E66" s="53" t="str">
        <f>X_Cell_OtherLivestock_Others_Mules_GrazingProductionSystem</f>
        <v>Crop</v>
      </c>
      <c r="F66" s="53" t="str">
        <f>X_Cell_OtherLivestock_Others_Mules_GrazingIrrigationMethod</f>
        <v>Surface irrigation</v>
      </c>
      <c r="G66" s="53" t="str">
        <f t="shared" si="0"/>
        <v>High rainfall</v>
      </c>
      <c r="H66" s="53">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3" t="s">
        <v>189</v>
      </c>
      <c r="E67" s="53" t="str">
        <f>X_Cell_OtherLivestock_Others_Emus_GrazingProductionSystem</f>
        <v>Pasture</v>
      </c>
      <c r="F67" s="53" t="str">
        <f>X_Cell_OtherLivestock_Others_Emus_GrazingIrrigationMethod</f>
        <v>Not irrigated</v>
      </c>
      <c r="G67" s="53" t="str">
        <f t="shared" si="0"/>
        <v>High rainfall</v>
      </c>
      <c r="H67" s="53">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8" t="s">
        <v>216</v>
      </c>
    </row>
    <row r="70" spans="4:8" ht="20.100000000000001" customHeight="1" x14ac:dyDescent="0.25">
      <c r="D70" s="97" t="s">
        <v>217</v>
      </c>
    </row>
    <row r="71" spans="4:8" ht="20.100000000000001" customHeight="1" x14ac:dyDescent="0.25">
      <c r="D71" s="52" t="s">
        <v>183</v>
      </c>
      <c r="E71" s="52" t="s">
        <v>102</v>
      </c>
    </row>
    <row r="72" spans="4:8" ht="20.100000000000001" customHeight="1" x14ac:dyDescent="0.25">
      <c r="D72" s="53" t="s">
        <v>152</v>
      </c>
      <c r="E72" s="53" cm="1">
        <f t="array" ref="E72">MMS_OtherLivestock_Soil_AtmosphericDeposition.VEERG_4_7_1_5__1_AtmosphericDepositionEmissionsFromPasture(E31,H60,$I$52)</f>
        <v>39.394376999999992</v>
      </c>
      <c r="F72" s="2" t="str">
        <f>$E$48</f>
        <v>t N2O</v>
      </c>
    </row>
    <row r="73" spans="4:8" ht="20.100000000000001" customHeight="1" x14ac:dyDescent="0.25">
      <c r="D73" s="53" t="s">
        <v>157</v>
      </c>
      <c r="E73" s="53" cm="1">
        <f t="array" ref="E73">MMS_OtherLivestock_Soil_AtmosphericDeposition.VEERG_4_7_1_5__1_AtmosphericDepositionEmissionsFromPasture(E32,H61,$I$52)</f>
        <v>7.2848159999999993</v>
      </c>
    </row>
    <row r="74" spans="4:8" ht="20.100000000000001" customHeight="1" x14ac:dyDescent="0.25">
      <c r="D74" s="53" t="s">
        <v>164</v>
      </c>
      <c r="E74" s="53" cm="1">
        <f t="array" ref="E74">MMS_OtherLivestock_Soil_AtmosphericDeposition.VEERG_4_7_1_5__1_AtmosphericDepositionEmissionsFromPasture(E33,H62,$I$52)</f>
        <v>13.164703199999998</v>
      </c>
    </row>
    <row r="75" spans="4:8" ht="20.100000000000001" customHeight="1" x14ac:dyDescent="0.25">
      <c r="D75" s="53" t="s">
        <v>170</v>
      </c>
      <c r="E75" s="53" cm="1">
        <f t="array" ref="E75">MMS_OtherLivestock_Soil_AtmosphericDeposition.VEERG_4_7_1_5__1_AtmosphericDepositionEmissionsFromPasture(E34,H63,$I$52)</f>
        <v>120.70475174999999</v>
      </c>
    </row>
    <row r="76" spans="4:8" ht="20.100000000000001" customHeight="1" x14ac:dyDescent="0.25">
      <c r="D76" s="53" t="s">
        <v>171</v>
      </c>
      <c r="E76" s="53" cm="1">
        <f t="array" ref="E76">MMS_OtherLivestock_Soil_AtmosphericDeposition.VEERG_4_7_1_5__1_AtmosphericDepositionEmissionsFromPasture(E35,H64,$I$52)</f>
        <v>0.49745850000000003</v>
      </c>
    </row>
    <row r="77" spans="4:8" ht="20.100000000000001" customHeight="1" x14ac:dyDescent="0.25">
      <c r="D77" s="53" t="s">
        <v>172</v>
      </c>
      <c r="E77" s="53" cm="1">
        <f t="array" ref="E77">MMS_OtherLivestock_Soil_AtmosphericDeposition.VEERG_4_7_1_5__1_AtmosphericDepositionEmissionsFromPasture(E36,H65,$I$52)</f>
        <v>3.8062199999999997</v>
      </c>
    </row>
    <row r="78" spans="4:8" ht="20.100000000000001" customHeight="1" x14ac:dyDescent="0.25">
      <c r="D78" s="53" t="s">
        <v>188</v>
      </c>
      <c r="E78" s="53" cm="1">
        <f t="array" ref="E78">MMS_OtherLivestock_Soil_AtmosphericDeposition.VEERG_4_7_1_5__1_AtmosphericDepositionEmissionsFromPasture(E37,H66,$I$52)</f>
        <v>1.1129579999999999</v>
      </c>
    </row>
    <row r="79" spans="4:8" ht="20.100000000000001" customHeight="1" x14ac:dyDescent="0.25">
      <c r="D79" s="53" t="s">
        <v>189</v>
      </c>
      <c r="E79" s="53"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101" t="s">
        <v>109</v>
      </c>
      <c r="E81" s="102">
        <f>SUM(E72:E79)</f>
        <v>186.11705144999996</v>
      </c>
      <c r="F81" s="103" t="str">
        <f>$E$48</f>
        <v>t N2O</v>
      </c>
    </row>
    <row r="82" spans="4:7" ht="20.100000000000001" customHeight="1" x14ac:dyDescent="0.25"/>
    <row r="83" spans="4:7" ht="20.100000000000001" customHeight="1" x14ac:dyDescent="0.25">
      <c r="D83" s="58" t="str" cm="1">
        <f t="array" ref="D83:E84">Common_Equations.Common_ConvertN2OToCO2e_Arguments()</f>
        <v>EN2O</v>
      </c>
      <c r="E83" s="59" t="str">
        <v>Nitrous oxide emissions (t N2O)</v>
      </c>
      <c r="F83" s="104"/>
      <c r="G83" s="53">
        <f>E81</f>
        <v>186.11705144999996</v>
      </c>
    </row>
    <row r="84" spans="4:7" ht="20.100000000000001" customHeight="1" x14ac:dyDescent="0.25">
      <c r="D84" s="58" t="str">
        <v>GWPN2O</v>
      </c>
      <c r="E84" s="59" t="str">
        <v>Global warming potential for nitrous oxide (t CO2-e / t N2O)</v>
      </c>
      <c r="F84" s="104"/>
      <c r="G84" s="53">
        <f>Common_InputFunctions.Utility_LookupValueInTableNumber("N2O", Table_GWPData[Gas],Table_GWPData[CO2-e factor])</f>
        <v>265</v>
      </c>
    </row>
    <row r="85" spans="4:7" ht="20.100000000000001" customHeight="1" x14ac:dyDescent="0.25"/>
    <row r="86" spans="4:7" ht="20.100000000000001" customHeight="1" x14ac:dyDescent="0.25">
      <c r="D86" s="48" t="s">
        <v>88</v>
      </c>
      <c r="E86" s="48" cm="1">
        <f t="array" ref="E86">Common_Equations.Common_ConvertN2OToCO2e(G83,G84)</f>
        <v>49321.018634249987</v>
      </c>
      <c r="F86" s="105"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46" zoomScaleNormal="100" workbookViewId="0">
      <selection activeCell="G75" sqref="G7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239</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A6" s="16"/>
      <c r="D6" s="5" t="str" cm="1">
        <f t="array" ref="D6">MMS_OtherLivestock_Soil_LeachingAndRunoff.VEERG_4_7_1_7__2_MassOfNitrogenLostToLeachingAndRunoff_Source()</f>
        <v>VEERG 2026: 4.7.1.7, Equation (2)</v>
      </c>
    </row>
    <row r="7" spans="1:21" ht="20.100000000000001" customHeight="1" x14ac:dyDescent="0.25">
      <c r="A7" s="20" t="s">
        <v>1</v>
      </c>
      <c r="D7" s="13" t="s">
        <v>23</v>
      </c>
      <c r="E7" s="13" t="str" cm="1">
        <f t="array" aca="1" ref="E7" ca="1">Common_InputFunctions.Utility_DisplayFunctionName(E47)</f>
        <v>=MMS_OtherLivestock_Soil_LeachingAndRunoff.VEERG_4_7_1_7__2_MassOfNitrogenLostToLeachingAndRunoff</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MMS_OtherLivestock_Soil_LeachingAndRunoff.VEERG_4_7_1_7__2_MassOfNitrogenLostToLeachingAndRunoff_Variable()</f>
        <v>M_leach</v>
      </c>
    </row>
    <row r="11" spans="1:21" ht="20.100000000000001" customHeight="1" x14ac:dyDescent="0.25">
      <c r="A11" s="19" t="s">
        <v>71</v>
      </c>
      <c r="D11" s="54" t="s">
        <v>16</v>
      </c>
      <c r="E11" s="55" t="str" cm="1">
        <f t="array" ref="E11">MMS_OtherLivestock_Soil_LeachingAndRunoff.VEERG_4_7_1_7__2_MassOfNitrogenLostToLeachingAndRunoff_Unit()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_xlfn.CHOOSECOLS(MMS_OtherLivestock_Soil_LeachingAndRunoff.VEERG_4_7_1_7__2_MassOfNitrogenLostToLeachingAndRunoff_Arguments(),1,2)</f>
        <v>AE</v>
      </c>
      <c r="E13" s="120" t="str">
        <v>annual nitrogen excreted by each livestock type</v>
      </c>
      <c r="F13" s="119"/>
      <c r="G13" s="117" t="str" cm="1">
        <f t="array" ref="G13:H18">_xlfn.CHOOSECOLS(MMS_OtherLivestock_Soil_LeachingAndRunoff.VEERG_4_7_1_7__2_MassOfNitrogenLostToLeachingAndRunoff_Arguments(),3,4)</f>
        <v>kg N/year</v>
      </c>
      <c r="H13" s="116" t="str">
        <v>Calculated by 4.7.1.3, (2)</v>
      </c>
      <c r="I13" s="118" t="str" cm="1">
        <f t="array" aca="1" ref="I13" ca="1">HYPERLINK(Common_InputFunctions.Utility_SourceHyperlink($D$20),$D$20)</f>
        <v>Table_AEj</v>
      </c>
    </row>
    <row r="14" spans="1:21" ht="20.100000000000001" customHeight="1" x14ac:dyDescent="0.25">
      <c r="A14" s="17" t="str">
        <f>HYPERLINK("#'4.7.1.5-6 Soil Atmos Deposition'!A1", "4.7.1.5-6 Soil Atmos deposition")</f>
        <v>4.7.1.5-6 Soil Atmos deposition</v>
      </c>
      <c r="D14" s="117" t="str">
        <v>FracWet</v>
      </c>
      <c r="E14" s="120" t="str">
        <v>fraction of nitrogen available for leaching and runoff</v>
      </c>
      <c r="F14" s="119"/>
      <c r="G14" s="117" t="str">
        <v/>
      </c>
      <c r="H14" s="116" t="str">
        <v>Constant</v>
      </c>
      <c r="I14" s="118" t="str" cm="1">
        <f t="array" aca="1" ref="I14" ca="1">HYPERLINK(Common_InputFunctions.Utility_SourceHyperlink($D$32),$D$32)</f>
        <v>Table_Frac_Wet</v>
      </c>
    </row>
    <row r="15" spans="1:21" ht="20.100000000000001" customHeight="1" x14ac:dyDescent="0.25">
      <c r="A15" s="22" t="str">
        <f>HYPERLINK("#'4.7.1.7-8 Soil Leaching Runoff'!A1", "4.7.1.8-9 Soil Leaching &amp; Runoff")</f>
        <v>4.7.1.8-9 Soil Leaching &amp; Runoff</v>
      </c>
      <c r="D15" s="117" t="str">
        <v>FracLEACH</v>
      </c>
      <c r="E15" s="120" t="str">
        <v>fraction of all nitrogen that is lost through leaching and runoff</v>
      </c>
      <c r="F15" s="119"/>
      <c r="G15" s="117" t="str">
        <v/>
      </c>
      <c r="H15" s="116" t="str">
        <v>Constant</v>
      </c>
      <c r="I15" s="117">
        <f>'Constants - Common'!$E$164</f>
        <v>0.24</v>
      </c>
    </row>
    <row r="16" spans="1:21" ht="20.100000000000001" customHeight="1" x14ac:dyDescent="0.25">
      <c r="D16" s="117" t="str">
        <v>z</v>
      </c>
      <c r="E16" s="120" t="str">
        <v>location in leaching zone</v>
      </c>
      <c r="F16" s="119"/>
      <c r="G16" s="117" t="str">
        <v/>
      </c>
      <c r="H16" s="115" t="str">
        <v>Input</v>
      </c>
      <c r="I16" s="117" t="str">
        <f>X_Cell_Site_LeachingZone</f>
        <v>NO - Not in leaching zone</v>
      </c>
    </row>
    <row r="17" spans="1:9" ht="20.100000000000001" customHeight="1" x14ac:dyDescent="0.25">
      <c r="A17" s="18" t="s">
        <v>2</v>
      </c>
      <c r="D17" s="117" t="str">
        <v>j</v>
      </c>
      <c r="E17" s="120" t="str">
        <v>production system</v>
      </c>
      <c r="F17" s="119"/>
      <c r="G17" s="117" t="str">
        <v/>
      </c>
      <c r="H17" s="115" t="str">
        <v>Input</v>
      </c>
      <c r="I17" s="118" t="str" cm="1">
        <f t="array" aca="1" ref="I17" ca="1">HYPERLINK(Common_InputFunctions.Utility_SourceHyperlink($D$32),$D$32)</f>
        <v>Table_Frac_Wet</v>
      </c>
    </row>
    <row r="18" spans="1:9" ht="20.100000000000001" customHeight="1" x14ac:dyDescent="0.25">
      <c r="A18" s="17" t="str">
        <f>HYPERLINK("#'Constants - Other Livestock'!A1", "Constants - Other Livestock")</f>
        <v>Constants - Other Livestock</v>
      </c>
      <c r="D18" s="117" t="str">
        <v>ir</v>
      </c>
      <c r="E18" s="120" t="str">
        <v>irrigation method</v>
      </c>
      <c r="F18" s="119"/>
      <c r="G18" s="117" t="str">
        <v/>
      </c>
      <c r="H18" s="115" t="str">
        <v>Input</v>
      </c>
      <c r="I18" s="118" t="str" cm="1">
        <f t="array" aca="1" ref="I18" ca="1">HYPERLINK(Common_InputFunctions.Utility_SourceHyperlink($D$32),$D$32)</f>
        <v>Table_Frac_Wet</v>
      </c>
    </row>
    <row r="19" spans="1:9" ht="20.100000000000001" customHeight="1" x14ac:dyDescent="0.25">
      <c r="A19" s="17" t="str">
        <f>HYPERLINK("#'Constants - Livestock'!A1", "Constants - Livestock")</f>
        <v>Constants - Livestock</v>
      </c>
    </row>
    <row r="20" spans="1:9" ht="20.100000000000001" customHeight="1" x14ac:dyDescent="0.25">
      <c r="A20" s="17" t="str">
        <f>HYPERLINK("#'Constants - Common'!A1", "Constants - Common")</f>
        <v>Constants - Common</v>
      </c>
      <c r="D20" s="98" t="s">
        <v>203</v>
      </c>
    </row>
    <row r="21" spans="1:9" ht="20.100000000000001" customHeight="1" x14ac:dyDescent="0.25">
      <c r="A21" s="17" t="str">
        <f>HYPERLINK("#'Acknowledgements'!A1", "Acknowledgements")</f>
        <v>Acknowledgements</v>
      </c>
      <c r="D21" s="97" t="s">
        <v>202</v>
      </c>
    </row>
    <row r="22" spans="1:9" ht="20.100000000000001" customHeight="1" x14ac:dyDescent="0.25">
      <c r="D22" s="52" t="s">
        <v>183</v>
      </c>
      <c r="E22" s="52" t="s">
        <v>226</v>
      </c>
    </row>
    <row r="23" spans="1:9" ht="20.100000000000001" customHeight="1" x14ac:dyDescent="0.25">
      <c r="D23" s="53" t="s">
        <v>152</v>
      </c>
      <c r="E23" s="53">
        <f>INDEX(Table_AEj,2,2)</f>
        <v>66320500</v>
      </c>
      <c r="F23" s="2" t="str">
        <f>'4.7.1.3-4 Soil Direct N2O'!$F$44</f>
        <v>kg N/year</v>
      </c>
    </row>
    <row r="24" spans="1:9" ht="20.100000000000001" customHeight="1" x14ac:dyDescent="0.25">
      <c r="A24" s="17"/>
      <c r="D24" s="53" t="s">
        <v>157</v>
      </c>
      <c r="E24" s="53">
        <f>INDEX(Table_AEj,3,2)</f>
        <v>12264000</v>
      </c>
    </row>
    <row r="25" spans="1:9" ht="20.100000000000001" customHeight="1" x14ac:dyDescent="0.25">
      <c r="D25" s="53" t="s">
        <v>164</v>
      </c>
      <c r="E25" s="53">
        <f>INDEX(Table_AEj,4,2)</f>
        <v>22162800</v>
      </c>
    </row>
    <row r="26" spans="1:9" ht="20.100000000000001" customHeight="1" x14ac:dyDescent="0.25">
      <c r="D26" s="53" t="s">
        <v>170</v>
      </c>
      <c r="E26" s="53">
        <f>INDEX(Table_AEj,5,2)</f>
        <v>61995250</v>
      </c>
    </row>
    <row r="27" spans="1:9" ht="20.100000000000001" customHeight="1" x14ac:dyDescent="0.25">
      <c r="D27" s="53" t="s">
        <v>171</v>
      </c>
      <c r="E27" s="53">
        <f>INDEX(Table_AEj,6,2)</f>
        <v>255500</v>
      </c>
    </row>
    <row r="28" spans="1:9" ht="20.100000000000001" customHeight="1" x14ac:dyDescent="0.25">
      <c r="D28" s="53" t="s">
        <v>172</v>
      </c>
      <c r="E28" s="53">
        <f>INDEX(Table_AEj,7,2)</f>
        <v>1441750</v>
      </c>
    </row>
    <row r="29" spans="1:9" ht="20.100000000000001" customHeight="1" x14ac:dyDescent="0.25">
      <c r="D29" s="53" t="s">
        <v>188</v>
      </c>
      <c r="E29" s="53">
        <f>INDEX(Table_AEj,8,2)</f>
        <v>481800</v>
      </c>
    </row>
    <row r="30" spans="1:9" ht="20.100000000000001" customHeight="1" x14ac:dyDescent="0.25">
      <c r="D30" s="53" t="s">
        <v>189</v>
      </c>
      <c r="E30" s="53">
        <f>INDEX(Table_AEj,9,2)</f>
        <v>255500</v>
      </c>
    </row>
    <row r="31" spans="1:9" ht="20.100000000000001" customHeight="1" x14ac:dyDescent="0.25"/>
    <row r="32" spans="1:9" ht="20.100000000000001" customHeight="1" x14ac:dyDescent="0.25">
      <c r="D32" s="98" t="s">
        <v>218</v>
      </c>
    </row>
    <row r="33" spans="4:7" ht="20.100000000000001" customHeight="1" x14ac:dyDescent="0.25">
      <c r="D33" s="97" t="s">
        <v>219</v>
      </c>
    </row>
    <row r="34" spans="4:7" ht="20.100000000000001" customHeight="1" x14ac:dyDescent="0.25">
      <c r="D34" s="52" t="s">
        <v>183</v>
      </c>
      <c r="E34" s="41" t="s">
        <v>102</v>
      </c>
      <c r="F34" s="41" t="s">
        <v>100</v>
      </c>
      <c r="G34" s="52" t="s">
        <v>220</v>
      </c>
    </row>
    <row r="35" spans="4:7" ht="20.100000000000001" customHeight="1" x14ac:dyDescent="0.25">
      <c r="D35" s="53" t="s">
        <v>152</v>
      </c>
      <c r="E35" s="53" t="str">
        <f>X_Cell_OtherLivestock_Buffalo_GrazingProductionSystem</f>
        <v>Pasture</v>
      </c>
      <c r="F35" s="53" t="str">
        <f>X_Cell_OtherLivestock_Buffalo_GrazingIrrigationMethod</f>
        <v>Not irrigated</v>
      </c>
      <c r="G35" s="53">
        <f>Common_InputFunctions.CommonCropping_GetFracWET($I$16,F35,#REF!,#REF!,Table_SourceData_FracWETIrrigation[Irrigation type i],Table_SourceData_FracWETIrrigation[FracWET])</f>
        <v>0</v>
      </c>
    </row>
    <row r="36" spans="4:7" ht="20.100000000000001" customHeight="1" x14ac:dyDescent="0.25">
      <c r="D36" s="53" t="s">
        <v>157</v>
      </c>
      <c r="E36" s="53" t="str">
        <f>X_Cell_OtherLivestock_Goats_GrazingProductionSystem</f>
        <v>Pasture</v>
      </c>
      <c r="F36" s="53" t="str">
        <f>X_Cell_OtherLivestock_Goats_GrazingIrrigationMethod</f>
        <v>Not irrigated</v>
      </c>
      <c r="G36" s="53">
        <f>Common_InputFunctions.CommonCropping_GetFracWET($I$16,F36,#REF!,#REF!,Table_SourceData_FracWETIrrigation[Irrigation type i],Table_SourceData_FracWETIrrigation[FracWET])</f>
        <v>0</v>
      </c>
    </row>
    <row r="37" spans="4:7" ht="20.100000000000001" customHeight="1" x14ac:dyDescent="0.25">
      <c r="D37" s="53" t="s">
        <v>164</v>
      </c>
      <c r="E37" s="53" t="str">
        <f>X_Cell_OtherLivestock_Deer_GrazingProductionSystem</f>
        <v>Pasture</v>
      </c>
      <c r="F37" s="53" t="str">
        <f>X_Cell_OtherLivestock_Deer_GrazingIrrigationMethod</f>
        <v>Not irrigated</v>
      </c>
      <c r="G37" s="53">
        <f>Common_InputFunctions.CommonCropping_GetFracWET($I$16,F37,#REF!,#REF!,Table_SourceData_FracWETIrrigation[Irrigation type i],Table_SourceData_FracWETIrrigation[FracWET])</f>
        <v>0</v>
      </c>
    </row>
    <row r="38" spans="4:7" ht="20.100000000000001" customHeight="1" x14ac:dyDescent="0.25">
      <c r="D38" s="53" t="s">
        <v>170</v>
      </c>
      <c r="E38" s="53" t="str">
        <f>X_Cell_OtherLivestock_Others_Camels_GrazingProductionSystem</f>
        <v>Pasture</v>
      </c>
      <c r="F38" s="53" t="str">
        <f>X_Cell_OtherLivestock_Others_Camels_GrazingIrrigationMethod</f>
        <v>Drip irrigation</v>
      </c>
      <c r="G38" s="53">
        <f>Common_InputFunctions.CommonCropping_GetFracWET($I$16,F38,#REF!,#REF!,Table_SourceData_FracWETIrrigation[Irrigation type i],Table_SourceData_FracWETIrrigation[FracWET])</f>
        <v>0</v>
      </c>
    </row>
    <row r="39" spans="4:7" ht="20.100000000000001" customHeight="1" x14ac:dyDescent="0.25">
      <c r="D39" s="53" t="s">
        <v>171</v>
      </c>
      <c r="E39" s="53" t="str">
        <f>X_Cell_OtherLivestock_Others_Alpacas_GrazingProductionSystem</f>
        <v>Pasture</v>
      </c>
      <c r="F39" s="53" t="str">
        <f>X_Cell_OtherLivestock_Others_Alpacas_GrazingIrrigationMethod</f>
        <v>Sprinkler irrigation</v>
      </c>
      <c r="G39" s="53">
        <f>Common_InputFunctions.CommonCropping_GetFracWET($I$16,F39,#REF!,#REF!,Table_SourceData_FracWETIrrigation[Irrigation type i],Table_SourceData_FracWETIrrigation[FracWET])</f>
        <v>1</v>
      </c>
    </row>
    <row r="40" spans="4:7" ht="20.100000000000001" customHeight="1" x14ac:dyDescent="0.25">
      <c r="D40" s="53" t="s">
        <v>172</v>
      </c>
      <c r="E40" s="53" t="str">
        <f>X_Cell_OtherLivestock_Others_Horses_GrazingProductionSystem</f>
        <v>Crop</v>
      </c>
      <c r="F40" s="53" t="str">
        <f>X_Cell_OtherLivestock_Others_Horses_GrazingIrrigationMethod</f>
        <v>Not irrigated</v>
      </c>
      <c r="G40" s="53">
        <f>Common_InputFunctions.CommonCropping_GetFracWET($I$16,F40,#REF!,#REF!,Table_SourceData_FracWETIrrigation[Irrigation type i],Table_SourceData_FracWETIrrigation[FracWET])</f>
        <v>0</v>
      </c>
    </row>
    <row r="41" spans="4:7" ht="20.100000000000001" customHeight="1" x14ac:dyDescent="0.25">
      <c r="D41" s="53" t="s">
        <v>188</v>
      </c>
      <c r="E41" s="53" t="str">
        <f>X_Cell_OtherLivestock_Others_Mules_GrazingProductionSystem</f>
        <v>Crop</v>
      </c>
      <c r="F41" s="53" t="str">
        <f>X_Cell_OtherLivestock_Others_Mules_GrazingIrrigationMethod</f>
        <v>Surface irrigation</v>
      </c>
      <c r="G41" s="53">
        <f>Common_InputFunctions.CommonCropping_GetFracWET($I$16,F41,#REF!,#REF!,Table_SourceData_FracWETIrrigation[Irrigation type i],Table_SourceData_FracWETIrrigation[FracWET])</f>
        <v>1</v>
      </c>
    </row>
    <row r="42" spans="4:7" ht="20.100000000000001" customHeight="1" x14ac:dyDescent="0.25">
      <c r="D42" s="53" t="s">
        <v>189</v>
      </c>
      <c r="E42" s="53" t="str">
        <f>X_Cell_OtherLivestock_Others_Emus_GrazingProductionSystem</f>
        <v>Pasture</v>
      </c>
      <c r="F42" s="53" t="str">
        <f>X_Cell_OtherLivestock_Others_Emus_GrazingIrrigationMethod</f>
        <v>Not irrigated</v>
      </c>
      <c r="G42" s="53">
        <f>Common_InputFunctions.CommonCropping_GetFracWET($I$16,F42,#REF!,#REF!,Table_SourceData_FracWETIrrigation[Irrigation type i],Table_SourceData_FracWETIrrigation[FracWET])</f>
        <v>0</v>
      </c>
    </row>
    <row r="43" spans="4:7" ht="20.100000000000001" customHeight="1" x14ac:dyDescent="0.25"/>
    <row r="44" spans="4:7" ht="20.100000000000001" customHeight="1" x14ac:dyDescent="0.25">
      <c r="D44" s="98" t="s">
        <v>221</v>
      </c>
    </row>
    <row r="45" spans="4:7" ht="20.100000000000001" customHeight="1" x14ac:dyDescent="0.25">
      <c r="D45" s="97" t="s">
        <v>222</v>
      </c>
    </row>
    <row r="46" spans="4:7" ht="20.100000000000001" customHeight="1" x14ac:dyDescent="0.25">
      <c r="D46" s="52" t="s">
        <v>183</v>
      </c>
      <c r="E46" s="52" t="s">
        <v>225</v>
      </c>
    </row>
    <row r="47" spans="4:7" ht="20.100000000000001" customHeight="1" x14ac:dyDescent="0.25">
      <c r="D47" s="53" t="s">
        <v>152</v>
      </c>
      <c r="E47" s="53" cm="1">
        <f t="array" ref="E47">MMS_OtherLivestock_Soil_LeachingAndRunoff.VEERG_4_7_1_7__2_MassOfNitrogenLostToLeachingAndRunoff(E23,G35,$I$15)</f>
        <v>0</v>
      </c>
      <c r="F47" s="2" t="str">
        <f>$E$11</f>
        <v>kg N</v>
      </c>
    </row>
    <row r="48" spans="4:7" ht="20.100000000000001" customHeight="1" x14ac:dyDescent="0.25">
      <c r="D48" s="53" t="s">
        <v>157</v>
      </c>
      <c r="E48" s="53" cm="1">
        <f t="array" ref="E48">MMS_OtherLivestock_Soil_LeachingAndRunoff.VEERG_4_7_1_7__2_MassOfNitrogenLostToLeachingAndRunoff(E24,G36,$I$15)</f>
        <v>0</v>
      </c>
    </row>
    <row r="49" spans="3:11" ht="20.100000000000001" customHeight="1" x14ac:dyDescent="0.25">
      <c r="D49" s="53" t="s">
        <v>164</v>
      </c>
      <c r="E49" s="53" cm="1">
        <f t="array" ref="E49">MMS_OtherLivestock_Soil_LeachingAndRunoff.VEERG_4_7_1_7__2_MassOfNitrogenLostToLeachingAndRunoff(E25,G37,$I$15)</f>
        <v>0</v>
      </c>
    </row>
    <row r="50" spans="3:11" ht="20.100000000000001" customHeight="1" x14ac:dyDescent="0.25">
      <c r="D50" s="53" t="s">
        <v>170</v>
      </c>
      <c r="E50" s="53" cm="1">
        <f t="array" ref="E50">MMS_OtherLivestock_Soil_LeachingAndRunoff.VEERG_4_7_1_7__2_MassOfNitrogenLostToLeachingAndRunoff(E26,G38,$I$15)</f>
        <v>0</v>
      </c>
    </row>
    <row r="51" spans="3:11" ht="20.100000000000001" customHeight="1" x14ac:dyDescent="0.25">
      <c r="D51" s="53" t="s">
        <v>171</v>
      </c>
      <c r="E51" s="53" cm="1">
        <f t="array" ref="E51">MMS_OtherLivestock_Soil_LeachingAndRunoff.VEERG_4_7_1_7__2_MassOfNitrogenLostToLeachingAndRunoff(E27,G39,$I$15)</f>
        <v>61320</v>
      </c>
    </row>
    <row r="52" spans="3:11" ht="20.100000000000001" customHeight="1" x14ac:dyDescent="0.25">
      <c r="D52" s="53" t="s">
        <v>172</v>
      </c>
      <c r="E52" s="53" cm="1">
        <f t="array" ref="E52">MMS_OtherLivestock_Soil_LeachingAndRunoff.VEERG_4_7_1_7__2_MassOfNitrogenLostToLeachingAndRunoff(E28,G40,$I$15)</f>
        <v>0</v>
      </c>
    </row>
    <row r="53" spans="3:11" ht="20.100000000000001" customHeight="1" x14ac:dyDescent="0.25">
      <c r="D53" s="53" t="s">
        <v>188</v>
      </c>
      <c r="E53" s="53" cm="1">
        <f t="array" ref="E53">MMS_OtherLivestock_Soil_LeachingAndRunoff.VEERG_4_7_1_7__2_MassOfNitrogenLostToLeachingAndRunoff(E29,G41,$I$15)</f>
        <v>115632</v>
      </c>
    </row>
    <row r="54" spans="3:11" ht="20.100000000000001" customHeight="1" x14ac:dyDescent="0.25">
      <c r="D54" s="53" t="s">
        <v>189</v>
      </c>
      <c r="E54" s="53"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10" t="s">
        <v>224</v>
      </c>
      <c r="E56" s="48">
        <f>SUM(E47:E54)</f>
        <v>176952</v>
      </c>
      <c r="F56" s="105" t="str">
        <f>$E$11</f>
        <v>kg N</v>
      </c>
    </row>
    <row r="57" spans="3:11" ht="20.100000000000001" customHeight="1" x14ac:dyDescent="0.25"/>
    <row r="58" spans="3:11" ht="20.100000000000001" customHeight="1" x14ac:dyDescent="0.25"/>
    <row r="59" spans="3:11" ht="20.100000000000001" customHeight="1" x14ac:dyDescent="0.25">
      <c r="C59" s="48"/>
      <c r="D59" s="48"/>
      <c r="E59" s="48"/>
      <c r="F59" s="48"/>
      <c r="G59" s="48"/>
      <c r="H59" s="48"/>
      <c r="I59" s="48"/>
      <c r="J59" s="48"/>
      <c r="K59" s="48"/>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23</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4" t="s">
        <v>26</v>
      </c>
      <c r="E65" s="1" t="str" cm="1">
        <f t="array" ref="E65">MMS_OtherLivestock_Soil_LeachingAndRunoff.VEERG_4_7_1_7__1_LeachingAndRunoffEmissionsFromPasture_Variable()</f>
        <v>E_N2Oleach</v>
      </c>
    </row>
    <row r="66" spans="4:9" ht="20.100000000000001" customHeight="1" x14ac:dyDescent="0.25">
      <c r="D66" s="54" t="s">
        <v>16</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7" t="str" cm="1">
        <f t="array" ref="D68:E70">_xlfn.CHOOSECOLS(MMS_OtherLivestock_Soil_LeachingAndRunoff.VEERG_4_7_1_7__1_LeachingAndRunoffEmissionsFromPasture_Arguments(),1,2)</f>
        <v>M_leach</v>
      </c>
      <c r="E68" s="120" t="str">
        <v>mass of nitrogen lost to leaching and runoff</v>
      </c>
      <c r="F68" s="119"/>
      <c r="G68" s="117" t="str" cm="1">
        <f t="array" ref="G68:H70">_xlfn.CHOOSECOLS(MMS_OtherLivestock_Soil_LeachingAndRunoff.VEERG_4_7_1_7__1_LeachingAndRunoffEmissionsFromPasture_Arguments(),3,4)</f>
        <v>kg N</v>
      </c>
      <c r="H68" s="116" t="str">
        <v>Calculated from 4.7.1.7, (2)</v>
      </c>
      <c r="I68" s="117">
        <f>E56</f>
        <v>176952</v>
      </c>
    </row>
    <row r="69" spans="4:9" ht="20.100000000000001" customHeight="1" x14ac:dyDescent="0.25">
      <c r="D69" s="117" t="str">
        <v>EF_leach</v>
      </c>
      <c r="E69" s="120" t="str">
        <v>emission factor for leaching and runoff</v>
      </c>
      <c r="F69" s="119"/>
      <c r="G69" s="117" t="str">
        <v>kg N2O-N/kg N</v>
      </c>
      <c r="H69" s="116" t="str">
        <v>Constant</v>
      </c>
      <c r="I69" s="117">
        <f>'Constants - Common'!$E$170</f>
        <v>1.0999999999999999E-2</v>
      </c>
    </row>
    <row r="70" spans="4:9" ht="20.100000000000001" customHeight="1" x14ac:dyDescent="0.25">
      <c r="D70" s="117" t="str">
        <v>C_N2O</v>
      </c>
      <c r="E70" s="120" t="str">
        <v>factor to convert elemental mass of nitrous oxide to molecular mass</v>
      </c>
      <c r="F70" s="119"/>
      <c r="G70" s="117" t="str">
        <v/>
      </c>
      <c r="H70" s="116" t="str">
        <v>Constant</v>
      </c>
      <c r="I70" s="117">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101" t="s">
        <v>223</v>
      </c>
      <c r="E72" s="102" cm="1">
        <f t="array" ref="E72">MMS_OtherLivestock_Soil_LeachingAndRunoff.VEERG_4_7_1_7__1_LeachingAndRunoffEmissionsFromPasture(I68,I69,I70)</f>
        <v>3.0587417142857145</v>
      </c>
      <c r="F72" s="103" t="str">
        <f>E66</f>
        <v>t N2O</v>
      </c>
    </row>
    <row r="73" spans="4:9" ht="20.100000000000001" customHeight="1" x14ac:dyDescent="0.25"/>
    <row r="74" spans="4:9" ht="20.100000000000001" customHeight="1" x14ac:dyDescent="0.25">
      <c r="D74" s="58" t="str" cm="1">
        <f t="array" ref="D74:E75">Common_Equations.Common_ConvertN2OToCO2e_Arguments()</f>
        <v>EN2O</v>
      </c>
      <c r="E74" s="59" t="str">
        <v>Nitrous oxide emissions (t N2O)</v>
      </c>
      <c r="F74" s="104"/>
      <c r="G74" s="53">
        <f>E72</f>
        <v>3.0587417142857145</v>
      </c>
    </row>
    <row r="75" spans="4:9" ht="20.100000000000001" customHeight="1" x14ac:dyDescent="0.25">
      <c r="D75" s="58" t="str">
        <v>GWPN2O</v>
      </c>
      <c r="E75" s="59" t="str">
        <v>Global warming potential for nitrous oxide (t CO2-e / t N2O)</v>
      </c>
      <c r="F75" s="104"/>
      <c r="G75" s="53">
        <f>Common_InputFunctions.Utility_LookupValueInTableNumber("N2O",Table_GWPData[Gas],Table_GWPData[CO2-e factor])</f>
        <v>265</v>
      </c>
    </row>
    <row r="76" spans="4:9" ht="20.100000000000001" customHeight="1" x14ac:dyDescent="0.25"/>
    <row r="77" spans="4:9" ht="20.100000000000001" customHeight="1" x14ac:dyDescent="0.25">
      <c r="D77" s="48" t="s">
        <v>88</v>
      </c>
      <c r="E77" s="48" cm="1">
        <f t="array" ref="E77">Common_Equations.Common_ConvertN2OToCO2e(G74,G75)</f>
        <v>810.56655428571435</v>
      </c>
      <c r="F77" s="105"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233</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1</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5"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9" t="s">
        <v>141</v>
      </c>
      <c r="E9" s="39" t="s">
        <v>142</v>
      </c>
      <c r="M9" s="1"/>
    </row>
    <row r="10" spans="1:21" ht="20.100000000000001" customHeight="1" x14ac:dyDescent="0.25">
      <c r="A10" s="17"/>
      <c r="D10" s="39" t="str" cm="1">
        <f t="array" ref="D10">Common_InputFunctions.Utility_DisplayArrayInTable(SourceData_OtherLivestock.SourceData_OtherLivestock_EntericFermentationEmissionFactor_Data(),Table_SourceData_OtherLivestock_EntericEF[[#Headers],[Other livestock type]],0)</f>
        <v>Buffalo</v>
      </c>
      <c r="E10" s="39"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71</v>
      </c>
      <c r="D11" s="1" t="str" cm="1">
        <f t="array" ref="D11">Common_InputFunctions.Utility_DisplayArrayInTable(SourceData_OtherLivestock.SourceData_OtherLivestock_EntericFermentationEmissionFactor_Data(),Table_SourceData_OtherLivestock_EntericEF[[#Headers],[Other livestock type]],0)</f>
        <v>Goats</v>
      </c>
      <c r="E11" s="39"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HYPERLINK("#'4.7.1.1-2 Manure Methane'!A1", "4.7.1.1-2 Methane")</f>
        <v>4.7.1.1-2 Methane</v>
      </c>
      <c r="D12" s="1" t="str" cm="1">
        <f t="array" ref="D12">Common_InputFunctions.Utility_DisplayArrayInTable(SourceData_OtherLivestock.SourceData_OtherLivestock_EntericFermentationEmissionFactor_Data(),Table_SourceData_OtherLivestock_EntericEF[[#Headers],[Other livestock type]],0)</f>
        <v>Deer</v>
      </c>
      <c r="E12" s="39"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7" t="str">
        <f>HYPERLINK("#'4.7.1.3-4 Soil Direct N2O'!A1", "4.7.1.3-4 Soil Direct N2O")</f>
        <v>4.7.1.3-4 Soil Direct N2O</v>
      </c>
      <c r="D13" s="1" t="str" cm="1">
        <f t="array" ref="D13">Common_InputFunctions.Utility_DisplayArrayInTable(SourceData_OtherLivestock.SourceData_OtherLivestock_EntericFermentationEmissionFactor_Data(),Table_SourceData_OtherLivestock_EntericEF[[#Headers],[Other livestock type]],0)</f>
        <v>Camels</v>
      </c>
      <c r="E13" s="39"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HYPERLINK("#'4.7.1.5-6 Soil Atmos Deposition'!A1", "4.7.1.5-6 Soil Atmos deposition")</f>
        <v>4.7.1.5-6 Soil Atmos deposition</v>
      </c>
      <c r="D14" s="1" t="str" cm="1">
        <f t="array" ref="D14">Common_InputFunctions.Utility_DisplayArrayInTable(SourceData_OtherLivestock.SourceData_OtherLivestock_EntericFermentationEmissionFactor_Data(),Table_SourceData_OtherLivestock_EntericEF[[#Headers],[Other livestock type]],0)</f>
        <v>Alpacas</v>
      </c>
      <c r="E14" s="39"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HYPERLINK("#'4.7.1.7-8 Soil Leaching Runoff'!A1", "4.7.1.8-9 Soil Leaching &amp; Runoff")</f>
        <v>4.7.1.8-9 Soil Leaching &amp; Runoff</v>
      </c>
      <c r="D15" s="1" t="str" cm="1">
        <f t="array" ref="D15">Common_InputFunctions.Utility_DisplayArrayInTable(SourceData_OtherLivestock.SourceData_OtherLivestock_EntericFermentationEmissionFactor_Data(),Table_SourceData_OtherLivestock_EntericEF[[#Headers],[Other livestock type]],0)</f>
        <v>Horses</v>
      </c>
      <c r="E15" s="39"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9"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8" t="s">
        <v>2</v>
      </c>
      <c r="D17" s="1" t="str" cm="1">
        <f t="array" ref="D17">Common_InputFunctions.Utility_DisplayArrayInTable(SourceData_OtherLivestock.SourceData_OtherLivestock_EntericFermentationEmissionFactor_Data(),Table_SourceData_OtherLivestock_EntericEF[[#Headers],[Other livestock type]],0)</f>
        <v>Emus/ostriches</v>
      </c>
      <c r="E17" s="39"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68" t="str">
        <f>HYPERLINK("#'Constants - Other Livestock'!A1", "Constants - Other Livestock")</f>
        <v>Constants - Other Livestock</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HYPERLINK("#'Acknowledgements'!A1", "Acknowledgements")</f>
        <v>Acknowledgements</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5" t="str" cm="1">
        <f t="array" ref="D23">SourceData_OtherLivestock.SourceData_OtherLivestock_VolatileSolidsProduced_Unit()</f>
        <v>kg VS / head / day</v>
      </c>
      <c r="M23" s="1"/>
    </row>
    <row r="24" spans="1:13" ht="20.100000000000001" customHeight="1" x14ac:dyDescent="0.25">
      <c r="A24" s="17"/>
      <c r="D24" s="39" t="s">
        <v>141</v>
      </c>
      <c r="E24" s="39" t="s">
        <v>143</v>
      </c>
      <c r="M24" s="1"/>
    </row>
    <row r="25" spans="1:13" ht="20.100000000000001" customHeight="1" x14ac:dyDescent="0.25">
      <c r="D25" s="39" t="str" cm="1">
        <f t="array" ref="D25">Common_InputFunctions.Utility_DisplayArrayInTable(SourceData_OtherLivestock.SourceData_OtherLivestock_VolatileSolidsProduced_Data(),Table_SourceData_OtherLivestock_VolatileSolids[[#Headers],[Other livestock type]],0)</f>
        <v>Buffalo</v>
      </c>
      <c r="E25" s="39"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9" t="str" cm="1">
        <f t="array" ref="D26">Common_InputFunctions.Utility_DisplayArrayInTable(SourceData_OtherLivestock.SourceData_OtherLivestock_VolatileSolidsProduced_Data(),Table_SourceData_OtherLivestock_VolatileSolids[[#Headers],[Other livestock type]],0)</f>
        <v>Goats</v>
      </c>
      <c r="E26" s="39"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9" t="str" cm="1">
        <f t="array" ref="D27">Common_InputFunctions.Utility_DisplayArrayInTable(SourceData_OtherLivestock.SourceData_OtherLivestock_VolatileSolidsProduced_Data(),Table_SourceData_OtherLivestock_VolatileSolids[[#Headers],[Other livestock type]],0)</f>
        <v>Deer</v>
      </c>
      <c r="E27" s="39"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9" t="str" cm="1">
        <f t="array" ref="D28">Common_InputFunctions.Utility_DisplayArrayInTable(SourceData_OtherLivestock.SourceData_OtherLivestock_VolatileSolidsProduced_Data(),Table_SourceData_OtherLivestock_VolatileSolids[[#Headers],[Other livestock type]],0)</f>
        <v>Camels</v>
      </c>
      <c r="E28" s="39"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9" t="str" cm="1">
        <f t="array" ref="D29">Common_InputFunctions.Utility_DisplayArrayInTable(SourceData_OtherLivestock.SourceData_OtherLivestock_VolatileSolidsProduced_Data(),Table_SourceData_OtherLivestock_VolatileSolids[[#Headers],[Other livestock type]],0)</f>
        <v>Alpacas</v>
      </c>
      <c r="E29" s="39"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9" t="str" cm="1">
        <f t="array" ref="D30">Common_InputFunctions.Utility_DisplayArrayInTable(SourceData_OtherLivestock.SourceData_OtherLivestock_VolatileSolidsProduced_Data(),Table_SourceData_OtherLivestock_VolatileSolids[[#Headers],[Other livestock type]],0)</f>
        <v>Horses</v>
      </c>
      <c r="E30" s="39"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9" t="str" cm="1">
        <f t="array" ref="D31">Common_InputFunctions.Utility_DisplayArrayInTable(SourceData_OtherLivestock.SourceData_OtherLivestock_VolatileSolidsProduced_Data(),Table_SourceData_OtherLivestock_VolatileSolids[[#Headers],[Other livestock type]],0)</f>
        <v>Mules/asses</v>
      </c>
      <c r="E31" s="39"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9" t="str" cm="1">
        <f t="array" ref="D32">Common_InputFunctions.Utility_DisplayArrayInTable(SourceData_OtherLivestock.SourceData_OtherLivestock_VolatileSolidsProduced_Data(),Table_SourceData_OtherLivestock_VolatileSolids[[#Headers],[Other livestock type]],0)</f>
        <v>Emus/ostriches</v>
      </c>
      <c r="E32" s="39"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5" t="str" cm="1">
        <f t="array" ref="D38">SourceData_OtherLivestock.SourceData_OtherLivestock_NitrogenExcreted_Unit()</f>
        <v>kg N2O / head / year</v>
      </c>
      <c r="M38" s="1"/>
    </row>
    <row r="39" spans="4:13" ht="20.100000000000001" customHeight="1" x14ac:dyDescent="0.25">
      <c r="D39" s="39" t="s">
        <v>141</v>
      </c>
      <c r="E39" s="39" t="s">
        <v>144</v>
      </c>
      <c r="M39" s="1"/>
    </row>
    <row r="40" spans="4:13" ht="20.100000000000001" customHeight="1" x14ac:dyDescent="0.25">
      <c r="D40" s="39" t="str" cm="1">
        <f t="array" ref="D40">Common_InputFunctions.Utility_DisplayArrayInTable(SourceData_OtherLivestock.SourceData_OtherLivestock_NitrogenExcreted_Data(),Table_SourceData_OtherLivestock_NitrogenExcreted[[#Headers],[Other livestock type]],0)</f>
        <v>Buffalo</v>
      </c>
      <c r="E40" s="39"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9" t="str" cm="1">
        <f t="array" ref="D41">Common_InputFunctions.Utility_DisplayArrayInTable(SourceData_OtherLivestock.SourceData_OtherLivestock_NitrogenExcreted_Data(),Table_SourceData_OtherLivestock_NitrogenExcreted[[#Headers],[Other livestock type]],0)</f>
        <v>Goats</v>
      </c>
      <c r="E41" s="39"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9" t="str" cm="1">
        <f t="array" ref="D42">Common_InputFunctions.Utility_DisplayArrayInTable(SourceData_OtherLivestock.SourceData_OtherLivestock_NitrogenExcreted_Data(),Table_SourceData_OtherLivestock_NitrogenExcreted[[#Headers],[Other livestock type]],0)</f>
        <v>Deer</v>
      </c>
      <c r="E42" s="39"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9" t="str" cm="1">
        <f t="array" ref="D43">Common_InputFunctions.Utility_DisplayArrayInTable(SourceData_OtherLivestock.SourceData_OtherLivestock_NitrogenExcreted_Data(),Table_SourceData_OtherLivestock_NitrogenExcreted[[#Headers],[Other livestock type]],0)</f>
        <v>Camels</v>
      </c>
      <c r="E43" s="39"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9" t="str" cm="1">
        <f t="array" ref="D44">Common_InputFunctions.Utility_DisplayArrayInTable(SourceData_OtherLivestock.SourceData_OtherLivestock_NitrogenExcreted_Data(),Table_SourceData_OtherLivestock_NitrogenExcreted[[#Headers],[Other livestock type]],0)</f>
        <v>Alpacas</v>
      </c>
      <c r="E44" s="39"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9" t="str" cm="1">
        <f t="array" ref="D45">Common_InputFunctions.Utility_DisplayArrayInTable(SourceData_OtherLivestock.SourceData_OtherLivestock_NitrogenExcreted_Data(),Table_SourceData_OtherLivestock_NitrogenExcreted[[#Headers],[Other livestock type]],0)</f>
        <v>Horses</v>
      </c>
      <c r="E45" s="39"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9" t="str" cm="1">
        <f t="array" ref="D46">Common_InputFunctions.Utility_DisplayArrayInTable(SourceData_OtherLivestock.SourceData_OtherLivestock_NitrogenExcreted_Data(),Table_SourceData_OtherLivestock_NitrogenExcreted[[#Headers],[Other livestock type]],0)</f>
        <v>Mules/asses</v>
      </c>
      <c r="E46" s="39"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9" t="str" cm="1">
        <f t="array" ref="D47">Common_InputFunctions.Utility_DisplayArrayInTable(SourceData_OtherLivestock.SourceData_OtherLivestock_NitrogenExcreted_Data(),Table_SourceData_OtherLivestock_NitrogenExcreted[[#Headers],[Other livestock type]],0)</f>
        <v>Emus/ostriches</v>
      </c>
      <c r="E47" s="39"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5" t="str" cm="1">
        <f t="array" ref="D53">SourceData_OtherLivestock.SourceData_OtherLivestock_AverageLiveweight_Unit()</f>
        <v>kg</v>
      </c>
      <c r="M53" s="1"/>
    </row>
    <row r="54" spans="4:13" ht="20.100000000000001" customHeight="1" x14ac:dyDescent="0.25">
      <c r="D54" s="39" t="s">
        <v>141</v>
      </c>
      <c r="E54" s="39" t="s">
        <v>145</v>
      </c>
      <c r="F54" s="39" t="s">
        <v>146</v>
      </c>
      <c r="M54" s="1"/>
    </row>
    <row r="55" spans="4:13" ht="20.100000000000001" customHeight="1" x14ac:dyDescent="0.25">
      <c r="D55" s="39" t="str" cm="1">
        <f t="array" ref="D55">Common_InputFunctions.Utility_DisplayArrayInTable(SourceData_OtherLivestock.SourceData_OtherLivestock_AverageLiveweight_Data(),Table_SourceData_OtherLivestock_AverageLiveweight[[#Headers],[Other livestock type]],0)</f>
        <v>Buffalo</v>
      </c>
      <c r="E55" s="39" cm="1">
        <f t="array" ref="E55">Common_InputFunctions.Utility_DisplayArrayInTable(SourceData_OtherLivestock.SourceData_OtherLivestock_AverageLiveweight_Data(),Table_SourceData_OtherLivestock_AverageLiveweight[[#Headers],[Other livestock type]],0)</f>
        <v>336</v>
      </c>
      <c r="F55" s="39"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9" t="str" cm="1">
        <f t="array" ref="D56">Common_InputFunctions.Utility_DisplayArrayInTable(SourceData_OtherLivestock.SourceData_OtherLivestock_AverageLiveweight_Data(),Table_SourceData_OtherLivestock_AverageLiveweight[[#Headers],[Other livestock type]],0)</f>
        <v>Goats</v>
      </c>
      <c r="E56" s="39" cm="1">
        <f t="array" ref="E56">Common_InputFunctions.Utility_DisplayArrayInTable(SourceData_OtherLivestock.SourceData_OtherLivestock_AverageLiveweight_Data(),Table_SourceData_OtherLivestock_AverageLiveweight[[#Headers],[Other livestock type]],0)</f>
        <v>33</v>
      </c>
      <c r="F56" s="39"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9" t="str" cm="1">
        <f t="array" ref="D57">Common_InputFunctions.Utility_DisplayArrayInTable(SourceData_OtherLivestock.SourceData_OtherLivestock_AverageLiveweight_Data(),Table_SourceData_OtherLivestock_AverageLiveweight[[#Headers],[Other livestock type]],0)</f>
        <v>Goats</v>
      </c>
      <c r="E57" s="39" cm="1">
        <f t="array" ref="E57">Common_InputFunctions.Utility_DisplayArrayInTable(SourceData_OtherLivestock.SourceData_OtherLivestock_AverageLiveweight_Data(),Table_SourceData_OtherLivestock_AverageLiveweight[[#Headers],[Other livestock type]],0)</f>
        <v>33</v>
      </c>
      <c r="F57" s="39"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9" t="str" cm="1">
        <f t="array" ref="D58">Common_InputFunctions.Utility_DisplayArrayInTable(SourceData_OtherLivestock.SourceData_OtherLivestock_AverageLiveweight_Data(),Table_SourceData_OtherLivestock_AverageLiveweight[[#Headers],[Other livestock type]],0)</f>
        <v>Deer</v>
      </c>
      <c r="E58" s="39" cm="1">
        <f t="array" ref="E58">Common_InputFunctions.Utility_DisplayArrayInTable(SourceData_OtherLivestock.SourceData_OtherLivestock_AverageLiveweight_Data(),Table_SourceData_OtherLivestock_AverageLiveweight[[#Headers],[Other livestock type]],0)</f>
        <v>120</v>
      </c>
      <c r="F58" s="39"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9" t="str" cm="1">
        <f t="array" ref="D59">Common_InputFunctions.Utility_DisplayArrayInTable(SourceData_OtherLivestock.SourceData_OtherLivestock_AverageLiveweight_Data(),Table_SourceData_OtherLivestock_AverageLiveweight[[#Headers],[Other livestock type]],0)</f>
        <v>Camels</v>
      </c>
      <c r="E59" s="39" cm="1">
        <f t="array" ref="E59">Common_InputFunctions.Utility_DisplayArrayInTable(SourceData_OtherLivestock.SourceData_OtherLivestock_AverageLiveweight_Data(),Table_SourceData_OtherLivestock_AverageLiveweight[[#Headers],[Other livestock type]],0)</f>
        <v>217</v>
      </c>
      <c r="F59" s="39"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9" t="str" cm="1">
        <f t="array" ref="D60">Common_InputFunctions.Utility_DisplayArrayInTable(SourceData_OtherLivestock.SourceData_OtherLivestock_AverageLiveweight_Data(),Table_SourceData_OtherLivestock_AverageLiveweight[[#Headers],[Other livestock type]],0)</f>
        <v>Alpacas</v>
      </c>
      <c r="E60" s="39" t="str" cm="1">
        <f t="array" ref="E60">Common_InputFunctions.Utility_DisplayArrayInTable(SourceData_OtherLivestock.SourceData_OtherLivestock_AverageLiveweight_Data(),Table_SourceData_OtherLivestock_AverageLiveweight[[#Headers],[Other livestock type]],0)</f>
        <v>-</v>
      </c>
      <c r="F60" s="39"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9" t="str" cm="1">
        <f t="array" ref="D61">Common_InputFunctions.Utility_DisplayArrayInTable(SourceData_OtherLivestock.SourceData_OtherLivestock_AverageLiveweight_Data(),Table_SourceData_OtherLivestock_AverageLiveweight[[#Headers],[Other livestock type]],0)</f>
        <v>Horses</v>
      </c>
      <c r="E61" s="39" cm="1">
        <f t="array" ref="E61">Common_InputFunctions.Utility_DisplayArrayInTable(SourceData_OtherLivestock.SourceData_OtherLivestock_AverageLiveweight_Data(),Table_SourceData_OtherLivestock_AverageLiveweight[[#Headers],[Other livestock type]],0)</f>
        <v>377</v>
      </c>
      <c r="F61" s="39"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9" t="str" cm="1">
        <f t="array" ref="D62">Common_InputFunctions.Utility_DisplayArrayInTable(SourceData_OtherLivestock.SourceData_OtherLivestock_AverageLiveweight_Data(),Table_SourceData_OtherLivestock_AverageLiveweight[[#Headers],[Other livestock type]],0)</f>
        <v>Mules/asses</v>
      </c>
      <c r="E62" s="39" cm="1">
        <f t="array" ref="E62">Common_InputFunctions.Utility_DisplayArrayInTable(SourceData_OtherLivestock.SourceData_OtherLivestock_AverageLiveweight_Data(),Table_SourceData_OtherLivestock_AverageLiveweight[[#Headers],[Other livestock type]],0)</f>
        <v>130</v>
      </c>
      <c r="F62" s="39"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9" t="str" cm="1">
        <f t="array" ref="D63">Common_InputFunctions.Utility_DisplayArrayInTable(SourceData_OtherLivestock.SourceData_OtherLivestock_AverageLiveweight_Data(),Table_SourceData_OtherLivestock_AverageLiveweight[[#Headers],[Other livestock type]],0)</f>
        <v>Emus/ostriches</v>
      </c>
      <c r="E63" s="39" cm="1">
        <f t="array" ref="E63">Common_InputFunctions.Utility_DisplayArrayInTable(SourceData_OtherLivestock.SourceData_OtherLivestock_AverageLiveweight_Data(),Table_SourceData_OtherLivestock_AverageLiveweight[[#Headers],[Other livestock type]],0)</f>
        <v>120</v>
      </c>
      <c r="F63" s="39"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9" t="str" cm="1">
        <f t="array" ref="D64">Common_InputFunctions.Utility_DisplayArrayInTable(SourceData_OtherLivestock.SourceData_OtherLivestock_AverageLiveweight_Data(),Table_SourceData_OtherLivestock_AverageLiveweight[[#Headers],[Other livestock type]],0)</f>
        <v>Reference</v>
      </c>
      <c r="E64" s="39" t="str" cm="1">
        <f t="array" ref="E64">Common_InputFunctions.Utility_DisplayArrayInTable(SourceData_OtherLivestock.SourceData_OtherLivestock_AverageLiveweight_Data(),Table_SourceData_OtherLivestock_AverageLiveweight[[#Headers],[Other livestock type]],0)</f>
        <v>IPCC 2019 Table 10A.5 [2]</v>
      </c>
      <c r="F64" s="39"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5" t="str" cm="1">
        <f t="array" ref="D70">SourceData_OtherLivestock.SourceData_OtherLivestock_FractionWasteInMMS_Unit()</f>
        <v>fraction</v>
      </c>
      <c r="M70" s="1"/>
    </row>
    <row r="71" spans="4:13" ht="20.100000000000001" customHeight="1" x14ac:dyDescent="0.25">
      <c r="D71" s="39" t="s">
        <v>141</v>
      </c>
      <c r="E71" s="39" t="s">
        <v>137</v>
      </c>
      <c r="F71" s="52" t="s">
        <v>147</v>
      </c>
      <c r="M71" s="1"/>
    </row>
    <row r="72" spans="4:13" ht="20.100000000000001" customHeight="1" x14ac:dyDescent="0.25">
      <c r="D72" s="39" t="str" cm="1">
        <f t="array" ref="D72">Common_InputFunctions.Utility_DisplayArrayInTable(SourceData_OtherLivestock.SourceData_OtherLivestock_FractionWasteInMMS_Data(),Table_SourceData_OtherLivestock_FractionWasteInMMS[[#Headers],[Other livestock type]],0)</f>
        <v>ACT</v>
      </c>
      <c r="E72" s="39" cm="1">
        <f t="array" ref="E72">Common_InputFunctions.Utility_DisplayArrayInTable(SourceData_OtherLivestock.SourceData_OtherLivestock_FractionWasteInMMS_Data(),Table_SourceData_OtherLivestock_FractionWasteInMMS[[#Headers],[Other livestock type]],0)</f>
        <v>99.66</v>
      </c>
      <c r="F72" s="39"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9" t="str" cm="1">
        <f t="array" ref="D73">Common_InputFunctions.Utility_DisplayArrayInTable(SourceData_OtherLivestock.SourceData_OtherLivestock_FractionWasteInMMS_Data(),Table_SourceData_OtherLivestock_FractionWasteInMMS[[#Headers],[Other livestock type]],0)</f>
        <v>NSW</v>
      </c>
      <c r="E73" s="39" cm="1">
        <f t="array" ref="E73">Common_InputFunctions.Utility_DisplayArrayInTable(SourceData_OtherLivestock.SourceData_OtherLivestock_FractionWasteInMMS_Data(),Table_SourceData_OtherLivestock_FractionWasteInMMS[[#Headers],[Other livestock type]],0)</f>
        <v>99.66</v>
      </c>
      <c r="F73" s="39"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9" t="str" cm="1">
        <f t="array" ref="D74">Common_InputFunctions.Utility_DisplayArrayInTable(SourceData_OtherLivestock.SourceData_OtherLivestock_FractionWasteInMMS_Data(),Table_SourceData_OtherLivestock_FractionWasteInMMS[[#Headers],[Other livestock type]],0)</f>
        <v>NT</v>
      </c>
      <c r="E74" s="39" cm="1">
        <f t="array" ref="E74">Common_InputFunctions.Utility_DisplayArrayInTable(SourceData_OtherLivestock.SourceData_OtherLivestock_FractionWasteInMMS_Data(),Table_SourceData_OtherLivestock_FractionWasteInMMS[[#Headers],[Other livestock type]],0)</f>
        <v>99.66</v>
      </c>
      <c r="F74" s="39"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9" t="str" cm="1">
        <f t="array" ref="D75">Common_InputFunctions.Utility_DisplayArrayInTable(SourceData_OtherLivestock.SourceData_OtherLivestock_FractionWasteInMMS_Data(),Table_SourceData_OtherLivestock_FractionWasteInMMS[[#Headers],[Other livestock type]],0)</f>
        <v>QLD</v>
      </c>
      <c r="E75" s="39" cm="1">
        <f t="array" ref="E75">Common_InputFunctions.Utility_DisplayArrayInTable(SourceData_OtherLivestock.SourceData_OtherLivestock_FractionWasteInMMS_Data(),Table_SourceData_OtherLivestock_FractionWasteInMMS[[#Headers],[Other livestock type]],0)</f>
        <v>99.66</v>
      </c>
      <c r="F75" s="39"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9" t="str" cm="1">
        <f t="array" ref="D76">Common_InputFunctions.Utility_DisplayArrayInTable(SourceData_OtherLivestock.SourceData_OtherLivestock_FractionWasteInMMS_Data(),Table_SourceData_OtherLivestock_FractionWasteInMMS[[#Headers],[Other livestock type]],0)</f>
        <v>SA</v>
      </c>
      <c r="E76" s="39" cm="1">
        <f t="array" ref="E76">Common_InputFunctions.Utility_DisplayArrayInTable(SourceData_OtherLivestock.SourceData_OtherLivestock_FractionWasteInMMS_Data(),Table_SourceData_OtherLivestock_FractionWasteInMMS[[#Headers],[Other livestock type]],0)</f>
        <v>99.66</v>
      </c>
      <c r="F76" s="39"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9" t="str" cm="1">
        <f t="array" ref="D77">Common_InputFunctions.Utility_DisplayArrayInTable(SourceData_OtherLivestock.SourceData_OtherLivestock_FractionWasteInMMS_Data(),Table_SourceData_OtherLivestock_FractionWasteInMMS[[#Headers],[Other livestock type]],0)</f>
        <v>TAS</v>
      </c>
      <c r="E77" s="39" cm="1">
        <f t="array" ref="E77">Common_InputFunctions.Utility_DisplayArrayInTable(SourceData_OtherLivestock.SourceData_OtherLivestock_FractionWasteInMMS_Data(),Table_SourceData_OtherLivestock_FractionWasteInMMS[[#Headers],[Other livestock type]],0)</f>
        <v>99.66</v>
      </c>
      <c r="F77" s="39"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9" t="str" cm="1">
        <f t="array" ref="D78">Common_InputFunctions.Utility_DisplayArrayInTable(SourceData_OtherLivestock.SourceData_OtherLivestock_FractionWasteInMMS_Data(),Table_SourceData_OtherLivestock_FractionWasteInMMS[[#Headers],[Other livestock type]],0)</f>
        <v>VIC</v>
      </c>
      <c r="E78" s="39" cm="1">
        <f t="array" ref="E78">Common_InputFunctions.Utility_DisplayArrayInTable(SourceData_OtherLivestock.SourceData_OtherLivestock_FractionWasteInMMS_Data(),Table_SourceData_OtherLivestock_FractionWasteInMMS[[#Headers],[Other livestock type]],0)</f>
        <v>99.66</v>
      </c>
      <c r="F78" s="39"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9" t="str" cm="1">
        <f t="array" ref="D79">Common_InputFunctions.Utility_DisplayArrayInTable(SourceData_OtherLivestock.SourceData_OtherLivestock_FractionWasteInMMS_Data(),Table_SourceData_OtherLivestock_FractionWasteInMMS[[#Headers],[Other livestock type]],0)</f>
        <v>WA</v>
      </c>
      <c r="E79" s="39" cm="1">
        <f t="array" ref="E79">Common_InputFunctions.Utility_DisplayArrayInTable(SourceData_OtherLivestock.SourceData_OtherLivestock_FractionWasteInMMS_Data(),Table_SourceData_OtherLivestock_FractionWasteInMMS[[#Headers],[Other livestock type]],0)</f>
        <v>99.66</v>
      </c>
      <c r="F79" s="39"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5" t="str" cm="1">
        <f t="array" ref="D85">SourceData_OtherLivestock.SourceData_OtherLivestock_MethaneConversionFactor_Unit()</f>
        <v>fraction</v>
      </c>
      <c r="M85" s="1"/>
    </row>
    <row r="86" spans="4:13" ht="20.100000000000001" customHeight="1" x14ac:dyDescent="0.25">
      <c r="D86" s="39" t="s">
        <v>141</v>
      </c>
      <c r="E86" s="39" t="s">
        <v>137</v>
      </c>
      <c r="F86" s="52" t="s">
        <v>147</v>
      </c>
      <c r="M86" s="1"/>
    </row>
    <row r="87" spans="4:13" ht="20.100000000000001" customHeight="1" x14ac:dyDescent="0.25">
      <c r="D87" s="39" t="str" cm="1">
        <f t="array" ref="D87">Common_InputFunctions.Utility_DisplayArrayInTable(SourceData_OtherLivestock.SourceData_OtherLivestock_MethaneConversionFactor_Data(),Table_SourceData_OtherLivestock_MCF[[#Headers],[Other livestock type]],0)</f>
        <v>ACT</v>
      </c>
      <c r="E87" s="39" cm="1">
        <f t="array" ref="E87">Common_InputFunctions.Utility_DisplayArrayInTable(SourceData_OtherLivestock.SourceData_OtherLivestock_MethaneConversionFactor_Data(),Table_SourceData_OtherLivestock_MCF[[#Headers],[Other livestock type]],0)</f>
        <v>4.7000000000000002E-3</v>
      </c>
      <c r="F87" s="39"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9" t="str" cm="1">
        <f t="array" ref="D88">Common_InputFunctions.Utility_DisplayArrayInTable(SourceData_OtherLivestock.SourceData_OtherLivestock_MethaneConversionFactor_Data(),Table_SourceData_OtherLivestock_MCF[[#Headers],[Other livestock type]],0)</f>
        <v>NSW</v>
      </c>
      <c r="E88" s="39" cm="1">
        <f t="array" ref="E88">Common_InputFunctions.Utility_DisplayArrayInTable(SourceData_OtherLivestock.SourceData_OtherLivestock_MethaneConversionFactor_Data(),Table_SourceData_OtherLivestock_MCF[[#Headers],[Other livestock type]],0)</f>
        <v>4.7000000000000002E-3</v>
      </c>
      <c r="F88" s="39"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9" t="str" cm="1">
        <f t="array" ref="D89">Common_InputFunctions.Utility_DisplayArrayInTable(SourceData_OtherLivestock.SourceData_OtherLivestock_MethaneConversionFactor_Data(),Table_SourceData_OtherLivestock_MCF[[#Headers],[Other livestock type]],0)</f>
        <v>NT</v>
      </c>
      <c r="E89" s="39" cm="1">
        <f t="array" ref="E89">Common_InputFunctions.Utility_DisplayArrayInTable(SourceData_OtherLivestock.SourceData_OtherLivestock_MethaneConversionFactor_Data(),Table_SourceData_OtherLivestock_MCF[[#Headers],[Other livestock type]],0)</f>
        <v>4.7000000000000002E-3</v>
      </c>
      <c r="F89" s="39"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9" t="str" cm="1">
        <f t="array" ref="D90">Common_InputFunctions.Utility_DisplayArrayInTable(SourceData_OtherLivestock.SourceData_OtherLivestock_MethaneConversionFactor_Data(),Table_SourceData_OtherLivestock_MCF[[#Headers],[Other livestock type]],0)</f>
        <v>QLD</v>
      </c>
      <c r="E90" s="39" cm="1">
        <f t="array" ref="E90">Common_InputFunctions.Utility_DisplayArrayInTable(SourceData_OtherLivestock.SourceData_OtherLivestock_MethaneConversionFactor_Data(),Table_SourceData_OtherLivestock_MCF[[#Headers],[Other livestock type]],0)</f>
        <v>4.7000000000000002E-3</v>
      </c>
      <c r="F90" s="39"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9" t="str" cm="1">
        <f t="array" ref="D91">Common_InputFunctions.Utility_DisplayArrayInTable(SourceData_OtherLivestock.SourceData_OtherLivestock_MethaneConversionFactor_Data(),Table_SourceData_OtherLivestock_MCF[[#Headers],[Other livestock type]],0)</f>
        <v>SA</v>
      </c>
      <c r="E91" s="39" cm="1">
        <f t="array" ref="E91">Common_InputFunctions.Utility_DisplayArrayInTable(SourceData_OtherLivestock.SourceData_OtherLivestock_MethaneConversionFactor_Data(),Table_SourceData_OtherLivestock_MCF[[#Headers],[Other livestock type]],0)</f>
        <v>4.7000000000000002E-3</v>
      </c>
      <c r="F91" s="39"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9" t="str" cm="1">
        <f t="array" ref="D92">Common_InputFunctions.Utility_DisplayArrayInTable(SourceData_OtherLivestock.SourceData_OtherLivestock_MethaneConversionFactor_Data(),Table_SourceData_OtherLivestock_MCF[[#Headers],[Other livestock type]],0)</f>
        <v>TAS</v>
      </c>
      <c r="E92" s="39" cm="1">
        <f t="array" ref="E92">Common_InputFunctions.Utility_DisplayArrayInTable(SourceData_OtherLivestock.SourceData_OtherLivestock_MethaneConversionFactor_Data(),Table_SourceData_OtherLivestock_MCF[[#Headers],[Other livestock type]],0)</f>
        <v>4.7000000000000002E-3</v>
      </c>
      <c r="F92" s="39"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9" t="str" cm="1">
        <f t="array" ref="D93">Common_InputFunctions.Utility_DisplayArrayInTable(SourceData_OtherLivestock.SourceData_OtherLivestock_MethaneConversionFactor_Data(),Table_SourceData_OtherLivestock_MCF[[#Headers],[Other livestock type]],0)</f>
        <v>VIC</v>
      </c>
      <c r="E93" s="39" cm="1">
        <f t="array" ref="E93">Common_InputFunctions.Utility_DisplayArrayInTable(SourceData_OtherLivestock.SourceData_OtherLivestock_MethaneConversionFactor_Data(),Table_SourceData_OtherLivestock_MCF[[#Headers],[Other livestock type]],0)</f>
        <v>4.7000000000000002E-3</v>
      </c>
      <c r="F93" s="39"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9" t="str" cm="1">
        <f t="array" ref="D94">Common_InputFunctions.Utility_DisplayArrayInTable(SourceData_OtherLivestock.SourceData_OtherLivestock_MethaneConversionFactor_Data(),Table_SourceData_OtherLivestock_MCF[[#Headers],[Other livestock type]],0)</f>
        <v>WA</v>
      </c>
      <c r="E94" s="39" cm="1">
        <f t="array" ref="E94">Common_InputFunctions.Utility_DisplayArrayInTable(SourceData_OtherLivestock.SourceData_OtherLivestock_MethaneConversionFactor_Data(),Table_SourceData_OtherLivestock_MCF[[#Headers],[Other livestock type]],0)</f>
        <v>4.7000000000000002E-3</v>
      </c>
      <c r="F94" s="39"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6"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5" t="str" cm="1">
        <f t="array" ref="D101">SourceData_OtherLivestock.SourceData_OtherLivestock_MethaneEmissionsPotential_Unit()</f>
        <v>m3 CH4 / kg VS</v>
      </c>
      <c r="M101" s="1"/>
    </row>
    <row r="102" spans="4:13" ht="20.100000000000001" customHeight="1" x14ac:dyDescent="0.25">
      <c r="D102" s="39" t="s">
        <v>141</v>
      </c>
      <c r="E102" s="39" t="s">
        <v>180</v>
      </c>
      <c r="F102" s="52" t="s">
        <v>179</v>
      </c>
      <c r="M102" s="1"/>
    </row>
    <row r="103" spans="4:13" ht="20.100000000000001" customHeight="1" x14ac:dyDescent="0.25">
      <c r="D103" s="39" t="str" cm="1">
        <f t="array" ref="D103">Common_InputFunctions.Utility_DisplayArrayInTable(SourceData_OtherLivestock.SourceData_OtherLivestock_MethaneEmissionsPotential_Data(),Table_SourceData_OtherLivestock_MethaneEmissionsPotential[[#Headers],[Other livestock type]],0)</f>
        <v>Buffalo</v>
      </c>
      <c r="E103" s="39" cm="1">
        <f t="array" ref="E103">Common_InputFunctions.Utility_DisplayArrayInTable(SourceData_OtherLivestock.SourceData_OtherLivestock_MethaneEmissionsPotential_Data(),Table_SourceData_OtherLivestock_MethaneEmissionsPotential[[#Headers],[Other livestock type]],0)</f>
        <v>0.19</v>
      </c>
      <c r="F103" s="39"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9" t="str" cm="1">
        <f t="array" ref="D104">Common_InputFunctions.Utility_DisplayArrayInTable(SourceData_OtherLivestock.SourceData_OtherLivestock_MethaneEmissionsPotential_Data(),Table_SourceData_OtherLivestock_MethaneEmissionsPotential[[#Headers],[Other livestock type]],0)</f>
        <v>Goats</v>
      </c>
      <c r="E104" s="39" cm="1">
        <f t="array" ref="E104">Common_InputFunctions.Utility_DisplayArrayInTable(SourceData_OtherLivestock.SourceData_OtherLivestock_MethaneEmissionsPotential_Data(),Table_SourceData_OtherLivestock_MethaneEmissionsPotential[[#Headers],[Other livestock type]],0)</f>
        <v>0.24</v>
      </c>
      <c r="F104" s="39"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9" t="str" cm="1">
        <f t="array" ref="D105">Common_InputFunctions.Utility_DisplayArrayInTable(SourceData_OtherLivestock.SourceData_OtherLivestock_MethaneEmissionsPotential_Data(),Table_SourceData_OtherLivestock_MethaneEmissionsPotential[[#Headers],[Other livestock type]],0)</f>
        <v>Deer</v>
      </c>
      <c r="E105" s="39" cm="1">
        <f t="array" ref="E105">Common_InputFunctions.Utility_DisplayArrayInTable(SourceData_OtherLivestock.SourceData_OtherLivestock_MethaneEmissionsPotential_Data(),Table_SourceData_OtherLivestock_MethaneEmissionsPotential[[#Headers],[Other livestock type]],0)</f>
        <v>0.24</v>
      </c>
      <c r="F105" s="39"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9" t="str" cm="1">
        <f t="array" ref="D106">Common_InputFunctions.Utility_DisplayArrayInTable(SourceData_OtherLivestock.SourceData_OtherLivestock_MethaneEmissionsPotential_Data(),Table_SourceData_OtherLivestock_MethaneEmissionsPotential[[#Headers],[Other livestock type]],0)</f>
        <v>Camels</v>
      </c>
      <c r="E106" s="39" cm="1">
        <f t="array" ref="E106">Common_InputFunctions.Utility_DisplayArrayInTable(SourceData_OtherLivestock.SourceData_OtherLivestock_MethaneEmissionsPotential_Data(),Table_SourceData_OtherLivestock_MethaneEmissionsPotential[[#Headers],[Other livestock type]],0)</f>
        <v>0.24</v>
      </c>
      <c r="F106" s="39"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9" t="str" cm="1">
        <f t="array" ref="D107">Common_InputFunctions.Utility_DisplayArrayInTable(SourceData_OtherLivestock.SourceData_OtherLivestock_MethaneEmissionsPotential_Data(),Table_SourceData_OtherLivestock_MethaneEmissionsPotential[[#Headers],[Other livestock type]],0)</f>
        <v>Alpacas</v>
      </c>
      <c r="E107" s="39" cm="1">
        <f t="array" ref="E107">Common_InputFunctions.Utility_DisplayArrayInTable(SourceData_OtherLivestock.SourceData_OtherLivestock_MethaneEmissionsPotential_Data(),Table_SourceData_OtherLivestock_MethaneEmissionsPotential[[#Headers],[Other livestock type]],0)</f>
        <v>0.24</v>
      </c>
      <c r="F107" s="39"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9" t="str" cm="1">
        <f t="array" ref="D108">Common_InputFunctions.Utility_DisplayArrayInTable(SourceData_OtherLivestock.SourceData_OtherLivestock_MethaneEmissionsPotential_Data(),Table_SourceData_OtherLivestock_MethaneEmissionsPotential[[#Headers],[Other livestock type]],0)</f>
        <v>Horses</v>
      </c>
      <c r="E108" s="39" cm="1">
        <f t="array" ref="E108">Common_InputFunctions.Utility_DisplayArrayInTable(SourceData_OtherLivestock.SourceData_OtherLivestock_MethaneEmissionsPotential_Data(),Table_SourceData_OtherLivestock_MethaneEmissionsPotential[[#Headers],[Other livestock type]],0)</f>
        <v>0.19</v>
      </c>
      <c r="F108" s="39"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9" t="str" cm="1">
        <f t="array" ref="D109">Common_InputFunctions.Utility_DisplayArrayInTable(SourceData_OtherLivestock.SourceData_OtherLivestock_MethaneEmissionsPotential_Data(),Table_SourceData_OtherLivestock_MethaneEmissionsPotential[[#Headers],[Other livestock type]],0)</f>
        <v>Mules/asses</v>
      </c>
      <c r="E109" s="39" cm="1">
        <f t="array" ref="E109">Common_InputFunctions.Utility_DisplayArrayInTable(SourceData_OtherLivestock.SourceData_OtherLivestock_MethaneEmissionsPotential_Data(),Table_SourceData_OtherLivestock_MethaneEmissionsPotential[[#Headers],[Other livestock type]],0)</f>
        <v>0.24</v>
      </c>
      <c r="F109" s="39"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9" t="str" cm="1">
        <f t="array" ref="D110">Common_InputFunctions.Utility_DisplayArrayInTable(SourceData_OtherLivestock.SourceData_OtherLivestock_MethaneEmissionsPotential_Data(),Table_SourceData_OtherLivestock_MethaneEmissionsPotential[[#Headers],[Other livestock type]],0)</f>
        <v>Emus/ostriches</v>
      </c>
      <c r="E110" s="39" cm="1">
        <f t="array" ref="E110">Common_InputFunctions.Utility_DisplayArrayInTable(SourceData_OtherLivestock.SourceData_OtherLivestock_MethaneEmissionsPotential_Data(),Table_SourceData_OtherLivestock_MethaneEmissionsPotential[[#Headers],[Other livestock type]],0)</f>
        <v>0.36</v>
      </c>
      <c r="F110" s="39"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4" t="str" cm="1">
        <f t="array" ref="D115">SourceData_OtherLivestock.SourceData_OtherLivestock_FracGASMSoil_Variable()</f>
        <v>FracGASMsoil</v>
      </c>
      <c r="E115" s="1" cm="1">
        <f t="array" ref="E115">SourceData_OtherLivestock.SourceData_OtherLivestock_FracGASMSoil_Data()</f>
        <v>0.21</v>
      </c>
      <c r="F115" s="55"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208</v>
      </c>
      <c r="G118" s="6" t="s">
        <v>103</v>
      </c>
      <c r="M118" s="1"/>
    </row>
    <row r="119" spans="4:13" ht="20.100000000000001" customHeight="1" x14ac:dyDescent="0.25">
      <c r="M119" s="1"/>
    </row>
    <row r="120" spans="4:13" ht="20.100000000000001" customHeight="1" x14ac:dyDescent="0.25">
      <c r="D120" s="39" t="s">
        <v>102</v>
      </c>
      <c r="G120" s="39" t="s">
        <v>100</v>
      </c>
      <c r="M120" s="1"/>
    </row>
    <row r="121" spans="4:13" ht="20.100000000000001" customHeight="1" x14ac:dyDescent="0.25">
      <c r="D121" s="39" t="str">
        <f>'Constants - Common'!$F$187</f>
        <v>Pasture</v>
      </c>
      <c r="G121" s="39" t="s">
        <v>104</v>
      </c>
      <c r="M121" s="1"/>
    </row>
    <row r="122" spans="4:13" ht="20.100000000000001" customHeight="1" x14ac:dyDescent="0.25">
      <c r="D122" s="1" t="str">
        <f>'Constants - Common'!$F$188</f>
        <v>Crop</v>
      </c>
      <c r="G122" s="39" t="s">
        <v>105</v>
      </c>
      <c r="M122" s="1"/>
    </row>
    <row r="123" spans="4:13" ht="20.100000000000001" customHeight="1" x14ac:dyDescent="0.25">
      <c r="G123" s="1" t="s">
        <v>106</v>
      </c>
      <c r="M123" s="1"/>
    </row>
    <row r="124" spans="4:13" ht="20.100000000000001" customHeight="1" x14ac:dyDescent="0.25">
      <c r="G124" s="1" t="s">
        <v>107</v>
      </c>
      <c r="M124" s="1"/>
    </row>
    <row r="125" spans="4:13" ht="20.100000000000001" customHeight="1" x14ac:dyDescent="0.25">
      <c r="G125" s="1" t="s">
        <v>108</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Other Livestock'!A1", "Other Livestock")</f>
        <v>Other Livestock</v>
      </c>
      <c r="D9" s="38" t="s">
        <v>74</v>
      </c>
      <c r="E9" s="39" t="s">
        <v>17</v>
      </c>
      <c r="F9" s="39" t="s">
        <v>75</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71</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HYPERLINK("#'4.7.1.1-2 Manure Methane'!A1", "4.7.1.1-2 Methane")</f>
        <v>4.7.1.1-2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HYPERLINK("#'4.7.1.3-4 Soil Direct N2O'!A1", "4.7.1.3-4 Soil Direct N2O")</f>
        <v>4.7.1.3-4 Soil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HYPERLINK("#'4.7.1.5-6 Soil Atmos Deposition'!A1", "4.7.1.5-6 Soil Atmos deposition")</f>
        <v>4.7.1.5-6 Soil Atmos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HYPERLINK("#'4.7.1.7-8 Soil Leaching Runoff'!A1", "4.7.1.8-9 Soil Leaching &amp; Runoff")</f>
        <v>4.7.1.8-9 Soil Leaching &amp;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2</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Other Livestock'!A1", "Constants - Other Livestock")</f>
        <v>Constants - Other Livestock</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68"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26737-64C5-486E-9BCE-BF131E8B59C6}">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18</v>
      </c>
      <c r="E6" s="39" t="s">
        <v>19</v>
      </c>
      <c r="F6" s="39" t="s">
        <v>20</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21</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24</v>
      </c>
      <c r="E36" s="39" t="s">
        <v>25</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24</v>
      </c>
      <c r="E47" s="39" t="s">
        <v>27</v>
      </c>
      <c r="F47" s="39" t="s">
        <v>28</v>
      </c>
      <c r="G47" s="39" t="s">
        <v>29</v>
      </c>
      <c r="H47" s="39" t="s">
        <v>30</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6" t="str" cm="1">
        <f t="array" ref="D59:D61">"⚠️" &amp; Common_SourceData.Common_SourceData_WetAndDryZones_Variation()</f>
        <v>⚠️VARIATION OF SOURCE DATA:</v>
      </c>
    </row>
    <row r="60" spans="4:8" ht="20.100000000000001" customHeight="1" x14ac:dyDescent="0.25">
      <c r="D60" s="56" t="str">
        <v>⚠️Added warm / cool temperate moist / dry - low frost and high temp classes to accommodate climate scenarios excluded by VEERG criteria.</v>
      </c>
    </row>
    <row r="61" spans="4:8" ht="20.100000000000001" customHeight="1" x14ac:dyDescent="0.25">
      <c r="D61" s="56" t="str">
        <v>⚠️Fixed typo - Changed 'Fry' to 'Dry'.</v>
      </c>
    </row>
    <row r="62" spans="4:8" ht="20.100000000000001" customHeight="1" x14ac:dyDescent="0.25"/>
    <row r="63" spans="4:8" ht="20.100000000000001" customHeight="1" x14ac:dyDescent="0.25">
      <c r="D63" s="39" t="s">
        <v>8</v>
      </c>
      <c r="E63" s="39" t="s">
        <v>45</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6" t="str" cm="1">
        <f t="array" ref="D83:D87">"⚠️" &amp; Common_SourceData.Common_SourceData_ClimateZones_Variation()</f>
        <v>⚠️VARIATION OF SOURCE DATA:</v>
      </c>
    </row>
    <row r="84" spans="4:20" ht="20.100000000000001" customHeight="1" x14ac:dyDescent="0.25">
      <c r="D84" s="56" t="str">
        <v>⚠️Added warm / cool temperate moist / dry - low frost and high temp classes to accommodate climate scenarios excluded by VEERG criteria.</v>
      </c>
    </row>
    <row r="85" spans="4:20" ht="20.100000000000001" customHeight="1" x14ac:dyDescent="0.25">
      <c r="D85" s="56" t="str">
        <v>⚠️Fixed typo in MAT value for warm temperate dry - changed 10 to 11.</v>
      </c>
    </row>
    <row r="86" spans="4:20" ht="20.100000000000001" customHeight="1" x14ac:dyDescent="0.25">
      <c r="D86" s="56" t="str">
        <v>⚠️Added min and max columns for MAT, MAP, frost days per year, elevation, MAP:PET to calculate zones from real climate data.</v>
      </c>
    </row>
    <row r="87" spans="4:20" ht="20.100000000000001" customHeight="1" x14ac:dyDescent="0.25">
      <c r="D87" s="56" t="str">
        <v>⚠️GAF accepts rainfall as a proxy for precipitation.</v>
      </c>
    </row>
    <row r="88" spans="4:20" ht="20.100000000000001" customHeight="1" x14ac:dyDescent="0.25"/>
    <row r="89" spans="4:20" ht="20.100000000000001" customHeight="1" x14ac:dyDescent="0.25">
      <c r="D89" s="39" t="s">
        <v>8</v>
      </c>
      <c r="E89" s="39" t="s">
        <v>33</v>
      </c>
      <c r="F89" s="39" t="s">
        <v>34</v>
      </c>
      <c r="G89" s="39" t="s">
        <v>35</v>
      </c>
      <c r="H89" s="39" t="s">
        <v>36</v>
      </c>
      <c r="I89" s="39" t="s">
        <v>37</v>
      </c>
      <c r="J89" s="39" t="s">
        <v>38</v>
      </c>
      <c r="K89" s="39" t="s">
        <v>39</v>
      </c>
      <c r="L89" s="39" t="s">
        <v>40</v>
      </c>
      <c r="M89" s="39" t="s">
        <v>41</v>
      </c>
      <c r="N89" s="39" t="s">
        <v>42</v>
      </c>
      <c r="O89" s="39" t="s">
        <v>46</v>
      </c>
      <c r="P89" s="39" t="s">
        <v>43</v>
      </c>
      <c r="Q89" s="39" t="s">
        <v>47</v>
      </c>
      <c r="R89" s="39" t="s">
        <v>44</v>
      </c>
      <c r="S89" s="39" t="s">
        <v>48</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5" t="str" cm="1">
        <f t="array" ref="D99:D102">Common_SourceData.Common_SourceData_ClimateZones_Appendices()</f>
        <v>Note:</v>
      </c>
    </row>
    <row r="100" spans="4:20" ht="20.100000000000001" customHeight="1" x14ac:dyDescent="0.25">
      <c r="D100" s="55" t="str">
        <v>MAT = mean annual temperature</v>
      </c>
    </row>
    <row r="101" spans="4:20" ht="20.100000000000001" customHeight="1" x14ac:dyDescent="0.25">
      <c r="D101" s="55" t="str">
        <v>MAP = mean annual precipitation</v>
      </c>
    </row>
    <row r="102" spans="4:20" ht="20.100000000000001" customHeight="1" x14ac:dyDescent="0.25">
      <c r="D102" s="55" t="str">
        <v>PET = potential evapotranspiration</v>
      </c>
    </row>
    <row r="103" spans="4:20" ht="20.100000000000001" customHeight="1" x14ac:dyDescent="0.25">
      <c r="D103" s="55"/>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52</v>
      </c>
      <c r="E109" s="39" t="s">
        <v>33</v>
      </c>
      <c r="F109" s="39" t="s">
        <v>53</v>
      </c>
      <c r="G109" s="39" t="s">
        <v>54</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6"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55</v>
      </c>
      <c r="E119" s="39" t="s">
        <v>56</v>
      </c>
      <c r="F119" s="39" t="s">
        <v>40</v>
      </c>
      <c r="G119" s="39" t="s">
        <v>41</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62</v>
      </c>
      <c r="E127" s="39" t="s">
        <v>63</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79</v>
      </c>
      <c r="E134" t="s">
        <v>80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113</v>
      </c>
      <c r="E142" s="39" t="s">
        <v>80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65</v>
      </c>
      <c r="E153" s="39" t="s">
        <v>66</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9" t="s">
        <v>97</v>
      </c>
      <c r="E186" s="39" t="s">
        <v>98</v>
      </c>
      <c r="F186" s="39" t="s">
        <v>99</v>
      </c>
      <c r="G186" s="39" t="s">
        <v>100</v>
      </c>
      <c r="H186" s="39" t="s">
        <v>32</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9" t="s">
        <v>8</v>
      </c>
      <c r="E206" s="39" t="s">
        <v>114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115</v>
      </c>
      <c r="E212" s="39" t="s">
        <v>116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49</v>
      </c>
      <c r="E231" s="39" t="s">
        <v>125</v>
      </c>
      <c r="F231" s="38" t="s">
        <v>126</v>
      </c>
      <c r="G231" s="39" t="s">
        <v>127</v>
      </c>
      <c r="H231" s="39" t="s">
        <v>128</v>
      </c>
      <c r="I231" s="39" t="s">
        <v>129</v>
      </c>
      <c r="J231" s="39" t="s">
        <v>130</v>
      </c>
      <c r="K231" s="39" t="s">
        <v>131</v>
      </c>
      <c r="L231" s="39" t="s">
        <v>132</v>
      </c>
      <c r="M231" s="39" t="s">
        <v>133</v>
      </c>
      <c r="N231" s="39" t="s">
        <v>134</v>
      </c>
      <c r="O231" s="39" t="s">
        <v>135</v>
      </c>
      <c r="P231" s="39" t="s">
        <v>136</v>
      </c>
      <c r="Q231" s="39" t="s">
        <v>123</v>
      </c>
      <c r="R231" s="39" t="s">
        <v>137</v>
      </c>
      <c r="S231" s="39" t="s">
        <v>138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9" t="s">
        <v>244</v>
      </c>
      <c r="E257" s="39" t="s">
        <v>245</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87</vt:i4>
      </vt:variant>
    </vt:vector>
  </HeadingPairs>
  <TitlesOfParts>
    <vt:vector size="100"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