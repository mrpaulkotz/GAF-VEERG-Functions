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8E8DDB4-4A7D-4AE1-A59C-4762569C21A9}" xr6:coauthVersionLast="47" xr6:coauthVersionMax="47" xr10:uidLastSave="{00000000-0000-0000-0000-000000000000}"/>
  <bookViews>
    <workbookView xWindow="3510" yWindow="3510" windowWidth="28800" windowHeight="15345" firstSheet="8"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5" r:id="rId12"/>
    <sheet name="Acknowledgements" sheetId="72" r:id="rId13"/>
  </sheets>
  <externalReferences>
    <externalReference r:id="rId14"/>
    <externalReference r:id="rId15"/>
    <externalReference r:id="rId16"/>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'4.7.1.7-8 Soil Leaching Runoff'!CommonLivestock_InputFunctions.LivestockMovement_ProportionalAverageLiveweightRemainingAtEndOfMonth(_xlpm.Month,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'4.7.1.7-8 Soil Leaching Runoff'!CommonLivestock_InputFunctions.LivestockMovement_LiveweightGrownDuringMonthPerHead(_xlpm.LivestockClass,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79" l="1"/>
  <c r="D121" i="79"/>
  <c r="I69" i="104"/>
  <c r="I15" i="104"/>
  <c r="J17" i="69"/>
  <c r="O60" i="69"/>
  <c r="O59" i="69"/>
  <c r="I66" i="102"/>
  <c r="G42" i="104"/>
  <c r="G41" i="104"/>
  <c r="G40" i="104"/>
  <c r="G39" i="104"/>
  <c r="G38" i="104"/>
  <c r="G37" i="104"/>
  <c r="G36" i="104"/>
  <c r="G35" i="104"/>
  <c r="H67" i="103"/>
  <c r="H66" i="103"/>
  <c r="H65" i="103"/>
  <c r="H64" i="103"/>
  <c r="H63" i="103"/>
  <c r="H62" i="103"/>
  <c r="H61" i="103"/>
  <c r="H60" i="103"/>
  <c r="E30" i="15"/>
  <c r="E33" i="15"/>
  <c r="E32" i="15"/>
  <c r="E31" i="15"/>
  <c r="I70" i="104"/>
  <c r="I52" i="103"/>
  <c r="I67" i="102"/>
  <c r="G75" i="104"/>
  <c r="G84" i="103"/>
  <c r="G73" i="102"/>
  <c r="Q116" i="69"/>
  <c r="G116" i="69"/>
  <c r="J18" i="69"/>
  <c r="I56" i="70"/>
  <c r="H56" i="70"/>
  <c r="G56" i="70"/>
  <c r="F56" i="70"/>
  <c r="E56" i="70"/>
  <c r="I55" i="70"/>
  <c r="H55" i="70"/>
  <c r="G55" i="70"/>
  <c r="F55" i="70"/>
  <c r="E55" i="70"/>
  <c r="E42" i="70"/>
  <c r="E41" i="70"/>
  <c r="E28" i="70"/>
  <c r="E27" i="70"/>
  <c r="E14" i="70"/>
  <c r="E13" i="70"/>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H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H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a="1"/>
  <c r="D18" i="105" s="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F7" i="105" a="1"/>
  <c r="F7" i="105" s="1"/>
  <c r="E7" i="105" a="1"/>
  <c r="E7" i="105" s="1"/>
  <c r="D7" i="105" a="1"/>
  <c r="D7" i="105" s="1"/>
  <c r="D5" i="105" a="1"/>
  <c r="D5" i="105" s="1"/>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F42" i="104"/>
  <c r="E42" i="104"/>
  <c r="F41" i="104"/>
  <c r="E41" i="104"/>
  <c r="F40" i="104"/>
  <c r="E40" i="104"/>
  <c r="F39" i="104"/>
  <c r="E39" i="104"/>
  <c r="F38" i="104"/>
  <c r="E38" i="104"/>
  <c r="F37" i="104"/>
  <c r="E37" i="104"/>
  <c r="F36" i="104"/>
  <c r="E36" i="104"/>
  <c r="F35" i="104"/>
  <c r="E35" i="104"/>
  <c r="F67" i="103"/>
  <c r="F66" i="103"/>
  <c r="F65" i="103"/>
  <c r="F64" i="103"/>
  <c r="F63" i="103"/>
  <c r="F62" i="103"/>
  <c r="F61" i="103"/>
  <c r="F60" i="103"/>
  <c r="E67" i="103"/>
  <c r="E66" i="103"/>
  <c r="E65" i="103"/>
  <c r="E64" i="103"/>
  <c r="E63" i="103"/>
  <c r="E62" i="103"/>
  <c r="E61" i="103"/>
  <c r="E60" i="103"/>
  <c r="I16" i="104"/>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E27" i="102"/>
  <c r="E26" i="102"/>
  <c r="E25" i="102"/>
  <c r="E24" i="102"/>
  <c r="E23" i="102"/>
  <c r="E22" i="102"/>
  <c r="E21" i="102"/>
  <c r="E20" i="102"/>
  <c r="E99" i="69"/>
  <c r="E98" i="69"/>
  <c r="E97" i="69"/>
  <c r="E96" i="69"/>
  <c r="E95" i="69"/>
  <c r="E94" i="69"/>
  <c r="E93" i="69"/>
  <c r="E92" i="69"/>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T18" i="69"/>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D50" i="70"/>
  <c r="D36" i="70"/>
  <c r="D22" i="70"/>
  <c r="D8" i="70"/>
  <c r="E62" i="104" a="1"/>
  <c r="E7" i="103" a="1"/>
  <c r="E7" i="69" a="1"/>
  <c r="E7" i="104" a="1"/>
  <c r="E44" i="103" a="1"/>
  <c r="E78" i="69" a="1"/>
  <c r="E59" i="102" a="1"/>
  <c r="E7" i="102" a="1"/>
  <c r="H50" i="105" l="1"/>
  <c r="H54" i="105"/>
  <c r="H51" i="105"/>
  <c r="H49" i="105"/>
  <c r="Q104" i="69"/>
  <c r="I60" i="103"/>
  <c r="H53" i="105"/>
  <c r="E7" i="103"/>
  <c r="E62" i="104"/>
  <c r="E7" i="104"/>
  <c r="I14" i="103"/>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F31" i="103" l="1"/>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25" i="103" l="1"/>
  <c r="E29" i="104"/>
  <c r="E23" i="104"/>
  <c r="E19" i="103"/>
  <c r="E31" i="103" s="1" a="1"/>
  <c r="E31" i="103" s="1"/>
  <c r="E26" i="104"/>
  <c r="E22" i="103"/>
  <c r="E34" i="103" s="1" a="1"/>
  <c r="E34" i="103" s="1"/>
  <c r="E25" i="104"/>
  <c r="E21" i="103"/>
  <c r="E33" i="103" s="1" a="1"/>
  <c r="E33" i="103" s="1"/>
  <c r="E23" i="103"/>
  <c r="E35" i="103" s="1" a="1"/>
  <c r="E35" i="103" s="1"/>
  <c r="E27" i="104"/>
  <c r="E24" i="104"/>
  <c r="E20" i="103"/>
  <c r="E32" i="103" s="1" a="1"/>
  <c r="E32" i="103" s="1"/>
  <c r="E26" i="103"/>
  <c r="E38" i="103" s="1" a="1"/>
  <c r="E38" i="103" s="1"/>
  <c r="E30" i="104"/>
  <c r="E24" i="103"/>
  <c r="E28" i="104"/>
  <c r="E37" i="103" a="1"/>
  <c r="E37" i="103" s="1"/>
  <c r="E36" i="103" a="1"/>
  <c r="E36"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G65" i="103"/>
  <c r="G64" i="103"/>
  <c r="G63" i="103"/>
  <c r="G62" i="103"/>
  <c r="G61" i="103"/>
  <c r="G60" i="103"/>
  <c r="G67" i="103"/>
  <c r="G66" i="103"/>
  <c r="I68" i="102"/>
  <c r="E70" i="102" s="1"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9" i="103" a="1"/>
  <c r="E79" i="103" s="1"/>
  <c r="E73" i="103" a="1"/>
  <c r="E73" i="103" s="1"/>
  <c r="E77" i="103" a="1"/>
  <c r="E77" i="103" s="1"/>
  <c r="E72" i="104" a="1"/>
  <c r="E72" i="104" s="1"/>
  <c r="E10" i="13" s="1"/>
  <c r="F10" i="1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G83" i="103"/>
  <c r="E86" i="103" s="1" a="1"/>
  <c r="E86" i="103" s="1"/>
  <c r="H9" i="13" s="1"/>
  <c r="I9" i="13" s="1"/>
  <c r="E113" i="69"/>
  <c r="O113" i="69"/>
  <c r="D115" i="69" a="1"/>
  <c r="D115" i="69" s="1"/>
  <c r="F118" i="69" a="1"/>
  <c r="F118" i="69" s="1"/>
  <c r="Q115" i="69" l="1"/>
  <c r="O118" i="69" s="1" a="1"/>
  <c r="O118" i="69" s="1"/>
  <c r="I7" i="13" s="1"/>
  <c r="I11" i="13" s="1"/>
  <c r="F7" i="13"/>
  <c r="G7" i="13"/>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<sst xmlns="http://schemas.openxmlformats.org/spreadsheetml/2006/main" count="562" uniqueCount="246">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</sst>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3_6_Enteric_OtherLivestock_WIP_v01.xlsx" TargetMode="External"/><Relationship Id="rId1" Type="http://schemas.openxmlformats.org/officeDocument/2006/relationships/externalLinkPath" Target="3_6_Enteric_OtherLivestock_WIP_v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4_2_ManureManagement_BeefPasture_WIP_v06.xlsx" TargetMode="External"/><Relationship Id="rId1" Type="http://schemas.openxmlformats.org/officeDocument/2006/relationships/externalLinkPath" Target="4_2_ManureManagement_BeefPasture_WIP_v0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Other Livestock"/>
      <sheetName val="3.6.1.1-2 Enteric Methane"/>
      <sheetName val="Constants - Other Livestock"/>
      <sheetName val="Constants - Common"/>
      <sheetName val="Acknowledgements"/>
      <sheetName val="Tab template"/>
    </sheetNames>
    <sheetDataSet>
      <sheetData sheetId="0" refreshError="1"/>
      <sheetData sheetId="1" refreshError="1"/>
      <sheetData sheetId="2" refreshError="1"/>
      <sheetData sheetId="3">
        <row r="12">
          <cell r="E12">
            <v>45292</v>
          </cell>
        </row>
        <row r="13">
          <cell r="E13">
            <v>45657</v>
          </cell>
        </row>
      </sheetData>
      <sheetData sheetId="4" refreshError="1"/>
      <sheetData sheetId="5" refreshError="1"/>
      <sheetData sheetId="6"/>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ture Beef"/>
      <sheetName val="Constants - Common"/>
      <sheetName val="Constants - Livestock"/>
      <sheetName val="Acknowledgements"/>
      <sheetName val="Tab template"/>
      <sheetName val="4_2_ManureManagement_BeefPastu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7" dataCellStyle="Content normal">
  <autoFilter ref="D24:E32" xr:uid="{50599DA1-A8E6-43AC-9BA5-F5F05D972680}">
    <filterColumn colId="0" hiddenButton="1"/>
    <filterColumn colId="1" hiddenButton="1"/>
  </autoFilter>
  <tableColumns count="2">
    <tableColumn id="1" xr3:uid="{224F01F5-9F04-424C-9B4C-94B1D666F42B}" name="Other livestock type"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4" dataCellStyle="Content normal">
  <autoFilter ref="D39:E47" xr:uid="{EFDE3B07-3717-4AE7-8210-BEB8FBB5C09A}">
    <filterColumn colId="0" hiddenButton="1"/>
    <filterColumn colId="1" hiddenButton="1"/>
  </autoFilter>
  <tableColumns count="2">
    <tableColumn id="1" xr3:uid="{99F8CB88-8A74-44CD-B1D3-22D4849941C6}" name="Other livestock type"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1"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7"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3"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9"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6"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C6B6FDB-39C9-44DB-B07A-59628104847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9D8EA2-A68D-4614-85BA-0F315B28B22B}" name="State/Territory">
      <calculatedColumnFormula array="1">Common_InputFunctions.Utility_DisplayArrayInTable(Common_SourceData.Common_SourceData_AustralianStatesTerritories_Data(),Table_AustralianStates[[#Headers],[State/Territory]],0)</calculatedColumnFormula>
    </tableColumn>
    <tableColumn id="2" xr3:uid="{7CA81194-EB21-4E83-AA73-457DF5248415}" name="Common Name">
      <calculatedColumnFormula array="1">Common_InputFunctions.Utility_DisplayArrayInTable(Common_SourceData.Common_SourceData_AustralianStatesTerritories_Data(),Table_AustralianStates[[#Headers],[State/Territory]],0)</calculatedColumnFormula>
    </tableColumn>
    <tableColumn id="3" xr3:uid="{4F4710F9-2D92-4A41-8629-4F34BD7C346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6EB4109-7A16-4322-92E0-36A58C39492C}" name="Table_WASA4Areas" displayName="Table_WASA4Areas" ref="D20:D30" totalsRowShown="0">
  <autoFilter ref="D20:D30" xr:uid="{5FA81339-C6C8-4D36-BEEA-6C4AEDD9E676}">
    <filterColumn colId="0" hiddenButton="1"/>
  </autoFilter>
  <tableColumns count="1">
    <tableColumn id="1" xr3:uid="{E8BE105B-ADA6-463C-8A5C-64F46434D3D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B3368B1-94D6-4BF8-8F7A-54D84C083EBC}" name="Table_GWPData" displayName="Table_GWPData" ref="D36:E43" totalsRowShown="0">
  <autoFilter ref="D36:E43" xr:uid="{B8E87A66-3E41-4AD3-925D-01EE21B43D7A}">
    <filterColumn colId="0" hiddenButton="1"/>
    <filterColumn colId="1" hiddenButton="1"/>
  </autoFilter>
  <tableColumns count="2">
    <tableColumn id="1" xr3:uid="{AF27F796-517A-4A4F-883A-20B6B44039D7}" name="Gas">
      <calculatedColumnFormula array="1">Common_InputFunctions.Utility_DisplayArrayInTable(Common_SourceData.Common_SourceData_GWP_Data(), Table_GWPData[[#Headers],[Gas]], 0)</calculatedColumnFormula>
    </tableColumn>
    <tableColumn id="2" xr3:uid="{22C2AF2C-B7BB-4FFE-9EA6-36E8CE178C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45C0DFE-1BFA-4B65-999E-791F1349C6F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DD6D4C0-9572-497D-BA81-056A4E2F1000}" name="Gas">
      <calculatedColumnFormula array="1">Common_InputFunctions.Utility_DisplayArrayInTable(Common_SourceData.Common_SourceData_ConvertGasElementalToMolecular_Data(),Table_GasToMolecularConversionFactor[[#Headers],[Gas]], 0)</calculatedColumnFormula>
    </tableColumn>
    <tableColumn id="5" xr3:uid="{9802BAEC-70C6-4B67-95CC-E43570FEBB9A}" name="Conversion factor">
      <calculatedColumnFormula array="1">Common_InputFunctions.Utility_DisplayArrayInTable(Common_SourceData.Common_SourceData_ConvertGasElementalToMolecular_Data(),Table_GasToMolecularConversionFactor[[#Headers],[Gas]], 0)</calculatedColumnFormula>
    </tableColumn>
    <tableColumn id="2" xr3:uid="{728278C4-1ECA-47B1-83C5-9070B315475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1AF8D8D-558C-478C-88C0-D7FFECE8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5B19595-DA9C-4C87-A41E-0CF7A73B4D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9B2BF63-4ECF-4EC3-8CF2-9D62F8799E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DCCDDC-F0D6-46F3-9F31-1FB81485F9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85D949F-3C9F-4972-865D-9738FC7D39E4}"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E99D282-BC43-4434-8796-AEDEF3920BE4}"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A9F1878-474B-4CA1-9D44-B0FB65DEB40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4EE6251-A51B-478A-BC75-F69CF15D049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163A4D02-6241-4478-BC63-B8332314253F}"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B7B69B5-7FC2-4DC1-B266-23B289F6587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543AE399-BD8B-43A0-ADE9-FCAB4605503B}"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209AB0DF-461D-4417-A84F-A746C445D0D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0AC38E7-F0DC-44EE-8147-A9FAA73374B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6A50662F-EECF-4250-A6E7-B71C10F7F5B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B06D093-E69A-4676-BD96-D9CBAF229E1B}"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54A01F4-29B9-4008-8B43-595A9603406D}"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808C5875-68DD-448E-8572-98E488BDEC3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14D0D466-C603-44F1-9239-488927F5D894}"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D4DF1A32-A877-425B-887C-8CBD6B3A674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5B6BA6-EBDD-4917-8629-AA549398D3D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9E03CCA-29B0-4DFA-BB92-47A4DA34645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F3558C5-FC0E-4FAD-B715-8FF569D9AB0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000B7EA-5CFD-4C95-96DA-A6934D74B4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F276D39-DE04-4A20-942C-5A83D3A7502B}" name="Temperature Zone">
      <calculatedColumnFormula array="1">Common_InputFunctions.Utility_DisplayArrayInTable(Common_SourceData.Common_SourceData_TemperatureZones_Data(),Table_SourceData_TemperatureZones[[#Headers],[Temperature Zone]],0)</calculatedColumnFormula>
    </tableColumn>
    <tableColumn id="2" xr3:uid="{D4915A01-DA87-4C09-B32E-662E37E3A0B4}" name="MAT">
      <calculatedColumnFormula array="1">Common_InputFunctions.Utility_DisplayArrayInTable(Common_SourceData.Common_SourceData_TemperatureZones_Data(),Table_SourceData_TemperatureZones[[#Headers],[Temperature Zone]],0)</calculatedColumnFormula>
    </tableColumn>
    <tableColumn id="3" xr3:uid="{6EC2186D-66AB-4B7E-A085-EE28E052E5B0}" name="Min MAT">
      <calculatedColumnFormula array="1">Common_InputFunctions.Utility_DisplayArrayInTable(Common_SourceData.Common_SourceData_TemperatureZones_Data(),Table_SourceData_TemperatureZones[[#Headers],[Temperature Zone]],0)</calculatedColumnFormula>
    </tableColumn>
    <tableColumn id="4" xr3:uid="{DCE40066-03DA-4742-8D0B-AA1C523EB84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98397E7-170E-47D5-84AC-DBDA25FEEB3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175785E-683F-4FC6-A3DF-4F1B35AC8EE2}" name="Rainfall Zone">
      <calculatedColumnFormula array="1">Common_InputFunctions.Utility_DisplayArrayInTable(Common_SourceData.Common_SourceData_RainfallZones_Data(),Table_SourceData_RainfallZones[[#Headers],[Rainfall Zone]],0)</calculatedColumnFormula>
    </tableColumn>
    <tableColumn id="2" xr3:uid="{3FDE8615-A5D5-46C7-801B-A64A34EF39B7}" name="Annual rainfall">
      <calculatedColumnFormula array="1">Common_InputFunctions.Utility_DisplayArrayInTable(Common_SourceData.Common_SourceData_RainfallZones_Data(),Table_SourceData_RainfallZones[[#Headers],[Rainfall Zone]],0)</calculatedColumnFormula>
    </tableColumn>
    <tableColumn id="3" xr3:uid="{77894486-2DB0-4DB6-8743-6B8F0C94E39F}" name="Min rainfall">
      <calculatedColumnFormula array="1">Common_InputFunctions.Utility_DisplayArrayInTable(Common_SourceData.Common_SourceData_RainfallZones_Data(),Table_SourceData_RainfallZones[[#Headers],[Rainfall Zone]],0)</calculatedColumnFormula>
    </tableColumn>
    <tableColumn id="4" xr3:uid="{940F6A47-B6FE-4F96-80ED-598E434A30F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03D6921-AF80-420C-80B9-07981D56513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3D1EFC-C92D-4747-813D-931E4925A028}" name="Leaching Zone">
      <calculatedColumnFormula array="1">Common_InputFunctions.Utility_DisplayArrayInTable(Common_SourceData.Common_SourceData_LeachingZones_Data(), Table_SourceData_LeachingZones[[#Headers],[Leaching Zone]], 0)</calculatedColumnFormula>
    </tableColumn>
    <tableColumn id="2" xr3:uid="{A577D465-C3A8-4623-9CED-76461D6E142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8E39D59-C131-4396-8A2A-D8C57E50B4B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3FBE11-AAB4-4E3C-892D-D288E9F2B7B6}" name="Data source">
      <calculatedColumnFormula array="1">Common_InputFunctions.Utility_DisplayArrayInTable(Common_SourceData.Common_SourceData_DataScores_Scope3_Data(), Table_SourceData_DataScores_Scope3[[#Headers],[Data source]], 0)</calculatedColumnFormula>
    </tableColumn>
    <tableColumn id="2" xr3:uid="{AA539FCD-8160-447C-95D7-993FF3D9EE3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C35AF62-1A17-42DB-871F-D7B2AFBD643D}" name="Table_SourceData_FracWET" displayName="Table_SourceData_FracWET" ref="D134:E136" totalsRowShown="0">
  <autoFilter ref="D134:E136" xr:uid="{308E99BE-FE1F-47A4-B2CA-97217277C4E9}">
    <filterColumn colId="0" hiddenButton="1"/>
    <filterColumn colId="1" hiddenButton="1"/>
  </autoFilter>
  <tableColumns count="2">
    <tableColumn id="1" xr3:uid="{98A0A3BA-3AA7-49C3-89F0-7DECBD7F87E0}" name="Is in leaching zone">
      <calculatedColumnFormula array="1">Common_InputFunctions.Utility_DisplayArrayInTable(Common_SourceData.Common_SourceData_FracWET_Data(),Table_SourceData_FracWET[[#Headers],[Is in leaching zone]],0)</calculatedColumnFormula>
    </tableColumn>
    <tableColumn id="2" xr3:uid="{83D3C20F-03AF-42A2-AFAF-E188DFDAAB7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09402D6-A961-44A3-AB2F-80A4A04C56E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8BD89A5-3583-4A16-91E6-F8D32C1D9C18}" name="Production system j">
      <calculatedColumnFormula array="1">Common_InputFunctions.Utility_DisplayArrayInTable(Common_SourceData.Common_SourceData_EFN2O_Data(), Table_SourceData_Common_EFN2O[[#Headers],[Production system j]], 0)</calculatedColumnFormula>
    </tableColumn>
    <tableColumn id="2" xr3:uid="{98AB8D20-DC97-47F4-B0EB-3D2D9CF6A6B4}" name="EFN2O">
      <calculatedColumnFormula array="1">Common_InputFunctions.Utility_DisplayArrayInTable(Common_SourceData.Common_SourceData_EFN2O_Data(), Table_SourceData_Common_EFN2O[[#Headers],[Production system j]], 0)</calculatedColumnFormula>
    </tableColumn>
    <tableColumn id="3" xr3:uid="{F3048E47-EFF4-498E-8D46-E4F8D0BE9AE1}" name="Production system only">
      <calculatedColumnFormula array="1">Common_InputFunctions.Utility_DisplayArrayInTable(Common_SourceData.Common_SourceData_EFN2O_Data(), Table_SourceData_Common_EFN2O[[#Headers],[Production system j]], 0)</calculatedColumnFormula>
    </tableColumn>
    <tableColumn id="4" xr3:uid="{61DCF957-F499-4D35-A8D1-1B2B14583ADB}" name="Irrigation method">
      <calculatedColumnFormula array="1">Common_InputFunctions.Utility_DisplayArrayInTable(Common_SourceData.Common_SourceData_EFN2O_Data(), Table_SourceData_Common_EFN2O[[#Headers],[Production system j]], 0)</calculatedColumnFormula>
    </tableColumn>
    <tableColumn id="5" xr3:uid="{14739323-C540-4BCB-9A3E-02AD7825C20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49D3DF0-4C1C-404D-AFC9-22BF53B86C7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F869A0F-445B-459C-AD76-C43D66243802}" name="Irrigation type i">
      <calculatedColumnFormula array="1">Common_InputFunctions.Utility_DisplayArrayInTable(Common_SourceData.Common_SourceData_FracWETIrrigation_Data(), Table_SourceData_FracWETIrrigation[[#Headers],[Irrigation type i]], 0)</calculatedColumnFormula>
    </tableColumn>
    <tableColumn id="2" xr3:uid="{DA1A4153-2AFC-4A3F-81BD-926EBF6CDAF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DEE1F2F-0CC9-4142-8B7E-092D2682C85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5AB7809-B0B0-4B3F-B26D-935CF994DD9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EB5D3A5-2CB1-4374-AFF4-6292EAB435E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7C16B54-9272-47FD-9DD8-3DD27D1CBD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E066805-A7A8-42A1-AEAD-2D0A0F98638D}" name="Month">
      <calculatedColumnFormula array="1">Common_InputFunctions.Utility_DisplayArrayInTable(Common_SourceData.Common_SourceData_MonthsToSeasons_Data(), Table_SourceData_Common_MonthToSeason[[#Headers],[Month]], 0)</calculatedColumnFormula>
    </tableColumn>
    <tableColumn id="2" xr3:uid="{5FACF69C-E542-4A97-B154-ED182A7D4A6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A7DDC87-6036-4E12-8133-3018BF6612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60D1CFA-4A63-42F1-ACE1-82BAE130865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C564E27-E185-496B-A330-E4D9605703F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18A779-AFB9-4CE3-8852-0DB2C96ABD1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77A5000-E707-4583-9D8F-45A2A7A1CE49}"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CDECDF-F499-4FA4-9C30-6699803FC36C}"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95B210D-71D4-4709-ACE9-5F7B69D48D20}"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BD9C4B7-DBD3-447B-9516-B01AF2D1EA5E}"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A687C6D-AA56-4AE6-9026-7D85E0E2428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7A1A806-2F80-4500-B309-D9F79F8565FB}"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8260F93-4DC8-441A-8187-14BF00D048B8}"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8E25584-0560-4214-9506-F247C8941C7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1BC0AC2-0009-4CCF-8250-71AE91D3D491}"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04E251C-D36B-406C-A4DE-80A4ABE938A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5EFD31E-5E04-4093-8672-13DAE0D3B3F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84D9ED-C72E-4170-B03D-03CAB55BA59F}"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DD47183-C151-40B2-85CD-C839C803B2DC}"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BC7828E-6F8E-4059-8196-2C8B1594590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F8BFB87-4EC2-4DCA-99C7-CC22317FD35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1F7C91A-9352-4C6F-9C33-48F3841846CA}"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0</v>
      </c>
      <c r="I8" s="108">
        <f>H8</f>
        <v>0</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0</v>
      </c>
      <c r="I9" s="108">
        <f>H9</f>
        <v>0</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0</v>
      </c>
      <c r="I10" s="108">
        <f>H10</f>
        <v>0</v>
      </c>
      <c r="J10" s="55" t="s">
        <v>121</v>
      </c>
      <c r="K10" s="24"/>
      <c r="L10" s="24"/>
    </row>
    <row r="11" spans="1:12" ht="20.100000000000001" customHeight="1" x14ac:dyDescent="0.3">
      <c r="A11" s="19" t="s">
        <v>71</v>
      </c>
      <c r="C11" s="24"/>
      <c r="D11" s="31" t="s">
        <v>110</v>
      </c>
      <c r="E11" s="25"/>
      <c r="F11" s="31"/>
      <c r="G11" s="31"/>
      <c r="H11" s="111">
        <f>SUM(H7:H10)</f>
        <v>335.72974544305782</v>
      </c>
      <c r="I11" s="111">
        <f>SUM(I7:I10)</f>
        <v>338.8856148891096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TEXT('[1]Input - Site'!$E$12, "dd mmm yy") &amp; " and " &amp; TEXT('[1]Input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TEXT('[1]Input - Site'!$E$12, "dd mmm yy") &amp; " and " &amp; TEXT('[1]Input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TEXT('[1]Input - Site'!$E$12, "dd mmm yy") &amp; " and " &amp; TEXT('[1]Input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TEXT('[1]Input - Site'!$E$12, "dd mmm yy") &amp; " and " &amp; TEXT('[1]Input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'Constants - Common'!$D$175</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Common_InputFunctions.Utility_ConvertStateCommonNameToAbbreviation('Input - Site'!E21,Table_AustralianStates[Common Name],Table_AustralianStates[Abbreviation])</f>
        <v>NSW</v>
      </c>
      <c r="N18" s="117" t="str">
        <v>i</v>
      </c>
      <c r="O18" s="120" t="str">
        <v>mean annual temperature</v>
      </c>
      <c r="P18" s="121"/>
      <c r="Q18" s="119"/>
      <c r="R18" s="117" t="str">
        <v>degrees Celsius</v>
      </c>
      <c r="S18" s="115" t="str">
        <v>Input</v>
      </c>
      <c r="T18" s="117">
        <f>'Input - Site'!E25</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SUM('Input - Other Livestock'!$E$8:$H$8)</f>
        <v>4600</v>
      </c>
      <c r="F92" s="2" t="str">
        <f>G84</f>
        <v>head</v>
      </c>
    </row>
    <row r="93" spans="4:9" ht="20.100000000000001" customHeight="1" x14ac:dyDescent="0.25">
      <c r="D93" s="53" t="s">
        <v>157</v>
      </c>
      <c r="E93" s="100">
        <f>SUM('Input - Other Livestock'!$E$22:$J$22)</f>
        <v>4800</v>
      </c>
    </row>
    <row r="94" spans="4:9" ht="20.100000000000001" customHeight="1" x14ac:dyDescent="0.25">
      <c r="D94" s="53" t="s">
        <v>164</v>
      </c>
      <c r="E94" s="100">
        <f>SUM('Input - Other Livestock'!$E$36:$H$36)</f>
        <v>4600</v>
      </c>
    </row>
    <row r="95" spans="4:9" ht="20.100000000000001" customHeight="1" x14ac:dyDescent="0.25">
      <c r="D95" s="53" t="s">
        <v>170</v>
      </c>
      <c r="E95" s="100">
        <f>'Input - Other Livestock'!$E$50</f>
        <v>4300</v>
      </c>
    </row>
    <row r="96" spans="4:9" ht="20.100000000000001" customHeight="1" x14ac:dyDescent="0.25">
      <c r="D96" s="53" t="s">
        <v>171</v>
      </c>
      <c r="E96" s="100">
        <f>'Input - Other Livestock'!$F$50</f>
        <v>100</v>
      </c>
    </row>
    <row r="97" spans="4:17" ht="20.100000000000001" customHeight="1" x14ac:dyDescent="0.25">
      <c r="D97" s="53" t="s">
        <v>172</v>
      </c>
      <c r="E97" s="100">
        <f>'Input - Other Livestock'!$G$50</f>
        <v>100</v>
      </c>
    </row>
    <row r="98" spans="4:17" ht="20.100000000000001" customHeight="1" x14ac:dyDescent="0.25">
      <c r="D98" s="53" t="s">
        <v>188</v>
      </c>
      <c r="E98" s="100">
        <f>'Input - Other Livestock'!$H$50</f>
        <v>100</v>
      </c>
    </row>
    <row r="99" spans="4:17" ht="20.100000000000001" customHeight="1" x14ac:dyDescent="0.25">
      <c r="D99" s="53" t="s">
        <v>189</v>
      </c>
      <c r="E99" s="100">
        <f>'Input - Other Livestock'!$I$50</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SUM('Input - Other Livestock'!$E$8:$H$8)</f>
        <v>4600</v>
      </c>
      <c r="F20" s="2" t="str">
        <f>G13</f>
        <v>head</v>
      </c>
    </row>
    <row r="21" spans="1:6" ht="20.100000000000001" customHeight="1" x14ac:dyDescent="0.25">
      <c r="A21" s="17" t="str">
        <f>HYPERLINK("#'Acknowledgements'!A1", "Acknowledgements")</f>
        <v>Acknowledgements</v>
      </c>
      <c r="D21" s="53" t="s">
        <v>157</v>
      </c>
      <c r="E21" s="100">
        <f>SUM('Input - Other Livestock'!$E$22:$J$22)</f>
        <v>4800</v>
      </c>
    </row>
    <row r="22" spans="1:6" ht="20.100000000000001" customHeight="1" x14ac:dyDescent="0.25">
      <c r="D22" s="53" t="s">
        <v>164</v>
      </c>
      <c r="E22" s="100">
        <f>SUM('Input - Other Livestock'!$E$36:$H$36)</f>
        <v>4600</v>
      </c>
    </row>
    <row r="23" spans="1:6" ht="20.100000000000001" customHeight="1" x14ac:dyDescent="0.25">
      <c r="D23" s="53" t="s">
        <v>170</v>
      </c>
      <c r="E23" s="100">
        <f>'Input - Other Livestock'!$E$50</f>
        <v>4300</v>
      </c>
    </row>
    <row r="24" spans="1:6" ht="20.100000000000001" customHeight="1" x14ac:dyDescent="0.25">
      <c r="A24" s="17"/>
      <c r="D24" s="53" t="s">
        <v>171</v>
      </c>
      <c r="E24" s="100">
        <f>'Input - Other Livestock'!$F$50</f>
        <v>100</v>
      </c>
    </row>
    <row r="25" spans="1:6" ht="20.100000000000001" customHeight="1" x14ac:dyDescent="0.25">
      <c r="D25" s="53" t="s">
        <v>172</v>
      </c>
      <c r="E25" s="100">
        <f>'Input - Other Livestock'!$G$50</f>
        <v>100</v>
      </c>
    </row>
    <row r="26" spans="1:6" ht="20.100000000000001" customHeight="1" x14ac:dyDescent="0.25">
      <c r="D26" s="53" t="s">
        <v>188</v>
      </c>
      <c r="E26" s="100">
        <f>'Input - Other Livestock'!$H$50</f>
        <v>100</v>
      </c>
    </row>
    <row r="27" spans="1:6" ht="20.100000000000001" customHeight="1" x14ac:dyDescent="0.25">
      <c r="D27" s="53" t="s">
        <v>189</v>
      </c>
      <c r="E27" s="100">
        <f>'Input - Other Livestock'!$I$50</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'Input - Site'!E32</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Common_InputFunctions.Utility_LookupValueInTableNumber("N2O",[2]!Table_GWPData22[Gas],[2]!Table_GWPData22[CO2-e factor])</f>
        <v>0</v>
      </c>
    </row>
    <row r="74" spans="4:9" ht="20.100000000000001" customHeight="1" x14ac:dyDescent="0.25"/>
    <row r="75" spans="4:9" ht="20.100000000000001" customHeight="1" x14ac:dyDescent="0.25">
      <c r="D75" s="48" t="s">
        <v>88</v>
      </c>
      <c r="E75" s="48" cm="1">
        <f t="array" ref="E75">Common_Equations.Common_ConvertN2OToCO2e(G72,G73)</f>
        <v>0</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'Constants - Other Livestock'!E115</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'4.7.1.3-4 Soil Direct N2O'!$E$44</f>
        <v>66320500</v>
      </c>
      <c r="F19" s="2" t="str">
        <f>'4.7.1.3-4 Soil Direct N2O'!$F$44</f>
        <v>kg N/year</v>
      </c>
    </row>
    <row r="20" spans="1:6" ht="20.100000000000001" customHeight="1" x14ac:dyDescent="0.25">
      <c r="A20" s="17" t="str">
        <f>HYPERLINK("#'Constants - Common'!A1", "Constants - Common")</f>
        <v>Constants - Common</v>
      </c>
      <c r="D20" s="53" t="s">
        <v>157</v>
      </c>
      <c r="E20" s="53">
        <f>'4.7.1.3-4 Soil Direct N2O'!$E$45</f>
        <v>12264000</v>
      </c>
    </row>
    <row r="21" spans="1:6" ht="20.100000000000001" customHeight="1" x14ac:dyDescent="0.25">
      <c r="A21" s="17" t="str">
        <f>HYPERLINK("#'Acknowledgements'!A1", "Acknowledgements")</f>
        <v>Acknowledgements</v>
      </c>
      <c r="D21" s="53" t="s">
        <v>164</v>
      </c>
      <c r="E21" s="53">
        <f>'4.7.1.3-4 Soil Direct N2O'!$E$46</f>
        <v>22162800</v>
      </c>
    </row>
    <row r="22" spans="1:6" ht="20.100000000000001" customHeight="1" x14ac:dyDescent="0.25">
      <c r="D22" s="53" t="s">
        <v>170</v>
      </c>
      <c r="E22" s="53">
        <f>'4.7.1.3-4 Soil Direct N2O'!$E$47</f>
        <v>61995250</v>
      </c>
    </row>
    <row r="23" spans="1:6" ht="20.100000000000001" customHeight="1" x14ac:dyDescent="0.25">
      <c r="D23" s="53" t="s">
        <v>171</v>
      </c>
      <c r="E23" s="53">
        <f>'4.7.1.3-4 Soil Direct N2O'!$E$48</f>
        <v>255500</v>
      </c>
    </row>
    <row r="24" spans="1:6" ht="20.100000000000001" customHeight="1" x14ac:dyDescent="0.25">
      <c r="A24" s="17"/>
      <c r="D24" s="53" t="s">
        <v>172</v>
      </c>
      <c r="E24" s="53">
        <f>'4.7.1.3-4 Soil Direct N2O'!$E$49</f>
        <v>1441750</v>
      </c>
    </row>
    <row r="25" spans="1:6" ht="20.100000000000001" customHeight="1" x14ac:dyDescent="0.25">
      <c r="D25" s="53" t="s">
        <v>188</v>
      </c>
      <c r="E25" s="53">
        <f>'4.7.1.3-4 Soil Direct N2O'!$E$50</f>
        <v>481800</v>
      </c>
    </row>
    <row r="26" spans="1:6" ht="20.100000000000001" customHeight="1" x14ac:dyDescent="0.25">
      <c r="D26" s="53" t="s">
        <v>189</v>
      </c>
      <c r="E26" s="53">
        <f>'4.7.1.3-4 Soil Direct N2O'!$E$51</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'Input - Other Livestock'!$E$16</f>
        <v>Pasture</v>
      </c>
      <c r="F60" s="53" t="str">
        <f>'Input - Other Livestock'!$E$17</f>
        <v>Not irrigated</v>
      </c>
      <c r="G60" s="53" t="str">
        <f>'Input - Site'!$E$30</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'Input - Other Livestock'!$E$30</f>
        <v>Pasture</v>
      </c>
      <c r="F61" s="53" t="str">
        <f>'Input - Other Livestock'!$E$31</f>
        <v>Not irrigated</v>
      </c>
      <c r="G61" s="53" t="str">
        <f>'Input - Site'!$E$30</f>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'Input - Other Livestock'!$E$44</f>
        <v>Pasture</v>
      </c>
      <c r="F62" s="53" t="str">
        <f>'Input - Other Livestock'!$E$45</f>
        <v>Not irrigated</v>
      </c>
      <c r="G62" s="53" t="str">
        <f>'Input - Site'!$E$30</f>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'Input - Other Livestock'!$E$58</f>
        <v>Pasture</v>
      </c>
      <c r="F63" s="53" t="str">
        <f>'Input - Other Livestock'!$E$59</f>
        <v>Drip irrigation</v>
      </c>
      <c r="G63" s="53" t="str">
        <f>'Input - Site'!$E$30</f>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'Input - Other Livestock'!$F$58</f>
        <v>Pasture</v>
      </c>
      <c r="F64" s="53" t="str">
        <f>'Input - Other Livestock'!$F$59</f>
        <v>Sprinkler irrigation</v>
      </c>
      <c r="G64" s="53" t="str">
        <f>'Input - Site'!$E$30</f>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'Input - Other Livestock'!$G$58</f>
        <v>Crop</v>
      </c>
      <c r="F65" s="53" t="str">
        <f>'Input - Other Livestock'!$G$59</f>
        <v>Not irrigated</v>
      </c>
      <c r="G65" s="53" t="str">
        <f>'Input - Site'!$E$30</f>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'Input - Other Livestock'!$H$58</f>
        <v>Crop</v>
      </c>
      <c r="F66" s="53" t="str">
        <f>'Input - Other Livestock'!$H$59</f>
        <v>Surface irrigation</v>
      </c>
      <c r="G66" s="53" t="str">
        <f>'Input - Site'!$E$30</f>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'Input - Other Livestock'!$I$58</f>
        <v>Pasture</v>
      </c>
      <c r="F67" s="53" t="str">
        <f>'Input - Other Livestock'!$I$59</f>
        <v>Not irrigated</v>
      </c>
      <c r="G67" s="53" t="str">
        <f>'Input - Site'!$E$30</f>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Common_InputFunctions.Utility_LookupValueInTableNumber("N2O",[2]!Table_GWPData22[Gas],[2]!Table_GWPData22[CO2-e factor])</f>
        <v>0</v>
      </c>
    </row>
    <row r="85" spans="4:7" ht="20.100000000000001" customHeight="1" x14ac:dyDescent="0.25"/>
    <row r="86" spans="4:7" ht="20.100000000000001" customHeight="1" x14ac:dyDescent="0.25">
      <c r="D86" s="48" t="s">
        <v>88</v>
      </c>
      <c r="E86" s="48" cm="1">
        <f t="array" ref="E86">Common_Equations.Common_ConvertN2OToCO2e(G83,G84)</f>
        <v>0</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'Input - Site'!E23</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'4.7.1.3-4 Soil Direct N2O'!$E$44</f>
        <v>66320500</v>
      </c>
      <c r="F23" s="2" t="str">
        <f>'4.7.1.3-4 Soil Direct N2O'!$F$44</f>
        <v>kg N/year</v>
      </c>
    </row>
    <row r="24" spans="1:9" ht="20.100000000000001" customHeight="1" x14ac:dyDescent="0.25">
      <c r="A24" s="17"/>
      <c r="D24" s="53" t="s">
        <v>157</v>
      </c>
      <c r="E24" s="53">
        <f>'4.7.1.3-4 Soil Direct N2O'!$E$45</f>
        <v>12264000</v>
      </c>
    </row>
    <row r="25" spans="1:9" ht="20.100000000000001" customHeight="1" x14ac:dyDescent="0.25">
      <c r="D25" s="53" t="s">
        <v>164</v>
      </c>
      <c r="E25" s="53">
        <f>'4.7.1.3-4 Soil Direct N2O'!$E$46</f>
        <v>22162800</v>
      </c>
    </row>
    <row r="26" spans="1:9" ht="20.100000000000001" customHeight="1" x14ac:dyDescent="0.25">
      <c r="D26" s="53" t="s">
        <v>170</v>
      </c>
      <c r="E26" s="53">
        <f>'4.7.1.3-4 Soil Direct N2O'!$E$47</f>
        <v>61995250</v>
      </c>
    </row>
    <row r="27" spans="1:9" ht="20.100000000000001" customHeight="1" x14ac:dyDescent="0.25">
      <c r="D27" s="53" t="s">
        <v>171</v>
      </c>
      <c r="E27" s="53">
        <f>'4.7.1.3-4 Soil Direct N2O'!$E$48</f>
        <v>255500</v>
      </c>
    </row>
    <row r="28" spans="1:9" ht="20.100000000000001" customHeight="1" x14ac:dyDescent="0.25">
      <c r="D28" s="53" t="s">
        <v>172</v>
      </c>
      <c r="E28" s="53">
        <f>'4.7.1.3-4 Soil Direct N2O'!$E$49</f>
        <v>1441750</v>
      </c>
    </row>
    <row r="29" spans="1:9" ht="20.100000000000001" customHeight="1" x14ac:dyDescent="0.25">
      <c r="D29" s="53" t="s">
        <v>188</v>
      </c>
      <c r="E29" s="53">
        <f>'4.7.1.3-4 Soil Direct N2O'!$E$50</f>
        <v>481800</v>
      </c>
    </row>
    <row r="30" spans="1:9" ht="20.100000000000001" customHeight="1" x14ac:dyDescent="0.25">
      <c r="D30" s="53" t="s">
        <v>189</v>
      </c>
      <c r="E30" s="53">
        <f>'4.7.1.3-4 Soil Direct N2O'!$E$51</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'Input - Other Livestock'!$E$16</f>
        <v>Pasture</v>
      </c>
      <c r="F35" s="53" t="str">
        <f>'Input - Other Livestock'!$E$17</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'Input - Other Livestock'!$E$30</f>
        <v>Pasture</v>
      </c>
      <c r="F36" s="53" t="str">
        <f>'Input - Other Livestock'!$E$31</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'Input - Other Livestock'!$E$44</f>
        <v>Pasture</v>
      </c>
      <c r="F37" s="53" t="str">
        <f>'Input - Other Livestock'!$E$45</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'Input - Other Livestock'!$E$58</f>
        <v>Pasture</v>
      </c>
      <c r="F38" s="53" t="str">
        <f>'Input - Other Livestock'!$E$59</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'Input - Other Livestock'!$F$58</f>
        <v>Pasture</v>
      </c>
      <c r="F39" s="53" t="str">
        <f>'Input - Other Livestock'!$F$59</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'Input - Other Livestock'!$G$58</f>
        <v>Crop</v>
      </c>
      <c r="F40" s="53" t="str">
        <f>'Input - Other Livestock'!$G$59</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'Input - Other Livestock'!$H$58</f>
        <v>Crop</v>
      </c>
      <c r="F41" s="53" t="str">
        <f>'Input - Other Livestock'!$H$59</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'Input - Other Livestock'!$I$58</f>
        <v>Pasture</v>
      </c>
      <c r="F42" s="53" t="str">
        <f>'Input - Other Livestock'!$I$59</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Common_InputFunctions.Utility_LookupValueInTableNumber("N2O",[2]!Table_GWPData22[Gas],[2]!Table_GWPData22[CO2-e factor])</f>
        <v>0</v>
      </c>
    </row>
    <row r="76" spans="4:9" ht="20.100000000000001" customHeight="1" x14ac:dyDescent="0.25"/>
    <row r="77" spans="4:9" ht="20.100000000000001" customHeight="1" x14ac:dyDescent="0.25">
      <c r="D77" s="48" t="s">
        <v>88</v>
      </c>
      <c r="E77" s="48" cm="1">
        <f t="array" ref="E77">Common_Equations.Common_ConvertN2OToCO2e(G74,G75)</f>
        <v>0</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A0CCA-2EBC-4649-BB27-D0768E2C4161}">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PAHQAaABlAHIATABpAHYAZQBzAHQAbwBjAGsAIgAsACIAdABlAHgAdAAiADoAIgBcAG4ALwAqACAAXABuAC0ALQAtAC0ALQAtAC0ALQAtAC0ALQAtAC0ALQAtAC0ALQAtAC0ALQAtAC0ALQAtAC0ALQAtAC0ALQAtAC0ALQAtAC0ALQAtAC0ALQBcAG4AUwBvAHUAcgBjAGUARABhAHQAYQBfAE8AdABoAGUAcgBMAGkAdgBlAHMAdABvAGMAawBfAEUAbgB0AGUAcgBpAGMARgBlAHIAbQBlAG4AdABhAHQAaQBvAG4ARQBtAGkAcwBzAGkAbwBuAEYAYQBjAHQAbwByAFwAbgBUAGEAYgBsAGUAIABBAC4AMQAuADUALgAxADoAIABPAHQAaABlAHIAIABMAGkAdgBlAHMAdABvAGMAawAgAC0AIABFAG4AdABlAHIAaQBjACAAZgBlAHIAbQBlAG4AdABhAHQAaQBvAG4AIABlAG0AaQBzAHMAaQBvAG4AIABmAGEAYwB0AG8AcgAgAGYAbwByACAAZQBhAGMAaAAgAG8AdABoAGUAcgAgAGwAaQB2AGUAcwB0AG8AYwBrACAAdAB5AHAAZQAgACgAawBnACAAQwBIADQALwBoAGUAYQBkAC8AeQBlAGEAcgApACAAKABNAGoAKQBcAG4ALQAtAC0ALQAtAC0ALQAtAC0ALQAtAC0ALQAtAC0ALQAtAC0ALQAtAC0ALQAtAC0ALQAtAC0ALQAtAC0ALQAtAC0ALQAtAC0ALQAtAFwAbgAqAC8AXABuAFwAbgBTAG8AdQByAGMAZQBEAGEAdABhAF8ATwB0AGgAZQByAEwAaQB2AGUAcwB0AG8AYwBrAF8ARQBuAHQAZQByAGkAYwBGAGUAcgBtAGUAbgB0AGEAdABpAG8AbgBFAG0AaQBzAHMAaQBvAG4ARgBhAGMAdABvAHIAXwBUAGkAdABsAGUAXABuACAAIAA9AEwAQQBNAEIARABBACgAXAAiAE8AdABoAGUAcgAgAEwAaQB2AGUAcwB0AG8AYwBrACAALQAgAEUAbgB0AGUAcgBpAGMAIABmAGUAcgBtAGUAbgB0AGEAdABpAG8AbgAgAGUAbQBpAHMAcwBpAG8AbgAgAGYAYQBjAHQAbwByACAAZgBvAHIAIABlAGEAYwBoACAAbwB0AGgAZQByACAAbABpAHYAZQBzAHQAbwBjAGsAIAB0AHkAcABlAFwAIgApADsAXABuAFwAbgBTAG8AdQByAGMAZQBEAGEAdABhAF8ATwB0AGgAZQByAEwAaQB2AGUAcwB0AG8AYwBrAF8ARQBuAHQAZQByAGkAYwBGAGUAcgBtAGUAbgB0AGEAdABpAG8AbgBFAG0AaQBzAHMAaQBvAG4ARgBhAGMAdABvAHIAXwBWAGEAcgBpAGEAYgBsAGUAXABuACAAIAA9AEwAQQBNAEIARABBACgAXAAiAE0AagBcACIAKQA7AFwAbgBcAG4AUwBvAHUAcgBjAGUARABhAHQAYQBfAE8AdABoAGUAcgBMAGkAdgBlAHMAdABvAGMAawBfAEUAbgB0AGUAcgBpAGMARgBlAHIAbQBlAG4AdABhAHQAaQBvAG4ARQBtAGkAcwBzAGkAbwBuAEYAYQBjAHQAbwByAF8AVQBuAGkAdABcAG4AIAAgAD0ATABBAE0AQgBEAEEAKABcACIAawBnACAAQwBIADQAIAAvACAAaABlAGEAZAAgAC8AIAB5AGUAYQByAFwAIgApADsAXABuAFwAbgBTAG8AdQByAGMAZQBEAGEAdABhAF8ATwB0AGgAZQByAEwAaQB2AGUAcwB0AG8AYwBrAF8ARQBuAHQAZQByAGkAYwBGAGUAcgBtAGUAbgB0AGEAdABpAG8AbgBFAG0AaQBzAHMAaQBvAG4ARgBhAGMAdABvAHIAXwBTAG8AdQByAGMAZQBcAG4AIAAgAD0ATABBAE0AQgBEAEEAKABcACIAVgBFAEUAUgBHACAAMgAwADIANgA6ACAAVABhAGIAbABlACAAQQAuADEALgA1AC4AMQBcACIAKQA7AFwAbgBcAG4AUwBvAHUAcgBjAGUARABhAHQAYQBfAE8AdABoAGUAcgBMAGkAdgBlAHMAdABvAGMAawBfAEUAbgB0AGUAcgBpAGMARgBlAHIAbQBlAG4AdABhAHQAaQBvAG4ARQBtAGkAcwBzAGkAbwBuAEYAYQBjAHQAbwByAF8AVgBhAHIAaQBhAHQAaQBvAG4AXABuACAAIAA9AEwAQQBNAEIARABBACgAXAAiAFwAIgApADsAXABuAFwAbgBTAG8AdQByAGMAZQBEAGEAdABhAF8ATwB0AGgAZQByAEwAaQB2AGUAcwB0AG8AYwBrAF8ARQBuAHQAZQByAGkAYwBGAGUAcgBtAGUAbgB0AGEAdABpAG8AbgBFAG0AaQBzAHMAaQBvAG4ARgBhAGMAdABvAHI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QBqAFwAIgA7AFwAbgAgACAAIAAgACAAIAAgACAAIAAgAFwAIgBCAHUAZgBmAGEAbABvAFwAIgAsACAANgA4ADsAXABuACAAIAAgACAAIAAgACAAIAAgACAAXAAiAEcAbwBhAHQAcwBcACIALAAgADUAOwBcAG4AIAAgACAAIAAgACAAIAAgACAAIABcACIARABlAGUAcgBcACIALAAgADIAMAA7AFwAbgAgACAAIAAgACAAIAAgACAAIAAgAFwAIgBDAGEAbQBlAGwAcwBcACIALAAgADQANgA7AFwAbgAgACAAIAAgACAAIAAgACAAIAAgAFwAIgBBAGwAcABhAGMAYQBzAFwAIgAsACAAOAA7AFwAbgAgACAAIAAgACAAIAAgACAAIAAgAFwAIgBIAG8AcgBzAGUAcwBcACIALAAgADEAOAA7AFwAbgAgACAAIAAgACAAIAAgACAAIAAgAFwAIgBNAHUAbABlAHMALwBhAHMAcwBlAHMAXAAiACwAIAAxADAAOwBcAG4AIAAgACAAIAAgACAAIAAgACAAIABcACIARQBtAHUAcwAvAG8AcwB0AHIAaQBjAGgAZQBzAFwAIgAsACAANQ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WAG8AbABhAHQAaQBsAGUAUwBvAGwAaQBkAHMAUAByAG8AZAB1AGMAZQBkAFwAbgBUAGEAYgBsAGUAIABBAC4AMQAuADUALgAyADoAIABPAHQAaABlAHIAIABMAGkAdgBlAHMAdABvAGMAawAgAC0AIABWAG8AbABhAHQAaQBsAGUAIABzAG8AbABpAGQAcwAgAHAAcgBvAGQAdQBjAGUAZAAgAGIAeQAgAGUAYQBjAGgAIABvAHQAaABlAHIAIABsAGkAdgBlAHMAdABvAGMAawAgAHQAeQBwAGUAIAAoAGsAZwAgAFYAUwAvAGgAZQBhAGQALwBkAGEAeQApACAAKABWAFMAagApAFwAbgAtAC0ALQAtAC0ALQAtAC0ALQAtAC0ALQAtAC0ALQAtAC0ALQAtAC0ALQAtAC0ALQAtAC0ALQAtAC0ALQAtAC0ALQAtAC0ALQAtAC0AXABuACoALwBcAG4AXABuAFMAbwB1AHIAYwBlAEQAYQB0AGEAXwBPAHQAaABlAHIATABpAHYAZQBzAHQAbwBjAGsAXwBWAG8AbABhAHQAaQBsAGUAUwBvAGwAaQBkAHMAUAByAG8AZAB1AGMAZQBkAF8AVABpAHQAbABlAFwAbgAgACAAPQBMAEEATQBCAEQAQQAoAFwAIgBPAHQAaABlAHIAIABMAGkAdgBlAHMAdABvAGMAawAgAC0AIABWAG8AbABhAHQAaQBsAGUAIABzAG8AbABpAGQAcwAgAHAAcgBvAGQAdQBjAGUAZAAgAGIAeQAgAGUAYQBjAGgAIABvAHQAaABlAHIAIABsAGkAdgBlAHMAdABvAGMAawAgAHQAeQBwAGUAXAAiACkAOwBcAG4AXABuAFMAbwB1AHIAYwBlAEQAYQB0AGEAXwBPAHQAaABlAHIATABpAHYAZQBzAHQAbwBjAGsAXwBWAG8AbABhAHQAaQBsAGUAUwBvAGwAaQBkAHMAUAByAG8AZAB1AGMAZQBkAF8AVgBhAHIAaQBhAGIAbABlAFwAbgAgACAAPQBMAEEATQBCAEQAQQAoAFwAIgBWAFMAagBcACIAKQA7AFwAbgBcAG4AUwBvAHUAcgBjAGUARABhAHQAYQBfAE8AdABoAGUAcgBMAGkAdgBlAHMAdABvAGMAawBfAFYAbwBsAGEAdABpAGwAZQBTAG8AbABpAGQAcwBQAHIAbwBkAHUAYwBlAGQAXwBVAG4AaQB0AFwAbgAgACAAPQBMAEEATQBCAEQAQQAoAFwAIgBrAGcAIABWAFMAIAAvACAAaABlAGEAZAAgAC8AIABkAGEAeQBcACIAKQA7AFwAbgBcAG4AUwBvAHUAcgBjAGUARABhAHQAYQBfAE8AdABoAGUAcgBMAGkAdgBlAHMAdABvAGMAawBfAFYAbwBsAGEAdABpAGwAZQBTAG8AbABpAGQAcwBQAHIAbwBkAHUAYwBlAGQAXwBTAG8AdQByAGMAZQBcAG4AIAAgAD0ATABBAE0AQgBEAEEAKABcACIAVgBFAEUAUgBHACAAMgAwADIANgA6ACAAVABhAGIAbABlACAAQQAuADEALgA1AC4AMgBcACIAKQA7AFwAbgBcAG4AUwBvAHUAcgBjAGUARABhAHQAYQBfAE8AdABoAGUAcgBMAGkAdgBlAHMAdABvAGMAawBfAFYAbwBsAGEAdABpAGwAZQBTAG8AbABpAGQAcwBQAHIAbwBkAHUAYwBlAGQAXwBWAGEAcgBpAGEAdABpAG8AbgBcAG4AIAAgAD0ATABBAE0AQgBEAEEAKABcACIAXAAiACkAOwBcAG4AXABuAFMAbwB1AHIAYwBlAEQAYQB0AGEAXwBPAHQAaABlAHIATABpAHYAZQBzAHQAbwBjAGsAXwBWAG8AbABhAHQAaQBsAGUAUwBvAGwAaQBkAHMAUAByAG8AZAB1AGM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FYAUwBqAFwAIgA7AFwAbgAgACAAIAAgACAAIAAgACAAIAAgAFwAIgBCAHUAZgBmAGEAbABvAFwAIgAsACAAMgAuADcAMwA7AFwAbgAgACAAIAAgACAAIAAgACAAIAAgAFwAIgBHAG8AYQB0AHMAXAAiACwAIAAwAC4AMwA0ADsAXABuACAAIAAgACAAIAAgACAAIAAgACAAXAAiAEQAZQBlAHIAXAAiACwAIAAwAC4AOQAxADsAXABuACAAIAAgACAAIAAgACAAIAAgACAAXAAiAEMAYQBtAGUAbABzAFwAIgAsACAAMgAuADcAMwA7AFwAbgAgACAAIAAgACAAIAAgACAAIAAgAFwAIgBBAGwAcABhAGMAYQBzAFwAIgAsACAAMAAuADMANAA7AFwAbgAgACAAIAAgACAAIAAgACAAIAAgAFwAIgBIAG8AcgBzAGUAcwBcACIALAAgADIALgA3ADMAOwBcAG4AIAAgACAAIAAgACAAIAAgACAAIABcACIATQB1AGwAZQBzAC8AYQBzAHMAZQBzAFwAIgAsACAAMAAuADkAMQA7AFwAbgAgACAAIAAgACAAIAAgACAAIAAgAFwAIgBFAG0AdQBzAC8AbwBzAHQAcgBpAGMAaABlAHMAXAAiACw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4AaQB0AHIAbwBnAGUAbgBFAHgAYwByAGUAdABlAGQAXABuAFQAYQBiAGwAZQAgAEEALgAxAC4ANQAuADMAOgAgAE8AdABoAGUAcgAgAEwAaQB2AGUAcwB0AG8AYwBrACAALQAgAE4AaQB0AHIAbwBnAGUAbgAgAGUAeABjAHIAZQB0AGUAZAAgAHAAZQByACAAbABpAHYAZQBzAHQAbwBjAGsAIAB0AHkAcABlACAAKABrAGcAIABOADIATwAvAGgAZQBhAGQALwB5AGUAYQByACkAIAAoAE4ARQBqACkAXABuAC0ALQAtAC0ALQAtAC0ALQAtAC0ALQAtAC0ALQAtAC0ALQAtAC0ALQAtAC0ALQAtAC0ALQAtAC0ALQAtAC0ALQAtAC0ALQAtAC0ALQBcAG4AKgAvAFwAbgBcAG4AUwBvAHUAcgBjAGUARABhAHQAYQBfAE8AdABoAGUAcgBMAGkAdgBlAHMAdABvAGMAawBfAE4AaQB0AHIAbwBnAGUAbgBFAHgAYwByAGUAdABlAGQAXwBUAGkAdABsAGUAXABuACAAIAA9AEwAQQBNAEIARABBACgAXAAiAE8AdABoAGUAcgAgAEwAaQB2AGUAcwB0AG8AYwBrACAALQAgAE4AaQB0AHIAbwBnAGUAbgAgAGUAeABjAHIAZQB0AGUAZAAgAHAAZQByACAAbABpAHYAZQBzAHQAbwBjAGsAIAB0AHkAcABlAFwAIgApADsAXABuAFwAbgBTAG8AdQByAGMAZQBEAGEAdABhAF8ATwB0AGgAZQByAEwAaQB2AGUAcwB0AG8AYwBrAF8ATgBpAHQAcgBvAGcAZQBuAEUAeABjAHIAZQB0AGUAZABfAFYAYQByAGkAYQBiAGwAZQBcAG4AIAAgAD0ATABBAE0AQgBEAEEAKABcACIATgBFAGoAXAAiACkAOwBcAG4AXABuAFMAbwB1AHIAYwBlAEQAYQB0AGEAXwBPAHQAaABlAHIATABpAHYAZQBzAHQAbwBjAGsAXwBOAGkAdAByAG8AZwBlAG4ARQB4AGMAcgBlAHQAZQBkAF8AVQBuAGkAdABcAG4AIAAgAD0ATABBAE0AQgBEAEEAKABcACIAawBnACAATgAyAE8AIAAvACAAaABlAGEAZAAgAC8AIAB5AGUAYQByAFwAIgApADsAXABuAFwAbgBTAG8AdQByAGMAZQBEAGEAdABhAF8ATwB0AGgAZQByAEwAaQB2AGUAcwB0AG8AYwBrAF8ATgBpAHQAcgBvAGcAZQBuAEUAeABjAHIAZQB0AGUAZABfAFMAbwB1AHIAYwBlAFwAbgAgACAAPQBMAEEATQBCAEQAQQAoAFwAIgBWAEUARQBSAEcAIAAyADAAMgA2ADoAIABUAGEAYgBsAGUAIABBAC4AMQAuADUALgAzAFwAIgApADsAXABuAFwAbgBTAG8AdQByAGMAZQBEAGEAdABhAF8ATwB0AGgAZQByAEwAaQB2AGUAcwB0AG8AYwBrAF8ATgBpAHQAcgBvAGcAZQBuAEUAeABjAHIAZQB0AGUAZABfAFYAYQByAGkAYQB0AGkAbwBuAFwAbgAgACAAPQBMAEEATQBCAEQAQQAoAFwAIgBcACIAKQA7AFwAbgBcAG4AUwBvAHUAcgBjAGUARABhAHQAYQBfAE8AdABoAGUAcgBMAGkAdgBlAHMAdABvAGMAawBfAE4AaQB0AHIAbwBnAGUAbgBFAHgAYwByAGUAdA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gBFAGoAXAAiADsAXABuACAAIAAgACAAIAAgACAAIAAgACAAXAAiAEIAdQBmAGYAYQBsAG8AXAAiACwAIAAzADkALgA1ADsAXABuACAAIAAgACAAIAAgACAAIAAgACAAXAAiAEcAbwBhAHQAcwBcACIALAAgADcALgAwADsAXABuACAAIAAgACAAIAAgACAAIAAgACAAXAAiAEQAZQBlAHIAXAAiACwAIAAxADMALgAyADsAXABuACAAIAAgACAAIAAgACAAIAAgACAAXAAiAEMAYQBtAGUAbABzAFwAIgAsACAAMwA5AC4ANQA7AFwAbgAgACAAIAAgACAAIAAgACAAIAAgAFwAIgBBAGwAcABhAGMAYQBzAFwAIgAsACAANwAuADAAOwBcAG4AIAAgACAAIAAgACAAIAAgACAAIABcACIASABvAHIAcwBlAHMAXAAiACwAIAAzADkALgA1ADsAXABuACAAIAAgACAAIAAgACAAIAAgACAAXAAiAE0AdQBsAGUAcwAvAGEAcwBzAGUAcwBcACIALAAgADEAMwAuADIAOwBcAG4AIAAgACAAIAAgACAAIAAgACAAIABcACIARQBtAHUAcwAvAG8AcwB0AHIAaQBjAGgAZQBzAFwAIgAsACAANwAuADA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QQB2AGUAcgBhAGcAZQBMAGkAdgBlAHcAZQBpAGcAaAB0AFwAbgBUAGEAYgBsAGUAIABBAC4AMQAuADUALgA0ADoAIABPAHQAaABlAHIAIABMAGkAdgBlAHMAdABvAGMAawAgAC0AIABBAHYAZQByAGEAZwBlACAATABpAHYAZQB3AGUAaQBnAGgAdABzACAAKABXAGMAbwApACAAKABrAGcAKQAgAFwAbgAtAC0ALQAtAC0ALQAtAC0ALQAtAC0ALQAtAC0ALQAtAC0ALQAtAC0ALQAtAC0ALQAtAC0ALQAtAC0ALQAtAC0ALQAtAC0ALQAtAC0AXABuACoALwBcAG4AXABuAFMAbwB1AHIAYwBlAEQAYQB0AGEAXwBPAHQAaABlAHIATABpAHYAZQBzAHQAbwBjAGsAXwBBAHYAZQByAGEAZwBlAEwAaQB2AGUAdwBlAGkAZwBoAHQAXwBUAGkAdABsAGUAXABuACAAIAA9AEwAQQBNAEIARABBACgAXAAiAE8AdABoAGUAcgAgAEwAaQB2AGUAcwB0AG8AYwBrACAALQAgAEEAdgBlAHIAYQBnAGUAIABMAGkAdgBlAHcAZQBpAGcAaAB0AHMAXAAiACkAOwBcAG4AXABuAFMAbwB1AHIAYwBlAEQAYQB0AGEAXwBPAHQAaABlAHIATABpAHYAZQBzAHQAbwBjAGsAXwBBAHYAZQByAGEAZwBlAEwAaQB2AGUAdwBlAGkAZwBoAHQAXwBWAGEAcgBpAGEAYgBsAGUAXABuACAAIAA9AEwAQQBNAEIARABBACgAXAAiAFcAYwBvAFwAIgApADsAXABuAFwAbgBTAG8AdQByAGMAZQBEAGEAdABhAF8ATwB0AGgAZQByAEwAaQB2AGUAcwB0AG8AYwBrAF8AQQB2AGUAcgBhAGcAZQBMAGkAdgBlAHcAZQBpAGcAaAB0AF8AVQBuAGkAdABcAG4AIAAgAD0ATABBAE0AQgBEAEEAKABcACIAawBnAFwAIgApADsAXABuAFwAbgBTAG8AdQByAGMAZQBEAGEAdABhAF8ATwB0AGgAZQByAEwAaQB2AGUAcwB0AG8AYwBrAF8AQQB2AGUAcgBhAGcAZQBMAGkAdgBlAHcAZQBpAGcAaAB0AF8AUwBvAHUAcgBjAGUAXABuACAAIAA9AEwAQQBNAEIARABBACgAXAAiAFYARQBFAFIARwAgADIAMAAyADYAOgAgAFQAYQBiAGwAZQAgAEEALgAxAC4ANQAuADQAXAAiACkAOwBcAG4AXABuAFMAbwB1AHIAYwBlAEQAYQB0AGEAXwBPAHQAaABlAHIATABpAHYAZQBzAHQAbwBjAGsAXwBBAHYAZQByAGEAZwBlAEwAaQB2AGUAdwBlAGkAZwBoAHQAXwBWAGEAcgBpAGEAdABpAG8AbgBcAG4AIAAgAD0ATABBAE0AQgBEAEEAKABcACIAXAAiACkAOwBcAG4AXABuAFMAbwB1AHIAYwBlAEQAYQB0AGEAXwBPAHQAaABlAHIATABpAHYAZQBzAHQAbwBjAGsAXwBBAHYAZQByAGEAZwBlAEwAaQB2AGUAdwBlAGkAZwBoAHQAXwBEAGEAdABhAFwAbgAgACAAPQBMAEEATQBCAEQAQQAoAFwAbgAgACAAIAAgAE0AQQBLAEUAQQBSAFIAQQBZACgAMQAxACwAIAAzACwAXABuACAAIAAgACAAIAAgAEwAQQBNAEIARABBACgAcgAsAGMALABcAG4AIAAgACAAIAAgACAAIAAgAEkATgBEAEUAWAAoAHsAXABuACAAIAAgACAAIAAgACAAIAAgACAAXAAiAE8AdABoAGUAcgAgAEwAaQB2AGUAcwB0AG8AYwBrACAAVAB5AHAAZQAgAGoAXAAiACwAIABcACIAQQB2AGUAcgBhAGcAZQAgAEwAaQB2AGUAdwBlAGkAZwBoAHQAXAAiACwAIABcACIAQQB2AGUAcgBhAGcAZQAgAEwAaQB2AGUAdwBlAGkAZwBoAHQAXAAiADsAXABuACAAIAAgACAAIAAgACAAIAAgACAAXAAiAEIAdQBmAGYAYQBsAG8AXAAiACwAIAAzADMANgAsACAAXAAiAC0AXAAiADsAXABuACAAIAAgACAAIAAgACAAIAAgACAAXAAiAEcAbwBhAHQAcwBcACIALAAgADMAMwAsACAAXAAiADIAOABrAGcAIAAtACAAbABvAHcAIABwAHIAbwBkAHUAYwB0AGkAdgBpAHQAeQAgAHMAeQBzAHQAZQBtAHMAXAAiADsAXABuACAAIAAgACAAIAAgACAAIAAgACAAXAAiAEcAbwBhAHQAcwBcACIALAAgADMAMwAsACAAXAAiADUAMABrAGcAIAAtACAAaABpAGcAaAAgAHAAcgBvAGQAdQBjAHQAaQB2AGkAdAB5ACAAcwB5AHMAdABlAG0AcwBcACIAOwBcAG4AIAAgACAAIAAgACAAIAAgACAAIABcACIARABlAGUAcgBcACIALAAgADEAMgAwACwAIAAxADIAMAA7AFwAbgAgACAAIAAgACAAIAAgACAAIAAgAFwAIgBDAGEAbQBlAGwAcwBcACIALAAgADIAMQA3ACwAIAA1ADcAMAA7AFwAbgAgACAAIAAgACAAIAAgACAAIAAgAFwAIgBBAGwAcABhAGMAYQBzAFwAIgAsACAAXAAiAC0AXAAiACwAIAA2ADUAOwBcAG4AIAAgACAAIAAgACAAIAAgACAAIABcACIASABvAHIAcwBlAHMAXAAiACwAIAAzADcANwAsACAANQA1ADAAOwBcAG4AIAAgACAAIAAgACAAIAAgACAAIABcACIATQB1AGwAZQBzAC8AYQBzAHMAZQBzAFwAIgAsACAAMQAzADAALAAgADIANAA1ADsAXABuACAAIAAgACAAIAAgACAAIAAgACAAXAAiAEUAbQB1AHMALwBvAHMAdAByAGkAYwBoAGUAcwBcACIALAAgADEAMgAwACwAIAAxADIAMAA7AFwAbgAgACAAIAAgACAAIAAgACAAIAAgAFwAIgBSAGUAZgBlAHIAZQBuAGMAZQBcACIALAAgAFwAIgBJAFAAQwBDACAAMgAwADEAOQAgAFQAYQBiAGwAZQAgADEAMABBAC4ANQAgAFsAMgBdAFwAIgAsACAAXAAiAEkAUABDAEMAIAAyADAAMQA5ACAAVABhAGIAbABlACAAMQAwAC4AMQAwACAAWwAyAF0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dABpAG8AbgBXAGEAcwB0AGUASQBuAE0ATQBTAFwAbgBUAGEAYgBsAGUAIABBAC4AMQAuADUALgA1ADoAIABPAHQAaABlAHIAIABMAGkAdgBlAHMAdABvAGMAawAgAC0AIABGAHIAYQBjAHQAaQBvAG4AIABvAGYAIAB3AGEAcwB0AGUAIABpAG4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E8AdABoAGUAcgBMAGkAdgBlAHMAdABvAGMAawBfAEYAcgBhAGMAdABpAG8AbgBXAGEAcwB0AGUASQBuAE0ATQBTAF8AVABpAHQAbABlAFwAbgAgACAAPQBMAEEATQBCAEQAQQAoAFwAIgBPAHQAaABlAHIAIABMAGkAdgBlAHMAdABvAGMAawAgAC0AIABGAHIAYQBjAHQAaQBvAG4AIABvAGYAIAB3AGEAcwB0AGUAIABpAG4AIABlAGEAYwBoACAAbQBhAG4AdQByAGUAIABtAGEAbgBhAGcAZQBtAGUAbgB0ACAAcwB5AHMAdABlAG0AXAAiACkAOwBcAG4AXABuAFMAbwB1AHIAYwBlAEQAYQB0AGEAXwBPAHQAaABlAHIATABpAHYAZQBzAHQAbwBjAGsAXwBGAHIAYQBjAHQAaQBvAG4AVwBhAHMAdABlAEkAbgBNAE0AUwBfAFYAYQByAGkAYQBiAGwAZQBcAG4AIAAgAD0ATABBAE0AQgBEAEEAKABcACIATQBNAFMAbQBcACIAKQA7AFwAbgBcAG4AUwBvAHUAcgBjAGUARABhAHQAYQBfAE8AdABoAGUAcgBMAGkAdgBlAHMAdABvAGMAawBfAEYAcgBhAGMAdABpAG8AbgBXAGEAcwB0AGUASQBuAE0ATQBTAF8AVQBuAGkAdABcAG4AIAAgAD0ATABBAE0AQgBEAEEAKABcACIAZgByAGEAYwB0AGkAbwBuAFwAIgApADsAXABuAFwAbgBTAG8AdQByAGMAZQBEAGEAdABhAF8ATwB0AGgAZQByAEwAaQB2AGUAcwB0AG8AYwBrAF8ARgByAGEAYwB0AGkAbwBuAFcAYQBzAHQAZQBJAG4ATQBNAFMAXwBTAG8AdQByAGMAZQBcAG4AIAAgAD0ATABBAE0AQgBEAEEAKABcACIAVgBFAEUAUgBHACAAMgAwADIANgA6ACAAVABhAGIAbABlACAAQQAuADEALgA1AC4ANQBcACIAKQA7AFwAbgBcAG4AUwBvAHUAcgBjAGUARABhAHQAYQBfAE8AdABoAGUAcgBMAGkAdgBlAHMAdABvAGMAawBfAEYAcgBhAGMAdABpAG8AbgBXAGEAcwB0AGUASQBuAE0ATQBTAF8AVgBhAHIAaQBhAHQAaQBvAG4AXABuACAAIAA9AEwAQQBNAEIARABBACgAXAAiAFwAIgApADsAXABuAFwAbgBTAG8AdQByAGMAZQBEAGEAdABhAF8ATwB0AGgAZQByAEwAaQB2AGUAcwB0AG8AYwBrAF8ARgByAGEAYwB0AGkAbwBuAFcAYQBzAHQAZQBJAG4ATQBNAFM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5ADkALgA2ADYALAAgACAAMAAuADMANAA7AFwAbgAgACAAIAAgACAAIAAgACAAIAAgAFwAIgBOAFMAVwBcACIALAAgACAAOQA5AC4ANgA2ACwAIAAgADAALgAzADQAOwBcAG4AIAAgACAAIAAgACAAIAAgACAAIABcACIATgBUAFwAIgAsACAAIAA5ADkALgA2ADYALAAgACAAMAAuADMANAA7AFwAbgAgACAAIAAgACAAIAAgACAAIAAgAFwAIgBRAEwARABcACIALAAgACAAOQA5AC4ANgA2ACwAIAAgADAALgAzADQAOwBcAG4AIAAgACAAIAAgACAAIAAgACAAIABcACIAUwBBAFwAIgAsACAAIAA5ADkALgA2ADYALAAgACAAMAAuADMANAA7AFwAbgAgACAAIAAgACAAIAAgACAAIAAgAFwAIgBUAEEAUwBcACIALAAgACAAOQA5AC4ANgA2ACwAIAAgADAALgAzADQAOwBcAG4AIAAgACAAIAAgACAAIAAgACAAIABcACIAVgBJAEMAXAAiACwAIAAgADkAOQAuADYANgAsACAAIAAwAC4AMwA0ADsAXABuACAAIAAgACAAIAAgACAAIAAgACAAXAAiAFcAQQBcACIALAAgACAAOQA5AC4ANgA2ACwAI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DAG8AbgB2AGUAcgBzAGkAbwBuAEYAYQBjAHQAbwByAFwAbgBUAGEAYgBsAGUAIABBAC4AMQAuADUALgA2ADoAIABPAHQAaABlAHIAIABMAGkAdgBlAHMAdABvAGMAaw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PAHQAaABlAHIATABpAHYAZQBzAHQAbwBjAGsAXwBNAGUAdABoAGEAbgBlAEMAbwBuAHYAZQByAHMAaQBvAG4ARgBhAGMAdABvAHIAXwBUAGkAdABsAGUAXABuACAAIAA9AEwAQQBNAEIARABBACgAXAAiAE8AdABoAGUAcgAgAEwAaQB2AGUAcwB0AG8AYwBrACAALQAgAE0AZQB0AGgAYQBuAGUAIABjAG8AbgB2AGUAcgBzAGkAbwBuACAAZgBhAGMAdABvAHIAIABwAGUAcgAgAHIAZQBnAGkAbwBuAFwAIgApADsAXABuAFwAbgBTAG8AdQByAGMAZQBEAGEAdABhAF8ATwB0AGgAZQByAEwAaQB2AGUAcwB0AG8AYwBrAF8ATQBlAHQAaABhAG4AZQBDAG8AbgB2AGUAcgBzAGkAbwBuAEYAYQBjAHQAbwByAF8AVgBhAHIAaQBhAGIAbABlAFwAbgAgACAAPQBMAEEATQBCAEQAQQAoAFwAIgBNAEMARgBpAG0AXAAiACkAOwBcAG4AXABuAFMAbwB1AHIAYwBlAEQAYQB0AGEAXwBPAHQAaABlAHIATABpAHYAZQBzAHQAbwBjAGsAXwBNAGUAdABoAGEAbgBlAEMAbwBuAHYAZQByAHMAaQBvAG4ARgBhAGMAdABvAHIAXwBVAG4AaQB0AFwAbgAgACAAPQBMAEEATQBCAEQAQQAoAFwAIgBmAHIAYQBjAHQAaQBvAG4AXAAiACkAOwBcAG4AXABuAFMAbwB1AHIAYwBlAEQAYQB0AGEAXwBPAHQAaABlAHIATABpAHYAZQBzAHQAbwBjAGsAXwBNAGUAdABoAGEAbgBlAEMAbwBuAHYAZQByAHMAaQBvAG4ARgBhAGMAdABvAHIAXwBTAG8AdQByAGMAZQBcAG4AIAAgAD0ATABBAE0AQgBEAEEAKABcACIAVgBFAEUAUgBHACAAMgAwADIANgA6ACAAVABhAGIAbABlACAAQQAuADEALgA1AC4ANgBcACIAKQA7AFwAbgBcAG4AUwBvAHUAcgBjAGUARABhAHQAYQBfAE8AdABoAGUAcgBMAGkAdgBlAHMAdABvAGMAawBfAE0AZQB0AGgAYQBuAGUAQwBvAG4AdgBlAHIAcwBpAG8AbgBGAGEAYwB0AG8AcgBfAFYAYQByAGkAYQB0AGkAbwBuAFwAbgAgACAAPQBMAEEATQBCAEQAQQAoAFwAIgBcACIAKQA7AFwAbgBcAG4AUwBvAHUAcgBjAGUARABhAHQAYQBfAE8AdABoAGUAcgBMAGkAdgBlAHMAdABvAGMAawBfAE0AZQB0AGgAYQBuAGUAQwBvAG4AdgBlAHIAcwBpAG8AbgBGAGEAYwB0AG8Acg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AALgAwADAANAA3ACwAIAAgADAALgA3ADEAOwBcAG4AIAAgACAAIAAgACAAIAAgACAAIABcACIATgBTAFcAXAAiACwAIAAgADAALgAwADAANAA3ACwAIAAgADAALgA3ADUAOwBcAG4AIAAgACAAIAAgACAAIAAgACAAIABcACIATgBUAFwAIgAsACAAIAAwAC4AMAAwADQANwAsACAAIAAwAC4AOAAwADsAXABuACAAIAAgACAAIAAgACAAIAAgACAAXAAiAFEATABEAFwAIgAsACAAIAAwAC4AMAAwADQANwAsACAAIAAwAC4ANwA4ADsAXABuACAAIAAgACAAIAAgACAAIAAgACAAXAAiAFMAQQBcACIALAAgACAAMAAuADAAMAA0ADcALAAgACAAMAAuADcANAA7AFwAbgAgACAAIAAgACAAIAAgACAAIAAgAFwAIgBUAEEAUwBcACIALAAgACAAMAAuADAAMAA0ADcALAAgACAAMAAuADcAMAA7AFwAbgAgACAAIAAgACAAIAAgACAAIAAgAFwAIgBWAEkAQwBcACIALAAgACAAMAAuADAAMAA0ADcALAAgACAAMAAuADcANAA7AFwAbgAgACAAIAAgACAAIAAgACAAIAAgAFwAIgBXAEEAXAAiACwAIAAgADAALgAwADAANAA3ACwAIAAgADAALgA3ADY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FAG0AaQBzAHMAaQBvAG4AcwBQAG8AdABlAG4AdABpAGEAbABcAG4AVABhAGIAbABlACAAQQAuADEALgA1AC4AWAA6ACAATwB0AGgAZQByACAATABpAHYAZQBzAHQAbwBjAGsAIAAtACAATQBlAHQAaABhAG4AZQAgAGUAbQBpAHMAcwBpAG8AbgBzACAAcABvAHQAZQBuAHQAaQBhAGwAIAAoAG0AMwAgAEMASAA0ACAALwAgAGsAZwAgAFYAUwApACAAKABCAE8AKQBcAG4ALQAtAC0ALQAtAC0ALQAtAC0ALQAtAC0ALQAtAC0ALQAtAC0ALQAtAC0ALQAtAC0ALQAtAC0ALQAtAC0ALQAtAC0ALQAtAC0ALQAtAFwAbgAqAC8AXABuAFwAbgBTAG8AdQByAGMAZQBEAGEAdABhAF8ATwB0AGgAZQByAEwAaQB2AGUAcwB0AG8AYwBrAF8ATQBlAHQAaABhAG4AZQBFAG0AaQBzAHMAaQBvAG4AcwBQAG8AdABlAG4AdABpAGEAbABfAFQAaQB0AGwAZQBcAG4AIAAgAD0ATABBAE0AQgBEAEEAKABcACIATwB0AGgAZQByACAATABpAHYAZQBzAHQAbwBjAGsAIAAtACAATQBlAHQAaABhAG4AZQAgAGUAbQBpAHMAcwBpAG8AbgBzACAAcABvAHQAZQBuAHQAaQBhAGwAXAAiACkAOwBcAG4AXABuAFMAbwB1AHIAYwBlAEQAYQB0AGEAXwBPAHQAaABlAHIATABpAHYAZQBzAHQAbwBjAGsAXwBNAGUAdABoAGEAbgBlAEUAbQBpAHMAcwBpAG8AbgBzAFAAbwB0AGUAbgB0AGkAYQBsAF8AVgBhAHIAaQBhAGIAbABlAFwAbgAgACAAPQBMAEEATQBCAEQAQQAoAFwAIgBCAE8AXAAiACkAOwBcAG4AXABuAFMAbwB1AHIAYwBlAEQAYQB0AGEAXwBPAHQAaABlAHIATABpAHYAZQBzAHQAbwBjAGsAXwBNAGUAdABoAGEAbgBlAEUAbQBpAHMAcwBpAG8AbgBzAFAAbwB0AGUAbgB0AGkAYQBsAF8AVQBuAGkAdABcAG4AIAAgAD0ATABBAE0AQgBEAEEAKABcACIAbQAzACAAQwBIADQAIAAvACAAawBnACAAVgBTAFwAIgApADsAXABuAFwAbgBTAG8AdQByAGMAZQBEAGEAdABhAF8ATwB0AGgAZQByAEwAaQB2AGUAcwB0AG8AYwBrAF8ATQBlAHQAaABhAG4AZQBFAG0AaQBzAHMAaQBvAG4AcwBQAG8AdABlAG4AdABpAGEAbABfAFMAbwB1AHIAYwBlAFwAbgAgACAAPQBMAEEATQBCAEQAQQAoAFwAIgBWAEUARQBSAEcAIAAyADAAMgA2ADoAIABUAGEAYgBsAGUAIABBAC4AMQAuADUALgBYAFwAIgApADsAXABuAFwAbgBTAG8AdQByAGMAZQBEAGEAdABhAF8ATwB0AGgAZQByAEwAaQB2AGUAcwB0AG8AYwBrAF8ATQBlAHQAaABhAG4AZQBFAG0AaQBzAHMAaQBvAG4AcwBQAG8AdABlAG4AdABpAGEAbABfAFYAYQByAGkAYQB0AGkAbwBuAFwAbgAgACAAPQBMAEEATQBCAEQAQQAoAFwAIgBWAEEAUgBJAEEAVABJAE8ATgAgAE8ATgAgAFMATwBVAFIAQwBFADoAIABUAGgAZQByAGUAIAB3AGUAcgBlACAAbgBvACAAdgBhAGwAdQBlAHMAIABpAG4AIABWAEUARQBSAEcAIABzAG8AIAB0AGgAaQBzACAAZABhAHQAYQAgAGgAYQBzACAAYgBlAGUAbgAgAGcAZQBuAGUAcgBhAHQAZQBkACAAYgB5ACAAdQBzAGkAbgBnACAAZABvAGMAdQBtAGUAbgB0AGUAZAAgAEIATwAgAHYAYQBsAHUAZQBzACAAZgByAG8AbQAgAG8AdABoAGUAcgAgAGwAaQB2AGUAcwB0AG8AYwBrAFwAIgApADsAXABuAFwAbgBTAG8AdQByAGMAZQBEAGEAdABhAF8ATwB0AGgAZQByAEwAaQB2AGUAcwB0AG8AYwBrAF8ATQBlAHQAaABhAG4AZQBFAG0AaQBzAHMAaQBvAG4AcwBQAG8AdABlAG4AdABpAGEAbABfAEQAYQB0AGEAXABuACAAIAA9AEwAQQBNAEIARABBACgAXABuACAAIAAgACAATQBBAEsARQBBAFIAUgBBAFkAKAA5ACwAIAAzACwAXABuACAAIAAgACAAIAAgAEwAQQBNAEIARABBACgAcgAsAGMALABcAG4AIAAgACAAIAAgACAAIAAgAEkATgBEAEUAWAAoAHsAXABuACAAIAAgACAAIAAgACAAIAAgACAAXAAiAE8AdABoAGUAcgAgAEwAaQB2AGUAcwB0AG8AYwBrACAAVAB5AHAAZQBcACIALAAgAFwAIgBCAE8AXAAiACwAIABcACIAVABhAGsAZQBuACAAZgByAG8AbQBcACIAOwBcAG4AIAAgACAAIAAgACAAIAAgACAAIABcACIAQgB1AGYAZgBhAGwAbwBcACIALAAgADAALgAxADkALAAgAFwAIgBGAGUAZQBkAGwAbwB0ACwAIABQAGEAcwB0AHUAcgBlACAAYgBlAGUAZgBcACIAOwBcAG4AIAAgACAAIAAgACAAIAAgACAAIABcACIARwBvAGEAdABzAFwAIgAsACAAMAAuADIANAAsACAAXAAiAFMAaABlAGUAcABcACIAOwBcAG4AIAAgACAAIAAgACAAIAAgACAAIABcACIARABlAGUAcgBcACIALAAgADAALgAyADQALAAgAFwAIgBTAGgAZQBlAHAAXAAiADsAXABuACAAIAAgACAAIAAgACAAIAAgACAAXAAiAEMAYQBtAGUAbABzAFwAIgAsACAAMAAuADIANAAsACAAXAAiAFMAaABlAGUAcABcACIAOwBcAG4AIAAgACAAIAAgACAAIAAgACAAIABcACIAQQBsAHAAYQBjAGEAcwBcACIALAAgADAALgAyADQALAAgAFwAIgBTAGgAZQBlAHAAXAAiADsAXABuACAAIAAgACAAIAAgACAAIAAgACAAXAAiAEgAbwByAHMAZQBzAFwAIgAsACAAMAAuADEAOQAsACAAXAAiAEYAZQBlAGQAbABvAHQALAAgAFAAYQBzAHQAdQByAGUAIABiAGUAZQBmAFwAIgA7AFwAbgAgACAAIAAgACAAIAAgACAAIAAgAFwAIgBNAHUAbABlAHMALwBhAHMAcwBlAHMAXAAiACwAIAAwAC4AMgA0ACwAIABcACIAUwBoAGUAZQBwAFwAIgA7AFwAbgAgACAAIAAgACAAIAAgACAAIAAgAFwAIgBFAG0AdQBzAC8AbwBzAHQAcgBpAGMAaABlAHMAXAAiACwAIAAwAC4AMwA2ACwAIABcACIAUABvAHUAbAB0AHIAeQAgAC0AIABtAGUAYQB0ACAAYwBoAGkAYwBrAGU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E8AdABoAGUAcgBMAGkAdgBlAHMAdABvAGMAaw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E8AdABoAGUAcgBMAGkAdgBlAHMAdABvAGMAawBfAEYAcgBhAGMARwBBAFMATQBTAG8AaQBsAF8AVgBhAHIAaQBhAGIAbABlAFwAbgAgACAAPQBMAEEATQBCAEQAQQAoAFwAIgBGAHIAYQBjAEcAQQBTAE0AcwBvAGkAbABcACIAKQA7AFwAbgBcAG4AUwBvAHUAcgBjAGUARABhAHQAYQBfAE8AdABoAGUAcgBMAGkAdgBlAHMAdABvAGMAawBfAEYAcgBhAGMARwBBAFMATQBTAG8AaQBsAF8AVQBuAGkAdABcAG4AIAAgAD0ATABBAE0AQgBEAEEAKABcACIAKABrAGcAIABOAEgAMwAtAE4AIAArACAATgBPAHgALQBOACkALwBrAGcAIABOAFwAIgApADsAXABuAFwAbgBTAG8AdQByAGMAZQBEAGEAdABhAF8ATwB0AGgAZQByAEwAaQB2AGUAcwB0AG8AYwBrAF8ARgByAGEAYwBHAEEAUwBNAFMAbwBpAGwAXwBTAG8AdQByAGMAZQBcAG4AIAAgAD0ATABBAE0AQgBEAEEAKABcACIAVgBFAEUAUgBHACAAMgAwADIANgA6ACAANAAuADcALgAyAC4AMwAgAEMATwBOAFMAVABBAE4AVABTAFwAIgApADsAXABuAFwAbgBTAG8AdQByAGMAZQBEAGEAdABhAF8ATwB0AGgAZQByAEwAaQB2AGUAcwB0AG8AYwBrAF8ARgByAGEAYwBHAEEAUwBNAFMAbwBpAGwAXwBWAGEAcgBpAGEAdABpAG8AbgBcAG4AIAAgAD0ATABBAE0AQgBEAEEAKABcACIAXAAiACkAOwBcAG4AXABuAFMAbwB1AHIAYwBlAEQAYQB0AGEAXwBPAHQAaABlAHIATABpAHYAZQBzAHQAbwBjAGsAXwBGAHIAYQBjAEcAQQBTAE0AUwBvAGkAbABfAEQAYQB0AGEAXABuACAAIAA9AEwAQQBNAEIARABBACgAMAAuADIAMQApADsAXABuAFwAbgAiAH0ALAB7ACIAcABhAHQAaAAiADoAIgAvAHAAcgBvAGoAZQBjAHQAcwAvAE0ATQBTAF8ATwB0AGgAZQByAEwAaQB2AGUAcwB0AG8AYwBr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xACAATQBlAHQAaABvAGQAIAAxACAALQAgAE0AYQBuAHUAcgBlACAATQBlAHQAaABhAG4AZQ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QBfAF8AMQBfAFQAbwB0AGEAbABBAG4AbgB1AGEAbABNAGUAdABoAGEAbgBlAFAAcgBvAGQAdQBjAHQAaQBvAG4ARgByAG8AbQBNAGEAbgB1AHIAZQBNAGEAbgBhAGcAZQBtAGUAbgB0AE8AdABoAGUAcgBMAGkAdgBlAHMAdABvAGMAawBcAG4AVABvAHQAYQBsACAAYQBuAG4AdQBhAGwAIABtAGUAdABoAGEAbgBlACAAcAByAG8AZAB1AGMAdABpAG8AbgAgAGYAcgBvAG0AIABtAGEAbgB1AHIAZQAgAG0AYQBuAGEAZwBlAG0AZQBuAHQAIABvAGYAIABvAHQAaABlAHIAIABsAGkAdgBlAHMAdABvAGMAawBcAG4ARQBfAEMASAA0AFwAbgB0ACAAQwBIADQAXABuAEUAXwB7AEMASAA0AH0APQBcAFwAcwB1AG0AXwBqAFwAXABzAHUAbQBfAG0AKABOAF8AagBcAFwAdABpAG0AZQBzACAATQBfAGoAbQBcAFwAdABpAG0AZQBzACAAMwA2ADUAKQBcAFwAdABpAG0AZQBzACAAMQAwAF4AewAtADMAfQBcAG4ATgBfAGoAIAA9ACAAYQB2AGUAcgBhAGcAZQAgAGEAbgBuAHUAYQBsACAAbgB1AG0AYgBlAHIAIABvAGYAIABsAGkAdgBlAHMAdABvAGMAawAgAHAAZQByACAAbABpAHYAZQBzAHQAbwBjAGsAIAB0AHkAcABlACAAagAgACgAaABlAGEAZAApAFwAbgBNAF8AagBtACAAPQAgAGEAbgBuAHUAYQBsACAAbQBlAHQAaABhAG4AZQAgAHAAcgBvAGQAdQBjAHQAaQBvAG4AIABmAHIAbwBtACAAbQBhAG4AdQByAGUAIABtAGEAbgBhAGcAZQBtAGUAbgB0ACAAKABrAGcAIABDAEgANAAvAGgAZQBhAGQALwBkAGEAeQApAFwAbgAtAC0ALQAtAC0ALQAtAC0ALQAtAC0ALQAtAC0ALQAtAC0ALQAtAC0ALQAtAC0ALQAtAC0ALQAtAC0ALQAtAC0ALQAtAC0ALQAtAC0AXABuACoALwBcAG4AXABuAFYARQBFAFIARwBfADQAXwA3AF8AMQBfADEAXwBfADEAXwBUAG8AdABhAGwAQQBuAG4AdQBhAGwATQBlAHQAaABhAG4AZQBQAHIAbwBkAHUAYwB0AGkAbwBuAEYAcgBvAG0ATQBhAG4AdQByAGUATQBhAG4AYQBnAGUAbQBlAG4AdABPAHQAaABlAHIATABpAHYAZQBzAHQAbwBjAGsAXABuACAAIAA9AEwAQQBNAEIARABBACgAXABuACAAIAAgACAATgBfAGoALAAgAE0AXwBqAG0ALABcAG4AIAAgACAAIABTAFUATQAoAE4AXwBqACAAKgAgAE0AXwBqAG0AIAAqACAAMwA2ADUAKQAgACoAIAAxADAAIABeACAALQAzAFwAbgAgACAAKQA7AFwAbgBcAG4AVgBFAEUAUgBHAF8ANABfADcAXwAxAF8AMQBfAF8AMQBfAFQAbwB0AGEAbABBAG4AbgB1AGEAbABNAGUAdABoAGEAbgBlAFAAcgBvAGQAdQBjAHQAaQBvAG4ARgByAG8AbQBNAGEAbgB1AHIAZQBNAGEAbgBhAGcAZQBtAGUAbgB0AE8AdABoAGUAcgBMAGkAdgBlAHMAdABvAGMAawBfAFQAaQB0AGwAZQBcAG4AIAAgAD0ATABBAE0AQgBEAEEAKABcACIAVABvAHQAYQBsACAAYQBuAG4AdQBhAGwAIABtAGUAdABoAGEAbgBlACAAcAByAG8AZAB1AGMAdABpAG8AbgAgAGYAcgBvAG0AIABtAGEAbgB1AHIAZQAgAG0AYQBuAGEAZwBlAG0AZQBuAHQAIABvAGYAIABvAHQAaABlAHIAIABsAGkAdgBlAHMAdABvAGMAawBcACIAKQA7AFwAbgBcAG4AVgBFAEUAUgBHAF8ANABfADcAXwAxAF8AMQBfAF8AMQBfAFQAbwB0AGEAbABBAG4AbgB1AGEAbABNAGUAdABoAGEAbgBlAFAAcgBvAGQAdQBjAHQAaQBvAG4ARgByAG8AbQBNAGEAbgB1AHIAZQBNAGEAbgBhAGcAZQBtAGUAbgB0AE8AdABoAGUAcgBMAGkAdgBlAHMAdABvAGMAawBfAFYAYQByAGkAYQBiAGwAZQBcAG4AIAAgAD0ATABBAE0AQgBEAEEAKABcACIARQBfAEMASAA0AFwAIgApADsAXABuAFwAbgBWAEUARQBSAEcAXwA0AF8ANwBfADEAXwAxAF8AXwAxAF8AVABvAHQAYQBsAEEAbgBuAHUAYQBsAE0AZQB0AGgAYQBuAGUAUAByAG8AZAB1AGMAdABpAG8AbgBGAHIAbwBtAE0AYQBuAHUAcgBlAE0AYQBuAGEAZwBlAG0AZQBuAHQATwB0AGgAZQByAEwAaQB2AGUAcwB0AG8AYwBrAF8AVQBuAGkAdABcAG4AIAAgAD0ATABBAE0AQgBEAEEAKABcACIAdAAgAEMASAA0AFwAIgApADsAXABuAFwAbgBWAEUARQBSAEcAXwA0AF8ANwBfADEAXwAxAF8AXwAxAF8AVABvAHQAYQBsAEEAbgBuAHUAYQBsAE0AZQB0AGgAYQBuAGUAUAByAG8AZAB1AGMAdABpAG8AbgBGAHIAbwBtAE0AYQBuAHUAcgBlAE0AYQBuAGEAZwBlAG0AZQBuAHQATwB0AGgAZQByAEwAaQB2AGUAcwB0AG8AYwBrAF8AUwBvAHUAcgBjAGUAXABuACAAIAA9AEwAQQBNAEIARABBACgAXAAiAFYARQBFAFIARwAgADIAMAAyADYAOgAgADQALgA3AC4AMQAuADEALAAgAEUAcQB1AGEAdABpAG8AbgAgACgAMQApAFwAIgApADsAXABuAFwAbgBWAEUARQBSAEcAXwA0AF8ANwBfADEAXwAxAF8AXwAxAF8AVABvAHQAYQBsAEEAbgBuAHUAYQBsAE0AZQB0AGgAYQBuAGUAUAByAG8AZAB1AGMAdABpAG8AbgBGAHIAbwBtAE0AYQBuAHUAcgBlAE0AYQBuAGEAZwBlAG0AZQBuAHQATwB0AGgAZQByAEwAaQB2AGUAcwB0AG8AYwBrAF8ATgBJAFIAUgBlAGYAZQByAGUAbgBjAGUAXABuACAAIAA9AEwAQQBNAEIARABBACgAXAAiAFwAIgApADsAXABuAFwAbgBWAEUARQBSAEcAXwA0AF8ANwBfADEAXwAxAF8AXwAxAF8AVABvAHQAYQBsAEEAbgBuAHUAYQBsAE0AZQB0AGgAYQBuAGUAUAByAG8AZAB1AGMAdABpAG8AbgBGAHIAbwBtAE0AYQBuAHUAcgBlAE0AYQBuAGEAZwBlAG0AZQBuAHQATwB0AGgAZQByAEwAaQB2AGUAcwB0AG8AYwBrAF8ATABhAHQAZQB4AEUAcQB1AGEAdABpAG8AbgBcAG4AIAAgAD0ATABBAE0AQgBEAEEAKABcACIARQBfAHsAQwBIADQAfQA9AFwAXABzAHUAbQBcAFwAbgBvAGwAaQBtAGkAdABzAF8AagBcAFwAcwB1AG0AXABcAG4AbwBsAGkAbQBpAHQAcwBfAG0AKABOAF8AagBcAFwAdABpAG0AZQBzACAATQBfAGoAbQBcAFwAdABpAG0AZQBzACAAMwA2ADUAKQBcAFwAdABpAG0AZQBzACAAMQAwAF4AewAtADMAfQBcACIAKQA7AFwAbgBcAG4AVgBFAEUAUgBHAF8ANABfADcAXwAxAF8AMQBfAF8AMQBfAFQAbwB0AGEAbABBAG4AbgB1AGEAbABNAGUAdABoAGEAbgBlAFAAcgBvAGQAdQBjAHQAaQBvAG4ARgByAG8AbQBNAGEAbgB1AHIAZQBNAGEAbgBhAGcAZQBtAGUAbgB0AE8AdABoAGUAcgBMAGkAdgBlAHMAdABvAGMAawBfAEEAcgBnAHUAbQBlAG4AdABzAFwAbgAgACAAPQBMAEEATQBCAEQAQQAoAFwAbgAgACAAIAAgAE0AQQBLAEUAQQBSAFIAQQBZACgANAAsACAANAAsAFwAbgAgACAAIAAgACAAIABMAEEATQBCAEQAQQAoAHIALABjACwAXABuACAAIAAgACAAIAAgACAAIABJAE4ARABFAFgAKAB7AFwAbgAgACAAIAAgACAAIAAgACAAIAAgAFwAIgBOAF8AagBcACIALAAgAFwAIgBhAHYAZQByAGEAZwBlACAAYQBuAG4AdQBhAGwAIABuAHUAbQBiAGUAcgAgAG8AZgAgAGwAaQB2AGUAcwB0AG8AYwBrACAAcABlAHIAIABsAGkAdgBlAHMAdABvAGMAawAgAHQAeQBwAGUAIABqAFwAIgAsACAAXAAiAGgAZQBhAGQAXAAiACwAIABcACIASQBuAHAAdQB0AFwAIgA7AFwAbgAgACAAIAAgACAAIAAgACAAIAAgAFwAIgBNAF8AagBtAFwAIgAsACAAXAAiAGEAbgBuAHUAYQBsACAAbQBlAHQAaABhAG4AZQAgAHAAcgBvAGQAdQBjAHQAaQBvAG4AIABmAHIAbwBtACAAbQBhAG4AdQByAGUAIABtAGEAbgBhAGcAZQBtAGUAbgB0AFwAIgAsACAAXAAiAGsAZwAgAEMASAA0AC8AaABlAGEAZAAvAGQAYQB5AFwAIgAsACAAXAAiAEMAYQBsAGMAdQBsAGEAdABlAGQAIABmAHIAbwBtACAANAAuADcALgAxAC4AMQAsACAAKAAyACkAXAAiADsAXABuACAAIAAgACAAIAAgACAAIAAgACAAXAAiAGoAXAAiACwAIABcACIAbABpAHYAZQBzAHQAbwBjAGsAIAB0AHkAcABlAFwAIgAsACAAXAAiAFwAIgAsACAAXAAiAEkAbgBwAHUAdABcACIAOwBcAG4AIAAgACAAIAAgACAAIAAgACAAIABcACIAbQBcACIALAAgAFwAIgBtAGEAbgB1AHIAZQAgAG0AYQBuAGEAZwBlAG0AZQBuAHQAIABzAHkAcwB0AGU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QBfAF8AMgBfAEEAbgBuAHUAYQBsAE0AZQB0AGgAYQBuAGUAUAByAG8AZAB1AGMAdABpAG8AbgBGAHIAbwBtAE0AYQBuAHUAcgBlAE0AYQBuAGEAZwBlAG0AZQBuAHQAXABuAEEAbgBuAHUAYQBsACAAbQBlAHQAaABhAG4AZQAgAHAAcgBvAGQAdQBjAHQAaQBvAG4AIABmAHIAbwBtACAAbQBhAG4AdQByAGUAIABtAGEAbgBhAGcAZQBtAGUAbgB0AFwAbgBNAF8AagBtAFwAbgBrAGcAIABDAEgANAAvAGgAZQBhAGQALwBkAGEAeQBcAG4ATQBfAGoAbQA9AFYAUwBfAGoAXABcAHQAaQBtAGUAcwAgAEIAXwBPAFwAXAB0AGkAbQBlAHMAIABNAE0AUwBfAG0AXABcAHQAaQBtAGUAcwAgAE0AQwBGAF8AaQBtAFwAXAB0AGkAbQBlAHMAIABcAFwAcgBoAG8AXABuAFYAUwBfAGoAIAA9ACAAdgBvAGwAYQB0AGkAbABlACAAcwBvAGwAaQBkACAAcAByAG8AZAB1AGMAdABpAG8AbgAgACgAawBnAC8AaABlAGEAZAAvAGQAYQB5ACkAXABuAEIAXwBPACAAPQAgAG0AZQB0AGgAYQBuAGU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tAGEAbgB1AHIAZQAgAG0AYQBuAGEAZwBlAG0AZQBuAHQAIABzAHkAcwB0AGUAbQBcAG4AcgBoAG8AIAA9ACAAZABlAG4AcwBpAHQAeQAgAG8AZgAgAG0AZQB0AGgAYQBuAGUAIAAoAGsAZwAvAG0AMwApAFwAbgAtAC0ALQAtAC0ALQAtAC0ALQAtAC0ALQAtAC0ALQAtAC0ALQAtAC0ALQAtAC0ALQAtAC0ALQAtAC0ALQAtAC0ALQAtAC0ALQAtAC0AXABuACoALwBcAG4AXABuAFYARQBFAFIARwBfADQAXwA3AF8AMQBfADEAXwBfADIAXwBBAG4AbgB1AGEAbABNAGUAdABoAGEAbgBlAFAAcgBvAGQAdQBjAHQAaQBvAG4ARgByAG8AbQBNAGEAbgB1AHIAZQBNAGEAbgBhAGcAZQBtAGUAbgB0AFwAbgAgACAAPQBMAEEATQBCAEQAQQAoAFwAbgAgACAAIAAgAFYAUwBfAGoALAAgAEIAXwBPACwAIABNAE0AUwBfAG0ALAAgAE0AQwBGAF8AaQBtACwAIAByAGgAbwAsAFwAbgAgACAAIAAgAFYAUwBfAGoAIAAqACAAQgBfAE8AIAAqACAATQBNAFMAXwBtACAAKgAgAE0AQwBGAF8AaQBtACAAKgAgAHIAaABvAFwAbgAgACAAKQA7AFwAbgBcAG4AVgBFAEUAUgBHAF8ANABfADcAXwAxAF8AMQBfAF8AMgBfAEEAbgBuAHUAYQBsAE0AZQB0AGgAYQBuAGUAUAByAG8AZAB1AGMAdABpAG8AbgBGAHIAbwBtAE0AYQBuAHUAcgBlAE0AYQBuAGEAZwBlAG0AZQBuAHQAXwBUAGkAdABsAGUAXABuACAAIAA9AEwAQQBNAEIARABBACgAXAAiAEEAbgBuAHUAYQBsACAAbQBlAHQAaABhAG4AZQAgAHAAcgBvAGQAdQBjAHQAaQBvAG4AIABmAHIAbwBtACAAbQBhAG4AdQByAGUAIABtAGEAbgBhAGcAZQBtAGUAbgB0AFwAIgApADsAXABuAFwAbgBWAEUARQBSAEcAXwA0AF8ANwBfADEAXwAxAF8AXwAyAF8AQQBuAG4AdQBhAGwATQBlAHQAaABhAG4AZQBQAHIAbwBkAHUAYwB0AGkAbwBuAEYAcgBvAG0ATQBhAG4AdQByAGUATQBhAG4AYQBnAGUAbQBlAG4AdABfAFYAYQByAGkAYQBiAGwAZQBcAG4AIAAgAD0ATABBAE0AQgBEAEEAKABcACIATQBfAGoAbQBcACIAKQA7AFwAbgBcAG4AVgBFAEUAUgBHAF8ANABfADcAXwAxAF8AMQBfAF8AMgBfAEEAbgBuAHUAYQBsAE0AZQB0AGgAYQBuAGUAUAByAG8AZAB1AGMAdABpAG8AbgBGAHIAbwBtAE0AYQBuAHUAcgBlAE0AYQBuAGEAZwBlAG0AZQBuAHQAXwBVAG4AaQB0AFwAbgAgACAAPQBMAEEATQBCAEQAQQAoAFwAIgBrAGcAIABDAEgANAAvAGgAZQBhAGQALwBkAGEAeQBcACIAKQA7AFwAbgBcAG4AVgBFAEUAUgBHAF8ANABfADcAXwAxAF8AMQBfAF8AMgBfAEEAbgBuAHUAYQBsAE0AZQB0AGgAYQBuAGUAUAByAG8AZAB1AGMAdABpAG8AbgBGAHIAbwBtAE0AYQBuAHUAcgBlAE0AYQBuAGEAZwBlAG0AZQBuAHQAXwBTAG8AdQByAGMAZQBcAG4AIAAgAD0ATABBAE0AQgBEAEEAKABcACIAVgBFAEUAUgBHACAAMgAwADIANgA6ACAANAAuADcALgAxAC4AMQAsACAARQBxAHUAYQB0AGkAbwBuACAAKAAyACkAXAAiACkAOwBcAG4AXABuAFYARQBFAFIARwBfADQAXwA3AF8AMQBfADEAXwBfADIAXwBBAG4AbgB1AGEAbABNAGUAdABoAGEAbgBlAFAAcgBvAGQAdQBjAHQAaQBvAG4ARgByAG8AbQBNAGEAbgB1AHIAZQBNAGEAbgBhAGcAZQBtAGUAbgB0AF8ATgBJAFIAUgBlAGYAZQByAGUAbgBjAGUAXABuACAAIAA9AEwAQQBNAEIARABBACgAXAAiAFwAIgApADsAXABuAFwAbgBWAEUARQBSAEcAXwA0AF8ANwBfADEAXwAxAF8AXwAyAF8AQQBuAG4AdQBhAGwATQBlAHQAaABhAG4AZQBQAHIAbwBkAHUAYwB0AGkAbwBuAEYAcgBvAG0ATQBhAG4AdQByAGUATQBhAG4AYQBnAGUAbQBlAG4AdABfAEwAYQB0AGUAeABFAHEAdQBhAHQAaQBvAG4AXABuACAAIAA9AEwAQQBNAEIARABBACgAXAAiAE0AXwB7AGoAbQB9AD0AVgBTAF8AagBcAFwAdABpAG0AZQBzACAAQgBfAE8AXABcAHQAaQBtAGUAcwAgAE0ATQBTAF8AbQBcAFwAdABpAG0AZQBzACAATQBDAEYAXwB7AGkAbQB9AFwAXAB0AGkAbQBlAHMAIABcAFwAcgBoAG8AXAAiACkAOwBcAG4AXABuAFYARQBFAFIARwBfADQAXwA3AF8AMQBfADEAXwBfADIAXwBBAG4AbgB1AGEAbABNAGUAdABoAGEAbgBlAFAAcgBvAGQAdQBjAHQAaQBvAG4ARgByAG8AbQBNAGEAbgB1AHIAZQBNAGEAbgBhAGcAZQBtAGUAbgB0AF8AQQByAGcAdQBtAGUAbgB0AHMAXABuACAAIAA9AEwAQQBNAEIARABBACgAXABuACAAIAAgACAATQBBAEsARQBBAFIAUgBBAFkAKAA2ACwAIAA0ACwAXABuACAAIAAgACAAIAAgAEwAQQBNAEIARABBACgAcgAsAGMALABcAG4AIAAgACAAIAAgACAAIAAgAEkATgBEAEUAWAAoAHsAXABuACAAIAAgACAAIAAgACAAIAAgACAAXAAiAFYAUwBfAGoAXAAiACwAIABcACIAdgBvAGwAYQB0AGkAbABlACAAcwBvAGwAaQBkACAAcAByAG8AZAB1AGMAdABpAG8AbgBcACIALAAgAFwAIgBrAGcALwBoAGUAYQBkAC8AZABhAHkAXAAiACwAIABcACIAQwBvAG4AcwB0AGEAbgB0AFwAIgA7AFwAbgAgACAAIAAgACAAIAAgACAAIAAgAFwAIgBCAF8ATwBcACIALAAgAFwAIgBtAGUAdABoAGEAbgBlACA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MAbwBuAHMAdABhAG4AdABcACIAOwBcAG4AIAAgACAAIAAgACAAIAAgACAAIABcACIATQBDAEYAXwBpAG0AXAAiACwAIABcACIAbQBlAHQAaABhAG4AZQAgAGMAbwBuAHYAZQByAHMAaQBvAG4AIABmAGEAYwB0AG8AcgAgAGYAbwByACAAcwB0AGEAdA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wBfADEAXwAxAF8AXwAyAF8AQQBuAG4AdQBhAGwATQBlAHQAaABhAG4AZQBQAHIAbwBkAHUAYwB0AGkAbwBuAEYAcgBvAG0ATQBhAG4AdQByAGUATQBhAG4AYQBnAGUAbQBlAG4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0AGUAbQBwAGUAcgBhAHQAdQByAGUAIAB6AG8Abg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G0AZQBhAG4AIABhAG4AbgB1AGEAbAAgAHQAZQBtAHAAZQByAGEAdAB1AHIAZQBcACIALAAgAFwAIgBkAGUAZwByAGUAZQBzACAAQwBlAGwAcwBpAHUAcwBcACIALAAgAFwAIgBJAG4AcAB1AHQAXAAiAFwAbgAgACAAIAAgACAAIAAgACAAfQAsACAAcgAsACAAYwApAFwAbgAgACAAIAAgACAAIAApAFwAbgAgACAAIAAgACkAXABuACAAIAApADsAXABuACIAfQAsAHsAIgBwAGEAdABoACIAOgAiAC8AcAByAG8AagBlAGMAdABzAC8ATQBNAFMAXwBPAHQAaABlAHIATABpAHYAZQBzAHQAbwBjAGsAXwBTAG8AaQBsAF8ATgAyAE8ARABpAHIAZQBjAHQ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MAIABNAGUAdABoAG8AZAAgADEAIAAtACAAUwBvAGkAbAAgAEQAaQByAGUAYwB0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MAXwBfADEAXwBEAGkAcgBlAGMAdABOAGkAdAByAG8AdQBzAE8AeABpAGQAZQBFAG0AaQBzAHMAaQBvAG4AcwBGAHIAbwBtAFMAbwBpAGwAXABuAEQAaQByAGUAYwB0ACAAbgBpAHQAcgBvAHUAcwAgAG8AeABpAGQAZQAgAGUAbQBpAHMAcwBpAG8AbgBzACAAZgByAG8AbQAgAGEAZwByAGkAYwB1AGwAdAB1AHIAYQBsACAAcwBvAGkAbABzACAAZgByAG8AbQAgAGQAZQBwAG8AcwBpAHQAaQBvAG4AIABvAGYAIAB1AHIAaQBuAGUAIABhAG4AZAAgAGQAdQBuAGcAIAB0AG8AIABwAGEAcwB0AHUAcgBlAFwAbgBFAF8ATgAyAE8AZABpAHIAXABuAHQAIABOADIATwBcAG4ARQBfAHsATgAyAE8ALABkAGkAcgB9AD0AQQBFAFwAXAB0AGkAbQBlAHMAIABFAEYAXwB7AFAAUgBQAH0AXABcAHQAaQBtAGUAcwAgAEMAXwB7AE4AMgBPAH0AXABcAHQAaQBtAGUAcwAgADEAMABeAHsALQAzAH0AXABuAEEARQAgAD0AIABhAG4AbgB1AGEAbAAgAG4AaQB0AHIAbwBnAGUAbgAgAGUAeABjAHIAZQB0AGUAZAAgAGIAeQAgAGUAYQBjAGgAIABsAGkAdgBlAHMAdABvAGMAawAgAHQAeQBwAGUAIAAoAGsAZwAgAE4ALwB5AGUAYQBy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MAXwBfADEAXwBEAGkAcgBlAGMAdABOAGkAdAByAG8AdQBzAE8AeABpAGQAZQBFAG0AaQBzAHMAaQBvAG4AcwBGAHIAbwBtAFMAbwBpAGwAXABuACAAIAA9AEwAQQBNAEIARABBACgAXABuACAAIAAgACAAQQBFACwAIABFAEYAXwBQAFIAUAAsACAAQwBfAE4AMgBPACwAXABuACAAIAAgACAAQQBFACAAKgAgAEUARgBfAFAAUgBQACAAKgAgAEMAXwBOADIATwAgACoAIAAxADAAIABeACAALQAzAFwAbgAgACAAKQA7AFwAbgBcAG4AVgBFAEUAUgBHAF8ANABfADcAXwAxAF8AMwBfAF8AMQBfAEQAaQByAGUAYwB0AE4AaQB0AHIAbwB1AHMATwB4AGkAZABlAEUAbQBpAHMAcwBpAG8AbgBzAEYAcgBvAG0AUwBvAGkAbABfAFQAaQB0AGwAZQBcAG4AIAAgAD0ATABBAE0AQgBEAEEAKABcACIARABpAHIAZQBjAHQAIABuAGkAdAByAG8AdQBzACAAbwB4AGkAZABlACAAZQBtAGkAcwBzAGkAbwBuAHMAIABmAHIAbwBtACAAYQBnAHIAaQBjAHUAbAB0AHUAcgBhAGwAIABzAG8AaQBsAHMAIABmAHIAbwBtACAAZABlAHAAbwBzAGkAdABpAG8AbgAgAG8AZgAgAHUAcgBpAG4AZQAgAGEAbgBkACAAZAB1AG4AZwAgAHQAbwAgAHAAYQBzAHQAdQByAGUAXAAiACkAOwBcAG4AXABuAFYARQBFAFIARwBfADQAXwA3AF8AMQBfADMAXwBfADEAXwBEAGkAcgBlAGMAdABOAGkAdAByAG8AdQBzAE8AeABpAGQAZQBFAG0AaQBzAHMAaQBvAG4AcwBGAHIAbwBtAFMAbwBpAGwAXwBWAGEAcgBpAGEAYgBsAGUAXABuACAAIAA9AEwAQQBNAEIARABBACgAXAAiAEUAXwBOADIATwBkAGkAcgBcACIAKQA7AFwAbgBcAG4AVgBFAEUAUgBHAF8ANABfADcAXwAxAF8AMwBfAF8AMQBfAEQAaQByAGUAYwB0AE4AaQB0AHIAbwB1AHMATwB4AGkAZABlAEUAbQBpAHMAcwBpAG8AbgBzAEYAcgBvAG0AUwBvAGkAbABfAFUAbgBpAHQAXABuACAAIAA9AEwAQQBNAEIARABBACgAXAAiAHQAIABOADIATwBcACIAKQA7AFwAbgBcAG4AVgBFAEUAUgBHAF8ANABfADcAXwAxAF8AMwBfAF8AMQBfAEQAaQByAGUAYwB0AE4AaQB0AHIAbwB1AHMATwB4AGkAZABlAEUAbQBpAHMAcwBpAG8AbgBzAEYAcgBvAG0AUwBvAGkAbABfAFMAbwB1AHIAYwBlAFwAbgAgACAAPQBMAEEATQBCAEQAQQAoAFwAIgBWAEUARQBSAEcAIAAyADAAMgA2ADoAIAA0AC4ANwAuADEALgAzACwAIABFAHEAdQBhAHQAaQBvAG4AIAAoADEAKQBcACIAKQA7AFwAbgBcAG4AVgBFAEUAUgBHAF8ANABfADcAXwAxAF8AMwBfAF8AMQBfAEQAaQByAGUAYwB0AE4AaQB0AHIAbwB1AHMATwB4AGkAZABlAEUAbQBpAHMAcwBpAG8AbgBzAEYAcgBvAG0AUwBvAGkAbABfAE4ASQBSAFIAZQBmAGUAcgBlAG4AYwBlAFwAbgAgACAAPQBMAEEATQBCAEQAQQAoAFwAIgBcACIAKQA7AFwAbgBcAG4AVgBFAEUAUgBHAF8ANABfADcAXwAxAF8AMwBfAF8AMQBfAEQAaQByAGUAYwB0AE4AaQB0AHIAbwB1AHMATwB4AGkAZABlAEUAbQBpAHMAcwBpAG8AbgBzAEYAcgBvAG0AUwBvAGkAbABfAEwAYQB0AGUAeABFAHEAdQBhAHQAaQBvAG4AXABuACAAIAA9AEwAQQBNAEIARABBACgAXAAiAEUAXwB7AE4AMgBPACwAZABpAHIAfQA9AEEARQBcAFwAdABpAG0AZQBzACAARQBGAF8AewBQAFIAUAB9AFwAXAB0AGkAbQBlAHMAIABDAF8AewBOADIATwB9AFwAXAB0AGkAbQBlAHMAIAAxADAAXgB7AC0AMwB9AFwAIgApADsAXABuAFwAbgBWAEUARQBSAEcAXwA0AF8ANwBfADEAXwAzAF8AXwAxAF8ARABpAHIAZQBjAHQATgBpAHQAcgBvAHUAcwBPAHgAaQBkAGUARQBtAGkAcwBzAGkAbwBuAHMARgByAG8AbQBTAG8AaQBsAF8AQQByAGcAdQBtAGUAbgB0AHMAXABuACAAIAA9AEwAQQBNAEIARABBACgAXABuACAAIAAgACAATQBBAEsARQBBAFIAUgBBAFkAKAA0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YAcgBvAG0AIAA0AC4ANwAuADEALgAzACw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MAXwBfADIAXwBBAG4AbgB1AGEAbABOAGkAdAByAG8AZwBlAG4ARQB4AGMAcgBlAHQAZQBkAFQAbwBQAGEAcwB0AHUAcgBlAFwAbgBBAG4AbgB1AGEAbAAgAG4AaQB0AHIAbwBnAGUAbgAgAGUAeABjAHIAZQB0AGUAZAAgAGIAeQAgAGwAaQB2AGUAcwB0AG8AYwBrACAAdABvACAAcABhAHMAdAB1AHIAZQAsACAAcgBhAG4AZwBlACAAYQBuAGQAIABwAGEAZABkAG8AYwBrAFwAbgBBAEUAXABuAGsAZwAgAE4ALwB5AGUAYQByAFwAbgBBAEUAPQBcAFwAcwB1AG0AXwBqACgATgBfAGoAXABcAHQAaQBtAGUAcwAgAE4ARQBfAGoAXABcAHQAaQBtAGUAcwAgADMANgA1ACkAXABuAE4AXwBqACAAPQAgAG4AdQBtAGIAZQByACAAbwBmACAAbABpAHYAZQBzAHQAbwBjAGsAIABvAGYAIABlAGEAYwBoACAAbABpAHYAZQBzAHQAbwBjAGsAIAB0AHkAcABlACAAagAgACgAaABlAGEAZAApAFwAbgBOAEUAXwBqACAAPQAgAG4AaQB0AHIAbwBnAGUAbgAgAGUAeABjAHIAZQB0AGUAZAAgAGIAeQAgAGUAYQBjAGgAIABsAGkAdgBlAHMAdABvAGMAawAgAHQAeQBwAGUAIABqACAAKABrAGcAIABOAC8AaABlAGEAZAAvAGQAYQB5ACkAXABuAC0ALQAtAC0ALQAtAC0ALQAtAC0ALQAtAC0ALQAtAC0ALQAtAC0ALQAtAC0ALQAtAC0ALQAtAC0ALQAtAC0ALQAtAC0ALQAtAC0ALQBcAG4AKgAvAFwAbgBcAG4AVgBFAEUAUgBHAF8ANABfADcAXwAxAF8AMwBfAF8AMgBfAEEAbgBuAHUAYQBsAE4AaQB0AHIAbwBnAGUAbgBFAHgAYwByAGUAdABlAGQAVABvAFAAYQBzAHQAdQByAGUAXABuACAAIAA9AEwAQQBNAEIARABBACgAXABuACAAIAAgACAATgBfAGoALAAgAE4ARQBfAGoALABcAG4AIAAgACAAIABOAF8AagAgACoAIABOAEUAXwBqACAAKgAgADMANgA1AFwAbgAgACAAKQA7AFwAbgBcAG4AVgBFAEUAUgBHAF8ANABfADcAXwAxAF8AMwBfAF8AMgBfAEEAbgBuAHUAYQBsAE4AaQB0AHIAbwBnAGUAbgBFAHgAYwByAGUAdABlAGQAVABvAFAAYQBzAHQAdQByAGUAXwBUAGkAdABsAGUAXABuACAAIAA9AEwAQQBNAEIARABBACgAXAAiAEEAbgBuAHUAYQBsACAAbgBpAHQAcgBvAGcAZQBuACAAZQB4AGMAcgBlAHQAZQBkACAAYgB5ACAAbABpAHYAZQBzAHQAbwBjAGsAIAB0AG8AIABwAGEAcwB0AHUAcgBlACwAIAByAGEAbgBnAGUAIABhAG4AZAAgAHAAYQBkAGQAbwBjAGsAXAAiACkAOwBcAG4AXABuAFYARQBFAFIARwBfADQAXwA3AF8AMQBfADMAXwBfADIAXwBBAG4AbgB1AGEAbABOAGkAdAByAG8AZwBlAG4ARQB4AGMAcgBlAHQAZQBkAFQAbwBQAGEAcwB0AHUAcgBlAF8AVgBhAHIAaQBhAGIAbABlAFwAbgAgACAAPQBMAEEATQBCAEQAQQAoAFwAIgBBAEUAXAAiACkAOwBcAG4AXABuAFYARQBFAFIARwBfADQAXwA3AF8AMQBfADMAXwBfADIAXwBBAG4AbgB1AGEAbABOAGkAdAByAG8AZwBlAG4ARQB4AGMAcgBlAHQAZQBkAFQAbwBQAGEAcwB0AHUAcgBlAF8AVQBuAGkAdABcAG4AIAAgAD0ATABBAE0AQgBEAEEAKABcACIAawBnACAATgAvAHkAZQBhAHIAXAAiACkAOwBcAG4AXABuAFYARQBFAFIARwBfADQAXwA3AF8AMQBfADMAXwBfADIAXwBBAG4AbgB1AGEAbABOAGkAdAByAG8AZwBlAG4ARQB4AGMAcgBlAHQAZQBkAFQAbwBQAGEAcwB0AHUAcgBlAF8AUwBvAHUAcgBjAGUAXABuACAAIAA9AEwAQQBNAEIARABBACgAXAAiAFYARQBFAFIARwAgADIAMAAyADYAOgAgADQALgA3AC4AMQAuADMALAAgAEUAcQB1AGEAdABpAG8AbgAgACgAMgApAFwAIgApADsAXABuAFwAbgBWAEUARQBSAEcAXwA0AF8ANwBfADEAXwAzAF8AXwAyAF8AQQBuAG4AdQBhAGwATgBpAHQAcgBvAGcAZQBuAEUAeABjAHIAZQB0AGUAZABUAG8AUABhAHMAdAB1AHIAZQBfAE4ASQBSAFIAZQBmAGUAcgBlAG4AYwBlAFwAbgAgACAAPQBMAEEATQBCAEQAQQAoAFwAIgBcACIAKQA7AFwAbgBcAG4AVgBFAEUAUgBHAF8ANABfADcAXwAxAF8AMwBfAF8AMgBfAEEAbgBuAHUAYQBsAE4AaQB0AHIAbwBnAGUAbgBFAHgAYwByAGUAdABlAGQAVABvAFAAYQBzAHQAdQByAGUAXwBMAGEAdABlAHgARQBxAHUAYQB0AGkAbwBuAFwAbgAgACAAPQBMAEEATQBCAEQAQQAoAFwAIgBBAEUAPQBcAFwAcwB1AG0AXABcAG4AbwBsAGkAbQBpAHQAcwBfAGoAKABOAF8AagBcAFwAdABpAG0AZQBzACAATgBFAF8AagBcAFwAdABpAG0AZQBzACAAMwA2ADUAKQBcACIAKQA7AFwAbgBcAG4AVgBFAEUAUgBHAF8ANABfADcAXwAxAF8AMwBfAF8AMgBfAEEAbgBuAHUAYQBsAE4AaQB0AHIAbwBnAGUAbgBFAHgAYwByAGUAdABlAGQAVABvAFAAYQBzAHQAdQByAGU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sAGkAdgBlAHMAdABvAGMAawAgAG8AZgAgAGUAYQBjAGgAIABsAGkAdgBlAHMAdABvAGMAawAgAHQAeQBwAGUAIABqAFwAIgAsACAAXAAiAGgAZQBhAGQAXAAiACwAIABcACIASQBuAHAAdQB0AFwAIgA7AFwAbgAgACAAIAAgACAAIAAgACAAIAAgAFwAIgBOAEUAXwBqAFwAIgAsACAAXAAiAG4AaQB0AHIAbwBnAGUAbgAgAGUAeABjAHIAZQB0AGUAZAAgAGIAeQAgAGUAYQBjAGgAIABsAGkAdgBlAHMAdABvAGMAawAgAHQAeQBwAGUAIABqAFwAIgAsACAAXAAiAGsAZwAgAE4ALwBoAGUAYQBkAC8AZABhAHk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AsAHsAIgBwAGEAdABoACIAOgAiAC8AcAByAG8AagBlAGMAdABzAC8ATQBNAFMAXwBPAHQAaABlAHIATABpAHYAZQBzAHQAbwBjAGsAXwBTAG8AaQBsAF8AQQB0AG0AbwBzAHAAaABlAHIAaQBjAEQAZQBwAG8AcwBpAHQAaQBvAG4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UAIABNAGUAdABoAG8AZAAgADEAIAAtACAAUwBvAGkAbAAgAEEAdABtAG8AcwBwAGgAZQByAGkAYwAgAEQAZQBwAG8AcwBpAHQAaQBvAG4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NQBfAF8AMQBfAEEAdABtAG8AcwBwAGgAZQByAGkAYwBEAGUAcABvAHMAaQB0AGkAbwBuAEUAbQBpAHMAcwBpAG8AbgBzAEYAcgBvAG0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UAXwBfADEAXwBBAHQAbQBvAHMAcABoAGUAcgBpAGMARABlAHAAbwBzAGkAdABpAG8AbgBFAG0AaQBzAHMAaQBvAG4AcwBGAHIAbwBtAFAAYQBzAHQAdQByAGUAXABuACAAIAA9AEwAQQBNAEIARABBACgAXABuACAAIAAgACAATQBfAHYAbwBsACwAIABFAEYAXwBOADIATwAsACAAQwBfAE4AMgBPACwAXABuACAAIAAgACAATQBfAHYAbwBsACAAKgAgAEUARgBfAE4AMgBPACAAKgAgAEMAXwBOADIATwAgACoAIAAxADAAIABeACAALQAzAFwAbgAgACAAKQA7AFwAbgBcAG4AVgBFAEUAUgBHAF8ANABfADcAXwAxAF8ANQBfAF8AMQBfAEEAdABtAG8AcwBwAGgAZQByAGkAYwBEAGUAcABvAHMAaQB0AGkAbwBuAEUAbQBpAHMAcwBpAG8AbgBzAEYAcgBvAG0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cAXwAxAF8ANQBfAF8AMQBfAEEAdABtAG8AcwBwAGgAZQByAGkAYwBEAGUAcABvAHMAaQB0AGkAbwBuAEUAbQBpAHMAcwBpAG8AbgBzAEYAcgBvAG0AUABhAHMAdAB1AHIAZQBfAFYAYQByAGkAYQBiAGwAZQBcAG4AIAAgAD0ATABBAE0AQgBEAEEAKABcACIARQBfAE4AMgBPAGEAZABcACIAKQA7AFwAbgBcAG4AVgBFAEUAUgBHAF8ANABfADcAXwAxAF8ANQBfAF8AMQBfAEEAdABtAG8AcwBwAGgAZQByAGkAYwBEAGUAcABvAHMAaQB0AGkAbwBuAEUAbQBpAHMAcwBpAG8AbgBzAEYAcgBvAG0AUABhAHMAdAB1AHIAZQBfAFUAbgBpAHQAXABuACAAIAA9AEwAQQBNAEIARABBACgAXAAiAHQAIABOADIATwBcACIAKQA7AFwAbgBcAG4AVgBFAEUAUgBHAF8ANABfADcAXwAxAF8ANQBfAF8AMQBfAEEAdABtAG8AcwBwAGgAZQByAGkAYwBEAGUAcABvAHMAaQB0AGkAbwBuAEUAbQBpAHMAcwBpAG8AbgBzAEYAcgBvAG0AUABhAHMAdAB1AHIAZQBfAFMAbwB1AHIAYwBlAFwAbgAgACAAPQBMAEEATQBCAEQAQQAoAFwAIgBWAEUARQBSAEcAIAAyADAAMgA2ADoAIAA0AC4ANwAuADEALgA1ACwAIABFAHEAdQBhAHQAaQBvAG4AIAAoADEAKQBcACIAKQA7AFwAbgBcAG4AVgBFAEUAUgBHAF8ANABfADcAXwAxAF8ANQBfAF8AMQBfAEEAdABtAG8AcwBwAGgAZQByAGkAYwBEAGUAcABvAHMAaQB0AGkAbwBuAEUAbQBpAHMAcwBpAG8AbgBzAEYAcgBvAG0AUABhAHMAdAB1AHIAZQBfAE4ASQBSAFIAZQBmAGUAcgBlAG4AYwBlAFwAbgAgACAAPQBMAEEATQBCAEQAQQAoAFwAIgBcACIAKQA7AFwAbgBcAG4AVgBFAEUAUgBHAF8ANABfADcAXwAxAF8ANQBfAF8AMQBfAEEAdABtAG8AcwBwAGgAZQByAGkAYwBEAGUAcABvAHMAaQB0AGkAbwBuAEUAbQBpAHMAcwBpAG8AbgBzAEYAcgBvAG0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3AF8AMQBfADUAXwBfADEAXwBBAHQAbQBvAHMAcABoAGUAcgBpAGMARABlAHAAbwBzAGkAdABpAG8AbgBFAG0AaQBzAHMAaQBvAG4AcwBGAHIAbwBt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cALgAxAC4ANQAsACAAKAAyACkAXAAiADsAXABuACAAIAAgACAAIAAgACAAIAAgACAAXAAiAEUARgBfAE4AMgBPAFwAIgAsACAAXAAi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UAXwBfADIAXwBNAGEAcwBzAE8AZgBOAGkAdAByAG8AZwBlAG4AVgBvAGwAYQB0AGkAbABpAHMAZQBkAEYAcgBvAG0AUABhAHMAdAB1AHIAZQBcAG4ATQBhAHMAcwAgAG8AZgAgAG4AaQB0AHIAbwBnAGUAbgAgAHYAbwBsAGEAdABpAGwAaQBzAGUAZAAgAGYAcgBvAG0AIAB1AHIAaQBuAGUAIABhAG4AZAAgAGYAYQBlAGMAZQBzACAAZABlAHAAbwBzAGkAdABlAGQAIABvAG4AIABwAGEAcwB0AHUAcgBlAFwAbgBNAF8AdgBvAGwAXABuAGsAZwAgAE4AXABuAE0AXwB7AHYAbwBsAH0APQBBAEUAXABcAHQAaQBtAGUAcwAgAEYAcgBhAGMARwBBAFMATQBzAG8AaQBsAFwAbgBBAEUAIAA9ACAAYQBuAG4AdQBhAGwAIABuAGkAdAByAG8AZwBlAG4AIABlAHgAYwByAGUAdABlAGQAIABiAHkAIABlAGEAYwBoACAAbABpAHYAZQBzAHQAbwBjAGsAIAB0AHkAcABlACAAKABrAGcAIABOAC8AeQBlAGEAc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cAXwAxAF8ANQBfAF8AMgBfAE0AYQBzAHMATwBmAE4AaQB0AHIAbwBnAGUAbgBWAG8AbABhAHQAaQBsAGkAcwBlAGQARgByAG8AbQBQAGEAcwB0AHUAcgBlAFwAbgAgACAAPQBMAEEATQBCAEQAQQAoAFwAbgAgACAAIAAgAEEARQAsACAARgByAGEAYwBHAEEAUwBNAHMAbwBpAGwALABcAG4AIAAgACAAIABBAEUAIAAqACAARgByAGEAYwBHAEEAUwBNAHMAbwBpAGwAXABuACAAIAApADsAXABuAFwAbgBWAEUARQBSAEcAXwA0AF8ANwBfADEAXwA1AF8AXwAyAF8ATQBhAHMAcwBPAGYATgBpAHQAcgBvAGcAZQBuAFYAbwBsAGEAdABpAGwAaQBzAGUAZABGAHIAbwBt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cAXwAxAF8ANQBfAF8AMgBfAE0AYQBzAHMATwBmAE4AaQB0AHIAbwBnAGUAbgBWAG8AbABhAHQAaQBsAGkAcwBlAGQARgByAG8AbQBQAGEAcwB0AHUAcgBlAF8AVgBhAHIAaQBhAGIAbABlAFwAbgAgACAAPQBMAEEATQBCAEQAQQAoAFwAIgBNAF8AdgBvAGwAXAAiACkAOwBcAG4AXABuAFYARQBFAFIARwBfADQAXwA3AF8AMQBfADUAXwBfADIAXwBNAGEAcwBzAE8AZgBOAGkAdAByAG8AZwBlAG4AVgBvAGwAYQB0AGkAbABpAHMAZQBkAEYAcgBvAG0AUABhAHMAdAB1AHIAZQBfAFUAbgBpAHQAXABuACAAIAA9AEwAQQBNAEIARABBACgAXAAiAGsAZwAgAE4AXAAiACkAOwBcAG4AXABuAFYARQBFAFIARwBfADQAXwA3AF8AMQBfADUAXwBfADIAXwBNAGEAcwBzAE8AZgBOAGkAdAByAG8AZwBlAG4AVgBvAGwAYQB0AGkAbABpAHMAZQBkAEYAcgBvAG0AUABhAHMAdAB1AHIAZQBfAFMAbwB1AHIAYwBlAFwAbgAgACAAPQBMAEEATQBCAEQAQQAoAFwAIgBWAEUARQBSAEcAIAAyADAAMgA2ADoAIAA0AC4ANwAuADEALgA1ACwAIABFAHEAdQBhAHQAaQBvAG4AIAAoADIAKQBcACIAKQA7AFwAbgBcAG4AVgBFAEUAUgBHAF8ANABfADcAXwAxAF8ANQBfAF8AMgBfAE0AYQBzAHMATwBmAE4AaQB0AHIAbwBnAGUAbgBWAG8AbABhAHQAaQBsAGkAcwBlAGQARgByAG8AbQBQAGEAcwB0AHUAcgBlAF8ATgBJAFIAUgBlAGYAZQByAGUAbgBjAGUAXABuACAAIAA9AEwAQQBNAEIARABBACgAXAAiAFwAIgApADsAXABuAFwAbgBWAEUARQBSAEcAXwA0AF8ANwBfADEAXwA1AF8AXwAyAF8ATQBhAHMAcwBPAGYATgBpAHQAcgBvAGcAZQBuAFYAbwBsAGEAdABpAGwAaQBzAGUAZABGAHIAbwBtAFAAYQBzAHQAdQByAGUAXwBMAGEAdABlAHgARQBxAHUAYQB0AGkAbwBuAFwAbgAgACAAPQBMAEEATQBCAEQAQQAoAFwAIgBNAF8AewB2AG8AbAB9AD0AQQBFAFwAXAB0AGkAbQBlAHMAIABGAHIAYQBjAEcAQQBTAE0AcwBvAGkAbABcACIAKQA7AFwAbgBcAG4AVgBFAEUAUgBHAF8ANABfADcAXwAxAF8ANQBfAF8AMgBfAE0AYQBzAHMATwBmAE4AaQB0AHIAbwBnAGUAbgBWAG8AbABhAHQAaQBsAGkAcwBlAGQARgByAG8AbQ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TwB0AGgAZQByAEwAaQB2AGUAcwB0AG8AYwBr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wAgAE0AZQB0AGgAbwBkACAAMQAgAC0AIABTAG8AaQBsACAATABlAGEAYwBoAGkAbgBnACAAQQBuAGQAIABSAHUAbgBvAGYAZ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3AF8AXwAxAF8ATABlAGEAYwBoAGkAbgBnAEEAbgBkAFIAdQBuAG8AZgBmAEUAbQBpAHMAcwBpAG8AbgBzAEYAcgBvAG0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cAHQAaQBtAGUAcwAgAEUARgBfAHsAbABlAGEAYwBoAH0AXABcAHQAaQBtAGUAcwAgAEMAXwB7AE4AMgBPAH0AXA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wBfADEAXwA3AF8AXwAxAF8ATABlAGEAYwBoAGkAbgBnAEEAbgBkAFIAdQBuAG8AZgBmAEUAbQBpAHMAcwBpAG8AbgBzAEYAcgBvAG0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cAXwAxAF8ANwBfAF8AMQBfAEwAZQBhAGMAaABpAG4AZwBBAG4AZABSAHUAbgBvAGYAZgBFAG0AaQBzAHMAaQBvAG4AcwBGAHIAbwBt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3AF8AMQBfADcAXwBfADEAXwBMAGUAYQBjAGgAaQBuAGcAQQBuAGQAUgB1AG4AbwBmAGYARQBtAGkAcwBzAGkAbwBuAHMARgByAG8AbQBQAGEAcwB0AHUAcgBlAF8AVgBhAHIAaQBhAGIAbABlAFwAbgAgACAAPQBMAEEATQBCAEQAQQAoAFwAIgBFAF8ATgAyAE8AbABlAGEAYwBoAFwAIgApADsAXABuAFwAbgBWAEUARQBSAEcAXwA0AF8ANwBfADEAXwA3AF8AXwAxAF8ATABlAGEAYwBoAGkAbgBnAEEAbgBkAFIAdQBuAG8AZgBmAEUAbQBpAHMAcwBpAG8AbgBzAEYAcgBvAG0AUABhAHMAdAB1AHIAZQBfAFUAbgBpAHQAXABuACAAIAA9AEwAQQBNAEIARABBACgAXAAiAHQAIABOADIATwBcACIAKQA7AFwAbgBcAG4AVgBFAEUAUgBHAF8ANABfADcAXwAxAF8ANwBfAF8AMQBfAEwAZQBhAGMAaABpAG4AZwBBAG4AZABSAHUAbgBvAGYAZgBFAG0AaQBzAHMAaQBvAG4AcwBGAHIAbwBtAFAAYQBzAHQAdQByAGUAXwBTAG8AdQByAGMAZQBcAG4AIAAgAD0ATABBAE0AQgBEAEEAKABcACIAVgBFAEUAUgBHACAAMgAwADIANgA6ACAANAAuADcALgAxAC4ANwAsACAARQBxAHUAYQB0AGkAbwBuACAAKAAxACkAXAAiACkAOwBcAG4AXABuAFYARQBFAFIARwBfADQAXwA3AF8AMQBfADcAXwBfADEAXwBMAGUAYQBjAGgAaQBuAGcAQQBuAGQAUgB1AG4AbwBmAGYARQBtAGkAcwBzAGkAbwBuAHMARgByAG8AbQBQAGEAcwB0AHUAcgBlAF8ATgBJAFIAUgBlAGYAZQByAGUAbgBjAGUAXABuACAAIAA9AEwAQQBNAEIARABBACgAXAAiAFwAIgApADsAXABuAFwAbgBWAEUARQBSAEcAXwA0AF8ANwBfADEAXwA3AF8AXwAxAF8ATABlAGEAYwBoAGkAbgBnAEEAbgBkAFIAdQBuAG8AZgBmAEUAbQBpAHMAcwBpAG8AbgBzAEYAcgBvAG0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cAXwAxAF8ANwBfAF8AMQBfAEwAZQBhAGMAaABpAG4AZwBBAG4AZABSAHUAbgBvAGYAZgBFAG0AaQBzAHMAaQBvAG4AcwBGAHIAbwBt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3AC4AMQAuADcALA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wBfADEAXwA3AF8AXwAyAF8ATQBhAHMAcwBPAGYATgBpAHQAcgBvAGcAZQBuAEwAbwBzAHQAVABvAEwAZQBhAGMAaABpAG4AZwBBAG4AZABSAHUAbgBvAGYAZg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hAG4AbgB1AGEAbAAgAG4AaQB0AHIAbwBnAGUAbgAgAGUAeABjAHIAZQB0AGUAZAAgAGIAeQAgAGUAYQBjAGgAIABsAGkAdgBlAHMAdABvAGMAawAgAHQAeQBwAGUAIAAoAGsAZwAgAE4ALwB5AGUAYQByACkAXABuAEYAcgBhAGMAVwBlAHQAIAA9ACAAZgByAGEAYwB0AGkAbwBuACAAbwBmACAAbgBpAHQAcgBvAGcAZQBuACAAYQB2AGEAaQBsAGEAYgBsAGUAIABmAG8AcgAgAGwAZQBhAGMAaABpAG4AZwAgAGEAbgBkACAAcgB1AG4AbwBmAGYAXABuAEYAcgBhAGMATABFAEEAQwBIACAAPQAgAGYAcgBhAGMAdABpAG8AbgAgAG8AZgAgAGEAbABsACAAbgBpAHQAcgBvAGcAZQBuACAAdABoAGEAdAAgAGkAcwAgAGwAbwBzAHQAIAB0AGgAcgBvAHUAZwBoACAAbABlAGEAYwBoAGkAbgBnACAAYQBuAGQAIAByAHUAbgBvAGYAZgBcAG4ALQAtAC0ALQAtAC0ALQAtAC0ALQAtAC0ALQAtAC0ALQAtAC0ALQAtAC0ALQAtAC0ALQAtAC0ALQAtAC0ALQAtAC0ALQAtAC0ALQAtAFwAbgAqAC8AXABuAFwAbgBWAEUARQBSAEcAXwA0AF8ANwBfADEAXwA3AF8AXwAyAF8ATQBhAHMAcwBPAGYATgBpAHQAcgBvAGcAZQBuAEwAbwBzAHQAVABvAEwAZQBhAGMAaABpAG4AZwBBAG4AZABSAHUAbgBvAGYAZgBcAG4AIAAgAD0ATABBAE0AQgBEAEEAKABcAG4AIAAgACAAIABBAEUALAAgAEYAcgBhAGMAVwBlAHQALAAgAEYAcgBhAGMATABFAEEAQwBIACwAXABuACAAIAAgACAAQQBFACAAKgAgAEYAcgBhAGMAVwBlAHQAIAAqACAARgByAGEAYwBMAEUAQQBDAEgAXABuACAAIAApADsAXABuAFwAbgBWAEUARQBSAEcAXwA0AF8ANwBfADEAXwA3AF8AXwAyAF8ATQBhAHMAcwBPAGYATgBpAHQAcgBvAGcAZQBuAEwAbwBzAHQAVABvAEwAZQBhAGMAaABpAG4AZwBBAG4AZABSAHUAbgBvAGYAZgBfAFQAaQB0AGwAZQBcAG4AIAAgAD0ATABBAE0AQgBEAEEAKABcACIATQBhAHMAcwAgAG8AZgAgAG4AaQB0AHIAbwBnAGUAbgAgAGwAbwBzAHQAIAB0AG8AIABsAGUAYQBjAGgAaQBuAGcAIABhAG4AZAAgAHIAdQBuAG8AZgBmAFwAIgApADsAXABuAFwAbgBWAEUARQBSAEcAXwA0AF8ANwBfADEAXwA3AF8AXwAyAF8ATQBhAHMAcwBPAGYATgBpAHQAcgBvAGcAZQBuAEwAbwBzAHQAVABvAEwAZQBhAGMAaABpAG4AZwBBAG4AZABSAHUAbgBvAGYAZgBfAFYAYQByAGkAYQBiAGwAZQBcAG4AIAAgAD0ATABBAE0AQgBEAEEAKABcACIATQBfAGwAZQBhAGMAaABcACIAKQA7AFwAbgBcAG4AVgBFAEUAUgBHAF8ANABfADcAXwAxAF8ANwBfAF8AMgBfAE0AYQBzAHMATwBmAE4AaQB0AHIAbwBnAGUAbgBMAG8AcwB0AFQAbwBMAGUAYQBjAGgAaQBuAGcAQQBuAGQAUgB1AG4AbwBmAGYAXwBVAG4AaQB0AFwAbgAgACAAPQBMAEEATQBCAEQAQQAoAFwAIgBrAGcAIABOAFwAIgApADsAXABuAFwAbgBWAEUARQBSAEcAXwA0AF8ANwBfADEAXwA3AF8AXwAyAF8ATQBhAHMAcwBPAGYATgBpAHQAcgBvAGcAZQBuAEwAbwBzAHQAVABvAEwAZQBhAGMAaABpAG4AZwBBAG4AZABSAHUAbgBvAGYAZgBfAFMAbwB1AHIAYwBlAFwAbgAgACAAPQBMAEEATQBCAEQAQQAoAFwAIgBWAEUARQBSAEcAIAAyADAAMgA2ADoAIAA0AC4ANwAuADEALgA3ACwAIABFAHEAdQBhAHQAaQBvAG4AIAAoADIAKQBcACIAKQA7AFwAbgBcAG4AVgBFAEUAUgBHAF8ANABfADcAXwAxAF8ANwBfAF8AMgBfAE0AYQBzAHMATwBmAE4AaQB0AHIAbwBnAGUAbgBMAG8AcwB0AFQAbwBMAGUAYQBjAGgAaQBuAGcAQQBuAGQAUgB1AG4AbwBmAGYAXwBOAEkAUgBSAGUAZgBlAHIAZQBuAGMAZQBcAG4AIAAgAD0ATABBAE0AQgBEAEEAKABcACIAXAAiACkAOwBcAG4AXABuAFYARQBFAFIARwBfADQAXwA3AF8AMQBfADcAXwBfADIAXwBNAGEAcwBzAE8AZgBOAGkAdAByAG8AZwBlAG4ATABvAHMAdABUAG8ATABlAGEAYwBoAGkAbgBnAEEAbgBkAFIAdQBuAG8AZgBmAF8ATABhAHQAZQB4AEUAcQB1AGEAdABpAG8AbgBcAG4AIAAgAD0ATABBAE0AQgBEAEEAKABcACIATQBfAHsAbABlAGEAYwBoAH0APQBBAEUAXABcAHQAaQBtAGUAcwAgAEYAcgBhAGMAVwBlAHQAXABcAHQAaQBtAGUAcwAgAEYAcgBhAGMATABFAEEAQwBIAFwAIgApADsAXABuAFwAbgBWAEUARQBSAEcAXwA0AF8ANwBfADEAXwA3AF8AXwAyAF8ATQBhAHMAcwBPAGYATgBpAHQAcgBvAGcAZQBuAEwAbwBzAHQAVABvAEwAZQBhAGMAaABpAG4AZwBBAG4AZABSAHUAbgBvAGYAZgBfAEEAcgBnAHUAbQBlAG4AdABzAFwAbgAgACAAPQBMAEEATQBCAEQAQQAoAFwAbgAgACAAIAAgAE0AQQBLAEUAQQBSAFIAQQBZACgANgAsACAANAAsAFwAbgAgACAAIAAgACAAIABMAEEATQBCAEQAQQAoAHIALABjACwAXABuACAAIAAgACAAIAAgACAAIABJAE4ARABFAFgAKAB7AFwAbgAgACAAIAAgACAAIAAgACAAIAAgAFwAIgBBAEUAXAAiACwAIABcACIAYQBuAG4AdQBhAGwAIABuAGkAdAByAG8AZwBlAG4AIABlAHgAYwByAGUAdABlAGQAIABiAHkAIABlAGEAYwBoACAAbABpAHYAZQBzAHQAbwBjAGsAIAB0AHkAcABlAFwAIgAsACAAXAAiAGsAZwAgAE4ALwB5AGUAYQByAFwAIgAsACAAXAAiAEMAYQBsAGMAdQBsAGEAdABlAGQAIABiAHkAIAA0AC4ANwAuADEALgAzACwAIAAoADIAKQBcACIAOwBcAG4AIAAgACAAIAAgACAAIAAgACAAIABcACIARgByAGEAYwBXAGUAdABcACIALAAgAFwAIgBmAHIAYQBjAHQAaQBvAG4AIABvAGYAIABuAGkAdAByAG8AZwBlAG4AIABhAHYAYQBpAGwAYQBiAGwAZQAgAGYAbwByACAAbABlAGEAYwBoAGkAbgBnACAAYQBuAGQAIAByAHUAbgBvAGYAZgBcACIALAAgAFwAIgBcACIALAAgAFwAIgBDAG8AbgBzAHQAYQBuAHQAXAAiADsAXABuACAAIAAgACAAIAAgACAAIAAgACAAXAAiAEYAcgBhAGMATABFAEEAQwBIAFwAIgAsACAAXAAiAGYAcgBhAGMAdABpAG8AbgAgAG8AZgAgAGEAbABsACAAbgBpAHQAcgBvAGcAZQBuACAAdABoAGEAdAAgAGkAcw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FMAbwB1AHIAYwBlAEQAYQB0AGEAXwBPAHQAaABlAHIATABpAHYAZQBzAHQAbwBjAGsALgBTAG8AdQByAGMAZQBEAGEAdABhAF8ATwB0AGgAZQByAEwAaQB2AGUAcwB0AG8AYwBrAF8ATQBlAHQAaABhAG4AZQBFAG0AaQBzAHMAaQBvAG4AcwBQAG8AdABlAG4AdABpAGEAbABfAFQAaQB0AGwAZQAiACwAIgBTAG8AdQByAGMAZQBEAGEAdABhAF8ATwB0AGgAZQByAEwAaQB2AGUAcwB0AG8AYwBrAC4AUwBvAHUAcgBjAGUARABhAHQAYQBfAE8AdABoAGUAcgBMAGkAdgBlAHMAdABvAGMAawBfAE0AZQB0AGgAYQBuAGUARQBtAGkAcwBzAGkAbwBuAHMAUABvAHQAZQBuAHQAaQBhAGwAXwBWAGEAcgBpAGEAYgBsAGUAIgAsACIAUwBvAHUAcgBjAGUARABhAHQAYQBfAE8AdABoAGUAcgBMAGkAdgBlAHMAdABvAGMAawAuAFMAbwB1AHIAYwBlAEQAYQB0AGEAXwBPAHQAaABlAHIATABpAHYAZQBzAHQAbwBjAGsAXwBNAGUAdABoAGEAbgBlAEUAbQBpAHMAcwBpAG8AbgBzAFAAbwB0AGUAbgB0AGkAYQBsAF8AVQBuAGkAdAAiACwAIgBTAG8AdQByAGMAZQBEAGEAdABhAF8ATwB0AGgAZQByAEwAaQB2AGUAcwB0AG8AYwBrAC4AUwBvAHUAcgBjAGUARABhAHQAYQBfAE8AdABoAGUAcgBMAGkAdgBlAHMAdABvAGMAawBfAE0AZQB0AGgAYQBuAGUARQBtAGkAcwBzAGkAbwBuAHMAUABvAHQAZQBuAHQAaQBhAGwAXwBTAG8AdQByAGMAZQAiACwAIgBTAG8AdQByAGMAZQBEAGEAdABhAF8ATwB0AGgAZQByAEwAaQB2AGUAcwB0AG8AYwBrAC4AUwBvAHUAcgBjAGUARABhAHQAYQBfAE8AdABoAGUAcgBMAGkAdgBlAHMAdABvAGMAawBfAE0AZQB0AGgAYQBuAGUARQBtAGkAcwBzAGkAbwBuAHMAUABvAHQAZQBuAHQAaQBhAGwAXwBWAGEAcgBpAGEAdABpAG8AbgAiACwAIgBTAG8AdQByAGMAZQBEAGEAdABhAF8ATwB0AGgAZQByAEwAaQB2AGUAcwB0AG8AYwBrAC4AUwBvAHUAcgBjAGUARABhAHQAYQBfAE8AdABoAGUAcgBMAGkAdgBlAHMAdABvAGMAawBfAE0AZQB0AGgAYQBuAGUARQBtAGkAcwBzAGkAbwBuAHMAUABvAHQAZQBuAHQAaQBhAGwAXwBEAGEAdABhACIALAAiAFMAbwB1AHIAYwBlAEQAYQB0AGEAXwBPAHQAaABlAHIATABpAHYAZQBzAHQAbwBjAGsALgBTAG8AdQByAGMAZQBEAGEAdABhAF8ATwB0AGgAZQByAEwAaQB2AGUAcwB0AG8AYwBrAF8ARgByAGEAYwBHAEEAUwBNAFMAbwBpAGwAXwBUAGkAdABsAGUAIgAsACIAUwBvAHUAcgBjAGUARABhAHQAYQBfAE8AdABoAGUAcgBMAGkAdgBlAHMAdABvAGMAawAuAFMAbwB1AHIAYwBlAEQAYQB0AGEAXwBPAHQAaABlAHIATABpAHYAZQBzAHQAbwBjAGsAXwBGAHIAYQBjAEcAQQBTAE0AUwBvAGkAbABfAFYAYQByAGkAYQBiAGwAZQAiACwAIgBTAG8AdQByAGMAZQBEAGEAdABhAF8ATwB0AGgAZQByAEwAaQB2AGUAcwB0AG8AYwBrAC4AUwBvAHUAcgBjAGUARABhAHQAYQBfAE8AdABoAGUAcgBMAGkAdgBlAHMAdABvAGMAawBfAEYAcgBhAGMARwBBAFMATQBTAG8AaQBsAF8AVQBuAGkAdAAiACwAIgBTAG8AdQByAGMAZQBEAGEAdABhAF8ATwB0AGgAZQByAEwAaQB2AGUAcwB0AG8AYwBrAC4AUwBvAHUAcgBjAGUARABhAHQAYQBfAE8AdABoAGUAcgBMAGkAdgBlAHMAdABvAGMAawBfAEYAcgBhAGMARwBBAFMATQBTAG8AaQBsAF8AUwBvAHUAcgBjAGUAIgAsACIAUwBvAHUAcgBjAGUARABhAHQAYQBfAE8AdABoAGUAcgBMAGkAdgBlAHMAdABvAGMAawAuAFMAbwB1AHIAYwBlAEQAYQB0AGEAXwBPAHQAaABlAHIATABpAHYAZQBzAHQAbwBjAGsAXwBGAHIAYQBjAEcAQQBTAE0AUwBvAGkAbABfAFYAYQByAGkAYQB0AGkAbwBuACIALAAiAFMAbwB1AHIAYwBlAEQAYQB0AGEAXwBPAHQAaABlAHIATABpAHYAZQBzAHQAbwBjAGsALgBTAG8AdQByAGMAZQBEAGEAdABhAF8ATwB0AGgAZQByAEwAaQB2AGUAcwB0AG8AYwBrAF8ARgByAGEAYwBHAEEAUwBNAFMAbwBpAGwAXwBEAGEAdABh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UAGkAdA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gBhAHIAaQBhAGIAbABl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UAbgBpAHQ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UwBvAHUAc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gBJAFIAUgBlAGYAZQByAGUAb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ABhAHQAZQB4AEUAcQB1AGEAdABpAG8Abg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CIALAAiAE0ATQBTAF8ATwB0AGgAZQByAEwAaQB2AGUAcwB0AG8AYwBrAF8ATQBlAHQAaABhAG4AZQBfAEUAcQB1AGEAdABpAG8AbgBzAC4AVgBFAEUAUgBHAF8ANABfADcAXwAxAF8AMQBfAF8AMgBfAEEAbgBuAHUAYQBsAE0AZQB0AGgAYQBuAGUAUAByAG8AZAB1AGMAdABpAG8AbgBGAHIAbwBtAE0AYQBuAHUAcgBlAE0AYQBuAGEAZwBlAG0AZQBuAHQAXwBUAGkAdABsAGUAIgAsACIATQBNAFMAXwBPAHQAaABlAHIATABpAHYAZQBzAHQAbwBjAGsAXwBNAGUAdABoAGEAbgBlAF8ARQBxAHUAYQB0AGkAbwBuAHMALgBWAEUARQBSAEcAXwA0AF8ANwBfADEAXwAxAF8AXwAyAF8AQQBuAG4AdQBhAGwATQBlAHQAaABhAG4AZQBQAHIAbwBkAHUAYwB0AGkAbwBuAEYAcgBvAG0ATQBhAG4AdQByAGUATQBhAG4AYQBnAGUAbQBlAG4AdABfAFYAYQByAGkAYQBiAGwAZQAiACwAIgBNAE0AUwBfAE8AdABoAGUAcgBMAGkAdgBlAHMAdABvAGMAawBfAE0AZQB0AGgAYQBuAGUAXwBFAHEAdQBhAHQAaQBvAG4AcwAuAFYARQBFAFIARwBfADQAXwA3AF8AMQBfADEAXwBfADIAXwBBAG4AbgB1AGEAbABNAGUAdABoAGEAbgBlAFAAcgBvAGQAdQBjAHQAaQBvAG4ARgByAG8AbQBNAGEAbgB1AHIAZQBNAGEAbgBhAGcAZQBtAGUAbgB0AF8AVQBuAGkAdAAiACwAIgBNAE0AUwBfAE8AdABoAGUAcgBMAGkAdgBlAHMAdABvAGMAawBfAE0AZQB0AGgAYQBuAGUAXwBFAHEAdQBhAHQAaQBvAG4AcwAuAFYARQBFAFIARwBfADQAXwA3AF8AMQBfADEAXwBfADIAXwBBAG4AbgB1AGEAbABNAGUAdABoAGEAbgBlAFAAcgBvAGQAdQBjAHQAaQBvAG4ARgByAG8AbQBNAGEAbgB1AHIAZQBNAGEAbgBhAGcAZQBtAGUAbgB0AF8AUwBvAHUAcgBjAGUAIgAsACIATQBNAFMAXwBPAHQAaABlAHIATABpAHYAZQBzAHQAbwBjAGsAXwBNAGUAdABoAGEAbgBlAF8ARQBxAHUAYQB0AGkAbwBuAHMALgBWAEUARQBSAEcAXwA0AF8ANwBfADEAXwAxAF8AXwAyAF8AQQBuAG4AdQBhAGwATQBlAHQAaABhAG4AZQBQAHIAbwBkAHUAYwB0AGkAbwBuAEYAcgBvAG0ATQBhAG4AdQByAGUATQBhAG4AYQBnAGUAbQBlAG4AdABfAE4ASQBSAFIAZQBmAGUAcgBlAG4AYwBlACIALAAiAE0ATQBTAF8ATwB0AGgAZQByAEwAaQB2AGUAcwB0AG8AYwBrAF8ATQBlAHQAaABhAG4AZQBfAEUAcQB1AGEAdABpAG8AbgBzAC4AVgBFAEUAUgBHAF8ANABfADcAXwAxAF8AMQBfAF8AMgBfAEEAbgBuAHUAYQBsAE0AZQB0AGgAYQBuAGUAUAByAG8AZAB1AGMAdABpAG8AbgBGAHIAbwBtAE0AYQBuAHUAcgBlAE0AYQBuAGEAZwBlAG0AZQBuAHQAXwBMAGEAdABlAHgARQBxAHUAYQB0AGkAbwBu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F8AQQByAGcAdQBtAGUAbgB0AHMAXwBNAGUAdABoAG8AZAAyACIALAAiAE0ATQBTAF8ATwB0AGgAZQByAEwAaQB2AGUAcwB0AG8AYwBrAF8AUwBvAGkAbABfAE4AMgBPAEQAaQByAGUAYwB0AC4AVgBFAEUAUgBHAF8ANABfADcAXwAxAF8AMwBfAF8AMQBfAEQAaQByAGUAYwB0AE4AaQB0AHIAbwB1AHMATwB4AGkAZABlAEUAbQBpAHMAcwBpAG8AbgBzAEYAcgBvAG0AUwBvAGkAbAAiACwAIgBNAE0AUwBfAE8AdABoAGUAcgBMAGkAdgBlAHMAdABvAGMAawBfAFMAbwBpAGwAXwBOADIATwBEAGkAcgBlAGMAdAAuAFYARQBFAFIARwBfADQAXwA3AF8AMQBfADMAXwBfADEAXwBEAGkAcgBlAGMAdABOAGkAdAByAG8AdQBzAE8AeABpAGQAZQBFAG0AaQBzAHMAaQBvAG4AcwBGAHIAbwBtAFMAbwBpAGwAXwBUAGkAdABsAGUAIgAsACIATQBNAFMAXwBPAHQAaABlAHIATABpAHYAZQBzAHQAbwBjAGsAXwBTAG8AaQBsAF8ATgAyAE8ARABpAHIAZQBjAHQALgBWAEUARQBSAEcAXwA0AF8ANwBfADEAXwAzAF8AXwAxAF8ARABpAHIAZQBjAHQATgBpAHQAcgBvAHUAcwBPAHgAaQBkAGUARQBtAGkAcwBzAGkAbwBuAHMARgByAG8AbQBTAG8AaQBsAF8AVgBhAHIAaQBhAGIAbABlACIALAAiAE0ATQBTAF8ATwB0AGgAZQByAEwAaQB2AGUAcwB0AG8AYwBrAF8AUwBvAGkAbABfAE4AMgBPAEQAaQByAGUAYwB0AC4AVgBFAEUAUgBHAF8ANABfADcAXwAxAF8AMwBfAF8AMQBfAEQAaQByAGUAYwB0AE4AaQB0AHIAbwB1AHMATwB4AGkAZABlAEUAbQBpAHMAcwBpAG8AbgBzAEYAcgBvAG0AUwBvAGkAbABfAFUAbgBpAHQAIgAsACIATQBNAFMAXwBPAHQAaABlAHIATABpAHYAZQBzAHQAbwBjAGsAXwBTAG8AaQBsAF8ATgAyAE8ARABpAHIAZQBjAHQALgBWAEUARQBSAEcAXwA0AF8ANwBfADEAXwAzAF8AXwAxAF8ARABpAHIAZQBjAHQATgBpAHQAcgBvAHUAcwBPAHgAaQBkAGUARQBtAGkAcwBzAGkAbwBuAHMARgByAG8AbQBTAG8AaQBsAF8AUwBvAHUAcgBjAGUAIgAsACIATQBNAFMAXwBPAHQAaABlAHIATABpAHYAZQBzAHQAbwBjAGsAXwBTAG8AaQBsAF8ATgAyAE8ARABpAHIAZQBjAHQALgBWAEUARQBSAEcAXwA0AF8ANwBfADEAXwAzAF8AXwAxAF8ARABpAHIAZQBjAHQATgBpAHQAcgBvAHUAcwBPAHgAaQBkAGUARQBtAGkAcwBzAGkAbwBuAHMARgByAG8AbQBTAG8AaQBsAF8ATgBJAFIAUgBlAGYAZQByAGUAbgBjAGUAIgAsACIATQBNAFMAXwBPAHQAaABlAHIATABpAHYAZQBzAHQAbwBjAGsAXwBTAG8AaQBsAF8ATgAyAE8ARABpAHIAZQBjAHQALgBWAEUARQBSAEcAXwA0AF8ANwBfADEAXwAzAF8AXwAxAF8ARABpAHIAZQBjAHQATgBpAHQAcgBvAHUAcwBPAHgAaQBkAGUARQBtAGkAcwBzAGkAbwBuAHMARgByAG8AbQBTAG8AaQBsAF8ATABhAHQAZQB4AEUAcQB1AGEAdABpAG8AbgAiACwAIgBNAE0AUwBfAE8AdABoAGUAcgBMAGkAdgBlAHMAdABvAGMAawBfAFMAbwBpAGwAXwBOADIATwBEAGkAcgBlAGMAdAAuAFYARQBFAFIARwBfADQAXwA3AF8AMQBfADMAXwBfADEAXwBEAGkAcgBlAGMAdABOAGkAdAByAG8AdQBzAE8AeABpAGQAZQBFAG0AaQBzAHMAaQBvAG4AcwBGAHIAbwBtAFMAbwBpAGwAXwBBAHIAZwB1AG0AZQBuAHQAcwAiACwAIgBNAE0AUwBfAE8AdABoAGUAcgBMAGkAdgBlAHMAdABvAGMAawBfAFMAbwBpAGwAXwBOADIATwBEAGkAcgBlAGMAdAAuAFYARQBFAFIARwBfADQAXwA3AF8AMQBfADMAXwBfADIAXwBBAG4AbgB1AGEAbABOAGkAdAByAG8AZwBlAG4ARQB4AGMAcgBlAHQAZQBkAFQAbwBQAGEAcwB0AHUAcgBlACIALAAiAE0ATQBTAF8ATwB0AGgAZQByAEwAaQB2AGUAcwB0AG8AYwBrAF8AUwBvAGkAbABfAE4AMgBPAEQAaQByAGUAYwB0AC4AVgBFAEUAUgBHAF8ANABfADcAXwAxAF8AMwBfAF8AMgBfAEEAbgBuAHUAYQBsAE4AaQB0AHIAbwBnAGUAbgBFAHgAYwByAGUAdABlAGQAVABvAFAAYQBzAHQAdQByAGUAXwBUAGkAdABsAGUAIgAsACIATQBNAFMAXwBPAHQAaABlAHIATABpAHYAZQBzAHQAbwBjAGsAXwBTAG8AaQBsAF8ATgAyAE8ARABpAHIAZQBjAHQALgBWAEUARQBSAEcAXwA0AF8ANwBfADEAXwAzAF8AXwAyAF8AQQBuAG4AdQBhAGwATgBpAHQAcgBvAGcAZQBuAEUAeABjAHIAZQB0AGUAZABUAG8AUABhAHMAdAB1AHIAZQBfAFYAYQByAGkAYQBiAGwAZQAiACwAIgBNAE0AUwBfAE8AdABoAGUAcgBMAGkAdgBlAHMAdABvAGMAawBfAFMAbwBpAGwAXwBOADIATwBEAGkAcgBlAGMAdAAuAFYARQBFAFIARwBfADQAXwA3AF8AMQBfADMAXwBfADIAXwBBAG4AbgB1AGEAbABOAGkAdAByAG8AZwBlAG4ARQB4AGMAcgBlAHQAZQBkAFQAbwBQAGEAcwB0AHUAcgBlAF8AVQBuAGkAdAAiACwAIgBNAE0AUwBfAE8AdABoAGUAcgBMAGkAdgBlAHMAdABvAGMAawBfAFMAbwBpAGwAXwBOADIATwBEAGkAcgBlAGMAdAAuAFYARQBFAFIARwBfADQAXwA3AF8AMQBfADMAXwBfADIAXwBBAG4AbgB1AGEAbABOAGkAdAByAG8AZwBlAG4ARQB4AGMAcgBlAHQAZQBkAFQAbwBQAGEAcwB0AHUAcgBlAF8AUwBvAHUAcgBjAGUAIgAsACIATQBNAFMAXwBPAHQAaABlAHIATABpAHYAZQBzAHQAbwBjAGsAXwBTAG8AaQBsAF8ATgAyAE8ARABpAHIAZQBjAHQALgBWAEUARQBSAEcAXwA0AF8ANwBfADEAXwAzAF8AXwAyAF8AQQBuAG4AdQBhAGwATgBpAHQAcgBvAGcAZQBuAEUAeABjAHIAZQB0AGUAZABUAG8AUABhAHMAdAB1AHIAZQBfAE4ASQBSAFIAZQBmAGUAcgBlAG4AYwBlACIALAAiAE0ATQBTAF8ATwB0AGgAZQByAEwAaQB2AGUAcwB0AG8AYwBrAF8AUwBvAGkAbABfAE4AMgBPAEQAaQByAGUAYwB0AC4AVgBFAEUAUgBHAF8ANABfADcAXwAxAF8AMwBfAF8AMgBfAEEAbgBuAHUAYQBsAE4AaQB0AHIAbwBnAGUAbgBFAHgAYwByAGUAdABlAGQAVABvAFAAYQBzAHQAdQByAGUAXwBMAGEAdABlAHgARQBxAHUAYQB0AGkAbwBuACIALAAiAE0ATQBTAF8ATwB0AGgAZQByAEwAaQB2AGUAcwB0AG8AYwBrAF8AUwBvAGkAbABfAE4AMgBPAEQAaQByAGUAYwB0AC4AVgBFAEUAUgBHAF8ANABfADcAXwAxAF8AMwBfAF8AMgBfAEEAbgBuAHUAYQBsAE4AaQB0AHIAbwBnAGUAbgBFAHgAYwByAGUAdABlAGQAVABvAFAAYQBzAHQAdQByAGUAXwBBAHIAZwB1AG0AZQBuAHQAcw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ABpAHQ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YAYQByAGkAYQBiAGw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VAG4AaQB0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MAbwB1AHI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4ASQBSAFIAZQBmAGUAcgBlAG4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wAYQB0AGUAeABFAHEAdQBhAHQAaQBvAG4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QQByAGcAdQBtAGUAbgB0AHMAIgAsACIATQBNAFMAXwBPAHQAaABlAHIATABpAHYAZQBzAHQAbwBjAGsAXwBTAG8AaQBsAF8AQQB0AG0AbwBzAHAAaABlAHIAaQBjAEQAZQBwAG8AcwBpAHQAaQBvAG4ALgBWAEUARQBSAEcAXwA0AF8ANwBfADEAXwA1AF8AXwAyAF8ATQBhAHMAcwBPAGYATgBpAHQAcgBvAGcAZQBuAFYAbwBsAGEAdABpAGwAaQBzAGUAZABGAHIAbwBtAFAAYQBzAHQAdQByAGUAIgAsACIATQBNAFMAXwBPAHQAaABlAHIATABpAHYAZQBzAHQAbwBjAGsAXwBTAG8AaQBsAF8AQQB0AG0AbwBzAHAAaABlAHIAaQBjAEQAZQBwAG8AcwBpAHQAaQBvAG4ALgBWAEUARQBSAEcAXwA0AF8ANwBfADEAXwA1AF8AXwAyAF8ATQBhAHMAcwBPAGYATgBpAHQAcgBvAGcAZQBuAFYAbwBsAGEAdABpAGwAaQBzAGUAZABGAHIAbwBtAFAAYQBzAHQAdQByAGUAXwBUAGkAdA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WAGEAcgBpAGEAYg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VAG4AaQB0ACIALAAiAE0ATQBTAF8ATwB0AGgAZQByAEwAaQB2AGUAcwB0AG8AYwBrAF8AUwBvAGkAbABfAEEAdABtAG8AcwBwAGgAZQByAGkAYwBEAGUAcABvAHMAaQB0AGkAbwBuAC4AVgBFAEUAUgBHAF8ANABfADcAXwAxAF8ANQBfAF8AMgBfAE0AYQBzAHMATwBmAE4AaQB0AHIAbwBnAGUAbgBWAG8AbABhAHQAaQBsAGkAcwBlAGQARgByAG8AbQBQAGEAcwB0AHUAcgBlAF8AUwBvAHUAcgBjAGUAIgAsACIATQBNAFMAXwBPAHQAaABlAHIATABpAHYAZQBzAHQAbwBjAGsAXwBTAG8AaQBsAF8AQQB0AG0AbwBzAHAAaABlAHIAaQBjAEQAZQBwAG8AcwBpAHQAaQBvAG4ALgBWAEUARQBSAEcAXwA0AF8ANwBfADEAXwA1AF8AXwAyAF8ATQBhAHMAcwBPAGYATgBpAHQAcgBvAGcAZQBuAFYAbwBsAGEAdABpAGwAaQBzAGUAZABGAHIAbwBtAFAAYQBzAHQAdQByAGUAXwBOAEkAUgBSAGUAZgBlAHIAZQBu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wAYQB0AGUAeABFAHEAdQBhAHQAaQBvAG4AIgAsACIATQBNAFMAXwBPAHQAaABlAHIATABpAHYAZQBzAHQAbwBjAGsAXwBTAG8AaQBsAF8AQQB0AG0AbwBzAHAAaABlAHIAaQBjAEQAZQBwAG8AcwBpAHQAaQBvAG4ALgBWAEUARQBSAEcAXwA0AF8ANwBfADEAXwA1AF8AXwAyAF8ATQBhAHMAcwBPAGYATgBpAHQAcgBvAGcAZQBuAFYAbwBsAGEAdABpAGwAaQBzAGUAZABGAHIAbwBtAFAAYQBzAHQAdQByAGUAXwBBAHIAZwB1AG0AZQBuAHQAcwAiACwAIgBNAE0AUwBfAE8AdABoAGUAcgBMAGkAdgBlAHMAdABvAGMAawBfAFMAbwBpAGwAXwBMAGUAYQBjAGgAaQBuAGcAQQBuAGQAUgB1AG4AbwBmAGYALgBWAEUARQBSAEcAXwA0AF8ANwBfADEAXwA3AF8AXwAxAF8ATABlAGEAYwBoAGkAbgBnAEEAbgBkAFIAdQBuAG8AZgBmAEUAbQBpAHMAcwBpAG8AbgBzAEYAcgBvAG0AUABhAHMAdAB1AHIAZQAiACwAIgBNAE0AUwBfAE8AdABoAGUAcgBMAGkAdgBlAHMAdABvAGMAawBfAFMAbwBpAGwAXwBMAGUAYQBjAGgAaQBuAGcAQQBuAGQAUgB1AG4AbwBmAGYALgBWAEUARQBSAEcAXwA0AF8ANwBfADEAXwA3AF8AXwAxAF8ATABlAGEAYwBoAGkAbgBnAEEAbgBkAFIAdQBuAG8AZgBmAEUAbQBpAHMAcwBpAG8AbgBzAEYAcgBvAG0AUABhAHMAdAB1AHIAZQBfAFQAaQB0AGwAZQAiACwAIgBNAE0AUwBfAE8AdABoAGUAcgBMAGkAdgBlAHMAdABvAGMAawBfAFMAbwBpAGwAXwBMAGUAYQBjAGgAaQBuAGcAQQBuAGQAUgB1AG4AbwBmAGYALgBWAEUARQBSAEcAXwA0AF8ANwBfADEAXwA3AF8AXwAxAF8ATABlAGEAYwBoAGkAbgBnAEEAbgBkAFIAdQBuAG8AZgBmAEUAbQBpAHMAcwBpAG8AbgBzAEYAcgBvAG0AUABhAHMAdAB1AHIAZQBfAFYAYQByAGkAYQBiAGwAZQAiACwAIgBNAE0AUwBfAE8AdABoAGUAcgBMAGkAdgBlAHMAdABvAGMAawBfAFMAbwBpAGwAXwBMAGUAYQBjAGgAaQBuAGcAQQBuAGQAUgB1AG4AbwBmAGYALgBWAEUARQBSAEcAXwA0AF8ANwBfADEAXwA3AF8AXwAxAF8ATABlAGEAYwBoAGkAbgBnAEEAbgBkAFIAdQBuAG8AZgBmAEUAbQBpAHMAcwBpAG8AbgBzAEYAcgBvAG0AUABhAHMAdAB1AHIAZQBfAFUAbgBpAHQAIgAsACIATQBNAFMAXwBPAHQAaABlAHIATABpAHYAZQBzAHQAbwBjAGsAXwBTAG8AaQBsAF8ATABlAGEAYwBoAGkAbgBnAEEAbgBkAFIAdQBuAG8AZgBmAC4AVgBFAEUAUgBHAF8ANABfADcAXwAxAF8ANwBfAF8AMQBfAEwAZQBhAGMAaABpAG4AZwBBAG4AZABSAHUAbgBvAGYAZgBFAG0AaQBzAHMAaQBvAG4AcwBGAHIAbwBtAFAAYQBzAHQAdQByAGUAXwBTAG8AdQByAGMAZQAiACwAIgBNAE0AUwBfAE8AdABoAGUAcgBMAGkAdgBlAHMAdABvAGMAawBfAFMAbwBpAGwAXwBMAGUAYQBjAGgAaQBuAGcAQQBuAGQAUgB1AG4AbwBmAGYALgBWAEUARQBSAEcAXwA0AF8ANwBfADEAXwA3AF8AXwAxAF8ATABlAGEAYwBoAGkAbgBnAEEAbgBkAFIAdQBuAG8AZgBmAEUAbQBpAHMAcwBpAG8AbgBzAEYAcgBvAG0AUABhAHMAdAB1AHIAZQBfAE4ASQBSAFIAZQBmAGUAcgBlAG4AYwBlACIALAAiAE0ATQBTAF8ATwB0AGgAZQByAEwAaQB2AGUAcwB0AG8AYwBrAF8AUwBvAGkAbABfAEwAZQBhAGMAaABpAG4AZwBBAG4AZABSAHUAbgBvAGYAZgAuAFYARQBFAFIARwBfADQAXwA3AF8AMQBfADcAXwBfADEAXwBMAGUAYQBjAGgAaQBuAGcAQQBuAGQAUgB1AG4AbwBmAGYARQBtAGkAcwBzAGkAbwBuAHMARgByAG8AbQBQAGEAcwB0AHUAcgBlAF8ATABhAHQAZQB4AEUAcQB1AGEAdABpAG8AbgAiACwAIgBNAE0AUwBfAE8AdABoAGUAcgBMAGkAdgBlAHMAdABvAGMAawBfAFMAbwBpAGwAXwBMAGUAYQBjAGgAaQBuAGcAQQBuAGQAUgB1AG4AbwBmAGYALgBWAEUARQBSAEcAXwA0AF8ANwBfADEAXwA3AF8AXwAxAF8ATABlAGEAYwBoAGkAbgBnAEEAbgBkAFIAdQBuAG8AZgBmAEUAbQBpAHMAcwBpAG8AbgBzAEYAcgBvAG0AUABhAHMAdAB1AHIAZQBfAEEAcgBnAHUAbQBlAG4AdABzACIALAAiAE0ATQBTAF8ATwB0AGgAZQByAEwAaQB2AGUAcwB0AG8AYwBrAF8AUwBvAGkAbABfAEwAZQBhAGMAaABpAG4AZwBBAG4AZABSAHUAbgBvAGYAZgAuAFYARQBFAFIARwBfADQAXwA3AF8AMQBfADcAXwBfADIAXwBNAGEAcwBzAE8AZgBOAGkAdAByAG8AZwBlAG4ATABvAHMAdABUAG8ATABlAGEAYwBoAGkAbgBnAEEAbgBkAFIAdQBuAG8AZgBmACIALAAiAE0ATQBTAF8ATwB0AGgAZQByAEwAaQB2AGUAcwB0AG8AYwBrAF8AUwBvAGkAbABfAEwAZQBhAGMAaABpAG4AZwBBAG4AZABSAHUAbgBvAGYAZgAuAFYARQBFAFIARwBfADQAXwA3AF8AMQBfADcAXwBfADIAXwBNAGEAcwBzAE8AZgBOAGkAdAByAG8AZwBlAG4ATABvAHMAdABUAG8ATABlAGEAYwBoAGkAbgBnAEEAbgBkAFIAdQBuAG8AZgBmAF8AVABpAHQAbABlACIALAAiAE0ATQBTAF8ATwB0AGgAZQByAEwAaQB2AGUAcwB0AG8AYwBrAF8AUwBvAGkAbABfAEwAZQBhAGMAaABpAG4AZwBBAG4AZABSAHUAbgBvAGYAZgAuAFYARQBFAFIARwBfADQAXwA3AF8AMQBfADcAXwBfADIAXwBNAGEAcwBzAE8AZgBOAGkAdAByAG8AZwBlAG4ATABvAHMAdABUAG8ATABlAGEAYwBoAGkAbgBnAEEAbgBkAFIAdQBuAG8AZgBmAF8AVgBhAHIAaQBhAGIAbABlACIALAAiAE0ATQBTAF8ATwB0AGgAZQByAEwAaQB2AGUAcwB0AG8AYwBrAF8AUwBvAGkAbABfAEwAZQBhAGMAaABpAG4AZwBBAG4AZABSAHUAbgBvAGYAZgAuAFYARQBFAFIARwBfADQAXwA3AF8AMQBfADcAXwBfADIAXwBNAGEAcwBzAE8AZgBOAGkAdAByAG8AZwBlAG4ATABvAHMAdABUAG8ATABlAGEAYwBoAGkAbgBnAEEAbgBkAFIAdQBuAG8AZgBmAF8AVQBuAGkAdAAiACwAIgBNAE0AUwBfAE8AdABoAGUAcgBMAGkAdgBlAHMAdABvAGMAawBfAFMAbwBpAGwAXwBMAGUAYQBjAGgAaQBuAGcAQQBuAGQAUgB1AG4AbwBmAGYALgBWAEUARQBSAEcAXwA0AF8ANwBfADEAXwA3AF8AXwAyAF8ATQBhAHMAcwBPAGYATgBpAHQAcgBvAGcAZQBuAEwAbwBzAHQAVABvAEwAZQBhAGMAaABpAG4AZwBBAG4AZABSAHUAbgBvAGYAZgBfAFMAbwB1AHIAYwBlACIALAAiAE0ATQBTAF8ATwB0AGgAZQByAEwAaQB2AGUAcwB0AG8AYwBrAF8AUwBvAGkAbABfAEwAZQBhAGMAaABpAG4AZwBBAG4AZABSAHUAbgBvAGYAZgAuAFYARQBFAFIARwBfADQAXwA3AF8AMQBfADcAXwBfADIAXwBNAGEAcwBzAE8AZgBOAGkAdAByAG8AZwBlAG4ATABvAHMAdABUAG8ATABlAGEAYwBoAGkAbgBnAEEAbgBkAFIAdQBuAG8AZgBmAF8ATgBJAFIAUgBlAGYAZQByAGUAbgBjAGUAIgAsACIATQBNAFMAXwBPAHQAaABlAHIATABpAHYAZQBzAHQAbwBjAGsAXwBTAG8AaQBsAF8ATABlAGEAYwBoAGkAbgBnAEEAbgBkAFIAdQBuAG8AZgBmAC4AVgBFAEUAUgBHAF8ANABfADcAXwAxAF8ANwBfAF8AMgBfAE0AYQBzAHMATwBmAE4AaQB0AHIAbwBnAGUAbgBMAG8AcwB0AFQAbwBMAGUAYQBjAGgAaQBuAGcAQQBuAGQAUgB1AG4AbwBmAGYAXwBMAGEAdABlAHgARQBxAHUAYQB0AGkAbwBuACIALAAiAE0ATQBTAF8ATwB0AGgAZQByAEwAaQB2AGUAcwB0AG8AYwBrAF8AUwBvAGkAbABfAEwAZQBhAGMAaABpAG4AZwBBAG4AZABSAHUAbgBvAGYAZgAuAFYARQBFAFIARwBfADQAXwA3AF8AMQBfADcAXwBfADIAXwBNAGEAcwBzAE8AZgBOAGkAdAByAG8AZwBlAG4ATABvAHMAdABUAG8ATABlAGEAYwBoAGkAbgBnAEEAbgBkAFIAdQBuAG8AZgBm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