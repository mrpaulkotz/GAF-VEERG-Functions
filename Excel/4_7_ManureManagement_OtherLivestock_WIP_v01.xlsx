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D6D4B7E8-71D6-47FB-A692-63811A1CEEC4}" xr6:coauthVersionLast="47" xr6:coauthVersionMax="47" xr10:uidLastSave="{00000000-0000-0000-0000-000000000000}"/>
  <bookViews>
    <workbookView xWindow="1950" yWindow="1950" windowWidth="28800" windowHeight="15345" firstSheet="11" activeTab="11"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8"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
    _xlfn.MAKEARRAY(9, 3,
      _xlfn.LAMBDA(_xlpm.r,_xlpm.c,
        INDEX({"State","Pasture range and paddock","Uncovered Anaerobic lagoon";"ACT",0.0047,0.71;"NSW",0.0047,0.75;"NT",0.0047,0.8;"QLD",0.0047,0.78;"SA",0.0047,0.74;"TAS",0.0047,0.7;"VIC",0.0047,0.74;"WA",0.0047,0.76}, _xlpm.r, _xlpm.c)
      )
    )
  )</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
    _xlfn.MAKEARRAY(9, 2,
      _xlfn.LAMBDA(_xlpm.r,_xlpm.c,
        INDEX({"Other Livestock Type","NEj";"Buffalo",39.5;"Goats",7;"Deer",13.2;"Camels",39.5;"Alpacas",7;"Horses",39.5;"Mules/asses",13.2;"Emus/ostriches",7}, _xlpm.r, _xlpm.c)
      )
    )
  )</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ourceData_OtherLivestock_FracGASMSoil_Data">'Constants - Other Livestock'!$E$115</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D122" i="79"/>
  <c r="D121" i="79"/>
  <c r="I69" i="104"/>
  <c r="I15" i="104"/>
  <c r="O60" i="69"/>
  <c r="O59" i="69"/>
  <c r="I66" i="102"/>
  <c r="G42" i="104"/>
  <c r="G41" i="104"/>
  <c r="G40" i="104"/>
  <c r="G39" i="104"/>
  <c r="G38" i="104"/>
  <c r="G37" i="104"/>
  <c r="G36" i="104"/>
  <c r="G35" i="104"/>
  <c r="H67" i="103"/>
  <c r="H66" i="103"/>
  <c r="H65" i="103"/>
  <c r="H64" i="103"/>
  <c r="H63" i="103"/>
  <c r="H62" i="103"/>
  <c r="H61" i="103"/>
  <c r="H60" i="103"/>
  <c r="E30" i="15"/>
  <c r="E33" i="15"/>
  <c r="E32" i="15"/>
  <c r="E31" i="15"/>
  <c r="I70" i="104"/>
  <c r="I52" i="103"/>
  <c r="I67" i="102"/>
  <c r="G75" i="104"/>
  <c r="G84" i="103"/>
  <c r="G73" i="102"/>
  <c r="Q116" i="69"/>
  <c r="G116" i="69"/>
  <c r="J18" i="69"/>
  <c r="I56" i="70"/>
  <c r="H56" i="70"/>
  <c r="G56" i="70"/>
  <c r="F56" i="70"/>
  <c r="E56" i="70"/>
  <c r="I55" i="70"/>
  <c r="H55" i="70"/>
  <c r="G55" i="70"/>
  <c r="F55" i="70"/>
  <c r="E55" i="70"/>
  <c r="E42" i="70"/>
  <c r="E41" i="70"/>
  <c r="E28" i="70"/>
  <c r="E27" i="70"/>
  <c r="E14" i="70"/>
  <c r="E13" i="70"/>
  <c r="E259" i="108" a="1"/>
  <c r="E259" i="108" s="1"/>
  <c r="D259" i="108" a="1"/>
  <c r="D259" i="108" s="1"/>
  <c r="E258" i="108" a="1"/>
  <c r="E258" i="108" s="1"/>
  <c r="D258" i="108" a="1"/>
  <c r="D258" i="108" s="1"/>
  <c r="D256" i="108" a="1"/>
  <c r="D256" i="108" s="1"/>
  <c r="D255" i="108" a="1"/>
  <c r="D255" i="108" s="1"/>
  <c r="D254" i="108" a="1"/>
  <c r="D254" i="108" s="1"/>
  <c r="D253" i="108" a="1"/>
  <c r="D253" i="108" s="1"/>
  <c r="S250" i="108" a="1"/>
  <c r="S250" i="108" s="1"/>
  <c r="R250" i="108" a="1"/>
  <c r="R250" i="108" s="1"/>
  <c r="Q250" i="108" a="1"/>
  <c r="Q250" i="108" s="1"/>
  <c r="P250" i="108" a="1"/>
  <c r="P250" i="108" s="1"/>
  <c r="O250" i="108" a="1"/>
  <c r="O250" i="108" s="1"/>
  <c r="N250" i="108" a="1"/>
  <c r="N250" i="108" s="1"/>
  <c r="M250" i="108" a="1"/>
  <c r="M250" i="108" s="1"/>
  <c r="L250" i="108" a="1"/>
  <c r="L250" i="108" s="1"/>
  <c r="K250" i="108" a="1"/>
  <c r="K250" i="108" s="1"/>
  <c r="J250" i="108" a="1"/>
  <c r="J250" i="108" s="1"/>
  <c r="I250" i="108" a="1"/>
  <c r="I250" i="108" s="1"/>
  <c r="H250" i="108" a="1"/>
  <c r="H250" i="108" s="1"/>
  <c r="G250" i="108" a="1"/>
  <c r="G250" i="108" s="1"/>
  <c r="F250" i="108" a="1"/>
  <c r="F250" i="108" s="1"/>
  <c r="E250" i="108" a="1"/>
  <c r="E250" i="108" s="1"/>
  <c r="D250" i="108" a="1"/>
  <c r="D250" i="108" s="1"/>
  <c r="S249" i="108" a="1"/>
  <c r="S249" i="108" s="1"/>
  <c r="R249" i="108" a="1"/>
  <c r="R249" i="108" s="1"/>
  <c r="Q249" i="108" a="1"/>
  <c r="Q249" i="108" s="1"/>
  <c r="P249" i="108" a="1"/>
  <c r="P249" i="108" s="1"/>
  <c r="O249" i="108" a="1"/>
  <c r="O249" i="108" s="1"/>
  <c r="N249" i="108" a="1"/>
  <c r="N249" i="108" s="1"/>
  <c r="M249" i="108" a="1"/>
  <c r="M249" i="108" s="1"/>
  <c r="L249" i="108" a="1"/>
  <c r="L249" i="108" s="1"/>
  <c r="K249" i="108" a="1"/>
  <c r="K249" i="108" s="1"/>
  <c r="J249" i="108" a="1"/>
  <c r="J249" i="108" s="1"/>
  <c r="I249" i="108" a="1"/>
  <c r="I249" i="108" s="1"/>
  <c r="H249" i="108" a="1"/>
  <c r="H249" i="108" s="1"/>
  <c r="G249" i="108" a="1"/>
  <c r="G249" i="108" s="1"/>
  <c r="F249" i="108" a="1"/>
  <c r="F249" i="108" s="1"/>
  <c r="E249" i="108" a="1"/>
  <c r="E249" i="108" s="1"/>
  <c r="D249" i="108" a="1"/>
  <c r="D249" i="108" s="1"/>
  <c r="S248" i="108" a="1"/>
  <c r="S248" i="108" s="1"/>
  <c r="R248" i="108" a="1"/>
  <c r="R248" i="108" s="1"/>
  <c r="Q248" i="108" a="1"/>
  <c r="Q248" i="108" s="1"/>
  <c r="P248" i="108" a="1"/>
  <c r="P248" i="108" s="1"/>
  <c r="O248" i="108" a="1"/>
  <c r="O248" i="108" s="1"/>
  <c r="N248" i="108" a="1"/>
  <c r="N248" i="108" s="1"/>
  <c r="M248" i="108" a="1"/>
  <c r="M248" i="108" s="1"/>
  <c r="L248" i="108" a="1"/>
  <c r="L248" i="108" s="1"/>
  <c r="K248" i="108" a="1"/>
  <c r="K248" i="108" s="1"/>
  <c r="J248" i="108" a="1"/>
  <c r="J248" i="108" s="1"/>
  <c r="I248" i="108" a="1"/>
  <c r="I248" i="108" s="1"/>
  <c r="H248" i="108" a="1"/>
  <c r="H248" i="108" s="1"/>
  <c r="G248" i="108" a="1"/>
  <c r="G248" i="108" s="1"/>
  <c r="F248" i="108" a="1"/>
  <c r="F248" i="108" s="1"/>
  <c r="E248" i="108" a="1"/>
  <c r="E248" i="108" s="1"/>
  <c r="D248" i="108" a="1"/>
  <c r="D248" i="108" s="1"/>
  <c r="S247" i="108" a="1"/>
  <c r="S247" i="108" s="1"/>
  <c r="R247" i="108" a="1"/>
  <c r="R247" i="108" s="1"/>
  <c r="Q247" i="108" a="1"/>
  <c r="Q247" i="108" s="1"/>
  <c r="P247" i="108" a="1"/>
  <c r="P247" i="108" s="1"/>
  <c r="O247" i="108" a="1"/>
  <c r="O247" i="108" s="1"/>
  <c r="N247" i="108" a="1"/>
  <c r="N247" i="108" s="1"/>
  <c r="M247" i="108" a="1"/>
  <c r="M247" i="108" s="1"/>
  <c r="L247" i="108" a="1"/>
  <c r="L247" i="108" s="1"/>
  <c r="K247" i="108" a="1"/>
  <c r="K247" i="108" s="1"/>
  <c r="J247" i="108" a="1"/>
  <c r="J247" i="108" s="1"/>
  <c r="I247" i="108" a="1"/>
  <c r="I247" i="108" s="1"/>
  <c r="H247" i="108" a="1"/>
  <c r="H247" i="108" s="1"/>
  <c r="G247" i="108" a="1"/>
  <c r="G247" i="108" s="1"/>
  <c r="F247" i="108" a="1"/>
  <c r="F247" i="108" s="1"/>
  <c r="E247" i="108" a="1"/>
  <c r="E247" i="108" s="1"/>
  <c r="D247" i="108" a="1"/>
  <c r="D247" i="108" s="1"/>
  <c r="S246" i="108" a="1"/>
  <c r="S246" i="108" s="1"/>
  <c r="R246" i="108" a="1"/>
  <c r="R246" i="108" s="1"/>
  <c r="Q246" i="108" a="1"/>
  <c r="Q246" i="108" s="1"/>
  <c r="P246" i="108" a="1"/>
  <c r="P246" i="108" s="1"/>
  <c r="O246" i="108" a="1"/>
  <c r="O246" i="108" s="1"/>
  <c r="N246" i="108" a="1"/>
  <c r="N246" i="108" s="1"/>
  <c r="M246" i="108" a="1"/>
  <c r="M246" i="108" s="1"/>
  <c r="L246" i="108" a="1"/>
  <c r="L246" i="108" s="1"/>
  <c r="K246" i="108" a="1"/>
  <c r="K246" i="108" s="1"/>
  <c r="J246" i="108" a="1"/>
  <c r="J246" i="108" s="1"/>
  <c r="I246" i="108" a="1"/>
  <c r="I246" i="108" s="1"/>
  <c r="H246" i="108" a="1"/>
  <c r="H246" i="108" s="1"/>
  <c r="G246" i="108" a="1"/>
  <c r="G246" i="108" s="1"/>
  <c r="F246" i="108" a="1"/>
  <c r="F246" i="108" s="1"/>
  <c r="E246" i="108" a="1"/>
  <c r="E246" i="108" s="1"/>
  <c r="D246" i="108" a="1"/>
  <c r="D246" i="108" s="1"/>
  <c r="S245" i="108" a="1"/>
  <c r="S245" i="108" s="1"/>
  <c r="R245" i="108" a="1"/>
  <c r="R245" i="108" s="1"/>
  <c r="Q245" i="108" a="1"/>
  <c r="Q245" i="108" s="1"/>
  <c r="P245" i="108" a="1"/>
  <c r="P245" i="108" s="1"/>
  <c r="O245" i="108" a="1"/>
  <c r="O245" i="108" s="1"/>
  <c r="N245" i="108" a="1"/>
  <c r="N245" i="108" s="1"/>
  <c r="M245" i="108" a="1"/>
  <c r="M245" i="108" s="1"/>
  <c r="L245" i="108" a="1"/>
  <c r="L245" i="108" s="1"/>
  <c r="K245" i="108" a="1"/>
  <c r="K245" i="108" s="1"/>
  <c r="J245" i="108" a="1"/>
  <c r="J245" i="108" s="1"/>
  <c r="I245" i="108" a="1"/>
  <c r="I245" i="108" s="1"/>
  <c r="H245" i="108" a="1"/>
  <c r="H245" i="108" s="1"/>
  <c r="G245" i="108" a="1"/>
  <c r="G245" i="108" s="1"/>
  <c r="F245" i="108" a="1"/>
  <c r="F245" i="108" s="1"/>
  <c r="E245" i="108" a="1"/>
  <c r="E245" i="108" s="1"/>
  <c r="D245" i="108" a="1"/>
  <c r="D245" i="108" s="1"/>
  <c r="S244" i="108" a="1"/>
  <c r="S244" i="108" s="1"/>
  <c r="R244" i="108" a="1"/>
  <c r="R244" i="108" s="1"/>
  <c r="Q244" i="108" a="1"/>
  <c r="Q244" i="108" s="1"/>
  <c r="P244" i="108" a="1"/>
  <c r="P244" i="108" s="1"/>
  <c r="O244" i="108" a="1"/>
  <c r="O244" i="108" s="1"/>
  <c r="N244" i="108" a="1"/>
  <c r="N244" i="108" s="1"/>
  <c r="M244" i="108" a="1"/>
  <c r="M244" i="108" s="1"/>
  <c r="L244" i="108" a="1"/>
  <c r="L244" i="108" s="1"/>
  <c r="K244" i="108" a="1"/>
  <c r="K244" i="108" s="1"/>
  <c r="J244" i="108" a="1"/>
  <c r="J244" i="108" s="1"/>
  <c r="I244" i="108" a="1"/>
  <c r="I244" i="108" s="1"/>
  <c r="H244" i="108" a="1"/>
  <c r="H244" i="108" s="1"/>
  <c r="G244" i="108" a="1"/>
  <c r="G244" i="108" s="1"/>
  <c r="F244" i="108" a="1"/>
  <c r="F244" i="108" s="1"/>
  <c r="E244" i="108" a="1"/>
  <c r="E244" i="108" s="1"/>
  <c r="D244" i="108" a="1"/>
  <c r="D244" i="108" s="1"/>
  <c r="S243" i="108" a="1"/>
  <c r="S243" i="108" s="1"/>
  <c r="R243" i="108" a="1"/>
  <c r="R243" i="108" s="1"/>
  <c r="Q243" i="108" a="1"/>
  <c r="Q243" i="108" s="1"/>
  <c r="P243" i="108" a="1"/>
  <c r="P243" i="108" s="1"/>
  <c r="O243" i="108" a="1"/>
  <c r="O243" i="108" s="1"/>
  <c r="N243" i="108" a="1"/>
  <c r="N243" i="108" s="1"/>
  <c r="M243" i="108" a="1"/>
  <c r="M243" i="108" s="1"/>
  <c r="L243" i="108" a="1"/>
  <c r="L243" i="108" s="1"/>
  <c r="K243" i="108" a="1"/>
  <c r="K243" i="108" s="1"/>
  <c r="J243" i="108" a="1"/>
  <c r="J243" i="108" s="1"/>
  <c r="I243" i="108" a="1"/>
  <c r="I243" i="108" s="1"/>
  <c r="H243" i="108" a="1"/>
  <c r="H243" i="108" s="1"/>
  <c r="G243" i="108" a="1"/>
  <c r="G243" i="108" s="1"/>
  <c r="F243" i="108" a="1"/>
  <c r="F243" i="108" s="1"/>
  <c r="E243" i="108" a="1"/>
  <c r="E243" i="108" s="1"/>
  <c r="D243" i="108" a="1"/>
  <c r="D243" i="108" s="1"/>
  <c r="S242" i="108" a="1"/>
  <c r="S242" i="108" s="1"/>
  <c r="R242" i="108" a="1"/>
  <c r="R242" i="108" s="1"/>
  <c r="Q242" i="108" a="1"/>
  <c r="Q242" i="108" s="1"/>
  <c r="P242" i="108" a="1"/>
  <c r="P242" i="108" s="1"/>
  <c r="O242" i="108" a="1"/>
  <c r="O242" i="108" s="1"/>
  <c r="N242" i="108" a="1"/>
  <c r="N242" i="108" s="1"/>
  <c r="M242" i="108" a="1"/>
  <c r="M242" i="108" s="1"/>
  <c r="L242" i="108" a="1"/>
  <c r="L242" i="108" s="1"/>
  <c r="K242" i="108" a="1"/>
  <c r="K242" i="108" s="1"/>
  <c r="J242" i="108" a="1"/>
  <c r="J242" i="108" s="1"/>
  <c r="I242" i="108" a="1"/>
  <c r="I242" i="108" s="1"/>
  <c r="H242" i="108" a="1"/>
  <c r="H242" i="108" s="1"/>
  <c r="G242" i="108" a="1"/>
  <c r="G242" i="108" s="1"/>
  <c r="F242" i="108" a="1"/>
  <c r="F242" i="108" s="1"/>
  <c r="E242" i="108" a="1"/>
  <c r="E242" i="108" s="1"/>
  <c r="D242" i="108" a="1"/>
  <c r="D242" i="108" s="1"/>
  <c r="S241" i="108" a="1"/>
  <c r="S241" i="108" s="1"/>
  <c r="R241" i="108" a="1"/>
  <c r="R241" i="108" s="1"/>
  <c r="Q241" i="108" a="1"/>
  <c r="Q241" i="108" s="1"/>
  <c r="P241" i="108" a="1"/>
  <c r="P241" i="108" s="1"/>
  <c r="O241" i="108" a="1"/>
  <c r="O241" i="108" s="1"/>
  <c r="N241" i="108" a="1"/>
  <c r="N241" i="108" s="1"/>
  <c r="M241" i="108" a="1"/>
  <c r="M241" i="108" s="1"/>
  <c r="L241" i="108" a="1"/>
  <c r="L241" i="108" s="1"/>
  <c r="K241" i="108" a="1"/>
  <c r="K241" i="108" s="1"/>
  <c r="J241" i="108" a="1"/>
  <c r="J241" i="108" s="1"/>
  <c r="I241" i="108" a="1"/>
  <c r="I241" i="108" s="1"/>
  <c r="H241" i="108" a="1"/>
  <c r="H241" i="108" s="1"/>
  <c r="G241" i="108" a="1"/>
  <c r="G241" i="108" s="1"/>
  <c r="F241" i="108" a="1"/>
  <c r="F241" i="108" s="1"/>
  <c r="E241" i="108" a="1"/>
  <c r="E241" i="108" s="1"/>
  <c r="D241" i="108" a="1"/>
  <c r="D241" i="108" s="1"/>
  <c r="S240" i="108" a="1"/>
  <c r="S240" i="108" s="1"/>
  <c r="R240" i="108" a="1"/>
  <c r="R240" i="108" s="1"/>
  <c r="Q240" i="108" a="1"/>
  <c r="Q240" i="108" s="1"/>
  <c r="P240" i="108" a="1"/>
  <c r="P240" i="108" s="1"/>
  <c r="O240" i="108" a="1"/>
  <c r="O240" i="108" s="1"/>
  <c r="N240" i="108" a="1"/>
  <c r="N240" i="108" s="1"/>
  <c r="M240" i="108" a="1"/>
  <c r="M240" i="108" s="1"/>
  <c r="L240" i="108" a="1"/>
  <c r="L240" i="108" s="1"/>
  <c r="K240" i="108" a="1"/>
  <c r="K240" i="108" s="1"/>
  <c r="J240" i="108" a="1"/>
  <c r="J240" i="108" s="1"/>
  <c r="I240" i="108" a="1"/>
  <c r="I240" i="108" s="1"/>
  <c r="H240" i="108" a="1"/>
  <c r="H240" i="108" s="1"/>
  <c r="G240" i="108" a="1"/>
  <c r="G240" i="108" s="1"/>
  <c r="F240" i="108" a="1"/>
  <c r="F240" i="108" s="1"/>
  <c r="E240" i="108" a="1"/>
  <c r="E240" i="108" s="1"/>
  <c r="D240" i="108" a="1"/>
  <c r="D240" i="108" s="1"/>
  <c r="S239" i="108" a="1"/>
  <c r="S239" i="108" s="1"/>
  <c r="R239" i="108" a="1"/>
  <c r="R239" i="108" s="1"/>
  <c r="Q239" i="108" a="1"/>
  <c r="Q239" i="108" s="1"/>
  <c r="P239" i="108" a="1"/>
  <c r="P239" i="108" s="1"/>
  <c r="O239" i="108" a="1"/>
  <c r="O239" i="108" s="1"/>
  <c r="N239" i="108" a="1"/>
  <c r="N239" i="108" s="1"/>
  <c r="M239" i="108" a="1"/>
  <c r="M239" i="108" s="1"/>
  <c r="L239" i="108" a="1"/>
  <c r="L239" i="108" s="1"/>
  <c r="K239" i="108" a="1"/>
  <c r="K239" i="108" s="1"/>
  <c r="J239" i="108" a="1"/>
  <c r="J239" i="108" s="1"/>
  <c r="I239" i="108" a="1"/>
  <c r="I239" i="108" s="1"/>
  <c r="H239" i="108" a="1"/>
  <c r="H239" i="108" s="1"/>
  <c r="G239" i="108" a="1"/>
  <c r="G239" i="108" s="1"/>
  <c r="F239" i="108" a="1"/>
  <c r="F239" i="108" s="1"/>
  <c r="E239" i="108" a="1"/>
  <c r="E239" i="108" s="1"/>
  <c r="D239" i="108" a="1"/>
  <c r="D239" i="108" s="1"/>
  <c r="S238" i="108" a="1"/>
  <c r="S238" i="108" s="1"/>
  <c r="R238" i="108" a="1"/>
  <c r="R238" i="108" s="1"/>
  <c r="Q238" i="108" a="1"/>
  <c r="Q238" i="108" s="1"/>
  <c r="P238" i="108" a="1"/>
  <c r="P238" i="108" s="1"/>
  <c r="O238" i="108" a="1"/>
  <c r="O238" i="108" s="1"/>
  <c r="N238" i="108" a="1"/>
  <c r="N238" i="108" s="1"/>
  <c r="M238" i="108" a="1"/>
  <c r="M238" i="108" s="1"/>
  <c r="L238" i="108" a="1"/>
  <c r="L238" i="108" s="1"/>
  <c r="K238" i="108" a="1"/>
  <c r="K238" i="108" s="1"/>
  <c r="J238" i="108" a="1"/>
  <c r="J238" i="108" s="1"/>
  <c r="I238" i="108" a="1"/>
  <c r="I238" i="108" s="1"/>
  <c r="H238" i="108" a="1"/>
  <c r="H238" i="108" s="1"/>
  <c r="G238" i="108" a="1"/>
  <c r="G238" i="108" s="1"/>
  <c r="F238" i="108" a="1"/>
  <c r="F238" i="108" s="1"/>
  <c r="E238" i="108" a="1"/>
  <c r="E238" i="108" s="1"/>
  <c r="D238" i="108" a="1"/>
  <c r="D238" i="108" s="1"/>
  <c r="S237" i="108" a="1"/>
  <c r="S237" i="108" s="1"/>
  <c r="R237" i="108" a="1"/>
  <c r="R237" i="108" s="1"/>
  <c r="Q237" i="108" a="1"/>
  <c r="Q237" i="108" s="1"/>
  <c r="P237" i="108" a="1"/>
  <c r="P237" i="108" s="1"/>
  <c r="O237" i="108" a="1"/>
  <c r="O237" i="108" s="1"/>
  <c r="N237" i="108" a="1"/>
  <c r="N237" i="108" s="1"/>
  <c r="M237" i="108" a="1"/>
  <c r="M237" i="108" s="1"/>
  <c r="L237" i="108" a="1"/>
  <c r="L237" i="108" s="1"/>
  <c r="K237" i="108" a="1"/>
  <c r="K237" i="108" s="1"/>
  <c r="J237" i="108" a="1"/>
  <c r="J237" i="108" s="1"/>
  <c r="I237" i="108" a="1"/>
  <c r="I237" i="108" s="1"/>
  <c r="H237" i="108" a="1"/>
  <c r="H237" i="108" s="1"/>
  <c r="G237" i="108" a="1"/>
  <c r="G237" i="108" s="1"/>
  <c r="F237" i="108" a="1"/>
  <c r="F237" i="108" s="1"/>
  <c r="E237" i="108" a="1"/>
  <c r="E237" i="108" s="1"/>
  <c r="D237" i="108" a="1"/>
  <c r="D237" i="108" s="1"/>
  <c r="S236" i="108" a="1"/>
  <c r="S236" i="108" s="1"/>
  <c r="R236" i="108" a="1"/>
  <c r="R236" i="108" s="1"/>
  <c r="Q236" i="108" a="1"/>
  <c r="Q236" i="108" s="1"/>
  <c r="P236" i="108" a="1"/>
  <c r="P236" i="108" s="1"/>
  <c r="O236" i="108" a="1"/>
  <c r="O236" i="108" s="1"/>
  <c r="N236" i="108" a="1"/>
  <c r="N236" i="108" s="1"/>
  <c r="M236" i="108" a="1"/>
  <c r="M236" i="108" s="1"/>
  <c r="L236" i="108" a="1"/>
  <c r="L236" i="108" s="1"/>
  <c r="K236" i="108" a="1"/>
  <c r="K236" i="108" s="1"/>
  <c r="J236" i="108" a="1"/>
  <c r="J236" i="108" s="1"/>
  <c r="I236" i="108" a="1"/>
  <c r="I236" i="108" s="1"/>
  <c r="H236" i="108" a="1"/>
  <c r="H236" i="108" s="1"/>
  <c r="G236" i="108" a="1"/>
  <c r="G236" i="108" s="1"/>
  <c r="F236" i="108" a="1"/>
  <c r="F236" i="108" s="1"/>
  <c r="E236" i="108" a="1"/>
  <c r="E236" i="108" s="1"/>
  <c r="D236" i="108" a="1"/>
  <c r="D236" i="108" s="1"/>
  <c r="S235" i="108" a="1"/>
  <c r="S235" i="108" s="1"/>
  <c r="R235" i="108" a="1"/>
  <c r="R235" i="108" s="1"/>
  <c r="Q235" i="108" a="1"/>
  <c r="Q235" i="108" s="1"/>
  <c r="P235" i="108" a="1"/>
  <c r="P235" i="108" s="1"/>
  <c r="O235" i="108" a="1"/>
  <c r="O235" i="108" s="1"/>
  <c r="N235" i="108" a="1"/>
  <c r="N235" i="108" s="1"/>
  <c r="M235" i="108" a="1"/>
  <c r="M235" i="108" s="1"/>
  <c r="L235" i="108" a="1"/>
  <c r="L235" i="108" s="1"/>
  <c r="K235" i="108" a="1"/>
  <c r="K235" i="108" s="1"/>
  <c r="J235" i="108" a="1"/>
  <c r="J235" i="108" s="1"/>
  <c r="I235" i="108" a="1"/>
  <c r="I235" i="108" s="1"/>
  <c r="H235" i="108" a="1"/>
  <c r="H235" i="108" s="1"/>
  <c r="G235" i="108" a="1"/>
  <c r="G235" i="108" s="1"/>
  <c r="F235" i="108" a="1"/>
  <c r="F235" i="108" s="1"/>
  <c r="E235" i="108" a="1"/>
  <c r="E235" i="108" s="1"/>
  <c r="D235" i="108" a="1"/>
  <c r="D235" i="108" s="1"/>
  <c r="S234" i="108" a="1"/>
  <c r="S234" i="108" s="1"/>
  <c r="R234" i="108" a="1"/>
  <c r="R234" i="108" s="1"/>
  <c r="Q234" i="108" a="1"/>
  <c r="Q234" i="108" s="1"/>
  <c r="P234" i="108" a="1"/>
  <c r="P234" i="108" s="1"/>
  <c r="O234" i="108" a="1"/>
  <c r="O234" i="108" s="1"/>
  <c r="N234" i="108" a="1"/>
  <c r="N234" i="108" s="1"/>
  <c r="M234" i="108" a="1"/>
  <c r="M234" i="108" s="1"/>
  <c r="L234" i="108" a="1"/>
  <c r="L234" i="108" s="1"/>
  <c r="K234" i="108" a="1"/>
  <c r="K234" i="108" s="1"/>
  <c r="J234" i="108" a="1"/>
  <c r="J234" i="108" s="1"/>
  <c r="I234" i="108" a="1"/>
  <c r="I234" i="108" s="1"/>
  <c r="H234" i="108" a="1"/>
  <c r="H234" i="108" s="1"/>
  <c r="G234" i="108" a="1"/>
  <c r="G234" i="108" s="1"/>
  <c r="F234" i="108" a="1"/>
  <c r="F234" i="108" s="1"/>
  <c r="E234" i="108" a="1"/>
  <c r="E234" i="108" s="1"/>
  <c r="D234" i="108" a="1"/>
  <c r="D234" i="108" s="1"/>
  <c r="S233" i="108" a="1"/>
  <c r="S233" i="108" s="1"/>
  <c r="R233" i="108" a="1"/>
  <c r="R233" i="108" s="1"/>
  <c r="Q233" i="108" a="1"/>
  <c r="Q233" i="108" s="1"/>
  <c r="P233" i="108" a="1"/>
  <c r="P233" i="108" s="1"/>
  <c r="O233" i="108" a="1"/>
  <c r="O233" i="108" s="1"/>
  <c r="N233" i="108" a="1"/>
  <c r="N233" i="108" s="1"/>
  <c r="M233" i="108" a="1"/>
  <c r="M233" i="108" s="1"/>
  <c r="L233" i="108" a="1"/>
  <c r="L233" i="108" s="1"/>
  <c r="K233" i="108" a="1"/>
  <c r="K233" i="108" s="1"/>
  <c r="J233" i="108" a="1"/>
  <c r="J233" i="108" s="1"/>
  <c r="I233" i="108" a="1"/>
  <c r="I233" i="108" s="1"/>
  <c r="H233" i="108" a="1"/>
  <c r="H233" i="108" s="1"/>
  <c r="G233" i="108" a="1"/>
  <c r="G233" i="108" s="1"/>
  <c r="F233" i="108" a="1"/>
  <c r="F233" i="108" s="1"/>
  <c r="E233" i="108" a="1"/>
  <c r="E233" i="108" s="1"/>
  <c r="D233" i="108" a="1"/>
  <c r="D233" i="108" s="1"/>
  <c r="S232" i="108" a="1"/>
  <c r="S232" i="108" s="1"/>
  <c r="R232" i="108" a="1"/>
  <c r="R232" i="108" s="1"/>
  <c r="Q232" i="108" a="1"/>
  <c r="Q232" i="108" s="1"/>
  <c r="P232" i="108" a="1"/>
  <c r="P232" i="108" s="1"/>
  <c r="O232" i="108" a="1"/>
  <c r="O232" i="108" s="1"/>
  <c r="N232" i="108" a="1"/>
  <c r="N232" i="108" s="1"/>
  <c r="M232" i="108" a="1"/>
  <c r="M232" i="108" s="1"/>
  <c r="L232" i="108" a="1"/>
  <c r="L232" i="108" s="1"/>
  <c r="K232" i="108" a="1"/>
  <c r="K232" i="108" s="1"/>
  <c r="J232" i="108" a="1"/>
  <c r="J232" i="108" s="1"/>
  <c r="I232" i="108" a="1"/>
  <c r="I232" i="108" s="1"/>
  <c r="H232" i="108" a="1"/>
  <c r="H232" i="108" s="1"/>
  <c r="G232" i="108" a="1"/>
  <c r="G232" i="108" s="1"/>
  <c r="F232" i="108" a="1"/>
  <c r="F232" i="108" s="1"/>
  <c r="E232" i="108" a="1"/>
  <c r="E232" i="108" s="1"/>
  <c r="D232" i="108" a="1"/>
  <c r="D232" i="108" s="1"/>
  <c r="D229" i="108" a="1"/>
  <c r="D229" i="108" s="1"/>
  <c r="D228" i="108" a="1"/>
  <c r="D228" i="108" s="1"/>
  <c r="D227" i="108" a="1"/>
  <c r="D227" i="108" s="1"/>
  <c r="E224" i="108" a="1"/>
  <c r="E224" i="108" s="1"/>
  <c r="D224" i="108" a="1"/>
  <c r="D224" i="108" s="1"/>
  <c r="E223" i="108" a="1"/>
  <c r="E223" i="108" s="1"/>
  <c r="D223" i="108" a="1"/>
  <c r="D223" i="108" s="1"/>
  <c r="E222" i="108" a="1"/>
  <c r="E222" i="108" s="1"/>
  <c r="D222" i="108" a="1"/>
  <c r="D222" i="108" s="1"/>
  <c r="E221" i="108" a="1"/>
  <c r="E221" i="108" s="1"/>
  <c r="D221" i="108" a="1"/>
  <c r="D221" i="108" s="1"/>
  <c r="E220" i="108" a="1"/>
  <c r="E220" i="108" s="1"/>
  <c r="D220" i="108" a="1"/>
  <c r="D220" i="108" s="1"/>
  <c r="E219" i="108" a="1"/>
  <c r="E219" i="108" s="1"/>
  <c r="D219" i="108" a="1"/>
  <c r="D219" i="108" s="1"/>
  <c r="E218" i="108" a="1"/>
  <c r="E218" i="108" s="1"/>
  <c r="D218" i="108" a="1"/>
  <c r="D218" i="108" s="1"/>
  <c r="E217" i="108" a="1"/>
  <c r="E217" i="108" s="1"/>
  <c r="D217" i="108" a="1"/>
  <c r="D217" i="108" s="1"/>
  <c r="E216" i="108" a="1"/>
  <c r="E216" i="108" s="1"/>
  <c r="D216" i="108" a="1"/>
  <c r="D216" i="108" s="1"/>
  <c r="E215" i="108" a="1"/>
  <c r="E215" i="108" s="1"/>
  <c r="D215" i="108" a="1"/>
  <c r="D215" i="108" s="1"/>
  <c r="E214" i="108" a="1"/>
  <c r="E214" i="108" s="1"/>
  <c r="D214" i="108" a="1"/>
  <c r="D214" i="108" s="1"/>
  <c r="E213" i="108" a="1"/>
  <c r="E213" i="108" s="1"/>
  <c r="D213" i="108" a="1"/>
  <c r="D213" i="108" s="1"/>
  <c r="D211" i="108" a="1"/>
  <c r="D211" i="108" s="1"/>
  <c r="E208" i="108" a="1"/>
  <c r="E208" i="108" s="1"/>
  <c r="D208" i="108" a="1"/>
  <c r="D208" i="108" s="1"/>
  <c r="E207" i="108" a="1"/>
  <c r="E207" i="108" s="1"/>
  <c r="D207" i="108" a="1"/>
  <c r="D207" i="108" s="1"/>
  <c r="D205" i="108" a="1"/>
  <c r="D205" i="108" s="1"/>
  <c r="D204" i="108" a="1"/>
  <c r="D204" i="108" s="1"/>
  <c r="D203" i="108" a="1"/>
  <c r="D203" i="108" s="1"/>
  <c r="D202" i="108" a="1"/>
  <c r="D202" i="108" s="1"/>
  <c r="H199" i="108" a="1"/>
  <c r="H199" i="108" s="1"/>
  <c r="G199" i="108" a="1"/>
  <c r="G199" i="108" s="1"/>
  <c r="F199" i="108" a="1"/>
  <c r="F199" i="108" s="1"/>
  <c r="E199" i="108" a="1"/>
  <c r="E199" i="108" s="1"/>
  <c r="D199" i="108" a="1"/>
  <c r="D199" i="108" s="1"/>
  <c r="H198" i="108" a="1"/>
  <c r="H198" i="108" s="1"/>
  <c r="G198" i="108" a="1"/>
  <c r="G198" i="108" s="1"/>
  <c r="F198" i="108" a="1"/>
  <c r="F198" i="108" s="1"/>
  <c r="E198" i="108" a="1"/>
  <c r="E198" i="108" s="1"/>
  <c r="D198" i="108" a="1"/>
  <c r="D198" i="108" s="1"/>
  <c r="H197" i="108" a="1"/>
  <c r="H197" i="108" s="1"/>
  <c r="G197" i="108" a="1"/>
  <c r="G197" i="108" s="1"/>
  <c r="F197" i="108" a="1"/>
  <c r="F197" i="108" s="1"/>
  <c r="E197" i="108" a="1"/>
  <c r="E197" i="108" s="1"/>
  <c r="D197" i="108" a="1"/>
  <c r="D197" i="108" s="1"/>
  <c r="H196" i="108" a="1"/>
  <c r="H196" i="108" s="1"/>
  <c r="G196" i="108" a="1"/>
  <c r="G196" i="108" s="1"/>
  <c r="F196" i="108" a="1"/>
  <c r="F196" i="108" s="1"/>
  <c r="E196" i="108" a="1"/>
  <c r="E196" i="108" s="1"/>
  <c r="D196" i="108" a="1"/>
  <c r="D196" i="108" s="1"/>
  <c r="H195" i="108" a="1"/>
  <c r="H195" i="108" s="1"/>
  <c r="G195" i="108" a="1"/>
  <c r="G195" i="108" s="1"/>
  <c r="F195" i="108" a="1"/>
  <c r="F195" i="108" s="1"/>
  <c r="E195" i="108" a="1"/>
  <c r="E195" i="108" s="1"/>
  <c r="D195" i="108" a="1"/>
  <c r="D195" i="108" s="1"/>
  <c r="H194" i="108" a="1"/>
  <c r="H194" i="108" s="1"/>
  <c r="G194" i="108" a="1"/>
  <c r="G194" i="108" s="1"/>
  <c r="F194" i="108" a="1"/>
  <c r="F194" i="108" s="1"/>
  <c r="E194" i="108" a="1"/>
  <c r="E194" i="108" s="1"/>
  <c r="D194" i="108" a="1"/>
  <c r="D194" i="108" s="1"/>
  <c r="H193" i="108" a="1"/>
  <c r="H193" i="108" s="1"/>
  <c r="G193" i="108" a="1"/>
  <c r="G193" i="108" s="1"/>
  <c r="F193" i="108" a="1"/>
  <c r="F193" i="108" s="1"/>
  <c r="E193" i="108" a="1"/>
  <c r="E193" i="108" s="1"/>
  <c r="D193" i="108" a="1"/>
  <c r="D193" i="108" s="1"/>
  <c r="H192" i="108" a="1"/>
  <c r="H192" i="108" s="1"/>
  <c r="G192" i="108" a="1"/>
  <c r="G192" i="108" s="1"/>
  <c r="F192" i="108" a="1"/>
  <c r="F192" i="108" s="1"/>
  <c r="E192" i="108" a="1"/>
  <c r="E192" i="108" s="1"/>
  <c r="D192" i="108" a="1"/>
  <c r="D192" i="108" s="1"/>
  <c r="H191" i="108" a="1"/>
  <c r="H191" i="108" s="1"/>
  <c r="G191" i="108" a="1"/>
  <c r="G191" i="108" s="1"/>
  <c r="F191" i="108" a="1"/>
  <c r="F191" i="108" s="1"/>
  <c r="E191" i="108" a="1"/>
  <c r="E191" i="108" s="1"/>
  <c r="D191" i="108" a="1"/>
  <c r="D191" i="108" s="1"/>
  <c r="H190" i="108" a="1"/>
  <c r="H190" i="108" s="1"/>
  <c r="G190" i="108" a="1"/>
  <c r="G190" i="108" s="1"/>
  <c r="F190" i="108" a="1"/>
  <c r="F190" i="108" s="1"/>
  <c r="E190" i="108" a="1"/>
  <c r="E190" i="108" s="1"/>
  <c r="D190" i="108" a="1"/>
  <c r="D190" i="108" s="1"/>
  <c r="H189" i="108" a="1"/>
  <c r="H189" i="108" s="1"/>
  <c r="G189" i="108" a="1"/>
  <c r="G189" i="108" s="1"/>
  <c r="F189" i="108" a="1"/>
  <c r="F189" i="108" s="1"/>
  <c r="E189" i="108" a="1"/>
  <c r="E189" i="108" s="1"/>
  <c r="D189" i="108" a="1"/>
  <c r="D189" i="108" s="1"/>
  <c r="H188" i="108" a="1"/>
  <c r="H188" i="108" s="1"/>
  <c r="G188" i="108" a="1"/>
  <c r="G188" i="108" s="1"/>
  <c r="F188" i="108" a="1"/>
  <c r="F188" i="108" s="1"/>
  <c r="E188" i="108" a="1"/>
  <c r="E188" i="108" s="1"/>
  <c r="D188" i="108" a="1"/>
  <c r="D188" i="108" s="1"/>
  <c r="H187" i="108" a="1"/>
  <c r="H187" i="108" s="1"/>
  <c r="G187" i="108" a="1"/>
  <c r="G187" i="108" s="1"/>
  <c r="F187" i="108" a="1"/>
  <c r="F187" i="108" s="1"/>
  <c r="E187" i="108" a="1"/>
  <c r="E187" i="108" s="1"/>
  <c r="D187" i="108" a="1"/>
  <c r="D187" i="108" s="1"/>
  <c r="D181" i="108" a="1"/>
  <c r="D181" i="108" s="1"/>
  <c r="D180" i="108" a="1"/>
  <c r="D180" i="108" s="1"/>
  <c r="D179" i="108" a="1"/>
  <c r="D179" i="108" s="1"/>
  <c r="D178" i="108" a="1"/>
  <c r="D178" i="108" s="1"/>
  <c r="E175" i="108" a="1"/>
  <c r="E175" i="108" s="1"/>
  <c r="D175" i="108" a="1"/>
  <c r="D175" i="108" s="1"/>
  <c r="D174" i="108" a="1"/>
  <c r="D174" i="108" s="1"/>
  <c r="D173" i="108" a="1"/>
  <c r="D173" i="108" s="1"/>
  <c r="D170" i="108" a="1"/>
  <c r="D170" i="108" s="1"/>
  <c r="D169" i="108" a="1"/>
  <c r="D169" i="108" s="1"/>
  <c r="D168" i="108" a="1"/>
  <c r="D168" i="108" s="1"/>
  <c r="D167" i="108" a="1"/>
  <c r="D167" i="108" s="1"/>
  <c r="D164" i="108" a="1"/>
  <c r="D164" i="108" s="1"/>
  <c r="D163" i="108" a="1"/>
  <c r="D163" i="108" s="1"/>
  <c r="D162" i="108" a="1"/>
  <c r="D162" i="108" s="1"/>
  <c r="D161" i="108" a="1"/>
  <c r="D161" i="108" s="1"/>
  <c r="E158" i="108" a="1"/>
  <c r="E158" i="108" s="1"/>
  <c r="D158" i="108" a="1"/>
  <c r="D158" i="108" s="1"/>
  <c r="E157" i="108" a="1"/>
  <c r="E157" i="108" s="1"/>
  <c r="D157" i="108" a="1"/>
  <c r="D157" i="108" s="1"/>
  <c r="E156" i="108" a="1"/>
  <c r="E156" i="108" s="1"/>
  <c r="D156" i="108" a="1"/>
  <c r="D156" i="108" s="1"/>
  <c r="E155" i="108" a="1"/>
  <c r="E155" i="108" s="1"/>
  <c r="D155" i="108" a="1"/>
  <c r="D155" i="108" s="1"/>
  <c r="E154" i="108" a="1"/>
  <c r="E154" i="108" s="1"/>
  <c r="D154" i="108" a="1"/>
  <c r="D154" i="108" s="1"/>
  <c r="D151" i="108" a="1"/>
  <c r="D151" i="108" s="1"/>
  <c r="D150" i="108" a="1"/>
  <c r="D150" i="108" s="1"/>
  <c r="E147" i="108" a="1"/>
  <c r="E147" i="108" s="1"/>
  <c r="D147" i="108" a="1"/>
  <c r="D147" i="108" s="1"/>
  <c r="E146" i="108" a="1"/>
  <c r="E146" i="108" s="1"/>
  <c r="D146" i="108" a="1"/>
  <c r="D146" i="108" s="1"/>
  <c r="E145" i="108" a="1"/>
  <c r="E145" i="108" s="1"/>
  <c r="D145" i="108" a="1"/>
  <c r="D145" i="108" s="1"/>
  <c r="E144" i="108" a="1"/>
  <c r="E144" i="108" s="1"/>
  <c r="D144" i="108" a="1"/>
  <c r="D144" i="108" s="1"/>
  <c r="E143" i="108" a="1"/>
  <c r="E143" i="108" s="1"/>
  <c r="D143" i="108" a="1"/>
  <c r="D143" i="108" s="1"/>
  <c r="D141" i="108" a="1"/>
  <c r="D141" i="108" s="1"/>
  <c r="D140" i="108" a="1"/>
  <c r="D140" i="108" s="1"/>
  <c r="D139" i="108" a="1"/>
  <c r="D139" i="108" s="1"/>
  <c r="E136" i="108" a="1"/>
  <c r="E136" i="108" s="1"/>
  <c r="D136" i="108" a="1"/>
  <c r="D136" i="108" s="1"/>
  <c r="E135" i="108" a="1"/>
  <c r="E135" i="108" s="1"/>
  <c r="D135" i="108" a="1"/>
  <c r="D135" i="108" s="1"/>
  <c r="D133" i="108" a="1"/>
  <c r="D133" i="108" s="1"/>
  <c r="D132" i="108"/>
  <c r="D132" i="108" a="1"/>
  <c r="E129" i="108" a="1"/>
  <c r="E129" i="108" s="1"/>
  <c r="D129" i="108" a="1"/>
  <c r="D129" i="108" s="1"/>
  <c r="E128" i="108" a="1"/>
  <c r="E128" i="108" s="1"/>
  <c r="D128" i="108" a="1"/>
  <c r="D128" i="108" s="1"/>
  <c r="D125" i="108" a="1"/>
  <c r="D125" i="108" s="1"/>
  <c r="D124" i="108" a="1"/>
  <c r="D124" i="108" s="1"/>
  <c r="G121" i="108" a="1"/>
  <c r="G121" i="108" s="1"/>
  <c r="F121" i="108" a="1"/>
  <c r="F121" i="108" s="1"/>
  <c r="E121" i="108" a="1"/>
  <c r="E121" i="108" s="1"/>
  <c r="D121" i="108" a="1"/>
  <c r="D121" i="108" s="1"/>
  <c r="G120" i="108" a="1"/>
  <c r="G120" i="108" s="1"/>
  <c r="F120" i="108" a="1"/>
  <c r="F120" i="108" s="1"/>
  <c r="E120" i="108" a="1"/>
  <c r="E120" i="108" s="1"/>
  <c r="D120" i="108" a="1"/>
  <c r="D120" i="108" s="1"/>
  <c r="D117" i="108" a="1"/>
  <c r="D117" i="108" s="1"/>
  <c r="D116" i="108"/>
  <c r="D116" i="108" a="1"/>
  <c r="D115" i="108" a="1"/>
  <c r="D115" i="108" s="1"/>
  <c r="G112" i="108" a="1"/>
  <c r="G112" i="108" s="1"/>
  <c r="F112" i="108" a="1"/>
  <c r="F112" i="108" s="1"/>
  <c r="E112" i="108" a="1"/>
  <c r="E112" i="108" s="1"/>
  <c r="D112" i="108" a="1"/>
  <c r="D112" i="108" s="1"/>
  <c r="G111" i="108" a="1"/>
  <c r="G111" i="108" s="1"/>
  <c r="F111" i="108" a="1"/>
  <c r="F111" i="108" s="1"/>
  <c r="E111" i="108" a="1"/>
  <c r="E111" i="108" s="1"/>
  <c r="D111" i="108" a="1"/>
  <c r="D111" i="108" s="1"/>
  <c r="G110" i="108" a="1"/>
  <c r="G110" i="108" s="1"/>
  <c r="F110" i="108" a="1"/>
  <c r="F110" i="108" s="1"/>
  <c r="E110" i="108" a="1"/>
  <c r="E110" i="108" s="1"/>
  <c r="D110" i="108" a="1"/>
  <c r="D110" i="108" s="1"/>
  <c r="D107" i="108" a="1"/>
  <c r="D107" i="108" s="1"/>
  <c r="D106" i="108" a="1"/>
  <c r="D106" i="108" s="1"/>
  <c r="D105" i="108" a="1"/>
  <c r="D105" i="108" s="1"/>
  <c r="D99" i="108" a="1"/>
  <c r="D99" i="108" s="1"/>
  <c r="S97" i="108" a="1"/>
  <c r="S97" i="108" s="1"/>
  <c r="R97" i="108" a="1"/>
  <c r="R97" i="108" s="1"/>
  <c r="Q97" i="108" a="1"/>
  <c r="Q97" i="108" s="1"/>
  <c r="P97" i="108" a="1"/>
  <c r="P97" i="108" s="1"/>
  <c r="O97" i="108" a="1"/>
  <c r="O97" i="108" s="1"/>
  <c r="N97" i="108" a="1"/>
  <c r="N97" i="108" s="1"/>
  <c r="M97" i="108" a="1"/>
  <c r="M97" i="108" s="1"/>
  <c r="L97" i="108" a="1"/>
  <c r="L97" i="108" s="1"/>
  <c r="K97" i="108" a="1"/>
  <c r="K97" i="108" s="1"/>
  <c r="J97" i="108" a="1"/>
  <c r="J97" i="108" s="1"/>
  <c r="I97" i="108" a="1"/>
  <c r="I97" i="108" s="1"/>
  <c r="H97" i="108" a="1"/>
  <c r="H97" i="108" s="1"/>
  <c r="G97" i="108" a="1"/>
  <c r="G97" i="108" s="1"/>
  <c r="F97" i="108" a="1"/>
  <c r="F97" i="108" s="1"/>
  <c r="E97" i="108" a="1"/>
  <c r="E97" i="108" s="1"/>
  <c r="D97" i="108" a="1"/>
  <c r="D97" i="108" s="1"/>
  <c r="S96" i="108" a="1"/>
  <c r="S96" i="108" s="1"/>
  <c r="R96" i="108" a="1"/>
  <c r="R96" i="108" s="1"/>
  <c r="Q96" i="108" a="1"/>
  <c r="Q96" i="108" s="1"/>
  <c r="P96" i="108" a="1"/>
  <c r="P96" i="108" s="1"/>
  <c r="O96" i="108" a="1"/>
  <c r="O96" i="108" s="1"/>
  <c r="N96" i="108" a="1"/>
  <c r="N96" i="108" s="1"/>
  <c r="M96" i="108" a="1"/>
  <c r="M96" i="108" s="1"/>
  <c r="L96" i="108" a="1"/>
  <c r="L96" i="108" s="1"/>
  <c r="K96" i="108" a="1"/>
  <c r="K96" i="108" s="1"/>
  <c r="J96" i="108" a="1"/>
  <c r="J96" i="108" s="1"/>
  <c r="I96" i="108" a="1"/>
  <c r="I96" i="108" s="1"/>
  <c r="H96" i="108" a="1"/>
  <c r="H96" i="108" s="1"/>
  <c r="G96" i="108" a="1"/>
  <c r="G96" i="108" s="1"/>
  <c r="F96" i="108" a="1"/>
  <c r="F96" i="108" s="1"/>
  <c r="E96" i="108" a="1"/>
  <c r="E96" i="108" s="1"/>
  <c r="D96" i="108" a="1"/>
  <c r="D96" i="108" s="1"/>
  <c r="S95" i="108" a="1"/>
  <c r="S95" i="108" s="1"/>
  <c r="R95" i="108" a="1"/>
  <c r="R95" i="108" s="1"/>
  <c r="Q95" i="108" a="1"/>
  <c r="Q95" i="108" s="1"/>
  <c r="P95" i="108" a="1"/>
  <c r="P95" i="108" s="1"/>
  <c r="O95" i="108" a="1"/>
  <c r="O95" i="108" s="1"/>
  <c r="N95" i="108" a="1"/>
  <c r="N95" i="108" s="1"/>
  <c r="M95" i="108" a="1"/>
  <c r="M95" i="108" s="1"/>
  <c r="L95" i="108" a="1"/>
  <c r="L95" i="108" s="1"/>
  <c r="K95" i="108" a="1"/>
  <c r="K95" i="108" s="1"/>
  <c r="J95" i="108" a="1"/>
  <c r="J95" i="108" s="1"/>
  <c r="I95" i="108" a="1"/>
  <c r="I95" i="108" s="1"/>
  <c r="H95" i="108" a="1"/>
  <c r="H95" i="108" s="1"/>
  <c r="G95" i="108" a="1"/>
  <c r="G95" i="108" s="1"/>
  <c r="F95" i="108" a="1"/>
  <c r="F95" i="108" s="1"/>
  <c r="E95" i="108" a="1"/>
  <c r="E95" i="108" s="1"/>
  <c r="D95" i="108" a="1"/>
  <c r="D95" i="108" s="1"/>
  <c r="S94" i="108" a="1"/>
  <c r="S94" i="108" s="1"/>
  <c r="R94" i="108" a="1"/>
  <c r="R94" i="108" s="1"/>
  <c r="Q94" i="108" a="1"/>
  <c r="Q94" i="108" s="1"/>
  <c r="P94" i="108" a="1"/>
  <c r="P94" i="108" s="1"/>
  <c r="O94" i="108" a="1"/>
  <c r="O94" i="108" s="1"/>
  <c r="N94" i="108" a="1"/>
  <c r="N94" i="108" s="1"/>
  <c r="M94" i="108" a="1"/>
  <c r="M94" i="108" s="1"/>
  <c r="L94" i="108" a="1"/>
  <c r="L94" i="108" s="1"/>
  <c r="K94" i="108" a="1"/>
  <c r="K94" i="108" s="1"/>
  <c r="J94" i="108" a="1"/>
  <c r="J94" i="108" s="1"/>
  <c r="I94" i="108" a="1"/>
  <c r="I94" i="108" s="1"/>
  <c r="H94" i="108" a="1"/>
  <c r="H94" i="108" s="1"/>
  <c r="G94" i="108" a="1"/>
  <c r="G94" i="108" s="1"/>
  <c r="F94" i="108" a="1"/>
  <c r="F94" i="108" s="1"/>
  <c r="E94" i="108" a="1"/>
  <c r="E94" i="108" s="1"/>
  <c r="D94" i="108" a="1"/>
  <c r="D94" i="108" s="1"/>
  <c r="S93" i="108" a="1"/>
  <c r="S93" i="108" s="1"/>
  <c r="R93" i="108" a="1"/>
  <c r="R93" i="108" s="1"/>
  <c r="Q93" i="108" a="1"/>
  <c r="Q93" i="108" s="1"/>
  <c r="P93" i="108" a="1"/>
  <c r="P93" i="108" s="1"/>
  <c r="O93" i="108" a="1"/>
  <c r="O93" i="108" s="1"/>
  <c r="N93" i="108" a="1"/>
  <c r="N93" i="108" s="1"/>
  <c r="M93" i="108" a="1"/>
  <c r="M93" i="108" s="1"/>
  <c r="L93" i="108" a="1"/>
  <c r="L93" i="108" s="1"/>
  <c r="K93" i="108" a="1"/>
  <c r="K93" i="108" s="1"/>
  <c r="J93" i="108" a="1"/>
  <c r="J93" i="108" s="1"/>
  <c r="I93" i="108" a="1"/>
  <c r="I93" i="108" s="1"/>
  <c r="H93" i="108" a="1"/>
  <c r="H93" i="108" s="1"/>
  <c r="G93" i="108" a="1"/>
  <c r="G93" i="108" s="1"/>
  <c r="F93" i="108" a="1"/>
  <c r="F93" i="108" s="1"/>
  <c r="E93" i="108" a="1"/>
  <c r="E93" i="108" s="1"/>
  <c r="D93" i="108" a="1"/>
  <c r="D93" i="108" s="1"/>
  <c r="S92" i="108" a="1"/>
  <c r="S92" i="108" s="1"/>
  <c r="R92" i="108" a="1"/>
  <c r="R92" i="108" s="1"/>
  <c r="Q92" i="108" a="1"/>
  <c r="Q92" i="108" s="1"/>
  <c r="P92" i="108" a="1"/>
  <c r="P92" i="108" s="1"/>
  <c r="O92" i="108" a="1"/>
  <c r="O92" i="108" s="1"/>
  <c r="N92" i="108" a="1"/>
  <c r="N92" i="108" s="1"/>
  <c r="M92" i="108" a="1"/>
  <c r="M92" i="108" s="1"/>
  <c r="L92" i="108" a="1"/>
  <c r="L92" i="108" s="1"/>
  <c r="K92" i="108" a="1"/>
  <c r="K92" i="108" s="1"/>
  <c r="J92" i="108" a="1"/>
  <c r="J92" i="108" s="1"/>
  <c r="I92" i="108" a="1"/>
  <c r="I92" i="108" s="1"/>
  <c r="H92" i="108" a="1"/>
  <c r="H92" i="108" s="1"/>
  <c r="G92" i="108" a="1"/>
  <c r="G92" i="108" s="1"/>
  <c r="F92" i="108" a="1"/>
  <c r="F92" i="108" s="1"/>
  <c r="E92" i="108" a="1"/>
  <c r="E92" i="108" s="1"/>
  <c r="D92" i="108" a="1"/>
  <c r="D92" i="108" s="1"/>
  <c r="S91" i="108" a="1"/>
  <c r="S91" i="108" s="1"/>
  <c r="R91" i="108" a="1"/>
  <c r="R91" i="108" s="1"/>
  <c r="Q91" i="108" a="1"/>
  <c r="Q91" i="108" s="1"/>
  <c r="P91" i="108" a="1"/>
  <c r="P91" i="108" s="1"/>
  <c r="O91" i="108" a="1"/>
  <c r="O91" i="108" s="1"/>
  <c r="N91" i="108" a="1"/>
  <c r="N91" i="108" s="1"/>
  <c r="M91" i="108" a="1"/>
  <c r="M91" i="108" s="1"/>
  <c r="L91" i="108" a="1"/>
  <c r="L91" i="108" s="1"/>
  <c r="K91" i="108" a="1"/>
  <c r="K91" i="108" s="1"/>
  <c r="J91" i="108" a="1"/>
  <c r="J91" i="108" s="1"/>
  <c r="I91" i="108" a="1"/>
  <c r="I91" i="108" s="1"/>
  <c r="H91" i="108" a="1"/>
  <c r="H91" i="108" s="1"/>
  <c r="G91" i="108" a="1"/>
  <c r="G91" i="108" s="1"/>
  <c r="F91" i="108" a="1"/>
  <c r="F91" i="108" s="1"/>
  <c r="E91" i="108" a="1"/>
  <c r="E91" i="108" s="1"/>
  <c r="D91" i="108" a="1"/>
  <c r="D91" i="108" s="1"/>
  <c r="S90" i="108" a="1"/>
  <c r="S90" i="108" s="1"/>
  <c r="R90" i="108" a="1"/>
  <c r="R90" i="108" s="1"/>
  <c r="Q90" i="108" a="1"/>
  <c r="Q90" i="108" s="1"/>
  <c r="P90" i="108" a="1"/>
  <c r="P90" i="108" s="1"/>
  <c r="O90" i="108" a="1"/>
  <c r="O90" i="108" s="1"/>
  <c r="N90" i="108" a="1"/>
  <c r="N90" i="108" s="1"/>
  <c r="M90" i="108" a="1"/>
  <c r="M90" i="108" s="1"/>
  <c r="L90" i="108" a="1"/>
  <c r="L90" i="108" s="1"/>
  <c r="K90" i="108" a="1"/>
  <c r="K90" i="108" s="1"/>
  <c r="J90" i="108" a="1"/>
  <c r="J90" i="108" s="1"/>
  <c r="I90" i="108" a="1"/>
  <c r="I90" i="108" s="1"/>
  <c r="H90" i="108" a="1"/>
  <c r="H90" i="108" s="1"/>
  <c r="G90" i="108" a="1"/>
  <c r="G90" i="108" s="1"/>
  <c r="F90" i="108" a="1"/>
  <c r="F90" i="108" s="1"/>
  <c r="E90" i="108" a="1"/>
  <c r="E90" i="108" s="1"/>
  <c r="D90" i="108" a="1"/>
  <c r="D90" i="108" s="1"/>
  <c r="D83" i="108" a="1"/>
  <c r="D83" i="108" s="1"/>
  <c r="D82" i="108" a="1"/>
  <c r="D82" i="108" s="1"/>
  <c r="D81" i="108" a="1"/>
  <c r="D81" i="108" s="1"/>
  <c r="E77" i="108" a="1"/>
  <c r="E77" i="108" s="1"/>
  <c r="D77" i="108" a="1"/>
  <c r="D77" i="108" s="1"/>
  <c r="E76" i="108" a="1"/>
  <c r="E76" i="108" s="1"/>
  <c r="D76" i="108" a="1"/>
  <c r="D76" i="108" s="1"/>
  <c r="E75" i="108" a="1"/>
  <c r="E75" i="108" s="1"/>
  <c r="D75" i="108" a="1"/>
  <c r="D75" i="108" s="1"/>
  <c r="E74" i="108" a="1"/>
  <c r="E74" i="108" s="1"/>
  <c r="D74" i="108" a="1"/>
  <c r="D74" i="108" s="1"/>
  <c r="E73" i="108" a="1"/>
  <c r="E73" i="108" s="1"/>
  <c r="D73" i="108" a="1"/>
  <c r="D73" i="108" s="1"/>
  <c r="E72" i="108" a="1"/>
  <c r="E72" i="108" s="1"/>
  <c r="D72" i="108" a="1"/>
  <c r="D72" i="108" s="1"/>
  <c r="E71" i="108" a="1"/>
  <c r="E71" i="108" s="1"/>
  <c r="D71" i="108" a="1"/>
  <c r="D71" i="108" s="1"/>
  <c r="E70" i="108" a="1"/>
  <c r="E70" i="108" s="1"/>
  <c r="D70" i="108" a="1"/>
  <c r="D70" i="108" s="1"/>
  <c r="E69" i="108" a="1"/>
  <c r="E69" i="108" s="1"/>
  <c r="D69" i="108" a="1"/>
  <c r="D69" i="108" s="1"/>
  <c r="E68" i="108" a="1"/>
  <c r="E68" i="108" s="1"/>
  <c r="D68" i="108" a="1"/>
  <c r="D68" i="108" s="1"/>
  <c r="E67" i="108" a="1"/>
  <c r="E67" i="108" s="1"/>
  <c r="D67" i="108" a="1"/>
  <c r="D67" i="108" s="1"/>
  <c r="E66" i="108" a="1"/>
  <c r="E66" i="108" s="1"/>
  <c r="D66" i="108" a="1"/>
  <c r="D66" i="108" s="1"/>
  <c r="E65" i="108" a="1"/>
  <c r="E65" i="108" s="1"/>
  <c r="D65" i="108" a="1"/>
  <c r="D65" i="108" s="1"/>
  <c r="E64" i="108" a="1"/>
  <c r="E64" i="108" s="1"/>
  <c r="D64" i="108" a="1"/>
  <c r="D64" i="108" s="1"/>
  <c r="D59" i="108" a="1"/>
  <c r="D59" i="108" s="1"/>
  <c r="D58" i="108" a="1"/>
  <c r="D58" i="108" s="1"/>
  <c r="D57" i="108" a="1"/>
  <c r="D57" i="108" s="1"/>
  <c r="G54" i="108" a="1"/>
  <c r="G54" i="108" s="1"/>
  <c r="F54" i="108" a="1"/>
  <c r="F54" i="108" s="1"/>
  <c r="E54" i="108" a="1"/>
  <c r="E54" i="108" s="1"/>
  <c r="D54" i="108" a="1"/>
  <c r="D54" i="108" s="1"/>
  <c r="G53" i="108" a="1"/>
  <c r="G53" i="108" s="1"/>
  <c r="F53" i="108" a="1"/>
  <c r="F53" i="108" s="1"/>
  <c r="E53" i="108" a="1"/>
  <c r="E53" i="108" s="1"/>
  <c r="D53" i="108" a="1"/>
  <c r="D53" i="108" s="1"/>
  <c r="G52" i="108" a="1"/>
  <c r="G52" i="108" s="1"/>
  <c r="F52" i="108" a="1"/>
  <c r="F52" i="108" s="1"/>
  <c r="E52" i="108" a="1"/>
  <c r="E52" i="108" s="1"/>
  <c r="D52" i="108" a="1"/>
  <c r="D52" i="108" s="1"/>
  <c r="G51" i="108" a="1"/>
  <c r="G51" i="108" s="1"/>
  <c r="F51" i="108" a="1"/>
  <c r="F51" i="108" s="1"/>
  <c r="E51" i="108" a="1"/>
  <c r="E51" i="108" s="1"/>
  <c r="D51" i="108" a="1"/>
  <c r="D51" i="108" s="1"/>
  <c r="G50" i="108" a="1"/>
  <c r="G50" i="108" s="1"/>
  <c r="F50" i="108" a="1"/>
  <c r="F50" i="108" s="1"/>
  <c r="E50" i="108" a="1"/>
  <c r="E50" i="108" s="1"/>
  <c r="D50" i="108" a="1"/>
  <c r="D50" i="108" s="1"/>
  <c r="G49" i="108" a="1"/>
  <c r="G49" i="108" s="1"/>
  <c r="F49" i="108" a="1"/>
  <c r="F49" i="108" s="1"/>
  <c r="E49" i="108" a="1"/>
  <c r="E49" i="108" s="1"/>
  <c r="D49" i="108" a="1"/>
  <c r="D49" i="108" s="1"/>
  <c r="G48" i="108" a="1"/>
  <c r="G48" i="108" s="1"/>
  <c r="F48" i="108" a="1"/>
  <c r="F48" i="108" s="1"/>
  <c r="E48" i="108" a="1"/>
  <c r="E48" i="108" s="1"/>
  <c r="D48" i="108" a="1"/>
  <c r="D48" i="108" s="1"/>
  <c r="D46" i="108"/>
  <c r="D46" i="108" a="1"/>
  <c r="D45" i="108" a="1"/>
  <c r="D45" i="108" s="1"/>
  <c r="E43" i="108" a="1"/>
  <c r="E43" i="108" s="1"/>
  <c r="D43" i="108" a="1"/>
  <c r="D43" i="108" s="1"/>
  <c r="E42" i="108" a="1"/>
  <c r="E42" i="108" s="1"/>
  <c r="D42" i="108" a="1"/>
  <c r="D42" i="108" s="1"/>
  <c r="E41" i="108" a="1"/>
  <c r="E41" i="108" s="1"/>
  <c r="D41" i="108" a="1"/>
  <c r="D41" i="108" s="1"/>
  <c r="E40" i="108" a="1"/>
  <c r="E40" i="108" s="1"/>
  <c r="D40" i="108" a="1"/>
  <c r="D40" i="108" s="1"/>
  <c r="E39" i="108" a="1"/>
  <c r="E39" i="108" s="1"/>
  <c r="D39" i="108" a="1"/>
  <c r="D39" i="108" s="1"/>
  <c r="E38" i="108" a="1"/>
  <c r="E38" i="108" s="1"/>
  <c r="D38" i="108" a="1"/>
  <c r="D38" i="108" s="1"/>
  <c r="E37" i="108" a="1"/>
  <c r="E37" i="108" s="1"/>
  <c r="D37" i="108" a="1"/>
  <c r="D37" i="108" s="1"/>
  <c r="D35" i="108" a="1"/>
  <c r="D35" i="108" s="1"/>
  <c r="D34" i="108" a="1"/>
  <c r="D34" i="108" s="1"/>
  <c r="D30" i="108" a="1"/>
  <c r="D30" i="108" s="1"/>
  <c r="D29" i="108" a="1"/>
  <c r="D29" i="108" s="1"/>
  <c r="D28" i="108" a="1"/>
  <c r="D28" i="108" s="1"/>
  <c r="D27" i="108" a="1"/>
  <c r="D27" i="108" s="1"/>
  <c r="D26" i="108" a="1"/>
  <c r="D26" i="108" s="1"/>
  <c r="D25" i="108" a="1"/>
  <c r="D25" i="108" s="1"/>
  <c r="D24" i="108" a="1"/>
  <c r="D24" i="108" s="1"/>
  <c r="D23" i="108" a="1"/>
  <c r="D23" i="108" s="1"/>
  <c r="D22" i="108" a="1"/>
  <c r="D22" i="108" s="1"/>
  <c r="D21" i="108" a="1"/>
  <c r="D21" i="108" s="1"/>
  <c r="D19" i="108"/>
  <c r="D19" i="108" a="1"/>
  <c r="D18" i="108" a="1"/>
  <c r="D18" i="108" s="1"/>
  <c r="F14" i="108" a="1"/>
  <c r="F14" i="108" s="1"/>
  <c r="E14" i="108" a="1"/>
  <c r="E14" i="108" s="1"/>
  <c r="D14" i="108" a="1"/>
  <c r="D14" i="108" s="1"/>
  <c r="F13" i="108" a="1"/>
  <c r="F13" i="108" s="1"/>
  <c r="E13" i="108" a="1"/>
  <c r="E13" i="108" s="1"/>
  <c r="D13" i="108" a="1"/>
  <c r="D13" i="108" s="1"/>
  <c r="F12" i="108" a="1"/>
  <c r="F12" i="108" s="1"/>
  <c r="E12" i="108" a="1"/>
  <c r="E12" i="108" s="1"/>
  <c r="D12" i="108" a="1"/>
  <c r="D12" i="108" s="1"/>
  <c r="F11" i="108" a="1"/>
  <c r="F11" i="108" s="1"/>
  <c r="E11" i="108" a="1"/>
  <c r="E11" i="108" s="1"/>
  <c r="D11" i="108" a="1"/>
  <c r="D11" i="108" s="1"/>
  <c r="F10" i="108" a="1"/>
  <c r="F10" i="108" s="1"/>
  <c r="E10" i="108" a="1"/>
  <c r="E10" i="108" s="1"/>
  <c r="D10" i="108" a="1"/>
  <c r="D10" i="108" s="1"/>
  <c r="F9" i="108" a="1"/>
  <c r="F9" i="108" s="1"/>
  <c r="E9" i="108" a="1"/>
  <c r="E9" i="108" s="1"/>
  <c r="D9" i="108" a="1"/>
  <c r="D9" i="108" s="1"/>
  <c r="F8" i="108" a="1"/>
  <c r="F8" i="108" s="1"/>
  <c r="E8" i="108" a="1"/>
  <c r="E8" i="108" s="1"/>
  <c r="D8" i="108" a="1"/>
  <c r="D8" i="108" s="1"/>
  <c r="A8" i="108"/>
  <c r="F7" i="108" a="1"/>
  <c r="F7" i="108" s="1"/>
  <c r="E7" i="108" a="1"/>
  <c r="E7" i="108" s="1"/>
  <c r="D7" i="108" a="1"/>
  <c r="D7" i="108" s="1"/>
  <c r="A7" i="108"/>
  <c r="D5" i="108"/>
  <c r="D5" i="108" a="1"/>
  <c r="A3" i="108"/>
  <c r="A8" i="71"/>
  <c r="A7" i="71"/>
  <c r="A3" i="71"/>
  <c r="E29" i="15"/>
  <c r="E13" i="15"/>
  <c r="D22" i="70" s="1"/>
  <c r="E93" i="69" s="1"/>
  <c r="A24" i="43"/>
  <c r="A23" i="43"/>
  <c r="A22" i="43"/>
  <c r="A21" i="43"/>
  <c r="A17" i="43"/>
  <c r="A16" i="43"/>
  <c r="A15" i="43"/>
  <c r="A14" i="43"/>
  <c r="A10" i="43"/>
  <c r="A9" i="43"/>
  <c r="A5" i="43"/>
  <c r="A4" i="43"/>
  <c r="A3" i="43"/>
  <c r="A24" i="79"/>
  <c r="A23" i="79"/>
  <c r="A22" i="79"/>
  <c r="A21" i="79"/>
  <c r="A17" i="79"/>
  <c r="A16" i="79"/>
  <c r="A15" i="79"/>
  <c r="A14" i="79"/>
  <c r="A10" i="79"/>
  <c r="A9" i="79"/>
  <c r="A5" i="79"/>
  <c r="A4" i="79"/>
  <c r="A3" i="79"/>
  <c r="A24" i="104"/>
  <c r="A23" i="104"/>
  <c r="A22" i="104"/>
  <c r="A21" i="104"/>
  <c r="A17" i="104"/>
  <c r="A16" i="104"/>
  <c r="A15" i="104"/>
  <c r="A14" i="104"/>
  <c r="A10" i="104"/>
  <c r="A9" i="104"/>
  <c r="A5" i="104"/>
  <c r="A4" i="104"/>
  <c r="A3" i="104"/>
  <c r="A24" i="103"/>
  <c r="A23" i="103"/>
  <c r="A22" i="103"/>
  <c r="A21" i="103"/>
  <c r="A17" i="103"/>
  <c r="A16" i="103"/>
  <c r="A15" i="103"/>
  <c r="A14" i="103"/>
  <c r="A10" i="103"/>
  <c r="A9" i="103"/>
  <c r="A5" i="103"/>
  <c r="A4" i="103"/>
  <c r="A3" i="103"/>
  <c r="A24" i="102"/>
  <c r="A23" i="102"/>
  <c r="A22" i="102"/>
  <c r="A21" i="102"/>
  <c r="A17" i="102"/>
  <c r="A16" i="102"/>
  <c r="A15" i="102"/>
  <c r="A14" i="102"/>
  <c r="A10" i="102"/>
  <c r="A9" i="102"/>
  <c r="A5" i="102"/>
  <c r="A4" i="102"/>
  <c r="A3" i="102"/>
  <c r="A24" i="69"/>
  <c r="A23" i="69"/>
  <c r="A22" i="69"/>
  <c r="A21" i="69"/>
  <c r="A17" i="69"/>
  <c r="A16" i="69"/>
  <c r="A15" i="69"/>
  <c r="A14" i="69"/>
  <c r="A10" i="69"/>
  <c r="A9" i="69"/>
  <c r="A5" i="69"/>
  <c r="A4" i="69"/>
  <c r="A3" i="69"/>
  <c r="A24" i="70"/>
  <c r="A23" i="70"/>
  <c r="A22" i="70"/>
  <c r="A21" i="70"/>
  <c r="A17" i="70"/>
  <c r="A16" i="70"/>
  <c r="A15" i="70"/>
  <c r="A14" i="70"/>
  <c r="A10" i="70"/>
  <c r="A9" i="70"/>
  <c r="A5" i="70"/>
  <c r="A4" i="70"/>
  <c r="A3" i="70"/>
  <c r="A24" i="15"/>
  <c r="A23" i="15"/>
  <c r="A22" i="15"/>
  <c r="A21" i="15"/>
  <c r="A17" i="15"/>
  <c r="A16" i="15"/>
  <c r="A15" i="15"/>
  <c r="A14" i="15"/>
  <c r="A10" i="15"/>
  <c r="A9" i="15"/>
  <c r="A5" i="15"/>
  <c r="A4" i="15"/>
  <c r="A3" i="15"/>
  <c r="A24" i="13"/>
  <c r="A23" i="13"/>
  <c r="A22" i="13"/>
  <c r="A21" i="13"/>
  <c r="A17" i="13"/>
  <c r="A16" i="13"/>
  <c r="A15" i="13"/>
  <c r="A14" i="13"/>
  <c r="A10" i="13"/>
  <c r="A9" i="13"/>
  <c r="A5" i="13"/>
  <c r="A4" i="13"/>
  <c r="A3" i="13"/>
  <c r="A24" i="100"/>
  <c r="A23" i="100"/>
  <c r="A22" i="100"/>
  <c r="A21" i="100"/>
  <c r="A17" i="100"/>
  <c r="A16" i="100"/>
  <c r="A15" i="100"/>
  <c r="A14" i="100"/>
  <c r="A10" i="100"/>
  <c r="A9" i="100"/>
  <c r="A5" i="100"/>
  <c r="A4" i="100"/>
  <c r="A3" i="100"/>
  <c r="J17" i="69"/>
  <c r="I16" i="104"/>
  <c r="F42" i="104"/>
  <c r="E42" i="104"/>
  <c r="F41" i="104"/>
  <c r="E41" i="104"/>
  <c r="F40" i="104"/>
  <c r="E40" i="104"/>
  <c r="F39" i="104"/>
  <c r="E39" i="104"/>
  <c r="F38" i="104"/>
  <c r="E38" i="104"/>
  <c r="F37" i="104"/>
  <c r="E37" i="104"/>
  <c r="F36" i="104"/>
  <c r="E36" i="104"/>
  <c r="F35" i="104"/>
  <c r="E35" i="104"/>
  <c r="F67" i="103"/>
  <c r="F66" i="103"/>
  <c r="F65" i="103"/>
  <c r="F64" i="103"/>
  <c r="E67" i="103"/>
  <c r="E66" i="103"/>
  <c r="E65" i="103"/>
  <c r="E64" i="103"/>
  <c r="F63" i="103"/>
  <c r="E63" i="103"/>
  <c r="F62" i="103"/>
  <c r="F61" i="103"/>
  <c r="E62" i="103"/>
  <c r="E61" i="103"/>
  <c r="F60" i="103"/>
  <c r="E60" i="103"/>
  <c r="E27" i="102"/>
  <c r="E26" i="102"/>
  <c r="E25" i="102"/>
  <c r="E24" i="102"/>
  <c r="E23" i="102"/>
  <c r="E99" i="69"/>
  <c r="E98" i="69"/>
  <c r="E97" i="69"/>
  <c r="E96" i="69"/>
  <c r="E95" i="69"/>
  <c r="T18" i="69"/>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I14" i="103"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59" i="102" a="1"/>
  <c r="E7" i="104" a="1"/>
  <c r="E7" i="69" a="1"/>
  <c r="E62" i="104" a="1"/>
  <c r="E78" i="69" a="1"/>
  <c r="E7" i="102" a="1"/>
  <c r="E44" i="103" a="1"/>
  <c r="E7" i="103" a="1"/>
  <c r="H49" i="108" l="1"/>
  <c r="H54" i="108"/>
  <c r="H51" i="108"/>
  <c r="H48" i="108"/>
  <c r="I68" i="102"/>
  <c r="G65" i="103"/>
  <c r="D36" i="70"/>
  <c r="D50" i="70"/>
  <c r="H52" i="108"/>
  <c r="D8" i="70"/>
  <c r="E92" i="69" s="1"/>
  <c r="H53" i="108"/>
  <c r="H50" i="108"/>
  <c r="E21" i="102"/>
  <c r="Q104" i="69"/>
  <c r="I60" i="103"/>
  <c r="E7" i="103"/>
  <c r="E62" i="104"/>
  <c r="E7" i="104"/>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E20" i="102" l="1"/>
  <c r="E22" i="102"/>
  <c r="E94" i="69"/>
  <c r="G67" i="103"/>
  <c r="G61" i="103"/>
  <c r="G66" i="103"/>
  <c r="G60" i="103"/>
  <c r="G62" i="103"/>
  <c r="G63" i="103"/>
  <c r="G64" i="103"/>
  <c r="F31" i="103"/>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F53" i="69" l="1"/>
  <c r="E47" i="69"/>
  <c r="F48" i="69"/>
  <c r="E51" i="69"/>
  <c r="F50" i="69"/>
  <c r="F54" i="69"/>
  <c r="F47" i="69"/>
  <c r="E49" i="69"/>
  <c r="E52" i="69"/>
  <c r="F51" i="69"/>
  <c r="F49" i="69"/>
  <c r="E54" i="69"/>
  <c r="E48" i="69"/>
  <c r="E53" i="69"/>
  <c r="F52" i="69"/>
  <c r="E50" i="69"/>
  <c r="E37" i="102"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E26" i="104" l="1"/>
  <c r="E22" i="103"/>
  <c r="E34" i="103" s="1" a="1"/>
  <c r="E34" i="103" s="1"/>
  <c r="E29" i="104"/>
  <c r="E25" i="103"/>
  <c r="E37" i="103" s="1" a="1"/>
  <c r="E37" i="103" s="1"/>
  <c r="E24" i="104"/>
  <c r="E20" i="103"/>
  <c r="E32" i="103" s="1" a="1"/>
  <c r="E32" i="103" s="1"/>
  <c r="E26" i="103"/>
  <c r="E38" i="103" s="1" a="1"/>
  <c r="E38" i="103" s="1"/>
  <c r="E30" i="104"/>
  <c r="E28" i="104"/>
  <c r="E24" i="103"/>
  <c r="E36" i="103" s="1" a="1"/>
  <c r="E36" i="103" s="1"/>
  <c r="E23" i="104"/>
  <c r="E19" i="103"/>
  <c r="E31" i="103" s="1" a="1"/>
  <c r="E31" i="103" s="1"/>
  <c r="E25" i="104"/>
  <c r="E21" i="103"/>
  <c r="E33" i="103" s="1" a="1"/>
  <c r="E33" i="103" s="1"/>
  <c r="E27" i="104"/>
  <c r="E23" i="103"/>
  <c r="E35" i="103" s="1" a="1"/>
  <c r="E35"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O67" i="69" a="1"/>
  <c r="O67" i="69" s="1"/>
  <c r="O106" i="69" s="1" a="1"/>
  <c r="O106" i="69" s="1"/>
  <c r="E60" i="69" a="1"/>
  <c r="E60" i="69" s="1"/>
  <c r="E59" i="69" a="1"/>
  <c r="E59" i="69" s="1"/>
  <c r="P70" i="69" a="1"/>
  <c r="P70" i="69" s="1"/>
  <c r="P109" i="69" s="1" a="1"/>
  <c r="P109" i="69" s="1"/>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G115" i="69" l="1"/>
  <c r="E118" i="69" s="1" a="1"/>
  <c r="E118" i="69" s="1"/>
  <c r="H7" i="13" s="1"/>
  <c r="H11" i="13" s="1"/>
  <c r="E7"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<sst xmlns="http://schemas.openxmlformats.org/spreadsheetml/2006/main" count="622" uniqueCount="294">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</sst>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3"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4"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3"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7" fillId="4" borderId="0">
      <alignment horizontal="left" vertical="center"/>
    </xf>
    <xf numFmtId="0" fontId="48" fillId="4" borderId="0">
      <alignment horizontal="left" vertical="center"/>
    </xf>
    <xf numFmtId="0" fontId="54" fillId="4" borderId="0">
      <alignment horizontal="left" vertical="center"/>
    </xf>
    <xf numFmtId="0" fontId="46" fillId="11" borderId="0">
      <alignment horizontal="center" vertical="center"/>
    </xf>
    <xf numFmtId="0" fontId="22" fillId="11" borderId="0">
      <alignment horizontal="left" vertical="center" indent="1"/>
    </xf>
    <xf numFmtId="0" fontId="58" fillId="14" borderId="2">
      <alignment horizontal="center" vertical="center"/>
    </xf>
    <xf numFmtId="0" fontId="59" fillId="15" borderId="2">
      <alignment horizontal="center" vertical="center"/>
    </xf>
    <xf numFmtId="0" fontId="35" fillId="4" borderId="2">
      <alignment horizontal="left" vertical="center"/>
    </xf>
    <xf numFmtId="0" fontId="60" fillId="4" borderId="2">
      <alignment horizontal="left" vertical="center"/>
    </xf>
  </cellStyleXfs>
  <cellXfs count="126">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4"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4" fillId="13" borderId="10" xfId="41" applyBorder="1">
      <alignment horizontal="left" vertical="center"/>
    </xf>
    <xf numFmtId="0" fontId="44" fillId="13" borderId="12" xfId="41" applyBorder="1">
      <alignment horizontal="left" vertical="center"/>
    </xf>
    <xf numFmtId="0" fontId="44" fillId="13" borderId="14" xfId="41" applyBorder="1">
      <alignment horizontal="left" vertical="center"/>
    </xf>
    <xf numFmtId="0" fontId="44" fillId="13" borderId="13" xfId="41" applyBorder="1">
      <alignment horizontal="left" vertical="center"/>
    </xf>
    <xf numFmtId="0" fontId="44" fillId="13" borderId="15" xfId="41" applyBorder="1">
      <alignment horizontal="left" vertical="center"/>
    </xf>
    <xf numFmtId="0" fontId="44" fillId="13" borderId="17" xfId="41" applyBorder="1">
      <alignment horizontal="left" vertical="center"/>
    </xf>
    <xf numFmtId="0" fontId="44" fillId="13" borderId="11" xfId="41" applyBorder="1">
      <alignment horizontal="left" vertical="center"/>
    </xf>
    <xf numFmtId="0" fontId="44" fillId="13" borderId="16" xfId="41" applyBorder="1">
      <alignment horizontal="left" vertical="center"/>
    </xf>
    <xf numFmtId="0" fontId="44" fillId="13" borderId="18" xfId="41" applyBorder="1">
      <alignment horizontal="left" vertical="center"/>
    </xf>
    <xf numFmtId="0" fontId="45" fillId="13" borderId="9" xfId="41" applyFont="1" applyBorder="1">
      <alignment horizontal="left" vertical="center"/>
    </xf>
    <xf numFmtId="0" fontId="48" fillId="4" borderId="0" xfId="61">
      <alignment horizontal="left" vertical="center"/>
    </xf>
    <xf numFmtId="0" fontId="47"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49" fillId="4" borderId="1" xfId="8" applyFont="1" applyBorder="1">
      <alignment horizontal="left" vertical="center"/>
    </xf>
    <xf numFmtId="0" fontId="50" fillId="4" borderId="1" xfId="8" applyFont="1" applyBorder="1">
      <alignment horizontal="left" vertical="center"/>
    </xf>
    <xf numFmtId="0" fontId="51"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4"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1" fillId="4" borderId="1" xfId="8" applyFont="1" applyBorder="1">
      <alignment horizontal="left" vertical="center"/>
    </xf>
    <xf numFmtId="2" fontId="32" fillId="4" borderId="1" xfId="0" applyNumberFormat="1" applyFont="1" applyFill="1" applyBorder="1" applyAlignment="1">
      <alignment horizontal="center"/>
    </xf>
    <xf numFmtId="0" fontId="46" fillId="11" borderId="0" xfId="63">
      <alignment horizontal="center" vertical="center"/>
    </xf>
    <xf numFmtId="0" fontId="22" fillId="11" borderId="0" xfId="64">
      <alignment horizontal="left" vertical="center" indent="1"/>
    </xf>
    <xf numFmtId="0" fontId="57" fillId="0" borderId="0" xfId="2" applyFont="1"/>
    <xf numFmtId="0" fontId="58" fillId="14" borderId="2" xfId="65">
      <alignment horizontal="center" vertical="center"/>
    </xf>
    <xf numFmtId="0" fontId="59" fillId="15" borderId="2" xfId="66">
      <alignment horizontal="center" vertical="center"/>
    </xf>
    <xf numFmtId="0" fontId="35" fillId="4" borderId="2" xfId="67">
      <alignment horizontal="left" vertical="center"/>
    </xf>
    <xf numFmtId="0" fontId="60"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39" fillId="9" borderId="0" xfId="8" applyFill="1">
      <alignment horizontal="left" vertical="center"/>
    </xf>
    <xf numFmtId="0" fontId="17" fillId="11" borderId="0" xfId="32" applyFill="1">
      <alignment vertical="center"/>
    </xf>
    <xf numFmtId="0" fontId="44" fillId="13" borderId="20" xfId="41" applyBorder="1">
      <alignment horizontal="left" vertical="center"/>
    </xf>
    <xf numFmtId="0" fontId="45" fillId="13" borderId="21" xfId="41" applyFont="1" applyBorder="1">
      <alignment horizontal="left" vertical="center"/>
    </xf>
    <xf numFmtId="0" fontId="44" fillId="13" borderId="21" xfId="41" applyBorder="1">
      <alignment horizontal="left" vertical="center"/>
    </xf>
    <xf numFmtId="170" fontId="35" fillId="4" borderId="2" xfId="14" applyNumberFormat="1" applyFont="1" applyFill="1" applyBorder="1" applyAlignment="1">
      <alignment horizontal="center" vertical="center"/>
    </xf>
    <xf numFmtId="0" fontId="62" fillId="9" borderId="5" xfId="36" applyFont="1">
      <alignment horizontal="left" vertical="center" indent="1"/>
    </xf>
    <xf numFmtId="0" fontId="18" fillId="0" borderId="0" xfId="34"/>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1"/>
      <tableStyleElement type="headerRow" dxfId="70"/>
      <tableStyleElement type="totalRow" dxfId="69"/>
      <tableStyleElement type="firstColumn" dxfId="68"/>
      <tableStyleElement type="firstRowStripe" dxfId="67"/>
      <tableStyleElement type="secondRowStripe" dxfId="66"/>
    </tableStyle>
    <tableStyle name="Equation table" pivot="0" count="6" xr9:uid="{B247698E-E41D-4CCD-AA0A-C14817E9DE65}">
      <tableStyleElement type="wholeTable" dxfId="65"/>
      <tableStyleElement type="headerRow" dxfId="64"/>
      <tableStyleElement type="totalRow" dxfId="63"/>
      <tableStyleElement type="firstColumn" dxfId="62"/>
      <tableStyleElement type="firstRowStripe" dxfId="61"/>
      <tableStyleElement type="secondRowStripe" dxfId="60"/>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22"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21" dataCellStyle="Content normal">
  <autoFilter ref="D24:E32" xr:uid="{50599DA1-A8E6-43AC-9BA5-F5F05D972680}">
    <filterColumn colId="0" hiddenButton="1"/>
    <filterColumn colId="1" hiddenButton="1"/>
  </autoFilter>
  <tableColumns count="2">
    <tableColumn id="1" xr3:uid="{224F01F5-9F04-424C-9B4C-94B1D666F42B}" name="Other livestock type" dataDxfId="20"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19"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18" dataCellStyle="Content normal">
  <autoFilter ref="D39:E47" xr:uid="{EFDE3B07-3717-4AE7-8210-BEB8FBB5C09A}">
    <filterColumn colId="0" hiddenButton="1"/>
    <filterColumn colId="1" hiddenButton="1"/>
  </autoFilter>
  <tableColumns count="2">
    <tableColumn id="1" xr3:uid="{99F8CB88-8A74-44CD-B1D3-22D4849941C6}" name="Other livestock type" dataDxfId="17"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16"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15"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14"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13"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12"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11"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10"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9"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8"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7"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6"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5"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2"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1"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0"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FEC5892-D765-4865-A7DB-27A9D1251F37}"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CAB04BC-3974-4F80-AFA8-01C870D5F053}" name="State/Territory">
      <calculatedColumnFormula array="1">Common_InputFunctions.Utility_DisplayArrayInTable(Common_SourceData.Common_SourceData_AustralianStatesTerritories_Data(),Table_AustralianStates[[#Headers],[State/Territory]],0)</calculatedColumnFormula>
    </tableColumn>
    <tableColumn id="2" xr3:uid="{1E75333C-6323-4796-8C92-9E9C6DA62201}" name="Common Name">
      <calculatedColumnFormula array="1">Common_InputFunctions.Utility_DisplayArrayInTable(Common_SourceData.Common_SourceData_AustralianStatesTerritories_Data(),Table_AustralianStates[[#Headers],[State/Territory]],0)</calculatedColumnFormula>
    </tableColumn>
    <tableColumn id="3" xr3:uid="{69CE7FB9-5FB6-4EEE-9767-FF325A326A1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58A643A-EAEA-414B-86C4-16C99D2F1FCB}" name="Table_WASA4Areas" displayName="Table_WASA4Areas" ref="D20:D30" totalsRowShown="0">
  <autoFilter ref="D20:D30" xr:uid="{5FA81339-C6C8-4D36-BEEA-6C4AEDD9E676}">
    <filterColumn colId="0" hiddenButton="1"/>
  </autoFilter>
  <tableColumns count="1">
    <tableColumn id="1" xr3:uid="{D595EA5F-6350-42AB-8453-E536E058F70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95E7A390-4C86-4207-9BC3-45096C4898BE}" name="Table_GWPData" displayName="Table_GWPData" ref="D36:E43" totalsRowShown="0">
  <autoFilter ref="D36:E43" xr:uid="{B8E87A66-3E41-4AD3-925D-01EE21B43D7A}">
    <filterColumn colId="0" hiddenButton="1"/>
    <filterColumn colId="1" hiddenButton="1"/>
  </autoFilter>
  <tableColumns count="2">
    <tableColumn id="1" xr3:uid="{E776FE0E-A465-4D26-BB19-75F0BA8EA01A}" name="Gas">
      <calculatedColumnFormula array="1">Common_InputFunctions.Utility_DisplayArrayInTable(Common_SourceData.Common_SourceData_GWP_Data(), Table_GWPData[[#Headers],[Gas]], 0)</calculatedColumnFormula>
    </tableColumn>
    <tableColumn id="2" xr3:uid="{6CB2EB4E-7DBA-456E-BF52-1A2C16ED457C}"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8F2B529-4733-4A1C-8775-4CFFA49AE3AA}"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322D304D-7E41-49DF-B081-DB8463DE23A6}" name="Gas">
      <calculatedColumnFormula array="1">Common_InputFunctions.Utility_DisplayArrayInTable(Common_SourceData.Common_SourceData_ConvertGasElementalToMolecular_Data(),Table_GasToMolecularConversionFactor[[#Headers],[Gas]], 0)</calculatedColumnFormula>
    </tableColumn>
    <tableColumn id="5" xr3:uid="{0FEDD8EB-0A72-4196-9498-4AB5B1310D6F}" name="Conversion factor">
      <calculatedColumnFormula array="1">Common_InputFunctions.Utility_DisplayArrayInTable(Common_SourceData.Common_SourceData_ConvertGasElementalToMolecular_Data(),Table_GasToMolecularConversionFactor[[#Headers],[Gas]], 0)</calculatedColumnFormula>
    </tableColumn>
    <tableColumn id="2" xr3:uid="{E57B7B9A-A7EF-4AB1-B4F5-C5AEC9C2AD9D}"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4489AFB-6994-42B6-971D-C30B75C042B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45EAC32-2557-460C-BD7A-E8EEE8EE4970}"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9F9D4F9-A41A-4DBF-8E1D-D9903BF7A85D}"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E52E4A9-91F6-4AA6-89D8-2C0647147E7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3F0880ED-9F28-4C13-86F1-EA20546E1BEE}" name="MAT"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3" xr3:uid="{EF93C977-A3B6-4A0D-AE6F-B35185BF3166}" name="MAP"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4" xr3:uid="{4C80164A-1E88-41F9-AB97-2F52EEDE5F47}" name="Frost days per year"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5" xr3:uid="{4D459945-BDFE-4077-9745-DEC0F7CCCD36}" name="Elevation"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6" xr3:uid="{A3BE362E-344A-4329-8170-D54088BA1C93}" name="MAP:PET"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7" xr3:uid="{6E1506D0-176B-4C61-8238-384D73115A49}" name="Min tem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8" xr3:uid="{92A860B9-3BFF-4D65-8684-B6A0E9689CDD}" name="Max temp"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9" xr3:uid="{74B81BF5-5788-4749-AD4B-364F61227658}" name="Min rainfall"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10" xr3:uid="{C9AE8F24-3114-4EF1-81CE-A78DBC15272B}" name="Max rainfall"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11" xr3:uid="{CC8AF4D6-D6FA-4663-B8A8-49AAB556C1B3}" name="Min frost days"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15" xr3:uid="{10AE2161-28D4-4DFB-9DC1-58401AC99928}" name="Max frost days"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12" xr3:uid="{7FA3D762-43E7-46A6-B405-E915626514DF}" name="Min elevation"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6" xr3:uid="{325E1FE3-DB6D-48BC-986F-B55E245D787E}" name="Max elevation"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3" xr3:uid="{36BD4A7D-F758-4B45-B06A-C009750A6D98}" name="Min MAP:PET"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7" xr3:uid="{97001A99-0E90-415A-A811-3F2E33B282A6}" name="Max MAP:PET" totalsRowDxfId="45"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3469EFE-BCB5-4149-8126-3EB832447EB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193C49C2-3E79-458C-8E07-3AC449D58AF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67C31A1-E457-4737-95FE-9EE5989131B5}" name="Wet or Dry Zone" totalsRowDxfId="44"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108F29B-F764-4002-B607-59599C4B2DEF}"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F1FCED39-6D44-4C9D-A2B6-4D28B575704A}" name="Temperature Zone">
      <calculatedColumnFormula array="1">Common_InputFunctions.Utility_DisplayArrayInTable(Common_SourceData.Common_SourceData_TemperatureZones_Data(),Table_SourceData_TemperatureZones[[#Headers],[Temperature Zone]],0)</calculatedColumnFormula>
    </tableColumn>
    <tableColumn id="2" xr3:uid="{65125BB5-920F-4FCD-83BE-24EB77767369}" name="MAT">
      <calculatedColumnFormula array="1">Common_InputFunctions.Utility_DisplayArrayInTable(Common_SourceData.Common_SourceData_TemperatureZones_Data(),Table_SourceData_TemperatureZones[[#Headers],[Temperature Zone]],0)</calculatedColumnFormula>
    </tableColumn>
    <tableColumn id="3" xr3:uid="{6C5079A2-EE0C-41E9-9D80-350135D5EC52}" name="Min MAT">
      <calculatedColumnFormula array="1">Common_InputFunctions.Utility_DisplayArrayInTable(Common_SourceData.Common_SourceData_TemperatureZones_Data(),Table_SourceData_TemperatureZones[[#Headers],[Temperature Zone]],0)</calculatedColumnFormula>
    </tableColumn>
    <tableColumn id="4" xr3:uid="{ACF87891-A2C2-4FC1-9938-94B7B9C99A2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F7761F6B-9859-4B6F-868C-BD8FAD0F0288}"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94A23A4-ED6D-488F-8A2E-28AA7E7861F8}" name="Rainfall Zone">
      <calculatedColumnFormula array="1">Common_InputFunctions.Utility_DisplayArrayInTable(Common_SourceData.Common_SourceData_RainfallZones_Data(),Table_SourceData_RainfallZones[[#Headers],[Rainfall Zone]],0)</calculatedColumnFormula>
    </tableColumn>
    <tableColumn id="2" xr3:uid="{5AF84B2A-CD3E-46FE-8C59-1C2F032DDDE1}" name="Annual rainfall">
      <calculatedColumnFormula array="1">Common_InputFunctions.Utility_DisplayArrayInTable(Common_SourceData.Common_SourceData_RainfallZones_Data(),Table_SourceData_RainfallZones[[#Headers],[Rainfall Zone]],0)</calculatedColumnFormula>
    </tableColumn>
    <tableColumn id="3" xr3:uid="{470B28F8-4D1E-43BC-909C-6FB62EB9DCD8}" name="Min rainfall">
      <calculatedColumnFormula array="1">Common_InputFunctions.Utility_DisplayArrayInTable(Common_SourceData.Common_SourceData_RainfallZones_Data(),Table_SourceData_RainfallZones[[#Headers],[Rainfall Zone]],0)</calculatedColumnFormula>
    </tableColumn>
    <tableColumn id="4" xr3:uid="{A83DB4B2-0AAA-4B89-B275-64AE96303AB7}"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AAAF78DF-6ABA-4EE6-9D58-7B3DBB89D4B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1B0B192-3A24-4F09-B6F5-710C472022C6}" name="Leaching Zone">
      <calculatedColumnFormula array="1">Common_InputFunctions.Utility_DisplayArrayInTable(Common_SourceData.Common_SourceData_LeachingZones_Data(), Table_SourceData_LeachingZones[[#Headers],[Leaching Zone]], 0)</calculatedColumnFormula>
    </tableColumn>
    <tableColumn id="2" xr3:uid="{925ED6D6-90B0-425A-B9F9-488F48CDEF7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D9D17354-C50C-4DF2-AA13-6600F3998E7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955B29A-A800-4749-AB2E-EC2ADE4CF9E9}" name="Data source">
      <calculatedColumnFormula array="1">Common_InputFunctions.Utility_DisplayArrayInTable(Common_SourceData.Common_SourceData_DataScores_Scope3_Data(), Table_SourceData_DataScores_Scope3[[#Headers],[Data source]], 0)</calculatedColumnFormula>
    </tableColumn>
    <tableColumn id="2" xr3:uid="{EB0ECF4C-001A-45E4-B5A0-1C936079285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E25151-9CD9-48BF-8755-A88F6D847B2C}" name="Table_SourceData_FracWET" displayName="Table_SourceData_FracWET" ref="D134:E136" totalsRowShown="0">
  <autoFilter ref="D134:E136" xr:uid="{308E99BE-FE1F-47A4-B2CA-97217277C4E9}">
    <filterColumn colId="0" hiddenButton="1"/>
    <filterColumn colId="1" hiddenButton="1"/>
  </autoFilter>
  <tableColumns count="2">
    <tableColumn id="1" xr3:uid="{310E54C2-5A71-436E-9924-1178AD58D251}" name="Is in leaching zone">
      <calculatedColumnFormula array="1">Common_InputFunctions.Utility_DisplayArrayInTable(Common_SourceData.Common_SourceData_FracWET_Data(),Table_SourceData_FracWET[[#Headers],[Is in leaching zone]],0)</calculatedColumnFormula>
    </tableColumn>
    <tableColumn id="2" xr3:uid="{C6FD9516-6E41-4A23-BE25-3F135274333D}" name="FracWET" dataDxfId="43">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19403031-DBCB-4405-A051-0EC8981DF3C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3E4AA1D9-E484-4DCB-BFF3-4834B3D68133}" name="Production system j">
      <calculatedColumnFormula array="1">Common_InputFunctions.Utility_DisplayArrayInTable(Common_SourceData.Common_SourceData_EFN2O_Data(), Table_SourceData_Common_EFN2O[[#Headers],[Production system j]], 0)</calculatedColumnFormula>
    </tableColumn>
    <tableColumn id="2" xr3:uid="{6E6BA01D-BA85-4AF0-9AB2-2AA418BC62AA}" name="EFN2O">
      <calculatedColumnFormula array="1">Common_InputFunctions.Utility_DisplayArrayInTable(Common_SourceData.Common_SourceData_EFN2O_Data(), Table_SourceData_Common_EFN2O[[#Headers],[Production system j]], 0)</calculatedColumnFormula>
    </tableColumn>
    <tableColumn id="3" xr3:uid="{5C648EA4-3745-44E2-8C5E-3E066B0DC5EA}" name="Production system only">
      <calculatedColumnFormula array="1">Common_InputFunctions.Utility_DisplayArrayInTable(Common_SourceData.Common_SourceData_EFN2O_Data(), Table_SourceData_Common_EFN2O[[#Headers],[Production system j]], 0)</calculatedColumnFormula>
    </tableColumn>
    <tableColumn id="4" xr3:uid="{B5D785ED-1D3E-481B-9691-BC4FD199E975}" name="Irrigation method">
      <calculatedColumnFormula array="1">Common_InputFunctions.Utility_DisplayArrayInTable(Common_SourceData.Common_SourceData_EFN2O_Data(), Table_SourceData_Common_EFN2O[[#Headers],[Production system j]], 0)</calculatedColumnFormula>
    </tableColumn>
    <tableColumn id="5" xr3:uid="{639234AC-FEDF-4FE8-8FEB-D08D905BE2AF}"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38DEAE6-A53A-4675-9100-13E2897558D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E8BAE8EF-E2CC-4316-9742-D68FB085C24D}" name="Irrigation type i">
      <calculatedColumnFormula array="1">Common_InputFunctions.Utility_DisplayArrayInTable(Common_SourceData.Common_SourceData_FracWETIrrigation_Data(), Table_SourceData_FracWETIrrigation[[#Headers],[Irrigation type i]], 0)</calculatedColumnFormula>
    </tableColumn>
    <tableColumn id="2" xr3:uid="{895B4856-2987-4DE7-8415-3E48695BCF3F}" name="FracWET" dataDxfId="42"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43B299C-5E91-4BCC-8285-1FD5520EDA5F}"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392A1A9-2D04-4472-9EEE-4FFF7D26B1C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5F4EF9F-CDEF-4680-A20B-8F74318C0F87}" name="EFPRP" dataDxfId="41"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FA94AB4-E462-4111-9B74-2178B82FE22D}"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8CD6B58-AD20-47BA-9564-510E89BDB3C9}" name="Month">
      <calculatedColumnFormula array="1">Common_InputFunctions.Utility_DisplayArrayInTable(Common_SourceData.Common_SourceData_MonthsToSeasons_Data(), Table_SourceData_Common_MonthToSeason[[#Headers],[Month]], 0)</calculatedColumnFormula>
    </tableColumn>
    <tableColumn id="2" xr3:uid="{43F9FDC5-5589-4CF4-92C1-45F69C6D76E1}" name="Season" dataDxfId="40"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329A4EA7-3292-4C44-A6DA-EB874B5E2B5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09B17FE1-0FEE-4C4C-BE52-56B81C50D28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8100002-6B67-4741-BF0A-C5512FE8D160}" name="MAT (ºC)"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587538C-E4F0-4AE1-BD30-686A08A2F015}" name="Anaerobic lagoon"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BCB4A88-BA46-4BB4-B729-A00AFCB46C94}" name="Digester / covered lagoons"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5248386-9E18-40DF-98CC-1FCA2BA3446A}" name="Liquid systems"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217D3CA1-6A5E-44A8-A007-E4CFBF612E27}" name="Daily spread"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DCAB836-F321-406B-8194-256929C8B4C9}" name="Composting (passive windrow)"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E2F13-CDEC-4708-8112-240787003689}" name="Solid storage"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A66DAA39-5F19-45D1-B671-CAC3B3FD0E93}" name="Pit storage"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D3F8EB2-3B92-4F1D-B3D4-BDEDA344317A}" name="Deep litter"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26C746F-0983-4E6E-B839-A96FD7F4C39F}" name="Poultry manure with bedding"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E3D4856-3C1C-4BED-9328-2CEBC4FB6227}" name="Poultry manure without bedding"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266AA8F-A06A-469C-BF0A-0334A697B928}" name="Direct processing"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AF3A6FBF-1A10-49F6-A26F-750996934CEF}" name="Direct application"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BF46EC7-17F6-4768-8CEA-5D5A07F178F7}" name="Pasture range and paddock"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5E7FD1F-32A9-47C1-A51A-D30FA590F0EB}" name="MAT raw"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02066326-21E3-482A-A0C7-BD35A818896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39F3591-0295-44FB-99F5-30628AF8C90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7F9D37D-2C8B-4312-905B-35AAFD23FE28}" name="EFNi &amp; EFN2Oi" dataDxfId="24"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76DAA785-7267-46E4-8D36-D33A6ED87453}"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83BD733-9508-4BB1-90B4-FB03ED7FFDDF}" name="Description" dataDxfId="23" dataCellStyle="Content normal"/>
    <tableColumn id="1" xr3:uid="{86A683FF-2E03-44FB-999A-65C2EBC67063}" name="ID"/>
    <tableColumn id="3" xr3:uid="{D0F44E87-502D-4437-8353-FDB1F51788AE}"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8ED3F11-C376-43DD-9732-287EF08A1EFE}"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0693CDF1-28F4-448D-A819-400EF8151288}" name="Description"/>
    <tableColumn id="2" xr3:uid="{BBB3D2AF-F475-4E09-AF12-3A824D3EA5B7}" name="ID"/>
    <tableColumn id="3" xr3:uid="{6D3E2643-B87C-4DC3-BCBD-CA09FEB986F5}"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7519B6B7-A7AA-4FC9-8543-F8A6685D4D8E}"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994D49CD-D5F8-4E80-B005-27D4EA128905}" name="Description"/>
    <tableColumn id="2" xr3:uid="{9FC17D5C-1A29-4B8C-833E-07DBAD22A1AB}" name="ID"/>
    <tableColumn id="3" xr3:uid="{07471D1D-2297-4242-A584-F444D1CFD080}"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BB95E416-9E1A-4BC1-B8C5-F05B121C9CE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D0ECDCD6-419B-4FDA-8A46-31B66FE768F4}" name="Description"/>
    <tableColumn id="2" xr3:uid="{0609FDC3-1331-4081-B6BB-E34B800D16AB}" name="ID"/>
    <tableColumn id="3" xr3:uid="{176A478A-D2A7-4288-840B-7FB9B0CC6E54}"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21" Type="http://schemas.openxmlformats.org/officeDocument/2006/relationships/table" Target="../tables/table30.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20" Type="http://schemas.openxmlformats.org/officeDocument/2006/relationships/table" Target="../tables/table29.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19" Type="http://schemas.openxmlformats.org/officeDocument/2006/relationships/table" Target="../tables/table28.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 Id="rId22"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4" sqref="A24"/>
    </sheetView>
  </sheetViews>
  <sheetFormatPr defaultRowHeight="15" x14ac:dyDescent="0.25"/>
  <sheetData>
    <row r="1" spans="1:1" x14ac:dyDescent="0.25">
      <c r="A1" t="s">
        <v>244</v>
      </c>
    </row>
    <row r="3" spans="1:1" x14ac:dyDescent="0.25">
      <c r="A3" s="125" t="str">
        <f>HYPERLINK("#'Home'!A1", "Home")</f>
        <v>Home</v>
      </c>
    </row>
    <row r="6" spans="1:1" x14ac:dyDescent="0.25">
      <c r="A6" s="124"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4" sqref="A24"/>
    </sheetView>
  </sheetViews>
  <sheetFormatPr defaultRowHeight="15" x14ac:dyDescent="0.25"/>
  <cols>
    <col min="1" max="1" width="30.7109375" customWidth="1"/>
    <col min="2" max="3" width="4.7109375" customWidth="1"/>
  </cols>
  <sheetData>
    <row r="1" spans="1:64" ht="30" customHeight="1" x14ac:dyDescent="0.35">
      <c r="A1" s="63" t="e" vm="1">
        <v>#VALUE!</v>
      </c>
      <c r="C1" s="110" t="s">
        <v>233</v>
      </c>
      <c r="D1" s="118"/>
      <c r="E1" s="118"/>
      <c r="F1" s="118"/>
      <c r="G1" s="118"/>
      <c r="H1" s="118"/>
      <c r="I1" s="118"/>
      <c r="J1" s="118"/>
      <c r="K1" s="118"/>
      <c r="L1" s="118"/>
      <c r="M1" s="118"/>
      <c r="N1" s="118"/>
      <c r="O1" s="118"/>
      <c r="P1" s="118"/>
      <c r="Q1" s="118"/>
      <c r="R1" s="118"/>
      <c r="S1" s="118"/>
      <c r="T1" s="118"/>
      <c r="U1" s="118"/>
      <c r="V1" s="118"/>
      <c r="W1" s="118"/>
      <c r="X1" s="118"/>
      <c r="Y1" s="118"/>
      <c r="Z1" s="118"/>
      <c r="AA1" s="118"/>
      <c r="AB1" s="118"/>
      <c r="AC1" s="118"/>
      <c r="AD1" s="118"/>
      <c r="AE1" s="118"/>
      <c r="AF1" s="118"/>
      <c r="AG1" s="118"/>
    </row>
    <row r="2" spans="1:64" ht="20.100000000000001" customHeight="1" x14ac:dyDescent="0.25">
      <c r="C2" s="118"/>
      <c r="D2" s="118"/>
      <c r="E2" s="118"/>
      <c r="F2" s="118"/>
      <c r="G2" s="118"/>
      <c r="H2" s="118"/>
      <c r="I2" s="118"/>
      <c r="J2" s="118"/>
      <c r="K2" s="118"/>
      <c r="L2" s="118"/>
      <c r="M2" s="118"/>
      <c r="N2" s="118"/>
      <c r="O2" s="118"/>
      <c r="P2" s="118"/>
      <c r="Q2" s="118"/>
      <c r="R2" s="118"/>
      <c r="S2" s="118"/>
      <c r="T2" s="118"/>
      <c r="U2" s="118"/>
      <c r="V2" s="118"/>
      <c r="W2" s="118"/>
      <c r="X2" s="118"/>
      <c r="Y2" s="118"/>
      <c r="Z2" s="118"/>
      <c r="AA2" s="118"/>
      <c r="AB2" s="118"/>
      <c r="AC2" s="118"/>
      <c r="AD2" s="118"/>
      <c r="AE2" s="118"/>
      <c r="AF2" s="118"/>
      <c r="AG2" s="118"/>
    </row>
    <row r="3" spans="1:64" ht="20.100000000000001" customHeight="1" x14ac:dyDescent="0.25">
      <c r="A3" s="17" t="str">
        <f>HYPERLINK("#'Home'!A1", "Home")</f>
        <v>Home</v>
      </c>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119"/>
      <c r="AH3" s="119"/>
      <c r="AI3" s="119"/>
      <c r="AJ3" s="119"/>
      <c r="AK3" s="119"/>
      <c r="AL3" s="119"/>
      <c r="AM3" s="119"/>
      <c r="AN3" s="119"/>
      <c r="AO3" s="119"/>
      <c r="AP3" s="119"/>
      <c r="AQ3" s="119"/>
      <c r="AR3" s="119"/>
      <c r="AS3" s="119"/>
      <c r="AT3" s="119"/>
      <c r="AU3" s="119"/>
      <c r="AV3" s="119"/>
      <c r="AW3" s="119"/>
      <c r="AX3" s="119"/>
      <c r="AY3" s="119"/>
      <c r="AZ3" s="119"/>
      <c r="BA3" s="119"/>
      <c r="BB3" s="119"/>
      <c r="BC3" s="119"/>
      <c r="BD3" s="119"/>
      <c r="BE3" s="119"/>
      <c r="BF3" s="119"/>
      <c r="BG3" s="119"/>
      <c r="BH3" s="119"/>
      <c r="BI3" s="119"/>
      <c r="BJ3" s="119"/>
      <c r="BK3" s="119"/>
      <c r="BL3" s="119"/>
    </row>
    <row r="4" spans="1:64" ht="20.100000000000001" customHeight="1" x14ac:dyDescent="0.25">
      <c r="A4" s="109"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20" t="s">
        <v>137</v>
      </c>
      <c r="E5" s="120"/>
      <c r="F5" s="120"/>
      <c r="G5" s="120"/>
      <c r="H5" s="120"/>
      <c r="I5" s="102"/>
      <c r="J5" s="87"/>
      <c r="K5" s="87"/>
      <c r="L5" s="87"/>
      <c r="M5" s="87"/>
      <c r="N5" s="87"/>
      <c r="O5" s="87"/>
      <c r="P5" s="87"/>
      <c r="Q5" s="87"/>
      <c r="R5" s="87"/>
      <c r="S5" s="87"/>
      <c r="T5" s="87"/>
      <c r="U5" s="87"/>
      <c r="V5" s="83"/>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21" t="s">
        <v>138</v>
      </c>
      <c r="E6" s="122"/>
      <c r="F6" s="122"/>
      <c r="G6" s="122"/>
      <c r="H6" s="122"/>
      <c r="I6" s="89"/>
      <c r="J6" s="86"/>
      <c r="K6" s="86"/>
      <c r="L6" s="86"/>
      <c r="M6" s="86"/>
      <c r="N6" s="86"/>
      <c r="O6" s="86"/>
      <c r="P6" s="86"/>
      <c r="Q6" s="86"/>
      <c r="R6" s="86"/>
      <c r="S6" s="86"/>
      <c r="T6" s="86"/>
      <c r="U6" s="86"/>
      <c r="V6" s="84"/>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Other Livestock'!A1", "Other Livestock")</f>
        <v>Other Livestock</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70</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HYPERLINK("#'4.7.1.1-2 Manure Methane'!A1", "4.7.1.1-2 Manure Methane")</f>
        <v>4.7.1.1-2 Manure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A15" s="17" t="str">
        <f>HYPERLINK("#'4.7.1.3-4 Soil Direct N2O'!A1", "4.7.1.3-4 Soil Direct N2O")</f>
        <v>4.7.1.3-4 Soil Direct N2O</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A16" s="17" t="str">
        <f>HYPERLINK("#'4.7.1.5-6 Soil Atmos Deposition'!A1", "4.7.1.5-6 Soil Atmos Deposition")</f>
        <v>4.7.1.5-6 Soil Atmos Deposition</v>
      </c>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7" t="str">
        <f>HYPERLINK("#'4.7.1.7-8 Soil Leaching Runoff'!A1", "4.7.1.7-8 Soil Leaching Runoff")</f>
        <v>4.7.1.7-8 Soil Leaching Runoff</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24" t="s">
        <v>1</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HYPERLINK("#'Constants - Other Livestock'!A1", "Constants - Other Livestock")</f>
        <v>Constants - Other Livestock</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HYPERLINK("#'Constants - Livestock'!A1", "Constants - Livestock")</f>
        <v>Constants - Livestock</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A23" s="17" t="str">
        <f>HYPERLINK("#'Constants - Common'!A1", "Constants - Common")</f>
        <v>Constants - Common</v>
      </c>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A24" s="17" t="str">
        <f>HYPERLINK("#'Acknowledgements'!A1", "Acknowledgements")</f>
        <v>Acknowledgements</v>
      </c>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4" sqref="A2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3" t="e" vm="1">
        <v>#VALUE!</v>
      </c>
      <c r="C1" s="110" t="s">
        <v>232</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109" t="str">
        <f>HYPERLINK("#'Results'!A1", "Results")</f>
        <v>Results</v>
      </c>
      <c r="C5" s="23"/>
      <c r="D5" s="27"/>
      <c r="E5" s="28"/>
      <c r="F5" s="28"/>
      <c r="G5" s="28"/>
      <c r="H5" s="25"/>
      <c r="I5" s="23"/>
      <c r="J5" s="23"/>
      <c r="K5" s="23"/>
      <c r="L5" s="23"/>
    </row>
    <row r="6" spans="1:12" ht="20.100000000000001" customHeight="1" x14ac:dyDescent="0.25">
      <c r="C6" s="23"/>
      <c r="D6" s="108" t="s">
        <v>95</v>
      </c>
      <c r="E6" s="108" t="s">
        <v>116</v>
      </c>
      <c r="F6" s="108" t="s">
        <v>117</v>
      </c>
      <c r="G6" s="108" t="s">
        <v>110</v>
      </c>
      <c r="H6" s="108" t="s">
        <v>118</v>
      </c>
      <c r="I6" s="108" t="s">
        <v>120</v>
      </c>
      <c r="J6" s="108" t="s">
        <v>111</v>
      </c>
      <c r="K6" s="23"/>
      <c r="L6" s="23"/>
    </row>
    <row r="7" spans="1:12" ht="20.100000000000001" customHeight="1" x14ac:dyDescent="0.25">
      <c r="C7" s="23"/>
      <c r="D7" s="1" t="s">
        <v>239</v>
      </c>
      <c r="E7" s="104">
        <f>'4.7.1.1-2 Manure Methane'!E113</f>
        <v>11.990348051537779</v>
      </c>
      <c r="F7" s="104">
        <f>'4.7.1.1-2 Manure Methane'!O113</f>
        <v>12.103057674611057</v>
      </c>
      <c r="G7" s="53" t="str">
        <f>'4.7.1.1-2 Manure Methane'!F113</f>
        <v>t CH4</v>
      </c>
      <c r="H7" s="104">
        <f>'4.7.1.1-2 Manure Methane'!E118</f>
        <v>335.72974544305782</v>
      </c>
      <c r="I7" s="104">
        <f>'4.7.1.1-2 Manure Methane'!O118</f>
        <v>338.8856148891096</v>
      </c>
      <c r="J7" s="53" t="s">
        <v>119</v>
      </c>
      <c r="K7" s="23"/>
      <c r="L7" s="23"/>
    </row>
    <row r="8" spans="1:12" ht="20.100000000000001" customHeight="1" x14ac:dyDescent="0.25">
      <c r="A8" s="19" t="s">
        <v>0</v>
      </c>
      <c r="C8" s="23"/>
      <c r="D8" s="1" t="s">
        <v>240</v>
      </c>
      <c r="E8" s="104">
        <f>'4.7.1.3-4 Soil Direct N2O'!E70</f>
        <v>519.12802857142856</v>
      </c>
      <c r="F8" s="104">
        <f>E8</f>
        <v>519.12802857142856</v>
      </c>
      <c r="G8" s="53" t="s">
        <v>204</v>
      </c>
      <c r="H8" s="104">
        <f>'4.7.1.3-4 Soil Direct N2O'!E75</f>
        <v>137568.92757142856</v>
      </c>
      <c r="I8" s="104">
        <f>H8</f>
        <v>137568.92757142856</v>
      </c>
      <c r="J8" s="53" t="s">
        <v>119</v>
      </c>
      <c r="K8" s="23"/>
      <c r="L8" s="23"/>
    </row>
    <row r="9" spans="1:12" ht="20.100000000000001" customHeight="1" x14ac:dyDescent="0.25">
      <c r="A9" s="17" t="str">
        <f>HYPERLINK("#'Input - Site'!A1", "Site")</f>
        <v>Site</v>
      </c>
      <c r="C9" s="23"/>
      <c r="D9" s="1" t="s">
        <v>241</v>
      </c>
      <c r="E9" s="104">
        <f>'4.7.1.5-6 Soil Atmos Deposition'!E81</f>
        <v>186.11705144999996</v>
      </c>
      <c r="F9" s="104">
        <f>E9</f>
        <v>186.11705144999996</v>
      </c>
      <c r="G9" s="53" t="s">
        <v>204</v>
      </c>
      <c r="H9" s="104">
        <f>'4.7.1.5-6 Soil Atmos Deposition'!E86</f>
        <v>49321.018634249987</v>
      </c>
      <c r="I9" s="104">
        <f>H9</f>
        <v>49321.018634249987</v>
      </c>
      <c r="J9" s="53" t="s">
        <v>119</v>
      </c>
      <c r="K9" s="23"/>
      <c r="L9" s="23"/>
    </row>
    <row r="10" spans="1:12" ht="20.100000000000001" customHeight="1" x14ac:dyDescent="0.25">
      <c r="A10" s="17" t="str">
        <f>HYPERLINK("#'Input - Other Livestock'!A1", "Other Livestock")</f>
        <v>Other Livestock</v>
      </c>
      <c r="C10" s="23"/>
      <c r="D10" s="1" t="s">
        <v>238</v>
      </c>
      <c r="E10" s="104">
        <f>'4.7.1.7-8 Soil Leaching Runoff'!E72</f>
        <v>3.0587417142857145</v>
      </c>
      <c r="F10" s="104">
        <f>E10</f>
        <v>3.0587417142857145</v>
      </c>
      <c r="G10" s="53" t="s">
        <v>204</v>
      </c>
      <c r="H10" s="104">
        <f>'4.7.1.7-8 Soil Leaching Runoff'!E77</f>
        <v>810.56655428571435</v>
      </c>
      <c r="I10" s="104">
        <f>H10</f>
        <v>810.56655428571435</v>
      </c>
      <c r="J10" s="53" t="s">
        <v>119</v>
      </c>
      <c r="K10" s="23"/>
      <c r="L10" s="23"/>
    </row>
    <row r="11" spans="1:12" ht="20.100000000000001" customHeight="1" x14ac:dyDescent="0.3">
      <c r="C11" s="23"/>
      <c r="D11" s="30" t="s">
        <v>109</v>
      </c>
      <c r="E11" s="24"/>
      <c r="F11" s="30"/>
      <c r="G11" s="30"/>
      <c r="H11" s="107">
        <f>SUM(H7:H10)</f>
        <v>188036.24250540731</v>
      </c>
      <c r="I11" s="107">
        <f>SUM(I7:I10)</f>
        <v>188039.39837485336</v>
      </c>
      <c r="J11" s="101" t="s">
        <v>119</v>
      </c>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70</v>
      </c>
      <c r="C13" s="23"/>
      <c r="D13" s="1"/>
      <c r="E13" s="1"/>
      <c r="F13" s="1"/>
      <c r="G13" s="1"/>
      <c r="H13" s="1"/>
      <c r="I13" s="1"/>
      <c r="J13" s="1"/>
      <c r="K13" s="23"/>
      <c r="L13" s="23"/>
    </row>
    <row r="14" spans="1:12" ht="20.100000000000001" customHeight="1" x14ac:dyDescent="0.25">
      <c r="A14" s="17" t="str">
        <f>HYPERLINK("#'4.7.1.1-2 Manure Methane'!A1", "4.7.1.1-2 Manure Methane")</f>
        <v>4.7.1.1-2 Manure Methane</v>
      </c>
      <c r="C14" s="23"/>
      <c r="D14" s="1"/>
      <c r="E14" s="1"/>
      <c r="F14" s="1"/>
      <c r="G14" s="1"/>
      <c r="H14" s="1"/>
      <c r="I14" s="1"/>
      <c r="J14" s="1"/>
      <c r="K14" s="23"/>
      <c r="L14" s="23"/>
    </row>
    <row r="15" spans="1:12" ht="20.100000000000001" customHeight="1" x14ac:dyDescent="0.25">
      <c r="A15" s="17" t="str">
        <f>HYPERLINK("#'4.7.1.3-4 Soil Direct N2O'!A1", "4.7.1.3-4 Soil Direct N2O")</f>
        <v>4.7.1.3-4 Soil Direct N2O</v>
      </c>
      <c r="C15" s="23"/>
      <c r="D15" s="1"/>
      <c r="E15" s="1"/>
      <c r="F15" s="1"/>
      <c r="G15" s="1"/>
      <c r="H15" s="1"/>
      <c r="I15" s="1"/>
      <c r="J15" s="1"/>
      <c r="K15" s="23"/>
      <c r="L15" s="23"/>
    </row>
    <row r="16" spans="1:12" ht="20.100000000000001" customHeight="1" x14ac:dyDescent="0.25">
      <c r="A16" s="17" t="str">
        <f>HYPERLINK("#'4.7.1.5-6 Soil Atmos Deposition'!A1", "4.7.1.5-6 Soil Atmos Deposition")</f>
        <v>4.7.1.5-6 Soil Atmos Deposition</v>
      </c>
      <c r="C16" s="23"/>
      <c r="D16" s="1"/>
      <c r="E16" s="1"/>
      <c r="F16" s="1"/>
      <c r="G16" s="1"/>
      <c r="H16" s="1"/>
      <c r="I16" s="1"/>
      <c r="J16" s="1"/>
      <c r="K16" s="23"/>
      <c r="L16" s="23"/>
    </row>
    <row r="17" spans="1:12" ht="20.100000000000001" customHeight="1" x14ac:dyDescent="0.25">
      <c r="A17" s="17" t="str">
        <f>HYPERLINK("#'4.7.1.7-8 Soil Leaching Runoff'!A1", "4.7.1.7-8 Soil Leaching Runoff")</f>
        <v>4.7.1.7-8 Soil Leaching Runoff</v>
      </c>
      <c r="C17" s="23"/>
      <c r="D17" s="1"/>
      <c r="E17" s="1"/>
      <c r="F17" s="1"/>
      <c r="G17" s="1"/>
      <c r="H17" s="1"/>
      <c r="I17" s="1"/>
      <c r="J17" s="1"/>
      <c r="K17" s="23"/>
      <c r="L17" s="23"/>
    </row>
    <row r="18" spans="1:12" ht="20.100000000000001" customHeight="1" x14ac:dyDescent="0.25">
      <c r="C18" s="23"/>
      <c r="D18" s="1"/>
      <c r="E18" s="1"/>
      <c r="F18" s="1"/>
      <c r="G18" s="1"/>
      <c r="H18" s="1"/>
      <c r="I18" s="1"/>
      <c r="J18" s="1"/>
      <c r="K18" s="23"/>
      <c r="L18" s="23"/>
    </row>
    <row r="19" spans="1:12" ht="20.100000000000001" customHeight="1" x14ac:dyDescent="0.25">
      <c r="C19" s="23"/>
      <c r="D19" s="1"/>
      <c r="E19" s="1"/>
      <c r="F19" s="1"/>
      <c r="G19" s="1"/>
      <c r="H19" s="1"/>
      <c r="I19" s="1"/>
      <c r="J19" s="1"/>
      <c r="K19" s="23"/>
      <c r="L19" s="23"/>
    </row>
    <row r="20" spans="1:12" ht="20.100000000000001" customHeight="1" x14ac:dyDescent="0.25">
      <c r="A20" s="124" t="s">
        <v>1</v>
      </c>
      <c r="C20" s="23"/>
      <c r="D20" s="1"/>
      <c r="E20" s="1"/>
      <c r="F20" s="1"/>
      <c r="G20" s="1"/>
      <c r="H20" s="1"/>
      <c r="I20" s="1"/>
      <c r="J20" s="1"/>
      <c r="K20" s="23"/>
      <c r="L20" s="23"/>
    </row>
    <row r="21" spans="1:12" ht="20.100000000000001" customHeight="1" x14ac:dyDescent="0.25">
      <c r="A21" s="17" t="str">
        <f>HYPERLINK("#'Constants - Other Livestock'!A1", "Constants - Other Livestock")</f>
        <v>Constants - Other Livestock</v>
      </c>
      <c r="C21" s="23"/>
      <c r="D21" s="1"/>
      <c r="E21" s="1"/>
      <c r="F21" s="1"/>
      <c r="G21" s="1"/>
      <c r="H21" s="1"/>
      <c r="I21" s="1"/>
      <c r="J21" s="1"/>
      <c r="K21" s="23"/>
      <c r="L21" s="23"/>
    </row>
    <row r="22" spans="1:12" ht="20.100000000000001" customHeight="1" x14ac:dyDescent="0.25">
      <c r="A22" s="17" t="str">
        <f>HYPERLINK("#'Constants - Livestock'!A1", "Constants - Livestock")</f>
        <v>Constants - Livestock</v>
      </c>
      <c r="C22" s="23"/>
      <c r="D22" s="1"/>
      <c r="E22" s="1"/>
      <c r="F22" s="1"/>
      <c r="G22" s="1"/>
      <c r="H22" s="1"/>
      <c r="I22" s="1"/>
      <c r="J22" s="1"/>
      <c r="K22" s="23"/>
      <c r="L22" s="23"/>
    </row>
    <row r="23" spans="1:12" ht="20.100000000000001" customHeight="1" x14ac:dyDescent="0.25">
      <c r="A23" s="17" t="str">
        <f>HYPERLINK("#'Constants - Common'!A1", "Constants - Common")</f>
        <v>Constants - Common</v>
      </c>
      <c r="C23" s="23"/>
      <c r="D23" s="1"/>
      <c r="E23" s="1"/>
      <c r="F23" s="1"/>
      <c r="G23" s="1"/>
      <c r="H23" s="1"/>
      <c r="I23" s="1"/>
      <c r="J23" s="1"/>
      <c r="K23" s="23"/>
      <c r="L23" s="23"/>
    </row>
    <row r="24" spans="1:12" ht="20.100000000000001" customHeight="1" x14ac:dyDescent="0.25">
      <c r="A24" s="17" t="str">
        <f>HYPERLINK("#'Acknowledgements'!A1", "Acknowledgements")</f>
        <v>Acknowledgements</v>
      </c>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103"/>
      <c r="J38" s="103"/>
      <c r="K38" s="103"/>
      <c r="L38" s="23"/>
    </row>
    <row r="39" spans="3:12" ht="20.100000000000001" customHeight="1" x14ac:dyDescent="0.25">
      <c r="C39" s="23"/>
      <c r="D39" s="1"/>
      <c r="E39" s="1"/>
      <c r="F39" s="1"/>
      <c r="G39" s="1"/>
      <c r="H39" s="1"/>
      <c r="I39" s="103"/>
      <c r="J39" s="103"/>
      <c r="K39" s="103"/>
      <c r="L39" s="23"/>
    </row>
    <row r="40" spans="3:12" ht="20.100000000000001" customHeight="1" x14ac:dyDescent="0.25">
      <c r="C40" s="23"/>
      <c r="D40" s="1"/>
      <c r="E40" s="1"/>
      <c r="F40" s="1"/>
      <c r="G40" s="1"/>
      <c r="H40" s="1"/>
      <c r="I40" s="103"/>
      <c r="J40" s="103"/>
      <c r="K40" s="103"/>
      <c r="L40" s="23"/>
    </row>
    <row r="41" spans="3:12" ht="20.100000000000001" customHeight="1" x14ac:dyDescent="0.25">
      <c r="C41" s="23"/>
      <c r="D41" s="1"/>
      <c r="E41" s="1"/>
      <c r="F41" s="1"/>
      <c r="G41" s="1"/>
      <c r="H41" s="1"/>
      <c r="I41" s="103"/>
      <c r="J41" s="103"/>
      <c r="K41" s="103"/>
      <c r="L41" s="23"/>
    </row>
    <row r="42" spans="3:12" ht="20.100000000000001" customHeight="1" x14ac:dyDescent="0.25">
      <c r="C42" s="23"/>
      <c r="D42" s="1"/>
      <c r="E42" s="1"/>
      <c r="F42" s="1"/>
      <c r="G42" s="1"/>
      <c r="H42" s="1"/>
      <c r="I42" s="103"/>
      <c r="J42" s="103"/>
      <c r="K42" s="103"/>
      <c r="L42" s="23"/>
    </row>
    <row r="43" spans="3:12" ht="20.100000000000001" customHeight="1" x14ac:dyDescent="0.25">
      <c r="C43" s="23"/>
      <c r="D43" s="1"/>
      <c r="E43" s="1"/>
      <c r="F43" s="1"/>
      <c r="G43" s="1"/>
      <c r="H43" s="1"/>
      <c r="I43" s="103"/>
      <c r="J43" s="103"/>
      <c r="K43" s="103"/>
      <c r="L43" s="23"/>
    </row>
    <row r="44" spans="3:12" ht="20.100000000000001" customHeight="1" x14ac:dyDescent="0.25">
      <c r="C44" s="23"/>
      <c r="D44" s="1"/>
      <c r="E44" s="1"/>
      <c r="F44" s="1"/>
      <c r="G44" s="1"/>
      <c r="H44" s="1"/>
      <c r="I44" s="103"/>
      <c r="J44" s="103"/>
      <c r="K44" s="103"/>
      <c r="L44" s="23"/>
    </row>
    <row r="45" spans="3:12" ht="20.100000000000001" customHeight="1" x14ac:dyDescent="0.25">
      <c r="C45" s="23"/>
      <c r="D45" s="1"/>
      <c r="E45" s="1"/>
      <c r="F45" s="1"/>
      <c r="G45" s="1"/>
      <c r="H45" s="1"/>
      <c r="I45" s="103"/>
      <c r="J45" s="103"/>
      <c r="K45" s="103"/>
      <c r="L45" s="23"/>
    </row>
    <row r="46" spans="3:12" ht="20.100000000000001" customHeight="1" x14ac:dyDescent="0.25">
      <c r="C46" s="23"/>
      <c r="D46" s="1"/>
      <c r="E46" s="1"/>
      <c r="F46" s="1"/>
      <c r="G46" s="1"/>
      <c r="H46" s="1"/>
      <c r="I46" s="103"/>
      <c r="J46" s="103"/>
      <c r="K46" s="103"/>
      <c r="L46" s="23"/>
    </row>
    <row r="47" spans="3:12" ht="20.100000000000001" customHeight="1" x14ac:dyDescent="0.25">
      <c r="C47" s="23"/>
      <c r="D47" s="1"/>
      <c r="E47" s="1"/>
      <c r="F47" s="1"/>
      <c r="G47" s="1"/>
      <c r="H47" s="1"/>
      <c r="I47" s="103"/>
      <c r="J47" s="103"/>
      <c r="K47" s="103"/>
      <c r="L47" s="23"/>
    </row>
    <row r="48" spans="3:12" ht="20.100000000000001" customHeight="1" x14ac:dyDescent="0.25">
      <c r="C48" s="23"/>
      <c r="D48" s="1"/>
      <c r="E48" s="1"/>
      <c r="F48" s="1"/>
      <c r="G48" s="1"/>
      <c r="H48" s="1"/>
      <c r="I48" s="103"/>
      <c r="J48" s="103"/>
      <c r="K48" s="103"/>
      <c r="L48" s="23"/>
    </row>
    <row r="49" spans="3:12" ht="20.100000000000001" customHeight="1" x14ac:dyDescent="0.25">
      <c r="C49" s="23"/>
      <c r="D49" s="1"/>
      <c r="E49" s="1"/>
      <c r="F49" s="1"/>
      <c r="G49" s="1"/>
      <c r="H49" s="103"/>
      <c r="I49" s="103"/>
      <c r="J49" s="103"/>
      <c r="K49" s="103"/>
      <c r="L49" s="23"/>
    </row>
    <row r="50" spans="3:12" ht="20.100000000000001" customHeight="1" x14ac:dyDescent="0.25">
      <c r="C50" s="23"/>
      <c r="D50" s="1"/>
      <c r="E50" s="1"/>
      <c r="F50" s="1"/>
      <c r="G50" s="1"/>
      <c r="H50" s="103"/>
      <c r="I50" s="103"/>
      <c r="J50" s="103"/>
      <c r="K50" s="103"/>
      <c r="L50" s="23"/>
    </row>
    <row r="51" spans="3:12" ht="20.100000000000001" customHeight="1" x14ac:dyDescent="0.25">
      <c r="C51" s="23"/>
      <c r="D51" s="1"/>
      <c r="E51" s="1"/>
      <c r="F51" s="1"/>
      <c r="G51" s="1"/>
      <c r="H51" s="103"/>
      <c r="I51" s="103"/>
      <c r="J51" s="103"/>
      <c r="K51" s="103"/>
      <c r="L51" s="23"/>
    </row>
    <row r="52" spans="3:12" ht="20.100000000000001" customHeight="1" x14ac:dyDescent="0.25">
      <c r="C52" s="23"/>
      <c r="D52" s="1"/>
      <c r="E52" s="1"/>
      <c r="F52" s="1"/>
      <c r="G52" s="1"/>
      <c r="H52" s="103"/>
      <c r="I52" s="103"/>
      <c r="J52" s="103"/>
      <c r="K52" s="103"/>
      <c r="L52" s="23"/>
    </row>
    <row r="53" spans="3:12" ht="20.100000000000001" customHeight="1" x14ac:dyDescent="0.25">
      <c r="C53" s="23"/>
      <c r="D53" s="1"/>
      <c r="E53" s="1"/>
      <c r="F53" s="1"/>
      <c r="G53" s="1"/>
      <c r="H53" s="103"/>
      <c r="I53" s="103"/>
      <c r="J53" s="103"/>
      <c r="K53" s="10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4" sqref="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3" t="e" vm="1">
        <v>#VALUE!</v>
      </c>
      <c r="C1" s="12" t="s">
        <v>76</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5"/>
      <c r="D4" s="65"/>
      <c r="E4" s="65"/>
      <c r="F4" s="65"/>
      <c r="G4" s="65"/>
      <c r="H4" s="65"/>
      <c r="I4" s="65"/>
      <c r="J4" s="65"/>
      <c r="K4" s="65"/>
    </row>
    <row r="5" spans="1:24" ht="20.100000000000001" customHeight="1" x14ac:dyDescent="0.25">
      <c r="A5" s="17" t="str">
        <f>HYPERLINK("#'Results'!A1", "Results")</f>
        <v>Results</v>
      </c>
      <c r="D5" s="6" t="s">
        <v>12</v>
      </c>
      <c r="N5" s="42"/>
    </row>
    <row r="6" spans="1:24" ht="20.100000000000001" customHeight="1" x14ac:dyDescent="0.25">
      <c r="A6"/>
      <c r="D6" s="14"/>
      <c r="N6" s="43"/>
    </row>
    <row r="7" spans="1:24" ht="20.100000000000001" customHeight="1" x14ac:dyDescent="0.25">
      <c r="A7"/>
      <c r="D7" s="1" t="s">
        <v>4</v>
      </c>
      <c r="E7" s="34" t="s">
        <v>3</v>
      </c>
      <c r="F7" s="2"/>
    </row>
    <row r="8" spans="1:24" ht="20.100000000000001" customHeight="1" x14ac:dyDescent="0.25">
      <c r="A8" s="19" t="s">
        <v>0</v>
      </c>
      <c r="D8" s="10" t="s">
        <v>68</v>
      </c>
      <c r="E8" s="34" t="s">
        <v>69</v>
      </c>
    </row>
    <row r="9" spans="1:24" ht="20.100000000000001" customHeight="1" x14ac:dyDescent="0.25">
      <c r="A9" s="20" t="str">
        <f>HYPERLINK("#'Input - Site'!A1", "Site")</f>
        <v>Site</v>
      </c>
      <c r="N9" s="44"/>
    </row>
    <row r="10" spans="1:24" ht="20.100000000000001" customHeight="1" x14ac:dyDescent="0.25">
      <c r="A10" s="17" t="str">
        <f>HYPERLINK("#'Input - Other Livestock'!A1", "Other Livestock")</f>
        <v>Other Livestock</v>
      </c>
      <c r="D10" s="90" t="s">
        <v>75</v>
      </c>
      <c r="E10" s="88"/>
      <c r="F10" s="91"/>
      <c r="G10" s="85"/>
      <c r="N10" s="44"/>
    </row>
    <row r="11" spans="1:24" ht="20.100000000000001" customHeight="1" x14ac:dyDescent="0.25">
      <c r="A11"/>
      <c r="N11" s="45"/>
    </row>
    <row r="12" spans="1:24" ht="20.100000000000001" customHeight="1" x14ac:dyDescent="0.25">
      <c r="A12"/>
      <c r="D12" s="10" t="s">
        <v>81</v>
      </c>
      <c r="E12" s="62">
        <v>45292</v>
      </c>
      <c r="F12" s="2" t="s">
        <v>66</v>
      </c>
    </row>
    <row r="13" spans="1:24" ht="20.100000000000001" customHeight="1" x14ac:dyDescent="0.25">
      <c r="A13" s="18" t="s">
        <v>70</v>
      </c>
      <c r="D13" s="10" t="s">
        <v>82</v>
      </c>
      <c r="E13" s="66">
        <f>DATE(YEAR(X_Cell_Site_StartDate)+1,MONTH(X_Cell_Site_StartDate),DAY(X_Cell_Site_StartDate))-1</f>
        <v>45657</v>
      </c>
      <c r="F13" s="2" t="s">
        <v>14</v>
      </c>
      <c r="N13" s="39"/>
      <c r="O13" s="39"/>
    </row>
    <row r="14" spans="1:24" ht="20.100000000000001" customHeight="1" x14ac:dyDescent="0.25">
      <c r="A14" s="17" t="str">
        <f>HYPERLINK("#'4.7.1.1-2 Manure Methane'!A1", "4.7.1.1-2 Manure Methane")</f>
        <v>4.7.1.1-2 Manure Methane</v>
      </c>
      <c r="N14" s="39"/>
      <c r="O14" s="39"/>
    </row>
    <row r="15" spans="1:24" ht="20.100000000000001" customHeight="1" x14ac:dyDescent="0.25">
      <c r="A15" s="17" t="str">
        <f>HYPERLINK("#'4.7.1.3-4 Soil Direct N2O'!A1", "4.7.1.3-4 Soil Direct N2O")</f>
        <v>4.7.1.3-4 Soil Direct N2O</v>
      </c>
      <c r="N15" s="39"/>
      <c r="O15" s="39"/>
    </row>
    <row r="16" spans="1:24" ht="20.100000000000001" customHeight="1" x14ac:dyDescent="0.25">
      <c r="A16" s="17" t="str">
        <f>HYPERLINK("#'4.7.1.5-6 Soil Atmos Deposition'!A1", "4.7.1.5-6 Soil Atmos Deposition")</f>
        <v>4.7.1.5-6 Soil Atmos Deposition</v>
      </c>
      <c r="D16" s="6" t="s">
        <v>11</v>
      </c>
      <c r="N16" s="39"/>
      <c r="O16" s="39"/>
    </row>
    <row r="17" spans="1:25" ht="20.100000000000001" customHeight="1" x14ac:dyDescent="0.25">
      <c r="A17" s="17" t="str">
        <f>HYPERLINK("#'4.7.1.7-8 Soil Leaching Runoff'!A1", "4.7.1.7-8 Soil Leaching Runoff")</f>
        <v>4.7.1.7-8 Soil Leaching Runoff</v>
      </c>
    </row>
    <row r="18" spans="1:25" ht="20.100000000000001" customHeight="1" x14ac:dyDescent="0.25">
      <c r="A18"/>
      <c r="D18" s="92" t="s">
        <v>13</v>
      </c>
      <c r="E18" s="87"/>
      <c r="F18" s="87"/>
      <c r="G18" s="83"/>
    </row>
    <row r="19" spans="1:25" ht="20.100000000000001" customHeight="1" x14ac:dyDescent="0.25">
      <c r="A19"/>
      <c r="D19" s="89" t="s">
        <v>67</v>
      </c>
      <c r="E19" s="86"/>
      <c r="F19" s="86"/>
      <c r="G19" s="84"/>
      <c r="N19" s="42"/>
    </row>
    <row r="20" spans="1:25" ht="20.100000000000001" customHeight="1" x14ac:dyDescent="0.25">
      <c r="A20" s="124" t="s">
        <v>1</v>
      </c>
      <c r="D20" s="1"/>
      <c r="E20" s="32"/>
      <c r="F20" s="2"/>
      <c r="N20" s="43"/>
    </row>
    <row r="21" spans="1:25" ht="20.100000000000001" customHeight="1" x14ac:dyDescent="0.25">
      <c r="A21" s="17" t="str">
        <f>HYPERLINK("#'Constants - Other Livestock'!A1", "Constants - Other Livestock")</f>
        <v>Constants - Other Livestock</v>
      </c>
      <c r="D21" s="1" t="s">
        <v>5</v>
      </c>
      <c r="E21" s="41" t="s">
        <v>84</v>
      </c>
      <c r="F21" s="2" t="s">
        <v>8</v>
      </c>
    </row>
    <row r="22" spans="1:25" ht="20.100000000000001" customHeight="1" x14ac:dyDescent="0.25">
      <c r="A22" s="17" t="str">
        <f>HYPERLINK("#'Constants - Livestock'!A1", "Constants - Livestock")</f>
        <v>Constants - Livestock</v>
      </c>
      <c r="D22" s="1" t="s">
        <v>21</v>
      </c>
      <c r="E22" s="41" t="s">
        <v>30</v>
      </c>
      <c r="F22" s="2" t="s">
        <v>8</v>
      </c>
      <c r="G22" s="1"/>
    </row>
    <row r="23" spans="1:25" ht="20.100000000000001" customHeight="1" x14ac:dyDescent="0.25">
      <c r="A23" s="17" t="str">
        <f>HYPERLINK("#'Constants - Common'!A1", "Constants - Common")</f>
        <v>Constants - Common</v>
      </c>
      <c r="D23" s="1" t="s">
        <v>6</v>
      </c>
      <c r="E23" s="41" t="s">
        <v>80</v>
      </c>
      <c r="F23" s="2" t="s">
        <v>8</v>
      </c>
    </row>
    <row r="24" spans="1:25" ht="20.100000000000001" customHeight="1" x14ac:dyDescent="0.25">
      <c r="A24" s="17" t="str">
        <f>HYPERLINK("#'Acknowledgements'!A1", "Acknowledgements")</f>
        <v>Acknowledgements</v>
      </c>
      <c r="D24" s="1" t="s">
        <v>35</v>
      </c>
      <c r="E24" s="34">
        <v>307.7</v>
      </c>
      <c r="F24" s="2" t="s">
        <v>49</v>
      </c>
    </row>
    <row r="25" spans="1:25" ht="20.100000000000001" customHeight="1" x14ac:dyDescent="0.25">
      <c r="A25"/>
      <c r="D25" s="1" t="s">
        <v>57</v>
      </c>
      <c r="E25" s="34">
        <v>18</v>
      </c>
      <c r="F25" s="2" t="s">
        <v>9</v>
      </c>
      <c r="N25" s="43"/>
    </row>
    <row r="26" spans="1:25" ht="20.100000000000001" customHeight="1" x14ac:dyDescent="0.25">
      <c r="A26"/>
      <c r="D26" s="1" t="s">
        <v>58</v>
      </c>
      <c r="E26" s="34">
        <v>601</v>
      </c>
      <c r="F26" s="2" t="s">
        <v>10</v>
      </c>
    </row>
    <row r="27" spans="1:25" ht="20.100000000000001" customHeight="1" x14ac:dyDescent="0.25">
      <c r="A27"/>
      <c r="D27" s="10" t="s">
        <v>59</v>
      </c>
      <c r="E27" s="34">
        <v>1326</v>
      </c>
      <c r="F27" s="2" t="s">
        <v>10</v>
      </c>
    </row>
    <row r="28" spans="1:25" ht="20.100000000000001" customHeight="1" x14ac:dyDescent="0.25">
      <c r="A28"/>
      <c r="D28" s="1" t="s">
        <v>60</v>
      </c>
      <c r="E28" s="34">
        <v>7</v>
      </c>
      <c r="F28" s="2" t="s">
        <v>50</v>
      </c>
    </row>
    <row r="29" spans="1:25" ht="20.100000000000001" customHeight="1" x14ac:dyDescent="0.25">
      <c r="A29"/>
      <c r="D29" s="10" t="s">
        <v>56</v>
      </c>
      <c r="E29" s="51">
        <f>X_Cell_Site_TotalRainfall/X_Cell_Site_PotentialEvapotranspiration</f>
        <v>0.45324283559577677</v>
      </c>
      <c r="F29" s="2"/>
    </row>
    <row r="30" spans="1:25" ht="20.100000000000001" customHeight="1" x14ac:dyDescent="0.25">
      <c r="A30"/>
      <c r="D30" s="10" t="s">
        <v>31</v>
      </c>
      <c r="E30" s="51" t="str">
        <f>Common_InputFunctions.Utility_LookupItemFromMinMax(X_Cell_Site_TotalRainfall,Table_SourceData_RainfallZones[Min rainfall],Table_SourceData_RainfallZones[Max rainfall],Table_SourceData_RainfallZones[Rainfall Zone])</f>
        <v>High rainfall</v>
      </c>
      <c r="G30" s="33"/>
      <c r="L30" s="48"/>
      <c r="M30" s="48"/>
      <c r="N30" s="48"/>
      <c r="O30" s="48"/>
      <c r="P30" s="48"/>
      <c r="Q30" s="48"/>
      <c r="R30" s="48"/>
      <c r="S30" s="48"/>
      <c r="T30" s="48"/>
      <c r="U30" s="48"/>
      <c r="V30" s="48"/>
      <c r="W30" s="48"/>
      <c r="X30" s="48"/>
      <c r="Y30" s="48"/>
    </row>
    <row r="31" spans="1:25" ht="20.100000000000001" customHeight="1" x14ac:dyDescent="0.25">
      <c r="A31"/>
      <c r="D31" s="1" t="s">
        <v>7</v>
      </c>
      <c r="E31" s="51"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2"/>
      <c r="L31" s="47"/>
      <c r="M31" s="47"/>
      <c r="N31" s="47"/>
      <c r="O31" s="47"/>
      <c r="P31" s="47"/>
      <c r="Q31" s="47"/>
      <c r="R31" s="47"/>
      <c r="S31" s="47"/>
      <c r="T31" s="47"/>
      <c r="U31" s="47"/>
      <c r="V31" s="47"/>
      <c r="W31" s="47"/>
      <c r="X31" s="47"/>
      <c r="Y31" s="47"/>
    </row>
    <row r="32" spans="1:25" ht="20.100000000000001" customHeight="1" x14ac:dyDescent="0.25">
      <c r="A32"/>
      <c r="D32" s="1" t="s">
        <v>77</v>
      </c>
      <c r="E32" s="51" t="str">
        <f>Common_InputFunctions.Utility_LookupValueInTable(X_Cell_Site_ClimateZone,Table_SourceData_WetDryZones[Climate zone],Table_SourceData_WetDryZones[Wet or Dry Zone])</f>
        <v>Dry climate zone</v>
      </c>
      <c r="F32" s="1"/>
      <c r="G32" s="32"/>
      <c r="L32" s="47"/>
      <c r="M32" s="47"/>
      <c r="N32" s="47"/>
      <c r="O32" s="47"/>
      <c r="P32" s="47"/>
      <c r="Q32" s="47"/>
      <c r="R32" s="47"/>
      <c r="S32" s="47"/>
      <c r="T32" s="47"/>
      <c r="U32" s="47"/>
      <c r="V32" s="47"/>
      <c r="W32" s="47"/>
      <c r="X32" s="47"/>
      <c r="Y32" s="47"/>
    </row>
    <row r="33" spans="1:25" ht="20.100000000000001" customHeight="1" x14ac:dyDescent="0.25">
      <c r="A33"/>
      <c r="D33" s="1" t="s">
        <v>48</v>
      </c>
      <c r="E33" s="51" t="str">
        <f>Common_InputFunctions.Utility_LookupItemFromMinMax(X_Cell_Site_AverageTemperature,Table_SourceData_TemperatureZones[Min MAT],Table_SourceData_TemperatureZones[Max MAT],Table_SourceData_TemperatureZones[Temperature Zone])</f>
        <v>Temperate</v>
      </c>
      <c r="G33" s="67"/>
      <c r="L33" s="47"/>
      <c r="M33" s="47"/>
      <c r="N33" s="47"/>
      <c r="O33" s="47"/>
      <c r="P33" s="47"/>
      <c r="Q33" s="47"/>
      <c r="R33" s="47"/>
      <c r="S33" s="47"/>
      <c r="T33" s="47"/>
      <c r="U33" s="47"/>
      <c r="V33" s="47"/>
      <c r="W33" s="47"/>
      <c r="X33" s="47"/>
      <c r="Y33" s="47"/>
    </row>
    <row r="34" spans="1:25" ht="20.100000000000001" customHeight="1" x14ac:dyDescent="0.25">
      <c r="A34"/>
      <c r="J34" s="59"/>
      <c r="K34" s="70"/>
      <c r="L34" s="47"/>
      <c r="M34" s="47"/>
      <c r="N34" s="47"/>
      <c r="O34" s="47"/>
      <c r="P34" s="47"/>
      <c r="Q34" s="47"/>
      <c r="R34" s="47"/>
      <c r="S34" s="47"/>
      <c r="T34" s="47"/>
      <c r="U34" s="47"/>
      <c r="V34" s="47"/>
      <c r="W34" s="47"/>
      <c r="X34" s="47"/>
      <c r="Y34" s="47"/>
    </row>
    <row r="35" spans="1:25" ht="20.100000000000001" customHeight="1" x14ac:dyDescent="0.25">
      <c r="A35"/>
      <c r="J35" s="59"/>
      <c r="K35" s="70"/>
      <c r="L35" s="47"/>
      <c r="M35" s="47"/>
      <c r="N35" s="47"/>
      <c r="O35" s="47"/>
      <c r="P35" s="47"/>
      <c r="Q35" s="47"/>
      <c r="R35" s="47"/>
      <c r="S35" s="47"/>
      <c r="T35" s="47"/>
      <c r="U35" s="47"/>
      <c r="V35" s="47"/>
      <c r="W35" s="47"/>
      <c r="X35" s="47"/>
      <c r="Y35" s="47"/>
    </row>
    <row r="36" spans="1:25" ht="20.100000000000001" customHeight="1" x14ac:dyDescent="0.25">
      <c r="A36"/>
      <c r="D36" s="68"/>
      <c r="E36" s="68"/>
      <c r="F36" s="69"/>
      <c r="G36" s="59"/>
      <c r="H36" s="59"/>
      <c r="I36" s="60"/>
      <c r="J36" s="59"/>
      <c r="K36" s="70"/>
      <c r="L36" s="47"/>
      <c r="M36" s="47"/>
      <c r="N36" s="47"/>
      <c r="O36" s="47"/>
      <c r="P36" s="47"/>
      <c r="Q36" s="47"/>
      <c r="R36" s="47"/>
      <c r="S36" s="47"/>
      <c r="T36" s="47"/>
      <c r="U36" s="47"/>
      <c r="V36" s="47"/>
      <c r="W36" s="47"/>
      <c r="X36" s="47"/>
      <c r="Y36" s="47"/>
    </row>
    <row r="37" spans="1:25" ht="20.100000000000001" customHeight="1" x14ac:dyDescent="0.25">
      <c r="A37"/>
      <c r="D37" s="68"/>
      <c r="E37" s="68"/>
      <c r="F37" s="69"/>
      <c r="G37" s="59"/>
      <c r="H37" s="59"/>
      <c r="I37" s="60"/>
      <c r="J37" s="59"/>
      <c r="K37" s="70"/>
      <c r="L37" s="47"/>
      <c r="M37" s="47"/>
      <c r="N37" s="47"/>
      <c r="O37" s="47"/>
      <c r="P37" s="47"/>
      <c r="Q37" s="47"/>
      <c r="R37" s="47"/>
      <c r="S37" s="47"/>
      <c r="T37" s="47"/>
      <c r="U37" s="47"/>
      <c r="V37" s="47"/>
      <c r="W37" s="47"/>
      <c r="X37" s="47"/>
      <c r="Y37" s="47"/>
    </row>
    <row r="38" spans="1:25" ht="20.100000000000001" customHeight="1" x14ac:dyDescent="0.25">
      <c r="A38"/>
      <c r="D38" s="68"/>
      <c r="E38" s="68"/>
      <c r="F38" s="69"/>
      <c r="G38" s="59"/>
      <c r="H38" s="59"/>
      <c r="I38" s="60"/>
      <c r="J38" s="59"/>
      <c r="K38" s="70"/>
      <c r="L38" s="47"/>
      <c r="M38" s="47"/>
      <c r="N38" s="47"/>
      <c r="O38" s="47"/>
      <c r="P38" s="47"/>
      <c r="Q38" s="47"/>
      <c r="R38" s="47"/>
      <c r="S38" s="47"/>
      <c r="T38" s="47"/>
      <c r="U38" s="47"/>
      <c r="V38" s="47"/>
      <c r="W38" s="47"/>
      <c r="X38" s="47"/>
      <c r="Y38" s="47"/>
    </row>
    <row r="39" spans="1:25" ht="20.100000000000001" customHeight="1" x14ac:dyDescent="0.25">
      <c r="A39"/>
      <c r="D39" s="68"/>
      <c r="E39" s="68"/>
      <c r="F39" s="69"/>
      <c r="G39" s="59"/>
      <c r="H39" s="59"/>
      <c r="I39" s="60"/>
      <c r="J39" s="59"/>
      <c r="K39" s="70"/>
      <c r="L39" s="47"/>
      <c r="M39" s="47"/>
      <c r="N39" s="47"/>
      <c r="O39" s="47"/>
      <c r="P39" s="47"/>
      <c r="Q39" s="47"/>
      <c r="R39" s="47"/>
      <c r="S39" s="47"/>
      <c r="T39" s="47"/>
      <c r="U39" s="47"/>
      <c r="V39" s="47"/>
      <c r="W39" s="47"/>
      <c r="X39" s="47"/>
      <c r="Y39" s="47"/>
    </row>
    <row r="40" spans="1:25" ht="20.100000000000001" customHeight="1" x14ac:dyDescent="0.25">
      <c r="A40"/>
      <c r="D40" s="71"/>
      <c r="E40" s="71"/>
      <c r="F40" s="71"/>
      <c r="G40" s="72"/>
      <c r="H40" s="73"/>
      <c r="I40" s="73"/>
      <c r="J40" s="73"/>
      <c r="K40" s="73"/>
      <c r="L40" s="49"/>
      <c r="M40" s="49"/>
      <c r="N40" s="49"/>
      <c r="O40" s="49"/>
      <c r="P40" s="49"/>
      <c r="Q40" s="49"/>
      <c r="R40" s="49"/>
      <c r="S40" s="49"/>
      <c r="T40" s="49"/>
      <c r="U40" s="49"/>
      <c r="V40" s="49"/>
      <c r="W40" s="49"/>
      <c r="X40" s="49"/>
      <c r="Y40" s="49"/>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22"/>
    </row>
    <row r="47" spans="1:25" ht="20.100000000000001" customHeight="1" x14ac:dyDescent="0.25">
      <c r="A47"/>
      <c r="D47" s="74"/>
      <c r="E47" s="74"/>
      <c r="F47" s="74"/>
      <c r="G47" s="74"/>
      <c r="H47" s="74"/>
    </row>
    <row r="48" spans="1:25" ht="20.100000000000001" customHeight="1" x14ac:dyDescent="0.25">
      <c r="A48"/>
      <c r="D48" s="35"/>
      <c r="E48" s="35"/>
      <c r="F48" s="36"/>
      <c r="G48" s="36"/>
      <c r="H48" s="35"/>
    </row>
    <row r="49" spans="1:8" ht="20.100000000000001" customHeight="1" x14ac:dyDescent="0.25">
      <c r="A49"/>
      <c r="D49" s="35"/>
      <c r="E49" s="35"/>
      <c r="F49" s="36"/>
      <c r="G49" s="36"/>
      <c r="H49" s="35"/>
    </row>
    <row r="50" spans="1:8" ht="20.100000000000001" customHeight="1" x14ac:dyDescent="0.25">
      <c r="A50"/>
      <c r="D50" s="35"/>
      <c r="E50" s="35"/>
      <c r="F50" s="36"/>
      <c r="G50" s="36"/>
      <c r="H50" s="35"/>
    </row>
    <row r="51" spans="1:8" ht="20.100000000000001" customHeight="1" x14ac:dyDescent="0.25">
      <c r="A51"/>
      <c r="D51" s="75"/>
      <c r="E51" s="76"/>
      <c r="F51" s="76"/>
      <c r="G51" s="76"/>
      <c r="H51" s="77"/>
    </row>
    <row r="52" spans="1:8" ht="20.100000000000001" customHeight="1" x14ac:dyDescent="0.25">
      <c r="A52"/>
    </row>
    <row r="53" spans="1:8" ht="20.100000000000001" customHeight="1" x14ac:dyDescent="0.25">
      <c r="A53"/>
    </row>
    <row r="54" spans="1:8" ht="20.100000000000001" customHeight="1" x14ac:dyDescent="0.25">
      <c r="A54"/>
      <c r="G54" s="78"/>
    </row>
    <row r="55" spans="1:8" ht="20.100000000000001" customHeight="1" x14ac:dyDescent="0.25">
      <c r="A55"/>
      <c r="D55" s="6"/>
    </row>
    <row r="56" spans="1:8" ht="20.100000000000001" customHeight="1" x14ac:dyDescent="0.25">
      <c r="A56"/>
    </row>
    <row r="57" spans="1:8" ht="20.100000000000001" customHeight="1" x14ac:dyDescent="0.25">
      <c r="A57"/>
      <c r="D57" s="22"/>
      <c r="F57" s="79"/>
    </row>
    <row r="58" spans="1:8" ht="20.100000000000001" customHeight="1" x14ac:dyDescent="0.25">
      <c r="A58"/>
      <c r="D58" s="1"/>
      <c r="E58" s="80"/>
    </row>
    <row r="59" spans="1:8" ht="20.100000000000001" customHeight="1" x14ac:dyDescent="0.25">
      <c r="A59"/>
      <c r="D59" s="1"/>
      <c r="E59" s="80"/>
    </row>
    <row r="60" spans="1:8" ht="20.100000000000001" customHeight="1" x14ac:dyDescent="0.25">
      <c r="A60"/>
      <c r="D60" s="1"/>
      <c r="E60" s="81"/>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80"/>
    </row>
    <row r="65" spans="1:9" ht="20.100000000000001" customHeight="1" x14ac:dyDescent="0.25">
      <c r="A65"/>
      <c r="D65" s="1"/>
      <c r="E65" s="80"/>
    </row>
    <row r="66" spans="1:9" ht="20.100000000000001" customHeight="1" x14ac:dyDescent="0.25">
      <c r="A66"/>
      <c r="D66" s="1"/>
      <c r="E66" s="81"/>
    </row>
    <row r="67" spans="1:9" ht="20.100000000000001" customHeight="1" x14ac:dyDescent="0.25">
      <c r="A67"/>
    </row>
    <row r="68" spans="1:9" ht="20.100000000000001" customHeight="1" x14ac:dyDescent="0.25">
      <c r="A68"/>
    </row>
    <row r="69" spans="1:9" ht="20.100000000000001" customHeight="1" x14ac:dyDescent="0.25">
      <c r="A69"/>
      <c r="D69" s="58"/>
      <c r="E69" s="58"/>
      <c r="F69" s="58"/>
      <c r="G69" s="58"/>
      <c r="H69" s="58"/>
      <c r="I69" s="58"/>
    </row>
    <row r="70" spans="1:9" ht="20.100000000000001" customHeight="1" x14ac:dyDescent="0.25">
      <c r="A70"/>
      <c r="D70" s="58"/>
      <c r="E70" s="58"/>
      <c r="F70" s="58"/>
      <c r="G70" s="58"/>
      <c r="H70" s="58"/>
      <c r="I70" s="58"/>
    </row>
    <row r="71" spans="1:9" ht="20.100000000000001" customHeight="1" x14ac:dyDescent="0.25">
      <c r="A71"/>
      <c r="D71" s="58"/>
      <c r="E71" s="58"/>
      <c r="F71" s="58"/>
      <c r="G71" s="58"/>
      <c r="H71" s="58"/>
      <c r="I71" s="58"/>
    </row>
    <row r="72" spans="1:9" ht="20.100000000000001" customHeight="1" x14ac:dyDescent="0.25">
      <c r="A72"/>
      <c r="D72" s="58"/>
      <c r="E72" s="58"/>
      <c r="F72" s="58"/>
      <c r="G72" s="58"/>
      <c r="H72" s="58"/>
      <c r="I72" s="5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2"/>
    </row>
    <row r="79" spans="1:9" ht="20.100000000000001" customHeight="1" x14ac:dyDescent="0.25">
      <c r="A79"/>
      <c r="D79" s="82"/>
    </row>
    <row r="80" spans="1:9" ht="20.100000000000001" customHeight="1" x14ac:dyDescent="0.25">
      <c r="A80"/>
      <c r="D80" s="82"/>
    </row>
    <row r="81" spans="1:4" ht="20.100000000000001" customHeight="1" x14ac:dyDescent="0.25">
      <c r="A81"/>
      <c r="D81" s="82"/>
    </row>
    <row r="82" spans="1:4" ht="20.100000000000001" customHeight="1" x14ac:dyDescent="0.25">
      <c r="A82"/>
      <c r="D82" s="82"/>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5" customWidth="1"/>
    <col min="15" max="20" width="30.7109375" style="55" customWidth="1"/>
    <col min="21" max="21" width="4.7109375" style="55" customWidth="1"/>
  </cols>
  <sheetData>
    <row r="1" spans="1:21" s="63" customFormat="1" ht="30" customHeight="1" x14ac:dyDescent="0.35">
      <c r="A1" s="63" t="e" vm="1">
        <v>#VALUE!</v>
      </c>
      <c r="C1" s="63" t="s">
        <v>146</v>
      </c>
      <c r="N1" s="55"/>
      <c r="O1" s="55"/>
      <c r="P1" s="55"/>
      <c r="Q1" s="55"/>
      <c r="R1" s="55"/>
      <c r="S1" s="55"/>
      <c r="T1" s="55"/>
      <c r="U1" s="55"/>
    </row>
    <row r="2" spans="1:21" s="9" customFormat="1" ht="20.100000000000001" customHeight="1" x14ac:dyDescent="0.25">
      <c r="A2"/>
      <c r="N2" s="55"/>
      <c r="O2" s="55"/>
      <c r="P2" s="55"/>
      <c r="Q2" s="55"/>
      <c r="R2" s="55"/>
      <c r="S2" s="55"/>
      <c r="T2" s="55"/>
      <c r="U2" s="55"/>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150</v>
      </c>
    </row>
    <row r="6" spans="1:21" ht="20.100000000000001" customHeight="1" x14ac:dyDescent="0.25"/>
    <row r="7" spans="1:21" ht="20.100000000000001" customHeight="1" x14ac:dyDescent="0.25">
      <c r="D7" s="61"/>
      <c r="E7" s="40" t="s">
        <v>151</v>
      </c>
      <c r="F7" s="40" t="s">
        <v>152</v>
      </c>
      <c r="G7" s="40" t="s">
        <v>153</v>
      </c>
      <c r="H7" s="40" t="s">
        <v>154</v>
      </c>
    </row>
    <row r="8" spans="1:21" ht="20.100000000000001" customHeight="1" x14ac:dyDescent="0.25">
      <c r="A8" s="19" t="s">
        <v>0</v>
      </c>
      <c r="D8" s="1" t="str">
        <f>"Average number of head between " &amp; TEXT(X_Cell_Site_StartDate, "dd mmm yy") &amp; " and " &amp; TEXT(X_Cell_Site_EndDate, "dd mmm yy")</f>
        <v>Average number of head between 01 Jan 24 and 31 Dec 24</v>
      </c>
      <c r="E8" s="95">
        <v>4300</v>
      </c>
      <c r="F8" s="95">
        <v>100</v>
      </c>
      <c r="G8" s="95">
        <v>100</v>
      </c>
      <c r="H8" s="95">
        <v>100</v>
      </c>
      <c r="I8" s="2" t="s">
        <v>85</v>
      </c>
      <c r="J8" s="2"/>
      <c r="K8" s="2"/>
    </row>
    <row r="9" spans="1:21" ht="20.100000000000001" customHeight="1" x14ac:dyDescent="0.25">
      <c r="A9" s="17" t="str">
        <f>HYPERLINK("#'Input - Site'!A1", "Site")</f>
        <v>Site</v>
      </c>
      <c r="J9" s="2"/>
      <c r="K9" s="2"/>
    </row>
    <row r="10" spans="1:21" ht="20.100000000000001" customHeight="1" x14ac:dyDescent="0.25">
      <c r="A10" s="20" t="str">
        <f>HYPERLINK("#'Input - Other Livestock'!A1", "Other Livestock")</f>
        <v>Other Livestock</v>
      </c>
      <c r="D10" s="1" t="s">
        <v>173</v>
      </c>
      <c r="E10" s="41" t="s">
        <v>147</v>
      </c>
      <c r="F10" s="2" t="s">
        <v>8</v>
      </c>
    </row>
    <row r="11" spans="1:21" ht="20.100000000000001" customHeight="1" x14ac:dyDescent="0.25"/>
    <row r="12" spans="1:21" ht="20.100000000000001" customHeight="1" x14ac:dyDescent="0.25">
      <c r="D12" s="61" t="s">
        <v>16</v>
      </c>
      <c r="E12" s="61" t="s">
        <v>148</v>
      </c>
    </row>
    <row r="13" spans="1:21" ht="20.100000000000001" customHeight="1" x14ac:dyDescent="0.25">
      <c r="A13" s="18" t="s">
        <v>70</v>
      </c>
      <c r="D13" s="1" t="s">
        <v>135</v>
      </c>
      <c r="E13" s="123">
        <f>IF(X_Cell_OtherLivestock_Buffalo_FencedWater="Yes",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13" s="2" t="s">
        <v>149</v>
      </c>
    </row>
    <row r="14" spans="1:21" ht="20.100000000000001" customHeight="1" x14ac:dyDescent="0.25">
      <c r="A14" s="17" t="str">
        <f>HYPERLINK("#'4.7.1.1-2 Manure Methane'!A1", "4.7.1.1-2 Manure Methane")</f>
        <v>4.7.1.1-2 Manure Methane</v>
      </c>
      <c r="D14" s="1" t="s">
        <v>124</v>
      </c>
      <c r="E14" s="123">
        <f>IF(X_Cell_OtherLivestock_Buffalo_FencedWater="Yes",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14" s="2" t="s">
        <v>149</v>
      </c>
    </row>
    <row r="15" spans="1:21" ht="20.100000000000001" customHeight="1" x14ac:dyDescent="0.25">
      <c r="A15" s="17" t="str">
        <f>HYPERLINK("#'4.7.1.3-4 Soil Direct N2O'!A1", "4.7.1.3-4 Soil Direct N2O")</f>
        <v>4.7.1.3-4 Soil Direct N2O</v>
      </c>
    </row>
    <row r="16" spans="1:21" ht="20.100000000000001" customHeight="1" x14ac:dyDescent="0.25">
      <c r="A16" s="17" t="str">
        <f>HYPERLINK("#'4.7.1.5-6 Soil Atmos Deposition'!A1", "4.7.1.5-6 Soil Atmos Deposition")</f>
        <v>4.7.1.5-6 Soil Atmos Deposition</v>
      </c>
      <c r="D16" s="1" t="s">
        <v>207</v>
      </c>
      <c r="E16" s="41" t="s">
        <v>100</v>
      </c>
      <c r="F16" s="2" t="s">
        <v>8</v>
      </c>
    </row>
    <row r="17" spans="1:11" ht="20.100000000000001" customHeight="1" x14ac:dyDescent="0.25">
      <c r="A17" s="17" t="str">
        <f>HYPERLINK("#'4.7.1.7-8 Soil Leaching Runoff'!A1", "4.7.1.7-8 Soil Leaching Runoff")</f>
        <v>4.7.1.7-8 Soil Leaching Runoff</v>
      </c>
      <c r="E17" s="41" t="s">
        <v>103</v>
      </c>
      <c r="F17" s="2" t="s">
        <v>8</v>
      </c>
    </row>
    <row r="18" spans="1:11" ht="20.100000000000001" customHeight="1" x14ac:dyDescent="0.25"/>
    <row r="19" spans="1:11" ht="20.100000000000001" customHeight="1" x14ac:dyDescent="0.25">
      <c r="D19" s="6" t="s">
        <v>155</v>
      </c>
    </row>
    <row r="20" spans="1:11" ht="20.100000000000001" customHeight="1" x14ac:dyDescent="0.25">
      <c r="A20" s="124" t="s">
        <v>1</v>
      </c>
    </row>
    <row r="21" spans="1:11" ht="20.100000000000001" customHeight="1" x14ac:dyDescent="0.25">
      <c r="A21" s="17" t="str">
        <f>HYPERLINK("#'Constants - Other Livestock'!A1", "Constants - Other Livestock")</f>
        <v>Constants - Other Livestock</v>
      </c>
      <c r="D21" s="61"/>
      <c r="E21" s="40" t="s">
        <v>156</v>
      </c>
      <c r="F21" s="40" t="s">
        <v>157</v>
      </c>
      <c r="G21" s="40" t="s">
        <v>158</v>
      </c>
      <c r="H21" s="40" t="s">
        <v>159</v>
      </c>
      <c r="I21" s="40" t="s">
        <v>160</v>
      </c>
      <c r="J21" s="40" t="s">
        <v>161</v>
      </c>
    </row>
    <row r="22" spans="1:11" ht="20.100000000000001" customHeight="1" x14ac:dyDescent="0.25">
      <c r="A22" s="17" t="str">
        <f>HYPERLINK("#'Constants - Livestock'!A1", "Constants - Livestock")</f>
        <v>Constants - Livestock</v>
      </c>
      <c r="D22" s="1" t="str">
        <f>"Average number of head between " &amp; TEXT(X_Cell_Site_StartDate, "dd mmm yy") &amp; " and " &amp; TEXT(X_Cell_Site_EndDate, "dd mmm yy")</f>
        <v>Average number of head between 01 Jan 24 and 31 Dec 24</v>
      </c>
      <c r="E22" s="95">
        <v>4300</v>
      </c>
      <c r="F22" s="95">
        <v>100</v>
      </c>
      <c r="G22" s="95">
        <v>100</v>
      </c>
      <c r="H22" s="95">
        <v>100</v>
      </c>
      <c r="I22" s="95">
        <v>100</v>
      </c>
      <c r="J22" s="95">
        <v>100</v>
      </c>
      <c r="K22" s="2" t="s">
        <v>85</v>
      </c>
    </row>
    <row r="23" spans="1:11" ht="20.100000000000001" customHeight="1" x14ac:dyDescent="0.25">
      <c r="A23" s="17" t="str">
        <f>HYPERLINK("#'Constants - Common'!A1", "Constants - Common")</f>
        <v>Constants - Common</v>
      </c>
      <c r="J23" s="2"/>
      <c r="K23" s="2"/>
    </row>
    <row r="24" spans="1:11" ht="20.100000000000001" customHeight="1" x14ac:dyDescent="0.25">
      <c r="A24" s="17" t="str">
        <f>HYPERLINK("#'Acknowledgements'!A1", "Acknowledgements")</f>
        <v>Acknowledgements</v>
      </c>
      <c r="D24" s="1" t="s">
        <v>174</v>
      </c>
      <c r="E24" s="41" t="s">
        <v>147</v>
      </c>
      <c r="F24" s="2" t="s">
        <v>8</v>
      </c>
      <c r="J24" s="2"/>
      <c r="K24" s="2"/>
    </row>
    <row r="25" spans="1:11" ht="20.100000000000001" customHeight="1" x14ac:dyDescent="0.25">
      <c r="K25" s="2"/>
    </row>
    <row r="26" spans="1:11" ht="20.100000000000001" customHeight="1" x14ac:dyDescent="0.25">
      <c r="D26" s="61" t="s">
        <v>16</v>
      </c>
      <c r="E26" s="61" t="s">
        <v>148</v>
      </c>
    </row>
    <row r="27" spans="1:11" ht="20.100000000000001" customHeight="1" x14ac:dyDescent="0.25">
      <c r="D27" s="1" t="s">
        <v>135</v>
      </c>
      <c r="E27" s="123">
        <f>IF(X_Cell_OtherLivestock_Goats_FencedWater="Yes",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27" s="2" t="s">
        <v>149</v>
      </c>
    </row>
    <row r="28" spans="1:11" ht="20.100000000000001" customHeight="1" x14ac:dyDescent="0.25">
      <c r="D28" s="1" t="s">
        <v>124</v>
      </c>
      <c r="E28" s="123">
        <f>IF(X_Cell_OtherLivestock_Goats_FencedWater="Yes",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28" s="2" t="s">
        <v>149</v>
      </c>
      <c r="K28" s="2"/>
    </row>
    <row r="29" spans="1:11" ht="20.100000000000001" customHeight="1" x14ac:dyDescent="0.25">
      <c r="K29" s="2"/>
    </row>
    <row r="30" spans="1:11" ht="20.100000000000001" customHeight="1" x14ac:dyDescent="0.25">
      <c r="D30" s="1" t="s">
        <v>208</v>
      </c>
      <c r="E30" s="41" t="s">
        <v>100</v>
      </c>
      <c r="F30" s="2" t="s">
        <v>8</v>
      </c>
      <c r="K30" s="2"/>
    </row>
    <row r="31" spans="1:11" ht="20.100000000000001" customHeight="1" x14ac:dyDescent="0.25">
      <c r="E31" s="41" t="s">
        <v>103</v>
      </c>
      <c r="F31" s="2" t="s">
        <v>8</v>
      </c>
    </row>
    <row r="32" spans="1:11" ht="20.100000000000001" customHeight="1" x14ac:dyDescent="0.25"/>
    <row r="33" spans="4:11" ht="20.100000000000001" customHeight="1" x14ac:dyDescent="0.25">
      <c r="D33" s="6" t="s">
        <v>162</v>
      </c>
      <c r="K33" s="2"/>
    </row>
    <row r="34" spans="4:11" ht="20.100000000000001" customHeight="1" x14ac:dyDescent="0.25"/>
    <row r="35" spans="4:11" ht="20.100000000000001" customHeight="1" x14ac:dyDescent="0.25">
      <c r="D35" s="61"/>
      <c r="E35" s="40" t="s">
        <v>163</v>
      </c>
      <c r="F35" s="40" t="s">
        <v>164</v>
      </c>
      <c r="G35" s="40" t="s">
        <v>165</v>
      </c>
      <c r="H35" s="40" t="s">
        <v>166</v>
      </c>
    </row>
    <row r="36" spans="4:11" ht="20.100000000000001" customHeight="1" x14ac:dyDescent="0.25">
      <c r="D36" s="1" t="str">
        <f>"Average number of head between " &amp; TEXT(X_Cell_Site_StartDate, "dd mmm yy") &amp; " and " &amp; TEXT(X_Cell_Site_EndDate, "dd mmm yy")</f>
        <v>Average number of head between 01 Jan 24 and 31 Dec 24</v>
      </c>
      <c r="E36" s="95">
        <v>4300</v>
      </c>
      <c r="F36" s="95">
        <v>100</v>
      </c>
      <c r="G36" s="95">
        <v>100</v>
      </c>
      <c r="H36" s="95">
        <v>100</v>
      </c>
      <c r="I36" s="2" t="s">
        <v>85</v>
      </c>
    </row>
    <row r="37" spans="4:11" ht="20.100000000000001" customHeight="1" x14ac:dyDescent="0.25"/>
    <row r="38" spans="4:11" ht="20.100000000000001" customHeight="1" x14ac:dyDescent="0.25">
      <c r="D38" s="1" t="s">
        <v>175</v>
      </c>
      <c r="E38" s="41" t="s">
        <v>147</v>
      </c>
      <c r="F38" s="2" t="s">
        <v>8</v>
      </c>
    </row>
    <row r="39" spans="4:11" ht="20.100000000000001" customHeight="1" x14ac:dyDescent="0.25">
      <c r="J39" s="2"/>
    </row>
    <row r="40" spans="4:11" ht="20.100000000000001" customHeight="1" x14ac:dyDescent="0.25">
      <c r="D40" s="61" t="s">
        <v>16</v>
      </c>
      <c r="E40" s="61" t="s">
        <v>148</v>
      </c>
    </row>
    <row r="41" spans="4:11" ht="20.100000000000001" customHeight="1" x14ac:dyDescent="0.25">
      <c r="D41" s="1" t="s">
        <v>135</v>
      </c>
      <c r="E41" s="123">
        <f>IF(X_Cell_OtherLivestock_Deer_FencedWater="Yes",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41" s="2" t="s">
        <v>149</v>
      </c>
    </row>
    <row r="42" spans="4:11" ht="20.100000000000001" customHeight="1" x14ac:dyDescent="0.25">
      <c r="D42" s="1" t="s">
        <v>124</v>
      </c>
      <c r="E42" s="123">
        <f>IF(X_Cell_OtherLivestock_Deer_FencedWater="Yes",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42" s="2" t="s">
        <v>149</v>
      </c>
      <c r="J42" s="2"/>
    </row>
    <row r="43" spans="4:11" ht="20.100000000000001" customHeight="1" x14ac:dyDescent="0.25">
      <c r="J43" s="2"/>
    </row>
    <row r="44" spans="4:11" ht="20.100000000000001" customHeight="1" x14ac:dyDescent="0.25">
      <c r="D44" s="1" t="s">
        <v>209</v>
      </c>
      <c r="E44" s="41" t="s">
        <v>100</v>
      </c>
      <c r="F44" s="2" t="s">
        <v>8</v>
      </c>
      <c r="J44" s="2"/>
    </row>
    <row r="45" spans="4:11" ht="20.100000000000001" customHeight="1" x14ac:dyDescent="0.25">
      <c r="E45" s="41" t="s">
        <v>103</v>
      </c>
      <c r="F45" s="2" t="s">
        <v>8</v>
      </c>
    </row>
    <row r="46" spans="4:11" ht="20.100000000000001" customHeight="1" x14ac:dyDescent="0.25"/>
    <row r="47" spans="4:11" ht="20.100000000000001" customHeight="1" x14ac:dyDescent="0.25">
      <c r="D47" s="6" t="s">
        <v>167</v>
      </c>
      <c r="J47" s="2"/>
      <c r="K47" s="2"/>
    </row>
    <row r="48" spans="4:11" ht="20.100000000000001" customHeight="1" x14ac:dyDescent="0.25">
      <c r="K48" s="2"/>
    </row>
    <row r="49" spans="4:11" ht="20.100000000000001" customHeight="1" x14ac:dyDescent="0.25">
      <c r="D49" s="61"/>
      <c r="E49" s="40" t="s">
        <v>168</v>
      </c>
      <c r="F49" s="40" t="s">
        <v>169</v>
      </c>
      <c r="G49" s="40" t="s">
        <v>170</v>
      </c>
      <c r="H49" s="40" t="s">
        <v>171</v>
      </c>
      <c r="I49" s="40" t="s">
        <v>172</v>
      </c>
    </row>
    <row r="50" spans="4:11" ht="20.100000000000001" customHeight="1" x14ac:dyDescent="0.25">
      <c r="D50" s="1" t="str">
        <f>"Average number of head between " &amp; TEXT(X_Cell_Site_StartDate, "dd mmm yy") &amp; " and " &amp; TEXT(X_Cell_Site_EndDate, "dd mmm yy")</f>
        <v>Average number of head between 01 Jan 24 and 31 Dec 24</v>
      </c>
      <c r="E50" s="95">
        <v>4300</v>
      </c>
      <c r="F50" s="95">
        <v>100</v>
      </c>
      <c r="G50" s="95">
        <v>100</v>
      </c>
      <c r="H50" s="95">
        <v>100</v>
      </c>
      <c r="I50" s="95">
        <v>100</v>
      </c>
      <c r="J50" s="2" t="s">
        <v>85</v>
      </c>
    </row>
    <row r="51" spans="4:11" ht="20.100000000000001" customHeight="1" x14ac:dyDescent="0.25"/>
    <row r="52" spans="4:11" ht="20.100000000000001" customHeight="1" x14ac:dyDescent="0.25">
      <c r="D52" s="1" t="s">
        <v>176</v>
      </c>
      <c r="E52" s="41" t="s">
        <v>147</v>
      </c>
      <c r="F52" s="41" t="s">
        <v>147</v>
      </c>
      <c r="G52" s="41" t="s">
        <v>147</v>
      </c>
      <c r="H52" s="41" t="s">
        <v>147</v>
      </c>
      <c r="I52" s="41" t="s">
        <v>147</v>
      </c>
      <c r="J52" s="2" t="s">
        <v>8</v>
      </c>
    </row>
    <row r="53" spans="4:11" ht="20.100000000000001" customHeight="1" x14ac:dyDescent="0.25">
      <c r="K53" s="2"/>
    </row>
    <row r="54" spans="4:11" ht="20.100000000000001" customHeight="1" x14ac:dyDescent="0.25">
      <c r="D54" s="61" t="s">
        <v>16</v>
      </c>
      <c r="E54" s="40" t="s">
        <v>168</v>
      </c>
      <c r="F54" s="40" t="s">
        <v>169</v>
      </c>
      <c r="G54" s="40" t="s">
        <v>170</v>
      </c>
      <c r="H54" s="40" t="s">
        <v>171</v>
      </c>
      <c r="I54" s="40" t="s">
        <v>172</v>
      </c>
      <c r="K54" s="2"/>
    </row>
    <row r="55" spans="4:11" ht="20.100000000000001" customHeight="1" x14ac:dyDescent="0.25">
      <c r="D55" s="1" t="s">
        <v>135</v>
      </c>
      <c r="E55" s="123">
        <f>IF(X_Cell_OtherLivestock_Others_Camels_FencedWater="Yes",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F55" s="123">
        <f>IF(X_Cell_OtherLivestock_Others_Alpacas_FencedWater="Yes",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G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H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I55" s="123">
        <f>IF(X_Cell_OtherLivestock_Others_Horses_FencedWater="Yes", 1,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type],Table_SourceData_OtherLivestock_FractionWasteInMMS[Pasture range and paddock]))/100</f>
        <v>0.99659999999999993</v>
      </c>
      <c r="J55" s="2" t="s">
        <v>122</v>
      </c>
      <c r="K55" s="2"/>
    </row>
    <row r="56" spans="4:11" ht="20.100000000000001" customHeight="1" x14ac:dyDescent="0.25">
      <c r="D56" s="1" t="s">
        <v>124</v>
      </c>
      <c r="E56" s="123">
        <f>IF(X_Cell_OtherLivestock_Others_Camels_FencedWater="Yes",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F56" s="123">
        <f>IF(X_Cell_OtherLivestock_Others_Alpacas_FencedWater="Yes",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G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H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I56" s="123">
        <f>IF(X_Cell_OtherLivestock_Others_Horses_FencedWater="Yes", 0, Common_InputFunctions.Utility_LookupValueInTableNumber(Common_InputFunctions.Utility_ConvertStateCommonNameToAbbreviation(X_Cell_Site_State, Table_AustralianStates[Common Name], Table_AustralianStates[Abbreviation]),Table_SourceData_OtherLivestock_FractionWasteInMMS[Other livestock type],Table_SourceData_OtherLivestock_FractionWasteInMMS[Uncovered anaerobic lagoon]))/100</f>
        <v>3.4000000000000002E-3</v>
      </c>
      <c r="J56" s="2" t="s">
        <v>122</v>
      </c>
    </row>
    <row r="57" spans="4:11" ht="20.100000000000001" customHeight="1" x14ac:dyDescent="0.25">
      <c r="I57" s="2"/>
      <c r="J57" s="2"/>
    </row>
    <row r="58" spans="4:11" ht="20.100000000000001" customHeight="1" x14ac:dyDescent="0.25">
      <c r="D58" s="1" t="s">
        <v>205</v>
      </c>
      <c r="E58" s="41" t="s">
        <v>100</v>
      </c>
      <c r="F58" s="41" t="s">
        <v>100</v>
      </c>
      <c r="G58" s="41" t="s">
        <v>212</v>
      </c>
      <c r="H58" s="41" t="s">
        <v>212</v>
      </c>
      <c r="I58" s="41" t="s">
        <v>100</v>
      </c>
      <c r="J58" s="2" t="s">
        <v>8</v>
      </c>
      <c r="K58" s="2"/>
    </row>
    <row r="59" spans="4:11" ht="20.100000000000001" customHeight="1" x14ac:dyDescent="0.25">
      <c r="E59" s="41" t="s">
        <v>104</v>
      </c>
      <c r="F59" s="41" t="s">
        <v>105</v>
      </c>
      <c r="G59" s="41" t="s">
        <v>103</v>
      </c>
      <c r="H59" s="41" t="s">
        <v>106</v>
      </c>
      <c r="I59" s="41" t="s">
        <v>103</v>
      </c>
      <c r="J59" s="2" t="s">
        <v>8</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234</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D6" s="5" t="str" cm="1">
        <f t="array" ref="D6">MMS_OtherLivestock_Methane_Equations.VEERG_4_7_1_1__2_AnnualMethaneProductionFromManureManagement_Source()</f>
        <v>VEERG 2026: 4.7.1.1, Equation (2)</v>
      </c>
    </row>
    <row r="7" spans="1:21" ht="20.100000000000001" customHeight="1" x14ac:dyDescent="0.25">
      <c r="D7" s="13" t="s">
        <v>22</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MMS_OtherLivestock_Methane_Equations.VEERG_4_7_1_1__2_AnnualMethaneProductionFromManureManagement_Variable()</f>
        <v>M_jm</v>
      </c>
    </row>
    <row r="11" spans="1:21" ht="20.100000000000001" customHeight="1" x14ac:dyDescent="0.25">
      <c r="D11" s="52" t="s">
        <v>15</v>
      </c>
      <c r="E11" s="53" t="str" cm="1">
        <f t="array" ref="E11">MMS_OtherLivestock_Methane_Equations.VEERG_4_7_1_1__2_AnnualMethaneProductionFromManureManagement_Unit()</f>
        <v>kg CH4/head/day</v>
      </c>
    </row>
    <row r="12" spans="1:21" ht="20.100000000000001" customHeight="1" x14ac:dyDescent="0.25"/>
    <row r="13" spans="1:21" ht="20.100000000000001" customHeight="1" x14ac:dyDescent="0.25">
      <c r="A13" s="18" t="s">
        <v>70</v>
      </c>
      <c r="D13" s="113" t="str" cm="1">
        <f t="array" ref="D13:E18">_xlfn.CHOOSECOLS(MMS_OtherLivestock_Methane_Equations.VEERG_4_7_1_1__2_AnnualMethaneProductionFromManureManagement_Arguments(),1,2)</f>
        <v>VS_j</v>
      </c>
      <c r="E13" s="116" t="str">
        <v>volatile solid production</v>
      </c>
      <c r="F13" s="117"/>
      <c r="G13" s="115"/>
      <c r="H13" s="113" t="str" cm="1">
        <f t="array" ref="H13:I18">_xlfn.CHOOSECOLS(MMS_OtherLivestock_Methane_Equations.VEERG_4_7_1_1__2_AnnualMethaneProductionFromManureManagement_Arguments(),3,4)</f>
        <v>kg/head/day</v>
      </c>
      <c r="I13" s="112" t="str">
        <v>Constant</v>
      </c>
      <c r="J13" s="114" t="str" cm="1">
        <f t="array" aca="1" ref="J13" ca="1">HYPERLINK(Common_InputFunctions.Utility_SourceHyperlink($D$20),$D$20)</f>
        <v>Table_VS_j</v>
      </c>
      <c r="N13" s="113" t="str" cm="1">
        <f t="array" ref="N13:O18">_xlfn.CHOOSECOLS(MMS_OtherLivestock_Methane_Equations.VEERG_4_7_1_1__2_AnnualMethaneProductionFromManureManagement_Arguments_Method2(),1,2)</f>
        <v>VS_j</v>
      </c>
      <c r="O13" s="116" t="str">
        <v>volatile solid production</v>
      </c>
      <c r="P13" s="117"/>
      <c r="Q13" s="115"/>
      <c r="R13" s="113" t="str" cm="1">
        <f t="array" ref="R13:S18">_xlfn.CHOOSECOLS(MMS_OtherLivestock_Methane_Equations.VEERG_4_7_1_1__2_AnnualMethaneProductionFromManureManagement_Arguments_Method2(),3,4)</f>
        <v>kg/head/day</v>
      </c>
      <c r="S13" s="112" t="str">
        <v>Constant</v>
      </c>
      <c r="T13" s="114"/>
    </row>
    <row r="14" spans="1:21" ht="20.100000000000001" customHeight="1" x14ac:dyDescent="0.25">
      <c r="A14" s="21" t="str">
        <f>HYPERLINK("#'4.7.1.1-2 Manure Methane'!A1", "4.7.1.1-2 Manure Methane")</f>
        <v>4.7.1.1-2 Manure Methane</v>
      </c>
      <c r="D14" s="113" t="str">
        <v>B_O</v>
      </c>
      <c r="E14" s="116" t="str">
        <v>methane emissions potential</v>
      </c>
      <c r="F14" s="117"/>
      <c r="G14" s="115"/>
      <c r="H14" s="113" t="str">
        <v>m3 CH4/kg VS</v>
      </c>
      <c r="I14" s="112" t="str">
        <v>Constant</v>
      </c>
      <c r="J14" s="114" t="str" cm="1">
        <f t="array" aca="1" ref="J14" ca="1">HYPERLINK(Common_InputFunctions.Utility_SourceHyperlink($D$32),$D$32)</f>
        <v>Table_B_O</v>
      </c>
      <c r="N14" s="113" t="str">
        <v>B_O</v>
      </c>
      <c r="O14" s="116" t="str">
        <v>methane emissions potential</v>
      </c>
      <c r="P14" s="117"/>
      <c r="Q14" s="115"/>
      <c r="R14" s="113" t="str">
        <v>m3 CH4/kg VS</v>
      </c>
      <c r="S14" s="112" t="str">
        <v>Constant</v>
      </c>
      <c r="T14" s="114"/>
    </row>
    <row r="15" spans="1:21" ht="20.100000000000001" customHeight="1" x14ac:dyDescent="0.25">
      <c r="A15" s="17" t="str">
        <f>HYPERLINK("#'4.7.1.3-4 Soil Direct N2O'!A1", "4.7.1.3-4 Soil Direct N2O")</f>
        <v>4.7.1.3-4 Soil Direct N2O</v>
      </c>
      <c r="D15" s="113" t="str">
        <v>MMS_m</v>
      </c>
      <c r="E15" s="116" t="str">
        <v>fraction of waste in each manure management system</v>
      </c>
      <c r="F15" s="117"/>
      <c r="G15" s="115"/>
      <c r="H15" s="113" t="str">
        <v>fraction</v>
      </c>
      <c r="I15" s="112" t="str">
        <v>Constant</v>
      </c>
      <c r="J15" s="114" t="str" cm="1">
        <f t="array" aca="1" ref="J15" ca="1">HYPERLINK(Common_InputFunctions.Utility_SourceHyperlink($D$44),D44)</f>
        <v>Table_MMS_m</v>
      </c>
      <c r="N15" s="113" t="str">
        <v>MMS_m</v>
      </c>
      <c r="O15" s="116" t="str">
        <v>fraction of waste in each manure management system</v>
      </c>
      <c r="P15" s="117"/>
      <c r="Q15" s="115"/>
      <c r="R15" s="113" t="str">
        <v>fraction</v>
      </c>
      <c r="S15" s="112" t="str">
        <v>Constant</v>
      </c>
      <c r="T15" s="114"/>
    </row>
    <row r="16" spans="1:21" ht="20.100000000000001" customHeight="1" x14ac:dyDescent="0.25">
      <c r="A16" s="17" t="str">
        <f>HYPERLINK("#'4.7.1.5-6 Soil Atmos Deposition'!A1", "4.7.1.5-6 Soil Atmos Deposition")</f>
        <v>4.7.1.5-6 Soil Atmos Deposition</v>
      </c>
      <c r="D16" s="113" t="str">
        <v>MCF_im</v>
      </c>
      <c r="E16" s="116" t="str">
        <v>methane conversion factor for state and manure management system</v>
      </c>
      <c r="F16" s="117"/>
      <c r="G16" s="115"/>
      <c r="H16" s="113" t="str">
        <v>fraction</v>
      </c>
      <c r="I16" s="112" t="str">
        <v>Constant</v>
      </c>
      <c r="J16" s="114" t="str" cm="1">
        <f t="array" aca="1" ref="J16" ca="1">HYPERLINK(Common_InputFunctions.Utility_SourceHyperlink($D$56),$D$56)</f>
        <v>M1_Table_MCF_i_m</v>
      </c>
      <c r="N16" s="113" t="str">
        <v>MCF_im</v>
      </c>
      <c r="O16" s="116" t="str">
        <v>methane conversion factor for temperature zone and manure management system</v>
      </c>
      <c r="P16" s="117"/>
      <c r="Q16" s="115"/>
      <c r="R16" s="113" t="str">
        <v>fraction</v>
      </c>
      <c r="S16" s="112" t="str">
        <v>Constant</v>
      </c>
      <c r="T16" s="114" t="str" cm="1">
        <f t="array" aca="1" ref="T16" ca="1">HYPERLINK(Common_InputFunctions.Utility_SourceHyperlink($N$56),$N$56)</f>
        <v>M2_Table_MCF_i_m</v>
      </c>
    </row>
    <row r="17" spans="1:20" ht="20.100000000000001" customHeight="1" x14ac:dyDescent="0.25">
      <c r="A17" s="17" t="str">
        <f>HYPERLINK("#'4.7.1.7-8 Soil Leaching Runoff'!A1", "4.7.1.7-8 Soil Leaching Runoff")</f>
        <v>4.7.1.7-8 Soil Leaching Runoff</v>
      </c>
      <c r="D17" s="113" t="str">
        <v>rho</v>
      </c>
      <c r="E17" s="116" t="str">
        <v>density of methane</v>
      </c>
      <c r="F17" s="117"/>
      <c r="G17" s="115"/>
      <c r="H17" s="113" t="str">
        <v>kg/m3</v>
      </c>
      <c r="I17" s="112" t="str">
        <v>Constant</v>
      </c>
      <c r="J17" s="113">
        <f>Common_SourceData_DensityOfMethane_Data</f>
        <v>0.6784</v>
      </c>
      <c r="N17" s="113" t="str">
        <v>rho</v>
      </c>
      <c r="O17" s="116" t="str">
        <v>density of methane</v>
      </c>
      <c r="P17" s="117"/>
      <c r="Q17" s="115"/>
      <c r="R17" s="113" t="str">
        <v>kg/m3</v>
      </c>
      <c r="S17" s="112" t="str">
        <v>Constant</v>
      </c>
      <c r="T17" s="113"/>
    </row>
    <row r="18" spans="1:20" ht="20.100000000000001" customHeight="1" x14ac:dyDescent="0.25">
      <c r="D18" s="113" t="str">
        <v>i</v>
      </c>
      <c r="E18" s="116" t="str">
        <v>state</v>
      </c>
      <c r="F18" s="117"/>
      <c r="G18" s="115"/>
      <c r="H18" s="113" t="str">
        <v/>
      </c>
      <c r="I18" s="111" t="str">
        <v>Input</v>
      </c>
      <c r="J18" s="113" t="str">
        <f>Common_InputFunctions.Utility_ConvertStateCommonNameToAbbreviation(X_Cell_Site_State,Table_AustralianStates[Common Name],Table_AustralianStates[Abbreviation])</f>
        <v>NSW</v>
      </c>
      <c r="N18" s="113" t="str">
        <v>i</v>
      </c>
      <c r="O18" s="116" t="str">
        <v>mean annual temperature</v>
      </c>
      <c r="P18" s="117"/>
      <c r="Q18" s="115"/>
      <c r="R18" s="113" t="str">
        <v>degrees Celsius</v>
      </c>
      <c r="S18" s="111" t="str">
        <v>Input</v>
      </c>
      <c r="T18" s="113">
        <f>X_Cell_Site_AverageTemperature</f>
        <v>18</v>
      </c>
    </row>
    <row r="19" spans="1:20" ht="20.100000000000001" customHeight="1" x14ac:dyDescent="0.25"/>
    <row r="20" spans="1:20" ht="20.100000000000001" customHeight="1" x14ac:dyDescent="0.25">
      <c r="A20" s="124" t="s">
        <v>1</v>
      </c>
      <c r="D20" s="94" t="s">
        <v>179</v>
      </c>
    </row>
    <row r="21" spans="1:20" ht="20.100000000000001" customHeight="1" x14ac:dyDescent="0.25">
      <c r="A21" s="17" t="str">
        <f>HYPERLINK("#'Constants - Other Livestock'!A1", "Constants - Other Livestock")</f>
        <v>Constants - Other Livestock</v>
      </c>
      <c r="D21" s="93" t="s">
        <v>180</v>
      </c>
    </row>
    <row r="22" spans="1:20" ht="20.100000000000001" customHeight="1" x14ac:dyDescent="0.25">
      <c r="A22" s="17" t="str">
        <f>HYPERLINK("#'Constants - Livestock'!A1", "Constants - Livestock")</f>
        <v>Constants - Livestock</v>
      </c>
      <c r="D22" s="50" t="s">
        <v>181</v>
      </c>
      <c r="E22" s="50" t="s">
        <v>230</v>
      </c>
    </row>
    <row r="23" spans="1:20" ht="20.100000000000001" customHeight="1" x14ac:dyDescent="0.25">
      <c r="A23" s="17" t="str">
        <f>HYPERLINK("#'Constants - Common'!A1", "Constants - Common")</f>
        <v>Constants - Common</v>
      </c>
      <c r="D23" s="51" t="str">
        <f>'Constants - Other Livestock'!D25</f>
        <v>Buffalo</v>
      </c>
      <c r="E23" s="51">
        <f>'Constants - Other Livestock'!E25</f>
        <v>2.73</v>
      </c>
      <c r="F23" s="2" t="str">
        <f>H13</f>
        <v>kg/head/day</v>
      </c>
    </row>
    <row r="24" spans="1:20" ht="20.100000000000001" customHeight="1" x14ac:dyDescent="0.25">
      <c r="A24" s="17" t="str">
        <f>HYPERLINK("#'Acknowledgements'!A1", "Acknowledgements")</f>
        <v>Acknowledgements</v>
      </c>
      <c r="D24" s="51" t="str">
        <f>'Constants - Other Livestock'!D26</f>
        <v>Goats</v>
      </c>
      <c r="E24" s="51">
        <f>'Constants - Other Livestock'!E26</f>
        <v>0.34</v>
      </c>
    </row>
    <row r="25" spans="1:20" ht="20.100000000000001" customHeight="1" x14ac:dyDescent="0.25">
      <c r="D25" s="51" t="str">
        <f>'Constants - Other Livestock'!D27</f>
        <v>Deer</v>
      </c>
      <c r="E25" s="51">
        <f>'Constants - Other Livestock'!E27</f>
        <v>0.91</v>
      </c>
    </row>
    <row r="26" spans="1:20" ht="20.100000000000001" customHeight="1" x14ac:dyDescent="0.25">
      <c r="D26" s="51" t="str">
        <f>'Constants - Other Livestock'!D28</f>
        <v>Camels</v>
      </c>
      <c r="E26" s="51">
        <f>'Constants - Other Livestock'!E28</f>
        <v>2.73</v>
      </c>
    </row>
    <row r="27" spans="1:20" ht="20.100000000000001" customHeight="1" x14ac:dyDescent="0.25">
      <c r="D27" s="51" t="str">
        <f>'Constants - Other Livestock'!D29</f>
        <v>Alpacas</v>
      </c>
      <c r="E27" s="51">
        <f>'Constants - Other Livestock'!E29</f>
        <v>0.34</v>
      </c>
    </row>
    <row r="28" spans="1:20" ht="20.100000000000001" customHeight="1" x14ac:dyDescent="0.25">
      <c r="D28" s="51" t="str">
        <f>'Constants - Other Livestock'!D30</f>
        <v>Horses</v>
      </c>
      <c r="E28" s="51">
        <f>'Constants - Other Livestock'!E30</f>
        <v>2.73</v>
      </c>
    </row>
    <row r="29" spans="1:20" ht="20.100000000000001" customHeight="1" x14ac:dyDescent="0.25">
      <c r="D29" s="51" t="str">
        <f>'Constants - Other Livestock'!D31</f>
        <v>Mules/asses</v>
      </c>
      <c r="E29" s="51">
        <f>'Constants - Other Livestock'!E31</f>
        <v>0.91</v>
      </c>
    </row>
    <row r="30" spans="1:20" ht="20.100000000000001" customHeight="1" x14ac:dyDescent="0.25">
      <c r="D30" s="51" t="str">
        <f>'Constants - Other Livestock'!D32</f>
        <v>Emus/ostriches</v>
      </c>
      <c r="E30" s="51">
        <f>'Constants - Other Livestock'!E32</f>
        <v>0.34</v>
      </c>
    </row>
    <row r="31" spans="1:20" ht="20.100000000000001" customHeight="1" x14ac:dyDescent="0.25"/>
    <row r="32" spans="1:20" ht="20.100000000000001" customHeight="1" x14ac:dyDescent="0.25">
      <c r="D32" s="94" t="s">
        <v>182</v>
      </c>
    </row>
    <row r="33" spans="4:7" ht="20.100000000000001" customHeight="1" x14ac:dyDescent="0.25">
      <c r="D33" s="93" t="s">
        <v>183</v>
      </c>
    </row>
    <row r="34" spans="4:7" ht="20.100000000000001" customHeight="1" x14ac:dyDescent="0.25">
      <c r="D34" s="50" t="s">
        <v>181</v>
      </c>
      <c r="E34" s="50" t="s">
        <v>229</v>
      </c>
    </row>
    <row r="35" spans="4:7" ht="20.100000000000001" customHeight="1" x14ac:dyDescent="0.25">
      <c r="D35" s="51" t="str">
        <f>'Constants - Other Livestock'!D103</f>
        <v>Buffalo</v>
      </c>
      <c r="E35" s="51">
        <f>'Constants - Other Livestock'!E103</f>
        <v>0.19</v>
      </c>
      <c r="F35" s="2" t="str">
        <f>$H$14</f>
        <v>m3 CH4/kg VS</v>
      </c>
    </row>
    <row r="36" spans="4:7" ht="20.100000000000001" customHeight="1" x14ac:dyDescent="0.25">
      <c r="D36" s="51" t="str">
        <f>'Constants - Other Livestock'!D104</f>
        <v>Goats</v>
      </c>
      <c r="E36" s="51">
        <f>'Constants - Other Livestock'!E104</f>
        <v>0.24</v>
      </c>
    </row>
    <row r="37" spans="4:7" ht="20.100000000000001" customHeight="1" x14ac:dyDescent="0.25">
      <c r="D37" s="51" t="str">
        <f>'Constants - Other Livestock'!D105</f>
        <v>Deer</v>
      </c>
      <c r="E37" s="51">
        <f>'Constants - Other Livestock'!E105</f>
        <v>0.24</v>
      </c>
    </row>
    <row r="38" spans="4:7" ht="20.100000000000001" customHeight="1" x14ac:dyDescent="0.25">
      <c r="D38" s="51" t="str">
        <f>'Constants - Other Livestock'!D106</f>
        <v>Camels</v>
      </c>
      <c r="E38" s="51">
        <f>'Constants - Other Livestock'!E106</f>
        <v>0.24</v>
      </c>
    </row>
    <row r="39" spans="4:7" ht="20.100000000000001" customHeight="1" x14ac:dyDescent="0.25">
      <c r="D39" s="51" t="str">
        <f>'Constants - Other Livestock'!D107</f>
        <v>Alpacas</v>
      </c>
      <c r="E39" s="51">
        <f>'Constants - Other Livestock'!E107</f>
        <v>0.24</v>
      </c>
    </row>
    <row r="40" spans="4:7" ht="20.100000000000001" customHeight="1" x14ac:dyDescent="0.25">
      <c r="D40" s="51" t="str">
        <f>'Constants - Other Livestock'!D108</f>
        <v>Horses</v>
      </c>
      <c r="E40" s="51">
        <f>'Constants - Other Livestock'!E108</f>
        <v>0.19</v>
      </c>
    </row>
    <row r="41" spans="4:7" ht="20.100000000000001" customHeight="1" x14ac:dyDescent="0.25">
      <c r="D41" s="51" t="str">
        <f>'Constants - Other Livestock'!D109</f>
        <v>Mules/asses</v>
      </c>
      <c r="E41" s="51">
        <f>'Constants - Other Livestock'!E109</f>
        <v>0.24</v>
      </c>
    </row>
    <row r="42" spans="4:7" ht="20.100000000000001" customHeight="1" x14ac:dyDescent="0.25">
      <c r="D42" s="51" t="str">
        <f>'Constants - Other Livestock'!D110</f>
        <v>Emus/ostriches</v>
      </c>
      <c r="E42" s="51">
        <f>'Constants - Other Livestock'!E110</f>
        <v>0.36</v>
      </c>
    </row>
    <row r="43" spans="4:7" ht="20.100000000000001" customHeight="1" x14ac:dyDescent="0.25"/>
    <row r="44" spans="4:7" ht="20.100000000000001" customHeight="1" x14ac:dyDescent="0.25">
      <c r="D44" s="94" t="s">
        <v>184</v>
      </c>
    </row>
    <row r="45" spans="4:7" ht="20.100000000000001" customHeight="1" x14ac:dyDescent="0.25">
      <c r="D45" s="93" t="s">
        <v>185</v>
      </c>
    </row>
    <row r="46" spans="4:7" ht="20.100000000000001" customHeight="1" x14ac:dyDescent="0.25">
      <c r="D46" s="50" t="s">
        <v>181</v>
      </c>
      <c r="E46" s="50" t="s">
        <v>135</v>
      </c>
      <c r="F46" s="50" t="s">
        <v>124</v>
      </c>
    </row>
    <row r="47" spans="4:7" ht="20.100000000000001" customHeight="1" x14ac:dyDescent="0.25">
      <c r="D47" s="51" t="s">
        <v>150</v>
      </c>
      <c r="E47" s="51">
        <f>X_Cell_OtherLivestock_Buffalo_CalculatedMMSPastureRangeAndPaddock</f>
        <v>0.99659999999999993</v>
      </c>
      <c r="F47" s="51">
        <f>X_Cell_OtherLivestock_Buffalo_CalculatedMMSAnaerobicLagoon</f>
        <v>3.4000000000000002E-3</v>
      </c>
      <c r="G47" s="2" t="str">
        <f>$H$15</f>
        <v>fraction</v>
      </c>
    </row>
    <row r="48" spans="4:7" ht="20.100000000000001" customHeight="1" x14ac:dyDescent="0.25">
      <c r="D48" s="51" t="s">
        <v>155</v>
      </c>
      <c r="E48" s="51">
        <f>X_Cell_OtherLivestock_Goats_CalculatedMMSPastureRangeAndPaddock</f>
        <v>0.99659999999999993</v>
      </c>
      <c r="F48" s="51">
        <f>X_Cell_OtherLivestock_Goats_CalculatedMMSAnaerobicLagoon</f>
        <v>3.4000000000000002E-3</v>
      </c>
    </row>
    <row r="49" spans="4:16" ht="20.100000000000001" customHeight="1" x14ac:dyDescent="0.25">
      <c r="D49" s="51" t="s">
        <v>162</v>
      </c>
      <c r="E49" s="51">
        <f>X_Cell_OtherLivestock_Deer_CalculatedMMSPastureRangeAndPaddock</f>
        <v>0.99659999999999993</v>
      </c>
      <c r="F49" s="51">
        <f>X_Cell_OtherLivestock_Deer_CalculatedMMSAnaerobicLagoon</f>
        <v>3.4000000000000002E-3</v>
      </c>
    </row>
    <row r="50" spans="4:16" ht="20.100000000000001" customHeight="1" x14ac:dyDescent="0.25">
      <c r="D50" s="51" t="s">
        <v>168</v>
      </c>
      <c r="E50" s="51">
        <f>X_Cell_OtherLivestock_Others_Camels_CalculatedMMSPastureRangeAndPaddock</f>
        <v>0.99659999999999993</v>
      </c>
      <c r="F50" s="51">
        <f>X_Cell_OtherLivestock_Others_Camels_CalculatedMMSAnaerobicLagoon</f>
        <v>3.4000000000000002E-3</v>
      </c>
    </row>
    <row r="51" spans="4:16" ht="20.100000000000001" customHeight="1" x14ac:dyDescent="0.25">
      <c r="D51" s="51" t="s">
        <v>169</v>
      </c>
      <c r="E51" s="51">
        <f>X_Cell_OtherLivestock_Others_Alpacas_CalculatedMMSPastureRangeAndPaddock</f>
        <v>0.99659999999999993</v>
      </c>
      <c r="F51" s="51">
        <f>X_Cell_OtherLivestock_Others_Alpacas_CalculatedMMSAnaerobicLagoon</f>
        <v>3.4000000000000002E-3</v>
      </c>
    </row>
    <row r="52" spans="4:16" ht="20.100000000000001" customHeight="1" x14ac:dyDescent="0.25">
      <c r="D52" s="51" t="s">
        <v>170</v>
      </c>
      <c r="E52" s="51">
        <f>X_Cell_OtherLivestock_Others_Horses_CalculatedMMSPastureRangeAndPaddock</f>
        <v>0.99659999999999993</v>
      </c>
      <c r="F52" s="51">
        <f>X_Cell_OtherLivestock_Others_Horses_CalculatedMMSAnaerobicLagoon</f>
        <v>3.4000000000000002E-3</v>
      </c>
    </row>
    <row r="53" spans="4:16" ht="20.100000000000001" customHeight="1" x14ac:dyDescent="0.25">
      <c r="D53" s="51" t="s">
        <v>186</v>
      </c>
      <c r="E53" s="51">
        <f>X_Cell_OtherLivestock_Others_Mules_CalculatedMMSPastureRangeAndPaddock</f>
        <v>0.99659999999999993</v>
      </c>
      <c r="F53" s="51">
        <f>X_Cell_OtherLivestock_Others_Mules_CalculatedMMSAnaerobicLagoon</f>
        <v>3.4000000000000002E-3</v>
      </c>
    </row>
    <row r="54" spans="4:16" ht="20.100000000000001" customHeight="1" x14ac:dyDescent="0.25">
      <c r="D54" s="51" t="s">
        <v>187</v>
      </c>
      <c r="E54" s="51">
        <f>X_Cell_OtherLivestock_Others_Emus_CalculatedMMSPastureRangeAndPaddock</f>
        <v>0.99659999999999993</v>
      </c>
      <c r="F54" s="51">
        <f>X_Cell_OtherLivestock_Others_Emus_CalculatedMMSAnaerobicLagoon</f>
        <v>3.4000000000000002E-3</v>
      </c>
    </row>
    <row r="55" spans="4:16" ht="20.100000000000001" customHeight="1" x14ac:dyDescent="0.25"/>
    <row r="56" spans="4:16" ht="20.100000000000001" customHeight="1" x14ac:dyDescent="0.25">
      <c r="D56" s="94" t="s">
        <v>188</v>
      </c>
      <c r="N56" s="94" t="s">
        <v>190</v>
      </c>
    </row>
    <row r="57" spans="4:16" ht="20.100000000000001" customHeight="1" x14ac:dyDescent="0.25">
      <c r="D57" s="93" t="s">
        <v>189</v>
      </c>
      <c r="N57" s="93" t="s">
        <v>191</v>
      </c>
    </row>
    <row r="58" spans="4:16" ht="20.100000000000001" customHeight="1" x14ac:dyDescent="0.25">
      <c r="D58" s="50" t="s">
        <v>63</v>
      </c>
      <c r="E58" s="50" t="s">
        <v>83</v>
      </c>
      <c r="N58" s="50" t="s">
        <v>63</v>
      </c>
      <c r="O58" s="50" t="s">
        <v>83</v>
      </c>
    </row>
    <row r="59" spans="4:16" ht="20.100000000000001" customHeight="1" x14ac:dyDescent="0.25">
      <c r="D59" s="51" t="s">
        <v>135</v>
      </c>
      <c r="E59" s="51" cm="1">
        <f t="array" ref="E59">Common_InputFunctions.Utility_LookupValueInTableNumber($J$18,Table_SourceData_OtherLivestock_MCF[Other livestock type],Table_SourceData_OtherLivestock_MCF[Pasture range and paddock])</f>
        <v>4.7000000000000002E-3</v>
      </c>
      <c r="F59" s="2" t="str">
        <f>$H$16</f>
        <v>fraction</v>
      </c>
      <c r="N59" s="51" t="s">
        <v>135</v>
      </c>
      <c r="O59" s="51">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1" t="s">
        <v>124</v>
      </c>
      <c r="E60" s="51" cm="1">
        <f t="array" ref="E60">Common_InputFunctions.Utility_LookupValueInTableNumber($J$18,Table_SourceData_OtherLivestock_MCF[Other livestock type],Table_SourceData_OtherLivestock_MCF[Uncovered anaerobic lagoon])</f>
        <v>0.75</v>
      </c>
      <c r="N60" s="51" t="s">
        <v>124</v>
      </c>
      <c r="O60" s="51">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4" t="s">
        <v>192</v>
      </c>
      <c r="N62" s="94" t="s">
        <v>194</v>
      </c>
    </row>
    <row r="63" spans="4:16" ht="20.100000000000001" customHeight="1" x14ac:dyDescent="0.25">
      <c r="D63" s="93" t="s">
        <v>193</v>
      </c>
      <c r="N63" s="93" t="s">
        <v>195</v>
      </c>
    </row>
    <row r="64" spans="4:16" ht="20.100000000000001" customHeight="1" x14ac:dyDescent="0.25">
      <c r="D64" s="50" t="s">
        <v>181</v>
      </c>
      <c r="E64" s="50" t="s">
        <v>135</v>
      </c>
      <c r="F64" s="50" t="s">
        <v>124</v>
      </c>
      <c r="N64" s="50" t="s">
        <v>181</v>
      </c>
      <c r="O64" s="50" t="s">
        <v>135</v>
      </c>
      <c r="P64" s="50" t="s">
        <v>124</v>
      </c>
    </row>
    <row r="65" spans="3:21" ht="20.100000000000001" customHeight="1" x14ac:dyDescent="0.25">
      <c r="D65" s="51" t="s">
        <v>150</v>
      </c>
      <c r="E65" s="51" cm="1">
        <f t="array" ref="E65">MMS_OtherLivestock_Methane_Equations.VEERG_4_7_1_1__2_AnnualMethaneProductionFromManureManagement($E23,$E35,E47,$E$59,$J$17)</f>
        <v>1.6482414364416005E-3</v>
      </c>
      <c r="F65" s="51" cm="1">
        <f t="array" ref="F65">MMS_OtherLivestock_Methane_Equations.VEERG_4_7_1_1__2_AnnualMethaneProductionFromManureManagement($E23,$E35,F47,$E$60,$J$17)</f>
        <v>8.9730950400000004E-4</v>
      </c>
      <c r="G65" s="2" t="str">
        <f>$E$11</f>
        <v>kg CH4/head/day</v>
      </c>
      <c r="N65" s="51" t="s">
        <v>150</v>
      </c>
      <c r="O65" s="51" cm="1">
        <f t="array" ref="O65">MMS_OtherLivestock_Methane_Equations.VEERG_4_7_1_1__2_AnnualMethaneProductionFromManureManagement($E23,$E35,E47,$O$59,$J$17)</f>
        <v>1.6482414364416005E-3</v>
      </c>
      <c r="P65" s="51" cm="1">
        <f t="array" ref="P65">MMS_OtherLivestock_Methane_Equations.VEERG_4_7_1_1__2_AnnualMethaneProductionFromManureManagement($E23,$E35,F47,$O$60,$J$17)</f>
        <v>9.2123775744000014E-4</v>
      </c>
      <c r="Q65" s="2" t="str">
        <f>$E$11</f>
        <v>kg CH4/head/day</v>
      </c>
    </row>
    <row r="66" spans="3:21" ht="20.100000000000001" customHeight="1" x14ac:dyDescent="0.25">
      <c r="D66" s="51" t="s">
        <v>155</v>
      </c>
      <c r="E66" s="51" cm="1">
        <f t="array" ref="E66">MMS_OtherLivestock_Methane_Equations.VEERG_4_7_1_1__2_AnnualMethaneProductionFromManureManagement($E24,$E36,E48,$E$59,$J$17)</f>
        <v>2.5929535610880004E-4</v>
      </c>
      <c r="F66" s="51" cm="1">
        <f t="array" ref="F66">MMS_OtherLivestock_Methane_Equations.VEERG_4_7_1_1__2_AnnualMethaneProductionFromManureManagement($E24,$E36,F48,$E$60,$J$17)</f>
        <v>1.4116147200000001E-4</v>
      </c>
      <c r="N66" s="51" t="s">
        <v>155</v>
      </c>
      <c r="O66" s="51" cm="1">
        <f t="array" ref="O66">MMS_OtherLivestock_Methane_Equations.VEERG_4_7_1_1__2_AnnualMethaneProductionFromManureManagement($E24,$E36,E48,$O$59,$J$17)</f>
        <v>2.5929535610880004E-4</v>
      </c>
      <c r="P66" s="51" cm="1">
        <f t="array" ref="P66">MMS_OtherLivestock_Methane_Equations.VEERG_4_7_1_1__2_AnnualMethaneProductionFromManureManagement($E24,$E36,F48,$O$60,$J$17)</f>
        <v>1.4492577792000002E-4</v>
      </c>
    </row>
    <row r="67" spans="3:21" ht="20.100000000000001" customHeight="1" x14ac:dyDescent="0.25">
      <c r="D67" s="51" t="s">
        <v>162</v>
      </c>
      <c r="E67" s="51" cm="1">
        <f t="array" ref="E67">MMS_OtherLivestock_Methane_Equations.VEERG_4_7_1_1__2_AnnualMethaneProductionFromManureManagement($E25,$E37,E49,$E$59,$J$17)</f>
        <v>6.9399639429120006E-4</v>
      </c>
      <c r="F67" s="51" cm="1">
        <f t="array" ref="F67">MMS_OtherLivestock_Methane_Equations.VEERG_4_7_1_1__2_AnnualMethaneProductionFromManureManagement($E25,$E37,F49,$E$60,$J$17)</f>
        <v>3.7781452800000003E-4</v>
      </c>
      <c r="N67" s="51" t="s">
        <v>162</v>
      </c>
      <c r="O67" s="51" cm="1">
        <f t="array" ref="O67">MMS_OtherLivestock_Methane_Equations.VEERG_4_7_1_1__2_AnnualMethaneProductionFromManureManagement($E25,$E37,E49,$O$59,$J$17)</f>
        <v>6.9399639429120006E-4</v>
      </c>
      <c r="P67" s="51" cm="1">
        <f t="array" ref="P67">MMS_OtherLivestock_Methane_Equations.VEERG_4_7_1_1__2_AnnualMethaneProductionFromManureManagement($E25,$E37,F49,$O$60,$J$17)</f>
        <v>3.8788958208000007E-4</v>
      </c>
    </row>
    <row r="68" spans="3:21" ht="20.100000000000001" customHeight="1" x14ac:dyDescent="0.25">
      <c r="D68" s="51" t="s">
        <v>168</v>
      </c>
      <c r="E68" s="51" cm="1">
        <f t="array" ref="E68">MMS_OtherLivestock_Methane_Equations.VEERG_4_7_1_1__2_AnnualMethaneProductionFromManureManagement($E26,$E38,E50,$E$59,$J$17)</f>
        <v>2.0819891828735997E-3</v>
      </c>
      <c r="F68" s="51" cm="1">
        <f t="array" ref="F68">MMS_OtherLivestock_Methane_Equations.VEERG_4_7_1_1__2_AnnualMethaneProductionFromManureManagement($E26,$E38,F50,$E$60,$J$17)</f>
        <v>1.1334435840000001E-3</v>
      </c>
      <c r="N68" s="51" t="s">
        <v>168</v>
      </c>
      <c r="O68" s="51" cm="1">
        <f t="array" ref="O68">MMS_OtherLivestock_Methane_Equations.VEERG_4_7_1_1__2_AnnualMethaneProductionFromManureManagement($E26,$E38,E50,$O$59,$J$17)</f>
        <v>2.0819891828735997E-3</v>
      </c>
      <c r="P68" s="51" cm="1">
        <f t="array" ref="P68">MMS_OtherLivestock_Methane_Equations.VEERG_4_7_1_1__2_AnnualMethaneProductionFromManureManagement($E26,$E38,F50,$O$60,$J$17)</f>
        <v>1.1636687462400002E-3</v>
      </c>
    </row>
    <row r="69" spans="3:21" ht="20.100000000000001" customHeight="1" x14ac:dyDescent="0.25">
      <c r="D69" s="51" t="s">
        <v>169</v>
      </c>
      <c r="E69" s="51" cm="1">
        <f t="array" ref="E69">MMS_OtherLivestock_Methane_Equations.VEERG_4_7_1_1__2_AnnualMethaneProductionFromManureManagement($E27,$E39,E51,$E$59,$J$17)</f>
        <v>2.5929535610880004E-4</v>
      </c>
      <c r="F69" s="51" cm="1">
        <f t="array" ref="F69">MMS_OtherLivestock_Methane_Equations.VEERG_4_7_1_1__2_AnnualMethaneProductionFromManureManagement($E27,$E39,F51,$E$60,$J$17)</f>
        <v>1.4116147200000001E-4</v>
      </c>
      <c r="N69" s="51" t="s">
        <v>169</v>
      </c>
      <c r="O69" s="51" cm="1">
        <f t="array" ref="O69">MMS_OtherLivestock_Methane_Equations.VEERG_4_7_1_1__2_AnnualMethaneProductionFromManureManagement($E27,$E39,E51,$O$59,$J$17)</f>
        <v>2.5929535610880004E-4</v>
      </c>
      <c r="P69" s="51" cm="1">
        <f t="array" ref="P69">MMS_OtherLivestock_Methane_Equations.VEERG_4_7_1_1__2_AnnualMethaneProductionFromManureManagement($E27,$E39,F51,$O$60,$J$17)</f>
        <v>1.4492577792000002E-4</v>
      </c>
    </row>
    <row r="70" spans="3:21" ht="20.100000000000001" customHeight="1" x14ac:dyDescent="0.25">
      <c r="D70" s="51" t="s">
        <v>170</v>
      </c>
      <c r="E70" s="51" cm="1">
        <f t="array" ref="E70">MMS_OtherLivestock_Methane_Equations.VEERG_4_7_1_1__2_AnnualMethaneProductionFromManureManagement($E28,$E40,E52,$E$59,$J$17)</f>
        <v>1.6482414364416005E-3</v>
      </c>
      <c r="F70" s="51" cm="1">
        <f t="array" ref="F70">MMS_OtherLivestock_Methane_Equations.VEERG_4_7_1_1__2_AnnualMethaneProductionFromManureManagement($E28,$E40,F52,$E$60,$J$17)</f>
        <v>8.9730950400000004E-4</v>
      </c>
      <c r="N70" s="51" t="s">
        <v>170</v>
      </c>
      <c r="O70" s="51" cm="1">
        <f t="array" ref="O70">MMS_OtherLivestock_Methane_Equations.VEERG_4_7_1_1__2_AnnualMethaneProductionFromManureManagement($E28,$E40,E52,$O$59,$J$17)</f>
        <v>1.6482414364416005E-3</v>
      </c>
      <c r="P70" s="51" cm="1">
        <f t="array" ref="P70">MMS_OtherLivestock_Methane_Equations.VEERG_4_7_1_1__2_AnnualMethaneProductionFromManureManagement($E28,$E40,F52,$O$60,$J$17)</f>
        <v>9.2123775744000014E-4</v>
      </c>
    </row>
    <row r="71" spans="3:21" ht="20.100000000000001" customHeight="1" x14ac:dyDescent="0.25">
      <c r="D71" s="51" t="s">
        <v>186</v>
      </c>
      <c r="E71" s="51" cm="1">
        <f t="array" ref="E71">MMS_OtherLivestock_Methane_Equations.VEERG_4_7_1_1__2_AnnualMethaneProductionFromManureManagement($E29,$E41,E53,$E$59,$J$17)</f>
        <v>6.9399639429120006E-4</v>
      </c>
      <c r="F71" s="51" cm="1">
        <f t="array" ref="F71">MMS_OtherLivestock_Methane_Equations.VEERG_4_7_1_1__2_AnnualMethaneProductionFromManureManagement($E29,$E41,F53,$E$60,$J$17)</f>
        <v>3.7781452800000003E-4</v>
      </c>
      <c r="N71" s="51" t="s">
        <v>186</v>
      </c>
      <c r="O71" s="51" cm="1">
        <f t="array" ref="O71">MMS_OtherLivestock_Methane_Equations.VEERG_4_7_1_1__2_AnnualMethaneProductionFromManureManagement($E29,$E41,E53,$O$59,$J$17)</f>
        <v>6.9399639429120006E-4</v>
      </c>
      <c r="P71" s="51" cm="1">
        <f t="array" ref="P71">MMS_OtherLivestock_Methane_Equations.VEERG_4_7_1_1__2_AnnualMethaneProductionFromManureManagement($E29,$E41,F53,$O$60,$J$17)</f>
        <v>3.8788958208000007E-4</v>
      </c>
    </row>
    <row r="72" spans="3:21" ht="20.100000000000001" customHeight="1" x14ac:dyDescent="0.25">
      <c r="D72" s="51" t="s">
        <v>187</v>
      </c>
      <c r="E72" s="51" cm="1">
        <f t="array" ref="E72">MMS_OtherLivestock_Methane_Equations.VEERG_4_7_1_1__2_AnnualMethaneProductionFromManureManagement($E30,$E42,E54,$E$59,$J$17)</f>
        <v>3.8894303416319999E-4</v>
      </c>
      <c r="F72" s="51" cm="1">
        <f t="array" ref="F72">MMS_OtherLivestock_Methane_Equations.VEERG_4_7_1_1__2_AnnualMethaneProductionFromManureManagement($E30,$E42,F54,$E$60,$J$17)</f>
        <v>2.1174220800000002E-4</v>
      </c>
      <c r="N72" s="51" t="s">
        <v>187</v>
      </c>
      <c r="O72" s="51" cm="1">
        <f t="array" ref="O72">MMS_OtherLivestock_Methane_Equations.VEERG_4_7_1_1__2_AnnualMethaneProductionFromManureManagement($E30,$E42,E54,$O$59,$J$17)</f>
        <v>3.8894303416319999E-4</v>
      </c>
      <c r="P72" s="51"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6"/>
      <c r="D75" s="46"/>
      <c r="E75" s="46"/>
      <c r="F75" s="46"/>
      <c r="G75" s="46"/>
      <c r="H75" s="46"/>
      <c r="I75" s="46"/>
      <c r="J75" s="46"/>
      <c r="K75" s="46"/>
      <c r="M75" s="46"/>
      <c r="N75" s="46"/>
      <c r="O75" s="46"/>
      <c r="P75" s="46"/>
      <c r="Q75" s="46"/>
      <c r="R75" s="46"/>
      <c r="S75" s="46"/>
      <c r="T75" s="46"/>
      <c r="U75" s="46"/>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22</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2" t="s">
        <v>25</v>
      </c>
      <c r="E81" s="1" t="str" cm="1">
        <f t="array" ref="E81">MMS_OtherLivestock_Methane_Equations.VEERG_4_7_1_1__1_TotalAnnualMethaneProductionFromManureManagementOtherLivestock_Variable()</f>
        <v>E_CH4</v>
      </c>
    </row>
    <row r="82" spans="4:9" ht="20.100000000000001" customHeight="1" x14ac:dyDescent="0.25">
      <c r="D82" s="52" t="s">
        <v>15</v>
      </c>
      <c r="E82" s="53"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3" t="str" cm="1">
        <f t="array" ref="D84:E87">_xlfn.CHOOSECOLS(MMS_OtherLivestock_Methane_Equations.VEERG_4_7_1_1__1_TotalAnnualMethaneProductionFromManureManagementOtherLivestock_Arguments(),1,2)</f>
        <v>N_j</v>
      </c>
      <c r="E84" s="113" t="str">
        <v>average annual number of livestock per livestock type j</v>
      </c>
      <c r="F84" s="113"/>
      <c r="G84" s="113" t="str" cm="1">
        <f t="array" ref="G84:H87">_xlfn.CHOOSECOLS(MMS_OtherLivestock_Methane_Equations.VEERG_4_7_1_1__1_TotalAnnualMethaneProductionFromManureManagementOtherLivestock_Arguments(),3,4)</f>
        <v>head</v>
      </c>
      <c r="H84" s="111" t="str">
        <v>Input</v>
      </c>
      <c r="I84" s="114" t="str" cm="1">
        <f t="array" aca="1" ref="I84" ca="1">HYPERLINK(Common_InputFunctions.Utility_SourceHyperlink($D$89),$D$89)</f>
        <v>Table_N_j</v>
      </c>
    </row>
    <row r="85" spans="4:9" ht="20.100000000000001" customHeight="1" x14ac:dyDescent="0.25">
      <c r="D85" s="113" t="str">
        <v>M_jm</v>
      </c>
      <c r="E85" s="116" t="str">
        <v>annual methane production from manure management</v>
      </c>
      <c r="F85" s="115"/>
      <c r="G85" s="113" t="str">
        <v>kg CH4/head/day</v>
      </c>
      <c r="H85" s="112" t="str">
        <v>Calculated from 4.7.1.1, (2)</v>
      </c>
      <c r="I85" s="114" t="str" cm="1">
        <f t="array" aca="1" ref="I85" ca="1">HYPERLINK(Common_InputFunctions.Utility_SourceHyperlink($D$62),$D$62)</f>
        <v>M1_Table_M_j_m</v>
      </c>
    </row>
    <row r="86" spans="4:9" ht="20.100000000000001" customHeight="1" x14ac:dyDescent="0.25">
      <c r="D86" s="113" t="str">
        <v>j</v>
      </c>
      <c r="E86" s="116" t="str">
        <v>livestock type</v>
      </c>
      <c r="F86" s="115"/>
      <c r="G86" s="113" t="str">
        <v/>
      </c>
      <c r="H86" s="111" t="str">
        <v>Input</v>
      </c>
      <c r="I86" s="114" t="str" cm="1">
        <f t="array" aca="1" ref="I86" ca="1">HYPERLINK(Common_InputFunctions.Utility_SourceHyperlink($D$89),$D$89)</f>
        <v>Table_N_j</v>
      </c>
    </row>
    <row r="87" spans="4:9" ht="20.100000000000001" customHeight="1" x14ac:dyDescent="0.25">
      <c r="D87" s="113" t="str">
        <v>m</v>
      </c>
      <c r="E87" s="116" t="str">
        <v>manure management system</v>
      </c>
      <c r="F87" s="115"/>
      <c r="G87" s="113" t="str">
        <v/>
      </c>
      <c r="H87" s="111" t="str">
        <v>Input</v>
      </c>
      <c r="I87" s="114" t="str" cm="1">
        <f t="array" aca="1" ref="I87" ca="1">HYPERLINK(Common_InputFunctions.Utility_SourceHyperlink($D$62),$D$62)</f>
        <v>M1_Table_M_j_m</v>
      </c>
    </row>
    <row r="88" spans="4:9" ht="20.100000000000001" customHeight="1" x14ac:dyDescent="0.25"/>
    <row r="89" spans="4:9" ht="20.100000000000001" customHeight="1" x14ac:dyDescent="0.25">
      <c r="D89" s="94" t="s">
        <v>86</v>
      </c>
    </row>
    <row r="90" spans="4:9" ht="20.100000000000001" customHeight="1" x14ac:dyDescent="0.25">
      <c r="D90" s="93" t="s">
        <v>196</v>
      </c>
    </row>
    <row r="91" spans="4:9" ht="20.100000000000001" customHeight="1" x14ac:dyDescent="0.25">
      <c r="D91" s="40" t="s">
        <v>181</v>
      </c>
      <c r="E91" s="40" t="s">
        <v>228</v>
      </c>
    </row>
    <row r="92" spans="4:9" ht="20.100000000000001" customHeight="1" x14ac:dyDescent="0.25">
      <c r="D92" s="51" t="s">
        <v>150</v>
      </c>
      <c r="E92" s="96">
        <f>SUM(X_Table_OtherLivestock_Buffalo_Head)</f>
        <v>4600</v>
      </c>
      <c r="F92" s="2" t="str">
        <f>G84</f>
        <v>head</v>
      </c>
    </row>
    <row r="93" spans="4:9" ht="20.100000000000001" customHeight="1" x14ac:dyDescent="0.25">
      <c r="D93" s="51" t="s">
        <v>155</v>
      </c>
      <c r="E93" s="96">
        <f>SUM(X_Table_OtherLivestock_Goats_Head)</f>
        <v>4800</v>
      </c>
    </row>
    <row r="94" spans="4:9" ht="20.100000000000001" customHeight="1" x14ac:dyDescent="0.25">
      <c r="D94" s="51" t="s">
        <v>162</v>
      </c>
      <c r="E94" s="96">
        <f>SUM(X_Table_OtherLivestock_Deer_Head)</f>
        <v>4600</v>
      </c>
    </row>
    <row r="95" spans="4:9" ht="20.100000000000001" customHeight="1" x14ac:dyDescent="0.25">
      <c r="D95" s="51" t="s">
        <v>168</v>
      </c>
      <c r="E95" s="96">
        <f>X_Cell_OtherLivestock_Others_Camels_Head</f>
        <v>4300</v>
      </c>
    </row>
    <row r="96" spans="4:9" ht="20.100000000000001" customHeight="1" x14ac:dyDescent="0.25">
      <c r="D96" s="51" t="s">
        <v>169</v>
      </c>
      <c r="E96" s="96">
        <f>X_Cell_OtherLivestock_Others_Alpacas_Head</f>
        <v>100</v>
      </c>
    </row>
    <row r="97" spans="4:17" ht="20.100000000000001" customHeight="1" x14ac:dyDescent="0.25">
      <c r="D97" s="51" t="s">
        <v>170</v>
      </c>
      <c r="E97" s="96">
        <f>X_Cell_OtherLivestock_Others_Horses_Head</f>
        <v>100</v>
      </c>
    </row>
    <row r="98" spans="4:17" ht="20.100000000000001" customHeight="1" x14ac:dyDescent="0.25">
      <c r="D98" s="51" t="s">
        <v>186</v>
      </c>
      <c r="E98" s="96">
        <f>X_Cell_OtherLivestock_Others_Mules_Head</f>
        <v>100</v>
      </c>
    </row>
    <row r="99" spans="4:17" ht="20.100000000000001" customHeight="1" x14ac:dyDescent="0.25">
      <c r="D99" s="51" t="s">
        <v>187</v>
      </c>
      <c r="E99" s="96">
        <f>X_Cell_OtherLivestock_Others_Emus_Head</f>
        <v>100</v>
      </c>
    </row>
    <row r="100" spans="4:17" ht="20.100000000000001" customHeight="1" x14ac:dyDescent="0.25"/>
    <row r="101" spans="4:17" ht="20.100000000000001" customHeight="1" x14ac:dyDescent="0.25">
      <c r="D101" s="94" t="s">
        <v>197</v>
      </c>
      <c r="N101" s="94" t="s">
        <v>197</v>
      </c>
    </row>
    <row r="102" spans="4:17" ht="20.100000000000001" customHeight="1" x14ac:dyDescent="0.25">
      <c r="D102" s="93" t="s">
        <v>198</v>
      </c>
      <c r="N102" s="93" t="s">
        <v>198</v>
      </c>
    </row>
    <row r="103" spans="4:17" ht="20.100000000000001" customHeight="1" x14ac:dyDescent="0.25">
      <c r="D103" s="50" t="s">
        <v>181</v>
      </c>
      <c r="E103" s="50" t="s">
        <v>135</v>
      </c>
      <c r="F103" s="50" t="s">
        <v>124</v>
      </c>
      <c r="N103" s="50" t="s">
        <v>181</v>
      </c>
      <c r="O103" s="50" t="s">
        <v>135</v>
      </c>
      <c r="P103" s="50" t="s">
        <v>124</v>
      </c>
    </row>
    <row r="104" spans="4:17" ht="20.100000000000001" customHeight="1" x14ac:dyDescent="0.25">
      <c r="D104" s="51" t="s">
        <v>150</v>
      </c>
      <c r="E104" s="51" cm="1">
        <f t="array" ref="E104">MMS_OtherLivestock_Methane_Equations.VEERG_4_7_1_1__1_TotalAnnualMethaneProductionFromManureManagementOtherLivestock($E92,E65)</f>
        <v>2.7673973717854468</v>
      </c>
      <c r="F104" s="51" cm="1">
        <f t="array" ref="F104">MMS_OtherLivestock_Methane_Equations.VEERG_4_7_1_1__1_TotalAnnualMethaneProductionFromManureManagementOtherLivestock($E92,F65)</f>
        <v>1.5065826572160002</v>
      </c>
      <c r="G104" s="2" t="str">
        <f>$E$82</f>
        <v>t CH4</v>
      </c>
      <c r="N104" s="51" t="s">
        <v>150</v>
      </c>
      <c r="O104" s="51" cm="1">
        <f t="array" ref="O104">MMS_OtherLivestock_Methane_Equations.VEERG_4_7_1_1__1_TotalAnnualMethaneProductionFromManureManagementOtherLivestock($E92,O65)</f>
        <v>2.7673973717854468</v>
      </c>
      <c r="P104" s="51"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1" t="s">
        <v>155</v>
      </c>
      <c r="E105" s="51" cm="1">
        <f t="array" ref="E105">MMS_OtherLivestock_Methane_Equations.VEERG_4_7_1_1__1_TotalAnnualMethaneProductionFromManureManagementOtherLivestock($E93,E66)</f>
        <v>0.45428546390261765</v>
      </c>
      <c r="F105" s="51" cm="1">
        <f t="array" ref="F105">MMS_OtherLivestock_Methane_Equations.VEERG_4_7_1_1__1_TotalAnnualMethaneProductionFromManureManagementOtherLivestock($E93,F66)</f>
        <v>0.24731489894400002</v>
      </c>
      <c r="N105" s="51" t="s">
        <v>155</v>
      </c>
      <c r="O105" s="51" cm="1">
        <f t="array" ref="O105">MMS_OtherLivestock_Methane_Equations.VEERG_4_7_1_1__1_TotalAnnualMethaneProductionFromManureManagementOtherLivestock($E93,O66)</f>
        <v>0.45428546390261765</v>
      </c>
      <c r="P105" s="51" cm="1">
        <f t="array" ref="P105">MMS_OtherLivestock_Methane_Equations.VEERG_4_7_1_1__1_TotalAnnualMethaneProductionFromManureManagementOtherLivestock($E93,P66)</f>
        <v>0.25390996291584</v>
      </c>
    </row>
    <row r="106" spans="4:17" ht="20.100000000000001" customHeight="1" x14ac:dyDescent="0.25">
      <c r="D106" s="51" t="s">
        <v>162</v>
      </c>
      <c r="E106" s="51" cm="1">
        <f t="array" ref="E106">MMS_OtherLivestock_Methane_Equations.VEERG_4_7_1_1__1_TotalAnnualMethaneProductionFromManureManagementOtherLivestock($E94,E67)</f>
        <v>1.1652199460149251</v>
      </c>
      <c r="F106" s="51" cm="1">
        <f t="array" ref="F106">MMS_OtherLivestock_Methane_Equations.VEERG_4_7_1_1__1_TotalAnnualMethaneProductionFromManureManagementOtherLivestock($E94,F67)</f>
        <v>0.6343505925120001</v>
      </c>
      <c r="N106" s="51" t="s">
        <v>162</v>
      </c>
      <c r="O106" s="51" cm="1">
        <f t="array" ref="O106">MMS_OtherLivestock_Methane_Equations.VEERG_4_7_1_1__1_TotalAnnualMethaneProductionFromManureManagementOtherLivestock($E94,O67)</f>
        <v>1.1652199460149251</v>
      </c>
      <c r="P106" s="51" cm="1">
        <f t="array" ref="P106">MMS_OtherLivestock_Methane_Equations.VEERG_4_7_1_1__1_TotalAnnualMethaneProductionFromManureManagementOtherLivestock($E94,P67)</f>
        <v>0.65126660831232008</v>
      </c>
    </row>
    <row r="107" spans="4:17" ht="20.100000000000001" customHeight="1" x14ac:dyDescent="0.25">
      <c r="D107" s="51" t="s">
        <v>168</v>
      </c>
      <c r="E107" s="51" cm="1">
        <f t="array" ref="E107">MMS_OtherLivestock_Methane_Equations.VEERG_4_7_1_1__1_TotalAnnualMethaneProductionFromManureManagementOtherLivestock($E95,E68)</f>
        <v>3.2676820225201144</v>
      </c>
      <c r="F107" s="51" cm="1">
        <f t="array" ref="F107">MMS_OtherLivestock_Methane_Equations.VEERG_4_7_1_1__1_TotalAnnualMethaneProductionFromManureManagementOtherLivestock($E95,F68)</f>
        <v>1.7789397050880003</v>
      </c>
      <c r="N107" s="51" t="s">
        <v>168</v>
      </c>
      <c r="O107" s="51" cm="1">
        <f t="array" ref="O107">MMS_OtherLivestock_Methane_Equations.VEERG_4_7_1_1__1_TotalAnnualMethaneProductionFromManureManagementOtherLivestock($E95,O68)</f>
        <v>3.2676820225201144</v>
      </c>
      <c r="P107" s="51" cm="1">
        <f t="array" ref="P107">MMS_OtherLivestock_Methane_Equations.VEERG_4_7_1_1__1_TotalAnnualMethaneProductionFromManureManagementOtherLivestock($E95,P68)</f>
        <v>1.8263780972236803</v>
      </c>
    </row>
    <row r="108" spans="4:17" ht="20.100000000000001" customHeight="1" x14ac:dyDescent="0.25">
      <c r="D108" s="51" t="s">
        <v>169</v>
      </c>
      <c r="E108" s="51" cm="1">
        <f t="array" ref="E108">MMS_OtherLivestock_Methane_Equations.VEERG_4_7_1_1__1_TotalAnnualMethaneProductionFromManureManagementOtherLivestock($E96,E69)</f>
        <v>9.464280497971201E-3</v>
      </c>
      <c r="F108" s="51" cm="1">
        <f t="array" ref="F108">MMS_OtherLivestock_Methane_Equations.VEERG_4_7_1_1__1_TotalAnnualMethaneProductionFromManureManagementOtherLivestock($E96,F69)</f>
        <v>5.1523937280000005E-3</v>
      </c>
      <c r="N108" s="51" t="s">
        <v>169</v>
      </c>
      <c r="O108" s="51" cm="1">
        <f t="array" ref="O108">MMS_OtherLivestock_Methane_Equations.VEERG_4_7_1_1__1_TotalAnnualMethaneProductionFromManureManagementOtherLivestock($E96,O69)</f>
        <v>9.464280497971201E-3</v>
      </c>
      <c r="P108" s="51" cm="1">
        <f t="array" ref="P108">MMS_OtherLivestock_Methane_Equations.VEERG_4_7_1_1__1_TotalAnnualMethaneProductionFromManureManagementOtherLivestock($E96,P69)</f>
        <v>5.2897908940800001E-3</v>
      </c>
    </row>
    <row r="109" spans="4:17" ht="20.100000000000001" customHeight="1" x14ac:dyDescent="0.25">
      <c r="D109" s="51" t="s">
        <v>170</v>
      </c>
      <c r="E109" s="51" cm="1">
        <f t="array" ref="E109">MMS_OtherLivestock_Methane_Equations.VEERG_4_7_1_1__1_TotalAnnualMethaneProductionFromManureManagementOtherLivestock($E97,E70)</f>
        <v>6.0160812430118414E-2</v>
      </c>
      <c r="F109" s="51" cm="1">
        <f t="array" ref="F109">MMS_OtherLivestock_Methane_Equations.VEERG_4_7_1_1__1_TotalAnnualMethaneProductionFromManureManagementOtherLivestock($E97,F70)</f>
        <v>3.2751796896000003E-2</v>
      </c>
      <c r="N109" s="51" t="s">
        <v>170</v>
      </c>
      <c r="O109" s="51" cm="1">
        <f t="array" ref="O109">MMS_OtherLivestock_Methane_Equations.VEERG_4_7_1_1__1_TotalAnnualMethaneProductionFromManureManagementOtherLivestock($E97,O70)</f>
        <v>6.0160812430118414E-2</v>
      </c>
      <c r="P109" s="51" cm="1">
        <f t="array" ref="P109">MMS_OtherLivestock_Methane_Equations.VEERG_4_7_1_1__1_TotalAnnualMethaneProductionFromManureManagementOtherLivestock($E97,P70)</f>
        <v>3.3625178146560013E-2</v>
      </c>
    </row>
    <row r="110" spans="4:17" ht="20.100000000000001" customHeight="1" x14ac:dyDescent="0.25">
      <c r="D110" s="51" t="s">
        <v>186</v>
      </c>
      <c r="E110" s="51" cm="1">
        <f t="array" ref="E110">MMS_OtherLivestock_Methane_Equations.VEERG_4_7_1_1__1_TotalAnnualMethaneProductionFromManureManagementOtherLivestock($E98,E71)</f>
        <v>2.5330868391628802E-2</v>
      </c>
      <c r="F110" s="51" cm="1">
        <f t="array" ref="F110">MMS_OtherLivestock_Methane_Equations.VEERG_4_7_1_1__1_TotalAnnualMethaneProductionFromManureManagementOtherLivestock($E98,F71)</f>
        <v>1.3790230272000003E-2</v>
      </c>
      <c r="N110" s="51" t="s">
        <v>186</v>
      </c>
      <c r="O110" s="51" cm="1">
        <f t="array" ref="O110">MMS_OtherLivestock_Methane_Equations.VEERG_4_7_1_1__1_TotalAnnualMethaneProductionFromManureManagementOtherLivestock($E98,O71)</f>
        <v>2.5330868391628802E-2</v>
      </c>
      <c r="P110" s="51" cm="1">
        <f t="array" ref="P110">MMS_OtherLivestock_Methane_Equations.VEERG_4_7_1_1__1_TotalAnnualMethaneProductionFromManureManagementOtherLivestock($E98,P71)</f>
        <v>1.4157969745920001E-2</v>
      </c>
    </row>
    <row r="111" spans="4:17" ht="20.100000000000001" customHeight="1" x14ac:dyDescent="0.25">
      <c r="D111" s="51" t="s">
        <v>187</v>
      </c>
      <c r="E111" s="51" cm="1">
        <f t="array" ref="E111">MMS_OtherLivestock_Methane_Equations.VEERG_4_7_1_1__1_TotalAnnualMethaneProductionFromManureManagementOtherLivestock($E99,E72)</f>
        <v>1.4196420746956798E-2</v>
      </c>
      <c r="F111" s="51" cm="1">
        <f t="array" ref="F111">MMS_OtherLivestock_Methane_Equations.VEERG_4_7_1_1__1_TotalAnnualMethaneProductionFromManureManagementOtherLivestock($E99,F72)</f>
        <v>7.7285905920000007E-3</v>
      </c>
      <c r="N111" s="51" t="s">
        <v>187</v>
      </c>
      <c r="O111" s="51" cm="1">
        <f t="array" ref="O111">MMS_OtherLivestock_Methane_Equations.VEERG_4_7_1_1__1_TotalAnnualMethaneProductionFromManureManagementOtherLivestock($E99,O72)</f>
        <v>1.4196420746956798E-2</v>
      </c>
      <c r="P111" s="51"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97" t="s">
        <v>91</v>
      </c>
      <c r="E113" s="98">
        <f>SUM(E104:F111)</f>
        <v>11.990348051537779</v>
      </c>
      <c r="F113" s="99" t="str">
        <f>$E$82</f>
        <v>t CH4</v>
      </c>
      <c r="N113" s="97" t="s">
        <v>92</v>
      </c>
      <c r="O113" s="98">
        <f>SUM(O104:P111)</f>
        <v>12.103057674611057</v>
      </c>
      <c r="P113" s="99" t="str">
        <f>$E$82</f>
        <v>t CH4</v>
      </c>
    </row>
    <row r="114" spans="4:18" ht="20.100000000000001" customHeight="1" x14ac:dyDescent="0.25"/>
    <row r="115" spans="4:18" ht="20.100000000000001" customHeight="1" x14ac:dyDescent="0.25">
      <c r="D115" s="56" t="str" cm="1">
        <f t="array" ref="D115:E116">Common_Equations.Common_ConvertCH4ToCO2e_Arguments()</f>
        <v>ECH4</v>
      </c>
      <c r="E115" s="57" t="str">
        <v>Methane emissions (t CH4)</v>
      </c>
      <c r="F115" s="100"/>
      <c r="G115" s="51">
        <f>E113</f>
        <v>11.990348051537779</v>
      </c>
      <c r="H115" s="2" t="str">
        <f>$E$82</f>
        <v>t CH4</v>
      </c>
      <c r="N115" s="56" t="str" cm="1">
        <f t="array" ref="N115:O116">Common_Equations.Common_ConvertCH4ToCO2e_Arguments()</f>
        <v>ECH4</v>
      </c>
      <c r="O115" s="57" t="str">
        <v>Methane emissions (t CH4)</v>
      </c>
      <c r="P115" s="100"/>
      <c r="Q115" s="51">
        <f>O113</f>
        <v>12.103057674611057</v>
      </c>
      <c r="R115" s="2" t="str">
        <f>$E$82</f>
        <v>t CH4</v>
      </c>
    </row>
    <row r="116" spans="4:18" ht="20.100000000000001" customHeight="1" x14ac:dyDescent="0.25">
      <c r="D116" s="56" t="str">
        <v>GWPCH4</v>
      </c>
      <c r="E116" s="57" t="str">
        <v>Global warming potential for methane (t CO2-e / t CH4)</v>
      </c>
      <c r="F116" s="100"/>
      <c r="G116" s="51">
        <f>Common_InputFunctions.Utility_LookupValueInTableNumber("CH4",Table_GWPData[Gas],Table_GWPData[CO2-e factor])</f>
        <v>28</v>
      </c>
      <c r="N116" s="56" t="str">
        <v>GWPCH4</v>
      </c>
      <c r="O116" s="57" t="str">
        <v>Global warming potential for methane (t CO2-e / t CH4)</v>
      </c>
      <c r="P116" s="100"/>
      <c r="Q116" s="51">
        <f>Common_InputFunctions.Utility_LookupValueInTableNumber("CH4",Table_GWPData[Gas],Table_GWPData[CO2-e factor])</f>
        <v>28</v>
      </c>
    </row>
    <row r="117" spans="4:18" ht="20.100000000000001" customHeight="1" x14ac:dyDescent="0.25"/>
    <row r="118" spans="4:18" ht="20.100000000000001" customHeight="1" x14ac:dyDescent="0.25">
      <c r="D118" s="46" t="s">
        <v>93</v>
      </c>
      <c r="E118" s="46" cm="1">
        <f t="array" ref="E118">Common_Equations.Common_ConvertCH4ToCO2e(G115,G116)</f>
        <v>335.72974544305782</v>
      </c>
      <c r="F118" s="101" t="str" cm="1">
        <f t="array" ref="F118">Common_Equations.Common_ConvertN2OToCO2e_Unit()</f>
        <v>t CO2e</v>
      </c>
      <c r="N118" s="46" t="s">
        <v>94</v>
      </c>
      <c r="O118" s="46" cm="1">
        <f t="array" ref="O118">Common_Equations.Common_ConvertCH4ToCO2e(Q115,Q116)</f>
        <v>338.8856148891096</v>
      </c>
      <c r="P118" s="101"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235</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D6" s="5" t="str" cm="1">
        <f t="array" ref="D6">MMS_OtherLivestock_Soil_N2ODirect.VEERG_4_7_1_3__2_AnnualNitrogenExcretedToPasture_Source()</f>
        <v>VEERG 2026: 4.7.1.3, Equation (2)</v>
      </c>
    </row>
    <row r="7" spans="1:21" ht="20.100000000000001" customHeight="1" x14ac:dyDescent="0.25">
      <c r="D7" s="13" t="s">
        <v>22</v>
      </c>
      <c r="E7" s="13" t="str" cm="1">
        <f t="array" aca="1" ref="E7" ca="1">Common_InputFunctions.Utility_DisplayFunctionName(E44)</f>
        <v>=MMS_OtherLivestock_Soil_N2ODirect.VEERG_4_7_1_3__2_AnnualNitrogenExcretedToPasture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MMS_OtherLivestock_Soil_N2ODirect.VEERG_4_7_1_3__2_AnnualNitrogenExcretedToPasture_Variable()</f>
        <v>AE</v>
      </c>
    </row>
    <row r="11" spans="1:21" ht="20.100000000000001" customHeight="1" x14ac:dyDescent="0.25">
      <c r="D11" s="52" t="s">
        <v>15</v>
      </c>
      <c r="E11" s="53" t="str" cm="1">
        <f t="array" ref="E11">MMS_OtherLivestock_Soil_N2ODirect.VEERG_4_7_1_3__2_AnnualNitrogenExcretedToPasture_Unit()</f>
        <v>kg N/year</v>
      </c>
    </row>
    <row r="12" spans="1:21" ht="20.100000000000001" customHeight="1" x14ac:dyDescent="0.25"/>
    <row r="13" spans="1:21" ht="20.100000000000001" customHeight="1" x14ac:dyDescent="0.25">
      <c r="A13" s="18" t="s">
        <v>70</v>
      </c>
      <c r="D13" s="113" t="str" cm="1">
        <f t="array" ref="D13:E15">_xlfn.CHOOSECOLS(MMS_OtherLivestock_Soil_N2ODirect.VEERG_4_7_1_3__2_AnnualNitrogenExcretedToPasture_Arguments(),1,2)</f>
        <v>N_j</v>
      </c>
      <c r="E13" s="116" t="str">
        <v>number of livestock of each livestock type j</v>
      </c>
      <c r="F13" s="117"/>
      <c r="G13" s="113" t="str" cm="1">
        <f t="array" ref="G13:H15">_xlfn.CHOOSECOLS(MMS_OtherLivestock_Soil_N2ODirect.VEERG_4_7_1_3__2_AnnualNitrogenExcretedToPasture_Arguments(),3,4)</f>
        <v>head</v>
      </c>
      <c r="H13" s="111" t="str">
        <v>Input</v>
      </c>
      <c r="I13" s="114" t="str" cm="1">
        <f t="array" aca="1" ref="I13" ca="1">HYPERLINK(Common_InputFunctions.Utility_SourceHyperlink($D$17),$D$17)</f>
        <v>Table_N_j</v>
      </c>
    </row>
    <row r="14" spans="1:21" ht="20.100000000000001" customHeight="1" x14ac:dyDescent="0.25">
      <c r="A14" s="17" t="str">
        <f>HYPERLINK("#'4.7.1.1-2 Manure Methane'!A1", "4.7.1.1-2 Manure Methane")</f>
        <v>4.7.1.1-2 Manure Methane</v>
      </c>
      <c r="D14" s="113" t="str">
        <v>NE_j</v>
      </c>
      <c r="E14" s="116" t="str">
        <v>nitrogen excreted by each livestock type j</v>
      </c>
      <c r="F14" s="117"/>
      <c r="G14" s="113" t="str">
        <v>kg N/head/day</v>
      </c>
      <c r="H14" s="112" t="str">
        <v>Constant</v>
      </c>
      <c r="I14" s="114" t="str" cm="1">
        <f t="array" aca="1" ref="I14" ca="1">HYPERLINK(Common_InputFunctions.Utility_SourceHyperlink($D$29),$D$29)</f>
        <v>Table_NE_j</v>
      </c>
    </row>
    <row r="15" spans="1:21" ht="20.100000000000001" customHeight="1" x14ac:dyDescent="0.25">
      <c r="A15" s="21" t="str">
        <f>HYPERLINK("#'4.7.1.3-4 Soil Direct N2O'!A1", "4.7.1.3-4 Soil Direct N2O")</f>
        <v>4.7.1.3-4 Soil Direct N2O</v>
      </c>
      <c r="D15" s="113" t="str">
        <v>j</v>
      </c>
      <c r="E15" s="116" t="str">
        <v>livestock type</v>
      </c>
      <c r="F15" s="117"/>
      <c r="G15" s="113" t="str">
        <v/>
      </c>
      <c r="H15" s="111" t="str">
        <v>Input</v>
      </c>
      <c r="I15" s="114" t="str" cm="1">
        <f t="array" aca="1" ref="I15" ca="1">HYPERLINK(Common_InputFunctions.Utility_SourceHyperlink($D$17),$D$17)</f>
        <v>Table_N_j</v>
      </c>
    </row>
    <row r="16" spans="1:21" ht="20.100000000000001" customHeight="1" x14ac:dyDescent="0.25">
      <c r="A16" s="17" t="str">
        <f>HYPERLINK("#'4.7.1.5-6 Soil Atmos Deposition'!A1", "4.7.1.5-6 Soil Atmos Deposition")</f>
        <v>4.7.1.5-6 Soil Atmos Deposition</v>
      </c>
    </row>
    <row r="17" spans="1:6" ht="20.100000000000001" customHeight="1" x14ac:dyDescent="0.25">
      <c r="A17" s="17" t="str">
        <f>HYPERLINK("#'4.7.1.7-8 Soil Leaching Runoff'!A1", "4.7.1.7-8 Soil Leaching Runoff")</f>
        <v>4.7.1.7-8 Soil Leaching Runoff</v>
      </c>
      <c r="D17" s="94" t="s">
        <v>86</v>
      </c>
    </row>
    <row r="18" spans="1:6" ht="20.100000000000001" customHeight="1" x14ac:dyDescent="0.25">
      <c r="D18" s="93" t="s">
        <v>196</v>
      </c>
    </row>
    <row r="19" spans="1:6" ht="20.100000000000001" customHeight="1" x14ac:dyDescent="0.25">
      <c r="D19" s="40" t="s">
        <v>181</v>
      </c>
      <c r="E19" s="40" t="s">
        <v>228</v>
      </c>
    </row>
    <row r="20" spans="1:6" ht="20.100000000000001" customHeight="1" x14ac:dyDescent="0.25">
      <c r="A20" s="124" t="s">
        <v>1</v>
      </c>
      <c r="D20" s="51" t="s">
        <v>150</v>
      </c>
      <c r="E20" s="96">
        <f>SUM(X_Table_OtherLivestock_Buffalo_Head)</f>
        <v>4600</v>
      </c>
      <c r="F20" s="2" t="str">
        <f>G13</f>
        <v>head</v>
      </c>
    </row>
    <row r="21" spans="1:6" ht="20.100000000000001" customHeight="1" x14ac:dyDescent="0.25">
      <c r="A21" s="17" t="str">
        <f>HYPERLINK("#'Constants - Other Livestock'!A1", "Constants - Other Livestock")</f>
        <v>Constants - Other Livestock</v>
      </c>
      <c r="D21" s="51" t="s">
        <v>155</v>
      </c>
      <c r="E21" s="96">
        <f>SUM(X_Table_OtherLivestock_Goats_Head)</f>
        <v>4800</v>
      </c>
    </row>
    <row r="22" spans="1:6" ht="20.100000000000001" customHeight="1" x14ac:dyDescent="0.25">
      <c r="A22" s="17" t="str">
        <f>HYPERLINK("#'Constants - Livestock'!A1", "Constants - Livestock")</f>
        <v>Constants - Livestock</v>
      </c>
      <c r="D22" s="51" t="s">
        <v>162</v>
      </c>
      <c r="E22" s="96">
        <f>SUM(X_Table_OtherLivestock_Deer_Head)</f>
        <v>4600</v>
      </c>
    </row>
    <row r="23" spans="1:6" ht="20.100000000000001" customHeight="1" x14ac:dyDescent="0.25">
      <c r="A23" s="17" t="str">
        <f>HYPERLINK("#'Constants - Common'!A1", "Constants - Common")</f>
        <v>Constants - Common</v>
      </c>
      <c r="D23" s="51" t="s">
        <v>168</v>
      </c>
      <c r="E23" s="96">
        <f>X_Cell_OtherLivestock_Others_Camels_Head</f>
        <v>4300</v>
      </c>
    </row>
    <row r="24" spans="1:6" ht="20.100000000000001" customHeight="1" x14ac:dyDescent="0.25">
      <c r="A24" s="17" t="str">
        <f>HYPERLINK("#'Acknowledgements'!A1", "Acknowledgements")</f>
        <v>Acknowledgements</v>
      </c>
      <c r="D24" s="51" t="s">
        <v>169</v>
      </c>
      <c r="E24" s="96">
        <f>X_Cell_OtherLivestock_Others_Alpacas_Head</f>
        <v>100</v>
      </c>
    </row>
    <row r="25" spans="1:6" ht="20.100000000000001" customHeight="1" x14ac:dyDescent="0.25">
      <c r="D25" s="51" t="s">
        <v>170</v>
      </c>
      <c r="E25" s="96">
        <f>X_Cell_OtherLivestock_Others_Horses_Head</f>
        <v>100</v>
      </c>
    </row>
    <row r="26" spans="1:6" ht="20.100000000000001" customHeight="1" x14ac:dyDescent="0.25">
      <c r="D26" s="51" t="s">
        <v>186</v>
      </c>
      <c r="E26" s="96">
        <f>X_Cell_OtherLivestock_Others_Mules_Head</f>
        <v>100</v>
      </c>
    </row>
    <row r="27" spans="1:6" ht="20.100000000000001" customHeight="1" x14ac:dyDescent="0.25">
      <c r="D27" s="51" t="s">
        <v>187</v>
      </c>
      <c r="E27" s="96">
        <f>X_Cell_OtherLivestock_Others_Emus_Head</f>
        <v>100</v>
      </c>
    </row>
    <row r="28" spans="1:6" ht="20.100000000000001" customHeight="1" x14ac:dyDescent="0.25"/>
    <row r="29" spans="1:6" ht="20.100000000000001" customHeight="1" x14ac:dyDescent="0.25">
      <c r="D29" s="94" t="s">
        <v>199</v>
      </c>
    </row>
    <row r="30" spans="1:6" ht="20.100000000000001" customHeight="1" x14ac:dyDescent="0.25">
      <c r="D30" s="93" t="s">
        <v>202</v>
      </c>
    </row>
    <row r="31" spans="1:6" ht="20.100000000000001" customHeight="1" x14ac:dyDescent="0.25">
      <c r="D31" s="50" t="s">
        <v>181</v>
      </c>
      <c r="E31" s="50" t="s">
        <v>227</v>
      </c>
    </row>
    <row r="32" spans="1:6" ht="20.100000000000001" customHeight="1" x14ac:dyDescent="0.25">
      <c r="D32" s="51" t="str">
        <f>'Constants - Other Livestock'!D103</f>
        <v>Buffalo</v>
      </c>
      <c r="E32" s="51"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1" t="str">
        <f>'Constants - Other Livestock'!D104</f>
        <v>Goats</v>
      </c>
      <c r="E33" s="51"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1" t="str">
        <f>'Constants - Other Livestock'!D105</f>
        <v>Deer</v>
      </c>
      <c r="E34" s="51"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1" t="str">
        <f>'Constants - Other Livestock'!D106</f>
        <v>Camels</v>
      </c>
      <c r="E35" s="51"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1" t="str">
        <f>'Constants - Other Livestock'!D107</f>
        <v>Alpacas</v>
      </c>
      <c r="E36" s="51"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1" t="str">
        <f>'Constants - Other Livestock'!D108</f>
        <v>Horses</v>
      </c>
      <c r="E37" s="51"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1" t="str">
        <f>'Constants - Other Livestock'!D109</f>
        <v>Mules/asses</v>
      </c>
      <c r="E38" s="51"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1" t="str">
        <f>'Constants - Other Livestock'!D110</f>
        <v>Emus/ostriches</v>
      </c>
      <c r="E39" s="51"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4" t="s">
        <v>201</v>
      </c>
    </row>
    <row r="42" spans="4:6" ht="20.100000000000001" customHeight="1" x14ac:dyDescent="0.25">
      <c r="D42" s="93" t="s">
        <v>200</v>
      </c>
    </row>
    <row r="43" spans="4:6" ht="20.100000000000001" customHeight="1" x14ac:dyDescent="0.25">
      <c r="D43" s="50" t="s">
        <v>181</v>
      </c>
      <c r="E43" s="50" t="s">
        <v>224</v>
      </c>
    </row>
    <row r="44" spans="4:6" ht="20.100000000000001" customHeight="1" x14ac:dyDescent="0.25">
      <c r="D44" s="51" t="s">
        <v>150</v>
      </c>
      <c r="E44" s="51" cm="1">
        <f t="array" ref="E44">MMS_OtherLivestock_Soil_N2ODirect.VEERG_4_7_1_3__2_AnnualNitrogenExcretedToPasture(E20,E32)</f>
        <v>66320500</v>
      </c>
      <c r="F44" s="2" t="str">
        <f>$E$11</f>
        <v>kg N/year</v>
      </c>
    </row>
    <row r="45" spans="4:6" ht="20.100000000000001" customHeight="1" x14ac:dyDescent="0.25">
      <c r="D45" s="51" t="s">
        <v>155</v>
      </c>
      <c r="E45" s="51" cm="1">
        <f t="array" ref="E45">MMS_OtherLivestock_Soil_N2ODirect.VEERG_4_7_1_3__2_AnnualNitrogenExcretedToPasture(E21,E33)</f>
        <v>12264000</v>
      </c>
    </row>
    <row r="46" spans="4:6" ht="20.100000000000001" customHeight="1" x14ac:dyDescent="0.25">
      <c r="D46" s="51" t="s">
        <v>162</v>
      </c>
      <c r="E46" s="51" cm="1">
        <f t="array" ref="E46">MMS_OtherLivestock_Soil_N2ODirect.VEERG_4_7_1_3__2_AnnualNitrogenExcretedToPasture(E22,E34)</f>
        <v>22162800</v>
      </c>
    </row>
    <row r="47" spans="4:6" ht="20.100000000000001" customHeight="1" x14ac:dyDescent="0.25">
      <c r="D47" s="51" t="s">
        <v>168</v>
      </c>
      <c r="E47" s="51" cm="1">
        <f t="array" ref="E47">MMS_OtherLivestock_Soil_N2ODirect.VEERG_4_7_1_3__2_AnnualNitrogenExcretedToPasture(E23,E35)</f>
        <v>61995250</v>
      </c>
    </row>
    <row r="48" spans="4:6" ht="20.100000000000001" customHeight="1" x14ac:dyDescent="0.25">
      <c r="D48" s="51" t="s">
        <v>169</v>
      </c>
      <c r="E48" s="51" cm="1">
        <f t="array" ref="E48">MMS_OtherLivestock_Soil_N2ODirect.VEERG_4_7_1_3__2_AnnualNitrogenExcretedToPasture(E24,E36)</f>
        <v>255500</v>
      </c>
    </row>
    <row r="49" spans="3:11" ht="20.100000000000001" customHeight="1" x14ac:dyDescent="0.25">
      <c r="D49" s="51" t="s">
        <v>170</v>
      </c>
      <c r="E49" s="51" cm="1">
        <f t="array" ref="E49">MMS_OtherLivestock_Soil_N2ODirect.VEERG_4_7_1_3__2_AnnualNitrogenExcretedToPasture(E25,E37)</f>
        <v>1441750</v>
      </c>
    </row>
    <row r="50" spans="3:11" ht="20.100000000000001" customHeight="1" x14ac:dyDescent="0.25">
      <c r="D50" s="51" t="s">
        <v>186</v>
      </c>
      <c r="E50" s="51" cm="1">
        <f t="array" ref="E50">MMS_OtherLivestock_Soil_N2ODirect.VEERG_4_7_1_3__2_AnnualNitrogenExcretedToPasture(E26,E38)</f>
        <v>481800</v>
      </c>
    </row>
    <row r="51" spans="3:11" ht="20.100000000000001" customHeight="1" x14ac:dyDescent="0.25">
      <c r="D51" s="51" t="s">
        <v>187</v>
      </c>
      <c r="E51" s="51" cm="1">
        <f t="array" ref="E51">MMS_OtherLivestock_Soil_N2ODirect.VEERG_4_7_1_3__2_AnnualNitrogenExcretedToPasture(E27,E39)</f>
        <v>255500</v>
      </c>
    </row>
    <row r="52" spans="3:11" ht="20.100000000000001" customHeight="1" x14ac:dyDescent="0.25"/>
    <row r="53" spans="3:11" ht="20.100000000000001" customHeight="1" x14ac:dyDescent="0.25">
      <c r="D53" s="106" t="s">
        <v>203</v>
      </c>
      <c r="E53" s="46">
        <f>SUM(E44:E51)</f>
        <v>165177100</v>
      </c>
      <c r="F53" s="105" t="str">
        <f>$E$11</f>
        <v>kg N/year</v>
      </c>
    </row>
    <row r="54" spans="3:11" ht="20.100000000000001" customHeight="1" x14ac:dyDescent="0.25"/>
    <row r="55" spans="3:11" ht="20.100000000000001" customHeight="1" x14ac:dyDescent="0.25"/>
    <row r="56" spans="3:11" ht="20.100000000000001" customHeight="1" x14ac:dyDescent="0.25">
      <c r="C56" s="46"/>
      <c r="D56" s="46"/>
      <c r="E56" s="46"/>
      <c r="F56" s="46"/>
      <c r="G56" s="46"/>
      <c r="H56" s="46"/>
      <c r="I56" s="46"/>
      <c r="J56" s="46"/>
      <c r="K56" s="46"/>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22</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2" t="s">
        <v>25</v>
      </c>
      <c r="E62" s="1" t="str" cm="1">
        <f t="array" ref="E62">MMS_OtherLivestock_Soil_N2ODirect.VEERG_4_7_1_3__1_DirectNitrousOxideEmissionsFromSoil_Variable()</f>
        <v>E_N2Odir</v>
      </c>
    </row>
    <row r="63" spans="3:11" ht="20.100000000000001" customHeight="1" x14ac:dyDescent="0.25">
      <c r="D63" s="52" t="s">
        <v>15</v>
      </c>
      <c r="E63" s="53" t="str" cm="1">
        <f t="array" ref="E63">MMS_OtherLivestock_Soil_N2ODirect.VEERG_4_7_1_3__1_DirectNitrousOxideEmissionsFromSoil_Unit()</f>
        <v>t N2O</v>
      </c>
    </row>
    <row r="64" spans="3:11" ht="20.100000000000001" customHeight="1" x14ac:dyDescent="0.25"/>
    <row r="65" spans="4:9" ht="20.100000000000001" customHeight="1" x14ac:dyDescent="0.25">
      <c r="D65" s="113" t="str" cm="1">
        <f t="array" ref="D65:E68">_xlfn.CHOOSECOLS(MMS_OtherLivestock_Soil_N2ODirect.VEERG_4_7_1_3__1_DirectNitrousOxideEmissionsFromSoil_Arguments(),1,2)</f>
        <v>AE</v>
      </c>
      <c r="E65" s="116" t="str">
        <v>annual nitrogen excreted by each livestock type</v>
      </c>
      <c r="F65" s="115"/>
      <c r="G65" s="113" t="str" cm="1">
        <f t="array" ref="G65:H68">_xlfn.CHOOSECOLS(MMS_OtherLivestock_Soil_N2ODirect.VEERG_4_7_1_3__1_DirectNitrousOxideEmissionsFromSoil_Arguments(),3,4)</f>
        <v>kg N/year</v>
      </c>
      <c r="H65" s="112" t="str">
        <v>Calculated from 4.7.1.3, (2)</v>
      </c>
      <c r="I65" s="113">
        <f>$E$53</f>
        <v>165177100</v>
      </c>
    </row>
    <row r="66" spans="4:9" ht="20.100000000000001" customHeight="1" x14ac:dyDescent="0.25">
      <c r="D66" s="113" t="str">
        <v>EF_PRP</v>
      </c>
      <c r="E66" s="116" t="str">
        <v>emission factor for nitrous oxide from urine and dung deposited to soil</v>
      </c>
      <c r="F66" s="115"/>
      <c r="G66" s="113" t="str">
        <v>kg N2O-N/kg N deposited</v>
      </c>
      <c r="H66" s="112" t="str">
        <v>Constant</v>
      </c>
      <c r="I66" s="113">
        <f>_xlfn.XLOOKUP(I68,Table_SourceData_EFPastureRangeAndPaddock[Climate zone],Table_SourceData_EFPastureRangeAndPaddock[EFPRP])</f>
        <v>2E-3</v>
      </c>
    </row>
    <row r="67" spans="4:9" ht="20.100000000000001" customHeight="1" x14ac:dyDescent="0.25">
      <c r="D67" s="113" t="str">
        <v>C_N2O</v>
      </c>
      <c r="E67" s="116" t="str">
        <v>factor to convert elemental mass of nitrous oxide to molecular mass</v>
      </c>
      <c r="F67" s="115"/>
      <c r="G67" s="113" t="str">
        <v/>
      </c>
      <c r="H67" s="112" t="str">
        <v>Constant</v>
      </c>
      <c r="I67" s="113">
        <f>Common_InputFunctions.Utility_LookupValueInTableNumber("N2O",Table_GasToMolecularConversionFactor[Gas],Table_GasToMolecularConversionFactor[Conversion factor combined])</f>
        <v>1.5714285714285714</v>
      </c>
    </row>
    <row r="68" spans="4:9" ht="20.100000000000001" customHeight="1" x14ac:dyDescent="0.25">
      <c r="D68" s="113" t="str">
        <v>z</v>
      </c>
      <c r="E68" s="116" t="str">
        <v>wet or dry climate zone</v>
      </c>
      <c r="F68" s="115"/>
      <c r="G68" s="113" t="str">
        <v/>
      </c>
      <c r="H68" s="111" t="str">
        <v>Input</v>
      </c>
      <c r="I68" s="113" t="str">
        <f>X_Cell_Site_WetOrDryClimateZone</f>
        <v>Dry climate zone</v>
      </c>
    </row>
    <row r="69" spans="4:9" ht="20.100000000000001" customHeight="1" x14ac:dyDescent="0.25"/>
    <row r="70" spans="4:9" ht="20.100000000000001" customHeight="1" x14ac:dyDescent="0.25">
      <c r="D70" s="97" t="s">
        <v>90</v>
      </c>
      <c r="E70" s="98" cm="1">
        <f t="array" ref="E70">MMS_OtherLivestock_Soil_N2ODirect.VEERG_4_7_1_3__1_DirectNitrousOxideEmissionsFromSoil(I65,I66,I67)</f>
        <v>519.12802857142856</v>
      </c>
      <c r="F70" s="99" t="str">
        <f>$E$63</f>
        <v>t N2O</v>
      </c>
    </row>
    <row r="71" spans="4:9" ht="20.100000000000001" customHeight="1" x14ac:dyDescent="0.25"/>
    <row r="72" spans="4:9" ht="20.100000000000001" customHeight="1" x14ac:dyDescent="0.25">
      <c r="D72" s="56" t="str" cm="1">
        <f t="array" ref="D72:E73">Common_Equations.Common_ConvertN2OToCO2e_Arguments()</f>
        <v>EN2O</v>
      </c>
      <c r="E72" s="57" t="str">
        <v>Nitrous oxide emissions (t N2O)</v>
      </c>
      <c r="F72" s="100"/>
      <c r="G72" s="51">
        <f>E70</f>
        <v>519.12802857142856</v>
      </c>
    </row>
    <row r="73" spans="4:9" ht="20.100000000000001" customHeight="1" x14ac:dyDescent="0.25">
      <c r="D73" s="56" t="str">
        <v>GWPN2O</v>
      </c>
      <c r="E73" s="57" t="str">
        <v>Global warming potential for nitrous oxide (t CO2-e / t N2O)</v>
      </c>
      <c r="F73" s="100"/>
      <c r="G73" s="51">
        <f>Common_InputFunctions.Utility_LookupValueInTableNumber("N2O",Table_GWPData[Gas],Table_GWPData[CO2-e factor])</f>
        <v>265</v>
      </c>
    </row>
    <row r="74" spans="4:9" ht="20.100000000000001" customHeight="1" x14ac:dyDescent="0.25"/>
    <row r="75" spans="4:9" ht="20.100000000000001" customHeight="1" x14ac:dyDescent="0.25">
      <c r="D75" s="46" t="s">
        <v>87</v>
      </c>
      <c r="E75" s="46" cm="1">
        <f t="array" ref="E75">Common_Equations.Common_ConvertN2OToCO2e(G72,G73)</f>
        <v>137568.92757142856</v>
      </c>
      <c r="F75" s="101"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236</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D6" s="5" t="str" cm="1">
        <f t="array" ref="D6">MMS_OtherLivestock_Soil_AtmosphericDeposition.VEERG_4_7_1_5__2_MassOfNitrogenVolatilisedFromPasture_Source()</f>
        <v>VEERG 2026: 4.7.1.5, Equation (2)</v>
      </c>
    </row>
    <row r="7" spans="1:21" ht="20.100000000000001" customHeight="1" x14ac:dyDescent="0.25">
      <c r="D7" s="13" t="s">
        <v>22</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MMS_OtherLivestock_Soil_AtmosphericDeposition.VEERG_4_7_1_5__2_MassOfNitrogenVolatilisedFromPasture_Variable()</f>
        <v>M_vol</v>
      </c>
    </row>
    <row r="11" spans="1:21" ht="20.100000000000001" customHeight="1" x14ac:dyDescent="0.25">
      <c r="D11" s="52" t="s">
        <v>15</v>
      </c>
      <c r="E11" s="53" t="str" cm="1">
        <f t="array" ref="E11">MMS_OtherLivestock_Soil_AtmosphericDeposition.VEERG_4_7_1_5__2_MassOfNitrogenVolatilisedFromPasture_Unit()</f>
        <v>kg N</v>
      </c>
    </row>
    <row r="12" spans="1:21" ht="20.100000000000001" customHeight="1" x14ac:dyDescent="0.25"/>
    <row r="13" spans="1:21" ht="20.100000000000001" customHeight="1" x14ac:dyDescent="0.25">
      <c r="A13" s="18" t="s">
        <v>70</v>
      </c>
      <c r="D13" s="113" t="str" cm="1">
        <f t="array" ref="D13:E14">_xlfn.CHOOSECOLS(MMS_OtherLivestock_Soil_AtmosphericDeposition.VEERG_4_7_1_5__2_MassOfNitrogenVolatilisedFromPasture_Arguments(),1,2)</f>
        <v>AE</v>
      </c>
      <c r="E13" s="113" t="str">
        <v>annual nitrogen excreted by each livestock type</v>
      </c>
      <c r="F13" s="113"/>
      <c r="G13" s="113" t="str" cm="1">
        <f t="array" ref="G13:H14">_xlfn.CHOOSECOLS(MMS_OtherLivestock_Soil_AtmosphericDeposition.VEERG_4_7_1_5__2_MassOfNitrogenVolatilisedFromPasture_Arguments(),3,4)</f>
        <v>kg N/year</v>
      </c>
      <c r="H13" s="112" t="str">
        <v>Calculated by 4.7.1.3, (2)</v>
      </c>
      <c r="I13" s="113" t="str" cm="1">
        <f t="array" aca="1" ref="I13" ca="1">HYPERLINK(Common_InputFunctions.Utility_SourceHyperlink($D$16),$D$16)</f>
        <v>Table_AEj</v>
      </c>
    </row>
    <row r="14" spans="1:21" ht="20.100000000000001" customHeight="1" x14ac:dyDescent="0.25">
      <c r="A14" s="17" t="str">
        <f>HYPERLINK("#'4.7.1.1-2 Manure Methane'!A1", "4.7.1.1-2 Manure Methane")</f>
        <v>4.7.1.1-2 Manure Methane</v>
      </c>
      <c r="D14" s="113" t="str">
        <v>FracGASMsoil</v>
      </c>
      <c r="E14" s="113" t="str">
        <v>fraction of nitrogen volatilised from urine and faeces deposited on pasture</v>
      </c>
      <c r="F14" s="113"/>
      <c r="G14" s="113" t="str">
        <v>(kg NH3-N + NOx-N)/kg N</v>
      </c>
      <c r="H14" s="112" t="str">
        <v>Constant</v>
      </c>
      <c r="I14" s="113">
        <f>SourceData_OtherLivestock_FracGASMSoil_Data</f>
        <v>0.21</v>
      </c>
    </row>
    <row r="15" spans="1:21" ht="20.100000000000001" customHeight="1" x14ac:dyDescent="0.25">
      <c r="A15" s="17" t="str">
        <f>HYPERLINK("#'4.7.1.3-4 Soil Direct N2O'!A1", "4.7.1.3-4 Soil Direct N2O")</f>
        <v>4.7.1.3-4 Soil Direct N2O</v>
      </c>
    </row>
    <row r="16" spans="1:21" ht="20.100000000000001" customHeight="1" x14ac:dyDescent="0.25">
      <c r="A16" s="21" t="str">
        <f>HYPERLINK("#'4.7.1.5-6 Soil Atmos Deposition'!A1", "4.7.1.5-6 Soil Atmos Deposition")</f>
        <v>4.7.1.5-6 Soil Atmos Deposition</v>
      </c>
      <c r="D16" s="94" t="s">
        <v>201</v>
      </c>
    </row>
    <row r="17" spans="1:6" ht="20.100000000000001" customHeight="1" x14ac:dyDescent="0.25">
      <c r="A17" s="17" t="str">
        <f>HYPERLINK("#'4.7.1.7-8 Soil Leaching Runoff'!A1", "4.7.1.7-8 Soil Leaching Runoff")</f>
        <v>4.7.1.7-8 Soil Leaching Runoff</v>
      </c>
      <c r="D17" s="93" t="s">
        <v>200</v>
      </c>
    </row>
    <row r="18" spans="1:6" ht="20.100000000000001" customHeight="1" x14ac:dyDescent="0.25">
      <c r="D18" s="50" t="s">
        <v>181</v>
      </c>
      <c r="E18" s="50" t="s">
        <v>224</v>
      </c>
    </row>
    <row r="19" spans="1:6" ht="20.100000000000001" customHeight="1" x14ac:dyDescent="0.25">
      <c r="D19" s="51" t="s">
        <v>150</v>
      </c>
      <c r="E19" s="51">
        <f>INDEX(Table_AEj,2,2)</f>
        <v>66320500</v>
      </c>
      <c r="F19" s="2" t="str">
        <f>'4.7.1.3-4 Soil Direct N2O'!$F$44</f>
        <v>kg N/year</v>
      </c>
    </row>
    <row r="20" spans="1:6" ht="20.100000000000001" customHeight="1" x14ac:dyDescent="0.25">
      <c r="A20" s="124" t="s">
        <v>1</v>
      </c>
      <c r="D20" s="51" t="s">
        <v>155</v>
      </c>
      <c r="E20" s="51">
        <f>INDEX(Table_AEj,3,2)</f>
        <v>12264000</v>
      </c>
    </row>
    <row r="21" spans="1:6" ht="20.100000000000001" customHeight="1" x14ac:dyDescent="0.25">
      <c r="A21" s="17" t="str">
        <f>HYPERLINK("#'Constants - Other Livestock'!A1", "Constants - Other Livestock")</f>
        <v>Constants - Other Livestock</v>
      </c>
      <c r="D21" s="51" t="s">
        <v>162</v>
      </c>
      <c r="E21" s="51">
        <f>INDEX(Table_AEj,4,2)</f>
        <v>22162800</v>
      </c>
    </row>
    <row r="22" spans="1:6" ht="20.100000000000001" customHeight="1" x14ac:dyDescent="0.25">
      <c r="A22" s="17" t="str">
        <f>HYPERLINK("#'Constants - Livestock'!A1", "Constants - Livestock")</f>
        <v>Constants - Livestock</v>
      </c>
      <c r="D22" s="51" t="s">
        <v>168</v>
      </c>
      <c r="E22" s="51">
        <f>INDEX(Table_AEj,5,2)</f>
        <v>61995250</v>
      </c>
    </row>
    <row r="23" spans="1:6" ht="20.100000000000001" customHeight="1" x14ac:dyDescent="0.25">
      <c r="A23" s="17" t="str">
        <f>HYPERLINK("#'Constants - Common'!A1", "Constants - Common")</f>
        <v>Constants - Common</v>
      </c>
      <c r="D23" s="51" t="s">
        <v>169</v>
      </c>
      <c r="E23" s="51">
        <f>INDEX(Table_AEj,6,2)</f>
        <v>255500</v>
      </c>
    </row>
    <row r="24" spans="1:6" ht="20.100000000000001" customHeight="1" x14ac:dyDescent="0.25">
      <c r="A24" s="17" t="str">
        <f>HYPERLINK("#'Acknowledgements'!A1", "Acknowledgements")</f>
        <v>Acknowledgements</v>
      </c>
      <c r="D24" s="51" t="s">
        <v>170</v>
      </c>
      <c r="E24" s="51">
        <f>INDEX(Table_AEj,7,2)</f>
        <v>1441750</v>
      </c>
    </row>
    <row r="25" spans="1:6" ht="20.100000000000001" customHeight="1" x14ac:dyDescent="0.25">
      <c r="D25" s="51" t="s">
        <v>186</v>
      </c>
      <c r="E25" s="51">
        <f>INDEX(Table_AEj,8,2)</f>
        <v>481800</v>
      </c>
    </row>
    <row r="26" spans="1:6" ht="20.100000000000001" customHeight="1" x14ac:dyDescent="0.25">
      <c r="D26" s="51" t="s">
        <v>187</v>
      </c>
      <c r="E26" s="51">
        <f>INDEX(Table_AEj,9,2)</f>
        <v>255500</v>
      </c>
    </row>
    <row r="27" spans="1:6" ht="20.100000000000001" customHeight="1" x14ac:dyDescent="0.25"/>
    <row r="28" spans="1:6" ht="20.100000000000001" customHeight="1" x14ac:dyDescent="0.25">
      <c r="D28" s="94" t="s">
        <v>213</v>
      </c>
    </row>
    <row r="29" spans="1:6" ht="20.100000000000001" customHeight="1" x14ac:dyDescent="0.25">
      <c r="D29" s="93" t="s">
        <v>200</v>
      </c>
    </row>
    <row r="30" spans="1:6" ht="20.100000000000001" customHeight="1" x14ac:dyDescent="0.25">
      <c r="D30" s="50" t="s">
        <v>181</v>
      </c>
      <c r="E30" s="50" t="s">
        <v>226</v>
      </c>
    </row>
    <row r="31" spans="1:6" ht="20.100000000000001" customHeight="1" x14ac:dyDescent="0.25">
      <c r="D31" s="51" t="s">
        <v>150</v>
      </c>
      <c r="E31" s="51" cm="1">
        <f t="array" ref="E31">MMS_OtherLivestock_Soil_AtmosphericDeposition.VEERG_4_7_1_5__2_MassOfNitrogenVolatilisedFromPasture(E19,$I$14)</f>
        <v>13927305</v>
      </c>
      <c r="F31" s="2" t="str">
        <f>'4.7.1.3-4 Soil Direct N2O'!$F$44</f>
        <v>kg N/year</v>
      </c>
    </row>
    <row r="32" spans="1:6" ht="20.100000000000001" customHeight="1" x14ac:dyDescent="0.25">
      <c r="D32" s="51" t="s">
        <v>155</v>
      </c>
      <c r="E32" s="51" cm="1">
        <f t="array" ref="E32">MMS_OtherLivestock_Soil_AtmosphericDeposition.VEERG_4_7_1_5__2_MassOfNitrogenVolatilisedFromPasture(E20,$I$14)</f>
        <v>2575440</v>
      </c>
    </row>
    <row r="33" spans="3:11" ht="20.100000000000001" customHeight="1" x14ac:dyDescent="0.25">
      <c r="D33" s="51" t="s">
        <v>162</v>
      </c>
      <c r="E33" s="51" cm="1">
        <f t="array" ref="E33">MMS_OtherLivestock_Soil_AtmosphericDeposition.VEERG_4_7_1_5__2_MassOfNitrogenVolatilisedFromPasture(E21,$I$14)</f>
        <v>4654188</v>
      </c>
    </row>
    <row r="34" spans="3:11" ht="20.100000000000001" customHeight="1" x14ac:dyDescent="0.25">
      <c r="D34" s="51" t="s">
        <v>168</v>
      </c>
      <c r="E34" s="51" cm="1">
        <f t="array" ref="E34">MMS_OtherLivestock_Soil_AtmosphericDeposition.VEERG_4_7_1_5__2_MassOfNitrogenVolatilisedFromPasture(E22,$I$14)</f>
        <v>13019002.5</v>
      </c>
    </row>
    <row r="35" spans="3:11" ht="20.100000000000001" customHeight="1" x14ac:dyDescent="0.25">
      <c r="D35" s="51" t="s">
        <v>169</v>
      </c>
      <c r="E35" s="51" cm="1">
        <f t="array" ref="E35">MMS_OtherLivestock_Soil_AtmosphericDeposition.VEERG_4_7_1_5__2_MassOfNitrogenVolatilisedFromPasture(E23,$I$14)</f>
        <v>53655</v>
      </c>
    </row>
    <row r="36" spans="3:11" ht="20.100000000000001" customHeight="1" x14ac:dyDescent="0.25">
      <c r="D36" s="51" t="s">
        <v>170</v>
      </c>
      <c r="E36" s="51" cm="1">
        <f t="array" ref="E36">MMS_OtherLivestock_Soil_AtmosphericDeposition.VEERG_4_7_1_5__2_MassOfNitrogenVolatilisedFromPasture(E24,$I$14)</f>
        <v>302767.5</v>
      </c>
    </row>
    <row r="37" spans="3:11" ht="20.100000000000001" customHeight="1" x14ac:dyDescent="0.25">
      <c r="D37" s="51" t="s">
        <v>186</v>
      </c>
      <c r="E37" s="51" cm="1">
        <f t="array" ref="E37">MMS_OtherLivestock_Soil_AtmosphericDeposition.VEERG_4_7_1_5__2_MassOfNitrogenVolatilisedFromPasture(E25,$I$14)</f>
        <v>101178</v>
      </c>
    </row>
    <row r="38" spans="3:11" ht="20.100000000000001" customHeight="1" x14ac:dyDescent="0.25">
      <c r="D38" s="51" t="s">
        <v>187</v>
      </c>
      <c r="E38" s="51"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6"/>
      <c r="D41" s="46"/>
      <c r="E41" s="46"/>
      <c r="F41" s="46"/>
      <c r="G41" s="46"/>
      <c r="H41" s="46"/>
      <c r="I41" s="46"/>
      <c r="J41" s="46"/>
      <c r="K41" s="46"/>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22</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2" t="s">
        <v>25</v>
      </c>
      <c r="E47" s="1" t="str" cm="1">
        <f t="array" ref="E47">MMS_OtherLivestock_Soil_AtmosphericDeposition.VEERG_4_7_1_5__1_AtmosphericDepositionEmissionsFromPasture_Variable()</f>
        <v>E_N2Oad</v>
      </c>
    </row>
    <row r="48" spans="3:11" ht="20.100000000000001" customHeight="1" x14ac:dyDescent="0.25">
      <c r="D48" s="52" t="s">
        <v>15</v>
      </c>
      <c r="E48" s="53"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3" t="str" cm="1">
        <f t="array" ref="D50:E55">_xlfn.CHOOSECOLS(MMS_OtherLivestock_Soil_AtmosphericDeposition.VEERG_4_7_1_5__1_AtmosphericDepositionEmissionsFromPasture_Arguments(),1,2)</f>
        <v>M_vol</v>
      </c>
      <c r="E50" s="116" t="str">
        <v>mass of nitrogen volatilised from urine and faeces deposited on pasture</v>
      </c>
      <c r="F50" s="115"/>
      <c r="G50" s="113" t="str" cm="1">
        <f t="array" ref="G50:H55">_xlfn.CHOOSECOLS(MMS_OtherLivestock_Soil_AtmosphericDeposition.VEERG_4_7_1_5__1_AtmosphericDepositionEmissionsFromPasture_Arguments(),3,4)</f>
        <v>kg N</v>
      </c>
      <c r="H50" s="112" t="str">
        <v>Calculated from 4.7.1.5, (2)</v>
      </c>
      <c r="I50" s="114" t="str" cm="1">
        <f t="array" aca="1" ref="I50" ca="1">HYPERLINK(Common_InputFunctions.Utility_SourceHyperlink($D$28),$D$28)</f>
        <v>Table_M_vol</v>
      </c>
    </row>
    <row r="51" spans="4:9" ht="20.100000000000001" customHeight="1" x14ac:dyDescent="0.25">
      <c r="D51" s="113" t="str">
        <v>EF_N2O</v>
      </c>
      <c r="E51" s="116" t="str">
        <v>emission factor for atmospheric deposition</v>
      </c>
      <c r="F51" s="115"/>
      <c r="G51" s="113" t="str">
        <v>kg N2O-N/kg N</v>
      </c>
      <c r="H51" s="112" t="str">
        <v>Constant</v>
      </c>
      <c r="I51" s="114" t="str" cm="1">
        <f t="array" aca="1" ref="I51" ca="1">HYPERLINK(Common_InputFunctions.Utility_SourceHyperlink($D$57),$D$57)</f>
        <v>Table_EF_N2O</v>
      </c>
    </row>
    <row r="52" spans="4:9" ht="20.100000000000001" customHeight="1" x14ac:dyDescent="0.25">
      <c r="D52" s="113" t="str">
        <v>C_N2O</v>
      </c>
      <c r="E52" s="116" t="str">
        <v>factor to convert elemental mass of nitrous oxide to molecular mass</v>
      </c>
      <c r="F52" s="115"/>
      <c r="G52" s="113" t="str">
        <v/>
      </c>
      <c r="H52" s="112" t="str">
        <v>Constant</v>
      </c>
      <c r="I52" s="113">
        <f>Common_InputFunctions.Utility_LookupValueInTableNumber("N2O",Table_GasToMolecularConversionFactor[Gas],Table_GasToMolecularConversionFactor[Conversion factor combined])</f>
        <v>1.5714285714285714</v>
      </c>
    </row>
    <row r="53" spans="4:9" ht="20.100000000000001" customHeight="1" x14ac:dyDescent="0.25">
      <c r="D53" s="113" t="str">
        <v>j</v>
      </c>
      <c r="E53" s="116" t="str">
        <v>production system</v>
      </c>
      <c r="F53" s="115"/>
      <c r="G53" s="113" t="str">
        <v/>
      </c>
      <c r="H53" s="111" t="str">
        <v>Input</v>
      </c>
      <c r="I53" s="114" t="str" cm="1">
        <f t="array" aca="1" ref="I53" ca="1">HYPERLINK(Common_InputFunctions.Utility_SourceHyperlink($D$57),$D$57)</f>
        <v>Table_EF_N2O</v>
      </c>
    </row>
    <row r="54" spans="4:9" ht="20.100000000000001" customHeight="1" x14ac:dyDescent="0.25">
      <c r="D54" s="113" t="str">
        <v>i</v>
      </c>
      <c r="E54" s="116" t="str">
        <v>irrigation method</v>
      </c>
      <c r="F54" s="115"/>
      <c r="G54" s="113" t="str">
        <v/>
      </c>
      <c r="H54" s="111" t="str">
        <v>Input</v>
      </c>
      <c r="I54" s="114" t="str" cm="1">
        <f t="array" aca="1" ref="I54" ca="1">HYPERLINK(Common_InputFunctions.Utility_SourceHyperlink($D$57),$D$57)</f>
        <v>Table_EF_N2O</v>
      </c>
    </row>
    <row r="55" spans="4:9" ht="20.100000000000001" customHeight="1" x14ac:dyDescent="0.25">
      <c r="D55" s="113" t="str">
        <v>r</v>
      </c>
      <c r="E55" s="116" t="str">
        <v>rainfall zone</v>
      </c>
      <c r="F55" s="115"/>
      <c r="G55" s="113" t="str">
        <v/>
      </c>
      <c r="H55" s="111" t="str">
        <v>Input</v>
      </c>
      <c r="I55" s="114" t="str" cm="1">
        <f t="array" aca="1" ref="I55" ca="1">HYPERLINK(Common_InputFunctions.Utility_SourceHyperlink($D$57),$D$57)</f>
        <v>Table_EF_N2O</v>
      </c>
    </row>
    <row r="56" spans="4:9" ht="20.100000000000001" customHeight="1" x14ac:dyDescent="0.25"/>
    <row r="57" spans="4:9" ht="20.100000000000001" customHeight="1" x14ac:dyDescent="0.25">
      <c r="D57" s="94" t="s">
        <v>210</v>
      </c>
    </row>
    <row r="58" spans="4:9" ht="20.100000000000001" customHeight="1" x14ac:dyDescent="0.25">
      <c r="D58" s="93" t="s">
        <v>211</v>
      </c>
    </row>
    <row r="59" spans="4:9" ht="20.100000000000001" customHeight="1" x14ac:dyDescent="0.25">
      <c r="D59" s="50" t="s">
        <v>181</v>
      </c>
      <c r="E59" s="40" t="s">
        <v>101</v>
      </c>
      <c r="F59" s="40" t="s">
        <v>99</v>
      </c>
      <c r="G59" s="40" t="s">
        <v>31</v>
      </c>
      <c r="H59" s="50" t="s">
        <v>225</v>
      </c>
    </row>
    <row r="60" spans="4:9" ht="20.100000000000001" customHeight="1" x14ac:dyDescent="0.25">
      <c r="D60" s="51" t="s">
        <v>150</v>
      </c>
      <c r="E60" s="51" t="str">
        <f>X_Cell_OtherLivestock_Buffalo_GrazingProductionSystem</f>
        <v>Pasture</v>
      </c>
      <c r="F60" s="51" t="str">
        <f>X_Cell_OtherLivestock_Buffalo_GrazingIrrigationMethod</f>
        <v>Not irrigated</v>
      </c>
      <c r="G60" s="51" t="str">
        <f t="shared" ref="G60:G67" si="0">X_Cell_Site_RainfallZone</f>
        <v>High rainfall</v>
      </c>
      <c r="H60" s="51">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1" t="s">
        <v>155</v>
      </c>
      <c r="E61" s="51" t="str">
        <f>X_Cell_OtherLivestock_Goats_GrazingProductionSystem</f>
        <v>Pasture</v>
      </c>
      <c r="F61" s="51" t="str">
        <f>X_Cell_OtherLivestock_Goats_GrazingIrrigationMethod</f>
        <v>Not irrigated</v>
      </c>
      <c r="G61" s="51" t="str">
        <f t="shared" si="0"/>
        <v>High rainfall</v>
      </c>
      <c r="H61" s="51">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1" t="s">
        <v>162</v>
      </c>
      <c r="E62" s="51" t="str">
        <f>X_Cell_OtherLivestock_Deer_GrazingProductionSystem</f>
        <v>Pasture</v>
      </c>
      <c r="F62" s="51" t="str">
        <f>X_Cell_OtherLivestock_Deer_GrazingIrrigationMethod</f>
        <v>Not irrigated</v>
      </c>
      <c r="G62" s="51" t="str">
        <f t="shared" si="0"/>
        <v>High rainfall</v>
      </c>
      <c r="H62" s="51">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1" t="s">
        <v>168</v>
      </c>
      <c r="E63" s="51" t="str">
        <f>X_Cell_OtherLivestock_Others_Camels_GrazingProductionSystem</f>
        <v>Pasture</v>
      </c>
      <c r="F63" s="51" t="str">
        <f>X_Cell_OtherLivestock_Others_Camels_GrazingIrrigationMethod</f>
        <v>Drip irrigation</v>
      </c>
      <c r="G63" s="51" t="str">
        <f t="shared" si="0"/>
        <v>High rainfall</v>
      </c>
      <c r="H63" s="51">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1" t="s">
        <v>169</v>
      </c>
      <c r="E64" s="51" t="str">
        <f>X_Cell_OtherLivestock_Others_Alpacas_GrazingProductionSystem</f>
        <v>Pasture</v>
      </c>
      <c r="F64" s="51" t="str">
        <f>X_Cell_OtherLivestock_Others_Alpacas_GrazingIrrigationMethod</f>
        <v>Sprinkler irrigation</v>
      </c>
      <c r="G64" s="51" t="str">
        <f t="shared" si="0"/>
        <v>High rainfall</v>
      </c>
      <c r="H64" s="51">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1" t="s">
        <v>170</v>
      </c>
      <c r="E65" s="51" t="str">
        <f>X_Cell_OtherLivestock_Others_Horses_GrazingProductionSystem</f>
        <v>Crop</v>
      </c>
      <c r="F65" s="51" t="str">
        <f>X_Cell_OtherLivestock_Others_Horses_GrazingIrrigationMethod</f>
        <v>Not irrigated</v>
      </c>
      <c r="G65" s="51" t="str">
        <f t="shared" si="0"/>
        <v>High rainfall</v>
      </c>
      <c r="H65" s="51">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1" t="s">
        <v>186</v>
      </c>
      <c r="E66" s="51" t="str">
        <f>X_Cell_OtherLivestock_Others_Mules_GrazingProductionSystem</f>
        <v>Crop</v>
      </c>
      <c r="F66" s="51" t="str">
        <f>X_Cell_OtherLivestock_Others_Mules_GrazingIrrigationMethod</f>
        <v>Surface irrigation</v>
      </c>
      <c r="G66" s="51" t="str">
        <f t="shared" si="0"/>
        <v>High rainfall</v>
      </c>
      <c r="H66" s="51">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1" t="s">
        <v>187</v>
      </c>
      <c r="E67" s="51" t="str">
        <f>X_Cell_OtherLivestock_Others_Emus_GrazingProductionSystem</f>
        <v>Pasture</v>
      </c>
      <c r="F67" s="51" t="str">
        <f>X_Cell_OtherLivestock_Others_Emus_GrazingIrrigationMethod</f>
        <v>Not irrigated</v>
      </c>
      <c r="G67" s="51" t="str">
        <f t="shared" si="0"/>
        <v>High rainfall</v>
      </c>
      <c r="H67" s="51">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4" t="s">
        <v>214</v>
      </c>
    </row>
    <row r="70" spans="4:8" ht="20.100000000000001" customHeight="1" x14ac:dyDescent="0.25">
      <c r="D70" s="93" t="s">
        <v>215</v>
      </c>
    </row>
    <row r="71" spans="4:8" ht="20.100000000000001" customHeight="1" x14ac:dyDescent="0.25">
      <c r="D71" s="50" t="s">
        <v>181</v>
      </c>
      <c r="E71" s="50" t="s">
        <v>101</v>
      </c>
    </row>
    <row r="72" spans="4:8" ht="20.100000000000001" customHeight="1" x14ac:dyDescent="0.25">
      <c r="D72" s="51" t="s">
        <v>150</v>
      </c>
      <c r="E72" s="51" cm="1">
        <f t="array" ref="E72">MMS_OtherLivestock_Soil_AtmosphericDeposition.VEERG_4_7_1_5__1_AtmosphericDepositionEmissionsFromPasture(E31,H60,$I$52)</f>
        <v>39.394376999999992</v>
      </c>
      <c r="F72" s="2" t="str">
        <f>$E$48</f>
        <v>t N2O</v>
      </c>
    </row>
    <row r="73" spans="4:8" ht="20.100000000000001" customHeight="1" x14ac:dyDescent="0.25">
      <c r="D73" s="51" t="s">
        <v>155</v>
      </c>
      <c r="E73" s="51" cm="1">
        <f t="array" ref="E73">MMS_OtherLivestock_Soil_AtmosphericDeposition.VEERG_4_7_1_5__1_AtmosphericDepositionEmissionsFromPasture(E32,H61,$I$52)</f>
        <v>7.2848159999999993</v>
      </c>
    </row>
    <row r="74" spans="4:8" ht="20.100000000000001" customHeight="1" x14ac:dyDescent="0.25">
      <c r="D74" s="51" t="s">
        <v>162</v>
      </c>
      <c r="E74" s="51" cm="1">
        <f t="array" ref="E74">MMS_OtherLivestock_Soil_AtmosphericDeposition.VEERG_4_7_1_5__1_AtmosphericDepositionEmissionsFromPasture(E33,H62,$I$52)</f>
        <v>13.164703199999998</v>
      </c>
    </row>
    <row r="75" spans="4:8" ht="20.100000000000001" customHeight="1" x14ac:dyDescent="0.25">
      <c r="D75" s="51" t="s">
        <v>168</v>
      </c>
      <c r="E75" s="51" cm="1">
        <f t="array" ref="E75">MMS_OtherLivestock_Soil_AtmosphericDeposition.VEERG_4_7_1_5__1_AtmosphericDepositionEmissionsFromPasture(E34,H63,$I$52)</f>
        <v>120.70475174999999</v>
      </c>
    </row>
    <row r="76" spans="4:8" ht="20.100000000000001" customHeight="1" x14ac:dyDescent="0.25">
      <c r="D76" s="51" t="s">
        <v>169</v>
      </c>
      <c r="E76" s="51" cm="1">
        <f t="array" ref="E76">MMS_OtherLivestock_Soil_AtmosphericDeposition.VEERG_4_7_1_5__1_AtmosphericDepositionEmissionsFromPasture(E35,H64,$I$52)</f>
        <v>0.49745850000000003</v>
      </c>
    </row>
    <row r="77" spans="4:8" ht="20.100000000000001" customHeight="1" x14ac:dyDescent="0.25">
      <c r="D77" s="51" t="s">
        <v>170</v>
      </c>
      <c r="E77" s="51" cm="1">
        <f t="array" ref="E77">MMS_OtherLivestock_Soil_AtmosphericDeposition.VEERG_4_7_1_5__1_AtmosphericDepositionEmissionsFromPasture(E36,H65,$I$52)</f>
        <v>3.8062199999999997</v>
      </c>
    </row>
    <row r="78" spans="4:8" ht="20.100000000000001" customHeight="1" x14ac:dyDescent="0.25">
      <c r="D78" s="51" t="s">
        <v>186</v>
      </c>
      <c r="E78" s="51" cm="1">
        <f t="array" ref="E78">MMS_OtherLivestock_Soil_AtmosphericDeposition.VEERG_4_7_1_5__1_AtmosphericDepositionEmissionsFromPasture(E37,H66,$I$52)</f>
        <v>1.1129579999999999</v>
      </c>
    </row>
    <row r="79" spans="4:8" ht="20.100000000000001" customHeight="1" x14ac:dyDescent="0.25">
      <c r="D79" s="51" t="s">
        <v>187</v>
      </c>
      <c r="E79" s="51"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97" t="s">
        <v>108</v>
      </c>
      <c r="E81" s="98">
        <f>SUM(E72:E79)</f>
        <v>186.11705144999996</v>
      </c>
      <c r="F81" s="99" t="str">
        <f>$E$48</f>
        <v>t N2O</v>
      </c>
    </row>
    <row r="82" spans="4:7" ht="20.100000000000001" customHeight="1" x14ac:dyDescent="0.25"/>
    <row r="83" spans="4:7" ht="20.100000000000001" customHeight="1" x14ac:dyDescent="0.25">
      <c r="D83" s="56" t="str" cm="1">
        <f t="array" ref="D83:E84">Common_Equations.Common_ConvertN2OToCO2e_Arguments()</f>
        <v>EN2O</v>
      </c>
      <c r="E83" s="57" t="str">
        <v>Nitrous oxide emissions (t N2O)</v>
      </c>
      <c r="F83" s="100"/>
      <c r="G83" s="51">
        <f>E81</f>
        <v>186.11705144999996</v>
      </c>
    </row>
    <row r="84" spans="4:7" ht="20.100000000000001" customHeight="1" x14ac:dyDescent="0.25">
      <c r="D84" s="56" t="str">
        <v>GWPN2O</v>
      </c>
      <c r="E84" s="57" t="str">
        <v>Global warming potential for nitrous oxide (t CO2-e / t N2O)</v>
      </c>
      <c r="F84" s="100"/>
      <c r="G84" s="51">
        <f>Common_InputFunctions.Utility_LookupValueInTableNumber("N2O", Table_GWPData[Gas],Table_GWPData[CO2-e factor])</f>
        <v>265</v>
      </c>
    </row>
    <row r="85" spans="4:7" ht="20.100000000000001" customHeight="1" x14ac:dyDescent="0.25"/>
    <row r="86" spans="4:7" ht="20.100000000000001" customHeight="1" x14ac:dyDescent="0.25">
      <c r="D86" s="46" t="s">
        <v>87</v>
      </c>
      <c r="E86" s="46" cm="1">
        <f t="array" ref="E86">Common_Equations.Common_ConvertN2OToCO2e(G83,G84)</f>
        <v>49321.018634249987</v>
      </c>
      <c r="F86" s="101"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opLeftCell="A15" zoomScaleNormal="100" workbookViewId="0">
      <selection activeCell="G43" sqref="G4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3" t="e" vm="1">
        <v>#VALUE!</v>
      </c>
      <c r="C1" s="8" t="s">
        <v>237</v>
      </c>
      <c r="L1"/>
    </row>
    <row r="2" spans="1:21" s="9" customFormat="1" ht="20.100000000000001" customHeight="1" x14ac:dyDescent="0.25">
      <c r="A2"/>
      <c r="L2"/>
    </row>
    <row r="3" spans="1:21" ht="20.100000000000001" customHeight="1" x14ac:dyDescent="0.25">
      <c r="A3" s="17" t="str">
        <f>HYPERLINK("#'Home'!A1", "Home")</f>
        <v>Home</v>
      </c>
      <c r="C3" s="4"/>
      <c r="D3" s="4" t="s">
        <v>88</v>
      </c>
      <c r="E3" s="4"/>
      <c r="F3" s="4"/>
      <c r="G3" s="4"/>
      <c r="H3" s="4"/>
      <c r="I3" s="4"/>
      <c r="J3" s="4"/>
      <c r="K3" s="4"/>
      <c r="M3" s="4"/>
      <c r="N3" s="4" t="s">
        <v>89</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D6" s="5" t="str" cm="1">
        <f t="array" ref="D6">MMS_OtherLivestock_Soil_LeachingAndRunoff.VEERG_4_7_1_7__2_MassOfNitrogenLostToLeachingAndRunoff_Source()</f>
        <v>VEERG 2026: 4.7.1.7, Equation (2)</v>
      </c>
    </row>
    <row r="7" spans="1:21" ht="20.100000000000001" customHeight="1" x14ac:dyDescent="0.25">
      <c r="D7" s="13" t="s">
        <v>22</v>
      </c>
      <c r="E7" s="13" t="str" cm="1">
        <f t="array" aca="1" ref="E7" ca="1">Common_InputFunctions.Utility_DisplayFunctionName(E47)</f>
        <v>=MMS_OtherLivestock_Soil_LeachingAndRunoff.VEERG_4_7_1_7__2_MassOfNitrogenLostToLeachingAndRunoff</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Other Livestock'!A1", "Other Livestock")</f>
        <v>Other Livestock</v>
      </c>
      <c r="D10" s="52" t="s">
        <v>25</v>
      </c>
      <c r="E10" s="1" t="str" cm="1">
        <f t="array" ref="E10">MMS_OtherLivestock_Soil_LeachingAndRunoff.VEERG_4_7_1_7__2_MassOfNitrogenLostToLeachingAndRunoff_Variable()</f>
        <v>M_leach</v>
      </c>
    </row>
    <row r="11" spans="1:21" ht="20.100000000000001" customHeight="1" x14ac:dyDescent="0.25">
      <c r="D11" s="52" t="s">
        <v>15</v>
      </c>
      <c r="E11" s="53" t="str" cm="1">
        <f t="array" ref="E11">MMS_OtherLivestock_Soil_LeachingAndRunoff.VEERG_4_7_1_7__2_MassOfNitrogenLostToLeachingAndRunoff_Unit()</f>
        <v>kg N</v>
      </c>
    </row>
    <row r="12" spans="1:21" ht="20.100000000000001" customHeight="1" x14ac:dyDescent="0.25"/>
    <row r="13" spans="1:21" ht="20.100000000000001" customHeight="1" x14ac:dyDescent="0.25">
      <c r="A13" s="18" t="s">
        <v>70</v>
      </c>
      <c r="D13" s="113" t="str" cm="1">
        <f t="array" ref="D13:E18">_xlfn.CHOOSECOLS(MMS_OtherLivestock_Soil_LeachingAndRunoff.VEERG_4_7_1_7__2_MassOfNitrogenLostToLeachingAndRunoff_Arguments(),1,2)</f>
        <v>AE</v>
      </c>
      <c r="E13" s="116" t="str">
        <v>annual nitrogen excreted by each livestock type</v>
      </c>
      <c r="F13" s="115"/>
      <c r="G13" s="113" t="str" cm="1">
        <f t="array" ref="G13:H18">_xlfn.CHOOSECOLS(MMS_OtherLivestock_Soil_LeachingAndRunoff.VEERG_4_7_1_7__2_MassOfNitrogenLostToLeachingAndRunoff_Arguments(),3,4)</f>
        <v>kg N/year</v>
      </c>
      <c r="H13" s="112" t="str">
        <v>Calculated by 4.7.1.3, (2)</v>
      </c>
      <c r="I13" s="114" t="str" cm="1">
        <f t="array" aca="1" ref="I13" ca="1">HYPERLINK(Common_InputFunctions.Utility_SourceHyperlink($D$20),$D$20)</f>
        <v>Table_AEj</v>
      </c>
    </row>
    <row r="14" spans="1:21" ht="20.100000000000001" customHeight="1" x14ac:dyDescent="0.25">
      <c r="A14" s="17" t="str">
        <f>HYPERLINK("#'4.7.1.1-2 Manure Methane'!A1", "4.7.1.1-2 Manure Methane")</f>
        <v>4.7.1.1-2 Manure Methane</v>
      </c>
      <c r="D14" s="113" t="str">
        <v>FracWet</v>
      </c>
      <c r="E14" s="116" t="str">
        <v>fraction of nitrogen available for leaching and runoff</v>
      </c>
      <c r="F14" s="115"/>
      <c r="G14" s="113" t="str">
        <v/>
      </c>
      <c r="H14" s="112" t="str">
        <v>Constant</v>
      </c>
      <c r="I14" s="114" t="str" cm="1">
        <f t="array" aca="1" ref="I14" ca="1">HYPERLINK(Common_InputFunctions.Utility_SourceHyperlink($D$32),$D$32)</f>
        <v>Table_Frac_Wet</v>
      </c>
    </row>
    <row r="15" spans="1:21" ht="20.100000000000001" customHeight="1" x14ac:dyDescent="0.25">
      <c r="A15" s="17" t="str">
        <f>HYPERLINK("#'4.7.1.3-4 Soil Direct N2O'!A1", "4.7.1.3-4 Soil Direct N2O")</f>
        <v>4.7.1.3-4 Soil Direct N2O</v>
      </c>
      <c r="D15" s="113" t="str">
        <v>FracLEACH</v>
      </c>
      <c r="E15" s="116" t="str">
        <v>fraction of all nitrogen that is lost through leaching and runoff</v>
      </c>
      <c r="F15" s="115"/>
      <c r="G15" s="113" t="str">
        <v/>
      </c>
      <c r="H15" s="112" t="str">
        <v>Constant</v>
      </c>
      <c r="I15" s="113">
        <f>'Constants - Common'!$E$164</f>
        <v>0.24</v>
      </c>
    </row>
    <row r="16" spans="1:21" ht="20.100000000000001" customHeight="1" x14ac:dyDescent="0.25">
      <c r="A16" s="17" t="str">
        <f>HYPERLINK("#'4.7.1.5-6 Soil Atmos Deposition'!A1", "4.7.1.5-6 Soil Atmos Deposition")</f>
        <v>4.7.1.5-6 Soil Atmos Deposition</v>
      </c>
      <c r="D16" s="113" t="str">
        <v>z</v>
      </c>
      <c r="E16" s="116" t="str">
        <v>location in leaching zone</v>
      </c>
      <c r="F16" s="115"/>
      <c r="G16" s="113" t="str">
        <v/>
      </c>
      <c r="H16" s="111" t="str">
        <v>Input</v>
      </c>
      <c r="I16" s="113" t="str">
        <f>X_Cell_Site_LeachingZone</f>
        <v>NO - Not in leaching zone</v>
      </c>
    </row>
    <row r="17" spans="1:9" ht="20.100000000000001" customHeight="1" x14ac:dyDescent="0.25">
      <c r="A17" s="21" t="str">
        <f>HYPERLINK("#'4.7.1.7-8 Soil Leaching Runoff'!A1", "4.7.1.7-8 Soil Leaching Runoff")</f>
        <v>4.7.1.7-8 Soil Leaching Runoff</v>
      </c>
      <c r="D17" s="113" t="str">
        <v>j</v>
      </c>
      <c r="E17" s="116" t="str">
        <v>production system</v>
      </c>
      <c r="F17" s="115"/>
      <c r="G17" s="113" t="str">
        <v/>
      </c>
      <c r="H17" s="111" t="str">
        <v>Input</v>
      </c>
      <c r="I17" s="114" t="str" cm="1">
        <f t="array" aca="1" ref="I17" ca="1">HYPERLINK(Common_InputFunctions.Utility_SourceHyperlink($D$32),$D$32)</f>
        <v>Table_Frac_Wet</v>
      </c>
    </row>
    <row r="18" spans="1:9" ht="20.100000000000001" customHeight="1" x14ac:dyDescent="0.25">
      <c r="D18" s="113" t="str">
        <v>ir</v>
      </c>
      <c r="E18" s="116" t="str">
        <v>irrigation method</v>
      </c>
      <c r="F18" s="115"/>
      <c r="G18" s="113" t="str">
        <v/>
      </c>
      <c r="H18" s="111" t="str">
        <v>Input</v>
      </c>
      <c r="I18" s="114" t="str" cm="1">
        <f t="array" aca="1" ref="I18" ca="1">HYPERLINK(Common_InputFunctions.Utility_SourceHyperlink($D$32),$D$32)</f>
        <v>Table_Frac_Wet</v>
      </c>
    </row>
    <row r="19" spans="1:9" ht="20.100000000000001" customHeight="1" x14ac:dyDescent="0.25"/>
    <row r="20" spans="1:9" ht="20.100000000000001" customHeight="1" x14ac:dyDescent="0.25">
      <c r="A20" s="124" t="s">
        <v>1</v>
      </c>
      <c r="D20" s="94" t="s">
        <v>201</v>
      </c>
    </row>
    <row r="21" spans="1:9" ht="20.100000000000001" customHeight="1" x14ac:dyDescent="0.25">
      <c r="A21" s="17" t="str">
        <f>HYPERLINK("#'Constants - Other Livestock'!A1", "Constants - Other Livestock")</f>
        <v>Constants - Other Livestock</v>
      </c>
      <c r="D21" s="93" t="s">
        <v>200</v>
      </c>
    </row>
    <row r="22" spans="1:9" ht="20.100000000000001" customHeight="1" x14ac:dyDescent="0.25">
      <c r="A22" s="17" t="str">
        <f>HYPERLINK("#'Constants - Livestock'!A1", "Constants - Livestock")</f>
        <v>Constants - Livestock</v>
      </c>
      <c r="D22" s="50" t="s">
        <v>181</v>
      </c>
      <c r="E22" s="50" t="s">
        <v>224</v>
      </c>
    </row>
    <row r="23" spans="1:9" ht="20.100000000000001" customHeight="1" x14ac:dyDescent="0.25">
      <c r="A23" s="17" t="str">
        <f>HYPERLINK("#'Constants - Common'!A1", "Constants - Common")</f>
        <v>Constants - Common</v>
      </c>
      <c r="D23" s="51" t="s">
        <v>150</v>
      </c>
      <c r="E23" s="51">
        <f>INDEX(Table_AEj,2,2)</f>
        <v>66320500</v>
      </c>
      <c r="F23" s="2" t="str">
        <f>'4.7.1.3-4 Soil Direct N2O'!$F$44</f>
        <v>kg N/year</v>
      </c>
    </row>
    <row r="24" spans="1:9" ht="20.100000000000001" customHeight="1" x14ac:dyDescent="0.25">
      <c r="A24" s="17" t="str">
        <f>HYPERLINK("#'Acknowledgements'!A1", "Acknowledgements")</f>
        <v>Acknowledgements</v>
      </c>
      <c r="D24" s="51" t="s">
        <v>155</v>
      </c>
      <c r="E24" s="51">
        <f>INDEX(Table_AEj,3,2)</f>
        <v>12264000</v>
      </c>
    </row>
    <row r="25" spans="1:9" ht="20.100000000000001" customHeight="1" x14ac:dyDescent="0.25">
      <c r="D25" s="51" t="s">
        <v>162</v>
      </c>
      <c r="E25" s="51">
        <f>INDEX(Table_AEj,4,2)</f>
        <v>22162800</v>
      </c>
    </row>
    <row r="26" spans="1:9" ht="20.100000000000001" customHeight="1" x14ac:dyDescent="0.25">
      <c r="D26" s="51" t="s">
        <v>168</v>
      </c>
      <c r="E26" s="51">
        <f>INDEX(Table_AEj,5,2)</f>
        <v>61995250</v>
      </c>
    </row>
    <row r="27" spans="1:9" ht="20.100000000000001" customHeight="1" x14ac:dyDescent="0.25">
      <c r="D27" s="51" t="s">
        <v>169</v>
      </c>
      <c r="E27" s="51">
        <f>INDEX(Table_AEj,6,2)</f>
        <v>255500</v>
      </c>
    </row>
    <row r="28" spans="1:9" ht="20.100000000000001" customHeight="1" x14ac:dyDescent="0.25">
      <c r="D28" s="51" t="s">
        <v>170</v>
      </c>
      <c r="E28" s="51">
        <f>INDEX(Table_AEj,7,2)</f>
        <v>1441750</v>
      </c>
    </row>
    <row r="29" spans="1:9" ht="20.100000000000001" customHeight="1" x14ac:dyDescent="0.25">
      <c r="D29" s="51" t="s">
        <v>186</v>
      </c>
      <c r="E29" s="51">
        <f>INDEX(Table_AEj,8,2)</f>
        <v>481800</v>
      </c>
    </row>
    <row r="30" spans="1:9" ht="20.100000000000001" customHeight="1" x14ac:dyDescent="0.25">
      <c r="D30" s="51" t="s">
        <v>187</v>
      </c>
      <c r="E30" s="51">
        <f>INDEX(Table_AEj,9,2)</f>
        <v>255500</v>
      </c>
    </row>
    <row r="31" spans="1:9" ht="20.100000000000001" customHeight="1" x14ac:dyDescent="0.25"/>
    <row r="32" spans="1:9" ht="20.100000000000001" customHeight="1" x14ac:dyDescent="0.25">
      <c r="D32" s="94" t="s">
        <v>216</v>
      </c>
    </row>
    <row r="33" spans="4:7" ht="20.100000000000001" customHeight="1" x14ac:dyDescent="0.25">
      <c r="D33" s="93" t="s">
        <v>217</v>
      </c>
    </row>
    <row r="34" spans="4:7" ht="20.100000000000001" customHeight="1" x14ac:dyDescent="0.25">
      <c r="D34" s="50" t="s">
        <v>181</v>
      </c>
      <c r="E34" s="40" t="s">
        <v>101</v>
      </c>
      <c r="F34" s="40" t="s">
        <v>99</v>
      </c>
      <c r="G34" s="50" t="s">
        <v>218</v>
      </c>
    </row>
    <row r="35" spans="4:7" ht="20.100000000000001" customHeight="1" x14ac:dyDescent="0.25">
      <c r="D35" s="51" t="s">
        <v>150</v>
      </c>
      <c r="E35" s="51" t="str">
        <f>X_Cell_OtherLivestock_Buffalo_GrazingProductionSystem</f>
        <v>Pasture</v>
      </c>
      <c r="F35" s="51" t="str">
        <f>X_Cell_OtherLivestock_Buffalo_GrazingIrrigationMethod</f>
        <v>Not irrigated</v>
      </c>
      <c r="G35" s="51">
        <f>Common_InputFunctions.CommonCropping_GetFracWET($I$16,F35,Table_SourceData_FracWET[Is in leaching zone],Table_SourceData_FracWET[FracWET],Table_SourceData_FracWETIrrigation[Irrigation type i],Table_SourceData_FracWETIrrigation[FracWET])</f>
        <v>0</v>
      </c>
    </row>
    <row r="36" spans="4:7" ht="20.100000000000001" customHeight="1" x14ac:dyDescent="0.25">
      <c r="D36" s="51" t="s">
        <v>155</v>
      </c>
      <c r="E36" s="51" t="str">
        <f>X_Cell_OtherLivestock_Goats_GrazingProductionSystem</f>
        <v>Pasture</v>
      </c>
      <c r="F36" s="51" t="str">
        <f>X_Cell_OtherLivestock_Goats_GrazingIrrigationMethod</f>
        <v>Not irrigated</v>
      </c>
      <c r="G36" s="51">
        <f>Common_InputFunctions.CommonCropping_GetFracWET($I$16,F36,Table_SourceData_FracWET[Is in leaching zone],Table_SourceData_FracWET[FracWET],Table_SourceData_FracWETIrrigation[Irrigation type i],Table_SourceData_FracWETIrrigation[FracWET])</f>
        <v>0</v>
      </c>
    </row>
    <row r="37" spans="4:7" ht="20.100000000000001" customHeight="1" x14ac:dyDescent="0.25">
      <c r="D37" s="51" t="s">
        <v>162</v>
      </c>
      <c r="E37" s="51" t="str">
        <f>X_Cell_OtherLivestock_Deer_GrazingProductionSystem</f>
        <v>Pasture</v>
      </c>
      <c r="F37" s="51" t="str">
        <f>X_Cell_OtherLivestock_Deer_GrazingIrrigationMethod</f>
        <v>Not irrigated</v>
      </c>
      <c r="G37" s="51">
        <f>Common_InputFunctions.CommonCropping_GetFracWET($I$16,F37,Table_SourceData_FracWET[Is in leaching zone],Table_SourceData_FracWET[FracWET],Table_SourceData_FracWETIrrigation[Irrigation type i],Table_SourceData_FracWETIrrigation[FracWET])</f>
        <v>0</v>
      </c>
    </row>
    <row r="38" spans="4:7" ht="20.100000000000001" customHeight="1" x14ac:dyDescent="0.25">
      <c r="D38" s="51" t="s">
        <v>168</v>
      </c>
      <c r="E38" s="51" t="str">
        <f>X_Cell_OtherLivestock_Others_Camels_GrazingProductionSystem</f>
        <v>Pasture</v>
      </c>
      <c r="F38" s="51" t="str">
        <f>X_Cell_OtherLivestock_Others_Camels_GrazingIrrigationMethod</f>
        <v>Drip irrigation</v>
      </c>
      <c r="G38" s="51">
        <f>Common_InputFunctions.CommonCropping_GetFracWET($I$16,F38,Table_SourceData_FracWET[Is in leaching zone],Table_SourceData_FracWET[FracWET],Table_SourceData_FracWETIrrigation[Irrigation type i],Table_SourceData_FracWETIrrigation[FracWET])</f>
        <v>0</v>
      </c>
    </row>
    <row r="39" spans="4:7" ht="20.100000000000001" customHeight="1" x14ac:dyDescent="0.25">
      <c r="D39" s="51" t="s">
        <v>169</v>
      </c>
      <c r="E39" s="51" t="str">
        <f>X_Cell_OtherLivestock_Others_Alpacas_GrazingProductionSystem</f>
        <v>Pasture</v>
      </c>
      <c r="F39" s="51" t="str">
        <f>X_Cell_OtherLivestock_Others_Alpacas_GrazingIrrigationMethod</f>
        <v>Sprinkler irrigation</v>
      </c>
      <c r="G39" s="51">
        <f>Common_InputFunctions.CommonCropping_GetFracWET($I$16,F39,Table_SourceData_FracWET[Is in leaching zone],Table_SourceData_FracWET[FracWET],Table_SourceData_FracWETIrrigation[Irrigation type i],Table_SourceData_FracWETIrrigation[FracWET])</f>
        <v>1</v>
      </c>
    </row>
    <row r="40" spans="4:7" ht="20.100000000000001" customHeight="1" x14ac:dyDescent="0.25">
      <c r="D40" s="51" t="s">
        <v>170</v>
      </c>
      <c r="E40" s="51" t="str">
        <f>X_Cell_OtherLivestock_Others_Horses_GrazingProductionSystem</f>
        <v>Crop</v>
      </c>
      <c r="F40" s="51" t="str">
        <f>X_Cell_OtherLivestock_Others_Horses_GrazingIrrigationMethod</f>
        <v>Not irrigated</v>
      </c>
      <c r="G40" s="51">
        <f>Common_InputFunctions.CommonCropping_GetFracWET($I$16,F40,Table_SourceData_FracWET[Is in leaching zone],Table_SourceData_FracWET[FracWET],Table_SourceData_FracWETIrrigation[Irrigation type i],Table_SourceData_FracWETIrrigation[FracWET])</f>
        <v>0</v>
      </c>
    </row>
    <row r="41" spans="4:7" ht="20.100000000000001" customHeight="1" x14ac:dyDescent="0.25">
      <c r="D41" s="51" t="s">
        <v>186</v>
      </c>
      <c r="E41" s="51" t="str">
        <f>X_Cell_OtherLivestock_Others_Mules_GrazingProductionSystem</f>
        <v>Crop</v>
      </c>
      <c r="F41" s="51" t="str">
        <f>X_Cell_OtherLivestock_Others_Mules_GrazingIrrigationMethod</f>
        <v>Surface irrigation</v>
      </c>
      <c r="G41" s="51">
        <f>Common_InputFunctions.CommonCropping_GetFracWET($I$16,F41,Table_SourceData_FracWET[Is in leaching zone],Table_SourceData_FracWET[FracWET],Table_SourceData_FracWETIrrigation[Irrigation type i],Table_SourceData_FracWETIrrigation[FracWET])</f>
        <v>1</v>
      </c>
    </row>
    <row r="42" spans="4:7" ht="20.100000000000001" customHeight="1" x14ac:dyDescent="0.25">
      <c r="D42" s="51" t="s">
        <v>187</v>
      </c>
      <c r="E42" s="51" t="str">
        <f>X_Cell_OtherLivestock_Others_Emus_GrazingProductionSystem</f>
        <v>Pasture</v>
      </c>
      <c r="F42" s="51" t="str">
        <f>X_Cell_OtherLivestock_Others_Emus_GrazingIrrigationMethod</f>
        <v>Not irrigated</v>
      </c>
      <c r="G42" s="51">
        <f>Common_InputFunctions.CommonCropping_GetFracWET($I$16,F42,Table_SourceData_FracWET[Is in leaching zone],Table_SourceData_FracWET[FracWET],Table_SourceData_FracWETIrrigation[Irrigation type i],Table_SourceData_FracWETIrrigation[FracWET])</f>
        <v>0</v>
      </c>
    </row>
    <row r="43" spans="4:7" ht="20.100000000000001" customHeight="1" x14ac:dyDescent="0.25"/>
    <row r="44" spans="4:7" ht="20.100000000000001" customHeight="1" x14ac:dyDescent="0.25">
      <c r="D44" s="94" t="s">
        <v>219</v>
      </c>
    </row>
    <row r="45" spans="4:7" ht="20.100000000000001" customHeight="1" x14ac:dyDescent="0.25">
      <c r="D45" s="93" t="s">
        <v>220</v>
      </c>
    </row>
    <row r="46" spans="4:7" ht="20.100000000000001" customHeight="1" x14ac:dyDescent="0.25">
      <c r="D46" s="50" t="s">
        <v>181</v>
      </c>
      <c r="E46" s="50" t="s">
        <v>223</v>
      </c>
    </row>
    <row r="47" spans="4:7" ht="20.100000000000001" customHeight="1" x14ac:dyDescent="0.25">
      <c r="D47" s="51" t="s">
        <v>150</v>
      </c>
      <c r="E47" s="51" cm="1">
        <f t="array" ref="E47">MMS_OtherLivestock_Soil_LeachingAndRunoff.VEERG_4_7_1_7__2_MassOfNitrogenLostToLeachingAndRunoff(E23,G35,$I$15)</f>
        <v>0</v>
      </c>
      <c r="F47" s="2" t="str">
        <f>$E$11</f>
        <v>kg N</v>
      </c>
    </row>
    <row r="48" spans="4:7" ht="20.100000000000001" customHeight="1" x14ac:dyDescent="0.25">
      <c r="D48" s="51" t="s">
        <v>155</v>
      </c>
      <c r="E48" s="51" cm="1">
        <f t="array" ref="E48">MMS_OtherLivestock_Soil_LeachingAndRunoff.VEERG_4_7_1_7__2_MassOfNitrogenLostToLeachingAndRunoff(E24,G36,$I$15)</f>
        <v>0</v>
      </c>
    </row>
    <row r="49" spans="3:11" ht="20.100000000000001" customHeight="1" x14ac:dyDescent="0.25">
      <c r="D49" s="51" t="s">
        <v>162</v>
      </c>
      <c r="E49" s="51" cm="1">
        <f t="array" ref="E49">MMS_OtherLivestock_Soil_LeachingAndRunoff.VEERG_4_7_1_7__2_MassOfNitrogenLostToLeachingAndRunoff(E25,G37,$I$15)</f>
        <v>0</v>
      </c>
    </row>
    <row r="50" spans="3:11" ht="20.100000000000001" customHeight="1" x14ac:dyDescent="0.25">
      <c r="D50" s="51" t="s">
        <v>168</v>
      </c>
      <c r="E50" s="51" cm="1">
        <f t="array" ref="E50">MMS_OtherLivestock_Soil_LeachingAndRunoff.VEERG_4_7_1_7__2_MassOfNitrogenLostToLeachingAndRunoff(E26,G38,$I$15)</f>
        <v>0</v>
      </c>
    </row>
    <row r="51" spans="3:11" ht="20.100000000000001" customHeight="1" x14ac:dyDescent="0.25">
      <c r="D51" s="51" t="s">
        <v>169</v>
      </c>
      <c r="E51" s="51" cm="1">
        <f t="array" ref="E51">MMS_OtherLivestock_Soil_LeachingAndRunoff.VEERG_4_7_1_7__2_MassOfNitrogenLostToLeachingAndRunoff(E27,G39,$I$15)</f>
        <v>61320</v>
      </c>
    </row>
    <row r="52" spans="3:11" ht="20.100000000000001" customHeight="1" x14ac:dyDescent="0.25">
      <c r="D52" s="51" t="s">
        <v>170</v>
      </c>
      <c r="E52" s="51" cm="1">
        <f t="array" ref="E52">MMS_OtherLivestock_Soil_LeachingAndRunoff.VEERG_4_7_1_7__2_MassOfNitrogenLostToLeachingAndRunoff(E28,G40,$I$15)</f>
        <v>0</v>
      </c>
    </row>
    <row r="53" spans="3:11" ht="20.100000000000001" customHeight="1" x14ac:dyDescent="0.25">
      <c r="D53" s="51" t="s">
        <v>186</v>
      </c>
      <c r="E53" s="51" cm="1">
        <f t="array" ref="E53">MMS_OtherLivestock_Soil_LeachingAndRunoff.VEERG_4_7_1_7__2_MassOfNitrogenLostToLeachingAndRunoff(E29,G41,$I$15)</f>
        <v>115632</v>
      </c>
    </row>
    <row r="54" spans="3:11" ht="20.100000000000001" customHeight="1" x14ac:dyDescent="0.25">
      <c r="D54" s="51" t="s">
        <v>187</v>
      </c>
      <c r="E54" s="51"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06" t="s">
        <v>222</v>
      </c>
      <c r="E56" s="46">
        <f>SUM(E47:E54)</f>
        <v>176952</v>
      </c>
      <c r="F56" s="101" t="str">
        <f>$E$11</f>
        <v>kg N</v>
      </c>
    </row>
    <row r="57" spans="3:11" ht="20.100000000000001" customHeight="1" x14ac:dyDescent="0.25"/>
    <row r="58" spans="3:11" ht="20.100000000000001" customHeight="1" x14ac:dyDescent="0.25"/>
    <row r="59" spans="3:11" ht="20.100000000000001" customHeight="1" x14ac:dyDescent="0.25">
      <c r="C59" s="46"/>
      <c r="D59" s="46"/>
      <c r="E59" s="46"/>
      <c r="F59" s="46"/>
      <c r="G59" s="46"/>
      <c r="H59" s="46"/>
      <c r="I59" s="46"/>
      <c r="J59" s="46"/>
      <c r="K59" s="46"/>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22</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2" t="s">
        <v>25</v>
      </c>
      <c r="E65" s="1" t="str" cm="1">
        <f t="array" ref="E65">MMS_OtherLivestock_Soil_LeachingAndRunoff.VEERG_4_7_1_7__1_LeachingAndRunoffEmissionsFromPasture_Variable()</f>
        <v>E_N2Oleach</v>
      </c>
    </row>
    <row r="66" spans="4:9" ht="20.100000000000001" customHeight="1" x14ac:dyDescent="0.25">
      <c r="D66" s="52" t="s">
        <v>15</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3" t="str" cm="1">
        <f t="array" ref="D68:E70">_xlfn.CHOOSECOLS(MMS_OtherLivestock_Soil_LeachingAndRunoff.VEERG_4_7_1_7__1_LeachingAndRunoffEmissionsFromPasture_Arguments(),1,2)</f>
        <v>M_leach</v>
      </c>
      <c r="E68" s="116" t="str">
        <v>mass of nitrogen lost to leaching and runoff</v>
      </c>
      <c r="F68" s="115"/>
      <c r="G68" s="113" t="str" cm="1">
        <f t="array" ref="G68:H70">_xlfn.CHOOSECOLS(MMS_OtherLivestock_Soil_LeachingAndRunoff.VEERG_4_7_1_7__1_LeachingAndRunoffEmissionsFromPasture_Arguments(),3,4)</f>
        <v>kg N</v>
      </c>
      <c r="H68" s="112" t="str">
        <v>Calculated from 4.7.1.7, (2)</v>
      </c>
      <c r="I68" s="113">
        <f>E56</f>
        <v>176952</v>
      </c>
    </row>
    <row r="69" spans="4:9" ht="20.100000000000001" customHeight="1" x14ac:dyDescent="0.25">
      <c r="D69" s="113" t="str">
        <v>EF_leach</v>
      </c>
      <c r="E69" s="116" t="str">
        <v>emission factor for leaching and runoff</v>
      </c>
      <c r="F69" s="115"/>
      <c r="G69" s="113" t="str">
        <v>kg N2O-N/kg N</v>
      </c>
      <c r="H69" s="112" t="str">
        <v>Constant</v>
      </c>
      <c r="I69" s="113">
        <f>'Constants - Common'!$E$170</f>
        <v>1.0999999999999999E-2</v>
      </c>
    </row>
    <row r="70" spans="4:9" ht="20.100000000000001" customHeight="1" x14ac:dyDescent="0.25">
      <c r="D70" s="113" t="str">
        <v>C_N2O</v>
      </c>
      <c r="E70" s="116" t="str">
        <v>factor to convert elemental mass of nitrous oxide to molecular mass</v>
      </c>
      <c r="F70" s="115"/>
      <c r="G70" s="113" t="str">
        <v/>
      </c>
      <c r="H70" s="112" t="str">
        <v>Constant</v>
      </c>
      <c r="I70" s="113">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97" t="s">
        <v>221</v>
      </c>
      <c r="E72" s="98" cm="1">
        <f t="array" ref="E72">MMS_OtherLivestock_Soil_LeachingAndRunoff.VEERG_4_7_1_7__1_LeachingAndRunoffEmissionsFromPasture(I68,I69,I70)</f>
        <v>3.0587417142857145</v>
      </c>
      <c r="F72" s="99" t="str">
        <f>E66</f>
        <v>t N2O</v>
      </c>
    </row>
    <row r="73" spans="4:9" ht="20.100000000000001" customHeight="1" x14ac:dyDescent="0.25"/>
    <row r="74" spans="4:9" ht="20.100000000000001" customHeight="1" x14ac:dyDescent="0.25">
      <c r="D74" s="56" t="str" cm="1">
        <f t="array" ref="D74:E75">Common_Equations.Common_ConvertN2OToCO2e_Arguments()</f>
        <v>EN2O</v>
      </c>
      <c r="E74" s="57" t="str">
        <v>Nitrous oxide emissions (t N2O)</v>
      </c>
      <c r="F74" s="100"/>
      <c r="G74" s="51">
        <f>E72</f>
        <v>3.0587417142857145</v>
      </c>
    </row>
    <row r="75" spans="4:9" ht="20.100000000000001" customHeight="1" x14ac:dyDescent="0.25">
      <c r="D75" s="56" t="str">
        <v>GWPN2O</v>
      </c>
      <c r="E75" s="57" t="str">
        <v>Global warming potential for nitrous oxide (t CO2-e / t N2O)</v>
      </c>
      <c r="F75" s="100"/>
      <c r="G75" s="51">
        <f>Common_InputFunctions.Utility_LookupValueInTableNumber("N2O",Table_GWPData[Gas],Table_GWPData[CO2-e factor])</f>
        <v>265</v>
      </c>
    </row>
    <row r="76" spans="4:9" ht="20.100000000000001" customHeight="1" x14ac:dyDescent="0.25"/>
    <row r="77" spans="4:9" ht="20.100000000000001" customHeight="1" x14ac:dyDescent="0.25">
      <c r="D77" s="46" t="s">
        <v>87</v>
      </c>
      <c r="E77" s="46" cm="1">
        <f t="array" ref="E77">Common_Equations.Common_ConvertN2OToCO2e(G74,G75)</f>
        <v>810.56655428571435</v>
      </c>
      <c r="F77" s="101"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63" t="e" vm="1">
        <v>#VALUE!</v>
      </c>
      <c r="C1" s="8" t="s">
        <v>231</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D6" s="5" t="str" cm="1">
        <f t="array" ref="D6">SourceData_OtherLivestock.SourceData_OtherLivestock_EntericFermentationEmissionFactor_Source()</f>
        <v>VEERG 2026: Table A.1.5.1</v>
      </c>
      <c r="M6" s="1"/>
    </row>
    <row r="7" spans="1:21" ht="20.100000000000001" customHeight="1" x14ac:dyDescent="0.25">
      <c r="D7" s="1" t="str" cm="1">
        <f t="array" ref="D7">SourceData_OtherLivestock.SourceData_OtherLivestock_EntericFermentationEmissionFactor_Variable()</f>
        <v>Mj</v>
      </c>
      <c r="M7" s="1"/>
    </row>
    <row r="8" spans="1:21" ht="20.100000000000001" customHeight="1" x14ac:dyDescent="0.25">
      <c r="A8" s="19" t="s">
        <v>0</v>
      </c>
      <c r="D8" s="53" t="str" cm="1">
        <f t="array" ref="D8">SourceData_OtherLivestock.SourceData_OtherLivestock_EntericFermentationEmissionFactor_Unit()</f>
        <v>kg CH4 / head / year</v>
      </c>
      <c r="M8" s="1"/>
    </row>
    <row r="9" spans="1:21" ht="20.100000000000001" customHeight="1" x14ac:dyDescent="0.25">
      <c r="A9" s="17" t="str">
        <f>HYPERLINK("#'Input - Site'!A1", "Site")</f>
        <v>Site</v>
      </c>
      <c r="D9" s="38" t="s">
        <v>139</v>
      </c>
      <c r="E9" s="38" t="s">
        <v>140</v>
      </c>
      <c r="M9" s="1"/>
    </row>
    <row r="10" spans="1:21" ht="20.100000000000001" customHeight="1" x14ac:dyDescent="0.25">
      <c r="A10" s="17" t="str">
        <f>HYPERLINK("#'Input - Other Livestock'!A1", "Other Livestock")</f>
        <v>Other Livestock</v>
      </c>
      <c r="D10" s="38" t="str" cm="1">
        <f t="array" ref="D10">Common_InputFunctions.Utility_DisplayArrayInTable(SourceData_OtherLivestock.SourceData_OtherLivestock_EntericFermentationEmissionFactor_Data(),Table_SourceData_OtherLivestock_EntericEF[[#Headers],[Other livestock type]],0)</f>
        <v>Buffalo</v>
      </c>
      <c r="E10" s="38"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D11" s="1" t="str" cm="1">
        <f t="array" ref="D11">Common_InputFunctions.Utility_DisplayArrayInTable(SourceData_OtherLivestock.SourceData_OtherLivestock_EntericFermentationEmissionFactor_Data(),Table_SourceData_OtherLivestock_EntericEF[[#Headers],[Other livestock type]],0)</f>
        <v>Goats</v>
      </c>
      <c r="E11" s="38"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D12" s="1" t="str" cm="1">
        <f t="array" ref="D12">Common_InputFunctions.Utility_DisplayArrayInTable(SourceData_OtherLivestock.SourceData_OtherLivestock_EntericFermentationEmissionFactor_Data(),Table_SourceData_OtherLivestock_EntericEF[[#Headers],[Other livestock type]],0)</f>
        <v>Deer</v>
      </c>
      <c r="E12" s="38"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8" t="s">
        <v>70</v>
      </c>
      <c r="D13" s="1" t="str" cm="1">
        <f t="array" ref="D13">Common_InputFunctions.Utility_DisplayArrayInTable(SourceData_OtherLivestock.SourceData_OtherLivestock_EntericFermentationEmissionFactor_Data(),Table_SourceData_OtherLivestock_EntericEF[[#Headers],[Other livestock type]],0)</f>
        <v>Camels</v>
      </c>
      <c r="E13" s="38"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HYPERLINK("#'4.7.1.1-2 Manure Methane'!A1", "4.7.1.1-2 Manure Methane")</f>
        <v>4.7.1.1-2 Manure Methane</v>
      </c>
      <c r="D14" s="1" t="str" cm="1">
        <f t="array" ref="D14">Common_InputFunctions.Utility_DisplayArrayInTable(SourceData_OtherLivestock.SourceData_OtherLivestock_EntericFermentationEmissionFactor_Data(),Table_SourceData_OtherLivestock_EntericEF[[#Headers],[Other livestock type]],0)</f>
        <v>Alpacas</v>
      </c>
      <c r="E14" s="38"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HYPERLINK("#'4.7.1.3-4 Soil Direct N2O'!A1", "4.7.1.3-4 Soil Direct N2O")</f>
        <v>4.7.1.3-4 Soil Direct N2O</v>
      </c>
      <c r="D15" s="1" t="str" cm="1">
        <f t="array" ref="D15">Common_InputFunctions.Utility_DisplayArrayInTable(SourceData_OtherLivestock.SourceData_OtherLivestock_EntericFermentationEmissionFactor_Data(),Table_SourceData_OtherLivestock_EntericEF[[#Headers],[Other livestock type]],0)</f>
        <v>Horses</v>
      </c>
      <c r="E15" s="38"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A16" s="17" t="str">
        <f>HYPERLINK("#'4.7.1.5-6 Soil Atmos Deposition'!A1", "4.7.1.5-6 Soil Atmos Deposition")</f>
        <v>4.7.1.5-6 Soil Atmos Deposition</v>
      </c>
      <c r="D16" s="1" t="str" cm="1">
        <f t="array" ref="D16">Common_InputFunctions.Utility_DisplayArrayInTable(SourceData_OtherLivestock.SourceData_OtherLivestock_EntericFermentationEmissionFactor_Data(),Table_SourceData_OtherLivestock_EntericEF[[#Headers],[Other livestock type]],0)</f>
        <v>Mules/asses</v>
      </c>
      <c r="E16" s="38"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7" t="str">
        <f>HYPERLINK("#'4.7.1.7-8 Soil Leaching Runoff'!A1", "4.7.1.7-8 Soil Leaching Runoff")</f>
        <v>4.7.1.7-8 Soil Leaching Runoff</v>
      </c>
      <c r="D17" s="1" t="str" cm="1">
        <f t="array" ref="D17">Common_InputFunctions.Utility_DisplayArrayInTable(SourceData_OtherLivestock.SourceData_OtherLivestock_EntericFermentationEmissionFactor_Data(),Table_SourceData_OtherLivestock_EntericEF[[#Headers],[Other livestock type]],0)</f>
        <v>Emus/ostriches</v>
      </c>
      <c r="E17" s="38"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M18" s="1"/>
    </row>
    <row r="19" spans="1:13" ht="20.100000000000001" customHeight="1" x14ac:dyDescent="0.25">
      <c r="M19" s="1"/>
    </row>
    <row r="20" spans="1:13" ht="20.100000000000001" customHeight="1" x14ac:dyDescent="0.25">
      <c r="A20" s="124" t="s">
        <v>1</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64" t="str">
        <f>HYPERLINK("#'Constants - Other Livestock'!A1", "Constants - Other Livestock")</f>
        <v>Constants - Other Livestock</v>
      </c>
      <c r="D21" s="5" t="str" cm="1">
        <f t="array" ref="D21">SourceData_OtherLivestock.SourceData_OtherLivestock_VolatileSolidsProduced_Source()</f>
        <v>VEERG 2026: Table A.1.5.2</v>
      </c>
      <c r="M21" s="1"/>
    </row>
    <row r="22" spans="1:13" ht="20.100000000000001" customHeight="1" x14ac:dyDescent="0.25">
      <c r="A22" s="17" t="str">
        <f>HYPERLINK("#'Constants - Livestock'!A1", "Constants - Livestock")</f>
        <v>Constants - Livestock</v>
      </c>
      <c r="D22" s="1" t="str" cm="1">
        <f t="array" ref="D22">SourceData_OtherLivestock.SourceData_OtherLivestock_VolatileSolidsProduced_Variable()</f>
        <v>VSj</v>
      </c>
      <c r="M22" s="1"/>
    </row>
    <row r="23" spans="1:13" ht="20.100000000000001" customHeight="1" x14ac:dyDescent="0.25">
      <c r="A23" s="17" t="str">
        <f>HYPERLINK("#'Constants - Common'!A1", "Constants - Common")</f>
        <v>Constants - Common</v>
      </c>
      <c r="D23" s="53" t="str" cm="1">
        <f t="array" ref="D23">SourceData_OtherLivestock.SourceData_OtherLivestock_VolatileSolidsProduced_Unit()</f>
        <v>kg VS / head / day</v>
      </c>
      <c r="M23" s="1"/>
    </row>
    <row r="24" spans="1:13" ht="20.100000000000001" customHeight="1" x14ac:dyDescent="0.25">
      <c r="A24" s="17" t="str">
        <f>HYPERLINK("#'Acknowledgements'!A1", "Acknowledgements")</f>
        <v>Acknowledgements</v>
      </c>
      <c r="D24" s="38" t="s">
        <v>139</v>
      </c>
      <c r="E24" s="38" t="s">
        <v>141</v>
      </c>
      <c r="M24" s="1"/>
    </row>
    <row r="25" spans="1:13" ht="20.100000000000001" customHeight="1" x14ac:dyDescent="0.25">
      <c r="D25" s="38" t="str" cm="1">
        <f t="array" ref="D25">Common_InputFunctions.Utility_DisplayArrayInTable(SourceData_OtherLivestock.SourceData_OtherLivestock_VolatileSolidsProduced_Data(),Table_SourceData_OtherLivestock_VolatileSolids[[#Headers],[Other livestock type]],0)</f>
        <v>Buffalo</v>
      </c>
      <c r="E25" s="38"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8" t="str" cm="1">
        <f t="array" ref="D26">Common_InputFunctions.Utility_DisplayArrayInTable(SourceData_OtherLivestock.SourceData_OtherLivestock_VolatileSolidsProduced_Data(),Table_SourceData_OtherLivestock_VolatileSolids[[#Headers],[Other livestock type]],0)</f>
        <v>Goats</v>
      </c>
      <c r="E26" s="38"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8" t="str" cm="1">
        <f t="array" ref="D27">Common_InputFunctions.Utility_DisplayArrayInTable(SourceData_OtherLivestock.SourceData_OtherLivestock_VolatileSolidsProduced_Data(),Table_SourceData_OtherLivestock_VolatileSolids[[#Headers],[Other livestock type]],0)</f>
        <v>Deer</v>
      </c>
      <c r="E27" s="38"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8" t="str" cm="1">
        <f t="array" ref="D28">Common_InputFunctions.Utility_DisplayArrayInTable(SourceData_OtherLivestock.SourceData_OtherLivestock_VolatileSolidsProduced_Data(),Table_SourceData_OtherLivestock_VolatileSolids[[#Headers],[Other livestock type]],0)</f>
        <v>Camels</v>
      </c>
      <c r="E28" s="38"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8" t="str" cm="1">
        <f t="array" ref="D29">Common_InputFunctions.Utility_DisplayArrayInTable(SourceData_OtherLivestock.SourceData_OtherLivestock_VolatileSolidsProduced_Data(),Table_SourceData_OtherLivestock_VolatileSolids[[#Headers],[Other livestock type]],0)</f>
        <v>Alpacas</v>
      </c>
      <c r="E29" s="38"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8" t="str" cm="1">
        <f t="array" ref="D30">Common_InputFunctions.Utility_DisplayArrayInTable(SourceData_OtherLivestock.SourceData_OtherLivestock_VolatileSolidsProduced_Data(),Table_SourceData_OtherLivestock_VolatileSolids[[#Headers],[Other livestock type]],0)</f>
        <v>Horses</v>
      </c>
      <c r="E30" s="38"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8" t="str" cm="1">
        <f t="array" ref="D31">Common_InputFunctions.Utility_DisplayArrayInTable(SourceData_OtherLivestock.SourceData_OtherLivestock_VolatileSolidsProduced_Data(),Table_SourceData_OtherLivestock_VolatileSolids[[#Headers],[Other livestock type]],0)</f>
        <v>Mules/asses</v>
      </c>
      <c r="E31" s="38"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8" t="str" cm="1">
        <f t="array" ref="D32">Common_InputFunctions.Utility_DisplayArrayInTable(SourceData_OtherLivestock.SourceData_OtherLivestock_VolatileSolidsProduced_Data(),Table_SourceData_OtherLivestock_VolatileSolids[[#Headers],[Other livestock type]],0)</f>
        <v>Emus/ostriches</v>
      </c>
      <c r="E32" s="38"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3" t="str" cm="1">
        <f t="array" ref="D38">SourceData_OtherLivestock.SourceData_OtherLivestock_NitrogenExcreted_Unit()</f>
        <v>kg N2O / head / year</v>
      </c>
      <c r="M38" s="1"/>
    </row>
    <row r="39" spans="4:13" ht="20.100000000000001" customHeight="1" x14ac:dyDescent="0.25">
      <c r="D39" s="38" t="s">
        <v>139</v>
      </c>
      <c r="E39" s="38" t="s">
        <v>142</v>
      </c>
      <c r="M39" s="1"/>
    </row>
    <row r="40" spans="4:13" ht="20.100000000000001" customHeight="1" x14ac:dyDescent="0.25">
      <c r="D40" s="38" t="str" cm="1">
        <f t="array" ref="D40">Common_InputFunctions.Utility_DisplayArrayInTable(SourceData_OtherLivestock.SourceData_OtherLivestock_NitrogenExcreted_Data(),Table_SourceData_OtherLivestock_NitrogenExcreted[[#Headers],[Other livestock type]],0)</f>
        <v>Buffalo</v>
      </c>
      <c r="E40" s="38"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8" t="str" cm="1">
        <f t="array" ref="D41">Common_InputFunctions.Utility_DisplayArrayInTable(SourceData_OtherLivestock.SourceData_OtherLivestock_NitrogenExcreted_Data(),Table_SourceData_OtherLivestock_NitrogenExcreted[[#Headers],[Other livestock type]],0)</f>
        <v>Goats</v>
      </c>
      <c r="E41" s="38"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8" t="str" cm="1">
        <f t="array" ref="D42">Common_InputFunctions.Utility_DisplayArrayInTable(SourceData_OtherLivestock.SourceData_OtherLivestock_NitrogenExcreted_Data(),Table_SourceData_OtherLivestock_NitrogenExcreted[[#Headers],[Other livestock type]],0)</f>
        <v>Deer</v>
      </c>
      <c r="E42" s="38"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8" t="str" cm="1">
        <f t="array" ref="D43">Common_InputFunctions.Utility_DisplayArrayInTable(SourceData_OtherLivestock.SourceData_OtherLivestock_NitrogenExcreted_Data(),Table_SourceData_OtherLivestock_NitrogenExcreted[[#Headers],[Other livestock type]],0)</f>
        <v>Camels</v>
      </c>
      <c r="E43" s="38"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8" t="str" cm="1">
        <f t="array" ref="D44">Common_InputFunctions.Utility_DisplayArrayInTable(SourceData_OtherLivestock.SourceData_OtherLivestock_NitrogenExcreted_Data(),Table_SourceData_OtherLivestock_NitrogenExcreted[[#Headers],[Other livestock type]],0)</f>
        <v>Alpacas</v>
      </c>
      <c r="E44" s="38"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8" t="str" cm="1">
        <f t="array" ref="D45">Common_InputFunctions.Utility_DisplayArrayInTable(SourceData_OtherLivestock.SourceData_OtherLivestock_NitrogenExcreted_Data(),Table_SourceData_OtherLivestock_NitrogenExcreted[[#Headers],[Other livestock type]],0)</f>
        <v>Horses</v>
      </c>
      <c r="E45" s="38"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8" t="str" cm="1">
        <f t="array" ref="D46">Common_InputFunctions.Utility_DisplayArrayInTable(SourceData_OtherLivestock.SourceData_OtherLivestock_NitrogenExcreted_Data(),Table_SourceData_OtherLivestock_NitrogenExcreted[[#Headers],[Other livestock type]],0)</f>
        <v>Mules/asses</v>
      </c>
      <c r="E46" s="38"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8" t="str" cm="1">
        <f t="array" ref="D47">Common_InputFunctions.Utility_DisplayArrayInTable(SourceData_OtherLivestock.SourceData_OtherLivestock_NitrogenExcreted_Data(),Table_SourceData_OtherLivestock_NitrogenExcreted[[#Headers],[Other livestock type]],0)</f>
        <v>Emus/ostriches</v>
      </c>
      <c r="E47" s="38"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3" t="str" cm="1">
        <f t="array" ref="D53">SourceData_OtherLivestock.SourceData_OtherLivestock_AverageLiveweight_Unit()</f>
        <v>kg</v>
      </c>
      <c r="M53" s="1"/>
    </row>
    <row r="54" spans="4:13" ht="20.100000000000001" customHeight="1" x14ac:dyDescent="0.25">
      <c r="D54" s="38" t="s">
        <v>139</v>
      </c>
      <c r="E54" s="38" t="s">
        <v>143</v>
      </c>
      <c r="F54" s="38" t="s">
        <v>144</v>
      </c>
      <c r="M54" s="1"/>
    </row>
    <row r="55" spans="4:13" ht="20.100000000000001" customHeight="1" x14ac:dyDescent="0.25">
      <c r="D55" s="38" t="str" cm="1">
        <f t="array" ref="D55">Common_InputFunctions.Utility_DisplayArrayInTable(SourceData_OtherLivestock.SourceData_OtherLivestock_AverageLiveweight_Data(),Table_SourceData_OtherLivestock_AverageLiveweight[[#Headers],[Other livestock type]],0)</f>
        <v>Buffalo</v>
      </c>
      <c r="E55" s="38" cm="1">
        <f t="array" ref="E55">Common_InputFunctions.Utility_DisplayArrayInTable(SourceData_OtherLivestock.SourceData_OtherLivestock_AverageLiveweight_Data(),Table_SourceData_OtherLivestock_AverageLiveweight[[#Headers],[Other livestock type]],0)</f>
        <v>336</v>
      </c>
      <c r="F55" s="38"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8" t="str" cm="1">
        <f t="array" ref="D56">Common_InputFunctions.Utility_DisplayArrayInTable(SourceData_OtherLivestock.SourceData_OtherLivestock_AverageLiveweight_Data(),Table_SourceData_OtherLivestock_AverageLiveweight[[#Headers],[Other livestock type]],0)</f>
        <v>Goats</v>
      </c>
      <c r="E56" s="38" cm="1">
        <f t="array" ref="E56">Common_InputFunctions.Utility_DisplayArrayInTable(SourceData_OtherLivestock.SourceData_OtherLivestock_AverageLiveweight_Data(),Table_SourceData_OtherLivestock_AverageLiveweight[[#Headers],[Other livestock type]],0)</f>
        <v>33</v>
      </c>
      <c r="F56" s="38"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8" t="str" cm="1">
        <f t="array" ref="D57">Common_InputFunctions.Utility_DisplayArrayInTable(SourceData_OtherLivestock.SourceData_OtherLivestock_AverageLiveweight_Data(),Table_SourceData_OtherLivestock_AverageLiveweight[[#Headers],[Other livestock type]],0)</f>
        <v>Goats</v>
      </c>
      <c r="E57" s="38" cm="1">
        <f t="array" ref="E57">Common_InputFunctions.Utility_DisplayArrayInTable(SourceData_OtherLivestock.SourceData_OtherLivestock_AverageLiveweight_Data(),Table_SourceData_OtherLivestock_AverageLiveweight[[#Headers],[Other livestock type]],0)</f>
        <v>33</v>
      </c>
      <c r="F57" s="38"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8" t="str" cm="1">
        <f t="array" ref="D58">Common_InputFunctions.Utility_DisplayArrayInTable(SourceData_OtherLivestock.SourceData_OtherLivestock_AverageLiveweight_Data(),Table_SourceData_OtherLivestock_AverageLiveweight[[#Headers],[Other livestock type]],0)</f>
        <v>Deer</v>
      </c>
      <c r="E58" s="38" cm="1">
        <f t="array" ref="E58">Common_InputFunctions.Utility_DisplayArrayInTable(SourceData_OtherLivestock.SourceData_OtherLivestock_AverageLiveweight_Data(),Table_SourceData_OtherLivestock_AverageLiveweight[[#Headers],[Other livestock type]],0)</f>
        <v>120</v>
      </c>
      <c r="F58" s="38"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8" t="str" cm="1">
        <f t="array" ref="D59">Common_InputFunctions.Utility_DisplayArrayInTable(SourceData_OtherLivestock.SourceData_OtherLivestock_AverageLiveweight_Data(),Table_SourceData_OtherLivestock_AverageLiveweight[[#Headers],[Other livestock type]],0)</f>
        <v>Camels</v>
      </c>
      <c r="E59" s="38" cm="1">
        <f t="array" ref="E59">Common_InputFunctions.Utility_DisplayArrayInTable(SourceData_OtherLivestock.SourceData_OtherLivestock_AverageLiveweight_Data(),Table_SourceData_OtherLivestock_AverageLiveweight[[#Headers],[Other livestock type]],0)</f>
        <v>217</v>
      </c>
      <c r="F59" s="38"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8" t="str" cm="1">
        <f t="array" ref="D60">Common_InputFunctions.Utility_DisplayArrayInTable(SourceData_OtherLivestock.SourceData_OtherLivestock_AverageLiveweight_Data(),Table_SourceData_OtherLivestock_AverageLiveweight[[#Headers],[Other livestock type]],0)</f>
        <v>Alpacas</v>
      </c>
      <c r="E60" s="38" t="str" cm="1">
        <f t="array" ref="E60">Common_InputFunctions.Utility_DisplayArrayInTable(SourceData_OtherLivestock.SourceData_OtherLivestock_AverageLiveweight_Data(),Table_SourceData_OtherLivestock_AverageLiveweight[[#Headers],[Other livestock type]],0)</f>
        <v>-</v>
      </c>
      <c r="F60" s="38"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8" t="str" cm="1">
        <f t="array" ref="D61">Common_InputFunctions.Utility_DisplayArrayInTable(SourceData_OtherLivestock.SourceData_OtherLivestock_AverageLiveweight_Data(),Table_SourceData_OtherLivestock_AverageLiveweight[[#Headers],[Other livestock type]],0)</f>
        <v>Horses</v>
      </c>
      <c r="E61" s="38" cm="1">
        <f t="array" ref="E61">Common_InputFunctions.Utility_DisplayArrayInTable(SourceData_OtherLivestock.SourceData_OtherLivestock_AverageLiveweight_Data(),Table_SourceData_OtherLivestock_AverageLiveweight[[#Headers],[Other livestock type]],0)</f>
        <v>377</v>
      </c>
      <c r="F61" s="38"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8" t="str" cm="1">
        <f t="array" ref="D62">Common_InputFunctions.Utility_DisplayArrayInTable(SourceData_OtherLivestock.SourceData_OtherLivestock_AverageLiveweight_Data(),Table_SourceData_OtherLivestock_AverageLiveweight[[#Headers],[Other livestock type]],0)</f>
        <v>Mules/asses</v>
      </c>
      <c r="E62" s="38" cm="1">
        <f t="array" ref="E62">Common_InputFunctions.Utility_DisplayArrayInTable(SourceData_OtherLivestock.SourceData_OtherLivestock_AverageLiveweight_Data(),Table_SourceData_OtherLivestock_AverageLiveweight[[#Headers],[Other livestock type]],0)</f>
        <v>130</v>
      </c>
      <c r="F62" s="38"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8" t="str" cm="1">
        <f t="array" ref="D63">Common_InputFunctions.Utility_DisplayArrayInTable(SourceData_OtherLivestock.SourceData_OtherLivestock_AverageLiveweight_Data(),Table_SourceData_OtherLivestock_AverageLiveweight[[#Headers],[Other livestock type]],0)</f>
        <v>Emus/ostriches</v>
      </c>
      <c r="E63" s="38" cm="1">
        <f t="array" ref="E63">Common_InputFunctions.Utility_DisplayArrayInTable(SourceData_OtherLivestock.SourceData_OtherLivestock_AverageLiveweight_Data(),Table_SourceData_OtherLivestock_AverageLiveweight[[#Headers],[Other livestock type]],0)</f>
        <v>120</v>
      </c>
      <c r="F63" s="38"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8" t="str" cm="1">
        <f t="array" ref="D64">Common_InputFunctions.Utility_DisplayArrayInTable(SourceData_OtherLivestock.SourceData_OtherLivestock_AverageLiveweight_Data(),Table_SourceData_OtherLivestock_AverageLiveweight[[#Headers],[Other livestock type]],0)</f>
        <v>Reference</v>
      </c>
      <c r="E64" s="38" t="str" cm="1">
        <f t="array" ref="E64">Common_InputFunctions.Utility_DisplayArrayInTable(SourceData_OtherLivestock.SourceData_OtherLivestock_AverageLiveweight_Data(),Table_SourceData_OtherLivestock_AverageLiveweight[[#Headers],[Other livestock type]],0)</f>
        <v>IPCC 2019 Table 10A.5 [2]</v>
      </c>
      <c r="F64" s="38"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3" t="str" cm="1">
        <f t="array" ref="D70">SourceData_OtherLivestock.SourceData_OtherLivestock_FractionWasteInMMS_Unit()</f>
        <v>fraction</v>
      </c>
      <c r="M70" s="1"/>
    </row>
    <row r="71" spans="4:13" ht="20.100000000000001" customHeight="1" x14ac:dyDescent="0.25">
      <c r="D71" s="38" t="s">
        <v>139</v>
      </c>
      <c r="E71" s="38" t="s">
        <v>135</v>
      </c>
      <c r="F71" s="50" t="s">
        <v>145</v>
      </c>
      <c r="M71" s="1"/>
    </row>
    <row r="72" spans="4:13" ht="20.100000000000001" customHeight="1" x14ac:dyDescent="0.25">
      <c r="D72" s="38" t="str" cm="1">
        <f t="array" ref="D72">Common_InputFunctions.Utility_DisplayArrayInTable(SourceData_OtherLivestock.SourceData_OtherLivestock_FractionWasteInMMS_Data(),Table_SourceData_OtherLivestock_FractionWasteInMMS[[#Headers],[Other livestock type]],0)</f>
        <v>ACT</v>
      </c>
      <c r="E72" s="38" cm="1">
        <f t="array" ref="E72">Common_InputFunctions.Utility_DisplayArrayInTable(SourceData_OtherLivestock.SourceData_OtherLivestock_FractionWasteInMMS_Data(),Table_SourceData_OtherLivestock_FractionWasteInMMS[[#Headers],[Other livestock type]],0)</f>
        <v>99.66</v>
      </c>
      <c r="F72" s="38"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8" t="str" cm="1">
        <f t="array" ref="D73">Common_InputFunctions.Utility_DisplayArrayInTable(SourceData_OtherLivestock.SourceData_OtherLivestock_FractionWasteInMMS_Data(),Table_SourceData_OtherLivestock_FractionWasteInMMS[[#Headers],[Other livestock type]],0)</f>
        <v>NSW</v>
      </c>
      <c r="E73" s="38" cm="1">
        <f t="array" ref="E73">Common_InputFunctions.Utility_DisplayArrayInTable(SourceData_OtherLivestock.SourceData_OtherLivestock_FractionWasteInMMS_Data(),Table_SourceData_OtherLivestock_FractionWasteInMMS[[#Headers],[Other livestock type]],0)</f>
        <v>99.66</v>
      </c>
      <c r="F73" s="38"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8" t="str" cm="1">
        <f t="array" ref="D74">Common_InputFunctions.Utility_DisplayArrayInTable(SourceData_OtherLivestock.SourceData_OtherLivestock_FractionWasteInMMS_Data(),Table_SourceData_OtherLivestock_FractionWasteInMMS[[#Headers],[Other livestock type]],0)</f>
        <v>NT</v>
      </c>
      <c r="E74" s="38" cm="1">
        <f t="array" ref="E74">Common_InputFunctions.Utility_DisplayArrayInTable(SourceData_OtherLivestock.SourceData_OtherLivestock_FractionWasteInMMS_Data(),Table_SourceData_OtherLivestock_FractionWasteInMMS[[#Headers],[Other livestock type]],0)</f>
        <v>99.66</v>
      </c>
      <c r="F74" s="38"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8" t="str" cm="1">
        <f t="array" ref="D75">Common_InputFunctions.Utility_DisplayArrayInTable(SourceData_OtherLivestock.SourceData_OtherLivestock_FractionWasteInMMS_Data(),Table_SourceData_OtherLivestock_FractionWasteInMMS[[#Headers],[Other livestock type]],0)</f>
        <v>QLD</v>
      </c>
      <c r="E75" s="38" cm="1">
        <f t="array" ref="E75">Common_InputFunctions.Utility_DisplayArrayInTable(SourceData_OtherLivestock.SourceData_OtherLivestock_FractionWasteInMMS_Data(),Table_SourceData_OtherLivestock_FractionWasteInMMS[[#Headers],[Other livestock type]],0)</f>
        <v>99.66</v>
      </c>
      <c r="F75" s="38"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8" t="str" cm="1">
        <f t="array" ref="D76">Common_InputFunctions.Utility_DisplayArrayInTable(SourceData_OtherLivestock.SourceData_OtherLivestock_FractionWasteInMMS_Data(),Table_SourceData_OtherLivestock_FractionWasteInMMS[[#Headers],[Other livestock type]],0)</f>
        <v>SA</v>
      </c>
      <c r="E76" s="38" cm="1">
        <f t="array" ref="E76">Common_InputFunctions.Utility_DisplayArrayInTable(SourceData_OtherLivestock.SourceData_OtherLivestock_FractionWasteInMMS_Data(),Table_SourceData_OtherLivestock_FractionWasteInMMS[[#Headers],[Other livestock type]],0)</f>
        <v>99.66</v>
      </c>
      <c r="F76" s="38"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8" t="str" cm="1">
        <f t="array" ref="D77">Common_InputFunctions.Utility_DisplayArrayInTable(SourceData_OtherLivestock.SourceData_OtherLivestock_FractionWasteInMMS_Data(),Table_SourceData_OtherLivestock_FractionWasteInMMS[[#Headers],[Other livestock type]],0)</f>
        <v>TAS</v>
      </c>
      <c r="E77" s="38" cm="1">
        <f t="array" ref="E77">Common_InputFunctions.Utility_DisplayArrayInTable(SourceData_OtherLivestock.SourceData_OtherLivestock_FractionWasteInMMS_Data(),Table_SourceData_OtherLivestock_FractionWasteInMMS[[#Headers],[Other livestock type]],0)</f>
        <v>99.66</v>
      </c>
      <c r="F77" s="38"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8" t="str" cm="1">
        <f t="array" ref="D78">Common_InputFunctions.Utility_DisplayArrayInTable(SourceData_OtherLivestock.SourceData_OtherLivestock_FractionWasteInMMS_Data(),Table_SourceData_OtherLivestock_FractionWasteInMMS[[#Headers],[Other livestock type]],0)</f>
        <v>VIC</v>
      </c>
      <c r="E78" s="38" cm="1">
        <f t="array" ref="E78">Common_InputFunctions.Utility_DisplayArrayInTable(SourceData_OtherLivestock.SourceData_OtherLivestock_FractionWasteInMMS_Data(),Table_SourceData_OtherLivestock_FractionWasteInMMS[[#Headers],[Other livestock type]],0)</f>
        <v>99.66</v>
      </c>
      <c r="F78" s="38"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8" t="str" cm="1">
        <f t="array" ref="D79">Common_InputFunctions.Utility_DisplayArrayInTable(SourceData_OtherLivestock.SourceData_OtherLivestock_FractionWasteInMMS_Data(),Table_SourceData_OtherLivestock_FractionWasteInMMS[[#Headers],[Other livestock type]],0)</f>
        <v>WA</v>
      </c>
      <c r="E79" s="38" cm="1">
        <f t="array" ref="E79">Common_InputFunctions.Utility_DisplayArrayInTable(SourceData_OtherLivestock.SourceData_OtherLivestock_FractionWasteInMMS_Data(),Table_SourceData_OtherLivestock_FractionWasteInMMS[[#Headers],[Other livestock type]],0)</f>
        <v>99.66</v>
      </c>
      <c r="F79" s="38"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3" t="str" cm="1">
        <f t="array" ref="D85">SourceData_OtherLivestock.SourceData_OtherLivestock_MethaneConversionFactor_Unit()</f>
        <v>fraction</v>
      </c>
      <c r="M85" s="1"/>
    </row>
    <row r="86" spans="4:13" ht="20.100000000000001" customHeight="1" x14ac:dyDescent="0.25">
      <c r="D86" s="38" t="s">
        <v>139</v>
      </c>
      <c r="E86" s="38" t="s">
        <v>135</v>
      </c>
      <c r="F86" s="50" t="s">
        <v>145</v>
      </c>
      <c r="M86" s="1"/>
    </row>
    <row r="87" spans="4:13" ht="20.100000000000001" customHeight="1" x14ac:dyDescent="0.25">
      <c r="D87" s="38" t="str" cm="1">
        <f t="array" ref="D87">Common_InputFunctions.Utility_DisplayArrayInTable(SourceData_OtherLivestock.SourceData_OtherLivestock_MethaneConversionFactor_Data(),Table_SourceData_OtherLivestock_MCF[[#Headers],[Other livestock type]],0)</f>
        <v>ACT</v>
      </c>
      <c r="E87" s="38" cm="1">
        <f t="array" ref="E87">Common_InputFunctions.Utility_DisplayArrayInTable(SourceData_OtherLivestock.SourceData_OtherLivestock_MethaneConversionFactor_Data(),Table_SourceData_OtherLivestock_MCF[[#Headers],[Other livestock type]],0)</f>
        <v>4.7000000000000002E-3</v>
      </c>
      <c r="F87" s="38"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8" t="str" cm="1">
        <f t="array" ref="D88">Common_InputFunctions.Utility_DisplayArrayInTable(SourceData_OtherLivestock.SourceData_OtherLivestock_MethaneConversionFactor_Data(),Table_SourceData_OtherLivestock_MCF[[#Headers],[Other livestock type]],0)</f>
        <v>NSW</v>
      </c>
      <c r="E88" s="38" cm="1">
        <f t="array" ref="E88">Common_InputFunctions.Utility_DisplayArrayInTable(SourceData_OtherLivestock.SourceData_OtherLivestock_MethaneConversionFactor_Data(),Table_SourceData_OtherLivestock_MCF[[#Headers],[Other livestock type]],0)</f>
        <v>4.7000000000000002E-3</v>
      </c>
      <c r="F88" s="38"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8" t="str" cm="1">
        <f t="array" ref="D89">Common_InputFunctions.Utility_DisplayArrayInTable(SourceData_OtherLivestock.SourceData_OtherLivestock_MethaneConversionFactor_Data(),Table_SourceData_OtherLivestock_MCF[[#Headers],[Other livestock type]],0)</f>
        <v>NT</v>
      </c>
      <c r="E89" s="38" cm="1">
        <f t="array" ref="E89">Common_InputFunctions.Utility_DisplayArrayInTable(SourceData_OtherLivestock.SourceData_OtherLivestock_MethaneConversionFactor_Data(),Table_SourceData_OtherLivestock_MCF[[#Headers],[Other livestock type]],0)</f>
        <v>4.7000000000000002E-3</v>
      </c>
      <c r="F89" s="38"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8" t="str" cm="1">
        <f t="array" ref="D90">Common_InputFunctions.Utility_DisplayArrayInTable(SourceData_OtherLivestock.SourceData_OtherLivestock_MethaneConversionFactor_Data(),Table_SourceData_OtherLivestock_MCF[[#Headers],[Other livestock type]],0)</f>
        <v>QLD</v>
      </c>
      <c r="E90" s="38" cm="1">
        <f t="array" ref="E90">Common_InputFunctions.Utility_DisplayArrayInTable(SourceData_OtherLivestock.SourceData_OtherLivestock_MethaneConversionFactor_Data(),Table_SourceData_OtherLivestock_MCF[[#Headers],[Other livestock type]],0)</f>
        <v>4.7000000000000002E-3</v>
      </c>
      <c r="F90" s="38"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8" t="str" cm="1">
        <f t="array" ref="D91">Common_InputFunctions.Utility_DisplayArrayInTable(SourceData_OtherLivestock.SourceData_OtherLivestock_MethaneConversionFactor_Data(),Table_SourceData_OtherLivestock_MCF[[#Headers],[Other livestock type]],0)</f>
        <v>SA</v>
      </c>
      <c r="E91" s="38" cm="1">
        <f t="array" ref="E91">Common_InputFunctions.Utility_DisplayArrayInTable(SourceData_OtherLivestock.SourceData_OtherLivestock_MethaneConversionFactor_Data(),Table_SourceData_OtherLivestock_MCF[[#Headers],[Other livestock type]],0)</f>
        <v>4.7000000000000002E-3</v>
      </c>
      <c r="F91" s="38"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8" t="str" cm="1">
        <f t="array" ref="D92">Common_InputFunctions.Utility_DisplayArrayInTable(SourceData_OtherLivestock.SourceData_OtherLivestock_MethaneConversionFactor_Data(),Table_SourceData_OtherLivestock_MCF[[#Headers],[Other livestock type]],0)</f>
        <v>TAS</v>
      </c>
      <c r="E92" s="38" cm="1">
        <f t="array" ref="E92">Common_InputFunctions.Utility_DisplayArrayInTable(SourceData_OtherLivestock.SourceData_OtherLivestock_MethaneConversionFactor_Data(),Table_SourceData_OtherLivestock_MCF[[#Headers],[Other livestock type]],0)</f>
        <v>4.7000000000000002E-3</v>
      </c>
      <c r="F92" s="38"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8" t="str" cm="1">
        <f t="array" ref="D93">Common_InputFunctions.Utility_DisplayArrayInTable(SourceData_OtherLivestock.SourceData_OtherLivestock_MethaneConversionFactor_Data(),Table_SourceData_OtherLivestock_MCF[[#Headers],[Other livestock type]],0)</f>
        <v>VIC</v>
      </c>
      <c r="E93" s="38" cm="1">
        <f t="array" ref="E93">Common_InputFunctions.Utility_DisplayArrayInTable(SourceData_OtherLivestock.SourceData_OtherLivestock_MethaneConversionFactor_Data(),Table_SourceData_OtherLivestock_MCF[[#Headers],[Other livestock type]],0)</f>
        <v>4.7000000000000002E-3</v>
      </c>
      <c r="F93" s="38"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8" t="str" cm="1">
        <f t="array" ref="D94">Common_InputFunctions.Utility_DisplayArrayInTable(SourceData_OtherLivestock.SourceData_OtherLivestock_MethaneConversionFactor_Data(),Table_SourceData_OtherLivestock_MCF[[#Headers],[Other livestock type]],0)</f>
        <v>WA</v>
      </c>
      <c r="E94" s="38" cm="1">
        <f t="array" ref="E94">Common_InputFunctions.Utility_DisplayArrayInTable(SourceData_OtherLivestock.SourceData_OtherLivestock_MethaneConversionFactor_Data(),Table_SourceData_OtherLivestock_MCF[[#Headers],[Other livestock type]],0)</f>
        <v>4.7000000000000002E-3</v>
      </c>
      <c r="F94" s="38"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4"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3" t="str" cm="1">
        <f t="array" ref="D101">SourceData_OtherLivestock.SourceData_OtherLivestock_MethaneEmissionsPotential_Unit()</f>
        <v>m3 CH4 / kg VS</v>
      </c>
      <c r="M101" s="1"/>
    </row>
    <row r="102" spans="4:13" ht="20.100000000000001" customHeight="1" x14ac:dyDescent="0.25">
      <c r="D102" s="38" t="s">
        <v>139</v>
      </c>
      <c r="E102" s="38" t="s">
        <v>178</v>
      </c>
      <c r="F102" s="50" t="s">
        <v>177</v>
      </c>
      <c r="M102" s="1"/>
    </row>
    <row r="103" spans="4:13" ht="20.100000000000001" customHeight="1" x14ac:dyDescent="0.25">
      <c r="D103" s="38" t="str" cm="1">
        <f t="array" ref="D103">Common_InputFunctions.Utility_DisplayArrayInTable(SourceData_OtherLivestock.SourceData_OtherLivestock_MethaneEmissionsPotential_Data(),Table_SourceData_OtherLivestock_MethaneEmissionsPotential[[#Headers],[Other livestock type]],0)</f>
        <v>Buffalo</v>
      </c>
      <c r="E103" s="38" cm="1">
        <f t="array" ref="E103">Common_InputFunctions.Utility_DisplayArrayInTable(SourceData_OtherLivestock.SourceData_OtherLivestock_MethaneEmissionsPotential_Data(),Table_SourceData_OtherLivestock_MethaneEmissionsPotential[[#Headers],[Other livestock type]],0)</f>
        <v>0.19</v>
      </c>
      <c r="F103" s="38"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8" t="str" cm="1">
        <f t="array" ref="D104">Common_InputFunctions.Utility_DisplayArrayInTable(SourceData_OtherLivestock.SourceData_OtherLivestock_MethaneEmissionsPotential_Data(),Table_SourceData_OtherLivestock_MethaneEmissionsPotential[[#Headers],[Other livestock type]],0)</f>
        <v>Goats</v>
      </c>
      <c r="E104" s="38" cm="1">
        <f t="array" ref="E104">Common_InputFunctions.Utility_DisplayArrayInTable(SourceData_OtherLivestock.SourceData_OtherLivestock_MethaneEmissionsPotential_Data(),Table_SourceData_OtherLivestock_MethaneEmissionsPotential[[#Headers],[Other livestock type]],0)</f>
        <v>0.24</v>
      </c>
      <c r="F104" s="38"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8" t="str" cm="1">
        <f t="array" ref="D105">Common_InputFunctions.Utility_DisplayArrayInTable(SourceData_OtherLivestock.SourceData_OtherLivestock_MethaneEmissionsPotential_Data(),Table_SourceData_OtherLivestock_MethaneEmissionsPotential[[#Headers],[Other livestock type]],0)</f>
        <v>Deer</v>
      </c>
      <c r="E105" s="38" cm="1">
        <f t="array" ref="E105">Common_InputFunctions.Utility_DisplayArrayInTable(SourceData_OtherLivestock.SourceData_OtherLivestock_MethaneEmissionsPotential_Data(),Table_SourceData_OtherLivestock_MethaneEmissionsPotential[[#Headers],[Other livestock type]],0)</f>
        <v>0.24</v>
      </c>
      <c r="F105" s="38"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8" t="str" cm="1">
        <f t="array" ref="D106">Common_InputFunctions.Utility_DisplayArrayInTable(SourceData_OtherLivestock.SourceData_OtherLivestock_MethaneEmissionsPotential_Data(),Table_SourceData_OtherLivestock_MethaneEmissionsPotential[[#Headers],[Other livestock type]],0)</f>
        <v>Camels</v>
      </c>
      <c r="E106" s="38" cm="1">
        <f t="array" ref="E106">Common_InputFunctions.Utility_DisplayArrayInTable(SourceData_OtherLivestock.SourceData_OtherLivestock_MethaneEmissionsPotential_Data(),Table_SourceData_OtherLivestock_MethaneEmissionsPotential[[#Headers],[Other livestock type]],0)</f>
        <v>0.24</v>
      </c>
      <c r="F106" s="38"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8" t="str" cm="1">
        <f t="array" ref="D107">Common_InputFunctions.Utility_DisplayArrayInTable(SourceData_OtherLivestock.SourceData_OtherLivestock_MethaneEmissionsPotential_Data(),Table_SourceData_OtherLivestock_MethaneEmissionsPotential[[#Headers],[Other livestock type]],0)</f>
        <v>Alpacas</v>
      </c>
      <c r="E107" s="38" cm="1">
        <f t="array" ref="E107">Common_InputFunctions.Utility_DisplayArrayInTable(SourceData_OtherLivestock.SourceData_OtherLivestock_MethaneEmissionsPotential_Data(),Table_SourceData_OtherLivestock_MethaneEmissionsPotential[[#Headers],[Other livestock type]],0)</f>
        <v>0.24</v>
      </c>
      <c r="F107" s="38"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8" t="str" cm="1">
        <f t="array" ref="D108">Common_InputFunctions.Utility_DisplayArrayInTable(SourceData_OtherLivestock.SourceData_OtherLivestock_MethaneEmissionsPotential_Data(),Table_SourceData_OtherLivestock_MethaneEmissionsPotential[[#Headers],[Other livestock type]],0)</f>
        <v>Horses</v>
      </c>
      <c r="E108" s="38" cm="1">
        <f t="array" ref="E108">Common_InputFunctions.Utility_DisplayArrayInTable(SourceData_OtherLivestock.SourceData_OtherLivestock_MethaneEmissionsPotential_Data(),Table_SourceData_OtherLivestock_MethaneEmissionsPotential[[#Headers],[Other livestock type]],0)</f>
        <v>0.19</v>
      </c>
      <c r="F108" s="38"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8" t="str" cm="1">
        <f t="array" ref="D109">Common_InputFunctions.Utility_DisplayArrayInTable(SourceData_OtherLivestock.SourceData_OtherLivestock_MethaneEmissionsPotential_Data(),Table_SourceData_OtherLivestock_MethaneEmissionsPotential[[#Headers],[Other livestock type]],0)</f>
        <v>Mules/asses</v>
      </c>
      <c r="E109" s="38" cm="1">
        <f t="array" ref="E109">Common_InputFunctions.Utility_DisplayArrayInTable(SourceData_OtherLivestock.SourceData_OtherLivestock_MethaneEmissionsPotential_Data(),Table_SourceData_OtherLivestock_MethaneEmissionsPotential[[#Headers],[Other livestock type]],0)</f>
        <v>0.24</v>
      </c>
      <c r="F109" s="38"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8" t="str" cm="1">
        <f t="array" ref="D110">Common_InputFunctions.Utility_DisplayArrayInTable(SourceData_OtherLivestock.SourceData_OtherLivestock_MethaneEmissionsPotential_Data(),Table_SourceData_OtherLivestock_MethaneEmissionsPotential[[#Headers],[Other livestock type]],0)</f>
        <v>Emus/ostriches</v>
      </c>
      <c r="E110" s="38" cm="1">
        <f t="array" ref="E110">Common_InputFunctions.Utility_DisplayArrayInTable(SourceData_OtherLivestock.SourceData_OtherLivestock_MethaneEmissionsPotential_Data(),Table_SourceData_OtherLivestock_MethaneEmissionsPotential[[#Headers],[Other livestock type]],0)</f>
        <v>0.36</v>
      </c>
      <c r="F110" s="38"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2" t="str" cm="1">
        <f t="array" ref="D115">SourceData_OtherLivestock.SourceData_OtherLivestock_FracGASMSoil_Variable()</f>
        <v>FracGASMsoil</v>
      </c>
      <c r="E115" s="1" cm="1">
        <f t="array" ref="E115">SourceData_OtherLivestock.SourceData_OtherLivestock_FracGASMSoil_Data()</f>
        <v>0.21</v>
      </c>
      <c r="F115" s="53"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206</v>
      </c>
      <c r="G118" s="6" t="s">
        <v>102</v>
      </c>
      <c r="M118" s="1"/>
    </row>
    <row r="119" spans="4:13" ht="20.100000000000001" customHeight="1" x14ac:dyDescent="0.25">
      <c r="M119" s="1"/>
    </row>
    <row r="120" spans="4:13" ht="20.100000000000001" customHeight="1" x14ac:dyDescent="0.25">
      <c r="D120" s="38" t="s">
        <v>101</v>
      </c>
      <c r="G120" s="38" t="s">
        <v>99</v>
      </c>
      <c r="M120" s="1"/>
    </row>
    <row r="121" spans="4:13" ht="20.100000000000001" customHeight="1" x14ac:dyDescent="0.25">
      <c r="D121" s="38" t="str">
        <f>'Constants - Common'!$F$187</f>
        <v>Pasture</v>
      </c>
      <c r="G121" s="38" t="s">
        <v>103</v>
      </c>
      <c r="M121" s="1"/>
    </row>
    <row r="122" spans="4:13" ht="20.100000000000001" customHeight="1" x14ac:dyDescent="0.25">
      <c r="D122" s="1" t="str">
        <f>'Constants - Common'!$F$188</f>
        <v>Crop</v>
      </c>
      <c r="G122" s="38" t="s">
        <v>104</v>
      </c>
      <c r="M122" s="1"/>
    </row>
    <row r="123" spans="4:13" ht="20.100000000000001" customHeight="1" x14ac:dyDescent="0.25">
      <c r="G123" s="1" t="s">
        <v>105</v>
      </c>
      <c r="M123" s="1"/>
    </row>
    <row r="124" spans="4:13" ht="20.100000000000001" customHeight="1" x14ac:dyDescent="0.25">
      <c r="G124" s="1" t="s">
        <v>106</v>
      </c>
      <c r="M124" s="1"/>
    </row>
    <row r="125" spans="4:13" ht="20.100000000000001" customHeight="1" x14ac:dyDescent="0.25">
      <c r="G125" s="1" t="s">
        <v>107</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4" sqref="A2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3" t="e" vm="1">
        <v>#VALUE!</v>
      </c>
      <c r="C1" s="8" t="s">
        <v>72</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7" t="s">
        <v>73</v>
      </c>
      <c r="E9" s="38" t="s">
        <v>16</v>
      </c>
      <c r="F9" s="38" t="s">
        <v>74</v>
      </c>
      <c r="G9" s="3"/>
    </row>
    <row r="10" spans="1:13" ht="20.100000000000001" customHeight="1" x14ac:dyDescent="0.25">
      <c r="A10" s="17" t="str">
        <f>HYPERLINK("#'Input - Other Livestock'!A1", "Other Livestock")</f>
        <v>Other Livestock</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8" t="str" cm="1">
        <f t="array" ref="D12">Common_InputFunctions.Utility_DisplayArrayInTable(CommonLivestock_SourceData.SourceData_Livestock_Common_SymbolsMMS_Data(), Table_Data_MMSSymbols[[#Headers],[Symbol]], 0)</f>
        <v>3</v>
      </c>
      <c r="E12" s="38" t="str" cm="1">
        <f t="array" ref="E12">Common_InputFunctions.Utility_DisplayArrayInTable(CommonLivestock_SourceData.SourceData_Livestock_Common_SymbolsMMS_Data(), Table_Data_MMSSymbols[[#Headers],[Symbol]], 0)</f>
        <v>Daily spread</v>
      </c>
      <c r="F12" s="3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70</v>
      </c>
      <c r="D13" s="38" t="str" cm="1">
        <f t="array" ref="D13">Common_InputFunctions.Utility_DisplayArrayInTable(CommonLivestock_SourceData.SourceData_Livestock_Common_SymbolsMMS_Data(), Table_Data_MMSSymbols[[#Headers],[Symbol]], 0)</f>
        <v>3a</v>
      </c>
      <c r="E13" s="38" t="str" cm="1">
        <f t="array" ref="E13">Common_InputFunctions.Utility_DisplayArrayInTable(CommonLivestock_SourceData.SourceData_Livestock_Common_SymbolsMMS_Data(), Table_Data_MMSSymbols[[#Headers],[Symbol]], 0)</f>
        <v>Sump and dispersal system</v>
      </c>
      <c r="F13" s="3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HYPERLINK("#'4.7.1.1-2 Manure Methane'!A1", "4.7.1.1-2 Manure Methane")</f>
        <v>4.7.1.1-2 Manure Methane</v>
      </c>
      <c r="D14" s="38" t="str" cm="1">
        <f t="array" ref="D14">Common_InputFunctions.Utility_DisplayArrayInTable(CommonLivestock_SourceData.SourceData_Livestock_Common_SymbolsMMS_Data(), Table_Data_MMSSymbols[[#Headers],[Symbol]], 0)</f>
        <v>3b</v>
      </c>
      <c r="E14" s="38" t="str" cm="1">
        <f t="array" ref="E14">Common_InputFunctions.Utility_DisplayArrayInTable(CommonLivestock_SourceData.SourceData_Livestock_Common_SymbolsMMS_Data(), Table_Data_MMSSymbols[[#Headers],[Symbol]], 0)</f>
        <v>Drains to paddock</v>
      </c>
      <c r="F14" s="3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HYPERLINK("#'4.7.1.3-4 Soil Direct N2O'!A1", "4.7.1.3-4 Soil Direct N2O")</f>
        <v>4.7.1.3-4 Soil Direct N2O</v>
      </c>
      <c r="D15" s="38" t="str" cm="1">
        <f t="array" ref="D15">Common_InputFunctions.Utility_DisplayArrayInTable(CommonLivestock_SourceData.SourceData_Livestock_Common_SymbolsMMS_Data(), Table_Data_MMSSymbols[[#Headers],[Symbol]], 0)</f>
        <v>4</v>
      </c>
      <c r="E15" s="38" t="str" cm="1">
        <f t="array" ref="E15">Common_InputFunctions.Utility_DisplayArrayInTable(CommonLivestock_SourceData.SourceData_Livestock_Common_SymbolsMMS_Data(), Table_Data_MMSSymbols[[#Headers],[Symbol]], 0)</f>
        <v>Solid storage</v>
      </c>
      <c r="F15" s="3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HYPERLINK("#'4.7.1.5-6 Soil Atmos Deposition'!A1", "4.7.1.5-6 Soil Atmos Deposition")</f>
        <v>4.7.1.5-6 Soil Atmos Deposition</v>
      </c>
      <c r="D16" s="38" t="str" cm="1">
        <f t="array" ref="D16">Common_InputFunctions.Utility_DisplayArrayInTable(CommonLivestock_SourceData.SourceData_Livestock_Common_SymbolsMMS_Data(), Table_Data_MMSSymbols[[#Headers],[Symbol]], 0)</f>
        <v>5</v>
      </c>
      <c r="E16" s="38" t="str" cm="1">
        <f t="array" ref="E16">Common_InputFunctions.Utility_DisplayArrayInTable(CommonLivestock_SourceData.SourceData_Livestock_Common_SymbolsMMS_Data(), Table_Data_MMSSymbols[[#Headers],[Symbol]], 0)</f>
        <v>Drylot (feed pad)</v>
      </c>
      <c r="F16" s="3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7" t="str">
        <f>HYPERLINK("#'4.7.1.7-8 Soil Leaching Runoff'!A1", "4.7.1.7-8 Soil Leaching Runoff")</f>
        <v>4.7.1.7-8 Soil Leaching Runoff</v>
      </c>
      <c r="D17" s="38" t="str" cm="1">
        <f t="array" ref="D17">Common_InputFunctions.Utility_DisplayArrayInTable(CommonLivestock_SourceData.SourceData_Livestock_Common_SymbolsMMS_Data(), Table_Data_MMSSymbols[[#Headers],[Symbol]], 0)</f>
        <v>6</v>
      </c>
      <c r="E17" s="38" t="str" cm="1">
        <f t="array" ref="E17">Common_InputFunctions.Utility_DisplayArrayInTable(CommonLivestock_SourceData.SourceData_Livestock_Common_SymbolsMMS_Data(), Table_Data_MMSSymbols[[#Headers],[Symbol]], 0)</f>
        <v>Composting (passive windrow)</v>
      </c>
      <c r="F17" s="3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D18" s="38" t="str" cm="1">
        <f t="array" ref="D18">Common_InputFunctions.Utility_DisplayArrayInTable(CommonLivestock_SourceData.SourceData_Livestock_Common_SymbolsMMS_Data(), Table_Data_MMSSymbols[[#Headers],[Symbol]], 0)</f>
        <v>7</v>
      </c>
      <c r="E18" s="38" t="str" cm="1">
        <f t="array" ref="E18">Common_InputFunctions.Utility_DisplayArrayInTable(CommonLivestock_SourceData.SourceData_Livestock_Common_SymbolsMMS_Data(), Table_Data_MMSSymbols[[#Headers],[Symbol]], 0)</f>
        <v>Digester / covered lagoons</v>
      </c>
      <c r="F18" s="3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D19" s="38" t="str" cm="1">
        <f t="array" ref="D19">Common_InputFunctions.Utility_DisplayArrayInTable(CommonLivestock_SourceData.SourceData_Livestock_Common_SymbolsMMS_Data(), Table_Data_MMSSymbols[[#Headers],[Symbol]], 0)</f>
        <v>8</v>
      </c>
      <c r="E19" s="38" t="str" cm="1">
        <f t="array" ref="E19">Common_InputFunctions.Utility_DisplayArrayInTable(CommonLivestock_SourceData.SourceData_Livestock_Common_SymbolsMMS_Data(), Table_Data_MMSSymbols[[#Headers],[Symbol]], 0)</f>
        <v>Deep litter</v>
      </c>
      <c r="F19" s="3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24" t="s">
        <v>1</v>
      </c>
      <c r="D20" s="38" t="str" cm="1">
        <f t="array" ref="D20">Common_InputFunctions.Utility_DisplayArrayInTable(CommonLivestock_SourceData.SourceData_Livestock_Common_SymbolsMMS_Data(), Table_Data_MMSSymbols[[#Headers],[Symbol]], 0)</f>
        <v>9</v>
      </c>
      <c r="E20" s="38" t="str" cm="1">
        <f t="array" ref="E20">Common_InputFunctions.Utility_DisplayArrayInTable(CommonLivestock_SourceData.SourceData_Livestock_Common_SymbolsMMS_Data(), Table_Data_MMSSymbols[[#Headers],[Symbol]], 0)</f>
        <v>Pit storage</v>
      </c>
      <c r="F20" s="3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Other Livestock'!A1", "Constants - Other Livestock")</f>
        <v>Constants - Other Livestock</v>
      </c>
      <c r="D21" s="38" t="str" cm="1">
        <f t="array" ref="D21">Common_InputFunctions.Utility_DisplayArrayInTable(CommonLivestock_SourceData.SourceData_Livestock_Common_SymbolsMMS_Data(), Table_Data_MMSSymbols[[#Headers],[Symbol]], 0)</f>
        <v>10</v>
      </c>
      <c r="E21" s="38" t="str" cm="1">
        <f t="array" ref="E21">Common_InputFunctions.Utility_DisplayArrayInTable(CommonLivestock_SourceData.SourceData_Livestock_Common_SymbolsMMS_Data(), Table_Data_MMSSymbols[[#Headers],[Symbol]], 0)</f>
        <v>Poultry manure with bedding</v>
      </c>
      <c r="F21" s="3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64" t="str">
        <f>HYPERLINK("#'Constants - Livestock'!A1", "Constants - Livestock")</f>
        <v>Constants - Livestock</v>
      </c>
      <c r="D22" s="38" t="str" cm="1">
        <f t="array" ref="D22">Common_InputFunctions.Utility_DisplayArrayInTable(CommonLivestock_SourceData.SourceData_Livestock_Common_SymbolsMMS_Data(), Table_Data_MMSSymbols[[#Headers],[Symbol]], 0)</f>
        <v>11</v>
      </c>
      <c r="E22" s="38" t="str" cm="1">
        <f t="array" ref="E22">Common_InputFunctions.Utility_DisplayArrayInTable(CommonLivestock_SourceData.SourceData_Livestock_Common_SymbolsMMS_Data(), Table_Data_MMSSymbols[[#Headers],[Symbol]], 0)</f>
        <v>Poultry manure without bedding</v>
      </c>
      <c r="F22" s="3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17" t="str">
        <f>HYPERLINK("#'Constants - Common'!A1", "Constants - Common")</f>
        <v>Constants - Common</v>
      </c>
      <c r="D23" s="38" t="str" cm="1">
        <f t="array" ref="D23">Common_InputFunctions.Utility_DisplayArrayInTable(CommonLivestock_SourceData.SourceData_Livestock_Common_SymbolsMMS_Data(), Table_Data_MMSSymbols[[#Headers],[Symbol]], 0)</f>
        <v>11a</v>
      </c>
      <c r="E23" s="38" t="str" cm="1">
        <f t="array" ref="E23">Common_InputFunctions.Utility_DisplayArrayInTable(CommonLivestock_SourceData.SourceData_Livestock_Common_SymbolsMMS_Data(), Table_Data_MMSSymbols[[#Headers],[Symbol]], 0)</f>
        <v>Belt manure removal</v>
      </c>
      <c r="F23" s="3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t="str">
        <f>HYPERLINK("#'Acknowledgements'!A1", "Acknowledgements")</f>
        <v>Acknowledgements</v>
      </c>
      <c r="D24" s="38" t="str" cm="1">
        <f t="array" ref="D24">Common_InputFunctions.Utility_DisplayArrayInTable(CommonLivestock_SourceData.SourceData_Livestock_Common_SymbolsMMS_Data(), Table_Data_MMSSymbols[[#Headers],[Symbol]], 0)</f>
        <v>11b</v>
      </c>
      <c r="E24" s="38" t="str" cm="1">
        <f t="array" ref="E24">Common_InputFunctions.Utility_DisplayArrayInTable(CommonLivestock_SourceData.SourceData_Livestock_Common_SymbolsMMS_Data(), Table_Data_MMSSymbols[[#Headers],[Symbol]], 0)</f>
        <v>Manure stored in house</v>
      </c>
      <c r="F24" s="3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8" t="str" cm="1">
        <f t="array" ref="D25">Common_InputFunctions.Utility_DisplayArrayInTable(CommonLivestock_SourceData.SourceData_Livestock_Common_SymbolsMMS_Data(), Table_Data_MMSSymbols[[#Headers],[Symbol]], 0)</f>
        <v>12</v>
      </c>
      <c r="E25" s="38" t="str" cm="1">
        <f t="array" ref="E25">Common_InputFunctions.Utility_DisplayArrayInTable(CommonLivestock_SourceData.SourceData_Livestock_Common_SymbolsMMS_Data(), Table_Data_MMSSymbols[[#Headers],[Symbol]], 0)</f>
        <v>Direct processing</v>
      </c>
      <c r="F25" s="3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8" t="str" cm="1">
        <f t="array" ref="D26">Common_InputFunctions.Utility_DisplayArrayInTable(CommonLivestock_SourceData.SourceData_Livestock_Common_SymbolsMMS_Data(), Table_Data_MMSSymbols[[#Headers],[Symbol]], 0)</f>
        <v>13</v>
      </c>
      <c r="E26" s="38" t="str" cm="1">
        <f t="array" ref="E26">Common_InputFunctions.Utility_DisplayArrayInTable(CommonLivestock_SourceData.SourceData_Livestock_Common_SymbolsMMS_Data(), Table_Data_MMSSymbols[[#Headers],[Symbol]], 0)</f>
        <v>Direct application</v>
      </c>
      <c r="F26" s="3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8" t="str" cm="1">
        <f t="array" ref="D27">Common_InputFunctions.Utility_DisplayArrayInTable(CommonLivestock_SourceData.SourceData_Livestock_Common_SymbolsMMS_Data(), Table_Data_MMSSymbols[[#Headers],[Symbol]], 0)</f>
        <v>14</v>
      </c>
      <c r="E27" s="38" t="str" cm="1">
        <f t="array" ref="E27">Common_InputFunctions.Utility_DisplayArrayInTable(CommonLivestock_SourceData.SourceData_Livestock_Common_SymbolsMMS_Data(), Table_Data_MMSSymbols[[#Headers],[Symbol]], 0)</f>
        <v>Pasture range and paddock</v>
      </c>
      <c r="F27" s="3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3C7E8-1C94-4A4F-92C3-8B7832B1CF76}">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71</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24" t="s">
        <v>1</v>
      </c>
      <c r="D6" s="38" t="s">
        <v>17</v>
      </c>
      <c r="E6" s="38" t="s">
        <v>18</v>
      </c>
      <c r="F6" s="38" t="s">
        <v>19</v>
      </c>
    </row>
    <row r="7" spans="1:65" ht="20.100000000000001" customHeight="1" x14ac:dyDescent="0.25">
      <c r="A7" s="64" t="str">
        <f>HYPERLINK("#'Constants - Common'!A1", "Constants - Common")</f>
        <v>Constants - Common</v>
      </c>
      <c r="D7" s="38" t="str" cm="1">
        <f t="array" ref="D7">Common_InputFunctions.Utility_DisplayArrayInTable(Common_SourceData.Common_SourceData_AustralianStatesTerritories_Data(),Table_AustralianStates[[#Headers],[State/Territory]],0)</f>
        <v>New South Wales</v>
      </c>
      <c r="E7" s="38" t="str" cm="1">
        <f t="array" ref="E7">Common_InputFunctions.Utility_DisplayArrayInTable(Common_SourceData.Common_SourceData_AustralianStatesTerritories_Data(),Table_AustralianStates[[#Headers],[State/Territory]],0)</f>
        <v>New South Wales</v>
      </c>
      <c r="F7" s="38"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8" t="str" cm="1">
        <f t="array" ref="D8">Common_InputFunctions.Utility_DisplayArrayInTable(Common_SourceData.Common_SourceData_AustralianStatesTerritories_Data(),Table_AustralianStates[[#Headers],[State/Territory]],0)</f>
        <v>Australian Capital Territory</v>
      </c>
      <c r="E8" s="38" t="str" cm="1">
        <f t="array" ref="E8">Common_InputFunctions.Utility_DisplayArrayInTable(Common_SourceData.Common_SourceData_AustralianStatesTerritories_Data(),Table_AustralianStates[[#Headers],[State/Territory]],0)</f>
        <v>ACT</v>
      </c>
      <c r="F8" s="38" t="str" cm="1">
        <f t="array" ref="F8">Common_InputFunctions.Utility_DisplayArrayInTable(Common_SourceData.Common_SourceData_AustralianStatesTerritories_Data(),Table_AustralianStates[[#Headers],[State/Territory]],0)</f>
        <v>ACT</v>
      </c>
    </row>
    <row r="9" spans="1:65" ht="20.100000000000001" customHeight="1" x14ac:dyDescent="0.25">
      <c r="A9"/>
      <c r="D9" s="38" t="str" cm="1">
        <f t="array" ref="D9">Common_InputFunctions.Utility_DisplayArrayInTable(Common_SourceData.Common_SourceData_AustralianStatesTerritories_Data(),Table_AustralianStates[[#Headers],[State/Territory]],0)</f>
        <v>Victoria</v>
      </c>
      <c r="E9" s="38" t="str" cm="1">
        <f t="array" ref="E9">Common_InputFunctions.Utility_DisplayArrayInTable(Common_SourceData.Common_SourceData_AustralianStatesTerritories_Data(),Table_AustralianStates[[#Headers],[State/Territory]],0)</f>
        <v>Victoria</v>
      </c>
      <c r="F9" s="3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8" t="str" cm="1">
        <f t="array" ref="D10">Common_InputFunctions.Utility_DisplayArrayInTable(Common_SourceData.Common_SourceData_AustralianStatesTerritories_Data(),Table_AustralianStates[[#Headers],[State/Territory]],0)</f>
        <v>Queensland</v>
      </c>
      <c r="E10" s="38" t="str" cm="1">
        <f t="array" ref="E10">Common_InputFunctions.Utility_DisplayArrayInTable(Common_SourceData.Common_SourceData_AustralianStatesTerritories_Data(),Table_AustralianStates[[#Headers],[State/Territory]],0)</f>
        <v>Queensland</v>
      </c>
      <c r="F10" s="3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8" t="str" cm="1">
        <f t="array" ref="D11">Common_InputFunctions.Utility_DisplayArrayInTable(Common_SourceData.Common_SourceData_AustralianStatesTerritories_Data(),Table_AustralianStates[[#Headers],[State/Territory]],0)</f>
        <v>South Australia</v>
      </c>
      <c r="E11" s="38" t="str" cm="1">
        <f t="array" ref="E11">Common_InputFunctions.Utility_DisplayArrayInTable(Common_SourceData.Common_SourceData_AustralianStatesTerritories_Data(),Table_AustralianStates[[#Headers],[State/Territory]],0)</f>
        <v>South Australia</v>
      </c>
      <c r="F11" s="3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8" t="str" cm="1">
        <f t="array" ref="D12">Common_InputFunctions.Utility_DisplayArrayInTable(Common_SourceData.Common_SourceData_AustralianStatesTerritories_Data(),Table_AustralianStates[[#Headers],[State/Territory]],0)</f>
        <v>Western Australia</v>
      </c>
      <c r="E12" s="38" t="str" cm="1">
        <f t="array" ref="E12">Common_InputFunctions.Utility_DisplayArrayInTable(Common_SourceData.Common_SourceData_AustralianStatesTerritories_Data(),Table_AustralianStates[[#Headers],[State/Territory]],0)</f>
        <v>Western Australia</v>
      </c>
      <c r="F12" s="3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8" t="str" cm="1">
        <f t="array" ref="D13">Common_InputFunctions.Utility_DisplayArrayInTable(Common_SourceData.Common_SourceData_AustralianStatesTerritories_Data(),Table_AustralianStates[[#Headers],[State/Territory]],0)</f>
        <v>Tasmania</v>
      </c>
      <c r="E13" s="38" t="str" cm="1">
        <f t="array" ref="E13">Common_InputFunctions.Utility_DisplayArrayInTable(Common_SourceData.Common_SourceData_AustralianStatesTerritories_Data(),Table_AustralianStates[[#Headers],[State/Territory]],0)</f>
        <v>Tasmania</v>
      </c>
      <c r="F13" s="3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8" t="str" cm="1">
        <f t="array" ref="D14">Common_InputFunctions.Utility_DisplayArrayInTable(Common_SourceData.Common_SourceData_AustralianStatesTerritories_Data(),Table_AustralianStates[[#Headers],[State/Territory]],0)</f>
        <v>Northern Territory</v>
      </c>
      <c r="E14" s="38" t="str" cm="1">
        <f t="array" ref="E14">Common_InputFunctions.Utility_DisplayArrayInTable(Common_SourceData.Common_SourceData_AustralianStatesTerritories_Data(),Table_AustralianStates[[#Headers],[State/Territory]],0)</f>
        <v>Northern Territory</v>
      </c>
      <c r="F14" s="3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8" t="s">
        <v>20</v>
      </c>
    </row>
    <row r="21" spans="1:4" ht="20.100000000000001" customHeight="1" x14ac:dyDescent="0.25">
      <c r="A21"/>
      <c r="D21" s="38" t="str" cm="1">
        <f t="array" ref="D21">Common_InputFunctions.Utility_DisplayArrayInTable(Common_SourceData.Common_SourceData_WASA4Areas_Data(), Table_WASA4Areas[[#Headers],[SA 4 Name]], 0)</f>
        <v>Bunbury</v>
      </c>
    </row>
    <row r="22" spans="1:4" ht="20.100000000000001" customHeight="1" x14ac:dyDescent="0.25">
      <c r="A22"/>
      <c r="D22" s="38" t="str" cm="1">
        <f t="array" ref="D22">Common_InputFunctions.Utility_DisplayArrayInTable(Common_SourceData.Common_SourceData_WASA4Areas_Data(), Table_WASA4Areas[[#Headers],[SA 4 Name]], 0)</f>
        <v>Mandurah</v>
      </c>
    </row>
    <row r="23" spans="1:4" ht="20.100000000000001" customHeight="1" x14ac:dyDescent="0.25">
      <c r="A23"/>
      <c r="D23" s="38" t="str" cm="1">
        <f t="array" ref="D23">Common_InputFunctions.Utility_DisplayArrayInTable(Common_SourceData.Common_SourceData_WASA4Areas_Data(), Table_WASA4Areas[[#Headers],[SA 4 Name]], 0)</f>
        <v>Perth - Inner</v>
      </c>
    </row>
    <row r="24" spans="1:4" ht="20.100000000000001" customHeight="1" x14ac:dyDescent="0.25">
      <c r="A24"/>
      <c r="D24" s="38" t="str" cm="1">
        <f t="array" ref="D24">Common_InputFunctions.Utility_DisplayArrayInTable(Common_SourceData.Common_SourceData_WASA4Areas_Data(), Table_WASA4Areas[[#Headers],[SA 4 Name]], 0)</f>
        <v>Perth - North East</v>
      </c>
    </row>
    <row r="25" spans="1:4" ht="20.100000000000001" customHeight="1" x14ac:dyDescent="0.25">
      <c r="A25"/>
      <c r="D25" s="38" t="str" cm="1">
        <f t="array" ref="D25">Common_InputFunctions.Utility_DisplayArrayInTable(Common_SourceData.Common_SourceData_WASA4Areas_Data(), Table_WASA4Areas[[#Headers],[SA 4 Name]], 0)</f>
        <v>Perth - North West</v>
      </c>
    </row>
    <row r="26" spans="1:4" ht="20.100000000000001" customHeight="1" x14ac:dyDescent="0.25">
      <c r="A26"/>
      <c r="D26" s="38" t="str" cm="1">
        <f t="array" ref="D26">Common_InputFunctions.Utility_DisplayArrayInTable(Common_SourceData.Common_SourceData_WASA4Areas_Data(), Table_WASA4Areas[[#Headers],[SA 4 Name]], 0)</f>
        <v>Perth - South East</v>
      </c>
    </row>
    <row r="27" spans="1:4" ht="20.100000000000001" customHeight="1" x14ac:dyDescent="0.25">
      <c r="A27"/>
      <c r="D27" s="38" t="str" cm="1">
        <f t="array" ref="D27">Common_InputFunctions.Utility_DisplayArrayInTable(Common_SourceData.Common_SourceData_WASA4Areas_Data(), Table_WASA4Areas[[#Headers],[SA 4 Name]], 0)</f>
        <v>Perth - South West</v>
      </c>
    </row>
    <row r="28" spans="1:4" ht="20.100000000000001" customHeight="1" x14ac:dyDescent="0.25">
      <c r="A28"/>
      <c r="D28" s="3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8" t="s">
        <v>23</v>
      </c>
      <c r="E36" s="38" t="s">
        <v>24</v>
      </c>
    </row>
    <row r="37" spans="1:8" ht="20.100000000000001" customHeight="1" x14ac:dyDescent="0.25">
      <c r="A37"/>
      <c r="D37" s="38" t="str" cm="1">
        <f t="array" ref="D37">Common_InputFunctions.Utility_DisplayArrayInTable(Common_SourceData.Common_SourceData_GWP_Data(), Table_GWPData[[#Headers],[Gas]], 0)</f>
        <v>CO2</v>
      </c>
      <c r="E37" s="38" cm="1">
        <f t="array" ref="E37">Common_InputFunctions.Utility_DisplayArrayInTable(Common_SourceData.Common_SourceData_GWP_Data(), Table_GWPData[[#Headers],[Gas]], 0)</f>
        <v>1</v>
      </c>
    </row>
    <row r="38" spans="1:8" ht="20.100000000000001" customHeight="1" x14ac:dyDescent="0.25">
      <c r="A38"/>
      <c r="D38" s="38" t="str" cm="1">
        <f t="array" ref="D38">Common_InputFunctions.Utility_DisplayArrayInTable(Common_SourceData.Common_SourceData_GWP_Data(), Table_GWPData[[#Headers],[Gas]], 0)</f>
        <v>CH4</v>
      </c>
      <c r="E38" s="38" cm="1">
        <f t="array" ref="E38">Common_InputFunctions.Utility_DisplayArrayInTable(Common_SourceData.Common_SourceData_GWP_Data(), Table_GWPData[[#Headers],[Gas]], 0)</f>
        <v>28</v>
      </c>
    </row>
    <row r="39" spans="1:8" ht="20.100000000000001" customHeight="1" x14ac:dyDescent="0.25">
      <c r="A39"/>
      <c r="D39" s="38" t="str" cm="1">
        <f t="array" ref="D39">Common_InputFunctions.Utility_DisplayArrayInTable(Common_SourceData.Common_SourceData_GWP_Data(), Table_GWPData[[#Headers],[Gas]], 0)</f>
        <v>N2O</v>
      </c>
      <c r="E39" s="38" cm="1">
        <f t="array" ref="E39">Common_InputFunctions.Utility_DisplayArrayInTable(Common_SourceData.Common_SourceData_GWP_Data(), Table_GWPData[[#Headers],[Gas]], 0)</f>
        <v>265</v>
      </c>
    </row>
    <row r="40" spans="1:8" ht="20.100000000000001" customHeight="1" x14ac:dyDescent="0.25">
      <c r="A40"/>
      <c r="D40" s="38" t="str" cm="1">
        <f t="array" ref="D40">Common_InputFunctions.Utility_DisplayArrayInTable(Common_SourceData.Common_SourceData_GWP_Data(), Table_GWPData[[#Headers],[Gas]], 0)</f>
        <v>CF4</v>
      </c>
      <c r="E40" s="38" cm="1">
        <f t="array" ref="E40">Common_InputFunctions.Utility_DisplayArrayInTable(Common_SourceData.Common_SourceData_GWP_Data(), Table_GWPData[[#Headers],[Gas]], 0)</f>
        <v>6630</v>
      </c>
    </row>
    <row r="41" spans="1:8" ht="20.100000000000001" customHeight="1" x14ac:dyDescent="0.25">
      <c r="A41"/>
      <c r="D41" s="38" t="str" cm="1">
        <f t="array" ref="D41">Common_InputFunctions.Utility_DisplayArrayInTable(Common_SourceData.Common_SourceData_GWP_Data(), Table_GWPData[[#Headers],[Gas]], 0)</f>
        <v>C2F6</v>
      </c>
      <c r="E41" s="38" cm="1">
        <f t="array" ref="E41">Common_InputFunctions.Utility_DisplayArrayInTable(Common_SourceData.Common_SourceData_GWP_Data(), Table_GWPData[[#Headers],[Gas]], 0)</f>
        <v>12200</v>
      </c>
    </row>
    <row r="42" spans="1:8" ht="20.100000000000001" customHeight="1" x14ac:dyDescent="0.25">
      <c r="A42"/>
      <c r="D42" s="38" t="str" cm="1">
        <f t="array" ref="D42">Common_InputFunctions.Utility_DisplayArrayInTable(Common_SourceData.Common_SourceData_GWP_Data(), Table_GWPData[[#Headers],[Gas]], 0)</f>
        <v>SF6</v>
      </c>
      <c r="E42" s="38" cm="1">
        <f t="array" ref="E42">Common_InputFunctions.Utility_DisplayArrayInTable(Common_SourceData.Common_SourceData_GWP_Data(), Table_GWPData[[#Headers],[Gas]], 0)</f>
        <v>22800</v>
      </c>
    </row>
    <row r="43" spans="1:8" ht="20.100000000000001" customHeight="1" x14ac:dyDescent="0.25">
      <c r="A43"/>
      <c r="D43" s="38" t="str" cm="1">
        <f t="array" ref="D43">Common_InputFunctions.Utility_DisplayArrayInTable(Common_SourceData.Common_SourceData_GWP_Data(), Table_GWPData[[#Headers],[Gas]], 0)</f>
        <v>NF3</v>
      </c>
      <c r="E43" s="38"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8" t="s">
        <v>23</v>
      </c>
      <c r="E47" s="38" t="s">
        <v>26</v>
      </c>
      <c r="F47" s="38" t="s">
        <v>27</v>
      </c>
      <c r="G47" s="38" t="s">
        <v>28</v>
      </c>
      <c r="H47" s="38" t="s">
        <v>29</v>
      </c>
    </row>
    <row r="48" spans="1:8" ht="20.100000000000001" customHeight="1" x14ac:dyDescent="0.25">
      <c r="A48"/>
      <c r="D48" s="38" t="str" cm="1">
        <f t="array" ref="D48">Common_InputFunctions.Utility_DisplayArrayInTable(Common_SourceData.Common_SourceData_ConvertGasElementalToMolecular_Data(),Table_GasToMolecularConversionFactor[[#Headers],[Gas]], 0)</f>
        <v>CO2</v>
      </c>
      <c r="E48" s="38" t="str" cm="1">
        <f t="array" ref="E48">Common_InputFunctions.Utility_DisplayArrayInTable(Common_SourceData.Common_SourceData_ConvertGasElementalToMolecular_Data(),Table_GasToMolecularConversionFactor[[#Headers],[Gas]], 0)</f>
        <v>44/12</v>
      </c>
      <c r="F48" s="38" cm="1">
        <f t="array" ref="F48">Common_InputFunctions.Utility_DisplayArrayInTable(Common_SourceData.Common_SourceData_ConvertGasElementalToMolecular_Data(),Table_GasToMolecularConversionFactor[[#Headers],[Gas]], 0)</f>
        <v>44</v>
      </c>
      <c r="G48" s="38" cm="1">
        <f t="array" ref="G48">Common_InputFunctions.Utility_DisplayArrayInTable(Common_SourceData.Common_SourceData_ConvertGasElementalToMolecular_Data(),Table_GasToMolecularConversionFactor[[#Headers],[Gas]], 0)</f>
        <v>12</v>
      </c>
      <c r="H48" s="38">
        <f>Table_GasToMolecularConversionFactor[[#This Row],[Conversion factor 1]]/Table_GasToMolecularConversionFactor[[#This Row],[Conversion factor 2]]</f>
        <v>3.6666666666666665</v>
      </c>
    </row>
    <row r="49" spans="1:8" ht="20.100000000000001" customHeight="1" x14ac:dyDescent="0.25">
      <c r="A49"/>
      <c r="D49" s="38" t="str" cm="1">
        <f t="array" ref="D49">Common_InputFunctions.Utility_DisplayArrayInTable(Common_SourceData.Common_SourceData_ConvertGasElementalToMolecular_Data(),Table_GasToMolecularConversionFactor[[#Headers],[Gas]], 0)</f>
        <v>CH4</v>
      </c>
      <c r="E49" s="38" t="str" cm="1">
        <f t="array" ref="E49">Common_InputFunctions.Utility_DisplayArrayInTable(Common_SourceData.Common_SourceData_ConvertGasElementalToMolecular_Data(),Table_GasToMolecularConversionFactor[[#Headers],[Gas]], 0)</f>
        <v>16/12</v>
      </c>
      <c r="F49" s="38" cm="1">
        <f t="array" ref="F49">Common_InputFunctions.Utility_DisplayArrayInTable(Common_SourceData.Common_SourceData_ConvertGasElementalToMolecular_Data(),Table_GasToMolecularConversionFactor[[#Headers],[Gas]], 0)</f>
        <v>16</v>
      </c>
      <c r="G49" s="38" cm="1">
        <f t="array" ref="G49">Common_InputFunctions.Utility_DisplayArrayInTable(Common_SourceData.Common_SourceData_ConvertGasElementalToMolecular_Data(),Table_GasToMolecularConversionFactor[[#Headers],[Gas]], 0)</f>
        <v>12</v>
      </c>
      <c r="H49" s="38">
        <f>Table_GasToMolecularConversionFactor[[#This Row],[Conversion factor 1]]/Table_GasToMolecularConversionFactor[[#This Row],[Conversion factor 2]]</f>
        <v>1.3333333333333333</v>
      </c>
    </row>
    <row r="50" spans="1:8" ht="20.100000000000001" customHeight="1" x14ac:dyDescent="0.25">
      <c r="A50"/>
      <c r="D50" s="38" t="str" cm="1">
        <f t="array" ref="D50">Common_InputFunctions.Utility_DisplayArrayInTable(Common_SourceData.Common_SourceData_ConvertGasElementalToMolecular_Data(),Table_GasToMolecularConversionFactor[[#Headers],[Gas]], 0)</f>
        <v>N2O</v>
      </c>
      <c r="E50" s="38" t="str" cm="1">
        <f t="array" ref="E50">Common_InputFunctions.Utility_DisplayArrayInTable(Common_SourceData.Common_SourceData_ConvertGasElementalToMolecular_Data(),Table_GasToMolecularConversionFactor[[#Headers],[Gas]], 0)</f>
        <v>44/28</v>
      </c>
      <c r="F50" s="38" cm="1">
        <f t="array" ref="F50">Common_InputFunctions.Utility_DisplayArrayInTable(Common_SourceData.Common_SourceData_ConvertGasElementalToMolecular_Data(),Table_GasToMolecularConversionFactor[[#Headers],[Gas]], 0)</f>
        <v>44</v>
      </c>
      <c r="G50" s="38" cm="1">
        <f t="array" ref="G50">Common_InputFunctions.Utility_DisplayArrayInTable(Common_SourceData.Common_SourceData_ConvertGasElementalToMolecular_Data(),Table_GasToMolecularConversionFactor[[#Headers],[Gas]], 0)</f>
        <v>28</v>
      </c>
      <c r="H50" s="38">
        <f>Table_GasToMolecularConversionFactor[[#This Row],[Conversion factor 1]]/Table_GasToMolecularConversionFactor[[#This Row],[Conversion factor 2]]</f>
        <v>1.5714285714285714</v>
      </c>
    </row>
    <row r="51" spans="1:8" ht="20.100000000000001" customHeight="1" x14ac:dyDescent="0.25">
      <c r="A51"/>
      <c r="D51" s="38" t="str" cm="1">
        <f t="array" ref="D51">Common_InputFunctions.Utility_DisplayArrayInTable(Common_SourceData.Common_SourceData_ConvertGasElementalToMolecular_Data(),Table_GasToMolecularConversionFactor[[#Headers],[Gas]], 0)</f>
        <v>Nox</v>
      </c>
      <c r="E51" s="38" t="str" cm="1">
        <f t="array" ref="E51">Common_InputFunctions.Utility_DisplayArrayInTable(Common_SourceData.Common_SourceData_ConvertGasElementalToMolecular_Data(),Table_GasToMolecularConversionFactor[[#Headers],[Gas]], 0)</f>
        <v>46/14</v>
      </c>
      <c r="F51" s="38" cm="1">
        <f t="array" ref="F51">Common_InputFunctions.Utility_DisplayArrayInTable(Common_SourceData.Common_SourceData_ConvertGasElementalToMolecular_Data(),Table_GasToMolecularConversionFactor[[#Headers],[Gas]], 0)</f>
        <v>46</v>
      </c>
      <c r="G51" s="38" cm="1">
        <f t="array" ref="G51">Common_InputFunctions.Utility_DisplayArrayInTable(Common_SourceData.Common_SourceData_ConvertGasElementalToMolecular_Data(),Table_GasToMolecularConversionFactor[[#Headers],[Gas]], 0)</f>
        <v>14</v>
      </c>
      <c r="H51" s="38">
        <f>Table_GasToMolecularConversionFactor[[#This Row],[Conversion factor 1]]/Table_GasToMolecularConversionFactor[[#This Row],[Conversion factor 2]]</f>
        <v>3.2857142857142856</v>
      </c>
    </row>
    <row r="52" spans="1:8" ht="20.100000000000001" customHeight="1" x14ac:dyDescent="0.25">
      <c r="A52"/>
      <c r="D52" s="38" t="str" cm="1">
        <f t="array" ref="D52">Common_InputFunctions.Utility_DisplayArrayInTable(Common_SourceData.Common_SourceData_ConvertGasElementalToMolecular_Data(),Table_GasToMolecularConversionFactor[[#Headers],[Gas]], 0)</f>
        <v>CO</v>
      </c>
      <c r="E52" s="38" t="str" cm="1">
        <f t="array" ref="E52">Common_InputFunctions.Utility_DisplayArrayInTable(Common_SourceData.Common_SourceData_ConvertGasElementalToMolecular_Data(),Table_GasToMolecularConversionFactor[[#Headers],[Gas]], 0)</f>
        <v>28/12</v>
      </c>
      <c r="F52" s="38" cm="1">
        <f t="array" ref="F52">Common_InputFunctions.Utility_DisplayArrayInTable(Common_SourceData.Common_SourceData_ConvertGasElementalToMolecular_Data(),Table_GasToMolecularConversionFactor[[#Headers],[Gas]], 0)</f>
        <v>28</v>
      </c>
      <c r="G52" s="38" cm="1">
        <f t="array" ref="G52">Common_InputFunctions.Utility_DisplayArrayInTable(Common_SourceData.Common_SourceData_ConvertGasElementalToMolecular_Data(),Table_GasToMolecularConversionFactor[[#Headers],[Gas]], 0)</f>
        <v>12</v>
      </c>
      <c r="H52" s="38">
        <f>Table_GasToMolecularConversionFactor[[#This Row],[Conversion factor 1]]/Table_GasToMolecularConversionFactor[[#This Row],[Conversion factor 2]]</f>
        <v>2.3333333333333335</v>
      </c>
    </row>
    <row r="53" spans="1:8" ht="20.100000000000001" customHeight="1" x14ac:dyDescent="0.25">
      <c r="A53"/>
      <c r="D53" s="38" t="str" cm="1">
        <f t="array" ref="D53">Common_InputFunctions.Utility_DisplayArrayInTable(Common_SourceData.Common_SourceData_ConvertGasElementalToMolecular_Data(),Table_GasToMolecularConversionFactor[[#Headers],[Gas]], 0)</f>
        <v>CO2 Lime</v>
      </c>
      <c r="E53" s="38" t="str" cm="1">
        <f t="array" ref="E53">Common_InputFunctions.Utility_DisplayArrayInTable(Common_SourceData.Common_SourceData_ConvertGasElementalToMolecular_Data(),Table_GasToMolecularConversionFactor[[#Headers],[Gas]], 0)</f>
        <v>44/12</v>
      </c>
      <c r="F53" s="38" cm="1">
        <f t="array" ref="F53">Common_InputFunctions.Utility_DisplayArrayInTable(Common_SourceData.Common_SourceData_ConvertGasElementalToMolecular_Data(),Table_GasToMolecularConversionFactor[[#Headers],[Gas]], 0)</f>
        <v>44</v>
      </c>
      <c r="G53" s="38" cm="1">
        <f t="array" ref="G53">Common_InputFunctions.Utility_DisplayArrayInTable(Common_SourceData.Common_SourceData_ConvertGasElementalToMolecular_Data(),Table_GasToMolecularConversionFactor[[#Headers],[Gas]], 0)</f>
        <v>12</v>
      </c>
      <c r="H53" s="38">
        <f>Table_GasToMolecularConversionFactor[[#This Row],[Conversion factor 1]]/Table_GasToMolecularConversionFactor[[#This Row],[Conversion factor 2]]</f>
        <v>3.6666666666666665</v>
      </c>
    </row>
    <row r="54" spans="1:8" ht="20.100000000000001" customHeight="1" x14ac:dyDescent="0.25">
      <c r="A54"/>
      <c r="D54" s="38" t="str" cm="1">
        <f t="array" ref="D54">Common_InputFunctions.Utility_DisplayArrayInTable(Common_SourceData.Common_SourceData_ConvertGasElementalToMolecular_Data(),Table_GasToMolecularConversionFactor[[#Headers],[Gas]], 0)</f>
        <v>NMVOC</v>
      </c>
      <c r="E54" s="38" t="str" cm="1">
        <f t="array" ref="E54">Common_InputFunctions.Utility_DisplayArrayInTable(Common_SourceData.Common_SourceData_ConvertGasElementalToMolecular_Data(),Table_GasToMolecularConversionFactor[[#Headers],[Gas]], 0)</f>
        <v>14/12</v>
      </c>
      <c r="F54" s="38" cm="1">
        <f t="array" ref="F54">Common_InputFunctions.Utility_DisplayArrayInTable(Common_SourceData.Common_SourceData_ConvertGasElementalToMolecular_Data(),Table_GasToMolecularConversionFactor[[#Headers],[Gas]], 0)</f>
        <v>14</v>
      </c>
      <c r="G54" s="38" cm="1">
        <f t="array" ref="G54">Common_InputFunctions.Utility_DisplayArrayInTable(Common_SourceData.Common_SourceData_ConvertGasElementalToMolecular_Data(),Table_GasToMolecularConversionFactor[[#Headers],[Gas]], 0)</f>
        <v>12</v>
      </c>
      <c r="H54" s="38">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4" t="str" cm="1">
        <f t="array" ref="D59:D61">"⚠️" &amp; Common_SourceData.Common_SourceData_WetAndDryZones_Variation()</f>
        <v>⚠️VARIATION OF SOURCE DATA:</v>
      </c>
    </row>
    <row r="60" spans="1:8" ht="20.100000000000001" customHeight="1" x14ac:dyDescent="0.25">
      <c r="A60"/>
      <c r="D60" s="54" t="str">
        <v>⚠️Added warm / cool temperate moist / dry - low frost and high temp classes to accommodate climate scenarios excluded by VEERG criteria.</v>
      </c>
    </row>
    <row r="61" spans="1:8" ht="20.100000000000001" customHeight="1" x14ac:dyDescent="0.25">
      <c r="A61"/>
      <c r="D61" s="54" t="str">
        <v>⚠️Fixed typo - Changed 'Fry' to 'Dry'.</v>
      </c>
    </row>
    <row r="62" spans="1:8" ht="20.100000000000001" customHeight="1" x14ac:dyDescent="0.25">
      <c r="A62"/>
    </row>
    <row r="63" spans="1:8" ht="20.100000000000001" customHeight="1" x14ac:dyDescent="0.25">
      <c r="A63"/>
      <c r="D63" s="38" t="s">
        <v>7</v>
      </c>
      <c r="E63" s="38" t="s">
        <v>44</v>
      </c>
    </row>
    <row r="64" spans="1:8" ht="20.100000000000001" customHeight="1" x14ac:dyDescent="0.25">
      <c r="A64"/>
      <c r="D64" s="38" t="str" cm="1">
        <f t="array" ref="D64">Common_InputFunctions.Utility_DisplayArrayInTable(Common_SourceData.Common_SourceData_WetAndDryZones_Data(), Table_SourceData_WetDryZones[[#Headers],[Climate zone]], 0)</f>
        <v>Tropical montane</v>
      </c>
      <c r="E64" s="38"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8" t="str" cm="1">
        <f t="array" ref="D65">Common_InputFunctions.Utility_DisplayArrayInTable(Common_SourceData.Common_SourceData_WetAndDryZones_Data(), Table_SourceData_WetDryZones[[#Headers],[Climate zone]], 0)</f>
        <v>Tropical wet</v>
      </c>
      <c r="E65" s="38"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8" t="str" cm="1">
        <f t="array" ref="D66">Common_InputFunctions.Utility_DisplayArrayInTable(Common_SourceData.Common_SourceData_WetAndDryZones_Data(), Table_SourceData_WetDryZones[[#Headers],[Climate zone]], 0)</f>
        <v>Tropical moist</v>
      </c>
      <c r="E66" s="38"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8" t="str" cm="1">
        <f t="array" ref="D67">Common_InputFunctions.Utility_DisplayArrayInTable(Common_SourceData.Common_SourceData_WetAndDryZones_Data(), Table_SourceData_WetDryZones[[#Headers],[Climate zone]], 0)</f>
        <v>Tropical dry</v>
      </c>
      <c r="E67" s="38"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8" t="str" cm="1">
        <f t="array" ref="D68">Common_InputFunctions.Utility_DisplayArrayInTable(Common_SourceData.Common_SourceData_WetAndDryZones_Data(), Table_SourceData_WetDryZones[[#Headers],[Climate zone]], 0)</f>
        <v>Warm temperate moist</v>
      </c>
      <c r="E68" s="38"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8" t="str" cm="1">
        <f t="array" ref="D69">Common_InputFunctions.Utility_DisplayArrayInTable(Common_SourceData.Common_SourceData_WetAndDryZones_Data(), Table_SourceData_WetDryZones[[#Headers],[Climate zone]], 0)</f>
        <v>Warm temperate dry</v>
      </c>
      <c r="E69" s="38"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8" t="str" cm="1">
        <f t="array" ref="D70">Common_InputFunctions.Utility_DisplayArrayInTable(Common_SourceData.Common_SourceData_WetAndDryZones_Data(), Table_SourceData_WetDryZones[[#Headers],[Climate zone]], 0)</f>
        <v>Cool temperate moist</v>
      </c>
      <c r="E70" s="38"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8" t="str" cm="1">
        <f t="array" ref="D71">Common_InputFunctions.Utility_DisplayArrayInTable(Common_SourceData.Common_SourceData_WetAndDryZones_Data(), Table_SourceData_WetDryZones[[#Headers],[Climate zone]], 0)</f>
        <v>Cool temperate dry</v>
      </c>
      <c r="E71" s="38"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8" t="str" cm="1">
        <f t="array" ref="D72">Common_InputFunctions.Utility_DisplayArrayInTable(Common_SourceData.Common_SourceData_WetAndDryZones_Data(), Table_SourceData_WetDryZones[[#Headers],[Climate zone]], 0)</f>
        <v>Warm temperate moist - low frost</v>
      </c>
      <c r="E72" s="38"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8" t="str" cm="1">
        <f t="array" ref="D73">Common_InputFunctions.Utility_DisplayArrayInTable(Common_SourceData.Common_SourceData_WetAndDryZones_Data(), Table_SourceData_WetDryZones[[#Headers],[Climate zone]], 0)</f>
        <v>Warm temperate dry - low frost</v>
      </c>
      <c r="E73" s="38"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8" t="str" cm="1">
        <f t="array" ref="D74">Common_InputFunctions.Utility_DisplayArrayInTable(Common_SourceData.Common_SourceData_WetAndDryZones_Data(), Table_SourceData_WetDryZones[[#Headers],[Climate zone]], 0)</f>
        <v>Warm temperate moist - high temp</v>
      </c>
      <c r="E74" s="38"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8" t="str" cm="1">
        <f t="array" ref="D75">Common_InputFunctions.Utility_DisplayArrayInTable(Common_SourceData.Common_SourceData_WetAndDryZones_Data(), Table_SourceData_WetDryZones[[#Headers],[Climate zone]], 0)</f>
        <v>Warm temperate dry - high temp</v>
      </c>
      <c r="E75" s="38"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8" t="str" cm="1">
        <f t="array" ref="D76">Common_InputFunctions.Utility_DisplayArrayInTable(Common_SourceData.Common_SourceData_WetAndDryZones_Data(), Table_SourceData_WetDryZones[[#Headers],[Climate zone]], 0)</f>
        <v>Cool temperate moist - low frost</v>
      </c>
      <c r="E76" s="38"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8" t="str" cm="1">
        <f t="array" ref="D77">Common_InputFunctions.Utility_DisplayArrayInTable(Common_SourceData.Common_SourceData_WetAndDryZones_Data(), Table_SourceData_WetDryZones[[#Headers],[Climate zone]], 0)</f>
        <v>Cool temperate dry - low frost</v>
      </c>
      <c r="E77" s="38"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4" t="str" cm="1">
        <f t="array" ref="D83:D87">"⚠️" &amp; Common_SourceData.Common_SourceData_ClimateZones_Variation()</f>
        <v>⚠️VARIATION OF SOURCE DATA:</v>
      </c>
    </row>
    <row r="84" spans="1:20" ht="20.100000000000001" customHeight="1" x14ac:dyDescent="0.25">
      <c r="A84"/>
      <c r="D84" s="54" t="str">
        <v>⚠️Added warm / cool temperate moist / dry - low frost and high temp classes to accommodate climate scenarios excluded by VEERG criteria.</v>
      </c>
    </row>
    <row r="85" spans="1:20" ht="20.100000000000001" customHeight="1" x14ac:dyDescent="0.25">
      <c r="A85"/>
      <c r="D85" s="54" t="str">
        <v>⚠️Fixed typo in MAT value for warm temperate dry - changed 10 to 11.</v>
      </c>
    </row>
    <row r="86" spans="1:20" ht="20.100000000000001" customHeight="1" x14ac:dyDescent="0.25">
      <c r="A86"/>
      <c r="D86" s="54" t="str">
        <v>⚠️Added min and max columns for MAT, MAP, frost days per year, elevation, MAP:PET to calculate zones from real climate data.</v>
      </c>
    </row>
    <row r="87" spans="1:20" ht="20.100000000000001" customHeight="1" x14ac:dyDescent="0.25">
      <c r="A87"/>
      <c r="D87" s="54" t="str">
        <v>⚠️GAF accepts rainfall as a proxy for precipitation.</v>
      </c>
    </row>
    <row r="88" spans="1:20" ht="20.100000000000001" customHeight="1" x14ac:dyDescent="0.25">
      <c r="A88"/>
    </row>
    <row r="89" spans="1:20" ht="20.100000000000001" customHeight="1" x14ac:dyDescent="0.25">
      <c r="A89"/>
      <c r="D89" s="38" t="s">
        <v>7</v>
      </c>
      <c r="E89" s="38" t="s">
        <v>32</v>
      </c>
      <c r="F89" s="38" t="s">
        <v>33</v>
      </c>
      <c r="G89" s="38" t="s">
        <v>34</v>
      </c>
      <c r="H89" s="38" t="s">
        <v>35</v>
      </c>
      <c r="I89" s="38" t="s">
        <v>36</v>
      </c>
      <c r="J89" s="38" t="s">
        <v>37</v>
      </c>
      <c r="K89" s="38" t="s">
        <v>38</v>
      </c>
      <c r="L89" s="38" t="s">
        <v>39</v>
      </c>
      <c r="M89" s="38" t="s">
        <v>40</v>
      </c>
      <c r="N89" s="38" t="s">
        <v>41</v>
      </c>
      <c r="O89" s="38" t="s">
        <v>45</v>
      </c>
      <c r="P89" s="38" t="s">
        <v>42</v>
      </c>
      <c r="Q89" s="38" t="s">
        <v>46</v>
      </c>
      <c r="R89" s="38" t="s">
        <v>43</v>
      </c>
      <c r="S89" s="38" t="s">
        <v>47</v>
      </c>
      <c r="T89" s="38"/>
    </row>
    <row r="90" spans="1:20" ht="20.100000000000001" customHeight="1" x14ac:dyDescent="0.25">
      <c r="A90"/>
      <c r="D90" s="38" t="str" cm="1">
        <f t="array" ref="D90">Common_InputFunctions.Utility_DisplayArrayInTable(Common_SourceData.Common_SourceData_ClimateZones_Data(), Table_SourceData_ClimateZones[[#Headers],[Climate zone]], 0)</f>
        <v>Tropical montane</v>
      </c>
      <c r="E90" s="38" t="str" cm="1">
        <f t="array" ref="E90">Common_InputFunctions.Utility_DisplayArrayInTable(Common_SourceData.Common_SourceData_ClimateZones_Data(), Table_SourceData_ClimateZones[[#Headers],[Climate zone]], 0)</f>
        <v>&gt; 18 C</v>
      </c>
      <c r="F90" s="38" t="str" cm="1">
        <f t="array" ref="F90">Common_InputFunctions.Utility_DisplayArrayInTable(Common_SourceData.Common_SourceData_ClimateZones_Data(), Table_SourceData_ClimateZones[[#Headers],[Climate zone]], 0)</f>
        <v>Any</v>
      </c>
      <c r="G90" s="38" t="str" cm="1">
        <f t="array" ref="G90">Common_InputFunctions.Utility_DisplayArrayInTable(Common_SourceData.Common_SourceData_ClimateZones_Data(), Table_SourceData_ClimateZones[[#Headers],[Climate zone]], 0)</f>
        <v>≤ 7</v>
      </c>
      <c r="H90" s="38" t="str" cm="1">
        <f t="array" ref="H90">Common_InputFunctions.Utility_DisplayArrayInTable(Common_SourceData.Common_SourceData_ClimateZones_Data(), Table_SourceData_ClimateZones[[#Headers],[Climate zone]], 0)</f>
        <v>&gt; 1000 m</v>
      </c>
      <c r="I90" s="38" t="str" cm="1">
        <f t="array" ref="I90">Common_InputFunctions.Utility_DisplayArrayInTable(Common_SourceData.Common_SourceData_ClimateZones_Data(), Table_SourceData_ClimateZones[[#Headers],[Climate zone]], 0)</f>
        <v>Any</v>
      </c>
      <c r="J90" s="38" cm="1">
        <f t="array" ref="J90">Common_InputFunctions.Utility_DisplayArrayInTable(Common_SourceData.Common_SourceData_ClimateZones_Data(), Table_SourceData_ClimateZones[[#Headers],[Climate zone]], 0)</f>
        <v>18.001000000000001</v>
      </c>
      <c r="K90" s="38" cm="1">
        <f t="array" ref="K90">Common_InputFunctions.Utility_DisplayArrayInTable(Common_SourceData.Common_SourceData_ClimateZones_Data(), Table_SourceData_ClimateZones[[#Headers],[Climate zone]], 0)</f>
        <v>999999</v>
      </c>
      <c r="L90" s="38" cm="1">
        <f t="array" ref="L90">Common_InputFunctions.Utility_DisplayArrayInTable(Common_SourceData.Common_SourceData_ClimateZones_Data(), Table_SourceData_ClimateZones[[#Headers],[Climate zone]], 0)</f>
        <v>-999999</v>
      </c>
      <c r="M90" s="38" cm="1">
        <f t="array" ref="M90">Common_InputFunctions.Utility_DisplayArrayInTable(Common_SourceData.Common_SourceData_ClimateZones_Data(), Table_SourceData_ClimateZones[[#Headers],[Climate zone]], 0)</f>
        <v>999999</v>
      </c>
      <c r="N90" s="38" cm="1">
        <f t="array" ref="N90">Common_InputFunctions.Utility_DisplayArrayInTable(Common_SourceData.Common_SourceData_ClimateZones_Data(), Table_SourceData_ClimateZones[[#Headers],[Climate zone]], 0)</f>
        <v>-999999</v>
      </c>
      <c r="O90" s="38" cm="1">
        <f t="array" ref="O90">Common_InputFunctions.Utility_DisplayArrayInTable(Common_SourceData.Common_SourceData_ClimateZones_Data(), Table_SourceData_ClimateZones[[#Headers],[Climate zone]], 0)</f>
        <v>7</v>
      </c>
      <c r="P90" s="38" cm="1">
        <f t="array" ref="P90">Common_InputFunctions.Utility_DisplayArrayInTable(Common_SourceData.Common_SourceData_ClimateZones_Data(), Table_SourceData_ClimateZones[[#Headers],[Climate zone]], 0)</f>
        <v>1000</v>
      </c>
      <c r="Q90" s="38" cm="1">
        <f t="array" ref="Q90">Common_InputFunctions.Utility_DisplayArrayInTable(Common_SourceData.Common_SourceData_ClimateZones_Data(), Table_SourceData_ClimateZones[[#Headers],[Climate zone]], 0)</f>
        <v>999999</v>
      </c>
      <c r="R90" s="38" cm="1">
        <f t="array" ref="R90">Common_InputFunctions.Utility_DisplayArrayInTable(Common_SourceData.Common_SourceData_ClimateZones_Data(), Table_SourceData_ClimateZones[[#Headers],[Climate zone]], 0)</f>
        <v>-999999</v>
      </c>
      <c r="S90" s="38" cm="1">
        <f t="array" ref="S90">Common_InputFunctions.Utility_DisplayArrayInTable(Common_SourceData.Common_SourceData_ClimateZones_Data(), Table_SourceData_ClimateZones[[#Headers],[Climate zone]], 0)</f>
        <v>999999</v>
      </c>
      <c r="T90" s="38"/>
    </row>
    <row r="91" spans="1:20" ht="20.100000000000001" customHeight="1" x14ac:dyDescent="0.25">
      <c r="A91"/>
      <c r="D91" s="38" t="str" cm="1">
        <f t="array" ref="D91">Common_InputFunctions.Utility_DisplayArrayInTable(Common_SourceData.Common_SourceData_ClimateZones_Data(), Table_SourceData_ClimateZones[[#Headers],[Climate zone]], 0)</f>
        <v>Tropical wet</v>
      </c>
      <c r="E91" s="38" t="str" cm="1">
        <f t="array" ref="E91">Common_InputFunctions.Utility_DisplayArrayInTable(Common_SourceData.Common_SourceData_ClimateZones_Data(), Table_SourceData_ClimateZones[[#Headers],[Climate zone]], 0)</f>
        <v>&gt; 18 C</v>
      </c>
      <c r="F91" s="38" t="str" cm="1">
        <f t="array" ref="F91">Common_InputFunctions.Utility_DisplayArrayInTable(Common_SourceData.Common_SourceData_ClimateZones_Data(), Table_SourceData_ClimateZones[[#Headers],[Climate zone]], 0)</f>
        <v>&gt; 2000 mm</v>
      </c>
      <c r="G91" s="38" t="str" cm="1">
        <f t="array" ref="G91">Common_InputFunctions.Utility_DisplayArrayInTable(Common_SourceData.Common_SourceData_ClimateZones_Data(), Table_SourceData_ClimateZones[[#Headers],[Climate zone]], 0)</f>
        <v>≤ 7</v>
      </c>
      <c r="H91" s="38" t="str" cm="1">
        <f t="array" ref="H91">Common_InputFunctions.Utility_DisplayArrayInTable(Common_SourceData.Common_SourceData_ClimateZones_Data(), Table_SourceData_ClimateZones[[#Headers],[Climate zone]], 0)</f>
        <v>≤ 1000 m</v>
      </c>
      <c r="I91" s="38" t="str" cm="1">
        <f t="array" ref="I91">Common_InputFunctions.Utility_DisplayArrayInTable(Common_SourceData.Common_SourceData_ClimateZones_Data(), Table_SourceData_ClimateZones[[#Headers],[Climate zone]], 0)</f>
        <v>Any</v>
      </c>
      <c r="J91" s="38" cm="1">
        <f t="array" ref="J91">Common_InputFunctions.Utility_DisplayArrayInTable(Common_SourceData.Common_SourceData_ClimateZones_Data(), Table_SourceData_ClimateZones[[#Headers],[Climate zone]], 0)</f>
        <v>18.001000000000001</v>
      </c>
      <c r="K91" s="38" cm="1">
        <f t="array" ref="K91">Common_InputFunctions.Utility_DisplayArrayInTable(Common_SourceData.Common_SourceData_ClimateZones_Data(), Table_SourceData_ClimateZones[[#Headers],[Climate zone]], 0)</f>
        <v>999999</v>
      </c>
      <c r="L91" s="38" cm="1">
        <f t="array" ref="L91">Common_InputFunctions.Utility_DisplayArrayInTable(Common_SourceData.Common_SourceData_ClimateZones_Data(), Table_SourceData_ClimateZones[[#Headers],[Climate zone]], 0)</f>
        <v>2000.001</v>
      </c>
      <c r="M91" s="38" cm="1">
        <f t="array" ref="M91">Common_InputFunctions.Utility_DisplayArrayInTable(Common_SourceData.Common_SourceData_ClimateZones_Data(), Table_SourceData_ClimateZones[[#Headers],[Climate zone]], 0)</f>
        <v>999999</v>
      </c>
      <c r="N91" s="38" cm="1">
        <f t="array" ref="N91">Common_InputFunctions.Utility_DisplayArrayInTable(Common_SourceData.Common_SourceData_ClimateZones_Data(), Table_SourceData_ClimateZones[[#Headers],[Climate zone]], 0)</f>
        <v>-999999</v>
      </c>
      <c r="O91" s="38" cm="1">
        <f t="array" ref="O91">Common_InputFunctions.Utility_DisplayArrayInTable(Common_SourceData.Common_SourceData_ClimateZones_Data(), Table_SourceData_ClimateZones[[#Headers],[Climate zone]], 0)</f>
        <v>7</v>
      </c>
      <c r="P91" s="38" cm="1">
        <f t="array" ref="P91">Common_InputFunctions.Utility_DisplayArrayInTable(Common_SourceData.Common_SourceData_ClimateZones_Data(), Table_SourceData_ClimateZones[[#Headers],[Climate zone]], 0)</f>
        <v>-999999</v>
      </c>
      <c r="Q91" s="38" cm="1">
        <f t="array" ref="Q91">Common_InputFunctions.Utility_DisplayArrayInTable(Common_SourceData.Common_SourceData_ClimateZones_Data(), Table_SourceData_ClimateZones[[#Headers],[Climate zone]], 0)</f>
        <v>999.99900000000002</v>
      </c>
      <c r="R91" s="38" cm="1">
        <f t="array" ref="R91">Common_InputFunctions.Utility_DisplayArrayInTable(Common_SourceData.Common_SourceData_ClimateZones_Data(), Table_SourceData_ClimateZones[[#Headers],[Climate zone]], 0)</f>
        <v>-999999</v>
      </c>
      <c r="S91" s="38" cm="1">
        <f t="array" ref="S91">Common_InputFunctions.Utility_DisplayArrayInTable(Common_SourceData.Common_SourceData_ClimateZones_Data(), Table_SourceData_ClimateZones[[#Headers],[Climate zone]], 0)</f>
        <v>999999</v>
      </c>
      <c r="T91" s="38"/>
    </row>
    <row r="92" spans="1:20" ht="20.100000000000001" customHeight="1" x14ac:dyDescent="0.25">
      <c r="A92"/>
      <c r="D92" s="38" t="str" cm="1">
        <f t="array" ref="D92">Common_InputFunctions.Utility_DisplayArrayInTable(Common_SourceData.Common_SourceData_ClimateZones_Data(), Table_SourceData_ClimateZones[[#Headers],[Climate zone]], 0)</f>
        <v>Tropical moist</v>
      </c>
      <c r="E92" s="38" t="str" cm="1">
        <f t="array" ref="E92">Common_InputFunctions.Utility_DisplayArrayInTable(Common_SourceData.Common_SourceData_ClimateZones_Data(), Table_SourceData_ClimateZones[[#Headers],[Climate zone]], 0)</f>
        <v>&gt; 18 C</v>
      </c>
      <c r="F92" s="38" t="str" cm="1">
        <f t="array" ref="F92">Common_InputFunctions.Utility_DisplayArrayInTable(Common_SourceData.Common_SourceData_ClimateZones_Data(), Table_SourceData_ClimateZones[[#Headers],[Climate zone]], 0)</f>
        <v>&gt; 1000 mm - ≤ 2000 mm</v>
      </c>
      <c r="G92" s="38" t="str" cm="1">
        <f t="array" ref="G92">Common_InputFunctions.Utility_DisplayArrayInTable(Common_SourceData.Common_SourceData_ClimateZones_Data(), Table_SourceData_ClimateZones[[#Headers],[Climate zone]], 0)</f>
        <v>≤ 7</v>
      </c>
      <c r="H92" s="38" t="str" cm="1">
        <f t="array" ref="H92">Common_InputFunctions.Utility_DisplayArrayInTable(Common_SourceData.Common_SourceData_ClimateZones_Data(), Table_SourceData_ClimateZones[[#Headers],[Climate zone]], 0)</f>
        <v>≤ 1000 m</v>
      </c>
      <c r="I92" s="38" t="str" cm="1">
        <f t="array" ref="I92">Common_InputFunctions.Utility_DisplayArrayInTable(Common_SourceData.Common_SourceData_ClimateZones_Data(), Table_SourceData_ClimateZones[[#Headers],[Climate zone]], 0)</f>
        <v>Any</v>
      </c>
      <c r="J92" s="38" cm="1">
        <f t="array" ref="J92">Common_InputFunctions.Utility_DisplayArrayInTable(Common_SourceData.Common_SourceData_ClimateZones_Data(), Table_SourceData_ClimateZones[[#Headers],[Climate zone]], 0)</f>
        <v>18.001000000000001</v>
      </c>
      <c r="K92" s="38" cm="1">
        <f t="array" ref="K92">Common_InputFunctions.Utility_DisplayArrayInTable(Common_SourceData.Common_SourceData_ClimateZones_Data(), Table_SourceData_ClimateZones[[#Headers],[Climate zone]], 0)</f>
        <v>999999</v>
      </c>
      <c r="L92" s="38" cm="1">
        <f t="array" ref="L92">Common_InputFunctions.Utility_DisplayArrayInTable(Common_SourceData.Common_SourceData_ClimateZones_Data(), Table_SourceData_ClimateZones[[#Headers],[Climate zone]], 0)</f>
        <v>1000.001</v>
      </c>
      <c r="M92" s="38" cm="1">
        <f t="array" ref="M92">Common_InputFunctions.Utility_DisplayArrayInTable(Common_SourceData.Common_SourceData_ClimateZones_Data(), Table_SourceData_ClimateZones[[#Headers],[Climate zone]], 0)</f>
        <v>2000</v>
      </c>
      <c r="N92" s="38" cm="1">
        <f t="array" ref="N92">Common_InputFunctions.Utility_DisplayArrayInTable(Common_SourceData.Common_SourceData_ClimateZones_Data(), Table_SourceData_ClimateZones[[#Headers],[Climate zone]], 0)</f>
        <v>-999999</v>
      </c>
      <c r="O92" s="38" cm="1">
        <f t="array" ref="O92">Common_InputFunctions.Utility_DisplayArrayInTable(Common_SourceData.Common_SourceData_ClimateZones_Data(), Table_SourceData_ClimateZones[[#Headers],[Climate zone]], 0)</f>
        <v>7</v>
      </c>
      <c r="P92" s="38" cm="1">
        <f t="array" ref="P92">Common_InputFunctions.Utility_DisplayArrayInTable(Common_SourceData.Common_SourceData_ClimateZones_Data(), Table_SourceData_ClimateZones[[#Headers],[Climate zone]], 0)</f>
        <v>-999999</v>
      </c>
      <c r="Q92" s="38" cm="1">
        <f t="array" ref="Q92">Common_InputFunctions.Utility_DisplayArrayInTable(Common_SourceData.Common_SourceData_ClimateZones_Data(), Table_SourceData_ClimateZones[[#Headers],[Climate zone]], 0)</f>
        <v>999.99900000000002</v>
      </c>
      <c r="R92" s="38" cm="1">
        <f t="array" ref="R92">Common_InputFunctions.Utility_DisplayArrayInTable(Common_SourceData.Common_SourceData_ClimateZones_Data(), Table_SourceData_ClimateZones[[#Headers],[Climate zone]], 0)</f>
        <v>-999999</v>
      </c>
      <c r="S92" s="38" cm="1">
        <f t="array" ref="S92">Common_InputFunctions.Utility_DisplayArrayInTable(Common_SourceData.Common_SourceData_ClimateZones_Data(), Table_SourceData_ClimateZones[[#Headers],[Climate zone]], 0)</f>
        <v>999999</v>
      </c>
      <c r="T92" s="38"/>
    </row>
    <row r="93" spans="1:20" ht="20.100000000000001" customHeight="1" x14ac:dyDescent="0.25">
      <c r="A93"/>
      <c r="D93" s="38" t="str" cm="1">
        <f t="array" ref="D93">Common_InputFunctions.Utility_DisplayArrayInTable(Common_SourceData.Common_SourceData_ClimateZones_Data(), Table_SourceData_ClimateZones[[#Headers],[Climate zone]], 0)</f>
        <v>Tropical dry</v>
      </c>
      <c r="E93" s="38" t="str" cm="1">
        <f t="array" ref="E93">Common_InputFunctions.Utility_DisplayArrayInTable(Common_SourceData.Common_SourceData_ClimateZones_Data(), Table_SourceData_ClimateZones[[#Headers],[Climate zone]], 0)</f>
        <v>&gt; 18 C</v>
      </c>
      <c r="F93" s="38" t="str" cm="1">
        <f t="array" ref="F93">Common_InputFunctions.Utility_DisplayArrayInTable(Common_SourceData.Common_SourceData_ClimateZones_Data(), Table_SourceData_ClimateZones[[#Headers],[Climate zone]], 0)</f>
        <v>≤ 1000 mm</v>
      </c>
      <c r="G93" s="38" t="str" cm="1">
        <f t="array" ref="G93">Common_InputFunctions.Utility_DisplayArrayInTable(Common_SourceData.Common_SourceData_ClimateZones_Data(), Table_SourceData_ClimateZones[[#Headers],[Climate zone]], 0)</f>
        <v>≤ 7</v>
      </c>
      <c r="H93" s="38" t="str" cm="1">
        <f t="array" ref="H93">Common_InputFunctions.Utility_DisplayArrayInTable(Common_SourceData.Common_SourceData_ClimateZones_Data(), Table_SourceData_ClimateZones[[#Headers],[Climate zone]], 0)</f>
        <v>≤ 1000 m</v>
      </c>
      <c r="I93" s="38" t="str" cm="1">
        <f t="array" ref="I93">Common_InputFunctions.Utility_DisplayArrayInTable(Common_SourceData.Common_SourceData_ClimateZones_Data(), Table_SourceData_ClimateZones[[#Headers],[Climate zone]], 0)</f>
        <v>Any</v>
      </c>
      <c r="J93" s="38" cm="1">
        <f t="array" ref="J93">Common_InputFunctions.Utility_DisplayArrayInTable(Common_SourceData.Common_SourceData_ClimateZones_Data(), Table_SourceData_ClimateZones[[#Headers],[Climate zone]], 0)</f>
        <v>18.001000000000001</v>
      </c>
      <c r="K93" s="38" cm="1">
        <f t="array" ref="K93">Common_InputFunctions.Utility_DisplayArrayInTable(Common_SourceData.Common_SourceData_ClimateZones_Data(), Table_SourceData_ClimateZones[[#Headers],[Climate zone]], 0)</f>
        <v>999999</v>
      </c>
      <c r="L93" s="38" cm="1">
        <f t="array" ref="L93">Common_InputFunctions.Utility_DisplayArrayInTable(Common_SourceData.Common_SourceData_ClimateZones_Data(), Table_SourceData_ClimateZones[[#Headers],[Climate zone]], 0)</f>
        <v>-999999</v>
      </c>
      <c r="M93" s="38" cm="1">
        <f t="array" ref="M93">Common_InputFunctions.Utility_DisplayArrayInTable(Common_SourceData.Common_SourceData_ClimateZones_Data(), Table_SourceData_ClimateZones[[#Headers],[Climate zone]], 0)</f>
        <v>1000</v>
      </c>
      <c r="N93" s="38" cm="1">
        <f t="array" ref="N93">Common_InputFunctions.Utility_DisplayArrayInTable(Common_SourceData.Common_SourceData_ClimateZones_Data(), Table_SourceData_ClimateZones[[#Headers],[Climate zone]], 0)</f>
        <v>-999999</v>
      </c>
      <c r="O93" s="38" cm="1">
        <f t="array" ref="O93">Common_InputFunctions.Utility_DisplayArrayInTable(Common_SourceData.Common_SourceData_ClimateZones_Data(), Table_SourceData_ClimateZones[[#Headers],[Climate zone]], 0)</f>
        <v>7</v>
      </c>
      <c r="P93" s="38" cm="1">
        <f t="array" ref="P93">Common_InputFunctions.Utility_DisplayArrayInTable(Common_SourceData.Common_SourceData_ClimateZones_Data(), Table_SourceData_ClimateZones[[#Headers],[Climate zone]], 0)</f>
        <v>-999999</v>
      </c>
      <c r="Q93" s="38" cm="1">
        <f t="array" ref="Q93">Common_InputFunctions.Utility_DisplayArrayInTable(Common_SourceData.Common_SourceData_ClimateZones_Data(), Table_SourceData_ClimateZones[[#Headers],[Climate zone]], 0)</f>
        <v>999.99900000000002</v>
      </c>
      <c r="R93" s="38" cm="1">
        <f t="array" ref="R93">Common_InputFunctions.Utility_DisplayArrayInTable(Common_SourceData.Common_SourceData_ClimateZones_Data(), Table_SourceData_ClimateZones[[#Headers],[Climate zone]], 0)</f>
        <v>-999999</v>
      </c>
      <c r="S93" s="38" cm="1">
        <f t="array" ref="S93">Common_InputFunctions.Utility_DisplayArrayInTable(Common_SourceData.Common_SourceData_ClimateZones_Data(), Table_SourceData_ClimateZones[[#Headers],[Climate zone]], 0)</f>
        <v>999999</v>
      </c>
      <c r="T93" s="38"/>
    </row>
    <row r="94" spans="1:20" ht="20.100000000000001" customHeight="1" x14ac:dyDescent="0.25">
      <c r="A94"/>
      <c r="D94" s="38" t="str" cm="1">
        <f t="array" ref="D94">Common_InputFunctions.Utility_DisplayArrayInTable(Common_SourceData.Common_SourceData_ClimateZones_Data(), Table_SourceData_ClimateZones[[#Headers],[Climate zone]], 0)</f>
        <v>Warm temperate moist</v>
      </c>
      <c r="E94" s="38" t="str" cm="1">
        <f t="array" ref="E94">Common_InputFunctions.Utility_DisplayArrayInTable(Common_SourceData.Common_SourceData_ClimateZones_Data(), Table_SourceData_ClimateZones[[#Headers],[Climate zone]], 0)</f>
        <v>&gt; 10 C</v>
      </c>
      <c r="F94" s="38" t="str" cm="1">
        <f t="array" ref="F94">Common_InputFunctions.Utility_DisplayArrayInTable(Common_SourceData.Common_SourceData_ClimateZones_Data(), Table_SourceData_ClimateZones[[#Headers],[Climate zone]], 0)</f>
        <v>Any</v>
      </c>
      <c r="G94" s="38" t="str" cm="1">
        <f t="array" ref="G94">Common_InputFunctions.Utility_DisplayArrayInTable(Common_SourceData.Common_SourceData_ClimateZones_Data(), Table_SourceData_ClimateZones[[#Headers],[Climate zone]], 0)</f>
        <v>Any</v>
      </c>
      <c r="H94" s="38" t="str" cm="1">
        <f t="array" ref="H94">Common_InputFunctions.Utility_DisplayArrayInTable(Common_SourceData.Common_SourceData_ClimateZones_Data(), Table_SourceData_ClimateZones[[#Headers],[Climate zone]], 0)</f>
        <v>Any</v>
      </c>
      <c r="I94" s="38" t="str" cm="1">
        <f t="array" ref="I94">Common_InputFunctions.Utility_DisplayArrayInTable(Common_SourceData.Common_SourceData_ClimateZones_Data(), Table_SourceData_ClimateZones[[#Headers],[Climate zone]], 0)</f>
        <v>&gt; 1</v>
      </c>
      <c r="J94" s="38" cm="1">
        <f t="array" ref="J94">Common_InputFunctions.Utility_DisplayArrayInTable(Common_SourceData.Common_SourceData_ClimateZones_Data(), Table_SourceData_ClimateZones[[#Headers],[Climate zone]], 0)</f>
        <v>10.000999999999999</v>
      </c>
      <c r="K94" s="38" cm="1">
        <f t="array" ref="K94">Common_InputFunctions.Utility_DisplayArrayInTable(Common_SourceData.Common_SourceData_ClimateZones_Data(), Table_SourceData_ClimateZones[[#Headers],[Climate zone]], 0)</f>
        <v>999999</v>
      </c>
      <c r="L94" s="38" cm="1">
        <f t="array" ref="L94">Common_InputFunctions.Utility_DisplayArrayInTable(Common_SourceData.Common_SourceData_ClimateZones_Data(), Table_SourceData_ClimateZones[[#Headers],[Climate zone]], 0)</f>
        <v>-999999</v>
      </c>
      <c r="M94" s="38" cm="1">
        <f t="array" ref="M94">Common_InputFunctions.Utility_DisplayArrayInTable(Common_SourceData.Common_SourceData_ClimateZones_Data(), Table_SourceData_ClimateZones[[#Headers],[Climate zone]], 0)</f>
        <v>999999</v>
      </c>
      <c r="N94" s="38" cm="1">
        <f t="array" ref="N94">Common_InputFunctions.Utility_DisplayArrayInTable(Common_SourceData.Common_SourceData_ClimateZones_Data(), Table_SourceData_ClimateZones[[#Headers],[Climate zone]], 0)</f>
        <v>-999999</v>
      </c>
      <c r="O94" s="38" cm="1">
        <f t="array" ref="O94">Common_InputFunctions.Utility_DisplayArrayInTable(Common_SourceData.Common_SourceData_ClimateZones_Data(), Table_SourceData_ClimateZones[[#Headers],[Climate zone]], 0)</f>
        <v>999999</v>
      </c>
      <c r="P94" s="38" cm="1">
        <f t="array" ref="P94">Common_InputFunctions.Utility_DisplayArrayInTable(Common_SourceData.Common_SourceData_ClimateZones_Data(), Table_SourceData_ClimateZones[[#Headers],[Climate zone]], 0)</f>
        <v>-999999</v>
      </c>
      <c r="Q94" s="38" cm="1">
        <f t="array" ref="Q94">Common_InputFunctions.Utility_DisplayArrayInTable(Common_SourceData.Common_SourceData_ClimateZones_Data(), Table_SourceData_ClimateZones[[#Headers],[Climate zone]], 0)</f>
        <v>999999</v>
      </c>
      <c r="R94" s="38" cm="1">
        <f t="array" ref="R94">Common_InputFunctions.Utility_DisplayArrayInTable(Common_SourceData.Common_SourceData_ClimateZones_Data(), Table_SourceData_ClimateZones[[#Headers],[Climate zone]], 0)</f>
        <v>1.0009999999999999</v>
      </c>
      <c r="S94" s="38" cm="1">
        <f t="array" ref="S94">Common_InputFunctions.Utility_DisplayArrayInTable(Common_SourceData.Common_SourceData_ClimateZones_Data(), Table_SourceData_ClimateZones[[#Headers],[Climate zone]], 0)</f>
        <v>999999</v>
      </c>
      <c r="T94" s="38"/>
    </row>
    <row r="95" spans="1:20" ht="20.100000000000001" customHeight="1" x14ac:dyDescent="0.25">
      <c r="A95"/>
      <c r="D95" s="38" t="str" cm="1">
        <f t="array" ref="D95">Common_InputFunctions.Utility_DisplayArrayInTable(Common_SourceData.Common_SourceData_ClimateZones_Data(), Table_SourceData_ClimateZones[[#Headers],[Climate zone]], 0)</f>
        <v>Warm temperate dry</v>
      </c>
      <c r="E95" s="38" t="str" cm="1">
        <f t="array" ref="E95">Common_InputFunctions.Utility_DisplayArrayInTable(Common_SourceData.Common_SourceData_ClimateZones_Data(), Table_SourceData_ClimateZones[[#Headers],[Climate zone]], 0)</f>
        <v>&gt; 10 C</v>
      </c>
      <c r="F95" s="38" t="str" cm="1">
        <f t="array" ref="F95">Common_InputFunctions.Utility_DisplayArrayInTable(Common_SourceData.Common_SourceData_ClimateZones_Data(), Table_SourceData_ClimateZones[[#Headers],[Climate zone]], 0)</f>
        <v>Any</v>
      </c>
      <c r="G95" s="38" t="str" cm="1">
        <f t="array" ref="G95">Common_InputFunctions.Utility_DisplayArrayInTable(Common_SourceData.Common_SourceData_ClimateZones_Data(), Table_SourceData_ClimateZones[[#Headers],[Climate zone]], 0)</f>
        <v>Any</v>
      </c>
      <c r="H95" s="38" t="str" cm="1">
        <f t="array" ref="H95">Common_InputFunctions.Utility_DisplayArrayInTable(Common_SourceData.Common_SourceData_ClimateZones_Data(), Table_SourceData_ClimateZones[[#Headers],[Climate zone]], 0)</f>
        <v>Any</v>
      </c>
      <c r="I95" s="38" t="str" cm="1">
        <f t="array" ref="I95">Common_InputFunctions.Utility_DisplayArrayInTable(Common_SourceData.Common_SourceData_ClimateZones_Data(), Table_SourceData_ClimateZones[[#Headers],[Climate zone]], 0)</f>
        <v>≤ 1</v>
      </c>
      <c r="J95" s="38" cm="1">
        <f t="array" ref="J95">Common_InputFunctions.Utility_DisplayArrayInTable(Common_SourceData.Common_SourceData_ClimateZones_Data(), Table_SourceData_ClimateZones[[#Headers],[Climate zone]], 0)</f>
        <v>10.000999999999999</v>
      </c>
      <c r="K95" s="38" cm="1">
        <f t="array" ref="K95">Common_InputFunctions.Utility_DisplayArrayInTable(Common_SourceData.Common_SourceData_ClimateZones_Data(), Table_SourceData_ClimateZones[[#Headers],[Climate zone]], 0)</f>
        <v>999999</v>
      </c>
      <c r="L95" s="38" cm="1">
        <f t="array" ref="L95">Common_InputFunctions.Utility_DisplayArrayInTable(Common_SourceData.Common_SourceData_ClimateZones_Data(), Table_SourceData_ClimateZones[[#Headers],[Climate zone]], 0)</f>
        <v>-999999</v>
      </c>
      <c r="M95" s="38" cm="1">
        <f t="array" ref="M95">Common_InputFunctions.Utility_DisplayArrayInTable(Common_SourceData.Common_SourceData_ClimateZones_Data(), Table_SourceData_ClimateZones[[#Headers],[Climate zone]], 0)</f>
        <v>999999</v>
      </c>
      <c r="N95" s="38" cm="1">
        <f t="array" ref="N95">Common_InputFunctions.Utility_DisplayArrayInTable(Common_SourceData.Common_SourceData_ClimateZones_Data(), Table_SourceData_ClimateZones[[#Headers],[Climate zone]], 0)</f>
        <v>-999999</v>
      </c>
      <c r="O95" s="38" cm="1">
        <f t="array" ref="O95">Common_InputFunctions.Utility_DisplayArrayInTable(Common_SourceData.Common_SourceData_ClimateZones_Data(), Table_SourceData_ClimateZones[[#Headers],[Climate zone]], 0)</f>
        <v>999999</v>
      </c>
      <c r="P95" s="38" cm="1">
        <f t="array" ref="P95">Common_InputFunctions.Utility_DisplayArrayInTable(Common_SourceData.Common_SourceData_ClimateZones_Data(), Table_SourceData_ClimateZones[[#Headers],[Climate zone]], 0)</f>
        <v>-999999</v>
      </c>
      <c r="Q95" s="38" cm="1">
        <f t="array" ref="Q95">Common_InputFunctions.Utility_DisplayArrayInTable(Common_SourceData.Common_SourceData_ClimateZones_Data(), Table_SourceData_ClimateZones[[#Headers],[Climate zone]], 0)</f>
        <v>999999</v>
      </c>
      <c r="R95" s="38" cm="1">
        <f t="array" ref="R95">Common_InputFunctions.Utility_DisplayArrayInTable(Common_SourceData.Common_SourceData_ClimateZones_Data(), Table_SourceData_ClimateZones[[#Headers],[Climate zone]], 0)</f>
        <v>-999999</v>
      </c>
      <c r="S95" s="38" cm="1">
        <f t="array" ref="S95">Common_InputFunctions.Utility_DisplayArrayInTable(Common_SourceData.Common_SourceData_ClimateZones_Data(), Table_SourceData_ClimateZones[[#Headers],[Climate zone]], 0)</f>
        <v>1</v>
      </c>
      <c r="T95" s="38"/>
    </row>
    <row r="96" spans="1:20" ht="20.100000000000001" customHeight="1" x14ac:dyDescent="0.25">
      <c r="A96"/>
      <c r="D96" s="38" t="str" cm="1">
        <f t="array" ref="D96">Common_InputFunctions.Utility_DisplayArrayInTable(Common_SourceData.Common_SourceData_ClimateZones_Data(), Table_SourceData_ClimateZones[[#Headers],[Climate zone]], 0)</f>
        <v>Cool temperate moist</v>
      </c>
      <c r="E96" s="38" t="str" cm="1">
        <f t="array" ref="E96">Common_InputFunctions.Utility_DisplayArrayInTable(Common_SourceData.Common_SourceData_ClimateZones_Data(), Table_SourceData_ClimateZones[[#Headers],[Climate zone]], 0)</f>
        <v>&gt; 0 C - ≤ 10 C</v>
      </c>
      <c r="F96" s="38" t="str" cm="1">
        <f t="array" ref="F96">Common_InputFunctions.Utility_DisplayArrayInTable(Common_SourceData.Common_SourceData_ClimateZones_Data(), Table_SourceData_ClimateZones[[#Headers],[Climate zone]], 0)</f>
        <v>Any</v>
      </c>
      <c r="G96" s="38" t="str" cm="1">
        <f t="array" ref="G96">Common_InputFunctions.Utility_DisplayArrayInTable(Common_SourceData.Common_SourceData_ClimateZones_Data(), Table_SourceData_ClimateZones[[#Headers],[Climate zone]], 0)</f>
        <v>Any</v>
      </c>
      <c r="H96" s="38" t="str" cm="1">
        <f t="array" ref="H96">Common_InputFunctions.Utility_DisplayArrayInTable(Common_SourceData.Common_SourceData_ClimateZones_Data(), Table_SourceData_ClimateZones[[#Headers],[Climate zone]], 0)</f>
        <v>Any</v>
      </c>
      <c r="I96" s="38" t="str" cm="1">
        <f t="array" ref="I96">Common_InputFunctions.Utility_DisplayArrayInTable(Common_SourceData.Common_SourceData_ClimateZones_Data(), Table_SourceData_ClimateZones[[#Headers],[Climate zone]], 0)</f>
        <v>&gt; 1</v>
      </c>
      <c r="J96" s="38" cm="1">
        <f t="array" ref="J96">Common_InputFunctions.Utility_DisplayArrayInTable(Common_SourceData.Common_SourceData_ClimateZones_Data(), Table_SourceData_ClimateZones[[#Headers],[Climate zone]], 0)</f>
        <v>-999999</v>
      </c>
      <c r="K96" s="38" cm="1">
        <f t="array" ref="K96">Common_InputFunctions.Utility_DisplayArrayInTable(Common_SourceData.Common_SourceData_ClimateZones_Data(), Table_SourceData_ClimateZones[[#Headers],[Climate zone]], 0)</f>
        <v>10</v>
      </c>
      <c r="L96" s="38" cm="1">
        <f t="array" ref="L96">Common_InputFunctions.Utility_DisplayArrayInTable(Common_SourceData.Common_SourceData_ClimateZones_Data(), Table_SourceData_ClimateZones[[#Headers],[Climate zone]], 0)</f>
        <v>-999999</v>
      </c>
      <c r="M96" s="38" cm="1">
        <f t="array" ref="M96">Common_InputFunctions.Utility_DisplayArrayInTable(Common_SourceData.Common_SourceData_ClimateZones_Data(), Table_SourceData_ClimateZones[[#Headers],[Climate zone]], 0)</f>
        <v>999999</v>
      </c>
      <c r="N96" s="38" cm="1">
        <f t="array" ref="N96">Common_InputFunctions.Utility_DisplayArrayInTable(Common_SourceData.Common_SourceData_ClimateZones_Data(), Table_SourceData_ClimateZones[[#Headers],[Climate zone]], 0)</f>
        <v>-999999</v>
      </c>
      <c r="O96" s="38" cm="1">
        <f t="array" ref="O96">Common_InputFunctions.Utility_DisplayArrayInTable(Common_SourceData.Common_SourceData_ClimateZones_Data(), Table_SourceData_ClimateZones[[#Headers],[Climate zone]], 0)</f>
        <v>999999</v>
      </c>
      <c r="P96" s="38" cm="1">
        <f t="array" ref="P96">Common_InputFunctions.Utility_DisplayArrayInTable(Common_SourceData.Common_SourceData_ClimateZones_Data(), Table_SourceData_ClimateZones[[#Headers],[Climate zone]], 0)</f>
        <v>-999999</v>
      </c>
      <c r="Q96" s="38" cm="1">
        <f t="array" ref="Q96">Common_InputFunctions.Utility_DisplayArrayInTable(Common_SourceData.Common_SourceData_ClimateZones_Data(), Table_SourceData_ClimateZones[[#Headers],[Climate zone]], 0)</f>
        <v>999999</v>
      </c>
      <c r="R96" s="38" cm="1">
        <f t="array" ref="R96">Common_InputFunctions.Utility_DisplayArrayInTable(Common_SourceData.Common_SourceData_ClimateZones_Data(), Table_SourceData_ClimateZones[[#Headers],[Climate zone]], 0)</f>
        <v>1.0009999999999999</v>
      </c>
      <c r="S96" s="38" cm="1">
        <f t="array" ref="S96">Common_InputFunctions.Utility_DisplayArrayInTable(Common_SourceData.Common_SourceData_ClimateZones_Data(), Table_SourceData_ClimateZones[[#Headers],[Climate zone]], 0)</f>
        <v>999999</v>
      </c>
      <c r="T96" s="38"/>
    </row>
    <row r="97" spans="1:20" ht="20.100000000000001" customHeight="1" x14ac:dyDescent="0.25">
      <c r="A97"/>
      <c r="D97" s="38" t="str" cm="1">
        <f t="array" ref="D97">Common_InputFunctions.Utility_DisplayArrayInTable(Common_SourceData.Common_SourceData_ClimateZones_Data(), Table_SourceData_ClimateZones[[#Headers],[Climate zone]], 0)</f>
        <v>Cool temperate dry</v>
      </c>
      <c r="E97" s="38" t="str" cm="1">
        <f t="array" ref="E97">Common_InputFunctions.Utility_DisplayArrayInTable(Common_SourceData.Common_SourceData_ClimateZones_Data(), Table_SourceData_ClimateZones[[#Headers],[Climate zone]], 0)</f>
        <v>&gt; 0 C - ≤ 10 C</v>
      </c>
      <c r="F97" s="38" t="str" cm="1">
        <f t="array" ref="F97">Common_InputFunctions.Utility_DisplayArrayInTable(Common_SourceData.Common_SourceData_ClimateZones_Data(), Table_SourceData_ClimateZones[[#Headers],[Climate zone]], 0)</f>
        <v>Any</v>
      </c>
      <c r="G97" s="38" t="str" cm="1">
        <f t="array" ref="G97">Common_InputFunctions.Utility_DisplayArrayInTable(Common_SourceData.Common_SourceData_ClimateZones_Data(), Table_SourceData_ClimateZones[[#Headers],[Climate zone]], 0)</f>
        <v>Any</v>
      </c>
      <c r="H97" s="38" t="str" cm="1">
        <f t="array" ref="H97">Common_InputFunctions.Utility_DisplayArrayInTable(Common_SourceData.Common_SourceData_ClimateZones_Data(), Table_SourceData_ClimateZones[[#Headers],[Climate zone]], 0)</f>
        <v>Any</v>
      </c>
      <c r="I97" s="38" t="str" cm="1">
        <f t="array" ref="I97">Common_InputFunctions.Utility_DisplayArrayInTable(Common_SourceData.Common_SourceData_ClimateZones_Data(), Table_SourceData_ClimateZones[[#Headers],[Climate zone]], 0)</f>
        <v>≤ 1</v>
      </c>
      <c r="J97" s="38" cm="1">
        <f t="array" ref="J97">Common_InputFunctions.Utility_DisplayArrayInTable(Common_SourceData.Common_SourceData_ClimateZones_Data(), Table_SourceData_ClimateZones[[#Headers],[Climate zone]], 0)</f>
        <v>-999999</v>
      </c>
      <c r="K97" s="38" cm="1">
        <f t="array" ref="K97">Common_InputFunctions.Utility_DisplayArrayInTable(Common_SourceData.Common_SourceData_ClimateZones_Data(), Table_SourceData_ClimateZones[[#Headers],[Climate zone]], 0)</f>
        <v>10</v>
      </c>
      <c r="L97" s="38" cm="1">
        <f t="array" ref="L97">Common_InputFunctions.Utility_DisplayArrayInTable(Common_SourceData.Common_SourceData_ClimateZones_Data(), Table_SourceData_ClimateZones[[#Headers],[Climate zone]], 0)</f>
        <v>-999999</v>
      </c>
      <c r="M97" s="38" cm="1">
        <f t="array" ref="M97">Common_InputFunctions.Utility_DisplayArrayInTable(Common_SourceData.Common_SourceData_ClimateZones_Data(), Table_SourceData_ClimateZones[[#Headers],[Climate zone]], 0)</f>
        <v>999999</v>
      </c>
      <c r="N97" s="38" cm="1">
        <f t="array" ref="N97">Common_InputFunctions.Utility_DisplayArrayInTable(Common_SourceData.Common_SourceData_ClimateZones_Data(), Table_SourceData_ClimateZones[[#Headers],[Climate zone]], 0)</f>
        <v>-999999</v>
      </c>
      <c r="O97" s="38" cm="1">
        <f t="array" ref="O97">Common_InputFunctions.Utility_DisplayArrayInTable(Common_SourceData.Common_SourceData_ClimateZones_Data(), Table_SourceData_ClimateZones[[#Headers],[Climate zone]], 0)</f>
        <v>999999</v>
      </c>
      <c r="P97" s="38" cm="1">
        <f t="array" ref="P97">Common_InputFunctions.Utility_DisplayArrayInTable(Common_SourceData.Common_SourceData_ClimateZones_Data(), Table_SourceData_ClimateZones[[#Headers],[Climate zone]], 0)</f>
        <v>-999999</v>
      </c>
      <c r="Q97" s="38" cm="1">
        <f t="array" ref="Q97">Common_InputFunctions.Utility_DisplayArrayInTable(Common_SourceData.Common_SourceData_ClimateZones_Data(), Table_SourceData_ClimateZones[[#Headers],[Climate zone]], 0)</f>
        <v>999999</v>
      </c>
      <c r="R97" s="38" cm="1">
        <f t="array" ref="R97">Common_InputFunctions.Utility_DisplayArrayInTable(Common_SourceData.Common_SourceData_ClimateZones_Data(), Table_SourceData_ClimateZones[[#Headers],[Climate zone]], 0)</f>
        <v>-999999</v>
      </c>
      <c r="S97" s="38" cm="1">
        <f t="array" ref="S97">Common_InputFunctions.Utility_DisplayArrayInTable(Common_SourceData.Common_SourceData_ClimateZones_Data(), Table_SourceData_ClimateZones[[#Headers],[Climate zone]], 0)</f>
        <v>1</v>
      </c>
      <c r="T97" s="38"/>
    </row>
    <row r="98" spans="1:20" ht="20.100000000000001" customHeight="1" x14ac:dyDescent="0.25">
      <c r="A98"/>
    </row>
    <row r="99" spans="1:20" ht="20.100000000000001" customHeight="1" x14ac:dyDescent="0.25">
      <c r="A99"/>
      <c r="D99" s="53" t="str" cm="1">
        <f t="array" ref="D99:D102">Common_SourceData.Common_SourceData_ClimateZones_Appendices()</f>
        <v>Note:</v>
      </c>
    </row>
    <row r="100" spans="1:20" ht="20.100000000000001" customHeight="1" x14ac:dyDescent="0.25">
      <c r="A100"/>
      <c r="D100" s="53" t="str">
        <v>MAT = mean annual temperature</v>
      </c>
    </row>
    <row r="101" spans="1:20" ht="20.100000000000001" customHeight="1" x14ac:dyDescent="0.25">
      <c r="A101"/>
      <c r="D101" s="53" t="str">
        <v>MAP = mean annual precipitation</v>
      </c>
    </row>
    <row r="102" spans="1:20" ht="20.100000000000001" customHeight="1" x14ac:dyDescent="0.25">
      <c r="A102"/>
      <c r="D102" s="53" t="str">
        <v>PET = potential evapotranspiration</v>
      </c>
    </row>
    <row r="103" spans="1:20" ht="20.100000000000001" customHeight="1" x14ac:dyDescent="0.25">
      <c r="A103"/>
      <c r="D103" s="53"/>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4"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8" t="s">
        <v>51</v>
      </c>
      <c r="E109" s="38" t="s">
        <v>32</v>
      </c>
      <c r="F109" s="38" t="s">
        <v>52</v>
      </c>
      <c r="G109" s="38" t="s">
        <v>53</v>
      </c>
    </row>
    <row r="110" spans="1:20" ht="20.100000000000001" customHeight="1" x14ac:dyDescent="0.25">
      <c r="A110"/>
      <c r="D110" s="38" t="str" cm="1">
        <f t="array" ref="D110">Common_InputFunctions.Utility_DisplayArrayInTable(Common_SourceData.Common_SourceData_TemperatureZones_Data(),Table_SourceData_TemperatureZones[[#Headers],[Temperature Zone]],0)</f>
        <v>Warm</v>
      </c>
      <c r="E110" s="38" t="str" cm="1">
        <f t="array" ref="E110">Common_InputFunctions.Utility_DisplayArrayInTable(Common_SourceData.Common_SourceData_TemperatureZones_Data(),Table_SourceData_TemperatureZones[[#Headers],[Temperature Zone]],0)</f>
        <v>≥ 26 C</v>
      </c>
      <c r="F110" s="38" cm="1">
        <f t="array" ref="F110">Common_InputFunctions.Utility_DisplayArrayInTable(Common_SourceData.Common_SourceData_TemperatureZones_Data(),Table_SourceData_TemperatureZones[[#Headers],[Temperature Zone]],0)</f>
        <v>26</v>
      </c>
      <c r="G110" s="38"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8" t="str" cm="1">
        <f t="array" ref="D111">Common_InputFunctions.Utility_DisplayArrayInTable(Common_SourceData.Common_SourceData_TemperatureZones_Data(),Table_SourceData_TemperatureZones[[#Headers],[Temperature Zone]],0)</f>
        <v>Temperate</v>
      </c>
      <c r="E111" s="38" t="str" cm="1">
        <f t="array" ref="E111">Common_InputFunctions.Utility_DisplayArrayInTable(Common_SourceData.Common_SourceData_TemperatureZones_Data(),Table_SourceData_TemperatureZones[[#Headers],[Temperature Zone]],0)</f>
        <v>15 - 25 C</v>
      </c>
      <c r="F111" s="38" cm="1">
        <f t="array" ref="F111">Common_InputFunctions.Utility_DisplayArrayInTable(Common_SourceData.Common_SourceData_TemperatureZones_Data(),Table_SourceData_TemperatureZones[[#Headers],[Temperature Zone]],0)</f>
        <v>15</v>
      </c>
      <c r="G111" s="38"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8" t="str" cm="1">
        <f t="array" ref="D112">Common_InputFunctions.Utility_DisplayArrayInTable(Common_SourceData.Common_SourceData_TemperatureZones_Data(),Table_SourceData_TemperatureZones[[#Headers],[Temperature Zone]],0)</f>
        <v>Cool</v>
      </c>
      <c r="E112" s="38" t="str" cm="1">
        <f t="array" ref="E112">Common_InputFunctions.Utility_DisplayArrayInTable(Common_SourceData.Common_SourceData_TemperatureZones_Data(),Table_SourceData_TemperatureZones[[#Headers],[Temperature Zone]],0)</f>
        <v>≤ 14 C</v>
      </c>
      <c r="F112" s="38" cm="1">
        <f t="array" ref="F112">Common_InputFunctions.Utility_DisplayArrayInTable(Common_SourceData.Common_SourceData_TemperatureZones_Data(),Table_SourceData_TemperatureZones[[#Headers],[Temperature Zone]],0)</f>
        <v>-999999</v>
      </c>
      <c r="G112" s="38"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4"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8" t="s">
        <v>54</v>
      </c>
      <c r="E119" s="38" t="s">
        <v>55</v>
      </c>
      <c r="F119" s="38" t="s">
        <v>39</v>
      </c>
      <c r="G119" s="38" t="s">
        <v>40</v>
      </c>
      <c r="BN119" s="7"/>
    </row>
    <row r="120" spans="1:66" ht="20.100000000000001" customHeight="1" x14ac:dyDescent="0.25">
      <c r="A120"/>
      <c r="D120" s="38" t="str" cm="1">
        <f t="array" ref="D120">Common_InputFunctions.Utility_DisplayArrayInTable(Common_SourceData.Common_SourceData_RainfallZones_Data(),Table_SourceData_RainfallZones[[#Headers],[Rainfall Zone]],0)</f>
        <v>High rainfall</v>
      </c>
      <c r="E120" s="38" t="str" cm="1">
        <f t="array" ref="E120">Common_InputFunctions.Utility_DisplayArrayInTable(Common_SourceData.Common_SourceData_RainfallZones_Data(),Table_SourceData_RainfallZones[[#Headers],[Rainfall Zone]],0)</f>
        <v>Annual rainfall &gt; 600mm</v>
      </c>
      <c r="F120" s="38" cm="1">
        <f t="array" ref="F120">Common_InputFunctions.Utility_DisplayArrayInTable(Common_SourceData.Common_SourceData_RainfallZones_Data(),Table_SourceData_RainfallZones[[#Headers],[Rainfall Zone]],0)</f>
        <v>600.00099999999998</v>
      </c>
      <c r="G120" s="38"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8" t="str" cm="1">
        <f t="array" ref="D121">Common_InputFunctions.Utility_DisplayArrayInTable(Common_SourceData.Common_SourceData_RainfallZones_Data(),Table_SourceData_RainfallZones[[#Headers],[Rainfall Zone]],0)</f>
        <v>Low rainfall</v>
      </c>
      <c r="E121" s="38" t="str" cm="1">
        <f t="array" ref="E121">Common_InputFunctions.Utility_DisplayArrayInTable(Common_SourceData.Common_SourceData_RainfallZones_Data(),Table_SourceData_RainfallZones[[#Headers],[Rainfall Zone]],0)</f>
        <v>Annual rainfall ≤ 600mm</v>
      </c>
      <c r="F121" s="38" cm="1">
        <f t="array" ref="F121">Common_InputFunctions.Utility_DisplayArrayInTable(Common_SourceData.Common_SourceData_RainfallZones_Data(),Table_SourceData_RainfallZones[[#Headers],[Rainfall Zone]],0)</f>
        <v>-999999</v>
      </c>
      <c r="G121" s="38"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8" t="s">
        <v>61</v>
      </c>
      <c r="E127" s="38" t="s">
        <v>62</v>
      </c>
    </row>
    <row r="128" spans="1:66" ht="20.100000000000001" customHeight="1" x14ac:dyDescent="0.25">
      <c r="A128"/>
      <c r="D128" s="38" t="str" cm="1">
        <f t="array" ref="D128">Common_InputFunctions.Utility_DisplayArrayInTable(Common_SourceData.Common_SourceData_LeachingZones_Data(), Table_SourceData_LeachingZones[[#Headers],[Leaching Zone]], 0)</f>
        <v>Leaching occurs</v>
      </c>
      <c r="E128" s="3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8" t="str" cm="1">
        <f t="array" ref="D129">Common_InputFunctions.Utility_DisplayArrayInTable(Common_SourceData.Common_SourceData_LeachingZones_Data(), Table_SourceData_LeachingZones[[#Headers],[Leaching Zone]], 0)</f>
        <v>Leaching does not occur</v>
      </c>
      <c r="E129" s="3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78</v>
      </c>
      <c r="E134" t="s">
        <v>79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8"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8" t="s">
        <v>112</v>
      </c>
      <c r="E142" s="38" t="s">
        <v>79</v>
      </c>
      <c r="BN142" s="7"/>
    </row>
    <row r="143" spans="1:77" ht="20.100000000000001" customHeight="1" x14ac:dyDescent="0.25">
      <c r="A143"/>
      <c r="D143" s="38" t="str" cm="1">
        <f t="array" ref="D143">Common_InputFunctions.Utility_DisplayArrayInTable(Common_SourceData.Common_SourceData_FracWETIrrigation_Data(), Table_SourceData_FracWETIrrigation[[#Headers],[Irrigation type i]], 0)</f>
        <v>Not irrigated</v>
      </c>
      <c r="E143" s="38"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8"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8"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8"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8"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8" t="s">
        <v>64</v>
      </c>
      <c r="E153" s="38" t="s">
        <v>65</v>
      </c>
      <c r="BC153" s="3"/>
      <c r="BD153" s="3"/>
      <c r="BE153" s="3"/>
      <c r="BF153" s="3"/>
      <c r="BG153" s="3"/>
      <c r="BH153" s="3"/>
      <c r="BI153" s="3"/>
      <c r="BJ153" s="3"/>
      <c r="BK153" s="3"/>
      <c r="BL153" s="3"/>
      <c r="BM153" s="3"/>
    </row>
    <row r="154" spans="1:66" ht="20.100000000000001" customHeight="1" x14ac:dyDescent="0.25">
      <c r="A154"/>
      <c r="D154" s="38" t="str" cm="1">
        <f t="array" ref="D154">Common_InputFunctions.Utility_DisplayArrayInTable(Common_SourceData.Common_SourceData_DataScores_Scope3_Data(), Table_SourceData_DataScores_Scope3[[#Headers],[Data source]], 0)</f>
        <v>International scope 3 database</v>
      </c>
      <c r="E154" s="3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8" t="str" cm="1">
        <f t="array" ref="D155">Common_InputFunctions.Utility_DisplayArrayInTable(Common_SourceData.Common_SourceData_DataScores_Scope3_Data(), Table_SourceData_DataScores_Scope3[[#Headers],[Data source]], 0)</f>
        <v>Australian scope 3 database</v>
      </c>
      <c r="E155" s="3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8" t="str" cm="1">
        <f t="array" ref="D156">Common_InputFunctions.Utility_DisplayArrayInTable(Common_SourceData.Common_SourceData_DataScores_Scope3_Data(), Table_SourceData_DataScores_Scope3[[#Headers],[Data source]], 0)</f>
        <v>State or regional scope 3 database</v>
      </c>
      <c r="E156" s="38"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8" t="str" cm="1">
        <f t="array" ref="D157">Common_InputFunctions.Utility_DisplayArrayInTable(Common_SourceData.Common_SourceData_DataScores_Scope3_Data(), Table_SourceData_DataScores_Scope3[[#Headers],[Data source]], 0)</f>
        <v>Emissions intensity calculated from approved method</v>
      </c>
      <c r="E157" s="38"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8" t="str" cm="1">
        <f t="array" ref="D158">Common_InputFunctions.Utility_DisplayArrayInTable(Common_SourceData.Common_SourceData_DataScores_Scope3_Data(), Table_SourceData_DataScores_Scope3[[#Headers],[Data source]], 0)</f>
        <v>Verified credential matching ISO14067</v>
      </c>
      <c r="E158" s="38"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3" t="str" cm="1">
        <f t="array" ref="D180">Common_SourceData.Common_SourceData_EFN2O_Unit()</f>
        <v>(kg N2O-N / kg N</v>
      </c>
    </row>
    <row r="181" spans="4:68" ht="20.100000000000001" customHeight="1" x14ac:dyDescent="0.25">
      <c r="D181" s="54" t="str" cm="1">
        <f t="array" ref="D181:D185">Common_SourceData.Common_SourceData_EFN2O_Variation()</f>
        <v>VARIATION OF SOURCE DATA:</v>
      </c>
    </row>
    <row r="182" spans="4:68" ht="20.100000000000001" customHeight="1" x14ac:dyDescent="0.25">
      <c r="D182" s="54" t="str">
        <v>Removed duplicate 'Aquaculture' row.</v>
      </c>
    </row>
    <row r="183" spans="4:68" ht="20.100000000000001" customHeight="1" x14ac:dyDescent="0.25">
      <c r="D183" s="54" t="str">
        <v>Removed asterisks to aid lookup.</v>
      </c>
    </row>
    <row r="184" spans="4:68" ht="20.100000000000001" customHeight="1" x14ac:dyDescent="0.25">
      <c r="D184" s="54" t="str">
        <v>Added 'production system only', 'rainfall zone' and 'irrigation method' columns to aid lookup.</v>
      </c>
    </row>
    <row r="185" spans="4:68" ht="20.100000000000001" customHeight="1" x14ac:dyDescent="0.25">
      <c r="D185" s="54" t="str">
        <v>Duplicated 'non-irrigated pasture' row with same EF for low and high rainfall zones to aid lookup.</v>
      </c>
    </row>
    <row r="186" spans="4:68" ht="20.100000000000001" customHeight="1" x14ac:dyDescent="0.25">
      <c r="D186" s="38" t="s">
        <v>96</v>
      </c>
      <c r="E186" s="38" t="s">
        <v>97</v>
      </c>
      <c r="F186" s="38" t="s">
        <v>98</v>
      </c>
      <c r="G186" s="38" t="s">
        <v>99</v>
      </c>
      <c r="H186" s="38" t="s">
        <v>31</v>
      </c>
    </row>
    <row r="187" spans="4:68" ht="20.100000000000001" customHeight="1" x14ac:dyDescent="0.25">
      <c r="D187" s="38" t="str" cm="1">
        <f t="array" ref="D187">Common_InputFunctions.Utility_DisplayArrayInTable(Common_SourceData.Common_SourceData_EFN2O_Data(), Table_SourceData_Common_EFN2O[[#Headers],[Production system j]], 0)</f>
        <v>Irrigated pasture</v>
      </c>
      <c r="E187" s="38" cm="1">
        <f t="array" ref="E187">Common_InputFunctions.Utility_DisplayArrayInTable(Common_SourceData.Common_SourceData_EFN2O_Data(), Table_SourceData_Common_EFN2O[[#Headers],[Production system j]], 0)</f>
        <v>5.8999999999999999E-3</v>
      </c>
      <c r="F187" s="38" t="str" cm="1">
        <f t="array" ref="F187">Common_InputFunctions.Utility_DisplayArrayInTable(Common_SourceData.Common_SourceData_EFN2O_Data(), Table_SourceData_Common_EFN2O[[#Headers],[Production system j]], 0)</f>
        <v>Pasture</v>
      </c>
      <c r="G187" s="38" t="str" cm="1">
        <f t="array" ref="G187">Common_InputFunctions.Utility_DisplayArrayInTable(Common_SourceData.Common_SourceData_EFN2O_Data(), Table_SourceData_Common_EFN2O[[#Headers],[Production system j]], 0)</f>
        <v>Any</v>
      </c>
      <c r="H187" s="38" t="str" cm="1">
        <f t="array" ref="H187">Common_InputFunctions.Utility_DisplayArrayInTable(Common_SourceData.Common_SourceData_EFN2O_Data(), Table_SourceData_Common_EFN2O[[#Headers],[Production system j]], 0)</f>
        <v>Any</v>
      </c>
    </row>
    <row r="188" spans="4:68" ht="20.100000000000001" customHeight="1" x14ac:dyDescent="0.25">
      <c r="D188" s="38" t="str" cm="1">
        <f t="array" ref="D188">Common_InputFunctions.Utility_DisplayArrayInTable(Common_SourceData.Common_SourceData_EFN2O_Data(), Table_SourceData_Common_EFN2O[[#Headers],[Production system j]], 0)</f>
        <v>Irrigated crop</v>
      </c>
      <c r="E188" s="38" cm="1">
        <f t="array" ref="E188">Common_InputFunctions.Utility_DisplayArrayInTable(Common_SourceData.Common_SourceData_EFN2O_Data(), Table_SourceData_Common_EFN2O[[#Headers],[Production system j]], 0)</f>
        <v>7.0000000000000001E-3</v>
      </c>
      <c r="F188" s="38" t="str" cm="1">
        <f t="array" ref="F188">Common_InputFunctions.Utility_DisplayArrayInTable(Common_SourceData.Common_SourceData_EFN2O_Data(), Table_SourceData_Common_EFN2O[[#Headers],[Production system j]], 0)</f>
        <v>Crop</v>
      </c>
      <c r="G188" s="38" t="str" cm="1">
        <f t="array" ref="G188">Common_InputFunctions.Utility_DisplayArrayInTable(Common_SourceData.Common_SourceData_EFN2O_Data(), Table_SourceData_Common_EFN2O[[#Headers],[Production system j]], 0)</f>
        <v>Any</v>
      </c>
      <c r="H188" s="38" t="str" cm="1">
        <f t="array" ref="H188">Common_InputFunctions.Utility_DisplayArrayInTable(Common_SourceData.Common_SourceData_EFN2O_Data(), Table_SourceData_Common_EFN2O[[#Headers],[Production system j]], 0)</f>
        <v>Any</v>
      </c>
    </row>
    <row r="189" spans="4:68" ht="20.100000000000001" customHeight="1" x14ac:dyDescent="0.25">
      <c r="D189" s="38" t="str" cm="1">
        <f t="array" ref="D189">Common_InputFunctions.Utility_DisplayArrayInTable(Common_SourceData.Common_SourceData_EFN2O_Data(), Table_SourceData_Common_EFN2O[[#Headers],[Production system j]], 0)</f>
        <v>Non-irrigated pasture</v>
      </c>
      <c r="E189" s="38" cm="1">
        <f t="array" ref="E189">Common_InputFunctions.Utility_DisplayArrayInTable(Common_SourceData.Common_SourceData_EFN2O_Data(), Table_SourceData_Common_EFN2O[[#Headers],[Production system j]], 0)</f>
        <v>1.8E-3</v>
      </c>
      <c r="F189" s="38" t="str" cm="1">
        <f t="array" ref="F189">Common_InputFunctions.Utility_DisplayArrayInTable(Common_SourceData.Common_SourceData_EFN2O_Data(), Table_SourceData_Common_EFN2O[[#Headers],[Production system j]], 0)</f>
        <v>Pasture</v>
      </c>
      <c r="G189" s="38" t="str" cm="1">
        <f t="array" ref="G189">Common_InputFunctions.Utility_DisplayArrayInTable(Common_SourceData.Common_SourceData_EFN2O_Data(), Table_SourceData_Common_EFN2O[[#Headers],[Production system j]], 0)</f>
        <v>Not irrigated</v>
      </c>
      <c r="H189" s="3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8" t="str" cm="1">
        <f t="array" ref="D190">Common_InputFunctions.Utility_DisplayArrayInTable(Common_SourceData.Common_SourceData_EFN2O_Data(), Table_SourceData_Common_EFN2O[[#Headers],[Production system j]], 0)</f>
        <v>Non-irrigated pasture</v>
      </c>
      <c r="E190" s="38" cm="1">
        <f t="array" ref="E190">Common_InputFunctions.Utility_DisplayArrayInTable(Common_SourceData.Common_SourceData_EFN2O_Data(), Table_SourceData_Common_EFN2O[[#Headers],[Production system j]], 0)</f>
        <v>1.8E-3</v>
      </c>
      <c r="F190" s="38" t="str" cm="1">
        <f t="array" ref="F190">Common_InputFunctions.Utility_DisplayArrayInTable(Common_SourceData.Common_SourceData_EFN2O_Data(), Table_SourceData_Common_EFN2O[[#Headers],[Production system j]], 0)</f>
        <v>Pasture</v>
      </c>
      <c r="G190" s="38" t="str" cm="1">
        <f t="array" ref="G190">Common_InputFunctions.Utility_DisplayArrayInTable(Common_SourceData.Common_SourceData_EFN2O_Data(), Table_SourceData_Common_EFN2O[[#Headers],[Production system j]], 0)</f>
        <v>Not irrigated</v>
      </c>
      <c r="H190" s="3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8" t="str" cm="1">
        <f t="array" ref="D191">Common_InputFunctions.Utility_DisplayArrayInTable(Common_SourceData.Common_SourceData_EFN2O_Data(), Table_SourceData_Common_EFN2O[[#Headers],[Production system j]], 0)</f>
        <v>Non-irrigated crop (low rainfall)</v>
      </c>
      <c r="E191" s="38" cm="1">
        <f t="array" ref="E191">Common_InputFunctions.Utility_DisplayArrayInTable(Common_SourceData.Common_SourceData_EFN2O_Data(), Table_SourceData_Common_EFN2O[[#Headers],[Production system j]], 0)</f>
        <v>2.8999999999999998E-3</v>
      </c>
      <c r="F191" s="38" t="str" cm="1">
        <f t="array" ref="F191">Common_InputFunctions.Utility_DisplayArrayInTable(Common_SourceData.Common_SourceData_EFN2O_Data(), Table_SourceData_Common_EFN2O[[#Headers],[Production system j]], 0)</f>
        <v>Crop</v>
      </c>
      <c r="G191" s="38" t="str" cm="1">
        <f t="array" ref="G191">Common_InputFunctions.Utility_DisplayArrayInTable(Common_SourceData.Common_SourceData_EFN2O_Data(), Table_SourceData_Common_EFN2O[[#Headers],[Production system j]], 0)</f>
        <v>Not irrigated</v>
      </c>
      <c r="H191" s="3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8" t="str" cm="1">
        <f t="array" ref="D192">Common_InputFunctions.Utility_DisplayArrayInTable(Common_SourceData.Common_SourceData_EFN2O_Data(), Table_SourceData_Common_EFN2O[[#Headers],[Production system j]], 0)</f>
        <v>Non-irrigated crop (high rainfall)</v>
      </c>
      <c r="E192" s="38" cm="1">
        <f t="array" ref="E192">Common_InputFunctions.Utility_DisplayArrayInTable(Common_SourceData.Common_SourceData_EFN2O_Data(), Table_SourceData_Common_EFN2O[[#Headers],[Production system j]], 0)</f>
        <v>8.0000000000000002E-3</v>
      </c>
      <c r="F192" s="38" t="str" cm="1">
        <f t="array" ref="F192">Common_InputFunctions.Utility_DisplayArrayInTable(Common_SourceData.Common_SourceData_EFN2O_Data(), Table_SourceData_Common_EFN2O[[#Headers],[Production system j]], 0)</f>
        <v>Crop</v>
      </c>
      <c r="G192" s="38" t="str" cm="1">
        <f t="array" ref="G192">Common_InputFunctions.Utility_DisplayArrayInTable(Common_SourceData.Common_SourceData_EFN2O_Data(), Table_SourceData_Common_EFN2O[[#Headers],[Production system j]], 0)</f>
        <v>Not irrigated</v>
      </c>
      <c r="H192" s="3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8" t="str" cm="1">
        <f t="array" ref="D193">Common_InputFunctions.Utility_DisplayArrayInTable(Common_SourceData.Common_SourceData_EFN2O_Data(), Table_SourceData_Common_EFN2O[[#Headers],[Production system j]], 0)</f>
        <v>Sugar</v>
      </c>
      <c r="E193" s="38" cm="1">
        <f t="array" ref="E193">Common_InputFunctions.Utility_DisplayArrayInTable(Common_SourceData.Common_SourceData_EFN2O_Data(), Table_SourceData_Common_EFN2O[[#Headers],[Production system j]], 0)</f>
        <v>1.9900000000000001E-2</v>
      </c>
      <c r="F193" s="38" t="str" cm="1">
        <f t="array" ref="F193">Common_InputFunctions.Utility_DisplayArrayInTable(Common_SourceData.Common_SourceData_EFN2O_Data(), Table_SourceData_Common_EFN2O[[#Headers],[Production system j]], 0)</f>
        <v>Sugar</v>
      </c>
      <c r="G193" s="38" t="str" cm="1">
        <f t="array" ref="G193">Common_InputFunctions.Utility_DisplayArrayInTable(Common_SourceData.Common_SourceData_EFN2O_Data(), Table_SourceData_Common_EFN2O[[#Headers],[Production system j]], 0)</f>
        <v>Any</v>
      </c>
      <c r="H193" s="38" t="str" cm="1">
        <f t="array" ref="H193">Common_InputFunctions.Utility_DisplayArrayInTable(Common_SourceData.Common_SourceData_EFN2O_Data(), Table_SourceData_Common_EFN2O[[#Headers],[Production system j]], 0)</f>
        <v>Any</v>
      </c>
    </row>
    <row r="194" spans="4:8" ht="20.100000000000001" customHeight="1" x14ac:dyDescent="0.25">
      <c r="D194" s="38" t="str" cm="1">
        <f t="array" ref="D194">Common_InputFunctions.Utility_DisplayArrayInTable(Common_SourceData.Common_SourceData_EFN2O_Data(), Table_SourceData_Common_EFN2O[[#Headers],[Production system j]], 0)</f>
        <v>Cotton</v>
      </c>
      <c r="E194" s="38" cm="1">
        <f t="array" ref="E194">Common_InputFunctions.Utility_DisplayArrayInTable(Common_SourceData.Common_SourceData_EFN2O_Data(), Table_SourceData_Common_EFN2O[[#Headers],[Production system j]], 0)</f>
        <v>5.3E-3</v>
      </c>
      <c r="F194" s="38" t="str" cm="1">
        <f t="array" ref="F194">Common_InputFunctions.Utility_DisplayArrayInTable(Common_SourceData.Common_SourceData_EFN2O_Data(), Table_SourceData_Common_EFN2O[[#Headers],[Production system j]], 0)</f>
        <v>Cotton</v>
      </c>
      <c r="G194" s="38" t="str" cm="1">
        <f t="array" ref="G194">Common_InputFunctions.Utility_DisplayArrayInTable(Common_SourceData.Common_SourceData_EFN2O_Data(), Table_SourceData_Common_EFN2O[[#Headers],[Production system j]], 0)</f>
        <v>Any</v>
      </c>
      <c r="H194" s="38" t="str" cm="1">
        <f t="array" ref="H194">Common_InputFunctions.Utility_DisplayArrayInTable(Common_SourceData.Common_SourceData_EFN2O_Data(), Table_SourceData_Common_EFN2O[[#Headers],[Production system j]], 0)</f>
        <v>Any</v>
      </c>
    </row>
    <row r="195" spans="4:8" ht="20.100000000000001" customHeight="1" x14ac:dyDescent="0.25">
      <c r="D195" s="38" t="str" cm="1">
        <f t="array" ref="D195">Common_InputFunctions.Utility_DisplayArrayInTable(Common_SourceData.Common_SourceData_EFN2O_Data(), Table_SourceData_Common_EFN2O[[#Headers],[Production system j]], 0)</f>
        <v>Horticultural crops</v>
      </c>
      <c r="E195" s="38" cm="1">
        <f t="array" ref="E195">Common_InputFunctions.Utility_DisplayArrayInTable(Common_SourceData.Common_SourceData_EFN2O_Data(), Table_SourceData_Common_EFN2O[[#Headers],[Production system j]], 0)</f>
        <v>6.4000000000000003E-3</v>
      </c>
      <c r="F195" s="38" t="str" cm="1">
        <f t="array" ref="F195">Common_InputFunctions.Utility_DisplayArrayInTable(Common_SourceData.Common_SourceData_EFN2O_Data(), Table_SourceData_Common_EFN2O[[#Headers],[Production system j]], 0)</f>
        <v>Horticultural crops</v>
      </c>
      <c r="G195" s="38" t="str" cm="1">
        <f t="array" ref="G195">Common_InputFunctions.Utility_DisplayArrayInTable(Common_SourceData.Common_SourceData_EFN2O_Data(), Table_SourceData_Common_EFN2O[[#Headers],[Production system j]], 0)</f>
        <v>Any</v>
      </c>
      <c r="H195" s="38" t="str" cm="1">
        <f t="array" ref="H195">Common_InputFunctions.Utility_DisplayArrayInTable(Common_SourceData.Common_SourceData_EFN2O_Data(), Table_SourceData_Common_EFN2O[[#Headers],[Production system j]], 0)</f>
        <v>Any</v>
      </c>
    </row>
    <row r="196" spans="4:8" ht="20.100000000000001" customHeight="1" x14ac:dyDescent="0.25">
      <c r="D196" s="38" t="str" cm="1">
        <f t="array" ref="D196">Common_InputFunctions.Utility_DisplayArrayInTable(Common_SourceData.Common_SourceData_EFN2O_Data(), Table_SourceData_Common_EFN2O[[#Headers],[Production system j]], 0)</f>
        <v>Rice (continuous flooding)</v>
      </c>
      <c r="E196" s="38" cm="1">
        <f t="array" ref="E196">Common_InputFunctions.Utility_DisplayArrayInTable(Common_SourceData.Common_SourceData_EFN2O_Data(), Table_SourceData_Common_EFN2O[[#Headers],[Production system j]], 0)</f>
        <v>3.0000000000000001E-3</v>
      </c>
      <c r="F196" s="38" t="str" cm="1">
        <f t="array" ref="F196">Common_InputFunctions.Utility_DisplayArrayInTable(Common_SourceData.Common_SourceData_EFN2O_Data(), Table_SourceData_Common_EFN2O[[#Headers],[Production system j]], 0)</f>
        <v>Rice</v>
      </c>
      <c r="G196" s="38" t="str" cm="1">
        <f t="array" ref="G196">Common_InputFunctions.Utility_DisplayArrayInTable(Common_SourceData.Common_SourceData_EFN2O_Data(), Table_SourceData_Common_EFN2O[[#Headers],[Production system j]], 0)</f>
        <v>Continuous flooding</v>
      </c>
      <c r="H196" s="38" t="str" cm="1">
        <f t="array" ref="H196">Common_InputFunctions.Utility_DisplayArrayInTable(Common_SourceData.Common_SourceData_EFN2O_Data(), Table_SourceData_Common_EFN2O[[#Headers],[Production system j]], 0)</f>
        <v>Any</v>
      </c>
    </row>
    <row r="197" spans="4:8" x14ac:dyDescent="0.25">
      <c r="D197" s="38" t="str" cm="1">
        <f t="array" ref="D197">Common_InputFunctions.Utility_DisplayArrayInTable(Common_SourceData.Common_SourceData_EFN2O_Data(), Table_SourceData_Common_EFN2O[[#Headers],[Production system j]], 0)</f>
        <v>Rice (single and multiple drainage, or alternate wetting and drying)</v>
      </c>
      <c r="E197" s="38" cm="1">
        <f t="array" ref="E197">Common_InputFunctions.Utility_DisplayArrayInTable(Common_SourceData.Common_SourceData_EFN2O_Data(), Table_SourceData_Common_EFN2O[[#Headers],[Production system j]], 0)</f>
        <v>5.0000000000000001E-3</v>
      </c>
      <c r="F197" s="38" t="str" cm="1">
        <f t="array" ref="F197">Common_InputFunctions.Utility_DisplayArrayInTable(Common_SourceData.Common_SourceData_EFN2O_Data(), Table_SourceData_Common_EFN2O[[#Headers],[Production system j]], 0)</f>
        <v>Rice</v>
      </c>
      <c r="G197" s="38" t="str" cm="1">
        <f t="array" ref="G197">Common_InputFunctions.Utility_DisplayArrayInTable(Common_SourceData.Common_SourceData_EFN2O_Data(), Table_SourceData_Common_EFN2O[[#Headers],[Production system j]], 0)</f>
        <v>Single and multiple drainage, or alternate wetting and drying</v>
      </c>
      <c r="H197" s="38" t="str" cm="1">
        <f t="array" ref="H197">Common_InputFunctions.Utility_DisplayArrayInTable(Common_SourceData.Common_SourceData_EFN2O_Data(), Table_SourceData_Common_EFN2O[[#Headers],[Production system j]], 0)</f>
        <v>Any</v>
      </c>
    </row>
    <row r="198" spans="4:8" x14ac:dyDescent="0.25">
      <c r="D198" s="38" t="str" cm="1">
        <f t="array" ref="D198">Common_InputFunctions.Utility_DisplayArrayInTable(Common_SourceData.Common_SourceData_EFN2O_Data(), Table_SourceData_Common_EFN2O[[#Headers],[Production system j]], 0)</f>
        <v>Aquaculture</v>
      </c>
      <c r="E198" s="38" cm="1">
        <f t="array" ref="E198">Common_InputFunctions.Utility_DisplayArrayInTable(Common_SourceData.Common_SourceData_EFN2O_Data(), Table_SourceData_Common_EFN2O[[#Headers],[Production system j]], 0)</f>
        <v>2.5999999999999999E-3</v>
      </c>
      <c r="F198" s="38" t="str" cm="1">
        <f t="array" ref="F198">Common_InputFunctions.Utility_DisplayArrayInTable(Common_SourceData.Common_SourceData_EFN2O_Data(), Table_SourceData_Common_EFN2O[[#Headers],[Production system j]], 0)</f>
        <v>Aquaculture</v>
      </c>
      <c r="G198" s="38" t="str" cm="1">
        <f t="array" ref="G198">Common_InputFunctions.Utility_DisplayArrayInTable(Common_SourceData.Common_SourceData_EFN2O_Data(), Table_SourceData_Common_EFN2O[[#Headers],[Production system j]], 0)</f>
        <v>Any</v>
      </c>
      <c r="H198" s="38" t="str" cm="1">
        <f t="array" ref="H198">Common_InputFunctions.Utility_DisplayArrayInTable(Common_SourceData.Common_SourceData_EFN2O_Data(), Table_SourceData_Common_EFN2O[[#Headers],[Production system j]], 0)</f>
        <v>Any</v>
      </c>
    </row>
    <row r="199" spans="4:8" x14ac:dyDescent="0.25">
      <c r="D199" s="38" t="str" cm="1">
        <f t="array" ref="D199">Common_InputFunctions.Utility_DisplayArrayInTable(Common_SourceData.Common_SourceData_EFN2O_Data(), Table_SourceData_Common_EFN2O[[#Headers],[Production system j]], 0)</f>
        <v>Forestry</v>
      </c>
      <c r="E199" s="38" cm="1">
        <f t="array" ref="E199">Common_InputFunctions.Utility_DisplayArrayInTable(Common_SourceData.Common_SourceData_EFN2O_Data(), Table_SourceData_Common_EFN2O[[#Headers],[Production system j]], 0)</f>
        <v>1.8E-3</v>
      </c>
      <c r="F199" s="38" t="str" cm="1">
        <f t="array" ref="F199">Common_InputFunctions.Utility_DisplayArrayInTable(Common_SourceData.Common_SourceData_EFN2O_Data(), Table_SourceData_Common_EFN2O[[#Headers],[Production system j]], 0)</f>
        <v>Forestry</v>
      </c>
      <c r="G199" s="38" t="str" cm="1">
        <f t="array" ref="G199">Common_InputFunctions.Utility_DisplayArrayInTable(Common_SourceData.Common_SourceData_EFN2O_Data(), Table_SourceData_Common_EFN2O[[#Headers],[Production system j]], 0)</f>
        <v>Any</v>
      </c>
      <c r="H199" s="3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4" t="str" cm="1">
        <f t="array" ref="D204">Common_SourceData.Common_SourceData_EFPastureRangeAndPaddock_Variation()</f>
        <v>VARIATION FROM SOURCE DATA: Changed 'Dry climate zones' to singular 'Dry climate zone' to aid lookup.</v>
      </c>
    </row>
    <row r="205" spans="4:8" x14ac:dyDescent="0.25">
      <c r="D205" s="53" t="str" cm="1">
        <f t="array" ref="D205">Common_SourceData.Common_SourceData_EFPastureRangeAndPaddock_Unit()</f>
        <v>kg N2O - N / kg N</v>
      </c>
    </row>
    <row r="206" spans="4:8" x14ac:dyDescent="0.25">
      <c r="D206" s="38" t="s">
        <v>7</v>
      </c>
      <c r="E206" s="38" t="s">
        <v>113</v>
      </c>
    </row>
    <row r="207" spans="4:8" x14ac:dyDescent="0.25">
      <c r="D207" s="38" t="str" cm="1">
        <f t="array" ref="D207">Common_InputFunctions.Utility_DisplayArrayInTable(Common_SourceData.Common_SourceData_EFPastureRangeAndPaddock_Data(), Table_SourceData_EFPastureRangeAndPaddock[[#Headers],[Climate zone]], 0)</f>
        <v>Wet climate zone</v>
      </c>
      <c r="E207" s="3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8" t="s">
        <v>114</v>
      </c>
      <c r="E212" s="38" t="s">
        <v>115</v>
      </c>
    </row>
    <row r="213" spans="4:5" x14ac:dyDescent="0.25">
      <c r="D213" s="38" t="str" cm="1">
        <f t="array" ref="D213">Common_InputFunctions.Utility_DisplayArrayInTable(Common_SourceData.Common_SourceData_MonthsToSeasons_Data(), Table_SourceData_Common_MonthToSeason[[#Headers],[Month]], 0)</f>
        <v>January</v>
      </c>
      <c r="E213" s="3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8" t="s">
        <v>48</v>
      </c>
      <c r="E231" s="38" t="s">
        <v>123</v>
      </c>
      <c r="F231" s="37" t="s">
        <v>124</v>
      </c>
      <c r="G231" s="38" t="s">
        <v>125</v>
      </c>
      <c r="H231" s="38" t="s">
        <v>126</v>
      </c>
      <c r="I231" s="38" t="s">
        <v>127</v>
      </c>
      <c r="J231" s="38" t="s">
        <v>128</v>
      </c>
      <c r="K231" s="38" t="s">
        <v>129</v>
      </c>
      <c r="L231" s="38" t="s">
        <v>130</v>
      </c>
      <c r="M231" s="38" t="s">
        <v>131</v>
      </c>
      <c r="N231" s="38" t="s">
        <v>132</v>
      </c>
      <c r="O231" s="38" t="s">
        <v>133</v>
      </c>
      <c r="P231" s="38" t="s">
        <v>134</v>
      </c>
      <c r="Q231" s="38" t="s">
        <v>121</v>
      </c>
      <c r="R231" s="38" t="s">
        <v>135</v>
      </c>
      <c r="S231" s="38" t="s">
        <v>136</v>
      </c>
    </row>
    <row r="232" spans="4:19" x14ac:dyDescent="0.25">
      <c r="D232" s="38" t="str" cm="1">
        <f t="array" ref="D232">Common_InputFunctions.Utility_DisplayArrayInTable(Common_SourceData.Common_SourceData_MCFTemperatureZone_Data(),Table_SourceData_Common_MCFTemperatureZone[[#Headers],[Temperature zone]],0)</f>
        <v>Cool</v>
      </c>
      <c r="E232" s="38" t="str" cm="1">
        <f t="array" ref="E232">Common_InputFunctions.Utility_DisplayArrayInTable(Common_SourceData.Common_SourceData_MCFTemperatureZone_Data(),Table_SourceData_Common_MCFTemperatureZone[[#Headers],[Temperature zone]],0)</f>
        <v>≤10</v>
      </c>
      <c r="F232" s="38" cm="1">
        <f t="array" ref="F232">Common_InputFunctions.Utility_DisplayArrayInTable(Common_SourceData.Common_SourceData_MCFTemperatureZone_Data(),Table_SourceData_Common_MCFTemperatureZone[[#Headers],[Temperature zone]],0)</f>
        <v>0.66</v>
      </c>
      <c r="G232" s="38" cm="1">
        <f t="array" ref="G232">Common_InputFunctions.Utility_DisplayArrayInTable(Common_SourceData.Common_SourceData_MCFTemperatureZone_Data(),Table_SourceData_Common_MCFTemperatureZone[[#Headers],[Temperature zone]],0)</f>
        <v>0.1</v>
      </c>
      <c r="H232" s="38" cm="1">
        <f t="array" ref="H232">Common_InputFunctions.Utility_DisplayArrayInTable(Common_SourceData.Common_SourceData_MCFTemperatureZone_Data(),Table_SourceData_Common_MCFTemperatureZone[[#Headers],[Temperature zone]],0)</f>
        <v>0.1</v>
      </c>
      <c r="I232" s="38" cm="1">
        <f t="array" ref="I232">Common_InputFunctions.Utility_DisplayArrayInTable(Common_SourceData.Common_SourceData_MCFTemperatureZone_Data(),Table_SourceData_Common_MCFTemperatureZone[[#Headers],[Temperature zone]],0)</f>
        <v>1E-3</v>
      </c>
      <c r="J232" s="38" cm="1">
        <f t="array" ref="J232">Common_InputFunctions.Utility_DisplayArrayInTable(Common_SourceData.Common_SourceData_MCFTemperatureZone_Data(),Table_SourceData_Common_MCFTemperatureZone[[#Headers],[Temperature zone]],0)</f>
        <v>5.0000000000000001E-3</v>
      </c>
      <c r="K232" s="38" cm="1">
        <f t="array" ref="K232">Common_InputFunctions.Utility_DisplayArrayInTable(Common_SourceData.Common_SourceData_MCFTemperatureZone_Data(),Table_SourceData_Common_MCFTemperatureZone[[#Headers],[Temperature zone]],0)</f>
        <v>0.02</v>
      </c>
      <c r="L232" s="38" cm="1">
        <f t="array" ref="L232">Common_InputFunctions.Utility_DisplayArrayInTable(Common_SourceData.Common_SourceData_MCFTemperatureZone_Data(),Table_SourceData_Common_MCFTemperatureZone[[#Headers],[Temperature zone]],0)</f>
        <v>0.03</v>
      </c>
      <c r="M232" s="38" cm="1">
        <f t="array" ref="M232">Common_InputFunctions.Utility_DisplayArrayInTable(Common_SourceData.Common_SourceData_MCFTemperatureZone_Data(),Table_SourceData_Common_MCFTemperatureZone[[#Headers],[Temperature zone]],0)</f>
        <v>0.04</v>
      </c>
      <c r="N232" s="38" cm="1">
        <f t="array" ref="N232">Common_InputFunctions.Utility_DisplayArrayInTable(Common_SourceData.Common_SourceData_MCFTemperatureZone_Data(),Table_SourceData_Common_MCFTemperatureZone[[#Headers],[Temperature zone]],0)</f>
        <v>1.4999999999999999E-2</v>
      </c>
      <c r="O232" s="38" cm="1">
        <f t="array" ref="O232">Common_InputFunctions.Utility_DisplayArrayInTable(Common_SourceData.Common_SourceData_MCFTemperatureZone_Data(),Table_SourceData_Common_MCFTemperatureZone[[#Headers],[Temperature zone]],0)</f>
        <v>1.4999999999999999E-2</v>
      </c>
      <c r="P232" s="38" cm="1">
        <f t="array" ref="P232">Common_InputFunctions.Utility_DisplayArrayInTable(Common_SourceData.Common_SourceData_MCFTemperatureZone_Data(),Table_SourceData_Common_MCFTemperatureZone[[#Headers],[Temperature zone]],0)</f>
        <v>0</v>
      </c>
      <c r="Q232" s="38" cm="1">
        <f t="array" ref="Q232">Common_InputFunctions.Utility_DisplayArrayInTable(Common_SourceData.Common_SourceData_MCFTemperatureZone_Data(),Table_SourceData_Common_MCFTemperatureZone[[#Headers],[Temperature zone]],0)</f>
        <v>0</v>
      </c>
      <c r="R232" s="38" cm="1">
        <f t="array" ref="R232">Common_InputFunctions.Utility_DisplayArrayInTable(Common_SourceData.Common_SourceData_MCFTemperatureZone_Data(),Table_SourceData_Common_MCFTemperatureZone[[#Headers],[Temperature zone]],0)</f>
        <v>4.7000000000000002E-3</v>
      </c>
      <c r="S232" s="3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8" cm="1">
        <f t="array" ref="E233">Common_InputFunctions.Utility_DisplayArrayInTable(Common_SourceData.Common_SourceData_MCFTemperatureZone_Data(),Table_SourceData_Common_MCFTemperatureZone[[#Headers],[Temperature zone]],0)</f>
        <v>11</v>
      </c>
      <c r="F233" s="38" cm="1">
        <f t="array" ref="F233">Common_InputFunctions.Utility_DisplayArrayInTable(Common_SourceData.Common_SourceData_MCFTemperatureZone_Data(),Table_SourceData_Common_MCFTemperatureZone[[#Headers],[Temperature zone]],0)</f>
        <v>0.68</v>
      </c>
      <c r="G233" s="38" cm="1">
        <f t="array" ref="G233">Common_InputFunctions.Utility_DisplayArrayInTable(Common_SourceData.Common_SourceData_MCFTemperatureZone_Data(),Table_SourceData_Common_MCFTemperatureZone[[#Headers],[Temperature zone]],0)</f>
        <v>0.1</v>
      </c>
      <c r="H233" s="38" cm="1">
        <f t="array" ref="H233">Common_InputFunctions.Utility_DisplayArrayInTable(Common_SourceData.Common_SourceData_MCFTemperatureZone_Data(),Table_SourceData_Common_MCFTemperatureZone[[#Headers],[Temperature zone]],0)</f>
        <v>0.11</v>
      </c>
      <c r="I233" s="38" cm="1">
        <f t="array" ref="I233">Common_InputFunctions.Utility_DisplayArrayInTable(Common_SourceData.Common_SourceData_MCFTemperatureZone_Data(),Table_SourceData_Common_MCFTemperatureZone[[#Headers],[Temperature zone]],0)</f>
        <v>1E-3</v>
      </c>
      <c r="J233" s="38" cm="1">
        <f t="array" ref="J233">Common_InputFunctions.Utility_DisplayArrayInTable(Common_SourceData.Common_SourceData_MCFTemperatureZone_Data(),Table_SourceData_Common_MCFTemperatureZone[[#Headers],[Temperature zone]],0)</f>
        <v>5.0000000000000001E-3</v>
      </c>
      <c r="K233" s="38" cm="1">
        <f t="array" ref="K233">Common_InputFunctions.Utility_DisplayArrayInTable(Common_SourceData.Common_SourceData_MCFTemperatureZone_Data(),Table_SourceData_Common_MCFTemperatureZone[[#Headers],[Temperature zone]],0)</f>
        <v>0.02</v>
      </c>
      <c r="L233" s="38" cm="1">
        <f t="array" ref="L233">Common_InputFunctions.Utility_DisplayArrayInTable(Common_SourceData.Common_SourceData_MCFTemperatureZone_Data(),Table_SourceData_Common_MCFTemperatureZone[[#Headers],[Temperature zone]],0)</f>
        <v>0.03</v>
      </c>
      <c r="M233" s="38" cm="1">
        <f t="array" ref="M233">Common_InputFunctions.Utility_DisplayArrayInTable(Common_SourceData.Common_SourceData_MCFTemperatureZone_Data(),Table_SourceData_Common_MCFTemperatureZone[[#Headers],[Temperature zone]],0)</f>
        <v>0.04</v>
      </c>
      <c r="N233" s="38" cm="1">
        <f t="array" ref="N233">Common_InputFunctions.Utility_DisplayArrayInTable(Common_SourceData.Common_SourceData_MCFTemperatureZone_Data(),Table_SourceData_Common_MCFTemperatureZone[[#Headers],[Temperature zone]],0)</f>
        <v>1.4999999999999999E-2</v>
      </c>
      <c r="O233" s="38" cm="1">
        <f t="array" ref="O233">Common_InputFunctions.Utility_DisplayArrayInTable(Common_SourceData.Common_SourceData_MCFTemperatureZone_Data(),Table_SourceData_Common_MCFTemperatureZone[[#Headers],[Temperature zone]],0)</f>
        <v>1.4999999999999999E-2</v>
      </c>
      <c r="P233" s="38" cm="1">
        <f t="array" ref="P233">Common_InputFunctions.Utility_DisplayArrayInTable(Common_SourceData.Common_SourceData_MCFTemperatureZone_Data(),Table_SourceData_Common_MCFTemperatureZone[[#Headers],[Temperature zone]],0)</f>
        <v>0</v>
      </c>
      <c r="Q233" s="38" cm="1">
        <f t="array" ref="Q233">Common_InputFunctions.Utility_DisplayArrayInTable(Common_SourceData.Common_SourceData_MCFTemperatureZone_Data(),Table_SourceData_Common_MCFTemperatureZone[[#Headers],[Temperature zone]],0)</f>
        <v>0</v>
      </c>
      <c r="R233" s="38" cm="1">
        <f t="array" ref="R233">Common_InputFunctions.Utility_DisplayArrayInTable(Common_SourceData.Common_SourceData_MCFTemperatureZone_Data(),Table_SourceData_Common_MCFTemperatureZone[[#Headers],[Temperature zone]],0)</f>
        <v>4.7000000000000002E-3</v>
      </c>
      <c r="S233" s="3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8" cm="1">
        <f t="array" ref="E234">Common_InputFunctions.Utility_DisplayArrayInTable(Common_SourceData.Common_SourceData_MCFTemperatureZone_Data(),Table_SourceData_Common_MCFTemperatureZone[[#Headers],[Temperature zone]],0)</f>
        <v>12</v>
      </c>
      <c r="F234" s="38" cm="1">
        <f t="array" ref="F234">Common_InputFunctions.Utility_DisplayArrayInTable(Common_SourceData.Common_SourceData_MCFTemperatureZone_Data(),Table_SourceData_Common_MCFTemperatureZone[[#Headers],[Temperature zone]],0)</f>
        <v>0.7</v>
      </c>
      <c r="G234" s="38" cm="1">
        <f t="array" ref="G234">Common_InputFunctions.Utility_DisplayArrayInTable(Common_SourceData.Common_SourceData_MCFTemperatureZone_Data(),Table_SourceData_Common_MCFTemperatureZone[[#Headers],[Temperature zone]],0)</f>
        <v>0.1</v>
      </c>
      <c r="H234" s="38" cm="1">
        <f t="array" ref="H234">Common_InputFunctions.Utility_DisplayArrayInTable(Common_SourceData.Common_SourceData_MCFTemperatureZone_Data(),Table_SourceData_Common_MCFTemperatureZone[[#Headers],[Temperature zone]],0)</f>
        <v>0.13</v>
      </c>
      <c r="I234" s="38" cm="1">
        <f t="array" ref="I234">Common_InputFunctions.Utility_DisplayArrayInTable(Common_SourceData.Common_SourceData_MCFTemperatureZone_Data(),Table_SourceData_Common_MCFTemperatureZone[[#Headers],[Temperature zone]],0)</f>
        <v>1E-3</v>
      </c>
      <c r="J234" s="38" cm="1">
        <f t="array" ref="J234">Common_InputFunctions.Utility_DisplayArrayInTable(Common_SourceData.Common_SourceData_MCFTemperatureZone_Data(),Table_SourceData_Common_MCFTemperatureZone[[#Headers],[Temperature zone]],0)</f>
        <v>5.0000000000000001E-3</v>
      </c>
      <c r="K234" s="38" cm="1">
        <f t="array" ref="K234">Common_InputFunctions.Utility_DisplayArrayInTable(Common_SourceData.Common_SourceData_MCFTemperatureZone_Data(),Table_SourceData_Common_MCFTemperatureZone[[#Headers],[Temperature zone]],0)</f>
        <v>0.02</v>
      </c>
      <c r="L234" s="38" cm="1">
        <f t="array" ref="L234">Common_InputFunctions.Utility_DisplayArrayInTable(Common_SourceData.Common_SourceData_MCFTemperatureZone_Data(),Table_SourceData_Common_MCFTemperatureZone[[#Headers],[Temperature zone]],0)</f>
        <v>0.03</v>
      </c>
      <c r="M234" s="38" cm="1">
        <f t="array" ref="M234">Common_InputFunctions.Utility_DisplayArrayInTable(Common_SourceData.Common_SourceData_MCFTemperatureZone_Data(),Table_SourceData_Common_MCFTemperatureZone[[#Headers],[Temperature zone]],0)</f>
        <v>0.04</v>
      </c>
      <c r="N234" s="38" cm="1">
        <f t="array" ref="N234">Common_InputFunctions.Utility_DisplayArrayInTable(Common_SourceData.Common_SourceData_MCFTemperatureZone_Data(),Table_SourceData_Common_MCFTemperatureZone[[#Headers],[Temperature zone]],0)</f>
        <v>1.4999999999999999E-2</v>
      </c>
      <c r="O234" s="38" cm="1">
        <f t="array" ref="O234">Common_InputFunctions.Utility_DisplayArrayInTable(Common_SourceData.Common_SourceData_MCFTemperatureZone_Data(),Table_SourceData_Common_MCFTemperatureZone[[#Headers],[Temperature zone]],0)</f>
        <v>1.4999999999999999E-2</v>
      </c>
      <c r="P234" s="38" cm="1">
        <f t="array" ref="P234">Common_InputFunctions.Utility_DisplayArrayInTable(Common_SourceData.Common_SourceData_MCFTemperatureZone_Data(),Table_SourceData_Common_MCFTemperatureZone[[#Headers],[Temperature zone]],0)</f>
        <v>0</v>
      </c>
      <c r="Q234" s="38" cm="1">
        <f t="array" ref="Q234">Common_InputFunctions.Utility_DisplayArrayInTable(Common_SourceData.Common_SourceData_MCFTemperatureZone_Data(),Table_SourceData_Common_MCFTemperatureZone[[#Headers],[Temperature zone]],0)</f>
        <v>0</v>
      </c>
      <c r="R234" s="38" cm="1">
        <f t="array" ref="R234">Common_InputFunctions.Utility_DisplayArrayInTable(Common_SourceData.Common_SourceData_MCFTemperatureZone_Data(),Table_SourceData_Common_MCFTemperatureZone[[#Headers],[Temperature zone]],0)</f>
        <v>4.7000000000000002E-3</v>
      </c>
      <c r="S234" s="3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8" cm="1">
        <f t="array" ref="E235">Common_InputFunctions.Utility_DisplayArrayInTable(Common_SourceData.Common_SourceData_MCFTemperatureZone_Data(),Table_SourceData_Common_MCFTemperatureZone[[#Headers],[Temperature zone]],0)</f>
        <v>13</v>
      </c>
      <c r="F235" s="38" cm="1">
        <f t="array" ref="F235">Common_InputFunctions.Utility_DisplayArrayInTable(Common_SourceData.Common_SourceData_MCFTemperatureZone_Data(),Table_SourceData_Common_MCFTemperatureZone[[#Headers],[Temperature zone]],0)</f>
        <v>0.71</v>
      </c>
      <c r="G235" s="38" cm="1">
        <f t="array" ref="G235">Common_InputFunctions.Utility_DisplayArrayInTable(Common_SourceData.Common_SourceData_MCFTemperatureZone_Data(),Table_SourceData_Common_MCFTemperatureZone[[#Headers],[Temperature zone]],0)</f>
        <v>0.1</v>
      </c>
      <c r="H235" s="38" cm="1">
        <f t="array" ref="H235">Common_InputFunctions.Utility_DisplayArrayInTable(Common_SourceData.Common_SourceData_MCFTemperatureZone_Data(),Table_SourceData_Common_MCFTemperatureZone[[#Headers],[Temperature zone]],0)</f>
        <v>0.14000000000000001</v>
      </c>
      <c r="I235" s="38" cm="1">
        <f t="array" ref="I235">Common_InputFunctions.Utility_DisplayArrayInTable(Common_SourceData.Common_SourceData_MCFTemperatureZone_Data(),Table_SourceData_Common_MCFTemperatureZone[[#Headers],[Temperature zone]],0)</f>
        <v>1E-3</v>
      </c>
      <c r="J235" s="38" cm="1">
        <f t="array" ref="J235">Common_InputFunctions.Utility_DisplayArrayInTable(Common_SourceData.Common_SourceData_MCFTemperatureZone_Data(),Table_SourceData_Common_MCFTemperatureZone[[#Headers],[Temperature zone]],0)</f>
        <v>5.0000000000000001E-3</v>
      </c>
      <c r="K235" s="38" cm="1">
        <f t="array" ref="K235">Common_InputFunctions.Utility_DisplayArrayInTable(Common_SourceData.Common_SourceData_MCFTemperatureZone_Data(),Table_SourceData_Common_MCFTemperatureZone[[#Headers],[Temperature zone]],0)</f>
        <v>0.02</v>
      </c>
      <c r="L235" s="38" cm="1">
        <f t="array" ref="L235">Common_InputFunctions.Utility_DisplayArrayInTable(Common_SourceData.Common_SourceData_MCFTemperatureZone_Data(),Table_SourceData_Common_MCFTemperatureZone[[#Headers],[Temperature zone]],0)</f>
        <v>0.03</v>
      </c>
      <c r="M235" s="38" cm="1">
        <f t="array" ref="M235">Common_InputFunctions.Utility_DisplayArrayInTable(Common_SourceData.Common_SourceData_MCFTemperatureZone_Data(),Table_SourceData_Common_MCFTemperatureZone[[#Headers],[Temperature zone]],0)</f>
        <v>0.04</v>
      </c>
      <c r="N235" s="38" cm="1">
        <f t="array" ref="N235">Common_InputFunctions.Utility_DisplayArrayInTable(Common_SourceData.Common_SourceData_MCFTemperatureZone_Data(),Table_SourceData_Common_MCFTemperatureZone[[#Headers],[Temperature zone]],0)</f>
        <v>1.4999999999999999E-2</v>
      </c>
      <c r="O235" s="38" cm="1">
        <f t="array" ref="O235">Common_InputFunctions.Utility_DisplayArrayInTable(Common_SourceData.Common_SourceData_MCFTemperatureZone_Data(),Table_SourceData_Common_MCFTemperatureZone[[#Headers],[Temperature zone]],0)</f>
        <v>1.4999999999999999E-2</v>
      </c>
      <c r="P235" s="38" cm="1">
        <f t="array" ref="P235">Common_InputFunctions.Utility_DisplayArrayInTable(Common_SourceData.Common_SourceData_MCFTemperatureZone_Data(),Table_SourceData_Common_MCFTemperatureZone[[#Headers],[Temperature zone]],0)</f>
        <v>0</v>
      </c>
      <c r="Q235" s="38" cm="1">
        <f t="array" ref="Q235">Common_InputFunctions.Utility_DisplayArrayInTable(Common_SourceData.Common_SourceData_MCFTemperatureZone_Data(),Table_SourceData_Common_MCFTemperatureZone[[#Headers],[Temperature zone]],0)</f>
        <v>0</v>
      </c>
      <c r="R235" s="38" cm="1">
        <f t="array" ref="R235">Common_InputFunctions.Utility_DisplayArrayInTable(Common_SourceData.Common_SourceData_MCFTemperatureZone_Data(),Table_SourceData_Common_MCFTemperatureZone[[#Headers],[Temperature zone]],0)</f>
        <v>4.7000000000000002E-3</v>
      </c>
      <c r="S235" s="3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8" cm="1">
        <f t="array" ref="E236">Common_InputFunctions.Utility_DisplayArrayInTable(Common_SourceData.Common_SourceData_MCFTemperatureZone_Data(),Table_SourceData_Common_MCFTemperatureZone[[#Headers],[Temperature zone]],0)</f>
        <v>14</v>
      </c>
      <c r="F236" s="38" cm="1">
        <f t="array" ref="F236">Common_InputFunctions.Utility_DisplayArrayInTable(Common_SourceData.Common_SourceData_MCFTemperatureZone_Data(),Table_SourceData_Common_MCFTemperatureZone[[#Headers],[Temperature zone]],0)</f>
        <v>0.73</v>
      </c>
      <c r="G236" s="38" cm="1">
        <f t="array" ref="G236">Common_InputFunctions.Utility_DisplayArrayInTable(Common_SourceData.Common_SourceData_MCFTemperatureZone_Data(),Table_SourceData_Common_MCFTemperatureZone[[#Headers],[Temperature zone]],0)</f>
        <v>0.1</v>
      </c>
      <c r="H236" s="38" cm="1">
        <f t="array" ref="H236">Common_InputFunctions.Utility_DisplayArrayInTable(Common_SourceData.Common_SourceData_MCFTemperatureZone_Data(),Table_SourceData_Common_MCFTemperatureZone[[#Headers],[Temperature zone]],0)</f>
        <v>0.15</v>
      </c>
      <c r="I236" s="38" cm="1">
        <f t="array" ref="I236">Common_InputFunctions.Utility_DisplayArrayInTable(Common_SourceData.Common_SourceData_MCFTemperatureZone_Data(),Table_SourceData_Common_MCFTemperatureZone[[#Headers],[Temperature zone]],0)</f>
        <v>1E-3</v>
      </c>
      <c r="J236" s="38" cm="1">
        <f t="array" ref="J236">Common_InputFunctions.Utility_DisplayArrayInTable(Common_SourceData.Common_SourceData_MCFTemperatureZone_Data(),Table_SourceData_Common_MCFTemperatureZone[[#Headers],[Temperature zone]],0)</f>
        <v>5.0000000000000001E-3</v>
      </c>
      <c r="K236" s="38" cm="1">
        <f t="array" ref="K236">Common_InputFunctions.Utility_DisplayArrayInTable(Common_SourceData.Common_SourceData_MCFTemperatureZone_Data(),Table_SourceData_Common_MCFTemperatureZone[[#Headers],[Temperature zone]],0)</f>
        <v>0.02</v>
      </c>
      <c r="L236" s="38" cm="1">
        <f t="array" ref="L236">Common_InputFunctions.Utility_DisplayArrayInTable(Common_SourceData.Common_SourceData_MCFTemperatureZone_Data(),Table_SourceData_Common_MCFTemperatureZone[[#Headers],[Temperature zone]],0)</f>
        <v>0.03</v>
      </c>
      <c r="M236" s="38" cm="1">
        <f t="array" ref="M236">Common_InputFunctions.Utility_DisplayArrayInTable(Common_SourceData.Common_SourceData_MCFTemperatureZone_Data(),Table_SourceData_Common_MCFTemperatureZone[[#Headers],[Temperature zone]],0)</f>
        <v>0.04</v>
      </c>
      <c r="N236" s="38" cm="1">
        <f t="array" ref="N236">Common_InputFunctions.Utility_DisplayArrayInTable(Common_SourceData.Common_SourceData_MCFTemperatureZone_Data(),Table_SourceData_Common_MCFTemperatureZone[[#Headers],[Temperature zone]],0)</f>
        <v>1.4999999999999999E-2</v>
      </c>
      <c r="O236" s="38" cm="1">
        <f t="array" ref="O236">Common_InputFunctions.Utility_DisplayArrayInTable(Common_SourceData.Common_SourceData_MCFTemperatureZone_Data(),Table_SourceData_Common_MCFTemperatureZone[[#Headers],[Temperature zone]],0)</f>
        <v>1.4999999999999999E-2</v>
      </c>
      <c r="P236" s="38" cm="1">
        <f t="array" ref="P236">Common_InputFunctions.Utility_DisplayArrayInTable(Common_SourceData.Common_SourceData_MCFTemperatureZone_Data(),Table_SourceData_Common_MCFTemperatureZone[[#Headers],[Temperature zone]],0)</f>
        <v>0</v>
      </c>
      <c r="Q236" s="38" cm="1">
        <f t="array" ref="Q236">Common_InputFunctions.Utility_DisplayArrayInTable(Common_SourceData.Common_SourceData_MCFTemperatureZone_Data(),Table_SourceData_Common_MCFTemperatureZone[[#Headers],[Temperature zone]],0)</f>
        <v>0</v>
      </c>
      <c r="R236" s="38" cm="1">
        <f t="array" ref="R236">Common_InputFunctions.Utility_DisplayArrayInTable(Common_SourceData.Common_SourceData_MCFTemperatureZone_Data(),Table_SourceData_Common_MCFTemperatureZone[[#Headers],[Temperature zone]],0)</f>
        <v>4.7000000000000002E-3</v>
      </c>
      <c r="S236" s="3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8" cm="1">
        <f t="array" ref="E237">Common_InputFunctions.Utility_DisplayArrayInTable(Common_SourceData.Common_SourceData_MCFTemperatureZone_Data(),Table_SourceData_Common_MCFTemperatureZone[[#Headers],[Temperature zone]],0)</f>
        <v>15</v>
      </c>
      <c r="F237" s="38" cm="1">
        <f t="array" ref="F237">Common_InputFunctions.Utility_DisplayArrayInTable(Common_SourceData.Common_SourceData_MCFTemperatureZone_Data(),Table_SourceData_Common_MCFTemperatureZone[[#Headers],[Temperature zone]],0)</f>
        <v>0.74</v>
      </c>
      <c r="G237" s="38" cm="1">
        <f t="array" ref="G237">Common_InputFunctions.Utility_DisplayArrayInTable(Common_SourceData.Common_SourceData_MCFTemperatureZone_Data(),Table_SourceData_Common_MCFTemperatureZone[[#Headers],[Temperature zone]],0)</f>
        <v>0.1</v>
      </c>
      <c r="H237" s="38" cm="1">
        <f t="array" ref="H237">Common_InputFunctions.Utility_DisplayArrayInTable(Common_SourceData.Common_SourceData_MCFTemperatureZone_Data(),Table_SourceData_Common_MCFTemperatureZone[[#Headers],[Temperature zone]],0)</f>
        <v>0.17</v>
      </c>
      <c r="I237" s="38" cm="1">
        <f t="array" ref="I237">Common_InputFunctions.Utility_DisplayArrayInTable(Common_SourceData.Common_SourceData_MCFTemperatureZone_Data(),Table_SourceData_Common_MCFTemperatureZone[[#Headers],[Temperature zone]],0)</f>
        <v>5.0000000000000001E-3</v>
      </c>
      <c r="J237" s="38" cm="1">
        <f t="array" ref="J237">Common_InputFunctions.Utility_DisplayArrayInTable(Common_SourceData.Common_SourceData_MCFTemperatureZone_Data(),Table_SourceData_Common_MCFTemperatureZone[[#Headers],[Temperature zone]],0)</f>
        <v>0.01</v>
      </c>
      <c r="K237" s="38" cm="1">
        <f t="array" ref="K237">Common_InputFunctions.Utility_DisplayArrayInTable(Common_SourceData.Common_SourceData_MCFTemperatureZone_Data(),Table_SourceData_Common_MCFTemperatureZone[[#Headers],[Temperature zone]],0)</f>
        <v>0.02</v>
      </c>
      <c r="L237" s="38" cm="1">
        <f t="array" ref="L237">Common_InputFunctions.Utility_DisplayArrayInTable(Common_SourceData.Common_SourceData_MCFTemperatureZone_Data(),Table_SourceData_Common_MCFTemperatureZone[[#Headers],[Temperature zone]],0)</f>
        <v>0.03</v>
      </c>
      <c r="M237" s="38" cm="1">
        <f t="array" ref="M237">Common_InputFunctions.Utility_DisplayArrayInTable(Common_SourceData.Common_SourceData_MCFTemperatureZone_Data(),Table_SourceData_Common_MCFTemperatureZone[[#Headers],[Temperature zone]],0)</f>
        <v>0.04</v>
      </c>
      <c r="N237" s="38" cm="1">
        <f t="array" ref="N237">Common_InputFunctions.Utility_DisplayArrayInTable(Common_SourceData.Common_SourceData_MCFTemperatureZone_Data(),Table_SourceData_Common_MCFTemperatureZone[[#Headers],[Temperature zone]],0)</f>
        <v>1.4999999999999999E-2</v>
      </c>
      <c r="O237" s="38" cm="1">
        <f t="array" ref="O237">Common_InputFunctions.Utility_DisplayArrayInTable(Common_SourceData.Common_SourceData_MCFTemperatureZone_Data(),Table_SourceData_Common_MCFTemperatureZone[[#Headers],[Temperature zone]],0)</f>
        <v>1.4999999999999999E-2</v>
      </c>
      <c r="P237" s="38" cm="1">
        <f t="array" ref="P237">Common_InputFunctions.Utility_DisplayArrayInTable(Common_SourceData.Common_SourceData_MCFTemperatureZone_Data(),Table_SourceData_Common_MCFTemperatureZone[[#Headers],[Temperature zone]],0)</f>
        <v>0</v>
      </c>
      <c r="Q237" s="38" cm="1">
        <f t="array" ref="Q237">Common_InputFunctions.Utility_DisplayArrayInTable(Common_SourceData.Common_SourceData_MCFTemperatureZone_Data(),Table_SourceData_Common_MCFTemperatureZone[[#Headers],[Temperature zone]],0)</f>
        <v>0</v>
      </c>
      <c r="R237" s="38" cm="1">
        <f t="array" ref="R237">Common_InputFunctions.Utility_DisplayArrayInTable(Common_SourceData.Common_SourceData_MCFTemperatureZone_Data(),Table_SourceData_Common_MCFTemperatureZone[[#Headers],[Temperature zone]],0)</f>
        <v>4.7000000000000002E-3</v>
      </c>
      <c r="S237" s="3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8" cm="1">
        <f t="array" ref="E238">Common_InputFunctions.Utility_DisplayArrayInTable(Common_SourceData.Common_SourceData_MCFTemperatureZone_Data(),Table_SourceData_Common_MCFTemperatureZone[[#Headers],[Temperature zone]],0)</f>
        <v>16</v>
      </c>
      <c r="F238" s="38" cm="1">
        <f t="array" ref="F238">Common_InputFunctions.Utility_DisplayArrayInTable(Common_SourceData.Common_SourceData_MCFTemperatureZone_Data(),Table_SourceData_Common_MCFTemperatureZone[[#Headers],[Temperature zone]],0)</f>
        <v>0.75</v>
      </c>
      <c r="G238" s="38" cm="1">
        <f t="array" ref="G238">Common_InputFunctions.Utility_DisplayArrayInTable(Common_SourceData.Common_SourceData_MCFTemperatureZone_Data(),Table_SourceData_Common_MCFTemperatureZone[[#Headers],[Temperature zone]],0)</f>
        <v>0.1</v>
      </c>
      <c r="H238" s="38" cm="1">
        <f t="array" ref="H238">Common_InputFunctions.Utility_DisplayArrayInTable(Common_SourceData.Common_SourceData_MCFTemperatureZone_Data(),Table_SourceData_Common_MCFTemperatureZone[[#Headers],[Temperature zone]],0)</f>
        <v>0.18</v>
      </c>
      <c r="I238" s="38" cm="1">
        <f t="array" ref="I238">Common_InputFunctions.Utility_DisplayArrayInTable(Common_SourceData.Common_SourceData_MCFTemperatureZone_Data(),Table_SourceData_Common_MCFTemperatureZone[[#Headers],[Temperature zone]],0)</f>
        <v>5.0000000000000001E-3</v>
      </c>
      <c r="J238" s="38" cm="1">
        <f t="array" ref="J238">Common_InputFunctions.Utility_DisplayArrayInTable(Common_SourceData.Common_SourceData_MCFTemperatureZone_Data(),Table_SourceData_Common_MCFTemperatureZone[[#Headers],[Temperature zone]],0)</f>
        <v>0.01</v>
      </c>
      <c r="K238" s="38" cm="1">
        <f t="array" ref="K238">Common_InputFunctions.Utility_DisplayArrayInTable(Common_SourceData.Common_SourceData_MCFTemperatureZone_Data(),Table_SourceData_Common_MCFTemperatureZone[[#Headers],[Temperature zone]],0)</f>
        <v>0.02</v>
      </c>
      <c r="L238" s="38" cm="1">
        <f t="array" ref="L238">Common_InputFunctions.Utility_DisplayArrayInTable(Common_SourceData.Common_SourceData_MCFTemperatureZone_Data(),Table_SourceData_Common_MCFTemperatureZone[[#Headers],[Temperature zone]],0)</f>
        <v>0.03</v>
      </c>
      <c r="M238" s="38" cm="1">
        <f t="array" ref="M238">Common_InputFunctions.Utility_DisplayArrayInTable(Common_SourceData.Common_SourceData_MCFTemperatureZone_Data(),Table_SourceData_Common_MCFTemperatureZone[[#Headers],[Temperature zone]],0)</f>
        <v>0.04</v>
      </c>
      <c r="N238" s="38" cm="1">
        <f t="array" ref="N238">Common_InputFunctions.Utility_DisplayArrayInTable(Common_SourceData.Common_SourceData_MCFTemperatureZone_Data(),Table_SourceData_Common_MCFTemperatureZone[[#Headers],[Temperature zone]],0)</f>
        <v>1.4999999999999999E-2</v>
      </c>
      <c r="O238" s="38" cm="1">
        <f t="array" ref="O238">Common_InputFunctions.Utility_DisplayArrayInTable(Common_SourceData.Common_SourceData_MCFTemperatureZone_Data(),Table_SourceData_Common_MCFTemperatureZone[[#Headers],[Temperature zone]],0)</f>
        <v>1.4999999999999999E-2</v>
      </c>
      <c r="P238" s="38" cm="1">
        <f t="array" ref="P238">Common_InputFunctions.Utility_DisplayArrayInTable(Common_SourceData.Common_SourceData_MCFTemperatureZone_Data(),Table_SourceData_Common_MCFTemperatureZone[[#Headers],[Temperature zone]],0)</f>
        <v>0</v>
      </c>
      <c r="Q238" s="38" cm="1">
        <f t="array" ref="Q238">Common_InputFunctions.Utility_DisplayArrayInTable(Common_SourceData.Common_SourceData_MCFTemperatureZone_Data(),Table_SourceData_Common_MCFTemperatureZone[[#Headers],[Temperature zone]],0)</f>
        <v>0</v>
      </c>
      <c r="R238" s="38" cm="1">
        <f t="array" ref="R238">Common_InputFunctions.Utility_DisplayArrayInTable(Common_SourceData.Common_SourceData_MCFTemperatureZone_Data(),Table_SourceData_Common_MCFTemperatureZone[[#Headers],[Temperature zone]],0)</f>
        <v>4.7000000000000002E-3</v>
      </c>
      <c r="S238" s="3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8" cm="1">
        <f t="array" ref="E239">Common_InputFunctions.Utility_DisplayArrayInTable(Common_SourceData.Common_SourceData_MCFTemperatureZone_Data(),Table_SourceData_Common_MCFTemperatureZone[[#Headers],[Temperature zone]],0)</f>
        <v>17</v>
      </c>
      <c r="F239" s="38" cm="1">
        <f t="array" ref="F239">Common_InputFunctions.Utility_DisplayArrayInTable(Common_SourceData.Common_SourceData_MCFTemperatureZone_Data(),Table_SourceData_Common_MCFTemperatureZone[[#Headers],[Temperature zone]],0)</f>
        <v>0.76</v>
      </c>
      <c r="G239" s="38" cm="1">
        <f t="array" ref="G239">Common_InputFunctions.Utility_DisplayArrayInTable(Common_SourceData.Common_SourceData_MCFTemperatureZone_Data(),Table_SourceData_Common_MCFTemperatureZone[[#Headers],[Temperature zone]],0)</f>
        <v>0.1</v>
      </c>
      <c r="H239" s="38" cm="1">
        <f t="array" ref="H239">Common_InputFunctions.Utility_DisplayArrayInTable(Common_SourceData.Common_SourceData_MCFTemperatureZone_Data(),Table_SourceData_Common_MCFTemperatureZone[[#Headers],[Temperature zone]],0)</f>
        <v>0.2</v>
      </c>
      <c r="I239" s="38" cm="1">
        <f t="array" ref="I239">Common_InputFunctions.Utility_DisplayArrayInTable(Common_SourceData.Common_SourceData_MCFTemperatureZone_Data(),Table_SourceData_Common_MCFTemperatureZone[[#Headers],[Temperature zone]],0)</f>
        <v>5.0000000000000001E-3</v>
      </c>
      <c r="J239" s="38" cm="1">
        <f t="array" ref="J239">Common_InputFunctions.Utility_DisplayArrayInTable(Common_SourceData.Common_SourceData_MCFTemperatureZone_Data(),Table_SourceData_Common_MCFTemperatureZone[[#Headers],[Temperature zone]],0)</f>
        <v>0.01</v>
      </c>
      <c r="K239" s="38" cm="1">
        <f t="array" ref="K239">Common_InputFunctions.Utility_DisplayArrayInTable(Common_SourceData.Common_SourceData_MCFTemperatureZone_Data(),Table_SourceData_Common_MCFTemperatureZone[[#Headers],[Temperature zone]],0)</f>
        <v>0.02</v>
      </c>
      <c r="L239" s="38" cm="1">
        <f t="array" ref="L239">Common_InputFunctions.Utility_DisplayArrayInTable(Common_SourceData.Common_SourceData_MCFTemperatureZone_Data(),Table_SourceData_Common_MCFTemperatureZone[[#Headers],[Temperature zone]],0)</f>
        <v>0.03</v>
      </c>
      <c r="M239" s="38" cm="1">
        <f t="array" ref="M239">Common_InputFunctions.Utility_DisplayArrayInTable(Common_SourceData.Common_SourceData_MCFTemperatureZone_Data(),Table_SourceData_Common_MCFTemperatureZone[[#Headers],[Temperature zone]],0)</f>
        <v>0.04</v>
      </c>
      <c r="N239" s="38" cm="1">
        <f t="array" ref="N239">Common_InputFunctions.Utility_DisplayArrayInTable(Common_SourceData.Common_SourceData_MCFTemperatureZone_Data(),Table_SourceData_Common_MCFTemperatureZone[[#Headers],[Temperature zone]],0)</f>
        <v>1.4999999999999999E-2</v>
      </c>
      <c r="O239" s="38" cm="1">
        <f t="array" ref="O239">Common_InputFunctions.Utility_DisplayArrayInTable(Common_SourceData.Common_SourceData_MCFTemperatureZone_Data(),Table_SourceData_Common_MCFTemperatureZone[[#Headers],[Temperature zone]],0)</f>
        <v>1.4999999999999999E-2</v>
      </c>
      <c r="P239" s="38" cm="1">
        <f t="array" ref="P239">Common_InputFunctions.Utility_DisplayArrayInTable(Common_SourceData.Common_SourceData_MCFTemperatureZone_Data(),Table_SourceData_Common_MCFTemperatureZone[[#Headers],[Temperature zone]],0)</f>
        <v>0</v>
      </c>
      <c r="Q239" s="38" cm="1">
        <f t="array" ref="Q239">Common_InputFunctions.Utility_DisplayArrayInTable(Common_SourceData.Common_SourceData_MCFTemperatureZone_Data(),Table_SourceData_Common_MCFTemperatureZone[[#Headers],[Temperature zone]],0)</f>
        <v>0</v>
      </c>
      <c r="R239" s="38" cm="1">
        <f t="array" ref="R239">Common_InputFunctions.Utility_DisplayArrayInTable(Common_SourceData.Common_SourceData_MCFTemperatureZone_Data(),Table_SourceData_Common_MCFTemperatureZone[[#Headers],[Temperature zone]],0)</f>
        <v>4.7000000000000002E-3</v>
      </c>
      <c r="S239" s="3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8" cm="1">
        <f t="array" ref="E240">Common_InputFunctions.Utility_DisplayArrayInTable(Common_SourceData.Common_SourceData_MCFTemperatureZone_Data(),Table_SourceData_Common_MCFTemperatureZone[[#Headers],[Temperature zone]],0)</f>
        <v>18</v>
      </c>
      <c r="F240" s="38" cm="1">
        <f t="array" ref="F240">Common_InputFunctions.Utility_DisplayArrayInTable(Common_SourceData.Common_SourceData_MCFTemperatureZone_Data(),Table_SourceData_Common_MCFTemperatureZone[[#Headers],[Temperature zone]],0)</f>
        <v>0.77</v>
      </c>
      <c r="G240" s="38" cm="1">
        <f t="array" ref="G240">Common_InputFunctions.Utility_DisplayArrayInTable(Common_SourceData.Common_SourceData_MCFTemperatureZone_Data(),Table_SourceData_Common_MCFTemperatureZone[[#Headers],[Temperature zone]],0)</f>
        <v>0.1</v>
      </c>
      <c r="H240" s="38" cm="1">
        <f t="array" ref="H240">Common_InputFunctions.Utility_DisplayArrayInTable(Common_SourceData.Common_SourceData_MCFTemperatureZone_Data(),Table_SourceData_Common_MCFTemperatureZone[[#Headers],[Temperature zone]],0)</f>
        <v>0.22</v>
      </c>
      <c r="I240" s="38" cm="1">
        <f t="array" ref="I240">Common_InputFunctions.Utility_DisplayArrayInTable(Common_SourceData.Common_SourceData_MCFTemperatureZone_Data(),Table_SourceData_Common_MCFTemperatureZone[[#Headers],[Temperature zone]],0)</f>
        <v>5.0000000000000001E-3</v>
      </c>
      <c r="J240" s="38" cm="1">
        <f t="array" ref="J240">Common_InputFunctions.Utility_DisplayArrayInTable(Common_SourceData.Common_SourceData_MCFTemperatureZone_Data(),Table_SourceData_Common_MCFTemperatureZone[[#Headers],[Temperature zone]],0)</f>
        <v>0.01</v>
      </c>
      <c r="K240" s="38" cm="1">
        <f t="array" ref="K240">Common_InputFunctions.Utility_DisplayArrayInTable(Common_SourceData.Common_SourceData_MCFTemperatureZone_Data(),Table_SourceData_Common_MCFTemperatureZone[[#Headers],[Temperature zone]],0)</f>
        <v>0.02</v>
      </c>
      <c r="L240" s="38" cm="1">
        <f t="array" ref="L240">Common_InputFunctions.Utility_DisplayArrayInTable(Common_SourceData.Common_SourceData_MCFTemperatureZone_Data(),Table_SourceData_Common_MCFTemperatureZone[[#Headers],[Temperature zone]],0)</f>
        <v>0.03</v>
      </c>
      <c r="M240" s="38" cm="1">
        <f t="array" ref="M240">Common_InputFunctions.Utility_DisplayArrayInTable(Common_SourceData.Common_SourceData_MCFTemperatureZone_Data(),Table_SourceData_Common_MCFTemperatureZone[[#Headers],[Temperature zone]],0)</f>
        <v>0.04</v>
      </c>
      <c r="N240" s="38" cm="1">
        <f t="array" ref="N240">Common_InputFunctions.Utility_DisplayArrayInTable(Common_SourceData.Common_SourceData_MCFTemperatureZone_Data(),Table_SourceData_Common_MCFTemperatureZone[[#Headers],[Temperature zone]],0)</f>
        <v>1.4999999999999999E-2</v>
      </c>
      <c r="O240" s="38" cm="1">
        <f t="array" ref="O240">Common_InputFunctions.Utility_DisplayArrayInTable(Common_SourceData.Common_SourceData_MCFTemperatureZone_Data(),Table_SourceData_Common_MCFTemperatureZone[[#Headers],[Temperature zone]],0)</f>
        <v>1.4999999999999999E-2</v>
      </c>
      <c r="P240" s="38" cm="1">
        <f t="array" ref="P240">Common_InputFunctions.Utility_DisplayArrayInTable(Common_SourceData.Common_SourceData_MCFTemperatureZone_Data(),Table_SourceData_Common_MCFTemperatureZone[[#Headers],[Temperature zone]],0)</f>
        <v>0</v>
      </c>
      <c r="Q240" s="38" cm="1">
        <f t="array" ref="Q240">Common_InputFunctions.Utility_DisplayArrayInTable(Common_SourceData.Common_SourceData_MCFTemperatureZone_Data(),Table_SourceData_Common_MCFTemperatureZone[[#Headers],[Temperature zone]],0)</f>
        <v>0</v>
      </c>
      <c r="R240" s="38" cm="1">
        <f t="array" ref="R240">Common_InputFunctions.Utility_DisplayArrayInTable(Common_SourceData.Common_SourceData_MCFTemperatureZone_Data(),Table_SourceData_Common_MCFTemperatureZone[[#Headers],[Temperature zone]],0)</f>
        <v>4.7000000000000002E-3</v>
      </c>
      <c r="S240" s="3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8" cm="1">
        <f t="array" ref="E241">Common_InputFunctions.Utility_DisplayArrayInTable(Common_SourceData.Common_SourceData_MCFTemperatureZone_Data(),Table_SourceData_Common_MCFTemperatureZone[[#Headers],[Temperature zone]],0)</f>
        <v>19</v>
      </c>
      <c r="F241" s="38" cm="1">
        <f t="array" ref="F241">Common_InputFunctions.Utility_DisplayArrayInTable(Common_SourceData.Common_SourceData_MCFTemperatureZone_Data(),Table_SourceData_Common_MCFTemperatureZone[[#Headers],[Temperature zone]],0)</f>
        <v>0.77</v>
      </c>
      <c r="G241" s="38" cm="1">
        <f t="array" ref="G241">Common_InputFunctions.Utility_DisplayArrayInTable(Common_SourceData.Common_SourceData_MCFTemperatureZone_Data(),Table_SourceData_Common_MCFTemperatureZone[[#Headers],[Temperature zone]],0)</f>
        <v>0.1</v>
      </c>
      <c r="H241" s="38" cm="1">
        <f t="array" ref="H241">Common_InputFunctions.Utility_DisplayArrayInTable(Common_SourceData.Common_SourceData_MCFTemperatureZone_Data(),Table_SourceData_Common_MCFTemperatureZone[[#Headers],[Temperature zone]],0)</f>
        <v>0.24</v>
      </c>
      <c r="I241" s="38" cm="1">
        <f t="array" ref="I241">Common_InputFunctions.Utility_DisplayArrayInTable(Common_SourceData.Common_SourceData_MCFTemperatureZone_Data(),Table_SourceData_Common_MCFTemperatureZone[[#Headers],[Temperature zone]],0)</f>
        <v>5.0000000000000001E-3</v>
      </c>
      <c r="J241" s="38" cm="1">
        <f t="array" ref="J241">Common_InputFunctions.Utility_DisplayArrayInTable(Common_SourceData.Common_SourceData_MCFTemperatureZone_Data(),Table_SourceData_Common_MCFTemperatureZone[[#Headers],[Temperature zone]],0)</f>
        <v>0.01</v>
      </c>
      <c r="K241" s="38" cm="1">
        <f t="array" ref="K241">Common_InputFunctions.Utility_DisplayArrayInTable(Common_SourceData.Common_SourceData_MCFTemperatureZone_Data(),Table_SourceData_Common_MCFTemperatureZone[[#Headers],[Temperature zone]],0)</f>
        <v>0.02</v>
      </c>
      <c r="L241" s="38" cm="1">
        <f t="array" ref="L241">Common_InputFunctions.Utility_DisplayArrayInTable(Common_SourceData.Common_SourceData_MCFTemperatureZone_Data(),Table_SourceData_Common_MCFTemperatureZone[[#Headers],[Temperature zone]],0)</f>
        <v>0.03</v>
      </c>
      <c r="M241" s="38" cm="1">
        <f t="array" ref="M241">Common_InputFunctions.Utility_DisplayArrayInTable(Common_SourceData.Common_SourceData_MCFTemperatureZone_Data(),Table_SourceData_Common_MCFTemperatureZone[[#Headers],[Temperature zone]],0)</f>
        <v>0.04</v>
      </c>
      <c r="N241" s="38" cm="1">
        <f t="array" ref="N241">Common_InputFunctions.Utility_DisplayArrayInTable(Common_SourceData.Common_SourceData_MCFTemperatureZone_Data(),Table_SourceData_Common_MCFTemperatureZone[[#Headers],[Temperature zone]],0)</f>
        <v>1.4999999999999999E-2</v>
      </c>
      <c r="O241" s="38" cm="1">
        <f t="array" ref="O241">Common_InputFunctions.Utility_DisplayArrayInTable(Common_SourceData.Common_SourceData_MCFTemperatureZone_Data(),Table_SourceData_Common_MCFTemperatureZone[[#Headers],[Temperature zone]],0)</f>
        <v>1.4999999999999999E-2</v>
      </c>
      <c r="P241" s="38" cm="1">
        <f t="array" ref="P241">Common_InputFunctions.Utility_DisplayArrayInTable(Common_SourceData.Common_SourceData_MCFTemperatureZone_Data(),Table_SourceData_Common_MCFTemperatureZone[[#Headers],[Temperature zone]],0)</f>
        <v>0</v>
      </c>
      <c r="Q241" s="38" cm="1">
        <f t="array" ref="Q241">Common_InputFunctions.Utility_DisplayArrayInTable(Common_SourceData.Common_SourceData_MCFTemperatureZone_Data(),Table_SourceData_Common_MCFTemperatureZone[[#Headers],[Temperature zone]],0)</f>
        <v>0</v>
      </c>
      <c r="R241" s="38" cm="1">
        <f t="array" ref="R241">Common_InputFunctions.Utility_DisplayArrayInTable(Common_SourceData.Common_SourceData_MCFTemperatureZone_Data(),Table_SourceData_Common_MCFTemperatureZone[[#Headers],[Temperature zone]],0)</f>
        <v>4.7000000000000002E-3</v>
      </c>
      <c r="S241" s="3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8" cm="1">
        <f t="array" ref="E242">Common_InputFunctions.Utility_DisplayArrayInTable(Common_SourceData.Common_SourceData_MCFTemperatureZone_Data(),Table_SourceData_Common_MCFTemperatureZone[[#Headers],[Temperature zone]],0)</f>
        <v>20</v>
      </c>
      <c r="F242" s="38" cm="1">
        <f t="array" ref="F242">Common_InputFunctions.Utility_DisplayArrayInTable(Common_SourceData.Common_SourceData_MCFTemperatureZone_Data(),Table_SourceData_Common_MCFTemperatureZone[[#Headers],[Temperature zone]],0)</f>
        <v>0.78</v>
      </c>
      <c r="G242" s="38" cm="1">
        <f t="array" ref="G242">Common_InputFunctions.Utility_DisplayArrayInTable(Common_SourceData.Common_SourceData_MCFTemperatureZone_Data(),Table_SourceData_Common_MCFTemperatureZone[[#Headers],[Temperature zone]],0)</f>
        <v>0.1</v>
      </c>
      <c r="H242" s="38" cm="1">
        <f t="array" ref="H242">Common_InputFunctions.Utility_DisplayArrayInTable(Common_SourceData.Common_SourceData_MCFTemperatureZone_Data(),Table_SourceData_Common_MCFTemperatureZone[[#Headers],[Temperature zone]],0)</f>
        <v>0.26</v>
      </c>
      <c r="I242" s="38" cm="1">
        <f t="array" ref="I242">Common_InputFunctions.Utility_DisplayArrayInTable(Common_SourceData.Common_SourceData_MCFTemperatureZone_Data(),Table_SourceData_Common_MCFTemperatureZone[[#Headers],[Temperature zone]],0)</f>
        <v>5.0000000000000001E-3</v>
      </c>
      <c r="J242" s="38" cm="1">
        <f t="array" ref="J242">Common_InputFunctions.Utility_DisplayArrayInTable(Common_SourceData.Common_SourceData_MCFTemperatureZone_Data(),Table_SourceData_Common_MCFTemperatureZone[[#Headers],[Temperature zone]],0)</f>
        <v>0.01</v>
      </c>
      <c r="K242" s="38" cm="1">
        <f t="array" ref="K242">Common_InputFunctions.Utility_DisplayArrayInTable(Common_SourceData.Common_SourceData_MCFTemperatureZone_Data(),Table_SourceData_Common_MCFTemperatureZone[[#Headers],[Temperature zone]],0)</f>
        <v>0.02</v>
      </c>
      <c r="L242" s="38" cm="1">
        <f t="array" ref="L242">Common_InputFunctions.Utility_DisplayArrayInTable(Common_SourceData.Common_SourceData_MCFTemperatureZone_Data(),Table_SourceData_Common_MCFTemperatureZone[[#Headers],[Temperature zone]],0)</f>
        <v>0.03</v>
      </c>
      <c r="M242" s="38" cm="1">
        <f t="array" ref="M242">Common_InputFunctions.Utility_DisplayArrayInTable(Common_SourceData.Common_SourceData_MCFTemperatureZone_Data(),Table_SourceData_Common_MCFTemperatureZone[[#Headers],[Temperature zone]],0)</f>
        <v>0.04</v>
      </c>
      <c r="N242" s="38" cm="1">
        <f t="array" ref="N242">Common_InputFunctions.Utility_DisplayArrayInTable(Common_SourceData.Common_SourceData_MCFTemperatureZone_Data(),Table_SourceData_Common_MCFTemperatureZone[[#Headers],[Temperature zone]],0)</f>
        <v>1.4999999999999999E-2</v>
      </c>
      <c r="O242" s="38" cm="1">
        <f t="array" ref="O242">Common_InputFunctions.Utility_DisplayArrayInTable(Common_SourceData.Common_SourceData_MCFTemperatureZone_Data(),Table_SourceData_Common_MCFTemperatureZone[[#Headers],[Temperature zone]],0)</f>
        <v>1.4999999999999999E-2</v>
      </c>
      <c r="P242" s="38" cm="1">
        <f t="array" ref="P242">Common_InputFunctions.Utility_DisplayArrayInTable(Common_SourceData.Common_SourceData_MCFTemperatureZone_Data(),Table_SourceData_Common_MCFTemperatureZone[[#Headers],[Temperature zone]],0)</f>
        <v>0</v>
      </c>
      <c r="Q242" s="38" cm="1">
        <f t="array" ref="Q242">Common_InputFunctions.Utility_DisplayArrayInTable(Common_SourceData.Common_SourceData_MCFTemperatureZone_Data(),Table_SourceData_Common_MCFTemperatureZone[[#Headers],[Temperature zone]],0)</f>
        <v>0</v>
      </c>
      <c r="R242" s="38" cm="1">
        <f t="array" ref="R242">Common_InputFunctions.Utility_DisplayArrayInTable(Common_SourceData.Common_SourceData_MCFTemperatureZone_Data(),Table_SourceData_Common_MCFTemperatureZone[[#Headers],[Temperature zone]],0)</f>
        <v>4.7000000000000002E-3</v>
      </c>
      <c r="S242" s="3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8" cm="1">
        <f t="array" ref="E243">Common_InputFunctions.Utility_DisplayArrayInTable(Common_SourceData.Common_SourceData_MCFTemperatureZone_Data(),Table_SourceData_Common_MCFTemperatureZone[[#Headers],[Temperature zone]],0)</f>
        <v>21</v>
      </c>
      <c r="F243" s="38" cm="1">
        <f t="array" ref="F243">Common_InputFunctions.Utility_DisplayArrayInTable(Common_SourceData.Common_SourceData_MCFTemperatureZone_Data(),Table_SourceData_Common_MCFTemperatureZone[[#Headers],[Temperature zone]],0)</f>
        <v>0.78</v>
      </c>
      <c r="G243" s="38" cm="1">
        <f t="array" ref="G243">Common_InputFunctions.Utility_DisplayArrayInTable(Common_SourceData.Common_SourceData_MCFTemperatureZone_Data(),Table_SourceData_Common_MCFTemperatureZone[[#Headers],[Temperature zone]],0)</f>
        <v>0.1</v>
      </c>
      <c r="H243" s="38" cm="1">
        <f t="array" ref="H243">Common_InputFunctions.Utility_DisplayArrayInTable(Common_SourceData.Common_SourceData_MCFTemperatureZone_Data(),Table_SourceData_Common_MCFTemperatureZone[[#Headers],[Temperature zone]],0)</f>
        <v>0.28999999999999998</v>
      </c>
      <c r="I243" s="38" cm="1">
        <f t="array" ref="I243">Common_InputFunctions.Utility_DisplayArrayInTable(Common_SourceData.Common_SourceData_MCFTemperatureZone_Data(),Table_SourceData_Common_MCFTemperatureZone[[#Headers],[Temperature zone]],0)</f>
        <v>5.0000000000000001E-3</v>
      </c>
      <c r="J243" s="38" cm="1">
        <f t="array" ref="J243">Common_InputFunctions.Utility_DisplayArrayInTable(Common_SourceData.Common_SourceData_MCFTemperatureZone_Data(),Table_SourceData_Common_MCFTemperatureZone[[#Headers],[Temperature zone]],0)</f>
        <v>0.01</v>
      </c>
      <c r="K243" s="38" cm="1">
        <f t="array" ref="K243">Common_InputFunctions.Utility_DisplayArrayInTable(Common_SourceData.Common_SourceData_MCFTemperatureZone_Data(),Table_SourceData_Common_MCFTemperatureZone[[#Headers],[Temperature zone]],0)</f>
        <v>0.02</v>
      </c>
      <c r="L243" s="38" cm="1">
        <f t="array" ref="L243">Common_InputFunctions.Utility_DisplayArrayInTable(Common_SourceData.Common_SourceData_MCFTemperatureZone_Data(),Table_SourceData_Common_MCFTemperatureZone[[#Headers],[Temperature zone]],0)</f>
        <v>0.03</v>
      </c>
      <c r="M243" s="38" cm="1">
        <f t="array" ref="M243">Common_InputFunctions.Utility_DisplayArrayInTable(Common_SourceData.Common_SourceData_MCFTemperatureZone_Data(),Table_SourceData_Common_MCFTemperatureZone[[#Headers],[Temperature zone]],0)</f>
        <v>0.04</v>
      </c>
      <c r="N243" s="38" cm="1">
        <f t="array" ref="N243">Common_InputFunctions.Utility_DisplayArrayInTable(Common_SourceData.Common_SourceData_MCFTemperatureZone_Data(),Table_SourceData_Common_MCFTemperatureZone[[#Headers],[Temperature zone]],0)</f>
        <v>1.4999999999999999E-2</v>
      </c>
      <c r="O243" s="38" cm="1">
        <f t="array" ref="O243">Common_InputFunctions.Utility_DisplayArrayInTable(Common_SourceData.Common_SourceData_MCFTemperatureZone_Data(),Table_SourceData_Common_MCFTemperatureZone[[#Headers],[Temperature zone]],0)</f>
        <v>1.4999999999999999E-2</v>
      </c>
      <c r="P243" s="38" cm="1">
        <f t="array" ref="P243">Common_InputFunctions.Utility_DisplayArrayInTable(Common_SourceData.Common_SourceData_MCFTemperatureZone_Data(),Table_SourceData_Common_MCFTemperatureZone[[#Headers],[Temperature zone]],0)</f>
        <v>0</v>
      </c>
      <c r="Q243" s="38" cm="1">
        <f t="array" ref="Q243">Common_InputFunctions.Utility_DisplayArrayInTable(Common_SourceData.Common_SourceData_MCFTemperatureZone_Data(),Table_SourceData_Common_MCFTemperatureZone[[#Headers],[Temperature zone]],0)</f>
        <v>0</v>
      </c>
      <c r="R243" s="38" cm="1">
        <f t="array" ref="R243">Common_InputFunctions.Utility_DisplayArrayInTable(Common_SourceData.Common_SourceData_MCFTemperatureZone_Data(),Table_SourceData_Common_MCFTemperatureZone[[#Headers],[Temperature zone]],0)</f>
        <v>4.7000000000000002E-3</v>
      </c>
      <c r="S243" s="3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8" cm="1">
        <f t="array" ref="E244">Common_InputFunctions.Utility_DisplayArrayInTable(Common_SourceData.Common_SourceData_MCFTemperatureZone_Data(),Table_SourceData_Common_MCFTemperatureZone[[#Headers],[Temperature zone]],0)</f>
        <v>22</v>
      </c>
      <c r="F244" s="38" cm="1">
        <f t="array" ref="F244">Common_InputFunctions.Utility_DisplayArrayInTable(Common_SourceData.Common_SourceData_MCFTemperatureZone_Data(),Table_SourceData_Common_MCFTemperatureZone[[#Headers],[Temperature zone]],0)</f>
        <v>0.78</v>
      </c>
      <c r="G244" s="38" cm="1">
        <f t="array" ref="G244">Common_InputFunctions.Utility_DisplayArrayInTable(Common_SourceData.Common_SourceData_MCFTemperatureZone_Data(),Table_SourceData_Common_MCFTemperatureZone[[#Headers],[Temperature zone]],0)</f>
        <v>0.1</v>
      </c>
      <c r="H244" s="38" cm="1">
        <f t="array" ref="H244">Common_InputFunctions.Utility_DisplayArrayInTable(Common_SourceData.Common_SourceData_MCFTemperatureZone_Data(),Table_SourceData_Common_MCFTemperatureZone[[#Headers],[Temperature zone]],0)</f>
        <v>0.31</v>
      </c>
      <c r="I244" s="38" cm="1">
        <f t="array" ref="I244">Common_InputFunctions.Utility_DisplayArrayInTable(Common_SourceData.Common_SourceData_MCFTemperatureZone_Data(),Table_SourceData_Common_MCFTemperatureZone[[#Headers],[Temperature zone]],0)</f>
        <v>5.0000000000000001E-3</v>
      </c>
      <c r="J244" s="38" cm="1">
        <f t="array" ref="J244">Common_InputFunctions.Utility_DisplayArrayInTable(Common_SourceData.Common_SourceData_MCFTemperatureZone_Data(),Table_SourceData_Common_MCFTemperatureZone[[#Headers],[Temperature zone]],0)</f>
        <v>0.01</v>
      </c>
      <c r="K244" s="38" cm="1">
        <f t="array" ref="K244">Common_InputFunctions.Utility_DisplayArrayInTable(Common_SourceData.Common_SourceData_MCFTemperatureZone_Data(),Table_SourceData_Common_MCFTemperatureZone[[#Headers],[Temperature zone]],0)</f>
        <v>0.02</v>
      </c>
      <c r="L244" s="38" cm="1">
        <f t="array" ref="L244">Common_InputFunctions.Utility_DisplayArrayInTable(Common_SourceData.Common_SourceData_MCFTemperatureZone_Data(),Table_SourceData_Common_MCFTemperatureZone[[#Headers],[Temperature zone]],0)</f>
        <v>0.03</v>
      </c>
      <c r="M244" s="38" cm="1">
        <f t="array" ref="M244">Common_InputFunctions.Utility_DisplayArrayInTable(Common_SourceData.Common_SourceData_MCFTemperatureZone_Data(),Table_SourceData_Common_MCFTemperatureZone[[#Headers],[Temperature zone]],0)</f>
        <v>0.04</v>
      </c>
      <c r="N244" s="38" cm="1">
        <f t="array" ref="N244">Common_InputFunctions.Utility_DisplayArrayInTable(Common_SourceData.Common_SourceData_MCFTemperatureZone_Data(),Table_SourceData_Common_MCFTemperatureZone[[#Headers],[Temperature zone]],0)</f>
        <v>1.4999999999999999E-2</v>
      </c>
      <c r="O244" s="38" cm="1">
        <f t="array" ref="O244">Common_InputFunctions.Utility_DisplayArrayInTable(Common_SourceData.Common_SourceData_MCFTemperatureZone_Data(),Table_SourceData_Common_MCFTemperatureZone[[#Headers],[Temperature zone]],0)</f>
        <v>1.4999999999999999E-2</v>
      </c>
      <c r="P244" s="38" cm="1">
        <f t="array" ref="P244">Common_InputFunctions.Utility_DisplayArrayInTable(Common_SourceData.Common_SourceData_MCFTemperatureZone_Data(),Table_SourceData_Common_MCFTemperatureZone[[#Headers],[Temperature zone]],0)</f>
        <v>0</v>
      </c>
      <c r="Q244" s="38" cm="1">
        <f t="array" ref="Q244">Common_InputFunctions.Utility_DisplayArrayInTable(Common_SourceData.Common_SourceData_MCFTemperatureZone_Data(),Table_SourceData_Common_MCFTemperatureZone[[#Headers],[Temperature zone]],0)</f>
        <v>0</v>
      </c>
      <c r="R244" s="38" cm="1">
        <f t="array" ref="R244">Common_InputFunctions.Utility_DisplayArrayInTable(Common_SourceData.Common_SourceData_MCFTemperatureZone_Data(),Table_SourceData_Common_MCFTemperatureZone[[#Headers],[Temperature zone]],0)</f>
        <v>4.7000000000000002E-3</v>
      </c>
      <c r="S244" s="3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8" cm="1">
        <f t="array" ref="E245">Common_InputFunctions.Utility_DisplayArrayInTable(Common_SourceData.Common_SourceData_MCFTemperatureZone_Data(),Table_SourceData_Common_MCFTemperatureZone[[#Headers],[Temperature zone]],0)</f>
        <v>23</v>
      </c>
      <c r="F245" s="38" cm="1">
        <f t="array" ref="F245">Common_InputFunctions.Utility_DisplayArrayInTable(Common_SourceData.Common_SourceData_MCFTemperatureZone_Data(),Table_SourceData_Common_MCFTemperatureZone[[#Headers],[Temperature zone]],0)</f>
        <v>0.79</v>
      </c>
      <c r="G245" s="38" cm="1">
        <f t="array" ref="G245">Common_InputFunctions.Utility_DisplayArrayInTable(Common_SourceData.Common_SourceData_MCFTemperatureZone_Data(),Table_SourceData_Common_MCFTemperatureZone[[#Headers],[Temperature zone]],0)</f>
        <v>0.1</v>
      </c>
      <c r="H245" s="38" cm="1">
        <f t="array" ref="H245">Common_InputFunctions.Utility_DisplayArrayInTable(Common_SourceData.Common_SourceData_MCFTemperatureZone_Data(),Table_SourceData_Common_MCFTemperatureZone[[#Headers],[Temperature zone]],0)</f>
        <v>0.34</v>
      </c>
      <c r="I245" s="38" cm="1">
        <f t="array" ref="I245">Common_InputFunctions.Utility_DisplayArrayInTable(Common_SourceData.Common_SourceData_MCFTemperatureZone_Data(),Table_SourceData_Common_MCFTemperatureZone[[#Headers],[Temperature zone]],0)</f>
        <v>5.0000000000000001E-3</v>
      </c>
      <c r="J245" s="38" cm="1">
        <f t="array" ref="J245">Common_InputFunctions.Utility_DisplayArrayInTable(Common_SourceData.Common_SourceData_MCFTemperatureZone_Data(),Table_SourceData_Common_MCFTemperatureZone[[#Headers],[Temperature zone]],0)</f>
        <v>0.01</v>
      </c>
      <c r="K245" s="38" cm="1">
        <f t="array" ref="K245">Common_InputFunctions.Utility_DisplayArrayInTable(Common_SourceData.Common_SourceData_MCFTemperatureZone_Data(),Table_SourceData_Common_MCFTemperatureZone[[#Headers],[Temperature zone]],0)</f>
        <v>0.02</v>
      </c>
      <c r="L245" s="38" cm="1">
        <f t="array" ref="L245">Common_InputFunctions.Utility_DisplayArrayInTable(Common_SourceData.Common_SourceData_MCFTemperatureZone_Data(),Table_SourceData_Common_MCFTemperatureZone[[#Headers],[Temperature zone]],0)</f>
        <v>0.03</v>
      </c>
      <c r="M245" s="38" cm="1">
        <f t="array" ref="M245">Common_InputFunctions.Utility_DisplayArrayInTable(Common_SourceData.Common_SourceData_MCFTemperatureZone_Data(),Table_SourceData_Common_MCFTemperatureZone[[#Headers],[Temperature zone]],0)</f>
        <v>0.04</v>
      </c>
      <c r="N245" s="38" cm="1">
        <f t="array" ref="N245">Common_InputFunctions.Utility_DisplayArrayInTable(Common_SourceData.Common_SourceData_MCFTemperatureZone_Data(),Table_SourceData_Common_MCFTemperatureZone[[#Headers],[Temperature zone]],0)</f>
        <v>1.4999999999999999E-2</v>
      </c>
      <c r="O245" s="38" cm="1">
        <f t="array" ref="O245">Common_InputFunctions.Utility_DisplayArrayInTable(Common_SourceData.Common_SourceData_MCFTemperatureZone_Data(),Table_SourceData_Common_MCFTemperatureZone[[#Headers],[Temperature zone]],0)</f>
        <v>1.4999999999999999E-2</v>
      </c>
      <c r="P245" s="38" cm="1">
        <f t="array" ref="P245">Common_InputFunctions.Utility_DisplayArrayInTable(Common_SourceData.Common_SourceData_MCFTemperatureZone_Data(),Table_SourceData_Common_MCFTemperatureZone[[#Headers],[Temperature zone]],0)</f>
        <v>0</v>
      </c>
      <c r="Q245" s="38" cm="1">
        <f t="array" ref="Q245">Common_InputFunctions.Utility_DisplayArrayInTable(Common_SourceData.Common_SourceData_MCFTemperatureZone_Data(),Table_SourceData_Common_MCFTemperatureZone[[#Headers],[Temperature zone]],0)</f>
        <v>0</v>
      </c>
      <c r="R245" s="38" cm="1">
        <f t="array" ref="R245">Common_InputFunctions.Utility_DisplayArrayInTable(Common_SourceData.Common_SourceData_MCFTemperatureZone_Data(),Table_SourceData_Common_MCFTemperatureZone[[#Headers],[Temperature zone]],0)</f>
        <v>4.7000000000000002E-3</v>
      </c>
      <c r="S245" s="3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8" cm="1">
        <f t="array" ref="E246">Common_InputFunctions.Utility_DisplayArrayInTable(Common_SourceData.Common_SourceData_MCFTemperatureZone_Data(),Table_SourceData_Common_MCFTemperatureZone[[#Headers],[Temperature zone]],0)</f>
        <v>24</v>
      </c>
      <c r="F246" s="38" cm="1">
        <f t="array" ref="F246">Common_InputFunctions.Utility_DisplayArrayInTable(Common_SourceData.Common_SourceData_MCFTemperatureZone_Data(),Table_SourceData_Common_MCFTemperatureZone[[#Headers],[Temperature zone]],0)</f>
        <v>0.79</v>
      </c>
      <c r="G246" s="38" cm="1">
        <f t="array" ref="G246">Common_InputFunctions.Utility_DisplayArrayInTable(Common_SourceData.Common_SourceData_MCFTemperatureZone_Data(),Table_SourceData_Common_MCFTemperatureZone[[#Headers],[Temperature zone]],0)</f>
        <v>0.1</v>
      </c>
      <c r="H246" s="38" cm="1">
        <f t="array" ref="H246">Common_InputFunctions.Utility_DisplayArrayInTable(Common_SourceData.Common_SourceData_MCFTemperatureZone_Data(),Table_SourceData_Common_MCFTemperatureZone[[#Headers],[Temperature zone]],0)</f>
        <v>0.37</v>
      </c>
      <c r="I246" s="38" cm="1">
        <f t="array" ref="I246">Common_InputFunctions.Utility_DisplayArrayInTable(Common_SourceData.Common_SourceData_MCFTemperatureZone_Data(),Table_SourceData_Common_MCFTemperatureZone[[#Headers],[Temperature zone]],0)</f>
        <v>5.0000000000000001E-3</v>
      </c>
      <c r="J246" s="38" cm="1">
        <f t="array" ref="J246">Common_InputFunctions.Utility_DisplayArrayInTable(Common_SourceData.Common_SourceData_MCFTemperatureZone_Data(),Table_SourceData_Common_MCFTemperatureZone[[#Headers],[Temperature zone]],0)</f>
        <v>0.01</v>
      </c>
      <c r="K246" s="38" cm="1">
        <f t="array" ref="K246">Common_InputFunctions.Utility_DisplayArrayInTable(Common_SourceData.Common_SourceData_MCFTemperatureZone_Data(),Table_SourceData_Common_MCFTemperatureZone[[#Headers],[Temperature zone]],0)</f>
        <v>0.02</v>
      </c>
      <c r="L246" s="38" cm="1">
        <f t="array" ref="L246">Common_InputFunctions.Utility_DisplayArrayInTable(Common_SourceData.Common_SourceData_MCFTemperatureZone_Data(),Table_SourceData_Common_MCFTemperatureZone[[#Headers],[Temperature zone]],0)</f>
        <v>0.03</v>
      </c>
      <c r="M246" s="38" cm="1">
        <f t="array" ref="M246">Common_InputFunctions.Utility_DisplayArrayInTable(Common_SourceData.Common_SourceData_MCFTemperatureZone_Data(),Table_SourceData_Common_MCFTemperatureZone[[#Headers],[Temperature zone]],0)</f>
        <v>0.04</v>
      </c>
      <c r="N246" s="38" cm="1">
        <f t="array" ref="N246">Common_InputFunctions.Utility_DisplayArrayInTable(Common_SourceData.Common_SourceData_MCFTemperatureZone_Data(),Table_SourceData_Common_MCFTemperatureZone[[#Headers],[Temperature zone]],0)</f>
        <v>1.4999999999999999E-2</v>
      </c>
      <c r="O246" s="38" cm="1">
        <f t="array" ref="O246">Common_InputFunctions.Utility_DisplayArrayInTable(Common_SourceData.Common_SourceData_MCFTemperatureZone_Data(),Table_SourceData_Common_MCFTemperatureZone[[#Headers],[Temperature zone]],0)</f>
        <v>1.4999999999999999E-2</v>
      </c>
      <c r="P246" s="38" cm="1">
        <f t="array" ref="P246">Common_InputFunctions.Utility_DisplayArrayInTable(Common_SourceData.Common_SourceData_MCFTemperatureZone_Data(),Table_SourceData_Common_MCFTemperatureZone[[#Headers],[Temperature zone]],0)</f>
        <v>0</v>
      </c>
      <c r="Q246" s="38" cm="1">
        <f t="array" ref="Q246">Common_InputFunctions.Utility_DisplayArrayInTable(Common_SourceData.Common_SourceData_MCFTemperatureZone_Data(),Table_SourceData_Common_MCFTemperatureZone[[#Headers],[Temperature zone]],0)</f>
        <v>0</v>
      </c>
      <c r="R246" s="38" cm="1">
        <f t="array" ref="R246">Common_InputFunctions.Utility_DisplayArrayInTable(Common_SourceData.Common_SourceData_MCFTemperatureZone_Data(),Table_SourceData_Common_MCFTemperatureZone[[#Headers],[Temperature zone]],0)</f>
        <v>4.7000000000000002E-3</v>
      </c>
      <c r="S246" s="3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8" cm="1">
        <f t="array" ref="E247">Common_InputFunctions.Utility_DisplayArrayInTable(Common_SourceData.Common_SourceData_MCFTemperatureZone_Data(),Table_SourceData_Common_MCFTemperatureZone[[#Headers],[Temperature zone]],0)</f>
        <v>25</v>
      </c>
      <c r="F247" s="38" cm="1">
        <f t="array" ref="F247">Common_InputFunctions.Utility_DisplayArrayInTable(Common_SourceData.Common_SourceData_MCFTemperatureZone_Data(),Table_SourceData_Common_MCFTemperatureZone[[#Headers],[Temperature zone]],0)</f>
        <v>0.79</v>
      </c>
      <c r="G247" s="38" cm="1">
        <f t="array" ref="G247">Common_InputFunctions.Utility_DisplayArrayInTable(Common_SourceData.Common_SourceData_MCFTemperatureZone_Data(),Table_SourceData_Common_MCFTemperatureZone[[#Headers],[Temperature zone]],0)</f>
        <v>0.1</v>
      </c>
      <c r="H247" s="38" cm="1">
        <f t="array" ref="H247">Common_InputFunctions.Utility_DisplayArrayInTable(Common_SourceData.Common_SourceData_MCFTemperatureZone_Data(),Table_SourceData_Common_MCFTemperatureZone[[#Headers],[Temperature zone]],0)</f>
        <v>0.41</v>
      </c>
      <c r="I247" s="38" cm="1">
        <f t="array" ref="I247">Common_InputFunctions.Utility_DisplayArrayInTable(Common_SourceData.Common_SourceData_MCFTemperatureZone_Data(),Table_SourceData_Common_MCFTemperatureZone[[#Headers],[Temperature zone]],0)</f>
        <v>5.0000000000000001E-3</v>
      </c>
      <c r="J247" s="38" cm="1">
        <f t="array" ref="J247">Common_InputFunctions.Utility_DisplayArrayInTable(Common_SourceData.Common_SourceData_MCFTemperatureZone_Data(),Table_SourceData_Common_MCFTemperatureZone[[#Headers],[Temperature zone]],0)</f>
        <v>0.01</v>
      </c>
      <c r="K247" s="38" cm="1">
        <f t="array" ref="K247">Common_InputFunctions.Utility_DisplayArrayInTable(Common_SourceData.Common_SourceData_MCFTemperatureZone_Data(),Table_SourceData_Common_MCFTemperatureZone[[#Headers],[Temperature zone]],0)</f>
        <v>0.02</v>
      </c>
      <c r="L247" s="38" cm="1">
        <f t="array" ref="L247">Common_InputFunctions.Utility_DisplayArrayInTable(Common_SourceData.Common_SourceData_MCFTemperatureZone_Data(),Table_SourceData_Common_MCFTemperatureZone[[#Headers],[Temperature zone]],0)</f>
        <v>0.03</v>
      </c>
      <c r="M247" s="38" cm="1">
        <f t="array" ref="M247">Common_InputFunctions.Utility_DisplayArrayInTable(Common_SourceData.Common_SourceData_MCFTemperatureZone_Data(),Table_SourceData_Common_MCFTemperatureZone[[#Headers],[Temperature zone]],0)</f>
        <v>0.04</v>
      </c>
      <c r="N247" s="38" cm="1">
        <f t="array" ref="N247">Common_InputFunctions.Utility_DisplayArrayInTable(Common_SourceData.Common_SourceData_MCFTemperatureZone_Data(),Table_SourceData_Common_MCFTemperatureZone[[#Headers],[Temperature zone]],0)</f>
        <v>1.4999999999999999E-2</v>
      </c>
      <c r="O247" s="38" cm="1">
        <f t="array" ref="O247">Common_InputFunctions.Utility_DisplayArrayInTable(Common_SourceData.Common_SourceData_MCFTemperatureZone_Data(),Table_SourceData_Common_MCFTemperatureZone[[#Headers],[Temperature zone]],0)</f>
        <v>1.4999999999999999E-2</v>
      </c>
      <c r="P247" s="38" cm="1">
        <f t="array" ref="P247">Common_InputFunctions.Utility_DisplayArrayInTable(Common_SourceData.Common_SourceData_MCFTemperatureZone_Data(),Table_SourceData_Common_MCFTemperatureZone[[#Headers],[Temperature zone]],0)</f>
        <v>0</v>
      </c>
      <c r="Q247" s="38" cm="1">
        <f t="array" ref="Q247">Common_InputFunctions.Utility_DisplayArrayInTable(Common_SourceData.Common_SourceData_MCFTemperatureZone_Data(),Table_SourceData_Common_MCFTemperatureZone[[#Headers],[Temperature zone]],0)</f>
        <v>0</v>
      </c>
      <c r="R247" s="38" cm="1">
        <f t="array" ref="R247">Common_InputFunctions.Utility_DisplayArrayInTable(Common_SourceData.Common_SourceData_MCFTemperatureZone_Data(),Table_SourceData_Common_MCFTemperatureZone[[#Headers],[Temperature zone]],0)</f>
        <v>4.7000000000000002E-3</v>
      </c>
      <c r="S247" s="3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8" cm="1">
        <f t="array" ref="E248">Common_InputFunctions.Utility_DisplayArrayInTable(Common_SourceData.Common_SourceData_MCFTemperatureZone_Data(),Table_SourceData_Common_MCFTemperatureZone[[#Headers],[Temperature zone]],0)</f>
        <v>26</v>
      </c>
      <c r="F248" s="38" cm="1">
        <f t="array" ref="F248">Common_InputFunctions.Utility_DisplayArrayInTable(Common_SourceData.Common_SourceData_MCFTemperatureZone_Data(),Table_SourceData_Common_MCFTemperatureZone[[#Headers],[Temperature zone]],0)</f>
        <v>0.79</v>
      </c>
      <c r="G248" s="38" cm="1">
        <f t="array" ref="G248">Common_InputFunctions.Utility_DisplayArrayInTable(Common_SourceData.Common_SourceData_MCFTemperatureZone_Data(),Table_SourceData_Common_MCFTemperatureZone[[#Headers],[Temperature zone]],0)</f>
        <v>0.1</v>
      </c>
      <c r="H248" s="38" cm="1">
        <f t="array" ref="H248">Common_InputFunctions.Utility_DisplayArrayInTable(Common_SourceData.Common_SourceData_MCFTemperatureZone_Data(),Table_SourceData_Common_MCFTemperatureZone[[#Headers],[Temperature zone]],0)</f>
        <v>0.44</v>
      </c>
      <c r="I248" s="38" cm="1">
        <f t="array" ref="I248">Common_InputFunctions.Utility_DisplayArrayInTable(Common_SourceData.Common_SourceData_MCFTemperatureZone_Data(),Table_SourceData_Common_MCFTemperatureZone[[#Headers],[Temperature zone]],0)</f>
        <v>0.01</v>
      </c>
      <c r="J248" s="38" cm="1">
        <f t="array" ref="J248">Common_InputFunctions.Utility_DisplayArrayInTable(Common_SourceData.Common_SourceData_MCFTemperatureZone_Data(),Table_SourceData_Common_MCFTemperatureZone[[#Headers],[Temperature zone]],0)</f>
        <v>1.4999999999999999E-2</v>
      </c>
      <c r="K248" s="38" cm="1">
        <f t="array" ref="K248">Common_InputFunctions.Utility_DisplayArrayInTable(Common_SourceData.Common_SourceData_MCFTemperatureZone_Data(),Table_SourceData_Common_MCFTemperatureZone[[#Headers],[Temperature zone]],0)</f>
        <v>0.02</v>
      </c>
      <c r="L248" s="38" cm="1">
        <f t="array" ref="L248">Common_InputFunctions.Utility_DisplayArrayInTable(Common_SourceData.Common_SourceData_MCFTemperatureZone_Data(),Table_SourceData_Common_MCFTemperatureZone[[#Headers],[Temperature zone]],0)</f>
        <v>0.03</v>
      </c>
      <c r="M248" s="38" cm="1">
        <f t="array" ref="M248">Common_InputFunctions.Utility_DisplayArrayInTable(Common_SourceData.Common_SourceData_MCFTemperatureZone_Data(),Table_SourceData_Common_MCFTemperatureZone[[#Headers],[Temperature zone]],0)</f>
        <v>0.04</v>
      </c>
      <c r="N248" s="38" cm="1">
        <f t="array" ref="N248">Common_InputFunctions.Utility_DisplayArrayInTable(Common_SourceData.Common_SourceData_MCFTemperatureZone_Data(),Table_SourceData_Common_MCFTemperatureZone[[#Headers],[Temperature zone]],0)</f>
        <v>1.4999999999999999E-2</v>
      </c>
      <c r="O248" s="38" cm="1">
        <f t="array" ref="O248">Common_InputFunctions.Utility_DisplayArrayInTable(Common_SourceData.Common_SourceData_MCFTemperatureZone_Data(),Table_SourceData_Common_MCFTemperatureZone[[#Headers],[Temperature zone]],0)</f>
        <v>1.4999999999999999E-2</v>
      </c>
      <c r="P248" s="38" cm="1">
        <f t="array" ref="P248">Common_InputFunctions.Utility_DisplayArrayInTable(Common_SourceData.Common_SourceData_MCFTemperatureZone_Data(),Table_SourceData_Common_MCFTemperatureZone[[#Headers],[Temperature zone]],0)</f>
        <v>0</v>
      </c>
      <c r="Q248" s="38" cm="1">
        <f t="array" ref="Q248">Common_InputFunctions.Utility_DisplayArrayInTable(Common_SourceData.Common_SourceData_MCFTemperatureZone_Data(),Table_SourceData_Common_MCFTemperatureZone[[#Headers],[Temperature zone]],0)</f>
        <v>0</v>
      </c>
      <c r="R248" s="38" cm="1">
        <f t="array" ref="R248">Common_InputFunctions.Utility_DisplayArrayInTable(Common_SourceData.Common_SourceData_MCFTemperatureZone_Data(),Table_SourceData_Common_MCFTemperatureZone[[#Headers],[Temperature zone]],0)</f>
        <v>4.7000000000000002E-3</v>
      </c>
      <c r="S248" s="3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8" cm="1">
        <f t="array" ref="E249">Common_InputFunctions.Utility_DisplayArrayInTable(Common_SourceData.Common_SourceData_MCFTemperatureZone_Data(),Table_SourceData_Common_MCFTemperatureZone[[#Headers],[Temperature zone]],0)</f>
        <v>27</v>
      </c>
      <c r="F249" s="38" cm="1">
        <f t="array" ref="F249">Common_InputFunctions.Utility_DisplayArrayInTable(Common_SourceData.Common_SourceData_MCFTemperatureZone_Data(),Table_SourceData_Common_MCFTemperatureZone[[#Headers],[Temperature zone]],0)</f>
        <v>0.8</v>
      </c>
      <c r="G249" s="38" cm="1">
        <f t="array" ref="G249">Common_InputFunctions.Utility_DisplayArrayInTable(Common_SourceData.Common_SourceData_MCFTemperatureZone_Data(),Table_SourceData_Common_MCFTemperatureZone[[#Headers],[Temperature zone]],0)</f>
        <v>0.1</v>
      </c>
      <c r="H249" s="38" cm="1">
        <f t="array" ref="H249">Common_InputFunctions.Utility_DisplayArrayInTable(Common_SourceData.Common_SourceData_MCFTemperatureZone_Data(),Table_SourceData_Common_MCFTemperatureZone[[#Headers],[Temperature zone]],0)</f>
        <v>0.48</v>
      </c>
      <c r="I249" s="38" cm="1">
        <f t="array" ref="I249">Common_InputFunctions.Utility_DisplayArrayInTable(Common_SourceData.Common_SourceData_MCFTemperatureZone_Data(),Table_SourceData_Common_MCFTemperatureZone[[#Headers],[Temperature zone]],0)</f>
        <v>0.01</v>
      </c>
      <c r="J249" s="38" cm="1">
        <f t="array" ref="J249">Common_InputFunctions.Utility_DisplayArrayInTable(Common_SourceData.Common_SourceData_MCFTemperatureZone_Data(),Table_SourceData_Common_MCFTemperatureZone[[#Headers],[Temperature zone]],0)</f>
        <v>1.4999999999999999E-2</v>
      </c>
      <c r="K249" s="38" cm="1">
        <f t="array" ref="K249">Common_InputFunctions.Utility_DisplayArrayInTable(Common_SourceData.Common_SourceData_MCFTemperatureZone_Data(),Table_SourceData_Common_MCFTemperatureZone[[#Headers],[Temperature zone]],0)</f>
        <v>0.02</v>
      </c>
      <c r="L249" s="38" cm="1">
        <f t="array" ref="L249">Common_InputFunctions.Utility_DisplayArrayInTable(Common_SourceData.Common_SourceData_MCFTemperatureZone_Data(),Table_SourceData_Common_MCFTemperatureZone[[#Headers],[Temperature zone]],0)</f>
        <v>0.03</v>
      </c>
      <c r="M249" s="38" cm="1">
        <f t="array" ref="M249">Common_InputFunctions.Utility_DisplayArrayInTable(Common_SourceData.Common_SourceData_MCFTemperatureZone_Data(),Table_SourceData_Common_MCFTemperatureZone[[#Headers],[Temperature zone]],0)</f>
        <v>0.04</v>
      </c>
      <c r="N249" s="38" cm="1">
        <f t="array" ref="N249">Common_InputFunctions.Utility_DisplayArrayInTable(Common_SourceData.Common_SourceData_MCFTemperatureZone_Data(),Table_SourceData_Common_MCFTemperatureZone[[#Headers],[Temperature zone]],0)</f>
        <v>1.4999999999999999E-2</v>
      </c>
      <c r="O249" s="38" cm="1">
        <f t="array" ref="O249">Common_InputFunctions.Utility_DisplayArrayInTable(Common_SourceData.Common_SourceData_MCFTemperatureZone_Data(),Table_SourceData_Common_MCFTemperatureZone[[#Headers],[Temperature zone]],0)</f>
        <v>1.4999999999999999E-2</v>
      </c>
      <c r="P249" s="38" cm="1">
        <f t="array" ref="P249">Common_InputFunctions.Utility_DisplayArrayInTable(Common_SourceData.Common_SourceData_MCFTemperatureZone_Data(),Table_SourceData_Common_MCFTemperatureZone[[#Headers],[Temperature zone]],0)</f>
        <v>0</v>
      </c>
      <c r="Q249" s="38" cm="1">
        <f t="array" ref="Q249">Common_InputFunctions.Utility_DisplayArrayInTable(Common_SourceData.Common_SourceData_MCFTemperatureZone_Data(),Table_SourceData_Common_MCFTemperatureZone[[#Headers],[Temperature zone]],0)</f>
        <v>0</v>
      </c>
      <c r="R249" s="38" cm="1">
        <f t="array" ref="R249">Common_InputFunctions.Utility_DisplayArrayInTable(Common_SourceData.Common_SourceData_MCFTemperatureZone_Data(),Table_SourceData_Common_MCFTemperatureZone[[#Headers],[Temperature zone]],0)</f>
        <v>4.7000000000000002E-3</v>
      </c>
      <c r="S249" s="3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8" t="str" cm="1">
        <f t="array" ref="E250">Common_InputFunctions.Utility_DisplayArrayInTable(Common_SourceData.Common_SourceData_MCFTemperatureZone_Data(),Table_SourceData_Common_MCFTemperatureZone[[#Headers],[Temperature zone]],0)</f>
        <v>≥28</v>
      </c>
      <c r="F250" s="38" cm="1">
        <f t="array" ref="F250">Common_InputFunctions.Utility_DisplayArrayInTable(Common_SourceData.Common_SourceData_MCFTemperatureZone_Data(),Table_SourceData_Common_MCFTemperatureZone[[#Headers],[Temperature zone]],0)</f>
        <v>0.8</v>
      </c>
      <c r="G250" s="38" cm="1">
        <f t="array" ref="G250">Common_InputFunctions.Utility_DisplayArrayInTable(Common_SourceData.Common_SourceData_MCFTemperatureZone_Data(),Table_SourceData_Common_MCFTemperatureZone[[#Headers],[Temperature zone]],0)</f>
        <v>0.1</v>
      </c>
      <c r="H250" s="38" cm="1">
        <f t="array" ref="H250">Common_InputFunctions.Utility_DisplayArrayInTable(Common_SourceData.Common_SourceData_MCFTemperatureZone_Data(),Table_SourceData_Common_MCFTemperatureZone[[#Headers],[Temperature zone]],0)</f>
        <v>0.5</v>
      </c>
      <c r="I250" s="38" cm="1">
        <f t="array" ref="I250">Common_InputFunctions.Utility_DisplayArrayInTable(Common_SourceData.Common_SourceData_MCFTemperatureZone_Data(),Table_SourceData_Common_MCFTemperatureZone[[#Headers],[Temperature zone]],0)</f>
        <v>0.01</v>
      </c>
      <c r="J250" s="38" cm="1">
        <f t="array" ref="J250">Common_InputFunctions.Utility_DisplayArrayInTable(Common_SourceData.Common_SourceData_MCFTemperatureZone_Data(),Table_SourceData_Common_MCFTemperatureZone[[#Headers],[Temperature zone]],0)</f>
        <v>1.4999999999999999E-2</v>
      </c>
      <c r="K250" s="38" cm="1">
        <f t="array" ref="K250">Common_InputFunctions.Utility_DisplayArrayInTable(Common_SourceData.Common_SourceData_MCFTemperatureZone_Data(),Table_SourceData_Common_MCFTemperatureZone[[#Headers],[Temperature zone]],0)</f>
        <v>0.02</v>
      </c>
      <c r="L250" s="38" cm="1">
        <f t="array" ref="L250">Common_InputFunctions.Utility_DisplayArrayInTable(Common_SourceData.Common_SourceData_MCFTemperatureZone_Data(),Table_SourceData_Common_MCFTemperatureZone[[#Headers],[Temperature zone]],0)</f>
        <v>0.03</v>
      </c>
      <c r="M250" s="38" cm="1">
        <f t="array" ref="M250">Common_InputFunctions.Utility_DisplayArrayInTable(Common_SourceData.Common_SourceData_MCFTemperatureZone_Data(),Table_SourceData_Common_MCFTemperatureZone[[#Headers],[Temperature zone]],0)</f>
        <v>0.04</v>
      </c>
      <c r="N250" s="38" cm="1">
        <f t="array" ref="N250">Common_InputFunctions.Utility_DisplayArrayInTable(Common_SourceData.Common_SourceData_MCFTemperatureZone_Data(),Table_SourceData_Common_MCFTemperatureZone[[#Headers],[Temperature zone]],0)</f>
        <v>1.4999999999999999E-2</v>
      </c>
      <c r="O250" s="38" cm="1">
        <f t="array" ref="O250">Common_InputFunctions.Utility_DisplayArrayInTable(Common_SourceData.Common_SourceData_MCFTemperatureZone_Data(),Table_SourceData_Common_MCFTemperatureZone[[#Headers],[Temperature zone]],0)</f>
        <v>1.4999999999999999E-2</v>
      </c>
      <c r="P250" s="38" cm="1">
        <f t="array" ref="P250">Common_InputFunctions.Utility_DisplayArrayInTable(Common_SourceData.Common_SourceData_MCFTemperatureZone_Data(),Table_SourceData_Common_MCFTemperatureZone[[#Headers],[Temperature zone]],0)</f>
        <v>0</v>
      </c>
      <c r="Q250" s="38" cm="1">
        <f t="array" ref="Q250">Common_InputFunctions.Utility_DisplayArrayInTable(Common_SourceData.Common_SourceData_MCFTemperatureZone_Data(),Table_SourceData_Common_MCFTemperatureZone[[#Headers],[Temperature zone]],0)</f>
        <v>0</v>
      </c>
      <c r="R250" s="38" cm="1">
        <f t="array" ref="R250">Common_InputFunctions.Utility_DisplayArrayInTable(Common_SourceData.Common_SourceData_MCFTemperatureZone_Data(),Table_SourceData_Common_MCFTemperatureZone[[#Headers],[Temperature zone]],0)</f>
        <v>4.7000000000000002E-3</v>
      </c>
      <c r="S250" s="3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3" t="str" cm="1">
        <f t="array" ref="D256">Common_SourceData.Common_SourceData_EFOrganicFertiliserAndCropResidues_Unit()</f>
        <v>kg N2O - N / kg N</v>
      </c>
    </row>
    <row r="257" spans="4:6" x14ac:dyDescent="0.25">
      <c r="D257" s="38" t="s">
        <v>242</v>
      </c>
      <c r="E257" s="38" t="s">
        <v>243</v>
      </c>
    </row>
    <row r="258" spans="4:6" x14ac:dyDescent="0.25">
      <c r="D258" s="38" t="str" cm="1">
        <f t="array" ref="D258">Common_InputFunctions.Utility_DisplayArrayInTable(Common_SourceData.Common_SourceData_EFOrganicFertiliserAndCropResidues_Data(), Table_SourceData_Common_EFOrganicFertCropResidues[[#Headers],[Climate Zone]], 0)</f>
        <v>Wet climate zone</v>
      </c>
      <c r="E258" s="38"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8"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245</v>
      </c>
    </row>
    <row r="264" spans="4:6" x14ac:dyDescent="0.25">
      <c r="D264" s="1" t="s">
        <v>246</v>
      </c>
    </row>
    <row r="265" spans="4:6" x14ac:dyDescent="0.25">
      <c r="D265" s="38" t="s">
        <v>247</v>
      </c>
      <c r="E265" s="38" t="s">
        <v>248</v>
      </c>
      <c r="F265" s="38" t="s">
        <v>249</v>
      </c>
    </row>
    <row r="266" spans="4:6" x14ac:dyDescent="0.25">
      <c r="D266" s="38" t="s">
        <v>250</v>
      </c>
      <c r="E266" s="38" t="s">
        <v>251</v>
      </c>
      <c r="F266" s="38">
        <v>5</v>
      </c>
    </row>
    <row r="267" spans="4:6" x14ac:dyDescent="0.25">
      <c r="D267" s="38" t="s">
        <v>252</v>
      </c>
      <c r="E267" s="38" t="s">
        <v>253</v>
      </c>
      <c r="F267" s="38">
        <v>4</v>
      </c>
    </row>
    <row r="268" spans="4:6" x14ac:dyDescent="0.25">
      <c r="D268" s="38" t="s">
        <v>254</v>
      </c>
      <c r="E268" s="38" t="s">
        <v>255</v>
      </c>
      <c r="F268" s="38">
        <v>3</v>
      </c>
    </row>
    <row r="269" spans="4:6" x14ac:dyDescent="0.25">
      <c r="D269" s="38" t="s">
        <v>256</v>
      </c>
      <c r="E269" s="38" t="s">
        <v>257</v>
      </c>
      <c r="F269" s="38">
        <v>2</v>
      </c>
    </row>
    <row r="270" spans="4:6" x14ac:dyDescent="0.25">
      <c r="D270" s="38" t="s">
        <v>258</v>
      </c>
      <c r="E270" s="38" t="s">
        <v>259</v>
      </c>
      <c r="F270" s="38">
        <v>1</v>
      </c>
    </row>
    <row r="273" spans="4:6" x14ac:dyDescent="0.25">
      <c r="D273" s="1" t="s">
        <v>260</v>
      </c>
    </row>
    <row r="274" spans="4:6" x14ac:dyDescent="0.25">
      <c r="D274" s="38" t="s">
        <v>247</v>
      </c>
      <c r="E274" s="38" t="s">
        <v>248</v>
      </c>
      <c r="F274" s="38" t="s">
        <v>249</v>
      </c>
    </row>
    <row r="275" spans="4:6" x14ac:dyDescent="0.25">
      <c r="D275" s="38" t="s">
        <v>261</v>
      </c>
      <c r="E275" s="38" t="s">
        <v>262</v>
      </c>
      <c r="F275" s="38">
        <v>5</v>
      </c>
    </row>
    <row r="276" spans="4:6" x14ac:dyDescent="0.25">
      <c r="D276" s="38" t="s">
        <v>263</v>
      </c>
      <c r="E276" s="38" t="s">
        <v>264</v>
      </c>
      <c r="F276" s="38">
        <v>4</v>
      </c>
    </row>
    <row r="277" spans="4:6" x14ac:dyDescent="0.25">
      <c r="D277" s="38" t="s">
        <v>265</v>
      </c>
      <c r="E277" s="38" t="s">
        <v>266</v>
      </c>
      <c r="F277" s="38">
        <v>3</v>
      </c>
    </row>
    <row r="278" spans="4:6" x14ac:dyDescent="0.25">
      <c r="D278" s="38" t="s">
        <v>267</v>
      </c>
      <c r="E278" s="38" t="s">
        <v>268</v>
      </c>
      <c r="F278" s="38">
        <v>2</v>
      </c>
    </row>
    <row r="279" spans="4:6" x14ac:dyDescent="0.25">
      <c r="D279" s="38" t="s">
        <v>269</v>
      </c>
      <c r="E279" s="38" t="s">
        <v>270</v>
      </c>
      <c r="F279" s="38">
        <v>1</v>
      </c>
    </row>
    <row r="282" spans="4:6" x14ac:dyDescent="0.25">
      <c r="D282" s="1" t="s">
        <v>271</v>
      </c>
    </row>
    <row r="283" spans="4:6" x14ac:dyDescent="0.25">
      <c r="D283" s="38" t="s">
        <v>247</v>
      </c>
      <c r="E283" s="38" t="s">
        <v>248</v>
      </c>
      <c r="F283" s="38" t="s">
        <v>249</v>
      </c>
    </row>
    <row r="284" spans="4:6" x14ac:dyDescent="0.25">
      <c r="D284" s="38" t="s">
        <v>272</v>
      </c>
      <c r="E284" s="38" t="s">
        <v>273</v>
      </c>
      <c r="F284" s="38">
        <v>5</v>
      </c>
    </row>
    <row r="285" spans="4:6" x14ac:dyDescent="0.25">
      <c r="D285" s="38" t="s">
        <v>274</v>
      </c>
      <c r="E285" s="38" t="s">
        <v>275</v>
      </c>
      <c r="F285" s="38">
        <v>4</v>
      </c>
    </row>
    <row r="286" spans="4:6" x14ac:dyDescent="0.25">
      <c r="D286" s="38" t="s">
        <v>276</v>
      </c>
      <c r="E286" s="38" t="s">
        <v>277</v>
      </c>
      <c r="F286" s="38">
        <v>3</v>
      </c>
    </row>
    <row r="287" spans="4:6" x14ac:dyDescent="0.25">
      <c r="D287" s="38" t="s">
        <v>278</v>
      </c>
      <c r="E287" s="38" t="s">
        <v>279</v>
      </c>
      <c r="F287" s="38">
        <v>2</v>
      </c>
    </row>
    <row r="288" spans="4:6" x14ac:dyDescent="0.25">
      <c r="D288" s="38" t="s">
        <v>280</v>
      </c>
      <c r="E288" s="38" t="s">
        <v>281</v>
      </c>
      <c r="F288" s="38">
        <v>1</v>
      </c>
    </row>
    <row r="291" spans="4:6" x14ac:dyDescent="0.25">
      <c r="D291" s="1" t="s">
        <v>282</v>
      </c>
    </row>
    <row r="292" spans="4:6" x14ac:dyDescent="0.25">
      <c r="D292" s="38" t="s">
        <v>247</v>
      </c>
      <c r="E292" s="38" t="s">
        <v>248</v>
      </c>
      <c r="F292" s="38" t="s">
        <v>249</v>
      </c>
    </row>
    <row r="293" spans="4:6" x14ac:dyDescent="0.25">
      <c r="D293" s="38" t="s">
        <v>283</v>
      </c>
      <c r="E293" s="38" t="s">
        <v>284</v>
      </c>
      <c r="F293" s="38">
        <v>5</v>
      </c>
    </row>
    <row r="294" spans="4:6" x14ac:dyDescent="0.25">
      <c r="D294" s="38" t="s">
        <v>285</v>
      </c>
      <c r="E294" s="38" t="s">
        <v>286</v>
      </c>
      <c r="F294" s="38">
        <v>4</v>
      </c>
    </row>
    <row r="295" spans="4:6" x14ac:dyDescent="0.25">
      <c r="D295" s="38" t="s">
        <v>287</v>
      </c>
      <c r="E295" s="38" t="s">
        <v>288</v>
      </c>
      <c r="F295" s="38">
        <v>3</v>
      </c>
    </row>
    <row r="296" spans="4:6" x14ac:dyDescent="0.25">
      <c r="D296" s="38" t="s">
        <v>289</v>
      </c>
      <c r="E296" s="38" t="s">
        <v>290</v>
      </c>
      <c r="F296" s="38">
        <v>2</v>
      </c>
    </row>
    <row r="297" spans="4:6" x14ac:dyDescent="0.25">
      <c r="D297" s="38" t="s">
        <v>291</v>
      </c>
      <c r="E297" s="38" t="s">
        <v>292</v>
      </c>
      <c r="F297" s="38">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4" sqref="A24"/>
    </sheetView>
  </sheetViews>
  <sheetFormatPr defaultRowHeight="15" x14ac:dyDescent="0.25"/>
  <sheetData>
    <row r="1" spans="1:1" x14ac:dyDescent="0.25">
      <c r="A1" t="s">
        <v>293</v>
      </c>
    </row>
    <row r="3" spans="1:1" ht="15.75" x14ac:dyDescent="0.25">
      <c r="A3" s="17" t="str">
        <f>HYPERLINK("#'Home'!A1", "Home")</f>
        <v>Home</v>
      </c>
    </row>
    <row r="6" spans="1:1" x14ac:dyDescent="0.25">
      <c r="A6" s="124" t="s">
        <v>1</v>
      </c>
    </row>
    <row r="7" spans="1:1" ht="15.75" x14ac:dyDescent="0.25">
      <c r="A7" s="17" t="str">
        <f>HYPERLINK("#'Constants - Common'!A1", "Constants - Common")</f>
        <v>Constants - Common</v>
      </c>
    </row>
    <row r="8" spans="1:1" ht="15.75" x14ac:dyDescent="0.25">
      <c r="A8" s="64" t="str">
        <f>HYPERLINK("#'Acknowledgements'!A1", "Acknowledgements")</f>
        <v>Acknowledgements</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E8AdABoAGUAcgBMAGkAdgBlAHMAdABvAGMAawAiACwAIgB0AGUAeAB0ACIAOgAiAFwAbgAvACoAIABcAG4ALQAtAC0ALQAtAC0ALQAtAC0ALQAtAC0ALQAtAC0ALQAtAC0ALQAtAC0ALQAtAC0ALQAtAC0ALQAtAC0ALQAtAC0ALQAtAC0ALQAtAFwAbgBTAG8AdQByAGMAZQBEAGEAdABhAF8ATwB0AGgAZQByAEwAaQB2AGUAcwB0AG8AYwBrAF8ARQBuAHQAZQByAGkAYwBGAGUAcgBtAGUAbgB0AGEAdABpAG8AbgBFAG0AaQBzAHMAaQBvAG4ARgBhAGMAdABvAHIAXABuAFQAYQBiAGwAZQAgAEEALgAxAC4ANQAuADEAOgAgAE8AdABoAGUAcgAgAEwAaQB2AGUAcwB0AG8AYwBrACAALQAgAEUAbgB0AGUAcgBpAGMAIABmAGUAcgBtAGUAbgB0AGEAdABpAG8AbgAgAGUAbQBpAHMAcwBpAG8AbgAgAGYAYQBjAHQAbwByACAAZgBvAHIAIABlAGEAYwBoACAAbwB0AGgAZQByACAAbABpAHYAZQBzAHQAbwBjAGsAIAB0AHkAcABlACAAKABrAGcAIABDAEgANAAvAGgAZQBhAGQALwB5AGUAYQByACkAIAAoAE0AagApAFwAbgAtAC0ALQAtAC0ALQAtAC0ALQAtAC0ALQAtAC0ALQAtAC0ALQAtAC0ALQAtAC0ALQAtAC0ALQAtAC0ALQAtAC0ALQAtAC0ALQAtAC0AXABuACoALwBcAG4AXABuAFMAbwB1AHIAYwBlAEQAYQB0AGEAXwBPAHQAaABlAHIATABpAHYAZQBzAHQAbwBjAGsAXwBFAG4AdABlAHIAaQBjAEYAZQByAG0AZQBuAHQAYQB0AGkAbwBuAEUAbQBpAHMAcwBpAG8AbgBGAGEAYwB0AG8AcgBfAFQAaQB0AGwAZQBcAG4AIAAgAD0ATABBAE0AQgBEAEEAKABcACIATwB0AGgAZQByACAATABpAHYAZQBzAHQAbwBjAGsAIAAtACAARQBuAHQAZQByAGkAYwAgAGYAZQByAG0AZQBuAHQAYQB0AGkAbwBuACAAZQBtAGkAcwBzAGkAbwBuACAAZgBhAGMAdABvAHIAIABmAG8AcgAgAGUAYQBjAGgAIABvAHQAaABlAHIAIABsAGkAdgBlAHMAdABvAGMAawAgAHQAeQBwAGUAXAAiACkAOwBcAG4AXABuAFMAbwB1AHIAYwBlAEQAYQB0AGEAXwBPAHQAaABlAHIATABpAHYAZQBzAHQAbwBjAGsAXwBFAG4AdABlAHIAaQBjAEYAZQByAG0AZQBuAHQAYQB0AGkAbwBuAEUAbQBpAHMAcwBpAG8AbgBGAGEAYwB0AG8AcgBfAFYAYQByAGkAYQBiAGwAZQBcAG4AIAAgAD0ATABBAE0AQgBEAEEAKABcACIATQBqAFwAIgApADsAXABuAFwAbgBTAG8AdQByAGMAZQBEAGEAdABhAF8ATwB0AGgAZQByAEwAaQB2AGUAcwB0AG8AYwBrAF8ARQBuAHQAZQByAGkAYwBGAGUAcgBtAGUAbgB0AGEAdABpAG8AbgBFAG0AaQBzAHMAaQBvAG4ARgBhAGMAdABvAHIAXwBVAG4AaQB0AFwAbgAgACAAPQBMAEEATQBCAEQAQQAoAFwAIgBrAGcAIABDAEgANAAgAC8AIABoAGUAYQBkACAALwAgAHkAZQBhAHIAXAAiACkAOwBcAG4AXABuAFMAbwB1AHIAYwBlAEQAYQB0AGEAXwBPAHQAaABlAHIATABpAHYAZQBzAHQAbwBjAGsAXwBFAG4AdABlAHIAaQBjAEYAZQByAG0AZQBuAHQAYQB0AGkAbwBuAEUAbQBpAHMAcwBpAG8AbgBGAGEAYwB0AG8AcgBfAFMAbwB1AHIAYwBlAFwAbgAgACAAPQBMAEEATQBCAEQAQQAoAFwAIgBWAEUARQBSAEcAIAAyADAAMgA2ADoAIABUAGEAYgBsAGUAIABBAC4AMQAuADUALgAxAFwAIgApADsAXABuAFwAbgBTAG8AdQByAGMAZQBEAGEAdABhAF8ATwB0AGgAZQByAEwAaQB2AGUAcwB0AG8AYwBrAF8ARQBuAHQAZQByAGkAYwBGAGUAcgBtAGUAbgB0AGEAdABpAG8AbgBFAG0AaQBzAHMAaQBvAG4ARgBhAGMAdABvAHIAXwBWAGEAcgBpAGEAdABpAG8AbgBcAG4AIAAgAD0ATABBAE0AQgBEAEEAKABcACIAXAAiACkAOwBcAG4AXABuAFMAbwB1AHIAYwBlAEQAYQB0AGEAXwBPAHQAaABlAHIATABpAHYAZQBzAHQAbwBjAGsAXwBFAG4AdABlAHIAaQBjAEYAZQByAG0AZQBuAHQAYQB0AGkAbwBuAEUAbQBpAHMAcwBpAG8AbgBGAGEAYwB0AG8Acg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NAGoAXAAiADsAXABuACAAIAAgACAAIAAgACAAIAAgACAAXAAiAEIAdQBmAGYAYQBsAG8AXAAiACwAIAA2ADgAOwBcAG4AIAAgACAAIAAgACAAIAAgACAAIABcACIARwBvAGEAdABzAFwAIgAsACAANQA7AFwAbgAgACAAIAAgACAAIAAgACAAIAAgAFwAIgBEAGUAZQByAFwAIgAsACAAMgAwADsAXABuACAAIAAgACAAIAAgACAAIAAgACAAXAAiAEMAYQBtAGUAbABzAFwAIgAsACAANAA2ADsAXABuACAAIAAgACAAIAAgACAAIAAgACAAXAAiAEEAbABwAGEAYwBhAHMAXAAiACwAIAA4ADsAXABuACAAIAAgACAAIAAgACAAIAAgACAAXAAiAEgAbwByAHMAZQBzAFwAIgAsACAAMQA4ADsAXABuACAAIAAgACAAIAAgACAAIAAgACAAXAAiAE0AdQBsAGUAcwAvAGEAcwBzAGUAcwBcACIALAAgADEAMAA7AFwAbgAgACAAIAAgACAAIAAgACAAIAAgAFwAIgBFAG0AdQBzAC8AbwBzAHQAcgBpAGMAaABlAHMAXAAiACwAIAA1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FYAbwBsAGEAdABpAGwAZQBTAG8AbABpAGQAcwBQAHIAbwBkAHUAYwBlAGQAXABuAFQAYQBiAGwAZQAgAEEALgAxAC4ANQAuADIAOgAgAE8AdABoAGUAcgAgAEwAaQB2AGUAcwB0AG8AYwBrACAALQAgAFYAbwBsAGEAdABpAGwAZQAgAHMAbwBsAGkAZABzACAAcAByAG8AZAB1AGMAZQBkACAAYgB5ACAAZQBhAGMAaAAgAG8AdABoAGUAcgAgAGwAaQB2AGUAcwB0AG8AYwBrACAAdAB5AHAAZQAgACgAawBnACAAVgBTAC8AaABlAGEAZAAvAGQAYQB5ACkAIAAoAFYAUwBqACkAXABuAC0ALQAtAC0ALQAtAC0ALQAtAC0ALQAtAC0ALQAtAC0ALQAtAC0ALQAtAC0ALQAtAC0ALQAtAC0ALQAtAC0ALQAtAC0ALQAtAC0ALQBcAG4AKgAvAFwAbgBcAG4AUwBvAHUAcgBjAGUARABhAHQAYQBfAE8AdABoAGUAcgBMAGkAdgBlAHMAdABvAGMAawBfAFYAbwBsAGEAdABpAGwAZQBTAG8AbABpAGQAcwBQAHIAbwBkAHUAYwBlAGQAXwBUAGkAdABsAGUAXABuACAAIAA9AEwAQQBNAEIARABBACgAXAAiAE8AdABoAGUAcgAgAEwAaQB2AGUAcwB0AG8AYwBrACAALQAgAFYAbwBsAGEAdABpAGwAZQAgAHMAbwBsAGkAZABzACAAcAByAG8AZAB1AGMAZQBkACAAYgB5ACAAZQBhAGMAaAAgAG8AdABoAGUAcgAgAGwAaQB2AGUAcwB0AG8AYwBrACAAdAB5AHAAZQBcACIAKQA7AFwAbgBcAG4AUwBvAHUAcgBjAGUARABhAHQAYQBfAE8AdABoAGUAcgBMAGkAdgBlAHMAdABvAGMAawBfAFYAbwBsAGEAdABpAGwAZQBTAG8AbABpAGQAcwBQAHIAbwBkAHUAYwBlAGQAXwBWAGEAcgBpAGEAYgBsAGUAXABuACAAIAA9AEwAQQBNAEIARABBACgAXAAiAFYAUwBqAFwAIgApADsAXABuAFwAbgBTAG8AdQByAGMAZQBEAGEAdABhAF8ATwB0AGgAZQByAEwAaQB2AGUAcwB0AG8AYwBrAF8AVgBvAGwAYQB0AGkAbABlAFMAbwBsAGkAZABzAFAAcgBvAGQAdQBjAGUAZABfAFUAbgBpAHQAXABuACAAIAA9AEwAQQBNAEIARABBACgAXAAiAGsAZwAgAFYAUwAgAC8AIABoAGUAYQBkACAALwAgAGQAYQB5AFwAIgApADsAXABuAFwAbgBTAG8AdQByAGMAZQBEAGEAdABhAF8ATwB0AGgAZQByAEwAaQB2AGUAcwB0AG8AYwBrAF8AVgBvAGwAYQB0AGkAbABlAFMAbwBsAGkAZABzAFAAcgBvAGQAdQBjAGUAZABfAFMAbwB1AHIAYwBlAFwAbgAgACAAPQBMAEEATQBCAEQAQQAoAFwAIgBWAEUARQBSAEcAIAAyADAAMgA2ADoAIABUAGEAYgBsAGUAIABBAC4AMQAuADUALgAyAFwAIgApADsAXABuAFwAbgBTAG8AdQByAGMAZQBEAGEAdABhAF8ATwB0AGgAZQByAEwAaQB2AGUAcwB0AG8AYwBrAF8AVgBvAGwAYQB0AGkAbABlAFMAbwBsAGkAZABzAFAAcgBvAGQAdQBjAGUAZABfAFYAYQByAGkAYQB0AGkAbwBuAFwAbgAgACAAPQBMAEEATQBCAEQAQQAoAFwAIgBcACIAKQA7AFwAbgBcAG4AUwBvAHUAcgBjAGUARABhAHQAYQBfAE8AdABoAGUAcgBMAGkAdgBlAHMAdABvAGMAawBfAFYAbwBsAGEAdABpAGwAZQBTAG8AbABpAGQAcwBQAHIAbwBkAHUAYw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VgBTAGoAXAAiADsAXABuACAAIAAgACAAIAAgACAAIAAgACAAXAAiAEIAdQBmAGYAYQBsAG8AXAAiACwAIAAyAC4ANwAzADsAXABuACAAIAAgACAAIAAgACAAIAAgACAAXAAiAEcAbwBhAHQAcwBcACIALAAgADAALgAzADQAOwBcAG4AIAAgACAAIAAgACAAIAAgACAAIABcACIARABlAGUAcgBcACIALAAgADAALgA5ADEAOwBcAG4AIAAgACAAIAAgACAAIAAgACAAIABcACIAQwBhAG0AZQBsAHMAXAAiACwAIAAyAC4ANwAzADsAXABuACAAIAAgACAAIAAgACAAIAAgACAAXAAiAEEAbABwAGEAYwBhAHMAXAAiACwAIAAwAC4AMwA0ADsAXABuACAAIAAgACAAIAAgACAAIAAgACAAXAAiAEgAbwByAHMAZQBzAFwAIgAsACAAMgAuADcAMwA7AFwAbgAgACAAIAAgACAAIAAgACAAIAAgAFwAIgBNAHUAbABlAHMALwBhAHMAcwBlAHMAXAAiACwAIAAwAC4AOQAxADsAXABuACAAIAAgACAAIAAgACAAIAAgACAAXAAiAEUAbQB1AHMALwBvAHMAdAByAGkAYwBoAGUAcwBcACIAL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gBpAHQAcgBvAGcAZQBuAEUAeABjAHIAZQB0AGUAZABcAG4AVABhAGIAbABlACAAQQAuADEALgA1AC4AMwA6ACAATwB0AGgAZQByACAATABpAHYAZQBzAHQAbwBjAGsAIAAtACAATgBpAHQAcgBvAGcAZQBuACAAZQB4AGMAcgBlAHQAZQBkACAAcABlAHIAIABsAGkAdgBlAHMAdABvAGMAawAgAHQAeQBwAGUAIAAoAGsAZwAgAE4AMgBPAC8AaABlAGEAZAAvAHkAZQBhAHIAKQAgACgATgBFAGoAKQBcAG4ALQAtAC0ALQAtAC0ALQAtAC0ALQAtAC0ALQAtAC0ALQAtAC0ALQAtAC0ALQAtAC0ALQAtAC0ALQAtAC0ALQAtAC0ALQAtAC0ALQAtAFwAbgAqAC8AXABuAFwAbgBTAG8AdQByAGMAZQBEAGEAdABhAF8ATwB0AGgAZQByAEwAaQB2AGUAcwB0AG8AYwBrAF8ATgBpAHQAcgBvAGcAZQBuAEUAeABjAHIAZQB0AGUAZABfAFQAaQB0AGwAZQBcAG4AIAAgAD0ATABBAE0AQgBEAEEAKABcACIATwB0AGgAZQByACAATABpAHYAZQBzAHQAbwBjAGsAIAAtACAATgBpAHQAcgBvAGcAZQBuACAAZQB4AGMAcgBlAHQAZQBkACAAcABlAHIAIABsAGkAdgBlAHMAdABvAGMAawAgAHQAeQBwAGUAXAAiACkAOwBcAG4AXABuAFMAbwB1AHIAYwBlAEQAYQB0AGEAXwBPAHQAaABlAHIATABpAHYAZQBzAHQAbwBjAGsAXwBOAGkAdAByAG8AZwBlAG4ARQB4AGMAcgBlAHQAZQBkAF8AVgBhAHIAaQBhAGIAbABlAFwAbgAgACAAPQBMAEEATQBCAEQAQQAoAFwAIgBOAEUAagBcACIAKQA7AFwAbgBcAG4AUwBvAHUAcgBjAGUARABhAHQAYQBfAE8AdABoAGUAcgBMAGkAdgBlAHMAdABvAGMAawBfAE4AaQB0AHIAbwBnAGUAbgBFAHgAYwByAGUAdABlAGQAXwBVAG4AaQB0AFwAbgAgACAAPQBMAEEATQBCAEQAQQAoAFwAIgBrAGcAIABOADIATwAgAC8AIABoAGUAYQBkACAALwAgAHkAZQBhAHIAXAAiACkAOwBcAG4AXABuAFMAbwB1AHIAYwBlAEQAYQB0AGEAXwBPAHQAaABlAHIATABpAHYAZQBzAHQAbwBjAGsAXwBOAGkAdAByAG8AZwBlAG4ARQB4AGMAcgBlAHQAZQBkAF8AUwBvAHUAcgBjAGUAXABuACAAIAA9AEwAQQBNAEIARABBACgAXAAiAFYARQBFAFIARwAgADIAMAAyADYAOgAgAFQAYQBiAGwAZQAgAEEALgAxAC4ANQAuADMAXAAiACkAOwBcAG4AXABuAFMAbwB1AHIAYwBlAEQAYQB0AGEAXwBPAHQAaABlAHIATABpAHYAZQBzAHQAbwBjAGsAXwBOAGkAdAByAG8AZwBlAG4ARQB4AGMAcgBlAHQAZQBkAF8AVgBhAHIAaQBhAHQAaQBvAG4AXABuACAAIAA9AEwAQQBNAEIARABBACgAXAAiAFwAIgApADsAXABuAFwAbgBTAG8AdQByAGMAZQBEAGEAdABhAF8ATwB0AGgAZQByAEwAaQB2AGUAcwB0AG8AYwBrAF8ATgBpAHQAcgBvAGcAZQBuAEUAeABjAHIAZQB0AGUAZABfAEQAYQB0AGEAXABuACAAIAA9AEwAQQBNAEIARABBACgAXABuACAAIAAgACAATQBBAEsARQBBAFIAUgBBAFkAKAA5ACwAIAAyACwAXABuACAAIAAgACAAIAAgAEwAQQBNAEIARABBACgAcgAsAGMALABcAG4AIAAgACAAIAAgACAAIAAgAEkATgBEAEUAWAAoAHsAXABuACAAIAAgACAAIAAgACAAIAAgACAAXAAiAE8AdABoAGUAcgAgAEwAaQB2AGUAcwB0AG8AYwBrACAAVAB5AHAAZQBcACIALAAgAFwAIgBOAEUAagBcACIAOwBcAG4AIAAgACAAIAAgACAAIAAgACAAIABcACIAQgB1AGYAZgBhAGwAbwBcACIALAAgADMAOQAuADUAOwBcAG4AIAAgACAAIAAgACAAIAAgACAAIABcACIARwBvAGEAdABzAFwAIgAsACAANwAuADAAOwBcAG4AIAAgACAAIAAgACAAIAAgACAAIABcACIARABlAGUAcgBcACIALAAgADEAMwAuADIAOwBcAG4AIAAgACAAIAAgACAAIAAgACAAIABcACIAQwBhAG0AZQBsAHMAXAAiACwAIAAzADkALgA1ADsAXABuACAAIAAgACAAIAAgACAAIAAgACAAXAAiAEEAbABwAGEAYwBhAHMAXAAiACwAIAA3AC4AMAA7AFwAbgAgACAAIAAgACAAIAAgACAAIAAgAFwAIgBIAG8AcgBzAGUAcwBcACIALAAgADMAOQAuADUAOwBcAG4AIAAgACAAIAAgACAAIAAgACAAIABcACIATQB1AGwAZQBzAC8AYQBzAHMAZQBzAFwAIgAsACAAMQAzAC4AMgA7AFwAbgAgACAAIAAgACAAIAAgACAAIAAgAFwAIgBFAG0AdQBzAC8AbwBzAHQAcgBpAGMAaABlAHMAXAAiACwAIAA3AC4AM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BAHYAZQByAGEAZwBlAEwAaQB2AGUAdwBlAGkAZwBoAHQAXABuAFQAYQBiAGwAZQAgAEEALgAxAC4ANQAuADQAOgAgAE8AdABoAGUAcgAgAEwAaQB2AGUAcwB0AG8AYwBrACAALQAgAEEAdgBlAHIAYQBnAGUAIABMAGkAdgBlAHcAZQBpAGcAaAB0AHMAIAAoAFcAYwBvACkAIAAoAGsAZwApACAAXABuAC0ALQAtAC0ALQAtAC0ALQAtAC0ALQAtAC0ALQAtAC0ALQAtAC0ALQAtAC0ALQAtAC0ALQAtAC0ALQAtAC0ALQAtAC0ALQAtAC0ALQBcAG4AKgAvAFwAbgBcAG4AUwBvAHUAcgBjAGUARABhAHQAYQBfAE8AdABoAGUAcgBMAGkAdgBlAHMAdABvAGMAawBfAEEAdgBlAHIAYQBnAGUATABpAHYAZQB3AGUAaQBnAGgAdABfAFQAaQB0AGwAZQBcAG4AIAAgAD0ATABBAE0AQgBEAEEAKABcACIATwB0AGgAZQByACAATABpAHYAZQBzAHQAbwBjAGsAIAAtACAAQQB2AGUAcgBhAGcAZQAgAEwAaQB2AGUAdwBlAGkAZwBoAHQAcwBcACIAKQA7AFwAbgBcAG4AUwBvAHUAcgBjAGUARABhAHQAYQBfAE8AdABoAGUAcgBMAGkAdgBlAHMAdABvAGMAawBfAEEAdgBlAHIAYQBnAGUATABpAHYAZQB3AGUAaQBnAGgAdABfAFYAYQByAGkAYQBiAGwAZQBcAG4AIAAgAD0ATABBAE0AQgBEAEEAKABcACIAVwBjAG8AXAAiACkAOwBcAG4AXABuAFMAbwB1AHIAYwBlAEQAYQB0AGEAXwBPAHQAaABlAHIATABpAHYAZQBzAHQAbwBjAGsAXwBBAHYAZQByAGEAZwBlAEwAaQB2AGUAdwBlAGkAZwBoAHQAXwBVAG4AaQB0AFwAbgAgACAAPQBMAEEATQBCAEQAQQAoAFwAIgBrAGcAXAAiACkAOwBcAG4AXABuAFMAbwB1AHIAYwBlAEQAYQB0AGEAXwBPAHQAaABlAHIATABpAHYAZQBzAHQAbwBjAGsAXwBBAHYAZQByAGEAZwBlAEwAaQB2AGUAdwBlAGkAZwBoAHQAXwBTAG8AdQByAGMAZQBcAG4AIAAgAD0ATABBAE0AQgBEAEEAKABcACIAVgBFAEUAUgBHACAAMgAwADIANgA6ACAAVABhAGIAbABlACAAQQAuADEALgA1AC4ANABcACIAKQA7AFwAbgBcAG4AUwBvAHUAcgBjAGUARABhAHQAYQBfAE8AdABoAGUAcgBMAGkAdgBlAHMAdABvAGMAawBfAEEAdgBlAHIAYQBnAGUATABpAHYAZQB3AGUAaQBnAGgAdABfAFYAYQByAGkAYQB0AGkAbwBuAFwAbgAgACAAPQBMAEEATQBCAEQAQQAoAFwAIgBcACIAKQA7AFwAbgBcAG4AUwBvAHUAcgBjAGUARABhAHQAYQBfAE8AdABoAGUAcgBMAGkAdgBlAHMAdABvAGMAawBfAEEAdgBlAHIAYQBnAGUATABpAHYAZQB3AGUAaQBnAGgAdABfAEQAYQB0AGEAXABuACAAIAA9AEwAQQBNAEIARABBACgAXABuACAAIAAgACAATQBBAEsARQBBAFIAUgBBAFkAKAAxADEALAAgADMALABcAG4AIAAgACAAIAAgACAATABBAE0AQgBEAEEAKAByACwAYwAsAFwAbgAgACAAIAAgACAAIAAgACAASQBOAEQARQBYACgAewBcAG4AIAAgACAAIAAgACAAIAAgACAAIABcACIATwB0AGgAZQByACAATABpAHYAZQBzAHQAbwBjAGsAIABUAHkAcABlACAAagBcACIALAAgAFwAIgBBAHYAZQByAGEAZwBlACAATABpAHYAZQB3AGUAaQBnAGgAdABcACIALAAgAFwAIgBBAHYAZQByAGEAZwBlACAATABpAHYAZQB3AGUAaQBnAGgAdABcACIAOwBcAG4AIAAgACAAIAAgACAAIAAgACAAIABcACIAQgB1AGYAZgBhAGwAbwBcACIALAAgADMAMwA2ACwAIABcACIALQBcACIAOwBcAG4AIAAgACAAIAAgACAAIAAgACAAIABcACIARwBvAGEAdABzAFwAIgAsACAAMwAzACwAIABcACIAMgA4AGsAZwAgAC0AIABsAG8AdwAgAHAAcgBvAGQAdQBjAHQAaQB2AGkAdAB5ACAAcwB5AHMAdABlAG0AcwBcACIAOwBcAG4AIAAgACAAIAAgACAAIAAgACAAIABcACIARwBvAGEAdABzAFwAIgAsACAAMwAzACwAIABcACIANQAwAGsAZwAgAC0AIABoAGkAZwBoACAAcAByAG8AZAB1AGMAdABpAHYAaQB0AHkAIABzAHkAcwB0AGUAbQBzAFwAIgA7AFwAbgAgACAAIAAgACAAIAAgACAAIAAgAFwAIgBEAGUAZQByAFwAIgAsACAAMQAyADAALAAgADEAMgAwADsAXABuACAAIAAgACAAIAAgACAAIAAgACAAXAAiAEMAYQBtAGUAbABzAFwAIgAsACAAMgAxADcALAAgADUANwAwADsAXABuACAAIAAgACAAIAAgACAAIAAgACAAXAAiAEEAbABwAGEAYwBhAHMAXAAiACwAIABcACIALQBcACIALAAgADYANQA7AFwAbgAgACAAIAAgACAAIAAgACAAIAAgAFwAIgBIAG8AcgBzAGUAcwBcACIALAAgADMANwA3ACwAIAA1ADUAMAA7AFwAbgAgACAAIAAgACAAIAAgACAAIAAgAFwAIgBNAHUAbABlAHMALwBhAHMAcwBlAHMAXAAiACwAIAAxADMAMAAsACAAMgA0ADUAOwBcAG4AIAAgACAAIAAgACAAIAAgACAAIABcACIARQBtAHUAcwAvAG8AcwB0AHIAaQBjAGgAZQBzAFwAIgAsACAAMQAyADAALAAgADEAMgAwADsAXABuACAAIAAgACAAIAAgACAAIAAgACAAXAAiAFIAZQBmAGUAcgBlAG4AYwBlAFwAIgAsACAAXAAiAEkAUABDAEMAIAAyADAAMQA5ACAAVABhAGIAbABlACAAMQAwAEEALgA1ACAAWwAyAF0AXAAiACwAIABcACIASQBQAEMAQwAgADIAMAAxADkAIABUAGEAYgBsAGUAIAAxADAALgAxADAAIABbADIAX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RgByAGEAYwB0AGkAbwBuAFcAYQBzAHQAZQBJAG4ATQBNAFMAXABuAFQAYQBiAGwAZQAgAEEALgAxAC4ANQAuADUAOgAgAE8AdABoAGUAcgAgAEwAaQB2AGUAcwB0AG8AYwBrACAALQAgAEYAcgBhAGMAdABpAG8AbgAgAG8AZgAgAHcAYQBzAHQAZQAgAGkAbgAgAGUAYQBjAGgAIABtAGEAbgB1AHIAZQAgAG0AYQBuAGEAZwBlAG0AZQBuAHQAIABzAHkAcwB0AGUAbQAgACgAZgByAGEAYwB0AGkAbwBuACkAIAAoAE0ATQBTAG0AKQBcAG4ALQAtAC0ALQAtAC0ALQAtAC0ALQAtAC0ALQAtAC0ALQAtAC0ALQAtAC0ALQAtAC0ALQAtAC0ALQAtAC0ALQAtAC0ALQAtAC0ALQAtAFwAbgAqAC8AXABuAFwAbgBTAG8AdQByAGMAZQBEAGEAdABhAF8ATwB0AGgAZQByAEwAaQB2AGUAcwB0AG8AYwBrAF8ARgByAGEAYwB0AGkAbwBuAFcAYQBzAHQAZQBJAG4ATQBNAFMAXwBUAGkAdABsAGUAXABuACAAIAA9AEwAQQBNAEIARABBACgAXAAiAE8AdABoAGUAcgAgAEwAaQB2AGUAcwB0AG8AYwBrACAALQAgAEYAcgBhAGMAdABpAG8AbgAgAG8AZgAgAHcAYQBzAHQAZQAgAGkAbgAgAGUAYQBjAGgAIABtAGEAbgB1AHIAZQAgAG0AYQBuAGEAZwBlAG0AZQBuAHQAIABzAHkAcwB0AGUAbQBcACIAKQA7AFwAbgBcAG4AUwBvAHUAcgBjAGUARABhAHQAYQBfAE8AdABoAGUAcgBMAGkAdgBlAHMAdABvAGMAawBfAEYAcgBhAGMAdABpAG8AbgBXAGEAcwB0AGUASQBuAE0ATQBTAF8AVgBhAHIAaQBhAGIAbABlAFwAbgAgACAAPQBMAEEATQBCAEQAQQAoAFwAIgBNAE0AUwBtAFwAIgApADsAXABuAFwAbgBTAG8AdQByAGMAZQBEAGEAdABhAF8ATwB0AGgAZQByAEwAaQB2AGUAcwB0AG8AYwBrAF8ARgByAGEAYwB0AGkAbwBuAFcAYQBzAHQAZQBJAG4ATQBNAFMAXwBVAG4AaQB0AFwAbgAgACAAPQBMAEEATQBCAEQAQQAoAFwAIgBmAHIAYQBjAHQAaQBvAG4AXAAiACkAOwBcAG4AXABuAFMAbwB1AHIAYwBlAEQAYQB0AGEAXwBPAHQAaABlAHIATABpAHYAZQBzAHQAbwBjAGsAXwBGAHIAYQBjAHQAaQBvAG4AVwBhAHMAdABlAEkAbgBNAE0AUwBfAFMAbwB1AHIAYwBlAFwAbgAgACAAPQBMAEEATQBCAEQAQQAoAFwAIgBWAEUARQBSAEcAIAAyADAAMgA2ADoAIABUAGEAYgBsAGUAIABBAC4AMQAuADUALgA1AFwAIgApADsAXABuAFwAbgBTAG8AdQByAGMAZQBEAGEAdABhAF8ATwB0AGgAZQByAEwAaQB2AGUAcwB0AG8AYwBrAF8ARgByAGEAYwB0AGkAbwBuAFcAYQBzAHQAZQBJAG4ATQBNAFMAXwBWAGEAcgBpAGEAdABpAG8AbgBcAG4AIAAgAD0ATABBAE0AQgBEAEEAKABcACIAXAAiACkAOwBcAG4AXABuAFMAbwB1AHIAYwBlAEQAYQB0AGEAXwBPAHQAaABlAHIATABpAHYAZQBzAHQAbwBjAGsAXwBGAHIAYQBjAHQAaQBvAG4AVwBhAHMAdABlAEkAbgBNAE0AUw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kAOQAuADYANgAsACAAIAAwAC4AMwA0ADsAXABuACAAIAAgACAAIAAgACAAIAAgACAAXAAiAE4AUwBXAFwAIgAsACAAIAA5ADkALgA2ADYALAAgACAAMAAuADMANAA7AFwAbgAgACAAIAAgACAAIAAgACAAIAAgAFwAIgBOAFQAXAAiACwAIAAgADkAOQAuADYANgAsACAAIAAwAC4AMwA0ADsAXABuACAAIAAgACAAIAAgACAAIAAgACAAXAAiAFEATABEAFwAIgAsACAAIAA5ADkALgA2ADYALAAgACAAMAAuADMANAA7AFwAbgAgACAAIAAgACAAIAAgACAAIAAgAFwAIgBTAEEAXAAiACwAIAAgADkAOQAuADYANgAsACAAIAAwAC4AMwA0ADsAXABuACAAIAAgACAAIAAgACAAIAAgACAAXAAiAFQAQQBTAFwAIgAsACAAIAA5ADkALgA2ADYALAAgACAAMAAuADMANAA7AFwAbgAgACAAIAAgACAAIAAgACAAIAAgAFwAIgBWAEkAQwBcACIALAAgACAAOQA5AC4ANgA2ACwAIAAgADAALgAzADQAOwBcAG4AIAAgACAAIAAgACAAIAAgACAAIABcACIAVwBBAFwAIgAsACAAIAA5ADkALgA2ADYALAAgACAAMAAuADMANA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MAbwBuAHYAZQByAHMAaQBvAG4ARgBhAGMAdABvAHIAXABuAFQAYQBiAGwAZQAgAEEALgAxAC4ANQAuADYAOgAgAE8AdABoAGUAcgAgAEwAaQB2AGUAcwB0AG8AYwBr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E8AdABoAGUAcgBMAGkAdgBlAHMAdABvAGMAawBfAE0AZQB0AGgAYQBuAGUAQwBvAG4AdgBlAHIAcwBpAG8AbgBGAGEAYwB0AG8AcgBfAFQAaQB0AGwAZQBcAG4AIAAgAD0ATABBAE0AQgBEAEEAKABcACIATwB0AGgAZQByACAATABpAHYAZQBzAHQAbwBjAGsAIAAtACAATQBlAHQAaABhAG4AZQAgAGMAbwBuAHYAZQByAHMAaQBvAG4AIABmAGEAYwB0AG8AcgAgAHAAZQByACAAcgBlAGcAaQBvAG4AXAAiACkAOwBcAG4AXABuAFMAbwB1AHIAYwBlAEQAYQB0AGEAXwBPAHQAaABlAHIATABpAHYAZQBzAHQAbwBjAGsAXwBNAGUAdABoAGEAbgBlAEMAbwBuAHYAZQByAHMAaQBvAG4ARgBhAGMAdABvAHIAXwBWAGEAcgBpAGEAYgBsAGUAXABuACAAIAA9AEwAQQBNAEIARABBACgAXAAiAE0AQwBGAGkAbQBcACIAKQA7AFwAbgBcAG4AUwBvAHUAcgBjAGUARABhAHQAYQBfAE8AdABoAGUAcgBMAGkAdgBlAHMAdABvAGMAawBfAE0AZQB0AGgAYQBuAGUAQwBvAG4AdgBlAHIAcwBpAG8AbgBGAGEAYwB0AG8AcgBfAFUAbgBpAHQAXABuACAAIAA9AEwAQQBNAEIARABBACgAXAAiAGYAcgBhAGMAdABpAG8AbgBcACIAKQA7AFwAbgBcAG4AUwBvAHUAcgBjAGUARABhAHQAYQBfAE8AdABoAGUAcgBMAGkAdgBlAHMAdABvAGMAawBfAE0AZQB0AGgAYQBuAGUAQwBvAG4AdgBlAHIAcwBpAG8AbgBGAGEAYwB0AG8AcgBfAFMAbwB1AHIAYwBlAFwAbgAgACAAPQBMAEEATQBCAEQAQQAoAFwAIgBWAEUARQBSAEcAIAAyADAAMgA2ADoAIABUAGEAYgBsAGUAIABBAC4AMQAuADUALgA2AFwAIgApADsAXABuAFwAbgBTAG8AdQByAGMAZQBEAGEAdABhAF8ATwB0AGgAZQByAEwAaQB2AGUAcwB0AG8AYwBrAF8ATQBlAHQAaABhAG4AZQBDAG8AbgB2AGUAcgBzAGkAbwBuAEYAYQBjAHQAbwByAF8AVgBhAHIAaQBhAHQAaQBvAG4AXABuACAAIAA9AEwAQQBNAEIARABBACgAXAAiAFwAIgApADsAXABuAFwAbgBTAG8AdQByAGMAZQBEAGEAdABhAF8ATwB0AGgAZQByAEwAaQB2AGUAcwB0AG8AYwBrAF8ATQBlAHQAaABhAG4AZQBDAG8AbgB2AGUAcgBzAGkAbwBuAEYAYQBjAHQAbwByAF8ARABhAHQAYQBcAG4AIAAgAD0ATABBAE0AQgBEAEEAKABcAG4AIAAgACAAIABNAEEASwBFAEEAUgBSAEEAWQAoADkALAAgADMALABcAG4AIAAgACAAIAAgACAATABBAE0AQgBEAEEAKAByACwAYwAsAFwAbgAgACAAIAAgACAAIAAgACAASQBOAEQARQBYACgAewBcAG4AIAAgACAAIAAgACAAIAAgACAAIABcACIAUwB0AGEAdABlAFwAIgAsACAAXAAiAFAAYQBzAHQAdQByAGUAIAByAGEAbgBnAGUAIABhAG4AZAAgAHAAYQBkAGQAbwBjAGsAXAAiACwAIABcACIAVQBuAGMAbwB2AGUAcgBlAGQAIABBAG4AYQBlAHIAbwBiAGkAYwAgAGwAYQBnAG8AbwBuAFwAIgA7AFwAbgAgACAAIAAgACAAIAAgACAAIAAgAFwAIgBBAEMAVABcACIALAAgACAAMAAuADAAMAA0ADcALAAgACAAMAAuADcAMQA7AFwAbgAgACAAIAAgACAAIAAgACAAIAAgAFwAIgBOAFMAVwBcACIALAAgACAAMAAuADAAMAA0ADcALAAgACAAMAAuADcANQA7AFwAbgAgACAAIAAgACAAIAAgACAAIAAgAFwAIgBOAFQAXAAiACwAIAAgADAALgAwADAANAA3ACwAIAAgADAALgA4ADAAOwBcAG4AIAAgACAAIAAgACAAIAAgACAAIABcACIAUQBMAEQAXAAiACwAIAAgADAALgAwADAANAA3ACwAIAAgADAALgA3ADgAOwBcAG4AIAAgACAAIAAgACAAIAAgACAAIABcACIAUwBBAFwAIgAsACAAIAAwAC4AMAAwADQANwAsACAAIAAwAC4ANwA0ADsAXABuACAAIAAgACAAIAAgACAAIAAgACAAXAAiAFQAQQBTAFwAIgAsACAAIAAwAC4AMAAwADQANwAsACAAIAAwAC4ANwAwADsAXABuACAAIAAgACAAIAAgACAAIAAgACAAXAAiAFYASQBDAFwAIgAsACAAIAAwAC4AMAAwADQANwAsACAAIAAwAC4ANwA0ADsAXABuACAAIAAgACAAIAAgACAAIAAgACAAXAAiAFcAQQBcACIALAAgACAAMAAuADAAMAA0ADcALAAgACAAMAAuADcAN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NAGUAdABoAGEAbgBlAEUAbQBpAHMAcwBpAG8AbgBzAFAAbwB0AGUAbgB0AGkAYQBsAFwAbgBUAGEAYgBsAGUAIABBAC4AMQAuADUALgBYADoAIABPAHQAaABlAHIAIABMAGkAdgBlAHMAdABvAGMAawAgAC0AIABNAGUAdABoAGEAbgBlACAAZQBtAGkAcwBzAGkAbwBuAHMAIABwAG8AdABlAG4AdABpAGEAbAAgACgAbQAzACAAQwBIADQAIAAvACAAawBnACAAVgBTACkAIAAoAEIATwApAFwAbgAtAC0ALQAtAC0ALQAtAC0ALQAtAC0ALQAtAC0ALQAtAC0ALQAtAC0ALQAtAC0ALQAtAC0ALQAtAC0ALQAtAC0ALQAtAC0ALQAtAC0AXABuACoALwBcAG4AXABuAFMAbwB1AHIAYwBlAEQAYQB0AGEAXwBPAHQAaABlAHIATABpAHYAZQBzAHQAbwBjAGsAXwBNAGUAdABoAGEAbgBlAEUAbQBpAHMAcwBpAG8AbgBzAFAAbwB0AGUAbgB0AGkAYQBsAF8AVABpAHQAbABlAFwAbgAgACAAPQBMAEEATQBCAEQAQQAoAFwAIgBPAHQAaABlAHIAIABMAGkAdgBlAHMAdABvAGMAawAgAC0AIABNAGUAdABoAGEAbgBlACAAZQBtAGkAcwBzAGkAbwBuAHMAIABwAG8AdABlAG4AdABpAGEAbABcACIAKQA7AFwAbgBcAG4AUwBvAHUAcgBjAGUARABhAHQAYQBfAE8AdABoAGUAcgBMAGkAdgBlAHMAdABvAGMAawBfAE0AZQB0AGgAYQBuAGUARQBtAGkAcwBzAGkAbwBuAHMAUABvAHQAZQBuAHQAaQBhAGwAXwBWAGEAcgBpAGEAYgBsAGUAXABuACAAIAA9AEwAQQBNAEIARABBACgAXAAiAEIATwBcACIAKQA7AFwAbgBcAG4AUwBvAHUAcgBjAGUARABhAHQAYQBfAE8AdABoAGUAcgBMAGkAdgBlAHMAdABvAGMAawBfAE0AZQB0AGgAYQBuAGUARQBtAGkAcwBzAGkAbwBuAHMAUABvAHQAZQBuAHQAaQBhAGwAXwBVAG4AaQB0AFwAbgAgACAAPQBMAEEATQBCAEQAQQAoAFwAIgBtADMAIABDAEgANAAgAC8AIABrAGcAIABWAFMAXAAiACkAOwBcAG4AXABuAFMAbwB1AHIAYwBlAEQAYQB0AGEAXwBPAHQAaABlAHIATABpAHYAZQBzAHQAbwBjAGsAXwBNAGUAdABoAGEAbgBlAEUAbQBpAHMAcwBpAG8AbgBzAFAAbwB0AGUAbgB0AGkAYQBsAF8AUwBvAHUAcgBjAGUAXABuACAAIAA9AEwAQQBNAEIARABBACgAXAAiAFYARQBFAFIARwAgADIAMAAyADYAOgAgAFQAYQBiAGwAZQAgAEEALgAxAC4ANQAuAFgAXAAiACkAOwBcAG4AXABuAFMAbwB1AHIAYwBlAEQAYQB0AGEAXwBPAHQAaABlAHIATABpAHYAZQBzAHQAbwBjAGsAXwBNAGUAdABoAGEAbgBlAEUAbQBpAHMAcwBpAG8AbgBzAFAAbwB0AGUAbgB0AGkAYQBsAF8AVgBhAHIAaQBhAHQAaQBvAG4AXABuACAAIAA9AEwAQQBNAEIARABBACgAXAAiAFYAQQBSAEkAQQBUAEkATwBOACAATwBOACAAUwBPAFUAUgBDAEUAOgAgAFQAaABlAHIAZQAgAHcAZQByAGUAIABuAG8AIAB2AGEAbAB1AGUAcwAgAGkAbgAgAFYARQBFAFIARwAgAHMAbwAgAHQAaABpAHMAIABkAGEAdABhACAAaABhAHMAIABiAGUAZQBuACAAZwBlAG4AZQByAGEAdABlAGQAIABiAHkAIAB1AHMAaQBuAGcAIABkAG8AYwB1AG0AZQBuAHQAZQBkACAAQgBPACAAdgBhAGwAdQBlAHMAIABmAHIAbwBtACAAbwB0AGgAZQByACAAbABpAHYAZQBzAHQAbwBjAGsAXAAiACkAOwBcAG4AXABuAFMAbwB1AHIAYwBlAEQAYQB0AGEAXwBPAHQAaABlAHIATABpAHYAZQBzAHQAbwBjAGsAXwBNAGUAdABoAGEAbgBlAEUAbQBpAHMAcwBpAG8AbgBzAFAAbwB0AGUAbgB0AGkAYQBsAF8ARABhAHQAYQBcAG4AIAAgAD0ATABBAE0AQgBEAEEAKABcAG4AIAAgACAAIABNAEEASwBFAEEAUgBSAEEAWQAoADkALAAgADMALABcAG4AIAAgACAAIAAgACAATABBAE0AQgBEAEEAKAByACwAYwAsAFwAbgAgACAAIAAgACAAIAAgACAASQBOAEQARQBYACgAewBcAG4AIAAgACAAIAAgACAAIAAgACAAIABcACIATwB0AGgAZQByACAATABpAHYAZQBzAHQAbwBjAGsAIABUAHkAcABlAFwAIgAsACAAXAAiAEIATwBcACIALAAgAFwAIgBUAGEAawBlAG4AIABmAHIAbwBtAFwAIgA7AFwAbgAgACAAIAAgACAAIAAgACAAIAAgAFwAIgBCAHUAZgBmAGEAbABvAFwAIgAsACAAMAAuADEAOQAsACAAXAAiAEYAZQBlAGQAbABvAHQALAAgAFAAYQBzAHQAdQByAGUAIABiAGUAZQBmAFwAIgA7AFwAbgAgACAAIAAgACAAIAAgACAAIAAgAFwAIgBHAG8AYQB0AHMAXAAiACwAIAAwAC4AMgA0ACwAIABcACIAUwBoAGUAZQBwAFwAIgA7AFwAbgAgACAAIAAgACAAIAAgACAAIAAgAFwAIgBEAGUAZQByAFwAIgAsACAAMAAuADIANAAsACAAXAAiAFMAaABlAGUAcABcACIAOwBcAG4AIAAgACAAIAAgACAAIAAgACAAIABcACIAQwBhAG0AZQBsAHMAXAAiACwAIAAwAC4AMgA0ACwAIABcACIAUwBoAGUAZQBwAFwAIgA7AFwAbgAgACAAIAAgACAAIAAgACAAIAAgAFwAIgBBAGwAcABhAGMAYQBzAFwAIgAsACAAMAAuADIANAAsACAAXAAiAFMAaABlAGUAcABcACIAOwBcAG4AIAAgACAAIAAgACAAIAAgACAAIABcACIASABvAHIAcwBlAHMAXAAiACwAIAAwAC4AMQA5ACwAIABcACIARgBlAGUAZABsAG8AdAAsACAAUABhAHMAdAB1AHIAZQAgAGIAZQBlAGYAXAAiADsAXABuACAAIAAgACAAIAAgACAAIAAgACAAXAAiAE0AdQBsAGUAcwAvAGEAcwBzAGUAcwBcACIALAAgADAALgAyADQALAAgAFwAIgBTAGgAZQBlAHAAXAAiADsAXABuACAAIAAgACAAIAAgACAAIAAgACAAXAAiAEUAbQB1AHMALwBvAHMAdAByAGkAYwBoAGUAcwBcACIALAAgADAALgAzADYALAAgAFwAIgBQAG8AdQBsAHQAcgB5ACAALQAgAG0AZQBhAHQAIABjAGgAaQBjAGsAZQBuAH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TwB0AGgAZQByAEwAaQB2AGUAcwB0AG8AYwBr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TwB0AGgAZQByAEwAaQB2AGUAcwB0AG8AYwBrAF8ARgByAGEAYwBHAEEAUwBNAFMAbwBpAGwAXwBWAGEAcgBpAGEAYgBsAGUAXABuACAAIAA9AEwAQQBNAEIARABBACgAXAAiAEYAcgBhAGMARwBBAFMATQBzAG8AaQBsAFwAIgApADsAXABuAFwAbgBTAG8AdQByAGMAZQBEAGEAdABhAF8ATwB0AGgAZQByAEwAaQB2AGUAcwB0AG8AYwBrAF8ARgByAGEAYwBHAEEAUwBNAFMAbwBpAGwAXwBVAG4AaQB0AFwAbgAgACAAPQBMAEEATQBCAEQAQQAoAFwAIgAoAGsAZwAgAE4ASAAzAC0ATgAgACsAIABOAE8AeAAtAE4AKQAvAGsAZwAgAE4AXAAiACkAOwBcAG4AXABuAFMAbwB1AHIAYwBlAEQAYQB0AGEAXwBPAHQAaABlAHIATABpAHYAZQBzAHQAbwBjAGsAXwBGAHIAYQBjAEcAQQBTAE0AUwBvAGkAbABfAFMAbwB1AHIAYwBlAFwAbgAgACAAPQBMAEEATQBCAEQAQQAoAFwAIgBWAEUARQBSAEcAIAAyADAAMgA2ADoAIAA0AC4ANwAuADIALgAzACAAQwBPAE4AUwBUAEEATgBUAFMAXAAiACkAOwBcAG4AXABuAFMAbwB1AHIAYwBlAEQAYQB0AGEAXwBPAHQAaABlAHIATABpAHYAZQBzAHQAbwBjAGsAXwBGAHIAYQBjAEcAQQBTAE0AUwBvAGkAbABfAFYAYQByAGkAYQB0AGkAbwBuAFwAbgAgACAAPQBMAEEATQBCAEQAQQAoAFwAIgBcACIAKQA7AFwAbgBcAG4AUwBvAHUAcgBjAGUARABhAHQAYQBfAE8AdABoAGUAcgBMAGkAdgBlAHMAdABvAGMAawBfAEYAcgBhAGMARwBBAFMATQBTAG8AaQBsAF8ARABhAHQAYQBcAG4AIAAgAD0ATABBAE0AQgBEAEEAKAAwAC4AMgAxACkAOwBcAG4AXABuACIAfQAsAHsAIgBwAGEAdABoACIAOgAiAC8AcAByAG8AagBlAGMAdABzAC8ATQBNAFMAXwBPAHQAaABlAHIATABpAHYAZQBzAHQAbwBjAGs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EAIABNAGUAdABoAG8AZAAgADEAIAAtACAATQBhAG4AdQByAGUAIABNAGUAdABoAGEAbgBl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xAF8AXwAxAF8AVABvAHQAYQBsAEEAbgBuAHUAYQBsAE0AZQB0AGgAYQBuAGUAUAByAG8AZAB1AGMAdABpAG8AbgBGAHIAbwBtAE0AYQBuAHUAcgBlAE0AYQBuAGEAZwBlAG0AZQBuAHQATwB0AGgAZQByAEwAaQB2AGUAcwB0AG8AYwBrAFwAbgBUAG8AdABhAGwAIABhAG4AbgB1AGEAbAAgAG0AZQB0AGgAYQBuAGUAIABwAHIAbwBkAHUAYwB0AGkAbwBuACAAZgByAG8AbQAgAG0AYQBuAHUAcgBlACAAbQBhAG4AYQBnAGUAbQBlAG4AdAAgAG8AZgAgAG8AdABoAGUAcgAgAGwAaQB2AGUAcwB0AG8AYwBrAFwAbgBFAF8AQwBIADQAXABuAHQAIABDAEgANABcAG4ARQBfAHsAQwBIADQAfQA9AFwAXABzAHUAbQBfAGoAXABcAHMAdQBtAF8AbQAoAE4AXwBqAFwAXAB0AGkAbQBlAHMAIABNAF8AagBtAFwAXAB0AGkAbQBlAHMAIAAzADYANQApAFwAXAB0AGkAbQBlAHMAIAAxADAAXgB7AC0AMwB9AFwAbgBOAF8AagAgAD0AIABhAHYAZQByAGEAZwBlACAAYQBuAG4AdQBhAGwAIABuAHUAbQBiAGUAcgAgAG8AZgAgAGwAaQB2AGUAcwB0AG8AYwBrACAAcABlAHIAIABsAGkAdgBlAHMAdABvAGMAawAgAHQAeQBwAGUAIABqACAAKABoAGUAYQBkACkAXABuAE0AXwBqAG0AIAA9ACAAYQBuAG4AdQBhAGwAIABtAGUAdABoAGEAbgBlACAAcAByAG8AZAB1AGMAdABpAG8AbgAgAGYAcgBvAG0AIABtAGEAbgB1AHIAZQAgAG0AYQBuAGEAZwBlAG0AZQBuAHQAIAAoAGsAZwAgAEMASAA0AC8AaABlAGEAZAAvAGQAYQB5ACkAXABuAC0ALQAtAC0ALQAtAC0ALQAtAC0ALQAtAC0ALQAtAC0ALQAtAC0ALQAtAC0ALQAtAC0ALQAtAC0ALQAtAC0ALQAtAC0ALQAtAC0ALQBcAG4AKgAvAFwAbgBcAG4AVgBFAEUAUgBHAF8ANABfADcAXwAxAF8AMQBfAF8AMQBfAFQAbwB0AGEAbABBAG4AbgB1AGEAbABNAGUAdABoAGEAbgBlAFAAcgBvAGQAdQBjAHQAaQBvAG4ARgByAG8AbQBNAGEAbgB1AHIAZQBNAGEAbgBhAGcAZQBtAGUAbgB0AE8AdABoAGUAcgBMAGkAdgBlAHMAdABvAGMAawBcAG4AIAAgAD0ATABBAE0AQgBEAEEAKABcAG4AIAAgACAAIABOAF8AagAsACAATQBfAGoAbQAsAFwAbgAgACAAIAAgAFMAVQBNACgATgBfAGoAIAAqACAATQBfAGoAbQAgACoAIAAzADYANQApACAAKgAgADEAMAAgAF4AIAAtADMAXABuACAAIAApADsAXABuAFwAbgBWAEUARQBSAEcAXwA0AF8ANwBfADEAXwAxAF8AXwAxAF8AVABvAHQAYQBsAEEAbgBuAHUAYQBsAE0AZQB0AGgAYQBuAGUAUAByAG8AZAB1AGMAdABpAG8AbgBGAHIAbwBtAE0AYQBuAHUAcgBlAE0AYQBuAGEAZwBlAG0AZQBuAHQATwB0AGgAZQByAEwAaQB2AGUAcwB0AG8AYwBrAF8AVABpAHQAbABlAFwAbgAgACAAPQBMAEEATQBCAEQAQQAoAFwAIgBUAG8AdABhAGwAIABhAG4AbgB1AGEAbAAgAG0AZQB0AGgAYQBuAGUAIABwAHIAbwBkAHUAYwB0AGkAbwBuACAAZgByAG8AbQAgAG0AYQBuAHUAcgBlACAAbQBhAG4AYQBnAGUAbQBlAG4AdAAgAG8AZgAgAG8AdABoAGUAcgAgAGwAaQB2AGUAcwB0AG8AYwBrAFwAIgApADsAXABuAFwAbgBWAEUARQBSAEcAXwA0AF8ANwBfADEAXwAxAF8AXwAxAF8AVABvAHQAYQBsAEEAbgBuAHUAYQBsAE0AZQB0AGgAYQBuAGUAUAByAG8AZAB1AGMAdABpAG8AbgBGAHIAbwBtAE0AYQBuAHUAcgBlAE0AYQBuAGEAZwBlAG0AZQBuAHQATwB0AGgAZQByAEwAaQB2AGUAcwB0AG8AYwBrAF8AVgBhAHIAaQBhAGIAbABlAFwAbgAgACAAPQBMAEEATQBCAEQAQQAoAFwAIgBFAF8AQwBIADQAXAAiACkAOwBcAG4AXABuAFYARQBFAFIARwBfADQAXwA3AF8AMQBfADEAXwBfADEAXwBUAG8AdABhAGwAQQBuAG4AdQBhAGwATQBlAHQAaABhAG4AZQBQAHIAbwBkAHUAYwB0AGkAbwBuAEYAcgBvAG0ATQBhAG4AdQByAGUATQBhAG4AYQBnAGUAbQBlAG4AdABPAHQAaABlAHIATABpAHYAZQBzAHQAbwBjAGsAXwBVAG4AaQB0AFwAbgAgACAAPQBMAEEATQBCAEQAQQAoAFwAIgB0ACAAQwBIADQAXAAiACkAOwBcAG4AXABuAFYARQBFAFIARwBfADQAXwA3AF8AMQBfADEAXwBfADEAXwBUAG8AdABhAGwAQQBuAG4AdQBhAGwATQBlAHQAaABhAG4AZQBQAHIAbwBkAHUAYwB0AGkAbwBuAEYAcgBvAG0ATQBhAG4AdQByAGUATQBhAG4AYQBnAGUAbQBlAG4AdABPAHQAaABlAHIATABpAHYAZQBzAHQAbwBjAGsAXwBTAG8AdQByAGMAZQBcAG4AIAAgAD0ATABBAE0AQgBEAEEAKABcACIAVgBFAEUAUgBHACAAMgAwADIANgA6ACAANAAuADcALgAxAC4AMQAsACAARQBxAHUAYQB0AGkAbwBuACAAKAAxACkAXAAiACkAOwBcAG4AXABuAFYARQBFAFIARwBfADQAXwA3AF8AMQBfADEAXwBfADEAXwBUAG8AdABhAGwAQQBuAG4AdQBhAGwATQBlAHQAaABhAG4AZQBQAHIAbwBkAHUAYwB0AGkAbwBuAEYAcgBvAG0ATQBhAG4AdQByAGUATQBhAG4AYQBnAGUAbQBlAG4AdABPAHQAaABlAHIATABpAHYAZQBzAHQAbwBjAGsAXwBOAEkAUgBSAGUAZgBlAHIAZQBuAGMAZQBcAG4AIAAgAD0ATABBAE0AQgBEAEEAKABcACIAXAAiACkAOwBcAG4AXABuAFYARQBFAFIARwBfADQAXwA3AF8AMQBfADEAXwBfADEAXwBUAG8AdABhAGwAQQBuAG4AdQBhAGwATQBlAHQAaABhAG4AZQBQAHIAbwBkAHUAYwB0AGkAbwBuAEYAcgBvAG0ATQBhAG4AdQByAGUATQBhAG4AYQBnAGUAbQBlAG4AdABPAHQAaABlAHIATABpAHYAZQBzAHQAbwBjAGsAXwBMAGEAdABlAHgARQBxAHUAYQB0AGkAbwBuAFwAbgAgACAAPQBMAEEATQBCAEQAQQAoAFwAIgBFAF8AewBDAEgANAB9AD0AXABcAHMAdQBtAFwAXABuAG8AbABpAG0AaQB0AHMAXwBqAFwAXABzAHUAbQBcAFwAbgBvAGwAaQBtAGkAdABzAF8AbQAoAE4AXwBqAFwAXAB0AGkAbQBlAHMAIABNAF8AagBtAFwAXAB0AGkAbQBlAHMAIAAzADYANQApAFwAXAB0AGkAbQBlAHMAIAAxADAAXgB7AC0AMwB9AFwAIgApADsAXABuAFwAbgBWAEUARQBSAEcAXwA0AF8ANwBfADEAXwAxAF8AXwAxAF8AVABvAHQAYQBsAEEAbgBuAHUAYQBsAE0AZQB0AGgAYQBuAGUAUAByAG8AZAB1AGMAdABpAG8AbgBGAHIAbwBtAE0AYQBuAHUAcgBlAE0AYQBuAGEAZwBlAG0AZQBuAHQATwB0AGgAZQByAEwAaQB2AGUAcwB0AG8AYwBrAF8AQQByAGcAdQBtAGUAbgB0AHMAXABuACAAIAA9AEwAQQBNAEIARABBACgAXABuACAAIAAgACAATQBBAEsARQBBAFIAUgBBAFkAKAA0ACwAIAA0ACwAXABuACAAIAAgACAAIAAgAEwAQQBNAEIARABBACgAcgAsAGMALABcAG4AIAAgACAAIAAgACAAIAAgAEkATgBEAEUAWAAoAHsAXABuACAAIAAgACAAIAAgACAAIAAgACAAXAAiAE4AXwBqAFwAIgAsACAAXAAiAGEAdgBlAHIAYQBnAGUAIABhAG4AbgB1AGEAbAAgAG4AdQBtAGIAZQByACAAbwBmACAAbABpAHYAZQBzAHQAbwBjAGsAIABwAGUAcgAgAGwAaQB2AGUAcwB0AG8AYwBrACAAdAB5AHAAZQAgAGoAXAAiACwAIABcACIAaABlAGEAZABcACIALAAgAFwAIgBJAG4AcAB1AHQAXAAiADsAXABuACAAIAAgACAAIAAgACAAIAAgACAAXAAiAE0AXwBqAG0AXAAiACwAIABcACIAYQBuAG4AdQBhAGwAIABtAGUAdABoAGEAbgBlACAAcAByAG8AZAB1AGMAdABpAG8AbgAgAGYAcgBvAG0AIABtAGEAbgB1AHIAZQAgAG0AYQBuAGEAZwBlAG0AZQBuAHQAXAAiACwAIABcACIAawBnACAAQwBIADQALwBoAGUAYQBkAC8AZABhAHkAXAAiACwAIABcACIAQwBhAGwAYwB1AGwAYQB0AGUAZAAgAGYAcgBvAG0AIAA0AC4ANwAuADEALgAxACwAIAAoADIAKQBcACIAOwBcAG4AIAAgACAAIAAgACAAIAAgACAAIABcACIAagBcACIALAAgAFwAIgBsAGkAdgBlAHMAdABvAGMAawAgAHQAeQBwAGUAXAAiACwAIABcACIAXAAiACwAIABcACIASQBuAHAAdQB0AFwAIgA7AFwAbgAgACAAIAAgACAAIAAgACAAIAAgAFwAIgBtAFwAIgAsACAAXAAiAG0AYQBuAHUAcgBlACAAbQBhAG4AYQBnAGUAbQBlAG4AdAAgAHMAeQBzAHQAZQ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wBfADEAXwAxAF8AXwAyAF8AQQBuAG4AdQBhAGwATQBlAHQAaABhAG4AZQBQAHIAbwBkAHUAYwB0AGkAbwBuAEYAcgBvAG0ATQBhAG4AdQByAGUATQBhAG4AYQBnAGUAbQBlAG4AdABcAG4AQQBuAG4AdQBhAGwAIABtAGUAdABoAGEAbgBlACAAcAByAG8AZAB1AGMAdABpAG8AbgAgAGYAcgBvAG0AIABtAGEAbgB1AHIAZQAgAG0AYQBuAGEAZwBlAG0AZQBuAHQAXABuAE0AXwBqAG0AXABuAGsAZwAgAEMASAA0AC8AaABlAGEAZAAvAGQAYQB5AFwAbgBNAF8AagBtAD0AVgBTAF8AagBcAFwAdABpAG0AZQBzACAAQgBfAE8AXABcAHQAaQBtAGUAcwAgAE0ATQBTAF8AbQBcAFwAdABpAG0AZQBzACAATQBDAEYAXwBpAG0AXABcAHQAaQBtAGUAcwAgAFwAXAByAGgAbwBcAG4AVgBTAF8AagAgAD0AIAB2AG8AbABhAHQAaQBsAGUAIABzAG8AbABpAGQAIABwAHIAbwBkAHUAYwB0AGkAbwBuACAAKABrAGcALwBoAGUAYQBkAC8AZABhAHkAKQBcAG4AQgBfAE8AIAA9ACAAbQBlAHQAaABhAG4AZ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G0AYQBuAHUAcgBlACAAbQBhAG4AYQBnAGUAbQBlAG4AdAAgAHMAeQBzAHQAZQBtAFwAbgByAGgAbwAgAD0AIABkAGUAbgBzAGkAdAB5ACAAbwBmACAAbQBlAHQAaABhAG4AZQAgACgAawBnAC8AbQAzACkAXABuAC0ALQAtAC0ALQAtAC0ALQAtAC0ALQAtAC0ALQAtAC0ALQAtAC0ALQAtAC0ALQAtAC0ALQAtAC0ALQAtAC0ALQAtAC0ALQAtAC0ALQBcAG4AKgAvAFwAbgBcAG4AVgBFAEUAUgBHAF8ANABfADcAXwAxAF8AMQBfAF8AMgBfAEEAbgBuAHUAYQBsAE0AZQB0AGgAYQBuAGUAUAByAG8AZAB1AGMAdABpAG8AbgBGAHIAbwBtAE0AYQBuAHUAcgBlAE0AYQBuAGEAZwBlAG0AZQBuAHQAXABuACAAIAA9AEwAQQBNAEIARABBACgAXABuACAAIAAgACAAVgBTAF8AagAsACAAQgBfAE8ALAAgAE0ATQBTAF8AbQAsACAATQBDAEYAXwBpAG0ALAAgAHIAaABvACwAXABuACAAIAAgACAAVgBTAF8AagAgACoAIABCAF8ATwAgACoAIABNAE0AUwBfAG0AIAAqACAATQBDAEYAXwBpAG0AIAAqACAAcgBoAG8AXABuACAAIAApADsAXABuAFwAbgBWAEUARQBSAEcAXwA0AF8ANwBfADEAXwAxAF8AXwAyAF8AQQBuAG4AdQBhAGwATQBlAHQAaABhAG4AZQBQAHIAbwBkAHUAYwB0AGkAbwBuAEYAcgBvAG0ATQBhAG4AdQByAGUATQBhAG4AYQBnAGUAbQBlAG4AdABfAFQAaQB0AGwAZQBcAG4AIAAgAD0ATABBAE0AQgBEAEEAKABcACIAQQBuAG4AdQBhAGwAIABtAGUAdABoAGEAbgBlACAAcAByAG8AZAB1AGMAdABpAG8AbgAgAGYAcgBvAG0AIABtAGEAbgB1AHIAZQAgAG0AYQBuAGEAZwBlAG0AZQBuAHQAXAAiACkAOwBcAG4AXABuAFYARQBFAFIARwBfADQAXwA3AF8AMQBfADEAXwBfADIAXwBBAG4AbgB1AGEAbABNAGUAdABoAGEAbgBlAFAAcgBvAGQAdQBjAHQAaQBvAG4ARgByAG8AbQBNAGEAbgB1AHIAZQBNAGEAbgBhAGcAZQBtAGUAbgB0AF8AVgBhAHIAaQBhAGIAbABlAFwAbgAgACAAPQBMAEEATQBCAEQAQQAoAFwAIgBNAF8AagBtAFwAIgApADsAXABuAFwAbgBWAEUARQBSAEcAXwA0AF8ANwBfADEAXwAxAF8AXwAyAF8AQQBuAG4AdQBhAGwATQBlAHQAaABhAG4AZQBQAHIAbwBkAHUAYwB0AGkAbwBuAEYAcgBvAG0ATQBhAG4AdQByAGUATQBhAG4AYQBnAGUAbQBlAG4AdABfAFUAbgBpAHQAXABuACAAIAA9AEwAQQBNAEIARABBACgAXAAiAGsAZwAgAEMASAA0AC8AaABlAGEAZAAvAGQAYQB5AFwAIgApADsAXABuAFwAbgBWAEUARQBSAEcAXwA0AF8ANwBfADEAXwAxAF8AXwAyAF8AQQBuAG4AdQBhAGwATQBlAHQAaABhAG4AZQBQAHIAbwBkAHUAYwB0AGkAbwBuAEYAcgBvAG0ATQBhAG4AdQByAGUATQBhAG4AYQBnAGUAbQBlAG4AdABfAFMAbwB1AHIAYwBlAFwAbgAgACAAPQBMAEEATQBCAEQAQQAoAFwAIgBWAEUARQBSAEcAIAAyADAAMgA2ADoAIAA0AC4ANwAuADEALgAxACwAIABFAHEAdQBhAHQAaQBvAG4AIAAoADIAKQBcACIAKQA7AFwAbgBcAG4AVgBFAEUAUgBHAF8ANABfADcAXwAxAF8AMQBfAF8AMgBfAEEAbgBuAHUAYQBsAE0AZQB0AGgAYQBuAGUAUAByAG8AZAB1AGMAdABpAG8AbgBGAHIAbwBtAE0AYQBuAHUAcgBlAE0AYQBuAGEAZwBlAG0AZQBuAHQAXwBOAEkAUgBSAGUAZgBlAHIAZQBuAGMAZQBcAG4AIAAgAD0ATABBAE0AQgBEAEEAKABcACIAXAAiACkAOwBcAG4AXABuAFYARQBFAFIARwBfADQAXwA3AF8AMQBfADEAXwBfADIAXwBBAG4AbgB1AGEAbABNAGUAdABoAGEAbgBlAFAAcgBvAGQAdQBjAHQAaQBvAG4ARgByAG8AbQBNAGEAbgB1AHIAZQBNAGEAbgBhAGcAZQBtAGUAbgB0AF8ATABhAHQAZQB4AEUAcQB1AGEAdABpAG8AbgBcAG4AIAAgAD0ATABBAE0AQgBEAEEAKABcACIATQBfAHsAagBtAH0APQBWAFMAXwBqAFwAXAB0AGkAbQBlAHMAIABCAF8ATwBcAFwAdABpAG0AZQBzACAATQBNAFMAXwBtAFwAXAB0AGkAbQBlAHMAIABNAEMARgBfAHsAaQBtAH0AXABcAHQAaQBtAGUAcwAgAFwAXAByAGgAbwBcACIAKQA7AFwAbgBcAG4AVgBFAEUAUgBHAF8ANABfADcAXwAxAF8AMQBfAF8AMgBfAEEAbgBuAHUAYQBsAE0AZQB0AGgAYQBuAGUAUAByAG8AZAB1AGMAdABpAG8AbgBGAHIAbwBtAE0AYQBuAHUAcgBlAE0AYQBuAGEAZwBlAG0AZQBuAHQAXwBBAHIAZwB1AG0AZQBuAHQAcw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zAHQAYQB0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3AF8AMQBfADEAXwBfADIAXwBBAG4AbgB1AGEAbABNAGUAdABoAGEAbgBlAFAAcgBvAGQAdQBjAHQAaQBvAG4ARgByAG8AbQBNAGEAbgB1AHIAZQBNAGEAbgBhAGcAZQBtAGUAbgB0AF8AQQByAGcAdQBtAGUAbgB0AHMAXwBNAGUAdABoAG8AZAAyAFwAbgAgACAAPQBMAEEATQBCAEQAQQAoAFwAbgAgACAAIAAgAE0AQQBLAEUAQQBSAFIAQQBZACgANgAsACAANAAsAFwAbgAgACAAIAAgACAAIABMAEEATQBCAEQAQQAoAHIALABjACwAXABuACAAIAAgACAAIAAgACAAIABJAE4ARABFAFgAKAB7AFwAbgAgACAAIAAgACAAIAAgACAAIAAgAFwAIgBWAFMAXwBqAFwAIgAsACAAXAAiAHYAbwBsAGEAdABpAGwAZQAgAHMAbwBsAGkAZAAgAHAAcgBvAGQAdQBjAHQAaQBvAG4AXAAiACwAIABcACIAawBnAC8AaABlAGEAZAAvAGQAYQB5AFwAIgAsACAAXAAiAEMAbwBuAHMAdABhAG4AdABcACIAOwBcAG4AIAAgACAAIAAgACAAIAAgACAAIABcACIAQgBfAE8AXAAiACwAIABcACIAbQBlAHQAaABhAG4AZQAgAGUAbQBpAHMAcwBpAG8AbgBzACAAcABvAHQAZQBuAHQAaQBhAGwAXAAiACwAIABcACIAbQAzACAAQwBIADQALwBrAGcAIABWAFMAXAAiACwAIABcACIAQwBvAG4AcwB0AGEAbgB0AFwAIgA7AFwAbgAgACAAIAAgACAAIAAgACAAIAAgAFwAIgBNAE0AUwBfAG0AXAAiACwAIABcACIAZgByAGEAYwB0AGkAbwBuACAAbwBmACAAdwBhAHMAdABlACAAaQBuACAAZQBhAGMAaAAgAG0AYQBuAHUAcgBlACAAbQBhAG4AYQBnAGUAbQBlAG4AdAAgAHMAeQBzAHQAZQBtAFwAIgAsACAAXAAiAGYAcgBhAGMAdABpAG8AbgBcACIALAAgAFwAIgBDAG8AbgBzAHQAYQBuAHQAXAAiADsAXABuACAAIAAgACAAIAAgACAAIAAgACAAXAAiAE0AQwBGAF8AaQBtAFwAIgAsACAAXAAiAG0AZQB0AGgAYQBuAGUAIABjAG8AbgB2AGUAcgBzAGkAbwBuACAAZgBhAGMAdABvAHIAIABmAG8AcgAgAHQAZQBtAHAAZQByAGEAdAB1AHIAZQAgAHoAbwBuAGUAIABhAG4AZAAgAG0AYQBuAHUAcgBlACAAbQBhAG4AYQBnAGUAbQBlAG4AdAAgAHMAeQBzAHQAZQBtAFwAIgAsACAAXAAiAGYAcgBhAGMAdABpAG8AbgBcACIALAAgAFwAIgBDAG8AbgBzAHQAYQBuAHQAXAAiADsAXABuACAAIAAgACAAIAAgACAAIAAgACAAXAAiAHIAaABvAFwAIgAsACAAXAAiAGQAZQBuAHMAaQB0AHkAIABvAGYAIABtAGUAdABoAGEAbgBlAFwAIgAsACAAXAAiAGsAZwAvAG0AMwBcACIALAAgAFwAIgBDAG8AbgBzAHQAYQBuAHQAXAAiADsAXABuACAAIAAgACAAIAAgACAAIAAgACAAXAAiAGkAXAAiACwAIABcACIAbQBlAGEAbgAgAGEAbgBuAHUAYQBsACAAdABlAG0AcABlAHIAYQB0AHUAcgBlAFwAIgAsACAAXAAiAGQAZQBnAHIAZQBlAHMAIABDAGUAbABzAGkAdQBzAFwAIgAsACAAXAAiAEkAbgBwAHUAdABcACIAXABuACAAIAAgACAAIAAgACAAIAB9ACwAIAByACwAIABjACkAXABuACAAIAAgACAAIAAgACkAXABuACAAIAAgACAAKQBcAG4AIAAgACkAOwBcAG4AIgB9ACwAewAiAHAAYQB0AGgAIgA6ACIALwBwAHIAbwBqAGUAYwB0AHMALwBNAE0AUwBfAE8AdABoAGUAcgBMAGkAdgBlAHMAdABvAGMAawBfAFMAbwBpAGwAXwBOADIATwBEAGkAcgBlAGMAdA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MwAgAE0AZQB0AGgAbwBkACAAMQAgAC0AIABTAG8AaQBsACAARABpAHIAZQBjAHQ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wBfAF8AMQBfAEQAaQByAGUAYwB0AE4AaQB0AHIAbwB1AHMATwB4AGkAZABlAEUAbQBpAHMAcwBpAG8AbgBzAEYAcgBvAG0AUwBvAGkAbABcAG4ARABpAHIAZQBjAHQAIABuAGkAdAByAG8AdQBzACAAbwB4AGkAZABlACAAZQBtAGkAcwBzAGkAbwBuAHMAIABmAHIAbwBtACAAYQBnAHIAaQBjAHUAbAB0AHUAcgBhAGwAIABzAG8AaQBsAHMAIABmAHIAbwBtACAAZABlAHAAbwBzAGkAdABpAG8AbgAgAG8AZgAgAHUAcgBpAG4AZQAgAGEAbgBkACAAZAB1AG4AZwAgAHQAbwAgAHAAYQBzAHQAdQByAGUAXABuAEUAXwBOADIATwBkAGkAcgBcAG4AdAAgAE4AMgBPAFwAbgBFAF8AewBOADIATwAsAGQAaQByAH0APQBBAEUAXABcAHQAaQBtAGUAcwAgAEUARgBfAHsAUABSAFAAfQBcAFwAdABpAG0AZQBzACAAQwBfAHsATgAyAE8AfQBcAFwAdABpAG0AZQBzACAAMQAwAF4AewAtADMAfQBcAG4AQQBFACAAPQAgAGEAbgBuAHUAYQBsACAAbgBpAHQAcgBvAGcAZQBuACAAZQB4AGMAcgBlAHQAZQBkACAAYgB5ACAAZQBhAGMAaAAgAGwAaQB2AGUAcwB0AG8AYwBrACAAdAB5AHAAZQAgACgAawBnACAATgAvAHkAZQBhAHIAKQBcAG4ARQBGAF8AUABSAFAAIAA9ACAAZQBtAGkAcwBzAGkAbwBuACAAZgBhAGMAdABvAHIAIABmAG8AcgAgAG4AaQB0AHIAbwB1AHMAIABvAHgAaQBkAGUAIABmAHIAbwBtACAAdQByAGkAbgBlACAAYQBuAGQAIABkAHUAbgBnACAAZABlAHAAbwBzAGkAdABlAGQAIAB0AG8AIABzAG8AaQBsACAAKABrAGcAIABOADIATwAtAE4ALwBrAGcAIABOACAAZABlAHAAbwBzAGkAdABlAGQ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MwBfAF8AMQBfAEQAaQByAGUAYwB0AE4AaQB0AHIAbwB1AHMATwB4AGkAZABlAEUAbQBpAHMAcwBpAG8AbgBzAEYAcgBvAG0AUwBvAGkAbABcAG4AIAAgAD0ATABBAE0AQgBEAEEAKABcAG4AIAAgACAAIABBAEUALAAgAEUARgBfAFAAUgBQACwAIABDAF8ATgAyAE8ALABcAG4AIAAgACAAIABBAEUAIAAqACAARQBGAF8AUABSAFAAIAAqACAAQwBfAE4AMgBPACAAKgAgADEAMAAgAF4AIAAtADMAXABuACAAIAApADsAXABuAFwAbgBWAEUARQBSAEcAXwA0AF8ANwBfADEAXwAzAF8AXwAxAF8ARABpAHIAZQBjAHQATgBpAHQAcgBvAHUAcwBPAHgAaQBkAGUARQBtAGkAcwBzAGkAbwBuAHMARgByAG8AbQBTAG8AaQBsAF8AVABpAHQAbABlAFwAbgAgACAAPQBMAEEATQBCAEQAQQAoAFwAIgBEAGkAcgBlAGMAdAAgAG4AaQB0AHIAbwB1AHMAIABvAHgAaQBkAGUAIABlAG0AaQBzAHMAaQBvAG4AcwAgAGYAcgBvAG0AIABhAGcAcgBpAGMAdQBsAHQAdQByAGEAbAAgAHMAbwBpAGwAcwAgAGYAcgBvAG0AIABkAGUAcABvAHMAaQB0AGkAbwBuACAAbwBmACAAdQByAGkAbgBlACAAYQBuAGQAIABkAHUAbgBnACAAdABvACAAcABhAHMAdAB1AHIAZQBcACIAKQA7AFwAbgBcAG4AVgBFAEUAUgBHAF8ANABfADcAXwAxAF8AMwBfAF8AMQBfAEQAaQByAGUAYwB0AE4AaQB0AHIAbwB1AHMATwB4AGkAZABlAEUAbQBpAHMAcwBpAG8AbgBzAEYAcgBvAG0AUwBvAGkAbABfAFYAYQByAGkAYQBiAGwAZQBcAG4AIAAgAD0ATABBAE0AQgBEAEEAKABcACIARQBfAE4AMgBPAGQAaQByAFwAIgApADsAXABuAFwAbgBWAEUARQBSAEcAXwA0AF8ANwBfADEAXwAzAF8AXwAxAF8ARABpAHIAZQBjAHQATgBpAHQAcgBvAHUAcwBPAHgAaQBkAGUARQBtAGkAcwBzAGkAbwBuAHMARgByAG8AbQBTAG8AaQBsAF8AVQBuAGkAdABcAG4AIAAgAD0ATABBAE0AQgBEAEEAKABcACIAdAAgAE4AMgBPAFwAIgApADsAXABuAFwAbgBWAEUARQBSAEcAXwA0AF8ANwBfADEAXwAzAF8AXwAxAF8ARABpAHIAZQBjAHQATgBpAHQAcgBvAHUAcwBPAHgAaQBkAGUARQBtAGkAcwBzAGkAbwBuAHMARgByAG8AbQBTAG8AaQBsAF8AUwBvAHUAcgBjAGUAXABuACAAIAA9AEwAQQBNAEIARABBACgAXAAiAFYARQBFAFIARwAgADIAMAAyADYAOgAgADQALgA3AC4AMQAuADMALAAgAEUAcQB1AGEAdABpAG8AbgAgACgAMQApAFwAIgApADsAXABuAFwAbgBWAEUARQBSAEcAXwA0AF8ANwBfADEAXwAzAF8AXwAxAF8ARABpAHIAZQBjAHQATgBpAHQAcgBvAHUAcwBPAHgAaQBkAGUARQBtAGkAcwBzAGkAbwBuAHMARgByAG8AbQBTAG8AaQBsAF8ATgBJAFIAUgBlAGYAZQByAGUAbgBjAGUAXABuACAAIAA9AEwAQQBNAEIARABBACgAXAAiAFwAIgApADsAXABuAFwAbgBWAEUARQBSAEcAXwA0AF8ANwBfADEAXwAzAF8AXwAxAF8ARABpAHIAZQBjAHQATgBpAHQAcgBvAHUAcwBPAHgAaQBkAGUARQBtAGkAcwBzAGkAbwBuAHMARgByAG8AbQBTAG8AaQBsAF8ATABhAHQAZQB4AEUAcQB1AGEAdABpAG8AbgBcAG4AIAAgAD0ATABBAE0AQgBEAEEAKABcACIARQBfAHsATgAyAE8ALABkAGkAcgB9AD0AQQBFAFwAXAB0AGkAbQBlAHMAIABFAEYAXwB7AFAAUgBQAH0AXABcAHQAaQBtAGUAcwAgAEMAXwB7AE4AMgBPAH0AXABcAHQAaQBtAGUAcwAgADEAMABeAHsALQAzAH0AXAAiACkAOwBcAG4AXABuAFYARQBFAFIARwBfADQAXwA3AF8AMQBfADMAXwBfADEAXwBEAGkAcgBlAGMAdABOAGkAdAByAG8AdQBzAE8AeABpAGQAZQBFAG0AaQBzAHMAaQBvAG4AcwBGAHIAbwBtAFMAbwBpAGwAXwBBAHIAZwB1AG0AZQBuAHQAcwBcAG4AIAAgAD0ATABBAE0AQgBEAEEAKABcAG4AIAAgACAAIABNAEEASwBFAEEAUgBSAEEAWQAoADQ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ZgByAG8AbQAgADQALgA3AC4AMQAuADMALAAgACgAMgApAFwAIgA7AFwAbgAgACAAIAAgACAAIAAgACAAIAAgAFwAIgBFAEYAXwBQAFIAUABcACIALAAgAFwAIgBlAG0AaQBzAHMAaQBvAG4AIABmAGEAYwB0AG8AcgAgAGYAbwByACAAbgBpAHQAcgBvAHUAcwAgAG8AeABpAGQAZQAgAGYAcgBvAG0AIAB1AHIAaQBuAGUAIABhAG4AZAAgAGQAdQBuAGcAIABkAGUAcABvAHMAaQB0AGUAZAAgAHQAbwAgAHMAbwBpAGwAXAAiACwAIABcACIAawBnACAATgAyAE8ALQBOAC8AawBnACAATgAgAGQAZQBwAG8AcwBpAHQAZQBk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6AFwAIgAsACAAXAAiAHcAZQB0ACAAbwByACAAZAByAHkAIABjAGwAaQBtAGEAdABl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wBfAF8AMgBfAEEAbgBuAHUAYQBsAE4AaQB0AHIAbwBnAGUAbgBFAHgAYwByAGUAdABlAGQAVABvAFAAYQBzAHQAdQByAGUAXABuAEEAbgBuAHUAYQBsACAAbgBpAHQAcgBvAGcAZQBuACAAZQB4AGMAcgBlAHQAZQBkACAAYgB5ACAAbABpAHYAZQBzAHQAbwBjAGsAIAB0AG8AIABwAGEAcwB0AHUAcgBlACwAIAByAGEAbgBnAGUAIABhAG4AZAAgAHAAYQBkAGQAbwBjAGsAXABuAEEARQBcAG4AawBnACAATgAvAHkAZQBhAHIAXABuAEEARQA9AFwAXABzAHUAbQBfAGoAKABOAF8AagBcAFwAdABpAG0AZQBzACAATgBFAF8AagBcAFwAdABpAG0AZQBzACAAMwA2ADUAKQBcAG4ATgBfAGoAIAA9ACAAbgB1AG0AYgBlAHIAIABvAGYAIABsAGkAdgBlAHMAdABvAGMAawAgAG8AZgAgAGUAYQBjAGgAIABsAGkAdgBlAHMAdABvAGMAawAgAHQAeQBwAGUAIABqACAAKABoAGUAYQBkACkAXABuAE4ARQBfAGoAIAA9ACAAbgBpAHQAcgBvAGcAZQBuACAAZQB4AGMAcgBlAHQAZQBkACAAYgB5ACAAZQBhAGMAaAAgAGwAaQB2AGUAcwB0AG8AYwBrACAAdAB5AHAAZQAgAGoAIAAoAGsAZwAgAE4ALwBoAGUAYQBkAC8AZABhAHkAKQBcAG4ALQAtAC0ALQAtAC0ALQAtAC0ALQAtAC0ALQAtAC0ALQAtAC0ALQAtAC0ALQAtAC0ALQAtAC0ALQAtAC0ALQAtAC0ALQAtAC0ALQAtAFwAbgAqAC8AXABuAFwAbgBWAEUARQBSAEcAXwA0AF8ANwBfADEAXwAzAF8AXwAyAF8AQQBuAG4AdQBhAGwATgBpAHQAcgBvAGcAZQBuAEUAeABjAHIAZQB0AGUAZABUAG8AUABhAHMAdAB1AHIAZQBcAG4AIAAgAD0ATABBAE0AQgBEAEEAKABcAG4AIAAgACAAIABOAF8AagAsACAATgBFAF8AagAsAFwAbgAgACAAIAAgAE4AXwBqACAAKgAgAE4ARQBfAGoAIAAqACAAMwA2ADUAXABuACAAIAApADsAXABuAFwAbgBWAEUARQBSAEcAXwA0AF8ANwBfADEAXwAzAF8AXwAyAF8AQQBuAG4AdQBhAGwATgBpAHQAcgBvAGcAZQBuAEUAeABjAHIAZQB0AGUAZABUAG8AUABhAHMAdAB1AHIAZQBfAFQAaQB0AGwAZQBcAG4AIAAgAD0ATABBAE0AQgBEAEEAKABcACIAQQBuAG4AdQBhAGwAIABuAGkAdAByAG8AZwBlAG4AIABlAHgAYwByAGUAdABlAGQAIABiAHkAIABsAGkAdgBlAHMAdABvAGMAawAgAHQAbwAgAHAAYQBzAHQAdQByAGUALAAgAHIAYQBuAGcAZQAgAGEAbgBkACAAcABhAGQAZABvAGMAawBcACIAKQA7AFwAbgBcAG4AVgBFAEUAUgBHAF8ANABfADcAXwAxAF8AMwBfAF8AMgBfAEEAbgBuAHUAYQBsAE4AaQB0AHIAbwBnAGUAbgBFAHgAYwByAGUAdABlAGQAVABvAFAAYQBzAHQAdQByAGUAXwBWAGEAcgBpAGEAYgBsAGUAXABuACAAIAA9AEwAQQBNAEIARABBACgAXAAiAEEARQBcACIAKQA7AFwAbgBcAG4AVgBFAEUAUgBHAF8ANABfADcAXwAxAF8AMwBfAF8AMgBfAEEAbgBuAHUAYQBsAE4AaQB0AHIAbwBnAGUAbgBFAHgAYwByAGUAdABlAGQAVABvAFAAYQBzAHQAdQByAGUAXwBVAG4AaQB0AFwAbgAgACAAPQBMAEEATQBCAEQAQQAoAFwAIgBrAGcAIABOAC8AeQBlAGEAcgBcACIAKQA7AFwAbgBcAG4AVgBFAEUAUgBHAF8ANABfADcAXwAxAF8AMwBfAF8AMgBfAEEAbgBuAHUAYQBsAE4AaQB0AHIAbwBnAGUAbgBFAHgAYwByAGUAdABlAGQAVABvAFAAYQBzAHQAdQByAGUAXwBTAG8AdQByAGMAZQBcAG4AIAAgAD0ATABBAE0AQgBEAEEAKABcACIAVgBFAEUAUgBHACAAMgAwADIANgA6ACAANAAuADcALgAxAC4AMwAsACAARQBxAHUAYQB0AGkAbwBuACAAKAAyACkAXAAiACkAOwBcAG4AXABuAFYARQBFAFIARwBfADQAXwA3AF8AMQBfADMAXwBfADIAXwBBAG4AbgB1AGEAbABOAGkAdAByAG8AZwBlAG4ARQB4AGMAcgBlAHQAZQBkAFQAbwBQAGEAcwB0AHUAcgBlAF8ATgBJAFIAUgBlAGYAZQByAGUAbgBjAGUAXABuACAAIAA9AEwAQQBNAEIARABBACgAXAAiAFwAIgApADsAXABuAFwAbgBWAEUARQBSAEcAXwA0AF8ANwBfADEAXwAzAF8AXwAyAF8AQQBuAG4AdQBhAGwATgBpAHQAcgBvAGcAZQBuAEUAeABjAHIAZQB0AGUAZABUAG8AUABhAHMAdAB1AHIAZQBfAEwAYQB0AGUAeABFAHEAdQBhAHQAaQBvAG4AXABuACAAIAA9AEwAQQBNAEIARABBACgAXAAiAEEARQA9AFwAXABzAHUAbQBcAFwAbgBvAGwAaQBtAGkAdABzAF8AagAoAE4AXwBqAFwAXAB0AGkAbQBlAHMAIABOAEUAXwBqAFwAXAB0AGkAbQBlAHMAIAAzADYANQApAFwAIgApADsAXABuAFwAbgBWAEUARQBSAEcAXwA0AF8ANwBfADEAXwAzAF8AXwAyAF8AQQBuAG4AdQBhAGwATgBpAHQAcgBvAGcAZQBuAEUAeABjAHIAZQB0AGUAZABUAG8AUABhAHMAdAB1AHIAZQBfAEEAcgBnAHUAbQBlAG4AdABzAFwAbgAgACAAPQBMAEEATQBCAEQAQQAoAFwAbgAgACAAIAAgAE0AQQBLAEUAQQBSAFIAQQBZACgAMwAsACAANAAsAFwAbgAgACAAIAAgACAAIABMAEEATQBCAEQAQQAoAHIALABjACwAXABuACAAIAAgACAAIAAgACAAIABJAE4ARABFAFgAKAB7AFwAbgAgACAAIAAgACAAIAAgACAAIAAgAFwAIgBOAF8AagBcACIALAAgAFwAIgBuAHUAbQBiAGUAcgAgAG8AZgAgAGwAaQB2AGUAcwB0AG8AYwBrACAAbwBmACAAZQBhAGMAaAAgAGwAaQB2AGUAcwB0AG8AYwBrACAAdAB5AHAAZQAgAGoAXAAiACwAIABcACIAaABlAGEAZABcACIALAAgAFwAIgBJAG4AcAB1AHQAXAAiADsAXABuACAAIAAgACAAIAAgACAAIAAgACAAXAAiAE4ARQBfAGoAXAAiACwAIABcACIAbgBpAHQAcgBvAGcAZQBuACAAZQB4AGMAcgBlAHQAZQBkACAAYgB5ACAAZQBhAGMAaAAgAGwAaQB2AGUAcwB0AG8AYwBrACAAdAB5AHAAZQAgAGoAXAAiACwAIABcACIAawBnACAATgAvAGgAZQBhAGQALwBkAGEAeQBcACIALAAgAFwAIgBDAG8AbgBzAHQAYQBuAHQAXAAiADsAXABuACAAIAAgACAAIAAgACAAIAAgACAAXAAiAGoAXAAiACwAIABcACIAbABpAHYAZQBzAHQAbwBjAGsAIAB0AHkAcABlAFwAIgAsACAAXAAiAFwAIgAsACAAXAAiAEkAbgBwAHUAdABcACIAXABuACAAIAAgACAAIAAgACAAIAB9ACwAIAByACwAIABjACkAXABuACAAIAAgACAAIAAgACkAXABuACAAIAAgACAAKQBcAG4AIAAgACkAOwBcAG4AIgB9ACwAewAiAHAAYQB0AGgAIgA6ACIALwBwAHIAbwBqAGUAYwB0AHMALwBNAE0AUwBfAE8AdABoAGUAcgBMAGkAdgBlAHMAdABvAGMAawBfAFMAbwBpAGwAXwBBAHQAbQBvAHMAcABoAGUAcgBpAGMARABlAHAAbwBzAGkAdABpAG8Ab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QAgAE0AZQB0AGgAbwBkACAAMQAgAC0AIABTAG8AaQBsACAAQQB0AG0AbwBzAHAAaABlAHIAaQBjACAARABlAHAAbwBzAGkAdABpAG8Ab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1AF8AXwAxAF8AQQB0AG0AbwBzAHAAaABlAHIAaQBjAEQAZQBwAG8AcwBpAHQAaQBvAG4ARQBtAGkAcwBzAGkAbwBuAHMARgByAG8AbQBQAGEAcwB0AHUAcgBlAFwAbgBBAHQAbQBvAHMAcABoAGUAcgBpAGMAIABkAGUAcABvAHMAaQB0AGkAbwBuACAAZQBtAGkAcwBzAGkAbwBuAHMAIABmAHIAbwBtACAAdQByAGkAbgBlACAAYQBuAGQAIABkAHUAbgBnACAAZABlAHAAbwBzAGkAdABlAGQAIABvAG4AIABwAGEAcwB0AHUAcgBlAFwAbgBFAF8ATgAyAE8AYQBkAFwAbgB0ACAATgAyAE8AXABuAEUAXwB7AE4AMgBPACwAYQBkAH0APQBNAF8AewB2AG8AbAB9AFwAXAB0AGkAbQBlAHMAIABFAEYAXwB7AE4AMgBPAH0AXABcAHQAaQBtAGUAcwAgAEMAXwB7AE4AMgBPAH0AXABcAHQAaQBtAGUAcwAgADEAMABeAHsALQAzAH0AXABuAE0AXwB2AG8AbAAgAD0AIABtAGEAcwBzACAAbwBmACAAbgBpAHQAcgBvAGcAZQBuACAAdgBvAGwAYQB0AGkAbABpAHMAZQBkACAAZgByAG8AbQAgAHUAcgBpAG4AZQAgAGEAbgBkACAAZgBhAGUAYwBlAHMAIABkAGUAcABvAHMAaQB0AGUAZAAgAG8AbgAgAHAAYQBzAHQAdQByAGUAIAAoAGsAZwAgAE4AKQBcAG4ARQBGAF8ATgAyAE8AIAA9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G4AaQB0AHIAbwB1AHMAIABvAHgAaQBkAGUAIAB0AG8AIABtAG8AbABlAGMAdQBsAGEAcgAgAG0AYQBzAHMAXABuAC0ALQAtAC0ALQAtAC0ALQAtAC0ALQAtAC0ALQAtAC0ALQAtAC0ALQAtAC0ALQAtAC0ALQAtAC0ALQAtAC0ALQAtAC0ALQAtAC0ALQBcAG4AKgAvAFwAbgBcAG4AVgBFAEUAUgBHAF8ANABfADcAXwAxAF8ANQBfAF8AMQBfAEEAdABtAG8AcwBwAGgAZQByAGkAYwBEAGUAcABvAHMAaQB0AGkAbwBuAEUAbQBpAHMAcwBpAG8AbgBzAEYAcgBvAG0AUABhAHMAdAB1AHIAZQBcAG4AIAAgAD0ATABBAE0AQgBEAEEAKABcAG4AIAAgACAAIABNAF8AdgBvAGwALAAgAEUARgBfAE4AMgBPACwAIABDAF8ATgAyAE8ALABcAG4AIAAgACAAIABNAF8AdgBvAGwAIAAqACAARQBGAF8ATgAyAE8AIAAqACAAQwBfAE4AMgBPACAAKgAgADEAMAAgAF4AIAAtADMAXABuACAAIAApADsAXABuAFwAbgBWAEUARQBSAEcAXwA0AF8ANwBfADEAXwA1AF8AXwAxAF8AQQB0AG0AbwBzAHAAaABlAHIAaQBjAEQAZQBwAG8AcwBpAHQAaQBvAG4ARQBtAGkAcwBzAGkAbwBuAHMARgByAG8AbQBQAGEAcwB0AHUAcgBlAF8AVABpAHQAbABlAFwAbgAgACAAPQBMAEEATQBCAEQAQQAoAFwAIgBBAHQAbQBvAHMAcABoAGUAcgBpAGMAIABkAGUAcABvAHMAaQB0AGkAbwBuACAAZQBtAGkAcwBzAGkAbwBuAHMAIABmAHIAbwBtACAAdQByAGkAbgBlACAAYQBuAGQAIABkAHUAbgBnACAAZABlAHAAbwBzAGkAdABlAGQAIABvAG4AIABwAGEAcwB0AHUAcgBlAFwAIgApADsAXABuAFwAbgBWAEUARQBSAEcAXwA0AF8ANwBfADEAXwA1AF8AXwAxAF8AQQB0AG0AbwBzAHAAaABlAHIAaQBjAEQAZQBwAG8AcwBpAHQAaQBvAG4ARQBtAGkAcwBzAGkAbwBuAHMARgByAG8AbQBQAGEAcwB0AHUAcgBlAF8AVgBhAHIAaQBhAGIAbABlAFwAbgAgACAAPQBMAEEATQBCAEQAQQAoAFwAIgBFAF8ATgAyAE8AYQBkAFwAIgApADsAXABuAFwAbgBWAEUARQBSAEcAXwA0AF8ANwBfADEAXwA1AF8AXwAxAF8AQQB0AG0AbwBzAHAAaABlAHIAaQBjAEQAZQBwAG8AcwBpAHQAaQBvAG4ARQBtAGkAcwBzAGkAbwBuAHMARgByAG8AbQBQAGEAcwB0AHUAcgBlAF8AVQBuAGkAdABcAG4AIAAgAD0ATABBAE0AQgBEAEEAKABcACIAdAAgAE4AMgBPAFwAIgApADsAXABuAFwAbgBWAEUARQBSAEcAXwA0AF8ANwBfADEAXwA1AF8AXwAxAF8AQQB0AG0AbwBzAHAAaABlAHIAaQBjAEQAZQBwAG8AcwBpAHQAaQBvAG4ARQBtAGkAcwBzAGkAbwBuAHMARgByAG8AbQBQAGEAcwB0AHUAcgBlAF8AUwBvAHUAcgBjAGUAXABuACAAIAA9AEwAQQBNAEIARABBACgAXAAiAFYARQBFAFIARwAgADIAMAAyADYAOgAgADQALgA3AC4AMQAuADUALAAgAEUAcQB1AGEAdABpAG8AbgAgACgAMQApAFwAIgApADsAXABuAFwAbgBWAEUARQBSAEcAXwA0AF8ANwBfADEAXwA1AF8AXwAxAF8AQQB0AG0AbwBzAHAAaABlAHIAaQBjAEQAZQBwAG8AcwBpAHQAaQBvAG4ARQBtAGkAcwBzAGkAbwBuAHMARgByAG8AbQBQAGEAcwB0AHUAcgBlAF8ATgBJAFIAUgBlAGYAZQByAGUAbgBjAGUAXABuACAAIAA9AEwAQQBNAEIARABBACgAXAAiAFwAIgApADsAXABuAFwAbgBWAEUARQBSAEcAXwA0AF8ANwBfADEAXwA1AF8AXwAxAF8AQQB0AG0AbwBzAHAAaABlAHIAaQBjAEQAZQBwAG8AcwBpAHQAaQBvAG4ARQBtAGkAcwBzAGkAbwBuAHMARgByAG8AbQBQAGEAcwB0AHUAcgBlAF8ATABhAHQAZQB4AEUAcQB1AGEAdABpAG8AbgBcAG4AIAAgAD0ATABBAE0AQgBEAEEAKABcACIARQBfAHsATgAyAE8ALABhAGQAfQA9AE0AXwB7AHYAbwBsAH0AXABcAHQAaQBtAGUAcwAgAEUARgBfAHsATgAyAE8AfQBcAFwAdABpAG0AZQBzACAAQwBfAHsATgAyAE8AfQBcAFwAdABpAG0AZQBzACAAMQAwAF4AewAtADMAfQBcACIAKQA7AFwAbgBcAG4AVgBFAEUAUgBHAF8ANABfADcAXwAxAF8ANQBfAF8AMQBfAEEAdABtAG8AcwBwAGgAZQByAGkAYwBEAGUAcABvAHMAaQB0AGkAbwBuAEUAbQBpAHMAcwBpAG8AbgBzAEYAcgBvAG0AUABhAHMAdAB1AHIAZQBfAEEAcgBnAHUAbQBlAG4AdABzAFwAbgAgACAAPQBMAEEATQBCAEQAQQAoAFwAbgAgACAAIAAgAE0AQQBLAEUAQQBSAFIAQQBZACgANgAsACAANAAsAFwAbgAgACAAIAAgACAAIABMAEEATQBCAEQAQQAoAHIALABjACwAXABuACAAIAAgACAAIAAgACAAIABJAE4ARABFAFgAKAB7AFwAbgAgACAAIAAgACAAIAAgACAAIAAgAFwAIgBNAF8AdgBvAGwAXAAiACwAIABcACIAbQBhAHMAcwAgAG8AZgAgAG4AaQB0AHIAbwBnAGUAbgAgAHYAbwBsAGEAdABpAGwAaQBzAGUAZAAgAGYAcgBvAG0AIAB1AHIAaQBuAGUAIABhAG4AZAAgAGYAYQBlAGMAZQBzACAAZABlAHAAbwBzAGkAdABlAGQAIABvAG4AIABwAGEAcwB0AHUAcgBlAFwAIgAsACAAXAAiAGsAZwAgAE4AXAAiACwAIABcACIAQwBhAGwAYwB1AGwAYQB0AGUAZAAgAGYAcgBvAG0AIAA0AC4ANwAuADEALgA1ACwAIAAoADIAKQBcACIAOwBcAG4AIAAgACAAIAAgACAAIAAgACAAIABcACIARQBGAF8ATgAyAE8AXAAiACwAIABcACIAZQBtAGkAcwBzAGkAbwBuACAAZgBhAGMAdABvAHIAIABmAG8AcgAgAGEAdABtAG8AcwBwAGgAZQByAGkAYwAgAGQAZQBwAG8AcwBpAHQAaQBvAG4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AgAFwAIgBwAHIAbwBkAHUAYwB0AGkAbwBuACAAcwB5AHMAdABlAG0AXAAiACwAIABcACIAXAAiACwAIABcACIASQBuAHAAdQB0AFwAIgA7AFwAbgAgACAAIAAgACAAIAAgACAAIAAgAFwAIgBpAFwAIgAsACAAXAAiAGkAcgByAGkAZwBhAHQAaQBvAG4AIABtAGUAdABoAG8AZABcACIALAAgAFwAIgBcACIALAAgAFwAIgBJAG4AcAB1AHQAXAAiADsAXABuACAAIAAgACAAIAAgACAAIAAgACAAXAAiAHIAXAAiACwAIABcACIAcgBhAGkAbgBmAGEAbABsACAAegBvAG4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NQBfAF8AMgBfAE0AYQBzAHMATwBmAE4AaQB0AHIAbwBnAGUAbgBWAG8AbABhAHQAaQBsAGkAcwBlAGQARgByAG8AbQBQAGEAcwB0AHUAcgBlAFwAbgBNAGEAcwBzACAAbwBmACAAbgBpAHQAcgBvAGcAZQBuACAAdgBvAGwAYQB0AGkAbABpAHMAZQBkACAAZgByAG8AbQAgAHUAcgBpAG4AZQAgAGEAbgBkACAAZgBhAGUAYwBlAHMAIABkAGUAcABvAHMAaQB0AGUAZAAgAG8AbgAgAHAAYQBzAHQAdQByAGUAXABuAE0AXwB2AG8AbABcAG4AawBnACAATgBcAG4ATQBfAHsAdgBvAGwAfQA9AEEARQBcAFwAdABpAG0AZQBzACAARgByAGEAYwBHAEEAUwBNAHMAbwBpAGwAXABuAEEARQAgAD0AIABhAG4AbgB1AGEAbAAgAG4AaQB0AHIAbwBnAGUAbgAgAGUAeABjAHIAZQB0AGUAZAAgAGIAeQAgAGUAYQBjAGgAIABsAGkAdgBlAHMAdABvAGMAawAgAHQAeQBwAGUAIAAoAGsAZwAgAE4ALwB5AGUAYQBy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NwBfADEAXwA1AF8AXwAyAF8ATQBhAHMAcwBPAGYATgBpAHQAcgBvAGcAZQBuAFYAbwBsAGEAdABpAGwAaQBzAGUAZABGAHIAbwBtAFAAYQBzAHQAdQByAGUAXABuACAAIAA9AEwAQQBNAEIARABBACgAXABuACAAIAAgACAAQQBFACwAIABGAHIAYQBjAEcAQQBTAE0AcwBvAGkAbAAsAFwAbgAgACAAIAAgAEEARQAgACoAIABGAHIAYQBjAEcAQQBTAE0AcwBvAGkAbABcAG4AIAAgACkAOwBcAG4AXABuAFYARQBFAFIARwBfADQAXwA3AF8AMQBfADUAXwBfADIAXwBNAGEAcwBzAE8AZgBOAGkAdAByAG8AZwBlAG4AVgBvAGwAYQB0AGkAbABpAHMAZQBkAEYAcgBvAG0AUABhAHMAdAB1AHIAZQBfAFQAaQB0AGwAZQBcAG4AIAAgAD0ATABBAE0AQgBEAEEAKABcACIATQBhAHMAcwAgAG8AZgAgAG4AaQB0AHIAbwBnAGUAbgAgAHYAbwBsAGEAdABpAGwAaQBzAGUAZAAgAGYAcgBvAG0AIAB1AHIAaQBuAGUAIABhAG4AZAAgAGYAYQBlAGMAZQBzACAAZABlAHAAbwBzAGkAdABlAGQAIABvAG4AIABwAGEAcwB0AHUAcgBlAFwAIgApADsAXABuAFwAbgBWAEUARQBSAEcAXwA0AF8ANwBfADEAXwA1AF8AXwAyAF8ATQBhAHMAcwBPAGYATgBpAHQAcgBvAGcAZQBuAFYAbwBsAGEAdABpAGwAaQBzAGUAZABGAHIAbwBtAFAAYQBzAHQAdQByAGUAXwBWAGEAcgBpAGEAYgBsAGUAXABuACAAIAA9AEwAQQBNAEIARABBACgAXAAiAE0AXwB2AG8AbABcACIAKQA7AFwAbgBcAG4AVgBFAEUAUgBHAF8ANABfADcAXwAxAF8ANQBfAF8AMgBfAE0AYQBzAHMATwBmAE4AaQB0AHIAbwBnAGUAbgBWAG8AbABhAHQAaQBsAGkAcwBlAGQARgByAG8AbQBQAGEAcwB0AHUAcgBlAF8AVQBuAGkAdABcAG4AIAAgAD0ATABBAE0AQgBEAEEAKABcACIAawBnACAATgBcACIAKQA7AFwAbgBcAG4AVgBFAEUAUgBHAF8ANABfADcAXwAxAF8ANQBfAF8AMgBfAE0AYQBzAHMATwBmAE4AaQB0AHIAbwBnAGUAbgBWAG8AbABhAHQAaQBsAGkAcwBlAGQARgByAG8AbQBQAGEAcwB0AHUAcgBlAF8AUwBvAHUAcgBjAGUAXABuACAAIAA9AEwAQQBNAEIARABBACgAXAAiAFYARQBFAFIARwAgADIAMAAyADYAOgAgADQALgA3AC4AMQAuADUALAAgAEUAcQB1AGEAdABpAG8AbgAgACgAMgApAFwAIgApADsAXABuAFwAbgBWAEUARQBSAEcAXwA0AF8ANwBfADEAXwA1AF8AXwAyAF8ATQBhAHMAcwBPAGYATgBpAHQAcgBvAGcAZQBuAFYAbwBsAGEAdABpAGwAaQBzAGUAZABGAHIAbwBtAFAAYQBzAHQAdQByAGUAXwBOAEkAUgBSAGUAZgBlAHIAZQBuAGMAZQBcAG4AIAAgAD0ATABBAE0AQgBEAEEAKABcACIAXAAiACkAOwBcAG4AXABuAFYARQBFAFIARwBfADQAXwA3AF8AMQBfADUAXwBfADIAXwBNAGEAcwBzAE8AZgBOAGkAdAByAG8AZwBlAG4AVgBvAGwAYQB0AGkAbABpAHMAZQBkAEYAcgBvAG0AUABhAHMAdAB1AHIAZQBfAEwAYQB0AGUAeABFAHEAdQBhAHQAaQBvAG4AXABuACAAIAA9AEwAQQBNAEIARABBACgAXAAiAE0AXwB7AHYAbwBsAH0APQBBAEUAXABcAHQAaQBtAGUAcwAgAEYAcgBhAGMARwBBAFMATQBzAG8AaQBsAFwAIgApADsAXABuAFwAbgBWAEUARQBSAEcAXwA0AF8ANwBfADEAXwA1AF8AXwAyAF8ATQBhAHMAcwBPAGYATgBpAHQAcgBvAGcAZQBuAFYAbwBsAGEAdABpAGwAaQBzAGUAZABGAHIAbwBtAFAAYQBzAHQAdQByAGUAXwBBAHIAZwB1AG0AZQBuAHQAcwBcAG4AIAAgAD0ATABBAE0AQgBEAEEAKABcAG4AIAAgACAAIABNAEEASwBFAEEAUgBSAEEAWQAoADIALAAgADQALABcAG4AIAAgACAAIAAgACAATABBAE0AQgBEAEEAKAByACwAYwAsAFwAbgAgACAAIAAgACAAIAAgACAASQBOAEQARQBYACgAewBcAG4AIAAgACAAIAAgACAAIAAgACAAIABcACIAQQBFAFwAIgAsACAAXAAiAGEAbgBuAHUAYQBsACAAbgBpAHQAcgBvAGcAZQBuACAAZQB4AGMAcgBlAHQAZQBkACAAYgB5ACAAZQBhAGMAaAAgAGwAaQB2AGUAcwB0AG8AYwBrACAAdAB5AHAAZQBcACIALAAgAFwAIgBrAGcAIABOAC8AeQBlAGEAcgBcACIALAAgAFwAIgBDAGEAbABjAHUAbABhAHQAZQBkACAAYgB5ACAANAAuADcALgAxAC4AMwAsACAAKAAyACkAXAAiADsAXABuACAAIAAgACAAIAAgACAAIAAgACAAXAAiAEYAcgBhAGMARwBBAFMATQBzAG8AaQBsAFwAIgAsACAAXAAiAGYAcgBhAGMAdABpAG8AbgAgAG8AZgAgAG4AaQB0AHIAbwBnAGUAbgAgAHYAbwBsAGEAdABpAGwAaQBzAGUAZAAgAGYAcgBvAG0AIAB1AHIAaQBuAGUAIABhAG4AZAAgAGYAYQBlAGMAZQBzACAAZABlAHAAbwBzAGkAdABlAGQAIABvAG4AIABwAGEAcwB0AHUAcgBl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TQBNAFMAXwBPAHQAaABlAHIATABpAHYAZQBzAHQAbwBjAGs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3ACAATQBlAHQAaABvAGQAIAAxACAALQAgAFMAbwBpAGwAIABMAGUAYQBjAGgAaQBuAGcAIABBAG4AZAAgAFIAdQBuAG8AZgBm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cAXwBfADEAXwBMAGUAYQBjAGgAaQBuAGcAQQBuAGQAUgB1AG4AbwBmAGYARQBtAGkAcwBzAGkAbwBuAHMARgByAG8AbQ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FwAdABpAG0AZQBzACAARQBGAF8AewBsAGUAYQBjAGgAfQBcAFwAdABpAG0AZQBzACAAQwBfAHsATgAyAE8AfQBc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cAXwBfADEAXwBMAGUAYQBjAGgAaQBuAGcAQQBuAGQAUgB1AG4AbwBmAGYARQBtAGkAcwBzAGkAbwBuAHMARgByAG8AbQBQAGEAcwB0AHUAcgBlAFwAbgAgACAAPQBMAEEATQBCAEQAQQAoAFwAbgAgACAAIAAgAE0AXwBsAGUAYQBjAGgALAAgAEUARgBfAGwAZQBhAGMAaAAsACAAQwBfAE4AMgBPACwAXABuACAAIAAgACAATQBfAGwAZQBhAGMAaAAgACoAIABFAEYAXwBsAGUAYQBjAGgAIAAqACAAQwBfAE4AMgBPACAAKgAgADEAMAAgAF4AIAAtADMAXABuACAAIAApADsAXABuAFwAbgBWAEUARQBSAEcAXwA0AF8ANwBfADEAXwA3AF8AXwAxAF8ATABlAGEAYwBoAGkAbgBnAEEAbgBkAFIAdQBuAG8AZgBmAEUAbQBpAHMAcwBpAG8AbgBzAEYAcgBvAG0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cAXwAxAF8ANwBfAF8AMQBfAEwAZQBhAGMAaABpAG4AZwBBAG4AZABSAHUAbgBvAGYAZgBFAG0AaQBzAHMAaQBvAG4AcwBGAHIAbwBtAFAAYQBzAHQAdQByAGUAXwBWAGEAcgBpAGEAYgBsAGUAXABuACAAIAA9AEwAQQBNAEIARABBACgAXAAiAEUAXwBOADIATwBsAGUAYQBjAGgAXAAiACkAOwBcAG4AXABuAFYARQBFAFIARwBfADQAXwA3AF8AMQBfADcAXwBfADEAXwBMAGUAYQBjAGgAaQBuAGcAQQBuAGQAUgB1AG4AbwBmAGYARQBtAGkAcwBzAGkAbwBuAHMARgByAG8AbQBQAGEAcwB0AHUAcgBlAF8AVQBuAGkAdABcAG4AIAAgAD0ATABBAE0AQgBEAEEAKABcACIAdAAgAE4AMgBPAFwAIgApADsAXABuAFwAbgBWAEUARQBSAEcAXwA0AF8ANwBfADEAXwA3AF8AXwAxAF8ATABlAGEAYwBoAGkAbgBnAEEAbgBkAFIAdQBuAG8AZgBmAEUAbQBpAHMAcwBpAG8AbgBzAEYAcgBvAG0AUABhAHMAdAB1AHIAZQBfAFMAbwB1AHIAYwBlAFwAbgAgACAAPQBMAEEATQBCAEQAQQAoAFwAIgBWAEUARQBSAEcAIAAyADAAMgA2ADoAIAA0AC4ANwAuADEALgA3ACwAIABFAHEAdQBhAHQAaQBvAG4AIAAoADEAKQBcACIAKQA7AFwAbgBcAG4AVgBFAEUAUgBHAF8ANABfADcAXwAxAF8ANwBfAF8AMQBfAEwAZQBhAGMAaABpAG4AZwBBAG4AZABSAHUAbgBvAGYAZgBFAG0AaQBzAHMAaQBvAG4AcwBGAHIAbwBtAFAAYQBzAHQAdQByAGUAXwBOAEkAUgBSAGUAZgBlAHIAZQBuAGMAZQBcAG4AIAAgAD0ATABBAE0AQgBEAEEAKABcACIAXAAiACkAOwBcAG4AXABuAFYARQBFAFIARwBfADQAXwA3AF8AMQBfADcAXwBfADEAXwBMAGUAYQBjAGgAaQBuAGcAQQBuAGQAUgB1AG4AbwBmAGYARQBtAGkAcwBzAGkAbwBuAHMARgByAG8AbQBQAGEAcwB0AHUAcgBlAF8ATABhAHQAZQB4AEUAcQB1AGEAdABpAG8AbgBcAG4AIAAgAD0ATABBAE0AQgBEAEEAKABcACIARQBfAHsATgAyAE8ALABsAGUAYQBjAGgAfQA9AE0AXwB7AGwAZQBhAGMAaAB9AFwAXAB0AGkAbQBlAHMAIABFAEYAXwB7AGwAZQBhAGMAaAB9AFwAXAB0AGkAbQBlAHMAIABDAF8AewBOADIATwB9AFwAXAB0AGkAbQBlAHMAIAAxADAAXgB7AC0AMwB9AFwAIgApADsAXABuAFwAbgBWAEUARQBSAEcAXwA0AF8ANwBfADEAXwA3AF8AXwAxAF8ATABlAGEAYwBoAGkAbgBnAEEAbgBkAFIAdQBuAG8AZgBmAEUAbQBpAHMAcwBpAG8AbgBzAEYAcgBvAG0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cALgAxAC4ANwAsACAAKAAyACkAXAAiADsAXABuACAAIAAgACAAIAAgACAAIAAgACAAXAAiAEUARgBfAGwAZQBhAGMAaABcACIALAAgAFwAIgBlAG0AaQBzAHMAaQBvAG4AIABmAGEAYwB0AG8AcgAgAGYAbwByACAAbABlAGEAYwBoAGkAbgBnACAAYQBuAGQAIAByAHUAbgBvAGYAZgBcACIALAAgAFwAIgBrAGcAIABOADIATwAtAE4ALwBrAGcAIABOAFwAIgAsACAAXAAiAEMAbwBuAHMAdABhAG4AdABcACIAOwBcAG4AIAAgACAAIAAgACAAIAAgACAAIABcACIAQwBfAE4AMgBPAFwAIgAsACA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3AF8AMQBfADcAXwBfADIAXwBNAGEAcwBzAE8AZgBOAGkAdAByAG8AZwBlAG4ATABvAHMAdABUAG8ATABlAGEAYwBoAGkAbgBnAEEAbgBkAFIAdQBuAG8AZgBmAFwAbgBNAGEAcwBzACAAbwBmACAAbgBpAHQAcgBvAGcAZQBuACAAbABvAHMAdAAgAHQAbwAgAGwAZQBhAGMAaABpAG4AZwAgAGEAbgBkACAAcgB1AG4AbwBmAGYAXABuAE0AXwBsAGUAYQBjAGgAXABuAGsAZwAgAE4AXABuAE0AXwB7AGwAZQBhAGMAaAB9AD0AQQBFAFwAXAB0AGkAbQBlAHMAIABGAHIAYQBjAFcAZQB0AFwAXAB0AGkAbQBlAHMAIABGAHIAYQBjAEwARQBBAEMASABcAG4AQQBFACAAPQAgAGEAbgBuAHUAYQBsACAAbgBpAHQAcgBvAGcAZQBuACAAZQB4AGMAcgBlAHQAZQBkACAAYgB5ACAAZQBhAGMAaAAgAGwAaQB2AGUAcwB0AG8AYwBrACAAdAB5AHAAZQAgACgAawBnACAATgAvAHkAZQBhAHIAKQBcAG4ARgByAGEAYwBXAGUAdAAgAD0AIABmAHIAYQBjAHQAaQBvAG4AIABvAGYAIABuAGkAdAByAG8AZwBlAG4AIABhAHYAYQBpAGwAYQBiAGwAZQAgAGYAbwByACAAbABlAGEAYwBoAGkAbgBnACAAYQBuAGQAIAByAHUAbgBvAGYAZgBcAG4ARgByAGEAYwBMAEUAQQBDAEgAIAA9ACAAZgByAGEAYwB0AGkAbwBuACAAbwBmACAAYQBsAGwAIABuAGkAdAByAG8AZwBlAG4AIAB0AGgAYQB0ACAAaQBzACAAbABvAHMAdAAgAHQAaAByAG8AdQBnAGgAIABsAGUAYQBjAGgAaQBuAGcAIABhAG4AZAAgAHIAdQBuAG8AZgBmAFwAbgAtAC0ALQAtAC0ALQAtAC0ALQAtAC0ALQAtAC0ALQAtAC0ALQAtAC0ALQAtAC0ALQAtAC0ALQAtAC0ALQAtAC0ALQAtAC0ALQAtAC0AXABuACoALwBcAG4AXABuAFYARQBFAFIARwBfADQAXwA3AF8AMQBfADcAXwBfADIAXwBNAGEAcwBzAE8AZgBOAGkAdAByAG8AZwBlAG4ATABvAHMAdABUAG8ATABlAGEAYwBoAGkAbgBnAEEAbgBkAFIAdQBuAG8AZgBmAFwAbgAgACAAPQBMAEEATQBCAEQAQQAoAFwAbgAgACAAIAAgAEEARQAsACAARgByAGEAYwBXAGUAdAAsACAARgByAGEAYwBMAEUAQQBDAEgALABcAG4AIAAgACAAIABBAEUAIAAqACAARgByAGEAYwBXAGUAdAAgACoAIABGAHIAYQBjAEwARQBBAEMASABcAG4AIAAgACkAOwBcAG4AXABuAFYARQBFAFIARwBfADQAXwA3AF8AMQBfADcAXwBfADIAXwBNAGEAcwBzAE8AZgBOAGkAdAByAG8AZwBlAG4ATABvAHMAdABUAG8ATABlAGEAYwBoAGkAbgBnAEEAbgBkAFIAdQBuAG8AZgBmAF8AVABpAHQAbABlAFwAbgAgACAAPQBMAEEATQBCAEQAQQAoAFwAIgBNAGEAcwBzACAAbwBmACAAbgBpAHQAcgBvAGcAZQBuACAAbABvAHMAdAAgAHQAbwAgAGwAZQBhAGMAaABpAG4AZwAgAGEAbgBkACAAcgB1AG4AbwBmAGYAXAAiACkAOwBcAG4AXABuAFYARQBFAFIARwBfADQAXwA3AF8AMQBfADcAXwBfADIAXwBNAGEAcwBzAE8AZgBOAGkAdAByAG8AZwBlAG4ATABvAHMAdABUAG8ATABlAGEAYwBoAGkAbgBnAEEAbgBkAFIAdQBuAG8AZgBmAF8AVgBhAHIAaQBhAGIAbABlAFwAbgAgACAAPQBMAEEATQBCAEQAQQAoAFwAIgBNAF8AbABlAGEAYwBoAFwAIgApADsAXABuAFwAbgBWAEUARQBSAEcAXwA0AF8ANwBfADEAXwA3AF8AXwAyAF8ATQBhAHMAcwBPAGYATgBpAHQAcgBvAGcAZQBuAEwAbwBzAHQAVABvAEwAZQBhAGMAaABpAG4AZwBBAG4AZABSAHUAbgBvAGYAZgBfAFUAbgBpAHQAXABuACAAIAA9AEwAQQBNAEIARABBACgAXAAiAGsAZwAgAE4AXAAiACkAOwBcAG4AXABuAFYARQBFAFIARwBfADQAXwA3AF8AMQBfADcAXwBfADIAXwBNAGEAcwBzAE8AZgBOAGkAdAByAG8AZwBlAG4ATABvAHMAdABUAG8ATABlAGEAYwBoAGkAbgBnAEEAbgBkAFIAdQBuAG8AZgBmAF8AUwBvAHUAcgBjAGUAXABuACAAIAA9AEwAQQBNAEIARABBACgAXAAiAFYARQBFAFIARwAgADIAMAAyADYAOgAgADQALgA3AC4AMQAuADcALAAgAEUAcQB1AGEAdABpAG8AbgAgACgAMgApAFwAIgApADsAXABuAFwAbgBWAEUARQBSAEcAXwA0AF8ANwBfADEAXwA3AF8AXwAyAF8ATQBhAHMAcwBPAGYATgBpAHQAcgBvAGcAZQBuAEwAbwBzAHQAVABvAEwAZQBhAGMAaABpAG4AZwBBAG4AZABSAHUAbgBvAGYAZgBfAE4ASQBSAFIAZQBmAGUAcgBlAG4AYwBlAFwAbgAgACAAPQBMAEEATQBCAEQAQQAoAFwAIgBcACIAKQA7AFwAbgBcAG4AVgBFAEUAUgBHAF8ANABfADcAXwAxAF8ANwBfAF8AMgBfAE0AYQBzAHMATwBmAE4AaQB0AHIAbwBnAGUAbgBMAG8AcwB0AFQAbwBMAGUAYQBjAGgAaQBuAGcAQQBuAGQAUgB1AG4AbwBmAGYAXwBMAGEAdABlAHgARQBxAHUAYQB0AGkAbwBuAFwAbgAgACAAPQBMAEEATQBCAEQAQQAoAFwAIgBNAF8AewBsAGUAYQBjAGgAfQA9AEEARQBcAFwAdABpAG0AZQBzACAARgByAGEAYwBXAGUAdABcAFwAdABpAG0AZQBzACAARgByAGEAYwBMAEUAQQBDAEgAXAAiACkAOwBcAG4AXABuAFYARQBFAFIARwBfADQAXwA3AF8AMQBfADcAXwBfADIAXwBNAGEAcwBzAE8AZgBOAGkAdAByAG8AZwBlAG4ATABvAHMAdABUAG8ATABlAGEAYwBoAGkAbgBnAEEAbgBkAFIAdQBuAG8AZgBmAF8AQQByAGcAdQBtAGUAbgB0AHMAXABuACAAIAA9AEwAQQBNAEIARABBACgAXABuACAAIAAgACAATQBBAEsARQBBAFIAUgBBAFkAKAA2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FcAZQB0AFwAIgAsACAAXAAiAGYAcgBhAGMAdABpAG8AbgAgAG8AZgAgAG4AaQB0AHIAbwBnAGUAbgAgAGEAdgBhAGkAbABhAGIAbABlACAAZgBvAHIAIABsAGUAYQBjAGgAaQBuAGcAIABhAG4AZAAgAHIAdQBuAG8AZgBmAFwAIgAsACAAXAAiAFwAIgAsACAAXAAiAEMAbwBuAHMAdABhAG4AdABcACIAOwBcAG4AIAAgACAAIAAgACAAIAAgACAAIABcACIARgByAGEAYwBMAEUAQQBDAEgAXAAiACwAIABcACIAZgByAGEAYwB0AGkAbwBuACAAbwBmACAAYQBsAGwAIABuAGkAdAByAG8AZwBlAG4AIAB0AGgAYQB0ACAAaQBzACAAbABvAHMAdAAgAHQAaAByAG8AdQBnAGgAIABsAGUAYQBjAGgAaQBuAGcAIABhAG4AZAAgAHIAdQBuAG8AZgBmAFwAIgAsACAAXAAi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QwByAG8AcABwAGkAbgBnAF8ASQBuAHAAdQB0AEYAdQBuAGMAdABpAG8AbgBzAC4AQwBvAG0AbQBvAG4AQwByAG8AcABwAGkAbgBnAF8ARwBlAHQARgByAGEAYwBXAEUAVAAiACwAIgBDAG8AbQBtAG8AbgBDAHIAbwBwAHAAaQBuAGcAXwBJAG4AcAB1AHQARgB1AG4AYwB0AGkAbwBuAHMALgBDAG8AbQBtAG8AbgBDAHIAbwBwAHAAaQBuAGcAXwBDAGEAbABjAHUAbABhAHQAZQBIAGEAcgB2AGUAcwB0AEkAbgBkAGUAeAAiACwAIgBDAG8AbQBtAG8AbgBDAHIAbwBwAHAAaQBuAGcAXwBJAG4AcAB1AHQARgB1AG4AYwB0AGkAbwBuAHMALgBDAG8AbQBtAG8AbgBDAHIAbwBwAHAAaQBuAGcAXwBDAGEAbABjAHUAbABhAHQAZQBSAGUAcwBpAGQAdQBlAEMAcgBvAHAAUgBhAHQAaQBvACIALAAiAEMAbwBtAG0AbwBuAEMAcgBvAHAAcABpAG4AZwBfAEkAbgBwAHUAdABGAHUAbgBjAHQAaQBvAG4AcwAuAEMAbwBtAG0AbwBuAEMAcgBvAHAAcABpAG4AZwBfAEMAYQBsAGMAdQBsAGEAdABlAEYAcgBhAGMAdABpAG8AbgBSAGUAcwBpAGQAdQBlAFIAZQBtAG8AdgBlAGQAIgAsACIAUwBvAHUAcgBjAGUARABhAHQAYQBfAE8AdABoAGUAcgBMAGkAdgBlAHMAdABvAGMAawAuAFMAbwB1AHIAYwBlAEQAYQB0AGEAXwBPAHQAaABlAHIATABpAHYAZQBzAHQAbwBjAGsAXwBFAG4AdABlAHIAaQBjAEYAZQByAG0AZQBuAHQAYQB0AGkAbwBuAEUAbQBpAHMAcwBpAG8AbgBGAGEAYwB0AG8AcgBfAFQAaQB0AGwAZQAiACwAIgBTAG8AdQByAGMAZQBEAGEAdABhAF8ATwB0AGgAZQByAEwAaQB2AGUAcwB0AG8AYwBrAC4AUwBvAHUAcgBjAGUARABhAHQAYQBfAE8AdABoAGUAcgBMAGkAdgBlAHMAdABvAGMAawBfAEUAbgB0AGUAcgBpAGMARgBlAHIAbQBlAG4AdABhAHQAaQBvAG4ARQBtAGkAcwBzAGkAbwBuAEYAYQBjAHQAbwByAF8AVgBhAHIAaQBhAGIAbABlACIALAAiAFMAbwB1AHIAYwBlAEQAYQB0AGEAXwBPAHQAaABlAHIATABpAHYAZQBzAHQAbwBjAGsALgBTAG8AdQByAGMAZQBEAGEAdABhAF8ATwB0AGgAZQByAEwAaQB2AGUAcwB0AG8AYwBrAF8ARQBuAHQAZQByAGkAYwBGAGUAcgBtAGUAbgB0AGEAdABpAG8AbgBFAG0AaQBzAHMAaQBvAG4ARgBhAGMAdABvAHIAXwBVAG4AaQB0ACIALAAiAFMAbwB1AHIAYwBlAEQAYQB0AGEAXwBPAHQAaABlAHIATABpAHYAZQBzAHQAbwBjAGsALgBTAG8AdQByAGMAZQBEAGEAdABhAF8ATwB0AGgAZQByAEwAaQB2AGUAcwB0AG8AYwBrAF8ARQBuAHQAZQByAGkAYwBGAGUAcgBtAGUAbgB0AGEAdABpAG8AbgBFAG0AaQBzAHMAaQBvAG4ARgBhAGMAdABvAHIAXwBTAG8AdQByAGMAZQAiACwAIgBTAG8AdQByAGMAZQBEAGEAdABhAF8ATwB0AGgAZQByAEwAaQB2AGUAcwB0AG8AYwBrAC4AUwBvAHUAcgBjAGUARABhAHQAYQBfAE8AdABoAGUAcgBMAGkAdgBlAHMAdABvAGMAawBfAEUAbgB0AGUAcgBpAGMARgBlAHIAbQBlAG4AdABhAHQAaQBvAG4ARQBtAGkAcwBzAGkAbwBuAEYAYQBjAHQAbwByAF8AVgBhAHIAaQBhAHQAaQBvAG4AIgAsACIAUwBvAHUAcgBjAGUARABhAHQAYQBfAE8AdABoAGUAcgBMAGkAdgBlAHMAdABvAGMAawAuAFMAbwB1AHIAYwBlAEQAYQB0AGEAXwBPAHQAaABlAHIATABpAHYAZQBzAHQAbwBjAGsAXwBFAG4AdABlAHIAaQBjAEYAZQByAG0AZQBuAHQAYQB0AGkAbwBuAEUAbQBpAHMAcwBpAG8AbgBGAGEAYwB0AG8AcgBfAEQAYQB0AGEAIgAsACIAUwBvAHUAcgBjAGUARABhAHQAYQBfAE8AdABoAGUAcgBMAGkAdgBlAHMAdABvAGMAawAuAFMAbwB1AHIAYwBlAEQAYQB0AGEAXwBPAHQAaABlAHIATABpAHYAZQBzAHQAbwBjAGsAXwBWAG8AbABhAHQAaQBsAGUAUwBvAGwAaQBkAHMAUAByAG8AZAB1AGMAZQBkAF8AVABpAHQAbABlACIALAAiAFMAbwB1AHIAYwBlAEQAYQB0AGEAXwBPAHQAaABlAHIATABpAHYAZQBzAHQAbwBjAGsALgBTAG8AdQByAGMAZQBEAGEAdABhAF8ATwB0AGgAZQByAEwAaQB2AGUAcwB0AG8AYwBrAF8AVgBvAGwAYQB0AGkAbABlAFMAbwBsAGkAZABzAFAAcgBvAGQAdQBjAGUAZABfAFYAYQByAGkAYQBiAGwAZQAiACwAIgBTAG8AdQByAGMAZQBEAGEAdABhAF8ATwB0AGgAZQByAEwAaQB2AGUAcwB0AG8AYwBrAC4AUwBvAHUAcgBjAGUARABhAHQAYQBfAE8AdABoAGUAcgBMAGkAdgBlAHMAdABvAGMAawBfAFYAbwBsAGEAdABpAGwAZQBTAG8AbABpAGQAcwBQAHIAbwBkAHUAYwBlAGQAXwBVAG4AaQB0ACIALAAiAFMAbwB1AHIAYwBlAEQAYQB0AGEAXwBPAHQAaABlAHIATABpAHYAZQBzAHQAbwBjAGsALgBTAG8AdQByAGMAZQBEAGEAdABhAF8ATwB0AGgAZQByAEwAaQB2AGUAcwB0AG8AYwBrAF8AVgBvAGwAYQB0AGkAbABlAFMAbwBsAGkAZABzAFAAcgBvAGQAdQBjAGUAZABfAFMAbwB1AHIAYwBlACIALAAiAFMAbwB1AHIAYwBlAEQAYQB0AGEAXwBPAHQAaABlAHIATABpAHYAZQBzAHQAbwBjAGsALgBTAG8AdQByAGMAZQBEAGEAdABhAF8ATwB0AGgAZQByAEwAaQB2AGUAcwB0AG8AYwBrAF8AVgBvAGwAYQB0AGkAbABlAFMAbwBsAGkAZABzAFAAcgBvAGQAdQBjAGUAZABfAFYAYQByAGkAYQB0AGkAbwBuACIALAAiAFMAbwB1AHIAYwBlAEQAYQB0AGEAXwBPAHQAaABlAHIATABpAHYAZQBzAHQAbwBjAGsALgBTAG8AdQByAGMAZQBEAGEAdABhAF8ATwB0AGgAZQByAEwAaQB2AGUAcwB0AG8AYwBrAF8AVgBvAGwAYQB0AGkAbABlAFMAbwBsAGkAZABzAFAAcgBvAGQAdQBjAGUAZABfAEQAYQB0AGEAIgAsACIAUwBvAHUAcgBjAGUARABhAHQAYQBfAE8AdABoAGUAcgBMAGkAdgBlAHMAdABvAGMAawAuAFMAbwB1AHIAYwBlAEQAYQB0AGEAXwBPAHQAaABlAHIATABpAHYAZQBzAHQAbwBjAGsAXwBOAGkAdAByAG8AZwBlAG4ARQB4AGMAcgBlAHQAZQBkAF8AVABpAHQAbABlACIALAAiAFMAbwB1AHIAYwBlAEQAYQB0AGEAXwBPAHQAaABlAHIATABpAHYAZQBzAHQAbwBjAGsALgBTAG8AdQByAGMAZQBEAGEAdABhAF8ATwB0AGgAZQByAEwAaQB2AGUAcwB0AG8AYwBrAF8ATgBpAHQAcgBvAGcAZQBuAEUAeABjAHIAZQB0AGUAZABfAFYAYQByAGkAYQBiAGwAZQAiACwAIgBTAG8AdQByAGMAZQBEAGEAdABhAF8ATwB0AGgAZQByAEwAaQB2AGUAcwB0AG8AYwBrAC4AUwBvAHUAcgBjAGUARABhAHQAYQBfAE8AdABoAGUAcgBMAGkAdgBlAHMAdABvAGMAawBfAE4AaQB0AHIAbwBnAGUAbgBFAHgAYwByAGUAdABlAGQAXwBVAG4AaQB0ACIALAAiAFMAbwB1AHIAYwBlAEQAYQB0AGEAXwBPAHQAaABlAHIATABpAHYAZQBzAHQAbwBjAGsALgBTAG8AdQByAGMAZQBEAGEAdABhAF8ATwB0AGgAZQByAEwAaQB2AGUAcwB0AG8AYwBrAF8ATgBpAHQAcgBvAGcAZQBuAEUAeABjAHIAZQB0AGUAZABfAFMAbwB1AHIAYwBlACIALAAiAFMAbwB1AHIAYwBlAEQAYQB0AGEAXwBPAHQAaABlAHIATABpAHYAZQBzAHQAbwBjAGsALgBTAG8AdQByAGMAZQBEAGEAdABhAF8ATwB0AGgAZQByAEwAaQB2AGUAcwB0AG8AYwBrAF8ATgBpAHQAcgBvAGcAZQBuAEUAeABjAHIAZQB0AGUAZABfAFYAYQByAGkAYQB0AGkAbwBuACIALAAiAFMAbwB1AHIAYwBlAEQAYQB0AGEAXwBPAHQAaABlAHIATABpAHYAZQBzAHQAbwBjAGsALgBTAG8AdQByAGMAZQBEAGEAdABhAF8ATwB0AGgAZQByAEwAaQB2AGUAcwB0AG8AYwBrAF8ATgBpAHQAcgBvAGcAZQBuAEUAeABjAHIAZQB0AGUAZABfAEQAYQB0AGEAIgAsACIAUwBvAHUAcgBjAGUARABhAHQAYQBfAE8AdABoAGUAcgBMAGkAdgBlAHMAdABvAGMAawAuAFMAbwB1AHIAYwBlAEQAYQB0AGEAXwBPAHQAaABlAHIATABpAHYAZQBzAHQAbwBjAGsAXwBBAHYAZQByAGEAZwBlAEwAaQB2AGUAdwBlAGkAZwBoAHQAXwBUAGkAdABsAGUAIgAsACIAUwBvAHUAcgBjAGUARABhAHQAYQBfAE8AdABoAGUAcgBMAGkAdgBlAHMAdABvAGMAawAuAFMAbwB1AHIAYwBlAEQAYQB0AGEAXwBPAHQAaABlAHIATABpAHYAZQBzAHQAbwBjAGsAXwBBAHYAZQByAGEAZwBlAEwAaQB2AGUAdwBlAGkAZwBoAHQAXwBWAGEAcgBpAGEAYgBsAGUAIgAsACIAUwBvAHUAcgBjAGUARABhAHQAYQBfAE8AdABoAGUAcgBMAGkAdgBlAHMAdABvAGMAawAuAFMAbwB1AHIAYwBlAEQAYQB0AGEAXwBPAHQAaABlAHIATABpAHYAZQBzAHQAbwBjAGsAXwBBAHYAZQByAGEAZwBlAEwAaQB2AGUAdwBlAGkAZwBoAHQAXwBVAG4AaQB0ACIALAAiAFMAbwB1AHIAYwBlAEQAYQB0AGEAXwBPAHQAaABlAHIATABpAHYAZQBzAHQAbwBjAGsALgBTAG8AdQByAGMAZQBEAGEAdABhAF8ATwB0AGgAZQByAEwAaQB2AGUAcwB0AG8AYwBrAF8AQQB2AGUAcgBhAGcAZQBMAGkAdgBlAHcAZQBpAGcAaAB0AF8AUwBvAHUAcgBjAGUAIgAsACIAUwBvAHUAcgBjAGUARABhAHQAYQBfAE8AdABoAGUAcgBMAGkAdgBlAHMAdABvAGMAawAuAFMAbwB1AHIAYwBlAEQAYQB0AGEAXwBPAHQAaABlAHIATABpAHYAZQBzAHQAbwBjAGsAXwBBAHYAZQByAGEAZwBlAEwAaQB2AGUAdwBlAGkAZwBoAHQAXwBWAGEAcgBpAGEAdABpAG8AbgAiACwAIgBTAG8AdQByAGMAZQBEAGEAdABhAF8ATwB0AGgAZQByAEwAaQB2AGUAcwB0AG8AYwBrAC4AUwBvAHUAcgBjAGUARABhAHQAYQBfAE8AdABoAGUAcgBMAGkAdgBlAHMAdABvAGMAawBfAEEAdgBlAHIAYQBnAGUATABpAHYAZQB3AGUAaQBnAGgAdABfAEQAYQB0AGEAIgAsACIAUwBvAHUAcgBjAGUARABhAHQAYQBfAE8AdABoAGUAcgBMAGkAdgBlAHMAdABvAGMAawAuAFMAbwB1AHIAYwBlAEQAYQB0AGEAXwBPAHQAaABlAHIATABpAHYAZQBzAHQAbwBjAGsAXwBGAHIAYQBjAHQAaQBvAG4AVwBhAHMAdABlAEkAbgBNAE0AUwBfAFQAaQB0AGwAZQAiACwAIgBTAG8AdQByAGMAZQBEAGEAdABhAF8ATwB0AGgAZQByAEwAaQB2AGUAcwB0AG8AYwBrAC4AUwBvAHUAcgBjAGUARABhAHQAYQBfAE8AdABoAGUAcgBMAGkAdgBlAHMAdABvAGMAawBfAEYAcgBhAGMAdABpAG8AbgBXAGEAcwB0AGUASQBuAE0ATQBTAF8AVgBhAHIAaQBhAGIAbABlACIALAAiAFMAbwB1AHIAYwBlAEQAYQB0AGEAXwBPAHQAaABlAHIATABpAHYAZQBzAHQAbwBjAGsALgBTAG8AdQByAGMAZQBEAGEAdABhAF8ATwB0AGgAZQByAEwAaQB2AGUAcwB0AG8AYwBrAF8ARgByAGEAYwB0AGkAbwBuAFcAYQBzAHQAZQBJAG4ATQBNAFMAXwBVAG4AaQB0ACIALAAiAFMAbwB1AHIAYwBlAEQAYQB0AGEAXwBPAHQAaABlAHIATABpAHYAZQBzAHQAbwBjAGsALgBTAG8AdQByAGMAZQBEAGEAdABhAF8ATwB0AGgAZQByAEwAaQB2AGUAcwB0AG8AYwBrAF8ARgByAGEAYwB0AGkAbwBuAFcAYQBzAHQAZQBJAG4ATQBNAFMAXwBTAG8AdQByAGMAZQAiACwAIgBTAG8AdQByAGMAZQBEAGEAdABhAF8ATwB0AGgAZQByAEwAaQB2AGUAcwB0AG8AYwBrAC4AUwBvAHUAcgBjAGUARABhAHQAYQBfAE8AdABoAGUAcgBMAGkAdgBlAHMAdABvAGMAawBfAEYAcgBhAGMAdABpAG8AbgBXAGEAcwB0AGUASQBuAE0ATQBTAF8AVgBhAHIAaQBhAHQAaQBvAG4AIgAsACIAUwBvAHUAcgBjAGUARABhAHQAYQBfAE8AdABoAGUAcgBMAGkAdgBlAHMAdABvAGMAawAuAFMAbwB1AHIAYwBlAEQAYQB0AGEAXwBPAHQAaABlAHIATABpAHYAZQBzAHQAbwBjAGsAXwBGAHIAYQBjAHQAaQBvAG4AVwBhAHMAdABlAEkAbgBNAE0AUwBfAEQAYQB0AGEAIgAsACIAUwBvAHUAcgBjAGUARABhAHQAYQBfAE8AdABoAGUAcgBMAGkAdgBlAHMAdABvAGMAawAuAFMAbwB1AHIAYwBlAEQAYQB0AGEAXwBPAHQAaABlAHIATABpAHYAZQBzAHQAbwBjAGsAXwBNAGUAdABoAGEAbgBlAEMAbwBuAHYAZQByAHMAaQBvAG4ARgBhAGMAdABvAHIAXwBUAGkAdABsAGUAIgAsACIAUwBvAHUAcgBjAGUARABhAHQAYQBfAE8AdABoAGUAcgBMAGkAdgBlAHMAdABvAGMAawAuAFMAbwB1AHIAYwBlAEQAYQB0AGEAXwBPAHQAaABlAHIATABpAHYAZQBzAHQAbwBjAGsAXwBNAGUAdABoAGEAbgBlAEMAbwBuAHYAZQByAHMAaQBvAG4ARgBhAGMAdABvAHIAXwBWAGEAcgBpAGEAYgBsAGUAIgAsACIAUwBvAHUAcgBjAGUARABhAHQAYQBfAE8AdABoAGUAcgBMAGkAdgBlAHMAdABvAGMAawAuAFMAbwB1AHIAYwBlAEQAYQB0AGEAXwBPAHQAaABlAHIATABpAHYAZQBzAHQAbwBjAGsAXwBNAGUAdABoAGEAbgBlAEMAbwBuAHYAZQByAHMAaQBvAG4ARgBhAGMAdABvAHIAXwBVAG4AaQB0ACIALAAiAFMAbwB1AHIAYwBlAEQAYQB0AGEAXwBPAHQAaABlAHIATABpAHYAZQBzAHQAbwBjAGsALgBTAG8AdQByAGMAZQBEAGEAdABhAF8ATwB0AGgAZQByAEwAaQB2AGUAcwB0AG8AYwBrAF8ATQBlAHQAaABhAG4AZQBDAG8AbgB2AGUAcgBzAGkAbwBuAEYAYQBjAHQAbwByAF8AUwBvAHUAcgBjAGUAIgAsACIAUwBvAHUAcgBjAGUARABhAHQAYQBfAE8AdABoAGUAcgBMAGkAdgBlAHMAdABvAGMAawAuAFMAbwB1AHIAYwBlAEQAYQB0AGEAXwBPAHQAaABlAHIATABpAHYAZQBzAHQAbwBjAGsAXwBNAGUAdABoAGEAbgBlAEMAbwBuAHYAZQByAHMAaQBvAG4ARgBhAGMAdABvAHIAXwBWAGEAcgBpAGEAdABpAG8AbgAiACwAIgBTAG8AdQByAGMAZQBEAGEAdABhAF8ATwB0AGgAZQByAEwAaQB2AGUAcwB0AG8AYwBrAC4AUwBvAHUAcgBjAGUARABhAHQAYQBfAE8AdABoAGUAcgBMAGkAdgBlAHMAdABvAGMAawBfAE0AZQB0AGgAYQBuAGUAQwBvAG4AdgBlAHIAcwBpAG8AbgBGAGEAYwB0AG8AcgBfAEQAYQB0AGEAIgAsACIAUwBvAHUAcgBjAGUARABhAHQAYQBfAE8AdABoAGUAcgBMAGkAdgBlAHMAdABvAGMAawAuAFMAbwB1AHIAYwBlAEQAYQB0AGEAXwBPAHQAaABlAHIATABpAHYAZQBzAHQAbwBjAGsAXwBNAGUAdABoAGEAbgBlAEUAbQBpAHMAcwBpAG8AbgBzAFAAbwB0AGUAbgB0AGkAYQBsAF8AVABpAHQAbABlACIALAAiAFMAbwB1AHIAYwBlAEQAYQB0AGEAXwBPAHQAaABlAHIATABpAHYAZQBzAHQAbwBjAGsALgBTAG8AdQByAGMAZQBEAGEAdABhAF8ATwB0AGgAZQByAEwAaQB2AGUAcwB0AG8AYwBrAF8ATQBlAHQAaABhAG4AZQBFAG0AaQBzAHMAaQBvAG4AcwBQAG8AdABlAG4AdABpAGEAbABfAFYAYQByAGkAYQBiAGwAZQAiACwAIgBTAG8AdQByAGMAZQBEAGEAdABhAF8ATwB0AGgAZQByAEwAaQB2AGUAcwB0AG8AYwBrAC4AUwBvAHUAcgBjAGUARABhAHQAYQBfAE8AdABoAGUAcgBMAGkAdgBlAHMAdABvAGMAawBfAE0AZQB0AGgAYQBuAGUARQBtAGkAcwBzAGkAbwBuAHMAUABvAHQAZQBuAHQAaQBhAGwAXwBVAG4AaQB0ACIALAAiAFMAbwB1AHIAYwBlAEQAYQB0AGEAXwBPAHQAaABlAHIATABpAHYAZQBzAHQAbwBjAGsALgBTAG8AdQByAGMAZQBEAGEAdABhAF8ATwB0AGgAZQByAEwAaQB2AGUAcwB0AG8AYwBrAF8ATQBlAHQAaABhAG4AZQBFAG0AaQBzAHMAaQBvAG4AcwBQAG8AdABlAG4AdABpAGEAbABfAFMAbwB1AHIAYwBlACIALAAiAFMAbwB1AHIAYwBlAEQAYQB0AGEAXwBPAHQAaABlAHIATABpAHYAZQBzAHQAbwBjAGsALgBTAG8AdQByAGMAZQBEAGEAdABhAF8ATwB0AGgAZQByAEwAaQB2AGUAcwB0AG8AYwBrAF8ATQBlAHQAaABhAG4AZQBFAG0AaQBzAHMAaQBvAG4AcwBQAG8AdABlAG4AdABpAGEAbABfAFYAYQByAGkAYQB0AGkAbwBuACIALAAiAFMAbwB1AHIAYwBlAEQAYQB0AGEAXwBPAHQAaABlAHIATABpAHYAZQBzAHQAbwBjAGsALgBTAG8AdQByAGMAZQBEAGEAdABhAF8ATwB0AGgAZQByAEwAaQB2AGUAcwB0AG8AYwBrAF8ATQBlAHQAaABhAG4AZQBFAG0AaQBzAHMAaQBvAG4AcwBQAG8AdABlAG4AdABpAGEAbABfAEQAYQB0AGEAIgAsACIAUwBvAHUAcgBjAGUARABhAHQAYQBfAE8AdABoAGUAcgBMAGkAdgBlAHMAdABvAGMAawAuAFMAbwB1AHIAYwBlAEQAYQB0AGEAXwBPAHQAaABlAHIATABpAHYAZQBzAHQAbwBjAGsAXwBGAHIAYQBjAEcAQQBTAE0AUwBvAGkAbABfAFQAaQB0AGwAZQAiACwAIgBTAG8AdQByAGMAZQBEAGEAdABhAF8ATwB0AGgAZQByAEwAaQB2AGUAcwB0AG8AYwBrAC4AUwBvAHUAcgBjAGUARABhAHQAYQBfAE8AdABoAGUAcgBMAGkAdgBlAHMAdABvAGMAawBfAEYAcgBhAGMARwBBAFMATQBTAG8AaQBsAF8AVgBhAHIAaQBhAGIAbABlACIALAAiAFMAbwB1AHIAYwBlAEQAYQB0AGEAXwBPAHQAaABlAHIATABpAHYAZQBzAHQAbwBjAGsALgBTAG8AdQByAGMAZQBEAGEAdABhAF8ATwB0AGgAZQByAEwAaQB2AGUAcwB0AG8AYwBrAF8ARgByAGEAYwBHAEEAUwBNAFMAbwBpAGwAXwBVAG4AaQB0ACIALAAiAFMAbwB1AHIAYwBlAEQAYQB0AGEAXwBPAHQAaABlAHIATABpAHYAZQBzAHQAbwBjAGsALgBTAG8AdQByAGMAZQBEAGEAdABhAF8ATwB0AGgAZQByAEwAaQB2AGUAcwB0AG8AYwBrAF8ARgByAGEAYwBHAEEAUwBNAFMAbwBpAGwAXwBTAG8AdQByAGMAZQAiACwAIgBTAG8AdQByAGMAZQBEAGEAdABhAF8ATwB0AGgAZQByAEwAaQB2AGUAcwB0AG8AYwBrAC4AUwBvAHUAcgBjAGUARABhAHQAYQBfAE8AdABoAGUAcgBMAGkAdgBlAHMAdABvAGMAawBfAEYAcgBhAGMARwBBAFMATQBTAG8AaQBsAF8AVgBhAHIAaQBhAHQAaQBvAG4AIgAsACIAUwBvAHUAcgBjAGUARABhAHQAYQBfAE8AdABoAGUAcgBMAGkAdgBlAHMAdABvAGMAawAuAFMAbwB1AHIAYwBlAEQAYQB0AGEAXwBPAHQAaABlAHIATABpAHYAZQBzAHQAbwBjAGsAXwBGAHIAYQBjAEcAQQBTAE0AUwBvAGkAbABfAEQAYQB0AGE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QAaQB0AGw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WAGEAcgBpAGEAYg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QBuAGkAdA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TAG8AdQBy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OAEkAUgBSAGUAZgBlAHIAZQBuAGMAZQ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MAGEAdABlAHgARQBxAHUAYQB0AGkAbwBu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IgAsACIATQBNAFMAXwBPAHQAaABlAHIATABpAHYAZQBzAHQAbwBjAGsAXwBNAGUAdABoAGEAbgBlAF8ARQBxAHUAYQB0AGkAbwBuAHMALgBWAEUARQBSAEcAXwA0AF8ANwBfADEAXwAxAF8AXwAyAF8AQQBuAG4AdQBhAGwATQBlAHQAaABhAG4AZQBQAHIAbwBkAHUAYwB0AGkAbwBuAEYAcgBvAG0ATQBhAG4AdQByAGUATQBhAG4AYQBnAGUAbQBlAG4AdABfAFQAaQB0AGwAZQAiACwAIgBNAE0AUwBfAE8AdABoAGUAcgBMAGkAdgBlAHMAdABvAGMAawBfAE0AZQB0AGgAYQBuAGUAXwBFAHEAdQBhAHQAaQBvAG4AcwAuAFYARQBFAFIARwBfADQAXwA3AF8AMQBfADEAXwBfADIAXwBBAG4AbgB1AGEAbABNAGUAdABoAGEAbgBlAFAAcgBvAGQAdQBjAHQAaQBvAG4ARgByAG8AbQBNAGEAbgB1AHIAZQBNAGEAbgBhAGcAZQBtAGUAbgB0AF8AVgBhAHIAaQBhAGIAbABlACIALAAiAE0ATQBTAF8ATwB0AGgAZQByAEwAaQB2AGUAcwB0AG8AYwBrAF8ATQBlAHQAaABhAG4AZQBfAEUAcQB1AGEAdABpAG8AbgBzAC4AVgBFAEUAUgBHAF8ANABfADcAXwAxAF8AMQBfAF8AMgBfAEEAbgBuAHUAYQBsAE0AZQB0AGgAYQBuAGUAUAByAG8AZAB1AGMAdABpAG8AbgBGAHIAbwBtAE0AYQBuAHUAcgBlAE0AYQBuAGEAZwBlAG0AZQBuAHQAXwBVAG4AaQB0ACIALAAiAE0ATQBTAF8ATwB0AGgAZQByAEwAaQB2AGUAcwB0AG8AYwBrAF8ATQBlAHQAaABhAG4AZQBfAEUAcQB1AGEAdABpAG8AbgBzAC4AVgBFAEUAUgBHAF8ANABfADcAXwAxAF8AMQBfAF8AMgBfAEEAbgBuAHUAYQBsAE0AZQB0AGgAYQBuAGUAUAByAG8AZAB1AGMAdABpAG8AbgBGAHIAbwBtAE0AYQBuAHUAcgBlAE0AYQBuAGEAZwBlAG0AZQBuAHQAXwBTAG8AdQByAGMAZQAiACwAIgBNAE0AUwBfAE8AdABoAGUAcgBMAGkAdgBlAHMAdABvAGMAawBfAE0AZQB0AGgAYQBuAGUAXwBFAHEAdQBhAHQAaQBvAG4AcwAuAFYARQBFAFIARwBfADQAXwA3AF8AMQBfADEAXwBfADIAXwBBAG4AbgB1AGEAbABNAGUAdABoAGEAbgBlAFAAcgBvAGQAdQBjAHQAaQBvAG4ARgByAG8AbQBNAGEAbgB1AHIAZQBNAGEAbgBhAGcAZQBtAGUAbgB0AF8ATgBJAFIAUgBlAGYAZQByAGUAbgBjAGUAIgAsACIATQBNAFMAXwBPAHQAaABlAHIATABpAHYAZQBzAHQAbwBjAGsAXwBNAGUAdABoAGEAbgBlAF8ARQBxAHUAYQB0AGkAbwBuAHMALgBWAEUARQBSAEcAXwA0AF8ANwBfADEAXwAxAF8AXwAyAF8AQQBuAG4AdQBhAGwATQBlAHQAaABhAG4AZQBQAHIAbwBkAHUAYwB0AGkAbwBuAEYAcgBvAG0ATQBhAG4AdQByAGUATQBhAG4AYQBnAGUAbQBlAG4AdABfAEwAYQB0AGUAeABFAHEAdQBhAHQAaQBvAG4AIgAsACIATQBNAFMAXwBPAHQAaABlAHIATABpAHYAZQBzAHQAbwBjAGsAXwBNAGUAdABoAGEAbgBlAF8ARQBxAHUAYQB0AGkAbwBuAHMALgBWAEUARQBSAEcAXwA0AF8ANwBfADEAXwAxAF8AXwAyAF8AQQBuAG4AdQBhAGwATQBlAHQAaABhAG4AZQBQAHIAbwBkAHUAYwB0AGkAbwBuAEYAcgBvAG0ATQBhAG4AdQByAGUATQBhAG4AYQBnAGUAbQBlAG4AdABfAEEAcgBnAHUAbQBlAG4AdABz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BfAE0AZQB0AGgAbwBkADIAIgAsACIATQBNAFMAXwBPAHQAaABlAHIATABpAHYAZQBzAHQAbwBjAGsAXwBTAG8AaQBsAF8ATgAyAE8ARABpAHIAZQBjAHQALgBWAEUARQBSAEcAXwA0AF8ANwBfADEAXwAzAF8AXwAxAF8ARABpAHIAZQBjAHQATgBpAHQAcgBvAHUAcwBPAHgAaQBkAGUARQBtAGkAcwBzAGkAbwBuAHMARgByAG8AbQBTAG8AaQBsACIALAAiAE0ATQBTAF8ATwB0AGgAZQByAEwAaQB2AGUAcwB0AG8AYwBrAF8AUwBvAGkAbABfAE4AMgBPAEQAaQByAGUAYwB0AC4AVgBFAEUAUgBHAF8ANABfADcAXwAxAF8AMwBfAF8AMQBfAEQAaQByAGUAYwB0AE4AaQB0AHIAbwB1AHMATwB4AGkAZABlAEUAbQBpAHMAcwBpAG8AbgBzAEYAcgBvAG0AUwBvAGkAbABfAFQAaQB0AGwAZQAiACwAIgBNAE0AUwBfAE8AdABoAGUAcgBMAGkAdgBlAHMAdABvAGMAawBfAFMAbwBpAGwAXwBOADIATwBEAGkAcgBlAGMAdAAuAFYARQBFAFIARwBfADQAXwA3AF8AMQBfADMAXwBfADEAXwBEAGkAcgBlAGMAdABOAGkAdAByAG8AdQBzAE8AeABpAGQAZQBFAG0AaQBzAHMAaQBvAG4AcwBGAHIAbwBtAFMAbwBpAGwAXwBWAGEAcgBpAGEAYgBsAGUAIgAsACIATQBNAFMAXwBPAHQAaABlAHIATABpAHYAZQBzAHQAbwBjAGsAXwBTAG8AaQBsAF8ATgAyAE8ARABpAHIAZQBjAHQALgBWAEUARQBSAEcAXwA0AF8ANwBfADEAXwAzAF8AXwAxAF8ARABpAHIAZQBjAHQATgBpAHQAcgBvAHUAcwBPAHgAaQBkAGUARQBtAGkAcwBzAGkAbwBuAHMARgByAG8AbQBTAG8AaQBsAF8AVQBuAGkAdAAiACwAIgBNAE0AUwBfAE8AdABoAGUAcgBMAGkAdgBlAHMAdABvAGMAawBfAFMAbwBpAGwAXwBOADIATwBEAGkAcgBlAGMAdAAuAFYARQBFAFIARwBfADQAXwA3AF8AMQBfADMAXwBfADEAXwBEAGkAcgBlAGMAdABOAGkAdAByAG8AdQBzAE8AeABpAGQAZQBFAG0AaQBzAHMAaQBvAG4AcwBGAHIAbwBtAFMAbwBpAGwAXwBTAG8AdQByAGMAZQAiACwAIgBNAE0AUwBfAE8AdABoAGUAcgBMAGkAdgBlAHMAdABvAGMAawBfAFMAbwBpAGwAXwBOADIATwBEAGkAcgBlAGMAdAAuAFYARQBFAFIARwBfADQAXwA3AF8AMQBfADMAXwBfADEAXwBEAGkAcgBlAGMAdABOAGkAdAByAG8AdQBzAE8AeABpAGQAZQBFAG0AaQBzAHMAaQBvAG4AcwBGAHIAbwBtAFMAbwBpAGwAXwBOAEkAUgBSAGUAZgBlAHIAZQBuAGMAZQAiACwAIgBNAE0AUwBfAE8AdABoAGUAcgBMAGkAdgBlAHMAdABvAGMAawBfAFMAbwBpAGwAXwBOADIATwBEAGkAcgBlAGMAdAAuAFYARQBFAFIARwBfADQAXwA3AF8AMQBfADMAXwBfADEAXwBEAGkAcgBlAGMAdABOAGkAdAByAG8AdQBzAE8AeABpAGQAZQBFAG0AaQBzAHMAaQBvAG4AcwBGAHIAbwBtAFMAbwBpAGwAXwBMAGEAdABlAHgARQBxAHUAYQB0AGkAbwBuACIALAAiAE0ATQBTAF8ATwB0AGgAZQByAEwAaQB2AGUAcwB0AG8AYwBrAF8AUwBvAGkAbABfAE4AMgBPAEQAaQByAGUAYwB0AC4AVgBFAEUAUgBHAF8ANABfADcAXwAxAF8AMwBfAF8AMQBfAEQAaQByAGUAYwB0AE4AaQB0AHIAbwB1AHMATwB4AGkAZABlAEUAbQBpAHMAcwBpAG8AbgBzAEYAcgBvAG0AUwBvAGkAbABfAEEAcgBnAHUAbQBlAG4AdABzACIALAAiAE0ATQBTAF8ATwB0AGgAZQByAEwAaQB2AGUAcwB0AG8AYwBrAF8AUwBvAGkAbABfAE4AMgBPAEQAaQByAGUAYwB0AC4AVgBFAEUAUgBHAF8ANABfADcAXwAxAF8AMwBfAF8AMgBfAEEAbgBuAHUAYQBsAE4AaQB0AHIAbwBnAGUAbgBFAHgAYwByAGUAdABlAGQAVABvAFAAYQBzAHQAdQByAGUAIgAsACIATQBNAFMAXwBPAHQAaABlAHIATABpAHYAZQBzAHQAbwBjAGsAXwBTAG8AaQBsAF8ATgAyAE8ARABpAHIAZQBjAHQALgBWAEUARQBSAEcAXwA0AF8ANwBfADEAXwAzAF8AXwAyAF8AQQBuAG4AdQBhAGwATgBpAHQAcgBvAGcAZQBuAEUAeABjAHIAZQB0AGUAZABUAG8AUABhAHMAdAB1AHIAZQBfAFQAaQB0AGwAZQAiACwAIgBNAE0AUwBfAE8AdABoAGUAcgBMAGkAdgBlAHMAdABvAGMAawBfAFMAbwBpAGwAXwBOADIATwBEAGkAcgBlAGMAdAAuAFYARQBFAFIARwBfADQAXwA3AF8AMQBfADMAXwBfADIAXwBBAG4AbgB1AGEAbABOAGkAdAByAG8AZwBlAG4ARQB4AGMAcgBlAHQAZQBkAFQAbwBQAGEAcwB0AHUAcgBlAF8AVgBhAHIAaQBhAGIAbABlACIALAAiAE0ATQBTAF8ATwB0AGgAZQByAEwAaQB2AGUAcwB0AG8AYwBrAF8AUwBvAGkAbABfAE4AMgBPAEQAaQByAGUAYwB0AC4AVgBFAEUAUgBHAF8ANABfADcAXwAxAF8AMwBfAF8AMgBfAEEAbgBuAHUAYQBsAE4AaQB0AHIAbwBnAGUAbgBFAHgAYwByAGUAdABlAGQAVABvAFAAYQBzAHQAdQByAGUAXwBVAG4AaQB0ACIALAAiAE0ATQBTAF8ATwB0AGgAZQByAEwAaQB2AGUAcwB0AG8AYwBrAF8AUwBvAGkAbABfAE4AMgBPAEQAaQByAGUAYwB0AC4AVgBFAEUAUgBHAF8ANABfADcAXwAxAF8AMwBfAF8AMgBfAEEAbgBuAHUAYQBsAE4AaQB0AHIAbwBnAGUAbgBFAHgAYwByAGUAdABlAGQAVABvAFAAYQBzAHQAdQByAGUAXwBTAG8AdQByAGMAZQAiACwAIgBNAE0AUwBfAE8AdABoAGUAcgBMAGkAdgBlAHMAdABvAGMAawBfAFMAbwBpAGwAXwBOADIATwBEAGkAcgBlAGMAdAAuAFYARQBFAFIARwBfADQAXwA3AF8AMQBfADMAXwBfADIAXwBBAG4AbgB1AGEAbABOAGkAdAByAG8AZwBlAG4ARQB4AGMAcgBlAHQAZQBkAFQAbwBQAGEAcwB0AHUAcgBlAF8ATgBJAFIAUgBlAGYAZQByAGUAbgBjAGUAIgAsACIATQBNAFMAXwBPAHQAaABlAHIATABpAHYAZQBzAHQAbwBjAGsAXwBTAG8AaQBsAF8ATgAyAE8ARABpAHIAZQBjAHQALgBWAEUARQBSAEcAXwA0AF8ANwBfADEAXwAzAF8AXwAyAF8AQQBuAG4AdQBhAGwATgBpAHQAcgBvAGcAZQBuAEUAeABjAHIAZQB0AGUAZABUAG8AUABhAHMAdAB1AHIAZQBfAEwAYQB0AGUAeABFAHEAdQBhAHQAaQBvAG4AIgAsACIATQBNAFMAXwBPAHQAaABlAHIATABpAHYAZQBzAHQAbwBjAGsAXwBTAG8AaQBsAF8ATgAyAE8ARABpAHIAZQBjAHQALgBWAEUARQBSAEcAXwA0AF8ANwBfADEAXwAzAF8AXwAyAF8AQQBuAG4AdQBhAGwATgBpAHQAcgBvAGcAZQBuAEUAeABjAHIAZQB0AGUAZABUAG8AUABhAHMAdAB1AHIAZQBfAEEAcgBnAHUAbQBlAG4AdABz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UAGkAdABs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gBhAHIAaQBhAGI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UAbgBpAHQ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UwBvAHUAc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gBJAFIAUgBlAGYAZQByAGUAbgBj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TABhAHQAZQB4AEUAcQB1AGEAdABpAG8Abg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BAHIAZwB1AG0AZQBuAHQAcwAiACwAIgBNAE0AUwBfAE8AdABoAGUAcgBMAGkAdgBlAHMAdABvAGMAawBfAFMAbwBpAGwAXwBBAHQAbQBvAHMAcABoAGUAcgBpAGMARABlAHAAbwBzAGkAdABpAG8AbgAuAFYARQBFAFIARwBfADQAXwA3AF8AMQBfADUAXwBfADIAXwBNAGEAcwBzAE8AZgBOAGkAdAByAG8AZwBlAG4AVgBvAGwAYQB0AGkAbABpAHMAZQBkAEYAcgBvAG0AUABhAHMAdAB1AHIAZQAiACwAIgBNAE0AUwBfAE8AdABoAGUAcgBMAGkAdgBlAHMAdABvAGMAawBfAFMAbwBpAGwAXwBBAHQAbQBvAHMAcABoAGUAcgBpAGMARABlAHAAbwBzAGkAdABpAG8AbgAuAFYARQBFAFIARwBfADQAXwA3AF8AMQBfADUAXwBfADIAXwBNAGEAcwBzAE8AZgBOAGkAdAByAG8AZwBlAG4AVgBvAGwAYQB0AGkAbABpAHMAZQBkAEYAcgBvAG0AUABhAHMAdAB1AHIAZQBfAFQAaQB0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YAYQByAGkAYQBiAGwAZQAiACwAIgBNAE0AUwBfAE8AdABoAGUAcgBMAGkAdgBlAHMAdABvAGMAawBfAFMAbwBpAGwAXwBBAHQAbQBvAHMAcABoAGUAcgBpAGMARABlAHAAbwBzAGkAdABpAG8AbgAuAFYARQBFAFIARwBfADQAXwA3AF8AMQBfADUAXwBfADIAXwBNAGEAcwBzAE8AZgBOAGkAdAByAG8AZwBlAG4AVgBvAGwAYQB0AGkAbABpAHMAZQBkAEYAcgBvAG0AUABhAHMAdAB1AHIAZQBfAFUAbgBpAHQAIgAsACIATQBNAFMAXwBPAHQAaABlAHIATABpAHYAZQBzAHQAbwBjAGsAXwBTAG8AaQBsAF8AQQB0AG0AbwBzAHAAaABlAHIAaQBjAEQAZQBwAG8AcwBpAHQAaQBvAG4ALgBWAEUARQBSAEcAXwA0AF8ANwBfADEAXwA1AF8AXwAyAF8ATQBhAHMAcwBPAGYATgBpAHQAcgBvAGcAZQBuAFYAbwBsAGEAdABpAGwAaQBzAGUAZABGAHIAbwBtAFAAYQBzAHQAdQByAGUAXwBTAG8AdQBy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4ASQBSAFIAZQBmAGUAcgBlAG4AYwBlACIALAAiAE0ATQBTAF8ATwB0AGgAZQByAEwAaQB2AGUAcwB0AG8AYwBrAF8AUwBvAGkAbABfAEEAdABtAG8AcwBwAGgAZQByAGkAYwBEAGUAcABvAHMAaQB0AGkAbwBuAC4AVgBFAEUAUgBHAF8ANABfADcAXwAxAF8ANQBfAF8AMgBfAE0AYQBzAHMATwBmAE4AaQB0AHIAbwBnAGUAbgBWAG8AbABhAHQAaQBsAGkAcwBlAGQARgByAG8AbQBQAGEAcwB0AHUAcgBlAF8ATABhAHQAZQB4AEUAcQB1AGEAdABpAG8AbgAiACwAIgBNAE0AUwBfAE8AdABoAGUAcgBMAGkAdgBlAHMAdABvAGMAawBfAFMAbwBpAGwAXwBBAHQAbQBvAHMAcABoAGUAcgBpAGMARABlAHAAbwBzAGkAdABpAG8AbgAuAFYARQBFAFIARwBfADQAXwA3AF8AMQBfADUAXwBfADIAXwBNAGEAcwBzAE8AZgBOAGkAdAByAG8AZwBlAG4AVgBvAGwAYQB0AGkAbABpAHMAZQBkAEYAcgBvAG0AUABhAHMAdAB1AHIAZQBfAEEAcgBnAHUAbQBlAG4AdABzACIALAAiAE0ATQBTAF8ATwB0AGgAZQByAEwAaQB2AGUAcwB0AG8AYwBrAF8AUwBvAGkAbABfAEwAZQBhAGMAaABpAG4AZwBBAG4AZABSAHUAbgBvAGYAZgAuAFYARQBFAFIARwBfADQAXwA3AF8AMQBfADcAXwBfADEAXwBMAGUAYQBjAGgAaQBuAGcAQQBuAGQAUgB1AG4AbwBmAGYARQBtAGkAcwBzAGkAbwBuAHMARgByAG8AbQBQAGEAcwB0AHUAcgBlACIALAAiAE0ATQBTAF8ATwB0AGgAZQByAEwAaQB2AGUAcwB0AG8AYwBrAF8AUwBvAGkAbABfAEwAZQBhAGMAaABpAG4AZwBBAG4AZABSAHUAbgBvAGYAZgAuAFYARQBFAFIARwBfADQAXwA3AF8AMQBfADcAXwBfADEAXwBMAGUAYQBjAGgAaQBuAGcAQQBuAGQAUgB1AG4AbwBmAGYARQBtAGkAcwBzAGkAbwBuAHMARgByAG8AbQBQAGEAcwB0AHUAcgBlAF8AVABpAHQAbABlACIALAAiAE0ATQBTAF8ATwB0AGgAZQByAEwAaQB2AGUAcwB0AG8AYwBrAF8AUwBvAGkAbABfAEwAZQBhAGMAaABpAG4AZwBBAG4AZABSAHUAbgBvAGYAZgAuAFYARQBFAFIARwBfADQAXwA3AF8AMQBfADcAXwBfADEAXwBMAGUAYQBjAGgAaQBuAGcAQQBuAGQAUgB1AG4AbwBmAGYARQBtAGkAcwBzAGkAbwBuAHMARgByAG8AbQBQAGEAcwB0AHUAcgBlAF8AVgBhAHIAaQBhAGIAbABlACIALAAiAE0ATQBTAF8ATwB0AGgAZQByAEwAaQB2AGUAcwB0AG8AYwBrAF8AUwBvAGkAbABfAEwAZQBhAGMAaABpAG4AZwBBAG4AZABSAHUAbgBvAGYAZgAuAFYARQBFAFIARwBfADQAXwA3AF8AMQBfADcAXwBfADEAXwBMAGUAYQBjAGgAaQBuAGcAQQBuAGQAUgB1AG4AbwBmAGYARQBtAGkAcwBzAGkAbwBuAHMARgByAG8AbQBQAGEAcwB0AHUAcgBlAF8AVQBuAGkAdAAiACwAIgBNAE0AUwBfAE8AdABoAGUAcgBMAGkAdgBlAHMAdABvAGMAawBfAFMAbwBpAGwAXwBMAGUAYQBjAGgAaQBuAGcAQQBuAGQAUgB1AG4AbwBmAGYALgBWAEUARQBSAEcAXwA0AF8ANwBfADEAXwA3AF8AXwAxAF8ATABlAGEAYwBoAGkAbgBnAEEAbgBkAFIAdQBuAG8AZgBmAEUAbQBpAHMAcwBpAG8AbgBzAEYAcgBvAG0AUABhAHMAdAB1AHIAZQBfAFMAbwB1AHIAYwBlACIALAAiAE0ATQBTAF8ATwB0AGgAZQByAEwAaQB2AGUAcwB0AG8AYwBrAF8AUwBvAGkAbABfAEwAZQBhAGMAaABpAG4AZwBBAG4AZABSAHUAbgBvAGYAZgAuAFYARQBFAFIARwBfADQAXwA3AF8AMQBfADcAXwBfADEAXwBMAGUAYQBjAGgAaQBuAGcAQQBuAGQAUgB1AG4AbwBmAGYARQBtAGkAcwBzAGkAbwBuAHMARgByAG8AbQBQAGEAcwB0AHUAcgBlAF8ATgBJAFIAUgBlAGYAZQByAGUAbgBjAGUAIgAsACIATQBNAFMAXwBPAHQAaABlAHIATABpAHYAZQBzAHQAbwBjAGsAXwBTAG8AaQBsAF8ATABlAGEAYwBoAGkAbgBnAEEAbgBkAFIAdQBuAG8AZgBmAC4AVgBFAEUAUgBHAF8ANABfADcAXwAxAF8ANwBfAF8AMQBfAEwAZQBhAGMAaABpAG4AZwBBAG4AZABSAHUAbgBvAGYAZgBFAG0AaQBzAHMAaQBvAG4AcwBGAHIAbwBtAFAAYQBzAHQAdQByAGUAXwBMAGEAdABlAHgARQBxAHUAYQB0AGkAbwBuACIALAAiAE0ATQBTAF8ATwB0AGgAZQByAEwAaQB2AGUAcwB0AG8AYwBrAF8AUwBvAGkAbABfAEwAZQBhAGMAaABpAG4AZwBBAG4AZABSAHUAbgBvAGYAZgAuAFYARQBFAFIARwBfADQAXwA3AF8AMQBfADcAXwBfADEAXwBMAGUAYQBjAGgAaQBuAGcAQQBuAGQAUgB1AG4AbwBmAGYARQBtAGkAcwBzAGkAbwBuAHMARgByAG8AbQBQAGEAcwB0AHUAcgBlAF8AQQByAGcAdQBtAGUAbgB0AHMAIgAsACIATQBNAFMAXwBPAHQAaABlAHIATABpAHYAZQBzAHQAbwBjAGsAXwBTAG8AaQBsAF8ATABlAGEAYwBoAGkAbgBnAEEAbgBkAFIAdQBuAG8AZgBmAC4AVgBFAEUAUgBHAF8ANABfADcAXwAxAF8ANwBfAF8AMgBfAE0AYQBzAHMATwBmAE4AaQB0AHIAbwBnAGUAbgBMAG8AcwB0AFQAbwBMAGUAYQBjAGgAaQBuAGcAQQBuAGQAUgB1AG4AbwBmAGYAIgAsACIATQBNAFMAXwBPAHQAaABlAHIATABpAHYAZQBzAHQAbwBjAGsAXwBTAG8AaQBsAF8ATABlAGEAYwBoAGkAbgBnAEEAbgBkAFIAdQBuAG8AZgBmAC4AVgBFAEUAUgBHAF8ANABfADcAXwAxAF8ANwBfAF8AMgBfAE0AYQBzAHMATwBmAE4AaQB0AHIAbwBnAGUAbgBMAG8AcwB0AFQAbwBMAGUAYQBjAGgAaQBuAGcAQQBuAGQAUgB1AG4AbwBmAGYAXwBUAGkAdABsAGUAIgAsACIATQBNAFMAXwBPAHQAaABlAHIATABpAHYAZQBzAHQAbwBjAGsAXwBTAG8AaQBsAF8ATABlAGEAYwBoAGkAbgBnAEEAbgBkAFIAdQBuAG8AZgBmAC4AVgBFAEUAUgBHAF8ANABfADcAXwAxAF8ANwBfAF8AMgBfAE0AYQBzAHMATwBmAE4AaQB0AHIAbwBnAGUAbgBMAG8AcwB0AFQAbwBMAGUAYQBjAGgAaQBuAGcAQQBuAGQAUgB1AG4AbwBmAGYAXwBWAGEAcgBpAGEAYgBsAGUAIgAsACIATQBNAFMAXwBPAHQAaABlAHIATABpAHYAZQBzAHQAbwBjAGsAXwBTAG8AaQBsAF8ATABlAGEAYwBoAGkAbgBnAEEAbgBkAFIAdQBuAG8AZgBmAC4AVgBFAEUAUgBHAF8ANABfADcAXwAxAF8ANwBfAF8AMgBfAE0AYQBzAHMATwBmAE4AaQB0AHIAbwBnAGUAbgBMAG8AcwB0AFQAbwBMAGUAYQBjAGgAaQBuAGcAQQBuAGQAUgB1AG4AbwBmAGYAXwBVAG4AaQB0ACIALAAiAE0ATQBTAF8ATwB0AGgAZQByAEwAaQB2AGUAcwB0AG8AYwBrAF8AUwBvAGkAbABfAEwAZQBhAGMAaABpAG4AZwBBAG4AZABSAHUAbgBvAGYAZgAuAFYARQBFAFIARwBfADQAXwA3AF8AMQBfADcAXwBfADIAXwBNAGEAcwBzAE8AZgBOAGkAdAByAG8AZwBlAG4ATABvAHMAdABUAG8ATABlAGEAYwBoAGkAbgBnAEEAbgBkAFIAdQBuAG8AZgBmAF8AUwBvAHUAcgBjAGUAIgAsACIATQBNAFMAXwBPAHQAaABlAHIATABpAHYAZQBzAHQAbwBjAGsAXwBTAG8AaQBsAF8ATABlAGEAYwBoAGkAbgBnAEEAbgBkAFIAdQBuAG8AZgBmAC4AVgBFAEUAUgBHAF8ANABfADcAXwAxAF8ANwBfAF8AMgBfAE0AYQBzAHMATwBmAE4AaQB0AHIAbwBnAGUAbgBMAG8AcwB0AFQAbwBMAGUAYQBjAGgAaQBuAGcAQQBuAGQAUgB1AG4AbwBmAGYAXwBOAEkAUgBSAGUAZgBlAHIAZQBuAGMAZQAiACwAIgBNAE0AUwBfAE8AdABoAGUAcgBMAGkAdgBlAHMAdABvAGMAawBfAFMAbwBpAGwAXwBMAGUAYQBjAGgAaQBuAGcAQQBuAGQAUgB1AG4AbwBmAGYALgBWAEUARQBSAEcAXwA0AF8ANwBfADEAXwA3AF8AXwAyAF8ATQBhAHMAcwBPAGYATgBpAHQAcgBvAGcAZQBuAEwAbwBzAHQAVABvAEwAZQBhAGMAaABpAG4AZwBBAG4AZABSAHUAbgBvAGYAZgBfAEwAYQB0AGUAeABFAHEAdQBhAHQAaQBvAG4AIgAsACIATQBNAFMAXwBPAHQAaABlAHIATABpAHYAZQBzAHQAbwBjAGsAXwBTAG8AaQBsAF8ATABlAGEAYwBoAGkAbgBnAEEAbgBkAFIAdQBuAG8AZgBmAC4AVgBFAEUAUgBHAF8ANABfADcAXwAxAF8ANwBfAF8AMgBfAE0AYQBzAHMATwBmAE4AaQB0AHIAbwBnAGUAbgBMAG8AcwB0AFQAbwBMAGUAYQBjAGgAaQBuAGcAQQBuAGQAUgB1AG4AbwBmAGY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87</vt:i4>
      </vt:variant>
    </vt:vector>
  </HeadingPairs>
  <TitlesOfParts>
    <vt:vector size="100"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Common_SourceData_DensityOfMethane_Data</vt:lpstr>
      <vt:lpstr>M1_Table_E_CH4</vt:lpstr>
      <vt:lpstr>M1_Table_E_CH4_Consumer_1</vt:lpstr>
      <vt:lpstr>M1_Table_M_j_m</vt:lpstr>
      <vt:lpstr>M1_Table_MCF_i_m</vt:lpstr>
      <vt:lpstr>M2_Table_M_j_m</vt:lpstr>
      <vt:lpstr>M2_Table_MCF_i_m</vt:lpstr>
      <vt:lpstr>SourceData_OtherLivestock_FracGASMSoil_Data</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2026-08-10T02:12:36Z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